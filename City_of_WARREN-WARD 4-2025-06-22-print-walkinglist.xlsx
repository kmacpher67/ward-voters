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false" localSheetId="0" name="_xlnm.Print_Area" vbProcedure="false">Sheet1!$E$1:$O$2685</definedName>
    <definedName function="false" hidden="false" localSheetId="0" name="_xlnm.Print_Titles" vbProcedure="false">Sheet1!$1:$1</definedName>
    <definedName function="false" hidden="true" localSheetId="0" name="_xlnm._FilterDatabase" vbProcedure="false">Sheet1!$A$1:$EH$2685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<sst xmlns="http://schemas.openxmlformats.org/spreadsheetml/2006/main" count="67228" uniqueCount="11394">
  <si>
    <t xml:space="preserve">SOS_VOTERID</t>
  </si>
  <si>
    <t xml:space="preserve">COUNTY_NUMBER</t>
  </si>
  <si>
    <t xml:space="preserve">COUNTY_ID</t>
  </si>
  <si>
    <t xml:space="preserve">LAST_NAME</t>
  </si>
  <si>
    <t xml:space="preserve">FIRST_NAME</t>
  </si>
  <si>
    <t xml:space="preserve">DISPLAY</t>
  </si>
  <si>
    <t xml:space="preserve">MIDDLE_NAME</t>
  </si>
  <si>
    <t xml:space="preserve">SUFFIX</t>
  </si>
  <si>
    <t xml:space="preserve">DATE_OF_BIRTH</t>
  </si>
  <si>
    <t xml:space="preserve">REGISTRATION_DATE</t>
  </si>
  <si>
    <t xml:space="preserve">VOTER_STATUS</t>
  </si>
  <si>
    <t xml:space="preserve">PARTY_AFFILIATION</t>
  </si>
  <si>
    <t xml:space="preserve">RESIDENTIAL_ADDRESS1</t>
  </si>
  <si>
    <t xml:space="preserve">StreetName</t>
  </si>
  <si>
    <t xml:space="preserve">RESIDENTIAL_SECONDARY_ADDR</t>
  </si>
  <si>
    <t xml:space="preserve">RESIDENTIAL_CITY</t>
  </si>
  <si>
    <t xml:space="preserve">RESIDENTIAL_STATE</t>
  </si>
  <si>
    <t xml:space="preserve">RESIDENTIAL_ZIP</t>
  </si>
  <si>
    <t xml:space="preserve">RESIDENTIAL_ZIP_PLUS4</t>
  </si>
  <si>
    <t xml:space="preserve">RESIDENTIAL_COUNTRY</t>
  </si>
  <si>
    <t xml:space="preserve">RESIDENTIAL_POSTALCODE</t>
  </si>
  <si>
    <t xml:space="preserve">MAILING_ADDRESS1</t>
  </si>
  <si>
    <t xml:space="preserve">MAILING_SECONDARY_ADDRESS</t>
  </si>
  <si>
    <t xml:space="preserve">MAILING_CITY</t>
  </si>
  <si>
    <t xml:space="preserve">MAILING_STATE</t>
  </si>
  <si>
    <t xml:space="preserve">MAILING_ZIP</t>
  </si>
  <si>
    <t xml:space="preserve">MAILING_ZIP_PLUS4</t>
  </si>
  <si>
    <t xml:space="preserve">MAILING_COUNTRY</t>
  </si>
  <si>
    <t xml:space="preserve">MAILING_POSTAL_CODE</t>
  </si>
  <si>
    <t xml:space="preserve">CAREER_CENTER</t>
  </si>
  <si>
    <t xml:space="preserve">CITY</t>
  </si>
  <si>
    <t xml:space="preserve">CITY_SCHOOL_DISTRICT</t>
  </si>
  <si>
    <t xml:space="preserve">COUNTY_COURT_DISTRICT</t>
  </si>
  <si>
    <t xml:space="preserve">CONGRESSIONAL_DISTRICT</t>
  </si>
  <si>
    <t xml:space="preserve">COURT_OF_APPEALS</t>
  </si>
  <si>
    <t xml:space="preserve">EDU_SERVICE_CENTER_DISTRICT</t>
  </si>
  <si>
    <t xml:space="preserve">EXEMPTED_VILL_SCHOOL_DISTRICT</t>
  </si>
  <si>
    <t xml:space="preserve">LIBRARY</t>
  </si>
  <si>
    <t xml:space="preserve">LOCAL_SCHOOL_DISTRICT</t>
  </si>
  <si>
    <t xml:space="preserve">MUNICIPAL_COURT_DISTRICT</t>
  </si>
  <si>
    <t xml:space="preserve">PRECINCT_NAME</t>
  </si>
  <si>
    <t xml:space="preserve">PRECINCT_CODE</t>
  </si>
  <si>
    <t xml:space="preserve">STATE_BOARD_OF_EDUCATION</t>
  </si>
  <si>
    <t xml:space="preserve">STATE_REPRESENTATIVE_DISTRICT</t>
  </si>
  <si>
    <t xml:space="preserve">STATE_SENATE_DISTRICT</t>
  </si>
  <si>
    <t xml:space="preserve">TOWNSHIP</t>
  </si>
  <si>
    <t xml:space="preserve">Total:</t>
  </si>
  <si>
    <t xml:space="preserve">Dems</t>
  </si>
  <si>
    <t xml:space="preserve">REPS</t>
  </si>
  <si>
    <t xml:space="preserve">Muni</t>
  </si>
  <si>
    <t xml:space="preserve">Latest</t>
  </si>
  <si>
    <t xml:space="preserve">Last</t>
  </si>
  <si>
    <t xml:space="preserve">VILLAGE</t>
  </si>
  <si>
    <t xml:space="preserve">WARD</t>
  </si>
  <si>
    <t xml:space="preserve">GENERAL-11/07/2000</t>
  </si>
  <si>
    <t xml:space="preserve">SPECIAL-05/08/2001</t>
  </si>
  <si>
    <t xml:space="preserve">GENERAL-11/06/2001</t>
  </si>
  <si>
    <t xml:space="preserve">PRIMARY-05/07/2002</t>
  </si>
  <si>
    <t xml:space="preserve">GENERAL-11/05/2002</t>
  </si>
  <si>
    <t xml:space="preserve">SPECIAL-05/06/2003</t>
  </si>
  <si>
    <t xml:space="preserve">GENERAL-11/04/2003</t>
  </si>
  <si>
    <t xml:space="preserve">PRIMARY-03/02/2004</t>
  </si>
  <si>
    <t xml:space="preserve">GENERAL-11/02/2004</t>
  </si>
  <si>
    <t xml:space="preserve">SPECIAL-02/08/2005</t>
  </si>
  <si>
    <t xml:space="preserve">PRIMARY-05/03/2005</t>
  </si>
  <si>
    <t xml:space="preserve">PRIMARY-09/13/2005</t>
  </si>
  <si>
    <t xml:space="preserve">GENERAL-11/08/2005</t>
  </si>
  <si>
    <t xml:space="preserve">SPECIAL-02/07/2006</t>
  </si>
  <si>
    <t xml:space="preserve">PRIMARY-05/02/2006</t>
  </si>
  <si>
    <t xml:space="preserve">GENERAL-11/07/2006</t>
  </si>
  <si>
    <t xml:space="preserve">PRIMARY-05/08/2007</t>
  </si>
  <si>
    <t xml:space="preserve">PRIMARY-09/11/2007</t>
  </si>
  <si>
    <t xml:space="preserve">GENERAL-11/06/2007</t>
  </si>
  <si>
    <t xml:space="preserve">PRIMARY-11/06/2007</t>
  </si>
  <si>
    <t xml:space="preserve">GENERAL-12/11/2007</t>
  </si>
  <si>
    <t xml:space="preserve">PRIMARY-03/04/2008</t>
  </si>
  <si>
    <t xml:space="preserve">PRIMARY-10/14/2008</t>
  </si>
  <si>
    <t xml:space="preserve">GENERAL-11/04/2008</t>
  </si>
  <si>
    <t xml:space="preserve">GENERAL-11/18/2008</t>
  </si>
  <si>
    <t xml:space="preserve">PRIMARY-05/05/2009</t>
  </si>
  <si>
    <t xml:space="preserve">PRIMARY-09/08/2009</t>
  </si>
  <si>
    <t xml:space="preserve">PRIMARY-09/15/2009</t>
  </si>
  <si>
    <t xml:space="preserve">PRIMARY-09/29/2009</t>
  </si>
  <si>
    <t xml:space="preserve">GENERAL-11/03/2009</t>
  </si>
  <si>
    <t xml:space="preserve">PRIMARY-05/04/2010</t>
  </si>
  <si>
    <t xml:space="preserve">PRIMARY-07/13/2010</t>
  </si>
  <si>
    <t xml:space="preserve">PRIMARY-09/07/2010</t>
  </si>
  <si>
    <t xml:space="preserve">GENERAL-11/02/2010</t>
  </si>
  <si>
    <t xml:space="preserve">PRIMARY-05/03/2011</t>
  </si>
  <si>
    <t xml:space="preserve">PRIMARY-09/13/2011</t>
  </si>
  <si>
    <t xml:space="preserve">GENERAL-11/08/2011</t>
  </si>
  <si>
    <t xml:space="preserve">PRIMARY-03/06/2012</t>
  </si>
  <si>
    <t xml:space="preserve">GENERAL-11/06/2012</t>
  </si>
  <si>
    <t xml:space="preserve">PRIMARY-05/07/2013</t>
  </si>
  <si>
    <t xml:space="preserve">PRIMARY-09/10/2013</t>
  </si>
  <si>
    <t xml:space="preserve">PRIMARY-10/01/2013</t>
  </si>
  <si>
    <t xml:space="preserve">GENERAL-11/05/2013</t>
  </si>
  <si>
    <t xml:space="preserve">PRIMARY-05/06/2014</t>
  </si>
  <si>
    <t xml:space="preserve">GENERAL-11/04/2014</t>
  </si>
  <si>
    <t xml:space="preserve">PRIMARY-05/05/2015</t>
  </si>
  <si>
    <t xml:space="preserve">PRIMARY-09/15/2015</t>
  </si>
  <si>
    <t xml:space="preserve">GENERAL-11/03/2015</t>
  </si>
  <si>
    <t xml:space="preserve">PRIMARY-03/15/2016</t>
  </si>
  <si>
    <t xml:space="preserve">GENERAL-06/07/2016</t>
  </si>
  <si>
    <t xml:space="preserve">PRIMARY-09/13/2016</t>
  </si>
  <si>
    <t xml:space="preserve">GENERAL-11/08/2016</t>
  </si>
  <si>
    <t xml:space="preserve">PRIMARY-05/02/2017</t>
  </si>
  <si>
    <t xml:space="preserve">PRIMARY-09/12/2017</t>
  </si>
  <si>
    <t xml:space="preserve">GENERAL-11/07/2017</t>
  </si>
  <si>
    <t xml:space="preserve">PRIMARY-05/08/2018</t>
  </si>
  <si>
    <t xml:space="preserve">GENERAL-08/07/2018</t>
  </si>
  <si>
    <t xml:space="preserve">GENERAL-11/06/2018</t>
  </si>
  <si>
    <t xml:space="preserve">PRIMARY-05/07/2019</t>
  </si>
  <si>
    <t xml:space="preserve">PRIMARY-09/10/2019</t>
  </si>
  <si>
    <t xml:space="preserve">GENERAL-11/05/2019</t>
  </si>
  <si>
    <t xml:space="preserve">PRIMARY-03/17/2020</t>
  </si>
  <si>
    <t xml:space="preserve">GENERAL-11/03/2020</t>
  </si>
  <si>
    <t xml:space="preserve">PRIMARY-05/04/2021</t>
  </si>
  <si>
    <t xml:space="preserve">PRIMARY-08/03/2021</t>
  </si>
  <si>
    <t xml:space="preserve">PRIMARY-09/14/2021</t>
  </si>
  <si>
    <t xml:space="preserve">GENERAL-11/02/2021</t>
  </si>
  <si>
    <t xml:space="preserve">PRIMARY-05/03/2022</t>
  </si>
  <si>
    <t xml:space="preserve">PRIMARY-08/02/2022</t>
  </si>
  <si>
    <t xml:space="preserve">GENERAL-11/08/2022</t>
  </si>
  <si>
    <t xml:space="preserve">SPECIAL-02/28/2023</t>
  </si>
  <si>
    <t xml:space="preserve">PRIMARY-05/02/2023</t>
  </si>
  <si>
    <t xml:space="preserve">SPECIAL-08/08/2023</t>
  </si>
  <si>
    <t xml:space="preserve">SPECIAL-09/12/2023</t>
  </si>
  <si>
    <t xml:space="preserve">PRIMARY-10/03/2023</t>
  </si>
  <si>
    <t xml:space="preserve">GENERAL-11/07/2023</t>
  </si>
  <si>
    <t xml:space="preserve">SPECIAL-12/05/2023</t>
  </si>
  <si>
    <t xml:space="preserve">SPECIAL-02/27/2024</t>
  </si>
  <si>
    <t xml:space="preserve">PRIMARY-03/19/2024</t>
  </si>
  <si>
    <t xml:space="preserve">GENERAL-06/11/2024</t>
  </si>
  <si>
    <t xml:space="preserve">GENERAL-11/05/2024</t>
  </si>
  <si>
    <t xml:space="preserve">SPECIAL-01/07/2025</t>
  </si>
  <si>
    <t xml:space="preserve">PRIMARY-05/06/2025</t>
  </si>
  <si>
    <t xml:space="preserve">OH0023915549</t>
  </si>
  <si>
    <t xml:space="preserve">ANDREWS</t>
  </si>
  <si>
    <t xml:space="preserve">IAN</t>
  </si>
  <si>
    <t xml:space="preserve">MATTHEW</t>
  </si>
  <si>
    <t xml:space="preserve">1997-06-13</t>
  </si>
  <si>
    <t xml:space="preserve">2016-12-10</t>
  </si>
  <si>
    <t xml:space="preserve">CONFIRMATION</t>
  </si>
  <si>
    <t xml:space="preserve">1106 ADELAIDE AVE SE</t>
  </si>
  <si>
    <t xml:space="preserve">WARREN</t>
  </si>
  <si>
    <t xml:space="preserve">OH</t>
  </si>
  <si>
    <t xml:space="preserve">TRUMBULL CAREER &amp; TECH CENTER</t>
  </si>
  <si>
    <t xml:space="preserve">WARREN CITY</t>
  </si>
  <si>
    <t xml:space="preserve">WARREN CITY SD</t>
  </si>
  <si>
    <t xml:space="preserve">WARREN CITY 4A</t>
  </si>
  <si>
    <t xml:space="preserve">78-P-ADI</t>
  </si>
  <si>
    <t xml:space="preserve">WARREN-WARD 4</t>
  </si>
  <si>
    <t xml:space="preserve">X</t>
  </si>
  <si>
    <t xml:space="preserve">OH0026063371</t>
  </si>
  <si>
    <t xml:space="preserve">REMEIKA PIRTZ</t>
  </si>
  <si>
    <t xml:space="preserve">JULIE</t>
  </si>
  <si>
    <t xml:space="preserve">MARIA</t>
  </si>
  <si>
    <t xml:space="preserve">1979-01-30</t>
  </si>
  <si>
    <t xml:space="preserve">2020-11-03</t>
  </si>
  <si>
    <t xml:space="preserve">ACTIVE</t>
  </si>
  <si>
    <t xml:space="preserve">OH0026313468</t>
  </si>
  <si>
    <t xml:space="preserve">BALINT</t>
  </si>
  <si>
    <t xml:space="preserve">HAYLEE</t>
  </si>
  <si>
    <t xml:space="preserve">M</t>
  </si>
  <si>
    <t xml:space="preserve">2003-08-31</t>
  </si>
  <si>
    <t xml:space="preserve">2021-09-24</t>
  </si>
  <si>
    <t xml:space="preserve">1116 ADELAIDE AVE SE</t>
  </si>
  <si>
    <t xml:space="preserve">OH0015750586</t>
  </si>
  <si>
    <t xml:space="preserve">IMES</t>
  </si>
  <si>
    <t xml:space="preserve">PAUL</t>
  </si>
  <si>
    <t xml:space="preserve">E</t>
  </si>
  <si>
    <t xml:space="preserve">1956-11-07</t>
  </si>
  <si>
    <t xml:space="preserve">2004-09-23</t>
  </si>
  <si>
    <t xml:space="preserve">1126 ADELAIDE AVE SE</t>
  </si>
  <si>
    <t xml:space="preserve">D</t>
  </si>
  <si>
    <t xml:space="preserve">OH0022741129</t>
  </si>
  <si>
    <t xml:space="preserve">HELLER</t>
  </si>
  <si>
    <t xml:space="preserve">NATICE</t>
  </si>
  <si>
    <t xml:space="preserve">1982-10-06</t>
  </si>
  <si>
    <t xml:space="preserve">2019-08-13</t>
  </si>
  <si>
    <t xml:space="preserve">1146 ADELAIDE AVE SE</t>
  </si>
  <si>
    <t xml:space="preserve">OH0024561689</t>
  </si>
  <si>
    <t xml:space="preserve">NICOPOLIS</t>
  </si>
  <si>
    <t xml:space="preserve">BRANDON</t>
  </si>
  <si>
    <t xml:space="preserve">MICHALE</t>
  </si>
  <si>
    <t xml:space="preserve">1987-02-19</t>
  </si>
  <si>
    <t xml:space="preserve">2018-06-01</t>
  </si>
  <si>
    <t xml:space="preserve">OH0024649357</t>
  </si>
  <si>
    <t xml:space="preserve">NYZIANA</t>
  </si>
  <si>
    <t xml:space="preserve">L</t>
  </si>
  <si>
    <t xml:space="preserve">1997-12-26</t>
  </si>
  <si>
    <t xml:space="preserve">OH0015774877</t>
  </si>
  <si>
    <t xml:space="preserve">MORGAN</t>
  </si>
  <si>
    <t xml:space="preserve">KAMECO</t>
  </si>
  <si>
    <t xml:space="preserve">A</t>
  </si>
  <si>
    <t xml:space="preserve">1979-06-13</t>
  </si>
  <si>
    <t xml:space="preserve">2024-10-28</t>
  </si>
  <si>
    <t xml:space="preserve">1176 ADELAIDE AVE SE</t>
  </si>
  <si>
    <t xml:space="preserve">OH0025955813</t>
  </si>
  <si>
    <t xml:space="preserve">FERRARO</t>
  </si>
  <si>
    <t xml:space="preserve">JUSTINE</t>
  </si>
  <si>
    <t xml:space="preserve">N</t>
  </si>
  <si>
    <t xml:space="preserve">1997-09-03</t>
  </si>
  <si>
    <t xml:space="preserve">2020-10-03</t>
  </si>
  <si>
    <t xml:space="preserve">1186 ADELAIDE AVE SE</t>
  </si>
  <si>
    <t xml:space="preserve">OH0025686168</t>
  </si>
  <si>
    <t xml:space="preserve">MUSICK</t>
  </si>
  <si>
    <t xml:space="preserve">CHARLES</t>
  </si>
  <si>
    <t xml:space="preserve">R</t>
  </si>
  <si>
    <t xml:space="preserve">1979-10-09</t>
  </si>
  <si>
    <t xml:space="preserve">2020-08-10</t>
  </si>
  <si>
    <t xml:space="preserve">OH0019859568</t>
  </si>
  <si>
    <t xml:space="preserve">TRAVIS</t>
  </si>
  <si>
    <t xml:space="preserve">ZACHERY</t>
  </si>
  <si>
    <t xml:space="preserve">LEE</t>
  </si>
  <si>
    <t xml:space="preserve">SR</t>
  </si>
  <si>
    <t xml:space="preserve">1988-10-06</t>
  </si>
  <si>
    <t xml:space="preserve">2024-09-24</t>
  </si>
  <si>
    <t xml:space="preserve">1194 ADELAIDE AVE SE</t>
  </si>
  <si>
    <t xml:space="preserve">APT A</t>
  </si>
  <si>
    <t xml:space="preserve">OH0025338790</t>
  </si>
  <si>
    <t xml:space="preserve">OSTROW</t>
  </si>
  <si>
    <t xml:space="preserve">OWEN</t>
  </si>
  <si>
    <t xml:space="preserve">THOMAS</t>
  </si>
  <si>
    <t xml:space="preserve">2001-07-05</t>
  </si>
  <si>
    <t xml:space="preserve">2025-04-09</t>
  </si>
  <si>
    <t xml:space="preserve">OH0027141251</t>
  </si>
  <si>
    <t xml:space="preserve">WARFIELD</t>
  </si>
  <si>
    <t xml:space="preserve">MAKENZIE</t>
  </si>
  <si>
    <t xml:space="preserve">1999-11-28</t>
  </si>
  <si>
    <t xml:space="preserve">2023-11-07</t>
  </si>
  <si>
    <t xml:space="preserve">1364 ADELAIDE AVE SE</t>
  </si>
  <si>
    <t xml:space="preserve">WARREN CITY 4F</t>
  </si>
  <si>
    <t xml:space="preserve">78-P-ADN</t>
  </si>
  <si>
    <t xml:space="preserve">OH0022777076</t>
  </si>
  <si>
    <t xml:space="preserve">LALLI</t>
  </si>
  <si>
    <t xml:space="preserve">ASHLEY</t>
  </si>
  <si>
    <t xml:space="preserve">1996-04-19</t>
  </si>
  <si>
    <t xml:space="preserve">2020-06-08</t>
  </si>
  <si>
    <t xml:space="preserve">OH0015696569</t>
  </si>
  <si>
    <t xml:space="preserve">CAPERS</t>
  </si>
  <si>
    <t xml:space="preserve">LINDA</t>
  </si>
  <si>
    <t xml:space="preserve">1952-05-04</t>
  </si>
  <si>
    <t xml:space="preserve">1983-10-03</t>
  </si>
  <si>
    <t xml:space="preserve">146 ADELAIDE AVE SE</t>
  </si>
  <si>
    <t xml:space="preserve">OH0021813142</t>
  </si>
  <si>
    <t xml:space="preserve">MERLINO</t>
  </si>
  <si>
    <t xml:space="preserve">JOSHUA</t>
  </si>
  <si>
    <t xml:space="preserve">1980-08-29</t>
  </si>
  <si>
    <t xml:space="preserve">2022-07-21</t>
  </si>
  <si>
    <t xml:space="preserve">1508 ADELAIDE AVE SE</t>
  </si>
  <si>
    <t xml:space="preserve">OH0023756365</t>
  </si>
  <si>
    <t xml:space="preserve">ISENBERG</t>
  </si>
  <si>
    <t xml:space="preserve">SHANA</t>
  </si>
  <si>
    <t xml:space="preserve">MARIE</t>
  </si>
  <si>
    <t xml:space="preserve">1977-06-28</t>
  </si>
  <si>
    <t xml:space="preserve">2016-06-28</t>
  </si>
  <si>
    <t xml:space="preserve">1520 ADELAIDE AVE SE</t>
  </si>
  <si>
    <t xml:space="preserve">OH0025423292</t>
  </si>
  <si>
    <t xml:space="preserve">GROSCOPE</t>
  </si>
  <si>
    <t xml:space="preserve">HENRY</t>
  </si>
  <si>
    <t xml:space="preserve">JOSEPH LEE</t>
  </si>
  <si>
    <t xml:space="preserve">1993-12-19</t>
  </si>
  <si>
    <t xml:space="preserve">2020-09-17</t>
  </si>
  <si>
    <t xml:space="preserve">OH0025809936</t>
  </si>
  <si>
    <t xml:space="preserve">MASIKA</t>
  </si>
  <si>
    <t xml:space="preserve">KATHLEEN</t>
  </si>
  <si>
    <t xml:space="preserve">S</t>
  </si>
  <si>
    <t xml:space="preserve">1952-11-19</t>
  </si>
  <si>
    <t xml:space="preserve">2020-09-04</t>
  </si>
  <si>
    <t xml:space="preserve">1530 ADELAIDE AVE SE</t>
  </si>
  <si>
    <t xml:space="preserve">OH0026082447</t>
  </si>
  <si>
    <t xml:space="preserve">PHILLIPS</t>
  </si>
  <si>
    <t xml:space="preserve">ROBERT</t>
  </si>
  <si>
    <t xml:space="preserve">MICHAEL</t>
  </si>
  <si>
    <t xml:space="preserve">1986-04-04</t>
  </si>
  <si>
    <t xml:space="preserve">2021-10-02</t>
  </si>
  <si>
    <t xml:space="preserve">1542 ADELAIDE AVE SE</t>
  </si>
  <si>
    <t xml:space="preserve">OH0027567103</t>
  </si>
  <si>
    <t xml:space="preserve">IVERY</t>
  </si>
  <si>
    <t xml:space="preserve">ELAINA</t>
  </si>
  <si>
    <t xml:space="preserve">1967-06-01</t>
  </si>
  <si>
    <t xml:space="preserve">2024-08-06</t>
  </si>
  <si>
    <t xml:space="preserve">1554 ADELAIDE AVE SE</t>
  </si>
  <si>
    <t xml:space="preserve">OH0015742783</t>
  </si>
  <si>
    <t xml:space="preserve">HIGGINS</t>
  </si>
  <si>
    <t xml:space="preserve">RAECHELLE</t>
  </si>
  <si>
    <t xml:space="preserve">1971-11-29</t>
  </si>
  <si>
    <t xml:space="preserve">2018-06-18</t>
  </si>
  <si>
    <t xml:space="preserve">OH0027951651</t>
  </si>
  <si>
    <t xml:space="preserve">VIGORITO</t>
  </si>
  <si>
    <t xml:space="preserve">CHRISTOPHER</t>
  </si>
  <si>
    <t xml:space="preserve">MICHEAL</t>
  </si>
  <si>
    <t xml:space="preserve">1991-04-21</t>
  </si>
  <si>
    <t xml:space="preserve">2025-04-24</t>
  </si>
  <si>
    <t xml:space="preserve">156 ADELAIDE AVE SE</t>
  </si>
  <si>
    <t xml:space="preserve">APT B</t>
  </si>
  <si>
    <t xml:space="preserve">OH0020292132</t>
  </si>
  <si>
    <t xml:space="preserve">SUMMERLIN</t>
  </si>
  <si>
    <t xml:space="preserve">SHANITA</t>
  </si>
  <si>
    <t xml:space="preserve">1988-01-28</t>
  </si>
  <si>
    <t xml:space="preserve">2024-11-02</t>
  </si>
  <si>
    <t xml:space="preserve">1596 ADELAIDE AVE SE</t>
  </si>
  <si>
    <t xml:space="preserve">OH0015701406</t>
  </si>
  <si>
    <t xml:space="preserve">BRYANT CULLINS</t>
  </si>
  <si>
    <t xml:space="preserve">LIEBCHEN</t>
  </si>
  <si>
    <t xml:space="preserve">C</t>
  </si>
  <si>
    <t xml:space="preserve">1962-08-03</t>
  </si>
  <si>
    <t xml:space="preserve">2021-03-08</t>
  </si>
  <si>
    <t xml:space="preserve">1614 ADELAIDE AVE SE</t>
  </si>
  <si>
    <t xml:space="preserve">OH0015689270</t>
  </si>
  <si>
    <t xml:space="preserve">CULLINS</t>
  </si>
  <si>
    <t xml:space="preserve">RONNIE</t>
  </si>
  <si>
    <t xml:space="preserve">JR</t>
  </si>
  <si>
    <t xml:space="preserve">1973-08-27</t>
  </si>
  <si>
    <t xml:space="preserve">2006-09-28</t>
  </si>
  <si>
    <t xml:space="preserve">OH0023646101</t>
  </si>
  <si>
    <t xml:space="preserve">REMI</t>
  </si>
  <si>
    <t xml:space="preserve">MONEY</t>
  </si>
  <si>
    <t xml:space="preserve">1998-05-16</t>
  </si>
  <si>
    <t xml:space="preserve">2016-04-04</t>
  </si>
  <si>
    <t xml:space="preserve">OH0021754611</t>
  </si>
  <si>
    <t xml:space="preserve">HERBERT</t>
  </si>
  <si>
    <t xml:space="preserve">WILLIAM</t>
  </si>
  <si>
    <t xml:space="preserve">J</t>
  </si>
  <si>
    <t xml:space="preserve">1962-10-11</t>
  </si>
  <si>
    <t xml:space="preserve">2020-09-06</t>
  </si>
  <si>
    <t xml:space="preserve">1624 ADELAIDE AVE SE</t>
  </si>
  <si>
    <t xml:space="preserve">OH0015799749</t>
  </si>
  <si>
    <t xml:space="preserve">GILMORE</t>
  </si>
  <si>
    <t xml:space="preserve">JOHN</t>
  </si>
  <si>
    <t xml:space="preserve">1957-12-24</t>
  </si>
  <si>
    <t xml:space="preserve">1976-05-04</t>
  </si>
  <si>
    <t xml:space="preserve">166 ADELAIDE AVE SE</t>
  </si>
  <si>
    <t xml:space="preserve">OH0018603618</t>
  </si>
  <si>
    <t xml:space="preserve">1986-09-19</t>
  </si>
  <si>
    <t xml:space="preserve">2005-10-13</t>
  </si>
  <si>
    <t xml:space="preserve">OH0015694963</t>
  </si>
  <si>
    <t xml:space="preserve">TONI</t>
  </si>
  <si>
    <t xml:space="preserve">1958-08-17</t>
  </si>
  <si>
    <t xml:space="preserve">1982-08-28</t>
  </si>
  <si>
    <t xml:space="preserve">OH0022687958</t>
  </si>
  <si>
    <t xml:space="preserve">LAWYER</t>
  </si>
  <si>
    <t xml:space="preserve">TIFFANY</t>
  </si>
  <si>
    <t xml:space="preserve">1987-05-29</t>
  </si>
  <si>
    <t xml:space="preserve">2014-02-15</t>
  </si>
  <si>
    <t xml:space="preserve">176 ADELAIDE AVE SE</t>
  </si>
  <si>
    <t xml:space="preserve">OH0024253127</t>
  </si>
  <si>
    <t xml:space="preserve">BREWER</t>
  </si>
  <si>
    <t xml:space="preserve">ISABELLA</t>
  </si>
  <si>
    <t xml:space="preserve">LOUISE</t>
  </si>
  <si>
    <t xml:space="preserve">1999-09-02</t>
  </si>
  <si>
    <t xml:space="preserve">2024-11-09</t>
  </si>
  <si>
    <t xml:space="preserve">196 ADELAIDE AVE SE</t>
  </si>
  <si>
    <t xml:space="preserve">OH0025949711</t>
  </si>
  <si>
    <t xml:space="preserve">NOLAN</t>
  </si>
  <si>
    <t xml:space="preserve">EDWARD</t>
  </si>
  <si>
    <t xml:space="preserve">1964-12-06</t>
  </si>
  <si>
    <t xml:space="preserve">2023-07-09</t>
  </si>
  <si>
    <t xml:space="preserve">206 ADELAIDE AVE SE</t>
  </si>
  <si>
    <t xml:space="preserve">OH0025220664</t>
  </si>
  <si>
    <t xml:space="preserve">P</t>
  </si>
  <si>
    <t xml:space="preserve">1988-03-16</t>
  </si>
  <si>
    <t xml:space="preserve">2021-06-01</t>
  </si>
  <si>
    <t xml:space="preserve">OH0015723708</t>
  </si>
  <si>
    <t xml:space="preserve">ANDREWS MOORE</t>
  </si>
  <si>
    <t xml:space="preserve">SUSAN</t>
  </si>
  <si>
    <t xml:space="preserve">1970-05-11</t>
  </si>
  <si>
    <t xml:space="preserve">1988-05-13</t>
  </si>
  <si>
    <t xml:space="preserve">216 ADELAIDE AVE SE</t>
  </si>
  <si>
    <t xml:space="preserve">OH0020848047</t>
  </si>
  <si>
    <t xml:space="preserve">BLUEDORN</t>
  </si>
  <si>
    <t xml:space="preserve">SARA</t>
  </si>
  <si>
    <t xml:space="preserve">FLANNERY</t>
  </si>
  <si>
    <t xml:space="preserve">1991-07-05</t>
  </si>
  <si>
    <t xml:space="preserve">2015-11-29</t>
  </si>
  <si>
    <t xml:space="preserve">226 ADELAIDE AVE SE</t>
  </si>
  <si>
    <t xml:space="preserve">OH0019480124</t>
  </si>
  <si>
    <t xml:space="preserve">JAMES</t>
  </si>
  <si>
    <t xml:space="preserve">1989-09-22</t>
  </si>
  <si>
    <t xml:space="preserve">2014-12-10</t>
  </si>
  <si>
    <t xml:space="preserve">OH0027521663</t>
  </si>
  <si>
    <t xml:space="preserve">GONZALEZ</t>
  </si>
  <si>
    <t xml:space="preserve">CAMILA</t>
  </si>
  <si>
    <t xml:space="preserve">1996-05-15</t>
  </si>
  <si>
    <t xml:space="preserve">2024-08-21</t>
  </si>
  <si>
    <t xml:space="preserve">246 ADELAIDE AVE SE</t>
  </si>
  <si>
    <t xml:space="preserve">OH0023489023</t>
  </si>
  <si>
    <t xml:space="preserve">RILEY</t>
  </si>
  <si>
    <t xml:space="preserve">JOANNA</t>
  </si>
  <si>
    <t xml:space="preserve">LEA</t>
  </si>
  <si>
    <t xml:space="preserve">1998-09-25</t>
  </si>
  <si>
    <t xml:space="preserve">2024-06-21</t>
  </si>
  <si>
    <t xml:space="preserve">304 ADELAIDE AVE SE</t>
  </si>
  <si>
    <t xml:space="preserve">OH0027473893</t>
  </si>
  <si>
    <t xml:space="preserve">JAVIER</t>
  </si>
  <si>
    <t xml:space="preserve">JESUS</t>
  </si>
  <si>
    <t xml:space="preserve">1996-07-19</t>
  </si>
  <si>
    <t xml:space="preserve">2024-08-01</t>
  </si>
  <si>
    <t xml:space="preserve">OH0027789043</t>
  </si>
  <si>
    <t xml:space="preserve">COTTO CANCEL</t>
  </si>
  <si>
    <t xml:space="preserve">JOELIANYS</t>
  </si>
  <si>
    <t xml:space="preserve">1998-10-03</t>
  </si>
  <si>
    <t xml:space="preserve">2024-11-05</t>
  </si>
  <si>
    <t xml:space="preserve">314 ADELAIDE AVE SE</t>
  </si>
  <si>
    <t xml:space="preserve">OH0027613019</t>
  </si>
  <si>
    <t xml:space="preserve">TORRES</t>
  </si>
  <si>
    <t xml:space="preserve">KRYSTIBREA</t>
  </si>
  <si>
    <t xml:space="preserve">ANGELINA</t>
  </si>
  <si>
    <t xml:space="preserve">1996-09-27</t>
  </si>
  <si>
    <t xml:space="preserve">2024-09-17</t>
  </si>
  <si>
    <t xml:space="preserve">OH0023960957</t>
  </si>
  <si>
    <t xml:space="preserve">BELL</t>
  </si>
  <si>
    <t xml:space="preserve">ANIS</t>
  </si>
  <si>
    <t xml:space="preserve">YEANNE</t>
  </si>
  <si>
    <t xml:space="preserve">1979-08-10</t>
  </si>
  <si>
    <t xml:space="preserve">OH0023890265</t>
  </si>
  <si>
    <t xml:space="preserve">OFORI</t>
  </si>
  <si>
    <t xml:space="preserve">ANITA</t>
  </si>
  <si>
    <t xml:space="preserve">1981-11-02</t>
  </si>
  <si>
    <t xml:space="preserve">2022-12-22</t>
  </si>
  <si>
    <t xml:space="preserve">324 ADELAIDE AVE SE</t>
  </si>
  <si>
    <t xml:space="preserve">OH0023890230</t>
  </si>
  <si>
    <t xml:space="preserve">RYAN</t>
  </si>
  <si>
    <t xml:space="preserve">DOUGLAS</t>
  </si>
  <si>
    <t xml:space="preserve">1955-11-24</t>
  </si>
  <si>
    <t xml:space="preserve">2022-05-27</t>
  </si>
  <si>
    <t xml:space="preserve">OH0015676669</t>
  </si>
  <si>
    <t xml:space="preserve">RIESER</t>
  </si>
  <si>
    <t xml:space="preserve">1954-10-17</t>
  </si>
  <si>
    <t xml:space="preserve">2011-10-31</t>
  </si>
  <si>
    <t xml:space="preserve">334 ADELAIDE AVE SE</t>
  </si>
  <si>
    <t xml:space="preserve">OH0015764636</t>
  </si>
  <si>
    <t xml:space="preserve">FOX</t>
  </si>
  <si>
    <t xml:space="preserve">SAMUEL</t>
  </si>
  <si>
    <t xml:space="preserve">1952-01-19</t>
  </si>
  <si>
    <t xml:space="preserve">2020-10-21</t>
  </si>
  <si>
    <t xml:space="preserve">354 ADELAIDE AVE SE</t>
  </si>
  <si>
    <t xml:space="preserve">OH0025584407</t>
  </si>
  <si>
    <t xml:space="preserve">SMOCK</t>
  </si>
  <si>
    <t xml:space="preserve">JENNIE</t>
  </si>
  <si>
    <t xml:space="preserve">LYN</t>
  </si>
  <si>
    <t xml:space="preserve">1975-03-09</t>
  </si>
  <si>
    <t xml:space="preserve">2024-03-13</t>
  </si>
  <si>
    <t xml:space="preserve">OH0027910003</t>
  </si>
  <si>
    <t xml:space="preserve">BRYANT</t>
  </si>
  <si>
    <t xml:space="preserve">DEVON</t>
  </si>
  <si>
    <t xml:space="preserve">1983-08-28</t>
  </si>
  <si>
    <t xml:space="preserve">2025-03-03</t>
  </si>
  <si>
    <t xml:space="preserve">384 ADELAIDE AVE SE</t>
  </si>
  <si>
    <t xml:space="preserve">OH0027595730</t>
  </si>
  <si>
    <t xml:space="preserve">HOWARD</t>
  </si>
  <si>
    <t xml:space="preserve">GERALD</t>
  </si>
  <si>
    <t xml:space="preserve">2003-09-12</t>
  </si>
  <si>
    <t xml:space="preserve">2024-09-11</t>
  </si>
  <si>
    <t xml:space="preserve">OH0027927425</t>
  </si>
  <si>
    <t xml:space="preserve">WRIGHT</t>
  </si>
  <si>
    <t xml:space="preserve">TAIKEEYAH</t>
  </si>
  <si>
    <t xml:space="preserve">2000-12-04</t>
  </si>
  <si>
    <t xml:space="preserve">2025-03-26</t>
  </si>
  <si>
    <t xml:space="preserve">OH0015733484</t>
  </si>
  <si>
    <t xml:space="preserve">MANLEY</t>
  </si>
  <si>
    <t xml:space="preserve">ANTIONETTA</t>
  </si>
  <si>
    <t xml:space="preserve">1952-11-17</t>
  </si>
  <si>
    <t xml:space="preserve">2016-07-20</t>
  </si>
  <si>
    <t xml:space="preserve">394 ADELAIDE AVE SE</t>
  </si>
  <si>
    <t xml:space="preserve">OH0025640781</t>
  </si>
  <si>
    <t xml:space="preserve">EVANS</t>
  </si>
  <si>
    <t xml:space="preserve">JENNIFER</t>
  </si>
  <si>
    <t xml:space="preserve">1969-05-28</t>
  </si>
  <si>
    <t xml:space="preserve">2020-06-27</t>
  </si>
  <si>
    <t xml:space="preserve">404 ADELAIDE AVE SE</t>
  </si>
  <si>
    <t xml:space="preserve">OH0025964022</t>
  </si>
  <si>
    <t xml:space="preserve">WHITEMAN</t>
  </si>
  <si>
    <t xml:space="preserve">RAYMOND</t>
  </si>
  <si>
    <t xml:space="preserve">II</t>
  </si>
  <si>
    <t xml:space="preserve">1998-10-09</t>
  </si>
  <si>
    <t xml:space="preserve">2020-10-05</t>
  </si>
  <si>
    <t xml:space="preserve">OH0023337864</t>
  </si>
  <si>
    <t xml:space="preserve">GANNON</t>
  </si>
  <si>
    <t xml:space="preserve">RACHEL</t>
  </si>
  <si>
    <t xml:space="preserve">1981-11-22</t>
  </si>
  <si>
    <t xml:space="preserve">2015-09-16</t>
  </si>
  <si>
    <t xml:space="preserve">538 ADELAIDE AVE SE</t>
  </si>
  <si>
    <t xml:space="preserve">OH0015728783</t>
  </si>
  <si>
    <t xml:space="preserve">SNAREY</t>
  </si>
  <si>
    <t xml:space="preserve">CHRISTINE</t>
  </si>
  <si>
    <t xml:space="preserve">1971-03-27</t>
  </si>
  <si>
    <t xml:space="preserve">1989-03-22</t>
  </si>
  <si>
    <t xml:space="preserve">558 ADELAIDE AVE SE</t>
  </si>
  <si>
    <t xml:space="preserve">OH0015707138</t>
  </si>
  <si>
    <t xml:space="preserve">CHRISTIE</t>
  </si>
  <si>
    <t xml:space="preserve">DIANNA</t>
  </si>
  <si>
    <t xml:space="preserve">1961-11-02</t>
  </si>
  <si>
    <t xml:space="preserve">1984-10-09</t>
  </si>
  <si>
    <t xml:space="preserve">568 ADELAIDE AVE SE</t>
  </si>
  <si>
    <t xml:space="preserve">OH0026137498</t>
  </si>
  <si>
    <t xml:space="preserve">HUGHES</t>
  </si>
  <si>
    <t xml:space="preserve">OLIVIA</t>
  </si>
  <si>
    <t xml:space="preserve">ROSE</t>
  </si>
  <si>
    <t xml:space="preserve">1997-01-21</t>
  </si>
  <si>
    <t xml:space="preserve">2024-06-27</t>
  </si>
  <si>
    <t xml:space="preserve">578 ADELAIDE AVE SE</t>
  </si>
  <si>
    <t xml:space="preserve">OH0021687931</t>
  </si>
  <si>
    <t xml:space="preserve">SETH</t>
  </si>
  <si>
    <t xml:space="preserve">1994-08-19</t>
  </si>
  <si>
    <t xml:space="preserve">2024-06-11</t>
  </si>
  <si>
    <t xml:space="preserve">OH0024049037</t>
  </si>
  <si>
    <t xml:space="preserve">PARKER</t>
  </si>
  <si>
    <t xml:space="preserve">TJ</t>
  </si>
  <si>
    <t xml:space="preserve">MATHEW</t>
  </si>
  <si>
    <t xml:space="preserve">1982-12-01</t>
  </si>
  <si>
    <t xml:space="preserve">2020-10-20</t>
  </si>
  <si>
    <t xml:space="preserve">OH0021685447</t>
  </si>
  <si>
    <t xml:space="preserve">NOVOTNY</t>
  </si>
  <si>
    <t xml:space="preserve">DESTINEE</t>
  </si>
  <si>
    <t xml:space="preserve">NICOLE</t>
  </si>
  <si>
    <t xml:space="preserve">1994-08-31</t>
  </si>
  <si>
    <t xml:space="preserve">OH0015687498</t>
  </si>
  <si>
    <t xml:space="preserve">KOSELA</t>
  </si>
  <si>
    <t xml:space="preserve">HALINA</t>
  </si>
  <si>
    <t xml:space="preserve">B</t>
  </si>
  <si>
    <t xml:space="preserve">1949-07-21</t>
  </si>
  <si>
    <t xml:space="preserve">1975-09-30</t>
  </si>
  <si>
    <t xml:space="preserve">598 ADELAIDE AVE SE</t>
  </si>
  <si>
    <t xml:space="preserve">OH0022720602</t>
  </si>
  <si>
    <t xml:space="preserve">BAUGH</t>
  </si>
  <si>
    <t xml:space="preserve">1985-09-27</t>
  </si>
  <si>
    <t xml:space="preserve">2021-09-27</t>
  </si>
  <si>
    <t xml:space="preserve">608 ADELAIDE AVE SE</t>
  </si>
  <si>
    <t xml:space="preserve">OH0023311293</t>
  </si>
  <si>
    <t xml:space="preserve">MEADE</t>
  </si>
  <si>
    <t xml:space="preserve">1986-04-26</t>
  </si>
  <si>
    <t xml:space="preserve">2024-08-07</t>
  </si>
  <si>
    <t xml:space="preserve">OH0027418276</t>
  </si>
  <si>
    <t xml:space="preserve">PENDLAND</t>
  </si>
  <si>
    <t xml:space="preserve">CONCIENNA</t>
  </si>
  <si>
    <t xml:space="preserve">2005-12-21</t>
  </si>
  <si>
    <t xml:space="preserve">2024-06-22</t>
  </si>
  <si>
    <t xml:space="preserve">OH0024990885</t>
  </si>
  <si>
    <t xml:space="preserve">TIMOTHY</t>
  </si>
  <si>
    <t xml:space="preserve">MICHAEL DENTEN</t>
  </si>
  <si>
    <t xml:space="preserve">1989-04-14</t>
  </si>
  <si>
    <t xml:space="preserve">2018-10-16</t>
  </si>
  <si>
    <t xml:space="preserve">618 ADELAIDE AVE SE</t>
  </si>
  <si>
    <t xml:space="preserve">OH0024990891</t>
  </si>
  <si>
    <t xml:space="preserve">APRIL</t>
  </si>
  <si>
    <t xml:space="preserve">1991-04-09</t>
  </si>
  <si>
    <t xml:space="preserve">OH0015818898</t>
  </si>
  <si>
    <t xml:space="preserve">HYDE</t>
  </si>
  <si>
    <t xml:space="preserve">SHAWN</t>
  </si>
  <si>
    <t xml:space="preserve">1967-09-19</t>
  </si>
  <si>
    <t xml:space="preserve">2022-08-22</t>
  </si>
  <si>
    <t xml:space="preserve">716 ADELAIDE AVE SE</t>
  </si>
  <si>
    <t xml:space="preserve">OH0026205979</t>
  </si>
  <si>
    <t xml:space="preserve">ANDERSON</t>
  </si>
  <si>
    <t xml:space="preserve">HOLLY</t>
  </si>
  <si>
    <t xml:space="preserve">ELIZABETH</t>
  </si>
  <si>
    <t xml:space="preserve">2002-12-30</t>
  </si>
  <si>
    <t xml:space="preserve">2024-10-01</t>
  </si>
  <si>
    <t xml:space="preserve">OH0015814026</t>
  </si>
  <si>
    <t xml:space="preserve">EDWARDS</t>
  </si>
  <si>
    <t xml:space="preserve">LAURA</t>
  </si>
  <si>
    <t xml:space="preserve">1969-09-03</t>
  </si>
  <si>
    <t xml:space="preserve">2018-07-20</t>
  </si>
  <si>
    <t xml:space="preserve">OH0022799845</t>
  </si>
  <si>
    <t xml:space="preserve">SEALS</t>
  </si>
  <si>
    <t xml:space="preserve">FALON</t>
  </si>
  <si>
    <t xml:space="preserve">1995-04-06</t>
  </si>
  <si>
    <t xml:space="preserve">2023-11-28</t>
  </si>
  <si>
    <t xml:space="preserve">726 ADELAIDE AVE SE</t>
  </si>
  <si>
    <t xml:space="preserve">OH0022640787</t>
  </si>
  <si>
    <t xml:space="preserve">1993-10-07</t>
  </si>
  <si>
    <t xml:space="preserve">2023-01-25</t>
  </si>
  <si>
    <t xml:space="preserve">OH0026251337</t>
  </si>
  <si>
    <t xml:space="preserve">KAITLYN</t>
  </si>
  <si>
    <t xml:space="preserve">2003-06-09</t>
  </si>
  <si>
    <t xml:space="preserve">2025-06-07</t>
  </si>
  <si>
    <t xml:space="preserve">746 ADELAIDE AVE SE</t>
  </si>
  <si>
    <t xml:space="preserve">OH0023228612</t>
  </si>
  <si>
    <t xml:space="preserve">KISH</t>
  </si>
  <si>
    <t xml:space="preserve">STEVE</t>
  </si>
  <si>
    <t xml:space="preserve">GEORGE</t>
  </si>
  <si>
    <t xml:space="preserve">1996-09-28</t>
  </si>
  <si>
    <t xml:space="preserve">2020-02-12</t>
  </si>
  <si>
    <t xml:space="preserve">766 ADELAIDE AVE SE</t>
  </si>
  <si>
    <t xml:space="preserve">OH0025716667</t>
  </si>
  <si>
    <t xml:space="preserve">PLACER</t>
  </si>
  <si>
    <t xml:space="preserve">DONNA</t>
  </si>
  <si>
    <t xml:space="preserve">1969-05-20</t>
  </si>
  <si>
    <t xml:space="preserve">2022-08-09</t>
  </si>
  <si>
    <t xml:space="preserve">904 ADELAIDE AVE SE</t>
  </si>
  <si>
    <t xml:space="preserve">OH0027222171</t>
  </si>
  <si>
    <t xml:space="preserve">BENJAMIN</t>
  </si>
  <si>
    <t xml:space="preserve">GABRIEL</t>
  </si>
  <si>
    <t xml:space="preserve">2005-12-12</t>
  </si>
  <si>
    <t xml:space="preserve">2024-01-16</t>
  </si>
  <si>
    <t xml:space="preserve">OH0016033188</t>
  </si>
  <si>
    <t xml:space="preserve">HADZIGEORGE</t>
  </si>
  <si>
    <t xml:space="preserve">I</t>
  </si>
  <si>
    <t xml:space="preserve">1958-05-16</t>
  </si>
  <si>
    <t xml:space="preserve">2015-09-02</t>
  </si>
  <si>
    <t xml:space="preserve">916 ADELAIDE AVE SE</t>
  </si>
  <si>
    <t xml:space="preserve">OH0019538050</t>
  </si>
  <si>
    <t xml:space="preserve">SEVA</t>
  </si>
  <si>
    <t xml:space="preserve">G</t>
  </si>
  <si>
    <t xml:space="preserve">1990-01-26</t>
  </si>
  <si>
    <t xml:space="preserve">2015-08-23</t>
  </si>
  <si>
    <t xml:space="preserve">OH0020884493</t>
  </si>
  <si>
    <t xml:space="preserve">TINA</t>
  </si>
  <si>
    <t xml:space="preserve">1966-04-17</t>
  </si>
  <si>
    <t xml:space="preserve">2022-04-14</t>
  </si>
  <si>
    <t xml:space="preserve">OH0026238957</t>
  </si>
  <si>
    <t xml:space="preserve">NORIEGA</t>
  </si>
  <si>
    <t xml:space="preserve">DENISE</t>
  </si>
  <si>
    <t xml:space="preserve">ALMA</t>
  </si>
  <si>
    <t xml:space="preserve">1997-10-21</t>
  </si>
  <si>
    <t xml:space="preserve">2021-07-20</t>
  </si>
  <si>
    <t xml:space="preserve">926 ADELAIDE AVE SE</t>
  </si>
  <si>
    <t xml:space="preserve">OH0023016158</t>
  </si>
  <si>
    <t xml:space="preserve">FREDERICK</t>
  </si>
  <si>
    <t xml:space="preserve">SUMMER</t>
  </si>
  <si>
    <t xml:space="preserve">1996-07-06</t>
  </si>
  <si>
    <t xml:space="preserve">2024-05-04</t>
  </si>
  <si>
    <t xml:space="preserve">936 ADELAIDE AVE SE</t>
  </si>
  <si>
    <t xml:space="preserve">OH0018670395</t>
  </si>
  <si>
    <t xml:space="preserve">NELSON</t>
  </si>
  <si>
    <t xml:space="preserve">STELLA</t>
  </si>
  <si>
    <t xml:space="preserve">1988-02-20</t>
  </si>
  <si>
    <t xml:space="preserve">2018-02-01</t>
  </si>
  <si>
    <t xml:space="preserve">946 ADELAIDE AVE SE</t>
  </si>
  <si>
    <t xml:space="preserve">OH0021229136</t>
  </si>
  <si>
    <t xml:space="preserve">JASON</t>
  </si>
  <si>
    <t xml:space="preserve">1975-12-13</t>
  </si>
  <si>
    <t xml:space="preserve">OH0027497292</t>
  </si>
  <si>
    <t xml:space="preserve">ADAMS</t>
  </si>
  <si>
    <t xml:space="preserve">KEITH</t>
  </si>
  <si>
    <t xml:space="preserve">1996-01-08</t>
  </si>
  <si>
    <t xml:space="preserve">2024-08-02</t>
  </si>
  <si>
    <t xml:space="preserve">986 ADELAIDE AVE SE</t>
  </si>
  <si>
    <t xml:space="preserve">OH0022648216</t>
  </si>
  <si>
    <t xml:space="preserve">MILLS</t>
  </si>
  <si>
    <t xml:space="preserve">TAIJANIQUE</t>
  </si>
  <si>
    <t xml:space="preserve">SAMARA QVONNE</t>
  </si>
  <si>
    <t xml:space="preserve">1995-03-31</t>
  </si>
  <si>
    <t xml:space="preserve">2019-04-04</t>
  </si>
  <si>
    <t xml:space="preserve">OH0020963854</t>
  </si>
  <si>
    <t xml:space="preserve">JORDAN</t>
  </si>
  <si>
    <t xml:space="preserve">GINGER</t>
  </si>
  <si>
    <t xml:space="preserve">Y</t>
  </si>
  <si>
    <t xml:space="preserve">1966-01-23</t>
  </si>
  <si>
    <t xml:space="preserve">2017-01-26</t>
  </si>
  <si>
    <t xml:space="preserve">786 ATLANTIC ST NE</t>
  </si>
  <si>
    <t xml:space="preserve">WARREN CITY 4D</t>
  </si>
  <si>
    <t xml:space="preserve">78-P-ADL</t>
  </si>
  <si>
    <t xml:space="preserve">OH0026168354</t>
  </si>
  <si>
    <t xml:space="preserve">HALL</t>
  </si>
  <si>
    <t xml:space="preserve">ANTHONY</t>
  </si>
  <si>
    <t xml:space="preserve">1971-05-05</t>
  </si>
  <si>
    <t xml:space="preserve">2021-03-27</t>
  </si>
  <si>
    <t xml:space="preserve">OH0024034572</t>
  </si>
  <si>
    <t xml:space="preserve">LEVELLE</t>
  </si>
  <si>
    <t xml:space="preserve">SANDRA</t>
  </si>
  <si>
    <t xml:space="preserve">1948-09-07</t>
  </si>
  <si>
    <t xml:space="preserve">2016-10-05</t>
  </si>
  <si>
    <t xml:space="preserve">802 ATLANTIC ST NE</t>
  </si>
  <si>
    <t xml:space="preserve">OH0015788642</t>
  </si>
  <si>
    <t xml:space="preserve">REEL</t>
  </si>
  <si>
    <t xml:space="preserve">RANDY</t>
  </si>
  <si>
    <t xml:space="preserve">K</t>
  </si>
  <si>
    <t xml:space="preserve">1961-06-22</t>
  </si>
  <si>
    <t xml:space="preserve">2016-07-05</t>
  </si>
  <si>
    <t xml:space="preserve">810 ATLANTIC ST NE</t>
  </si>
  <si>
    <t xml:space="preserve">OH0015707748</t>
  </si>
  <si>
    <t xml:space="preserve">DEBRA</t>
  </si>
  <si>
    <t xml:space="preserve">1965-11-26</t>
  </si>
  <si>
    <t xml:space="preserve">OH0023016161</t>
  </si>
  <si>
    <t xml:space="preserve">PARONISH MCNABB</t>
  </si>
  <si>
    <t xml:space="preserve">JUANITA</t>
  </si>
  <si>
    <t xml:space="preserve">1982-06-04</t>
  </si>
  <si>
    <t xml:space="preserve">2019-06-22</t>
  </si>
  <si>
    <t xml:space="preserve">830 ATLANTIC ST NE</t>
  </si>
  <si>
    <t xml:space="preserve">OH0022239724</t>
  </si>
  <si>
    <t xml:space="preserve">MACH</t>
  </si>
  <si>
    <t xml:space="preserve">EUGENE</t>
  </si>
  <si>
    <t xml:space="preserve">T</t>
  </si>
  <si>
    <t xml:space="preserve">1969-06-03</t>
  </si>
  <si>
    <t xml:space="preserve">2020-11-23</t>
  </si>
  <si>
    <t xml:space="preserve">OH0020061719</t>
  </si>
  <si>
    <t xml:space="preserve">SMITH</t>
  </si>
  <si>
    <t xml:space="preserve">MONIQUE</t>
  </si>
  <si>
    <t xml:space="preserve">1978-08-14</t>
  </si>
  <si>
    <t xml:space="preserve">2016-07-19</t>
  </si>
  <si>
    <t xml:space="preserve">840 ATLANTIC ST NE</t>
  </si>
  <si>
    <t xml:space="preserve">OH0024252014</t>
  </si>
  <si>
    <t xml:space="preserve">COBBINS</t>
  </si>
  <si>
    <t xml:space="preserve">TYLER</t>
  </si>
  <si>
    <t xml:space="preserve">1999-06-29</t>
  </si>
  <si>
    <t xml:space="preserve">2018-05-01</t>
  </si>
  <si>
    <t xml:space="preserve">OH0015805820</t>
  </si>
  <si>
    <t xml:space="preserve">FIKE</t>
  </si>
  <si>
    <t xml:space="preserve">JUDY</t>
  </si>
  <si>
    <t xml:space="preserve">1972-05-18</t>
  </si>
  <si>
    <t xml:space="preserve">2003-09-15</t>
  </si>
  <si>
    <t xml:space="preserve">1205 BELLE ST SE</t>
  </si>
  <si>
    <t xml:space="preserve">OH0022391493</t>
  </si>
  <si>
    <t xml:space="preserve">IVINSKAS</t>
  </si>
  <si>
    <t xml:space="preserve">KASSANDRA</t>
  </si>
  <si>
    <t xml:space="preserve">1993-04-20</t>
  </si>
  <si>
    <t xml:space="preserve">OH0015685602</t>
  </si>
  <si>
    <t xml:space="preserve">FISHER</t>
  </si>
  <si>
    <t xml:space="preserve">PAMELA</t>
  </si>
  <si>
    <t xml:space="preserve">F</t>
  </si>
  <si>
    <t xml:space="preserve">1952-08-23</t>
  </si>
  <si>
    <t xml:space="preserve">2004-01-29</t>
  </si>
  <si>
    <t xml:space="preserve">1214 BELLE ST SE</t>
  </si>
  <si>
    <t xml:space="preserve">OH0021843573</t>
  </si>
  <si>
    <t xml:space="preserve">WHITE</t>
  </si>
  <si>
    <t xml:space="preserve">DAVID</t>
  </si>
  <si>
    <t xml:space="preserve">1994-02-15</t>
  </si>
  <si>
    <t xml:space="preserve">2023-03-28</t>
  </si>
  <si>
    <t xml:space="preserve">1219 BELLE ST SE</t>
  </si>
  <si>
    <t xml:space="preserve">OH0022208944</t>
  </si>
  <si>
    <t xml:space="preserve">OLIVER</t>
  </si>
  <si>
    <t xml:space="preserve">RIYON</t>
  </si>
  <si>
    <t xml:space="preserve">1994-03-10</t>
  </si>
  <si>
    <t xml:space="preserve">2016-12-08</t>
  </si>
  <si>
    <t xml:space="preserve">OH0027952079</t>
  </si>
  <si>
    <t xml:space="preserve">ZION</t>
  </si>
  <si>
    <t xml:space="preserve">ORNEIL</t>
  </si>
  <si>
    <t xml:space="preserve">2007-04-25</t>
  </si>
  <si>
    <t xml:space="preserve">2025-05-10</t>
  </si>
  <si>
    <t xml:space="preserve">1224 BELLE ST SE</t>
  </si>
  <si>
    <t xml:space="preserve">OH0015706781</t>
  </si>
  <si>
    <t xml:space="preserve">JETER</t>
  </si>
  <si>
    <t xml:space="preserve">KIMBERLY</t>
  </si>
  <si>
    <t xml:space="preserve">1959-08-25</t>
  </si>
  <si>
    <t xml:space="preserve">2006-10-10</t>
  </si>
  <si>
    <t xml:space="preserve">OH0022881803</t>
  </si>
  <si>
    <t xml:space="preserve">PATTERSON</t>
  </si>
  <si>
    <t xml:space="preserve">DEION</t>
  </si>
  <si>
    <t xml:space="preserve">TERRELL</t>
  </si>
  <si>
    <t xml:space="preserve">1996-06-16</t>
  </si>
  <si>
    <t xml:space="preserve">2014-08-07</t>
  </si>
  <si>
    <t xml:space="preserve">OH0015742297</t>
  </si>
  <si>
    <t xml:space="preserve">SANDERS</t>
  </si>
  <si>
    <t xml:space="preserve">FRANCES</t>
  </si>
  <si>
    <t xml:space="preserve">1968-08-03</t>
  </si>
  <si>
    <t xml:space="preserve">2008-09-22</t>
  </si>
  <si>
    <t xml:space="preserve">1225 BELLE ST SE</t>
  </si>
  <si>
    <t xml:space="preserve">OH0026156094</t>
  </si>
  <si>
    <t xml:space="preserve">ANDREA</t>
  </si>
  <si>
    <t xml:space="preserve">2001-06-28</t>
  </si>
  <si>
    <t xml:space="preserve">2023-08-15</t>
  </si>
  <si>
    <t xml:space="preserve">OH0024735775</t>
  </si>
  <si>
    <t xml:space="preserve">ANDRE</t>
  </si>
  <si>
    <t xml:space="preserve">1971-09-03</t>
  </si>
  <si>
    <t xml:space="preserve">2022-10-15</t>
  </si>
  <si>
    <t xml:space="preserve">1227 BELLE ST SE</t>
  </si>
  <si>
    <t xml:space="preserve">OH0026114649</t>
  </si>
  <si>
    <t xml:space="preserve">BROWN</t>
  </si>
  <si>
    <t xml:space="preserve">DEVONNE</t>
  </si>
  <si>
    <t xml:space="preserve">LAMAR</t>
  </si>
  <si>
    <t xml:space="preserve">1977-10-14</t>
  </si>
  <si>
    <t xml:space="preserve">2020-12-04</t>
  </si>
  <si>
    <t xml:space="preserve">1234 BELLE ST SE</t>
  </si>
  <si>
    <t xml:space="preserve">OH0023486810</t>
  </si>
  <si>
    <t xml:space="preserve">KRASKE</t>
  </si>
  <si>
    <t xml:space="preserve">JEFFRY</t>
  </si>
  <si>
    <t xml:space="preserve">ALLEN</t>
  </si>
  <si>
    <t xml:space="preserve">1972-05-07</t>
  </si>
  <si>
    <t xml:space="preserve">2016-01-15</t>
  </si>
  <si>
    <t xml:space="preserve">OH0023271607</t>
  </si>
  <si>
    <t xml:space="preserve">HERR</t>
  </si>
  <si>
    <t xml:space="preserve">CINDY</t>
  </si>
  <si>
    <t xml:space="preserve">1958-12-26</t>
  </si>
  <si>
    <t xml:space="preserve">2015-09-01</t>
  </si>
  <si>
    <t xml:space="preserve">OH0027501749</t>
  </si>
  <si>
    <t xml:space="preserve">KEMP</t>
  </si>
  <si>
    <t xml:space="preserve">TONAYA</t>
  </si>
  <si>
    <t xml:space="preserve">2006-09-02</t>
  </si>
  <si>
    <t xml:space="preserve">2024-07-31</t>
  </si>
  <si>
    <t xml:space="preserve">OH0023090933</t>
  </si>
  <si>
    <t xml:space="preserve">BUTLER</t>
  </si>
  <si>
    <t xml:space="preserve">AMBER</t>
  </si>
  <si>
    <t xml:space="preserve">1982-12-15</t>
  </si>
  <si>
    <t xml:space="preserve">2020-08-06</t>
  </si>
  <si>
    <t xml:space="preserve">OH0025570363</t>
  </si>
  <si>
    <t xml:space="preserve">CHRISTINA</t>
  </si>
  <si>
    <t xml:space="preserve">1976-04-05</t>
  </si>
  <si>
    <t xml:space="preserve">2020-04-01</t>
  </si>
  <si>
    <t xml:space="preserve">1242 BELLE ST SE</t>
  </si>
  <si>
    <t xml:space="preserve">OH0024542432</t>
  </si>
  <si>
    <t xml:space="preserve">PEACO</t>
  </si>
  <si>
    <t xml:space="preserve">ZACHARY</t>
  </si>
  <si>
    <t xml:space="preserve">ANDREW</t>
  </si>
  <si>
    <t xml:space="preserve">1994-04-26</t>
  </si>
  <si>
    <t xml:space="preserve">2025-03-11</t>
  </si>
  <si>
    <t xml:space="preserve">1253 BELLE ST SE</t>
  </si>
  <si>
    <t xml:space="preserve">OH0015740164</t>
  </si>
  <si>
    <t xml:space="preserve">PAULINE</t>
  </si>
  <si>
    <t xml:space="preserve">1970-03-24</t>
  </si>
  <si>
    <t xml:space="preserve">2019-07-01</t>
  </si>
  <si>
    <t xml:space="preserve">OH0026289965</t>
  </si>
  <si>
    <t xml:space="preserve">NYE</t>
  </si>
  <si>
    <t xml:space="preserve">AUTUMN</t>
  </si>
  <si>
    <t xml:space="preserve">LAUREL</t>
  </si>
  <si>
    <t xml:space="preserve">1992-05-22</t>
  </si>
  <si>
    <t xml:space="preserve">2021-09-10</t>
  </si>
  <si>
    <t xml:space="preserve">1262 BELLE ST SE</t>
  </si>
  <si>
    <t xml:space="preserve">OH0024629772</t>
  </si>
  <si>
    <t xml:space="preserve">LEVENDUSKI</t>
  </si>
  <si>
    <t xml:space="preserve">CAPPYANNA</t>
  </si>
  <si>
    <t xml:space="preserve">1986-01-25</t>
  </si>
  <si>
    <t xml:space="preserve">2018-04-17</t>
  </si>
  <si>
    <t xml:space="preserve">OH0015804206</t>
  </si>
  <si>
    <t xml:space="preserve">RAIDA</t>
  </si>
  <si>
    <t xml:space="preserve">PATRICIA</t>
  </si>
  <si>
    <t xml:space="preserve">1947-09-23</t>
  </si>
  <si>
    <t xml:space="preserve">1971-03-22</t>
  </si>
  <si>
    <t xml:space="preserve">1304 BELLE ST SE</t>
  </si>
  <si>
    <t xml:space="preserve">OH0015720828</t>
  </si>
  <si>
    <t xml:space="preserve">HAWKINS</t>
  </si>
  <si>
    <t xml:space="preserve">SCOTT</t>
  </si>
  <si>
    <t xml:space="preserve">1960-03-11</t>
  </si>
  <si>
    <t xml:space="preserve">1988-03-15</t>
  </si>
  <si>
    <t xml:space="preserve">1314 BELLE ST SE</t>
  </si>
  <si>
    <t xml:space="preserve">OH0015720823</t>
  </si>
  <si>
    <t xml:space="preserve">MARY</t>
  </si>
  <si>
    <t xml:space="preserve">1961-12-08</t>
  </si>
  <si>
    <t xml:space="preserve">OH0027567847</t>
  </si>
  <si>
    <t xml:space="preserve">SMEAD</t>
  </si>
  <si>
    <t xml:space="preserve">TAMMIE</t>
  </si>
  <si>
    <t xml:space="preserve">1977-01-25</t>
  </si>
  <si>
    <t xml:space="preserve">2024-08-14</t>
  </si>
  <si>
    <t xml:space="preserve">1324 BELLE ST SE</t>
  </si>
  <si>
    <t xml:space="preserve">OH0023264234</t>
  </si>
  <si>
    <t xml:space="preserve">BOWERS</t>
  </si>
  <si>
    <t xml:space="preserve">ANN</t>
  </si>
  <si>
    <t xml:space="preserve">1995-10-07</t>
  </si>
  <si>
    <t xml:space="preserve">OH0015695556</t>
  </si>
  <si>
    <t xml:space="preserve">BILLIE</t>
  </si>
  <si>
    <t xml:space="preserve">1941-04-28</t>
  </si>
  <si>
    <t xml:space="preserve">2022-07-11</t>
  </si>
  <si>
    <t xml:space="preserve">OH0020041325</t>
  </si>
  <si>
    <t xml:space="preserve">1990-07-30</t>
  </si>
  <si>
    <t xml:space="preserve">1325 BELLE ST SE</t>
  </si>
  <si>
    <t xml:space="preserve">OH0023094444</t>
  </si>
  <si>
    <t xml:space="preserve">DENNIS</t>
  </si>
  <si>
    <t xml:space="preserve">1989-03-21</t>
  </si>
  <si>
    <t xml:space="preserve">2015-03-30</t>
  </si>
  <si>
    <t xml:space="preserve">OH0022865163</t>
  </si>
  <si>
    <t xml:space="preserve">CAMPANA</t>
  </si>
  <si>
    <t xml:space="preserve">JOE</t>
  </si>
  <si>
    <t xml:space="preserve">1996-06-12</t>
  </si>
  <si>
    <t xml:space="preserve">2016-09-20</t>
  </si>
  <si>
    <t xml:space="preserve">1334 BELLE ST SE</t>
  </si>
  <si>
    <t xml:space="preserve">OH0015763399</t>
  </si>
  <si>
    <t xml:space="preserve">EDDY</t>
  </si>
  <si>
    <t xml:space="preserve">H</t>
  </si>
  <si>
    <t xml:space="preserve">1949-07-06</t>
  </si>
  <si>
    <t xml:space="preserve">1993-12-14</t>
  </si>
  <si>
    <t xml:space="preserve">OH0027543808</t>
  </si>
  <si>
    <t xml:space="preserve">MOATS</t>
  </si>
  <si>
    <t xml:space="preserve">1998-05-06</t>
  </si>
  <si>
    <t xml:space="preserve">2024-08-23</t>
  </si>
  <si>
    <t xml:space="preserve">1335 BELLE ST SE</t>
  </si>
  <si>
    <t xml:space="preserve">APT 1</t>
  </si>
  <si>
    <t xml:space="preserve">OH0026388085</t>
  </si>
  <si>
    <t xml:space="preserve">LUDWIG</t>
  </si>
  <si>
    <t xml:space="preserve">AMELIA</t>
  </si>
  <si>
    <t xml:space="preserve">GRACE</t>
  </si>
  <si>
    <t xml:space="preserve">1998-12-20</t>
  </si>
  <si>
    <t xml:space="preserve">2022-01-07</t>
  </si>
  <si>
    <t xml:space="preserve">OH0018595739</t>
  </si>
  <si>
    <t xml:space="preserve">MOYER</t>
  </si>
  <si>
    <t xml:space="preserve">DUSTIN</t>
  </si>
  <si>
    <t xml:space="preserve">1986-12-08</t>
  </si>
  <si>
    <t xml:space="preserve">2015-06-30</t>
  </si>
  <si>
    <t xml:space="preserve">OH0027269866</t>
  </si>
  <si>
    <t xml:space="preserve">SLATER</t>
  </si>
  <si>
    <t xml:space="preserve">1996-10-18</t>
  </si>
  <si>
    <t xml:space="preserve">2024-02-28</t>
  </si>
  <si>
    <t xml:space="preserve">OH0023187277</t>
  </si>
  <si>
    <t xml:space="preserve">BUTCHER</t>
  </si>
  <si>
    <t xml:space="preserve">1997-07-27</t>
  </si>
  <si>
    <t xml:space="preserve">2017-05-17</t>
  </si>
  <si>
    <t xml:space="preserve">1343 BELLE ST SE</t>
  </si>
  <si>
    <t xml:space="preserve">OH0019305491</t>
  </si>
  <si>
    <t xml:space="preserve">W</t>
  </si>
  <si>
    <t xml:space="preserve">1971-09-14</t>
  </si>
  <si>
    <t xml:space="preserve">2016-09-15</t>
  </si>
  <si>
    <t xml:space="preserve">OH0022138261</t>
  </si>
  <si>
    <t xml:space="preserve">HOWE</t>
  </si>
  <si>
    <t xml:space="preserve">NICHOLAS</t>
  </si>
  <si>
    <t xml:space="preserve">1994-10-07</t>
  </si>
  <si>
    <t xml:space="preserve">2014-06-09</t>
  </si>
  <si>
    <t xml:space="preserve">1344 BELLE ST SE</t>
  </si>
  <si>
    <t xml:space="preserve">OH0025916358</t>
  </si>
  <si>
    <t xml:space="preserve">HUTCHISON</t>
  </si>
  <si>
    <t xml:space="preserve">HARRY</t>
  </si>
  <si>
    <t xml:space="preserve">2002-01-28</t>
  </si>
  <si>
    <t xml:space="preserve">2020-09-29</t>
  </si>
  <si>
    <t xml:space="preserve">OH0015738452</t>
  </si>
  <si>
    <t xml:space="preserve">MARK</t>
  </si>
  <si>
    <t xml:space="preserve">1984-01-10</t>
  </si>
  <si>
    <t xml:space="preserve">2004-02-28</t>
  </si>
  <si>
    <t xml:space="preserve">1354 BELLE ST SE</t>
  </si>
  <si>
    <t xml:space="preserve">OH0015709624</t>
  </si>
  <si>
    <t xml:space="preserve">SHARON</t>
  </si>
  <si>
    <t xml:space="preserve">1950-04-05</t>
  </si>
  <si>
    <t xml:space="preserve">2004-08-09</t>
  </si>
  <si>
    <t xml:space="preserve">OH0026313363</t>
  </si>
  <si>
    <t xml:space="preserve">XAVIER</t>
  </si>
  <si>
    <t xml:space="preserve">2003-04-05</t>
  </si>
  <si>
    <t xml:space="preserve">2021-10-04</t>
  </si>
  <si>
    <t xml:space="preserve">1362 BELLE ST SE</t>
  </si>
  <si>
    <t xml:space="preserve">OH0026201334</t>
  </si>
  <si>
    <t xml:space="preserve">MORAN</t>
  </si>
  <si>
    <t xml:space="preserve">1971-09-11</t>
  </si>
  <si>
    <t xml:space="preserve">2021-05-10</t>
  </si>
  <si>
    <t xml:space="preserve">434 BELMONT AVE NE</t>
  </si>
  <si>
    <t xml:space="preserve">OH0022776537</t>
  </si>
  <si>
    <t xml:space="preserve">BENTON</t>
  </si>
  <si>
    <t xml:space="preserve">1970-04-21</t>
  </si>
  <si>
    <t xml:space="preserve">OH0023067240</t>
  </si>
  <si>
    <t xml:space="preserve">FLOYD</t>
  </si>
  <si>
    <t xml:space="preserve">SAFIYA</t>
  </si>
  <si>
    <t xml:space="preserve">1988-05-02</t>
  </si>
  <si>
    <t xml:space="preserve">442 BELMONT AVE NE</t>
  </si>
  <si>
    <t xml:space="preserve">OH0015712407</t>
  </si>
  <si>
    <t xml:space="preserve">YAUGER</t>
  </si>
  <si>
    <t xml:space="preserve">1967-07-30</t>
  </si>
  <si>
    <t xml:space="preserve">1985-04-03</t>
  </si>
  <si>
    <t xml:space="preserve">460 BELMONT AVE NE</t>
  </si>
  <si>
    <t xml:space="preserve">OH0015723709</t>
  </si>
  <si>
    <t xml:space="preserve">1970-03-18</t>
  </si>
  <si>
    <t xml:space="preserve">OH0024697892</t>
  </si>
  <si>
    <t xml:space="preserve">NATHAN</t>
  </si>
  <si>
    <t xml:space="preserve">1998-12-10</t>
  </si>
  <si>
    <t xml:space="preserve">2018-07-29</t>
  </si>
  <si>
    <t xml:space="preserve">OH0023078664</t>
  </si>
  <si>
    <t xml:space="preserve">BRIAN</t>
  </si>
  <si>
    <t xml:space="preserve">1996-01-09</t>
  </si>
  <si>
    <t xml:space="preserve">2015-03-20</t>
  </si>
  <si>
    <t xml:space="preserve">OH0022523241</t>
  </si>
  <si>
    <t xml:space="preserve">KENNEDY</t>
  </si>
  <si>
    <t xml:space="preserve">DALE</t>
  </si>
  <si>
    <t xml:space="preserve">1956-01-20</t>
  </si>
  <si>
    <t xml:space="preserve">528 BELMONT AVE NE</t>
  </si>
  <si>
    <t xml:space="preserve">OH0015796116</t>
  </si>
  <si>
    <t xml:space="preserve">MCMURRAY</t>
  </si>
  <si>
    <t xml:space="preserve">1959-06-28</t>
  </si>
  <si>
    <t xml:space="preserve">1996-10-21</t>
  </si>
  <si>
    <t xml:space="preserve">540 BELMONT AVE NE</t>
  </si>
  <si>
    <t xml:space="preserve">OH0027497798</t>
  </si>
  <si>
    <t xml:space="preserve">MOLDEN</t>
  </si>
  <si>
    <t xml:space="preserve">ERIC</t>
  </si>
  <si>
    <t xml:space="preserve">1959-03-28</t>
  </si>
  <si>
    <t xml:space="preserve">OH0019998840</t>
  </si>
  <si>
    <t xml:space="preserve">1980-08-27</t>
  </si>
  <si>
    <t xml:space="preserve">2017-09-01</t>
  </si>
  <si>
    <t xml:space="preserve">574 BELMONT AVE NE</t>
  </si>
  <si>
    <t xml:space="preserve">OH0027278078</t>
  </si>
  <si>
    <t xml:space="preserve">LOWERY</t>
  </si>
  <si>
    <t xml:space="preserve">1961-03-04</t>
  </si>
  <si>
    <t xml:space="preserve">2024-03-20</t>
  </si>
  <si>
    <t xml:space="preserve">622 BELMONT AVE NE</t>
  </si>
  <si>
    <t xml:space="preserve">OH0027519624</t>
  </si>
  <si>
    <t xml:space="preserve">NOBLE</t>
  </si>
  <si>
    <t xml:space="preserve">2006-05-10</t>
  </si>
  <si>
    <t xml:space="preserve">632 BELMONT AVE NE</t>
  </si>
  <si>
    <t xml:space="preserve">OH0015737790</t>
  </si>
  <si>
    <t xml:space="preserve">STAGGERS</t>
  </si>
  <si>
    <t xml:space="preserve">REGENIA</t>
  </si>
  <si>
    <t xml:space="preserve">1976-08-20</t>
  </si>
  <si>
    <t xml:space="preserve">2018-05-23</t>
  </si>
  <si>
    <t xml:space="preserve">1944 BENTON ST SE</t>
  </si>
  <si>
    <t xml:space="preserve">OH0023896417</t>
  </si>
  <si>
    <t xml:space="preserve">BOATWRIGHT</t>
  </si>
  <si>
    <t xml:space="preserve">JAMINA</t>
  </si>
  <si>
    <t xml:space="preserve">1980-11-05</t>
  </si>
  <si>
    <t xml:space="preserve">2017-02-08</t>
  </si>
  <si>
    <t xml:space="preserve">1946 BENTON ST SE</t>
  </si>
  <si>
    <t xml:space="preserve">OH0027904369</t>
  </si>
  <si>
    <t xml:space="preserve">YOUNG</t>
  </si>
  <si>
    <t xml:space="preserve">TODD</t>
  </si>
  <si>
    <t xml:space="preserve">1996-06-25</t>
  </si>
  <si>
    <t xml:space="preserve">2025-02-26</t>
  </si>
  <si>
    <t xml:space="preserve">OH0023483887</t>
  </si>
  <si>
    <t xml:space="preserve">DESIREE</t>
  </si>
  <si>
    <t xml:space="preserve">1998-09-15</t>
  </si>
  <si>
    <t xml:space="preserve">2018-05-08</t>
  </si>
  <si>
    <t xml:space="preserve">OH0023545681</t>
  </si>
  <si>
    <t xml:space="preserve">SPEELMAN</t>
  </si>
  <si>
    <t xml:space="preserve">LARLUN</t>
  </si>
  <si>
    <t xml:space="preserve">1997-09-11</t>
  </si>
  <si>
    <t xml:space="preserve">2025-03-19</t>
  </si>
  <si>
    <t xml:space="preserve">1948 BENTON ST SE</t>
  </si>
  <si>
    <t xml:space="preserve">OH0025863726</t>
  </si>
  <si>
    <t xml:space="preserve">DAVIS</t>
  </si>
  <si>
    <t xml:space="preserve">ALISHA</t>
  </si>
  <si>
    <t xml:space="preserve">MARIE VERONICA</t>
  </si>
  <si>
    <t xml:space="preserve">1998-06-28</t>
  </si>
  <si>
    <t xml:space="preserve">2020-09-22</t>
  </si>
  <si>
    <t xml:space="preserve">OH0025050189</t>
  </si>
  <si>
    <t xml:space="preserve">KACPERSKI</t>
  </si>
  <si>
    <t xml:space="preserve">ANJIE</t>
  </si>
  <si>
    <t xml:space="preserve">1971-03-24</t>
  </si>
  <si>
    <t xml:space="preserve">2019-09-24</t>
  </si>
  <si>
    <t xml:space="preserve">1964 BENTON ST SE</t>
  </si>
  <si>
    <t xml:space="preserve">OH0027232329</t>
  </si>
  <si>
    <t xml:space="preserve">KNELL</t>
  </si>
  <si>
    <t xml:space="preserve">EMILY</t>
  </si>
  <si>
    <t xml:space="preserve">1998-03-14</t>
  </si>
  <si>
    <t xml:space="preserve">2024-02-03</t>
  </si>
  <si>
    <t xml:space="preserve">1966 BENTON ST SE</t>
  </si>
  <si>
    <t xml:space="preserve">OH0015788784</t>
  </si>
  <si>
    <t xml:space="preserve">ROZIER</t>
  </si>
  <si>
    <t xml:space="preserve">SPARKEL</t>
  </si>
  <si>
    <t xml:space="preserve">JANALE</t>
  </si>
  <si>
    <t xml:space="preserve">1985-01-12</t>
  </si>
  <si>
    <t xml:space="preserve">2020-01-25</t>
  </si>
  <si>
    <t xml:space="preserve">OH0023084089</t>
  </si>
  <si>
    <t xml:space="preserve">DERRELL</t>
  </si>
  <si>
    <t xml:space="preserve">DESEAN</t>
  </si>
  <si>
    <t xml:space="preserve">2022-07-07</t>
  </si>
  <si>
    <t xml:space="preserve">1970 BENTON ST SE</t>
  </si>
  <si>
    <t xml:space="preserve">OH0022684323</t>
  </si>
  <si>
    <t xml:space="preserve">CULVER</t>
  </si>
  <si>
    <t xml:space="preserve">RENEE</t>
  </si>
  <si>
    <t xml:space="preserve">1981-03-10</t>
  </si>
  <si>
    <t xml:space="preserve">2014 BENTON ST SE</t>
  </si>
  <si>
    <t xml:space="preserve">OH0023266334</t>
  </si>
  <si>
    <t xml:space="preserve">PYNE</t>
  </si>
  <si>
    <t xml:space="preserve">DRAANEARIA</t>
  </si>
  <si>
    <t xml:space="preserve">1978-10-03</t>
  </si>
  <si>
    <t xml:space="preserve">2017-02-21</t>
  </si>
  <si>
    <t xml:space="preserve">2016 BENTON ST SE</t>
  </si>
  <si>
    <t xml:space="preserve">OH0026086206</t>
  </si>
  <si>
    <t xml:space="preserve">JONES</t>
  </si>
  <si>
    <t xml:space="preserve">BOOKER</t>
  </si>
  <si>
    <t xml:space="preserve">1983-07-03</t>
  </si>
  <si>
    <t xml:space="preserve">2023-02-12</t>
  </si>
  <si>
    <t xml:space="preserve">OH0027509042</t>
  </si>
  <si>
    <t xml:space="preserve">WORTHEY</t>
  </si>
  <si>
    <t xml:space="preserve">JUANZHANE</t>
  </si>
  <si>
    <t xml:space="preserve">UNIQUE</t>
  </si>
  <si>
    <t xml:space="preserve">2003-05-13</t>
  </si>
  <si>
    <t xml:space="preserve">2024-08-08</t>
  </si>
  <si>
    <t xml:space="preserve">2018 BENTON ST SE</t>
  </si>
  <si>
    <t xml:space="preserve">OH0015743451</t>
  </si>
  <si>
    <t xml:space="preserve">DOWELL</t>
  </si>
  <si>
    <t xml:space="preserve">1964-11-23</t>
  </si>
  <si>
    <t xml:space="preserve">2018-06-20</t>
  </si>
  <si>
    <t xml:space="preserve">2140 BENTON ST SE</t>
  </si>
  <si>
    <t xml:space="preserve">OH0027037099</t>
  </si>
  <si>
    <t xml:space="preserve">OWENS</t>
  </si>
  <si>
    <t xml:space="preserve">DARNELL</t>
  </si>
  <si>
    <t xml:space="preserve">1998-06-23</t>
  </si>
  <si>
    <t xml:space="preserve">2024-09-12</t>
  </si>
  <si>
    <t xml:space="preserve">2160 BENTON ST SE</t>
  </si>
  <si>
    <t xml:space="preserve">OH0015755825</t>
  </si>
  <si>
    <t xml:space="preserve">MALINDA</t>
  </si>
  <si>
    <t xml:space="preserve">1968-09-19</t>
  </si>
  <si>
    <t xml:space="preserve">2009-10-23</t>
  </si>
  <si>
    <t xml:space="preserve">OH0020095857</t>
  </si>
  <si>
    <t xml:space="preserve">CHAZWELL</t>
  </si>
  <si>
    <t xml:space="preserve">1981-08-25</t>
  </si>
  <si>
    <t xml:space="preserve">2008-09-28</t>
  </si>
  <si>
    <t xml:space="preserve">OH0027500192</t>
  </si>
  <si>
    <t xml:space="preserve">MERRITT</t>
  </si>
  <si>
    <t xml:space="preserve">DANTE</t>
  </si>
  <si>
    <t xml:space="preserve">2000-10-09</t>
  </si>
  <si>
    <t xml:space="preserve">2170 BENTON ST SE</t>
  </si>
  <si>
    <t xml:space="preserve">OH0023640770</t>
  </si>
  <si>
    <t xml:space="preserve">DEMOND</t>
  </si>
  <si>
    <t xml:space="preserve">1974-02-02</t>
  </si>
  <si>
    <t xml:space="preserve">2021-05-20</t>
  </si>
  <si>
    <t xml:space="preserve">OH0027222162</t>
  </si>
  <si>
    <t xml:space="preserve">WALL</t>
  </si>
  <si>
    <t xml:space="preserve">SUE</t>
  </si>
  <si>
    <t xml:space="preserve">2006-01-12</t>
  </si>
  <si>
    <t xml:space="preserve">2176 BENTON ST SE</t>
  </si>
  <si>
    <t xml:space="preserve">OH0015762528</t>
  </si>
  <si>
    <t xml:space="preserve">PARNELL</t>
  </si>
  <si>
    <t xml:space="preserve">1983-04-10</t>
  </si>
  <si>
    <t xml:space="preserve">2018-01-22</t>
  </si>
  <si>
    <t xml:space="preserve">OH0026220527</t>
  </si>
  <si>
    <t xml:space="preserve">TU PAC</t>
  </si>
  <si>
    <t xml:space="preserve">LAVELLE</t>
  </si>
  <si>
    <t xml:space="preserve">2003-06-02</t>
  </si>
  <si>
    <t xml:space="preserve">2022-03-02</t>
  </si>
  <si>
    <t xml:space="preserve">OH0015779730</t>
  </si>
  <si>
    <t xml:space="preserve">RICE</t>
  </si>
  <si>
    <t xml:space="preserve">JENNY</t>
  </si>
  <si>
    <t xml:space="preserve">1981-01-24</t>
  </si>
  <si>
    <t xml:space="preserve">2009-12-28</t>
  </si>
  <si>
    <t xml:space="preserve">OH0015763417</t>
  </si>
  <si>
    <t xml:space="preserve">MCCOLLOUGH</t>
  </si>
  <si>
    <t xml:space="preserve">CYNTHIA</t>
  </si>
  <si>
    <t xml:space="preserve">1975-12-17</t>
  </si>
  <si>
    <t xml:space="preserve">1993-12-01</t>
  </si>
  <si>
    <t xml:space="preserve">2184 BENTON ST SE</t>
  </si>
  <si>
    <t xml:space="preserve">OH0025974666</t>
  </si>
  <si>
    <t xml:space="preserve">MCCOLLOUGH ALEXANDER</t>
  </si>
  <si>
    <t xml:space="preserve">DORIAN</t>
  </si>
  <si>
    <t xml:space="preserve">TYRELL</t>
  </si>
  <si>
    <t xml:space="preserve">2001-06-02</t>
  </si>
  <si>
    <t xml:space="preserve">OH0027607481</t>
  </si>
  <si>
    <t xml:space="preserve">NICOLAS</t>
  </si>
  <si>
    <t xml:space="preserve">ARNEZ</t>
  </si>
  <si>
    <t xml:space="preserve">2006-02-08</t>
  </si>
  <si>
    <t xml:space="preserve">2024-09-10</t>
  </si>
  <si>
    <t xml:space="preserve">OH0023187177</t>
  </si>
  <si>
    <t xml:space="preserve">FREEMAN</t>
  </si>
  <si>
    <t xml:space="preserve">JARRELL</t>
  </si>
  <si>
    <t xml:space="preserve">1987-06-26</t>
  </si>
  <si>
    <t xml:space="preserve">2019-07-04</t>
  </si>
  <si>
    <t xml:space="preserve">2194 BENTON ST SE</t>
  </si>
  <si>
    <t xml:space="preserve">OH0025403674</t>
  </si>
  <si>
    <t xml:space="preserve">DUECASTER</t>
  </si>
  <si>
    <t xml:space="preserve">PHILLIP</t>
  </si>
  <si>
    <t xml:space="preserve">1973-03-31</t>
  </si>
  <si>
    <t xml:space="preserve">306 BONNIE BRAE AVE SE</t>
  </si>
  <si>
    <t xml:space="preserve">OH0024094478</t>
  </si>
  <si>
    <t xml:space="preserve">JENEISE</t>
  </si>
  <si>
    <t xml:space="preserve">LYNN</t>
  </si>
  <si>
    <t xml:space="preserve">1969-11-04</t>
  </si>
  <si>
    <t xml:space="preserve">2018-07-10</t>
  </si>
  <si>
    <t xml:space="preserve">OH0015729610</t>
  </si>
  <si>
    <t xml:space="preserve">NASH</t>
  </si>
  <si>
    <t xml:space="preserve">1957-04-11</t>
  </si>
  <si>
    <t xml:space="preserve">2023-07-10</t>
  </si>
  <si>
    <t xml:space="preserve">307 BONNIE BRAE AVE SE</t>
  </si>
  <si>
    <t xml:space="preserve">OH0025761991</t>
  </si>
  <si>
    <t xml:space="preserve">MACY</t>
  </si>
  <si>
    <t xml:space="preserve">1983-01-12</t>
  </si>
  <si>
    <t xml:space="preserve">2020-08-31</t>
  </si>
  <si>
    <t xml:space="preserve">317 BONNIE BRAE AVE SE</t>
  </si>
  <si>
    <t xml:space="preserve">OH0026406879</t>
  </si>
  <si>
    <t xml:space="preserve">GEARHART</t>
  </si>
  <si>
    <t xml:space="preserve">VICTORIA</t>
  </si>
  <si>
    <t xml:space="preserve">1996-12-11</t>
  </si>
  <si>
    <t xml:space="preserve">2022-01-27</t>
  </si>
  <si>
    <t xml:space="preserve">OH0021899484</t>
  </si>
  <si>
    <t xml:space="preserve">FEGLEY</t>
  </si>
  <si>
    <t xml:space="preserve">1983-07-05</t>
  </si>
  <si>
    <t xml:space="preserve">2020-01-29</t>
  </si>
  <si>
    <t xml:space="preserve">OH0026503378</t>
  </si>
  <si>
    <t xml:space="preserve">JASKIEWICZ</t>
  </si>
  <si>
    <t xml:space="preserve">JEFFREY</t>
  </si>
  <si>
    <t xml:space="preserve">1977-07-19</t>
  </si>
  <si>
    <t xml:space="preserve">322 BONNIE BRAE AVE SE</t>
  </si>
  <si>
    <t xml:space="preserve">OH0027491135</t>
  </si>
  <si>
    <t xml:space="preserve">STRANGE</t>
  </si>
  <si>
    <t xml:space="preserve">ABBAGAIL</t>
  </si>
  <si>
    <t xml:space="preserve">RUTH</t>
  </si>
  <si>
    <t xml:space="preserve">2004-10-09</t>
  </si>
  <si>
    <t xml:space="preserve">OH0023497555</t>
  </si>
  <si>
    <t xml:space="preserve">FAITH</t>
  </si>
  <si>
    <t xml:space="preserve">1984-03-15</t>
  </si>
  <si>
    <t xml:space="preserve">OH0024013661</t>
  </si>
  <si>
    <t xml:space="preserve">ABNER</t>
  </si>
  <si>
    <t xml:space="preserve">IV</t>
  </si>
  <si>
    <t xml:space="preserve">1998-02-17</t>
  </si>
  <si>
    <t xml:space="preserve">2016-09-28</t>
  </si>
  <si>
    <t xml:space="preserve">325 BONNIE BRAE AVE SE</t>
  </si>
  <si>
    <t xml:space="preserve">OH0023649376</t>
  </si>
  <si>
    <t xml:space="preserve">DIBELL</t>
  </si>
  <si>
    <t xml:space="preserve">BETHANY</t>
  </si>
  <si>
    <t xml:space="preserve">1995-08-07</t>
  </si>
  <si>
    <t xml:space="preserve">2020-04-29</t>
  </si>
  <si>
    <t xml:space="preserve">OH0026216791</t>
  </si>
  <si>
    <t xml:space="preserve">PUTNAM</t>
  </si>
  <si>
    <t xml:space="preserve">RIA</t>
  </si>
  <si>
    <t xml:space="preserve">FELICE</t>
  </si>
  <si>
    <t xml:space="preserve">2000-11-02</t>
  </si>
  <si>
    <t xml:space="preserve">2021-01-06</t>
  </si>
  <si>
    <t xml:space="preserve">332 BONNIE BRAE AVE SE</t>
  </si>
  <si>
    <t xml:space="preserve">OH0023225305</t>
  </si>
  <si>
    <t xml:space="preserve">LEANO</t>
  </si>
  <si>
    <t xml:space="preserve">DIANE</t>
  </si>
  <si>
    <t xml:space="preserve">1954-10-21</t>
  </si>
  <si>
    <t xml:space="preserve">2015-08-04</t>
  </si>
  <si>
    <t xml:space="preserve">OH0024664103</t>
  </si>
  <si>
    <t xml:space="preserve">SHELIA</t>
  </si>
  <si>
    <t xml:space="preserve">1953-07-16</t>
  </si>
  <si>
    <t xml:space="preserve">2023-07-31</t>
  </si>
  <si>
    <t xml:space="preserve">344 BONNIE BRAE AVE SE</t>
  </si>
  <si>
    <t xml:space="preserve">OH0024479236</t>
  </si>
  <si>
    <t xml:space="preserve">MILLER</t>
  </si>
  <si>
    <t xml:space="preserve">TAMMY</t>
  </si>
  <si>
    <t xml:space="preserve">1964-01-08</t>
  </si>
  <si>
    <t xml:space="preserve">2024-11-03</t>
  </si>
  <si>
    <t xml:space="preserve">OH0025863939</t>
  </si>
  <si>
    <t xml:space="preserve">RUST</t>
  </si>
  <si>
    <t xml:space="preserve">JOYCE</t>
  </si>
  <si>
    <t xml:space="preserve">1953-09-24</t>
  </si>
  <si>
    <t xml:space="preserve">2020-09-28</t>
  </si>
  <si>
    <t xml:space="preserve">345 BONNIE BRAE AVE SE</t>
  </si>
  <si>
    <t xml:space="preserve">OH0015818928</t>
  </si>
  <si>
    <t xml:space="preserve">GREER</t>
  </si>
  <si>
    <t xml:space="preserve">1965-07-31</t>
  </si>
  <si>
    <t xml:space="preserve">354 BONNIE BRAE AVE SE</t>
  </si>
  <si>
    <t xml:space="preserve">OH0015965337</t>
  </si>
  <si>
    <t xml:space="preserve">MORRISON</t>
  </si>
  <si>
    <t xml:space="preserve">LISA</t>
  </si>
  <si>
    <t xml:space="preserve">1968-05-18</t>
  </si>
  <si>
    <t xml:space="preserve">2004-08-25</t>
  </si>
  <si>
    <t xml:space="preserve">OH0026734469</t>
  </si>
  <si>
    <t xml:space="preserve">HENDRIX</t>
  </si>
  <si>
    <t xml:space="preserve">1974-11-25</t>
  </si>
  <si>
    <t xml:space="preserve">2022-11-25</t>
  </si>
  <si>
    <t xml:space="preserve">374 BONNIE BRAE AVE SE</t>
  </si>
  <si>
    <t xml:space="preserve">OH0023187409</t>
  </si>
  <si>
    <t xml:space="preserve">PEARSON</t>
  </si>
  <si>
    <t xml:space="preserve">LATONIA</t>
  </si>
  <si>
    <t xml:space="preserve">1972-02-26</t>
  </si>
  <si>
    <t xml:space="preserve">2023-07-08</t>
  </si>
  <si>
    <t xml:space="preserve">375 BONNIE BRAE AVE SE</t>
  </si>
  <si>
    <t xml:space="preserve">OH0015768886</t>
  </si>
  <si>
    <t xml:space="preserve">TURNER</t>
  </si>
  <si>
    <t xml:space="preserve">ARLISHA</t>
  </si>
  <si>
    <t xml:space="preserve">1971-06-24</t>
  </si>
  <si>
    <t xml:space="preserve">2024-04-04</t>
  </si>
  <si>
    <t xml:space="preserve">OH0021686489</t>
  </si>
  <si>
    <t xml:space="preserve">WESTBAY</t>
  </si>
  <si>
    <t xml:space="preserve">JUSTIN</t>
  </si>
  <si>
    <t xml:space="preserve">1994-09-07</t>
  </si>
  <si>
    <t xml:space="preserve">2024-01-02</t>
  </si>
  <si>
    <t xml:space="preserve">384 BONNIE BRAE AVE SE</t>
  </si>
  <si>
    <t xml:space="preserve">OH0027039346</t>
  </si>
  <si>
    <t xml:space="preserve">RHODUS</t>
  </si>
  <si>
    <t xml:space="preserve">AALICYAH</t>
  </si>
  <si>
    <t xml:space="preserve">CHARLIZE</t>
  </si>
  <si>
    <t xml:space="preserve">2005-07-29</t>
  </si>
  <si>
    <t xml:space="preserve">2024-12-01</t>
  </si>
  <si>
    <t xml:space="preserve">385 BONNIE BRAE AVE SE</t>
  </si>
  <si>
    <t xml:space="preserve">OH0025736678</t>
  </si>
  <si>
    <t xml:space="preserve">FIZET</t>
  </si>
  <si>
    <t xml:space="preserve">KOHL</t>
  </si>
  <si>
    <t xml:space="preserve">ALEXANDER</t>
  </si>
  <si>
    <t xml:space="preserve">2001-09-06</t>
  </si>
  <si>
    <t xml:space="preserve">2022-07-05</t>
  </si>
  <si>
    <t xml:space="preserve">OH0027838866</t>
  </si>
  <si>
    <t xml:space="preserve">KITARA</t>
  </si>
  <si>
    <t xml:space="preserve">LEIGH</t>
  </si>
  <si>
    <t xml:space="preserve">2006-04-05</t>
  </si>
  <si>
    <t xml:space="preserve">2024-10-15</t>
  </si>
  <si>
    <t xml:space="preserve">OH0027514028</t>
  </si>
  <si>
    <t xml:space="preserve">1985-06-27</t>
  </si>
  <si>
    <t xml:space="preserve">2024-08-05</t>
  </si>
  <si>
    <t xml:space="preserve">OH0015807702</t>
  </si>
  <si>
    <t xml:space="preserve">CUNNINGHAM</t>
  </si>
  <si>
    <t xml:space="preserve">JEANIE</t>
  </si>
  <si>
    <t xml:space="preserve">1981-06-07</t>
  </si>
  <si>
    <t xml:space="preserve">OH0015722157</t>
  </si>
  <si>
    <t xml:space="preserve">JEREMY</t>
  </si>
  <si>
    <t xml:space="preserve">1981-03-02</t>
  </si>
  <si>
    <t xml:space="preserve">2012-09-24</t>
  </si>
  <si>
    <t xml:space="preserve">394 BONNIE BRAE AVE SE</t>
  </si>
  <si>
    <t xml:space="preserve">OH0018746413</t>
  </si>
  <si>
    <t xml:space="preserve">BROWNING</t>
  </si>
  <si>
    <t xml:space="preserve">1987-08-03</t>
  </si>
  <si>
    <t xml:space="preserve">2019-05-15</t>
  </si>
  <si>
    <t xml:space="preserve">OH0027420716</t>
  </si>
  <si>
    <t xml:space="preserve">WALLS</t>
  </si>
  <si>
    <t xml:space="preserve">DAWN</t>
  </si>
  <si>
    <t xml:space="preserve">1979-07-01</t>
  </si>
  <si>
    <t xml:space="preserve">2024-07-01</t>
  </si>
  <si>
    <t xml:space="preserve">411 BONNIE BRAE AVE SE</t>
  </si>
  <si>
    <t xml:space="preserve">PO BOX 2145</t>
  </si>
  <si>
    <t xml:space="preserve">OH0015795439</t>
  </si>
  <si>
    <t xml:space="preserve">OSTRANDER</t>
  </si>
  <si>
    <t xml:space="preserve">DEBORAH</t>
  </si>
  <si>
    <t xml:space="preserve">1950-01-24</t>
  </si>
  <si>
    <t xml:space="preserve">2021-10-13</t>
  </si>
  <si>
    <t xml:space="preserve">412 BONNIE BRAE AVE SE</t>
  </si>
  <si>
    <t xml:space="preserve">OH0020093378</t>
  </si>
  <si>
    <t xml:space="preserve">DAWSON</t>
  </si>
  <si>
    <t xml:space="preserve">JESSICA</t>
  </si>
  <si>
    <t xml:space="preserve">1990-08-19</t>
  </si>
  <si>
    <t xml:space="preserve">2019-04-21</t>
  </si>
  <si>
    <t xml:space="preserve">420 BONNIE BRAE AVE SE</t>
  </si>
  <si>
    <t xml:space="preserve">OH0015811469</t>
  </si>
  <si>
    <t xml:space="preserve">ROY</t>
  </si>
  <si>
    <t xml:space="preserve">1947-06-01</t>
  </si>
  <si>
    <t xml:space="preserve">2000-06-03</t>
  </si>
  <si>
    <t xml:space="preserve">421 BONNIE BRAE AVE SE</t>
  </si>
  <si>
    <t xml:space="preserve">OH0015804259</t>
  </si>
  <si>
    <t xml:space="preserve">1950-08-24</t>
  </si>
  <si>
    <t xml:space="preserve">2003-09-26</t>
  </si>
  <si>
    <t xml:space="preserve">OH0021335072</t>
  </si>
  <si>
    <t xml:space="preserve">BRITTANY</t>
  </si>
  <si>
    <t xml:space="preserve">1993-02-05</t>
  </si>
  <si>
    <t xml:space="preserve">2011-03-01</t>
  </si>
  <si>
    <t xml:space="preserve">OH0026216794</t>
  </si>
  <si>
    <t xml:space="preserve">RICHARDS</t>
  </si>
  <si>
    <t xml:space="preserve">ETHAN</t>
  </si>
  <si>
    <t xml:space="preserve">2001-08-29</t>
  </si>
  <si>
    <t xml:space="preserve">2021-01-27</t>
  </si>
  <si>
    <t xml:space="preserve">428 BONNIE BRAE AVE SE</t>
  </si>
  <si>
    <t xml:space="preserve">OH0026206189</t>
  </si>
  <si>
    <t xml:space="preserve">SHERWOOD</t>
  </si>
  <si>
    <t xml:space="preserve">2000-11-04</t>
  </si>
  <si>
    <t xml:space="preserve">2021-05-27</t>
  </si>
  <si>
    <t xml:space="preserve">OH0023819869</t>
  </si>
  <si>
    <t xml:space="preserve">REMSEY</t>
  </si>
  <si>
    <t xml:space="preserve">KAY</t>
  </si>
  <si>
    <t xml:space="preserve">1949-07-27</t>
  </si>
  <si>
    <t xml:space="preserve">431 BONNIE BRAE AVE SE</t>
  </si>
  <si>
    <t xml:space="preserve">OH0026768456</t>
  </si>
  <si>
    <t xml:space="preserve">WALERYSZAK</t>
  </si>
  <si>
    <t xml:space="preserve">1973-10-24</t>
  </si>
  <si>
    <t xml:space="preserve">2022-10-26</t>
  </si>
  <si>
    <t xml:space="preserve">OH0024206014</t>
  </si>
  <si>
    <t xml:space="preserve">1987-03-03</t>
  </si>
  <si>
    <t xml:space="preserve">2018-04-02</t>
  </si>
  <si>
    <t xml:space="preserve">437 BONNIE BRAE AVE SE</t>
  </si>
  <si>
    <t xml:space="preserve">OH0023639695</t>
  </si>
  <si>
    <t xml:space="preserve">MELISSA</t>
  </si>
  <si>
    <t xml:space="preserve">1989-06-23</t>
  </si>
  <si>
    <t xml:space="preserve">2020-02-18</t>
  </si>
  <si>
    <t xml:space="preserve">OH0025460123</t>
  </si>
  <si>
    <t xml:space="preserve">ARDLEN</t>
  </si>
  <si>
    <t xml:space="preserve">KIERA</t>
  </si>
  <si>
    <t xml:space="preserve">LYNNE</t>
  </si>
  <si>
    <t xml:space="preserve">1999-12-17</t>
  </si>
  <si>
    <t xml:space="preserve">2020-09-19</t>
  </si>
  <si>
    <t xml:space="preserve">505 BONNIE BRAE AVE SE</t>
  </si>
  <si>
    <t xml:space="preserve">OH0023530940</t>
  </si>
  <si>
    <t xml:space="preserve">RUITER</t>
  </si>
  <si>
    <t xml:space="preserve">JACLYN</t>
  </si>
  <si>
    <t xml:space="preserve">ALEXIS</t>
  </si>
  <si>
    <t xml:space="preserve">1997-12-17</t>
  </si>
  <si>
    <t xml:space="preserve">2020-06-20</t>
  </si>
  <si>
    <t xml:space="preserve">OH0025916392</t>
  </si>
  <si>
    <t xml:space="preserve">SCHRAGAL</t>
  </si>
  <si>
    <t xml:space="preserve">1997-08-29</t>
  </si>
  <si>
    <t xml:space="preserve">2024-09-23</t>
  </si>
  <si>
    <t xml:space="preserve">511 BONNIE BRAE AVE SE</t>
  </si>
  <si>
    <t xml:space="preserve">OH0015802464</t>
  </si>
  <si>
    <t xml:space="preserve">TURTURICE</t>
  </si>
  <si>
    <t xml:space="preserve">1964-07-08</t>
  </si>
  <si>
    <t xml:space="preserve">1996-12-16</t>
  </si>
  <si>
    <t xml:space="preserve">535 BONNIE BRAE AVE SE</t>
  </si>
  <si>
    <t xml:space="preserve">OH0025643909</t>
  </si>
  <si>
    <t xml:space="preserve">GATTONE</t>
  </si>
  <si>
    <t xml:space="preserve">VINCENT</t>
  </si>
  <si>
    <t xml:space="preserve">1998-07-21</t>
  </si>
  <si>
    <t xml:space="preserve">715 BONNIE BRAE AVE SE</t>
  </si>
  <si>
    <t xml:space="preserve">OH0024307734</t>
  </si>
  <si>
    <t xml:space="preserve">MCANALLEN</t>
  </si>
  <si>
    <t xml:space="preserve">ALAN</t>
  </si>
  <si>
    <t xml:space="preserve">1987-07-27</t>
  </si>
  <si>
    <t xml:space="preserve">2018-04-27</t>
  </si>
  <si>
    <t xml:space="preserve">720 BONNIE BRAE AVE SE</t>
  </si>
  <si>
    <t xml:space="preserve">OH0018670417</t>
  </si>
  <si>
    <t xml:space="preserve">TENNEY</t>
  </si>
  <si>
    <t xml:space="preserve">KATHY</t>
  </si>
  <si>
    <t xml:space="preserve">1987-10-11</t>
  </si>
  <si>
    <t xml:space="preserve">2019-12-17</t>
  </si>
  <si>
    <t xml:space="preserve">OH0015689379</t>
  </si>
  <si>
    <t xml:space="preserve">HARKINS</t>
  </si>
  <si>
    <t xml:space="preserve">PATRICK</t>
  </si>
  <si>
    <t xml:space="preserve">1960-06-14</t>
  </si>
  <si>
    <t xml:space="preserve">2011-11-30</t>
  </si>
  <si>
    <t xml:space="preserve">721 BONNIE BRAE AVE SE</t>
  </si>
  <si>
    <t xml:space="preserve">OH0022336732</t>
  </si>
  <si>
    <t xml:space="preserve">BUMBICO</t>
  </si>
  <si>
    <t xml:space="preserve">LEONARD</t>
  </si>
  <si>
    <t xml:space="preserve">1952-02-03</t>
  </si>
  <si>
    <t xml:space="preserve">2015-09-19</t>
  </si>
  <si>
    <t xml:space="preserve">729 BONNIE BRAE AVE SE</t>
  </si>
  <si>
    <t xml:space="preserve">OH0015714025</t>
  </si>
  <si>
    <t xml:space="preserve">MONTECALVO</t>
  </si>
  <si>
    <t xml:space="preserve">1967-12-03</t>
  </si>
  <si>
    <t xml:space="preserve">2022-07-02</t>
  </si>
  <si>
    <t xml:space="preserve">OH0023080220</t>
  </si>
  <si>
    <t xml:space="preserve">DEVYN</t>
  </si>
  <si>
    <t xml:space="preserve">1996-11-11</t>
  </si>
  <si>
    <t xml:space="preserve">740 BONNIE BRAE AVE SE</t>
  </si>
  <si>
    <t xml:space="preserve">OH0025781683</t>
  </si>
  <si>
    <t xml:space="preserve">MARLOWE</t>
  </si>
  <si>
    <t xml:space="preserve">TYRE</t>
  </si>
  <si>
    <t xml:space="preserve">1999-07-02</t>
  </si>
  <si>
    <t xml:space="preserve">2020-08-24</t>
  </si>
  <si>
    <t xml:space="preserve">OH0024687622</t>
  </si>
  <si>
    <t xml:space="preserve">NEAL</t>
  </si>
  <si>
    <t xml:space="preserve">1972-06-30</t>
  </si>
  <si>
    <t xml:space="preserve">2018-06-29</t>
  </si>
  <si>
    <t xml:space="preserve">741 BONNIE BRAE AVE SE</t>
  </si>
  <si>
    <t xml:space="preserve">OH0015812225</t>
  </si>
  <si>
    <t xml:space="preserve">DESHAWN</t>
  </si>
  <si>
    <t xml:space="preserve">1972-03-24</t>
  </si>
  <si>
    <t xml:space="preserve">751 BONNIE BRAE AVE SE</t>
  </si>
  <si>
    <t xml:space="preserve">OH0024649378</t>
  </si>
  <si>
    <t xml:space="preserve">BECKLEN</t>
  </si>
  <si>
    <t xml:space="preserve">1999-07-15</t>
  </si>
  <si>
    <t xml:space="preserve">2023-08-24</t>
  </si>
  <si>
    <t xml:space="preserve">OH0024096442</t>
  </si>
  <si>
    <t xml:space="preserve">FULLER</t>
  </si>
  <si>
    <t xml:space="preserve">BARBARA</t>
  </si>
  <si>
    <t xml:space="preserve">1985-11-17</t>
  </si>
  <si>
    <t xml:space="preserve">761 BONNIE BRAE AVE SE</t>
  </si>
  <si>
    <t xml:space="preserve">OH0023708763</t>
  </si>
  <si>
    <t xml:space="preserve">HIPPO</t>
  </si>
  <si>
    <t xml:space="preserve">SABRINA</t>
  </si>
  <si>
    <t xml:space="preserve">1998-10-22</t>
  </si>
  <si>
    <t xml:space="preserve">770 BONNIE BRAE AVE SE</t>
  </si>
  <si>
    <t xml:space="preserve">OH0015753320</t>
  </si>
  <si>
    <t xml:space="preserve">BRYNER</t>
  </si>
  <si>
    <t xml:space="preserve">SUMMAR</t>
  </si>
  <si>
    <t xml:space="preserve">1982-01-20</t>
  </si>
  <si>
    <t xml:space="preserve">2013-04-08</t>
  </si>
  <si>
    <t xml:space="preserve">OH0022823669</t>
  </si>
  <si>
    <t xml:space="preserve">SPITLER</t>
  </si>
  <si>
    <t xml:space="preserve">1971-09-08</t>
  </si>
  <si>
    <t xml:space="preserve">2024-09-26</t>
  </si>
  <si>
    <t xml:space="preserve">OH0015729266</t>
  </si>
  <si>
    <t xml:space="preserve">1971-05-19</t>
  </si>
  <si>
    <t xml:space="preserve">2024-08-24</t>
  </si>
  <si>
    <t xml:space="preserve">OH0019538177</t>
  </si>
  <si>
    <t xml:space="preserve">WELKER</t>
  </si>
  <si>
    <t xml:space="preserve">1987-01-31</t>
  </si>
  <si>
    <t xml:space="preserve">2014-01-28</t>
  </si>
  <si>
    <t xml:space="preserve">771 BONNIE BRAE AVE SE</t>
  </si>
  <si>
    <t xml:space="preserve">OH0018813032</t>
  </si>
  <si>
    <t xml:space="preserve">MARSHALL</t>
  </si>
  <si>
    <t xml:space="preserve">BONITA</t>
  </si>
  <si>
    <t xml:space="preserve">1959-04-20</t>
  </si>
  <si>
    <t xml:space="preserve">2022-11-30</t>
  </si>
  <si>
    <t xml:space="preserve">780 BONNIE BRAE AVE SE</t>
  </si>
  <si>
    <t xml:space="preserve">OH0015821125</t>
  </si>
  <si>
    <t xml:space="preserve">1977-05-12</t>
  </si>
  <si>
    <t xml:space="preserve">2018-03-01</t>
  </si>
  <si>
    <t xml:space="preserve">781 BONNIE BRAE AVE SE</t>
  </si>
  <si>
    <t xml:space="preserve">OH0024308683</t>
  </si>
  <si>
    <t xml:space="preserve">MARXEN</t>
  </si>
  <si>
    <t xml:space="preserve">1995-04-16</t>
  </si>
  <si>
    <t xml:space="preserve">2017-06-21</t>
  </si>
  <si>
    <t xml:space="preserve">790 BONNIE BRAE AVE SE</t>
  </si>
  <si>
    <t xml:space="preserve">OH0015694261</t>
  </si>
  <si>
    <t xml:space="preserve">WILLIAMS</t>
  </si>
  <si>
    <t xml:space="preserve">1983-01-20</t>
  </si>
  <si>
    <t xml:space="preserve">2008-04-15</t>
  </si>
  <si>
    <t xml:space="preserve">1718 BRIER ST SE</t>
  </si>
  <si>
    <t xml:space="preserve">OH0015755528</t>
  </si>
  <si>
    <t xml:space="preserve">ZUCCO</t>
  </si>
  <si>
    <t xml:space="preserve">KENNETH</t>
  </si>
  <si>
    <t xml:space="preserve">1971-08-22</t>
  </si>
  <si>
    <t xml:space="preserve">2021-12-13</t>
  </si>
  <si>
    <t xml:space="preserve">1730 BRIER ST SE</t>
  </si>
  <si>
    <t xml:space="preserve">OH0015781951</t>
  </si>
  <si>
    <t xml:space="preserve">BENNETT</t>
  </si>
  <si>
    <t xml:space="preserve">KELLI</t>
  </si>
  <si>
    <t xml:space="preserve">1981-12-28</t>
  </si>
  <si>
    <t xml:space="preserve">1739 BRIER ST SE</t>
  </si>
  <si>
    <t xml:space="preserve">OH0024183349</t>
  </si>
  <si>
    <t xml:space="preserve">PERRY</t>
  </si>
  <si>
    <t xml:space="preserve">LEWYS</t>
  </si>
  <si>
    <t xml:space="preserve">1968-04-24</t>
  </si>
  <si>
    <t xml:space="preserve">2016-11-08</t>
  </si>
  <si>
    <t xml:space="preserve">OH0024381401</t>
  </si>
  <si>
    <t xml:space="preserve">JOHNSON</t>
  </si>
  <si>
    <t xml:space="preserve">LYDIA</t>
  </si>
  <si>
    <t xml:space="preserve">1984-06-27</t>
  </si>
  <si>
    <t xml:space="preserve">OH0015683782</t>
  </si>
  <si>
    <t xml:space="preserve">1983-10-07</t>
  </si>
  <si>
    <t xml:space="preserve">2009-11-13</t>
  </si>
  <si>
    <t xml:space="preserve">1740 BRIER ST SE</t>
  </si>
  <si>
    <t xml:space="preserve">OH0023978325</t>
  </si>
  <si>
    <t xml:space="preserve">OLU CYRUS</t>
  </si>
  <si>
    <t xml:space="preserve">BISHOP TIFFANY</t>
  </si>
  <si>
    <t xml:space="preserve">1959-07-01</t>
  </si>
  <si>
    <t xml:space="preserve">1767 BRIER ST SE</t>
  </si>
  <si>
    <t xml:space="preserve">OH0015695417</t>
  </si>
  <si>
    <t xml:space="preserve">CLOSSIN</t>
  </si>
  <si>
    <t xml:space="preserve">1964-10-24</t>
  </si>
  <si>
    <t xml:space="preserve">2022-11-23</t>
  </si>
  <si>
    <t xml:space="preserve">OH0024011896</t>
  </si>
  <si>
    <t xml:space="preserve">BORELL</t>
  </si>
  <si>
    <t xml:space="preserve">1967-05-26</t>
  </si>
  <si>
    <t xml:space="preserve">2023-05-26</t>
  </si>
  <si>
    <t xml:space="preserve">OH0015754205</t>
  </si>
  <si>
    <t xml:space="preserve">SIMS</t>
  </si>
  <si>
    <t xml:space="preserve">1966-11-08</t>
  </si>
  <si>
    <t xml:space="preserve">2023-07-14</t>
  </si>
  <si>
    <t xml:space="preserve">1773 BRIER ST SE</t>
  </si>
  <si>
    <t xml:space="preserve">OH0026063382</t>
  </si>
  <si>
    <t xml:space="preserve">SHINE</t>
  </si>
  <si>
    <t xml:space="preserve">PORSHAE</t>
  </si>
  <si>
    <t xml:space="preserve">1993-09-14</t>
  </si>
  <si>
    <t xml:space="preserve">1779 BRIER ST SE</t>
  </si>
  <si>
    <t xml:space="preserve">OH0023441140</t>
  </si>
  <si>
    <t xml:space="preserve">DIGGS</t>
  </si>
  <si>
    <t xml:space="preserve">BERNITA</t>
  </si>
  <si>
    <t xml:space="preserve">1958-01-25</t>
  </si>
  <si>
    <t xml:space="preserve">2015-10-06</t>
  </si>
  <si>
    <t xml:space="preserve">1787 BRIER ST SE</t>
  </si>
  <si>
    <t xml:space="preserve">OH0026348586</t>
  </si>
  <si>
    <t xml:space="preserve">ATKINS</t>
  </si>
  <si>
    <t xml:space="preserve">KING</t>
  </si>
  <si>
    <t xml:space="preserve">JUWUAN</t>
  </si>
  <si>
    <t xml:space="preserve">2003-10-02</t>
  </si>
  <si>
    <t xml:space="preserve">2024-03-18</t>
  </si>
  <si>
    <t xml:space="preserve">OH0023266670</t>
  </si>
  <si>
    <t xml:space="preserve">SHAQUILLE</t>
  </si>
  <si>
    <t xml:space="preserve">Q</t>
  </si>
  <si>
    <t xml:space="preserve">1992-02-19</t>
  </si>
  <si>
    <t xml:space="preserve">2021-03-16</t>
  </si>
  <si>
    <t xml:space="preserve">OH0015754013</t>
  </si>
  <si>
    <t xml:space="preserve">ALETHEA</t>
  </si>
  <si>
    <t xml:space="preserve">1973-06-30</t>
  </si>
  <si>
    <t xml:space="preserve">2008-11-04</t>
  </si>
  <si>
    <t xml:space="preserve">1797 BRIER ST SE</t>
  </si>
  <si>
    <t xml:space="preserve">OH0021133699</t>
  </si>
  <si>
    <t xml:space="preserve">GARY</t>
  </si>
  <si>
    <t xml:space="preserve">DECREETA</t>
  </si>
  <si>
    <t xml:space="preserve">1992-07-13</t>
  </si>
  <si>
    <t xml:space="preserve">1807 BRIER ST SE</t>
  </si>
  <si>
    <t xml:space="preserve">OH0026823917</t>
  </si>
  <si>
    <t xml:space="preserve">NIA</t>
  </si>
  <si>
    <t xml:space="preserve">2004-06-23</t>
  </si>
  <si>
    <t xml:space="preserve">1819 BRIER ST SE</t>
  </si>
  <si>
    <t xml:space="preserve">OH0022075881</t>
  </si>
  <si>
    <t xml:space="preserve">TORKWASE</t>
  </si>
  <si>
    <t xml:space="preserve">1975-05-26</t>
  </si>
  <si>
    <t xml:space="preserve">2015-09-17</t>
  </si>
  <si>
    <t xml:space="preserve">OH0026841158</t>
  </si>
  <si>
    <t xml:space="preserve">NILAH</t>
  </si>
  <si>
    <t xml:space="preserve">JANAE</t>
  </si>
  <si>
    <t xml:space="preserve">2023-03-04</t>
  </si>
  <si>
    <t xml:space="preserve">OH0019088906</t>
  </si>
  <si>
    <t xml:space="preserve">HARDIA</t>
  </si>
  <si>
    <t xml:space="preserve">LATOYA</t>
  </si>
  <si>
    <t xml:space="preserve">1985-10-15</t>
  </si>
  <si>
    <t xml:space="preserve">2012-11-21</t>
  </si>
  <si>
    <t xml:space="preserve">1838 BRIER ST SE</t>
  </si>
  <si>
    <t xml:space="preserve">OH0021403069</t>
  </si>
  <si>
    <t xml:space="preserve">FAYNE</t>
  </si>
  <si>
    <t xml:space="preserve">QUANISHIA</t>
  </si>
  <si>
    <t xml:space="preserve">1993-05-13</t>
  </si>
  <si>
    <t xml:space="preserve">2022-05-24</t>
  </si>
  <si>
    <t xml:space="preserve">OH0025540700</t>
  </si>
  <si>
    <t xml:space="preserve">WASHINGTON</t>
  </si>
  <si>
    <t xml:space="preserve">MELVIN</t>
  </si>
  <si>
    <t xml:space="preserve">1960-01-07</t>
  </si>
  <si>
    <t xml:space="preserve">2021-09-23</t>
  </si>
  <si>
    <t xml:space="preserve">1955 BRIER ST SE</t>
  </si>
  <si>
    <t xml:space="preserve">OH0018956128</t>
  </si>
  <si>
    <t xml:space="preserve">1988-11-02</t>
  </si>
  <si>
    <t xml:space="preserve">2015-03-31</t>
  </si>
  <si>
    <t xml:space="preserve">OH0015763547</t>
  </si>
  <si>
    <t xml:space="preserve">JUAMONE</t>
  </si>
  <si>
    <t xml:space="preserve">O</t>
  </si>
  <si>
    <t xml:space="preserve">1971-08-03</t>
  </si>
  <si>
    <t xml:space="preserve">2012-08-24</t>
  </si>
  <si>
    <t xml:space="preserve">OH0015808073</t>
  </si>
  <si>
    <t xml:space="preserve">KIMBLE</t>
  </si>
  <si>
    <t xml:space="preserve">JACQUELYN</t>
  </si>
  <si>
    <t xml:space="preserve">1962-11-19</t>
  </si>
  <si>
    <t xml:space="preserve">1632 BURTON ST SE</t>
  </si>
  <si>
    <t xml:space="preserve">OH0021800312</t>
  </si>
  <si>
    <t xml:space="preserve">RAYSHAWN</t>
  </si>
  <si>
    <t xml:space="preserve">1987-11-04</t>
  </si>
  <si>
    <t xml:space="preserve">OH0027291227</t>
  </si>
  <si>
    <t xml:space="preserve">BELLORE</t>
  </si>
  <si>
    <t xml:space="preserve">CONO</t>
  </si>
  <si>
    <t xml:space="preserve">CHRIS</t>
  </si>
  <si>
    <t xml:space="preserve">2001-09-28</t>
  </si>
  <si>
    <t xml:space="preserve">2024-03-07</t>
  </si>
  <si>
    <t xml:space="preserve">1640 BURTON ST SE</t>
  </si>
  <si>
    <t xml:space="preserve">OH0025363585</t>
  </si>
  <si>
    <t xml:space="preserve">1975-01-15</t>
  </si>
  <si>
    <t xml:space="preserve">2019-11-21</t>
  </si>
  <si>
    <t xml:space="preserve">OH0025555424</t>
  </si>
  <si>
    <t xml:space="preserve">BURCHETT NORQUIST</t>
  </si>
  <si>
    <t xml:space="preserve">CIERRA</t>
  </si>
  <si>
    <t xml:space="preserve">SHAINNA MARIE</t>
  </si>
  <si>
    <t xml:space="preserve">2002-10-10</t>
  </si>
  <si>
    <t xml:space="preserve">2023-12-18</t>
  </si>
  <si>
    <t xml:space="preserve">OH0025336976</t>
  </si>
  <si>
    <t xml:space="preserve">HEDRINGTON</t>
  </si>
  <si>
    <t xml:space="preserve">ESMOND</t>
  </si>
  <si>
    <t xml:space="preserve">ISAIAH</t>
  </si>
  <si>
    <t xml:space="preserve">1995-11-04</t>
  </si>
  <si>
    <t xml:space="preserve">2023-12-04</t>
  </si>
  <si>
    <t xml:space="preserve">OH0015755711</t>
  </si>
  <si>
    <t xml:space="preserve">DANIELS</t>
  </si>
  <si>
    <t xml:space="preserve">1976-03-05</t>
  </si>
  <si>
    <t xml:space="preserve">2022-05-25</t>
  </si>
  <si>
    <t xml:space="preserve">1726 BURTON ST SE</t>
  </si>
  <si>
    <t xml:space="preserve">OH0020388389</t>
  </si>
  <si>
    <t xml:space="preserve">V</t>
  </si>
  <si>
    <t xml:space="preserve">1988-01-04</t>
  </si>
  <si>
    <t xml:space="preserve">1745 BURTON ST SE</t>
  </si>
  <si>
    <t xml:space="preserve">OH0027497305</t>
  </si>
  <si>
    <t xml:space="preserve">PIERRE</t>
  </si>
  <si>
    <t xml:space="preserve">1990-07-24</t>
  </si>
  <si>
    <t xml:space="preserve">OH0015809606</t>
  </si>
  <si>
    <t xml:space="preserve">MURRY</t>
  </si>
  <si>
    <t xml:space="preserve">1965-02-10</t>
  </si>
  <si>
    <t xml:space="preserve">2010-11-24</t>
  </si>
  <si>
    <t xml:space="preserve">1748 BURTON ST SE</t>
  </si>
  <si>
    <t xml:space="preserve">OH0015743289</t>
  </si>
  <si>
    <t xml:space="preserve">SHEAUNTIE</t>
  </si>
  <si>
    <t xml:space="preserve">1973-04-10</t>
  </si>
  <si>
    <t xml:space="preserve">OH0019090178</t>
  </si>
  <si>
    <t xml:space="preserve">JORDEN</t>
  </si>
  <si>
    <t xml:space="preserve">1987-01-24</t>
  </si>
  <si>
    <t xml:space="preserve">2022-03-10</t>
  </si>
  <si>
    <t xml:space="preserve">1756 BURTON ST SE</t>
  </si>
  <si>
    <t xml:space="preserve">OH0020062860</t>
  </si>
  <si>
    <t xml:space="preserve">DESTINY</t>
  </si>
  <si>
    <t xml:space="preserve">RAE</t>
  </si>
  <si>
    <t xml:space="preserve">1989-03-27</t>
  </si>
  <si>
    <t xml:space="preserve">2023-06-01</t>
  </si>
  <si>
    <t xml:space="preserve">OH0018670341</t>
  </si>
  <si>
    <t xml:space="preserve">1981-02-09</t>
  </si>
  <si>
    <t xml:space="preserve">2008-12-01</t>
  </si>
  <si>
    <t xml:space="preserve">OH0026206147</t>
  </si>
  <si>
    <t xml:space="preserve">MARLENE</t>
  </si>
  <si>
    <t xml:space="preserve">1948-01-03</t>
  </si>
  <si>
    <t xml:space="preserve">1788 BURTON ST SE</t>
  </si>
  <si>
    <t xml:space="preserve">OH0027284900</t>
  </si>
  <si>
    <t xml:space="preserve">GHIAN</t>
  </si>
  <si>
    <t xml:space="preserve">RASAI ARIE</t>
  </si>
  <si>
    <t xml:space="preserve">2004-04-29</t>
  </si>
  <si>
    <t xml:space="preserve">2024-03-06</t>
  </si>
  <si>
    <t xml:space="preserve">1801 BURTON ST SE</t>
  </si>
  <si>
    <t xml:space="preserve">OH0015788941</t>
  </si>
  <si>
    <t xml:space="preserve">BARNES</t>
  </si>
  <si>
    <t xml:space="preserve">SONYA</t>
  </si>
  <si>
    <t xml:space="preserve">1970-06-08</t>
  </si>
  <si>
    <t xml:space="preserve">2012-05-28</t>
  </si>
  <si>
    <t xml:space="preserve">OH0018670528</t>
  </si>
  <si>
    <t xml:space="preserve">GAIL</t>
  </si>
  <si>
    <t xml:space="preserve">1965-02-25</t>
  </si>
  <si>
    <t xml:space="preserve">2016-10-11</t>
  </si>
  <si>
    <t xml:space="preserve">1904 BURTON ST SE</t>
  </si>
  <si>
    <t xml:space="preserve">OH0023357798</t>
  </si>
  <si>
    <t xml:space="preserve">BOBBITT</t>
  </si>
  <si>
    <t xml:space="preserve">KENYA</t>
  </si>
  <si>
    <t xml:space="preserve">1996-08-05</t>
  </si>
  <si>
    <t xml:space="preserve">1912 BURTON ST SE</t>
  </si>
  <si>
    <t xml:space="preserve">OH0018597495</t>
  </si>
  <si>
    <t xml:space="preserve">LIPTROT</t>
  </si>
  <si>
    <t xml:space="preserve">EBONY</t>
  </si>
  <si>
    <t xml:space="preserve">DIONNE</t>
  </si>
  <si>
    <t xml:space="preserve">1987-03-19</t>
  </si>
  <si>
    <t xml:space="preserve">2020-08-22</t>
  </si>
  <si>
    <t xml:space="preserve">OH0018751195</t>
  </si>
  <si>
    <t xml:space="preserve">WESLEY</t>
  </si>
  <si>
    <t xml:space="preserve">FRANCINE</t>
  </si>
  <si>
    <t xml:space="preserve">1963-10-25</t>
  </si>
  <si>
    <t xml:space="preserve">2024-10-07</t>
  </si>
  <si>
    <t xml:space="preserve">1920 BURTON ST SE</t>
  </si>
  <si>
    <t xml:space="preserve">OH0024759613</t>
  </si>
  <si>
    <t xml:space="preserve">JACKSON</t>
  </si>
  <si>
    <t xml:space="preserve">TERRIAN</t>
  </si>
  <si>
    <t xml:space="preserve">1999-09-23</t>
  </si>
  <si>
    <t xml:space="preserve">2018-08-25</t>
  </si>
  <si>
    <t xml:space="preserve">1921 BURTON ST SE</t>
  </si>
  <si>
    <t xml:space="preserve">OH0025440399</t>
  </si>
  <si>
    <t xml:space="preserve">TASHIYAH</t>
  </si>
  <si>
    <t xml:space="preserve">WYNETTE</t>
  </si>
  <si>
    <t xml:space="preserve">2002-03-01</t>
  </si>
  <si>
    <t xml:space="preserve">2020-02-14</t>
  </si>
  <si>
    <t xml:space="preserve">OH0015726531</t>
  </si>
  <si>
    <t xml:space="preserve">LACEY</t>
  </si>
  <si>
    <t xml:space="preserve">1977-04-25</t>
  </si>
  <si>
    <t xml:space="preserve">2020-10-04</t>
  </si>
  <si>
    <t xml:space="preserve">OH0026250141</t>
  </si>
  <si>
    <t xml:space="preserve">TERRION</t>
  </si>
  <si>
    <t xml:space="preserve">2000-09-23</t>
  </si>
  <si>
    <t xml:space="preserve">2021-07-26</t>
  </si>
  <si>
    <t xml:space="preserve">OH0015776377</t>
  </si>
  <si>
    <t xml:space="preserve">ERICA</t>
  </si>
  <si>
    <t xml:space="preserve">1980-10-27</t>
  </si>
  <si>
    <t xml:space="preserve">2016-09-07</t>
  </si>
  <si>
    <t xml:space="preserve">1929 BURTON ST SE</t>
  </si>
  <si>
    <t xml:space="preserve">OH0022026459</t>
  </si>
  <si>
    <t xml:space="preserve">TIANA</t>
  </si>
  <si>
    <t xml:space="preserve">1975-12-25</t>
  </si>
  <si>
    <t xml:space="preserve">1936 BURTON ST SE</t>
  </si>
  <si>
    <t xml:space="preserve">OH0027730043</t>
  </si>
  <si>
    <t xml:space="preserve">GROVER</t>
  </si>
  <si>
    <t xml:space="preserve">1982-02-19</t>
  </si>
  <si>
    <t xml:space="preserve">FRNT 0</t>
  </si>
  <si>
    <t xml:space="preserve">OH0015677706</t>
  </si>
  <si>
    <t xml:space="preserve">WILLIAMSON</t>
  </si>
  <si>
    <t xml:space="preserve">1980-10-01</t>
  </si>
  <si>
    <t xml:space="preserve">2025-04-07</t>
  </si>
  <si>
    <t xml:space="preserve">1914 CAROLINA AVE SE</t>
  </si>
  <si>
    <t xml:space="preserve">OH0015751972</t>
  </si>
  <si>
    <t xml:space="preserve">ELKINS</t>
  </si>
  <si>
    <t xml:space="preserve">SEAN</t>
  </si>
  <si>
    <t xml:space="preserve">1984-04-28</t>
  </si>
  <si>
    <t xml:space="preserve">2023-05-31</t>
  </si>
  <si>
    <t xml:space="preserve">1928 CAROLINA AVE SE</t>
  </si>
  <si>
    <t xml:space="preserve">OH0026180196</t>
  </si>
  <si>
    <t xml:space="preserve">ELLIS</t>
  </si>
  <si>
    <t xml:space="preserve">2003-03-01</t>
  </si>
  <si>
    <t xml:space="preserve">2025-04-17</t>
  </si>
  <si>
    <t xml:space="preserve">1938 CAROLINA AVE SE</t>
  </si>
  <si>
    <t xml:space="preserve">OH0024621386</t>
  </si>
  <si>
    <t xml:space="preserve">HARLEY</t>
  </si>
  <si>
    <t xml:space="preserve">DANIEL</t>
  </si>
  <si>
    <t xml:space="preserve">1998-07-20</t>
  </si>
  <si>
    <t xml:space="preserve">2018-04-10</t>
  </si>
  <si>
    <t xml:space="preserve">1942 CAROLINA AVE SE</t>
  </si>
  <si>
    <t xml:space="preserve">OH0021702166</t>
  </si>
  <si>
    <t xml:space="preserve">WIANT</t>
  </si>
  <si>
    <t xml:space="preserve">DELORES</t>
  </si>
  <si>
    <t xml:space="preserve">1972-01-23</t>
  </si>
  <si>
    <t xml:space="preserve">2012-02-06</t>
  </si>
  <si>
    <t xml:space="preserve">129 CHARLES AVE NE</t>
  </si>
  <si>
    <t xml:space="preserve">OH0026722382</t>
  </si>
  <si>
    <t xml:space="preserve">RUPLE</t>
  </si>
  <si>
    <t xml:space="preserve">STEVEN</t>
  </si>
  <si>
    <t xml:space="preserve">1988-08-03</t>
  </si>
  <si>
    <t xml:space="preserve">2022-11-08</t>
  </si>
  <si>
    <t xml:space="preserve">137 CHARLES AVE NE</t>
  </si>
  <si>
    <t xml:space="preserve">OH0019914547</t>
  </si>
  <si>
    <t xml:space="preserve">1963-03-27</t>
  </si>
  <si>
    <t xml:space="preserve">OH0027547712</t>
  </si>
  <si>
    <t xml:space="preserve">JOSE</t>
  </si>
  <si>
    <t xml:space="preserve">1986-07-29</t>
  </si>
  <si>
    <t xml:space="preserve">149 CHARLES AVE NE</t>
  </si>
  <si>
    <t xml:space="preserve">OH0025859218</t>
  </si>
  <si>
    <t xml:space="preserve">SCOFIELD</t>
  </si>
  <si>
    <t xml:space="preserve">JON</t>
  </si>
  <si>
    <t xml:space="preserve">2001-11-05</t>
  </si>
  <si>
    <t xml:space="preserve">2020-09-01</t>
  </si>
  <si>
    <t xml:space="preserve">OH0025580572</t>
  </si>
  <si>
    <t xml:space="preserve">LOHR</t>
  </si>
  <si>
    <t xml:space="preserve">MISTY DAWN</t>
  </si>
  <si>
    <t xml:space="preserve">1985-06-26</t>
  </si>
  <si>
    <t xml:space="preserve">2020-03-23</t>
  </si>
  <si>
    <t xml:space="preserve">157 CHARLES AVE NE</t>
  </si>
  <si>
    <t xml:space="preserve">OH0023444944</t>
  </si>
  <si>
    <t xml:space="preserve">WALKER</t>
  </si>
  <si>
    <t xml:space="preserve">JADE</t>
  </si>
  <si>
    <t xml:space="preserve">1990-09-22</t>
  </si>
  <si>
    <t xml:space="preserve">2015-11-05</t>
  </si>
  <si>
    <t xml:space="preserve">167 CHARLES AVE NE</t>
  </si>
  <si>
    <t xml:space="preserve">OH0025249957</t>
  </si>
  <si>
    <t xml:space="preserve">ETZWILER</t>
  </si>
  <si>
    <t xml:space="preserve">TINNISHA</t>
  </si>
  <si>
    <t xml:space="preserve">DAWN LYNN</t>
  </si>
  <si>
    <t xml:space="preserve">1978-04-04</t>
  </si>
  <si>
    <t xml:space="preserve">OH0023317468</t>
  </si>
  <si>
    <t xml:space="preserve">EICHLER</t>
  </si>
  <si>
    <t xml:space="preserve">1994-12-07</t>
  </si>
  <si>
    <t xml:space="preserve">2024-08-17</t>
  </si>
  <si>
    <t xml:space="preserve">OH0025046541</t>
  </si>
  <si>
    <t xml:space="preserve">EISENHUTH</t>
  </si>
  <si>
    <t xml:space="preserve">KASSI</t>
  </si>
  <si>
    <t xml:space="preserve">2000-10-26</t>
  </si>
  <si>
    <t xml:space="preserve">2020-06-01</t>
  </si>
  <si>
    <t xml:space="preserve">OH0021288114</t>
  </si>
  <si>
    <t xml:space="preserve">MOORE</t>
  </si>
  <si>
    <t xml:space="preserve">1989-04-16</t>
  </si>
  <si>
    <t xml:space="preserve">183 CHARLES AVE NE</t>
  </si>
  <si>
    <t xml:space="preserve">OH0015793571</t>
  </si>
  <si>
    <t xml:space="preserve">BLANAR</t>
  </si>
  <si>
    <t xml:space="preserve">EVELINE</t>
  </si>
  <si>
    <t xml:space="preserve">1938-01-07</t>
  </si>
  <si>
    <t xml:space="preserve">1960-03-03</t>
  </si>
  <si>
    <t xml:space="preserve">234 CHARLES AVE NE</t>
  </si>
  <si>
    <t xml:space="preserve">OH0024655309</t>
  </si>
  <si>
    <t xml:space="preserve">MARCHESE</t>
  </si>
  <si>
    <t xml:space="preserve">CHERYL</t>
  </si>
  <si>
    <t xml:space="preserve">IRENE</t>
  </si>
  <si>
    <t xml:space="preserve">1962-07-15</t>
  </si>
  <si>
    <t xml:space="preserve">2018-06-04</t>
  </si>
  <si>
    <t xml:space="preserve">243 CHARLES AVE NE</t>
  </si>
  <si>
    <t xml:space="preserve">OH0024896756</t>
  </si>
  <si>
    <t xml:space="preserve">FRANK</t>
  </si>
  <si>
    <t xml:space="preserve">1967-07-10</t>
  </si>
  <si>
    <t xml:space="preserve">2018-10-03</t>
  </si>
  <si>
    <t xml:space="preserve">OH0015755967</t>
  </si>
  <si>
    <t xml:space="preserve">LOMAX</t>
  </si>
  <si>
    <t xml:space="preserve">1979-02-13</t>
  </si>
  <si>
    <t xml:space="preserve">255 CHARLES AVE NE</t>
  </si>
  <si>
    <t xml:space="preserve">OH0015754905</t>
  </si>
  <si>
    <t xml:space="preserve">BLAND</t>
  </si>
  <si>
    <t xml:space="preserve">KELLY</t>
  </si>
  <si>
    <t xml:space="preserve">1973-04-24</t>
  </si>
  <si>
    <t xml:space="preserve">1998-05-15</t>
  </si>
  <si>
    <t xml:space="preserve">OH0025738460</t>
  </si>
  <si>
    <t xml:space="preserve">VAIL</t>
  </si>
  <si>
    <t xml:space="preserve">KAYLAH</t>
  </si>
  <si>
    <t xml:space="preserve">SOFIA ANNE</t>
  </si>
  <si>
    <t xml:space="preserve">1999-12-26</t>
  </si>
  <si>
    <t xml:space="preserve">2023-12-19</t>
  </si>
  <si>
    <t xml:space="preserve">256 CHARLES AVE NE</t>
  </si>
  <si>
    <t xml:space="preserve">OH0021178851</t>
  </si>
  <si>
    <t xml:space="preserve">TASHARRA</t>
  </si>
  <si>
    <t xml:space="preserve">1978-11-03</t>
  </si>
  <si>
    <t xml:space="preserve">265 CHARLES AVE NE</t>
  </si>
  <si>
    <t xml:space="preserve">OH0015697642</t>
  </si>
  <si>
    <t xml:space="preserve">BHAIH</t>
  </si>
  <si>
    <t xml:space="preserve">1966-06-21</t>
  </si>
  <si>
    <t xml:space="preserve">2016-03-16</t>
  </si>
  <si>
    <t xml:space="preserve">125 CHARLES AVE SE</t>
  </si>
  <si>
    <t xml:space="preserve">OH0024289743</t>
  </si>
  <si>
    <t xml:space="preserve">MORAD</t>
  </si>
  <si>
    <t xml:space="preserve">1974-09-23</t>
  </si>
  <si>
    <t xml:space="preserve">OH0023184254</t>
  </si>
  <si>
    <t xml:space="preserve">JACOBS</t>
  </si>
  <si>
    <t xml:space="preserve">MELANIE</t>
  </si>
  <si>
    <t xml:space="preserve">1986-09-21</t>
  </si>
  <si>
    <t xml:space="preserve">2021-11-20</t>
  </si>
  <si>
    <t xml:space="preserve">OH0015768928</t>
  </si>
  <si>
    <t xml:space="preserve">LOPEZ</t>
  </si>
  <si>
    <t xml:space="preserve">RICARDO</t>
  </si>
  <si>
    <t xml:space="preserve">1960-07-21</t>
  </si>
  <si>
    <t xml:space="preserve">126 CHARLES AVE SE</t>
  </si>
  <si>
    <t xml:space="preserve">OH0019359378</t>
  </si>
  <si>
    <t xml:space="preserve">LORRAINE</t>
  </si>
  <si>
    <t xml:space="preserve">1989-09-19</t>
  </si>
  <si>
    <t xml:space="preserve">OH0020095843</t>
  </si>
  <si>
    <t xml:space="preserve">KLINE</t>
  </si>
  <si>
    <t xml:space="preserve">DANIELLE</t>
  </si>
  <si>
    <t xml:space="preserve">1981-12-12</t>
  </si>
  <si>
    <t xml:space="preserve">2021-09-25</t>
  </si>
  <si>
    <t xml:space="preserve">135 CHARLES AVE SE</t>
  </si>
  <si>
    <t xml:space="preserve">OH0023344962</t>
  </si>
  <si>
    <t xml:space="preserve">CASPER</t>
  </si>
  <si>
    <t xml:space="preserve">1967-09-03</t>
  </si>
  <si>
    <t xml:space="preserve">OH0015763027</t>
  </si>
  <si>
    <t xml:space="preserve">FORD</t>
  </si>
  <si>
    <t xml:space="preserve">MARYANN</t>
  </si>
  <si>
    <t xml:space="preserve">1949-11-22</t>
  </si>
  <si>
    <t xml:space="preserve">1993-11-01</t>
  </si>
  <si>
    <t xml:space="preserve">141 CHARLES AVE SE</t>
  </si>
  <si>
    <t xml:space="preserve">OH0015738538</t>
  </si>
  <si>
    <t xml:space="preserve">SHONGO</t>
  </si>
  <si>
    <t xml:space="preserve">JANICE</t>
  </si>
  <si>
    <t xml:space="preserve">1944-03-30</t>
  </si>
  <si>
    <t xml:space="preserve">2022-03-15</t>
  </si>
  <si>
    <t xml:space="preserve">146 CHARLES AVE SE</t>
  </si>
  <si>
    <t xml:space="preserve">OH0023484231</t>
  </si>
  <si>
    <t xml:space="preserve">HURT</t>
  </si>
  <si>
    <t xml:space="preserve">1980-05-12</t>
  </si>
  <si>
    <t xml:space="preserve">2016-01-16</t>
  </si>
  <si>
    <t xml:space="preserve">149 CHARLES AVE SE</t>
  </si>
  <si>
    <t xml:space="preserve">OH0015801214</t>
  </si>
  <si>
    <t xml:space="preserve">BETTY</t>
  </si>
  <si>
    <t xml:space="preserve">1980-01-13</t>
  </si>
  <si>
    <t xml:space="preserve">2017-11-13</t>
  </si>
  <si>
    <t xml:space="preserve">156 CHARLES AVE SE</t>
  </si>
  <si>
    <t xml:space="preserve">OH0027564839</t>
  </si>
  <si>
    <t xml:space="preserve">AMIR</t>
  </si>
  <si>
    <t xml:space="preserve">2006-05-23</t>
  </si>
  <si>
    <t xml:space="preserve">2024-09-04</t>
  </si>
  <si>
    <t xml:space="preserve">OH0021133903</t>
  </si>
  <si>
    <t xml:space="preserve">BOGANY</t>
  </si>
  <si>
    <t xml:space="preserve">ITITCHERS</t>
  </si>
  <si>
    <t xml:space="preserve">1976-12-17</t>
  </si>
  <si>
    <t xml:space="preserve">2010-07-30</t>
  </si>
  <si>
    <t xml:space="preserve">157 CHARLES AVE SE</t>
  </si>
  <si>
    <t xml:space="preserve">OH0025208766</t>
  </si>
  <si>
    <t xml:space="preserve">TAYLOR</t>
  </si>
  <si>
    <t xml:space="preserve">TI MAUANIA</t>
  </si>
  <si>
    <t xml:space="preserve">1993-03-02</t>
  </si>
  <si>
    <t xml:space="preserve">2019-09-17</t>
  </si>
  <si>
    <t xml:space="preserve">167 CHARLES AVE SE</t>
  </si>
  <si>
    <t xml:space="preserve">OH0024299866</t>
  </si>
  <si>
    <t xml:space="preserve">PARKER DOUGLAS</t>
  </si>
  <si>
    <t xml:space="preserve">DARRIELL</t>
  </si>
  <si>
    <t xml:space="preserve">DESHARRAY</t>
  </si>
  <si>
    <t xml:space="preserve">1996-10-25</t>
  </si>
  <si>
    <t xml:space="preserve">UPPR</t>
  </si>
  <si>
    <t xml:space="preserve">OH0022018172</t>
  </si>
  <si>
    <t xml:space="preserve">ALFORD</t>
  </si>
  <si>
    <t xml:space="preserve">MARKEILA</t>
  </si>
  <si>
    <t xml:space="preserve">1992-06-21</t>
  </si>
  <si>
    <t xml:space="preserve">2019-06-23</t>
  </si>
  <si>
    <t xml:space="preserve">OH0027260548</t>
  </si>
  <si>
    <t xml:space="preserve">MENAPACE</t>
  </si>
  <si>
    <t xml:space="preserve">LENA</t>
  </si>
  <si>
    <t xml:space="preserve">MARIAH</t>
  </si>
  <si>
    <t xml:space="preserve">2000-02-26</t>
  </si>
  <si>
    <t xml:space="preserve">2024-02-15</t>
  </si>
  <si>
    <t xml:space="preserve">OH0027176171</t>
  </si>
  <si>
    <t xml:space="preserve">HERNANDEZ RIVERA</t>
  </si>
  <si>
    <t xml:space="preserve">JAILIANY</t>
  </si>
  <si>
    <t xml:space="preserve">2006-04-28</t>
  </si>
  <si>
    <t xml:space="preserve">2023-11-06</t>
  </si>
  <si>
    <t xml:space="preserve">179 CHARLES AVE SE</t>
  </si>
  <si>
    <t xml:space="preserve">OH0021883008</t>
  </si>
  <si>
    <t xml:space="preserve">DEPAZ</t>
  </si>
  <si>
    <t xml:space="preserve">YARALIZ</t>
  </si>
  <si>
    <t xml:space="preserve">1984-03-16</t>
  </si>
  <si>
    <t xml:space="preserve">2018-06-24</t>
  </si>
  <si>
    <t xml:space="preserve">OH0027183315</t>
  </si>
  <si>
    <t xml:space="preserve">RIVERA</t>
  </si>
  <si>
    <t xml:space="preserve">LUIS</t>
  </si>
  <si>
    <t xml:space="preserve">2003-05-23</t>
  </si>
  <si>
    <t xml:space="preserve">2023-11-22</t>
  </si>
  <si>
    <t xml:space="preserve">OH0021760673</t>
  </si>
  <si>
    <t xml:space="preserve">HARSCH</t>
  </si>
  <si>
    <t xml:space="preserve">1991-03-03</t>
  </si>
  <si>
    <t xml:space="preserve">2024-03-15</t>
  </si>
  <si>
    <t xml:space="preserve">186 CHARLES AVE SE</t>
  </si>
  <si>
    <t xml:space="preserve">OH0023945172</t>
  </si>
  <si>
    <t xml:space="preserve">COFFMAN</t>
  </si>
  <si>
    <t xml:space="preserve">JACOB</t>
  </si>
  <si>
    <t xml:space="preserve">1997-11-25</t>
  </si>
  <si>
    <t xml:space="preserve">2018-06-27</t>
  </si>
  <si>
    <t xml:space="preserve">OH0019358216</t>
  </si>
  <si>
    <t xml:space="preserve">MARCICE</t>
  </si>
  <si>
    <t xml:space="preserve">JEROME</t>
  </si>
  <si>
    <t xml:space="preserve">1979-08-17</t>
  </si>
  <si>
    <t xml:space="preserve">2009-03-03</t>
  </si>
  <si>
    <t xml:space="preserve">196 CHARLES AVE SE</t>
  </si>
  <si>
    <t xml:space="preserve">OH0023702703</t>
  </si>
  <si>
    <t xml:space="preserve">1996-07-14</t>
  </si>
  <si>
    <t xml:space="preserve">2016-05-26</t>
  </si>
  <si>
    <t xml:space="preserve">207 CHARLES AVE SE</t>
  </si>
  <si>
    <t xml:space="preserve">OH0027496896</t>
  </si>
  <si>
    <t xml:space="preserve">CHOW</t>
  </si>
  <si>
    <t xml:space="preserve">2001-01-21</t>
  </si>
  <si>
    <t xml:space="preserve">OH0026623355</t>
  </si>
  <si>
    <t xml:space="preserve">EARLY</t>
  </si>
  <si>
    <t xml:space="preserve">1976-03-15</t>
  </si>
  <si>
    <t xml:space="preserve">OH0023018360</t>
  </si>
  <si>
    <t xml:space="preserve">III</t>
  </si>
  <si>
    <t xml:space="preserve">1996-11-05</t>
  </si>
  <si>
    <t xml:space="preserve">2014-12-11</t>
  </si>
  <si>
    <t xml:space="preserve">OH0024391863</t>
  </si>
  <si>
    <t xml:space="preserve">CAMPBELL</t>
  </si>
  <si>
    <t xml:space="preserve">1985-07-23</t>
  </si>
  <si>
    <t xml:space="preserve">219 CHARLES AVE SE</t>
  </si>
  <si>
    <t xml:space="preserve">APT 3</t>
  </si>
  <si>
    <t xml:space="preserve">OH0026906015</t>
  </si>
  <si>
    <t xml:space="preserve">TURVEY</t>
  </si>
  <si>
    <t xml:space="preserve">LOIS</t>
  </si>
  <si>
    <t xml:space="preserve">MAE</t>
  </si>
  <si>
    <t xml:space="preserve">1962-03-14</t>
  </si>
  <si>
    <t xml:space="preserve">2024-10-21</t>
  </si>
  <si>
    <t xml:space="preserve">221 CHARLES AVE SE</t>
  </si>
  <si>
    <t xml:space="preserve">APT 4</t>
  </si>
  <si>
    <t xml:space="preserve">OH0026518864</t>
  </si>
  <si>
    <t xml:space="preserve">UYGUN</t>
  </si>
  <si>
    <t xml:space="preserve">KILEE</t>
  </si>
  <si>
    <t xml:space="preserve">JAZMINE ANN</t>
  </si>
  <si>
    <t xml:space="preserve">1999-07-20</t>
  </si>
  <si>
    <t xml:space="preserve">2022-05-19</t>
  </si>
  <si>
    <t xml:space="preserve">OH0022575017</t>
  </si>
  <si>
    <t xml:space="preserve">JOURNEY</t>
  </si>
  <si>
    <t xml:space="preserve">1995-10-05</t>
  </si>
  <si>
    <t xml:space="preserve">319 CHARLES AVE SE</t>
  </si>
  <si>
    <t xml:space="preserve">OH0015684987</t>
  </si>
  <si>
    <t xml:space="preserve">MCLENNAN</t>
  </si>
  <si>
    <t xml:space="preserve">CATHIE</t>
  </si>
  <si>
    <t xml:space="preserve">1948-12-18</t>
  </si>
  <si>
    <t xml:space="preserve">1976-10-04</t>
  </si>
  <si>
    <t xml:space="preserve">OH0015758720</t>
  </si>
  <si>
    <t xml:space="preserve">KRISTIN</t>
  </si>
  <si>
    <t xml:space="preserve">1985-11-09</t>
  </si>
  <si>
    <t xml:space="preserve">2004-02-18</t>
  </si>
  <si>
    <t xml:space="preserve">OH0025039886</t>
  </si>
  <si>
    <t xml:space="preserve">ALYNZCIA</t>
  </si>
  <si>
    <t xml:space="preserve">BLAIR</t>
  </si>
  <si>
    <t xml:space="preserve">1988-06-20</t>
  </si>
  <si>
    <t xml:space="preserve">2024-09-25</t>
  </si>
  <si>
    <t xml:space="preserve">329 CHARLES AVE SE</t>
  </si>
  <si>
    <t xml:space="preserve">OH0026781557</t>
  </si>
  <si>
    <t xml:space="preserve">GRAHAM</t>
  </si>
  <si>
    <t xml:space="preserve">STEWARD</t>
  </si>
  <si>
    <t xml:space="preserve">1965-05-27</t>
  </si>
  <si>
    <t xml:space="preserve">2022-12-08</t>
  </si>
  <si>
    <t xml:space="preserve">338 CHARLES AVE SE</t>
  </si>
  <si>
    <t xml:space="preserve">OH0026734456</t>
  </si>
  <si>
    <t xml:space="preserve">CONDE</t>
  </si>
  <si>
    <t xml:space="preserve">JEAN LUC</t>
  </si>
  <si>
    <t xml:space="preserve">2005-10-23</t>
  </si>
  <si>
    <t xml:space="preserve">2022-12-02</t>
  </si>
  <si>
    <t xml:space="preserve">351 CHARLES AVE SE</t>
  </si>
  <si>
    <t xml:space="preserve">OH0019882944</t>
  </si>
  <si>
    <t xml:space="preserve">1974-09-15</t>
  </si>
  <si>
    <t xml:space="preserve">2016-10-08</t>
  </si>
  <si>
    <t xml:space="preserve">OH0015880099</t>
  </si>
  <si>
    <t xml:space="preserve">1973-01-20</t>
  </si>
  <si>
    <t xml:space="preserve">2006-11-04</t>
  </si>
  <si>
    <t xml:space="preserve">OH0026083776</t>
  </si>
  <si>
    <t xml:space="preserve">LAVIGNE</t>
  </si>
  <si>
    <t xml:space="preserve">1977-10-06</t>
  </si>
  <si>
    <t xml:space="preserve">2023-05-03</t>
  </si>
  <si>
    <t xml:space="preserve">359 CHARLES AVE SE</t>
  </si>
  <si>
    <t xml:space="preserve">OH0027495465</t>
  </si>
  <si>
    <t xml:space="preserve">BARTLETT</t>
  </si>
  <si>
    <t xml:space="preserve">SIMON</t>
  </si>
  <si>
    <t xml:space="preserve">2003-06-10</t>
  </si>
  <si>
    <t xml:space="preserve">OH0025121988</t>
  </si>
  <si>
    <t xml:space="preserve">RODNEY</t>
  </si>
  <si>
    <t xml:space="preserve">1972-07-04</t>
  </si>
  <si>
    <t xml:space="preserve">2019-06-07</t>
  </si>
  <si>
    <t xml:space="preserve">OH0015778331</t>
  </si>
  <si>
    <t xml:space="preserve">BRANDI</t>
  </si>
  <si>
    <t xml:space="preserve">1981-11-17</t>
  </si>
  <si>
    <t xml:space="preserve">2018-11-28</t>
  </si>
  <si>
    <t xml:space="preserve">370 CHARLES AVE SE</t>
  </si>
  <si>
    <t xml:space="preserve">OH0023079887</t>
  </si>
  <si>
    <t xml:space="preserve">1997-10-15</t>
  </si>
  <si>
    <t xml:space="preserve">OH0019537987</t>
  </si>
  <si>
    <t xml:space="preserve">BANJACK</t>
  </si>
  <si>
    <t xml:space="preserve">SHANE</t>
  </si>
  <si>
    <t xml:space="preserve">1990-06-01</t>
  </si>
  <si>
    <t xml:space="preserve">2024-06-03</t>
  </si>
  <si>
    <t xml:space="preserve">379 CHARLES AVE SE</t>
  </si>
  <si>
    <t xml:space="preserve">OH0015692272</t>
  </si>
  <si>
    <t xml:space="preserve">ECONOMOS</t>
  </si>
  <si>
    <t xml:space="preserve">1947-04-01</t>
  </si>
  <si>
    <t xml:space="preserve">2008-02-04</t>
  </si>
  <si>
    <t xml:space="preserve">389 CHARLES AVE SE</t>
  </si>
  <si>
    <t xml:space="preserve">OH0015755025</t>
  </si>
  <si>
    <t xml:space="preserve">GILBERT</t>
  </si>
  <si>
    <t xml:space="preserve">LORI</t>
  </si>
  <si>
    <t xml:space="preserve">1966-03-02</t>
  </si>
  <si>
    <t xml:space="preserve">2002-02-28</t>
  </si>
  <si>
    <t xml:space="preserve">452 CHARLES AVE SE</t>
  </si>
  <si>
    <t xml:space="preserve">OH0015909125</t>
  </si>
  <si>
    <t xml:space="preserve">PETER</t>
  </si>
  <si>
    <t xml:space="preserve">1959-12-01</t>
  </si>
  <si>
    <t xml:space="preserve">2004-09-18</t>
  </si>
  <si>
    <t xml:space="preserve">OH0020624431</t>
  </si>
  <si>
    <t xml:space="preserve">BRITTANEE</t>
  </si>
  <si>
    <t xml:space="preserve">NIKOLE</t>
  </si>
  <si>
    <t xml:space="preserve">1990-11-09</t>
  </si>
  <si>
    <t xml:space="preserve">2023-12-08</t>
  </si>
  <si>
    <t xml:space="preserve">457 CHARLES AVE SE</t>
  </si>
  <si>
    <t xml:space="preserve">OH0015762129</t>
  </si>
  <si>
    <t xml:space="preserve">MOORMAN</t>
  </si>
  <si>
    <t xml:space="preserve">TARA</t>
  </si>
  <si>
    <t xml:space="preserve">1986-09-08</t>
  </si>
  <si>
    <t xml:space="preserve">2024-07-14</t>
  </si>
  <si>
    <t xml:space="preserve">462 CHARLES AVE SE</t>
  </si>
  <si>
    <t xml:space="preserve">OH0023636169</t>
  </si>
  <si>
    <t xml:space="preserve">ADAM</t>
  </si>
  <si>
    <t xml:space="preserve">1984-09-25</t>
  </si>
  <si>
    <t xml:space="preserve">OH0027139456</t>
  </si>
  <si>
    <t xml:space="preserve">BLAIN</t>
  </si>
  <si>
    <t xml:space="preserve">RICHARD</t>
  </si>
  <si>
    <t xml:space="preserve">471 CHARLES AVE SE</t>
  </si>
  <si>
    <t xml:space="preserve">OH0027703186</t>
  </si>
  <si>
    <t xml:space="preserve">1977-01-30</t>
  </si>
  <si>
    <t xml:space="preserve">2024-10-06</t>
  </si>
  <si>
    <t xml:space="preserve">OH0024484135</t>
  </si>
  <si>
    <t xml:space="preserve">HANNA</t>
  </si>
  <si>
    <t xml:space="preserve">RUTH ANNE</t>
  </si>
  <si>
    <t xml:space="preserve">1999-09-08</t>
  </si>
  <si>
    <t xml:space="preserve">2018-01-06</t>
  </si>
  <si>
    <t xml:space="preserve">OH0024850287</t>
  </si>
  <si>
    <t xml:space="preserve">1978-02-20</t>
  </si>
  <si>
    <t xml:space="preserve">2024-09-13</t>
  </si>
  <si>
    <t xml:space="preserve">OH0015818118</t>
  </si>
  <si>
    <t xml:space="preserve">1972-11-14</t>
  </si>
  <si>
    <t xml:space="preserve">2019-07-29</t>
  </si>
  <si>
    <t xml:space="preserve">472 CHARLES AVE SE</t>
  </si>
  <si>
    <t xml:space="preserve">OH0015692889</t>
  </si>
  <si>
    <t xml:space="preserve">BOCKELMAN</t>
  </si>
  <si>
    <t xml:space="preserve">JERRY</t>
  </si>
  <si>
    <t xml:space="preserve">1952-10-25</t>
  </si>
  <si>
    <t xml:space="preserve">1981-05-28</t>
  </si>
  <si>
    <t xml:space="preserve">OH0015727275</t>
  </si>
  <si>
    <t xml:space="preserve">SOLINGER</t>
  </si>
  <si>
    <t xml:space="preserve">1957-03-29</t>
  </si>
  <si>
    <t xml:space="preserve">2007-09-21</t>
  </si>
  <si>
    <t xml:space="preserve">494 CHARLES AVE SE</t>
  </si>
  <si>
    <t xml:space="preserve">OH0027860680</t>
  </si>
  <si>
    <t xml:space="preserve">1967-07-22</t>
  </si>
  <si>
    <t xml:space="preserve">2024-12-06</t>
  </si>
  <si>
    <t xml:space="preserve">162 CHESTNUT AVE NE</t>
  </si>
  <si>
    <t xml:space="preserve">OH0015698358</t>
  </si>
  <si>
    <t xml:space="preserve">ACCORDINO</t>
  </si>
  <si>
    <t xml:space="preserve">NICK</t>
  </si>
  <si>
    <t xml:space="preserve">1964-12-14</t>
  </si>
  <si>
    <t xml:space="preserve">2023-03-27</t>
  </si>
  <si>
    <t xml:space="preserve">216 CHESTNUT AVE NE</t>
  </si>
  <si>
    <t xml:space="preserve">OH0015713758</t>
  </si>
  <si>
    <t xml:space="preserve">THOMAE ACCORDINO</t>
  </si>
  <si>
    <t xml:space="preserve">MONICA</t>
  </si>
  <si>
    <t xml:space="preserve">1967-09-25</t>
  </si>
  <si>
    <t xml:space="preserve">2024-10-04</t>
  </si>
  <si>
    <t xml:space="preserve">OH0025092532</t>
  </si>
  <si>
    <t xml:space="preserve">1992-11-09</t>
  </si>
  <si>
    <t xml:space="preserve">2019-04-28</t>
  </si>
  <si>
    <t xml:space="preserve">253 CHESTNUT AVE NE</t>
  </si>
  <si>
    <t xml:space="preserve">OH0022367380</t>
  </si>
  <si>
    <t xml:space="preserve">LEHMAN</t>
  </si>
  <si>
    <t xml:space="preserve">1985-01-26</t>
  </si>
  <si>
    <t xml:space="preserve">306 CHESTNUT AVE NE</t>
  </si>
  <si>
    <t xml:space="preserve">OH0027354407</t>
  </si>
  <si>
    <t xml:space="preserve">OGLETREE</t>
  </si>
  <si>
    <t xml:space="preserve">MAURI</t>
  </si>
  <si>
    <t xml:space="preserve">2006-05-11</t>
  </si>
  <si>
    <t xml:space="preserve">2024-05-16</t>
  </si>
  <si>
    <t xml:space="preserve">307 CHESTNUT AVE NE</t>
  </si>
  <si>
    <t xml:space="preserve">OH0027069344</t>
  </si>
  <si>
    <t xml:space="preserve">RASHEEN</t>
  </si>
  <si>
    <t xml:space="preserve">1978-03-30</t>
  </si>
  <si>
    <t xml:space="preserve">2023-09-07</t>
  </si>
  <si>
    <t xml:space="preserve">OH0015756695</t>
  </si>
  <si>
    <t xml:space="preserve">1974-07-10</t>
  </si>
  <si>
    <t xml:space="preserve">2015-12-21</t>
  </si>
  <si>
    <t xml:space="preserve">OH0025543916</t>
  </si>
  <si>
    <t xml:space="preserve">PAYNE</t>
  </si>
  <si>
    <t xml:space="preserve">SYLVIA</t>
  </si>
  <si>
    <t xml:space="preserve">1983-09-21</t>
  </si>
  <si>
    <t xml:space="preserve">2020-09-14</t>
  </si>
  <si>
    <t xml:space="preserve">OH0027017006</t>
  </si>
  <si>
    <t xml:space="preserve">MYAH</t>
  </si>
  <si>
    <t xml:space="preserve">2004-05-20</t>
  </si>
  <si>
    <t xml:space="preserve">2023-08-08</t>
  </si>
  <si>
    <t xml:space="preserve">OH0023760274</t>
  </si>
  <si>
    <t xml:space="preserve">KENDRA</t>
  </si>
  <si>
    <t xml:space="preserve">JEAN</t>
  </si>
  <si>
    <t xml:space="preserve">1962-08-27</t>
  </si>
  <si>
    <t xml:space="preserve">2021-10-09</t>
  </si>
  <si>
    <t xml:space="preserve">314 CHESTNUT AVE NE</t>
  </si>
  <si>
    <t xml:space="preserve">OH0023011668</t>
  </si>
  <si>
    <t xml:space="preserve">SYLVESTER</t>
  </si>
  <si>
    <t xml:space="preserve">DILLON</t>
  </si>
  <si>
    <t xml:space="preserve">RAY</t>
  </si>
  <si>
    <t xml:space="preserve">1992-01-07</t>
  </si>
  <si>
    <t xml:space="preserve">2016-05-05</t>
  </si>
  <si>
    <t xml:space="preserve">316 CHESTNUT AVE NE</t>
  </si>
  <si>
    <t xml:space="preserve">OH0026148705</t>
  </si>
  <si>
    <t xml:space="preserve">OMAR</t>
  </si>
  <si>
    <t xml:space="preserve">HALA</t>
  </si>
  <si>
    <t xml:space="preserve">1958-03-12</t>
  </si>
  <si>
    <t xml:space="preserve">2021-02-24</t>
  </si>
  <si>
    <t xml:space="preserve">317 CHESTNUT AVE NE</t>
  </si>
  <si>
    <t xml:space="preserve">OH0015813484</t>
  </si>
  <si>
    <t xml:space="preserve">MAY</t>
  </si>
  <si>
    <t xml:space="preserve">EUGENIA</t>
  </si>
  <si>
    <t xml:space="preserve">1955-09-16</t>
  </si>
  <si>
    <t xml:space="preserve">2016-07-28</t>
  </si>
  <si>
    <t xml:space="preserve">326 CHESTNUT AVE NE</t>
  </si>
  <si>
    <t xml:space="preserve">OH0018597253</t>
  </si>
  <si>
    <t xml:space="preserve">1982-12-27</t>
  </si>
  <si>
    <t xml:space="preserve">OH0022109287</t>
  </si>
  <si>
    <t xml:space="preserve">BAILES</t>
  </si>
  <si>
    <t xml:space="preserve">SCHULTZ</t>
  </si>
  <si>
    <t xml:space="preserve">1994-10-03</t>
  </si>
  <si>
    <t xml:space="preserve">2023-09-29</t>
  </si>
  <si>
    <t xml:space="preserve">338 CHESTNUT AVE NE</t>
  </si>
  <si>
    <t xml:space="preserve">OH0023147643</t>
  </si>
  <si>
    <t xml:space="preserve">WYNYARD</t>
  </si>
  <si>
    <t xml:space="preserve">TRISTYN</t>
  </si>
  <si>
    <t xml:space="preserve">BLAKE</t>
  </si>
  <si>
    <t xml:space="preserve">1997-05-14</t>
  </si>
  <si>
    <t xml:space="preserve">2024-07-21</t>
  </si>
  <si>
    <t xml:space="preserve">OH0027724337</t>
  </si>
  <si>
    <t xml:space="preserve">1973-06-04</t>
  </si>
  <si>
    <t xml:space="preserve">2025-06-06</t>
  </si>
  <si>
    <t xml:space="preserve">OH0023465634</t>
  </si>
  <si>
    <t xml:space="preserve">SAIN</t>
  </si>
  <si>
    <t xml:space="preserve">AMANDA</t>
  </si>
  <si>
    <t xml:space="preserve">CATHRYN</t>
  </si>
  <si>
    <t xml:space="preserve">1991-09-21</t>
  </si>
  <si>
    <t xml:space="preserve">OH0027437557</t>
  </si>
  <si>
    <t xml:space="preserve">2001-12-19</t>
  </si>
  <si>
    <t xml:space="preserve">OH0022018740</t>
  </si>
  <si>
    <t xml:space="preserve">SULLIVAN</t>
  </si>
  <si>
    <t xml:space="preserve">MARCUS</t>
  </si>
  <si>
    <t xml:space="preserve">1994-10-31</t>
  </si>
  <si>
    <t xml:space="preserve">2016-05-13</t>
  </si>
  <si>
    <t xml:space="preserve">339 CHESTNUT AVE NE</t>
  </si>
  <si>
    <t xml:space="preserve">OH0027335629</t>
  </si>
  <si>
    <t xml:space="preserve">SHELLENHAMER</t>
  </si>
  <si>
    <t xml:space="preserve">KASSIDY</t>
  </si>
  <si>
    <t xml:space="preserve">ANNE</t>
  </si>
  <si>
    <t xml:space="preserve">1998-12-08</t>
  </si>
  <si>
    <t xml:space="preserve">2024-04-19</t>
  </si>
  <si>
    <t xml:space="preserve">351 CHESTNUT AVE NE</t>
  </si>
  <si>
    <t xml:space="preserve">OH0021187710</t>
  </si>
  <si>
    <t xml:space="preserve">BENDER</t>
  </si>
  <si>
    <t xml:space="preserve">1991-02-27</t>
  </si>
  <si>
    <t xml:space="preserve">OH0019025969</t>
  </si>
  <si>
    <t xml:space="preserve">PAGAN</t>
  </si>
  <si>
    <t xml:space="preserve">RAUL</t>
  </si>
  <si>
    <t xml:space="preserve">1984-07-07</t>
  </si>
  <si>
    <t xml:space="preserve">2022-10-03</t>
  </si>
  <si>
    <t xml:space="preserve">352 CHESTNUT AVE NE</t>
  </si>
  <si>
    <t xml:space="preserve">OH0019025967</t>
  </si>
  <si>
    <t xml:space="preserve">EDELMIRO</t>
  </si>
  <si>
    <t xml:space="preserve">1940-08-08</t>
  </si>
  <si>
    <t xml:space="preserve">OH0026830472</t>
  </si>
  <si>
    <t xml:space="preserve">MARTINEZ VALENTIN</t>
  </si>
  <si>
    <t xml:space="preserve">DENNISE</t>
  </si>
  <si>
    <t xml:space="preserve">1985-02-21</t>
  </si>
  <si>
    <t xml:space="preserve">2023-02-23</t>
  </si>
  <si>
    <t xml:space="preserve">355 CHESTNUT AVE NE</t>
  </si>
  <si>
    <t xml:space="preserve">OH0025738692</t>
  </si>
  <si>
    <t xml:space="preserve">STONE</t>
  </si>
  <si>
    <t xml:space="preserve">1980-12-12</t>
  </si>
  <si>
    <t xml:space="preserve">2020-09-21</t>
  </si>
  <si>
    <t xml:space="preserve">OH0022202371</t>
  </si>
  <si>
    <t xml:space="preserve">MARTINEZ</t>
  </si>
  <si>
    <t xml:space="preserve">CARMEN</t>
  </si>
  <si>
    <t xml:space="preserve">1966-01-01</t>
  </si>
  <si>
    <t xml:space="preserve">2015-06-18</t>
  </si>
  <si>
    <t xml:space="preserve">386 CHESTNUT AVE NE</t>
  </si>
  <si>
    <t xml:space="preserve">APT 2</t>
  </si>
  <si>
    <t xml:space="preserve">OH0025186111</t>
  </si>
  <si>
    <t xml:space="preserve">CREGIER</t>
  </si>
  <si>
    <t xml:space="preserve">JOSEPH</t>
  </si>
  <si>
    <t xml:space="preserve">1997-01-09</t>
  </si>
  <si>
    <t xml:space="preserve">2019-08-22</t>
  </si>
  <si>
    <t xml:space="preserve">OH0024821850</t>
  </si>
  <si>
    <t xml:space="preserve">POST</t>
  </si>
  <si>
    <t xml:space="preserve">1975-09-25</t>
  </si>
  <si>
    <t xml:space="preserve">2018-09-25</t>
  </si>
  <si>
    <t xml:space="preserve">408 CHESTNUT AVE NE</t>
  </si>
  <si>
    <t xml:space="preserve">OH0023263667</t>
  </si>
  <si>
    <t xml:space="preserve">BRETT</t>
  </si>
  <si>
    <t xml:space="preserve">TONIEL</t>
  </si>
  <si>
    <t xml:space="preserve">1989-04-20</t>
  </si>
  <si>
    <t xml:space="preserve">2018-08-01</t>
  </si>
  <si>
    <t xml:space="preserve">OH0027526943</t>
  </si>
  <si>
    <t xml:space="preserve">GUS</t>
  </si>
  <si>
    <t xml:space="preserve">2002-04-20</t>
  </si>
  <si>
    <t xml:space="preserve">2024-08-12</t>
  </si>
  <si>
    <t xml:space="preserve">423 CHESTNUT AVE NE</t>
  </si>
  <si>
    <t xml:space="preserve">OH0015692853</t>
  </si>
  <si>
    <t xml:space="preserve">WATSON</t>
  </si>
  <si>
    <t xml:space="preserve">JOANN</t>
  </si>
  <si>
    <t xml:space="preserve">1935-12-23</t>
  </si>
  <si>
    <t xml:space="preserve">206 CHESTNUT AVE SE</t>
  </si>
  <si>
    <t xml:space="preserve">OH0020377805</t>
  </si>
  <si>
    <t xml:space="preserve">DYSON</t>
  </si>
  <si>
    <t xml:space="preserve">1957-06-01</t>
  </si>
  <si>
    <t xml:space="preserve">2018-09-28</t>
  </si>
  <si>
    <t xml:space="preserve">208 CHESTNUT AVE SE</t>
  </si>
  <si>
    <t xml:space="preserve">OH0022648736</t>
  </si>
  <si>
    <t xml:space="preserve">DAMIANO</t>
  </si>
  <si>
    <t xml:space="preserve">1947-06-27</t>
  </si>
  <si>
    <t xml:space="preserve">2020-05-29</t>
  </si>
  <si>
    <t xml:space="preserve">218 CHESTNUT AVE SE</t>
  </si>
  <si>
    <t xml:space="preserve">OH0015702972</t>
  </si>
  <si>
    <t xml:space="preserve">1956-08-09</t>
  </si>
  <si>
    <t xml:space="preserve">OH0023697883</t>
  </si>
  <si>
    <t xml:space="preserve">RODRIGUEZ</t>
  </si>
  <si>
    <t xml:space="preserve">1980-01-09</t>
  </si>
  <si>
    <t xml:space="preserve">339 CHESTNUT AVE SE</t>
  </si>
  <si>
    <t xml:space="preserve">OH0024174838</t>
  </si>
  <si>
    <t xml:space="preserve">CALDWELL</t>
  </si>
  <si>
    <t xml:space="preserve">KATLYN</t>
  </si>
  <si>
    <t xml:space="preserve">ANNMARIE</t>
  </si>
  <si>
    <t xml:space="preserve">1997-09-05</t>
  </si>
  <si>
    <t xml:space="preserve">2025-04-18</t>
  </si>
  <si>
    <t xml:space="preserve">609 CHINNOCK PL NE</t>
  </si>
  <si>
    <t xml:space="preserve">OH0025948998</t>
  </si>
  <si>
    <t xml:space="preserve">ANTONIO</t>
  </si>
  <si>
    <t xml:space="preserve">1981-01-19</t>
  </si>
  <si>
    <t xml:space="preserve">2020-10-02</t>
  </si>
  <si>
    <t xml:space="preserve">OH0015726093</t>
  </si>
  <si>
    <t xml:space="preserve">HEASLEY</t>
  </si>
  <si>
    <t xml:space="preserve">1977-02-05</t>
  </si>
  <si>
    <t xml:space="preserve">2013-07-09</t>
  </si>
  <si>
    <t xml:space="preserve">635 CHINNOCK PL NE</t>
  </si>
  <si>
    <t xml:space="preserve">OH0025938951</t>
  </si>
  <si>
    <t xml:space="preserve">TATOR</t>
  </si>
  <si>
    <t xml:space="preserve">CAROLYN</t>
  </si>
  <si>
    <t xml:space="preserve">1943-03-18</t>
  </si>
  <si>
    <t xml:space="preserve">2020-10-01</t>
  </si>
  <si>
    <t xml:space="preserve">941 COLUMBIA PL SE</t>
  </si>
  <si>
    <t xml:space="preserve">OH0026169620</t>
  </si>
  <si>
    <t xml:space="preserve">GIRON</t>
  </si>
  <si>
    <t xml:space="preserve">1988-09-06</t>
  </si>
  <si>
    <t xml:space="preserve">2021-04-05</t>
  </si>
  <si>
    <t xml:space="preserve">956 COLUMBIA PL SE</t>
  </si>
  <si>
    <t xml:space="preserve">OH0027789390</t>
  </si>
  <si>
    <t xml:space="preserve">POLAN</t>
  </si>
  <si>
    <t xml:space="preserve">EVELYN</t>
  </si>
  <si>
    <t xml:space="preserve">1987-04-09</t>
  </si>
  <si>
    <t xml:space="preserve">2024-11-12</t>
  </si>
  <si>
    <t xml:space="preserve">957 COLUMBIA PL SE</t>
  </si>
  <si>
    <t xml:space="preserve">OH0024866337</t>
  </si>
  <si>
    <t xml:space="preserve">1975-07-10</t>
  </si>
  <si>
    <t xml:space="preserve">2018-10-09</t>
  </si>
  <si>
    <t xml:space="preserve">OH0026420755</t>
  </si>
  <si>
    <t xml:space="preserve">CLUTTER</t>
  </si>
  <si>
    <t xml:space="preserve">XAVIOR</t>
  </si>
  <si>
    <t xml:space="preserve">ALI</t>
  </si>
  <si>
    <t xml:space="preserve">2001-10-17</t>
  </si>
  <si>
    <t xml:space="preserve">2022-02-23</t>
  </si>
  <si>
    <t xml:space="preserve">964 COLUMBIA PL SE</t>
  </si>
  <si>
    <t xml:space="preserve">OH0027497517</t>
  </si>
  <si>
    <t xml:space="preserve">ROLLAND</t>
  </si>
  <si>
    <t xml:space="preserve">LYNDA</t>
  </si>
  <si>
    <t xml:space="preserve">1970-11-23</t>
  </si>
  <si>
    <t xml:space="preserve">OH0025159073</t>
  </si>
  <si>
    <t xml:space="preserve">BURNFIELD</t>
  </si>
  <si>
    <t xml:space="preserve">1999-12-18</t>
  </si>
  <si>
    <t xml:space="preserve">2019-07-27</t>
  </si>
  <si>
    <t xml:space="preserve">965 COLUMBIA PL SE</t>
  </si>
  <si>
    <t xml:space="preserve">OH0020927705</t>
  </si>
  <si>
    <t xml:space="preserve">CAVALIERE</t>
  </si>
  <si>
    <t xml:space="preserve">1992-03-29</t>
  </si>
  <si>
    <t xml:space="preserve">2018-10-31</t>
  </si>
  <si>
    <t xml:space="preserve">970 COLUMBIA PL SE</t>
  </si>
  <si>
    <t xml:space="preserve">OH0027140506</t>
  </si>
  <si>
    <t xml:space="preserve">WOJCIK</t>
  </si>
  <si>
    <t xml:space="preserve">1965-06-20</t>
  </si>
  <si>
    <t xml:space="preserve">2023-10-19</t>
  </si>
  <si>
    <t xml:space="preserve">1036 COTTAGE CT SE</t>
  </si>
  <si>
    <t xml:space="preserve">OH0027388461</t>
  </si>
  <si>
    <t xml:space="preserve">1988-07-26</t>
  </si>
  <si>
    <t xml:space="preserve">2024-06-10</t>
  </si>
  <si>
    <t xml:space="preserve">1044 COTTAGE CT SE</t>
  </si>
  <si>
    <t xml:space="preserve">OH0025720548</t>
  </si>
  <si>
    <t xml:space="preserve">PERKINS</t>
  </si>
  <si>
    <t xml:space="preserve">1985-09-11</t>
  </si>
  <si>
    <t xml:space="preserve">2020-08-21</t>
  </si>
  <si>
    <t xml:space="preserve">1864 DRAPER AVE SE</t>
  </si>
  <si>
    <t xml:space="preserve">OH0021578912</t>
  </si>
  <si>
    <t xml:space="preserve">HUGLEY</t>
  </si>
  <si>
    <t xml:space="preserve">SHEANA</t>
  </si>
  <si>
    <t xml:space="preserve">LASHIRL</t>
  </si>
  <si>
    <t xml:space="preserve">1991-03-27</t>
  </si>
  <si>
    <t xml:space="preserve">2024-04-25</t>
  </si>
  <si>
    <t xml:space="preserve">1866 DRAPER AVE SE</t>
  </si>
  <si>
    <t xml:space="preserve">OH0024566246</t>
  </si>
  <si>
    <t xml:space="preserve">RICKI</t>
  </si>
  <si>
    <t xml:space="preserve">2000-06-22</t>
  </si>
  <si>
    <t xml:space="preserve">2020-10-06</t>
  </si>
  <si>
    <t xml:space="preserve">OH0023254903</t>
  </si>
  <si>
    <t xml:space="preserve">BRANTLEY</t>
  </si>
  <si>
    <t xml:space="preserve">GLEN</t>
  </si>
  <si>
    <t xml:space="preserve">1960-10-29</t>
  </si>
  <si>
    <t xml:space="preserve">2024-08-10</t>
  </si>
  <si>
    <t xml:space="preserve">1868 DRAPER AVE SE</t>
  </si>
  <si>
    <t xml:space="preserve">OH0026741687</t>
  </si>
  <si>
    <t xml:space="preserve">REPOTSKI</t>
  </si>
  <si>
    <t xml:space="preserve">GERARD</t>
  </si>
  <si>
    <t xml:space="preserve">1985-02-19</t>
  </si>
  <si>
    <t xml:space="preserve">2024-07-16</t>
  </si>
  <si>
    <t xml:space="preserve">1870 DRAPER AVE SE</t>
  </si>
  <si>
    <t xml:space="preserve">OH0026224303</t>
  </si>
  <si>
    <t xml:space="preserve">JAZMAINE</t>
  </si>
  <si>
    <t xml:space="preserve">2002-07-06</t>
  </si>
  <si>
    <t xml:space="preserve">2024-07-29</t>
  </si>
  <si>
    <t xml:space="preserve">1954 DRAPER AVE SE</t>
  </si>
  <si>
    <t xml:space="preserve">OH0024194647</t>
  </si>
  <si>
    <t xml:space="preserve">MIRANDA</t>
  </si>
  <si>
    <t xml:space="preserve">1993-08-25</t>
  </si>
  <si>
    <t xml:space="preserve">2024-09-21</t>
  </si>
  <si>
    <t xml:space="preserve">OH0026062996</t>
  </si>
  <si>
    <t xml:space="preserve">DAVIDSON</t>
  </si>
  <si>
    <t xml:space="preserve">KHADEJAH</t>
  </si>
  <si>
    <t xml:space="preserve">1998-03-02</t>
  </si>
  <si>
    <t xml:space="preserve">2024-07-25</t>
  </si>
  <si>
    <t xml:space="preserve">1956 DRAPER AVE SE</t>
  </si>
  <si>
    <t xml:space="preserve">OH0023081344</t>
  </si>
  <si>
    <t xml:space="preserve">GRIFFIN</t>
  </si>
  <si>
    <t xml:space="preserve">KENNY</t>
  </si>
  <si>
    <t xml:space="preserve">1997-02-03</t>
  </si>
  <si>
    <t xml:space="preserve">2024-09-08</t>
  </si>
  <si>
    <t xml:space="preserve">OH0015812781</t>
  </si>
  <si>
    <t xml:space="preserve">CLAY POVENTUD</t>
  </si>
  <si>
    <t xml:space="preserve">ALVENIA</t>
  </si>
  <si>
    <t xml:space="preserve">1965-01-01</t>
  </si>
  <si>
    <t xml:space="preserve">2016-05-27</t>
  </si>
  <si>
    <t xml:space="preserve">1960 DRAPER AVE SE</t>
  </si>
  <si>
    <t xml:space="preserve">OH0027618865</t>
  </si>
  <si>
    <t xml:space="preserve">MULLINS</t>
  </si>
  <si>
    <t xml:space="preserve">MELODIE</t>
  </si>
  <si>
    <t xml:space="preserve">1988-01-03</t>
  </si>
  <si>
    <t xml:space="preserve">2024-11-19</t>
  </si>
  <si>
    <t xml:space="preserve">2024 DRAPER AVE SE</t>
  </si>
  <si>
    <t xml:space="preserve">OH0015704418</t>
  </si>
  <si>
    <t xml:space="preserve">JULIAN</t>
  </si>
  <si>
    <t xml:space="preserve">1970-04-01</t>
  </si>
  <si>
    <t xml:space="preserve">2021-12-22</t>
  </si>
  <si>
    <t xml:space="preserve">2026 DRAPER AVE SE</t>
  </si>
  <si>
    <t xml:space="preserve">OH0025114149</t>
  </si>
  <si>
    <t xml:space="preserve">DELL</t>
  </si>
  <si>
    <t xml:space="preserve">1973-02-03</t>
  </si>
  <si>
    <t xml:space="preserve">2019-06-12</t>
  </si>
  <si>
    <t xml:space="preserve">2028 DRAPER AVE SE</t>
  </si>
  <si>
    <t xml:space="preserve">OH0015759864</t>
  </si>
  <si>
    <t xml:space="preserve">THORNTON</t>
  </si>
  <si>
    <t xml:space="preserve">ROSALIND</t>
  </si>
  <si>
    <t xml:space="preserve">JANETTEA</t>
  </si>
  <si>
    <t xml:space="preserve">1963-03-10</t>
  </si>
  <si>
    <t xml:space="preserve">2020-08-05</t>
  </si>
  <si>
    <t xml:space="preserve">2154 DRAPER AVE SE</t>
  </si>
  <si>
    <t xml:space="preserve">OH0015704008</t>
  </si>
  <si>
    <t xml:space="preserve">1964-12-12</t>
  </si>
  <si>
    <t xml:space="preserve">2015-02-26</t>
  </si>
  <si>
    <t xml:space="preserve">2160 DRAPER AVE SE</t>
  </si>
  <si>
    <t xml:space="preserve">OH0015721565</t>
  </si>
  <si>
    <t xml:space="preserve">CAROL</t>
  </si>
  <si>
    <t xml:space="preserve">1963-12-02</t>
  </si>
  <si>
    <t xml:space="preserve">2006-06-20</t>
  </si>
  <si>
    <t xml:space="preserve">2164 DRAPER AVE SE</t>
  </si>
  <si>
    <t xml:space="preserve">OH0020416081</t>
  </si>
  <si>
    <t xml:space="preserve">WALTERS</t>
  </si>
  <si>
    <t xml:space="preserve">WALLACE</t>
  </si>
  <si>
    <t xml:space="preserve">LORENZO</t>
  </si>
  <si>
    <t xml:space="preserve">1960-06-27</t>
  </si>
  <si>
    <t xml:space="preserve">2020-09-24</t>
  </si>
  <si>
    <t xml:space="preserve">OH0023496294</t>
  </si>
  <si>
    <t xml:space="preserve">NORMAN</t>
  </si>
  <si>
    <t xml:space="preserve">ALYSSA</t>
  </si>
  <si>
    <t xml:space="preserve">1994-01-17</t>
  </si>
  <si>
    <t xml:space="preserve">2019-07-19</t>
  </si>
  <si>
    <t xml:space="preserve">2168 DRAPER AVE SE</t>
  </si>
  <si>
    <t xml:space="preserve">OH0015753093</t>
  </si>
  <si>
    <t xml:space="preserve">2174 DRAPER AVE SE</t>
  </si>
  <si>
    <t xml:space="preserve">OH0023335774</t>
  </si>
  <si>
    <t xml:space="preserve">JENKINS</t>
  </si>
  <si>
    <t xml:space="preserve">1980-09-11</t>
  </si>
  <si>
    <t xml:space="preserve">OH0015717701</t>
  </si>
  <si>
    <t xml:space="preserve">LUCILLE</t>
  </si>
  <si>
    <t xml:space="preserve">1927-11-10</t>
  </si>
  <si>
    <t xml:space="preserve">2012-09-15</t>
  </si>
  <si>
    <t xml:space="preserve">2188 DRAPER AVE SE</t>
  </si>
  <si>
    <t xml:space="preserve">OH0015743842</t>
  </si>
  <si>
    <t xml:space="preserve">CARL</t>
  </si>
  <si>
    <t xml:space="preserve">1965-01-31</t>
  </si>
  <si>
    <t xml:space="preserve">2022-02-19</t>
  </si>
  <si>
    <t xml:space="preserve">OH0015731846</t>
  </si>
  <si>
    <t xml:space="preserve">CAYSON</t>
  </si>
  <si>
    <t xml:space="preserve">ARLEE</t>
  </si>
  <si>
    <t xml:space="preserve">1959-02-18</t>
  </si>
  <si>
    <t xml:space="preserve">2194 DRAPER AVE SE</t>
  </si>
  <si>
    <t xml:space="preserve">OH0027019967</t>
  </si>
  <si>
    <t xml:space="preserve">TILLMAN</t>
  </si>
  <si>
    <t xml:space="preserve">SAINTMARY</t>
  </si>
  <si>
    <t xml:space="preserve">FG</t>
  </si>
  <si>
    <t xml:space="preserve">1966-11-14</t>
  </si>
  <si>
    <t xml:space="preserve">2199 DRAPER AVE SE</t>
  </si>
  <si>
    <t xml:space="preserve">OH0015817147</t>
  </si>
  <si>
    <t xml:space="preserve">BONNER</t>
  </si>
  <si>
    <t xml:space="preserve">FRED</t>
  </si>
  <si>
    <t xml:space="preserve">1954-04-29</t>
  </si>
  <si>
    <t xml:space="preserve">2015-07-20</t>
  </si>
  <si>
    <t xml:space="preserve">2202 DRAPER AVE SE</t>
  </si>
  <si>
    <t xml:space="preserve">OH0015714685</t>
  </si>
  <si>
    <t xml:space="preserve">SHAYLA</t>
  </si>
  <si>
    <t xml:space="preserve">EFFIE</t>
  </si>
  <si>
    <t xml:space="preserve">1983-03-07</t>
  </si>
  <si>
    <t xml:space="preserve">2011-06-25</t>
  </si>
  <si>
    <t xml:space="preserve">2205 DRAPER AVE SE</t>
  </si>
  <si>
    <t xml:space="preserve">OH0015713172</t>
  </si>
  <si>
    <t xml:space="preserve">GLORIA</t>
  </si>
  <si>
    <t xml:space="preserve">DEAN</t>
  </si>
  <si>
    <t xml:space="preserve">1956-01-02</t>
  </si>
  <si>
    <t xml:space="preserve">2208 DRAPER AVE SE</t>
  </si>
  <si>
    <t xml:space="preserve">OH0023667017</t>
  </si>
  <si>
    <t xml:space="preserve">KELVIN</t>
  </si>
  <si>
    <t xml:space="preserve">1965-07-30</t>
  </si>
  <si>
    <t xml:space="preserve">2016-04-15</t>
  </si>
  <si>
    <t xml:space="preserve">2209 DRAPER AVE SE</t>
  </si>
  <si>
    <t xml:space="preserve">APT 109</t>
  </si>
  <si>
    <t xml:space="preserve">OH0015760982</t>
  </si>
  <si>
    <t xml:space="preserve">DEFOOR</t>
  </si>
  <si>
    <t xml:space="preserve">1962-06-18</t>
  </si>
  <si>
    <t xml:space="preserve">OH0018785100</t>
  </si>
  <si>
    <t xml:space="preserve">MARION</t>
  </si>
  <si>
    <t xml:space="preserve">1961-06-27</t>
  </si>
  <si>
    <t xml:space="preserve">2022-04-19</t>
  </si>
  <si>
    <t xml:space="preserve">2213 DRAPER AVE SE</t>
  </si>
  <si>
    <t xml:space="preserve">OH0015700884</t>
  </si>
  <si>
    <t xml:space="preserve">STEVENSON</t>
  </si>
  <si>
    <t xml:space="preserve">YVONNE</t>
  </si>
  <si>
    <t xml:space="preserve">1955-09-25</t>
  </si>
  <si>
    <t xml:space="preserve">2018-11-06</t>
  </si>
  <si>
    <t xml:space="preserve">2219 DRAPER AVE SE</t>
  </si>
  <si>
    <t xml:space="preserve">OH0015761390</t>
  </si>
  <si>
    <t xml:space="preserve">BUTTS</t>
  </si>
  <si>
    <t xml:space="preserve">1968-11-14</t>
  </si>
  <si>
    <t xml:space="preserve">2012-05-24</t>
  </si>
  <si>
    <t xml:space="preserve">2222 DRAPER AVE SE</t>
  </si>
  <si>
    <t xml:space="preserve">OH0015759357</t>
  </si>
  <si>
    <t xml:space="preserve">DELANEY</t>
  </si>
  <si>
    <t xml:space="preserve">JOHNNY</t>
  </si>
  <si>
    <t xml:space="preserve">1945-07-23</t>
  </si>
  <si>
    <t xml:space="preserve">2010-07-21</t>
  </si>
  <si>
    <t xml:space="preserve">OH0015694807</t>
  </si>
  <si>
    <t xml:space="preserve">ESTER</t>
  </si>
  <si>
    <t xml:space="preserve">1956-10-22</t>
  </si>
  <si>
    <t xml:space="preserve">1982-05-03</t>
  </si>
  <si>
    <t xml:space="preserve">2228 DRAPER AVE SE</t>
  </si>
  <si>
    <t xml:space="preserve">OH0024099480</t>
  </si>
  <si>
    <t xml:space="preserve">BROOKS</t>
  </si>
  <si>
    <t xml:space="preserve">JANIERA</t>
  </si>
  <si>
    <t xml:space="preserve">1996-06-14</t>
  </si>
  <si>
    <t xml:space="preserve">2024-10-08</t>
  </si>
  <si>
    <t xml:space="preserve">OH0024019323</t>
  </si>
  <si>
    <t xml:space="preserve">RAHEEAN</t>
  </si>
  <si>
    <t xml:space="preserve">NIMAR</t>
  </si>
  <si>
    <t xml:space="preserve">1981-05-20</t>
  </si>
  <si>
    <t xml:space="preserve">2016-10-01</t>
  </si>
  <si>
    <t xml:space="preserve">OH0023246367</t>
  </si>
  <si>
    <t xml:space="preserve">THERESA</t>
  </si>
  <si>
    <t xml:space="preserve">1965-12-03</t>
  </si>
  <si>
    <t xml:space="preserve">2232 DRAPER AVE SE</t>
  </si>
  <si>
    <t xml:space="preserve">OH0015707783</t>
  </si>
  <si>
    <t xml:space="preserve">ROBINSON</t>
  </si>
  <si>
    <t xml:space="preserve">1986-05-26</t>
  </si>
  <si>
    <t xml:space="preserve">2233 DRAPER AVE SE</t>
  </si>
  <si>
    <t xml:space="preserve">OH0015762497</t>
  </si>
  <si>
    <t xml:space="preserve">REDD</t>
  </si>
  <si>
    <t xml:space="preserve">1955-03-21</t>
  </si>
  <si>
    <t xml:space="preserve">2012-09-20</t>
  </si>
  <si>
    <t xml:space="preserve">2239 DRAPER AVE SE</t>
  </si>
  <si>
    <t xml:space="preserve">OH0015727806</t>
  </si>
  <si>
    <t xml:space="preserve">STRICKLAND</t>
  </si>
  <si>
    <t xml:space="preserve">GWENDOLYN</t>
  </si>
  <si>
    <t xml:space="preserve">1958-12-17</t>
  </si>
  <si>
    <t xml:space="preserve">2020-07-06</t>
  </si>
  <si>
    <t xml:space="preserve">OH0015718010</t>
  </si>
  <si>
    <t xml:space="preserve">HARRIS</t>
  </si>
  <si>
    <t xml:space="preserve">1939-02-28</t>
  </si>
  <si>
    <t xml:space="preserve">1980-04-14</t>
  </si>
  <si>
    <t xml:space="preserve">2242 DRAPER AVE SE</t>
  </si>
  <si>
    <t xml:space="preserve">OH0015687995</t>
  </si>
  <si>
    <t xml:space="preserve">FANNIE</t>
  </si>
  <si>
    <t xml:space="preserve">1949-09-16</t>
  </si>
  <si>
    <t xml:space="preserve">2023-09-18</t>
  </si>
  <si>
    <t xml:space="preserve">2243 DRAPER AVE SE</t>
  </si>
  <si>
    <t xml:space="preserve">OH0020206861</t>
  </si>
  <si>
    <t xml:space="preserve">1967-09-21</t>
  </si>
  <si>
    <t xml:space="preserve">2247 DRAPER AVE SE</t>
  </si>
  <si>
    <t xml:space="preserve">OH0023530988</t>
  </si>
  <si>
    <t xml:space="preserve">LILLY</t>
  </si>
  <si>
    <t xml:space="preserve">1970-11-03</t>
  </si>
  <si>
    <t xml:space="preserve">2019-06-20</t>
  </si>
  <si>
    <t xml:space="preserve">2253 DRAPER AVE SE</t>
  </si>
  <si>
    <t xml:space="preserve">OH0024166303</t>
  </si>
  <si>
    <t xml:space="preserve">TAMISHA</t>
  </si>
  <si>
    <t xml:space="preserve">1992-05-20</t>
  </si>
  <si>
    <t xml:space="preserve">OH0023841341</t>
  </si>
  <si>
    <t xml:space="preserve">ELI</t>
  </si>
  <si>
    <t xml:space="preserve">OH0021700099</t>
  </si>
  <si>
    <t xml:space="preserve">COREY</t>
  </si>
  <si>
    <t xml:space="preserve">1993-01-14</t>
  </si>
  <si>
    <t xml:space="preserve">2016-08-01</t>
  </si>
  <si>
    <t xml:space="preserve">2256 DRAPER AVE SE</t>
  </si>
  <si>
    <t xml:space="preserve">OH0020133494</t>
  </si>
  <si>
    <t xml:space="preserve">STEPHEN</t>
  </si>
  <si>
    <t xml:space="preserve">1961-11-07</t>
  </si>
  <si>
    <t xml:space="preserve">2014-09-16</t>
  </si>
  <si>
    <t xml:space="preserve">OH0023079637</t>
  </si>
  <si>
    <t xml:space="preserve">ALEXANDRIA</t>
  </si>
  <si>
    <t xml:space="preserve">1997-05-09</t>
  </si>
  <si>
    <t xml:space="preserve">2266 DRAPER AVE SE</t>
  </si>
  <si>
    <t xml:space="preserve">OH0015769326</t>
  </si>
  <si>
    <t xml:space="preserve">1985-12-28</t>
  </si>
  <si>
    <t xml:space="preserve">2019-11-08</t>
  </si>
  <si>
    <t xml:space="preserve">2270 DRAPER AVE SE</t>
  </si>
  <si>
    <t xml:space="preserve">OH0015760989</t>
  </si>
  <si>
    <t xml:space="preserve">VALERIE</t>
  </si>
  <si>
    <t xml:space="preserve">1970-08-27</t>
  </si>
  <si>
    <t xml:space="preserve">2022-08-29</t>
  </si>
  <si>
    <t xml:space="preserve">OH0015687992</t>
  </si>
  <si>
    <t xml:space="preserve">SPARKS</t>
  </si>
  <si>
    <t xml:space="preserve">1950-06-12</t>
  </si>
  <si>
    <t xml:space="preserve">1979-04-30</t>
  </si>
  <si>
    <t xml:space="preserve">2276 DRAPER AVE SE</t>
  </si>
  <si>
    <t xml:space="preserve">OH0023049931</t>
  </si>
  <si>
    <t xml:space="preserve">BRIDGETTE</t>
  </si>
  <si>
    <t xml:space="preserve">CASSANDRA</t>
  </si>
  <si>
    <t xml:space="preserve">1962-07-08</t>
  </si>
  <si>
    <t xml:space="preserve">2016-04-08</t>
  </si>
  <si>
    <t xml:space="preserve">2540 DUKE AVE SE</t>
  </si>
  <si>
    <t xml:space="preserve">OH0015718533</t>
  </si>
  <si>
    <t xml:space="preserve">NAOMI</t>
  </si>
  <si>
    <t xml:space="preserve">1945-07-27</t>
  </si>
  <si>
    <t xml:space="preserve">1969-03-24</t>
  </si>
  <si>
    <t xml:space="preserve">OH0015697599</t>
  </si>
  <si>
    <t xml:space="preserve">ELEANOR</t>
  </si>
  <si>
    <t xml:space="preserve">1956-04-01</t>
  </si>
  <si>
    <t xml:space="preserve">2610 DUKE AVE SE</t>
  </si>
  <si>
    <t xml:space="preserve">OH0015691178</t>
  </si>
  <si>
    <t xml:space="preserve">ELAINE</t>
  </si>
  <si>
    <t xml:space="preserve">OH0026082873</t>
  </si>
  <si>
    <t xml:space="preserve">FLEISHER</t>
  </si>
  <si>
    <t xml:space="preserve">SHEILA</t>
  </si>
  <si>
    <t xml:space="preserve">1964-12-07</t>
  </si>
  <si>
    <t xml:space="preserve">2020-11-13</t>
  </si>
  <si>
    <t xml:space="preserve">2673 DUKE AVE SE</t>
  </si>
  <si>
    <t xml:space="preserve">OH0022337488</t>
  </si>
  <si>
    <t xml:space="preserve">YOCUM</t>
  </si>
  <si>
    <t xml:space="preserve">2675 DUKE AVE SE</t>
  </si>
  <si>
    <t xml:space="preserve">OH0015863982</t>
  </si>
  <si>
    <t xml:space="preserve">MARVIN</t>
  </si>
  <si>
    <t xml:space="preserve">1980-05-27</t>
  </si>
  <si>
    <t xml:space="preserve">2012-10-09</t>
  </si>
  <si>
    <t xml:space="preserve">2679 DUKE AVE SE</t>
  </si>
  <si>
    <t xml:space="preserve">OH0026063009</t>
  </si>
  <si>
    <t xml:space="preserve">CRAWFORD</t>
  </si>
  <si>
    <t xml:space="preserve">SHANTE</t>
  </si>
  <si>
    <t xml:space="preserve">1995-03-28</t>
  </si>
  <si>
    <t xml:space="preserve">2686 DUKE AVE SE</t>
  </si>
  <si>
    <t xml:space="preserve">OH0027841894</t>
  </si>
  <si>
    <t xml:space="preserve">LONG</t>
  </si>
  <si>
    <t xml:space="preserve">1973-01-23</t>
  </si>
  <si>
    <t xml:space="preserve">2024-10-24</t>
  </si>
  <si>
    <t xml:space="preserve">2690 DUKE AVE SE</t>
  </si>
  <si>
    <t xml:space="preserve">OH0015729579</t>
  </si>
  <si>
    <t xml:space="preserve">SIMMONS</t>
  </si>
  <si>
    <t xml:space="preserve">KAYE</t>
  </si>
  <si>
    <t xml:space="preserve">1959-09-23</t>
  </si>
  <si>
    <t xml:space="preserve">2020-02-03</t>
  </si>
  <si>
    <t xml:space="preserve">2714 DUKE AVE SE</t>
  </si>
  <si>
    <t xml:space="preserve">OH0022043913</t>
  </si>
  <si>
    <t xml:space="preserve">DORSEY</t>
  </si>
  <si>
    <t xml:space="preserve">OMARLEE</t>
  </si>
  <si>
    <t xml:space="preserve">1992-09-17</t>
  </si>
  <si>
    <t xml:space="preserve">2716 DUKE AVE SE</t>
  </si>
  <si>
    <t xml:space="preserve">OH0022043796</t>
  </si>
  <si>
    <t xml:space="preserve">MCMILLIAN</t>
  </si>
  <si>
    <t xml:space="preserve">LATROY</t>
  </si>
  <si>
    <t xml:space="preserve">1994-10-13</t>
  </si>
  <si>
    <t xml:space="preserve">2014-05-14</t>
  </si>
  <si>
    <t xml:space="preserve">OH0025956015</t>
  </si>
  <si>
    <t xml:space="preserve">SPICER</t>
  </si>
  <si>
    <t xml:space="preserve">TA ZYORE</t>
  </si>
  <si>
    <t xml:space="preserve">1998-08-31</t>
  </si>
  <si>
    <t xml:space="preserve">2020-09-23</t>
  </si>
  <si>
    <t xml:space="preserve">2720 DUKE AVE SE</t>
  </si>
  <si>
    <t xml:space="preserve">OH0023646183</t>
  </si>
  <si>
    <t xml:space="preserve">DAWKINS</t>
  </si>
  <si>
    <t xml:space="preserve">1968-01-11</t>
  </si>
  <si>
    <t xml:space="preserve">2733 DUKE AVE SE</t>
  </si>
  <si>
    <t xml:space="preserve">OH0015781442</t>
  </si>
  <si>
    <t xml:space="preserve">BURGESS</t>
  </si>
  <si>
    <t xml:space="preserve">KATRINA</t>
  </si>
  <si>
    <t xml:space="preserve">1967-09-09</t>
  </si>
  <si>
    <t xml:space="preserve">2734 DUKE AVE SE</t>
  </si>
  <si>
    <t xml:space="preserve">OH0026636526</t>
  </si>
  <si>
    <t xml:space="preserve">RUTHERFORD</t>
  </si>
  <si>
    <t xml:space="preserve">CHAVONNE</t>
  </si>
  <si>
    <t xml:space="preserve">KAY MARIE</t>
  </si>
  <si>
    <t xml:space="preserve">1979-07-11</t>
  </si>
  <si>
    <t xml:space="preserve">2022-09-12</t>
  </si>
  <si>
    <t xml:space="preserve">2737 DUKE AVE SE</t>
  </si>
  <si>
    <t xml:space="preserve">OH0026511165</t>
  </si>
  <si>
    <t xml:space="preserve">SHAVEH</t>
  </si>
  <si>
    <t xml:space="preserve">1987-03-25</t>
  </si>
  <si>
    <t xml:space="preserve">2024-08-30</t>
  </si>
  <si>
    <t xml:space="preserve">OH0025105405</t>
  </si>
  <si>
    <t xml:space="preserve">KIRKSEY</t>
  </si>
  <si>
    <t xml:space="preserve">DELFON</t>
  </si>
  <si>
    <t xml:space="preserve">1998-12-09</t>
  </si>
  <si>
    <t xml:space="preserve">2019-08-19</t>
  </si>
  <si>
    <t xml:space="preserve">2738 DUKE AVE SE</t>
  </si>
  <si>
    <t xml:space="preserve">OH0023229514</t>
  </si>
  <si>
    <t xml:space="preserve">DONDELL</t>
  </si>
  <si>
    <t xml:space="preserve">LAMONT</t>
  </si>
  <si>
    <t xml:space="preserve">1972-10-28</t>
  </si>
  <si>
    <t xml:space="preserve">2021-03-01</t>
  </si>
  <si>
    <t xml:space="preserve">2739 DUKE AVE SE</t>
  </si>
  <si>
    <t xml:space="preserve">OH0023796150</t>
  </si>
  <si>
    <t xml:space="preserve">STRINGHAM</t>
  </si>
  <si>
    <t xml:space="preserve">PRESTON</t>
  </si>
  <si>
    <t xml:space="preserve">1997-06-08</t>
  </si>
  <si>
    <t xml:space="preserve">2740 DUKE AVE SE</t>
  </si>
  <si>
    <t xml:space="preserve">OH0015785793</t>
  </si>
  <si>
    <t xml:space="preserve">1952-06-25</t>
  </si>
  <si>
    <t xml:space="preserve">2007-10-09</t>
  </si>
  <si>
    <t xml:space="preserve">2764 DUKE AVE SE</t>
  </si>
  <si>
    <t xml:space="preserve">OH0020963898</t>
  </si>
  <si>
    <t xml:space="preserve">JAMIE</t>
  </si>
  <si>
    <t xml:space="preserve">1991-12-22</t>
  </si>
  <si>
    <t xml:space="preserve">2023-09-16</t>
  </si>
  <si>
    <t xml:space="preserve">2766 DUKE AVE SE</t>
  </si>
  <si>
    <t xml:space="preserve">OH0025161131</t>
  </si>
  <si>
    <t xml:space="preserve">KEVIN</t>
  </si>
  <si>
    <t xml:space="preserve">1989-05-23</t>
  </si>
  <si>
    <t xml:space="preserve">2022-09-17</t>
  </si>
  <si>
    <t xml:space="preserve">OH0022316802</t>
  </si>
  <si>
    <t xml:space="preserve">SHEETS</t>
  </si>
  <si>
    <t xml:space="preserve">1994-11-25</t>
  </si>
  <si>
    <t xml:space="preserve">2022-11-04</t>
  </si>
  <si>
    <t xml:space="preserve">2770 DUKE AVE SE</t>
  </si>
  <si>
    <t xml:space="preserve">OH0023336822</t>
  </si>
  <si>
    <t xml:space="preserve">TIM</t>
  </si>
  <si>
    <t xml:space="preserve">1992-06-08</t>
  </si>
  <si>
    <t xml:space="preserve">2015-09-22</t>
  </si>
  <si>
    <t xml:space="preserve">2786 DUKE AVE SE</t>
  </si>
  <si>
    <t xml:space="preserve">OH0015678879</t>
  </si>
  <si>
    <t xml:space="preserve">GRAVES</t>
  </si>
  <si>
    <t xml:space="preserve">KRISTEN</t>
  </si>
  <si>
    <t xml:space="preserve">1986-04-13</t>
  </si>
  <si>
    <t xml:space="preserve">2020-03-02</t>
  </si>
  <si>
    <t xml:space="preserve">2787 DUKE AVE SE</t>
  </si>
  <si>
    <t xml:space="preserve">OH0026826778</t>
  </si>
  <si>
    <t xml:space="preserve">BROGDON</t>
  </si>
  <si>
    <t xml:space="preserve">MIKALA</t>
  </si>
  <si>
    <t xml:space="preserve">ELYSSE</t>
  </si>
  <si>
    <t xml:space="preserve">1987-03-07</t>
  </si>
  <si>
    <t xml:space="preserve">OH0015715122</t>
  </si>
  <si>
    <t xml:space="preserve">FARR</t>
  </si>
  <si>
    <t xml:space="preserve">1968-11-04</t>
  </si>
  <si>
    <t xml:space="preserve">2022-11-05</t>
  </si>
  <si>
    <t xml:space="preserve">2814 DUKE AVE SE</t>
  </si>
  <si>
    <t xml:space="preserve">OH0027514135</t>
  </si>
  <si>
    <t xml:space="preserve">WEATHERS</t>
  </si>
  <si>
    <t xml:space="preserve">MEKELLE</t>
  </si>
  <si>
    <t xml:space="preserve">2816 DUKE AVE SE</t>
  </si>
  <si>
    <t xml:space="preserve">OH0020392291</t>
  </si>
  <si>
    <t xml:space="preserve">IVANNA</t>
  </si>
  <si>
    <t xml:space="preserve">1989-02-23</t>
  </si>
  <si>
    <t xml:space="preserve">2021-08-17</t>
  </si>
  <si>
    <t xml:space="preserve">2818 DUKE AVE SE</t>
  </si>
  <si>
    <t xml:space="preserve">OH0023227419</t>
  </si>
  <si>
    <t xml:space="preserve">1971-08-11</t>
  </si>
  <si>
    <t xml:space="preserve">2015-10-03</t>
  </si>
  <si>
    <t xml:space="preserve">2820 DUKE AVE SE</t>
  </si>
  <si>
    <t xml:space="preserve">OH0025916388</t>
  </si>
  <si>
    <t xml:space="preserve">COOPER</t>
  </si>
  <si>
    <t xml:space="preserve">2002-08-31</t>
  </si>
  <si>
    <t xml:space="preserve">2867 DUKE AVE SE</t>
  </si>
  <si>
    <t xml:space="preserve">OH0023330371</t>
  </si>
  <si>
    <t xml:space="preserve">LUCINDA</t>
  </si>
  <si>
    <t xml:space="preserve">1982-03-17</t>
  </si>
  <si>
    <t xml:space="preserve">2016-04-26</t>
  </si>
  <si>
    <t xml:space="preserve">OH0027514925</t>
  </si>
  <si>
    <t xml:space="preserve">KAM</t>
  </si>
  <si>
    <t xml:space="preserve">1980-12-07</t>
  </si>
  <si>
    <t xml:space="preserve">2024-08-19</t>
  </si>
  <si>
    <t xml:space="preserve">2869 DUKE AVE SE</t>
  </si>
  <si>
    <t xml:space="preserve">OH0027509029</t>
  </si>
  <si>
    <t xml:space="preserve">KIM</t>
  </si>
  <si>
    <t xml:space="preserve">KWI YONG</t>
  </si>
  <si>
    <t xml:space="preserve">1984-05-07</t>
  </si>
  <si>
    <t xml:space="preserve">2913 DUKE AVE SE</t>
  </si>
  <si>
    <t xml:space="preserve">OH0024647005</t>
  </si>
  <si>
    <t xml:space="preserve">1998-12-31</t>
  </si>
  <si>
    <t xml:space="preserve">2018-05-15</t>
  </si>
  <si>
    <t xml:space="preserve">2917 DUKE AVE SE</t>
  </si>
  <si>
    <t xml:space="preserve">OH0027526332</t>
  </si>
  <si>
    <t xml:space="preserve">ESSILFIE</t>
  </si>
  <si>
    <t xml:space="preserve">SARDE</t>
  </si>
  <si>
    <t xml:space="preserve">1986-07-04</t>
  </si>
  <si>
    <t xml:space="preserve">OH0025383449</t>
  </si>
  <si>
    <t xml:space="preserve">SACOYA</t>
  </si>
  <si>
    <t xml:space="preserve">IVION</t>
  </si>
  <si>
    <t xml:space="preserve">1985-07-18</t>
  </si>
  <si>
    <t xml:space="preserve">2023-08-21</t>
  </si>
  <si>
    <t xml:space="preserve">OH0023646170</t>
  </si>
  <si>
    <t xml:space="preserve">DIAMOND</t>
  </si>
  <si>
    <t xml:space="preserve">1995-11-06</t>
  </si>
  <si>
    <t xml:space="preserve">2024-10-09</t>
  </si>
  <si>
    <t xml:space="preserve">2919 DUKE AVE SE</t>
  </si>
  <si>
    <t xml:space="preserve">OH0019832197</t>
  </si>
  <si>
    <t xml:space="preserve">CRITCHFIELD</t>
  </si>
  <si>
    <t xml:space="preserve">1970-09-03</t>
  </si>
  <si>
    <t xml:space="preserve">2011-06-16</t>
  </si>
  <si>
    <t xml:space="preserve">1000 E MARKET ST</t>
  </si>
  <si>
    <t xml:space="preserve">OH0025106736</t>
  </si>
  <si>
    <t xml:space="preserve">VINCZAN</t>
  </si>
  <si>
    <t xml:space="preserve">TERESA</t>
  </si>
  <si>
    <t xml:space="preserve">1970-11-02</t>
  </si>
  <si>
    <t xml:space="preserve">2019-06-05</t>
  </si>
  <si>
    <t xml:space="preserve">OH0027542514</t>
  </si>
  <si>
    <t xml:space="preserve">MARLON</t>
  </si>
  <si>
    <t xml:space="preserve">1989-04-03</t>
  </si>
  <si>
    <t xml:space="preserve">2024-07-17</t>
  </si>
  <si>
    <t xml:space="preserve">1066 E MARKET ST</t>
  </si>
  <si>
    <t xml:space="preserve">OH0027958455</t>
  </si>
  <si>
    <t xml:space="preserve">CRAIG</t>
  </si>
  <si>
    <t xml:space="preserve">1978-02-17</t>
  </si>
  <si>
    <t xml:space="preserve">2025-04-25</t>
  </si>
  <si>
    <t xml:space="preserve">1234 E MARKET ST</t>
  </si>
  <si>
    <t xml:space="preserve">OH0027432536</t>
  </si>
  <si>
    <t xml:space="preserve">LEWERENZ</t>
  </si>
  <si>
    <t xml:space="preserve">1970-07-11</t>
  </si>
  <si>
    <t xml:space="preserve">2024-07-10</t>
  </si>
  <si>
    <t xml:space="preserve">OH0026934214</t>
  </si>
  <si>
    <t xml:space="preserve">CAMERON</t>
  </si>
  <si>
    <t xml:space="preserve">2023-07-01</t>
  </si>
  <si>
    <t xml:space="preserve">OH0025168183</t>
  </si>
  <si>
    <t xml:space="preserve">ARELLANES</t>
  </si>
  <si>
    <t xml:space="preserve">1995-08-18</t>
  </si>
  <si>
    <t xml:space="preserve">2020-06-17</t>
  </si>
  <si>
    <t xml:space="preserve">OH0020600435</t>
  </si>
  <si>
    <t xml:space="preserve">MASSUCCI</t>
  </si>
  <si>
    <t xml:space="preserve">2018-05-22</t>
  </si>
  <si>
    <t xml:space="preserve">OH0023710135</t>
  </si>
  <si>
    <t xml:space="preserve">HARMON</t>
  </si>
  <si>
    <t xml:space="preserve">1990-05-01</t>
  </si>
  <si>
    <t xml:space="preserve">2016-06-02</t>
  </si>
  <si>
    <t xml:space="preserve">OH0022925996</t>
  </si>
  <si>
    <t xml:space="preserve">APPLEQUIST</t>
  </si>
  <si>
    <t xml:space="preserve">AUSTIN</t>
  </si>
  <si>
    <t xml:space="preserve">1995-06-17</t>
  </si>
  <si>
    <t xml:space="preserve">2023-08-03</t>
  </si>
  <si>
    <t xml:space="preserve">OH0027952103</t>
  </si>
  <si>
    <t xml:space="preserve">HOWLEY</t>
  </si>
  <si>
    <t xml:space="preserve">1987-05-16</t>
  </si>
  <si>
    <t xml:space="preserve">2025-05-16</t>
  </si>
  <si>
    <t xml:space="preserve">1252 E MARKET ST</t>
  </si>
  <si>
    <t xml:space="preserve">OH0018594137</t>
  </si>
  <si>
    <t xml:space="preserve">COHOL</t>
  </si>
  <si>
    <t xml:space="preserve">1951-09-30</t>
  </si>
  <si>
    <t xml:space="preserve">1979-03-22</t>
  </si>
  <si>
    <t xml:space="preserve">160 E MARKET ST</t>
  </si>
  <si>
    <t xml:space="preserve">STE 250</t>
  </si>
  <si>
    <t xml:space="preserve">OH0018591715</t>
  </si>
  <si>
    <t xml:space="preserve">VIROSTEK</t>
  </si>
  <si>
    <t xml:space="preserve">JANET</t>
  </si>
  <si>
    <t xml:space="preserve">1946-12-04</t>
  </si>
  <si>
    <t xml:space="preserve">1975-07-16</t>
  </si>
  <si>
    <t xml:space="preserve">OH0015785298</t>
  </si>
  <si>
    <t xml:space="preserve">TYMOCHKO</t>
  </si>
  <si>
    <t xml:space="preserve">YOURA</t>
  </si>
  <si>
    <t xml:space="preserve">1946-10-27</t>
  </si>
  <si>
    <t xml:space="preserve">OH0015706081</t>
  </si>
  <si>
    <t xml:space="preserve">RENNINGER</t>
  </si>
  <si>
    <t xml:space="preserve">1929-06-26</t>
  </si>
  <si>
    <t xml:space="preserve">1984-03-08</t>
  </si>
  <si>
    <t xml:space="preserve">OH0015768768</t>
  </si>
  <si>
    <t xml:space="preserve">LAWRENCE</t>
  </si>
  <si>
    <t xml:space="preserve">JOSEPHINE</t>
  </si>
  <si>
    <t xml:space="preserve">1942-10-27</t>
  </si>
  <si>
    <t xml:space="preserve">1995-01-06</t>
  </si>
  <si>
    <t xml:space="preserve">OH0025781618</t>
  </si>
  <si>
    <t xml:space="preserve">BOOTH</t>
  </si>
  <si>
    <t xml:space="preserve">ILONA</t>
  </si>
  <si>
    <t xml:space="preserve">1951-01-04</t>
  </si>
  <si>
    <t xml:space="preserve">2020-08-27</t>
  </si>
  <si>
    <t xml:space="preserve">OH0015800760</t>
  </si>
  <si>
    <t xml:space="preserve">SPEICHER</t>
  </si>
  <si>
    <t xml:space="preserve">DOROTHY</t>
  </si>
  <si>
    <t xml:space="preserve">1931-08-07</t>
  </si>
  <si>
    <t xml:space="preserve">1960-09-28</t>
  </si>
  <si>
    <t xml:space="preserve">OH0027642212</t>
  </si>
  <si>
    <t xml:space="preserve">GARZANICH</t>
  </si>
  <si>
    <t xml:space="preserve">NATHANIAL</t>
  </si>
  <si>
    <t xml:space="preserve">2003-08-11</t>
  </si>
  <si>
    <t xml:space="preserve">1842 E MARKET ST</t>
  </si>
  <si>
    <t xml:space="preserve">OH0027245206</t>
  </si>
  <si>
    <t xml:space="preserve">MOSCHELL</t>
  </si>
  <si>
    <t xml:space="preserve">JONATHAN</t>
  </si>
  <si>
    <t xml:space="preserve">2005-08-25</t>
  </si>
  <si>
    <t xml:space="preserve">2024-02-07</t>
  </si>
  <si>
    <t xml:space="preserve">OH0022329307</t>
  </si>
  <si>
    <t xml:space="preserve">1961-11-10</t>
  </si>
  <si>
    <t xml:space="preserve">2013-07-29</t>
  </si>
  <si>
    <t xml:space="preserve">1934 E MARKET ST</t>
  </si>
  <si>
    <t xml:space="preserve">OH0026171894</t>
  </si>
  <si>
    <t xml:space="preserve">STREETER</t>
  </si>
  <si>
    <t xml:space="preserve">1960-05-29</t>
  </si>
  <si>
    <t xml:space="preserve">1938 E MARKET ST</t>
  </si>
  <si>
    <t xml:space="preserve">OH0023077635</t>
  </si>
  <si>
    <t xml:space="preserve">AMY</t>
  </si>
  <si>
    <t xml:space="preserve">1963-11-28</t>
  </si>
  <si>
    <t xml:space="preserve">2023-07-12</t>
  </si>
  <si>
    <t xml:space="preserve">OH0025151292</t>
  </si>
  <si>
    <t xml:space="preserve">OBRIEN</t>
  </si>
  <si>
    <t xml:space="preserve">ERIK</t>
  </si>
  <si>
    <t xml:space="preserve">1971-12-26</t>
  </si>
  <si>
    <t xml:space="preserve">2019-07-26</t>
  </si>
  <si>
    <t xml:space="preserve">218 E MARKET ST</t>
  </si>
  <si>
    <t xml:space="preserve">OH0027526154</t>
  </si>
  <si>
    <t xml:space="preserve">LYTLE</t>
  </si>
  <si>
    <t xml:space="preserve">1989-03-11</t>
  </si>
  <si>
    <t xml:space="preserve">2024-08-15</t>
  </si>
  <si>
    <t xml:space="preserve">220 E MARKET ST</t>
  </si>
  <si>
    <t xml:space="preserve">OH0015744305</t>
  </si>
  <si>
    <t xml:space="preserve">STEELE</t>
  </si>
  <si>
    <t xml:space="preserve">CORIANNE</t>
  </si>
  <si>
    <t xml:space="preserve">1985-02-11</t>
  </si>
  <si>
    <t xml:space="preserve">2018-04-21</t>
  </si>
  <si>
    <t xml:space="preserve">245 E MARKET ST</t>
  </si>
  <si>
    <t xml:space="preserve">OH0015697838</t>
  </si>
  <si>
    <t xml:space="preserve">SINCHAK</t>
  </si>
  <si>
    <t xml:space="preserve">1948-10-08</t>
  </si>
  <si>
    <t xml:space="preserve">1969-12-29</t>
  </si>
  <si>
    <t xml:space="preserve">727 E MARKET ST</t>
  </si>
  <si>
    <t xml:space="preserve">OH0024174819</t>
  </si>
  <si>
    <t xml:space="preserve">COURTNEY</t>
  </si>
  <si>
    <t xml:space="preserve">1997-01-03</t>
  </si>
  <si>
    <t xml:space="preserve">914 E MARKET ST</t>
  </si>
  <si>
    <t xml:space="preserve">OH0020900571</t>
  </si>
  <si>
    <t xml:space="preserve">WHEELER</t>
  </si>
  <si>
    <t xml:space="preserve">1979-11-02</t>
  </si>
  <si>
    <t xml:space="preserve">2015-11-14</t>
  </si>
  <si>
    <t xml:space="preserve">916 E MARKET ST</t>
  </si>
  <si>
    <t xml:space="preserve">OH0025204091</t>
  </si>
  <si>
    <t xml:space="preserve">WEBER</t>
  </si>
  <si>
    <t xml:space="preserve">JARALEE</t>
  </si>
  <si>
    <t xml:space="preserve">1981-06-03</t>
  </si>
  <si>
    <t xml:space="preserve">2019-09-09</t>
  </si>
  <si>
    <t xml:space="preserve">OH0019307598</t>
  </si>
  <si>
    <t xml:space="preserve">MCCLAIN</t>
  </si>
  <si>
    <t xml:space="preserve">1987-05-08</t>
  </si>
  <si>
    <t xml:space="preserve">2024-08-09</t>
  </si>
  <si>
    <t xml:space="preserve">1009 EAST AVE SE</t>
  </si>
  <si>
    <t xml:space="preserve">OH0019196484</t>
  </si>
  <si>
    <t xml:space="preserve">KYLE</t>
  </si>
  <si>
    <t xml:space="preserve">1989-06-18</t>
  </si>
  <si>
    <t xml:space="preserve">OH0015693882</t>
  </si>
  <si>
    <t xml:space="preserve">MCMAHAN</t>
  </si>
  <si>
    <t xml:space="preserve">1956-12-24</t>
  </si>
  <si>
    <t xml:space="preserve">2016-06-20</t>
  </si>
  <si>
    <t xml:space="preserve">OH0023146781</t>
  </si>
  <si>
    <t xml:space="preserve">DARLA</t>
  </si>
  <si>
    <t xml:space="preserve">1982-10-15</t>
  </si>
  <si>
    <t xml:space="preserve">2015-04-16</t>
  </si>
  <si>
    <t xml:space="preserve">OH0015763871</t>
  </si>
  <si>
    <t xml:space="preserve">GLENDA</t>
  </si>
  <si>
    <t xml:space="preserve">1959-06-02</t>
  </si>
  <si>
    <t xml:space="preserve">2007-10-01</t>
  </si>
  <si>
    <t xml:space="preserve">1026 EAST AVE SE</t>
  </si>
  <si>
    <t xml:space="preserve">OH0015809723</t>
  </si>
  <si>
    <t xml:space="preserve">FRANCIS</t>
  </si>
  <si>
    <t xml:space="preserve">1959-03-31</t>
  </si>
  <si>
    <t xml:space="preserve">2021-08-27</t>
  </si>
  <si>
    <t xml:space="preserve">OH0015779880</t>
  </si>
  <si>
    <t xml:space="preserve">1953-01-17</t>
  </si>
  <si>
    <t xml:space="preserve">2017-11-30</t>
  </si>
  <si>
    <t xml:space="preserve">1031 EAST AVE SE</t>
  </si>
  <si>
    <t xml:space="preserve">OH0025963797</t>
  </si>
  <si>
    <t xml:space="preserve">HOLLOWAY</t>
  </si>
  <si>
    <t xml:space="preserve">JA MONTE</t>
  </si>
  <si>
    <t xml:space="preserve">EVERETT JURRIEN</t>
  </si>
  <si>
    <t xml:space="preserve">1999-07-12</t>
  </si>
  <si>
    <t xml:space="preserve">1034 EAST AVE SE</t>
  </si>
  <si>
    <t xml:space="preserve">APT 206</t>
  </si>
  <si>
    <t xml:space="preserve">OH0027229582</t>
  </si>
  <si>
    <t xml:space="preserve">EVERETT</t>
  </si>
  <si>
    <t xml:space="preserve">1975-01-19</t>
  </si>
  <si>
    <t xml:space="preserve">2024-01-22</t>
  </si>
  <si>
    <t xml:space="preserve">OH0020178806</t>
  </si>
  <si>
    <t xml:space="preserve">1980-05-21</t>
  </si>
  <si>
    <t xml:space="preserve">2015-06-10</t>
  </si>
  <si>
    <t xml:space="preserve">OH0024166204</t>
  </si>
  <si>
    <t xml:space="preserve">KNEPPER</t>
  </si>
  <si>
    <t xml:space="preserve">1980-05-01</t>
  </si>
  <si>
    <t xml:space="preserve">1037 EAST AVE SE</t>
  </si>
  <si>
    <t xml:space="preserve">OH0024297452</t>
  </si>
  <si>
    <t xml:space="preserve">MCCAULEY</t>
  </si>
  <si>
    <t xml:space="preserve">DRAKE</t>
  </si>
  <si>
    <t xml:space="preserve">1998-10-02</t>
  </si>
  <si>
    <t xml:space="preserve">2017-05-04</t>
  </si>
  <si>
    <t xml:space="preserve">OH0027178386</t>
  </si>
  <si>
    <t xml:space="preserve">HUNTER</t>
  </si>
  <si>
    <t xml:space="preserve">SAMANTHA</t>
  </si>
  <si>
    <t xml:space="preserve">CLARA</t>
  </si>
  <si>
    <t xml:space="preserve">1984-12-03</t>
  </si>
  <si>
    <t xml:space="preserve">2023-11-13</t>
  </si>
  <si>
    <t xml:space="preserve">OH0024649348</t>
  </si>
  <si>
    <t xml:space="preserve">CURTIS</t>
  </si>
  <si>
    <t xml:space="preserve">1988-07-18</t>
  </si>
  <si>
    <t xml:space="preserve">1043 EAST AVE SE</t>
  </si>
  <si>
    <t xml:space="preserve">OH0015692960</t>
  </si>
  <si>
    <t xml:space="preserve">ASTON</t>
  </si>
  <si>
    <t xml:space="preserve">1937-11-02</t>
  </si>
  <si>
    <t xml:space="preserve">2007-10-08</t>
  </si>
  <si>
    <t xml:space="preserve">1046 EAST AVE SE</t>
  </si>
  <si>
    <t xml:space="preserve">OH0022780551</t>
  </si>
  <si>
    <t xml:space="preserve">MCGILL</t>
  </si>
  <si>
    <t xml:space="preserve">1956-06-05</t>
  </si>
  <si>
    <t xml:space="preserve">2018-05-18</t>
  </si>
  <si>
    <t xml:space="preserve">1061 EAST AVE SE</t>
  </si>
  <si>
    <t xml:space="preserve">OH0027497640</t>
  </si>
  <si>
    <t xml:space="preserve">JACK</t>
  </si>
  <si>
    <t xml:space="preserve">1989-10-11</t>
  </si>
  <si>
    <t xml:space="preserve">OH0023629348</t>
  </si>
  <si>
    <t xml:space="preserve">MALCOMSON</t>
  </si>
  <si>
    <t xml:space="preserve">DILLEN</t>
  </si>
  <si>
    <t xml:space="preserve">1998-03-24</t>
  </si>
  <si>
    <t xml:space="preserve">1094 EAST AVE SE</t>
  </si>
  <si>
    <t xml:space="preserve">OH0027703210</t>
  </si>
  <si>
    <t xml:space="preserve">DYLAN</t>
  </si>
  <si>
    <t xml:space="preserve">OH0020885322</t>
  </si>
  <si>
    <t xml:space="preserve">GMUCS</t>
  </si>
  <si>
    <t xml:space="preserve">DEANNA</t>
  </si>
  <si>
    <t xml:space="preserve">1989-09-23</t>
  </si>
  <si>
    <t xml:space="preserve">2018-05-07</t>
  </si>
  <si>
    <t xml:space="preserve">726 EAST AVE SE</t>
  </si>
  <si>
    <t xml:space="preserve">OH0015775544</t>
  </si>
  <si>
    <t xml:space="preserve">TORTORETE</t>
  </si>
  <si>
    <t xml:space="preserve">1984-02-03</t>
  </si>
  <si>
    <t xml:space="preserve">2023-02-10</t>
  </si>
  <si>
    <t xml:space="preserve">757 EAST AVE SE</t>
  </si>
  <si>
    <t xml:space="preserve">OH0026533749</t>
  </si>
  <si>
    <t xml:space="preserve">SAN MARTIN</t>
  </si>
  <si>
    <t xml:space="preserve">1970-08-28</t>
  </si>
  <si>
    <t xml:space="preserve">2022-06-27</t>
  </si>
  <si>
    <t xml:space="preserve">766 EAST AVE SE</t>
  </si>
  <si>
    <t xml:space="preserve">OH0015714206</t>
  </si>
  <si>
    <t xml:space="preserve">SANTUCCI</t>
  </si>
  <si>
    <t xml:space="preserve">1951-04-26</t>
  </si>
  <si>
    <t xml:space="preserve">2015-06-22</t>
  </si>
  <si>
    <t xml:space="preserve">776 EAST AVE SE</t>
  </si>
  <si>
    <t xml:space="preserve">OH0018611334</t>
  </si>
  <si>
    <t xml:space="preserve">GALLAGHER</t>
  </si>
  <si>
    <t xml:space="preserve">JODI</t>
  </si>
  <si>
    <t xml:space="preserve">1979-11-08</t>
  </si>
  <si>
    <t xml:space="preserve">2023-11-09</t>
  </si>
  <si>
    <t xml:space="preserve">777 EAST AVE SE</t>
  </si>
  <si>
    <t xml:space="preserve">OH0015768304</t>
  </si>
  <si>
    <t xml:space="preserve">1967-09-29</t>
  </si>
  <si>
    <t xml:space="preserve">2015-07-03</t>
  </si>
  <si>
    <t xml:space="preserve">786 EAST AVE SE</t>
  </si>
  <si>
    <t xml:space="preserve">OH0015875256</t>
  </si>
  <si>
    <t xml:space="preserve">CHIN</t>
  </si>
  <si>
    <t xml:space="preserve">2022-06-28</t>
  </si>
  <si>
    <t xml:space="preserve">796 EAST AVE SE</t>
  </si>
  <si>
    <t xml:space="preserve">OH0015755968</t>
  </si>
  <si>
    <t xml:space="preserve">WARD CHIN</t>
  </si>
  <si>
    <t xml:space="preserve">JACQUELINE</t>
  </si>
  <si>
    <t xml:space="preserve">MICHELLE</t>
  </si>
  <si>
    <t xml:space="preserve">1965-05-24</t>
  </si>
  <si>
    <t xml:space="preserve">2023-08-29</t>
  </si>
  <si>
    <t xml:space="preserve">OH0026540477</t>
  </si>
  <si>
    <t xml:space="preserve">NICODEMUS</t>
  </si>
  <si>
    <t xml:space="preserve">WING</t>
  </si>
  <si>
    <t xml:space="preserve">2004-04-27</t>
  </si>
  <si>
    <t xml:space="preserve">2022-06-18</t>
  </si>
  <si>
    <t xml:space="preserve">OH0026857235</t>
  </si>
  <si>
    <t xml:space="preserve">LI</t>
  </si>
  <si>
    <t xml:space="preserve">KWEI</t>
  </si>
  <si>
    <t xml:space="preserve">2005-08-22</t>
  </si>
  <si>
    <t xml:space="preserve">2023-04-02</t>
  </si>
  <si>
    <t xml:space="preserve">OH0025737816</t>
  </si>
  <si>
    <t xml:space="preserve">2002-01-26</t>
  </si>
  <si>
    <t xml:space="preserve">2020-08-12</t>
  </si>
  <si>
    <t xml:space="preserve">OH0024228576</t>
  </si>
  <si>
    <t xml:space="preserve">MUHAMMAD</t>
  </si>
  <si>
    <t xml:space="preserve">HASAN</t>
  </si>
  <si>
    <t xml:space="preserve">1997-09-29</t>
  </si>
  <si>
    <t xml:space="preserve">2017-02-02</t>
  </si>
  <si>
    <t xml:space="preserve">806 EAST AVE SE</t>
  </si>
  <si>
    <t xml:space="preserve">OH0027512381</t>
  </si>
  <si>
    <t xml:space="preserve">ANNA</t>
  </si>
  <si>
    <t xml:space="preserve">1995-07-19</t>
  </si>
  <si>
    <t xml:space="preserve">OH0023246761</t>
  </si>
  <si>
    <t xml:space="preserve">KOVALSCIK</t>
  </si>
  <si>
    <t xml:space="preserve">1987-12-13</t>
  </si>
  <si>
    <t xml:space="preserve">2017-08-31</t>
  </si>
  <si>
    <t xml:space="preserve">OH0020819986</t>
  </si>
  <si>
    <t xml:space="preserve">1962-07-26</t>
  </si>
  <si>
    <t xml:space="preserve">2020-07-07</t>
  </si>
  <si>
    <t xml:space="preserve">817 EAST AVE SE</t>
  </si>
  <si>
    <t xml:space="preserve">OH0015808346</t>
  </si>
  <si>
    <t xml:space="preserve">AUDREANA</t>
  </si>
  <si>
    <t xml:space="preserve">1971-07-01</t>
  </si>
  <si>
    <t xml:space="preserve">2022-02-07</t>
  </si>
  <si>
    <t xml:space="preserve">941 EAST AVE SE</t>
  </si>
  <si>
    <t xml:space="preserve">OH0023014856</t>
  </si>
  <si>
    <t xml:space="preserve">NATALI</t>
  </si>
  <si>
    <t xml:space="preserve">1978-11-13</t>
  </si>
  <si>
    <t xml:space="preserve">2016-09-02</t>
  </si>
  <si>
    <t xml:space="preserve">949 EAST AVE SE</t>
  </si>
  <si>
    <t xml:space="preserve">OH0026156900</t>
  </si>
  <si>
    <t xml:space="preserve">1995-09-06</t>
  </si>
  <si>
    <t xml:space="preserve">2021-03-14</t>
  </si>
  <si>
    <t xml:space="preserve">959 EAST AVE SE</t>
  </si>
  <si>
    <t xml:space="preserve">OH0020025264</t>
  </si>
  <si>
    <t xml:space="preserve">1990-07-14</t>
  </si>
  <si>
    <t xml:space="preserve">2024-06-20</t>
  </si>
  <si>
    <t xml:space="preserve">OH0025752472</t>
  </si>
  <si>
    <t xml:space="preserve">CONNER</t>
  </si>
  <si>
    <t xml:space="preserve">1991-12-31</t>
  </si>
  <si>
    <t xml:space="preserve">2020-08-04</t>
  </si>
  <si>
    <t xml:space="preserve">962 EAST AVE SE</t>
  </si>
  <si>
    <t xml:space="preserve">OH0024365075</t>
  </si>
  <si>
    <t xml:space="preserve">WHITFIELD</t>
  </si>
  <si>
    <t xml:space="preserve">TANYA</t>
  </si>
  <si>
    <t xml:space="preserve">1983-01-06</t>
  </si>
  <si>
    <t xml:space="preserve">2024-07-09</t>
  </si>
  <si>
    <t xml:space="preserve">973 EAST AVE SE</t>
  </si>
  <si>
    <t xml:space="preserve">OH0022957656</t>
  </si>
  <si>
    <t xml:space="preserve">SWEGAN</t>
  </si>
  <si>
    <t xml:space="preserve">1949-06-08</t>
  </si>
  <si>
    <t xml:space="preserve">OH0024775076</t>
  </si>
  <si>
    <t xml:space="preserve">FLIGHT</t>
  </si>
  <si>
    <t xml:space="preserve">TABITHIA</t>
  </si>
  <si>
    <t xml:space="preserve">1988-02-09</t>
  </si>
  <si>
    <t xml:space="preserve">2018-09-05</t>
  </si>
  <si>
    <t xml:space="preserve">OH0027514212</t>
  </si>
  <si>
    <t xml:space="preserve">BARNETT</t>
  </si>
  <si>
    <t xml:space="preserve">ARIEL</t>
  </si>
  <si>
    <t xml:space="preserve">2003-12-31</t>
  </si>
  <si>
    <t xml:space="preserve">OH0024868228</t>
  </si>
  <si>
    <t xml:space="preserve">MALONEY</t>
  </si>
  <si>
    <t xml:space="preserve">WAYNE</t>
  </si>
  <si>
    <t xml:space="preserve">1982-01-24</t>
  </si>
  <si>
    <t xml:space="preserve">2018-10-05</t>
  </si>
  <si>
    <t xml:space="preserve">OH0019098715</t>
  </si>
  <si>
    <t xml:space="preserve">ROBERTS</t>
  </si>
  <si>
    <t xml:space="preserve">TERRICE</t>
  </si>
  <si>
    <t xml:space="preserve">978 EAST AVE SE</t>
  </si>
  <si>
    <t xml:space="preserve">OH0027895985</t>
  </si>
  <si>
    <t xml:space="preserve">LOUIS</t>
  </si>
  <si>
    <t xml:space="preserve">BEN</t>
  </si>
  <si>
    <t xml:space="preserve">2001-10-09</t>
  </si>
  <si>
    <t xml:space="preserve">2025-02-12</t>
  </si>
  <si>
    <t xml:space="preserve">987 EAST AVE SE</t>
  </si>
  <si>
    <t xml:space="preserve">OH0015763928</t>
  </si>
  <si>
    <t xml:space="preserve">SHONTA</t>
  </si>
  <si>
    <t xml:space="preserve">1966-12-31</t>
  </si>
  <si>
    <t xml:space="preserve">2020-04-16</t>
  </si>
  <si>
    <t xml:space="preserve">OH0021888230</t>
  </si>
  <si>
    <t xml:space="preserve">DAVENPORT</t>
  </si>
  <si>
    <t xml:space="preserve">1980-02-02</t>
  </si>
  <si>
    <t xml:space="preserve">2012-07-29</t>
  </si>
  <si>
    <t xml:space="preserve">998 EAST AVE SE</t>
  </si>
  <si>
    <t xml:space="preserve">OH0026180290</t>
  </si>
  <si>
    <t xml:space="preserve">HAWN</t>
  </si>
  <si>
    <t xml:space="preserve">DALTON</t>
  </si>
  <si>
    <t xml:space="preserve">2003-03-17</t>
  </si>
  <si>
    <t xml:space="preserve">2021-04-17</t>
  </si>
  <si>
    <t xml:space="preserve">OH0024453763</t>
  </si>
  <si>
    <t xml:space="preserve">WEAVER</t>
  </si>
  <si>
    <t xml:space="preserve">1999-10-09</t>
  </si>
  <si>
    <t xml:space="preserve">2018-03-23</t>
  </si>
  <si>
    <t xml:space="preserve">999 EAST AVE SE</t>
  </si>
  <si>
    <t xml:space="preserve">OH0015789390</t>
  </si>
  <si>
    <t xml:space="preserve">LYNETTE</t>
  </si>
  <si>
    <t xml:space="preserve">1968-03-27</t>
  </si>
  <si>
    <t xml:space="preserve">OH0015792084</t>
  </si>
  <si>
    <t xml:space="preserve">HUDSON</t>
  </si>
  <si>
    <t xml:space="preserve">MELINDA</t>
  </si>
  <si>
    <t xml:space="preserve">1970-05-02</t>
  </si>
  <si>
    <t xml:space="preserve">2024-10-22</t>
  </si>
  <si>
    <t xml:space="preserve">129 ELM RD NE</t>
  </si>
  <si>
    <t xml:space="preserve">OH0022810566</t>
  </si>
  <si>
    <t xml:space="preserve">BEACHUM</t>
  </si>
  <si>
    <t xml:space="preserve">TYARA</t>
  </si>
  <si>
    <t xml:space="preserve">1995-06-13</t>
  </si>
  <si>
    <t xml:space="preserve">2023-12-12</t>
  </si>
  <si>
    <t xml:space="preserve">OH0015747289</t>
  </si>
  <si>
    <t xml:space="preserve">REDRICK</t>
  </si>
  <si>
    <t xml:space="preserve">BRANDELL</t>
  </si>
  <si>
    <t xml:space="preserve">1980-09-29</t>
  </si>
  <si>
    <t xml:space="preserve">2016-08-30</t>
  </si>
  <si>
    <t xml:space="preserve">156 ELM RD NE</t>
  </si>
  <si>
    <t xml:space="preserve">OH0015764527</t>
  </si>
  <si>
    <t xml:space="preserve">TANE</t>
  </si>
  <si>
    <t xml:space="preserve">1983-09-23</t>
  </si>
  <si>
    <t xml:space="preserve">OH0023861524</t>
  </si>
  <si>
    <t xml:space="preserve">NICOSIA</t>
  </si>
  <si>
    <t xml:space="preserve">1972-11-16</t>
  </si>
  <si>
    <t xml:space="preserve">2016-08-18</t>
  </si>
  <si>
    <t xml:space="preserve">OH0024625661</t>
  </si>
  <si>
    <t xml:space="preserve">MACIAS</t>
  </si>
  <si>
    <t xml:space="preserve">1985-08-10</t>
  </si>
  <si>
    <t xml:space="preserve">2018-05-10</t>
  </si>
  <si>
    <t xml:space="preserve">352 ELM RD NE</t>
  </si>
  <si>
    <t xml:space="preserve">OH0025582326</t>
  </si>
  <si>
    <t xml:space="preserve">SCHULER</t>
  </si>
  <si>
    <t xml:space="preserve">2001-12-06</t>
  </si>
  <si>
    <t xml:space="preserve">2020-03-04</t>
  </si>
  <si>
    <t xml:space="preserve">OH0023448589</t>
  </si>
  <si>
    <t xml:space="preserve">HEATHER</t>
  </si>
  <si>
    <t xml:space="preserve">1989-06-02</t>
  </si>
  <si>
    <t xml:space="preserve">2023-07-15</t>
  </si>
  <si>
    <t xml:space="preserve">OH0027270079</t>
  </si>
  <si>
    <t xml:space="preserve">ENGSTER</t>
  </si>
  <si>
    <t xml:space="preserve">AARON</t>
  </si>
  <si>
    <t xml:space="preserve">1995-08-08</t>
  </si>
  <si>
    <t xml:space="preserve">2024-03-21</t>
  </si>
  <si>
    <t xml:space="preserve">428 ELM RD NE</t>
  </si>
  <si>
    <t xml:space="preserve">OH0027952106</t>
  </si>
  <si>
    <t xml:space="preserve">PRECIOUS</t>
  </si>
  <si>
    <t xml:space="preserve">1991-05-20</t>
  </si>
  <si>
    <t xml:space="preserve">2025-05-19</t>
  </si>
  <si>
    <t xml:space="preserve">432 ELM RD NE</t>
  </si>
  <si>
    <t xml:space="preserve">OH0024699536</t>
  </si>
  <si>
    <t xml:space="preserve">MURRAY</t>
  </si>
  <si>
    <t xml:space="preserve">TAMARA</t>
  </si>
  <si>
    <t xml:space="preserve">1971-06-19</t>
  </si>
  <si>
    <t xml:space="preserve">2018-07-19</t>
  </si>
  <si>
    <t xml:space="preserve">440 ELM RD NE</t>
  </si>
  <si>
    <t xml:space="preserve">OH0024166277</t>
  </si>
  <si>
    <t xml:space="preserve">KROTZER</t>
  </si>
  <si>
    <t xml:space="preserve">1979-01-22</t>
  </si>
  <si>
    <t xml:space="preserve">445 ELM RD NE</t>
  </si>
  <si>
    <t xml:space="preserve">APT SIDE</t>
  </si>
  <si>
    <t xml:space="preserve">OH0025798145</t>
  </si>
  <si>
    <t xml:space="preserve">LATRONICA</t>
  </si>
  <si>
    <t xml:space="preserve">GREG</t>
  </si>
  <si>
    <t xml:space="preserve">1988-11-13</t>
  </si>
  <si>
    <t xml:space="preserve">2020-09-09</t>
  </si>
  <si>
    <t xml:space="preserve">OH0027498707</t>
  </si>
  <si>
    <t xml:space="preserve">CARTER</t>
  </si>
  <si>
    <t xml:space="preserve">1991-01-15</t>
  </si>
  <si>
    <t xml:space="preserve">721 ELM RD NE</t>
  </si>
  <si>
    <t xml:space="preserve">OH0019813437</t>
  </si>
  <si>
    <t xml:space="preserve">1953-03-03</t>
  </si>
  <si>
    <t xml:space="preserve">2023-07-07</t>
  </si>
  <si>
    <t xml:space="preserve">OH0023016243</t>
  </si>
  <si>
    <t xml:space="preserve">BRAINARD</t>
  </si>
  <si>
    <t xml:space="preserve">LESLIE</t>
  </si>
  <si>
    <t xml:space="preserve">1987-11-10</t>
  </si>
  <si>
    <t xml:space="preserve">2022-11-12</t>
  </si>
  <si>
    <t xml:space="preserve">733 ELM RD NE</t>
  </si>
  <si>
    <t xml:space="preserve">OH0027845184</t>
  </si>
  <si>
    <t xml:space="preserve">BOONE</t>
  </si>
  <si>
    <t xml:space="preserve">CLINE</t>
  </si>
  <si>
    <t xml:space="preserve">1998-03-30</t>
  </si>
  <si>
    <t xml:space="preserve">2024-10-11</t>
  </si>
  <si>
    <t xml:space="preserve">753 ELM RD NE</t>
  </si>
  <si>
    <t xml:space="preserve">OH0021027972</t>
  </si>
  <si>
    <t xml:space="preserve">GREGORY</t>
  </si>
  <si>
    <t xml:space="preserve">1991-12-08</t>
  </si>
  <si>
    <t xml:space="preserve">2024-10-05</t>
  </si>
  <si>
    <t xml:space="preserve">OH0024766850</t>
  </si>
  <si>
    <t xml:space="preserve">PEPPARD</t>
  </si>
  <si>
    <t xml:space="preserve">1961-06-24</t>
  </si>
  <si>
    <t xml:space="preserve">785 ELM RD NE</t>
  </si>
  <si>
    <t xml:space="preserve">OH0026114640</t>
  </si>
  <si>
    <t xml:space="preserve">MZEHEM</t>
  </si>
  <si>
    <t xml:space="preserve">KATIA</t>
  </si>
  <si>
    <t xml:space="preserve">DIAA</t>
  </si>
  <si>
    <t xml:space="preserve">2002-11-09</t>
  </si>
  <si>
    <t xml:space="preserve">2024-06-13</t>
  </si>
  <si>
    <t xml:space="preserve">837 ELM RD NE</t>
  </si>
  <si>
    <t xml:space="preserve">OH0023473094</t>
  </si>
  <si>
    <t xml:space="preserve">MORTARO</t>
  </si>
  <si>
    <t xml:space="preserve">1972-02-25</t>
  </si>
  <si>
    <t xml:space="preserve">OH0015800211</t>
  </si>
  <si>
    <t xml:space="preserve">STARK</t>
  </si>
  <si>
    <t xml:space="preserve">1960-10-12</t>
  </si>
  <si>
    <t xml:space="preserve">1978-05-01</t>
  </si>
  <si>
    <t xml:space="preserve">847 ELM RD NE</t>
  </si>
  <si>
    <t xml:space="preserve">OH0015717982</t>
  </si>
  <si>
    <t xml:space="preserve">HAINESWORTH</t>
  </si>
  <si>
    <t xml:space="preserve">WINFRED</t>
  </si>
  <si>
    <t xml:space="preserve">1937-09-05</t>
  </si>
  <si>
    <t xml:space="preserve">2024-05-30</t>
  </si>
  <si>
    <t xml:space="preserve">516 FAIRFIELD AVE NE</t>
  </si>
  <si>
    <t xml:space="preserve">OH0022698058</t>
  </si>
  <si>
    <t xml:space="preserve">1964-10-02</t>
  </si>
  <si>
    <t xml:space="preserve">2017-04-08</t>
  </si>
  <si>
    <t xml:space="preserve">524 FAIRFIELD AVE NE</t>
  </si>
  <si>
    <t xml:space="preserve">OH0023246355</t>
  </si>
  <si>
    <t xml:space="preserve">JEREMIAH</t>
  </si>
  <si>
    <t xml:space="preserve">1990-02-13</t>
  </si>
  <si>
    <t xml:space="preserve">2023-06-07</t>
  </si>
  <si>
    <t xml:space="preserve">OH0023525459</t>
  </si>
  <si>
    <t xml:space="preserve">1991-06-27</t>
  </si>
  <si>
    <t xml:space="preserve">2018-04-09</t>
  </si>
  <si>
    <t xml:space="preserve">541 FAIRFIELD AVE NE</t>
  </si>
  <si>
    <t xml:space="preserve">OH0023525491</t>
  </si>
  <si>
    <t xml:space="preserve">VICKI</t>
  </si>
  <si>
    <t xml:space="preserve">1967-08-04</t>
  </si>
  <si>
    <t xml:space="preserve">2016-02-09</t>
  </si>
  <si>
    <t xml:space="preserve">OH0022965872</t>
  </si>
  <si>
    <t xml:space="preserve">OH0024442912</t>
  </si>
  <si>
    <t xml:space="preserve">POLLARD</t>
  </si>
  <si>
    <t xml:space="preserve">DORDEN</t>
  </si>
  <si>
    <t xml:space="preserve">1988-06-02</t>
  </si>
  <si>
    <t xml:space="preserve">570 FAIRFIELD AVE NE</t>
  </si>
  <si>
    <t xml:space="preserve">OH0024619556</t>
  </si>
  <si>
    <t xml:space="preserve">PUGH</t>
  </si>
  <si>
    <t xml:space="preserve">1989-06-06</t>
  </si>
  <si>
    <t xml:space="preserve">OH0026032063</t>
  </si>
  <si>
    <t xml:space="preserve">CONNIE</t>
  </si>
  <si>
    <t xml:space="preserve">1963-05-24</t>
  </si>
  <si>
    <t xml:space="preserve">577 FAIRFIELD AVE NE</t>
  </si>
  <si>
    <t xml:space="preserve">OH0020529175</t>
  </si>
  <si>
    <t xml:space="preserve">SHAWNA RAE</t>
  </si>
  <si>
    <t xml:space="preserve">1990-12-15</t>
  </si>
  <si>
    <t xml:space="preserve">2017-04-23</t>
  </si>
  <si>
    <t xml:space="preserve">OH0015762836</t>
  </si>
  <si>
    <t xml:space="preserve">KRISTINA</t>
  </si>
  <si>
    <t xml:space="preserve">1981-09-13</t>
  </si>
  <si>
    <t xml:space="preserve">OH0022687793</t>
  </si>
  <si>
    <t xml:space="preserve">1989-02-05</t>
  </si>
  <si>
    <t xml:space="preserve">2016-02-18</t>
  </si>
  <si>
    <t xml:space="preserve">OH0027951907</t>
  </si>
  <si>
    <t xml:space="preserve">GRAY</t>
  </si>
  <si>
    <t xml:space="preserve">ARON</t>
  </si>
  <si>
    <t xml:space="preserve">2000-12-18</t>
  </si>
  <si>
    <t xml:space="preserve">2025-05-02</t>
  </si>
  <si>
    <t xml:space="preserve">585 FAIRFIELD AVE NE</t>
  </si>
  <si>
    <t xml:space="preserve">OH0024416449</t>
  </si>
  <si>
    <t xml:space="preserve">JAMAHL</t>
  </si>
  <si>
    <t xml:space="preserve">1974-06-21</t>
  </si>
  <si>
    <t xml:space="preserve">2017-09-15</t>
  </si>
  <si>
    <t xml:space="preserve">OH0018956076</t>
  </si>
  <si>
    <t xml:space="preserve">1976-10-12</t>
  </si>
  <si>
    <t xml:space="preserve">OH0015818881</t>
  </si>
  <si>
    <t xml:space="preserve">MOSLEY</t>
  </si>
  <si>
    <t xml:space="preserve">1968-10-20</t>
  </si>
  <si>
    <t xml:space="preserve">2018-08-02</t>
  </si>
  <si>
    <t xml:space="preserve">590 FAIRFIELD AVE NE</t>
  </si>
  <si>
    <t xml:space="preserve">OH0027100271</t>
  </si>
  <si>
    <t xml:space="preserve">CHATMAN</t>
  </si>
  <si>
    <t xml:space="preserve">EMMA</t>
  </si>
  <si>
    <t xml:space="preserve">1977-05-20</t>
  </si>
  <si>
    <t xml:space="preserve">2023-10-10</t>
  </si>
  <si>
    <t xml:space="preserve">633 FAIRFIELD AVE NE</t>
  </si>
  <si>
    <t xml:space="preserve">OH0026789209</t>
  </si>
  <si>
    <t xml:space="preserve">PRISCILLA</t>
  </si>
  <si>
    <t xml:space="preserve">DARREN</t>
  </si>
  <si>
    <t xml:space="preserve">1965-09-08</t>
  </si>
  <si>
    <t xml:space="preserve">2023-01-09</t>
  </si>
  <si>
    <t xml:space="preserve">644 FAIRFIELD AVE NE</t>
  </si>
  <si>
    <t xml:space="preserve">OH0024524943</t>
  </si>
  <si>
    <t xml:space="preserve">HEYMAN</t>
  </si>
  <si>
    <t xml:space="preserve">1961-02-27</t>
  </si>
  <si>
    <t xml:space="preserve">2018-02-27</t>
  </si>
  <si>
    <t xml:space="preserve">175 FRANKLIN ST SE</t>
  </si>
  <si>
    <t xml:space="preserve">OH0015770661</t>
  </si>
  <si>
    <t xml:space="preserve">CARR</t>
  </si>
  <si>
    <t xml:space="preserve">LESTER</t>
  </si>
  <si>
    <t xml:space="preserve">1943-06-27</t>
  </si>
  <si>
    <t xml:space="preserve">2024-07-03</t>
  </si>
  <si>
    <t xml:space="preserve">135 FULTON ST SW</t>
  </si>
  <si>
    <t xml:space="preserve">OH0022637025</t>
  </si>
  <si>
    <t xml:space="preserve">COPE</t>
  </si>
  <si>
    <t xml:space="preserve">1969-04-27</t>
  </si>
  <si>
    <t xml:space="preserve">2024-08-26</t>
  </si>
  <si>
    <t xml:space="preserve">1344 GRANDVIEW ST SE</t>
  </si>
  <si>
    <t xml:space="preserve">OH0015694972</t>
  </si>
  <si>
    <t xml:space="preserve">PERIGO</t>
  </si>
  <si>
    <t xml:space="preserve">1982-08-27</t>
  </si>
  <si>
    <t xml:space="preserve">1527 GRANDVIEW ST SE</t>
  </si>
  <si>
    <t xml:space="preserve">OH0015694976</t>
  </si>
  <si>
    <t xml:space="preserve">TRACY</t>
  </si>
  <si>
    <t xml:space="preserve">1959-11-17</t>
  </si>
  <si>
    <t xml:space="preserve">OH0025180905</t>
  </si>
  <si>
    <t xml:space="preserve">ISER</t>
  </si>
  <si>
    <t xml:space="preserve">1983-08-31</t>
  </si>
  <si>
    <t xml:space="preserve">1208 GRANT ST SE</t>
  </si>
  <si>
    <t xml:space="preserve">OH0027595808</t>
  </si>
  <si>
    <t xml:space="preserve">1986-12-14</t>
  </si>
  <si>
    <t xml:space="preserve">OH0027500294</t>
  </si>
  <si>
    <t xml:space="preserve">HEATH</t>
  </si>
  <si>
    <t xml:space="preserve">1980-12-22</t>
  </si>
  <si>
    <t xml:space="preserve">2024-07-30</t>
  </si>
  <si>
    <t xml:space="preserve">OH0026532365</t>
  </si>
  <si>
    <t xml:space="preserve">MACLARREN</t>
  </si>
  <si>
    <t xml:space="preserve">AMBERLENE</t>
  </si>
  <si>
    <t xml:space="preserve">1990-06-04</t>
  </si>
  <si>
    <t xml:space="preserve">2022-06-30</t>
  </si>
  <si>
    <t xml:space="preserve">OH0027176300</t>
  </si>
  <si>
    <t xml:space="preserve">GALVIN</t>
  </si>
  <si>
    <t xml:space="preserve">1991-02-12</t>
  </si>
  <si>
    <t xml:space="preserve">1214 GRANT ST SE</t>
  </si>
  <si>
    <t xml:space="preserve">OH0015689725</t>
  </si>
  <si>
    <t xml:space="preserve">MINES</t>
  </si>
  <si>
    <t xml:space="preserve">CATHERINE</t>
  </si>
  <si>
    <t xml:space="preserve">1936-04-02</t>
  </si>
  <si>
    <t xml:space="preserve">1958-03-26</t>
  </si>
  <si>
    <t xml:space="preserve">1220 GRANT ST SE</t>
  </si>
  <si>
    <t xml:space="preserve">OH0027248683</t>
  </si>
  <si>
    <t xml:space="preserve">NIEVES LOPEZ</t>
  </si>
  <si>
    <t xml:space="preserve">KEVEN</t>
  </si>
  <si>
    <t xml:space="preserve">2005-06-30</t>
  </si>
  <si>
    <t xml:space="preserve">2024-02-13</t>
  </si>
  <si>
    <t xml:space="preserve">1228 GRANT ST SE</t>
  </si>
  <si>
    <t xml:space="preserve">OH0024009766</t>
  </si>
  <si>
    <t xml:space="preserve">NIEVES</t>
  </si>
  <si>
    <t xml:space="preserve">ABRAHAM</t>
  </si>
  <si>
    <t xml:space="preserve">1968-06-02</t>
  </si>
  <si>
    <t xml:space="preserve">2016-09-19</t>
  </si>
  <si>
    <t xml:space="preserve">OH0024009775</t>
  </si>
  <si>
    <t xml:space="preserve">LOPEZ RIVERA</t>
  </si>
  <si>
    <t xml:space="preserve">MIGDALIA</t>
  </si>
  <si>
    <t xml:space="preserve">1967-06-20</t>
  </si>
  <si>
    <t xml:space="preserve">OH0015689419</t>
  </si>
  <si>
    <t xml:space="preserve">HOLMES</t>
  </si>
  <si>
    <t xml:space="preserve">1952-08-26</t>
  </si>
  <si>
    <t xml:space="preserve">1971-07-26</t>
  </si>
  <si>
    <t xml:space="preserve">1239 GRANT ST SE</t>
  </si>
  <si>
    <t xml:space="preserve">OH0015711423</t>
  </si>
  <si>
    <t xml:space="preserve">1945-06-07</t>
  </si>
  <si>
    <t xml:space="preserve">2015-07-11</t>
  </si>
  <si>
    <t xml:space="preserve">OH0023263978</t>
  </si>
  <si>
    <t xml:space="preserve">KAYLA</t>
  </si>
  <si>
    <t xml:space="preserve">1996-02-22</t>
  </si>
  <si>
    <t xml:space="preserve">2016-04-19</t>
  </si>
  <si>
    <t xml:space="preserve">1248 GRANT ST SE</t>
  </si>
  <si>
    <t xml:space="preserve">OH0025010287</t>
  </si>
  <si>
    <t xml:space="preserve">1961-03-20</t>
  </si>
  <si>
    <t xml:space="preserve">2018-12-28</t>
  </si>
  <si>
    <t xml:space="preserve">1249 GRANT ST SE</t>
  </si>
  <si>
    <t xml:space="preserve">OH0023665801</t>
  </si>
  <si>
    <t xml:space="preserve">FOY</t>
  </si>
  <si>
    <t xml:space="preserve">ERVIN</t>
  </si>
  <si>
    <t xml:space="preserve">1972-08-05</t>
  </si>
  <si>
    <t xml:space="preserve">2016-04-23</t>
  </si>
  <si>
    <t xml:space="preserve">1250 GRANT ST SE</t>
  </si>
  <si>
    <t xml:space="preserve">OH0024648590</t>
  </si>
  <si>
    <t xml:space="preserve">LOUCKS</t>
  </si>
  <si>
    <t xml:space="preserve">1983-12-03</t>
  </si>
  <si>
    <t xml:space="preserve">2018-04-23</t>
  </si>
  <si>
    <t xml:space="preserve">OH0015743363</t>
  </si>
  <si>
    <t xml:space="preserve">COMANESCU</t>
  </si>
  <si>
    <t xml:space="preserve">1962-06-08</t>
  </si>
  <si>
    <t xml:space="preserve">2023-06-06</t>
  </si>
  <si>
    <t xml:space="preserve">261 HARMON AVE NW</t>
  </si>
  <si>
    <t xml:space="preserve">OH0026445149</t>
  </si>
  <si>
    <t xml:space="preserve">SARAH</t>
  </si>
  <si>
    <t xml:space="preserve">2004-03-18</t>
  </si>
  <si>
    <t xml:space="preserve">305 HARMON AVE NW</t>
  </si>
  <si>
    <t xml:space="preserve">APT 103</t>
  </si>
  <si>
    <t xml:space="preserve">OH0015786957</t>
  </si>
  <si>
    <t xml:space="preserve">GERMANO</t>
  </si>
  <si>
    <t xml:space="preserve">MARGARET</t>
  </si>
  <si>
    <t xml:space="preserve">1961-09-09</t>
  </si>
  <si>
    <t xml:space="preserve">2024-09-27</t>
  </si>
  <si>
    <t xml:space="preserve">APT 201</t>
  </si>
  <si>
    <t xml:space="preserve">OH0022884055</t>
  </si>
  <si>
    <t xml:space="preserve">SCHLECHT</t>
  </si>
  <si>
    <t xml:space="preserve">1958-01-13</t>
  </si>
  <si>
    <t xml:space="preserve">2018-09-19</t>
  </si>
  <si>
    <t xml:space="preserve">OH0027353628</t>
  </si>
  <si>
    <t xml:space="preserve">LONSBROUGH</t>
  </si>
  <si>
    <t xml:space="preserve">LENO</t>
  </si>
  <si>
    <t xml:space="preserve">1982-10-08</t>
  </si>
  <si>
    <t xml:space="preserve">2024-05-10</t>
  </si>
  <si>
    <t xml:space="preserve">OH0015749548</t>
  </si>
  <si>
    <t xml:space="preserve">ESTRIGHT</t>
  </si>
  <si>
    <t xml:space="preserve">1955-04-25</t>
  </si>
  <si>
    <t xml:space="preserve">2017-03-30</t>
  </si>
  <si>
    <t xml:space="preserve">APT 203</t>
  </si>
  <si>
    <t xml:space="preserve">OH0021405179</t>
  </si>
  <si>
    <t xml:space="preserve">KROMER</t>
  </si>
  <si>
    <t xml:space="preserve">1972-01-21</t>
  </si>
  <si>
    <t xml:space="preserve">2015-10-23</t>
  </si>
  <si>
    <t xml:space="preserve">323 HARMON AVE NW</t>
  </si>
  <si>
    <t xml:space="preserve">OH0026905729</t>
  </si>
  <si>
    <t xml:space="preserve">DEVIN</t>
  </si>
  <si>
    <t xml:space="preserve">2004-08-30</t>
  </si>
  <si>
    <t xml:space="preserve">2023-05-02</t>
  </si>
  <si>
    <t xml:space="preserve">1004 HARRISON ST NE</t>
  </si>
  <si>
    <t xml:space="preserve">OH0015800327</t>
  </si>
  <si>
    <t xml:space="preserve">DRUM</t>
  </si>
  <si>
    <t xml:space="preserve">1984-08-26</t>
  </si>
  <si>
    <t xml:space="preserve">2017-03-15</t>
  </si>
  <si>
    <t xml:space="preserve">OH0015710197</t>
  </si>
  <si>
    <t xml:space="preserve">1960-12-07</t>
  </si>
  <si>
    <t xml:space="preserve">1014 HARRISON ST NE</t>
  </si>
  <si>
    <t xml:space="preserve">OH0015799912</t>
  </si>
  <si>
    <t xml:space="preserve">1946-08-05</t>
  </si>
  <si>
    <t xml:space="preserve">1999-10-25</t>
  </si>
  <si>
    <t xml:space="preserve">1024 HARRISON ST NE</t>
  </si>
  <si>
    <t xml:space="preserve">OH0015683592</t>
  </si>
  <si>
    <t xml:space="preserve">RICKEY</t>
  </si>
  <si>
    <t xml:space="preserve">1961-10-27</t>
  </si>
  <si>
    <t xml:space="preserve">2020-10-19</t>
  </si>
  <si>
    <t xml:space="preserve">OH0015711525</t>
  </si>
  <si>
    <t xml:space="preserve">LOOMIS</t>
  </si>
  <si>
    <t xml:space="preserve">1951-07-20</t>
  </si>
  <si>
    <t xml:space="preserve">1044 HARRISON ST NE</t>
  </si>
  <si>
    <t xml:space="preserve">OH0027422947</t>
  </si>
  <si>
    <t xml:space="preserve">BRIANNA</t>
  </si>
  <si>
    <t xml:space="preserve">2004-01-19</t>
  </si>
  <si>
    <t xml:space="preserve">OH0015687653</t>
  </si>
  <si>
    <t xml:space="preserve">MILLESON</t>
  </si>
  <si>
    <t xml:space="preserve">1947-03-04</t>
  </si>
  <si>
    <t xml:space="preserve">2023-08-25</t>
  </si>
  <si>
    <t xml:space="preserve">1045 HARRISON ST NE</t>
  </si>
  <si>
    <t xml:space="preserve">OH0021296787</t>
  </si>
  <si>
    <t xml:space="preserve">1981-12-08</t>
  </si>
  <si>
    <t xml:space="preserve">OH0024936472</t>
  </si>
  <si>
    <t xml:space="preserve">MACCARTNEY</t>
  </si>
  <si>
    <t xml:space="preserve">TONITA</t>
  </si>
  <si>
    <t xml:space="preserve">1960-02-14</t>
  </si>
  <si>
    <t xml:space="preserve">1104 HARRISON ST NE</t>
  </si>
  <si>
    <t xml:space="preserve">OH0015795753</t>
  </si>
  <si>
    <t xml:space="preserve">HAYNES</t>
  </si>
  <si>
    <t xml:space="preserve">MARQUITTA</t>
  </si>
  <si>
    <t xml:space="preserve">1984-02-12</t>
  </si>
  <si>
    <t xml:space="preserve">1105 HARRISON ST NE</t>
  </si>
  <si>
    <t xml:space="preserve">OH0023147680</t>
  </si>
  <si>
    <t xml:space="preserve">1969-06-12</t>
  </si>
  <si>
    <t xml:space="preserve">2015-05-26</t>
  </si>
  <si>
    <t xml:space="preserve">1106 HARRISON ST NE</t>
  </si>
  <si>
    <t xml:space="preserve">UNIT U</t>
  </si>
  <si>
    <t xml:space="preserve">OH0015744569</t>
  </si>
  <si>
    <t xml:space="preserve">PENNOCK</t>
  </si>
  <si>
    <t xml:space="preserve">KENYALE</t>
  </si>
  <si>
    <t xml:space="preserve">RANDALL</t>
  </si>
  <si>
    <t xml:space="preserve">1986-08-27</t>
  </si>
  <si>
    <t xml:space="preserve">2023-05-30</t>
  </si>
  <si>
    <t xml:space="preserve">OH0027541168</t>
  </si>
  <si>
    <t xml:space="preserve">JOSIAH</t>
  </si>
  <si>
    <t xml:space="preserve">DEANDRE</t>
  </si>
  <si>
    <t xml:space="preserve">2003-08-20</t>
  </si>
  <si>
    <t xml:space="preserve">1115 HARRISON ST NE</t>
  </si>
  <si>
    <t xml:space="preserve">OH0019135665</t>
  </si>
  <si>
    <t xml:space="preserve">TESORIERO</t>
  </si>
  <si>
    <t xml:space="preserve">1968-04-23</t>
  </si>
  <si>
    <t xml:space="preserve">2020-11-04</t>
  </si>
  <si>
    <t xml:space="preserve">1124 HARRISON ST NE</t>
  </si>
  <si>
    <t xml:space="preserve">OH0023077846</t>
  </si>
  <si>
    <t xml:space="preserve">1979-03-09</t>
  </si>
  <si>
    <t xml:space="preserve">OH0015691020</t>
  </si>
  <si>
    <t xml:space="preserve">GENTIS</t>
  </si>
  <si>
    <t xml:space="preserve">PETE</t>
  </si>
  <si>
    <t xml:space="preserve">1938-01-23</t>
  </si>
  <si>
    <t xml:space="preserve">1981-04-30</t>
  </si>
  <si>
    <t xml:space="preserve">1134 HARRISON ST NE</t>
  </si>
  <si>
    <t xml:space="preserve">OH0027912276</t>
  </si>
  <si>
    <t xml:space="preserve">1966-03-20</t>
  </si>
  <si>
    <t xml:space="preserve">2025-03-12</t>
  </si>
  <si>
    <t xml:space="preserve">OH0026279650</t>
  </si>
  <si>
    <t xml:space="preserve">HAINES</t>
  </si>
  <si>
    <t xml:space="preserve">RONALD</t>
  </si>
  <si>
    <t xml:space="preserve">1953-07-03</t>
  </si>
  <si>
    <t xml:space="preserve">2023-11-05</t>
  </si>
  <si>
    <t xml:space="preserve">1143 HARRISON ST NE</t>
  </si>
  <si>
    <t xml:space="preserve">OH0027518582</t>
  </si>
  <si>
    <t xml:space="preserve">GABRIELLE</t>
  </si>
  <si>
    <t xml:space="preserve">2005-12-14</t>
  </si>
  <si>
    <t xml:space="preserve">2024-08-20</t>
  </si>
  <si>
    <t xml:space="preserve">1153 HARRISON ST NE</t>
  </si>
  <si>
    <t xml:space="preserve">OH0015757447</t>
  </si>
  <si>
    <t xml:space="preserve">KRISTINE</t>
  </si>
  <si>
    <t xml:space="preserve">1973-03-14</t>
  </si>
  <si>
    <t xml:space="preserve">OH0024241001</t>
  </si>
  <si>
    <t xml:space="preserve">TONNIE</t>
  </si>
  <si>
    <t xml:space="preserve">1971-10-19</t>
  </si>
  <si>
    <t xml:space="preserve">2017-03-06</t>
  </si>
  <si>
    <t xml:space="preserve">OH0015727862</t>
  </si>
  <si>
    <t xml:space="preserve">WISSINGER</t>
  </si>
  <si>
    <t xml:space="preserve">1959-01-13</t>
  </si>
  <si>
    <t xml:space="preserve">1988-10-04</t>
  </si>
  <si>
    <t xml:space="preserve">1161 HARRISON ST NE</t>
  </si>
  <si>
    <t xml:space="preserve">OH0015773321</t>
  </si>
  <si>
    <t xml:space="preserve">1961-07-12</t>
  </si>
  <si>
    <t xml:space="preserve">OH0015741363</t>
  </si>
  <si>
    <t xml:space="preserve">SHUGART</t>
  </si>
  <si>
    <t xml:space="preserve">DONALD</t>
  </si>
  <si>
    <t xml:space="preserve">1957-02-17</t>
  </si>
  <si>
    <t xml:space="preserve">2023-07-19</t>
  </si>
  <si>
    <t xml:space="preserve">1169 HARRISON ST NE</t>
  </si>
  <si>
    <t xml:space="preserve">OH0024289066</t>
  </si>
  <si>
    <t xml:space="preserve">RUSSELL</t>
  </si>
  <si>
    <t xml:space="preserve">2019-09-19</t>
  </si>
  <si>
    <t xml:space="preserve">1172 HARRISON ST NE</t>
  </si>
  <si>
    <t xml:space="preserve">OH0023668972</t>
  </si>
  <si>
    <t xml:space="preserve">FLOWERS</t>
  </si>
  <si>
    <t xml:space="preserve">1961-03-03</t>
  </si>
  <si>
    <t xml:space="preserve">2016-04-25</t>
  </si>
  <si>
    <t xml:space="preserve">1180 HARRISON ST NE</t>
  </si>
  <si>
    <t xml:space="preserve">OH0015724612</t>
  </si>
  <si>
    <t xml:space="preserve">BLACK</t>
  </si>
  <si>
    <t xml:space="preserve">1944-02-24</t>
  </si>
  <si>
    <t xml:space="preserve">1988-09-09</t>
  </si>
  <si>
    <t xml:space="preserve">1183 HARRISON ST NE</t>
  </si>
  <si>
    <t xml:space="preserve">OH0015724614</t>
  </si>
  <si>
    <t xml:space="preserve">KAREN</t>
  </si>
  <si>
    <t xml:space="preserve">1942-02-16</t>
  </si>
  <si>
    <t xml:space="preserve">OH0027516762</t>
  </si>
  <si>
    <t xml:space="preserve">PARRY</t>
  </si>
  <si>
    <t xml:space="preserve">TRINITY</t>
  </si>
  <si>
    <t xml:space="preserve">1986-02-08</t>
  </si>
  <si>
    <t xml:space="preserve">1186 HARRISON ST NE</t>
  </si>
  <si>
    <t xml:space="preserve">OH0021577067</t>
  </si>
  <si>
    <t xml:space="preserve">POWELL</t>
  </si>
  <si>
    <t xml:space="preserve">1977-10-09</t>
  </si>
  <si>
    <t xml:space="preserve">1189 HARRISON ST NE</t>
  </si>
  <si>
    <t xml:space="preserve">OH0021346477</t>
  </si>
  <si>
    <t xml:space="preserve">KOVALIK</t>
  </si>
  <si>
    <t xml:space="preserve">ALEX</t>
  </si>
  <si>
    <t xml:space="preserve">OH0026905119</t>
  </si>
  <si>
    <t xml:space="preserve">2002-06-05</t>
  </si>
  <si>
    <t xml:space="preserve">2023-04-29</t>
  </si>
  <si>
    <t xml:space="preserve">OH0026926966</t>
  </si>
  <si>
    <t xml:space="preserve">FOERTCH</t>
  </si>
  <si>
    <t xml:space="preserve">1949-11-08</t>
  </si>
  <si>
    <t xml:space="preserve">2023-06-26</t>
  </si>
  <si>
    <t xml:space="preserve">1197 HARRISON ST NE</t>
  </si>
  <si>
    <t xml:space="preserve">OH0015688288</t>
  </si>
  <si>
    <t xml:space="preserve">1947-04-27</t>
  </si>
  <si>
    <t xml:space="preserve">2015-08-25</t>
  </si>
  <si>
    <t xml:space="preserve">OH0024524985</t>
  </si>
  <si>
    <t xml:space="preserve">KELLEY</t>
  </si>
  <si>
    <t xml:space="preserve">1973-09-25</t>
  </si>
  <si>
    <t xml:space="preserve">2019-09-26</t>
  </si>
  <si>
    <t xml:space="preserve">890 HARRISON ST NE</t>
  </si>
  <si>
    <t xml:space="preserve">OH0024661164</t>
  </si>
  <si>
    <t xml:space="preserve">DARBEY</t>
  </si>
  <si>
    <t xml:space="preserve">1971-09-21</t>
  </si>
  <si>
    <t xml:space="preserve">2018-06-14</t>
  </si>
  <si>
    <t xml:space="preserve">1103 HIGH ST NE</t>
  </si>
  <si>
    <t xml:space="preserve">OH0024714392</t>
  </si>
  <si>
    <t xml:space="preserve">1964-02-20</t>
  </si>
  <si>
    <t xml:space="preserve">2020-06-15</t>
  </si>
  <si>
    <t xml:space="preserve">1112 HIGH ST NE</t>
  </si>
  <si>
    <t xml:space="preserve">OH0025863800</t>
  </si>
  <si>
    <t xml:space="preserve">SETTLES</t>
  </si>
  <si>
    <t xml:space="preserve">1987-06-28</t>
  </si>
  <si>
    <t xml:space="preserve">OH0026860367</t>
  </si>
  <si>
    <t xml:space="preserve">CAPIRANO</t>
  </si>
  <si>
    <t xml:space="preserve">BARABARA</t>
  </si>
  <si>
    <t xml:space="preserve">JOAN</t>
  </si>
  <si>
    <t xml:space="preserve">1953-04-02</t>
  </si>
  <si>
    <t xml:space="preserve">2023-04-03</t>
  </si>
  <si>
    <t xml:space="preserve">1113 HIGH ST NE</t>
  </si>
  <si>
    <t xml:space="preserve">OH0015688833</t>
  </si>
  <si>
    <t xml:space="preserve">SPRECACENERE</t>
  </si>
  <si>
    <t xml:space="preserve">CLAUDIA</t>
  </si>
  <si>
    <t xml:space="preserve">1939-06-04</t>
  </si>
  <si>
    <t xml:space="preserve">1970-01-20</t>
  </si>
  <si>
    <t xml:space="preserve">1122 HIGH ST NE</t>
  </si>
  <si>
    <t xml:space="preserve">OH0015761626</t>
  </si>
  <si>
    <t xml:space="preserve">1961-08-03</t>
  </si>
  <si>
    <t xml:space="preserve">OH0021320113</t>
  </si>
  <si>
    <t xml:space="preserve">BARE</t>
  </si>
  <si>
    <t xml:space="preserve">1978-02-10</t>
  </si>
  <si>
    <t xml:space="preserve">1125 HIGH ST NE</t>
  </si>
  <si>
    <t xml:space="preserve">OH0018757394</t>
  </si>
  <si>
    <t xml:space="preserve">1982-12-07</t>
  </si>
  <si>
    <t xml:space="preserve">2016-10-06</t>
  </si>
  <si>
    <t xml:space="preserve">OH0015737991</t>
  </si>
  <si>
    <t xml:space="preserve">SHANNON</t>
  </si>
  <si>
    <t xml:space="preserve">1962-11-22</t>
  </si>
  <si>
    <t xml:space="preserve">2007-11-21</t>
  </si>
  <si>
    <t xml:space="preserve">1132 HIGH ST NE</t>
  </si>
  <si>
    <t xml:space="preserve">OH0015818955</t>
  </si>
  <si>
    <t xml:space="preserve">NAVARRO</t>
  </si>
  <si>
    <t xml:space="preserve">1962-10-02</t>
  </si>
  <si>
    <t xml:space="preserve">1998-10-13</t>
  </si>
  <si>
    <t xml:space="preserve">1135 HIGH ST NE</t>
  </si>
  <si>
    <t xml:space="preserve">OH0015749411</t>
  </si>
  <si>
    <t xml:space="preserve">LITO</t>
  </si>
  <si>
    <t xml:space="preserve">1960-05-11</t>
  </si>
  <si>
    <t xml:space="preserve">2000-04-06</t>
  </si>
  <si>
    <t xml:space="preserve">OH0023650069</t>
  </si>
  <si>
    <t xml:space="preserve">1983-05-17</t>
  </si>
  <si>
    <t xml:space="preserve">2016-04-13</t>
  </si>
  <si>
    <t xml:space="preserve">1142 HIGH ST NE</t>
  </si>
  <si>
    <t xml:space="preserve">OH0025109698</t>
  </si>
  <si>
    <t xml:space="preserve">LEINGANG</t>
  </si>
  <si>
    <t xml:space="preserve">TERRY</t>
  </si>
  <si>
    <t xml:space="preserve">1964-05-13</t>
  </si>
  <si>
    <t xml:space="preserve">OH0025161202</t>
  </si>
  <si>
    <t xml:space="preserve">SEBELIST</t>
  </si>
  <si>
    <t xml:space="preserve">1941-08-26</t>
  </si>
  <si>
    <t xml:space="preserve">2019-07-31</t>
  </si>
  <si>
    <t xml:space="preserve">OH0021178832</t>
  </si>
  <si>
    <t xml:space="preserve">TEAUNA</t>
  </si>
  <si>
    <t xml:space="preserve">1988-06-24</t>
  </si>
  <si>
    <t xml:space="preserve">1145 HIGH ST NE</t>
  </si>
  <si>
    <t xml:space="preserve">OH0015688460</t>
  </si>
  <si>
    <t xml:space="preserve">IOANNOU</t>
  </si>
  <si>
    <t xml:space="preserve">FRANZISKA</t>
  </si>
  <si>
    <t xml:space="preserve">1937-03-08</t>
  </si>
  <si>
    <t xml:space="preserve">1152 HIGH ST NE</t>
  </si>
  <si>
    <t xml:space="preserve">OH0027366867</t>
  </si>
  <si>
    <t xml:space="preserve">STANICK</t>
  </si>
  <si>
    <t xml:space="preserve">DIXIE</t>
  </si>
  <si>
    <t xml:space="preserve">1950-06-06</t>
  </si>
  <si>
    <t xml:space="preserve">1165 HIGH ST NE</t>
  </si>
  <si>
    <t xml:space="preserve">OH0024617429</t>
  </si>
  <si>
    <t xml:space="preserve">WALLER</t>
  </si>
  <si>
    <t xml:space="preserve">HEAVEN</t>
  </si>
  <si>
    <t xml:space="preserve">1997-12-31</t>
  </si>
  <si>
    <t xml:space="preserve">2018-05-17</t>
  </si>
  <si>
    <t xml:space="preserve">OH0015718821</t>
  </si>
  <si>
    <t xml:space="preserve">TICORAS</t>
  </si>
  <si>
    <t xml:space="preserve">1960-09-13</t>
  </si>
  <si>
    <t xml:space="preserve">2021-08-09</t>
  </si>
  <si>
    <t xml:space="preserve">1175 HIGH ST NE</t>
  </si>
  <si>
    <t xml:space="preserve">OH0019678294</t>
  </si>
  <si>
    <t xml:space="preserve">MARGIE</t>
  </si>
  <si>
    <t xml:space="preserve">1959-10-29</t>
  </si>
  <si>
    <t xml:space="preserve">2015-07-05</t>
  </si>
  <si>
    <t xml:space="preserve">1185 HIGH ST NE</t>
  </si>
  <si>
    <t xml:space="preserve">OH0019626564</t>
  </si>
  <si>
    <t xml:space="preserve">DONAHUE</t>
  </si>
  <si>
    <t xml:space="preserve">JANE</t>
  </si>
  <si>
    <t xml:space="preserve">1954-09-21</t>
  </si>
  <si>
    <t xml:space="preserve">2015-08-12</t>
  </si>
  <si>
    <t xml:space="preserve">OH0015688216</t>
  </si>
  <si>
    <t xml:space="preserve">1949-12-11</t>
  </si>
  <si>
    <t xml:space="preserve">1971-03-18</t>
  </si>
  <si>
    <t xml:space="preserve">OH0025063507</t>
  </si>
  <si>
    <t xml:space="preserve">HAFNER</t>
  </si>
  <si>
    <t xml:space="preserve">1205 HIGH ST NE</t>
  </si>
  <si>
    <t xml:space="preserve">OH0015745198</t>
  </si>
  <si>
    <t xml:space="preserve">PALM</t>
  </si>
  <si>
    <t xml:space="preserve">1948-11-03</t>
  </si>
  <si>
    <t xml:space="preserve">1991-10-17</t>
  </si>
  <si>
    <t xml:space="preserve">1214 HIGH ST NE</t>
  </si>
  <si>
    <t xml:space="preserve">OH0015687884</t>
  </si>
  <si>
    <t xml:space="preserve">GUARNIERI</t>
  </si>
  <si>
    <t xml:space="preserve">1946-07-19</t>
  </si>
  <si>
    <t xml:space="preserve">2010-08-18</t>
  </si>
  <si>
    <t xml:space="preserve">OH0015695583</t>
  </si>
  <si>
    <t xml:space="preserve">STEVENS</t>
  </si>
  <si>
    <t xml:space="preserve">MARC</t>
  </si>
  <si>
    <t xml:space="preserve">1951-11-12</t>
  </si>
  <si>
    <t xml:space="preserve">2023-08-17</t>
  </si>
  <si>
    <t xml:space="preserve">1215 HIGH ST NE</t>
  </si>
  <si>
    <t xml:space="preserve">OH0015701081</t>
  </si>
  <si>
    <t xml:space="preserve">ARTRALE</t>
  </si>
  <si>
    <t xml:space="preserve">1982-07-12</t>
  </si>
  <si>
    <t xml:space="preserve">2018-01-09</t>
  </si>
  <si>
    <t xml:space="preserve">1259 HIGH ST NE</t>
  </si>
  <si>
    <t xml:space="preserve">OH0027829854</t>
  </si>
  <si>
    <t xml:space="preserve">ARMSTRONG</t>
  </si>
  <si>
    <t xml:space="preserve">1995-02-15</t>
  </si>
  <si>
    <t xml:space="preserve">160 HIGH ST NE</t>
  </si>
  <si>
    <t xml:space="preserve">GENERAL DELIVERY</t>
  </si>
  <si>
    <t xml:space="preserve">OH0027452680</t>
  </si>
  <si>
    <t xml:space="preserve">ROYSTER</t>
  </si>
  <si>
    <t xml:space="preserve">DARYLE</t>
  </si>
  <si>
    <t xml:space="preserve">1992-12-07</t>
  </si>
  <si>
    <t xml:space="preserve">163 HIGH ST NE</t>
  </si>
  <si>
    <t xml:space="preserve">OH0019790282</t>
  </si>
  <si>
    <t xml:space="preserve">CHELSEE</t>
  </si>
  <si>
    <t xml:space="preserve">ELLEN</t>
  </si>
  <si>
    <t xml:space="preserve">1985-11-19</t>
  </si>
  <si>
    <t xml:space="preserve">182 HIGH ST NE</t>
  </si>
  <si>
    <t xml:space="preserve">APT 207</t>
  </si>
  <si>
    <t xml:space="preserve">OH0015785508</t>
  </si>
  <si>
    <t xml:space="preserve">MEEKER</t>
  </si>
  <si>
    <t xml:space="preserve">1969-09-13</t>
  </si>
  <si>
    <t xml:space="preserve">APT 507</t>
  </si>
  <si>
    <t xml:space="preserve">OH0015738011</t>
  </si>
  <si>
    <t xml:space="preserve">CERIMELE</t>
  </si>
  <si>
    <t xml:space="preserve">1959-11-07</t>
  </si>
  <si>
    <t xml:space="preserve">2024-10-03</t>
  </si>
  <si>
    <t xml:space="preserve">APT 208</t>
  </si>
  <si>
    <t xml:space="preserve">OH0027366871</t>
  </si>
  <si>
    <t xml:space="preserve">LUNDY</t>
  </si>
  <si>
    <t xml:space="preserve">1962-10-19</t>
  </si>
  <si>
    <t xml:space="preserve">APT 205</t>
  </si>
  <si>
    <t xml:space="preserve">OH0015748982</t>
  </si>
  <si>
    <t xml:space="preserve">1961-10-20</t>
  </si>
  <si>
    <t xml:space="preserve">APT 608</t>
  </si>
  <si>
    <t xml:space="preserve">OH0015807422</t>
  </si>
  <si>
    <t xml:space="preserve">CUSTER</t>
  </si>
  <si>
    <t xml:space="preserve">1962-11-12</t>
  </si>
  <si>
    <t xml:space="preserve">APT 304</t>
  </si>
  <si>
    <t xml:space="preserve">OH0015688190</t>
  </si>
  <si>
    <t xml:space="preserve">ANGELIKI</t>
  </si>
  <si>
    <t xml:space="preserve">1940-03-10</t>
  </si>
  <si>
    <t xml:space="preserve">1980-10-06</t>
  </si>
  <si>
    <t xml:space="preserve">APT 607</t>
  </si>
  <si>
    <t xml:space="preserve">OH0021315934</t>
  </si>
  <si>
    <t xml:space="preserve">COUDRIET</t>
  </si>
  <si>
    <t xml:space="preserve">1950-11-06</t>
  </si>
  <si>
    <t xml:space="preserve">2015-12-28</t>
  </si>
  <si>
    <t xml:space="preserve">APT 510</t>
  </si>
  <si>
    <t xml:space="preserve">OH0015741995</t>
  </si>
  <si>
    <t xml:space="preserve">JENNINGS</t>
  </si>
  <si>
    <t xml:space="preserve">1961-01-26</t>
  </si>
  <si>
    <t xml:space="preserve">2025-05-30</t>
  </si>
  <si>
    <t xml:space="preserve">OH0015754179</t>
  </si>
  <si>
    <t xml:space="preserve">1955-12-27</t>
  </si>
  <si>
    <t xml:space="preserve">APT 411</t>
  </si>
  <si>
    <t xml:space="preserve">OH0020222643</t>
  </si>
  <si>
    <t xml:space="preserve">CARMICHAEL</t>
  </si>
  <si>
    <t xml:space="preserve">1946-08-28</t>
  </si>
  <si>
    <t xml:space="preserve">2016-08-04</t>
  </si>
  <si>
    <t xml:space="preserve">APT 403</t>
  </si>
  <si>
    <t xml:space="preserve">OH0027742497</t>
  </si>
  <si>
    <t xml:space="preserve">HONEYWOOD</t>
  </si>
  <si>
    <t xml:space="preserve">1958-08-22</t>
  </si>
  <si>
    <t xml:space="preserve">APT 610</t>
  </si>
  <si>
    <t xml:space="preserve">OH0021351391</t>
  </si>
  <si>
    <t xml:space="preserve">JAROLD</t>
  </si>
  <si>
    <t xml:space="preserve">1993-09-11</t>
  </si>
  <si>
    <t xml:space="preserve">2019-09-04</t>
  </si>
  <si>
    <t xml:space="preserve">APT 602</t>
  </si>
  <si>
    <t xml:space="preserve">OH0015715807</t>
  </si>
  <si>
    <t xml:space="preserve">BRENDAN</t>
  </si>
  <si>
    <t xml:space="preserve">LOREN</t>
  </si>
  <si>
    <t xml:space="preserve">1960-09-12</t>
  </si>
  <si>
    <t xml:space="preserve">2020-04-06</t>
  </si>
  <si>
    <t xml:space="preserve">OH0015758799</t>
  </si>
  <si>
    <t xml:space="preserve">MITCH</t>
  </si>
  <si>
    <t xml:space="preserve">1976-10-20</t>
  </si>
  <si>
    <t xml:space="preserve">2004-08-05</t>
  </si>
  <si>
    <t xml:space="preserve">APT 210</t>
  </si>
  <si>
    <t xml:space="preserve">OH0027885317</t>
  </si>
  <si>
    <t xml:space="preserve">GANTT</t>
  </si>
  <si>
    <t xml:space="preserve">1966-02-09</t>
  </si>
  <si>
    <t xml:space="preserve">2025-02-03</t>
  </si>
  <si>
    <t xml:space="preserve">APT 402</t>
  </si>
  <si>
    <t xml:space="preserve">OH0025043485</t>
  </si>
  <si>
    <t xml:space="preserve">KOVELL</t>
  </si>
  <si>
    <t xml:space="preserve">CASSIDY</t>
  </si>
  <si>
    <t xml:space="preserve">2000-07-01</t>
  </si>
  <si>
    <t xml:space="preserve">OH0026781553</t>
  </si>
  <si>
    <t xml:space="preserve">HAROLD</t>
  </si>
  <si>
    <t xml:space="preserve">1959-06-09</t>
  </si>
  <si>
    <t xml:space="preserve">APT 404</t>
  </si>
  <si>
    <t xml:space="preserve">OH0015709887</t>
  </si>
  <si>
    <t xml:space="preserve">YAKUBEK</t>
  </si>
  <si>
    <t xml:space="preserve">PHYLLIS</t>
  </si>
  <si>
    <t xml:space="preserve">1956-12-05</t>
  </si>
  <si>
    <t xml:space="preserve">APT 305</t>
  </si>
  <si>
    <t xml:space="preserve">OH0019559271</t>
  </si>
  <si>
    <t xml:space="preserve">APT 307</t>
  </si>
  <si>
    <t xml:space="preserve">OH0015737631</t>
  </si>
  <si>
    <t xml:space="preserve">VECCHIO</t>
  </si>
  <si>
    <t xml:space="preserve">1961-09-21</t>
  </si>
  <si>
    <t xml:space="preserve">2023-09-14</t>
  </si>
  <si>
    <t xml:space="preserve">APT 401</t>
  </si>
  <si>
    <t xml:space="preserve">OH0025974691</t>
  </si>
  <si>
    <t xml:space="preserve">WALTER</t>
  </si>
  <si>
    <t xml:space="preserve">EILEEN</t>
  </si>
  <si>
    <t xml:space="preserve">2023-11-08</t>
  </si>
  <si>
    <t xml:space="preserve">APT 511</t>
  </si>
  <si>
    <t xml:space="preserve">OH0022334626</t>
  </si>
  <si>
    <t xml:space="preserve">BELLOWS</t>
  </si>
  <si>
    <t xml:space="preserve">1953-01-30</t>
  </si>
  <si>
    <t xml:space="preserve">2016-09-26</t>
  </si>
  <si>
    <t xml:space="preserve">APT 502</t>
  </si>
  <si>
    <t xml:space="preserve">OH0015737800</t>
  </si>
  <si>
    <t xml:space="preserve">HANAWALT</t>
  </si>
  <si>
    <t xml:space="preserve">MARTIN</t>
  </si>
  <si>
    <t xml:space="preserve">1955-12-18</t>
  </si>
  <si>
    <t xml:space="preserve">2006-09-13</t>
  </si>
  <si>
    <t xml:space="preserve">APT 605</t>
  </si>
  <si>
    <t xml:space="preserve">OH0024307764</t>
  </si>
  <si>
    <t xml:space="preserve">WANDA</t>
  </si>
  <si>
    <t xml:space="preserve">1958-07-06</t>
  </si>
  <si>
    <t xml:space="preserve">APT 311</t>
  </si>
  <si>
    <t xml:space="preserve">OH0020288829</t>
  </si>
  <si>
    <t xml:space="preserve">HAAS</t>
  </si>
  <si>
    <t xml:space="preserve">PENNY</t>
  </si>
  <si>
    <t xml:space="preserve">1965-10-10</t>
  </si>
  <si>
    <t xml:space="preserve">2024-09-06</t>
  </si>
  <si>
    <t xml:space="preserve">APT 508</t>
  </si>
  <si>
    <t xml:space="preserve">OH0025536665</t>
  </si>
  <si>
    <t xml:space="preserve">1980-03-10</t>
  </si>
  <si>
    <t xml:space="preserve">APT 601</t>
  </si>
  <si>
    <t xml:space="preserve">OH0015746262</t>
  </si>
  <si>
    <t xml:space="preserve">ALLGOOD</t>
  </si>
  <si>
    <t xml:space="preserve">TAMIKA</t>
  </si>
  <si>
    <t xml:space="preserve">1978-02-19</t>
  </si>
  <si>
    <t xml:space="preserve">2021-07-29</t>
  </si>
  <si>
    <t xml:space="preserve">OH0021652522</t>
  </si>
  <si>
    <t xml:space="preserve">VINZENT</t>
  </si>
  <si>
    <t xml:space="preserve">1970-12-17</t>
  </si>
  <si>
    <t xml:space="preserve">2018-02-22</t>
  </si>
  <si>
    <t xml:space="preserve">APT 603</t>
  </si>
  <si>
    <t xml:space="preserve">OH0022687682</t>
  </si>
  <si>
    <t xml:space="preserve">LANE</t>
  </si>
  <si>
    <t xml:space="preserve">ANTHONY ORTIZ</t>
  </si>
  <si>
    <t xml:space="preserve">1984-01-08</t>
  </si>
  <si>
    <t xml:space="preserve">2017-03-13</t>
  </si>
  <si>
    <t xml:space="preserve">OH0023525490</t>
  </si>
  <si>
    <t xml:space="preserve">MCLEAN</t>
  </si>
  <si>
    <t xml:space="preserve">1964-08-20</t>
  </si>
  <si>
    <t xml:space="preserve">APT 409</t>
  </si>
  <si>
    <t xml:space="preserve">OH0026272456</t>
  </si>
  <si>
    <t xml:space="preserve">MCCAIN</t>
  </si>
  <si>
    <t xml:space="preserve">LEWIS</t>
  </si>
  <si>
    <t xml:space="preserve">1954-08-22</t>
  </si>
  <si>
    <t xml:space="preserve">2021-08-30</t>
  </si>
  <si>
    <t xml:space="preserve">APT 308</t>
  </si>
  <si>
    <t xml:space="preserve">OH0015711727</t>
  </si>
  <si>
    <t xml:space="preserve">BISKER</t>
  </si>
  <si>
    <t xml:space="preserve">ROSEMARY</t>
  </si>
  <si>
    <t xml:space="preserve">1957-10-16</t>
  </si>
  <si>
    <t xml:space="preserve">2012-10-02</t>
  </si>
  <si>
    <t xml:space="preserve">OH0015817907</t>
  </si>
  <si>
    <t xml:space="preserve">WEST</t>
  </si>
  <si>
    <t xml:space="preserve">1957-09-14</t>
  </si>
  <si>
    <t xml:space="preserve">2025-01-02</t>
  </si>
  <si>
    <t xml:space="preserve">APT 606</t>
  </si>
  <si>
    <t xml:space="preserve">OH0015812136</t>
  </si>
  <si>
    <t xml:space="preserve">SPENCER</t>
  </si>
  <si>
    <t xml:space="preserve">STEPHANIE</t>
  </si>
  <si>
    <t xml:space="preserve">1956-05-18</t>
  </si>
  <si>
    <t xml:space="preserve">2020-06-25</t>
  </si>
  <si>
    <t xml:space="preserve">APT 107</t>
  </si>
  <si>
    <t xml:space="preserve">OH0015730749</t>
  </si>
  <si>
    <t xml:space="preserve">LAMBEA</t>
  </si>
  <si>
    <t xml:space="preserve">1956-08-01</t>
  </si>
  <si>
    <t xml:space="preserve">APT 306</t>
  </si>
  <si>
    <t xml:space="preserve">OH0023147908</t>
  </si>
  <si>
    <t xml:space="preserve">LYNCH</t>
  </si>
  <si>
    <t xml:space="preserve">1967-05-04</t>
  </si>
  <si>
    <t xml:space="preserve">2016-06-06</t>
  </si>
  <si>
    <t xml:space="preserve">APT 310</t>
  </si>
  <si>
    <t xml:space="preserve">OH0015819761</t>
  </si>
  <si>
    <t xml:space="preserve">FUTEY</t>
  </si>
  <si>
    <t xml:space="preserve">1979-02-23</t>
  </si>
  <si>
    <t xml:space="preserve">APT 505</t>
  </si>
  <si>
    <t xml:space="preserve">OH0023354893</t>
  </si>
  <si>
    <t xml:space="preserve">DECKERHOFF</t>
  </si>
  <si>
    <t xml:space="preserve">1962-03-06</t>
  </si>
  <si>
    <t xml:space="preserve">APT 106</t>
  </si>
  <si>
    <t xml:space="preserve">OH0027643516</t>
  </si>
  <si>
    <t xml:space="preserve">DESMOND</t>
  </si>
  <si>
    <t xml:space="preserve">TA MARR</t>
  </si>
  <si>
    <t xml:space="preserve">2024-09-09</t>
  </si>
  <si>
    <t xml:space="preserve">201 HIGH ST NE</t>
  </si>
  <si>
    <t xml:space="preserve">OH0027468554</t>
  </si>
  <si>
    <t xml:space="preserve">NEELY</t>
  </si>
  <si>
    <t xml:space="preserve">WILLIE</t>
  </si>
  <si>
    <t xml:space="preserve">1963-07-25</t>
  </si>
  <si>
    <t xml:space="preserve">OH0023719282</t>
  </si>
  <si>
    <t xml:space="preserve">1986-01-13</t>
  </si>
  <si>
    <t xml:space="preserve">OH0023533594</t>
  </si>
  <si>
    <t xml:space="preserve">1986-05-23</t>
  </si>
  <si>
    <t xml:space="preserve">2022-03-30</t>
  </si>
  <si>
    <t xml:space="preserve">OH0027501169</t>
  </si>
  <si>
    <t xml:space="preserve">COLLINS</t>
  </si>
  <si>
    <t xml:space="preserve">SAM</t>
  </si>
  <si>
    <t xml:space="preserve">1986-04-18</t>
  </si>
  <si>
    <t xml:space="preserve">321 HIGH ST NE</t>
  </si>
  <si>
    <t xml:space="preserve">OH0021175489</t>
  </si>
  <si>
    <t xml:space="preserve">GALGOZY</t>
  </si>
  <si>
    <t xml:space="preserve">1992-05-18</t>
  </si>
  <si>
    <t xml:space="preserve">367 HIGH ST NE</t>
  </si>
  <si>
    <t xml:space="preserve">OH0015790916</t>
  </si>
  <si>
    <t xml:space="preserve">RAMSELL</t>
  </si>
  <si>
    <t xml:space="preserve">1969-09-02</t>
  </si>
  <si>
    <t xml:space="preserve">2017-02-28</t>
  </si>
  <si>
    <t xml:space="preserve">OH0015769257</t>
  </si>
  <si>
    <t xml:space="preserve">DECESARE</t>
  </si>
  <si>
    <t xml:space="preserve">1981-05-01</t>
  </si>
  <si>
    <t xml:space="preserve">2022-04-27</t>
  </si>
  <si>
    <t xml:space="preserve">OH0026522019</t>
  </si>
  <si>
    <t xml:space="preserve">1981-07-24</t>
  </si>
  <si>
    <t xml:space="preserve">2022-06-08</t>
  </si>
  <si>
    <t xml:space="preserve">458 HIGH ST NE</t>
  </si>
  <si>
    <t xml:space="preserve">OH0024446726</t>
  </si>
  <si>
    <t xml:space="preserve">MAHAN</t>
  </si>
  <si>
    <t xml:space="preserve">1995-07-04</t>
  </si>
  <si>
    <t xml:space="preserve">2017-10-31</t>
  </si>
  <si>
    <t xml:space="preserve">468 HIGH ST NE</t>
  </si>
  <si>
    <t xml:space="preserve">OH0024477524</t>
  </si>
  <si>
    <t xml:space="preserve">PETERSON</t>
  </si>
  <si>
    <t xml:space="preserve">DANAMARIE</t>
  </si>
  <si>
    <t xml:space="preserve">1994-09-30</t>
  </si>
  <si>
    <t xml:space="preserve">2017-12-27</t>
  </si>
  <si>
    <t xml:space="preserve">OH0026063562</t>
  </si>
  <si>
    <t xml:space="preserve">WILSON</t>
  </si>
  <si>
    <t xml:space="preserve">EILIZABETH</t>
  </si>
  <si>
    <t xml:space="preserve">1960-11-07</t>
  </si>
  <si>
    <t xml:space="preserve">504 HIGH ST NE</t>
  </si>
  <si>
    <t xml:space="preserve">OH0024560946</t>
  </si>
  <si>
    <t xml:space="preserve">FANNIN</t>
  </si>
  <si>
    <t xml:space="preserve">1980-02-08</t>
  </si>
  <si>
    <t xml:space="preserve">512 HIGH ST NE</t>
  </si>
  <si>
    <t xml:space="preserve">OH0022328363</t>
  </si>
  <si>
    <t xml:space="preserve">SANTIAGO</t>
  </si>
  <si>
    <t xml:space="preserve">1993-12-13</t>
  </si>
  <si>
    <t xml:space="preserve">2012-11-06</t>
  </si>
  <si>
    <t xml:space="preserve">OH0027702253</t>
  </si>
  <si>
    <t xml:space="preserve">2006-07-21</t>
  </si>
  <si>
    <t xml:space="preserve">OH0026335419</t>
  </si>
  <si>
    <t xml:space="preserve">MADISON</t>
  </si>
  <si>
    <t xml:space="preserve">2003-12-08</t>
  </si>
  <si>
    <t xml:space="preserve">2021-11-04</t>
  </si>
  <si>
    <t xml:space="preserve">OH0025387273</t>
  </si>
  <si>
    <t xml:space="preserve">1982-12-20</t>
  </si>
  <si>
    <t xml:space="preserve">2020-01-10</t>
  </si>
  <si>
    <t xml:space="preserve">OH0024101400</t>
  </si>
  <si>
    <t xml:space="preserve">MOSHER</t>
  </si>
  <si>
    <t xml:space="preserve">LINDSEY</t>
  </si>
  <si>
    <t xml:space="preserve">1986-11-07</t>
  </si>
  <si>
    <t xml:space="preserve">2017-08-05</t>
  </si>
  <si>
    <t xml:space="preserve">539 HIGH ST NE</t>
  </si>
  <si>
    <t xml:space="preserve">OH0015786307</t>
  </si>
  <si>
    <t xml:space="preserve">COLAPIETRO</t>
  </si>
  <si>
    <t xml:space="preserve">REITA</t>
  </si>
  <si>
    <t xml:space="preserve">ERIN</t>
  </si>
  <si>
    <t xml:space="preserve">1977-08-11</t>
  </si>
  <si>
    <t xml:space="preserve">2019-08-03</t>
  </si>
  <si>
    <t xml:space="preserve">591 HIGH ST NE</t>
  </si>
  <si>
    <t xml:space="preserve">OH0026769274</t>
  </si>
  <si>
    <t xml:space="preserve">COPELAND</t>
  </si>
  <si>
    <t xml:space="preserve">1978-11-16</t>
  </si>
  <si>
    <t xml:space="preserve">2022-11-21</t>
  </si>
  <si>
    <t xml:space="preserve">OH0023642829</t>
  </si>
  <si>
    <t xml:space="preserve">NOEL</t>
  </si>
  <si>
    <t xml:space="preserve">1998-04-29</t>
  </si>
  <si>
    <t xml:space="preserve">2016-07-29</t>
  </si>
  <si>
    <t xml:space="preserve">OH0023062855</t>
  </si>
  <si>
    <t xml:space="preserve">DELEO</t>
  </si>
  <si>
    <t xml:space="preserve">VERONICA</t>
  </si>
  <si>
    <t xml:space="preserve">ANNALISILLA</t>
  </si>
  <si>
    <t xml:space="preserve">1995-02-20</t>
  </si>
  <si>
    <t xml:space="preserve">2015-02-25</t>
  </si>
  <si>
    <t xml:space="preserve">598 HIGH ST NE</t>
  </si>
  <si>
    <t xml:space="preserve">OH0026519675</t>
  </si>
  <si>
    <t xml:space="preserve">1966-02-28</t>
  </si>
  <si>
    <t xml:space="preserve">2023-10-02</t>
  </si>
  <si>
    <t xml:space="preserve">OH0023457183</t>
  </si>
  <si>
    <t xml:space="preserve">DELLIMUTI</t>
  </si>
  <si>
    <t xml:space="preserve">1960-08-15</t>
  </si>
  <si>
    <t xml:space="preserve">2016-08-17</t>
  </si>
  <si>
    <t xml:space="preserve">604 HIGH ST NE</t>
  </si>
  <si>
    <t xml:space="preserve">4840 CARLTON RD</t>
  </si>
  <si>
    <t xml:space="preserve">STIRLING HTS</t>
  </si>
  <si>
    <t xml:space="preserve">MI</t>
  </si>
  <si>
    <t xml:space="preserve">OH0026277026</t>
  </si>
  <si>
    <t xml:space="preserve">COLEMAN</t>
  </si>
  <si>
    <t xml:space="preserve">JURNEE</t>
  </si>
  <si>
    <t xml:space="preserve">MORREA</t>
  </si>
  <si>
    <t xml:space="preserve">2002-07-01</t>
  </si>
  <si>
    <t xml:space="preserve">2024-11-06</t>
  </si>
  <si>
    <t xml:space="preserve">618 HIGH ST NE</t>
  </si>
  <si>
    <t xml:space="preserve">OH0027472841</t>
  </si>
  <si>
    <t xml:space="preserve">ORTIZ</t>
  </si>
  <si>
    <t xml:space="preserve">HAILEY</t>
  </si>
  <si>
    <t xml:space="preserve">COLLETTA</t>
  </si>
  <si>
    <t xml:space="preserve">1996-09-09</t>
  </si>
  <si>
    <t xml:space="preserve">620 HIGH ST NE</t>
  </si>
  <si>
    <t xml:space="preserve">OH0026504681</t>
  </si>
  <si>
    <t xml:space="preserve">MEDINA CRUZ</t>
  </si>
  <si>
    <t xml:space="preserve">YARILIS</t>
  </si>
  <si>
    <t xml:space="preserve">1981-02-27</t>
  </si>
  <si>
    <t xml:space="preserve">2022-04-16</t>
  </si>
  <si>
    <t xml:space="preserve">OH0022699788</t>
  </si>
  <si>
    <t xml:space="preserve">PUENTE</t>
  </si>
  <si>
    <t xml:space="preserve">VICTOR</t>
  </si>
  <si>
    <t xml:space="preserve">HUGO</t>
  </si>
  <si>
    <t xml:space="preserve">1987-02-20</t>
  </si>
  <si>
    <t xml:space="preserve">150 HIGH ST NW</t>
  </si>
  <si>
    <t xml:space="preserve">OH0022311864</t>
  </si>
  <si>
    <t xml:space="preserve">1990-09-11</t>
  </si>
  <si>
    <t xml:space="preserve">2019-05-31</t>
  </si>
  <si>
    <t xml:space="preserve">182 HIGH ST NW</t>
  </si>
  <si>
    <t xml:space="preserve">APT 410</t>
  </si>
  <si>
    <t xml:space="preserve">OH0019050222</t>
  </si>
  <si>
    <t xml:space="preserve">GORE</t>
  </si>
  <si>
    <t xml:space="preserve">1962-01-29</t>
  </si>
  <si>
    <t xml:space="preserve">2024-09-20</t>
  </si>
  <si>
    <t xml:space="preserve">APT 611</t>
  </si>
  <si>
    <t xml:space="preserve">OH0019760694</t>
  </si>
  <si>
    <t xml:space="preserve">1974-11-30</t>
  </si>
  <si>
    <t xml:space="preserve">OH0021964123</t>
  </si>
  <si>
    <t xml:space="preserve">RICH</t>
  </si>
  <si>
    <t xml:space="preserve">1974-08-28</t>
  </si>
  <si>
    <t xml:space="preserve">OH0020135771</t>
  </si>
  <si>
    <t xml:space="preserve">1956-07-27</t>
  </si>
  <si>
    <t xml:space="preserve">2014-11-19</t>
  </si>
  <si>
    <t xml:space="preserve">APT 211</t>
  </si>
  <si>
    <t xml:space="preserve">OH0015732895</t>
  </si>
  <si>
    <t xml:space="preserve">OCONNELL</t>
  </si>
  <si>
    <t xml:space="preserve">1961-10-28</t>
  </si>
  <si>
    <t xml:space="preserve">2018-08-05</t>
  </si>
  <si>
    <t xml:space="preserve">APT 104</t>
  </si>
  <si>
    <t xml:space="preserve">OH0024591117</t>
  </si>
  <si>
    <t xml:space="preserve">DWAYNE</t>
  </si>
  <si>
    <t xml:space="preserve">1967-11-16</t>
  </si>
  <si>
    <t xml:space="preserve">2021-10-08</t>
  </si>
  <si>
    <t xml:space="preserve">APT 102</t>
  </si>
  <si>
    <t xml:space="preserve">OH0024837966</t>
  </si>
  <si>
    <t xml:space="preserve">FRAZIER</t>
  </si>
  <si>
    <t xml:space="preserve">LINWOOD</t>
  </si>
  <si>
    <t xml:space="preserve">1948-01-30</t>
  </si>
  <si>
    <t xml:space="preserve">APT 204</t>
  </si>
  <si>
    <t xml:space="preserve">OH0015681906</t>
  </si>
  <si>
    <t xml:space="preserve">1941-08-06</t>
  </si>
  <si>
    <t xml:space="preserve">OH0015755021</t>
  </si>
  <si>
    <t xml:space="preserve">CORNELIUS</t>
  </si>
  <si>
    <t xml:space="preserve">1965-02-17</t>
  </si>
  <si>
    <t xml:space="preserve">2007-09-26</t>
  </si>
  <si>
    <t xml:space="preserve">1000 HOMEWOOD AVE SE</t>
  </si>
  <si>
    <t xml:space="preserve">OH0023874167</t>
  </si>
  <si>
    <t xml:space="preserve">PRIEST</t>
  </si>
  <si>
    <t xml:space="preserve">MARITA</t>
  </si>
  <si>
    <t xml:space="preserve">1978-10-07</t>
  </si>
  <si>
    <t xml:space="preserve">2016-08-27</t>
  </si>
  <si>
    <t xml:space="preserve">1008 HOMEWOOD AVE SE</t>
  </si>
  <si>
    <t xml:space="preserve">OH0023874141</t>
  </si>
  <si>
    <t xml:space="preserve">SONJA</t>
  </si>
  <si>
    <t xml:space="preserve">1980-11-26</t>
  </si>
  <si>
    <t xml:space="preserve">OH0026992099</t>
  </si>
  <si>
    <t xml:space="preserve">ROSITA</t>
  </si>
  <si>
    <t xml:space="preserve">1954-05-08</t>
  </si>
  <si>
    <t xml:space="preserve">OH0027500237</t>
  </si>
  <si>
    <t xml:space="preserve">RUSS</t>
  </si>
  <si>
    <t xml:space="preserve">IRVING</t>
  </si>
  <si>
    <t xml:space="preserve">1995-04-19</t>
  </si>
  <si>
    <t xml:space="preserve">OH0015693845</t>
  </si>
  <si>
    <t xml:space="preserve">SHELLY</t>
  </si>
  <si>
    <t xml:space="preserve">1951-06-30</t>
  </si>
  <si>
    <t xml:space="preserve">1971-09-17</t>
  </si>
  <si>
    <t xml:space="preserve">1020 HOMEWOOD AVE SE</t>
  </si>
  <si>
    <t xml:space="preserve">OH0024885783</t>
  </si>
  <si>
    <t xml:space="preserve">ANNEMAN</t>
  </si>
  <si>
    <t xml:space="preserve">DORMA</t>
  </si>
  <si>
    <t xml:space="preserve">1950-01-04</t>
  </si>
  <si>
    <t xml:space="preserve">2025-01-03</t>
  </si>
  <si>
    <t xml:space="preserve">1025 HOMEWOOD AVE SE</t>
  </si>
  <si>
    <t xml:space="preserve">OH0022177527</t>
  </si>
  <si>
    <t xml:space="preserve">ALVADAS</t>
  </si>
  <si>
    <t xml:space="preserve">1980-05-14</t>
  </si>
  <si>
    <t xml:space="preserve">2015-09-29</t>
  </si>
  <si>
    <t xml:space="preserve">1028 HOMEWOOD AVE SE</t>
  </si>
  <si>
    <t xml:space="preserve">OH0015730957</t>
  </si>
  <si>
    <t xml:space="preserve">JOYCELYN</t>
  </si>
  <si>
    <t xml:space="preserve">1959-04-29</t>
  </si>
  <si>
    <t xml:space="preserve">OH0015821609</t>
  </si>
  <si>
    <t xml:space="preserve">ANCIL</t>
  </si>
  <si>
    <t xml:space="preserve">1979-04-02</t>
  </si>
  <si>
    <t xml:space="preserve">OH0015711701</t>
  </si>
  <si>
    <t xml:space="preserve">KARENLYN</t>
  </si>
  <si>
    <t xml:space="preserve">1961-05-09</t>
  </si>
  <si>
    <t xml:space="preserve">2004-04-17</t>
  </si>
  <si>
    <t xml:space="preserve">1038 HOMEWOOD AVE SE</t>
  </si>
  <si>
    <t xml:space="preserve">OH0015693263</t>
  </si>
  <si>
    <t xml:space="preserve">1938-07-22</t>
  </si>
  <si>
    <t xml:space="preserve">1960-03-21</t>
  </si>
  <si>
    <t xml:space="preserve">OH0024943257</t>
  </si>
  <si>
    <t xml:space="preserve">1992-08-03</t>
  </si>
  <si>
    <t xml:space="preserve">1046 HOMEWOOD AVE SE</t>
  </si>
  <si>
    <t xml:space="preserve">OH0020231084</t>
  </si>
  <si>
    <t xml:space="preserve">DEIDRA</t>
  </si>
  <si>
    <t xml:space="preserve">1960-08-20</t>
  </si>
  <si>
    <t xml:space="preserve">2016-05-20</t>
  </si>
  <si>
    <t xml:space="preserve">OH0015820705</t>
  </si>
  <si>
    <t xml:space="preserve">JONTUE</t>
  </si>
  <si>
    <t xml:space="preserve">1978-12-25</t>
  </si>
  <si>
    <t xml:space="preserve">OH0015696444</t>
  </si>
  <si>
    <t xml:space="preserve">1939-11-06</t>
  </si>
  <si>
    <t xml:space="preserve">1982-10-04</t>
  </si>
  <si>
    <t xml:space="preserve">OH0027507833</t>
  </si>
  <si>
    <t xml:space="preserve">TUNER</t>
  </si>
  <si>
    <t xml:space="preserve">IKE</t>
  </si>
  <si>
    <t xml:space="preserve">2004-10-20</t>
  </si>
  <si>
    <t xml:space="preserve">1053 HOMEWOOD AVE SE</t>
  </si>
  <si>
    <t xml:space="preserve">OH0024785339</t>
  </si>
  <si>
    <t xml:space="preserve">RUCKER</t>
  </si>
  <si>
    <t xml:space="preserve">BRENDA</t>
  </si>
  <si>
    <t xml:space="preserve">1958-06-10</t>
  </si>
  <si>
    <t xml:space="preserve">2018-09-07</t>
  </si>
  <si>
    <t xml:space="preserve">1056 HOMEWOOD AVE SE</t>
  </si>
  <si>
    <t xml:space="preserve">OH0015693502</t>
  </si>
  <si>
    <t xml:space="preserve">MCMILLION</t>
  </si>
  <si>
    <t xml:space="preserve">MAXINE</t>
  </si>
  <si>
    <t xml:space="preserve">1938-03-25</t>
  </si>
  <si>
    <t xml:space="preserve">1960-03-23</t>
  </si>
  <si>
    <t xml:space="preserve">OH0019480195</t>
  </si>
  <si>
    <t xml:space="preserve">1989-02-18</t>
  </si>
  <si>
    <t xml:space="preserve">1063 HOMEWOOD AVE SE</t>
  </si>
  <si>
    <t xml:space="preserve">OH0019914317</t>
  </si>
  <si>
    <t xml:space="preserve">JERALD</t>
  </si>
  <si>
    <t xml:space="preserve">1963-09-29</t>
  </si>
  <si>
    <t xml:space="preserve">OH0015698294</t>
  </si>
  <si>
    <t xml:space="preserve">1952-09-28</t>
  </si>
  <si>
    <t xml:space="preserve">2017-07-01</t>
  </si>
  <si>
    <t xml:space="preserve">OH0015821527</t>
  </si>
  <si>
    <t xml:space="preserve">FRANKLIN</t>
  </si>
  <si>
    <t xml:space="preserve">JELANI</t>
  </si>
  <si>
    <t xml:space="preserve">SHAKIR</t>
  </si>
  <si>
    <t xml:space="preserve">1985-01-14</t>
  </si>
  <si>
    <t xml:space="preserve">1064 HOMEWOOD AVE SE</t>
  </si>
  <si>
    <t xml:space="preserve">OH0020938792</t>
  </si>
  <si>
    <t xml:space="preserve">DEEN</t>
  </si>
  <si>
    <t xml:space="preserve">1991-11-07</t>
  </si>
  <si>
    <t xml:space="preserve">2010-10-29</t>
  </si>
  <si>
    <t xml:space="preserve">OH0015813959</t>
  </si>
  <si>
    <t xml:space="preserve">WEBSTER</t>
  </si>
  <si>
    <t xml:space="preserve">1969-03-05</t>
  </si>
  <si>
    <t xml:space="preserve">1074 HOMEWOOD AVE SE</t>
  </si>
  <si>
    <t xml:space="preserve">OH0019051414</t>
  </si>
  <si>
    <t xml:space="preserve">REID WILLIAMSON</t>
  </si>
  <si>
    <t xml:space="preserve">SHAWNTELL</t>
  </si>
  <si>
    <t xml:space="preserve">1984-11-09</t>
  </si>
  <si>
    <t xml:space="preserve">OH0020050259</t>
  </si>
  <si>
    <t xml:space="preserve">HERRON</t>
  </si>
  <si>
    <t xml:space="preserve">1970-11-29</t>
  </si>
  <si>
    <t xml:space="preserve">2020-01-15</t>
  </si>
  <si>
    <t xml:space="preserve">1507 HOMEWOOD AVE SE</t>
  </si>
  <si>
    <t xml:space="preserve">OH0015712172</t>
  </si>
  <si>
    <t xml:space="preserve">MABLE</t>
  </si>
  <si>
    <t xml:space="preserve">1951-02-08</t>
  </si>
  <si>
    <t xml:space="preserve">2019-10-28</t>
  </si>
  <si>
    <t xml:space="preserve">OH0015693178</t>
  </si>
  <si>
    <t xml:space="preserve">1932-09-18</t>
  </si>
  <si>
    <t xml:space="preserve">1515 HOMEWOOD AVE SE</t>
  </si>
  <si>
    <t xml:space="preserve">OH0021882726</t>
  </si>
  <si>
    <t xml:space="preserve">CARPENTER</t>
  </si>
  <si>
    <t xml:space="preserve">1993-11-12</t>
  </si>
  <si>
    <t xml:space="preserve">2012-04-21</t>
  </si>
  <si>
    <t xml:space="preserve">1516 HOMEWOOD AVE SE</t>
  </si>
  <si>
    <t xml:space="preserve">OH0020054671</t>
  </si>
  <si>
    <t xml:space="preserve">ULYSSES</t>
  </si>
  <si>
    <t xml:space="preserve">1965-08-10</t>
  </si>
  <si>
    <t xml:space="preserve">OH0018823607</t>
  </si>
  <si>
    <t xml:space="preserve">1958-05-18</t>
  </si>
  <si>
    <t xml:space="preserve">2016-01-04</t>
  </si>
  <si>
    <t xml:space="preserve">OH0015703065</t>
  </si>
  <si>
    <t xml:space="preserve">CHRISTIAN</t>
  </si>
  <si>
    <t xml:space="preserve">HARVEY</t>
  </si>
  <si>
    <t xml:space="preserve">1960-03-08</t>
  </si>
  <si>
    <t xml:space="preserve">1984-02-22</t>
  </si>
  <si>
    <t xml:space="preserve">1533 HOMEWOOD AVE SE</t>
  </si>
  <si>
    <t xml:space="preserve">OH0025863789</t>
  </si>
  <si>
    <t xml:space="preserve">PRIETO</t>
  </si>
  <si>
    <t xml:space="preserve">JANIKQUA</t>
  </si>
  <si>
    <t xml:space="preserve">MONA</t>
  </si>
  <si>
    <t xml:space="preserve">1534 HOMEWOOD AVE SE</t>
  </si>
  <si>
    <t xml:space="preserve">OH0026913774</t>
  </si>
  <si>
    <t xml:space="preserve">BOYKIN</t>
  </si>
  <si>
    <t xml:space="preserve">EMMANUEL</t>
  </si>
  <si>
    <t xml:space="preserve">1986-03-21</t>
  </si>
  <si>
    <t xml:space="preserve">2023-04-19</t>
  </si>
  <si>
    <t xml:space="preserve">OH0015766819</t>
  </si>
  <si>
    <t xml:space="preserve">TANIKQUA</t>
  </si>
  <si>
    <t xml:space="preserve">1981-01-16</t>
  </si>
  <si>
    <t xml:space="preserve">OH0015692976</t>
  </si>
  <si>
    <t xml:space="preserve">BAILEY</t>
  </si>
  <si>
    <t xml:space="preserve">RALPH</t>
  </si>
  <si>
    <t xml:space="preserve">1957-04-26</t>
  </si>
  <si>
    <t xml:space="preserve">1541 HOMEWOOD AVE SE</t>
  </si>
  <si>
    <t xml:space="preserve">OH0015718336</t>
  </si>
  <si>
    <t xml:space="preserve">1968-04-14</t>
  </si>
  <si>
    <t xml:space="preserve">1987-03-24</t>
  </si>
  <si>
    <t xml:space="preserve">OH0027514396</t>
  </si>
  <si>
    <t xml:space="preserve">1978-01-02</t>
  </si>
  <si>
    <t xml:space="preserve">1561 HOMEWOOD AVE SE</t>
  </si>
  <si>
    <t xml:space="preserve">OH0015682378</t>
  </si>
  <si>
    <t xml:space="preserve">1974-03-27</t>
  </si>
  <si>
    <t xml:space="preserve">2015-10-04</t>
  </si>
  <si>
    <t xml:space="preserve">OH0015699475</t>
  </si>
  <si>
    <t xml:space="preserve">1957-06-03</t>
  </si>
  <si>
    <t xml:space="preserve">2019-12-09</t>
  </si>
  <si>
    <t xml:space="preserve">OH0015707921</t>
  </si>
  <si>
    <t xml:space="preserve">BEVERLY</t>
  </si>
  <si>
    <t xml:space="preserve">1942-01-14</t>
  </si>
  <si>
    <t xml:space="preserve">OH0027130648</t>
  </si>
  <si>
    <t xml:space="preserve">CLAY</t>
  </si>
  <si>
    <t xml:space="preserve">LARRENTHEA</t>
  </si>
  <si>
    <t xml:space="preserve">1985-03-20</t>
  </si>
  <si>
    <t xml:space="preserve">2024-08-13</t>
  </si>
  <si>
    <t xml:space="preserve">1569 HOMEWOOD AVE SE</t>
  </si>
  <si>
    <t xml:space="preserve">OH0015692990</t>
  </si>
  <si>
    <t xml:space="preserve">1938-05-25</t>
  </si>
  <si>
    <t xml:space="preserve">1967-11-29</t>
  </si>
  <si>
    <t xml:space="preserve">1579 HOMEWOOD AVE SE</t>
  </si>
  <si>
    <t xml:space="preserve">OH0015693001</t>
  </si>
  <si>
    <t xml:space="preserve">1960-07-07</t>
  </si>
  <si>
    <t xml:space="preserve">1978-04-20</t>
  </si>
  <si>
    <t xml:space="preserve">OH0015693011</t>
  </si>
  <si>
    <t xml:space="preserve">NEDRA</t>
  </si>
  <si>
    <t xml:space="preserve">1961-07-08</t>
  </si>
  <si>
    <t xml:space="preserve">1979-04-27</t>
  </si>
  <si>
    <t xml:space="preserve">OH0026191623</t>
  </si>
  <si>
    <t xml:space="preserve">ANGELA</t>
  </si>
  <si>
    <t xml:space="preserve">1968-03-13</t>
  </si>
  <si>
    <t xml:space="preserve">2021-05-12</t>
  </si>
  <si>
    <t xml:space="preserve">1587 HOMEWOOD AVE SE</t>
  </si>
  <si>
    <t xml:space="preserve">OH0027896244</t>
  </si>
  <si>
    <t xml:space="preserve">REVIS</t>
  </si>
  <si>
    <t xml:space="preserve">MIKAYLA</t>
  </si>
  <si>
    <t xml:space="preserve">IMAN</t>
  </si>
  <si>
    <t xml:space="preserve">2000-01-30</t>
  </si>
  <si>
    <t xml:space="preserve">OH0023448612</t>
  </si>
  <si>
    <t xml:space="preserve">GLENN</t>
  </si>
  <si>
    <t xml:space="preserve">1978-01-03</t>
  </si>
  <si>
    <t xml:space="preserve">2015-10-30</t>
  </si>
  <si>
    <t xml:space="preserve">183 HOMEWOOD AVE SE</t>
  </si>
  <si>
    <t xml:space="preserve">OH0015771738</t>
  </si>
  <si>
    <t xml:space="preserve">CARRIE</t>
  </si>
  <si>
    <t xml:space="preserve">1984-08-23</t>
  </si>
  <si>
    <t xml:space="preserve">OH0026520714</t>
  </si>
  <si>
    <t xml:space="preserve">RAYLEN</t>
  </si>
  <si>
    <t xml:space="preserve">YURI</t>
  </si>
  <si>
    <t xml:space="preserve">2002-12-16</t>
  </si>
  <si>
    <t xml:space="preserve">2021-08-23</t>
  </si>
  <si>
    <t xml:space="preserve">OH0027526793</t>
  </si>
  <si>
    <t xml:space="preserve">HINES</t>
  </si>
  <si>
    <t xml:space="preserve">DARVON</t>
  </si>
  <si>
    <t xml:space="preserve">1989-04-28</t>
  </si>
  <si>
    <t xml:space="preserve">193 HOMEWOOD AVE SE</t>
  </si>
  <si>
    <t xml:space="preserve">OH0022239732</t>
  </si>
  <si>
    <t xml:space="preserve">RACHAEL</t>
  </si>
  <si>
    <t xml:space="preserve">1985-09-09</t>
  </si>
  <si>
    <t xml:space="preserve">OH0015690773</t>
  </si>
  <si>
    <t xml:space="preserve">KOVACH</t>
  </si>
  <si>
    <t xml:space="preserve">POLLY</t>
  </si>
  <si>
    <t xml:space="preserve">1942-03-30</t>
  </si>
  <si>
    <t xml:space="preserve">2016-09-08</t>
  </si>
  <si>
    <t xml:space="preserve">209 HOMEWOOD AVE SE</t>
  </si>
  <si>
    <t xml:space="preserve">OH0025125633</t>
  </si>
  <si>
    <t xml:space="preserve">REED</t>
  </si>
  <si>
    <t xml:space="preserve">ADRIENN</t>
  </si>
  <si>
    <t xml:space="preserve">1981-01-08</t>
  </si>
  <si>
    <t xml:space="preserve">225 HOMEWOOD AVE SE</t>
  </si>
  <si>
    <t xml:space="preserve">OH0027207618</t>
  </si>
  <si>
    <t xml:space="preserve">JAQUAN</t>
  </si>
  <si>
    <t xml:space="preserve">MARELL</t>
  </si>
  <si>
    <t xml:space="preserve">2005-12-29</t>
  </si>
  <si>
    <t xml:space="preserve">2023-12-29</t>
  </si>
  <si>
    <t xml:space="preserve">233 HOMEWOOD AVE SE</t>
  </si>
  <si>
    <t xml:space="preserve">OH0015788923</t>
  </si>
  <si>
    <t xml:space="preserve">PROVITT</t>
  </si>
  <si>
    <t xml:space="preserve">TRIVA</t>
  </si>
  <si>
    <t xml:space="preserve">1978-08-15</t>
  </si>
  <si>
    <t xml:space="preserve">2023-11-26</t>
  </si>
  <si>
    <t xml:space="preserve">239 HOMEWOOD AVE SE</t>
  </si>
  <si>
    <t xml:space="preserve">OH0026908863</t>
  </si>
  <si>
    <t xml:space="preserve">SAVION</t>
  </si>
  <si>
    <t xml:space="preserve">2005-03-17</t>
  </si>
  <si>
    <t xml:space="preserve">OH0027493434</t>
  </si>
  <si>
    <t xml:space="preserve">1974-01-02</t>
  </si>
  <si>
    <t xml:space="preserve">270 HOMEWOOD AVE SE</t>
  </si>
  <si>
    <t xml:space="preserve">OH0015785643</t>
  </si>
  <si>
    <t xml:space="preserve">LASHONDA</t>
  </si>
  <si>
    <t xml:space="preserve">ALICIA</t>
  </si>
  <si>
    <t xml:space="preserve">1984-08-28</t>
  </si>
  <si>
    <t xml:space="preserve">2021-03-10</t>
  </si>
  <si>
    <t xml:space="preserve">308 HOMEWOOD AVE SE</t>
  </si>
  <si>
    <t xml:space="preserve">OH0026925398</t>
  </si>
  <si>
    <t xml:space="preserve">WALTON</t>
  </si>
  <si>
    <t xml:space="preserve">1988-03-30</t>
  </si>
  <si>
    <t xml:space="preserve">2023-08-09</t>
  </si>
  <si>
    <t xml:space="preserve">323 HOMEWOOD AVE SE</t>
  </si>
  <si>
    <t xml:space="preserve">OH0020221152</t>
  </si>
  <si>
    <t xml:space="preserve">GROVES</t>
  </si>
  <si>
    <t xml:space="preserve">SHERRY</t>
  </si>
  <si>
    <t xml:space="preserve">1972-10-21</t>
  </si>
  <si>
    <t xml:space="preserve">OH0027510494</t>
  </si>
  <si>
    <t xml:space="preserve">KENMORE</t>
  </si>
  <si>
    <t xml:space="preserve">334 HOMEWOOD AVE SE</t>
  </si>
  <si>
    <t xml:space="preserve">OH0015709373</t>
  </si>
  <si>
    <t xml:space="preserve">WEATHERBY</t>
  </si>
  <si>
    <t xml:space="preserve">SHIRLEY</t>
  </si>
  <si>
    <t xml:space="preserve">1934-07-12</t>
  </si>
  <si>
    <t xml:space="preserve">1984-09-28</t>
  </si>
  <si>
    <t xml:space="preserve">347 HOMEWOOD AVE SE</t>
  </si>
  <si>
    <t xml:space="preserve">OH0015710635</t>
  </si>
  <si>
    <t xml:space="preserve">OROURKE</t>
  </si>
  <si>
    <t xml:space="preserve">1961-04-20</t>
  </si>
  <si>
    <t xml:space="preserve">2014-06-04</t>
  </si>
  <si>
    <t xml:space="preserve">OH0015687716</t>
  </si>
  <si>
    <t xml:space="preserve">WISHART KILLIAS</t>
  </si>
  <si>
    <t xml:space="preserve">CRISTY</t>
  </si>
  <si>
    <t xml:space="preserve">1973-12-04</t>
  </si>
  <si>
    <t xml:space="preserve">2004-07-06</t>
  </si>
  <si>
    <t xml:space="preserve">361 HOMEWOOD AVE SE</t>
  </si>
  <si>
    <t xml:space="preserve">OH0027839493</t>
  </si>
  <si>
    <t xml:space="preserve">KILLIAS</t>
  </si>
  <si>
    <t xml:space="preserve">OH0023484215</t>
  </si>
  <si>
    <t xml:space="preserve">JEWELIA</t>
  </si>
  <si>
    <t xml:space="preserve">1998-10-26</t>
  </si>
  <si>
    <t xml:space="preserve">2016-01-27</t>
  </si>
  <si>
    <t xml:space="preserve">OH0021350966</t>
  </si>
  <si>
    <t xml:space="preserve">1993-07-31</t>
  </si>
  <si>
    <t xml:space="preserve">OH0015745515</t>
  </si>
  <si>
    <t xml:space="preserve">MANUEL</t>
  </si>
  <si>
    <t xml:space="preserve">1974-01-20</t>
  </si>
  <si>
    <t xml:space="preserve">2008-03-20</t>
  </si>
  <si>
    <t xml:space="preserve">OH0027962518</t>
  </si>
  <si>
    <t xml:space="preserve">2007-02-28</t>
  </si>
  <si>
    <t xml:space="preserve">2025-05-28</t>
  </si>
  <si>
    <t xml:space="preserve">374 HOMEWOOD AVE SE</t>
  </si>
  <si>
    <t xml:space="preserve">OH0023874885</t>
  </si>
  <si>
    <t xml:space="preserve">REYES AYENDE</t>
  </si>
  <si>
    <t xml:space="preserve">JESUE</t>
  </si>
  <si>
    <t xml:space="preserve">RIGOBERTO</t>
  </si>
  <si>
    <t xml:space="preserve">1988-09-08</t>
  </si>
  <si>
    <t xml:space="preserve">OH0015807892</t>
  </si>
  <si>
    <t xml:space="preserve">DERRICK</t>
  </si>
  <si>
    <t xml:space="preserve">1981-05-29</t>
  </si>
  <si>
    <t xml:space="preserve">2023-12-22</t>
  </si>
  <si>
    <t xml:space="preserve">OH0023647328</t>
  </si>
  <si>
    <t xml:space="preserve">HARROLD</t>
  </si>
  <si>
    <t xml:space="preserve">1991-11-19</t>
  </si>
  <si>
    <t xml:space="preserve">2019-03-20</t>
  </si>
  <si>
    <t xml:space="preserve">382 HOMEWOOD AVE SE</t>
  </si>
  <si>
    <t xml:space="preserve">OH0027496962</t>
  </si>
  <si>
    <t xml:space="preserve">BLOSE</t>
  </si>
  <si>
    <t xml:space="preserve">1992-01-30</t>
  </si>
  <si>
    <t xml:space="preserve">390 HOMEWOOD AVE SE</t>
  </si>
  <si>
    <t xml:space="preserve">OH0026154328</t>
  </si>
  <si>
    <t xml:space="preserve">CURRENCE</t>
  </si>
  <si>
    <t xml:space="preserve">MYA</t>
  </si>
  <si>
    <t xml:space="preserve">2002-11-01</t>
  </si>
  <si>
    <t xml:space="preserve">2024-04-20</t>
  </si>
  <si>
    <t xml:space="preserve">395 HOMEWOOD AVE SE</t>
  </si>
  <si>
    <t xml:space="preserve">OH0027789036</t>
  </si>
  <si>
    <t xml:space="preserve">BRECKNER</t>
  </si>
  <si>
    <t xml:space="preserve">KARLEY</t>
  </si>
  <si>
    <t xml:space="preserve">2002-04-03</t>
  </si>
  <si>
    <t xml:space="preserve">OH0025808056</t>
  </si>
  <si>
    <t xml:space="preserve">DARNO</t>
  </si>
  <si>
    <t xml:space="preserve">1983-12-01</t>
  </si>
  <si>
    <t xml:space="preserve">2020-09-02</t>
  </si>
  <si>
    <t xml:space="preserve">403 HOMEWOOD AVE SE</t>
  </si>
  <si>
    <t xml:space="preserve">OH0015791832</t>
  </si>
  <si>
    <t xml:space="preserve">1960-10-25</t>
  </si>
  <si>
    <t xml:space="preserve">1979-10-01</t>
  </si>
  <si>
    <t xml:space="preserve">OH0027260791</t>
  </si>
  <si>
    <t xml:space="preserve">GARANSI</t>
  </si>
  <si>
    <t xml:space="preserve">DWAINE</t>
  </si>
  <si>
    <t xml:space="preserve">2024-02-16</t>
  </si>
  <si>
    <t xml:space="preserve">406 HOMEWOOD AVE SE</t>
  </si>
  <si>
    <t xml:space="preserve">OH0024454055</t>
  </si>
  <si>
    <t xml:space="preserve">MCELRATH</t>
  </si>
  <si>
    <t xml:space="preserve">SEARRA</t>
  </si>
  <si>
    <t xml:space="preserve">1996-02-23</t>
  </si>
  <si>
    <t xml:space="preserve">2021-02-17</t>
  </si>
  <si>
    <t xml:space="preserve">OH0026505287</t>
  </si>
  <si>
    <t xml:space="preserve">FORTUNE</t>
  </si>
  <si>
    <t xml:space="preserve">1962-04-19</t>
  </si>
  <si>
    <t xml:space="preserve">2022-04-25</t>
  </si>
  <si>
    <t xml:space="preserve">414 HOMEWOOD AVE SE</t>
  </si>
  <si>
    <t xml:space="preserve">OH0024260401</t>
  </si>
  <si>
    <t xml:space="preserve">TOBIAS</t>
  </si>
  <si>
    <t xml:space="preserve">1955-04-09</t>
  </si>
  <si>
    <t xml:space="preserve">2024-05-22</t>
  </si>
  <si>
    <t xml:space="preserve">416 HOMEWOOD AVE SE</t>
  </si>
  <si>
    <t xml:space="preserve">OH0026082365</t>
  </si>
  <si>
    <t xml:space="preserve">MYERS</t>
  </si>
  <si>
    <t xml:space="preserve">1987-01-28</t>
  </si>
  <si>
    <t xml:space="preserve">2020-10-13</t>
  </si>
  <si>
    <t xml:space="preserve">419 HOMEWOOD AVE SE</t>
  </si>
  <si>
    <t xml:space="preserve">OH0015737862</t>
  </si>
  <si>
    <t xml:space="preserve">1982-06-22</t>
  </si>
  <si>
    <t xml:space="preserve">2023-05-24</t>
  </si>
  <si>
    <t xml:space="preserve">OH0025363442</t>
  </si>
  <si>
    <t xml:space="preserve">INDIA</t>
  </si>
  <si>
    <t xml:space="preserve">1992-07-21</t>
  </si>
  <si>
    <t xml:space="preserve">2024-10-25</t>
  </si>
  <si>
    <t xml:space="preserve">422 HOMEWOOD AVE SE</t>
  </si>
  <si>
    <t xml:space="preserve">OH0015766850</t>
  </si>
  <si>
    <t xml:space="preserve">1966-10-27</t>
  </si>
  <si>
    <t xml:space="preserve">1994-08-28</t>
  </si>
  <si>
    <t xml:space="preserve">427 HOMEWOOD AVE SE</t>
  </si>
  <si>
    <t xml:space="preserve">OH0015810337</t>
  </si>
  <si>
    <t xml:space="preserve">DURF</t>
  </si>
  <si>
    <t xml:space="preserve">1977-08-24</t>
  </si>
  <si>
    <t xml:space="preserve">430 HOMEWOOD AVE SE</t>
  </si>
  <si>
    <t xml:space="preserve">OH0015763751</t>
  </si>
  <si>
    <t xml:space="preserve">1983-07-17</t>
  </si>
  <si>
    <t xml:space="preserve">OH0023188356</t>
  </si>
  <si>
    <t xml:space="preserve">1978-10-01</t>
  </si>
  <si>
    <t xml:space="preserve">435 HOMEWOOD AVE SE</t>
  </si>
  <si>
    <t xml:space="preserve">OH0015819232</t>
  </si>
  <si>
    <t xml:space="preserve">GOYZUETA</t>
  </si>
  <si>
    <t xml:space="preserve">1951-09-17</t>
  </si>
  <si>
    <t xml:space="preserve">2011-06-27</t>
  </si>
  <si>
    <t xml:space="preserve">438 HOMEWOOD AVE SE</t>
  </si>
  <si>
    <t xml:space="preserve">OH0015819226</t>
  </si>
  <si>
    <t xml:space="preserve">RINA</t>
  </si>
  <si>
    <t xml:space="preserve">1956-03-02</t>
  </si>
  <si>
    <t xml:space="preserve">OH0021297627</t>
  </si>
  <si>
    <t xml:space="preserve">HILTY</t>
  </si>
  <si>
    <t xml:space="preserve">REBECCA</t>
  </si>
  <si>
    <t xml:space="preserve">1974-12-09</t>
  </si>
  <si>
    <t xml:space="preserve">2018-03-20</t>
  </si>
  <si>
    <t xml:space="preserve">443 HOMEWOOD AVE SE</t>
  </si>
  <si>
    <t xml:space="preserve">OH0025161184</t>
  </si>
  <si>
    <t xml:space="preserve">1999-04-08</t>
  </si>
  <si>
    <t xml:space="preserve">OH0019137865</t>
  </si>
  <si>
    <t xml:space="preserve">1969-04-10</t>
  </si>
  <si>
    <t xml:space="preserve">2018-02-09</t>
  </si>
  <si>
    <t xml:space="preserve">OH0015817419</t>
  </si>
  <si>
    <t xml:space="preserve">KIMBEL</t>
  </si>
  <si>
    <t xml:space="preserve">1965-09-17</t>
  </si>
  <si>
    <t xml:space="preserve">2020-06-29</t>
  </si>
  <si>
    <t xml:space="preserve">446 HOMEWOOD AVE SE</t>
  </si>
  <si>
    <t xml:space="preserve">OH0025915038</t>
  </si>
  <si>
    <t xml:space="preserve">BIRD</t>
  </si>
  <si>
    <t xml:space="preserve">NORMA</t>
  </si>
  <si>
    <t xml:space="preserve">1973-10-04</t>
  </si>
  <si>
    <t xml:space="preserve">451 HOMEWOOD AVE SE</t>
  </si>
  <si>
    <t xml:space="preserve">OH0015741526</t>
  </si>
  <si>
    <t xml:space="preserve">STROUD</t>
  </si>
  <si>
    <t xml:space="preserve">1976-10-15</t>
  </si>
  <si>
    <t xml:space="preserve">459 HOMEWOOD AVE SE</t>
  </si>
  <si>
    <t xml:space="preserve">OH0019365974</t>
  </si>
  <si>
    <t xml:space="preserve">DUDLEY</t>
  </si>
  <si>
    <t xml:space="preserve">BREANNA</t>
  </si>
  <si>
    <t xml:space="preserve">GENEA</t>
  </si>
  <si>
    <t xml:space="preserve">1989-11-24</t>
  </si>
  <si>
    <t xml:space="preserve">467 HOMEWOOD AVE SE</t>
  </si>
  <si>
    <t xml:space="preserve">OH0015715458</t>
  </si>
  <si>
    <t xml:space="preserve">MOSS</t>
  </si>
  <si>
    <t xml:space="preserve">YVETTE</t>
  </si>
  <si>
    <t xml:space="preserve">1962-02-03</t>
  </si>
  <si>
    <t xml:space="preserve">OH0018798646</t>
  </si>
  <si>
    <t xml:space="preserve">CURRAN</t>
  </si>
  <si>
    <t xml:space="preserve">TERRENCE</t>
  </si>
  <si>
    <t xml:space="preserve">1987-08-29</t>
  </si>
  <si>
    <t xml:space="preserve">2009-08-12</t>
  </si>
  <si>
    <t xml:space="preserve">470 HOMEWOOD AVE SE</t>
  </si>
  <si>
    <t xml:space="preserve">OH0015798249</t>
  </si>
  <si>
    <t xml:space="preserve">1944-07-27</t>
  </si>
  <si>
    <t xml:space="preserve">1972-09-16</t>
  </si>
  <si>
    <t xml:space="preserve">OH0026366337</t>
  </si>
  <si>
    <t xml:space="preserve">VELEZ VELEZ</t>
  </si>
  <si>
    <t xml:space="preserve">1998-11-12</t>
  </si>
  <si>
    <t xml:space="preserve">2021-12-01</t>
  </si>
  <si>
    <t xml:space="preserve">475 HOMEWOOD AVE SE</t>
  </si>
  <si>
    <t xml:space="preserve">OH0023349675</t>
  </si>
  <si>
    <t xml:space="preserve">CROCHELL</t>
  </si>
  <si>
    <t xml:space="preserve">1997-09-23</t>
  </si>
  <si>
    <t xml:space="preserve">2016-04-07</t>
  </si>
  <si>
    <t xml:space="preserve">478 HOMEWOOD AVE SE</t>
  </si>
  <si>
    <t xml:space="preserve">OH0023631797</t>
  </si>
  <si>
    <t xml:space="preserve">1976-05-06</t>
  </si>
  <si>
    <t xml:space="preserve">2018-07-30</t>
  </si>
  <si>
    <t xml:space="preserve">OH0021756743</t>
  </si>
  <si>
    <t xml:space="preserve">TRICE</t>
  </si>
  <si>
    <t xml:space="preserve">1992-10-06</t>
  </si>
  <si>
    <t xml:space="preserve">OH0015807104</t>
  </si>
  <si>
    <t xml:space="preserve">1960-07-24</t>
  </si>
  <si>
    <t xml:space="preserve">483 HOMEWOOD AVE SE</t>
  </si>
  <si>
    <t xml:space="preserve">OH0021851636</t>
  </si>
  <si>
    <t xml:space="preserve">SUDNIK</t>
  </si>
  <si>
    <t xml:space="preserve">1984-01-13</t>
  </si>
  <si>
    <t xml:space="preserve">2017-07-07</t>
  </si>
  <si>
    <t xml:space="preserve">OH0026603378</t>
  </si>
  <si>
    <t xml:space="preserve">TROY</t>
  </si>
  <si>
    <t xml:space="preserve">TYRONE</t>
  </si>
  <si>
    <t xml:space="preserve">2001-05-10</t>
  </si>
  <si>
    <t xml:space="preserve">2022-08-03</t>
  </si>
  <si>
    <t xml:space="preserve">OH0020236058</t>
  </si>
  <si>
    <t xml:space="preserve">1980-09-27</t>
  </si>
  <si>
    <t xml:space="preserve">2017-02-25</t>
  </si>
  <si>
    <t xml:space="preserve">OH0015704814</t>
  </si>
  <si>
    <t xml:space="preserve">COLLIER</t>
  </si>
  <si>
    <t xml:space="preserve">1953-11-04</t>
  </si>
  <si>
    <t xml:space="preserve">1984-04-05</t>
  </si>
  <si>
    <t xml:space="preserve">484 HOMEWOOD AVE SE</t>
  </si>
  <si>
    <t xml:space="preserve">OH0015719597</t>
  </si>
  <si>
    <t xml:space="preserve">BARBRA</t>
  </si>
  <si>
    <t xml:space="preserve">1969-08-07</t>
  </si>
  <si>
    <t xml:space="preserve">1987-09-11</t>
  </si>
  <si>
    <t xml:space="preserve">OH0018597845</t>
  </si>
  <si>
    <t xml:space="preserve">KURIATNYK</t>
  </si>
  <si>
    <t xml:space="preserve">2011-07-11</t>
  </si>
  <si>
    <t xml:space="preserve">491 HOMEWOOD AVE SE</t>
  </si>
  <si>
    <t xml:space="preserve">OH0025458932</t>
  </si>
  <si>
    <t xml:space="preserve">THOMPSON</t>
  </si>
  <si>
    <t xml:space="preserve">CODY</t>
  </si>
  <si>
    <t xml:space="preserve">2002-10-26</t>
  </si>
  <si>
    <t xml:space="preserve">OH0021649749</t>
  </si>
  <si>
    <t xml:space="preserve">KRESEN</t>
  </si>
  <si>
    <t xml:space="preserve">1958-02-12</t>
  </si>
  <si>
    <t xml:space="preserve">OH0022044221</t>
  </si>
  <si>
    <t xml:space="preserve">1985-10-13</t>
  </si>
  <si>
    <t xml:space="preserve">2019-08-02</t>
  </si>
  <si>
    <t xml:space="preserve">492 HOMEWOOD AVE SE</t>
  </si>
  <si>
    <t xml:space="preserve">OH0023719100</t>
  </si>
  <si>
    <t xml:space="preserve">GOINS</t>
  </si>
  <si>
    <t xml:space="preserve">1972-07-18</t>
  </si>
  <si>
    <t xml:space="preserve">2016-05-31</t>
  </si>
  <si>
    <t xml:space="preserve">OH0015721725</t>
  </si>
  <si>
    <t xml:space="preserve">STOUFFER</t>
  </si>
  <si>
    <t xml:space="preserve">1950-03-15</t>
  </si>
  <si>
    <t xml:space="preserve">2012-09-06</t>
  </si>
  <si>
    <t xml:space="preserve">499 HOMEWOOD AVE SE</t>
  </si>
  <si>
    <t xml:space="preserve">OH0015738837</t>
  </si>
  <si>
    <t xml:space="preserve">1949-10-30</t>
  </si>
  <si>
    <t xml:space="preserve">2008-09-12</t>
  </si>
  <si>
    <t xml:space="preserve">OH0024205876</t>
  </si>
  <si>
    <t xml:space="preserve">SUTLIFF</t>
  </si>
  <si>
    <t xml:space="preserve">HANNAH</t>
  </si>
  <si>
    <t xml:space="preserve">JASMINE</t>
  </si>
  <si>
    <t xml:space="preserve">1995-12-10</t>
  </si>
  <si>
    <t xml:space="preserve">2022-03-03</t>
  </si>
  <si>
    <t xml:space="preserve">500 HOMEWOOD AVE SE</t>
  </si>
  <si>
    <t xml:space="preserve">OH0026516697</t>
  </si>
  <si>
    <t xml:space="preserve">OLIJAWON</t>
  </si>
  <si>
    <t xml:space="preserve">2001-08-03</t>
  </si>
  <si>
    <t xml:space="preserve">2022-05-17</t>
  </si>
  <si>
    <t xml:space="preserve">507 HOMEWOOD AVE SE</t>
  </si>
  <si>
    <t xml:space="preserve">OH0015909229</t>
  </si>
  <si>
    <t xml:space="preserve">RICKIEA</t>
  </si>
  <si>
    <t xml:space="preserve">1986-09-11</t>
  </si>
  <si>
    <t xml:space="preserve">2014-05-02</t>
  </si>
  <si>
    <t xml:space="preserve">OH0015702829</t>
  </si>
  <si>
    <t xml:space="preserve">ROWLAND</t>
  </si>
  <si>
    <t xml:space="preserve">ROBIN</t>
  </si>
  <si>
    <t xml:space="preserve">1959-06-13</t>
  </si>
  <si>
    <t xml:space="preserve">2016-03-30</t>
  </si>
  <si>
    <t xml:space="preserve">508 HOMEWOOD AVE SE</t>
  </si>
  <si>
    <t xml:space="preserve">OH0020902306</t>
  </si>
  <si>
    <t xml:space="preserve">PEMBERTON</t>
  </si>
  <si>
    <t xml:space="preserve">1991-10-08</t>
  </si>
  <si>
    <t xml:space="preserve">515 HOMEWOOD AVE SE</t>
  </si>
  <si>
    <t xml:space="preserve">OH0026420363</t>
  </si>
  <si>
    <t xml:space="preserve">1990-04-28</t>
  </si>
  <si>
    <t xml:space="preserve">2022-02-28</t>
  </si>
  <si>
    <t xml:space="preserve">531 HOMEWOOD AVE SE</t>
  </si>
  <si>
    <t xml:space="preserve">OH0021048535</t>
  </si>
  <si>
    <t xml:space="preserve">HOBBS</t>
  </si>
  <si>
    <t xml:space="preserve">LASHEAUNA</t>
  </si>
  <si>
    <t xml:space="preserve">1989-06-25</t>
  </si>
  <si>
    <t xml:space="preserve">2024-10-02</t>
  </si>
  <si>
    <t xml:space="preserve">536 HOMEWOOD AVE SE</t>
  </si>
  <si>
    <t xml:space="preserve">OH0025388162</t>
  </si>
  <si>
    <t xml:space="preserve">MAX</t>
  </si>
  <si>
    <t xml:space="preserve">1999-01-27</t>
  </si>
  <si>
    <t xml:space="preserve">538 HOMEWOOD AVE SE</t>
  </si>
  <si>
    <t xml:space="preserve">OH0023647351</t>
  </si>
  <si>
    <t xml:space="preserve">STAPLETON</t>
  </si>
  <si>
    <t xml:space="preserve">JONATHON</t>
  </si>
  <si>
    <t xml:space="preserve">1994-07-18</t>
  </si>
  <si>
    <t xml:space="preserve">2016-04-22</t>
  </si>
  <si>
    <t xml:space="preserve">539 HOMEWOOD AVE SE</t>
  </si>
  <si>
    <t xml:space="preserve">OH0024866222</t>
  </si>
  <si>
    <t xml:space="preserve">BOGGS</t>
  </si>
  <si>
    <t xml:space="preserve">TERENCE</t>
  </si>
  <si>
    <t xml:space="preserve">MALCOLM</t>
  </si>
  <si>
    <t xml:space="preserve">2000-05-19</t>
  </si>
  <si>
    <t xml:space="preserve">OH0015690856</t>
  </si>
  <si>
    <t xml:space="preserve">1982-05-25</t>
  </si>
  <si>
    <t xml:space="preserve">OH0026030313</t>
  </si>
  <si>
    <t xml:space="preserve">KURT</t>
  </si>
  <si>
    <t xml:space="preserve">2001-11-22</t>
  </si>
  <si>
    <t xml:space="preserve">OH0023718226</t>
  </si>
  <si>
    <t xml:space="preserve">KATONA</t>
  </si>
  <si>
    <t xml:space="preserve">2022-10-11</t>
  </si>
  <si>
    <t xml:space="preserve">703 HOMEWOOD AVE SE</t>
  </si>
  <si>
    <t xml:space="preserve">OH0023718235</t>
  </si>
  <si>
    <t xml:space="preserve">OH0027921120</t>
  </si>
  <si>
    <t xml:space="preserve">2006-06-08</t>
  </si>
  <si>
    <t xml:space="preserve">OH0025212368</t>
  </si>
  <si>
    <t xml:space="preserve">LOUGH</t>
  </si>
  <si>
    <t xml:space="preserve">1972-03-05</t>
  </si>
  <si>
    <t xml:space="preserve">OH0015721580</t>
  </si>
  <si>
    <t xml:space="preserve">EDGAR</t>
  </si>
  <si>
    <t xml:space="preserve">1960-03-13</t>
  </si>
  <si>
    <t xml:space="preserve">2023-09-05</t>
  </si>
  <si>
    <t xml:space="preserve">709 HOMEWOOD AVE SE</t>
  </si>
  <si>
    <t xml:space="preserve">OH0027295537</t>
  </si>
  <si>
    <t xml:space="preserve">CLARENCE</t>
  </si>
  <si>
    <t xml:space="preserve">2005-03-23</t>
  </si>
  <si>
    <t xml:space="preserve">2024-03-26</t>
  </si>
  <si>
    <t xml:space="preserve">714 HOMEWOOD AVE SE</t>
  </si>
  <si>
    <t xml:space="preserve">OH0027335956</t>
  </si>
  <si>
    <t xml:space="preserve">RAMSEY</t>
  </si>
  <si>
    <t xml:space="preserve">2004-11-24</t>
  </si>
  <si>
    <t xml:space="preserve">2024-04-30</t>
  </si>
  <si>
    <t xml:space="preserve">OH0023443168</t>
  </si>
  <si>
    <t xml:space="preserve">WORRELL</t>
  </si>
  <si>
    <t xml:space="preserve">DARIEN</t>
  </si>
  <si>
    <t xml:space="preserve">2022-10-07</t>
  </si>
  <si>
    <t xml:space="preserve">OH0026908241</t>
  </si>
  <si>
    <t xml:space="preserve">PAPASIN</t>
  </si>
  <si>
    <t xml:space="preserve">MARIA PHIBE</t>
  </si>
  <si>
    <t xml:space="preserve">1985-10-08</t>
  </si>
  <si>
    <t xml:space="preserve">741 HOMEWOOD AVE SE</t>
  </si>
  <si>
    <t xml:space="preserve">OH0015802552</t>
  </si>
  <si>
    <t xml:space="preserve">ASKEW</t>
  </si>
  <si>
    <t xml:space="preserve">STACEY</t>
  </si>
  <si>
    <t xml:space="preserve">1979-05-18</t>
  </si>
  <si>
    <t xml:space="preserve">2023-03-06</t>
  </si>
  <si>
    <t xml:space="preserve">747 HOMEWOOD AVE SE</t>
  </si>
  <si>
    <t xml:space="preserve">OH0025956416</t>
  </si>
  <si>
    <t xml:space="preserve">SHANIYA</t>
  </si>
  <si>
    <t xml:space="preserve">DAMETRUS</t>
  </si>
  <si>
    <t xml:space="preserve">2002-09-10</t>
  </si>
  <si>
    <t xml:space="preserve">OH0027522241</t>
  </si>
  <si>
    <t xml:space="preserve">RAMELLO</t>
  </si>
  <si>
    <t xml:space="preserve">LAQUAN</t>
  </si>
  <si>
    <t xml:space="preserve">2005-01-31</t>
  </si>
  <si>
    <t xml:space="preserve">OH0027789022</t>
  </si>
  <si>
    <t xml:space="preserve">1964-11-14</t>
  </si>
  <si>
    <t xml:space="preserve">748 HOMEWOOD AVE SE</t>
  </si>
  <si>
    <t xml:space="preserve">OH0021868722</t>
  </si>
  <si>
    <t xml:space="preserve">SHIPP</t>
  </si>
  <si>
    <t xml:space="preserve">RASHAAN</t>
  </si>
  <si>
    <t xml:space="preserve">1974-09-18</t>
  </si>
  <si>
    <t xml:space="preserve">2019-07-23</t>
  </si>
  <si>
    <t xml:space="preserve">756 HOMEWOOD AVE SE</t>
  </si>
  <si>
    <t xml:space="preserve">OH0015750896</t>
  </si>
  <si>
    <t xml:space="preserve">CHIQUITA</t>
  </si>
  <si>
    <t xml:space="preserve">1974-05-04</t>
  </si>
  <si>
    <t xml:space="preserve">2020-07-03</t>
  </si>
  <si>
    <t xml:space="preserve">OH0024414515</t>
  </si>
  <si>
    <t xml:space="preserve">FIELDS</t>
  </si>
  <si>
    <t xml:space="preserve">1982-09-01</t>
  </si>
  <si>
    <t xml:space="preserve">2017-10-06</t>
  </si>
  <si>
    <t xml:space="preserve">OH0023187132</t>
  </si>
  <si>
    <t xml:space="preserve">CREAN</t>
  </si>
  <si>
    <t xml:space="preserve">SEBASTION</t>
  </si>
  <si>
    <t xml:space="preserve">1997-04-02</t>
  </si>
  <si>
    <t xml:space="preserve">2018-03-13</t>
  </si>
  <si>
    <t xml:space="preserve">758 HOMEWOOD AVE SE</t>
  </si>
  <si>
    <t xml:space="preserve">OH0025657171</t>
  </si>
  <si>
    <t xml:space="preserve">MCTHENY</t>
  </si>
  <si>
    <t xml:space="preserve">1992-04-09</t>
  </si>
  <si>
    <t xml:space="preserve">2020-06-24</t>
  </si>
  <si>
    <t xml:space="preserve">773 HOMEWOOD AVE SE</t>
  </si>
  <si>
    <t xml:space="preserve">OH0027291327</t>
  </si>
  <si>
    <t xml:space="preserve">2024-03-08</t>
  </si>
  <si>
    <t xml:space="preserve">OH0023440877</t>
  </si>
  <si>
    <t xml:space="preserve">GOMBOS</t>
  </si>
  <si>
    <t xml:space="preserve">1981-12-02</t>
  </si>
  <si>
    <t xml:space="preserve">776 HOMEWOOD AVE SE</t>
  </si>
  <si>
    <t xml:space="preserve">OH0022187558</t>
  </si>
  <si>
    <t xml:space="preserve">CATING</t>
  </si>
  <si>
    <t xml:space="preserve">1959-08-24</t>
  </si>
  <si>
    <t xml:space="preserve">781 HOMEWOOD AVE SE</t>
  </si>
  <si>
    <t xml:space="preserve">OH0015691036</t>
  </si>
  <si>
    <t xml:space="preserve">1963-06-10</t>
  </si>
  <si>
    <t xml:space="preserve">OH0015687807</t>
  </si>
  <si>
    <t xml:space="preserve">YOUNGER</t>
  </si>
  <si>
    <t xml:space="preserve">1962-01-07</t>
  </si>
  <si>
    <t xml:space="preserve">2011-10-07</t>
  </si>
  <si>
    <t xml:space="preserve">OH0026596741</t>
  </si>
  <si>
    <t xml:space="preserve">STEPHENS</t>
  </si>
  <si>
    <t xml:space="preserve">2001-10-05</t>
  </si>
  <si>
    <t xml:space="preserve">786 HOMEWOOD AVE SE</t>
  </si>
  <si>
    <t xml:space="preserve">OH0026520701</t>
  </si>
  <si>
    <t xml:space="preserve">HALLETT</t>
  </si>
  <si>
    <t xml:space="preserve">2003-06-04</t>
  </si>
  <si>
    <t xml:space="preserve">2022-05-10</t>
  </si>
  <si>
    <t xml:space="preserve">797 HOMEWOOD AVE SE</t>
  </si>
  <si>
    <t xml:space="preserve">OH0025051392</t>
  </si>
  <si>
    <t xml:space="preserve">2001-07-10</t>
  </si>
  <si>
    <t xml:space="preserve">2019-03-28</t>
  </si>
  <si>
    <t xml:space="preserve">OH0015708357</t>
  </si>
  <si>
    <t xml:space="preserve">1973-02-07</t>
  </si>
  <si>
    <t xml:space="preserve">2023-02-06</t>
  </si>
  <si>
    <t xml:space="preserve">OH0015796010</t>
  </si>
  <si>
    <t xml:space="preserve">1977-02-03</t>
  </si>
  <si>
    <t xml:space="preserve">1995-02-01</t>
  </si>
  <si>
    <t xml:space="preserve">OH0026406889</t>
  </si>
  <si>
    <t xml:space="preserve">CLARALIZ</t>
  </si>
  <si>
    <t xml:space="preserve">1992-06-12</t>
  </si>
  <si>
    <t xml:space="preserve">2022-02-08</t>
  </si>
  <si>
    <t xml:space="preserve">805 HOMEWOOD AVE SE</t>
  </si>
  <si>
    <t xml:space="preserve">OH0026947034</t>
  </si>
  <si>
    <t xml:space="preserve">DE JESUS</t>
  </si>
  <si>
    <t xml:space="preserve">2023-05-01</t>
  </si>
  <si>
    <t xml:space="preserve">806 HOMEWOOD AVE SE</t>
  </si>
  <si>
    <t xml:space="preserve">OH0024489527</t>
  </si>
  <si>
    <t xml:space="preserve">1999-11-03</t>
  </si>
  <si>
    <t xml:space="preserve">2018-05-31</t>
  </si>
  <si>
    <t xml:space="preserve">OH0027497784</t>
  </si>
  <si>
    <t xml:space="preserve">TALLEY</t>
  </si>
  <si>
    <t xml:space="preserve">DAVONTAE</t>
  </si>
  <si>
    <t xml:space="preserve">2003-09-10</t>
  </si>
  <si>
    <t xml:space="preserve">813 HOMEWOOD AVE SE</t>
  </si>
  <si>
    <t xml:space="preserve">OH0018616619</t>
  </si>
  <si>
    <t xml:space="preserve">LIMBECK</t>
  </si>
  <si>
    <t xml:space="preserve">1983-04-23</t>
  </si>
  <si>
    <t xml:space="preserve">816 HOMEWOOD AVE SE</t>
  </si>
  <si>
    <t xml:space="preserve">OH0015683898</t>
  </si>
  <si>
    <t xml:space="preserve">1954-03-15</t>
  </si>
  <si>
    <t xml:space="preserve">1976-01-26</t>
  </si>
  <si>
    <t xml:space="preserve">826 HOMEWOOD AVE SE</t>
  </si>
  <si>
    <t xml:space="preserve">OH0015683858</t>
  </si>
  <si>
    <t xml:space="preserve">1951-09-05</t>
  </si>
  <si>
    <t xml:space="preserve">OH0019758990</t>
  </si>
  <si>
    <t xml:space="preserve">REGINALD</t>
  </si>
  <si>
    <t xml:space="preserve">1969-05-06</t>
  </si>
  <si>
    <t xml:space="preserve">829 HOMEWOOD AVE SE</t>
  </si>
  <si>
    <t xml:space="preserve">OH0027286370</t>
  </si>
  <si>
    <t xml:space="preserve">CESSNA</t>
  </si>
  <si>
    <t xml:space="preserve">EDWIN</t>
  </si>
  <si>
    <t xml:space="preserve">1936-08-31</t>
  </si>
  <si>
    <t xml:space="preserve">2024-04-08</t>
  </si>
  <si>
    <t xml:space="preserve">837 HOMEWOOD AVE SE</t>
  </si>
  <si>
    <t xml:space="preserve">OH0026851503</t>
  </si>
  <si>
    <t xml:space="preserve">1983-06-15</t>
  </si>
  <si>
    <t xml:space="preserve">2023-03-20</t>
  </si>
  <si>
    <t xml:space="preserve">851 HOMEWOOD AVE SE</t>
  </si>
  <si>
    <t xml:space="preserve">OH0027985928</t>
  </si>
  <si>
    <t xml:space="preserve">MCCORKLE</t>
  </si>
  <si>
    <t xml:space="preserve">SATEKIA</t>
  </si>
  <si>
    <t xml:space="preserve">1983-09-09</t>
  </si>
  <si>
    <t xml:space="preserve">2025-06-09</t>
  </si>
  <si>
    <t xml:space="preserve">937 HOMEWOOD AVE SE</t>
  </si>
  <si>
    <t xml:space="preserve">OH0015678607</t>
  </si>
  <si>
    <t xml:space="preserve">MITCHELL</t>
  </si>
  <si>
    <t xml:space="preserve">1962-07-06</t>
  </si>
  <si>
    <t xml:space="preserve">OH0027673887</t>
  </si>
  <si>
    <t xml:space="preserve">DIANA</t>
  </si>
  <si>
    <t xml:space="preserve">NOAH</t>
  </si>
  <si>
    <t xml:space="preserve">1999-02-16</t>
  </si>
  <si>
    <t xml:space="preserve">945 HOMEWOOD AVE SE</t>
  </si>
  <si>
    <t xml:space="preserve">OH0015703237</t>
  </si>
  <si>
    <t xml:space="preserve">SAMS</t>
  </si>
  <si>
    <t xml:space="preserve">1959-05-01</t>
  </si>
  <si>
    <t xml:space="preserve">1987-10-07</t>
  </si>
  <si>
    <t xml:space="preserve">OH0015800461</t>
  </si>
  <si>
    <t xml:space="preserve">1958-12-25</t>
  </si>
  <si>
    <t xml:space="preserve">1977-11-08</t>
  </si>
  <si>
    <t xml:space="preserve">OH0027873933</t>
  </si>
  <si>
    <t xml:space="preserve">GARRISON</t>
  </si>
  <si>
    <t xml:space="preserve">MILTON</t>
  </si>
  <si>
    <t xml:space="preserve">2000-12-12</t>
  </si>
  <si>
    <t xml:space="preserve">2025-01-07</t>
  </si>
  <si>
    <t xml:space="preserve">948 HOMEWOOD AVE SE</t>
  </si>
  <si>
    <t xml:space="preserve">OH0015697019</t>
  </si>
  <si>
    <t xml:space="preserve">1961-06-26</t>
  </si>
  <si>
    <t xml:space="preserve">1983-01-09</t>
  </si>
  <si>
    <t xml:space="preserve">OH0026258128</t>
  </si>
  <si>
    <t xml:space="preserve">BUTLER WALKER</t>
  </si>
  <si>
    <t xml:space="preserve">1971-03-25</t>
  </si>
  <si>
    <t xml:space="preserve">2021-08-15</t>
  </si>
  <si>
    <t xml:space="preserve">953 HOMEWOOD AVE SE</t>
  </si>
  <si>
    <t xml:space="preserve">OH0015702730</t>
  </si>
  <si>
    <t xml:space="preserve">1943-04-08</t>
  </si>
  <si>
    <t xml:space="preserve">1984-01-11</t>
  </si>
  <si>
    <t xml:space="preserve">OH0025311133</t>
  </si>
  <si>
    <t xml:space="preserve">MUNSON</t>
  </si>
  <si>
    <t xml:space="preserve">1987-02-03</t>
  </si>
  <si>
    <t xml:space="preserve">2020-03-13</t>
  </si>
  <si>
    <t xml:space="preserve">956 HOMEWOOD AVE SE</t>
  </si>
  <si>
    <t xml:space="preserve">OH0022239862</t>
  </si>
  <si>
    <t xml:space="preserve">TONY</t>
  </si>
  <si>
    <t xml:space="preserve">1988-07-03</t>
  </si>
  <si>
    <t xml:space="preserve">963 HOMEWOOD AVE SE</t>
  </si>
  <si>
    <t xml:space="preserve">OH0015704845</t>
  </si>
  <si>
    <t xml:space="preserve">WASHINGTON REED</t>
  </si>
  <si>
    <t xml:space="preserve">ANNIE</t>
  </si>
  <si>
    <t xml:space="preserve">1966-07-20</t>
  </si>
  <si>
    <t xml:space="preserve">OH0023253182</t>
  </si>
  <si>
    <t xml:space="preserve">ATYRA</t>
  </si>
  <si>
    <t xml:space="preserve">1993-12-25</t>
  </si>
  <si>
    <t xml:space="preserve">OH0025116671</t>
  </si>
  <si>
    <t xml:space="preserve">TRULY</t>
  </si>
  <si>
    <t xml:space="preserve">DEAJAHA</t>
  </si>
  <si>
    <t xml:space="preserve">2000-04-21</t>
  </si>
  <si>
    <t xml:space="preserve">2019-05-14</t>
  </si>
  <si>
    <t xml:space="preserve">966 HOMEWOOD AVE SE</t>
  </si>
  <si>
    <t xml:space="preserve">OH0015819833</t>
  </si>
  <si>
    <t xml:space="preserve">BOBRICHER</t>
  </si>
  <si>
    <t xml:space="preserve">1985-05-10</t>
  </si>
  <si>
    <t xml:space="preserve">2021-05-29</t>
  </si>
  <si>
    <t xml:space="preserve">971 HOMEWOOD AVE SE</t>
  </si>
  <si>
    <t xml:space="preserve">OH0015693453</t>
  </si>
  <si>
    <t xml:space="preserve">WAYMER</t>
  </si>
  <si>
    <t xml:space="preserve">1939-04-25</t>
  </si>
  <si>
    <t xml:space="preserve">1959-09-15</t>
  </si>
  <si>
    <t xml:space="preserve">974 HOMEWOOD AVE SE</t>
  </si>
  <si>
    <t xml:space="preserve">OH0027500182</t>
  </si>
  <si>
    <t xml:space="preserve">TAJON</t>
  </si>
  <si>
    <t xml:space="preserve">2005-11-21</t>
  </si>
  <si>
    <t xml:space="preserve">981 HOMEWOOD AVE SE</t>
  </si>
  <si>
    <t xml:space="preserve">OH0021749693</t>
  </si>
  <si>
    <t xml:space="preserve">1981-01-23</t>
  </si>
  <si>
    <t xml:space="preserve">OH0026179212</t>
  </si>
  <si>
    <t xml:space="preserve">JARRETT</t>
  </si>
  <si>
    <t xml:space="preserve">1976-04-27</t>
  </si>
  <si>
    <t xml:space="preserve">984 HOMEWOOD AVE SE</t>
  </si>
  <si>
    <t xml:space="preserve">OH0025952442</t>
  </si>
  <si>
    <t xml:space="preserve">CHAQUANA</t>
  </si>
  <si>
    <t xml:space="preserve">1998-10-23</t>
  </si>
  <si>
    <t xml:space="preserve">2024-07-05</t>
  </si>
  <si>
    <t xml:space="preserve">OH0021424882</t>
  </si>
  <si>
    <t xml:space="preserve">GILLIAM</t>
  </si>
  <si>
    <t xml:space="preserve">1956-02-28</t>
  </si>
  <si>
    <t xml:space="preserve">999 HOMEWOOD AVE SE</t>
  </si>
  <si>
    <t xml:space="preserve">OH0024516382</t>
  </si>
  <si>
    <t xml:space="preserve">WYNOT</t>
  </si>
  <si>
    <t xml:space="preserve">LAURIE</t>
  </si>
  <si>
    <t xml:space="preserve">1966-02-27</t>
  </si>
  <si>
    <t xml:space="preserve">2020-10-31</t>
  </si>
  <si>
    <t xml:space="preserve">136 IDDINGS AVE NE</t>
  </si>
  <si>
    <t xml:space="preserve">OH0015694073</t>
  </si>
  <si>
    <t xml:space="preserve">PEHANICH</t>
  </si>
  <si>
    <t xml:space="preserve">1964-01-26</t>
  </si>
  <si>
    <t xml:space="preserve">1982-04-21</t>
  </si>
  <si>
    <t xml:space="preserve">146 IDDINGS AVE NE</t>
  </si>
  <si>
    <t xml:space="preserve">OH0019986141</t>
  </si>
  <si>
    <t xml:space="preserve">1967-08-08</t>
  </si>
  <si>
    <t xml:space="preserve">2008-09-03</t>
  </si>
  <si>
    <t xml:space="preserve">OH0023519968</t>
  </si>
  <si>
    <t xml:space="preserve">1993-04-22</t>
  </si>
  <si>
    <t xml:space="preserve">OH0020932926</t>
  </si>
  <si>
    <t xml:space="preserve">LAUREN</t>
  </si>
  <si>
    <t xml:space="preserve">ALEXANDRA</t>
  </si>
  <si>
    <t xml:space="preserve">1991-11-08</t>
  </si>
  <si>
    <t xml:space="preserve">2016-07-06</t>
  </si>
  <si>
    <t xml:space="preserve">158 IDDINGS AVE NE</t>
  </si>
  <si>
    <t xml:space="preserve">OH0022308728</t>
  </si>
  <si>
    <t xml:space="preserve">1991-10-12</t>
  </si>
  <si>
    <t xml:space="preserve">OH0026573627</t>
  </si>
  <si>
    <t xml:space="preserve">KAI</t>
  </si>
  <si>
    <t xml:space="preserve">2003-09-04</t>
  </si>
  <si>
    <t xml:space="preserve">2022-08-02</t>
  </si>
  <si>
    <t xml:space="preserve">168 IDDINGS AVE NE</t>
  </si>
  <si>
    <t xml:space="preserve">OH0015702785</t>
  </si>
  <si>
    <t xml:space="preserve">1965-11-30</t>
  </si>
  <si>
    <t xml:space="preserve">OH0015705816</t>
  </si>
  <si>
    <t xml:space="preserve">1960-11-06</t>
  </si>
  <si>
    <t xml:space="preserve">1984-04-06</t>
  </si>
  <si>
    <t xml:space="preserve">OH0027600520</t>
  </si>
  <si>
    <t xml:space="preserve">TRASK</t>
  </si>
  <si>
    <t xml:space="preserve">TOD</t>
  </si>
  <si>
    <t xml:space="preserve">1973-12-13</t>
  </si>
  <si>
    <t xml:space="preserve">169 IDDINGS AVE NE</t>
  </si>
  <si>
    <t xml:space="preserve">OH0027692894</t>
  </si>
  <si>
    <t xml:space="preserve">2001-04-04</t>
  </si>
  <si>
    <t xml:space="preserve">OH0024194642</t>
  </si>
  <si>
    <t xml:space="preserve">JM</t>
  </si>
  <si>
    <t xml:space="preserve">1995-01-12</t>
  </si>
  <si>
    <t xml:space="preserve">2016-12-16</t>
  </si>
  <si>
    <t xml:space="preserve">OH0019196234</t>
  </si>
  <si>
    <t xml:space="preserve">MYRES</t>
  </si>
  <si>
    <t xml:space="preserve">1975-06-13</t>
  </si>
  <si>
    <t xml:space="preserve">2023-10-05</t>
  </si>
  <si>
    <t xml:space="preserve">OH0022307887</t>
  </si>
  <si>
    <t xml:space="preserve">HOSEY</t>
  </si>
  <si>
    <t xml:space="preserve">1975-08-02</t>
  </si>
  <si>
    <t xml:space="preserve">2012-11-20</t>
  </si>
  <si>
    <t xml:space="preserve">OH0027518586</t>
  </si>
  <si>
    <t xml:space="preserve">1996-05-13</t>
  </si>
  <si>
    <t xml:space="preserve">OH0023323535</t>
  </si>
  <si>
    <t xml:space="preserve">1968-09-12</t>
  </si>
  <si>
    <t xml:space="preserve">2015-09-14</t>
  </si>
  <si>
    <t xml:space="preserve">178 IDDINGS AVE NE</t>
  </si>
  <si>
    <t xml:space="preserve">OH0023793852</t>
  </si>
  <si>
    <t xml:space="preserve">1968-07-10</t>
  </si>
  <si>
    <t xml:space="preserve">2016-07-18</t>
  </si>
  <si>
    <t xml:space="preserve">OH0027747400</t>
  </si>
  <si>
    <t xml:space="preserve">179 IDDINGS AVE NE</t>
  </si>
  <si>
    <t xml:space="preserve">OH0015810448</t>
  </si>
  <si>
    <t xml:space="preserve">NETTLES</t>
  </si>
  <si>
    <t xml:space="preserve">CARMELITA</t>
  </si>
  <si>
    <t xml:space="preserve">JUNE</t>
  </si>
  <si>
    <t xml:space="preserve">1966-02-17</t>
  </si>
  <si>
    <t xml:space="preserve">2025-06-02</t>
  </si>
  <si>
    <t xml:space="preserve">137 IDDINGS AVE SE</t>
  </si>
  <si>
    <t xml:space="preserve">OH0020982971</t>
  </si>
  <si>
    <t xml:space="preserve">CREE</t>
  </si>
  <si>
    <t xml:space="preserve">1992-02-17</t>
  </si>
  <si>
    <t xml:space="preserve">174 IDDINGS AVE SE</t>
  </si>
  <si>
    <t xml:space="preserve">OH0015744536</t>
  </si>
  <si>
    <t xml:space="preserve">1986-05-21</t>
  </si>
  <si>
    <t xml:space="preserve">2022-05-16</t>
  </si>
  <si>
    <t xml:space="preserve">OH0025996202</t>
  </si>
  <si>
    <t xml:space="preserve">DUKE</t>
  </si>
  <si>
    <t xml:space="preserve">1969-02-25</t>
  </si>
  <si>
    <t xml:space="preserve">184 IDDINGS AVE SE</t>
  </si>
  <si>
    <t xml:space="preserve">OH0025735269</t>
  </si>
  <si>
    <t xml:space="preserve">CERINA</t>
  </si>
  <si>
    <t xml:space="preserve">JAYNE</t>
  </si>
  <si>
    <t xml:space="preserve">2001-05-23</t>
  </si>
  <si>
    <t xml:space="preserve">2020-08-18</t>
  </si>
  <si>
    <t xml:space="preserve">206 IDDINGS AVE SE</t>
  </si>
  <si>
    <t xml:space="preserve">OH0015744251</t>
  </si>
  <si>
    <t xml:space="preserve">1967-03-03</t>
  </si>
  <si>
    <t xml:space="preserve">2010-08-11</t>
  </si>
  <si>
    <t xml:space="preserve">OH0025021549</t>
  </si>
  <si>
    <t xml:space="preserve">COOK</t>
  </si>
  <si>
    <t xml:space="preserve">1974-07-12</t>
  </si>
  <si>
    <t xml:space="preserve">225 IDDINGS AVE SE</t>
  </si>
  <si>
    <t xml:space="preserve">OH0023843573</t>
  </si>
  <si>
    <t xml:space="preserve">GAMLIN</t>
  </si>
  <si>
    <t xml:space="preserve">1967-04-07</t>
  </si>
  <si>
    <t xml:space="preserve">OH0021887079</t>
  </si>
  <si>
    <t xml:space="preserve">NAMISH</t>
  </si>
  <si>
    <t xml:space="preserve">1987-08-28</t>
  </si>
  <si>
    <t xml:space="preserve">2022-02-10</t>
  </si>
  <si>
    <t xml:space="preserve">226 IDDINGS AVE SE</t>
  </si>
  <si>
    <t xml:space="preserve">OH0020208054</t>
  </si>
  <si>
    <t xml:space="preserve">TAWNYA</t>
  </si>
  <si>
    <t xml:space="preserve">1986-12-19</t>
  </si>
  <si>
    <t xml:space="preserve">2020-01-08</t>
  </si>
  <si>
    <t xml:space="preserve">235 IDDINGS AVE SE</t>
  </si>
  <si>
    <t xml:space="preserve">OH0020096072</t>
  </si>
  <si>
    <t xml:space="preserve">1962-07-02</t>
  </si>
  <si>
    <t xml:space="preserve">238 IDDINGS AVE SE</t>
  </si>
  <si>
    <t xml:space="preserve">OH0026160358</t>
  </si>
  <si>
    <t xml:space="preserve">FRANTZ</t>
  </si>
  <si>
    <t xml:space="preserve">1984-10-05</t>
  </si>
  <si>
    <t xml:space="preserve">2021-03-25</t>
  </si>
  <si>
    <t xml:space="preserve">257 IDDINGS AVE SE</t>
  </si>
  <si>
    <t xml:space="preserve">OH0015777123</t>
  </si>
  <si>
    <t xml:space="preserve">GEORGIA</t>
  </si>
  <si>
    <t xml:space="preserve">1967-06-10</t>
  </si>
  <si>
    <t xml:space="preserve">2002-06-18</t>
  </si>
  <si>
    <t xml:space="preserve">OH0026939200</t>
  </si>
  <si>
    <t xml:space="preserve">BURDICK</t>
  </si>
  <si>
    <t xml:space="preserve">1960-02-04</t>
  </si>
  <si>
    <t xml:space="preserve">2023-05-08</t>
  </si>
  <si>
    <t xml:space="preserve">258 IDDINGS AVE SE</t>
  </si>
  <si>
    <t xml:space="preserve">OH0024568233</t>
  </si>
  <si>
    <t xml:space="preserve">KASHAAD</t>
  </si>
  <si>
    <t xml:space="preserve">2000-06-02</t>
  </si>
  <si>
    <t xml:space="preserve">2018-03-28</t>
  </si>
  <si>
    <t xml:space="preserve">306 IDDINGS AVE SE</t>
  </si>
  <si>
    <t xml:space="preserve">OH0026817908</t>
  </si>
  <si>
    <t xml:space="preserve">PITTRELL</t>
  </si>
  <si>
    <t xml:space="preserve">SARAE</t>
  </si>
  <si>
    <t xml:space="preserve">2005-11-04</t>
  </si>
  <si>
    <t xml:space="preserve">2023-09-19</t>
  </si>
  <si>
    <t xml:space="preserve">OH0025686783</t>
  </si>
  <si>
    <t xml:space="preserve">QURAN</t>
  </si>
  <si>
    <t xml:space="preserve">2001-08-04</t>
  </si>
  <si>
    <t xml:space="preserve">2021-10-15</t>
  </si>
  <si>
    <t xml:space="preserve">OH0022007478</t>
  </si>
  <si>
    <t xml:space="preserve">TROWERY</t>
  </si>
  <si>
    <t xml:space="preserve">TASHIA</t>
  </si>
  <si>
    <t xml:space="preserve">1977-10-31</t>
  </si>
  <si>
    <t xml:space="preserve">OH0027839348</t>
  </si>
  <si>
    <t xml:space="preserve">1993-07-13</t>
  </si>
  <si>
    <t xml:space="preserve">2025-06-13</t>
  </si>
  <si>
    <t xml:space="preserve">316 IDDINGS AVE SE</t>
  </si>
  <si>
    <t xml:space="preserve">OH0015690882</t>
  </si>
  <si>
    <t xml:space="preserve">CHARLOTTE</t>
  </si>
  <si>
    <t xml:space="preserve">1952-12-19</t>
  </si>
  <si>
    <t xml:space="preserve">2021-09-21</t>
  </si>
  <si>
    <t xml:space="preserve">OH0015692950</t>
  </si>
  <si>
    <t xml:space="preserve">OHARA</t>
  </si>
  <si>
    <t xml:space="preserve">ARTHEA</t>
  </si>
  <si>
    <t xml:space="preserve">1955-08-15</t>
  </si>
  <si>
    <t xml:space="preserve">1981-09-24</t>
  </si>
  <si>
    <t xml:space="preserve">326 IDDINGS AVE SE</t>
  </si>
  <si>
    <t xml:space="preserve">OH0026939850</t>
  </si>
  <si>
    <t xml:space="preserve">PECORELLI</t>
  </si>
  <si>
    <t xml:space="preserve">AALIYAH</t>
  </si>
  <si>
    <t xml:space="preserve">MICHELE</t>
  </si>
  <si>
    <t xml:space="preserve">2003-11-20</t>
  </si>
  <si>
    <t xml:space="preserve">2024-10-10</t>
  </si>
  <si>
    <t xml:space="preserve">336 IDDINGS AVE SE</t>
  </si>
  <si>
    <t xml:space="preserve">OH0015703544</t>
  </si>
  <si>
    <t xml:space="preserve">1950-12-01</t>
  </si>
  <si>
    <t xml:space="preserve">OH0015681107</t>
  </si>
  <si>
    <t xml:space="preserve">1984-04-03</t>
  </si>
  <si>
    <t xml:space="preserve">2015-08-28</t>
  </si>
  <si>
    <t xml:space="preserve">OH0024705028</t>
  </si>
  <si>
    <t xml:space="preserve">DANDRE</t>
  </si>
  <si>
    <t xml:space="preserve">1990-09-28</t>
  </si>
  <si>
    <t xml:space="preserve">OH0018797436</t>
  </si>
  <si>
    <t xml:space="preserve">BEACHLER</t>
  </si>
  <si>
    <t xml:space="preserve">1969-08-28</t>
  </si>
  <si>
    <t xml:space="preserve">2014-04-08</t>
  </si>
  <si>
    <t xml:space="preserve">347 IDDINGS AVE SE</t>
  </si>
  <si>
    <t xml:space="preserve">OH0015808234</t>
  </si>
  <si>
    <t xml:space="preserve">ROPER</t>
  </si>
  <si>
    <t xml:space="preserve">1976-08-04</t>
  </si>
  <si>
    <t xml:space="preserve">2024-06-18</t>
  </si>
  <si>
    <t xml:space="preserve">356 IDDINGS AVE SE</t>
  </si>
  <si>
    <t xml:space="preserve">OH0015772837</t>
  </si>
  <si>
    <t xml:space="preserve">FANT</t>
  </si>
  <si>
    <t xml:space="preserve">1971-09-01</t>
  </si>
  <si>
    <t xml:space="preserve">366 IDDINGS AVE SE</t>
  </si>
  <si>
    <t xml:space="preserve">OH0015815734</t>
  </si>
  <si>
    <t xml:space="preserve">KERNS</t>
  </si>
  <si>
    <t xml:space="preserve">1962-08-17</t>
  </si>
  <si>
    <t xml:space="preserve">2011-05-03</t>
  </si>
  <si>
    <t xml:space="preserve">367 IDDINGS AVE SE</t>
  </si>
  <si>
    <t xml:space="preserve">OH0015726399</t>
  </si>
  <si>
    <t xml:space="preserve">SALLY</t>
  </si>
  <si>
    <t xml:space="preserve">1966-08-29</t>
  </si>
  <si>
    <t xml:space="preserve">OH0027130555</t>
  </si>
  <si>
    <t xml:space="preserve">RICHARDSON</t>
  </si>
  <si>
    <t xml:space="preserve">1971-12-28</t>
  </si>
  <si>
    <t xml:space="preserve">377 IDDINGS AVE SE</t>
  </si>
  <si>
    <t xml:space="preserve">OH0024445202</t>
  </si>
  <si>
    <t xml:space="preserve">1992-04-06</t>
  </si>
  <si>
    <t xml:space="preserve">2017-11-02</t>
  </si>
  <si>
    <t xml:space="preserve">OH0026995588</t>
  </si>
  <si>
    <t xml:space="preserve">1994-12-02</t>
  </si>
  <si>
    <t xml:space="preserve">2023-08-07</t>
  </si>
  <si>
    <t xml:space="preserve">OH0027179551</t>
  </si>
  <si>
    <t xml:space="preserve">QUINN</t>
  </si>
  <si>
    <t xml:space="preserve">LONI</t>
  </si>
  <si>
    <t xml:space="preserve">1990-07-05</t>
  </si>
  <si>
    <t xml:space="preserve">2023-11-29</t>
  </si>
  <si>
    <t xml:space="preserve">386 IDDINGS AVE SE</t>
  </si>
  <si>
    <t xml:space="preserve">OH0026767847</t>
  </si>
  <si>
    <t xml:space="preserve">STANLEY</t>
  </si>
  <si>
    <t xml:space="preserve">AUREL FREDERICK</t>
  </si>
  <si>
    <t xml:space="preserve">1995-07-27</t>
  </si>
  <si>
    <t xml:space="preserve">2022-12-11</t>
  </si>
  <si>
    <t xml:space="preserve">OH0015689618</t>
  </si>
  <si>
    <t xml:space="preserve">LYONS</t>
  </si>
  <si>
    <t xml:space="preserve">LEROY</t>
  </si>
  <si>
    <t xml:space="preserve">1931-11-09</t>
  </si>
  <si>
    <t xml:space="preserve">396 IDDINGS AVE SE</t>
  </si>
  <si>
    <t xml:space="preserve">OH0015689624</t>
  </si>
  <si>
    <t xml:space="preserve">1934-09-12</t>
  </si>
  <si>
    <t xml:space="preserve">1962-09-25</t>
  </si>
  <si>
    <t xml:space="preserve">OH0019981696</t>
  </si>
  <si>
    <t xml:space="preserve">CONSTANCE</t>
  </si>
  <si>
    <t xml:space="preserve">1986-11-10</t>
  </si>
  <si>
    <t xml:space="preserve">2014-10-21</t>
  </si>
  <si>
    <t xml:space="preserve">397 IDDINGS AVE SE</t>
  </si>
  <si>
    <t xml:space="preserve">OH0021689582</t>
  </si>
  <si>
    <t xml:space="preserve">1994-02-11</t>
  </si>
  <si>
    <t xml:space="preserve">2012-01-27</t>
  </si>
  <si>
    <t xml:space="preserve">412 IDDINGS AVE SE</t>
  </si>
  <si>
    <t xml:space="preserve">OH0015816135</t>
  </si>
  <si>
    <t xml:space="preserve">1969-03-29</t>
  </si>
  <si>
    <t xml:space="preserve">2001-03-30</t>
  </si>
  <si>
    <t xml:space="preserve">OH0023651462</t>
  </si>
  <si>
    <t xml:space="preserve">MANBECK</t>
  </si>
  <si>
    <t xml:space="preserve">2016-09-24</t>
  </si>
  <si>
    <t xml:space="preserve">422 IDDINGS AVE SE</t>
  </si>
  <si>
    <t xml:space="preserve">OH0025587021</t>
  </si>
  <si>
    <t xml:space="preserve">CROSTEN</t>
  </si>
  <si>
    <t xml:space="preserve">CHARLENE</t>
  </si>
  <si>
    <t xml:space="preserve">1947-06-23</t>
  </si>
  <si>
    <t xml:space="preserve">2024-05-28</t>
  </si>
  <si>
    <t xml:space="preserve">1030 KENILWORTH AVE SE</t>
  </si>
  <si>
    <t xml:space="preserve">OH0025459285</t>
  </si>
  <si>
    <t xml:space="preserve">GALYON</t>
  </si>
  <si>
    <t xml:space="preserve">1967-08-19</t>
  </si>
  <si>
    <t xml:space="preserve">2025-01-21</t>
  </si>
  <si>
    <t xml:space="preserve">OH0021372426</t>
  </si>
  <si>
    <t xml:space="preserve">MALLORY</t>
  </si>
  <si>
    <t xml:space="preserve">AMARI</t>
  </si>
  <si>
    <t xml:space="preserve">1992-07-17</t>
  </si>
  <si>
    <t xml:space="preserve">1040 KENILWORTH AVE SE</t>
  </si>
  <si>
    <t xml:space="preserve">OH0015741876</t>
  </si>
  <si>
    <t xml:space="preserve">1981-01-10</t>
  </si>
  <si>
    <t xml:space="preserve">2022-06-29</t>
  </si>
  <si>
    <t xml:space="preserve">1043 KENILWORTH AVE SE</t>
  </si>
  <si>
    <t xml:space="preserve">OH0026822753</t>
  </si>
  <si>
    <t xml:space="preserve">2004-12-05</t>
  </si>
  <si>
    <t xml:space="preserve">2023-02-19</t>
  </si>
  <si>
    <t xml:space="preserve">OH0027499569</t>
  </si>
  <si>
    <t xml:space="preserve">VALENTINO</t>
  </si>
  <si>
    <t xml:space="preserve">1989-10-09</t>
  </si>
  <si>
    <t xml:space="preserve">1050 KENILWORTH AVE SE</t>
  </si>
  <si>
    <t xml:space="preserve">OH0022060937</t>
  </si>
  <si>
    <t xml:space="preserve">GRIGGS</t>
  </si>
  <si>
    <t xml:space="preserve">1984-08-03</t>
  </si>
  <si>
    <t xml:space="preserve">OH0027500160</t>
  </si>
  <si>
    <t xml:space="preserve">KARR</t>
  </si>
  <si>
    <t xml:space="preserve">1983-08-21</t>
  </si>
  <si>
    <t xml:space="preserve">1053 KENILWORTH AVE SE</t>
  </si>
  <si>
    <t xml:space="preserve">OH0026386374</t>
  </si>
  <si>
    <t xml:space="preserve">TRISTEN</t>
  </si>
  <si>
    <t xml:space="preserve">2021-12-07</t>
  </si>
  <si>
    <t xml:space="preserve">OH0019196466</t>
  </si>
  <si>
    <t xml:space="preserve">LATISHA</t>
  </si>
  <si>
    <t xml:space="preserve">1979-11-11</t>
  </si>
  <si>
    <t xml:space="preserve">2017-02-06</t>
  </si>
  <si>
    <t xml:space="preserve">1060 KENILWORTH AVE SE</t>
  </si>
  <si>
    <t xml:space="preserve">OH0023200807</t>
  </si>
  <si>
    <t xml:space="preserve">DUNEWOOD</t>
  </si>
  <si>
    <t xml:space="preserve">KANDESS</t>
  </si>
  <si>
    <t xml:space="preserve">1953-10-02</t>
  </si>
  <si>
    <t xml:space="preserve">2015-07-06</t>
  </si>
  <si>
    <t xml:space="preserve">1070 KENILWORTH AVE SE</t>
  </si>
  <si>
    <t xml:space="preserve">OH0019626541</t>
  </si>
  <si>
    <t xml:space="preserve">TIA</t>
  </si>
  <si>
    <t xml:space="preserve">MAR LYN</t>
  </si>
  <si>
    <t xml:space="preserve">1981-07-26</t>
  </si>
  <si>
    <t xml:space="preserve">2008-03-04</t>
  </si>
  <si>
    <t xml:space="preserve">OH0015707925</t>
  </si>
  <si>
    <t xml:space="preserve">JUANDA</t>
  </si>
  <si>
    <t xml:space="preserve">1950-12-14</t>
  </si>
  <si>
    <t xml:space="preserve">2015-07-07</t>
  </si>
  <si>
    <t xml:space="preserve">PO BOX 308</t>
  </si>
  <si>
    <t xml:space="preserve">OH0025798144</t>
  </si>
  <si>
    <t xml:space="preserve">SIMPSON</t>
  </si>
  <si>
    <t xml:space="preserve">1980-07-22</t>
  </si>
  <si>
    <t xml:space="preserve">2020-09-10</t>
  </si>
  <si>
    <t xml:space="preserve">OH0021361266</t>
  </si>
  <si>
    <t xml:space="preserve">1991-06-11</t>
  </si>
  <si>
    <t xml:space="preserve">1080 KENILWORTH AVE SE</t>
  </si>
  <si>
    <t xml:space="preserve">OH0027511919</t>
  </si>
  <si>
    <t xml:space="preserve">KHIRY</t>
  </si>
  <si>
    <t xml:space="preserve">1993-06-14</t>
  </si>
  <si>
    <t xml:space="preserve">OH0015732603</t>
  </si>
  <si>
    <t xml:space="preserve">1950-07-08</t>
  </si>
  <si>
    <t xml:space="preserve">OH0018589870</t>
  </si>
  <si>
    <t xml:space="preserve">BOHRER</t>
  </si>
  <si>
    <t xml:space="preserve">1986-11-08</t>
  </si>
  <si>
    <t xml:space="preserve">2020-05-30</t>
  </si>
  <si>
    <t xml:space="preserve">1085 KENILWORTH AVE SE</t>
  </si>
  <si>
    <t xml:space="preserve">OH0026179167</t>
  </si>
  <si>
    <t xml:space="preserve">PETRICH</t>
  </si>
  <si>
    <t xml:space="preserve">CHAD</t>
  </si>
  <si>
    <t xml:space="preserve">1974-12-14</t>
  </si>
  <si>
    <t xml:space="preserve">2021-04-22</t>
  </si>
  <si>
    <t xml:space="preserve">OH0026739320</t>
  </si>
  <si>
    <t xml:space="preserve">1971-08-30</t>
  </si>
  <si>
    <t xml:space="preserve">OH0021351820</t>
  </si>
  <si>
    <t xml:space="preserve">HC</t>
  </si>
  <si>
    <t xml:space="preserve">1992-07-01</t>
  </si>
  <si>
    <t xml:space="preserve">2011-03-31</t>
  </si>
  <si>
    <t xml:space="preserve">1110 KENILWORTH AVE SE</t>
  </si>
  <si>
    <t xml:space="preserve">OH0015817988</t>
  </si>
  <si>
    <t xml:space="preserve">MCKINNEY</t>
  </si>
  <si>
    <t xml:space="preserve">1953-06-16</t>
  </si>
  <si>
    <t xml:space="preserve">2010-09-28</t>
  </si>
  <si>
    <t xml:space="preserve">1120 KENILWORTH AVE SE</t>
  </si>
  <si>
    <t xml:space="preserve">OH0015765592</t>
  </si>
  <si>
    <t xml:space="preserve">KORTNEY</t>
  </si>
  <si>
    <t xml:space="preserve">2008-08-04</t>
  </si>
  <si>
    <t xml:space="preserve">1130 KENILWORTH AVE SE</t>
  </si>
  <si>
    <t xml:space="preserve">OH0015693190</t>
  </si>
  <si>
    <t xml:space="preserve">BESSIE</t>
  </si>
  <si>
    <t xml:space="preserve">1967-09-26</t>
  </si>
  <si>
    <t xml:space="preserve">OH0015811604</t>
  </si>
  <si>
    <t xml:space="preserve">1961-01-24</t>
  </si>
  <si>
    <t xml:space="preserve">OH0019914420</t>
  </si>
  <si>
    <t xml:space="preserve">1990-08-01</t>
  </si>
  <si>
    <t xml:space="preserve">2015-08-18</t>
  </si>
  <si>
    <t xml:space="preserve">OH0021305782</t>
  </si>
  <si>
    <t xml:space="preserve">ELLENS</t>
  </si>
  <si>
    <t xml:space="preserve">1985-05-14</t>
  </si>
  <si>
    <t xml:space="preserve">OH0015760244</t>
  </si>
  <si>
    <t xml:space="preserve">RONDINI</t>
  </si>
  <si>
    <t xml:space="preserve">1974-12-03</t>
  </si>
  <si>
    <t xml:space="preserve">2024-07-24</t>
  </si>
  <si>
    <t xml:space="preserve">1504 KENILWORTH AVE SE</t>
  </si>
  <si>
    <t xml:space="preserve">OH0026063355</t>
  </si>
  <si>
    <t xml:space="preserve">TRIMBLE</t>
  </si>
  <si>
    <t xml:space="preserve">1516 KENILWORTH AVE SE</t>
  </si>
  <si>
    <t xml:space="preserve">OH0027495612</t>
  </si>
  <si>
    <t xml:space="preserve">1970-07-20</t>
  </si>
  <si>
    <t xml:space="preserve">OH0023460560</t>
  </si>
  <si>
    <t xml:space="preserve">1997-06-18</t>
  </si>
  <si>
    <t xml:space="preserve">2015-12-22</t>
  </si>
  <si>
    <t xml:space="preserve">OH0022513396</t>
  </si>
  <si>
    <t xml:space="preserve">GWILT</t>
  </si>
  <si>
    <t xml:space="preserve">1993-02-16</t>
  </si>
  <si>
    <t xml:space="preserve">OH0019690185</t>
  </si>
  <si>
    <t xml:space="preserve">1957-06-11</t>
  </si>
  <si>
    <t xml:space="preserve">1517 KENILWORTH AVE SE</t>
  </si>
  <si>
    <t xml:space="preserve">OH0024943234</t>
  </si>
  <si>
    <t xml:space="preserve">ARTIANA</t>
  </si>
  <si>
    <t xml:space="preserve">1999-12-15</t>
  </si>
  <si>
    <t xml:space="preserve">2018-11-02</t>
  </si>
  <si>
    <t xml:space="preserve">OH0015721949</t>
  </si>
  <si>
    <t xml:space="preserve">ANGELIA</t>
  </si>
  <si>
    <t xml:space="preserve">1971-02-18</t>
  </si>
  <si>
    <t xml:space="preserve">OH0018597550</t>
  </si>
  <si>
    <t xml:space="preserve">BAKER</t>
  </si>
  <si>
    <t xml:space="preserve">1964-09-15</t>
  </si>
  <si>
    <t xml:space="preserve">2023-07-21</t>
  </si>
  <si>
    <t xml:space="preserve">1525 KENILWORTH AVE SE</t>
  </si>
  <si>
    <t xml:space="preserve">OH0015759593</t>
  </si>
  <si>
    <t xml:space="preserve">1951-01-28</t>
  </si>
  <si>
    <t xml:space="preserve">1536 KENILWORTH AVE SE</t>
  </si>
  <si>
    <t xml:space="preserve">OH0024216510</t>
  </si>
  <si>
    <t xml:space="preserve">FREY</t>
  </si>
  <si>
    <t xml:space="preserve">1972-02-20</t>
  </si>
  <si>
    <t xml:space="preserve">OH0018989759</t>
  </si>
  <si>
    <t xml:space="preserve">VINGLE</t>
  </si>
  <si>
    <t xml:space="preserve">1969-04-01</t>
  </si>
  <si>
    <t xml:space="preserve">OH0020944421</t>
  </si>
  <si>
    <t xml:space="preserve">ALESCI</t>
  </si>
  <si>
    <t xml:space="preserve">1966-02-23</t>
  </si>
  <si>
    <t xml:space="preserve">1546 KENILWORTH AVE SE</t>
  </si>
  <si>
    <t xml:space="preserve">OH0026024361</t>
  </si>
  <si>
    <t xml:space="preserve">SMIGUEL</t>
  </si>
  <si>
    <t xml:space="preserve">ROBERTO</t>
  </si>
  <si>
    <t xml:space="preserve">1998-10-31</t>
  </si>
  <si>
    <t xml:space="preserve">OH0020306157</t>
  </si>
  <si>
    <t xml:space="preserve">DENITA</t>
  </si>
  <si>
    <t xml:space="preserve">1958-09-01</t>
  </si>
  <si>
    <t xml:space="preserve">2021-10-30</t>
  </si>
  <si>
    <t xml:space="preserve">1566 KENILWORTH AVE SE</t>
  </si>
  <si>
    <t xml:space="preserve">OH0023048037</t>
  </si>
  <si>
    <t xml:space="preserve">LITZ</t>
  </si>
  <si>
    <t xml:space="preserve">1971-05-12</t>
  </si>
  <si>
    <t xml:space="preserve">2023-01-23</t>
  </si>
  <si>
    <t xml:space="preserve">OH0021306877</t>
  </si>
  <si>
    <t xml:space="preserve">ENGSTROM</t>
  </si>
  <si>
    <t xml:space="preserve">1990-12-30</t>
  </si>
  <si>
    <t xml:space="preserve">2022-03-31</t>
  </si>
  <si>
    <t xml:space="preserve">1567 KENILWORTH AVE SE</t>
  </si>
  <si>
    <t xml:space="preserve">OH0025460134</t>
  </si>
  <si>
    <t xml:space="preserve">SHUMAN</t>
  </si>
  <si>
    <t xml:space="preserve">1978-01-01</t>
  </si>
  <si>
    <t xml:space="preserve">2020-02-06</t>
  </si>
  <si>
    <t xml:space="preserve">OH0025536990</t>
  </si>
  <si>
    <t xml:space="preserve">GEAR</t>
  </si>
  <si>
    <t xml:space="preserve">1997-03-16</t>
  </si>
  <si>
    <t xml:space="preserve">2021-07-17</t>
  </si>
  <si>
    <t xml:space="preserve">OH0027914896</t>
  </si>
  <si>
    <t xml:space="preserve">2000-10-23</t>
  </si>
  <si>
    <t xml:space="preserve">1576 KENILWORTH AVE SE</t>
  </si>
  <si>
    <t xml:space="preserve">OH0025752425</t>
  </si>
  <si>
    <t xml:space="preserve">DICKEY</t>
  </si>
  <si>
    <t xml:space="preserve">1988-07-19</t>
  </si>
  <si>
    <t xml:space="preserve">1577 KENILWORTH AVE SE</t>
  </si>
  <si>
    <t xml:space="preserve">OH0020381226</t>
  </si>
  <si>
    <t xml:space="preserve">1959-10-14</t>
  </si>
  <si>
    <t xml:space="preserve">OH0021820345</t>
  </si>
  <si>
    <t xml:space="preserve">1977-10-26</t>
  </si>
  <si>
    <t xml:space="preserve">2012-09-23</t>
  </si>
  <si>
    <t xml:space="preserve">OH0025640630</t>
  </si>
  <si>
    <t xml:space="preserve">MCQUEEN</t>
  </si>
  <si>
    <t xml:space="preserve">JESSE</t>
  </si>
  <si>
    <t xml:space="preserve">1976-05-05</t>
  </si>
  <si>
    <t xml:space="preserve">2021-04-13</t>
  </si>
  <si>
    <t xml:space="preserve">158 KENILWORTH AVE SE</t>
  </si>
  <si>
    <t xml:space="preserve">OH0027493494</t>
  </si>
  <si>
    <t xml:space="preserve">MARCHMAN</t>
  </si>
  <si>
    <t xml:space="preserve">1976-09-07</t>
  </si>
  <si>
    <t xml:space="preserve">1587 KENILWORTH AVE SE</t>
  </si>
  <si>
    <t xml:space="preserve">OH0023188969</t>
  </si>
  <si>
    <t xml:space="preserve">FAIRCHILD</t>
  </si>
  <si>
    <t xml:space="preserve">1994-08-21</t>
  </si>
  <si>
    <t xml:space="preserve">OH0026707726</t>
  </si>
  <si>
    <t xml:space="preserve">ALLENE</t>
  </si>
  <si>
    <t xml:space="preserve">1948-10-12</t>
  </si>
  <si>
    <t xml:space="preserve">2022-09-30</t>
  </si>
  <si>
    <t xml:space="preserve">159 KENILWORTH AVE SE</t>
  </si>
  <si>
    <t xml:space="preserve">OH0015764044</t>
  </si>
  <si>
    <t xml:space="preserve">1958-08-11</t>
  </si>
  <si>
    <t xml:space="preserve">2019-04-09</t>
  </si>
  <si>
    <t xml:space="preserve">1617 KENILWORTH AVE SE</t>
  </si>
  <si>
    <t xml:space="preserve">OH0024515725</t>
  </si>
  <si>
    <t xml:space="preserve">NAGY</t>
  </si>
  <si>
    <t xml:space="preserve">HELENE</t>
  </si>
  <si>
    <t xml:space="preserve">1999-10-16</t>
  </si>
  <si>
    <t xml:space="preserve">2018-02-06</t>
  </si>
  <si>
    <t xml:space="preserve">170 KENILWORTH AVE SE</t>
  </si>
  <si>
    <t xml:space="preserve">OH0015746432</t>
  </si>
  <si>
    <t xml:space="preserve">FRENCHKO</t>
  </si>
  <si>
    <t xml:space="preserve">1974-09-06</t>
  </si>
  <si>
    <t xml:space="preserve">2011-01-24</t>
  </si>
  <si>
    <t xml:space="preserve">OH0022832160</t>
  </si>
  <si>
    <t xml:space="preserve">JAYDA</t>
  </si>
  <si>
    <t xml:space="preserve">1994-11-19</t>
  </si>
  <si>
    <t xml:space="preserve">2014-05-06</t>
  </si>
  <si>
    <t xml:space="preserve">OH0026607455</t>
  </si>
  <si>
    <t xml:space="preserve">FRENCHKO TRIPOULAS</t>
  </si>
  <si>
    <t xml:space="preserve">LOLA</t>
  </si>
  <si>
    <t xml:space="preserve">SOFIA</t>
  </si>
  <si>
    <t xml:space="preserve">2004-09-06</t>
  </si>
  <si>
    <t xml:space="preserve">2022-09-01</t>
  </si>
  <si>
    <t xml:space="preserve">OH0015688367</t>
  </si>
  <si>
    <t xml:space="preserve">CARMELLA</t>
  </si>
  <si>
    <t xml:space="preserve">1951-11-18</t>
  </si>
  <si>
    <t xml:space="preserve">1980-09-12</t>
  </si>
  <si>
    <t xml:space="preserve">182 KENILWORTH AVE SE</t>
  </si>
  <si>
    <t xml:space="preserve">OH0015707919</t>
  </si>
  <si>
    <t xml:space="preserve">1951-04-17</t>
  </si>
  <si>
    <t xml:space="preserve">1984-08-31</t>
  </si>
  <si>
    <t xml:space="preserve">OH0015784188</t>
  </si>
  <si>
    <t xml:space="preserve">SMITH MCGILL</t>
  </si>
  <si>
    <t xml:space="preserve">1981-12-31</t>
  </si>
  <si>
    <t xml:space="preserve">2023-06-10</t>
  </si>
  <si>
    <t xml:space="preserve">OH0015893215</t>
  </si>
  <si>
    <t xml:space="preserve">1966-02-08</t>
  </si>
  <si>
    <t xml:space="preserve">2014-11-25</t>
  </si>
  <si>
    <t xml:space="preserve">183 KENILWORTH AVE SE</t>
  </si>
  <si>
    <t xml:space="preserve">OH0015746673</t>
  </si>
  <si>
    <t xml:space="preserve">1959-11-02</t>
  </si>
  <si>
    <t xml:space="preserve">2015-06-19</t>
  </si>
  <si>
    <t xml:space="preserve">OH0025720418</t>
  </si>
  <si>
    <t xml:space="preserve">SANLO</t>
  </si>
  <si>
    <t xml:space="preserve">1996-03-11</t>
  </si>
  <si>
    <t xml:space="preserve">192 KENILWORTH AVE SE</t>
  </si>
  <si>
    <t xml:space="preserve">OH0023336534</t>
  </si>
  <si>
    <t xml:space="preserve">MURPHY</t>
  </si>
  <si>
    <t xml:space="preserve">1973-04-06</t>
  </si>
  <si>
    <t xml:space="preserve">206 KENILWORTH AVE SE</t>
  </si>
  <si>
    <t xml:space="preserve">OH0025217235</t>
  </si>
  <si>
    <t xml:space="preserve">LANCE</t>
  </si>
  <si>
    <t xml:space="preserve">1970-11-11</t>
  </si>
  <si>
    <t xml:space="preserve">2023-10-27</t>
  </si>
  <si>
    <t xml:space="preserve">OH0022443023</t>
  </si>
  <si>
    <t xml:space="preserve">MATHESON</t>
  </si>
  <si>
    <t xml:space="preserve">1974-08-20</t>
  </si>
  <si>
    <t xml:space="preserve">2014-03-08</t>
  </si>
  <si>
    <t xml:space="preserve">207 KENILWORTH AVE SE</t>
  </si>
  <si>
    <t xml:space="preserve">OH0015724448</t>
  </si>
  <si>
    <t xml:space="preserve">KELLAR</t>
  </si>
  <si>
    <t xml:space="preserve">1963-01-29</t>
  </si>
  <si>
    <t xml:space="preserve">217 KENILWORTH AVE SE</t>
  </si>
  <si>
    <t xml:space="preserve">OH0015722099</t>
  </si>
  <si>
    <t xml:space="preserve">1970-02-27</t>
  </si>
  <si>
    <t xml:space="preserve">OH0024567734</t>
  </si>
  <si>
    <t xml:space="preserve">VIVIAN</t>
  </si>
  <si>
    <t xml:space="preserve">1999-11-20</t>
  </si>
  <si>
    <t xml:space="preserve">OH0023628635</t>
  </si>
  <si>
    <t xml:space="preserve">1997-07-29</t>
  </si>
  <si>
    <t xml:space="preserve">2016-02-03</t>
  </si>
  <si>
    <t xml:space="preserve">OH0026817961</t>
  </si>
  <si>
    <t xml:space="preserve">CLARK</t>
  </si>
  <si>
    <t xml:space="preserve">2005-09-12</t>
  </si>
  <si>
    <t xml:space="preserve">2023-02-15</t>
  </si>
  <si>
    <t xml:space="preserve">OH0015743008</t>
  </si>
  <si>
    <t xml:space="preserve">DANDREA</t>
  </si>
  <si>
    <t xml:space="preserve">1936-01-29</t>
  </si>
  <si>
    <t xml:space="preserve">230 KENILWORTH AVE SE</t>
  </si>
  <si>
    <t xml:space="preserve">OH0026995657</t>
  </si>
  <si>
    <t xml:space="preserve">WOMER</t>
  </si>
  <si>
    <t xml:space="preserve">ABIGAIL</t>
  </si>
  <si>
    <t xml:space="preserve">1978-12-29</t>
  </si>
  <si>
    <t xml:space="preserve">2024-07-18</t>
  </si>
  <si>
    <t xml:space="preserve">231 KENILWORTH AVE SE</t>
  </si>
  <si>
    <t xml:space="preserve">OH0015817340</t>
  </si>
  <si>
    <t xml:space="preserve">1977-01-23</t>
  </si>
  <si>
    <t xml:space="preserve">OH0026624026</t>
  </si>
  <si>
    <t xml:space="preserve">TARONDA</t>
  </si>
  <si>
    <t xml:space="preserve">1978-07-25</t>
  </si>
  <si>
    <t xml:space="preserve">2024-09-30</t>
  </si>
  <si>
    <t xml:space="preserve">233 KENILWORTH AVE SE</t>
  </si>
  <si>
    <t xml:space="preserve">OH0015823110</t>
  </si>
  <si>
    <t xml:space="preserve">KATIEA</t>
  </si>
  <si>
    <t xml:space="preserve">1973-07-24</t>
  </si>
  <si>
    <t xml:space="preserve">OH0025645561</t>
  </si>
  <si>
    <t xml:space="preserve">KAYRON</t>
  </si>
  <si>
    <t xml:space="preserve">2000-12-30</t>
  </si>
  <si>
    <t xml:space="preserve">2020-07-21</t>
  </si>
  <si>
    <t xml:space="preserve">1 SCARLET KNIGHT WAY</t>
  </si>
  <si>
    <t xml:space="preserve">PISCATAWAY</t>
  </si>
  <si>
    <t xml:space="preserve">NJ</t>
  </si>
  <si>
    <t xml:space="preserve">OH0015691370</t>
  </si>
  <si>
    <t xml:space="preserve">SUMMITT</t>
  </si>
  <si>
    <t xml:space="preserve">1960-08-30</t>
  </si>
  <si>
    <t xml:space="preserve">242 KENILWORTH AVE SE</t>
  </si>
  <si>
    <t xml:space="preserve">OH0027701264</t>
  </si>
  <si>
    <t xml:space="preserve">1972-05-15</t>
  </si>
  <si>
    <t xml:space="preserve">OH0027229786</t>
  </si>
  <si>
    <t xml:space="preserve">BOYCE</t>
  </si>
  <si>
    <t xml:space="preserve">1971-02-19</t>
  </si>
  <si>
    <t xml:space="preserve">2024-01-24</t>
  </si>
  <si>
    <t xml:space="preserve">243 KENILWORTH AVE SE</t>
  </si>
  <si>
    <t xml:space="preserve">OH0027187601</t>
  </si>
  <si>
    <t xml:space="preserve">MACHOR</t>
  </si>
  <si>
    <t xml:space="preserve">SARAI</t>
  </si>
  <si>
    <t xml:space="preserve">2001-06-20</t>
  </si>
  <si>
    <t xml:space="preserve">2023-12-13</t>
  </si>
  <si>
    <t xml:space="preserve">OH0025051195</t>
  </si>
  <si>
    <t xml:space="preserve">RAKIM</t>
  </si>
  <si>
    <t xml:space="preserve">2000-07-10</t>
  </si>
  <si>
    <t xml:space="preserve">317 KENILWORTH AVE SE</t>
  </si>
  <si>
    <t xml:space="preserve">OH0027232911</t>
  </si>
  <si>
    <t xml:space="preserve">ELAYSHA</t>
  </si>
  <si>
    <t xml:space="preserve">SYDNEY MONET</t>
  </si>
  <si>
    <t xml:space="preserve">2005-10-21</t>
  </si>
  <si>
    <t xml:space="preserve">2024-05-15</t>
  </si>
  <si>
    <t xml:space="preserve">OH0019521282</t>
  </si>
  <si>
    <t xml:space="preserve">REEVES</t>
  </si>
  <si>
    <t xml:space="preserve">1979-12-24</t>
  </si>
  <si>
    <t xml:space="preserve">2023-07-18</t>
  </si>
  <si>
    <t xml:space="preserve">318 KENILWORTH AVE SE</t>
  </si>
  <si>
    <t xml:space="preserve">OH0015778426</t>
  </si>
  <si>
    <t xml:space="preserve">SHAFER</t>
  </si>
  <si>
    <t xml:space="preserve">1985-05-07</t>
  </si>
  <si>
    <t xml:space="preserve">2023-07-16</t>
  </si>
  <si>
    <t xml:space="preserve">OH0022698061</t>
  </si>
  <si>
    <t xml:space="preserve">MARIN</t>
  </si>
  <si>
    <t xml:space="preserve">BRYAN</t>
  </si>
  <si>
    <t xml:space="preserve">1985-05-23</t>
  </si>
  <si>
    <t xml:space="preserve">2019-05-11</t>
  </si>
  <si>
    <t xml:space="preserve">328 KENILWORTH AVE SE</t>
  </si>
  <si>
    <t xml:space="preserve">OH0027722401</t>
  </si>
  <si>
    <t xml:space="preserve">ADAMSON</t>
  </si>
  <si>
    <t xml:space="preserve">1960-05-18</t>
  </si>
  <si>
    <t xml:space="preserve">2024-09-07</t>
  </si>
  <si>
    <t xml:space="preserve">329 KENILWORTH AVE SE</t>
  </si>
  <si>
    <t xml:space="preserve">OH0015690818</t>
  </si>
  <si>
    <t xml:space="preserve">LODY</t>
  </si>
  <si>
    <t xml:space="preserve">1940-05-10</t>
  </si>
  <si>
    <t xml:space="preserve">338 KENILWORTH AVE SE</t>
  </si>
  <si>
    <t xml:space="preserve">OH0015690815</t>
  </si>
  <si>
    <t xml:space="preserve">1941-12-12</t>
  </si>
  <si>
    <t xml:space="preserve">OH0022438678</t>
  </si>
  <si>
    <t xml:space="preserve">HULLIHEN</t>
  </si>
  <si>
    <t xml:space="preserve">DARIAN</t>
  </si>
  <si>
    <t xml:space="preserve">1992-04-25</t>
  </si>
  <si>
    <t xml:space="preserve">339 KENILWORTH AVE SE</t>
  </si>
  <si>
    <t xml:space="preserve">OH0023484115</t>
  </si>
  <si>
    <t xml:space="preserve">1997-10-07</t>
  </si>
  <si>
    <t xml:space="preserve">2018-08-09</t>
  </si>
  <si>
    <t xml:space="preserve">OH0023638139</t>
  </si>
  <si>
    <t xml:space="preserve">1982-01-13</t>
  </si>
  <si>
    <t xml:space="preserve">2016-04-18</t>
  </si>
  <si>
    <t xml:space="preserve">348 KENILWORTH AVE SE</t>
  </si>
  <si>
    <t xml:space="preserve">OH0015737878</t>
  </si>
  <si>
    <t xml:space="preserve">BANKS</t>
  </si>
  <si>
    <t xml:space="preserve">1955-07-31</t>
  </si>
  <si>
    <t xml:space="preserve">1990-08-23</t>
  </si>
  <si>
    <t xml:space="preserve">349 KENILWORTH AVE SE</t>
  </si>
  <si>
    <t xml:space="preserve">OH0015725685</t>
  </si>
  <si>
    <t xml:space="preserve">KLINGER</t>
  </si>
  <si>
    <t xml:space="preserve">1955-08-03</t>
  </si>
  <si>
    <t xml:space="preserve">358 KENILWORTH AVE SE</t>
  </si>
  <si>
    <t xml:space="preserve">OH0027235854</t>
  </si>
  <si>
    <t xml:space="preserve">CAMRYN</t>
  </si>
  <si>
    <t xml:space="preserve">2004-12-14</t>
  </si>
  <si>
    <t xml:space="preserve">2024-02-06</t>
  </si>
  <si>
    <t xml:space="preserve">359 KENILWORTH AVE SE</t>
  </si>
  <si>
    <t xml:space="preserve">OH0023151624</t>
  </si>
  <si>
    <t xml:space="preserve">1980-05-03</t>
  </si>
  <si>
    <t xml:space="preserve">OH0015790722</t>
  </si>
  <si>
    <t xml:space="preserve">1977-12-19</t>
  </si>
  <si>
    <t xml:space="preserve">2023-08-02</t>
  </si>
  <si>
    <t xml:space="preserve">OH0025809494</t>
  </si>
  <si>
    <t xml:space="preserve">KOON</t>
  </si>
  <si>
    <t xml:space="preserve">1981-06-10</t>
  </si>
  <si>
    <t xml:space="preserve">368 KENILWORTH AVE SE</t>
  </si>
  <si>
    <t xml:space="preserve">OH0026588036</t>
  </si>
  <si>
    <t xml:space="preserve">KARA</t>
  </si>
  <si>
    <t xml:space="preserve">2004-03-09</t>
  </si>
  <si>
    <t xml:space="preserve">2022-08-04</t>
  </si>
  <si>
    <t xml:space="preserve">OH0026082479</t>
  </si>
  <si>
    <t xml:space="preserve">CROMARTIE</t>
  </si>
  <si>
    <t xml:space="preserve">1966-01-30</t>
  </si>
  <si>
    <t xml:space="preserve">OH0015747832</t>
  </si>
  <si>
    <t xml:space="preserve">HERSHBERGER</t>
  </si>
  <si>
    <t xml:space="preserve">GLENNA</t>
  </si>
  <si>
    <t xml:space="preserve">1958-08-04</t>
  </si>
  <si>
    <t xml:space="preserve">2017-08-03</t>
  </si>
  <si>
    <t xml:space="preserve">369 KENILWORTH AVE SE</t>
  </si>
  <si>
    <t xml:space="preserve">OH0015724915</t>
  </si>
  <si>
    <t xml:space="preserve">1964-01-02</t>
  </si>
  <si>
    <t xml:space="preserve">1991-11-13</t>
  </si>
  <si>
    <t xml:space="preserve">378 KENILWORTH AVE SE</t>
  </si>
  <si>
    <t xml:space="preserve">OH0022922970</t>
  </si>
  <si>
    <t xml:space="preserve">1996-07-18</t>
  </si>
  <si>
    <t xml:space="preserve">OH0025657203</t>
  </si>
  <si>
    <t xml:space="preserve">QUISENBERRY</t>
  </si>
  <si>
    <t xml:space="preserve">1997-07-23</t>
  </si>
  <si>
    <t xml:space="preserve">379 KENILWORTH AVE SE</t>
  </si>
  <si>
    <t xml:space="preserve">OH0015821099</t>
  </si>
  <si>
    <t xml:space="preserve">JASEN</t>
  </si>
  <si>
    <t xml:space="preserve">1985-01-02</t>
  </si>
  <si>
    <t xml:space="preserve">388 KENILWORTH AVE SE</t>
  </si>
  <si>
    <t xml:space="preserve">OH0022922424</t>
  </si>
  <si>
    <t xml:space="preserve">MCCUE</t>
  </si>
  <si>
    <t xml:space="preserve">2014-09-12</t>
  </si>
  <si>
    <t xml:space="preserve">389 KENILWORTH AVE SE</t>
  </si>
  <si>
    <t xml:space="preserve">OH0015738112</t>
  </si>
  <si>
    <t xml:space="preserve">1964-06-24</t>
  </si>
  <si>
    <t xml:space="preserve">1990-09-27</t>
  </si>
  <si>
    <t xml:space="preserve">OH0015725717</t>
  </si>
  <si>
    <t xml:space="preserve">1964-03-20</t>
  </si>
  <si>
    <t xml:space="preserve">1988-08-17</t>
  </si>
  <si>
    <t xml:space="preserve">OH0023641562</t>
  </si>
  <si>
    <t xml:space="preserve">OHANESSIAN</t>
  </si>
  <si>
    <t xml:space="preserve">1971-11-05</t>
  </si>
  <si>
    <t xml:space="preserve">2021-12-02</t>
  </si>
  <si>
    <t xml:space="preserve">398 KENILWORTH AVE SE</t>
  </si>
  <si>
    <t xml:space="preserve">OH0015806247</t>
  </si>
  <si>
    <t xml:space="preserve">SWEET</t>
  </si>
  <si>
    <t xml:space="preserve">1984-09-07</t>
  </si>
  <si>
    <t xml:space="preserve">2002-09-09</t>
  </si>
  <si>
    <t xml:space="preserve">399 KENILWORTH AVE SE</t>
  </si>
  <si>
    <t xml:space="preserve">OH0015688344</t>
  </si>
  <si>
    <t xml:space="preserve">1949-04-25</t>
  </si>
  <si>
    <t xml:space="preserve">1980-07-15</t>
  </si>
  <si>
    <t xml:space="preserve">OH0015802847</t>
  </si>
  <si>
    <t xml:space="preserve">1940-11-20</t>
  </si>
  <si>
    <t xml:space="preserve">1962-03-28</t>
  </si>
  <si>
    <t xml:space="preserve">OH0024069837</t>
  </si>
  <si>
    <t xml:space="preserve">COY</t>
  </si>
  <si>
    <t xml:space="preserve">VICKIE</t>
  </si>
  <si>
    <t xml:space="preserve">1960-07-23</t>
  </si>
  <si>
    <t xml:space="preserve">400 KENILWORTH AVE SE</t>
  </si>
  <si>
    <t xml:space="preserve">OH0015744810</t>
  </si>
  <si>
    <t xml:space="preserve">1949-05-05</t>
  </si>
  <si>
    <t xml:space="preserve">1978-05-06</t>
  </si>
  <si>
    <t xml:space="preserve">408 KENILWORTH AVE SE</t>
  </si>
  <si>
    <t xml:space="preserve">OH0027730059</t>
  </si>
  <si>
    <t xml:space="preserve">KYLIE</t>
  </si>
  <si>
    <t xml:space="preserve">2004-03-08</t>
  </si>
  <si>
    <t xml:space="preserve">409 KENILWORTH AVE SE</t>
  </si>
  <si>
    <t xml:space="preserve">OH0015749961</t>
  </si>
  <si>
    <t xml:space="preserve">MCGRATH</t>
  </si>
  <si>
    <t xml:space="preserve">1992-05-01</t>
  </si>
  <si>
    <t xml:space="preserve">OH0015691414</t>
  </si>
  <si>
    <t xml:space="preserve">WERNER</t>
  </si>
  <si>
    <t xml:space="preserve">1941-08-08</t>
  </si>
  <si>
    <t xml:space="preserve">1972-10-10</t>
  </si>
  <si>
    <t xml:space="preserve">418 KENILWORTH AVE SE</t>
  </si>
  <si>
    <t xml:space="preserve">OH0027962525</t>
  </si>
  <si>
    <t xml:space="preserve">FOSTER</t>
  </si>
  <si>
    <t xml:space="preserve">1986-03-17</t>
  </si>
  <si>
    <t xml:space="preserve">2025-05-27</t>
  </si>
  <si>
    <t xml:space="preserve">419 KENILWORTH AVE SE</t>
  </si>
  <si>
    <t xml:space="preserve">OH0027962533</t>
  </si>
  <si>
    <t xml:space="preserve">AME</t>
  </si>
  <si>
    <t xml:space="preserve">1988-04-08</t>
  </si>
  <si>
    <t xml:space="preserve">OH0015731733</t>
  </si>
  <si>
    <t xml:space="preserve">HENDERSON SPARKS</t>
  </si>
  <si>
    <t xml:space="preserve">SHELDON</t>
  </si>
  <si>
    <t xml:space="preserve">GARLEND</t>
  </si>
  <si>
    <t xml:space="preserve">1986-05-02</t>
  </si>
  <si>
    <t xml:space="preserve">428 KENILWORTH AVE SE</t>
  </si>
  <si>
    <t xml:space="preserve">OH0019808529</t>
  </si>
  <si>
    <t xml:space="preserve">1988-05-30</t>
  </si>
  <si>
    <t xml:space="preserve">2018-09-21</t>
  </si>
  <si>
    <t xml:space="preserve">OH0027360058</t>
  </si>
  <si>
    <t xml:space="preserve">CHERRY</t>
  </si>
  <si>
    <t xml:space="preserve">RENAE</t>
  </si>
  <si>
    <t xml:space="preserve">2006-03-31</t>
  </si>
  <si>
    <t xml:space="preserve">429 KENILWORTH AVE SE</t>
  </si>
  <si>
    <t xml:space="preserve">OH0021291573</t>
  </si>
  <si>
    <t xml:space="preserve">NEWLOVE</t>
  </si>
  <si>
    <t xml:space="preserve">1975-12-23</t>
  </si>
  <si>
    <t xml:space="preserve">2010-11-30</t>
  </si>
  <si>
    <t xml:space="preserve">446 KENILWORTH AVE SE</t>
  </si>
  <si>
    <t xml:space="preserve">OH0015705895</t>
  </si>
  <si>
    <t xml:space="preserve">1942-12-30</t>
  </si>
  <si>
    <t xml:space="preserve">OH0015700242</t>
  </si>
  <si>
    <t xml:space="preserve">PHYTHYON</t>
  </si>
  <si>
    <t xml:space="preserve">1952-08-19</t>
  </si>
  <si>
    <t xml:space="preserve">2023-09-30</t>
  </si>
  <si>
    <t xml:space="preserve">OH0026206670</t>
  </si>
  <si>
    <t xml:space="preserve">POPE</t>
  </si>
  <si>
    <t xml:space="preserve">1987-09-23</t>
  </si>
  <si>
    <t xml:space="preserve">2022-03-04</t>
  </si>
  <si>
    <t xml:space="preserve">456 KENILWORTH AVE SE</t>
  </si>
  <si>
    <t xml:space="preserve">OH0026571424</t>
  </si>
  <si>
    <t xml:space="preserve">CLOUD</t>
  </si>
  <si>
    <t xml:space="preserve">LEANNA</t>
  </si>
  <si>
    <t xml:space="preserve">1959-10-25</t>
  </si>
  <si>
    <t xml:space="preserve">2023-07-13</t>
  </si>
  <si>
    <t xml:space="preserve">OH0015820694</t>
  </si>
  <si>
    <t xml:space="preserve">EBBEN</t>
  </si>
  <si>
    <t xml:space="preserve">1971-11-08</t>
  </si>
  <si>
    <t xml:space="preserve">2003-04-03</t>
  </si>
  <si>
    <t xml:space="preserve">459 KENILWORTH AVE SE</t>
  </si>
  <si>
    <t xml:space="preserve">OH0023700667</t>
  </si>
  <si>
    <t xml:space="preserve">1966-11-12</t>
  </si>
  <si>
    <t xml:space="preserve">2023-10-22</t>
  </si>
  <si>
    <t xml:space="preserve">464 KENILWORTH AVE SE</t>
  </si>
  <si>
    <t xml:space="preserve">OH0019690292</t>
  </si>
  <si>
    <t xml:space="preserve">1975-06-26</t>
  </si>
  <si>
    <t xml:space="preserve">2020-01-13</t>
  </si>
  <si>
    <t xml:space="preserve">467 KENILWORTH AVE SE</t>
  </si>
  <si>
    <t xml:space="preserve">OH0015725458</t>
  </si>
  <si>
    <t xml:space="preserve">TAWANNA</t>
  </si>
  <si>
    <t xml:space="preserve">1976-02-03</t>
  </si>
  <si>
    <t xml:space="preserve">OH0023444613</t>
  </si>
  <si>
    <t xml:space="preserve">RUFENER</t>
  </si>
  <si>
    <t xml:space="preserve">1996-07-16</t>
  </si>
  <si>
    <t xml:space="preserve">2023-01-30</t>
  </si>
  <si>
    <t xml:space="preserve">470 KENILWORTH AVE SE</t>
  </si>
  <si>
    <t xml:space="preserve">OH0015820351</t>
  </si>
  <si>
    <t xml:space="preserve">1982-12-23</t>
  </si>
  <si>
    <t xml:space="preserve">477 KENILWORTH AVE SE</t>
  </si>
  <si>
    <t xml:space="preserve">OH0024192540</t>
  </si>
  <si>
    <t xml:space="preserve">JARED</t>
  </si>
  <si>
    <t xml:space="preserve">1977-10-11</t>
  </si>
  <si>
    <t xml:space="preserve">2021-10-05</t>
  </si>
  <si>
    <t xml:space="preserve">482 KENILWORTH AVE SE</t>
  </si>
  <si>
    <t xml:space="preserve">OH0023996272</t>
  </si>
  <si>
    <t xml:space="preserve">ABY</t>
  </si>
  <si>
    <t xml:space="preserve">1950-08-19</t>
  </si>
  <si>
    <t xml:space="preserve">2021-12-03</t>
  </si>
  <si>
    <t xml:space="preserve">OH0025158579</t>
  </si>
  <si>
    <t xml:space="preserve">KURDYLA</t>
  </si>
  <si>
    <t xml:space="preserve">CARYN</t>
  </si>
  <si>
    <t xml:space="preserve">2001-07-23</t>
  </si>
  <si>
    <t xml:space="preserve">2019-07-25</t>
  </si>
  <si>
    <t xml:space="preserve">485 KENILWORTH AVE SE</t>
  </si>
  <si>
    <t xml:space="preserve">OH0027889763</t>
  </si>
  <si>
    <t xml:space="preserve">MCKNIGHT</t>
  </si>
  <si>
    <t xml:space="preserve">1950-07-15</t>
  </si>
  <si>
    <t xml:space="preserve">2025-01-30</t>
  </si>
  <si>
    <t xml:space="preserve">OH0015756114</t>
  </si>
  <si>
    <t xml:space="preserve">NANCY</t>
  </si>
  <si>
    <t xml:space="preserve">1948-07-03</t>
  </si>
  <si>
    <t xml:space="preserve">2002-05-30</t>
  </si>
  <si>
    <t xml:space="preserve">492 KENILWORTH AVE SE</t>
  </si>
  <si>
    <t xml:space="preserve">OH0015751677</t>
  </si>
  <si>
    <t xml:space="preserve">1931-05-24</t>
  </si>
  <si>
    <t xml:space="preserve">OH0027245858</t>
  </si>
  <si>
    <t xml:space="preserve">KOVAROVIC</t>
  </si>
  <si>
    <t xml:space="preserve">1985-02-02</t>
  </si>
  <si>
    <t xml:space="preserve">2024-02-02</t>
  </si>
  <si>
    <t xml:space="preserve">503 KENILWORTH AVE SE</t>
  </si>
  <si>
    <t xml:space="preserve">OH0027247073</t>
  </si>
  <si>
    <t xml:space="preserve">CHAYLA</t>
  </si>
  <si>
    <t xml:space="preserve">NICOL</t>
  </si>
  <si>
    <t xml:space="preserve">2006-08-12</t>
  </si>
  <si>
    <t xml:space="preserve">OH0027526348</t>
  </si>
  <si>
    <t xml:space="preserve">1990-01-24</t>
  </si>
  <si>
    <t xml:space="preserve">OH0015764421</t>
  </si>
  <si>
    <t xml:space="preserve">BLUE</t>
  </si>
  <si>
    <t xml:space="preserve">1983-09-06</t>
  </si>
  <si>
    <t xml:space="preserve">510 KENILWORTH AVE SE</t>
  </si>
  <si>
    <t xml:space="preserve">OH0024648923</t>
  </si>
  <si>
    <t xml:space="preserve">1999-11-26</t>
  </si>
  <si>
    <t xml:space="preserve">OH0025830506</t>
  </si>
  <si>
    <t xml:space="preserve">BINION</t>
  </si>
  <si>
    <t xml:space="preserve">SHAUN</t>
  </si>
  <si>
    <t xml:space="preserve">1978-05-17</t>
  </si>
  <si>
    <t xml:space="preserve">OH0015790336</t>
  </si>
  <si>
    <t xml:space="preserve">SOMAYYOH</t>
  </si>
  <si>
    <t xml:space="preserve">1974-07-17</t>
  </si>
  <si>
    <t xml:space="preserve">OH0023188486</t>
  </si>
  <si>
    <t xml:space="preserve">KNICELEY</t>
  </si>
  <si>
    <t xml:space="preserve">CANDACE</t>
  </si>
  <si>
    <t xml:space="preserve">1991-07-29</t>
  </si>
  <si>
    <t xml:space="preserve">2016-08-02</t>
  </si>
  <si>
    <t xml:space="preserve">511 KENILWORTH AVE SE</t>
  </si>
  <si>
    <t xml:space="preserve">OH0021658010</t>
  </si>
  <si>
    <t xml:space="preserve">1980-10-23</t>
  </si>
  <si>
    <t xml:space="preserve">2025-04-23</t>
  </si>
  <si>
    <t xml:space="preserve">521 KENILWORTH AVE SE</t>
  </si>
  <si>
    <t xml:space="preserve">OH0022337968</t>
  </si>
  <si>
    <t xml:space="preserve">OSHA</t>
  </si>
  <si>
    <t xml:space="preserve">1995-02-27</t>
  </si>
  <si>
    <t xml:space="preserve">OH0015725437</t>
  </si>
  <si>
    <t xml:space="preserve">WALSH</t>
  </si>
  <si>
    <t xml:space="preserve">JAHONNA</t>
  </si>
  <si>
    <t xml:space="preserve">1982-07-24</t>
  </si>
  <si>
    <t xml:space="preserve">2019-08-24</t>
  </si>
  <si>
    <t xml:space="preserve">OH0024588400</t>
  </si>
  <si>
    <t xml:space="preserve">1996-03-12</t>
  </si>
  <si>
    <t xml:space="preserve">2018-04-06</t>
  </si>
  <si>
    <t xml:space="preserve">529 KENILWORTH AVE SE</t>
  </si>
  <si>
    <t xml:space="preserve">OH0018670386</t>
  </si>
  <si>
    <t xml:space="preserve">MAURICE</t>
  </si>
  <si>
    <t xml:space="preserve">1987-12-27</t>
  </si>
  <si>
    <t xml:space="preserve">OH0015687766</t>
  </si>
  <si>
    <t xml:space="preserve">JUDITH</t>
  </si>
  <si>
    <t xml:space="preserve">1953-08-01</t>
  </si>
  <si>
    <t xml:space="preserve">1980-07-25</t>
  </si>
  <si>
    <t xml:space="preserve">538 KENILWORTH AVE SE</t>
  </si>
  <si>
    <t xml:space="preserve">OH0021886207</t>
  </si>
  <si>
    <t xml:space="preserve">CARLSON</t>
  </si>
  <si>
    <t xml:space="preserve">1993-05-26</t>
  </si>
  <si>
    <t xml:space="preserve">2021-07-09</t>
  </si>
  <si>
    <t xml:space="preserve">539 KENILWORTH AVE SE</t>
  </si>
  <si>
    <t xml:space="preserve">OH0022179134</t>
  </si>
  <si>
    <t xml:space="preserve">MONROE</t>
  </si>
  <si>
    <t xml:space="preserve">1980-02-24</t>
  </si>
  <si>
    <t xml:space="preserve">2019-03-02</t>
  </si>
  <si>
    <t xml:space="preserve">OH0023187398</t>
  </si>
  <si>
    <t xml:space="preserve">CAITLYN</t>
  </si>
  <si>
    <t xml:space="preserve">1996-11-14</t>
  </si>
  <si>
    <t xml:space="preserve">701 KENILWORTH AVE SE</t>
  </si>
  <si>
    <t xml:space="preserve">OH0015814708</t>
  </si>
  <si>
    <t xml:space="preserve">GRIMES</t>
  </si>
  <si>
    <t xml:space="preserve">SHAWTEASE</t>
  </si>
  <si>
    <t xml:space="preserve">1981-11-07</t>
  </si>
  <si>
    <t xml:space="preserve">709 KENILWORTH AVE SE</t>
  </si>
  <si>
    <t xml:space="preserve">OH0025681145</t>
  </si>
  <si>
    <t xml:space="preserve">KATRICE</t>
  </si>
  <si>
    <t xml:space="preserve">1984-11-13</t>
  </si>
  <si>
    <t xml:space="preserve">2020-08-08</t>
  </si>
  <si>
    <t xml:space="preserve">717 KENILWORTH AVE SE</t>
  </si>
  <si>
    <t xml:space="preserve">OH0015694838</t>
  </si>
  <si>
    <t xml:space="preserve">COSTELLO</t>
  </si>
  <si>
    <t xml:space="preserve">1963-02-21</t>
  </si>
  <si>
    <t xml:space="preserve">1986-12-23</t>
  </si>
  <si>
    <t xml:space="preserve">725 KENILWORTH AVE SE</t>
  </si>
  <si>
    <t xml:space="preserve">OH0022344221</t>
  </si>
  <si>
    <t xml:space="preserve">LOGAN</t>
  </si>
  <si>
    <t xml:space="preserve">1985-07-20</t>
  </si>
  <si>
    <t xml:space="preserve">2013-03-02</t>
  </si>
  <si>
    <t xml:space="preserve">732 KENILWORTH AVE SE</t>
  </si>
  <si>
    <t xml:space="preserve">OH0015724738</t>
  </si>
  <si>
    <t xml:space="preserve">1953-09-09</t>
  </si>
  <si>
    <t xml:space="preserve">2018-10-30</t>
  </si>
  <si>
    <t xml:space="preserve">OH0023663147</t>
  </si>
  <si>
    <t xml:space="preserve">1971-05-07</t>
  </si>
  <si>
    <t xml:space="preserve">2016-04-30</t>
  </si>
  <si>
    <t xml:space="preserve">733 KENILWORTH AVE SE</t>
  </si>
  <si>
    <t xml:space="preserve">OH0025027453</t>
  </si>
  <si>
    <t xml:space="preserve">SULECKI</t>
  </si>
  <si>
    <t xml:space="preserve">1971-10-18</t>
  </si>
  <si>
    <t xml:space="preserve">2019-02-09</t>
  </si>
  <si>
    <t xml:space="preserve">740 KENILWORTH AVE SE</t>
  </si>
  <si>
    <t xml:space="preserve">OH0025536449</t>
  </si>
  <si>
    <t xml:space="preserve">1970-04-30</t>
  </si>
  <si>
    <t xml:space="preserve">2020-03-16</t>
  </si>
  <si>
    <t xml:space="preserve">OH0024784464</t>
  </si>
  <si>
    <t xml:space="preserve">GANTZ</t>
  </si>
  <si>
    <t xml:space="preserve">MARQUIS</t>
  </si>
  <si>
    <t xml:space="preserve">1991-08-19</t>
  </si>
  <si>
    <t xml:space="preserve">741 KENILWORTH AVE SE</t>
  </si>
  <si>
    <t xml:space="preserve">OH0025048024</t>
  </si>
  <si>
    <t xml:space="preserve">BOICE</t>
  </si>
  <si>
    <t xml:space="preserve">2000-06-24</t>
  </si>
  <si>
    <t xml:space="preserve">OH0025853911</t>
  </si>
  <si>
    <t xml:space="preserve">WORKMAN</t>
  </si>
  <si>
    <t xml:space="preserve">PAIGE</t>
  </si>
  <si>
    <t xml:space="preserve">1998-12-03</t>
  </si>
  <si>
    <t xml:space="preserve">2025-01-04</t>
  </si>
  <si>
    <t xml:space="preserve">OH0026599145</t>
  </si>
  <si>
    <t xml:space="preserve">MCCRACKEN</t>
  </si>
  <si>
    <t xml:space="preserve">BERTON</t>
  </si>
  <si>
    <t xml:space="preserve">1968-09-01</t>
  </si>
  <si>
    <t xml:space="preserve">2022-08-31</t>
  </si>
  <si>
    <t xml:space="preserve">748 KENILWORTH AVE SE</t>
  </si>
  <si>
    <t xml:space="preserve">OH0015691844</t>
  </si>
  <si>
    <t xml:space="preserve">AUCHTER</t>
  </si>
  <si>
    <t xml:space="preserve">1948-11-30</t>
  </si>
  <si>
    <t xml:space="preserve">2015-06-29</t>
  </si>
  <si>
    <t xml:space="preserve">OH0020289587</t>
  </si>
  <si>
    <t xml:space="preserve">1987-09-29</t>
  </si>
  <si>
    <t xml:space="preserve">756 KENILWORTH AVE SE</t>
  </si>
  <si>
    <t xml:space="preserve">OH0027567768</t>
  </si>
  <si>
    <t xml:space="preserve">CONN</t>
  </si>
  <si>
    <t xml:space="preserve">CRISS</t>
  </si>
  <si>
    <t xml:space="preserve">1945-08-28</t>
  </si>
  <si>
    <t xml:space="preserve">764 KENILWORTH AVE SE</t>
  </si>
  <si>
    <t xml:space="preserve">OH0019687843</t>
  </si>
  <si>
    <t xml:space="preserve">BYRNE</t>
  </si>
  <si>
    <t xml:space="preserve">COLLEEN</t>
  </si>
  <si>
    <t xml:space="preserve">1976-06-29</t>
  </si>
  <si>
    <t xml:space="preserve">765 KENILWORTH AVE SE</t>
  </si>
  <si>
    <t xml:space="preserve">OH0015758611</t>
  </si>
  <si>
    <t xml:space="preserve">LOVELAND</t>
  </si>
  <si>
    <t xml:space="preserve">1972-01-03</t>
  </si>
  <si>
    <t xml:space="preserve">2006-01-03</t>
  </si>
  <si>
    <t xml:space="preserve">772 KENILWORTH AVE SE</t>
  </si>
  <si>
    <t xml:space="preserve">OH0026736821</t>
  </si>
  <si>
    <t xml:space="preserve">SORAEYA</t>
  </si>
  <si>
    <t xml:space="preserve">2003-08-19</t>
  </si>
  <si>
    <t xml:space="preserve">2024-02-19</t>
  </si>
  <si>
    <t xml:space="preserve">OH0023342601</t>
  </si>
  <si>
    <t xml:space="preserve">1980-03-01</t>
  </si>
  <si>
    <t xml:space="preserve">773 KENILWORTH AVE SE</t>
  </si>
  <si>
    <t xml:space="preserve">OH0023184578</t>
  </si>
  <si>
    <t xml:space="preserve">1984-03-26</t>
  </si>
  <si>
    <t xml:space="preserve">OH0027906179</t>
  </si>
  <si>
    <t xml:space="preserve">MCKENNA</t>
  </si>
  <si>
    <t xml:space="preserve">2006-08-31</t>
  </si>
  <si>
    <t xml:space="preserve">2025-02-25</t>
  </si>
  <si>
    <t xml:space="preserve">OH0021507955</t>
  </si>
  <si>
    <t xml:space="preserve">JOSLYNN</t>
  </si>
  <si>
    <t xml:space="preserve">1985-05-21</t>
  </si>
  <si>
    <t xml:space="preserve">2013-06-18</t>
  </si>
  <si>
    <t xml:space="preserve">780 KENILWORTH AVE SE</t>
  </si>
  <si>
    <t xml:space="preserve">OH0015809505</t>
  </si>
  <si>
    <t xml:space="preserve">1975-11-13</t>
  </si>
  <si>
    <t xml:space="preserve">2014-08-08</t>
  </si>
  <si>
    <t xml:space="preserve">OH0021800330</t>
  </si>
  <si>
    <t xml:space="preserve">STEPHAWN</t>
  </si>
  <si>
    <t xml:space="preserve">1993-01-16</t>
  </si>
  <si>
    <t xml:space="preserve">2012-06-02</t>
  </si>
  <si>
    <t xml:space="preserve">796 KENILWORTH AVE SE</t>
  </si>
  <si>
    <t xml:space="preserve">OH0025645559</t>
  </si>
  <si>
    <t xml:space="preserve">DAMION</t>
  </si>
  <si>
    <t xml:space="preserve">1969-04-16</t>
  </si>
  <si>
    <t xml:space="preserve">OH0027492151</t>
  </si>
  <si>
    <t xml:space="preserve">CEDRIAWNA</t>
  </si>
  <si>
    <t xml:space="preserve">2000-07-24</t>
  </si>
  <si>
    <t xml:space="preserve">OH0026722202</t>
  </si>
  <si>
    <t xml:space="preserve">LENOX</t>
  </si>
  <si>
    <t xml:space="preserve">1975-04-25</t>
  </si>
  <si>
    <t xml:space="preserve">797 KENILWORTH AVE SE</t>
  </si>
  <si>
    <t xml:space="preserve">OH0021839941</t>
  </si>
  <si>
    <t xml:space="preserve">GRANT</t>
  </si>
  <si>
    <t xml:space="preserve">1953-08-04</t>
  </si>
  <si>
    <t xml:space="preserve">2012-07-05</t>
  </si>
  <si>
    <t xml:space="preserve">OH0015685104</t>
  </si>
  <si>
    <t xml:space="preserve">NATASHA</t>
  </si>
  <si>
    <t xml:space="preserve">1980-01-08</t>
  </si>
  <si>
    <t xml:space="preserve">2015-08-29</t>
  </si>
  <si>
    <t xml:space="preserve">804 KENILWORTH AVE SE</t>
  </si>
  <si>
    <t xml:space="preserve">OH0015813121</t>
  </si>
  <si>
    <t xml:space="preserve">1969-04-02</t>
  </si>
  <si>
    <t xml:space="preserve">805 KENILWORTH AVE SE</t>
  </si>
  <si>
    <t xml:space="preserve">OH0025378043</t>
  </si>
  <si>
    <t xml:space="preserve">WARRICK</t>
  </si>
  <si>
    <t xml:space="preserve">1976-02-02</t>
  </si>
  <si>
    <t xml:space="preserve">2020-01-12</t>
  </si>
  <si>
    <t xml:space="preserve">812 KENILWORTH AVE SE</t>
  </si>
  <si>
    <t xml:space="preserve">OH0021703395</t>
  </si>
  <si>
    <t xml:space="preserve">DURR</t>
  </si>
  <si>
    <t xml:space="preserve">1993-12-28</t>
  </si>
  <si>
    <t xml:space="preserve">815 KENILWORTH AVE SE</t>
  </si>
  <si>
    <t xml:space="preserve">OH0019264342</t>
  </si>
  <si>
    <t xml:space="preserve">ROSASCO</t>
  </si>
  <si>
    <t xml:space="preserve">TREMAYNE</t>
  </si>
  <si>
    <t xml:space="preserve">1987-08-07</t>
  </si>
  <si>
    <t xml:space="preserve">OH0024983296</t>
  </si>
  <si>
    <t xml:space="preserve">MOLLOHAN</t>
  </si>
  <si>
    <t xml:space="preserve">1989-01-01</t>
  </si>
  <si>
    <t xml:space="preserve">2020-12-09</t>
  </si>
  <si>
    <t xml:space="preserve">820 KENILWORTH AVE SE</t>
  </si>
  <si>
    <t xml:space="preserve">OH0024181250</t>
  </si>
  <si>
    <t xml:space="preserve">SENA</t>
  </si>
  <si>
    <t xml:space="preserve">1965-07-14</t>
  </si>
  <si>
    <t xml:space="preserve">828 KENILWORTH AVE SE</t>
  </si>
  <si>
    <t xml:space="preserve">OH0027517398</t>
  </si>
  <si>
    <t xml:space="preserve">JEFFERY</t>
  </si>
  <si>
    <t xml:space="preserve">1973-11-24</t>
  </si>
  <si>
    <t xml:space="preserve">829 KENILWORTH AVE SE</t>
  </si>
  <si>
    <t xml:space="preserve">OH0022780534</t>
  </si>
  <si>
    <t xml:space="preserve">MARCELLUS</t>
  </si>
  <si>
    <t xml:space="preserve">OH0015758437</t>
  </si>
  <si>
    <t xml:space="preserve">HERNON</t>
  </si>
  <si>
    <t xml:space="preserve">1983-07-20</t>
  </si>
  <si>
    <t xml:space="preserve">OH0015726702</t>
  </si>
  <si>
    <t xml:space="preserve">MANN</t>
  </si>
  <si>
    <t xml:space="preserve">1961-09-16</t>
  </si>
  <si>
    <t xml:space="preserve">2019-06-06</t>
  </si>
  <si>
    <t xml:space="preserve">OH0027514178</t>
  </si>
  <si>
    <t xml:space="preserve">2000-03-17</t>
  </si>
  <si>
    <t xml:space="preserve">OH0019479988</t>
  </si>
  <si>
    <t xml:space="preserve">ROGER</t>
  </si>
  <si>
    <t xml:space="preserve">1967-03-23</t>
  </si>
  <si>
    <t xml:space="preserve">2019-07-15</t>
  </si>
  <si>
    <t xml:space="preserve">836 KENILWORTH AVE SE</t>
  </si>
  <si>
    <t xml:space="preserve">OH0019479995</t>
  </si>
  <si>
    <t xml:space="preserve">M ROSE</t>
  </si>
  <si>
    <t xml:space="preserve">1962-03-17</t>
  </si>
  <si>
    <t xml:space="preserve">OH0025678346</t>
  </si>
  <si>
    <t xml:space="preserve">CYLAR</t>
  </si>
  <si>
    <t xml:space="preserve">ZANE</t>
  </si>
  <si>
    <t xml:space="preserve">ROMER</t>
  </si>
  <si>
    <t xml:space="preserve">2000-04-28</t>
  </si>
  <si>
    <t xml:space="preserve">844 KENILWORTH AVE SE</t>
  </si>
  <si>
    <t xml:space="preserve">OH0015795997</t>
  </si>
  <si>
    <t xml:space="preserve">AMBROSE</t>
  </si>
  <si>
    <t xml:space="preserve">ALBERT</t>
  </si>
  <si>
    <t xml:space="preserve">1945-04-14</t>
  </si>
  <si>
    <t xml:space="preserve">2011-10-04</t>
  </si>
  <si>
    <t xml:space="preserve">853 KENILWORTH AVE SE</t>
  </si>
  <si>
    <t xml:space="preserve">OH0022220103</t>
  </si>
  <si>
    <t xml:space="preserve">1992-08-15</t>
  </si>
  <si>
    <t xml:space="preserve">2019-11-06</t>
  </si>
  <si>
    <t xml:space="preserve">860 KENILWORTH AVE SE</t>
  </si>
  <si>
    <t xml:space="preserve">OH0025797820</t>
  </si>
  <si>
    <t xml:space="preserve">BOWLES</t>
  </si>
  <si>
    <t xml:space="preserve">1979-09-20</t>
  </si>
  <si>
    <t xml:space="preserve">OH0022203011</t>
  </si>
  <si>
    <t xml:space="preserve">1984-08-14</t>
  </si>
  <si>
    <t xml:space="preserve">861 KENILWORTH AVE SE</t>
  </si>
  <si>
    <t xml:space="preserve">OH0025092093</t>
  </si>
  <si>
    <t xml:space="preserve">LUKAS</t>
  </si>
  <si>
    <t xml:space="preserve">JC</t>
  </si>
  <si>
    <t xml:space="preserve">1989-10-03</t>
  </si>
  <si>
    <t xml:space="preserve">2021-11-28</t>
  </si>
  <si>
    <t xml:space="preserve">869 KENILWORTH AVE SE</t>
  </si>
  <si>
    <t xml:space="preserve">OH0025647186</t>
  </si>
  <si>
    <t xml:space="preserve">1992-10-21</t>
  </si>
  <si>
    <t xml:space="preserve">2023-10-20</t>
  </si>
  <si>
    <t xml:space="preserve">OH0021315660</t>
  </si>
  <si>
    <t xml:space="preserve">DAJAUN</t>
  </si>
  <si>
    <t xml:space="preserve">KINYATA</t>
  </si>
  <si>
    <t xml:space="preserve">1977-11-28</t>
  </si>
  <si>
    <t xml:space="preserve">876 KENILWORTH AVE SE</t>
  </si>
  <si>
    <t xml:space="preserve">OH0022239811</t>
  </si>
  <si>
    <t xml:space="preserve">MISTI</t>
  </si>
  <si>
    <t xml:space="preserve">KAYLEEN</t>
  </si>
  <si>
    <t xml:space="preserve">1982-10-05</t>
  </si>
  <si>
    <t xml:space="preserve">2023-05-23</t>
  </si>
  <si>
    <t xml:space="preserve">OH0023341477</t>
  </si>
  <si>
    <t xml:space="preserve">HICKS</t>
  </si>
  <si>
    <t xml:space="preserve">877 KENILWORTH AVE SE</t>
  </si>
  <si>
    <t xml:space="preserve">OH0027042685</t>
  </si>
  <si>
    <t xml:space="preserve">1979-08-25</t>
  </si>
  <si>
    <t xml:space="preserve">OH0023751082</t>
  </si>
  <si>
    <t xml:space="preserve">TUCKER</t>
  </si>
  <si>
    <t xml:space="preserve">1983-04-06</t>
  </si>
  <si>
    <t xml:space="preserve">2016-06-25</t>
  </si>
  <si>
    <t xml:space="preserve">OH0023443520</t>
  </si>
  <si>
    <t xml:space="preserve">MORT</t>
  </si>
  <si>
    <t xml:space="preserve">GERALDINE</t>
  </si>
  <si>
    <t xml:space="preserve">1966-09-08</t>
  </si>
  <si>
    <t xml:space="preserve">2016-05-19</t>
  </si>
  <si>
    <t xml:space="preserve">OH0023709408</t>
  </si>
  <si>
    <t xml:space="preserve">1995-02-04</t>
  </si>
  <si>
    <t xml:space="preserve">OH0015694127</t>
  </si>
  <si>
    <t xml:space="preserve">BERNICE</t>
  </si>
  <si>
    <t xml:space="preserve">1941-05-21</t>
  </si>
  <si>
    <t xml:space="preserve">1976-02-18</t>
  </si>
  <si>
    <t xml:space="preserve">131 LAIRD AVE NE</t>
  </si>
  <si>
    <t xml:space="preserve">OH0015694134</t>
  </si>
  <si>
    <t xml:space="preserve">1944-07-22</t>
  </si>
  <si>
    <t xml:space="preserve">OH0025423265</t>
  </si>
  <si>
    <t xml:space="preserve">1969-11-24</t>
  </si>
  <si>
    <t xml:space="preserve">207 LAIRD AVE NE</t>
  </si>
  <si>
    <t xml:space="preserve">OH0025371985</t>
  </si>
  <si>
    <t xml:space="preserve">SAMMY</t>
  </si>
  <si>
    <t xml:space="preserve">BERNARD</t>
  </si>
  <si>
    <t xml:space="preserve">1959-09-22</t>
  </si>
  <si>
    <t xml:space="preserve">2020-01-28</t>
  </si>
  <si>
    <t xml:space="preserve">OH0015682025</t>
  </si>
  <si>
    <t xml:space="preserve">GRICE</t>
  </si>
  <si>
    <t xml:space="preserve">ESTA</t>
  </si>
  <si>
    <t xml:space="preserve">2023-05-27</t>
  </si>
  <si>
    <t xml:space="preserve">OH0024444099</t>
  </si>
  <si>
    <t xml:space="preserve">WALLER HARRIS</t>
  </si>
  <si>
    <t xml:space="preserve">ALECEHIA</t>
  </si>
  <si>
    <t xml:space="preserve">1991-10-30</t>
  </si>
  <si>
    <t xml:space="preserve">223 LAIRD AVE NE</t>
  </si>
  <si>
    <t xml:space="preserve">OH0019538191</t>
  </si>
  <si>
    <t xml:space="preserve">BABCOCK</t>
  </si>
  <si>
    <t xml:space="preserve">1990-08-08</t>
  </si>
  <si>
    <t xml:space="preserve">OH0015701552</t>
  </si>
  <si>
    <t xml:space="preserve">LATRICE</t>
  </si>
  <si>
    <t xml:space="preserve">SHANELLE</t>
  </si>
  <si>
    <t xml:space="preserve">1984-07-22</t>
  </si>
  <si>
    <t xml:space="preserve">233 LAIRD AVE NE</t>
  </si>
  <si>
    <t xml:space="preserve">OH0021646144</t>
  </si>
  <si>
    <t xml:space="preserve">BRATHWAITE</t>
  </si>
  <si>
    <t xml:space="preserve">1970-12-29</t>
  </si>
  <si>
    <t xml:space="preserve">275 LAIRD AVE NE</t>
  </si>
  <si>
    <t xml:space="preserve">OH0022273767</t>
  </si>
  <si>
    <t xml:space="preserve">GIBSON</t>
  </si>
  <si>
    <t xml:space="preserve">LEON</t>
  </si>
  <si>
    <t xml:space="preserve">1981-12-18</t>
  </si>
  <si>
    <t xml:space="preserve">2015-04-13</t>
  </si>
  <si>
    <t xml:space="preserve">OH0022213734</t>
  </si>
  <si>
    <t xml:space="preserve">1960-12-09</t>
  </si>
  <si>
    <t xml:space="preserve">2017-10-25</t>
  </si>
  <si>
    <t xml:space="preserve">277 LAIRD AVE NE</t>
  </si>
  <si>
    <t xml:space="preserve">OH0015747990</t>
  </si>
  <si>
    <t xml:space="preserve">CALBERT</t>
  </si>
  <si>
    <t xml:space="preserve">KASSIA</t>
  </si>
  <si>
    <t xml:space="preserve">1971-11-26</t>
  </si>
  <si>
    <t xml:space="preserve">2008-08-11</t>
  </si>
  <si>
    <t xml:space="preserve">OH0015743088</t>
  </si>
  <si>
    <t xml:space="preserve">PANTELOUKAS</t>
  </si>
  <si>
    <t xml:space="preserve">1967-04-23</t>
  </si>
  <si>
    <t xml:space="preserve">1991-09-29</t>
  </si>
  <si>
    <t xml:space="preserve">287 LAIRD AVE NE</t>
  </si>
  <si>
    <t xml:space="preserve">OH0019843452</t>
  </si>
  <si>
    <t xml:space="preserve">YACOUB</t>
  </si>
  <si>
    <t xml:space="preserve">ISSA</t>
  </si>
  <si>
    <t xml:space="preserve">1987-06-24</t>
  </si>
  <si>
    <t xml:space="preserve">297 LAIRD AVE NE</t>
  </si>
  <si>
    <t xml:space="preserve">OH0024641808</t>
  </si>
  <si>
    <t xml:space="preserve">MARAM</t>
  </si>
  <si>
    <t xml:space="preserve">OTHMAN MUSTAFA</t>
  </si>
  <si>
    <t xml:space="preserve">1993-01-27</t>
  </si>
  <si>
    <t xml:space="preserve">2018-05-03</t>
  </si>
  <si>
    <t xml:space="preserve">OH0015716386</t>
  </si>
  <si>
    <t xml:space="preserve">NELL</t>
  </si>
  <si>
    <t xml:space="preserve">1954-11-23</t>
  </si>
  <si>
    <t xml:space="preserve">1986-10-06</t>
  </si>
  <si>
    <t xml:space="preserve">307 LAIRD AVE NE</t>
  </si>
  <si>
    <t xml:space="preserve">OH0015786035</t>
  </si>
  <si>
    <t xml:space="preserve">FOREBACK</t>
  </si>
  <si>
    <t xml:space="preserve">1965-05-22</t>
  </si>
  <si>
    <t xml:space="preserve">2018-08-10</t>
  </si>
  <si>
    <t xml:space="preserve">351 LAIRD AVE NE</t>
  </si>
  <si>
    <t xml:space="preserve">OH0026734410</t>
  </si>
  <si>
    <t xml:space="preserve">GARLOCK</t>
  </si>
  <si>
    <t xml:space="preserve">RACHELLE</t>
  </si>
  <si>
    <t xml:space="preserve">1999-11-05</t>
  </si>
  <si>
    <t xml:space="preserve">2022-11-17</t>
  </si>
  <si>
    <t xml:space="preserve">407 LAIRD AVE NE</t>
  </si>
  <si>
    <t xml:space="preserve">OH0018662879</t>
  </si>
  <si>
    <t xml:space="preserve">1976-12-28</t>
  </si>
  <si>
    <t xml:space="preserve">2010-08-14</t>
  </si>
  <si>
    <t xml:space="preserve">OH0015756411</t>
  </si>
  <si>
    <t xml:space="preserve">MALLAS</t>
  </si>
  <si>
    <t xml:space="preserve">ANEZA</t>
  </si>
  <si>
    <t xml:space="preserve">1957-10-18</t>
  </si>
  <si>
    <t xml:space="preserve">1999-02-17</t>
  </si>
  <si>
    <t xml:space="preserve">419 LAIRD AVE NE</t>
  </si>
  <si>
    <t xml:space="preserve">OH0019196121</t>
  </si>
  <si>
    <t xml:space="preserve">CASTLE</t>
  </si>
  <si>
    <t xml:space="preserve">1988-12-24</t>
  </si>
  <si>
    <t xml:space="preserve">2014-06-27</t>
  </si>
  <si>
    <t xml:space="preserve">429 LAIRD AVE NE</t>
  </si>
  <si>
    <t xml:space="preserve">OH0021122648</t>
  </si>
  <si>
    <t xml:space="preserve">WENDY</t>
  </si>
  <si>
    <t xml:space="preserve">2020-09-03</t>
  </si>
  <si>
    <t xml:space="preserve">OH0027584335</t>
  </si>
  <si>
    <t xml:space="preserve">DELOACH</t>
  </si>
  <si>
    <t xml:space="preserve">1961-06-23</t>
  </si>
  <si>
    <t xml:space="preserve">437 LAIRD AVE NE</t>
  </si>
  <si>
    <t xml:space="preserve">OH0015787184</t>
  </si>
  <si>
    <t xml:space="preserve">1983-06-12</t>
  </si>
  <si>
    <t xml:space="preserve">2021-11-30</t>
  </si>
  <si>
    <t xml:space="preserve">OH0015797289</t>
  </si>
  <si>
    <t xml:space="preserve">1954-05-13</t>
  </si>
  <si>
    <t xml:space="preserve">2004-07-29</t>
  </si>
  <si>
    <t xml:space="preserve">445 LAIRD AVE NE</t>
  </si>
  <si>
    <t xml:space="preserve">OH0015755293</t>
  </si>
  <si>
    <t xml:space="preserve">CARBY</t>
  </si>
  <si>
    <t xml:space="preserve">1960-09-07</t>
  </si>
  <si>
    <t xml:space="preserve">2022-04-07</t>
  </si>
  <si>
    <t xml:space="preserve">453 LAIRD AVE NE</t>
  </si>
  <si>
    <t xml:space="preserve">OH0023965789</t>
  </si>
  <si>
    <t xml:space="preserve">CUMMINGS</t>
  </si>
  <si>
    <t xml:space="preserve">1955-03-02</t>
  </si>
  <si>
    <t xml:space="preserve">2016-09-21</t>
  </si>
  <si>
    <t xml:space="preserve">206 LAIRD AVE SE</t>
  </si>
  <si>
    <t xml:space="preserve">OH0027544296</t>
  </si>
  <si>
    <t xml:space="preserve">ALLISON</t>
  </si>
  <si>
    <t xml:space="preserve">CASEY</t>
  </si>
  <si>
    <t xml:space="preserve">2000-10-24</t>
  </si>
  <si>
    <t xml:space="preserve">OH0026262833</t>
  </si>
  <si>
    <t xml:space="preserve">MENDEZ</t>
  </si>
  <si>
    <t xml:space="preserve">GEORGE CORBIN</t>
  </si>
  <si>
    <t xml:space="preserve">1986-08-03</t>
  </si>
  <si>
    <t xml:space="preserve">2021-08-03</t>
  </si>
  <si>
    <t xml:space="preserve">OH0024203599</t>
  </si>
  <si>
    <t xml:space="preserve">BAYNES</t>
  </si>
  <si>
    <t xml:space="preserve">1975-12-21</t>
  </si>
  <si>
    <t xml:space="preserve">2016-12-27</t>
  </si>
  <si>
    <t xml:space="preserve">236 LAIRD AVE SE</t>
  </si>
  <si>
    <t xml:space="preserve">OH0015686611</t>
  </si>
  <si>
    <t xml:space="preserve">DEBORA</t>
  </si>
  <si>
    <t xml:space="preserve">1958-09-09</t>
  </si>
  <si>
    <t xml:space="preserve">2016-06-22</t>
  </si>
  <si>
    <t xml:space="preserve">OH0015738925</t>
  </si>
  <si>
    <t xml:space="preserve">TIPTON</t>
  </si>
  <si>
    <t xml:space="preserve">1983-03-12</t>
  </si>
  <si>
    <t xml:space="preserve">246 LAIRD AVE SE</t>
  </si>
  <si>
    <t xml:space="preserve">OH0027499728</t>
  </si>
  <si>
    <t xml:space="preserve">256 LAIRD AVE SE</t>
  </si>
  <si>
    <t xml:space="preserve">OH0018992323</t>
  </si>
  <si>
    <t xml:space="preserve">TIOMBE</t>
  </si>
  <si>
    <t xml:space="preserve">1972-03-08</t>
  </si>
  <si>
    <t xml:space="preserve">2025-03-02</t>
  </si>
  <si>
    <t xml:space="preserve">318 LAIRD AVE SE</t>
  </si>
  <si>
    <t xml:space="preserve">OH0021700156</t>
  </si>
  <si>
    <t xml:space="preserve">GEARIN</t>
  </si>
  <si>
    <t xml:space="preserve">1993-06-05</t>
  </si>
  <si>
    <t xml:space="preserve">2017-09-03</t>
  </si>
  <si>
    <t xml:space="preserve">327 LAIRD AVE SE</t>
  </si>
  <si>
    <t xml:space="preserve">OH0023643703</t>
  </si>
  <si>
    <t xml:space="preserve">1992-03-22</t>
  </si>
  <si>
    <t xml:space="preserve">2016-04-20</t>
  </si>
  <si>
    <t xml:space="preserve">OH0027067598</t>
  </si>
  <si>
    <t xml:space="preserve">1989-10-29</t>
  </si>
  <si>
    <t xml:space="preserve">2023-09-26</t>
  </si>
  <si>
    <t xml:space="preserve">328 LAIRD AVE SE</t>
  </si>
  <si>
    <t xml:space="preserve">OH0027937066</t>
  </si>
  <si>
    <t xml:space="preserve">SHREVE</t>
  </si>
  <si>
    <t xml:space="preserve">2000-06-26</t>
  </si>
  <si>
    <t xml:space="preserve">2025-04-05</t>
  </si>
  <si>
    <t xml:space="preserve">OH0025893352</t>
  </si>
  <si>
    <t xml:space="preserve">KOPCZINSKY</t>
  </si>
  <si>
    <t xml:space="preserve">2002-02-13</t>
  </si>
  <si>
    <t xml:space="preserve">336 LAIRD AVE SE</t>
  </si>
  <si>
    <t xml:space="preserve">OH0015728541</t>
  </si>
  <si>
    <t xml:space="preserve">MYLES</t>
  </si>
  <si>
    <t xml:space="preserve">1971-07-19</t>
  </si>
  <si>
    <t xml:space="preserve">2008-05-13</t>
  </si>
  <si>
    <t xml:space="preserve">OH0023287682</t>
  </si>
  <si>
    <t xml:space="preserve">1973-08-06</t>
  </si>
  <si>
    <t xml:space="preserve">2015-11-23</t>
  </si>
  <si>
    <t xml:space="preserve">OH0021546908</t>
  </si>
  <si>
    <t xml:space="preserve">BARR</t>
  </si>
  <si>
    <t xml:space="preserve">1984-03-14</t>
  </si>
  <si>
    <t xml:space="preserve">2021-08-11</t>
  </si>
  <si>
    <t xml:space="preserve">337 LAIRD AVE SE</t>
  </si>
  <si>
    <t xml:space="preserve">OH0027139510</t>
  </si>
  <si>
    <t xml:space="preserve">HAUN</t>
  </si>
  <si>
    <t xml:space="preserve">1992-02-21</t>
  </si>
  <si>
    <t xml:space="preserve">OH0025916275</t>
  </si>
  <si>
    <t xml:space="preserve">BRITO</t>
  </si>
  <si>
    <t xml:space="preserve">NICHOLE</t>
  </si>
  <si>
    <t xml:space="preserve">1983-04-05</t>
  </si>
  <si>
    <t xml:space="preserve">OH0018597424</t>
  </si>
  <si>
    <t xml:space="preserve">1976-03-23</t>
  </si>
  <si>
    <t xml:space="preserve">346 LAIRD AVE SE</t>
  </si>
  <si>
    <t xml:space="preserve">OH0026063138</t>
  </si>
  <si>
    <t xml:space="preserve">JOI</t>
  </si>
  <si>
    <t xml:space="preserve">2000-02-27</t>
  </si>
  <si>
    <t xml:space="preserve">OH0023019261</t>
  </si>
  <si>
    <t xml:space="preserve">RUKIYA</t>
  </si>
  <si>
    <t xml:space="preserve">1996-08-06</t>
  </si>
  <si>
    <t xml:space="preserve">OH0026913028</t>
  </si>
  <si>
    <t xml:space="preserve">LAKOTA</t>
  </si>
  <si>
    <t xml:space="preserve">2002-05-25</t>
  </si>
  <si>
    <t xml:space="preserve">357 LAIRD AVE SE</t>
  </si>
  <si>
    <t xml:space="preserve">OH0027895891</t>
  </si>
  <si>
    <t xml:space="preserve">1970-12-14</t>
  </si>
  <si>
    <t xml:space="preserve">2025-02-07</t>
  </si>
  <si>
    <t xml:space="preserve">OH0027932007</t>
  </si>
  <si>
    <t xml:space="preserve">1974-03-14</t>
  </si>
  <si>
    <t xml:space="preserve">2025-03-28</t>
  </si>
  <si>
    <t xml:space="preserve">OH0025124010</t>
  </si>
  <si>
    <t xml:space="preserve">MICHAEL TAYLOR</t>
  </si>
  <si>
    <t xml:space="preserve">2000-01-15</t>
  </si>
  <si>
    <t xml:space="preserve">OH0027026070</t>
  </si>
  <si>
    <t xml:space="preserve">EPSTEIN</t>
  </si>
  <si>
    <t xml:space="preserve">MORIAH</t>
  </si>
  <si>
    <t xml:space="preserve">1977-06-25</t>
  </si>
  <si>
    <t xml:space="preserve">2023-07-20</t>
  </si>
  <si>
    <t xml:space="preserve">OH0027640862</t>
  </si>
  <si>
    <t xml:space="preserve">HAMRICK</t>
  </si>
  <si>
    <t xml:space="preserve">TY</t>
  </si>
  <si>
    <t xml:space="preserve">JOSEF</t>
  </si>
  <si>
    <t xml:space="preserve">2006-06-01</t>
  </si>
  <si>
    <t xml:space="preserve">366 LAIRD AVE SE</t>
  </si>
  <si>
    <t xml:space="preserve">OH0023347599</t>
  </si>
  <si>
    <t xml:space="preserve">1975-03-31</t>
  </si>
  <si>
    <t xml:space="preserve">2015-10-05</t>
  </si>
  <si>
    <t xml:space="preserve">OH0015809480</t>
  </si>
  <si>
    <t xml:space="preserve">ZURBUCHEN</t>
  </si>
  <si>
    <t xml:space="preserve">NAKIA</t>
  </si>
  <si>
    <t xml:space="preserve">1976-09-23</t>
  </si>
  <si>
    <t xml:space="preserve">2001-09-21</t>
  </si>
  <si>
    <t xml:space="preserve">OH0027906508</t>
  </si>
  <si>
    <t xml:space="preserve">DAILEY</t>
  </si>
  <si>
    <t xml:space="preserve">SADEAH</t>
  </si>
  <si>
    <t xml:space="preserve">ALESSIA</t>
  </si>
  <si>
    <t xml:space="preserve">2006-06-19</t>
  </si>
  <si>
    <t xml:space="preserve">2025-02-22</t>
  </si>
  <si>
    <t xml:space="preserve">367 LAIRD AVE SE</t>
  </si>
  <si>
    <t xml:space="preserve">OH0024003641</t>
  </si>
  <si>
    <t xml:space="preserve">SAMARIA</t>
  </si>
  <si>
    <t xml:space="preserve">TLYRICAL</t>
  </si>
  <si>
    <t xml:space="preserve">1998-05-19</t>
  </si>
  <si>
    <t xml:space="preserve">2023-04-10</t>
  </si>
  <si>
    <t xml:space="preserve">OH0019810029</t>
  </si>
  <si>
    <t xml:space="preserve">BUGNONE</t>
  </si>
  <si>
    <t xml:space="preserve">1959-02-19</t>
  </si>
  <si>
    <t xml:space="preserve">2020-09-15</t>
  </si>
  <si>
    <t xml:space="preserve">OH0021816310</t>
  </si>
  <si>
    <t xml:space="preserve">ERICAL</t>
  </si>
  <si>
    <t xml:space="preserve">1974-10-14</t>
  </si>
  <si>
    <t xml:space="preserve">2023-10-04</t>
  </si>
  <si>
    <t xml:space="preserve">OH0022631611</t>
  </si>
  <si>
    <t xml:space="preserve">MCRAE</t>
  </si>
  <si>
    <t xml:space="preserve">NAQKEEI</t>
  </si>
  <si>
    <t xml:space="preserve">1986-11-25</t>
  </si>
  <si>
    <t xml:space="preserve">376 LAIRD AVE SE</t>
  </si>
  <si>
    <t xml:space="preserve">OH0023357935</t>
  </si>
  <si>
    <t xml:space="preserve">WAGNER</t>
  </si>
  <si>
    <t xml:space="preserve">1984-11-26</t>
  </si>
  <si>
    <t xml:space="preserve">OH0027497738</t>
  </si>
  <si>
    <t xml:space="preserve">FUDGE</t>
  </si>
  <si>
    <t xml:space="preserve">JAMIR</t>
  </si>
  <si>
    <t xml:space="preserve">1995-11-29</t>
  </si>
  <si>
    <t xml:space="preserve">386 LAIRD AVE SE</t>
  </si>
  <si>
    <t xml:space="preserve">OH0015685550</t>
  </si>
  <si>
    <t xml:space="preserve">MUSOLF</t>
  </si>
  <si>
    <t xml:space="preserve">WADE</t>
  </si>
  <si>
    <t xml:space="preserve">1977-04-22</t>
  </si>
  <si>
    <t xml:space="preserve">2008-10-06</t>
  </si>
  <si>
    <t xml:space="preserve">387 LAIRD AVE SE</t>
  </si>
  <si>
    <t xml:space="preserve">OH0015727930</t>
  </si>
  <si>
    <t xml:space="preserve">GREATHOUSE</t>
  </si>
  <si>
    <t xml:space="preserve">1978-07-01</t>
  </si>
  <si>
    <t xml:space="preserve">OH0021351371</t>
  </si>
  <si>
    <t xml:space="preserve">JUANEISHA</t>
  </si>
  <si>
    <t xml:space="preserve">1993-05-28</t>
  </si>
  <si>
    <t xml:space="preserve">397 LAIRD AVE SE</t>
  </si>
  <si>
    <t xml:space="preserve">OH0027302753</t>
  </si>
  <si>
    <t xml:space="preserve">1989-05-06</t>
  </si>
  <si>
    <t xml:space="preserve">2024-04-03</t>
  </si>
  <si>
    <t xml:space="preserve">426 LAIRD AVE SE</t>
  </si>
  <si>
    <t xml:space="preserve">OH0024224765</t>
  </si>
  <si>
    <t xml:space="preserve">1986-02-28</t>
  </si>
  <si>
    <t xml:space="preserve">FL 2</t>
  </si>
  <si>
    <t xml:space="preserve">OH0015804940</t>
  </si>
  <si>
    <t xml:space="preserve">1983-07-26</t>
  </si>
  <si>
    <t xml:space="preserve">427 LAIRD AVE SE</t>
  </si>
  <si>
    <t xml:space="preserve">OH0024982843</t>
  </si>
  <si>
    <t xml:space="preserve">RAFFERTY</t>
  </si>
  <si>
    <t xml:space="preserve">1974-11-01</t>
  </si>
  <si>
    <t xml:space="preserve">2024-01-18</t>
  </si>
  <si>
    <t xml:space="preserve">526 LAIRD AVE SE</t>
  </si>
  <si>
    <t xml:space="preserve">OH0025131297</t>
  </si>
  <si>
    <t xml:space="preserve">SPITZER</t>
  </si>
  <si>
    <t xml:space="preserve">1985-03-22</t>
  </si>
  <si>
    <t xml:space="preserve">2025-06-19</t>
  </si>
  <si>
    <t xml:space="preserve">OH0027498031</t>
  </si>
  <si>
    <t xml:space="preserve">1990-01-23</t>
  </si>
  <si>
    <t xml:space="preserve">OH0023628487</t>
  </si>
  <si>
    <t xml:space="preserve">EDMONDS</t>
  </si>
  <si>
    <t xml:space="preserve">JARON</t>
  </si>
  <si>
    <t xml:space="preserve">1989-04-19</t>
  </si>
  <si>
    <t xml:space="preserve">2016-04-14</t>
  </si>
  <si>
    <t xml:space="preserve">OH0026830470</t>
  </si>
  <si>
    <t xml:space="preserve">2004-12-27</t>
  </si>
  <si>
    <t xml:space="preserve">OH0025230323</t>
  </si>
  <si>
    <t xml:space="preserve">CODEE</t>
  </si>
  <si>
    <t xml:space="preserve">2001-10-22</t>
  </si>
  <si>
    <t xml:space="preserve">2022-09-08</t>
  </si>
  <si>
    <t xml:space="preserve">527 LAIRD AVE SE</t>
  </si>
  <si>
    <t xml:space="preserve">OH0026524027</t>
  </si>
  <si>
    <t xml:space="preserve">SEARS</t>
  </si>
  <si>
    <t xml:space="preserve">CHRISTEN</t>
  </si>
  <si>
    <t xml:space="preserve">1988-10-12</t>
  </si>
  <si>
    <t xml:space="preserve">2022-05-23</t>
  </si>
  <si>
    <t xml:space="preserve">714 LAIRD AVE SE</t>
  </si>
  <si>
    <t xml:space="preserve">OH0019015962</t>
  </si>
  <si>
    <t xml:space="preserve">2006-12-15</t>
  </si>
  <si>
    <t xml:space="preserve">717 LAIRD AVE SE</t>
  </si>
  <si>
    <t xml:space="preserve">OH0023642754</t>
  </si>
  <si>
    <t xml:space="preserve">RHODE</t>
  </si>
  <si>
    <t xml:space="preserve">722 LAIRD AVE SE</t>
  </si>
  <si>
    <t xml:space="preserve">OH0021776783</t>
  </si>
  <si>
    <t xml:space="preserve">1980-04-25</t>
  </si>
  <si>
    <t xml:space="preserve">OH0027927512</t>
  </si>
  <si>
    <t xml:space="preserve">CARFAGNO RHODE</t>
  </si>
  <si>
    <t xml:space="preserve">LESLEY</t>
  </si>
  <si>
    <t xml:space="preserve">1999-03-10</t>
  </si>
  <si>
    <t xml:space="preserve">2025-03-27</t>
  </si>
  <si>
    <t xml:space="preserve">OH0025375043</t>
  </si>
  <si>
    <t xml:space="preserve">JANISE</t>
  </si>
  <si>
    <t xml:space="preserve">2002-01-22</t>
  </si>
  <si>
    <t xml:space="preserve">2024-01-27</t>
  </si>
  <si>
    <t xml:space="preserve">725 LAIRD AVE SE</t>
  </si>
  <si>
    <t xml:space="preserve">OH0027838831</t>
  </si>
  <si>
    <t xml:space="preserve">TYLOR</t>
  </si>
  <si>
    <t xml:space="preserve">KRISTOFOR</t>
  </si>
  <si>
    <t xml:space="preserve">1999-10-13</t>
  </si>
  <si>
    <t xml:space="preserve">2024-10-12</t>
  </si>
  <si>
    <t xml:space="preserve">OH0015803446</t>
  </si>
  <si>
    <t xml:space="preserve">HARRIET</t>
  </si>
  <si>
    <t xml:space="preserve">1976-10-02</t>
  </si>
  <si>
    <t xml:space="preserve">OH0015747445</t>
  </si>
  <si>
    <t xml:space="preserve">SLOAN</t>
  </si>
  <si>
    <t xml:space="preserve">BOBBI</t>
  </si>
  <si>
    <t xml:space="preserve">JO</t>
  </si>
  <si>
    <t xml:space="preserve">2024-07-26</t>
  </si>
  <si>
    <t xml:space="preserve">733 LAIRD AVE SE</t>
  </si>
  <si>
    <t xml:space="preserve">OH0024598605</t>
  </si>
  <si>
    <t xml:space="preserve">1966-10-01</t>
  </si>
  <si>
    <t xml:space="preserve">2019-08-18</t>
  </si>
  <si>
    <t xml:space="preserve">742 LAIRD AVE SE</t>
  </si>
  <si>
    <t xml:space="preserve">OH0024827803</t>
  </si>
  <si>
    <t xml:space="preserve">COLE</t>
  </si>
  <si>
    <t xml:space="preserve">1992-08-07</t>
  </si>
  <si>
    <t xml:space="preserve">OH0018597425</t>
  </si>
  <si>
    <t xml:space="preserve">LATASHA</t>
  </si>
  <si>
    <t xml:space="preserve">1984-11-28</t>
  </si>
  <si>
    <t xml:space="preserve">2019-05-21</t>
  </si>
  <si>
    <t xml:space="preserve">OH0015909238</t>
  </si>
  <si>
    <t xml:space="preserve">DANIELLA</t>
  </si>
  <si>
    <t xml:space="preserve">1965-10-07</t>
  </si>
  <si>
    <t xml:space="preserve">OH0027061994</t>
  </si>
  <si>
    <t xml:space="preserve">TAYJA</t>
  </si>
  <si>
    <t xml:space="preserve">OH0015810331</t>
  </si>
  <si>
    <t xml:space="preserve">HOCKMAN</t>
  </si>
  <si>
    <t xml:space="preserve">LUKE</t>
  </si>
  <si>
    <t xml:space="preserve">1982-03-08</t>
  </si>
  <si>
    <t xml:space="preserve">2008-03-07</t>
  </si>
  <si>
    <t xml:space="preserve">432 LAMPHIER PL NE</t>
  </si>
  <si>
    <t xml:space="preserve">OH0027282909</t>
  </si>
  <si>
    <t xml:space="preserve">BREANA</t>
  </si>
  <si>
    <t xml:space="preserve">2005-02-01</t>
  </si>
  <si>
    <t xml:space="preserve">2024-03-14</t>
  </si>
  <si>
    <t xml:space="preserve">OH0019900713</t>
  </si>
  <si>
    <t xml:space="preserve">1977-01-09</t>
  </si>
  <si>
    <t xml:space="preserve">2008-08-02</t>
  </si>
  <si>
    <t xml:space="preserve">OH0021700629</t>
  </si>
  <si>
    <t xml:space="preserve">CONLEY</t>
  </si>
  <si>
    <t xml:space="preserve">1994-08-23</t>
  </si>
  <si>
    <t xml:space="preserve">OH0024980809</t>
  </si>
  <si>
    <t xml:space="preserve">WORTHY CURRIE</t>
  </si>
  <si>
    <t xml:space="preserve">SHAWNTE</t>
  </si>
  <si>
    <t xml:space="preserve">1977-03-15</t>
  </si>
  <si>
    <t xml:space="preserve">2019-10-07</t>
  </si>
  <si>
    <t xml:space="preserve">446 LAMPHIER PL NE</t>
  </si>
  <si>
    <t xml:space="preserve">OH0025378433</t>
  </si>
  <si>
    <t xml:space="preserve">TERRI</t>
  </si>
  <si>
    <t xml:space="preserve">1999-01-15</t>
  </si>
  <si>
    <t xml:space="preserve">OH0015726368</t>
  </si>
  <si>
    <t xml:space="preserve">JOYE</t>
  </si>
  <si>
    <t xml:space="preserve">1977-09-06</t>
  </si>
  <si>
    <t xml:space="preserve">OH0015712277</t>
  </si>
  <si>
    <t xml:space="preserve">DZIEDZIC</t>
  </si>
  <si>
    <t xml:space="preserve">1951-12-04</t>
  </si>
  <si>
    <t xml:space="preserve">1984-10-16</t>
  </si>
  <si>
    <t xml:space="preserve">456 LAMPHIER PL NE</t>
  </si>
  <si>
    <t xml:space="preserve">OH0022955811</t>
  </si>
  <si>
    <t xml:space="preserve">JOY</t>
  </si>
  <si>
    <t xml:space="preserve">1995-06-12</t>
  </si>
  <si>
    <t xml:space="preserve">2014-10-06</t>
  </si>
  <si>
    <t xml:space="preserve">461 LAMPHIER PL NE</t>
  </si>
  <si>
    <t xml:space="preserve">OH0015755008</t>
  </si>
  <si>
    <t xml:space="preserve">1953-07-26</t>
  </si>
  <si>
    <t xml:space="preserve">1992-10-05</t>
  </si>
  <si>
    <t xml:space="preserve">OH0023335716</t>
  </si>
  <si>
    <t xml:space="preserve">SHERMAN</t>
  </si>
  <si>
    <t xml:space="preserve">ADRIONNA</t>
  </si>
  <si>
    <t xml:space="preserve">1995-02-03</t>
  </si>
  <si>
    <t xml:space="preserve">2018-04-12</t>
  </si>
  <si>
    <t xml:space="preserve">225 LAWRENCE AVE NE</t>
  </si>
  <si>
    <t xml:space="preserve">OH0021211807</t>
  </si>
  <si>
    <t xml:space="preserve">1992-08-14</t>
  </si>
  <si>
    <t xml:space="preserve">2016-09-12</t>
  </si>
  <si>
    <t xml:space="preserve">OH0026350025</t>
  </si>
  <si>
    <t xml:space="preserve">HARMONIE</t>
  </si>
  <si>
    <t xml:space="preserve">2003-04-22</t>
  </si>
  <si>
    <t xml:space="preserve">232 LAWRENCE AVE NE</t>
  </si>
  <si>
    <t xml:space="preserve">OH0015823081</t>
  </si>
  <si>
    <t xml:space="preserve">JAKITA</t>
  </si>
  <si>
    <t xml:space="preserve">1979-10-22</t>
  </si>
  <si>
    <t xml:space="preserve">OH0027499210</t>
  </si>
  <si>
    <t xml:space="preserve">TAMARCUS</t>
  </si>
  <si>
    <t xml:space="preserve">DELQWON</t>
  </si>
  <si>
    <t xml:space="preserve">2002-10-27</t>
  </si>
  <si>
    <t xml:space="preserve">OH0026267160</t>
  </si>
  <si>
    <t xml:space="preserve">BESWICK</t>
  </si>
  <si>
    <t xml:space="preserve">1955-10-24</t>
  </si>
  <si>
    <t xml:space="preserve">233 LAWRENCE AVE NE</t>
  </si>
  <si>
    <t xml:space="preserve">OH0027866539</t>
  </si>
  <si>
    <t xml:space="preserve">CLENDENIN MUSSER</t>
  </si>
  <si>
    <t xml:space="preserve">JOHNATHAN</t>
  </si>
  <si>
    <t xml:space="preserve">2004-11-04</t>
  </si>
  <si>
    <t xml:space="preserve">2024-11-30</t>
  </si>
  <si>
    <t xml:space="preserve">OH0015688778</t>
  </si>
  <si>
    <t xml:space="preserve">REIBOLD</t>
  </si>
  <si>
    <t xml:space="preserve">1949-06-27</t>
  </si>
  <si>
    <t xml:space="preserve">243 LAWRENCE AVE NE</t>
  </si>
  <si>
    <t xml:space="preserve">OH0015743237</t>
  </si>
  <si>
    <t xml:space="preserve">DINA</t>
  </si>
  <si>
    <t xml:space="preserve">1969-05-22</t>
  </si>
  <si>
    <t xml:space="preserve">2006-11-07</t>
  </si>
  <si>
    <t xml:space="preserve">252 LAWRENCE AVE NE</t>
  </si>
  <si>
    <t xml:space="preserve">OH0015757092</t>
  </si>
  <si>
    <t xml:space="preserve">DARRIN</t>
  </si>
  <si>
    <t xml:space="preserve">1972-09-23</t>
  </si>
  <si>
    <t xml:space="preserve">2018-11-24</t>
  </si>
  <si>
    <t xml:space="preserve">OH0021649625</t>
  </si>
  <si>
    <t xml:space="preserve">DAFFRON</t>
  </si>
  <si>
    <t xml:space="preserve">1985-02-28</t>
  </si>
  <si>
    <t xml:space="preserve">OH0026925119</t>
  </si>
  <si>
    <t xml:space="preserve">SOUSA</t>
  </si>
  <si>
    <t xml:space="preserve">INES</t>
  </si>
  <si>
    <t xml:space="preserve">2004-10-21</t>
  </si>
  <si>
    <t xml:space="preserve">2023-06-17</t>
  </si>
  <si>
    <t xml:space="preserve">262 LAWRENCE AVE NE</t>
  </si>
  <si>
    <t xml:space="preserve">OH0019479515</t>
  </si>
  <si>
    <t xml:space="preserve">GUIDO</t>
  </si>
  <si>
    <t xml:space="preserve">JACKIE</t>
  </si>
  <si>
    <t xml:space="preserve">1985-09-10</t>
  </si>
  <si>
    <t xml:space="preserve">286 LAWRENCE AVE NE</t>
  </si>
  <si>
    <t xml:space="preserve">OH0015740979</t>
  </si>
  <si>
    <t xml:space="preserve">DAY</t>
  </si>
  <si>
    <t xml:space="preserve">1978-03-26</t>
  </si>
  <si>
    <t xml:space="preserve">OH0025536463</t>
  </si>
  <si>
    <t xml:space="preserve">TICE</t>
  </si>
  <si>
    <t xml:space="preserve">1981-10-06</t>
  </si>
  <si>
    <t xml:space="preserve">287 LAWRENCE AVE NE</t>
  </si>
  <si>
    <t xml:space="preserve">OH0022734327</t>
  </si>
  <si>
    <t xml:space="preserve">1996-01-06</t>
  </si>
  <si>
    <t xml:space="preserve">2021-05-25</t>
  </si>
  <si>
    <t xml:space="preserve">116 LINDEN AVE NE</t>
  </si>
  <si>
    <t xml:space="preserve">OH0024020862</t>
  </si>
  <si>
    <t xml:space="preserve">FITZGERALD</t>
  </si>
  <si>
    <t xml:space="preserve">KATHRYNNE</t>
  </si>
  <si>
    <t xml:space="preserve">1991-09-06</t>
  </si>
  <si>
    <t xml:space="preserve">OH0027083117</t>
  </si>
  <si>
    <t xml:space="preserve">ELIJAH</t>
  </si>
  <si>
    <t xml:space="preserve">BRADFORD</t>
  </si>
  <si>
    <t xml:space="preserve">2005-06-02</t>
  </si>
  <si>
    <t xml:space="preserve">146 LINDEN AVE NE</t>
  </si>
  <si>
    <t xml:space="preserve">OH0023201083</t>
  </si>
  <si>
    <t xml:space="preserve">SUGAR</t>
  </si>
  <si>
    <t xml:space="preserve">NIKKI</t>
  </si>
  <si>
    <t xml:space="preserve">1973-04-08</t>
  </si>
  <si>
    <t xml:space="preserve">2021-05-30</t>
  </si>
  <si>
    <t xml:space="preserve">OH0027913653</t>
  </si>
  <si>
    <t xml:space="preserve">GAVIN</t>
  </si>
  <si>
    <t xml:space="preserve">PIERCE</t>
  </si>
  <si>
    <t xml:space="preserve">2005-08-12</t>
  </si>
  <si>
    <t xml:space="preserve">2025-03-15</t>
  </si>
  <si>
    <t xml:space="preserve">147 LINDEN AVE NE</t>
  </si>
  <si>
    <t xml:space="preserve">OH0026206020</t>
  </si>
  <si>
    <t xml:space="preserve">STIFFLER</t>
  </si>
  <si>
    <t xml:space="preserve">1976-05-28</t>
  </si>
  <si>
    <t xml:space="preserve">2021-05-22</t>
  </si>
  <si>
    <t xml:space="preserve">OH0015740941</t>
  </si>
  <si>
    <t xml:space="preserve">BAUMGARTNER</t>
  </si>
  <si>
    <t xml:space="preserve">158 LINDEN AVE NE</t>
  </si>
  <si>
    <t xml:space="preserve">OH0021406107</t>
  </si>
  <si>
    <t xml:space="preserve">KRISTIE</t>
  </si>
  <si>
    <t xml:space="preserve">1986-01-22</t>
  </si>
  <si>
    <t xml:space="preserve">2025-02-24</t>
  </si>
  <si>
    <t xml:space="preserve">169 LINDEN AVE NE</t>
  </si>
  <si>
    <t xml:space="preserve">OH0023912488</t>
  </si>
  <si>
    <t xml:space="preserve">1962-10-25</t>
  </si>
  <si>
    <t xml:space="preserve">2016-09-06</t>
  </si>
  <si>
    <t xml:space="preserve">179 LINDEN AVE NE</t>
  </si>
  <si>
    <t xml:space="preserve">OH0026171919</t>
  </si>
  <si>
    <t xml:space="preserve">STEWART</t>
  </si>
  <si>
    <t xml:space="preserve">2018-03-19</t>
  </si>
  <si>
    <t xml:space="preserve">191 LINDEN AVE NE</t>
  </si>
  <si>
    <t xml:space="preserve">OH0015757632</t>
  </si>
  <si>
    <t xml:space="preserve">LACARLA</t>
  </si>
  <si>
    <t xml:space="preserve">1985-01-15</t>
  </si>
  <si>
    <t xml:space="preserve">OH0026746442</t>
  </si>
  <si>
    <t xml:space="preserve">ROGERS</t>
  </si>
  <si>
    <t xml:space="preserve">KENDRICKS</t>
  </si>
  <si>
    <t xml:space="preserve">2000-03-27</t>
  </si>
  <si>
    <t xml:space="preserve">2022-10-31</t>
  </si>
  <si>
    <t xml:space="preserve">OH0019196170</t>
  </si>
  <si>
    <t xml:space="preserve">1967-07-28</t>
  </si>
  <si>
    <t xml:space="preserve">123 LINDEN AVE SE</t>
  </si>
  <si>
    <t xml:space="preserve">OH0023819832</t>
  </si>
  <si>
    <t xml:space="preserve">ATKINSON</t>
  </si>
  <si>
    <t xml:space="preserve">1995-09-19</t>
  </si>
  <si>
    <t xml:space="preserve">2019-09-15</t>
  </si>
  <si>
    <t xml:space="preserve">130 LINDEN AVE SE</t>
  </si>
  <si>
    <t xml:space="preserve">OH0021406266</t>
  </si>
  <si>
    <t xml:space="preserve">1993-04-27</t>
  </si>
  <si>
    <t xml:space="preserve">OH0024306933</t>
  </si>
  <si>
    <t xml:space="preserve">MARY GRACE</t>
  </si>
  <si>
    <t xml:space="preserve">FASULO</t>
  </si>
  <si>
    <t xml:space="preserve">133 LINDEN AVE SE</t>
  </si>
  <si>
    <t xml:space="preserve">OH0015748077</t>
  </si>
  <si>
    <t xml:space="preserve">ANNETTE</t>
  </si>
  <si>
    <t xml:space="preserve">1959-10-18</t>
  </si>
  <si>
    <t xml:space="preserve">2000-05-03</t>
  </si>
  <si>
    <t xml:space="preserve">OH0027162106</t>
  </si>
  <si>
    <t xml:space="preserve">JARVIS</t>
  </si>
  <si>
    <t xml:space="preserve">2005-05-03</t>
  </si>
  <si>
    <t xml:space="preserve">2023-10-11</t>
  </si>
  <si>
    <t xml:space="preserve">141 LINDEN AVE SE</t>
  </si>
  <si>
    <t xml:space="preserve">OH0027680360</t>
  </si>
  <si>
    <t xml:space="preserve">REANA</t>
  </si>
  <si>
    <t xml:space="preserve">2005-10-28</t>
  </si>
  <si>
    <t xml:space="preserve">2024-09-16</t>
  </si>
  <si>
    <t xml:space="preserve">150 LINDEN AVE SE</t>
  </si>
  <si>
    <t xml:space="preserve">OH0024166418</t>
  </si>
  <si>
    <t xml:space="preserve">MORRIS</t>
  </si>
  <si>
    <t xml:space="preserve">EVA</t>
  </si>
  <si>
    <t xml:space="preserve">1956-05-17</t>
  </si>
  <si>
    <t xml:space="preserve">2016-11-01</t>
  </si>
  <si>
    <t xml:space="preserve">OH0020342014</t>
  </si>
  <si>
    <t xml:space="preserve">ROEBUCK</t>
  </si>
  <si>
    <t xml:space="preserve">SAKEEA</t>
  </si>
  <si>
    <t xml:space="preserve">158 LINDEN AVE SE</t>
  </si>
  <si>
    <t xml:space="preserve">OH0021372800</t>
  </si>
  <si>
    <t xml:space="preserve">DAHL</t>
  </si>
  <si>
    <t xml:space="preserve">JASMIN</t>
  </si>
  <si>
    <t xml:space="preserve">1981-07-25</t>
  </si>
  <si>
    <t xml:space="preserve">159 LINDEN AVE SE</t>
  </si>
  <si>
    <t xml:space="preserve">OH0024623842</t>
  </si>
  <si>
    <t xml:space="preserve">MOBLEY</t>
  </si>
  <si>
    <t xml:space="preserve">1977-02-23</t>
  </si>
  <si>
    <t xml:space="preserve">2018-04-26</t>
  </si>
  <si>
    <t xml:space="preserve">169 LINDEN AVE SE</t>
  </si>
  <si>
    <t xml:space="preserve">OH0020790903</t>
  </si>
  <si>
    <t xml:space="preserve">HARTMAN</t>
  </si>
  <si>
    <t xml:space="preserve">1987-07-08</t>
  </si>
  <si>
    <t xml:space="preserve">176 LINDEN AVE SE</t>
  </si>
  <si>
    <t xml:space="preserve">OH0015717929</t>
  </si>
  <si>
    <t xml:space="preserve">BAYLEY</t>
  </si>
  <si>
    <t xml:space="preserve">1986-01-31</t>
  </si>
  <si>
    <t xml:space="preserve">OH0015796929</t>
  </si>
  <si>
    <t xml:space="preserve">1932-12-08</t>
  </si>
  <si>
    <t xml:space="preserve">187 LINDEN AVE SE</t>
  </si>
  <si>
    <t xml:space="preserve">OH0015811626</t>
  </si>
  <si>
    <t xml:space="preserve">1962-09-09</t>
  </si>
  <si>
    <t xml:space="preserve">OH0027584432</t>
  </si>
  <si>
    <t xml:space="preserve">HUEY</t>
  </si>
  <si>
    <t xml:space="preserve">1989-08-11</t>
  </si>
  <si>
    <t xml:space="preserve">194 LINDEN AVE SE</t>
  </si>
  <si>
    <t xml:space="preserve">OH0023719132</t>
  </si>
  <si>
    <t xml:space="preserve">LAMB</t>
  </si>
  <si>
    <t xml:space="preserve">1997-11-10</t>
  </si>
  <si>
    <t xml:space="preserve">OH0018616226</t>
  </si>
  <si>
    <t xml:space="preserve">1972-01-31</t>
  </si>
  <si>
    <t xml:space="preserve">2016-06-27</t>
  </si>
  <si>
    <t xml:space="preserve">222 LINDEN AVE SE</t>
  </si>
  <si>
    <t xml:space="preserve">OH0025091975</t>
  </si>
  <si>
    <t xml:space="preserve">RIGGS</t>
  </si>
  <si>
    <t xml:space="preserve">ANGEL</t>
  </si>
  <si>
    <t xml:space="preserve">1999-04-05</t>
  </si>
  <si>
    <t xml:space="preserve">2019-04-17</t>
  </si>
  <si>
    <t xml:space="preserve">230 LINDEN AVE SE</t>
  </si>
  <si>
    <t xml:space="preserve">OH0027857502</t>
  </si>
  <si>
    <t xml:space="preserve">GWINN</t>
  </si>
  <si>
    <t xml:space="preserve">1998-12-11</t>
  </si>
  <si>
    <t xml:space="preserve">239 LINDEN AVE SE</t>
  </si>
  <si>
    <t xml:space="preserve">OH0027686307</t>
  </si>
  <si>
    <t xml:space="preserve">1971-06-07</t>
  </si>
  <si>
    <t xml:space="preserve">OH0015738027</t>
  </si>
  <si>
    <t xml:space="preserve">1958-11-20</t>
  </si>
  <si>
    <t xml:space="preserve">2024-08-03</t>
  </si>
  <si>
    <t xml:space="preserve">124 LOGAN AVE NE</t>
  </si>
  <si>
    <t xml:space="preserve">OH0025057676</t>
  </si>
  <si>
    <t xml:space="preserve">MERREL</t>
  </si>
  <si>
    <t xml:space="preserve">2000-12-11</t>
  </si>
  <si>
    <t xml:space="preserve">2024-12-17</t>
  </si>
  <si>
    <t xml:space="preserve">OH0024503788</t>
  </si>
  <si>
    <t xml:space="preserve">1982-01-25</t>
  </si>
  <si>
    <t xml:space="preserve">2018-02-08</t>
  </si>
  <si>
    <t xml:space="preserve">OH0026531805</t>
  </si>
  <si>
    <t xml:space="preserve">PENWELL</t>
  </si>
  <si>
    <t xml:space="preserve">1992-08-24</t>
  </si>
  <si>
    <t xml:space="preserve">2022-05-11</t>
  </si>
  <si>
    <t xml:space="preserve">OH0015722918</t>
  </si>
  <si>
    <t xml:space="preserve">SOLES</t>
  </si>
  <si>
    <t xml:space="preserve">1961-03-30</t>
  </si>
  <si>
    <t xml:space="preserve">2024-03-05</t>
  </si>
  <si>
    <t xml:space="preserve">OH0026262791</t>
  </si>
  <si>
    <t xml:space="preserve">BECKSTINE</t>
  </si>
  <si>
    <t xml:space="preserve">LUCAS</t>
  </si>
  <si>
    <t xml:space="preserve">2003-08-09</t>
  </si>
  <si>
    <t xml:space="preserve">2024-08-31</t>
  </si>
  <si>
    <t xml:space="preserve">OH0015745835</t>
  </si>
  <si>
    <t xml:space="preserve">1972-10-17</t>
  </si>
  <si>
    <t xml:space="preserve">2018-08-07</t>
  </si>
  <si>
    <t xml:space="preserve">OH0021415253</t>
  </si>
  <si>
    <t xml:space="preserve">NIEMI</t>
  </si>
  <si>
    <t xml:space="preserve">1950-06-04</t>
  </si>
  <si>
    <t xml:space="preserve">2011-05-28</t>
  </si>
  <si>
    <t xml:space="preserve">146 LOGAN AVE NE</t>
  </si>
  <si>
    <t xml:space="preserve">OH0015722339</t>
  </si>
  <si>
    <t xml:space="preserve">1950-11-29</t>
  </si>
  <si>
    <t xml:space="preserve">1988-04-04</t>
  </si>
  <si>
    <t xml:space="preserve">OH0027578042</t>
  </si>
  <si>
    <t xml:space="preserve">ALEXIA</t>
  </si>
  <si>
    <t xml:space="preserve">1983-05-05</t>
  </si>
  <si>
    <t xml:space="preserve">149 LOGAN AVE NE</t>
  </si>
  <si>
    <t xml:space="preserve">OH0027668683</t>
  </si>
  <si>
    <t xml:space="preserve">BURGER</t>
  </si>
  <si>
    <t xml:space="preserve">VON</t>
  </si>
  <si>
    <t xml:space="preserve">1966-09-26</t>
  </si>
  <si>
    <t xml:space="preserve">156 LOGAN AVE NE</t>
  </si>
  <si>
    <t xml:space="preserve">OH0027355739</t>
  </si>
  <si>
    <t xml:space="preserve">YINGLING</t>
  </si>
  <si>
    <t xml:space="preserve">PAYTON</t>
  </si>
  <si>
    <t xml:space="preserve">1996-04-13</t>
  </si>
  <si>
    <t xml:space="preserve">2024-05-25</t>
  </si>
  <si>
    <t xml:space="preserve">168 LOGAN AVE NE</t>
  </si>
  <si>
    <t xml:space="preserve">OH0027889909</t>
  </si>
  <si>
    <t xml:space="preserve">MEALY</t>
  </si>
  <si>
    <t xml:space="preserve">1990-01-18</t>
  </si>
  <si>
    <t xml:space="preserve">2025-01-29</t>
  </si>
  <si>
    <t xml:space="preserve">169 LOGAN AVE NE</t>
  </si>
  <si>
    <t xml:space="preserve">OH0023775912</t>
  </si>
  <si>
    <t xml:space="preserve">1965-05-12</t>
  </si>
  <si>
    <t xml:space="preserve">OH0020972643</t>
  </si>
  <si>
    <t xml:space="preserve">1986-11-09</t>
  </si>
  <si>
    <t xml:space="preserve">OH0025409941</t>
  </si>
  <si>
    <t xml:space="preserve">1961-02-22</t>
  </si>
  <si>
    <t xml:space="preserve">OH0015726642</t>
  </si>
  <si>
    <t xml:space="preserve">BUCCI</t>
  </si>
  <si>
    <t xml:space="preserve">1959-04-01</t>
  </si>
  <si>
    <t xml:space="preserve">176 LOGAN AVE NE</t>
  </si>
  <si>
    <t xml:space="preserve">OH0022208449</t>
  </si>
  <si>
    <t xml:space="preserve">1987-03-21</t>
  </si>
  <si>
    <t xml:space="preserve">178 LOGAN AVE NE</t>
  </si>
  <si>
    <t xml:space="preserve">OH0020291538</t>
  </si>
  <si>
    <t xml:space="preserve">REDMOND</t>
  </si>
  <si>
    <t xml:space="preserve">1980-10-31</t>
  </si>
  <si>
    <t xml:space="preserve">2018-10-20</t>
  </si>
  <si>
    <t xml:space="preserve">179 LOGAN AVE NE</t>
  </si>
  <si>
    <t xml:space="preserve">OH0025387296</t>
  </si>
  <si>
    <t xml:space="preserve">CHEYANNE</t>
  </si>
  <si>
    <t xml:space="preserve">2002-01-09</t>
  </si>
  <si>
    <t xml:space="preserve">OH0027751087</t>
  </si>
  <si>
    <t xml:space="preserve">KIRBY</t>
  </si>
  <si>
    <t xml:space="preserve">KARI</t>
  </si>
  <si>
    <t xml:space="preserve">1992-01-27</t>
  </si>
  <si>
    <t xml:space="preserve">188 LOGAN AVE NE</t>
  </si>
  <si>
    <t xml:space="preserve">OH0027751070</t>
  </si>
  <si>
    <t xml:space="preserve">OH0024479237</t>
  </si>
  <si>
    <t xml:space="preserve">DALLAS</t>
  </si>
  <si>
    <t xml:space="preserve">1977-12-24</t>
  </si>
  <si>
    <t xml:space="preserve">189 LOGAN AVE NE</t>
  </si>
  <si>
    <t xml:space="preserve">OH0026905152</t>
  </si>
  <si>
    <t xml:space="preserve">KEEN</t>
  </si>
  <si>
    <t xml:space="preserve">1991-07-15</t>
  </si>
  <si>
    <t xml:space="preserve">OH0019557801</t>
  </si>
  <si>
    <t xml:space="preserve">HEAVENLY</t>
  </si>
  <si>
    <t xml:space="preserve">2013-07-17</t>
  </si>
  <si>
    <t xml:space="preserve">OH0019557798</t>
  </si>
  <si>
    <t xml:space="preserve">1967-04-12</t>
  </si>
  <si>
    <t xml:space="preserve">2012-10-29</t>
  </si>
  <si>
    <t xml:space="preserve">OH0018589407</t>
  </si>
  <si>
    <t xml:space="preserve">SOPHIA</t>
  </si>
  <si>
    <t xml:space="preserve">1941-01-24</t>
  </si>
  <si>
    <t xml:space="preserve">OH0015726879</t>
  </si>
  <si>
    <t xml:space="preserve">ZIMMERMAN</t>
  </si>
  <si>
    <t xml:space="preserve">NORA</t>
  </si>
  <si>
    <t xml:space="preserve">1960-11-11</t>
  </si>
  <si>
    <t xml:space="preserve">312 LOGAN AVE NE</t>
  </si>
  <si>
    <t xml:space="preserve">OH0023640089</t>
  </si>
  <si>
    <t xml:space="preserve">1997-05-13</t>
  </si>
  <si>
    <t xml:space="preserve">OH0021759215</t>
  </si>
  <si>
    <t xml:space="preserve">1993-02-27</t>
  </si>
  <si>
    <t xml:space="preserve">318 LOGAN AVE NE</t>
  </si>
  <si>
    <t xml:space="preserve">OH0015803806</t>
  </si>
  <si>
    <t xml:space="preserve">ASBURY</t>
  </si>
  <si>
    <t xml:space="preserve">1976-08-28</t>
  </si>
  <si>
    <t xml:space="preserve">2011-05-27</t>
  </si>
  <si>
    <t xml:space="preserve">322 LOGAN AVE NE</t>
  </si>
  <si>
    <t xml:space="preserve">OH0022573906</t>
  </si>
  <si>
    <t xml:space="preserve">SARAFINA</t>
  </si>
  <si>
    <t xml:space="preserve">SAMONA</t>
  </si>
  <si>
    <t xml:space="preserve">1995-01-24</t>
  </si>
  <si>
    <t xml:space="preserve">OH0018855150</t>
  </si>
  <si>
    <t xml:space="preserve">1984-02-16</t>
  </si>
  <si>
    <t xml:space="preserve">330 LOGAN AVE NE</t>
  </si>
  <si>
    <t xml:space="preserve">OH0015719821</t>
  </si>
  <si>
    <t xml:space="preserve">ESAU</t>
  </si>
  <si>
    <t xml:space="preserve">1963-12-03</t>
  </si>
  <si>
    <t xml:space="preserve">2019-05-10</t>
  </si>
  <si>
    <t xml:space="preserve">OH0020790088</t>
  </si>
  <si>
    <t xml:space="preserve">1975-06-02</t>
  </si>
  <si>
    <t xml:space="preserve">2017-07-14</t>
  </si>
  <si>
    <t xml:space="preserve">406 LOGAN AVE NE</t>
  </si>
  <si>
    <t xml:space="preserve">OH0025116667</t>
  </si>
  <si>
    <t xml:space="preserve">ALBANI</t>
  </si>
  <si>
    <t xml:space="preserve">1986-05-17</t>
  </si>
  <si>
    <t xml:space="preserve">409 LOGAN AVE NE</t>
  </si>
  <si>
    <t xml:space="preserve">OH0025781493</t>
  </si>
  <si>
    <t xml:space="preserve">TREHARN</t>
  </si>
  <si>
    <t xml:space="preserve">1952-02-13</t>
  </si>
  <si>
    <t xml:space="preserve">417 LOGAN AVE NE</t>
  </si>
  <si>
    <t xml:space="preserve">OH0027839644</t>
  </si>
  <si>
    <t xml:space="preserve">BILL</t>
  </si>
  <si>
    <t xml:space="preserve">2002-11-27</t>
  </si>
  <si>
    <t xml:space="preserve">2024-11-21</t>
  </si>
  <si>
    <t xml:space="preserve">433 LOGAN AVE NE</t>
  </si>
  <si>
    <t xml:space="preserve">OH0023845107</t>
  </si>
  <si>
    <t xml:space="preserve">1998-01-26</t>
  </si>
  <si>
    <t xml:space="preserve">439 LOGAN AVE NE</t>
  </si>
  <si>
    <t xml:space="preserve">OH0025317552</t>
  </si>
  <si>
    <t xml:space="preserve">KERCHOFER</t>
  </si>
  <si>
    <t xml:space="preserve">1967-05-30</t>
  </si>
  <si>
    <t xml:space="preserve">2019-10-29</t>
  </si>
  <si>
    <t xml:space="preserve">115 LOGAN AVE SE</t>
  </si>
  <si>
    <t xml:space="preserve">OH0015742580</t>
  </si>
  <si>
    <t xml:space="preserve">WAYBRIGHT</t>
  </si>
  <si>
    <t xml:space="preserve">PAULETTE</t>
  </si>
  <si>
    <t xml:space="preserve">1983-01-27</t>
  </si>
  <si>
    <t xml:space="preserve">117 LOGAN AVE SE</t>
  </si>
  <si>
    <t xml:space="preserve">OH0025336539</t>
  </si>
  <si>
    <t xml:space="preserve">CONWAY</t>
  </si>
  <si>
    <t xml:space="preserve">1987-08-05</t>
  </si>
  <si>
    <t xml:space="preserve">2019-12-26</t>
  </si>
  <si>
    <t xml:space="preserve">119 LOGAN AVE SE</t>
  </si>
  <si>
    <t xml:space="preserve">OH0023311273</t>
  </si>
  <si>
    <t xml:space="preserve">123 LOGAN AVE SE</t>
  </si>
  <si>
    <t xml:space="preserve">OH0019791972</t>
  </si>
  <si>
    <t xml:space="preserve">SHETTERLY</t>
  </si>
  <si>
    <t xml:space="preserve">1990-04-29</t>
  </si>
  <si>
    <t xml:space="preserve">2021-02-26</t>
  </si>
  <si>
    <t xml:space="preserve">133 LOGAN AVE SE</t>
  </si>
  <si>
    <t xml:space="preserve">OH0015704348</t>
  </si>
  <si>
    <t xml:space="preserve">1966-09-24</t>
  </si>
  <si>
    <t xml:space="preserve">2021-03-11</t>
  </si>
  <si>
    <t xml:space="preserve">OH0023628495</t>
  </si>
  <si>
    <t xml:space="preserve">1997-08-04</t>
  </si>
  <si>
    <t xml:space="preserve">140 LOGAN AVE SE</t>
  </si>
  <si>
    <t xml:space="preserve">OH0024822026</t>
  </si>
  <si>
    <t xml:space="preserve">KOBLE</t>
  </si>
  <si>
    <t xml:space="preserve">1964-11-17</t>
  </si>
  <si>
    <t xml:space="preserve">2018-09-26</t>
  </si>
  <si>
    <t xml:space="preserve">OH0015758906</t>
  </si>
  <si>
    <t xml:space="preserve">NICHOLL</t>
  </si>
  <si>
    <t xml:space="preserve">1974-03-20</t>
  </si>
  <si>
    <t xml:space="preserve">2015-07-21</t>
  </si>
  <si>
    <t xml:space="preserve">157 LOGAN AVE SE</t>
  </si>
  <si>
    <t xml:space="preserve">OH0022734574</t>
  </si>
  <si>
    <t xml:space="preserve">1996-03-20</t>
  </si>
  <si>
    <t xml:space="preserve">2014-03-26</t>
  </si>
  <si>
    <t xml:space="preserve">OH0023081682</t>
  </si>
  <si>
    <t xml:space="preserve">DICKENS</t>
  </si>
  <si>
    <t xml:space="preserve">1997-06-01</t>
  </si>
  <si>
    <t xml:space="preserve">2023-04-07</t>
  </si>
  <si>
    <t xml:space="preserve">166 LOGAN AVE SE</t>
  </si>
  <si>
    <t xml:space="preserve">OH0023323966</t>
  </si>
  <si>
    <t xml:space="preserve">COX</t>
  </si>
  <si>
    <t xml:space="preserve">1994-07-27</t>
  </si>
  <si>
    <t xml:space="preserve">172 LOGAN AVE SE</t>
  </si>
  <si>
    <t xml:space="preserve">OH0022882244</t>
  </si>
  <si>
    <t xml:space="preserve">1996-08-07</t>
  </si>
  <si>
    <t xml:space="preserve">2019-04-23</t>
  </si>
  <si>
    <t xml:space="preserve">176 LOGAN AVE SE</t>
  </si>
  <si>
    <t xml:space="preserve">OH0020626802</t>
  </si>
  <si>
    <t xml:space="preserve">SPEARE</t>
  </si>
  <si>
    <t xml:space="preserve">1989-04-22</t>
  </si>
  <si>
    <t xml:space="preserve">177 LOGAN AVE SE</t>
  </si>
  <si>
    <t xml:space="preserve">OH0020061785</t>
  </si>
  <si>
    <t xml:space="preserve">CASTERLINE</t>
  </si>
  <si>
    <t xml:space="preserve">1985-08-18</t>
  </si>
  <si>
    <t xml:space="preserve">2022-09-16</t>
  </si>
  <si>
    <t xml:space="preserve">OH0023150571</t>
  </si>
  <si>
    <t xml:space="preserve">1984-01-09</t>
  </si>
  <si>
    <t xml:space="preserve">2015-05-07</t>
  </si>
  <si>
    <t xml:space="preserve">OH0015694003</t>
  </si>
  <si>
    <t xml:space="preserve">1960-12-17</t>
  </si>
  <si>
    <t xml:space="preserve">2000-03-07</t>
  </si>
  <si>
    <t xml:space="preserve">OH0015818091</t>
  </si>
  <si>
    <t xml:space="preserve">1962-12-23</t>
  </si>
  <si>
    <t xml:space="preserve">1996-10-01</t>
  </si>
  <si>
    <t xml:space="preserve">OH0024248014</t>
  </si>
  <si>
    <t xml:space="preserve">EVANELDE</t>
  </si>
  <si>
    <t xml:space="preserve">1969-06-09</t>
  </si>
  <si>
    <t xml:space="preserve">2017-03-24</t>
  </si>
  <si>
    <t xml:space="preserve">197 LOGAN AVE SE</t>
  </si>
  <si>
    <t xml:space="preserve">OH0015692442</t>
  </si>
  <si>
    <t xml:space="preserve">1959-08-20</t>
  </si>
  <si>
    <t xml:space="preserve">2010-05-04</t>
  </si>
  <si>
    <t xml:space="preserve">OH0022904153</t>
  </si>
  <si>
    <t xml:space="preserve">MACKELLAR</t>
  </si>
  <si>
    <t xml:space="preserve">1996-05-02</t>
  </si>
  <si>
    <t xml:space="preserve">206 LOGAN AVE SE</t>
  </si>
  <si>
    <t xml:space="preserve">OH0023908565</t>
  </si>
  <si>
    <t xml:space="preserve">DEVALL</t>
  </si>
  <si>
    <t xml:space="preserve">1957-11-12</t>
  </si>
  <si>
    <t xml:space="preserve">207 LOGAN AVE SE</t>
  </si>
  <si>
    <t xml:space="preserve">OH0018597452</t>
  </si>
  <si>
    <t xml:space="preserve">COWGER</t>
  </si>
  <si>
    <t xml:space="preserve">SHERYL</t>
  </si>
  <si>
    <t xml:space="preserve">1956-04-29</t>
  </si>
  <si>
    <t xml:space="preserve">OH0023048206</t>
  </si>
  <si>
    <t xml:space="preserve">AIKINS</t>
  </si>
  <si>
    <t xml:space="preserve">1997-01-22</t>
  </si>
  <si>
    <t xml:space="preserve">OH0021700268</t>
  </si>
  <si>
    <t xml:space="preserve">ENGLISH</t>
  </si>
  <si>
    <t xml:space="preserve">ALEXA</t>
  </si>
  <si>
    <t xml:space="preserve">1993-06-25</t>
  </si>
  <si>
    <t xml:space="preserve">216 LOGAN AVE SE</t>
  </si>
  <si>
    <t xml:space="preserve">OH0020315145</t>
  </si>
  <si>
    <t xml:space="preserve">HAUGHT</t>
  </si>
  <si>
    <t xml:space="preserve">2020-08-14</t>
  </si>
  <si>
    <t xml:space="preserve">217 LOGAN AVE SE</t>
  </si>
  <si>
    <t xml:space="preserve">OH0019772560</t>
  </si>
  <si>
    <t xml:space="preserve">1989-11-29</t>
  </si>
  <si>
    <t xml:space="preserve">OH0015692397</t>
  </si>
  <si>
    <t xml:space="preserve">GILL</t>
  </si>
  <si>
    <t xml:space="preserve">1942-10-03</t>
  </si>
  <si>
    <t xml:space="preserve">1976-05-10</t>
  </si>
  <si>
    <t xml:space="preserve">225 LOGAN AVE SE</t>
  </si>
  <si>
    <t xml:space="preserve">OH0015692374</t>
  </si>
  <si>
    <t xml:space="preserve">1946-10-07</t>
  </si>
  <si>
    <t xml:space="preserve">1975-02-26</t>
  </si>
  <si>
    <t xml:space="preserve">OH0024210605</t>
  </si>
  <si>
    <t xml:space="preserve">MITTELSTADT</t>
  </si>
  <si>
    <t xml:space="preserve">1997-11-03</t>
  </si>
  <si>
    <t xml:space="preserve">2017-01-19</t>
  </si>
  <si>
    <t xml:space="preserve">234 LOGAN AVE SE</t>
  </si>
  <si>
    <t xml:space="preserve">OH0015733828</t>
  </si>
  <si>
    <t xml:space="preserve">STARKEY</t>
  </si>
  <si>
    <t xml:space="preserve">1965-04-23</t>
  </si>
  <si>
    <t xml:space="preserve">OH0024248642</t>
  </si>
  <si>
    <t xml:space="preserve">BEE</t>
  </si>
  <si>
    <t xml:space="preserve">1983-09-14</t>
  </si>
  <si>
    <t xml:space="preserve">243 LOGAN AVE SE</t>
  </si>
  <si>
    <t xml:space="preserve">OH0018583276</t>
  </si>
  <si>
    <t xml:space="preserve">MARILYN</t>
  </si>
  <si>
    <t xml:space="preserve">1954-07-11</t>
  </si>
  <si>
    <t xml:space="preserve">OH0025383712</t>
  </si>
  <si>
    <t xml:space="preserve">WILLRICH</t>
  </si>
  <si>
    <t xml:space="preserve">BETH</t>
  </si>
  <si>
    <t xml:space="preserve">1969-09-24</t>
  </si>
  <si>
    <t xml:space="preserve">2020-01-22</t>
  </si>
  <si>
    <t xml:space="preserve">318 LOGAN AVE SE</t>
  </si>
  <si>
    <t xml:space="preserve">OH0015766539</t>
  </si>
  <si>
    <t xml:space="preserve">ADOVASIO</t>
  </si>
  <si>
    <t xml:space="preserve">1955-07-24</t>
  </si>
  <si>
    <t xml:space="preserve">2017-03-02</t>
  </si>
  <si>
    <t xml:space="preserve">OH0015744407</t>
  </si>
  <si>
    <t xml:space="preserve">DIXON</t>
  </si>
  <si>
    <t xml:space="preserve">BRUCE</t>
  </si>
  <si>
    <t xml:space="preserve">1986-02-02</t>
  </si>
  <si>
    <t xml:space="preserve">OH0025217203</t>
  </si>
  <si>
    <t xml:space="preserve">TAYALA</t>
  </si>
  <si>
    <t xml:space="preserve">ROXANNE</t>
  </si>
  <si>
    <t xml:space="preserve">1963-03-18</t>
  </si>
  <si>
    <t xml:space="preserve">335 LOGAN AVE SE</t>
  </si>
  <si>
    <t xml:space="preserve">OH0023974959</t>
  </si>
  <si>
    <t xml:space="preserve">HERNANDEZ</t>
  </si>
  <si>
    <t xml:space="preserve">1998-09-02</t>
  </si>
  <si>
    <t xml:space="preserve">2025-01-13</t>
  </si>
  <si>
    <t xml:space="preserve">341 LOGAN AVE SE</t>
  </si>
  <si>
    <t xml:space="preserve">OH0025097053</t>
  </si>
  <si>
    <t xml:space="preserve">TIAWNA</t>
  </si>
  <si>
    <t xml:space="preserve">1997-07-19</t>
  </si>
  <si>
    <t xml:space="preserve">2019-08-08</t>
  </si>
  <si>
    <t xml:space="preserve">216 LOWELL AVE NE</t>
  </si>
  <si>
    <t xml:space="preserve">OH0015709303</t>
  </si>
  <si>
    <t xml:space="preserve">1947-06-10</t>
  </si>
  <si>
    <t xml:space="preserve">2014-05-10</t>
  </si>
  <si>
    <t xml:space="preserve">226 LOWELL AVE NE</t>
  </si>
  <si>
    <t xml:space="preserve">OH0018755437</t>
  </si>
  <si>
    <t xml:space="preserve">FOOS MERWIN</t>
  </si>
  <si>
    <t xml:space="preserve">1952-12-26</t>
  </si>
  <si>
    <t xml:space="preserve">2006-05-04</t>
  </si>
  <si>
    <t xml:space="preserve">236 LOWELL AVE NE</t>
  </si>
  <si>
    <t xml:space="preserve">OH0027501371</t>
  </si>
  <si>
    <t xml:space="preserve">VAUGHT</t>
  </si>
  <si>
    <t xml:space="preserve">DANNY</t>
  </si>
  <si>
    <t xml:space="preserve">1952-12-05</t>
  </si>
  <si>
    <t xml:space="preserve">243 LOWELL AVE NE</t>
  </si>
  <si>
    <t xml:space="preserve">OH0022302265</t>
  </si>
  <si>
    <t xml:space="preserve">1978-01-10</t>
  </si>
  <si>
    <t xml:space="preserve">2024-09-19</t>
  </si>
  <si>
    <t xml:space="preserve">OH0023149319</t>
  </si>
  <si>
    <t xml:space="preserve">SHAANIQA</t>
  </si>
  <si>
    <t xml:space="preserve">1996-11-09</t>
  </si>
  <si>
    <t xml:space="preserve">2015-06-15</t>
  </si>
  <si>
    <t xml:space="preserve">OH0021884659</t>
  </si>
  <si>
    <t xml:space="preserve">1978-05-08</t>
  </si>
  <si>
    <t xml:space="preserve">2023-07-22</t>
  </si>
  <si>
    <t xml:space="preserve">OH0027271131</t>
  </si>
  <si>
    <t xml:space="preserve">STOCKETT</t>
  </si>
  <si>
    <t xml:space="preserve">2024-02-22</t>
  </si>
  <si>
    <t xml:space="preserve">246 LOWELL AVE NE</t>
  </si>
  <si>
    <t xml:space="preserve">OH0015694714</t>
  </si>
  <si>
    <t xml:space="preserve">ROSENTHAL</t>
  </si>
  <si>
    <t xml:space="preserve">JACON</t>
  </si>
  <si>
    <t xml:space="preserve">1944-02-16</t>
  </si>
  <si>
    <t xml:space="preserve">1965-05-25</t>
  </si>
  <si>
    <t xml:space="preserve">253 LOWELL AVE NE</t>
  </si>
  <si>
    <t xml:space="preserve">OH0015694826</t>
  </si>
  <si>
    <t xml:space="preserve">THEMISTOCLES</t>
  </si>
  <si>
    <t xml:space="preserve">1953-05-31</t>
  </si>
  <si>
    <t xml:space="preserve">2024-05-20</t>
  </si>
  <si>
    <t xml:space="preserve">263 LOWELL AVE NE</t>
  </si>
  <si>
    <t xml:space="preserve">OH0019264460</t>
  </si>
  <si>
    <t xml:space="preserve">VAUGHN</t>
  </si>
  <si>
    <t xml:space="preserve">1989-09-08</t>
  </si>
  <si>
    <t xml:space="preserve">2022-09-20</t>
  </si>
  <si>
    <t xml:space="preserve">276 LOWELL AVE NE</t>
  </si>
  <si>
    <t xml:space="preserve">OH0023148790</t>
  </si>
  <si>
    <t xml:space="preserve">RONDA</t>
  </si>
  <si>
    <t xml:space="preserve">2015-05-08</t>
  </si>
  <si>
    <t xml:space="preserve">OH0018749432</t>
  </si>
  <si>
    <t xml:space="preserve">HUFFMAN</t>
  </si>
  <si>
    <t xml:space="preserve">1978-05-09</t>
  </si>
  <si>
    <t xml:space="preserve">283 LOWELL AVE NE</t>
  </si>
  <si>
    <t xml:space="preserve">OH0020639570</t>
  </si>
  <si>
    <t xml:space="preserve">1982-08-25</t>
  </si>
  <si>
    <t xml:space="preserve">2009-05-03</t>
  </si>
  <si>
    <t xml:space="preserve">OH0023016301</t>
  </si>
  <si>
    <t xml:space="preserve">MOLLY</t>
  </si>
  <si>
    <t xml:space="preserve">1981-10-15</t>
  </si>
  <si>
    <t xml:space="preserve">2023-01-24</t>
  </si>
  <si>
    <t xml:space="preserve">286 LOWELL AVE NE</t>
  </si>
  <si>
    <t xml:space="preserve">OH0025174683</t>
  </si>
  <si>
    <t xml:space="preserve">ELLIOT</t>
  </si>
  <si>
    <t xml:space="preserve">2001-01-17</t>
  </si>
  <si>
    <t xml:space="preserve">OH0026154871</t>
  </si>
  <si>
    <t xml:space="preserve">LOATMAN</t>
  </si>
  <si>
    <t xml:space="preserve">1973-03-28</t>
  </si>
  <si>
    <t xml:space="preserve">2023-03-23</t>
  </si>
  <si>
    <t xml:space="preserve">304 LOWELL AVE NE</t>
  </si>
  <si>
    <t xml:space="preserve">OH0026908827</t>
  </si>
  <si>
    <t xml:space="preserve">BM</t>
  </si>
  <si>
    <t xml:space="preserve">2004-03-06</t>
  </si>
  <si>
    <t xml:space="preserve">2023-06-03</t>
  </si>
  <si>
    <t xml:space="preserve">OH0026844841</t>
  </si>
  <si>
    <t xml:space="preserve">FERRER</t>
  </si>
  <si>
    <t xml:space="preserve">TIRON</t>
  </si>
  <si>
    <t xml:space="preserve">1999-10-04</t>
  </si>
  <si>
    <t xml:space="preserve">2023-03-13</t>
  </si>
  <si>
    <t xml:space="preserve">OH0026509354</t>
  </si>
  <si>
    <t xml:space="preserve">1965-11-12</t>
  </si>
  <si>
    <t xml:space="preserve">OH0020538671</t>
  </si>
  <si>
    <t xml:space="preserve">LEPOLA</t>
  </si>
  <si>
    <t xml:space="preserve">1965-01-28</t>
  </si>
  <si>
    <t xml:space="preserve">2010-08-19</t>
  </si>
  <si>
    <t xml:space="preserve">314 LOWELL AVE NE</t>
  </si>
  <si>
    <t xml:space="preserve">OH0015809726</t>
  </si>
  <si>
    <t xml:space="preserve">1968-03-10</t>
  </si>
  <si>
    <t xml:space="preserve">1995-03-29</t>
  </si>
  <si>
    <t xml:space="preserve">334 LOWELL AVE NE</t>
  </si>
  <si>
    <t xml:space="preserve">OH0024800363</t>
  </si>
  <si>
    <t xml:space="preserve">1998-04-13</t>
  </si>
  <si>
    <t xml:space="preserve">2020-02-07</t>
  </si>
  <si>
    <t xml:space="preserve">OH0015821509</t>
  </si>
  <si>
    <t xml:space="preserve">1966-12-01</t>
  </si>
  <si>
    <t xml:space="preserve">1997-10-03</t>
  </si>
  <si>
    <t xml:space="preserve">OH0023442301</t>
  </si>
  <si>
    <t xml:space="preserve">BOWER</t>
  </si>
  <si>
    <t xml:space="preserve">1996-01-03</t>
  </si>
  <si>
    <t xml:space="preserve">2024-11-08</t>
  </si>
  <si>
    <t xml:space="preserve">OH0023821325</t>
  </si>
  <si>
    <t xml:space="preserve">1998-03-05</t>
  </si>
  <si>
    <t xml:space="preserve">2019-10-03</t>
  </si>
  <si>
    <t xml:space="preserve">342 MAHONING AVE NW</t>
  </si>
  <si>
    <t xml:space="preserve">OH0024169927</t>
  </si>
  <si>
    <t xml:space="preserve">1987-10-20</t>
  </si>
  <si>
    <t xml:space="preserve">2016-10-19</t>
  </si>
  <si>
    <t xml:space="preserve">APT D</t>
  </si>
  <si>
    <t xml:space="preserve">OH0021211369</t>
  </si>
  <si>
    <t xml:space="preserve">TURSACK</t>
  </si>
  <si>
    <t xml:space="preserve">KILYI</t>
  </si>
  <si>
    <t xml:space="preserve">JONAE</t>
  </si>
  <si>
    <t xml:space="preserve">1992-09-02</t>
  </si>
  <si>
    <t xml:space="preserve">2023-03-01</t>
  </si>
  <si>
    <t xml:space="preserve">APT C</t>
  </si>
  <si>
    <t xml:space="preserve">OH0023451582</t>
  </si>
  <si>
    <t xml:space="preserve">FINEGAN</t>
  </si>
  <si>
    <t xml:space="preserve">SEBASTIAN</t>
  </si>
  <si>
    <t xml:space="preserve">KLEMENS</t>
  </si>
  <si>
    <t xml:space="preserve">1995-11-10</t>
  </si>
  <si>
    <t xml:space="preserve">2018-05-11</t>
  </si>
  <si>
    <t xml:space="preserve">OH0015675187</t>
  </si>
  <si>
    <t xml:space="preserve">SUZANNE</t>
  </si>
  <si>
    <t xml:space="preserve">1951-01-27</t>
  </si>
  <si>
    <t xml:space="preserve">2013-08-09</t>
  </si>
  <si>
    <t xml:space="preserve">352 MAHONING AVE NW</t>
  </si>
  <si>
    <t xml:space="preserve">OH0019242278</t>
  </si>
  <si>
    <t xml:space="preserve">TREMSYN</t>
  </si>
  <si>
    <t xml:space="preserve">1951-08-30</t>
  </si>
  <si>
    <t xml:space="preserve">2009-08-19</t>
  </si>
  <si>
    <t xml:space="preserve">366 MAHONING AVE NW</t>
  </si>
  <si>
    <t xml:space="preserve">OH0022776945</t>
  </si>
  <si>
    <t xml:space="preserve">SEARLES</t>
  </si>
  <si>
    <t xml:space="preserve">1963-06-18</t>
  </si>
  <si>
    <t xml:space="preserve">2018-08-08</t>
  </si>
  <si>
    <t xml:space="preserve">302 MAHONING CT NW</t>
  </si>
  <si>
    <t xml:space="preserve">OH0025863915</t>
  </si>
  <si>
    <t xml:space="preserve">ALLAN</t>
  </si>
  <si>
    <t xml:space="preserve">1969-12-13</t>
  </si>
  <si>
    <t xml:space="preserve">OH0025948949</t>
  </si>
  <si>
    <t xml:space="preserve">WREN</t>
  </si>
  <si>
    <t xml:space="preserve">RAECHEL</t>
  </si>
  <si>
    <t xml:space="preserve">1987-10-22</t>
  </si>
  <si>
    <t xml:space="preserve">1032 MCKINLEY ST NE</t>
  </si>
  <si>
    <t xml:space="preserve">OH0026384352</t>
  </si>
  <si>
    <t xml:space="preserve">BAUM</t>
  </si>
  <si>
    <t xml:space="preserve">1969-05-13</t>
  </si>
  <si>
    <t xml:space="preserve">2022-01-03</t>
  </si>
  <si>
    <t xml:space="preserve">OH0024095323</t>
  </si>
  <si>
    <t xml:space="preserve">ROUNDS</t>
  </si>
  <si>
    <t xml:space="preserve">1998-09-05</t>
  </si>
  <si>
    <t xml:space="preserve">2025-03-05</t>
  </si>
  <si>
    <t xml:space="preserve">OH0022437020</t>
  </si>
  <si>
    <t xml:space="preserve">1991-12-18</t>
  </si>
  <si>
    <t xml:space="preserve">2024-09-28</t>
  </si>
  <si>
    <t xml:space="preserve">1041 MCKINLEY ST NE</t>
  </si>
  <si>
    <t xml:space="preserve">OH0015813987</t>
  </si>
  <si>
    <t xml:space="preserve">WAJDA</t>
  </si>
  <si>
    <t xml:space="preserve">1959-08-27</t>
  </si>
  <si>
    <t xml:space="preserve">2001-06-18</t>
  </si>
  <si>
    <t xml:space="preserve">1042 MCKINLEY ST NE</t>
  </si>
  <si>
    <t xml:space="preserve">OH0015814515</t>
  </si>
  <si>
    <t xml:space="preserve">CHESTER</t>
  </si>
  <si>
    <t xml:space="preserve">1955-07-21</t>
  </si>
  <si>
    <t xml:space="preserve">2001-06-06</t>
  </si>
  <si>
    <t xml:space="preserve">OH0015725875</t>
  </si>
  <si>
    <t xml:space="preserve">1979-09-01</t>
  </si>
  <si>
    <t xml:space="preserve">1065 MCKINLEY ST NE</t>
  </si>
  <si>
    <t xml:space="preserve">OH0024088105</t>
  </si>
  <si>
    <t xml:space="preserve">OH0027927550</t>
  </si>
  <si>
    <t xml:space="preserve">HAVRILESKO</t>
  </si>
  <si>
    <t xml:space="preserve">NICOLAUS</t>
  </si>
  <si>
    <t xml:space="preserve">2025-03-25</t>
  </si>
  <si>
    <t xml:space="preserve">1107 MCKINLEY ST NE</t>
  </si>
  <si>
    <t xml:space="preserve">OH0027927562</t>
  </si>
  <si>
    <t xml:space="preserve">2006-03-21</t>
  </si>
  <si>
    <t xml:space="preserve">OH0019538432</t>
  </si>
  <si>
    <t xml:space="preserve">MULHALL</t>
  </si>
  <si>
    <t xml:space="preserve">LINDSAY</t>
  </si>
  <si>
    <t xml:space="preserve">1989-11-09</t>
  </si>
  <si>
    <t xml:space="preserve">2021-03-12</t>
  </si>
  <si>
    <t xml:space="preserve">OH0015719832</t>
  </si>
  <si>
    <t xml:space="preserve">1956-12-16</t>
  </si>
  <si>
    <t xml:space="preserve">2015-06-26</t>
  </si>
  <si>
    <t xml:space="preserve">1114 MCKINLEY ST NE</t>
  </si>
  <si>
    <t xml:space="preserve">OH0024767363</t>
  </si>
  <si>
    <t xml:space="preserve">DONTE</t>
  </si>
  <si>
    <t xml:space="preserve">1999-02-09</t>
  </si>
  <si>
    <t xml:space="preserve">2018-09-06</t>
  </si>
  <si>
    <t xml:space="preserve">OH0015819938</t>
  </si>
  <si>
    <t xml:space="preserve">TIFFANEY</t>
  </si>
  <si>
    <t xml:space="preserve">1971-02-08</t>
  </si>
  <si>
    <t xml:space="preserve">1115 MCKINLEY ST NE</t>
  </si>
  <si>
    <t xml:space="preserve">OH0021884704</t>
  </si>
  <si>
    <t xml:space="preserve">DURDA</t>
  </si>
  <si>
    <t xml:space="preserve">1978-02-07</t>
  </si>
  <si>
    <t xml:space="preserve">2018-02-16</t>
  </si>
  <si>
    <t xml:space="preserve">OH0027845069</t>
  </si>
  <si>
    <t xml:space="preserve">POLING</t>
  </si>
  <si>
    <t xml:space="preserve">KOLTYN</t>
  </si>
  <si>
    <t xml:space="preserve">DAYLAN HAYWARD</t>
  </si>
  <si>
    <t xml:space="preserve">2005-01-26</t>
  </si>
  <si>
    <t xml:space="preserve">2024-10-17</t>
  </si>
  <si>
    <t xml:space="preserve">1123 MCKINLEY ST NE</t>
  </si>
  <si>
    <t xml:space="preserve">OH0022554423</t>
  </si>
  <si>
    <t xml:space="preserve">KNIGHT</t>
  </si>
  <si>
    <t xml:space="preserve">DARRELL</t>
  </si>
  <si>
    <t xml:space="preserve">1951-10-30</t>
  </si>
  <si>
    <t xml:space="preserve">2017-02-23</t>
  </si>
  <si>
    <t xml:space="preserve">1124 MCKINLEY ST NE</t>
  </si>
  <si>
    <t xml:space="preserve">OH0026425730</t>
  </si>
  <si>
    <t xml:space="preserve">HILL</t>
  </si>
  <si>
    <t xml:space="preserve">1985-03-25</t>
  </si>
  <si>
    <t xml:space="preserve">2022-02-27</t>
  </si>
  <si>
    <t xml:space="preserve">1132 MCKINLEY ST NE</t>
  </si>
  <si>
    <t xml:space="preserve">OH0020954818</t>
  </si>
  <si>
    <t xml:space="preserve">PERRETT</t>
  </si>
  <si>
    <t xml:space="preserve">1952-07-15</t>
  </si>
  <si>
    <t xml:space="preserve">1142 MCKINLEY ST NE</t>
  </si>
  <si>
    <t xml:space="preserve">OH0020714849</t>
  </si>
  <si>
    <t xml:space="preserve">1966-01-29</t>
  </si>
  <si>
    <t xml:space="preserve">2009-05-16</t>
  </si>
  <si>
    <t xml:space="preserve">1150 MCKINLEY ST NE</t>
  </si>
  <si>
    <t xml:space="preserve">OH0021853110</t>
  </si>
  <si>
    <t xml:space="preserve">1988-03-01</t>
  </si>
  <si>
    <t xml:space="preserve">OH0019393843</t>
  </si>
  <si>
    <t xml:space="preserve">WILCOX</t>
  </si>
  <si>
    <t xml:space="preserve">1973-07-16</t>
  </si>
  <si>
    <t xml:space="preserve">2007-03-30</t>
  </si>
  <si>
    <t xml:space="preserve">1160 MCKINLEY ST NE</t>
  </si>
  <si>
    <t xml:space="preserve">OH0027951760</t>
  </si>
  <si>
    <t xml:space="preserve">2007-07-16</t>
  </si>
  <si>
    <t xml:space="preserve">2025-05-08</t>
  </si>
  <si>
    <t xml:space="preserve">OH0015764942</t>
  </si>
  <si>
    <t xml:space="preserve">1976-03-30</t>
  </si>
  <si>
    <t xml:space="preserve">OH0024645318</t>
  </si>
  <si>
    <t xml:space="preserve">WHITMORE</t>
  </si>
  <si>
    <t xml:space="preserve">TAHNEE</t>
  </si>
  <si>
    <t xml:space="preserve">1999-10-22</t>
  </si>
  <si>
    <t xml:space="preserve">1166 MCKINLEY ST NE</t>
  </si>
  <si>
    <t xml:space="preserve">OH0015706240</t>
  </si>
  <si>
    <t xml:space="preserve">CHALKER</t>
  </si>
  <si>
    <t xml:space="preserve">1966-02-26</t>
  </si>
  <si>
    <t xml:space="preserve">1173 MCKINLEY ST NE</t>
  </si>
  <si>
    <t xml:space="preserve">OH0015699116</t>
  </si>
  <si>
    <t xml:space="preserve">TAMBURES</t>
  </si>
  <si>
    <t xml:space="preserve">DINO</t>
  </si>
  <si>
    <t xml:space="preserve">1962-11-23</t>
  </si>
  <si>
    <t xml:space="preserve">OH0024388700</t>
  </si>
  <si>
    <t xml:space="preserve">COAR</t>
  </si>
  <si>
    <t xml:space="preserve">1999-06-04</t>
  </si>
  <si>
    <t xml:space="preserve">1184 MCKINLEY ST NE</t>
  </si>
  <si>
    <t xml:space="preserve">OH0026449178</t>
  </si>
  <si>
    <t xml:space="preserve">1999-06-08</t>
  </si>
  <si>
    <t xml:space="preserve">2022-03-21</t>
  </si>
  <si>
    <t xml:space="preserve">OH0023079142</t>
  </si>
  <si>
    <t xml:space="preserve">TRINESHIA</t>
  </si>
  <si>
    <t xml:space="preserve">2015-03-26</t>
  </si>
  <si>
    <t xml:space="preserve">1185 MCKINLEY ST NE</t>
  </si>
  <si>
    <t xml:space="preserve">OH0020608141</t>
  </si>
  <si>
    <t xml:space="preserve">1954-03-07</t>
  </si>
  <si>
    <t xml:space="preserve">2012-10-01</t>
  </si>
  <si>
    <t xml:space="preserve">1189 MCKINLEY ST NE</t>
  </si>
  <si>
    <t xml:space="preserve">OH0015704470</t>
  </si>
  <si>
    <t xml:space="preserve">1952-03-16</t>
  </si>
  <si>
    <t xml:space="preserve">OH0015801276</t>
  </si>
  <si>
    <t xml:space="preserve">LAUGHNER</t>
  </si>
  <si>
    <t xml:space="preserve">1943-03-21</t>
  </si>
  <si>
    <t xml:space="preserve">1190 MCKINLEY ST NE</t>
  </si>
  <si>
    <t xml:space="preserve">OH0015688952</t>
  </si>
  <si>
    <t xml:space="preserve">1948-12-02</t>
  </si>
  <si>
    <t xml:space="preserve">1979-03-21</t>
  </si>
  <si>
    <t xml:space="preserve">OH0022631568</t>
  </si>
  <si>
    <t xml:space="preserve">ZACKERY</t>
  </si>
  <si>
    <t xml:space="preserve">1967-11-15</t>
  </si>
  <si>
    <t xml:space="preserve">2021-05-04</t>
  </si>
  <si>
    <t xml:space="preserve">1195 MCKINLEY ST NE</t>
  </si>
  <si>
    <t xml:space="preserve">OH0015779070</t>
  </si>
  <si>
    <t xml:space="preserve">1201 MCKINLEY ST NE</t>
  </si>
  <si>
    <t xml:space="preserve">OH0015762580</t>
  </si>
  <si>
    <t xml:space="preserve">LARECIA</t>
  </si>
  <si>
    <t xml:space="preserve">1984-10-28</t>
  </si>
  <si>
    <t xml:space="preserve">2022-11-16</t>
  </si>
  <si>
    <t xml:space="preserve">1209 MCKINLEY ST NE</t>
  </si>
  <si>
    <t xml:space="preserve">OH0027388471</t>
  </si>
  <si>
    <t xml:space="preserve">ELECTA</t>
  </si>
  <si>
    <t xml:space="preserve">1962-05-08</t>
  </si>
  <si>
    <t xml:space="preserve">2024-06-12</t>
  </si>
  <si>
    <t xml:space="preserve">1216 MCKINLEY ST NE</t>
  </si>
  <si>
    <t xml:space="preserve">OH0027379019</t>
  </si>
  <si>
    <t xml:space="preserve">1964-03-22</t>
  </si>
  <si>
    <t xml:space="preserve">2024-06-06</t>
  </si>
  <si>
    <t xml:space="preserve">OH0023936584</t>
  </si>
  <si>
    <t xml:space="preserve">MARKETTA</t>
  </si>
  <si>
    <t xml:space="preserve">1984-12-30</t>
  </si>
  <si>
    <t xml:space="preserve">2023-02-03</t>
  </si>
  <si>
    <t xml:space="preserve">1217 MCKINLEY ST NE</t>
  </si>
  <si>
    <t xml:space="preserve">OH0018597669</t>
  </si>
  <si>
    <t xml:space="preserve">SHAWNTEL</t>
  </si>
  <si>
    <t xml:space="preserve">1982-12-12</t>
  </si>
  <si>
    <t xml:space="preserve">2024-12-31</t>
  </si>
  <si>
    <t xml:space="preserve">OH0015743436</t>
  </si>
  <si>
    <t xml:space="preserve">1962-03-10</t>
  </si>
  <si>
    <t xml:space="preserve">2021-07-13</t>
  </si>
  <si>
    <t xml:space="preserve">OH0015694625</t>
  </si>
  <si>
    <t xml:space="preserve">PIPPENGER</t>
  </si>
  <si>
    <t xml:space="preserve">1958-02-16</t>
  </si>
  <si>
    <t xml:space="preserve">2014-05-20</t>
  </si>
  <si>
    <t xml:space="preserve">1228 MCKINLEY ST NE</t>
  </si>
  <si>
    <t xml:space="preserve">PO BOX 1289</t>
  </si>
  <si>
    <t xml:space="preserve">OH0026851061</t>
  </si>
  <si>
    <t xml:space="preserve">MOORHEAD</t>
  </si>
  <si>
    <t xml:space="preserve">2000-11-03</t>
  </si>
  <si>
    <t xml:space="preserve">1235 MCKINLEY ST NE</t>
  </si>
  <si>
    <t xml:space="preserve">OH0015734084</t>
  </si>
  <si>
    <t xml:space="preserve">KASZOWSKI</t>
  </si>
  <si>
    <t xml:space="preserve">1959-04-12</t>
  </si>
  <si>
    <t xml:space="preserve">1243 MCKINLEY ST NE</t>
  </si>
  <si>
    <t xml:space="preserve">OH0015704862</t>
  </si>
  <si>
    <t xml:space="preserve">PICKETT</t>
  </si>
  <si>
    <t xml:space="preserve">ALVETTA</t>
  </si>
  <si>
    <t xml:space="preserve">1962-02-06</t>
  </si>
  <si>
    <t xml:space="preserve">2016-10-10</t>
  </si>
  <si>
    <t xml:space="preserve">1713 MILTON ST SE</t>
  </si>
  <si>
    <t xml:space="preserve">OH0015720129</t>
  </si>
  <si>
    <t xml:space="preserve">ELMO</t>
  </si>
  <si>
    <t xml:space="preserve">1954-08-26</t>
  </si>
  <si>
    <t xml:space="preserve">2015-08-27</t>
  </si>
  <si>
    <t xml:space="preserve">1758 MILTON ST SE</t>
  </si>
  <si>
    <t xml:space="preserve">OH0023445552</t>
  </si>
  <si>
    <t xml:space="preserve">EZARA</t>
  </si>
  <si>
    <t xml:space="preserve">1992-06-04</t>
  </si>
  <si>
    <t xml:space="preserve">2015-10-27</t>
  </si>
  <si>
    <t xml:space="preserve">1759 MILTON ST SE</t>
  </si>
  <si>
    <t xml:space="preserve">OH0023271395</t>
  </si>
  <si>
    <t xml:space="preserve">FAISON</t>
  </si>
  <si>
    <t xml:space="preserve">1989-12-21</t>
  </si>
  <si>
    <t xml:space="preserve">1769 MILTON ST SE</t>
  </si>
  <si>
    <t xml:space="preserve">OH0015745086</t>
  </si>
  <si>
    <t xml:space="preserve">FLORENCE</t>
  </si>
  <si>
    <t xml:space="preserve">1942-01-10</t>
  </si>
  <si>
    <t xml:space="preserve">2016-10-09</t>
  </si>
  <si>
    <t xml:space="preserve">OH0015764994</t>
  </si>
  <si>
    <t xml:space="preserve">QUWAN</t>
  </si>
  <si>
    <t xml:space="preserve">1975-04-04</t>
  </si>
  <si>
    <t xml:space="preserve">2014-06-30</t>
  </si>
  <si>
    <t xml:space="preserve">1792 MILTON ST SE</t>
  </si>
  <si>
    <t xml:space="preserve">OH0021220599</t>
  </si>
  <si>
    <t xml:space="preserve">EVON</t>
  </si>
  <si>
    <t xml:space="preserve">1992-09-23</t>
  </si>
  <si>
    <t xml:space="preserve">2010-09-29</t>
  </si>
  <si>
    <t xml:space="preserve">1816 MILTON ST SE</t>
  </si>
  <si>
    <t xml:space="preserve">OH0027513683</t>
  </si>
  <si>
    <t xml:space="preserve">1993-02-19</t>
  </si>
  <si>
    <t xml:space="preserve">OH0022340015</t>
  </si>
  <si>
    <t xml:space="preserve">1995-07-05</t>
  </si>
  <si>
    <t xml:space="preserve">2012-06-21</t>
  </si>
  <si>
    <t xml:space="preserve">OH0015729605</t>
  </si>
  <si>
    <t xml:space="preserve">TABOR</t>
  </si>
  <si>
    <t xml:space="preserve">DETRA</t>
  </si>
  <si>
    <t xml:space="preserve">1956-07-25</t>
  </si>
  <si>
    <t xml:space="preserve">1989-07-21</t>
  </si>
  <si>
    <t xml:space="preserve">1824 MILTON ST SE</t>
  </si>
  <si>
    <t xml:space="preserve">OH0027856923</t>
  </si>
  <si>
    <t xml:space="preserve">ARVATA</t>
  </si>
  <si>
    <t xml:space="preserve">1967-12-10</t>
  </si>
  <si>
    <t xml:space="preserve">2024-11-20</t>
  </si>
  <si>
    <t xml:space="preserve">121 MONROE ST NW</t>
  </si>
  <si>
    <t xml:space="preserve">OH0026154879</t>
  </si>
  <si>
    <t xml:space="preserve">HART</t>
  </si>
  <si>
    <t xml:space="preserve">1979-10-03</t>
  </si>
  <si>
    <t xml:space="preserve">2021-03-03</t>
  </si>
  <si>
    <t xml:space="preserve">APT 7</t>
  </si>
  <si>
    <t xml:space="preserve">OH0024983295</t>
  </si>
  <si>
    <t xml:space="preserve">REAL</t>
  </si>
  <si>
    <t xml:space="preserve">1938-01-16</t>
  </si>
  <si>
    <t xml:space="preserve">APT 9</t>
  </si>
  <si>
    <t xml:space="preserve">OH0020217646</t>
  </si>
  <si>
    <t xml:space="preserve">MARCIALATTRICE</t>
  </si>
  <si>
    <t xml:space="preserve">1973-12-27</t>
  </si>
  <si>
    <t xml:space="preserve">APT 12</t>
  </si>
  <si>
    <t xml:space="preserve">OH0024908159</t>
  </si>
  <si>
    <t xml:space="preserve">CAREY</t>
  </si>
  <si>
    <t xml:space="preserve">1983-04-28</t>
  </si>
  <si>
    <t xml:space="preserve">APT 11</t>
  </si>
  <si>
    <t xml:space="preserve">OH0021187643</t>
  </si>
  <si>
    <t xml:space="preserve">CAPRINA</t>
  </si>
  <si>
    <t xml:space="preserve">1992-01-01</t>
  </si>
  <si>
    <t xml:space="preserve">OH0024173097</t>
  </si>
  <si>
    <t xml:space="preserve">PETERS</t>
  </si>
  <si>
    <t xml:space="preserve">MEGGEIN</t>
  </si>
  <si>
    <t xml:space="preserve">1987-08-24</t>
  </si>
  <si>
    <t xml:space="preserve">2016-10-28</t>
  </si>
  <si>
    <t xml:space="preserve">OH0024713856</t>
  </si>
  <si>
    <t xml:space="preserve">LOWE</t>
  </si>
  <si>
    <t xml:space="preserve">1983-03-05</t>
  </si>
  <si>
    <t xml:space="preserve">2024-05-07</t>
  </si>
  <si>
    <t xml:space="preserve">APT 10</t>
  </si>
  <si>
    <t xml:space="preserve">OH0018715843</t>
  </si>
  <si>
    <t xml:space="preserve">1950-02-15</t>
  </si>
  <si>
    <t xml:space="preserve">142 MONROE ST NW</t>
  </si>
  <si>
    <t xml:space="preserve">OH0015869279</t>
  </si>
  <si>
    <t xml:space="preserve">MCKENZIE</t>
  </si>
  <si>
    <t xml:space="preserve">CANDY</t>
  </si>
  <si>
    <t xml:space="preserve">1964-06-02</t>
  </si>
  <si>
    <t xml:space="preserve">146 MONROE ST NW</t>
  </si>
  <si>
    <t xml:space="preserve">OH0023810924</t>
  </si>
  <si>
    <t xml:space="preserve">RAGER</t>
  </si>
  <si>
    <t xml:space="preserve">WELDON</t>
  </si>
  <si>
    <t xml:space="preserve">1964-05-14</t>
  </si>
  <si>
    <t xml:space="preserve">226 MONROE ST NW</t>
  </si>
  <si>
    <t xml:space="preserve">OH0024476321</t>
  </si>
  <si>
    <t xml:space="preserve">ARNETT</t>
  </si>
  <si>
    <t xml:space="preserve">MC</t>
  </si>
  <si>
    <t xml:space="preserve">1997-09-04</t>
  </si>
  <si>
    <t xml:space="preserve">2020-10-07</t>
  </si>
  <si>
    <t xml:space="preserve">240 MONROE ST NW</t>
  </si>
  <si>
    <t xml:space="preserve">OH0026158642</t>
  </si>
  <si>
    <t xml:space="preserve">DUGGER</t>
  </si>
  <si>
    <t xml:space="preserve">1964-02-07</t>
  </si>
  <si>
    <t xml:space="preserve">2021-03-09</t>
  </si>
  <si>
    <t xml:space="preserve">OH0024629619</t>
  </si>
  <si>
    <t xml:space="preserve">LUTHER</t>
  </si>
  <si>
    <t xml:space="preserve">2000-01-29</t>
  </si>
  <si>
    <t xml:space="preserve">2018-04-18</t>
  </si>
  <si>
    <t xml:space="preserve">OH0015764140</t>
  </si>
  <si>
    <t xml:space="preserve">ASHBURN</t>
  </si>
  <si>
    <t xml:space="preserve">1956-04-06</t>
  </si>
  <si>
    <t xml:space="preserve">OH0019521671</t>
  </si>
  <si>
    <t xml:space="preserve">KUNTZ</t>
  </si>
  <si>
    <t xml:space="preserve">1982-03-06</t>
  </si>
  <si>
    <t xml:space="preserve">2018-05-25</t>
  </si>
  <si>
    <t xml:space="preserve">OH0025649895</t>
  </si>
  <si>
    <t xml:space="preserve">OH0022331750</t>
  </si>
  <si>
    <t xml:space="preserve">HERALD</t>
  </si>
  <si>
    <t xml:space="preserve">1978-03-24</t>
  </si>
  <si>
    <t xml:space="preserve">2018-10-02</t>
  </si>
  <si>
    <t xml:space="preserve">OH0023297192</t>
  </si>
  <si>
    <t xml:space="preserve">DEVEON</t>
  </si>
  <si>
    <t xml:space="preserve">1988-03-14</t>
  </si>
  <si>
    <t xml:space="preserve">APT 6</t>
  </si>
  <si>
    <t xml:space="preserve">OH0027521839</t>
  </si>
  <si>
    <t xml:space="preserve">FAY</t>
  </si>
  <si>
    <t xml:space="preserve">2001-03-29</t>
  </si>
  <si>
    <t xml:space="preserve">296 MONROE ST NW</t>
  </si>
  <si>
    <t xml:space="preserve">OH0026142666</t>
  </si>
  <si>
    <t xml:space="preserve">1953-04-28</t>
  </si>
  <si>
    <t xml:space="preserve">2022-05-12</t>
  </si>
  <si>
    <t xml:space="preserve">OH0026503320</t>
  </si>
  <si>
    <t xml:space="preserve">1999-11-12</t>
  </si>
  <si>
    <t xml:space="preserve">2022-05-21</t>
  </si>
  <si>
    <t xml:space="preserve">OH0015791379</t>
  </si>
  <si>
    <t xml:space="preserve">ROBERTA</t>
  </si>
  <si>
    <t xml:space="preserve">1961-10-30</t>
  </si>
  <si>
    <t xml:space="preserve">1979-02-20</t>
  </si>
  <si>
    <t xml:space="preserve">305 MONROE ST NW</t>
  </si>
  <si>
    <t xml:space="preserve">PO BOX 4115</t>
  </si>
  <si>
    <t xml:space="preserve">OH0015675962</t>
  </si>
  <si>
    <t xml:space="preserve">GRIFFITH</t>
  </si>
  <si>
    <t xml:space="preserve">1956-06-14</t>
  </si>
  <si>
    <t xml:space="preserve">2023-07-28</t>
  </si>
  <si>
    <t xml:space="preserve">325 MONROE ST NW</t>
  </si>
  <si>
    <t xml:space="preserve">APT UPPER</t>
  </si>
  <si>
    <t xml:space="preserve">OH0015701150</t>
  </si>
  <si>
    <t xml:space="preserve">1947-08-22</t>
  </si>
  <si>
    <t xml:space="preserve">1972-09-07</t>
  </si>
  <si>
    <t xml:space="preserve">OH0015730489</t>
  </si>
  <si>
    <t xml:space="preserve">MCGHEE</t>
  </si>
  <si>
    <t xml:space="preserve">1953-06-11</t>
  </si>
  <si>
    <t xml:space="preserve">2025-03-20</t>
  </si>
  <si>
    <t xml:space="preserve">108 N PARK AVE</t>
  </si>
  <si>
    <t xml:space="preserve">OH0019995318</t>
  </si>
  <si>
    <t xml:space="preserve">MEEHAN</t>
  </si>
  <si>
    <t xml:space="preserve">1989-07-25</t>
  </si>
  <si>
    <t xml:space="preserve">APT 14</t>
  </si>
  <si>
    <t xml:space="preserve">OH0015692545</t>
  </si>
  <si>
    <t xml:space="preserve">1962-08-11</t>
  </si>
  <si>
    <t xml:space="preserve">2019-12-20</t>
  </si>
  <si>
    <t xml:space="preserve">124 N PARK AVE</t>
  </si>
  <si>
    <t xml:space="preserve">STE 300</t>
  </si>
  <si>
    <t xml:space="preserve">OH0021648313</t>
  </si>
  <si>
    <t xml:space="preserve">LEESHA</t>
  </si>
  <si>
    <t xml:space="preserve">1991-12-24</t>
  </si>
  <si>
    <t xml:space="preserve">STE 302</t>
  </si>
  <si>
    <t xml:space="preserve">OH0026944731</t>
  </si>
  <si>
    <t xml:space="preserve">EAKER</t>
  </si>
  <si>
    <t xml:space="preserve">GWEN</t>
  </si>
  <si>
    <t xml:space="preserve">1960-12-02</t>
  </si>
  <si>
    <t xml:space="preserve">2023-07-25</t>
  </si>
  <si>
    <t xml:space="preserve">OH0023330623</t>
  </si>
  <si>
    <t xml:space="preserve">STUART</t>
  </si>
  <si>
    <t xml:space="preserve">1997-10-29</t>
  </si>
  <si>
    <t xml:space="preserve">2024-11-25</t>
  </si>
  <si>
    <t xml:space="preserve">160 N PARK AVE</t>
  </si>
  <si>
    <t xml:space="preserve">OH0019823746</t>
  </si>
  <si>
    <t xml:space="preserve">PETRONELLI</t>
  </si>
  <si>
    <t xml:space="preserve">AUBREE</t>
  </si>
  <si>
    <t xml:space="preserve">TARAN</t>
  </si>
  <si>
    <t xml:space="preserve">1982-06-17</t>
  </si>
  <si>
    <t xml:space="preserve">OH0021780779</t>
  </si>
  <si>
    <t xml:space="preserve">GOODMAN</t>
  </si>
  <si>
    <t xml:space="preserve">1963-04-06</t>
  </si>
  <si>
    <t xml:space="preserve">2015-05-01</t>
  </si>
  <si>
    <t xml:space="preserve">174 N PARK AVE</t>
  </si>
  <si>
    <t xml:space="preserve">OH0027369729</t>
  </si>
  <si>
    <t xml:space="preserve">BEAL</t>
  </si>
  <si>
    <t xml:space="preserve">SKYLA</t>
  </si>
  <si>
    <t xml:space="preserve">2001-07-03</t>
  </si>
  <si>
    <t xml:space="preserve">OH0025600351</t>
  </si>
  <si>
    <t xml:space="preserve">CUCKOVICH</t>
  </si>
  <si>
    <t xml:space="preserve">BROCKTON</t>
  </si>
  <si>
    <t xml:space="preserve">2001-09-13</t>
  </si>
  <si>
    <t xml:space="preserve">APT 30</t>
  </si>
  <si>
    <t xml:space="preserve">OH0023249284</t>
  </si>
  <si>
    <t xml:space="preserve">1996-09-06</t>
  </si>
  <si>
    <t xml:space="preserve">OH0024616799</t>
  </si>
  <si>
    <t xml:space="preserve">1970-01-25</t>
  </si>
  <si>
    <t xml:space="preserve">2018-04-20</t>
  </si>
  <si>
    <t xml:space="preserve">259 N PARK AVE</t>
  </si>
  <si>
    <t xml:space="preserve">OH0024625593</t>
  </si>
  <si>
    <t xml:space="preserve">1989-02-17</t>
  </si>
  <si>
    <t xml:space="preserve">276 N PARK AVE</t>
  </si>
  <si>
    <t xml:space="preserve">OH0027477590</t>
  </si>
  <si>
    <t xml:space="preserve">SHEHANE</t>
  </si>
  <si>
    <t xml:space="preserve">1968-08-23</t>
  </si>
  <si>
    <t xml:space="preserve">2024-07-22</t>
  </si>
  <si>
    <t xml:space="preserve">280 N PARK AVE</t>
  </si>
  <si>
    <t xml:space="preserve">OH0023890107</t>
  </si>
  <si>
    <t xml:space="preserve">THORNSBERRY</t>
  </si>
  <si>
    <t xml:space="preserve">1968-09-16</t>
  </si>
  <si>
    <t xml:space="preserve">2016-08-08</t>
  </si>
  <si>
    <t xml:space="preserve">OH0026575543</t>
  </si>
  <si>
    <t xml:space="preserve">RUPP</t>
  </si>
  <si>
    <t xml:space="preserve">1986-04-14</t>
  </si>
  <si>
    <t xml:space="preserve">OH0015763206</t>
  </si>
  <si>
    <t xml:space="preserve">1950-09-29</t>
  </si>
  <si>
    <t xml:space="preserve">OH0027143371</t>
  </si>
  <si>
    <t xml:space="preserve">ABDUL AZIZ</t>
  </si>
  <si>
    <t xml:space="preserve">YAZMEEN</t>
  </si>
  <si>
    <t xml:space="preserve">2004-07-05</t>
  </si>
  <si>
    <t xml:space="preserve">2023-11-03</t>
  </si>
  <si>
    <t xml:space="preserve">OH0027040230</t>
  </si>
  <si>
    <t xml:space="preserve">1962-01-21</t>
  </si>
  <si>
    <t xml:space="preserve">2023-08-30</t>
  </si>
  <si>
    <t xml:space="preserve">OH0024705116</t>
  </si>
  <si>
    <t xml:space="preserve">1979-09-16</t>
  </si>
  <si>
    <t xml:space="preserve">2018-07-23</t>
  </si>
  <si>
    <t xml:space="preserve">OH0027871351</t>
  </si>
  <si>
    <t xml:space="preserve">FORTSON</t>
  </si>
  <si>
    <t xml:space="preserve">1971-10-23</t>
  </si>
  <si>
    <t xml:space="preserve">2025-01-08</t>
  </si>
  <si>
    <t xml:space="preserve">281 N PARK AVE</t>
  </si>
  <si>
    <t xml:space="preserve">OH0023227125</t>
  </si>
  <si>
    <t xml:space="preserve">BUSH</t>
  </si>
  <si>
    <t xml:space="preserve">1950-05-23</t>
  </si>
  <si>
    <t xml:space="preserve">326 N PARK AVE</t>
  </si>
  <si>
    <t xml:space="preserve">OH0024169933</t>
  </si>
  <si>
    <t xml:space="preserve">BOYNTON</t>
  </si>
  <si>
    <t xml:space="preserve">AUBREY</t>
  </si>
  <si>
    <t xml:space="preserve">1989-02-20</t>
  </si>
  <si>
    <t xml:space="preserve">2016-10-23</t>
  </si>
  <si>
    <t xml:space="preserve">438 N PARK AVE</t>
  </si>
  <si>
    <t xml:space="preserve">APT 8</t>
  </si>
  <si>
    <t xml:space="preserve">OH0015677704</t>
  </si>
  <si>
    <t xml:space="preserve">1952-06-12</t>
  </si>
  <si>
    <t xml:space="preserve">2023-07-11</t>
  </si>
  <si>
    <t xml:space="preserve">OH0015677298</t>
  </si>
  <si>
    <t xml:space="preserve">1963-03-09</t>
  </si>
  <si>
    <t xml:space="preserve">2018-07-28</t>
  </si>
  <si>
    <t xml:space="preserve">OH0023350529</t>
  </si>
  <si>
    <t xml:space="preserve">1974-09-09</t>
  </si>
  <si>
    <t xml:space="preserve">2025-05-01</t>
  </si>
  <si>
    <t xml:space="preserve">OH0018896065</t>
  </si>
  <si>
    <t xml:space="preserve">NEIL</t>
  </si>
  <si>
    <t xml:space="preserve">OH0023457173</t>
  </si>
  <si>
    <t xml:space="preserve">VINTSON</t>
  </si>
  <si>
    <t xml:space="preserve">RODREQUS</t>
  </si>
  <si>
    <t xml:space="preserve">1976-05-27</t>
  </si>
  <si>
    <t xml:space="preserve">2016-06-03</t>
  </si>
  <si>
    <t xml:space="preserve">OH0023443225</t>
  </si>
  <si>
    <t xml:space="preserve">SHAFFER</t>
  </si>
  <si>
    <t xml:space="preserve">1977-10-15</t>
  </si>
  <si>
    <t xml:space="preserve">2015-11-03</t>
  </si>
  <si>
    <t xml:space="preserve">APT 9A</t>
  </si>
  <si>
    <t xml:space="preserve">OH0015747384</t>
  </si>
  <si>
    <t xml:space="preserve">JOEL</t>
  </si>
  <si>
    <t xml:space="preserve">1959-04-13</t>
  </si>
  <si>
    <t xml:space="preserve">2019-08-06</t>
  </si>
  <si>
    <t xml:space="preserve">OH0019771015</t>
  </si>
  <si>
    <t xml:space="preserve">1957-09-09</t>
  </si>
  <si>
    <t xml:space="preserve">442 N PARK AVE</t>
  </si>
  <si>
    <t xml:space="preserve">OH0015722281</t>
  </si>
  <si>
    <t xml:space="preserve">CHAMBORA</t>
  </si>
  <si>
    <t xml:space="preserve">1970-04-12</t>
  </si>
  <si>
    <t xml:space="preserve">2006-12-19</t>
  </si>
  <si>
    <t xml:space="preserve">532 N PARK AVE</t>
  </si>
  <si>
    <t xml:space="preserve">APT K</t>
  </si>
  <si>
    <t xml:space="preserve">OH0020232946</t>
  </si>
  <si>
    <t xml:space="preserve">1967-02-02</t>
  </si>
  <si>
    <t xml:space="preserve">APT J</t>
  </si>
  <si>
    <t xml:space="preserve">OH0015808625</t>
  </si>
  <si>
    <t xml:space="preserve">BLALOCK</t>
  </si>
  <si>
    <t xml:space="preserve">ANASTASIA</t>
  </si>
  <si>
    <t xml:space="preserve">1982-12-09</t>
  </si>
  <si>
    <t xml:space="preserve">2020-09-11</t>
  </si>
  <si>
    <t xml:space="preserve">OH0026596678</t>
  </si>
  <si>
    <t xml:space="preserve">MATTHIAS</t>
  </si>
  <si>
    <t xml:space="preserve">RENE</t>
  </si>
  <si>
    <t xml:space="preserve">1994-07-26</t>
  </si>
  <si>
    <t xml:space="preserve">2022-07-23</t>
  </si>
  <si>
    <t xml:space="preserve">OH0025717013</t>
  </si>
  <si>
    <t xml:space="preserve">1993-10-15</t>
  </si>
  <si>
    <t xml:space="preserve">OH0021853847</t>
  </si>
  <si>
    <t xml:space="preserve">ECHOLS</t>
  </si>
  <si>
    <t xml:space="preserve">1994-11-01</t>
  </si>
  <si>
    <t xml:space="preserve">APT H</t>
  </si>
  <si>
    <t xml:space="preserve">OH0015684714</t>
  </si>
  <si>
    <t xml:space="preserve">PALYA</t>
  </si>
  <si>
    <t xml:space="preserve">1968-02-01</t>
  </si>
  <si>
    <t xml:space="preserve">2019-03-21</t>
  </si>
  <si>
    <t xml:space="preserve">OH0025536627</t>
  </si>
  <si>
    <t xml:space="preserve">PATINO</t>
  </si>
  <si>
    <t xml:space="preserve">LARISSA</t>
  </si>
  <si>
    <t xml:space="preserve">1971-03-19</t>
  </si>
  <si>
    <t xml:space="preserve">2020-04-11</t>
  </si>
  <si>
    <t xml:space="preserve">OH0015748667</t>
  </si>
  <si>
    <t xml:space="preserve">1962-12-30</t>
  </si>
  <si>
    <t xml:space="preserve">2016-07-14</t>
  </si>
  <si>
    <t xml:space="preserve">552 N PARK AVE</t>
  </si>
  <si>
    <t xml:space="preserve">OH0026272219</t>
  </si>
  <si>
    <t xml:space="preserve">MANCINI</t>
  </si>
  <si>
    <t xml:space="preserve">ELDON</t>
  </si>
  <si>
    <t xml:space="preserve">2002-07-11</t>
  </si>
  <si>
    <t xml:space="preserve">2021-08-20</t>
  </si>
  <si>
    <t xml:space="preserve">1131 NILES RD SE</t>
  </si>
  <si>
    <t xml:space="preserve">OH0015814256</t>
  </si>
  <si>
    <t xml:space="preserve">1975-08-14</t>
  </si>
  <si>
    <t xml:space="preserve">2010-08-05</t>
  </si>
  <si>
    <t xml:space="preserve">OH0015800979</t>
  </si>
  <si>
    <t xml:space="preserve">1954-12-17</t>
  </si>
  <si>
    <t xml:space="preserve">OH0027532809</t>
  </si>
  <si>
    <t xml:space="preserve">CELEDONIA</t>
  </si>
  <si>
    <t xml:space="preserve">1973-08-15</t>
  </si>
  <si>
    <t xml:space="preserve">1151 NILES RD SE</t>
  </si>
  <si>
    <t xml:space="preserve">OH0015817726</t>
  </si>
  <si>
    <t xml:space="preserve">1952-09-10</t>
  </si>
  <si>
    <t xml:space="preserve">OH0015699846</t>
  </si>
  <si>
    <t xml:space="preserve">1953-08-14</t>
  </si>
  <si>
    <t xml:space="preserve">OH0015695767</t>
  </si>
  <si>
    <t xml:space="preserve">1978-09-14</t>
  </si>
  <si>
    <t xml:space="preserve">2014-02-06</t>
  </si>
  <si>
    <t xml:space="preserve">OH0023184051</t>
  </si>
  <si>
    <t xml:space="preserve">BLOUNT</t>
  </si>
  <si>
    <t xml:space="preserve">1986-04-10</t>
  </si>
  <si>
    <t xml:space="preserve">2018-09-22</t>
  </si>
  <si>
    <t xml:space="preserve">1175 NILES RD SE</t>
  </si>
  <si>
    <t xml:space="preserve">OH0023278011</t>
  </si>
  <si>
    <t xml:space="preserve">VALENTE</t>
  </si>
  <si>
    <t xml:space="preserve">DEJUAN CLEVELAND</t>
  </si>
  <si>
    <t xml:space="preserve">1987-05-24</t>
  </si>
  <si>
    <t xml:space="preserve">OH0015743711</t>
  </si>
  <si>
    <t xml:space="preserve">1964-11-01</t>
  </si>
  <si>
    <t xml:space="preserve">2024-06-29</t>
  </si>
  <si>
    <t xml:space="preserve">1191 NILES RD SE</t>
  </si>
  <si>
    <t xml:space="preserve">OH0025720424</t>
  </si>
  <si>
    <t xml:space="preserve">TALEMA</t>
  </si>
  <si>
    <t xml:space="preserve">1990-08-06</t>
  </si>
  <si>
    <t xml:space="preserve">OH0022192287</t>
  </si>
  <si>
    <t xml:space="preserve">2018-03-22</t>
  </si>
  <si>
    <t xml:space="preserve">1201 NILES RD SE</t>
  </si>
  <si>
    <t xml:space="preserve">OH0024943093</t>
  </si>
  <si>
    <t xml:space="preserve">TALONNA</t>
  </si>
  <si>
    <t xml:space="preserve">1987-05-04</t>
  </si>
  <si>
    <t xml:space="preserve">2018-10-10</t>
  </si>
  <si>
    <t xml:space="preserve">OH0021886108</t>
  </si>
  <si>
    <t xml:space="preserve">KIMBREW</t>
  </si>
  <si>
    <t xml:space="preserve">1984-01-03</t>
  </si>
  <si>
    <t xml:space="preserve">2017-02-20</t>
  </si>
  <si>
    <t xml:space="preserve">1227 NILES RD SE</t>
  </si>
  <si>
    <t xml:space="preserve">OH0026276889</t>
  </si>
  <si>
    <t xml:space="preserve">ORENIC</t>
  </si>
  <si>
    <t xml:space="preserve">1988-08-26</t>
  </si>
  <si>
    <t xml:space="preserve">2021-08-26</t>
  </si>
  <si>
    <t xml:space="preserve">OH0019298523</t>
  </si>
  <si>
    <t xml:space="preserve">2021-12-15</t>
  </si>
  <si>
    <t xml:space="preserve">OH0015690921</t>
  </si>
  <si>
    <t xml:space="preserve">BAIRD</t>
  </si>
  <si>
    <t xml:space="preserve">1953-04-03</t>
  </si>
  <si>
    <t xml:space="preserve">1981-10-01</t>
  </si>
  <si>
    <t xml:space="preserve">1453 NILES RD SE</t>
  </si>
  <si>
    <t xml:space="preserve">OH0015693149</t>
  </si>
  <si>
    <t xml:space="preserve">DUANE</t>
  </si>
  <si>
    <t xml:space="preserve">1961-05-16</t>
  </si>
  <si>
    <t xml:space="preserve">1982-11-02</t>
  </si>
  <si>
    <t xml:space="preserve">OH0015773555</t>
  </si>
  <si>
    <t xml:space="preserve">WEDEL</t>
  </si>
  <si>
    <t xml:space="preserve">1948-10-20</t>
  </si>
  <si>
    <t xml:space="preserve">1464 NILES RD SE</t>
  </si>
  <si>
    <t xml:space="preserve">OH0023334767</t>
  </si>
  <si>
    <t xml:space="preserve">OHL</t>
  </si>
  <si>
    <t xml:space="preserve">1979-06-21</t>
  </si>
  <si>
    <t xml:space="preserve">1487 NILES RD SE</t>
  </si>
  <si>
    <t xml:space="preserve">OH0023889971</t>
  </si>
  <si>
    <t xml:space="preserve">BROCKETT</t>
  </si>
  <si>
    <t xml:space="preserve">MELODY</t>
  </si>
  <si>
    <t xml:space="preserve">1981-09-01</t>
  </si>
  <si>
    <t xml:space="preserve">OH0015733298</t>
  </si>
  <si>
    <t xml:space="preserve">1965-06-13</t>
  </si>
  <si>
    <t xml:space="preserve">2000-10-03</t>
  </si>
  <si>
    <t xml:space="preserve">1494 NILES RD SE</t>
  </si>
  <si>
    <t xml:space="preserve">OH0015750537</t>
  </si>
  <si>
    <t xml:space="preserve">PROCTOR</t>
  </si>
  <si>
    <t xml:space="preserve">1967-04-10</t>
  </si>
  <si>
    <t xml:space="preserve">OH0024992225</t>
  </si>
  <si>
    <t xml:space="preserve">1984-09-02</t>
  </si>
  <si>
    <t xml:space="preserve">2022-10-12</t>
  </si>
  <si>
    <t xml:space="preserve">1535 NILES RD SE</t>
  </si>
  <si>
    <t xml:space="preserve">OH0015728099</t>
  </si>
  <si>
    <t xml:space="preserve">LUSTEAN</t>
  </si>
  <si>
    <t xml:space="preserve">1941-09-04</t>
  </si>
  <si>
    <t xml:space="preserve">2011-05-02</t>
  </si>
  <si>
    <t xml:space="preserve">1670 NILES RD SE</t>
  </si>
  <si>
    <t xml:space="preserve">PO BOX 2204</t>
  </si>
  <si>
    <t xml:space="preserve">OH0015721572</t>
  </si>
  <si>
    <t xml:space="preserve">1938-12-31</t>
  </si>
  <si>
    <t xml:space="preserve">OH0018682720</t>
  </si>
  <si>
    <t xml:space="preserve">1977-04-01</t>
  </si>
  <si>
    <t xml:space="preserve">2014-03-31</t>
  </si>
  <si>
    <t xml:space="preserve">2114 NILES RD SE</t>
  </si>
  <si>
    <t xml:space="preserve">OH0026655478</t>
  </si>
  <si>
    <t xml:space="preserve">JADEN</t>
  </si>
  <si>
    <t xml:space="preserve">2004-08-04</t>
  </si>
  <si>
    <t xml:space="preserve">2024-10-23</t>
  </si>
  <si>
    <t xml:space="preserve">OH0022210879</t>
  </si>
  <si>
    <t xml:space="preserve">KEON</t>
  </si>
  <si>
    <t xml:space="preserve">1993-07-15</t>
  </si>
  <si>
    <t xml:space="preserve">2144 NILES RD SE</t>
  </si>
  <si>
    <t xml:space="preserve">OH0015764737</t>
  </si>
  <si>
    <t xml:space="preserve">LARAYE</t>
  </si>
  <si>
    <t xml:space="preserve">SAUNESE</t>
  </si>
  <si>
    <t xml:space="preserve">1985-04-20</t>
  </si>
  <si>
    <t xml:space="preserve">2160 NILES RD SE</t>
  </si>
  <si>
    <t xml:space="preserve">OH0015718604</t>
  </si>
  <si>
    <t xml:space="preserve">1932-04-11</t>
  </si>
  <si>
    <t xml:space="preserve">1955-03-23</t>
  </si>
  <si>
    <t xml:space="preserve">2634 NILES RD SE</t>
  </si>
  <si>
    <t xml:space="preserve">OH0023665710</t>
  </si>
  <si>
    <t xml:space="preserve">OH0020820920</t>
  </si>
  <si>
    <t xml:space="preserve">1968-05-30</t>
  </si>
  <si>
    <t xml:space="preserve">2018-01-19</t>
  </si>
  <si>
    <t xml:space="preserve">2652 NILES RD SE</t>
  </si>
  <si>
    <t xml:space="preserve">OH0023020861</t>
  </si>
  <si>
    <t xml:space="preserve">GARVEY</t>
  </si>
  <si>
    <t xml:space="preserve">VARONYKA</t>
  </si>
  <si>
    <t xml:space="preserve">1996-09-01</t>
  </si>
  <si>
    <t xml:space="preserve">1143 OAK KNOLL AVE SE</t>
  </si>
  <si>
    <t xml:space="preserve">OH0026542876</t>
  </si>
  <si>
    <t xml:space="preserve">1998-04-28</t>
  </si>
  <si>
    <t xml:space="preserve">1159 OAK KNOLL AVE SE</t>
  </si>
  <si>
    <t xml:space="preserve">OH0026207801</t>
  </si>
  <si>
    <t xml:space="preserve">SHEELY</t>
  </si>
  <si>
    <t xml:space="preserve">1994-05-01</t>
  </si>
  <si>
    <t xml:space="preserve">2021-06-03</t>
  </si>
  <si>
    <t xml:space="preserve">OH0021546896</t>
  </si>
  <si>
    <t xml:space="preserve">ONDREA</t>
  </si>
  <si>
    <t xml:space="preserve">1984-07-04</t>
  </si>
  <si>
    <t xml:space="preserve">2015-07-27</t>
  </si>
  <si>
    <t xml:space="preserve">1191 OAK KNOLL AVE SE</t>
  </si>
  <si>
    <t xml:space="preserve">OH0015738914</t>
  </si>
  <si>
    <t xml:space="preserve">THEO</t>
  </si>
  <si>
    <t xml:space="preserve">RASHAD</t>
  </si>
  <si>
    <t xml:space="preserve">1986-06-13</t>
  </si>
  <si>
    <t xml:space="preserve">OH0027788953</t>
  </si>
  <si>
    <t xml:space="preserve">PATTON</t>
  </si>
  <si>
    <t xml:space="preserve">CANDIE</t>
  </si>
  <si>
    <t xml:space="preserve">1981-08-12</t>
  </si>
  <si>
    <t xml:space="preserve">1198 OAK KNOLL AVE SE</t>
  </si>
  <si>
    <t xml:space="preserve">OH0023188517</t>
  </si>
  <si>
    <t xml:space="preserve">1973-04-30</t>
  </si>
  <si>
    <t xml:space="preserve">2017-03-03</t>
  </si>
  <si>
    <t xml:space="preserve">OH0022708518</t>
  </si>
  <si>
    <t xml:space="preserve">BOSSARD</t>
  </si>
  <si>
    <t xml:space="preserve">MIRACLE</t>
  </si>
  <si>
    <t xml:space="preserve">1996-08-17</t>
  </si>
  <si>
    <t xml:space="preserve">2019-06-14</t>
  </si>
  <si>
    <t xml:space="preserve">1207 OAK KNOLL AVE SE</t>
  </si>
  <si>
    <t xml:space="preserve">OH0015745202</t>
  </si>
  <si>
    <t xml:space="preserve">DESEREE</t>
  </si>
  <si>
    <t xml:space="preserve">1977-10-12</t>
  </si>
  <si>
    <t xml:space="preserve">OH0019684115</t>
  </si>
  <si>
    <t xml:space="preserve">RICKIA</t>
  </si>
  <si>
    <t xml:space="preserve">1990-02-05</t>
  </si>
  <si>
    <t xml:space="preserve">2025-04-01</t>
  </si>
  <si>
    <t xml:space="preserve">OH0025781703</t>
  </si>
  <si>
    <t xml:space="preserve">MEHKI</t>
  </si>
  <si>
    <t xml:space="preserve">DEAYR</t>
  </si>
  <si>
    <t xml:space="preserve">2000-05-01</t>
  </si>
  <si>
    <t xml:space="preserve">2020-08-26</t>
  </si>
  <si>
    <t xml:space="preserve">OH0015813787</t>
  </si>
  <si>
    <t xml:space="preserve">ISAAC</t>
  </si>
  <si>
    <t xml:space="preserve">1980-05-29</t>
  </si>
  <si>
    <t xml:space="preserve">2016-05-28</t>
  </si>
  <si>
    <t xml:space="preserve">1210 OAK KNOLL AVE SE</t>
  </si>
  <si>
    <t xml:space="preserve">OH0015696422</t>
  </si>
  <si>
    <t xml:space="preserve">1960-03-14</t>
  </si>
  <si>
    <t xml:space="preserve">OH0020101613</t>
  </si>
  <si>
    <t xml:space="preserve">1983-04-01</t>
  </si>
  <si>
    <t xml:space="preserve">2008-09-24</t>
  </si>
  <si>
    <t xml:space="preserve">OH0027513847</t>
  </si>
  <si>
    <t xml:space="preserve">GADLEY</t>
  </si>
  <si>
    <t xml:space="preserve">1999-05-11</t>
  </si>
  <si>
    <t xml:space="preserve">2024-08-04</t>
  </si>
  <si>
    <t xml:space="preserve">1219 OAK KNOLL AVE SE</t>
  </si>
  <si>
    <t xml:space="preserve">OH0015743657</t>
  </si>
  <si>
    <t xml:space="preserve">NED</t>
  </si>
  <si>
    <t xml:space="preserve">2004-09-10</t>
  </si>
  <si>
    <t xml:space="preserve">1220 OAK KNOLL AVE SE</t>
  </si>
  <si>
    <t xml:space="preserve">OH0019296449</t>
  </si>
  <si>
    <t xml:space="preserve">BUDDY</t>
  </si>
  <si>
    <t xml:space="preserve">2015-06-09</t>
  </si>
  <si>
    <t xml:space="preserve">1229 OAK KNOLL AVE SE</t>
  </si>
  <si>
    <t xml:space="preserve">OH0023852033</t>
  </si>
  <si>
    <t xml:space="preserve">DILLOW</t>
  </si>
  <si>
    <t xml:space="preserve">1998-07-07</t>
  </si>
  <si>
    <t xml:space="preserve">2024-02-23</t>
  </si>
  <si>
    <t xml:space="preserve">OH0015688192</t>
  </si>
  <si>
    <t xml:space="preserve">UJCZO</t>
  </si>
  <si>
    <t xml:space="preserve">1951-11-05</t>
  </si>
  <si>
    <t xml:space="preserve">146 OAK KNOLL AVE SE</t>
  </si>
  <si>
    <t xml:space="preserve">OH0015712138</t>
  </si>
  <si>
    <t xml:space="preserve">1981-11-20</t>
  </si>
  <si>
    <t xml:space="preserve">2010-02-08</t>
  </si>
  <si>
    <t xml:space="preserve">OH0015693047</t>
  </si>
  <si>
    <t xml:space="preserve">1952-09-29</t>
  </si>
  <si>
    <t xml:space="preserve">OH0021351390</t>
  </si>
  <si>
    <t xml:space="preserve">SCRUGGS</t>
  </si>
  <si>
    <t xml:space="preserve">TARHEA</t>
  </si>
  <si>
    <t xml:space="preserve">1992-12-09</t>
  </si>
  <si>
    <t xml:space="preserve">147 OAK KNOLL AVE SE</t>
  </si>
  <si>
    <t xml:space="preserve">OH0021351043</t>
  </si>
  <si>
    <t xml:space="preserve">KANISHA</t>
  </si>
  <si>
    <t xml:space="preserve">1992-04-27</t>
  </si>
  <si>
    <t xml:space="preserve">OH0015738425</t>
  </si>
  <si>
    <t xml:space="preserve">HUGHLEY</t>
  </si>
  <si>
    <t xml:space="preserve">LATRICIA</t>
  </si>
  <si>
    <t xml:space="preserve">1972-05-25</t>
  </si>
  <si>
    <t xml:space="preserve">2020-09-16</t>
  </si>
  <si>
    <t xml:space="preserve">OH0027508427</t>
  </si>
  <si>
    <t xml:space="preserve">MERCHANT</t>
  </si>
  <si>
    <t xml:space="preserve">KENZIE</t>
  </si>
  <si>
    <t xml:space="preserve">2004-12-29</t>
  </si>
  <si>
    <t xml:space="preserve">1504 OAK KNOLL AVE SE</t>
  </si>
  <si>
    <t xml:space="preserve">OH0027508498</t>
  </si>
  <si>
    <t xml:space="preserve">PIFER</t>
  </si>
  <si>
    <t xml:space="preserve">AYDEN</t>
  </si>
  <si>
    <t xml:space="preserve">2004-10-12</t>
  </si>
  <si>
    <t xml:space="preserve">OH0027508514</t>
  </si>
  <si>
    <t xml:space="preserve">CAVALCANTI</t>
  </si>
  <si>
    <t xml:space="preserve">BRITNEY</t>
  </si>
  <si>
    <t xml:space="preserve">1995-11-14</t>
  </si>
  <si>
    <t xml:space="preserve">OH0027535426</t>
  </si>
  <si>
    <t xml:space="preserve">1977-10-10</t>
  </si>
  <si>
    <t xml:space="preserve">OH0027896249</t>
  </si>
  <si>
    <t xml:space="preserve">1961-02-25</t>
  </si>
  <si>
    <t xml:space="preserve">2025-02-13</t>
  </si>
  <si>
    <t xml:space="preserve">OH0027788939</t>
  </si>
  <si>
    <t xml:space="preserve">1980-07-14</t>
  </si>
  <si>
    <t xml:space="preserve">OH0015731436</t>
  </si>
  <si>
    <t xml:space="preserve">1971-12-15</t>
  </si>
  <si>
    <t xml:space="preserve">2007-05-29</t>
  </si>
  <si>
    <t xml:space="preserve">1522 OAK KNOLL AVE SE</t>
  </si>
  <si>
    <t xml:space="preserve">OH0023526565</t>
  </si>
  <si>
    <t xml:space="preserve">ELEXIS</t>
  </si>
  <si>
    <t xml:space="preserve">1998-01-10</t>
  </si>
  <si>
    <t xml:space="preserve">2018-09-14</t>
  </si>
  <si>
    <t xml:space="preserve">OH0015695753</t>
  </si>
  <si>
    <t xml:space="preserve">1948-02-19</t>
  </si>
  <si>
    <t xml:space="preserve">1970-01-06</t>
  </si>
  <si>
    <t xml:space="preserve">1527 OAK KNOLL AVE SE</t>
  </si>
  <si>
    <t xml:space="preserve">OH0015745205</t>
  </si>
  <si>
    <t xml:space="preserve">WILDA</t>
  </si>
  <si>
    <t xml:space="preserve">1936-12-10</t>
  </si>
  <si>
    <t xml:space="preserve">1538 OAK KNOLL AVE SE</t>
  </si>
  <si>
    <t xml:space="preserve">OH0026850576</t>
  </si>
  <si>
    <t xml:space="preserve">KATINA</t>
  </si>
  <si>
    <t xml:space="preserve">1974-03-24</t>
  </si>
  <si>
    <t xml:space="preserve">1548 OAK KNOLL AVE SE</t>
  </si>
  <si>
    <t xml:space="preserve">OH0025122740</t>
  </si>
  <si>
    <t xml:space="preserve">CHOLEVA</t>
  </si>
  <si>
    <t xml:space="preserve">RAELYN</t>
  </si>
  <si>
    <t xml:space="preserve">2001-03-22</t>
  </si>
  <si>
    <t xml:space="preserve">OH0015790968</t>
  </si>
  <si>
    <t xml:space="preserve">PATCHIN</t>
  </si>
  <si>
    <t xml:space="preserve">1948-08-16</t>
  </si>
  <si>
    <t xml:space="preserve">1972-08-21</t>
  </si>
  <si>
    <t xml:space="preserve">156 OAK KNOLL AVE SE</t>
  </si>
  <si>
    <t xml:space="preserve">OH0023728543</t>
  </si>
  <si>
    <t xml:space="preserve">SCHMUCKER</t>
  </si>
  <si>
    <t xml:space="preserve">1961-06-11</t>
  </si>
  <si>
    <t xml:space="preserve">2016-06-15</t>
  </si>
  <si>
    <t xml:space="preserve">1567 OAK KNOLL AVE SE</t>
  </si>
  <si>
    <t xml:space="preserve">OH0026253056</t>
  </si>
  <si>
    <t xml:space="preserve">SEXTON</t>
  </si>
  <si>
    <t xml:space="preserve">STERLING</t>
  </si>
  <si>
    <t xml:space="preserve">2024-05-31</t>
  </si>
  <si>
    <t xml:space="preserve">157 OAK KNOLL AVE SE</t>
  </si>
  <si>
    <t xml:space="preserve">OH0022688416</t>
  </si>
  <si>
    <t xml:space="preserve">KIRKLAND</t>
  </si>
  <si>
    <t xml:space="preserve">1995-09-09</t>
  </si>
  <si>
    <t xml:space="preserve">2018-10-27</t>
  </si>
  <si>
    <t xml:space="preserve">1570 OAK KNOLL AVE SE</t>
  </si>
  <si>
    <t xml:space="preserve">OH0019196524</t>
  </si>
  <si>
    <t xml:space="preserve">1939-06-22</t>
  </si>
  <si>
    <t xml:space="preserve">2007-07-03</t>
  </si>
  <si>
    <t xml:space="preserve">OH0026450501</t>
  </si>
  <si>
    <t xml:space="preserve">TONIE</t>
  </si>
  <si>
    <t xml:space="preserve">ALICE</t>
  </si>
  <si>
    <t xml:space="preserve">2003-01-04</t>
  </si>
  <si>
    <t xml:space="preserve">1580 OAK KNOLL AVE SE</t>
  </si>
  <si>
    <t xml:space="preserve">OH0015907083</t>
  </si>
  <si>
    <t xml:space="preserve">CRYSTAL</t>
  </si>
  <si>
    <t xml:space="preserve">1971-12-12</t>
  </si>
  <si>
    <t xml:space="preserve">2014-08-06</t>
  </si>
  <si>
    <t xml:space="preserve">OH0015752381</t>
  </si>
  <si>
    <t xml:space="preserve">1971-07-27</t>
  </si>
  <si>
    <t xml:space="preserve">2019-02-05</t>
  </si>
  <si>
    <t xml:space="preserve">1583 OAK KNOLL AVE SE</t>
  </si>
  <si>
    <t xml:space="preserve">OH0015724972</t>
  </si>
  <si>
    <t xml:space="preserve">1949-07-17</t>
  </si>
  <si>
    <t xml:space="preserve">1592 OAK KNOLL AVE SE</t>
  </si>
  <si>
    <t xml:space="preserve">OH0023084158</t>
  </si>
  <si>
    <t xml:space="preserve">MIYONA</t>
  </si>
  <si>
    <t xml:space="preserve">NICOLE ANNE</t>
  </si>
  <si>
    <t xml:space="preserve">1997-07-12</t>
  </si>
  <si>
    <t xml:space="preserve">OH0021830310</t>
  </si>
  <si>
    <t xml:space="preserve">SIR MICHAEL</t>
  </si>
  <si>
    <t xml:space="preserve">1987-03-13</t>
  </si>
  <si>
    <t xml:space="preserve">2013-04-12</t>
  </si>
  <si>
    <t xml:space="preserve">1600 OAK KNOLL AVE SE</t>
  </si>
  <si>
    <t xml:space="preserve">OH0023011988</t>
  </si>
  <si>
    <t xml:space="preserve">1995-05-28</t>
  </si>
  <si>
    <t xml:space="preserve">2018-08-20</t>
  </si>
  <si>
    <t xml:space="preserve">OH0027501123</t>
  </si>
  <si>
    <t xml:space="preserve">RAMON</t>
  </si>
  <si>
    <t xml:space="preserve">1980-07-10</t>
  </si>
  <si>
    <t xml:space="preserve">1611 OAK KNOLL AVE SE</t>
  </si>
  <si>
    <t xml:space="preserve">OH0015817100</t>
  </si>
  <si>
    <t xml:space="preserve">DONAVAN</t>
  </si>
  <si>
    <t xml:space="preserve">1980-06-24</t>
  </si>
  <si>
    <t xml:space="preserve">1617 OAK KNOLL AVE SE</t>
  </si>
  <si>
    <t xml:space="preserve">OH0027496911</t>
  </si>
  <si>
    <t xml:space="preserve">QUENTIN</t>
  </si>
  <si>
    <t xml:space="preserve">2001-11-08</t>
  </si>
  <si>
    <t xml:space="preserve">1619 OAK KNOLL AVE SE</t>
  </si>
  <si>
    <t xml:space="preserve">OH0027492183</t>
  </si>
  <si>
    <t xml:space="preserve">JAVONTAI</t>
  </si>
  <si>
    <t xml:space="preserve">2001-01-01</t>
  </si>
  <si>
    <t xml:space="preserve">OH0027520071</t>
  </si>
  <si>
    <t xml:space="preserve">BENTLEY</t>
  </si>
  <si>
    <t xml:space="preserve">BELINDA</t>
  </si>
  <si>
    <t xml:space="preserve">1979-04-26</t>
  </si>
  <si>
    <t xml:space="preserve">OH0015695072</t>
  </si>
  <si>
    <t xml:space="preserve">CANTY</t>
  </si>
  <si>
    <t xml:space="preserve">1933-06-29</t>
  </si>
  <si>
    <t xml:space="preserve">1959-10-01</t>
  </si>
  <si>
    <t xml:space="preserve">1630 OAK KNOLL AVE SE</t>
  </si>
  <si>
    <t xml:space="preserve">OH0015695074</t>
  </si>
  <si>
    <t xml:space="preserve">RUBY</t>
  </si>
  <si>
    <t xml:space="preserve">1934-05-23</t>
  </si>
  <si>
    <t xml:space="preserve">OH0023357670</t>
  </si>
  <si>
    <t xml:space="preserve">JAMAR</t>
  </si>
  <si>
    <t xml:space="preserve">1981-06-04</t>
  </si>
  <si>
    <t xml:space="preserve">2015-10-02</t>
  </si>
  <si>
    <t xml:space="preserve">1648 OAK KNOLL AVE SE</t>
  </si>
  <si>
    <t xml:space="preserve">OH0015697847</t>
  </si>
  <si>
    <t xml:space="preserve">1964-04-13</t>
  </si>
  <si>
    <t xml:space="preserve">OH0024598609</t>
  </si>
  <si>
    <t xml:space="preserve">1986-06-23</t>
  </si>
  <si>
    <t xml:space="preserve">OH0015696560</t>
  </si>
  <si>
    <t xml:space="preserve">BUYDOS</t>
  </si>
  <si>
    <t xml:space="preserve">1964-07-01</t>
  </si>
  <si>
    <t xml:space="preserve">166 OAK KNOLL AVE SE</t>
  </si>
  <si>
    <t xml:space="preserve">OH0015761044</t>
  </si>
  <si>
    <t xml:space="preserve">LAMPLEY</t>
  </si>
  <si>
    <t xml:space="preserve">TOVARICE</t>
  </si>
  <si>
    <t xml:space="preserve">1957-12-04</t>
  </si>
  <si>
    <t xml:space="preserve">1664 OAK KNOLL AVE SE</t>
  </si>
  <si>
    <t xml:space="preserve">OH0027364155</t>
  </si>
  <si>
    <t xml:space="preserve">WEDDELL</t>
  </si>
  <si>
    <t xml:space="preserve">CORY</t>
  </si>
  <si>
    <t xml:space="preserve">ROSS</t>
  </si>
  <si>
    <t xml:space="preserve">1988-08-21</t>
  </si>
  <si>
    <t xml:space="preserve">167 OAK KNOLL AVE SE</t>
  </si>
  <si>
    <t xml:space="preserve">OH0025049070</t>
  </si>
  <si>
    <t xml:space="preserve">RODGERS</t>
  </si>
  <si>
    <t xml:space="preserve">QUASMERAE</t>
  </si>
  <si>
    <t xml:space="preserve">2001-03-05</t>
  </si>
  <si>
    <t xml:space="preserve">1683 OAK KNOLL AVE SE</t>
  </si>
  <si>
    <t xml:space="preserve">OH0027522240</t>
  </si>
  <si>
    <t xml:space="preserve">PRUITT</t>
  </si>
  <si>
    <t xml:space="preserve">ANIYUH</t>
  </si>
  <si>
    <t xml:space="preserve">1999-02-24</t>
  </si>
  <si>
    <t xml:space="preserve">1690 OAK KNOLL AVE SE</t>
  </si>
  <si>
    <t xml:space="preserve">OH0021649699</t>
  </si>
  <si>
    <t xml:space="preserve">1957-03-12</t>
  </si>
  <si>
    <t xml:space="preserve">2015-07-22</t>
  </si>
  <si>
    <t xml:space="preserve">176 OAK KNOLL AVE SE</t>
  </si>
  <si>
    <t xml:space="preserve">OH0015822305</t>
  </si>
  <si>
    <t xml:space="preserve">1963-12-16</t>
  </si>
  <si>
    <t xml:space="preserve">2015-07-24</t>
  </si>
  <si>
    <t xml:space="preserve">OH0015822944</t>
  </si>
  <si>
    <t xml:space="preserve">DEJACIMO</t>
  </si>
  <si>
    <t xml:space="preserve">LEVI</t>
  </si>
  <si>
    <t xml:space="preserve">1980-11-14</t>
  </si>
  <si>
    <t xml:space="preserve">2013-06-23</t>
  </si>
  <si>
    <t xml:space="preserve">177 OAK KNOLL AVE SE</t>
  </si>
  <si>
    <t xml:space="preserve">OH0015822930</t>
  </si>
  <si>
    <t xml:space="preserve">JEANINE</t>
  </si>
  <si>
    <t xml:space="preserve">1981-01-29</t>
  </si>
  <si>
    <t xml:space="preserve">2015-06-27</t>
  </si>
  <si>
    <t xml:space="preserve">OH0015818480</t>
  </si>
  <si>
    <t xml:space="preserve">MCCULLOUGH</t>
  </si>
  <si>
    <t xml:space="preserve">1982-08-09</t>
  </si>
  <si>
    <t xml:space="preserve">2013-09-06</t>
  </si>
  <si>
    <t xml:space="preserve">186 OAK KNOLL AVE SE</t>
  </si>
  <si>
    <t xml:space="preserve">OH0022073297</t>
  </si>
  <si>
    <t xml:space="preserve">1984-04-15</t>
  </si>
  <si>
    <t xml:space="preserve">2024-04-13</t>
  </si>
  <si>
    <t xml:space="preserve">OH0015685750</t>
  </si>
  <si>
    <t xml:space="preserve">BOURNIAS</t>
  </si>
  <si>
    <t xml:space="preserve">1949-04-21</t>
  </si>
  <si>
    <t xml:space="preserve">196 OAK KNOLL AVE SE</t>
  </si>
  <si>
    <t xml:space="preserve">OH0015742205</t>
  </si>
  <si>
    <t xml:space="preserve">1982-12-08</t>
  </si>
  <si>
    <t xml:space="preserve">2023-12-07</t>
  </si>
  <si>
    <t xml:space="preserve">197 OAK KNOLL AVE SE</t>
  </si>
  <si>
    <t xml:space="preserve">OH0022553235</t>
  </si>
  <si>
    <t xml:space="preserve">1981-09-23</t>
  </si>
  <si>
    <t xml:space="preserve">OH0015814998</t>
  </si>
  <si>
    <t xml:space="preserve">1966-01-03</t>
  </si>
  <si>
    <t xml:space="preserve">2015-10-16</t>
  </si>
  <si>
    <t xml:space="preserve">206 OAK KNOLL AVE SE</t>
  </si>
  <si>
    <t xml:space="preserve">OH0024086241</t>
  </si>
  <si>
    <t xml:space="preserve">1977-11-04</t>
  </si>
  <si>
    <t xml:space="preserve">2021-09-29</t>
  </si>
  <si>
    <t xml:space="preserve">207 OAK KNOLL AVE SE</t>
  </si>
  <si>
    <t xml:space="preserve">OH0026995595</t>
  </si>
  <si>
    <t xml:space="preserve">1975-12-15</t>
  </si>
  <si>
    <t xml:space="preserve">2023-08-05</t>
  </si>
  <si>
    <t xml:space="preserve">216 OAK KNOLL AVE SE</t>
  </si>
  <si>
    <t xml:space="preserve">OH0015811065</t>
  </si>
  <si>
    <t xml:space="preserve">CIBELLA</t>
  </si>
  <si>
    <t xml:space="preserve">JILL</t>
  </si>
  <si>
    <t xml:space="preserve">1951-09-21</t>
  </si>
  <si>
    <t xml:space="preserve">217 OAK KNOLL AVE SE</t>
  </si>
  <si>
    <t xml:space="preserve">OH0026925326</t>
  </si>
  <si>
    <t xml:space="preserve">RYLIE</t>
  </si>
  <si>
    <t xml:space="preserve">2005-01-16</t>
  </si>
  <si>
    <t xml:space="preserve">226 OAK KNOLL AVE SE</t>
  </si>
  <si>
    <t xml:space="preserve">OH0015797464</t>
  </si>
  <si>
    <t xml:space="preserve">MATTEO</t>
  </si>
  <si>
    <t xml:space="preserve">MARCI</t>
  </si>
  <si>
    <t xml:space="preserve">1967-04-27</t>
  </si>
  <si>
    <t xml:space="preserve">OH0024484103</t>
  </si>
  <si>
    <t xml:space="preserve">NGUYEN</t>
  </si>
  <si>
    <t xml:space="preserve">TRACIE</t>
  </si>
  <si>
    <t xml:space="preserve">THI</t>
  </si>
  <si>
    <t xml:space="preserve">1972-03-17</t>
  </si>
  <si>
    <t xml:space="preserve">2021-09-28</t>
  </si>
  <si>
    <t xml:space="preserve">227 OAK KNOLL AVE SE</t>
  </si>
  <si>
    <t xml:space="preserve">OH0021429640</t>
  </si>
  <si>
    <t xml:space="preserve">1993-02-23</t>
  </si>
  <si>
    <t xml:space="preserve">247 OAK KNOLL AVE SE</t>
  </si>
  <si>
    <t xml:space="preserve">OH0027179799</t>
  </si>
  <si>
    <t xml:space="preserve">MASTER</t>
  </si>
  <si>
    <t xml:space="preserve">JEAN MARIE</t>
  </si>
  <si>
    <t xml:space="preserve">1989-06-29</t>
  </si>
  <si>
    <t xml:space="preserve">304 OAK KNOLL AVE SE</t>
  </si>
  <si>
    <t xml:space="preserve">OH0024977701</t>
  </si>
  <si>
    <t xml:space="preserve">OLDFIELD</t>
  </si>
  <si>
    <t xml:space="preserve">1990-05-21</t>
  </si>
  <si>
    <t xml:space="preserve">2018-11-08</t>
  </si>
  <si>
    <t xml:space="preserve">OH0022789195</t>
  </si>
  <si>
    <t xml:space="preserve">MANGLE</t>
  </si>
  <si>
    <t xml:space="preserve">1970-05-27</t>
  </si>
  <si>
    <t xml:space="preserve">2014-05-30</t>
  </si>
  <si>
    <t xml:space="preserve">305 OAK KNOLL AVE SE</t>
  </si>
  <si>
    <t xml:space="preserve">OH0015727103</t>
  </si>
  <si>
    <t xml:space="preserve">KONITSNEY</t>
  </si>
  <si>
    <t xml:space="preserve">1941-08-31</t>
  </si>
  <si>
    <t xml:space="preserve">2019-01-04</t>
  </si>
  <si>
    <t xml:space="preserve">OH0015739505</t>
  </si>
  <si>
    <t xml:space="preserve">ANN KONITSNEY</t>
  </si>
  <si>
    <t xml:space="preserve">1972-11-30</t>
  </si>
  <si>
    <t xml:space="preserve">OH0024711982</t>
  </si>
  <si>
    <t xml:space="preserve">ELLIE</t>
  </si>
  <si>
    <t xml:space="preserve">1987-10-26</t>
  </si>
  <si>
    <t xml:space="preserve">2016-07-01</t>
  </si>
  <si>
    <t xml:space="preserve">314 OAK KNOLL AVE SE</t>
  </si>
  <si>
    <t xml:space="preserve">OH0025212369</t>
  </si>
  <si>
    <t xml:space="preserve">REEDER</t>
  </si>
  <si>
    <t xml:space="preserve">1972-10-06</t>
  </si>
  <si>
    <t xml:space="preserve">2022-08-06</t>
  </si>
  <si>
    <t xml:space="preserve">315 OAK KNOLL AVE SE</t>
  </si>
  <si>
    <t xml:space="preserve">OH0025194089</t>
  </si>
  <si>
    <t xml:space="preserve">DANELL</t>
  </si>
  <si>
    <t xml:space="preserve">1971-12-05</t>
  </si>
  <si>
    <t xml:space="preserve">2019-08-31</t>
  </si>
  <si>
    <t xml:space="preserve">OH0026322582</t>
  </si>
  <si>
    <t xml:space="preserve">1997-09-14</t>
  </si>
  <si>
    <t xml:space="preserve">2021-09-22</t>
  </si>
  <si>
    <t xml:space="preserve">OH0024568373</t>
  </si>
  <si>
    <t xml:space="preserve">1999-08-07</t>
  </si>
  <si>
    <t xml:space="preserve">324 OAK KNOLL AVE SE</t>
  </si>
  <si>
    <t xml:space="preserve">OH0023186539</t>
  </si>
  <si>
    <t xml:space="preserve">VANESSA</t>
  </si>
  <si>
    <t xml:space="preserve">OH0023186813</t>
  </si>
  <si>
    <t xml:space="preserve">1996-04-30</t>
  </si>
  <si>
    <t xml:space="preserve">OH0015686027</t>
  </si>
  <si>
    <t xml:space="preserve">GLASS</t>
  </si>
  <si>
    <t xml:space="preserve">ARLENE</t>
  </si>
  <si>
    <t xml:space="preserve">FAYE</t>
  </si>
  <si>
    <t xml:space="preserve">1954-06-03</t>
  </si>
  <si>
    <t xml:space="preserve">2011-06-18</t>
  </si>
  <si>
    <t xml:space="preserve">325 OAK KNOLL AVE SE</t>
  </si>
  <si>
    <t xml:space="preserve">OH0027496326</t>
  </si>
  <si>
    <t xml:space="preserve">KALYN</t>
  </si>
  <si>
    <t xml:space="preserve">1988-03-18</t>
  </si>
  <si>
    <t xml:space="preserve">330 OAK KNOLL AVE SE</t>
  </si>
  <si>
    <t xml:space="preserve">OH0019139616</t>
  </si>
  <si>
    <t xml:space="preserve">ROWLEY</t>
  </si>
  <si>
    <t xml:space="preserve">1968-06-25</t>
  </si>
  <si>
    <t xml:space="preserve">2017-10-21</t>
  </si>
  <si>
    <t xml:space="preserve">334 OAK KNOLL AVE SE</t>
  </si>
  <si>
    <t xml:space="preserve">OH0015738360</t>
  </si>
  <si>
    <t xml:space="preserve">1973-01-01</t>
  </si>
  <si>
    <t xml:space="preserve">2017-12-31</t>
  </si>
  <si>
    <t xml:space="preserve">OH0015685815</t>
  </si>
  <si>
    <t xml:space="preserve">CHELSTOWSKI</t>
  </si>
  <si>
    <t xml:space="preserve">1946-11-02</t>
  </si>
  <si>
    <t xml:space="preserve">1972-02-17</t>
  </si>
  <si>
    <t xml:space="preserve">335 OAK KNOLL AVE SE</t>
  </si>
  <si>
    <t xml:space="preserve">OH0026203538</t>
  </si>
  <si>
    <t xml:space="preserve">MANSFIELD</t>
  </si>
  <si>
    <t xml:space="preserve">1983-07-02</t>
  </si>
  <si>
    <t xml:space="preserve">2021-05-24</t>
  </si>
  <si>
    <t xml:space="preserve">OH0022899087</t>
  </si>
  <si>
    <t xml:space="preserve">TRACE KEIR</t>
  </si>
  <si>
    <t xml:space="preserve">1990-08-18</t>
  </si>
  <si>
    <t xml:space="preserve">2025-04-06</t>
  </si>
  <si>
    <t xml:space="preserve">OH0025780760</t>
  </si>
  <si>
    <t xml:space="preserve">SZYKULSKI</t>
  </si>
  <si>
    <t xml:space="preserve">1949-07-16</t>
  </si>
  <si>
    <t xml:space="preserve">345 OAK KNOLL AVE SE</t>
  </si>
  <si>
    <t xml:space="preserve">OH0026142700</t>
  </si>
  <si>
    <t xml:space="preserve">1979-12-10</t>
  </si>
  <si>
    <t xml:space="preserve">2024-11-07</t>
  </si>
  <si>
    <t xml:space="preserve">OH0027360134</t>
  </si>
  <si>
    <t xml:space="preserve">GARVERICK</t>
  </si>
  <si>
    <t xml:space="preserve">1956-07-18</t>
  </si>
  <si>
    <t xml:space="preserve">2024-05-21</t>
  </si>
  <si>
    <t xml:space="preserve">354 OAK KNOLL AVE SE</t>
  </si>
  <si>
    <t xml:space="preserve">OH0021119946</t>
  </si>
  <si>
    <t xml:space="preserve">SANKEY</t>
  </si>
  <si>
    <t xml:space="preserve">1957-07-12</t>
  </si>
  <si>
    <t xml:space="preserve">OH0025119082</t>
  </si>
  <si>
    <t xml:space="preserve">DRUMMOND</t>
  </si>
  <si>
    <t xml:space="preserve">1980-11-24</t>
  </si>
  <si>
    <t xml:space="preserve">2019-06-21</t>
  </si>
  <si>
    <t xml:space="preserve">OH0015794006</t>
  </si>
  <si>
    <t xml:space="preserve">ROSALYN</t>
  </si>
  <si>
    <t xml:space="preserve">1955-10-14</t>
  </si>
  <si>
    <t xml:space="preserve">364 OAK KNOLL AVE SE</t>
  </si>
  <si>
    <t xml:space="preserve">OH0027250653</t>
  </si>
  <si>
    <t xml:space="preserve">1971-12-31</t>
  </si>
  <si>
    <t xml:space="preserve">2024-02-12</t>
  </si>
  <si>
    <t xml:space="preserve">OH0024117778</t>
  </si>
  <si>
    <t xml:space="preserve">MIKO</t>
  </si>
  <si>
    <t xml:space="preserve">1998-05-18</t>
  </si>
  <si>
    <t xml:space="preserve">OH0023916112</t>
  </si>
  <si>
    <t xml:space="preserve">KIZZY</t>
  </si>
  <si>
    <t xml:space="preserve">1980-04-26</t>
  </si>
  <si>
    <t xml:space="preserve">2019-05-03</t>
  </si>
  <si>
    <t xml:space="preserve">365 OAK KNOLL AVE SE</t>
  </si>
  <si>
    <t xml:space="preserve">OH0015760087</t>
  </si>
  <si>
    <t xml:space="preserve">NADAUD</t>
  </si>
  <si>
    <t xml:space="preserve">1980-05-02</t>
  </si>
  <si>
    <t xml:space="preserve">374 OAK KNOLL AVE SE</t>
  </si>
  <si>
    <t xml:space="preserve">OH0025587687</t>
  </si>
  <si>
    <t xml:space="preserve">MAKAYLA</t>
  </si>
  <si>
    <t xml:space="preserve">2001-12-22</t>
  </si>
  <si>
    <t xml:space="preserve">OH0023186964</t>
  </si>
  <si>
    <t xml:space="preserve">BEALL</t>
  </si>
  <si>
    <t xml:space="preserve">1986-04-16</t>
  </si>
  <si>
    <t xml:space="preserve">2015-06-17</t>
  </si>
  <si>
    <t xml:space="preserve">375 OAK KNOLL AVE SE</t>
  </si>
  <si>
    <t xml:space="preserve">OH0027931202</t>
  </si>
  <si>
    <t xml:space="preserve">MICAH</t>
  </si>
  <si>
    <t xml:space="preserve">OH0018583059</t>
  </si>
  <si>
    <t xml:space="preserve">MCCLELLAND</t>
  </si>
  <si>
    <t xml:space="preserve">1983-08-14</t>
  </si>
  <si>
    <t xml:space="preserve">2016-02-29</t>
  </si>
  <si>
    <t xml:space="preserve">OH0026411499</t>
  </si>
  <si>
    <t xml:space="preserve">COLIN</t>
  </si>
  <si>
    <t xml:space="preserve">1982-06-11</t>
  </si>
  <si>
    <t xml:space="preserve">2022-02-09</t>
  </si>
  <si>
    <t xml:space="preserve">384 OAK KNOLL AVE SE</t>
  </si>
  <si>
    <t xml:space="preserve">OH0027271717</t>
  </si>
  <si>
    <t xml:space="preserve">JAZMINE</t>
  </si>
  <si>
    <t xml:space="preserve">BREJEAN</t>
  </si>
  <si>
    <t xml:space="preserve">1994-01-10</t>
  </si>
  <si>
    <t xml:space="preserve">385 OAK KNOLL AVE SE</t>
  </si>
  <si>
    <t xml:space="preserve">OH0026272242</t>
  </si>
  <si>
    <t xml:space="preserve">SEILER</t>
  </si>
  <si>
    <t xml:space="preserve">1992-08-13</t>
  </si>
  <si>
    <t xml:space="preserve">2021-08-24</t>
  </si>
  <si>
    <t xml:space="preserve">OH0025781710</t>
  </si>
  <si>
    <t xml:space="preserve">1987-05-18</t>
  </si>
  <si>
    <t xml:space="preserve">391 OAK KNOLL AVE SE</t>
  </si>
  <si>
    <t xml:space="preserve">OH0024359099</t>
  </si>
  <si>
    <t xml:space="preserve">SHALEIKA</t>
  </si>
  <si>
    <t xml:space="preserve">1989-07-10</t>
  </si>
  <si>
    <t xml:space="preserve">2017-08-14</t>
  </si>
  <si>
    <t xml:space="preserve">395 OAK KNOLL AVE SE</t>
  </si>
  <si>
    <t xml:space="preserve">OH0015795536</t>
  </si>
  <si>
    <t xml:space="preserve">TWYLA</t>
  </si>
  <si>
    <t xml:space="preserve">SP</t>
  </si>
  <si>
    <t xml:space="preserve">1986-02-04</t>
  </si>
  <si>
    <t xml:space="preserve">2020-03-12</t>
  </si>
  <si>
    <t xml:space="preserve">OH0015691004</t>
  </si>
  <si>
    <t xml:space="preserve">OHLIN</t>
  </si>
  <si>
    <t xml:space="preserve">1963-04-13</t>
  </si>
  <si>
    <t xml:space="preserve">404 OAK KNOLL AVE SE</t>
  </si>
  <si>
    <t xml:space="preserve">OH0026937155</t>
  </si>
  <si>
    <t xml:space="preserve">JAYNES</t>
  </si>
  <si>
    <t xml:space="preserve">MELISA</t>
  </si>
  <si>
    <t xml:space="preserve">1972-06-22</t>
  </si>
  <si>
    <t xml:space="preserve">506 OAK KNOLL AVE SE</t>
  </si>
  <si>
    <t xml:space="preserve">OH0023904459</t>
  </si>
  <si>
    <t xml:space="preserve">MINOTTI</t>
  </si>
  <si>
    <t xml:space="preserve">1976-08-12</t>
  </si>
  <si>
    <t xml:space="preserve">2025-06-03</t>
  </si>
  <si>
    <t xml:space="preserve">507 OAK KNOLL AVE SE</t>
  </si>
  <si>
    <t xml:space="preserve">OH0015692908</t>
  </si>
  <si>
    <t xml:space="preserve">ZILLINGER</t>
  </si>
  <si>
    <t xml:space="preserve">1951-08-05</t>
  </si>
  <si>
    <t xml:space="preserve">517 OAK KNOLL AVE SE</t>
  </si>
  <si>
    <t xml:space="preserve">OH0023630704</t>
  </si>
  <si>
    <t xml:space="preserve">MCELROY</t>
  </si>
  <si>
    <t xml:space="preserve">1986-03-31</t>
  </si>
  <si>
    <t xml:space="preserve">OH0027556702</t>
  </si>
  <si>
    <t xml:space="preserve">CARLI</t>
  </si>
  <si>
    <t xml:space="preserve">1981-10-12</t>
  </si>
  <si>
    <t xml:space="preserve">2024-09-03</t>
  </si>
  <si>
    <t xml:space="preserve">OH0019687850</t>
  </si>
  <si>
    <t xml:space="preserve">SCHULLER</t>
  </si>
  <si>
    <t xml:space="preserve">1979-07-31</t>
  </si>
  <si>
    <t xml:space="preserve">526 OAK KNOLL AVE SE</t>
  </si>
  <si>
    <t xml:space="preserve">OH0015814250</t>
  </si>
  <si>
    <t xml:space="preserve">CORRIN</t>
  </si>
  <si>
    <t xml:space="preserve">1979-08-26</t>
  </si>
  <si>
    <t xml:space="preserve">2009-12-09</t>
  </si>
  <si>
    <t xml:space="preserve">OH0026817993</t>
  </si>
  <si>
    <t xml:space="preserve">BRAYLEN</t>
  </si>
  <si>
    <t xml:space="preserve">2004-12-15</t>
  </si>
  <si>
    <t xml:space="preserve">OH0025128737</t>
  </si>
  <si>
    <t xml:space="preserve">2001-02-14</t>
  </si>
  <si>
    <t xml:space="preserve">OH0015977564</t>
  </si>
  <si>
    <t xml:space="preserve">CHIARELLA</t>
  </si>
  <si>
    <t xml:space="preserve">1954-07-09</t>
  </si>
  <si>
    <t xml:space="preserve">2019-07-30</t>
  </si>
  <si>
    <t xml:space="preserve">538 OAK KNOLL AVE SE</t>
  </si>
  <si>
    <t xml:space="preserve">OH0015967097</t>
  </si>
  <si>
    <t xml:space="preserve">PEGGY</t>
  </si>
  <si>
    <t xml:space="preserve">1952-12-11</t>
  </si>
  <si>
    <t xml:space="preserve">OH0024566237</t>
  </si>
  <si>
    <t xml:space="preserve">SIMES</t>
  </si>
  <si>
    <t xml:space="preserve">2000-08-01</t>
  </si>
  <si>
    <t xml:space="preserve">547 OAK KNOLL AVE SE</t>
  </si>
  <si>
    <t xml:space="preserve">OH0025049055</t>
  </si>
  <si>
    <t xml:space="preserve">SMELTZER</t>
  </si>
  <si>
    <t xml:space="preserve">2001-06-23</t>
  </si>
  <si>
    <t xml:space="preserve">557 OAK KNOLL AVE SE</t>
  </si>
  <si>
    <t xml:space="preserve">OH0015697555</t>
  </si>
  <si>
    <t xml:space="preserve">1965-02-26</t>
  </si>
  <si>
    <t xml:space="preserve">OH0025199260</t>
  </si>
  <si>
    <t xml:space="preserve">BARNARD</t>
  </si>
  <si>
    <t xml:space="preserve">2000-11-29</t>
  </si>
  <si>
    <t xml:space="preserve">2019-09-10</t>
  </si>
  <si>
    <t xml:space="preserve">OH0015687775</t>
  </si>
  <si>
    <t xml:space="preserve">PRIESTER</t>
  </si>
  <si>
    <t xml:space="preserve">1945-10-03</t>
  </si>
  <si>
    <t xml:space="preserve">1972-04-03</t>
  </si>
  <si>
    <t xml:space="preserve">558 OAK KNOLL AVE SE</t>
  </si>
  <si>
    <t xml:space="preserve">OH0015687770</t>
  </si>
  <si>
    <t xml:space="preserve">HELEN</t>
  </si>
  <si>
    <t xml:space="preserve">1945-08-20</t>
  </si>
  <si>
    <t xml:space="preserve">OH0025451123</t>
  </si>
  <si>
    <t xml:space="preserve">2001-10-26</t>
  </si>
  <si>
    <t xml:space="preserve">567 OAK KNOLL AVE SE</t>
  </si>
  <si>
    <t xml:space="preserve">OH0025020533</t>
  </si>
  <si>
    <t xml:space="preserve">MEGAN</t>
  </si>
  <si>
    <t xml:space="preserve">1981-07-17</t>
  </si>
  <si>
    <t xml:space="preserve">2019-01-24</t>
  </si>
  <si>
    <t xml:space="preserve">OH0023084170</t>
  </si>
  <si>
    <t xml:space="preserve">ROCK</t>
  </si>
  <si>
    <t xml:space="preserve">CD</t>
  </si>
  <si>
    <t xml:space="preserve">1996-04-10</t>
  </si>
  <si>
    <t xml:space="preserve">568 OAK KNOLL AVE SE</t>
  </si>
  <si>
    <t xml:space="preserve">OH0027701500</t>
  </si>
  <si>
    <t xml:space="preserve">LEAGUE</t>
  </si>
  <si>
    <t xml:space="preserve">2000-05-15</t>
  </si>
  <si>
    <t xml:space="preserve">OH0020061422</t>
  </si>
  <si>
    <t xml:space="preserve">ESTES</t>
  </si>
  <si>
    <t xml:space="preserve">LEAH</t>
  </si>
  <si>
    <t xml:space="preserve">1977-07-30</t>
  </si>
  <si>
    <t xml:space="preserve">2014-07-25</t>
  </si>
  <si>
    <t xml:space="preserve">OH0026316115</t>
  </si>
  <si>
    <t xml:space="preserve">FLASH</t>
  </si>
  <si>
    <t xml:space="preserve">1992-04-10</t>
  </si>
  <si>
    <t xml:space="preserve">577 OAK KNOLL AVE SE</t>
  </si>
  <si>
    <t xml:space="preserve">OH0026316086</t>
  </si>
  <si>
    <t xml:space="preserve">1954-09-12</t>
  </si>
  <si>
    <t xml:space="preserve">2021-11-19</t>
  </si>
  <si>
    <t xml:space="preserve">OH0024522720</t>
  </si>
  <si>
    <t xml:space="preserve">MERRICK</t>
  </si>
  <si>
    <t xml:space="preserve">1972-08-07</t>
  </si>
  <si>
    <t xml:space="preserve">578 OAK KNOLL AVE SE</t>
  </si>
  <si>
    <t xml:space="preserve">OH0020330934</t>
  </si>
  <si>
    <t xml:space="preserve">BLOOM</t>
  </si>
  <si>
    <t xml:space="preserve">1947-09-24</t>
  </si>
  <si>
    <t xml:space="preserve">2012-09-10</t>
  </si>
  <si>
    <t xml:space="preserve">OH0023093245</t>
  </si>
  <si>
    <t xml:space="preserve">1980-07-21</t>
  </si>
  <si>
    <t xml:space="preserve">2016-03-17</t>
  </si>
  <si>
    <t xml:space="preserve">OH0022053276</t>
  </si>
  <si>
    <t xml:space="preserve">LARRY</t>
  </si>
  <si>
    <t xml:space="preserve">1950-03-10</t>
  </si>
  <si>
    <t xml:space="preserve">587 OAK KNOLL AVE SE</t>
  </si>
  <si>
    <t xml:space="preserve">OH0021812004</t>
  </si>
  <si>
    <t xml:space="preserve">1987-10-21</t>
  </si>
  <si>
    <t xml:space="preserve">2016-04-12</t>
  </si>
  <si>
    <t xml:space="preserve">OH0021797076</t>
  </si>
  <si>
    <t xml:space="preserve">1949-03-15</t>
  </si>
  <si>
    <t xml:space="preserve">OH0015791475</t>
  </si>
  <si>
    <t xml:space="preserve">HURST</t>
  </si>
  <si>
    <t xml:space="preserve">CARLYN</t>
  </si>
  <si>
    <t xml:space="preserve">1971-05-11</t>
  </si>
  <si>
    <t xml:space="preserve">588 OAK KNOLL AVE SE</t>
  </si>
  <si>
    <t xml:space="preserve">OH0022357297</t>
  </si>
  <si>
    <t xml:space="preserve">SAPHIA</t>
  </si>
  <si>
    <t xml:space="preserve">RAQUEL</t>
  </si>
  <si>
    <t xml:space="preserve">1995-09-20</t>
  </si>
  <si>
    <t xml:space="preserve">597 OAK KNOLL AVE SE</t>
  </si>
  <si>
    <t xml:space="preserve">OH0027248329</t>
  </si>
  <si>
    <t xml:space="preserve">2004-09-16</t>
  </si>
  <si>
    <t xml:space="preserve">598 OAK KNOLL AVE SE</t>
  </si>
  <si>
    <t xml:space="preserve">OH0026240098</t>
  </si>
  <si>
    <t xml:space="preserve">BOGDEN</t>
  </si>
  <si>
    <t xml:space="preserve">JULIA</t>
  </si>
  <si>
    <t xml:space="preserve">2002-10-09</t>
  </si>
  <si>
    <t xml:space="preserve">2023-10-06</t>
  </si>
  <si>
    <t xml:space="preserve">OH0023646189</t>
  </si>
  <si>
    <t xml:space="preserve">1997-03-01</t>
  </si>
  <si>
    <t xml:space="preserve">2016-03-15</t>
  </si>
  <si>
    <t xml:space="preserve">607 OAK KNOLL AVE SE</t>
  </si>
  <si>
    <t xml:space="preserve">OH0024673344</t>
  </si>
  <si>
    <t xml:space="preserve">MALIA</t>
  </si>
  <si>
    <t xml:space="preserve">2000-03-02</t>
  </si>
  <si>
    <t xml:space="preserve">2018-09-18</t>
  </si>
  <si>
    <t xml:space="preserve">OH0015814155</t>
  </si>
  <si>
    <t xml:space="preserve">SONIA</t>
  </si>
  <si>
    <t xml:space="preserve">1975-04-21</t>
  </si>
  <si>
    <t xml:space="preserve">2015-07-10</t>
  </si>
  <si>
    <t xml:space="preserve">OH0022054459</t>
  </si>
  <si>
    <t xml:space="preserve">CROSS</t>
  </si>
  <si>
    <t xml:space="preserve">DARLENE</t>
  </si>
  <si>
    <t xml:space="preserve">608 OAK KNOLL AVE SE</t>
  </si>
  <si>
    <t xml:space="preserve">OH0026335416</t>
  </si>
  <si>
    <t xml:space="preserve">MARCH</t>
  </si>
  <si>
    <t xml:space="preserve">2003-12-06</t>
  </si>
  <si>
    <t xml:space="preserve">617 OAK KNOLL AVE SE</t>
  </si>
  <si>
    <t xml:space="preserve">OH0025720734</t>
  </si>
  <si>
    <t xml:space="preserve">1999-06-11</t>
  </si>
  <si>
    <t xml:space="preserve">618 OAK KNOLL AVE SE</t>
  </si>
  <si>
    <t xml:space="preserve">OH0015757011</t>
  </si>
  <si>
    <t xml:space="preserve">MOLLIE</t>
  </si>
  <si>
    <t xml:space="preserve">1992-09-28</t>
  </si>
  <si>
    <t xml:space="preserve">OH0027477444</t>
  </si>
  <si>
    <t xml:space="preserve">CARSON</t>
  </si>
  <si>
    <t xml:space="preserve">2004-05-26</t>
  </si>
  <si>
    <t xml:space="preserve">OH0018612011</t>
  </si>
  <si>
    <t xml:space="preserve">1955-08-20</t>
  </si>
  <si>
    <t xml:space="preserve">OH0015697824</t>
  </si>
  <si>
    <t xml:space="preserve">1934-03-15</t>
  </si>
  <si>
    <t xml:space="preserve">1983-05-09</t>
  </si>
  <si>
    <t xml:space="preserve">705 OAK KNOLL AVE SE</t>
  </si>
  <si>
    <t xml:space="preserve">OH0015742891</t>
  </si>
  <si>
    <t xml:space="preserve">REESE</t>
  </si>
  <si>
    <t xml:space="preserve">1967-09-15</t>
  </si>
  <si>
    <t xml:space="preserve">706 OAK KNOLL AVE SE</t>
  </si>
  <si>
    <t xml:space="preserve">OH0015687655</t>
  </si>
  <si>
    <t xml:space="preserve">1954-05-24</t>
  </si>
  <si>
    <t xml:space="preserve">715 OAK KNOLL AVE SE</t>
  </si>
  <si>
    <t xml:space="preserve">OH0015687654</t>
  </si>
  <si>
    <t xml:space="preserve">1954-02-09</t>
  </si>
  <si>
    <t xml:space="preserve">1976-04-06</t>
  </si>
  <si>
    <t xml:space="preserve">OH0015808585</t>
  </si>
  <si>
    <t xml:space="preserve">1983-10-05</t>
  </si>
  <si>
    <t xml:space="preserve">2001-09-17</t>
  </si>
  <si>
    <t xml:space="preserve">OH0019298736</t>
  </si>
  <si>
    <t xml:space="preserve">1974-01-14</t>
  </si>
  <si>
    <t xml:space="preserve">2016-08-06</t>
  </si>
  <si>
    <t xml:space="preserve">716 OAK KNOLL AVE SE</t>
  </si>
  <si>
    <t xml:space="preserve">OH0027542243</t>
  </si>
  <si>
    <t xml:space="preserve">1996-10-15</t>
  </si>
  <si>
    <t xml:space="preserve">OH0026453605</t>
  </si>
  <si>
    <t xml:space="preserve">CIESZENSKI</t>
  </si>
  <si>
    <t xml:space="preserve">2001-01-18</t>
  </si>
  <si>
    <t xml:space="preserve">725 OAK KNOLL AVE SE</t>
  </si>
  <si>
    <t xml:space="preserve">OH0023271935</t>
  </si>
  <si>
    <t xml:space="preserve">HUNT</t>
  </si>
  <si>
    <t xml:space="preserve">1990-09-09</t>
  </si>
  <si>
    <t xml:space="preserve">OH0025122788</t>
  </si>
  <si>
    <t xml:space="preserve">2001-03-10</t>
  </si>
  <si>
    <t xml:space="preserve">728 OAK KNOLL AVE SE</t>
  </si>
  <si>
    <t xml:space="preserve">OH0027838784</t>
  </si>
  <si>
    <t xml:space="preserve">1975-07-28</t>
  </si>
  <si>
    <t xml:space="preserve">743 OAK KNOLL AVE SE</t>
  </si>
  <si>
    <t xml:space="preserve">OH0026407822</t>
  </si>
  <si>
    <t xml:space="preserve">2002-02-02</t>
  </si>
  <si>
    <t xml:space="preserve">2022-01-08</t>
  </si>
  <si>
    <t xml:space="preserve">760 OAK KNOLL AVE SE</t>
  </si>
  <si>
    <t xml:space="preserve">OH0015822224</t>
  </si>
  <si>
    <t xml:space="preserve">1980-09-14</t>
  </si>
  <si>
    <t xml:space="preserve">OH0023339179</t>
  </si>
  <si>
    <t xml:space="preserve">STROVEL</t>
  </si>
  <si>
    <t xml:space="preserve">TEKA</t>
  </si>
  <si>
    <t xml:space="preserve">1987-03-17</t>
  </si>
  <si>
    <t xml:space="preserve">2015-09-24</t>
  </si>
  <si>
    <t xml:space="preserve">OH0025607149</t>
  </si>
  <si>
    <t xml:space="preserve">LUETTA</t>
  </si>
  <si>
    <t xml:space="preserve">1977-12-12</t>
  </si>
  <si>
    <t xml:space="preserve">OH0023339128</t>
  </si>
  <si>
    <t xml:space="preserve">TOMMY</t>
  </si>
  <si>
    <t xml:space="preserve">1981-10-14</t>
  </si>
  <si>
    <t xml:space="preserve">762 OAK KNOLL AVE SE</t>
  </si>
  <si>
    <t xml:space="preserve">OH0025816871</t>
  </si>
  <si>
    <t xml:space="preserve">GABEL</t>
  </si>
  <si>
    <t xml:space="preserve">1956-08-18</t>
  </si>
  <si>
    <t xml:space="preserve">2020-09-08</t>
  </si>
  <si>
    <t xml:space="preserve">771 OAK KNOLL AVE SE</t>
  </si>
  <si>
    <t xml:space="preserve">OH0025859147</t>
  </si>
  <si>
    <t xml:space="preserve">1931-05-03</t>
  </si>
  <si>
    <t xml:space="preserve">OH0015793490</t>
  </si>
  <si>
    <t xml:space="preserve">ROBSON</t>
  </si>
  <si>
    <t xml:space="preserve">1964-12-11</t>
  </si>
  <si>
    <t xml:space="preserve">780 OAK KNOLL AVE SE</t>
  </si>
  <si>
    <t xml:space="preserve">OH0015722834</t>
  </si>
  <si>
    <t xml:space="preserve">ESHELMAN</t>
  </si>
  <si>
    <t xml:space="preserve">1924-12-21</t>
  </si>
  <si>
    <t xml:space="preserve">1996-02-12</t>
  </si>
  <si>
    <t xml:space="preserve">790 OAK KNOLL AVE SE</t>
  </si>
  <si>
    <t xml:space="preserve">OH0023145847</t>
  </si>
  <si>
    <t xml:space="preserve">HARRINGTON</t>
  </si>
  <si>
    <t xml:space="preserve">TONYA</t>
  </si>
  <si>
    <t xml:space="preserve">1963-12-31</t>
  </si>
  <si>
    <t xml:space="preserve">OH0026586179</t>
  </si>
  <si>
    <t xml:space="preserve">LOVE</t>
  </si>
  <si>
    <t xml:space="preserve">2000-10-15</t>
  </si>
  <si>
    <t xml:space="preserve">OH0015753450</t>
  </si>
  <si>
    <t xml:space="preserve">FERRY</t>
  </si>
  <si>
    <t xml:space="preserve">BOBBIE</t>
  </si>
  <si>
    <t xml:space="preserve">1969-11-23</t>
  </si>
  <si>
    <t xml:space="preserve">791 OAK KNOLL AVE SE</t>
  </si>
  <si>
    <t xml:space="preserve">OH0015777567</t>
  </si>
  <si>
    <t xml:space="preserve">MORSE</t>
  </si>
  <si>
    <t xml:space="preserve">1975-07-31</t>
  </si>
  <si>
    <t xml:space="preserve">801 OAK KNOLL AVE SE</t>
  </si>
  <si>
    <t xml:space="preserve">OH0015722391</t>
  </si>
  <si>
    <t xml:space="preserve">IRWIN</t>
  </si>
  <si>
    <t xml:space="preserve">1963-09-10</t>
  </si>
  <si>
    <t xml:space="preserve">OH0015722429</t>
  </si>
  <si>
    <t xml:space="preserve">1972-10-05</t>
  </si>
  <si>
    <t xml:space="preserve">2012-09-12</t>
  </si>
  <si>
    <t xml:space="preserve">810 OAK KNOLL AVE SE</t>
  </si>
  <si>
    <t xml:space="preserve">OH0021513240</t>
  </si>
  <si>
    <t xml:space="preserve">DMETRI</t>
  </si>
  <si>
    <t xml:space="preserve">1989-12-07</t>
  </si>
  <si>
    <t xml:space="preserve">2012-10-08</t>
  </si>
  <si>
    <t xml:space="preserve">811 OAK KNOLL AVE SE</t>
  </si>
  <si>
    <t xml:space="preserve">OH0015769118</t>
  </si>
  <si>
    <t xml:space="preserve">ALBERTA</t>
  </si>
  <si>
    <t xml:space="preserve">1942-11-20</t>
  </si>
  <si>
    <t xml:space="preserve">1972-03-30</t>
  </si>
  <si>
    <t xml:space="preserve">OH0025046771</t>
  </si>
  <si>
    <t xml:space="preserve">SAURUK</t>
  </si>
  <si>
    <t xml:space="preserve">CORAL</t>
  </si>
  <si>
    <t xml:space="preserve">JULIANNE</t>
  </si>
  <si>
    <t xml:space="preserve">2019-02-27</t>
  </si>
  <si>
    <t xml:space="preserve">820 OAK KNOLL AVE SE</t>
  </si>
  <si>
    <t xml:space="preserve">OH0022443899</t>
  </si>
  <si>
    <t xml:space="preserve">1988-03-19</t>
  </si>
  <si>
    <t xml:space="preserve">2017-05-02</t>
  </si>
  <si>
    <t xml:space="preserve">OH0024248415</t>
  </si>
  <si>
    <t xml:space="preserve">1970-11-19</t>
  </si>
  <si>
    <t xml:space="preserve">OH0023753856</t>
  </si>
  <si>
    <t xml:space="preserve">1995-10-30</t>
  </si>
  <si>
    <t xml:space="preserve">2019-11-02</t>
  </si>
  <si>
    <t xml:space="preserve">830 OAK KNOLL AVE SE</t>
  </si>
  <si>
    <t xml:space="preserve">OH0015694817</t>
  </si>
  <si>
    <t xml:space="preserve">FULTZ</t>
  </si>
  <si>
    <t xml:space="preserve">1964-05-31</t>
  </si>
  <si>
    <t xml:space="preserve">831 OAK KNOLL AVE SE</t>
  </si>
  <si>
    <t xml:space="preserve">OH0027962530</t>
  </si>
  <si>
    <t xml:space="preserve">1968-06-18</t>
  </si>
  <si>
    <t xml:space="preserve">840 OAK KNOLL AVE SE</t>
  </si>
  <si>
    <t xml:space="preserve">OH0015732459</t>
  </si>
  <si>
    <t xml:space="preserve">MOSKO</t>
  </si>
  <si>
    <t xml:space="preserve">1960-03-30</t>
  </si>
  <si>
    <t xml:space="preserve">OH0015687769</t>
  </si>
  <si>
    <t xml:space="preserve">1961-09-12</t>
  </si>
  <si>
    <t xml:space="preserve">1980-07-06</t>
  </si>
  <si>
    <t xml:space="preserve">OH0015718846</t>
  </si>
  <si>
    <t xml:space="preserve">STARR</t>
  </si>
  <si>
    <t xml:space="preserve">1958-05-15</t>
  </si>
  <si>
    <t xml:space="preserve">2015-08-24</t>
  </si>
  <si>
    <t xml:space="preserve">841 OAK KNOLL AVE SE</t>
  </si>
  <si>
    <t xml:space="preserve">OH0015718852</t>
  </si>
  <si>
    <t xml:space="preserve">1954-07-28</t>
  </si>
  <si>
    <t xml:space="preserve">OH0023495222</t>
  </si>
  <si>
    <t xml:space="preserve">STAMP</t>
  </si>
  <si>
    <t xml:space="preserve">1977-09-23</t>
  </si>
  <si>
    <t xml:space="preserve">2024-12-30</t>
  </si>
  <si>
    <t xml:space="preserve">851 OAK KNOLL AVE SE</t>
  </si>
  <si>
    <t xml:space="preserve">OH0015807711</t>
  </si>
  <si>
    <t xml:space="preserve">FOREMAN</t>
  </si>
  <si>
    <t xml:space="preserve">1977-09-27</t>
  </si>
  <si>
    <t xml:space="preserve">2015-11-13</t>
  </si>
  <si>
    <t xml:space="preserve">860 OAK KNOLL AVE SE</t>
  </si>
  <si>
    <t xml:space="preserve">OH0015703729</t>
  </si>
  <si>
    <t xml:space="preserve">LANNY</t>
  </si>
  <si>
    <t xml:space="preserve">1965-11-16</t>
  </si>
  <si>
    <t xml:space="preserve">OH0025118144</t>
  </si>
  <si>
    <t xml:space="preserve">THORNE</t>
  </si>
  <si>
    <t xml:space="preserve">DAVEDA</t>
  </si>
  <si>
    <t xml:space="preserve">1984-10-19</t>
  </si>
  <si>
    <t xml:space="preserve">2019-05-30</t>
  </si>
  <si>
    <t xml:space="preserve">861 OAK KNOLL AVE SE</t>
  </si>
  <si>
    <t xml:space="preserve">OH0021291213</t>
  </si>
  <si>
    <t xml:space="preserve">BACON</t>
  </si>
  <si>
    <t xml:space="preserve">1976-08-03</t>
  </si>
  <si>
    <t xml:space="preserve">2022-12-01</t>
  </si>
  <si>
    <t xml:space="preserve">870 OAK KNOLL AVE SE</t>
  </si>
  <si>
    <t xml:space="preserve">OH0025224727</t>
  </si>
  <si>
    <t xml:space="preserve">RANTILLA</t>
  </si>
  <si>
    <t xml:space="preserve">2000-08-18</t>
  </si>
  <si>
    <t xml:space="preserve">2025-05-14</t>
  </si>
  <si>
    <t xml:space="preserve">OH0021374162</t>
  </si>
  <si>
    <t xml:space="preserve">1950-10-29</t>
  </si>
  <si>
    <t xml:space="preserve">871 OAK KNOLL AVE SE</t>
  </si>
  <si>
    <t xml:space="preserve">OH0027516949</t>
  </si>
  <si>
    <t xml:space="preserve">MARVIS</t>
  </si>
  <si>
    <t xml:space="preserve">1984-01-02</t>
  </si>
  <si>
    <t xml:space="preserve">880 OAK KNOLL AVE SE</t>
  </si>
  <si>
    <t xml:space="preserve">OH0027511503</t>
  </si>
  <si>
    <t xml:space="preserve">1992-09-27</t>
  </si>
  <si>
    <t xml:space="preserve">OH0019492258</t>
  </si>
  <si>
    <t xml:space="preserve">SCISINGER</t>
  </si>
  <si>
    <t xml:space="preserve">1946-02-18</t>
  </si>
  <si>
    <t xml:space="preserve">2013-02-14</t>
  </si>
  <si>
    <t xml:space="preserve">890 OAK KNOLL AVE SE</t>
  </si>
  <si>
    <t xml:space="preserve">OH0027140928</t>
  </si>
  <si>
    <t xml:space="preserve">GOSS</t>
  </si>
  <si>
    <t xml:space="preserve">DRAKAYNE</t>
  </si>
  <si>
    <t xml:space="preserve">2005-03-01</t>
  </si>
  <si>
    <t xml:space="preserve">2023-10-03</t>
  </si>
  <si>
    <t xml:space="preserve">891 OAK KNOLL AVE SE</t>
  </si>
  <si>
    <t xml:space="preserve">OH0023652758</t>
  </si>
  <si>
    <t xml:space="preserve">NAYLOR</t>
  </si>
  <si>
    <t xml:space="preserve">1987-02-25</t>
  </si>
  <si>
    <t xml:space="preserve">2020-02-15</t>
  </si>
  <si>
    <t xml:space="preserve">OH0015797214</t>
  </si>
  <si>
    <t xml:space="preserve">1985-06-24</t>
  </si>
  <si>
    <t xml:space="preserve">2019-06-08</t>
  </si>
  <si>
    <t xml:space="preserve">OH0015725509</t>
  </si>
  <si>
    <t xml:space="preserve">1960-03-04</t>
  </si>
  <si>
    <t xml:space="preserve">1988-09-15</t>
  </si>
  <si>
    <t xml:space="preserve">900 OAK KNOLL AVE SE</t>
  </si>
  <si>
    <t xml:space="preserve">OH0015816662</t>
  </si>
  <si>
    <t xml:space="preserve">1958-08-28</t>
  </si>
  <si>
    <t xml:space="preserve">1996-09-18</t>
  </si>
  <si>
    <t xml:space="preserve">OH0026995368</t>
  </si>
  <si>
    <t xml:space="preserve">NEUMAN</t>
  </si>
  <si>
    <t xml:space="preserve">2004-10-22</t>
  </si>
  <si>
    <t xml:space="preserve">901 OAK KNOLL AVE SE</t>
  </si>
  <si>
    <t xml:space="preserve">OH0026995483</t>
  </si>
  <si>
    <t xml:space="preserve">CONAWAY</t>
  </si>
  <si>
    <t xml:space="preserve">2003-12-27</t>
  </si>
  <si>
    <t xml:space="preserve">2024-02-21</t>
  </si>
  <si>
    <t xml:space="preserve">OH0026085856</t>
  </si>
  <si>
    <t xml:space="preserve">911 OAK KNOLL AVE SE</t>
  </si>
  <si>
    <t xml:space="preserve">OH0020288863</t>
  </si>
  <si>
    <t xml:space="preserve">WILDE</t>
  </si>
  <si>
    <t xml:space="preserve">1990-06-08</t>
  </si>
  <si>
    <t xml:space="preserve">2020-06-07</t>
  </si>
  <si>
    <t xml:space="preserve">920 OAK KNOLL AVE SE</t>
  </si>
  <si>
    <t xml:space="preserve">OH0022012359</t>
  </si>
  <si>
    <t xml:space="preserve">GARRET</t>
  </si>
  <si>
    <t xml:space="preserve">2012-08-29</t>
  </si>
  <si>
    <t xml:space="preserve">OH0015691537</t>
  </si>
  <si>
    <t xml:space="preserve">1963-04-21</t>
  </si>
  <si>
    <t xml:space="preserve">1986-10-28</t>
  </si>
  <si>
    <t xml:space="preserve">OH0027292745</t>
  </si>
  <si>
    <t xml:space="preserve">ROWLETT</t>
  </si>
  <si>
    <t xml:space="preserve">LARA</t>
  </si>
  <si>
    <t xml:space="preserve">LECRONE</t>
  </si>
  <si>
    <t xml:space="preserve">1969-03-31</t>
  </si>
  <si>
    <t xml:space="preserve">921 OAK KNOLL AVE SE</t>
  </si>
  <si>
    <t xml:space="preserve">OH0025012994</t>
  </si>
  <si>
    <t xml:space="preserve">ASHCRAFT</t>
  </si>
  <si>
    <t xml:space="preserve">1970-05-26</t>
  </si>
  <si>
    <t xml:space="preserve">2019-01-10</t>
  </si>
  <si>
    <t xml:space="preserve">OH0023395056</t>
  </si>
  <si>
    <t xml:space="preserve">DYE</t>
  </si>
  <si>
    <t xml:space="preserve">1989-12-10</t>
  </si>
  <si>
    <t xml:space="preserve">930 OAK KNOLL AVE SE</t>
  </si>
  <si>
    <t xml:space="preserve">OH0026082892</t>
  </si>
  <si>
    <t xml:space="preserve">MACKELL</t>
  </si>
  <si>
    <t xml:space="preserve">LEANN</t>
  </si>
  <si>
    <t xml:space="preserve">1995-09-05</t>
  </si>
  <si>
    <t xml:space="preserve">OH0020788531</t>
  </si>
  <si>
    <t xml:space="preserve">1991-05-22</t>
  </si>
  <si>
    <t xml:space="preserve">OH0026307416</t>
  </si>
  <si>
    <t xml:space="preserve">1992-10-25</t>
  </si>
  <si>
    <t xml:space="preserve">OH0020649265</t>
  </si>
  <si>
    <t xml:space="preserve">FILE</t>
  </si>
  <si>
    <t xml:space="preserve">1973-09-13</t>
  </si>
  <si>
    <t xml:space="preserve">2009-05-05</t>
  </si>
  <si>
    <t xml:space="preserve">931 OAK KNOLL AVE SE</t>
  </si>
  <si>
    <t xml:space="preserve">OH0018955995</t>
  </si>
  <si>
    <t xml:space="preserve">1965-08-24</t>
  </si>
  <si>
    <t xml:space="preserve">940 OAK KNOLL AVE SE</t>
  </si>
  <si>
    <t xml:space="preserve">OH0019295717</t>
  </si>
  <si>
    <t xml:space="preserve">JONTAE</t>
  </si>
  <si>
    <t xml:space="preserve">1987-09-02</t>
  </si>
  <si>
    <t xml:space="preserve">424 OLIVE AVE NE</t>
  </si>
  <si>
    <t xml:space="preserve">OH0024990298</t>
  </si>
  <si>
    <t xml:space="preserve">ROBINETTE</t>
  </si>
  <si>
    <t xml:space="preserve">1988-06-04</t>
  </si>
  <si>
    <t xml:space="preserve">2024-11-04</t>
  </si>
  <si>
    <t xml:space="preserve">OH0025955750</t>
  </si>
  <si>
    <t xml:space="preserve">1977-04-16</t>
  </si>
  <si>
    <t xml:space="preserve">425 OLIVE AVE NE</t>
  </si>
  <si>
    <t xml:space="preserve">OH0025797754</t>
  </si>
  <si>
    <t xml:space="preserve">FIGUEROA</t>
  </si>
  <si>
    <t xml:space="preserve">YULLY</t>
  </si>
  <si>
    <t xml:space="preserve">1991-07-06</t>
  </si>
  <si>
    <t xml:space="preserve">2020-08-20</t>
  </si>
  <si>
    <t xml:space="preserve">OH0023264130</t>
  </si>
  <si>
    <t xml:space="preserve">1991-09-13</t>
  </si>
  <si>
    <t xml:space="preserve">434 OLIVE AVE NE</t>
  </si>
  <si>
    <t xml:space="preserve">OH0025640767</t>
  </si>
  <si>
    <t xml:space="preserve">AZADIUS</t>
  </si>
  <si>
    <t xml:space="preserve">REUEL</t>
  </si>
  <si>
    <t xml:space="preserve">2000-12-23</t>
  </si>
  <si>
    <t xml:space="preserve">445 OLIVE AVE NE</t>
  </si>
  <si>
    <t xml:space="preserve">OH0019008928</t>
  </si>
  <si>
    <t xml:space="preserve">1981-11-27</t>
  </si>
  <si>
    <t xml:space="preserve">OH0020343380</t>
  </si>
  <si>
    <t xml:space="preserve">1980-04-21</t>
  </si>
  <si>
    <t xml:space="preserve">OH0027623303</t>
  </si>
  <si>
    <t xml:space="preserve">RYDER</t>
  </si>
  <si>
    <t xml:space="preserve">1982-05-29</t>
  </si>
  <si>
    <t xml:space="preserve">454 OLIVE AVE NE</t>
  </si>
  <si>
    <t xml:space="preserve">OH0024413819</t>
  </si>
  <si>
    <t xml:space="preserve">1944-01-17</t>
  </si>
  <si>
    <t xml:space="preserve">OH0024413743</t>
  </si>
  <si>
    <t xml:space="preserve">1994-01-14</t>
  </si>
  <si>
    <t xml:space="preserve">2017-10-10</t>
  </si>
  <si>
    <t xml:space="preserve">OH0025221843</t>
  </si>
  <si>
    <t xml:space="preserve">1996-10-07</t>
  </si>
  <si>
    <t xml:space="preserve">2019-09-20</t>
  </si>
  <si>
    <t xml:space="preserve">OH0025304646</t>
  </si>
  <si>
    <t xml:space="preserve">MEADOWS</t>
  </si>
  <si>
    <t xml:space="preserve">BRESHA</t>
  </si>
  <si>
    <t xml:space="preserve">2001-08-11</t>
  </si>
  <si>
    <t xml:space="preserve">482 OLIVE AVE NE</t>
  </si>
  <si>
    <t xml:space="preserve">OH0023187337</t>
  </si>
  <si>
    <t xml:space="preserve">1997-05-18</t>
  </si>
  <si>
    <t xml:space="preserve">2016-05-16</t>
  </si>
  <si>
    <t xml:space="preserve">OH0027838806</t>
  </si>
  <si>
    <t xml:space="preserve">1967-11-18</t>
  </si>
  <si>
    <t xml:space="preserve">495 OLIVE AVE NE</t>
  </si>
  <si>
    <t xml:space="preserve">OH0027951755</t>
  </si>
  <si>
    <t xml:space="preserve">ELZY</t>
  </si>
  <si>
    <t xml:space="preserve">1957-07-28</t>
  </si>
  <si>
    <t xml:space="preserve">2025-05-06</t>
  </si>
  <si>
    <t xml:space="preserve">628 OLIVE AVE NE</t>
  </si>
  <si>
    <t xml:space="preserve">OH0026836546</t>
  </si>
  <si>
    <t xml:space="preserve">LEE TYWHAUN</t>
  </si>
  <si>
    <t xml:space="preserve">2000-10-13</t>
  </si>
  <si>
    <t xml:space="preserve">2023-03-14</t>
  </si>
  <si>
    <t xml:space="preserve">OH0015816367</t>
  </si>
  <si>
    <t xml:space="preserve">LACOUNT</t>
  </si>
  <si>
    <t xml:space="preserve">1955-07-28</t>
  </si>
  <si>
    <t xml:space="preserve">2017-09-20</t>
  </si>
  <si>
    <t xml:space="preserve">631 OLIVE AVE NE</t>
  </si>
  <si>
    <t xml:space="preserve">OH0020946876</t>
  </si>
  <si>
    <t xml:space="preserve">1991-09-02</t>
  </si>
  <si>
    <t xml:space="preserve">636 OLIVE AVE NE</t>
  </si>
  <si>
    <t xml:space="preserve">OH0015767794</t>
  </si>
  <si>
    <t xml:space="preserve">BOSAK</t>
  </si>
  <si>
    <t xml:space="preserve">DEBBIE</t>
  </si>
  <si>
    <t xml:space="preserve">1973-03-09</t>
  </si>
  <si>
    <t xml:space="preserve">OH0023708774</t>
  </si>
  <si>
    <t xml:space="preserve">1974-05-09</t>
  </si>
  <si>
    <t xml:space="preserve">2018-01-04</t>
  </si>
  <si>
    <t xml:space="preserve">639 OLIVE AVE NE</t>
  </si>
  <si>
    <t xml:space="preserve">OH0025113679</t>
  </si>
  <si>
    <t xml:space="preserve">HAMPTON</t>
  </si>
  <si>
    <t xml:space="preserve">CASSAUNDRA</t>
  </si>
  <si>
    <t xml:space="preserve">QUAN</t>
  </si>
  <si>
    <t xml:space="preserve">1979-04-15</t>
  </si>
  <si>
    <t xml:space="preserve">2019-06-03</t>
  </si>
  <si>
    <t xml:space="preserve">644 OLIVE AVE NE</t>
  </si>
  <si>
    <t xml:space="preserve">OH0022708237</t>
  </si>
  <si>
    <t xml:space="preserve">1965-12-10</t>
  </si>
  <si>
    <t xml:space="preserve">2023-12-15</t>
  </si>
  <si>
    <t xml:space="preserve">OH0025536468</t>
  </si>
  <si>
    <t xml:space="preserve">NA JHAY</t>
  </si>
  <si>
    <t xml:space="preserve">DELREONNA NOEL</t>
  </si>
  <si>
    <t xml:space="preserve">2000-02-13</t>
  </si>
  <si>
    <t xml:space="preserve">706 OLIVE AVE NE</t>
  </si>
  <si>
    <t xml:space="preserve">OH0019159496</t>
  </si>
  <si>
    <t xml:space="preserve">KARLSON</t>
  </si>
  <si>
    <t xml:space="preserve">1988-05-27</t>
  </si>
  <si>
    <t xml:space="preserve">715 OLIVE AVE NE</t>
  </si>
  <si>
    <t xml:space="preserve">OH0015809352</t>
  </si>
  <si>
    <t xml:space="preserve">1967-02-21</t>
  </si>
  <si>
    <t xml:space="preserve">2012-10-30</t>
  </si>
  <si>
    <t xml:space="preserve">716 OLIVE AVE NE</t>
  </si>
  <si>
    <t xml:space="preserve">OH0018597539</t>
  </si>
  <si>
    <t xml:space="preserve">ELLWOOD</t>
  </si>
  <si>
    <t xml:space="preserve">1964-08-17</t>
  </si>
  <si>
    <t xml:space="preserve">2005-08-08</t>
  </si>
  <si>
    <t xml:space="preserve">OH0024621547</t>
  </si>
  <si>
    <t xml:space="preserve">723 OLIVE AVE NE</t>
  </si>
  <si>
    <t xml:space="preserve">OH0023358267</t>
  </si>
  <si>
    <t xml:space="preserve">CAMILLE</t>
  </si>
  <si>
    <t xml:space="preserve">1992-04-21</t>
  </si>
  <si>
    <t xml:space="preserve">728 OLIVE AVE NE</t>
  </si>
  <si>
    <t xml:space="preserve">OH0026905246</t>
  </si>
  <si>
    <t xml:space="preserve">CRAMER</t>
  </si>
  <si>
    <t xml:space="preserve">1980-07-31</t>
  </si>
  <si>
    <t xml:space="preserve">738 OLIVE AVE NE</t>
  </si>
  <si>
    <t xml:space="preserve">OH0015800066</t>
  </si>
  <si>
    <t xml:space="preserve">GIBBS</t>
  </si>
  <si>
    <t xml:space="preserve">1959-09-19</t>
  </si>
  <si>
    <t xml:space="preserve">449 ORANGE CT NE</t>
  </si>
  <si>
    <t xml:space="preserve">OH0022466487</t>
  </si>
  <si>
    <t xml:space="preserve">1995-06-05</t>
  </si>
  <si>
    <t xml:space="preserve">2013-06-14</t>
  </si>
  <si>
    <t xml:space="preserve">465 ORCHARD PL NE</t>
  </si>
  <si>
    <t xml:space="preserve">OH0022338147</t>
  </si>
  <si>
    <t xml:space="preserve">COTTRILL</t>
  </si>
  <si>
    <t xml:space="preserve">MERANDA</t>
  </si>
  <si>
    <t xml:space="preserve">1995-01-04</t>
  </si>
  <si>
    <t xml:space="preserve">2019-09-25</t>
  </si>
  <si>
    <t xml:space="preserve">OH0026402303</t>
  </si>
  <si>
    <t xml:space="preserve">ROMAN HEREDIA</t>
  </si>
  <si>
    <t xml:space="preserve">GILBERTO</t>
  </si>
  <si>
    <t xml:space="preserve">1976-02-19</t>
  </si>
  <si>
    <t xml:space="preserve">2022-01-31</t>
  </si>
  <si>
    <t xml:space="preserve">621 PAIGE AVE NE</t>
  </si>
  <si>
    <t xml:space="preserve">OH0019756815</t>
  </si>
  <si>
    <t xml:space="preserve">SHANELL</t>
  </si>
  <si>
    <t xml:space="preserve">1990-09-18</t>
  </si>
  <si>
    <t xml:space="preserve">629 PAIGE AVE NE</t>
  </si>
  <si>
    <t xml:space="preserve">OH0023332679</t>
  </si>
  <si>
    <t xml:space="preserve">RUSH</t>
  </si>
  <si>
    <t xml:space="preserve">1973-01-12</t>
  </si>
  <si>
    <t xml:space="preserve">2015-09-10</t>
  </si>
  <si>
    <t xml:space="preserve">630 PAIGE AVE NE</t>
  </si>
  <si>
    <t xml:space="preserve">OH0015766313</t>
  </si>
  <si>
    <t xml:space="preserve">1956-08-14</t>
  </si>
  <si>
    <t xml:space="preserve">OH0026411555</t>
  </si>
  <si>
    <t xml:space="preserve">HANSEN</t>
  </si>
  <si>
    <t xml:space="preserve">LEAILA</t>
  </si>
  <si>
    <t xml:space="preserve">2022-02-15</t>
  </si>
  <si>
    <t xml:space="preserve">OH0019772658</t>
  </si>
  <si>
    <t xml:space="preserve">1990-02-19</t>
  </si>
  <si>
    <t xml:space="preserve">631 PAIGE AVE NE</t>
  </si>
  <si>
    <t xml:space="preserve">OH0015688417</t>
  </si>
  <si>
    <t xml:space="preserve">1954-03-18</t>
  </si>
  <si>
    <t xml:space="preserve">1980-06-02</t>
  </si>
  <si>
    <t xml:space="preserve">640 PAIGE AVE NE</t>
  </si>
  <si>
    <t xml:space="preserve">OH0015816395</t>
  </si>
  <si>
    <t xml:space="preserve">1981-01-20</t>
  </si>
  <si>
    <t xml:space="preserve">1999-04-28</t>
  </si>
  <si>
    <t xml:space="preserve">OH0024993506</t>
  </si>
  <si>
    <t xml:space="preserve">LOWELL</t>
  </si>
  <si>
    <t xml:space="preserve">1954-12-03</t>
  </si>
  <si>
    <t xml:space="preserve">2022-11-07</t>
  </si>
  <si>
    <t xml:space="preserve">OH0023912498</t>
  </si>
  <si>
    <t xml:space="preserve">SPELICH</t>
  </si>
  <si>
    <t xml:space="preserve">1954-04-28</t>
  </si>
  <si>
    <t xml:space="preserve">641 PAIGE AVE NE</t>
  </si>
  <si>
    <t xml:space="preserve">OH0027853887</t>
  </si>
  <si>
    <t xml:space="preserve">WOODALL</t>
  </si>
  <si>
    <t xml:space="preserve">2004-11-10</t>
  </si>
  <si>
    <t xml:space="preserve">2024-12-03</t>
  </si>
  <si>
    <t xml:space="preserve">646 PAIGE AVE NE</t>
  </si>
  <si>
    <t xml:space="preserve">OH0022585324</t>
  </si>
  <si>
    <t xml:space="preserve">CLOUVESIS</t>
  </si>
  <si>
    <t xml:space="preserve">1946-03-24</t>
  </si>
  <si>
    <t xml:space="preserve">2020-03-24</t>
  </si>
  <si>
    <t xml:space="preserve">648 PAIGE AVE NE</t>
  </si>
  <si>
    <t xml:space="preserve">OH0025885292</t>
  </si>
  <si>
    <t xml:space="preserve">HORNE</t>
  </si>
  <si>
    <t xml:space="preserve">SHANNA</t>
  </si>
  <si>
    <t xml:space="preserve">1986-10-16</t>
  </si>
  <si>
    <t xml:space="preserve">700 PAIGE AVE NE</t>
  </si>
  <si>
    <t xml:space="preserve">OH0015732636</t>
  </si>
  <si>
    <t xml:space="preserve">KYSER</t>
  </si>
  <si>
    <t xml:space="preserve">1964-04-22</t>
  </si>
  <si>
    <t xml:space="preserve">2015-07-09</t>
  </si>
  <si>
    <t xml:space="preserve">OH0024844781</t>
  </si>
  <si>
    <t xml:space="preserve">BREAJA</t>
  </si>
  <si>
    <t xml:space="preserve">SHAURAY</t>
  </si>
  <si>
    <t xml:space="preserve">2000-01-13</t>
  </si>
  <si>
    <t xml:space="preserve">OH0015726923</t>
  </si>
  <si>
    <t xml:space="preserve">1957-10-23</t>
  </si>
  <si>
    <t xml:space="preserve">707 PAIGE AVE NE</t>
  </si>
  <si>
    <t xml:space="preserve">OH0026734092</t>
  </si>
  <si>
    <t xml:space="preserve">SERRATA</t>
  </si>
  <si>
    <t xml:space="preserve">GILSIA</t>
  </si>
  <si>
    <t xml:space="preserve">1963-09-13</t>
  </si>
  <si>
    <t xml:space="preserve">2022-10-17</t>
  </si>
  <si>
    <t xml:space="preserve">710 PAIGE AVE NE</t>
  </si>
  <si>
    <t xml:space="preserve">OH0023634638</t>
  </si>
  <si>
    <t xml:space="preserve">FARMER</t>
  </si>
  <si>
    <t xml:space="preserve">1986-04-02</t>
  </si>
  <si>
    <t xml:space="preserve">2016-05-09</t>
  </si>
  <si>
    <t xml:space="preserve">719 PAIGE AVE NE</t>
  </si>
  <si>
    <t xml:space="preserve">OH0015823230</t>
  </si>
  <si>
    <t xml:space="preserve">BARTOLOMUCCI</t>
  </si>
  <si>
    <t xml:space="preserve">2014-01-08</t>
  </si>
  <si>
    <t xml:space="preserve">720 PAIGE AVE NE</t>
  </si>
  <si>
    <t xml:space="preserve">OH0020954851</t>
  </si>
  <si>
    <t xml:space="preserve">SILHAN</t>
  </si>
  <si>
    <t xml:space="preserve">1972-01-02</t>
  </si>
  <si>
    <t xml:space="preserve">2015-12-27</t>
  </si>
  <si>
    <t xml:space="preserve">730 PAIGE AVE NE</t>
  </si>
  <si>
    <t xml:space="preserve">OH0027073968</t>
  </si>
  <si>
    <t xml:space="preserve">1958-07-31</t>
  </si>
  <si>
    <t xml:space="preserve">OH0015745219</t>
  </si>
  <si>
    <t xml:space="preserve">LIPTAK</t>
  </si>
  <si>
    <t xml:space="preserve">NINA</t>
  </si>
  <si>
    <t xml:space="preserve">1960-12-01</t>
  </si>
  <si>
    <t xml:space="preserve">741 PAIGE AVE NE</t>
  </si>
  <si>
    <t xml:space="preserve">OH0023092373</t>
  </si>
  <si>
    <t xml:space="preserve">CARLY</t>
  </si>
  <si>
    <t xml:space="preserve">1997-03-21</t>
  </si>
  <si>
    <t xml:space="preserve">OH0025012683</t>
  </si>
  <si>
    <t xml:space="preserve">TABACCO</t>
  </si>
  <si>
    <t xml:space="preserve">1964-06-25</t>
  </si>
  <si>
    <t xml:space="preserve">2019-01-07</t>
  </si>
  <si>
    <t xml:space="preserve">753 PAIGE AVE NE</t>
  </si>
  <si>
    <t xml:space="preserve">OH0021577899</t>
  </si>
  <si>
    <t xml:space="preserve">1993-09-10</t>
  </si>
  <si>
    <t xml:space="preserve">2013-06-25</t>
  </si>
  <si>
    <t xml:space="preserve">760 PAIGE AVE NE</t>
  </si>
  <si>
    <t xml:space="preserve">OH0027042653</t>
  </si>
  <si>
    <t xml:space="preserve">SHAZON</t>
  </si>
  <si>
    <t xml:space="preserve">AXAVIER</t>
  </si>
  <si>
    <t xml:space="preserve">2005-04-29</t>
  </si>
  <si>
    <t xml:space="preserve">770 PAIGE AVE NE</t>
  </si>
  <si>
    <t xml:space="preserve">OH0018757890</t>
  </si>
  <si>
    <t xml:space="preserve">1981-05-16</t>
  </si>
  <si>
    <t xml:space="preserve">OH0026995578</t>
  </si>
  <si>
    <t xml:space="preserve">1985-08-06</t>
  </si>
  <si>
    <t xml:space="preserve">OH0026366546</t>
  </si>
  <si>
    <t xml:space="preserve">1988-03-17</t>
  </si>
  <si>
    <t xml:space="preserve">2024-09-05</t>
  </si>
  <si>
    <t xml:space="preserve">818 PAIGE AVE NE</t>
  </si>
  <si>
    <t xml:space="preserve">OH0020180828</t>
  </si>
  <si>
    <t xml:space="preserve">POOLE</t>
  </si>
  <si>
    <t xml:space="preserve">JERMAINE</t>
  </si>
  <si>
    <t xml:space="preserve">1977-01-04</t>
  </si>
  <si>
    <t xml:space="preserve">828 PAIGE AVE NE</t>
  </si>
  <si>
    <t xml:space="preserve">OH0015723170</t>
  </si>
  <si>
    <t xml:space="preserve">1970-04-09</t>
  </si>
  <si>
    <t xml:space="preserve">2020-06-03</t>
  </si>
  <si>
    <t xml:space="preserve">838 PAIGE AVE NE</t>
  </si>
  <si>
    <t xml:space="preserve">OH0021379751</t>
  </si>
  <si>
    <t xml:space="preserve">1993-02-24</t>
  </si>
  <si>
    <t xml:space="preserve">2019-03-23</t>
  </si>
  <si>
    <t xml:space="preserve">145 PEW CT NE</t>
  </si>
  <si>
    <t xml:space="preserve">OH0023187051</t>
  </si>
  <si>
    <t xml:space="preserve">ROLEIGH</t>
  </si>
  <si>
    <t xml:space="preserve">1959-05-27</t>
  </si>
  <si>
    <t xml:space="preserve">151 PEW CT NE</t>
  </si>
  <si>
    <t xml:space="preserve">OH0021107296</t>
  </si>
  <si>
    <t xml:space="preserve">LORRISON</t>
  </si>
  <si>
    <t xml:space="preserve">NEVA</t>
  </si>
  <si>
    <t xml:space="preserve">1969-06-25</t>
  </si>
  <si>
    <t xml:space="preserve">OH0023195085</t>
  </si>
  <si>
    <t xml:space="preserve">RITCHIE</t>
  </si>
  <si>
    <t xml:space="preserve">1990-05-22</t>
  </si>
  <si>
    <t xml:space="preserve">2021-02-02</t>
  </si>
  <si>
    <t xml:space="preserve">OH0024990263</t>
  </si>
  <si>
    <t xml:space="preserve">1997-08-06</t>
  </si>
  <si>
    <t xml:space="preserve">411 PINE AVE SE</t>
  </si>
  <si>
    <t xml:space="preserve">OH0027844049</t>
  </si>
  <si>
    <t xml:space="preserve">KRISTY</t>
  </si>
  <si>
    <t xml:space="preserve">1988-02-14</t>
  </si>
  <si>
    <t xml:space="preserve">469 PLYMOUTH PL NE</t>
  </si>
  <si>
    <t xml:space="preserve">OH0027839036</t>
  </si>
  <si>
    <t xml:space="preserve">VON BERGEN</t>
  </si>
  <si>
    <t xml:space="preserve">COLBY</t>
  </si>
  <si>
    <t xml:space="preserve">1991-06-03</t>
  </si>
  <si>
    <t xml:space="preserve">OH0015680595</t>
  </si>
  <si>
    <t xml:space="preserve">PATRICE</t>
  </si>
  <si>
    <t xml:space="preserve">1980-11-16</t>
  </si>
  <si>
    <t xml:space="preserve">2017-07-17</t>
  </si>
  <si>
    <t xml:space="preserve">OH0027515294</t>
  </si>
  <si>
    <t xml:space="preserve">ADKINS</t>
  </si>
  <si>
    <t xml:space="preserve">1984-05-02</t>
  </si>
  <si>
    <t xml:space="preserve">149 PORTER ST NE</t>
  </si>
  <si>
    <t xml:space="preserve">OH0026407536</t>
  </si>
  <si>
    <t xml:space="preserve">GETTMANN</t>
  </si>
  <si>
    <t xml:space="preserve">TRENT</t>
  </si>
  <si>
    <t xml:space="preserve">MITCHEL QUADERE</t>
  </si>
  <si>
    <t xml:space="preserve">1996-10-28</t>
  </si>
  <si>
    <t xml:space="preserve">OH0025460441</t>
  </si>
  <si>
    <t xml:space="preserve">1985-06-14</t>
  </si>
  <si>
    <t xml:space="preserve">2020-02-05</t>
  </si>
  <si>
    <t xml:space="preserve">OH0027838839</t>
  </si>
  <si>
    <t xml:space="preserve">SHOTWELL</t>
  </si>
  <si>
    <t xml:space="preserve">1995-09-11</t>
  </si>
  <si>
    <t xml:space="preserve">157 PORTER ST NE</t>
  </si>
  <si>
    <t xml:space="preserve">1</t>
  </si>
  <si>
    <t xml:space="preserve">OH0015759148</t>
  </si>
  <si>
    <t xml:space="preserve">167 PORTER ST NE</t>
  </si>
  <si>
    <t xml:space="preserve">UNIT 1</t>
  </si>
  <si>
    <t xml:space="preserve">OH0025667819</t>
  </si>
  <si>
    <t xml:space="preserve">1992-01-04</t>
  </si>
  <si>
    <t xml:space="preserve">177 PORTER ST NE</t>
  </si>
  <si>
    <t xml:space="preserve">OH0025667822</t>
  </si>
  <si>
    <t xml:space="preserve">BIALOGLOWICZ</t>
  </si>
  <si>
    <t xml:space="preserve">1993-12-15</t>
  </si>
  <si>
    <t xml:space="preserve">2020-08-01</t>
  </si>
  <si>
    <t xml:space="preserve">OH0027913785</t>
  </si>
  <si>
    <t xml:space="preserve">RUDOLPH</t>
  </si>
  <si>
    <t xml:space="preserve">MALHKIYA</t>
  </si>
  <si>
    <t xml:space="preserve">ADIRA</t>
  </si>
  <si>
    <t xml:space="preserve">2003-02-28</t>
  </si>
  <si>
    <t xml:space="preserve">2025-03-07</t>
  </si>
  <si>
    <t xml:space="preserve">184 PORTER ST NE</t>
  </si>
  <si>
    <t xml:space="preserve">UNIT 2W</t>
  </si>
  <si>
    <t xml:space="preserve">OH0018596957</t>
  </si>
  <si>
    <t xml:space="preserve">BALL</t>
  </si>
  <si>
    <t xml:space="preserve">ALONZO</t>
  </si>
  <si>
    <t xml:space="preserve">1960-07-13</t>
  </si>
  <si>
    <t xml:space="preserve">2018-04-05</t>
  </si>
  <si>
    <t xml:space="preserve">OH0027494572</t>
  </si>
  <si>
    <t xml:space="preserve">BRANDERRA</t>
  </si>
  <si>
    <t xml:space="preserve">1992-12-04</t>
  </si>
  <si>
    <t xml:space="preserve">2024-08-11</t>
  </si>
  <si>
    <t xml:space="preserve">OH0020945225</t>
  </si>
  <si>
    <t xml:space="preserve">RAINES</t>
  </si>
  <si>
    <t xml:space="preserve">1958-09-12</t>
  </si>
  <si>
    <t xml:space="preserve">2020-07-08</t>
  </si>
  <si>
    <t xml:space="preserve">194 PORTER ST NE</t>
  </si>
  <si>
    <t xml:space="preserve">OH0023665472</t>
  </si>
  <si>
    <t xml:space="preserve">1998-04-24</t>
  </si>
  <si>
    <t xml:space="preserve">199 PORTER ST NE</t>
  </si>
  <si>
    <t xml:space="preserve">OH0024647298</t>
  </si>
  <si>
    <t xml:space="preserve">DAKOTA</t>
  </si>
  <si>
    <t xml:space="preserve">2018-05-12</t>
  </si>
  <si>
    <t xml:space="preserve">OH0024490426</t>
  </si>
  <si>
    <t xml:space="preserve">1999-01-04</t>
  </si>
  <si>
    <t xml:space="preserve">2018-01-16</t>
  </si>
  <si>
    <t xml:space="preserve">204 PORTER ST NE</t>
  </si>
  <si>
    <t xml:space="preserve">APT 1E</t>
  </si>
  <si>
    <t xml:space="preserve">OH0023484248</t>
  </si>
  <si>
    <t xml:space="preserve">REYES TORRES</t>
  </si>
  <si>
    <t xml:space="preserve">1998-10-10</t>
  </si>
  <si>
    <t xml:space="preserve">OH0022529851</t>
  </si>
  <si>
    <t xml:space="preserve">211 PORTER ST NE</t>
  </si>
  <si>
    <t xml:space="preserve">OH0027388482</t>
  </si>
  <si>
    <t xml:space="preserve">FLETCHER</t>
  </si>
  <si>
    <t xml:space="preserve">KEMMARI</t>
  </si>
  <si>
    <t xml:space="preserve">CHERESE</t>
  </si>
  <si>
    <t xml:space="preserve">2005-06-08</t>
  </si>
  <si>
    <t xml:space="preserve">224 PORTER ST NE</t>
  </si>
  <si>
    <t xml:space="preserve">OH0015718532</t>
  </si>
  <si>
    <t xml:space="preserve">MATTHEWS</t>
  </si>
  <si>
    <t xml:space="preserve">PAPETTE</t>
  </si>
  <si>
    <t xml:space="preserve">1979-11-15</t>
  </si>
  <si>
    <t xml:space="preserve">OH0027039353</t>
  </si>
  <si>
    <t xml:space="preserve">KEMMANI</t>
  </si>
  <si>
    <t xml:space="preserve">OH0025598799</t>
  </si>
  <si>
    <t xml:space="preserve">PRESCOTT</t>
  </si>
  <si>
    <t xml:space="preserve">ENNIS</t>
  </si>
  <si>
    <t xml:space="preserve">2020-06-26</t>
  </si>
  <si>
    <t xml:space="preserve">OH0023700617</t>
  </si>
  <si>
    <t xml:space="preserve">TERRANCE</t>
  </si>
  <si>
    <t xml:space="preserve">1995-10-21</t>
  </si>
  <si>
    <t xml:space="preserve">229 PORTER ST NE</t>
  </si>
  <si>
    <t xml:space="preserve">OH0023717457</t>
  </si>
  <si>
    <t xml:space="preserve">WARGO</t>
  </si>
  <si>
    <t xml:space="preserve">1989-05-30</t>
  </si>
  <si>
    <t xml:space="preserve">2016-05-24</t>
  </si>
  <si>
    <t xml:space="preserve">APT 2B</t>
  </si>
  <si>
    <t xml:space="preserve">OH0015749262</t>
  </si>
  <si>
    <t xml:space="preserve">GATES</t>
  </si>
  <si>
    <t xml:space="preserve">235 PORTER ST NE</t>
  </si>
  <si>
    <t xml:space="preserve">OH0027977767</t>
  </si>
  <si>
    <t xml:space="preserve">KEYES</t>
  </si>
  <si>
    <t xml:space="preserve">1988-04-09</t>
  </si>
  <si>
    <t xml:space="preserve">2025-06-05</t>
  </si>
  <si>
    <t xml:space="preserve">239 PORTER ST NE</t>
  </si>
  <si>
    <t xml:space="preserve">APT 237</t>
  </si>
  <si>
    <t xml:space="preserve">OH0027595817</t>
  </si>
  <si>
    <t xml:space="preserve">HORN</t>
  </si>
  <si>
    <t xml:space="preserve">1994-05-07</t>
  </si>
  <si>
    <t xml:space="preserve">243 PORTER ST NE</t>
  </si>
  <si>
    <t xml:space="preserve">OH0015806482</t>
  </si>
  <si>
    <t xml:space="preserve">DONLIN</t>
  </si>
  <si>
    <t xml:space="preserve">1944-08-10</t>
  </si>
  <si>
    <t xml:space="preserve">1971-09-20</t>
  </si>
  <si>
    <t xml:space="preserve">308 PORTER ST NE</t>
  </si>
  <si>
    <t xml:space="preserve">OH0025928175</t>
  </si>
  <si>
    <t xml:space="preserve">JOANNE</t>
  </si>
  <si>
    <t xml:space="preserve">1990-06-20</t>
  </si>
  <si>
    <t xml:space="preserve">2020-09-30</t>
  </si>
  <si>
    <t xml:space="preserve">325 PORTER ST NE</t>
  </si>
  <si>
    <t xml:space="preserve">OH0024981412</t>
  </si>
  <si>
    <t xml:space="preserve">COATES</t>
  </si>
  <si>
    <t xml:space="preserve">1979-02-28</t>
  </si>
  <si>
    <t xml:space="preserve">2018-12-10</t>
  </si>
  <si>
    <t xml:space="preserve">OH0020061900</t>
  </si>
  <si>
    <t xml:space="preserve">SHILLING</t>
  </si>
  <si>
    <t xml:space="preserve">1971-12-23</t>
  </si>
  <si>
    <t xml:space="preserve">340 PORTER ST NE</t>
  </si>
  <si>
    <t xml:space="preserve">OH0023773939</t>
  </si>
  <si>
    <t xml:space="preserve">VANEK</t>
  </si>
  <si>
    <t xml:space="preserve">1973-08-09</t>
  </si>
  <si>
    <t xml:space="preserve">2016-06-30</t>
  </si>
  <si>
    <t xml:space="preserve">342 PORTER ST NE</t>
  </si>
  <si>
    <t xml:space="preserve">OH0022219909</t>
  </si>
  <si>
    <t xml:space="preserve">DOMINIC</t>
  </si>
  <si>
    <t xml:space="preserve">1991-07-11</t>
  </si>
  <si>
    <t xml:space="preserve">2020-04-23</t>
  </si>
  <si>
    <t xml:space="preserve">349 PORTER ST NE</t>
  </si>
  <si>
    <t xml:space="preserve">OH0025572108</t>
  </si>
  <si>
    <t xml:space="preserve">OH0015795840</t>
  </si>
  <si>
    <t xml:space="preserve">WEED</t>
  </si>
  <si>
    <t xml:space="preserve">LAURI</t>
  </si>
  <si>
    <t xml:space="preserve">1959-06-26</t>
  </si>
  <si>
    <t xml:space="preserve">2018-07-16</t>
  </si>
  <si>
    <t xml:space="preserve">371 PORTER ST NE</t>
  </si>
  <si>
    <t xml:space="preserve">OH0015795844</t>
  </si>
  <si>
    <t xml:space="preserve">JIMMY</t>
  </si>
  <si>
    <t xml:space="preserve">1958-05-29</t>
  </si>
  <si>
    <t xml:space="preserve">1996-06-20</t>
  </si>
  <si>
    <t xml:space="preserve">OH0018896021</t>
  </si>
  <si>
    <t xml:space="preserve">PETERMAN</t>
  </si>
  <si>
    <t xml:space="preserve">1944-06-09</t>
  </si>
  <si>
    <t xml:space="preserve">406 PORTER ST NE</t>
  </si>
  <si>
    <t xml:space="preserve">OH0023152246</t>
  </si>
  <si>
    <t xml:space="preserve">ESTILL</t>
  </si>
  <si>
    <t xml:space="preserve">1967-01-15</t>
  </si>
  <si>
    <t xml:space="preserve">2015-07-14</t>
  </si>
  <si>
    <t xml:space="preserve">OH0023671472</t>
  </si>
  <si>
    <t xml:space="preserve">KEVIS</t>
  </si>
  <si>
    <t xml:space="preserve">2020-09-26</t>
  </si>
  <si>
    <t xml:space="preserve">OH0015716398</t>
  </si>
  <si>
    <t xml:space="preserve">FLAVIANO</t>
  </si>
  <si>
    <t xml:space="preserve">RON</t>
  </si>
  <si>
    <t xml:space="preserve">1968-08-01</t>
  </si>
  <si>
    <t xml:space="preserve">407 PORTER ST NE</t>
  </si>
  <si>
    <t xml:space="preserve">OH0027130556</t>
  </si>
  <si>
    <t xml:space="preserve">DIMARTINO</t>
  </si>
  <si>
    <t xml:space="preserve">GIOVANNI</t>
  </si>
  <si>
    <t xml:space="preserve">2023-11-02</t>
  </si>
  <si>
    <t xml:space="preserve">413 PORTER ST NE</t>
  </si>
  <si>
    <t xml:space="preserve">OH0023947491</t>
  </si>
  <si>
    <t xml:space="preserve">MANZO</t>
  </si>
  <si>
    <t xml:space="preserve">1963-10-10</t>
  </si>
  <si>
    <t xml:space="preserve">P.O. BOX 1616</t>
  </si>
  <si>
    <t xml:space="preserve">OH0020289385</t>
  </si>
  <si>
    <t xml:space="preserve">436 PORTER ST NE</t>
  </si>
  <si>
    <t xml:space="preserve">OH0015747948</t>
  </si>
  <si>
    <t xml:space="preserve">KEYLA</t>
  </si>
  <si>
    <t xml:space="preserve">1980-06-20</t>
  </si>
  <si>
    <t xml:space="preserve">2013-07-19</t>
  </si>
  <si>
    <t xml:space="preserve">OH0015811114</t>
  </si>
  <si>
    <t xml:space="preserve">HALE</t>
  </si>
  <si>
    <t xml:space="preserve">1965-05-23</t>
  </si>
  <si>
    <t xml:space="preserve">2021-06-29</t>
  </si>
  <si>
    <t xml:space="preserve">OH0027043407</t>
  </si>
  <si>
    <t xml:space="preserve">CORTEZ</t>
  </si>
  <si>
    <t xml:space="preserve">2005-08-03</t>
  </si>
  <si>
    <t xml:space="preserve">438 PORTER ST NE</t>
  </si>
  <si>
    <t xml:space="preserve">OH0022443286</t>
  </si>
  <si>
    <t xml:space="preserve">MINDI</t>
  </si>
  <si>
    <t xml:space="preserve">1969-05-08</t>
  </si>
  <si>
    <t xml:space="preserve">2025-01-09</t>
  </si>
  <si>
    <t xml:space="preserve">467 PORTER ST NE</t>
  </si>
  <si>
    <t xml:space="preserve">OH0027675802</t>
  </si>
  <si>
    <t xml:space="preserve">GLOVER</t>
  </si>
  <si>
    <t xml:space="preserve">ARIELLE</t>
  </si>
  <si>
    <t xml:space="preserve">1997-03-18</t>
  </si>
  <si>
    <t xml:space="preserve">471 PORTER ST NE</t>
  </si>
  <si>
    <t xml:space="preserve">OH0027789366</t>
  </si>
  <si>
    <t xml:space="preserve">1990-03-18</t>
  </si>
  <si>
    <t xml:space="preserve">OH0027139512</t>
  </si>
  <si>
    <t xml:space="preserve">BURT</t>
  </si>
  <si>
    <t xml:space="preserve">473 PORTER ST NE</t>
  </si>
  <si>
    <t xml:space="preserve">OH0026824014</t>
  </si>
  <si>
    <t xml:space="preserve">GAUGE</t>
  </si>
  <si>
    <t xml:space="preserve">2003-11-27</t>
  </si>
  <si>
    <t xml:space="preserve">2023-02-14</t>
  </si>
  <si>
    <t xml:space="preserve">OH0023187126</t>
  </si>
  <si>
    <t xml:space="preserve">1997-08-27</t>
  </si>
  <si>
    <t xml:space="preserve">477 PORTER ST NE</t>
  </si>
  <si>
    <t xml:space="preserve">OH0026082709</t>
  </si>
  <si>
    <t xml:space="preserve">WILBERT</t>
  </si>
  <si>
    <t xml:space="preserve">KATELINN</t>
  </si>
  <si>
    <t xml:space="preserve">2000-02-21</t>
  </si>
  <si>
    <t xml:space="preserve">483 PORTER ST NE</t>
  </si>
  <si>
    <t xml:space="preserve">OH0024645999</t>
  </si>
  <si>
    <t xml:space="preserve">1991-01-08</t>
  </si>
  <si>
    <t xml:space="preserve">2018-05-14</t>
  </si>
  <si>
    <t xml:space="preserve">491 PORTER ST NE</t>
  </si>
  <si>
    <t xml:space="preserve">OH0026995288</t>
  </si>
  <si>
    <t xml:space="preserve">ELMER</t>
  </si>
  <si>
    <t xml:space="preserve">1960-08-17</t>
  </si>
  <si>
    <t xml:space="preserve">2022-12-21</t>
  </si>
  <si>
    <t xml:space="preserve">509 PORTER ST NE</t>
  </si>
  <si>
    <t xml:space="preserve">OH0026624267</t>
  </si>
  <si>
    <t xml:space="preserve">HUSK</t>
  </si>
  <si>
    <t xml:space="preserve">1974-09-13</t>
  </si>
  <si>
    <t xml:space="preserve">2023-09-11</t>
  </si>
  <si>
    <t xml:space="preserve">626 PORTER ST NE</t>
  </si>
  <si>
    <t xml:space="preserve">OH0019926669</t>
  </si>
  <si>
    <t xml:space="preserve">1944-05-25</t>
  </si>
  <si>
    <t xml:space="preserve">645 PORTER ST NE</t>
  </si>
  <si>
    <t xml:space="preserve">OH0026062988</t>
  </si>
  <si>
    <t xml:space="preserve">MCFARLAND</t>
  </si>
  <si>
    <t xml:space="preserve">JAY</t>
  </si>
  <si>
    <t xml:space="preserve">1967-06-22</t>
  </si>
  <si>
    <t xml:space="preserve">2024-03-19</t>
  </si>
  <si>
    <t xml:space="preserve">648 PORTER ST NE</t>
  </si>
  <si>
    <t xml:space="preserve">OH0025638103</t>
  </si>
  <si>
    <t xml:space="preserve">PETRIC</t>
  </si>
  <si>
    <t xml:space="preserve">1987-05-21</t>
  </si>
  <si>
    <t xml:space="preserve">651 PORTER ST NE</t>
  </si>
  <si>
    <t xml:space="preserve">OH0025928081</t>
  </si>
  <si>
    <t xml:space="preserve">1979-12-14</t>
  </si>
  <si>
    <t xml:space="preserve">OH0021406235</t>
  </si>
  <si>
    <t xml:space="preserve">GARDNER</t>
  </si>
  <si>
    <t xml:space="preserve">NADINE</t>
  </si>
  <si>
    <t xml:space="preserve">1963-03-31</t>
  </si>
  <si>
    <t xml:space="preserve">2017-06-24</t>
  </si>
  <si>
    <t xml:space="preserve">656 PORTER ST NE</t>
  </si>
  <si>
    <t xml:space="preserve">OH0023912279</t>
  </si>
  <si>
    <t xml:space="preserve">1977-01-17</t>
  </si>
  <si>
    <t xml:space="preserve">661 PORTER ST NE</t>
  </si>
  <si>
    <t xml:space="preserve">OH0015763702</t>
  </si>
  <si>
    <t xml:space="preserve">FISHEL</t>
  </si>
  <si>
    <t xml:space="preserve">2017-08-30</t>
  </si>
  <si>
    <t xml:space="preserve">673 PORTER ST NE</t>
  </si>
  <si>
    <t xml:space="preserve">OH0015763688</t>
  </si>
  <si>
    <t xml:space="preserve">1960-12-13</t>
  </si>
  <si>
    <t xml:space="preserve">2016-09-03</t>
  </si>
  <si>
    <t xml:space="preserve">OH0015704864</t>
  </si>
  <si>
    <t xml:space="preserve">1941-08-29</t>
  </si>
  <si>
    <t xml:space="preserve">674 PORTER ST NE</t>
  </si>
  <si>
    <t xml:space="preserve">OH0015703092</t>
  </si>
  <si>
    <t xml:space="preserve">MCCLELLAN</t>
  </si>
  <si>
    <t xml:space="preserve">1966-01-22</t>
  </si>
  <si>
    <t xml:space="preserve">685 PORTER ST NE</t>
  </si>
  <si>
    <t xml:space="preserve">OH0024543864</t>
  </si>
  <si>
    <t xml:space="preserve">DENNO</t>
  </si>
  <si>
    <t xml:space="preserve">2000-09-25</t>
  </si>
  <si>
    <t xml:space="preserve">719 PORTER ST NE</t>
  </si>
  <si>
    <t xml:space="preserve">OH0027082449</t>
  </si>
  <si>
    <t xml:space="preserve">LOCKLEAR</t>
  </si>
  <si>
    <t xml:space="preserve">MAZIE</t>
  </si>
  <si>
    <t xml:space="preserve">SUE ANN</t>
  </si>
  <si>
    <t xml:space="preserve">2005-09-20</t>
  </si>
  <si>
    <t xml:space="preserve">2025-05-31</t>
  </si>
  <si>
    <t xml:space="preserve">728 PORTER ST NE</t>
  </si>
  <si>
    <t xml:space="preserve">OH0020995722</t>
  </si>
  <si>
    <t xml:space="preserve">FARAH</t>
  </si>
  <si>
    <t xml:space="preserve">2013-05-06</t>
  </si>
  <si>
    <t xml:space="preserve">OH0023225230</t>
  </si>
  <si>
    <t xml:space="preserve">FUSSELMAN</t>
  </si>
  <si>
    <t xml:space="preserve">1994-07-29</t>
  </si>
  <si>
    <t xml:space="preserve">734 PORTER ST NE</t>
  </si>
  <si>
    <t xml:space="preserve">OH0027889172</t>
  </si>
  <si>
    <t xml:space="preserve">DECOST</t>
  </si>
  <si>
    <t xml:space="preserve">1953-12-01</t>
  </si>
  <si>
    <t xml:space="preserve">2025-01-22</t>
  </si>
  <si>
    <t xml:space="preserve">737 PORTER ST NE</t>
  </si>
  <si>
    <t xml:space="preserve">OH0015746851</t>
  </si>
  <si>
    <t xml:space="preserve">FURLONG</t>
  </si>
  <si>
    <t xml:space="preserve">1974-06-13</t>
  </si>
  <si>
    <t xml:space="preserve">OH0026159221</t>
  </si>
  <si>
    <t xml:space="preserve">WINLAND</t>
  </si>
  <si>
    <t xml:space="preserve">1999-11-17</t>
  </si>
  <si>
    <t xml:space="preserve">740 PORTER ST NE</t>
  </si>
  <si>
    <t xml:space="preserve">OH0027525755</t>
  </si>
  <si>
    <t xml:space="preserve">GARL</t>
  </si>
  <si>
    <t xml:space="preserve">1999-08-14</t>
  </si>
  <si>
    <t xml:space="preserve">2024-09-02</t>
  </si>
  <si>
    <t xml:space="preserve">744 PORTER ST NE</t>
  </si>
  <si>
    <t xml:space="preserve">OH0015758059</t>
  </si>
  <si>
    <t xml:space="preserve">1958-10-09</t>
  </si>
  <si>
    <t xml:space="preserve">745 PORTER ST NE</t>
  </si>
  <si>
    <t xml:space="preserve">OH0027513617</t>
  </si>
  <si>
    <t xml:space="preserve">ZACH</t>
  </si>
  <si>
    <t xml:space="preserve">2000-11-05</t>
  </si>
  <si>
    <t xml:space="preserve">1510 ROMAN ST SE</t>
  </si>
  <si>
    <t xml:space="preserve">OH0023246604</t>
  </si>
  <si>
    <t xml:space="preserve">1970-09-21</t>
  </si>
  <si>
    <t xml:space="preserve">OH0024249344</t>
  </si>
  <si>
    <t xml:space="preserve">1993-05-11</t>
  </si>
  <si>
    <t xml:space="preserve">1522 ROMAN ST SE</t>
  </si>
  <si>
    <t xml:space="preserve">OH0021382236</t>
  </si>
  <si>
    <t xml:space="preserve">1993-08-26</t>
  </si>
  <si>
    <t xml:space="preserve">2017-07-21</t>
  </si>
  <si>
    <t xml:space="preserve">1526 ROMAN ST SE</t>
  </si>
  <si>
    <t xml:space="preserve">OH0023457442</t>
  </si>
  <si>
    <t xml:space="preserve">ANTONIA</t>
  </si>
  <si>
    <t xml:space="preserve">1978-02-14</t>
  </si>
  <si>
    <t xml:space="preserve">1538 ROMAN ST SE</t>
  </si>
  <si>
    <t xml:space="preserve">OH0021374502</t>
  </si>
  <si>
    <t xml:space="preserve">SLOANE</t>
  </si>
  <si>
    <t xml:space="preserve">U</t>
  </si>
  <si>
    <t xml:space="preserve">1993-02-13</t>
  </si>
  <si>
    <t xml:space="preserve">2015-12-15</t>
  </si>
  <si>
    <t xml:space="preserve">1542 ROMAN ST SE</t>
  </si>
  <si>
    <t xml:space="preserve">OH0015758930</t>
  </si>
  <si>
    <t xml:space="preserve">1974-05-28</t>
  </si>
  <si>
    <t xml:space="preserve">1568 ROMAN ST SE</t>
  </si>
  <si>
    <t xml:space="preserve">OH0023015255</t>
  </si>
  <si>
    <t xml:space="preserve">LINDA SUE</t>
  </si>
  <si>
    <t xml:space="preserve">2018-08-04</t>
  </si>
  <si>
    <t xml:space="preserve">OH0023638357</t>
  </si>
  <si>
    <t xml:space="preserve">CALHOUN</t>
  </si>
  <si>
    <t xml:space="preserve">MARTEESHA</t>
  </si>
  <si>
    <t xml:space="preserve">1995-08-16</t>
  </si>
  <si>
    <t xml:space="preserve">1572 ROMAN ST SE</t>
  </si>
  <si>
    <t xml:space="preserve">OH0025242457</t>
  </si>
  <si>
    <t xml:space="preserve">ERICKA</t>
  </si>
  <si>
    <t xml:space="preserve">1993-02-06</t>
  </si>
  <si>
    <t xml:space="preserve">1576 ROMAN ST SE</t>
  </si>
  <si>
    <t xml:space="preserve">OH0015744189</t>
  </si>
  <si>
    <t xml:space="preserve">WOODWORTH</t>
  </si>
  <si>
    <t xml:space="preserve">1981-05-27</t>
  </si>
  <si>
    <t xml:space="preserve">2015-08-31</t>
  </si>
  <si>
    <t xml:space="preserve">1586 ROMAN ST SE</t>
  </si>
  <si>
    <t xml:space="preserve">OH0027408037</t>
  </si>
  <si>
    <t xml:space="preserve">WHITAKER</t>
  </si>
  <si>
    <t xml:space="preserve">2001-03-14</t>
  </si>
  <si>
    <t xml:space="preserve">OH0027495674</t>
  </si>
  <si>
    <t xml:space="preserve">2002-06-24</t>
  </si>
  <si>
    <t xml:space="preserve">OH0023324871</t>
  </si>
  <si>
    <t xml:space="preserve">ALAN LEWIS</t>
  </si>
  <si>
    <t xml:space="preserve">1997-08-25</t>
  </si>
  <si>
    <t xml:space="preserve">1604 ROMAN ST SE</t>
  </si>
  <si>
    <t xml:space="preserve">OH0025109804</t>
  </si>
  <si>
    <t xml:space="preserve">1999-01-05</t>
  </si>
  <si>
    <t xml:space="preserve">OH0026763134</t>
  </si>
  <si>
    <t xml:space="preserve">LONNIE</t>
  </si>
  <si>
    <t xml:space="preserve">1989-08-24</t>
  </si>
  <si>
    <t xml:space="preserve">2022-11-09</t>
  </si>
  <si>
    <t xml:space="preserve">1718 ROMAN ST SE</t>
  </si>
  <si>
    <t xml:space="preserve">OH0023668568</t>
  </si>
  <si>
    <t xml:space="preserve">1964-10-27</t>
  </si>
  <si>
    <t xml:space="preserve">471 S PARK AVE</t>
  </si>
  <si>
    <t xml:space="preserve">OH0026571272</t>
  </si>
  <si>
    <t xml:space="preserve">MALONE</t>
  </si>
  <si>
    <t xml:space="preserve">1968-04-16</t>
  </si>
  <si>
    <t xml:space="preserve">634 SAINT CLAIR DR NE</t>
  </si>
  <si>
    <t xml:space="preserve">OH0015764315</t>
  </si>
  <si>
    <t xml:space="preserve">1975-09-08</t>
  </si>
  <si>
    <t xml:space="preserve">OH0015756185</t>
  </si>
  <si>
    <t xml:space="preserve">HESS</t>
  </si>
  <si>
    <t xml:space="preserve">1973-07-06</t>
  </si>
  <si>
    <t xml:space="preserve">2011-04-30</t>
  </si>
  <si>
    <t xml:space="preserve">648 SAINT CLAIR DR NE</t>
  </si>
  <si>
    <t xml:space="preserve">OH0023910398</t>
  </si>
  <si>
    <t xml:space="preserve">KRYSTAL</t>
  </si>
  <si>
    <t xml:space="preserve">1994-07-02</t>
  </si>
  <si>
    <t xml:space="preserve">OH0019137566</t>
  </si>
  <si>
    <t xml:space="preserve">MALISA</t>
  </si>
  <si>
    <t xml:space="preserve">1988-08-30</t>
  </si>
  <si>
    <t xml:space="preserve">656 SAINT CLAIR DR NE</t>
  </si>
  <si>
    <t xml:space="preserve">OH0023526806</t>
  </si>
  <si>
    <t xml:space="preserve">FLAHERTY</t>
  </si>
  <si>
    <t xml:space="preserve">1976-08-02</t>
  </si>
  <si>
    <t xml:space="preserve">139 SCOTT ST NE</t>
  </si>
  <si>
    <t xml:space="preserve">OH0015727319</t>
  </si>
  <si>
    <t xml:space="preserve">1968-02-10</t>
  </si>
  <si>
    <t xml:space="preserve">1988-10-01</t>
  </si>
  <si>
    <t xml:space="preserve">156 SCOTT ST NE</t>
  </si>
  <si>
    <t xml:space="preserve">OH0022344241</t>
  </si>
  <si>
    <t xml:space="preserve">1994-04-18</t>
  </si>
  <si>
    <t xml:space="preserve">2023-08-20</t>
  </si>
  <si>
    <t xml:space="preserve">159 SCOTT ST NE</t>
  </si>
  <si>
    <t xml:space="preserve">OH0027559070</t>
  </si>
  <si>
    <t xml:space="preserve">HARNDEN</t>
  </si>
  <si>
    <t xml:space="preserve">171 SCOTT ST NE</t>
  </si>
  <si>
    <t xml:space="preserve">OH0027430457</t>
  </si>
  <si>
    <t xml:space="preserve">PAXMAN</t>
  </si>
  <si>
    <t xml:space="preserve">LORRIE ANN</t>
  </si>
  <si>
    <t xml:space="preserve">1976-12-23</t>
  </si>
  <si>
    <t xml:space="preserve">OH0026062987</t>
  </si>
  <si>
    <t xml:space="preserve">BRIALS</t>
  </si>
  <si>
    <t xml:space="preserve">1968-01-09</t>
  </si>
  <si>
    <t xml:space="preserve">2024-12-13</t>
  </si>
  <si>
    <t xml:space="preserve">182 SCOTT ST NE</t>
  </si>
  <si>
    <t xml:space="preserve">OH0026637155</t>
  </si>
  <si>
    <t xml:space="preserve">BLOOD</t>
  </si>
  <si>
    <t xml:space="preserve">1968-05-17</t>
  </si>
  <si>
    <t xml:space="preserve">2022-09-07</t>
  </si>
  <si>
    <t xml:space="preserve">OH0026781483</t>
  </si>
  <si>
    <t xml:space="preserve">EKIS</t>
  </si>
  <si>
    <t xml:space="preserve">1975-07-07</t>
  </si>
  <si>
    <t xml:space="preserve">237 SCOTT ST NE</t>
  </si>
  <si>
    <t xml:space="preserve">OH0027139282</t>
  </si>
  <si>
    <t xml:space="preserve">1993-09-13</t>
  </si>
  <si>
    <t xml:space="preserve">2023-10-26</t>
  </si>
  <si>
    <t xml:space="preserve">OH0025914202</t>
  </si>
  <si>
    <t xml:space="preserve">THERESE</t>
  </si>
  <si>
    <t xml:space="preserve">1975-04-14</t>
  </si>
  <si>
    <t xml:space="preserve">247 SCOTT ST NE</t>
  </si>
  <si>
    <t xml:space="preserve">OH0025914426</t>
  </si>
  <si>
    <t xml:space="preserve">1967-06-15</t>
  </si>
  <si>
    <t xml:space="preserve">OH0018955890</t>
  </si>
  <si>
    <t xml:space="preserve">PARKEY</t>
  </si>
  <si>
    <t xml:space="preserve">DEX</t>
  </si>
  <si>
    <t xml:space="preserve">1988-09-02</t>
  </si>
  <si>
    <t xml:space="preserve">300 SCOTT ST NE</t>
  </si>
  <si>
    <t xml:space="preserve">OH0020885315</t>
  </si>
  <si>
    <t xml:space="preserve">VLASIC</t>
  </si>
  <si>
    <t xml:space="preserve">1989-03-15</t>
  </si>
  <si>
    <t xml:space="preserve">OH0021816000</t>
  </si>
  <si>
    <t xml:space="preserve">GASTON</t>
  </si>
  <si>
    <t xml:space="preserve">1971-12-09</t>
  </si>
  <si>
    <t xml:space="preserve">2013-01-03</t>
  </si>
  <si>
    <t xml:space="preserve">OH0025378475</t>
  </si>
  <si>
    <t xml:space="preserve">SCAGGS</t>
  </si>
  <si>
    <t xml:space="preserve">OH0025536333</t>
  </si>
  <si>
    <t xml:space="preserve">1992-12-18</t>
  </si>
  <si>
    <t xml:space="preserve">OH0026739264</t>
  </si>
  <si>
    <t xml:space="preserve">PALMER</t>
  </si>
  <si>
    <t xml:space="preserve">1980-12-21</t>
  </si>
  <si>
    <t xml:space="preserve">2022-11-02</t>
  </si>
  <si>
    <t xml:space="preserve">6</t>
  </si>
  <si>
    <t xml:space="preserve">OH0026844313</t>
  </si>
  <si>
    <t xml:space="preserve">2002-02-04</t>
  </si>
  <si>
    <t xml:space="preserve">2023-03-08</t>
  </si>
  <si>
    <t xml:space="preserve">OH0020288104</t>
  </si>
  <si>
    <t xml:space="preserve">JOHNNIE</t>
  </si>
  <si>
    <t xml:space="preserve">1959-05-24</t>
  </si>
  <si>
    <t xml:space="preserve">APT 5</t>
  </si>
  <si>
    <t xml:space="preserve">OH0027228736</t>
  </si>
  <si>
    <t xml:space="preserve">1991-03-05</t>
  </si>
  <si>
    <t xml:space="preserve">2025-06-01</t>
  </si>
  <si>
    <t xml:space="preserve">304 SCOTT ST NE</t>
  </si>
  <si>
    <t xml:space="preserve">OH0026841739</t>
  </si>
  <si>
    <t xml:space="preserve">LITTRELL</t>
  </si>
  <si>
    <t xml:space="preserve">1995-10-28</t>
  </si>
  <si>
    <t xml:space="preserve">2023-03-03</t>
  </si>
  <si>
    <t xml:space="preserve">305 SCOTT ST NE</t>
  </si>
  <si>
    <t xml:space="preserve">OH0015787129</t>
  </si>
  <si>
    <t xml:space="preserve">FELECIA</t>
  </si>
  <si>
    <t xml:space="preserve">1977-06-07</t>
  </si>
  <si>
    <t xml:space="preserve">306 SCOTT ST NE</t>
  </si>
  <si>
    <t xml:space="preserve">OH0025367820</t>
  </si>
  <si>
    <t xml:space="preserve">2021-12-28</t>
  </si>
  <si>
    <t xml:space="preserve">307 SCOTT ST NE</t>
  </si>
  <si>
    <t xml:space="preserve">OH0025781714</t>
  </si>
  <si>
    <t xml:space="preserve">ZIEGLER</t>
  </si>
  <si>
    <t xml:space="preserve">OH0026722291</t>
  </si>
  <si>
    <t xml:space="preserve">ENGELHARDT</t>
  </si>
  <si>
    <t xml:space="preserve">REBEKAH</t>
  </si>
  <si>
    <t xml:space="preserve">1985-08-22</t>
  </si>
  <si>
    <t xml:space="preserve">328 SCOTT ST NE</t>
  </si>
  <si>
    <t xml:space="preserve">OH0026503436</t>
  </si>
  <si>
    <t xml:space="preserve">1984-04-30</t>
  </si>
  <si>
    <t xml:space="preserve">2022-06-05</t>
  </si>
  <si>
    <t xml:space="preserve">OH0025439357</t>
  </si>
  <si>
    <t xml:space="preserve">TRAYQUAN</t>
  </si>
  <si>
    <t xml:space="preserve">2002-03-04</t>
  </si>
  <si>
    <t xml:space="preserve">OH0015768068</t>
  </si>
  <si>
    <t xml:space="preserve">MCCOMBS CUMMINGS</t>
  </si>
  <si>
    <t xml:space="preserve">1975-09-03</t>
  </si>
  <si>
    <t xml:space="preserve">2024-12-04</t>
  </si>
  <si>
    <t xml:space="preserve">329 SCOTT ST NE</t>
  </si>
  <si>
    <t xml:space="preserve">OH0027550688</t>
  </si>
  <si>
    <t xml:space="preserve">KALEI</t>
  </si>
  <si>
    <t xml:space="preserve">2005-01-24</t>
  </si>
  <si>
    <t xml:space="preserve">OH0015755592</t>
  </si>
  <si>
    <t xml:space="preserve">ANSMAN</t>
  </si>
  <si>
    <t xml:space="preserve">1955-06-26</t>
  </si>
  <si>
    <t xml:space="preserve">2011-06-23</t>
  </si>
  <si>
    <t xml:space="preserve">OH0022497994</t>
  </si>
  <si>
    <t xml:space="preserve">1959-07-18</t>
  </si>
  <si>
    <t xml:space="preserve">OH0020128186</t>
  </si>
  <si>
    <t xml:space="preserve">2021-08-12</t>
  </si>
  <si>
    <t xml:space="preserve">338 SCOTT ST NE</t>
  </si>
  <si>
    <t xml:space="preserve">OH0027025687</t>
  </si>
  <si>
    <t xml:space="preserve">LUCIANO</t>
  </si>
  <si>
    <t xml:space="preserve">FRANCISCO</t>
  </si>
  <si>
    <t xml:space="preserve">1998-11-16</t>
  </si>
  <si>
    <t xml:space="preserve">OH0026643073</t>
  </si>
  <si>
    <t xml:space="preserve">DERASJAH</t>
  </si>
  <si>
    <t xml:space="preserve">SHYAH MARIE</t>
  </si>
  <si>
    <t xml:space="preserve">2000-10-07</t>
  </si>
  <si>
    <t xml:space="preserve">OH0027526615</t>
  </si>
  <si>
    <t xml:space="preserve">SOLOMON</t>
  </si>
  <si>
    <t xml:space="preserve">TALIYAH</t>
  </si>
  <si>
    <t xml:space="preserve">OH0021796768</t>
  </si>
  <si>
    <t xml:space="preserve">1954-04-23</t>
  </si>
  <si>
    <t xml:space="preserve">2015-08-13</t>
  </si>
  <si>
    <t xml:space="preserve">341 SCOTT ST NE</t>
  </si>
  <si>
    <t xml:space="preserve">OH0021371845</t>
  </si>
  <si>
    <t xml:space="preserve">1983-03-03</t>
  </si>
  <si>
    <t xml:space="preserve">2011-04-12</t>
  </si>
  <si>
    <t xml:space="preserve">349 SCOTT ST NE</t>
  </si>
  <si>
    <t xml:space="preserve">OH0026800886</t>
  </si>
  <si>
    <t xml:space="preserve">DUKES</t>
  </si>
  <si>
    <t xml:space="preserve">MARKILA</t>
  </si>
  <si>
    <t xml:space="preserve">2001-07-22</t>
  </si>
  <si>
    <t xml:space="preserve">2023-01-17</t>
  </si>
  <si>
    <t xml:space="preserve">OH0027507749</t>
  </si>
  <si>
    <t xml:space="preserve">1994-07-20</t>
  </si>
  <si>
    <t xml:space="preserve">OH0026366258</t>
  </si>
  <si>
    <t xml:space="preserve">2002-06-04</t>
  </si>
  <si>
    <t xml:space="preserve">2021-11-27</t>
  </si>
  <si>
    <t xml:space="preserve">357 SCOTT ST NE</t>
  </si>
  <si>
    <t xml:space="preserve">OH0015808839</t>
  </si>
  <si>
    <t xml:space="preserve">GARRY</t>
  </si>
  <si>
    <t xml:space="preserve">1957-11-17</t>
  </si>
  <si>
    <t xml:space="preserve">359 SCOTT ST NE</t>
  </si>
  <si>
    <t xml:space="preserve">OH0024291245</t>
  </si>
  <si>
    <t xml:space="preserve">ARNOLD</t>
  </si>
  <si>
    <t xml:space="preserve">1995-04-04</t>
  </si>
  <si>
    <t xml:space="preserve">2017-04-21</t>
  </si>
  <si>
    <t xml:space="preserve">425 SCOTT ST NE</t>
  </si>
  <si>
    <t xml:space="preserve">OH0024502858</t>
  </si>
  <si>
    <t xml:space="preserve">MARQUEL</t>
  </si>
  <si>
    <t xml:space="preserve">1991-06-25</t>
  </si>
  <si>
    <t xml:space="preserve">2018-02-07</t>
  </si>
  <si>
    <t xml:space="preserve">OH0015709960</t>
  </si>
  <si>
    <t xml:space="preserve">STROTHER</t>
  </si>
  <si>
    <t xml:space="preserve">1956-08-02</t>
  </si>
  <si>
    <t xml:space="preserve">2015-09-15</t>
  </si>
  <si>
    <t xml:space="preserve">435 SCOTT ST NE</t>
  </si>
  <si>
    <t xml:space="preserve">OH0015763022</t>
  </si>
  <si>
    <t xml:space="preserve">1980-06-04</t>
  </si>
  <si>
    <t xml:space="preserve">2019-07-09</t>
  </si>
  <si>
    <t xml:space="preserve">442 SCOTT ST NE</t>
  </si>
  <si>
    <t xml:space="preserve">OH0024700841</t>
  </si>
  <si>
    <t xml:space="preserve">SHIANNE</t>
  </si>
  <si>
    <t xml:space="preserve">2000-07-12</t>
  </si>
  <si>
    <t xml:space="preserve">2018-07-25</t>
  </si>
  <si>
    <t xml:space="preserve">OH0027270150</t>
  </si>
  <si>
    <t xml:space="preserve">ENGLERT</t>
  </si>
  <si>
    <t xml:space="preserve">1999-04-09</t>
  </si>
  <si>
    <t xml:space="preserve">2024-03-28</t>
  </si>
  <si>
    <t xml:space="preserve">444 SCOTT ST NE</t>
  </si>
  <si>
    <t xml:space="preserve">OH0025348810</t>
  </si>
  <si>
    <t xml:space="preserve">2000-07-11</t>
  </si>
  <si>
    <t xml:space="preserve">2024-12-09</t>
  </si>
  <si>
    <t xml:space="preserve">OH0024099882</t>
  </si>
  <si>
    <t xml:space="preserve">1973-09-28</t>
  </si>
  <si>
    <t xml:space="preserve">454 SCOTT ST NE</t>
  </si>
  <si>
    <t xml:space="preserve">OH0024194659</t>
  </si>
  <si>
    <t xml:space="preserve">SHAE</t>
  </si>
  <si>
    <t xml:space="preserve">OH0015750906</t>
  </si>
  <si>
    <t xml:space="preserve">1957-11-14</t>
  </si>
  <si>
    <t xml:space="preserve">464 SCOTT ST NE</t>
  </si>
  <si>
    <t xml:space="preserve">OH0025778211</t>
  </si>
  <si>
    <t xml:space="preserve">SARVEY</t>
  </si>
  <si>
    <t xml:space="preserve">OH0015817140</t>
  </si>
  <si>
    <t xml:space="preserve">DEAL</t>
  </si>
  <si>
    <t xml:space="preserve">1943-06-22</t>
  </si>
  <si>
    <t xml:space="preserve">2003-06-11</t>
  </si>
  <si>
    <t xml:space="preserve">473 SCOTT ST NE</t>
  </si>
  <si>
    <t xml:space="preserve">OH0026335457</t>
  </si>
  <si>
    <t xml:space="preserve">CAPAN</t>
  </si>
  <si>
    <t xml:space="preserve">1995-07-13</t>
  </si>
  <si>
    <t xml:space="preserve">515 SCOTT ST NE</t>
  </si>
  <si>
    <t xml:space="preserve">OH0025720605</t>
  </si>
  <si>
    <t xml:space="preserve">FRIETZE</t>
  </si>
  <si>
    <t xml:space="preserve">DREW</t>
  </si>
  <si>
    <t xml:space="preserve">OH0023225320</t>
  </si>
  <si>
    <t xml:space="preserve">GASKILL</t>
  </si>
  <si>
    <t xml:space="preserve">BRANDY</t>
  </si>
  <si>
    <t xml:space="preserve">1975-09-28</t>
  </si>
  <si>
    <t xml:space="preserve">525 SCOTT ST NE</t>
  </si>
  <si>
    <t xml:space="preserve">OH0019678438</t>
  </si>
  <si>
    <t xml:space="preserve">SHRUM</t>
  </si>
  <si>
    <t xml:space="preserve">LLOYD</t>
  </si>
  <si>
    <t xml:space="preserve">1945-03-22</t>
  </si>
  <si>
    <t xml:space="preserve">553 SCOTT ST NE</t>
  </si>
  <si>
    <t xml:space="preserve">OH0015748146</t>
  </si>
  <si>
    <t xml:space="preserve">1948-10-28</t>
  </si>
  <si>
    <t xml:space="preserve">OH0026030611</t>
  </si>
  <si>
    <t xml:space="preserve">1994-09-13</t>
  </si>
  <si>
    <t xml:space="preserve">258 SENECA AVE NE</t>
  </si>
  <si>
    <t xml:space="preserve">OH0027508693</t>
  </si>
  <si>
    <t xml:space="preserve">AMOS</t>
  </si>
  <si>
    <t xml:space="preserve">1969-02-10</t>
  </si>
  <si>
    <t xml:space="preserve">OH0026145701</t>
  </si>
  <si>
    <t xml:space="preserve">MORRIGAN</t>
  </si>
  <si>
    <t xml:space="preserve">1997-10-10</t>
  </si>
  <si>
    <t xml:space="preserve">2021-02-13</t>
  </si>
  <si>
    <t xml:space="preserve">OH0015697769</t>
  </si>
  <si>
    <t xml:space="preserve">CURRIER</t>
  </si>
  <si>
    <t xml:space="preserve">JULIANA</t>
  </si>
  <si>
    <t xml:space="preserve">1958-02-01</t>
  </si>
  <si>
    <t xml:space="preserve">1983-05-02</t>
  </si>
  <si>
    <t xml:space="preserve">1233 SEVERN CT SE</t>
  </si>
  <si>
    <t xml:space="preserve">OH0022387342</t>
  </si>
  <si>
    <t xml:space="preserve">KRAFT</t>
  </si>
  <si>
    <t xml:space="preserve">1971-11-04</t>
  </si>
  <si>
    <t xml:space="preserve">1240 SEVERN CT SE</t>
  </si>
  <si>
    <t xml:space="preserve">OH0021851142</t>
  </si>
  <si>
    <t xml:space="preserve">DOUGHERTY</t>
  </si>
  <si>
    <t xml:space="preserve">KELSEY</t>
  </si>
  <si>
    <t xml:space="preserve">1992-03-19</t>
  </si>
  <si>
    <t xml:space="preserve">2021-11-18</t>
  </si>
  <si>
    <t xml:space="preserve">1241 SEVERN CT SE</t>
  </si>
  <si>
    <t xml:space="preserve">OH0023911850</t>
  </si>
  <si>
    <t xml:space="preserve">KRESEVICH</t>
  </si>
  <si>
    <t xml:space="preserve">CARA</t>
  </si>
  <si>
    <t xml:space="preserve">1958-03-16</t>
  </si>
  <si>
    <t xml:space="preserve">2016-09-04</t>
  </si>
  <si>
    <t xml:space="preserve">587 SIDELLS CT NE</t>
  </si>
  <si>
    <t xml:space="preserve">OH0023912604</t>
  </si>
  <si>
    <t xml:space="preserve">1952-10-18</t>
  </si>
  <si>
    <t xml:space="preserve">OH0023673150</t>
  </si>
  <si>
    <t xml:space="preserve">MITCHAM</t>
  </si>
  <si>
    <t xml:space="preserve">1960-04-04</t>
  </si>
  <si>
    <t xml:space="preserve">595 SIDELLS CT NE</t>
  </si>
  <si>
    <t xml:space="preserve">OH0026164547</t>
  </si>
  <si>
    <t xml:space="preserve">MALISSA</t>
  </si>
  <si>
    <t xml:space="preserve">1989-12-25</t>
  </si>
  <si>
    <t xml:space="preserve">149 SMITH PL NE</t>
  </si>
  <si>
    <t xml:space="preserve">OH0015678249</t>
  </si>
  <si>
    <t xml:space="preserve">KATHERINE</t>
  </si>
  <si>
    <t xml:space="preserve">1980-11-02</t>
  </si>
  <si>
    <t xml:space="preserve">2017-11-29</t>
  </si>
  <si>
    <t xml:space="preserve">1050 SOUTH ST SE</t>
  </si>
  <si>
    <t xml:space="preserve">OH0025974692</t>
  </si>
  <si>
    <t xml:space="preserve">ZUCCARO</t>
  </si>
  <si>
    <t xml:space="preserve">1990-03-02</t>
  </si>
  <si>
    <t xml:space="preserve">OH0022671618</t>
  </si>
  <si>
    <t xml:space="preserve">1993-12-02</t>
  </si>
  <si>
    <t xml:space="preserve">1206 SOUTH ST SE</t>
  </si>
  <si>
    <t xml:space="preserve">OH0021297923</t>
  </si>
  <si>
    <t xml:space="preserve">CALLAWAY</t>
  </si>
  <si>
    <t xml:space="preserve">TROLAUNDA</t>
  </si>
  <si>
    <t xml:space="preserve">1980-07-03</t>
  </si>
  <si>
    <t xml:space="preserve">2023-10-12</t>
  </si>
  <si>
    <t xml:space="preserve">1214 SOUTH ST SE</t>
  </si>
  <si>
    <t xml:space="preserve">OH0015743850</t>
  </si>
  <si>
    <t xml:space="preserve">OSBORNE</t>
  </si>
  <si>
    <t xml:space="preserve">REGINA</t>
  </si>
  <si>
    <t xml:space="preserve">1956-06-25</t>
  </si>
  <si>
    <t xml:space="preserve">1224 SOUTH ST SE</t>
  </si>
  <si>
    <t xml:space="preserve">OH0027399812</t>
  </si>
  <si>
    <t xml:space="preserve">1954-01-27</t>
  </si>
  <si>
    <t xml:space="preserve">2024-06-26</t>
  </si>
  <si>
    <t xml:space="preserve">OH0015714029</t>
  </si>
  <si>
    <t xml:space="preserve">TOTHEROW</t>
  </si>
  <si>
    <t xml:space="preserve">1966-04-10</t>
  </si>
  <si>
    <t xml:space="preserve">2024-05-23</t>
  </si>
  <si>
    <t xml:space="preserve">1233 SOUTH ST SE</t>
  </si>
  <si>
    <t xml:space="preserve">OH0020323458</t>
  </si>
  <si>
    <t xml:space="preserve">FOLK</t>
  </si>
  <si>
    <t xml:space="preserve">1987-09-13</t>
  </si>
  <si>
    <t xml:space="preserve">OH0015692127</t>
  </si>
  <si>
    <t xml:space="preserve">BEVERLEE</t>
  </si>
  <si>
    <t xml:space="preserve">1979-12-03</t>
  </si>
  <si>
    <t xml:space="preserve">2014-12-06</t>
  </si>
  <si>
    <t xml:space="preserve">1242 SOUTH ST SE</t>
  </si>
  <si>
    <t xml:space="preserve">OH0026995312</t>
  </si>
  <si>
    <t xml:space="preserve">VANDESTEEG</t>
  </si>
  <si>
    <t xml:space="preserve">1243 SOUTH ST SE</t>
  </si>
  <si>
    <t xml:space="preserve">OH0026283242</t>
  </si>
  <si>
    <t xml:space="preserve">MARINO</t>
  </si>
  <si>
    <t xml:space="preserve">GUY</t>
  </si>
  <si>
    <t xml:space="preserve">2021-11-08</t>
  </si>
  <si>
    <t xml:space="preserve">OH0027842761</t>
  </si>
  <si>
    <t xml:space="preserve">JF</t>
  </si>
  <si>
    <t xml:space="preserve">1991-12-19</t>
  </si>
  <si>
    <t xml:space="preserve">OH0015689892</t>
  </si>
  <si>
    <t xml:space="preserve">RENFTLE</t>
  </si>
  <si>
    <t xml:space="preserve">1956-05-11</t>
  </si>
  <si>
    <t xml:space="preserve">1252 SOUTH ST SE</t>
  </si>
  <si>
    <t xml:space="preserve">OH0015698034</t>
  </si>
  <si>
    <t xml:space="preserve">MARSH</t>
  </si>
  <si>
    <t xml:space="preserve">1965-02-23</t>
  </si>
  <si>
    <t xml:space="preserve">1253 SOUTH ST SE</t>
  </si>
  <si>
    <t xml:space="preserve">OH0027313991</t>
  </si>
  <si>
    <t xml:space="preserve">AILENE</t>
  </si>
  <si>
    <t xml:space="preserve">1956-05-27</t>
  </si>
  <si>
    <t xml:space="preserve">2024-04-17</t>
  </si>
  <si>
    <t xml:space="preserve">1262 SOUTH ST SE</t>
  </si>
  <si>
    <t xml:space="preserve">OH0024977698</t>
  </si>
  <si>
    <t xml:space="preserve">BRIONA</t>
  </si>
  <si>
    <t xml:space="preserve">1990-10-24</t>
  </si>
  <si>
    <t xml:space="preserve">OH0015801096</t>
  </si>
  <si>
    <t xml:space="preserve">GOSLING</t>
  </si>
  <si>
    <t xml:space="preserve">1985-08-03</t>
  </si>
  <si>
    <t xml:space="preserve">2016-12-03</t>
  </si>
  <si>
    <t xml:space="preserve">OH0026688884</t>
  </si>
  <si>
    <t xml:space="preserve">1980-03-02</t>
  </si>
  <si>
    <t xml:space="preserve">OH0022209955</t>
  </si>
  <si>
    <t xml:space="preserve">MCINTROY</t>
  </si>
  <si>
    <t xml:space="preserve">1272 SOUTH ST SE</t>
  </si>
  <si>
    <t xml:space="preserve">OH0015738940</t>
  </si>
  <si>
    <t xml:space="preserve">1967-04-19</t>
  </si>
  <si>
    <t xml:space="preserve">OH0021577181</t>
  </si>
  <si>
    <t xml:space="preserve">PERKS</t>
  </si>
  <si>
    <t xml:space="preserve">1993-04-28</t>
  </si>
  <si>
    <t xml:space="preserve">2021-05-09</t>
  </si>
  <si>
    <t xml:space="preserve">1282 SOUTH ST SE</t>
  </si>
  <si>
    <t xml:space="preserve">OH0015698685</t>
  </si>
  <si>
    <t xml:space="preserve">1306 SOUTH ST SE</t>
  </si>
  <si>
    <t xml:space="preserve">PO BOX 2302</t>
  </si>
  <si>
    <t xml:space="preserve">OH0027841222</t>
  </si>
  <si>
    <t xml:space="preserve">MAZUR</t>
  </si>
  <si>
    <t xml:space="preserve">1968-08-09</t>
  </si>
  <si>
    <t xml:space="preserve">1314 SOUTH ST SE</t>
  </si>
  <si>
    <t xml:space="preserve">OH0026322602</t>
  </si>
  <si>
    <t xml:space="preserve">KERSTIN</t>
  </si>
  <si>
    <t xml:space="preserve">1995-06-04</t>
  </si>
  <si>
    <t xml:space="preserve">2023-10-09</t>
  </si>
  <si>
    <t xml:space="preserve">1324 SOUTH ST SE</t>
  </si>
  <si>
    <t xml:space="preserve">OH0015763698</t>
  </si>
  <si>
    <t xml:space="preserve">JARRETTE</t>
  </si>
  <si>
    <t xml:space="preserve">1965-04-01</t>
  </si>
  <si>
    <t xml:space="preserve">2024-04-09</t>
  </si>
  <si>
    <t xml:space="preserve">1334 SOUTH ST SE</t>
  </si>
  <si>
    <t xml:space="preserve">OH0025193036</t>
  </si>
  <si>
    <t xml:space="preserve">JAHMAREE ELIENE</t>
  </si>
  <si>
    <t xml:space="preserve">2001-07-13</t>
  </si>
  <si>
    <t xml:space="preserve">1424 SOUTH ST SE</t>
  </si>
  <si>
    <t xml:space="preserve">OH0027507724</t>
  </si>
  <si>
    <t xml:space="preserve">MARCEL</t>
  </si>
  <si>
    <t xml:space="preserve">1957-06-20</t>
  </si>
  <si>
    <t xml:space="preserve">OH0023650533</t>
  </si>
  <si>
    <t xml:space="preserve">1966-06-07</t>
  </si>
  <si>
    <t xml:space="preserve">2016-04-21</t>
  </si>
  <si>
    <t xml:space="preserve">1434 SOUTH ST SE</t>
  </si>
  <si>
    <t xml:space="preserve">OH0023548828</t>
  </si>
  <si>
    <t xml:space="preserve">DESANTIS</t>
  </si>
  <si>
    <t xml:space="preserve">1975-02-10</t>
  </si>
  <si>
    <t xml:space="preserve">2024-02-26</t>
  </si>
  <si>
    <t xml:space="preserve">928 SOUTH ST SE</t>
  </si>
  <si>
    <t xml:space="preserve">OH0023151155</t>
  </si>
  <si>
    <t xml:space="preserve">1985-05-31</t>
  </si>
  <si>
    <t xml:space="preserve">OH0022044096</t>
  </si>
  <si>
    <t xml:space="preserve">JAZZMIN</t>
  </si>
  <si>
    <t xml:space="preserve">1994-05-31</t>
  </si>
  <si>
    <t xml:space="preserve">2021-06-05</t>
  </si>
  <si>
    <t xml:space="preserve">938 SOUTH ST SE</t>
  </si>
  <si>
    <t xml:space="preserve">OH0027842902</t>
  </si>
  <si>
    <t xml:space="preserve">KATI</t>
  </si>
  <si>
    <t xml:space="preserve">1989-08-08</t>
  </si>
  <si>
    <t xml:space="preserve">1931 THOMAS RD SE</t>
  </si>
  <si>
    <t xml:space="preserve">OH0026171842</t>
  </si>
  <si>
    <t xml:space="preserve">1991-10-10</t>
  </si>
  <si>
    <t xml:space="preserve">2019-01-09</t>
  </si>
  <si>
    <t xml:space="preserve">1939 THOMAS RD SE</t>
  </si>
  <si>
    <t xml:space="preserve">OH0027491311</t>
  </si>
  <si>
    <t xml:space="preserve">JETHROE</t>
  </si>
  <si>
    <t xml:space="preserve">1998-04-08</t>
  </si>
  <si>
    <t xml:space="preserve">1943 THOMAS RD SE</t>
  </si>
  <si>
    <t xml:space="preserve">OH0022100201</t>
  </si>
  <si>
    <t xml:space="preserve">1968-09-20</t>
  </si>
  <si>
    <t xml:space="preserve">2018-03-10</t>
  </si>
  <si>
    <t xml:space="preserve">1513 TRANSYLVANIA AVE SE</t>
  </si>
  <si>
    <t xml:space="preserve">OH0023741380</t>
  </si>
  <si>
    <t xml:space="preserve">TANNER</t>
  </si>
  <si>
    <t xml:space="preserve">1959-12-18</t>
  </si>
  <si>
    <t xml:space="preserve">1517 TRANSYLVANIA AVE SE</t>
  </si>
  <si>
    <t xml:space="preserve">OH0024522630</t>
  </si>
  <si>
    <t xml:space="preserve">FOZZARD</t>
  </si>
  <si>
    <t xml:space="preserve">1968-12-07</t>
  </si>
  <si>
    <t xml:space="preserve">2024-03-04</t>
  </si>
  <si>
    <t xml:space="preserve">1521 TRANSYLVANIA AVE SE</t>
  </si>
  <si>
    <t xml:space="preserve">OH0021437702</t>
  </si>
  <si>
    <t xml:space="preserve">JOHNESHA</t>
  </si>
  <si>
    <t xml:space="preserve">1992-03-18</t>
  </si>
  <si>
    <t xml:space="preserve">2017-03-08</t>
  </si>
  <si>
    <t xml:space="preserve">OH0015927809</t>
  </si>
  <si>
    <t xml:space="preserve">1960-07-05</t>
  </si>
  <si>
    <t xml:space="preserve">1529 TRANSYLVANIA AVE SE</t>
  </si>
  <si>
    <t xml:space="preserve">OH0019665044</t>
  </si>
  <si>
    <t xml:space="preserve">GOLDIE</t>
  </si>
  <si>
    <t xml:space="preserve">SHANNELL</t>
  </si>
  <si>
    <t xml:space="preserve">1989-12-23</t>
  </si>
  <si>
    <t xml:space="preserve">1553 TRANSYLVANIA AVE SE</t>
  </si>
  <si>
    <t xml:space="preserve">OH0027588837</t>
  </si>
  <si>
    <t xml:space="preserve">DUNCAN</t>
  </si>
  <si>
    <t xml:space="preserve">1986-05-06</t>
  </si>
  <si>
    <t xml:space="preserve">1565 TRANSYLVANIA AVE SE</t>
  </si>
  <si>
    <t xml:space="preserve">OH0025853849</t>
  </si>
  <si>
    <t xml:space="preserve">1982-08-05</t>
  </si>
  <si>
    <t xml:space="preserve">OH0025840590</t>
  </si>
  <si>
    <t xml:space="preserve">BLACKMON</t>
  </si>
  <si>
    <t xml:space="preserve">DOZIE</t>
  </si>
  <si>
    <t xml:space="preserve">1569 TRANSYLVANIA AVE SE</t>
  </si>
  <si>
    <t xml:space="preserve">OH0018678167</t>
  </si>
  <si>
    <t xml:space="preserve">1980-02-10</t>
  </si>
  <si>
    <t xml:space="preserve">2018-02-12</t>
  </si>
  <si>
    <t xml:space="preserve">1575 TRANSYLVANIA AVE SE</t>
  </si>
  <si>
    <t xml:space="preserve">OH0021782089</t>
  </si>
  <si>
    <t xml:space="preserve">CARNAHAN</t>
  </si>
  <si>
    <t xml:space="preserve">CHRISTY</t>
  </si>
  <si>
    <t xml:space="preserve">1982-09-21</t>
  </si>
  <si>
    <t xml:space="preserve">2024-04-10</t>
  </si>
  <si>
    <t xml:space="preserve">1583 TRANSYLVANIA AVE SE</t>
  </si>
  <si>
    <t xml:space="preserve">OH0025049556</t>
  </si>
  <si>
    <t xml:space="preserve">ESTHER</t>
  </si>
  <si>
    <t xml:space="preserve">2001-01-13</t>
  </si>
  <si>
    <t xml:space="preserve">1584 TRANSYLVANIA AVE SE</t>
  </si>
  <si>
    <t xml:space="preserve">OH0015771993</t>
  </si>
  <si>
    <t xml:space="preserve">1954-07-24</t>
  </si>
  <si>
    <t xml:space="preserve">1999-05-28</t>
  </si>
  <si>
    <t xml:space="preserve">OH0015743804</t>
  </si>
  <si>
    <t xml:space="preserve">1967-02-16</t>
  </si>
  <si>
    <t xml:space="preserve">2023-03-09</t>
  </si>
  <si>
    <t xml:space="preserve">OH0015783774</t>
  </si>
  <si>
    <t xml:space="preserve">RITA</t>
  </si>
  <si>
    <t xml:space="preserve">1972-01-05</t>
  </si>
  <si>
    <t xml:space="preserve">1714 TRANSYLVANIA AVE SE</t>
  </si>
  <si>
    <t xml:space="preserve">OH0021085947</t>
  </si>
  <si>
    <t xml:space="preserve">RIVERS</t>
  </si>
  <si>
    <t xml:space="preserve">1992-02-22</t>
  </si>
  <si>
    <t xml:space="preserve">OH0015759936</t>
  </si>
  <si>
    <t xml:space="preserve">ADRIENNE</t>
  </si>
  <si>
    <t xml:space="preserve">1959-01-02</t>
  </si>
  <si>
    <t xml:space="preserve">2008-09-25</t>
  </si>
  <si>
    <t xml:space="preserve">1722 TRANSYLVANIA AVE SE</t>
  </si>
  <si>
    <t xml:space="preserve">OH0019694803</t>
  </si>
  <si>
    <t xml:space="preserve">TIARA</t>
  </si>
  <si>
    <t xml:space="preserve">2020-10-15</t>
  </si>
  <si>
    <t xml:space="preserve">1731 TRANSYLVANIA AVE SE</t>
  </si>
  <si>
    <t xml:space="preserve">OH0015750784</t>
  </si>
  <si>
    <t xml:space="preserve">EGGLESTON</t>
  </si>
  <si>
    <t xml:space="preserve">ZANITA</t>
  </si>
  <si>
    <t xml:space="preserve">OH0027567677</t>
  </si>
  <si>
    <t xml:space="preserve">STACY</t>
  </si>
  <si>
    <t xml:space="preserve">1983-10-30</t>
  </si>
  <si>
    <t xml:space="preserve">1736 TRANSYLVANIA AVE SE</t>
  </si>
  <si>
    <t xml:space="preserve">OH0015704840</t>
  </si>
  <si>
    <t xml:space="preserve">1957-09-15</t>
  </si>
  <si>
    <t xml:space="preserve">2015-10-01</t>
  </si>
  <si>
    <t xml:space="preserve">1911 VAN WYE ST SE</t>
  </si>
  <si>
    <t xml:space="preserve">OH0015702340</t>
  </si>
  <si>
    <t xml:space="preserve">1983-10-14</t>
  </si>
  <si>
    <t xml:space="preserve">OH0022306886</t>
  </si>
  <si>
    <t xml:space="preserve">BRESSLER</t>
  </si>
  <si>
    <t xml:space="preserve">1966-12-10</t>
  </si>
  <si>
    <t xml:space="preserve">1945 VAN WYE ST SE</t>
  </si>
  <si>
    <t xml:space="preserve">OH0021594849</t>
  </si>
  <si>
    <t xml:space="preserve">FAMBRO</t>
  </si>
  <si>
    <t xml:space="preserve">DELANO</t>
  </si>
  <si>
    <t xml:space="preserve">1976-07-18</t>
  </si>
  <si>
    <t xml:space="preserve">2012-09-28</t>
  </si>
  <si>
    <t xml:space="preserve">OH0015718705</t>
  </si>
  <si>
    <t xml:space="preserve">1947-12-04</t>
  </si>
  <si>
    <t xml:space="preserve">1975 VAN WYE ST SE</t>
  </si>
  <si>
    <t xml:space="preserve">OH0027094023</t>
  </si>
  <si>
    <t xml:space="preserve">PIETRANGELI</t>
  </si>
  <si>
    <t xml:space="preserve">213 VINE AVE NE</t>
  </si>
  <si>
    <t xml:space="preserve">OH0019794891</t>
  </si>
  <si>
    <t xml:space="preserve">1960-02-29</t>
  </si>
  <si>
    <t xml:space="preserve">240 VINE AVE NE</t>
  </si>
  <si>
    <t xml:space="preserve">OH0015814047</t>
  </si>
  <si>
    <t xml:space="preserve">1996-03-28</t>
  </si>
  <si>
    <t xml:space="preserve">OH0015880095</t>
  </si>
  <si>
    <t xml:space="preserve">TORO</t>
  </si>
  <si>
    <t xml:space="preserve">DANA</t>
  </si>
  <si>
    <t xml:space="preserve">1961-05-22</t>
  </si>
  <si>
    <t xml:space="preserve">2015-10-09</t>
  </si>
  <si>
    <t xml:space="preserve">330 VINE AVE NE</t>
  </si>
  <si>
    <t xml:space="preserve">OH0022357651</t>
  </si>
  <si>
    <t xml:space="preserve">AQUIL</t>
  </si>
  <si>
    <t xml:space="preserve">2022-06-10</t>
  </si>
  <si>
    <t xml:space="preserve">339 VINE AVE NE</t>
  </si>
  <si>
    <t xml:space="preserve">OH0023543230</t>
  </si>
  <si>
    <t xml:space="preserve">MCPHERSON</t>
  </si>
  <si>
    <t xml:space="preserve">MONIKA</t>
  </si>
  <si>
    <t xml:space="preserve">1998-04-09</t>
  </si>
  <si>
    <t xml:space="preserve">OH0027932034</t>
  </si>
  <si>
    <t xml:space="preserve">2003-11-28</t>
  </si>
  <si>
    <t xml:space="preserve">2025-03-31</t>
  </si>
  <si>
    <t xml:space="preserve">340 VINE AVE NE</t>
  </si>
  <si>
    <t xml:space="preserve">OH0025372871</t>
  </si>
  <si>
    <t xml:space="preserve">BYANCAH</t>
  </si>
  <si>
    <t xml:space="preserve">2025-01-17</t>
  </si>
  <si>
    <t xml:space="preserve">OH0026817849</t>
  </si>
  <si>
    <t xml:space="preserve">MAYE</t>
  </si>
  <si>
    <t xml:space="preserve">1982-07-21</t>
  </si>
  <si>
    <t xml:space="preserve">2023-02-07</t>
  </si>
  <si>
    <t xml:space="preserve">OH0027357397</t>
  </si>
  <si>
    <t xml:space="preserve">CAMREN</t>
  </si>
  <si>
    <t xml:space="preserve">JAYCE</t>
  </si>
  <si>
    <t xml:space="preserve">2006-05-03</t>
  </si>
  <si>
    <t xml:space="preserve">2024-05-17</t>
  </si>
  <si>
    <t xml:space="preserve">OH0023009605</t>
  </si>
  <si>
    <t xml:space="preserve">1979-08-27</t>
  </si>
  <si>
    <t xml:space="preserve">428 VINE AVE NE</t>
  </si>
  <si>
    <t xml:space="preserve">OH0018752433</t>
  </si>
  <si>
    <t xml:space="preserve">GIANAKOS</t>
  </si>
  <si>
    <t xml:space="preserve">1987-07-14</t>
  </si>
  <si>
    <t xml:space="preserve">2021-02-04</t>
  </si>
  <si>
    <t xml:space="preserve">OH0022131593</t>
  </si>
  <si>
    <t xml:space="preserve">1991-01-27</t>
  </si>
  <si>
    <t xml:space="preserve">437 VINE AVE NE</t>
  </si>
  <si>
    <t xml:space="preserve">OH0019048947</t>
  </si>
  <si>
    <t xml:space="preserve">HALLAS</t>
  </si>
  <si>
    <t xml:space="preserve">1988-12-17</t>
  </si>
  <si>
    <t xml:space="preserve">2007-01-04</t>
  </si>
  <si>
    <t xml:space="preserve">453 VINE AVE NE</t>
  </si>
  <si>
    <t xml:space="preserve">OH0023187330</t>
  </si>
  <si>
    <t xml:space="preserve">BRADLEY</t>
  </si>
  <si>
    <t xml:space="preserve">1997-05-06</t>
  </si>
  <si>
    <t xml:space="preserve">464 VINE AVE NE</t>
  </si>
  <si>
    <t xml:space="preserve">OH0024633516</t>
  </si>
  <si>
    <t xml:space="preserve">PARKS</t>
  </si>
  <si>
    <t xml:space="preserve">COTY</t>
  </si>
  <si>
    <t xml:space="preserve">1991-07-25</t>
  </si>
  <si>
    <t xml:space="preserve">OH0025906831</t>
  </si>
  <si>
    <t xml:space="preserve">ASHLEE</t>
  </si>
  <si>
    <t xml:space="preserve">1994-10-24</t>
  </si>
  <si>
    <t xml:space="preserve">OH0026082335</t>
  </si>
  <si>
    <t xml:space="preserve">HARBOUR</t>
  </si>
  <si>
    <t xml:space="preserve">1957-10-13</t>
  </si>
  <si>
    <t xml:space="preserve">2020-10-09</t>
  </si>
  <si>
    <t xml:space="preserve">OH0015718207</t>
  </si>
  <si>
    <t xml:space="preserve">SWINDLER</t>
  </si>
  <si>
    <t xml:space="preserve">OH0026180570</t>
  </si>
  <si>
    <t xml:space="preserve">1975-06-22</t>
  </si>
  <si>
    <t xml:space="preserve">OH0026995693</t>
  </si>
  <si>
    <t xml:space="preserve">1998-02-10</t>
  </si>
  <si>
    <t xml:space="preserve">OH0020630276</t>
  </si>
  <si>
    <t xml:space="preserve">PENEZICH</t>
  </si>
  <si>
    <t xml:space="preserve">1990-06-02</t>
  </si>
  <si>
    <t xml:space="preserve">2023-08-06</t>
  </si>
  <si>
    <t xml:space="preserve">465 VINE AVE NE</t>
  </si>
  <si>
    <t xml:space="preserve">OH0015796418</t>
  </si>
  <si>
    <t xml:space="preserve">CLENDENIN</t>
  </si>
  <si>
    <t xml:space="preserve">KELLIE</t>
  </si>
  <si>
    <t xml:space="preserve">2016-08-22</t>
  </si>
  <si>
    <t xml:space="preserve">474 VINE AVE NE</t>
  </si>
  <si>
    <t xml:space="preserve">OH0024193605</t>
  </si>
  <si>
    <t xml:space="preserve">KINZEY</t>
  </si>
  <si>
    <t xml:space="preserve">1971-10-14</t>
  </si>
  <si>
    <t xml:space="preserve">2016-11-30</t>
  </si>
  <si>
    <t xml:space="preserve">OH0024655780</t>
  </si>
  <si>
    <t xml:space="preserve">WOMACK</t>
  </si>
  <si>
    <t xml:space="preserve">MALACHI</t>
  </si>
  <si>
    <t xml:space="preserve">1998-01-24</t>
  </si>
  <si>
    <t xml:space="preserve">620 VINE AVE NE</t>
  </si>
  <si>
    <t xml:space="preserve">OH0024673537</t>
  </si>
  <si>
    <t xml:space="preserve">1953-11-13</t>
  </si>
  <si>
    <t xml:space="preserve">OH0024655818</t>
  </si>
  <si>
    <t xml:space="preserve">BEULAH</t>
  </si>
  <si>
    <t xml:space="preserve">2023-04-04</t>
  </si>
  <si>
    <t xml:space="preserve">OH0015719774</t>
  </si>
  <si>
    <t xml:space="preserve">1969-09-30</t>
  </si>
  <si>
    <t xml:space="preserve">1987-10-05</t>
  </si>
  <si>
    <t xml:space="preserve">636 VINE AVE NE</t>
  </si>
  <si>
    <t xml:space="preserve">OH0022208761</t>
  </si>
  <si>
    <t xml:space="preserve">648 VINE AVE NE</t>
  </si>
  <si>
    <t xml:space="preserve">OH0024784470</t>
  </si>
  <si>
    <t xml:space="preserve">TOLER</t>
  </si>
  <si>
    <t xml:space="preserve">1975-04-11</t>
  </si>
  <si>
    <t xml:space="preserve">OH0015723629</t>
  </si>
  <si>
    <t xml:space="preserve">HATHHORN</t>
  </si>
  <si>
    <t xml:space="preserve">1970-07-18</t>
  </si>
  <si>
    <t xml:space="preserve">658 VINE AVE NE</t>
  </si>
  <si>
    <t xml:space="preserve">OH0015713155</t>
  </si>
  <si>
    <t xml:space="preserve">MOLLARD</t>
  </si>
  <si>
    <t xml:space="preserve">1937-02-18</t>
  </si>
  <si>
    <t xml:space="preserve">668 VINE AVE NE</t>
  </si>
  <si>
    <t xml:space="preserve">OH0019080927</t>
  </si>
  <si>
    <t xml:space="preserve">1988-12-15</t>
  </si>
  <si>
    <t xml:space="preserve">2017-12-15</t>
  </si>
  <si>
    <t xml:space="preserve">702 VINE AVE NE</t>
  </si>
  <si>
    <t xml:space="preserve">OH0026298489</t>
  </si>
  <si>
    <t xml:space="preserve">NEWSOM</t>
  </si>
  <si>
    <t xml:space="preserve">NETANYA</t>
  </si>
  <si>
    <t xml:space="preserve">2002-06-28</t>
  </si>
  <si>
    <t xml:space="preserve">712 VINE AVE NE</t>
  </si>
  <si>
    <t xml:space="preserve">OH0023079600</t>
  </si>
  <si>
    <t xml:space="preserve">NK</t>
  </si>
  <si>
    <t xml:space="preserve">1997-04-16</t>
  </si>
  <si>
    <t xml:space="preserve">2017-04-20</t>
  </si>
  <si>
    <t xml:space="preserve">OH0015677838</t>
  </si>
  <si>
    <t xml:space="preserve">SHARIN</t>
  </si>
  <si>
    <t xml:space="preserve">1965-02-06</t>
  </si>
  <si>
    <t xml:space="preserve">OH0020891352</t>
  </si>
  <si>
    <t xml:space="preserve">DANKO</t>
  </si>
  <si>
    <t xml:space="preserve">1989-03-16</t>
  </si>
  <si>
    <t xml:space="preserve">OH0027916517</t>
  </si>
  <si>
    <t xml:space="preserve">VIVIO</t>
  </si>
  <si>
    <t xml:space="preserve">1971-12-21</t>
  </si>
  <si>
    <t xml:space="preserve">2025-03-13</t>
  </si>
  <si>
    <t xml:space="preserve">103 W MARKET ST</t>
  </si>
  <si>
    <t xml:space="preserve">OH0026928131</t>
  </si>
  <si>
    <t xml:space="preserve">1990-12-06</t>
  </si>
  <si>
    <t xml:space="preserve">OH0023488847</t>
  </si>
  <si>
    <t xml:space="preserve">1997-12-10</t>
  </si>
  <si>
    <t xml:space="preserve">141 W MARKET ST</t>
  </si>
  <si>
    <t xml:space="preserve">UNIT B</t>
  </si>
  <si>
    <t xml:space="preserve">OH0019537827</t>
  </si>
  <si>
    <t xml:space="preserve">1990-01-20</t>
  </si>
  <si>
    <t xml:space="preserve">2024-07-23</t>
  </si>
  <si>
    <t xml:space="preserve">OH0019306843</t>
  </si>
  <si>
    <t xml:space="preserve">CLOUSER</t>
  </si>
  <si>
    <t xml:space="preserve">1971-09-22</t>
  </si>
  <si>
    <t xml:space="preserve">143 W MARKET ST</t>
  </si>
  <si>
    <t xml:space="preserve">OH0015694224</t>
  </si>
  <si>
    <t xml:space="preserve">2012-06-15</t>
  </si>
  <si>
    <t xml:space="preserve">OH0026643069</t>
  </si>
  <si>
    <t xml:space="preserve">WEITZ</t>
  </si>
  <si>
    <t xml:space="preserve">1979-04-20</t>
  </si>
  <si>
    <t xml:space="preserve">2022-09-22</t>
  </si>
  <si>
    <t xml:space="preserve">161 W MARKET ST</t>
  </si>
  <si>
    <t xml:space="preserve">OH0026643065</t>
  </si>
  <si>
    <t xml:space="preserve">1976-06-24</t>
  </si>
  <si>
    <t xml:space="preserve">OH0018798688</t>
  </si>
  <si>
    <t xml:space="preserve">BARTHOLOMEW</t>
  </si>
  <si>
    <t xml:space="preserve">1966-10-14</t>
  </si>
  <si>
    <t xml:space="preserve">2006-07-06</t>
  </si>
  <si>
    <t xml:space="preserve">OH0020963387</t>
  </si>
  <si>
    <t xml:space="preserve">BOKONE</t>
  </si>
  <si>
    <t xml:space="preserve">1986-12-01</t>
  </si>
  <si>
    <t xml:space="preserve">2014-02-04</t>
  </si>
  <si>
    <t xml:space="preserve">OH0027602067</t>
  </si>
  <si>
    <t xml:space="preserve">CHINE</t>
  </si>
  <si>
    <t xml:space="preserve">1988-08-10</t>
  </si>
  <si>
    <t xml:space="preserve">2024-09-15</t>
  </si>
  <si>
    <t xml:space="preserve">167 W MARKET ST</t>
  </si>
  <si>
    <t xml:space="preserve">OH0023049921</t>
  </si>
  <si>
    <t xml:space="preserve">1980-04-18</t>
  </si>
  <si>
    <t xml:space="preserve">OH0015742980</t>
  </si>
  <si>
    <t xml:space="preserve">MASEK</t>
  </si>
  <si>
    <t xml:space="preserve">1946-09-01</t>
  </si>
  <si>
    <t xml:space="preserve">183 W MARKET ST</t>
  </si>
  <si>
    <t xml:space="preserve">APT 300</t>
  </si>
  <si>
    <t xml:space="preserve">OH0026573796</t>
  </si>
  <si>
    <t xml:space="preserve">KAFANTARIS</t>
  </si>
  <si>
    <t xml:space="preserve">THEOLOGOS</t>
  </si>
  <si>
    <t xml:space="preserve">1981-01-15</t>
  </si>
  <si>
    <t xml:space="preserve">2022-07-27</t>
  </si>
  <si>
    <t xml:space="preserve">OH0027103516</t>
  </si>
  <si>
    <t xml:space="preserve">JUNG</t>
  </si>
  <si>
    <t xml:space="preserve">JOON YOUNG</t>
  </si>
  <si>
    <t xml:space="preserve">1979-02-17</t>
  </si>
  <si>
    <t xml:space="preserve">197 W MARKET ST</t>
  </si>
  <si>
    <t xml:space="preserve">STE 501</t>
  </si>
  <si>
    <t xml:space="preserve">OH0024776746</t>
  </si>
  <si>
    <t xml:space="preserve">SIEMERS</t>
  </si>
  <si>
    <t xml:space="preserve">1964-05-15</t>
  </si>
  <si>
    <t xml:space="preserve">STE 500</t>
  </si>
  <si>
    <t xml:space="preserve">OH0025023596</t>
  </si>
  <si>
    <t xml:space="preserve">1941-02-26</t>
  </si>
  <si>
    <t xml:space="preserve">2019-01-28</t>
  </si>
  <si>
    <t xml:space="preserve">STE 601</t>
  </si>
  <si>
    <t xml:space="preserve">OH0015686818</t>
  </si>
  <si>
    <t xml:space="preserve">YOLANDA</t>
  </si>
  <si>
    <t xml:space="preserve">1956-05-23</t>
  </si>
  <si>
    <t xml:space="preserve">1801 WALLACE ST SE</t>
  </si>
  <si>
    <t xml:space="preserve">OH0015704462</t>
  </si>
  <si>
    <t xml:space="preserve">COCKERHAM</t>
  </si>
  <si>
    <t xml:space="preserve">ROZELLE</t>
  </si>
  <si>
    <t xml:space="preserve">1960-02-26</t>
  </si>
  <si>
    <t xml:space="preserve">OH0022574862</t>
  </si>
  <si>
    <t xml:space="preserve">CASSEL</t>
  </si>
  <si>
    <t xml:space="preserve">1995-09-08</t>
  </si>
  <si>
    <t xml:space="preserve">1811 WALLACE ST SE</t>
  </si>
  <si>
    <t xml:space="preserve">OH0019695086</t>
  </si>
  <si>
    <t xml:space="preserve">THAD</t>
  </si>
  <si>
    <t xml:space="preserve">1952-09-17</t>
  </si>
  <si>
    <t xml:space="preserve">2008-02-11</t>
  </si>
  <si>
    <t xml:space="preserve">1835 WALLACE ST SE</t>
  </si>
  <si>
    <t xml:space="preserve">OH0015705116</t>
  </si>
  <si>
    <t xml:space="preserve">DORIS</t>
  </si>
  <si>
    <t xml:space="preserve">2014-01-31</t>
  </si>
  <si>
    <t xml:space="preserve">OH0021656825</t>
  </si>
  <si>
    <t xml:space="preserve">BRIDGET</t>
  </si>
  <si>
    <t xml:space="preserve">1964-09-26</t>
  </si>
  <si>
    <t xml:space="preserve">2023-09-15</t>
  </si>
  <si>
    <t xml:space="preserve">1845 WALLACE ST SE</t>
  </si>
  <si>
    <t xml:space="preserve">OH0015717768</t>
  </si>
  <si>
    <t xml:space="preserve">DAVIE</t>
  </si>
  <si>
    <t xml:space="preserve">NEHEMIAH</t>
  </si>
  <si>
    <t xml:space="preserve">1936-12-05</t>
  </si>
  <si>
    <t xml:space="preserve">1979-05-04</t>
  </si>
  <si>
    <t xml:space="preserve">1854 WALLACE ST SE</t>
  </si>
  <si>
    <t xml:space="preserve">OH0015697221</t>
  </si>
  <si>
    <t xml:space="preserve">ARLESIA</t>
  </si>
  <si>
    <t xml:space="preserve">1965-01-09</t>
  </si>
  <si>
    <t xml:space="preserve">1905 WALLACE ST SE</t>
  </si>
  <si>
    <t xml:space="preserve">OH0015684685</t>
  </si>
  <si>
    <t xml:space="preserve">1941-01-01</t>
  </si>
  <si>
    <t xml:space="preserve">OH0015729634</t>
  </si>
  <si>
    <t xml:space="preserve">1960-02-24</t>
  </si>
  <si>
    <t xml:space="preserve">2016-04-10</t>
  </si>
  <si>
    <t xml:space="preserve">2025 WALLACE ST SE</t>
  </si>
  <si>
    <t xml:space="preserve">OH0026734227</t>
  </si>
  <si>
    <t xml:space="preserve">BULL</t>
  </si>
  <si>
    <t xml:space="preserve">2042 WALLACE ST SE</t>
  </si>
  <si>
    <t xml:space="preserve">OH0015749506</t>
  </si>
  <si>
    <t xml:space="preserve">1962-06-27</t>
  </si>
  <si>
    <t xml:space="preserve">2064 WALLACE ST SE</t>
  </si>
  <si>
    <t xml:space="preserve">OH0025119242</t>
  </si>
  <si>
    <t xml:space="preserve">DEONTA</t>
  </si>
  <si>
    <t xml:space="preserve">DUANE SHAQUELLE</t>
  </si>
  <si>
    <t xml:space="preserve">2001-03-11</t>
  </si>
  <si>
    <t xml:space="preserve">136 WASHINGTON ST NE</t>
  </si>
  <si>
    <t xml:space="preserve">OH0015758228</t>
  </si>
  <si>
    <t xml:space="preserve">1985-01-24</t>
  </si>
  <si>
    <t xml:space="preserve">OH0018999329</t>
  </si>
  <si>
    <t xml:space="preserve">KOZIEL</t>
  </si>
  <si>
    <t xml:space="preserve">1979-06-12</t>
  </si>
  <si>
    <t xml:space="preserve">156 WASHINGTON ST NE</t>
  </si>
  <si>
    <t xml:space="preserve">OH0026425759</t>
  </si>
  <si>
    <t xml:space="preserve">BURTT</t>
  </si>
  <si>
    <t xml:space="preserve">2001-09-02</t>
  </si>
  <si>
    <t xml:space="preserve">OH0019557782</t>
  </si>
  <si>
    <t xml:space="preserve">BLAINE</t>
  </si>
  <si>
    <t xml:space="preserve">1990-02-08</t>
  </si>
  <si>
    <t xml:space="preserve">OH0022367593</t>
  </si>
  <si>
    <t xml:space="preserve">KREPP</t>
  </si>
  <si>
    <t xml:space="preserve">1981-11-10</t>
  </si>
  <si>
    <t xml:space="preserve">2019-09-03</t>
  </si>
  <si>
    <t xml:space="preserve">UNIT 5</t>
  </si>
  <si>
    <t xml:space="preserve">OH0024943132</t>
  </si>
  <si>
    <t xml:space="preserve">SEVY</t>
  </si>
  <si>
    <t xml:space="preserve">2020-09-25</t>
  </si>
  <si>
    <t xml:space="preserve">200 WASHINGTON ST NE</t>
  </si>
  <si>
    <t xml:space="preserve">APT 21</t>
  </si>
  <si>
    <t xml:space="preserve">OH0024369446</t>
  </si>
  <si>
    <t xml:space="preserve">BROWN LEE</t>
  </si>
  <si>
    <t xml:space="preserve">SHEDALL</t>
  </si>
  <si>
    <t xml:space="preserve">1993-02-22</t>
  </si>
  <si>
    <t xml:space="preserve">2017-08-23</t>
  </si>
  <si>
    <t xml:space="preserve">OH0027350582</t>
  </si>
  <si>
    <t xml:space="preserve">SILIANO</t>
  </si>
  <si>
    <t xml:space="preserve">2003-05-08</t>
  </si>
  <si>
    <t xml:space="preserve">2024-05-06</t>
  </si>
  <si>
    <t xml:space="preserve">OH0027952109</t>
  </si>
  <si>
    <t xml:space="preserve">JAMES FREDERICK</t>
  </si>
  <si>
    <t xml:space="preserve">1990-11-19</t>
  </si>
  <si>
    <t xml:space="preserve">APT 28</t>
  </si>
  <si>
    <t xml:space="preserve">OH0026627392</t>
  </si>
  <si>
    <t xml:space="preserve">DOHERTY</t>
  </si>
  <si>
    <t xml:space="preserve">1968-07-22</t>
  </si>
  <si>
    <t xml:space="preserve">2022-09-13</t>
  </si>
  <si>
    <t xml:space="preserve">APT 26</t>
  </si>
  <si>
    <t xml:space="preserve">OH0023357460</t>
  </si>
  <si>
    <t xml:space="preserve">BOTTEN</t>
  </si>
  <si>
    <t xml:space="preserve">SNOOPI</t>
  </si>
  <si>
    <t xml:space="preserve">JIM</t>
  </si>
  <si>
    <t xml:space="preserve">2020-08-07</t>
  </si>
  <si>
    <t xml:space="preserve">OH0027062021</t>
  </si>
  <si>
    <t xml:space="preserve">BROADSTONE</t>
  </si>
  <si>
    <t xml:space="preserve">LAILA</t>
  </si>
  <si>
    <t xml:space="preserve">2004-11-29</t>
  </si>
  <si>
    <t xml:space="preserve">OH0026285027</t>
  </si>
  <si>
    <t xml:space="preserve">1995-09-07</t>
  </si>
  <si>
    <t xml:space="preserve">2021-09-07</t>
  </si>
  <si>
    <t xml:space="preserve">APT 22</t>
  </si>
  <si>
    <t xml:space="preserve">OH0026855098</t>
  </si>
  <si>
    <t xml:space="preserve">CAIN</t>
  </si>
  <si>
    <t xml:space="preserve">ANANDEH</t>
  </si>
  <si>
    <t xml:space="preserve">PELAR IERRA</t>
  </si>
  <si>
    <t xml:space="preserve">2000-03-16</t>
  </si>
  <si>
    <t xml:space="preserve">2023-03-31</t>
  </si>
  <si>
    <t xml:space="preserve">OH0027415430</t>
  </si>
  <si>
    <t xml:space="preserve">BAEHR</t>
  </si>
  <si>
    <t xml:space="preserve">1973-06-05</t>
  </si>
  <si>
    <t xml:space="preserve">OH0026518504</t>
  </si>
  <si>
    <t xml:space="preserve">1990-03-21</t>
  </si>
  <si>
    <t xml:space="preserve">2022-05-03</t>
  </si>
  <si>
    <t xml:space="preserve">OH0026769292</t>
  </si>
  <si>
    <t xml:space="preserve">PALMER MILLER</t>
  </si>
  <si>
    <t xml:space="preserve">AMIYAH</t>
  </si>
  <si>
    <t xml:space="preserve">RAIN</t>
  </si>
  <si>
    <t xml:space="preserve">2003-10-13</t>
  </si>
  <si>
    <t xml:space="preserve">OH0022239892</t>
  </si>
  <si>
    <t xml:space="preserve">1993-07-04</t>
  </si>
  <si>
    <t xml:space="preserve">OH0027672425</t>
  </si>
  <si>
    <t xml:space="preserve">1995-04-08</t>
  </si>
  <si>
    <t xml:space="preserve">OH0019248998</t>
  </si>
  <si>
    <t xml:space="preserve">HONZU</t>
  </si>
  <si>
    <t xml:space="preserve">1952-11-12</t>
  </si>
  <si>
    <t xml:space="preserve">2017-07-23</t>
  </si>
  <si>
    <t xml:space="preserve">OH0025678333</t>
  </si>
  <si>
    <t xml:space="preserve">PATIERNO</t>
  </si>
  <si>
    <t xml:space="preserve">VITO</t>
  </si>
  <si>
    <t xml:space="preserve">1972-07-13</t>
  </si>
  <si>
    <t xml:space="preserve">OH0023224849</t>
  </si>
  <si>
    <t xml:space="preserve">1981-08-23</t>
  </si>
  <si>
    <t xml:space="preserve">2019-05-06</t>
  </si>
  <si>
    <t xml:space="preserve">OH0023228296</t>
  </si>
  <si>
    <t xml:space="preserve">JAKE</t>
  </si>
  <si>
    <t xml:space="preserve">1991-03-28</t>
  </si>
  <si>
    <t xml:space="preserve">2019-06-15</t>
  </si>
  <si>
    <t xml:space="preserve">OH0024620331</t>
  </si>
  <si>
    <t xml:space="preserve">MARKHAM</t>
  </si>
  <si>
    <t xml:space="preserve">1975-10-10</t>
  </si>
  <si>
    <t xml:space="preserve">2018-05-04</t>
  </si>
  <si>
    <t xml:space="preserve">254 WASHINGTON ST NE</t>
  </si>
  <si>
    <t xml:space="preserve">OH0015695697</t>
  </si>
  <si>
    <t xml:space="preserve">BEHRENS</t>
  </si>
  <si>
    <t xml:space="preserve">TOM</t>
  </si>
  <si>
    <t xml:space="preserve">1953-09-17</t>
  </si>
  <si>
    <t xml:space="preserve">2013-07-22</t>
  </si>
  <si>
    <t xml:space="preserve">306 WASHINGTON ST NE</t>
  </si>
  <si>
    <t xml:space="preserve">OH0015702279</t>
  </si>
  <si>
    <t xml:space="preserve">VICKY</t>
  </si>
  <si>
    <t xml:space="preserve">1961-08-21</t>
  </si>
  <si>
    <t xml:space="preserve">2010-05-26</t>
  </si>
  <si>
    <t xml:space="preserve">OH0023632556</t>
  </si>
  <si>
    <t xml:space="preserve">MILYAK</t>
  </si>
  <si>
    <t xml:space="preserve">1975-05-09</t>
  </si>
  <si>
    <t xml:space="preserve">2016-03-14</t>
  </si>
  <si>
    <t xml:space="preserve">338 WASHINGTON ST NE</t>
  </si>
  <si>
    <t xml:space="preserve">OH0015692784</t>
  </si>
  <si>
    <t xml:space="preserve">1981-08-28</t>
  </si>
  <si>
    <t xml:space="preserve">2016-07-02</t>
  </si>
  <si>
    <t xml:space="preserve">OH0015709939</t>
  </si>
  <si>
    <t xml:space="preserve">RAMEY</t>
  </si>
  <si>
    <t xml:space="preserve">1949-01-03</t>
  </si>
  <si>
    <t xml:space="preserve">348 WASHINGTON ST NE</t>
  </si>
  <si>
    <t xml:space="preserve">OH0015709937</t>
  </si>
  <si>
    <t xml:space="preserve">1949-05-10</t>
  </si>
  <si>
    <t xml:space="preserve">OH0025051199</t>
  </si>
  <si>
    <t xml:space="preserve">MINETT</t>
  </si>
  <si>
    <t xml:space="preserve">PHILIP</t>
  </si>
  <si>
    <t xml:space="preserve">2001-06-26</t>
  </si>
  <si>
    <t xml:space="preserve">370 WASHINGTON ST NE</t>
  </si>
  <si>
    <t xml:space="preserve">OH0015791208</t>
  </si>
  <si>
    <t xml:space="preserve">1982-01-19</t>
  </si>
  <si>
    <t xml:space="preserve">OH0027342405</t>
  </si>
  <si>
    <t xml:space="preserve">RIEDMAN</t>
  </si>
  <si>
    <t xml:space="preserve">KYLEE</t>
  </si>
  <si>
    <t xml:space="preserve">FAE</t>
  </si>
  <si>
    <t xml:space="preserve">2003-03-11</t>
  </si>
  <si>
    <t xml:space="preserve">OH0027076996</t>
  </si>
  <si>
    <t xml:space="preserve">ARROW</t>
  </si>
  <si>
    <t xml:space="preserve">RAYNE HOPE</t>
  </si>
  <si>
    <t xml:space="preserve">2000-11-14</t>
  </si>
  <si>
    <t xml:space="preserve">OH0025536185</t>
  </si>
  <si>
    <t xml:space="preserve">1997-05-17</t>
  </si>
  <si>
    <t xml:space="preserve">407 WASHINGTON ST NE</t>
  </si>
  <si>
    <t xml:space="preserve">OH0026772653</t>
  </si>
  <si>
    <t xml:space="preserve">GUNTER</t>
  </si>
  <si>
    <t xml:space="preserve">KASSEY</t>
  </si>
  <si>
    <t xml:space="preserve">1994-09-27</t>
  </si>
  <si>
    <t xml:space="preserve">2022-09-10</t>
  </si>
  <si>
    <t xml:space="preserve">415 WASHINGTON ST NE</t>
  </si>
  <si>
    <t xml:space="preserve">OH0023443959</t>
  </si>
  <si>
    <t xml:space="preserve">RAESHELL</t>
  </si>
  <si>
    <t xml:space="preserve">1995-05-01</t>
  </si>
  <si>
    <t xml:space="preserve">417 WASHINGTON ST NE</t>
  </si>
  <si>
    <t xml:space="preserve">OH0020387363</t>
  </si>
  <si>
    <t xml:space="preserve">1988-06-19</t>
  </si>
  <si>
    <t xml:space="preserve">429 WASHINGTON ST NE</t>
  </si>
  <si>
    <t xml:space="preserve">OH0027589786</t>
  </si>
  <si>
    <t xml:space="preserve">BROOKE</t>
  </si>
  <si>
    <t xml:space="preserve">1994-05-09</t>
  </si>
  <si>
    <t xml:space="preserve">431 WASHINGTON ST NE</t>
  </si>
  <si>
    <t xml:space="preserve">OH0027081777</t>
  </si>
  <si>
    <t xml:space="preserve">1995-04-12</t>
  </si>
  <si>
    <t xml:space="preserve">OH0027906344</t>
  </si>
  <si>
    <t xml:space="preserve">1963-07-28</t>
  </si>
  <si>
    <t xml:space="preserve">2025-03-04</t>
  </si>
  <si>
    <t xml:space="preserve">434 WASHINGTON ST NE</t>
  </si>
  <si>
    <t xml:space="preserve">OH0015779169</t>
  </si>
  <si>
    <t xml:space="preserve">RANDAL</t>
  </si>
  <si>
    <t xml:space="preserve">1948-03-16</t>
  </si>
  <si>
    <t xml:space="preserve">1975-08-29</t>
  </si>
  <si>
    <t xml:space="preserve">OH0026373137</t>
  </si>
  <si>
    <t xml:space="preserve">1956-10-03</t>
  </si>
  <si>
    <t xml:space="preserve">442 WASHINGTON ST NE</t>
  </si>
  <si>
    <t xml:space="preserve">OH0021486320</t>
  </si>
  <si>
    <t xml:space="preserve">BRENT</t>
  </si>
  <si>
    <t xml:space="preserve">1973-11-20</t>
  </si>
  <si>
    <t xml:space="preserve">454 WASHINGTON ST NE</t>
  </si>
  <si>
    <t xml:space="preserve">OH0022489553</t>
  </si>
  <si>
    <t xml:space="preserve">2016-08-19</t>
  </si>
  <si>
    <t xml:space="preserve">OH0024903221</t>
  </si>
  <si>
    <t xml:space="preserve">OH0023266870</t>
  </si>
  <si>
    <t xml:space="preserve">1971-01-08</t>
  </si>
  <si>
    <t xml:space="preserve">461 WASHINGTON ST NE</t>
  </si>
  <si>
    <t xml:space="preserve">OH0023266347</t>
  </si>
  <si>
    <t xml:space="preserve">1956-02-27</t>
  </si>
  <si>
    <t xml:space="preserve">2015-08-11</t>
  </si>
  <si>
    <t xml:space="preserve">OH0021300087</t>
  </si>
  <si>
    <t xml:space="preserve">VANWINKLE</t>
  </si>
  <si>
    <t xml:space="preserve">1981-04-24</t>
  </si>
  <si>
    <t xml:space="preserve">2016-10-02</t>
  </si>
  <si>
    <t xml:space="preserve">464 WASHINGTON ST NE</t>
  </si>
  <si>
    <t xml:space="preserve">OH0023187902</t>
  </si>
  <si>
    <t xml:space="preserve">HAYS</t>
  </si>
  <si>
    <t xml:space="preserve">1981-02-23</t>
  </si>
  <si>
    <t xml:space="preserve">OH0022683016</t>
  </si>
  <si>
    <t xml:space="preserve">KURTZMAN</t>
  </si>
  <si>
    <t xml:space="preserve">DAVY</t>
  </si>
  <si>
    <t xml:space="preserve">1995-03-10</t>
  </si>
  <si>
    <t xml:space="preserve">480 WASHINGTON ST NE</t>
  </si>
  <si>
    <t xml:space="preserve">OH0027857721</t>
  </si>
  <si>
    <t xml:space="preserve">2006-11-03</t>
  </si>
  <si>
    <t xml:space="preserve">483 WASHINGTON ST NE</t>
  </si>
  <si>
    <t xml:space="preserve">OH0025451133</t>
  </si>
  <si>
    <t xml:space="preserve">2002-10-25</t>
  </si>
  <si>
    <t xml:space="preserve">OH0027375894</t>
  </si>
  <si>
    <t xml:space="preserve">SAMARYA</t>
  </si>
  <si>
    <t xml:space="preserve">CYMONE</t>
  </si>
  <si>
    <t xml:space="preserve">2005-12-03</t>
  </si>
  <si>
    <t xml:space="preserve">514 WASHINGTON ST NE</t>
  </si>
  <si>
    <t xml:space="preserve">OH0026950665</t>
  </si>
  <si>
    <t xml:space="preserve">CHURCH</t>
  </si>
  <si>
    <t xml:space="preserve">LOYD</t>
  </si>
  <si>
    <t xml:space="preserve">2004-11-30</t>
  </si>
  <si>
    <t xml:space="preserve">2023-07-06</t>
  </si>
  <si>
    <t xml:space="preserve">527 WASHINGTON ST NE</t>
  </si>
  <si>
    <t xml:space="preserve">OH0026521867</t>
  </si>
  <si>
    <t xml:space="preserve">1981-02-04</t>
  </si>
  <si>
    <t xml:space="preserve">2022-06-03</t>
  </si>
  <si>
    <t xml:space="preserve">OH0026844947</t>
  </si>
  <si>
    <t xml:space="preserve">OBERBECK</t>
  </si>
  <si>
    <t xml:space="preserve">1988-04-05</t>
  </si>
  <si>
    <t xml:space="preserve">2023-03-16</t>
  </si>
  <si>
    <t xml:space="preserve">OH0025965321</t>
  </si>
  <si>
    <t xml:space="preserve">DEE</t>
  </si>
  <si>
    <t xml:space="preserve">1980-11-29</t>
  </si>
  <si>
    <t xml:space="preserve">OH0026836533</t>
  </si>
  <si>
    <t xml:space="preserve">KORNMUELLER</t>
  </si>
  <si>
    <t xml:space="preserve">2005-01-19</t>
  </si>
  <si>
    <t xml:space="preserve">531 WASHINGTON ST NE</t>
  </si>
  <si>
    <t xml:space="preserve">OH0015768173</t>
  </si>
  <si>
    <t xml:space="preserve">OH0023350607</t>
  </si>
  <si>
    <t xml:space="preserve">1997-07-07</t>
  </si>
  <si>
    <t xml:space="preserve">2016-05-07</t>
  </si>
  <si>
    <t xml:space="preserve">OH0021036907</t>
  </si>
  <si>
    <t xml:space="preserve">1991-12-30</t>
  </si>
  <si>
    <t xml:space="preserve">2021-04-09</t>
  </si>
  <si>
    <t xml:space="preserve">535 WASHINGTON ST NE</t>
  </si>
  <si>
    <t xml:space="preserve">OH0027860329</t>
  </si>
  <si>
    <t xml:space="preserve">GUST</t>
  </si>
  <si>
    <t xml:space="preserve">DOMINICK</t>
  </si>
  <si>
    <t xml:space="preserve">IMMANUEL</t>
  </si>
  <si>
    <t xml:space="preserve">2002-08-02</t>
  </si>
  <si>
    <t xml:space="preserve">2024-12-20</t>
  </si>
  <si>
    <t xml:space="preserve">539 WASHINGTON ST NE</t>
  </si>
  <si>
    <t xml:space="preserve">OH0027224886</t>
  </si>
  <si>
    <t xml:space="preserve">ABRAM</t>
  </si>
  <si>
    <t xml:space="preserve">2006-05-26</t>
  </si>
  <si>
    <t xml:space="preserve">631 WASHINGTON ST NE</t>
  </si>
  <si>
    <t xml:space="preserve">OH0015755039</t>
  </si>
  <si>
    <t xml:space="preserve">1977-12-13</t>
  </si>
  <si>
    <t xml:space="preserve">OH0015823557</t>
  </si>
  <si>
    <t xml:space="preserve">1980-12-15</t>
  </si>
  <si>
    <t xml:space="preserve">2013-12-23</t>
  </si>
  <si>
    <t xml:space="preserve">OH0015751367</t>
  </si>
  <si>
    <t xml:space="preserve">MARKO</t>
  </si>
  <si>
    <t xml:space="preserve">1970-06-23</t>
  </si>
  <si>
    <t xml:space="preserve">169 WASHINGTON ST NW</t>
  </si>
  <si>
    <t xml:space="preserve">OH0023547798</t>
  </si>
  <si>
    <t xml:space="preserve">1970-04-05</t>
  </si>
  <si>
    <t xml:space="preserve">OH0021495887</t>
  </si>
  <si>
    <t xml:space="preserve">BRAUN</t>
  </si>
  <si>
    <t xml:space="preserve">1987-04-03</t>
  </si>
  <si>
    <t xml:space="preserve">2015-09-18</t>
  </si>
  <si>
    <t xml:space="preserve">197 WASHINGTON ST NW</t>
  </si>
  <si>
    <t xml:space="preserve">OH0022405207</t>
  </si>
  <si>
    <t xml:space="preserve">KECK</t>
  </si>
  <si>
    <t xml:space="preserve">1986-08-14</t>
  </si>
  <si>
    <t xml:space="preserve">OH0015724906</t>
  </si>
  <si>
    <t xml:space="preserve">LONDON</t>
  </si>
  <si>
    <t xml:space="preserve">1959-04-03</t>
  </si>
  <si>
    <t xml:space="preserve">2011-11-08</t>
  </si>
  <si>
    <t xml:space="preserve">221 WASHINGTON ST NW</t>
  </si>
  <si>
    <t xml:space="preserve">OH0015812036</t>
  </si>
  <si>
    <t xml:space="preserve">THIGPEN</t>
  </si>
  <si>
    <t xml:space="preserve">1968-09-21</t>
  </si>
  <si>
    <t xml:space="preserve">239 WASHINGTON ST NW</t>
  </si>
  <si>
    <t xml:space="preserve">OH0027464972</t>
  </si>
  <si>
    <t xml:space="preserve">BATES</t>
  </si>
  <si>
    <t xml:space="preserve">257 WASHINGTON ST NW</t>
  </si>
  <si>
    <t xml:space="preserve">OH0025135208</t>
  </si>
  <si>
    <t xml:space="preserve">TOLLIVER</t>
  </si>
  <si>
    <t xml:space="preserve">2000-08-22</t>
  </si>
  <si>
    <t xml:space="preserve">OH0021853574</t>
  </si>
  <si>
    <t xml:space="preserve">2015-06-02</t>
  </si>
  <si>
    <t xml:space="preserve">OH0015758417</t>
  </si>
  <si>
    <t xml:space="preserve">THELLMAN</t>
  </si>
  <si>
    <t xml:space="preserve">1949-12-25</t>
  </si>
  <si>
    <t xml:space="preserve">275 WASHINGTON ST NW</t>
  </si>
  <si>
    <t xml:space="preserve">OH0026992188</t>
  </si>
  <si>
    <t xml:space="preserve">PRATT</t>
  </si>
  <si>
    <t xml:space="preserve">1999-12-21</t>
  </si>
  <si>
    <t xml:space="preserve">287 WASHINGTON ST NW</t>
  </si>
  <si>
    <t xml:space="preserve">OH0021578224</t>
  </si>
  <si>
    <t xml:space="preserve">CLEVENGER</t>
  </si>
  <si>
    <t xml:space="preserve">303 WASHINGTON ST NW</t>
  </si>
  <si>
    <t xml:space="preserve">OH0024936447</t>
  </si>
  <si>
    <t xml:space="preserve">KUTHY</t>
  </si>
  <si>
    <t xml:space="preserve">DONNELLY</t>
  </si>
  <si>
    <t xml:space="preserve">1982-03-25</t>
  </si>
  <si>
    <t xml:space="preserve">OH0022160335</t>
  </si>
  <si>
    <t xml:space="preserve">1979-03-25</t>
  </si>
  <si>
    <t xml:space="preserve">405 WASHINGTON ST NW</t>
  </si>
  <si>
    <t xml:space="preserve">OH0015893196</t>
  </si>
  <si>
    <t xml:space="preserve">FRITZ</t>
  </si>
  <si>
    <t xml:space="preserve">BOBBY</t>
  </si>
  <si>
    <t xml:space="preserve">1969-07-21</t>
  </si>
  <si>
    <t xml:space="preserve">OH0026023161</t>
  </si>
  <si>
    <t xml:space="preserve">KILLINGSWORTH</t>
  </si>
  <si>
    <t xml:space="preserve">1998-06-12</t>
  </si>
  <si>
    <t xml:space="preserve">OH0024078702</t>
  </si>
  <si>
    <t xml:space="preserve">MCFADDEN</t>
  </si>
  <si>
    <t xml:space="preserve">1973-07-04</t>
  </si>
  <si>
    <t xml:space="preserve">433 WAVERLY AVE NE</t>
  </si>
  <si>
    <t xml:space="preserve">OH0019038172</t>
  </si>
  <si>
    <t xml:space="preserve">RHINE</t>
  </si>
  <si>
    <t xml:space="preserve">1988-07-28</t>
  </si>
  <si>
    <t xml:space="preserve">2019-06-28</t>
  </si>
  <si>
    <t xml:space="preserve">438 WAVERLY AVE NE</t>
  </si>
  <si>
    <t xml:space="preserve">OH0015681329</t>
  </si>
  <si>
    <t xml:space="preserve">PAFF</t>
  </si>
  <si>
    <t xml:space="preserve">1985-12-15</t>
  </si>
  <si>
    <t xml:space="preserve">OH0018583822</t>
  </si>
  <si>
    <t xml:space="preserve">SUEANN</t>
  </si>
  <si>
    <t xml:space="preserve">439 WAVERLY AVE NE</t>
  </si>
  <si>
    <t xml:space="preserve">OH0023638506</t>
  </si>
  <si>
    <t xml:space="preserve">GREENWOOD</t>
  </si>
  <si>
    <t xml:space="preserve">RAPHEAL</t>
  </si>
  <si>
    <t xml:space="preserve">1989-11-06</t>
  </si>
  <si>
    <t xml:space="preserve">2016-03-22</t>
  </si>
  <si>
    <t xml:space="preserve">458 WAVERLY AVE NE</t>
  </si>
  <si>
    <t xml:space="preserve">OH0015700799</t>
  </si>
  <si>
    <t xml:space="preserve">BUBE</t>
  </si>
  <si>
    <t xml:space="preserve">461 WAVERLY AVE NE</t>
  </si>
  <si>
    <t xml:space="preserve">OH0024630371</t>
  </si>
  <si>
    <t xml:space="preserve">MAYFIELD</t>
  </si>
  <si>
    <t xml:space="preserve">478 WAVERLY AVE NE</t>
  </si>
  <si>
    <t xml:space="preserve">OH0023225167</t>
  </si>
  <si>
    <t xml:space="preserve">AMIE</t>
  </si>
  <si>
    <t xml:space="preserve">1974-05-10</t>
  </si>
  <si>
    <t xml:space="preserve">481 WAVERLY AVE NE</t>
  </si>
  <si>
    <t xml:space="preserve">OH0015727856</t>
  </si>
  <si>
    <t xml:space="preserve">MAZZOLA</t>
  </si>
  <si>
    <t xml:space="preserve">1973-09-12</t>
  </si>
  <si>
    <t xml:space="preserve">OH0027906329</t>
  </si>
  <si>
    <t xml:space="preserve">BRENDON</t>
  </si>
  <si>
    <t xml:space="preserve">1997-06-02</t>
  </si>
  <si>
    <t xml:space="preserve">2025-02-27</t>
  </si>
  <si>
    <t xml:space="preserve">OH0023321298</t>
  </si>
  <si>
    <t xml:space="preserve">1991-11-23</t>
  </si>
  <si>
    <t xml:space="preserve">OH0023508231</t>
  </si>
  <si>
    <t xml:space="preserve">TRIVYA</t>
  </si>
  <si>
    <t xml:space="preserve">1994-08-04</t>
  </si>
  <si>
    <t xml:space="preserve">1705 WICK ST SE</t>
  </si>
  <si>
    <t xml:space="preserve">OH0026063253</t>
  </si>
  <si>
    <t xml:space="preserve">1997-10-18</t>
  </si>
  <si>
    <t xml:space="preserve">2022-03-16</t>
  </si>
  <si>
    <t xml:space="preserve">OH0022405210</t>
  </si>
  <si>
    <t xml:space="preserve">1949-04-19</t>
  </si>
  <si>
    <t xml:space="preserve">2015-08-09</t>
  </si>
  <si>
    <t xml:space="preserve">1735 WICK ST SE</t>
  </si>
  <si>
    <t xml:space="preserve">OH0015704430</t>
  </si>
  <si>
    <t xml:space="preserve">TAYLOR MCGEE</t>
  </si>
  <si>
    <t xml:space="preserve">DOLORES</t>
  </si>
  <si>
    <t xml:space="preserve">1958-08-29</t>
  </si>
  <si>
    <t xml:space="preserve">1751 WICK ST SE</t>
  </si>
  <si>
    <t xml:space="preserve">OH0024086591</t>
  </si>
  <si>
    <t xml:space="preserve">JOESPH</t>
  </si>
  <si>
    <t xml:space="preserve">1956-04-30</t>
  </si>
  <si>
    <t xml:space="preserve">OH0015717024</t>
  </si>
  <si>
    <t xml:space="preserve">1957-02-14</t>
  </si>
  <si>
    <t xml:space="preserve">2015-07-01</t>
  </si>
  <si>
    <t xml:space="preserve">1784 WICK ST SE</t>
  </si>
  <si>
    <t xml:space="preserve">OH0015675067</t>
  </si>
  <si>
    <t xml:space="preserve">1947-05-08</t>
  </si>
  <si>
    <t xml:space="preserve">2013-07-30</t>
  </si>
  <si>
    <t xml:space="preserve">1926 WICK ST SE</t>
  </si>
  <si>
    <t xml:space="preserve">OH0022183939</t>
  </si>
  <si>
    <t xml:space="preserve">SHAQUIA</t>
  </si>
  <si>
    <t xml:space="preserve">LM</t>
  </si>
  <si>
    <t xml:space="preserve">1992-09-09</t>
  </si>
  <si>
    <t xml:space="preserve">OH0015745402</t>
  </si>
  <si>
    <t xml:space="preserve">1973-05-02</t>
  </si>
  <si>
    <t xml:space="preserve">1935 WICK ST SE</t>
  </si>
  <si>
    <t xml:space="preserve">OH0026992100</t>
  </si>
  <si>
    <t xml:space="preserve">JAIDYN</t>
  </si>
  <si>
    <t xml:space="preserve">DORISSA</t>
  </si>
  <si>
    <t xml:space="preserve">2004-08-31</t>
  </si>
  <si>
    <t xml:space="preserve">OH0023083898</t>
  </si>
  <si>
    <t xml:space="preserve">JAVON</t>
  </si>
  <si>
    <t xml:space="preserve">1996-12-24</t>
  </si>
  <si>
    <t xml:space="preserve">OH0019765518</t>
  </si>
  <si>
    <t xml:space="preserve">MONDAY</t>
  </si>
  <si>
    <t xml:space="preserve">1954-08-29</t>
  </si>
  <si>
    <t xml:space="preserve">1964 WICK ST SE</t>
  </si>
  <si>
    <t xml:space="preserve">OH0025369240</t>
  </si>
  <si>
    <t xml:space="preserve">CLAUDE</t>
  </si>
  <si>
    <t xml:space="preserve">2019-11-18</t>
  </si>
  <si>
    <t xml:space="preserve">OH0015790595</t>
  </si>
  <si>
    <t xml:space="preserve">1954-05-31</t>
  </si>
  <si>
    <t xml:space="preserve">1972-09-25</t>
  </si>
  <si>
    <t xml:space="preserve">1965 WICK ST SE</t>
  </si>
  <si>
    <t xml:space="preserve">OH0025092011</t>
  </si>
  <si>
    <t xml:space="preserve">KNOWLES</t>
  </si>
  <si>
    <t xml:space="preserve">1971-10-04</t>
  </si>
  <si>
    <t xml:space="preserve">1985 WICK ST SE</t>
  </si>
  <si>
    <t xml:space="preserve">OH0021884051</t>
  </si>
  <si>
    <t xml:space="preserve">MCDANIELS</t>
  </si>
  <si>
    <t xml:space="preserve">1040 WOODBINE AVE SE</t>
  </si>
  <si>
    <t xml:space="preserve">OH0023643300</t>
  </si>
  <si>
    <t xml:space="preserve">SHUSTER</t>
  </si>
  <si>
    <t xml:space="preserve">1998-05-27</t>
  </si>
  <si>
    <t xml:space="preserve">2023-08-14</t>
  </si>
  <si>
    <t xml:space="preserve">1051 WOODBINE AVE SE</t>
  </si>
  <si>
    <t xml:space="preserve">OH0023915799</t>
  </si>
  <si>
    <t xml:space="preserve">1997-05-07</t>
  </si>
  <si>
    <t xml:space="preserve">OH0027453927</t>
  </si>
  <si>
    <t xml:space="preserve">TIBBS</t>
  </si>
  <si>
    <t xml:space="preserve">2006-04-13</t>
  </si>
  <si>
    <t xml:space="preserve">1061 WOODBINE AVE SE</t>
  </si>
  <si>
    <t xml:space="preserve">OH0027329814</t>
  </si>
  <si>
    <t xml:space="preserve">STEVEY</t>
  </si>
  <si>
    <t xml:space="preserve">1950-02-20</t>
  </si>
  <si>
    <t xml:space="preserve">OH0019746634</t>
  </si>
  <si>
    <t xml:space="preserve">1975-04-15</t>
  </si>
  <si>
    <t xml:space="preserve">OH0015693767</t>
  </si>
  <si>
    <t xml:space="preserve">SCHMITT</t>
  </si>
  <si>
    <t xml:space="preserve">1938-09-14</t>
  </si>
  <si>
    <t xml:space="preserve">1070 WOODBINE AVE SE</t>
  </si>
  <si>
    <t xml:space="preserve">OH0023458565</t>
  </si>
  <si>
    <t xml:space="preserve">1978-11-10</t>
  </si>
  <si>
    <t xml:space="preserve">OH0027437563</t>
  </si>
  <si>
    <t xml:space="preserve">2003-12-15</t>
  </si>
  <si>
    <t xml:space="preserve">1071 WOODBINE AVE SE</t>
  </si>
  <si>
    <t xml:space="preserve">UNIT 1071</t>
  </si>
  <si>
    <t xml:space="preserve">OH0015757119</t>
  </si>
  <si>
    <t xml:space="preserve">1974-07-02</t>
  </si>
  <si>
    <t xml:space="preserve">OH0027515072</t>
  </si>
  <si>
    <t xml:space="preserve">STRADER</t>
  </si>
  <si>
    <t xml:space="preserve">NATALIE</t>
  </si>
  <si>
    <t xml:space="preserve">2005-12-06</t>
  </si>
  <si>
    <t xml:space="preserve">1090 WOODBINE AVE SE</t>
  </si>
  <si>
    <t xml:space="preserve">OH0015694969</t>
  </si>
  <si>
    <t xml:space="preserve">BLAKELY</t>
  </si>
  <si>
    <t xml:space="preserve">1953-07-02</t>
  </si>
  <si>
    <t xml:space="preserve">1978-09-27</t>
  </si>
  <si>
    <t xml:space="preserve">1091 WOODBINE AVE SE</t>
  </si>
  <si>
    <t xml:space="preserve">OH0022357655</t>
  </si>
  <si>
    <t xml:space="preserve">KEVONTE</t>
  </si>
  <si>
    <t xml:space="preserve">LATRELL</t>
  </si>
  <si>
    <t xml:space="preserve">2016-01-06</t>
  </si>
  <si>
    <t xml:space="preserve">1100 WOODBINE AVE SE</t>
  </si>
  <si>
    <t xml:space="preserve">OH0027491636</t>
  </si>
  <si>
    <t xml:space="preserve">CANZONETTA</t>
  </si>
  <si>
    <t xml:space="preserve">2003-03-07</t>
  </si>
  <si>
    <t xml:space="preserve">1101 WOODBINE AVE SE</t>
  </si>
  <si>
    <t xml:space="preserve">OH0015718642</t>
  </si>
  <si>
    <t xml:space="preserve">1969-02-02</t>
  </si>
  <si>
    <t xml:space="preserve">2014-02-28</t>
  </si>
  <si>
    <t xml:space="preserve">OH0027843414</t>
  </si>
  <si>
    <t xml:space="preserve">KUTI</t>
  </si>
  <si>
    <t xml:space="preserve">1998-08-14</t>
  </si>
  <si>
    <t xml:space="preserve">1110 WOODBINE AVE SE</t>
  </si>
  <si>
    <t xml:space="preserve">OH0024646052</t>
  </si>
  <si>
    <t xml:space="preserve">NEVOTNY</t>
  </si>
  <si>
    <t xml:space="preserve">KERRI</t>
  </si>
  <si>
    <t xml:space="preserve">1998-06-26</t>
  </si>
  <si>
    <t xml:space="preserve">1120 WOODBINE AVE SE</t>
  </si>
  <si>
    <t xml:space="preserve">OH0020330602</t>
  </si>
  <si>
    <t xml:space="preserve">1958-05-24</t>
  </si>
  <si>
    <t xml:space="preserve">2008-09-06</t>
  </si>
  <si>
    <t xml:space="preserve">OH0022577039</t>
  </si>
  <si>
    <t xml:space="preserve">1970-09-28</t>
  </si>
  <si>
    <t xml:space="preserve">OH0024299127</t>
  </si>
  <si>
    <t xml:space="preserve">TSILIMOS</t>
  </si>
  <si>
    <t xml:space="preserve">1979-12-30</t>
  </si>
  <si>
    <t xml:space="preserve">2022-11-01</t>
  </si>
  <si>
    <t xml:space="preserve">1121 WOODBINE AVE SE</t>
  </si>
  <si>
    <t xml:space="preserve">OH0015744853</t>
  </si>
  <si>
    <t xml:space="preserve">LAUGHLIN</t>
  </si>
  <si>
    <t xml:space="preserve">LILLIAN</t>
  </si>
  <si>
    <t xml:space="preserve">2018-01-30</t>
  </si>
  <si>
    <t xml:space="preserve">1130 WOODBINE AVE SE</t>
  </si>
  <si>
    <t xml:space="preserve">OH0015821306</t>
  </si>
  <si>
    <t xml:space="preserve">1959-03-12</t>
  </si>
  <si>
    <t xml:space="preserve">OH0020942738</t>
  </si>
  <si>
    <t xml:space="preserve">1974-07-05</t>
  </si>
  <si>
    <t xml:space="preserve">2014-08-04</t>
  </si>
  <si>
    <t xml:space="preserve">1140 WOODBINE AVE SE</t>
  </si>
  <si>
    <t xml:space="preserve">OH0019538111</t>
  </si>
  <si>
    <t xml:space="preserve">CARGILL</t>
  </si>
  <si>
    <t xml:space="preserve">SIMONE</t>
  </si>
  <si>
    <t xml:space="preserve">ALYSE</t>
  </si>
  <si>
    <t xml:space="preserve">1990-07-21</t>
  </si>
  <si>
    <t xml:space="preserve">OH0026587910</t>
  </si>
  <si>
    <t xml:space="preserve">LOGGINS</t>
  </si>
  <si>
    <t xml:space="preserve">DEMON</t>
  </si>
  <si>
    <t xml:space="preserve">2003-12-11</t>
  </si>
  <si>
    <t xml:space="preserve">2022-08-01</t>
  </si>
  <si>
    <t xml:space="preserve">OH0015761986</t>
  </si>
  <si>
    <t xml:space="preserve">TENNILLE</t>
  </si>
  <si>
    <t xml:space="preserve">1976-09-22</t>
  </si>
  <si>
    <t xml:space="preserve">2021-01-24</t>
  </si>
  <si>
    <t xml:space="preserve">OH0023634240</t>
  </si>
  <si>
    <t xml:space="preserve">1944-12-15</t>
  </si>
  <si>
    <t xml:space="preserve">2016-03-01</t>
  </si>
  <si>
    <t xml:space="preserve">1141 WOODBINE AVE SE</t>
  </si>
  <si>
    <t xml:space="preserve">OH0023852022</t>
  </si>
  <si>
    <t xml:space="preserve">1986-09-20</t>
  </si>
  <si>
    <t xml:space="preserve">2016-08-21</t>
  </si>
  <si>
    <t xml:space="preserve">1151 WOODBINE AVE SE</t>
  </si>
  <si>
    <t xml:space="preserve">OH0024333871</t>
  </si>
  <si>
    <t xml:space="preserve">1991-06-22</t>
  </si>
  <si>
    <t xml:space="preserve">2017-07-12</t>
  </si>
  <si>
    <t xml:space="preserve">OH0026028693</t>
  </si>
  <si>
    <t xml:space="preserve">1990-07-25</t>
  </si>
  <si>
    <t xml:space="preserve">OH0021013017</t>
  </si>
  <si>
    <t xml:space="preserve">TATIANA</t>
  </si>
  <si>
    <t xml:space="preserve">1962-02-28</t>
  </si>
  <si>
    <t xml:space="preserve">2010-03-11</t>
  </si>
  <si>
    <t xml:space="preserve">146 WOODBINE AVE SE</t>
  </si>
  <si>
    <t xml:space="preserve">OH0018999311</t>
  </si>
  <si>
    <t xml:space="preserve">WENDELL</t>
  </si>
  <si>
    <t xml:space="preserve">1939-08-22</t>
  </si>
  <si>
    <t xml:space="preserve">2006-10-20</t>
  </si>
  <si>
    <t xml:space="preserve">OH0015740243</t>
  </si>
  <si>
    <t xml:space="preserve">RASKOV</t>
  </si>
  <si>
    <t xml:space="preserve">1969-02-01</t>
  </si>
  <si>
    <t xml:space="preserve">2004-09-30</t>
  </si>
  <si>
    <t xml:space="preserve">1507 WOODBINE AVE SE</t>
  </si>
  <si>
    <t xml:space="preserve">OH0015740251</t>
  </si>
  <si>
    <t xml:space="preserve">1962-07-22</t>
  </si>
  <si>
    <t xml:space="preserve">OH0015691275</t>
  </si>
  <si>
    <t xml:space="preserve">SMALTZ</t>
  </si>
  <si>
    <t xml:space="preserve">2022-09-02</t>
  </si>
  <si>
    <t xml:space="preserve">1516 WOODBINE AVE SE</t>
  </si>
  <si>
    <t xml:space="preserve">OH0022387400</t>
  </si>
  <si>
    <t xml:space="preserve">1985-08-15</t>
  </si>
  <si>
    <t xml:space="preserve">2014-12-15</t>
  </si>
  <si>
    <t xml:space="preserve">1548 WOODBINE AVE SE</t>
  </si>
  <si>
    <t xml:space="preserve">OH0027497954</t>
  </si>
  <si>
    <t xml:space="preserve">MERCEDES</t>
  </si>
  <si>
    <t xml:space="preserve">1995-02-18</t>
  </si>
  <si>
    <t xml:space="preserve">1551 WOODBINE AVE SE</t>
  </si>
  <si>
    <t xml:space="preserve">OH0023341482</t>
  </si>
  <si>
    <t xml:space="preserve">1984-07-27</t>
  </si>
  <si>
    <t xml:space="preserve">2015-09-26</t>
  </si>
  <si>
    <t xml:space="preserve">OH0015744870</t>
  </si>
  <si>
    <t xml:space="preserve">1970-05-12</t>
  </si>
  <si>
    <t xml:space="preserve">1558 WOODBINE AVE SE</t>
  </si>
  <si>
    <t xml:space="preserve">OH0015746049</t>
  </si>
  <si>
    <t xml:space="preserve">TAJUANNA</t>
  </si>
  <si>
    <t xml:space="preserve">DEANNE</t>
  </si>
  <si>
    <t xml:space="preserve">1974-01-11</t>
  </si>
  <si>
    <t xml:space="preserve">1578 WOODBINE AVE SE</t>
  </si>
  <si>
    <t xml:space="preserve">OH0023488540</t>
  </si>
  <si>
    <t xml:space="preserve">CLEVELAND</t>
  </si>
  <si>
    <t xml:space="preserve">TANIA</t>
  </si>
  <si>
    <t xml:space="preserve">1998-10-07</t>
  </si>
  <si>
    <t xml:space="preserve">OH0015751781</t>
  </si>
  <si>
    <t xml:space="preserve">CATHY</t>
  </si>
  <si>
    <t xml:space="preserve">1954-07-03</t>
  </si>
  <si>
    <t xml:space="preserve">1581 WOODBINE AVE SE</t>
  </si>
  <si>
    <t xml:space="preserve">OH0021111976</t>
  </si>
  <si>
    <t xml:space="preserve">BENEDICT</t>
  </si>
  <si>
    <t xml:space="preserve">CHERRI</t>
  </si>
  <si>
    <t xml:space="preserve">OH0026524441</t>
  </si>
  <si>
    <t xml:space="preserve">NEISS</t>
  </si>
  <si>
    <t xml:space="preserve">2022-05-20</t>
  </si>
  <si>
    <t xml:space="preserve">161 WOODBINE AVE SE</t>
  </si>
  <si>
    <t xml:space="preserve">OH0025949836</t>
  </si>
  <si>
    <t xml:space="preserve">1968-03-04</t>
  </si>
  <si>
    <t xml:space="preserve">1617 WOODBINE AVE SE</t>
  </si>
  <si>
    <t xml:space="preserve">OH0025949738</t>
  </si>
  <si>
    <t xml:space="preserve">1962-12-12</t>
  </si>
  <si>
    <t xml:space="preserve">OH0015793119</t>
  </si>
  <si>
    <t xml:space="preserve">ZAQUESHUN</t>
  </si>
  <si>
    <t xml:space="preserve">JONDELLE</t>
  </si>
  <si>
    <t xml:space="preserve">1984-07-05</t>
  </si>
  <si>
    <t xml:space="preserve">OH0018597551</t>
  </si>
  <si>
    <t xml:space="preserve">1969-10-27</t>
  </si>
  <si>
    <t xml:space="preserve">2023-11-21</t>
  </si>
  <si>
    <t xml:space="preserve">1618 WOODBINE AVE SE</t>
  </si>
  <si>
    <t xml:space="preserve">OH0024173067</t>
  </si>
  <si>
    <t xml:space="preserve">MOON</t>
  </si>
  <si>
    <t xml:space="preserve">1997-02-08</t>
  </si>
  <si>
    <t xml:space="preserve">1627 WOODBINE AVE SE</t>
  </si>
  <si>
    <t xml:space="preserve">OH0015719264</t>
  </si>
  <si>
    <t xml:space="preserve">1983-01-31</t>
  </si>
  <si>
    <t xml:space="preserve">OH0020898942</t>
  </si>
  <si>
    <t xml:space="preserve">SHAVER</t>
  </si>
  <si>
    <t xml:space="preserve">AVERY</t>
  </si>
  <si>
    <t xml:space="preserve">1991-08-20</t>
  </si>
  <si>
    <t xml:space="preserve">2018-06-15</t>
  </si>
  <si>
    <t xml:space="preserve">1638 WOODBINE AVE SE</t>
  </si>
  <si>
    <t xml:space="preserve">OH0025381308</t>
  </si>
  <si>
    <t xml:space="preserve">CLAEYS</t>
  </si>
  <si>
    <t xml:space="preserve">1986-02-11</t>
  </si>
  <si>
    <t xml:space="preserve">OH0021280083</t>
  </si>
  <si>
    <t xml:space="preserve">ANERINO</t>
  </si>
  <si>
    <t xml:space="preserve">1982-01-21</t>
  </si>
  <si>
    <t xml:space="preserve">1649 WOODBINE AVE SE</t>
  </si>
  <si>
    <t xml:space="preserve">OH0021080873</t>
  </si>
  <si>
    <t xml:space="preserve">YAFANARO</t>
  </si>
  <si>
    <t xml:space="preserve">1975-10-04</t>
  </si>
  <si>
    <t xml:space="preserve">2017-04-28</t>
  </si>
  <si>
    <t xml:space="preserve">OH0015764130</t>
  </si>
  <si>
    <t xml:space="preserve">ANTONNIO</t>
  </si>
  <si>
    <t xml:space="preserve">1976-02-12</t>
  </si>
  <si>
    <t xml:space="preserve">1679 WOODBINE AVE SE</t>
  </si>
  <si>
    <t xml:space="preserve">OH0015722977</t>
  </si>
  <si>
    <t xml:space="preserve">SHANNEN</t>
  </si>
  <si>
    <t xml:space="preserve">1982-01-09</t>
  </si>
  <si>
    <t xml:space="preserve">OH0027518546</t>
  </si>
  <si>
    <t xml:space="preserve">SHANTONAE</t>
  </si>
  <si>
    <t xml:space="preserve">OH0020942945</t>
  </si>
  <si>
    <t xml:space="preserve">CYREE</t>
  </si>
  <si>
    <t xml:space="preserve">1991-11-12</t>
  </si>
  <si>
    <t xml:space="preserve">2019-04-27</t>
  </si>
  <si>
    <t xml:space="preserve">170 WOODBINE AVE SE</t>
  </si>
  <si>
    <t xml:space="preserve">OH0026624351</t>
  </si>
  <si>
    <t xml:space="preserve">SYDNEY</t>
  </si>
  <si>
    <t xml:space="preserve">OH0027021506</t>
  </si>
  <si>
    <t xml:space="preserve">LOVELY</t>
  </si>
  <si>
    <t xml:space="preserve">LASHA</t>
  </si>
  <si>
    <t xml:space="preserve">2000-07-20</t>
  </si>
  <si>
    <t xml:space="preserve">171 WOODBINE AVE SE</t>
  </si>
  <si>
    <t xml:space="preserve">OH0022738424</t>
  </si>
  <si>
    <t xml:space="preserve">ALOMBRO</t>
  </si>
  <si>
    <t xml:space="preserve">JAYMEE LYNN</t>
  </si>
  <si>
    <t xml:space="preserve">2014-03-14</t>
  </si>
  <si>
    <t xml:space="preserve">173 WOODBINE AVE SE</t>
  </si>
  <si>
    <t xml:space="preserve">OH0015693170</t>
  </si>
  <si>
    <t xml:space="preserve">LIAKARIS</t>
  </si>
  <si>
    <t xml:space="preserve">1957-10-15</t>
  </si>
  <si>
    <t xml:space="preserve">2006-11-27</t>
  </si>
  <si>
    <t xml:space="preserve">185 WOODBINE AVE SE</t>
  </si>
  <si>
    <t xml:space="preserve">OH0015802095</t>
  </si>
  <si>
    <t xml:space="preserve">SINGELIS</t>
  </si>
  <si>
    <t xml:space="preserve">1953-08-07</t>
  </si>
  <si>
    <t xml:space="preserve">OH0027278003</t>
  </si>
  <si>
    <t xml:space="preserve">TYCEANTHONY</t>
  </si>
  <si>
    <t xml:space="preserve">2003-07-12</t>
  </si>
  <si>
    <t xml:space="preserve">2024-03-09</t>
  </si>
  <si>
    <t xml:space="preserve">197 WOODBINE AVE SE</t>
  </si>
  <si>
    <t xml:space="preserve">OH0025678911</t>
  </si>
  <si>
    <t xml:space="preserve">CHLOE</t>
  </si>
  <si>
    <t xml:space="preserve">2001-08-06</t>
  </si>
  <si>
    <t xml:space="preserve">2020-07-17</t>
  </si>
  <si>
    <t xml:space="preserve">206 WOODBINE AVE SE</t>
  </si>
  <si>
    <t xml:space="preserve">OH0024871967</t>
  </si>
  <si>
    <t xml:space="preserve">1979-05-03</t>
  </si>
  <si>
    <t xml:space="preserve">OH0025584052</t>
  </si>
  <si>
    <t xml:space="preserve">1977-09-13</t>
  </si>
  <si>
    <t xml:space="preserve">2020-06-05</t>
  </si>
  <si>
    <t xml:space="preserve">OH0025584057</t>
  </si>
  <si>
    <t xml:space="preserve">1977-09-20</t>
  </si>
  <si>
    <t xml:space="preserve">OH0027577520</t>
  </si>
  <si>
    <t xml:space="preserve">DETCHON</t>
  </si>
  <si>
    <t xml:space="preserve">1987-10-27</t>
  </si>
  <si>
    <t xml:space="preserve">207 WOODBINE AVE SE</t>
  </si>
  <si>
    <t xml:space="preserve">OH0015722303</t>
  </si>
  <si>
    <t xml:space="preserve">1959-10-03</t>
  </si>
  <si>
    <t xml:space="preserve">2015-06-24</t>
  </si>
  <si>
    <t xml:space="preserve">OH0019086175</t>
  </si>
  <si>
    <t xml:space="preserve">GUYSINGER</t>
  </si>
  <si>
    <t xml:space="preserve">1988-12-03</t>
  </si>
  <si>
    <t xml:space="preserve">2020-10-26</t>
  </si>
  <si>
    <t xml:space="preserve">209 WOODBINE AVE SE</t>
  </si>
  <si>
    <t xml:space="preserve">OH0018878595</t>
  </si>
  <si>
    <t xml:space="preserve">JAKUBEC</t>
  </si>
  <si>
    <t xml:space="preserve">LACIE</t>
  </si>
  <si>
    <t xml:space="preserve">2016-09-30</t>
  </si>
  <si>
    <t xml:space="preserve">232 WOODBINE AVE SE</t>
  </si>
  <si>
    <t xml:space="preserve">OH0027088863</t>
  </si>
  <si>
    <t xml:space="preserve">YAGER</t>
  </si>
  <si>
    <t xml:space="preserve">CORBAN MARCUS</t>
  </si>
  <si>
    <t xml:space="preserve">2005-03-28</t>
  </si>
  <si>
    <t xml:space="preserve">OH0015811070</t>
  </si>
  <si>
    <t xml:space="preserve">STAN</t>
  </si>
  <si>
    <t xml:space="preserve">1963-03-24</t>
  </si>
  <si>
    <t xml:space="preserve">1995-04-07</t>
  </si>
  <si>
    <t xml:space="preserve">244 WOODBINE AVE SE</t>
  </si>
  <si>
    <t xml:space="preserve">OH0015819275</t>
  </si>
  <si>
    <t xml:space="preserve">1974-04-03</t>
  </si>
  <si>
    <t xml:space="preserve">OH0015757004</t>
  </si>
  <si>
    <t xml:space="preserve">BLACKWELL</t>
  </si>
  <si>
    <t xml:space="preserve">CARLA</t>
  </si>
  <si>
    <t xml:space="preserve">1974-10-10</t>
  </si>
  <si>
    <t xml:space="preserve">306 WOODBINE AVE SE</t>
  </si>
  <si>
    <t xml:space="preserve">OH0024250503</t>
  </si>
  <si>
    <t xml:space="preserve">JAWUAN</t>
  </si>
  <si>
    <t xml:space="preserve">1996-01-04</t>
  </si>
  <si>
    <t xml:space="preserve">OH0022466690</t>
  </si>
  <si>
    <t xml:space="preserve">1991-04-08</t>
  </si>
  <si>
    <t xml:space="preserve">2016-08-12</t>
  </si>
  <si>
    <t xml:space="preserve">OH0023859505</t>
  </si>
  <si>
    <t xml:space="preserve">TRESAN</t>
  </si>
  <si>
    <t xml:space="preserve">DEANTE DEWITT</t>
  </si>
  <si>
    <t xml:space="preserve">1993-04-23</t>
  </si>
  <si>
    <t xml:space="preserve">2019-10-09</t>
  </si>
  <si>
    <t xml:space="preserve">OH0026085025</t>
  </si>
  <si>
    <t xml:space="preserve">2020-10-28</t>
  </si>
  <si>
    <t xml:space="preserve">OH0025229841</t>
  </si>
  <si>
    <t xml:space="preserve">2001-09-22</t>
  </si>
  <si>
    <t xml:space="preserve">OH0022955516</t>
  </si>
  <si>
    <t xml:space="preserve">STEIN</t>
  </si>
  <si>
    <t xml:space="preserve">BRAXTON</t>
  </si>
  <si>
    <t xml:space="preserve">307 WOODBINE AVE SE</t>
  </si>
  <si>
    <t xml:space="preserve">OH0023221257</t>
  </si>
  <si>
    <t xml:space="preserve">1996-10-05</t>
  </si>
  <si>
    <t xml:space="preserve">OH0015745538</t>
  </si>
  <si>
    <t xml:space="preserve">LOSEY</t>
  </si>
  <si>
    <t xml:space="preserve">1952-02-16</t>
  </si>
  <si>
    <t xml:space="preserve">319 WOODBINE AVE SE</t>
  </si>
  <si>
    <t xml:space="preserve">OH0015743508</t>
  </si>
  <si>
    <t xml:space="preserve">1951-09-23</t>
  </si>
  <si>
    <t xml:space="preserve">OH0015758133</t>
  </si>
  <si>
    <t xml:space="preserve">SEITZ</t>
  </si>
  <si>
    <t xml:space="preserve">HERSCHEL</t>
  </si>
  <si>
    <t xml:space="preserve">1974-05-15</t>
  </si>
  <si>
    <t xml:space="preserve">2022-05-31</t>
  </si>
  <si>
    <t xml:space="preserve">328 WOODBINE AVE SE</t>
  </si>
  <si>
    <t xml:space="preserve">OH0015675807</t>
  </si>
  <si>
    <t xml:space="preserve">1973-05-27</t>
  </si>
  <si>
    <t xml:space="preserve">2024-01-19</t>
  </si>
  <si>
    <t xml:space="preserve">343 WOODBINE AVE SE</t>
  </si>
  <si>
    <t xml:space="preserve">OH0023826999</t>
  </si>
  <si>
    <t xml:space="preserve">1968-11-18</t>
  </si>
  <si>
    <t xml:space="preserve">OH0015691094</t>
  </si>
  <si>
    <t xml:space="preserve">PARDEE</t>
  </si>
  <si>
    <t xml:space="preserve">1926-07-07</t>
  </si>
  <si>
    <t xml:space="preserve">1960-09-22</t>
  </si>
  <si>
    <t xml:space="preserve">354 WOODBINE AVE SE</t>
  </si>
  <si>
    <t xml:space="preserve">OH0022933314</t>
  </si>
  <si>
    <t xml:space="preserve">BEAUCHENE</t>
  </si>
  <si>
    <t xml:space="preserve">1996-07-23</t>
  </si>
  <si>
    <t xml:space="preserve">355 WOODBINE AVE SE</t>
  </si>
  <si>
    <t xml:space="preserve">OH0021699419</t>
  </si>
  <si>
    <t xml:space="preserve">EVERMAN</t>
  </si>
  <si>
    <t xml:space="preserve">1972-05-01</t>
  </si>
  <si>
    <t xml:space="preserve">367 WOODBINE AVE SE</t>
  </si>
  <si>
    <t xml:space="preserve">OH0015761501</t>
  </si>
  <si>
    <t xml:space="preserve">BURD</t>
  </si>
  <si>
    <t xml:space="preserve">1962-12-15</t>
  </si>
  <si>
    <t xml:space="preserve">OH0027651397</t>
  </si>
  <si>
    <t xml:space="preserve">TAVISH</t>
  </si>
  <si>
    <t xml:space="preserve">2000-04-11</t>
  </si>
  <si>
    <t xml:space="preserve">OH0026571440</t>
  </si>
  <si>
    <t xml:space="preserve">FULTON</t>
  </si>
  <si>
    <t xml:space="preserve">2002-07-31</t>
  </si>
  <si>
    <t xml:space="preserve">OH0025720408</t>
  </si>
  <si>
    <t xml:space="preserve">WESTHEAD</t>
  </si>
  <si>
    <t xml:space="preserve">1987-09-30</t>
  </si>
  <si>
    <t xml:space="preserve">378 WOODBINE AVE SE</t>
  </si>
  <si>
    <t xml:space="preserve">OH0025598779</t>
  </si>
  <si>
    <t xml:space="preserve">2020-06-28</t>
  </si>
  <si>
    <t xml:space="preserve">OH0026364475</t>
  </si>
  <si>
    <t xml:space="preserve">MINNICK</t>
  </si>
  <si>
    <t xml:space="preserve">1996-02-11</t>
  </si>
  <si>
    <t xml:space="preserve">390 WOODBINE AVE SE</t>
  </si>
  <si>
    <t xml:space="preserve">OH0023079837</t>
  </si>
  <si>
    <t xml:space="preserve">SCHEIDEGGER</t>
  </si>
  <si>
    <t xml:space="preserve">1997-02-18</t>
  </si>
  <si>
    <t xml:space="preserve">393 WOODBINE AVE SE</t>
  </si>
  <si>
    <t xml:space="preserve">OH0024082381</t>
  </si>
  <si>
    <t xml:space="preserve">1998-07-29</t>
  </si>
  <si>
    <t xml:space="preserve">OH0022926055</t>
  </si>
  <si>
    <t xml:space="preserve">BISHOP</t>
  </si>
  <si>
    <t xml:space="preserve">2014-09-23</t>
  </si>
  <si>
    <t xml:space="preserve">OH0026859897</t>
  </si>
  <si>
    <t xml:space="preserve">2005-03-26</t>
  </si>
  <si>
    <t xml:space="preserve">400 WOODBINE AVE SE</t>
  </si>
  <si>
    <t xml:space="preserve">OH0023264032</t>
  </si>
  <si>
    <t xml:space="preserve">1982-06-18</t>
  </si>
  <si>
    <t xml:space="preserve">OH0026063393</t>
  </si>
  <si>
    <t xml:space="preserve">GUNTHER</t>
  </si>
  <si>
    <t xml:space="preserve">1967-09-12</t>
  </si>
  <si>
    <t xml:space="preserve">403 WOODBINE AVE SE</t>
  </si>
  <si>
    <t xml:space="preserve">OH0015742329</t>
  </si>
  <si>
    <t xml:space="preserve">1965-05-09</t>
  </si>
  <si>
    <t xml:space="preserve">2018-04-24</t>
  </si>
  <si>
    <t xml:space="preserve">OH0025593488</t>
  </si>
  <si>
    <t xml:space="preserve">CORAM</t>
  </si>
  <si>
    <t xml:space="preserve">DEANA</t>
  </si>
  <si>
    <t xml:space="preserve">KARIM</t>
  </si>
  <si>
    <t xml:space="preserve">2022-07-01</t>
  </si>
  <si>
    <t xml:space="preserve">414 WOODBINE AVE SE</t>
  </si>
  <si>
    <t xml:space="preserve">OH0026185866</t>
  </si>
  <si>
    <t xml:space="preserve">KEANA</t>
  </si>
  <si>
    <t xml:space="preserve">2021-05-05</t>
  </si>
  <si>
    <t xml:space="preserve">OH0019107422</t>
  </si>
  <si>
    <t xml:space="preserve">1971-02-01</t>
  </si>
  <si>
    <t xml:space="preserve">2019-07-08</t>
  </si>
  <si>
    <t xml:space="preserve">OH0023835448</t>
  </si>
  <si>
    <t xml:space="preserve">OKEKE</t>
  </si>
  <si>
    <t xml:space="preserve">AMARENE</t>
  </si>
  <si>
    <t xml:space="preserve">1985-10-17</t>
  </si>
  <si>
    <t xml:space="preserve">506 WOODBINE AVE SE</t>
  </si>
  <si>
    <t xml:space="preserve">OH0015731888</t>
  </si>
  <si>
    <t xml:space="preserve">BIANCO</t>
  </si>
  <si>
    <t xml:space="preserve">VONDA</t>
  </si>
  <si>
    <t xml:space="preserve">1935-04-25</t>
  </si>
  <si>
    <t xml:space="preserve">2000-10-10</t>
  </si>
  <si>
    <t xml:space="preserve">507 WOODBINE AVE SE</t>
  </si>
  <si>
    <t xml:space="preserve">OH0026372174</t>
  </si>
  <si>
    <t xml:space="preserve">OSBUN</t>
  </si>
  <si>
    <t xml:space="preserve">SIERRA</t>
  </si>
  <si>
    <t xml:space="preserve">1995-06-26</t>
  </si>
  <si>
    <t xml:space="preserve">516 WOODBINE AVE SE</t>
  </si>
  <si>
    <t xml:space="preserve">OH0015687226</t>
  </si>
  <si>
    <t xml:space="preserve">FERRIS</t>
  </si>
  <si>
    <t xml:space="preserve">ROSELYN</t>
  </si>
  <si>
    <t xml:space="preserve">1945-06-04</t>
  </si>
  <si>
    <t xml:space="preserve">1967-03-22</t>
  </si>
  <si>
    <t xml:space="preserve">517 WOODBINE AVE SE</t>
  </si>
  <si>
    <t xml:space="preserve">OH0025650629</t>
  </si>
  <si>
    <t xml:space="preserve">1943-04-13</t>
  </si>
  <si>
    <t xml:space="preserve">OH0015725666</t>
  </si>
  <si>
    <t xml:space="preserve">SHOEMAKER</t>
  </si>
  <si>
    <t xml:space="preserve">1949-12-12</t>
  </si>
  <si>
    <t xml:space="preserve">2013-07-05</t>
  </si>
  <si>
    <t xml:space="preserve">526 WOODBINE AVE SE</t>
  </si>
  <si>
    <t xml:space="preserve">OH0026438680</t>
  </si>
  <si>
    <t xml:space="preserve">1967-12-30</t>
  </si>
  <si>
    <t xml:space="preserve">2022-08-18</t>
  </si>
  <si>
    <t xml:space="preserve">OH0026925334</t>
  </si>
  <si>
    <t xml:space="preserve">1962-09-03</t>
  </si>
  <si>
    <t xml:space="preserve">2023-05-11</t>
  </si>
  <si>
    <t xml:space="preserve">527 WOODBINE AVE SE</t>
  </si>
  <si>
    <t xml:space="preserve">OH0026430808</t>
  </si>
  <si>
    <t xml:space="preserve">BENDEN</t>
  </si>
  <si>
    <t xml:space="preserve">1973-03-08</t>
  </si>
  <si>
    <t xml:space="preserve">2022-03-08</t>
  </si>
  <si>
    <t xml:space="preserve">528 WOODBINE AVE SE</t>
  </si>
  <si>
    <t xml:space="preserve">OH0015762622</t>
  </si>
  <si>
    <t xml:space="preserve">2021-01-23</t>
  </si>
  <si>
    <t xml:space="preserve">538 WOODBINE AVE SE</t>
  </si>
  <si>
    <t xml:space="preserve">OH0015718228</t>
  </si>
  <si>
    <t xml:space="preserve">1955-05-30</t>
  </si>
  <si>
    <t xml:space="preserve">547 WOODBINE AVE SE</t>
  </si>
  <si>
    <t xml:space="preserve">OH0015699800</t>
  </si>
  <si>
    <t xml:space="preserve">DODGE</t>
  </si>
  <si>
    <t xml:space="preserve">1972-01-04</t>
  </si>
  <si>
    <t xml:space="preserve">1998-01-29</t>
  </si>
  <si>
    <t xml:space="preserve">548 WOODBINE AVE SE</t>
  </si>
  <si>
    <t xml:space="preserve">OH0025385355</t>
  </si>
  <si>
    <t xml:space="preserve">1967-01-11</t>
  </si>
  <si>
    <t xml:space="preserve">2020-01-31</t>
  </si>
  <si>
    <t xml:space="preserve">OH0027364146</t>
  </si>
  <si>
    <t xml:space="preserve">1982-07-22</t>
  </si>
  <si>
    <t xml:space="preserve">556 WOODBINE AVE SE</t>
  </si>
  <si>
    <t xml:space="preserve">OH0023263997</t>
  </si>
  <si>
    <t xml:space="preserve">FERREBEE</t>
  </si>
  <si>
    <t xml:space="preserve">1983-03-30</t>
  </si>
  <si>
    <t xml:space="preserve">2023-04-08</t>
  </si>
  <si>
    <t xml:space="preserve">OH0023981731</t>
  </si>
  <si>
    <t xml:space="preserve">RITCHELLE</t>
  </si>
  <si>
    <t xml:space="preserve">SHIRLEYN</t>
  </si>
  <si>
    <t xml:space="preserve">2021-01-04</t>
  </si>
  <si>
    <t xml:space="preserve">567 WOODBINE AVE SE</t>
  </si>
  <si>
    <t xml:space="preserve">OH0015739702</t>
  </si>
  <si>
    <t xml:space="preserve">1979-06-22</t>
  </si>
  <si>
    <t xml:space="preserve">2004-04-07</t>
  </si>
  <si>
    <t xml:space="preserve">OH0023489350</t>
  </si>
  <si>
    <t xml:space="preserve">1997-10-09</t>
  </si>
  <si>
    <t xml:space="preserve">2022-10-19</t>
  </si>
  <si>
    <t xml:space="preserve">OH0025657768</t>
  </si>
  <si>
    <t xml:space="preserve">1970-04-13</t>
  </si>
  <si>
    <t xml:space="preserve">2020-07-27</t>
  </si>
  <si>
    <t xml:space="preserve">576 WOODBINE AVE SE</t>
  </si>
  <si>
    <t xml:space="preserve">OH0024828000</t>
  </si>
  <si>
    <t xml:space="preserve">NORRIS</t>
  </si>
  <si>
    <t xml:space="preserve">1968-10-10</t>
  </si>
  <si>
    <t xml:space="preserve">OH0019107320</t>
  </si>
  <si>
    <t xml:space="preserve">BRIANA</t>
  </si>
  <si>
    <t xml:space="preserve">1987-09-25</t>
  </si>
  <si>
    <t xml:space="preserve">2016-11-03</t>
  </si>
  <si>
    <t xml:space="preserve">577 WOODBINE AVE SE</t>
  </si>
  <si>
    <t xml:space="preserve">OH0015812664</t>
  </si>
  <si>
    <t xml:space="preserve">2012-03-21</t>
  </si>
  <si>
    <t xml:space="preserve">587 WOODBINE AVE SE</t>
  </si>
  <si>
    <t xml:space="preserve">OH0015863727</t>
  </si>
  <si>
    <t xml:space="preserve">1973-12-23</t>
  </si>
  <si>
    <t xml:space="preserve">OH0027064877</t>
  </si>
  <si>
    <t xml:space="preserve">KAIL</t>
  </si>
  <si>
    <t xml:space="preserve">1993-09-17</t>
  </si>
  <si>
    <t xml:space="preserve">597 WOODBINE AVE SE</t>
  </si>
  <si>
    <t xml:space="preserve">OH0019362527</t>
  </si>
  <si>
    <t xml:space="preserve">1989-11-16</t>
  </si>
  <si>
    <t xml:space="preserve">OH0027979801</t>
  </si>
  <si>
    <t xml:space="preserve">DOBOS</t>
  </si>
  <si>
    <t xml:space="preserve">1996-06-07</t>
  </si>
  <si>
    <t xml:space="preserve">607 WOODBINE AVE SE</t>
  </si>
  <si>
    <t xml:space="preserve">OH0027659145</t>
  </si>
  <si>
    <t xml:space="preserve">1986-01-21</t>
  </si>
  <si>
    <t xml:space="preserve">OH0024660083</t>
  </si>
  <si>
    <t xml:space="preserve">PERROTTI</t>
  </si>
  <si>
    <t xml:space="preserve">2000-05-26</t>
  </si>
  <si>
    <t xml:space="preserve">616 WOODBINE AVE SE</t>
  </si>
  <si>
    <t xml:space="preserve">OH0023632834</t>
  </si>
  <si>
    <t xml:space="preserve">YOCOLANO</t>
  </si>
  <si>
    <t xml:space="preserve">2016-03-08</t>
  </si>
  <si>
    <t xml:space="preserve">617 WOODBINE AVE SE</t>
  </si>
  <si>
    <t xml:space="preserve">OH0023536915</t>
  </si>
  <si>
    <t xml:space="preserve">1948-02-27</t>
  </si>
  <si>
    <t xml:space="preserve">2016-02-16</t>
  </si>
  <si>
    <t xml:space="preserve">OH0024210708</t>
  </si>
  <si>
    <t xml:space="preserve">626 WOODBINE AVE SE</t>
  </si>
  <si>
    <t xml:space="preserve">OH0015730621</t>
  </si>
  <si>
    <t xml:space="preserve">MCDOWELL</t>
  </si>
  <si>
    <t xml:space="preserve">1957-04-12</t>
  </si>
  <si>
    <t xml:space="preserve">2014-10-09</t>
  </si>
  <si>
    <t xml:space="preserve">628 WOODBINE AVE SE</t>
  </si>
  <si>
    <t xml:space="preserve">OH0015729783</t>
  </si>
  <si>
    <t xml:space="preserve">KOLTAK</t>
  </si>
  <si>
    <t xml:space="preserve">SUZETTE</t>
  </si>
  <si>
    <t xml:space="preserve">1953-09-11</t>
  </si>
  <si>
    <t xml:space="preserve">2003-12-12</t>
  </si>
  <si>
    <t xml:space="preserve">OH0026446532</t>
  </si>
  <si>
    <t xml:space="preserve">GUMP</t>
  </si>
  <si>
    <t xml:space="preserve">1980-10-17</t>
  </si>
  <si>
    <t xml:space="preserve">636 WOODBINE AVE SE</t>
  </si>
  <si>
    <t xml:space="preserve">OH0015769321</t>
  </si>
  <si>
    <t xml:space="preserve">LANDIS</t>
  </si>
  <si>
    <t xml:space="preserve">ELLIOTT</t>
  </si>
  <si>
    <t xml:space="preserve">1985-12-30</t>
  </si>
  <si>
    <t xml:space="preserve">OH0024811035</t>
  </si>
  <si>
    <t xml:space="preserve">CRENSHAW</t>
  </si>
  <si>
    <t xml:space="preserve">TREONA</t>
  </si>
  <si>
    <t xml:space="preserve">2023-08-31</t>
  </si>
  <si>
    <t xml:space="preserve">637 WOODBINE AVE SE</t>
  </si>
  <si>
    <t xml:space="preserve">OH0025451419</t>
  </si>
  <si>
    <t xml:space="preserve">KEONA</t>
  </si>
  <si>
    <t xml:space="preserve">2002-04-24</t>
  </si>
  <si>
    <t xml:space="preserve">OH0015726999</t>
  </si>
  <si>
    <t xml:space="preserve">PETRINA</t>
  </si>
  <si>
    <t xml:space="preserve">1982-12-14</t>
  </si>
  <si>
    <t xml:space="preserve">OH0015716939</t>
  </si>
  <si>
    <t xml:space="preserve">1969-01-05</t>
  </si>
  <si>
    <t xml:space="preserve">2001-01-11</t>
  </si>
  <si>
    <t xml:space="preserve">653 WOODBINE AVE SE</t>
  </si>
  <si>
    <t xml:space="preserve">OH0015771015</t>
  </si>
  <si>
    <t xml:space="preserve">1961-01-11</t>
  </si>
  <si>
    <t xml:space="preserve">OH0025897010</t>
  </si>
  <si>
    <t xml:space="preserve">ODELL</t>
  </si>
  <si>
    <t xml:space="preserve">1967-07-14</t>
  </si>
  <si>
    <t xml:space="preserve">2020-09-27</t>
  </si>
  <si>
    <t xml:space="preserve">OH0015745892</t>
  </si>
  <si>
    <t xml:space="preserve">MANOFSKY</t>
  </si>
  <si>
    <t xml:space="preserve">1963-11-12</t>
  </si>
  <si>
    <t xml:space="preserve">1992-02-24</t>
  </si>
  <si>
    <t xml:space="preserve">658 WOODBINE AVE SE</t>
  </si>
  <si>
    <t xml:space="preserve">OH0023349759</t>
  </si>
  <si>
    <t xml:space="preserve">STATEMA</t>
  </si>
  <si>
    <t xml:space="preserve">661 WOODBINE AVE SE</t>
  </si>
  <si>
    <t xml:space="preserve">OH0025228668</t>
  </si>
  <si>
    <t xml:space="preserve">1992-12-24</t>
  </si>
  <si>
    <t xml:space="preserve">OH0015752652</t>
  </si>
  <si>
    <t xml:space="preserve">TAMICA</t>
  </si>
  <si>
    <t xml:space="preserve">1982-10-07</t>
  </si>
  <si>
    <t xml:space="preserve">668 WOODBINE AVE SE</t>
  </si>
  <si>
    <t xml:space="preserve">OH0015676301</t>
  </si>
  <si>
    <t xml:space="preserve">1985-07-15</t>
  </si>
  <si>
    <t xml:space="preserve">OH0019038219</t>
  </si>
  <si>
    <t xml:space="preserve">ABRUM</t>
  </si>
  <si>
    <t xml:space="preserve">1978-09-10</t>
  </si>
  <si>
    <t xml:space="preserve">680 WOODBINE AVE SE</t>
  </si>
  <si>
    <t xml:space="preserve">OH0024289113</t>
  </si>
  <si>
    <t xml:space="preserve">MILLIGAN</t>
  </si>
  <si>
    <t xml:space="preserve">2017-05-01</t>
  </si>
  <si>
    <t xml:space="preserve">OH0015820096</t>
  </si>
  <si>
    <t xml:space="preserve">CARTRIGHT</t>
  </si>
  <si>
    <t xml:space="preserve">HELENA</t>
  </si>
  <si>
    <t xml:space="preserve">VIOLET</t>
  </si>
  <si>
    <t xml:space="preserve">1979-01-31</t>
  </si>
  <si>
    <t xml:space="preserve">2015-03-18</t>
  </si>
  <si>
    <t xml:space="preserve">OH0021351627</t>
  </si>
  <si>
    <t xml:space="preserve">1993-02-09</t>
  </si>
  <si>
    <t xml:space="preserve">OH0019756916</t>
  </si>
  <si>
    <t xml:space="preserve">1954-04-19</t>
  </si>
  <si>
    <t xml:space="preserve">OH0023261579</t>
  </si>
  <si>
    <t xml:space="preserve">1993-08-16</t>
  </si>
  <si>
    <t xml:space="preserve">2015-08-26</t>
  </si>
  <si>
    <t xml:space="preserve">OH0025720694</t>
  </si>
  <si>
    <t xml:space="preserve">MAIESE</t>
  </si>
  <si>
    <t xml:space="preserve">1994-02-08</t>
  </si>
  <si>
    <t xml:space="preserve">681 WOODBINE AVE SE</t>
  </si>
  <si>
    <t xml:space="preserve">OH0018712911</t>
  </si>
  <si>
    <t xml:space="preserve">LASHAWN</t>
  </si>
  <si>
    <t xml:space="preserve">1988-01-01</t>
  </si>
  <si>
    <t xml:space="preserve">690 WOODBINE AVE SE</t>
  </si>
  <si>
    <t xml:space="preserve">OH0021696719</t>
  </si>
  <si>
    <t xml:space="preserve">NOELLE</t>
  </si>
  <si>
    <t xml:space="preserve">1993-08-06</t>
  </si>
  <si>
    <t xml:space="preserve">2023-04-06</t>
  </si>
  <si>
    <t xml:space="preserve">691 WOODBINE AVE SE</t>
  </si>
  <si>
    <t xml:space="preserve">OH0018596003</t>
  </si>
  <si>
    <t xml:space="preserve">DOUGHER</t>
  </si>
  <si>
    <t xml:space="preserve">1982-05-06</t>
  </si>
  <si>
    <t xml:space="preserve">2012-10-04</t>
  </si>
  <si>
    <t xml:space="preserve">701 WOODBINE AVE SE</t>
  </si>
  <si>
    <t xml:space="preserve">OH0021220645</t>
  </si>
  <si>
    <t xml:space="preserve">SINGLETON</t>
  </si>
  <si>
    <t xml:space="preserve">JEANNETTE</t>
  </si>
  <si>
    <t xml:space="preserve">1961-03-08</t>
  </si>
  <si>
    <t xml:space="preserve">710 WOODBINE AVE SE</t>
  </si>
  <si>
    <t xml:space="preserve">OH0015721323</t>
  </si>
  <si>
    <t xml:space="preserve">HORKEY</t>
  </si>
  <si>
    <t xml:space="preserve">2007-11-06</t>
  </si>
  <si>
    <t xml:space="preserve">711 WOODBINE AVE SE</t>
  </si>
  <si>
    <t xml:space="preserve">OH0015819660</t>
  </si>
  <si>
    <t xml:space="preserve">KLINESMITH</t>
  </si>
  <si>
    <t xml:space="preserve">JESSIE</t>
  </si>
  <si>
    <t xml:space="preserve">1985-03-27</t>
  </si>
  <si>
    <t xml:space="preserve">720 WOODBINE AVE SE</t>
  </si>
  <si>
    <t xml:space="preserve">OH0027847426</t>
  </si>
  <si>
    <t xml:space="preserve">1996-09-30</t>
  </si>
  <si>
    <t xml:space="preserve">OH0024340469</t>
  </si>
  <si>
    <t xml:space="preserve">ZEITLER</t>
  </si>
  <si>
    <t xml:space="preserve">1988-07-22</t>
  </si>
  <si>
    <t xml:space="preserve">2017-08-02</t>
  </si>
  <si>
    <t xml:space="preserve">OH0026607168</t>
  </si>
  <si>
    <t xml:space="preserve">KIMBERLEY</t>
  </si>
  <si>
    <t xml:space="preserve">2022-09-06</t>
  </si>
  <si>
    <t xml:space="preserve">721 WOODBINE AVE SE</t>
  </si>
  <si>
    <t xml:space="preserve">OH0015819994</t>
  </si>
  <si>
    <t xml:space="preserve">1979-04-24</t>
  </si>
  <si>
    <t xml:space="preserve">2025-05-05</t>
  </si>
  <si>
    <t xml:space="preserve">731 WOODBINE AVE SE</t>
  </si>
  <si>
    <t xml:space="preserve">OH0019479544</t>
  </si>
  <si>
    <t xml:space="preserve">1982-04-07</t>
  </si>
  <si>
    <t xml:space="preserve">OH0022534637</t>
  </si>
  <si>
    <t xml:space="preserve">1954-11-05</t>
  </si>
  <si>
    <t xml:space="preserve">OH0025720573</t>
  </si>
  <si>
    <t xml:space="preserve">LORETTA</t>
  </si>
  <si>
    <t xml:space="preserve">1945-12-30</t>
  </si>
  <si>
    <t xml:space="preserve">OH0025168209</t>
  </si>
  <si>
    <t xml:space="preserve">1991-02-02</t>
  </si>
  <si>
    <t xml:space="preserve">2021-06-15</t>
  </si>
  <si>
    <t xml:space="preserve">OH0026082637</t>
  </si>
  <si>
    <t xml:space="preserve">LUSK</t>
  </si>
  <si>
    <t xml:space="preserve">1983-09-05</t>
  </si>
  <si>
    <t xml:space="preserve">OH0015684559</t>
  </si>
  <si>
    <t xml:space="preserve">1954-02-01</t>
  </si>
  <si>
    <t xml:space="preserve">OH0027240537</t>
  </si>
  <si>
    <t xml:space="preserve">FRAZESKOS</t>
  </si>
  <si>
    <t xml:space="preserve">2001-06-01</t>
  </si>
  <si>
    <t xml:space="preserve">2024-02-10</t>
  </si>
  <si>
    <t xml:space="preserve">740 WOODBINE AVE SE</t>
  </si>
  <si>
    <t xml:space="preserve">OH0015691033</t>
  </si>
  <si>
    <t xml:space="preserve">PLACANICA FRAZESKOS</t>
  </si>
  <si>
    <t xml:space="preserve">1963-06-09</t>
  </si>
  <si>
    <t xml:space="preserve">OH0023914241</t>
  </si>
  <si>
    <t xml:space="preserve">FRANCESCA</t>
  </si>
  <si>
    <t xml:space="preserve">1998-06-02</t>
  </si>
  <si>
    <t xml:space="preserve">2023-08-01</t>
  </si>
  <si>
    <t xml:space="preserve">OH0026992122</t>
  </si>
  <si>
    <t xml:space="preserve">GEORGIO</t>
  </si>
  <si>
    <t xml:space="preserve">2002-09-16</t>
  </si>
  <si>
    <t xml:space="preserve">OH0015739483</t>
  </si>
  <si>
    <t xml:space="preserve">PLACANICA</t>
  </si>
  <si>
    <t xml:space="preserve">741 WOODBINE AVE SE</t>
  </si>
  <si>
    <t xml:space="preserve">OH0026647974</t>
  </si>
  <si>
    <t xml:space="preserve">FRANCESCO</t>
  </si>
  <si>
    <t xml:space="preserve">A J</t>
  </si>
  <si>
    <t xml:space="preserve">2022-09-15</t>
  </si>
  <si>
    <t xml:space="preserve">OH0015699770</t>
  </si>
  <si>
    <t xml:space="preserve">MARTHA</t>
  </si>
  <si>
    <t xml:space="preserve">1953-04-10</t>
  </si>
  <si>
    <t xml:space="preserve">750 WOODBINE AVE SE</t>
  </si>
  <si>
    <t xml:space="preserve">OH0024568494</t>
  </si>
  <si>
    <t xml:space="preserve">OMARI</t>
  </si>
  <si>
    <t xml:space="preserve">2000-03-03</t>
  </si>
  <si>
    <t xml:space="preserve">2025-05-23</t>
  </si>
  <si>
    <t xml:space="preserve">760 WOODBINE AVE SE</t>
  </si>
  <si>
    <t xml:space="preserve">OH0023533924</t>
  </si>
  <si>
    <t xml:space="preserve">SANTOS</t>
  </si>
  <si>
    <t xml:space="preserve">1996-10-04</t>
  </si>
  <si>
    <t xml:space="preserve">2016-02-08</t>
  </si>
  <si>
    <t xml:space="preserve">OH0026410300</t>
  </si>
  <si>
    <t xml:space="preserve">SIGAN</t>
  </si>
  <si>
    <t xml:space="preserve">1998-06-09</t>
  </si>
  <si>
    <t xml:space="preserve">2022-02-12</t>
  </si>
  <si>
    <t xml:space="preserve">OH0027527045</t>
  </si>
  <si>
    <t xml:space="preserve">DARRELLE</t>
  </si>
  <si>
    <t xml:space="preserve">1991-04-20</t>
  </si>
  <si>
    <t xml:space="preserve">OH0024485188</t>
  </si>
  <si>
    <t xml:space="preserve">NEWTON</t>
  </si>
  <si>
    <t xml:space="preserve">1957-01-23</t>
  </si>
  <si>
    <t xml:space="preserve">2018-01-12</t>
  </si>
  <si>
    <t xml:space="preserve">761 WOODBINE AVE SE</t>
  </si>
  <si>
    <t xml:space="preserve">OH0018615408</t>
  </si>
  <si>
    <t xml:space="preserve">SHADER</t>
  </si>
  <si>
    <t xml:space="preserve">1949-04-13</t>
  </si>
  <si>
    <t xml:space="preserve">2005-11-18</t>
  </si>
  <si>
    <t xml:space="preserve">OH0023443478</t>
  </si>
  <si>
    <t xml:space="preserve">NADIA</t>
  </si>
  <si>
    <t xml:space="preserve">1988-11-22</t>
  </si>
  <si>
    <t xml:space="preserve">770 WOODBINE AVE SE</t>
  </si>
  <si>
    <t xml:space="preserve">OH0018595321</t>
  </si>
  <si>
    <t xml:space="preserve">1987-08-18</t>
  </si>
  <si>
    <t xml:space="preserve">2024-10-16</t>
  </si>
  <si>
    <t xml:space="preserve">771 WOODBINE AVE SE</t>
  </si>
  <si>
    <t xml:space="preserve">OH0018589282</t>
  </si>
  <si>
    <t xml:space="preserve">2021-07-08</t>
  </si>
  <si>
    <t xml:space="preserve">OH0026335488</t>
  </si>
  <si>
    <t xml:space="preserve">1991-01-23</t>
  </si>
  <si>
    <t xml:space="preserve">2021-11-12</t>
  </si>
  <si>
    <t xml:space="preserve">OH0015691986</t>
  </si>
  <si>
    <t xml:space="preserve">ROLLISON</t>
  </si>
  <si>
    <t xml:space="preserve">1948-09-12</t>
  </si>
  <si>
    <t xml:space="preserve">1974-09-28</t>
  </si>
  <si>
    <t xml:space="preserve">780 WOODBINE AVE SE</t>
  </si>
  <si>
    <t xml:space="preserve">OH0015788733</t>
  </si>
  <si>
    <t xml:space="preserve">LAUER</t>
  </si>
  <si>
    <t xml:space="preserve">1978-08-04</t>
  </si>
  <si>
    <t xml:space="preserve">1999-11-18</t>
  </si>
  <si>
    <t xml:space="preserve">790 WOODBINE AVE SE</t>
  </si>
  <si>
    <t xml:space="preserve">OH0018670391</t>
  </si>
  <si>
    <t xml:space="preserve">STOREY WORKLEY</t>
  </si>
  <si>
    <t xml:space="preserve">1972-09-13</t>
  </si>
  <si>
    <t xml:space="preserve">2006-03-02</t>
  </si>
  <si>
    <t xml:space="preserve">791 WOODBINE AVE SE</t>
  </si>
  <si>
    <t xml:space="preserve">OH0018670396</t>
  </si>
  <si>
    <t xml:space="preserve">WORKLEY</t>
  </si>
  <si>
    <t xml:space="preserve">2006-01-31</t>
  </si>
  <si>
    <t xml:space="preserve">OH0023702389</t>
  </si>
  <si>
    <t xml:space="preserve">PADEN</t>
  </si>
  <si>
    <t xml:space="preserve">1980-01-15</t>
  </si>
  <si>
    <t xml:space="preserve">800 WOODBINE AVE SE</t>
  </si>
  <si>
    <t xml:space="preserve">OH0025465129</t>
  </si>
  <si>
    <t xml:space="preserve">TEASLEY</t>
  </si>
  <si>
    <t xml:space="preserve">1984-10-03</t>
  </si>
  <si>
    <t xml:space="preserve">OH0026425685</t>
  </si>
  <si>
    <t xml:space="preserve">2001-10-20</t>
  </si>
  <si>
    <t xml:space="preserve">OH0015707987</t>
  </si>
  <si>
    <t xml:space="preserve">1955-01-23</t>
  </si>
  <si>
    <t xml:space="preserve">2015-07-16</t>
  </si>
  <si>
    <t xml:space="preserve">801 WOODBINE AVE SE</t>
  </si>
  <si>
    <t xml:space="preserve">OH0015725563</t>
  </si>
  <si>
    <t xml:space="preserve">1953-11-27</t>
  </si>
  <si>
    <t xml:space="preserve">1988-10-08</t>
  </si>
  <si>
    <t xml:space="preserve">OH0024312749</t>
  </si>
  <si>
    <t xml:space="preserve">1989-06-19</t>
  </si>
  <si>
    <t xml:space="preserve">2017-06-17</t>
  </si>
  <si>
    <t xml:space="preserve">OH0015766099</t>
  </si>
  <si>
    <t xml:space="preserve">1955-04-16</t>
  </si>
  <si>
    <t xml:space="preserve">OH0025840809</t>
  </si>
  <si>
    <t xml:space="preserve">1992-11-18</t>
  </si>
  <si>
    <t xml:space="preserve">OH0023152374</t>
  </si>
  <si>
    <t xml:space="preserve">1996-01-02</t>
  </si>
  <si>
    <t xml:space="preserve">810 WOODBINE AVE SE</t>
  </si>
  <si>
    <t xml:space="preserve">OH0015791205</t>
  </si>
  <si>
    <t xml:space="preserve">RHONDA</t>
  </si>
  <si>
    <t xml:space="preserve">1965-01-11</t>
  </si>
  <si>
    <t xml:space="preserve">OH0023323371</t>
  </si>
  <si>
    <t xml:space="preserve">GENEVA</t>
  </si>
  <si>
    <t xml:space="preserve">1997-10-12</t>
  </si>
  <si>
    <t xml:space="preserve">OH0015808771</t>
  </si>
  <si>
    <t xml:space="preserve">HILLARD</t>
  </si>
  <si>
    <t xml:space="preserve">1984-08-07</t>
  </si>
  <si>
    <t xml:space="preserve">811 WOODBINE AVE SE</t>
  </si>
  <si>
    <t xml:space="preserve">OH0021280434</t>
  </si>
  <si>
    <t xml:space="preserve">ESTELLA</t>
  </si>
  <si>
    <t xml:space="preserve">1966-02-20</t>
  </si>
  <si>
    <t xml:space="preserve">820 WOODBINE AVE SE</t>
  </si>
  <si>
    <t xml:space="preserve">OH0022002026</t>
  </si>
  <si>
    <t xml:space="preserve">TYSON</t>
  </si>
  <si>
    <t xml:space="preserve">REGIE</t>
  </si>
  <si>
    <t xml:space="preserve">1982-08-17</t>
  </si>
  <si>
    <t xml:space="preserve">OH0019521285</t>
  </si>
  <si>
    <t xml:space="preserve">1961-08-23</t>
  </si>
  <si>
    <t xml:space="preserve">OH0024166196</t>
  </si>
  <si>
    <t xml:space="preserve">CORTEZZ</t>
  </si>
  <si>
    <t xml:space="preserve">OH0027497289</t>
  </si>
  <si>
    <t xml:space="preserve">VIRGINIA</t>
  </si>
  <si>
    <t xml:space="preserve">1973-01-31</t>
  </si>
  <si>
    <t xml:space="preserve">821 WOODBINE AVE SE</t>
  </si>
  <si>
    <t xml:space="preserve">OH0019792364</t>
  </si>
  <si>
    <t xml:space="preserve">1989-07-16</t>
  </si>
  <si>
    <t xml:space="preserve">2022-09-27</t>
  </si>
  <si>
    <t xml:space="preserve">OH0019752391</t>
  </si>
  <si>
    <t xml:space="preserve">RUTHEDA</t>
  </si>
  <si>
    <t xml:space="preserve">1969-03-19</t>
  </si>
  <si>
    <t xml:space="preserve">2021-09-17</t>
  </si>
  <si>
    <t xml:space="preserve">OH0020828946</t>
  </si>
  <si>
    <t xml:space="preserve">1991-01-19</t>
  </si>
  <si>
    <t xml:space="preserve">OH0026992158</t>
  </si>
  <si>
    <t xml:space="preserve">POTTER</t>
  </si>
  <si>
    <t xml:space="preserve">GLOREECE</t>
  </si>
  <si>
    <t xml:space="preserve">DANAE</t>
  </si>
  <si>
    <t xml:space="preserve">1998-06-29</t>
  </si>
  <si>
    <t xml:space="preserve">831 WOODBINE AVE SE</t>
  </si>
  <si>
    <t xml:space="preserve">OH0023184487</t>
  </si>
  <si>
    <t xml:space="preserve">GINA</t>
  </si>
  <si>
    <t xml:space="preserve">1995-09-22</t>
  </si>
  <si>
    <t xml:space="preserve">2015-06-12</t>
  </si>
  <si>
    <t xml:space="preserve">838 WOODBINE AVE SE</t>
  </si>
  <si>
    <t xml:space="preserve">OH0015753139</t>
  </si>
  <si>
    <t xml:space="preserve">EMERSON</t>
  </si>
  <si>
    <t xml:space="preserve">1966-07-02</t>
  </si>
  <si>
    <t xml:space="preserve">2011-12-05</t>
  </si>
  <si>
    <t xml:space="preserve">841 WOODBINE AVE SE</t>
  </si>
  <si>
    <t xml:space="preserve">OH0015707270</t>
  </si>
  <si>
    <t xml:space="preserve">ACETO</t>
  </si>
  <si>
    <t xml:space="preserve">ROSEANN</t>
  </si>
  <si>
    <t xml:space="preserve">1952-10-27</t>
  </si>
  <si>
    <t xml:space="preserve">1984-07-02</t>
  </si>
  <si>
    <t xml:space="preserve">851 WOODBINE AVE SE</t>
  </si>
  <si>
    <t xml:space="preserve">OH0026846134</t>
  </si>
  <si>
    <t xml:space="preserve">BURCHETT</t>
  </si>
  <si>
    <t xml:space="preserve">2005-03-08</t>
  </si>
  <si>
    <t xml:space="preserve">2023-03-10</t>
  </si>
  <si>
    <t xml:space="preserve">865 WOODBINE AVE SE</t>
  </si>
  <si>
    <t xml:space="preserve">OH0023187447</t>
  </si>
  <si>
    <t xml:space="preserve">RADCLIFFE</t>
  </si>
  <si>
    <t xml:space="preserve">JOLENE</t>
  </si>
  <si>
    <t xml:space="preserve">1982-10-19</t>
  </si>
  <si>
    <t xml:space="preserve">OH0019537720</t>
  </si>
  <si>
    <t xml:space="preserve">SCHWAB</t>
  </si>
  <si>
    <t xml:space="preserve">1990-08-15</t>
  </si>
  <si>
    <t xml:space="preserve">OH0021648658</t>
  </si>
  <si>
    <t xml:space="preserve">1963-10-14</t>
  </si>
  <si>
    <t xml:space="preserve">OH0021884757</t>
  </si>
  <si>
    <t xml:space="preserve">MONMIRTH</t>
  </si>
  <si>
    <t xml:space="preserve">1932-11-03</t>
  </si>
  <si>
    <t xml:space="preserve">2012-08-09</t>
  </si>
  <si>
    <t xml:space="preserve">1004 WOODLAND AVE NE</t>
  </si>
  <si>
    <t xml:space="preserve">OH0026574612</t>
  </si>
  <si>
    <t xml:space="preserve">CARTER TOTTER</t>
  </si>
  <si>
    <t xml:space="preserve">1987-02-21</t>
  </si>
  <si>
    <t xml:space="preserve">2022-08-13</t>
  </si>
  <si>
    <t xml:space="preserve">1028 WOODLAND AVE NE</t>
  </si>
  <si>
    <t xml:space="preserve">OH0027214372</t>
  </si>
  <si>
    <t xml:space="preserve">1992-05-04</t>
  </si>
  <si>
    <t xml:space="preserve">2024-01-05</t>
  </si>
  <si>
    <t xml:space="preserve">OH0021362838</t>
  </si>
  <si>
    <t xml:space="preserve">PHIPPS</t>
  </si>
  <si>
    <t xml:space="preserve">1993-03-27</t>
  </si>
  <si>
    <t xml:space="preserve">1050 WOODLAND AVE NE</t>
  </si>
  <si>
    <t xml:space="preserve">OH0023309424</t>
  </si>
  <si>
    <t xml:space="preserve">2015-09-23</t>
  </si>
  <si>
    <t xml:space="preserve">1062 WOODLAND AVE NE</t>
  </si>
  <si>
    <t xml:space="preserve">OH0015729595</t>
  </si>
  <si>
    <t xml:space="preserve">1969-07-05</t>
  </si>
  <si>
    <t xml:space="preserve">OH0025797697</t>
  </si>
  <si>
    <t xml:space="preserve">CHASTITY</t>
  </si>
  <si>
    <t xml:space="preserve">1992-07-20</t>
  </si>
  <si>
    <t xml:space="preserve">1074 WOODLAND AVE NE</t>
  </si>
  <si>
    <t xml:space="preserve">OH0015696442</t>
  </si>
  <si>
    <t xml:space="preserve">LABBE</t>
  </si>
  <si>
    <t xml:space="preserve">1959-08-05</t>
  </si>
  <si>
    <t xml:space="preserve">1086 WOODLAND AVE NE</t>
  </si>
  <si>
    <t xml:space="preserve">OH0026654398</t>
  </si>
  <si>
    <t xml:space="preserve">NEWBERRY</t>
  </si>
  <si>
    <t xml:space="preserve">NATHANIEL</t>
  </si>
  <si>
    <t xml:space="preserve">2004-04-21</t>
  </si>
  <si>
    <t xml:space="preserve">2022-09-21</t>
  </si>
  <si>
    <t xml:space="preserve">1098 WOODLAND AVE NE</t>
  </si>
  <si>
    <t xml:space="preserve">OH0024749531</t>
  </si>
  <si>
    <t xml:space="preserve">PISTRITTO</t>
  </si>
  <si>
    <t xml:space="preserve">1999-06-30</t>
  </si>
  <si>
    <t xml:space="preserve">1110 WOODLAND AVE NE</t>
  </si>
  <si>
    <t xml:space="preserve">OH0027387540</t>
  </si>
  <si>
    <t xml:space="preserve">LASHAUNDA</t>
  </si>
  <si>
    <t xml:space="preserve">1981-12-27</t>
  </si>
  <si>
    <t xml:space="preserve">2024-06-05</t>
  </si>
  <si>
    <t xml:space="preserve">1132 WOODLAND AVE NE</t>
  </si>
  <si>
    <t xml:space="preserve">OH0024866260</t>
  </si>
  <si>
    <t xml:space="preserve">1964-08-01</t>
  </si>
  <si>
    <t xml:space="preserve">OH0018755670</t>
  </si>
  <si>
    <t xml:space="preserve">BURKET</t>
  </si>
  <si>
    <t xml:space="preserve">1952-10-11</t>
  </si>
  <si>
    <t xml:space="preserve">2021-07-07</t>
  </si>
  <si>
    <t xml:space="preserve">OH0027297991</t>
  </si>
  <si>
    <t xml:space="preserve">2024-03-23</t>
  </si>
  <si>
    <t xml:space="preserve">1156 WOODLAND AVE NE</t>
  </si>
  <si>
    <t xml:space="preserve">OH0015759509</t>
  </si>
  <si>
    <t xml:space="preserve">1954-08-18</t>
  </si>
  <si>
    <t xml:space="preserve">2024-08-28</t>
  </si>
  <si>
    <t xml:space="preserve">OH0024294002</t>
  </si>
  <si>
    <t xml:space="preserve">1988-01-13</t>
  </si>
  <si>
    <t xml:space="preserve">2017-05-03</t>
  </si>
  <si>
    <t xml:space="preserve">OH0024094703</t>
  </si>
  <si>
    <t xml:space="preserve">1985-10-11</t>
  </si>
  <si>
    <t xml:space="preserve">2016-10-03</t>
  </si>
  <si>
    <t xml:space="preserve">OH0018709891</t>
  </si>
  <si>
    <t xml:space="preserve">1988-03-24</t>
  </si>
  <si>
    <t xml:space="preserve">OH0027962535</t>
  </si>
  <si>
    <t xml:space="preserve">CLAAR</t>
  </si>
  <si>
    <t xml:space="preserve">1994-09-01</t>
  </si>
  <si>
    <t xml:space="preserve">1166 WOODLAND AVE NE</t>
  </si>
  <si>
    <t xml:space="preserve">OH0027418242</t>
  </si>
  <si>
    <t xml:space="preserve">KNOCH</t>
  </si>
  <si>
    <t xml:space="preserve">1977-03-08</t>
  </si>
  <si>
    <t xml:space="preserve">2024-07-06</t>
  </si>
  <si>
    <t xml:space="preserve">OH0025188979</t>
  </si>
  <si>
    <t xml:space="preserve">1955-01-10</t>
  </si>
  <si>
    <t xml:space="preserve">2019-08-29</t>
  </si>
  <si>
    <t xml:space="preserve">OH0027708952</t>
  </si>
  <si>
    <t xml:space="preserve">MADDISON</t>
  </si>
  <si>
    <t xml:space="preserve">2003-03-04</t>
  </si>
  <si>
    <t xml:space="preserve">OH0027369026</t>
  </si>
  <si>
    <t xml:space="preserve">1973-11-13</t>
  </si>
  <si>
    <t xml:space="preserve">2024-05-29</t>
  </si>
  <si>
    <t xml:space="preserve">1190 WOODLAND AVE NE</t>
  </si>
  <si>
    <t xml:space="preserve">OH0027344820</t>
  </si>
  <si>
    <t xml:space="preserve">LAZAR</t>
  </si>
  <si>
    <t xml:space="preserve">EZRA</t>
  </si>
  <si>
    <t xml:space="preserve">1999-05-14</t>
  </si>
  <si>
    <t xml:space="preserve">OH0015746069</t>
  </si>
  <si>
    <t xml:space="preserve">HOLBROOK</t>
  </si>
  <si>
    <t xml:space="preserve">1983-06-16</t>
  </si>
  <si>
    <t xml:space="preserve">2020-05-02</t>
  </si>
  <si>
    <t xml:space="preserve">1202 WOODLAND AVE NE</t>
  </si>
  <si>
    <t xml:space="preserve">OH0026614977</t>
  </si>
  <si>
    <t xml:space="preserve">1960-06-22</t>
  </si>
  <si>
    <t xml:space="preserve">2022-08-05</t>
  </si>
  <si>
    <t xml:space="preserve">OH0027246972</t>
  </si>
  <si>
    <t xml:space="preserve">2024-02-05</t>
  </si>
  <si>
    <t xml:space="preserve">OH0015731631</t>
  </si>
  <si>
    <t xml:space="preserve">OH0020822098</t>
  </si>
  <si>
    <t xml:space="preserve">1971-07-28</t>
  </si>
  <si>
    <t xml:space="preserve">1216 WOODLAND AVE NE</t>
  </si>
  <si>
    <t xml:space="preserve">OH0018714931</t>
  </si>
  <si>
    <t xml:space="preserve">ALECIA</t>
  </si>
  <si>
    <t xml:space="preserve">1988-02-04</t>
  </si>
  <si>
    <t xml:space="preserve">OH0015763562</t>
  </si>
  <si>
    <t xml:space="preserve">LEEWORTHY</t>
  </si>
  <si>
    <t xml:space="preserve">1986-08-08</t>
  </si>
  <si>
    <t xml:space="preserve">1228 WOODLAND AVE NE</t>
  </si>
  <si>
    <t xml:space="preserve">OH0015676190</t>
  </si>
  <si>
    <t xml:space="preserve">1981-04-29</t>
  </si>
  <si>
    <t xml:space="preserve">OH0026350749</t>
  </si>
  <si>
    <t xml:space="preserve">2003-08-14</t>
  </si>
  <si>
    <t xml:space="preserve">2024-12-10</t>
  </si>
  <si>
    <t xml:space="preserve">1240 WOODLAND AVE NE</t>
  </si>
  <si>
    <t xml:space="preserve">OH0027183111</t>
  </si>
  <si>
    <t xml:space="preserve">RUSHNOK</t>
  </si>
  <si>
    <t xml:space="preserve">RIAH</t>
  </si>
  <si>
    <t xml:space="preserve">2005-09-07</t>
  </si>
  <si>
    <t xml:space="preserve">2024-01-08</t>
  </si>
  <si>
    <t xml:space="preserve">OH0026528364</t>
  </si>
  <si>
    <t xml:space="preserve">2002-07-28</t>
  </si>
  <si>
    <t xml:space="preserve">OH0025453334</t>
  </si>
  <si>
    <t xml:space="preserve">OH0027236336</t>
  </si>
  <si>
    <t xml:space="preserve">2001-11-19</t>
  </si>
  <si>
    <t xml:space="preserve">OH0027952068</t>
  </si>
  <si>
    <t xml:space="preserve">DALLANN</t>
  </si>
  <si>
    <t xml:space="preserve">2003-07-15</t>
  </si>
  <si>
    <t xml:space="preserve">732 WOODLAND AVE NE</t>
  </si>
  <si>
    <t xml:space="preserve">OH0015715877</t>
  </si>
  <si>
    <t xml:space="preserve">TAYNA</t>
  </si>
  <si>
    <t xml:space="preserve">1984-02-27</t>
  </si>
  <si>
    <t xml:space="preserve">734 WOODLAND AVE NE</t>
  </si>
  <si>
    <t xml:space="preserve">OH0027517951</t>
  </si>
  <si>
    <t xml:space="preserve">2001-07-15</t>
  </si>
  <si>
    <t xml:space="preserve">872 WOODLAND AVE NE</t>
  </si>
  <si>
    <t xml:space="preserve">OH0015771097</t>
  </si>
  <si>
    <t xml:space="preserve">TALKINGTON</t>
  </si>
  <si>
    <t xml:space="preserve">1980-06-30</t>
  </si>
  <si>
    <t xml:space="preserve">1081 YOUNGSTOWN RD SE</t>
  </si>
  <si>
    <t xml:space="preserve">OH0027028439</t>
  </si>
  <si>
    <t xml:space="preserve">SANTANGELO</t>
  </si>
  <si>
    <t xml:space="preserve">1992-12-31</t>
  </si>
  <si>
    <t xml:space="preserve">2023-08-10</t>
  </si>
  <si>
    <t xml:space="preserve">1100 YOUNGSTOWN RD SE</t>
  </si>
  <si>
    <t xml:space="preserve">OH0024304309</t>
  </si>
  <si>
    <t xml:space="preserve">1986-02-13</t>
  </si>
  <si>
    <t xml:space="preserve">OH0027789284</t>
  </si>
  <si>
    <t xml:space="preserve">1986-08-22</t>
  </si>
  <si>
    <t xml:space="preserve">1101 YOUNGSTOWN RD SE</t>
  </si>
  <si>
    <t xml:space="preserve">OH0015729973</t>
  </si>
  <si>
    <t xml:space="preserve">1963-12-11</t>
  </si>
  <si>
    <t xml:space="preserve">2017-12-12</t>
  </si>
  <si>
    <t xml:space="preserve">OH0015707909</t>
  </si>
  <si>
    <t xml:space="preserve">MARIAN</t>
  </si>
  <si>
    <t xml:space="preserve">1954-07-05</t>
  </si>
  <si>
    <t xml:space="preserve">2017-06-22</t>
  </si>
  <si>
    <t xml:space="preserve">OH0019827409</t>
  </si>
  <si>
    <t xml:space="preserve">DUBOS</t>
  </si>
  <si>
    <t xml:space="preserve">TIYAUNA</t>
  </si>
  <si>
    <t xml:space="preserve">MARTHIA</t>
  </si>
  <si>
    <t xml:space="preserve">1990-01-31</t>
  </si>
  <si>
    <t xml:space="preserve">1110 YOUNGSTOWN RD SE</t>
  </si>
  <si>
    <t xml:space="preserve">OH0024097301</t>
  </si>
  <si>
    <t xml:space="preserve">1990-02-16</t>
  </si>
  <si>
    <t xml:space="preserve">2024-09-22</t>
  </si>
  <si>
    <t xml:space="preserve">OH0027528978</t>
  </si>
  <si>
    <t xml:space="preserve">LONGWELL</t>
  </si>
  <si>
    <t xml:space="preserve">1989-02-28</t>
  </si>
  <si>
    <t xml:space="preserve">2024-08-25</t>
  </si>
  <si>
    <t xml:space="preserve">1140 YOUNGSTOWN RD SE</t>
  </si>
  <si>
    <t xml:space="preserve">OH0027180406</t>
  </si>
  <si>
    <t xml:space="preserve">SKYLER</t>
  </si>
  <si>
    <t xml:space="preserve">RIDGE</t>
  </si>
  <si>
    <t xml:space="preserve">1990-04-14</t>
  </si>
  <si>
    <t xml:space="preserve">OH0022027250</t>
  </si>
  <si>
    <t xml:space="preserve">ROBISON</t>
  </si>
  <si>
    <t xml:space="preserve">LAVETTE</t>
  </si>
  <si>
    <t xml:space="preserve">1967-08-17</t>
  </si>
  <si>
    <t xml:space="preserve">1150 YOUNGSTOWN RD SE</t>
  </si>
  <si>
    <t xml:space="preserve">OH0015800445</t>
  </si>
  <si>
    <t xml:space="preserve">1972-01-18</t>
  </si>
  <si>
    <t xml:space="preserve">2009-04-17</t>
  </si>
  <si>
    <t xml:space="preserve">OH0021761582</t>
  </si>
  <si>
    <t xml:space="preserve">CHRISTOFARO</t>
  </si>
  <si>
    <t xml:space="preserve">1991-07-24</t>
  </si>
  <si>
    <t xml:space="preserve">2017-02-16</t>
  </si>
  <si>
    <t xml:space="preserve">1158 YOUNGSTOWN RD SE</t>
  </si>
  <si>
    <t xml:space="preserve">OH0018955830</t>
  </si>
  <si>
    <t xml:space="preserve">CASSIE</t>
  </si>
  <si>
    <t xml:space="preserve">1988-03-27</t>
  </si>
  <si>
    <t xml:space="preserve">OH0025572886</t>
  </si>
  <si>
    <t xml:space="preserve">MCADAMS</t>
  </si>
  <si>
    <t xml:space="preserve">1997-05-24</t>
  </si>
  <si>
    <t xml:space="preserve">2020-11-02</t>
  </si>
  <si>
    <t xml:space="preserve">1169 YOUNGSTOWN RD SE</t>
  </si>
  <si>
    <t xml:space="preserve">OH0027849077</t>
  </si>
  <si>
    <t xml:space="preserve">DERRICKA</t>
  </si>
  <si>
    <t xml:space="preserve">2000-06-06</t>
  </si>
  <si>
    <t xml:space="preserve">2024-11-23</t>
  </si>
  <si>
    <t xml:space="preserve">1170 YOUNGSTOWN RD SE</t>
  </si>
  <si>
    <t xml:space="preserve">OH0015760579</t>
  </si>
  <si>
    <t xml:space="preserve">MARSHETTA</t>
  </si>
  <si>
    <t xml:space="preserve">1178 YOUNGSTOWN RD SE</t>
  </si>
  <si>
    <t xml:space="preserve">OH0023783234</t>
  </si>
  <si>
    <t xml:space="preserve">SARRA</t>
  </si>
  <si>
    <t xml:space="preserve">1182 YOUNGSTOWN RD SE</t>
  </si>
  <si>
    <t xml:space="preserve">OH0021816368</t>
  </si>
  <si>
    <t xml:space="preserve">1984-09-15</t>
  </si>
  <si>
    <t xml:space="preserve">OH0027303477</t>
  </si>
  <si>
    <t xml:space="preserve">SERRANO HERRERA</t>
  </si>
  <si>
    <t xml:space="preserve">YADIRA</t>
  </si>
  <si>
    <t xml:space="preserve">LUZ</t>
  </si>
  <si>
    <t xml:space="preserve">2024-03-29</t>
  </si>
  <si>
    <t xml:space="preserve">1191 YOUNGSTOWN RD SE</t>
  </si>
  <si>
    <t xml:space="preserve">OH0015786174</t>
  </si>
  <si>
    <t xml:space="preserve">ZARICK</t>
  </si>
  <si>
    <t xml:space="preserve">1959-09-27</t>
  </si>
  <si>
    <t xml:space="preserve">1200 YOUNGSTOWN RD SE</t>
  </si>
  <si>
    <t xml:space="preserve">OH0015766138</t>
  </si>
  <si>
    <t xml:space="preserve">KIMBERLEE</t>
  </si>
  <si>
    <t xml:space="preserve">1960-12-10</t>
  </si>
  <si>
    <t xml:space="preserve">1979-05-01</t>
  </si>
  <si>
    <t xml:space="preserve">OH0024720256</t>
  </si>
  <si>
    <t xml:space="preserve">1995-12-05</t>
  </si>
  <si>
    <t xml:space="preserve">OH0027347830</t>
  </si>
  <si>
    <t xml:space="preserve">MCCLOSKEY</t>
  </si>
  <si>
    <t xml:space="preserve">1208 YOUNGSTOWN RD SE</t>
  </si>
  <si>
    <t xml:space="preserve">OH0027789241</t>
  </si>
  <si>
    <t xml:space="preserve">1995-08-29</t>
  </si>
  <si>
    <t xml:space="preserve">OH0027235863</t>
  </si>
  <si>
    <t xml:space="preserve">HOLMES JONES</t>
  </si>
  <si>
    <t xml:space="preserve">1981-10-09</t>
  </si>
  <si>
    <t xml:space="preserve">1296 YOUNGSTOWN RD SE</t>
  </si>
  <si>
    <t xml:space="preserve">UNIT 10</t>
  </si>
  <si>
    <t xml:space="preserve">OH0015708574</t>
  </si>
  <si>
    <t xml:space="preserve">LYNE</t>
  </si>
  <si>
    <t xml:space="preserve">1978-09-06</t>
  </si>
  <si>
    <t xml:space="preserve">2016-12-31</t>
  </si>
  <si>
    <t xml:space="preserve">OH0024002267</t>
  </si>
  <si>
    <t xml:space="preserve">1989-10-01</t>
  </si>
  <si>
    <t xml:space="preserve">OH0023642714</t>
  </si>
  <si>
    <t xml:space="preserve">DULEY</t>
  </si>
  <si>
    <t xml:space="preserve">EDNA</t>
  </si>
  <si>
    <t xml:space="preserve">1960-01-03</t>
  </si>
  <si>
    <t xml:space="preserve">OH0026159684</t>
  </si>
  <si>
    <t xml:space="preserve">LAMARA</t>
  </si>
  <si>
    <t xml:space="preserve">1967-06-18</t>
  </si>
  <si>
    <t xml:space="preserve">FL 3</t>
  </si>
  <si>
    <t xml:space="preserve">OH0027519738</t>
  </si>
  <si>
    <t xml:space="preserve">1964-02-26</t>
  </si>
  <si>
    <t xml:space="preserve">OH0027701516</t>
  </si>
  <si>
    <t xml:space="preserve">HULL</t>
  </si>
  <si>
    <t xml:space="preserve">1970-02-07</t>
  </si>
  <si>
    <t xml:space="preserve">OH0027469142</t>
  </si>
  <si>
    <t xml:space="preserve">1981-02-11</t>
  </si>
  <si>
    <t xml:space="preserve">2024-07-12</t>
  </si>
  <si>
    <t xml:space="preserve">OH0027452720</t>
  </si>
  <si>
    <t xml:space="preserve">DOZIER</t>
  </si>
  <si>
    <t xml:space="preserve">TANAE</t>
  </si>
  <si>
    <t xml:space="preserve">1996-05-26</t>
  </si>
  <si>
    <t xml:space="preserve">OH0027496932</t>
  </si>
  <si>
    <t xml:space="preserve">CONLON</t>
  </si>
  <si>
    <t xml:space="preserve">1981-04-09</t>
  </si>
  <si>
    <t xml:space="preserve">1597 YOUNGSTOWN RD SE</t>
  </si>
  <si>
    <t xml:space="preserve">OH0023009398</t>
  </si>
  <si>
    <t xml:space="preserve">1951-10-10</t>
  </si>
  <si>
    <t xml:space="preserve">1609 YOUNGSTOWN RD SE</t>
  </si>
  <si>
    <t xml:space="preserve">OH0023555834</t>
  </si>
  <si>
    <t xml:space="preserve">DESEMEN</t>
  </si>
  <si>
    <t xml:space="preserve">1980-08-16</t>
  </si>
  <si>
    <t xml:space="preserve">OH0024626208</t>
  </si>
  <si>
    <t xml:space="preserve">1976-08-17</t>
  </si>
  <si>
    <t xml:space="preserve">1617 YOUNGSTOWN RD SE</t>
  </si>
  <si>
    <t xml:space="preserve">OH0026028775</t>
  </si>
  <si>
    <t xml:space="preserve">ESTEVEZ</t>
  </si>
  <si>
    <t xml:space="preserve">CARLOS</t>
  </si>
  <si>
    <t xml:space="preserve">1657 YOUNGSTOWN RD SE</t>
  </si>
  <si>
    <t xml:space="preserve">OH0024237214</t>
  </si>
  <si>
    <t xml:space="preserve">SOTAK</t>
  </si>
  <si>
    <t xml:space="preserve">CHASE</t>
  </si>
  <si>
    <t xml:space="preserve">1998-09-10</t>
  </si>
  <si>
    <t xml:space="preserve">2017-03-01</t>
  </si>
  <si>
    <t xml:space="preserve">1749 YOUNGSTOWN RD SE</t>
  </si>
  <si>
    <t xml:space="preserve">OH0023652849</t>
  </si>
  <si>
    <t xml:space="preserve">1982-03-23</t>
  </si>
  <si>
    <t xml:space="preserve">1755 YOUNGSTOWN RD SE</t>
  </si>
  <si>
    <t xml:space="preserve">OH0025720517</t>
  </si>
  <si>
    <t xml:space="preserve">1982-10-13</t>
  </si>
  <si>
    <t xml:space="preserve">2023-01-06</t>
  </si>
  <si>
    <t xml:space="preserve">OH0027303494</t>
  </si>
  <si>
    <t xml:space="preserve">FLORES</t>
  </si>
  <si>
    <t xml:space="preserve">GUADALUPE</t>
  </si>
  <si>
    <t xml:space="preserve">1911 YOUNGSTOWN RD SE</t>
  </si>
  <si>
    <t xml:space="preserve">OH0021015530</t>
  </si>
  <si>
    <t xml:space="preserve">1979-01-18</t>
  </si>
  <si>
    <t xml:space="preserve">2015-01-28</t>
  </si>
  <si>
    <t xml:space="preserve">1931 YOUNGSTOWN RD SE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</si>
</sst>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EH2687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pane xSplit="0" ySplit="1" topLeftCell="A2" activePane="bottomLeft" state="frozen"/>
      <selection pane="topLeft" activeCell="D1" activeCellId="0" sqref="D1"/>
      <selection pane="bottomLeft" activeCell="F1" activeCellId="0" sqref="F1"/>
    </sheetView>
  </sheetViews>
  <sheetFormatPr defaultColWidth="8.6875" defaultRowHeight="15" zeroHeight="false" outlineLevelRow="0" outlineLevelCol="0"/>
  <cols>
    <col collapsed="false" customWidth="false" hidden="true" outlineLevel="0" max="4" min="1" style="0" width="8.67"/>
    <col collapsed="false" customWidth="true" hidden="false" outlineLevel="0" max="5" min="5" style="0" width="11.66"/>
    <col collapsed="false" customWidth="true" hidden="false" outlineLevel="0" max="6" min="6" style="0" width="36.4"/>
    <col collapsed="false" customWidth="false" hidden="true" outlineLevel="0" max="8" min="7" style="0" width="8.67"/>
    <col collapsed="false" customWidth="true" hidden="false" outlineLevel="0" max="9" min="9" style="0" width="12.5"/>
    <col collapsed="false" customWidth="false" hidden="true" outlineLevel="0" max="12" min="10" style="0" width="8.67"/>
    <col collapsed="false" customWidth="true" hidden="false" outlineLevel="0" max="13" min="13" style="0" width="22.79"/>
    <col collapsed="false" customWidth="false" hidden="true" outlineLevel="0" max="14" min="14" style="0" width="8.67"/>
    <col collapsed="false" customWidth="true" hidden="false" outlineLevel="0" max="15" min="15" style="0" width="8.06"/>
    <col collapsed="false" customWidth="false" hidden="true" outlineLevel="0" max="42" min="16" style="0" width="8.67"/>
    <col collapsed="false" customWidth="false" hidden="true" outlineLevel="0" max="54" min="53" style="0" width="8.67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1" t="s">
        <v>52</v>
      </c>
      <c r="BB1" s="1" t="s">
        <v>53</v>
      </c>
      <c r="BC1" s="1"/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</row>
    <row r="2" customFormat="false" ht="13.8" hidden="true" customHeight="false" outlineLevel="0" collapsed="false">
      <c r="A2" s="0" t="s">
        <v>137</v>
      </c>
      <c r="B2" s="0" t="n">
        <v>78</v>
      </c>
      <c r="C2" s="0" t="n">
        <v>419914</v>
      </c>
      <c r="D2" s="0" t="s">
        <v>138</v>
      </c>
      <c r="E2" s="0" t="s">
        <v>139</v>
      </c>
      <c r="F2" s="0" t="str">
        <f aca="false">CONCATENATE(D2," ",LEFT(H2,4),"T=",AU2,"D=",AV2,"R=",AW2,"M=",AX2,"L=",AY2,"B=",AZ2)</f>
        <v>ANDREWS T=11D=1R=0M=0L=0B=0</v>
      </c>
      <c r="G2" s="0" t="s">
        <v>140</v>
      </c>
      <c r="I2" s="0" t="s">
        <v>141</v>
      </c>
      <c r="J2" s="0" t="s">
        <v>142</v>
      </c>
      <c r="K2" s="0" t="s">
        <v>143</v>
      </c>
      <c r="M2" s="0" t="s">
        <v>144</v>
      </c>
      <c r="N2" s="0" t="str">
        <f aca="false">RIGHT(M2,LEN(M2)-FIND(" ",M2))</f>
        <v>ADELAIDE AVE SE</v>
      </c>
      <c r="P2" s="0" t="s">
        <v>145</v>
      </c>
      <c r="Q2" s="0" t="s">
        <v>146</v>
      </c>
      <c r="R2" s="0" t="n">
        <v>44484</v>
      </c>
      <c r="AD2" s="0" t="s">
        <v>147</v>
      </c>
      <c r="AE2" s="0" t="s">
        <v>148</v>
      </c>
      <c r="AF2" s="0" t="s">
        <v>149</v>
      </c>
      <c r="AH2" s="0" t="n">
        <v>14</v>
      </c>
      <c r="AI2" s="0" t="n">
        <v>11</v>
      </c>
      <c r="AN2" s="0" t="s">
        <v>145</v>
      </c>
      <c r="AO2" s="0" t="s">
        <v>150</v>
      </c>
      <c r="AP2" s="0" t="s">
        <v>151</v>
      </c>
      <c r="AQ2" s="0" t="n">
        <v>9</v>
      </c>
      <c r="AR2" s="0" t="n">
        <v>64</v>
      </c>
      <c r="AS2" s="0" t="n">
        <v>32</v>
      </c>
      <c r="AU2" s="0" t="n">
        <f aca="false">COUNTA($BA$196:$EH$196)</f>
        <v>11</v>
      </c>
      <c r="AV2" s="0" t="n">
        <f aca="false">COUNTIF($BA$196:$EH$196,"D")</f>
        <v>1</v>
      </c>
      <c r="AW2" s="0" t="n">
        <f aca="false">COUNTIF($BA$196:$EH$196,"R")</f>
        <v>0</v>
      </c>
      <c r="AX2" s="0" t="n">
        <f aca="false">IF(BN2="D",1,0)+IF(BO2="D",1,0)+IF(BT2="D",1,0)+IF(BU2="D",1,0)+IF(BW2="D",1,0)+IF(CC2="D",1,0)+IF(CD2="D",1,0)+IF(CE2="D",1,0)+IF(CF2="D",1,0)+IF(CL2="D",1,0)+IF(CM2="D",1,0)+IF(CQ2="D",1,0)+IF(CR2="D",1,0)+IF(CS2="D",1,0)+IF(CW2="D",1,0)+IF(CX2="D",1,0)+IF(DD2="D",1,0)+IF(DE2="D",1,0)+IF(DJ2="D",1,0)+IF(DK2="D",1,0)+IF(DO2="D",1,0)+IF(DP2="D",1,0)+IF(DQ2="D",1,0)+IF(DW2="D",1,0)+IF(DZ2="D",1,0)+IF(EH2="D",1,0)</f>
        <v>0</v>
      </c>
      <c r="AY2" s="0" t="n">
        <f aca="false">COUNTIF(DU2:EH2, "&lt;&gt;")</f>
        <v>0</v>
      </c>
      <c r="AZ2" s="0" t="n">
        <f aca="false">IF(EH2&lt;&gt;"",1,0)</f>
        <v>0</v>
      </c>
      <c r="BB2" s="0" t="s">
        <v>152</v>
      </c>
      <c r="DC2" s="0" t="s">
        <v>153</v>
      </c>
    </row>
    <row r="3" customFormat="false" ht="13.8" hidden="true" customHeight="false" outlineLevel="0" collapsed="false">
      <c r="A3" s="0" t="s">
        <v>154</v>
      </c>
      <c r="B3" s="0" t="n">
        <v>78</v>
      </c>
      <c r="C3" s="0" t="n">
        <v>455172</v>
      </c>
      <c r="D3" s="0" t="s">
        <v>155</v>
      </c>
      <c r="E3" s="0" t="s">
        <v>156</v>
      </c>
      <c r="F3" s="0" t="str">
        <f aca="false">CONCATENATE(D3," ",LEFT(H3,4),"T=",AU3,"D=",AV3,"R=",AW3,"M=",AX3,"L=",AY3,"B=",AZ3)</f>
        <v>REMEIKA PIRTZ T=8D=2R=0M=0L=0B=0</v>
      </c>
      <c r="G3" s="0" t="s">
        <v>157</v>
      </c>
      <c r="I3" s="0" t="s">
        <v>158</v>
      </c>
      <c r="J3" s="0" t="s">
        <v>159</v>
      </c>
      <c r="K3" s="0" t="s">
        <v>160</v>
      </c>
      <c r="M3" s="0" t="s">
        <v>144</v>
      </c>
      <c r="N3" s="0" t="str">
        <f aca="false">RIGHT(M3,LEN(M3)-FIND(" ",M3))</f>
        <v>ADELAIDE AVE SE</v>
      </c>
      <c r="P3" s="0" t="s">
        <v>145</v>
      </c>
      <c r="Q3" s="0" t="s">
        <v>146</v>
      </c>
      <c r="R3" s="0" t="n">
        <v>44484</v>
      </c>
      <c r="AD3" s="0" t="s">
        <v>147</v>
      </c>
      <c r="AE3" s="0" t="s">
        <v>148</v>
      </c>
      <c r="AF3" s="0" t="s">
        <v>149</v>
      </c>
      <c r="AH3" s="0" t="n">
        <v>14</v>
      </c>
      <c r="AI3" s="0" t="n">
        <v>11</v>
      </c>
      <c r="AN3" s="0" t="s">
        <v>145</v>
      </c>
      <c r="AO3" s="0" t="s">
        <v>150</v>
      </c>
      <c r="AP3" s="0" t="s">
        <v>151</v>
      </c>
      <c r="AQ3" s="0" t="n">
        <v>9</v>
      </c>
      <c r="AR3" s="0" t="n">
        <v>64</v>
      </c>
      <c r="AS3" s="0" t="n">
        <v>32</v>
      </c>
      <c r="AU3" s="0" t="n">
        <f aca="false">COUNTA($BA$636:$EH$636)</f>
        <v>8</v>
      </c>
      <c r="AV3" s="0" t="n">
        <f aca="false">COUNTIF($BA$636:$EH$636,"D")</f>
        <v>2</v>
      </c>
      <c r="AW3" s="0" t="n">
        <f aca="false">COUNTIF($BA$636:$EH$636,"R")</f>
        <v>0</v>
      </c>
      <c r="AX3" s="0" t="n">
        <f aca="false">IF(BN3="D",1,0)+IF(BO3="D",1,0)+IF(BT3="D",1,0)+IF(BU3="D",1,0)+IF(BW3="D",1,0)+IF(CC3="D",1,0)+IF(CD3="D",1,0)+IF(CE3="D",1,0)+IF(CF3="D",1,0)+IF(CL3="D",1,0)+IF(CM3="D",1,0)+IF(CQ3="D",1,0)+IF(CR3="D",1,0)+IF(CS3="D",1,0)+IF(CW3="D",1,0)+IF(CX3="D",1,0)+IF(DD3="D",1,0)+IF(DE3="D",1,0)+IF(DJ3="D",1,0)+IF(DK3="D",1,0)+IF(DO3="D",1,0)+IF(DP3="D",1,0)+IF(DQ3="D",1,0)+IF(DW3="D",1,0)+IF(DZ3="D",1,0)+IF(EH3="D",1,0)</f>
        <v>0</v>
      </c>
      <c r="AY3" s="0" t="n">
        <f aca="false">COUNTIF(DU3:EH3, "&lt;&gt;")</f>
        <v>0</v>
      </c>
      <c r="AZ3" s="0" t="n">
        <f aca="false">IF(EH3&lt;&gt;"",1,0)</f>
        <v>0</v>
      </c>
      <c r="BB3" s="0" t="s">
        <v>152</v>
      </c>
      <c r="DN3" s="0" t="s">
        <v>153</v>
      </c>
    </row>
    <row r="4" customFormat="false" ht="13.8" hidden="true" customHeight="false" outlineLevel="0" collapsed="false">
      <c r="A4" s="0" t="s">
        <v>161</v>
      </c>
      <c r="B4" s="0" t="n">
        <v>78</v>
      </c>
      <c r="C4" s="0" t="n">
        <v>460106</v>
      </c>
      <c r="D4" s="0" t="s">
        <v>162</v>
      </c>
      <c r="E4" s="0" t="s">
        <v>163</v>
      </c>
      <c r="F4" s="0" t="str">
        <f aca="false">CONCATENATE(D4," ",LEFT(H4,4),"T=",AU4,"D=",AV4,"R=",AW4,"M=",AX4,"L=",AY4,"B=",AZ4)</f>
        <v>BALINT T=3D=0R=0M=0L=0B=0</v>
      </c>
      <c r="G4" s="0" t="s">
        <v>164</v>
      </c>
      <c r="I4" s="0" t="s">
        <v>165</v>
      </c>
      <c r="J4" s="0" t="s">
        <v>166</v>
      </c>
      <c r="K4" s="0" t="s">
        <v>160</v>
      </c>
      <c r="M4" s="0" t="s">
        <v>167</v>
      </c>
      <c r="N4" s="0" t="str">
        <f aca="false">RIGHT(M4,LEN(M4)-FIND(" ",M4))</f>
        <v>ADELAIDE AVE SE</v>
      </c>
      <c r="P4" s="0" t="s">
        <v>145</v>
      </c>
      <c r="Q4" s="0" t="s">
        <v>146</v>
      </c>
      <c r="R4" s="0" t="n">
        <v>44484</v>
      </c>
      <c r="AD4" s="0" t="s">
        <v>147</v>
      </c>
      <c r="AE4" s="0" t="s">
        <v>148</v>
      </c>
      <c r="AF4" s="0" t="s">
        <v>149</v>
      </c>
      <c r="AH4" s="0" t="n">
        <v>14</v>
      </c>
      <c r="AI4" s="0" t="n">
        <v>11</v>
      </c>
      <c r="AN4" s="0" t="s">
        <v>145</v>
      </c>
      <c r="AO4" s="0" t="s">
        <v>150</v>
      </c>
      <c r="AP4" s="0" t="s">
        <v>151</v>
      </c>
      <c r="AQ4" s="0" t="n">
        <v>9</v>
      </c>
      <c r="AR4" s="0" t="n">
        <v>64</v>
      </c>
      <c r="AS4" s="0" t="n">
        <v>32</v>
      </c>
      <c r="AU4" s="0" t="n">
        <f aca="false">COUNTA($BA$414:$EH$414)</f>
        <v>3</v>
      </c>
      <c r="AV4" s="0" t="n">
        <f aca="false">COUNTIF($BA$414:$EH$414,"D")</f>
        <v>0</v>
      </c>
      <c r="AW4" s="0" t="n">
        <f aca="false">COUNTIF($BA$414:$EH$414,"R")</f>
        <v>0</v>
      </c>
      <c r="AX4" s="0" t="n">
        <f aca="false">IF(BN4="D",1,0)+IF(BO4="D",1,0)+IF(BT4="D",1,0)+IF(BU4="D",1,0)+IF(BW4="D",1,0)+IF(CC4="D",1,0)+IF(CD4="D",1,0)+IF(CE4="D",1,0)+IF(CF4="D",1,0)+IF(CL4="D",1,0)+IF(CM4="D",1,0)+IF(CQ4="D",1,0)+IF(CR4="D",1,0)+IF(CS4="D",1,0)+IF(CW4="D",1,0)+IF(CX4="D",1,0)+IF(DD4="D",1,0)+IF(DE4="D",1,0)+IF(DJ4="D",1,0)+IF(DK4="D",1,0)+IF(DO4="D",1,0)+IF(DP4="D",1,0)+IF(DQ4="D",1,0)+IF(DW4="D",1,0)+IF(DZ4="D",1,0)+IF(EH4="D",1,0)</f>
        <v>0</v>
      </c>
      <c r="AY4" s="0" t="n">
        <f aca="false">COUNTIF(DU4:EH4, "&lt;&gt;")</f>
        <v>0</v>
      </c>
      <c r="AZ4" s="0" t="n">
        <f aca="false">IF(EH4&lt;&gt;"",1,0)</f>
        <v>0</v>
      </c>
      <c r="BB4" s="0" t="s">
        <v>152</v>
      </c>
    </row>
    <row r="5" customFormat="false" ht="13.8" hidden="true" customHeight="false" outlineLevel="0" collapsed="false">
      <c r="A5" s="0" t="s">
        <v>168</v>
      </c>
      <c r="B5" s="0" t="n">
        <v>78</v>
      </c>
      <c r="C5" s="0" t="n">
        <v>329997</v>
      </c>
      <c r="D5" s="0" t="s">
        <v>169</v>
      </c>
      <c r="E5" s="0" t="s">
        <v>170</v>
      </c>
      <c r="F5" s="0" t="str">
        <f aca="false">CONCATENATE(D5," ",LEFT(H5,4),"T=",AU5,"D=",AV5,"R=",AW5,"M=",AX5,"L=",AY5,"B=",AZ5)</f>
        <v>IMES T=3D=0R=0M=0L=0B=0</v>
      </c>
      <c r="G5" s="0" t="s">
        <v>171</v>
      </c>
      <c r="I5" s="0" t="s">
        <v>172</v>
      </c>
      <c r="J5" s="0" t="s">
        <v>173</v>
      </c>
      <c r="K5" s="0" t="s">
        <v>143</v>
      </c>
      <c r="M5" s="0" t="s">
        <v>174</v>
      </c>
      <c r="N5" s="0" t="str">
        <f aca="false">RIGHT(M5,LEN(M5)-FIND(" ",M5))</f>
        <v>ADELAIDE AVE SE</v>
      </c>
      <c r="P5" s="0" t="s">
        <v>145</v>
      </c>
      <c r="Q5" s="0" t="s">
        <v>146</v>
      </c>
      <c r="R5" s="0" t="n">
        <v>44484</v>
      </c>
      <c r="AD5" s="0" t="s">
        <v>147</v>
      </c>
      <c r="AE5" s="0" t="s">
        <v>148</v>
      </c>
      <c r="AF5" s="0" t="s">
        <v>149</v>
      </c>
      <c r="AH5" s="0" t="n">
        <v>14</v>
      </c>
      <c r="AI5" s="0" t="n">
        <v>11</v>
      </c>
      <c r="AN5" s="0" t="s">
        <v>145</v>
      </c>
      <c r="AO5" s="0" t="s">
        <v>150</v>
      </c>
      <c r="AP5" s="0" t="s">
        <v>151</v>
      </c>
      <c r="AQ5" s="0" t="n">
        <v>9</v>
      </c>
      <c r="AR5" s="0" t="n">
        <v>64</v>
      </c>
      <c r="AS5" s="0" t="n">
        <v>32</v>
      </c>
      <c r="AU5" s="0" t="n">
        <f aca="false">COUNTA($BA$225:$EH$225)</f>
        <v>3</v>
      </c>
      <c r="AV5" s="0" t="n">
        <f aca="false">COUNTIF($BA$225:$EH$225,"D")</f>
        <v>0</v>
      </c>
      <c r="AW5" s="0" t="n">
        <f aca="false">COUNTIF($BA$225:$EH$225,"R")</f>
        <v>0</v>
      </c>
      <c r="AX5" s="0" t="n">
        <f aca="false">IF(BN5="D",1,0)+IF(BO5="D",1,0)+IF(BT5="D",1,0)+IF(BU5="D",1,0)+IF(BW5="D",1,0)+IF(CC5="D",1,0)+IF(CD5="D",1,0)+IF(CE5="D",1,0)+IF(CF5="D",1,0)+IF(CL5="D",1,0)+IF(CM5="D",1,0)+IF(CQ5="D",1,0)+IF(CR5="D",1,0)+IF(CS5="D",1,0)+IF(CW5="D",1,0)+IF(CX5="D",1,0)+IF(DD5="D",1,0)+IF(DE5="D",1,0)+IF(DJ5="D",1,0)+IF(DK5="D",1,0)+IF(DO5="D",1,0)+IF(DP5="D",1,0)+IF(DQ5="D",1,0)+IF(DW5="D",1,0)+IF(DZ5="D",1,0)+IF(EH5="D",1,0)</f>
        <v>0</v>
      </c>
      <c r="AY5" s="0" t="n">
        <f aca="false">COUNTIF(DU5:EH5, "&lt;&gt;")</f>
        <v>0</v>
      </c>
      <c r="AZ5" s="0" t="n">
        <f aca="false">IF(EH5&lt;&gt;"",1,0)</f>
        <v>0</v>
      </c>
      <c r="BB5" s="0" t="s">
        <v>152</v>
      </c>
      <c r="BL5" s="0" t="s">
        <v>153</v>
      </c>
      <c r="CA5" s="0" t="s">
        <v>153</v>
      </c>
      <c r="CH5" s="0" t="s">
        <v>175</v>
      </c>
      <c r="CK5" s="0" t="s">
        <v>153</v>
      </c>
      <c r="CP5" s="0" t="s">
        <v>153</v>
      </c>
      <c r="CV5" s="0" t="s">
        <v>153</v>
      </c>
      <c r="DC5" s="0" t="s">
        <v>153</v>
      </c>
    </row>
    <row r="6" customFormat="false" ht="13.8" hidden="true" customHeight="false" outlineLevel="0" collapsed="false">
      <c r="A6" s="0" t="s">
        <v>176</v>
      </c>
      <c r="B6" s="0" t="n">
        <v>78</v>
      </c>
      <c r="C6" s="0" t="n">
        <v>401554</v>
      </c>
      <c r="D6" s="0" t="s">
        <v>177</v>
      </c>
      <c r="E6" s="0" t="s">
        <v>178</v>
      </c>
      <c r="F6" s="0" t="str">
        <f aca="false">CONCATENATE(D6," ",LEFT(H6,4),"T=",AU6,"D=",AV6,"R=",AW6,"M=",AX6,"L=",AY6,"B=",AZ6)</f>
        <v>HELLER T=42D=10R=1M=0L=0B=0</v>
      </c>
      <c r="G6" s="0" t="s">
        <v>175</v>
      </c>
      <c r="I6" s="0" t="s">
        <v>179</v>
      </c>
      <c r="J6" s="0" t="s">
        <v>180</v>
      </c>
      <c r="K6" s="0" t="s">
        <v>143</v>
      </c>
      <c r="M6" s="0" t="s">
        <v>181</v>
      </c>
      <c r="N6" s="0" t="str">
        <f aca="false">RIGHT(M6,LEN(M6)-FIND(" ",M6))</f>
        <v>ADELAIDE AVE SE</v>
      </c>
      <c r="P6" s="0" t="s">
        <v>145</v>
      </c>
      <c r="Q6" s="0" t="s">
        <v>146</v>
      </c>
      <c r="R6" s="0" t="n">
        <v>44484</v>
      </c>
      <c r="AD6" s="0" t="s">
        <v>147</v>
      </c>
      <c r="AE6" s="0" t="s">
        <v>148</v>
      </c>
      <c r="AF6" s="0" t="s">
        <v>149</v>
      </c>
      <c r="AH6" s="0" t="n">
        <v>14</v>
      </c>
      <c r="AI6" s="0" t="n">
        <v>11</v>
      </c>
      <c r="AN6" s="0" t="s">
        <v>145</v>
      </c>
      <c r="AO6" s="0" t="s">
        <v>150</v>
      </c>
      <c r="AP6" s="0" t="s">
        <v>151</v>
      </c>
      <c r="AQ6" s="0" t="n">
        <v>9</v>
      </c>
      <c r="AR6" s="0" t="n">
        <v>64</v>
      </c>
      <c r="AS6" s="0" t="n">
        <v>32</v>
      </c>
      <c r="AU6" s="0" t="n">
        <f aca="false">COUNTA($BA$91:$EH$91)</f>
        <v>42</v>
      </c>
      <c r="AV6" s="0" t="n">
        <f aca="false">COUNTIF($BA$91:$EH$91,"D")</f>
        <v>10</v>
      </c>
      <c r="AW6" s="0" t="n">
        <f aca="false">COUNTIF($BA$91:$EH$91,"R")</f>
        <v>1</v>
      </c>
      <c r="AX6" s="0" t="n">
        <f aca="false">IF(BN6="D",1,0)+IF(BO6="D",1,0)+IF(BT6="D",1,0)+IF(BU6="D",1,0)+IF(BW6="D",1,0)+IF(CC6="D",1,0)+IF(CD6="D",1,0)+IF(CE6="D",1,0)+IF(CF6="D",1,0)+IF(CL6="D",1,0)+IF(CM6="D",1,0)+IF(CQ6="D",1,0)+IF(CR6="D",1,0)+IF(CS6="D",1,0)+IF(CW6="D",1,0)+IF(CX6="D",1,0)+IF(DD6="D",1,0)+IF(DE6="D",1,0)+IF(DJ6="D",1,0)+IF(DK6="D",1,0)+IF(DO6="D",1,0)+IF(DP6="D",1,0)+IF(DQ6="D",1,0)+IF(DW6="D",1,0)+IF(DZ6="D",1,0)+IF(EH6="D",1,0)</f>
        <v>0</v>
      </c>
      <c r="AY6" s="0" t="n">
        <f aca="false">COUNTIF(DU6:EH6, "&lt;&gt;")</f>
        <v>0</v>
      </c>
      <c r="AZ6" s="0" t="n">
        <f aca="false">IF(EH6&lt;&gt;"",1,0)</f>
        <v>0</v>
      </c>
      <c r="BB6" s="0" t="s">
        <v>152</v>
      </c>
    </row>
    <row r="7" customFormat="false" ht="13.8" hidden="true" customHeight="false" outlineLevel="0" collapsed="false">
      <c r="A7" s="0" t="s">
        <v>182</v>
      </c>
      <c r="B7" s="0" t="n">
        <v>78</v>
      </c>
      <c r="C7" s="0" t="n">
        <v>430500</v>
      </c>
      <c r="D7" s="0" t="s">
        <v>183</v>
      </c>
      <c r="E7" s="0" t="s">
        <v>184</v>
      </c>
      <c r="F7" s="0" t="str">
        <f aca="false">CONCATENATE(D7," ",LEFT(H7,4),"T=",AU7,"D=",AV7,"R=",AW7,"M=",AX7,"L=",AY7,"B=",AZ7)</f>
        <v>NICOPOLIS T=4D=0R=0M=0L=0B=0</v>
      </c>
      <c r="G7" s="0" t="s">
        <v>185</v>
      </c>
      <c r="I7" s="0" t="s">
        <v>186</v>
      </c>
      <c r="J7" s="0" t="s">
        <v>187</v>
      </c>
      <c r="K7" s="0" t="s">
        <v>143</v>
      </c>
      <c r="M7" s="0" t="s">
        <v>181</v>
      </c>
      <c r="N7" s="0" t="str">
        <f aca="false">RIGHT(M7,LEN(M7)-FIND(" ",M7))</f>
        <v>ADELAIDE AVE SE</v>
      </c>
      <c r="P7" s="0" t="s">
        <v>145</v>
      </c>
      <c r="Q7" s="0" t="s">
        <v>146</v>
      </c>
      <c r="R7" s="0" t="n">
        <v>44484</v>
      </c>
      <c r="AD7" s="0" t="s">
        <v>147</v>
      </c>
      <c r="AE7" s="0" t="s">
        <v>148</v>
      </c>
      <c r="AF7" s="0" t="s">
        <v>149</v>
      </c>
      <c r="AH7" s="0" t="n">
        <v>14</v>
      </c>
      <c r="AI7" s="0" t="n">
        <v>11</v>
      </c>
      <c r="AN7" s="0" t="s">
        <v>145</v>
      </c>
      <c r="AO7" s="0" t="s">
        <v>150</v>
      </c>
      <c r="AP7" s="0" t="s">
        <v>151</v>
      </c>
      <c r="AQ7" s="0" t="n">
        <v>9</v>
      </c>
      <c r="AR7" s="0" t="n">
        <v>64</v>
      </c>
      <c r="AS7" s="0" t="n">
        <v>32</v>
      </c>
      <c r="AU7" s="0" t="n">
        <f aca="false">COUNTA($BA$781:$EH$781)</f>
        <v>4</v>
      </c>
      <c r="AV7" s="0" t="n">
        <f aca="false">COUNTIF($BA$781:$EH$781,"D")</f>
        <v>0</v>
      </c>
      <c r="AW7" s="0" t="n">
        <f aca="false">COUNTIF($BA$781:$EH$781,"R")</f>
        <v>0</v>
      </c>
      <c r="AX7" s="0" t="n">
        <f aca="false">IF(BN7="D",1,0)+IF(BO7="D",1,0)+IF(BT7="D",1,0)+IF(BU7="D",1,0)+IF(BW7="D",1,0)+IF(CC7="D",1,0)+IF(CD7="D",1,0)+IF(CE7="D",1,0)+IF(CF7="D",1,0)+IF(CL7="D",1,0)+IF(CM7="D",1,0)+IF(CQ7="D",1,0)+IF(CR7="D",1,0)+IF(CS7="D",1,0)+IF(CW7="D",1,0)+IF(CX7="D",1,0)+IF(DD7="D",1,0)+IF(DE7="D",1,0)+IF(DJ7="D",1,0)+IF(DK7="D",1,0)+IF(DO7="D",1,0)+IF(DP7="D",1,0)+IF(DQ7="D",1,0)+IF(DW7="D",1,0)+IF(DZ7="D",1,0)+IF(EH7="D",1,0)</f>
        <v>0</v>
      </c>
      <c r="AY7" s="0" t="n">
        <f aca="false">COUNTIF(DU7:EH7, "&lt;&gt;")</f>
        <v>0</v>
      </c>
      <c r="AZ7" s="0" t="n">
        <f aca="false">IF(EH7&lt;&gt;"",1,0)</f>
        <v>0</v>
      </c>
      <c r="BB7" s="0" t="s">
        <v>152</v>
      </c>
    </row>
    <row r="8" customFormat="false" ht="13.8" hidden="true" customHeight="false" outlineLevel="0" collapsed="false">
      <c r="A8" s="0" t="s">
        <v>188</v>
      </c>
      <c r="B8" s="0" t="n">
        <v>78</v>
      </c>
      <c r="C8" s="0" t="n">
        <v>432110</v>
      </c>
      <c r="D8" s="0" t="s">
        <v>177</v>
      </c>
      <c r="E8" s="0" t="s">
        <v>189</v>
      </c>
      <c r="F8" s="0" t="str">
        <f aca="false">CONCATENATE(D8," ",LEFT(H8,4),"T=",AU8,"D=",AV8,"R=",AW8,"M=",AX8,"L=",AY8,"B=",AZ8)</f>
        <v>HELLER T=49D=16R=0M=0L=0B=0</v>
      </c>
      <c r="G8" s="0" t="s">
        <v>190</v>
      </c>
      <c r="I8" s="0" t="s">
        <v>191</v>
      </c>
      <c r="J8" s="0" t="s">
        <v>187</v>
      </c>
      <c r="K8" s="0" t="s">
        <v>143</v>
      </c>
      <c r="M8" s="0" t="s">
        <v>181</v>
      </c>
      <c r="N8" s="0" t="str">
        <f aca="false">RIGHT(M8,LEN(M8)-FIND(" ",M8))</f>
        <v>ADELAIDE AVE SE</v>
      </c>
      <c r="P8" s="0" t="s">
        <v>145</v>
      </c>
      <c r="Q8" s="0" t="s">
        <v>146</v>
      </c>
      <c r="R8" s="0" t="n">
        <v>44484</v>
      </c>
      <c r="AD8" s="0" t="s">
        <v>147</v>
      </c>
      <c r="AE8" s="0" t="s">
        <v>148</v>
      </c>
      <c r="AF8" s="0" t="s">
        <v>149</v>
      </c>
      <c r="AH8" s="0" t="n">
        <v>14</v>
      </c>
      <c r="AI8" s="0" t="n">
        <v>11</v>
      </c>
      <c r="AN8" s="0" t="s">
        <v>145</v>
      </c>
      <c r="AO8" s="0" t="s">
        <v>150</v>
      </c>
      <c r="AP8" s="0" t="s">
        <v>151</v>
      </c>
      <c r="AQ8" s="0" t="n">
        <v>9</v>
      </c>
      <c r="AR8" s="0" t="n">
        <v>64</v>
      </c>
      <c r="AS8" s="0" t="n">
        <v>32</v>
      </c>
      <c r="AU8" s="0" t="n">
        <f aca="false">COUNTA($BA$849:$EH$849)</f>
        <v>49</v>
      </c>
      <c r="AV8" s="0" t="n">
        <f aca="false">COUNTIF($BA$849:$EH$849,"D")</f>
        <v>16</v>
      </c>
      <c r="AW8" s="0" t="n">
        <f aca="false">COUNTIF($BA$849:$EH$849,"R")</f>
        <v>0</v>
      </c>
      <c r="AX8" s="0" t="n">
        <f aca="false">IF(BN8="D",1,0)+IF(BO8="D",1,0)+IF(BT8="D",1,0)+IF(BU8="D",1,0)+IF(BW8="D",1,0)+IF(CC8="D",1,0)+IF(CD8="D",1,0)+IF(CE8="D",1,0)+IF(CF8="D",1,0)+IF(CL8="D",1,0)+IF(CM8="D",1,0)+IF(CQ8="D",1,0)+IF(CR8="D",1,0)+IF(CS8="D",1,0)+IF(CW8="D",1,0)+IF(CX8="D",1,0)+IF(DD8="D",1,0)+IF(DE8="D",1,0)+IF(DJ8="D",1,0)+IF(DK8="D",1,0)+IF(DO8="D",1,0)+IF(DP8="D",1,0)+IF(DQ8="D",1,0)+IF(DW8="D",1,0)+IF(DZ8="D",1,0)+IF(EH8="D",1,0)</f>
        <v>0</v>
      </c>
      <c r="AY8" s="0" t="n">
        <f aca="false">COUNTIF(DU8:EH8, "&lt;&gt;")</f>
        <v>0</v>
      </c>
      <c r="AZ8" s="0" t="n">
        <f aca="false">IF(EH8&lt;&gt;"",1,0)</f>
        <v>0</v>
      </c>
      <c r="BB8" s="0" t="s">
        <v>152</v>
      </c>
    </row>
    <row r="9" customFormat="false" ht="13.8" hidden="true" customHeight="false" outlineLevel="0" collapsed="false">
      <c r="A9" s="0" t="s">
        <v>192</v>
      </c>
      <c r="B9" s="0" t="n">
        <v>78</v>
      </c>
      <c r="C9" s="0" t="n">
        <v>319548</v>
      </c>
      <c r="D9" s="0" t="s">
        <v>193</v>
      </c>
      <c r="E9" s="0" t="s">
        <v>194</v>
      </c>
      <c r="F9" s="0" t="str">
        <f aca="false">CONCATENATE(D9," ",LEFT(H9,4),"T=",AU9,"D=",AV9,"R=",AW9,"M=",AX9,"L=",AY9,"B=",AZ9)</f>
        <v>MORGAN T=27D=1R=3M=0L=0B=0</v>
      </c>
      <c r="G9" s="0" t="s">
        <v>195</v>
      </c>
      <c r="I9" s="0" t="s">
        <v>196</v>
      </c>
      <c r="J9" s="0" t="s">
        <v>197</v>
      </c>
      <c r="K9" s="0" t="s">
        <v>160</v>
      </c>
      <c r="M9" s="0" t="s">
        <v>198</v>
      </c>
      <c r="N9" s="0" t="str">
        <f aca="false">RIGHT(M9,LEN(M9)-FIND(" ",M9))</f>
        <v>ADELAIDE AVE SE</v>
      </c>
      <c r="P9" s="0" t="s">
        <v>145</v>
      </c>
      <c r="Q9" s="0" t="s">
        <v>146</v>
      </c>
      <c r="R9" s="0" t="n">
        <v>44484</v>
      </c>
      <c r="AD9" s="0" t="s">
        <v>147</v>
      </c>
      <c r="AE9" s="0" t="s">
        <v>148</v>
      </c>
      <c r="AF9" s="0" t="s">
        <v>149</v>
      </c>
      <c r="AH9" s="0" t="n">
        <v>14</v>
      </c>
      <c r="AI9" s="0" t="n">
        <v>11</v>
      </c>
      <c r="AN9" s="0" t="s">
        <v>145</v>
      </c>
      <c r="AO9" s="0" t="s">
        <v>150</v>
      </c>
      <c r="AP9" s="0" t="s">
        <v>151</v>
      </c>
      <c r="AQ9" s="0" t="n">
        <v>9</v>
      </c>
      <c r="AR9" s="0" t="n">
        <v>64</v>
      </c>
      <c r="AS9" s="0" t="n">
        <v>32</v>
      </c>
      <c r="AU9" s="0" t="n">
        <f aca="false">COUNTA($BA$224:$EH$224)</f>
        <v>27</v>
      </c>
      <c r="AV9" s="0" t="n">
        <f aca="false">COUNTIF($BA$224:$EH$224,"D")</f>
        <v>1</v>
      </c>
      <c r="AW9" s="0" t="n">
        <f aca="false">COUNTIF($BA$224:$EH$224,"R")</f>
        <v>3</v>
      </c>
      <c r="AX9" s="0" t="n">
        <f aca="false">IF(BN9="D",1,0)+IF(BO9="D",1,0)+IF(BT9="D",1,0)+IF(BU9="D",1,0)+IF(BW9="D",1,0)+IF(CC9="D",1,0)+IF(CD9="D",1,0)+IF(CE9="D",1,0)+IF(CF9="D",1,0)+IF(CL9="D",1,0)+IF(CM9="D",1,0)+IF(CQ9="D",1,0)+IF(CR9="D",1,0)+IF(CS9="D",1,0)+IF(CW9="D",1,0)+IF(CX9="D",1,0)+IF(DD9="D",1,0)+IF(DE9="D",1,0)+IF(DJ9="D",1,0)+IF(DK9="D",1,0)+IF(DO9="D",1,0)+IF(DP9="D",1,0)+IF(DQ9="D",1,0)+IF(DW9="D",1,0)+IF(DZ9="D",1,0)+IF(EH9="D",1,0)</f>
        <v>0</v>
      </c>
      <c r="AY9" s="0" t="n">
        <f aca="false">COUNTIF(DU9:EH9, "&lt;&gt;")</f>
        <v>0</v>
      </c>
      <c r="AZ9" s="0" t="n">
        <f aca="false">IF(EH9&lt;&gt;"",1,0)</f>
        <v>0</v>
      </c>
      <c r="BB9" s="0" t="s">
        <v>152</v>
      </c>
      <c r="CP9" s="0" t="s">
        <v>153</v>
      </c>
    </row>
    <row r="10" customFormat="false" ht="13.8" hidden="true" customHeight="false" outlineLevel="0" collapsed="false">
      <c r="A10" s="0" t="s">
        <v>199</v>
      </c>
      <c r="B10" s="0" t="n">
        <v>78</v>
      </c>
      <c r="C10" s="0" t="n">
        <v>453470</v>
      </c>
      <c r="D10" s="0" t="s">
        <v>200</v>
      </c>
      <c r="E10" s="0" t="s">
        <v>201</v>
      </c>
      <c r="F10" s="0" t="str">
        <f aca="false">CONCATENATE(D10," ",LEFT(H10,4),"T=",AU10,"D=",AV10,"R=",AW10,"M=",AX10,"L=",AY10,"B=",AZ10)</f>
        <v>FERRARO T=2D=0R=0M=0L=0B=0</v>
      </c>
      <c r="G10" s="0" t="s">
        <v>202</v>
      </c>
      <c r="I10" s="0" t="s">
        <v>203</v>
      </c>
      <c r="J10" s="0" t="s">
        <v>204</v>
      </c>
      <c r="K10" s="0" t="s">
        <v>143</v>
      </c>
      <c r="M10" s="0" t="s">
        <v>205</v>
      </c>
      <c r="N10" s="0" t="str">
        <f aca="false">RIGHT(M10,LEN(M10)-FIND(" ",M10))</f>
        <v>ADELAIDE AVE SE</v>
      </c>
      <c r="P10" s="0" t="s">
        <v>145</v>
      </c>
      <c r="Q10" s="0" t="s">
        <v>146</v>
      </c>
      <c r="R10" s="0" t="n">
        <v>44484</v>
      </c>
      <c r="AD10" s="0" t="s">
        <v>147</v>
      </c>
      <c r="AE10" s="0" t="s">
        <v>148</v>
      </c>
      <c r="AF10" s="0" t="s">
        <v>149</v>
      </c>
      <c r="AH10" s="0" t="n">
        <v>14</v>
      </c>
      <c r="AI10" s="0" t="n">
        <v>11</v>
      </c>
      <c r="AN10" s="0" t="s">
        <v>145</v>
      </c>
      <c r="AO10" s="0" t="s">
        <v>150</v>
      </c>
      <c r="AP10" s="0" t="s">
        <v>151</v>
      </c>
      <c r="AQ10" s="0" t="n">
        <v>9</v>
      </c>
      <c r="AR10" s="0" t="n">
        <v>64</v>
      </c>
      <c r="AS10" s="0" t="n">
        <v>32</v>
      </c>
      <c r="AU10" s="0" t="n">
        <f aca="false">COUNTA($BA$885:$EH$885)</f>
        <v>2</v>
      </c>
      <c r="AV10" s="0" t="n">
        <f aca="false">COUNTIF($BA$885:$EH$885,"D")</f>
        <v>0</v>
      </c>
      <c r="AW10" s="0" t="n">
        <f aca="false">COUNTIF($BA$885:$EH$885,"R")</f>
        <v>0</v>
      </c>
      <c r="AX10" s="0" t="n">
        <f aca="false">IF(BN10="D",1,0)+IF(BO10="D",1,0)+IF(BT10="D",1,0)+IF(BU10="D",1,0)+IF(BW10="D",1,0)+IF(CC10="D",1,0)+IF(CD10="D",1,0)+IF(CE10="D",1,0)+IF(CF10="D",1,0)+IF(CL10="D",1,0)+IF(CM10="D",1,0)+IF(CQ10="D",1,0)+IF(CR10="D",1,0)+IF(CS10="D",1,0)+IF(CW10="D",1,0)+IF(CX10="D",1,0)+IF(DD10="D",1,0)+IF(DE10="D",1,0)+IF(DJ10="D",1,0)+IF(DK10="D",1,0)+IF(DO10="D",1,0)+IF(DP10="D",1,0)+IF(DQ10="D",1,0)+IF(DW10="D",1,0)+IF(DZ10="D",1,0)+IF(EH10="D",1,0)</f>
        <v>0</v>
      </c>
      <c r="AY10" s="0" t="n">
        <f aca="false">COUNTIF(DU10:EH10, "&lt;&gt;")</f>
        <v>0</v>
      </c>
      <c r="AZ10" s="0" t="n">
        <f aca="false">IF(EH10&lt;&gt;"",1,0)</f>
        <v>0</v>
      </c>
      <c r="BB10" s="0" t="s">
        <v>152</v>
      </c>
      <c r="DN10" s="0" t="s">
        <v>153</v>
      </c>
    </row>
    <row r="11" customFormat="false" ht="13.8" hidden="true" customHeight="false" outlineLevel="0" collapsed="false">
      <c r="A11" s="0" t="s">
        <v>206</v>
      </c>
      <c r="B11" s="0" t="n">
        <v>78</v>
      </c>
      <c r="C11" s="0" t="n">
        <v>448538</v>
      </c>
      <c r="D11" s="0" t="s">
        <v>207</v>
      </c>
      <c r="E11" s="0" t="s">
        <v>208</v>
      </c>
      <c r="F11" s="0" t="str">
        <f aca="false">CONCATENATE(D11," ",LEFT(H11,4),"T=",AU11,"D=",AV11,"R=",AW11,"M=",AX11,"L=",AY11,"B=",AZ11)</f>
        <v>MUSICK T=21D=8R=0M=0L=0B=0</v>
      </c>
      <c r="G11" s="0" t="s">
        <v>209</v>
      </c>
      <c r="I11" s="0" t="s">
        <v>210</v>
      </c>
      <c r="J11" s="0" t="s">
        <v>211</v>
      </c>
      <c r="K11" s="0" t="s">
        <v>143</v>
      </c>
      <c r="M11" s="0" t="s">
        <v>205</v>
      </c>
      <c r="N11" s="0" t="str">
        <f aca="false">RIGHT(M11,LEN(M11)-FIND(" ",M11))</f>
        <v>ADELAIDE AVE SE</v>
      </c>
      <c r="P11" s="0" t="s">
        <v>145</v>
      </c>
      <c r="Q11" s="0" t="s">
        <v>146</v>
      </c>
      <c r="R11" s="0" t="n">
        <v>44484</v>
      </c>
      <c r="AD11" s="0" t="s">
        <v>147</v>
      </c>
      <c r="AE11" s="0" t="s">
        <v>148</v>
      </c>
      <c r="AF11" s="0" t="s">
        <v>149</v>
      </c>
      <c r="AH11" s="0" t="n">
        <v>14</v>
      </c>
      <c r="AI11" s="0" t="n">
        <v>11</v>
      </c>
      <c r="AN11" s="0" t="s">
        <v>145</v>
      </c>
      <c r="AO11" s="0" t="s">
        <v>150</v>
      </c>
      <c r="AP11" s="0" t="s">
        <v>151</v>
      </c>
      <c r="AQ11" s="0" t="n">
        <v>9</v>
      </c>
      <c r="AR11" s="0" t="n">
        <v>64</v>
      </c>
      <c r="AS11" s="0" t="n">
        <v>32</v>
      </c>
      <c r="AU11" s="0" t="n">
        <f aca="false">COUNTA($BA$998:$EH$998)</f>
        <v>21</v>
      </c>
      <c r="AV11" s="0" t="n">
        <f aca="false">COUNTIF($BA$998:$EH$998,"D")</f>
        <v>8</v>
      </c>
      <c r="AW11" s="0" t="n">
        <f aca="false">COUNTIF($BA$998:$EH$998,"R")</f>
        <v>0</v>
      </c>
      <c r="AX11" s="0" t="n">
        <f aca="false">IF(BN11="D",1,0)+IF(BO11="D",1,0)+IF(BT11="D",1,0)+IF(BU11="D",1,0)+IF(BW11="D",1,0)+IF(CC11="D",1,0)+IF(CD11="D",1,0)+IF(CE11="D",1,0)+IF(CF11="D",1,0)+IF(CL11="D",1,0)+IF(CM11="D",1,0)+IF(CQ11="D",1,0)+IF(CR11="D",1,0)+IF(CS11="D",1,0)+IF(CW11="D",1,0)+IF(CX11="D",1,0)+IF(DD11="D",1,0)+IF(DE11="D",1,0)+IF(DJ11="D",1,0)+IF(DK11="D",1,0)+IF(DO11="D",1,0)+IF(DP11="D",1,0)+IF(DQ11="D",1,0)+IF(DW11="D",1,0)+IF(DZ11="D",1,0)+IF(EH11="D",1,0)</f>
        <v>0</v>
      </c>
      <c r="AY11" s="0" t="n">
        <f aca="false">COUNTIF(DU11:EH11, "&lt;&gt;")</f>
        <v>0</v>
      </c>
      <c r="AZ11" s="0" t="n">
        <f aca="false">IF(EH11&lt;&gt;"",1,0)</f>
        <v>0</v>
      </c>
      <c r="BB11" s="0" t="s">
        <v>152</v>
      </c>
      <c r="CA11" s="0" t="s">
        <v>153</v>
      </c>
      <c r="DN11" s="0" t="s">
        <v>153</v>
      </c>
    </row>
    <row r="12" customFormat="false" ht="13.8" hidden="true" customHeight="false" outlineLevel="0" collapsed="false">
      <c r="A12" s="0" t="s">
        <v>212</v>
      </c>
      <c r="B12" s="0" t="n">
        <v>78</v>
      </c>
      <c r="C12" s="0" t="n">
        <v>360135</v>
      </c>
      <c r="D12" s="0" t="s">
        <v>213</v>
      </c>
      <c r="E12" s="0" t="s">
        <v>214</v>
      </c>
      <c r="F12" s="0" t="str">
        <f aca="false">CONCATENATE(D12," ",LEFT(H12,4),"T=",AU12,"D=",AV12,"R=",AW12,"M=",AX12,"L=",AY12,"B=",AZ12)</f>
        <v>TRAVIS SRT=1D=0R=0M=0L=0B=0</v>
      </c>
      <c r="G12" s="0" t="s">
        <v>215</v>
      </c>
      <c r="H12" s="0" t="s">
        <v>216</v>
      </c>
      <c r="I12" s="0" t="s">
        <v>217</v>
      </c>
      <c r="J12" s="0" t="s">
        <v>218</v>
      </c>
      <c r="K12" s="0" t="s">
        <v>160</v>
      </c>
      <c r="M12" s="0" t="s">
        <v>219</v>
      </c>
      <c r="N12" s="0" t="str">
        <f aca="false">RIGHT(M12,LEN(M12)-FIND(" ",M12))</f>
        <v>ADELAIDE AVE SE</v>
      </c>
      <c r="O12" s="0" t="s">
        <v>220</v>
      </c>
      <c r="P12" s="0" t="s">
        <v>145</v>
      </c>
      <c r="Q12" s="0" t="s">
        <v>146</v>
      </c>
      <c r="R12" s="0" t="n">
        <v>44484</v>
      </c>
      <c r="AD12" s="0" t="s">
        <v>147</v>
      </c>
      <c r="AE12" s="0" t="s">
        <v>148</v>
      </c>
      <c r="AF12" s="0" t="s">
        <v>149</v>
      </c>
      <c r="AH12" s="0" t="n">
        <v>14</v>
      </c>
      <c r="AI12" s="0" t="n">
        <v>11</v>
      </c>
      <c r="AN12" s="0" t="s">
        <v>145</v>
      </c>
      <c r="AO12" s="0" t="s">
        <v>150</v>
      </c>
      <c r="AP12" s="0" t="s">
        <v>151</v>
      </c>
      <c r="AQ12" s="0" t="n">
        <v>9</v>
      </c>
      <c r="AR12" s="0" t="n">
        <v>64</v>
      </c>
      <c r="AS12" s="0" t="n">
        <v>32</v>
      </c>
      <c r="AU12" s="0" t="n">
        <f aca="false">COUNTA($BA$153:$EH$153)</f>
        <v>1</v>
      </c>
      <c r="AV12" s="0" t="n">
        <f aca="false">COUNTIF($BA$153:$EH$153,"D")</f>
        <v>0</v>
      </c>
      <c r="AW12" s="0" t="n">
        <f aca="false">COUNTIF($BA$153:$EH$153,"R")</f>
        <v>0</v>
      </c>
      <c r="AX12" s="0" t="n">
        <f aca="false">IF(BN12="D",1,0)+IF(BO12="D",1,0)+IF(BT12="D",1,0)+IF(BU12="D",1,0)+IF(BW12="D",1,0)+IF(CC12="D",1,0)+IF(CD12="D",1,0)+IF(CE12="D",1,0)+IF(CF12="D",1,0)+IF(CL12="D",1,0)+IF(CM12="D",1,0)+IF(CQ12="D",1,0)+IF(CR12="D",1,0)+IF(CS12="D",1,0)+IF(CW12="D",1,0)+IF(CX12="D",1,0)+IF(DD12="D",1,0)+IF(DE12="D",1,0)+IF(DJ12="D",1,0)+IF(DK12="D",1,0)+IF(DO12="D",1,0)+IF(DP12="D",1,0)+IF(DQ12="D",1,0)+IF(DW12="D",1,0)+IF(DZ12="D",1,0)+IF(EH12="D",1,0)</f>
        <v>0</v>
      </c>
      <c r="AY12" s="0" t="n">
        <f aca="false">COUNTIF(DU12:EH12, "&lt;&gt;")</f>
        <v>0</v>
      </c>
      <c r="AZ12" s="0" t="n">
        <f aca="false">IF(EH12&lt;&gt;"",1,0)</f>
        <v>0</v>
      </c>
      <c r="BB12" s="0" t="s">
        <v>152</v>
      </c>
      <c r="DG12" s="0" t="s">
        <v>175</v>
      </c>
      <c r="DL12" s="0" t="s">
        <v>153</v>
      </c>
    </row>
    <row r="13" customFormat="false" ht="13.8" hidden="true" customHeight="false" outlineLevel="0" collapsed="false">
      <c r="A13" s="0" t="s">
        <v>221</v>
      </c>
      <c r="B13" s="0" t="n">
        <v>78</v>
      </c>
      <c r="C13" s="0" t="n">
        <v>442896</v>
      </c>
      <c r="D13" s="0" t="s">
        <v>222</v>
      </c>
      <c r="E13" s="0" t="s">
        <v>223</v>
      </c>
      <c r="F13" s="0" t="str">
        <f aca="false">CONCATENATE(D13," ",LEFT(H13,4),"T=",AU13,"D=",AV13,"R=",AW13,"M=",AX13,"L=",AY13,"B=",AZ13)</f>
        <v>OSTROW T=9D=2R=0M=0L=1B=0</v>
      </c>
      <c r="G13" s="0" t="s">
        <v>224</v>
      </c>
      <c r="I13" s="0" t="s">
        <v>225</v>
      </c>
      <c r="J13" s="0" t="s">
        <v>226</v>
      </c>
      <c r="K13" s="0" t="s">
        <v>160</v>
      </c>
      <c r="M13" s="0" t="s">
        <v>219</v>
      </c>
      <c r="N13" s="0" t="str">
        <f aca="false">RIGHT(M13,LEN(M13)-FIND(" ",M13))</f>
        <v>ADELAIDE AVE SE</v>
      </c>
      <c r="P13" s="0" t="s">
        <v>145</v>
      </c>
      <c r="Q13" s="0" t="s">
        <v>146</v>
      </c>
      <c r="R13" s="0" t="n">
        <v>44484</v>
      </c>
      <c r="AD13" s="0" t="s">
        <v>147</v>
      </c>
      <c r="AE13" s="0" t="s">
        <v>148</v>
      </c>
      <c r="AF13" s="0" t="s">
        <v>149</v>
      </c>
      <c r="AH13" s="0" t="n">
        <v>14</v>
      </c>
      <c r="AI13" s="0" t="n">
        <v>11</v>
      </c>
      <c r="AN13" s="0" t="s">
        <v>145</v>
      </c>
      <c r="AO13" s="0" t="s">
        <v>150</v>
      </c>
      <c r="AP13" s="0" t="s">
        <v>151</v>
      </c>
      <c r="AQ13" s="0" t="n">
        <v>9</v>
      </c>
      <c r="AR13" s="0" t="n">
        <v>64</v>
      </c>
      <c r="AS13" s="0" t="n">
        <v>32</v>
      </c>
      <c r="AU13" s="0" t="n">
        <f aca="false">COUNTA($BA$680:$EH$680)</f>
        <v>9</v>
      </c>
      <c r="AV13" s="0" t="n">
        <f aca="false">COUNTIF($BA$680:$EH$680,"D")</f>
        <v>2</v>
      </c>
      <c r="AW13" s="0" t="n">
        <f aca="false">COUNTIF($BA$680:$EH$680,"R")</f>
        <v>0</v>
      </c>
      <c r="AX13" s="0" t="n">
        <f aca="false">IF(BN13="D",1,0)+IF(BO13="D",1,0)+IF(BT13="D",1,0)+IF(BU13="D",1,0)+IF(BW13="D",1,0)+IF(CC13="D",1,0)+IF(CD13="D",1,0)+IF(CE13="D",1,0)+IF(CF13="D",1,0)+IF(CL13="D",1,0)+IF(CM13="D",1,0)+IF(CQ13="D",1,0)+IF(CR13="D",1,0)+IF(CS13="D",1,0)+IF(CW13="D",1,0)+IF(CX13="D",1,0)+IF(DD13="D",1,0)+IF(DE13="D",1,0)+IF(DJ13="D",1,0)+IF(DK13="D",1,0)+IF(DO13="D",1,0)+IF(DP13="D",1,0)+IF(DQ13="D",1,0)+IF(DW13="D",1,0)+IF(DZ13="D",1,0)+IF(EH13="D",1,0)</f>
        <v>0</v>
      </c>
      <c r="AY13" s="0" t="n">
        <f aca="false">COUNTIF(DU13:EH13, "&lt;&gt;")</f>
        <v>1</v>
      </c>
      <c r="AZ13" s="0" t="n">
        <f aca="false">IF(EH13&lt;&gt;"",1,0)</f>
        <v>0</v>
      </c>
      <c r="BB13" s="0" t="s">
        <v>152</v>
      </c>
      <c r="DN13" s="0" t="s">
        <v>153</v>
      </c>
      <c r="EF13" s="0" t="s">
        <v>153</v>
      </c>
    </row>
    <row r="14" customFormat="false" ht="13.8" hidden="true" customHeight="false" outlineLevel="0" collapsed="false">
      <c r="A14" s="0" t="s">
        <v>227</v>
      </c>
      <c r="B14" s="0" t="n">
        <v>78</v>
      </c>
      <c r="C14" s="0" t="n">
        <v>477852</v>
      </c>
      <c r="D14" s="0" t="s">
        <v>228</v>
      </c>
      <c r="E14" s="0" t="s">
        <v>229</v>
      </c>
      <c r="F14" s="0" t="str">
        <f aca="false">CONCATENATE(D14," ",LEFT(H14,4),"T=",AU14,"D=",AV14,"R=",AW14,"M=",AX14,"L=",AY14,"B=",AZ14)</f>
        <v>WARFIELD T=1D=0R=0M=0L=1B=0</v>
      </c>
      <c r="G14" s="0" t="s">
        <v>190</v>
      </c>
      <c r="I14" s="0" t="s">
        <v>230</v>
      </c>
      <c r="J14" s="0" t="s">
        <v>231</v>
      </c>
      <c r="K14" s="0" t="s">
        <v>160</v>
      </c>
      <c r="M14" s="0" t="s">
        <v>232</v>
      </c>
      <c r="N14" s="0" t="str">
        <f aca="false">RIGHT(M14,LEN(M14)-FIND(" ",M14))</f>
        <v>ADELAIDE AVE SE</v>
      </c>
      <c r="P14" s="0" t="s">
        <v>145</v>
      </c>
      <c r="Q14" s="0" t="s">
        <v>146</v>
      </c>
      <c r="R14" s="0" t="n">
        <v>44484</v>
      </c>
      <c r="AD14" s="0" t="s">
        <v>147</v>
      </c>
      <c r="AE14" s="0" t="s">
        <v>148</v>
      </c>
      <c r="AF14" s="0" t="s">
        <v>149</v>
      </c>
      <c r="AH14" s="0" t="n">
        <v>14</v>
      </c>
      <c r="AI14" s="0" t="n">
        <v>11</v>
      </c>
      <c r="AN14" s="0" t="s">
        <v>145</v>
      </c>
      <c r="AO14" s="0" t="s">
        <v>233</v>
      </c>
      <c r="AP14" s="0" t="s">
        <v>234</v>
      </c>
      <c r="AQ14" s="0" t="n">
        <v>9</v>
      </c>
      <c r="AR14" s="0" t="n">
        <v>64</v>
      </c>
      <c r="AS14" s="0" t="n">
        <v>32</v>
      </c>
      <c r="AU14" s="0" t="n">
        <f aca="false">COUNTA($BA$2285:$EH$2285)</f>
        <v>1</v>
      </c>
      <c r="AV14" s="0" t="n">
        <f aca="false">COUNTIF($BA$2285:$EH$2285,"D")</f>
        <v>0</v>
      </c>
      <c r="AW14" s="0" t="n">
        <f aca="false">COUNTIF($BA$2285:$EH$2285,"R")</f>
        <v>0</v>
      </c>
      <c r="AX14" s="0" t="n">
        <f aca="false">IF(BN14="D",1,0)+IF(BO14="D",1,0)+IF(BT14="D",1,0)+IF(BU14="D",1,0)+IF(BW14="D",1,0)+IF(CC14="D",1,0)+IF(CD14="D",1,0)+IF(CE14="D",1,0)+IF(CF14="D",1,0)+IF(CL14="D",1,0)+IF(CM14="D",1,0)+IF(CQ14="D",1,0)+IF(CR14="D",1,0)+IF(CS14="D",1,0)+IF(CW14="D",1,0)+IF(CX14="D",1,0)+IF(DD14="D",1,0)+IF(DE14="D",1,0)+IF(DJ14="D",1,0)+IF(DK14="D",1,0)+IF(DO14="D",1,0)+IF(DP14="D",1,0)+IF(DQ14="D",1,0)+IF(DW14="D",1,0)+IF(DZ14="D",1,0)+IF(EH14="D",1,0)</f>
        <v>0</v>
      </c>
      <c r="AY14" s="0" t="n">
        <f aca="false">COUNTIF(DU14:EH14, "&lt;&gt;")</f>
        <v>1</v>
      </c>
      <c r="AZ14" s="0" t="n">
        <f aca="false">IF(EH14&lt;&gt;"",1,0)</f>
        <v>0</v>
      </c>
      <c r="BB14" s="0" t="s">
        <v>152</v>
      </c>
      <c r="EF14" s="0" t="s">
        <v>153</v>
      </c>
    </row>
    <row r="15" customFormat="false" ht="13.8" hidden="true" customHeight="false" outlineLevel="0" collapsed="false">
      <c r="A15" s="0" t="s">
        <v>235</v>
      </c>
      <c r="B15" s="0" t="n">
        <v>78</v>
      </c>
      <c r="C15" s="0" t="n">
        <v>402034</v>
      </c>
      <c r="D15" s="0" t="s">
        <v>236</v>
      </c>
      <c r="E15" s="0" t="s">
        <v>237</v>
      </c>
      <c r="F15" s="0" t="str">
        <f aca="false">CONCATENATE(D15," ",LEFT(H15,4),"T=",AU15,"D=",AV15,"R=",AW15,"M=",AX15,"L=",AY15,"B=",AZ15)</f>
        <v>LALLI T=3D=0R=0M=0L=0B=0</v>
      </c>
      <c r="G15" s="0" t="s">
        <v>164</v>
      </c>
      <c r="I15" s="0" t="s">
        <v>238</v>
      </c>
      <c r="J15" s="0" t="s">
        <v>239</v>
      </c>
      <c r="K15" s="0" t="s">
        <v>143</v>
      </c>
      <c r="M15" s="0" t="s">
        <v>232</v>
      </c>
      <c r="N15" s="0" t="str">
        <f aca="false">RIGHT(M15,LEN(M15)-FIND(" ",M15))</f>
        <v>ADELAIDE AVE SE</v>
      </c>
      <c r="P15" s="0" t="s">
        <v>145</v>
      </c>
      <c r="Q15" s="0" t="s">
        <v>146</v>
      </c>
      <c r="R15" s="0" t="n">
        <v>44484</v>
      </c>
      <c r="AD15" s="0" t="s">
        <v>147</v>
      </c>
      <c r="AE15" s="0" t="s">
        <v>148</v>
      </c>
      <c r="AF15" s="0" t="s">
        <v>149</v>
      </c>
      <c r="AH15" s="0" t="n">
        <v>14</v>
      </c>
      <c r="AI15" s="0" t="n">
        <v>11</v>
      </c>
      <c r="AN15" s="0" t="s">
        <v>145</v>
      </c>
      <c r="AO15" s="0" t="s">
        <v>233</v>
      </c>
      <c r="AP15" s="0" t="s">
        <v>234</v>
      </c>
      <c r="AQ15" s="0" t="n">
        <v>9</v>
      </c>
      <c r="AR15" s="0" t="n">
        <v>64</v>
      </c>
      <c r="AS15" s="0" t="n">
        <v>32</v>
      </c>
      <c r="AU15" s="0" t="n">
        <f aca="false">COUNTA($BA$2443:$EH$2443)</f>
        <v>3</v>
      </c>
      <c r="AV15" s="0" t="n">
        <f aca="false">COUNTIF($BA$2443:$EH$2443,"D")</f>
        <v>0</v>
      </c>
      <c r="AW15" s="0" t="n">
        <f aca="false">COUNTIF($BA$2443:$EH$2443,"R")</f>
        <v>0</v>
      </c>
      <c r="AX15" s="0" t="n">
        <f aca="false">IF(BN15="D",1,0)+IF(BO15="D",1,0)+IF(BT15="D",1,0)+IF(BU15="D",1,0)+IF(BW15="D",1,0)+IF(CC15="D",1,0)+IF(CD15="D",1,0)+IF(CE15="D",1,0)+IF(CF15="D",1,0)+IF(CL15="D",1,0)+IF(CM15="D",1,0)+IF(CQ15="D",1,0)+IF(CR15="D",1,0)+IF(CS15="D",1,0)+IF(CW15="D",1,0)+IF(CX15="D",1,0)+IF(DD15="D",1,0)+IF(DE15="D",1,0)+IF(DJ15="D",1,0)+IF(DK15="D",1,0)+IF(DO15="D",1,0)+IF(DP15="D",1,0)+IF(DQ15="D",1,0)+IF(DW15="D",1,0)+IF(DZ15="D",1,0)+IF(EH15="D",1,0)</f>
        <v>0</v>
      </c>
      <c r="AY15" s="0" t="n">
        <f aca="false">COUNTIF(DU15:EH15, "&lt;&gt;")</f>
        <v>0</v>
      </c>
      <c r="AZ15" s="0" t="n">
        <f aca="false">IF(EH15&lt;&gt;"",1,0)</f>
        <v>0</v>
      </c>
      <c r="BB15" s="0" t="s">
        <v>152</v>
      </c>
    </row>
    <row r="16" customFormat="false" ht="13.8" hidden="false" customHeight="false" outlineLevel="0" collapsed="false">
      <c r="A16" s="0" t="s">
        <v>240</v>
      </c>
      <c r="B16" s="0" t="n">
        <v>78</v>
      </c>
      <c r="C16" s="0" t="n">
        <v>151510</v>
      </c>
      <c r="D16" s="0" t="s">
        <v>241</v>
      </c>
      <c r="E16" s="0" t="s">
        <v>242</v>
      </c>
      <c r="F16" s="0" t="str">
        <f aca="false">CONCATENATE(D16," ",LEFT(H16,4),"T=",AU16,"D=",AV16,"R=",AW16,"M=",AX16,"L=",AY16,"B=",AZ16)</f>
        <v>CAPERS T=2D=0R=0M=6L=7B=1</v>
      </c>
      <c r="I16" s="0" t="s">
        <v>243</v>
      </c>
      <c r="J16" s="0" t="s">
        <v>244</v>
      </c>
      <c r="K16" s="0" t="s">
        <v>160</v>
      </c>
      <c r="L16" s="0" t="s">
        <v>175</v>
      </c>
      <c r="M16" s="0" t="s">
        <v>245</v>
      </c>
      <c r="N16" s="0" t="str">
        <f aca="false">RIGHT(M16,LEN(M16)-FIND(" ",M16))</f>
        <v>ADELAIDE AVE SE</v>
      </c>
      <c r="P16" s="0" t="s">
        <v>145</v>
      </c>
      <c r="Q16" s="0" t="s">
        <v>146</v>
      </c>
      <c r="R16" s="0" t="n">
        <v>44483</v>
      </c>
      <c r="AD16" s="0" t="s">
        <v>147</v>
      </c>
      <c r="AE16" s="0" t="s">
        <v>148</v>
      </c>
      <c r="AF16" s="0" t="s">
        <v>149</v>
      </c>
      <c r="AH16" s="0" t="n">
        <v>14</v>
      </c>
      <c r="AI16" s="0" t="n">
        <v>11</v>
      </c>
      <c r="AN16" s="0" t="s">
        <v>145</v>
      </c>
      <c r="AO16" s="0" t="s">
        <v>150</v>
      </c>
      <c r="AP16" s="0" t="s">
        <v>151</v>
      </c>
      <c r="AQ16" s="0" t="n">
        <v>9</v>
      </c>
      <c r="AR16" s="0" t="n">
        <v>64</v>
      </c>
      <c r="AS16" s="0" t="n">
        <v>32</v>
      </c>
      <c r="AU16" s="0" t="n">
        <f aca="false">COUNTA($BA$704:$EH$704)</f>
        <v>2</v>
      </c>
      <c r="AV16" s="0" t="n">
        <f aca="false">COUNTIF($BA$704:$EH$704,"D")</f>
        <v>0</v>
      </c>
      <c r="AW16" s="0" t="n">
        <f aca="false">COUNTIF($BA$704:$EH$704,"R")</f>
        <v>0</v>
      </c>
      <c r="AX16" s="0" t="n">
        <f aca="false">IF(BN16="D",1,0)+IF(BO16="D",1,0)+IF(BT16="D",1,0)+IF(BU16="D",1,0)+IF(BW16="D",1,0)+IF(CC16="D",1,0)+IF(CD16="D",1,0)+IF(CE16="D",1,0)+IF(CF16="D",1,0)+IF(CL16="D",1,0)+IF(CM16="D",1,0)+IF(CQ16="D",1,0)+IF(CR16="D",1,0)+IF(CS16="D",1,0)+IF(CW16="D",1,0)+IF(CX16="D",1,0)+IF(DD16="D",1,0)+IF(DE16="D",1,0)+IF(DJ16="D",1,0)+IF(DK16="D",1,0)+IF(DO16="D",1,0)+IF(DP16="D",1,0)+IF(DQ16="D",1,0)+IF(DW16="D",1,0)+IF(DZ16="D",1,0)+IF(EH16="D",1,0)</f>
        <v>6</v>
      </c>
      <c r="AY16" s="0" t="n">
        <f aca="false">COUNTIF(DU16:EH16, "&lt;&gt;")</f>
        <v>7</v>
      </c>
      <c r="AZ16" s="0" t="n">
        <f aca="false">IF(EH16&lt;&gt;"",1,0)</f>
        <v>1</v>
      </c>
      <c r="BB16" s="0" t="s">
        <v>152</v>
      </c>
      <c r="BC16" s="0" t="s">
        <v>153</v>
      </c>
      <c r="BD16" s="0" t="s">
        <v>153</v>
      </c>
      <c r="BE16" s="0" t="s">
        <v>153</v>
      </c>
      <c r="BH16" s="0" t="s">
        <v>153</v>
      </c>
      <c r="BI16" s="0" t="s">
        <v>153</v>
      </c>
      <c r="BJ16" s="0" t="s">
        <v>153</v>
      </c>
      <c r="BK16" s="0" t="s">
        <v>153</v>
      </c>
      <c r="BL16" s="0" t="s">
        <v>153</v>
      </c>
      <c r="BP16" s="0" t="s">
        <v>153</v>
      </c>
      <c r="BS16" s="0" t="s">
        <v>153</v>
      </c>
      <c r="BV16" s="0" t="s">
        <v>153</v>
      </c>
      <c r="BY16" s="0" t="s">
        <v>175</v>
      </c>
      <c r="CA16" s="0" t="s">
        <v>153</v>
      </c>
      <c r="CG16" s="0" t="s">
        <v>153</v>
      </c>
      <c r="CH16" s="0" t="s">
        <v>175</v>
      </c>
      <c r="CK16" s="0" t="s">
        <v>153</v>
      </c>
      <c r="CL16" s="0" t="s">
        <v>175</v>
      </c>
      <c r="CN16" s="0" t="s">
        <v>153</v>
      </c>
      <c r="CO16" s="0" t="s">
        <v>175</v>
      </c>
      <c r="CP16" s="0" t="s">
        <v>153</v>
      </c>
      <c r="CT16" s="0" t="s">
        <v>153</v>
      </c>
      <c r="CU16" s="0" t="s">
        <v>175</v>
      </c>
      <c r="CV16" s="0" t="s">
        <v>153</v>
      </c>
      <c r="CW16" s="0" t="s">
        <v>175</v>
      </c>
      <c r="CY16" s="0" t="s">
        <v>153</v>
      </c>
      <c r="CZ16" s="0" t="s">
        <v>175</v>
      </c>
      <c r="DC16" s="0" t="s">
        <v>153</v>
      </c>
      <c r="DD16" s="0" t="s">
        <v>175</v>
      </c>
      <c r="DF16" s="0" t="s">
        <v>153</v>
      </c>
      <c r="DG16" s="0" t="s">
        <v>175</v>
      </c>
      <c r="DI16" s="0" t="s">
        <v>153</v>
      </c>
      <c r="DJ16" s="0" t="s">
        <v>175</v>
      </c>
      <c r="DL16" s="0" t="s">
        <v>153</v>
      </c>
      <c r="DM16" s="0" t="s">
        <v>175</v>
      </c>
      <c r="DN16" s="0" t="s">
        <v>153</v>
      </c>
      <c r="DR16" s="0" t="s">
        <v>153</v>
      </c>
      <c r="DS16" s="0" t="s">
        <v>175</v>
      </c>
      <c r="DT16" s="0" t="s">
        <v>175</v>
      </c>
      <c r="DU16" s="0" t="s">
        <v>153</v>
      </c>
      <c r="DW16" s="0" t="s">
        <v>175</v>
      </c>
      <c r="DX16" s="0" t="s">
        <v>153</v>
      </c>
      <c r="EA16" s="0" t="s">
        <v>153</v>
      </c>
      <c r="ED16" s="0" t="s">
        <v>175</v>
      </c>
      <c r="EF16" s="0" t="s">
        <v>153</v>
      </c>
      <c r="EH16" s="0" t="s">
        <v>175</v>
      </c>
    </row>
    <row r="17" customFormat="false" ht="13.8" hidden="true" customHeight="false" outlineLevel="0" collapsed="false">
      <c r="A17" s="0" t="s">
        <v>246</v>
      </c>
      <c r="B17" s="0" t="n">
        <v>78</v>
      </c>
      <c r="C17" s="0" t="n">
        <v>387629</v>
      </c>
      <c r="D17" s="0" t="s">
        <v>247</v>
      </c>
      <c r="E17" s="0" t="s">
        <v>248</v>
      </c>
      <c r="F17" s="0" t="str">
        <f aca="false">CONCATENATE(D17," ",LEFT(H17,4),"T=",AU17,"D=",AV17,"R=",AW17,"M=",AX17,"L=",AY17,"B=",AZ17)</f>
        <v>MERLINO T=14D=4R=0M=1L=0B=0</v>
      </c>
      <c r="G17" s="0" t="s">
        <v>171</v>
      </c>
      <c r="I17" s="0" t="s">
        <v>249</v>
      </c>
      <c r="J17" s="0" t="s">
        <v>250</v>
      </c>
      <c r="K17" s="0" t="s">
        <v>160</v>
      </c>
      <c r="M17" s="0" t="s">
        <v>251</v>
      </c>
      <c r="N17" s="0" t="str">
        <f aca="false">RIGHT(M17,LEN(M17)-FIND(" ",M17))</f>
        <v>ADELAIDE AVE SE</v>
      </c>
      <c r="P17" s="0" t="s">
        <v>145</v>
      </c>
      <c r="Q17" s="0" t="s">
        <v>146</v>
      </c>
      <c r="R17" s="0" t="n">
        <v>44484</v>
      </c>
      <c r="AD17" s="0" t="s">
        <v>147</v>
      </c>
      <c r="AE17" s="0" t="s">
        <v>148</v>
      </c>
      <c r="AF17" s="0" t="s">
        <v>149</v>
      </c>
      <c r="AH17" s="0" t="n">
        <v>14</v>
      </c>
      <c r="AI17" s="0" t="n">
        <v>11</v>
      </c>
      <c r="AN17" s="0" t="s">
        <v>145</v>
      </c>
      <c r="AO17" s="0" t="s">
        <v>233</v>
      </c>
      <c r="AP17" s="0" t="s">
        <v>234</v>
      </c>
      <c r="AQ17" s="0" t="n">
        <v>9</v>
      </c>
      <c r="AR17" s="0" t="n">
        <v>64</v>
      </c>
      <c r="AS17" s="0" t="n">
        <v>32</v>
      </c>
      <c r="AU17" s="0" t="n">
        <f aca="false">COUNTA($BA$2506:$EH$2506)</f>
        <v>14</v>
      </c>
      <c r="AV17" s="0" t="n">
        <f aca="false">COUNTIF($BA$2506:$EH$2506,"D")</f>
        <v>4</v>
      </c>
      <c r="AW17" s="0" t="n">
        <f aca="false">COUNTIF($BA$2506:$EH$2506,"R")</f>
        <v>0</v>
      </c>
      <c r="AX17" s="0" t="n">
        <f aca="false">IF(BN17="D",1,0)+IF(BO17="D",1,0)+IF(BT17="D",1,0)+IF(BU17="D",1,0)+IF(BW17="D",1,0)+IF(CC17="D",1,0)+IF(CD17="D",1,0)+IF(CE17="D",1,0)+IF(CF17="D",1,0)+IF(CL17="D",1,0)+IF(CM17="D",1,0)+IF(CQ17="D",1,0)+IF(CR17="D",1,0)+IF(CS17="D",1,0)+IF(CW17="D",1,0)+IF(CX17="D",1,0)+IF(DD17="D",1,0)+IF(DE17="D",1,0)+IF(DJ17="D",1,0)+IF(DK17="D",1,0)+IF(DO17="D",1,0)+IF(DP17="D",1,0)+IF(DQ17="D",1,0)+IF(DW17="D",1,0)+IF(DZ17="D",1,0)+IF(EH17="D",1,0)</f>
        <v>1</v>
      </c>
      <c r="AY17" s="0" t="n">
        <f aca="false">COUNTIF(DU17:EH17, "&lt;&gt;")</f>
        <v>0</v>
      </c>
      <c r="AZ17" s="0" t="n">
        <f aca="false">IF(EH17&lt;&gt;"",1,0)</f>
        <v>0</v>
      </c>
      <c r="BB17" s="0" t="s">
        <v>152</v>
      </c>
      <c r="CW17" s="0" t="s">
        <v>175</v>
      </c>
      <c r="CY17" s="0" t="s">
        <v>153</v>
      </c>
    </row>
    <row r="18" customFormat="false" ht="13.8" hidden="true" customHeight="false" outlineLevel="0" collapsed="false">
      <c r="A18" s="0" t="s">
        <v>252</v>
      </c>
      <c r="B18" s="0" t="n">
        <v>78</v>
      </c>
      <c r="C18" s="0" t="n">
        <v>417773</v>
      </c>
      <c r="D18" s="0" t="s">
        <v>253</v>
      </c>
      <c r="E18" s="0" t="s">
        <v>254</v>
      </c>
      <c r="F18" s="0" t="str">
        <f aca="false">CONCATENATE(D18," ",LEFT(H18,4),"T=",AU18,"D=",AV18,"R=",AW18,"M=",AX18,"L=",AY18,"B=",AZ18)</f>
        <v>ISENBERG T=1D=0R=0M=0L=0B=0</v>
      </c>
      <c r="G18" s="0" t="s">
        <v>255</v>
      </c>
      <c r="I18" s="0" t="s">
        <v>256</v>
      </c>
      <c r="J18" s="0" t="s">
        <v>257</v>
      </c>
      <c r="K18" s="0" t="s">
        <v>143</v>
      </c>
      <c r="M18" s="0" t="s">
        <v>258</v>
      </c>
      <c r="N18" s="0" t="str">
        <f aca="false">RIGHT(M18,LEN(M18)-FIND(" ",M18))</f>
        <v>ADELAIDE AVE SE</v>
      </c>
      <c r="P18" s="0" t="s">
        <v>145</v>
      </c>
      <c r="Q18" s="0" t="s">
        <v>146</v>
      </c>
      <c r="R18" s="0" t="n">
        <v>44484</v>
      </c>
      <c r="AD18" s="0" t="s">
        <v>147</v>
      </c>
      <c r="AE18" s="0" t="s">
        <v>148</v>
      </c>
      <c r="AF18" s="0" t="s">
        <v>149</v>
      </c>
      <c r="AH18" s="0" t="n">
        <v>14</v>
      </c>
      <c r="AI18" s="0" t="n">
        <v>11</v>
      </c>
      <c r="AN18" s="0" t="s">
        <v>145</v>
      </c>
      <c r="AO18" s="0" t="s">
        <v>233</v>
      </c>
      <c r="AP18" s="0" t="s">
        <v>234</v>
      </c>
      <c r="AQ18" s="0" t="n">
        <v>9</v>
      </c>
      <c r="AR18" s="0" t="n">
        <v>64</v>
      </c>
      <c r="AS18" s="0" t="n">
        <v>32</v>
      </c>
      <c r="AU18" s="0" t="n">
        <f aca="false">COUNTA($BA$2211:$EH$2211)</f>
        <v>1</v>
      </c>
      <c r="AV18" s="0" t="n">
        <f aca="false">COUNTIF($BA$2211:$EH$2211,"D")</f>
        <v>0</v>
      </c>
      <c r="AW18" s="0" t="n">
        <f aca="false">COUNTIF($BA$2211:$EH$2211,"R")</f>
        <v>0</v>
      </c>
      <c r="AX18" s="0" t="n">
        <f aca="false">IF(BN18="D",1,0)+IF(BO18="D",1,0)+IF(BT18="D",1,0)+IF(BU18="D",1,0)+IF(BW18="D",1,0)+IF(CC18="D",1,0)+IF(CD18="D",1,0)+IF(CE18="D",1,0)+IF(CF18="D",1,0)+IF(CL18="D",1,0)+IF(CM18="D",1,0)+IF(CQ18="D",1,0)+IF(CR18="D",1,0)+IF(CS18="D",1,0)+IF(CW18="D",1,0)+IF(CX18="D",1,0)+IF(DD18="D",1,0)+IF(DE18="D",1,0)+IF(DJ18="D",1,0)+IF(DK18="D",1,0)+IF(DO18="D",1,0)+IF(DP18="D",1,0)+IF(DQ18="D",1,0)+IF(DW18="D",1,0)+IF(DZ18="D",1,0)+IF(EH18="D",1,0)</f>
        <v>0</v>
      </c>
      <c r="AY18" s="0" t="n">
        <f aca="false">COUNTIF(DU18:EH18, "&lt;&gt;")</f>
        <v>0</v>
      </c>
      <c r="AZ18" s="0" t="n">
        <f aca="false">IF(EH18&lt;&gt;"",1,0)</f>
        <v>0</v>
      </c>
      <c r="BB18" s="0" t="s">
        <v>152</v>
      </c>
    </row>
    <row r="19" customFormat="false" ht="13.8" hidden="true" customHeight="false" outlineLevel="0" collapsed="false">
      <c r="A19" s="0" t="s">
        <v>259</v>
      </c>
      <c r="B19" s="0" t="n">
        <v>78</v>
      </c>
      <c r="C19" s="0" t="n">
        <v>444453</v>
      </c>
      <c r="D19" s="0" t="s">
        <v>260</v>
      </c>
      <c r="E19" s="0" t="s">
        <v>261</v>
      </c>
      <c r="F19" s="0" t="str">
        <f aca="false">CONCATENATE(D19," ",LEFT(H19,4),"T=",AU19,"D=",AV19,"R=",AW19,"M=",AX19,"L=",AY19,"B=",AZ19)</f>
        <v>GROSCOPE T=6D=0R=0M=0L=0B=0</v>
      </c>
      <c r="G19" s="0" t="s">
        <v>262</v>
      </c>
      <c r="I19" s="0" t="s">
        <v>263</v>
      </c>
      <c r="J19" s="0" t="s">
        <v>264</v>
      </c>
      <c r="K19" s="0" t="s">
        <v>143</v>
      </c>
      <c r="M19" s="0" t="s">
        <v>258</v>
      </c>
      <c r="N19" s="0" t="str">
        <f aca="false">RIGHT(M19,LEN(M19)-FIND(" ",M19))</f>
        <v>ADELAIDE AVE SE</v>
      </c>
      <c r="P19" s="0" t="s">
        <v>145</v>
      </c>
      <c r="Q19" s="0" t="s">
        <v>146</v>
      </c>
      <c r="R19" s="0" t="n">
        <v>44484</v>
      </c>
      <c r="AD19" s="0" t="s">
        <v>147</v>
      </c>
      <c r="AE19" s="0" t="s">
        <v>148</v>
      </c>
      <c r="AF19" s="0" t="s">
        <v>149</v>
      </c>
      <c r="AH19" s="0" t="n">
        <v>14</v>
      </c>
      <c r="AI19" s="0" t="n">
        <v>11</v>
      </c>
      <c r="AN19" s="0" t="s">
        <v>145</v>
      </c>
      <c r="AO19" s="0" t="s">
        <v>233</v>
      </c>
      <c r="AP19" s="0" t="s">
        <v>234</v>
      </c>
      <c r="AQ19" s="0" t="n">
        <v>9</v>
      </c>
      <c r="AR19" s="0" t="n">
        <v>64</v>
      </c>
      <c r="AS19" s="0" t="n">
        <v>32</v>
      </c>
      <c r="AU19" s="0" t="n">
        <f aca="false">COUNTA($BA$2428:$EH$2428)</f>
        <v>6</v>
      </c>
      <c r="AV19" s="0" t="n">
        <f aca="false">COUNTIF($BA$2428:$EH$2428,"D")</f>
        <v>0</v>
      </c>
      <c r="AW19" s="0" t="n">
        <f aca="false">COUNTIF($BA$2428:$EH$2428,"R")</f>
        <v>0</v>
      </c>
      <c r="AX19" s="0" t="n">
        <f aca="false">IF(BN19="D",1,0)+IF(BO19="D",1,0)+IF(BT19="D",1,0)+IF(BU19="D",1,0)+IF(BW19="D",1,0)+IF(CC19="D",1,0)+IF(CD19="D",1,0)+IF(CE19="D",1,0)+IF(CF19="D",1,0)+IF(CL19="D",1,0)+IF(CM19="D",1,0)+IF(CQ19="D",1,0)+IF(CR19="D",1,0)+IF(CS19="D",1,0)+IF(CW19="D",1,0)+IF(CX19="D",1,0)+IF(DD19="D",1,0)+IF(DE19="D",1,0)+IF(DJ19="D",1,0)+IF(DK19="D",1,0)+IF(DO19="D",1,0)+IF(DP19="D",1,0)+IF(DQ19="D",1,0)+IF(DW19="D",1,0)+IF(DZ19="D",1,0)+IF(EH19="D",1,0)</f>
        <v>0</v>
      </c>
      <c r="AY19" s="0" t="n">
        <f aca="false">COUNTIF(DU19:EH19, "&lt;&gt;")</f>
        <v>0</v>
      </c>
      <c r="AZ19" s="0" t="n">
        <f aca="false">IF(EH19&lt;&gt;"",1,0)</f>
        <v>0</v>
      </c>
      <c r="BB19" s="0" t="s">
        <v>152</v>
      </c>
      <c r="CP19" s="0" t="s">
        <v>153</v>
      </c>
    </row>
    <row r="20" customFormat="false" ht="13.8" hidden="false" customHeight="false" outlineLevel="0" collapsed="false">
      <c r="A20" s="0" t="s">
        <v>265</v>
      </c>
      <c r="B20" s="0" t="n">
        <v>78</v>
      </c>
      <c r="C20" s="0" t="n">
        <v>450918</v>
      </c>
      <c r="D20" s="0" t="s">
        <v>266</v>
      </c>
      <c r="E20" s="0" t="s">
        <v>267</v>
      </c>
      <c r="F20" s="0" t="str">
        <f aca="false">CONCATENATE(D20," ",LEFT(H20,4),"T=",AU20,"D=",AV20,"R=",AW20,"M=",AX20,"L=",AY20,"B=",AZ20)</f>
        <v>MASIKA T=2D=0R=0M=0L=4B=0</v>
      </c>
      <c r="G20" s="0" t="s">
        <v>268</v>
      </c>
      <c r="I20" s="0" t="s">
        <v>269</v>
      </c>
      <c r="J20" s="0" t="s">
        <v>270</v>
      </c>
      <c r="K20" s="0" t="s">
        <v>160</v>
      </c>
      <c r="L20" s="0" t="s">
        <v>209</v>
      </c>
      <c r="M20" s="0" t="s">
        <v>271</v>
      </c>
      <c r="N20" s="0" t="str">
        <f aca="false">RIGHT(M20,LEN(M20)-FIND(" ",M20))</f>
        <v>ADELAIDE AVE SE</v>
      </c>
      <c r="P20" s="0" t="s">
        <v>145</v>
      </c>
      <c r="Q20" s="0" t="s">
        <v>146</v>
      </c>
      <c r="R20" s="0" t="n">
        <v>44484</v>
      </c>
      <c r="AD20" s="0" t="s">
        <v>147</v>
      </c>
      <c r="AE20" s="0" t="s">
        <v>148</v>
      </c>
      <c r="AF20" s="0" t="s">
        <v>149</v>
      </c>
      <c r="AH20" s="0" t="n">
        <v>14</v>
      </c>
      <c r="AI20" s="0" t="n">
        <v>11</v>
      </c>
      <c r="AN20" s="0" t="s">
        <v>145</v>
      </c>
      <c r="AO20" s="0" t="s">
        <v>233</v>
      </c>
      <c r="AP20" s="0" t="s">
        <v>234</v>
      </c>
      <c r="AQ20" s="0" t="n">
        <v>9</v>
      </c>
      <c r="AR20" s="0" t="n">
        <v>64</v>
      </c>
      <c r="AS20" s="0" t="n">
        <v>32</v>
      </c>
      <c r="AU20" s="0" t="n">
        <f aca="false">COUNTA($BA$2089:$EH$2089)</f>
        <v>2</v>
      </c>
      <c r="AV20" s="0" t="n">
        <f aca="false">COUNTIF($BA$2089:$EH$2089,"D")</f>
        <v>0</v>
      </c>
      <c r="AW20" s="0" t="n">
        <f aca="false">COUNTIF($BA$2089:$EH$2089,"R")</f>
        <v>0</v>
      </c>
      <c r="AX20" s="0" t="n">
        <f aca="false">IF(BN20="D",1,0)+IF(BO20="D",1,0)+IF(BT20="D",1,0)+IF(BU20="D",1,0)+IF(BW20="D",1,0)+IF(CC20="D",1,0)+IF(CD20="D",1,0)+IF(CE20="D",1,0)+IF(CF20="D",1,0)+IF(CL20="D",1,0)+IF(CM20="D",1,0)+IF(CQ20="D",1,0)+IF(CR20="D",1,0)+IF(CS20="D",1,0)+IF(CW20="D",1,0)+IF(CX20="D",1,0)+IF(DD20="D",1,0)+IF(DE20="D",1,0)+IF(DJ20="D",1,0)+IF(DK20="D",1,0)+IF(DO20="D",1,0)+IF(DP20="D",1,0)+IF(DQ20="D",1,0)+IF(DW20="D",1,0)+IF(DZ20="D",1,0)+IF(EH20="D",1,0)</f>
        <v>0</v>
      </c>
      <c r="AY20" s="0" t="n">
        <f aca="false">COUNTIF(DU20:EH20, "&lt;&gt;")</f>
        <v>4</v>
      </c>
      <c r="AZ20" s="0" t="n">
        <f aca="false">IF(EH20&lt;&gt;"",1,0)</f>
        <v>0</v>
      </c>
      <c r="BB20" s="0" t="s">
        <v>152</v>
      </c>
      <c r="DN20" s="0" t="s">
        <v>153</v>
      </c>
      <c r="DU20" s="0" t="s">
        <v>153</v>
      </c>
      <c r="DX20" s="0" t="s">
        <v>153</v>
      </c>
      <c r="ED20" s="0" t="s">
        <v>209</v>
      </c>
      <c r="EF20" s="0" t="s">
        <v>153</v>
      </c>
    </row>
    <row r="21" customFormat="false" ht="13.8" hidden="true" customHeight="false" outlineLevel="0" collapsed="false">
      <c r="A21" s="0" t="s">
        <v>272</v>
      </c>
      <c r="B21" s="0" t="n">
        <v>78</v>
      </c>
      <c r="C21" s="0" t="n">
        <v>455568</v>
      </c>
      <c r="D21" s="0" t="s">
        <v>273</v>
      </c>
      <c r="E21" s="0" t="s">
        <v>274</v>
      </c>
      <c r="F21" s="0" t="str">
        <f aca="false">CONCATENATE(D21," ",LEFT(H21,4),"T=",AU21,"D=",AV21,"R=",AW21,"M=",AX21,"L=",AY21,"B=",AZ21)</f>
        <v>PHILLIPS T=6D=2R=0M=0L=0B=0</v>
      </c>
      <c r="G21" s="0" t="s">
        <v>275</v>
      </c>
      <c r="I21" s="0" t="s">
        <v>276</v>
      </c>
      <c r="J21" s="0" t="s">
        <v>277</v>
      </c>
      <c r="K21" s="0" t="s">
        <v>143</v>
      </c>
      <c r="M21" s="0" t="s">
        <v>278</v>
      </c>
      <c r="N21" s="0" t="str">
        <f aca="false">RIGHT(M21,LEN(M21)-FIND(" ",M21))</f>
        <v>ADELAIDE AVE SE</v>
      </c>
      <c r="P21" s="0" t="s">
        <v>145</v>
      </c>
      <c r="Q21" s="0" t="s">
        <v>146</v>
      </c>
      <c r="R21" s="0" t="n">
        <v>44484</v>
      </c>
      <c r="AD21" s="0" t="s">
        <v>147</v>
      </c>
      <c r="AE21" s="0" t="s">
        <v>148</v>
      </c>
      <c r="AF21" s="0" t="s">
        <v>149</v>
      </c>
      <c r="AH21" s="0" t="n">
        <v>14</v>
      </c>
      <c r="AI21" s="0" t="n">
        <v>11</v>
      </c>
      <c r="AN21" s="0" t="s">
        <v>145</v>
      </c>
      <c r="AO21" s="0" t="s">
        <v>233</v>
      </c>
      <c r="AP21" s="0" t="s">
        <v>234</v>
      </c>
      <c r="AQ21" s="0" t="n">
        <v>9</v>
      </c>
      <c r="AR21" s="0" t="n">
        <v>64</v>
      </c>
      <c r="AS21" s="0" t="n">
        <v>32</v>
      </c>
      <c r="AU21" s="0" t="n">
        <f aca="false">COUNTA($BA$2265:$EH$2265)</f>
        <v>6</v>
      </c>
      <c r="AV21" s="0" t="n">
        <f aca="false">COUNTIF($BA$2265:$EH$2265,"D")</f>
        <v>2</v>
      </c>
      <c r="AW21" s="0" t="n">
        <f aca="false">COUNTIF($BA$2265:$EH$2265,"R")</f>
        <v>0</v>
      </c>
      <c r="AX21" s="0" t="n">
        <f aca="false">IF(BN21="D",1,0)+IF(BO21="D",1,0)+IF(BT21="D",1,0)+IF(BU21="D",1,0)+IF(BW21="D",1,0)+IF(CC21="D",1,0)+IF(CD21="D",1,0)+IF(CE21="D",1,0)+IF(CF21="D",1,0)+IF(CL21="D",1,0)+IF(CM21="D",1,0)+IF(CQ21="D",1,0)+IF(CR21="D",1,0)+IF(CS21="D",1,0)+IF(CW21="D",1,0)+IF(CX21="D",1,0)+IF(DD21="D",1,0)+IF(DE21="D",1,0)+IF(DJ21="D",1,0)+IF(DK21="D",1,0)+IF(DO21="D",1,0)+IF(DP21="D",1,0)+IF(DQ21="D",1,0)+IF(DW21="D",1,0)+IF(DZ21="D",1,0)+IF(EH21="D",1,0)</f>
        <v>0</v>
      </c>
      <c r="AY21" s="0" t="n">
        <f aca="false">COUNTIF(DU21:EH21, "&lt;&gt;")</f>
        <v>0</v>
      </c>
      <c r="AZ21" s="0" t="n">
        <f aca="false">IF(EH21&lt;&gt;"",1,0)</f>
        <v>0</v>
      </c>
      <c r="BB21" s="0" t="s">
        <v>152</v>
      </c>
    </row>
    <row r="22" customFormat="false" ht="13.8" hidden="true" customHeight="false" outlineLevel="0" collapsed="false">
      <c r="A22" s="0" t="s">
        <v>279</v>
      </c>
      <c r="B22" s="0" t="n">
        <v>78</v>
      </c>
      <c r="C22" s="0" t="n">
        <v>488556</v>
      </c>
      <c r="D22" s="0" t="s">
        <v>280</v>
      </c>
      <c r="E22" s="0" t="s">
        <v>281</v>
      </c>
      <c r="F22" s="0" t="str">
        <f aca="false">CONCATENATE(D22," ",LEFT(H22,4),"T=",AU22,"D=",AV22,"R=",AW22,"M=",AX22,"L=",AY22,"B=",AZ22)</f>
        <v>IVERY T=1D=0R=0M=0L=1B=0</v>
      </c>
      <c r="G22" s="0" t="s">
        <v>190</v>
      </c>
      <c r="I22" s="0" t="s">
        <v>282</v>
      </c>
      <c r="J22" s="0" t="s">
        <v>283</v>
      </c>
      <c r="K22" s="0" t="s">
        <v>160</v>
      </c>
      <c r="M22" s="0" t="s">
        <v>284</v>
      </c>
      <c r="N22" s="0" t="str">
        <f aca="false">RIGHT(M22,LEN(M22)-FIND(" ",M22))</f>
        <v>ADELAIDE AVE SE</v>
      </c>
      <c r="P22" s="0" t="s">
        <v>145</v>
      </c>
      <c r="Q22" s="0" t="s">
        <v>146</v>
      </c>
      <c r="R22" s="0" t="n">
        <v>44484</v>
      </c>
      <c r="AD22" s="0" t="s">
        <v>147</v>
      </c>
      <c r="AE22" s="0" t="s">
        <v>148</v>
      </c>
      <c r="AF22" s="0" t="s">
        <v>149</v>
      </c>
      <c r="AH22" s="0" t="n">
        <v>14</v>
      </c>
      <c r="AI22" s="0" t="n">
        <v>11</v>
      </c>
      <c r="AN22" s="0" t="s">
        <v>145</v>
      </c>
      <c r="AO22" s="0" t="s">
        <v>233</v>
      </c>
      <c r="AP22" s="0" t="s">
        <v>234</v>
      </c>
      <c r="AQ22" s="0" t="n">
        <v>9</v>
      </c>
      <c r="AR22" s="0" t="n">
        <v>64</v>
      </c>
      <c r="AS22" s="0" t="n">
        <v>32</v>
      </c>
      <c r="AU22" s="0" t="n">
        <f aca="false">COUNTA($BA$2101:$EH$2101)</f>
        <v>1</v>
      </c>
      <c r="AV22" s="0" t="n">
        <f aca="false">COUNTIF($BA$2101:$EH$2101,"D")</f>
        <v>0</v>
      </c>
      <c r="AW22" s="0" t="n">
        <f aca="false">COUNTIF($BA$2101:$EH$2101,"R")</f>
        <v>0</v>
      </c>
      <c r="AX22" s="0" t="n">
        <f aca="false">IF(BN22="D",1,0)+IF(BO22="D",1,0)+IF(BT22="D",1,0)+IF(BU22="D",1,0)+IF(BW22="D",1,0)+IF(CC22="D",1,0)+IF(CD22="D",1,0)+IF(CE22="D",1,0)+IF(CF22="D",1,0)+IF(CL22="D",1,0)+IF(CM22="D",1,0)+IF(CQ22="D",1,0)+IF(CR22="D",1,0)+IF(CS22="D",1,0)+IF(CW22="D",1,0)+IF(CX22="D",1,0)+IF(DD22="D",1,0)+IF(DE22="D",1,0)+IF(DJ22="D",1,0)+IF(DK22="D",1,0)+IF(DO22="D",1,0)+IF(DP22="D",1,0)+IF(DQ22="D",1,0)+IF(DW22="D",1,0)+IF(DZ22="D",1,0)+IF(EH22="D",1,0)</f>
        <v>0</v>
      </c>
      <c r="AY22" s="0" t="n">
        <f aca="false">COUNTIF(DU22:EH22, "&lt;&gt;")</f>
        <v>1</v>
      </c>
      <c r="AZ22" s="0" t="n">
        <f aca="false">IF(EH22&lt;&gt;"",1,0)</f>
        <v>0</v>
      </c>
      <c r="BB22" s="0" t="s">
        <v>152</v>
      </c>
      <c r="EF22" s="0" t="s">
        <v>153</v>
      </c>
    </row>
    <row r="23" customFormat="false" ht="13.8" hidden="true" customHeight="false" outlineLevel="0" collapsed="false">
      <c r="A23" s="0" t="s">
        <v>285</v>
      </c>
      <c r="B23" s="0" t="n">
        <v>78</v>
      </c>
      <c r="C23" s="0" t="n">
        <v>318147</v>
      </c>
      <c r="D23" s="0" t="s">
        <v>286</v>
      </c>
      <c r="E23" s="0" t="s">
        <v>287</v>
      </c>
      <c r="F23" s="0" t="str">
        <f aca="false">CONCATENATE(D23," ",LEFT(H23,4),"T=",AU23,"D=",AV23,"R=",AW23,"M=",AX23,"L=",AY23,"B=",AZ23)</f>
        <v>HIGGINS T=13D=1R=0M=0L=0B=0</v>
      </c>
      <c r="G23" s="0" t="s">
        <v>195</v>
      </c>
      <c r="I23" s="0" t="s">
        <v>288</v>
      </c>
      <c r="J23" s="0" t="s">
        <v>289</v>
      </c>
      <c r="K23" s="0" t="s">
        <v>143</v>
      </c>
      <c r="M23" s="0" t="s">
        <v>284</v>
      </c>
      <c r="N23" s="0" t="str">
        <f aca="false">RIGHT(M23,LEN(M23)-FIND(" ",M23))</f>
        <v>ADELAIDE AVE SE</v>
      </c>
      <c r="P23" s="0" t="s">
        <v>145</v>
      </c>
      <c r="Q23" s="0" t="s">
        <v>146</v>
      </c>
      <c r="R23" s="0" t="n">
        <v>44484</v>
      </c>
      <c r="AD23" s="0" t="s">
        <v>147</v>
      </c>
      <c r="AE23" s="0" t="s">
        <v>148</v>
      </c>
      <c r="AF23" s="0" t="s">
        <v>149</v>
      </c>
      <c r="AH23" s="0" t="n">
        <v>14</v>
      </c>
      <c r="AI23" s="0" t="n">
        <v>11</v>
      </c>
      <c r="AN23" s="0" t="s">
        <v>145</v>
      </c>
      <c r="AO23" s="0" t="s">
        <v>233</v>
      </c>
      <c r="AP23" s="0" t="s">
        <v>234</v>
      </c>
      <c r="AQ23" s="0" t="n">
        <v>9</v>
      </c>
      <c r="AR23" s="0" t="n">
        <v>64</v>
      </c>
      <c r="AS23" s="0" t="n">
        <v>32</v>
      </c>
      <c r="AU23" s="0" t="n">
        <f aca="false">COUNTA($BA$2137:$EH$2137)</f>
        <v>13</v>
      </c>
      <c r="AV23" s="0" t="n">
        <f aca="false">COUNTIF($BA$2137:$EH$2137,"D")</f>
        <v>1</v>
      </c>
      <c r="AW23" s="0" t="n">
        <f aca="false">COUNTIF($BA$2137:$EH$2137,"R")</f>
        <v>0</v>
      </c>
      <c r="AX23" s="0" t="n">
        <f aca="false">IF(BN23="D",1,0)+IF(BO23="D",1,0)+IF(BT23="D",1,0)+IF(BU23="D",1,0)+IF(BW23="D",1,0)+IF(CC23="D",1,0)+IF(CD23="D",1,0)+IF(CE23="D",1,0)+IF(CF23="D",1,0)+IF(CL23="D",1,0)+IF(CM23="D",1,0)+IF(CQ23="D",1,0)+IF(CR23="D",1,0)+IF(CS23="D",1,0)+IF(CW23="D",1,0)+IF(CX23="D",1,0)+IF(DD23="D",1,0)+IF(DE23="D",1,0)+IF(DJ23="D",1,0)+IF(DK23="D",1,0)+IF(DO23="D",1,0)+IF(DP23="D",1,0)+IF(DQ23="D",1,0)+IF(DW23="D",1,0)+IF(DZ23="D",1,0)+IF(EH23="D",1,0)</f>
        <v>0</v>
      </c>
      <c r="AY23" s="0" t="n">
        <f aca="false">COUNTIF(DU23:EH23, "&lt;&gt;")</f>
        <v>0</v>
      </c>
      <c r="AZ23" s="0" t="n">
        <f aca="false">IF(EH23&lt;&gt;"",1,0)</f>
        <v>0</v>
      </c>
      <c r="BB23" s="0" t="s">
        <v>152</v>
      </c>
      <c r="BL23" s="0" t="s">
        <v>153</v>
      </c>
      <c r="BS23" s="0" t="s">
        <v>153</v>
      </c>
      <c r="BY23" s="0" t="s">
        <v>175</v>
      </c>
      <c r="CA23" s="0" t="s">
        <v>153</v>
      </c>
    </row>
    <row r="24" customFormat="false" ht="13.8" hidden="true" customHeight="false" outlineLevel="0" collapsed="false">
      <c r="A24" s="0" t="s">
        <v>290</v>
      </c>
      <c r="B24" s="0" t="n">
        <v>78</v>
      </c>
      <c r="C24" s="0" t="n">
        <v>495907</v>
      </c>
      <c r="D24" s="0" t="s">
        <v>291</v>
      </c>
      <c r="E24" s="0" t="s">
        <v>292</v>
      </c>
      <c r="F24" s="0" t="str">
        <f aca="false">CONCATENATE(D24," ",LEFT(H24,4),"T=",AU24,"D=",AV24,"R=",AW24,"M=",AX24,"L=",AY24,"B=",AZ24)</f>
        <v>VIGORITO T=39D=3R=7M=0L=0B=0</v>
      </c>
      <c r="G24" s="0" t="s">
        <v>293</v>
      </c>
      <c r="I24" s="0" t="s">
        <v>294</v>
      </c>
      <c r="J24" s="0" t="s">
        <v>295</v>
      </c>
      <c r="K24" s="0" t="s">
        <v>160</v>
      </c>
      <c r="M24" s="0" t="s">
        <v>296</v>
      </c>
      <c r="N24" s="0" t="str">
        <f aca="false">RIGHT(M24,LEN(M24)-FIND(" ",M24))</f>
        <v>ADELAIDE AVE SE</v>
      </c>
      <c r="O24" s="0" t="s">
        <v>297</v>
      </c>
      <c r="P24" s="0" t="s">
        <v>145</v>
      </c>
      <c r="Q24" s="0" t="s">
        <v>146</v>
      </c>
      <c r="R24" s="0" t="n">
        <v>44483</v>
      </c>
      <c r="AD24" s="0" t="s">
        <v>147</v>
      </c>
      <c r="AE24" s="0" t="s">
        <v>148</v>
      </c>
      <c r="AF24" s="0" t="s">
        <v>149</v>
      </c>
      <c r="AH24" s="0" t="n">
        <v>14</v>
      </c>
      <c r="AI24" s="0" t="n">
        <v>11</v>
      </c>
      <c r="AN24" s="0" t="s">
        <v>145</v>
      </c>
      <c r="AO24" s="0" t="s">
        <v>150</v>
      </c>
      <c r="AP24" s="0" t="s">
        <v>151</v>
      </c>
      <c r="AQ24" s="0" t="n">
        <v>9</v>
      </c>
      <c r="AR24" s="0" t="n">
        <v>64</v>
      </c>
      <c r="AS24" s="0" t="n">
        <v>32</v>
      </c>
      <c r="AU24" s="0" t="n">
        <f aca="false">COUNTA($BA$58:$EH$58)</f>
        <v>39</v>
      </c>
      <c r="AV24" s="0" t="n">
        <f aca="false">COUNTIF($BA$58:$EH$58,"D")</f>
        <v>3</v>
      </c>
      <c r="AW24" s="0" t="n">
        <f aca="false">COUNTIF($BA$58:$EH$58,"R")</f>
        <v>7</v>
      </c>
      <c r="AX24" s="0" t="n">
        <f aca="false">IF(BN24="D",1,0)+IF(BO24="D",1,0)+IF(BT24="D",1,0)+IF(BU24="D",1,0)+IF(BW24="D",1,0)+IF(CC24="D",1,0)+IF(CD24="D",1,0)+IF(CE24="D",1,0)+IF(CF24="D",1,0)+IF(CL24="D",1,0)+IF(CM24="D",1,0)+IF(CQ24="D",1,0)+IF(CR24="D",1,0)+IF(CS24="D",1,0)+IF(CW24="D",1,0)+IF(CX24="D",1,0)+IF(DD24="D",1,0)+IF(DE24="D",1,0)+IF(DJ24="D",1,0)+IF(DK24="D",1,0)+IF(DO24="D",1,0)+IF(DP24="D",1,0)+IF(DQ24="D",1,0)+IF(DW24="D",1,0)+IF(DZ24="D",1,0)+IF(EH24="D",1,0)</f>
        <v>0</v>
      </c>
      <c r="AY24" s="0" t="n">
        <f aca="false">COUNTIF(DU24:EH24, "&lt;&gt;")</f>
        <v>0</v>
      </c>
      <c r="AZ24" s="0" t="n">
        <f aca="false">IF(EH24&lt;&gt;"",1,0)</f>
        <v>0</v>
      </c>
      <c r="BB24" s="0" t="s">
        <v>152</v>
      </c>
    </row>
    <row r="25" customFormat="false" ht="13.8" hidden="true" customHeight="false" outlineLevel="0" collapsed="false">
      <c r="A25" s="0" t="s">
        <v>298</v>
      </c>
      <c r="B25" s="0" t="n">
        <v>78</v>
      </c>
      <c r="C25" s="0" t="n">
        <v>365436</v>
      </c>
      <c r="D25" s="0" t="s">
        <v>299</v>
      </c>
      <c r="E25" s="0" t="s">
        <v>300</v>
      </c>
      <c r="F25" s="0" t="str">
        <f aca="false">CONCATENATE(D25," ",LEFT(H25,4),"T=",AU25,"D=",AV25,"R=",AW25,"M=",AX25,"L=",AY25,"B=",AZ25)</f>
        <v>SUMMERLIN T=1D=0R=0M=0L=0B=0</v>
      </c>
      <c r="G25" s="0" t="s">
        <v>190</v>
      </c>
      <c r="I25" s="0" t="s">
        <v>301</v>
      </c>
      <c r="J25" s="0" t="s">
        <v>302</v>
      </c>
      <c r="K25" s="0" t="s">
        <v>160</v>
      </c>
      <c r="M25" s="0" t="s">
        <v>303</v>
      </c>
      <c r="N25" s="0" t="str">
        <f aca="false">RIGHT(M25,LEN(M25)-FIND(" ",M25))</f>
        <v>ADELAIDE AVE SE</v>
      </c>
      <c r="P25" s="0" t="s">
        <v>145</v>
      </c>
      <c r="Q25" s="0" t="s">
        <v>146</v>
      </c>
      <c r="R25" s="0" t="n">
        <v>44484</v>
      </c>
      <c r="AD25" s="0" t="s">
        <v>147</v>
      </c>
      <c r="AE25" s="0" t="s">
        <v>148</v>
      </c>
      <c r="AF25" s="0" t="s">
        <v>149</v>
      </c>
      <c r="AH25" s="0" t="n">
        <v>14</v>
      </c>
      <c r="AI25" s="0" t="n">
        <v>11</v>
      </c>
      <c r="AN25" s="0" t="s">
        <v>145</v>
      </c>
      <c r="AO25" s="0" t="s">
        <v>233</v>
      </c>
      <c r="AP25" s="0" t="s">
        <v>234</v>
      </c>
      <c r="AQ25" s="0" t="n">
        <v>9</v>
      </c>
      <c r="AR25" s="0" t="n">
        <v>64</v>
      </c>
      <c r="AS25" s="0" t="n">
        <v>32</v>
      </c>
      <c r="AU25" s="0" t="n">
        <f aca="false">COUNTA($BA$2342:$EH$2342)</f>
        <v>1</v>
      </c>
      <c r="AV25" s="0" t="n">
        <f aca="false">COUNTIF($BA$2342:$EH$2342,"D")</f>
        <v>0</v>
      </c>
      <c r="AW25" s="0" t="n">
        <f aca="false">COUNTIF($BA$2342:$EH$2342,"R")</f>
        <v>0</v>
      </c>
      <c r="AX25" s="0" t="n">
        <f aca="false">IF(BN25="D",1,0)+IF(BO25="D",1,0)+IF(BT25="D",1,0)+IF(BU25="D",1,0)+IF(BW25="D",1,0)+IF(CC25="D",1,0)+IF(CD25="D",1,0)+IF(CE25="D",1,0)+IF(CF25="D",1,0)+IF(CL25="D",1,0)+IF(CM25="D",1,0)+IF(CQ25="D",1,0)+IF(CR25="D",1,0)+IF(CS25="D",1,0)+IF(CW25="D",1,0)+IF(CX25="D",1,0)+IF(DD25="D",1,0)+IF(DE25="D",1,0)+IF(DJ25="D",1,0)+IF(DK25="D",1,0)+IF(DO25="D",1,0)+IF(DP25="D",1,0)+IF(DQ25="D",1,0)+IF(DW25="D",1,0)+IF(DZ25="D",1,0)+IF(EH25="D",1,0)</f>
        <v>0</v>
      </c>
      <c r="AY25" s="0" t="n">
        <f aca="false">COUNTIF(DU25:EH25, "&lt;&gt;")</f>
        <v>0</v>
      </c>
      <c r="AZ25" s="0" t="n">
        <f aca="false">IF(EH25&lt;&gt;"",1,0)</f>
        <v>0</v>
      </c>
      <c r="BB25" s="0" t="s">
        <v>152</v>
      </c>
    </row>
    <row r="26" customFormat="false" ht="13.8" hidden="false" customHeight="false" outlineLevel="0" collapsed="false">
      <c r="A26" s="0" t="s">
        <v>304</v>
      </c>
      <c r="B26" s="0" t="n">
        <v>78</v>
      </c>
      <c r="C26" s="0" t="n">
        <v>312117</v>
      </c>
      <c r="D26" s="0" t="s">
        <v>305</v>
      </c>
      <c r="E26" s="0" t="s">
        <v>306</v>
      </c>
      <c r="F26" s="0" t="str">
        <f aca="false">CONCATENATE(D26," ",LEFT(H26,4),"T=",AU26,"D=",AV26,"R=",AW26,"M=",AX26,"L=",AY26,"B=",AZ26)</f>
        <v>BRYANT CULLINS T=13D=1R=0M=1L=5B=0</v>
      </c>
      <c r="G26" s="0" t="s">
        <v>307</v>
      </c>
      <c r="I26" s="0" t="s">
        <v>308</v>
      </c>
      <c r="J26" s="0" t="s">
        <v>309</v>
      </c>
      <c r="K26" s="0" t="s">
        <v>160</v>
      </c>
      <c r="L26" s="0" t="s">
        <v>175</v>
      </c>
      <c r="M26" s="0" t="s">
        <v>310</v>
      </c>
      <c r="N26" s="0" t="str">
        <f aca="false">RIGHT(M26,LEN(M26)-FIND(" ",M26))</f>
        <v>ADELAIDE AVE SE</v>
      </c>
      <c r="P26" s="0" t="s">
        <v>145</v>
      </c>
      <c r="Q26" s="0" t="s">
        <v>146</v>
      </c>
      <c r="R26" s="0" t="n">
        <v>44484</v>
      </c>
      <c r="AD26" s="0" t="s">
        <v>147</v>
      </c>
      <c r="AE26" s="0" t="s">
        <v>148</v>
      </c>
      <c r="AF26" s="0" t="s">
        <v>149</v>
      </c>
      <c r="AH26" s="0" t="n">
        <v>14</v>
      </c>
      <c r="AI26" s="0" t="n">
        <v>11</v>
      </c>
      <c r="AN26" s="0" t="s">
        <v>145</v>
      </c>
      <c r="AO26" s="0" t="s">
        <v>233</v>
      </c>
      <c r="AP26" s="0" t="s">
        <v>234</v>
      </c>
      <c r="AQ26" s="0" t="n">
        <v>9</v>
      </c>
      <c r="AR26" s="0" t="n">
        <v>64</v>
      </c>
      <c r="AS26" s="0" t="n">
        <v>32</v>
      </c>
      <c r="AU26" s="0" t="n">
        <f aca="false">COUNTA($BA$2452:$EH$2452)</f>
        <v>13</v>
      </c>
      <c r="AV26" s="0" t="n">
        <f aca="false">COUNTIF($BA$2452:$EH$2452,"D")</f>
        <v>1</v>
      </c>
      <c r="AW26" s="0" t="n">
        <f aca="false">COUNTIF($BA$2452:$EH$2452,"R")</f>
        <v>0</v>
      </c>
      <c r="AX26" s="0" t="n">
        <f aca="false">IF(BN26="D",1,0)+IF(BO26="D",1,0)+IF(BT26="D",1,0)+IF(BU26="D",1,0)+IF(BW26="D",1,0)+IF(CC26="D",1,0)+IF(CD26="D",1,0)+IF(CE26="D",1,0)+IF(CF26="D",1,0)+IF(CL26="D",1,0)+IF(CM26="D",1,0)+IF(CQ26="D",1,0)+IF(CR26="D",1,0)+IF(CS26="D",1,0)+IF(CW26="D",1,0)+IF(CX26="D",1,0)+IF(DD26="D",1,0)+IF(DE26="D",1,0)+IF(DJ26="D",1,0)+IF(DK26="D",1,0)+IF(DO26="D",1,0)+IF(DP26="D",1,0)+IF(DQ26="D",1,0)+IF(DW26="D",1,0)+IF(DZ26="D",1,0)+IF(EH26="D",1,0)</f>
        <v>1</v>
      </c>
      <c r="AY26" s="0" t="n">
        <f aca="false">COUNTIF(DU26:EH26, "&lt;&gt;")</f>
        <v>5</v>
      </c>
      <c r="AZ26" s="0" t="n">
        <f aca="false">IF(EH26&lt;&gt;"",1,0)</f>
        <v>0</v>
      </c>
      <c r="BB26" s="0" t="s">
        <v>152</v>
      </c>
      <c r="BL26" s="0" t="s">
        <v>153</v>
      </c>
      <c r="BS26" s="0" t="s">
        <v>153</v>
      </c>
      <c r="BY26" s="0" t="s">
        <v>175</v>
      </c>
      <c r="CA26" s="0" t="s">
        <v>153</v>
      </c>
      <c r="CG26" s="0" t="s">
        <v>153</v>
      </c>
      <c r="CK26" s="0" t="s">
        <v>153</v>
      </c>
      <c r="CL26" s="0" t="s">
        <v>175</v>
      </c>
      <c r="CN26" s="0" t="s">
        <v>153</v>
      </c>
      <c r="CO26" s="0" t="s">
        <v>175</v>
      </c>
      <c r="CP26" s="0" t="s">
        <v>153</v>
      </c>
      <c r="CT26" s="0" t="s">
        <v>153</v>
      </c>
      <c r="CV26" s="0" t="s">
        <v>153</v>
      </c>
      <c r="CY26" s="0" t="s">
        <v>153</v>
      </c>
      <c r="CZ26" s="0" t="s">
        <v>175</v>
      </c>
      <c r="DC26" s="0" t="s">
        <v>153</v>
      </c>
      <c r="DI26" s="0" t="s">
        <v>153</v>
      </c>
      <c r="DM26" s="0" t="s">
        <v>175</v>
      </c>
      <c r="DN26" s="0" t="s">
        <v>153</v>
      </c>
      <c r="DU26" s="0" t="s">
        <v>153</v>
      </c>
      <c r="DX26" s="0" t="s">
        <v>153</v>
      </c>
      <c r="EA26" s="0" t="s">
        <v>153</v>
      </c>
      <c r="ED26" s="0" t="s">
        <v>175</v>
      </c>
      <c r="EF26" s="0" t="s">
        <v>153</v>
      </c>
    </row>
    <row r="27" customFormat="false" ht="13.8" hidden="false" customHeight="false" outlineLevel="0" collapsed="false">
      <c r="A27" s="0" t="s">
        <v>311</v>
      </c>
      <c r="B27" s="0" t="n">
        <v>78</v>
      </c>
      <c r="C27" s="0" t="n">
        <v>282924</v>
      </c>
      <c r="D27" s="0" t="s">
        <v>312</v>
      </c>
      <c r="E27" s="0" t="s">
        <v>313</v>
      </c>
      <c r="F27" s="0" t="str">
        <f aca="false">CONCATENATE(D27," ",LEFT(H27,4),"T=",AU27,"D=",AV27,"R=",AW27,"M=",AX27,"L=",AY27,"B=",AZ27)</f>
        <v>CULLINS JRT=1D=0R=0M=0L=5B=1</v>
      </c>
      <c r="G27" s="0" t="s">
        <v>164</v>
      </c>
      <c r="H27" s="0" t="s">
        <v>314</v>
      </c>
      <c r="I27" s="0" t="s">
        <v>315</v>
      </c>
      <c r="J27" s="0" t="s">
        <v>316</v>
      </c>
      <c r="K27" s="0" t="s">
        <v>160</v>
      </c>
      <c r="L27" s="0" t="s">
        <v>209</v>
      </c>
      <c r="M27" s="0" t="s">
        <v>310</v>
      </c>
      <c r="N27" s="0" t="str">
        <f aca="false">RIGHT(M27,LEN(M27)-FIND(" ",M27))</f>
        <v>ADELAIDE AVE SE</v>
      </c>
      <c r="P27" s="0" t="s">
        <v>145</v>
      </c>
      <c r="Q27" s="0" t="s">
        <v>146</v>
      </c>
      <c r="R27" s="0" t="n">
        <v>44484</v>
      </c>
      <c r="AD27" s="0" t="s">
        <v>147</v>
      </c>
      <c r="AE27" s="0" t="s">
        <v>148</v>
      </c>
      <c r="AF27" s="0" t="s">
        <v>149</v>
      </c>
      <c r="AH27" s="0" t="n">
        <v>14</v>
      </c>
      <c r="AI27" s="0" t="n">
        <v>11</v>
      </c>
      <c r="AN27" s="0" t="s">
        <v>145</v>
      </c>
      <c r="AO27" s="0" t="s">
        <v>233</v>
      </c>
      <c r="AP27" s="0" t="s">
        <v>234</v>
      </c>
      <c r="AQ27" s="0" t="n">
        <v>9</v>
      </c>
      <c r="AR27" s="0" t="n">
        <v>64</v>
      </c>
      <c r="AS27" s="0" t="n">
        <v>32</v>
      </c>
      <c r="AU27" s="0" t="n">
        <f aca="false">COUNTA($BA$2454:$EH$2454)</f>
        <v>1</v>
      </c>
      <c r="AV27" s="0" t="n">
        <f aca="false">COUNTIF($BA$2454:$EH$2454,"D")</f>
        <v>0</v>
      </c>
      <c r="AW27" s="0" t="n">
        <f aca="false">COUNTIF($BA$2454:$EH$2454,"R")</f>
        <v>0</v>
      </c>
      <c r="AX27" s="0" t="n">
        <f aca="false">IF(BN27="D",1,0)+IF(BO27="D",1,0)+IF(BT27="D",1,0)+IF(BU27="D",1,0)+IF(BW27="D",1,0)+IF(CC27="D",1,0)+IF(CD27="D",1,0)+IF(CE27="D",1,0)+IF(CF27="D",1,0)+IF(CL27="D",1,0)+IF(CM27="D",1,0)+IF(CQ27="D",1,0)+IF(CR27="D",1,0)+IF(CS27="D",1,0)+IF(CW27="D",1,0)+IF(CX27="D",1,0)+IF(DD27="D",1,0)+IF(DE27="D",1,0)+IF(DJ27="D",1,0)+IF(DK27="D",1,0)+IF(DO27="D",1,0)+IF(DP27="D",1,0)+IF(DQ27="D",1,0)+IF(DW27="D",1,0)+IF(DZ27="D",1,0)+IF(EH27="D",1,0)</f>
        <v>0</v>
      </c>
      <c r="AY27" s="0" t="n">
        <f aca="false">COUNTIF(DU27:EH27, "&lt;&gt;")</f>
        <v>5</v>
      </c>
      <c r="AZ27" s="0" t="n">
        <f aca="false">IF(EH27&lt;&gt;"",1,0)</f>
        <v>1</v>
      </c>
      <c r="BB27" s="0" t="s">
        <v>152</v>
      </c>
      <c r="BD27" s="0" t="s">
        <v>153</v>
      </c>
      <c r="BH27" s="0" t="s">
        <v>153</v>
      </c>
      <c r="BK27" s="0" t="s">
        <v>153</v>
      </c>
      <c r="BY27" s="0" t="s">
        <v>175</v>
      </c>
      <c r="CA27" s="0" t="s">
        <v>153</v>
      </c>
      <c r="CK27" s="0" t="s">
        <v>153</v>
      </c>
      <c r="CN27" s="0" t="s">
        <v>153</v>
      </c>
      <c r="CP27" s="0" t="s">
        <v>153</v>
      </c>
      <c r="CV27" s="0" t="s">
        <v>153</v>
      </c>
      <c r="CY27" s="0" t="s">
        <v>153</v>
      </c>
      <c r="CZ27" s="0" t="s">
        <v>209</v>
      </c>
      <c r="DC27" s="0" t="s">
        <v>153</v>
      </c>
      <c r="DI27" s="0" t="s">
        <v>153</v>
      </c>
      <c r="DN27" s="0" t="s">
        <v>153</v>
      </c>
      <c r="DS27" s="0" t="s">
        <v>209</v>
      </c>
      <c r="DU27" s="0" t="s">
        <v>153</v>
      </c>
      <c r="EA27" s="0" t="s">
        <v>153</v>
      </c>
      <c r="ED27" s="0" t="s">
        <v>209</v>
      </c>
      <c r="EF27" s="0" t="s">
        <v>153</v>
      </c>
      <c r="EH27" s="0" t="s">
        <v>153</v>
      </c>
    </row>
    <row r="28" customFormat="false" ht="13.8" hidden="false" customHeight="false" outlineLevel="0" collapsed="false">
      <c r="A28" s="0" t="s">
        <v>317</v>
      </c>
      <c r="B28" s="0" t="n">
        <v>78</v>
      </c>
      <c r="C28" s="0" t="n">
        <v>415963</v>
      </c>
      <c r="D28" s="0" t="s">
        <v>312</v>
      </c>
      <c r="E28" s="0" t="s">
        <v>318</v>
      </c>
      <c r="F28" s="0" t="str">
        <f aca="false">CONCATENATE(D28," ",LEFT(H28,4),"T=",AU28,"D=",AV28,"R=",AW28,"M=",AX28,"L=",AY28,"B=",AZ28)</f>
        <v>CULLINS T=2D=0R=0M=0L=5B=0</v>
      </c>
      <c r="G28" s="0" t="s">
        <v>319</v>
      </c>
      <c r="I28" s="0" t="s">
        <v>320</v>
      </c>
      <c r="J28" s="0" t="s">
        <v>321</v>
      </c>
      <c r="K28" s="0" t="s">
        <v>160</v>
      </c>
      <c r="L28" s="0" t="s">
        <v>175</v>
      </c>
      <c r="M28" s="0" t="s">
        <v>310</v>
      </c>
      <c r="N28" s="0" t="str">
        <f aca="false">RIGHT(M28,LEN(M28)-FIND(" ",M28))</f>
        <v>ADELAIDE AVE SE</v>
      </c>
      <c r="P28" s="0" t="s">
        <v>145</v>
      </c>
      <c r="Q28" s="0" t="s">
        <v>146</v>
      </c>
      <c r="R28" s="0" t="n">
        <v>44484</v>
      </c>
      <c r="AD28" s="0" t="s">
        <v>147</v>
      </c>
      <c r="AE28" s="0" t="s">
        <v>148</v>
      </c>
      <c r="AF28" s="0" t="s">
        <v>149</v>
      </c>
      <c r="AH28" s="0" t="n">
        <v>14</v>
      </c>
      <c r="AI28" s="0" t="n">
        <v>11</v>
      </c>
      <c r="AN28" s="0" t="s">
        <v>145</v>
      </c>
      <c r="AO28" s="0" t="s">
        <v>233</v>
      </c>
      <c r="AP28" s="0" t="s">
        <v>234</v>
      </c>
      <c r="AQ28" s="0" t="n">
        <v>9</v>
      </c>
      <c r="AR28" s="0" t="n">
        <v>64</v>
      </c>
      <c r="AS28" s="0" t="n">
        <v>32</v>
      </c>
      <c r="AU28" s="0" t="n">
        <f aca="false">COUNTA($BA$2534:$EH$2534)</f>
        <v>2</v>
      </c>
      <c r="AV28" s="0" t="n">
        <f aca="false">COUNTIF($BA$2534:$EH$2534,"D")</f>
        <v>0</v>
      </c>
      <c r="AW28" s="0" t="n">
        <f aca="false">COUNTIF($BA$2534:$EH$2534,"R")</f>
        <v>0</v>
      </c>
      <c r="AX28" s="0" t="n">
        <f aca="false">IF(BN28="D",1,0)+IF(BO28="D",1,0)+IF(BT28="D",1,0)+IF(BU28="D",1,0)+IF(BW28="D",1,0)+IF(CC28="D",1,0)+IF(CD28="D",1,0)+IF(CE28="D",1,0)+IF(CF28="D",1,0)+IF(CL28="D",1,0)+IF(CM28="D",1,0)+IF(CQ28="D",1,0)+IF(CR28="D",1,0)+IF(CS28="D",1,0)+IF(CW28="D",1,0)+IF(CX28="D",1,0)+IF(DD28="D",1,0)+IF(DE28="D",1,0)+IF(DJ28="D",1,0)+IF(DK28="D",1,0)+IF(DO28="D",1,0)+IF(DP28="D",1,0)+IF(DQ28="D",1,0)+IF(DW28="D",1,0)+IF(DZ28="D",1,0)+IF(EH28="D",1,0)</f>
        <v>0</v>
      </c>
      <c r="AY28" s="0" t="n">
        <f aca="false">COUNTIF(DU28:EH28, "&lt;&gt;")</f>
        <v>5</v>
      </c>
      <c r="AZ28" s="0" t="n">
        <f aca="false">IF(EH28&lt;&gt;"",1,0)</f>
        <v>0</v>
      </c>
      <c r="BB28" s="0" t="s">
        <v>152</v>
      </c>
      <c r="DC28" s="0" t="s">
        <v>153</v>
      </c>
      <c r="DI28" s="0" t="s">
        <v>153</v>
      </c>
      <c r="DM28" s="0" t="s">
        <v>175</v>
      </c>
      <c r="DN28" s="0" t="s">
        <v>153</v>
      </c>
      <c r="DU28" s="0" t="s">
        <v>153</v>
      </c>
      <c r="DX28" s="0" t="s">
        <v>153</v>
      </c>
      <c r="EA28" s="0" t="s">
        <v>153</v>
      </c>
      <c r="ED28" s="0" t="s">
        <v>175</v>
      </c>
      <c r="EF28" s="0" t="s">
        <v>153</v>
      </c>
    </row>
    <row r="29" customFormat="false" ht="13.8" hidden="false" customHeight="false" outlineLevel="0" collapsed="false">
      <c r="A29" s="0" t="s">
        <v>322</v>
      </c>
      <c r="B29" s="0" t="n">
        <v>78</v>
      </c>
      <c r="C29" s="0" t="n">
        <v>348124</v>
      </c>
      <c r="D29" s="0" t="s">
        <v>323</v>
      </c>
      <c r="E29" s="0" t="s">
        <v>324</v>
      </c>
      <c r="F29" s="0" t="str">
        <f aca="false">CONCATENATE(D29," ",LEFT(H29,4),"T=",AU29,"D=",AV29,"R=",AW29,"M=",AX29,"L=",AY29,"B=",AZ29)</f>
        <v>HERBERT T=1D=0R=0M=0L=2B=0</v>
      </c>
      <c r="G29" s="0" t="s">
        <v>325</v>
      </c>
      <c r="I29" s="0" t="s">
        <v>326</v>
      </c>
      <c r="J29" s="0" t="s">
        <v>327</v>
      </c>
      <c r="K29" s="0" t="s">
        <v>160</v>
      </c>
      <c r="M29" s="0" t="s">
        <v>328</v>
      </c>
      <c r="N29" s="0" t="str">
        <f aca="false">RIGHT(M29,LEN(M29)-FIND(" ",M29))</f>
        <v>ADELAIDE AVE SE</v>
      </c>
      <c r="P29" s="0" t="s">
        <v>145</v>
      </c>
      <c r="Q29" s="0" t="s">
        <v>146</v>
      </c>
      <c r="R29" s="0" t="n">
        <v>44484</v>
      </c>
      <c r="AD29" s="0" t="s">
        <v>147</v>
      </c>
      <c r="AE29" s="0" t="s">
        <v>148</v>
      </c>
      <c r="AF29" s="0" t="s">
        <v>149</v>
      </c>
      <c r="AH29" s="0" t="n">
        <v>14</v>
      </c>
      <c r="AI29" s="0" t="n">
        <v>11</v>
      </c>
      <c r="AN29" s="0" t="s">
        <v>145</v>
      </c>
      <c r="AO29" s="0" t="s">
        <v>233</v>
      </c>
      <c r="AP29" s="0" t="s">
        <v>234</v>
      </c>
      <c r="AQ29" s="0" t="n">
        <v>9</v>
      </c>
      <c r="AR29" s="0" t="n">
        <v>64</v>
      </c>
      <c r="AS29" s="0" t="n">
        <v>32</v>
      </c>
      <c r="AU29" s="0" t="n">
        <f aca="false">COUNTA($BA$2551:$EH$2551)</f>
        <v>1</v>
      </c>
      <c r="AV29" s="0" t="n">
        <f aca="false">COUNTIF($BA$2551:$EH$2551,"D")</f>
        <v>0</v>
      </c>
      <c r="AW29" s="0" t="n">
        <f aca="false">COUNTIF($BA$2551:$EH$2551,"R")</f>
        <v>0</v>
      </c>
      <c r="AX29" s="0" t="n">
        <f aca="false">IF(BN29="D",1,0)+IF(BO29="D",1,0)+IF(BT29="D",1,0)+IF(BU29="D",1,0)+IF(BW29="D",1,0)+IF(CC29="D",1,0)+IF(CD29="D",1,0)+IF(CE29="D",1,0)+IF(CF29="D",1,0)+IF(CL29="D",1,0)+IF(CM29="D",1,0)+IF(CQ29="D",1,0)+IF(CR29="D",1,0)+IF(CS29="D",1,0)+IF(CW29="D",1,0)+IF(CX29="D",1,0)+IF(DD29="D",1,0)+IF(DE29="D",1,0)+IF(DJ29="D",1,0)+IF(DK29="D",1,0)+IF(DO29="D",1,0)+IF(DP29="D",1,0)+IF(DQ29="D",1,0)+IF(DW29="D",1,0)+IF(DZ29="D",1,0)+IF(EH29="D",1,0)</f>
        <v>0</v>
      </c>
      <c r="AY29" s="0" t="n">
        <f aca="false">COUNTIF(DU29:EH29, "&lt;&gt;")</f>
        <v>2</v>
      </c>
      <c r="AZ29" s="0" t="n">
        <f aca="false">IF(EH29&lt;&gt;"",1,0)</f>
        <v>0</v>
      </c>
      <c r="BB29" s="0" t="s">
        <v>152</v>
      </c>
      <c r="CP29" s="0" t="s">
        <v>153</v>
      </c>
      <c r="CV29" s="0" t="s">
        <v>153</v>
      </c>
      <c r="CY29" s="0" t="s">
        <v>153</v>
      </c>
      <c r="DC29" s="0" t="s">
        <v>153</v>
      </c>
      <c r="DN29" s="0" t="s">
        <v>153</v>
      </c>
      <c r="DU29" s="0" t="s">
        <v>153</v>
      </c>
      <c r="EA29" s="0" t="s">
        <v>153</v>
      </c>
    </row>
    <row r="30" customFormat="false" ht="13.8" hidden="false" customHeight="false" outlineLevel="0" collapsed="false">
      <c r="A30" s="0" t="s">
        <v>329</v>
      </c>
      <c r="B30" s="0" t="n">
        <v>78</v>
      </c>
      <c r="C30" s="0" t="n">
        <v>85895</v>
      </c>
      <c r="D30" s="0" t="s">
        <v>330</v>
      </c>
      <c r="E30" s="0" t="s">
        <v>331</v>
      </c>
      <c r="F30" s="0" t="str">
        <f aca="false">CONCATENATE(D30," ",LEFT(H30,4),"T=",AU30,"D=",AV30,"R=",AW30,"M=",AX30,"L=",AY30,"B=",AZ30)</f>
        <v>GILMORE T=24D=6R=0M=2L=5B=0</v>
      </c>
      <c r="G30" s="0" t="s">
        <v>164</v>
      </c>
      <c r="I30" s="0" t="s">
        <v>332</v>
      </c>
      <c r="J30" s="0" t="s">
        <v>333</v>
      </c>
      <c r="K30" s="0" t="s">
        <v>160</v>
      </c>
      <c r="L30" s="0" t="s">
        <v>175</v>
      </c>
      <c r="M30" s="0" t="s">
        <v>334</v>
      </c>
      <c r="N30" s="0" t="str">
        <f aca="false">RIGHT(M30,LEN(M30)-FIND(" ",M30))</f>
        <v>ADELAIDE AVE SE</v>
      </c>
      <c r="P30" s="0" t="s">
        <v>145</v>
      </c>
      <c r="Q30" s="0" t="s">
        <v>146</v>
      </c>
      <c r="R30" s="0" t="n">
        <v>44483</v>
      </c>
      <c r="AD30" s="0" t="s">
        <v>147</v>
      </c>
      <c r="AE30" s="0" t="s">
        <v>148</v>
      </c>
      <c r="AF30" s="0" t="s">
        <v>149</v>
      </c>
      <c r="AH30" s="0" t="n">
        <v>14</v>
      </c>
      <c r="AI30" s="0" t="n">
        <v>11</v>
      </c>
      <c r="AN30" s="0" t="s">
        <v>145</v>
      </c>
      <c r="AO30" s="0" t="s">
        <v>150</v>
      </c>
      <c r="AP30" s="0" t="s">
        <v>151</v>
      </c>
      <c r="AQ30" s="0" t="n">
        <v>9</v>
      </c>
      <c r="AR30" s="0" t="n">
        <v>64</v>
      </c>
      <c r="AS30" s="0" t="n">
        <v>32</v>
      </c>
      <c r="AU30" s="0" t="n">
        <f aca="false">COUNTA($BA$706:$EH$706)</f>
        <v>24</v>
      </c>
      <c r="AV30" s="0" t="n">
        <f aca="false">COUNTIF($BA$706:$EH$706,"D")</f>
        <v>6</v>
      </c>
      <c r="AW30" s="0" t="n">
        <f aca="false">COUNTIF($BA$706:$EH$706,"R")</f>
        <v>0</v>
      </c>
      <c r="AX30" s="0" t="n">
        <f aca="false">IF(BN30="D",1,0)+IF(BO30="D",1,0)+IF(BT30="D",1,0)+IF(BU30="D",1,0)+IF(BW30="D",1,0)+IF(CC30="D",1,0)+IF(CD30="D",1,0)+IF(CE30="D",1,0)+IF(CF30="D",1,0)+IF(CL30="D",1,0)+IF(CM30="D",1,0)+IF(CQ30="D",1,0)+IF(CR30="D",1,0)+IF(CS30="D",1,0)+IF(CW30="D",1,0)+IF(CX30="D",1,0)+IF(DD30="D",1,0)+IF(DE30="D",1,0)+IF(DJ30="D",1,0)+IF(DK30="D",1,0)+IF(DO30="D",1,0)+IF(DP30="D",1,0)+IF(DQ30="D",1,0)+IF(DW30="D",1,0)+IF(DZ30="D",1,0)+IF(EH30="D",1,0)</f>
        <v>2</v>
      </c>
      <c r="AY30" s="0" t="n">
        <f aca="false">COUNTIF(DU30:EH30, "&lt;&gt;")</f>
        <v>5</v>
      </c>
      <c r="AZ30" s="0" t="n">
        <f aca="false">IF(EH30&lt;&gt;"",1,0)</f>
        <v>0</v>
      </c>
      <c r="BB30" s="0" t="s">
        <v>152</v>
      </c>
      <c r="BC30" s="0" t="s">
        <v>153</v>
      </c>
      <c r="BD30" s="0" t="s">
        <v>153</v>
      </c>
      <c r="BG30" s="0" t="s">
        <v>153</v>
      </c>
      <c r="BH30" s="0" t="s">
        <v>153</v>
      </c>
      <c r="BI30" s="0" t="s">
        <v>153</v>
      </c>
      <c r="BJ30" s="0" t="s">
        <v>153</v>
      </c>
      <c r="BK30" s="0" t="s">
        <v>153</v>
      </c>
      <c r="BL30" s="0" t="s">
        <v>153</v>
      </c>
      <c r="BS30" s="0" t="s">
        <v>153</v>
      </c>
      <c r="BY30" s="0" t="s">
        <v>175</v>
      </c>
      <c r="CA30" s="0" t="s">
        <v>153</v>
      </c>
      <c r="CK30" s="0" t="s">
        <v>153</v>
      </c>
      <c r="CL30" s="0" t="s">
        <v>175</v>
      </c>
      <c r="CN30" s="0" t="s">
        <v>153</v>
      </c>
      <c r="CO30" s="0" t="s">
        <v>175</v>
      </c>
      <c r="CP30" s="0" t="s">
        <v>153</v>
      </c>
      <c r="CU30" s="0" t="s">
        <v>175</v>
      </c>
      <c r="CV30" s="0" t="s">
        <v>153</v>
      </c>
      <c r="CY30" s="0" t="s">
        <v>153</v>
      </c>
      <c r="CZ30" s="0" t="s">
        <v>175</v>
      </c>
      <c r="DC30" s="0" t="s">
        <v>153</v>
      </c>
      <c r="DI30" s="0" t="s">
        <v>153</v>
      </c>
      <c r="DN30" s="0" t="s">
        <v>153</v>
      </c>
      <c r="DU30" s="0" t="s">
        <v>153</v>
      </c>
      <c r="DW30" s="0" t="s">
        <v>175</v>
      </c>
      <c r="EA30" s="0" t="s">
        <v>153</v>
      </c>
      <c r="ED30" s="0" t="s">
        <v>175</v>
      </c>
      <c r="EF30" s="0" t="s">
        <v>153</v>
      </c>
    </row>
    <row r="31" customFormat="false" ht="13.8" hidden="false" customHeight="false" outlineLevel="0" collapsed="false">
      <c r="A31" s="0" t="s">
        <v>335</v>
      </c>
      <c r="B31" s="0" t="n">
        <v>78</v>
      </c>
      <c r="C31" s="0" t="n">
        <v>341501</v>
      </c>
      <c r="D31" s="0" t="s">
        <v>330</v>
      </c>
      <c r="E31" s="0" t="s">
        <v>274</v>
      </c>
      <c r="F31" s="0" t="str">
        <f aca="false">CONCATENATE(D31," ",LEFT(H31,4),"T=",AU31,"D=",AV31,"R=",AW31,"M=",AX31,"L=",AY31,"B=",AZ31)</f>
        <v>GILMORE T=7D=0R=0M=2L=6B=0</v>
      </c>
      <c r="I31" s="0" t="s">
        <v>336</v>
      </c>
      <c r="J31" s="0" t="s">
        <v>337</v>
      </c>
      <c r="K31" s="0" t="s">
        <v>160</v>
      </c>
      <c r="L31" s="0" t="s">
        <v>175</v>
      </c>
      <c r="M31" s="0" t="s">
        <v>334</v>
      </c>
      <c r="N31" s="0" t="str">
        <f aca="false">RIGHT(M31,LEN(M31)-FIND(" ",M31))</f>
        <v>ADELAIDE AVE SE</v>
      </c>
      <c r="P31" s="0" t="s">
        <v>145</v>
      </c>
      <c r="Q31" s="0" t="s">
        <v>146</v>
      </c>
      <c r="R31" s="0" t="n">
        <v>44483</v>
      </c>
      <c r="AD31" s="0" t="s">
        <v>147</v>
      </c>
      <c r="AE31" s="0" t="s">
        <v>148</v>
      </c>
      <c r="AF31" s="0" t="s">
        <v>149</v>
      </c>
      <c r="AH31" s="0" t="n">
        <v>14</v>
      </c>
      <c r="AI31" s="0" t="n">
        <v>11</v>
      </c>
      <c r="AN31" s="0" t="s">
        <v>145</v>
      </c>
      <c r="AO31" s="0" t="s">
        <v>150</v>
      </c>
      <c r="AP31" s="0" t="s">
        <v>151</v>
      </c>
      <c r="AQ31" s="0" t="n">
        <v>9</v>
      </c>
      <c r="AR31" s="0" t="n">
        <v>64</v>
      </c>
      <c r="AS31" s="0" t="n">
        <v>32</v>
      </c>
      <c r="AU31" s="0" t="n">
        <f aca="false">COUNTA($BA$707:$EH$707)</f>
        <v>7</v>
      </c>
      <c r="AV31" s="0" t="n">
        <f aca="false">COUNTIF($BA$707:$EH$707,"D")</f>
        <v>0</v>
      </c>
      <c r="AW31" s="0" t="n">
        <f aca="false">COUNTIF($BA$707:$EH$707,"R")</f>
        <v>0</v>
      </c>
      <c r="AX31" s="0" t="n">
        <f aca="false">IF(BN31="D",1,0)+IF(BO31="D",1,0)+IF(BT31="D",1,0)+IF(BU31="D",1,0)+IF(BW31="D",1,0)+IF(CC31="D",1,0)+IF(CD31="D",1,0)+IF(CE31="D",1,0)+IF(CF31="D",1,0)+IF(CL31="D",1,0)+IF(CM31="D",1,0)+IF(CQ31="D",1,0)+IF(CR31="D",1,0)+IF(CS31="D",1,0)+IF(CW31="D",1,0)+IF(CX31="D",1,0)+IF(DD31="D",1,0)+IF(DE31="D",1,0)+IF(DJ31="D",1,0)+IF(DK31="D",1,0)+IF(DO31="D",1,0)+IF(DP31="D",1,0)+IF(DQ31="D",1,0)+IF(DW31="D",1,0)+IF(DZ31="D",1,0)+IF(EH31="D",1,0)</f>
        <v>2</v>
      </c>
      <c r="AY31" s="0" t="n">
        <f aca="false">COUNTIF(DU31:EH31, "&lt;&gt;")</f>
        <v>6</v>
      </c>
      <c r="AZ31" s="0" t="n">
        <f aca="false">IF(EH31&lt;&gt;"",1,0)</f>
        <v>0</v>
      </c>
      <c r="BB31" s="0" t="s">
        <v>152</v>
      </c>
      <c r="BY31" s="0" t="s">
        <v>175</v>
      </c>
      <c r="CA31" s="0" t="s">
        <v>153</v>
      </c>
      <c r="CG31" s="0" t="s">
        <v>153</v>
      </c>
      <c r="CK31" s="0" t="s">
        <v>153</v>
      </c>
      <c r="CN31" s="0" t="s">
        <v>153</v>
      </c>
      <c r="CO31" s="0" t="s">
        <v>175</v>
      </c>
      <c r="CP31" s="0" t="s">
        <v>153</v>
      </c>
      <c r="CU31" s="0" t="s">
        <v>175</v>
      </c>
      <c r="CV31" s="0" t="s">
        <v>153</v>
      </c>
      <c r="CW31" s="0" t="s">
        <v>175</v>
      </c>
      <c r="CY31" s="0" t="s">
        <v>153</v>
      </c>
      <c r="CZ31" s="0" t="s">
        <v>175</v>
      </c>
      <c r="DC31" s="0" t="s">
        <v>153</v>
      </c>
      <c r="DF31" s="0" t="s">
        <v>153</v>
      </c>
      <c r="DG31" s="0" t="s">
        <v>175</v>
      </c>
      <c r="DI31" s="0" t="s">
        <v>153</v>
      </c>
      <c r="DN31" s="0" t="s">
        <v>153</v>
      </c>
      <c r="DU31" s="0" t="s">
        <v>153</v>
      </c>
      <c r="DW31" s="0" t="s">
        <v>175</v>
      </c>
      <c r="DX31" s="0" t="s">
        <v>153</v>
      </c>
      <c r="EA31" s="0" t="s">
        <v>153</v>
      </c>
      <c r="ED31" s="0" t="s">
        <v>175</v>
      </c>
      <c r="EF31" s="0" t="s">
        <v>153</v>
      </c>
    </row>
    <row r="32" customFormat="false" ht="13.8" hidden="false" customHeight="false" outlineLevel="0" collapsed="false">
      <c r="A32" s="0" t="s">
        <v>338</v>
      </c>
      <c r="B32" s="0" t="n">
        <v>78</v>
      </c>
      <c r="C32" s="0" t="n">
        <v>147871</v>
      </c>
      <c r="D32" s="0" t="s">
        <v>330</v>
      </c>
      <c r="E32" s="0" t="s">
        <v>339</v>
      </c>
      <c r="F32" s="0" t="str">
        <f aca="false">CONCATENATE(D32," ",LEFT(H32,4),"T=",AU32,"D=",AV32,"R=",AW32,"M=",AX32,"L=",AY32,"B=",AZ32)</f>
        <v>GILMORE T=11D=1R=0M=7L=7B=1</v>
      </c>
      <c r="G32" s="0" t="s">
        <v>164</v>
      </c>
      <c r="I32" s="0" t="s">
        <v>340</v>
      </c>
      <c r="J32" s="0" t="s">
        <v>341</v>
      </c>
      <c r="K32" s="0" t="s">
        <v>160</v>
      </c>
      <c r="L32" s="0" t="s">
        <v>175</v>
      </c>
      <c r="M32" s="0" t="s">
        <v>334</v>
      </c>
      <c r="N32" s="0" t="str">
        <f aca="false">RIGHT(M32,LEN(M32)-FIND(" ",M32))</f>
        <v>ADELAIDE AVE SE</v>
      </c>
      <c r="P32" s="0" t="s">
        <v>145</v>
      </c>
      <c r="Q32" s="0" t="s">
        <v>146</v>
      </c>
      <c r="R32" s="0" t="n">
        <v>44483</v>
      </c>
      <c r="AD32" s="0" t="s">
        <v>147</v>
      </c>
      <c r="AE32" s="0" t="s">
        <v>148</v>
      </c>
      <c r="AF32" s="0" t="s">
        <v>149</v>
      </c>
      <c r="AH32" s="0" t="n">
        <v>14</v>
      </c>
      <c r="AI32" s="0" t="n">
        <v>11</v>
      </c>
      <c r="AN32" s="0" t="s">
        <v>145</v>
      </c>
      <c r="AO32" s="0" t="s">
        <v>150</v>
      </c>
      <c r="AP32" s="0" t="s">
        <v>151</v>
      </c>
      <c r="AQ32" s="0" t="n">
        <v>9</v>
      </c>
      <c r="AR32" s="0" t="n">
        <v>64</v>
      </c>
      <c r="AS32" s="0" t="n">
        <v>32</v>
      </c>
      <c r="AU32" s="0" t="n">
        <f aca="false">COUNTA($BA$708:$EH$708)</f>
        <v>11</v>
      </c>
      <c r="AV32" s="0" t="n">
        <f aca="false">COUNTIF($BA$708:$EH$708,"D")</f>
        <v>1</v>
      </c>
      <c r="AW32" s="0" t="n">
        <f aca="false">COUNTIF($BA$708:$EH$708,"R")</f>
        <v>0</v>
      </c>
      <c r="AX32" s="0" t="n">
        <f aca="false">IF(BN32="D",1,0)+IF(BO32="D",1,0)+IF(BT32="D",1,0)+IF(BU32="D",1,0)+IF(BW32="D",1,0)+IF(CC32="D",1,0)+IF(CD32="D",1,0)+IF(CE32="D",1,0)+IF(CF32="D",1,0)+IF(CL32="D",1,0)+IF(CM32="D",1,0)+IF(CQ32="D",1,0)+IF(CR32="D",1,0)+IF(CS32="D",1,0)+IF(CW32="D",1,0)+IF(CX32="D",1,0)+IF(DD32="D",1,0)+IF(DE32="D",1,0)+IF(DJ32="D",1,0)+IF(DK32="D",1,0)+IF(DO32="D",1,0)+IF(DP32="D",1,0)+IF(DQ32="D",1,0)+IF(DW32="D",1,0)+IF(DZ32="D",1,0)+IF(EH32="D",1,0)</f>
        <v>7</v>
      </c>
      <c r="AY32" s="0" t="n">
        <f aca="false">COUNTIF(DU32:EH32, "&lt;&gt;")</f>
        <v>7</v>
      </c>
      <c r="AZ32" s="0" t="n">
        <f aca="false">IF(EH32&lt;&gt;"",1,0)</f>
        <v>1</v>
      </c>
      <c r="BB32" s="0" t="s">
        <v>152</v>
      </c>
      <c r="BC32" s="0" t="s">
        <v>153</v>
      </c>
      <c r="BD32" s="0" t="s">
        <v>153</v>
      </c>
      <c r="BE32" s="0" t="s">
        <v>153</v>
      </c>
      <c r="BG32" s="0" t="s">
        <v>153</v>
      </c>
      <c r="BH32" s="0" t="s">
        <v>153</v>
      </c>
      <c r="BI32" s="0" t="s">
        <v>153</v>
      </c>
      <c r="BJ32" s="0" t="s">
        <v>153</v>
      </c>
      <c r="BK32" s="0" t="s">
        <v>153</v>
      </c>
      <c r="BL32" s="0" t="s">
        <v>153</v>
      </c>
      <c r="BP32" s="0" t="s">
        <v>153</v>
      </c>
      <c r="BR32" s="0" t="s">
        <v>153</v>
      </c>
      <c r="BS32" s="0" t="s">
        <v>153</v>
      </c>
      <c r="BY32" s="0" t="s">
        <v>175</v>
      </c>
      <c r="CA32" s="0" t="s">
        <v>153</v>
      </c>
      <c r="CC32" s="0" t="s">
        <v>175</v>
      </c>
      <c r="CG32" s="0" t="s">
        <v>153</v>
      </c>
      <c r="CH32" s="0" t="s">
        <v>175</v>
      </c>
      <c r="CK32" s="0" t="s">
        <v>153</v>
      </c>
      <c r="CL32" s="0" t="s">
        <v>175</v>
      </c>
      <c r="CN32" s="0" t="s">
        <v>153</v>
      </c>
      <c r="CO32" s="0" t="s">
        <v>175</v>
      </c>
      <c r="CP32" s="0" t="s">
        <v>153</v>
      </c>
      <c r="CT32" s="0" t="s">
        <v>153</v>
      </c>
      <c r="CU32" s="0" t="s">
        <v>175</v>
      </c>
      <c r="CV32" s="0" t="s">
        <v>153</v>
      </c>
      <c r="CW32" s="0" t="s">
        <v>175</v>
      </c>
      <c r="CY32" s="0" t="s">
        <v>153</v>
      </c>
      <c r="CZ32" s="0" t="s">
        <v>175</v>
      </c>
      <c r="DC32" s="0" t="s">
        <v>153</v>
      </c>
      <c r="DD32" s="0" t="s">
        <v>175</v>
      </c>
      <c r="DF32" s="0" t="s">
        <v>153</v>
      </c>
      <c r="DG32" s="0" t="s">
        <v>175</v>
      </c>
      <c r="DI32" s="0" t="s">
        <v>153</v>
      </c>
      <c r="DJ32" s="0" t="s">
        <v>175</v>
      </c>
      <c r="DL32" s="0" t="s">
        <v>153</v>
      </c>
      <c r="DN32" s="0" t="s">
        <v>153</v>
      </c>
      <c r="DR32" s="0" t="s">
        <v>153</v>
      </c>
      <c r="DS32" s="0" t="s">
        <v>209</v>
      </c>
      <c r="DT32" s="0" t="s">
        <v>209</v>
      </c>
      <c r="DU32" s="0" t="s">
        <v>153</v>
      </c>
      <c r="DW32" s="0" t="s">
        <v>175</v>
      </c>
      <c r="DX32" s="0" t="s">
        <v>153</v>
      </c>
      <c r="EA32" s="0" t="s">
        <v>153</v>
      </c>
      <c r="ED32" s="0" t="s">
        <v>175</v>
      </c>
      <c r="EF32" s="0" t="s">
        <v>153</v>
      </c>
      <c r="EH32" s="0" t="s">
        <v>175</v>
      </c>
    </row>
    <row r="33" customFormat="false" ht="13.8" hidden="true" customHeight="false" outlineLevel="0" collapsed="false">
      <c r="A33" s="0" t="s">
        <v>342</v>
      </c>
      <c r="B33" s="0" t="n">
        <v>78</v>
      </c>
      <c r="C33" s="0" t="n">
        <v>400472</v>
      </c>
      <c r="D33" s="0" t="s">
        <v>343</v>
      </c>
      <c r="E33" s="0" t="s">
        <v>344</v>
      </c>
      <c r="F33" s="0" t="str">
        <f aca="false">CONCATENATE(D33," ",LEFT(H33,4),"T=",AU33,"D=",AV33,"R=",AW33,"M=",AX33,"L=",AY33,"B=",AZ33)</f>
        <v>LAWYER T=40D=7R=3M=1L=0B=0</v>
      </c>
      <c r="G33" s="0" t="s">
        <v>255</v>
      </c>
      <c r="I33" s="0" t="s">
        <v>345</v>
      </c>
      <c r="J33" s="0" t="s">
        <v>346</v>
      </c>
      <c r="K33" s="0" t="s">
        <v>160</v>
      </c>
      <c r="M33" s="0" t="s">
        <v>347</v>
      </c>
      <c r="N33" s="0" t="str">
        <f aca="false">RIGHT(M33,LEN(M33)-FIND(" ",M33))</f>
        <v>ADELAIDE AVE SE</v>
      </c>
      <c r="P33" s="0" t="s">
        <v>145</v>
      </c>
      <c r="Q33" s="0" t="s">
        <v>146</v>
      </c>
      <c r="R33" s="0" t="n">
        <v>44483</v>
      </c>
      <c r="AD33" s="0" t="s">
        <v>147</v>
      </c>
      <c r="AE33" s="0" t="s">
        <v>148</v>
      </c>
      <c r="AF33" s="0" t="s">
        <v>149</v>
      </c>
      <c r="AH33" s="0" t="n">
        <v>14</v>
      </c>
      <c r="AI33" s="0" t="n">
        <v>11</v>
      </c>
      <c r="AN33" s="0" t="s">
        <v>145</v>
      </c>
      <c r="AO33" s="0" t="s">
        <v>150</v>
      </c>
      <c r="AP33" s="0" t="s">
        <v>151</v>
      </c>
      <c r="AQ33" s="0" t="n">
        <v>9</v>
      </c>
      <c r="AR33" s="0" t="n">
        <v>64</v>
      </c>
      <c r="AS33" s="0" t="n">
        <v>32</v>
      </c>
      <c r="AU33" s="0" t="n">
        <f aca="false">COUNTA($BA$869:$EH$869)</f>
        <v>40</v>
      </c>
      <c r="AV33" s="0" t="n">
        <f aca="false">COUNTIF($BA$869:$EH$869,"D")</f>
        <v>7</v>
      </c>
      <c r="AW33" s="0" t="n">
        <f aca="false">COUNTIF($BA$869:$EH$869,"R")</f>
        <v>3</v>
      </c>
      <c r="AX33" s="0" t="n">
        <f aca="false">IF(BN33="D",1,0)+IF(BO33="D",1,0)+IF(BT33="D",1,0)+IF(BU33="D",1,0)+IF(BW33="D",1,0)+IF(CC33="D",1,0)+IF(CD33="D",1,0)+IF(CE33="D",1,0)+IF(CF33="D",1,0)+IF(CL33="D",1,0)+IF(CM33="D",1,0)+IF(CQ33="D",1,0)+IF(CR33="D",1,0)+IF(CS33="D",1,0)+IF(CW33="D",1,0)+IF(CX33="D",1,0)+IF(DD33="D",1,0)+IF(DE33="D",1,0)+IF(DJ33="D",1,0)+IF(DK33="D",1,0)+IF(DO33="D",1,0)+IF(DP33="D",1,0)+IF(DQ33="D",1,0)+IF(DW33="D",1,0)+IF(DZ33="D",1,0)+IF(EH33="D",1,0)</f>
        <v>1</v>
      </c>
      <c r="AY33" s="0" t="n">
        <f aca="false">COUNTIF(DU33:EH33, "&lt;&gt;")</f>
        <v>0</v>
      </c>
      <c r="AZ33" s="0" t="n">
        <f aca="false">IF(EH33&lt;&gt;"",1,0)</f>
        <v>0</v>
      </c>
      <c r="BB33" s="0" t="s">
        <v>152</v>
      </c>
      <c r="CW33" s="0" t="s">
        <v>175</v>
      </c>
      <c r="CY33" s="0" t="s">
        <v>153</v>
      </c>
      <c r="DC33" s="0" t="s">
        <v>153</v>
      </c>
    </row>
    <row r="34" customFormat="false" ht="13.8" hidden="false" customHeight="false" outlineLevel="0" collapsed="false">
      <c r="A34" s="0" t="s">
        <v>348</v>
      </c>
      <c r="B34" s="0" t="n">
        <v>78</v>
      </c>
      <c r="C34" s="0" t="n">
        <v>425751</v>
      </c>
      <c r="D34" s="0" t="s">
        <v>349</v>
      </c>
      <c r="E34" s="0" t="s">
        <v>350</v>
      </c>
      <c r="F34" s="0" t="str">
        <f aca="false">CONCATENATE(D34," ",LEFT(H34,4),"T=",AU34,"D=",AV34,"R=",AW34,"M=",AX34,"L=",AY34,"B=",AZ34)</f>
        <v>BREWER T=24D=6R=0M=0L=4B=0</v>
      </c>
      <c r="G34" s="0" t="s">
        <v>351</v>
      </c>
      <c r="I34" s="0" t="s">
        <v>352</v>
      </c>
      <c r="J34" s="0" t="s">
        <v>353</v>
      </c>
      <c r="K34" s="0" t="s">
        <v>160</v>
      </c>
      <c r="M34" s="0" t="s">
        <v>354</v>
      </c>
      <c r="N34" s="0" t="str">
        <f aca="false">RIGHT(M34,LEN(M34)-FIND(" ",M34))</f>
        <v>ADELAIDE AVE SE</v>
      </c>
      <c r="P34" s="0" t="s">
        <v>145</v>
      </c>
      <c r="Q34" s="0" t="s">
        <v>146</v>
      </c>
      <c r="R34" s="0" t="n">
        <v>44483</v>
      </c>
      <c r="AD34" s="0" t="s">
        <v>147</v>
      </c>
      <c r="AE34" s="0" t="s">
        <v>148</v>
      </c>
      <c r="AF34" s="0" t="s">
        <v>149</v>
      </c>
      <c r="AH34" s="0" t="n">
        <v>14</v>
      </c>
      <c r="AI34" s="0" t="n">
        <v>11</v>
      </c>
      <c r="AN34" s="0" t="s">
        <v>145</v>
      </c>
      <c r="AO34" s="0" t="s">
        <v>150</v>
      </c>
      <c r="AP34" s="0" t="s">
        <v>151</v>
      </c>
      <c r="AQ34" s="0" t="n">
        <v>9</v>
      </c>
      <c r="AR34" s="0" t="n">
        <v>64</v>
      </c>
      <c r="AS34" s="0" t="n">
        <v>32</v>
      </c>
      <c r="AU34" s="0" t="n">
        <f aca="false">COUNTA($BA$26:$EH$26)</f>
        <v>24</v>
      </c>
      <c r="AV34" s="0" t="n">
        <f aca="false">COUNTIF($BA$26:$EH$26,"D")</f>
        <v>6</v>
      </c>
      <c r="AW34" s="0" t="n">
        <f aca="false">COUNTIF($BA$26:$EH$26,"R")</f>
        <v>0</v>
      </c>
      <c r="AX34" s="0" t="n">
        <f aca="false">IF(BN34="D",1,0)+IF(BO34="D",1,0)+IF(BT34="D",1,0)+IF(BU34="D",1,0)+IF(BW34="D",1,0)+IF(CC34="D",1,0)+IF(CD34="D",1,0)+IF(CE34="D",1,0)+IF(CF34="D",1,0)+IF(CL34="D",1,0)+IF(CM34="D",1,0)+IF(CQ34="D",1,0)+IF(CR34="D",1,0)+IF(CS34="D",1,0)+IF(CW34="D",1,0)+IF(CX34="D",1,0)+IF(DD34="D",1,0)+IF(DE34="D",1,0)+IF(DJ34="D",1,0)+IF(DK34="D",1,0)+IF(DO34="D",1,0)+IF(DP34="D",1,0)+IF(DQ34="D",1,0)+IF(DW34="D",1,0)+IF(DZ34="D",1,0)+IF(EH34="D",1,0)</f>
        <v>0</v>
      </c>
      <c r="AY34" s="0" t="n">
        <f aca="false">COUNTIF(DU34:EH34, "&lt;&gt;")</f>
        <v>4</v>
      </c>
      <c r="AZ34" s="0" t="n">
        <f aca="false">IF(EH34&lt;&gt;"",1,0)</f>
        <v>0</v>
      </c>
      <c r="BB34" s="0" t="s">
        <v>152</v>
      </c>
      <c r="DF34" s="0" t="s">
        <v>153</v>
      </c>
      <c r="DG34" s="0" t="s">
        <v>175</v>
      </c>
      <c r="DI34" s="0" t="s">
        <v>153</v>
      </c>
      <c r="DL34" s="0" t="s">
        <v>153</v>
      </c>
      <c r="DN34" s="0" t="s">
        <v>153</v>
      </c>
      <c r="DU34" s="0" t="s">
        <v>153</v>
      </c>
      <c r="DX34" s="0" t="s">
        <v>153</v>
      </c>
      <c r="EA34" s="0" t="s">
        <v>153</v>
      </c>
      <c r="EF34" s="0" t="s">
        <v>153</v>
      </c>
    </row>
    <row r="35" customFormat="false" ht="13.8" hidden="false" customHeight="false" outlineLevel="0" collapsed="false">
      <c r="A35" s="0" t="s">
        <v>355</v>
      </c>
      <c r="B35" s="0" t="n">
        <v>78</v>
      </c>
      <c r="C35" s="0" t="n">
        <v>453198</v>
      </c>
      <c r="D35" s="0" t="s">
        <v>356</v>
      </c>
      <c r="E35" s="0" t="s">
        <v>357</v>
      </c>
      <c r="F35" s="0" t="str">
        <f aca="false">CONCATENATE(D35," ",LEFT(H35,4),"T=",AU35,"D=",AV35,"R=",AW35,"M=",AX35,"L=",AY35,"B=",AZ35)</f>
        <v>NOLAN T=1D=0R=0M=0L=2B=0</v>
      </c>
      <c r="I35" s="0" t="s">
        <v>358</v>
      </c>
      <c r="J35" s="0" t="s">
        <v>359</v>
      </c>
      <c r="K35" s="0" t="s">
        <v>160</v>
      </c>
      <c r="M35" s="0" t="s">
        <v>360</v>
      </c>
      <c r="N35" s="0" t="str">
        <f aca="false">RIGHT(M35,LEN(M35)-FIND(" ",M35))</f>
        <v>ADELAIDE AVE SE</v>
      </c>
      <c r="P35" s="0" t="s">
        <v>145</v>
      </c>
      <c r="Q35" s="0" t="s">
        <v>146</v>
      </c>
      <c r="R35" s="0" t="n">
        <v>44483</v>
      </c>
      <c r="AD35" s="0" t="s">
        <v>147</v>
      </c>
      <c r="AE35" s="0" t="s">
        <v>148</v>
      </c>
      <c r="AF35" s="0" t="s">
        <v>149</v>
      </c>
      <c r="AH35" s="0" t="n">
        <v>14</v>
      </c>
      <c r="AI35" s="0" t="n">
        <v>11</v>
      </c>
      <c r="AN35" s="0" t="s">
        <v>145</v>
      </c>
      <c r="AO35" s="0" t="s">
        <v>150</v>
      </c>
      <c r="AP35" s="0" t="s">
        <v>151</v>
      </c>
      <c r="AQ35" s="0" t="n">
        <v>9</v>
      </c>
      <c r="AR35" s="0" t="n">
        <v>64</v>
      </c>
      <c r="AS35" s="0" t="n">
        <v>32</v>
      </c>
      <c r="AU35" s="0" t="n">
        <f aca="false">COUNTA($BA$111:$EH$111)</f>
        <v>1</v>
      </c>
      <c r="AV35" s="0" t="n">
        <f aca="false">COUNTIF($BA$111:$EH$111,"D")</f>
        <v>0</v>
      </c>
      <c r="AW35" s="0" t="n">
        <f aca="false">COUNTIF($BA$111:$EH$111,"R")</f>
        <v>0</v>
      </c>
      <c r="AX35" s="0" t="n">
        <f aca="false">IF(BN35="D",1,0)+IF(BO35="D",1,0)+IF(BT35="D",1,0)+IF(BU35="D",1,0)+IF(BW35="D",1,0)+IF(CC35="D",1,0)+IF(CD35="D",1,0)+IF(CE35="D",1,0)+IF(CF35="D",1,0)+IF(CL35="D",1,0)+IF(CM35="D",1,0)+IF(CQ35="D",1,0)+IF(CR35="D",1,0)+IF(CS35="D",1,0)+IF(CW35="D",1,0)+IF(CX35="D",1,0)+IF(DD35="D",1,0)+IF(DE35="D",1,0)+IF(DJ35="D",1,0)+IF(DK35="D",1,0)+IF(DO35="D",1,0)+IF(DP35="D",1,0)+IF(DQ35="D",1,0)+IF(DW35="D",1,0)+IF(DZ35="D",1,0)+IF(EH35="D",1,0)</f>
        <v>0</v>
      </c>
      <c r="AY35" s="0" t="n">
        <f aca="false">COUNTIF(DU35:EH35, "&lt;&gt;")</f>
        <v>2</v>
      </c>
      <c r="AZ35" s="0" t="n">
        <f aca="false">IF(EH35&lt;&gt;"",1,0)</f>
        <v>0</v>
      </c>
      <c r="BB35" s="0" t="s">
        <v>152</v>
      </c>
      <c r="BD35" s="0" t="s">
        <v>153</v>
      </c>
      <c r="BS35" s="0" t="s">
        <v>153</v>
      </c>
      <c r="CA35" s="0" t="s">
        <v>153</v>
      </c>
      <c r="DN35" s="0" t="s">
        <v>153</v>
      </c>
      <c r="DX35" s="0" t="s">
        <v>153</v>
      </c>
      <c r="EA35" s="0" t="s">
        <v>153</v>
      </c>
    </row>
    <row r="36" customFormat="false" ht="13.8" hidden="true" customHeight="false" outlineLevel="0" collapsed="false">
      <c r="A36" s="0" t="s">
        <v>361</v>
      </c>
      <c r="B36" s="0" t="n">
        <v>78</v>
      </c>
      <c r="C36" s="0" t="n">
        <v>441601</v>
      </c>
      <c r="D36" s="0" t="s">
        <v>356</v>
      </c>
      <c r="E36" s="0" t="s">
        <v>248</v>
      </c>
      <c r="F36" s="0" t="str">
        <f aca="false">CONCATENATE(D36," ",LEFT(H36,4),"T=",AU36,"D=",AV36,"R=",AW36,"M=",AX36,"L=",AY36,"B=",AZ36)</f>
        <v>NOLAN T=1D=0R=0M=0L=0B=0</v>
      </c>
      <c r="G36" s="0" t="s">
        <v>362</v>
      </c>
      <c r="I36" s="0" t="s">
        <v>363</v>
      </c>
      <c r="J36" s="0" t="s">
        <v>364</v>
      </c>
      <c r="K36" s="0" t="s">
        <v>160</v>
      </c>
      <c r="L36" s="0" t="s">
        <v>209</v>
      </c>
      <c r="M36" s="0" t="s">
        <v>360</v>
      </c>
      <c r="N36" s="0" t="str">
        <f aca="false">RIGHT(M36,LEN(M36)-FIND(" ",M36))</f>
        <v>ADELAIDE AVE SE</v>
      </c>
      <c r="P36" s="0" t="s">
        <v>145</v>
      </c>
      <c r="Q36" s="0" t="s">
        <v>146</v>
      </c>
      <c r="R36" s="0" t="n">
        <v>44483</v>
      </c>
      <c r="AD36" s="0" t="s">
        <v>147</v>
      </c>
      <c r="AE36" s="0" t="s">
        <v>148</v>
      </c>
      <c r="AF36" s="0" t="s">
        <v>149</v>
      </c>
      <c r="AH36" s="0" t="n">
        <v>14</v>
      </c>
      <c r="AI36" s="0" t="n">
        <v>11</v>
      </c>
      <c r="AN36" s="0" t="s">
        <v>145</v>
      </c>
      <c r="AO36" s="0" t="s">
        <v>150</v>
      </c>
      <c r="AP36" s="0" t="s">
        <v>151</v>
      </c>
      <c r="AQ36" s="0" t="n">
        <v>9</v>
      </c>
      <c r="AR36" s="0" t="n">
        <v>64</v>
      </c>
      <c r="AS36" s="0" t="n">
        <v>32</v>
      </c>
      <c r="AU36" s="0" t="n">
        <f aca="false">COUNTA($BA$397:$EH$397)</f>
        <v>1</v>
      </c>
      <c r="AV36" s="0" t="n">
        <f aca="false">COUNTIF($BA$397:$EH$397,"D")</f>
        <v>0</v>
      </c>
      <c r="AW36" s="0" t="n">
        <f aca="false">COUNTIF($BA$397:$EH$397,"R")</f>
        <v>0</v>
      </c>
      <c r="AX36" s="0" t="n">
        <f aca="false">IF(BN36="D",1,0)+IF(BO36="D",1,0)+IF(BT36="D",1,0)+IF(BU36="D",1,0)+IF(BW36="D",1,0)+IF(CC36="D",1,0)+IF(CD36="D",1,0)+IF(CE36="D",1,0)+IF(CF36="D",1,0)+IF(CL36="D",1,0)+IF(CM36="D",1,0)+IF(CQ36="D",1,0)+IF(CR36="D",1,0)+IF(CS36="D",1,0)+IF(CW36="D",1,0)+IF(CX36="D",1,0)+IF(DD36="D",1,0)+IF(DE36="D",1,0)+IF(DJ36="D",1,0)+IF(DK36="D",1,0)+IF(DO36="D",1,0)+IF(DP36="D",1,0)+IF(DQ36="D",1,0)+IF(DW36="D",1,0)+IF(DZ36="D",1,0)+IF(EH36="D",1,0)</f>
        <v>0</v>
      </c>
      <c r="AY36" s="0" t="n">
        <f aca="false">COUNTIF(DU36:EH36, "&lt;&gt;")</f>
        <v>0</v>
      </c>
      <c r="AZ36" s="0" t="n">
        <f aca="false">IF(EH36&lt;&gt;"",1,0)</f>
        <v>0</v>
      </c>
      <c r="BB36" s="0" t="s">
        <v>152</v>
      </c>
      <c r="DN36" s="0" t="s">
        <v>153</v>
      </c>
      <c r="DR36" s="0" t="s">
        <v>153</v>
      </c>
      <c r="DS36" s="0" t="s">
        <v>209</v>
      </c>
    </row>
    <row r="37" customFormat="false" ht="13.8" hidden="false" customHeight="false" outlineLevel="0" collapsed="false">
      <c r="A37" s="0" t="s">
        <v>365</v>
      </c>
      <c r="B37" s="0" t="n">
        <v>78</v>
      </c>
      <c r="C37" s="0" t="n">
        <v>206558</v>
      </c>
      <c r="D37" s="0" t="s">
        <v>366</v>
      </c>
      <c r="E37" s="0" t="s">
        <v>367</v>
      </c>
      <c r="F37" s="0" t="str">
        <f aca="false">CONCATENATE(D37," ",LEFT(H37,4),"T=",AU37,"D=",AV37,"R=",AW37,"M=",AX37,"L=",AY37,"B=",AZ37)</f>
        <v>ANDREWS MOORE T=12D=5R=0M=1L=3B=0</v>
      </c>
      <c r="I37" s="0" t="s">
        <v>368</v>
      </c>
      <c r="J37" s="0" t="s">
        <v>369</v>
      </c>
      <c r="K37" s="0" t="s">
        <v>160</v>
      </c>
      <c r="L37" s="0" t="s">
        <v>209</v>
      </c>
      <c r="M37" s="0" t="s">
        <v>370</v>
      </c>
      <c r="N37" s="0" t="str">
        <f aca="false">RIGHT(M37,LEN(M37)-FIND(" ",M37))</f>
        <v>ADELAIDE AVE SE</v>
      </c>
      <c r="P37" s="0" t="s">
        <v>145</v>
      </c>
      <c r="Q37" s="0" t="s">
        <v>146</v>
      </c>
      <c r="R37" s="0" t="n">
        <v>44483</v>
      </c>
      <c r="AD37" s="0" t="s">
        <v>147</v>
      </c>
      <c r="AE37" s="0" t="s">
        <v>148</v>
      </c>
      <c r="AF37" s="0" t="s">
        <v>149</v>
      </c>
      <c r="AH37" s="0" t="n">
        <v>14</v>
      </c>
      <c r="AI37" s="0" t="n">
        <v>11</v>
      </c>
      <c r="AN37" s="0" t="s">
        <v>145</v>
      </c>
      <c r="AO37" s="0" t="s">
        <v>150</v>
      </c>
      <c r="AP37" s="0" t="s">
        <v>151</v>
      </c>
      <c r="AQ37" s="0" t="n">
        <v>9</v>
      </c>
      <c r="AR37" s="0" t="n">
        <v>64</v>
      </c>
      <c r="AS37" s="0" t="n">
        <v>32</v>
      </c>
      <c r="AU37" s="0" t="n">
        <f aca="false">COUNTA($BA$714:$EH$714)</f>
        <v>12</v>
      </c>
      <c r="AV37" s="0" t="n">
        <f aca="false">COUNTIF($BA$714:$EH$714,"D")</f>
        <v>5</v>
      </c>
      <c r="AW37" s="0" t="n">
        <f aca="false">COUNTIF($BA$714:$EH$714,"R")</f>
        <v>0</v>
      </c>
      <c r="AX37" s="0" t="n">
        <f aca="false">IF(BN37="D",1,0)+IF(BO37="D",1,0)+IF(BT37="D",1,0)+IF(BU37="D",1,0)+IF(BW37="D",1,0)+IF(CC37="D",1,0)+IF(CD37="D",1,0)+IF(CE37="D",1,0)+IF(CF37="D",1,0)+IF(CL37="D",1,0)+IF(CM37="D",1,0)+IF(CQ37="D",1,0)+IF(CR37="D",1,0)+IF(CS37="D",1,0)+IF(CW37="D",1,0)+IF(CX37="D",1,0)+IF(DD37="D",1,0)+IF(DE37="D",1,0)+IF(DJ37="D",1,0)+IF(DK37="D",1,0)+IF(DO37="D",1,0)+IF(DP37="D",1,0)+IF(DQ37="D",1,0)+IF(DW37="D",1,0)+IF(DZ37="D",1,0)+IF(EH37="D",1,0)</f>
        <v>1</v>
      </c>
      <c r="AY37" s="0" t="n">
        <f aca="false">COUNTIF(DU37:EH37, "&lt;&gt;")</f>
        <v>3</v>
      </c>
      <c r="AZ37" s="0" t="n">
        <f aca="false">IF(EH37&lt;&gt;"",1,0)</f>
        <v>0</v>
      </c>
      <c r="BB37" s="0" t="s">
        <v>152</v>
      </c>
      <c r="BD37" s="0" t="s">
        <v>153</v>
      </c>
      <c r="BK37" s="0" t="s">
        <v>153</v>
      </c>
      <c r="BL37" s="0" t="s">
        <v>153</v>
      </c>
      <c r="CG37" s="0" t="s">
        <v>153</v>
      </c>
      <c r="CK37" s="0" t="s">
        <v>153</v>
      </c>
      <c r="CO37" s="0" t="s">
        <v>209</v>
      </c>
      <c r="CP37" s="0" t="s">
        <v>153</v>
      </c>
      <c r="CT37" s="0" t="s">
        <v>153</v>
      </c>
      <c r="CV37" s="0" t="s">
        <v>153</v>
      </c>
      <c r="CW37" s="0" t="s">
        <v>175</v>
      </c>
      <c r="CY37" s="0" t="s">
        <v>153</v>
      </c>
      <c r="CZ37" s="0" t="s">
        <v>175</v>
      </c>
      <c r="DC37" s="0" t="s">
        <v>153</v>
      </c>
      <c r="DF37" s="0" t="s">
        <v>153</v>
      </c>
      <c r="DN37" s="0" t="s">
        <v>153</v>
      </c>
      <c r="DU37" s="0" t="s">
        <v>153</v>
      </c>
      <c r="ED37" s="0" t="s">
        <v>209</v>
      </c>
      <c r="EF37" s="0" t="s">
        <v>153</v>
      </c>
    </row>
    <row r="38" customFormat="false" ht="13.8" hidden="true" customHeight="false" outlineLevel="0" collapsed="false">
      <c r="A38" s="0" t="s">
        <v>371</v>
      </c>
      <c r="B38" s="0" t="n">
        <v>78</v>
      </c>
      <c r="C38" s="0" t="n">
        <v>370758</v>
      </c>
      <c r="D38" s="0" t="s">
        <v>372</v>
      </c>
      <c r="E38" s="0" t="s">
        <v>373</v>
      </c>
      <c r="F38" s="0" t="str">
        <f aca="false">CONCATENATE(D38," ",LEFT(H38,4),"T=",AU38,"D=",AV38,"R=",AW38,"M=",AX38,"L=",AY38,"B=",AZ38)</f>
        <v>BLUEDORN T=5D=1R=0M=1L=0B=0</v>
      </c>
      <c r="G38" s="0" t="s">
        <v>374</v>
      </c>
      <c r="I38" s="0" t="s">
        <v>375</v>
      </c>
      <c r="J38" s="0" t="s">
        <v>376</v>
      </c>
      <c r="K38" s="0" t="s">
        <v>160</v>
      </c>
      <c r="M38" s="0" t="s">
        <v>377</v>
      </c>
      <c r="N38" s="0" t="str">
        <f aca="false">RIGHT(M38,LEN(M38)-FIND(" ",M38))</f>
        <v>ADELAIDE AVE SE</v>
      </c>
      <c r="P38" s="0" t="s">
        <v>145</v>
      </c>
      <c r="Q38" s="0" t="s">
        <v>146</v>
      </c>
      <c r="R38" s="0" t="n">
        <v>44483</v>
      </c>
      <c r="AD38" s="0" t="s">
        <v>147</v>
      </c>
      <c r="AE38" s="0" t="s">
        <v>148</v>
      </c>
      <c r="AF38" s="0" t="s">
        <v>149</v>
      </c>
      <c r="AH38" s="0" t="n">
        <v>14</v>
      </c>
      <c r="AI38" s="0" t="n">
        <v>11</v>
      </c>
      <c r="AN38" s="0" t="s">
        <v>145</v>
      </c>
      <c r="AO38" s="0" t="s">
        <v>150</v>
      </c>
      <c r="AP38" s="0" t="s">
        <v>151</v>
      </c>
      <c r="AQ38" s="0" t="n">
        <v>9</v>
      </c>
      <c r="AR38" s="0" t="n">
        <v>64</v>
      </c>
      <c r="AS38" s="0" t="n">
        <v>32</v>
      </c>
      <c r="AU38" s="0" t="n">
        <f aca="false">COUNTA($BA$161:$EH$161)</f>
        <v>5</v>
      </c>
      <c r="AV38" s="0" t="n">
        <f aca="false">COUNTIF($BA$161:$EH$161,"D")</f>
        <v>1</v>
      </c>
      <c r="AW38" s="0" t="n">
        <f aca="false">COUNTIF($BA$161:$EH$161,"R")</f>
        <v>0</v>
      </c>
      <c r="AX38" s="0" t="n">
        <f aca="false">IF(BN38="D",1,0)+IF(BO38="D",1,0)+IF(BT38="D",1,0)+IF(BU38="D",1,0)+IF(BW38="D",1,0)+IF(CC38="D",1,0)+IF(CD38="D",1,0)+IF(CE38="D",1,0)+IF(CF38="D",1,0)+IF(CL38="D",1,0)+IF(CM38="D",1,0)+IF(CQ38="D",1,0)+IF(CR38="D",1,0)+IF(CS38="D",1,0)+IF(CW38="D",1,0)+IF(CX38="D",1,0)+IF(DD38="D",1,0)+IF(DE38="D",1,0)+IF(DJ38="D",1,0)+IF(DK38="D",1,0)+IF(DO38="D",1,0)+IF(DP38="D",1,0)+IF(DQ38="D",1,0)+IF(DW38="D",1,0)+IF(DZ38="D",1,0)+IF(EH38="D",1,0)</f>
        <v>1</v>
      </c>
      <c r="AY38" s="0" t="n">
        <f aca="false">COUNTIF(DU38:EH38, "&lt;&gt;")</f>
        <v>0</v>
      </c>
      <c r="AZ38" s="0" t="n">
        <f aca="false">IF(EH38&lt;&gt;"",1,0)</f>
        <v>0</v>
      </c>
      <c r="BB38" s="0" t="s">
        <v>152</v>
      </c>
      <c r="CG38" s="0" t="s">
        <v>153</v>
      </c>
      <c r="CH38" s="0" t="s">
        <v>175</v>
      </c>
      <c r="CK38" s="0" t="s">
        <v>153</v>
      </c>
      <c r="CN38" s="0" t="s">
        <v>153</v>
      </c>
      <c r="CP38" s="0" t="s">
        <v>153</v>
      </c>
      <c r="CW38" s="0" t="s">
        <v>175</v>
      </c>
      <c r="CY38" s="0" t="s">
        <v>153</v>
      </c>
      <c r="CZ38" s="0" t="s">
        <v>175</v>
      </c>
      <c r="DC38" s="0" t="s">
        <v>153</v>
      </c>
    </row>
    <row r="39" customFormat="false" ht="13.8" hidden="false" customHeight="false" outlineLevel="0" collapsed="false">
      <c r="A39" s="0" t="s">
        <v>378</v>
      </c>
      <c r="B39" s="0" t="n">
        <v>78</v>
      </c>
      <c r="C39" s="0" t="n">
        <v>354163</v>
      </c>
      <c r="D39" s="0" t="s">
        <v>372</v>
      </c>
      <c r="E39" s="0" t="s">
        <v>379</v>
      </c>
      <c r="F39" s="0" t="str">
        <f aca="false">CONCATENATE(D39," ",LEFT(H39,4),"T=",AU39,"D=",AV39,"R=",AW39,"M=",AX39,"L=",AY39,"B=",AZ39)</f>
        <v>BLUEDORN T=7D=0R=0M=3L=2B=1</v>
      </c>
      <c r="G39" s="0" t="s">
        <v>195</v>
      </c>
      <c r="I39" s="0" t="s">
        <v>380</v>
      </c>
      <c r="J39" s="0" t="s">
        <v>381</v>
      </c>
      <c r="K39" s="0" t="s">
        <v>160</v>
      </c>
      <c r="L39" s="0" t="s">
        <v>175</v>
      </c>
      <c r="M39" s="0" t="s">
        <v>377</v>
      </c>
      <c r="N39" s="0" t="str">
        <f aca="false">RIGHT(M39,LEN(M39)-FIND(" ",M39))</f>
        <v>ADELAIDE AVE SE</v>
      </c>
      <c r="P39" s="0" t="s">
        <v>145</v>
      </c>
      <c r="Q39" s="0" t="s">
        <v>146</v>
      </c>
      <c r="R39" s="0" t="n">
        <v>44483</v>
      </c>
      <c r="AD39" s="0" t="s">
        <v>147</v>
      </c>
      <c r="AE39" s="0" t="s">
        <v>148</v>
      </c>
      <c r="AF39" s="0" t="s">
        <v>149</v>
      </c>
      <c r="AH39" s="0" t="n">
        <v>14</v>
      </c>
      <c r="AI39" s="0" t="n">
        <v>11</v>
      </c>
      <c r="AN39" s="0" t="s">
        <v>145</v>
      </c>
      <c r="AO39" s="0" t="s">
        <v>150</v>
      </c>
      <c r="AP39" s="0" t="s">
        <v>151</v>
      </c>
      <c r="AQ39" s="0" t="n">
        <v>9</v>
      </c>
      <c r="AR39" s="0" t="n">
        <v>64</v>
      </c>
      <c r="AS39" s="0" t="n">
        <v>32</v>
      </c>
      <c r="AU39" s="0" t="n">
        <f aca="false">COUNTA($BA$766:$EH$766)</f>
        <v>7</v>
      </c>
      <c r="AV39" s="0" t="n">
        <f aca="false">COUNTIF($BA$766:$EH$766,"D")</f>
        <v>0</v>
      </c>
      <c r="AW39" s="0" t="n">
        <f aca="false">COUNTIF($BA$766:$EH$766,"R")</f>
        <v>0</v>
      </c>
      <c r="AX39" s="0" t="n">
        <f aca="false">IF(BN39="D",1,0)+IF(BO39="D",1,0)+IF(BT39="D",1,0)+IF(BU39="D",1,0)+IF(BW39="D",1,0)+IF(CC39="D",1,0)+IF(CD39="D",1,0)+IF(CE39="D",1,0)+IF(CF39="D",1,0)+IF(CL39="D",1,0)+IF(CM39="D",1,0)+IF(CQ39="D",1,0)+IF(CR39="D",1,0)+IF(CS39="D",1,0)+IF(CW39="D",1,0)+IF(CX39="D",1,0)+IF(DD39="D",1,0)+IF(DE39="D",1,0)+IF(DJ39="D",1,0)+IF(DK39="D",1,0)+IF(DO39="D",1,0)+IF(DP39="D",1,0)+IF(DQ39="D",1,0)+IF(DW39="D",1,0)+IF(DZ39="D",1,0)+IF(EH39="D",1,0)</f>
        <v>3</v>
      </c>
      <c r="AY39" s="0" t="n">
        <f aca="false">COUNTIF(DU39:EH39, "&lt;&gt;")</f>
        <v>2</v>
      </c>
      <c r="AZ39" s="0" t="n">
        <f aca="false">IF(EH39&lt;&gt;"",1,0)</f>
        <v>1</v>
      </c>
      <c r="BB39" s="0" t="s">
        <v>152</v>
      </c>
      <c r="BY39" s="0" t="s">
        <v>175</v>
      </c>
      <c r="CA39" s="0" t="s">
        <v>153</v>
      </c>
      <c r="CG39" s="0" t="s">
        <v>153</v>
      </c>
      <c r="CH39" s="0" t="s">
        <v>175</v>
      </c>
      <c r="CK39" s="0" t="s">
        <v>153</v>
      </c>
      <c r="CL39" s="0" t="s">
        <v>175</v>
      </c>
      <c r="CP39" s="0" t="s">
        <v>153</v>
      </c>
      <c r="CV39" s="0" t="s">
        <v>153</v>
      </c>
      <c r="CW39" s="0" t="s">
        <v>175</v>
      </c>
      <c r="CY39" s="0" t="s">
        <v>153</v>
      </c>
      <c r="CZ39" s="0" t="s">
        <v>175</v>
      </c>
      <c r="DC39" s="0" t="s">
        <v>153</v>
      </c>
      <c r="EF39" s="0" t="s">
        <v>153</v>
      </c>
      <c r="EH39" s="0" t="s">
        <v>175</v>
      </c>
    </row>
    <row r="40" customFormat="false" ht="13.8" hidden="true" customHeight="false" outlineLevel="0" collapsed="false">
      <c r="A40" s="0" t="s">
        <v>382</v>
      </c>
      <c r="B40" s="0" t="n">
        <v>78</v>
      </c>
      <c r="C40" s="0" t="n">
        <v>487767</v>
      </c>
      <c r="D40" s="0" t="s">
        <v>383</v>
      </c>
      <c r="E40" s="0" t="s">
        <v>384</v>
      </c>
      <c r="F40" s="0" t="str">
        <f aca="false">CONCATENATE(D40," ",LEFT(H40,4),"T=",AU40,"D=",AV40,"R=",AW40,"M=",AX40,"L=",AY40,"B=",AZ40)</f>
        <v>GONZALEZ T=2D=0R=0M=0L=1B=0</v>
      </c>
      <c r="I40" s="0" t="s">
        <v>385</v>
      </c>
      <c r="J40" s="0" t="s">
        <v>386</v>
      </c>
      <c r="K40" s="0" t="s">
        <v>160</v>
      </c>
      <c r="M40" s="0" t="s">
        <v>387</v>
      </c>
      <c r="N40" s="0" t="str">
        <f aca="false">RIGHT(M40,LEN(M40)-FIND(" ",M40))</f>
        <v>ADELAIDE AVE SE</v>
      </c>
      <c r="O40" s="0" t="s">
        <v>297</v>
      </c>
      <c r="P40" s="0" t="s">
        <v>145</v>
      </c>
      <c r="Q40" s="0" t="s">
        <v>146</v>
      </c>
      <c r="R40" s="0" t="n">
        <v>44483</v>
      </c>
      <c r="AD40" s="0" t="s">
        <v>147</v>
      </c>
      <c r="AE40" s="0" t="s">
        <v>148</v>
      </c>
      <c r="AF40" s="0" t="s">
        <v>149</v>
      </c>
      <c r="AH40" s="0" t="n">
        <v>14</v>
      </c>
      <c r="AI40" s="0" t="n">
        <v>11</v>
      </c>
      <c r="AN40" s="0" t="s">
        <v>145</v>
      </c>
      <c r="AO40" s="0" t="s">
        <v>150</v>
      </c>
      <c r="AP40" s="0" t="s">
        <v>151</v>
      </c>
      <c r="AQ40" s="0" t="n">
        <v>9</v>
      </c>
      <c r="AR40" s="0" t="n">
        <v>64</v>
      </c>
      <c r="AS40" s="0" t="n">
        <v>32</v>
      </c>
      <c r="AU40" s="0" t="n">
        <f aca="false">COUNTA($BA$393:$EH$393)</f>
        <v>2</v>
      </c>
      <c r="AV40" s="0" t="n">
        <f aca="false">COUNTIF($BA$393:$EH$393,"D")</f>
        <v>0</v>
      </c>
      <c r="AW40" s="0" t="n">
        <f aca="false">COUNTIF($BA$393:$EH$393,"R")</f>
        <v>0</v>
      </c>
      <c r="AX40" s="0" t="n">
        <f aca="false">IF(BN40="D",1,0)+IF(BO40="D",1,0)+IF(BT40="D",1,0)+IF(BU40="D",1,0)+IF(BW40="D",1,0)+IF(CC40="D",1,0)+IF(CD40="D",1,0)+IF(CE40="D",1,0)+IF(CF40="D",1,0)+IF(CL40="D",1,0)+IF(CM40="D",1,0)+IF(CQ40="D",1,0)+IF(CR40="D",1,0)+IF(CS40="D",1,0)+IF(CW40="D",1,0)+IF(CX40="D",1,0)+IF(DD40="D",1,0)+IF(DE40="D",1,0)+IF(DJ40="D",1,0)+IF(DK40="D",1,0)+IF(DO40="D",1,0)+IF(DP40="D",1,0)+IF(DQ40="D",1,0)+IF(DW40="D",1,0)+IF(DZ40="D",1,0)+IF(EH40="D",1,0)</f>
        <v>0</v>
      </c>
      <c r="AY40" s="0" t="n">
        <f aca="false">COUNTIF(DU40:EH40, "&lt;&gt;")</f>
        <v>1</v>
      </c>
      <c r="AZ40" s="0" t="n">
        <f aca="false">IF(EH40&lt;&gt;"",1,0)</f>
        <v>0</v>
      </c>
      <c r="BB40" s="0" t="s">
        <v>152</v>
      </c>
      <c r="EF40" s="0" t="s">
        <v>153</v>
      </c>
    </row>
    <row r="41" customFormat="false" ht="13.8" hidden="false" customHeight="false" outlineLevel="0" collapsed="false">
      <c r="A41" s="0" t="s">
        <v>388</v>
      </c>
      <c r="B41" s="0" t="n">
        <v>78</v>
      </c>
      <c r="C41" s="0" t="n">
        <v>413605</v>
      </c>
      <c r="D41" s="0" t="s">
        <v>389</v>
      </c>
      <c r="E41" s="0" t="s">
        <v>390</v>
      </c>
      <c r="F41" s="0" t="str">
        <f aca="false">CONCATENATE(D41," ",LEFT(H41,4),"T=",AU41,"D=",AV41,"R=",AW41,"M=",AX41,"L=",AY41,"B=",AZ41)</f>
        <v>RILEY T=2D=0R=0M=0L=2B=0</v>
      </c>
      <c r="G41" s="0" t="s">
        <v>391</v>
      </c>
      <c r="I41" s="0" t="s">
        <v>392</v>
      </c>
      <c r="J41" s="0" t="s">
        <v>393</v>
      </c>
      <c r="K41" s="0" t="s">
        <v>160</v>
      </c>
      <c r="M41" s="0" t="s">
        <v>394</v>
      </c>
      <c r="N41" s="0" t="str">
        <f aca="false">RIGHT(M41,LEN(M41)-FIND(" ",M41))</f>
        <v>ADELAIDE AVE SE</v>
      </c>
      <c r="P41" s="0" t="s">
        <v>145</v>
      </c>
      <c r="Q41" s="0" t="s">
        <v>146</v>
      </c>
      <c r="R41" s="0" t="n">
        <v>44483</v>
      </c>
      <c r="AD41" s="0" t="s">
        <v>147</v>
      </c>
      <c r="AE41" s="0" t="s">
        <v>148</v>
      </c>
      <c r="AF41" s="0" t="s">
        <v>149</v>
      </c>
      <c r="AH41" s="0" t="n">
        <v>14</v>
      </c>
      <c r="AI41" s="0" t="n">
        <v>11</v>
      </c>
      <c r="AN41" s="0" t="s">
        <v>145</v>
      </c>
      <c r="AO41" s="0" t="s">
        <v>150</v>
      </c>
      <c r="AP41" s="0" t="s">
        <v>151</v>
      </c>
      <c r="AQ41" s="0" t="n">
        <v>9</v>
      </c>
      <c r="AR41" s="0" t="n">
        <v>64</v>
      </c>
      <c r="AS41" s="0" t="n">
        <v>32</v>
      </c>
      <c r="AU41" s="0" t="n">
        <f aca="false">COUNTA($BA$472:$EH$472)</f>
        <v>2</v>
      </c>
      <c r="AV41" s="0" t="n">
        <f aca="false">COUNTIF($BA$472:$EH$472,"D")</f>
        <v>0</v>
      </c>
      <c r="AW41" s="0" t="n">
        <f aca="false">COUNTIF($BA$472:$EH$472,"R")</f>
        <v>0</v>
      </c>
      <c r="AX41" s="0" t="n">
        <f aca="false">IF(BN41="D",1,0)+IF(BO41="D",1,0)+IF(BT41="D",1,0)+IF(BU41="D",1,0)+IF(BW41="D",1,0)+IF(CC41="D",1,0)+IF(CD41="D",1,0)+IF(CE41="D",1,0)+IF(CF41="D",1,0)+IF(CL41="D",1,0)+IF(CM41="D",1,0)+IF(CQ41="D",1,0)+IF(CR41="D",1,0)+IF(CS41="D",1,0)+IF(CW41="D",1,0)+IF(CX41="D",1,0)+IF(DD41="D",1,0)+IF(DE41="D",1,0)+IF(DJ41="D",1,0)+IF(DK41="D",1,0)+IF(DO41="D",1,0)+IF(DP41="D",1,0)+IF(DQ41="D",1,0)+IF(DW41="D",1,0)+IF(DZ41="D",1,0)+IF(EH41="D",1,0)</f>
        <v>0</v>
      </c>
      <c r="AY41" s="0" t="n">
        <f aca="false">COUNTIF(DU41:EH41, "&lt;&gt;")</f>
        <v>2</v>
      </c>
      <c r="AZ41" s="0" t="n">
        <f aca="false">IF(EH41&lt;&gt;"",1,0)</f>
        <v>0</v>
      </c>
      <c r="BB41" s="0" t="s">
        <v>152</v>
      </c>
      <c r="CZ41" s="0" t="s">
        <v>175</v>
      </c>
      <c r="DC41" s="0" t="s">
        <v>153</v>
      </c>
      <c r="DI41" s="0" t="s">
        <v>153</v>
      </c>
      <c r="DN41" s="0" t="s">
        <v>153</v>
      </c>
      <c r="DU41" s="0" t="s">
        <v>153</v>
      </c>
      <c r="EF41" s="0" t="s">
        <v>153</v>
      </c>
    </row>
    <row r="42" customFormat="false" ht="13.8" hidden="false" customHeight="false" outlineLevel="0" collapsed="false">
      <c r="A42" s="0" t="s">
        <v>395</v>
      </c>
      <c r="B42" s="0" t="n">
        <v>78</v>
      </c>
      <c r="C42" s="0" t="n">
        <v>486641</v>
      </c>
      <c r="D42" s="0" t="s">
        <v>383</v>
      </c>
      <c r="E42" s="0" t="s">
        <v>396</v>
      </c>
      <c r="F42" s="0" t="str">
        <f aca="false">CONCATENATE(D42," ",LEFT(H42,4),"T=",AU42,"D=",AV42,"R=",AW42,"M=",AX42,"L=",AY42,"B=",AZ42)</f>
        <v>GONZALEZ T=1D=0R=0M=0L=2B=0</v>
      </c>
      <c r="G42" s="0" t="s">
        <v>397</v>
      </c>
      <c r="I42" s="0" t="s">
        <v>398</v>
      </c>
      <c r="J42" s="0" t="s">
        <v>399</v>
      </c>
      <c r="K42" s="0" t="s">
        <v>160</v>
      </c>
      <c r="M42" s="0" t="s">
        <v>394</v>
      </c>
      <c r="N42" s="0" t="str">
        <f aca="false">RIGHT(M42,LEN(M42)-FIND(" ",M42))</f>
        <v>ADELAIDE AVE SE</v>
      </c>
      <c r="P42" s="0" t="s">
        <v>145</v>
      </c>
      <c r="Q42" s="0" t="s">
        <v>146</v>
      </c>
      <c r="R42" s="0" t="n">
        <v>44483</v>
      </c>
      <c r="AD42" s="0" t="s">
        <v>147</v>
      </c>
      <c r="AE42" s="0" t="s">
        <v>148</v>
      </c>
      <c r="AF42" s="0" t="s">
        <v>149</v>
      </c>
      <c r="AH42" s="0" t="n">
        <v>14</v>
      </c>
      <c r="AI42" s="0" t="n">
        <v>11</v>
      </c>
      <c r="AN42" s="0" t="s">
        <v>145</v>
      </c>
      <c r="AO42" s="0" t="s">
        <v>150</v>
      </c>
      <c r="AP42" s="0" t="s">
        <v>151</v>
      </c>
      <c r="AQ42" s="0" t="n">
        <v>9</v>
      </c>
      <c r="AR42" s="0" t="n">
        <v>64</v>
      </c>
      <c r="AS42" s="0" t="n">
        <v>32</v>
      </c>
      <c r="AU42" s="0" t="n">
        <f aca="false">COUNTA($BA$967:$EH$967)</f>
        <v>1</v>
      </c>
      <c r="AV42" s="0" t="n">
        <f aca="false">COUNTIF($BA$967:$EH$967,"D")</f>
        <v>0</v>
      </c>
      <c r="AW42" s="0" t="n">
        <f aca="false">COUNTIF($BA$967:$EH$967,"R")</f>
        <v>0</v>
      </c>
      <c r="AX42" s="0" t="n">
        <f aca="false">IF(BN42="D",1,0)+IF(BO42="D",1,0)+IF(BT42="D",1,0)+IF(BU42="D",1,0)+IF(BW42="D",1,0)+IF(CC42="D",1,0)+IF(CD42="D",1,0)+IF(CE42="D",1,0)+IF(CF42="D",1,0)+IF(CL42="D",1,0)+IF(CM42="D",1,0)+IF(CQ42="D",1,0)+IF(CR42="D",1,0)+IF(CS42="D",1,0)+IF(CW42="D",1,0)+IF(CX42="D",1,0)+IF(DD42="D",1,0)+IF(DE42="D",1,0)+IF(DJ42="D",1,0)+IF(DK42="D",1,0)+IF(DO42="D",1,0)+IF(DP42="D",1,0)+IF(DQ42="D",1,0)+IF(DW42="D",1,0)+IF(DZ42="D",1,0)+IF(EH42="D",1,0)</f>
        <v>0</v>
      </c>
      <c r="AY42" s="0" t="n">
        <f aca="false">COUNTIF(DU42:EH42, "&lt;&gt;")</f>
        <v>2</v>
      </c>
      <c r="AZ42" s="0" t="n">
        <f aca="false">IF(EH42&lt;&gt;"",1,0)</f>
        <v>0</v>
      </c>
      <c r="BB42" s="0" t="s">
        <v>152</v>
      </c>
      <c r="DN42" s="0" t="s">
        <v>153</v>
      </c>
      <c r="DX42" s="0" t="s">
        <v>153</v>
      </c>
      <c r="EF42" s="0" t="s">
        <v>153</v>
      </c>
    </row>
    <row r="43" customFormat="false" ht="13.8" hidden="false" customHeight="false" outlineLevel="0" collapsed="false">
      <c r="A43" s="0" t="s">
        <v>400</v>
      </c>
      <c r="B43" s="0" t="n">
        <v>78</v>
      </c>
      <c r="C43" s="0" t="n">
        <v>491747</v>
      </c>
      <c r="D43" s="0" t="s">
        <v>401</v>
      </c>
      <c r="E43" s="0" t="s">
        <v>402</v>
      </c>
      <c r="F43" s="0" t="str">
        <f aca="false">CONCATENATE(D43," ",LEFT(H43,4),"T=",AU43,"D=",AV43,"R=",AW43,"M=",AX43,"L=",AY43,"B=",AZ43)</f>
        <v>COTTO CANCEL T=1D=0R=0M=0L=3B=0</v>
      </c>
      <c r="G43" s="0" t="s">
        <v>255</v>
      </c>
      <c r="I43" s="0" t="s">
        <v>403</v>
      </c>
      <c r="J43" s="0" t="s">
        <v>404</v>
      </c>
      <c r="K43" s="0" t="s">
        <v>160</v>
      </c>
      <c r="M43" s="0" t="s">
        <v>405</v>
      </c>
      <c r="N43" s="0" t="str">
        <f aca="false">RIGHT(M43,LEN(M43)-FIND(" ",M43))</f>
        <v>ADELAIDE AVE SE</v>
      </c>
      <c r="P43" s="0" t="s">
        <v>145</v>
      </c>
      <c r="Q43" s="0" t="s">
        <v>146</v>
      </c>
      <c r="R43" s="0" t="n">
        <v>44483</v>
      </c>
      <c r="AD43" s="0" t="s">
        <v>147</v>
      </c>
      <c r="AE43" s="0" t="s">
        <v>148</v>
      </c>
      <c r="AF43" s="0" t="s">
        <v>149</v>
      </c>
      <c r="AH43" s="0" t="n">
        <v>14</v>
      </c>
      <c r="AI43" s="0" t="n">
        <v>11</v>
      </c>
      <c r="AN43" s="0" t="s">
        <v>145</v>
      </c>
      <c r="AO43" s="0" t="s">
        <v>150</v>
      </c>
      <c r="AP43" s="0" t="s">
        <v>151</v>
      </c>
      <c r="AQ43" s="0" t="n">
        <v>9</v>
      </c>
      <c r="AR43" s="0" t="n">
        <v>64</v>
      </c>
      <c r="AS43" s="0" t="n">
        <v>32</v>
      </c>
      <c r="AU43" s="0" t="n">
        <f aca="false">COUNTA($BA$179:$EH$179)</f>
        <v>1</v>
      </c>
      <c r="AV43" s="0" t="n">
        <f aca="false">COUNTIF($BA$179:$EH$179,"D")</f>
        <v>0</v>
      </c>
      <c r="AW43" s="0" t="n">
        <f aca="false">COUNTIF($BA$179:$EH$179,"R")</f>
        <v>0</v>
      </c>
      <c r="AX43" s="0" t="n">
        <f aca="false">IF(BN43="D",1,0)+IF(BO43="D",1,0)+IF(BT43="D",1,0)+IF(BU43="D",1,0)+IF(BW43="D",1,0)+IF(CC43="D",1,0)+IF(CD43="D",1,0)+IF(CE43="D",1,0)+IF(CF43="D",1,0)+IF(CL43="D",1,0)+IF(CM43="D",1,0)+IF(CQ43="D",1,0)+IF(CR43="D",1,0)+IF(CS43="D",1,0)+IF(CW43="D",1,0)+IF(CX43="D",1,0)+IF(DD43="D",1,0)+IF(DE43="D",1,0)+IF(DJ43="D",1,0)+IF(DK43="D",1,0)+IF(DO43="D",1,0)+IF(DP43="D",1,0)+IF(DQ43="D",1,0)+IF(DW43="D",1,0)+IF(DZ43="D",1,0)+IF(EH43="D",1,0)</f>
        <v>0</v>
      </c>
      <c r="AY43" s="0" t="n">
        <f aca="false">COUNTIF(DU43:EH43, "&lt;&gt;")</f>
        <v>3</v>
      </c>
      <c r="AZ43" s="0" t="n">
        <f aca="false">IF(EH43&lt;&gt;"",1,0)</f>
        <v>0</v>
      </c>
      <c r="BB43" s="0" t="s">
        <v>152</v>
      </c>
      <c r="EA43" s="0" t="s">
        <v>153</v>
      </c>
      <c r="ED43" s="0" t="s">
        <v>153</v>
      </c>
      <c r="EF43" s="0" t="s">
        <v>153</v>
      </c>
    </row>
    <row r="44" customFormat="false" ht="13.8" hidden="false" customHeight="false" outlineLevel="0" collapsed="false">
      <c r="A44" s="0" t="s">
        <v>406</v>
      </c>
      <c r="B44" s="0" t="n">
        <v>78</v>
      </c>
      <c r="C44" s="0" t="n">
        <v>489358</v>
      </c>
      <c r="D44" s="0" t="s">
        <v>407</v>
      </c>
      <c r="E44" s="0" t="s">
        <v>408</v>
      </c>
      <c r="F44" s="0" t="str">
        <f aca="false">CONCATENATE(D44," ",LEFT(H44,4),"T=",AU44,"D=",AV44,"R=",AW44,"M=",AX44,"L=",AY44,"B=",AZ44)</f>
        <v>TORRES T=6D=0R=0M=0L=5B=0</v>
      </c>
      <c r="G44" s="0" t="s">
        <v>409</v>
      </c>
      <c r="I44" s="0" t="s">
        <v>410</v>
      </c>
      <c r="J44" s="0" t="s">
        <v>411</v>
      </c>
      <c r="K44" s="0" t="s">
        <v>160</v>
      </c>
      <c r="M44" s="0" t="s">
        <v>405</v>
      </c>
      <c r="N44" s="0" t="str">
        <f aca="false">RIGHT(M44,LEN(M44)-FIND(" ",M44))</f>
        <v>ADELAIDE AVE SE</v>
      </c>
      <c r="P44" s="0" t="s">
        <v>145</v>
      </c>
      <c r="Q44" s="0" t="s">
        <v>146</v>
      </c>
      <c r="R44" s="0" t="n">
        <v>44483</v>
      </c>
      <c r="AD44" s="0" t="s">
        <v>147</v>
      </c>
      <c r="AE44" s="0" t="s">
        <v>148</v>
      </c>
      <c r="AF44" s="0" t="s">
        <v>149</v>
      </c>
      <c r="AH44" s="0" t="n">
        <v>14</v>
      </c>
      <c r="AI44" s="0" t="n">
        <v>11</v>
      </c>
      <c r="AN44" s="0" t="s">
        <v>145</v>
      </c>
      <c r="AO44" s="0" t="s">
        <v>150</v>
      </c>
      <c r="AP44" s="0" t="s">
        <v>151</v>
      </c>
      <c r="AQ44" s="0" t="n">
        <v>9</v>
      </c>
      <c r="AR44" s="0" t="n">
        <v>64</v>
      </c>
      <c r="AS44" s="0" t="n">
        <v>32</v>
      </c>
      <c r="AU44" s="0" t="n">
        <f aca="false">COUNTA($BA$242:$EH$242)</f>
        <v>6</v>
      </c>
      <c r="AV44" s="0" t="n">
        <f aca="false">COUNTIF($BA$242:$EH$242,"D")</f>
        <v>0</v>
      </c>
      <c r="AW44" s="0" t="n">
        <f aca="false">COUNTIF($BA$242:$EH$242,"R")</f>
        <v>0</v>
      </c>
      <c r="AX44" s="0" t="n">
        <f aca="false">IF(BN44="D",1,0)+IF(BO44="D",1,0)+IF(BT44="D",1,0)+IF(BU44="D",1,0)+IF(BW44="D",1,0)+IF(CC44="D",1,0)+IF(CD44="D",1,0)+IF(CE44="D",1,0)+IF(CF44="D",1,0)+IF(CL44="D",1,0)+IF(CM44="D",1,0)+IF(CQ44="D",1,0)+IF(CR44="D",1,0)+IF(CS44="D",1,0)+IF(CW44="D",1,0)+IF(CX44="D",1,0)+IF(DD44="D",1,0)+IF(DE44="D",1,0)+IF(DJ44="D",1,0)+IF(DK44="D",1,0)+IF(DO44="D",1,0)+IF(DP44="D",1,0)+IF(DQ44="D",1,0)+IF(DW44="D",1,0)+IF(DZ44="D",1,0)+IF(EH44="D",1,0)</f>
        <v>0</v>
      </c>
      <c r="AY44" s="0" t="n">
        <f aca="false">COUNTIF(DU44:EH44, "&lt;&gt;")</f>
        <v>5</v>
      </c>
      <c r="AZ44" s="0" t="n">
        <f aca="false">IF(EH44&lt;&gt;"",1,0)</f>
        <v>0</v>
      </c>
      <c r="BB44" s="0" t="s">
        <v>152</v>
      </c>
      <c r="DS44" s="0" t="s">
        <v>175</v>
      </c>
      <c r="DU44" s="0" t="s">
        <v>153</v>
      </c>
      <c r="DX44" s="0" t="s">
        <v>153</v>
      </c>
      <c r="EA44" s="0" t="s">
        <v>153</v>
      </c>
      <c r="ED44" s="0" t="s">
        <v>153</v>
      </c>
      <c r="EF44" s="0" t="s">
        <v>153</v>
      </c>
    </row>
    <row r="45" customFormat="false" ht="13.8" hidden="true" customHeight="false" outlineLevel="0" collapsed="false">
      <c r="A45" s="0" t="s">
        <v>412</v>
      </c>
      <c r="B45" s="0" t="n">
        <v>78</v>
      </c>
      <c r="C45" s="0" t="n">
        <v>420434</v>
      </c>
      <c r="D45" s="0" t="s">
        <v>413</v>
      </c>
      <c r="E45" s="0" t="s">
        <v>414</v>
      </c>
      <c r="F45" s="0" t="str">
        <f aca="false">CONCATENATE(D45," ",LEFT(H45,4),"T=",AU45,"D=",AV45,"R=",AW45,"M=",AX45,"L=",AY45,"B=",AZ45)</f>
        <v>BELL T=4D=0R=0M=0L=0B=0</v>
      </c>
      <c r="G45" s="0" t="s">
        <v>415</v>
      </c>
      <c r="I45" s="0" t="s">
        <v>416</v>
      </c>
      <c r="J45" s="0" t="s">
        <v>264</v>
      </c>
      <c r="K45" s="0" t="s">
        <v>160</v>
      </c>
      <c r="M45" s="0" t="s">
        <v>405</v>
      </c>
      <c r="N45" s="0" t="str">
        <f aca="false">RIGHT(M45,LEN(M45)-FIND(" ",M45))</f>
        <v>ADELAIDE AVE SE</v>
      </c>
      <c r="P45" s="0" t="s">
        <v>145</v>
      </c>
      <c r="Q45" s="0" t="s">
        <v>146</v>
      </c>
      <c r="R45" s="0" t="n">
        <v>44483</v>
      </c>
      <c r="AD45" s="0" t="s">
        <v>147</v>
      </c>
      <c r="AE45" s="0" t="s">
        <v>148</v>
      </c>
      <c r="AF45" s="0" t="s">
        <v>149</v>
      </c>
      <c r="AH45" s="0" t="n">
        <v>14</v>
      </c>
      <c r="AI45" s="0" t="n">
        <v>11</v>
      </c>
      <c r="AN45" s="0" t="s">
        <v>145</v>
      </c>
      <c r="AO45" s="0" t="s">
        <v>150</v>
      </c>
      <c r="AP45" s="0" t="s">
        <v>151</v>
      </c>
      <c r="AQ45" s="0" t="n">
        <v>9</v>
      </c>
      <c r="AR45" s="0" t="n">
        <v>64</v>
      </c>
      <c r="AS45" s="0" t="n">
        <v>32</v>
      </c>
      <c r="AU45" s="0" t="n">
        <f aca="false">COUNTA($BA$785:$EH$785)</f>
        <v>4</v>
      </c>
      <c r="AV45" s="0" t="n">
        <f aca="false">COUNTIF($BA$785:$EH$785,"D")</f>
        <v>0</v>
      </c>
      <c r="AW45" s="0" t="n">
        <f aca="false">COUNTIF($BA$785:$EH$785,"R")</f>
        <v>0</v>
      </c>
      <c r="AX45" s="0" t="n">
        <f aca="false">IF(BN45="D",1,0)+IF(BO45="D",1,0)+IF(BT45="D",1,0)+IF(BU45="D",1,0)+IF(BW45="D",1,0)+IF(CC45="D",1,0)+IF(CD45="D",1,0)+IF(CE45="D",1,0)+IF(CF45="D",1,0)+IF(CL45="D",1,0)+IF(CM45="D",1,0)+IF(CQ45="D",1,0)+IF(CR45="D",1,0)+IF(CS45="D",1,0)+IF(CW45="D",1,0)+IF(CX45="D",1,0)+IF(DD45="D",1,0)+IF(DE45="D",1,0)+IF(DJ45="D",1,0)+IF(DK45="D",1,0)+IF(DO45="D",1,0)+IF(DP45="D",1,0)+IF(DQ45="D",1,0)+IF(DW45="D",1,0)+IF(DZ45="D",1,0)+IF(EH45="D",1,0)</f>
        <v>0</v>
      </c>
      <c r="AY45" s="0" t="n">
        <f aca="false">COUNTIF(DU45:EH45, "&lt;&gt;")</f>
        <v>0</v>
      </c>
      <c r="AZ45" s="0" t="n">
        <f aca="false">IF(EH45&lt;&gt;"",1,0)</f>
        <v>0</v>
      </c>
      <c r="BB45" s="0" t="s">
        <v>152</v>
      </c>
      <c r="CA45" s="0" t="s">
        <v>153</v>
      </c>
      <c r="CP45" s="0" t="s">
        <v>153</v>
      </c>
      <c r="DN45" s="0" t="s">
        <v>153</v>
      </c>
    </row>
    <row r="46" customFormat="false" ht="13.8" hidden="false" customHeight="false" outlineLevel="0" collapsed="false">
      <c r="A46" s="0" t="s">
        <v>417</v>
      </c>
      <c r="B46" s="0" t="n">
        <v>78</v>
      </c>
      <c r="C46" s="0" t="n">
        <v>419488</v>
      </c>
      <c r="D46" s="0" t="s">
        <v>418</v>
      </c>
      <c r="E46" s="0" t="s">
        <v>419</v>
      </c>
      <c r="F46" s="0" t="str">
        <f aca="false">CONCATENATE(D46," ",LEFT(H46,4),"T=",AU46,"D=",AV46,"R=",AW46,"M=",AX46,"L=",AY46,"B=",AZ46)</f>
        <v>OFORI T=1D=0R=0M=0L=4B=0</v>
      </c>
      <c r="G46" s="0" t="s">
        <v>195</v>
      </c>
      <c r="I46" s="0" t="s">
        <v>420</v>
      </c>
      <c r="J46" s="0" t="s">
        <v>421</v>
      </c>
      <c r="K46" s="0" t="s">
        <v>160</v>
      </c>
      <c r="L46" s="0" t="s">
        <v>209</v>
      </c>
      <c r="M46" s="0" t="s">
        <v>422</v>
      </c>
      <c r="N46" s="0" t="str">
        <f aca="false">RIGHT(M46,LEN(M46)-FIND(" ",M46))</f>
        <v>ADELAIDE AVE SE</v>
      </c>
      <c r="P46" s="0" t="s">
        <v>145</v>
      </c>
      <c r="Q46" s="0" t="s">
        <v>146</v>
      </c>
      <c r="R46" s="0" t="n">
        <v>44483</v>
      </c>
      <c r="AD46" s="0" t="s">
        <v>147</v>
      </c>
      <c r="AE46" s="0" t="s">
        <v>148</v>
      </c>
      <c r="AF46" s="0" t="s">
        <v>149</v>
      </c>
      <c r="AH46" s="0" t="n">
        <v>14</v>
      </c>
      <c r="AI46" s="0" t="n">
        <v>11</v>
      </c>
      <c r="AN46" s="0" t="s">
        <v>145</v>
      </c>
      <c r="AO46" s="0" t="s">
        <v>150</v>
      </c>
      <c r="AP46" s="0" t="s">
        <v>151</v>
      </c>
      <c r="AQ46" s="0" t="n">
        <v>9</v>
      </c>
      <c r="AR46" s="0" t="n">
        <v>64</v>
      </c>
      <c r="AS46" s="0" t="n">
        <v>32</v>
      </c>
      <c r="AU46" s="0" t="n">
        <f aca="false">COUNTA($BA$482:$EH$482)</f>
        <v>1</v>
      </c>
      <c r="AV46" s="0" t="n">
        <f aca="false">COUNTIF($BA$482:$EH$482,"D")</f>
        <v>0</v>
      </c>
      <c r="AW46" s="0" t="n">
        <f aca="false">COUNTIF($BA$482:$EH$482,"R")</f>
        <v>0</v>
      </c>
      <c r="AX46" s="0" t="n">
        <f aca="false">IF(BN46="D",1,0)+IF(BO46="D",1,0)+IF(BT46="D",1,0)+IF(BU46="D",1,0)+IF(BW46="D",1,0)+IF(CC46="D",1,0)+IF(CD46="D",1,0)+IF(CE46="D",1,0)+IF(CF46="D",1,0)+IF(CL46="D",1,0)+IF(CM46="D",1,0)+IF(CQ46="D",1,0)+IF(CR46="D",1,0)+IF(CS46="D",1,0)+IF(CW46="D",1,0)+IF(CX46="D",1,0)+IF(DD46="D",1,0)+IF(DE46="D",1,0)+IF(DJ46="D",1,0)+IF(DK46="D",1,0)+IF(DO46="D",1,0)+IF(DP46="D",1,0)+IF(DQ46="D",1,0)+IF(DW46="D",1,0)+IF(DZ46="D",1,0)+IF(EH46="D",1,0)</f>
        <v>0</v>
      </c>
      <c r="AY46" s="0" t="n">
        <f aca="false">COUNTIF(DU46:EH46, "&lt;&gt;")</f>
        <v>4</v>
      </c>
      <c r="AZ46" s="0" t="n">
        <f aca="false">IF(EH46&lt;&gt;"",1,0)</f>
        <v>0</v>
      </c>
      <c r="BB46" s="0" t="s">
        <v>152</v>
      </c>
      <c r="BL46" s="0" t="s">
        <v>153</v>
      </c>
      <c r="BP46" s="0" t="s">
        <v>153</v>
      </c>
      <c r="BS46" s="0" t="s">
        <v>153</v>
      </c>
      <c r="DC46" s="0" t="s">
        <v>153</v>
      </c>
      <c r="DF46" s="0" t="s">
        <v>153</v>
      </c>
      <c r="DG46" s="0" t="s">
        <v>209</v>
      </c>
      <c r="DI46" s="0" t="s">
        <v>153</v>
      </c>
      <c r="DM46" s="0" t="s">
        <v>209</v>
      </c>
      <c r="DN46" s="0" t="s">
        <v>153</v>
      </c>
      <c r="DX46" s="0" t="s">
        <v>153</v>
      </c>
      <c r="EA46" s="0" t="s">
        <v>153</v>
      </c>
      <c r="ED46" s="0" t="s">
        <v>209</v>
      </c>
      <c r="EF46" s="0" t="s">
        <v>153</v>
      </c>
    </row>
    <row r="47" customFormat="false" ht="13.8" hidden="false" customHeight="false" outlineLevel="0" collapsed="false">
      <c r="A47" s="0" t="s">
        <v>423</v>
      </c>
      <c r="B47" s="0" t="n">
        <v>78</v>
      </c>
      <c r="C47" s="0" t="n">
        <v>419487</v>
      </c>
      <c r="D47" s="0" t="s">
        <v>424</v>
      </c>
      <c r="E47" s="0" t="s">
        <v>331</v>
      </c>
      <c r="F47" s="0" t="str">
        <f aca="false">CONCATENATE(D47," ",LEFT(H47,4),"T=",AU47,"D=",AV47,"R=",AW47,"M=",AX47,"L=",AY47,"B=",AZ47)</f>
        <v>RYAN T=1D=0R=0M=0L=5B=0</v>
      </c>
      <c r="G47" s="0" t="s">
        <v>425</v>
      </c>
      <c r="I47" s="0" t="s">
        <v>426</v>
      </c>
      <c r="J47" s="0" t="s">
        <v>427</v>
      </c>
      <c r="K47" s="0" t="s">
        <v>160</v>
      </c>
      <c r="L47" s="0" t="s">
        <v>209</v>
      </c>
      <c r="M47" s="0" t="s">
        <v>422</v>
      </c>
      <c r="N47" s="0" t="str">
        <f aca="false">RIGHT(M47,LEN(M47)-FIND(" ",M47))</f>
        <v>ADELAIDE AVE SE</v>
      </c>
      <c r="P47" s="0" t="s">
        <v>145</v>
      </c>
      <c r="Q47" s="0" t="s">
        <v>146</v>
      </c>
      <c r="R47" s="0" t="n">
        <v>44483</v>
      </c>
      <c r="AD47" s="0" t="s">
        <v>147</v>
      </c>
      <c r="AE47" s="0" t="s">
        <v>148</v>
      </c>
      <c r="AF47" s="0" t="s">
        <v>149</v>
      </c>
      <c r="AH47" s="0" t="n">
        <v>14</v>
      </c>
      <c r="AI47" s="0" t="n">
        <v>11</v>
      </c>
      <c r="AN47" s="0" t="s">
        <v>145</v>
      </c>
      <c r="AO47" s="0" t="s">
        <v>150</v>
      </c>
      <c r="AP47" s="0" t="s">
        <v>151</v>
      </c>
      <c r="AQ47" s="0" t="n">
        <v>9</v>
      </c>
      <c r="AR47" s="0" t="n">
        <v>64</v>
      </c>
      <c r="AS47" s="0" t="n">
        <v>32</v>
      </c>
      <c r="AU47" s="0" t="n">
        <f aca="false">COUNTA($BA$712:$EH$712)</f>
        <v>1</v>
      </c>
      <c r="AV47" s="0" t="n">
        <f aca="false">COUNTIF($BA$712:$EH$712,"D")</f>
        <v>0</v>
      </c>
      <c r="AW47" s="0" t="n">
        <f aca="false">COUNTIF($BA$712:$EH$712,"R")</f>
        <v>0</v>
      </c>
      <c r="AX47" s="0" t="n">
        <f aca="false">IF(BN47="D",1,0)+IF(BO47="D",1,0)+IF(BT47="D",1,0)+IF(BU47="D",1,0)+IF(BW47="D",1,0)+IF(CC47="D",1,0)+IF(CD47="D",1,0)+IF(CE47="D",1,0)+IF(CF47="D",1,0)+IF(CL47="D",1,0)+IF(CM47="D",1,0)+IF(CQ47="D",1,0)+IF(CR47="D",1,0)+IF(CS47="D",1,0)+IF(CW47="D",1,0)+IF(CX47="D",1,0)+IF(DD47="D",1,0)+IF(DE47="D",1,0)+IF(DJ47="D",1,0)+IF(DK47="D",1,0)+IF(DO47="D",1,0)+IF(DP47="D",1,0)+IF(DQ47="D",1,0)+IF(DW47="D",1,0)+IF(DZ47="D",1,0)+IF(EH47="D",1,0)</f>
        <v>0</v>
      </c>
      <c r="AY47" s="0" t="n">
        <f aca="false">COUNTIF(DU47:EH47, "&lt;&gt;")</f>
        <v>5</v>
      </c>
      <c r="AZ47" s="0" t="n">
        <f aca="false">IF(EH47&lt;&gt;"",1,0)</f>
        <v>0</v>
      </c>
      <c r="BB47" s="0" t="s">
        <v>152</v>
      </c>
      <c r="DC47" s="0" t="s">
        <v>153</v>
      </c>
      <c r="DG47" s="0" t="s">
        <v>209</v>
      </c>
      <c r="DI47" s="0" t="s">
        <v>153</v>
      </c>
      <c r="DM47" s="0" t="s">
        <v>209</v>
      </c>
      <c r="DN47" s="0" t="s">
        <v>153</v>
      </c>
      <c r="DS47" s="0" t="s">
        <v>209</v>
      </c>
      <c r="DU47" s="0" t="s">
        <v>153</v>
      </c>
      <c r="DX47" s="0" t="s">
        <v>153</v>
      </c>
      <c r="EA47" s="0" t="s">
        <v>153</v>
      </c>
      <c r="ED47" s="0" t="s">
        <v>209</v>
      </c>
      <c r="EF47" s="0" t="s">
        <v>153</v>
      </c>
    </row>
    <row r="48" customFormat="false" ht="13.8" hidden="false" customHeight="false" outlineLevel="0" collapsed="false">
      <c r="A48" s="0" t="s">
        <v>428</v>
      </c>
      <c r="B48" s="0" t="n">
        <v>78</v>
      </c>
      <c r="C48" s="0" t="n">
        <v>104062</v>
      </c>
      <c r="D48" s="0" t="s">
        <v>429</v>
      </c>
      <c r="E48" s="0" t="s">
        <v>379</v>
      </c>
      <c r="F48" s="0" t="str">
        <f aca="false">CONCATENATE(D48," ",LEFT(H48,4),"T=",AU48,"D=",AV48,"R=",AW48,"M=",AX48,"L=",AY48,"B=",AZ48)</f>
        <v>RIESER T=1D=0R=0M=7L=7B=1</v>
      </c>
      <c r="G48" s="0" t="s">
        <v>171</v>
      </c>
      <c r="I48" s="0" t="s">
        <v>430</v>
      </c>
      <c r="J48" s="0" t="s">
        <v>431</v>
      </c>
      <c r="K48" s="0" t="s">
        <v>160</v>
      </c>
      <c r="L48" s="0" t="s">
        <v>175</v>
      </c>
      <c r="M48" s="0" t="s">
        <v>432</v>
      </c>
      <c r="N48" s="0" t="str">
        <f aca="false">RIGHT(M48,LEN(M48)-FIND(" ",M48))</f>
        <v>ADELAIDE AVE SE</v>
      </c>
      <c r="P48" s="0" t="s">
        <v>145</v>
      </c>
      <c r="Q48" s="0" t="s">
        <v>146</v>
      </c>
      <c r="R48" s="0" t="n">
        <v>44483</v>
      </c>
      <c r="AD48" s="0" t="s">
        <v>147</v>
      </c>
      <c r="AE48" s="0" t="s">
        <v>148</v>
      </c>
      <c r="AF48" s="0" t="s">
        <v>149</v>
      </c>
      <c r="AH48" s="0" t="n">
        <v>14</v>
      </c>
      <c r="AI48" s="0" t="n">
        <v>11</v>
      </c>
      <c r="AN48" s="0" t="s">
        <v>145</v>
      </c>
      <c r="AO48" s="0" t="s">
        <v>150</v>
      </c>
      <c r="AP48" s="0" t="s">
        <v>151</v>
      </c>
      <c r="AQ48" s="0" t="n">
        <v>9</v>
      </c>
      <c r="AR48" s="0" t="n">
        <v>64</v>
      </c>
      <c r="AS48" s="0" t="n">
        <v>32</v>
      </c>
      <c r="AU48" s="0" t="n">
        <f aca="false">COUNTA($BA$770:$EH$770)</f>
        <v>1</v>
      </c>
      <c r="AV48" s="0" t="n">
        <f aca="false">COUNTIF($BA$770:$EH$770,"D")</f>
        <v>0</v>
      </c>
      <c r="AW48" s="0" t="n">
        <f aca="false">COUNTIF($BA$770:$EH$770,"R")</f>
        <v>0</v>
      </c>
      <c r="AX48" s="0" t="n">
        <f aca="false">IF(BN48="D",1,0)+IF(BO48="D",1,0)+IF(BT48="D",1,0)+IF(BU48="D",1,0)+IF(BW48="D",1,0)+IF(CC48="D",1,0)+IF(CD48="D",1,0)+IF(CE48="D",1,0)+IF(CF48="D",1,0)+IF(CL48="D",1,0)+IF(CM48="D",1,0)+IF(CQ48="D",1,0)+IF(CR48="D",1,0)+IF(CS48="D",1,0)+IF(CW48="D",1,0)+IF(CX48="D",1,0)+IF(DD48="D",1,0)+IF(DE48="D",1,0)+IF(DJ48="D",1,0)+IF(DK48="D",1,0)+IF(DO48="D",1,0)+IF(DP48="D",1,0)+IF(DQ48="D",1,0)+IF(DW48="D",1,0)+IF(DZ48="D",1,0)+IF(EH48="D",1,0)</f>
        <v>7</v>
      </c>
      <c r="AY48" s="0" t="n">
        <f aca="false">COUNTIF(DU48:EH48, "&lt;&gt;")</f>
        <v>7</v>
      </c>
      <c r="AZ48" s="0" t="n">
        <f aca="false">IF(EH48&lt;&gt;"",1,0)</f>
        <v>1</v>
      </c>
      <c r="BB48" s="0" t="s">
        <v>152</v>
      </c>
      <c r="BD48" s="0" t="s">
        <v>153</v>
      </c>
      <c r="BE48" s="0" t="s">
        <v>153</v>
      </c>
      <c r="BG48" s="0" t="s">
        <v>153</v>
      </c>
      <c r="BJ48" s="0" t="s">
        <v>153</v>
      </c>
      <c r="BK48" s="0" t="s">
        <v>153</v>
      </c>
      <c r="BL48" s="0" t="s">
        <v>153</v>
      </c>
      <c r="BP48" s="0" t="s">
        <v>153</v>
      </c>
      <c r="BS48" s="0" t="s">
        <v>153</v>
      </c>
      <c r="BY48" s="0" t="s">
        <v>175</v>
      </c>
      <c r="CA48" s="0" t="s">
        <v>153</v>
      </c>
      <c r="CG48" s="0" t="s">
        <v>153</v>
      </c>
      <c r="CH48" s="0" t="s">
        <v>175</v>
      </c>
      <c r="CK48" s="0" t="s">
        <v>153</v>
      </c>
      <c r="CL48" s="0" t="s">
        <v>175</v>
      </c>
      <c r="CN48" s="0" t="s">
        <v>153</v>
      </c>
      <c r="CO48" s="0" t="s">
        <v>175</v>
      </c>
      <c r="CP48" s="0" t="s">
        <v>153</v>
      </c>
      <c r="CQ48" s="0" t="s">
        <v>175</v>
      </c>
      <c r="CT48" s="0" t="s">
        <v>153</v>
      </c>
      <c r="CV48" s="0" t="s">
        <v>153</v>
      </c>
      <c r="CW48" s="0" t="s">
        <v>175</v>
      </c>
      <c r="CY48" s="0" t="s">
        <v>153</v>
      </c>
      <c r="CZ48" s="0" t="s">
        <v>175</v>
      </c>
      <c r="DC48" s="0" t="s">
        <v>153</v>
      </c>
      <c r="DD48" s="0" t="s">
        <v>175</v>
      </c>
      <c r="DF48" s="0" t="s">
        <v>153</v>
      </c>
      <c r="DG48" s="0" t="s">
        <v>175</v>
      </c>
      <c r="DI48" s="0" t="s">
        <v>153</v>
      </c>
      <c r="DJ48" s="0" t="s">
        <v>175</v>
      </c>
      <c r="DM48" s="0" t="s">
        <v>175</v>
      </c>
      <c r="DN48" s="0" t="s">
        <v>153</v>
      </c>
      <c r="DR48" s="0" t="s">
        <v>153</v>
      </c>
      <c r="DS48" s="0" t="s">
        <v>175</v>
      </c>
      <c r="DT48" s="0" t="s">
        <v>175</v>
      </c>
      <c r="DU48" s="0" t="s">
        <v>153</v>
      </c>
      <c r="DW48" s="0" t="s">
        <v>175</v>
      </c>
      <c r="DX48" s="0" t="s">
        <v>153</v>
      </c>
      <c r="EA48" s="0" t="s">
        <v>153</v>
      </c>
      <c r="ED48" s="0" t="s">
        <v>209</v>
      </c>
      <c r="EF48" s="0" t="s">
        <v>153</v>
      </c>
      <c r="EH48" s="0" t="s">
        <v>175</v>
      </c>
    </row>
    <row r="49" customFormat="false" ht="13.8" hidden="true" customHeight="false" outlineLevel="0" collapsed="false">
      <c r="A49" s="0" t="s">
        <v>433</v>
      </c>
      <c r="B49" s="0" t="n">
        <v>78</v>
      </c>
      <c r="C49" s="0" t="n">
        <v>252000</v>
      </c>
      <c r="D49" s="0" t="s">
        <v>434</v>
      </c>
      <c r="E49" s="0" t="s">
        <v>208</v>
      </c>
      <c r="F49" s="0" t="str">
        <f aca="false">CONCATENATE(D49," ",LEFT(H49,4),"T=",AU49,"D=",AV49,"R=",AW49,"M=",AX49,"L=",AY49,"B=",AZ49)</f>
        <v>FOX T=2D=0R=0M=0L=1B=0</v>
      </c>
      <c r="G49" s="0" t="s">
        <v>435</v>
      </c>
      <c r="I49" s="0" t="s">
        <v>436</v>
      </c>
      <c r="J49" s="0" t="s">
        <v>437</v>
      </c>
      <c r="K49" s="0" t="s">
        <v>143</v>
      </c>
      <c r="M49" s="0" t="s">
        <v>438</v>
      </c>
      <c r="N49" s="0" t="str">
        <f aca="false">RIGHT(M49,LEN(M49)-FIND(" ",M49))</f>
        <v>ADELAIDE AVE SE</v>
      </c>
      <c r="P49" s="0" t="s">
        <v>145</v>
      </c>
      <c r="Q49" s="0" t="s">
        <v>146</v>
      </c>
      <c r="R49" s="0" t="n">
        <v>44483</v>
      </c>
      <c r="AD49" s="0" t="s">
        <v>147</v>
      </c>
      <c r="AE49" s="0" t="s">
        <v>148</v>
      </c>
      <c r="AF49" s="0" t="s">
        <v>149</v>
      </c>
      <c r="AH49" s="0" t="n">
        <v>14</v>
      </c>
      <c r="AI49" s="0" t="n">
        <v>11</v>
      </c>
      <c r="AN49" s="0" t="s">
        <v>145</v>
      </c>
      <c r="AO49" s="0" t="s">
        <v>150</v>
      </c>
      <c r="AP49" s="0" t="s">
        <v>151</v>
      </c>
      <c r="AQ49" s="0" t="n">
        <v>9</v>
      </c>
      <c r="AR49" s="0" t="n">
        <v>64</v>
      </c>
      <c r="AS49" s="0" t="n">
        <v>32</v>
      </c>
      <c r="AU49" s="0" t="n">
        <f aca="false">COUNTA($BA$186:$EH$186)</f>
        <v>2</v>
      </c>
      <c r="AV49" s="0" t="n">
        <f aca="false">COUNTIF($BA$186:$EH$186,"D")</f>
        <v>0</v>
      </c>
      <c r="AW49" s="0" t="n">
        <f aca="false">COUNTIF($BA$186:$EH$186,"R")</f>
        <v>0</v>
      </c>
      <c r="AX49" s="0" t="n">
        <f aca="false">IF(BN49="D",1,0)+IF(BO49="D",1,0)+IF(BT49="D",1,0)+IF(BU49="D",1,0)+IF(BW49="D",1,0)+IF(CC49="D",1,0)+IF(CD49="D",1,0)+IF(CE49="D",1,0)+IF(CF49="D",1,0)+IF(CL49="D",1,0)+IF(CM49="D",1,0)+IF(CQ49="D",1,0)+IF(CR49="D",1,0)+IF(CS49="D",1,0)+IF(CW49="D",1,0)+IF(CX49="D",1,0)+IF(DD49="D",1,0)+IF(DE49="D",1,0)+IF(DJ49="D",1,0)+IF(DK49="D",1,0)+IF(DO49="D",1,0)+IF(DP49="D",1,0)+IF(DQ49="D",1,0)+IF(DW49="D",1,0)+IF(DZ49="D",1,0)+IF(EH49="D",1,0)</f>
        <v>0</v>
      </c>
      <c r="AY49" s="0" t="n">
        <f aca="false">COUNTIF(DU49:EH49, "&lt;&gt;")</f>
        <v>1</v>
      </c>
      <c r="AZ49" s="0" t="n">
        <f aca="false">IF(EH49&lt;&gt;"",1,0)</f>
        <v>0</v>
      </c>
      <c r="BB49" s="0" t="s">
        <v>152</v>
      </c>
      <c r="BC49" s="0" t="s">
        <v>153</v>
      </c>
      <c r="BD49" s="0" t="s">
        <v>153</v>
      </c>
      <c r="BE49" s="0" t="s">
        <v>153</v>
      </c>
      <c r="BH49" s="0" t="s">
        <v>153</v>
      </c>
      <c r="BK49" s="0" t="s">
        <v>153</v>
      </c>
      <c r="BL49" s="0" t="s">
        <v>153</v>
      </c>
      <c r="BP49" s="0" t="s">
        <v>153</v>
      </c>
      <c r="BS49" s="0" t="s">
        <v>153</v>
      </c>
      <c r="BY49" s="0" t="s">
        <v>175</v>
      </c>
      <c r="CA49" s="0" t="s">
        <v>153</v>
      </c>
      <c r="CG49" s="0" t="s">
        <v>153</v>
      </c>
      <c r="CN49" s="0" t="s">
        <v>153</v>
      </c>
      <c r="CP49" s="0" t="s">
        <v>153</v>
      </c>
      <c r="CV49" s="0" t="s">
        <v>153</v>
      </c>
      <c r="CY49" s="0" t="s">
        <v>153</v>
      </c>
      <c r="DC49" s="0" t="s">
        <v>153</v>
      </c>
      <c r="DF49" s="0" t="s">
        <v>153</v>
      </c>
      <c r="DU49" s="0" t="s">
        <v>153</v>
      </c>
    </row>
    <row r="50" customFormat="false" ht="13.8" hidden="false" customHeight="false" outlineLevel="0" collapsed="false">
      <c r="A50" s="0" t="s">
        <v>439</v>
      </c>
      <c r="B50" s="0" t="n">
        <v>78</v>
      </c>
      <c r="C50" s="0" t="n">
        <v>446808</v>
      </c>
      <c r="D50" s="0" t="s">
        <v>440</v>
      </c>
      <c r="E50" s="0" t="s">
        <v>441</v>
      </c>
      <c r="F50" s="0" t="str">
        <f aca="false">CONCATENATE(D50," ",LEFT(H50,4),"T=",AU50,"D=",AV50,"R=",AW50,"M=",AX50,"L=",AY50,"B=",AZ50)</f>
        <v>SMOCK T=5D=0R=0M=0L=3B=0</v>
      </c>
      <c r="G50" s="0" t="s">
        <v>442</v>
      </c>
      <c r="I50" s="0" t="s">
        <v>443</v>
      </c>
      <c r="J50" s="0" t="s">
        <v>444</v>
      </c>
      <c r="K50" s="0" t="s">
        <v>160</v>
      </c>
      <c r="M50" s="0" t="s">
        <v>438</v>
      </c>
      <c r="N50" s="0" t="str">
        <f aca="false">RIGHT(M50,LEN(M50)-FIND(" ",M50))</f>
        <v>ADELAIDE AVE SE</v>
      </c>
      <c r="P50" s="0" t="s">
        <v>145</v>
      </c>
      <c r="Q50" s="0" t="s">
        <v>146</v>
      </c>
      <c r="R50" s="0" t="n">
        <v>44483</v>
      </c>
      <c r="AD50" s="0" t="s">
        <v>147</v>
      </c>
      <c r="AE50" s="0" t="s">
        <v>148</v>
      </c>
      <c r="AF50" s="0" t="s">
        <v>149</v>
      </c>
      <c r="AH50" s="0" t="n">
        <v>14</v>
      </c>
      <c r="AI50" s="0" t="n">
        <v>11</v>
      </c>
      <c r="AN50" s="0" t="s">
        <v>145</v>
      </c>
      <c r="AO50" s="0" t="s">
        <v>150</v>
      </c>
      <c r="AP50" s="0" t="s">
        <v>151</v>
      </c>
      <c r="AQ50" s="0" t="n">
        <v>9</v>
      </c>
      <c r="AR50" s="0" t="n">
        <v>64</v>
      </c>
      <c r="AS50" s="0" t="n">
        <v>32</v>
      </c>
      <c r="AU50" s="0" t="n">
        <f aca="false">COUNTA($BA$371:$EH$371)</f>
        <v>5</v>
      </c>
      <c r="AV50" s="0" t="n">
        <f aca="false">COUNTIF($BA$371:$EH$371,"D")</f>
        <v>0</v>
      </c>
      <c r="AW50" s="0" t="n">
        <f aca="false">COUNTIF($BA$371:$EH$371,"R")</f>
        <v>0</v>
      </c>
      <c r="AX50" s="0" t="n">
        <f aca="false">IF(BN50="D",1,0)+IF(BO50="D",1,0)+IF(BT50="D",1,0)+IF(BU50="D",1,0)+IF(BW50="D",1,0)+IF(CC50="D",1,0)+IF(CD50="D",1,0)+IF(CE50="D",1,0)+IF(CF50="D",1,0)+IF(CL50="D",1,0)+IF(CM50="D",1,0)+IF(CQ50="D",1,0)+IF(CR50="D",1,0)+IF(CS50="D",1,0)+IF(CW50="D",1,0)+IF(CX50="D",1,0)+IF(DD50="D",1,0)+IF(DE50="D",1,0)+IF(DJ50="D",1,0)+IF(DK50="D",1,0)+IF(DO50="D",1,0)+IF(DP50="D",1,0)+IF(DQ50="D",1,0)+IF(DW50="D",1,0)+IF(DZ50="D",1,0)+IF(EH50="D",1,0)</f>
        <v>0</v>
      </c>
      <c r="AY50" s="0" t="n">
        <f aca="false">COUNTIF(DU50:EH50, "&lt;&gt;")</f>
        <v>3</v>
      </c>
      <c r="AZ50" s="0" t="n">
        <f aca="false">IF(EH50&lt;&gt;"",1,0)</f>
        <v>0</v>
      </c>
      <c r="BB50" s="0" t="s">
        <v>152</v>
      </c>
      <c r="DN50" s="0" t="s">
        <v>153</v>
      </c>
      <c r="DU50" s="0" t="s">
        <v>153</v>
      </c>
      <c r="DX50" s="0" t="s">
        <v>153</v>
      </c>
      <c r="EF50" s="0" t="s">
        <v>153</v>
      </c>
    </row>
    <row r="51" customFormat="false" ht="13.8" hidden="true" customHeight="false" outlineLevel="0" collapsed="false">
      <c r="A51" s="0" t="s">
        <v>445</v>
      </c>
      <c r="B51" s="0" t="n">
        <v>78</v>
      </c>
      <c r="C51" s="0" t="n">
        <v>495243</v>
      </c>
      <c r="D51" s="0" t="s">
        <v>446</v>
      </c>
      <c r="E51" s="0" t="s">
        <v>184</v>
      </c>
      <c r="F51" s="0" t="str">
        <f aca="false">CONCATENATE(D51," ",LEFT(H51,4),"T=",AU51,"D=",AV51,"R=",AW51,"M=",AX51,"L=",AY51,"B=",AZ51)</f>
        <v>BRYANT T=2D=0R=0M=0L=0B=0</v>
      </c>
      <c r="G51" s="0" t="s">
        <v>447</v>
      </c>
      <c r="I51" s="0" t="s">
        <v>448</v>
      </c>
      <c r="J51" s="0" t="s">
        <v>449</v>
      </c>
      <c r="K51" s="0" t="s">
        <v>160</v>
      </c>
      <c r="M51" s="0" t="s">
        <v>450</v>
      </c>
      <c r="N51" s="0" t="str">
        <f aca="false">RIGHT(M51,LEN(M51)-FIND(" ",M51))</f>
        <v>ADELAIDE AVE SE</v>
      </c>
      <c r="O51" s="0" t="s">
        <v>297</v>
      </c>
      <c r="P51" s="0" t="s">
        <v>145</v>
      </c>
      <c r="Q51" s="0" t="s">
        <v>146</v>
      </c>
      <c r="R51" s="0" t="n">
        <v>44483</v>
      </c>
      <c r="AD51" s="0" t="s">
        <v>147</v>
      </c>
      <c r="AE51" s="0" t="s">
        <v>148</v>
      </c>
      <c r="AF51" s="0" t="s">
        <v>149</v>
      </c>
      <c r="AH51" s="0" t="n">
        <v>14</v>
      </c>
      <c r="AI51" s="0" t="n">
        <v>11</v>
      </c>
      <c r="AN51" s="0" t="s">
        <v>145</v>
      </c>
      <c r="AO51" s="0" t="s">
        <v>150</v>
      </c>
      <c r="AP51" s="0" t="s">
        <v>151</v>
      </c>
      <c r="AQ51" s="0" t="n">
        <v>9</v>
      </c>
      <c r="AR51" s="0" t="n">
        <v>64</v>
      </c>
      <c r="AS51" s="0" t="n">
        <v>32</v>
      </c>
      <c r="AU51" s="0" t="n">
        <f aca="false">COUNTA($BA$97:$EH$97)</f>
        <v>2</v>
      </c>
      <c r="AV51" s="0" t="n">
        <f aca="false">COUNTIF($BA$97:$EH$97,"D")</f>
        <v>0</v>
      </c>
      <c r="AW51" s="0" t="n">
        <f aca="false">COUNTIF($BA$97:$EH$97,"R")</f>
        <v>0</v>
      </c>
      <c r="AX51" s="0" t="n">
        <f aca="false">IF(BN51="D",1,0)+IF(BO51="D",1,0)+IF(BT51="D",1,0)+IF(BU51="D",1,0)+IF(BW51="D",1,0)+IF(CC51="D",1,0)+IF(CD51="D",1,0)+IF(CE51="D",1,0)+IF(CF51="D",1,0)+IF(CL51="D",1,0)+IF(CM51="D",1,0)+IF(CQ51="D",1,0)+IF(CR51="D",1,0)+IF(CS51="D",1,0)+IF(CW51="D",1,0)+IF(CX51="D",1,0)+IF(DD51="D",1,0)+IF(DE51="D",1,0)+IF(DJ51="D",1,0)+IF(DK51="D",1,0)+IF(DO51="D",1,0)+IF(DP51="D",1,0)+IF(DQ51="D",1,0)+IF(DW51="D",1,0)+IF(DZ51="D",1,0)+IF(EH51="D",1,0)</f>
        <v>0</v>
      </c>
      <c r="AY51" s="0" t="n">
        <f aca="false">COUNTIF(DU51:EH51, "&lt;&gt;")</f>
        <v>0</v>
      </c>
      <c r="AZ51" s="0" t="n">
        <f aca="false">IF(EH51&lt;&gt;"",1,0)</f>
        <v>0</v>
      </c>
      <c r="BB51" s="0" t="s">
        <v>152</v>
      </c>
    </row>
    <row r="52" customFormat="false" ht="13.8" hidden="true" customHeight="false" outlineLevel="0" collapsed="false">
      <c r="A52" s="0" t="s">
        <v>451</v>
      </c>
      <c r="B52" s="0" t="n">
        <v>78</v>
      </c>
      <c r="C52" s="0" t="n">
        <v>488963</v>
      </c>
      <c r="D52" s="0" t="s">
        <v>452</v>
      </c>
      <c r="E52" s="0" t="s">
        <v>224</v>
      </c>
      <c r="F52" s="0" t="str">
        <f aca="false">CONCATENATE(D52," ",LEFT(H52,4),"T=",AU52,"D=",AV52,"R=",AW52,"M=",AX52,"L=",AY52,"B=",AZ52)</f>
        <v>HOWARD T=29D=8R=0M=0L=1B=0</v>
      </c>
      <c r="G52" s="0" t="s">
        <v>453</v>
      </c>
      <c r="I52" s="0" t="s">
        <v>454</v>
      </c>
      <c r="J52" s="0" t="s">
        <v>455</v>
      </c>
      <c r="K52" s="0" t="s">
        <v>160</v>
      </c>
      <c r="M52" s="0" t="s">
        <v>450</v>
      </c>
      <c r="N52" s="0" t="str">
        <f aca="false">RIGHT(M52,LEN(M52)-FIND(" ",M52))</f>
        <v>ADELAIDE AVE SE</v>
      </c>
      <c r="P52" s="0" t="s">
        <v>145</v>
      </c>
      <c r="Q52" s="0" t="s">
        <v>146</v>
      </c>
      <c r="R52" s="0" t="n">
        <v>44483</v>
      </c>
      <c r="AD52" s="0" t="s">
        <v>147</v>
      </c>
      <c r="AE52" s="0" t="s">
        <v>148</v>
      </c>
      <c r="AF52" s="0" t="s">
        <v>149</v>
      </c>
      <c r="AH52" s="0" t="n">
        <v>14</v>
      </c>
      <c r="AI52" s="0" t="n">
        <v>11</v>
      </c>
      <c r="AN52" s="0" t="s">
        <v>145</v>
      </c>
      <c r="AO52" s="0" t="s">
        <v>150</v>
      </c>
      <c r="AP52" s="0" t="s">
        <v>151</v>
      </c>
      <c r="AQ52" s="0" t="n">
        <v>9</v>
      </c>
      <c r="AR52" s="0" t="n">
        <v>64</v>
      </c>
      <c r="AS52" s="0" t="n">
        <v>32</v>
      </c>
      <c r="AU52" s="0" t="n">
        <f aca="false">COUNTA($BA$855:$EH$855)</f>
        <v>29</v>
      </c>
      <c r="AV52" s="0" t="n">
        <f aca="false">COUNTIF($BA$855:$EH$855,"D")</f>
        <v>8</v>
      </c>
      <c r="AW52" s="0" t="n">
        <f aca="false">COUNTIF($BA$855:$EH$855,"R")</f>
        <v>0</v>
      </c>
      <c r="AX52" s="0" t="n">
        <f aca="false">IF(BN52="D",1,0)+IF(BO52="D",1,0)+IF(BT52="D",1,0)+IF(BU52="D",1,0)+IF(BW52="D",1,0)+IF(CC52="D",1,0)+IF(CD52="D",1,0)+IF(CE52="D",1,0)+IF(CF52="D",1,0)+IF(CL52="D",1,0)+IF(CM52="D",1,0)+IF(CQ52="D",1,0)+IF(CR52="D",1,0)+IF(CS52="D",1,0)+IF(CW52="D",1,0)+IF(CX52="D",1,0)+IF(DD52="D",1,0)+IF(DE52="D",1,0)+IF(DJ52="D",1,0)+IF(DK52="D",1,0)+IF(DO52="D",1,0)+IF(DP52="D",1,0)+IF(DQ52="D",1,0)+IF(DW52="D",1,0)+IF(DZ52="D",1,0)+IF(EH52="D",1,0)</f>
        <v>0</v>
      </c>
      <c r="AY52" s="0" t="n">
        <f aca="false">COUNTIF(DU52:EH52, "&lt;&gt;")</f>
        <v>1</v>
      </c>
      <c r="AZ52" s="0" t="n">
        <f aca="false">IF(EH52&lt;&gt;"",1,0)</f>
        <v>0</v>
      </c>
      <c r="BB52" s="0" t="s">
        <v>152</v>
      </c>
      <c r="EF52" s="0" t="s">
        <v>153</v>
      </c>
    </row>
    <row r="53" customFormat="false" ht="13.8" hidden="true" customHeight="false" outlineLevel="0" collapsed="false">
      <c r="A53" s="0" t="s">
        <v>456</v>
      </c>
      <c r="B53" s="0" t="n">
        <v>78</v>
      </c>
      <c r="C53" s="0" t="n">
        <v>495532</v>
      </c>
      <c r="D53" s="0" t="s">
        <v>457</v>
      </c>
      <c r="E53" s="0" t="s">
        <v>458</v>
      </c>
      <c r="F53" s="0" t="str">
        <f aca="false">CONCATENATE(D53," ",LEFT(H53,4),"T=",AU53,"D=",AV53,"R=",AW53,"M=",AX53,"L=",AY53,"B=",AZ53)</f>
        <v>WRIGHT T=1D=0R=0M=0L=0B=0</v>
      </c>
      <c r="G53" s="0" t="s">
        <v>175</v>
      </c>
      <c r="I53" s="0" t="s">
        <v>459</v>
      </c>
      <c r="J53" s="0" t="s">
        <v>460</v>
      </c>
      <c r="K53" s="0" t="s">
        <v>160</v>
      </c>
      <c r="M53" s="0" t="s">
        <v>450</v>
      </c>
      <c r="N53" s="0" t="str">
        <f aca="false">RIGHT(M53,LEN(M53)-FIND(" ",M53))</f>
        <v>ADELAIDE AVE SE</v>
      </c>
      <c r="O53" s="0" t="s">
        <v>220</v>
      </c>
      <c r="P53" s="0" t="s">
        <v>145</v>
      </c>
      <c r="Q53" s="0" t="s">
        <v>146</v>
      </c>
      <c r="R53" s="0" t="n">
        <v>44483</v>
      </c>
      <c r="AD53" s="0" t="s">
        <v>147</v>
      </c>
      <c r="AE53" s="0" t="s">
        <v>148</v>
      </c>
      <c r="AF53" s="0" t="s">
        <v>149</v>
      </c>
      <c r="AH53" s="0" t="n">
        <v>14</v>
      </c>
      <c r="AI53" s="0" t="n">
        <v>11</v>
      </c>
      <c r="AN53" s="0" t="s">
        <v>145</v>
      </c>
      <c r="AO53" s="0" t="s">
        <v>150</v>
      </c>
      <c r="AP53" s="0" t="s">
        <v>151</v>
      </c>
      <c r="AQ53" s="0" t="n">
        <v>9</v>
      </c>
      <c r="AR53" s="0" t="n">
        <v>64</v>
      </c>
      <c r="AS53" s="0" t="n">
        <v>32</v>
      </c>
      <c r="AU53" s="0" t="n">
        <f aca="false">COUNTA($BA$953:$EH$953)</f>
        <v>1</v>
      </c>
      <c r="AV53" s="0" t="n">
        <f aca="false">COUNTIF($BA$953:$EH$953,"D")</f>
        <v>0</v>
      </c>
      <c r="AW53" s="0" t="n">
        <f aca="false">COUNTIF($BA$953:$EH$953,"R")</f>
        <v>0</v>
      </c>
      <c r="AX53" s="0" t="n">
        <f aca="false">IF(BN53="D",1,0)+IF(BO53="D",1,0)+IF(BT53="D",1,0)+IF(BU53="D",1,0)+IF(BW53="D",1,0)+IF(CC53="D",1,0)+IF(CD53="D",1,0)+IF(CE53="D",1,0)+IF(CF53="D",1,0)+IF(CL53="D",1,0)+IF(CM53="D",1,0)+IF(CQ53="D",1,0)+IF(CR53="D",1,0)+IF(CS53="D",1,0)+IF(CW53="D",1,0)+IF(CX53="D",1,0)+IF(DD53="D",1,0)+IF(DE53="D",1,0)+IF(DJ53="D",1,0)+IF(DK53="D",1,0)+IF(DO53="D",1,0)+IF(DP53="D",1,0)+IF(DQ53="D",1,0)+IF(DW53="D",1,0)+IF(DZ53="D",1,0)+IF(EH53="D",1,0)</f>
        <v>0</v>
      </c>
      <c r="AY53" s="0" t="n">
        <f aca="false">COUNTIF(DU53:EH53, "&lt;&gt;")</f>
        <v>0</v>
      </c>
      <c r="AZ53" s="0" t="n">
        <f aca="false">IF(EH53&lt;&gt;"",1,0)</f>
        <v>0</v>
      </c>
      <c r="BB53" s="0" t="s">
        <v>152</v>
      </c>
    </row>
    <row r="54" customFormat="false" ht="13.8" hidden="false" customHeight="false" outlineLevel="0" collapsed="false">
      <c r="A54" s="0" t="s">
        <v>461</v>
      </c>
      <c r="B54" s="0" t="n">
        <v>78</v>
      </c>
      <c r="C54" s="0" t="n">
        <v>221660</v>
      </c>
      <c r="D54" s="0" t="s">
        <v>462</v>
      </c>
      <c r="E54" s="0" t="s">
        <v>463</v>
      </c>
      <c r="F54" s="0" t="str">
        <f aca="false">CONCATENATE(D54," ",LEFT(H54,4),"T=",AU54,"D=",AV54,"R=",AW54,"M=",AX54,"L=",AY54,"B=",AZ54)</f>
        <v>MANLEY T=33D=8R=2M=2L=6B=0</v>
      </c>
      <c r="G54" s="0" t="s">
        <v>307</v>
      </c>
      <c r="I54" s="0" t="s">
        <v>464</v>
      </c>
      <c r="J54" s="0" t="s">
        <v>465</v>
      </c>
      <c r="K54" s="0" t="s">
        <v>160</v>
      </c>
      <c r="L54" s="0" t="s">
        <v>209</v>
      </c>
      <c r="M54" s="0" t="s">
        <v>466</v>
      </c>
      <c r="N54" s="0" t="str">
        <f aca="false">RIGHT(M54,LEN(M54)-FIND(" ",M54))</f>
        <v>ADELAIDE AVE SE</v>
      </c>
      <c r="P54" s="0" t="s">
        <v>145</v>
      </c>
      <c r="Q54" s="0" t="s">
        <v>146</v>
      </c>
      <c r="R54" s="0" t="n">
        <v>44483</v>
      </c>
      <c r="AD54" s="0" t="s">
        <v>147</v>
      </c>
      <c r="AE54" s="0" t="s">
        <v>148</v>
      </c>
      <c r="AF54" s="0" t="s">
        <v>149</v>
      </c>
      <c r="AH54" s="0" t="n">
        <v>14</v>
      </c>
      <c r="AI54" s="0" t="n">
        <v>11</v>
      </c>
      <c r="AN54" s="0" t="s">
        <v>145</v>
      </c>
      <c r="AO54" s="0" t="s">
        <v>150</v>
      </c>
      <c r="AP54" s="0" t="s">
        <v>151</v>
      </c>
      <c r="AQ54" s="0" t="n">
        <v>9</v>
      </c>
      <c r="AR54" s="0" t="n">
        <v>64</v>
      </c>
      <c r="AS54" s="0" t="n">
        <v>32</v>
      </c>
      <c r="AU54" s="0" t="n">
        <f aca="false">COUNTA($BA$753:$EH$753)</f>
        <v>33</v>
      </c>
      <c r="AV54" s="0" t="n">
        <f aca="false">COUNTIF($BA$753:$EH$753,"D")</f>
        <v>8</v>
      </c>
      <c r="AW54" s="0" t="n">
        <f aca="false">COUNTIF($BA$753:$EH$753,"R")</f>
        <v>2</v>
      </c>
      <c r="AX54" s="0" t="n">
        <f aca="false">IF(BN54="D",1,0)+IF(BO54="D",1,0)+IF(BT54="D",1,0)+IF(BU54="D",1,0)+IF(BW54="D",1,0)+IF(CC54="D",1,0)+IF(CD54="D",1,0)+IF(CE54="D",1,0)+IF(CF54="D",1,0)+IF(CL54="D",1,0)+IF(CM54="D",1,0)+IF(CQ54="D",1,0)+IF(CR54="D",1,0)+IF(CS54="D",1,0)+IF(CW54="D",1,0)+IF(CX54="D",1,0)+IF(DD54="D",1,0)+IF(DE54="D",1,0)+IF(DJ54="D",1,0)+IF(DK54="D",1,0)+IF(DO54="D",1,0)+IF(DP54="D",1,0)+IF(DQ54="D",1,0)+IF(DW54="D",1,0)+IF(DZ54="D",1,0)+IF(EH54="D",1,0)</f>
        <v>2</v>
      </c>
      <c r="AY54" s="0" t="n">
        <f aca="false">COUNTIF(DU54:EH54, "&lt;&gt;")</f>
        <v>6</v>
      </c>
      <c r="AZ54" s="0" t="n">
        <f aca="false">IF(EH54&lt;&gt;"",1,0)</f>
        <v>0</v>
      </c>
      <c r="BB54" s="0" t="s">
        <v>152</v>
      </c>
      <c r="BC54" s="0" t="s">
        <v>153</v>
      </c>
      <c r="BD54" s="0" t="s">
        <v>153</v>
      </c>
      <c r="BF54" s="0" t="s">
        <v>153</v>
      </c>
      <c r="BG54" s="0" t="s">
        <v>153</v>
      </c>
      <c r="BH54" s="0" t="s">
        <v>153</v>
      </c>
      <c r="BI54" s="0" t="s">
        <v>153</v>
      </c>
      <c r="BJ54" s="0" t="s">
        <v>153</v>
      </c>
      <c r="BK54" s="0" t="s">
        <v>153</v>
      </c>
      <c r="BL54" s="0" t="s">
        <v>153</v>
      </c>
      <c r="BP54" s="0" t="s">
        <v>153</v>
      </c>
      <c r="BR54" s="0" t="s">
        <v>153</v>
      </c>
      <c r="BS54" s="0" t="s">
        <v>153</v>
      </c>
      <c r="BV54" s="0" t="s">
        <v>153</v>
      </c>
      <c r="BY54" s="0" t="s">
        <v>175</v>
      </c>
      <c r="CA54" s="0" t="s">
        <v>153</v>
      </c>
      <c r="CG54" s="0" t="s">
        <v>153</v>
      </c>
      <c r="CH54" s="0" t="s">
        <v>175</v>
      </c>
      <c r="CK54" s="0" t="s">
        <v>153</v>
      </c>
      <c r="CL54" s="0" t="s">
        <v>175</v>
      </c>
      <c r="CN54" s="0" t="s">
        <v>153</v>
      </c>
      <c r="CO54" s="0" t="s">
        <v>175</v>
      </c>
      <c r="CP54" s="0" t="s">
        <v>153</v>
      </c>
      <c r="CT54" s="0" t="s">
        <v>153</v>
      </c>
      <c r="CU54" s="0" t="s">
        <v>175</v>
      </c>
      <c r="CV54" s="0" t="s">
        <v>153</v>
      </c>
      <c r="CY54" s="0" t="s">
        <v>153</v>
      </c>
      <c r="CZ54" s="0" t="s">
        <v>175</v>
      </c>
      <c r="DC54" s="0" t="s">
        <v>153</v>
      </c>
      <c r="DF54" s="0" t="s">
        <v>153</v>
      </c>
      <c r="DG54" s="0" t="s">
        <v>175</v>
      </c>
      <c r="DI54" s="0" t="s">
        <v>153</v>
      </c>
      <c r="DL54" s="0" t="s">
        <v>153</v>
      </c>
      <c r="DM54" s="0" t="s">
        <v>209</v>
      </c>
      <c r="DN54" s="0" t="s">
        <v>153</v>
      </c>
      <c r="DR54" s="0" t="s">
        <v>153</v>
      </c>
      <c r="DU54" s="0" t="s">
        <v>153</v>
      </c>
      <c r="DW54" s="0" t="s">
        <v>175</v>
      </c>
      <c r="DX54" s="0" t="s">
        <v>153</v>
      </c>
      <c r="EA54" s="0" t="s">
        <v>153</v>
      </c>
      <c r="ED54" s="0" t="s">
        <v>209</v>
      </c>
      <c r="EF54" s="0" t="s">
        <v>153</v>
      </c>
    </row>
    <row r="55" customFormat="false" ht="13.8" hidden="true" customHeight="false" outlineLevel="0" collapsed="false">
      <c r="A55" s="0" t="s">
        <v>467</v>
      </c>
      <c r="B55" s="0" t="n">
        <v>78</v>
      </c>
      <c r="C55" s="0" t="n">
        <v>447613</v>
      </c>
      <c r="D55" s="0" t="s">
        <v>468</v>
      </c>
      <c r="E55" s="0" t="s">
        <v>469</v>
      </c>
      <c r="F55" s="0" t="str">
        <f aca="false">CONCATENATE(D55," ",LEFT(H55,4),"T=",AU55,"D=",AV55,"R=",AW55,"M=",AX55,"L=",AY55,"B=",AZ55)</f>
        <v>EVANS T=1D=0R=0M=0L=1B=0</v>
      </c>
      <c r="G55" s="0" t="s">
        <v>190</v>
      </c>
      <c r="I55" s="0" t="s">
        <v>470</v>
      </c>
      <c r="J55" s="0" t="s">
        <v>471</v>
      </c>
      <c r="K55" s="0" t="s">
        <v>160</v>
      </c>
      <c r="M55" s="0" t="s">
        <v>472</v>
      </c>
      <c r="N55" s="0" t="str">
        <f aca="false">RIGHT(M55,LEN(M55)-FIND(" ",M55))</f>
        <v>ADELAIDE AVE SE</v>
      </c>
      <c r="P55" s="0" t="s">
        <v>145</v>
      </c>
      <c r="Q55" s="0" t="s">
        <v>146</v>
      </c>
      <c r="R55" s="0" t="n">
        <v>44483</v>
      </c>
      <c r="AD55" s="0" t="s">
        <v>147</v>
      </c>
      <c r="AE55" s="0" t="s">
        <v>148</v>
      </c>
      <c r="AF55" s="0" t="s">
        <v>149</v>
      </c>
      <c r="AH55" s="0" t="n">
        <v>14</v>
      </c>
      <c r="AI55" s="0" t="n">
        <v>11</v>
      </c>
      <c r="AN55" s="0" t="s">
        <v>145</v>
      </c>
      <c r="AO55" s="0" t="s">
        <v>150</v>
      </c>
      <c r="AP55" s="0" t="s">
        <v>151</v>
      </c>
      <c r="AQ55" s="0" t="n">
        <v>9</v>
      </c>
      <c r="AR55" s="0" t="n">
        <v>64</v>
      </c>
      <c r="AS55" s="0" t="n">
        <v>32</v>
      </c>
      <c r="AU55" s="0" t="n">
        <f aca="false">COUNTA($BA$258:$EH$258)</f>
        <v>1</v>
      </c>
      <c r="AV55" s="0" t="n">
        <f aca="false">COUNTIF($BA$258:$EH$258,"D")</f>
        <v>0</v>
      </c>
      <c r="AW55" s="0" t="n">
        <f aca="false">COUNTIF($BA$258:$EH$258,"R")</f>
        <v>0</v>
      </c>
      <c r="AX55" s="0" t="n">
        <f aca="false">IF(BN55="D",1,0)+IF(BO55="D",1,0)+IF(BT55="D",1,0)+IF(BU55="D",1,0)+IF(BW55="D",1,0)+IF(CC55="D",1,0)+IF(CD55="D",1,0)+IF(CE55="D",1,0)+IF(CF55="D",1,0)+IF(CL55="D",1,0)+IF(CM55="D",1,0)+IF(CQ55="D",1,0)+IF(CR55="D",1,0)+IF(CS55="D",1,0)+IF(CW55="D",1,0)+IF(CX55="D",1,0)+IF(DD55="D",1,0)+IF(DE55="D",1,0)+IF(DJ55="D",1,0)+IF(DK55="D",1,0)+IF(DO55="D",1,0)+IF(DP55="D",1,0)+IF(DQ55="D",1,0)+IF(DW55="D",1,0)+IF(DZ55="D",1,0)+IF(EH55="D",1,0)</f>
        <v>0</v>
      </c>
      <c r="AY55" s="0" t="n">
        <f aca="false">COUNTIF(DU55:EH55, "&lt;&gt;")</f>
        <v>1</v>
      </c>
      <c r="AZ55" s="0" t="n">
        <f aca="false">IF(EH55&lt;&gt;"",1,0)</f>
        <v>0</v>
      </c>
      <c r="BB55" s="0" t="s">
        <v>152</v>
      </c>
      <c r="DN55" s="0" t="s">
        <v>153</v>
      </c>
      <c r="DU55" s="0" t="s">
        <v>153</v>
      </c>
    </row>
    <row r="56" customFormat="false" ht="13.8" hidden="true" customHeight="false" outlineLevel="0" collapsed="false">
      <c r="A56" s="0" t="s">
        <v>473</v>
      </c>
      <c r="B56" s="0" t="n">
        <v>78</v>
      </c>
      <c r="C56" s="0" t="n">
        <v>453947</v>
      </c>
      <c r="D56" s="0" t="s">
        <v>474</v>
      </c>
      <c r="E56" s="0" t="s">
        <v>475</v>
      </c>
      <c r="F56" s="0" t="str">
        <f aca="false">CONCATENATE(D56," ",LEFT(H56,4),"T=",AU56,"D=",AV56,"R=",AW56,"M=",AX56,"L=",AY56,"B=",AZ56)</f>
        <v>WHITEMAN IIT=8D=1R=0M=0L=1B=0</v>
      </c>
      <c r="G56" s="0" t="s">
        <v>170</v>
      </c>
      <c r="H56" s="0" t="s">
        <v>476</v>
      </c>
      <c r="I56" s="0" t="s">
        <v>477</v>
      </c>
      <c r="J56" s="0" t="s">
        <v>478</v>
      </c>
      <c r="K56" s="0" t="s">
        <v>160</v>
      </c>
      <c r="M56" s="0" t="s">
        <v>472</v>
      </c>
      <c r="N56" s="0" t="str">
        <f aca="false">RIGHT(M56,LEN(M56)-FIND(" ",M56))</f>
        <v>ADELAIDE AVE SE</v>
      </c>
      <c r="P56" s="0" t="s">
        <v>145</v>
      </c>
      <c r="Q56" s="0" t="s">
        <v>146</v>
      </c>
      <c r="R56" s="0" t="n">
        <v>44483</v>
      </c>
      <c r="AD56" s="0" t="s">
        <v>147</v>
      </c>
      <c r="AE56" s="0" t="s">
        <v>148</v>
      </c>
      <c r="AF56" s="0" t="s">
        <v>149</v>
      </c>
      <c r="AH56" s="0" t="n">
        <v>14</v>
      </c>
      <c r="AI56" s="0" t="n">
        <v>11</v>
      </c>
      <c r="AN56" s="0" t="s">
        <v>145</v>
      </c>
      <c r="AO56" s="0" t="s">
        <v>150</v>
      </c>
      <c r="AP56" s="0" t="s">
        <v>151</v>
      </c>
      <c r="AQ56" s="0" t="n">
        <v>9</v>
      </c>
      <c r="AR56" s="0" t="n">
        <v>64</v>
      </c>
      <c r="AS56" s="0" t="n">
        <v>32</v>
      </c>
      <c r="AU56" s="0" t="n">
        <f aca="false">COUNTA($BA$787:$EH$787)</f>
        <v>8</v>
      </c>
      <c r="AV56" s="0" t="n">
        <f aca="false">COUNTIF($BA$787:$EH$787,"D")</f>
        <v>1</v>
      </c>
      <c r="AW56" s="0" t="n">
        <f aca="false">COUNTIF($BA$787:$EH$787,"R")</f>
        <v>0</v>
      </c>
      <c r="AX56" s="0" t="n">
        <f aca="false">IF(BN56="D",1,0)+IF(BO56="D",1,0)+IF(BT56="D",1,0)+IF(BU56="D",1,0)+IF(BW56="D",1,0)+IF(CC56="D",1,0)+IF(CD56="D",1,0)+IF(CE56="D",1,0)+IF(CF56="D",1,0)+IF(CL56="D",1,0)+IF(CM56="D",1,0)+IF(CQ56="D",1,0)+IF(CR56="D",1,0)+IF(CS56="D",1,0)+IF(CW56="D",1,0)+IF(CX56="D",1,0)+IF(DD56="D",1,0)+IF(DE56="D",1,0)+IF(DJ56="D",1,0)+IF(DK56="D",1,0)+IF(DO56="D",1,0)+IF(DP56="D",1,0)+IF(DQ56="D",1,0)+IF(DW56="D",1,0)+IF(DZ56="D",1,0)+IF(EH56="D",1,0)</f>
        <v>0</v>
      </c>
      <c r="AY56" s="0" t="n">
        <f aca="false">COUNTIF(DU56:EH56, "&lt;&gt;")</f>
        <v>1</v>
      </c>
      <c r="AZ56" s="0" t="n">
        <f aca="false">IF(EH56&lt;&gt;"",1,0)</f>
        <v>0</v>
      </c>
      <c r="BB56" s="0" t="s">
        <v>152</v>
      </c>
      <c r="DN56" s="0" t="s">
        <v>153</v>
      </c>
      <c r="EF56" s="0" t="s">
        <v>153</v>
      </c>
    </row>
    <row r="57" customFormat="false" ht="13.8" hidden="true" customHeight="false" outlineLevel="0" collapsed="false">
      <c r="A57" s="0" t="s">
        <v>479</v>
      </c>
      <c r="B57" s="0" t="n">
        <v>78</v>
      </c>
      <c r="C57" s="0" t="n">
        <v>410769</v>
      </c>
      <c r="D57" s="0" t="s">
        <v>480</v>
      </c>
      <c r="E57" s="0" t="s">
        <v>481</v>
      </c>
      <c r="F57" s="0" t="str">
        <f aca="false">CONCATENATE(D57," ",LEFT(H57,4),"T=",AU57,"D=",AV57,"R=",AW57,"M=",AX57,"L=",AY57,"B=",AZ57)</f>
        <v>GANNON T=2D=1R=0M=2L=1B=0</v>
      </c>
      <c r="G57" s="0" t="s">
        <v>195</v>
      </c>
      <c r="I57" s="0" t="s">
        <v>482</v>
      </c>
      <c r="J57" s="0" t="s">
        <v>483</v>
      </c>
      <c r="K57" s="0" t="s">
        <v>160</v>
      </c>
      <c r="L57" s="0" t="s">
        <v>209</v>
      </c>
      <c r="M57" s="0" t="s">
        <v>484</v>
      </c>
      <c r="N57" s="0" t="str">
        <f aca="false">RIGHT(M57,LEN(M57)-FIND(" ",M57))</f>
        <v>ADELAIDE AVE SE</v>
      </c>
      <c r="P57" s="0" t="s">
        <v>145</v>
      </c>
      <c r="Q57" s="0" t="s">
        <v>146</v>
      </c>
      <c r="R57" s="0" t="n">
        <v>44483</v>
      </c>
      <c r="AD57" s="0" t="s">
        <v>147</v>
      </c>
      <c r="AE57" s="0" t="s">
        <v>148</v>
      </c>
      <c r="AF57" s="0" t="s">
        <v>149</v>
      </c>
      <c r="AH57" s="0" t="n">
        <v>14</v>
      </c>
      <c r="AI57" s="0" t="n">
        <v>11</v>
      </c>
      <c r="AN57" s="0" t="s">
        <v>145</v>
      </c>
      <c r="AO57" s="0" t="s">
        <v>150</v>
      </c>
      <c r="AP57" s="0" t="s">
        <v>151</v>
      </c>
      <c r="AQ57" s="0" t="n">
        <v>9</v>
      </c>
      <c r="AR57" s="0" t="n">
        <v>64</v>
      </c>
      <c r="AS57" s="0" t="n">
        <v>32</v>
      </c>
      <c r="AU57" s="0" t="n">
        <f aca="false">COUNTA($BA$782:$EH$782)</f>
        <v>2</v>
      </c>
      <c r="AV57" s="0" t="n">
        <f aca="false">COUNTIF($BA$782:$EH$782,"D")</f>
        <v>1</v>
      </c>
      <c r="AW57" s="0" t="n">
        <f aca="false">COUNTIF($BA$782:$EH$782,"R")</f>
        <v>0</v>
      </c>
      <c r="AX57" s="0" t="n">
        <f aca="false">IF(BN57="D",1,0)+IF(BO57="D",1,0)+IF(BT57="D",1,0)+IF(BU57="D",1,0)+IF(BW57="D",1,0)+IF(CC57="D",1,0)+IF(CD57="D",1,0)+IF(CE57="D",1,0)+IF(CF57="D",1,0)+IF(CL57="D",1,0)+IF(CM57="D",1,0)+IF(CQ57="D",1,0)+IF(CR57="D",1,0)+IF(CS57="D",1,0)+IF(CW57="D",1,0)+IF(CX57="D",1,0)+IF(DD57="D",1,0)+IF(DE57="D",1,0)+IF(DJ57="D",1,0)+IF(DK57="D",1,0)+IF(DO57="D",1,0)+IF(DP57="D",1,0)+IF(DQ57="D",1,0)+IF(DW57="D",1,0)+IF(DZ57="D",1,0)+IF(EH57="D",1,0)</f>
        <v>2</v>
      </c>
      <c r="AY57" s="0" t="n">
        <f aca="false">COUNTIF(DU57:EH57, "&lt;&gt;")</f>
        <v>1</v>
      </c>
      <c r="AZ57" s="0" t="n">
        <f aca="false">IF(EH57&lt;&gt;"",1,0)</f>
        <v>0</v>
      </c>
      <c r="BB57" s="0" t="s">
        <v>152</v>
      </c>
      <c r="BG57" s="0" t="s">
        <v>153</v>
      </c>
      <c r="BH57" s="0" t="s">
        <v>153</v>
      </c>
      <c r="BK57" s="0" t="s">
        <v>175</v>
      </c>
      <c r="BL57" s="0" t="s">
        <v>153</v>
      </c>
      <c r="BN57" s="0" t="s">
        <v>175</v>
      </c>
      <c r="BP57" s="0" t="s">
        <v>153</v>
      </c>
      <c r="BR57" s="0" t="s">
        <v>175</v>
      </c>
      <c r="BS57" s="0" t="s">
        <v>153</v>
      </c>
      <c r="BT57" s="0" t="s">
        <v>175</v>
      </c>
      <c r="BV57" s="0" t="s">
        <v>153</v>
      </c>
      <c r="BY57" s="0" t="s">
        <v>209</v>
      </c>
      <c r="CA57" s="0" t="s">
        <v>153</v>
      </c>
      <c r="CK57" s="0" t="s">
        <v>153</v>
      </c>
      <c r="CN57" s="0" t="s">
        <v>153</v>
      </c>
      <c r="CP57" s="0" t="s">
        <v>153</v>
      </c>
      <c r="CV57" s="0" t="s">
        <v>153</v>
      </c>
      <c r="CZ57" s="0" t="s">
        <v>209</v>
      </c>
      <c r="DC57" s="0" t="s">
        <v>153</v>
      </c>
      <c r="DI57" s="0" t="s">
        <v>153</v>
      </c>
      <c r="DN57" s="0" t="s">
        <v>153</v>
      </c>
      <c r="DR57" s="0" t="s">
        <v>153</v>
      </c>
      <c r="DS57" s="0" t="s">
        <v>209</v>
      </c>
      <c r="EF57" s="0" t="s">
        <v>153</v>
      </c>
    </row>
    <row r="58" customFormat="false" ht="13.8" hidden="false" customHeight="false" outlineLevel="0" collapsed="false">
      <c r="A58" s="0" t="s">
        <v>485</v>
      </c>
      <c r="B58" s="0" t="n">
        <v>78</v>
      </c>
      <c r="C58" s="0" t="n">
        <v>215344</v>
      </c>
      <c r="D58" s="0" t="s">
        <v>486</v>
      </c>
      <c r="E58" s="0" t="s">
        <v>487</v>
      </c>
      <c r="F58" s="0" t="str">
        <f aca="false">CONCATENATE(D58," ",LEFT(H58,4),"T=",AU58,"D=",AV58,"R=",AW58,"M=",AX58,"L=",AY58,"B=",AZ58)</f>
        <v>SNAREY T=6D=0R=0M=0L=7B=1</v>
      </c>
      <c r="I58" s="0" t="s">
        <v>488</v>
      </c>
      <c r="J58" s="0" t="s">
        <v>489</v>
      </c>
      <c r="K58" s="0" t="s">
        <v>160</v>
      </c>
      <c r="L58" s="0" t="s">
        <v>209</v>
      </c>
      <c r="M58" s="0" t="s">
        <v>490</v>
      </c>
      <c r="N58" s="0" t="str">
        <f aca="false">RIGHT(M58,LEN(M58)-FIND(" ",M58))</f>
        <v>ADELAIDE AVE SE</v>
      </c>
      <c r="P58" s="0" t="s">
        <v>145</v>
      </c>
      <c r="Q58" s="0" t="s">
        <v>146</v>
      </c>
      <c r="R58" s="0" t="n">
        <v>44483</v>
      </c>
      <c r="AD58" s="0" t="s">
        <v>147</v>
      </c>
      <c r="AE58" s="0" t="s">
        <v>148</v>
      </c>
      <c r="AF58" s="0" t="s">
        <v>149</v>
      </c>
      <c r="AH58" s="0" t="n">
        <v>14</v>
      </c>
      <c r="AI58" s="0" t="n">
        <v>11</v>
      </c>
      <c r="AN58" s="0" t="s">
        <v>145</v>
      </c>
      <c r="AO58" s="0" t="s">
        <v>150</v>
      </c>
      <c r="AP58" s="0" t="s">
        <v>151</v>
      </c>
      <c r="AQ58" s="0" t="n">
        <v>9</v>
      </c>
      <c r="AR58" s="0" t="n">
        <v>64</v>
      </c>
      <c r="AS58" s="0" t="n">
        <v>32</v>
      </c>
      <c r="AU58" s="0" t="n">
        <f aca="false">COUNTA($BA$756:$EH$756)</f>
        <v>6</v>
      </c>
      <c r="AV58" s="0" t="n">
        <f aca="false">COUNTIF($BA$756:$EH$756,"D")</f>
        <v>0</v>
      </c>
      <c r="AW58" s="0" t="n">
        <f aca="false">COUNTIF($BA$756:$EH$756,"R")</f>
        <v>0</v>
      </c>
      <c r="AX58" s="0" t="n">
        <f aca="false">IF(BN58="D",1,0)+IF(BO58="D",1,0)+IF(BT58="D",1,0)+IF(BU58="D",1,0)+IF(BW58="D",1,0)+IF(CC58="D",1,0)+IF(CD58="D",1,0)+IF(CE58="D",1,0)+IF(CF58="D",1,0)+IF(CL58="D",1,0)+IF(CM58="D",1,0)+IF(CQ58="D",1,0)+IF(CR58="D",1,0)+IF(CS58="D",1,0)+IF(CW58="D",1,0)+IF(CX58="D",1,0)+IF(DD58="D",1,0)+IF(DE58="D",1,0)+IF(DJ58="D",1,0)+IF(DK58="D",1,0)+IF(DO58="D",1,0)+IF(DP58="D",1,0)+IF(DQ58="D",1,0)+IF(DW58="D",1,0)+IF(DZ58="D",1,0)+IF(EH58="D",1,0)</f>
        <v>0</v>
      </c>
      <c r="AY58" s="0" t="n">
        <f aca="false">COUNTIF(DU58:EH58, "&lt;&gt;")</f>
        <v>7</v>
      </c>
      <c r="AZ58" s="0" t="n">
        <f aca="false">IF(EH58&lt;&gt;"",1,0)</f>
        <v>1</v>
      </c>
      <c r="BB58" s="0" t="s">
        <v>152</v>
      </c>
      <c r="BC58" s="0" t="s">
        <v>153</v>
      </c>
      <c r="BD58" s="0" t="s">
        <v>153</v>
      </c>
      <c r="BH58" s="0" t="s">
        <v>153</v>
      </c>
      <c r="BJ58" s="0" t="s">
        <v>153</v>
      </c>
      <c r="BL58" s="0" t="s">
        <v>153</v>
      </c>
      <c r="BP58" s="0" t="s">
        <v>153</v>
      </c>
      <c r="BR58" s="0" t="s">
        <v>153</v>
      </c>
      <c r="BS58" s="0" t="s">
        <v>153</v>
      </c>
      <c r="BV58" s="0" t="s">
        <v>153</v>
      </c>
      <c r="BY58" s="0" t="s">
        <v>175</v>
      </c>
      <c r="CA58" s="0" t="s">
        <v>153</v>
      </c>
      <c r="CG58" s="0" t="s">
        <v>153</v>
      </c>
      <c r="CH58" s="0" t="s">
        <v>175</v>
      </c>
      <c r="CK58" s="0" t="s">
        <v>153</v>
      </c>
      <c r="CN58" s="0" t="s">
        <v>153</v>
      </c>
      <c r="CO58" s="0" t="s">
        <v>175</v>
      </c>
      <c r="CP58" s="0" t="s">
        <v>153</v>
      </c>
      <c r="CU58" s="0" t="s">
        <v>209</v>
      </c>
      <c r="CV58" s="0" t="s">
        <v>153</v>
      </c>
      <c r="CY58" s="0" t="s">
        <v>153</v>
      </c>
      <c r="CZ58" s="0" t="s">
        <v>209</v>
      </c>
      <c r="DC58" s="0" t="s">
        <v>153</v>
      </c>
      <c r="DF58" s="0" t="s">
        <v>153</v>
      </c>
      <c r="DG58" s="0" t="s">
        <v>209</v>
      </c>
      <c r="DI58" s="0" t="s">
        <v>153</v>
      </c>
      <c r="DL58" s="0" t="s">
        <v>153</v>
      </c>
      <c r="DM58" s="0" t="s">
        <v>209</v>
      </c>
      <c r="DN58" s="0" t="s">
        <v>153</v>
      </c>
      <c r="DR58" s="0" t="s">
        <v>153</v>
      </c>
      <c r="DS58" s="0" t="s">
        <v>209</v>
      </c>
      <c r="DT58" s="0" t="s">
        <v>209</v>
      </c>
      <c r="DU58" s="0" t="s">
        <v>153</v>
      </c>
      <c r="DW58" s="0" t="s">
        <v>153</v>
      </c>
      <c r="DX58" s="0" t="s">
        <v>153</v>
      </c>
      <c r="EA58" s="0" t="s">
        <v>153</v>
      </c>
      <c r="ED58" s="0" t="s">
        <v>209</v>
      </c>
      <c r="EF58" s="0" t="s">
        <v>153</v>
      </c>
      <c r="EH58" s="0" t="s">
        <v>153</v>
      </c>
    </row>
    <row r="59" customFormat="false" ht="13.8" hidden="false" customHeight="false" outlineLevel="0" collapsed="false">
      <c r="A59" s="0" t="s">
        <v>491</v>
      </c>
      <c r="B59" s="0" t="n">
        <v>78</v>
      </c>
      <c r="C59" s="0" t="n">
        <v>17089</v>
      </c>
      <c r="D59" s="0" t="s">
        <v>492</v>
      </c>
      <c r="E59" s="0" t="s">
        <v>493</v>
      </c>
      <c r="F59" s="0" t="str">
        <f aca="false">CONCATENATE(D59," ",LEFT(H59,4),"T=",AU59,"D=",AV59,"R=",AW59,"M=",AX59,"L=",AY59,"B=",AZ59)</f>
        <v>CHRISTIE T=6D=0R=0M=4L=7B=1</v>
      </c>
      <c r="G59" s="0" t="s">
        <v>164</v>
      </c>
      <c r="I59" s="0" t="s">
        <v>494</v>
      </c>
      <c r="J59" s="0" t="s">
        <v>495</v>
      </c>
      <c r="K59" s="0" t="s">
        <v>160</v>
      </c>
      <c r="L59" s="0" t="s">
        <v>175</v>
      </c>
      <c r="M59" s="0" t="s">
        <v>496</v>
      </c>
      <c r="N59" s="0" t="str">
        <f aca="false">RIGHT(M59,LEN(M59)-FIND(" ",M59))</f>
        <v>ADELAIDE AVE SE</v>
      </c>
      <c r="P59" s="0" t="s">
        <v>145</v>
      </c>
      <c r="Q59" s="0" t="s">
        <v>146</v>
      </c>
      <c r="R59" s="0" t="n">
        <v>44483</v>
      </c>
      <c r="AD59" s="0" t="s">
        <v>147</v>
      </c>
      <c r="AE59" s="0" t="s">
        <v>148</v>
      </c>
      <c r="AF59" s="0" t="s">
        <v>149</v>
      </c>
      <c r="AH59" s="0" t="n">
        <v>14</v>
      </c>
      <c r="AI59" s="0" t="n">
        <v>11</v>
      </c>
      <c r="AN59" s="0" t="s">
        <v>145</v>
      </c>
      <c r="AO59" s="0" t="s">
        <v>150</v>
      </c>
      <c r="AP59" s="0" t="s">
        <v>151</v>
      </c>
      <c r="AQ59" s="0" t="n">
        <v>9</v>
      </c>
      <c r="AR59" s="0" t="n">
        <v>64</v>
      </c>
      <c r="AS59" s="0" t="n">
        <v>32</v>
      </c>
      <c r="AU59" s="0" t="n">
        <f aca="false">COUNTA($BA$760:$EH$760)</f>
        <v>6</v>
      </c>
      <c r="AV59" s="0" t="n">
        <f aca="false">COUNTIF($BA$760:$EH$760,"D")</f>
        <v>0</v>
      </c>
      <c r="AW59" s="0" t="n">
        <f aca="false">COUNTIF($BA$760:$EH$760,"R")</f>
        <v>0</v>
      </c>
      <c r="AX59" s="0" t="n">
        <f aca="false">IF(BN59="D",1,0)+IF(BO59="D",1,0)+IF(BT59="D",1,0)+IF(BU59="D",1,0)+IF(BW59="D",1,0)+IF(CC59="D",1,0)+IF(CD59="D",1,0)+IF(CE59="D",1,0)+IF(CF59="D",1,0)+IF(CL59="D",1,0)+IF(CM59="D",1,0)+IF(CQ59="D",1,0)+IF(CR59="D",1,0)+IF(CS59="D",1,0)+IF(CW59="D",1,0)+IF(CX59="D",1,0)+IF(DD59="D",1,0)+IF(DE59="D",1,0)+IF(DJ59="D",1,0)+IF(DK59="D",1,0)+IF(DO59="D",1,0)+IF(DP59="D",1,0)+IF(DQ59="D",1,0)+IF(DW59="D",1,0)+IF(DZ59="D",1,0)+IF(EH59="D",1,0)</f>
        <v>4</v>
      </c>
      <c r="AY59" s="0" t="n">
        <f aca="false">COUNTIF(DU59:EH59, "&lt;&gt;")</f>
        <v>7</v>
      </c>
      <c r="AZ59" s="0" t="n">
        <f aca="false">IF(EH59&lt;&gt;"",1,0)</f>
        <v>1</v>
      </c>
      <c r="BB59" s="0" t="s">
        <v>152</v>
      </c>
      <c r="BC59" s="0" t="s">
        <v>153</v>
      </c>
      <c r="BD59" s="0" t="s">
        <v>153</v>
      </c>
      <c r="BE59" s="0" t="s">
        <v>153</v>
      </c>
      <c r="BF59" s="0" t="s">
        <v>153</v>
      </c>
      <c r="BG59" s="0" t="s">
        <v>153</v>
      </c>
      <c r="BH59" s="0" t="s">
        <v>153</v>
      </c>
      <c r="BI59" s="0" t="s">
        <v>153</v>
      </c>
      <c r="BJ59" s="0" t="s">
        <v>153</v>
      </c>
      <c r="BK59" s="0" t="s">
        <v>153</v>
      </c>
      <c r="BL59" s="0" t="s">
        <v>153</v>
      </c>
      <c r="BR59" s="0" t="s">
        <v>153</v>
      </c>
      <c r="BS59" s="0" t="s">
        <v>153</v>
      </c>
      <c r="BT59" s="0" t="s">
        <v>153</v>
      </c>
      <c r="BV59" s="0" t="s">
        <v>153</v>
      </c>
      <c r="BY59" s="0" t="s">
        <v>175</v>
      </c>
      <c r="CA59" s="0" t="s">
        <v>153</v>
      </c>
      <c r="CG59" s="0" t="s">
        <v>153</v>
      </c>
      <c r="CH59" s="0" t="s">
        <v>175</v>
      </c>
      <c r="CK59" s="0" t="s">
        <v>153</v>
      </c>
      <c r="CN59" s="0" t="s">
        <v>153</v>
      </c>
      <c r="CP59" s="0" t="s">
        <v>153</v>
      </c>
      <c r="CU59" s="0" t="s">
        <v>175</v>
      </c>
      <c r="CV59" s="0" t="s">
        <v>153</v>
      </c>
      <c r="CW59" s="0" t="s">
        <v>175</v>
      </c>
      <c r="CY59" s="0" t="s">
        <v>153</v>
      </c>
      <c r="CZ59" s="0" t="s">
        <v>175</v>
      </c>
      <c r="DC59" s="0" t="s">
        <v>153</v>
      </c>
      <c r="DG59" s="0" t="s">
        <v>175</v>
      </c>
      <c r="DI59" s="0" t="s">
        <v>153</v>
      </c>
      <c r="DJ59" s="0" t="s">
        <v>175</v>
      </c>
      <c r="DL59" s="0" t="s">
        <v>153</v>
      </c>
      <c r="DM59" s="0" t="s">
        <v>175</v>
      </c>
      <c r="DN59" s="0" t="s">
        <v>153</v>
      </c>
      <c r="DR59" s="0" t="s">
        <v>153</v>
      </c>
      <c r="DS59" s="0" t="s">
        <v>175</v>
      </c>
      <c r="DT59" s="0" t="s">
        <v>175</v>
      </c>
      <c r="DU59" s="0" t="s">
        <v>153</v>
      </c>
      <c r="DW59" s="0" t="s">
        <v>175</v>
      </c>
      <c r="DX59" s="0" t="s">
        <v>153</v>
      </c>
      <c r="EA59" s="0" t="s">
        <v>153</v>
      </c>
      <c r="ED59" s="0" t="s">
        <v>175</v>
      </c>
      <c r="EF59" s="0" t="s">
        <v>153</v>
      </c>
      <c r="EH59" s="0" t="s">
        <v>175</v>
      </c>
    </row>
    <row r="60" customFormat="false" ht="13.8" hidden="false" customHeight="false" outlineLevel="0" collapsed="false">
      <c r="A60" s="0" t="s">
        <v>497</v>
      </c>
      <c r="B60" s="0" t="n">
        <v>78</v>
      </c>
      <c r="C60" s="0" t="n">
        <v>456918</v>
      </c>
      <c r="D60" s="0" t="s">
        <v>498</v>
      </c>
      <c r="E60" s="0" t="s">
        <v>499</v>
      </c>
      <c r="F60" s="0" t="str">
        <f aca="false">CONCATENATE(D60," ",LEFT(H60,4),"T=",AU60,"D=",AV60,"R=",AW60,"M=",AX60,"L=",AY60,"B=",AZ60)</f>
        <v>HUGHES T=3D=0R=0M=0L=2B=0</v>
      </c>
      <c r="G60" s="0" t="s">
        <v>500</v>
      </c>
      <c r="I60" s="0" t="s">
        <v>501</v>
      </c>
      <c r="J60" s="0" t="s">
        <v>502</v>
      </c>
      <c r="K60" s="0" t="s">
        <v>160</v>
      </c>
      <c r="M60" s="0" t="s">
        <v>503</v>
      </c>
      <c r="N60" s="0" t="str">
        <f aca="false">RIGHT(M60,LEN(M60)-FIND(" ",M60))</f>
        <v>ADELAIDE AVE SE</v>
      </c>
      <c r="P60" s="0" t="s">
        <v>145</v>
      </c>
      <c r="Q60" s="0" t="s">
        <v>146</v>
      </c>
      <c r="R60" s="0" t="n">
        <v>44483</v>
      </c>
      <c r="AD60" s="0" t="s">
        <v>147</v>
      </c>
      <c r="AE60" s="0" t="s">
        <v>148</v>
      </c>
      <c r="AF60" s="0" t="s">
        <v>149</v>
      </c>
      <c r="AH60" s="0" t="n">
        <v>14</v>
      </c>
      <c r="AI60" s="0" t="n">
        <v>11</v>
      </c>
      <c r="AN60" s="0" t="s">
        <v>145</v>
      </c>
      <c r="AO60" s="0" t="s">
        <v>150</v>
      </c>
      <c r="AP60" s="0" t="s">
        <v>151</v>
      </c>
      <c r="AQ60" s="0" t="n">
        <v>9</v>
      </c>
      <c r="AR60" s="0" t="n">
        <v>64</v>
      </c>
      <c r="AS60" s="0" t="n">
        <v>32</v>
      </c>
      <c r="AU60" s="0" t="n">
        <f aca="false">COUNTA($BA$55:$EH$55)</f>
        <v>3</v>
      </c>
      <c r="AV60" s="0" t="n">
        <f aca="false">COUNTIF($BA$55:$EH$55,"D")</f>
        <v>0</v>
      </c>
      <c r="AW60" s="0" t="n">
        <f aca="false">COUNTIF($BA$55:$EH$55,"R")</f>
        <v>0</v>
      </c>
      <c r="AX60" s="0" t="n">
        <f aca="false">IF(BN60="D",1,0)+IF(BO60="D",1,0)+IF(BT60="D",1,0)+IF(BU60="D",1,0)+IF(BW60="D",1,0)+IF(CC60="D",1,0)+IF(CD60="D",1,0)+IF(CE60="D",1,0)+IF(CF60="D",1,0)+IF(CL60="D",1,0)+IF(CM60="D",1,0)+IF(CQ60="D",1,0)+IF(CR60="D",1,0)+IF(CS60="D",1,0)+IF(CW60="D",1,0)+IF(CX60="D",1,0)+IF(DD60="D",1,0)+IF(DE60="D",1,0)+IF(DJ60="D",1,0)+IF(DK60="D",1,0)+IF(DO60="D",1,0)+IF(DP60="D",1,0)+IF(DQ60="D",1,0)+IF(DW60="D",1,0)+IF(DZ60="D",1,0)+IF(EH60="D",1,0)</f>
        <v>0</v>
      </c>
      <c r="AY60" s="0" t="n">
        <f aca="false">COUNTIF(DU60:EH60, "&lt;&gt;")</f>
        <v>2</v>
      </c>
      <c r="AZ60" s="0" t="n">
        <f aca="false">IF(EH60&lt;&gt;"",1,0)</f>
        <v>0</v>
      </c>
      <c r="BB60" s="0" t="s">
        <v>152</v>
      </c>
      <c r="DC60" s="0" t="s">
        <v>153</v>
      </c>
      <c r="DU60" s="0" t="s">
        <v>153</v>
      </c>
      <c r="EF60" s="0" t="s">
        <v>153</v>
      </c>
    </row>
    <row r="61" customFormat="false" ht="13.8" hidden="false" customHeight="false" outlineLevel="0" collapsed="false">
      <c r="A61" s="0" t="s">
        <v>504</v>
      </c>
      <c r="B61" s="0" t="n">
        <v>78</v>
      </c>
      <c r="C61" s="0" t="n">
        <v>384823</v>
      </c>
      <c r="D61" s="0" t="s">
        <v>498</v>
      </c>
      <c r="E61" s="0" t="s">
        <v>505</v>
      </c>
      <c r="F61" s="0" t="str">
        <f aca="false">CONCATENATE(D61," ",LEFT(H61,4),"T=",AU61,"D=",AV61,"R=",AW61,"M=",AX61,"L=",AY61,"B=",AZ61)</f>
        <v>HUGHES T=1D=0R=0M=0L=2B=0</v>
      </c>
      <c r="G61" s="0" t="s">
        <v>164</v>
      </c>
      <c r="I61" s="0" t="s">
        <v>506</v>
      </c>
      <c r="J61" s="0" t="s">
        <v>507</v>
      </c>
      <c r="K61" s="0" t="s">
        <v>160</v>
      </c>
      <c r="M61" s="0" t="s">
        <v>503</v>
      </c>
      <c r="N61" s="0" t="str">
        <f aca="false">RIGHT(M61,LEN(M61)-FIND(" ",M61))</f>
        <v>ADELAIDE AVE SE</v>
      </c>
      <c r="P61" s="0" t="s">
        <v>145</v>
      </c>
      <c r="Q61" s="0" t="s">
        <v>146</v>
      </c>
      <c r="R61" s="0" t="n">
        <v>44483</v>
      </c>
      <c r="AD61" s="0" t="s">
        <v>147</v>
      </c>
      <c r="AE61" s="0" t="s">
        <v>148</v>
      </c>
      <c r="AF61" s="0" t="s">
        <v>149</v>
      </c>
      <c r="AH61" s="0" t="n">
        <v>14</v>
      </c>
      <c r="AI61" s="0" t="n">
        <v>11</v>
      </c>
      <c r="AN61" s="0" t="s">
        <v>145</v>
      </c>
      <c r="AO61" s="0" t="s">
        <v>150</v>
      </c>
      <c r="AP61" s="0" t="s">
        <v>151</v>
      </c>
      <c r="AQ61" s="0" t="n">
        <v>9</v>
      </c>
      <c r="AR61" s="0" t="n">
        <v>64</v>
      </c>
      <c r="AS61" s="0" t="n">
        <v>32</v>
      </c>
      <c r="AU61" s="0" t="n">
        <f aca="false">COUNTA($BA$216:$EH$216)</f>
        <v>1</v>
      </c>
      <c r="AV61" s="0" t="n">
        <f aca="false">COUNTIF($BA$216:$EH$216,"D")</f>
        <v>0</v>
      </c>
      <c r="AW61" s="0" t="n">
        <f aca="false">COUNTIF($BA$216:$EH$216,"R")</f>
        <v>0</v>
      </c>
      <c r="AX61" s="0" t="n">
        <f aca="false">IF(BN61="D",1,0)+IF(BO61="D",1,0)+IF(BT61="D",1,0)+IF(BU61="D",1,0)+IF(BW61="D",1,0)+IF(CC61="D",1,0)+IF(CD61="D",1,0)+IF(CE61="D",1,0)+IF(CF61="D",1,0)+IF(CL61="D",1,0)+IF(CM61="D",1,0)+IF(CQ61="D",1,0)+IF(CR61="D",1,0)+IF(CS61="D",1,0)+IF(CW61="D",1,0)+IF(CX61="D",1,0)+IF(DD61="D",1,0)+IF(DE61="D",1,0)+IF(DJ61="D",1,0)+IF(DK61="D",1,0)+IF(DO61="D",1,0)+IF(DP61="D",1,0)+IF(DQ61="D",1,0)+IF(DW61="D",1,0)+IF(DZ61="D",1,0)+IF(EH61="D",1,0)</f>
        <v>0</v>
      </c>
      <c r="AY61" s="0" t="n">
        <f aca="false">COUNTIF(DU61:EH61, "&lt;&gt;")</f>
        <v>2</v>
      </c>
      <c r="AZ61" s="0" t="n">
        <f aca="false">IF(EH61&lt;&gt;"",1,0)</f>
        <v>0</v>
      </c>
      <c r="BB61" s="0" t="s">
        <v>152</v>
      </c>
      <c r="CP61" s="0" t="s">
        <v>153</v>
      </c>
      <c r="CY61" s="0" t="s">
        <v>153</v>
      </c>
      <c r="CZ61" s="0" t="s">
        <v>175</v>
      </c>
      <c r="DC61" s="0" t="s">
        <v>153</v>
      </c>
      <c r="DN61" s="0" t="s">
        <v>153</v>
      </c>
      <c r="DU61" s="0" t="s">
        <v>153</v>
      </c>
      <c r="EF61" s="0" t="s">
        <v>153</v>
      </c>
    </row>
    <row r="62" customFormat="false" ht="13.8" hidden="true" customHeight="false" outlineLevel="0" collapsed="false">
      <c r="A62" s="0" t="s">
        <v>508</v>
      </c>
      <c r="B62" s="0" t="n">
        <v>78</v>
      </c>
      <c r="C62" s="0" t="n">
        <v>421350</v>
      </c>
      <c r="D62" s="0" t="s">
        <v>509</v>
      </c>
      <c r="E62" s="0" t="s">
        <v>510</v>
      </c>
      <c r="F62" s="0" t="str">
        <f aca="false">CONCATENATE(D62," ",LEFT(H62,4),"T=",AU62,"D=",AV62,"R=",AW62,"M=",AX62,"L=",AY62,"B=",AZ62)</f>
        <v>PARKER T=1D=0R=0M=0L=0B=0</v>
      </c>
      <c r="G62" s="0" t="s">
        <v>511</v>
      </c>
      <c r="I62" s="0" t="s">
        <v>512</v>
      </c>
      <c r="J62" s="0" t="s">
        <v>513</v>
      </c>
      <c r="K62" s="0" t="s">
        <v>143</v>
      </c>
      <c r="M62" s="0" t="s">
        <v>503</v>
      </c>
      <c r="N62" s="0" t="str">
        <f aca="false">RIGHT(M62,LEN(M62)-FIND(" ",M62))</f>
        <v>ADELAIDE AVE SE</v>
      </c>
      <c r="P62" s="0" t="s">
        <v>145</v>
      </c>
      <c r="Q62" s="0" t="s">
        <v>146</v>
      </c>
      <c r="R62" s="0" t="n">
        <v>44483</v>
      </c>
      <c r="AD62" s="0" t="s">
        <v>147</v>
      </c>
      <c r="AE62" s="0" t="s">
        <v>148</v>
      </c>
      <c r="AF62" s="0" t="s">
        <v>149</v>
      </c>
      <c r="AH62" s="0" t="n">
        <v>14</v>
      </c>
      <c r="AI62" s="0" t="n">
        <v>11</v>
      </c>
      <c r="AN62" s="0" t="s">
        <v>145</v>
      </c>
      <c r="AO62" s="0" t="s">
        <v>150</v>
      </c>
      <c r="AP62" s="0" t="s">
        <v>151</v>
      </c>
      <c r="AQ62" s="0" t="n">
        <v>9</v>
      </c>
      <c r="AR62" s="0" t="n">
        <v>64</v>
      </c>
      <c r="AS62" s="0" t="n">
        <v>32</v>
      </c>
      <c r="AU62" s="0" t="n">
        <f aca="false">COUNTA($BA$348:$EH$348)</f>
        <v>1</v>
      </c>
      <c r="AV62" s="0" t="n">
        <f aca="false">COUNTIF($BA$348:$EH$348,"D")</f>
        <v>0</v>
      </c>
      <c r="AW62" s="0" t="n">
        <f aca="false">COUNTIF($BA$348:$EH$348,"R")</f>
        <v>0</v>
      </c>
      <c r="AX62" s="0" t="n">
        <f aca="false">IF(BN62="D",1,0)+IF(BO62="D",1,0)+IF(BT62="D",1,0)+IF(BU62="D",1,0)+IF(BW62="D",1,0)+IF(CC62="D",1,0)+IF(CD62="D",1,0)+IF(CE62="D",1,0)+IF(CF62="D",1,0)+IF(CL62="D",1,0)+IF(CM62="D",1,0)+IF(CQ62="D",1,0)+IF(CR62="D",1,0)+IF(CS62="D",1,0)+IF(CW62="D",1,0)+IF(CX62="D",1,0)+IF(DD62="D",1,0)+IF(DE62="D",1,0)+IF(DJ62="D",1,0)+IF(DK62="D",1,0)+IF(DO62="D",1,0)+IF(DP62="D",1,0)+IF(DQ62="D",1,0)+IF(DW62="D",1,0)+IF(DZ62="D",1,0)+IF(EH62="D",1,0)</f>
        <v>0</v>
      </c>
      <c r="AY62" s="0" t="n">
        <f aca="false">COUNTIF(DU62:EH62, "&lt;&gt;")</f>
        <v>0</v>
      </c>
      <c r="AZ62" s="0" t="n">
        <f aca="false">IF(EH62&lt;&gt;"",1,0)</f>
        <v>0</v>
      </c>
      <c r="BB62" s="0" t="s">
        <v>152</v>
      </c>
      <c r="DN62" s="0" t="s">
        <v>153</v>
      </c>
    </row>
    <row r="63" customFormat="false" ht="13.8" hidden="false" customHeight="false" outlineLevel="0" collapsed="false">
      <c r="A63" s="0" t="s">
        <v>514</v>
      </c>
      <c r="B63" s="0" t="n">
        <v>78</v>
      </c>
      <c r="C63" s="0" t="n">
        <v>384737</v>
      </c>
      <c r="D63" s="0" t="s">
        <v>515</v>
      </c>
      <c r="E63" s="0" t="s">
        <v>516</v>
      </c>
      <c r="F63" s="0" t="str">
        <f aca="false">CONCATENATE(D63," ",LEFT(H63,4),"T=",AU63,"D=",AV63,"R=",AW63,"M=",AX63,"L=",AY63,"B=",AZ63)</f>
        <v>NOVOTNY T=1D=0R=0M=0L=2B=0</v>
      </c>
      <c r="G63" s="0" t="s">
        <v>517</v>
      </c>
      <c r="I63" s="0" t="s">
        <v>518</v>
      </c>
      <c r="J63" s="0" t="s">
        <v>404</v>
      </c>
      <c r="K63" s="0" t="s">
        <v>160</v>
      </c>
      <c r="L63" s="0" t="s">
        <v>209</v>
      </c>
      <c r="M63" s="0" t="s">
        <v>503</v>
      </c>
      <c r="N63" s="0" t="str">
        <f aca="false">RIGHT(M63,LEN(M63)-FIND(" ",M63))</f>
        <v>ADELAIDE AVE SE</v>
      </c>
      <c r="P63" s="0" t="s">
        <v>145</v>
      </c>
      <c r="Q63" s="0" t="s">
        <v>146</v>
      </c>
      <c r="R63" s="0" t="n">
        <v>44483</v>
      </c>
      <c r="AD63" s="0" t="s">
        <v>147</v>
      </c>
      <c r="AE63" s="0" t="s">
        <v>148</v>
      </c>
      <c r="AF63" s="0" t="s">
        <v>149</v>
      </c>
      <c r="AH63" s="0" t="n">
        <v>14</v>
      </c>
      <c r="AI63" s="0" t="n">
        <v>11</v>
      </c>
      <c r="AN63" s="0" t="s">
        <v>145</v>
      </c>
      <c r="AO63" s="0" t="s">
        <v>150</v>
      </c>
      <c r="AP63" s="0" t="s">
        <v>151</v>
      </c>
      <c r="AQ63" s="0" t="n">
        <v>9</v>
      </c>
      <c r="AR63" s="0" t="n">
        <v>64</v>
      </c>
      <c r="AS63" s="0" t="n">
        <v>32</v>
      </c>
      <c r="AU63" s="0" t="n">
        <f aca="false">COUNTA($BA$538:$EH$538)</f>
        <v>1</v>
      </c>
      <c r="AV63" s="0" t="n">
        <f aca="false">COUNTIF($BA$538:$EH$538,"D")</f>
        <v>0</v>
      </c>
      <c r="AW63" s="0" t="n">
        <f aca="false">COUNTIF($BA$538:$EH$538,"R")</f>
        <v>0</v>
      </c>
      <c r="AX63" s="0" t="n">
        <f aca="false">IF(BN63="D",1,0)+IF(BO63="D",1,0)+IF(BT63="D",1,0)+IF(BU63="D",1,0)+IF(BW63="D",1,0)+IF(CC63="D",1,0)+IF(CD63="D",1,0)+IF(CE63="D",1,0)+IF(CF63="D",1,0)+IF(CL63="D",1,0)+IF(CM63="D",1,0)+IF(CQ63="D",1,0)+IF(CR63="D",1,0)+IF(CS63="D",1,0)+IF(CW63="D",1,0)+IF(CX63="D",1,0)+IF(DD63="D",1,0)+IF(DE63="D",1,0)+IF(DJ63="D",1,0)+IF(DK63="D",1,0)+IF(DO63="D",1,0)+IF(DP63="D",1,0)+IF(DQ63="D",1,0)+IF(DW63="D",1,0)+IF(DZ63="D",1,0)+IF(EH63="D",1,0)</f>
        <v>0</v>
      </c>
      <c r="AY63" s="0" t="n">
        <f aca="false">COUNTIF(DU63:EH63, "&lt;&gt;")</f>
        <v>2</v>
      </c>
      <c r="AZ63" s="0" t="n">
        <f aca="false">IF(EH63&lt;&gt;"",1,0)</f>
        <v>0</v>
      </c>
      <c r="BB63" s="0" t="s">
        <v>152</v>
      </c>
      <c r="CP63" s="0" t="s">
        <v>153</v>
      </c>
      <c r="CZ63" s="0" t="s">
        <v>209</v>
      </c>
      <c r="DN63" s="0" t="s">
        <v>153</v>
      </c>
      <c r="DT63" s="0" t="s">
        <v>209</v>
      </c>
      <c r="DU63" s="0" t="s">
        <v>153</v>
      </c>
      <c r="EF63" s="0" t="s">
        <v>153</v>
      </c>
    </row>
    <row r="64" customFormat="false" ht="13.8" hidden="false" customHeight="false" outlineLevel="0" collapsed="false">
      <c r="A64" s="0" t="s">
        <v>519</v>
      </c>
      <c r="B64" s="0" t="n">
        <v>78</v>
      </c>
      <c r="C64" s="0" t="n">
        <v>12690</v>
      </c>
      <c r="D64" s="0" t="s">
        <v>520</v>
      </c>
      <c r="E64" s="0" t="s">
        <v>521</v>
      </c>
      <c r="F64" s="0" t="str">
        <f aca="false">CONCATENATE(D64," ",LEFT(H64,4),"T=",AU64,"D=",AV64,"R=",AW64,"M=",AX64,"L=",AY64,"B=",AZ64)</f>
        <v>KOSELA T=24D=6R=1M=3L=6B=0</v>
      </c>
      <c r="G64" s="0" t="s">
        <v>522</v>
      </c>
      <c r="I64" s="0" t="s">
        <v>523</v>
      </c>
      <c r="J64" s="0" t="s">
        <v>524</v>
      </c>
      <c r="K64" s="0" t="s">
        <v>160</v>
      </c>
      <c r="L64" s="0" t="s">
        <v>209</v>
      </c>
      <c r="M64" s="0" t="s">
        <v>525</v>
      </c>
      <c r="N64" s="0" t="str">
        <f aca="false">RIGHT(M64,LEN(M64)-FIND(" ",M64))</f>
        <v>ADELAIDE AVE SE</v>
      </c>
      <c r="P64" s="0" t="s">
        <v>145</v>
      </c>
      <c r="Q64" s="0" t="s">
        <v>146</v>
      </c>
      <c r="R64" s="0" t="n">
        <v>44483</v>
      </c>
      <c r="AD64" s="0" t="s">
        <v>147</v>
      </c>
      <c r="AE64" s="0" t="s">
        <v>148</v>
      </c>
      <c r="AF64" s="0" t="s">
        <v>149</v>
      </c>
      <c r="AH64" s="0" t="n">
        <v>14</v>
      </c>
      <c r="AI64" s="0" t="n">
        <v>11</v>
      </c>
      <c r="AN64" s="0" t="s">
        <v>145</v>
      </c>
      <c r="AO64" s="0" t="s">
        <v>150</v>
      </c>
      <c r="AP64" s="0" t="s">
        <v>151</v>
      </c>
      <c r="AQ64" s="0" t="n">
        <v>9</v>
      </c>
      <c r="AR64" s="0" t="n">
        <v>64</v>
      </c>
      <c r="AS64" s="0" t="n">
        <v>32</v>
      </c>
      <c r="AU64" s="0" t="n">
        <f aca="false">COUNTA($BA$736:$EH$736)</f>
        <v>24</v>
      </c>
      <c r="AV64" s="0" t="n">
        <f aca="false">COUNTIF($BA$736:$EH$736,"D")</f>
        <v>6</v>
      </c>
      <c r="AW64" s="0" t="n">
        <f aca="false">COUNTIF($BA$736:$EH$736,"R")</f>
        <v>1</v>
      </c>
      <c r="AX64" s="0" t="n">
        <f aca="false">IF(BN64="D",1,0)+IF(BO64="D",1,0)+IF(BT64="D",1,0)+IF(BU64="D",1,0)+IF(BW64="D",1,0)+IF(CC64="D",1,0)+IF(CD64="D",1,0)+IF(CE64="D",1,0)+IF(CF64="D",1,0)+IF(CL64="D",1,0)+IF(CM64="D",1,0)+IF(CQ64="D",1,0)+IF(CR64="D",1,0)+IF(CS64="D",1,0)+IF(CW64="D",1,0)+IF(CX64="D",1,0)+IF(DD64="D",1,0)+IF(DE64="D",1,0)+IF(DJ64="D",1,0)+IF(DK64="D",1,0)+IF(DO64="D",1,0)+IF(DP64="D",1,0)+IF(DQ64="D",1,0)+IF(DW64="D",1,0)+IF(DZ64="D",1,0)+IF(EH64="D",1,0)</f>
        <v>3</v>
      </c>
      <c r="AY64" s="0" t="n">
        <f aca="false">COUNTIF(DU64:EH64, "&lt;&gt;")</f>
        <v>6</v>
      </c>
      <c r="AZ64" s="0" t="n">
        <f aca="false">IF(EH64&lt;&gt;"",1,0)</f>
        <v>0</v>
      </c>
      <c r="BB64" s="0" t="s">
        <v>152</v>
      </c>
      <c r="BC64" s="0" t="s">
        <v>153</v>
      </c>
      <c r="BD64" s="0" t="s">
        <v>153</v>
      </c>
      <c r="BG64" s="0" t="s">
        <v>153</v>
      </c>
      <c r="BH64" s="0" t="s">
        <v>153</v>
      </c>
      <c r="BI64" s="0" t="s">
        <v>153</v>
      </c>
      <c r="BJ64" s="0" t="s">
        <v>153</v>
      </c>
      <c r="BK64" s="0" t="s">
        <v>153</v>
      </c>
      <c r="BL64" s="0" t="s">
        <v>153</v>
      </c>
      <c r="BP64" s="0" t="s">
        <v>153</v>
      </c>
      <c r="BR64" s="0" t="s">
        <v>153</v>
      </c>
      <c r="BS64" s="0" t="s">
        <v>153</v>
      </c>
      <c r="BY64" s="0" t="s">
        <v>175</v>
      </c>
      <c r="CA64" s="0" t="s">
        <v>153</v>
      </c>
      <c r="CC64" s="0" t="s">
        <v>175</v>
      </c>
      <c r="CG64" s="0" t="s">
        <v>153</v>
      </c>
      <c r="CK64" s="0" t="s">
        <v>153</v>
      </c>
      <c r="CL64" s="0" t="s">
        <v>175</v>
      </c>
      <c r="CN64" s="0" t="s">
        <v>153</v>
      </c>
      <c r="CO64" s="0" t="s">
        <v>209</v>
      </c>
      <c r="CP64" s="0" t="s">
        <v>153</v>
      </c>
      <c r="CU64" s="0" t="s">
        <v>175</v>
      </c>
      <c r="CV64" s="0" t="s">
        <v>153</v>
      </c>
      <c r="CY64" s="0" t="s">
        <v>153</v>
      </c>
      <c r="CZ64" s="0" t="s">
        <v>209</v>
      </c>
      <c r="DC64" s="0" t="s">
        <v>153</v>
      </c>
      <c r="DF64" s="0" t="s">
        <v>153</v>
      </c>
      <c r="DG64" s="0" t="s">
        <v>209</v>
      </c>
      <c r="DI64" s="0" t="s">
        <v>153</v>
      </c>
      <c r="DL64" s="0" t="s">
        <v>153</v>
      </c>
      <c r="DM64" s="0" t="s">
        <v>209</v>
      </c>
      <c r="DN64" s="0" t="s">
        <v>153</v>
      </c>
      <c r="DR64" s="0" t="s">
        <v>153</v>
      </c>
      <c r="DS64" s="0" t="s">
        <v>209</v>
      </c>
      <c r="DU64" s="0" t="s">
        <v>153</v>
      </c>
      <c r="DW64" s="0" t="s">
        <v>175</v>
      </c>
      <c r="DX64" s="0" t="s">
        <v>153</v>
      </c>
      <c r="EA64" s="0" t="s">
        <v>153</v>
      </c>
      <c r="ED64" s="0" t="s">
        <v>209</v>
      </c>
      <c r="EF64" s="0" t="s">
        <v>153</v>
      </c>
    </row>
    <row r="65" customFormat="false" ht="13.8" hidden="true" customHeight="false" outlineLevel="0" collapsed="false">
      <c r="A65" s="0" t="s">
        <v>526</v>
      </c>
      <c r="B65" s="0" t="n">
        <v>78</v>
      </c>
      <c r="C65" s="0" t="n">
        <v>401042</v>
      </c>
      <c r="D65" s="0" t="s">
        <v>527</v>
      </c>
      <c r="E65" s="0" t="s">
        <v>274</v>
      </c>
      <c r="F65" s="0" t="str">
        <f aca="false">CONCATENATE(D65," ",LEFT(H65,4),"T=",AU65,"D=",AV65,"R=",AW65,"M=",AX65,"L=",AY65,"B=",AZ65)</f>
        <v>BAUGH T=16D=5R=0M=0L=0B=0</v>
      </c>
      <c r="G65" s="0" t="s">
        <v>175</v>
      </c>
      <c r="I65" s="0" t="s">
        <v>528</v>
      </c>
      <c r="J65" s="0" t="s">
        <v>529</v>
      </c>
      <c r="K65" s="0" t="s">
        <v>143</v>
      </c>
      <c r="M65" s="0" t="s">
        <v>530</v>
      </c>
      <c r="N65" s="0" t="str">
        <f aca="false">RIGHT(M65,LEN(M65)-FIND(" ",M65))</f>
        <v>ADELAIDE AVE SE</v>
      </c>
      <c r="P65" s="0" t="s">
        <v>145</v>
      </c>
      <c r="Q65" s="0" t="s">
        <v>146</v>
      </c>
      <c r="R65" s="0" t="n">
        <v>44483</v>
      </c>
      <c r="AD65" s="0" t="s">
        <v>147</v>
      </c>
      <c r="AE65" s="0" t="s">
        <v>148</v>
      </c>
      <c r="AF65" s="0" t="s">
        <v>149</v>
      </c>
      <c r="AH65" s="0" t="n">
        <v>14</v>
      </c>
      <c r="AI65" s="0" t="n">
        <v>11</v>
      </c>
      <c r="AN65" s="0" t="s">
        <v>145</v>
      </c>
      <c r="AO65" s="0" t="s">
        <v>150</v>
      </c>
      <c r="AP65" s="0" t="s">
        <v>151</v>
      </c>
      <c r="AQ65" s="0" t="n">
        <v>9</v>
      </c>
      <c r="AR65" s="0" t="n">
        <v>64</v>
      </c>
      <c r="AS65" s="0" t="n">
        <v>32</v>
      </c>
      <c r="AU65" s="0" t="n">
        <f aca="false">COUNTA($BA$450:$EH$450)</f>
        <v>16</v>
      </c>
      <c r="AV65" s="0" t="n">
        <f aca="false">COUNTIF($BA$450:$EH$450,"D")</f>
        <v>5</v>
      </c>
      <c r="AW65" s="0" t="n">
        <f aca="false">COUNTIF($BA$450:$EH$450,"R")</f>
        <v>0</v>
      </c>
      <c r="AX65" s="0" t="n">
        <f aca="false">IF(BN65="D",1,0)+IF(BO65="D",1,0)+IF(BT65="D",1,0)+IF(BU65="D",1,0)+IF(BW65="D",1,0)+IF(CC65="D",1,0)+IF(CD65="D",1,0)+IF(CE65="D",1,0)+IF(CF65="D",1,0)+IF(CL65="D",1,0)+IF(CM65="D",1,0)+IF(CQ65="D",1,0)+IF(CR65="D",1,0)+IF(CS65="D",1,0)+IF(CW65="D",1,0)+IF(CX65="D",1,0)+IF(DD65="D",1,0)+IF(DE65="D",1,0)+IF(DJ65="D",1,0)+IF(DK65="D",1,0)+IF(DO65="D",1,0)+IF(DP65="D",1,0)+IF(DQ65="D",1,0)+IF(DW65="D",1,0)+IF(DZ65="D",1,0)+IF(EH65="D",1,0)</f>
        <v>0</v>
      </c>
      <c r="AY65" s="0" t="n">
        <f aca="false">COUNTIF(DU65:EH65, "&lt;&gt;")</f>
        <v>0</v>
      </c>
      <c r="AZ65" s="0" t="n">
        <f aca="false">IF(EH65&lt;&gt;"",1,0)</f>
        <v>0</v>
      </c>
      <c r="BB65" s="0" t="s">
        <v>152</v>
      </c>
    </row>
    <row r="66" customFormat="false" ht="13.8" hidden="true" customHeight="false" outlineLevel="0" collapsed="false">
      <c r="A66" s="0" t="s">
        <v>531</v>
      </c>
      <c r="B66" s="0" t="n">
        <v>78</v>
      </c>
      <c r="C66" s="0" t="n">
        <v>409965</v>
      </c>
      <c r="D66" s="0" t="s">
        <v>532</v>
      </c>
      <c r="E66" s="0" t="s">
        <v>237</v>
      </c>
      <c r="F66" s="0" t="str">
        <f aca="false">CONCATENATE(D66," ",LEFT(H66,4),"T=",AU66,"D=",AV66,"R=",AW66,"M=",AX66,"L=",AY66,"B=",AZ66)</f>
        <v>MEADE T=1D=0R=0M=0L=0B=0</v>
      </c>
      <c r="G66" s="0" t="s">
        <v>171</v>
      </c>
      <c r="I66" s="0" t="s">
        <v>533</v>
      </c>
      <c r="J66" s="0" t="s">
        <v>534</v>
      </c>
      <c r="K66" s="0" t="s">
        <v>160</v>
      </c>
      <c r="M66" s="0" t="s">
        <v>530</v>
      </c>
      <c r="N66" s="0" t="str">
        <f aca="false">RIGHT(M66,LEN(M66)-FIND(" ",M66))</f>
        <v>ADELAIDE AVE SE</v>
      </c>
      <c r="P66" s="0" t="s">
        <v>145</v>
      </c>
      <c r="Q66" s="0" t="s">
        <v>146</v>
      </c>
      <c r="R66" s="0" t="n">
        <v>44483</v>
      </c>
      <c r="AD66" s="0" t="s">
        <v>147</v>
      </c>
      <c r="AE66" s="0" t="s">
        <v>148</v>
      </c>
      <c r="AF66" s="0" t="s">
        <v>149</v>
      </c>
      <c r="AH66" s="0" t="n">
        <v>14</v>
      </c>
      <c r="AI66" s="0" t="n">
        <v>11</v>
      </c>
      <c r="AN66" s="0" t="s">
        <v>145</v>
      </c>
      <c r="AO66" s="0" t="s">
        <v>150</v>
      </c>
      <c r="AP66" s="0" t="s">
        <v>151</v>
      </c>
      <c r="AQ66" s="0" t="n">
        <v>9</v>
      </c>
      <c r="AR66" s="0" t="n">
        <v>64</v>
      </c>
      <c r="AS66" s="0" t="n">
        <v>32</v>
      </c>
      <c r="AU66" s="0" t="n">
        <f aca="false">COUNTA($BA$742:$EH$742)</f>
        <v>1</v>
      </c>
      <c r="AV66" s="0" t="n">
        <f aca="false">COUNTIF($BA$742:$EH$742,"D")</f>
        <v>0</v>
      </c>
      <c r="AW66" s="0" t="n">
        <f aca="false">COUNTIF($BA$742:$EH$742,"R")</f>
        <v>0</v>
      </c>
      <c r="AX66" s="0" t="n">
        <f aca="false">IF(BN66="D",1,0)+IF(BO66="D",1,0)+IF(BT66="D",1,0)+IF(BU66="D",1,0)+IF(BW66="D",1,0)+IF(CC66="D",1,0)+IF(CD66="D",1,0)+IF(CE66="D",1,0)+IF(CF66="D",1,0)+IF(CL66="D",1,0)+IF(CM66="D",1,0)+IF(CQ66="D",1,0)+IF(CR66="D",1,0)+IF(CS66="D",1,0)+IF(CW66="D",1,0)+IF(CX66="D",1,0)+IF(DD66="D",1,0)+IF(DE66="D",1,0)+IF(DJ66="D",1,0)+IF(DK66="D",1,0)+IF(DO66="D",1,0)+IF(DP66="D",1,0)+IF(DQ66="D",1,0)+IF(DW66="D",1,0)+IF(DZ66="D",1,0)+IF(EH66="D",1,0)</f>
        <v>0</v>
      </c>
      <c r="AY66" s="0" t="n">
        <f aca="false">COUNTIF(DU66:EH66, "&lt;&gt;")</f>
        <v>0</v>
      </c>
      <c r="AZ66" s="0" t="n">
        <f aca="false">IF(EH66&lt;&gt;"",1,0)</f>
        <v>0</v>
      </c>
      <c r="BB66" s="0" t="s">
        <v>152</v>
      </c>
    </row>
    <row r="67" customFormat="false" ht="13.8" hidden="true" customHeight="false" outlineLevel="0" collapsed="false">
      <c r="A67" s="0" t="s">
        <v>535</v>
      </c>
      <c r="B67" s="0" t="n">
        <v>78</v>
      </c>
      <c r="C67" s="0" t="n">
        <v>485822</v>
      </c>
      <c r="D67" s="0" t="s">
        <v>536</v>
      </c>
      <c r="E67" s="0" t="s">
        <v>537</v>
      </c>
      <c r="F67" s="0" t="str">
        <f aca="false">CONCATENATE(D67," ",LEFT(H67,4),"T=",AU67,"D=",AV67,"R=",AW67,"M=",AX67,"L=",AY67,"B=",AZ67)</f>
        <v>PENDLAND T=6D=1R=0M=0L=0B=0</v>
      </c>
      <c r="G67" s="0" t="s">
        <v>175</v>
      </c>
      <c r="I67" s="0" t="s">
        <v>538</v>
      </c>
      <c r="J67" s="0" t="s">
        <v>539</v>
      </c>
      <c r="K67" s="0" t="s">
        <v>160</v>
      </c>
      <c r="M67" s="0" t="s">
        <v>530</v>
      </c>
      <c r="N67" s="0" t="str">
        <f aca="false">RIGHT(M67,LEN(M67)-FIND(" ",M67))</f>
        <v>ADELAIDE AVE SE</v>
      </c>
      <c r="P67" s="0" t="s">
        <v>145</v>
      </c>
      <c r="Q67" s="0" t="s">
        <v>146</v>
      </c>
      <c r="R67" s="0" t="n">
        <v>44483</v>
      </c>
      <c r="AD67" s="0" t="s">
        <v>147</v>
      </c>
      <c r="AE67" s="0" t="s">
        <v>148</v>
      </c>
      <c r="AF67" s="0" t="s">
        <v>149</v>
      </c>
      <c r="AH67" s="0" t="n">
        <v>14</v>
      </c>
      <c r="AI67" s="0" t="n">
        <v>11</v>
      </c>
      <c r="AN67" s="0" t="s">
        <v>145</v>
      </c>
      <c r="AO67" s="0" t="s">
        <v>150</v>
      </c>
      <c r="AP67" s="0" t="s">
        <v>151</v>
      </c>
      <c r="AQ67" s="0" t="n">
        <v>9</v>
      </c>
      <c r="AR67" s="0" t="n">
        <v>64</v>
      </c>
      <c r="AS67" s="0" t="n">
        <v>32</v>
      </c>
      <c r="AU67" s="0" t="n">
        <f aca="false">COUNTA($BA$856:$EH$856)</f>
        <v>6</v>
      </c>
      <c r="AV67" s="0" t="n">
        <f aca="false">COUNTIF($BA$856:$EH$856,"D")</f>
        <v>1</v>
      </c>
      <c r="AW67" s="0" t="n">
        <f aca="false">COUNTIF($BA$856:$EH$856,"R")</f>
        <v>0</v>
      </c>
      <c r="AX67" s="0" t="n">
        <f aca="false">IF(BN67="D",1,0)+IF(BO67="D",1,0)+IF(BT67="D",1,0)+IF(BU67="D",1,0)+IF(BW67="D",1,0)+IF(CC67="D",1,0)+IF(CD67="D",1,0)+IF(CE67="D",1,0)+IF(CF67="D",1,0)+IF(CL67="D",1,0)+IF(CM67="D",1,0)+IF(CQ67="D",1,0)+IF(CR67="D",1,0)+IF(CS67="D",1,0)+IF(CW67="D",1,0)+IF(CX67="D",1,0)+IF(DD67="D",1,0)+IF(DE67="D",1,0)+IF(DJ67="D",1,0)+IF(DK67="D",1,0)+IF(DO67="D",1,0)+IF(DP67="D",1,0)+IF(DQ67="D",1,0)+IF(DW67="D",1,0)+IF(DZ67="D",1,0)+IF(EH67="D",1,0)</f>
        <v>0</v>
      </c>
      <c r="AY67" s="0" t="n">
        <f aca="false">COUNTIF(DU67:EH67, "&lt;&gt;")</f>
        <v>0</v>
      </c>
      <c r="AZ67" s="0" t="n">
        <f aca="false">IF(EH67&lt;&gt;"",1,0)</f>
        <v>0</v>
      </c>
      <c r="BB67" s="0" t="s">
        <v>152</v>
      </c>
    </row>
    <row r="68" customFormat="false" ht="13.8" hidden="true" customHeight="false" outlineLevel="0" collapsed="false">
      <c r="A68" s="0" t="s">
        <v>540</v>
      </c>
      <c r="B68" s="0" t="n">
        <v>78</v>
      </c>
      <c r="C68" s="0" t="n">
        <v>437362</v>
      </c>
      <c r="D68" s="0" t="s">
        <v>273</v>
      </c>
      <c r="E68" s="0" t="s">
        <v>541</v>
      </c>
      <c r="F68" s="0" t="str">
        <f aca="false">CONCATENATE(D68," ",LEFT(H68,4),"T=",AU68,"D=",AV68,"R=",AW68,"M=",AX68,"L=",AY68,"B=",AZ68)</f>
        <v>PHILLIPS T=10D=1R=0M=0L=1B=0</v>
      </c>
      <c r="G68" s="0" t="s">
        <v>542</v>
      </c>
      <c r="I68" s="0" t="s">
        <v>543</v>
      </c>
      <c r="J68" s="0" t="s">
        <v>544</v>
      </c>
      <c r="K68" s="0" t="s">
        <v>160</v>
      </c>
      <c r="M68" s="0" t="s">
        <v>545</v>
      </c>
      <c r="N68" s="0" t="str">
        <f aca="false">RIGHT(M68,LEN(M68)-FIND(" ",M68))</f>
        <v>ADELAIDE AVE SE</v>
      </c>
      <c r="P68" s="0" t="s">
        <v>145</v>
      </c>
      <c r="Q68" s="0" t="s">
        <v>146</v>
      </c>
      <c r="R68" s="0" t="n">
        <v>44483</v>
      </c>
      <c r="AD68" s="0" t="s">
        <v>147</v>
      </c>
      <c r="AE68" s="0" t="s">
        <v>148</v>
      </c>
      <c r="AF68" s="0" t="s">
        <v>149</v>
      </c>
      <c r="AH68" s="0" t="n">
        <v>14</v>
      </c>
      <c r="AI68" s="0" t="n">
        <v>11</v>
      </c>
      <c r="AN68" s="0" t="s">
        <v>145</v>
      </c>
      <c r="AO68" s="0" t="s">
        <v>150</v>
      </c>
      <c r="AP68" s="0" t="s">
        <v>151</v>
      </c>
      <c r="AQ68" s="0" t="n">
        <v>9</v>
      </c>
      <c r="AR68" s="0" t="n">
        <v>64</v>
      </c>
      <c r="AS68" s="0" t="n">
        <v>32</v>
      </c>
      <c r="AU68" s="0" t="n">
        <f aca="false">COUNTA($BA$745:$EH$745)</f>
        <v>10</v>
      </c>
      <c r="AV68" s="0" t="n">
        <f aca="false">COUNTIF($BA$745:$EH$745,"D")</f>
        <v>1</v>
      </c>
      <c r="AW68" s="0" t="n">
        <f aca="false">COUNTIF($BA$745:$EH$745,"R")</f>
        <v>0</v>
      </c>
      <c r="AX68" s="0" t="n">
        <f aca="false">IF(BN68="D",1,0)+IF(BO68="D",1,0)+IF(BT68="D",1,0)+IF(BU68="D",1,0)+IF(BW68="D",1,0)+IF(CC68="D",1,0)+IF(CD68="D",1,0)+IF(CE68="D",1,0)+IF(CF68="D",1,0)+IF(CL68="D",1,0)+IF(CM68="D",1,0)+IF(CQ68="D",1,0)+IF(CR68="D",1,0)+IF(CS68="D",1,0)+IF(CW68="D",1,0)+IF(CX68="D",1,0)+IF(DD68="D",1,0)+IF(DE68="D",1,0)+IF(DJ68="D",1,0)+IF(DK68="D",1,0)+IF(DO68="D",1,0)+IF(DP68="D",1,0)+IF(DQ68="D",1,0)+IF(DW68="D",1,0)+IF(DZ68="D",1,0)+IF(EH68="D",1,0)</f>
        <v>0</v>
      </c>
      <c r="AY68" s="0" t="n">
        <f aca="false">COUNTIF(DU68:EH68, "&lt;&gt;")</f>
        <v>1</v>
      </c>
      <c r="AZ68" s="0" t="n">
        <f aca="false">IF(EH68&lt;&gt;"",1,0)</f>
        <v>0</v>
      </c>
      <c r="BB68" s="0" t="s">
        <v>152</v>
      </c>
      <c r="DN68" s="0" t="s">
        <v>153</v>
      </c>
      <c r="EF68" s="0" t="s">
        <v>153</v>
      </c>
    </row>
    <row r="69" customFormat="false" ht="13.8" hidden="false" customHeight="false" outlineLevel="0" collapsed="false">
      <c r="A69" s="0" t="s">
        <v>546</v>
      </c>
      <c r="B69" s="0" t="n">
        <v>78</v>
      </c>
      <c r="C69" s="0" t="n">
        <v>437363</v>
      </c>
      <c r="D69" s="0" t="s">
        <v>273</v>
      </c>
      <c r="E69" s="0" t="s">
        <v>547</v>
      </c>
      <c r="F69" s="0" t="str">
        <f aca="false">CONCATENATE(D69," ",LEFT(H69,4),"T=",AU69,"D=",AV69,"R=",AW69,"M=",AX69,"L=",AY69,"B=",AZ69)</f>
        <v>PHILLIPS T=2D=0R=0M=0L=2B=0</v>
      </c>
      <c r="G69" s="0" t="s">
        <v>171</v>
      </c>
      <c r="I69" s="0" t="s">
        <v>548</v>
      </c>
      <c r="J69" s="0" t="s">
        <v>544</v>
      </c>
      <c r="K69" s="0" t="s">
        <v>160</v>
      </c>
      <c r="M69" s="0" t="s">
        <v>545</v>
      </c>
      <c r="N69" s="0" t="str">
        <f aca="false">RIGHT(M69,LEN(M69)-FIND(" ",M69))</f>
        <v>ADELAIDE AVE SE</v>
      </c>
      <c r="P69" s="0" t="s">
        <v>145</v>
      </c>
      <c r="Q69" s="0" t="s">
        <v>146</v>
      </c>
      <c r="R69" s="0" t="n">
        <v>44483</v>
      </c>
      <c r="AD69" s="0" t="s">
        <v>147</v>
      </c>
      <c r="AE69" s="0" t="s">
        <v>148</v>
      </c>
      <c r="AF69" s="0" t="s">
        <v>149</v>
      </c>
      <c r="AH69" s="0" t="n">
        <v>14</v>
      </c>
      <c r="AI69" s="0" t="n">
        <v>11</v>
      </c>
      <c r="AN69" s="0" t="s">
        <v>145</v>
      </c>
      <c r="AO69" s="0" t="s">
        <v>150</v>
      </c>
      <c r="AP69" s="0" t="s">
        <v>151</v>
      </c>
      <c r="AQ69" s="0" t="n">
        <v>9</v>
      </c>
      <c r="AR69" s="0" t="n">
        <v>64</v>
      </c>
      <c r="AS69" s="0" t="n">
        <v>32</v>
      </c>
      <c r="AU69" s="0" t="n">
        <f aca="false">COUNTA($BA$746:$EH$746)</f>
        <v>2</v>
      </c>
      <c r="AV69" s="0" t="n">
        <f aca="false">COUNTIF($BA$746:$EH$746,"D")</f>
        <v>0</v>
      </c>
      <c r="AW69" s="0" t="n">
        <f aca="false">COUNTIF($BA$746:$EH$746,"R")</f>
        <v>0</v>
      </c>
      <c r="AX69" s="0" t="n">
        <f aca="false">IF(BN69="D",1,0)+IF(BO69="D",1,0)+IF(BT69="D",1,0)+IF(BU69="D",1,0)+IF(BW69="D",1,0)+IF(CC69="D",1,0)+IF(CD69="D",1,0)+IF(CE69="D",1,0)+IF(CF69="D",1,0)+IF(CL69="D",1,0)+IF(CM69="D",1,0)+IF(CQ69="D",1,0)+IF(CR69="D",1,0)+IF(CS69="D",1,0)+IF(CW69="D",1,0)+IF(CX69="D",1,0)+IF(DD69="D",1,0)+IF(DE69="D",1,0)+IF(DJ69="D",1,0)+IF(DK69="D",1,0)+IF(DO69="D",1,0)+IF(DP69="D",1,0)+IF(DQ69="D",1,0)+IF(DW69="D",1,0)+IF(DZ69="D",1,0)+IF(EH69="D",1,0)</f>
        <v>0</v>
      </c>
      <c r="AY69" s="0" t="n">
        <f aca="false">COUNTIF(DU69:EH69, "&lt;&gt;")</f>
        <v>2</v>
      </c>
      <c r="AZ69" s="0" t="n">
        <f aca="false">IF(EH69&lt;&gt;"",1,0)</f>
        <v>0</v>
      </c>
      <c r="BB69" s="0" t="s">
        <v>152</v>
      </c>
      <c r="DN69" s="0" t="s">
        <v>153</v>
      </c>
      <c r="EA69" s="0" t="s">
        <v>153</v>
      </c>
      <c r="EF69" s="0" t="s">
        <v>153</v>
      </c>
    </row>
    <row r="70" customFormat="false" ht="13.8" hidden="false" customHeight="false" outlineLevel="0" collapsed="false">
      <c r="A70" s="0" t="s">
        <v>549</v>
      </c>
      <c r="B70" s="0" t="n">
        <v>78</v>
      </c>
      <c r="C70" s="0" t="n">
        <v>274529</v>
      </c>
      <c r="D70" s="0" t="s">
        <v>550</v>
      </c>
      <c r="E70" s="0" t="s">
        <v>551</v>
      </c>
      <c r="F70" s="0" t="str">
        <f aca="false">CONCATENATE(D70," ",LEFT(H70,4),"T=",AU70,"D=",AV70,"R=",AW70,"M=",AX70,"L=",AY70,"B=",AZ70)</f>
        <v>HYDE T=31D=5R=0M=0L=4B=0</v>
      </c>
      <c r="G70" s="0" t="s">
        <v>175</v>
      </c>
      <c r="I70" s="0" t="s">
        <v>552</v>
      </c>
      <c r="J70" s="0" t="s">
        <v>553</v>
      </c>
      <c r="K70" s="0" t="s">
        <v>160</v>
      </c>
      <c r="L70" s="0" t="s">
        <v>175</v>
      </c>
      <c r="M70" s="0" t="s">
        <v>554</v>
      </c>
      <c r="N70" s="0" t="str">
        <f aca="false">RIGHT(M70,LEN(M70)-FIND(" ",M70))</f>
        <v>ADELAIDE AVE SE</v>
      </c>
      <c r="P70" s="0" t="s">
        <v>145</v>
      </c>
      <c r="Q70" s="0" t="s">
        <v>146</v>
      </c>
      <c r="R70" s="0" t="n">
        <v>44484</v>
      </c>
      <c r="AD70" s="0" t="s">
        <v>147</v>
      </c>
      <c r="AE70" s="0" t="s">
        <v>148</v>
      </c>
      <c r="AF70" s="0" t="s">
        <v>149</v>
      </c>
      <c r="AH70" s="0" t="n">
        <v>14</v>
      </c>
      <c r="AI70" s="0" t="n">
        <v>11</v>
      </c>
      <c r="AN70" s="0" t="s">
        <v>145</v>
      </c>
      <c r="AO70" s="0" t="s">
        <v>150</v>
      </c>
      <c r="AP70" s="0" t="s">
        <v>151</v>
      </c>
      <c r="AQ70" s="0" t="n">
        <v>9</v>
      </c>
      <c r="AR70" s="0" t="n">
        <v>64</v>
      </c>
      <c r="AS70" s="0" t="n">
        <v>32</v>
      </c>
      <c r="AU70" s="0" t="n">
        <f aca="false">COUNTA($BA$103:$EH$103)</f>
        <v>31</v>
      </c>
      <c r="AV70" s="0" t="n">
        <f aca="false">COUNTIF($BA$103:$EH$103,"D")</f>
        <v>5</v>
      </c>
      <c r="AW70" s="0" t="n">
        <f aca="false">COUNTIF($BA$103:$EH$103,"R")</f>
        <v>0</v>
      </c>
      <c r="AX70" s="0" t="n">
        <f aca="false">IF(BN70="D",1,0)+IF(BO70="D",1,0)+IF(BT70="D",1,0)+IF(BU70="D",1,0)+IF(BW70="D",1,0)+IF(CC70="D",1,0)+IF(CD70="D",1,0)+IF(CE70="D",1,0)+IF(CF70="D",1,0)+IF(CL70="D",1,0)+IF(CM70="D",1,0)+IF(CQ70="D",1,0)+IF(CR70="D",1,0)+IF(CS70="D",1,0)+IF(CW70="D",1,0)+IF(CX70="D",1,0)+IF(DD70="D",1,0)+IF(DE70="D",1,0)+IF(DJ70="D",1,0)+IF(DK70="D",1,0)+IF(DO70="D",1,0)+IF(DP70="D",1,0)+IF(DQ70="D",1,0)+IF(DW70="D",1,0)+IF(DZ70="D",1,0)+IF(EH70="D",1,0)</f>
        <v>0</v>
      </c>
      <c r="AY70" s="0" t="n">
        <f aca="false">COUNTIF(DU70:EH70, "&lt;&gt;")</f>
        <v>4</v>
      </c>
      <c r="AZ70" s="0" t="n">
        <f aca="false">IF(EH70&lt;&gt;"",1,0)</f>
        <v>0</v>
      </c>
      <c r="BB70" s="0" t="s">
        <v>152</v>
      </c>
      <c r="CA70" s="0" t="s">
        <v>153</v>
      </c>
      <c r="CY70" s="0" t="s">
        <v>153</v>
      </c>
      <c r="CZ70" s="0" t="s">
        <v>175</v>
      </c>
      <c r="DC70" s="0" t="s">
        <v>153</v>
      </c>
      <c r="DI70" s="0" t="s">
        <v>153</v>
      </c>
      <c r="DN70" s="0" t="s">
        <v>153</v>
      </c>
      <c r="DT70" s="0" t="s">
        <v>175</v>
      </c>
      <c r="DU70" s="0" t="s">
        <v>153</v>
      </c>
      <c r="DX70" s="0" t="s">
        <v>153</v>
      </c>
      <c r="EA70" s="0" t="s">
        <v>153</v>
      </c>
      <c r="EF70" s="0" t="s">
        <v>153</v>
      </c>
    </row>
    <row r="71" customFormat="false" ht="13.8" hidden="true" customHeight="false" outlineLevel="0" collapsed="false">
      <c r="A71" s="0" t="s">
        <v>555</v>
      </c>
      <c r="B71" s="0" t="n">
        <v>78</v>
      </c>
      <c r="C71" s="0" t="n">
        <v>458213</v>
      </c>
      <c r="D71" s="0" t="s">
        <v>556</v>
      </c>
      <c r="E71" s="0" t="s">
        <v>557</v>
      </c>
      <c r="F71" s="0" t="str">
        <f aca="false">CONCATENATE(D71," ",LEFT(H71,4),"T=",AU71,"D=",AV71,"R=",AW71,"M=",AX71,"L=",AY71,"B=",AZ71)</f>
        <v>ANDERSON T=2D=0R=0M=0L=0B=0</v>
      </c>
      <c r="G71" s="0" t="s">
        <v>558</v>
      </c>
      <c r="I71" s="0" t="s">
        <v>559</v>
      </c>
      <c r="J71" s="0" t="s">
        <v>560</v>
      </c>
      <c r="K71" s="0" t="s">
        <v>160</v>
      </c>
      <c r="M71" s="0" t="s">
        <v>554</v>
      </c>
      <c r="N71" s="0" t="str">
        <f aca="false">RIGHT(M71,LEN(M71)-FIND(" ",M71))</f>
        <v>ADELAIDE AVE SE</v>
      </c>
      <c r="P71" s="0" t="s">
        <v>145</v>
      </c>
      <c r="Q71" s="0" t="s">
        <v>146</v>
      </c>
      <c r="R71" s="0" t="n">
        <v>44484</v>
      </c>
      <c r="AD71" s="0" t="s">
        <v>147</v>
      </c>
      <c r="AE71" s="0" t="s">
        <v>148</v>
      </c>
      <c r="AF71" s="0" t="s">
        <v>149</v>
      </c>
      <c r="AH71" s="0" t="n">
        <v>14</v>
      </c>
      <c r="AI71" s="0" t="n">
        <v>11</v>
      </c>
      <c r="AN71" s="0" t="s">
        <v>145</v>
      </c>
      <c r="AO71" s="0" t="s">
        <v>150</v>
      </c>
      <c r="AP71" s="0" t="s">
        <v>151</v>
      </c>
      <c r="AQ71" s="0" t="n">
        <v>9</v>
      </c>
      <c r="AR71" s="0" t="n">
        <v>64</v>
      </c>
      <c r="AS71" s="0" t="n">
        <v>32</v>
      </c>
      <c r="AU71" s="0" t="n">
        <f aca="false">COUNTA($BA$159:$EH$159)</f>
        <v>2</v>
      </c>
      <c r="AV71" s="0" t="n">
        <f aca="false">COUNTIF($BA$159:$EH$159,"D")</f>
        <v>0</v>
      </c>
      <c r="AW71" s="0" t="n">
        <f aca="false">COUNTIF($BA$159:$EH$159,"R")</f>
        <v>0</v>
      </c>
      <c r="AX71" s="0" t="n">
        <f aca="false">IF(BN71="D",1,0)+IF(BO71="D",1,0)+IF(BT71="D",1,0)+IF(BU71="D",1,0)+IF(BW71="D",1,0)+IF(CC71="D",1,0)+IF(CD71="D",1,0)+IF(CE71="D",1,0)+IF(CF71="D",1,0)+IF(CL71="D",1,0)+IF(CM71="D",1,0)+IF(CQ71="D",1,0)+IF(CR71="D",1,0)+IF(CS71="D",1,0)+IF(CW71="D",1,0)+IF(CX71="D",1,0)+IF(DD71="D",1,0)+IF(DE71="D",1,0)+IF(DJ71="D",1,0)+IF(DK71="D",1,0)+IF(DO71="D",1,0)+IF(DP71="D",1,0)+IF(DQ71="D",1,0)+IF(DW71="D",1,0)+IF(DZ71="D",1,0)+IF(EH71="D",1,0)</f>
        <v>0</v>
      </c>
      <c r="AY71" s="0" t="n">
        <f aca="false">COUNTIF(DU71:EH71, "&lt;&gt;")</f>
        <v>0</v>
      </c>
      <c r="AZ71" s="0" t="n">
        <f aca="false">IF(EH71&lt;&gt;"",1,0)</f>
        <v>0</v>
      </c>
      <c r="BB71" s="0" t="s">
        <v>152</v>
      </c>
    </row>
    <row r="72" customFormat="false" ht="13.8" hidden="false" customHeight="false" outlineLevel="0" collapsed="false">
      <c r="A72" s="0" t="s">
        <v>561</v>
      </c>
      <c r="B72" s="0" t="n">
        <v>78</v>
      </c>
      <c r="C72" s="0" t="n">
        <v>308130</v>
      </c>
      <c r="D72" s="0" t="s">
        <v>562</v>
      </c>
      <c r="E72" s="0" t="s">
        <v>563</v>
      </c>
      <c r="F72" s="0" t="str">
        <f aca="false">CONCATENATE(D72," ",LEFT(H72,4),"T=",AU72,"D=",AV72,"R=",AW72,"M=",AX72,"L=",AY72,"B=",AZ72)</f>
        <v>EDWARDS T=2D=1R=0M=0L=3B=0</v>
      </c>
      <c r="G72" s="0" t="s">
        <v>325</v>
      </c>
      <c r="I72" s="0" t="s">
        <v>564</v>
      </c>
      <c r="J72" s="0" t="s">
        <v>565</v>
      </c>
      <c r="K72" s="0" t="s">
        <v>160</v>
      </c>
      <c r="L72" s="0" t="s">
        <v>175</v>
      </c>
      <c r="M72" s="0" t="s">
        <v>554</v>
      </c>
      <c r="N72" s="0" t="str">
        <f aca="false">RIGHT(M72,LEN(M72)-FIND(" ",M72))</f>
        <v>ADELAIDE AVE SE</v>
      </c>
      <c r="P72" s="0" t="s">
        <v>145</v>
      </c>
      <c r="Q72" s="0" t="s">
        <v>146</v>
      </c>
      <c r="R72" s="0" t="n">
        <v>44484</v>
      </c>
      <c r="AD72" s="0" t="s">
        <v>147</v>
      </c>
      <c r="AE72" s="0" t="s">
        <v>148</v>
      </c>
      <c r="AF72" s="0" t="s">
        <v>149</v>
      </c>
      <c r="AH72" s="0" t="n">
        <v>14</v>
      </c>
      <c r="AI72" s="0" t="n">
        <v>11</v>
      </c>
      <c r="AN72" s="0" t="s">
        <v>145</v>
      </c>
      <c r="AO72" s="0" t="s">
        <v>150</v>
      </c>
      <c r="AP72" s="0" t="s">
        <v>151</v>
      </c>
      <c r="AQ72" s="0" t="n">
        <v>9</v>
      </c>
      <c r="AR72" s="0" t="n">
        <v>64</v>
      </c>
      <c r="AS72" s="0" t="n">
        <v>32</v>
      </c>
      <c r="AU72" s="0" t="n">
        <f aca="false">COUNTA($BA$524:$EH$524)</f>
        <v>2</v>
      </c>
      <c r="AV72" s="0" t="n">
        <f aca="false">COUNTIF($BA$524:$EH$524,"D")</f>
        <v>1</v>
      </c>
      <c r="AW72" s="0" t="n">
        <f aca="false">COUNTIF($BA$524:$EH$524,"R")</f>
        <v>0</v>
      </c>
      <c r="AX72" s="0" t="n">
        <f aca="false">IF(BN72="D",1,0)+IF(BO72="D",1,0)+IF(BT72="D",1,0)+IF(BU72="D",1,0)+IF(BW72="D",1,0)+IF(CC72="D",1,0)+IF(CD72="D",1,0)+IF(CE72="D",1,0)+IF(CF72="D",1,0)+IF(CL72="D",1,0)+IF(CM72="D",1,0)+IF(CQ72="D",1,0)+IF(CR72="D",1,0)+IF(CS72="D",1,0)+IF(CW72="D",1,0)+IF(CX72="D",1,0)+IF(DD72="D",1,0)+IF(DE72="D",1,0)+IF(DJ72="D",1,0)+IF(DK72="D",1,0)+IF(DO72="D",1,0)+IF(DP72="D",1,0)+IF(DQ72="D",1,0)+IF(DW72="D",1,0)+IF(DZ72="D",1,0)+IF(EH72="D",1,0)</f>
        <v>0</v>
      </c>
      <c r="AY72" s="0" t="n">
        <f aca="false">COUNTIF(DU72:EH72, "&lt;&gt;")</f>
        <v>3</v>
      </c>
      <c r="AZ72" s="0" t="n">
        <f aca="false">IF(EH72&lt;&gt;"",1,0)</f>
        <v>0</v>
      </c>
      <c r="BB72" s="0" t="s">
        <v>152</v>
      </c>
      <c r="BH72" s="0" t="s">
        <v>153</v>
      </c>
      <c r="BI72" s="0" t="s">
        <v>153</v>
      </c>
      <c r="BJ72" s="0" t="s">
        <v>153</v>
      </c>
      <c r="BK72" s="0" t="s">
        <v>153</v>
      </c>
      <c r="BL72" s="0" t="s">
        <v>153</v>
      </c>
      <c r="BP72" s="0" t="s">
        <v>153</v>
      </c>
      <c r="CA72" s="0" t="s">
        <v>153</v>
      </c>
      <c r="CG72" s="0" t="s">
        <v>153</v>
      </c>
      <c r="CZ72" s="0" t="s">
        <v>175</v>
      </c>
      <c r="DC72" s="0" t="s">
        <v>153</v>
      </c>
      <c r="DI72" s="0" t="s">
        <v>153</v>
      </c>
      <c r="DN72" s="0" t="s">
        <v>153</v>
      </c>
      <c r="DT72" s="0" t="s">
        <v>175</v>
      </c>
      <c r="DU72" s="0" t="s">
        <v>153</v>
      </c>
      <c r="DX72" s="0" t="s">
        <v>153</v>
      </c>
      <c r="EA72" s="0" t="s">
        <v>153</v>
      </c>
    </row>
    <row r="73" customFormat="false" ht="13.8" hidden="true" customHeight="false" outlineLevel="0" collapsed="false">
      <c r="A73" s="0" t="s">
        <v>566</v>
      </c>
      <c r="B73" s="0" t="n">
        <v>78</v>
      </c>
      <c r="C73" s="0" t="n">
        <v>402481</v>
      </c>
      <c r="D73" s="0" t="s">
        <v>567</v>
      </c>
      <c r="E73" s="0" t="s">
        <v>568</v>
      </c>
      <c r="F73" s="0" t="str">
        <f aca="false">CONCATENATE(D73," ",LEFT(H73,4),"T=",AU73,"D=",AV73,"R=",AW73,"M=",AX73,"L=",AY73,"B=",AZ73)</f>
        <v>SEALS T=8D=1R=0M=0L=1B=0</v>
      </c>
      <c r="G73" s="0" t="s">
        <v>517</v>
      </c>
      <c r="I73" s="0" t="s">
        <v>569</v>
      </c>
      <c r="J73" s="0" t="s">
        <v>570</v>
      </c>
      <c r="K73" s="0" t="s">
        <v>160</v>
      </c>
      <c r="M73" s="0" t="s">
        <v>571</v>
      </c>
      <c r="N73" s="0" t="str">
        <f aca="false">RIGHT(M73,LEN(M73)-FIND(" ",M73))</f>
        <v>ADELAIDE AVE SE</v>
      </c>
      <c r="P73" s="0" t="s">
        <v>145</v>
      </c>
      <c r="Q73" s="0" t="s">
        <v>146</v>
      </c>
      <c r="R73" s="0" t="n">
        <v>44484</v>
      </c>
      <c r="AD73" s="0" t="s">
        <v>147</v>
      </c>
      <c r="AE73" s="0" t="s">
        <v>148</v>
      </c>
      <c r="AF73" s="0" t="s">
        <v>149</v>
      </c>
      <c r="AH73" s="0" t="n">
        <v>14</v>
      </c>
      <c r="AI73" s="0" t="n">
        <v>11</v>
      </c>
      <c r="AN73" s="0" t="s">
        <v>145</v>
      </c>
      <c r="AO73" s="0" t="s">
        <v>150</v>
      </c>
      <c r="AP73" s="0" t="s">
        <v>151</v>
      </c>
      <c r="AQ73" s="0" t="n">
        <v>9</v>
      </c>
      <c r="AR73" s="0" t="n">
        <v>64</v>
      </c>
      <c r="AS73" s="0" t="n">
        <v>32</v>
      </c>
      <c r="AU73" s="0" t="n">
        <f aca="false">COUNTA($BA$353:$EH$353)</f>
        <v>8</v>
      </c>
      <c r="AV73" s="0" t="n">
        <f aca="false">COUNTIF($BA$353:$EH$353,"D")</f>
        <v>1</v>
      </c>
      <c r="AW73" s="0" t="n">
        <f aca="false">COUNTIF($BA$353:$EH$353,"R")</f>
        <v>0</v>
      </c>
      <c r="AX73" s="0" t="n">
        <f aca="false">IF(BN73="D",1,0)+IF(BO73="D",1,0)+IF(BT73="D",1,0)+IF(BU73="D",1,0)+IF(BW73="D",1,0)+IF(CC73="D",1,0)+IF(CD73="D",1,0)+IF(CE73="D",1,0)+IF(CF73="D",1,0)+IF(CL73="D",1,0)+IF(CM73="D",1,0)+IF(CQ73="D",1,0)+IF(CR73="D",1,0)+IF(CS73="D",1,0)+IF(CW73="D",1,0)+IF(CX73="D",1,0)+IF(DD73="D",1,0)+IF(DE73="D",1,0)+IF(DJ73="D",1,0)+IF(DK73="D",1,0)+IF(DO73="D",1,0)+IF(DP73="D",1,0)+IF(DQ73="D",1,0)+IF(DW73="D",1,0)+IF(DZ73="D",1,0)+IF(EH73="D",1,0)</f>
        <v>0</v>
      </c>
      <c r="AY73" s="0" t="n">
        <f aca="false">COUNTIF(DU73:EH73, "&lt;&gt;")</f>
        <v>1</v>
      </c>
      <c r="AZ73" s="0" t="n">
        <f aca="false">IF(EH73&lt;&gt;"",1,0)</f>
        <v>0</v>
      </c>
      <c r="BB73" s="0" t="s">
        <v>152</v>
      </c>
      <c r="CY73" s="0" t="s">
        <v>153</v>
      </c>
      <c r="EA73" s="0" t="s">
        <v>153</v>
      </c>
    </row>
    <row r="74" customFormat="false" ht="13.8" hidden="false" customHeight="false" outlineLevel="0" collapsed="false">
      <c r="A74" s="0" t="s">
        <v>572</v>
      </c>
      <c r="B74" s="0" t="n">
        <v>78</v>
      </c>
      <c r="C74" s="0" t="n">
        <v>399472</v>
      </c>
      <c r="D74" s="0" t="s">
        <v>498</v>
      </c>
      <c r="E74" s="0" t="s">
        <v>248</v>
      </c>
      <c r="F74" s="0" t="str">
        <f aca="false">CONCATENATE(D74," ",LEFT(H74,4),"T=",AU74,"D=",AV74,"R=",AW74,"M=",AX74,"L=",AY74,"B=",AZ74)</f>
        <v>HUGHES T=6D=2R=0M=0L=2B=0</v>
      </c>
      <c r="G74" s="0" t="s">
        <v>202</v>
      </c>
      <c r="I74" s="0" t="s">
        <v>573</v>
      </c>
      <c r="J74" s="0" t="s">
        <v>574</v>
      </c>
      <c r="K74" s="0" t="s">
        <v>160</v>
      </c>
      <c r="M74" s="0" t="s">
        <v>571</v>
      </c>
      <c r="N74" s="0" t="str">
        <f aca="false">RIGHT(M74,LEN(M74)-FIND(" ",M74))</f>
        <v>ADELAIDE AVE SE</v>
      </c>
      <c r="P74" s="0" t="s">
        <v>145</v>
      </c>
      <c r="Q74" s="0" t="s">
        <v>146</v>
      </c>
      <c r="R74" s="0" t="n">
        <v>44484</v>
      </c>
      <c r="AD74" s="0" t="s">
        <v>147</v>
      </c>
      <c r="AE74" s="0" t="s">
        <v>148</v>
      </c>
      <c r="AF74" s="0" t="s">
        <v>149</v>
      </c>
      <c r="AH74" s="0" t="n">
        <v>14</v>
      </c>
      <c r="AI74" s="0" t="n">
        <v>11</v>
      </c>
      <c r="AN74" s="0" t="s">
        <v>145</v>
      </c>
      <c r="AO74" s="0" t="s">
        <v>150</v>
      </c>
      <c r="AP74" s="0" t="s">
        <v>151</v>
      </c>
      <c r="AQ74" s="0" t="n">
        <v>9</v>
      </c>
      <c r="AR74" s="0" t="n">
        <v>64</v>
      </c>
      <c r="AS74" s="0" t="n">
        <v>32</v>
      </c>
      <c r="AU74" s="0" t="n">
        <f aca="false">COUNTA($BA$618:$EH$618)</f>
        <v>6</v>
      </c>
      <c r="AV74" s="0" t="n">
        <f aca="false">COUNTIF($BA$618:$EH$618,"D")</f>
        <v>2</v>
      </c>
      <c r="AW74" s="0" t="n">
        <f aca="false">COUNTIF($BA$618:$EH$618,"R")</f>
        <v>0</v>
      </c>
      <c r="AX74" s="0" t="n">
        <f aca="false">IF(BN74="D",1,0)+IF(BO74="D",1,0)+IF(BT74="D",1,0)+IF(BU74="D",1,0)+IF(BW74="D",1,0)+IF(CC74="D",1,0)+IF(CD74="D",1,0)+IF(CE74="D",1,0)+IF(CF74="D",1,0)+IF(CL74="D",1,0)+IF(CM74="D",1,0)+IF(CQ74="D",1,0)+IF(CR74="D",1,0)+IF(CS74="D",1,0)+IF(CW74="D",1,0)+IF(CX74="D",1,0)+IF(DD74="D",1,0)+IF(DE74="D",1,0)+IF(DJ74="D",1,0)+IF(DK74="D",1,0)+IF(DO74="D",1,0)+IF(DP74="D",1,0)+IF(DQ74="D",1,0)+IF(DW74="D",1,0)+IF(DZ74="D",1,0)+IF(EH74="D",1,0)</f>
        <v>0</v>
      </c>
      <c r="AY74" s="0" t="n">
        <f aca="false">COUNTIF(DU74:EH74, "&lt;&gt;")</f>
        <v>2</v>
      </c>
      <c r="AZ74" s="0" t="n">
        <f aca="false">IF(EH74&lt;&gt;"",1,0)</f>
        <v>0</v>
      </c>
      <c r="BB74" s="0" t="s">
        <v>152</v>
      </c>
      <c r="EA74" s="0" t="s">
        <v>153</v>
      </c>
      <c r="EF74" s="0" t="s">
        <v>153</v>
      </c>
    </row>
    <row r="75" customFormat="false" ht="13.8" hidden="true" customHeight="false" outlineLevel="0" collapsed="false">
      <c r="A75" s="0" t="s">
        <v>575</v>
      </c>
      <c r="B75" s="0" t="n">
        <v>78</v>
      </c>
      <c r="C75" s="0" t="n">
        <v>459142</v>
      </c>
      <c r="D75" s="0" t="s">
        <v>379</v>
      </c>
      <c r="E75" s="0" t="s">
        <v>576</v>
      </c>
      <c r="F75" s="0" t="str">
        <f aca="false">CONCATENATE(D75," ",LEFT(H75,4),"T=",AU75,"D=",AV75,"R=",AW75,"M=",AX75,"L=",AY75,"B=",AZ75)</f>
        <v>JAMES T=1D=0R=0M=0L=0B=0</v>
      </c>
      <c r="G75" s="0" t="s">
        <v>195</v>
      </c>
      <c r="I75" s="0" t="s">
        <v>577</v>
      </c>
      <c r="J75" s="0" t="s">
        <v>578</v>
      </c>
      <c r="K75" s="0" t="s">
        <v>160</v>
      </c>
      <c r="M75" s="0" t="s">
        <v>579</v>
      </c>
      <c r="N75" s="0" t="str">
        <f aca="false">RIGHT(M75,LEN(M75)-FIND(" ",M75))</f>
        <v>ADELAIDE AVE SE</v>
      </c>
      <c r="P75" s="0" t="s">
        <v>145</v>
      </c>
      <c r="Q75" s="0" t="s">
        <v>146</v>
      </c>
      <c r="R75" s="0" t="n">
        <v>44484</v>
      </c>
      <c r="AD75" s="0" t="s">
        <v>147</v>
      </c>
      <c r="AE75" s="0" t="s">
        <v>148</v>
      </c>
      <c r="AF75" s="0" t="s">
        <v>149</v>
      </c>
      <c r="AH75" s="0" t="n">
        <v>14</v>
      </c>
      <c r="AI75" s="0" t="n">
        <v>11</v>
      </c>
      <c r="AN75" s="0" t="s">
        <v>145</v>
      </c>
      <c r="AO75" s="0" t="s">
        <v>150</v>
      </c>
      <c r="AP75" s="0" t="s">
        <v>151</v>
      </c>
      <c r="AQ75" s="0" t="n">
        <v>9</v>
      </c>
      <c r="AR75" s="0" t="n">
        <v>64</v>
      </c>
      <c r="AS75" s="0" t="n">
        <v>32</v>
      </c>
      <c r="AU75" s="0" t="n">
        <f aca="false">COUNTA($BA$15:$EH$15)</f>
        <v>1</v>
      </c>
      <c r="AV75" s="0" t="n">
        <f aca="false">COUNTIF($BA$15:$EH$15,"D")</f>
        <v>0</v>
      </c>
      <c r="AW75" s="0" t="n">
        <f aca="false">COUNTIF($BA$15:$EH$15,"R")</f>
        <v>0</v>
      </c>
      <c r="AX75" s="0" t="n">
        <f aca="false">IF(BN75="D",1,0)+IF(BO75="D",1,0)+IF(BT75="D",1,0)+IF(BU75="D",1,0)+IF(BW75="D",1,0)+IF(CC75="D",1,0)+IF(CD75="D",1,0)+IF(CE75="D",1,0)+IF(CF75="D",1,0)+IF(CL75="D",1,0)+IF(CM75="D",1,0)+IF(CQ75="D",1,0)+IF(CR75="D",1,0)+IF(CS75="D",1,0)+IF(CW75="D",1,0)+IF(CX75="D",1,0)+IF(DD75="D",1,0)+IF(DE75="D",1,0)+IF(DJ75="D",1,0)+IF(DK75="D",1,0)+IF(DO75="D",1,0)+IF(DP75="D",1,0)+IF(DQ75="D",1,0)+IF(DW75="D",1,0)+IF(DZ75="D",1,0)+IF(EH75="D",1,0)</f>
        <v>0</v>
      </c>
      <c r="AY75" s="0" t="n">
        <f aca="false">COUNTIF(DU75:EH75, "&lt;&gt;")</f>
        <v>0</v>
      </c>
      <c r="AZ75" s="0" t="n">
        <f aca="false">IF(EH75&lt;&gt;"",1,0)</f>
        <v>0</v>
      </c>
      <c r="BB75" s="0" t="s">
        <v>152</v>
      </c>
    </row>
    <row r="76" customFormat="false" ht="13.8" hidden="true" customHeight="false" outlineLevel="0" collapsed="false">
      <c r="A76" s="0" t="s">
        <v>580</v>
      </c>
      <c r="B76" s="0" t="n">
        <v>78</v>
      </c>
      <c r="C76" s="0" t="n">
        <v>408852</v>
      </c>
      <c r="D76" s="0" t="s">
        <v>581</v>
      </c>
      <c r="E76" s="0" t="s">
        <v>582</v>
      </c>
      <c r="F76" s="0" t="str">
        <f aca="false">CONCATENATE(D76," ",LEFT(H76,4),"T=",AU76,"D=",AV76,"R=",AW76,"M=",AX76,"L=",AY76,"B=",AZ76)</f>
        <v>KISH T=24D=7R=0M=0L=0B=0</v>
      </c>
      <c r="G76" s="0" t="s">
        <v>583</v>
      </c>
      <c r="I76" s="0" t="s">
        <v>584</v>
      </c>
      <c r="J76" s="0" t="s">
        <v>585</v>
      </c>
      <c r="K76" s="0" t="s">
        <v>143</v>
      </c>
      <c r="M76" s="0" t="s">
        <v>586</v>
      </c>
      <c r="N76" s="0" t="str">
        <f aca="false">RIGHT(M76,LEN(M76)-FIND(" ",M76))</f>
        <v>ADELAIDE AVE SE</v>
      </c>
      <c r="P76" s="0" t="s">
        <v>145</v>
      </c>
      <c r="Q76" s="0" t="s">
        <v>146</v>
      </c>
      <c r="R76" s="0" t="n">
        <v>44484</v>
      </c>
      <c r="AD76" s="0" t="s">
        <v>147</v>
      </c>
      <c r="AE76" s="0" t="s">
        <v>148</v>
      </c>
      <c r="AF76" s="0" t="s">
        <v>149</v>
      </c>
      <c r="AH76" s="0" t="n">
        <v>14</v>
      </c>
      <c r="AI76" s="0" t="n">
        <v>11</v>
      </c>
      <c r="AN76" s="0" t="s">
        <v>145</v>
      </c>
      <c r="AO76" s="0" t="s">
        <v>150</v>
      </c>
      <c r="AP76" s="0" t="s">
        <v>151</v>
      </c>
      <c r="AQ76" s="0" t="n">
        <v>9</v>
      </c>
      <c r="AR76" s="0" t="n">
        <v>64</v>
      </c>
      <c r="AS76" s="0" t="n">
        <v>32</v>
      </c>
      <c r="AU76" s="0" t="n">
        <f aca="false">COUNTA($BA$217:$EH$217)</f>
        <v>24</v>
      </c>
      <c r="AV76" s="0" t="n">
        <f aca="false">COUNTIF($BA$217:$EH$217,"D")</f>
        <v>7</v>
      </c>
      <c r="AW76" s="0" t="n">
        <f aca="false">COUNTIF($BA$217:$EH$217,"R")</f>
        <v>0</v>
      </c>
      <c r="AX76" s="0" t="n">
        <f aca="false">IF(BN76="D",1,0)+IF(BO76="D",1,0)+IF(BT76="D",1,0)+IF(BU76="D",1,0)+IF(BW76="D",1,0)+IF(CC76="D",1,0)+IF(CD76="D",1,0)+IF(CE76="D",1,0)+IF(CF76="D",1,0)+IF(CL76="D",1,0)+IF(CM76="D",1,0)+IF(CQ76="D",1,0)+IF(CR76="D",1,0)+IF(CS76="D",1,0)+IF(CW76="D",1,0)+IF(CX76="D",1,0)+IF(DD76="D",1,0)+IF(DE76="D",1,0)+IF(DJ76="D",1,0)+IF(DK76="D",1,0)+IF(DO76="D",1,0)+IF(DP76="D",1,0)+IF(DQ76="D",1,0)+IF(DW76="D",1,0)+IF(DZ76="D",1,0)+IF(EH76="D",1,0)</f>
        <v>0</v>
      </c>
      <c r="AY76" s="0" t="n">
        <f aca="false">COUNTIF(DU76:EH76, "&lt;&gt;")</f>
        <v>0</v>
      </c>
      <c r="AZ76" s="0" t="n">
        <f aca="false">IF(EH76&lt;&gt;"",1,0)</f>
        <v>0</v>
      </c>
      <c r="BB76" s="0" t="s">
        <v>152</v>
      </c>
    </row>
    <row r="77" customFormat="false" ht="13.8" hidden="true" customHeight="false" outlineLevel="0" collapsed="false">
      <c r="A77" s="0" t="s">
        <v>587</v>
      </c>
      <c r="B77" s="0" t="n">
        <v>78</v>
      </c>
      <c r="C77" s="0" t="n">
        <v>449116</v>
      </c>
      <c r="D77" s="0" t="s">
        <v>588</v>
      </c>
      <c r="E77" s="0" t="s">
        <v>589</v>
      </c>
      <c r="F77" s="0" t="str">
        <f aca="false">CONCATENATE(D77," ",LEFT(H77,4),"T=",AU77,"D=",AV77,"R=",AW77,"M=",AX77,"L=",AY77,"B=",AZ77)</f>
        <v>PLACER T=2D=0R=0M=0L=0B=0</v>
      </c>
      <c r="G77" s="0" t="s">
        <v>164</v>
      </c>
      <c r="I77" s="0" t="s">
        <v>590</v>
      </c>
      <c r="J77" s="0" t="s">
        <v>591</v>
      </c>
      <c r="K77" s="0" t="s">
        <v>160</v>
      </c>
      <c r="M77" s="0" t="s">
        <v>592</v>
      </c>
      <c r="N77" s="0" t="str">
        <f aca="false">RIGHT(M77,LEN(M77)-FIND(" ",M77))</f>
        <v>ADELAIDE AVE SE</v>
      </c>
      <c r="P77" s="0" t="s">
        <v>145</v>
      </c>
      <c r="Q77" s="0" t="s">
        <v>146</v>
      </c>
      <c r="R77" s="0" t="n">
        <v>44484</v>
      </c>
      <c r="AD77" s="0" t="s">
        <v>147</v>
      </c>
      <c r="AE77" s="0" t="s">
        <v>148</v>
      </c>
      <c r="AF77" s="0" t="s">
        <v>149</v>
      </c>
      <c r="AH77" s="0" t="n">
        <v>14</v>
      </c>
      <c r="AI77" s="0" t="n">
        <v>11</v>
      </c>
      <c r="AN77" s="0" t="s">
        <v>145</v>
      </c>
      <c r="AO77" s="0" t="s">
        <v>150</v>
      </c>
      <c r="AP77" s="0" t="s">
        <v>151</v>
      </c>
      <c r="AQ77" s="0" t="n">
        <v>9</v>
      </c>
      <c r="AR77" s="0" t="n">
        <v>64</v>
      </c>
      <c r="AS77" s="0" t="n">
        <v>32</v>
      </c>
      <c r="AU77" s="0" t="n">
        <f aca="false">COUNTA($BA$272:$EH$272)</f>
        <v>2</v>
      </c>
      <c r="AV77" s="0" t="n">
        <f aca="false">COUNTIF($BA$272:$EH$272,"D")</f>
        <v>0</v>
      </c>
      <c r="AW77" s="0" t="n">
        <f aca="false">COUNTIF($BA$272:$EH$272,"R")</f>
        <v>0</v>
      </c>
      <c r="AX77" s="0" t="n">
        <f aca="false">IF(BN77="D",1,0)+IF(BO77="D",1,0)+IF(BT77="D",1,0)+IF(BU77="D",1,0)+IF(BW77="D",1,0)+IF(CC77="D",1,0)+IF(CD77="D",1,0)+IF(CE77="D",1,0)+IF(CF77="D",1,0)+IF(CL77="D",1,0)+IF(CM77="D",1,0)+IF(CQ77="D",1,0)+IF(CR77="D",1,0)+IF(CS77="D",1,0)+IF(CW77="D",1,0)+IF(CX77="D",1,0)+IF(DD77="D",1,0)+IF(DE77="D",1,0)+IF(DJ77="D",1,0)+IF(DK77="D",1,0)+IF(DO77="D",1,0)+IF(DP77="D",1,0)+IF(DQ77="D",1,0)+IF(DW77="D",1,0)+IF(DZ77="D",1,0)+IF(EH77="D",1,0)</f>
        <v>0</v>
      </c>
      <c r="AY77" s="0" t="n">
        <f aca="false">COUNTIF(DU77:EH77, "&lt;&gt;")</f>
        <v>0</v>
      </c>
      <c r="AZ77" s="0" t="n">
        <f aca="false">IF(EH77&lt;&gt;"",1,0)</f>
        <v>0</v>
      </c>
      <c r="BB77" s="0" t="s">
        <v>152</v>
      </c>
      <c r="DN77" s="0" t="s">
        <v>153</v>
      </c>
    </row>
    <row r="78" customFormat="false" ht="13.8" hidden="true" customHeight="false" outlineLevel="0" collapsed="false">
      <c r="A78" s="0" t="s">
        <v>593</v>
      </c>
      <c r="B78" s="0" t="n">
        <v>78</v>
      </c>
      <c r="C78" s="0" t="n">
        <v>480896</v>
      </c>
      <c r="D78" s="0" t="s">
        <v>588</v>
      </c>
      <c r="E78" s="0" t="s">
        <v>594</v>
      </c>
      <c r="F78" s="0" t="str">
        <f aca="false">CONCATENATE(D78," ",LEFT(H78,4),"T=",AU78,"D=",AV78,"R=",AW78,"M=",AX78,"L=",AY78,"B=",AZ78)</f>
        <v>PLACER T=3D=1R=0M=0L=0B=0</v>
      </c>
      <c r="G78" s="0" t="s">
        <v>595</v>
      </c>
      <c r="I78" s="0" t="s">
        <v>596</v>
      </c>
      <c r="J78" s="0" t="s">
        <v>597</v>
      </c>
      <c r="K78" s="0" t="s">
        <v>160</v>
      </c>
      <c r="M78" s="0" t="s">
        <v>592</v>
      </c>
      <c r="N78" s="0" t="str">
        <f aca="false">RIGHT(M78,LEN(M78)-FIND(" ",M78))</f>
        <v>ADELAIDE AVE SE</v>
      </c>
      <c r="P78" s="0" t="s">
        <v>145</v>
      </c>
      <c r="Q78" s="0" t="s">
        <v>146</v>
      </c>
      <c r="R78" s="0" t="n">
        <v>44484</v>
      </c>
      <c r="AD78" s="0" t="s">
        <v>147</v>
      </c>
      <c r="AE78" s="0" t="s">
        <v>148</v>
      </c>
      <c r="AF78" s="0" t="s">
        <v>149</v>
      </c>
      <c r="AH78" s="0" t="n">
        <v>14</v>
      </c>
      <c r="AI78" s="0" t="n">
        <v>11</v>
      </c>
      <c r="AN78" s="0" t="s">
        <v>145</v>
      </c>
      <c r="AO78" s="0" t="s">
        <v>150</v>
      </c>
      <c r="AP78" s="0" t="s">
        <v>151</v>
      </c>
      <c r="AQ78" s="0" t="n">
        <v>9</v>
      </c>
      <c r="AR78" s="0" t="n">
        <v>64</v>
      </c>
      <c r="AS78" s="0" t="n">
        <v>32</v>
      </c>
      <c r="AU78" s="0" t="n">
        <f aca="false">COUNTA($BA$904:$EH$904)</f>
        <v>3</v>
      </c>
      <c r="AV78" s="0" t="n">
        <f aca="false">COUNTIF($BA$904:$EH$904,"D")</f>
        <v>1</v>
      </c>
      <c r="AW78" s="0" t="n">
        <f aca="false">COUNTIF($BA$904:$EH$904,"R")</f>
        <v>0</v>
      </c>
      <c r="AX78" s="0" t="n">
        <f aca="false">IF(BN78="D",1,0)+IF(BO78="D",1,0)+IF(BT78="D",1,0)+IF(BU78="D",1,0)+IF(BW78="D",1,0)+IF(CC78="D",1,0)+IF(CD78="D",1,0)+IF(CE78="D",1,0)+IF(CF78="D",1,0)+IF(CL78="D",1,0)+IF(CM78="D",1,0)+IF(CQ78="D",1,0)+IF(CR78="D",1,0)+IF(CS78="D",1,0)+IF(CW78="D",1,0)+IF(CX78="D",1,0)+IF(DD78="D",1,0)+IF(DE78="D",1,0)+IF(DJ78="D",1,0)+IF(DK78="D",1,0)+IF(DO78="D",1,0)+IF(DP78="D",1,0)+IF(DQ78="D",1,0)+IF(DW78="D",1,0)+IF(DZ78="D",1,0)+IF(EH78="D",1,0)</f>
        <v>0</v>
      </c>
      <c r="AY78" s="0" t="n">
        <f aca="false">COUNTIF(DU78:EH78, "&lt;&gt;")</f>
        <v>0</v>
      </c>
      <c r="AZ78" s="0" t="n">
        <f aca="false">IF(EH78&lt;&gt;"",1,0)</f>
        <v>0</v>
      </c>
      <c r="BB78" s="0" t="s">
        <v>152</v>
      </c>
    </row>
    <row r="79" customFormat="false" ht="13.8" hidden="true" customHeight="false" outlineLevel="0" collapsed="false">
      <c r="A79" s="0" t="s">
        <v>598</v>
      </c>
      <c r="B79" s="0" t="n">
        <v>78</v>
      </c>
      <c r="C79" s="0" t="n">
        <v>335877</v>
      </c>
      <c r="D79" s="0" t="s">
        <v>599</v>
      </c>
      <c r="E79" s="0" t="s">
        <v>583</v>
      </c>
      <c r="F79" s="0" t="str">
        <f aca="false">CONCATENATE(D79," ",LEFT(H79,4),"T=",AU79,"D=",AV79,"R=",AW79,"M=",AX79,"L=",AY79,"B=",AZ79)</f>
        <v>HADZIGEORGE T=1D=0R=0M=1L=0B=0</v>
      </c>
      <c r="G79" s="0" t="s">
        <v>600</v>
      </c>
      <c r="I79" s="0" t="s">
        <v>601</v>
      </c>
      <c r="J79" s="0" t="s">
        <v>602</v>
      </c>
      <c r="K79" s="0" t="s">
        <v>143</v>
      </c>
      <c r="M79" s="0" t="s">
        <v>603</v>
      </c>
      <c r="N79" s="0" t="str">
        <f aca="false">RIGHT(M79,LEN(M79)-FIND(" ",M79))</f>
        <v>ADELAIDE AVE SE</v>
      </c>
      <c r="P79" s="0" t="s">
        <v>145</v>
      </c>
      <c r="Q79" s="0" t="s">
        <v>146</v>
      </c>
      <c r="R79" s="0" t="n">
        <v>44484</v>
      </c>
      <c r="AD79" s="0" t="s">
        <v>147</v>
      </c>
      <c r="AE79" s="0" t="s">
        <v>148</v>
      </c>
      <c r="AF79" s="0" t="s">
        <v>149</v>
      </c>
      <c r="AH79" s="0" t="n">
        <v>14</v>
      </c>
      <c r="AI79" s="0" t="n">
        <v>11</v>
      </c>
      <c r="AN79" s="0" t="s">
        <v>145</v>
      </c>
      <c r="AO79" s="0" t="s">
        <v>150</v>
      </c>
      <c r="AP79" s="0" t="s">
        <v>151</v>
      </c>
      <c r="AQ79" s="0" t="n">
        <v>9</v>
      </c>
      <c r="AR79" s="0" t="n">
        <v>64</v>
      </c>
      <c r="AS79" s="0" t="n">
        <v>32</v>
      </c>
      <c r="AU79" s="0" t="n">
        <f aca="false">COUNTA($BA$209:$EH$209)</f>
        <v>1</v>
      </c>
      <c r="AV79" s="0" t="n">
        <f aca="false">COUNTIF($BA$209:$EH$209,"D")</f>
        <v>0</v>
      </c>
      <c r="AW79" s="0" t="n">
        <f aca="false">COUNTIF($BA$209:$EH$209,"R")</f>
        <v>0</v>
      </c>
      <c r="AX79" s="0" t="n">
        <f aca="false">IF(BN79="D",1,0)+IF(BO79="D",1,0)+IF(BT79="D",1,0)+IF(BU79="D",1,0)+IF(BW79="D",1,0)+IF(CC79="D",1,0)+IF(CD79="D",1,0)+IF(CE79="D",1,0)+IF(CF79="D",1,0)+IF(CL79="D",1,0)+IF(CM79="D",1,0)+IF(CQ79="D",1,0)+IF(CR79="D",1,0)+IF(CS79="D",1,0)+IF(CW79="D",1,0)+IF(CX79="D",1,0)+IF(DD79="D",1,0)+IF(DE79="D",1,0)+IF(DJ79="D",1,0)+IF(DK79="D",1,0)+IF(DO79="D",1,0)+IF(DP79="D",1,0)+IF(DQ79="D",1,0)+IF(DW79="D",1,0)+IF(DZ79="D",1,0)+IF(EH79="D",1,0)</f>
        <v>1</v>
      </c>
      <c r="AY79" s="0" t="n">
        <f aca="false">COUNTIF(DU79:EH79, "&lt;&gt;")</f>
        <v>0</v>
      </c>
      <c r="AZ79" s="0" t="n">
        <f aca="false">IF(EH79&lt;&gt;"",1,0)</f>
        <v>0</v>
      </c>
      <c r="BB79" s="0" t="s">
        <v>152</v>
      </c>
      <c r="BS79" s="0" t="s">
        <v>153</v>
      </c>
      <c r="CA79" s="0" t="s">
        <v>153</v>
      </c>
      <c r="CL79" s="0" t="s">
        <v>175</v>
      </c>
      <c r="CP79" s="0" t="s">
        <v>153</v>
      </c>
      <c r="DC79" s="0" t="s">
        <v>153</v>
      </c>
    </row>
    <row r="80" customFormat="false" ht="13.8" hidden="true" customHeight="false" outlineLevel="0" collapsed="false">
      <c r="A80" s="0" t="s">
        <v>604</v>
      </c>
      <c r="B80" s="0" t="n">
        <v>78</v>
      </c>
      <c r="C80" s="0" t="n">
        <v>356147</v>
      </c>
      <c r="D80" s="0" t="s">
        <v>599</v>
      </c>
      <c r="E80" s="0" t="s">
        <v>605</v>
      </c>
      <c r="F80" s="0" t="str">
        <f aca="false">CONCATENATE(D80," ",LEFT(H80,4),"T=",AU80,"D=",AV80,"R=",AW80,"M=",AX80,"L=",AY80,"B=",AZ80)</f>
        <v>HADZIGEORGE T=13D=1R=0M=0L=0B=0</v>
      </c>
      <c r="G80" s="0" t="s">
        <v>606</v>
      </c>
      <c r="I80" s="0" t="s">
        <v>607</v>
      </c>
      <c r="J80" s="0" t="s">
        <v>608</v>
      </c>
      <c r="K80" s="0" t="s">
        <v>160</v>
      </c>
      <c r="M80" s="0" t="s">
        <v>603</v>
      </c>
      <c r="N80" s="0" t="str">
        <f aca="false">RIGHT(M80,LEN(M80)-FIND(" ",M80))</f>
        <v>ADELAIDE AVE SE</v>
      </c>
      <c r="P80" s="0" t="s">
        <v>145</v>
      </c>
      <c r="Q80" s="0" t="s">
        <v>146</v>
      </c>
      <c r="R80" s="0" t="n">
        <v>44484</v>
      </c>
      <c r="AD80" s="0" t="s">
        <v>147</v>
      </c>
      <c r="AE80" s="0" t="s">
        <v>148</v>
      </c>
      <c r="AF80" s="0" t="s">
        <v>149</v>
      </c>
      <c r="AH80" s="0" t="n">
        <v>14</v>
      </c>
      <c r="AI80" s="0" t="n">
        <v>11</v>
      </c>
      <c r="AN80" s="0" t="s">
        <v>145</v>
      </c>
      <c r="AO80" s="0" t="s">
        <v>150</v>
      </c>
      <c r="AP80" s="0" t="s">
        <v>151</v>
      </c>
      <c r="AQ80" s="0" t="n">
        <v>9</v>
      </c>
      <c r="AR80" s="0" t="n">
        <v>64</v>
      </c>
      <c r="AS80" s="0" t="n">
        <v>32</v>
      </c>
      <c r="AU80" s="0" t="n">
        <f aca="false">COUNTA($BA$775:$EH$775)</f>
        <v>13</v>
      </c>
      <c r="AV80" s="0" t="n">
        <f aca="false">COUNTIF($BA$775:$EH$775,"D")</f>
        <v>1</v>
      </c>
      <c r="AW80" s="0" t="n">
        <f aca="false">COUNTIF($BA$775:$EH$775,"R")</f>
        <v>0</v>
      </c>
      <c r="AX80" s="0" t="n">
        <f aca="false">IF(BN80="D",1,0)+IF(BO80="D",1,0)+IF(BT80="D",1,0)+IF(BU80="D",1,0)+IF(BW80="D",1,0)+IF(CC80="D",1,0)+IF(CD80="D",1,0)+IF(CE80="D",1,0)+IF(CF80="D",1,0)+IF(CL80="D",1,0)+IF(CM80="D",1,0)+IF(CQ80="D",1,0)+IF(CR80="D",1,0)+IF(CS80="D",1,0)+IF(CW80="D",1,0)+IF(CX80="D",1,0)+IF(DD80="D",1,0)+IF(DE80="D",1,0)+IF(DJ80="D",1,0)+IF(DK80="D",1,0)+IF(DO80="D",1,0)+IF(DP80="D",1,0)+IF(DQ80="D",1,0)+IF(DW80="D",1,0)+IF(DZ80="D",1,0)+IF(EH80="D",1,0)</f>
        <v>0</v>
      </c>
      <c r="AY80" s="0" t="n">
        <f aca="false">COUNTIF(DU80:EH80, "&lt;&gt;")</f>
        <v>0</v>
      </c>
      <c r="AZ80" s="0" t="n">
        <f aca="false">IF(EH80&lt;&gt;"",1,0)</f>
        <v>0</v>
      </c>
      <c r="BB80" s="0" t="s">
        <v>152</v>
      </c>
      <c r="CA80" s="0" t="s">
        <v>153</v>
      </c>
      <c r="DC80" s="0" t="s">
        <v>153</v>
      </c>
      <c r="DN80" s="0" t="s">
        <v>153</v>
      </c>
    </row>
    <row r="81" customFormat="false" ht="13.8" hidden="true" customHeight="false" outlineLevel="0" collapsed="false">
      <c r="A81" s="0" t="s">
        <v>609</v>
      </c>
      <c r="B81" s="0" t="n">
        <v>78</v>
      </c>
      <c r="C81" s="0" t="n">
        <v>371226</v>
      </c>
      <c r="D81" s="0" t="s">
        <v>599</v>
      </c>
      <c r="E81" s="0" t="s">
        <v>610</v>
      </c>
      <c r="F81" s="0" t="str">
        <f aca="false">CONCATENATE(D81," ",LEFT(H81,4),"T=",AU81,"D=",AV81,"R=",AW81,"M=",AX81,"L=",AY81,"B=",AZ81)</f>
        <v>HADZIGEORGE T=1D=0R=0M=1L=1B=0</v>
      </c>
      <c r="G81" s="0" t="s">
        <v>164</v>
      </c>
      <c r="I81" s="0" t="s">
        <v>611</v>
      </c>
      <c r="J81" s="0" t="s">
        <v>612</v>
      </c>
      <c r="K81" s="0" t="s">
        <v>160</v>
      </c>
      <c r="M81" s="0" t="s">
        <v>603</v>
      </c>
      <c r="N81" s="0" t="str">
        <f aca="false">RIGHT(M81,LEN(M81)-FIND(" ",M81))</f>
        <v>ADELAIDE AVE SE</v>
      </c>
      <c r="P81" s="0" t="s">
        <v>145</v>
      </c>
      <c r="Q81" s="0" t="s">
        <v>146</v>
      </c>
      <c r="R81" s="0" t="n">
        <v>44484</v>
      </c>
      <c r="AD81" s="0" t="s">
        <v>147</v>
      </c>
      <c r="AE81" s="0" t="s">
        <v>148</v>
      </c>
      <c r="AF81" s="0" t="s">
        <v>149</v>
      </c>
      <c r="AH81" s="0" t="n">
        <v>14</v>
      </c>
      <c r="AI81" s="0" t="n">
        <v>11</v>
      </c>
      <c r="AN81" s="0" t="s">
        <v>145</v>
      </c>
      <c r="AO81" s="0" t="s">
        <v>150</v>
      </c>
      <c r="AP81" s="0" t="s">
        <v>151</v>
      </c>
      <c r="AQ81" s="0" t="n">
        <v>9</v>
      </c>
      <c r="AR81" s="0" t="n">
        <v>64</v>
      </c>
      <c r="AS81" s="0" t="n">
        <v>32</v>
      </c>
      <c r="AU81" s="0" t="n">
        <f aca="false">COUNTA($BA$867:$EH$867)</f>
        <v>1</v>
      </c>
      <c r="AV81" s="0" t="n">
        <f aca="false">COUNTIF($BA$867:$EH$867,"D")</f>
        <v>0</v>
      </c>
      <c r="AW81" s="0" t="n">
        <f aca="false">COUNTIF($BA$867:$EH$867,"R")</f>
        <v>0</v>
      </c>
      <c r="AX81" s="0" t="n">
        <f aca="false">IF(BN81="D",1,0)+IF(BO81="D",1,0)+IF(BT81="D",1,0)+IF(BU81="D",1,0)+IF(BW81="D",1,0)+IF(CC81="D",1,0)+IF(CD81="D",1,0)+IF(CE81="D",1,0)+IF(CF81="D",1,0)+IF(CL81="D",1,0)+IF(CM81="D",1,0)+IF(CQ81="D",1,0)+IF(CR81="D",1,0)+IF(CS81="D",1,0)+IF(CW81="D",1,0)+IF(CX81="D",1,0)+IF(DD81="D",1,0)+IF(DE81="D",1,0)+IF(DJ81="D",1,0)+IF(DK81="D",1,0)+IF(DO81="D",1,0)+IF(DP81="D",1,0)+IF(DQ81="D",1,0)+IF(DW81="D",1,0)+IF(DZ81="D",1,0)+IF(EH81="D",1,0)</f>
        <v>1</v>
      </c>
      <c r="AY81" s="0" t="n">
        <f aca="false">COUNTIF(DU81:EH81, "&lt;&gt;")</f>
        <v>1</v>
      </c>
      <c r="AZ81" s="0" t="n">
        <f aca="false">IF(EH81&lt;&gt;"",1,0)</f>
        <v>0</v>
      </c>
      <c r="BB81" s="0" t="s">
        <v>152</v>
      </c>
      <c r="CL81" s="0" t="s">
        <v>175</v>
      </c>
      <c r="CP81" s="0" t="s">
        <v>153</v>
      </c>
      <c r="DC81" s="0" t="s">
        <v>153</v>
      </c>
      <c r="DN81" s="0" t="s">
        <v>153</v>
      </c>
      <c r="EF81" s="0" t="s">
        <v>153</v>
      </c>
    </row>
    <row r="82" customFormat="false" ht="13.8" hidden="true" customHeight="false" outlineLevel="0" collapsed="false">
      <c r="A82" s="0" t="s">
        <v>613</v>
      </c>
      <c r="B82" s="0" t="n">
        <v>78</v>
      </c>
      <c r="C82" s="0" t="n">
        <v>458872</v>
      </c>
      <c r="D82" s="0" t="s">
        <v>614</v>
      </c>
      <c r="E82" s="0" t="s">
        <v>615</v>
      </c>
      <c r="F82" s="0" t="str">
        <f aca="false">CONCATENATE(D82," ",LEFT(H82,4),"T=",AU82,"D=",AV82,"R=",AW82,"M=",AX82,"L=",AY82,"B=",AZ82)</f>
        <v>NORIEGA T=25D=0R=5M=0L=0B=0</v>
      </c>
      <c r="G82" s="0" t="s">
        <v>616</v>
      </c>
      <c r="I82" s="0" t="s">
        <v>617</v>
      </c>
      <c r="J82" s="0" t="s">
        <v>618</v>
      </c>
      <c r="K82" s="0" t="s">
        <v>143</v>
      </c>
      <c r="M82" s="0" t="s">
        <v>619</v>
      </c>
      <c r="N82" s="0" t="str">
        <f aca="false">RIGHT(M82,LEN(M82)-FIND(" ",M82))</f>
        <v>ADELAIDE AVE SE</v>
      </c>
      <c r="P82" s="0" t="s">
        <v>145</v>
      </c>
      <c r="Q82" s="0" t="s">
        <v>146</v>
      </c>
      <c r="R82" s="0" t="n">
        <v>44484</v>
      </c>
      <c r="AD82" s="0" t="s">
        <v>147</v>
      </c>
      <c r="AE82" s="0" t="s">
        <v>148</v>
      </c>
      <c r="AF82" s="0" t="s">
        <v>149</v>
      </c>
      <c r="AH82" s="0" t="n">
        <v>14</v>
      </c>
      <c r="AI82" s="0" t="n">
        <v>11</v>
      </c>
      <c r="AN82" s="0" t="s">
        <v>145</v>
      </c>
      <c r="AO82" s="0" t="s">
        <v>150</v>
      </c>
      <c r="AP82" s="0" t="s">
        <v>151</v>
      </c>
      <c r="AQ82" s="0" t="n">
        <v>9</v>
      </c>
      <c r="AR82" s="0" t="n">
        <v>64</v>
      </c>
      <c r="AS82" s="0" t="n">
        <v>32</v>
      </c>
      <c r="AU82" s="0" t="n">
        <f aca="false">COUNTA($BA$534:$EH$534)</f>
        <v>25</v>
      </c>
      <c r="AV82" s="0" t="n">
        <f aca="false">COUNTIF($BA$534:$EH$534,"D")</f>
        <v>0</v>
      </c>
      <c r="AW82" s="0" t="n">
        <f aca="false">COUNTIF($BA$534:$EH$534,"R")</f>
        <v>5</v>
      </c>
      <c r="AX82" s="0" t="n">
        <f aca="false">IF(BN82="D",1,0)+IF(BO82="D",1,0)+IF(BT82="D",1,0)+IF(BU82="D",1,0)+IF(BW82="D",1,0)+IF(CC82="D",1,0)+IF(CD82="D",1,0)+IF(CE82="D",1,0)+IF(CF82="D",1,0)+IF(CL82="D",1,0)+IF(CM82="D",1,0)+IF(CQ82="D",1,0)+IF(CR82="D",1,0)+IF(CS82="D",1,0)+IF(CW82="D",1,0)+IF(CX82="D",1,0)+IF(DD82="D",1,0)+IF(DE82="D",1,0)+IF(DJ82="D",1,0)+IF(DK82="D",1,0)+IF(DO82="D",1,0)+IF(DP82="D",1,0)+IF(DQ82="D",1,0)+IF(DW82="D",1,0)+IF(DZ82="D",1,0)+IF(EH82="D",1,0)</f>
        <v>0</v>
      </c>
      <c r="AY82" s="0" t="n">
        <f aca="false">COUNTIF(DU82:EH82, "&lt;&gt;")</f>
        <v>0</v>
      </c>
      <c r="AZ82" s="0" t="n">
        <f aca="false">IF(EH82&lt;&gt;"",1,0)</f>
        <v>0</v>
      </c>
      <c r="BB82" s="0" t="s">
        <v>152</v>
      </c>
    </row>
    <row r="83" customFormat="false" ht="13.8" hidden="true" customHeight="false" outlineLevel="0" collapsed="false">
      <c r="A83" s="0" t="s">
        <v>620</v>
      </c>
      <c r="B83" s="0" t="n">
        <v>78</v>
      </c>
      <c r="C83" s="0" t="n">
        <v>405220</v>
      </c>
      <c r="D83" s="0" t="s">
        <v>621</v>
      </c>
      <c r="E83" s="0" t="s">
        <v>622</v>
      </c>
      <c r="F83" s="0" t="str">
        <f aca="false">CONCATENATE(D83," ",LEFT(H83,4),"T=",AU83,"D=",AV83,"R=",AW83,"M=",AX83,"L=",AY83,"B=",AZ83)</f>
        <v>FREDERICK T=9D=2R=0M=0L=1B=0</v>
      </c>
      <c r="G83" s="0" t="s">
        <v>209</v>
      </c>
      <c r="I83" s="0" t="s">
        <v>623</v>
      </c>
      <c r="J83" s="0" t="s">
        <v>624</v>
      </c>
      <c r="K83" s="0" t="s">
        <v>160</v>
      </c>
      <c r="M83" s="0" t="s">
        <v>625</v>
      </c>
      <c r="N83" s="0" t="str">
        <f aca="false">RIGHT(M83,LEN(M83)-FIND(" ",M83))</f>
        <v>ADELAIDE AVE SE</v>
      </c>
      <c r="P83" s="0" t="s">
        <v>145</v>
      </c>
      <c r="Q83" s="0" t="s">
        <v>146</v>
      </c>
      <c r="R83" s="0" t="n">
        <v>44484</v>
      </c>
      <c r="AD83" s="0" t="s">
        <v>147</v>
      </c>
      <c r="AE83" s="0" t="s">
        <v>148</v>
      </c>
      <c r="AF83" s="0" t="s">
        <v>149</v>
      </c>
      <c r="AH83" s="0" t="n">
        <v>14</v>
      </c>
      <c r="AI83" s="0" t="n">
        <v>11</v>
      </c>
      <c r="AN83" s="0" t="s">
        <v>145</v>
      </c>
      <c r="AO83" s="0" t="s">
        <v>150</v>
      </c>
      <c r="AP83" s="0" t="s">
        <v>151</v>
      </c>
      <c r="AQ83" s="0" t="n">
        <v>9</v>
      </c>
      <c r="AR83" s="0" t="n">
        <v>64</v>
      </c>
      <c r="AS83" s="0" t="n">
        <v>32</v>
      </c>
      <c r="AU83" s="0" t="n">
        <f aca="false">COUNTA($BA$426:$EH$426)</f>
        <v>9</v>
      </c>
      <c r="AV83" s="0" t="n">
        <f aca="false">COUNTIF($BA$426:$EH$426,"D")</f>
        <v>2</v>
      </c>
      <c r="AW83" s="0" t="n">
        <f aca="false">COUNTIF($BA$426:$EH$426,"R")</f>
        <v>0</v>
      </c>
      <c r="AX83" s="0" t="n">
        <f aca="false">IF(BN83="D",1,0)+IF(BO83="D",1,0)+IF(BT83="D",1,0)+IF(BU83="D",1,0)+IF(BW83="D",1,0)+IF(CC83="D",1,0)+IF(CD83="D",1,0)+IF(CE83="D",1,0)+IF(CF83="D",1,0)+IF(CL83="D",1,0)+IF(CM83="D",1,0)+IF(CQ83="D",1,0)+IF(CR83="D",1,0)+IF(CS83="D",1,0)+IF(CW83="D",1,0)+IF(CX83="D",1,0)+IF(DD83="D",1,0)+IF(DE83="D",1,0)+IF(DJ83="D",1,0)+IF(DK83="D",1,0)+IF(DO83="D",1,0)+IF(DP83="D",1,0)+IF(DQ83="D",1,0)+IF(DW83="D",1,0)+IF(DZ83="D",1,0)+IF(EH83="D",1,0)</f>
        <v>0</v>
      </c>
      <c r="AY83" s="0" t="n">
        <f aca="false">COUNTIF(DU83:EH83, "&lt;&gt;")</f>
        <v>1</v>
      </c>
      <c r="AZ83" s="0" t="n">
        <f aca="false">IF(EH83&lt;&gt;"",1,0)</f>
        <v>0</v>
      </c>
      <c r="BB83" s="0" t="s">
        <v>152</v>
      </c>
      <c r="CY83" s="0" t="s">
        <v>153</v>
      </c>
      <c r="EF83" s="0" t="s">
        <v>153</v>
      </c>
    </row>
    <row r="84" customFormat="false" ht="13.8" hidden="false" customHeight="false" outlineLevel="0" collapsed="false">
      <c r="A84" s="0" t="s">
        <v>626</v>
      </c>
      <c r="B84" s="0" t="n">
        <v>78</v>
      </c>
      <c r="C84" s="0" t="n">
        <v>342383</v>
      </c>
      <c r="D84" s="0" t="s">
        <v>627</v>
      </c>
      <c r="E84" s="0" t="s">
        <v>628</v>
      </c>
      <c r="F84" s="0" t="str">
        <f aca="false">CONCATENATE(D84," ",LEFT(H84,4),"T=",AU84,"D=",AV84,"R=",AW84,"M=",AX84,"L=",AY84,"B=",AZ84)</f>
        <v>NELSON T=25D=6R=0M=0L=5B=0</v>
      </c>
      <c r="G84" s="0" t="s">
        <v>325</v>
      </c>
      <c r="I84" s="0" t="s">
        <v>629</v>
      </c>
      <c r="J84" s="0" t="s">
        <v>630</v>
      </c>
      <c r="K84" s="0" t="s">
        <v>160</v>
      </c>
      <c r="L84" s="0" t="s">
        <v>209</v>
      </c>
      <c r="M84" s="0" t="s">
        <v>631</v>
      </c>
      <c r="N84" s="0" t="str">
        <f aca="false">RIGHT(M84,LEN(M84)-FIND(" ",M84))</f>
        <v>ADELAIDE AVE SE</v>
      </c>
      <c r="P84" s="0" t="s">
        <v>145</v>
      </c>
      <c r="Q84" s="0" t="s">
        <v>146</v>
      </c>
      <c r="R84" s="0" t="n">
        <v>44484</v>
      </c>
      <c r="AD84" s="0" t="s">
        <v>147</v>
      </c>
      <c r="AE84" s="0" t="s">
        <v>148</v>
      </c>
      <c r="AF84" s="0" t="s">
        <v>149</v>
      </c>
      <c r="AH84" s="0" t="n">
        <v>14</v>
      </c>
      <c r="AI84" s="0" t="n">
        <v>11</v>
      </c>
      <c r="AN84" s="0" t="s">
        <v>145</v>
      </c>
      <c r="AO84" s="0" t="s">
        <v>150</v>
      </c>
      <c r="AP84" s="0" t="s">
        <v>151</v>
      </c>
      <c r="AQ84" s="0" t="n">
        <v>9</v>
      </c>
      <c r="AR84" s="0" t="n">
        <v>64</v>
      </c>
      <c r="AS84" s="0" t="n">
        <v>32</v>
      </c>
      <c r="AU84" s="0" t="n">
        <f aca="false">COUNTA($BA$838:$EH$838)</f>
        <v>25</v>
      </c>
      <c r="AV84" s="0" t="n">
        <f aca="false">COUNTIF($BA$838:$EH$838,"D")</f>
        <v>6</v>
      </c>
      <c r="AW84" s="0" t="n">
        <f aca="false">COUNTIF($BA$838:$EH$838,"R")</f>
        <v>0</v>
      </c>
      <c r="AX84" s="0" t="n">
        <f aca="false">IF(BN84="D",1,0)+IF(BO84="D",1,0)+IF(BT84="D",1,0)+IF(BU84="D",1,0)+IF(BW84="D",1,0)+IF(CC84="D",1,0)+IF(CD84="D",1,0)+IF(CE84="D",1,0)+IF(CF84="D",1,0)+IF(CL84="D",1,0)+IF(CM84="D",1,0)+IF(CQ84="D",1,0)+IF(CR84="D",1,0)+IF(CS84="D",1,0)+IF(CW84="D",1,0)+IF(CX84="D",1,0)+IF(DD84="D",1,0)+IF(DE84="D",1,0)+IF(DJ84="D",1,0)+IF(DK84="D",1,0)+IF(DO84="D",1,0)+IF(DP84="D",1,0)+IF(DQ84="D",1,0)+IF(DW84="D",1,0)+IF(DZ84="D",1,0)+IF(EH84="D",1,0)</f>
        <v>0</v>
      </c>
      <c r="AY84" s="0" t="n">
        <f aca="false">COUNTIF(DU84:EH84, "&lt;&gt;")</f>
        <v>5</v>
      </c>
      <c r="AZ84" s="0" t="n">
        <f aca="false">IF(EH84&lt;&gt;"",1,0)</f>
        <v>0</v>
      </c>
      <c r="BB84" s="0" t="s">
        <v>152</v>
      </c>
      <c r="BS84" s="0" t="s">
        <v>153</v>
      </c>
      <c r="CO84" s="0" t="s">
        <v>209</v>
      </c>
      <c r="CP84" s="0" t="s">
        <v>153</v>
      </c>
      <c r="CV84" s="0" t="s">
        <v>153</v>
      </c>
      <c r="CZ84" s="0" t="s">
        <v>209</v>
      </c>
      <c r="DC84" s="0" t="s">
        <v>153</v>
      </c>
      <c r="DI84" s="0" t="s">
        <v>153</v>
      </c>
      <c r="DL84" s="0" t="s">
        <v>153</v>
      </c>
      <c r="DN84" s="0" t="s">
        <v>153</v>
      </c>
      <c r="DU84" s="0" t="s">
        <v>153</v>
      </c>
      <c r="DX84" s="0" t="s">
        <v>153</v>
      </c>
      <c r="EA84" s="0" t="s">
        <v>153</v>
      </c>
      <c r="ED84" s="0" t="s">
        <v>209</v>
      </c>
      <c r="EF84" s="0" t="s">
        <v>153</v>
      </c>
    </row>
    <row r="85" customFormat="false" ht="13.8" hidden="false" customHeight="false" outlineLevel="0" collapsed="false">
      <c r="A85" s="0" t="s">
        <v>632</v>
      </c>
      <c r="B85" s="0" t="n">
        <v>78</v>
      </c>
      <c r="C85" s="0" t="n">
        <v>377412</v>
      </c>
      <c r="D85" s="0" t="s">
        <v>627</v>
      </c>
      <c r="E85" s="0" t="s">
        <v>633</v>
      </c>
      <c r="F85" s="0" t="str">
        <f aca="false">CONCATENATE(D85," ",LEFT(H85,4),"T=",AU85,"D=",AV85,"R=",AW85,"M=",AX85,"L=",AY85,"B=",AZ85)</f>
        <v>NELSON T=2D=0R=0M=0L=5B=0</v>
      </c>
      <c r="G85" s="0" t="s">
        <v>357</v>
      </c>
      <c r="I85" s="0" t="s">
        <v>634</v>
      </c>
      <c r="J85" s="0" t="s">
        <v>630</v>
      </c>
      <c r="K85" s="0" t="s">
        <v>160</v>
      </c>
      <c r="L85" s="0" t="s">
        <v>209</v>
      </c>
      <c r="M85" s="0" t="s">
        <v>631</v>
      </c>
      <c r="N85" s="0" t="str">
        <f aca="false">RIGHT(M85,LEN(M85)-FIND(" ",M85))</f>
        <v>ADELAIDE AVE SE</v>
      </c>
      <c r="P85" s="0" t="s">
        <v>145</v>
      </c>
      <c r="Q85" s="0" t="s">
        <v>146</v>
      </c>
      <c r="R85" s="0" t="n">
        <v>44484</v>
      </c>
      <c r="AD85" s="0" t="s">
        <v>147</v>
      </c>
      <c r="AE85" s="0" t="s">
        <v>148</v>
      </c>
      <c r="AF85" s="0" t="s">
        <v>149</v>
      </c>
      <c r="AH85" s="0" t="n">
        <v>14</v>
      </c>
      <c r="AI85" s="0" t="n">
        <v>11</v>
      </c>
      <c r="AN85" s="0" t="s">
        <v>145</v>
      </c>
      <c r="AO85" s="0" t="s">
        <v>150</v>
      </c>
      <c r="AP85" s="0" t="s">
        <v>151</v>
      </c>
      <c r="AQ85" s="0" t="n">
        <v>9</v>
      </c>
      <c r="AR85" s="0" t="n">
        <v>64</v>
      </c>
      <c r="AS85" s="0" t="n">
        <v>32</v>
      </c>
      <c r="AU85" s="0" t="n">
        <f aca="false">COUNTA($BA$839:$EH$839)</f>
        <v>2</v>
      </c>
      <c r="AV85" s="0" t="n">
        <f aca="false">COUNTIF($BA$839:$EH$839,"D")</f>
        <v>0</v>
      </c>
      <c r="AW85" s="0" t="n">
        <f aca="false">COUNTIF($BA$839:$EH$839,"R")</f>
        <v>0</v>
      </c>
      <c r="AX85" s="0" t="n">
        <f aca="false">IF(BN85="D",1,0)+IF(BO85="D",1,0)+IF(BT85="D",1,0)+IF(BU85="D",1,0)+IF(BW85="D",1,0)+IF(CC85="D",1,0)+IF(CD85="D",1,0)+IF(CE85="D",1,0)+IF(CF85="D",1,0)+IF(CL85="D",1,0)+IF(CM85="D",1,0)+IF(CQ85="D",1,0)+IF(CR85="D",1,0)+IF(CS85="D",1,0)+IF(CW85="D",1,0)+IF(CX85="D",1,0)+IF(DD85="D",1,0)+IF(DE85="D",1,0)+IF(DJ85="D",1,0)+IF(DK85="D",1,0)+IF(DO85="D",1,0)+IF(DP85="D",1,0)+IF(DQ85="D",1,0)+IF(DW85="D",1,0)+IF(DZ85="D",1,0)+IF(EH85="D",1,0)</f>
        <v>0</v>
      </c>
      <c r="AY85" s="0" t="n">
        <f aca="false">COUNTIF(DU85:EH85, "&lt;&gt;")</f>
        <v>5</v>
      </c>
      <c r="AZ85" s="0" t="n">
        <f aca="false">IF(EH85&lt;&gt;"",1,0)</f>
        <v>0</v>
      </c>
      <c r="BB85" s="0" t="s">
        <v>152</v>
      </c>
      <c r="CK85" s="0" t="s">
        <v>153</v>
      </c>
      <c r="CO85" s="0" t="s">
        <v>209</v>
      </c>
      <c r="CP85" s="0" t="s">
        <v>153</v>
      </c>
      <c r="CV85" s="0" t="s">
        <v>153</v>
      </c>
      <c r="CZ85" s="0" t="s">
        <v>209</v>
      </c>
      <c r="DC85" s="0" t="s">
        <v>153</v>
      </c>
      <c r="DI85" s="0" t="s">
        <v>153</v>
      </c>
      <c r="DN85" s="0" t="s">
        <v>153</v>
      </c>
      <c r="DU85" s="0" t="s">
        <v>153</v>
      </c>
      <c r="DX85" s="0" t="s">
        <v>153</v>
      </c>
      <c r="EA85" s="0" t="s">
        <v>153</v>
      </c>
      <c r="ED85" s="0" t="s">
        <v>209</v>
      </c>
      <c r="EF85" s="0" t="s">
        <v>153</v>
      </c>
    </row>
    <row r="86" customFormat="false" ht="13.8" hidden="true" customHeight="false" outlineLevel="0" collapsed="false">
      <c r="A86" s="0" t="s">
        <v>635</v>
      </c>
      <c r="B86" s="0" t="n">
        <v>78</v>
      </c>
      <c r="C86" s="0" t="n">
        <v>487112</v>
      </c>
      <c r="D86" s="0" t="s">
        <v>636</v>
      </c>
      <c r="E86" s="0" t="s">
        <v>637</v>
      </c>
      <c r="F86" s="0" t="str">
        <f aca="false">CONCATENATE(D86," ",LEFT(H86,4),"T=",AU86,"D=",AV86,"R=",AW86,"M=",AX86,"L=",AY86,"B=",AZ86)</f>
        <v>ADAMS T=13D=3R=0M=0L=1B=0</v>
      </c>
      <c r="G86" s="0" t="s">
        <v>190</v>
      </c>
      <c r="I86" s="0" t="s">
        <v>638</v>
      </c>
      <c r="J86" s="0" t="s">
        <v>639</v>
      </c>
      <c r="K86" s="0" t="s">
        <v>160</v>
      </c>
      <c r="M86" s="0" t="s">
        <v>640</v>
      </c>
      <c r="N86" s="0" t="str">
        <f aca="false">RIGHT(M86,LEN(M86)-FIND(" ",M86))</f>
        <v>ADELAIDE AVE SE</v>
      </c>
      <c r="P86" s="0" t="s">
        <v>145</v>
      </c>
      <c r="Q86" s="0" t="s">
        <v>146</v>
      </c>
      <c r="R86" s="0" t="n">
        <v>44484</v>
      </c>
      <c r="AD86" s="0" t="s">
        <v>147</v>
      </c>
      <c r="AE86" s="0" t="s">
        <v>148</v>
      </c>
      <c r="AF86" s="0" t="s">
        <v>149</v>
      </c>
      <c r="AH86" s="0" t="n">
        <v>14</v>
      </c>
      <c r="AI86" s="0" t="n">
        <v>11</v>
      </c>
      <c r="AN86" s="0" t="s">
        <v>145</v>
      </c>
      <c r="AO86" s="0" t="s">
        <v>150</v>
      </c>
      <c r="AP86" s="0" t="s">
        <v>151</v>
      </c>
      <c r="AQ86" s="0" t="n">
        <v>9</v>
      </c>
      <c r="AR86" s="0" t="n">
        <v>64</v>
      </c>
      <c r="AS86" s="0" t="n">
        <v>32</v>
      </c>
      <c r="AU86" s="0" t="n">
        <f aca="false">COUNTA($BA$301:$EH$301)</f>
        <v>13</v>
      </c>
      <c r="AV86" s="0" t="n">
        <f aca="false">COUNTIF($BA$301:$EH$301,"D")</f>
        <v>3</v>
      </c>
      <c r="AW86" s="0" t="n">
        <f aca="false">COUNTIF($BA$301:$EH$301,"R")</f>
        <v>0</v>
      </c>
      <c r="AX86" s="0" t="n">
        <f aca="false">IF(BN86="D",1,0)+IF(BO86="D",1,0)+IF(BT86="D",1,0)+IF(BU86="D",1,0)+IF(BW86="D",1,0)+IF(CC86="D",1,0)+IF(CD86="D",1,0)+IF(CE86="D",1,0)+IF(CF86="D",1,0)+IF(CL86="D",1,0)+IF(CM86="D",1,0)+IF(CQ86="D",1,0)+IF(CR86="D",1,0)+IF(CS86="D",1,0)+IF(CW86="D",1,0)+IF(CX86="D",1,0)+IF(DD86="D",1,0)+IF(DE86="D",1,0)+IF(DJ86="D",1,0)+IF(DK86="D",1,0)+IF(DO86="D",1,0)+IF(DP86="D",1,0)+IF(DQ86="D",1,0)+IF(DW86="D",1,0)+IF(DZ86="D",1,0)+IF(EH86="D",1,0)</f>
        <v>0</v>
      </c>
      <c r="AY86" s="0" t="n">
        <f aca="false">COUNTIF(DU86:EH86, "&lt;&gt;")</f>
        <v>1</v>
      </c>
      <c r="AZ86" s="0" t="n">
        <f aca="false">IF(EH86&lt;&gt;"",1,0)</f>
        <v>0</v>
      </c>
      <c r="BB86" s="0" t="s">
        <v>152</v>
      </c>
      <c r="EF86" s="0" t="s">
        <v>153</v>
      </c>
    </row>
    <row r="87" customFormat="false" ht="13.8" hidden="true" customHeight="false" outlineLevel="0" collapsed="false">
      <c r="A87" s="0" t="s">
        <v>641</v>
      </c>
      <c r="B87" s="0" t="n">
        <v>78</v>
      </c>
      <c r="C87" s="0" t="n">
        <v>399614</v>
      </c>
      <c r="D87" s="0" t="s">
        <v>642</v>
      </c>
      <c r="E87" s="0" t="s">
        <v>643</v>
      </c>
      <c r="F87" s="0" t="str">
        <f aca="false">CONCATENATE(D87," ",LEFT(H87,4),"T=",AU87,"D=",AV87,"R=",AW87,"M=",AX87,"L=",AY87,"B=",AZ87)</f>
        <v>MILLS T=1D=0R=0M=0L=1B=0</v>
      </c>
      <c r="G87" s="0" t="s">
        <v>644</v>
      </c>
      <c r="I87" s="0" t="s">
        <v>645</v>
      </c>
      <c r="J87" s="0" t="s">
        <v>646</v>
      </c>
      <c r="K87" s="0" t="s">
        <v>160</v>
      </c>
      <c r="M87" s="0" t="s">
        <v>640</v>
      </c>
      <c r="N87" s="0" t="str">
        <f aca="false">RIGHT(M87,LEN(M87)-FIND(" ",M87))</f>
        <v>ADELAIDE AVE SE</v>
      </c>
      <c r="P87" s="0" t="s">
        <v>145</v>
      </c>
      <c r="Q87" s="0" t="s">
        <v>146</v>
      </c>
      <c r="R87" s="0" t="n">
        <v>44484</v>
      </c>
      <c r="AD87" s="0" t="s">
        <v>147</v>
      </c>
      <c r="AE87" s="0" t="s">
        <v>148</v>
      </c>
      <c r="AF87" s="0" t="s">
        <v>149</v>
      </c>
      <c r="AH87" s="0" t="n">
        <v>14</v>
      </c>
      <c r="AI87" s="0" t="n">
        <v>11</v>
      </c>
      <c r="AN87" s="0" t="s">
        <v>145</v>
      </c>
      <c r="AO87" s="0" t="s">
        <v>150</v>
      </c>
      <c r="AP87" s="0" t="s">
        <v>151</v>
      </c>
      <c r="AQ87" s="0" t="n">
        <v>9</v>
      </c>
      <c r="AR87" s="0" t="n">
        <v>64</v>
      </c>
      <c r="AS87" s="0" t="n">
        <v>32</v>
      </c>
      <c r="AU87" s="0" t="n">
        <f aca="false">COUNTA($BA$744:$EH$744)</f>
        <v>1</v>
      </c>
      <c r="AV87" s="0" t="n">
        <f aca="false">COUNTIF($BA$744:$EH$744,"D")</f>
        <v>0</v>
      </c>
      <c r="AW87" s="0" t="n">
        <f aca="false">COUNTIF($BA$744:$EH$744,"R")</f>
        <v>0</v>
      </c>
      <c r="AX87" s="0" t="n">
        <f aca="false">IF(BN87="D",1,0)+IF(BO87="D",1,0)+IF(BT87="D",1,0)+IF(BU87="D",1,0)+IF(BW87="D",1,0)+IF(CC87="D",1,0)+IF(CD87="D",1,0)+IF(CE87="D",1,0)+IF(CF87="D",1,0)+IF(CL87="D",1,0)+IF(CM87="D",1,0)+IF(CQ87="D",1,0)+IF(CR87="D",1,0)+IF(CS87="D",1,0)+IF(CW87="D",1,0)+IF(CX87="D",1,0)+IF(DD87="D",1,0)+IF(DE87="D",1,0)+IF(DJ87="D",1,0)+IF(DK87="D",1,0)+IF(DO87="D",1,0)+IF(DP87="D",1,0)+IF(DQ87="D",1,0)+IF(DW87="D",1,0)+IF(DZ87="D",1,0)+IF(EH87="D",1,0)</f>
        <v>0</v>
      </c>
      <c r="AY87" s="0" t="n">
        <f aca="false">COUNTIF(DU87:EH87, "&lt;&gt;")</f>
        <v>1</v>
      </c>
      <c r="AZ87" s="0" t="n">
        <f aca="false">IF(EH87&lt;&gt;"",1,0)</f>
        <v>0</v>
      </c>
      <c r="BB87" s="0" t="s">
        <v>152</v>
      </c>
      <c r="DN87" s="0" t="s">
        <v>153</v>
      </c>
      <c r="EF87" s="0" t="s">
        <v>153</v>
      </c>
    </row>
    <row r="88" customFormat="false" ht="13.8" hidden="true" customHeight="false" outlineLevel="0" collapsed="false">
      <c r="A88" s="0" t="s">
        <v>647</v>
      </c>
      <c r="B88" s="0" t="n">
        <v>78</v>
      </c>
      <c r="C88" s="0" t="n">
        <v>373029</v>
      </c>
      <c r="D88" s="0" t="s">
        <v>648</v>
      </c>
      <c r="E88" s="0" t="s">
        <v>649</v>
      </c>
      <c r="F88" s="0" t="str">
        <f aca="false">CONCATENATE(D88," ",LEFT(H88,4),"T=",AU88,"D=",AV88,"R=",AW88,"M=",AX88,"L=",AY88,"B=",AZ88)</f>
        <v>JORDAN T=6D=1R=0M=0L=1B=0</v>
      </c>
      <c r="G88" s="0" t="s">
        <v>650</v>
      </c>
      <c r="I88" s="0" t="s">
        <v>651</v>
      </c>
      <c r="J88" s="0" t="s">
        <v>652</v>
      </c>
      <c r="K88" s="0" t="s">
        <v>160</v>
      </c>
      <c r="M88" s="0" t="s">
        <v>653</v>
      </c>
      <c r="N88" s="0" t="str">
        <f aca="false">RIGHT(M88,LEN(M88)-FIND(" ",M88))</f>
        <v>ATLANTIC ST NE</v>
      </c>
      <c r="P88" s="0" t="s">
        <v>145</v>
      </c>
      <c r="Q88" s="0" t="s">
        <v>146</v>
      </c>
      <c r="R88" s="0" t="n">
        <v>44483</v>
      </c>
      <c r="AD88" s="0" t="s">
        <v>147</v>
      </c>
      <c r="AE88" s="0" t="s">
        <v>148</v>
      </c>
      <c r="AF88" s="0" t="s">
        <v>149</v>
      </c>
      <c r="AH88" s="0" t="n">
        <v>14</v>
      </c>
      <c r="AI88" s="0" t="n">
        <v>11</v>
      </c>
      <c r="AN88" s="0" t="s">
        <v>145</v>
      </c>
      <c r="AO88" s="0" t="s">
        <v>654</v>
      </c>
      <c r="AP88" s="0" t="s">
        <v>655</v>
      </c>
      <c r="AQ88" s="0" t="n">
        <v>9</v>
      </c>
      <c r="AR88" s="0" t="n">
        <v>64</v>
      </c>
      <c r="AS88" s="0" t="n">
        <v>32</v>
      </c>
      <c r="AU88" s="0" t="n">
        <f aca="false">COUNTA($BA$1834:$EH$1834)</f>
        <v>6</v>
      </c>
      <c r="AV88" s="0" t="n">
        <f aca="false">COUNTIF($BA$1834:$EH$1834,"D")</f>
        <v>1</v>
      </c>
      <c r="AW88" s="0" t="n">
        <f aca="false">COUNTIF($BA$1834:$EH$1834,"R")</f>
        <v>0</v>
      </c>
      <c r="AX88" s="0" t="n">
        <f aca="false">IF(BN88="D",1,0)+IF(BO88="D",1,0)+IF(BT88="D",1,0)+IF(BU88="D",1,0)+IF(BW88="D",1,0)+IF(CC88="D",1,0)+IF(CD88="D",1,0)+IF(CE88="D",1,0)+IF(CF88="D",1,0)+IF(CL88="D",1,0)+IF(CM88="D",1,0)+IF(CQ88="D",1,0)+IF(CR88="D",1,0)+IF(CS88="D",1,0)+IF(CW88="D",1,0)+IF(CX88="D",1,0)+IF(DD88="D",1,0)+IF(DE88="D",1,0)+IF(DJ88="D",1,0)+IF(DK88="D",1,0)+IF(DO88="D",1,0)+IF(DP88="D",1,0)+IF(DQ88="D",1,0)+IF(DW88="D",1,0)+IF(DZ88="D",1,0)+IF(EH88="D",1,0)</f>
        <v>0</v>
      </c>
      <c r="AY88" s="0" t="n">
        <f aca="false">COUNTIF(DU88:EH88, "&lt;&gt;")</f>
        <v>1</v>
      </c>
      <c r="AZ88" s="0" t="n">
        <f aca="false">IF(EH88&lt;&gt;"",1,0)</f>
        <v>0</v>
      </c>
      <c r="BB88" s="0" t="s">
        <v>152</v>
      </c>
      <c r="DN88" s="0" t="s">
        <v>153</v>
      </c>
      <c r="EF88" s="0" t="s">
        <v>153</v>
      </c>
    </row>
    <row r="89" customFormat="false" ht="13.8" hidden="true" customHeight="false" outlineLevel="0" collapsed="false">
      <c r="A89" s="0" t="s">
        <v>656</v>
      </c>
      <c r="B89" s="0" t="n">
        <v>78</v>
      </c>
      <c r="C89" s="0" t="n">
        <v>457570</v>
      </c>
      <c r="D89" s="0" t="s">
        <v>657</v>
      </c>
      <c r="E89" s="0" t="s">
        <v>658</v>
      </c>
      <c r="F89" s="0" t="str">
        <f aca="false">CONCATENATE(D89," ",LEFT(H89,4),"T=",AU89,"D=",AV89,"R=",AW89,"M=",AX89,"L=",AY89,"B=",AZ89)</f>
        <v>HALL T=1D=0R=0M=0L=0B=0</v>
      </c>
      <c r="G89" s="0" t="s">
        <v>190</v>
      </c>
      <c r="I89" s="0" t="s">
        <v>659</v>
      </c>
      <c r="J89" s="0" t="s">
        <v>660</v>
      </c>
      <c r="K89" s="0" t="s">
        <v>143</v>
      </c>
      <c r="M89" s="0" t="s">
        <v>653</v>
      </c>
      <c r="N89" s="0" t="str">
        <f aca="false">RIGHT(M89,LEN(M89)-FIND(" ",M89))</f>
        <v>ATLANTIC ST NE</v>
      </c>
      <c r="P89" s="0" t="s">
        <v>145</v>
      </c>
      <c r="Q89" s="0" t="s">
        <v>146</v>
      </c>
      <c r="R89" s="0" t="n">
        <v>44483</v>
      </c>
      <c r="AD89" s="0" t="s">
        <v>147</v>
      </c>
      <c r="AE89" s="0" t="s">
        <v>148</v>
      </c>
      <c r="AF89" s="0" t="s">
        <v>149</v>
      </c>
      <c r="AH89" s="0" t="n">
        <v>14</v>
      </c>
      <c r="AI89" s="0" t="n">
        <v>11</v>
      </c>
      <c r="AN89" s="0" t="s">
        <v>145</v>
      </c>
      <c r="AO89" s="0" t="s">
        <v>654</v>
      </c>
      <c r="AP89" s="0" t="s">
        <v>655</v>
      </c>
      <c r="AQ89" s="0" t="n">
        <v>9</v>
      </c>
      <c r="AR89" s="0" t="n">
        <v>64</v>
      </c>
      <c r="AS89" s="0" t="n">
        <v>32</v>
      </c>
      <c r="AU89" s="0" t="n">
        <f aca="false">COUNTA($BA$2029:$EH$2029)</f>
        <v>1</v>
      </c>
      <c r="AV89" s="0" t="n">
        <f aca="false">COUNTIF($BA$2029:$EH$2029,"D")</f>
        <v>0</v>
      </c>
      <c r="AW89" s="0" t="n">
        <f aca="false">COUNTIF($BA$2029:$EH$2029,"R")</f>
        <v>0</v>
      </c>
      <c r="AX89" s="0" t="n">
        <f aca="false">IF(BN89="D",1,0)+IF(BO89="D",1,0)+IF(BT89="D",1,0)+IF(BU89="D",1,0)+IF(BW89="D",1,0)+IF(CC89="D",1,0)+IF(CD89="D",1,0)+IF(CE89="D",1,0)+IF(CF89="D",1,0)+IF(CL89="D",1,0)+IF(CM89="D",1,0)+IF(CQ89="D",1,0)+IF(CR89="D",1,0)+IF(CS89="D",1,0)+IF(CW89="D",1,0)+IF(CX89="D",1,0)+IF(DD89="D",1,0)+IF(DE89="D",1,0)+IF(DJ89="D",1,0)+IF(DK89="D",1,0)+IF(DO89="D",1,0)+IF(DP89="D",1,0)+IF(DQ89="D",1,0)+IF(DW89="D",1,0)+IF(DZ89="D",1,0)+IF(EH89="D",1,0)</f>
        <v>0</v>
      </c>
      <c r="AY89" s="0" t="n">
        <f aca="false">COUNTIF(DU89:EH89, "&lt;&gt;")</f>
        <v>0</v>
      </c>
      <c r="AZ89" s="0" t="n">
        <f aca="false">IF(EH89&lt;&gt;"",1,0)</f>
        <v>0</v>
      </c>
      <c r="BB89" s="0" t="s">
        <v>152</v>
      </c>
      <c r="BY89" s="0" t="s">
        <v>175</v>
      </c>
    </row>
    <row r="90" customFormat="false" ht="13.8" hidden="true" customHeight="false" outlineLevel="0" collapsed="false">
      <c r="A90" s="0" t="s">
        <v>661</v>
      </c>
      <c r="B90" s="0" t="n">
        <v>78</v>
      </c>
      <c r="C90" s="0" t="n">
        <v>421314</v>
      </c>
      <c r="D90" s="0" t="s">
        <v>662</v>
      </c>
      <c r="E90" s="0" t="s">
        <v>663</v>
      </c>
      <c r="F90" s="0" t="str">
        <f aca="false">CONCATENATE(D90," ",LEFT(H90,4),"T=",AU90,"D=",AV90,"R=",AW90,"M=",AX90,"L=",AY90,"B=",AZ90)</f>
        <v>LEVELLE T=4D=1R=0M=0L=0B=0</v>
      </c>
      <c r="G90" s="0" t="s">
        <v>209</v>
      </c>
      <c r="I90" s="0" t="s">
        <v>664</v>
      </c>
      <c r="J90" s="0" t="s">
        <v>665</v>
      </c>
      <c r="K90" s="0" t="s">
        <v>143</v>
      </c>
      <c r="M90" s="0" t="s">
        <v>666</v>
      </c>
      <c r="N90" s="0" t="str">
        <f aca="false">RIGHT(M90,LEN(M90)-FIND(" ",M90))</f>
        <v>ATLANTIC ST NE</v>
      </c>
      <c r="P90" s="0" t="s">
        <v>145</v>
      </c>
      <c r="Q90" s="0" t="s">
        <v>146</v>
      </c>
      <c r="R90" s="0" t="n">
        <v>44483</v>
      </c>
      <c r="AD90" s="0" t="s">
        <v>147</v>
      </c>
      <c r="AE90" s="0" t="s">
        <v>148</v>
      </c>
      <c r="AF90" s="0" t="s">
        <v>149</v>
      </c>
      <c r="AH90" s="0" t="n">
        <v>14</v>
      </c>
      <c r="AI90" s="0" t="n">
        <v>11</v>
      </c>
      <c r="AN90" s="0" t="s">
        <v>145</v>
      </c>
      <c r="AO90" s="0" t="s">
        <v>654</v>
      </c>
      <c r="AP90" s="0" t="s">
        <v>655</v>
      </c>
      <c r="AQ90" s="0" t="n">
        <v>9</v>
      </c>
      <c r="AR90" s="0" t="n">
        <v>64</v>
      </c>
      <c r="AS90" s="0" t="n">
        <v>32</v>
      </c>
      <c r="AU90" s="0" t="n">
        <f aca="false">COUNTA($BA$1918:$EH$1918)</f>
        <v>4</v>
      </c>
      <c r="AV90" s="0" t="n">
        <f aca="false">COUNTIF($BA$1918:$EH$1918,"D")</f>
        <v>1</v>
      </c>
      <c r="AW90" s="0" t="n">
        <f aca="false">COUNTIF($BA$1918:$EH$1918,"R")</f>
        <v>0</v>
      </c>
      <c r="AX90" s="0" t="n">
        <f aca="false">IF(BN90="D",1,0)+IF(BO90="D",1,0)+IF(BT90="D",1,0)+IF(BU90="D",1,0)+IF(BW90="D",1,0)+IF(CC90="D",1,0)+IF(CD90="D",1,0)+IF(CE90="D",1,0)+IF(CF90="D",1,0)+IF(CL90="D",1,0)+IF(CM90="D",1,0)+IF(CQ90="D",1,0)+IF(CR90="D",1,0)+IF(CS90="D",1,0)+IF(CW90="D",1,0)+IF(CX90="D",1,0)+IF(DD90="D",1,0)+IF(DE90="D",1,0)+IF(DJ90="D",1,0)+IF(DK90="D",1,0)+IF(DO90="D",1,0)+IF(DP90="D",1,0)+IF(DQ90="D",1,0)+IF(DW90="D",1,0)+IF(DZ90="D",1,0)+IF(EH90="D",1,0)</f>
        <v>0</v>
      </c>
      <c r="AY90" s="0" t="n">
        <f aca="false">COUNTIF(DU90:EH90, "&lt;&gt;")</f>
        <v>0</v>
      </c>
      <c r="AZ90" s="0" t="n">
        <f aca="false">IF(EH90&lt;&gt;"",1,0)</f>
        <v>0</v>
      </c>
      <c r="BB90" s="0" t="s">
        <v>152</v>
      </c>
      <c r="DC90" s="0" t="s">
        <v>153</v>
      </c>
    </row>
    <row r="91" customFormat="false" ht="13.8" hidden="false" customHeight="false" outlineLevel="0" collapsed="false">
      <c r="A91" s="0" t="s">
        <v>667</v>
      </c>
      <c r="B91" s="0" t="n">
        <v>78</v>
      </c>
      <c r="C91" s="0" t="n">
        <v>65120</v>
      </c>
      <c r="D91" s="0" t="s">
        <v>668</v>
      </c>
      <c r="E91" s="0" t="s">
        <v>669</v>
      </c>
      <c r="F91" s="0" t="str">
        <f aca="false">CONCATENATE(D91," ",LEFT(H91,4),"T=",AU91,"D=",AV91,"R=",AW91,"M=",AX91,"L=",AY91,"B=",AZ91)</f>
        <v>REEL T=1D=0R=0M=3L=6B=0</v>
      </c>
      <c r="G91" s="0" t="s">
        <v>670</v>
      </c>
      <c r="I91" s="0" t="s">
        <v>671</v>
      </c>
      <c r="J91" s="0" t="s">
        <v>672</v>
      </c>
      <c r="K91" s="0" t="s">
        <v>160</v>
      </c>
      <c r="L91" s="0" t="s">
        <v>175</v>
      </c>
      <c r="M91" s="0" t="s">
        <v>673</v>
      </c>
      <c r="N91" s="0" t="str">
        <f aca="false">RIGHT(M91,LEN(M91)-FIND(" ",M91))</f>
        <v>ATLANTIC ST NE</v>
      </c>
      <c r="P91" s="0" t="s">
        <v>145</v>
      </c>
      <c r="Q91" s="0" t="s">
        <v>146</v>
      </c>
      <c r="R91" s="0" t="n">
        <v>44483</v>
      </c>
      <c r="AD91" s="0" t="s">
        <v>147</v>
      </c>
      <c r="AE91" s="0" t="s">
        <v>148</v>
      </c>
      <c r="AF91" s="0" t="s">
        <v>149</v>
      </c>
      <c r="AH91" s="0" t="n">
        <v>14</v>
      </c>
      <c r="AI91" s="0" t="n">
        <v>11</v>
      </c>
      <c r="AN91" s="0" t="s">
        <v>145</v>
      </c>
      <c r="AO91" s="0" t="s">
        <v>654</v>
      </c>
      <c r="AP91" s="0" t="s">
        <v>655</v>
      </c>
      <c r="AQ91" s="0" t="n">
        <v>9</v>
      </c>
      <c r="AR91" s="0" t="n">
        <v>64</v>
      </c>
      <c r="AS91" s="0" t="n">
        <v>32</v>
      </c>
      <c r="AU91" s="0" t="n">
        <f aca="false">COUNTA($BA$1871:$EH$1871)</f>
        <v>1</v>
      </c>
      <c r="AV91" s="0" t="n">
        <f aca="false">COUNTIF($BA$1871:$EH$1871,"D")</f>
        <v>0</v>
      </c>
      <c r="AW91" s="0" t="n">
        <f aca="false">COUNTIF($BA$1871:$EH$1871,"R")</f>
        <v>0</v>
      </c>
      <c r="AX91" s="0" t="n">
        <f aca="false">IF(BN91="D",1,0)+IF(BO91="D",1,0)+IF(BT91="D",1,0)+IF(BU91="D",1,0)+IF(BW91="D",1,0)+IF(CC91="D",1,0)+IF(CD91="D",1,0)+IF(CE91="D",1,0)+IF(CF91="D",1,0)+IF(CL91="D",1,0)+IF(CM91="D",1,0)+IF(CQ91="D",1,0)+IF(CR91="D",1,0)+IF(CS91="D",1,0)+IF(CW91="D",1,0)+IF(CX91="D",1,0)+IF(DD91="D",1,0)+IF(DE91="D",1,0)+IF(DJ91="D",1,0)+IF(DK91="D",1,0)+IF(DO91="D",1,0)+IF(DP91="D",1,0)+IF(DQ91="D",1,0)+IF(DW91="D",1,0)+IF(DZ91="D",1,0)+IF(EH91="D",1,0)</f>
        <v>3</v>
      </c>
      <c r="AY91" s="0" t="n">
        <f aca="false">COUNTIF(DU91:EH91, "&lt;&gt;")</f>
        <v>6</v>
      </c>
      <c r="AZ91" s="0" t="n">
        <f aca="false">IF(EH91&lt;&gt;"",1,0)</f>
        <v>0</v>
      </c>
      <c r="BB91" s="0" t="s">
        <v>152</v>
      </c>
      <c r="BC91" s="0" t="s">
        <v>153</v>
      </c>
      <c r="BD91" s="0" t="s">
        <v>153</v>
      </c>
      <c r="BF91" s="0" t="s">
        <v>153</v>
      </c>
      <c r="BG91" s="0" t="s">
        <v>153</v>
      </c>
      <c r="BH91" s="0" t="s">
        <v>153</v>
      </c>
      <c r="BJ91" s="0" t="s">
        <v>153</v>
      </c>
      <c r="BK91" s="0" t="s">
        <v>153</v>
      </c>
      <c r="BL91" s="0" t="s">
        <v>153</v>
      </c>
      <c r="BP91" s="0" t="s">
        <v>153</v>
      </c>
      <c r="BR91" s="0" t="s">
        <v>153</v>
      </c>
      <c r="BS91" s="0" t="s">
        <v>153</v>
      </c>
      <c r="BY91" s="0" t="s">
        <v>175</v>
      </c>
      <c r="CA91" s="0" t="s">
        <v>153</v>
      </c>
      <c r="CG91" s="0" t="s">
        <v>153</v>
      </c>
      <c r="CH91" s="0" t="s">
        <v>175</v>
      </c>
      <c r="CK91" s="0" t="s">
        <v>153</v>
      </c>
      <c r="CN91" s="0" t="s">
        <v>153</v>
      </c>
      <c r="CP91" s="0" t="s">
        <v>153</v>
      </c>
      <c r="CQ91" s="0" t="s">
        <v>153</v>
      </c>
      <c r="CT91" s="0" t="s">
        <v>153</v>
      </c>
      <c r="CU91" s="0" t="s">
        <v>175</v>
      </c>
      <c r="CV91" s="0" t="s">
        <v>153</v>
      </c>
      <c r="CW91" s="0" t="s">
        <v>153</v>
      </c>
      <c r="CY91" s="0" t="s">
        <v>153</v>
      </c>
      <c r="CZ91" s="0" t="s">
        <v>209</v>
      </c>
      <c r="DC91" s="0" t="s">
        <v>153</v>
      </c>
      <c r="DD91" s="0" t="s">
        <v>175</v>
      </c>
      <c r="DF91" s="0" t="s">
        <v>153</v>
      </c>
      <c r="DG91" s="0" t="s">
        <v>175</v>
      </c>
      <c r="DI91" s="0" t="s">
        <v>153</v>
      </c>
      <c r="DJ91" s="0" t="s">
        <v>175</v>
      </c>
      <c r="DL91" s="0" t="s">
        <v>153</v>
      </c>
      <c r="DM91" s="0" t="s">
        <v>175</v>
      </c>
      <c r="DN91" s="0" t="s">
        <v>153</v>
      </c>
      <c r="DS91" s="0" t="s">
        <v>175</v>
      </c>
      <c r="DU91" s="0" t="s">
        <v>153</v>
      </c>
      <c r="DW91" s="0" t="s">
        <v>175</v>
      </c>
      <c r="DX91" s="0" t="s">
        <v>153</v>
      </c>
      <c r="EA91" s="0" t="s">
        <v>153</v>
      </c>
      <c r="ED91" s="0" t="s">
        <v>175</v>
      </c>
      <c r="EF91" s="0" t="s">
        <v>153</v>
      </c>
    </row>
    <row r="92" customFormat="false" ht="13.8" hidden="false" customHeight="false" outlineLevel="0" collapsed="false">
      <c r="A92" s="0" t="s">
        <v>674</v>
      </c>
      <c r="B92" s="0" t="n">
        <v>78</v>
      </c>
      <c r="C92" s="0" t="n">
        <v>172182</v>
      </c>
      <c r="D92" s="0" t="s">
        <v>668</v>
      </c>
      <c r="E92" s="0" t="s">
        <v>675</v>
      </c>
      <c r="F92" s="0" t="str">
        <f aca="false">CONCATENATE(D92," ",LEFT(H92,4),"T=",AU92,"D=",AV92,"R=",AW92,"M=",AX92,"L=",AY92,"B=",AZ92)</f>
        <v>REEL T=6D=0R=0M=3L=6B=0</v>
      </c>
      <c r="G92" s="0" t="s">
        <v>164</v>
      </c>
      <c r="I92" s="0" t="s">
        <v>676</v>
      </c>
      <c r="J92" s="0" t="s">
        <v>672</v>
      </c>
      <c r="K92" s="0" t="s">
        <v>160</v>
      </c>
      <c r="L92" s="0" t="s">
        <v>175</v>
      </c>
      <c r="M92" s="0" t="s">
        <v>673</v>
      </c>
      <c r="N92" s="0" t="str">
        <f aca="false">RIGHT(M92,LEN(M92)-FIND(" ",M92))</f>
        <v>ATLANTIC ST NE</v>
      </c>
      <c r="P92" s="0" t="s">
        <v>145</v>
      </c>
      <c r="Q92" s="0" t="s">
        <v>146</v>
      </c>
      <c r="R92" s="0" t="n">
        <v>44483</v>
      </c>
      <c r="AD92" s="0" t="s">
        <v>147</v>
      </c>
      <c r="AE92" s="0" t="s">
        <v>148</v>
      </c>
      <c r="AF92" s="0" t="s">
        <v>149</v>
      </c>
      <c r="AH92" s="0" t="n">
        <v>14</v>
      </c>
      <c r="AI92" s="0" t="n">
        <v>11</v>
      </c>
      <c r="AN92" s="0" t="s">
        <v>145</v>
      </c>
      <c r="AO92" s="0" t="s">
        <v>654</v>
      </c>
      <c r="AP92" s="0" t="s">
        <v>655</v>
      </c>
      <c r="AQ92" s="0" t="n">
        <v>9</v>
      </c>
      <c r="AR92" s="0" t="n">
        <v>64</v>
      </c>
      <c r="AS92" s="0" t="n">
        <v>32</v>
      </c>
      <c r="AU92" s="0" t="n">
        <f aca="false">COUNTA($BA$1872:$EH$1872)</f>
        <v>6</v>
      </c>
      <c r="AV92" s="0" t="n">
        <f aca="false">COUNTIF($BA$1872:$EH$1872,"D")</f>
        <v>0</v>
      </c>
      <c r="AW92" s="0" t="n">
        <f aca="false">COUNTIF($BA$1872:$EH$1872,"R")</f>
        <v>0</v>
      </c>
      <c r="AX92" s="0" t="n">
        <f aca="false">IF(BN92="D",1,0)+IF(BO92="D",1,0)+IF(BT92="D",1,0)+IF(BU92="D",1,0)+IF(BW92="D",1,0)+IF(CC92="D",1,0)+IF(CD92="D",1,0)+IF(CE92="D",1,0)+IF(CF92="D",1,0)+IF(CL92="D",1,0)+IF(CM92="D",1,0)+IF(CQ92="D",1,0)+IF(CR92="D",1,0)+IF(CS92="D",1,0)+IF(CW92="D",1,0)+IF(CX92="D",1,0)+IF(DD92="D",1,0)+IF(DE92="D",1,0)+IF(DJ92="D",1,0)+IF(DK92="D",1,0)+IF(DO92="D",1,0)+IF(DP92="D",1,0)+IF(DQ92="D",1,0)+IF(DW92="D",1,0)+IF(DZ92="D",1,0)+IF(EH92="D",1,0)</f>
        <v>3</v>
      </c>
      <c r="AY92" s="0" t="n">
        <f aca="false">COUNTIF(DU92:EH92, "&lt;&gt;")</f>
        <v>6</v>
      </c>
      <c r="AZ92" s="0" t="n">
        <f aca="false">IF(EH92&lt;&gt;"",1,0)</f>
        <v>0</v>
      </c>
      <c r="BB92" s="0" t="s">
        <v>152</v>
      </c>
      <c r="BC92" s="0" t="s">
        <v>153</v>
      </c>
      <c r="BD92" s="0" t="s">
        <v>153</v>
      </c>
      <c r="BF92" s="0" t="s">
        <v>153</v>
      </c>
      <c r="BG92" s="0" t="s">
        <v>153</v>
      </c>
      <c r="BH92" s="0" t="s">
        <v>153</v>
      </c>
      <c r="BJ92" s="0" t="s">
        <v>153</v>
      </c>
      <c r="BK92" s="0" t="s">
        <v>153</v>
      </c>
      <c r="BL92" s="0" t="s">
        <v>153</v>
      </c>
      <c r="BP92" s="0" t="s">
        <v>153</v>
      </c>
      <c r="BS92" s="0" t="s">
        <v>153</v>
      </c>
      <c r="BY92" s="0" t="s">
        <v>175</v>
      </c>
      <c r="CA92" s="0" t="s">
        <v>153</v>
      </c>
      <c r="CG92" s="0" t="s">
        <v>153</v>
      </c>
      <c r="CH92" s="0" t="s">
        <v>175</v>
      </c>
      <c r="CK92" s="0" t="s">
        <v>153</v>
      </c>
      <c r="CN92" s="0" t="s">
        <v>153</v>
      </c>
      <c r="CO92" s="0" t="s">
        <v>175</v>
      </c>
      <c r="CP92" s="0" t="s">
        <v>153</v>
      </c>
      <c r="CQ92" s="0" t="s">
        <v>153</v>
      </c>
      <c r="CT92" s="0" t="s">
        <v>153</v>
      </c>
      <c r="CU92" s="0" t="s">
        <v>175</v>
      </c>
      <c r="CV92" s="0" t="s">
        <v>153</v>
      </c>
      <c r="CW92" s="0" t="s">
        <v>153</v>
      </c>
      <c r="CY92" s="0" t="s">
        <v>153</v>
      </c>
      <c r="CZ92" s="0" t="s">
        <v>175</v>
      </c>
      <c r="DC92" s="0" t="s">
        <v>153</v>
      </c>
      <c r="DD92" s="0" t="s">
        <v>175</v>
      </c>
      <c r="DF92" s="0" t="s">
        <v>153</v>
      </c>
      <c r="DG92" s="0" t="s">
        <v>175</v>
      </c>
      <c r="DI92" s="0" t="s">
        <v>153</v>
      </c>
      <c r="DJ92" s="0" t="s">
        <v>175</v>
      </c>
      <c r="DL92" s="0" t="s">
        <v>153</v>
      </c>
      <c r="DM92" s="0" t="s">
        <v>175</v>
      </c>
      <c r="DN92" s="0" t="s">
        <v>153</v>
      </c>
      <c r="DS92" s="0" t="s">
        <v>175</v>
      </c>
      <c r="DU92" s="0" t="s">
        <v>153</v>
      </c>
      <c r="DW92" s="0" t="s">
        <v>175</v>
      </c>
      <c r="DX92" s="0" t="s">
        <v>153</v>
      </c>
      <c r="EA92" s="0" t="s">
        <v>153</v>
      </c>
      <c r="ED92" s="0" t="s">
        <v>175</v>
      </c>
      <c r="EF92" s="0" t="s">
        <v>153</v>
      </c>
    </row>
    <row r="93" customFormat="false" ht="13.8" hidden="true" customHeight="false" outlineLevel="0" collapsed="false">
      <c r="A93" s="0" t="s">
        <v>677</v>
      </c>
      <c r="B93" s="0" t="n">
        <v>78</v>
      </c>
      <c r="C93" s="0" t="n">
        <v>405221</v>
      </c>
      <c r="D93" s="0" t="s">
        <v>678</v>
      </c>
      <c r="E93" s="0" t="s">
        <v>441</v>
      </c>
      <c r="F93" s="0" t="str">
        <f aca="false">CONCATENATE(D93," ",LEFT(H93,4),"T=",AU93,"D=",AV93,"R=",AW93,"M=",AX93,"L=",AY93,"B=",AZ93)</f>
        <v>PARONISH MCNABB T=10D=2R=0M=0L=1B=0</v>
      </c>
      <c r="G93" s="0" t="s">
        <v>679</v>
      </c>
      <c r="I93" s="0" t="s">
        <v>680</v>
      </c>
      <c r="J93" s="0" t="s">
        <v>681</v>
      </c>
      <c r="K93" s="0" t="s">
        <v>160</v>
      </c>
      <c r="M93" s="0" t="s">
        <v>682</v>
      </c>
      <c r="N93" s="0" t="str">
        <f aca="false">RIGHT(M93,LEN(M93)-FIND(" ",M93))</f>
        <v>ATLANTIC ST NE</v>
      </c>
      <c r="P93" s="0" t="s">
        <v>145</v>
      </c>
      <c r="Q93" s="0" t="s">
        <v>146</v>
      </c>
      <c r="R93" s="0" t="n">
        <v>44483</v>
      </c>
      <c r="AD93" s="0" t="s">
        <v>147</v>
      </c>
      <c r="AE93" s="0" t="s">
        <v>148</v>
      </c>
      <c r="AF93" s="0" t="s">
        <v>149</v>
      </c>
      <c r="AH93" s="0" t="n">
        <v>14</v>
      </c>
      <c r="AI93" s="0" t="n">
        <v>11</v>
      </c>
      <c r="AN93" s="0" t="s">
        <v>145</v>
      </c>
      <c r="AO93" s="0" t="s">
        <v>654</v>
      </c>
      <c r="AP93" s="0" t="s">
        <v>655</v>
      </c>
      <c r="AQ93" s="0" t="n">
        <v>9</v>
      </c>
      <c r="AR93" s="0" t="n">
        <v>64</v>
      </c>
      <c r="AS93" s="0" t="n">
        <v>32</v>
      </c>
      <c r="AU93" s="0" t="n">
        <f aca="false">COUNTA($BA$1890:$EH$1890)</f>
        <v>10</v>
      </c>
      <c r="AV93" s="0" t="n">
        <f aca="false">COUNTIF($BA$1890:$EH$1890,"D")</f>
        <v>2</v>
      </c>
      <c r="AW93" s="0" t="n">
        <f aca="false">COUNTIF($BA$1890:$EH$1890,"R")</f>
        <v>0</v>
      </c>
      <c r="AX93" s="0" t="n">
        <f aca="false">IF(BN93="D",1,0)+IF(BO93="D",1,0)+IF(BT93="D",1,0)+IF(BU93="D",1,0)+IF(BW93="D",1,0)+IF(CC93="D",1,0)+IF(CD93="D",1,0)+IF(CE93="D",1,0)+IF(CF93="D",1,0)+IF(CL93="D",1,0)+IF(CM93="D",1,0)+IF(CQ93="D",1,0)+IF(CR93="D",1,0)+IF(CS93="D",1,0)+IF(CW93="D",1,0)+IF(CX93="D",1,0)+IF(DD93="D",1,0)+IF(DE93="D",1,0)+IF(DJ93="D",1,0)+IF(DK93="D",1,0)+IF(DO93="D",1,0)+IF(DP93="D",1,0)+IF(DQ93="D",1,0)+IF(DW93="D",1,0)+IF(DZ93="D",1,0)+IF(EH93="D",1,0)</f>
        <v>0</v>
      </c>
      <c r="AY93" s="0" t="n">
        <f aca="false">COUNTIF(DU93:EH93, "&lt;&gt;")</f>
        <v>1</v>
      </c>
      <c r="AZ93" s="0" t="n">
        <f aca="false">IF(EH93&lt;&gt;"",1,0)</f>
        <v>0</v>
      </c>
      <c r="BB93" s="0" t="s">
        <v>152</v>
      </c>
      <c r="BK93" s="0" t="s">
        <v>153</v>
      </c>
      <c r="BL93" s="0" t="s">
        <v>153</v>
      </c>
      <c r="BP93" s="0" t="s">
        <v>153</v>
      </c>
      <c r="CA93" s="0" t="s">
        <v>153</v>
      </c>
      <c r="CK93" s="0" t="s">
        <v>153</v>
      </c>
      <c r="CY93" s="0" t="s">
        <v>153</v>
      </c>
      <c r="DC93" s="0" t="s">
        <v>153</v>
      </c>
      <c r="DN93" s="0" t="s">
        <v>153</v>
      </c>
      <c r="EF93" s="0" t="s">
        <v>153</v>
      </c>
    </row>
    <row r="94" customFormat="false" ht="13.8" hidden="true" customHeight="false" outlineLevel="0" collapsed="false">
      <c r="A94" s="0" t="s">
        <v>683</v>
      </c>
      <c r="B94" s="0" t="n">
        <v>78</v>
      </c>
      <c r="C94" s="0" t="n">
        <v>393374</v>
      </c>
      <c r="D94" s="0" t="s">
        <v>684</v>
      </c>
      <c r="E94" s="0" t="s">
        <v>685</v>
      </c>
      <c r="F94" s="0" t="str">
        <f aca="false">CONCATENATE(D94," ",LEFT(H94,4),"T=",AU94,"D=",AV94,"R=",AW94,"M=",AX94,"L=",AY94,"B=",AZ94)</f>
        <v>MACH T=1D=0R=0M=1L=1B=0</v>
      </c>
      <c r="G94" s="0" t="s">
        <v>686</v>
      </c>
      <c r="I94" s="0" t="s">
        <v>687</v>
      </c>
      <c r="J94" s="0" t="s">
        <v>688</v>
      </c>
      <c r="K94" s="0" t="s">
        <v>160</v>
      </c>
      <c r="M94" s="0" t="s">
        <v>682</v>
      </c>
      <c r="N94" s="0" t="str">
        <f aca="false">RIGHT(M94,LEN(M94)-FIND(" ",M94))</f>
        <v>ATLANTIC ST NE</v>
      </c>
      <c r="P94" s="0" t="s">
        <v>145</v>
      </c>
      <c r="Q94" s="0" t="s">
        <v>146</v>
      </c>
      <c r="R94" s="0" t="n">
        <v>44483</v>
      </c>
      <c r="AD94" s="0" t="s">
        <v>147</v>
      </c>
      <c r="AE94" s="0" t="s">
        <v>148</v>
      </c>
      <c r="AF94" s="0" t="s">
        <v>149</v>
      </c>
      <c r="AH94" s="0" t="n">
        <v>14</v>
      </c>
      <c r="AI94" s="0" t="n">
        <v>11</v>
      </c>
      <c r="AN94" s="0" t="s">
        <v>145</v>
      </c>
      <c r="AO94" s="0" t="s">
        <v>654</v>
      </c>
      <c r="AP94" s="0" t="s">
        <v>655</v>
      </c>
      <c r="AQ94" s="0" t="n">
        <v>9</v>
      </c>
      <c r="AR94" s="0" t="n">
        <v>64</v>
      </c>
      <c r="AS94" s="0" t="n">
        <v>32</v>
      </c>
      <c r="AU94" s="0" t="n">
        <f aca="false">COUNTA($BA$2048:$EH$2048)</f>
        <v>1</v>
      </c>
      <c r="AV94" s="0" t="n">
        <f aca="false">COUNTIF($BA$2048:$EH$2048,"D")</f>
        <v>0</v>
      </c>
      <c r="AW94" s="0" t="n">
        <f aca="false">COUNTIF($BA$2048:$EH$2048,"R")</f>
        <v>0</v>
      </c>
      <c r="AX94" s="0" t="n">
        <f aca="false">IF(BN94="D",1,0)+IF(BO94="D",1,0)+IF(BT94="D",1,0)+IF(BU94="D",1,0)+IF(BW94="D",1,0)+IF(CC94="D",1,0)+IF(CD94="D",1,0)+IF(CE94="D",1,0)+IF(CF94="D",1,0)+IF(CL94="D",1,0)+IF(CM94="D",1,0)+IF(CQ94="D",1,0)+IF(CR94="D",1,0)+IF(CS94="D",1,0)+IF(CW94="D",1,0)+IF(CX94="D",1,0)+IF(DD94="D",1,0)+IF(DE94="D",1,0)+IF(DJ94="D",1,0)+IF(DK94="D",1,0)+IF(DO94="D",1,0)+IF(DP94="D",1,0)+IF(DQ94="D",1,0)+IF(DW94="D",1,0)+IF(DZ94="D",1,0)+IF(EH94="D",1,0)</f>
        <v>1</v>
      </c>
      <c r="AY94" s="0" t="n">
        <f aca="false">COUNTIF(DU94:EH94, "&lt;&gt;")</f>
        <v>1</v>
      </c>
      <c r="AZ94" s="0" t="n">
        <f aca="false">IF(EH94&lt;&gt;"",1,0)</f>
        <v>0</v>
      </c>
      <c r="BB94" s="0" t="s">
        <v>152</v>
      </c>
      <c r="CN94" s="0" t="s">
        <v>153</v>
      </c>
      <c r="CU94" s="0" t="s">
        <v>175</v>
      </c>
      <c r="CV94" s="0" t="s">
        <v>153</v>
      </c>
      <c r="CW94" s="0" t="s">
        <v>175</v>
      </c>
      <c r="CZ94" s="0" t="s">
        <v>175</v>
      </c>
      <c r="DC94" s="0" t="s">
        <v>153</v>
      </c>
      <c r="DN94" s="0" t="s">
        <v>153</v>
      </c>
      <c r="EF94" s="0" t="s">
        <v>153</v>
      </c>
    </row>
    <row r="95" customFormat="false" ht="13.8" hidden="true" customHeight="false" outlineLevel="0" collapsed="false">
      <c r="A95" s="0" t="s">
        <v>689</v>
      </c>
      <c r="B95" s="0" t="n">
        <v>78</v>
      </c>
      <c r="C95" s="0" t="n">
        <v>362360</v>
      </c>
      <c r="D95" s="0" t="s">
        <v>690</v>
      </c>
      <c r="E95" s="0" t="s">
        <v>691</v>
      </c>
      <c r="F95" s="0" t="str">
        <f aca="false">CONCATENATE(D95," ",LEFT(H95,4),"T=",AU95,"D=",AV95,"R=",AW95,"M=",AX95,"L=",AY95,"B=",AZ95)</f>
        <v>SMITH T=13D=2R=0M=0L=0B=0</v>
      </c>
      <c r="G95" s="0" t="s">
        <v>195</v>
      </c>
      <c r="I95" s="0" t="s">
        <v>692</v>
      </c>
      <c r="J95" s="0" t="s">
        <v>693</v>
      </c>
      <c r="K95" s="0" t="s">
        <v>143</v>
      </c>
      <c r="M95" s="0" t="s">
        <v>694</v>
      </c>
      <c r="N95" s="0" t="str">
        <f aca="false">RIGHT(M95,LEN(M95)-FIND(" ",M95))</f>
        <v>ATLANTIC ST NE</v>
      </c>
      <c r="P95" s="0" t="s">
        <v>145</v>
      </c>
      <c r="Q95" s="0" t="s">
        <v>146</v>
      </c>
      <c r="R95" s="0" t="n">
        <v>44483</v>
      </c>
      <c r="AD95" s="0" t="s">
        <v>147</v>
      </c>
      <c r="AE95" s="0" t="s">
        <v>148</v>
      </c>
      <c r="AF95" s="0" t="s">
        <v>149</v>
      </c>
      <c r="AH95" s="0" t="n">
        <v>14</v>
      </c>
      <c r="AI95" s="0" t="n">
        <v>11</v>
      </c>
      <c r="AN95" s="0" t="s">
        <v>145</v>
      </c>
      <c r="AO95" s="0" t="s">
        <v>654</v>
      </c>
      <c r="AP95" s="0" t="s">
        <v>655</v>
      </c>
      <c r="AQ95" s="0" t="n">
        <v>9</v>
      </c>
      <c r="AR95" s="0" t="n">
        <v>64</v>
      </c>
      <c r="AS95" s="0" t="n">
        <v>32</v>
      </c>
      <c r="AU95" s="0" t="n">
        <f aca="false">COUNTA($BA$1262:$EH$1262)</f>
        <v>13</v>
      </c>
      <c r="AV95" s="0" t="n">
        <f aca="false">COUNTIF($BA$1262:$EH$1262,"D")</f>
        <v>2</v>
      </c>
      <c r="AW95" s="0" t="n">
        <f aca="false">COUNTIF($BA$1262:$EH$1262,"R")</f>
        <v>0</v>
      </c>
      <c r="AX95" s="0" t="n">
        <f aca="false">IF(BN95="D",1,0)+IF(BO95="D",1,0)+IF(BT95="D",1,0)+IF(BU95="D",1,0)+IF(BW95="D",1,0)+IF(CC95="D",1,0)+IF(CD95="D",1,0)+IF(CE95="D",1,0)+IF(CF95="D",1,0)+IF(CL95="D",1,0)+IF(CM95="D",1,0)+IF(CQ95="D",1,0)+IF(CR95="D",1,0)+IF(CS95="D",1,0)+IF(CW95="D",1,0)+IF(CX95="D",1,0)+IF(DD95="D",1,0)+IF(DE95="D",1,0)+IF(DJ95="D",1,0)+IF(DK95="D",1,0)+IF(DO95="D",1,0)+IF(DP95="D",1,0)+IF(DQ95="D",1,0)+IF(DW95="D",1,0)+IF(DZ95="D",1,0)+IF(EH95="D",1,0)</f>
        <v>0</v>
      </c>
      <c r="AY95" s="0" t="n">
        <f aca="false">COUNTIF(DU95:EH95, "&lt;&gt;")</f>
        <v>0</v>
      </c>
      <c r="AZ95" s="0" t="n">
        <f aca="false">IF(EH95&lt;&gt;"",1,0)</f>
        <v>0</v>
      </c>
      <c r="BB95" s="0" t="s">
        <v>152</v>
      </c>
      <c r="CA95" s="0" t="s">
        <v>153</v>
      </c>
      <c r="CP95" s="0" t="s">
        <v>153</v>
      </c>
      <c r="DC95" s="0" t="s">
        <v>153</v>
      </c>
    </row>
    <row r="96" customFormat="false" ht="13.8" hidden="true" customHeight="false" outlineLevel="0" collapsed="false">
      <c r="A96" s="0" t="s">
        <v>695</v>
      </c>
      <c r="B96" s="0" t="n">
        <v>78</v>
      </c>
      <c r="C96" s="0" t="n">
        <v>425715</v>
      </c>
      <c r="D96" s="0" t="s">
        <v>696</v>
      </c>
      <c r="E96" s="0" t="s">
        <v>697</v>
      </c>
      <c r="F96" s="0" t="str">
        <f aca="false">CONCATENATE(D96," ",LEFT(H96,4),"T=",AU96,"D=",AV96,"R=",AW96,"M=",AX96,"L=",AY96,"B=",AZ96)</f>
        <v>COBBINS T=2D=0R=0M=0L=0B=0</v>
      </c>
      <c r="G96" s="0" t="s">
        <v>379</v>
      </c>
      <c r="I96" s="0" t="s">
        <v>698</v>
      </c>
      <c r="J96" s="0" t="s">
        <v>699</v>
      </c>
      <c r="K96" s="0" t="s">
        <v>143</v>
      </c>
      <c r="M96" s="0" t="s">
        <v>694</v>
      </c>
      <c r="N96" s="0" t="str">
        <f aca="false">RIGHT(M96,LEN(M96)-FIND(" ",M96))</f>
        <v>ATLANTIC ST NE</v>
      </c>
      <c r="P96" s="0" t="s">
        <v>145</v>
      </c>
      <c r="Q96" s="0" t="s">
        <v>146</v>
      </c>
      <c r="R96" s="0" t="n">
        <v>44483</v>
      </c>
      <c r="AD96" s="0" t="s">
        <v>147</v>
      </c>
      <c r="AE96" s="0" t="s">
        <v>148</v>
      </c>
      <c r="AF96" s="0" t="s">
        <v>149</v>
      </c>
      <c r="AH96" s="0" t="n">
        <v>14</v>
      </c>
      <c r="AI96" s="0" t="n">
        <v>11</v>
      </c>
      <c r="AN96" s="0" t="s">
        <v>145</v>
      </c>
      <c r="AO96" s="0" t="s">
        <v>654</v>
      </c>
      <c r="AP96" s="0" t="s">
        <v>655</v>
      </c>
      <c r="AQ96" s="0" t="n">
        <v>9</v>
      </c>
      <c r="AR96" s="0" t="n">
        <v>64</v>
      </c>
      <c r="AS96" s="0" t="n">
        <v>32</v>
      </c>
      <c r="AU96" s="0" t="n">
        <f aca="false">COUNTA($BA$1900:$EH$1900)</f>
        <v>2</v>
      </c>
      <c r="AV96" s="0" t="n">
        <f aca="false">COUNTIF($BA$1900:$EH$1900,"D")</f>
        <v>0</v>
      </c>
      <c r="AW96" s="0" t="n">
        <f aca="false">COUNTIF($BA$1900:$EH$1900,"R")</f>
        <v>0</v>
      </c>
      <c r="AX96" s="0" t="n">
        <f aca="false">IF(BN96="D",1,0)+IF(BO96="D",1,0)+IF(BT96="D",1,0)+IF(BU96="D",1,0)+IF(BW96="D",1,0)+IF(CC96="D",1,0)+IF(CD96="D",1,0)+IF(CE96="D",1,0)+IF(CF96="D",1,0)+IF(CL96="D",1,0)+IF(CM96="D",1,0)+IF(CQ96="D",1,0)+IF(CR96="D",1,0)+IF(CS96="D",1,0)+IF(CW96="D",1,0)+IF(CX96="D",1,0)+IF(DD96="D",1,0)+IF(DE96="D",1,0)+IF(DJ96="D",1,0)+IF(DK96="D",1,0)+IF(DO96="D",1,0)+IF(DP96="D",1,0)+IF(DQ96="D",1,0)+IF(DW96="D",1,0)+IF(DZ96="D",1,0)+IF(EH96="D",1,0)</f>
        <v>0</v>
      </c>
      <c r="AY96" s="0" t="n">
        <f aca="false">COUNTIF(DU96:EH96, "&lt;&gt;")</f>
        <v>0</v>
      </c>
      <c r="AZ96" s="0" t="n">
        <f aca="false">IF(EH96&lt;&gt;"",1,0)</f>
        <v>0</v>
      </c>
      <c r="BB96" s="0" t="s">
        <v>152</v>
      </c>
    </row>
    <row r="97" customFormat="false" ht="13.8" hidden="true" customHeight="false" outlineLevel="0" collapsed="false">
      <c r="A97" s="0" t="s">
        <v>700</v>
      </c>
      <c r="B97" s="0" t="n">
        <v>78</v>
      </c>
      <c r="C97" s="0" t="n">
        <v>316523</v>
      </c>
      <c r="D97" s="0" t="s">
        <v>701</v>
      </c>
      <c r="E97" s="0" t="s">
        <v>702</v>
      </c>
      <c r="F97" s="0" t="str">
        <f aca="false">CONCATENATE(D97," ",LEFT(H97,4),"T=",AU97,"D=",AV97,"R=",AW97,"M=",AX97,"L=",AY97,"B=",AZ97)</f>
        <v>FIKE T=44D=14R=0M=0L=0B=0</v>
      </c>
      <c r="I97" s="0" t="s">
        <v>703</v>
      </c>
      <c r="J97" s="0" t="s">
        <v>704</v>
      </c>
      <c r="K97" s="0" t="s">
        <v>160</v>
      </c>
      <c r="M97" s="0" t="s">
        <v>705</v>
      </c>
      <c r="N97" s="0" t="str">
        <f aca="false">RIGHT(M97,LEN(M97)-FIND(" ",M97))</f>
        <v>BELLE ST SE</v>
      </c>
      <c r="P97" s="0" t="s">
        <v>145</v>
      </c>
      <c r="Q97" s="0" t="s">
        <v>146</v>
      </c>
      <c r="R97" s="0" t="n">
        <v>44484</v>
      </c>
      <c r="AD97" s="0" t="s">
        <v>147</v>
      </c>
      <c r="AE97" s="0" t="s">
        <v>148</v>
      </c>
      <c r="AF97" s="0" t="s">
        <v>149</v>
      </c>
      <c r="AH97" s="0" t="n">
        <v>14</v>
      </c>
      <c r="AI97" s="0" t="n">
        <v>11</v>
      </c>
      <c r="AN97" s="0" t="s">
        <v>145</v>
      </c>
      <c r="AO97" s="0" t="s">
        <v>150</v>
      </c>
      <c r="AP97" s="0" t="s">
        <v>151</v>
      </c>
      <c r="AQ97" s="0" t="n">
        <v>9</v>
      </c>
      <c r="AR97" s="0" t="n">
        <v>64</v>
      </c>
      <c r="AS97" s="0" t="n">
        <v>32</v>
      </c>
      <c r="AU97" s="0" t="n">
        <f aca="false">COUNTA($BA$811:$EH$811)</f>
        <v>44</v>
      </c>
      <c r="AV97" s="0" t="n">
        <f aca="false">COUNTIF($BA$811:$EH$811,"D")</f>
        <v>14</v>
      </c>
      <c r="AW97" s="0" t="n">
        <f aca="false">COUNTIF($BA$811:$EH$811,"R")</f>
        <v>0</v>
      </c>
      <c r="AX97" s="0" t="n">
        <f aca="false">IF(BN97="D",1,0)+IF(BO97="D",1,0)+IF(BT97="D",1,0)+IF(BU97="D",1,0)+IF(BW97="D",1,0)+IF(CC97="D",1,0)+IF(CD97="D",1,0)+IF(CE97="D",1,0)+IF(CF97="D",1,0)+IF(CL97="D",1,0)+IF(CM97="D",1,0)+IF(CQ97="D",1,0)+IF(CR97="D",1,0)+IF(CS97="D",1,0)+IF(CW97="D",1,0)+IF(CX97="D",1,0)+IF(DD97="D",1,0)+IF(DE97="D",1,0)+IF(DJ97="D",1,0)+IF(DK97="D",1,0)+IF(DO97="D",1,0)+IF(DP97="D",1,0)+IF(DQ97="D",1,0)+IF(DW97="D",1,0)+IF(DZ97="D",1,0)+IF(EH97="D",1,0)</f>
        <v>0</v>
      </c>
      <c r="AY97" s="0" t="n">
        <f aca="false">COUNTIF(DU97:EH97, "&lt;&gt;")</f>
        <v>0</v>
      </c>
      <c r="AZ97" s="0" t="n">
        <f aca="false">IF(EH97&lt;&gt;"",1,0)</f>
        <v>0</v>
      </c>
      <c r="BB97" s="0" t="s">
        <v>152</v>
      </c>
      <c r="BL97" s="0" t="s">
        <v>153</v>
      </c>
    </row>
    <row r="98" customFormat="false" ht="13.8" hidden="true" customHeight="false" outlineLevel="0" collapsed="false">
      <c r="A98" s="0" t="s">
        <v>706</v>
      </c>
      <c r="B98" s="0" t="n">
        <v>78</v>
      </c>
      <c r="C98" s="0" t="n">
        <v>396167</v>
      </c>
      <c r="D98" s="0" t="s">
        <v>707</v>
      </c>
      <c r="E98" s="0" t="s">
        <v>708</v>
      </c>
      <c r="F98" s="0" t="str">
        <f aca="false">CONCATENATE(D98," ",LEFT(H98,4),"T=",AU98,"D=",AV98,"R=",AW98,"M=",AX98,"L=",AY98,"B=",AZ98)</f>
        <v>IVINSKAS T=7D=0R=0M=0L=0B=0</v>
      </c>
      <c r="G98" s="0" t="s">
        <v>255</v>
      </c>
      <c r="I98" s="0" t="s">
        <v>709</v>
      </c>
      <c r="J98" s="0" t="s">
        <v>364</v>
      </c>
      <c r="K98" s="0" t="s">
        <v>143</v>
      </c>
      <c r="M98" s="0" t="s">
        <v>705</v>
      </c>
      <c r="N98" s="0" t="str">
        <f aca="false">RIGHT(M98,LEN(M98)-FIND(" ",M98))</f>
        <v>BELLE ST SE</v>
      </c>
      <c r="P98" s="0" t="s">
        <v>145</v>
      </c>
      <c r="Q98" s="0" t="s">
        <v>146</v>
      </c>
      <c r="R98" s="0" t="n">
        <v>44484</v>
      </c>
      <c r="AD98" s="0" t="s">
        <v>147</v>
      </c>
      <c r="AE98" s="0" t="s">
        <v>148</v>
      </c>
      <c r="AF98" s="0" t="s">
        <v>149</v>
      </c>
      <c r="AH98" s="0" t="n">
        <v>14</v>
      </c>
      <c r="AI98" s="0" t="n">
        <v>11</v>
      </c>
      <c r="AN98" s="0" t="s">
        <v>145</v>
      </c>
      <c r="AO98" s="0" t="s">
        <v>150</v>
      </c>
      <c r="AP98" s="0" t="s">
        <v>151</v>
      </c>
      <c r="AQ98" s="0" t="n">
        <v>9</v>
      </c>
      <c r="AR98" s="0" t="n">
        <v>64</v>
      </c>
      <c r="AS98" s="0" t="n">
        <v>32</v>
      </c>
      <c r="AU98" s="0" t="n">
        <f aca="false">COUNTA($BA$1014:$EH$1014)</f>
        <v>7</v>
      </c>
      <c r="AV98" s="0" t="n">
        <f aca="false">COUNTIF($BA$1014:$EH$1014,"D")</f>
        <v>0</v>
      </c>
      <c r="AW98" s="0" t="n">
        <f aca="false">COUNTIF($BA$1014:$EH$1014,"R")</f>
        <v>0</v>
      </c>
      <c r="AX98" s="0" t="n">
        <f aca="false">IF(BN98="D",1,0)+IF(BO98="D",1,0)+IF(BT98="D",1,0)+IF(BU98="D",1,0)+IF(BW98="D",1,0)+IF(CC98="D",1,0)+IF(CD98="D",1,0)+IF(CE98="D",1,0)+IF(CF98="D",1,0)+IF(CL98="D",1,0)+IF(CM98="D",1,0)+IF(CQ98="D",1,0)+IF(CR98="D",1,0)+IF(CS98="D",1,0)+IF(CW98="D",1,0)+IF(CX98="D",1,0)+IF(DD98="D",1,0)+IF(DE98="D",1,0)+IF(DJ98="D",1,0)+IF(DK98="D",1,0)+IF(DO98="D",1,0)+IF(DP98="D",1,0)+IF(DQ98="D",1,0)+IF(DW98="D",1,0)+IF(DZ98="D",1,0)+IF(EH98="D",1,0)</f>
        <v>0</v>
      </c>
      <c r="AY98" s="0" t="n">
        <f aca="false">COUNTIF(DU98:EH98, "&lt;&gt;")</f>
        <v>0</v>
      </c>
      <c r="AZ98" s="0" t="n">
        <f aca="false">IF(EH98&lt;&gt;"",1,0)</f>
        <v>0</v>
      </c>
      <c r="BB98" s="0" t="s">
        <v>152</v>
      </c>
    </row>
    <row r="99" customFormat="false" ht="13.8" hidden="false" customHeight="false" outlineLevel="0" collapsed="false">
      <c r="A99" s="0" t="s">
        <v>710</v>
      </c>
      <c r="B99" s="0" t="n">
        <v>78</v>
      </c>
      <c r="C99" s="0" t="n">
        <v>319080</v>
      </c>
      <c r="D99" s="0" t="s">
        <v>711</v>
      </c>
      <c r="E99" s="0" t="s">
        <v>712</v>
      </c>
      <c r="F99" s="0" t="str">
        <f aca="false">CONCATENATE(D99," ",LEFT(H99,4),"T=",AU99,"D=",AV99,"R=",AW99,"M=",AX99,"L=",AY99,"B=",AZ99)</f>
        <v>FISHER T=20D=2R=0M=7L=5B=1</v>
      </c>
      <c r="G99" s="0" t="s">
        <v>713</v>
      </c>
      <c r="I99" s="0" t="s">
        <v>714</v>
      </c>
      <c r="J99" s="0" t="s">
        <v>715</v>
      </c>
      <c r="K99" s="0" t="s">
        <v>160</v>
      </c>
      <c r="L99" s="0" t="s">
        <v>175</v>
      </c>
      <c r="M99" s="0" t="s">
        <v>716</v>
      </c>
      <c r="N99" s="0" t="str">
        <f aca="false">RIGHT(M99,LEN(M99)-FIND(" ",M99))</f>
        <v>BELLE ST SE</v>
      </c>
      <c r="P99" s="0" t="s">
        <v>145</v>
      </c>
      <c r="Q99" s="0" t="s">
        <v>146</v>
      </c>
      <c r="R99" s="0" t="n">
        <v>44484</v>
      </c>
      <c r="AD99" s="0" t="s">
        <v>147</v>
      </c>
      <c r="AE99" s="0" t="s">
        <v>148</v>
      </c>
      <c r="AF99" s="0" t="s">
        <v>149</v>
      </c>
      <c r="AH99" s="0" t="n">
        <v>14</v>
      </c>
      <c r="AI99" s="0" t="n">
        <v>11</v>
      </c>
      <c r="AN99" s="0" t="s">
        <v>145</v>
      </c>
      <c r="AO99" s="0" t="s">
        <v>150</v>
      </c>
      <c r="AP99" s="0" t="s">
        <v>151</v>
      </c>
      <c r="AQ99" s="0" t="n">
        <v>9</v>
      </c>
      <c r="AR99" s="0" t="n">
        <v>64</v>
      </c>
      <c r="AS99" s="0" t="n">
        <v>32</v>
      </c>
      <c r="AU99" s="0" t="n">
        <f aca="false">COUNTA($BA$813:$EH$813)</f>
        <v>20</v>
      </c>
      <c r="AV99" s="0" t="n">
        <f aca="false">COUNTIF($BA$813:$EH$813,"D")</f>
        <v>2</v>
      </c>
      <c r="AW99" s="0" t="n">
        <f aca="false">COUNTIF($BA$813:$EH$813,"R")</f>
        <v>0</v>
      </c>
      <c r="AX99" s="0" t="n">
        <f aca="false">IF(BN99="D",1,0)+IF(BO99="D",1,0)+IF(BT99="D",1,0)+IF(BU99="D",1,0)+IF(BW99="D",1,0)+IF(CC99="D",1,0)+IF(CD99="D",1,0)+IF(CE99="D",1,0)+IF(CF99="D",1,0)+IF(CL99="D",1,0)+IF(CM99="D",1,0)+IF(CQ99="D",1,0)+IF(CR99="D",1,0)+IF(CS99="D",1,0)+IF(CW99="D",1,0)+IF(CX99="D",1,0)+IF(DD99="D",1,0)+IF(DE99="D",1,0)+IF(DJ99="D",1,0)+IF(DK99="D",1,0)+IF(DO99="D",1,0)+IF(DP99="D",1,0)+IF(DQ99="D",1,0)+IF(DW99="D",1,0)+IF(DZ99="D",1,0)+IF(EH99="D",1,0)</f>
        <v>7</v>
      </c>
      <c r="AY99" s="0" t="n">
        <f aca="false">COUNTIF(DU99:EH99, "&lt;&gt;")</f>
        <v>5</v>
      </c>
      <c r="AZ99" s="0" t="n">
        <f aca="false">IF(EH99&lt;&gt;"",1,0)</f>
        <v>1</v>
      </c>
      <c r="BB99" s="0" t="s">
        <v>152</v>
      </c>
      <c r="BK99" s="0" t="s">
        <v>153</v>
      </c>
      <c r="BL99" s="0" t="s">
        <v>153</v>
      </c>
      <c r="BP99" s="0" t="s">
        <v>153</v>
      </c>
      <c r="BT99" s="0" t="s">
        <v>153</v>
      </c>
      <c r="BV99" s="0" t="s">
        <v>153</v>
      </c>
      <c r="BY99" s="0" t="s">
        <v>175</v>
      </c>
      <c r="CA99" s="0" t="s">
        <v>153</v>
      </c>
      <c r="CC99" s="0" t="s">
        <v>175</v>
      </c>
      <c r="CG99" s="0" t="s">
        <v>153</v>
      </c>
      <c r="CH99" s="0" t="s">
        <v>175</v>
      </c>
      <c r="CK99" s="0" t="s">
        <v>153</v>
      </c>
      <c r="CL99" s="0" t="s">
        <v>175</v>
      </c>
      <c r="CN99" s="0" t="s">
        <v>153</v>
      </c>
      <c r="CP99" s="0" t="s">
        <v>153</v>
      </c>
      <c r="CW99" s="0" t="s">
        <v>175</v>
      </c>
      <c r="CY99" s="0" t="s">
        <v>153</v>
      </c>
      <c r="CZ99" s="0" t="s">
        <v>175</v>
      </c>
      <c r="DC99" s="0" t="s">
        <v>153</v>
      </c>
      <c r="DD99" s="0" t="s">
        <v>175</v>
      </c>
      <c r="DI99" s="0" t="s">
        <v>153</v>
      </c>
      <c r="DJ99" s="0" t="s">
        <v>175</v>
      </c>
      <c r="DL99" s="0" t="s">
        <v>153</v>
      </c>
      <c r="DN99" s="0" t="s">
        <v>153</v>
      </c>
      <c r="DR99" s="0" t="s">
        <v>153</v>
      </c>
      <c r="DS99" s="0" t="s">
        <v>175</v>
      </c>
      <c r="DU99" s="0" t="s">
        <v>153</v>
      </c>
      <c r="DW99" s="0" t="s">
        <v>175</v>
      </c>
      <c r="EA99" s="0" t="s">
        <v>153</v>
      </c>
      <c r="EF99" s="0" t="s">
        <v>153</v>
      </c>
      <c r="EH99" s="0" t="s">
        <v>175</v>
      </c>
    </row>
    <row r="100" customFormat="false" ht="13.8" hidden="true" customHeight="false" outlineLevel="0" collapsed="false">
      <c r="A100" s="0" t="s">
        <v>717</v>
      </c>
      <c r="B100" s="0" t="n">
        <v>78</v>
      </c>
      <c r="C100" s="0" t="n">
        <v>388178</v>
      </c>
      <c r="D100" s="0" t="s">
        <v>718</v>
      </c>
      <c r="E100" s="0" t="s">
        <v>719</v>
      </c>
      <c r="F100" s="0" t="str">
        <f aca="false">CONCATENATE(D100," ",LEFT(H100,4),"T=",AU100,"D=",AV100,"R=",AW100,"M=",AX100,"L=",AY100,"B=",AZ100)</f>
        <v>WHITE T=2D=0R=0M=0L=0B=0</v>
      </c>
      <c r="G100" s="0" t="s">
        <v>658</v>
      </c>
      <c r="I100" s="0" t="s">
        <v>720</v>
      </c>
      <c r="J100" s="0" t="s">
        <v>721</v>
      </c>
      <c r="K100" s="0" t="s">
        <v>160</v>
      </c>
      <c r="M100" s="0" t="s">
        <v>722</v>
      </c>
      <c r="N100" s="0" t="str">
        <f aca="false">RIGHT(M100,LEN(M100)-FIND(" ",M100))</f>
        <v>BELLE ST SE</v>
      </c>
      <c r="P100" s="0" t="s">
        <v>145</v>
      </c>
      <c r="Q100" s="0" t="s">
        <v>146</v>
      </c>
      <c r="R100" s="0" t="n">
        <v>44484</v>
      </c>
      <c r="AD100" s="0" t="s">
        <v>147</v>
      </c>
      <c r="AE100" s="0" t="s">
        <v>148</v>
      </c>
      <c r="AF100" s="0" t="s">
        <v>149</v>
      </c>
      <c r="AH100" s="0" t="n">
        <v>14</v>
      </c>
      <c r="AI100" s="0" t="n">
        <v>11</v>
      </c>
      <c r="AN100" s="0" t="s">
        <v>145</v>
      </c>
      <c r="AO100" s="0" t="s">
        <v>150</v>
      </c>
      <c r="AP100" s="0" t="s">
        <v>151</v>
      </c>
      <c r="AQ100" s="0" t="n">
        <v>9</v>
      </c>
      <c r="AR100" s="0" t="n">
        <v>64</v>
      </c>
      <c r="AS100" s="0" t="n">
        <v>32</v>
      </c>
      <c r="AU100" s="0" t="n">
        <f aca="false">COUNTA($BA$19:$EH$19)</f>
        <v>2</v>
      </c>
      <c r="AV100" s="0" t="n">
        <f aca="false">COUNTIF($BA$19:$EH$19,"D")</f>
        <v>0</v>
      </c>
      <c r="AW100" s="0" t="n">
        <f aca="false">COUNTIF($BA$19:$EH$19,"R")</f>
        <v>0</v>
      </c>
      <c r="AX100" s="0" t="n">
        <f aca="false">IF(BN100="D",1,0)+IF(BO100="D",1,0)+IF(BT100="D",1,0)+IF(BU100="D",1,0)+IF(BW100="D",1,0)+IF(CC100="D",1,0)+IF(CD100="D",1,0)+IF(CE100="D",1,0)+IF(CF100="D",1,0)+IF(CL100="D",1,0)+IF(CM100="D",1,0)+IF(CQ100="D",1,0)+IF(CR100="D",1,0)+IF(CS100="D",1,0)+IF(CW100="D",1,0)+IF(CX100="D",1,0)+IF(DD100="D",1,0)+IF(DE100="D",1,0)+IF(DJ100="D",1,0)+IF(DK100="D",1,0)+IF(DO100="D",1,0)+IF(DP100="D",1,0)+IF(DQ100="D",1,0)+IF(DW100="D",1,0)+IF(DZ100="D",1,0)+IF(EH100="D",1,0)</f>
        <v>0</v>
      </c>
      <c r="AY100" s="0" t="n">
        <f aca="false">COUNTIF(DU100:EH100, "&lt;&gt;")</f>
        <v>0</v>
      </c>
      <c r="AZ100" s="0" t="n">
        <f aca="false">IF(EH100&lt;&gt;"",1,0)</f>
        <v>0</v>
      </c>
      <c r="BB100" s="0" t="s">
        <v>152</v>
      </c>
      <c r="CP100" s="0" t="s">
        <v>153</v>
      </c>
    </row>
    <row r="101" customFormat="false" ht="13.8" hidden="true" customHeight="false" outlineLevel="0" collapsed="false">
      <c r="A101" s="0" t="s">
        <v>723</v>
      </c>
      <c r="B101" s="0" t="n">
        <v>78</v>
      </c>
      <c r="C101" s="0" t="n">
        <v>392814</v>
      </c>
      <c r="D101" s="0" t="s">
        <v>724</v>
      </c>
      <c r="E101" s="0" t="s">
        <v>725</v>
      </c>
      <c r="F101" s="0" t="str">
        <f aca="false">CONCATENATE(D101," ",LEFT(H101,4),"T=",AU101,"D=",AV101,"R=",AW101,"M=",AX101,"L=",AY101,"B=",AZ101)</f>
        <v>OLIVER T=23D=8R=0M=0L=0B=0</v>
      </c>
      <c r="G101" s="0" t="s">
        <v>175</v>
      </c>
      <c r="I101" s="0" t="s">
        <v>726</v>
      </c>
      <c r="J101" s="0" t="s">
        <v>727</v>
      </c>
      <c r="K101" s="0" t="s">
        <v>143</v>
      </c>
      <c r="M101" s="0" t="s">
        <v>722</v>
      </c>
      <c r="N101" s="0" t="str">
        <f aca="false">RIGHT(M101,LEN(M101)-FIND(" ",M101))</f>
        <v>BELLE ST SE</v>
      </c>
      <c r="P101" s="0" t="s">
        <v>145</v>
      </c>
      <c r="Q101" s="0" t="s">
        <v>146</v>
      </c>
      <c r="R101" s="0" t="n">
        <v>44484</v>
      </c>
      <c r="AD101" s="0" t="s">
        <v>147</v>
      </c>
      <c r="AE101" s="0" t="s">
        <v>148</v>
      </c>
      <c r="AF101" s="0" t="s">
        <v>149</v>
      </c>
      <c r="AH101" s="0" t="n">
        <v>14</v>
      </c>
      <c r="AI101" s="0" t="n">
        <v>11</v>
      </c>
      <c r="AN101" s="0" t="s">
        <v>145</v>
      </c>
      <c r="AO101" s="0" t="s">
        <v>150</v>
      </c>
      <c r="AP101" s="0" t="s">
        <v>151</v>
      </c>
      <c r="AQ101" s="0" t="n">
        <v>9</v>
      </c>
      <c r="AR101" s="0" t="n">
        <v>64</v>
      </c>
      <c r="AS101" s="0" t="n">
        <v>32</v>
      </c>
      <c r="AU101" s="0" t="n">
        <f aca="false">COUNTA($BA$819:$EH$819)</f>
        <v>23</v>
      </c>
      <c r="AV101" s="0" t="n">
        <f aca="false">COUNTIF($BA$819:$EH$819,"D")</f>
        <v>8</v>
      </c>
      <c r="AW101" s="0" t="n">
        <f aca="false">COUNTIF($BA$819:$EH$819,"R")</f>
        <v>0</v>
      </c>
      <c r="AX101" s="0" t="n">
        <f aca="false">IF(BN101="D",1,0)+IF(BO101="D",1,0)+IF(BT101="D",1,0)+IF(BU101="D",1,0)+IF(BW101="D",1,0)+IF(CC101="D",1,0)+IF(CD101="D",1,0)+IF(CE101="D",1,0)+IF(CF101="D",1,0)+IF(CL101="D",1,0)+IF(CM101="D",1,0)+IF(CQ101="D",1,0)+IF(CR101="D",1,0)+IF(CS101="D",1,0)+IF(CW101="D",1,0)+IF(CX101="D",1,0)+IF(DD101="D",1,0)+IF(DE101="D",1,0)+IF(DJ101="D",1,0)+IF(DK101="D",1,0)+IF(DO101="D",1,0)+IF(DP101="D",1,0)+IF(DQ101="D",1,0)+IF(DW101="D",1,0)+IF(DZ101="D",1,0)+IF(EH101="D",1,0)</f>
        <v>0</v>
      </c>
      <c r="AY101" s="0" t="n">
        <f aca="false">COUNTIF(DU101:EH101, "&lt;&gt;")</f>
        <v>0</v>
      </c>
      <c r="AZ101" s="0" t="n">
        <f aca="false">IF(EH101&lt;&gt;"",1,0)</f>
        <v>0</v>
      </c>
      <c r="BB101" s="0" t="s">
        <v>152</v>
      </c>
      <c r="CP101" s="0" t="s">
        <v>153</v>
      </c>
      <c r="DC101" s="0" t="s">
        <v>153</v>
      </c>
    </row>
    <row r="102" customFormat="false" ht="13.8" hidden="true" customHeight="false" outlineLevel="0" collapsed="false">
      <c r="A102" s="0" t="s">
        <v>728</v>
      </c>
      <c r="B102" s="0" t="n">
        <v>78</v>
      </c>
      <c r="C102" s="0" t="n">
        <v>496068</v>
      </c>
      <c r="D102" s="0" t="s">
        <v>177</v>
      </c>
      <c r="E102" s="0" t="s">
        <v>729</v>
      </c>
      <c r="F102" s="0" t="str">
        <f aca="false">CONCATENATE(D102," ",LEFT(H102,4),"T=",AU102,"D=",AV102,"R=",AW102,"M=",AX102,"L=",AY102,"B=",AZ102)</f>
        <v>HELLER T=19D=3R=0M=0L=0B=0</v>
      </c>
      <c r="G102" s="0" t="s">
        <v>730</v>
      </c>
      <c r="I102" s="0" t="s">
        <v>731</v>
      </c>
      <c r="J102" s="0" t="s">
        <v>732</v>
      </c>
      <c r="K102" s="0" t="s">
        <v>160</v>
      </c>
      <c r="M102" s="0" t="s">
        <v>733</v>
      </c>
      <c r="N102" s="0" t="str">
        <f aca="false">RIGHT(M102,LEN(M102)-FIND(" ",M102))</f>
        <v>BELLE ST SE</v>
      </c>
      <c r="P102" s="0" t="s">
        <v>145</v>
      </c>
      <c r="Q102" s="0" t="s">
        <v>146</v>
      </c>
      <c r="R102" s="0" t="n">
        <v>44484</v>
      </c>
      <c r="AD102" s="0" t="s">
        <v>147</v>
      </c>
      <c r="AE102" s="0" t="s">
        <v>148</v>
      </c>
      <c r="AF102" s="0" t="s">
        <v>149</v>
      </c>
      <c r="AH102" s="0" t="n">
        <v>14</v>
      </c>
      <c r="AI102" s="0" t="n">
        <v>11</v>
      </c>
      <c r="AN102" s="0" t="s">
        <v>145</v>
      </c>
      <c r="AO102" s="0" t="s">
        <v>150</v>
      </c>
      <c r="AP102" s="0" t="s">
        <v>151</v>
      </c>
      <c r="AQ102" s="0" t="n">
        <v>9</v>
      </c>
      <c r="AR102" s="0" t="n">
        <v>64</v>
      </c>
      <c r="AS102" s="0" t="n">
        <v>32</v>
      </c>
      <c r="AU102" s="0" t="n">
        <f aca="false">COUNTA($BA$137:$EH$137)</f>
        <v>19</v>
      </c>
      <c r="AV102" s="0" t="n">
        <f aca="false">COUNTIF($BA$137:$EH$137,"D")</f>
        <v>3</v>
      </c>
      <c r="AW102" s="0" t="n">
        <f aca="false">COUNTIF($BA$137:$EH$137,"R")</f>
        <v>0</v>
      </c>
      <c r="AX102" s="0" t="n">
        <f aca="false">IF(BN102="D",1,0)+IF(BO102="D",1,0)+IF(BT102="D",1,0)+IF(BU102="D",1,0)+IF(BW102="D",1,0)+IF(CC102="D",1,0)+IF(CD102="D",1,0)+IF(CE102="D",1,0)+IF(CF102="D",1,0)+IF(CL102="D",1,0)+IF(CM102="D",1,0)+IF(CQ102="D",1,0)+IF(CR102="D",1,0)+IF(CS102="D",1,0)+IF(CW102="D",1,0)+IF(CX102="D",1,0)+IF(DD102="D",1,0)+IF(DE102="D",1,0)+IF(DJ102="D",1,0)+IF(DK102="D",1,0)+IF(DO102="D",1,0)+IF(DP102="D",1,0)+IF(DQ102="D",1,0)+IF(DW102="D",1,0)+IF(DZ102="D",1,0)+IF(EH102="D",1,0)</f>
        <v>0</v>
      </c>
      <c r="AY102" s="0" t="n">
        <f aca="false">COUNTIF(DU102:EH102, "&lt;&gt;")</f>
        <v>0</v>
      </c>
      <c r="AZ102" s="0" t="n">
        <f aca="false">IF(EH102&lt;&gt;"",1,0)</f>
        <v>0</v>
      </c>
      <c r="BB102" s="0" t="s">
        <v>152</v>
      </c>
    </row>
    <row r="103" customFormat="false" ht="13.8" hidden="false" customHeight="false" outlineLevel="0" collapsed="false">
      <c r="A103" s="0" t="s">
        <v>734</v>
      </c>
      <c r="B103" s="0" t="n">
        <v>78</v>
      </c>
      <c r="C103" s="0" t="n">
        <v>170131</v>
      </c>
      <c r="D103" s="0" t="s">
        <v>735</v>
      </c>
      <c r="E103" s="0" t="s">
        <v>736</v>
      </c>
      <c r="F103" s="0" t="str">
        <f aca="false">CONCATENATE(D103," ",LEFT(H103,4),"T=",AU103,"D=",AV103,"R=",AW103,"M=",AX103,"L=",AY103,"B=",AZ103)</f>
        <v>JETER T=19D=3R=0M=1L=5B=0</v>
      </c>
      <c r="G103" s="0" t="s">
        <v>307</v>
      </c>
      <c r="I103" s="0" t="s">
        <v>737</v>
      </c>
      <c r="J103" s="0" t="s">
        <v>738</v>
      </c>
      <c r="K103" s="0" t="s">
        <v>160</v>
      </c>
      <c r="L103" s="0" t="s">
        <v>175</v>
      </c>
      <c r="M103" s="0" t="s">
        <v>733</v>
      </c>
      <c r="N103" s="0" t="str">
        <f aca="false">RIGHT(M103,LEN(M103)-FIND(" ",M103))</f>
        <v>BELLE ST SE</v>
      </c>
      <c r="P103" s="0" t="s">
        <v>145</v>
      </c>
      <c r="Q103" s="0" t="s">
        <v>146</v>
      </c>
      <c r="R103" s="0" t="n">
        <v>44484</v>
      </c>
      <c r="AD103" s="0" t="s">
        <v>147</v>
      </c>
      <c r="AE103" s="0" t="s">
        <v>148</v>
      </c>
      <c r="AF103" s="0" t="s">
        <v>149</v>
      </c>
      <c r="AH103" s="0" t="n">
        <v>14</v>
      </c>
      <c r="AI103" s="0" t="n">
        <v>11</v>
      </c>
      <c r="AN103" s="0" t="s">
        <v>145</v>
      </c>
      <c r="AO103" s="0" t="s">
        <v>150</v>
      </c>
      <c r="AP103" s="0" t="s">
        <v>151</v>
      </c>
      <c r="AQ103" s="0" t="n">
        <v>9</v>
      </c>
      <c r="AR103" s="0" t="n">
        <v>64</v>
      </c>
      <c r="AS103" s="0" t="n">
        <v>32</v>
      </c>
      <c r="AU103" s="0" t="n">
        <f aca="false">COUNTA($BA$841:$EH$841)</f>
        <v>19</v>
      </c>
      <c r="AV103" s="0" t="n">
        <f aca="false">COUNTIF($BA$841:$EH$841,"D")</f>
        <v>3</v>
      </c>
      <c r="AW103" s="0" t="n">
        <f aca="false">COUNTIF($BA$841:$EH$841,"R")</f>
        <v>0</v>
      </c>
      <c r="AX103" s="0" t="n">
        <f aca="false">IF(BN103="D",1,0)+IF(BO103="D",1,0)+IF(BT103="D",1,0)+IF(BU103="D",1,0)+IF(BW103="D",1,0)+IF(CC103="D",1,0)+IF(CD103="D",1,0)+IF(CE103="D",1,0)+IF(CF103="D",1,0)+IF(CL103="D",1,0)+IF(CM103="D",1,0)+IF(CQ103="D",1,0)+IF(CR103="D",1,0)+IF(CS103="D",1,0)+IF(CW103="D",1,0)+IF(CX103="D",1,0)+IF(DD103="D",1,0)+IF(DE103="D",1,0)+IF(DJ103="D",1,0)+IF(DK103="D",1,0)+IF(DO103="D",1,0)+IF(DP103="D",1,0)+IF(DQ103="D",1,0)+IF(DW103="D",1,0)+IF(DZ103="D",1,0)+IF(EH103="D",1,0)</f>
        <v>1</v>
      </c>
      <c r="AY103" s="0" t="n">
        <f aca="false">COUNTIF(DU103:EH103, "&lt;&gt;")</f>
        <v>5</v>
      </c>
      <c r="AZ103" s="0" t="n">
        <f aca="false">IF(EH103&lt;&gt;"",1,0)</f>
        <v>0</v>
      </c>
      <c r="BB103" s="0" t="s">
        <v>152</v>
      </c>
      <c r="BC103" s="0" t="s">
        <v>153</v>
      </c>
      <c r="BD103" s="0" t="s">
        <v>153</v>
      </c>
      <c r="BE103" s="0" t="s">
        <v>153</v>
      </c>
      <c r="BF103" s="0" t="s">
        <v>153</v>
      </c>
      <c r="BG103" s="0" t="s">
        <v>153</v>
      </c>
      <c r="BH103" s="0" t="s">
        <v>153</v>
      </c>
      <c r="BI103" s="0" t="s">
        <v>153</v>
      </c>
      <c r="BJ103" s="0" t="s">
        <v>153</v>
      </c>
      <c r="BK103" s="0" t="s">
        <v>153</v>
      </c>
      <c r="BL103" s="0" t="s">
        <v>153</v>
      </c>
      <c r="BS103" s="0" t="s">
        <v>153</v>
      </c>
      <c r="BY103" s="0" t="s">
        <v>175</v>
      </c>
      <c r="CA103" s="0" t="s">
        <v>153</v>
      </c>
      <c r="CG103" s="0" t="s">
        <v>153</v>
      </c>
      <c r="CK103" s="0" t="s">
        <v>153</v>
      </c>
      <c r="CL103" s="0" t="s">
        <v>175</v>
      </c>
      <c r="CN103" s="0" t="s">
        <v>153</v>
      </c>
      <c r="CO103" s="0" t="s">
        <v>175</v>
      </c>
      <c r="CP103" s="0" t="s">
        <v>153</v>
      </c>
      <c r="CV103" s="0" t="s">
        <v>153</v>
      </c>
      <c r="CY103" s="0" t="s">
        <v>153</v>
      </c>
      <c r="CZ103" s="0" t="s">
        <v>175</v>
      </c>
      <c r="DC103" s="0" t="s">
        <v>153</v>
      </c>
      <c r="DI103" s="0" t="s">
        <v>153</v>
      </c>
      <c r="DN103" s="0" t="s">
        <v>153</v>
      </c>
      <c r="DU103" s="0" t="s">
        <v>153</v>
      </c>
      <c r="DX103" s="0" t="s">
        <v>153</v>
      </c>
      <c r="EA103" s="0" t="s">
        <v>153</v>
      </c>
      <c r="ED103" s="0" t="s">
        <v>175</v>
      </c>
      <c r="EF103" s="0" t="s">
        <v>153</v>
      </c>
    </row>
    <row r="104" customFormat="false" ht="13.8" hidden="true" customHeight="false" outlineLevel="0" collapsed="false">
      <c r="A104" s="0" t="s">
        <v>739</v>
      </c>
      <c r="B104" s="0" t="n">
        <v>78</v>
      </c>
      <c r="C104" s="0" t="n">
        <v>403606</v>
      </c>
      <c r="D104" s="0" t="s">
        <v>740</v>
      </c>
      <c r="E104" s="0" t="s">
        <v>741</v>
      </c>
      <c r="F104" s="0" t="str">
        <f aca="false">CONCATENATE(D104," ",LEFT(H104,4),"T=",AU104,"D=",AV104,"R=",AW104,"M=",AX104,"L=",AY104,"B=",AZ104)</f>
        <v>PATTERSON T=46D=15R=0M=0L=0B=0</v>
      </c>
      <c r="G104" s="0" t="s">
        <v>742</v>
      </c>
      <c r="I104" s="0" t="s">
        <v>743</v>
      </c>
      <c r="J104" s="0" t="s">
        <v>744</v>
      </c>
      <c r="K104" s="0" t="s">
        <v>160</v>
      </c>
      <c r="M104" s="0" t="s">
        <v>733</v>
      </c>
      <c r="N104" s="0" t="str">
        <f aca="false">RIGHT(M104,LEN(M104)-FIND(" ",M104))</f>
        <v>BELLE ST SE</v>
      </c>
      <c r="P104" s="0" t="s">
        <v>145</v>
      </c>
      <c r="Q104" s="0" t="s">
        <v>146</v>
      </c>
      <c r="R104" s="0" t="n">
        <v>44484</v>
      </c>
      <c r="AD104" s="0" t="s">
        <v>147</v>
      </c>
      <c r="AE104" s="0" t="s">
        <v>148</v>
      </c>
      <c r="AF104" s="0" t="s">
        <v>149</v>
      </c>
      <c r="AH104" s="0" t="n">
        <v>14</v>
      </c>
      <c r="AI104" s="0" t="n">
        <v>11</v>
      </c>
      <c r="AN104" s="0" t="s">
        <v>145</v>
      </c>
      <c r="AO104" s="0" t="s">
        <v>150</v>
      </c>
      <c r="AP104" s="0" t="s">
        <v>151</v>
      </c>
      <c r="AQ104" s="0" t="n">
        <v>9</v>
      </c>
      <c r="AR104" s="0" t="n">
        <v>64</v>
      </c>
      <c r="AS104" s="0" t="n">
        <v>32</v>
      </c>
      <c r="AU104" s="0" t="n">
        <f aca="false">COUNTA($BA$983:$EH$983)</f>
        <v>46</v>
      </c>
      <c r="AV104" s="0" t="n">
        <f aca="false">COUNTIF($BA$983:$EH$983,"D")</f>
        <v>15</v>
      </c>
      <c r="AW104" s="0" t="n">
        <f aca="false">COUNTIF($BA$983:$EH$983,"R")</f>
        <v>0</v>
      </c>
      <c r="AX104" s="0" t="n">
        <f aca="false">IF(BN104="D",1,0)+IF(BO104="D",1,0)+IF(BT104="D",1,0)+IF(BU104="D",1,0)+IF(BW104="D",1,0)+IF(CC104="D",1,0)+IF(CD104="D",1,0)+IF(CE104="D",1,0)+IF(CF104="D",1,0)+IF(CL104="D",1,0)+IF(CM104="D",1,0)+IF(CQ104="D",1,0)+IF(CR104="D",1,0)+IF(CS104="D",1,0)+IF(CW104="D",1,0)+IF(CX104="D",1,0)+IF(DD104="D",1,0)+IF(DE104="D",1,0)+IF(DJ104="D",1,0)+IF(DK104="D",1,0)+IF(DO104="D",1,0)+IF(DP104="D",1,0)+IF(DQ104="D",1,0)+IF(DW104="D",1,0)+IF(DZ104="D",1,0)+IF(EH104="D",1,0)</f>
        <v>0</v>
      </c>
      <c r="AY104" s="0" t="n">
        <f aca="false">COUNTIF(DU104:EH104, "&lt;&gt;")</f>
        <v>0</v>
      </c>
      <c r="AZ104" s="0" t="n">
        <f aca="false">IF(EH104&lt;&gt;"",1,0)</f>
        <v>0</v>
      </c>
      <c r="BB104" s="0" t="s">
        <v>152</v>
      </c>
      <c r="CY104" s="0" t="s">
        <v>153</v>
      </c>
      <c r="DN104" s="0" t="s">
        <v>153</v>
      </c>
    </row>
    <row r="105" customFormat="false" ht="13.8" hidden="false" customHeight="false" outlineLevel="0" collapsed="false">
      <c r="A105" s="0" t="s">
        <v>745</v>
      </c>
      <c r="B105" s="0" t="n">
        <v>78</v>
      </c>
      <c r="C105" s="0" t="n">
        <v>322376</v>
      </c>
      <c r="D105" s="0" t="s">
        <v>746</v>
      </c>
      <c r="E105" s="0" t="s">
        <v>747</v>
      </c>
      <c r="F105" s="0" t="str">
        <f aca="false">CONCATENATE(D105," ",LEFT(H105,4),"T=",AU105,"D=",AV105,"R=",AW105,"M=",AX105,"L=",AY105,"B=",AZ105)</f>
        <v>SANDERS T=1D=0R=0M=0L=2B=0</v>
      </c>
      <c r="G105" s="0" t="s">
        <v>164</v>
      </c>
      <c r="I105" s="0" t="s">
        <v>748</v>
      </c>
      <c r="J105" s="0" t="s">
        <v>749</v>
      </c>
      <c r="K105" s="0" t="s">
        <v>160</v>
      </c>
      <c r="M105" s="0" t="s">
        <v>750</v>
      </c>
      <c r="N105" s="0" t="str">
        <f aca="false">RIGHT(M105,LEN(M105)-FIND(" ",M105))</f>
        <v>BELLE ST SE</v>
      </c>
      <c r="P105" s="0" t="s">
        <v>145</v>
      </c>
      <c r="Q105" s="0" t="s">
        <v>146</v>
      </c>
      <c r="R105" s="0" t="n">
        <v>44484</v>
      </c>
      <c r="AD105" s="0" t="s">
        <v>147</v>
      </c>
      <c r="AE105" s="0" t="s">
        <v>148</v>
      </c>
      <c r="AF105" s="0" t="s">
        <v>149</v>
      </c>
      <c r="AH105" s="0" t="n">
        <v>14</v>
      </c>
      <c r="AI105" s="0" t="n">
        <v>11</v>
      </c>
      <c r="AN105" s="0" t="s">
        <v>145</v>
      </c>
      <c r="AO105" s="0" t="s">
        <v>150</v>
      </c>
      <c r="AP105" s="0" t="s">
        <v>151</v>
      </c>
      <c r="AQ105" s="0" t="n">
        <v>9</v>
      </c>
      <c r="AR105" s="0" t="n">
        <v>64</v>
      </c>
      <c r="AS105" s="0" t="n">
        <v>32</v>
      </c>
      <c r="AU105" s="0" t="n">
        <f aca="false">COUNTA($BA$226:$EH$226)</f>
        <v>1</v>
      </c>
      <c r="AV105" s="0" t="n">
        <f aca="false">COUNTIF($BA$226:$EH$226,"D")</f>
        <v>0</v>
      </c>
      <c r="AW105" s="0" t="n">
        <f aca="false">COUNTIF($BA$226:$EH$226,"R")</f>
        <v>0</v>
      </c>
      <c r="AX105" s="0" t="n">
        <f aca="false">IF(BN105="D",1,0)+IF(BO105="D",1,0)+IF(BT105="D",1,0)+IF(BU105="D",1,0)+IF(BW105="D",1,0)+IF(CC105="D",1,0)+IF(CD105="D",1,0)+IF(CE105="D",1,0)+IF(CF105="D",1,0)+IF(CL105="D",1,0)+IF(CM105="D",1,0)+IF(CQ105="D",1,0)+IF(CR105="D",1,0)+IF(CS105="D",1,0)+IF(CW105="D",1,0)+IF(CX105="D",1,0)+IF(DD105="D",1,0)+IF(DE105="D",1,0)+IF(DJ105="D",1,0)+IF(DK105="D",1,0)+IF(DO105="D",1,0)+IF(DP105="D",1,0)+IF(DQ105="D",1,0)+IF(DW105="D",1,0)+IF(DZ105="D",1,0)+IF(EH105="D",1,0)</f>
        <v>0</v>
      </c>
      <c r="AY105" s="0" t="n">
        <f aca="false">COUNTIF(DU105:EH105, "&lt;&gt;")</f>
        <v>2</v>
      </c>
      <c r="AZ105" s="0" t="n">
        <f aca="false">IF(EH105&lt;&gt;"",1,0)</f>
        <v>0</v>
      </c>
      <c r="BB105" s="0" t="s">
        <v>152</v>
      </c>
      <c r="BL105" s="0" t="s">
        <v>153</v>
      </c>
      <c r="CA105" s="0" t="s">
        <v>153</v>
      </c>
      <c r="CK105" s="0" t="s">
        <v>153</v>
      </c>
      <c r="CP105" s="0" t="s">
        <v>153</v>
      </c>
      <c r="CY105" s="0" t="s">
        <v>153</v>
      </c>
      <c r="CZ105" s="0" t="s">
        <v>175</v>
      </c>
      <c r="DC105" s="0" t="s">
        <v>153</v>
      </c>
      <c r="DI105" s="0" t="s">
        <v>153</v>
      </c>
      <c r="DN105" s="0" t="s">
        <v>153</v>
      </c>
      <c r="EA105" s="0" t="s">
        <v>153</v>
      </c>
      <c r="EF105" s="0" t="s">
        <v>153</v>
      </c>
    </row>
    <row r="106" customFormat="false" ht="13.8" hidden="true" customHeight="false" outlineLevel="0" collapsed="false">
      <c r="A106" s="0" t="s">
        <v>751</v>
      </c>
      <c r="B106" s="0" t="n">
        <v>78</v>
      </c>
      <c r="C106" s="0" t="n">
        <v>457297</v>
      </c>
      <c r="D106" s="0" t="s">
        <v>746</v>
      </c>
      <c r="E106" s="0" t="s">
        <v>752</v>
      </c>
      <c r="F106" s="0" t="str">
        <f aca="false">CONCATENATE(D106," ",LEFT(H106,4),"T=",AU106,"D=",AV106,"R=",AW106,"M=",AX106,"L=",AY106,"B=",AZ106)</f>
        <v>SANDERS T=1D=0R=0M=0L=0B=0</v>
      </c>
      <c r="G106" s="0" t="s">
        <v>202</v>
      </c>
      <c r="I106" s="0" t="s">
        <v>753</v>
      </c>
      <c r="J106" s="0" t="s">
        <v>754</v>
      </c>
      <c r="K106" s="0" t="s">
        <v>160</v>
      </c>
      <c r="M106" s="0" t="s">
        <v>750</v>
      </c>
      <c r="N106" s="0" t="str">
        <f aca="false">RIGHT(M106,LEN(M106)-FIND(" ",M106))</f>
        <v>BELLE ST SE</v>
      </c>
      <c r="P106" s="0" t="s">
        <v>145</v>
      </c>
      <c r="Q106" s="0" t="s">
        <v>146</v>
      </c>
      <c r="R106" s="0" t="n">
        <v>44484</v>
      </c>
      <c r="AD106" s="0" t="s">
        <v>147</v>
      </c>
      <c r="AE106" s="0" t="s">
        <v>148</v>
      </c>
      <c r="AF106" s="0" t="s">
        <v>149</v>
      </c>
      <c r="AH106" s="0" t="n">
        <v>14</v>
      </c>
      <c r="AI106" s="0" t="n">
        <v>11</v>
      </c>
      <c r="AN106" s="0" t="s">
        <v>145</v>
      </c>
      <c r="AO106" s="0" t="s">
        <v>150</v>
      </c>
      <c r="AP106" s="0" t="s">
        <v>151</v>
      </c>
      <c r="AQ106" s="0" t="n">
        <v>9</v>
      </c>
      <c r="AR106" s="0" t="n">
        <v>64</v>
      </c>
      <c r="AS106" s="0" t="n">
        <v>32</v>
      </c>
      <c r="AU106" s="0" t="n">
        <f aca="false">COUNTA($BA$283:$EH$283)</f>
        <v>1</v>
      </c>
      <c r="AV106" s="0" t="n">
        <f aca="false">COUNTIF($BA$283:$EH$283,"D")</f>
        <v>0</v>
      </c>
      <c r="AW106" s="0" t="n">
        <f aca="false">COUNTIF($BA$283:$EH$283,"R")</f>
        <v>0</v>
      </c>
      <c r="AX106" s="0" t="n">
        <f aca="false">IF(BN106="D",1,0)+IF(BO106="D",1,0)+IF(BT106="D",1,0)+IF(BU106="D",1,0)+IF(BW106="D",1,0)+IF(CC106="D",1,0)+IF(CD106="D",1,0)+IF(CE106="D",1,0)+IF(CF106="D",1,0)+IF(CL106="D",1,0)+IF(CM106="D",1,0)+IF(CQ106="D",1,0)+IF(CR106="D",1,0)+IF(CS106="D",1,0)+IF(CW106="D",1,0)+IF(CX106="D",1,0)+IF(DD106="D",1,0)+IF(DE106="D",1,0)+IF(DJ106="D",1,0)+IF(DK106="D",1,0)+IF(DO106="D",1,0)+IF(DP106="D",1,0)+IF(DQ106="D",1,0)+IF(DW106="D",1,0)+IF(DZ106="D",1,0)+IF(EH106="D",1,0)</f>
        <v>0</v>
      </c>
      <c r="AY106" s="0" t="n">
        <f aca="false">COUNTIF(DU106:EH106, "&lt;&gt;")</f>
        <v>0</v>
      </c>
      <c r="AZ106" s="0" t="n">
        <f aca="false">IF(EH106&lt;&gt;"",1,0)</f>
        <v>0</v>
      </c>
      <c r="BB106" s="0" t="s">
        <v>152</v>
      </c>
    </row>
    <row r="107" customFormat="false" ht="13.8" hidden="true" customHeight="false" outlineLevel="0" collapsed="false">
      <c r="A107" s="0" t="s">
        <v>755</v>
      </c>
      <c r="B107" s="0" t="n">
        <v>78</v>
      </c>
      <c r="C107" s="0" t="n">
        <v>434365</v>
      </c>
      <c r="D107" s="0" t="s">
        <v>746</v>
      </c>
      <c r="E107" s="0" t="s">
        <v>756</v>
      </c>
      <c r="F107" s="0" t="str">
        <f aca="false">CONCATENATE(D107," ",LEFT(H107,4),"T=",AU107,"D=",AV107,"R=",AW107,"M=",AX107,"L=",AY107,"B=",AZ107)</f>
        <v>SANDERS T=1D=0R=0M=0L=1B=0</v>
      </c>
      <c r="I107" s="0" t="s">
        <v>757</v>
      </c>
      <c r="J107" s="0" t="s">
        <v>758</v>
      </c>
      <c r="K107" s="0" t="s">
        <v>160</v>
      </c>
      <c r="M107" s="0" t="s">
        <v>759</v>
      </c>
      <c r="N107" s="0" t="str">
        <f aca="false">RIGHT(M107,LEN(M107)-FIND(" ",M107))</f>
        <v>BELLE ST SE</v>
      </c>
      <c r="P107" s="0" t="s">
        <v>145</v>
      </c>
      <c r="Q107" s="0" t="s">
        <v>146</v>
      </c>
      <c r="R107" s="0" t="n">
        <v>44484</v>
      </c>
      <c r="AD107" s="0" t="s">
        <v>147</v>
      </c>
      <c r="AE107" s="0" t="s">
        <v>148</v>
      </c>
      <c r="AF107" s="0" t="s">
        <v>149</v>
      </c>
      <c r="AH107" s="0" t="n">
        <v>14</v>
      </c>
      <c r="AI107" s="0" t="n">
        <v>11</v>
      </c>
      <c r="AN107" s="0" t="s">
        <v>145</v>
      </c>
      <c r="AO107" s="0" t="s">
        <v>150</v>
      </c>
      <c r="AP107" s="0" t="s">
        <v>151</v>
      </c>
      <c r="AQ107" s="0" t="n">
        <v>9</v>
      </c>
      <c r="AR107" s="0" t="n">
        <v>64</v>
      </c>
      <c r="AS107" s="0" t="n">
        <v>32</v>
      </c>
      <c r="AU107" s="0" t="n">
        <f aca="false">COUNTA($BA$291:$EH$291)</f>
        <v>1</v>
      </c>
      <c r="AV107" s="0" t="n">
        <f aca="false">COUNTIF($BA$291:$EH$291,"D")</f>
        <v>0</v>
      </c>
      <c r="AW107" s="0" t="n">
        <f aca="false">COUNTIF($BA$291:$EH$291,"R")</f>
        <v>0</v>
      </c>
      <c r="AX107" s="0" t="n">
        <f aca="false">IF(BN107="D",1,0)+IF(BO107="D",1,0)+IF(BT107="D",1,0)+IF(BU107="D",1,0)+IF(BW107="D",1,0)+IF(CC107="D",1,0)+IF(CD107="D",1,0)+IF(CE107="D",1,0)+IF(CF107="D",1,0)+IF(CL107="D",1,0)+IF(CM107="D",1,0)+IF(CQ107="D",1,0)+IF(CR107="D",1,0)+IF(CS107="D",1,0)+IF(CW107="D",1,0)+IF(CX107="D",1,0)+IF(DD107="D",1,0)+IF(DE107="D",1,0)+IF(DJ107="D",1,0)+IF(DK107="D",1,0)+IF(DO107="D",1,0)+IF(DP107="D",1,0)+IF(DQ107="D",1,0)+IF(DW107="D",1,0)+IF(DZ107="D",1,0)+IF(EH107="D",1,0)</f>
        <v>0</v>
      </c>
      <c r="AY107" s="0" t="n">
        <f aca="false">COUNTIF(DU107:EH107, "&lt;&gt;")</f>
        <v>1</v>
      </c>
      <c r="AZ107" s="0" t="n">
        <f aca="false">IF(EH107&lt;&gt;"",1,0)</f>
        <v>0</v>
      </c>
      <c r="BB107" s="0" t="s">
        <v>152</v>
      </c>
      <c r="BL107" s="0" t="s">
        <v>153</v>
      </c>
      <c r="DI107" s="0" t="s">
        <v>153</v>
      </c>
      <c r="EF107" s="0" t="s">
        <v>153</v>
      </c>
    </row>
    <row r="108" customFormat="false" ht="13.8" hidden="true" customHeight="false" outlineLevel="0" collapsed="false">
      <c r="A108" s="0" t="s">
        <v>760</v>
      </c>
      <c r="B108" s="0" t="n">
        <v>78</v>
      </c>
      <c r="C108" s="0" t="n">
        <v>456428</v>
      </c>
      <c r="D108" s="0" t="s">
        <v>761</v>
      </c>
      <c r="E108" s="0" t="s">
        <v>762</v>
      </c>
      <c r="F108" s="0" t="str">
        <f aca="false">CONCATENATE(D108," ",LEFT(H108,4),"T=",AU108,"D=",AV108,"R=",AW108,"M=",AX108,"L=",AY108,"B=",AZ108)</f>
        <v>BROWN T=1D=0R=0M=0L=0B=0</v>
      </c>
      <c r="G108" s="0" t="s">
        <v>763</v>
      </c>
      <c r="I108" s="0" t="s">
        <v>764</v>
      </c>
      <c r="J108" s="0" t="s">
        <v>765</v>
      </c>
      <c r="K108" s="0" t="s">
        <v>143</v>
      </c>
      <c r="M108" s="0" t="s">
        <v>766</v>
      </c>
      <c r="N108" s="0" t="str">
        <f aca="false">RIGHT(M108,LEN(M108)-FIND(" ",M108))</f>
        <v>BELLE ST SE</v>
      </c>
      <c r="P108" s="0" t="s">
        <v>145</v>
      </c>
      <c r="Q108" s="0" t="s">
        <v>146</v>
      </c>
      <c r="R108" s="0" t="n">
        <v>44484</v>
      </c>
      <c r="AD108" s="0" t="s">
        <v>147</v>
      </c>
      <c r="AE108" s="0" t="s">
        <v>148</v>
      </c>
      <c r="AF108" s="0" t="s">
        <v>149</v>
      </c>
      <c r="AH108" s="0" t="n">
        <v>14</v>
      </c>
      <c r="AI108" s="0" t="n">
        <v>11</v>
      </c>
      <c r="AN108" s="0" t="s">
        <v>145</v>
      </c>
      <c r="AO108" s="0" t="s">
        <v>150</v>
      </c>
      <c r="AP108" s="0" t="s">
        <v>151</v>
      </c>
      <c r="AQ108" s="0" t="n">
        <v>9</v>
      </c>
      <c r="AR108" s="0" t="n">
        <v>64</v>
      </c>
      <c r="AS108" s="0" t="n">
        <v>32</v>
      </c>
      <c r="AU108" s="0" t="n">
        <f aca="false">COUNTA($BA$4:$EH$4)</f>
        <v>1</v>
      </c>
      <c r="AV108" s="0" t="n">
        <f aca="false">COUNTIF($BA$4:$EH$4,"D")</f>
        <v>0</v>
      </c>
      <c r="AW108" s="0" t="n">
        <f aca="false">COUNTIF($BA$4:$EH$4,"R")</f>
        <v>0</v>
      </c>
      <c r="AX108" s="0" t="n">
        <f aca="false">IF(BN108="D",1,0)+IF(BO108="D",1,0)+IF(BT108="D",1,0)+IF(BU108="D",1,0)+IF(BW108="D",1,0)+IF(CC108="D",1,0)+IF(CD108="D",1,0)+IF(CE108="D",1,0)+IF(CF108="D",1,0)+IF(CL108="D",1,0)+IF(CM108="D",1,0)+IF(CQ108="D",1,0)+IF(CR108="D",1,0)+IF(CS108="D",1,0)+IF(CW108="D",1,0)+IF(CX108="D",1,0)+IF(DD108="D",1,0)+IF(DE108="D",1,0)+IF(DJ108="D",1,0)+IF(DK108="D",1,0)+IF(DO108="D",1,0)+IF(DP108="D",1,0)+IF(DQ108="D",1,0)+IF(DW108="D",1,0)+IF(DZ108="D",1,0)+IF(EH108="D",1,0)</f>
        <v>0</v>
      </c>
      <c r="AY108" s="0" t="n">
        <f aca="false">COUNTIF(DU108:EH108, "&lt;&gt;")</f>
        <v>0</v>
      </c>
      <c r="AZ108" s="0" t="n">
        <f aca="false">IF(EH108&lt;&gt;"",1,0)</f>
        <v>0</v>
      </c>
      <c r="BB108" s="0" t="s">
        <v>152</v>
      </c>
    </row>
    <row r="109" customFormat="false" ht="13.8" hidden="true" customHeight="false" outlineLevel="0" collapsed="false">
      <c r="A109" s="0" t="s">
        <v>767</v>
      </c>
      <c r="B109" s="0" t="n">
        <v>78</v>
      </c>
      <c r="C109" s="0" t="n">
        <v>413426</v>
      </c>
      <c r="D109" s="0" t="s">
        <v>768</v>
      </c>
      <c r="E109" s="0" t="s">
        <v>769</v>
      </c>
      <c r="F109" s="0" t="str">
        <f aca="false">CONCATENATE(D109," ",LEFT(H109,4),"T=",AU109,"D=",AV109,"R=",AW109,"M=",AX109,"L=",AY109,"B=",AZ109)</f>
        <v>KRASKE T=10D=3R=0M=0L=0B=0</v>
      </c>
      <c r="G109" s="0" t="s">
        <v>770</v>
      </c>
      <c r="I109" s="0" t="s">
        <v>771</v>
      </c>
      <c r="J109" s="0" t="s">
        <v>772</v>
      </c>
      <c r="K109" s="0" t="s">
        <v>143</v>
      </c>
      <c r="M109" s="0" t="s">
        <v>766</v>
      </c>
      <c r="N109" s="0" t="str">
        <f aca="false">RIGHT(M109,LEN(M109)-FIND(" ",M109))</f>
        <v>BELLE ST SE</v>
      </c>
      <c r="P109" s="0" t="s">
        <v>145</v>
      </c>
      <c r="Q109" s="0" t="s">
        <v>146</v>
      </c>
      <c r="R109" s="0" t="n">
        <v>44484</v>
      </c>
      <c r="AD109" s="0" t="s">
        <v>147</v>
      </c>
      <c r="AE109" s="0" t="s">
        <v>148</v>
      </c>
      <c r="AF109" s="0" t="s">
        <v>149</v>
      </c>
      <c r="AH109" s="0" t="n">
        <v>14</v>
      </c>
      <c r="AI109" s="0" t="n">
        <v>11</v>
      </c>
      <c r="AN109" s="0" t="s">
        <v>145</v>
      </c>
      <c r="AO109" s="0" t="s">
        <v>150</v>
      </c>
      <c r="AP109" s="0" t="s">
        <v>151</v>
      </c>
      <c r="AQ109" s="0" t="n">
        <v>9</v>
      </c>
      <c r="AR109" s="0" t="n">
        <v>64</v>
      </c>
      <c r="AS109" s="0" t="n">
        <v>32</v>
      </c>
      <c r="AU109" s="0" t="n">
        <f aca="false">COUNTA($BA$313:$EH$313)</f>
        <v>10</v>
      </c>
      <c r="AV109" s="0" t="n">
        <f aca="false">COUNTIF($BA$313:$EH$313,"D")</f>
        <v>3</v>
      </c>
      <c r="AW109" s="0" t="n">
        <f aca="false">COUNTIF($BA$313:$EH$313,"R")</f>
        <v>0</v>
      </c>
      <c r="AX109" s="0" t="n">
        <f aca="false">IF(BN109="D",1,0)+IF(BO109="D",1,0)+IF(BT109="D",1,0)+IF(BU109="D",1,0)+IF(BW109="D",1,0)+IF(CC109="D",1,0)+IF(CD109="D",1,0)+IF(CE109="D",1,0)+IF(CF109="D",1,0)+IF(CL109="D",1,0)+IF(CM109="D",1,0)+IF(CQ109="D",1,0)+IF(CR109="D",1,0)+IF(CS109="D",1,0)+IF(CW109="D",1,0)+IF(CX109="D",1,0)+IF(DD109="D",1,0)+IF(DE109="D",1,0)+IF(DJ109="D",1,0)+IF(DK109="D",1,0)+IF(DO109="D",1,0)+IF(DP109="D",1,0)+IF(DQ109="D",1,0)+IF(DW109="D",1,0)+IF(DZ109="D",1,0)+IF(EH109="D",1,0)</f>
        <v>0</v>
      </c>
      <c r="AY109" s="0" t="n">
        <f aca="false">COUNTIF(DU109:EH109, "&lt;&gt;")</f>
        <v>0</v>
      </c>
      <c r="AZ109" s="0" t="n">
        <f aca="false">IF(EH109&lt;&gt;"",1,0)</f>
        <v>0</v>
      </c>
      <c r="BB109" s="0" t="s">
        <v>152</v>
      </c>
      <c r="DC109" s="0" t="s">
        <v>153</v>
      </c>
    </row>
    <row r="110" customFormat="false" ht="13.8" hidden="true" customHeight="false" outlineLevel="0" collapsed="false">
      <c r="A110" s="0" t="s">
        <v>773</v>
      </c>
      <c r="B110" s="0" t="n">
        <v>78</v>
      </c>
      <c r="C110" s="0" t="n">
        <v>409499</v>
      </c>
      <c r="D110" s="0" t="s">
        <v>774</v>
      </c>
      <c r="E110" s="0" t="s">
        <v>775</v>
      </c>
      <c r="F110" s="0" t="str">
        <f aca="false">CONCATENATE(D110," ",LEFT(H110,4),"T=",AU110,"D=",AV110,"R=",AW110,"M=",AX110,"L=",AY110,"B=",AZ110)</f>
        <v>HERR T=21D=4R=1M=0L=0B=0</v>
      </c>
      <c r="G110" s="0" t="s">
        <v>190</v>
      </c>
      <c r="I110" s="0" t="s">
        <v>776</v>
      </c>
      <c r="J110" s="0" t="s">
        <v>777</v>
      </c>
      <c r="K110" s="0" t="s">
        <v>143</v>
      </c>
      <c r="M110" s="0" t="s">
        <v>766</v>
      </c>
      <c r="N110" s="0" t="str">
        <f aca="false">RIGHT(M110,LEN(M110)-FIND(" ",M110))</f>
        <v>BELLE ST SE</v>
      </c>
      <c r="P110" s="0" t="s">
        <v>145</v>
      </c>
      <c r="Q110" s="0" t="s">
        <v>146</v>
      </c>
      <c r="R110" s="0" t="n">
        <v>44484</v>
      </c>
      <c r="AD110" s="0" t="s">
        <v>147</v>
      </c>
      <c r="AE110" s="0" t="s">
        <v>148</v>
      </c>
      <c r="AF110" s="0" t="s">
        <v>149</v>
      </c>
      <c r="AH110" s="0" t="n">
        <v>14</v>
      </c>
      <c r="AI110" s="0" t="n">
        <v>11</v>
      </c>
      <c r="AN110" s="0" t="s">
        <v>145</v>
      </c>
      <c r="AO110" s="0" t="s">
        <v>150</v>
      </c>
      <c r="AP110" s="0" t="s">
        <v>151</v>
      </c>
      <c r="AQ110" s="0" t="n">
        <v>9</v>
      </c>
      <c r="AR110" s="0" t="n">
        <v>64</v>
      </c>
      <c r="AS110" s="0" t="n">
        <v>32</v>
      </c>
      <c r="AU110" s="0" t="n">
        <f aca="false">COUNTA($BA$356:$EH$356)</f>
        <v>21</v>
      </c>
      <c r="AV110" s="0" t="n">
        <f aca="false">COUNTIF($BA$356:$EH$356,"D")</f>
        <v>4</v>
      </c>
      <c r="AW110" s="0" t="n">
        <f aca="false">COUNTIF($BA$356:$EH$356,"R")</f>
        <v>1</v>
      </c>
      <c r="AX110" s="0" t="n">
        <f aca="false">IF(BN110="D",1,0)+IF(BO110="D",1,0)+IF(BT110="D",1,0)+IF(BU110="D",1,0)+IF(BW110="D",1,0)+IF(CC110="D",1,0)+IF(CD110="D",1,0)+IF(CE110="D",1,0)+IF(CF110="D",1,0)+IF(CL110="D",1,0)+IF(CM110="D",1,0)+IF(CQ110="D",1,0)+IF(CR110="D",1,0)+IF(CS110="D",1,0)+IF(CW110="D",1,0)+IF(CX110="D",1,0)+IF(DD110="D",1,0)+IF(DE110="D",1,0)+IF(DJ110="D",1,0)+IF(DK110="D",1,0)+IF(DO110="D",1,0)+IF(DP110="D",1,0)+IF(DQ110="D",1,0)+IF(DW110="D",1,0)+IF(DZ110="D",1,0)+IF(EH110="D",1,0)</f>
        <v>0</v>
      </c>
      <c r="AY110" s="0" t="n">
        <f aca="false">COUNTIF(DU110:EH110, "&lt;&gt;")</f>
        <v>0</v>
      </c>
      <c r="AZ110" s="0" t="n">
        <f aca="false">IF(EH110&lt;&gt;"",1,0)</f>
        <v>0</v>
      </c>
      <c r="BB110" s="0" t="s">
        <v>152</v>
      </c>
      <c r="DC110" s="0" t="s">
        <v>153</v>
      </c>
    </row>
    <row r="111" customFormat="false" ht="13.8" hidden="true" customHeight="false" outlineLevel="0" collapsed="false">
      <c r="A111" s="0" t="s">
        <v>778</v>
      </c>
      <c r="B111" s="0" t="n">
        <v>78</v>
      </c>
      <c r="C111" s="0" t="n">
        <v>487253</v>
      </c>
      <c r="D111" s="0" t="s">
        <v>779</v>
      </c>
      <c r="E111" s="0" t="s">
        <v>780</v>
      </c>
      <c r="F111" s="0" t="str">
        <f aca="false">CONCATENATE(D111," ",LEFT(H111,4),"T=",AU111,"D=",AV111,"R=",AW111,"M=",AX111,"L=",AY111,"B=",AZ111)</f>
        <v>KEMP T=23D=2R=1M=0L=0B=0</v>
      </c>
      <c r="I111" s="0" t="s">
        <v>781</v>
      </c>
      <c r="J111" s="0" t="s">
        <v>782</v>
      </c>
      <c r="K111" s="0" t="s">
        <v>160</v>
      </c>
      <c r="M111" s="0" t="s">
        <v>766</v>
      </c>
      <c r="N111" s="0" t="str">
        <f aca="false">RIGHT(M111,LEN(M111)-FIND(" ",M111))</f>
        <v>BELLE ST SE</v>
      </c>
      <c r="P111" s="0" t="s">
        <v>145</v>
      </c>
      <c r="Q111" s="0" t="s">
        <v>146</v>
      </c>
      <c r="R111" s="0" t="n">
        <v>44484</v>
      </c>
      <c r="AD111" s="0" t="s">
        <v>147</v>
      </c>
      <c r="AE111" s="0" t="s">
        <v>148</v>
      </c>
      <c r="AF111" s="0" t="s">
        <v>149</v>
      </c>
      <c r="AH111" s="0" t="n">
        <v>14</v>
      </c>
      <c r="AI111" s="0" t="n">
        <v>11</v>
      </c>
      <c r="AN111" s="0" t="s">
        <v>145</v>
      </c>
      <c r="AO111" s="0" t="s">
        <v>150</v>
      </c>
      <c r="AP111" s="0" t="s">
        <v>151</v>
      </c>
      <c r="AQ111" s="0" t="n">
        <v>9</v>
      </c>
      <c r="AR111" s="0" t="n">
        <v>64</v>
      </c>
      <c r="AS111" s="0" t="n">
        <v>32</v>
      </c>
      <c r="AU111" s="0" t="n">
        <f aca="false">COUNTA($BA$705:$EH$705)</f>
        <v>23</v>
      </c>
      <c r="AV111" s="0" t="n">
        <f aca="false">COUNTIF($BA$705:$EH$705,"D")</f>
        <v>2</v>
      </c>
      <c r="AW111" s="0" t="n">
        <f aca="false">COUNTIF($BA$705:$EH$705,"R")</f>
        <v>1</v>
      </c>
      <c r="AX111" s="0" t="n">
        <f aca="false">IF(BN111="D",1,0)+IF(BO111="D",1,0)+IF(BT111="D",1,0)+IF(BU111="D",1,0)+IF(BW111="D",1,0)+IF(CC111="D",1,0)+IF(CD111="D",1,0)+IF(CE111="D",1,0)+IF(CF111="D",1,0)+IF(CL111="D",1,0)+IF(CM111="D",1,0)+IF(CQ111="D",1,0)+IF(CR111="D",1,0)+IF(CS111="D",1,0)+IF(CW111="D",1,0)+IF(CX111="D",1,0)+IF(DD111="D",1,0)+IF(DE111="D",1,0)+IF(DJ111="D",1,0)+IF(DK111="D",1,0)+IF(DO111="D",1,0)+IF(DP111="D",1,0)+IF(DQ111="D",1,0)+IF(DW111="D",1,0)+IF(DZ111="D",1,0)+IF(EH111="D",1,0)</f>
        <v>0</v>
      </c>
      <c r="AY111" s="0" t="n">
        <f aca="false">COUNTIF(DU111:EH111, "&lt;&gt;")</f>
        <v>0</v>
      </c>
      <c r="AZ111" s="0" t="n">
        <f aca="false">IF(EH111&lt;&gt;"",1,0)</f>
        <v>0</v>
      </c>
      <c r="BB111" s="0" t="s">
        <v>152</v>
      </c>
    </row>
    <row r="112" customFormat="false" ht="13.8" hidden="true" customHeight="false" outlineLevel="0" collapsed="false">
      <c r="A112" s="0" t="s">
        <v>783</v>
      </c>
      <c r="B112" s="0" t="n">
        <v>78</v>
      </c>
      <c r="C112" s="0" t="n">
        <v>406838</v>
      </c>
      <c r="D112" s="0" t="s">
        <v>784</v>
      </c>
      <c r="E112" s="0" t="s">
        <v>785</v>
      </c>
      <c r="F112" s="0" t="str">
        <f aca="false">CONCATENATE(D112," ",LEFT(H112,4),"T=",AU112,"D=",AV112,"R=",AW112,"M=",AX112,"L=",AY112,"B=",AZ112)</f>
        <v>BUTLER T=1D=0R=0M=0L=0B=0</v>
      </c>
      <c r="G112" s="0" t="s">
        <v>202</v>
      </c>
      <c r="I112" s="0" t="s">
        <v>786</v>
      </c>
      <c r="J112" s="0" t="s">
        <v>787</v>
      </c>
      <c r="K112" s="0" t="s">
        <v>160</v>
      </c>
      <c r="M112" s="0" t="s">
        <v>766</v>
      </c>
      <c r="N112" s="0" t="str">
        <f aca="false">RIGHT(M112,LEN(M112)-FIND(" ",M112))</f>
        <v>BELLE ST SE</v>
      </c>
      <c r="P112" s="0" t="s">
        <v>145</v>
      </c>
      <c r="Q112" s="0" t="s">
        <v>146</v>
      </c>
      <c r="R112" s="0" t="n">
        <v>44484</v>
      </c>
      <c r="AD112" s="0" t="s">
        <v>147</v>
      </c>
      <c r="AE112" s="0" t="s">
        <v>148</v>
      </c>
      <c r="AF112" s="0" t="s">
        <v>149</v>
      </c>
      <c r="AH112" s="0" t="n">
        <v>14</v>
      </c>
      <c r="AI112" s="0" t="n">
        <v>11</v>
      </c>
      <c r="AN112" s="0" t="s">
        <v>145</v>
      </c>
      <c r="AO112" s="0" t="s">
        <v>150</v>
      </c>
      <c r="AP112" s="0" t="s">
        <v>151</v>
      </c>
      <c r="AQ112" s="0" t="n">
        <v>9</v>
      </c>
      <c r="AR112" s="0" t="n">
        <v>64</v>
      </c>
      <c r="AS112" s="0" t="n">
        <v>32</v>
      </c>
      <c r="AU112" s="0" t="n">
        <f aca="false">COUNTA($BA$948:$EH$948)</f>
        <v>1</v>
      </c>
      <c r="AV112" s="0" t="n">
        <f aca="false">COUNTIF($BA$948:$EH$948,"D")</f>
        <v>0</v>
      </c>
      <c r="AW112" s="0" t="n">
        <f aca="false">COUNTIF($BA$948:$EH$948,"R")</f>
        <v>0</v>
      </c>
      <c r="AX112" s="0" t="n">
        <f aca="false">IF(BN112="D",1,0)+IF(BO112="D",1,0)+IF(BT112="D",1,0)+IF(BU112="D",1,0)+IF(BW112="D",1,0)+IF(CC112="D",1,0)+IF(CD112="D",1,0)+IF(CE112="D",1,0)+IF(CF112="D",1,0)+IF(CL112="D",1,0)+IF(CM112="D",1,0)+IF(CQ112="D",1,0)+IF(CR112="D",1,0)+IF(CS112="D",1,0)+IF(CW112="D",1,0)+IF(CX112="D",1,0)+IF(DD112="D",1,0)+IF(DE112="D",1,0)+IF(DJ112="D",1,0)+IF(DK112="D",1,0)+IF(DO112="D",1,0)+IF(DP112="D",1,0)+IF(DQ112="D",1,0)+IF(DW112="D",1,0)+IF(DZ112="D",1,0)+IF(EH112="D",1,0)</f>
        <v>0</v>
      </c>
      <c r="AY112" s="0" t="n">
        <f aca="false">COUNTIF(DU112:EH112, "&lt;&gt;")</f>
        <v>0</v>
      </c>
      <c r="AZ112" s="0" t="n">
        <f aca="false">IF(EH112&lt;&gt;"",1,0)</f>
        <v>0</v>
      </c>
      <c r="BB112" s="0" t="s">
        <v>152</v>
      </c>
    </row>
    <row r="113" customFormat="false" ht="13.8" hidden="true" customHeight="false" outlineLevel="0" collapsed="false">
      <c r="A113" s="0" t="s">
        <v>788</v>
      </c>
      <c r="B113" s="0" t="n">
        <v>78</v>
      </c>
      <c r="C113" s="0" t="n">
        <v>446444</v>
      </c>
      <c r="D113" s="0" t="s">
        <v>457</v>
      </c>
      <c r="E113" s="0" t="s">
        <v>789</v>
      </c>
      <c r="F113" s="0" t="str">
        <f aca="false">CONCATENATE(D113," ",LEFT(H113,4),"T=",AU113,"D=",AV113,"R=",AW113,"M=",AX113,"L=",AY113,"B=",AZ113)</f>
        <v>WRIGHT T=3D=0R=0M=0L=0B=0</v>
      </c>
      <c r="G113" s="0" t="s">
        <v>255</v>
      </c>
      <c r="I113" s="0" t="s">
        <v>790</v>
      </c>
      <c r="J113" s="0" t="s">
        <v>791</v>
      </c>
      <c r="K113" s="0" t="s">
        <v>160</v>
      </c>
      <c r="M113" s="0" t="s">
        <v>792</v>
      </c>
      <c r="N113" s="0" t="str">
        <f aca="false">RIGHT(M113,LEN(M113)-FIND(" ",M113))</f>
        <v>BELLE ST SE</v>
      </c>
      <c r="P113" s="0" t="s">
        <v>145</v>
      </c>
      <c r="Q113" s="0" t="s">
        <v>146</v>
      </c>
      <c r="R113" s="0" t="n">
        <v>44484</v>
      </c>
      <c r="AD113" s="0" t="s">
        <v>147</v>
      </c>
      <c r="AE113" s="0" t="s">
        <v>148</v>
      </c>
      <c r="AF113" s="0" t="s">
        <v>149</v>
      </c>
      <c r="AH113" s="0" t="n">
        <v>14</v>
      </c>
      <c r="AI113" s="0" t="n">
        <v>11</v>
      </c>
      <c r="AN113" s="0" t="s">
        <v>145</v>
      </c>
      <c r="AO113" s="0" t="s">
        <v>150</v>
      </c>
      <c r="AP113" s="0" t="s">
        <v>151</v>
      </c>
      <c r="AQ113" s="0" t="n">
        <v>9</v>
      </c>
      <c r="AR113" s="0" t="n">
        <v>64</v>
      </c>
      <c r="AS113" s="0" t="n">
        <v>32</v>
      </c>
      <c r="AU113" s="0" t="n">
        <f aca="false">COUNTA($BA$881:$EH$881)</f>
        <v>3</v>
      </c>
      <c r="AV113" s="0" t="n">
        <f aca="false">COUNTIF($BA$881:$EH$881,"D")</f>
        <v>0</v>
      </c>
      <c r="AW113" s="0" t="n">
        <f aca="false">COUNTIF($BA$881:$EH$881,"R")</f>
        <v>0</v>
      </c>
      <c r="AX113" s="0" t="n">
        <f aca="false">IF(BN113="D",1,0)+IF(BO113="D",1,0)+IF(BT113="D",1,0)+IF(BU113="D",1,0)+IF(BW113="D",1,0)+IF(CC113="D",1,0)+IF(CD113="D",1,0)+IF(CE113="D",1,0)+IF(CF113="D",1,0)+IF(CL113="D",1,0)+IF(CM113="D",1,0)+IF(CQ113="D",1,0)+IF(CR113="D",1,0)+IF(CS113="D",1,0)+IF(CW113="D",1,0)+IF(CX113="D",1,0)+IF(DD113="D",1,0)+IF(DE113="D",1,0)+IF(DJ113="D",1,0)+IF(DK113="D",1,0)+IF(DO113="D",1,0)+IF(DP113="D",1,0)+IF(DQ113="D",1,0)+IF(DW113="D",1,0)+IF(DZ113="D",1,0)+IF(EH113="D",1,0)</f>
        <v>0</v>
      </c>
      <c r="AY113" s="0" t="n">
        <f aca="false">COUNTIF(DU113:EH113, "&lt;&gt;")</f>
        <v>0</v>
      </c>
      <c r="AZ113" s="0" t="n">
        <f aca="false">IF(EH113&lt;&gt;"",1,0)</f>
        <v>0</v>
      </c>
      <c r="BB113" s="0" t="s">
        <v>152</v>
      </c>
    </row>
    <row r="114" customFormat="false" ht="13.8" hidden="true" customHeight="false" outlineLevel="0" collapsed="false">
      <c r="A114" s="0" t="s">
        <v>793</v>
      </c>
      <c r="B114" s="0" t="n">
        <v>78</v>
      </c>
      <c r="C114" s="0" t="n">
        <v>430112</v>
      </c>
      <c r="D114" s="0" t="s">
        <v>794</v>
      </c>
      <c r="E114" s="0" t="s">
        <v>795</v>
      </c>
      <c r="F114" s="0" t="str">
        <f aca="false">CONCATENATE(D114," ",LEFT(H114,4),"T=",AU114,"D=",AV114,"R=",AW114,"M=",AX114,"L=",AY114,"B=",AZ114)</f>
        <v>PEACO T=4D=0R=0M=0L=0B=0</v>
      </c>
      <c r="G114" s="0" t="s">
        <v>796</v>
      </c>
      <c r="I114" s="0" t="s">
        <v>797</v>
      </c>
      <c r="J114" s="0" t="s">
        <v>798</v>
      </c>
      <c r="K114" s="0" t="s">
        <v>160</v>
      </c>
      <c r="M114" s="0" t="s">
        <v>799</v>
      </c>
      <c r="N114" s="0" t="str">
        <f aca="false">RIGHT(M114,LEN(M114)-FIND(" ",M114))</f>
        <v>BELLE ST SE</v>
      </c>
      <c r="P114" s="0" t="s">
        <v>145</v>
      </c>
      <c r="Q114" s="0" t="s">
        <v>146</v>
      </c>
      <c r="R114" s="0" t="n">
        <v>44484</v>
      </c>
      <c r="AD114" s="0" t="s">
        <v>147</v>
      </c>
      <c r="AE114" s="0" t="s">
        <v>148</v>
      </c>
      <c r="AF114" s="0" t="s">
        <v>149</v>
      </c>
      <c r="AH114" s="0" t="n">
        <v>14</v>
      </c>
      <c r="AI114" s="0" t="n">
        <v>11</v>
      </c>
      <c r="AN114" s="0" t="s">
        <v>145</v>
      </c>
      <c r="AO114" s="0" t="s">
        <v>150</v>
      </c>
      <c r="AP114" s="0" t="s">
        <v>151</v>
      </c>
      <c r="AQ114" s="0" t="n">
        <v>9</v>
      </c>
      <c r="AR114" s="0" t="n">
        <v>64</v>
      </c>
      <c r="AS114" s="0" t="n">
        <v>32</v>
      </c>
      <c r="AU114" s="0" t="n">
        <f aca="false">COUNTA($BA$778:$EH$778)</f>
        <v>4</v>
      </c>
      <c r="AV114" s="0" t="n">
        <f aca="false">COUNTIF($BA$778:$EH$778,"D")</f>
        <v>0</v>
      </c>
      <c r="AW114" s="0" t="n">
        <f aca="false">COUNTIF($BA$778:$EH$778,"R")</f>
        <v>0</v>
      </c>
      <c r="AX114" s="0" t="n">
        <f aca="false">IF(BN114="D",1,0)+IF(BO114="D",1,0)+IF(BT114="D",1,0)+IF(BU114="D",1,0)+IF(BW114="D",1,0)+IF(CC114="D",1,0)+IF(CD114="D",1,0)+IF(CE114="D",1,0)+IF(CF114="D",1,0)+IF(CL114="D",1,0)+IF(CM114="D",1,0)+IF(CQ114="D",1,0)+IF(CR114="D",1,0)+IF(CS114="D",1,0)+IF(CW114="D",1,0)+IF(CX114="D",1,0)+IF(DD114="D",1,0)+IF(DE114="D",1,0)+IF(DJ114="D",1,0)+IF(DK114="D",1,0)+IF(DO114="D",1,0)+IF(DP114="D",1,0)+IF(DQ114="D",1,0)+IF(DW114="D",1,0)+IF(DZ114="D",1,0)+IF(EH114="D",1,0)</f>
        <v>0</v>
      </c>
      <c r="AY114" s="0" t="n">
        <f aca="false">COUNTIF(DU114:EH114, "&lt;&gt;")</f>
        <v>0</v>
      </c>
      <c r="AZ114" s="0" t="n">
        <f aca="false">IF(EH114&lt;&gt;"",1,0)</f>
        <v>0</v>
      </c>
      <c r="BB114" s="0" t="s">
        <v>152</v>
      </c>
    </row>
    <row r="115" customFormat="false" ht="13.8" hidden="true" customHeight="false" outlineLevel="0" collapsed="false">
      <c r="A115" s="0" t="s">
        <v>800</v>
      </c>
      <c r="B115" s="0" t="n">
        <v>78</v>
      </c>
      <c r="C115" s="0" t="n">
        <v>323547</v>
      </c>
      <c r="D115" s="0" t="s">
        <v>794</v>
      </c>
      <c r="E115" s="0" t="s">
        <v>801</v>
      </c>
      <c r="F115" s="0" t="str">
        <f aca="false">CONCATENATE(D115," ",LEFT(H115,4),"T=",AU115,"D=",AV115,"R=",AW115,"M=",AX115,"L=",AY115,"B=",AZ115)</f>
        <v>PEACO T=1D=0R=0M=0L=0B=0</v>
      </c>
      <c r="G115" s="0" t="s">
        <v>209</v>
      </c>
      <c r="I115" s="0" t="s">
        <v>802</v>
      </c>
      <c r="J115" s="0" t="s">
        <v>803</v>
      </c>
      <c r="K115" s="0" t="s">
        <v>160</v>
      </c>
      <c r="M115" s="0" t="s">
        <v>799</v>
      </c>
      <c r="N115" s="0" t="str">
        <f aca="false">RIGHT(M115,LEN(M115)-FIND(" ",M115))</f>
        <v>BELLE ST SE</v>
      </c>
      <c r="P115" s="0" t="s">
        <v>145</v>
      </c>
      <c r="Q115" s="0" t="s">
        <v>146</v>
      </c>
      <c r="R115" s="0" t="n">
        <v>44484</v>
      </c>
      <c r="AD115" s="0" t="s">
        <v>147</v>
      </c>
      <c r="AE115" s="0" t="s">
        <v>148</v>
      </c>
      <c r="AF115" s="0" t="s">
        <v>149</v>
      </c>
      <c r="AH115" s="0" t="n">
        <v>14</v>
      </c>
      <c r="AI115" s="0" t="n">
        <v>11</v>
      </c>
      <c r="AN115" s="0" t="s">
        <v>145</v>
      </c>
      <c r="AO115" s="0" t="s">
        <v>150</v>
      </c>
      <c r="AP115" s="0" t="s">
        <v>151</v>
      </c>
      <c r="AQ115" s="0" t="n">
        <v>9</v>
      </c>
      <c r="AR115" s="0" t="n">
        <v>64</v>
      </c>
      <c r="AS115" s="0" t="n">
        <v>32</v>
      </c>
      <c r="AU115" s="0" t="n">
        <f aca="false">COUNTA($BA$994:$EH$994)</f>
        <v>1</v>
      </c>
      <c r="AV115" s="0" t="n">
        <f aca="false">COUNTIF($BA$994:$EH$994,"D")</f>
        <v>0</v>
      </c>
      <c r="AW115" s="0" t="n">
        <f aca="false">COUNTIF($BA$994:$EH$994,"R")</f>
        <v>0</v>
      </c>
      <c r="AX115" s="0" t="n">
        <f aca="false">IF(BN115="D",1,0)+IF(BO115="D",1,0)+IF(BT115="D",1,0)+IF(BU115="D",1,0)+IF(BW115="D",1,0)+IF(CC115="D",1,0)+IF(CD115="D",1,0)+IF(CE115="D",1,0)+IF(CF115="D",1,0)+IF(CL115="D",1,0)+IF(CM115="D",1,0)+IF(CQ115="D",1,0)+IF(CR115="D",1,0)+IF(CS115="D",1,0)+IF(CW115="D",1,0)+IF(CX115="D",1,0)+IF(DD115="D",1,0)+IF(DE115="D",1,0)+IF(DJ115="D",1,0)+IF(DK115="D",1,0)+IF(DO115="D",1,0)+IF(DP115="D",1,0)+IF(DQ115="D",1,0)+IF(DW115="D",1,0)+IF(DZ115="D",1,0)+IF(EH115="D",1,0)</f>
        <v>0</v>
      </c>
      <c r="AY115" s="0" t="n">
        <f aca="false">COUNTIF(DU115:EH115, "&lt;&gt;")</f>
        <v>0</v>
      </c>
      <c r="AZ115" s="0" t="n">
        <f aca="false">IF(EH115&lt;&gt;"",1,0)</f>
        <v>0</v>
      </c>
      <c r="BB115" s="0" t="s">
        <v>152</v>
      </c>
      <c r="DN115" s="0" t="s">
        <v>153</v>
      </c>
    </row>
    <row r="116" customFormat="false" ht="13.8" hidden="true" customHeight="false" outlineLevel="0" collapsed="false">
      <c r="A116" s="0" t="s">
        <v>804</v>
      </c>
      <c r="B116" s="0" t="n">
        <v>78</v>
      </c>
      <c r="C116" s="0" t="n">
        <v>459718</v>
      </c>
      <c r="D116" s="0" t="s">
        <v>805</v>
      </c>
      <c r="E116" s="0" t="s">
        <v>806</v>
      </c>
      <c r="F116" s="0" t="str">
        <f aca="false">CONCATENATE(D116," ",LEFT(H116,4),"T=",AU116,"D=",AV116,"R=",AW116,"M=",AX116,"L=",AY116,"B=",AZ116)</f>
        <v>NYE T=7D=1R=0M=0L=0B=0</v>
      </c>
      <c r="G116" s="0" t="s">
        <v>807</v>
      </c>
      <c r="I116" s="0" t="s">
        <v>808</v>
      </c>
      <c r="J116" s="0" t="s">
        <v>809</v>
      </c>
      <c r="K116" s="0" t="s">
        <v>143</v>
      </c>
      <c r="M116" s="0" t="s">
        <v>810</v>
      </c>
      <c r="N116" s="0" t="str">
        <f aca="false">RIGHT(M116,LEN(M116)-FIND(" ",M116))</f>
        <v>BELLE ST SE</v>
      </c>
      <c r="P116" s="0" t="s">
        <v>145</v>
      </c>
      <c r="Q116" s="0" t="s">
        <v>146</v>
      </c>
      <c r="R116" s="0" t="n">
        <v>44484</v>
      </c>
      <c r="AD116" s="0" t="s">
        <v>147</v>
      </c>
      <c r="AE116" s="0" t="s">
        <v>148</v>
      </c>
      <c r="AF116" s="0" t="s">
        <v>149</v>
      </c>
      <c r="AH116" s="0" t="n">
        <v>14</v>
      </c>
      <c r="AI116" s="0" t="n">
        <v>11</v>
      </c>
      <c r="AN116" s="0" t="s">
        <v>145</v>
      </c>
      <c r="AO116" s="0" t="s">
        <v>150</v>
      </c>
      <c r="AP116" s="0" t="s">
        <v>151</v>
      </c>
      <c r="AQ116" s="0" t="n">
        <v>9</v>
      </c>
      <c r="AR116" s="0" t="n">
        <v>64</v>
      </c>
      <c r="AS116" s="0" t="n">
        <v>32</v>
      </c>
      <c r="AU116" s="0" t="n">
        <f aca="false">COUNTA($BA$383:$EH$383)</f>
        <v>7</v>
      </c>
      <c r="AV116" s="0" t="n">
        <f aca="false">COUNTIF($BA$383:$EH$383,"D")</f>
        <v>1</v>
      </c>
      <c r="AW116" s="0" t="n">
        <f aca="false">COUNTIF($BA$383:$EH$383,"R")</f>
        <v>0</v>
      </c>
      <c r="AX116" s="0" t="n">
        <f aca="false">IF(BN116="D",1,0)+IF(BO116="D",1,0)+IF(BT116="D",1,0)+IF(BU116="D",1,0)+IF(BW116="D",1,0)+IF(CC116="D",1,0)+IF(CD116="D",1,0)+IF(CE116="D",1,0)+IF(CF116="D",1,0)+IF(CL116="D",1,0)+IF(CM116="D",1,0)+IF(CQ116="D",1,0)+IF(CR116="D",1,0)+IF(CS116="D",1,0)+IF(CW116="D",1,0)+IF(CX116="D",1,0)+IF(DD116="D",1,0)+IF(DE116="D",1,0)+IF(DJ116="D",1,0)+IF(DK116="D",1,0)+IF(DO116="D",1,0)+IF(DP116="D",1,0)+IF(DQ116="D",1,0)+IF(DW116="D",1,0)+IF(DZ116="D",1,0)+IF(EH116="D",1,0)</f>
        <v>0</v>
      </c>
      <c r="AY116" s="0" t="n">
        <f aca="false">COUNTIF(DU116:EH116, "&lt;&gt;")</f>
        <v>0</v>
      </c>
      <c r="AZ116" s="0" t="n">
        <f aca="false">IF(EH116&lt;&gt;"",1,0)</f>
        <v>0</v>
      </c>
      <c r="BB116" s="0" t="s">
        <v>152</v>
      </c>
    </row>
    <row r="117" customFormat="false" ht="13.8" hidden="true" customHeight="false" outlineLevel="0" collapsed="false">
      <c r="A117" s="0" t="s">
        <v>811</v>
      </c>
      <c r="B117" s="0" t="n">
        <v>78</v>
      </c>
      <c r="C117" s="0" t="n">
        <v>431680</v>
      </c>
      <c r="D117" s="0" t="s">
        <v>812</v>
      </c>
      <c r="E117" s="0" t="s">
        <v>813</v>
      </c>
      <c r="F117" s="0" t="str">
        <f aca="false">CONCATENATE(D117," ",LEFT(H117,4),"T=",AU117,"D=",AV117,"R=",AW117,"M=",AX117,"L=",AY117,"B=",AZ117)</f>
        <v>LEVENDUSKI T=4D=1R=0M=0L=0B=0</v>
      </c>
      <c r="I117" s="0" t="s">
        <v>814</v>
      </c>
      <c r="J117" s="0" t="s">
        <v>815</v>
      </c>
      <c r="K117" s="0" t="s">
        <v>143</v>
      </c>
      <c r="M117" s="0" t="s">
        <v>810</v>
      </c>
      <c r="N117" s="0" t="str">
        <f aca="false">RIGHT(M117,LEN(M117)-FIND(" ",M117))</f>
        <v>BELLE ST SE</v>
      </c>
      <c r="P117" s="0" t="s">
        <v>145</v>
      </c>
      <c r="Q117" s="0" t="s">
        <v>146</v>
      </c>
      <c r="R117" s="0" t="n">
        <v>44484</v>
      </c>
      <c r="AD117" s="0" t="s">
        <v>147</v>
      </c>
      <c r="AE117" s="0" t="s">
        <v>148</v>
      </c>
      <c r="AF117" s="0" t="s">
        <v>149</v>
      </c>
      <c r="AH117" s="0" t="n">
        <v>14</v>
      </c>
      <c r="AI117" s="0" t="n">
        <v>11</v>
      </c>
      <c r="AN117" s="0" t="s">
        <v>145</v>
      </c>
      <c r="AO117" s="0" t="s">
        <v>150</v>
      </c>
      <c r="AP117" s="0" t="s">
        <v>151</v>
      </c>
      <c r="AQ117" s="0" t="n">
        <v>9</v>
      </c>
      <c r="AR117" s="0" t="n">
        <v>64</v>
      </c>
      <c r="AS117" s="0" t="n">
        <v>32</v>
      </c>
      <c r="AU117" s="0" t="n">
        <f aca="false">COUNTA($BA$761:$EH$761)</f>
        <v>4</v>
      </c>
      <c r="AV117" s="0" t="n">
        <f aca="false">COUNTIF($BA$761:$EH$761,"D")</f>
        <v>1</v>
      </c>
      <c r="AW117" s="0" t="n">
        <f aca="false">COUNTIF($BA$761:$EH$761,"R")</f>
        <v>0</v>
      </c>
      <c r="AX117" s="0" t="n">
        <f aca="false">IF(BN117="D",1,0)+IF(BO117="D",1,0)+IF(BT117="D",1,0)+IF(BU117="D",1,0)+IF(BW117="D",1,0)+IF(CC117="D",1,0)+IF(CD117="D",1,0)+IF(CE117="D",1,0)+IF(CF117="D",1,0)+IF(CL117="D",1,0)+IF(CM117="D",1,0)+IF(CQ117="D",1,0)+IF(CR117="D",1,0)+IF(CS117="D",1,0)+IF(CW117="D",1,0)+IF(CX117="D",1,0)+IF(DD117="D",1,0)+IF(DE117="D",1,0)+IF(DJ117="D",1,0)+IF(DK117="D",1,0)+IF(DO117="D",1,0)+IF(DP117="D",1,0)+IF(DQ117="D",1,0)+IF(DW117="D",1,0)+IF(DZ117="D",1,0)+IF(EH117="D",1,0)</f>
        <v>0</v>
      </c>
      <c r="AY117" s="0" t="n">
        <f aca="false">COUNTIF(DU117:EH117, "&lt;&gt;")</f>
        <v>0</v>
      </c>
      <c r="AZ117" s="0" t="n">
        <f aca="false">IF(EH117&lt;&gt;"",1,0)</f>
        <v>0</v>
      </c>
      <c r="BB117" s="0" t="s">
        <v>152</v>
      </c>
    </row>
    <row r="118" customFormat="false" ht="13.8" hidden="false" customHeight="false" outlineLevel="0" collapsed="false">
      <c r="A118" s="0" t="s">
        <v>816</v>
      </c>
      <c r="B118" s="0" t="n">
        <v>78</v>
      </c>
      <c r="C118" s="0" t="n">
        <v>9445</v>
      </c>
      <c r="D118" s="0" t="s">
        <v>817</v>
      </c>
      <c r="E118" s="0" t="s">
        <v>818</v>
      </c>
      <c r="F118" s="0" t="str">
        <f aca="false">CONCATENATE(D118," ",LEFT(H118,4),"T=",AU118,"D=",AV118,"R=",AW118,"M=",AX118,"L=",AY118,"B=",AZ118)</f>
        <v>RAIDA T=24D=3R=0M=3L=7B=1</v>
      </c>
      <c r="G118" s="0" t="s">
        <v>195</v>
      </c>
      <c r="I118" s="0" t="s">
        <v>819</v>
      </c>
      <c r="J118" s="0" t="s">
        <v>820</v>
      </c>
      <c r="K118" s="0" t="s">
        <v>160</v>
      </c>
      <c r="L118" s="0" t="s">
        <v>175</v>
      </c>
      <c r="M118" s="0" t="s">
        <v>821</v>
      </c>
      <c r="N118" s="0" t="str">
        <f aca="false">RIGHT(M118,LEN(M118)-FIND(" ",M118))</f>
        <v>BELLE ST SE</v>
      </c>
      <c r="P118" s="0" t="s">
        <v>145</v>
      </c>
      <c r="Q118" s="0" t="s">
        <v>146</v>
      </c>
      <c r="R118" s="0" t="n">
        <v>44484</v>
      </c>
      <c r="AD118" s="0" t="s">
        <v>147</v>
      </c>
      <c r="AE118" s="0" t="s">
        <v>148</v>
      </c>
      <c r="AF118" s="0" t="s">
        <v>149</v>
      </c>
      <c r="AH118" s="0" t="n">
        <v>14</v>
      </c>
      <c r="AI118" s="0" t="n">
        <v>11</v>
      </c>
      <c r="AN118" s="0" t="s">
        <v>145</v>
      </c>
      <c r="AO118" s="0" t="s">
        <v>150</v>
      </c>
      <c r="AP118" s="0" t="s">
        <v>151</v>
      </c>
      <c r="AQ118" s="0" t="n">
        <v>9</v>
      </c>
      <c r="AR118" s="0" t="n">
        <v>64</v>
      </c>
      <c r="AS118" s="0" t="n">
        <v>32</v>
      </c>
      <c r="AU118" s="0" t="n">
        <f aca="false">COUNTA($BA$846:$EH$846)</f>
        <v>24</v>
      </c>
      <c r="AV118" s="0" t="n">
        <f aca="false">COUNTIF($BA$846:$EH$846,"D")</f>
        <v>3</v>
      </c>
      <c r="AW118" s="0" t="n">
        <f aca="false">COUNTIF($BA$846:$EH$846,"R")</f>
        <v>0</v>
      </c>
      <c r="AX118" s="0" t="n">
        <f aca="false">IF(BN118="D",1,0)+IF(BO118="D",1,0)+IF(BT118="D",1,0)+IF(BU118="D",1,0)+IF(BW118="D",1,0)+IF(CC118="D",1,0)+IF(CD118="D",1,0)+IF(CE118="D",1,0)+IF(CF118="D",1,0)+IF(CL118="D",1,0)+IF(CM118="D",1,0)+IF(CQ118="D",1,0)+IF(CR118="D",1,0)+IF(CS118="D",1,0)+IF(CW118="D",1,0)+IF(CX118="D",1,0)+IF(DD118="D",1,0)+IF(DE118="D",1,0)+IF(DJ118="D",1,0)+IF(DK118="D",1,0)+IF(DO118="D",1,0)+IF(DP118="D",1,0)+IF(DQ118="D",1,0)+IF(DW118="D",1,0)+IF(DZ118="D",1,0)+IF(EH118="D",1,0)</f>
        <v>3</v>
      </c>
      <c r="AY118" s="0" t="n">
        <f aca="false">COUNTIF(DU118:EH118, "&lt;&gt;")</f>
        <v>7</v>
      </c>
      <c r="AZ118" s="0" t="n">
        <f aca="false">IF(EH118&lt;&gt;"",1,0)</f>
        <v>1</v>
      </c>
      <c r="BB118" s="0" t="s">
        <v>152</v>
      </c>
      <c r="BC118" s="0" t="s">
        <v>153</v>
      </c>
      <c r="BD118" s="0" t="s">
        <v>153</v>
      </c>
      <c r="BE118" s="0" t="s">
        <v>153</v>
      </c>
      <c r="BF118" s="0" t="s">
        <v>153</v>
      </c>
      <c r="BG118" s="0" t="s">
        <v>153</v>
      </c>
      <c r="BH118" s="0" t="s">
        <v>153</v>
      </c>
      <c r="BI118" s="0" t="s">
        <v>153</v>
      </c>
      <c r="BJ118" s="0" t="s">
        <v>153</v>
      </c>
      <c r="BK118" s="0" t="s">
        <v>153</v>
      </c>
      <c r="BL118" s="0" t="s">
        <v>153</v>
      </c>
      <c r="BP118" s="0" t="s">
        <v>153</v>
      </c>
      <c r="BR118" s="0" t="s">
        <v>153</v>
      </c>
      <c r="BS118" s="0" t="s">
        <v>153</v>
      </c>
      <c r="BT118" s="0" t="s">
        <v>153</v>
      </c>
      <c r="BV118" s="0" t="s">
        <v>153</v>
      </c>
      <c r="BY118" s="0" t="s">
        <v>175</v>
      </c>
      <c r="CA118" s="0" t="s">
        <v>153</v>
      </c>
      <c r="CG118" s="0" t="s">
        <v>153</v>
      </c>
      <c r="CK118" s="0" t="s">
        <v>153</v>
      </c>
      <c r="CL118" s="0" t="s">
        <v>175</v>
      </c>
      <c r="CN118" s="0" t="s">
        <v>153</v>
      </c>
      <c r="CO118" s="0" t="s">
        <v>175</v>
      </c>
      <c r="CP118" s="0" t="s">
        <v>153</v>
      </c>
      <c r="CT118" s="0" t="s">
        <v>153</v>
      </c>
      <c r="CV118" s="0" t="s">
        <v>153</v>
      </c>
      <c r="CY118" s="0" t="s">
        <v>153</v>
      </c>
      <c r="CZ118" s="0" t="s">
        <v>175</v>
      </c>
      <c r="DC118" s="0" t="s">
        <v>153</v>
      </c>
      <c r="DG118" s="0" t="s">
        <v>175</v>
      </c>
      <c r="DI118" s="0" t="s">
        <v>153</v>
      </c>
      <c r="DL118" s="0" t="s">
        <v>153</v>
      </c>
      <c r="DM118" s="0" t="s">
        <v>175</v>
      </c>
      <c r="DN118" s="0" t="s">
        <v>153</v>
      </c>
      <c r="DR118" s="0" t="s">
        <v>153</v>
      </c>
      <c r="DU118" s="0" t="s">
        <v>153</v>
      </c>
      <c r="DW118" s="0" t="s">
        <v>175</v>
      </c>
      <c r="DX118" s="0" t="s">
        <v>153</v>
      </c>
      <c r="EA118" s="0" t="s">
        <v>153</v>
      </c>
      <c r="ED118" s="0" t="s">
        <v>175</v>
      </c>
      <c r="EF118" s="0" t="s">
        <v>153</v>
      </c>
      <c r="EH118" s="0" t="s">
        <v>175</v>
      </c>
    </row>
    <row r="119" customFormat="false" ht="13.8" hidden="false" customHeight="false" outlineLevel="0" collapsed="false">
      <c r="A119" s="0" t="s">
        <v>822</v>
      </c>
      <c r="B119" s="0" t="n">
        <v>78</v>
      </c>
      <c r="C119" s="0" t="n">
        <v>201324</v>
      </c>
      <c r="D119" s="0" t="s">
        <v>823</v>
      </c>
      <c r="E119" s="0" t="s">
        <v>824</v>
      </c>
      <c r="F119" s="0" t="str">
        <f aca="false">CONCATENATE(D119," ",LEFT(H119,4),"T=",AU119,"D=",AV119,"R=",AW119,"M=",AX119,"L=",AY119,"B=",AZ119)</f>
        <v>HAWKINS T=4D=0R=0M=3L=5B=0</v>
      </c>
      <c r="G119" s="0" t="s">
        <v>164</v>
      </c>
      <c r="I119" s="0" t="s">
        <v>825</v>
      </c>
      <c r="J119" s="0" t="s">
        <v>826</v>
      </c>
      <c r="K119" s="0" t="s">
        <v>160</v>
      </c>
      <c r="L119" s="0" t="s">
        <v>175</v>
      </c>
      <c r="M119" s="0" t="s">
        <v>827</v>
      </c>
      <c r="N119" s="0" t="str">
        <f aca="false">RIGHT(M119,LEN(M119)-FIND(" ",M119))</f>
        <v>BELLE ST SE</v>
      </c>
      <c r="P119" s="0" t="s">
        <v>145</v>
      </c>
      <c r="Q119" s="0" t="s">
        <v>146</v>
      </c>
      <c r="R119" s="0" t="n">
        <v>44484</v>
      </c>
      <c r="AD119" s="0" t="s">
        <v>147</v>
      </c>
      <c r="AE119" s="0" t="s">
        <v>148</v>
      </c>
      <c r="AF119" s="0" t="s">
        <v>149</v>
      </c>
      <c r="AH119" s="0" t="n">
        <v>14</v>
      </c>
      <c r="AI119" s="0" t="n">
        <v>11</v>
      </c>
      <c r="AN119" s="0" t="s">
        <v>145</v>
      </c>
      <c r="AO119" s="0" t="s">
        <v>150</v>
      </c>
      <c r="AP119" s="0" t="s">
        <v>151</v>
      </c>
      <c r="AQ119" s="0" t="n">
        <v>9</v>
      </c>
      <c r="AR119" s="0" t="n">
        <v>64</v>
      </c>
      <c r="AS119" s="0" t="n">
        <v>32</v>
      </c>
      <c r="AU119" s="0" t="n">
        <f aca="false">COUNTA($BA$815:$EH$815)</f>
        <v>4</v>
      </c>
      <c r="AV119" s="0" t="n">
        <f aca="false">COUNTIF($BA$815:$EH$815,"D")</f>
        <v>0</v>
      </c>
      <c r="AW119" s="0" t="n">
        <f aca="false">COUNTIF($BA$815:$EH$815,"R")</f>
        <v>0</v>
      </c>
      <c r="AX119" s="0" t="n">
        <f aca="false">IF(BN119="D",1,0)+IF(BO119="D",1,0)+IF(BT119="D",1,0)+IF(BU119="D",1,0)+IF(BW119="D",1,0)+IF(CC119="D",1,0)+IF(CD119="D",1,0)+IF(CE119="D",1,0)+IF(CF119="D",1,0)+IF(CL119="D",1,0)+IF(CM119="D",1,0)+IF(CQ119="D",1,0)+IF(CR119="D",1,0)+IF(CS119="D",1,0)+IF(CW119="D",1,0)+IF(CX119="D",1,0)+IF(DD119="D",1,0)+IF(DE119="D",1,0)+IF(DJ119="D",1,0)+IF(DK119="D",1,0)+IF(DO119="D",1,0)+IF(DP119="D",1,0)+IF(DQ119="D",1,0)+IF(DW119="D",1,0)+IF(DZ119="D",1,0)+IF(EH119="D",1,0)</f>
        <v>3</v>
      </c>
      <c r="AY119" s="0" t="n">
        <f aca="false">COUNTIF(DU119:EH119, "&lt;&gt;")</f>
        <v>5</v>
      </c>
      <c r="AZ119" s="0" t="n">
        <f aca="false">IF(EH119&lt;&gt;"",1,0)</f>
        <v>0</v>
      </c>
      <c r="BB119" s="0" t="s">
        <v>152</v>
      </c>
      <c r="BC119" s="0" t="s">
        <v>153</v>
      </c>
      <c r="BD119" s="0" t="s">
        <v>153</v>
      </c>
      <c r="BE119" s="0" t="s">
        <v>153</v>
      </c>
      <c r="BF119" s="0" t="s">
        <v>153</v>
      </c>
      <c r="BG119" s="0" t="s">
        <v>153</v>
      </c>
      <c r="BH119" s="0" t="s">
        <v>153</v>
      </c>
      <c r="BI119" s="0" t="s">
        <v>153</v>
      </c>
      <c r="BJ119" s="0" t="s">
        <v>153</v>
      </c>
      <c r="BK119" s="0" t="s">
        <v>153</v>
      </c>
      <c r="BL119" s="0" t="s">
        <v>153</v>
      </c>
      <c r="BP119" s="0" t="s">
        <v>153</v>
      </c>
      <c r="BR119" s="0" t="s">
        <v>153</v>
      </c>
      <c r="BS119" s="0" t="s">
        <v>153</v>
      </c>
      <c r="BV119" s="0" t="s">
        <v>153</v>
      </c>
      <c r="BY119" s="0" t="s">
        <v>175</v>
      </c>
      <c r="CA119" s="0" t="s">
        <v>153</v>
      </c>
      <c r="CG119" s="0" t="s">
        <v>153</v>
      </c>
      <c r="CH119" s="0" t="s">
        <v>175</v>
      </c>
      <c r="CK119" s="0" t="s">
        <v>153</v>
      </c>
      <c r="CL119" s="0" t="s">
        <v>175</v>
      </c>
      <c r="CN119" s="0" t="s">
        <v>153</v>
      </c>
      <c r="CO119" s="0" t="s">
        <v>175</v>
      </c>
      <c r="CP119" s="0" t="s">
        <v>153</v>
      </c>
      <c r="CQ119" s="0" t="s">
        <v>175</v>
      </c>
      <c r="CV119" s="0" t="s">
        <v>153</v>
      </c>
      <c r="CW119" s="0" t="s">
        <v>175</v>
      </c>
      <c r="CY119" s="0" t="s">
        <v>153</v>
      </c>
      <c r="CZ119" s="0" t="s">
        <v>175</v>
      </c>
      <c r="DC119" s="0" t="s">
        <v>153</v>
      </c>
      <c r="DF119" s="0" t="s">
        <v>153</v>
      </c>
      <c r="DG119" s="0" t="s">
        <v>175</v>
      </c>
      <c r="DI119" s="0" t="s">
        <v>153</v>
      </c>
      <c r="DL119" s="0" t="s">
        <v>153</v>
      </c>
      <c r="DM119" s="0" t="s">
        <v>175</v>
      </c>
      <c r="DN119" s="0" t="s">
        <v>153</v>
      </c>
      <c r="DR119" s="0" t="s">
        <v>153</v>
      </c>
      <c r="DS119" s="0" t="s">
        <v>175</v>
      </c>
      <c r="DT119" s="0" t="s">
        <v>175</v>
      </c>
      <c r="DU119" s="0" t="s">
        <v>153</v>
      </c>
      <c r="DX119" s="0" t="s">
        <v>153</v>
      </c>
      <c r="EA119" s="0" t="s">
        <v>153</v>
      </c>
      <c r="ED119" s="0" t="s">
        <v>175</v>
      </c>
      <c r="EF119" s="0" t="s">
        <v>153</v>
      </c>
    </row>
    <row r="120" customFormat="false" ht="13.8" hidden="false" customHeight="false" outlineLevel="0" collapsed="false">
      <c r="A120" s="0" t="s">
        <v>828</v>
      </c>
      <c r="B120" s="0" t="n">
        <v>78</v>
      </c>
      <c r="C120" s="0" t="n">
        <v>201323</v>
      </c>
      <c r="D120" s="0" t="s">
        <v>823</v>
      </c>
      <c r="E120" s="0" t="s">
        <v>829</v>
      </c>
      <c r="F120" s="0" t="str">
        <f aca="false">CONCATENATE(D120," ",LEFT(H120,4),"T=",AU120,"D=",AV120,"R=",AW120,"M=",AX120,"L=",AY120,"B=",AZ120)</f>
        <v>HAWKINS T=11D=3R=0M=2L=5B=0</v>
      </c>
      <c r="G120" s="0" t="s">
        <v>195</v>
      </c>
      <c r="I120" s="0" t="s">
        <v>830</v>
      </c>
      <c r="J120" s="0" t="s">
        <v>826</v>
      </c>
      <c r="K120" s="0" t="s">
        <v>160</v>
      </c>
      <c r="L120" s="0" t="s">
        <v>175</v>
      </c>
      <c r="M120" s="0" t="s">
        <v>827</v>
      </c>
      <c r="N120" s="0" t="str">
        <f aca="false">RIGHT(M120,LEN(M120)-FIND(" ",M120))</f>
        <v>BELLE ST SE</v>
      </c>
      <c r="P120" s="0" t="s">
        <v>145</v>
      </c>
      <c r="Q120" s="0" t="s">
        <v>146</v>
      </c>
      <c r="R120" s="0" t="n">
        <v>44484</v>
      </c>
      <c r="AD120" s="0" t="s">
        <v>147</v>
      </c>
      <c r="AE120" s="0" t="s">
        <v>148</v>
      </c>
      <c r="AF120" s="0" t="s">
        <v>149</v>
      </c>
      <c r="AH120" s="0" t="n">
        <v>14</v>
      </c>
      <c r="AI120" s="0" t="n">
        <v>11</v>
      </c>
      <c r="AN120" s="0" t="s">
        <v>145</v>
      </c>
      <c r="AO120" s="0" t="s">
        <v>150</v>
      </c>
      <c r="AP120" s="0" t="s">
        <v>151</v>
      </c>
      <c r="AQ120" s="0" t="n">
        <v>9</v>
      </c>
      <c r="AR120" s="0" t="n">
        <v>64</v>
      </c>
      <c r="AS120" s="0" t="n">
        <v>32</v>
      </c>
      <c r="AU120" s="0" t="n">
        <f aca="false">COUNTA($BA$832:$EH$832)</f>
        <v>11</v>
      </c>
      <c r="AV120" s="0" t="n">
        <f aca="false">COUNTIF($BA$832:$EH$832,"D")</f>
        <v>3</v>
      </c>
      <c r="AW120" s="0" t="n">
        <f aca="false">COUNTIF($BA$832:$EH$832,"R")</f>
        <v>0</v>
      </c>
      <c r="AX120" s="0" t="n">
        <f aca="false">IF(BN120="D",1,0)+IF(BO120="D",1,0)+IF(BT120="D",1,0)+IF(BU120="D",1,0)+IF(BW120="D",1,0)+IF(CC120="D",1,0)+IF(CD120="D",1,0)+IF(CE120="D",1,0)+IF(CF120="D",1,0)+IF(CL120="D",1,0)+IF(CM120="D",1,0)+IF(CQ120="D",1,0)+IF(CR120="D",1,0)+IF(CS120="D",1,0)+IF(CW120="D",1,0)+IF(CX120="D",1,0)+IF(DD120="D",1,0)+IF(DE120="D",1,0)+IF(DJ120="D",1,0)+IF(DK120="D",1,0)+IF(DO120="D",1,0)+IF(DP120="D",1,0)+IF(DQ120="D",1,0)+IF(DW120="D",1,0)+IF(DZ120="D",1,0)+IF(EH120="D",1,0)</f>
        <v>2</v>
      </c>
      <c r="AY120" s="0" t="n">
        <f aca="false">COUNTIF(DU120:EH120, "&lt;&gt;")</f>
        <v>5</v>
      </c>
      <c r="AZ120" s="0" t="n">
        <f aca="false">IF(EH120&lt;&gt;"",1,0)</f>
        <v>0</v>
      </c>
      <c r="BB120" s="0" t="s">
        <v>152</v>
      </c>
      <c r="BC120" s="0" t="s">
        <v>153</v>
      </c>
      <c r="BD120" s="0" t="s">
        <v>153</v>
      </c>
      <c r="BE120" s="0" t="s">
        <v>153</v>
      </c>
      <c r="BF120" s="0" t="s">
        <v>153</v>
      </c>
      <c r="BG120" s="0" t="s">
        <v>153</v>
      </c>
      <c r="BH120" s="0" t="s">
        <v>153</v>
      </c>
      <c r="BI120" s="0" t="s">
        <v>153</v>
      </c>
      <c r="BJ120" s="0" t="s">
        <v>153</v>
      </c>
      <c r="BK120" s="0" t="s">
        <v>153</v>
      </c>
      <c r="BL120" s="0" t="s">
        <v>153</v>
      </c>
      <c r="BP120" s="0" t="s">
        <v>153</v>
      </c>
      <c r="BR120" s="0" t="s">
        <v>153</v>
      </c>
      <c r="BS120" s="0" t="s">
        <v>153</v>
      </c>
      <c r="BY120" s="0" t="s">
        <v>175</v>
      </c>
      <c r="CA120" s="0" t="s">
        <v>153</v>
      </c>
      <c r="CG120" s="0" t="s">
        <v>153</v>
      </c>
      <c r="CH120" s="0" t="s">
        <v>175</v>
      </c>
      <c r="CK120" s="0" t="s">
        <v>153</v>
      </c>
      <c r="CL120" s="0" t="s">
        <v>175</v>
      </c>
      <c r="CN120" s="0" t="s">
        <v>153</v>
      </c>
      <c r="CO120" s="0" t="s">
        <v>175</v>
      </c>
      <c r="CP120" s="0" t="s">
        <v>153</v>
      </c>
      <c r="CV120" s="0" t="s">
        <v>153</v>
      </c>
      <c r="CW120" s="0" t="s">
        <v>175</v>
      </c>
      <c r="CY120" s="0" t="s">
        <v>153</v>
      </c>
      <c r="CZ120" s="0" t="s">
        <v>175</v>
      </c>
      <c r="DC120" s="0" t="s">
        <v>153</v>
      </c>
      <c r="DF120" s="0" t="s">
        <v>153</v>
      </c>
      <c r="DG120" s="0" t="s">
        <v>175</v>
      </c>
      <c r="DI120" s="0" t="s">
        <v>153</v>
      </c>
      <c r="DL120" s="0" t="s">
        <v>153</v>
      </c>
      <c r="DM120" s="0" t="s">
        <v>175</v>
      </c>
      <c r="DN120" s="0" t="s">
        <v>153</v>
      </c>
      <c r="DR120" s="0" t="s">
        <v>153</v>
      </c>
      <c r="DS120" s="0" t="s">
        <v>175</v>
      </c>
      <c r="DT120" s="0" t="s">
        <v>175</v>
      </c>
      <c r="DU120" s="0" t="s">
        <v>153</v>
      </c>
      <c r="DX120" s="0" t="s">
        <v>153</v>
      </c>
      <c r="EA120" s="0" t="s">
        <v>153</v>
      </c>
      <c r="ED120" s="0" t="s">
        <v>175</v>
      </c>
      <c r="EF120" s="0" t="s">
        <v>153</v>
      </c>
    </row>
    <row r="121" customFormat="false" ht="13.8" hidden="true" customHeight="false" outlineLevel="0" collapsed="false">
      <c r="A121" s="0" t="s">
        <v>831</v>
      </c>
      <c r="B121" s="0" t="n">
        <v>78</v>
      </c>
      <c r="C121" s="0" t="n">
        <v>488567</v>
      </c>
      <c r="D121" s="0" t="s">
        <v>832</v>
      </c>
      <c r="E121" s="0" t="s">
        <v>833</v>
      </c>
      <c r="F121" s="0" t="str">
        <f aca="false">CONCATENATE(D121," ",LEFT(H121,4),"T=",AU121,"D=",AV121,"R=",AW121,"M=",AX121,"L=",AY121,"B=",AZ121)</f>
        <v>SMEAD T=10D=0R=1M=0L=0B=0</v>
      </c>
      <c r="G121" s="0" t="s">
        <v>606</v>
      </c>
      <c r="I121" s="0" t="s">
        <v>834</v>
      </c>
      <c r="J121" s="0" t="s">
        <v>835</v>
      </c>
      <c r="K121" s="0" t="s">
        <v>160</v>
      </c>
      <c r="M121" s="0" t="s">
        <v>836</v>
      </c>
      <c r="N121" s="0" t="str">
        <f aca="false">RIGHT(M121,LEN(M121)-FIND(" ",M121))</f>
        <v>BELLE ST SE</v>
      </c>
      <c r="P121" s="0" t="s">
        <v>145</v>
      </c>
      <c r="Q121" s="0" t="s">
        <v>146</v>
      </c>
      <c r="R121" s="0" t="n">
        <v>44484</v>
      </c>
      <c r="AD121" s="0" t="s">
        <v>147</v>
      </c>
      <c r="AE121" s="0" t="s">
        <v>148</v>
      </c>
      <c r="AF121" s="0" t="s">
        <v>149</v>
      </c>
      <c r="AH121" s="0" t="n">
        <v>14</v>
      </c>
      <c r="AI121" s="0" t="n">
        <v>11</v>
      </c>
      <c r="AN121" s="0" t="s">
        <v>145</v>
      </c>
      <c r="AO121" s="0" t="s">
        <v>150</v>
      </c>
      <c r="AP121" s="0" t="s">
        <v>151</v>
      </c>
      <c r="AQ121" s="0" t="n">
        <v>9</v>
      </c>
      <c r="AR121" s="0" t="n">
        <v>64</v>
      </c>
      <c r="AS121" s="0" t="n">
        <v>32</v>
      </c>
      <c r="AU121" s="0" t="n">
        <f aca="false">COUNTA($BA$238:$EH$238)</f>
        <v>10</v>
      </c>
      <c r="AV121" s="0" t="n">
        <f aca="false">COUNTIF($BA$238:$EH$238,"D")</f>
        <v>0</v>
      </c>
      <c r="AW121" s="0" t="n">
        <f aca="false">COUNTIF($BA$238:$EH$238,"R")</f>
        <v>1</v>
      </c>
      <c r="AX121" s="0" t="n">
        <f aca="false">IF(BN121="D",1,0)+IF(BO121="D",1,0)+IF(BT121="D",1,0)+IF(BU121="D",1,0)+IF(BW121="D",1,0)+IF(CC121="D",1,0)+IF(CD121="D",1,0)+IF(CE121="D",1,0)+IF(CF121="D",1,0)+IF(CL121="D",1,0)+IF(CM121="D",1,0)+IF(CQ121="D",1,0)+IF(CR121="D",1,0)+IF(CS121="D",1,0)+IF(CW121="D",1,0)+IF(CX121="D",1,0)+IF(DD121="D",1,0)+IF(DE121="D",1,0)+IF(DJ121="D",1,0)+IF(DK121="D",1,0)+IF(DO121="D",1,0)+IF(DP121="D",1,0)+IF(DQ121="D",1,0)+IF(DW121="D",1,0)+IF(DZ121="D",1,0)+IF(EH121="D",1,0)</f>
        <v>0</v>
      </c>
      <c r="AY121" s="0" t="n">
        <f aca="false">COUNTIF(DU121:EH121, "&lt;&gt;")</f>
        <v>0</v>
      </c>
      <c r="AZ121" s="0" t="n">
        <f aca="false">IF(EH121&lt;&gt;"",1,0)</f>
        <v>0</v>
      </c>
      <c r="BB121" s="0" t="s">
        <v>152</v>
      </c>
    </row>
    <row r="122" customFormat="false" ht="13.8" hidden="true" customHeight="false" outlineLevel="0" collapsed="false">
      <c r="A122" s="0" t="s">
        <v>837</v>
      </c>
      <c r="B122" s="0" t="n">
        <v>78</v>
      </c>
      <c r="C122" s="0" t="n">
        <v>409355</v>
      </c>
      <c r="D122" s="0" t="s">
        <v>838</v>
      </c>
      <c r="E122" s="0" t="s">
        <v>558</v>
      </c>
      <c r="F122" s="0" t="str">
        <f aca="false">CONCATENATE(D122," ",LEFT(H122,4),"T=",AU122,"D=",AV122,"R=",AW122,"M=",AX122,"L=",AY122,"B=",AZ122)</f>
        <v>BOWERS T=6D=2R=0M=0L=0B=0</v>
      </c>
      <c r="G122" s="0" t="s">
        <v>839</v>
      </c>
      <c r="I122" s="0" t="s">
        <v>840</v>
      </c>
      <c r="J122" s="0" t="s">
        <v>386</v>
      </c>
      <c r="K122" s="0" t="s">
        <v>160</v>
      </c>
      <c r="M122" s="0" t="s">
        <v>836</v>
      </c>
      <c r="N122" s="0" t="str">
        <f aca="false">RIGHT(M122,LEN(M122)-FIND(" ",M122))</f>
        <v>BELLE ST SE</v>
      </c>
      <c r="P122" s="0" t="s">
        <v>145</v>
      </c>
      <c r="Q122" s="0" t="s">
        <v>146</v>
      </c>
      <c r="R122" s="0" t="n">
        <v>44484</v>
      </c>
      <c r="AD122" s="0" t="s">
        <v>147</v>
      </c>
      <c r="AE122" s="0" t="s">
        <v>148</v>
      </c>
      <c r="AF122" s="0" t="s">
        <v>149</v>
      </c>
      <c r="AH122" s="0" t="n">
        <v>14</v>
      </c>
      <c r="AI122" s="0" t="n">
        <v>11</v>
      </c>
      <c r="AN122" s="0" t="s">
        <v>145</v>
      </c>
      <c r="AO122" s="0" t="s">
        <v>150</v>
      </c>
      <c r="AP122" s="0" t="s">
        <v>151</v>
      </c>
      <c r="AQ122" s="0" t="n">
        <v>9</v>
      </c>
      <c r="AR122" s="0" t="n">
        <v>64</v>
      </c>
      <c r="AS122" s="0" t="n">
        <v>32</v>
      </c>
      <c r="AU122" s="0" t="n">
        <f aca="false">COUNTA($BA$349:$EH$349)</f>
        <v>6</v>
      </c>
      <c r="AV122" s="0" t="n">
        <f aca="false">COUNTIF($BA$349:$EH$349,"D")</f>
        <v>2</v>
      </c>
      <c r="AW122" s="0" t="n">
        <f aca="false">COUNTIF($BA$349:$EH$349,"R")</f>
        <v>0</v>
      </c>
      <c r="AX122" s="0" t="n">
        <f aca="false">IF(BN122="D",1,0)+IF(BO122="D",1,0)+IF(BT122="D",1,0)+IF(BU122="D",1,0)+IF(BW122="D",1,0)+IF(CC122="D",1,0)+IF(CD122="D",1,0)+IF(CE122="D",1,0)+IF(CF122="D",1,0)+IF(CL122="D",1,0)+IF(CM122="D",1,0)+IF(CQ122="D",1,0)+IF(CR122="D",1,0)+IF(CS122="D",1,0)+IF(CW122="D",1,0)+IF(CX122="D",1,0)+IF(DD122="D",1,0)+IF(DE122="D",1,0)+IF(DJ122="D",1,0)+IF(DK122="D",1,0)+IF(DO122="D",1,0)+IF(DP122="D",1,0)+IF(DQ122="D",1,0)+IF(DW122="D",1,0)+IF(DZ122="D",1,0)+IF(EH122="D",1,0)</f>
        <v>0</v>
      </c>
      <c r="AY122" s="0" t="n">
        <f aca="false">COUNTIF(DU122:EH122, "&lt;&gt;")</f>
        <v>0</v>
      </c>
      <c r="AZ122" s="0" t="n">
        <f aca="false">IF(EH122&lt;&gt;"",1,0)</f>
        <v>0</v>
      </c>
      <c r="BB122" s="0" t="s">
        <v>152</v>
      </c>
    </row>
    <row r="123" customFormat="false" ht="13.8" hidden="true" customHeight="false" outlineLevel="0" collapsed="false">
      <c r="A123" s="0" t="s">
        <v>841</v>
      </c>
      <c r="B123" s="0" t="n">
        <v>78</v>
      </c>
      <c r="C123" s="0" t="n">
        <v>149280</v>
      </c>
      <c r="D123" s="0" t="s">
        <v>349</v>
      </c>
      <c r="E123" s="0" t="s">
        <v>842</v>
      </c>
      <c r="F123" s="0" t="str">
        <f aca="false">CONCATENATE(D123," ",LEFT(H123,4),"T=",AU123,"D=",AV123,"R=",AW123,"M=",AX123,"L=",AY123,"B=",AZ123)</f>
        <v>BREWER T=1D=0R=0M=0L=0B=0</v>
      </c>
      <c r="G123" s="0" t="s">
        <v>325</v>
      </c>
      <c r="I123" s="0" t="s">
        <v>843</v>
      </c>
      <c r="J123" s="0" t="s">
        <v>844</v>
      </c>
      <c r="K123" s="0" t="s">
        <v>160</v>
      </c>
      <c r="M123" s="0" t="s">
        <v>836</v>
      </c>
      <c r="N123" s="0" t="str">
        <f aca="false">RIGHT(M123,LEN(M123)-FIND(" ",M123))</f>
        <v>BELLE ST SE</v>
      </c>
      <c r="P123" s="0" t="s">
        <v>145</v>
      </c>
      <c r="Q123" s="0" t="s">
        <v>146</v>
      </c>
      <c r="R123" s="0" t="n">
        <v>44484</v>
      </c>
      <c r="AD123" s="0" t="s">
        <v>147</v>
      </c>
      <c r="AE123" s="0" t="s">
        <v>148</v>
      </c>
      <c r="AF123" s="0" t="s">
        <v>149</v>
      </c>
      <c r="AH123" s="0" t="n">
        <v>14</v>
      </c>
      <c r="AI123" s="0" t="n">
        <v>11</v>
      </c>
      <c r="AN123" s="0" t="s">
        <v>145</v>
      </c>
      <c r="AO123" s="0" t="s">
        <v>150</v>
      </c>
      <c r="AP123" s="0" t="s">
        <v>151</v>
      </c>
      <c r="AQ123" s="0" t="n">
        <v>9</v>
      </c>
      <c r="AR123" s="0" t="n">
        <v>64</v>
      </c>
      <c r="AS123" s="0" t="n">
        <v>32</v>
      </c>
      <c r="AU123" s="0" t="n">
        <f aca="false">COUNTA($BA$570:$EH$570)</f>
        <v>1</v>
      </c>
      <c r="AV123" s="0" t="n">
        <f aca="false">COUNTIF($BA$570:$EH$570,"D")</f>
        <v>0</v>
      </c>
      <c r="AW123" s="0" t="n">
        <f aca="false">COUNTIF($BA$570:$EH$570,"R")</f>
        <v>0</v>
      </c>
      <c r="AX123" s="0" t="n">
        <f aca="false">IF(BN123="D",1,0)+IF(BO123="D",1,0)+IF(BT123="D",1,0)+IF(BU123="D",1,0)+IF(BW123="D",1,0)+IF(CC123="D",1,0)+IF(CD123="D",1,0)+IF(CE123="D",1,0)+IF(CF123="D",1,0)+IF(CL123="D",1,0)+IF(CM123="D",1,0)+IF(CQ123="D",1,0)+IF(CR123="D",1,0)+IF(CS123="D",1,0)+IF(CW123="D",1,0)+IF(CX123="D",1,0)+IF(DD123="D",1,0)+IF(DE123="D",1,0)+IF(DJ123="D",1,0)+IF(DK123="D",1,0)+IF(DO123="D",1,0)+IF(DP123="D",1,0)+IF(DQ123="D",1,0)+IF(DW123="D",1,0)+IF(DZ123="D",1,0)+IF(EH123="D",1,0)</f>
        <v>0</v>
      </c>
      <c r="AY123" s="0" t="n">
        <f aca="false">COUNTIF(DU123:EH123, "&lt;&gt;")</f>
        <v>0</v>
      </c>
      <c r="AZ123" s="0" t="n">
        <f aca="false">IF(EH123&lt;&gt;"",1,0)</f>
        <v>0</v>
      </c>
      <c r="BB123" s="0" t="s">
        <v>152</v>
      </c>
      <c r="BD123" s="0" t="s">
        <v>153</v>
      </c>
      <c r="BG123" s="0" t="s">
        <v>153</v>
      </c>
      <c r="BH123" s="0" t="s">
        <v>153</v>
      </c>
      <c r="BJ123" s="0" t="s">
        <v>153</v>
      </c>
      <c r="BL123" s="0" t="s">
        <v>153</v>
      </c>
      <c r="BR123" s="0" t="s">
        <v>153</v>
      </c>
      <c r="BS123" s="0" t="s">
        <v>153</v>
      </c>
      <c r="BV123" s="0" t="s">
        <v>153</v>
      </c>
      <c r="BY123" s="0" t="s">
        <v>209</v>
      </c>
      <c r="CA123" s="0" t="s">
        <v>153</v>
      </c>
      <c r="CG123" s="0" t="s">
        <v>153</v>
      </c>
      <c r="CK123" s="0" t="s">
        <v>153</v>
      </c>
      <c r="CN123" s="0" t="s">
        <v>153</v>
      </c>
      <c r="CP123" s="0" t="s">
        <v>153</v>
      </c>
      <c r="CV123" s="0" t="s">
        <v>153</v>
      </c>
      <c r="CY123" s="0" t="s">
        <v>153</v>
      </c>
      <c r="CZ123" s="0" t="s">
        <v>209</v>
      </c>
      <c r="DC123" s="0" t="s">
        <v>153</v>
      </c>
      <c r="DF123" s="0" t="s">
        <v>153</v>
      </c>
    </row>
    <row r="124" customFormat="false" ht="13.8" hidden="true" customHeight="false" outlineLevel="0" collapsed="false">
      <c r="A124" s="0" t="s">
        <v>845</v>
      </c>
      <c r="B124" s="0" t="n">
        <v>78</v>
      </c>
      <c r="C124" s="0" t="n">
        <v>362034</v>
      </c>
      <c r="D124" s="0" t="s">
        <v>838</v>
      </c>
      <c r="E124" s="0" t="s">
        <v>324</v>
      </c>
      <c r="F124" s="0" t="str">
        <f aca="false">CONCATENATE(D124," ",LEFT(H124,4),"T=",AU124,"D=",AV124,"R=",AW124,"M=",AX124,"L=",AY124,"B=",AZ124)</f>
        <v>BOWERS T=1D=0R=0M=0L=0B=0</v>
      </c>
      <c r="G124" s="0" t="s">
        <v>713</v>
      </c>
      <c r="I124" s="0" t="s">
        <v>846</v>
      </c>
      <c r="J124" s="0" t="s">
        <v>693</v>
      </c>
      <c r="K124" s="0" t="s">
        <v>143</v>
      </c>
      <c r="M124" s="0" t="s">
        <v>847</v>
      </c>
      <c r="N124" s="0" t="str">
        <f aca="false">RIGHT(M124,LEN(M124)-FIND(" ",M124))</f>
        <v>BELLE ST SE</v>
      </c>
      <c r="P124" s="0" t="s">
        <v>145</v>
      </c>
      <c r="Q124" s="0" t="s">
        <v>146</v>
      </c>
      <c r="R124" s="0" t="n">
        <v>44484</v>
      </c>
      <c r="AD124" s="0" t="s">
        <v>147</v>
      </c>
      <c r="AE124" s="0" t="s">
        <v>148</v>
      </c>
      <c r="AF124" s="0" t="s">
        <v>149</v>
      </c>
      <c r="AH124" s="0" t="n">
        <v>14</v>
      </c>
      <c r="AI124" s="0" t="n">
        <v>11</v>
      </c>
      <c r="AN124" s="0" t="s">
        <v>145</v>
      </c>
      <c r="AO124" s="0" t="s">
        <v>150</v>
      </c>
      <c r="AP124" s="0" t="s">
        <v>151</v>
      </c>
      <c r="AQ124" s="0" t="n">
        <v>9</v>
      </c>
      <c r="AR124" s="0" t="n">
        <v>64</v>
      </c>
      <c r="AS124" s="0" t="n">
        <v>32</v>
      </c>
      <c r="AU124" s="0" t="n">
        <f aca="false">COUNTA($BA$852:$EH$852)</f>
        <v>1</v>
      </c>
      <c r="AV124" s="0" t="n">
        <f aca="false">COUNTIF($BA$852:$EH$852,"D")</f>
        <v>0</v>
      </c>
      <c r="AW124" s="0" t="n">
        <f aca="false">COUNTIF($BA$852:$EH$852,"R")</f>
        <v>0</v>
      </c>
      <c r="AX124" s="0" t="n">
        <f aca="false">IF(BN124="D",1,0)+IF(BO124="D",1,0)+IF(BT124="D",1,0)+IF(BU124="D",1,0)+IF(BW124="D",1,0)+IF(CC124="D",1,0)+IF(CD124="D",1,0)+IF(CE124="D",1,0)+IF(CF124="D",1,0)+IF(CL124="D",1,0)+IF(CM124="D",1,0)+IF(CQ124="D",1,0)+IF(CR124="D",1,0)+IF(CS124="D",1,0)+IF(CW124="D",1,0)+IF(CX124="D",1,0)+IF(DD124="D",1,0)+IF(DE124="D",1,0)+IF(DJ124="D",1,0)+IF(DK124="D",1,0)+IF(DO124="D",1,0)+IF(DP124="D",1,0)+IF(DQ124="D",1,0)+IF(DW124="D",1,0)+IF(DZ124="D",1,0)+IF(EH124="D",1,0)</f>
        <v>0</v>
      </c>
      <c r="AY124" s="0" t="n">
        <f aca="false">COUNTIF(DU124:EH124, "&lt;&gt;")</f>
        <v>0</v>
      </c>
      <c r="AZ124" s="0" t="n">
        <f aca="false">IF(EH124&lt;&gt;"",1,0)</f>
        <v>0</v>
      </c>
      <c r="BB124" s="0" t="s">
        <v>152</v>
      </c>
    </row>
    <row r="125" customFormat="false" ht="13.8" hidden="true" customHeight="false" outlineLevel="0" collapsed="false">
      <c r="A125" s="0" t="s">
        <v>848</v>
      </c>
      <c r="B125" s="0" t="n">
        <v>78</v>
      </c>
      <c r="C125" s="0" t="n">
        <v>407112</v>
      </c>
      <c r="D125" s="0" t="s">
        <v>838</v>
      </c>
      <c r="E125" s="0" t="s">
        <v>849</v>
      </c>
      <c r="F125" s="0" t="str">
        <f aca="false">CONCATENATE(D125," ",LEFT(H125,4),"T=",AU125,"D=",AV125,"R=",AW125,"M=",AX125,"L=",AY125,"B=",AZ125)</f>
        <v>BOWERS T=7D=0R=0M=0L=0B=0</v>
      </c>
      <c r="G125" s="0" t="s">
        <v>379</v>
      </c>
      <c r="I125" s="0" t="s">
        <v>850</v>
      </c>
      <c r="J125" s="0" t="s">
        <v>851</v>
      </c>
      <c r="K125" s="0" t="s">
        <v>143</v>
      </c>
      <c r="M125" s="0" t="s">
        <v>847</v>
      </c>
      <c r="N125" s="0" t="str">
        <f aca="false">RIGHT(M125,LEN(M125)-FIND(" ",M125))</f>
        <v>BELLE ST SE</v>
      </c>
      <c r="P125" s="0" t="s">
        <v>145</v>
      </c>
      <c r="Q125" s="0" t="s">
        <v>146</v>
      </c>
      <c r="R125" s="0" t="n">
        <v>44484</v>
      </c>
      <c r="AD125" s="0" t="s">
        <v>147</v>
      </c>
      <c r="AE125" s="0" t="s">
        <v>148</v>
      </c>
      <c r="AF125" s="0" t="s">
        <v>149</v>
      </c>
      <c r="AH125" s="0" t="n">
        <v>14</v>
      </c>
      <c r="AI125" s="0" t="n">
        <v>11</v>
      </c>
      <c r="AN125" s="0" t="s">
        <v>145</v>
      </c>
      <c r="AO125" s="0" t="s">
        <v>150</v>
      </c>
      <c r="AP125" s="0" t="s">
        <v>151</v>
      </c>
      <c r="AQ125" s="0" t="n">
        <v>9</v>
      </c>
      <c r="AR125" s="0" t="n">
        <v>64</v>
      </c>
      <c r="AS125" s="0" t="n">
        <v>32</v>
      </c>
      <c r="AU125" s="0" t="n">
        <f aca="false">COUNTA($BA$894:$EH$894)</f>
        <v>7</v>
      </c>
      <c r="AV125" s="0" t="n">
        <f aca="false">COUNTIF($BA$894:$EH$894,"D")</f>
        <v>0</v>
      </c>
      <c r="AW125" s="0" t="n">
        <f aca="false">COUNTIF($BA$894:$EH$894,"R")</f>
        <v>0</v>
      </c>
      <c r="AX125" s="0" t="n">
        <f aca="false">IF(BN125="D",1,0)+IF(BO125="D",1,0)+IF(BT125="D",1,0)+IF(BU125="D",1,0)+IF(BW125="D",1,0)+IF(CC125="D",1,0)+IF(CD125="D",1,0)+IF(CE125="D",1,0)+IF(CF125="D",1,0)+IF(CL125="D",1,0)+IF(CM125="D",1,0)+IF(CQ125="D",1,0)+IF(CR125="D",1,0)+IF(CS125="D",1,0)+IF(CW125="D",1,0)+IF(CX125="D",1,0)+IF(DD125="D",1,0)+IF(DE125="D",1,0)+IF(DJ125="D",1,0)+IF(DK125="D",1,0)+IF(DO125="D",1,0)+IF(DP125="D",1,0)+IF(DQ125="D",1,0)+IF(DW125="D",1,0)+IF(DZ125="D",1,0)+IF(EH125="D",1,0)</f>
        <v>0</v>
      </c>
      <c r="AY125" s="0" t="n">
        <f aca="false">COUNTIF(DU125:EH125, "&lt;&gt;")</f>
        <v>0</v>
      </c>
      <c r="AZ125" s="0" t="n">
        <f aca="false">IF(EH125&lt;&gt;"",1,0)</f>
        <v>0</v>
      </c>
      <c r="BB125" s="0" t="s">
        <v>152</v>
      </c>
    </row>
    <row r="126" customFormat="false" ht="13.8" hidden="true" customHeight="false" outlineLevel="0" collapsed="false">
      <c r="A126" s="0" t="s">
        <v>852</v>
      </c>
      <c r="B126" s="0" t="n">
        <v>78</v>
      </c>
      <c r="C126" s="0" t="n">
        <v>402094</v>
      </c>
      <c r="D126" s="0" t="s">
        <v>853</v>
      </c>
      <c r="E126" s="0" t="s">
        <v>854</v>
      </c>
      <c r="F126" s="0" t="str">
        <f aca="false">CONCATENATE(D126," ",LEFT(H126,4),"T=",AU126,"D=",AV126,"R=",AW126,"M=",AX126,"L=",AY126,"B=",AZ126)</f>
        <v>CAMPANA T=1D=0R=0M=0L=0B=0</v>
      </c>
      <c r="G126" s="0" t="s">
        <v>452</v>
      </c>
      <c r="I126" s="0" t="s">
        <v>855</v>
      </c>
      <c r="J126" s="0" t="s">
        <v>856</v>
      </c>
      <c r="K126" s="0" t="s">
        <v>143</v>
      </c>
      <c r="M126" s="0" t="s">
        <v>857</v>
      </c>
      <c r="N126" s="0" t="str">
        <f aca="false">RIGHT(M126,LEN(M126)-FIND(" ",M126))</f>
        <v>BELLE ST SE</v>
      </c>
      <c r="P126" s="0" t="s">
        <v>145</v>
      </c>
      <c r="Q126" s="0" t="s">
        <v>146</v>
      </c>
      <c r="R126" s="0" t="n">
        <v>44484</v>
      </c>
      <c r="AD126" s="0" t="s">
        <v>147</v>
      </c>
      <c r="AE126" s="0" t="s">
        <v>148</v>
      </c>
      <c r="AF126" s="0" t="s">
        <v>149</v>
      </c>
      <c r="AH126" s="0" t="n">
        <v>14</v>
      </c>
      <c r="AI126" s="0" t="n">
        <v>11</v>
      </c>
      <c r="AN126" s="0" t="s">
        <v>145</v>
      </c>
      <c r="AO126" s="0" t="s">
        <v>150</v>
      </c>
      <c r="AP126" s="0" t="s">
        <v>151</v>
      </c>
      <c r="AQ126" s="0" t="n">
        <v>9</v>
      </c>
      <c r="AR126" s="0" t="n">
        <v>64</v>
      </c>
      <c r="AS126" s="0" t="n">
        <v>32</v>
      </c>
      <c r="AU126" s="0" t="n">
        <f aca="false">COUNTA($BA$568:$EH$568)</f>
        <v>1</v>
      </c>
      <c r="AV126" s="0" t="n">
        <f aca="false">COUNTIF($BA$568:$EH$568,"D")</f>
        <v>0</v>
      </c>
      <c r="AW126" s="0" t="n">
        <f aca="false">COUNTIF($BA$568:$EH$568,"R")</f>
        <v>0</v>
      </c>
      <c r="AX126" s="0" t="n">
        <f aca="false">IF(BN126="D",1,0)+IF(BO126="D",1,0)+IF(BT126="D",1,0)+IF(BU126="D",1,0)+IF(BW126="D",1,0)+IF(CC126="D",1,0)+IF(CD126="D",1,0)+IF(CE126="D",1,0)+IF(CF126="D",1,0)+IF(CL126="D",1,0)+IF(CM126="D",1,0)+IF(CQ126="D",1,0)+IF(CR126="D",1,0)+IF(CS126="D",1,0)+IF(CW126="D",1,0)+IF(CX126="D",1,0)+IF(DD126="D",1,0)+IF(DE126="D",1,0)+IF(DJ126="D",1,0)+IF(DK126="D",1,0)+IF(DO126="D",1,0)+IF(DP126="D",1,0)+IF(DQ126="D",1,0)+IF(DW126="D",1,0)+IF(DZ126="D",1,0)+IF(EH126="D",1,0)</f>
        <v>0</v>
      </c>
      <c r="AY126" s="0" t="n">
        <f aca="false">COUNTIF(DU126:EH126, "&lt;&gt;")</f>
        <v>0</v>
      </c>
      <c r="AZ126" s="0" t="n">
        <f aca="false">IF(EH126&lt;&gt;"",1,0)</f>
        <v>0</v>
      </c>
      <c r="BB126" s="0" t="s">
        <v>152</v>
      </c>
      <c r="DN126" s="0" t="s">
        <v>153</v>
      </c>
    </row>
    <row r="127" customFormat="false" ht="13.8" hidden="false" customHeight="false" outlineLevel="0" collapsed="false">
      <c r="A127" s="0" t="s">
        <v>858</v>
      </c>
      <c r="B127" s="0" t="n">
        <v>78</v>
      </c>
      <c r="C127" s="0" t="n">
        <v>250487</v>
      </c>
      <c r="D127" s="0" t="s">
        <v>853</v>
      </c>
      <c r="E127" s="0" t="s">
        <v>859</v>
      </c>
      <c r="F127" s="0" t="str">
        <f aca="false">CONCATENATE(D127," ",LEFT(H127,4),"T=",AU127,"D=",AV127,"R=",AW127,"M=",AX127,"L=",AY127,"B=",AZ127)</f>
        <v>CAMPANA T=36D=10R=0M=0L=4B=0</v>
      </c>
      <c r="G127" s="0" t="s">
        <v>860</v>
      </c>
      <c r="I127" s="0" t="s">
        <v>861</v>
      </c>
      <c r="J127" s="0" t="s">
        <v>862</v>
      </c>
      <c r="K127" s="0" t="s">
        <v>160</v>
      </c>
      <c r="L127" s="0" t="s">
        <v>209</v>
      </c>
      <c r="M127" s="0" t="s">
        <v>857</v>
      </c>
      <c r="N127" s="0" t="str">
        <f aca="false">RIGHT(M127,LEN(M127)-FIND(" ",M127))</f>
        <v>BELLE ST SE</v>
      </c>
      <c r="P127" s="0" t="s">
        <v>145</v>
      </c>
      <c r="Q127" s="0" t="s">
        <v>146</v>
      </c>
      <c r="R127" s="0" t="n">
        <v>44484</v>
      </c>
      <c r="AD127" s="0" t="s">
        <v>147</v>
      </c>
      <c r="AE127" s="0" t="s">
        <v>148</v>
      </c>
      <c r="AF127" s="0" t="s">
        <v>149</v>
      </c>
      <c r="AH127" s="0" t="n">
        <v>14</v>
      </c>
      <c r="AI127" s="0" t="n">
        <v>11</v>
      </c>
      <c r="AN127" s="0" t="s">
        <v>145</v>
      </c>
      <c r="AO127" s="0" t="s">
        <v>150</v>
      </c>
      <c r="AP127" s="0" t="s">
        <v>151</v>
      </c>
      <c r="AQ127" s="0" t="n">
        <v>9</v>
      </c>
      <c r="AR127" s="0" t="n">
        <v>64</v>
      </c>
      <c r="AS127" s="0" t="n">
        <v>32</v>
      </c>
      <c r="AU127" s="0" t="n">
        <f aca="false">COUNTA($BA$817:$EH$817)</f>
        <v>36</v>
      </c>
      <c r="AV127" s="0" t="n">
        <f aca="false">COUNTIF($BA$817:$EH$817,"D")</f>
        <v>10</v>
      </c>
      <c r="AW127" s="0" t="n">
        <f aca="false">COUNTIF($BA$817:$EH$817,"R")</f>
        <v>0</v>
      </c>
      <c r="AX127" s="0" t="n">
        <f aca="false">IF(BN127="D",1,0)+IF(BO127="D",1,0)+IF(BT127="D",1,0)+IF(BU127="D",1,0)+IF(BW127="D",1,0)+IF(CC127="D",1,0)+IF(CD127="D",1,0)+IF(CE127="D",1,0)+IF(CF127="D",1,0)+IF(CL127="D",1,0)+IF(CM127="D",1,0)+IF(CQ127="D",1,0)+IF(CR127="D",1,0)+IF(CS127="D",1,0)+IF(CW127="D",1,0)+IF(CX127="D",1,0)+IF(DD127="D",1,0)+IF(DE127="D",1,0)+IF(DJ127="D",1,0)+IF(DK127="D",1,0)+IF(DO127="D",1,0)+IF(DP127="D",1,0)+IF(DQ127="D",1,0)+IF(DW127="D",1,0)+IF(DZ127="D",1,0)+IF(EH127="D",1,0)</f>
        <v>0</v>
      </c>
      <c r="AY127" s="0" t="n">
        <f aca="false">COUNTIF(DU127:EH127, "&lt;&gt;")</f>
        <v>4</v>
      </c>
      <c r="AZ127" s="0" t="n">
        <f aca="false">IF(EH127&lt;&gt;"",1,0)</f>
        <v>0</v>
      </c>
      <c r="BB127" s="0" t="s">
        <v>152</v>
      </c>
      <c r="BD127" s="0" t="s">
        <v>153</v>
      </c>
      <c r="BJ127" s="0" t="s">
        <v>153</v>
      </c>
      <c r="BL127" s="0" t="s">
        <v>153</v>
      </c>
      <c r="CA127" s="0" t="s">
        <v>153</v>
      </c>
      <c r="DC127" s="0" t="s">
        <v>153</v>
      </c>
      <c r="DI127" s="0" t="s">
        <v>153</v>
      </c>
      <c r="DM127" s="0" t="s">
        <v>209</v>
      </c>
      <c r="DN127" s="0" t="s">
        <v>153</v>
      </c>
      <c r="DU127" s="0" t="s">
        <v>153</v>
      </c>
      <c r="EA127" s="0" t="s">
        <v>153</v>
      </c>
      <c r="ED127" s="0" t="s">
        <v>209</v>
      </c>
      <c r="EF127" s="0" t="s">
        <v>153</v>
      </c>
    </row>
    <row r="128" customFormat="false" ht="13.8" hidden="true" customHeight="false" outlineLevel="0" collapsed="false">
      <c r="A128" s="0" t="s">
        <v>863</v>
      </c>
      <c r="B128" s="0" t="n">
        <v>78</v>
      </c>
      <c r="C128" s="0" t="n">
        <v>488202</v>
      </c>
      <c r="D128" s="0" t="s">
        <v>864</v>
      </c>
      <c r="E128" s="0" t="s">
        <v>237</v>
      </c>
      <c r="F128" s="0" t="str">
        <f aca="false">CONCATENATE(D128," ",LEFT(H128,4),"T=",AU128,"D=",AV128,"R=",AW128,"M=",AX128,"L=",AY128,"B=",AZ128)</f>
        <v>MOATS T=32D=3R=3M=0L=1B=0</v>
      </c>
      <c r="G128" s="0" t="s">
        <v>686</v>
      </c>
      <c r="I128" s="0" t="s">
        <v>865</v>
      </c>
      <c r="J128" s="0" t="s">
        <v>866</v>
      </c>
      <c r="K128" s="0" t="s">
        <v>160</v>
      </c>
      <c r="M128" s="0" t="s">
        <v>867</v>
      </c>
      <c r="N128" s="0" t="str">
        <f aca="false">RIGHT(M128,LEN(M128)-FIND(" ",M128))</f>
        <v>BELLE ST SE</v>
      </c>
      <c r="O128" s="0" t="s">
        <v>868</v>
      </c>
      <c r="P128" s="0" t="s">
        <v>145</v>
      </c>
      <c r="Q128" s="0" t="s">
        <v>146</v>
      </c>
      <c r="R128" s="0" t="n">
        <v>44484</v>
      </c>
      <c r="AD128" s="0" t="s">
        <v>147</v>
      </c>
      <c r="AE128" s="0" t="s">
        <v>148</v>
      </c>
      <c r="AF128" s="0" t="s">
        <v>149</v>
      </c>
      <c r="AH128" s="0" t="n">
        <v>14</v>
      </c>
      <c r="AI128" s="0" t="n">
        <v>11</v>
      </c>
      <c r="AN128" s="0" t="s">
        <v>145</v>
      </c>
      <c r="AO128" s="0" t="s">
        <v>150</v>
      </c>
      <c r="AP128" s="0" t="s">
        <v>151</v>
      </c>
      <c r="AQ128" s="0" t="n">
        <v>9</v>
      </c>
      <c r="AR128" s="0" t="n">
        <v>64</v>
      </c>
      <c r="AS128" s="0" t="n">
        <v>32</v>
      </c>
      <c r="AU128" s="0" t="n">
        <f aca="false">COUNTA($BA$316:$EH$316)</f>
        <v>32</v>
      </c>
      <c r="AV128" s="0" t="n">
        <f aca="false">COUNTIF($BA$316:$EH$316,"D")</f>
        <v>3</v>
      </c>
      <c r="AW128" s="0" t="n">
        <f aca="false">COUNTIF($BA$316:$EH$316,"R")</f>
        <v>3</v>
      </c>
      <c r="AX128" s="0" t="n">
        <f aca="false">IF(BN128="D",1,0)+IF(BO128="D",1,0)+IF(BT128="D",1,0)+IF(BU128="D",1,0)+IF(BW128="D",1,0)+IF(CC128="D",1,0)+IF(CD128="D",1,0)+IF(CE128="D",1,0)+IF(CF128="D",1,0)+IF(CL128="D",1,0)+IF(CM128="D",1,0)+IF(CQ128="D",1,0)+IF(CR128="D",1,0)+IF(CS128="D",1,0)+IF(CW128="D",1,0)+IF(CX128="D",1,0)+IF(DD128="D",1,0)+IF(DE128="D",1,0)+IF(DJ128="D",1,0)+IF(DK128="D",1,0)+IF(DO128="D",1,0)+IF(DP128="D",1,0)+IF(DQ128="D",1,0)+IF(DW128="D",1,0)+IF(DZ128="D",1,0)+IF(EH128="D",1,0)</f>
        <v>0</v>
      </c>
      <c r="AY128" s="0" t="n">
        <f aca="false">COUNTIF(DU128:EH128, "&lt;&gt;")</f>
        <v>1</v>
      </c>
      <c r="AZ128" s="0" t="n">
        <f aca="false">IF(EH128&lt;&gt;"",1,0)</f>
        <v>0</v>
      </c>
      <c r="BB128" s="0" t="s">
        <v>152</v>
      </c>
      <c r="EF128" s="0" t="s">
        <v>153</v>
      </c>
    </row>
    <row r="129" customFormat="false" ht="13.8" hidden="true" customHeight="false" outlineLevel="0" collapsed="false">
      <c r="A129" s="0" t="s">
        <v>869</v>
      </c>
      <c r="B129" s="0" t="n">
        <v>78</v>
      </c>
      <c r="C129" s="0" t="n">
        <v>461317</v>
      </c>
      <c r="D129" s="0" t="s">
        <v>870</v>
      </c>
      <c r="E129" s="0" t="s">
        <v>871</v>
      </c>
      <c r="F129" s="0" t="str">
        <f aca="false">CONCATENATE(D129," ",LEFT(H129,4),"T=",AU129,"D=",AV129,"R=",AW129,"M=",AX129,"L=",AY129,"B=",AZ129)</f>
        <v>LUDWIG T=1D=0R=0M=0L=0B=0</v>
      </c>
      <c r="G129" s="0" t="s">
        <v>872</v>
      </c>
      <c r="I129" s="0" t="s">
        <v>873</v>
      </c>
      <c r="J129" s="0" t="s">
        <v>874</v>
      </c>
      <c r="K129" s="0" t="s">
        <v>143</v>
      </c>
      <c r="M129" s="0" t="s">
        <v>867</v>
      </c>
      <c r="N129" s="0" t="str">
        <f aca="false">RIGHT(M129,LEN(M129)-FIND(" ",M129))</f>
        <v>BELLE ST SE</v>
      </c>
      <c r="P129" s="0" t="s">
        <v>145</v>
      </c>
      <c r="Q129" s="0" t="s">
        <v>146</v>
      </c>
      <c r="R129" s="0" t="n">
        <v>44484</v>
      </c>
      <c r="AD129" s="0" t="s">
        <v>147</v>
      </c>
      <c r="AE129" s="0" t="s">
        <v>148</v>
      </c>
      <c r="AF129" s="0" t="s">
        <v>149</v>
      </c>
      <c r="AH129" s="0" t="n">
        <v>14</v>
      </c>
      <c r="AI129" s="0" t="n">
        <v>11</v>
      </c>
      <c r="AN129" s="0" t="s">
        <v>145</v>
      </c>
      <c r="AO129" s="0" t="s">
        <v>150</v>
      </c>
      <c r="AP129" s="0" t="s">
        <v>151</v>
      </c>
      <c r="AQ129" s="0" t="n">
        <v>9</v>
      </c>
      <c r="AR129" s="0" t="n">
        <v>64</v>
      </c>
      <c r="AS129" s="0" t="n">
        <v>32</v>
      </c>
      <c r="AU129" s="0" t="n">
        <f aca="false">COUNTA($BA$320:$EH$320)</f>
        <v>1</v>
      </c>
      <c r="AV129" s="0" t="n">
        <f aca="false">COUNTIF($BA$320:$EH$320,"D")</f>
        <v>0</v>
      </c>
      <c r="AW129" s="0" t="n">
        <f aca="false">COUNTIF($BA$320:$EH$320,"R")</f>
        <v>0</v>
      </c>
      <c r="AX129" s="0" t="n">
        <f aca="false">IF(BN129="D",1,0)+IF(BO129="D",1,0)+IF(BT129="D",1,0)+IF(BU129="D",1,0)+IF(BW129="D",1,0)+IF(CC129="D",1,0)+IF(CD129="D",1,0)+IF(CE129="D",1,0)+IF(CF129="D",1,0)+IF(CL129="D",1,0)+IF(CM129="D",1,0)+IF(CQ129="D",1,0)+IF(CR129="D",1,0)+IF(CS129="D",1,0)+IF(CW129="D",1,0)+IF(CX129="D",1,0)+IF(DD129="D",1,0)+IF(DE129="D",1,0)+IF(DJ129="D",1,0)+IF(DK129="D",1,0)+IF(DO129="D",1,0)+IF(DP129="D",1,0)+IF(DQ129="D",1,0)+IF(DW129="D",1,0)+IF(DZ129="D",1,0)+IF(EH129="D",1,0)</f>
        <v>0</v>
      </c>
      <c r="AY129" s="0" t="n">
        <f aca="false">COUNTIF(DU129:EH129, "&lt;&gt;")</f>
        <v>0</v>
      </c>
      <c r="AZ129" s="0" t="n">
        <f aca="false">IF(EH129&lt;&gt;"",1,0)</f>
        <v>0</v>
      </c>
      <c r="BB129" s="0" t="s">
        <v>152</v>
      </c>
    </row>
    <row r="130" customFormat="false" ht="13.8" hidden="true" customHeight="false" outlineLevel="0" collapsed="false">
      <c r="A130" s="0" t="s">
        <v>875</v>
      </c>
      <c r="B130" s="0" t="n">
        <v>78</v>
      </c>
      <c r="C130" s="0" t="n">
        <v>337294</v>
      </c>
      <c r="D130" s="0" t="s">
        <v>876</v>
      </c>
      <c r="E130" s="0" t="s">
        <v>877</v>
      </c>
      <c r="F130" s="0" t="str">
        <f aca="false">CONCATENATE(D130," ",LEFT(H130,4),"T=",AU130,"D=",AV130,"R=",AW130,"M=",AX130,"L=",AY130,"B=",AZ130)</f>
        <v>MOYER T=7D=1R=0M=0L=0B=0</v>
      </c>
      <c r="G130" s="0" t="s">
        <v>190</v>
      </c>
      <c r="I130" s="0" t="s">
        <v>878</v>
      </c>
      <c r="J130" s="0" t="s">
        <v>879</v>
      </c>
      <c r="K130" s="0" t="s">
        <v>143</v>
      </c>
      <c r="M130" s="0" t="s">
        <v>867</v>
      </c>
      <c r="N130" s="0" t="str">
        <f aca="false">RIGHT(M130,LEN(M130)-FIND(" ",M130))</f>
        <v>BELLE ST SE</v>
      </c>
      <c r="O130" s="0" t="s">
        <v>868</v>
      </c>
      <c r="P130" s="0" t="s">
        <v>145</v>
      </c>
      <c r="Q130" s="0" t="s">
        <v>146</v>
      </c>
      <c r="R130" s="0" t="n">
        <v>44484</v>
      </c>
      <c r="AD130" s="0" t="s">
        <v>147</v>
      </c>
      <c r="AE130" s="0" t="s">
        <v>148</v>
      </c>
      <c r="AF130" s="0" t="s">
        <v>149</v>
      </c>
      <c r="AH130" s="0" t="n">
        <v>14</v>
      </c>
      <c r="AI130" s="0" t="n">
        <v>11</v>
      </c>
      <c r="AN130" s="0" t="s">
        <v>145</v>
      </c>
      <c r="AO130" s="0" t="s">
        <v>150</v>
      </c>
      <c r="AP130" s="0" t="s">
        <v>151</v>
      </c>
      <c r="AQ130" s="0" t="n">
        <v>9</v>
      </c>
      <c r="AR130" s="0" t="n">
        <v>64</v>
      </c>
      <c r="AS130" s="0" t="n">
        <v>32</v>
      </c>
      <c r="AU130" s="0" t="n">
        <f aca="false">COUNTA($BA$487:$EH$487)</f>
        <v>7</v>
      </c>
      <c r="AV130" s="0" t="n">
        <f aca="false">COUNTIF($BA$487:$EH$487,"D")</f>
        <v>1</v>
      </c>
      <c r="AW130" s="0" t="n">
        <f aca="false">COUNTIF($BA$487:$EH$487,"R")</f>
        <v>0</v>
      </c>
      <c r="AX130" s="0" t="n">
        <f aca="false">IF(BN130="D",1,0)+IF(BO130="D",1,0)+IF(BT130="D",1,0)+IF(BU130="D",1,0)+IF(BW130="D",1,0)+IF(CC130="D",1,0)+IF(CD130="D",1,0)+IF(CE130="D",1,0)+IF(CF130="D",1,0)+IF(CL130="D",1,0)+IF(CM130="D",1,0)+IF(CQ130="D",1,0)+IF(CR130="D",1,0)+IF(CS130="D",1,0)+IF(CW130="D",1,0)+IF(CX130="D",1,0)+IF(DD130="D",1,0)+IF(DE130="D",1,0)+IF(DJ130="D",1,0)+IF(DK130="D",1,0)+IF(DO130="D",1,0)+IF(DP130="D",1,0)+IF(DQ130="D",1,0)+IF(DW130="D",1,0)+IF(DZ130="D",1,0)+IF(EH130="D",1,0)</f>
        <v>0</v>
      </c>
      <c r="AY130" s="0" t="n">
        <f aca="false">COUNTIF(DU130:EH130, "&lt;&gt;")</f>
        <v>0</v>
      </c>
      <c r="AZ130" s="0" t="n">
        <f aca="false">IF(EH130&lt;&gt;"",1,0)</f>
        <v>0</v>
      </c>
      <c r="BB130" s="0" t="s">
        <v>152</v>
      </c>
    </row>
    <row r="131" customFormat="false" ht="13.8" hidden="true" customHeight="false" outlineLevel="0" collapsed="false">
      <c r="A131" s="0" t="s">
        <v>880</v>
      </c>
      <c r="B131" s="0" t="n">
        <v>78</v>
      </c>
      <c r="C131" s="0" t="n">
        <v>483784</v>
      </c>
      <c r="D131" s="0" t="s">
        <v>881</v>
      </c>
      <c r="E131" s="0" t="s">
        <v>140</v>
      </c>
      <c r="F131" s="0" t="str">
        <f aca="false">CONCATENATE(D131," ",LEFT(H131,4),"T=",AU131,"D=",AV131,"R=",AW131,"M=",AX131,"L=",AY131,"B=",AZ131)</f>
        <v>SLATER T=7D=1R=0M=0L=1B=0</v>
      </c>
      <c r="G131" s="0" t="s">
        <v>274</v>
      </c>
      <c r="I131" s="0" t="s">
        <v>882</v>
      </c>
      <c r="J131" s="0" t="s">
        <v>883</v>
      </c>
      <c r="K131" s="0" t="s">
        <v>160</v>
      </c>
      <c r="M131" s="0" t="s">
        <v>867</v>
      </c>
      <c r="N131" s="0" t="str">
        <f aca="false">RIGHT(M131,LEN(M131)-FIND(" ",M131))</f>
        <v>BELLE ST SE</v>
      </c>
      <c r="O131" s="0" t="s">
        <v>868</v>
      </c>
      <c r="P131" s="0" t="s">
        <v>145</v>
      </c>
      <c r="Q131" s="0" t="s">
        <v>146</v>
      </c>
      <c r="R131" s="0" t="n">
        <v>44484</v>
      </c>
      <c r="AD131" s="0" t="s">
        <v>147</v>
      </c>
      <c r="AE131" s="0" t="s">
        <v>148</v>
      </c>
      <c r="AF131" s="0" t="s">
        <v>149</v>
      </c>
      <c r="AH131" s="0" t="n">
        <v>14</v>
      </c>
      <c r="AI131" s="0" t="n">
        <v>11</v>
      </c>
      <c r="AN131" s="0" t="s">
        <v>145</v>
      </c>
      <c r="AO131" s="0" t="s">
        <v>150</v>
      </c>
      <c r="AP131" s="0" t="s">
        <v>151</v>
      </c>
      <c r="AQ131" s="0" t="n">
        <v>9</v>
      </c>
      <c r="AR131" s="0" t="n">
        <v>64</v>
      </c>
      <c r="AS131" s="0" t="n">
        <v>32</v>
      </c>
      <c r="AU131" s="0" t="n">
        <f aca="false">COUNTA($BA$581:$EH$581)</f>
        <v>7</v>
      </c>
      <c r="AV131" s="0" t="n">
        <f aca="false">COUNTIF($BA$581:$EH$581,"D")</f>
        <v>1</v>
      </c>
      <c r="AW131" s="0" t="n">
        <f aca="false">COUNTIF($BA$581:$EH$581,"R")</f>
        <v>0</v>
      </c>
      <c r="AX131" s="0" t="n">
        <f aca="false">IF(BN131="D",1,0)+IF(BO131="D",1,0)+IF(BT131="D",1,0)+IF(BU131="D",1,0)+IF(BW131="D",1,0)+IF(CC131="D",1,0)+IF(CD131="D",1,0)+IF(CE131="D",1,0)+IF(CF131="D",1,0)+IF(CL131="D",1,0)+IF(CM131="D",1,0)+IF(CQ131="D",1,0)+IF(CR131="D",1,0)+IF(CS131="D",1,0)+IF(CW131="D",1,0)+IF(CX131="D",1,0)+IF(DD131="D",1,0)+IF(DE131="D",1,0)+IF(DJ131="D",1,0)+IF(DK131="D",1,0)+IF(DO131="D",1,0)+IF(DP131="D",1,0)+IF(DQ131="D",1,0)+IF(DW131="D",1,0)+IF(DZ131="D",1,0)+IF(EH131="D",1,0)</f>
        <v>0</v>
      </c>
      <c r="AY131" s="0" t="n">
        <f aca="false">COUNTIF(DU131:EH131, "&lt;&gt;")</f>
        <v>1</v>
      </c>
      <c r="AZ131" s="0" t="n">
        <f aca="false">IF(EH131&lt;&gt;"",1,0)</f>
        <v>0</v>
      </c>
      <c r="BB131" s="0" t="s">
        <v>152</v>
      </c>
      <c r="DC131" s="0" t="s">
        <v>153</v>
      </c>
      <c r="EF131" s="0" t="s">
        <v>153</v>
      </c>
    </row>
    <row r="132" customFormat="false" ht="13.8" hidden="true" customHeight="false" outlineLevel="0" collapsed="false">
      <c r="A132" s="0" t="s">
        <v>884</v>
      </c>
      <c r="B132" s="0" t="n">
        <v>78</v>
      </c>
      <c r="C132" s="0" t="n">
        <v>408043</v>
      </c>
      <c r="D132" s="0" t="s">
        <v>885</v>
      </c>
      <c r="E132" s="0" t="s">
        <v>658</v>
      </c>
      <c r="F132" s="0" t="str">
        <f aca="false">CONCATENATE(D132," ",LEFT(H132,4),"T=",AU132,"D=",AV132,"R=",AW132,"M=",AX132,"L=",AY132,"B=",AZ132)</f>
        <v>BUTCHER T=22D=6R=0M=0L=0B=0</v>
      </c>
      <c r="G132" s="0" t="s">
        <v>175</v>
      </c>
      <c r="I132" s="0" t="s">
        <v>886</v>
      </c>
      <c r="J132" s="0" t="s">
        <v>887</v>
      </c>
      <c r="K132" s="0" t="s">
        <v>143</v>
      </c>
      <c r="M132" s="0" t="s">
        <v>888</v>
      </c>
      <c r="N132" s="0" t="str">
        <f aca="false">RIGHT(M132,LEN(M132)-FIND(" ",M132))</f>
        <v>BELLE ST SE</v>
      </c>
      <c r="P132" s="0" t="s">
        <v>145</v>
      </c>
      <c r="Q132" s="0" t="s">
        <v>146</v>
      </c>
      <c r="R132" s="0" t="n">
        <v>44484</v>
      </c>
      <c r="AD132" s="0" t="s">
        <v>147</v>
      </c>
      <c r="AE132" s="0" t="s">
        <v>148</v>
      </c>
      <c r="AF132" s="0" t="s">
        <v>149</v>
      </c>
      <c r="AH132" s="0" t="n">
        <v>14</v>
      </c>
      <c r="AI132" s="0" t="n">
        <v>11</v>
      </c>
      <c r="AN132" s="0" t="s">
        <v>145</v>
      </c>
      <c r="AO132" s="0" t="s">
        <v>150</v>
      </c>
      <c r="AP132" s="0" t="s">
        <v>151</v>
      </c>
      <c r="AQ132" s="0" t="n">
        <v>9</v>
      </c>
      <c r="AR132" s="0" t="n">
        <v>64</v>
      </c>
      <c r="AS132" s="0" t="n">
        <v>32</v>
      </c>
      <c r="AU132" s="0" t="n">
        <f aca="false">COUNTA($BA$529:$EH$529)</f>
        <v>22</v>
      </c>
      <c r="AV132" s="0" t="n">
        <f aca="false">COUNTIF($BA$529:$EH$529,"D")</f>
        <v>6</v>
      </c>
      <c r="AW132" s="0" t="n">
        <f aca="false">COUNTIF($BA$529:$EH$529,"R")</f>
        <v>0</v>
      </c>
      <c r="AX132" s="0" t="n">
        <f aca="false">IF(BN132="D",1,0)+IF(BO132="D",1,0)+IF(BT132="D",1,0)+IF(BU132="D",1,0)+IF(BW132="D",1,0)+IF(CC132="D",1,0)+IF(CD132="D",1,0)+IF(CE132="D",1,0)+IF(CF132="D",1,0)+IF(CL132="D",1,0)+IF(CM132="D",1,0)+IF(CQ132="D",1,0)+IF(CR132="D",1,0)+IF(CS132="D",1,0)+IF(CW132="D",1,0)+IF(CX132="D",1,0)+IF(DD132="D",1,0)+IF(DE132="D",1,0)+IF(DJ132="D",1,0)+IF(DK132="D",1,0)+IF(DO132="D",1,0)+IF(DP132="D",1,0)+IF(DQ132="D",1,0)+IF(DW132="D",1,0)+IF(DZ132="D",1,0)+IF(EH132="D",1,0)</f>
        <v>0</v>
      </c>
      <c r="AY132" s="0" t="n">
        <f aca="false">COUNTIF(DU132:EH132, "&lt;&gt;")</f>
        <v>0</v>
      </c>
      <c r="AZ132" s="0" t="n">
        <f aca="false">IF(EH132&lt;&gt;"",1,0)</f>
        <v>0</v>
      </c>
      <c r="BB132" s="0" t="s">
        <v>152</v>
      </c>
      <c r="CY132" s="0" t="s">
        <v>153</v>
      </c>
    </row>
    <row r="133" customFormat="false" ht="13.8" hidden="true" customHeight="false" outlineLevel="0" collapsed="false">
      <c r="A133" s="0" t="s">
        <v>889</v>
      </c>
      <c r="B133" s="0" t="n">
        <v>78</v>
      </c>
      <c r="C133" s="0" t="n">
        <v>352756</v>
      </c>
      <c r="D133" s="0" t="s">
        <v>885</v>
      </c>
      <c r="E133" s="0" t="s">
        <v>719</v>
      </c>
      <c r="F133" s="0" t="str">
        <f aca="false">CONCATENATE(D133," ",LEFT(H133,4),"T=",AU133,"D=",AV133,"R=",AW133,"M=",AX133,"L=",AY133,"B=",AZ133)</f>
        <v>BUTCHER T=1D=0R=0M=0L=0B=0</v>
      </c>
      <c r="G133" s="0" t="s">
        <v>890</v>
      </c>
      <c r="I133" s="0" t="s">
        <v>891</v>
      </c>
      <c r="J133" s="0" t="s">
        <v>892</v>
      </c>
      <c r="K133" s="0" t="s">
        <v>143</v>
      </c>
      <c r="M133" s="0" t="s">
        <v>888</v>
      </c>
      <c r="N133" s="0" t="str">
        <f aca="false">RIGHT(M133,LEN(M133)-FIND(" ",M133))</f>
        <v>BELLE ST SE</v>
      </c>
      <c r="P133" s="0" t="s">
        <v>145</v>
      </c>
      <c r="Q133" s="0" t="s">
        <v>146</v>
      </c>
      <c r="R133" s="0" t="n">
        <v>44484</v>
      </c>
      <c r="AD133" s="0" t="s">
        <v>147</v>
      </c>
      <c r="AE133" s="0" t="s">
        <v>148</v>
      </c>
      <c r="AF133" s="0" t="s">
        <v>149</v>
      </c>
      <c r="AH133" s="0" t="n">
        <v>14</v>
      </c>
      <c r="AI133" s="0" t="n">
        <v>11</v>
      </c>
      <c r="AN133" s="0" t="s">
        <v>145</v>
      </c>
      <c r="AO133" s="0" t="s">
        <v>150</v>
      </c>
      <c r="AP133" s="0" t="s">
        <v>151</v>
      </c>
      <c r="AQ133" s="0" t="n">
        <v>9</v>
      </c>
      <c r="AR133" s="0" t="n">
        <v>64</v>
      </c>
      <c r="AS133" s="0" t="n">
        <v>32</v>
      </c>
      <c r="AU133" s="0" t="n">
        <f aca="false">COUNTA($BA$697:$EH$697)</f>
        <v>1</v>
      </c>
      <c r="AV133" s="0" t="n">
        <f aca="false">COUNTIF($BA$697:$EH$697,"D")</f>
        <v>0</v>
      </c>
      <c r="AW133" s="0" t="n">
        <f aca="false">COUNTIF($BA$697:$EH$697,"R")</f>
        <v>0</v>
      </c>
      <c r="AX133" s="0" t="n">
        <f aca="false">IF(BN133="D",1,0)+IF(BO133="D",1,0)+IF(BT133="D",1,0)+IF(BU133="D",1,0)+IF(BW133="D",1,0)+IF(CC133="D",1,0)+IF(CD133="D",1,0)+IF(CE133="D",1,0)+IF(CF133="D",1,0)+IF(CL133="D",1,0)+IF(CM133="D",1,0)+IF(CQ133="D",1,0)+IF(CR133="D",1,0)+IF(CS133="D",1,0)+IF(CW133="D",1,0)+IF(CX133="D",1,0)+IF(DD133="D",1,0)+IF(DE133="D",1,0)+IF(DJ133="D",1,0)+IF(DK133="D",1,0)+IF(DO133="D",1,0)+IF(DP133="D",1,0)+IF(DQ133="D",1,0)+IF(DW133="D",1,0)+IF(DZ133="D",1,0)+IF(EH133="D",1,0)</f>
        <v>0</v>
      </c>
      <c r="AY133" s="0" t="n">
        <f aca="false">COUNTIF(DU133:EH133, "&lt;&gt;")</f>
        <v>0</v>
      </c>
      <c r="AZ133" s="0" t="n">
        <f aca="false">IF(EH133&lt;&gt;"",1,0)</f>
        <v>0</v>
      </c>
      <c r="BB133" s="0" t="s">
        <v>152</v>
      </c>
      <c r="BV133" s="0" t="s">
        <v>153</v>
      </c>
      <c r="CA133" s="0" t="s">
        <v>153</v>
      </c>
      <c r="CG133" s="0" t="s">
        <v>153</v>
      </c>
    </row>
    <row r="134" customFormat="false" ht="13.8" hidden="false" customHeight="false" outlineLevel="0" collapsed="false">
      <c r="A134" s="0" t="s">
        <v>893</v>
      </c>
      <c r="B134" s="0" t="n">
        <v>78</v>
      </c>
      <c r="C134" s="0" t="n">
        <v>391630</v>
      </c>
      <c r="D134" s="0" t="s">
        <v>894</v>
      </c>
      <c r="E134" s="0" t="s">
        <v>895</v>
      </c>
      <c r="F134" s="0" t="str">
        <f aca="false">CONCATENATE(D134," ",LEFT(H134,4),"T=",AU134,"D=",AV134,"R=",AW134,"M=",AX134,"L=",AY134,"B=",AZ134)</f>
        <v>HOWE T=24D=5R=0M=0L=2B=0</v>
      </c>
      <c r="G134" s="0" t="s">
        <v>164</v>
      </c>
      <c r="I134" s="0" t="s">
        <v>896</v>
      </c>
      <c r="J134" s="0" t="s">
        <v>897</v>
      </c>
      <c r="K134" s="0" t="s">
        <v>160</v>
      </c>
      <c r="M134" s="0" t="s">
        <v>898</v>
      </c>
      <c r="N134" s="0" t="str">
        <f aca="false">RIGHT(M134,LEN(M134)-FIND(" ",M134))</f>
        <v>BELLE ST SE</v>
      </c>
      <c r="P134" s="0" t="s">
        <v>145</v>
      </c>
      <c r="Q134" s="0" t="s">
        <v>146</v>
      </c>
      <c r="R134" s="0" t="n">
        <v>44484</v>
      </c>
      <c r="AD134" s="0" t="s">
        <v>147</v>
      </c>
      <c r="AE134" s="0" t="s">
        <v>148</v>
      </c>
      <c r="AF134" s="0" t="s">
        <v>149</v>
      </c>
      <c r="AH134" s="0" t="n">
        <v>14</v>
      </c>
      <c r="AI134" s="0" t="n">
        <v>11</v>
      </c>
      <c r="AN134" s="0" t="s">
        <v>145</v>
      </c>
      <c r="AO134" s="0" t="s">
        <v>150</v>
      </c>
      <c r="AP134" s="0" t="s">
        <v>151</v>
      </c>
      <c r="AQ134" s="0" t="n">
        <v>9</v>
      </c>
      <c r="AR134" s="0" t="n">
        <v>64</v>
      </c>
      <c r="AS134" s="0" t="n">
        <v>32</v>
      </c>
      <c r="AU134" s="0" t="n">
        <f aca="false">COUNTA($BA$572:$EH$572)</f>
        <v>24</v>
      </c>
      <c r="AV134" s="0" t="n">
        <f aca="false">COUNTIF($BA$572:$EH$572,"D")</f>
        <v>5</v>
      </c>
      <c r="AW134" s="0" t="n">
        <f aca="false">COUNTIF($BA$572:$EH$572,"R")</f>
        <v>0</v>
      </c>
      <c r="AX134" s="0" t="n">
        <f aca="false">IF(BN134="D",1,0)+IF(BO134="D",1,0)+IF(BT134="D",1,0)+IF(BU134="D",1,0)+IF(BW134="D",1,0)+IF(CC134="D",1,0)+IF(CD134="D",1,0)+IF(CE134="D",1,0)+IF(CF134="D",1,0)+IF(CL134="D",1,0)+IF(CM134="D",1,0)+IF(CQ134="D",1,0)+IF(CR134="D",1,0)+IF(CS134="D",1,0)+IF(CW134="D",1,0)+IF(CX134="D",1,0)+IF(DD134="D",1,0)+IF(DE134="D",1,0)+IF(DJ134="D",1,0)+IF(DK134="D",1,0)+IF(DO134="D",1,0)+IF(DP134="D",1,0)+IF(DQ134="D",1,0)+IF(DW134="D",1,0)+IF(DZ134="D",1,0)+IF(EH134="D",1,0)</f>
        <v>0</v>
      </c>
      <c r="AY134" s="0" t="n">
        <f aca="false">COUNTIF(DU134:EH134, "&lt;&gt;")</f>
        <v>2</v>
      </c>
      <c r="AZ134" s="0" t="n">
        <f aca="false">IF(EH134&lt;&gt;"",1,0)</f>
        <v>0</v>
      </c>
      <c r="BB134" s="0" t="s">
        <v>152</v>
      </c>
      <c r="CP134" s="0" t="s">
        <v>153</v>
      </c>
      <c r="CY134" s="0" t="s">
        <v>153</v>
      </c>
      <c r="CZ134" s="0" t="s">
        <v>175</v>
      </c>
      <c r="DC134" s="0" t="s">
        <v>153</v>
      </c>
      <c r="DI134" s="0" t="s">
        <v>153</v>
      </c>
      <c r="DN134" s="0" t="s">
        <v>153</v>
      </c>
      <c r="EA134" s="0" t="s">
        <v>153</v>
      </c>
      <c r="EF134" s="0" t="s">
        <v>153</v>
      </c>
    </row>
    <row r="135" customFormat="false" ht="13.8" hidden="true" customHeight="false" outlineLevel="0" collapsed="false">
      <c r="A135" s="0" t="s">
        <v>899</v>
      </c>
      <c r="B135" s="0" t="n">
        <v>78</v>
      </c>
      <c r="C135" s="0" t="n">
        <v>452678</v>
      </c>
      <c r="D135" s="0" t="s">
        <v>900</v>
      </c>
      <c r="E135" s="0" t="s">
        <v>274</v>
      </c>
      <c r="F135" s="0" t="str">
        <f aca="false">CONCATENATE(D135," ",LEFT(H135,4),"T=",AU135,"D=",AV135,"R=",AW135,"M=",AX135,"L=",AY135,"B=",AZ135)</f>
        <v>HUTCHISON T=2D=0R=0M=0L=0B=0</v>
      </c>
      <c r="G135" s="0" t="s">
        <v>901</v>
      </c>
      <c r="I135" s="0" t="s">
        <v>902</v>
      </c>
      <c r="J135" s="0" t="s">
        <v>903</v>
      </c>
      <c r="K135" s="0" t="s">
        <v>143</v>
      </c>
      <c r="M135" s="0" t="s">
        <v>898</v>
      </c>
      <c r="N135" s="0" t="str">
        <f aca="false">RIGHT(M135,LEN(M135)-FIND(" ",M135))</f>
        <v>BELLE ST SE</v>
      </c>
      <c r="P135" s="0" t="s">
        <v>145</v>
      </c>
      <c r="Q135" s="0" t="s">
        <v>146</v>
      </c>
      <c r="R135" s="0" t="n">
        <v>44484</v>
      </c>
      <c r="AD135" s="0" t="s">
        <v>147</v>
      </c>
      <c r="AE135" s="0" t="s">
        <v>148</v>
      </c>
      <c r="AF135" s="0" t="s">
        <v>149</v>
      </c>
      <c r="AH135" s="0" t="n">
        <v>14</v>
      </c>
      <c r="AI135" s="0" t="n">
        <v>11</v>
      </c>
      <c r="AN135" s="0" t="s">
        <v>145</v>
      </c>
      <c r="AO135" s="0" t="s">
        <v>150</v>
      </c>
      <c r="AP135" s="0" t="s">
        <v>151</v>
      </c>
      <c r="AQ135" s="0" t="n">
        <v>9</v>
      </c>
      <c r="AR135" s="0" t="n">
        <v>64</v>
      </c>
      <c r="AS135" s="0" t="n">
        <v>32</v>
      </c>
      <c r="AU135" s="0" t="n">
        <f aca="false">COUNTA($BA$578:$EH$578)</f>
        <v>2</v>
      </c>
      <c r="AV135" s="0" t="n">
        <f aca="false">COUNTIF($BA$578:$EH$578,"D")</f>
        <v>0</v>
      </c>
      <c r="AW135" s="0" t="n">
        <f aca="false">COUNTIF($BA$578:$EH$578,"R")</f>
        <v>0</v>
      </c>
      <c r="AX135" s="0" t="n">
        <f aca="false">IF(BN135="D",1,0)+IF(BO135="D",1,0)+IF(BT135="D",1,0)+IF(BU135="D",1,0)+IF(BW135="D",1,0)+IF(CC135="D",1,0)+IF(CD135="D",1,0)+IF(CE135="D",1,0)+IF(CF135="D",1,0)+IF(CL135="D",1,0)+IF(CM135="D",1,0)+IF(CQ135="D",1,0)+IF(CR135="D",1,0)+IF(CS135="D",1,0)+IF(CW135="D",1,0)+IF(CX135="D",1,0)+IF(DD135="D",1,0)+IF(DE135="D",1,0)+IF(DJ135="D",1,0)+IF(DK135="D",1,0)+IF(DO135="D",1,0)+IF(DP135="D",1,0)+IF(DQ135="D",1,0)+IF(DW135="D",1,0)+IF(DZ135="D",1,0)+IF(EH135="D",1,0)</f>
        <v>0</v>
      </c>
      <c r="AY135" s="0" t="n">
        <f aca="false">COUNTIF(DU135:EH135, "&lt;&gt;")</f>
        <v>0</v>
      </c>
      <c r="AZ135" s="0" t="n">
        <f aca="false">IF(EH135&lt;&gt;"",1,0)</f>
        <v>0</v>
      </c>
      <c r="BB135" s="0" t="s">
        <v>152</v>
      </c>
      <c r="DN135" s="0" t="s">
        <v>153</v>
      </c>
    </row>
    <row r="136" customFormat="false" ht="13.8" hidden="true" customHeight="false" outlineLevel="0" collapsed="false">
      <c r="A136" s="0" t="s">
        <v>904</v>
      </c>
      <c r="B136" s="0" t="n">
        <v>78</v>
      </c>
      <c r="C136" s="0" t="n">
        <v>322650</v>
      </c>
      <c r="D136" s="0" t="s">
        <v>193</v>
      </c>
      <c r="E136" s="0" t="s">
        <v>905</v>
      </c>
      <c r="F136" s="0" t="str">
        <f aca="false">CONCATENATE(D136," ",LEFT(H136,4),"T=",AU136,"D=",AV136,"R=",AW136,"M=",AX136,"L=",AY136,"B=",AZ136)</f>
        <v>MORGAN T=21D=6R=0M=0L=0B=0</v>
      </c>
      <c r="I136" s="0" t="s">
        <v>906</v>
      </c>
      <c r="J136" s="0" t="s">
        <v>907</v>
      </c>
      <c r="K136" s="0" t="s">
        <v>143</v>
      </c>
      <c r="M136" s="0" t="s">
        <v>908</v>
      </c>
      <c r="N136" s="0" t="str">
        <f aca="false">RIGHT(M136,LEN(M136)-FIND(" ",M136))</f>
        <v>BELLE ST SE</v>
      </c>
      <c r="P136" s="0" t="s">
        <v>145</v>
      </c>
      <c r="Q136" s="0" t="s">
        <v>146</v>
      </c>
      <c r="R136" s="0" t="n">
        <v>44484</v>
      </c>
      <c r="AD136" s="0" t="s">
        <v>147</v>
      </c>
      <c r="AE136" s="0" t="s">
        <v>148</v>
      </c>
      <c r="AF136" s="0" t="s">
        <v>149</v>
      </c>
      <c r="AH136" s="0" t="n">
        <v>14</v>
      </c>
      <c r="AI136" s="0" t="n">
        <v>11</v>
      </c>
      <c r="AN136" s="0" t="s">
        <v>145</v>
      </c>
      <c r="AO136" s="0" t="s">
        <v>150</v>
      </c>
      <c r="AP136" s="0" t="s">
        <v>151</v>
      </c>
      <c r="AQ136" s="0" t="n">
        <v>9</v>
      </c>
      <c r="AR136" s="0" t="n">
        <v>64</v>
      </c>
      <c r="AS136" s="0" t="n">
        <v>32</v>
      </c>
      <c r="AU136" s="0" t="n">
        <f aca="false">COUNTA($BA$399:$EH$399)</f>
        <v>21</v>
      </c>
      <c r="AV136" s="0" t="n">
        <f aca="false">COUNTIF($BA$399:$EH$399,"D")</f>
        <v>6</v>
      </c>
      <c r="AW136" s="0" t="n">
        <f aca="false">COUNTIF($BA$399:$EH$399,"R")</f>
        <v>0</v>
      </c>
      <c r="AX136" s="0" t="n">
        <f aca="false">IF(BN136="D",1,0)+IF(BO136="D",1,0)+IF(BT136="D",1,0)+IF(BU136="D",1,0)+IF(BW136="D",1,0)+IF(CC136="D",1,0)+IF(CD136="D",1,0)+IF(CE136="D",1,0)+IF(CF136="D",1,0)+IF(CL136="D",1,0)+IF(CM136="D",1,0)+IF(CQ136="D",1,0)+IF(CR136="D",1,0)+IF(CS136="D",1,0)+IF(CW136="D",1,0)+IF(CX136="D",1,0)+IF(DD136="D",1,0)+IF(DE136="D",1,0)+IF(DJ136="D",1,0)+IF(DK136="D",1,0)+IF(DO136="D",1,0)+IF(DP136="D",1,0)+IF(DQ136="D",1,0)+IF(DW136="D",1,0)+IF(DZ136="D",1,0)+IF(EH136="D",1,0)</f>
        <v>0</v>
      </c>
      <c r="AY136" s="0" t="n">
        <f aca="false">COUNTIF(DU136:EH136, "&lt;&gt;")</f>
        <v>0</v>
      </c>
      <c r="AZ136" s="0" t="n">
        <f aca="false">IF(EH136&lt;&gt;"",1,0)</f>
        <v>0</v>
      </c>
      <c r="BB136" s="0" t="s">
        <v>152</v>
      </c>
      <c r="BL136" s="0" t="s">
        <v>153</v>
      </c>
      <c r="BP136" s="0" t="s">
        <v>153</v>
      </c>
      <c r="BR136" s="0" t="s">
        <v>153</v>
      </c>
      <c r="BS136" s="0" t="s">
        <v>153</v>
      </c>
      <c r="BY136" s="0" t="s">
        <v>175</v>
      </c>
      <c r="CA136" s="0" t="s">
        <v>153</v>
      </c>
      <c r="CK136" s="0" t="s">
        <v>153</v>
      </c>
      <c r="CN136" s="0" t="s">
        <v>153</v>
      </c>
      <c r="CP136" s="0" t="s">
        <v>153</v>
      </c>
      <c r="CV136" s="0" t="s">
        <v>153</v>
      </c>
      <c r="CY136" s="0" t="s">
        <v>153</v>
      </c>
      <c r="CZ136" s="0" t="s">
        <v>175</v>
      </c>
      <c r="DC136" s="0" t="s">
        <v>153</v>
      </c>
      <c r="DI136" s="0" t="s">
        <v>153</v>
      </c>
      <c r="DN136" s="0" t="s">
        <v>153</v>
      </c>
    </row>
    <row r="137" customFormat="false" ht="13.8" hidden="false" customHeight="false" outlineLevel="0" collapsed="false">
      <c r="A137" s="0" t="s">
        <v>909</v>
      </c>
      <c r="B137" s="0" t="n">
        <v>78</v>
      </c>
      <c r="C137" s="0" t="n">
        <v>326627</v>
      </c>
      <c r="D137" s="0" t="s">
        <v>193</v>
      </c>
      <c r="E137" s="0" t="s">
        <v>910</v>
      </c>
      <c r="F137" s="0" t="str">
        <f aca="false">CONCATENATE(D137," ",LEFT(H137,4),"T=",AU137,"D=",AV137,"R=",AW137,"M=",AX137,"L=",AY137,"B=",AZ137)</f>
        <v>MORGAN T=7D=0R=0M=0L=4B=0</v>
      </c>
      <c r="G137" s="0" t="s">
        <v>190</v>
      </c>
      <c r="I137" s="0" t="s">
        <v>911</v>
      </c>
      <c r="J137" s="0" t="s">
        <v>912</v>
      </c>
      <c r="K137" s="0" t="s">
        <v>160</v>
      </c>
      <c r="M137" s="0" t="s">
        <v>908</v>
      </c>
      <c r="N137" s="0" t="str">
        <f aca="false">RIGHT(M137,LEN(M137)-FIND(" ",M137))</f>
        <v>BELLE ST SE</v>
      </c>
      <c r="P137" s="0" t="s">
        <v>145</v>
      </c>
      <c r="Q137" s="0" t="s">
        <v>146</v>
      </c>
      <c r="R137" s="0" t="n">
        <v>44484</v>
      </c>
      <c r="AD137" s="0" t="s">
        <v>147</v>
      </c>
      <c r="AE137" s="0" t="s">
        <v>148</v>
      </c>
      <c r="AF137" s="0" t="s">
        <v>149</v>
      </c>
      <c r="AH137" s="0" t="n">
        <v>14</v>
      </c>
      <c r="AI137" s="0" t="n">
        <v>11</v>
      </c>
      <c r="AN137" s="0" t="s">
        <v>145</v>
      </c>
      <c r="AO137" s="0" t="s">
        <v>150</v>
      </c>
      <c r="AP137" s="0" t="s">
        <v>151</v>
      </c>
      <c r="AQ137" s="0" t="n">
        <v>9</v>
      </c>
      <c r="AR137" s="0" t="n">
        <v>64</v>
      </c>
      <c r="AS137" s="0" t="n">
        <v>32</v>
      </c>
      <c r="AU137" s="0" t="n">
        <f aca="false">COUNTA($BA$823:$EH$823)</f>
        <v>7</v>
      </c>
      <c r="AV137" s="0" t="n">
        <f aca="false">COUNTIF($BA$823:$EH$823,"D")</f>
        <v>0</v>
      </c>
      <c r="AW137" s="0" t="n">
        <f aca="false">COUNTIF($BA$823:$EH$823,"R")</f>
        <v>0</v>
      </c>
      <c r="AX137" s="0" t="n">
        <f aca="false">IF(BN137="D",1,0)+IF(BO137="D",1,0)+IF(BT137="D",1,0)+IF(BU137="D",1,0)+IF(BW137="D",1,0)+IF(CC137="D",1,0)+IF(CD137="D",1,0)+IF(CE137="D",1,0)+IF(CF137="D",1,0)+IF(CL137="D",1,0)+IF(CM137="D",1,0)+IF(CQ137="D",1,0)+IF(CR137="D",1,0)+IF(CS137="D",1,0)+IF(CW137="D",1,0)+IF(CX137="D",1,0)+IF(DD137="D",1,0)+IF(DE137="D",1,0)+IF(DJ137="D",1,0)+IF(DK137="D",1,0)+IF(DO137="D",1,0)+IF(DP137="D",1,0)+IF(DQ137="D",1,0)+IF(DW137="D",1,0)+IF(DZ137="D",1,0)+IF(EH137="D",1,0)</f>
        <v>0</v>
      </c>
      <c r="AY137" s="0" t="n">
        <f aca="false">COUNTIF(DU137:EH137, "&lt;&gt;")</f>
        <v>4</v>
      </c>
      <c r="AZ137" s="0" t="n">
        <f aca="false">IF(EH137&lt;&gt;"",1,0)</f>
        <v>0</v>
      </c>
      <c r="BB137" s="0" t="s">
        <v>152</v>
      </c>
      <c r="BL137" s="0" t="s">
        <v>153</v>
      </c>
      <c r="BS137" s="0" t="s">
        <v>153</v>
      </c>
      <c r="BY137" s="0" t="s">
        <v>175</v>
      </c>
      <c r="CA137" s="0" t="s">
        <v>153</v>
      </c>
      <c r="CK137" s="0" t="s">
        <v>153</v>
      </c>
      <c r="CN137" s="0" t="s">
        <v>153</v>
      </c>
      <c r="CP137" s="0" t="s">
        <v>153</v>
      </c>
      <c r="CV137" s="0" t="s">
        <v>153</v>
      </c>
      <c r="CY137" s="0" t="s">
        <v>153</v>
      </c>
      <c r="CZ137" s="0" t="s">
        <v>175</v>
      </c>
      <c r="DC137" s="0" t="s">
        <v>153</v>
      </c>
      <c r="DI137" s="0" t="s">
        <v>153</v>
      </c>
      <c r="DM137" s="0" t="s">
        <v>175</v>
      </c>
      <c r="DN137" s="0" t="s">
        <v>153</v>
      </c>
      <c r="DU137" s="0" t="s">
        <v>153</v>
      </c>
      <c r="DX137" s="0" t="s">
        <v>153</v>
      </c>
      <c r="EA137" s="0" t="s">
        <v>153</v>
      </c>
      <c r="EF137" s="0" t="s">
        <v>153</v>
      </c>
    </row>
    <row r="138" customFormat="false" ht="13.8" hidden="true" customHeight="false" outlineLevel="0" collapsed="false">
      <c r="A138" s="0" t="s">
        <v>913</v>
      </c>
      <c r="B138" s="0" t="n">
        <v>78</v>
      </c>
      <c r="C138" s="0" t="n">
        <v>460098</v>
      </c>
      <c r="D138" s="0" t="s">
        <v>193</v>
      </c>
      <c r="E138" s="0" t="s">
        <v>914</v>
      </c>
      <c r="F138" s="0" t="str">
        <f aca="false">CONCATENATE(D138," ",LEFT(H138,4),"T=",AU138,"D=",AV138,"R=",AW138,"M=",AX138,"L=",AY138,"B=",AZ138)</f>
        <v>MORGAN T=1D=0R=0M=0L=0B=0</v>
      </c>
      <c r="G138" s="0" t="s">
        <v>379</v>
      </c>
      <c r="I138" s="0" t="s">
        <v>915</v>
      </c>
      <c r="J138" s="0" t="s">
        <v>916</v>
      </c>
      <c r="K138" s="0" t="s">
        <v>143</v>
      </c>
      <c r="M138" s="0" t="s">
        <v>917</v>
      </c>
      <c r="N138" s="0" t="str">
        <f aca="false">RIGHT(M138,LEN(M138)-FIND(" ",M138))</f>
        <v>BELLE ST SE</v>
      </c>
      <c r="P138" s="0" t="s">
        <v>145</v>
      </c>
      <c r="Q138" s="0" t="s">
        <v>146</v>
      </c>
      <c r="R138" s="0" t="n">
        <v>44484</v>
      </c>
      <c r="AD138" s="0" t="s">
        <v>147</v>
      </c>
      <c r="AE138" s="0" t="s">
        <v>148</v>
      </c>
      <c r="AF138" s="0" t="s">
        <v>149</v>
      </c>
      <c r="AH138" s="0" t="n">
        <v>14</v>
      </c>
      <c r="AI138" s="0" t="n">
        <v>11</v>
      </c>
      <c r="AN138" s="0" t="s">
        <v>145</v>
      </c>
      <c r="AO138" s="0" t="s">
        <v>150</v>
      </c>
      <c r="AP138" s="0" t="s">
        <v>151</v>
      </c>
      <c r="AQ138" s="0" t="n">
        <v>9</v>
      </c>
      <c r="AR138" s="0" t="n">
        <v>64</v>
      </c>
      <c r="AS138" s="0" t="n">
        <v>32</v>
      </c>
      <c r="AU138" s="0" t="n">
        <f aca="false">COUNTA($BA$51:$EH$51)</f>
        <v>1</v>
      </c>
      <c r="AV138" s="0" t="n">
        <f aca="false">COUNTIF($BA$51:$EH$51,"D")</f>
        <v>0</v>
      </c>
      <c r="AW138" s="0" t="n">
        <f aca="false">COUNTIF($BA$51:$EH$51,"R")</f>
        <v>0</v>
      </c>
      <c r="AX138" s="0" t="n">
        <f aca="false">IF(BN138="D",1,0)+IF(BO138="D",1,0)+IF(BT138="D",1,0)+IF(BU138="D",1,0)+IF(BW138="D",1,0)+IF(CC138="D",1,0)+IF(CD138="D",1,0)+IF(CE138="D",1,0)+IF(CF138="D",1,0)+IF(CL138="D",1,0)+IF(CM138="D",1,0)+IF(CQ138="D",1,0)+IF(CR138="D",1,0)+IF(CS138="D",1,0)+IF(CW138="D",1,0)+IF(CX138="D",1,0)+IF(DD138="D",1,0)+IF(DE138="D",1,0)+IF(DJ138="D",1,0)+IF(DK138="D",1,0)+IF(DO138="D",1,0)+IF(DP138="D",1,0)+IF(DQ138="D",1,0)+IF(DW138="D",1,0)+IF(DZ138="D",1,0)+IF(EH138="D",1,0)</f>
        <v>0</v>
      </c>
      <c r="AY138" s="0" t="n">
        <f aca="false">COUNTIF(DU138:EH138, "&lt;&gt;")</f>
        <v>0</v>
      </c>
      <c r="AZ138" s="0" t="n">
        <f aca="false">IF(EH138&lt;&gt;"",1,0)</f>
        <v>0</v>
      </c>
      <c r="BB138" s="0" t="s">
        <v>152</v>
      </c>
    </row>
    <row r="139" customFormat="false" ht="13.8" hidden="true" customHeight="false" outlineLevel="0" collapsed="false">
      <c r="A139" s="0" t="s">
        <v>918</v>
      </c>
      <c r="B139" s="0" t="n">
        <v>78</v>
      </c>
      <c r="C139" s="0" t="n">
        <v>458056</v>
      </c>
      <c r="D139" s="0" t="s">
        <v>919</v>
      </c>
      <c r="E139" s="0" t="s">
        <v>224</v>
      </c>
      <c r="F139" s="0" t="str">
        <f aca="false">CONCATENATE(D139," ",LEFT(H139,4),"T=",AU139,"D=",AV139,"R=",AW139,"M=",AX139,"L=",AY139,"B=",AZ139)</f>
        <v>MORAN T=1D=0R=0M=0L=0B=0</v>
      </c>
      <c r="G139" s="0" t="s">
        <v>379</v>
      </c>
      <c r="I139" s="0" t="s">
        <v>920</v>
      </c>
      <c r="J139" s="0" t="s">
        <v>921</v>
      </c>
      <c r="K139" s="0" t="s">
        <v>143</v>
      </c>
      <c r="M139" s="0" t="s">
        <v>922</v>
      </c>
      <c r="N139" s="0" t="str">
        <f aca="false">RIGHT(M139,LEN(M139)-FIND(" ",M139))</f>
        <v>BELMONT AVE NE</v>
      </c>
      <c r="P139" s="0" t="s">
        <v>145</v>
      </c>
      <c r="Q139" s="0" t="s">
        <v>146</v>
      </c>
      <c r="R139" s="0" t="n">
        <v>44483</v>
      </c>
      <c r="AD139" s="0" t="s">
        <v>147</v>
      </c>
      <c r="AE139" s="0" t="s">
        <v>148</v>
      </c>
      <c r="AF139" s="0" t="s">
        <v>149</v>
      </c>
      <c r="AH139" s="0" t="n">
        <v>14</v>
      </c>
      <c r="AI139" s="0" t="n">
        <v>11</v>
      </c>
      <c r="AN139" s="0" t="s">
        <v>145</v>
      </c>
      <c r="AO139" s="0" t="s">
        <v>654</v>
      </c>
      <c r="AP139" s="0" t="s">
        <v>655</v>
      </c>
      <c r="AQ139" s="0" t="n">
        <v>9</v>
      </c>
      <c r="AR139" s="0" t="n">
        <v>64</v>
      </c>
      <c r="AS139" s="0" t="n">
        <v>32</v>
      </c>
      <c r="AU139" s="0" t="n">
        <f aca="false">COUNTA($BA$1312:$EH$1312)</f>
        <v>1</v>
      </c>
      <c r="AV139" s="0" t="n">
        <f aca="false">COUNTIF($BA$1312:$EH$1312,"D")</f>
        <v>0</v>
      </c>
      <c r="AW139" s="0" t="n">
        <f aca="false">COUNTIF($BA$1312:$EH$1312,"R")</f>
        <v>0</v>
      </c>
      <c r="AX139" s="0" t="n">
        <f aca="false">IF(BN139="D",1,0)+IF(BO139="D",1,0)+IF(BT139="D",1,0)+IF(BU139="D",1,0)+IF(BW139="D",1,0)+IF(CC139="D",1,0)+IF(CD139="D",1,0)+IF(CE139="D",1,0)+IF(CF139="D",1,0)+IF(CL139="D",1,0)+IF(CM139="D",1,0)+IF(CQ139="D",1,0)+IF(CR139="D",1,0)+IF(CS139="D",1,0)+IF(CW139="D",1,0)+IF(CX139="D",1,0)+IF(DD139="D",1,0)+IF(DE139="D",1,0)+IF(DJ139="D",1,0)+IF(DK139="D",1,0)+IF(DO139="D",1,0)+IF(DP139="D",1,0)+IF(DQ139="D",1,0)+IF(DW139="D",1,0)+IF(DZ139="D",1,0)+IF(EH139="D",1,0)</f>
        <v>0</v>
      </c>
      <c r="AY139" s="0" t="n">
        <f aca="false">COUNTIF(DU139:EH139, "&lt;&gt;")</f>
        <v>0</v>
      </c>
      <c r="AZ139" s="0" t="n">
        <f aca="false">IF(EH139&lt;&gt;"",1,0)</f>
        <v>0</v>
      </c>
      <c r="BB139" s="0" t="s">
        <v>152</v>
      </c>
    </row>
    <row r="140" customFormat="false" ht="13.8" hidden="false" customHeight="false" outlineLevel="0" collapsed="false">
      <c r="A140" s="0" t="s">
        <v>923</v>
      </c>
      <c r="B140" s="0" t="n">
        <v>78</v>
      </c>
      <c r="C140" s="0" t="n">
        <v>401810</v>
      </c>
      <c r="D140" s="0" t="s">
        <v>924</v>
      </c>
      <c r="E140" s="0" t="s">
        <v>610</v>
      </c>
      <c r="F140" s="0" t="str">
        <f aca="false">CONCATENATE(D140," ",LEFT(H140,4),"T=",AU140,"D=",AV140,"R=",AW140,"M=",AX140,"L=",AY140,"B=",AZ140)</f>
        <v>BENTON T=1D=0R=0M=1L=5B=0</v>
      </c>
      <c r="G140" s="0" t="s">
        <v>164</v>
      </c>
      <c r="I140" s="0" t="s">
        <v>925</v>
      </c>
      <c r="J140" s="0" t="s">
        <v>693</v>
      </c>
      <c r="K140" s="0" t="s">
        <v>160</v>
      </c>
      <c r="L140" s="0" t="s">
        <v>175</v>
      </c>
      <c r="M140" s="0" t="s">
        <v>922</v>
      </c>
      <c r="N140" s="0" t="str">
        <f aca="false">RIGHT(M140,LEN(M140)-FIND(" ",M140))</f>
        <v>BELMONT AVE NE</v>
      </c>
      <c r="P140" s="0" t="s">
        <v>145</v>
      </c>
      <c r="Q140" s="0" t="s">
        <v>146</v>
      </c>
      <c r="R140" s="0" t="n">
        <v>44483</v>
      </c>
      <c r="AD140" s="0" t="s">
        <v>147</v>
      </c>
      <c r="AE140" s="0" t="s">
        <v>148</v>
      </c>
      <c r="AF140" s="0" t="s">
        <v>149</v>
      </c>
      <c r="AH140" s="0" t="n">
        <v>14</v>
      </c>
      <c r="AI140" s="0" t="n">
        <v>11</v>
      </c>
      <c r="AN140" s="0" t="s">
        <v>145</v>
      </c>
      <c r="AO140" s="0" t="s">
        <v>654</v>
      </c>
      <c r="AP140" s="0" t="s">
        <v>655</v>
      </c>
      <c r="AQ140" s="0" t="n">
        <v>9</v>
      </c>
      <c r="AR140" s="0" t="n">
        <v>64</v>
      </c>
      <c r="AS140" s="0" t="n">
        <v>32</v>
      </c>
      <c r="AU140" s="0" t="n">
        <f aca="false">COUNTA($BA$1981:$EH$1981)</f>
        <v>1</v>
      </c>
      <c r="AV140" s="0" t="n">
        <f aca="false">COUNTIF($BA$1981:$EH$1981,"D")</f>
        <v>0</v>
      </c>
      <c r="AW140" s="0" t="n">
        <f aca="false">COUNTIF($BA$1981:$EH$1981,"R")</f>
        <v>0</v>
      </c>
      <c r="AX140" s="0" t="n">
        <f aca="false">IF(BN140="D",1,0)+IF(BO140="D",1,0)+IF(BT140="D",1,0)+IF(BU140="D",1,0)+IF(BW140="D",1,0)+IF(CC140="D",1,0)+IF(CD140="D",1,0)+IF(CE140="D",1,0)+IF(CF140="D",1,0)+IF(CL140="D",1,0)+IF(CM140="D",1,0)+IF(CQ140="D",1,0)+IF(CR140="D",1,0)+IF(CS140="D",1,0)+IF(CW140="D",1,0)+IF(CX140="D",1,0)+IF(DD140="D",1,0)+IF(DE140="D",1,0)+IF(DJ140="D",1,0)+IF(DK140="D",1,0)+IF(DO140="D",1,0)+IF(DP140="D",1,0)+IF(DQ140="D",1,0)+IF(DW140="D",1,0)+IF(DZ140="D",1,0)+IF(EH140="D",1,0)</f>
        <v>1</v>
      </c>
      <c r="AY140" s="0" t="n">
        <f aca="false">COUNTIF(DU140:EH140, "&lt;&gt;")</f>
        <v>5</v>
      </c>
      <c r="AZ140" s="0" t="n">
        <f aca="false">IF(EH140&lt;&gt;"",1,0)</f>
        <v>0</v>
      </c>
      <c r="BB140" s="0" t="s">
        <v>152</v>
      </c>
      <c r="DC140" s="0" t="s">
        <v>153</v>
      </c>
      <c r="DI140" s="0" t="s">
        <v>153</v>
      </c>
      <c r="DN140" s="0" t="s">
        <v>153</v>
      </c>
      <c r="DU140" s="0" t="s">
        <v>153</v>
      </c>
      <c r="DW140" s="0" t="s">
        <v>175</v>
      </c>
      <c r="DX140" s="0" t="s">
        <v>153</v>
      </c>
      <c r="EA140" s="0" t="s">
        <v>153</v>
      </c>
      <c r="EF140" s="0" t="s">
        <v>153</v>
      </c>
    </row>
    <row r="141" customFormat="false" ht="13.8" hidden="true" customHeight="false" outlineLevel="0" collapsed="false">
      <c r="A141" s="0" t="s">
        <v>926</v>
      </c>
      <c r="B141" s="0" t="n">
        <v>78</v>
      </c>
      <c r="C141" s="0" t="n">
        <v>406255</v>
      </c>
      <c r="D141" s="0" t="s">
        <v>927</v>
      </c>
      <c r="E141" s="0" t="s">
        <v>928</v>
      </c>
      <c r="F141" s="0" t="str">
        <f aca="false">CONCATENATE(D141," ",LEFT(H141,4),"T=",AU141,"D=",AV141,"R=",AW141,"M=",AX141,"L=",AY141,"B=",AZ141)</f>
        <v>FLOYD T=1D=0R=0M=0L=0B=0</v>
      </c>
      <c r="G141" s="0" t="s">
        <v>202</v>
      </c>
      <c r="I141" s="0" t="s">
        <v>929</v>
      </c>
      <c r="J141" s="0" t="s">
        <v>180</v>
      </c>
      <c r="K141" s="0" t="s">
        <v>143</v>
      </c>
      <c r="M141" s="0" t="s">
        <v>930</v>
      </c>
      <c r="N141" s="0" t="str">
        <f aca="false">RIGHT(M141,LEN(M141)-FIND(" ",M141))</f>
        <v>BELMONT AVE NE</v>
      </c>
      <c r="P141" s="0" t="s">
        <v>145</v>
      </c>
      <c r="Q141" s="0" t="s">
        <v>146</v>
      </c>
      <c r="R141" s="0" t="n">
        <v>44483</v>
      </c>
      <c r="AD141" s="0" t="s">
        <v>147</v>
      </c>
      <c r="AE141" s="0" t="s">
        <v>148</v>
      </c>
      <c r="AF141" s="0" t="s">
        <v>149</v>
      </c>
      <c r="AH141" s="0" t="n">
        <v>14</v>
      </c>
      <c r="AI141" s="0" t="n">
        <v>11</v>
      </c>
      <c r="AN141" s="0" t="s">
        <v>145</v>
      </c>
      <c r="AO141" s="0" t="s">
        <v>654</v>
      </c>
      <c r="AP141" s="0" t="s">
        <v>655</v>
      </c>
      <c r="AQ141" s="0" t="n">
        <v>9</v>
      </c>
      <c r="AR141" s="0" t="n">
        <v>64</v>
      </c>
      <c r="AS141" s="0" t="n">
        <v>32</v>
      </c>
      <c r="AU141" s="0" t="n">
        <f aca="false">COUNTA($BA$1127:$EH$1127)</f>
        <v>1</v>
      </c>
      <c r="AV141" s="0" t="n">
        <f aca="false">COUNTIF($BA$1127:$EH$1127,"D")</f>
        <v>0</v>
      </c>
      <c r="AW141" s="0" t="n">
        <f aca="false">COUNTIF($BA$1127:$EH$1127,"R")</f>
        <v>0</v>
      </c>
      <c r="AX141" s="0" t="n">
        <f aca="false">IF(BN141="D",1,0)+IF(BO141="D",1,0)+IF(BT141="D",1,0)+IF(BU141="D",1,0)+IF(BW141="D",1,0)+IF(CC141="D",1,0)+IF(CD141="D",1,0)+IF(CE141="D",1,0)+IF(CF141="D",1,0)+IF(CL141="D",1,0)+IF(CM141="D",1,0)+IF(CQ141="D",1,0)+IF(CR141="D",1,0)+IF(CS141="D",1,0)+IF(CW141="D",1,0)+IF(CX141="D",1,0)+IF(DD141="D",1,0)+IF(DE141="D",1,0)+IF(DJ141="D",1,0)+IF(DK141="D",1,0)+IF(DO141="D",1,0)+IF(DP141="D",1,0)+IF(DQ141="D",1,0)+IF(DW141="D",1,0)+IF(DZ141="D",1,0)+IF(EH141="D",1,0)</f>
        <v>0</v>
      </c>
      <c r="AY141" s="0" t="n">
        <f aca="false">COUNTIF(DU141:EH141, "&lt;&gt;")</f>
        <v>0</v>
      </c>
      <c r="AZ141" s="0" t="n">
        <f aca="false">IF(EH141&lt;&gt;"",1,0)</f>
        <v>0</v>
      </c>
      <c r="BB141" s="0" t="s">
        <v>152</v>
      </c>
    </row>
    <row r="142" customFormat="false" ht="13.8" hidden="false" customHeight="false" outlineLevel="0" collapsed="false">
      <c r="A142" s="0" t="s">
        <v>931</v>
      </c>
      <c r="B142" s="0" t="n">
        <v>78</v>
      </c>
      <c r="C142" s="0" t="n">
        <v>183160</v>
      </c>
      <c r="D142" s="0" t="s">
        <v>932</v>
      </c>
      <c r="E142" s="0" t="s">
        <v>224</v>
      </c>
      <c r="F142" s="0" t="str">
        <f aca="false">CONCATENATE(D142," ",LEFT(H142,4),"T=",AU142,"D=",AV142,"R=",AW142,"M=",AX142,"L=",AY142,"B=",AZ142)</f>
        <v>YAUGER T=1D=0R=0M=2L=5B=0</v>
      </c>
      <c r="I142" s="0" t="s">
        <v>933</v>
      </c>
      <c r="J142" s="0" t="s">
        <v>934</v>
      </c>
      <c r="K142" s="0" t="s">
        <v>160</v>
      </c>
      <c r="L142" s="0" t="s">
        <v>175</v>
      </c>
      <c r="M142" s="0" t="s">
        <v>935</v>
      </c>
      <c r="N142" s="0" t="str">
        <f aca="false">RIGHT(M142,LEN(M142)-FIND(" ",M142))</f>
        <v>BELMONT AVE NE</v>
      </c>
      <c r="P142" s="0" t="s">
        <v>145</v>
      </c>
      <c r="Q142" s="0" t="s">
        <v>146</v>
      </c>
      <c r="R142" s="0" t="n">
        <v>44483</v>
      </c>
      <c r="AD142" s="0" t="s">
        <v>147</v>
      </c>
      <c r="AE142" s="0" t="s">
        <v>148</v>
      </c>
      <c r="AF142" s="0" t="s">
        <v>149</v>
      </c>
      <c r="AH142" s="0" t="n">
        <v>14</v>
      </c>
      <c r="AI142" s="0" t="n">
        <v>11</v>
      </c>
      <c r="AN142" s="0" t="s">
        <v>145</v>
      </c>
      <c r="AO142" s="0" t="s">
        <v>654</v>
      </c>
      <c r="AP142" s="0" t="s">
        <v>655</v>
      </c>
      <c r="AQ142" s="0" t="n">
        <v>9</v>
      </c>
      <c r="AR142" s="0" t="n">
        <v>64</v>
      </c>
      <c r="AS142" s="0" t="n">
        <v>32</v>
      </c>
      <c r="AU142" s="0" t="n">
        <f aca="false">COUNTA($BA$1491:$EH$1491)</f>
        <v>1</v>
      </c>
      <c r="AV142" s="0" t="n">
        <f aca="false">COUNTIF($BA$1491:$EH$1491,"D")</f>
        <v>0</v>
      </c>
      <c r="AW142" s="0" t="n">
        <f aca="false">COUNTIF($BA$1491:$EH$1491,"R")</f>
        <v>0</v>
      </c>
      <c r="AX142" s="0" t="n">
        <f aca="false">IF(BN142="D",1,0)+IF(BO142="D",1,0)+IF(BT142="D",1,0)+IF(BU142="D",1,0)+IF(BW142="D",1,0)+IF(CC142="D",1,0)+IF(CD142="D",1,0)+IF(CE142="D",1,0)+IF(CF142="D",1,0)+IF(CL142="D",1,0)+IF(CM142="D",1,0)+IF(CQ142="D",1,0)+IF(CR142="D",1,0)+IF(CS142="D",1,0)+IF(CW142="D",1,0)+IF(CX142="D",1,0)+IF(DD142="D",1,0)+IF(DE142="D",1,0)+IF(DJ142="D",1,0)+IF(DK142="D",1,0)+IF(DO142="D",1,0)+IF(DP142="D",1,0)+IF(DQ142="D",1,0)+IF(DW142="D",1,0)+IF(DZ142="D",1,0)+IF(EH142="D",1,0)</f>
        <v>2</v>
      </c>
      <c r="AY142" s="0" t="n">
        <f aca="false">COUNTIF(DU142:EH142, "&lt;&gt;")</f>
        <v>5</v>
      </c>
      <c r="AZ142" s="0" t="n">
        <f aca="false">IF(EH142&lt;&gt;"",1,0)</f>
        <v>0</v>
      </c>
      <c r="BB142" s="0" t="s">
        <v>152</v>
      </c>
      <c r="BC142" s="0" t="s">
        <v>153</v>
      </c>
      <c r="BD142" s="0" t="s">
        <v>153</v>
      </c>
      <c r="BE142" s="0" t="s">
        <v>153</v>
      </c>
      <c r="BJ142" s="0" t="s">
        <v>153</v>
      </c>
      <c r="BL142" s="0" t="s">
        <v>153</v>
      </c>
      <c r="BP142" s="0" t="s">
        <v>153</v>
      </c>
      <c r="BS142" s="0" t="s">
        <v>153</v>
      </c>
      <c r="BT142" s="0" t="s">
        <v>153</v>
      </c>
      <c r="BV142" s="0" t="s">
        <v>153</v>
      </c>
      <c r="CA142" s="0" t="s">
        <v>153</v>
      </c>
      <c r="CK142" s="0" t="s">
        <v>153</v>
      </c>
      <c r="CL142" s="0" t="s">
        <v>175</v>
      </c>
      <c r="CN142" s="0" t="s">
        <v>153</v>
      </c>
      <c r="CP142" s="0" t="s">
        <v>153</v>
      </c>
      <c r="CT142" s="0" t="s">
        <v>153</v>
      </c>
      <c r="CY142" s="0" t="s">
        <v>153</v>
      </c>
      <c r="DC142" s="0" t="s">
        <v>153</v>
      </c>
      <c r="DF142" s="0" t="s">
        <v>153</v>
      </c>
      <c r="DG142" s="0" t="s">
        <v>175</v>
      </c>
      <c r="DI142" s="0" t="s">
        <v>153</v>
      </c>
      <c r="DJ142" s="0" t="s">
        <v>175</v>
      </c>
      <c r="DL142" s="0" t="s">
        <v>153</v>
      </c>
      <c r="DM142" s="0" t="s">
        <v>175</v>
      </c>
      <c r="DN142" s="0" t="s">
        <v>153</v>
      </c>
      <c r="DS142" s="0" t="s">
        <v>175</v>
      </c>
      <c r="DU142" s="0" t="s">
        <v>153</v>
      </c>
      <c r="DX142" s="0" t="s">
        <v>153</v>
      </c>
      <c r="EA142" s="0" t="s">
        <v>153</v>
      </c>
      <c r="ED142" s="0" t="s">
        <v>175</v>
      </c>
      <c r="EF142" s="0" t="s">
        <v>153</v>
      </c>
    </row>
    <row r="143" customFormat="false" ht="13.8" hidden="false" customHeight="false" outlineLevel="0" collapsed="false">
      <c r="A143" s="0" t="s">
        <v>936</v>
      </c>
      <c r="B143" s="0" t="n">
        <v>78</v>
      </c>
      <c r="C143" s="0" t="n">
        <v>206561</v>
      </c>
      <c r="D143" s="0" t="s">
        <v>932</v>
      </c>
      <c r="E143" s="0" t="s">
        <v>818</v>
      </c>
      <c r="F143" s="0" t="str">
        <f aca="false">CONCATENATE(D143," ",LEFT(H143,4),"T=",AU143,"D=",AV143,"R=",AW143,"M=",AX143,"L=",AY143,"B=",AZ143)</f>
        <v>YAUGER T=2D=0R=0M=5L=6B=1</v>
      </c>
      <c r="G143" s="0" t="s">
        <v>670</v>
      </c>
      <c r="I143" s="0" t="s">
        <v>937</v>
      </c>
      <c r="J143" s="0" t="s">
        <v>369</v>
      </c>
      <c r="K143" s="0" t="s">
        <v>160</v>
      </c>
      <c r="L143" s="0" t="s">
        <v>175</v>
      </c>
      <c r="M143" s="0" t="s">
        <v>935</v>
      </c>
      <c r="N143" s="0" t="str">
        <f aca="false">RIGHT(M143,LEN(M143)-FIND(" ",M143))</f>
        <v>BELMONT AVE NE</v>
      </c>
      <c r="P143" s="0" t="s">
        <v>145</v>
      </c>
      <c r="Q143" s="0" t="s">
        <v>146</v>
      </c>
      <c r="R143" s="0" t="n">
        <v>44483</v>
      </c>
      <c r="AD143" s="0" t="s">
        <v>147</v>
      </c>
      <c r="AE143" s="0" t="s">
        <v>148</v>
      </c>
      <c r="AF143" s="0" t="s">
        <v>149</v>
      </c>
      <c r="AH143" s="0" t="n">
        <v>14</v>
      </c>
      <c r="AI143" s="0" t="n">
        <v>11</v>
      </c>
      <c r="AN143" s="0" t="s">
        <v>145</v>
      </c>
      <c r="AO143" s="0" t="s">
        <v>654</v>
      </c>
      <c r="AP143" s="0" t="s">
        <v>655</v>
      </c>
      <c r="AQ143" s="0" t="n">
        <v>9</v>
      </c>
      <c r="AR143" s="0" t="n">
        <v>64</v>
      </c>
      <c r="AS143" s="0" t="n">
        <v>32</v>
      </c>
      <c r="AU143" s="0" t="n">
        <f aca="false">COUNTA($BA$1492:$EH$1492)</f>
        <v>2</v>
      </c>
      <c r="AV143" s="0" t="n">
        <f aca="false">COUNTIF($BA$1492:$EH$1492,"D")</f>
        <v>0</v>
      </c>
      <c r="AW143" s="0" t="n">
        <f aca="false">COUNTIF($BA$1492:$EH$1492,"R")</f>
        <v>0</v>
      </c>
      <c r="AX143" s="0" t="n">
        <f aca="false">IF(BN143="D",1,0)+IF(BO143="D",1,0)+IF(BT143="D",1,0)+IF(BU143="D",1,0)+IF(BW143="D",1,0)+IF(CC143="D",1,0)+IF(CD143="D",1,0)+IF(CE143="D",1,0)+IF(CF143="D",1,0)+IF(CL143="D",1,0)+IF(CM143="D",1,0)+IF(CQ143="D",1,0)+IF(CR143="D",1,0)+IF(CS143="D",1,0)+IF(CW143="D",1,0)+IF(CX143="D",1,0)+IF(DD143="D",1,0)+IF(DE143="D",1,0)+IF(DJ143="D",1,0)+IF(DK143="D",1,0)+IF(DO143="D",1,0)+IF(DP143="D",1,0)+IF(DQ143="D",1,0)+IF(DW143="D",1,0)+IF(DZ143="D",1,0)+IF(EH143="D",1,0)</f>
        <v>5</v>
      </c>
      <c r="AY143" s="0" t="n">
        <f aca="false">COUNTIF(DU143:EH143, "&lt;&gt;")</f>
        <v>6</v>
      </c>
      <c r="AZ143" s="0" t="n">
        <f aca="false">IF(EH143&lt;&gt;"",1,0)</f>
        <v>1</v>
      </c>
      <c r="BB143" s="0" t="s">
        <v>152</v>
      </c>
      <c r="BC143" s="0" t="s">
        <v>153</v>
      </c>
      <c r="BD143" s="0" t="s">
        <v>153</v>
      </c>
      <c r="BE143" s="0" t="s">
        <v>153</v>
      </c>
      <c r="BJ143" s="0" t="s">
        <v>153</v>
      </c>
      <c r="BL143" s="0" t="s">
        <v>153</v>
      </c>
      <c r="BP143" s="0" t="s">
        <v>153</v>
      </c>
      <c r="BS143" s="0" t="s">
        <v>153</v>
      </c>
      <c r="BT143" s="0" t="s">
        <v>153</v>
      </c>
      <c r="BV143" s="0" t="s">
        <v>153</v>
      </c>
      <c r="CA143" s="0" t="s">
        <v>153</v>
      </c>
      <c r="CK143" s="0" t="s">
        <v>153</v>
      </c>
      <c r="CL143" s="0" t="s">
        <v>175</v>
      </c>
      <c r="CN143" s="0" t="s">
        <v>153</v>
      </c>
      <c r="CP143" s="0" t="s">
        <v>153</v>
      </c>
      <c r="CT143" s="0" t="s">
        <v>153</v>
      </c>
      <c r="CV143" s="0" t="s">
        <v>153</v>
      </c>
      <c r="CW143" s="0" t="s">
        <v>175</v>
      </c>
      <c r="CY143" s="0" t="s">
        <v>153</v>
      </c>
      <c r="CZ143" s="0" t="s">
        <v>175</v>
      </c>
      <c r="DC143" s="0" t="s">
        <v>153</v>
      </c>
      <c r="DF143" s="0" t="s">
        <v>153</v>
      </c>
      <c r="DG143" s="0" t="s">
        <v>175</v>
      </c>
      <c r="DI143" s="0" t="s">
        <v>153</v>
      </c>
      <c r="DJ143" s="0" t="s">
        <v>175</v>
      </c>
      <c r="DL143" s="0" t="s">
        <v>153</v>
      </c>
      <c r="DM143" s="0" t="s">
        <v>175</v>
      </c>
      <c r="DN143" s="0" t="s">
        <v>153</v>
      </c>
      <c r="DR143" s="0" t="s">
        <v>153</v>
      </c>
      <c r="DS143" s="0" t="s">
        <v>175</v>
      </c>
      <c r="DW143" s="0" t="s">
        <v>175</v>
      </c>
      <c r="DX143" s="0" t="s">
        <v>153</v>
      </c>
      <c r="EA143" s="0" t="s">
        <v>153</v>
      </c>
      <c r="ED143" s="0" t="s">
        <v>175</v>
      </c>
      <c r="EF143" s="0" t="s">
        <v>153</v>
      </c>
      <c r="EH143" s="0" t="s">
        <v>175</v>
      </c>
    </row>
    <row r="144" customFormat="false" ht="13.8" hidden="false" customHeight="false" outlineLevel="0" collapsed="false">
      <c r="A144" s="0" t="s">
        <v>938</v>
      </c>
      <c r="B144" s="0" t="n">
        <v>78</v>
      </c>
      <c r="C144" s="0" t="n">
        <v>433865</v>
      </c>
      <c r="D144" s="0" t="s">
        <v>932</v>
      </c>
      <c r="E144" s="0" t="s">
        <v>939</v>
      </c>
      <c r="F144" s="0" t="str">
        <f aca="false">CONCATENATE(D144," ",LEFT(H144,4),"T=",AU144,"D=",AV144,"R=",AW144,"M=",AX144,"L=",AY144,"B=",AZ144)</f>
        <v>YAUGER T=1D=0R=0M=3L=7B=1</v>
      </c>
      <c r="G144" s="0" t="s">
        <v>224</v>
      </c>
      <c r="I144" s="0" t="s">
        <v>940</v>
      </c>
      <c r="J144" s="0" t="s">
        <v>941</v>
      </c>
      <c r="K144" s="0" t="s">
        <v>160</v>
      </c>
      <c r="L144" s="0" t="s">
        <v>175</v>
      </c>
      <c r="M144" s="0" t="s">
        <v>935</v>
      </c>
      <c r="N144" s="0" t="str">
        <f aca="false">RIGHT(M144,LEN(M144)-FIND(" ",M144))</f>
        <v>BELMONT AVE NE</v>
      </c>
      <c r="P144" s="0" t="s">
        <v>145</v>
      </c>
      <c r="Q144" s="0" t="s">
        <v>146</v>
      </c>
      <c r="R144" s="0" t="n">
        <v>44483</v>
      </c>
      <c r="AD144" s="0" t="s">
        <v>147</v>
      </c>
      <c r="AE144" s="0" t="s">
        <v>148</v>
      </c>
      <c r="AF144" s="0" t="s">
        <v>149</v>
      </c>
      <c r="AH144" s="0" t="n">
        <v>14</v>
      </c>
      <c r="AI144" s="0" t="n">
        <v>11</v>
      </c>
      <c r="AN144" s="0" t="s">
        <v>145</v>
      </c>
      <c r="AO144" s="0" t="s">
        <v>654</v>
      </c>
      <c r="AP144" s="0" t="s">
        <v>655</v>
      </c>
      <c r="AQ144" s="0" t="n">
        <v>9</v>
      </c>
      <c r="AR144" s="0" t="n">
        <v>64</v>
      </c>
      <c r="AS144" s="0" t="n">
        <v>32</v>
      </c>
      <c r="AU144" s="0" t="n">
        <f aca="false">COUNTA($BA$1771:$EH$1771)</f>
        <v>1</v>
      </c>
      <c r="AV144" s="0" t="n">
        <f aca="false">COUNTIF($BA$1771:$EH$1771,"D")</f>
        <v>0</v>
      </c>
      <c r="AW144" s="0" t="n">
        <f aca="false">COUNTIF($BA$1771:$EH$1771,"R")</f>
        <v>0</v>
      </c>
      <c r="AX144" s="0" t="n">
        <f aca="false">IF(BN144="D",1,0)+IF(BO144="D",1,0)+IF(BT144="D",1,0)+IF(BU144="D",1,0)+IF(BW144="D",1,0)+IF(CC144="D",1,0)+IF(CD144="D",1,0)+IF(CE144="D",1,0)+IF(CF144="D",1,0)+IF(CL144="D",1,0)+IF(CM144="D",1,0)+IF(CQ144="D",1,0)+IF(CR144="D",1,0)+IF(CS144="D",1,0)+IF(CW144="D",1,0)+IF(CX144="D",1,0)+IF(DD144="D",1,0)+IF(DE144="D",1,0)+IF(DJ144="D",1,0)+IF(DK144="D",1,0)+IF(DO144="D",1,0)+IF(DP144="D",1,0)+IF(DQ144="D",1,0)+IF(DW144="D",1,0)+IF(DZ144="D",1,0)+IF(EH144="D",1,0)</f>
        <v>3</v>
      </c>
      <c r="AY144" s="0" t="n">
        <f aca="false">COUNTIF(DU144:EH144, "&lt;&gt;")</f>
        <v>7</v>
      </c>
      <c r="AZ144" s="0" t="n">
        <f aca="false">IF(EH144&lt;&gt;"",1,0)</f>
        <v>1</v>
      </c>
      <c r="BB144" s="0" t="s">
        <v>152</v>
      </c>
      <c r="DI144" s="0" t="s">
        <v>153</v>
      </c>
      <c r="DJ144" s="0" t="s">
        <v>175</v>
      </c>
      <c r="DL144" s="0" t="s">
        <v>153</v>
      </c>
      <c r="DM144" s="0" t="s">
        <v>175</v>
      </c>
      <c r="DN144" s="0" t="s">
        <v>153</v>
      </c>
      <c r="DS144" s="0" t="s">
        <v>175</v>
      </c>
      <c r="DU144" s="0" t="s">
        <v>153</v>
      </c>
      <c r="DW144" s="0" t="s">
        <v>175</v>
      </c>
      <c r="DX144" s="0" t="s">
        <v>153</v>
      </c>
      <c r="EA144" s="0" t="s">
        <v>153</v>
      </c>
      <c r="ED144" s="0" t="s">
        <v>175</v>
      </c>
      <c r="EF144" s="0" t="s">
        <v>153</v>
      </c>
      <c r="EH144" s="0" t="s">
        <v>175</v>
      </c>
    </row>
    <row r="145" customFormat="false" ht="13.8" hidden="false" customHeight="false" outlineLevel="0" collapsed="false">
      <c r="A145" s="0" t="s">
        <v>942</v>
      </c>
      <c r="B145" s="0" t="n">
        <v>78</v>
      </c>
      <c r="C145" s="0" t="n">
        <v>406455</v>
      </c>
      <c r="D145" s="0" t="s">
        <v>932</v>
      </c>
      <c r="E145" s="0" t="s">
        <v>943</v>
      </c>
      <c r="F145" s="0" t="str">
        <f aca="false">CONCATENATE(D145," ",LEFT(H145,4),"T=",AU145,"D=",AV145,"R=",AW145,"M=",AX145,"L=",AY145,"B=",AZ145)</f>
        <v>YAUGER T=1D=0R=0M=1L=4B=0</v>
      </c>
      <c r="G145" s="0" t="s">
        <v>362</v>
      </c>
      <c r="I145" s="0" t="s">
        <v>944</v>
      </c>
      <c r="J145" s="0" t="s">
        <v>945</v>
      </c>
      <c r="K145" s="0" t="s">
        <v>160</v>
      </c>
      <c r="L145" s="0" t="s">
        <v>175</v>
      </c>
      <c r="M145" s="0" t="s">
        <v>935</v>
      </c>
      <c r="N145" s="0" t="str">
        <f aca="false">RIGHT(M145,LEN(M145)-FIND(" ",M145))</f>
        <v>BELMONT AVE NE</v>
      </c>
      <c r="P145" s="0" t="s">
        <v>145</v>
      </c>
      <c r="Q145" s="0" t="s">
        <v>146</v>
      </c>
      <c r="R145" s="0" t="n">
        <v>44483</v>
      </c>
      <c r="AD145" s="0" t="s">
        <v>147</v>
      </c>
      <c r="AE145" s="0" t="s">
        <v>148</v>
      </c>
      <c r="AF145" s="0" t="s">
        <v>149</v>
      </c>
      <c r="AH145" s="0" t="n">
        <v>14</v>
      </c>
      <c r="AI145" s="0" t="n">
        <v>11</v>
      </c>
      <c r="AN145" s="0" t="s">
        <v>145</v>
      </c>
      <c r="AO145" s="0" t="s">
        <v>654</v>
      </c>
      <c r="AP145" s="0" t="s">
        <v>655</v>
      </c>
      <c r="AQ145" s="0" t="n">
        <v>9</v>
      </c>
      <c r="AR145" s="0" t="n">
        <v>64</v>
      </c>
      <c r="AS145" s="0" t="n">
        <v>32</v>
      </c>
      <c r="AU145" s="0" t="n">
        <f aca="false">COUNTA($BA$1815:$EH$1815)</f>
        <v>1</v>
      </c>
      <c r="AV145" s="0" t="n">
        <f aca="false">COUNTIF($BA$1815:$EH$1815,"D")</f>
        <v>0</v>
      </c>
      <c r="AW145" s="0" t="n">
        <f aca="false">COUNTIF($BA$1815:$EH$1815,"R")</f>
        <v>0</v>
      </c>
      <c r="AX145" s="0" t="n">
        <f aca="false">IF(BN145="D",1,0)+IF(BO145="D",1,0)+IF(BT145="D",1,0)+IF(BU145="D",1,0)+IF(BW145="D",1,0)+IF(CC145="D",1,0)+IF(CD145="D",1,0)+IF(CE145="D",1,0)+IF(CF145="D",1,0)+IF(CL145="D",1,0)+IF(CM145="D",1,0)+IF(CQ145="D",1,0)+IF(CR145="D",1,0)+IF(CS145="D",1,0)+IF(CW145="D",1,0)+IF(CX145="D",1,0)+IF(DD145="D",1,0)+IF(DE145="D",1,0)+IF(DJ145="D",1,0)+IF(DK145="D",1,0)+IF(DO145="D",1,0)+IF(DP145="D",1,0)+IF(DQ145="D",1,0)+IF(DW145="D",1,0)+IF(DZ145="D",1,0)+IF(EH145="D",1,0)</f>
        <v>1</v>
      </c>
      <c r="AY145" s="0" t="n">
        <f aca="false">COUNTIF(DU145:EH145, "&lt;&gt;")</f>
        <v>4</v>
      </c>
      <c r="AZ145" s="0" t="n">
        <f aca="false">IF(EH145&lt;&gt;"",1,0)</f>
        <v>0</v>
      </c>
      <c r="BB145" s="0" t="s">
        <v>152</v>
      </c>
      <c r="CW145" s="0" t="s">
        <v>175</v>
      </c>
      <c r="CY145" s="0" t="s">
        <v>153</v>
      </c>
      <c r="CZ145" s="0" t="s">
        <v>175</v>
      </c>
      <c r="DC145" s="0" t="s">
        <v>153</v>
      </c>
      <c r="DF145" s="0" t="s">
        <v>153</v>
      </c>
      <c r="DG145" s="0" t="s">
        <v>175</v>
      </c>
      <c r="DI145" s="0" t="s">
        <v>153</v>
      </c>
      <c r="DL145" s="0" t="s">
        <v>153</v>
      </c>
      <c r="DM145" s="0" t="s">
        <v>175</v>
      </c>
      <c r="DR145" s="0" t="s">
        <v>153</v>
      </c>
      <c r="DS145" s="0" t="s">
        <v>175</v>
      </c>
      <c r="DU145" s="0" t="s">
        <v>153</v>
      </c>
      <c r="DX145" s="0" t="s">
        <v>153</v>
      </c>
      <c r="EA145" s="0" t="s">
        <v>153</v>
      </c>
      <c r="EF145" s="0" t="s">
        <v>153</v>
      </c>
    </row>
    <row r="146" customFormat="false" ht="13.8" hidden="false" customHeight="false" outlineLevel="0" collapsed="false">
      <c r="A146" s="0" t="s">
        <v>946</v>
      </c>
      <c r="B146" s="0" t="n">
        <v>78</v>
      </c>
      <c r="C146" s="0" t="n">
        <v>397835</v>
      </c>
      <c r="D146" s="0" t="s">
        <v>947</v>
      </c>
      <c r="E146" s="0" t="s">
        <v>948</v>
      </c>
      <c r="F146" s="0" t="str">
        <f aca="false">CONCATENATE(D146," ",LEFT(H146,4),"T=",AU146,"D=",AV146,"R=",AW146,"M=",AX146,"L=",AY146,"B=",AZ146)</f>
        <v>KENNEDY T=10D=2R=0M=2L=6B=0</v>
      </c>
      <c r="G146" s="0" t="s">
        <v>195</v>
      </c>
      <c r="I146" s="0" t="s">
        <v>949</v>
      </c>
      <c r="J146" s="0" t="s">
        <v>856</v>
      </c>
      <c r="K146" s="0" t="s">
        <v>160</v>
      </c>
      <c r="L146" s="0" t="s">
        <v>175</v>
      </c>
      <c r="M146" s="0" t="s">
        <v>950</v>
      </c>
      <c r="N146" s="0" t="str">
        <f aca="false">RIGHT(M146,LEN(M146)-FIND(" ",M146))</f>
        <v>BELMONT AVE NE</v>
      </c>
      <c r="P146" s="0" t="s">
        <v>145</v>
      </c>
      <c r="Q146" s="0" t="s">
        <v>146</v>
      </c>
      <c r="R146" s="0" t="n">
        <v>44483</v>
      </c>
      <c r="AD146" s="0" t="s">
        <v>147</v>
      </c>
      <c r="AE146" s="0" t="s">
        <v>148</v>
      </c>
      <c r="AF146" s="0" t="s">
        <v>149</v>
      </c>
      <c r="AH146" s="0" t="n">
        <v>14</v>
      </c>
      <c r="AI146" s="0" t="n">
        <v>11</v>
      </c>
      <c r="AN146" s="0" t="s">
        <v>145</v>
      </c>
      <c r="AO146" s="0" t="s">
        <v>654</v>
      </c>
      <c r="AP146" s="0" t="s">
        <v>655</v>
      </c>
      <c r="AQ146" s="0" t="n">
        <v>9</v>
      </c>
      <c r="AR146" s="0" t="n">
        <v>64</v>
      </c>
      <c r="AS146" s="0" t="n">
        <v>32</v>
      </c>
      <c r="AU146" s="0" t="n">
        <f aca="false">COUNTA($BA$1820:$EH$1820)</f>
        <v>10</v>
      </c>
      <c r="AV146" s="0" t="n">
        <f aca="false">COUNTIF($BA$1820:$EH$1820,"D")</f>
        <v>2</v>
      </c>
      <c r="AW146" s="0" t="n">
        <f aca="false">COUNTIF($BA$1820:$EH$1820,"R")</f>
        <v>0</v>
      </c>
      <c r="AX146" s="0" t="n">
        <f aca="false">IF(BN146="D",1,0)+IF(BO146="D",1,0)+IF(BT146="D",1,0)+IF(BU146="D",1,0)+IF(BW146="D",1,0)+IF(CC146="D",1,0)+IF(CD146="D",1,0)+IF(CE146="D",1,0)+IF(CF146="D",1,0)+IF(CL146="D",1,0)+IF(CM146="D",1,0)+IF(CQ146="D",1,0)+IF(CR146="D",1,0)+IF(CS146="D",1,0)+IF(CW146="D",1,0)+IF(CX146="D",1,0)+IF(DD146="D",1,0)+IF(DE146="D",1,0)+IF(DJ146="D",1,0)+IF(DK146="D",1,0)+IF(DO146="D",1,0)+IF(DP146="D",1,0)+IF(DQ146="D",1,0)+IF(DW146="D",1,0)+IF(DZ146="D",1,0)+IF(EH146="D",1,0)</f>
        <v>2</v>
      </c>
      <c r="AY146" s="0" t="n">
        <f aca="false">COUNTIF(DU146:EH146, "&lt;&gt;")</f>
        <v>6</v>
      </c>
      <c r="AZ146" s="0" t="n">
        <f aca="false">IF(EH146&lt;&gt;"",1,0)</f>
        <v>0</v>
      </c>
      <c r="BB146" s="0" t="s">
        <v>152</v>
      </c>
      <c r="BC146" s="0" t="s">
        <v>153</v>
      </c>
      <c r="BD146" s="0" t="s">
        <v>153</v>
      </c>
      <c r="BE146" s="0" t="s">
        <v>153</v>
      </c>
      <c r="BH146" s="0" t="s">
        <v>153</v>
      </c>
      <c r="BJ146" s="0" t="s">
        <v>153</v>
      </c>
      <c r="BK146" s="0" t="s">
        <v>153</v>
      </c>
      <c r="BL146" s="0" t="s">
        <v>153</v>
      </c>
      <c r="BP146" s="0" t="s">
        <v>153</v>
      </c>
      <c r="BR146" s="0" t="s">
        <v>153</v>
      </c>
      <c r="BS146" s="0" t="s">
        <v>153</v>
      </c>
      <c r="CK146" s="0" t="s">
        <v>153</v>
      </c>
      <c r="CL146" s="0" t="s">
        <v>175</v>
      </c>
      <c r="CN146" s="0" t="s">
        <v>153</v>
      </c>
      <c r="CO146" s="0" t="s">
        <v>175</v>
      </c>
      <c r="CP146" s="0" t="s">
        <v>153</v>
      </c>
      <c r="CT146" s="0" t="s">
        <v>153</v>
      </c>
      <c r="CU146" s="0" t="s">
        <v>175</v>
      </c>
      <c r="CV146" s="0" t="s">
        <v>153</v>
      </c>
      <c r="CY146" s="0" t="s">
        <v>153</v>
      </c>
      <c r="CZ146" s="0" t="s">
        <v>175</v>
      </c>
      <c r="DC146" s="0" t="s">
        <v>153</v>
      </c>
      <c r="DF146" s="0" t="s">
        <v>153</v>
      </c>
      <c r="DG146" s="0" t="s">
        <v>175</v>
      </c>
      <c r="DI146" s="0" t="s">
        <v>153</v>
      </c>
      <c r="DL146" s="0" t="s">
        <v>153</v>
      </c>
      <c r="DM146" s="0" t="s">
        <v>175</v>
      </c>
      <c r="DN146" s="0" t="s">
        <v>153</v>
      </c>
      <c r="DR146" s="0" t="s">
        <v>153</v>
      </c>
      <c r="DS146" s="0" t="s">
        <v>175</v>
      </c>
      <c r="DT146" s="0" t="s">
        <v>175</v>
      </c>
      <c r="DU146" s="0" t="s">
        <v>153</v>
      </c>
      <c r="DW146" s="0" t="s">
        <v>175</v>
      </c>
      <c r="DX146" s="0" t="s">
        <v>153</v>
      </c>
      <c r="EA146" s="0" t="s">
        <v>153</v>
      </c>
      <c r="ED146" s="0" t="s">
        <v>175</v>
      </c>
      <c r="EF146" s="0" t="s">
        <v>153</v>
      </c>
    </row>
    <row r="147" customFormat="false" ht="13.8" hidden="true" customHeight="false" outlineLevel="0" collapsed="false">
      <c r="A147" s="0" t="s">
        <v>951</v>
      </c>
      <c r="B147" s="0" t="n">
        <v>78</v>
      </c>
      <c r="C147" s="0" t="n">
        <v>275378</v>
      </c>
      <c r="D147" s="0" t="s">
        <v>952</v>
      </c>
      <c r="E147" s="0" t="s">
        <v>675</v>
      </c>
      <c r="F147" s="0" t="str">
        <f aca="false">CONCATENATE(D147," ",LEFT(H147,4),"T=",AU147,"D=",AV147,"R=",AW147,"M=",AX147,"L=",AY147,"B=",AZ147)</f>
        <v>MCMURRAY T=11D=2R=0M=0L=0B=0</v>
      </c>
      <c r="I147" s="0" t="s">
        <v>953</v>
      </c>
      <c r="J147" s="0" t="s">
        <v>954</v>
      </c>
      <c r="K147" s="0" t="s">
        <v>143</v>
      </c>
      <c r="M147" s="0" t="s">
        <v>955</v>
      </c>
      <c r="N147" s="0" t="str">
        <f aca="false">RIGHT(M147,LEN(M147)-FIND(" ",M147))</f>
        <v>BELMONT AVE NE</v>
      </c>
      <c r="P147" s="0" t="s">
        <v>145</v>
      </c>
      <c r="Q147" s="0" t="s">
        <v>146</v>
      </c>
      <c r="R147" s="0" t="n">
        <v>44483</v>
      </c>
      <c r="AD147" s="0" t="s">
        <v>147</v>
      </c>
      <c r="AE147" s="0" t="s">
        <v>148</v>
      </c>
      <c r="AF147" s="0" t="s">
        <v>149</v>
      </c>
      <c r="AH147" s="0" t="n">
        <v>14</v>
      </c>
      <c r="AI147" s="0" t="n">
        <v>11</v>
      </c>
      <c r="AN147" s="0" t="s">
        <v>145</v>
      </c>
      <c r="AO147" s="0" t="s">
        <v>654</v>
      </c>
      <c r="AP147" s="0" t="s">
        <v>655</v>
      </c>
      <c r="AQ147" s="0" t="n">
        <v>9</v>
      </c>
      <c r="AR147" s="0" t="n">
        <v>64</v>
      </c>
      <c r="AS147" s="0" t="n">
        <v>32</v>
      </c>
      <c r="AU147" s="0" t="n">
        <f aca="false">COUNTA($BA$1140:$EH$1140)</f>
        <v>11</v>
      </c>
      <c r="AV147" s="0" t="n">
        <f aca="false">COUNTIF($BA$1140:$EH$1140,"D")</f>
        <v>2</v>
      </c>
      <c r="AW147" s="0" t="n">
        <f aca="false">COUNTIF($BA$1140:$EH$1140,"R")</f>
        <v>0</v>
      </c>
      <c r="AX147" s="0" t="n">
        <f aca="false">IF(BN147="D",1,0)+IF(BO147="D",1,0)+IF(BT147="D",1,0)+IF(BU147="D",1,0)+IF(BW147="D",1,0)+IF(CC147="D",1,0)+IF(CD147="D",1,0)+IF(CE147="D",1,0)+IF(CF147="D",1,0)+IF(CL147="D",1,0)+IF(CM147="D",1,0)+IF(CQ147="D",1,0)+IF(CR147="D",1,0)+IF(CS147="D",1,0)+IF(CW147="D",1,0)+IF(CX147="D",1,0)+IF(DD147="D",1,0)+IF(DE147="D",1,0)+IF(DJ147="D",1,0)+IF(DK147="D",1,0)+IF(DO147="D",1,0)+IF(DP147="D",1,0)+IF(DQ147="D",1,0)+IF(DW147="D",1,0)+IF(DZ147="D",1,0)+IF(EH147="D",1,0)</f>
        <v>0</v>
      </c>
      <c r="AY147" s="0" t="n">
        <f aca="false">COUNTIF(DU147:EH147, "&lt;&gt;")</f>
        <v>0</v>
      </c>
      <c r="AZ147" s="0" t="n">
        <f aca="false">IF(EH147&lt;&gt;"",1,0)</f>
        <v>0</v>
      </c>
      <c r="BB147" s="0" t="s">
        <v>152</v>
      </c>
      <c r="BC147" s="0" t="s">
        <v>153</v>
      </c>
      <c r="BD147" s="0" t="s">
        <v>153</v>
      </c>
      <c r="BF147" s="0" t="s">
        <v>153</v>
      </c>
      <c r="BH147" s="0" t="s">
        <v>153</v>
      </c>
      <c r="BI147" s="0" t="s">
        <v>153</v>
      </c>
      <c r="BJ147" s="0" t="s">
        <v>153</v>
      </c>
      <c r="BK147" s="0" t="s">
        <v>153</v>
      </c>
      <c r="BL147" s="0" t="s">
        <v>153</v>
      </c>
      <c r="BP147" s="0" t="s">
        <v>153</v>
      </c>
      <c r="BS147" s="0" t="s">
        <v>153</v>
      </c>
      <c r="BY147" s="0" t="s">
        <v>175</v>
      </c>
      <c r="CA147" s="0" t="s">
        <v>153</v>
      </c>
      <c r="CG147" s="0" t="s">
        <v>153</v>
      </c>
      <c r="CY147" s="0" t="s">
        <v>153</v>
      </c>
      <c r="CZ147" s="0" t="s">
        <v>175</v>
      </c>
      <c r="DC147" s="0" t="s">
        <v>153</v>
      </c>
      <c r="DG147" s="0" t="s">
        <v>175</v>
      </c>
      <c r="DI147" s="0" t="s">
        <v>153</v>
      </c>
      <c r="DN147" s="0" t="s">
        <v>153</v>
      </c>
    </row>
    <row r="148" customFormat="false" ht="13.8" hidden="true" customHeight="false" outlineLevel="0" collapsed="false">
      <c r="A148" s="0" t="s">
        <v>956</v>
      </c>
      <c r="B148" s="0" t="n">
        <v>78</v>
      </c>
      <c r="C148" s="0" t="n">
        <v>487140</v>
      </c>
      <c r="D148" s="0" t="s">
        <v>957</v>
      </c>
      <c r="E148" s="0" t="s">
        <v>958</v>
      </c>
      <c r="F148" s="0" t="str">
        <f aca="false">CONCATENATE(D148," ",LEFT(H148,4),"T=",AU148,"D=",AV148,"R=",AW148,"M=",AX148,"L=",AY148,"B=",AZ148)</f>
        <v>MOLDEN T=17D=2R=0M=1L=0B=0</v>
      </c>
      <c r="G148" s="0" t="s">
        <v>522</v>
      </c>
      <c r="I148" s="0" t="s">
        <v>959</v>
      </c>
      <c r="J148" s="0" t="s">
        <v>399</v>
      </c>
      <c r="K148" s="0" t="s">
        <v>160</v>
      </c>
      <c r="M148" s="0" t="s">
        <v>955</v>
      </c>
      <c r="N148" s="0" t="str">
        <f aca="false">RIGHT(M148,LEN(M148)-FIND(" ",M148))</f>
        <v>BELMONT AVE NE</v>
      </c>
      <c r="P148" s="0" t="s">
        <v>145</v>
      </c>
      <c r="Q148" s="0" t="s">
        <v>146</v>
      </c>
      <c r="R148" s="0" t="n">
        <v>44483</v>
      </c>
      <c r="AD148" s="0" t="s">
        <v>147</v>
      </c>
      <c r="AE148" s="0" t="s">
        <v>148</v>
      </c>
      <c r="AF148" s="0" t="s">
        <v>149</v>
      </c>
      <c r="AH148" s="0" t="n">
        <v>14</v>
      </c>
      <c r="AI148" s="0" t="n">
        <v>11</v>
      </c>
      <c r="AN148" s="0" t="s">
        <v>145</v>
      </c>
      <c r="AO148" s="0" t="s">
        <v>654</v>
      </c>
      <c r="AP148" s="0" t="s">
        <v>655</v>
      </c>
      <c r="AQ148" s="0" t="n">
        <v>9</v>
      </c>
      <c r="AR148" s="0" t="n">
        <v>64</v>
      </c>
      <c r="AS148" s="0" t="n">
        <v>32</v>
      </c>
      <c r="AU148" s="0" t="n">
        <f aca="false">COUNTA($BA$1971:$EH$1971)</f>
        <v>17</v>
      </c>
      <c r="AV148" s="0" t="n">
        <f aca="false">COUNTIF($BA$1971:$EH$1971,"D")</f>
        <v>2</v>
      </c>
      <c r="AW148" s="0" t="n">
        <f aca="false">COUNTIF($BA$1971:$EH$1971,"R")</f>
        <v>0</v>
      </c>
      <c r="AX148" s="0" t="n">
        <f aca="false">IF(BN148="D",1,0)+IF(BO148="D",1,0)+IF(BT148="D",1,0)+IF(BU148="D",1,0)+IF(BW148="D",1,0)+IF(CC148="D",1,0)+IF(CD148="D",1,0)+IF(CE148="D",1,0)+IF(CF148="D",1,0)+IF(CL148="D",1,0)+IF(CM148="D",1,0)+IF(CQ148="D",1,0)+IF(CR148="D",1,0)+IF(CS148="D",1,0)+IF(CW148="D",1,0)+IF(CX148="D",1,0)+IF(DD148="D",1,0)+IF(DE148="D",1,0)+IF(DJ148="D",1,0)+IF(DK148="D",1,0)+IF(DO148="D",1,0)+IF(DP148="D",1,0)+IF(DQ148="D",1,0)+IF(DW148="D",1,0)+IF(DZ148="D",1,0)+IF(EH148="D",1,0)</f>
        <v>1</v>
      </c>
      <c r="AY148" s="0" t="n">
        <f aca="false">COUNTIF(DU148:EH148, "&lt;&gt;")</f>
        <v>0</v>
      </c>
      <c r="AZ148" s="0" t="n">
        <f aca="false">IF(EH148&lt;&gt;"",1,0)</f>
        <v>0</v>
      </c>
      <c r="BB148" s="0" t="s">
        <v>152</v>
      </c>
      <c r="BD148" s="0" t="s">
        <v>153</v>
      </c>
      <c r="BL148" s="0" t="s">
        <v>153</v>
      </c>
      <c r="CA148" s="0" t="s">
        <v>153</v>
      </c>
      <c r="CK148" s="0" t="s">
        <v>153</v>
      </c>
      <c r="CL148" s="0" t="s">
        <v>175</v>
      </c>
      <c r="CP148" s="0" t="s">
        <v>153</v>
      </c>
    </row>
    <row r="149" customFormat="false" ht="13.8" hidden="true" customHeight="false" outlineLevel="0" collapsed="false">
      <c r="A149" s="0" t="s">
        <v>960</v>
      </c>
      <c r="B149" s="0" t="n">
        <v>78</v>
      </c>
      <c r="C149" s="0" t="n">
        <v>361430</v>
      </c>
      <c r="D149" s="0" t="s">
        <v>556</v>
      </c>
      <c r="E149" s="0" t="s">
        <v>208</v>
      </c>
      <c r="F149" s="0" t="str">
        <f aca="false">CONCATENATE(D149," ",LEFT(H149,4),"T=",AU149,"D=",AV149,"R=",AW149,"M=",AX149,"L=",AY149,"B=",AZ149)</f>
        <v>ANDERSON JRT=2D=0R=0M=0L=0B=0</v>
      </c>
      <c r="G149" s="0" t="s">
        <v>171</v>
      </c>
      <c r="H149" s="0" t="s">
        <v>314</v>
      </c>
      <c r="I149" s="0" t="s">
        <v>961</v>
      </c>
      <c r="J149" s="0" t="s">
        <v>962</v>
      </c>
      <c r="K149" s="0" t="s">
        <v>160</v>
      </c>
      <c r="M149" s="0" t="s">
        <v>963</v>
      </c>
      <c r="N149" s="0" t="str">
        <f aca="false">RIGHT(M149,LEN(M149)-FIND(" ",M149))</f>
        <v>BELMONT AVE NE</v>
      </c>
      <c r="P149" s="0" t="s">
        <v>145</v>
      </c>
      <c r="Q149" s="0" t="s">
        <v>146</v>
      </c>
      <c r="R149" s="0" t="n">
        <v>44483</v>
      </c>
      <c r="AD149" s="0" t="s">
        <v>147</v>
      </c>
      <c r="AE149" s="0" t="s">
        <v>148</v>
      </c>
      <c r="AF149" s="0" t="s">
        <v>149</v>
      </c>
      <c r="AH149" s="0" t="n">
        <v>14</v>
      </c>
      <c r="AI149" s="0" t="n">
        <v>11</v>
      </c>
      <c r="AN149" s="0" t="s">
        <v>145</v>
      </c>
      <c r="AO149" s="0" t="s">
        <v>654</v>
      </c>
      <c r="AP149" s="0" t="s">
        <v>655</v>
      </c>
      <c r="AQ149" s="0" t="n">
        <v>9</v>
      </c>
      <c r="AR149" s="0" t="n">
        <v>64</v>
      </c>
      <c r="AS149" s="0" t="n">
        <v>32</v>
      </c>
      <c r="AU149" s="0" t="n">
        <f aca="false">COUNTA($BA$1953:$EH$1953)</f>
        <v>2</v>
      </c>
      <c r="AV149" s="0" t="n">
        <f aca="false">COUNTIF($BA$1953:$EH$1953,"D")</f>
        <v>0</v>
      </c>
      <c r="AW149" s="0" t="n">
        <f aca="false">COUNTIF($BA$1953:$EH$1953,"R")</f>
        <v>0</v>
      </c>
      <c r="AX149" s="0" t="n">
        <f aca="false">IF(BN149="D",1,0)+IF(BO149="D",1,0)+IF(BT149="D",1,0)+IF(BU149="D",1,0)+IF(BW149="D",1,0)+IF(CC149="D",1,0)+IF(CD149="D",1,0)+IF(CE149="D",1,0)+IF(CF149="D",1,0)+IF(CL149="D",1,0)+IF(CM149="D",1,0)+IF(CQ149="D",1,0)+IF(CR149="D",1,0)+IF(CS149="D",1,0)+IF(CW149="D",1,0)+IF(CX149="D",1,0)+IF(DD149="D",1,0)+IF(DE149="D",1,0)+IF(DJ149="D",1,0)+IF(DK149="D",1,0)+IF(DO149="D",1,0)+IF(DP149="D",1,0)+IF(DQ149="D",1,0)+IF(DW149="D",1,0)+IF(DZ149="D",1,0)+IF(EH149="D",1,0)</f>
        <v>0</v>
      </c>
      <c r="AY149" s="0" t="n">
        <f aca="false">COUNTIF(DU149:EH149, "&lt;&gt;")</f>
        <v>0</v>
      </c>
      <c r="AZ149" s="0" t="n">
        <f aca="false">IF(EH149&lt;&gt;"",1,0)</f>
        <v>0</v>
      </c>
      <c r="BB149" s="0" t="s">
        <v>152</v>
      </c>
      <c r="CA149" s="0" t="s">
        <v>153</v>
      </c>
      <c r="CP149" s="0" t="s">
        <v>153</v>
      </c>
    </row>
    <row r="150" customFormat="false" ht="13.8" hidden="true" customHeight="false" outlineLevel="0" collapsed="false">
      <c r="A150" s="0" t="s">
        <v>964</v>
      </c>
      <c r="B150" s="0" t="n">
        <v>78</v>
      </c>
      <c r="C150" s="0" t="n">
        <v>484211</v>
      </c>
      <c r="D150" s="0" t="s">
        <v>965</v>
      </c>
      <c r="E150" s="0" t="s">
        <v>719</v>
      </c>
      <c r="F150" s="0" t="str">
        <f aca="false">CONCATENATE(D150," ",LEFT(H150,4),"T=",AU150,"D=",AV150,"R=",AW150,"M=",AX150,"L=",AY150,"B=",AZ150)</f>
        <v>LOWERY T=34D=10R=0M=0L=1B=0</v>
      </c>
      <c r="G150" s="0" t="s">
        <v>713</v>
      </c>
      <c r="I150" s="0" t="s">
        <v>966</v>
      </c>
      <c r="J150" s="0" t="s">
        <v>967</v>
      </c>
      <c r="K150" s="0" t="s">
        <v>160</v>
      </c>
      <c r="M150" s="0" t="s">
        <v>968</v>
      </c>
      <c r="N150" s="0" t="str">
        <f aca="false">RIGHT(M150,LEN(M150)-FIND(" ",M150))</f>
        <v>BELMONT AVE NE</v>
      </c>
      <c r="P150" s="0" t="s">
        <v>145</v>
      </c>
      <c r="Q150" s="0" t="s">
        <v>146</v>
      </c>
      <c r="R150" s="0" t="n">
        <v>44483</v>
      </c>
      <c r="AD150" s="0" t="s">
        <v>147</v>
      </c>
      <c r="AE150" s="0" t="s">
        <v>148</v>
      </c>
      <c r="AF150" s="0" t="s">
        <v>149</v>
      </c>
      <c r="AH150" s="0" t="n">
        <v>14</v>
      </c>
      <c r="AI150" s="0" t="n">
        <v>11</v>
      </c>
      <c r="AN150" s="0" t="s">
        <v>145</v>
      </c>
      <c r="AO150" s="0" t="s">
        <v>654</v>
      </c>
      <c r="AP150" s="0" t="s">
        <v>655</v>
      </c>
      <c r="AQ150" s="0" t="n">
        <v>9</v>
      </c>
      <c r="AR150" s="0" t="n">
        <v>64</v>
      </c>
      <c r="AS150" s="0" t="n">
        <v>32</v>
      </c>
      <c r="AU150" s="0" t="n">
        <f aca="false">COUNTA($BA$1408:$EH$1408)</f>
        <v>34</v>
      </c>
      <c r="AV150" s="0" t="n">
        <f aca="false">COUNTIF($BA$1408:$EH$1408,"D")</f>
        <v>10</v>
      </c>
      <c r="AW150" s="0" t="n">
        <f aca="false">COUNTIF($BA$1408:$EH$1408,"R")</f>
        <v>0</v>
      </c>
      <c r="AX150" s="0" t="n">
        <f aca="false">IF(BN150="D",1,0)+IF(BO150="D",1,0)+IF(BT150="D",1,0)+IF(BU150="D",1,0)+IF(BW150="D",1,0)+IF(CC150="D",1,0)+IF(CD150="D",1,0)+IF(CE150="D",1,0)+IF(CF150="D",1,0)+IF(CL150="D",1,0)+IF(CM150="D",1,0)+IF(CQ150="D",1,0)+IF(CR150="D",1,0)+IF(CS150="D",1,0)+IF(CW150="D",1,0)+IF(CX150="D",1,0)+IF(DD150="D",1,0)+IF(DE150="D",1,0)+IF(DJ150="D",1,0)+IF(DK150="D",1,0)+IF(DO150="D",1,0)+IF(DP150="D",1,0)+IF(DQ150="D",1,0)+IF(DW150="D",1,0)+IF(DZ150="D",1,0)+IF(EH150="D",1,0)</f>
        <v>0</v>
      </c>
      <c r="AY150" s="0" t="n">
        <f aca="false">COUNTIF(DU150:EH150, "&lt;&gt;")</f>
        <v>1</v>
      </c>
      <c r="AZ150" s="0" t="n">
        <f aca="false">IF(EH150&lt;&gt;"",1,0)</f>
        <v>0</v>
      </c>
      <c r="BB150" s="0" t="s">
        <v>152</v>
      </c>
      <c r="EF150" s="0" t="s">
        <v>153</v>
      </c>
    </row>
    <row r="151" customFormat="false" ht="13.8" hidden="true" customHeight="false" outlineLevel="0" collapsed="false">
      <c r="A151" s="0" t="s">
        <v>969</v>
      </c>
      <c r="B151" s="0" t="n">
        <v>78</v>
      </c>
      <c r="C151" s="0" t="n">
        <v>487732</v>
      </c>
      <c r="D151" s="0" t="s">
        <v>970</v>
      </c>
      <c r="E151" s="0" t="s">
        <v>275</v>
      </c>
      <c r="F151" s="0" t="str">
        <f aca="false">CONCATENATE(D151," ",LEFT(H151,4),"T=",AU151,"D=",AV151,"R=",AW151,"M=",AX151,"L=",AY151,"B=",AZ151)</f>
        <v>NOBLE T=3D=0R=0M=0L=0B=0</v>
      </c>
      <c r="G151" s="0" t="s">
        <v>195</v>
      </c>
      <c r="I151" s="0" t="s">
        <v>971</v>
      </c>
      <c r="J151" s="0" t="s">
        <v>283</v>
      </c>
      <c r="K151" s="0" t="s">
        <v>143</v>
      </c>
      <c r="M151" s="0" t="s">
        <v>972</v>
      </c>
      <c r="N151" s="0" t="str">
        <f aca="false">RIGHT(M151,LEN(M151)-FIND(" ",M151))</f>
        <v>BELMONT AVE NE</v>
      </c>
      <c r="P151" s="0" t="s">
        <v>145</v>
      </c>
      <c r="Q151" s="0" t="s">
        <v>146</v>
      </c>
      <c r="R151" s="0" t="n">
        <v>44483</v>
      </c>
      <c r="AD151" s="0" t="s">
        <v>147</v>
      </c>
      <c r="AE151" s="0" t="s">
        <v>148</v>
      </c>
      <c r="AF151" s="0" t="s">
        <v>149</v>
      </c>
      <c r="AH151" s="0" t="n">
        <v>14</v>
      </c>
      <c r="AI151" s="0" t="n">
        <v>11</v>
      </c>
      <c r="AN151" s="0" t="s">
        <v>145</v>
      </c>
      <c r="AO151" s="0" t="s">
        <v>654</v>
      </c>
      <c r="AP151" s="0" t="s">
        <v>655</v>
      </c>
      <c r="AQ151" s="0" t="n">
        <v>9</v>
      </c>
      <c r="AR151" s="0" t="n">
        <v>64</v>
      </c>
      <c r="AS151" s="0" t="n">
        <v>32</v>
      </c>
      <c r="AU151" s="0" t="n">
        <f aca="false">COUNTA($BA$1528:$EH$1528)</f>
        <v>3</v>
      </c>
      <c r="AV151" s="0" t="n">
        <f aca="false">COUNTIF($BA$1528:$EH$1528,"D")</f>
        <v>0</v>
      </c>
      <c r="AW151" s="0" t="n">
        <f aca="false">COUNTIF($BA$1528:$EH$1528,"R")</f>
        <v>0</v>
      </c>
      <c r="AX151" s="0" t="n">
        <f aca="false">IF(BN151="D",1,0)+IF(BO151="D",1,0)+IF(BT151="D",1,0)+IF(BU151="D",1,0)+IF(BW151="D",1,0)+IF(CC151="D",1,0)+IF(CD151="D",1,0)+IF(CE151="D",1,0)+IF(CF151="D",1,0)+IF(CL151="D",1,0)+IF(CM151="D",1,0)+IF(CQ151="D",1,0)+IF(CR151="D",1,0)+IF(CS151="D",1,0)+IF(CW151="D",1,0)+IF(CX151="D",1,0)+IF(DD151="D",1,0)+IF(DE151="D",1,0)+IF(DJ151="D",1,0)+IF(DK151="D",1,0)+IF(DO151="D",1,0)+IF(DP151="D",1,0)+IF(DQ151="D",1,0)+IF(DW151="D",1,0)+IF(DZ151="D",1,0)+IF(EH151="D",1,0)</f>
        <v>0</v>
      </c>
      <c r="AY151" s="0" t="n">
        <f aca="false">COUNTIF(DU151:EH151, "&lt;&gt;")</f>
        <v>0</v>
      </c>
      <c r="AZ151" s="0" t="n">
        <f aca="false">IF(EH151&lt;&gt;"",1,0)</f>
        <v>0</v>
      </c>
      <c r="BB151" s="0" t="s">
        <v>152</v>
      </c>
    </row>
    <row r="152" customFormat="false" ht="13.8" hidden="false" customHeight="false" outlineLevel="0" collapsed="false">
      <c r="A152" s="0" t="s">
        <v>973</v>
      </c>
      <c r="B152" s="0" t="n">
        <v>78</v>
      </c>
      <c r="C152" s="0" t="n">
        <v>285736</v>
      </c>
      <c r="D152" s="0" t="s">
        <v>974</v>
      </c>
      <c r="E152" s="0" t="s">
        <v>975</v>
      </c>
      <c r="F152" s="0" t="str">
        <f aca="false">CONCATENATE(D152," ",LEFT(H152,4),"T=",AU152,"D=",AV152,"R=",AW152,"M=",AX152,"L=",AY152,"B=",AZ152)</f>
        <v>STAGGERS T=1D=0R=0M=0L=2B=0</v>
      </c>
      <c r="G152" s="0" t="s">
        <v>215</v>
      </c>
      <c r="I152" s="0" t="s">
        <v>976</v>
      </c>
      <c r="J152" s="0" t="s">
        <v>977</v>
      </c>
      <c r="K152" s="0" t="s">
        <v>160</v>
      </c>
      <c r="M152" s="0" t="s">
        <v>978</v>
      </c>
      <c r="N152" s="0" t="str">
        <f aca="false">RIGHT(M152,LEN(M152)-FIND(" ",M152))</f>
        <v>BENTON ST SE</v>
      </c>
      <c r="P152" s="0" t="s">
        <v>145</v>
      </c>
      <c r="Q152" s="0" t="s">
        <v>146</v>
      </c>
      <c r="R152" s="0" t="n">
        <v>44484</v>
      </c>
      <c r="AD152" s="0" t="s">
        <v>147</v>
      </c>
      <c r="AE152" s="0" t="s">
        <v>148</v>
      </c>
      <c r="AF152" s="0" t="s">
        <v>149</v>
      </c>
      <c r="AH152" s="0" t="n">
        <v>14</v>
      </c>
      <c r="AI152" s="0" t="n">
        <v>11</v>
      </c>
      <c r="AN152" s="0" t="s">
        <v>145</v>
      </c>
      <c r="AO152" s="0" t="s">
        <v>233</v>
      </c>
      <c r="AP152" s="0" t="s">
        <v>234</v>
      </c>
      <c r="AQ152" s="0" t="n">
        <v>9</v>
      </c>
      <c r="AR152" s="0" t="n">
        <v>64</v>
      </c>
      <c r="AS152" s="0" t="n">
        <v>32</v>
      </c>
      <c r="AU152" s="0" t="n">
        <f aca="false">COUNTA($BA$2254:$EH$2254)</f>
        <v>1</v>
      </c>
      <c r="AV152" s="0" t="n">
        <f aca="false">COUNTIF($BA$2254:$EH$2254,"D")</f>
        <v>0</v>
      </c>
      <c r="AW152" s="0" t="n">
        <f aca="false">COUNTIF($BA$2254:$EH$2254,"R")</f>
        <v>0</v>
      </c>
      <c r="AX152" s="0" t="n">
        <f aca="false">IF(BN152="D",1,0)+IF(BO152="D",1,0)+IF(BT152="D",1,0)+IF(BU152="D",1,0)+IF(BW152="D",1,0)+IF(CC152="D",1,0)+IF(CD152="D",1,0)+IF(CE152="D",1,0)+IF(CF152="D",1,0)+IF(CL152="D",1,0)+IF(CM152="D",1,0)+IF(CQ152="D",1,0)+IF(CR152="D",1,0)+IF(CS152="D",1,0)+IF(CW152="D",1,0)+IF(CX152="D",1,0)+IF(DD152="D",1,0)+IF(DE152="D",1,0)+IF(DJ152="D",1,0)+IF(DK152="D",1,0)+IF(DO152="D",1,0)+IF(DP152="D",1,0)+IF(DQ152="D",1,0)+IF(DW152="D",1,0)+IF(DZ152="D",1,0)+IF(EH152="D",1,0)</f>
        <v>0</v>
      </c>
      <c r="AY152" s="0" t="n">
        <f aca="false">COUNTIF(DU152:EH152, "&lt;&gt;")</f>
        <v>2</v>
      </c>
      <c r="AZ152" s="0" t="n">
        <f aca="false">IF(EH152&lt;&gt;"",1,0)</f>
        <v>0</v>
      </c>
      <c r="BB152" s="0" t="s">
        <v>152</v>
      </c>
      <c r="BL152" s="0" t="s">
        <v>153</v>
      </c>
      <c r="CA152" s="0" t="s">
        <v>153</v>
      </c>
      <c r="CP152" s="0" t="s">
        <v>153</v>
      </c>
      <c r="CZ152" s="0" t="s">
        <v>175</v>
      </c>
      <c r="DC152" s="0" t="s">
        <v>153</v>
      </c>
      <c r="DI152" s="0" t="s">
        <v>153</v>
      </c>
      <c r="DN152" s="0" t="s">
        <v>153</v>
      </c>
      <c r="DU152" s="0" t="s">
        <v>153</v>
      </c>
      <c r="EF152" s="0" t="s">
        <v>153</v>
      </c>
    </row>
    <row r="153" customFormat="false" ht="13.8" hidden="true" customHeight="false" outlineLevel="0" collapsed="false">
      <c r="A153" s="0" t="s">
        <v>979</v>
      </c>
      <c r="B153" s="0" t="n">
        <v>78</v>
      </c>
      <c r="C153" s="0" t="n">
        <v>419595</v>
      </c>
      <c r="D153" s="0" t="s">
        <v>980</v>
      </c>
      <c r="E153" s="0" t="s">
        <v>981</v>
      </c>
      <c r="F153" s="0" t="str">
        <f aca="false">CONCATENATE(D153," ",LEFT(H153,4),"T=",AU153,"D=",AV153,"R=",AW153,"M=",AX153,"L=",AY153,"B=",AZ153)</f>
        <v>BOATWRIGHT T=45D=13R=0M=0L=0B=0</v>
      </c>
      <c r="G153" s="0" t="s">
        <v>175</v>
      </c>
      <c r="I153" s="0" t="s">
        <v>982</v>
      </c>
      <c r="J153" s="0" t="s">
        <v>983</v>
      </c>
      <c r="K153" s="0" t="s">
        <v>143</v>
      </c>
      <c r="M153" s="0" t="s">
        <v>984</v>
      </c>
      <c r="N153" s="0" t="str">
        <f aca="false">RIGHT(M153,LEN(M153)-FIND(" ",M153))</f>
        <v>BENTON ST SE</v>
      </c>
      <c r="P153" s="0" t="s">
        <v>145</v>
      </c>
      <c r="Q153" s="0" t="s">
        <v>146</v>
      </c>
      <c r="R153" s="0" t="n">
        <v>44484</v>
      </c>
      <c r="AD153" s="0" t="s">
        <v>147</v>
      </c>
      <c r="AE153" s="0" t="s">
        <v>148</v>
      </c>
      <c r="AF153" s="0" t="s">
        <v>149</v>
      </c>
      <c r="AH153" s="0" t="n">
        <v>14</v>
      </c>
      <c r="AI153" s="0" t="n">
        <v>11</v>
      </c>
      <c r="AN153" s="0" t="s">
        <v>145</v>
      </c>
      <c r="AO153" s="0" t="s">
        <v>233</v>
      </c>
      <c r="AP153" s="0" t="s">
        <v>234</v>
      </c>
      <c r="AQ153" s="0" t="n">
        <v>9</v>
      </c>
      <c r="AR153" s="0" t="n">
        <v>64</v>
      </c>
      <c r="AS153" s="0" t="n">
        <v>32</v>
      </c>
      <c r="AU153" s="0" t="n">
        <f aca="false">COUNTA($BA$2263:$EH$2263)</f>
        <v>45</v>
      </c>
      <c r="AV153" s="0" t="n">
        <f aca="false">COUNTIF($BA$2263:$EH$2263,"D")</f>
        <v>13</v>
      </c>
      <c r="AW153" s="0" t="n">
        <f aca="false">COUNTIF($BA$2263:$EH$2263,"R")</f>
        <v>0</v>
      </c>
      <c r="AX153" s="0" t="n">
        <f aca="false">IF(BN153="D",1,0)+IF(BO153="D",1,0)+IF(BT153="D",1,0)+IF(BU153="D",1,0)+IF(BW153="D",1,0)+IF(CC153="D",1,0)+IF(CD153="D",1,0)+IF(CE153="D",1,0)+IF(CF153="D",1,0)+IF(CL153="D",1,0)+IF(CM153="D",1,0)+IF(CQ153="D",1,0)+IF(CR153="D",1,0)+IF(CS153="D",1,0)+IF(CW153="D",1,0)+IF(CX153="D",1,0)+IF(DD153="D",1,0)+IF(DE153="D",1,0)+IF(DJ153="D",1,0)+IF(DK153="D",1,0)+IF(DO153="D",1,0)+IF(DP153="D",1,0)+IF(DQ153="D",1,0)+IF(DW153="D",1,0)+IF(DZ153="D",1,0)+IF(EH153="D",1,0)</f>
        <v>0</v>
      </c>
      <c r="AY153" s="0" t="n">
        <f aca="false">COUNTIF(DU153:EH153, "&lt;&gt;")</f>
        <v>0</v>
      </c>
      <c r="AZ153" s="0" t="n">
        <f aca="false">IF(EH153&lt;&gt;"",1,0)</f>
        <v>0</v>
      </c>
      <c r="BB153" s="0" t="s">
        <v>152</v>
      </c>
    </row>
    <row r="154" customFormat="false" ht="13.8" hidden="true" customHeight="false" outlineLevel="0" collapsed="false">
      <c r="A154" s="0" t="s">
        <v>985</v>
      </c>
      <c r="B154" s="0" t="n">
        <v>78</v>
      </c>
      <c r="C154" s="0" t="n">
        <v>495113</v>
      </c>
      <c r="D154" s="0" t="s">
        <v>986</v>
      </c>
      <c r="E154" s="0" t="s">
        <v>658</v>
      </c>
      <c r="F154" s="0" t="str">
        <f aca="false">CONCATENATE(D154," ",LEFT(H154,4),"T=",AU154,"D=",AV154,"R=",AW154,"M=",AX154,"L=",AY154,"B=",AZ154)</f>
        <v>YOUNG T=52D=18R=0M=0L=0B=0</v>
      </c>
      <c r="G154" s="0" t="s">
        <v>987</v>
      </c>
      <c r="I154" s="0" t="s">
        <v>988</v>
      </c>
      <c r="J154" s="0" t="s">
        <v>989</v>
      </c>
      <c r="K154" s="0" t="s">
        <v>160</v>
      </c>
      <c r="M154" s="0" t="s">
        <v>984</v>
      </c>
      <c r="N154" s="0" t="str">
        <f aca="false">RIGHT(M154,LEN(M154)-FIND(" ",M154))</f>
        <v>BENTON ST SE</v>
      </c>
      <c r="P154" s="0" t="s">
        <v>145</v>
      </c>
      <c r="Q154" s="0" t="s">
        <v>146</v>
      </c>
      <c r="R154" s="0" t="n">
        <v>44484</v>
      </c>
      <c r="AD154" s="0" t="s">
        <v>147</v>
      </c>
      <c r="AE154" s="0" t="s">
        <v>148</v>
      </c>
      <c r="AF154" s="0" t="s">
        <v>149</v>
      </c>
      <c r="AH154" s="0" t="n">
        <v>14</v>
      </c>
      <c r="AI154" s="0" t="n">
        <v>11</v>
      </c>
      <c r="AN154" s="0" t="s">
        <v>145</v>
      </c>
      <c r="AO154" s="0" t="s">
        <v>233</v>
      </c>
      <c r="AP154" s="0" t="s">
        <v>234</v>
      </c>
      <c r="AQ154" s="0" t="n">
        <v>9</v>
      </c>
      <c r="AR154" s="0" t="n">
        <v>64</v>
      </c>
      <c r="AS154" s="0" t="n">
        <v>32</v>
      </c>
      <c r="AU154" s="0" t="n">
        <f aca="false">COUNTA($BA$2297:$EH$2297)</f>
        <v>52</v>
      </c>
      <c r="AV154" s="0" t="n">
        <f aca="false">COUNTIF($BA$2297:$EH$2297,"D")</f>
        <v>18</v>
      </c>
      <c r="AW154" s="0" t="n">
        <f aca="false">COUNTIF($BA$2297:$EH$2297,"R")</f>
        <v>0</v>
      </c>
      <c r="AX154" s="0" t="n">
        <f aca="false">IF(BN154="D",1,0)+IF(BO154="D",1,0)+IF(BT154="D",1,0)+IF(BU154="D",1,0)+IF(BW154="D",1,0)+IF(CC154="D",1,0)+IF(CD154="D",1,0)+IF(CE154="D",1,0)+IF(CF154="D",1,0)+IF(CL154="D",1,0)+IF(CM154="D",1,0)+IF(CQ154="D",1,0)+IF(CR154="D",1,0)+IF(CS154="D",1,0)+IF(CW154="D",1,0)+IF(CX154="D",1,0)+IF(DD154="D",1,0)+IF(DE154="D",1,0)+IF(DJ154="D",1,0)+IF(DK154="D",1,0)+IF(DO154="D",1,0)+IF(DP154="D",1,0)+IF(DQ154="D",1,0)+IF(DW154="D",1,0)+IF(DZ154="D",1,0)+IF(EH154="D",1,0)</f>
        <v>0</v>
      </c>
      <c r="AY154" s="0" t="n">
        <f aca="false">COUNTIF(DU154:EH154, "&lt;&gt;")</f>
        <v>0</v>
      </c>
      <c r="AZ154" s="0" t="n">
        <f aca="false">IF(EH154&lt;&gt;"",1,0)</f>
        <v>0</v>
      </c>
      <c r="BB154" s="0" t="s">
        <v>152</v>
      </c>
    </row>
    <row r="155" customFormat="false" ht="13.8" hidden="true" customHeight="false" outlineLevel="0" collapsed="false">
      <c r="A155" s="0" t="s">
        <v>990</v>
      </c>
      <c r="B155" s="0" t="n">
        <v>78</v>
      </c>
      <c r="C155" s="0" t="n">
        <v>413291</v>
      </c>
      <c r="D155" s="0" t="s">
        <v>986</v>
      </c>
      <c r="E155" s="0" t="s">
        <v>991</v>
      </c>
      <c r="F155" s="0" t="str">
        <f aca="false">CONCATENATE(D155," ",LEFT(H155,4),"T=",AU155,"D=",AV155,"R=",AW155,"M=",AX155,"L=",AY155,"B=",AZ155)</f>
        <v>YOUNG T=1D=0R=0M=0L=1B=0</v>
      </c>
      <c r="G155" s="0" t="s">
        <v>558</v>
      </c>
      <c r="I155" s="0" t="s">
        <v>992</v>
      </c>
      <c r="J155" s="0" t="s">
        <v>993</v>
      </c>
      <c r="K155" s="0" t="s">
        <v>160</v>
      </c>
      <c r="M155" s="0" t="s">
        <v>984</v>
      </c>
      <c r="N155" s="0" t="str">
        <f aca="false">RIGHT(M155,LEN(M155)-FIND(" ",M155))</f>
        <v>BENTON ST SE</v>
      </c>
      <c r="P155" s="0" t="s">
        <v>145</v>
      </c>
      <c r="Q155" s="0" t="s">
        <v>146</v>
      </c>
      <c r="R155" s="0" t="n">
        <v>44484</v>
      </c>
      <c r="AD155" s="0" t="s">
        <v>147</v>
      </c>
      <c r="AE155" s="0" t="s">
        <v>148</v>
      </c>
      <c r="AF155" s="0" t="s">
        <v>149</v>
      </c>
      <c r="AH155" s="0" t="n">
        <v>14</v>
      </c>
      <c r="AI155" s="0" t="n">
        <v>11</v>
      </c>
      <c r="AN155" s="0" t="s">
        <v>145</v>
      </c>
      <c r="AO155" s="0" t="s">
        <v>233</v>
      </c>
      <c r="AP155" s="0" t="s">
        <v>234</v>
      </c>
      <c r="AQ155" s="0" t="n">
        <v>9</v>
      </c>
      <c r="AR155" s="0" t="n">
        <v>64</v>
      </c>
      <c r="AS155" s="0" t="n">
        <v>32</v>
      </c>
      <c r="AU155" s="0" t="n">
        <f aca="false">COUNTA($BA$2672:$EH$2672)</f>
        <v>1</v>
      </c>
      <c r="AV155" s="0" t="n">
        <f aca="false">COUNTIF($BA$2672:$EH$2672,"D")</f>
        <v>0</v>
      </c>
      <c r="AW155" s="0" t="n">
        <f aca="false">COUNTIF($BA$2672:$EH$2672,"R")</f>
        <v>0</v>
      </c>
      <c r="AX155" s="0" t="n">
        <f aca="false">IF(BN155="D",1,0)+IF(BO155="D",1,0)+IF(BT155="D",1,0)+IF(BU155="D",1,0)+IF(BW155="D",1,0)+IF(CC155="D",1,0)+IF(CD155="D",1,0)+IF(CE155="D",1,0)+IF(CF155="D",1,0)+IF(CL155="D",1,0)+IF(CM155="D",1,0)+IF(CQ155="D",1,0)+IF(CR155="D",1,0)+IF(CS155="D",1,0)+IF(CW155="D",1,0)+IF(CX155="D",1,0)+IF(DD155="D",1,0)+IF(DE155="D",1,0)+IF(DJ155="D",1,0)+IF(DK155="D",1,0)+IF(DO155="D",1,0)+IF(DP155="D",1,0)+IF(DQ155="D",1,0)+IF(DW155="D",1,0)+IF(DZ155="D",1,0)+IF(EH155="D",1,0)</f>
        <v>0</v>
      </c>
      <c r="AY155" s="0" t="n">
        <f aca="false">COUNTIF(DU155:EH155, "&lt;&gt;")</f>
        <v>1</v>
      </c>
      <c r="AZ155" s="0" t="n">
        <f aca="false">IF(EH155&lt;&gt;"",1,0)</f>
        <v>0</v>
      </c>
      <c r="BB155" s="0" t="s">
        <v>152</v>
      </c>
      <c r="DC155" s="0" t="s">
        <v>153</v>
      </c>
      <c r="DN155" s="0" t="s">
        <v>153</v>
      </c>
      <c r="EF155" s="0" t="s">
        <v>153</v>
      </c>
    </row>
    <row r="156" customFormat="false" ht="13.8" hidden="true" customHeight="false" outlineLevel="0" collapsed="false">
      <c r="A156" s="0" t="s">
        <v>994</v>
      </c>
      <c r="B156" s="0" t="n">
        <v>78</v>
      </c>
      <c r="C156" s="0" t="n">
        <v>414662</v>
      </c>
      <c r="D156" s="0" t="s">
        <v>995</v>
      </c>
      <c r="E156" s="0" t="s">
        <v>996</v>
      </c>
      <c r="F156" s="0" t="str">
        <f aca="false">CONCATENATE(D156," ",LEFT(H156,4),"T=",AU156,"D=",AV156,"R=",AW156,"M=",AX156,"L=",AY156,"B=",AZ156)</f>
        <v>SPEELMAN T=20D=3R=0M=0L=1B=0</v>
      </c>
      <c r="G156" s="0" t="s">
        <v>224</v>
      </c>
      <c r="I156" s="0" t="s">
        <v>997</v>
      </c>
      <c r="J156" s="0" t="s">
        <v>998</v>
      </c>
      <c r="K156" s="0" t="s">
        <v>160</v>
      </c>
      <c r="M156" s="0" t="s">
        <v>999</v>
      </c>
      <c r="N156" s="0" t="str">
        <f aca="false">RIGHT(M156,LEN(M156)-FIND(" ",M156))</f>
        <v>BENTON ST SE</v>
      </c>
      <c r="P156" s="0" t="s">
        <v>145</v>
      </c>
      <c r="Q156" s="0" t="s">
        <v>146</v>
      </c>
      <c r="R156" s="0" t="n">
        <v>44484</v>
      </c>
      <c r="AD156" s="0" t="s">
        <v>147</v>
      </c>
      <c r="AE156" s="0" t="s">
        <v>148</v>
      </c>
      <c r="AF156" s="0" t="s">
        <v>149</v>
      </c>
      <c r="AH156" s="0" t="n">
        <v>14</v>
      </c>
      <c r="AI156" s="0" t="n">
        <v>11</v>
      </c>
      <c r="AN156" s="0" t="s">
        <v>145</v>
      </c>
      <c r="AO156" s="0" t="s">
        <v>233</v>
      </c>
      <c r="AP156" s="0" t="s">
        <v>234</v>
      </c>
      <c r="AQ156" s="0" t="n">
        <v>9</v>
      </c>
      <c r="AR156" s="0" t="n">
        <v>64</v>
      </c>
      <c r="AS156" s="0" t="n">
        <v>32</v>
      </c>
      <c r="AU156" s="0" t="n">
        <f aca="false">COUNTA($BA$2339:$EH$2339)</f>
        <v>20</v>
      </c>
      <c r="AV156" s="0" t="n">
        <f aca="false">COUNTIF($BA$2339:$EH$2339,"D")</f>
        <v>3</v>
      </c>
      <c r="AW156" s="0" t="n">
        <f aca="false">COUNTIF($BA$2339:$EH$2339,"R")</f>
        <v>0</v>
      </c>
      <c r="AX156" s="0" t="n">
        <f aca="false">IF(BN156="D",1,0)+IF(BO156="D",1,0)+IF(BT156="D",1,0)+IF(BU156="D",1,0)+IF(BW156="D",1,0)+IF(CC156="D",1,0)+IF(CD156="D",1,0)+IF(CE156="D",1,0)+IF(CF156="D",1,0)+IF(CL156="D",1,0)+IF(CM156="D",1,0)+IF(CQ156="D",1,0)+IF(CR156="D",1,0)+IF(CS156="D",1,0)+IF(CW156="D",1,0)+IF(CX156="D",1,0)+IF(DD156="D",1,0)+IF(DE156="D",1,0)+IF(DJ156="D",1,0)+IF(DK156="D",1,0)+IF(DO156="D",1,0)+IF(DP156="D",1,0)+IF(DQ156="D",1,0)+IF(DW156="D",1,0)+IF(DZ156="D",1,0)+IF(EH156="D",1,0)</f>
        <v>0</v>
      </c>
      <c r="AY156" s="0" t="n">
        <f aca="false">COUNTIF(DU156:EH156, "&lt;&gt;")</f>
        <v>1</v>
      </c>
      <c r="AZ156" s="0" t="n">
        <f aca="false">IF(EH156&lt;&gt;"",1,0)</f>
        <v>0</v>
      </c>
      <c r="BB156" s="0" t="s">
        <v>152</v>
      </c>
      <c r="DC156" s="0" t="s">
        <v>153</v>
      </c>
      <c r="DU156" s="0" t="s">
        <v>153</v>
      </c>
    </row>
    <row r="157" customFormat="false" ht="13.8" hidden="true" customHeight="false" outlineLevel="0" collapsed="false">
      <c r="A157" s="0" t="s">
        <v>1000</v>
      </c>
      <c r="B157" s="0" t="n">
        <v>78</v>
      </c>
      <c r="C157" s="0" t="n">
        <v>451687</v>
      </c>
      <c r="D157" s="0" t="s">
        <v>1001</v>
      </c>
      <c r="E157" s="0" t="s">
        <v>1002</v>
      </c>
      <c r="F157" s="0" t="str">
        <f aca="false">CONCATENATE(D157," ",LEFT(H157,4),"T=",AU157,"D=",AV157,"R=",AW157,"M=",AX157,"L=",AY157,"B=",AZ157)</f>
        <v>DAVIS T=3D=0R=0M=0L=0B=0</v>
      </c>
      <c r="G157" s="0" t="s">
        <v>1003</v>
      </c>
      <c r="I157" s="0" t="s">
        <v>1004</v>
      </c>
      <c r="J157" s="0" t="s">
        <v>1005</v>
      </c>
      <c r="K157" s="0" t="s">
        <v>143</v>
      </c>
      <c r="M157" s="0" t="s">
        <v>999</v>
      </c>
      <c r="N157" s="0" t="str">
        <f aca="false">RIGHT(M157,LEN(M157)-FIND(" ",M157))</f>
        <v>BENTON ST SE</v>
      </c>
      <c r="P157" s="0" t="s">
        <v>145</v>
      </c>
      <c r="Q157" s="0" t="s">
        <v>146</v>
      </c>
      <c r="R157" s="0" t="n">
        <v>44484</v>
      </c>
      <c r="AD157" s="0" t="s">
        <v>147</v>
      </c>
      <c r="AE157" s="0" t="s">
        <v>148</v>
      </c>
      <c r="AF157" s="0" t="s">
        <v>149</v>
      </c>
      <c r="AH157" s="0" t="n">
        <v>14</v>
      </c>
      <c r="AI157" s="0" t="n">
        <v>11</v>
      </c>
      <c r="AN157" s="0" t="s">
        <v>145</v>
      </c>
      <c r="AO157" s="0" t="s">
        <v>233</v>
      </c>
      <c r="AP157" s="0" t="s">
        <v>234</v>
      </c>
      <c r="AQ157" s="0" t="n">
        <v>9</v>
      </c>
      <c r="AR157" s="0" t="n">
        <v>64</v>
      </c>
      <c r="AS157" s="0" t="n">
        <v>32</v>
      </c>
      <c r="AU157" s="0" t="n">
        <f aca="false">COUNTA($BA$2376:$EH$2376)</f>
        <v>3</v>
      </c>
      <c r="AV157" s="0" t="n">
        <f aca="false">COUNTIF($BA$2376:$EH$2376,"D")</f>
        <v>0</v>
      </c>
      <c r="AW157" s="0" t="n">
        <f aca="false">COUNTIF($BA$2376:$EH$2376,"R")</f>
        <v>0</v>
      </c>
      <c r="AX157" s="0" t="n">
        <f aca="false">IF(BN157="D",1,0)+IF(BO157="D",1,0)+IF(BT157="D",1,0)+IF(BU157="D",1,0)+IF(BW157="D",1,0)+IF(CC157="D",1,0)+IF(CD157="D",1,0)+IF(CE157="D",1,0)+IF(CF157="D",1,0)+IF(CL157="D",1,0)+IF(CM157="D",1,0)+IF(CQ157="D",1,0)+IF(CR157="D",1,0)+IF(CS157="D",1,0)+IF(CW157="D",1,0)+IF(CX157="D",1,0)+IF(DD157="D",1,0)+IF(DE157="D",1,0)+IF(DJ157="D",1,0)+IF(DK157="D",1,0)+IF(DO157="D",1,0)+IF(DP157="D",1,0)+IF(DQ157="D",1,0)+IF(DW157="D",1,0)+IF(DZ157="D",1,0)+IF(EH157="D",1,0)</f>
        <v>0</v>
      </c>
      <c r="AY157" s="0" t="n">
        <f aca="false">COUNTIF(DU157:EH157, "&lt;&gt;")</f>
        <v>0</v>
      </c>
      <c r="AZ157" s="0" t="n">
        <f aca="false">IF(EH157&lt;&gt;"",1,0)</f>
        <v>0</v>
      </c>
      <c r="BB157" s="0" t="s">
        <v>152</v>
      </c>
      <c r="DN157" s="0" t="s">
        <v>153</v>
      </c>
    </row>
    <row r="158" customFormat="false" ht="13.8" hidden="true" customHeight="false" outlineLevel="0" collapsed="false">
      <c r="A158" s="0" t="s">
        <v>1006</v>
      </c>
      <c r="B158" s="0" t="n">
        <v>78</v>
      </c>
      <c r="C158" s="0" t="n">
        <v>438580</v>
      </c>
      <c r="D158" s="0" t="s">
        <v>1007</v>
      </c>
      <c r="E158" s="0" t="s">
        <v>1008</v>
      </c>
      <c r="F158" s="0" t="str">
        <f aca="false">CONCATENATE(D158," ",LEFT(H158,4),"T=",AU158,"D=",AV158,"R=",AW158,"M=",AX158,"L=",AY158,"B=",AZ158)</f>
        <v>KACPERSKI T=5D=0R=0M=0L=0B=0</v>
      </c>
      <c r="I158" s="0" t="s">
        <v>1009</v>
      </c>
      <c r="J158" s="0" t="s">
        <v>1010</v>
      </c>
      <c r="K158" s="0" t="s">
        <v>143</v>
      </c>
      <c r="M158" s="0" t="s">
        <v>1011</v>
      </c>
      <c r="N158" s="0" t="str">
        <f aca="false">RIGHT(M158,LEN(M158)-FIND(" ",M158))</f>
        <v>BENTON ST SE</v>
      </c>
      <c r="P158" s="0" t="s">
        <v>145</v>
      </c>
      <c r="Q158" s="0" t="s">
        <v>146</v>
      </c>
      <c r="R158" s="0" t="n">
        <v>44484</v>
      </c>
      <c r="AD158" s="0" t="s">
        <v>147</v>
      </c>
      <c r="AE158" s="0" t="s">
        <v>148</v>
      </c>
      <c r="AF158" s="0" t="s">
        <v>149</v>
      </c>
      <c r="AH158" s="0" t="n">
        <v>14</v>
      </c>
      <c r="AI158" s="0" t="n">
        <v>11</v>
      </c>
      <c r="AN158" s="0" t="s">
        <v>145</v>
      </c>
      <c r="AO158" s="0" t="s">
        <v>233</v>
      </c>
      <c r="AP158" s="0" t="s">
        <v>234</v>
      </c>
      <c r="AQ158" s="0" t="n">
        <v>9</v>
      </c>
      <c r="AR158" s="0" t="n">
        <v>64</v>
      </c>
      <c r="AS158" s="0" t="n">
        <v>32</v>
      </c>
      <c r="AU158" s="0" t="n">
        <f aca="false">COUNTA($BA$2645:$EH$2645)</f>
        <v>5</v>
      </c>
      <c r="AV158" s="0" t="n">
        <f aca="false">COUNTIF($BA$2645:$EH$2645,"D")</f>
        <v>0</v>
      </c>
      <c r="AW158" s="0" t="n">
        <f aca="false">COUNTIF($BA$2645:$EH$2645,"R")</f>
        <v>0</v>
      </c>
      <c r="AX158" s="0" t="n">
        <f aca="false">IF(BN158="D",1,0)+IF(BO158="D",1,0)+IF(BT158="D",1,0)+IF(BU158="D",1,0)+IF(BW158="D",1,0)+IF(CC158="D",1,0)+IF(CD158="D",1,0)+IF(CE158="D",1,0)+IF(CF158="D",1,0)+IF(CL158="D",1,0)+IF(CM158="D",1,0)+IF(CQ158="D",1,0)+IF(CR158="D",1,0)+IF(CS158="D",1,0)+IF(CW158="D",1,0)+IF(CX158="D",1,0)+IF(DD158="D",1,0)+IF(DE158="D",1,0)+IF(DJ158="D",1,0)+IF(DK158="D",1,0)+IF(DO158="D",1,0)+IF(DP158="D",1,0)+IF(DQ158="D",1,0)+IF(DW158="D",1,0)+IF(DZ158="D",1,0)+IF(EH158="D",1,0)</f>
        <v>0</v>
      </c>
      <c r="AY158" s="0" t="n">
        <f aca="false">COUNTIF(DU158:EH158, "&lt;&gt;")</f>
        <v>0</v>
      </c>
      <c r="AZ158" s="0" t="n">
        <f aca="false">IF(EH158&lt;&gt;"",1,0)</f>
        <v>0</v>
      </c>
      <c r="BB158" s="0" t="s">
        <v>152</v>
      </c>
    </row>
    <row r="159" customFormat="false" ht="13.8" hidden="true" customHeight="false" outlineLevel="0" collapsed="false">
      <c r="A159" s="0" t="s">
        <v>1012</v>
      </c>
      <c r="B159" s="0" t="n">
        <v>78</v>
      </c>
      <c r="C159" s="0" t="n">
        <v>481072</v>
      </c>
      <c r="D159" s="0" t="s">
        <v>1013</v>
      </c>
      <c r="E159" s="0" t="s">
        <v>1014</v>
      </c>
      <c r="F159" s="0" t="str">
        <f aca="false">CONCATENATE(D159," ",LEFT(H159,4),"T=",AU159,"D=",AV159,"R=",AW159,"M=",AX159,"L=",AY159,"B=",AZ159)</f>
        <v>KNELL T=47D=15R=0M=0L=0B=0</v>
      </c>
      <c r="G159" s="0" t="s">
        <v>164</v>
      </c>
      <c r="I159" s="0" t="s">
        <v>1015</v>
      </c>
      <c r="J159" s="0" t="s">
        <v>1016</v>
      </c>
      <c r="K159" s="0" t="s">
        <v>160</v>
      </c>
      <c r="M159" s="0" t="s">
        <v>1017</v>
      </c>
      <c r="N159" s="0" t="str">
        <f aca="false">RIGHT(M159,LEN(M159)-FIND(" ",M159))</f>
        <v>BENTON ST SE</v>
      </c>
      <c r="P159" s="0" t="s">
        <v>145</v>
      </c>
      <c r="Q159" s="0" t="s">
        <v>146</v>
      </c>
      <c r="R159" s="0" t="n">
        <v>44484</v>
      </c>
      <c r="AD159" s="0" t="s">
        <v>147</v>
      </c>
      <c r="AE159" s="0" t="s">
        <v>148</v>
      </c>
      <c r="AF159" s="0" t="s">
        <v>149</v>
      </c>
      <c r="AH159" s="0" t="n">
        <v>14</v>
      </c>
      <c r="AI159" s="0" t="n">
        <v>11</v>
      </c>
      <c r="AN159" s="0" t="s">
        <v>145</v>
      </c>
      <c r="AO159" s="0" t="s">
        <v>233</v>
      </c>
      <c r="AP159" s="0" t="s">
        <v>234</v>
      </c>
      <c r="AQ159" s="0" t="n">
        <v>9</v>
      </c>
      <c r="AR159" s="0" t="n">
        <v>64</v>
      </c>
      <c r="AS159" s="0" t="n">
        <v>32</v>
      </c>
      <c r="AU159" s="0" t="n">
        <f aca="false">COUNTA($BA$2267:$EH$2267)</f>
        <v>47</v>
      </c>
      <c r="AV159" s="0" t="n">
        <f aca="false">COUNTIF($BA$2267:$EH$2267,"D")</f>
        <v>15</v>
      </c>
      <c r="AW159" s="0" t="n">
        <f aca="false">COUNTIF($BA$2267:$EH$2267,"R")</f>
        <v>0</v>
      </c>
      <c r="AX159" s="0" t="n">
        <f aca="false">IF(BN159="D",1,0)+IF(BO159="D",1,0)+IF(BT159="D",1,0)+IF(BU159="D",1,0)+IF(BW159="D",1,0)+IF(CC159="D",1,0)+IF(CD159="D",1,0)+IF(CE159="D",1,0)+IF(CF159="D",1,0)+IF(CL159="D",1,0)+IF(CM159="D",1,0)+IF(CQ159="D",1,0)+IF(CR159="D",1,0)+IF(CS159="D",1,0)+IF(CW159="D",1,0)+IF(CX159="D",1,0)+IF(DD159="D",1,0)+IF(DE159="D",1,0)+IF(DJ159="D",1,0)+IF(DK159="D",1,0)+IF(DO159="D",1,0)+IF(DP159="D",1,0)+IF(DQ159="D",1,0)+IF(DW159="D",1,0)+IF(DZ159="D",1,0)+IF(EH159="D",1,0)</f>
        <v>0</v>
      </c>
      <c r="AY159" s="0" t="n">
        <f aca="false">COUNTIF(DU159:EH159, "&lt;&gt;")</f>
        <v>0</v>
      </c>
      <c r="AZ159" s="0" t="n">
        <f aca="false">IF(EH159&lt;&gt;"",1,0)</f>
        <v>0</v>
      </c>
      <c r="BB159" s="0" t="s">
        <v>152</v>
      </c>
      <c r="DC159" s="0" t="s">
        <v>153</v>
      </c>
    </row>
    <row r="160" customFormat="false" ht="13.8" hidden="true" customHeight="false" outlineLevel="0" collapsed="false">
      <c r="A160" s="0" t="s">
        <v>1018</v>
      </c>
      <c r="B160" s="0" t="n">
        <v>78</v>
      </c>
      <c r="C160" s="0" t="n">
        <v>317142</v>
      </c>
      <c r="D160" s="0" t="s">
        <v>1019</v>
      </c>
      <c r="E160" s="0" t="s">
        <v>1020</v>
      </c>
      <c r="F160" s="0" t="str">
        <f aca="false">CONCATENATE(D160," ",LEFT(H160,4),"T=",AU160,"D=",AV160,"R=",AW160,"M=",AX160,"L=",AY160,"B=",AZ160)</f>
        <v>ROZIER T=2D=0R=0M=0L=0B=0</v>
      </c>
      <c r="G160" s="0" t="s">
        <v>1021</v>
      </c>
      <c r="I160" s="0" t="s">
        <v>1022</v>
      </c>
      <c r="J160" s="0" t="s">
        <v>1023</v>
      </c>
      <c r="K160" s="0" t="s">
        <v>143</v>
      </c>
      <c r="M160" s="0" t="s">
        <v>1017</v>
      </c>
      <c r="N160" s="0" t="str">
        <f aca="false">RIGHT(M160,LEN(M160)-FIND(" ",M160))</f>
        <v>BENTON ST SE</v>
      </c>
      <c r="P160" s="0" t="s">
        <v>145</v>
      </c>
      <c r="Q160" s="0" t="s">
        <v>146</v>
      </c>
      <c r="R160" s="0" t="n">
        <v>44484</v>
      </c>
      <c r="AD160" s="0" t="s">
        <v>147</v>
      </c>
      <c r="AE160" s="0" t="s">
        <v>148</v>
      </c>
      <c r="AF160" s="0" t="s">
        <v>149</v>
      </c>
      <c r="AH160" s="0" t="n">
        <v>14</v>
      </c>
      <c r="AI160" s="0" t="n">
        <v>11</v>
      </c>
      <c r="AN160" s="0" t="s">
        <v>145</v>
      </c>
      <c r="AO160" s="0" t="s">
        <v>233</v>
      </c>
      <c r="AP160" s="0" t="s">
        <v>234</v>
      </c>
      <c r="AQ160" s="0" t="n">
        <v>9</v>
      </c>
      <c r="AR160" s="0" t="n">
        <v>64</v>
      </c>
      <c r="AS160" s="0" t="n">
        <v>32</v>
      </c>
      <c r="AU160" s="0" t="n">
        <f aca="false">COUNTA($BA$2305:$EH$2305)</f>
        <v>2</v>
      </c>
      <c r="AV160" s="0" t="n">
        <f aca="false">COUNTIF($BA$2305:$EH$2305,"D")</f>
        <v>0</v>
      </c>
      <c r="AW160" s="0" t="n">
        <f aca="false">COUNTIF($BA$2305:$EH$2305,"R")</f>
        <v>0</v>
      </c>
      <c r="AX160" s="0" t="n">
        <f aca="false">IF(BN160="D",1,0)+IF(BO160="D",1,0)+IF(BT160="D",1,0)+IF(BU160="D",1,0)+IF(BW160="D",1,0)+IF(CC160="D",1,0)+IF(CD160="D",1,0)+IF(CE160="D",1,0)+IF(CF160="D",1,0)+IF(CL160="D",1,0)+IF(CM160="D",1,0)+IF(CQ160="D",1,0)+IF(CR160="D",1,0)+IF(CS160="D",1,0)+IF(CW160="D",1,0)+IF(CX160="D",1,0)+IF(DD160="D",1,0)+IF(DE160="D",1,0)+IF(DJ160="D",1,0)+IF(DK160="D",1,0)+IF(DO160="D",1,0)+IF(DP160="D",1,0)+IF(DQ160="D",1,0)+IF(DW160="D",1,0)+IF(DZ160="D",1,0)+IF(EH160="D",1,0)</f>
        <v>0</v>
      </c>
      <c r="AY160" s="0" t="n">
        <f aca="false">COUNTIF(DU160:EH160, "&lt;&gt;")</f>
        <v>0</v>
      </c>
      <c r="AZ160" s="0" t="n">
        <f aca="false">IF(EH160&lt;&gt;"",1,0)</f>
        <v>0</v>
      </c>
      <c r="BB160" s="0" t="s">
        <v>152</v>
      </c>
      <c r="BJ160" s="0" t="s">
        <v>153</v>
      </c>
      <c r="BK160" s="0" t="s">
        <v>153</v>
      </c>
      <c r="BL160" s="0" t="s">
        <v>153</v>
      </c>
      <c r="CP160" s="0" t="s">
        <v>153</v>
      </c>
    </row>
    <row r="161" customFormat="false" ht="13.8" hidden="true" customHeight="false" outlineLevel="0" collapsed="false">
      <c r="A161" s="0" t="s">
        <v>1024</v>
      </c>
      <c r="B161" s="0" t="n">
        <v>78</v>
      </c>
      <c r="C161" s="0" t="n">
        <v>406711</v>
      </c>
      <c r="D161" s="0" t="s">
        <v>425</v>
      </c>
      <c r="E161" s="0" t="s">
        <v>1025</v>
      </c>
      <c r="F161" s="0" t="str">
        <f aca="false">CONCATENATE(D161," ",LEFT(H161,4),"T=",AU161,"D=",AV161,"R=",AW161,"M=",AX161,"L=",AY161,"B=",AZ161)</f>
        <v>DOUGLAS SRT=2D=0R=0M=0L=0B=0</v>
      </c>
      <c r="G161" s="0" t="s">
        <v>1026</v>
      </c>
      <c r="H161" s="0" t="s">
        <v>216</v>
      </c>
      <c r="I161" s="0" t="s">
        <v>158</v>
      </c>
      <c r="J161" s="0" t="s">
        <v>1027</v>
      </c>
      <c r="K161" s="0" t="s">
        <v>160</v>
      </c>
      <c r="M161" s="0" t="s">
        <v>1028</v>
      </c>
      <c r="N161" s="0" t="str">
        <f aca="false">RIGHT(M161,LEN(M161)-FIND(" ",M161))</f>
        <v>BENTON ST SE</v>
      </c>
      <c r="P161" s="0" t="s">
        <v>145</v>
      </c>
      <c r="Q161" s="0" t="s">
        <v>146</v>
      </c>
      <c r="R161" s="0" t="n">
        <v>44484</v>
      </c>
      <c r="AD161" s="0" t="s">
        <v>147</v>
      </c>
      <c r="AE161" s="0" t="s">
        <v>148</v>
      </c>
      <c r="AF161" s="0" t="s">
        <v>149</v>
      </c>
      <c r="AH161" s="0" t="n">
        <v>14</v>
      </c>
      <c r="AI161" s="0" t="n">
        <v>11</v>
      </c>
      <c r="AN161" s="0" t="s">
        <v>145</v>
      </c>
      <c r="AO161" s="0" t="s">
        <v>233</v>
      </c>
      <c r="AP161" s="0" t="s">
        <v>234</v>
      </c>
      <c r="AQ161" s="0" t="n">
        <v>9</v>
      </c>
      <c r="AR161" s="0" t="n">
        <v>64</v>
      </c>
      <c r="AS161" s="0" t="n">
        <v>32</v>
      </c>
      <c r="AU161" s="0" t="n">
        <f aca="false">COUNTA($BA$2279:$EH$2279)</f>
        <v>2</v>
      </c>
      <c r="AV161" s="0" t="n">
        <f aca="false">COUNTIF($BA$2279:$EH$2279,"D")</f>
        <v>0</v>
      </c>
      <c r="AW161" s="0" t="n">
        <f aca="false">COUNTIF($BA$2279:$EH$2279,"R")</f>
        <v>0</v>
      </c>
      <c r="AX161" s="0" t="n">
        <f aca="false">IF(BN161="D",1,0)+IF(BO161="D",1,0)+IF(BT161="D",1,0)+IF(BU161="D",1,0)+IF(BW161="D",1,0)+IF(CC161="D",1,0)+IF(CD161="D",1,0)+IF(CE161="D",1,0)+IF(CF161="D",1,0)+IF(CL161="D",1,0)+IF(CM161="D",1,0)+IF(CQ161="D",1,0)+IF(CR161="D",1,0)+IF(CS161="D",1,0)+IF(CW161="D",1,0)+IF(CX161="D",1,0)+IF(DD161="D",1,0)+IF(DE161="D",1,0)+IF(DJ161="D",1,0)+IF(DK161="D",1,0)+IF(DO161="D",1,0)+IF(DP161="D",1,0)+IF(DQ161="D",1,0)+IF(DW161="D",1,0)+IF(DZ161="D",1,0)+IF(EH161="D",1,0)</f>
        <v>0</v>
      </c>
      <c r="AY161" s="0" t="n">
        <f aca="false">COUNTIF(DU161:EH161, "&lt;&gt;")</f>
        <v>0</v>
      </c>
      <c r="AZ161" s="0" t="n">
        <f aca="false">IF(EH161&lt;&gt;"",1,0)</f>
        <v>0</v>
      </c>
      <c r="BB161" s="0" t="s">
        <v>152</v>
      </c>
      <c r="CA161" s="0" t="s">
        <v>153</v>
      </c>
      <c r="CY161" s="0" t="s">
        <v>153</v>
      </c>
      <c r="CZ161" s="0" t="s">
        <v>175</v>
      </c>
      <c r="DN161" s="0" t="s">
        <v>153</v>
      </c>
    </row>
    <row r="162" customFormat="false" ht="13.8" hidden="true" customHeight="false" outlineLevel="0" collapsed="false">
      <c r="A162" s="0" t="s">
        <v>1029</v>
      </c>
      <c r="B162" s="0" t="n">
        <v>78</v>
      </c>
      <c r="C162" s="0" t="n">
        <v>400402</v>
      </c>
      <c r="D162" s="0" t="s">
        <v>1030</v>
      </c>
      <c r="E162" s="0" t="s">
        <v>1031</v>
      </c>
      <c r="F162" s="0" t="str">
        <f aca="false">CONCATENATE(D162," ",LEFT(H162,4),"T=",AU162,"D=",AV162,"R=",AW162,"M=",AX162,"L=",AY162,"B=",AZ162)</f>
        <v>CULVER T=1D=0R=0M=0L=1B=0</v>
      </c>
      <c r="G162" s="0" t="s">
        <v>209</v>
      </c>
      <c r="I162" s="0" t="s">
        <v>1032</v>
      </c>
      <c r="J162" s="0" t="s">
        <v>404</v>
      </c>
      <c r="K162" s="0" t="s">
        <v>160</v>
      </c>
      <c r="M162" s="0" t="s">
        <v>1033</v>
      </c>
      <c r="N162" s="0" t="str">
        <f aca="false">RIGHT(M162,LEN(M162)-FIND(" ",M162))</f>
        <v>BENTON ST SE</v>
      </c>
      <c r="P162" s="0" t="s">
        <v>145</v>
      </c>
      <c r="Q162" s="0" t="s">
        <v>146</v>
      </c>
      <c r="R162" s="0" t="n">
        <v>44484</v>
      </c>
      <c r="AD162" s="0" t="s">
        <v>147</v>
      </c>
      <c r="AE162" s="0" t="s">
        <v>148</v>
      </c>
      <c r="AF162" s="0" t="s">
        <v>149</v>
      </c>
      <c r="AH162" s="0" t="n">
        <v>14</v>
      </c>
      <c r="AI162" s="0" t="n">
        <v>11</v>
      </c>
      <c r="AN162" s="0" t="s">
        <v>145</v>
      </c>
      <c r="AO162" s="0" t="s">
        <v>233</v>
      </c>
      <c r="AP162" s="0" t="s">
        <v>234</v>
      </c>
      <c r="AQ162" s="0" t="n">
        <v>9</v>
      </c>
      <c r="AR162" s="0" t="n">
        <v>64</v>
      </c>
      <c r="AS162" s="0" t="n">
        <v>32</v>
      </c>
      <c r="AU162" s="0" t="n">
        <f aca="false">COUNTA($BA$2390:$EH$2390)</f>
        <v>1</v>
      </c>
      <c r="AV162" s="0" t="n">
        <f aca="false">COUNTIF($BA$2390:$EH$2390,"D")</f>
        <v>0</v>
      </c>
      <c r="AW162" s="0" t="n">
        <f aca="false">COUNTIF($BA$2390:$EH$2390,"R")</f>
        <v>0</v>
      </c>
      <c r="AX162" s="0" t="n">
        <f aca="false">IF(BN162="D",1,0)+IF(BO162="D",1,0)+IF(BT162="D",1,0)+IF(BU162="D",1,0)+IF(BW162="D",1,0)+IF(CC162="D",1,0)+IF(CD162="D",1,0)+IF(CE162="D",1,0)+IF(CF162="D",1,0)+IF(CL162="D",1,0)+IF(CM162="D",1,0)+IF(CQ162="D",1,0)+IF(CR162="D",1,0)+IF(CS162="D",1,0)+IF(CW162="D",1,0)+IF(CX162="D",1,0)+IF(DD162="D",1,0)+IF(DE162="D",1,0)+IF(DJ162="D",1,0)+IF(DK162="D",1,0)+IF(DO162="D",1,0)+IF(DP162="D",1,0)+IF(DQ162="D",1,0)+IF(DW162="D",1,0)+IF(DZ162="D",1,0)+IF(EH162="D",1,0)</f>
        <v>0</v>
      </c>
      <c r="AY162" s="0" t="n">
        <f aca="false">COUNTIF(DU162:EH162, "&lt;&gt;")</f>
        <v>1</v>
      </c>
      <c r="AZ162" s="0" t="n">
        <f aca="false">IF(EH162&lt;&gt;"",1,0)</f>
        <v>0</v>
      </c>
      <c r="BB162" s="0" t="s">
        <v>152</v>
      </c>
      <c r="BD162" s="0" t="s">
        <v>153</v>
      </c>
      <c r="BE162" s="0" t="s">
        <v>175</v>
      </c>
      <c r="BF162" s="0" t="s">
        <v>153</v>
      </c>
      <c r="BL162" s="0" t="s">
        <v>153</v>
      </c>
      <c r="BP162" s="0" t="s">
        <v>153</v>
      </c>
      <c r="CA162" s="0" t="s">
        <v>153</v>
      </c>
      <c r="CK162" s="0" t="s">
        <v>153</v>
      </c>
      <c r="CO162" s="0" t="s">
        <v>175</v>
      </c>
      <c r="CP162" s="0" t="s">
        <v>153</v>
      </c>
      <c r="DC162" s="0" t="s">
        <v>153</v>
      </c>
      <c r="DI162" s="0" t="s">
        <v>153</v>
      </c>
      <c r="DN162" s="0" t="s">
        <v>153</v>
      </c>
      <c r="EF162" s="0" t="s">
        <v>153</v>
      </c>
    </row>
    <row r="163" customFormat="false" ht="13.8" hidden="true" customHeight="false" outlineLevel="0" collapsed="false">
      <c r="A163" s="0" t="s">
        <v>1034</v>
      </c>
      <c r="B163" s="0" t="n">
        <v>78</v>
      </c>
      <c r="C163" s="0" t="n">
        <v>409419</v>
      </c>
      <c r="D163" s="0" t="s">
        <v>1035</v>
      </c>
      <c r="E163" s="0" t="s">
        <v>1036</v>
      </c>
      <c r="F163" s="0" t="str">
        <f aca="false">CONCATENATE(D163," ",LEFT(H163,4),"T=",AU163,"D=",AV163,"R=",AW163,"M=",AX163,"L=",AY163,"B=",AZ163)</f>
        <v>PYNE T=3D=0R=0M=0L=0B=0</v>
      </c>
      <c r="G163" s="0" t="s">
        <v>268</v>
      </c>
      <c r="I163" s="0" t="s">
        <v>1037</v>
      </c>
      <c r="J163" s="0" t="s">
        <v>1038</v>
      </c>
      <c r="K163" s="0" t="s">
        <v>143</v>
      </c>
      <c r="M163" s="0" t="s">
        <v>1039</v>
      </c>
      <c r="N163" s="0" t="str">
        <f aca="false">RIGHT(M163,LEN(M163)-FIND(" ",M163))</f>
        <v>BENTON ST SE</v>
      </c>
      <c r="P163" s="0" t="s">
        <v>145</v>
      </c>
      <c r="Q163" s="0" t="s">
        <v>146</v>
      </c>
      <c r="R163" s="0" t="n">
        <v>44484</v>
      </c>
      <c r="AD163" s="0" t="s">
        <v>147</v>
      </c>
      <c r="AE163" s="0" t="s">
        <v>148</v>
      </c>
      <c r="AF163" s="0" t="s">
        <v>149</v>
      </c>
      <c r="AH163" s="0" t="n">
        <v>14</v>
      </c>
      <c r="AI163" s="0" t="n">
        <v>11</v>
      </c>
      <c r="AN163" s="0" t="s">
        <v>145</v>
      </c>
      <c r="AO163" s="0" t="s">
        <v>233</v>
      </c>
      <c r="AP163" s="0" t="s">
        <v>234</v>
      </c>
      <c r="AQ163" s="0" t="n">
        <v>9</v>
      </c>
      <c r="AR163" s="0" t="n">
        <v>64</v>
      </c>
      <c r="AS163" s="0" t="n">
        <v>32</v>
      </c>
      <c r="AU163" s="0" t="n">
        <f aca="false">COUNTA($BA$2273:$EH$2273)</f>
        <v>3</v>
      </c>
      <c r="AV163" s="0" t="n">
        <f aca="false">COUNTIF($BA$2273:$EH$2273,"D")</f>
        <v>0</v>
      </c>
      <c r="AW163" s="0" t="n">
        <f aca="false">COUNTIF($BA$2273:$EH$2273,"R")</f>
        <v>0</v>
      </c>
      <c r="AX163" s="0" t="n">
        <f aca="false">IF(BN163="D",1,0)+IF(BO163="D",1,0)+IF(BT163="D",1,0)+IF(BU163="D",1,0)+IF(BW163="D",1,0)+IF(CC163="D",1,0)+IF(CD163="D",1,0)+IF(CE163="D",1,0)+IF(CF163="D",1,0)+IF(CL163="D",1,0)+IF(CM163="D",1,0)+IF(CQ163="D",1,0)+IF(CR163="D",1,0)+IF(CS163="D",1,0)+IF(CW163="D",1,0)+IF(CX163="D",1,0)+IF(DD163="D",1,0)+IF(DE163="D",1,0)+IF(DJ163="D",1,0)+IF(DK163="D",1,0)+IF(DO163="D",1,0)+IF(DP163="D",1,0)+IF(DQ163="D",1,0)+IF(DW163="D",1,0)+IF(DZ163="D",1,0)+IF(EH163="D",1,0)</f>
        <v>0</v>
      </c>
      <c r="AY163" s="0" t="n">
        <f aca="false">COUNTIF(DU163:EH163, "&lt;&gt;")</f>
        <v>0</v>
      </c>
      <c r="AZ163" s="0" t="n">
        <f aca="false">IF(EH163&lt;&gt;"",1,0)</f>
        <v>0</v>
      </c>
      <c r="BB163" s="0" t="s">
        <v>152</v>
      </c>
      <c r="CA163" s="0" t="s">
        <v>153</v>
      </c>
      <c r="CP163" s="0" t="s">
        <v>153</v>
      </c>
    </row>
    <row r="164" customFormat="false" ht="13.8" hidden="true" customHeight="false" outlineLevel="0" collapsed="false">
      <c r="A164" s="0" t="s">
        <v>1040</v>
      </c>
      <c r="B164" s="0" t="n">
        <v>78</v>
      </c>
      <c r="C164" s="0" t="n">
        <v>411916</v>
      </c>
      <c r="D164" s="0" t="s">
        <v>1041</v>
      </c>
      <c r="E164" s="0" t="s">
        <v>1042</v>
      </c>
      <c r="F164" s="0" t="str">
        <f aca="false">CONCATENATE(D164," ",LEFT(H164,4),"T=",AU164,"D=",AV164,"R=",AW164,"M=",AX164,"L=",AY164,"B=",AZ164)</f>
        <v>JONES T=1D=0R=0M=0L=0B=0</v>
      </c>
      <c r="G164" s="0" t="s">
        <v>190</v>
      </c>
      <c r="I164" s="0" t="s">
        <v>1043</v>
      </c>
      <c r="J164" s="0" t="s">
        <v>1044</v>
      </c>
      <c r="K164" s="0" t="s">
        <v>160</v>
      </c>
      <c r="M164" s="0" t="s">
        <v>1039</v>
      </c>
      <c r="N164" s="0" t="str">
        <f aca="false">RIGHT(M164,LEN(M164)-FIND(" ",M164))</f>
        <v>BENTON ST SE</v>
      </c>
      <c r="P164" s="0" t="s">
        <v>145</v>
      </c>
      <c r="Q164" s="0" t="s">
        <v>146</v>
      </c>
      <c r="R164" s="0" t="n">
        <v>44484</v>
      </c>
      <c r="AD164" s="0" t="s">
        <v>147</v>
      </c>
      <c r="AE164" s="0" t="s">
        <v>148</v>
      </c>
      <c r="AF164" s="0" t="s">
        <v>149</v>
      </c>
      <c r="AH164" s="0" t="n">
        <v>14</v>
      </c>
      <c r="AI164" s="0" t="n">
        <v>11</v>
      </c>
      <c r="AN164" s="0" t="s">
        <v>145</v>
      </c>
      <c r="AO164" s="0" t="s">
        <v>233</v>
      </c>
      <c r="AP164" s="0" t="s">
        <v>234</v>
      </c>
      <c r="AQ164" s="0" t="n">
        <v>9</v>
      </c>
      <c r="AR164" s="0" t="n">
        <v>64</v>
      </c>
      <c r="AS164" s="0" t="n">
        <v>32</v>
      </c>
      <c r="AU164" s="0" t="n">
        <f aca="false">COUNTA($BA$2492:$EH$2492)</f>
        <v>1</v>
      </c>
      <c r="AV164" s="0" t="n">
        <f aca="false">COUNTIF($BA$2492:$EH$2492,"D")</f>
        <v>0</v>
      </c>
      <c r="AW164" s="0" t="n">
        <f aca="false">COUNTIF($BA$2492:$EH$2492,"R")</f>
        <v>0</v>
      </c>
      <c r="AX164" s="0" t="n">
        <f aca="false">IF(BN164="D",1,0)+IF(BO164="D",1,0)+IF(BT164="D",1,0)+IF(BU164="D",1,0)+IF(BW164="D",1,0)+IF(CC164="D",1,0)+IF(CD164="D",1,0)+IF(CE164="D",1,0)+IF(CF164="D",1,0)+IF(CL164="D",1,0)+IF(CM164="D",1,0)+IF(CQ164="D",1,0)+IF(CR164="D",1,0)+IF(CS164="D",1,0)+IF(CW164="D",1,0)+IF(CX164="D",1,0)+IF(DD164="D",1,0)+IF(DE164="D",1,0)+IF(DJ164="D",1,0)+IF(DK164="D",1,0)+IF(DO164="D",1,0)+IF(DP164="D",1,0)+IF(DQ164="D",1,0)+IF(DW164="D",1,0)+IF(DZ164="D",1,0)+IF(EH164="D",1,0)</f>
        <v>0</v>
      </c>
      <c r="AY164" s="0" t="n">
        <f aca="false">COUNTIF(DU164:EH164, "&lt;&gt;")</f>
        <v>0</v>
      </c>
      <c r="AZ164" s="0" t="n">
        <f aca="false">IF(EH164&lt;&gt;"",1,0)</f>
        <v>0</v>
      </c>
      <c r="BB164" s="0" t="s">
        <v>152</v>
      </c>
      <c r="CP164" s="0" t="s">
        <v>153</v>
      </c>
    </row>
    <row r="165" customFormat="false" ht="13.8" hidden="true" customHeight="false" outlineLevel="0" collapsed="false">
      <c r="A165" s="0" t="s">
        <v>1045</v>
      </c>
      <c r="B165" s="0" t="n">
        <v>78</v>
      </c>
      <c r="C165" s="0" t="n">
        <v>487396</v>
      </c>
      <c r="D165" s="0" t="s">
        <v>1046</v>
      </c>
      <c r="E165" s="0" t="s">
        <v>1047</v>
      </c>
      <c r="F165" s="0" t="str">
        <f aca="false">CONCATENATE(D165," ",LEFT(H165,4),"T=",AU165,"D=",AV165,"R=",AW165,"M=",AX165,"L=",AY165,"B=",AZ165)</f>
        <v>WORTHEY T=8D=2R=0M=0L=0B=0</v>
      </c>
      <c r="G165" s="0" t="s">
        <v>1048</v>
      </c>
      <c r="I165" s="0" t="s">
        <v>1049</v>
      </c>
      <c r="J165" s="0" t="s">
        <v>1050</v>
      </c>
      <c r="K165" s="0" t="s">
        <v>160</v>
      </c>
      <c r="M165" s="0" t="s">
        <v>1051</v>
      </c>
      <c r="N165" s="0" t="str">
        <f aca="false">RIGHT(M165,LEN(M165)-FIND(" ",M165))</f>
        <v>BENTON ST SE</v>
      </c>
      <c r="P165" s="0" t="s">
        <v>145</v>
      </c>
      <c r="Q165" s="0" t="s">
        <v>146</v>
      </c>
      <c r="R165" s="0" t="n">
        <v>44484</v>
      </c>
      <c r="AD165" s="0" t="s">
        <v>147</v>
      </c>
      <c r="AE165" s="0" t="s">
        <v>148</v>
      </c>
      <c r="AF165" s="0" t="s">
        <v>149</v>
      </c>
      <c r="AH165" s="0" t="n">
        <v>14</v>
      </c>
      <c r="AI165" s="0" t="n">
        <v>11</v>
      </c>
      <c r="AN165" s="0" t="s">
        <v>145</v>
      </c>
      <c r="AO165" s="0" t="s">
        <v>233</v>
      </c>
      <c r="AP165" s="0" t="s">
        <v>234</v>
      </c>
      <c r="AQ165" s="0" t="n">
        <v>9</v>
      </c>
      <c r="AR165" s="0" t="n">
        <v>64</v>
      </c>
      <c r="AS165" s="0" t="n">
        <v>32</v>
      </c>
      <c r="AU165" s="0" t="n">
        <f aca="false">COUNTA($BA$2600:$EH$2600)</f>
        <v>8</v>
      </c>
      <c r="AV165" s="0" t="n">
        <f aca="false">COUNTIF($BA$2600:$EH$2600,"D")</f>
        <v>2</v>
      </c>
      <c r="AW165" s="0" t="n">
        <f aca="false">COUNTIF($BA$2600:$EH$2600,"R")</f>
        <v>0</v>
      </c>
      <c r="AX165" s="0" t="n">
        <f aca="false">IF(BN165="D",1,0)+IF(BO165="D",1,0)+IF(BT165="D",1,0)+IF(BU165="D",1,0)+IF(BW165="D",1,0)+IF(CC165="D",1,0)+IF(CD165="D",1,0)+IF(CE165="D",1,0)+IF(CF165="D",1,0)+IF(CL165="D",1,0)+IF(CM165="D",1,0)+IF(CQ165="D",1,0)+IF(CR165="D",1,0)+IF(CS165="D",1,0)+IF(CW165="D",1,0)+IF(CX165="D",1,0)+IF(DD165="D",1,0)+IF(DE165="D",1,0)+IF(DJ165="D",1,0)+IF(DK165="D",1,0)+IF(DO165="D",1,0)+IF(DP165="D",1,0)+IF(DQ165="D",1,0)+IF(DW165="D",1,0)+IF(DZ165="D",1,0)+IF(EH165="D",1,0)</f>
        <v>0</v>
      </c>
      <c r="AY165" s="0" t="n">
        <f aca="false">COUNTIF(DU165:EH165, "&lt;&gt;")</f>
        <v>0</v>
      </c>
      <c r="AZ165" s="0" t="n">
        <f aca="false">IF(EH165&lt;&gt;"",1,0)</f>
        <v>0</v>
      </c>
      <c r="BB165" s="0" t="s">
        <v>152</v>
      </c>
    </row>
    <row r="166" customFormat="false" ht="13.8" hidden="true" customHeight="false" outlineLevel="0" collapsed="false">
      <c r="A166" s="0" t="s">
        <v>1052</v>
      </c>
      <c r="B166" s="0" t="n">
        <v>78</v>
      </c>
      <c r="C166" s="0" t="n">
        <v>229815</v>
      </c>
      <c r="D166" s="0" t="s">
        <v>1053</v>
      </c>
      <c r="E166" s="0" t="s">
        <v>663</v>
      </c>
      <c r="F166" s="0" t="str">
        <f aca="false">CONCATENATE(D166," ",LEFT(H166,4),"T=",AU166,"D=",AV166,"R=",AW166,"M=",AX166,"L=",AY166,"B=",AZ166)</f>
        <v>DOWELL T=13D=0R=2M=1L=0B=0</v>
      </c>
      <c r="G166" s="0" t="s">
        <v>175</v>
      </c>
      <c r="I166" s="0" t="s">
        <v>1054</v>
      </c>
      <c r="J166" s="0" t="s">
        <v>1055</v>
      </c>
      <c r="K166" s="0" t="s">
        <v>160</v>
      </c>
      <c r="M166" s="0" t="s">
        <v>1056</v>
      </c>
      <c r="N166" s="0" t="str">
        <f aca="false">RIGHT(M166,LEN(M166)-FIND(" ",M166))</f>
        <v>BENTON ST SE</v>
      </c>
      <c r="P166" s="0" t="s">
        <v>145</v>
      </c>
      <c r="Q166" s="0" t="s">
        <v>146</v>
      </c>
      <c r="R166" s="0" t="n">
        <v>44484</v>
      </c>
      <c r="AD166" s="0" t="s">
        <v>147</v>
      </c>
      <c r="AE166" s="0" t="s">
        <v>148</v>
      </c>
      <c r="AF166" s="0" t="s">
        <v>149</v>
      </c>
      <c r="AH166" s="0" t="n">
        <v>14</v>
      </c>
      <c r="AI166" s="0" t="n">
        <v>11</v>
      </c>
      <c r="AN166" s="0" t="s">
        <v>145</v>
      </c>
      <c r="AO166" s="0" t="s">
        <v>233</v>
      </c>
      <c r="AP166" s="0" t="s">
        <v>234</v>
      </c>
      <c r="AQ166" s="0" t="n">
        <v>9</v>
      </c>
      <c r="AR166" s="0" t="n">
        <v>64</v>
      </c>
      <c r="AS166" s="0" t="n">
        <v>32</v>
      </c>
      <c r="AU166" s="0" t="n">
        <f aca="false">COUNTA($BA$2596:$EH$2596)</f>
        <v>13</v>
      </c>
      <c r="AV166" s="0" t="n">
        <f aca="false">COUNTIF($BA$2596:$EH$2596,"D")</f>
        <v>0</v>
      </c>
      <c r="AW166" s="0" t="n">
        <f aca="false">COUNTIF($BA$2596:$EH$2596,"R")</f>
        <v>2</v>
      </c>
      <c r="AX166" s="0" t="n">
        <f aca="false">IF(BN166="D",1,0)+IF(BO166="D",1,0)+IF(BT166="D",1,0)+IF(BU166="D",1,0)+IF(BW166="D",1,0)+IF(CC166="D",1,0)+IF(CD166="D",1,0)+IF(CE166="D",1,0)+IF(CF166="D",1,0)+IF(CL166="D",1,0)+IF(CM166="D",1,0)+IF(CQ166="D",1,0)+IF(CR166="D",1,0)+IF(CS166="D",1,0)+IF(CW166="D",1,0)+IF(CX166="D",1,0)+IF(DD166="D",1,0)+IF(DE166="D",1,0)+IF(DJ166="D",1,0)+IF(DK166="D",1,0)+IF(DO166="D",1,0)+IF(DP166="D",1,0)+IF(DQ166="D",1,0)+IF(DW166="D",1,0)+IF(DZ166="D",1,0)+IF(EH166="D",1,0)</f>
        <v>1</v>
      </c>
      <c r="AY166" s="0" t="n">
        <f aca="false">COUNTIF(DU166:EH166, "&lt;&gt;")</f>
        <v>0</v>
      </c>
      <c r="AZ166" s="0" t="n">
        <f aca="false">IF(EH166&lt;&gt;"",1,0)</f>
        <v>0</v>
      </c>
      <c r="BB166" s="0" t="s">
        <v>152</v>
      </c>
      <c r="BD166" s="0" t="s">
        <v>153</v>
      </c>
      <c r="BG166" s="0" t="s">
        <v>153</v>
      </c>
      <c r="BH166" s="0" t="s">
        <v>153</v>
      </c>
      <c r="BI166" s="0" t="s">
        <v>153</v>
      </c>
      <c r="BJ166" s="0" t="s">
        <v>153</v>
      </c>
      <c r="BK166" s="0" t="s">
        <v>153</v>
      </c>
      <c r="BL166" s="0" t="s">
        <v>153</v>
      </c>
      <c r="BS166" s="0" t="s">
        <v>153</v>
      </c>
      <c r="BY166" s="0" t="s">
        <v>175</v>
      </c>
      <c r="CA166" s="0" t="s">
        <v>153</v>
      </c>
      <c r="CG166" s="0" t="s">
        <v>153</v>
      </c>
      <c r="CK166" s="0" t="s">
        <v>153</v>
      </c>
      <c r="CL166" s="0" t="s">
        <v>175</v>
      </c>
      <c r="CN166" s="0" t="s">
        <v>153</v>
      </c>
      <c r="CP166" s="0" t="s">
        <v>153</v>
      </c>
      <c r="CY166" s="0" t="s">
        <v>153</v>
      </c>
      <c r="DN166" s="0" t="s">
        <v>153</v>
      </c>
    </row>
    <row r="167" customFormat="false" ht="13.8" hidden="true" customHeight="false" outlineLevel="0" collapsed="false">
      <c r="A167" s="0" t="s">
        <v>1057</v>
      </c>
      <c r="B167" s="0" t="n">
        <v>78</v>
      </c>
      <c r="C167" s="0" t="n">
        <v>476011</v>
      </c>
      <c r="D167" s="0" t="s">
        <v>1058</v>
      </c>
      <c r="E167" s="0" t="s">
        <v>1059</v>
      </c>
      <c r="F167" s="0" t="str">
        <f aca="false">CONCATENATE(D167," ",LEFT(H167,4),"T=",AU167,"D=",AV167,"R=",AW167,"M=",AX167,"L=",AY167,"B=",AZ167)</f>
        <v>OWENS JRT=19D=4R=0M=0L=0B=0</v>
      </c>
      <c r="G167" s="0" t="s">
        <v>175</v>
      </c>
      <c r="H167" s="0" t="s">
        <v>314</v>
      </c>
      <c r="I167" s="0" t="s">
        <v>1060</v>
      </c>
      <c r="J167" s="0" t="s">
        <v>1061</v>
      </c>
      <c r="K167" s="0" t="s">
        <v>160</v>
      </c>
      <c r="M167" s="0" t="s">
        <v>1062</v>
      </c>
      <c r="N167" s="0" t="str">
        <f aca="false">RIGHT(M167,LEN(M167)-FIND(" ",M167))</f>
        <v>BENTON ST SE</v>
      </c>
      <c r="P167" s="0" t="s">
        <v>145</v>
      </c>
      <c r="Q167" s="0" t="s">
        <v>146</v>
      </c>
      <c r="R167" s="0" t="n">
        <v>44484</v>
      </c>
      <c r="AD167" s="0" t="s">
        <v>147</v>
      </c>
      <c r="AE167" s="0" t="s">
        <v>148</v>
      </c>
      <c r="AF167" s="0" t="s">
        <v>149</v>
      </c>
      <c r="AH167" s="0" t="n">
        <v>14</v>
      </c>
      <c r="AI167" s="0" t="n">
        <v>11</v>
      </c>
      <c r="AN167" s="0" t="s">
        <v>145</v>
      </c>
      <c r="AO167" s="0" t="s">
        <v>233</v>
      </c>
      <c r="AP167" s="0" t="s">
        <v>234</v>
      </c>
      <c r="AQ167" s="0" t="n">
        <v>9</v>
      </c>
      <c r="AR167" s="0" t="n">
        <v>64</v>
      </c>
      <c r="AS167" s="0" t="n">
        <v>32</v>
      </c>
      <c r="AU167" s="0" t="n">
        <f aca="false">COUNTA($BA$2525:$EH$2525)</f>
        <v>19</v>
      </c>
      <c r="AV167" s="0" t="n">
        <f aca="false">COUNTIF($BA$2525:$EH$2525,"D")</f>
        <v>4</v>
      </c>
      <c r="AW167" s="0" t="n">
        <f aca="false">COUNTIF($BA$2525:$EH$2525,"R")</f>
        <v>0</v>
      </c>
      <c r="AX167" s="0" t="n">
        <f aca="false">IF(BN167="D",1,0)+IF(BO167="D",1,0)+IF(BT167="D",1,0)+IF(BU167="D",1,0)+IF(BW167="D",1,0)+IF(CC167="D",1,0)+IF(CD167="D",1,0)+IF(CE167="D",1,0)+IF(CF167="D",1,0)+IF(CL167="D",1,0)+IF(CM167="D",1,0)+IF(CQ167="D",1,0)+IF(CR167="D",1,0)+IF(CS167="D",1,0)+IF(CW167="D",1,0)+IF(CX167="D",1,0)+IF(DD167="D",1,0)+IF(DE167="D",1,0)+IF(DJ167="D",1,0)+IF(DK167="D",1,0)+IF(DO167="D",1,0)+IF(DP167="D",1,0)+IF(DQ167="D",1,0)+IF(DW167="D",1,0)+IF(DZ167="D",1,0)+IF(EH167="D",1,0)</f>
        <v>0</v>
      </c>
      <c r="AY167" s="0" t="n">
        <f aca="false">COUNTIF(DU167:EH167, "&lt;&gt;")</f>
        <v>0</v>
      </c>
      <c r="AZ167" s="0" t="n">
        <f aca="false">IF(EH167&lt;&gt;"",1,0)</f>
        <v>0</v>
      </c>
      <c r="BB167" s="0" t="s">
        <v>152</v>
      </c>
    </row>
    <row r="168" customFormat="false" ht="13.8" hidden="true" customHeight="false" outlineLevel="0" collapsed="false">
      <c r="A168" s="0" t="s">
        <v>1063</v>
      </c>
      <c r="B168" s="0" t="n">
        <v>78</v>
      </c>
      <c r="C168" s="0" t="n">
        <v>329064</v>
      </c>
      <c r="D168" s="0" t="s">
        <v>1058</v>
      </c>
      <c r="E168" s="0" t="s">
        <v>1064</v>
      </c>
      <c r="F168" s="0" t="str">
        <f aca="false">CONCATENATE(D168," ",LEFT(H168,4),"T=",AU168,"D=",AV168,"R=",AW168,"M=",AX168,"L=",AY168,"B=",AZ168)</f>
        <v>OWENS T=3D=0R=0M=0L=0B=0</v>
      </c>
      <c r="G168" s="0" t="s">
        <v>175</v>
      </c>
      <c r="I168" s="0" t="s">
        <v>1065</v>
      </c>
      <c r="J168" s="0" t="s">
        <v>1066</v>
      </c>
      <c r="K168" s="0" t="s">
        <v>143</v>
      </c>
      <c r="M168" s="0" t="s">
        <v>1062</v>
      </c>
      <c r="N168" s="0" t="str">
        <f aca="false">RIGHT(M168,LEN(M168)-FIND(" ",M168))</f>
        <v>BENTON ST SE</v>
      </c>
      <c r="P168" s="0" t="s">
        <v>145</v>
      </c>
      <c r="Q168" s="0" t="s">
        <v>146</v>
      </c>
      <c r="R168" s="0" t="n">
        <v>44484</v>
      </c>
      <c r="AD168" s="0" t="s">
        <v>147</v>
      </c>
      <c r="AE168" s="0" t="s">
        <v>148</v>
      </c>
      <c r="AF168" s="0" t="s">
        <v>149</v>
      </c>
      <c r="AH168" s="0" t="n">
        <v>14</v>
      </c>
      <c r="AI168" s="0" t="n">
        <v>11</v>
      </c>
      <c r="AN168" s="0" t="s">
        <v>145</v>
      </c>
      <c r="AO168" s="0" t="s">
        <v>233</v>
      </c>
      <c r="AP168" s="0" t="s">
        <v>234</v>
      </c>
      <c r="AQ168" s="0" t="n">
        <v>9</v>
      </c>
      <c r="AR168" s="0" t="n">
        <v>64</v>
      </c>
      <c r="AS168" s="0" t="n">
        <v>32</v>
      </c>
      <c r="AU168" s="0" t="n">
        <f aca="false">COUNTA($BA$2580:$EH$2580)</f>
        <v>3</v>
      </c>
      <c r="AV168" s="0" t="n">
        <f aca="false">COUNTIF($BA$2580:$EH$2580,"D")</f>
        <v>0</v>
      </c>
      <c r="AW168" s="0" t="n">
        <f aca="false">COUNTIF($BA$2580:$EH$2580,"R")</f>
        <v>0</v>
      </c>
      <c r="AX168" s="0" t="n">
        <f aca="false">IF(BN168="D",1,0)+IF(BO168="D",1,0)+IF(BT168="D",1,0)+IF(BU168="D",1,0)+IF(BW168="D",1,0)+IF(CC168="D",1,0)+IF(CD168="D",1,0)+IF(CE168="D",1,0)+IF(CF168="D",1,0)+IF(CL168="D",1,0)+IF(CM168="D",1,0)+IF(CQ168="D",1,0)+IF(CR168="D",1,0)+IF(CS168="D",1,0)+IF(CW168="D",1,0)+IF(CX168="D",1,0)+IF(DD168="D",1,0)+IF(DE168="D",1,0)+IF(DJ168="D",1,0)+IF(DK168="D",1,0)+IF(DO168="D",1,0)+IF(DP168="D",1,0)+IF(DQ168="D",1,0)+IF(DW168="D",1,0)+IF(DZ168="D",1,0)+IF(EH168="D",1,0)</f>
        <v>0</v>
      </c>
      <c r="AY168" s="0" t="n">
        <f aca="false">COUNTIF(DU168:EH168, "&lt;&gt;")</f>
        <v>0</v>
      </c>
      <c r="AZ168" s="0" t="n">
        <f aca="false">IF(EH168&lt;&gt;"",1,0)</f>
        <v>0</v>
      </c>
      <c r="BB168" s="0" t="s">
        <v>152</v>
      </c>
      <c r="BL168" s="0" t="s">
        <v>153</v>
      </c>
      <c r="CA168" s="0" t="s">
        <v>153</v>
      </c>
      <c r="CP168" s="0" t="s">
        <v>153</v>
      </c>
      <c r="DC168" s="0" t="s">
        <v>153</v>
      </c>
      <c r="DN168" s="0" t="s">
        <v>153</v>
      </c>
    </row>
    <row r="169" customFormat="false" ht="13.8" hidden="true" customHeight="false" outlineLevel="0" collapsed="false">
      <c r="A169" s="0" t="s">
        <v>1067</v>
      </c>
      <c r="B169" s="0" t="n">
        <v>78</v>
      </c>
      <c r="C169" s="0" t="n">
        <v>362834</v>
      </c>
      <c r="D169" s="0" t="s">
        <v>770</v>
      </c>
      <c r="E169" s="0" t="s">
        <v>1068</v>
      </c>
      <c r="F169" s="0" t="str">
        <f aca="false">CONCATENATE(D169," ",LEFT(H169,4),"T=",AU169,"D=",AV169,"R=",AW169,"M=",AX169,"L=",AY169,"B=",AZ169)</f>
        <v>ALLEN T=4D=1R=0M=0L=0B=0</v>
      </c>
      <c r="G169" s="0" t="s">
        <v>307</v>
      </c>
      <c r="I169" s="0" t="s">
        <v>1069</v>
      </c>
      <c r="J169" s="0" t="s">
        <v>1070</v>
      </c>
      <c r="K169" s="0" t="s">
        <v>143</v>
      </c>
      <c r="M169" s="0" t="s">
        <v>1062</v>
      </c>
      <c r="N169" s="0" t="str">
        <f aca="false">RIGHT(M169,LEN(M169)-FIND(" ",M169))</f>
        <v>BENTON ST SE</v>
      </c>
      <c r="P169" s="0" t="s">
        <v>145</v>
      </c>
      <c r="Q169" s="0" t="s">
        <v>146</v>
      </c>
      <c r="R169" s="0" t="n">
        <v>44484</v>
      </c>
      <c r="AD169" s="0" t="s">
        <v>147</v>
      </c>
      <c r="AE169" s="0" t="s">
        <v>148</v>
      </c>
      <c r="AF169" s="0" t="s">
        <v>149</v>
      </c>
      <c r="AH169" s="0" t="n">
        <v>14</v>
      </c>
      <c r="AI169" s="0" t="n">
        <v>11</v>
      </c>
      <c r="AN169" s="0" t="s">
        <v>145</v>
      </c>
      <c r="AO169" s="0" t="s">
        <v>233</v>
      </c>
      <c r="AP169" s="0" t="s">
        <v>234</v>
      </c>
      <c r="AQ169" s="0" t="n">
        <v>9</v>
      </c>
      <c r="AR169" s="0" t="n">
        <v>64</v>
      </c>
      <c r="AS169" s="0" t="n">
        <v>32</v>
      </c>
      <c r="AU169" s="0" t="n">
        <f aca="false">COUNTA($BA$2583:$EH$2583)</f>
        <v>4</v>
      </c>
      <c r="AV169" s="0" t="n">
        <f aca="false">COUNTIF($BA$2583:$EH$2583,"D")</f>
        <v>1</v>
      </c>
      <c r="AW169" s="0" t="n">
        <f aca="false">COUNTIF($BA$2583:$EH$2583,"R")</f>
        <v>0</v>
      </c>
      <c r="AX169" s="0" t="n">
        <f aca="false">IF(BN169="D",1,0)+IF(BO169="D",1,0)+IF(BT169="D",1,0)+IF(BU169="D",1,0)+IF(BW169="D",1,0)+IF(CC169="D",1,0)+IF(CD169="D",1,0)+IF(CE169="D",1,0)+IF(CF169="D",1,0)+IF(CL169="D",1,0)+IF(CM169="D",1,0)+IF(CQ169="D",1,0)+IF(CR169="D",1,0)+IF(CS169="D",1,0)+IF(CW169="D",1,0)+IF(CX169="D",1,0)+IF(DD169="D",1,0)+IF(DE169="D",1,0)+IF(DJ169="D",1,0)+IF(DK169="D",1,0)+IF(DO169="D",1,0)+IF(DP169="D",1,0)+IF(DQ169="D",1,0)+IF(DW169="D",1,0)+IF(DZ169="D",1,0)+IF(EH169="D",1,0)</f>
        <v>0</v>
      </c>
      <c r="AY169" s="0" t="n">
        <f aca="false">COUNTIF(DU169:EH169, "&lt;&gt;")</f>
        <v>0</v>
      </c>
      <c r="AZ169" s="0" t="n">
        <f aca="false">IF(EH169&lt;&gt;"",1,0)</f>
        <v>0</v>
      </c>
      <c r="BB169" s="0" t="s">
        <v>152</v>
      </c>
      <c r="CA169" s="0" t="s">
        <v>153</v>
      </c>
      <c r="CP169" s="0" t="s">
        <v>153</v>
      </c>
      <c r="DC169" s="0" t="s">
        <v>153</v>
      </c>
    </row>
    <row r="170" customFormat="false" ht="13.8" hidden="true" customHeight="false" outlineLevel="0" collapsed="false">
      <c r="A170" s="0" t="s">
        <v>1071</v>
      </c>
      <c r="B170" s="0" t="n">
        <v>78</v>
      </c>
      <c r="C170" s="0" t="n">
        <v>487206</v>
      </c>
      <c r="D170" s="0" t="s">
        <v>1072</v>
      </c>
      <c r="E170" s="0" t="s">
        <v>1073</v>
      </c>
      <c r="F170" s="0" t="str">
        <f aca="false">CONCATENATE(D170," ",LEFT(H170,4),"T=",AU170,"D=",AV170,"R=",AW170,"M=",AX170,"L=",AY170,"B=",AZ170)</f>
        <v>MERRITT T=19D=2R=0M=0L=0B=0</v>
      </c>
      <c r="I170" s="0" t="s">
        <v>1074</v>
      </c>
      <c r="J170" s="0" t="s">
        <v>399</v>
      </c>
      <c r="K170" s="0" t="s">
        <v>160</v>
      </c>
      <c r="M170" s="0" t="s">
        <v>1075</v>
      </c>
      <c r="N170" s="0" t="str">
        <f aca="false">RIGHT(M170,LEN(M170)-FIND(" ",M170))</f>
        <v>BENTON ST SE</v>
      </c>
      <c r="P170" s="0" t="s">
        <v>145</v>
      </c>
      <c r="Q170" s="0" t="s">
        <v>146</v>
      </c>
      <c r="R170" s="0" t="n">
        <v>44484</v>
      </c>
      <c r="AD170" s="0" t="s">
        <v>147</v>
      </c>
      <c r="AE170" s="0" t="s">
        <v>148</v>
      </c>
      <c r="AF170" s="0" t="s">
        <v>149</v>
      </c>
      <c r="AH170" s="0" t="n">
        <v>14</v>
      </c>
      <c r="AI170" s="0" t="n">
        <v>11</v>
      </c>
      <c r="AN170" s="0" t="s">
        <v>145</v>
      </c>
      <c r="AO170" s="0" t="s">
        <v>233</v>
      </c>
      <c r="AP170" s="0" t="s">
        <v>234</v>
      </c>
      <c r="AQ170" s="0" t="n">
        <v>9</v>
      </c>
      <c r="AR170" s="0" t="n">
        <v>64</v>
      </c>
      <c r="AS170" s="0" t="n">
        <v>32</v>
      </c>
      <c r="AU170" s="0" t="n">
        <f aca="false">COUNTA($BA$2278:$EH$2278)</f>
        <v>19</v>
      </c>
      <c r="AV170" s="0" t="n">
        <f aca="false">COUNTIF($BA$2278:$EH$2278,"D")</f>
        <v>2</v>
      </c>
      <c r="AW170" s="0" t="n">
        <f aca="false">COUNTIF($BA$2278:$EH$2278,"R")</f>
        <v>0</v>
      </c>
      <c r="AX170" s="0" t="n">
        <f aca="false">IF(BN170="D",1,0)+IF(BO170="D",1,0)+IF(BT170="D",1,0)+IF(BU170="D",1,0)+IF(BW170="D",1,0)+IF(CC170="D",1,0)+IF(CD170="D",1,0)+IF(CE170="D",1,0)+IF(CF170="D",1,0)+IF(CL170="D",1,0)+IF(CM170="D",1,0)+IF(CQ170="D",1,0)+IF(CR170="D",1,0)+IF(CS170="D",1,0)+IF(CW170="D",1,0)+IF(CX170="D",1,0)+IF(DD170="D",1,0)+IF(DE170="D",1,0)+IF(DJ170="D",1,0)+IF(DK170="D",1,0)+IF(DO170="D",1,0)+IF(DP170="D",1,0)+IF(DQ170="D",1,0)+IF(DW170="D",1,0)+IF(DZ170="D",1,0)+IF(EH170="D",1,0)</f>
        <v>0</v>
      </c>
      <c r="AY170" s="0" t="n">
        <f aca="false">COUNTIF(DU170:EH170, "&lt;&gt;")</f>
        <v>0</v>
      </c>
      <c r="AZ170" s="0" t="n">
        <f aca="false">IF(EH170&lt;&gt;"",1,0)</f>
        <v>0</v>
      </c>
      <c r="BB170" s="0" t="s">
        <v>152</v>
      </c>
    </row>
    <row r="171" customFormat="false" ht="13.8" hidden="true" customHeight="false" outlineLevel="0" collapsed="false">
      <c r="A171" s="0" t="s">
        <v>1076</v>
      </c>
      <c r="B171" s="0" t="n">
        <v>78</v>
      </c>
      <c r="C171" s="0" t="n">
        <v>415647</v>
      </c>
      <c r="D171" s="0" t="s">
        <v>1072</v>
      </c>
      <c r="E171" s="0" t="s">
        <v>1077</v>
      </c>
      <c r="F171" s="0" t="str">
        <f aca="false">CONCATENATE(D171," ",LEFT(H171,4),"T=",AU171,"D=",AV171,"R=",AW171,"M=",AX171,"L=",AY171,"B=",AZ171)</f>
        <v>MERRITT T=1D=0R=0M=0L=0B=0</v>
      </c>
      <c r="G171" s="0" t="s">
        <v>637</v>
      </c>
      <c r="I171" s="0" t="s">
        <v>1078</v>
      </c>
      <c r="J171" s="0" t="s">
        <v>1079</v>
      </c>
      <c r="K171" s="0" t="s">
        <v>160</v>
      </c>
      <c r="M171" s="0" t="s">
        <v>1075</v>
      </c>
      <c r="N171" s="0" t="str">
        <f aca="false">RIGHT(M171,LEN(M171)-FIND(" ",M171))</f>
        <v>BENTON ST SE</v>
      </c>
      <c r="P171" s="0" t="s">
        <v>145</v>
      </c>
      <c r="Q171" s="0" t="s">
        <v>146</v>
      </c>
      <c r="R171" s="0" t="n">
        <v>44484</v>
      </c>
      <c r="AD171" s="0" t="s">
        <v>147</v>
      </c>
      <c r="AE171" s="0" t="s">
        <v>148</v>
      </c>
      <c r="AF171" s="0" t="s">
        <v>149</v>
      </c>
      <c r="AH171" s="0" t="n">
        <v>14</v>
      </c>
      <c r="AI171" s="0" t="n">
        <v>11</v>
      </c>
      <c r="AN171" s="0" t="s">
        <v>145</v>
      </c>
      <c r="AO171" s="0" t="s">
        <v>233</v>
      </c>
      <c r="AP171" s="0" t="s">
        <v>234</v>
      </c>
      <c r="AQ171" s="0" t="n">
        <v>9</v>
      </c>
      <c r="AR171" s="0" t="n">
        <v>64</v>
      </c>
      <c r="AS171" s="0" t="n">
        <v>32</v>
      </c>
      <c r="AU171" s="0" t="n">
        <f aca="false">COUNTA($BA$2611:$EH$2611)</f>
        <v>1</v>
      </c>
      <c r="AV171" s="0" t="n">
        <f aca="false">COUNTIF($BA$2611:$EH$2611,"D")</f>
        <v>0</v>
      </c>
      <c r="AW171" s="0" t="n">
        <f aca="false">COUNTIF($BA$2611:$EH$2611,"R")</f>
        <v>0</v>
      </c>
      <c r="AX171" s="0" t="n">
        <f aca="false">IF(BN171="D",1,0)+IF(BO171="D",1,0)+IF(BT171="D",1,0)+IF(BU171="D",1,0)+IF(BW171="D",1,0)+IF(CC171="D",1,0)+IF(CD171="D",1,0)+IF(CE171="D",1,0)+IF(CF171="D",1,0)+IF(CL171="D",1,0)+IF(CM171="D",1,0)+IF(CQ171="D",1,0)+IF(CR171="D",1,0)+IF(CS171="D",1,0)+IF(CW171="D",1,0)+IF(CX171="D",1,0)+IF(DD171="D",1,0)+IF(DE171="D",1,0)+IF(DJ171="D",1,0)+IF(DK171="D",1,0)+IF(DO171="D",1,0)+IF(DP171="D",1,0)+IF(DQ171="D",1,0)+IF(DW171="D",1,0)+IF(DZ171="D",1,0)+IF(EH171="D",1,0)</f>
        <v>0</v>
      </c>
      <c r="AY171" s="0" t="n">
        <f aca="false">COUNTIF(DU171:EH171, "&lt;&gt;")</f>
        <v>0</v>
      </c>
      <c r="AZ171" s="0" t="n">
        <f aca="false">IF(EH171&lt;&gt;"",1,0)</f>
        <v>0</v>
      </c>
      <c r="BB171" s="0" t="s">
        <v>152</v>
      </c>
      <c r="DN171" s="0" t="s">
        <v>153</v>
      </c>
    </row>
    <row r="172" customFormat="false" ht="13.8" hidden="true" customHeight="false" outlineLevel="0" collapsed="false">
      <c r="A172" s="0" t="s">
        <v>1080</v>
      </c>
      <c r="B172" s="0" t="n">
        <v>78</v>
      </c>
      <c r="C172" s="0" t="n">
        <v>480895</v>
      </c>
      <c r="D172" s="0" t="s">
        <v>1081</v>
      </c>
      <c r="E172" s="0" t="s">
        <v>193</v>
      </c>
      <c r="F172" s="0" t="str">
        <f aca="false">CONCATENATE(D172," ",LEFT(H172,4),"T=",AU172,"D=",AV172,"R=",AW172,"M=",AX172,"L=",AY172,"B=",AZ172)</f>
        <v>WALL T=1D=0R=0M=0L=0B=0</v>
      </c>
      <c r="G172" s="0" t="s">
        <v>1082</v>
      </c>
      <c r="I172" s="0" t="s">
        <v>1083</v>
      </c>
      <c r="J172" s="0" t="s">
        <v>597</v>
      </c>
      <c r="K172" s="0" t="s">
        <v>160</v>
      </c>
      <c r="M172" s="0" t="s">
        <v>1084</v>
      </c>
      <c r="N172" s="0" t="str">
        <f aca="false">RIGHT(M172,LEN(M172)-FIND(" ",M172))</f>
        <v>BENTON ST SE</v>
      </c>
      <c r="P172" s="0" t="s">
        <v>145</v>
      </c>
      <c r="Q172" s="0" t="s">
        <v>146</v>
      </c>
      <c r="R172" s="0" t="n">
        <v>44484</v>
      </c>
      <c r="AD172" s="0" t="s">
        <v>147</v>
      </c>
      <c r="AE172" s="0" t="s">
        <v>148</v>
      </c>
      <c r="AF172" s="0" t="s">
        <v>149</v>
      </c>
      <c r="AH172" s="0" t="n">
        <v>14</v>
      </c>
      <c r="AI172" s="0" t="n">
        <v>11</v>
      </c>
      <c r="AN172" s="0" t="s">
        <v>145</v>
      </c>
      <c r="AO172" s="0" t="s">
        <v>233</v>
      </c>
      <c r="AP172" s="0" t="s">
        <v>234</v>
      </c>
      <c r="AQ172" s="0" t="n">
        <v>9</v>
      </c>
      <c r="AR172" s="0" t="n">
        <v>64</v>
      </c>
      <c r="AS172" s="0" t="n">
        <v>32</v>
      </c>
      <c r="AU172" s="0" t="n">
        <f aca="false">COUNTA($BA$2437:$EH$2437)</f>
        <v>1</v>
      </c>
      <c r="AV172" s="0" t="n">
        <f aca="false">COUNTIF($BA$2437:$EH$2437,"D")</f>
        <v>0</v>
      </c>
      <c r="AW172" s="0" t="n">
        <f aca="false">COUNTIF($BA$2437:$EH$2437,"R")</f>
        <v>0</v>
      </c>
      <c r="AX172" s="0" t="n">
        <f aca="false">IF(BN172="D",1,0)+IF(BO172="D",1,0)+IF(BT172="D",1,0)+IF(BU172="D",1,0)+IF(BW172="D",1,0)+IF(CC172="D",1,0)+IF(CD172="D",1,0)+IF(CE172="D",1,0)+IF(CF172="D",1,0)+IF(CL172="D",1,0)+IF(CM172="D",1,0)+IF(CQ172="D",1,0)+IF(CR172="D",1,0)+IF(CS172="D",1,0)+IF(CW172="D",1,0)+IF(CX172="D",1,0)+IF(DD172="D",1,0)+IF(DE172="D",1,0)+IF(DJ172="D",1,0)+IF(DK172="D",1,0)+IF(DO172="D",1,0)+IF(DP172="D",1,0)+IF(DQ172="D",1,0)+IF(DW172="D",1,0)+IF(DZ172="D",1,0)+IF(EH172="D",1,0)</f>
        <v>0</v>
      </c>
      <c r="AY172" s="0" t="n">
        <f aca="false">COUNTIF(DU172:EH172, "&lt;&gt;")</f>
        <v>0</v>
      </c>
      <c r="AZ172" s="0" t="n">
        <f aca="false">IF(EH172&lt;&gt;"",1,0)</f>
        <v>0</v>
      </c>
      <c r="BB172" s="0" t="s">
        <v>152</v>
      </c>
    </row>
    <row r="173" customFormat="false" ht="13.8" hidden="true" customHeight="false" outlineLevel="0" collapsed="false">
      <c r="A173" s="0" t="s">
        <v>1085</v>
      </c>
      <c r="B173" s="0" t="n">
        <v>78</v>
      </c>
      <c r="C173" s="0" t="n">
        <v>320285</v>
      </c>
      <c r="D173" s="0" t="s">
        <v>1086</v>
      </c>
      <c r="E173" s="0" t="s">
        <v>379</v>
      </c>
      <c r="F173" s="0" t="str">
        <f aca="false">CONCATENATE(D173," ",LEFT(H173,4),"T=",AU173,"D=",AV173,"R=",AW173,"M=",AX173,"L=",AY173,"B=",AZ173)</f>
        <v>PARNELL T=11D=0R=0M=0L=0B=0</v>
      </c>
      <c r="G173" s="0" t="s">
        <v>175</v>
      </c>
      <c r="I173" s="0" t="s">
        <v>1087</v>
      </c>
      <c r="J173" s="0" t="s">
        <v>1088</v>
      </c>
      <c r="K173" s="0" t="s">
        <v>143</v>
      </c>
      <c r="M173" s="0" t="s">
        <v>1084</v>
      </c>
      <c r="N173" s="0" t="str">
        <f aca="false">RIGHT(M173,LEN(M173)-FIND(" ",M173))</f>
        <v>BENTON ST SE</v>
      </c>
      <c r="P173" s="0" t="s">
        <v>145</v>
      </c>
      <c r="Q173" s="0" t="s">
        <v>146</v>
      </c>
      <c r="R173" s="0" t="n">
        <v>44484</v>
      </c>
      <c r="AD173" s="0" t="s">
        <v>147</v>
      </c>
      <c r="AE173" s="0" t="s">
        <v>148</v>
      </c>
      <c r="AF173" s="0" t="s">
        <v>149</v>
      </c>
      <c r="AH173" s="0" t="n">
        <v>14</v>
      </c>
      <c r="AI173" s="0" t="n">
        <v>11</v>
      </c>
      <c r="AN173" s="0" t="s">
        <v>145</v>
      </c>
      <c r="AO173" s="0" t="s">
        <v>233</v>
      </c>
      <c r="AP173" s="0" t="s">
        <v>234</v>
      </c>
      <c r="AQ173" s="0" t="n">
        <v>9</v>
      </c>
      <c r="AR173" s="0" t="n">
        <v>64</v>
      </c>
      <c r="AS173" s="0" t="n">
        <v>32</v>
      </c>
      <c r="AU173" s="0" t="n">
        <f aca="false">COUNTA($BA$2489:$EH$2489)</f>
        <v>11</v>
      </c>
      <c r="AV173" s="0" t="n">
        <f aca="false">COUNTIF($BA$2489:$EH$2489,"D")</f>
        <v>0</v>
      </c>
      <c r="AW173" s="0" t="n">
        <f aca="false">COUNTIF($BA$2489:$EH$2489,"R")</f>
        <v>0</v>
      </c>
      <c r="AX173" s="0" t="n">
        <f aca="false">IF(BN173="D",1,0)+IF(BO173="D",1,0)+IF(BT173="D",1,0)+IF(BU173="D",1,0)+IF(BW173="D",1,0)+IF(CC173="D",1,0)+IF(CD173="D",1,0)+IF(CE173="D",1,0)+IF(CF173="D",1,0)+IF(CL173="D",1,0)+IF(CM173="D",1,0)+IF(CQ173="D",1,0)+IF(CR173="D",1,0)+IF(CS173="D",1,0)+IF(CW173="D",1,0)+IF(CX173="D",1,0)+IF(DD173="D",1,0)+IF(DE173="D",1,0)+IF(DJ173="D",1,0)+IF(DK173="D",1,0)+IF(DO173="D",1,0)+IF(DP173="D",1,0)+IF(DQ173="D",1,0)+IF(DW173="D",1,0)+IF(DZ173="D",1,0)+IF(EH173="D",1,0)</f>
        <v>0</v>
      </c>
      <c r="AY173" s="0" t="n">
        <f aca="false">COUNTIF(DU173:EH173, "&lt;&gt;")</f>
        <v>0</v>
      </c>
      <c r="AZ173" s="0" t="n">
        <f aca="false">IF(EH173&lt;&gt;"",1,0)</f>
        <v>0</v>
      </c>
      <c r="BB173" s="0" t="s">
        <v>152</v>
      </c>
      <c r="BY173" s="0" t="s">
        <v>175</v>
      </c>
      <c r="DC173" s="0" t="s">
        <v>153</v>
      </c>
    </row>
    <row r="174" customFormat="false" ht="13.8" hidden="true" customHeight="false" outlineLevel="0" collapsed="false">
      <c r="A174" s="0" t="s">
        <v>1089</v>
      </c>
      <c r="B174" s="0" t="n">
        <v>78</v>
      </c>
      <c r="C174" s="0" t="n">
        <v>458584</v>
      </c>
      <c r="D174" s="0" t="s">
        <v>711</v>
      </c>
      <c r="E174" s="0" t="s">
        <v>1090</v>
      </c>
      <c r="F174" s="0" t="str">
        <f aca="false">CONCATENATE(D174," ",LEFT(H174,4),"T=",AU174,"D=",AV174,"R=",AW174,"M=",AX174,"L=",AY174,"B=",AZ174)</f>
        <v>FISHER T=4D=1R=0M=0L=0B=0</v>
      </c>
      <c r="G174" s="0" t="s">
        <v>1091</v>
      </c>
      <c r="I174" s="0" t="s">
        <v>1092</v>
      </c>
      <c r="J174" s="0" t="s">
        <v>1093</v>
      </c>
      <c r="K174" s="0" t="s">
        <v>143</v>
      </c>
      <c r="M174" s="0" t="s">
        <v>1084</v>
      </c>
      <c r="N174" s="0" t="str">
        <f aca="false">RIGHT(M174,LEN(M174)-FIND(" ",M174))</f>
        <v>BENTON ST SE</v>
      </c>
      <c r="P174" s="0" t="s">
        <v>145</v>
      </c>
      <c r="Q174" s="0" t="s">
        <v>146</v>
      </c>
      <c r="R174" s="0" t="n">
        <v>44484</v>
      </c>
      <c r="AD174" s="0" t="s">
        <v>147</v>
      </c>
      <c r="AE174" s="0" t="s">
        <v>148</v>
      </c>
      <c r="AF174" s="0" t="s">
        <v>149</v>
      </c>
      <c r="AH174" s="0" t="n">
        <v>14</v>
      </c>
      <c r="AI174" s="0" t="n">
        <v>11</v>
      </c>
      <c r="AN174" s="0" t="s">
        <v>145</v>
      </c>
      <c r="AO174" s="0" t="s">
        <v>233</v>
      </c>
      <c r="AP174" s="0" t="s">
        <v>234</v>
      </c>
      <c r="AQ174" s="0" t="n">
        <v>9</v>
      </c>
      <c r="AR174" s="0" t="n">
        <v>64</v>
      </c>
      <c r="AS174" s="0" t="n">
        <v>32</v>
      </c>
      <c r="AU174" s="0" t="n">
        <f aca="false">COUNTA($BA$2535:$EH$2535)</f>
        <v>4</v>
      </c>
      <c r="AV174" s="0" t="n">
        <f aca="false">COUNTIF($BA$2535:$EH$2535,"D")</f>
        <v>1</v>
      </c>
      <c r="AW174" s="0" t="n">
        <f aca="false">COUNTIF($BA$2535:$EH$2535,"R")</f>
        <v>0</v>
      </c>
      <c r="AX174" s="0" t="n">
        <f aca="false">IF(BN174="D",1,0)+IF(BO174="D",1,0)+IF(BT174="D",1,0)+IF(BU174="D",1,0)+IF(BW174="D",1,0)+IF(CC174="D",1,0)+IF(CD174="D",1,0)+IF(CE174="D",1,0)+IF(CF174="D",1,0)+IF(CL174="D",1,0)+IF(CM174="D",1,0)+IF(CQ174="D",1,0)+IF(CR174="D",1,0)+IF(CS174="D",1,0)+IF(CW174="D",1,0)+IF(CX174="D",1,0)+IF(DD174="D",1,0)+IF(DE174="D",1,0)+IF(DJ174="D",1,0)+IF(DK174="D",1,0)+IF(DO174="D",1,0)+IF(DP174="D",1,0)+IF(DQ174="D",1,0)+IF(DW174="D",1,0)+IF(DZ174="D",1,0)+IF(EH174="D",1,0)</f>
        <v>0</v>
      </c>
      <c r="AY174" s="0" t="n">
        <f aca="false">COUNTIF(DU174:EH174, "&lt;&gt;")</f>
        <v>0</v>
      </c>
      <c r="AZ174" s="0" t="n">
        <f aca="false">IF(EH174&lt;&gt;"",1,0)</f>
        <v>0</v>
      </c>
      <c r="BB174" s="0" t="s">
        <v>152</v>
      </c>
    </row>
    <row r="175" customFormat="false" ht="13.8" hidden="true" customHeight="false" outlineLevel="0" collapsed="false">
      <c r="A175" s="0" t="s">
        <v>1094</v>
      </c>
      <c r="B175" s="0" t="n">
        <v>78</v>
      </c>
      <c r="C175" s="0" t="n">
        <v>290018</v>
      </c>
      <c r="D175" s="0" t="s">
        <v>1095</v>
      </c>
      <c r="E175" s="0" t="s">
        <v>1096</v>
      </c>
      <c r="F175" s="0" t="str">
        <f aca="false">CONCATENATE(D175," ",LEFT(H175,4),"T=",AU175,"D=",AV175,"R=",AW175,"M=",AX175,"L=",AY175,"B=",AZ175)</f>
        <v>RICE T=1D=0R=0M=0L=0B=0</v>
      </c>
      <c r="G175" s="0" t="s">
        <v>190</v>
      </c>
      <c r="I175" s="0" t="s">
        <v>1097</v>
      </c>
      <c r="J175" s="0" t="s">
        <v>1098</v>
      </c>
      <c r="K175" s="0" t="s">
        <v>143</v>
      </c>
      <c r="M175" s="0" t="s">
        <v>1084</v>
      </c>
      <c r="N175" s="0" t="str">
        <f aca="false">RIGHT(M175,LEN(M175)-FIND(" ",M175))</f>
        <v>BENTON ST SE</v>
      </c>
      <c r="P175" s="0" t="s">
        <v>145</v>
      </c>
      <c r="Q175" s="0" t="s">
        <v>146</v>
      </c>
      <c r="R175" s="0" t="n">
        <v>44484</v>
      </c>
      <c r="AD175" s="0" t="s">
        <v>147</v>
      </c>
      <c r="AE175" s="0" t="s">
        <v>148</v>
      </c>
      <c r="AF175" s="0" t="s">
        <v>149</v>
      </c>
      <c r="AH175" s="0" t="n">
        <v>14</v>
      </c>
      <c r="AI175" s="0" t="n">
        <v>11</v>
      </c>
      <c r="AN175" s="0" t="s">
        <v>145</v>
      </c>
      <c r="AO175" s="0" t="s">
        <v>233</v>
      </c>
      <c r="AP175" s="0" t="s">
        <v>234</v>
      </c>
      <c r="AQ175" s="0" t="n">
        <v>9</v>
      </c>
      <c r="AR175" s="0" t="n">
        <v>64</v>
      </c>
      <c r="AS175" s="0" t="n">
        <v>32</v>
      </c>
      <c r="AU175" s="0" t="n">
        <f aca="false">COUNTA($BA$2582:$EH$2582)</f>
        <v>1</v>
      </c>
      <c r="AV175" s="0" t="n">
        <f aca="false">COUNTIF($BA$2582:$EH$2582,"D")</f>
        <v>0</v>
      </c>
      <c r="AW175" s="0" t="n">
        <f aca="false">COUNTIF($BA$2582:$EH$2582,"R")</f>
        <v>0</v>
      </c>
      <c r="AX175" s="0" t="n">
        <f aca="false">IF(BN175="D",1,0)+IF(BO175="D",1,0)+IF(BT175="D",1,0)+IF(BU175="D",1,0)+IF(BW175="D",1,0)+IF(CC175="D",1,0)+IF(CD175="D",1,0)+IF(CE175="D",1,0)+IF(CF175="D",1,0)+IF(CL175="D",1,0)+IF(CM175="D",1,0)+IF(CQ175="D",1,0)+IF(CR175="D",1,0)+IF(CS175="D",1,0)+IF(CW175="D",1,0)+IF(CX175="D",1,0)+IF(DD175="D",1,0)+IF(DE175="D",1,0)+IF(DJ175="D",1,0)+IF(DK175="D",1,0)+IF(DO175="D",1,0)+IF(DP175="D",1,0)+IF(DQ175="D",1,0)+IF(DW175="D",1,0)+IF(DZ175="D",1,0)+IF(EH175="D",1,0)</f>
        <v>0</v>
      </c>
      <c r="AY175" s="0" t="n">
        <f aca="false">COUNTIF(DU175:EH175, "&lt;&gt;")</f>
        <v>0</v>
      </c>
      <c r="AZ175" s="0" t="n">
        <f aca="false">IF(EH175&lt;&gt;"",1,0)</f>
        <v>0</v>
      </c>
      <c r="BB175" s="0" t="s">
        <v>152</v>
      </c>
      <c r="CA175" s="0" t="s">
        <v>153</v>
      </c>
      <c r="CP175" s="0" t="s">
        <v>153</v>
      </c>
      <c r="DC175" s="0" t="s">
        <v>153</v>
      </c>
    </row>
    <row r="176" customFormat="false" ht="13.8" hidden="false" customHeight="false" outlineLevel="0" collapsed="false">
      <c r="A176" s="0" t="s">
        <v>1099</v>
      </c>
      <c r="B176" s="0" t="n">
        <v>78</v>
      </c>
      <c r="C176" s="0" t="n">
        <v>250749</v>
      </c>
      <c r="D176" s="0" t="s">
        <v>1100</v>
      </c>
      <c r="E176" s="0" t="s">
        <v>1101</v>
      </c>
      <c r="F176" s="0" t="str">
        <f aca="false">CONCATENATE(D176," ",LEFT(H176,4),"T=",AU176,"D=",AV176,"R=",AW176,"M=",AX176,"L=",AY176,"B=",AZ176)</f>
        <v>MCCOLLOUGH T=10D=3R=0M=0L=2B=0</v>
      </c>
      <c r="I176" s="0" t="s">
        <v>1102</v>
      </c>
      <c r="J176" s="0" t="s">
        <v>1103</v>
      </c>
      <c r="K176" s="0" t="s">
        <v>160</v>
      </c>
      <c r="M176" s="0" t="s">
        <v>1104</v>
      </c>
      <c r="N176" s="0" t="str">
        <f aca="false">RIGHT(M176,LEN(M176)-FIND(" ",M176))</f>
        <v>BENTON ST SE</v>
      </c>
      <c r="P176" s="0" t="s">
        <v>145</v>
      </c>
      <c r="Q176" s="0" t="s">
        <v>146</v>
      </c>
      <c r="R176" s="0" t="n">
        <v>44484</v>
      </c>
      <c r="AD176" s="0" t="s">
        <v>147</v>
      </c>
      <c r="AE176" s="0" t="s">
        <v>148</v>
      </c>
      <c r="AF176" s="0" t="s">
        <v>149</v>
      </c>
      <c r="AH176" s="0" t="n">
        <v>14</v>
      </c>
      <c r="AI176" s="0" t="n">
        <v>11</v>
      </c>
      <c r="AN176" s="0" t="s">
        <v>145</v>
      </c>
      <c r="AO176" s="0" t="s">
        <v>233</v>
      </c>
      <c r="AP176" s="0" t="s">
        <v>234</v>
      </c>
      <c r="AQ176" s="0" t="n">
        <v>9</v>
      </c>
      <c r="AR176" s="0" t="n">
        <v>64</v>
      </c>
      <c r="AS176" s="0" t="n">
        <v>32</v>
      </c>
      <c r="AU176" s="0" t="n">
        <f aca="false">COUNTA($BA$2255:$EH$2255)</f>
        <v>10</v>
      </c>
      <c r="AV176" s="0" t="n">
        <f aca="false">COUNTIF($BA$2255:$EH$2255,"D")</f>
        <v>3</v>
      </c>
      <c r="AW176" s="0" t="n">
        <f aca="false">COUNTIF($BA$2255:$EH$2255,"R")</f>
        <v>0</v>
      </c>
      <c r="AX176" s="0" t="n">
        <f aca="false">IF(BN176="D",1,0)+IF(BO176="D",1,0)+IF(BT176="D",1,0)+IF(BU176="D",1,0)+IF(BW176="D",1,0)+IF(CC176="D",1,0)+IF(CD176="D",1,0)+IF(CE176="D",1,0)+IF(CF176="D",1,0)+IF(CL176="D",1,0)+IF(CM176="D",1,0)+IF(CQ176="D",1,0)+IF(CR176="D",1,0)+IF(CS176="D",1,0)+IF(CW176="D",1,0)+IF(CX176="D",1,0)+IF(DD176="D",1,0)+IF(DE176="D",1,0)+IF(DJ176="D",1,0)+IF(DK176="D",1,0)+IF(DO176="D",1,0)+IF(DP176="D",1,0)+IF(DQ176="D",1,0)+IF(DW176="D",1,0)+IF(DZ176="D",1,0)+IF(EH176="D",1,0)</f>
        <v>0</v>
      </c>
      <c r="AY176" s="0" t="n">
        <f aca="false">COUNTIF(DU176:EH176, "&lt;&gt;")</f>
        <v>2</v>
      </c>
      <c r="AZ176" s="0" t="n">
        <f aca="false">IF(EH176&lt;&gt;"",1,0)</f>
        <v>0</v>
      </c>
      <c r="BB176" s="0" t="s">
        <v>152</v>
      </c>
      <c r="BD176" s="0" t="s">
        <v>153</v>
      </c>
      <c r="BL176" s="0" t="s">
        <v>153</v>
      </c>
      <c r="CA176" s="0" t="s">
        <v>153</v>
      </c>
      <c r="CK176" s="0" t="s">
        <v>153</v>
      </c>
      <c r="CN176" s="0" t="s">
        <v>153</v>
      </c>
      <c r="CP176" s="0" t="s">
        <v>153</v>
      </c>
      <c r="DC176" s="0" t="s">
        <v>153</v>
      </c>
      <c r="DN176" s="0" t="s">
        <v>153</v>
      </c>
      <c r="DX176" s="0" t="s">
        <v>153</v>
      </c>
      <c r="EF176" s="0" t="s">
        <v>153</v>
      </c>
    </row>
    <row r="177" customFormat="false" ht="13.8" hidden="true" customHeight="false" outlineLevel="0" collapsed="false">
      <c r="A177" s="0" t="s">
        <v>1105</v>
      </c>
      <c r="B177" s="0" t="n">
        <v>78</v>
      </c>
      <c r="C177" s="0" t="n">
        <v>454108</v>
      </c>
      <c r="D177" s="0" t="s">
        <v>1106</v>
      </c>
      <c r="E177" s="0" t="s">
        <v>1107</v>
      </c>
      <c r="F177" s="0" t="str">
        <f aca="false">CONCATENATE(D177," ",LEFT(H177,4),"T=",AU177,"D=",AV177,"R=",AW177,"M=",AX177,"L=",AY177,"B=",AZ177)</f>
        <v>MCCOLLOUGH ALEXANDER T=7D=0R=0M=0L=0B=0</v>
      </c>
      <c r="G177" s="0" t="s">
        <v>1108</v>
      </c>
      <c r="I177" s="0" t="s">
        <v>1109</v>
      </c>
      <c r="J177" s="0" t="s">
        <v>688</v>
      </c>
      <c r="K177" s="0" t="s">
        <v>143</v>
      </c>
      <c r="M177" s="0" t="s">
        <v>1104</v>
      </c>
      <c r="N177" s="0" t="str">
        <f aca="false">RIGHT(M177,LEN(M177)-FIND(" ",M177))</f>
        <v>BENTON ST SE</v>
      </c>
      <c r="P177" s="0" t="s">
        <v>145</v>
      </c>
      <c r="Q177" s="0" t="s">
        <v>146</v>
      </c>
      <c r="R177" s="0" t="n">
        <v>44484</v>
      </c>
      <c r="AD177" s="0" t="s">
        <v>147</v>
      </c>
      <c r="AE177" s="0" t="s">
        <v>148</v>
      </c>
      <c r="AF177" s="0" t="s">
        <v>149</v>
      </c>
      <c r="AH177" s="0" t="n">
        <v>14</v>
      </c>
      <c r="AI177" s="0" t="n">
        <v>11</v>
      </c>
      <c r="AN177" s="0" t="s">
        <v>145</v>
      </c>
      <c r="AO177" s="0" t="s">
        <v>233</v>
      </c>
      <c r="AP177" s="0" t="s">
        <v>234</v>
      </c>
      <c r="AQ177" s="0" t="n">
        <v>9</v>
      </c>
      <c r="AR177" s="0" t="n">
        <v>64</v>
      </c>
      <c r="AS177" s="0" t="n">
        <v>32</v>
      </c>
      <c r="AU177" s="0" t="n">
        <f aca="false">COUNTA($BA$2309:$EH$2309)</f>
        <v>7</v>
      </c>
      <c r="AV177" s="0" t="n">
        <f aca="false">COUNTIF($BA$2309:$EH$2309,"D")</f>
        <v>0</v>
      </c>
      <c r="AW177" s="0" t="n">
        <f aca="false">COUNTIF($BA$2309:$EH$2309,"R")</f>
        <v>0</v>
      </c>
      <c r="AX177" s="0" t="n">
        <f aca="false">IF(BN177="D",1,0)+IF(BO177="D",1,0)+IF(BT177="D",1,0)+IF(BU177="D",1,0)+IF(BW177="D",1,0)+IF(CC177="D",1,0)+IF(CD177="D",1,0)+IF(CE177="D",1,0)+IF(CF177="D",1,0)+IF(CL177="D",1,0)+IF(CM177="D",1,0)+IF(CQ177="D",1,0)+IF(CR177="D",1,0)+IF(CS177="D",1,0)+IF(CW177="D",1,0)+IF(CX177="D",1,0)+IF(DD177="D",1,0)+IF(DE177="D",1,0)+IF(DJ177="D",1,0)+IF(DK177="D",1,0)+IF(DO177="D",1,0)+IF(DP177="D",1,0)+IF(DQ177="D",1,0)+IF(DW177="D",1,0)+IF(DZ177="D",1,0)+IF(EH177="D",1,0)</f>
        <v>0</v>
      </c>
      <c r="AY177" s="0" t="n">
        <f aca="false">COUNTIF(DU177:EH177, "&lt;&gt;")</f>
        <v>0</v>
      </c>
      <c r="AZ177" s="0" t="n">
        <f aca="false">IF(EH177&lt;&gt;"",1,0)</f>
        <v>0</v>
      </c>
      <c r="BB177" s="0" t="s">
        <v>152</v>
      </c>
      <c r="DN177" s="0" t="s">
        <v>153</v>
      </c>
    </row>
    <row r="178" customFormat="false" ht="13.8" hidden="true" customHeight="false" outlineLevel="0" collapsed="false">
      <c r="A178" s="0" t="s">
        <v>1110</v>
      </c>
      <c r="B178" s="0" t="n">
        <v>78</v>
      </c>
      <c r="C178" s="0" t="n">
        <v>489275</v>
      </c>
      <c r="D178" s="0" t="s">
        <v>1106</v>
      </c>
      <c r="E178" s="0" t="s">
        <v>1111</v>
      </c>
      <c r="F178" s="0" t="str">
        <f aca="false">CONCATENATE(D178," ",LEFT(H178,4),"T=",AU178,"D=",AV178,"R=",AW178,"M=",AX178,"L=",AY178,"B=",AZ178)</f>
        <v>MCCOLLOUGH ALEXANDER T=26D=8R=0M=0L=1B=0</v>
      </c>
      <c r="G178" s="0" t="s">
        <v>1112</v>
      </c>
      <c r="I178" s="0" t="s">
        <v>1113</v>
      </c>
      <c r="J178" s="0" t="s">
        <v>1114</v>
      </c>
      <c r="K178" s="0" t="s">
        <v>160</v>
      </c>
      <c r="M178" s="0" t="s">
        <v>1104</v>
      </c>
      <c r="N178" s="0" t="str">
        <f aca="false">RIGHT(M178,LEN(M178)-FIND(" ",M178))</f>
        <v>BENTON ST SE</v>
      </c>
      <c r="P178" s="0" t="s">
        <v>145</v>
      </c>
      <c r="Q178" s="0" t="s">
        <v>146</v>
      </c>
      <c r="R178" s="0" t="n">
        <v>44484</v>
      </c>
      <c r="AD178" s="0" t="s">
        <v>147</v>
      </c>
      <c r="AE178" s="0" t="s">
        <v>148</v>
      </c>
      <c r="AF178" s="0" t="s">
        <v>149</v>
      </c>
      <c r="AH178" s="0" t="n">
        <v>14</v>
      </c>
      <c r="AI178" s="0" t="n">
        <v>11</v>
      </c>
      <c r="AN178" s="0" t="s">
        <v>145</v>
      </c>
      <c r="AO178" s="0" t="s">
        <v>233</v>
      </c>
      <c r="AP178" s="0" t="s">
        <v>234</v>
      </c>
      <c r="AQ178" s="0" t="n">
        <v>9</v>
      </c>
      <c r="AR178" s="0" t="n">
        <v>64</v>
      </c>
      <c r="AS178" s="0" t="n">
        <v>32</v>
      </c>
      <c r="AU178" s="0" t="n">
        <f aca="false">COUNTA($BA$2416:$EH$2416)</f>
        <v>26</v>
      </c>
      <c r="AV178" s="0" t="n">
        <f aca="false">COUNTIF($BA$2416:$EH$2416,"D")</f>
        <v>8</v>
      </c>
      <c r="AW178" s="0" t="n">
        <f aca="false">COUNTIF($BA$2416:$EH$2416,"R")</f>
        <v>0</v>
      </c>
      <c r="AX178" s="0" t="n">
        <f aca="false">IF(BN178="D",1,0)+IF(BO178="D",1,0)+IF(BT178="D",1,0)+IF(BU178="D",1,0)+IF(BW178="D",1,0)+IF(CC178="D",1,0)+IF(CD178="D",1,0)+IF(CE178="D",1,0)+IF(CF178="D",1,0)+IF(CL178="D",1,0)+IF(CM178="D",1,0)+IF(CQ178="D",1,0)+IF(CR178="D",1,0)+IF(CS178="D",1,0)+IF(CW178="D",1,0)+IF(CX178="D",1,0)+IF(DD178="D",1,0)+IF(DE178="D",1,0)+IF(DJ178="D",1,0)+IF(DK178="D",1,0)+IF(DO178="D",1,0)+IF(DP178="D",1,0)+IF(DQ178="D",1,0)+IF(DW178="D",1,0)+IF(DZ178="D",1,0)+IF(EH178="D",1,0)</f>
        <v>0</v>
      </c>
      <c r="AY178" s="0" t="n">
        <f aca="false">COUNTIF(DU178:EH178, "&lt;&gt;")</f>
        <v>1</v>
      </c>
      <c r="AZ178" s="0" t="n">
        <f aca="false">IF(EH178&lt;&gt;"",1,0)</f>
        <v>0</v>
      </c>
      <c r="BB178" s="0" t="s">
        <v>152</v>
      </c>
      <c r="EF178" s="0" t="s">
        <v>153</v>
      </c>
    </row>
    <row r="179" customFormat="false" ht="13.8" hidden="true" customHeight="false" outlineLevel="0" collapsed="false">
      <c r="A179" s="0" t="s">
        <v>1115</v>
      </c>
      <c r="B179" s="0" t="n">
        <v>78</v>
      </c>
      <c r="C179" s="0" t="n">
        <v>408036</v>
      </c>
      <c r="D179" s="0" t="s">
        <v>1116</v>
      </c>
      <c r="E179" s="0" t="s">
        <v>1117</v>
      </c>
      <c r="F179" s="0" t="str">
        <f aca="false">CONCATENATE(D179," ",LEFT(H179,4),"T=",AU179,"D=",AV179,"R=",AW179,"M=",AX179,"L=",AY179,"B=",AZ179)</f>
        <v>FREEMAN T=2D=0R=1M=0L=0B=0</v>
      </c>
      <c r="G179" s="0" t="s">
        <v>175</v>
      </c>
      <c r="I179" s="0" t="s">
        <v>1118</v>
      </c>
      <c r="J179" s="0" t="s">
        <v>1119</v>
      </c>
      <c r="K179" s="0" t="s">
        <v>143</v>
      </c>
      <c r="M179" s="0" t="s">
        <v>1120</v>
      </c>
      <c r="N179" s="0" t="str">
        <f aca="false">RIGHT(M179,LEN(M179)-FIND(" ",M179))</f>
        <v>BENTON ST SE</v>
      </c>
      <c r="P179" s="0" t="s">
        <v>145</v>
      </c>
      <c r="Q179" s="0" t="s">
        <v>146</v>
      </c>
      <c r="R179" s="0" t="n">
        <v>44484</v>
      </c>
      <c r="AD179" s="0" t="s">
        <v>147</v>
      </c>
      <c r="AE179" s="0" t="s">
        <v>148</v>
      </c>
      <c r="AF179" s="0" t="s">
        <v>149</v>
      </c>
      <c r="AH179" s="0" t="n">
        <v>14</v>
      </c>
      <c r="AI179" s="0" t="n">
        <v>11</v>
      </c>
      <c r="AN179" s="0" t="s">
        <v>145</v>
      </c>
      <c r="AO179" s="0" t="s">
        <v>233</v>
      </c>
      <c r="AP179" s="0" t="s">
        <v>234</v>
      </c>
      <c r="AQ179" s="0" t="n">
        <v>9</v>
      </c>
      <c r="AR179" s="0" t="n">
        <v>64</v>
      </c>
      <c r="AS179" s="0" t="n">
        <v>32</v>
      </c>
      <c r="AU179" s="0" t="n">
        <f aca="false">COUNTA($BA$2447:$EH$2447)</f>
        <v>2</v>
      </c>
      <c r="AV179" s="0" t="n">
        <f aca="false">COUNTIF($BA$2447:$EH$2447,"D")</f>
        <v>0</v>
      </c>
      <c r="AW179" s="0" t="n">
        <f aca="false">COUNTIF($BA$2447:$EH$2447,"R")</f>
        <v>1</v>
      </c>
      <c r="AX179" s="0" t="n">
        <f aca="false">IF(BN179="D",1,0)+IF(BO179="D",1,0)+IF(BT179="D",1,0)+IF(BU179="D",1,0)+IF(BW179="D",1,0)+IF(CC179="D",1,0)+IF(CD179="D",1,0)+IF(CE179="D",1,0)+IF(CF179="D",1,0)+IF(CL179="D",1,0)+IF(CM179="D",1,0)+IF(CQ179="D",1,0)+IF(CR179="D",1,0)+IF(CS179="D",1,0)+IF(CW179="D",1,0)+IF(CX179="D",1,0)+IF(DD179="D",1,0)+IF(DE179="D",1,0)+IF(DJ179="D",1,0)+IF(DK179="D",1,0)+IF(DO179="D",1,0)+IF(DP179="D",1,0)+IF(DQ179="D",1,0)+IF(DW179="D",1,0)+IF(DZ179="D",1,0)+IF(EH179="D",1,0)</f>
        <v>0</v>
      </c>
      <c r="AY179" s="0" t="n">
        <f aca="false">COUNTIF(DU179:EH179, "&lt;&gt;")</f>
        <v>0</v>
      </c>
      <c r="AZ179" s="0" t="n">
        <f aca="false">IF(EH179&lt;&gt;"",1,0)</f>
        <v>0</v>
      </c>
      <c r="BB179" s="0" t="s">
        <v>152</v>
      </c>
    </row>
    <row r="180" customFormat="false" ht="13.8" hidden="true" customHeight="false" outlineLevel="0" collapsed="false">
      <c r="A180" s="0" t="s">
        <v>1121</v>
      </c>
      <c r="B180" s="0" t="n">
        <v>78</v>
      </c>
      <c r="C180" s="0" t="n">
        <v>444183</v>
      </c>
      <c r="D180" s="0" t="s">
        <v>1122</v>
      </c>
      <c r="E180" s="0" t="s">
        <v>1123</v>
      </c>
      <c r="F180" s="0" t="str">
        <f aca="false">CONCATENATE(D180," ",LEFT(H180,4),"T=",AU180,"D=",AV180,"R=",AW180,"M=",AX180,"L=",AY180,"B=",AZ180)</f>
        <v>DUECASTER T=3D=0R=0M=0L=1B=0</v>
      </c>
      <c r="G180" s="0" t="s">
        <v>307</v>
      </c>
      <c r="I180" s="0" t="s">
        <v>1124</v>
      </c>
      <c r="J180" s="0" t="s">
        <v>585</v>
      </c>
      <c r="K180" s="0" t="s">
        <v>160</v>
      </c>
      <c r="M180" s="0" t="s">
        <v>1125</v>
      </c>
      <c r="N180" s="0" t="str">
        <f aca="false">RIGHT(M180,LEN(M180)-FIND(" ",M180))</f>
        <v>BONNIE BRAE AVE SE</v>
      </c>
      <c r="P180" s="0" t="s">
        <v>145</v>
      </c>
      <c r="Q180" s="0" t="s">
        <v>146</v>
      </c>
      <c r="R180" s="0" t="n">
        <v>44484</v>
      </c>
      <c r="AD180" s="0" t="s">
        <v>147</v>
      </c>
      <c r="AE180" s="0" t="s">
        <v>148</v>
      </c>
      <c r="AF180" s="0" t="s">
        <v>149</v>
      </c>
      <c r="AH180" s="0" t="n">
        <v>14</v>
      </c>
      <c r="AI180" s="0" t="n">
        <v>11</v>
      </c>
      <c r="AN180" s="0" t="s">
        <v>145</v>
      </c>
      <c r="AO180" s="0" t="s">
        <v>150</v>
      </c>
      <c r="AP180" s="0" t="s">
        <v>151</v>
      </c>
      <c r="AQ180" s="0" t="n">
        <v>9</v>
      </c>
      <c r="AR180" s="0" t="n">
        <v>64</v>
      </c>
      <c r="AS180" s="0" t="n">
        <v>32</v>
      </c>
      <c r="AU180" s="0" t="n">
        <f aca="false">COUNTA($BA$438:$EH$438)</f>
        <v>3</v>
      </c>
      <c r="AV180" s="0" t="n">
        <f aca="false">COUNTIF($BA$438:$EH$438,"D")</f>
        <v>0</v>
      </c>
      <c r="AW180" s="0" t="n">
        <f aca="false">COUNTIF($BA$438:$EH$438,"R")</f>
        <v>0</v>
      </c>
      <c r="AX180" s="0" t="n">
        <f aca="false">IF(BN180="D",1,0)+IF(BO180="D",1,0)+IF(BT180="D",1,0)+IF(BU180="D",1,0)+IF(BW180="D",1,0)+IF(CC180="D",1,0)+IF(CD180="D",1,0)+IF(CE180="D",1,0)+IF(CF180="D",1,0)+IF(CL180="D",1,0)+IF(CM180="D",1,0)+IF(CQ180="D",1,0)+IF(CR180="D",1,0)+IF(CS180="D",1,0)+IF(CW180="D",1,0)+IF(CX180="D",1,0)+IF(DD180="D",1,0)+IF(DE180="D",1,0)+IF(DJ180="D",1,0)+IF(DK180="D",1,0)+IF(DO180="D",1,0)+IF(DP180="D",1,0)+IF(DQ180="D",1,0)+IF(DW180="D",1,0)+IF(DZ180="D",1,0)+IF(EH180="D",1,0)</f>
        <v>0</v>
      </c>
      <c r="AY180" s="0" t="n">
        <f aca="false">COUNTIF(DU180:EH180, "&lt;&gt;")</f>
        <v>1</v>
      </c>
      <c r="AZ180" s="0" t="n">
        <f aca="false">IF(EH180&lt;&gt;"",1,0)</f>
        <v>0</v>
      </c>
      <c r="BB180" s="0" t="s">
        <v>152</v>
      </c>
      <c r="DN180" s="0" t="s">
        <v>153</v>
      </c>
      <c r="DU180" s="0" t="s">
        <v>153</v>
      </c>
    </row>
    <row r="181" customFormat="false" ht="13.8" hidden="true" customHeight="false" outlineLevel="0" collapsed="false">
      <c r="A181" s="0" t="s">
        <v>1126</v>
      </c>
      <c r="B181" s="0" t="n">
        <v>78</v>
      </c>
      <c r="C181" s="0" t="n">
        <v>421853</v>
      </c>
      <c r="D181" s="0" t="s">
        <v>1122</v>
      </c>
      <c r="E181" s="0" t="s">
        <v>1127</v>
      </c>
      <c r="F181" s="0" t="str">
        <f aca="false">CONCATENATE(D181," ",LEFT(H181,4),"T=",AU181,"D=",AV181,"R=",AW181,"M=",AX181,"L=",AY181,"B=",AZ181)</f>
        <v>DUECASTER T=2D=0R=0M=0L=1B=0</v>
      </c>
      <c r="G181" s="0" t="s">
        <v>1128</v>
      </c>
      <c r="I181" s="0" t="s">
        <v>1129</v>
      </c>
      <c r="J181" s="0" t="s">
        <v>1130</v>
      </c>
      <c r="K181" s="0" t="s">
        <v>160</v>
      </c>
      <c r="M181" s="0" t="s">
        <v>1125</v>
      </c>
      <c r="N181" s="0" t="str">
        <f aca="false">RIGHT(M181,LEN(M181)-FIND(" ",M181))</f>
        <v>BONNIE BRAE AVE SE</v>
      </c>
      <c r="P181" s="0" t="s">
        <v>145</v>
      </c>
      <c r="Q181" s="0" t="s">
        <v>146</v>
      </c>
      <c r="R181" s="0" t="n">
        <v>44484</v>
      </c>
      <c r="AD181" s="0" t="s">
        <v>147</v>
      </c>
      <c r="AE181" s="0" t="s">
        <v>148</v>
      </c>
      <c r="AF181" s="0" t="s">
        <v>149</v>
      </c>
      <c r="AH181" s="0" t="n">
        <v>14</v>
      </c>
      <c r="AI181" s="0" t="n">
        <v>11</v>
      </c>
      <c r="AN181" s="0" t="s">
        <v>145</v>
      </c>
      <c r="AO181" s="0" t="s">
        <v>150</v>
      </c>
      <c r="AP181" s="0" t="s">
        <v>151</v>
      </c>
      <c r="AQ181" s="0" t="n">
        <v>9</v>
      </c>
      <c r="AR181" s="0" t="n">
        <v>64</v>
      </c>
      <c r="AS181" s="0" t="n">
        <v>32</v>
      </c>
      <c r="AU181" s="0" t="n">
        <f aca="false">COUNTA($BA$903:$EH$903)</f>
        <v>2</v>
      </c>
      <c r="AV181" s="0" t="n">
        <f aca="false">COUNTIF($BA$903:$EH$903,"D")</f>
        <v>0</v>
      </c>
      <c r="AW181" s="0" t="n">
        <f aca="false">COUNTIF($BA$903:$EH$903,"R")</f>
        <v>0</v>
      </c>
      <c r="AX181" s="0" t="n">
        <f aca="false">IF(BN181="D",1,0)+IF(BO181="D",1,0)+IF(BT181="D",1,0)+IF(BU181="D",1,0)+IF(BW181="D",1,0)+IF(CC181="D",1,0)+IF(CD181="D",1,0)+IF(CE181="D",1,0)+IF(CF181="D",1,0)+IF(CL181="D",1,0)+IF(CM181="D",1,0)+IF(CQ181="D",1,0)+IF(CR181="D",1,0)+IF(CS181="D",1,0)+IF(CW181="D",1,0)+IF(CX181="D",1,0)+IF(DD181="D",1,0)+IF(DE181="D",1,0)+IF(DJ181="D",1,0)+IF(DK181="D",1,0)+IF(DO181="D",1,0)+IF(DP181="D",1,0)+IF(DQ181="D",1,0)+IF(DW181="D",1,0)+IF(DZ181="D",1,0)+IF(EH181="D",1,0)</f>
        <v>0</v>
      </c>
      <c r="AY181" s="0" t="n">
        <f aca="false">COUNTIF(DU181:EH181, "&lt;&gt;")</f>
        <v>1</v>
      </c>
      <c r="AZ181" s="0" t="n">
        <f aca="false">IF(EH181&lt;&gt;"",1,0)</f>
        <v>0</v>
      </c>
      <c r="BB181" s="0" t="s">
        <v>152</v>
      </c>
      <c r="BL181" s="0" t="s">
        <v>153</v>
      </c>
      <c r="DC181" s="0" t="s">
        <v>153</v>
      </c>
      <c r="DN181" s="0" t="s">
        <v>153</v>
      </c>
      <c r="DU181" s="0" t="s">
        <v>153</v>
      </c>
    </row>
    <row r="182" customFormat="false" ht="13.8" hidden="false" customHeight="false" outlineLevel="0" collapsed="false">
      <c r="A182" s="0" t="s">
        <v>1131</v>
      </c>
      <c r="B182" s="0" t="n">
        <v>78</v>
      </c>
      <c r="C182" s="0" t="n">
        <v>216667</v>
      </c>
      <c r="D182" s="0" t="s">
        <v>1132</v>
      </c>
      <c r="E182" s="0" t="s">
        <v>541</v>
      </c>
      <c r="F182" s="0" t="str">
        <f aca="false">CONCATENATE(D182," ",LEFT(H182,4),"T=",AU182,"D=",AV182,"R=",AW182,"M=",AX182,"L=",AY182,"B=",AZ182)</f>
        <v>NASH T=18D=1R=0M=2L=7B=1</v>
      </c>
      <c r="I182" s="0" t="s">
        <v>1133</v>
      </c>
      <c r="J182" s="0" t="s">
        <v>1134</v>
      </c>
      <c r="K182" s="0" t="s">
        <v>160</v>
      </c>
      <c r="L182" s="0" t="s">
        <v>175</v>
      </c>
      <c r="M182" s="0" t="s">
        <v>1135</v>
      </c>
      <c r="N182" s="0" t="str">
        <f aca="false">RIGHT(M182,LEN(M182)-FIND(" ",M182))</f>
        <v>BONNIE BRAE AVE SE</v>
      </c>
      <c r="O182" s="0" t="s">
        <v>220</v>
      </c>
      <c r="P182" s="0" t="s">
        <v>145</v>
      </c>
      <c r="Q182" s="0" t="s">
        <v>146</v>
      </c>
      <c r="R182" s="0" t="n">
        <v>44484</v>
      </c>
      <c r="AD182" s="0" t="s">
        <v>147</v>
      </c>
      <c r="AE182" s="0" t="s">
        <v>148</v>
      </c>
      <c r="AF182" s="0" t="s">
        <v>149</v>
      </c>
      <c r="AH182" s="0" t="n">
        <v>14</v>
      </c>
      <c r="AI182" s="0" t="n">
        <v>11</v>
      </c>
      <c r="AN182" s="0" t="s">
        <v>145</v>
      </c>
      <c r="AO182" s="0" t="s">
        <v>150</v>
      </c>
      <c r="AP182" s="0" t="s">
        <v>151</v>
      </c>
      <c r="AQ182" s="0" t="n">
        <v>9</v>
      </c>
      <c r="AR182" s="0" t="n">
        <v>64</v>
      </c>
      <c r="AS182" s="0" t="n">
        <v>32</v>
      </c>
      <c r="AU182" s="0" t="n">
        <f aca="false">COUNTA($BA$1003:$EH$1003)</f>
        <v>18</v>
      </c>
      <c r="AV182" s="0" t="n">
        <f aca="false">COUNTIF($BA$1003:$EH$1003,"D")</f>
        <v>1</v>
      </c>
      <c r="AW182" s="0" t="n">
        <f aca="false">COUNTIF($BA$1003:$EH$1003,"R")</f>
        <v>0</v>
      </c>
      <c r="AX182" s="0" t="n">
        <f aca="false">IF(BN182="D",1,0)+IF(BO182="D",1,0)+IF(BT182="D",1,0)+IF(BU182="D",1,0)+IF(BW182="D",1,0)+IF(CC182="D",1,0)+IF(CD182="D",1,0)+IF(CE182="D",1,0)+IF(CF182="D",1,0)+IF(CL182="D",1,0)+IF(CM182="D",1,0)+IF(CQ182="D",1,0)+IF(CR182="D",1,0)+IF(CS182="D",1,0)+IF(CW182="D",1,0)+IF(CX182="D",1,0)+IF(DD182="D",1,0)+IF(DE182="D",1,0)+IF(DJ182="D",1,0)+IF(DK182="D",1,0)+IF(DO182="D",1,0)+IF(DP182="D",1,0)+IF(DQ182="D",1,0)+IF(DW182="D",1,0)+IF(DZ182="D",1,0)+IF(EH182="D",1,0)</f>
        <v>2</v>
      </c>
      <c r="AY182" s="0" t="n">
        <f aca="false">COUNTIF(DU182:EH182, "&lt;&gt;")</f>
        <v>7</v>
      </c>
      <c r="AZ182" s="0" t="n">
        <f aca="false">IF(EH182&lt;&gt;"",1,0)</f>
        <v>1</v>
      </c>
      <c r="BB182" s="0" t="s">
        <v>152</v>
      </c>
      <c r="BC182" s="0" t="s">
        <v>153</v>
      </c>
      <c r="BD182" s="0" t="s">
        <v>153</v>
      </c>
      <c r="BE182" s="0" t="s">
        <v>153</v>
      </c>
      <c r="BG182" s="0" t="s">
        <v>153</v>
      </c>
      <c r="BH182" s="0" t="s">
        <v>153</v>
      </c>
      <c r="BJ182" s="0" t="s">
        <v>153</v>
      </c>
      <c r="BK182" s="0" t="s">
        <v>153</v>
      </c>
      <c r="BL182" s="0" t="s">
        <v>153</v>
      </c>
      <c r="BP182" s="0" t="s">
        <v>153</v>
      </c>
      <c r="BR182" s="0" t="s">
        <v>153</v>
      </c>
      <c r="BS182" s="0" t="s">
        <v>153</v>
      </c>
      <c r="BV182" s="0" t="s">
        <v>153</v>
      </c>
      <c r="BY182" s="0" t="s">
        <v>175</v>
      </c>
      <c r="CA182" s="0" t="s">
        <v>153</v>
      </c>
      <c r="CG182" s="0" t="s">
        <v>153</v>
      </c>
      <c r="CK182" s="0" t="s">
        <v>153</v>
      </c>
      <c r="CN182" s="0" t="s">
        <v>153</v>
      </c>
      <c r="CP182" s="0" t="s">
        <v>153</v>
      </c>
      <c r="CU182" s="0" t="s">
        <v>175</v>
      </c>
      <c r="CV182" s="0" t="s">
        <v>153</v>
      </c>
      <c r="CY182" s="0" t="s">
        <v>153</v>
      </c>
      <c r="CZ182" s="0" t="s">
        <v>175</v>
      </c>
      <c r="DC182" s="0" t="s">
        <v>153</v>
      </c>
      <c r="DF182" s="0" t="s">
        <v>153</v>
      </c>
      <c r="DI182" s="0" t="s">
        <v>153</v>
      </c>
      <c r="DM182" s="0" t="s">
        <v>175</v>
      </c>
      <c r="DN182" s="0" t="s">
        <v>153</v>
      </c>
      <c r="DR182" s="0" t="s">
        <v>153</v>
      </c>
      <c r="DS182" s="0" t="s">
        <v>209</v>
      </c>
      <c r="DU182" s="0" t="s">
        <v>153</v>
      </c>
      <c r="DW182" s="0" t="s">
        <v>175</v>
      </c>
      <c r="DX182" s="0" t="s">
        <v>153</v>
      </c>
      <c r="EA182" s="0" t="s">
        <v>153</v>
      </c>
      <c r="ED182" s="0" t="s">
        <v>153</v>
      </c>
      <c r="EF182" s="0" t="s">
        <v>153</v>
      </c>
      <c r="EH182" s="0" t="s">
        <v>175</v>
      </c>
    </row>
    <row r="183" customFormat="false" ht="13.8" hidden="false" customHeight="false" outlineLevel="0" collapsed="false">
      <c r="A183" s="0" t="s">
        <v>1136</v>
      </c>
      <c r="B183" s="0" t="n">
        <v>78</v>
      </c>
      <c r="C183" s="0" t="n">
        <v>450002</v>
      </c>
      <c r="D183" s="0" t="s">
        <v>452</v>
      </c>
      <c r="E183" s="0" t="s">
        <v>1137</v>
      </c>
      <c r="F183" s="0" t="str">
        <f aca="false">CONCATENATE(D183," ",LEFT(H183,4),"T=",AU183,"D=",AV183,"R=",AW183,"M=",AX183,"L=",AY183,"B=",AZ183)</f>
        <v>HOWARD T=2D=1R=0M=0L=3B=0</v>
      </c>
      <c r="G183" s="0" t="s">
        <v>517</v>
      </c>
      <c r="I183" s="0" t="s">
        <v>1138</v>
      </c>
      <c r="J183" s="0" t="s">
        <v>1139</v>
      </c>
      <c r="K183" s="0" t="s">
        <v>160</v>
      </c>
      <c r="M183" s="0" t="s">
        <v>1140</v>
      </c>
      <c r="N183" s="0" t="str">
        <f aca="false">RIGHT(M183,LEN(M183)-FIND(" ",M183))</f>
        <v>BONNIE BRAE AVE SE</v>
      </c>
      <c r="P183" s="0" t="s">
        <v>145</v>
      </c>
      <c r="Q183" s="0" t="s">
        <v>146</v>
      </c>
      <c r="R183" s="0" t="n">
        <v>44484</v>
      </c>
      <c r="AD183" s="0" t="s">
        <v>147</v>
      </c>
      <c r="AE183" s="0" t="s">
        <v>148</v>
      </c>
      <c r="AF183" s="0" t="s">
        <v>149</v>
      </c>
      <c r="AH183" s="0" t="n">
        <v>14</v>
      </c>
      <c r="AI183" s="0" t="n">
        <v>11</v>
      </c>
      <c r="AN183" s="0" t="s">
        <v>145</v>
      </c>
      <c r="AO183" s="0" t="s">
        <v>150</v>
      </c>
      <c r="AP183" s="0" t="s">
        <v>151</v>
      </c>
      <c r="AQ183" s="0" t="n">
        <v>9</v>
      </c>
      <c r="AR183" s="0" t="n">
        <v>64</v>
      </c>
      <c r="AS183" s="0" t="n">
        <v>32</v>
      </c>
      <c r="AU183" s="0" t="n">
        <f aca="false">COUNTA($BA$429:$EH$429)</f>
        <v>2</v>
      </c>
      <c r="AV183" s="0" t="n">
        <f aca="false">COUNTIF($BA$429:$EH$429,"D")</f>
        <v>1</v>
      </c>
      <c r="AW183" s="0" t="n">
        <f aca="false">COUNTIF($BA$429:$EH$429,"R")</f>
        <v>0</v>
      </c>
      <c r="AX183" s="0" t="n">
        <f aca="false">IF(BN183="D",1,0)+IF(BO183="D",1,0)+IF(BT183="D",1,0)+IF(BU183="D",1,0)+IF(BW183="D",1,0)+IF(CC183="D",1,0)+IF(CD183="D",1,0)+IF(CE183="D",1,0)+IF(CF183="D",1,0)+IF(CL183="D",1,0)+IF(CM183="D",1,0)+IF(CQ183="D",1,0)+IF(CR183="D",1,0)+IF(CS183="D",1,0)+IF(CW183="D",1,0)+IF(CX183="D",1,0)+IF(DD183="D",1,0)+IF(DE183="D",1,0)+IF(DJ183="D",1,0)+IF(DK183="D",1,0)+IF(DO183="D",1,0)+IF(DP183="D",1,0)+IF(DQ183="D",1,0)+IF(DW183="D",1,0)+IF(DZ183="D",1,0)+IF(EH183="D",1,0)</f>
        <v>0</v>
      </c>
      <c r="AY183" s="0" t="n">
        <f aca="false">COUNTIF(DU183:EH183, "&lt;&gt;")</f>
        <v>3</v>
      </c>
      <c r="AZ183" s="0" t="n">
        <f aca="false">IF(EH183&lt;&gt;"",1,0)</f>
        <v>0</v>
      </c>
      <c r="BB183" s="0" t="s">
        <v>152</v>
      </c>
      <c r="BS183" s="0" t="s">
        <v>153</v>
      </c>
      <c r="CA183" s="0" t="s">
        <v>153</v>
      </c>
      <c r="DC183" s="0" t="s">
        <v>153</v>
      </c>
      <c r="DI183" s="0" t="s">
        <v>153</v>
      </c>
      <c r="DN183" s="0" t="s">
        <v>153</v>
      </c>
      <c r="DU183" s="0" t="s">
        <v>153</v>
      </c>
      <c r="EA183" s="0" t="s">
        <v>153</v>
      </c>
      <c r="EF183" s="0" t="s">
        <v>153</v>
      </c>
    </row>
    <row r="184" customFormat="false" ht="13.8" hidden="true" customHeight="false" outlineLevel="0" collapsed="false">
      <c r="A184" s="0" t="s">
        <v>1141</v>
      </c>
      <c r="B184" s="0" t="n">
        <v>78</v>
      </c>
      <c r="C184" s="0" t="n">
        <v>461605</v>
      </c>
      <c r="D184" s="0" t="s">
        <v>1142</v>
      </c>
      <c r="E184" s="0" t="s">
        <v>1143</v>
      </c>
      <c r="F184" s="0" t="str">
        <f aca="false">CONCATENATE(D184," ",LEFT(H184,4),"T=",AU184,"D=",AV184,"R=",AW184,"M=",AX184,"L=",AY184,"B=",AZ184)</f>
        <v>GEARHART T=1D=0R=0M=0L=0B=0</v>
      </c>
      <c r="I184" s="0" t="s">
        <v>1144</v>
      </c>
      <c r="J184" s="0" t="s">
        <v>1145</v>
      </c>
      <c r="K184" s="0" t="s">
        <v>143</v>
      </c>
      <c r="M184" s="0" t="s">
        <v>1140</v>
      </c>
      <c r="N184" s="0" t="str">
        <f aca="false">RIGHT(M184,LEN(M184)-FIND(" ",M184))</f>
        <v>BONNIE BRAE AVE SE</v>
      </c>
      <c r="P184" s="0" t="s">
        <v>145</v>
      </c>
      <c r="Q184" s="0" t="s">
        <v>146</v>
      </c>
      <c r="R184" s="0" t="n">
        <v>44484</v>
      </c>
      <c r="AD184" s="0" t="s">
        <v>147</v>
      </c>
      <c r="AE184" s="0" t="s">
        <v>148</v>
      </c>
      <c r="AF184" s="0" t="s">
        <v>149</v>
      </c>
      <c r="AH184" s="0" t="n">
        <v>14</v>
      </c>
      <c r="AI184" s="0" t="n">
        <v>11</v>
      </c>
      <c r="AN184" s="0" t="s">
        <v>145</v>
      </c>
      <c r="AO184" s="0" t="s">
        <v>150</v>
      </c>
      <c r="AP184" s="0" t="s">
        <v>151</v>
      </c>
      <c r="AQ184" s="0" t="n">
        <v>9</v>
      </c>
      <c r="AR184" s="0" t="n">
        <v>64</v>
      </c>
      <c r="AS184" s="0" t="n">
        <v>32</v>
      </c>
      <c r="AU184" s="0" t="n">
        <f aca="false">COUNTA($BA$582:$EH$582)</f>
        <v>1</v>
      </c>
      <c r="AV184" s="0" t="n">
        <f aca="false">COUNTIF($BA$582:$EH$582,"D")</f>
        <v>0</v>
      </c>
      <c r="AW184" s="0" t="n">
        <f aca="false">COUNTIF($BA$582:$EH$582,"R")</f>
        <v>0</v>
      </c>
      <c r="AX184" s="0" t="n">
        <f aca="false">IF(BN184="D",1,0)+IF(BO184="D",1,0)+IF(BT184="D",1,0)+IF(BU184="D",1,0)+IF(BW184="D",1,0)+IF(CC184="D",1,0)+IF(CD184="D",1,0)+IF(CE184="D",1,0)+IF(CF184="D",1,0)+IF(CL184="D",1,0)+IF(CM184="D",1,0)+IF(CQ184="D",1,0)+IF(CR184="D",1,0)+IF(CS184="D",1,0)+IF(CW184="D",1,0)+IF(CX184="D",1,0)+IF(DD184="D",1,0)+IF(DE184="D",1,0)+IF(DJ184="D",1,0)+IF(DK184="D",1,0)+IF(DO184="D",1,0)+IF(DP184="D",1,0)+IF(DQ184="D",1,0)+IF(DW184="D",1,0)+IF(DZ184="D",1,0)+IF(EH184="D",1,0)</f>
        <v>0</v>
      </c>
      <c r="AY184" s="0" t="n">
        <f aca="false">COUNTIF(DU184:EH184, "&lt;&gt;")</f>
        <v>0</v>
      </c>
      <c r="AZ184" s="0" t="n">
        <f aca="false">IF(EH184&lt;&gt;"",1,0)</f>
        <v>0</v>
      </c>
      <c r="BB184" s="0" t="s">
        <v>152</v>
      </c>
    </row>
    <row r="185" customFormat="false" ht="13.8" hidden="false" customHeight="false" outlineLevel="0" collapsed="false">
      <c r="A185" s="0" t="s">
        <v>1146</v>
      </c>
      <c r="B185" s="0" t="n">
        <v>78</v>
      </c>
      <c r="C185" s="0" t="n">
        <v>389061</v>
      </c>
      <c r="D185" s="0" t="s">
        <v>1147</v>
      </c>
      <c r="E185" s="0" t="s">
        <v>248</v>
      </c>
      <c r="F185" s="0" t="str">
        <f aca="false">CONCATENATE(D185," ",LEFT(H185,4),"T=",AU185,"D=",AV185,"R=",AW185,"M=",AX185,"L=",AY185,"B=",AZ185)</f>
        <v>FEGLEY T=3D=0R=0M=0L=3B=0</v>
      </c>
      <c r="G185" s="0" t="s">
        <v>958</v>
      </c>
      <c r="I185" s="0" t="s">
        <v>1148</v>
      </c>
      <c r="J185" s="0" t="s">
        <v>1149</v>
      </c>
      <c r="K185" s="0" t="s">
        <v>160</v>
      </c>
      <c r="M185" s="0" t="s">
        <v>1140</v>
      </c>
      <c r="N185" s="0" t="str">
        <f aca="false">RIGHT(M185,LEN(M185)-FIND(" ",M185))</f>
        <v>BONNIE BRAE AVE SE</v>
      </c>
      <c r="P185" s="0" t="s">
        <v>145</v>
      </c>
      <c r="Q185" s="0" t="s">
        <v>146</v>
      </c>
      <c r="R185" s="0" t="n">
        <v>44484</v>
      </c>
      <c r="AD185" s="0" t="s">
        <v>147</v>
      </c>
      <c r="AE185" s="0" t="s">
        <v>148</v>
      </c>
      <c r="AF185" s="0" t="s">
        <v>149</v>
      </c>
      <c r="AH185" s="0" t="n">
        <v>14</v>
      </c>
      <c r="AI185" s="0" t="n">
        <v>11</v>
      </c>
      <c r="AN185" s="0" t="s">
        <v>145</v>
      </c>
      <c r="AO185" s="0" t="s">
        <v>150</v>
      </c>
      <c r="AP185" s="0" t="s">
        <v>151</v>
      </c>
      <c r="AQ185" s="0" t="n">
        <v>9</v>
      </c>
      <c r="AR185" s="0" t="n">
        <v>64</v>
      </c>
      <c r="AS185" s="0" t="n">
        <v>32</v>
      </c>
      <c r="AU185" s="0" t="n">
        <f aca="false">COUNTA($BA$774:$EH$774)</f>
        <v>3</v>
      </c>
      <c r="AV185" s="0" t="n">
        <f aca="false">COUNTIF($BA$774:$EH$774,"D")</f>
        <v>0</v>
      </c>
      <c r="AW185" s="0" t="n">
        <f aca="false">COUNTIF($BA$774:$EH$774,"R")</f>
        <v>0</v>
      </c>
      <c r="AX185" s="0" t="n">
        <f aca="false">IF(BN185="D",1,0)+IF(BO185="D",1,0)+IF(BT185="D",1,0)+IF(BU185="D",1,0)+IF(BW185="D",1,0)+IF(CC185="D",1,0)+IF(CD185="D",1,0)+IF(CE185="D",1,0)+IF(CF185="D",1,0)+IF(CL185="D",1,0)+IF(CM185="D",1,0)+IF(CQ185="D",1,0)+IF(CR185="D",1,0)+IF(CS185="D",1,0)+IF(CW185="D",1,0)+IF(CX185="D",1,0)+IF(DD185="D",1,0)+IF(DE185="D",1,0)+IF(DJ185="D",1,0)+IF(DK185="D",1,0)+IF(DO185="D",1,0)+IF(DP185="D",1,0)+IF(DQ185="D",1,0)+IF(DW185="D",1,0)+IF(DZ185="D",1,0)+IF(EH185="D",1,0)</f>
        <v>0</v>
      </c>
      <c r="AY185" s="0" t="n">
        <f aca="false">COUNTIF(DU185:EH185, "&lt;&gt;")</f>
        <v>3</v>
      </c>
      <c r="AZ185" s="0" t="n">
        <f aca="false">IF(EH185&lt;&gt;"",1,0)</f>
        <v>0</v>
      </c>
      <c r="BB185" s="0" t="s">
        <v>152</v>
      </c>
      <c r="BL185" s="0" t="s">
        <v>153</v>
      </c>
      <c r="BS185" s="0" t="s">
        <v>153</v>
      </c>
      <c r="CP185" s="0" t="s">
        <v>153</v>
      </c>
      <c r="CZ185" s="0" t="s">
        <v>175</v>
      </c>
      <c r="DC185" s="0" t="s">
        <v>153</v>
      </c>
      <c r="DI185" s="0" t="s">
        <v>153</v>
      </c>
      <c r="DN185" s="0" t="s">
        <v>153</v>
      </c>
      <c r="DR185" s="0" t="s">
        <v>153</v>
      </c>
      <c r="DU185" s="0" t="s">
        <v>153</v>
      </c>
      <c r="EA185" s="0" t="s">
        <v>153</v>
      </c>
      <c r="EF185" s="0" t="s">
        <v>153</v>
      </c>
    </row>
    <row r="186" customFormat="false" ht="13.8" hidden="true" customHeight="false" outlineLevel="0" collapsed="false">
      <c r="A186" s="0" t="s">
        <v>1150</v>
      </c>
      <c r="B186" s="0" t="n">
        <v>78</v>
      </c>
      <c r="C186" s="0" t="n">
        <v>463099</v>
      </c>
      <c r="D186" s="0" t="s">
        <v>1151</v>
      </c>
      <c r="E186" s="0" t="s">
        <v>1152</v>
      </c>
      <c r="F186" s="0" t="str">
        <f aca="false">CONCATENATE(D186," ",LEFT(H186,4),"T=",AU186,"D=",AV186,"R=",AW186,"M=",AX186,"L=",AY186,"B=",AZ186)</f>
        <v>JASKIEWICZ T=2D=0R=0M=0L=0B=0</v>
      </c>
      <c r="G186" s="0" t="s">
        <v>209</v>
      </c>
      <c r="I186" s="0" t="s">
        <v>1153</v>
      </c>
      <c r="J186" s="0" t="s">
        <v>427</v>
      </c>
      <c r="K186" s="0" t="s">
        <v>160</v>
      </c>
      <c r="M186" s="0" t="s">
        <v>1154</v>
      </c>
      <c r="N186" s="0" t="str">
        <f aca="false">RIGHT(M186,LEN(M186)-FIND(" ",M186))</f>
        <v>BONNIE BRAE AVE SE</v>
      </c>
      <c r="P186" s="0" t="s">
        <v>145</v>
      </c>
      <c r="Q186" s="0" t="s">
        <v>146</v>
      </c>
      <c r="R186" s="0" t="n">
        <v>44484</v>
      </c>
      <c r="AD186" s="0" t="s">
        <v>147</v>
      </c>
      <c r="AE186" s="0" t="s">
        <v>148</v>
      </c>
      <c r="AF186" s="0" t="s">
        <v>149</v>
      </c>
      <c r="AH186" s="0" t="n">
        <v>14</v>
      </c>
      <c r="AI186" s="0" t="n">
        <v>11</v>
      </c>
      <c r="AN186" s="0" t="s">
        <v>145</v>
      </c>
      <c r="AO186" s="0" t="s">
        <v>150</v>
      </c>
      <c r="AP186" s="0" t="s">
        <v>151</v>
      </c>
      <c r="AQ186" s="0" t="n">
        <v>9</v>
      </c>
      <c r="AR186" s="0" t="n">
        <v>64</v>
      </c>
      <c r="AS186" s="0" t="n">
        <v>32</v>
      </c>
      <c r="AU186" s="0" t="n">
        <f aca="false">COUNTA($BA$328:$EH$328)</f>
        <v>2</v>
      </c>
      <c r="AV186" s="0" t="n">
        <f aca="false">COUNTIF($BA$328:$EH$328,"D")</f>
        <v>0</v>
      </c>
      <c r="AW186" s="0" t="n">
        <f aca="false">COUNTIF($BA$328:$EH$328,"R")</f>
        <v>0</v>
      </c>
      <c r="AX186" s="0" t="n">
        <f aca="false">IF(BN186="D",1,0)+IF(BO186="D",1,0)+IF(BT186="D",1,0)+IF(BU186="D",1,0)+IF(BW186="D",1,0)+IF(CC186="D",1,0)+IF(CD186="D",1,0)+IF(CE186="D",1,0)+IF(CF186="D",1,0)+IF(CL186="D",1,0)+IF(CM186="D",1,0)+IF(CQ186="D",1,0)+IF(CR186="D",1,0)+IF(CS186="D",1,0)+IF(CW186="D",1,0)+IF(CX186="D",1,0)+IF(DD186="D",1,0)+IF(DE186="D",1,0)+IF(DJ186="D",1,0)+IF(DK186="D",1,0)+IF(DO186="D",1,0)+IF(DP186="D",1,0)+IF(DQ186="D",1,0)+IF(DW186="D",1,0)+IF(DZ186="D",1,0)+IF(EH186="D",1,0)</f>
        <v>0</v>
      </c>
      <c r="AY186" s="0" t="n">
        <f aca="false">COUNTIF(DU186:EH186, "&lt;&gt;")</f>
        <v>0</v>
      </c>
      <c r="AZ186" s="0" t="n">
        <f aca="false">IF(EH186&lt;&gt;"",1,0)</f>
        <v>0</v>
      </c>
      <c r="BB186" s="0" t="s">
        <v>152</v>
      </c>
      <c r="CA186" s="0" t="s">
        <v>153</v>
      </c>
    </row>
    <row r="187" customFormat="false" ht="13.8" hidden="true" customHeight="false" outlineLevel="0" collapsed="false">
      <c r="A187" s="0" t="s">
        <v>1155</v>
      </c>
      <c r="B187" s="0" t="n">
        <v>78</v>
      </c>
      <c r="C187" s="0" t="n">
        <v>486896</v>
      </c>
      <c r="D187" s="0" t="s">
        <v>1156</v>
      </c>
      <c r="E187" s="0" t="s">
        <v>1157</v>
      </c>
      <c r="F187" s="0" t="str">
        <f aca="false">CONCATENATE(D187," ",LEFT(H187,4),"T=",AU187,"D=",AV187,"R=",AW187,"M=",AX187,"L=",AY187,"B=",AZ187)</f>
        <v>STRANGE T=1D=0R=0M=0L=0B=0</v>
      </c>
      <c r="G187" s="0" t="s">
        <v>1158</v>
      </c>
      <c r="I187" s="0" t="s">
        <v>1159</v>
      </c>
      <c r="J187" s="0" t="s">
        <v>1050</v>
      </c>
      <c r="K187" s="0" t="s">
        <v>160</v>
      </c>
      <c r="M187" s="0" t="s">
        <v>1154</v>
      </c>
      <c r="N187" s="0" t="str">
        <f aca="false">RIGHT(M187,LEN(M187)-FIND(" ",M187))</f>
        <v>BONNIE BRAE AVE SE</v>
      </c>
      <c r="P187" s="0" t="s">
        <v>145</v>
      </c>
      <c r="Q187" s="0" t="s">
        <v>146</v>
      </c>
      <c r="R187" s="0" t="n">
        <v>44484</v>
      </c>
      <c r="AD187" s="0" t="s">
        <v>147</v>
      </c>
      <c r="AE187" s="0" t="s">
        <v>148</v>
      </c>
      <c r="AF187" s="0" t="s">
        <v>149</v>
      </c>
      <c r="AH187" s="0" t="n">
        <v>14</v>
      </c>
      <c r="AI187" s="0" t="n">
        <v>11</v>
      </c>
      <c r="AN187" s="0" t="s">
        <v>145</v>
      </c>
      <c r="AO187" s="0" t="s">
        <v>150</v>
      </c>
      <c r="AP187" s="0" t="s">
        <v>151</v>
      </c>
      <c r="AQ187" s="0" t="n">
        <v>9</v>
      </c>
      <c r="AR187" s="0" t="n">
        <v>64</v>
      </c>
      <c r="AS187" s="0" t="n">
        <v>32</v>
      </c>
      <c r="AU187" s="0" t="n">
        <f aca="false">COUNTA($BA$645:$EH$645)</f>
        <v>1</v>
      </c>
      <c r="AV187" s="0" t="n">
        <f aca="false">COUNTIF($BA$645:$EH$645,"D")</f>
        <v>0</v>
      </c>
      <c r="AW187" s="0" t="n">
        <f aca="false">COUNTIF($BA$645:$EH$645,"R")</f>
        <v>0</v>
      </c>
      <c r="AX187" s="0" t="n">
        <f aca="false">IF(BN187="D",1,0)+IF(BO187="D",1,0)+IF(BT187="D",1,0)+IF(BU187="D",1,0)+IF(BW187="D",1,0)+IF(CC187="D",1,0)+IF(CD187="D",1,0)+IF(CE187="D",1,0)+IF(CF187="D",1,0)+IF(CL187="D",1,0)+IF(CM187="D",1,0)+IF(CQ187="D",1,0)+IF(CR187="D",1,0)+IF(CS187="D",1,0)+IF(CW187="D",1,0)+IF(CX187="D",1,0)+IF(DD187="D",1,0)+IF(DE187="D",1,0)+IF(DJ187="D",1,0)+IF(DK187="D",1,0)+IF(DO187="D",1,0)+IF(DP187="D",1,0)+IF(DQ187="D",1,0)+IF(DW187="D",1,0)+IF(DZ187="D",1,0)+IF(EH187="D",1,0)</f>
        <v>0</v>
      </c>
      <c r="AY187" s="0" t="n">
        <f aca="false">COUNTIF(DU187:EH187, "&lt;&gt;")</f>
        <v>0</v>
      </c>
      <c r="AZ187" s="0" t="n">
        <f aca="false">IF(EH187&lt;&gt;"",1,0)</f>
        <v>0</v>
      </c>
      <c r="BB187" s="0" t="s">
        <v>152</v>
      </c>
    </row>
    <row r="188" customFormat="false" ht="13.8" hidden="true" customHeight="false" outlineLevel="0" collapsed="false">
      <c r="A188" s="0" t="s">
        <v>1160</v>
      </c>
      <c r="B188" s="0" t="n">
        <v>78</v>
      </c>
      <c r="C188" s="0" t="n">
        <v>413826</v>
      </c>
      <c r="D188" s="0" t="s">
        <v>1156</v>
      </c>
      <c r="E188" s="0" t="s">
        <v>1161</v>
      </c>
      <c r="F188" s="0" t="str">
        <f aca="false">CONCATENATE(D188," ",LEFT(H188,4),"T=",AU188,"D=",AV188,"R=",AW188,"M=",AX188,"L=",AY188,"B=",AZ188)</f>
        <v>STRANGE T=3D=0R=0M=0L=0B=0</v>
      </c>
      <c r="G188" s="0" t="s">
        <v>255</v>
      </c>
      <c r="I188" s="0" t="s">
        <v>1162</v>
      </c>
      <c r="J188" s="0" t="s">
        <v>1050</v>
      </c>
      <c r="K188" s="0" t="s">
        <v>160</v>
      </c>
      <c r="M188" s="0" t="s">
        <v>1154</v>
      </c>
      <c r="N188" s="0" t="str">
        <f aca="false">RIGHT(M188,LEN(M188)-FIND(" ",M188))</f>
        <v>BONNIE BRAE AVE SE</v>
      </c>
      <c r="P188" s="0" t="s">
        <v>145</v>
      </c>
      <c r="Q188" s="0" t="s">
        <v>146</v>
      </c>
      <c r="R188" s="0" t="n">
        <v>44484</v>
      </c>
      <c r="AD188" s="0" t="s">
        <v>147</v>
      </c>
      <c r="AE188" s="0" t="s">
        <v>148</v>
      </c>
      <c r="AF188" s="0" t="s">
        <v>149</v>
      </c>
      <c r="AH188" s="0" t="n">
        <v>14</v>
      </c>
      <c r="AI188" s="0" t="n">
        <v>11</v>
      </c>
      <c r="AN188" s="0" t="s">
        <v>145</v>
      </c>
      <c r="AO188" s="0" t="s">
        <v>150</v>
      </c>
      <c r="AP188" s="0" t="s">
        <v>151</v>
      </c>
      <c r="AQ188" s="0" t="n">
        <v>9</v>
      </c>
      <c r="AR188" s="0" t="n">
        <v>64</v>
      </c>
      <c r="AS188" s="0" t="n">
        <v>32</v>
      </c>
      <c r="AU188" s="0" t="n">
        <f aca="false">COUNTA($BA$951:$EH$951)</f>
        <v>3</v>
      </c>
      <c r="AV188" s="0" t="n">
        <f aca="false">COUNTIF($BA$951:$EH$951,"D")</f>
        <v>0</v>
      </c>
      <c r="AW188" s="0" t="n">
        <f aca="false">COUNTIF($BA$951:$EH$951,"R")</f>
        <v>0</v>
      </c>
      <c r="AX188" s="0" t="n">
        <f aca="false">IF(BN188="D",1,0)+IF(BO188="D",1,0)+IF(BT188="D",1,0)+IF(BU188="D",1,0)+IF(BW188="D",1,0)+IF(CC188="D",1,0)+IF(CD188="D",1,0)+IF(CE188="D",1,0)+IF(CF188="D",1,0)+IF(CL188="D",1,0)+IF(CM188="D",1,0)+IF(CQ188="D",1,0)+IF(CR188="D",1,0)+IF(CS188="D",1,0)+IF(CW188="D",1,0)+IF(CX188="D",1,0)+IF(DD188="D",1,0)+IF(DE188="D",1,0)+IF(DJ188="D",1,0)+IF(DK188="D",1,0)+IF(DO188="D",1,0)+IF(DP188="D",1,0)+IF(DQ188="D",1,0)+IF(DW188="D",1,0)+IF(DZ188="D",1,0)+IF(EH188="D",1,0)</f>
        <v>0</v>
      </c>
      <c r="AY188" s="0" t="n">
        <f aca="false">COUNTIF(DU188:EH188, "&lt;&gt;")</f>
        <v>0</v>
      </c>
      <c r="AZ188" s="0" t="n">
        <f aca="false">IF(EH188&lt;&gt;"",1,0)</f>
        <v>0</v>
      </c>
      <c r="BB188" s="0" t="s">
        <v>152</v>
      </c>
      <c r="BH188" s="0" t="s">
        <v>153</v>
      </c>
      <c r="BL188" s="0" t="s">
        <v>153</v>
      </c>
      <c r="BY188" s="0" t="s">
        <v>175</v>
      </c>
      <c r="CA188" s="0" t="s">
        <v>153</v>
      </c>
      <c r="CZ188" s="0" t="s">
        <v>175</v>
      </c>
      <c r="DC188" s="0" t="s">
        <v>153</v>
      </c>
    </row>
    <row r="189" customFormat="false" ht="13.8" hidden="true" customHeight="false" outlineLevel="0" collapsed="false">
      <c r="A189" s="0" t="s">
        <v>1163</v>
      </c>
      <c r="B189" s="0" t="n">
        <v>78</v>
      </c>
      <c r="C189" s="0" t="n">
        <v>421082</v>
      </c>
      <c r="D189" s="0" t="s">
        <v>1164</v>
      </c>
      <c r="E189" s="0" t="s">
        <v>331</v>
      </c>
      <c r="F189" s="0" t="str">
        <f aca="false">CONCATENATE(D189," ",LEFT(H189,4),"T=",AU189,"D=",AV189,"R=",AW189,"M=",AX189,"L=",AY189,"B=",AZ189)</f>
        <v>ABNER IVT=21D=4R=0M=0L=0B=0</v>
      </c>
      <c r="G189" s="0" t="s">
        <v>209</v>
      </c>
      <c r="H189" s="0" t="s">
        <v>1165</v>
      </c>
      <c r="I189" s="0" t="s">
        <v>1166</v>
      </c>
      <c r="J189" s="0" t="s">
        <v>1167</v>
      </c>
      <c r="K189" s="0" t="s">
        <v>143</v>
      </c>
      <c r="M189" s="0" t="s">
        <v>1168</v>
      </c>
      <c r="N189" s="0" t="str">
        <f aca="false">RIGHT(M189,LEN(M189)-FIND(" ",M189))</f>
        <v>BONNIE BRAE AVE SE</v>
      </c>
      <c r="P189" s="0" t="s">
        <v>145</v>
      </c>
      <c r="Q189" s="0" t="s">
        <v>146</v>
      </c>
      <c r="R189" s="0" t="n">
        <v>44484</v>
      </c>
      <c r="AD189" s="0" t="s">
        <v>147</v>
      </c>
      <c r="AE189" s="0" t="s">
        <v>148</v>
      </c>
      <c r="AF189" s="0" t="s">
        <v>149</v>
      </c>
      <c r="AH189" s="0" t="n">
        <v>14</v>
      </c>
      <c r="AI189" s="0" t="n">
        <v>11</v>
      </c>
      <c r="AN189" s="0" t="s">
        <v>145</v>
      </c>
      <c r="AO189" s="0" t="s">
        <v>150</v>
      </c>
      <c r="AP189" s="0" t="s">
        <v>151</v>
      </c>
      <c r="AQ189" s="0" t="n">
        <v>9</v>
      </c>
      <c r="AR189" s="0" t="n">
        <v>64</v>
      </c>
      <c r="AS189" s="0" t="n">
        <v>32</v>
      </c>
      <c r="AU189" s="0" t="n">
        <f aca="false">COUNTA($BA$375:$EH$375)</f>
        <v>21</v>
      </c>
      <c r="AV189" s="0" t="n">
        <f aca="false">COUNTIF($BA$375:$EH$375,"D")</f>
        <v>4</v>
      </c>
      <c r="AW189" s="0" t="n">
        <f aca="false">COUNTIF($BA$375:$EH$375,"R")</f>
        <v>0</v>
      </c>
      <c r="AX189" s="0" t="n">
        <f aca="false">IF(BN189="D",1,0)+IF(BO189="D",1,0)+IF(BT189="D",1,0)+IF(BU189="D",1,0)+IF(BW189="D",1,0)+IF(CC189="D",1,0)+IF(CD189="D",1,0)+IF(CE189="D",1,0)+IF(CF189="D",1,0)+IF(CL189="D",1,0)+IF(CM189="D",1,0)+IF(CQ189="D",1,0)+IF(CR189="D",1,0)+IF(CS189="D",1,0)+IF(CW189="D",1,0)+IF(CX189="D",1,0)+IF(DD189="D",1,0)+IF(DE189="D",1,0)+IF(DJ189="D",1,0)+IF(DK189="D",1,0)+IF(DO189="D",1,0)+IF(DP189="D",1,0)+IF(DQ189="D",1,0)+IF(DW189="D",1,0)+IF(DZ189="D",1,0)+IF(EH189="D",1,0)</f>
        <v>0</v>
      </c>
      <c r="AY189" s="0" t="n">
        <f aca="false">COUNTIF(DU189:EH189, "&lt;&gt;")</f>
        <v>0</v>
      </c>
      <c r="AZ189" s="0" t="n">
        <f aca="false">IF(EH189&lt;&gt;"",1,0)</f>
        <v>0</v>
      </c>
      <c r="BB189" s="0" t="s">
        <v>152</v>
      </c>
      <c r="DC189" s="0" t="s">
        <v>153</v>
      </c>
    </row>
    <row r="190" customFormat="false" ht="13.8" hidden="true" customHeight="false" outlineLevel="0" collapsed="false">
      <c r="A190" s="0" t="s">
        <v>1169</v>
      </c>
      <c r="B190" s="0" t="n">
        <v>78</v>
      </c>
      <c r="C190" s="0" t="n">
        <v>416104</v>
      </c>
      <c r="D190" s="0" t="s">
        <v>1170</v>
      </c>
      <c r="E190" s="0" t="s">
        <v>1171</v>
      </c>
      <c r="F190" s="0" t="str">
        <f aca="false">CONCATENATE(D190," ",LEFT(H190,4),"T=",AU190,"D=",AV190,"R=",AW190,"M=",AX190,"L=",AY190,"B=",AZ190)</f>
        <v>DIBELL T=6D=1R=0M=0L=0B=0</v>
      </c>
      <c r="G190" s="0" t="s">
        <v>190</v>
      </c>
      <c r="I190" s="0" t="s">
        <v>1172</v>
      </c>
      <c r="J190" s="0" t="s">
        <v>1173</v>
      </c>
      <c r="K190" s="0" t="s">
        <v>143</v>
      </c>
      <c r="M190" s="0" t="s">
        <v>1168</v>
      </c>
      <c r="N190" s="0" t="str">
        <f aca="false">RIGHT(M190,LEN(M190)-FIND(" ",M190))</f>
        <v>BONNIE BRAE AVE SE</v>
      </c>
      <c r="P190" s="0" t="s">
        <v>145</v>
      </c>
      <c r="Q190" s="0" t="s">
        <v>146</v>
      </c>
      <c r="R190" s="0" t="n">
        <v>44484</v>
      </c>
      <c r="AD190" s="0" t="s">
        <v>147</v>
      </c>
      <c r="AE190" s="0" t="s">
        <v>148</v>
      </c>
      <c r="AF190" s="0" t="s">
        <v>149</v>
      </c>
      <c r="AH190" s="0" t="n">
        <v>14</v>
      </c>
      <c r="AI190" s="0" t="n">
        <v>11</v>
      </c>
      <c r="AN190" s="0" t="s">
        <v>145</v>
      </c>
      <c r="AO190" s="0" t="s">
        <v>150</v>
      </c>
      <c r="AP190" s="0" t="s">
        <v>151</v>
      </c>
      <c r="AQ190" s="0" t="n">
        <v>9</v>
      </c>
      <c r="AR190" s="0" t="n">
        <v>64</v>
      </c>
      <c r="AS190" s="0" t="n">
        <v>32</v>
      </c>
      <c r="AU190" s="0" t="n">
        <f aca="false">COUNTA($BA$612:$EH$612)</f>
        <v>6</v>
      </c>
      <c r="AV190" s="0" t="n">
        <f aca="false">COUNTIF($BA$612:$EH$612,"D")</f>
        <v>1</v>
      </c>
      <c r="AW190" s="0" t="n">
        <f aca="false">COUNTIF($BA$612:$EH$612,"R")</f>
        <v>0</v>
      </c>
      <c r="AX190" s="0" t="n">
        <f aca="false">IF(BN190="D",1,0)+IF(BO190="D",1,0)+IF(BT190="D",1,0)+IF(BU190="D",1,0)+IF(BW190="D",1,0)+IF(CC190="D",1,0)+IF(CD190="D",1,0)+IF(CE190="D",1,0)+IF(CF190="D",1,0)+IF(CL190="D",1,0)+IF(CM190="D",1,0)+IF(CQ190="D",1,0)+IF(CR190="D",1,0)+IF(CS190="D",1,0)+IF(CW190="D",1,0)+IF(CX190="D",1,0)+IF(DD190="D",1,0)+IF(DE190="D",1,0)+IF(DJ190="D",1,0)+IF(DK190="D",1,0)+IF(DO190="D",1,0)+IF(DP190="D",1,0)+IF(DQ190="D",1,0)+IF(DW190="D",1,0)+IF(DZ190="D",1,0)+IF(EH190="D",1,0)</f>
        <v>0</v>
      </c>
      <c r="AY190" s="0" t="n">
        <f aca="false">COUNTIF(DU190:EH190, "&lt;&gt;")</f>
        <v>0</v>
      </c>
      <c r="AZ190" s="0" t="n">
        <f aca="false">IF(EH190&lt;&gt;"",1,0)</f>
        <v>0</v>
      </c>
      <c r="BB190" s="0" t="s">
        <v>152</v>
      </c>
      <c r="DC190" s="0" t="s">
        <v>153</v>
      </c>
      <c r="DN190" s="0" t="s">
        <v>153</v>
      </c>
    </row>
    <row r="191" customFormat="false" ht="13.8" hidden="true" customHeight="false" outlineLevel="0" collapsed="false">
      <c r="A191" s="0" t="s">
        <v>1174</v>
      </c>
      <c r="B191" s="0" t="n">
        <v>78</v>
      </c>
      <c r="C191" s="0" t="n">
        <v>458502</v>
      </c>
      <c r="D191" s="0" t="s">
        <v>1175</v>
      </c>
      <c r="E191" s="0" t="s">
        <v>1176</v>
      </c>
      <c r="F191" s="0" t="str">
        <f aca="false">CONCATENATE(D191," ",LEFT(H191,4),"T=",AU191,"D=",AV191,"R=",AW191,"M=",AX191,"L=",AY191,"B=",AZ191)</f>
        <v>PUTNAM T=4D=1R=0M=0L=0B=0</v>
      </c>
      <c r="G191" s="0" t="s">
        <v>1177</v>
      </c>
      <c r="I191" s="0" t="s">
        <v>1178</v>
      </c>
      <c r="J191" s="0" t="s">
        <v>1179</v>
      </c>
      <c r="K191" s="0" t="s">
        <v>143</v>
      </c>
      <c r="M191" s="0" t="s">
        <v>1180</v>
      </c>
      <c r="N191" s="0" t="str">
        <f aca="false">RIGHT(M191,LEN(M191)-FIND(" ",M191))</f>
        <v>BONNIE BRAE AVE SE</v>
      </c>
      <c r="P191" s="0" t="s">
        <v>145</v>
      </c>
      <c r="Q191" s="0" t="s">
        <v>146</v>
      </c>
      <c r="R191" s="0" t="n">
        <v>44484</v>
      </c>
      <c r="AD191" s="0" t="s">
        <v>147</v>
      </c>
      <c r="AE191" s="0" t="s">
        <v>148</v>
      </c>
      <c r="AF191" s="0" t="s">
        <v>149</v>
      </c>
      <c r="AH191" s="0" t="n">
        <v>14</v>
      </c>
      <c r="AI191" s="0" t="n">
        <v>11</v>
      </c>
      <c r="AN191" s="0" t="s">
        <v>145</v>
      </c>
      <c r="AO191" s="0" t="s">
        <v>150</v>
      </c>
      <c r="AP191" s="0" t="s">
        <v>151</v>
      </c>
      <c r="AQ191" s="0" t="n">
        <v>9</v>
      </c>
      <c r="AR191" s="0" t="n">
        <v>64</v>
      </c>
      <c r="AS191" s="0" t="n">
        <v>32</v>
      </c>
      <c r="AU191" s="0" t="n">
        <f aca="false">COUNTA($BA$33:$EH$33)</f>
        <v>4</v>
      </c>
      <c r="AV191" s="0" t="n">
        <f aca="false">COUNTIF($BA$33:$EH$33,"D")</f>
        <v>1</v>
      </c>
      <c r="AW191" s="0" t="n">
        <f aca="false">COUNTIF($BA$33:$EH$33,"R")</f>
        <v>0</v>
      </c>
      <c r="AX191" s="0" t="n">
        <f aca="false">IF(BN191="D",1,0)+IF(BO191="D",1,0)+IF(BT191="D",1,0)+IF(BU191="D",1,0)+IF(BW191="D",1,0)+IF(CC191="D",1,0)+IF(CD191="D",1,0)+IF(CE191="D",1,0)+IF(CF191="D",1,0)+IF(CL191="D",1,0)+IF(CM191="D",1,0)+IF(CQ191="D",1,0)+IF(CR191="D",1,0)+IF(CS191="D",1,0)+IF(CW191="D",1,0)+IF(CX191="D",1,0)+IF(DD191="D",1,0)+IF(DE191="D",1,0)+IF(DJ191="D",1,0)+IF(DK191="D",1,0)+IF(DO191="D",1,0)+IF(DP191="D",1,0)+IF(DQ191="D",1,0)+IF(DW191="D",1,0)+IF(DZ191="D",1,0)+IF(EH191="D",1,0)</f>
        <v>0</v>
      </c>
      <c r="AY191" s="0" t="n">
        <f aca="false">COUNTIF(DU191:EH191, "&lt;&gt;")</f>
        <v>0</v>
      </c>
      <c r="AZ191" s="0" t="n">
        <f aca="false">IF(EH191&lt;&gt;"",1,0)</f>
        <v>0</v>
      </c>
      <c r="BB191" s="0" t="s">
        <v>152</v>
      </c>
    </row>
    <row r="192" customFormat="false" ht="13.8" hidden="true" customHeight="false" outlineLevel="0" collapsed="false">
      <c r="A192" s="0" t="s">
        <v>1181</v>
      </c>
      <c r="B192" s="0" t="n">
        <v>78</v>
      </c>
      <c r="C192" s="0" t="n">
        <v>408774</v>
      </c>
      <c r="D192" s="0" t="s">
        <v>1182</v>
      </c>
      <c r="E192" s="0" t="s">
        <v>1183</v>
      </c>
      <c r="F192" s="0" t="str">
        <f aca="false">CONCATENATE(D192," ",LEFT(H192,4),"T=",AU192,"D=",AV192,"R=",AW192,"M=",AX192,"L=",AY192,"B=",AZ192)</f>
        <v>LEANO T=18D=3R=0M=0L=0B=0</v>
      </c>
      <c r="I192" s="0" t="s">
        <v>1184</v>
      </c>
      <c r="J192" s="0" t="s">
        <v>1185</v>
      </c>
      <c r="K192" s="0" t="s">
        <v>143</v>
      </c>
      <c r="M192" s="0" t="s">
        <v>1180</v>
      </c>
      <c r="N192" s="0" t="str">
        <f aca="false">RIGHT(M192,LEN(M192)-FIND(" ",M192))</f>
        <v>BONNIE BRAE AVE SE</v>
      </c>
      <c r="P192" s="0" t="s">
        <v>145</v>
      </c>
      <c r="Q192" s="0" t="s">
        <v>146</v>
      </c>
      <c r="R192" s="0" t="n">
        <v>44484</v>
      </c>
      <c r="AD192" s="0" t="s">
        <v>147</v>
      </c>
      <c r="AE192" s="0" t="s">
        <v>148</v>
      </c>
      <c r="AF192" s="0" t="s">
        <v>149</v>
      </c>
      <c r="AH192" s="0" t="n">
        <v>14</v>
      </c>
      <c r="AI192" s="0" t="n">
        <v>11</v>
      </c>
      <c r="AN192" s="0" t="s">
        <v>145</v>
      </c>
      <c r="AO192" s="0" t="s">
        <v>150</v>
      </c>
      <c r="AP192" s="0" t="s">
        <v>151</v>
      </c>
      <c r="AQ192" s="0" t="n">
        <v>9</v>
      </c>
      <c r="AR192" s="0" t="n">
        <v>64</v>
      </c>
      <c r="AS192" s="0" t="n">
        <v>32</v>
      </c>
      <c r="AU192" s="0" t="n">
        <f aca="false">COUNTA($BA$552:$EH$552)</f>
        <v>18</v>
      </c>
      <c r="AV192" s="0" t="n">
        <f aca="false">COUNTIF($BA$552:$EH$552,"D")</f>
        <v>3</v>
      </c>
      <c r="AW192" s="0" t="n">
        <f aca="false">COUNTIF($BA$552:$EH$552,"R")</f>
        <v>0</v>
      </c>
      <c r="AX192" s="0" t="n">
        <f aca="false">IF(BN192="D",1,0)+IF(BO192="D",1,0)+IF(BT192="D",1,0)+IF(BU192="D",1,0)+IF(BW192="D",1,0)+IF(CC192="D",1,0)+IF(CD192="D",1,0)+IF(CE192="D",1,0)+IF(CF192="D",1,0)+IF(CL192="D",1,0)+IF(CM192="D",1,0)+IF(CQ192="D",1,0)+IF(CR192="D",1,0)+IF(CS192="D",1,0)+IF(CW192="D",1,0)+IF(CX192="D",1,0)+IF(DD192="D",1,0)+IF(DE192="D",1,0)+IF(DJ192="D",1,0)+IF(DK192="D",1,0)+IF(DO192="D",1,0)+IF(DP192="D",1,0)+IF(DQ192="D",1,0)+IF(DW192="D",1,0)+IF(DZ192="D",1,0)+IF(EH192="D",1,0)</f>
        <v>0</v>
      </c>
      <c r="AY192" s="0" t="n">
        <f aca="false">COUNTIF(DU192:EH192, "&lt;&gt;")</f>
        <v>0</v>
      </c>
      <c r="AZ192" s="0" t="n">
        <f aca="false">IF(EH192&lt;&gt;"",1,0)</f>
        <v>0</v>
      </c>
      <c r="BB192" s="0" t="s">
        <v>152</v>
      </c>
    </row>
    <row r="193" customFormat="false" ht="13.8" hidden="false" customHeight="false" outlineLevel="0" collapsed="false">
      <c r="A193" s="0" t="s">
        <v>1186</v>
      </c>
      <c r="B193" s="0" t="n">
        <v>78</v>
      </c>
      <c r="C193" s="0" t="n">
        <v>432418</v>
      </c>
      <c r="D193" s="0" t="s">
        <v>468</v>
      </c>
      <c r="E193" s="0" t="s">
        <v>1187</v>
      </c>
      <c r="F193" s="0" t="str">
        <f aca="false">CONCATENATE(D193," ",LEFT(H193,4),"T=",AU193,"D=",AV193,"R=",AW193,"M=",AX193,"L=",AY193,"B=",AZ193)</f>
        <v>EVANS T=6D=0R=0M=0L=3B=0</v>
      </c>
      <c r="G193" s="0" t="s">
        <v>209</v>
      </c>
      <c r="I193" s="0" t="s">
        <v>1188</v>
      </c>
      <c r="J193" s="0" t="s">
        <v>1189</v>
      </c>
      <c r="K193" s="0" t="s">
        <v>160</v>
      </c>
      <c r="M193" s="0" t="s">
        <v>1190</v>
      </c>
      <c r="N193" s="0" t="str">
        <f aca="false">RIGHT(M193,LEN(M193)-FIND(" ",M193))</f>
        <v>BONNIE BRAE AVE SE</v>
      </c>
      <c r="P193" s="0" t="s">
        <v>145</v>
      </c>
      <c r="Q193" s="0" t="s">
        <v>146</v>
      </c>
      <c r="R193" s="0" t="n">
        <v>44484</v>
      </c>
      <c r="AD193" s="0" t="s">
        <v>147</v>
      </c>
      <c r="AE193" s="0" t="s">
        <v>148</v>
      </c>
      <c r="AF193" s="0" t="s">
        <v>149</v>
      </c>
      <c r="AH193" s="0" t="n">
        <v>14</v>
      </c>
      <c r="AI193" s="0" t="n">
        <v>11</v>
      </c>
      <c r="AN193" s="0" t="s">
        <v>145</v>
      </c>
      <c r="AO193" s="0" t="s">
        <v>150</v>
      </c>
      <c r="AP193" s="0" t="s">
        <v>151</v>
      </c>
      <c r="AQ193" s="0" t="n">
        <v>9</v>
      </c>
      <c r="AR193" s="0" t="n">
        <v>64</v>
      </c>
      <c r="AS193" s="0" t="n">
        <v>32</v>
      </c>
      <c r="AU193" s="0" t="n">
        <f aca="false">COUNTA($BA$168:$EH$168)</f>
        <v>6</v>
      </c>
      <c r="AV193" s="0" t="n">
        <f aca="false">COUNTIF($BA$168:$EH$168,"D")</f>
        <v>0</v>
      </c>
      <c r="AW193" s="0" t="n">
        <f aca="false">COUNTIF($BA$168:$EH$168,"R")</f>
        <v>0</v>
      </c>
      <c r="AX193" s="0" t="n">
        <f aca="false">IF(BN193="D",1,0)+IF(BO193="D",1,0)+IF(BT193="D",1,0)+IF(BU193="D",1,0)+IF(BW193="D",1,0)+IF(CC193="D",1,0)+IF(CD193="D",1,0)+IF(CE193="D",1,0)+IF(CF193="D",1,0)+IF(CL193="D",1,0)+IF(CM193="D",1,0)+IF(CQ193="D",1,0)+IF(CR193="D",1,0)+IF(CS193="D",1,0)+IF(CW193="D",1,0)+IF(CX193="D",1,0)+IF(DD193="D",1,0)+IF(DE193="D",1,0)+IF(DJ193="D",1,0)+IF(DK193="D",1,0)+IF(DO193="D",1,0)+IF(DP193="D",1,0)+IF(DQ193="D",1,0)+IF(DW193="D",1,0)+IF(DZ193="D",1,0)+IF(EH193="D",1,0)</f>
        <v>0</v>
      </c>
      <c r="AY193" s="0" t="n">
        <f aca="false">COUNTIF(DU193:EH193, "&lt;&gt;")</f>
        <v>3</v>
      </c>
      <c r="AZ193" s="0" t="n">
        <f aca="false">IF(EH193&lt;&gt;"",1,0)</f>
        <v>0</v>
      </c>
      <c r="BB193" s="0" t="s">
        <v>152</v>
      </c>
      <c r="BP193" s="0" t="s">
        <v>153</v>
      </c>
      <c r="CA193" s="0" t="s">
        <v>153</v>
      </c>
      <c r="CG193" s="0" t="s">
        <v>153</v>
      </c>
      <c r="CK193" s="0" t="s">
        <v>153</v>
      </c>
      <c r="CN193" s="0" t="s">
        <v>153</v>
      </c>
      <c r="CP193" s="0" t="s">
        <v>153</v>
      </c>
      <c r="CT193" s="0" t="s">
        <v>153</v>
      </c>
      <c r="CV193" s="0" t="s">
        <v>153</v>
      </c>
      <c r="DC193" s="0" t="s">
        <v>153</v>
      </c>
      <c r="DF193" s="0" t="s">
        <v>153</v>
      </c>
      <c r="DI193" s="0" t="s">
        <v>153</v>
      </c>
      <c r="DL193" s="0" t="s">
        <v>153</v>
      </c>
      <c r="DN193" s="0" t="s">
        <v>153</v>
      </c>
      <c r="DU193" s="0" t="s">
        <v>153</v>
      </c>
      <c r="EA193" s="0" t="s">
        <v>153</v>
      </c>
      <c r="EF193" s="0" t="s">
        <v>153</v>
      </c>
    </row>
    <row r="194" customFormat="false" ht="13.8" hidden="true" customHeight="false" outlineLevel="0" collapsed="false">
      <c r="A194" s="0" t="s">
        <v>1191</v>
      </c>
      <c r="B194" s="0" t="n">
        <v>78</v>
      </c>
      <c r="C194" s="0" t="n">
        <v>429092</v>
      </c>
      <c r="D194" s="0" t="s">
        <v>1192</v>
      </c>
      <c r="E194" s="0" t="s">
        <v>1193</v>
      </c>
      <c r="F194" s="0" t="str">
        <f aca="false">CONCATENATE(D194," ",LEFT(H194,4),"T=",AU194,"D=",AV194,"R=",AW194,"M=",AX194,"L=",AY194,"B=",AZ194)</f>
        <v>MILLER T=1D=0R=0M=0L=0B=0</v>
      </c>
      <c r="G194" s="0" t="s">
        <v>209</v>
      </c>
      <c r="I194" s="0" t="s">
        <v>1194</v>
      </c>
      <c r="J194" s="0" t="s">
        <v>1195</v>
      </c>
      <c r="K194" s="0" t="s">
        <v>160</v>
      </c>
      <c r="M194" s="0" t="s">
        <v>1190</v>
      </c>
      <c r="N194" s="0" t="str">
        <f aca="false">RIGHT(M194,LEN(M194)-FIND(" ",M194))</f>
        <v>BONNIE BRAE AVE SE</v>
      </c>
      <c r="P194" s="0" t="s">
        <v>145</v>
      </c>
      <c r="Q194" s="0" t="s">
        <v>146</v>
      </c>
      <c r="R194" s="0" t="n">
        <v>44484</v>
      </c>
      <c r="AD194" s="0" t="s">
        <v>147</v>
      </c>
      <c r="AE194" s="0" t="s">
        <v>148</v>
      </c>
      <c r="AF194" s="0" t="s">
        <v>149</v>
      </c>
      <c r="AH194" s="0" t="n">
        <v>14</v>
      </c>
      <c r="AI194" s="0" t="n">
        <v>11</v>
      </c>
      <c r="AN194" s="0" t="s">
        <v>145</v>
      </c>
      <c r="AO194" s="0" t="s">
        <v>150</v>
      </c>
      <c r="AP194" s="0" t="s">
        <v>151</v>
      </c>
      <c r="AQ194" s="0" t="n">
        <v>9</v>
      </c>
      <c r="AR194" s="0" t="n">
        <v>64</v>
      </c>
      <c r="AS194" s="0" t="n">
        <v>32</v>
      </c>
      <c r="AU194" s="0" t="n">
        <f aca="false">COUNTA($BA$943:$EH$943)</f>
        <v>1</v>
      </c>
      <c r="AV194" s="0" t="n">
        <f aca="false">COUNTIF($BA$943:$EH$943,"D")</f>
        <v>0</v>
      </c>
      <c r="AW194" s="0" t="n">
        <f aca="false">COUNTIF($BA$943:$EH$943,"R")</f>
        <v>0</v>
      </c>
      <c r="AX194" s="0" t="n">
        <f aca="false">IF(BN194="D",1,0)+IF(BO194="D",1,0)+IF(BT194="D",1,0)+IF(BU194="D",1,0)+IF(BW194="D",1,0)+IF(CC194="D",1,0)+IF(CD194="D",1,0)+IF(CE194="D",1,0)+IF(CF194="D",1,0)+IF(CL194="D",1,0)+IF(CM194="D",1,0)+IF(CQ194="D",1,0)+IF(CR194="D",1,0)+IF(CS194="D",1,0)+IF(CW194="D",1,0)+IF(CX194="D",1,0)+IF(DD194="D",1,0)+IF(DE194="D",1,0)+IF(DJ194="D",1,0)+IF(DK194="D",1,0)+IF(DO194="D",1,0)+IF(DP194="D",1,0)+IF(DQ194="D",1,0)+IF(DW194="D",1,0)+IF(DZ194="D",1,0)+IF(EH194="D",1,0)</f>
        <v>0</v>
      </c>
      <c r="AY194" s="0" t="n">
        <f aca="false">COUNTIF(DU194:EH194, "&lt;&gt;")</f>
        <v>0</v>
      </c>
      <c r="AZ194" s="0" t="n">
        <f aca="false">IF(EH194&lt;&gt;"",1,0)</f>
        <v>0</v>
      </c>
      <c r="BB194" s="0" t="s">
        <v>152</v>
      </c>
      <c r="DI194" s="0" t="s">
        <v>153</v>
      </c>
      <c r="DN194" s="0" t="s">
        <v>153</v>
      </c>
    </row>
    <row r="195" customFormat="false" ht="13.8" hidden="true" customHeight="false" outlineLevel="0" collapsed="false">
      <c r="A195" s="0" t="s">
        <v>1196</v>
      </c>
      <c r="B195" s="0" t="n">
        <v>78</v>
      </c>
      <c r="C195" s="0" t="n">
        <v>451870</v>
      </c>
      <c r="D195" s="0" t="s">
        <v>1197</v>
      </c>
      <c r="E195" s="0" t="s">
        <v>1198</v>
      </c>
      <c r="F195" s="0" t="str">
        <f aca="false">CONCATENATE(D195," ",LEFT(H195,4),"T=",AU195,"D=",AV195,"R=",AW195,"M=",AX195,"L=",AY195,"B=",AZ195)</f>
        <v>RUST T=1D=0R=0M=0L=0B=0</v>
      </c>
      <c r="G195" s="0" t="s">
        <v>500</v>
      </c>
      <c r="I195" s="0" t="s">
        <v>1199</v>
      </c>
      <c r="J195" s="0" t="s">
        <v>1200</v>
      </c>
      <c r="K195" s="0" t="s">
        <v>143</v>
      </c>
      <c r="M195" s="0" t="s">
        <v>1201</v>
      </c>
      <c r="N195" s="0" t="str">
        <f aca="false">RIGHT(M195,LEN(M195)-FIND(" ",M195))</f>
        <v>BONNIE BRAE AVE SE</v>
      </c>
      <c r="P195" s="0" t="s">
        <v>145</v>
      </c>
      <c r="Q195" s="0" t="s">
        <v>146</v>
      </c>
      <c r="R195" s="0" t="n">
        <v>44484</v>
      </c>
      <c r="AD195" s="0" t="s">
        <v>147</v>
      </c>
      <c r="AE195" s="0" t="s">
        <v>148</v>
      </c>
      <c r="AF195" s="0" t="s">
        <v>149</v>
      </c>
      <c r="AH195" s="0" t="n">
        <v>14</v>
      </c>
      <c r="AI195" s="0" t="n">
        <v>11</v>
      </c>
      <c r="AN195" s="0" t="s">
        <v>145</v>
      </c>
      <c r="AO195" s="0" t="s">
        <v>150</v>
      </c>
      <c r="AP195" s="0" t="s">
        <v>151</v>
      </c>
      <c r="AQ195" s="0" t="n">
        <v>9</v>
      </c>
      <c r="AR195" s="0" t="n">
        <v>64</v>
      </c>
      <c r="AS195" s="0" t="n">
        <v>32</v>
      </c>
      <c r="AU195" s="0" t="n">
        <f aca="false">COUNTA($BA$632:$EH$632)</f>
        <v>1</v>
      </c>
      <c r="AV195" s="0" t="n">
        <f aca="false">COUNTIF($BA$632:$EH$632,"D")</f>
        <v>0</v>
      </c>
      <c r="AW195" s="0" t="n">
        <f aca="false">COUNTIF($BA$632:$EH$632,"R")</f>
        <v>0</v>
      </c>
      <c r="AX195" s="0" t="n">
        <f aca="false">IF(BN195="D",1,0)+IF(BO195="D",1,0)+IF(BT195="D",1,0)+IF(BU195="D",1,0)+IF(BW195="D",1,0)+IF(CC195="D",1,0)+IF(CD195="D",1,0)+IF(CE195="D",1,0)+IF(CF195="D",1,0)+IF(CL195="D",1,0)+IF(CM195="D",1,0)+IF(CQ195="D",1,0)+IF(CR195="D",1,0)+IF(CS195="D",1,0)+IF(CW195="D",1,0)+IF(CX195="D",1,0)+IF(DD195="D",1,0)+IF(DE195="D",1,0)+IF(DJ195="D",1,0)+IF(DK195="D",1,0)+IF(DO195="D",1,0)+IF(DP195="D",1,0)+IF(DQ195="D",1,0)+IF(DW195="D",1,0)+IF(DZ195="D",1,0)+IF(EH195="D",1,0)</f>
        <v>0</v>
      </c>
      <c r="AY195" s="0" t="n">
        <f aca="false">COUNTIF(DU195:EH195, "&lt;&gt;")</f>
        <v>0</v>
      </c>
      <c r="AZ195" s="0" t="n">
        <f aca="false">IF(EH195&lt;&gt;"",1,0)</f>
        <v>0</v>
      </c>
      <c r="BB195" s="0" t="s">
        <v>152</v>
      </c>
    </row>
    <row r="196" customFormat="false" ht="13.8" hidden="false" customHeight="false" outlineLevel="0" collapsed="false">
      <c r="A196" s="0" t="s">
        <v>1202</v>
      </c>
      <c r="B196" s="0" t="n">
        <v>78</v>
      </c>
      <c r="C196" s="0" t="n">
        <v>301810</v>
      </c>
      <c r="D196" s="0" t="s">
        <v>1203</v>
      </c>
      <c r="E196" s="0" t="s">
        <v>379</v>
      </c>
      <c r="F196" s="0" t="str">
        <f aca="false">CONCATENATE(D196," ",LEFT(H196,4),"T=",AU196,"D=",AV196,"R=",AW196,"M=",AX196,"L=",AY196,"B=",AZ196)</f>
        <v>GREER JRT=8D=1R=0M=0L=2B=0</v>
      </c>
      <c r="G196" s="0" t="s">
        <v>362</v>
      </c>
      <c r="H196" s="0" t="s">
        <v>314</v>
      </c>
      <c r="I196" s="0" t="s">
        <v>1204</v>
      </c>
      <c r="J196" s="0" t="s">
        <v>856</v>
      </c>
      <c r="K196" s="0" t="s">
        <v>160</v>
      </c>
      <c r="M196" s="0" t="s">
        <v>1205</v>
      </c>
      <c r="N196" s="0" t="str">
        <f aca="false">RIGHT(M196,LEN(M196)-FIND(" ",M196))</f>
        <v>BONNIE BRAE AVE SE</v>
      </c>
      <c r="P196" s="0" t="s">
        <v>145</v>
      </c>
      <c r="Q196" s="0" t="s">
        <v>146</v>
      </c>
      <c r="R196" s="0" t="n">
        <v>44484</v>
      </c>
      <c r="AD196" s="0" t="s">
        <v>147</v>
      </c>
      <c r="AE196" s="0" t="s">
        <v>148</v>
      </c>
      <c r="AF196" s="0" t="s">
        <v>149</v>
      </c>
      <c r="AH196" s="0" t="n">
        <v>14</v>
      </c>
      <c r="AI196" s="0" t="n">
        <v>11</v>
      </c>
      <c r="AN196" s="0" t="s">
        <v>145</v>
      </c>
      <c r="AO196" s="0" t="s">
        <v>150</v>
      </c>
      <c r="AP196" s="0" t="s">
        <v>151</v>
      </c>
      <c r="AQ196" s="0" t="n">
        <v>9</v>
      </c>
      <c r="AR196" s="0" t="n">
        <v>64</v>
      </c>
      <c r="AS196" s="0" t="n">
        <v>32</v>
      </c>
      <c r="AU196" s="0" t="n">
        <f aca="false">COUNTA($BA$912:$EH$912)</f>
        <v>8</v>
      </c>
      <c r="AV196" s="0" t="n">
        <f aca="false">COUNTIF($BA$912:$EH$912,"D")</f>
        <v>1</v>
      </c>
      <c r="AW196" s="0" t="n">
        <f aca="false">COUNTIF($BA$912:$EH$912,"R")</f>
        <v>0</v>
      </c>
      <c r="AX196" s="0" t="n">
        <f aca="false">IF(BN196="D",1,0)+IF(BO196="D",1,0)+IF(BT196="D",1,0)+IF(BU196="D",1,0)+IF(BW196="D",1,0)+IF(CC196="D",1,0)+IF(CD196="D",1,0)+IF(CE196="D",1,0)+IF(CF196="D",1,0)+IF(CL196="D",1,0)+IF(CM196="D",1,0)+IF(CQ196="D",1,0)+IF(CR196="D",1,0)+IF(CS196="D",1,0)+IF(CW196="D",1,0)+IF(CX196="D",1,0)+IF(DD196="D",1,0)+IF(DE196="D",1,0)+IF(DJ196="D",1,0)+IF(DK196="D",1,0)+IF(DO196="D",1,0)+IF(DP196="D",1,0)+IF(DQ196="D",1,0)+IF(DW196="D",1,0)+IF(DZ196="D",1,0)+IF(EH196="D",1,0)</f>
        <v>0</v>
      </c>
      <c r="AY196" s="0" t="n">
        <f aca="false">COUNTIF(DU196:EH196, "&lt;&gt;")</f>
        <v>2</v>
      </c>
      <c r="AZ196" s="0" t="n">
        <f aca="false">IF(EH196&lt;&gt;"",1,0)</f>
        <v>0</v>
      </c>
      <c r="BB196" s="0" t="s">
        <v>152</v>
      </c>
      <c r="BL196" s="0" t="s">
        <v>153</v>
      </c>
      <c r="BS196" s="0" t="s">
        <v>153</v>
      </c>
      <c r="BY196" s="0" t="s">
        <v>175</v>
      </c>
      <c r="CA196" s="0" t="s">
        <v>153</v>
      </c>
      <c r="CP196" s="0" t="s">
        <v>153</v>
      </c>
      <c r="DC196" s="0" t="s">
        <v>153</v>
      </c>
      <c r="DI196" s="0" t="s">
        <v>153</v>
      </c>
      <c r="DN196" s="0" t="s">
        <v>153</v>
      </c>
      <c r="DU196" s="0" t="s">
        <v>153</v>
      </c>
      <c r="EF196" s="0" t="s">
        <v>153</v>
      </c>
    </row>
    <row r="197" customFormat="false" ht="13.8" hidden="false" customHeight="false" outlineLevel="0" collapsed="false">
      <c r="A197" s="0" t="s">
        <v>1206</v>
      </c>
      <c r="B197" s="0" t="n">
        <v>78</v>
      </c>
      <c r="C197" s="0" t="n">
        <v>335141</v>
      </c>
      <c r="D197" s="0" t="s">
        <v>1207</v>
      </c>
      <c r="E197" s="0" t="s">
        <v>1208</v>
      </c>
      <c r="F197" s="0" t="str">
        <f aca="false">CONCATENATE(D197," ",LEFT(H197,4),"T=",AU197,"D=",AV197,"R=",AW197,"M=",AX197,"L=",AY197,"B=",AZ197)</f>
        <v>MORRISON T=1D=0R=0M=0L=2B=0</v>
      </c>
      <c r="G197" s="0" t="s">
        <v>195</v>
      </c>
      <c r="I197" s="0" t="s">
        <v>1209</v>
      </c>
      <c r="J197" s="0" t="s">
        <v>1210</v>
      </c>
      <c r="K197" s="0" t="s">
        <v>160</v>
      </c>
      <c r="M197" s="0" t="s">
        <v>1205</v>
      </c>
      <c r="N197" s="0" t="str">
        <f aca="false">RIGHT(M197,LEN(M197)-FIND(" ",M197))</f>
        <v>BONNIE BRAE AVE SE</v>
      </c>
      <c r="P197" s="0" t="s">
        <v>145</v>
      </c>
      <c r="Q197" s="0" t="s">
        <v>146</v>
      </c>
      <c r="R197" s="0" t="n">
        <v>44484</v>
      </c>
      <c r="AD197" s="0" t="s">
        <v>147</v>
      </c>
      <c r="AE197" s="0" t="s">
        <v>148</v>
      </c>
      <c r="AF197" s="0" t="s">
        <v>149</v>
      </c>
      <c r="AH197" s="0" t="n">
        <v>14</v>
      </c>
      <c r="AI197" s="0" t="n">
        <v>11</v>
      </c>
      <c r="AN197" s="0" t="s">
        <v>145</v>
      </c>
      <c r="AO197" s="0" t="s">
        <v>150</v>
      </c>
      <c r="AP197" s="0" t="s">
        <v>151</v>
      </c>
      <c r="AQ197" s="0" t="n">
        <v>9</v>
      </c>
      <c r="AR197" s="0" t="n">
        <v>64</v>
      </c>
      <c r="AS197" s="0" t="n">
        <v>32</v>
      </c>
      <c r="AU197" s="0" t="n">
        <f aca="false">COUNTA($BA$925:$EH$925)</f>
        <v>1</v>
      </c>
      <c r="AV197" s="0" t="n">
        <f aca="false">COUNTIF($BA$925:$EH$925,"D")</f>
        <v>0</v>
      </c>
      <c r="AW197" s="0" t="n">
        <f aca="false">COUNTIF($BA$925:$EH$925,"R")</f>
        <v>0</v>
      </c>
      <c r="AX197" s="0" t="n">
        <f aca="false">IF(BN197="D",1,0)+IF(BO197="D",1,0)+IF(BT197="D",1,0)+IF(BU197="D",1,0)+IF(BW197="D",1,0)+IF(CC197="D",1,0)+IF(CD197="D",1,0)+IF(CE197="D",1,0)+IF(CF197="D",1,0)+IF(CL197="D",1,0)+IF(CM197="D",1,0)+IF(CQ197="D",1,0)+IF(CR197="D",1,0)+IF(CS197="D",1,0)+IF(CW197="D",1,0)+IF(CX197="D",1,0)+IF(DD197="D",1,0)+IF(DE197="D",1,0)+IF(DJ197="D",1,0)+IF(DK197="D",1,0)+IF(DO197="D",1,0)+IF(DP197="D",1,0)+IF(DQ197="D",1,0)+IF(DW197="D",1,0)+IF(DZ197="D",1,0)+IF(EH197="D",1,0)</f>
        <v>0</v>
      </c>
      <c r="AY197" s="0" t="n">
        <f aca="false">COUNTIF(DU197:EH197, "&lt;&gt;")</f>
        <v>2</v>
      </c>
      <c r="AZ197" s="0" t="n">
        <f aca="false">IF(EH197&lt;&gt;"",1,0)</f>
        <v>0</v>
      </c>
      <c r="BB197" s="0" t="s">
        <v>152</v>
      </c>
      <c r="BL197" s="0" t="s">
        <v>153</v>
      </c>
      <c r="BS197" s="0" t="s">
        <v>153</v>
      </c>
      <c r="BY197" s="0" t="s">
        <v>175</v>
      </c>
      <c r="CA197" s="0" t="s">
        <v>153</v>
      </c>
      <c r="CP197" s="0" t="s">
        <v>153</v>
      </c>
      <c r="DC197" s="0" t="s">
        <v>153</v>
      </c>
      <c r="DI197" s="0" t="s">
        <v>153</v>
      </c>
      <c r="DN197" s="0" t="s">
        <v>153</v>
      </c>
      <c r="DU197" s="0" t="s">
        <v>153</v>
      </c>
      <c r="EF197" s="0" t="s">
        <v>153</v>
      </c>
    </row>
    <row r="198" customFormat="false" ht="13.8" hidden="true" customHeight="false" outlineLevel="0" collapsed="false">
      <c r="A198" s="0" t="s">
        <v>1211</v>
      </c>
      <c r="B198" s="0" t="n">
        <v>78</v>
      </c>
      <c r="C198" s="0" t="n">
        <v>466805</v>
      </c>
      <c r="D198" s="0" t="s">
        <v>1212</v>
      </c>
      <c r="E198" s="0" t="s">
        <v>789</v>
      </c>
      <c r="F198" s="0" t="str">
        <f aca="false">CONCATENATE(D198," ",LEFT(H198,4),"T=",AU198,"D=",AV198,"R=",AW198,"M=",AX198,"L=",AY198,"B=",AZ198)</f>
        <v>HENDRIX T=2D=0R=0M=0L=0B=0</v>
      </c>
      <c r="G198" s="0" t="s">
        <v>839</v>
      </c>
      <c r="I198" s="0" t="s">
        <v>1213</v>
      </c>
      <c r="J198" s="0" t="s">
        <v>1214</v>
      </c>
      <c r="K198" s="0" t="s">
        <v>160</v>
      </c>
      <c r="M198" s="0" t="s">
        <v>1215</v>
      </c>
      <c r="N198" s="0" t="str">
        <f aca="false">RIGHT(M198,LEN(M198)-FIND(" ",M198))</f>
        <v>BONNIE BRAE AVE SE</v>
      </c>
      <c r="P198" s="0" t="s">
        <v>145</v>
      </c>
      <c r="Q198" s="0" t="s">
        <v>146</v>
      </c>
      <c r="R198" s="0" t="n">
        <v>44484</v>
      </c>
      <c r="AD198" s="0" t="s">
        <v>147</v>
      </c>
      <c r="AE198" s="0" t="s">
        <v>148</v>
      </c>
      <c r="AF198" s="0" t="s">
        <v>149</v>
      </c>
      <c r="AH198" s="0" t="n">
        <v>14</v>
      </c>
      <c r="AI198" s="0" t="n">
        <v>11</v>
      </c>
      <c r="AN198" s="0" t="s">
        <v>145</v>
      </c>
      <c r="AO198" s="0" t="s">
        <v>150</v>
      </c>
      <c r="AP198" s="0" t="s">
        <v>151</v>
      </c>
      <c r="AQ198" s="0" t="n">
        <v>9</v>
      </c>
      <c r="AR198" s="0" t="n">
        <v>64</v>
      </c>
      <c r="AS198" s="0" t="n">
        <v>32</v>
      </c>
      <c r="AU198" s="0" t="n">
        <f aca="false">COUNTA($BA$533:$EH$533)</f>
        <v>2</v>
      </c>
      <c r="AV198" s="0" t="n">
        <f aca="false">COUNTIF($BA$533:$EH$533,"D")</f>
        <v>0</v>
      </c>
      <c r="AW198" s="0" t="n">
        <f aca="false">COUNTIF($BA$533:$EH$533,"R")</f>
        <v>0</v>
      </c>
      <c r="AX198" s="0" t="n">
        <f aca="false">IF(BN198="D",1,0)+IF(BO198="D",1,0)+IF(BT198="D",1,0)+IF(BU198="D",1,0)+IF(BW198="D",1,0)+IF(CC198="D",1,0)+IF(CD198="D",1,0)+IF(CE198="D",1,0)+IF(CF198="D",1,0)+IF(CL198="D",1,0)+IF(CM198="D",1,0)+IF(CQ198="D",1,0)+IF(CR198="D",1,0)+IF(CS198="D",1,0)+IF(CW198="D",1,0)+IF(CX198="D",1,0)+IF(DD198="D",1,0)+IF(DE198="D",1,0)+IF(DJ198="D",1,0)+IF(DK198="D",1,0)+IF(DO198="D",1,0)+IF(DP198="D",1,0)+IF(DQ198="D",1,0)+IF(DW198="D",1,0)+IF(DZ198="D",1,0)+IF(EH198="D",1,0)</f>
        <v>0</v>
      </c>
      <c r="AY198" s="0" t="n">
        <f aca="false">COUNTIF(DU198:EH198, "&lt;&gt;")</f>
        <v>0</v>
      </c>
      <c r="AZ198" s="0" t="n">
        <f aca="false">IF(EH198&lt;&gt;"",1,0)</f>
        <v>0</v>
      </c>
      <c r="BB198" s="0" t="s">
        <v>152</v>
      </c>
      <c r="CP198" s="0" t="s">
        <v>153</v>
      </c>
    </row>
    <row r="199" customFormat="false" ht="13.8" hidden="true" customHeight="false" outlineLevel="0" collapsed="false">
      <c r="A199" s="0" t="s">
        <v>1216</v>
      </c>
      <c r="B199" s="0" t="n">
        <v>78</v>
      </c>
      <c r="C199" s="0" t="n">
        <v>408076</v>
      </c>
      <c r="D199" s="0" t="s">
        <v>1217</v>
      </c>
      <c r="E199" s="0" t="s">
        <v>1218</v>
      </c>
      <c r="F199" s="0" t="str">
        <f aca="false">CONCATENATE(D199," ",LEFT(H199,4),"T=",AU199,"D=",AV199,"R=",AW199,"M=",AX199,"L=",AY199,"B=",AZ199)</f>
        <v>PEARSON T=14D=0R=3M=0L=0B=0</v>
      </c>
      <c r="G199" s="0" t="s">
        <v>195</v>
      </c>
      <c r="I199" s="0" t="s">
        <v>1219</v>
      </c>
      <c r="J199" s="0" t="s">
        <v>1220</v>
      </c>
      <c r="K199" s="0" t="s">
        <v>160</v>
      </c>
      <c r="M199" s="0" t="s">
        <v>1221</v>
      </c>
      <c r="N199" s="0" t="str">
        <f aca="false">RIGHT(M199,LEN(M199)-FIND(" ",M199))</f>
        <v>BONNIE BRAE AVE SE</v>
      </c>
      <c r="P199" s="0" t="s">
        <v>145</v>
      </c>
      <c r="Q199" s="0" t="s">
        <v>146</v>
      </c>
      <c r="R199" s="0" t="n">
        <v>44484</v>
      </c>
      <c r="AD199" s="0" t="s">
        <v>147</v>
      </c>
      <c r="AE199" s="0" t="s">
        <v>148</v>
      </c>
      <c r="AF199" s="0" t="s">
        <v>149</v>
      </c>
      <c r="AH199" s="0" t="n">
        <v>14</v>
      </c>
      <c r="AI199" s="0" t="n">
        <v>11</v>
      </c>
      <c r="AN199" s="0" t="s">
        <v>145</v>
      </c>
      <c r="AO199" s="0" t="s">
        <v>150</v>
      </c>
      <c r="AP199" s="0" t="s">
        <v>151</v>
      </c>
      <c r="AQ199" s="0" t="n">
        <v>9</v>
      </c>
      <c r="AR199" s="0" t="n">
        <v>64</v>
      </c>
      <c r="AS199" s="0" t="n">
        <v>32</v>
      </c>
      <c r="AU199" s="0" t="n">
        <f aca="false">COUNTA($BA$46:$EH$46)</f>
        <v>14</v>
      </c>
      <c r="AV199" s="0" t="n">
        <f aca="false">COUNTIF($BA$46:$EH$46,"D")</f>
        <v>0</v>
      </c>
      <c r="AW199" s="0" t="n">
        <f aca="false">COUNTIF($BA$46:$EH$46,"R")</f>
        <v>3</v>
      </c>
      <c r="AX199" s="0" t="n">
        <f aca="false">IF(BN199="D",1,0)+IF(BO199="D",1,0)+IF(BT199="D",1,0)+IF(BU199="D",1,0)+IF(BW199="D",1,0)+IF(CC199="D",1,0)+IF(CD199="D",1,0)+IF(CE199="D",1,0)+IF(CF199="D",1,0)+IF(CL199="D",1,0)+IF(CM199="D",1,0)+IF(CQ199="D",1,0)+IF(CR199="D",1,0)+IF(CS199="D",1,0)+IF(CW199="D",1,0)+IF(CX199="D",1,0)+IF(DD199="D",1,0)+IF(DE199="D",1,0)+IF(DJ199="D",1,0)+IF(DK199="D",1,0)+IF(DO199="D",1,0)+IF(DP199="D",1,0)+IF(DQ199="D",1,0)+IF(DW199="D",1,0)+IF(DZ199="D",1,0)+IF(EH199="D",1,0)</f>
        <v>0</v>
      </c>
      <c r="AY199" s="0" t="n">
        <f aca="false">COUNTIF(DU199:EH199, "&lt;&gt;")</f>
        <v>0</v>
      </c>
      <c r="AZ199" s="0" t="n">
        <f aca="false">IF(EH199&lt;&gt;"",1,0)</f>
        <v>0</v>
      </c>
      <c r="BB199" s="0" t="s">
        <v>152</v>
      </c>
      <c r="DC199" s="0" t="s">
        <v>153</v>
      </c>
      <c r="DI199" s="0" t="s">
        <v>153</v>
      </c>
      <c r="DN199" s="0" t="s">
        <v>153</v>
      </c>
    </row>
    <row r="200" customFormat="false" ht="13.8" hidden="true" customHeight="false" outlineLevel="0" collapsed="false">
      <c r="A200" s="0" t="s">
        <v>1222</v>
      </c>
      <c r="B200" s="0" t="n">
        <v>78</v>
      </c>
      <c r="C200" s="0" t="n">
        <v>256345</v>
      </c>
      <c r="D200" s="0" t="s">
        <v>1223</v>
      </c>
      <c r="E200" s="0" t="s">
        <v>1224</v>
      </c>
      <c r="F200" s="0" t="str">
        <f aca="false">CONCATENATE(D200," ",LEFT(H200,4),"T=",AU200,"D=",AV200,"R=",AW200,"M=",AX200,"L=",AY200,"B=",AZ200)</f>
        <v>TURNER T=2D=0R=0M=0L=0B=0</v>
      </c>
      <c r="I200" s="0" t="s">
        <v>1225</v>
      </c>
      <c r="J200" s="0" t="s">
        <v>1226</v>
      </c>
      <c r="K200" s="0" t="s">
        <v>160</v>
      </c>
      <c r="M200" s="0" t="s">
        <v>1221</v>
      </c>
      <c r="N200" s="0" t="str">
        <f aca="false">RIGHT(M200,LEN(M200)-FIND(" ",M200))</f>
        <v>BONNIE BRAE AVE SE</v>
      </c>
      <c r="P200" s="0" t="s">
        <v>145</v>
      </c>
      <c r="Q200" s="0" t="s">
        <v>146</v>
      </c>
      <c r="R200" s="0" t="n">
        <v>44484</v>
      </c>
      <c r="AD200" s="0" t="s">
        <v>147</v>
      </c>
      <c r="AE200" s="0" t="s">
        <v>148</v>
      </c>
      <c r="AF200" s="0" t="s">
        <v>149</v>
      </c>
      <c r="AH200" s="0" t="n">
        <v>14</v>
      </c>
      <c r="AI200" s="0" t="n">
        <v>11</v>
      </c>
      <c r="AN200" s="0" t="s">
        <v>145</v>
      </c>
      <c r="AO200" s="0" t="s">
        <v>150</v>
      </c>
      <c r="AP200" s="0" t="s">
        <v>151</v>
      </c>
      <c r="AQ200" s="0" t="n">
        <v>9</v>
      </c>
      <c r="AR200" s="0" t="n">
        <v>64</v>
      </c>
      <c r="AS200" s="0" t="n">
        <v>32</v>
      </c>
      <c r="AU200" s="0" t="n">
        <f aca="false">COUNTA($BA$469:$EH$469)</f>
        <v>2</v>
      </c>
      <c r="AV200" s="0" t="n">
        <f aca="false">COUNTIF($BA$469:$EH$469,"D")</f>
        <v>0</v>
      </c>
      <c r="AW200" s="0" t="n">
        <f aca="false">COUNTIF($BA$469:$EH$469,"R")</f>
        <v>0</v>
      </c>
      <c r="AX200" s="0" t="n">
        <f aca="false">IF(BN200="D",1,0)+IF(BO200="D",1,0)+IF(BT200="D",1,0)+IF(BU200="D",1,0)+IF(BW200="D",1,0)+IF(CC200="D",1,0)+IF(CD200="D",1,0)+IF(CE200="D",1,0)+IF(CF200="D",1,0)+IF(CL200="D",1,0)+IF(CM200="D",1,0)+IF(CQ200="D",1,0)+IF(CR200="D",1,0)+IF(CS200="D",1,0)+IF(CW200="D",1,0)+IF(CX200="D",1,0)+IF(DD200="D",1,0)+IF(DE200="D",1,0)+IF(DJ200="D",1,0)+IF(DK200="D",1,0)+IF(DO200="D",1,0)+IF(DP200="D",1,0)+IF(DQ200="D",1,0)+IF(DW200="D",1,0)+IF(DZ200="D",1,0)+IF(EH200="D",1,0)</f>
        <v>0</v>
      </c>
      <c r="AY200" s="0" t="n">
        <f aca="false">COUNTIF(DU200:EH200, "&lt;&gt;")</f>
        <v>0</v>
      </c>
      <c r="AZ200" s="0" t="n">
        <f aca="false">IF(EH200&lt;&gt;"",1,0)</f>
        <v>0</v>
      </c>
      <c r="BB200" s="0" t="s">
        <v>152</v>
      </c>
      <c r="BD200" s="0" t="s">
        <v>153</v>
      </c>
      <c r="BH200" s="0" t="s">
        <v>153</v>
      </c>
      <c r="BL200" s="0" t="s">
        <v>153</v>
      </c>
      <c r="BY200" s="0" t="s">
        <v>175</v>
      </c>
      <c r="CA200" s="0" t="s">
        <v>153</v>
      </c>
      <c r="CP200" s="0" t="s">
        <v>153</v>
      </c>
      <c r="DC200" s="0" t="s">
        <v>153</v>
      </c>
      <c r="DI200" s="0" t="s">
        <v>153</v>
      </c>
      <c r="DN200" s="0" t="s">
        <v>153</v>
      </c>
    </row>
    <row r="201" customFormat="false" ht="13.8" hidden="true" customHeight="false" outlineLevel="0" collapsed="false">
      <c r="A201" s="0" t="s">
        <v>1227</v>
      </c>
      <c r="B201" s="0" t="n">
        <v>78</v>
      </c>
      <c r="C201" s="0" t="n">
        <v>384784</v>
      </c>
      <c r="D201" s="0" t="s">
        <v>1228</v>
      </c>
      <c r="E201" s="0" t="s">
        <v>1229</v>
      </c>
      <c r="F201" s="0" t="str">
        <f aca="false">CONCATENATE(D201," ",LEFT(H201,4),"T=",AU201,"D=",AV201,"R=",AW201,"M=",AX201,"L=",AY201,"B=",AZ201)</f>
        <v>WESTBAY T=35D=8R=0M=0L=1B=0</v>
      </c>
      <c r="G201" s="0" t="s">
        <v>824</v>
      </c>
      <c r="I201" s="0" t="s">
        <v>1230</v>
      </c>
      <c r="J201" s="0" t="s">
        <v>1231</v>
      </c>
      <c r="K201" s="0" t="s">
        <v>160</v>
      </c>
      <c r="M201" s="0" t="s">
        <v>1232</v>
      </c>
      <c r="N201" s="0" t="str">
        <f aca="false">RIGHT(M201,LEN(M201)-FIND(" ",M201))</f>
        <v>BONNIE BRAE AVE SE</v>
      </c>
      <c r="P201" s="0" t="s">
        <v>145</v>
      </c>
      <c r="Q201" s="0" t="s">
        <v>146</v>
      </c>
      <c r="R201" s="0" t="n">
        <v>44484</v>
      </c>
      <c r="AD201" s="0" t="s">
        <v>147</v>
      </c>
      <c r="AE201" s="0" t="s">
        <v>148</v>
      </c>
      <c r="AF201" s="0" t="s">
        <v>149</v>
      </c>
      <c r="AH201" s="0" t="n">
        <v>14</v>
      </c>
      <c r="AI201" s="0" t="n">
        <v>11</v>
      </c>
      <c r="AN201" s="0" t="s">
        <v>145</v>
      </c>
      <c r="AO201" s="0" t="s">
        <v>150</v>
      </c>
      <c r="AP201" s="0" t="s">
        <v>151</v>
      </c>
      <c r="AQ201" s="0" t="n">
        <v>9</v>
      </c>
      <c r="AR201" s="0" t="n">
        <v>64</v>
      </c>
      <c r="AS201" s="0" t="n">
        <v>32</v>
      </c>
      <c r="AU201" s="0" t="n">
        <f aca="false">COUNTA($BA$995:$EH$995)</f>
        <v>35</v>
      </c>
      <c r="AV201" s="0" t="n">
        <f aca="false">COUNTIF($BA$995:$EH$995,"D")</f>
        <v>8</v>
      </c>
      <c r="AW201" s="0" t="n">
        <f aca="false">COUNTIF($BA$995:$EH$995,"R")</f>
        <v>0</v>
      </c>
      <c r="AX201" s="0" t="n">
        <f aca="false">IF(BN201="D",1,0)+IF(BO201="D",1,0)+IF(BT201="D",1,0)+IF(BU201="D",1,0)+IF(BW201="D",1,0)+IF(CC201="D",1,0)+IF(CD201="D",1,0)+IF(CE201="D",1,0)+IF(CF201="D",1,0)+IF(CL201="D",1,0)+IF(CM201="D",1,0)+IF(CQ201="D",1,0)+IF(CR201="D",1,0)+IF(CS201="D",1,0)+IF(CW201="D",1,0)+IF(CX201="D",1,0)+IF(DD201="D",1,0)+IF(DE201="D",1,0)+IF(DJ201="D",1,0)+IF(DK201="D",1,0)+IF(DO201="D",1,0)+IF(DP201="D",1,0)+IF(DQ201="D",1,0)+IF(DW201="D",1,0)+IF(DZ201="D",1,0)+IF(EH201="D",1,0)</f>
        <v>0</v>
      </c>
      <c r="AY201" s="0" t="n">
        <f aca="false">COUNTIF(DU201:EH201, "&lt;&gt;")</f>
        <v>1</v>
      </c>
      <c r="AZ201" s="0" t="n">
        <f aca="false">IF(EH201&lt;&gt;"",1,0)</f>
        <v>0</v>
      </c>
      <c r="BB201" s="0" t="s">
        <v>152</v>
      </c>
      <c r="CP201" s="0" t="s">
        <v>153</v>
      </c>
      <c r="DC201" s="0" t="s">
        <v>153</v>
      </c>
      <c r="DI201" s="0" t="s">
        <v>153</v>
      </c>
      <c r="DN201" s="0" t="s">
        <v>153</v>
      </c>
      <c r="EF201" s="0" t="s">
        <v>153</v>
      </c>
    </row>
    <row r="202" customFormat="false" ht="13.8" hidden="true" customHeight="false" outlineLevel="0" collapsed="false">
      <c r="A202" s="0" t="s">
        <v>1233</v>
      </c>
      <c r="B202" s="0" t="n">
        <v>78</v>
      </c>
      <c r="C202" s="0" t="n">
        <v>476042</v>
      </c>
      <c r="D202" s="0" t="s">
        <v>1234</v>
      </c>
      <c r="E202" s="0" t="s">
        <v>1235</v>
      </c>
      <c r="F202" s="0" t="str">
        <f aca="false">CONCATENATE(D202," ",LEFT(H202,4),"T=",AU202,"D=",AV202,"R=",AW202,"M=",AX202,"L=",AY202,"B=",AZ202)</f>
        <v>RHODUS T=1D=0R=0M=0L=0B=0</v>
      </c>
      <c r="G202" s="0" t="s">
        <v>1236</v>
      </c>
      <c r="I202" s="0" t="s">
        <v>1237</v>
      </c>
      <c r="J202" s="0" t="s">
        <v>1238</v>
      </c>
      <c r="K202" s="0" t="s">
        <v>160</v>
      </c>
      <c r="M202" s="0" t="s">
        <v>1239</v>
      </c>
      <c r="N202" s="0" t="str">
        <f aca="false">RIGHT(M202,LEN(M202)-FIND(" ",M202))</f>
        <v>BONNIE BRAE AVE SE</v>
      </c>
      <c r="P202" s="0" t="s">
        <v>145</v>
      </c>
      <c r="Q202" s="0" t="s">
        <v>146</v>
      </c>
      <c r="R202" s="0" t="n">
        <v>44484</v>
      </c>
      <c r="AD202" s="0" t="s">
        <v>147</v>
      </c>
      <c r="AE202" s="0" t="s">
        <v>148</v>
      </c>
      <c r="AF202" s="0" t="s">
        <v>149</v>
      </c>
      <c r="AH202" s="0" t="n">
        <v>14</v>
      </c>
      <c r="AI202" s="0" t="n">
        <v>11</v>
      </c>
      <c r="AN202" s="0" t="s">
        <v>145</v>
      </c>
      <c r="AO202" s="0" t="s">
        <v>150</v>
      </c>
      <c r="AP202" s="0" t="s">
        <v>151</v>
      </c>
      <c r="AQ202" s="0" t="n">
        <v>9</v>
      </c>
      <c r="AR202" s="0" t="n">
        <v>64</v>
      </c>
      <c r="AS202" s="0" t="n">
        <v>32</v>
      </c>
      <c r="AU202" s="0" t="n">
        <f aca="false">COUNTA($BA$67:$EH$67)</f>
        <v>1</v>
      </c>
      <c r="AV202" s="0" t="n">
        <f aca="false">COUNTIF($BA$67:$EH$67,"D")</f>
        <v>0</v>
      </c>
      <c r="AW202" s="0" t="n">
        <f aca="false">COUNTIF($BA$67:$EH$67,"R")</f>
        <v>0</v>
      </c>
      <c r="AX202" s="0" t="n">
        <f aca="false">IF(BN202="D",1,0)+IF(BO202="D",1,0)+IF(BT202="D",1,0)+IF(BU202="D",1,0)+IF(BW202="D",1,0)+IF(CC202="D",1,0)+IF(CD202="D",1,0)+IF(CE202="D",1,0)+IF(CF202="D",1,0)+IF(CL202="D",1,0)+IF(CM202="D",1,0)+IF(CQ202="D",1,0)+IF(CR202="D",1,0)+IF(CS202="D",1,0)+IF(CW202="D",1,0)+IF(CX202="D",1,0)+IF(DD202="D",1,0)+IF(DE202="D",1,0)+IF(DJ202="D",1,0)+IF(DK202="D",1,0)+IF(DO202="D",1,0)+IF(DP202="D",1,0)+IF(DQ202="D",1,0)+IF(DW202="D",1,0)+IF(DZ202="D",1,0)+IF(EH202="D",1,0)</f>
        <v>0</v>
      </c>
      <c r="AY202" s="0" t="n">
        <f aca="false">COUNTIF(DU202:EH202, "&lt;&gt;")</f>
        <v>0</v>
      </c>
      <c r="AZ202" s="0" t="n">
        <f aca="false">IF(EH202&lt;&gt;"",1,0)</f>
        <v>0</v>
      </c>
      <c r="BB202" s="0" t="s">
        <v>152</v>
      </c>
    </row>
    <row r="203" customFormat="false" ht="13.8" hidden="true" customHeight="false" outlineLevel="0" collapsed="false">
      <c r="A203" s="0" t="s">
        <v>1240</v>
      </c>
      <c r="B203" s="0" t="n">
        <v>78</v>
      </c>
      <c r="C203" s="0" t="n">
        <v>449615</v>
      </c>
      <c r="D203" s="0" t="s">
        <v>1241</v>
      </c>
      <c r="E203" s="0" t="s">
        <v>1242</v>
      </c>
      <c r="F203" s="0" t="str">
        <f aca="false">CONCATENATE(D203," ",LEFT(H203,4),"T=",AU203,"D=",AV203,"R=",AW203,"M=",AX203,"L=",AY203,"B=",AZ203)</f>
        <v>FIZET T=1D=0R=0M=0L=0B=0</v>
      </c>
      <c r="G203" s="0" t="s">
        <v>1243</v>
      </c>
      <c r="I203" s="0" t="s">
        <v>1244</v>
      </c>
      <c r="J203" s="0" t="s">
        <v>1245</v>
      </c>
      <c r="K203" s="0" t="s">
        <v>160</v>
      </c>
      <c r="M203" s="0" t="s">
        <v>1239</v>
      </c>
      <c r="N203" s="0" t="str">
        <f aca="false">RIGHT(M203,LEN(M203)-FIND(" ",M203))</f>
        <v>BONNIE BRAE AVE SE</v>
      </c>
      <c r="P203" s="0" t="s">
        <v>145</v>
      </c>
      <c r="Q203" s="0" t="s">
        <v>146</v>
      </c>
      <c r="R203" s="0" t="n">
        <v>44484</v>
      </c>
      <c r="AD203" s="0" t="s">
        <v>147</v>
      </c>
      <c r="AE203" s="0" t="s">
        <v>148</v>
      </c>
      <c r="AF203" s="0" t="s">
        <v>149</v>
      </c>
      <c r="AH203" s="0" t="n">
        <v>14</v>
      </c>
      <c r="AI203" s="0" t="n">
        <v>11</v>
      </c>
      <c r="AN203" s="0" t="s">
        <v>145</v>
      </c>
      <c r="AO203" s="0" t="s">
        <v>150</v>
      </c>
      <c r="AP203" s="0" t="s">
        <v>151</v>
      </c>
      <c r="AQ203" s="0" t="n">
        <v>9</v>
      </c>
      <c r="AR203" s="0" t="n">
        <v>64</v>
      </c>
      <c r="AS203" s="0" t="n">
        <v>32</v>
      </c>
      <c r="AU203" s="0" t="n">
        <f aca="false">COUNTA($BA$621:$EH$621)</f>
        <v>1</v>
      </c>
      <c r="AV203" s="0" t="n">
        <f aca="false">COUNTIF($BA$621:$EH$621,"D")</f>
        <v>0</v>
      </c>
      <c r="AW203" s="0" t="n">
        <f aca="false">COUNTIF($BA$621:$EH$621,"R")</f>
        <v>0</v>
      </c>
      <c r="AX203" s="0" t="n">
        <f aca="false">IF(BN203="D",1,0)+IF(BO203="D",1,0)+IF(BT203="D",1,0)+IF(BU203="D",1,0)+IF(BW203="D",1,0)+IF(CC203="D",1,0)+IF(CD203="D",1,0)+IF(CE203="D",1,0)+IF(CF203="D",1,0)+IF(CL203="D",1,0)+IF(CM203="D",1,0)+IF(CQ203="D",1,0)+IF(CR203="D",1,0)+IF(CS203="D",1,0)+IF(CW203="D",1,0)+IF(CX203="D",1,0)+IF(DD203="D",1,0)+IF(DE203="D",1,0)+IF(DJ203="D",1,0)+IF(DK203="D",1,0)+IF(DO203="D",1,0)+IF(DP203="D",1,0)+IF(DQ203="D",1,0)+IF(DW203="D",1,0)+IF(DZ203="D",1,0)+IF(EH203="D",1,0)</f>
        <v>0</v>
      </c>
      <c r="AY203" s="0" t="n">
        <f aca="false">COUNTIF(DU203:EH203, "&lt;&gt;")</f>
        <v>0</v>
      </c>
      <c r="AZ203" s="0" t="n">
        <f aca="false">IF(EH203&lt;&gt;"",1,0)</f>
        <v>0</v>
      </c>
      <c r="BB203" s="0" t="s">
        <v>152</v>
      </c>
    </row>
    <row r="204" customFormat="false" ht="13.8" hidden="true" customHeight="false" outlineLevel="0" collapsed="false">
      <c r="A204" s="0" t="s">
        <v>1246</v>
      </c>
      <c r="B204" s="0" t="n">
        <v>78</v>
      </c>
      <c r="C204" s="0" t="n">
        <v>492221</v>
      </c>
      <c r="D204" s="0" t="s">
        <v>1192</v>
      </c>
      <c r="E204" s="0" t="s">
        <v>1247</v>
      </c>
      <c r="F204" s="0" t="str">
        <f aca="false">CONCATENATE(D204," ",LEFT(H204,4),"T=",AU204,"D=",AV204,"R=",AW204,"M=",AX204,"L=",AY204,"B=",AZ204)</f>
        <v>MILLER T=6D=0R=0M=0L=0B=0</v>
      </c>
      <c r="G204" s="0" t="s">
        <v>1248</v>
      </c>
      <c r="I204" s="0" t="s">
        <v>1249</v>
      </c>
      <c r="J204" s="0" t="s">
        <v>1250</v>
      </c>
      <c r="K204" s="0" t="s">
        <v>160</v>
      </c>
      <c r="M204" s="0" t="s">
        <v>1239</v>
      </c>
      <c r="N204" s="0" t="str">
        <f aca="false">RIGHT(M204,LEN(M204)-FIND(" ",M204))</f>
        <v>BONNIE BRAE AVE SE</v>
      </c>
      <c r="P204" s="0" t="s">
        <v>145</v>
      </c>
      <c r="Q204" s="0" t="s">
        <v>146</v>
      </c>
      <c r="R204" s="0" t="n">
        <v>44484</v>
      </c>
      <c r="AD204" s="0" t="s">
        <v>147</v>
      </c>
      <c r="AE204" s="0" t="s">
        <v>148</v>
      </c>
      <c r="AF204" s="0" t="s">
        <v>149</v>
      </c>
      <c r="AH204" s="0" t="n">
        <v>14</v>
      </c>
      <c r="AI204" s="0" t="n">
        <v>11</v>
      </c>
      <c r="AN204" s="0" t="s">
        <v>145</v>
      </c>
      <c r="AO204" s="0" t="s">
        <v>150</v>
      </c>
      <c r="AP204" s="0" t="s">
        <v>151</v>
      </c>
      <c r="AQ204" s="0" t="n">
        <v>9</v>
      </c>
      <c r="AR204" s="0" t="n">
        <v>64</v>
      </c>
      <c r="AS204" s="0" t="n">
        <v>32</v>
      </c>
      <c r="AU204" s="0" t="n">
        <f aca="false">COUNTA($BA$750:$EH$750)</f>
        <v>6</v>
      </c>
      <c r="AV204" s="0" t="n">
        <f aca="false">COUNTIF($BA$750:$EH$750,"D")</f>
        <v>0</v>
      </c>
      <c r="AW204" s="0" t="n">
        <f aca="false">COUNTIF($BA$750:$EH$750,"R")</f>
        <v>0</v>
      </c>
      <c r="AX204" s="0" t="n">
        <f aca="false">IF(BN204="D",1,0)+IF(BO204="D",1,0)+IF(BT204="D",1,0)+IF(BU204="D",1,0)+IF(BW204="D",1,0)+IF(CC204="D",1,0)+IF(CD204="D",1,0)+IF(CE204="D",1,0)+IF(CF204="D",1,0)+IF(CL204="D",1,0)+IF(CM204="D",1,0)+IF(CQ204="D",1,0)+IF(CR204="D",1,0)+IF(CS204="D",1,0)+IF(CW204="D",1,0)+IF(CX204="D",1,0)+IF(DD204="D",1,0)+IF(DE204="D",1,0)+IF(DJ204="D",1,0)+IF(DK204="D",1,0)+IF(DO204="D",1,0)+IF(DP204="D",1,0)+IF(DQ204="D",1,0)+IF(DW204="D",1,0)+IF(DZ204="D",1,0)+IF(EH204="D",1,0)</f>
        <v>0</v>
      </c>
      <c r="AY204" s="0" t="n">
        <f aca="false">COUNTIF(DU204:EH204, "&lt;&gt;")</f>
        <v>0</v>
      </c>
      <c r="AZ204" s="0" t="n">
        <f aca="false">IF(EH204&lt;&gt;"",1,0)</f>
        <v>0</v>
      </c>
      <c r="BB204" s="0" t="s">
        <v>152</v>
      </c>
    </row>
    <row r="205" customFormat="false" ht="13.8" hidden="true" customHeight="false" outlineLevel="0" collapsed="false">
      <c r="A205" s="0" t="s">
        <v>1251</v>
      </c>
      <c r="B205" s="0" t="n">
        <v>78</v>
      </c>
      <c r="C205" s="0" t="n">
        <v>487581</v>
      </c>
      <c r="D205" s="0" t="s">
        <v>1192</v>
      </c>
      <c r="E205" s="0" t="s">
        <v>1208</v>
      </c>
      <c r="F205" s="0" t="str">
        <f aca="false">CONCATENATE(D205," ",LEFT(H205,4),"T=",AU205,"D=",AV205,"R=",AW205,"M=",AX205,"L=",AY205,"B=",AZ205)</f>
        <v>MILLER T=13D=3R=0M=0L=0B=0</v>
      </c>
      <c r="G205" s="0" t="s">
        <v>195</v>
      </c>
      <c r="I205" s="0" t="s">
        <v>1252</v>
      </c>
      <c r="J205" s="0" t="s">
        <v>1253</v>
      </c>
      <c r="K205" s="0" t="s">
        <v>160</v>
      </c>
      <c r="M205" s="0" t="s">
        <v>1239</v>
      </c>
      <c r="N205" s="0" t="str">
        <f aca="false">RIGHT(M205,LEN(M205)-FIND(" ",M205))</f>
        <v>BONNIE BRAE AVE SE</v>
      </c>
      <c r="P205" s="0" t="s">
        <v>145</v>
      </c>
      <c r="Q205" s="0" t="s">
        <v>146</v>
      </c>
      <c r="R205" s="0" t="n">
        <v>44484</v>
      </c>
      <c r="AD205" s="0" t="s">
        <v>147</v>
      </c>
      <c r="AE205" s="0" t="s">
        <v>148</v>
      </c>
      <c r="AF205" s="0" t="s">
        <v>149</v>
      </c>
      <c r="AH205" s="0" t="n">
        <v>14</v>
      </c>
      <c r="AI205" s="0" t="n">
        <v>11</v>
      </c>
      <c r="AN205" s="0" t="s">
        <v>145</v>
      </c>
      <c r="AO205" s="0" t="s">
        <v>150</v>
      </c>
      <c r="AP205" s="0" t="s">
        <v>151</v>
      </c>
      <c r="AQ205" s="0" t="n">
        <v>9</v>
      </c>
      <c r="AR205" s="0" t="n">
        <v>64</v>
      </c>
      <c r="AS205" s="0" t="n">
        <v>32</v>
      </c>
      <c r="AU205" s="0" t="n">
        <f aca="false">COUNTA($BA$905:$EH$905)</f>
        <v>13</v>
      </c>
      <c r="AV205" s="0" t="n">
        <f aca="false">COUNTIF($BA$905:$EH$905,"D")</f>
        <v>3</v>
      </c>
      <c r="AW205" s="0" t="n">
        <f aca="false">COUNTIF($BA$905:$EH$905,"R")</f>
        <v>0</v>
      </c>
      <c r="AX205" s="0" t="n">
        <f aca="false">IF(BN205="D",1,0)+IF(BO205="D",1,0)+IF(BT205="D",1,0)+IF(BU205="D",1,0)+IF(BW205="D",1,0)+IF(CC205="D",1,0)+IF(CD205="D",1,0)+IF(CE205="D",1,0)+IF(CF205="D",1,0)+IF(CL205="D",1,0)+IF(CM205="D",1,0)+IF(CQ205="D",1,0)+IF(CR205="D",1,0)+IF(CS205="D",1,0)+IF(CW205="D",1,0)+IF(CX205="D",1,0)+IF(DD205="D",1,0)+IF(DE205="D",1,0)+IF(DJ205="D",1,0)+IF(DK205="D",1,0)+IF(DO205="D",1,0)+IF(DP205="D",1,0)+IF(DQ205="D",1,0)+IF(DW205="D",1,0)+IF(DZ205="D",1,0)+IF(EH205="D",1,0)</f>
        <v>0</v>
      </c>
      <c r="AY205" s="0" t="n">
        <f aca="false">COUNTIF(DU205:EH205, "&lt;&gt;")</f>
        <v>0</v>
      </c>
      <c r="AZ205" s="0" t="n">
        <f aca="false">IF(EH205&lt;&gt;"",1,0)</f>
        <v>0</v>
      </c>
      <c r="BB205" s="0" t="s">
        <v>152</v>
      </c>
      <c r="BL205" s="0" t="s">
        <v>153</v>
      </c>
      <c r="BS205" s="0" t="s">
        <v>153</v>
      </c>
      <c r="CA205" s="0" t="s">
        <v>153</v>
      </c>
    </row>
    <row r="206" customFormat="false" ht="13.8" hidden="true" customHeight="false" outlineLevel="0" collapsed="false">
      <c r="A206" s="0" t="s">
        <v>1254</v>
      </c>
      <c r="B206" s="0" t="n">
        <v>78</v>
      </c>
      <c r="C206" s="0" t="n">
        <v>316400</v>
      </c>
      <c r="D206" s="0" t="s">
        <v>1255</v>
      </c>
      <c r="E206" s="0" t="s">
        <v>1256</v>
      </c>
      <c r="F206" s="0" t="str">
        <f aca="false">CONCATENATE(D206," ",LEFT(H206,4),"T=",AU206,"D=",AV206,"R=",AW206,"M=",AX206,"L=",AY206,"B=",AZ206)</f>
        <v>CUNNINGHAM T=14D=1R=0M=0L=0B=0</v>
      </c>
      <c r="G206" s="0" t="s">
        <v>164</v>
      </c>
      <c r="I206" s="0" t="s">
        <v>1257</v>
      </c>
      <c r="J206" s="0" t="s">
        <v>1038</v>
      </c>
      <c r="K206" s="0" t="s">
        <v>160</v>
      </c>
      <c r="M206" s="0" t="s">
        <v>1239</v>
      </c>
      <c r="N206" s="0" t="str">
        <f aca="false">RIGHT(M206,LEN(M206)-FIND(" ",M206))</f>
        <v>BONNIE BRAE AVE SE</v>
      </c>
      <c r="P206" s="0" t="s">
        <v>145</v>
      </c>
      <c r="Q206" s="0" t="s">
        <v>146</v>
      </c>
      <c r="R206" s="0" t="n">
        <v>44484</v>
      </c>
      <c r="AD206" s="0" t="s">
        <v>147</v>
      </c>
      <c r="AE206" s="0" t="s">
        <v>148</v>
      </c>
      <c r="AF206" s="0" t="s">
        <v>149</v>
      </c>
      <c r="AH206" s="0" t="n">
        <v>14</v>
      </c>
      <c r="AI206" s="0" t="n">
        <v>11</v>
      </c>
      <c r="AN206" s="0" t="s">
        <v>145</v>
      </c>
      <c r="AO206" s="0" t="s">
        <v>150</v>
      </c>
      <c r="AP206" s="0" t="s">
        <v>151</v>
      </c>
      <c r="AQ206" s="0" t="n">
        <v>9</v>
      </c>
      <c r="AR206" s="0" t="n">
        <v>64</v>
      </c>
      <c r="AS206" s="0" t="n">
        <v>32</v>
      </c>
      <c r="AU206" s="0" t="n">
        <f aca="false">COUNTA($BA$927:$EH$927)</f>
        <v>14</v>
      </c>
      <c r="AV206" s="0" t="n">
        <f aca="false">COUNTIF($BA$927:$EH$927,"D")</f>
        <v>1</v>
      </c>
      <c r="AW206" s="0" t="n">
        <f aca="false">COUNTIF($BA$927:$EH$927,"R")</f>
        <v>0</v>
      </c>
      <c r="AX206" s="0" t="n">
        <f aca="false">IF(BN206="D",1,0)+IF(BO206="D",1,0)+IF(BT206="D",1,0)+IF(BU206="D",1,0)+IF(BW206="D",1,0)+IF(CC206="D",1,0)+IF(CD206="D",1,0)+IF(CE206="D",1,0)+IF(CF206="D",1,0)+IF(CL206="D",1,0)+IF(CM206="D",1,0)+IF(CQ206="D",1,0)+IF(CR206="D",1,0)+IF(CS206="D",1,0)+IF(CW206="D",1,0)+IF(CX206="D",1,0)+IF(DD206="D",1,0)+IF(DE206="D",1,0)+IF(DJ206="D",1,0)+IF(DK206="D",1,0)+IF(DO206="D",1,0)+IF(DP206="D",1,0)+IF(DQ206="D",1,0)+IF(DW206="D",1,0)+IF(DZ206="D",1,0)+IF(EH206="D",1,0)</f>
        <v>0</v>
      </c>
      <c r="AY206" s="0" t="n">
        <f aca="false">COUNTIF(DU206:EH206, "&lt;&gt;")</f>
        <v>0</v>
      </c>
      <c r="AZ206" s="0" t="n">
        <f aca="false">IF(EH206&lt;&gt;"",1,0)</f>
        <v>0</v>
      </c>
      <c r="BB206" s="0" t="s">
        <v>152</v>
      </c>
      <c r="BL206" s="0" t="s">
        <v>153</v>
      </c>
      <c r="BY206" s="0" t="s">
        <v>175</v>
      </c>
      <c r="CA206" s="0" t="s">
        <v>153</v>
      </c>
      <c r="CP206" s="0" t="s">
        <v>153</v>
      </c>
      <c r="CT206" s="0" t="s">
        <v>153</v>
      </c>
      <c r="CU206" s="0" t="s">
        <v>175</v>
      </c>
      <c r="CV206" s="0" t="s">
        <v>153</v>
      </c>
      <c r="CY206" s="0" t="s">
        <v>153</v>
      </c>
      <c r="CZ206" s="0" t="s">
        <v>175</v>
      </c>
      <c r="DC206" s="0" t="s">
        <v>153</v>
      </c>
    </row>
    <row r="207" customFormat="false" ht="13.8" hidden="true" customHeight="false" outlineLevel="0" collapsed="false">
      <c r="A207" s="0" t="s">
        <v>1258</v>
      </c>
      <c r="B207" s="0" t="n">
        <v>78</v>
      </c>
      <c r="C207" s="0" t="n">
        <v>314927</v>
      </c>
      <c r="D207" s="0" t="s">
        <v>193</v>
      </c>
      <c r="E207" s="0" t="s">
        <v>1259</v>
      </c>
      <c r="F207" s="0" t="str">
        <f aca="false">CONCATENATE(D207," ",LEFT(H207,4),"T=",AU207,"D=",AV207,"R=",AW207,"M=",AX207,"L=",AY207,"B=",AZ207)</f>
        <v>MORGAN T=1D=0R=0M=0L=0B=0</v>
      </c>
      <c r="I207" s="0" t="s">
        <v>1260</v>
      </c>
      <c r="J207" s="0" t="s">
        <v>1261</v>
      </c>
      <c r="K207" s="0" t="s">
        <v>143</v>
      </c>
      <c r="M207" s="0" t="s">
        <v>1262</v>
      </c>
      <c r="N207" s="0" t="str">
        <f aca="false">RIGHT(M207,LEN(M207)-FIND(" ",M207))</f>
        <v>BONNIE BRAE AVE SE</v>
      </c>
      <c r="P207" s="0" t="s">
        <v>145</v>
      </c>
      <c r="Q207" s="0" t="s">
        <v>146</v>
      </c>
      <c r="R207" s="0" t="n">
        <v>44484</v>
      </c>
      <c r="AD207" s="0" t="s">
        <v>147</v>
      </c>
      <c r="AE207" s="0" t="s">
        <v>148</v>
      </c>
      <c r="AF207" s="0" t="s">
        <v>149</v>
      </c>
      <c r="AH207" s="0" t="n">
        <v>14</v>
      </c>
      <c r="AI207" s="0" t="n">
        <v>11</v>
      </c>
      <c r="AN207" s="0" t="s">
        <v>145</v>
      </c>
      <c r="AO207" s="0" t="s">
        <v>150</v>
      </c>
      <c r="AP207" s="0" t="s">
        <v>151</v>
      </c>
      <c r="AQ207" s="0" t="n">
        <v>9</v>
      </c>
      <c r="AR207" s="0" t="n">
        <v>64</v>
      </c>
      <c r="AS207" s="0" t="n">
        <v>32</v>
      </c>
      <c r="AU207" s="0" t="n">
        <f aca="false">COUNTA($BA$139:$EH$139)</f>
        <v>1</v>
      </c>
      <c r="AV207" s="0" t="n">
        <f aca="false">COUNTIF($BA$139:$EH$139,"D")</f>
        <v>0</v>
      </c>
      <c r="AW207" s="0" t="n">
        <f aca="false">COUNTIF($BA$139:$EH$139,"R")</f>
        <v>0</v>
      </c>
      <c r="AX207" s="0" t="n">
        <f aca="false">IF(BN207="D",1,0)+IF(BO207="D",1,0)+IF(BT207="D",1,0)+IF(BU207="D",1,0)+IF(BW207="D",1,0)+IF(CC207="D",1,0)+IF(CD207="D",1,0)+IF(CE207="D",1,0)+IF(CF207="D",1,0)+IF(CL207="D",1,0)+IF(CM207="D",1,0)+IF(CQ207="D",1,0)+IF(CR207="D",1,0)+IF(CS207="D",1,0)+IF(CW207="D",1,0)+IF(CX207="D",1,0)+IF(DD207="D",1,0)+IF(DE207="D",1,0)+IF(DJ207="D",1,0)+IF(DK207="D",1,0)+IF(DO207="D",1,0)+IF(DP207="D",1,0)+IF(DQ207="D",1,0)+IF(DW207="D",1,0)+IF(DZ207="D",1,0)+IF(EH207="D",1,0)</f>
        <v>0</v>
      </c>
      <c r="AY207" s="0" t="n">
        <f aca="false">COUNTIF(DU207:EH207, "&lt;&gt;")</f>
        <v>0</v>
      </c>
      <c r="AZ207" s="0" t="n">
        <f aca="false">IF(EH207&lt;&gt;"",1,0)</f>
        <v>0</v>
      </c>
      <c r="BB207" s="0" t="s">
        <v>152</v>
      </c>
      <c r="BL207" s="0" t="s">
        <v>153</v>
      </c>
      <c r="BP207" s="0" t="s">
        <v>153</v>
      </c>
      <c r="BR207" s="0" t="s">
        <v>153</v>
      </c>
      <c r="BS207" s="0" t="s">
        <v>153</v>
      </c>
      <c r="BY207" s="0" t="s">
        <v>175</v>
      </c>
      <c r="CA207" s="0" t="s">
        <v>153</v>
      </c>
      <c r="CK207" s="0" t="s">
        <v>153</v>
      </c>
      <c r="CP207" s="0" t="s">
        <v>153</v>
      </c>
      <c r="CY207" s="0" t="s">
        <v>153</v>
      </c>
      <c r="DC207" s="0" t="s">
        <v>153</v>
      </c>
      <c r="DN207" s="0" t="s">
        <v>153</v>
      </c>
    </row>
    <row r="208" customFormat="false" ht="13.8" hidden="true" customHeight="false" outlineLevel="0" collapsed="false">
      <c r="A208" s="0" t="s">
        <v>1263</v>
      </c>
      <c r="B208" s="0" t="n">
        <v>78</v>
      </c>
      <c r="C208" s="0" t="n">
        <v>343805</v>
      </c>
      <c r="D208" s="0" t="s">
        <v>1264</v>
      </c>
      <c r="E208" s="0" t="s">
        <v>344</v>
      </c>
      <c r="F208" s="0" t="str">
        <f aca="false">CONCATENATE(D208," ",LEFT(H208,4),"T=",AU208,"D=",AV208,"R=",AW208,"M=",AX208,"L=",AY208,"B=",AZ208)</f>
        <v>BROWNING T=1D=0R=0M=0L=0B=0</v>
      </c>
      <c r="G208" s="0" t="s">
        <v>190</v>
      </c>
      <c r="I208" s="0" t="s">
        <v>1265</v>
      </c>
      <c r="J208" s="0" t="s">
        <v>1266</v>
      </c>
      <c r="K208" s="0" t="s">
        <v>160</v>
      </c>
      <c r="M208" s="0" t="s">
        <v>1262</v>
      </c>
      <c r="N208" s="0" t="str">
        <f aca="false">RIGHT(M208,LEN(M208)-FIND(" ",M208))</f>
        <v>BONNIE BRAE AVE SE</v>
      </c>
      <c r="P208" s="0" t="s">
        <v>145</v>
      </c>
      <c r="Q208" s="0" t="s">
        <v>146</v>
      </c>
      <c r="R208" s="0" t="n">
        <v>44484</v>
      </c>
      <c r="AD208" s="0" t="s">
        <v>147</v>
      </c>
      <c r="AE208" s="0" t="s">
        <v>148</v>
      </c>
      <c r="AF208" s="0" t="s">
        <v>149</v>
      </c>
      <c r="AH208" s="0" t="n">
        <v>14</v>
      </c>
      <c r="AI208" s="0" t="n">
        <v>11</v>
      </c>
      <c r="AN208" s="0" t="s">
        <v>145</v>
      </c>
      <c r="AO208" s="0" t="s">
        <v>150</v>
      </c>
      <c r="AP208" s="0" t="s">
        <v>151</v>
      </c>
      <c r="AQ208" s="0" t="n">
        <v>9</v>
      </c>
      <c r="AR208" s="0" t="n">
        <v>64</v>
      </c>
      <c r="AS208" s="0" t="n">
        <v>32</v>
      </c>
      <c r="AU208" s="0" t="n">
        <f aca="false">COUNTA($BA$280:$EH$280)</f>
        <v>1</v>
      </c>
      <c r="AV208" s="0" t="n">
        <f aca="false">COUNTIF($BA$280:$EH$280,"D")</f>
        <v>0</v>
      </c>
      <c r="AW208" s="0" t="n">
        <f aca="false">COUNTIF($BA$280:$EH$280,"R")</f>
        <v>0</v>
      </c>
      <c r="AX208" s="0" t="n">
        <f aca="false">IF(BN208="D",1,0)+IF(BO208="D",1,0)+IF(BT208="D",1,0)+IF(BU208="D",1,0)+IF(BW208="D",1,0)+IF(CC208="D",1,0)+IF(CD208="D",1,0)+IF(CE208="D",1,0)+IF(CF208="D",1,0)+IF(CL208="D",1,0)+IF(CM208="D",1,0)+IF(CQ208="D",1,0)+IF(CR208="D",1,0)+IF(CS208="D",1,0)+IF(CW208="D",1,0)+IF(CX208="D",1,0)+IF(DD208="D",1,0)+IF(DE208="D",1,0)+IF(DJ208="D",1,0)+IF(DK208="D",1,0)+IF(DO208="D",1,0)+IF(DP208="D",1,0)+IF(DQ208="D",1,0)+IF(DW208="D",1,0)+IF(DZ208="D",1,0)+IF(EH208="D",1,0)</f>
        <v>0</v>
      </c>
      <c r="AY208" s="0" t="n">
        <f aca="false">COUNTIF(DU208:EH208, "&lt;&gt;")</f>
        <v>0</v>
      </c>
      <c r="AZ208" s="0" t="n">
        <f aca="false">IF(EH208&lt;&gt;"",1,0)</f>
        <v>0</v>
      </c>
      <c r="BB208" s="0" t="s">
        <v>152</v>
      </c>
      <c r="BY208" s="0" t="s">
        <v>175</v>
      </c>
      <c r="CA208" s="0" t="s">
        <v>153</v>
      </c>
      <c r="CK208" s="0" t="s">
        <v>153</v>
      </c>
      <c r="CP208" s="0" t="s">
        <v>153</v>
      </c>
      <c r="CY208" s="0" t="s">
        <v>153</v>
      </c>
      <c r="DC208" s="0" t="s">
        <v>153</v>
      </c>
      <c r="DN208" s="0" t="s">
        <v>153</v>
      </c>
    </row>
    <row r="209" customFormat="false" ht="13.8" hidden="true" customHeight="false" outlineLevel="0" collapsed="false">
      <c r="A209" s="0" t="s">
        <v>1267</v>
      </c>
      <c r="B209" s="0" t="n">
        <v>78</v>
      </c>
      <c r="C209" s="0" t="n">
        <v>485882</v>
      </c>
      <c r="D209" s="0" t="s">
        <v>1268</v>
      </c>
      <c r="E209" s="0" t="s">
        <v>1269</v>
      </c>
      <c r="F209" s="0" t="str">
        <f aca="false">CONCATENATE(D209," ",LEFT(H209,4),"T=",AU209,"D=",AV209,"R=",AW209,"M=",AX209,"L=",AY209,"B=",AZ209)</f>
        <v>WALLS T=8D=0R=1M=0L=0B=0</v>
      </c>
      <c r="G209" s="0" t="s">
        <v>255</v>
      </c>
      <c r="I209" s="0" t="s">
        <v>1270</v>
      </c>
      <c r="J209" s="0" t="s">
        <v>1271</v>
      </c>
      <c r="K209" s="0" t="s">
        <v>160</v>
      </c>
      <c r="M209" s="0" t="s">
        <v>1272</v>
      </c>
      <c r="N209" s="0" t="str">
        <f aca="false">RIGHT(M209,LEN(M209)-FIND(" ",M209))</f>
        <v>BONNIE BRAE AVE SE</v>
      </c>
      <c r="P209" s="0" t="s">
        <v>145</v>
      </c>
      <c r="Q209" s="0" t="s">
        <v>146</v>
      </c>
      <c r="R209" s="0" t="n">
        <v>44484</v>
      </c>
      <c r="V209" s="0" t="s">
        <v>1273</v>
      </c>
      <c r="X209" s="0" t="s">
        <v>145</v>
      </c>
      <c r="Y209" s="0" t="s">
        <v>146</v>
      </c>
      <c r="Z209" s="0" t="n">
        <v>44484</v>
      </c>
      <c r="AD209" s="0" t="s">
        <v>147</v>
      </c>
      <c r="AE209" s="0" t="s">
        <v>148</v>
      </c>
      <c r="AF209" s="0" t="s">
        <v>149</v>
      </c>
      <c r="AH209" s="0" t="n">
        <v>14</v>
      </c>
      <c r="AI209" s="0" t="n">
        <v>11</v>
      </c>
      <c r="AN209" s="0" t="s">
        <v>145</v>
      </c>
      <c r="AO209" s="0" t="s">
        <v>150</v>
      </c>
      <c r="AP209" s="0" t="s">
        <v>151</v>
      </c>
      <c r="AQ209" s="0" t="n">
        <v>9</v>
      </c>
      <c r="AR209" s="0" t="n">
        <v>64</v>
      </c>
      <c r="AS209" s="0" t="n">
        <v>32</v>
      </c>
      <c r="AU209" s="0" t="n">
        <f aca="false">COUNTA($BA$764:$EH$764)</f>
        <v>8</v>
      </c>
      <c r="AV209" s="0" t="n">
        <f aca="false">COUNTIF($BA$764:$EH$764,"D")</f>
        <v>0</v>
      </c>
      <c r="AW209" s="0" t="n">
        <f aca="false">COUNTIF($BA$764:$EH$764,"R")</f>
        <v>1</v>
      </c>
      <c r="AX209" s="0" t="n">
        <f aca="false">IF(BN209="D",1,0)+IF(BO209="D",1,0)+IF(BT209="D",1,0)+IF(BU209="D",1,0)+IF(BW209="D",1,0)+IF(CC209="D",1,0)+IF(CD209="D",1,0)+IF(CE209="D",1,0)+IF(CF209="D",1,0)+IF(CL209="D",1,0)+IF(CM209="D",1,0)+IF(CQ209="D",1,0)+IF(CR209="D",1,0)+IF(CS209="D",1,0)+IF(CW209="D",1,0)+IF(CX209="D",1,0)+IF(DD209="D",1,0)+IF(DE209="D",1,0)+IF(DJ209="D",1,0)+IF(DK209="D",1,0)+IF(DO209="D",1,0)+IF(DP209="D",1,0)+IF(DQ209="D",1,0)+IF(DW209="D",1,0)+IF(DZ209="D",1,0)+IF(EH209="D",1,0)</f>
        <v>0</v>
      </c>
      <c r="AY209" s="0" t="n">
        <f aca="false">COUNTIF(DU209:EH209, "&lt;&gt;")</f>
        <v>0</v>
      </c>
      <c r="AZ209" s="0" t="n">
        <f aca="false">IF(EH209&lt;&gt;"",1,0)</f>
        <v>0</v>
      </c>
      <c r="BB209" s="0" t="s">
        <v>152</v>
      </c>
    </row>
    <row r="210" customFormat="false" ht="13.8" hidden="true" customHeight="false" outlineLevel="0" collapsed="false">
      <c r="A210" s="0" t="s">
        <v>1274</v>
      </c>
      <c r="B210" s="0" t="n">
        <v>78</v>
      </c>
      <c r="C210" s="0" t="n">
        <v>7803</v>
      </c>
      <c r="D210" s="0" t="s">
        <v>1275</v>
      </c>
      <c r="E210" s="0" t="s">
        <v>1276</v>
      </c>
      <c r="F210" s="0" t="str">
        <f aca="false">CONCATENATE(D210," ",LEFT(H210,4),"T=",AU210,"D=",AV210,"R=",AW210,"M=",AX210,"L=",AY210,"B=",AZ210)</f>
        <v>OSTRANDER T=2D=0R=0M=0L=0B=0</v>
      </c>
      <c r="G210" s="0" t="s">
        <v>190</v>
      </c>
      <c r="I210" s="0" t="s">
        <v>1277</v>
      </c>
      <c r="J210" s="0" t="s">
        <v>1278</v>
      </c>
      <c r="K210" s="0" t="s">
        <v>143</v>
      </c>
      <c r="M210" s="0" t="s">
        <v>1279</v>
      </c>
      <c r="N210" s="0" t="str">
        <f aca="false">RIGHT(M210,LEN(M210)-FIND(" ",M210))</f>
        <v>BONNIE BRAE AVE SE</v>
      </c>
      <c r="P210" s="0" t="s">
        <v>145</v>
      </c>
      <c r="Q210" s="0" t="s">
        <v>146</v>
      </c>
      <c r="R210" s="0" t="n">
        <v>44484</v>
      </c>
      <c r="AD210" s="0" t="s">
        <v>147</v>
      </c>
      <c r="AE210" s="0" t="s">
        <v>148</v>
      </c>
      <c r="AF210" s="0" t="s">
        <v>149</v>
      </c>
      <c r="AH210" s="0" t="n">
        <v>14</v>
      </c>
      <c r="AI210" s="0" t="n">
        <v>11</v>
      </c>
      <c r="AN210" s="0" t="s">
        <v>145</v>
      </c>
      <c r="AO210" s="0" t="s">
        <v>150</v>
      </c>
      <c r="AP210" s="0" t="s">
        <v>151</v>
      </c>
      <c r="AQ210" s="0" t="n">
        <v>9</v>
      </c>
      <c r="AR210" s="0" t="n">
        <v>64</v>
      </c>
      <c r="AS210" s="0" t="n">
        <v>32</v>
      </c>
      <c r="AU210" s="0" t="n">
        <f aca="false">COUNTA($BA$1022:$EH$1022)</f>
        <v>2</v>
      </c>
      <c r="AV210" s="0" t="n">
        <f aca="false">COUNTIF($BA$1022:$EH$1022,"D")</f>
        <v>0</v>
      </c>
      <c r="AW210" s="0" t="n">
        <f aca="false">COUNTIF($BA$1022:$EH$1022,"R")</f>
        <v>0</v>
      </c>
      <c r="AX210" s="0" t="n">
        <f aca="false">IF(BN210="D",1,0)+IF(BO210="D",1,0)+IF(BT210="D",1,0)+IF(BU210="D",1,0)+IF(BW210="D",1,0)+IF(CC210="D",1,0)+IF(CD210="D",1,0)+IF(CE210="D",1,0)+IF(CF210="D",1,0)+IF(CL210="D",1,0)+IF(CM210="D",1,0)+IF(CQ210="D",1,0)+IF(CR210="D",1,0)+IF(CS210="D",1,0)+IF(CW210="D",1,0)+IF(CX210="D",1,0)+IF(DD210="D",1,0)+IF(DE210="D",1,0)+IF(DJ210="D",1,0)+IF(DK210="D",1,0)+IF(DO210="D",1,0)+IF(DP210="D",1,0)+IF(DQ210="D",1,0)+IF(DW210="D",1,0)+IF(DZ210="D",1,0)+IF(EH210="D",1,0)</f>
        <v>0</v>
      </c>
      <c r="AY210" s="0" t="n">
        <f aca="false">COUNTIF(DU210:EH210, "&lt;&gt;")</f>
        <v>0</v>
      </c>
      <c r="AZ210" s="0" t="n">
        <f aca="false">IF(EH210&lt;&gt;"",1,0)</f>
        <v>0</v>
      </c>
      <c r="BB210" s="0" t="s">
        <v>152</v>
      </c>
      <c r="BD210" s="0" t="s">
        <v>153</v>
      </c>
      <c r="BH210" s="0" t="s">
        <v>153</v>
      </c>
      <c r="BJ210" s="0" t="s">
        <v>153</v>
      </c>
      <c r="BL210" s="0" t="s">
        <v>153</v>
      </c>
      <c r="CN210" s="0" t="s">
        <v>153</v>
      </c>
      <c r="CP210" s="0" t="s">
        <v>153</v>
      </c>
    </row>
    <row r="211" customFormat="false" ht="13.8" hidden="true" customHeight="false" outlineLevel="0" collapsed="false">
      <c r="A211" s="0" t="s">
        <v>1280</v>
      </c>
      <c r="B211" s="0" t="n">
        <v>78</v>
      </c>
      <c r="C211" s="0" t="n">
        <v>362775</v>
      </c>
      <c r="D211" s="0" t="s">
        <v>1281</v>
      </c>
      <c r="E211" s="0" t="s">
        <v>1282</v>
      </c>
      <c r="F211" s="0" t="str">
        <f aca="false">CONCATENATE(D211," ",LEFT(H211,4),"T=",AU211,"D=",AV211,"R=",AW211,"M=",AX211,"L=",AY211,"B=",AZ211)</f>
        <v>DAWSON T=3D=0R=0M=0L=0B=0</v>
      </c>
      <c r="G211" s="0" t="s">
        <v>670</v>
      </c>
      <c r="I211" s="0" t="s">
        <v>1283</v>
      </c>
      <c r="J211" s="0" t="s">
        <v>1284</v>
      </c>
      <c r="K211" s="0" t="s">
        <v>143</v>
      </c>
      <c r="M211" s="0" t="s">
        <v>1285</v>
      </c>
      <c r="N211" s="0" t="str">
        <f aca="false">RIGHT(M211,LEN(M211)-FIND(" ",M211))</f>
        <v>BONNIE BRAE AVE SE</v>
      </c>
      <c r="P211" s="0" t="s">
        <v>145</v>
      </c>
      <c r="Q211" s="0" t="s">
        <v>146</v>
      </c>
      <c r="R211" s="0" t="n">
        <v>44484</v>
      </c>
      <c r="AD211" s="0" t="s">
        <v>147</v>
      </c>
      <c r="AE211" s="0" t="s">
        <v>148</v>
      </c>
      <c r="AF211" s="0" t="s">
        <v>149</v>
      </c>
      <c r="AH211" s="0" t="n">
        <v>14</v>
      </c>
      <c r="AI211" s="0" t="n">
        <v>11</v>
      </c>
      <c r="AN211" s="0" t="s">
        <v>145</v>
      </c>
      <c r="AO211" s="0" t="s">
        <v>150</v>
      </c>
      <c r="AP211" s="0" t="s">
        <v>151</v>
      </c>
      <c r="AQ211" s="0" t="n">
        <v>9</v>
      </c>
      <c r="AR211" s="0" t="n">
        <v>64</v>
      </c>
      <c r="AS211" s="0" t="n">
        <v>32</v>
      </c>
      <c r="AU211" s="0" t="n">
        <f aca="false">COUNTA($BA$727:$EH$727)</f>
        <v>3</v>
      </c>
      <c r="AV211" s="0" t="n">
        <f aca="false">COUNTIF($BA$727:$EH$727,"D")</f>
        <v>0</v>
      </c>
      <c r="AW211" s="0" t="n">
        <f aca="false">COUNTIF($BA$727:$EH$727,"R")</f>
        <v>0</v>
      </c>
      <c r="AX211" s="0" t="n">
        <f aca="false">IF(BN211="D",1,0)+IF(BO211="D",1,0)+IF(BT211="D",1,0)+IF(BU211="D",1,0)+IF(BW211="D",1,0)+IF(CC211="D",1,0)+IF(CD211="D",1,0)+IF(CE211="D",1,0)+IF(CF211="D",1,0)+IF(CL211="D",1,0)+IF(CM211="D",1,0)+IF(CQ211="D",1,0)+IF(CR211="D",1,0)+IF(CS211="D",1,0)+IF(CW211="D",1,0)+IF(CX211="D",1,0)+IF(DD211="D",1,0)+IF(DE211="D",1,0)+IF(DJ211="D",1,0)+IF(DK211="D",1,0)+IF(DO211="D",1,0)+IF(DP211="D",1,0)+IF(DQ211="D",1,0)+IF(DW211="D",1,0)+IF(DZ211="D",1,0)+IF(EH211="D",1,0)</f>
        <v>0</v>
      </c>
      <c r="AY211" s="0" t="n">
        <f aca="false">COUNTIF(DU211:EH211, "&lt;&gt;")</f>
        <v>0</v>
      </c>
      <c r="AZ211" s="0" t="n">
        <f aca="false">IF(EH211&lt;&gt;"",1,0)</f>
        <v>0</v>
      </c>
      <c r="BB211" s="0" t="s">
        <v>152</v>
      </c>
    </row>
    <row r="212" customFormat="false" ht="13.8" hidden="true" customHeight="false" outlineLevel="0" collapsed="false">
      <c r="A212" s="0" t="s">
        <v>1286</v>
      </c>
      <c r="B212" s="0" t="n">
        <v>78</v>
      </c>
      <c r="C212" s="0" t="n">
        <v>296025</v>
      </c>
      <c r="D212" s="0" t="s">
        <v>1268</v>
      </c>
      <c r="E212" s="0" t="s">
        <v>1287</v>
      </c>
      <c r="F212" s="0" t="str">
        <f aca="false">CONCATENATE(D212," ",LEFT(H212,4),"T=",AU212,"D=",AV212,"R=",AW212,"M=",AX212,"L=",AY212,"B=",AZ212)</f>
        <v>WALLS T=1D=0R=0M=3L=0B=0</v>
      </c>
      <c r="G212" s="0" t="s">
        <v>171</v>
      </c>
      <c r="I212" s="0" t="s">
        <v>1288</v>
      </c>
      <c r="J212" s="0" t="s">
        <v>1289</v>
      </c>
      <c r="K212" s="0" t="s">
        <v>143</v>
      </c>
      <c r="M212" s="0" t="s">
        <v>1290</v>
      </c>
      <c r="N212" s="0" t="str">
        <f aca="false">RIGHT(M212,LEN(M212)-FIND(" ",M212))</f>
        <v>BONNIE BRAE AVE SE</v>
      </c>
      <c r="P212" s="0" t="s">
        <v>145</v>
      </c>
      <c r="Q212" s="0" t="s">
        <v>146</v>
      </c>
      <c r="R212" s="0" t="n">
        <v>44484</v>
      </c>
      <c r="AD212" s="0" t="s">
        <v>147</v>
      </c>
      <c r="AE212" s="0" t="s">
        <v>148</v>
      </c>
      <c r="AF212" s="0" t="s">
        <v>149</v>
      </c>
      <c r="AH212" s="0" t="n">
        <v>14</v>
      </c>
      <c r="AI212" s="0" t="n">
        <v>11</v>
      </c>
      <c r="AN212" s="0" t="s">
        <v>145</v>
      </c>
      <c r="AO212" s="0" t="s">
        <v>150</v>
      </c>
      <c r="AP212" s="0" t="s">
        <v>151</v>
      </c>
      <c r="AQ212" s="0" t="n">
        <v>9</v>
      </c>
      <c r="AR212" s="0" t="n">
        <v>64</v>
      </c>
      <c r="AS212" s="0" t="n">
        <v>32</v>
      </c>
      <c r="AU212" s="0" t="n">
        <f aca="false">COUNTA($BA$405:$EH$405)</f>
        <v>1</v>
      </c>
      <c r="AV212" s="0" t="n">
        <f aca="false">COUNTIF($BA$405:$EH$405,"D")</f>
        <v>0</v>
      </c>
      <c r="AW212" s="0" t="n">
        <f aca="false">COUNTIF($BA$405:$EH$405,"R")</f>
        <v>0</v>
      </c>
      <c r="AX212" s="0" t="n">
        <f aca="false">IF(BN212="D",1,0)+IF(BO212="D",1,0)+IF(BT212="D",1,0)+IF(BU212="D",1,0)+IF(BW212="D",1,0)+IF(CC212="D",1,0)+IF(CD212="D",1,0)+IF(CE212="D",1,0)+IF(CF212="D",1,0)+IF(CL212="D",1,0)+IF(CM212="D",1,0)+IF(CQ212="D",1,0)+IF(CR212="D",1,0)+IF(CS212="D",1,0)+IF(CW212="D",1,0)+IF(CX212="D",1,0)+IF(DD212="D",1,0)+IF(DE212="D",1,0)+IF(DJ212="D",1,0)+IF(DK212="D",1,0)+IF(DO212="D",1,0)+IF(DP212="D",1,0)+IF(DQ212="D",1,0)+IF(DW212="D",1,0)+IF(DZ212="D",1,0)+IF(EH212="D",1,0)</f>
        <v>3</v>
      </c>
      <c r="AY212" s="0" t="n">
        <f aca="false">COUNTIF(DU212:EH212, "&lt;&gt;")</f>
        <v>0</v>
      </c>
      <c r="AZ212" s="0" t="n">
        <f aca="false">IF(EH212&lt;&gt;"",1,0)</f>
        <v>0</v>
      </c>
      <c r="BB212" s="0" t="s">
        <v>152</v>
      </c>
      <c r="BJ212" s="0" t="s">
        <v>153</v>
      </c>
      <c r="BK212" s="0" t="s">
        <v>153</v>
      </c>
      <c r="BL212" s="0" t="s">
        <v>153</v>
      </c>
      <c r="BP212" s="0" t="s">
        <v>153</v>
      </c>
      <c r="BR212" s="0" t="s">
        <v>153</v>
      </c>
      <c r="BS212" s="0" t="s">
        <v>153</v>
      </c>
      <c r="BT212" s="0" t="s">
        <v>153</v>
      </c>
      <c r="BV212" s="0" t="s">
        <v>153</v>
      </c>
      <c r="BY212" s="0" t="s">
        <v>175</v>
      </c>
      <c r="CA212" s="0" t="s">
        <v>153</v>
      </c>
      <c r="CC212" s="0" t="s">
        <v>175</v>
      </c>
      <c r="CG212" s="0" t="s">
        <v>153</v>
      </c>
      <c r="CH212" s="0" t="s">
        <v>175</v>
      </c>
      <c r="CK212" s="0" t="s">
        <v>153</v>
      </c>
      <c r="CL212" s="0" t="s">
        <v>175</v>
      </c>
      <c r="CN212" s="0" t="s">
        <v>153</v>
      </c>
      <c r="CO212" s="0" t="s">
        <v>175</v>
      </c>
      <c r="CP212" s="0" t="s">
        <v>153</v>
      </c>
      <c r="CQ212" s="0" t="s">
        <v>175</v>
      </c>
      <c r="CT212" s="0" t="s">
        <v>153</v>
      </c>
      <c r="CV212" s="0" t="s">
        <v>153</v>
      </c>
      <c r="CY212" s="0" t="s">
        <v>153</v>
      </c>
      <c r="DC212" s="0" t="s">
        <v>153</v>
      </c>
      <c r="DF212" s="0" t="s">
        <v>153</v>
      </c>
      <c r="DI212" s="0" t="s">
        <v>153</v>
      </c>
      <c r="DN212" s="0" t="s">
        <v>153</v>
      </c>
    </row>
    <row r="213" customFormat="false" ht="13.8" hidden="true" customHeight="false" outlineLevel="0" collapsed="false">
      <c r="A213" s="0" t="s">
        <v>1291</v>
      </c>
      <c r="B213" s="0" t="n">
        <v>78</v>
      </c>
      <c r="C213" s="0" t="n">
        <v>316585</v>
      </c>
      <c r="D213" s="0" t="s">
        <v>1268</v>
      </c>
      <c r="E213" s="0" t="s">
        <v>747</v>
      </c>
      <c r="F213" s="0" t="str">
        <f aca="false">CONCATENATE(D213," ",LEFT(H213,4),"T=",AU213,"D=",AV213,"R=",AW213,"M=",AX213,"L=",AY213,"B=",AZ213)</f>
        <v>WALLS T=1D=0R=0M=1L=0B=0</v>
      </c>
      <c r="G213" s="0" t="s">
        <v>255</v>
      </c>
      <c r="I213" s="0" t="s">
        <v>1292</v>
      </c>
      <c r="J213" s="0" t="s">
        <v>1293</v>
      </c>
      <c r="K213" s="0" t="s">
        <v>143</v>
      </c>
      <c r="M213" s="0" t="s">
        <v>1290</v>
      </c>
      <c r="N213" s="0" t="str">
        <f aca="false">RIGHT(M213,LEN(M213)-FIND(" ",M213))</f>
        <v>BONNIE BRAE AVE SE</v>
      </c>
      <c r="P213" s="0" t="s">
        <v>145</v>
      </c>
      <c r="Q213" s="0" t="s">
        <v>146</v>
      </c>
      <c r="R213" s="0" t="n">
        <v>44484</v>
      </c>
      <c r="AD213" s="0" t="s">
        <v>147</v>
      </c>
      <c r="AE213" s="0" t="s">
        <v>148</v>
      </c>
      <c r="AF213" s="0" t="s">
        <v>149</v>
      </c>
      <c r="AH213" s="0" t="n">
        <v>14</v>
      </c>
      <c r="AI213" s="0" t="n">
        <v>11</v>
      </c>
      <c r="AN213" s="0" t="s">
        <v>145</v>
      </c>
      <c r="AO213" s="0" t="s">
        <v>150</v>
      </c>
      <c r="AP213" s="0" t="s">
        <v>151</v>
      </c>
      <c r="AQ213" s="0" t="n">
        <v>9</v>
      </c>
      <c r="AR213" s="0" t="n">
        <v>64</v>
      </c>
      <c r="AS213" s="0" t="n">
        <v>32</v>
      </c>
      <c r="AU213" s="0" t="n">
        <f aca="false">COUNTA($BA$1035:$EH$1035)</f>
        <v>1</v>
      </c>
      <c r="AV213" s="0" t="n">
        <f aca="false">COUNTIF($BA$1035:$EH$1035,"D")</f>
        <v>0</v>
      </c>
      <c r="AW213" s="0" t="n">
        <f aca="false">COUNTIF($BA$1035:$EH$1035,"R")</f>
        <v>0</v>
      </c>
      <c r="AX213" s="0" t="n">
        <f aca="false">IF(BN213="D",1,0)+IF(BO213="D",1,0)+IF(BT213="D",1,0)+IF(BU213="D",1,0)+IF(BW213="D",1,0)+IF(CC213="D",1,0)+IF(CD213="D",1,0)+IF(CE213="D",1,0)+IF(CF213="D",1,0)+IF(CL213="D",1,0)+IF(CM213="D",1,0)+IF(CQ213="D",1,0)+IF(CR213="D",1,0)+IF(CS213="D",1,0)+IF(CW213="D",1,0)+IF(CX213="D",1,0)+IF(DD213="D",1,0)+IF(DE213="D",1,0)+IF(DJ213="D",1,0)+IF(DK213="D",1,0)+IF(DO213="D",1,0)+IF(DP213="D",1,0)+IF(DQ213="D",1,0)+IF(DW213="D",1,0)+IF(DZ213="D",1,0)+IF(EH213="D",1,0)</f>
        <v>1</v>
      </c>
      <c r="AY213" s="0" t="n">
        <f aca="false">COUNTIF(DU213:EH213, "&lt;&gt;")</f>
        <v>0</v>
      </c>
      <c r="AZ213" s="0" t="n">
        <f aca="false">IF(EH213&lt;&gt;"",1,0)</f>
        <v>0</v>
      </c>
      <c r="BB213" s="0" t="s">
        <v>152</v>
      </c>
      <c r="BJ213" s="0" t="s">
        <v>153</v>
      </c>
      <c r="BK213" s="0" t="s">
        <v>153</v>
      </c>
      <c r="BL213" s="0" t="s">
        <v>153</v>
      </c>
      <c r="BS213" s="0" t="s">
        <v>153</v>
      </c>
      <c r="BY213" s="0" t="s">
        <v>175</v>
      </c>
      <c r="CA213" s="0" t="s">
        <v>153</v>
      </c>
      <c r="CC213" s="0" t="s">
        <v>175</v>
      </c>
      <c r="CG213" s="0" t="s">
        <v>153</v>
      </c>
      <c r="CH213" s="0" t="s">
        <v>175</v>
      </c>
      <c r="CK213" s="0" t="s">
        <v>153</v>
      </c>
      <c r="CN213" s="0" t="s">
        <v>153</v>
      </c>
      <c r="CO213" s="0" t="s">
        <v>175</v>
      </c>
      <c r="CP213" s="0" t="s">
        <v>153</v>
      </c>
      <c r="CV213" s="0" t="s">
        <v>153</v>
      </c>
      <c r="CY213" s="0" t="s">
        <v>153</v>
      </c>
      <c r="CZ213" s="0" t="s">
        <v>175</v>
      </c>
      <c r="DC213" s="0" t="s">
        <v>153</v>
      </c>
      <c r="DN213" s="0" t="s">
        <v>153</v>
      </c>
    </row>
    <row r="214" customFormat="false" ht="13.8" hidden="true" customHeight="false" outlineLevel="0" collapsed="false">
      <c r="A214" s="0" t="s">
        <v>1294</v>
      </c>
      <c r="B214" s="0" t="n">
        <v>78</v>
      </c>
      <c r="C214" s="0" t="n">
        <v>379337</v>
      </c>
      <c r="D214" s="0" t="s">
        <v>1268</v>
      </c>
      <c r="E214" s="0" t="s">
        <v>1295</v>
      </c>
      <c r="F214" s="0" t="str">
        <f aca="false">CONCATENATE(D214," ",LEFT(H214,4),"T=",AU214,"D=",AV214,"R=",AW214,"M=",AX214,"L=",AY214,"B=",AZ214)</f>
        <v>WALLS T=1D=0R=0M=0L=0B=0</v>
      </c>
      <c r="G214" s="0" t="s">
        <v>255</v>
      </c>
      <c r="I214" s="0" t="s">
        <v>1296</v>
      </c>
      <c r="J214" s="0" t="s">
        <v>1297</v>
      </c>
      <c r="K214" s="0" t="s">
        <v>143</v>
      </c>
      <c r="M214" s="0" t="s">
        <v>1290</v>
      </c>
      <c r="N214" s="0" t="str">
        <f aca="false">RIGHT(M214,LEN(M214)-FIND(" ",M214))</f>
        <v>BONNIE BRAE AVE SE</v>
      </c>
      <c r="P214" s="0" t="s">
        <v>145</v>
      </c>
      <c r="Q214" s="0" t="s">
        <v>146</v>
      </c>
      <c r="R214" s="0" t="n">
        <v>44484</v>
      </c>
      <c r="AD214" s="0" t="s">
        <v>147</v>
      </c>
      <c r="AE214" s="0" t="s">
        <v>148</v>
      </c>
      <c r="AF214" s="0" t="s">
        <v>149</v>
      </c>
      <c r="AH214" s="0" t="n">
        <v>14</v>
      </c>
      <c r="AI214" s="0" t="n">
        <v>11</v>
      </c>
      <c r="AN214" s="0" t="s">
        <v>145</v>
      </c>
      <c r="AO214" s="0" t="s">
        <v>150</v>
      </c>
      <c r="AP214" s="0" t="s">
        <v>151</v>
      </c>
      <c r="AQ214" s="0" t="n">
        <v>9</v>
      </c>
      <c r="AR214" s="0" t="n">
        <v>64</v>
      </c>
      <c r="AS214" s="0" t="n">
        <v>32</v>
      </c>
      <c r="AU214" s="0" t="n">
        <f aca="false">COUNTA($BA$1045:$EH$1045)</f>
        <v>1</v>
      </c>
      <c r="AV214" s="0" t="n">
        <f aca="false">COUNTIF($BA$1045:$EH$1045,"D")</f>
        <v>0</v>
      </c>
      <c r="AW214" s="0" t="n">
        <f aca="false">COUNTIF($BA$1045:$EH$1045,"R")</f>
        <v>0</v>
      </c>
      <c r="AX214" s="0" t="n">
        <f aca="false">IF(BN214="D",1,0)+IF(BO214="D",1,0)+IF(BT214="D",1,0)+IF(BU214="D",1,0)+IF(BW214="D",1,0)+IF(CC214="D",1,0)+IF(CD214="D",1,0)+IF(CE214="D",1,0)+IF(CF214="D",1,0)+IF(CL214="D",1,0)+IF(CM214="D",1,0)+IF(CQ214="D",1,0)+IF(CR214="D",1,0)+IF(CS214="D",1,0)+IF(CW214="D",1,0)+IF(CX214="D",1,0)+IF(DD214="D",1,0)+IF(DE214="D",1,0)+IF(DJ214="D",1,0)+IF(DK214="D",1,0)+IF(DO214="D",1,0)+IF(DP214="D",1,0)+IF(DQ214="D",1,0)+IF(DW214="D",1,0)+IF(DZ214="D",1,0)+IF(EH214="D",1,0)</f>
        <v>0</v>
      </c>
      <c r="AY214" s="0" t="n">
        <f aca="false">COUNTIF(DU214:EH214, "&lt;&gt;")</f>
        <v>0</v>
      </c>
      <c r="AZ214" s="0" t="n">
        <f aca="false">IF(EH214&lt;&gt;"",1,0)</f>
        <v>0</v>
      </c>
      <c r="BB214" s="0" t="s">
        <v>152</v>
      </c>
      <c r="CN214" s="0" t="s">
        <v>153</v>
      </c>
      <c r="CO214" s="0" t="s">
        <v>175</v>
      </c>
      <c r="CP214" s="0" t="s">
        <v>153</v>
      </c>
      <c r="CY214" s="0" t="s">
        <v>153</v>
      </c>
      <c r="CZ214" s="0" t="s">
        <v>175</v>
      </c>
      <c r="DN214" s="0" t="s">
        <v>153</v>
      </c>
    </row>
    <row r="215" customFormat="false" ht="13.8" hidden="true" customHeight="false" outlineLevel="0" collapsed="false">
      <c r="A215" s="0" t="s">
        <v>1298</v>
      </c>
      <c r="B215" s="0" t="n">
        <v>78</v>
      </c>
      <c r="C215" s="0" t="n">
        <v>458505</v>
      </c>
      <c r="D215" s="0" t="s">
        <v>1299</v>
      </c>
      <c r="E215" s="0" t="s">
        <v>1300</v>
      </c>
      <c r="F215" s="0" t="str">
        <f aca="false">CONCATENATE(D215," ",LEFT(H215,4),"T=",AU215,"D=",AV215,"R=",AW215,"M=",AX215,"L=",AY215,"B=",AZ215)</f>
        <v>RICHARDS T=4D=0R=0M=0L=0B=0</v>
      </c>
      <c r="G215" s="0" t="s">
        <v>275</v>
      </c>
      <c r="I215" s="0" t="s">
        <v>1301</v>
      </c>
      <c r="J215" s="0" t="s">
        <v>1302</v>
      </c>
      <c r="K215" s="0" t="s">
        <v>143</v>
      </c>
      <c r="M215" s="0" t="s">
        <v>1303</v>
      </c>
      <c r="N215" s="0" t="str">
        <f aca="false">RIGHT(M215,LEN(M215)-FIND(" ",M215))</f>
        <v>BONNIE BRAE AVE SE</v>
      </c>
      <c r="P215" s="0" t="s">
        <v>145</v>
      </c>
      <c r="Q215" s="0" t="s">
        <v>146</v>
      </c>
      <c r="R215" s="0" t="n">
        <v>44484</v>
      </c>
      <c r="AD215" s="0" t="s">
        <v>147</v>
      </c>
      <c r="AE215" s="0" t="s">
        <v>148</v>
      </c>
      <c r="AF215" s="0" t="s">
        <v>149</v>
      </c>
      <c r="AH215" s="0" t="n">
        <v>14</v>
      </c>
      <c r="AI215" s="0" t="n">
        <v>11</v>
      </c>
      <c r="AN215" s="0" t="s">
        <v>145</v>
      </c>
      <c r="AO215" s="0" t="s">
        <v>150</v>
      </c>
      <c r="AP215" s="0" t="s">
        <v>151</v>
      </c>
      <c r="AQ215" s="0" t="n">
        <v>9</v>
      </c>
      <c r="AR215" s="0" t="n">
        <v>64</v>
      </c>
      <c r="AS215" s="0" t="n">
        <v>32</v>
      </c>
      <c r="AU215" s="0" t="n">
        <f aca="false">COUNTA($BA$107:$EH$107)</f>
        <v>4</v>
      </c>
      <c r="AV215" s="0" t="n">
        <f aca="false">COUNTIF($BA$107:$EH$107,"D")</f>
        <v>0</v>
      </c>
      <c r="AW215" s="0" t="n">
        <f aca="false">COUNTIF($BA$107:$EH$107,"R")</f>
        <v>0</v>
      </c>
      <c r="AX215" s="0" t="n">
        <f aca="false">IF(BN215="D",1,0)+IF(BO215="D",1,0)+IF(BT215="D",1,0)+IF(BU215="D",1,0)+IF(BW215="D",1,0)+IF(CC215="D",1,0)+IF(CD215="D",1,0)+IF(CE215="D",1,0)+IF(CF215="D",1,0)+IF(CL215="D",1,0)+IF(CM215="D",1,0)+IF(CQ215="D",1,0)+IF(CR215="D",1,0)+IF(CS215="D",1,0)+IF(CW215="D",1,0)+IF(CX215="D",1,0)+IF(DD215="D",1,0)+IF(DE215="D",1,0)+IF(DJ215="D",1,0)+IF(DK215="D",1,0)+IF(DO215="D",1,0)+IF(DP215="D",1,0)+IF(DQ215="D",1,0)+IF(DW215="D",1,0)+IF(DZ215="D",1,0)+IF(EH215="D",1,0)</f>
        <v>0</v>
      </c>
      <c r="AY215" s="0" t="n">
        <f aca="false">COUNTIF(DU215:EH215, "&lt;&gt;")</f>
        <v>0</v>
      </c>
      <c r="AZ215" s="0" t="n">
        <f aca="false">IF(EH215&lt;&gt;"",1,0)</f>
        <v>0</v>
      </c>
      <c r="BB215" s="0" t="s">
        <v>152</v>
      </c>
    </row>
    <row r="216" customFormat="false" ht="13.8" hidden="true" customHeight="false" outlineLevel="0" collapsed="false">
      <c r="A216" s="0" t="s">
        <v>1304</v>
      </c>
      <c r="B216" s="0" t="n">
        <v>78</v>
      </c>
      <c r="C216" s="0" t="n">
        <v>458241</v>
      </c>
      <c r="D216" s="0" t="s">
        <v>1305</v>
      </c>
      <c r="E216" s="0" t="s">
        <v>140</v>
      </c>
      <c r="F216" s="0" t="str">
        <f aca="false">CONCATENATE(D216," ",LEFT(H216,4),"T=",AU216,"D=",AV216,"R=",AW216,"M=",AX216,"L=",AY216,"B=",AZ216)</f>
        <v>SHERWOOD T=4D=0R=0M=0L=0B=0</v>
      </c>
      <c r="G216" s="0" t="s">
        <v>379</v>
      </c>
      <c r="I216" s="0" t="s">
        <v>1306</v>
      </c>
      <c r="J216" s="0" t="s">
        <v>1307</v>
      </c>
      <c r="K216" s="0" t="s">
        <v>143</v>
      </c>
      <c r="M216" s="0" t="s">
        <v>1303</v>
      </c>
      <c r="N216" s="0" t="str">
        <f aca="false">RIGHT(M216,LEN(M216)-FIND(" ",M216))</f>
        <v>BONNIE BRAE AVE SE</v>
      </c>
      <c r="P216" s="0" t="s">
        <v>145</v>
      </c>
      <c r="Q216" s="0" t="s">
        <v>146</v>
      </c>
      <c r="R216" s="0" t="n">
        <v>44484</v>
      </c>
      <c r="AD216" s="0" t="s">
        <v>147</v>
      </c>
      <c r="AE216" s="0" t="s">
        <v>148</v>
      </c>
      <c r="AF216" s="0" t="s">
        <v>149</v>
      </c>
      <c r="AH216" s="0" t="n">
        <v>14</v>
      </c>
      <c r="AI216" s="0" t="n">
        <v>11</v>
      </c>
      <c r="AN216" s="0" t="s">
        <v>145</v>
      </c>
      <c r="AO216" s="0" t="s">
        <v>150</v>
      </c>
      <c r="AP216" s="0" t="s">
        <v>151</v>
      </c>
      <c r="AQ216" s="0" t="n">
        <v>9</v>
      </c>
      <c r="AR216" s="0" t="n">
        <v>64</v>
      </c>
      <c r="AS216" s="0" t="n">
        <v>32</v>
      </c>
      <c r="AU216" s="0" t="n">
        <f aca="false">COUNTA($BA$539:$EH$539)</f>
        <v>4</v>
      </c>
      <c r="AV216" s="0" t="n">
        <f aca="false">COUNTIF($BA$539:$EH$539,"D")</f>
        <v>0</v>
      </c>
      <c r="AW216" s="0" t="n">
        <f aca="false">COUNTIF($BA$539:$EH$539,"R")</f>
        <v>0</v>
      </c>
      <c r="AX216" s="0" t="n">
        <f aca="false">IF(BN216="D",1,0)+IF(BO216="D",1,0)+IF(BT216="D",1,0)+IF(BU216="D",1,0)+IF(BW216="D",1,0)+IF(CC216="D",1,0)+IF(CD216="D",1,0)+IF(CE216="D",1,0)+IF(CF216="D",1,0)+IF(CL216="D",1,0)+IF(CM216="D",1,0)+IF(CQ216="D",1,0)+IF(CR216="D",1,0)+IF(CS216="D",1,0)+IF(CW216="D",1,0)+IF(CX216="D",1,0)+IF(DD216="D",1,0)+IF(DE216="D",1,0)+IF(DJ216="D",1,0)+IF(DK216="D",1,0)+IF(DO216="D",1,0)+IF(DP216="D",1,0)+IF(DQ216="D",1,0)+IF(DW216="D",1,0)+IF(DZ216="D",1,0)+IF(EH216="D",1,0)</f>
        <v>0</v>
      </c>
      <c r="AY216" s="0" t="n">
        <f aca="false">COUNTIF(DU216:EH216, "&lt;&gt;")</f>
        <v>0</v>
      </c>
      <c r="AZ216" s="0" t="n">
        <f aca="false">IF(EH216&lt;&gt;"",1,0)</f>
        <v>0</v>
      </c>
      <c r="BB216" s="0" t="s">
        <v>152</v>
      </c>
    </row>
    <row r="217" customFormat="false" ht="13.8" hidden="false" customHeight="false" outlineLevel="0" collapsed="false">
      <c r="A217" s="0" t="s">
        <v>1308</v>
      </c>
      <c r="B217" s="0" t="n">
        <v>78</v>
      </c>
      <c r="C217" s="0" t="n">
        <v>418550</v>
      </c>
      <c r="D217" s="0" t="s">
        <v>1309</v>
      </c>
      <c r="E217" s="0" t="s">
        <v>663</v>
      </c>
      <c r="F217" s="0" t="str">
        <f aca="false">CONCATENATE(D217," ",LEFT(H217,4),"T=",AU217,"D=",AV217,"R=",AW217,"M=",AX217,"L=",AY217,"B=",AZ217)</f>
        <v>REMSEY T=1D=0R=0M=1L=6B=1</v>
      </c>
      <c r="G217" s="0" t="s">
        <v>1310</v>
      </c>
      <c r="I217" s="0" t="s">
        <v>1311</v>
      </c>
      <c r="J217" s="0" t="s">
        <v>727</v>
      </c>
      <c r="K217" s="0" t="s">
        <v>160</v>
      </c>
      <c r="L217" s="0" t="s">
        <v>175</v>
      </c>
      <c r="M217" s="0" t="s">
        <v>1312</v>
      </c>
      <c r="N217" s="0" t="str">
        <f aca="false">RIGHT(M217,LEN(M217)-FIND(" ",M217))</f>
        <v>BONNIE BRAE AVE SE</v>
      </c>
      <c r="P217" s="0" t="s">
        <v>145</v>
      </c>
      <c r="Q217" s="0" t="s">
        <v>146</v>
      </c>
      <c r="R217" s="0" t="n">
        <v>44484</v>
      </c>
      <c r="AD217" s="0" t="s">
        <v>147</v>
      </c>
      <c r="AE217" s="0" t="s">
        <v>148</v>
      </c>
      <c r="AF217" s="0" t="s">
        <v>149</v>
      </c>
      <c r="AH217" s="0" t="n">
        <v>14</v>
      </c>
      <c r="AI217" s="0" t="n">
        <v>11</v>
      </c>
      <c r="AN217" s="0" t="s">
        <v>145</v>
      </c>
      <c r="AO217" s="0" t="s">
        <v>150</v>
      </c>
      <c r="AP217" s="0" t="s">
        <v>151</v>
      </c>
      <c r="AQ217" s="0" t="n">
        <v>9</v>
      </c>
      <c r="AR217" s="0" t="n">
        <v>64</v>
      </c>
      <c r="AS217" s="0" t="n">
        <v>32</v>
      </c>
      <c r="AU217" s="0" t="n">
        <f aca="false">COUNTA($BA$71:$EH$71)</f>
        <v>1</v>
      </c>
      <c r="AV217" s="0" t="n">
        <f aca="false">COUNTIF($BA$71:$EH$71,"D")</f>
        <v>0</v>
      </c>
      <c r="AW217" s="0" t="n">
        <f aca="false">COUNTIF($BA$71:$EH$71,"R")</f>
        <v>0</v>
      </c>
      <c r="AX217" s="0" t="n">
        <f aca="false">IF(BN217="D",1,0)+IF(BO217="D",1,0)+IF(BT217="D",1,0)+IF(BU217="D",1,0)+IF(BW217="D",1,0)+IF(CC217="D",1,0)+IF(CD217="D",1,0)+IF(CE217="D",1,0)+IF(CF217="D",1,0)+IF(CL217="D",1,0)+IF(CM217="D",1,0)+IF(CQ217="D",1,0)+IF(CR217="D",1,0)+IF(CS217="D",1,0)+IF(CW217="D",1,0)+IF(CX217="D",1,0)+IF(DD217="D",1,0)+IF(DE217="D",1,0)+IF(DJ217="D",1,0)+IF(DK217="D",1,0)+IF(DO217="D",1,0)+IF(DP217="D",1,0)+IF(DQ217="D",1,0)+IF(DW217="D",1,0)+IF(DZ217="D",1,0)+IF(EH217="D",1,0)</f>
        <v>1</v>
      </c>
      <c r="AY217" s="0" t="n">
        <f aca="false">COUNTIF(DU217:EH217, "&lt;&gt;")</f>
        <v>6</v>
      </c>
      <c r="AZ217" s="0" t="n">
        <f aca="false">IF(EH217&lt;&gt;"",1,0)</f>
        <v>1</v>
      </c>
      <c r="BB217" s="0" t="s">
        <v>152</v>
      </c>
      <c r="BH217" s="0" t="s">
        <v>153</v>
      </c>
      <c r="BK217" s="0" t="s">
        <v>153</v>
      </c>
      <c r="BL217" s="0" t="s">
        <v>153</v>
      </c>
      <c r="BP217" s="0" t="s">
        <v>153</v>
      </c>
      <c r="BS217" s="0" t="s">
        <v>153</v>
      </c>
      <c r="BY217" s="0" t="s">
        <v>175</v>
      </c>
      <c r="CA217" s="0" t="s">
        <v>153</v>
      </c>
      <c r="DC217" s="0" t="s">
        <v>153</v>
      </c>
      <c r="DF217" s="0" t="s">
        <v>153</v>
      </c>
      <c r="DG217" s="0" t="s">
        <v>175</v>
      </c>
      <c r="DI217" s="0" t="s">
        <v>153</v>
      </c>
      <c r="DL217" s="0" t="s">
        <v>153</v>
      </c>
      <c r="DM217" s="0" t="s">
        <v>175</v>
      </c>
      <c r="DN217" s="0" t="s">
        <v>153</v>
      </c>
      <c r="DR217" s="0" t="s">
        <v>153</v>
      </c>
      <c r="DS217" s="0" t="s">
        <v>175</v>
      </c>
      <c r="DT217" s="0" t="s">
        <v>175</v>
      </c>
      <c r="DU217" s="0" t="s">
        <v>153</v>
      </c>
      <c r="DX217" s="0" t="s">
        <v>153</v>
      </c>
      <c r="EA217" s="0" t="s">
        <v>153</v>
      </c>
      <c r="ED217" s="0" t="s">
        <v>175</v>
      </c>
      <c r="EF217" s="0" t="s">
        <v>153</v>
      </c>
      <c r="EH217" s="0" t="s">
        <v>175</v>
      </c>
    </row>
    <row r="218" customFormat="false" ht="13.8" hidden="true" customHeight="false" outlineLevel="0" collapsed="false">
      <c r="A218" s="0" t="s">
        <v>1313</v>
      </c>
      <c r="B218" s="0" t="n">
        <v>78</v>
      </c>
      <c r="C218" s="0" t="n">
        <v>468221</v>
      </c>
      <c r="D218" s="0" t="s">
        <v>1314</v>
      </c>
      <c r="E218" s="0" t="s">
        <v>943</v>
      </c>
      <c r="F218" s="0" t="str">
        <f aca="false">CONCATENATE(D218," ",LEFT(H218,4),"T=",AU218,"D=",AV218,"R=",AW218,"M=",AX218,"L=",AY218,"B=",AZ218)</f>
        <v>WALERYSZAK T=8D=2R=0M=0L=0B=0</v>
      </c>
      <c r="G218" s="0" t="s">
        <v>890</v>
      </c>
      <c r="I218" s="0" t="s">
        <v>1315</v>
      </c>
      <c r="J218" s="0" t="s">
        <v>1316</v>
      </c>
      <c r="K218" s="0" t="s">
        <v>160</v>
      </c>
      <c r="M218" s="0" t="s">
        <v>1312</v>
      </c>
      <c r="N218" s="0" t="str">
        <f aca="false">RIGHT(M218,LEN(M218)-FIND(" ",M218))</f>
        <v>BONNIE BRAE AVE SE</v>
      </c>
      <c r="P218" s="0" t="s">
        <v>145</v>
      </c>
      <c r="Q218" s="0" t="s">
        <v>146</v>
      </c>
      <c r="R218" s="0" t="n">
        <v>44484</v>
      </c>
      <c r="AD218" s="0" t="s">
        <v>147</v>
      </c>
      <c r="AE218" s="0" t="s">
        <v>148</v>
      </c>
      <c r="AF218" s="0" t="s">
        <v>149</v>
      </c>
      <c r="AH218" s="0" t="n">
        <v>14</v>
      </c>
      <c r="AI218" s="0" t="n">
        <v>11</v>
      </c>
      <c r="AN218" s="0" t="s">
        <v>145</v>
      </c>
      <c r="AO218" s="0" t="s">
        <v>150</v>
      </c>
      <c r="AP218" s="0" t="s">
        <v>151</v>
      </c>
      <c r="AQ218" s="0" t="n">
        <v>9</v>
      </c>
      <c r="AR218" s="0" t="n">
        <v>64</v>
      </c>
      <c r="AS218" s="0" t="n">
        <v>32</v>
      </c>
      <c r="AU218" s="0" t="n">
        <f aca="false">COUNTA($BA$634:$EH$634)</f>
        <v>8</v>
      </c>
      <c r="AV218" s="0" t="n">
        <f aca="false">COUNTIF($BA$634:$EH$634,"D")</f>
        <v>2</v>
      </c>
      <c r="AW218" s="0" t="n">
        <f aca="false">COUNTIF($BA$634:$EH$634,"R")</f>
        <v>0</v>
      </c>
      <c r="AX218" s="0" t="n">
        <f aca="false">IF(BN218="D",1,0)+IF(BO218="D",1,0)+IF(BT218="D",1,0)+IF(BU218="D",1,0)+IF(BW218="D",1,0)+IF(CC218="D",1,0)+IF(CD218="D",1,0)+IF(CE218="D",1,0)+IF(CF218="D",1,0)+IF(CL218="D",1,0)+IF(CM218="D",1,0)+IF(CQ218="D",1,0)+IF(CR218="D",1,0)+IF(CS218="D",1,0)+IF(CW218="D",1,0)+IF(CX218="D",1,0)+IF(DD218="D",1,0)+IF(DE218="D",1,0)+IF(DJ218="D",1,0)+IF(DK218="D",1,0)+IF(DO218="D",1,0)+IF(DP218="D",1,0)+IF(DQ218="D",1,0)+IF(DW218="D",1,0)+IF(DZ218="D",1,0)+IF(EH218="D",1,0)</f>
        <v>0</v>
      </c>
      <c r="AY218" s="0" t="n">
        <f aca="false">COUNTIF(DU218:EH218, "&lt;&gt;")</f>
        <v>0</v>
      </c>
      <c r="AZ218" s="0" t="n">
        <f aca="false">IF(EH218&lt;&gt;"",1,0)</f>
        <v>0</v>
      </c>
      <c r="BB218" s="0" t="s">
        <v>152</v>
      </c>
    </row>
    <row r="219" customFormat="false" ht="13.8" hidden="false" customHeight="false" outlineLevel="0" collapsed="false">
      <c r="A219" s="0" t="s">
        <v>1317</v>
      </c>
      <c r="B219" s="0" t="n">
        <v>78</v>
      </c>
      <c r="C219" s="0" t="n">
        <v>423958</v>
      </c>
      <c r="D219" s="0" t="s">
        <v>1217</v>
      </c>
      <c r="E219" s="0" t="s">
        <v>796</v>
      </c>
      <c r="F219" s="0" t="str">
        <f aca="false">CONCATENATE(D219," ",LEFT(H219,4),"T=",AU219,"D=",AV219,"R=",AW219,"M=",AX219,"L=",AY219,"B=",AZ219)</f>
        <v>PEARSON T=1D=0R=0M=0L=4B=0</v>
      </c>
      <c r="G219" s="0" t="s">
        <v>275</v>
      </c>
      <c r="I219" s="0" t="s">
        <v>1318</v>
      </c>
      <c r="J219" s="0" t="s">
        <v>1319</v>
      </c>
      <c r="K219" s="0" t="s">
        <v>160</v>
      </c>
      <c r="M219" s="0" t="s">
        <v>1320</v>
      </c>
      <c r="N219" s="0" t="str">
        <f aca="false">RIGHT(M219,LEN(M219)-FIND(" ",M219))</f>
        <v>BONNIE BRAE AVE SE</v>
      </c>
      <c r="P219" s="0" t="s">
        <v>145</v>
      </c>
      <c r="Q219" s="0" t="s">
        <v>146</v>
      </c>
      <c r="R219" s="0" t="n">
        <v>44484</v>
      </c>
      <c r="AD219" s="0" t="s">
        <v>147</v>
      </c>
      <c r="AE219" s="0" t="s">
        <v>148</v>
      </c>
      <c r="AF219" s="0" t="s">
        <v>149</v>
      </c>
      <c r="AH219" s="0" t="n">
        <v>14</v>
      </c>
      <c r="AI219" s="0" t="n">
        <v>11</v>
      </c>
      <c r="AN219" s="0" t="s">
        <v>145</v>
      </c>
      <c r="AO219" s="0" t="s">
        <v>150</v>
      </c>
      <c r="AP219" s="0" t="s">
        <v>151</v>
      </c>
      <c r="AQ219" s="0" t="n">
        <v>9</v>
      </c>
      <c r="AR219" s="0" t="n">
        <v>64</v>
      </c>
      <c r="AS219" s="0" t="n">
        <v>32</v>
      </c>
      <c r="AU219" s="0" t="n">
        <f aca="false">COUNTA($BA$112:$EH$112)</f>
        <v>1</v>
      </c>
      <c r="AV219" s="0" t="n">
        <f aca="false">COUNTIF($BA$112:$EH$112,"D")</f>
        <v>0</v>
      </c>
      <c r="AW219" s="0" t="n">
        <f aca="false">COUNTIF($BA$112:$EH$112,"R")</f>
        <v>0</v>
      </c>
      <c r="AX219" s="0" t="n">
        <f aca="false">IF(BN219="D",1,0)+IF(BO219="D",1,0)+IF(BT219="D",1,0)+IF(BU219="D",1,0)+IF(BW219="D",1,0)+IF(CC219="D",1,0)+IF(CD219="D",1,0)+IF(CE219="D",1,0)+IF(CF219="D",1,0)+IF(CL219="D",1,0)+IF(CM219="D",1,0)+IF(CQ219="D",1,0)+IF(CR219="D",1,0)+IF(CS219="D",1,0)+IF(CW219="D",1,0)+IF(CX219="D",1,0)+IF(DD219="D",1,0)+IF(DE219="D",1,0)+IF(DJ219="D",1,0)+IF(DK219="D",1,0)+IF(DO219="D",1,0)+IF(DP219="D",1,0)+IF(DQ219="D",1,0)+IF(DW219="D",1,0)+IF(DZ219="D",1,0)+IF(EH219="D",1,0)</f>
        <v>0</v>
      </c>
      <c r="AY219" s="0" t="n">
        <f aca="false">COUNTIF(DU219:EH219, "&lt;&gt;")</f>
        <v>4</v>
      </c>
      <c r="AZ219" s="0" t="n">
        <f aca="false">IF(EH219&lt;&gt;"",1,0)</f>
        <v>0</v>
      </c>
      <c r="BB219" s="0" t="s">
        <v>152</v>
      </c>
      <c r="DI219" s="0" t="s">
        <v>153</v>
      </c>
      <c r="DL219" s="0" t="s">
        <v>153</v>
      </c>
      <c r="DM219" s="0" t="s">
        <v>175</v>
      </c>
      <c r="DN219" s="0" t="s">
        <v>153</v>
      </c>
      <c r="DU219" s="0" t="s">
        <v>153</v>
      </c>
      <c r="DX219" s="0" t="s">
        <v>153</v>
      </c>
      <c r="EA219" s="0" t="s">
        <v>153</v>
      </c>
      <c r="EF219" s="0" t="s">
        <v>153</v>
      </c>
    </row>
    <row r="220" customFormat="false" ht="13.8" hidden="false" customHeight="false" outlineLevel="0" collapsed="false">
      <c r="A220" s="0" t="s">
        <v>1321</v>
      </c>
      <c r="B220" s="0" t="n">
        <v>78</v>
      </c>
      <c r="C220" s="0" t="n">
        <v>415615</v>
      </c>
      <c r="D220" s="0" t="s">
        <v>1217</v>
      </c>
      <c r="E220" s="0" t="s">
        <v>1322</v>
      </c>
      <c r="F220" s="0" t="str">
        <f aca="false">CONCATENATE(D220," ",LEFT(H220,4),"T=",AU220,"D=",AV220,"R=",AW220,"M=",AX220,"L=",AY220,"B=",AZ220)</f>
        <v>PEARSON T=28D=6R=0M=0L=3B=0</v>
      </c>
      <c r="G220" s="0" t="s">
        <v>1082</v>
      </c>
      <c r="I220" s="0" t="s">
        <v>1323</v>
      </c>
      <c r="J220" s="0" t="s">
        <v>1324</v>
      </c>
      <c r="K220" s="0" t="s">
        <v>160</v>
      </c>
      <c r="M220" s="0" t="s">
        <v>1320</v>
      </c>
      <c r="N220" s="0" t="str">
        <f aca="false">RIGHT(M220,LEN(M220)-FIND(" ",M220))</f>
        <v>BONNIE BRAE AVE SE</v>
      </c>
      <c r="P220" s="0" t="s">
        <v>145</v>
      </c>
      <c r="Q220" s="0" t="s">
        <v>146</v>
      </c>
      <c r="R220" s="0" t="n">
        <v>44484</v>
      </c>
      <c r="AD220" s="0" t="s">
        <v>147</v>
      </c>
      <c r="AE220" s="0" t="s">
        <v>148</v>
      </c>
      <c r="AF220" s="0" t="s">
        <v>149</v>
      </c>
      <c r="AH220" s="0" t="n">
        <v>14</v>
      </c>
      <c r="AI220" s="0" t="n">
        <v>11</v>
      </c>
      <c r="AN220" s="0" t="s">
        <v>145</v>
      </c>
      <c r="AO220" s="0" t="s">
        <v>150</v>
      </c>
      <c r="AP220" s="0" t="s">
        <v>151</v>
      </c>
      <c r="AQ220" s="0" t="n">
        <v>9</v>
      </c>
      <c r="AR220" s="0" t="n">
        <v>64</v>
      </c>
      <c r="AS220" s="0" t="n">
        <v>32</v>
      </c>
      <c r="AU220" s="0" t="n">
        <f aca="false">COUNTA($BA$440:$EH$440)</f>
        <v>28</v>
      </c>
      <c r="AV220" s="0" t="n">
        <f aca="false">COUNTIF($BA$440:$EH$440,"D")</f>
        <v>6</v>
      </c>
      <c r="AW220" s="0" t="n">
        <f aca="false">COUNTIF($BA$440:$EH$440,"R")</f>
        <v>0</v>
      </c>
      <c r="AX220" s="0" t="n">
        <f aca="false">IF(BN220="D",1,0)+IF(BO220="D",1,0)+IF(BT220="D",1,0)+IF(BU220="D",1,0)+IF(BW220="D",1,0)+IF(CC220="D",1,0)+IF(CD220="D",1,0)+IF(CE220="D",1,0)+IF(CF220="D",1,0)+IF(CL220="D",1,0)+IF(CM220="D",1,0)+IF(CQ220="D",1,0)+IF(CR220="D",1,0)+IF(CS220="D",1,0)+IF(CW220="D",1,0)+IF(CX220="D",1,0)+IF(DD220="D",1,0)+IF(DE220="D",1,0)+IF(DJ220="D",1,0)+IF(DK220="D",1,0)+IF(DO220="D",1,0)+IF(DP220="D",1,0)+IF(DQ220="D",1,0)+IF(DW220="D",1,0)+IF(DZ220="D",1,0)+IF(EH220="D",1,0)</f>
        <v>0</v>
      </c>
      <c r="AY220" s="0" t="n">
        <f aca="false">COUNTIF(DU220:EH220, "&lt;&gt;")</f>
        <v>3</v>
      </c>
      <c r="AZ220" s="0" t="n">
        <f aca="false">IF(EH220&lt;&gt;"",1,0)</f>
        <v>0</v>
      </c>
      <c r="BB220" s="0" t="s">
        <v>152</v>
      </c>
      <c r="DC220" s="0" t="s">
        <v>153</v>
      </c>
      <c r="DI220" s="0" t="s">
        <v>153</v>
      </c>
      <c r="DL220" s="0" t="s">
        <v>153</v>
      </c>
      <c r="DM220" s="0" t="s">
        <v>175</v>
      </c>
      <c r="DN220" s="0" t="s">
        <v>153</v>
      </c>
      <c r="DU220" s="0" t="s">
        <v>153</v>
      </c>
      <c r="EA220" s="0" t="s">
        <v>153</v>
      </c>
      <c r="EF220" s="0" t="s">
        <v>153</v>
      </c>
    </row>
    <row r="221" customFormat="false" ht="13.8" hidden="true" customHeight="false" outlineLevel="0" collapsed="false">
      <c r="A221" s="0" t="s">
        <v>1325</v>
      </c>
      <c r="B221" s="0" t="n">
        <v>78</v>
      </c>
      <c r="C221" s="0" t="n">
        <v>445083</v>
      </c>
      <c r="D221" s="0" t="s">
        <v>1326</v>
      </c>
      <c r="E221" s="0" t="s">
        <v>1327</v>
      </c>
      <c r="F221" s="0" t="str">
        <f aca="false">CONCATENATE(D221," ",LEFT(H221,4),"T=",AU221,"D=",AV221,"R=",AW221,"M=",AX221,"L=",AY221,"B=",AZ221)</f>
        <v>ARDLEN T=3D=0R=0M=0L=0B=0</v>
      </c>
      <c r="G221" s="0" t="s">
        <v>1328</v>
      </c>
      <c r="I221" s="0" t="s">
        <v>1329</v>
      </c>
      <c r="J221" s="0" t="s">
        <v>1330</v>
      </c>
      <c r="K221" s="0" t="s">
        <v>143</v>
      </c>
      <c r="M221" s="0" t="s">
        <v>1331</v>
      </c>
      <c r="N221" s="0" t="str">
        <f aca="false">RIGHT(M221,LEN(M221)-FIND(" ",M221))</f>
        <v>BONNIE BRAE AVE SE</v>
      </c>
      <c r="P221" s="0" t="s">
        <v>145</v>
      </c>
      <c r="Q221" s="0" t="s">
        <v>146</v>
      </c>
      <c r="R221" s="0" t="n">
        <v>44484</v>
      </c>
      <c r="AD221" s="0" t="s">
        <v>147</v>
      </c>
      <c r="AE221" s="0" t="s">
        <v>148</v>
      </c>
      <c r="AF221" s="0" t="s">
        <v>149</v>
      </c>
      <c r="AH221" s="0" t="n">
        <v>14</v>
      </c>
      <c r="AI221" s="0" t="n">
        <v>11</v>
      </c>
      <c r="AN221" s="0" t="s">
        <v>145</v>
      </c>
      <c r="AO221" s="0" t="s">
        <v>150</v>
      </c>
      <c r="AP221" s="0" t="s">
        <v>151</v>
      </c>
      <c r="AQ221" s="0" t="n">
        <v>9</v>
      </c>
      <c r="AR221" s="0" t="n">
        <v>64</v>
      </c>
      <c r="AS221" s="0" t="n">
        <v>32</v>
      </c>
      <c r="AU221" s="0" t="n">
        <f aca="false">COUNTA($BA$11:$EH$11)</f>
        <v>3</v>
      </c>
      <c r="AV221" s="0" t="n">
        <f aca="false">COUNTIF($BA$11:$EH$11,"D")</f>
        <v>0</v>
      </c>
      <c r="AW221" s="0" t="n">
        <f aca="false">COUNTIF($BA$11:$EH$11,"R")</f>
        <v>0</v>
      </c>
      <c r="AX221" s="0" t="n">
        <f aca="false">IF(BN221="D",1,0)+IF(BO221="D",1,0)+IF(BT221="D",1,0)+IF(BU221="D",1,0)+IF(BW221="D",1,0)+IF(CC221="D",1,0)+IF(CD221="D",1,0)+IF(CE221="D",1,0)+IF(CF221="D",1,0)+IF(CL221="D",1,0)+IF(CM221="D",1,0)+IF(CQ221="D",1,0)+IF(CR221="D",1,0)+IF(CS221="D",1,0)+IF(CW221="D",1,0)+IF(CX221="D",1,0)+IF(DD221="D",1,0)+IF(DE221="D",1,0)+IF(DJ221="D",1,0)+IF(DK221="D",1,0)+IF(DO221="D",1,0)+IF(DP221="D",1,0)+IF(DQ221="D",1,0)+IF(DW221="D",1,0)+IF(DZ221="D",1,0)+IF(EH221="D",1,0)</f>
        <v>0</v>
      </c>
      <c r="AY221" s="0" t="n">
        <f aca="false">COUNTIF(DU221:EH221, "&lt;&gt;")</f>
        <v>0</v>
      </c>
      <c r="AZ221" s="0" t="n">
        <f aca="false">IF(EH221&lt;&gt;"",1,0)</f>
        <v>0</v>
      </c>
      <c r="BB221" s="0" t="s">
        <v>152</v>
      </c>
      <c r="DN221" s="0" t="s">
        <v>153</v>
      </c>
    </row>
    <row r="222" customFormat="false" ht="13.8" hidden="true" customHeight="false" outlineLevel="0" collapsed="false">
      <c r="A222" s="0" t="s">
        <v>1332</v>
      </c>
      <c r="B222" s="0" t="n">
        <v>78</v>
      </c>
      <c r="C222" s="0" t="n">
        <v>414345</v>
      </c>
      <c r="D222" s="0" t="s">
        <v>1333</v>
      </c>
      <c r="E222" s="0" t="s">
        <v>1334</v>
      </c>
      <c r="F222" s="0" t="str">
        <f aca="false">CONCATENATE(D222," ",LEFT(H222,4),"T=",AU222,"D=",AV222,"R=",AW222,"M=",AX222,"L=",AY222,"B=",AZ222)</f>
        <v>RUITER T=1D=0R=0M=0L=0B=0</v>
      </c>
      <c r="G222" s="0" t="s">
        <v>1335</v>
      </c>
      <c r="I222" s="0" t="s">
        <v>1336</v>
      </c>
      <c r="J222" s="0" t="s">
        <v>1337</v>
      </c>
      <c r="K222" s="0" t="s">
        <v>143</v>
      </c>
      <c r="M222" s="0" t="s">
        <v>1331</v>
      </c>
      <c r="N222" s="0" t="str">
        <f aca="false">RIGHT(M222,LEN(M222)-FIND(" ",M222))</f>
        <v>BONNIE BRAE AVE SE</v>
      </c>
      <c r="P222" s="0" t="s">
        <v>145</v>
      </c>
      <c r="Q222" s="0" t="s">
        <v>146</v>
      </c>
      <c r="R222" s="0" t="n">
        <v>44484</v>
      </c>
      <c r="AD222" s="0" t="s">
        <v>147</v>
      </c>
      <c r="AE222" s="0" t="s">
        <v>148</v>
      </c>
      <c r="AF222" s="0" t="s">
        <v>149</v>
      </c>
      <c r="AH222" s="0" t="n">
        <v>14</v>
      </c>
      <c r="AI222" s="0" t="n">
        <v>11</v>
      </c>
      <c r="AN222" s="0" t="s">
        <v>145</v>
      </c>
      <c r="AO222" s="0" t="s">
        <v>150</v>
      </c>
      <c r="AP222" s="0" t="s">
        <v>151</v>
      </c>
      <c r="AQ222" s="0" t="n">
        <v>9</v>
      </c>
      <c r="AR222" s="0" t="n">
        <v>64</v>
      </c>
      <c r="AS222" s="0" t="n">
        <v>32</v>
      </c>
      <c r="AU222" s="0" t="n">
        <f aca="false">COUNTA($BA$192:$EH$192)</f>
        <v>1</v>
      </c>
      <c r="AV222" s="0" t="n">
        <f aca="false">COUNTIF($BA$192:$EH$192,"D")</f>
        <v>0</v>
      </c>
      <c r="AW222" s="0" t="n">
        <f aca="false">COUNTIF($BA$192:$EH$192,"R")</f>
        <v>0</v>
      </c>
      <c r="AX222" s="0" t="n">
        <f aca="false">IF(BN222="D",1,0)+IF(BO222="D",1,0)+IF(BT222="D",1,0)+IF(BU222="D",1,0)+IF(BW222="D",1,0)+IF(CC222="D",1,0)+IF(CD222="D",1,0)+IF(CE222="D",1,0)+IF(CF222="D",1,0)+IF(CL222="D",1,0)+IF(CM222="D",1,0)+IF(CQ222="D",1,0)+IF(CR222="D",1,0)+IF(CS222="D",1,0)+IF(CW222="D",1,0)+IF(CX222="D",1,0)+IF(DD222="D",1,0)+IF(DE222="D",1,0)+IF(DJ222="D",1,0)+IF(DK222="D",1,0)+IF(DO222="D",1,0)+IF(DP222="D",1,0)+IF(DQ222="D",1,0)+IF(DW222="D",1,0)+IF(DZ222="D",1,0)+IF(EH222="D",1,0)</f>
        <v>0</v>
      </c>
      <c r="AY222" s="0" t="n">
        <f aca="false">COUNTIF(DU222:EH222, "&lt;&gt;")</f>
        <v>0</v>
      </c>
      <c r="AZ222" s="0" t="n">
        <f aca="false">IF(EH222&lt;&gt;"",1,0)</f>
        <v>0</v>
      </c>
      <c r="BB222" s="0" t="s">
        <v>152</v>
      </c>
    </row>
    <row r="223" customFormat="false" ht="13.8" hidden="true" customHeight="false" outlineLevel="0" collapsed="false">
      <c r="A223" s="0" t="s">
        <v>1338</v>
      </c>
      <c r="B223" s="0" t="n">
        <v>78</v>
      </c>
      <c r="C223" s="0" t="n">
        <v>452722</v>
      </c>
      <c r="D223" s="0" t="s">
        <v>1339</v>
      </c>
      <c r="E223" s="0" t="s">
        <v>789</v>
      </c>
      <c r="F223" s="0" t="str">
        <f aca="false">CONCATENATE(D223," ",LEFT(H223,4),"T=",AU223,"D=",AV223,"R=",AW223,"M=",AX223,"L=",AY223,"B=",AZ223)</f>
        <v>SCHRAGAL T=2D=0R=0M=0L=1B=0</v>
      </c>
      <c r="G223" s="0" t="s">
        <v>839</v>
      </c>
      <c r="I223" s="0" t="s">
        <v>1340</v>
      </c>
      <c r="J223" s="0" t="s">
        <v>1341</v>
      </c>
      <c r="K223" s="0" t="s">
        <v>160</v>
      </c>
      <c r="M223" s="0" t="s">
        <v>1342</v>
      </c>
      <c r="N223" s="0" t="str">
        <f aca="false">RIGHT(M223,LEN(M223)-FIND(" ",M223))</f>
        <v>BONNIE BRAE AVE SE</v>
      </c>
      <c r="P223" s="0" t="s">
        <v>145</v>
      </c>
      <c r="Q223" s="0" t="s">
        <v>146</v>
      </c>
      <c r="R223" s="0" t="n">
        <v>44484</v>
      </c>
      <c r="AD223" s="0" t="s">
        <v>147</v>
      </c>
      <c r="AE223" s="0" t="s">
        <v>148</v>
      </c>
      <c r="AF223" s="0" t="s">
        <v>149</v>
      </c>
      <c r="AH223" s="0" t="n">
        <v>14</v>
      </c>
      <c r="AI223" s="0" t="n">
        <v>11</v>
      </c>
      <c r="AN223" s="0" t="s">
        <v>145</v>
      </c>
      <c r="AO223" s="0" t="s">
        <v>150</v>
      </c>
      <c r="AP223" s="0" t="s">
        <v>151</v>
      </c>
      <c r="AQ223" s="0" t="n">
        <v>9</v>
      </c>
      <c r="AR223" s="0" t="n">
        <v>64</v>
      </c>
      <c r="AS223" s="0" t="n">
        <v>32</v>
      </c>
      <c r="AU223" s="0" t="n">
        <f aca="false">COUNTA($BA$594:$EH$594)</f>
        <v>2</v>
      </c>
      <c r="AV223" s="0" t="n">
        <f aca="false">COUNTIF($BA$594:$EH$594,"D")</f>
        <v>0</v>
      </c>
      <c r="AW223" s="0" t="n">
        <f aca="false">COUNTIF($BA$594:$EH$594,"R")</f>
        <v>0</v>
      </c>
      <c r="AX223" s="0" t="n">
        <f aca="false">IF(BN223="D",1,0)+IF(BO223="D",1,0)+IF(BT223="D",1,0)+IF(BU223="D",1,0)+IF(BW223="D",1,0)+IF(CC223="D",1,0)+IF(CD223="D",1,0)+IF(CE223="D",1,0)+IF(CF223="D",1,0)+IF(CL223="D",1,0)+IF(CM223="D",1,0)+IF(CQ223="D",1,0)+IF(CR223="D",1,0)+IF(CS223="D",1,0)+IF(CW223="D",1,0)+IF(CX223="D",1,0)+IF(DD223="D",1,0)+IF(DE223="D",1,0)+IF(DJ223="D",1,0)+IF(DK223="D",1,0)+IF(DO223="D",1,0)+IF(DP223="D",1,0)+IF(DQ223="D",1,0)+IF(DW223="D",1,0)+IF(DZ223="D",1,0)+IF(EH223="D",1,0)</f>
        <v>0</v>
      </c>
      <c r="AY223" s="0" t="n">
        <f aca="false">COUNTIF(DU223:EH223, "&lt;&gt;")</f>
        <v>1</v>
      </c>
      <c r="AZ223" s="0" t="n">
        <f aca="false">IF(EH223&lt;&gt;"",1,0)</f>
        <v>0</v>
      </c>
      <c r="BB223" s="0" t="s">
        <v>152</v>
      </c>
      <c r="DN223" s="0" t="s">
        <v>153</v>
      </c>
      <c r="EF223" s="0" t="s">
        <v>153</v>
      </c>
    </row>
    <row r="224" customFormat="false" ht="13.8" hidden="false" customHeight="false" outlineLevel="0" collapsed="false">
      <c r="A224" s="0" t="s">
        <v>1343</v>
      </c>
      <c r="B224" s="0" t="n">
        <v>78</v>
      </c>
      <c r="C224" s="0" t="n">
        <v>274833</v>
      </c>
      <c r="D224" s="0" t="s">
        <v>1344</v>
      </c>
      <c r="E224" s="0" t="s">
        <v>224</v>
      </c>
      <c r="F224" s="0" t="str">
        <f aca="false">CONCATENATE(D224," ",LEFT(H224,4),"T=",AU224,"D=",AV224,"R=",AW224,"M=",AX224,"L=",AY224,"B=",AZ224)</f>
        <v>TURTURICE T=31D=10R=0M=1L=3B=0</v>
      </c>
      <c r="G224" s="0" t="s">
        <v>325</v>
      </c>
      <c r="I224" s="0" t="s">
        <v>1345</v>
      </c>
      <c r="J224" s="0" t="s">
        <v>1346</v>
      </c>
      <c r="K224" s="0" t="s">
        <v>160</v>
      </c>
      <c r="M224" s="0" t="s">
        <v>1347</v>
      </c>
      <c r="N224" s="0" t="str">
        <f aca="false">RIGHT(M224,LEN(M224)-FIND(" ",M224))</f>
        <v>BONNIE BRAE AVE SE</v>
      </c>
      <c r="P224" s="0" t="s">
        <v>145</v>
      </c>
      <c r="Q224" s="0" t="s">
        <v>146</v>
      </c>
      <c r="R224" s="0" t="n">
        <v>44484</v>
      </c>
      <c r="AD224" s="0" t="s">
        <v>147</v>
      </c>
      <c r="AE224" s="0" t="s">
        <v>148</v>
      </c>
      <c r="AF224" s="0" t="s">
        <v>149</v>
      </c>
      <c r="AH224" s="0" t="n">
        <v>14</v>
      </c>
      <c r="AI224" s="0" t="n">
        <v>11</v>
      </c>
      <c r="AN224" s="0" t="s">
        <v>145</v>
      </c>
      <c r="AO224" s="0" t="s">
        <v>150</v>
      </c>
      <c r="AP224" s="0" t="s">
        <v>151</v>
      </c>
      <c r="AQ224" s="0" t="n">
        <v>9</v>
      </c>
      <c r="AR224" s="0" t="n">
        <v>64</v>
      </c>
      <c r="AS224" s="0" t="n">
        <v>32</v>
      </c>
      <c r="AU224" s="0" t="n">
        <f aca="false">COUNTA($BA$924:$EH$924)</f>
        <v>31</v>
      </c>
      <c r="AV224" s="0" t="n">
        <f aca="false">COUNTIF($BA$924:$EH$924,"D")</f>
        <v>10</v>
      </c>
      <c r="AW224" s="0" t="n">
        <f aca="false">COUNTIF($BA$924:$EH$924,"R")</f>
        <v>0</v>
      </c>
      <c r="AX224" s="0" t="n">
        <f aca="false">IF(BN224="D",1,0)+IF(BO224="D",1,0)+IF(BT224="D",1,0)+IF(BU224="D",1,0)+IF(BW224="D",1,0)+IF(CC224="D",1,0)+IF(CD224="D",1,0)+IF(CE224="D",1,0)+IF(CF224="D",1,0)+IF(CL224="D",1,0)+IF(CM224="D",1,0)+IF(CQ224="D",1,0)+IF(CR224="D",1,0)+IF(CS224="D",1,0)+IF(CW224="D",1,0)+IF(CX224="D",1,0)+IF(DD224="D",1,0)+IF(DE224="D",1,0)+IF(DJ224="D",1,0)+IF(DK224="D",1,0)+IF(DO224="D",1,0)+IF(DP224="D",1,0)+IF(DQ224="D",1,0)+IF(DW224="D",1,0)+IF(DZ224="D",1,0)+IF(EH224="D",1,0)</f>
        <v>1</v>
      </c>
      <c r="AY224" s="0" t="n">
        <f aca="false">COUNTIF(DU224:EH224, "&lt;&gt;")</f>
        <v>3</v>
      </c>
      <c r="AZ224" s="0" t="n">
        <f aca="false">IF(EH224&lt;&gt;"",1,0)</f>
        <v>0</v>
      </c>
      <c r="BB224" s="0" t="s">
        <v>152</v>
      </c>
      <c r="BC224" s="0" t="s">
        <v>153</v>
      </c>
      <c r="BD224" s="0" t="s">
        <v>153</v>
      </c>
      <c r="BF224" s="0" t="s">
        <v>153</v>
      </c>
      <c r="BG224" s="0" t="s">
        <v>153</v>
      </c>
      <c r="BH224" s="0" t="s">
        <v>153</v>
      </c>
      <c r="BI224" s="0" t="s">
        <v>153</v>
      </c>
      <c r="BJ224" s="0" t="s">
        <v>153</v>
      </c>
      <c r="BL224" s="0" t="s">
        <v>153</v>
      </c>
      <c r="BR224" s="0" t="s">
        <v>153</v>
      </c>
      <c r="BS224" s="0" t="s">
        <v>153</v>
      </c>
      <c r="BV224" s="0" t="s">
        <v>153</v>
      </c>
      <c r="BY224" s="0" t="s">
        <v>209</v>
      </c>
      <c r="CA224" s="0" t="s">
        <v>153</v>
      </c>
      <c r="CG224" s="0" t="s">
        <v>153</v>
      </c>
      <c r="CK224" s="0" t="s">
        <v>153</v>
      </c>
      <c r="CL224" s="0" t="s">
        <v>175</v>
      </c>
      <c r="CO224" s="0" t="s">
        <v>209</v>
      </c>
      <c r="CP224" s="0" t="s">
        <v>153</v>
      </c>
      <c r="CY224" s="0" t="s">
        <v>153</v>
      </c>
      <c r="CZ224" s="0" t="s">
        <v>209</v>
      </c>
      <c r="DC224" s="0" t="s">
        <v>153</v>
      </c>
      <c r="DI224" s="0" t="s">
        <v>153</v>
      </c>
      <c r="DN224" s="0" t="s">
        <v>153</v>
      </c>
      <c r="DX224" s="0" t="s">
        <v>153</v>
      </c>
      <c r="EA224" s="0" t="s">
        <v>153</v>
      </c>
      <c r="EF224" s="0" t="s">
        <v>153</v>
      </c>
    </row>
    <row r="225" customFormat="false" ht="13.8" hidden="true" customHeight="false" outlineLevel="0" collapsed="false">
      <c r="A225" s="0" t="s">
        <v>1348</v>
      </c>
      <c r="B225" s="0" t="n">
        <v>78</v>
      </c>
      <c r="C225" s="0" t="n">
        <v>447678</v>
      </c>
      <c r="D225" s="0" t="s">
        <v>1349</v>
      </c>
      <c r="E225" s="0" t="s">
        <v>895</v>
      </c>
      <c r="F225" s="0" t="str">
        <f aca="false">CONCATENATE(D225," ",LEFT(H225,4),"T=",AU225,"D=",AV225,"R=",AW225,"M=",AX225,"L=",AY225,"B=",AZ225)</f>
        <v>GATTONE T=7D=1R=0M=0L=1B=0</v>
      </c>
      <c r="G225" s="0" t="s">
        <v>1350</v>
      </c>
      <c r="I225" s="0" t="s">
        <v>1351</v>
      </c>
      <c r="J225" s="0" t="s">
        <v>386</v>
      </c>
      <c r="K225" s="0" t="s">
        <v>160</v>
      </c>
      <c r="M225" s="0" t="s">
        <v>1352</v>
      </c>
      <c r="N225" s="0" t="str">
        <f aca="false">RIGHT(M225,LEN(M225)-FIND(" ",M225))</f>
        <v>BONNIE BRAE AVE SE</v>
      </c>
      <c r="P225" s="0" t="s">
        <v>145</v>
      </c>
      <c r="Q225" s="0" t="s">
        <v>146</v>
      </c>
      <c r="R225" s="0" t="n">
        <v>44484</v>
      </c>
      <c r="AD225" s="0" t="s">
        <v>147</v>
      </c>
      <c r="AE225" s="0" t="s">
        <v>148</v>
      </c>
      <c r="AF225" s="0" t="s">
        <v>149</v>
      </c>
      <c r="AH225" s="0" t="n">
        <v>14</v>
      </c>
      <c r="AI225" s="0" t="n">
        <v>11</v>
      </c>
      <c r="AN225" s="0" t="s">
        <v>145</v>
      </c>
      <c r="AO225" s="0" t="s">
        <v>150</v>
      </c>
      <c r="AP225" s="0" t="s">
        <v>151</v>
      </c>
      <c r="AQ225" s="0" t="n">
        <v>9</v>
      </c>
      <c r="AR225" s="0" t="n">
        <v>64</v>
      </c>
      <c r="AS225" s="0" t="n">
        <v>32</v>
      </c>
      <c r="AU225" s="0" t="n">
        <f aca="false">COUNTA($BA$44:$EH$44)</f>
        <v>7</v>
      </c>
      <c r="AV225" s="0" t="n">
        <f aca="false">COUNTIF($BA$44:$EH$44,"D")</f>
        <v>1</v>
      </c>
      <c r="AW225" s="0" t="n">
        <f aca="false">COUNTIF($BA$44:$EH$44,"R")</f>
        <v>0</v>
      </c>
      <c r="AX225" s="0" t="n">
        <f aca="false">IF(BN225="D",1,0)+IF(BO225="D",1,0)+IF(BT225="D",1,0)+IF(BU225="D",1,0)+IF(BW225="D",1,0)+IF(CC225="D",1,0)+IF(CD225="D",1,0)+IF(CE225="D",1,0)+IF(CF225="D",1,0)+IF(CL225="D",1,0)+IF(CM225="D",1,0)+IF(CQ225="D",1,0)+IF(CR225="D",1,0)+IF(CS225="D",1,0)+IF(CW225="D",1,0)+IF(CX225="D",1,0)+IF(DD225="D",1,0)+IF(DE225="D",1,0)+IF(DJ225="D",1,0)+IF(DK225="D",1,0)+IF(DO225="D",1,0)+IF(DP225="D",1,0)+IF(DQ225="D",1,0)+IF(DW225="D",1,0)+IF(DZ225="D",1,0)+IF(EH225="D",1,0)</f>
        <v>0</v>
      </c>
      <c r="AY225" s="0" t="n">
        <f aca="false">COUNTIF(DU225:EH225, "&lt;&gt;")</f>
        <v>1</v>
      </c>
      <c r="AZ225" s="0" t="n">
        <f aca="false">IF(EH225&lt;&gt;"",1,0)</f>
        <v>0</v>
      </c>
      <c r="BB225" s="0" t="s">
        <v>152</v>
      </c>
      <c r="DN225" s="0" t="s">
        <v>153</v>
      </c>
      <c r="EF225" s="0" t="s">
        <v>153</v>
      </c>
    </row>
    <row r="226" customFormat="false" ht="13.8" hidden="true" customHeight="false" outlineLevel="0" collapsed="false">
      <c r="A226" s="0" t="s">
        <v>1353</v>
      </c>
      <c r="B226" s="0" t="n">
        <v>78</v>
      </c>
      <c r="C226" s="0" t="n">
        <v>426774</v>
      </c>
      <c r="D226" s="0" t="s">
        <v>1354</v>
      </c>
      <c r="E226" s="0" t="s">
        <v>1152</v>
      </c>
      <c r="F226" s="0" t="str">
        <f aca="false">CONCATENATE(D226," ",LEFT(H226,4),"T=",AU226,"D=",AV226,"R=",AW226,"M=",AX226,"L=",AY226,"B=",AZ226)</f>
        <v>MCANALLEN SRT=4D=0R=0M=0L=0B=0</v>
      </c>
      <c r="G226" s="0" t="s">
        <v>1355</v>
      </c>
      <c r="H226" s="0" t="s">
        <v>216</v>
      </c>
      <c r="I226" s="0" t="s">
        <v>1356</v>
      </c>
      <c r="J226" s="0" t="s">
        <v>1357</v>
      </c>
      <c r="K226" s="0" t="s">
        <v>143</v>
      </c>
      <c r="M226" s="0" t="s">
        <v>1358</v>
      </c>
      <c r="N226" s="0" t="str">
        <f aca="false">RIGHT(M226,LEN(M226)-FIND(" ",M226))</f>
        <v>BONNIE BRAE AVE SE</v>
      </c>
      <c r="P226" s="0" t="s">
        <v>145</v>
      </c>
      <c r="Q226" s="0" t="s">
        <v>146</v>
      </c>
      <c r="R226" s="0" t="n">
        <v>44484</v>
      </c>
      <c r="AD226" s="0" t="s">
        <v>147</v>
      </c>
      <c r="AE226" s="0" t="s">
        <v>148</v>
      </c>
      <c r="AF226" s="0" t="s">
        <v>149</v>
      </c>
      <c r="AH226" s="0" t="n">
        <v>14</v>
      </c>
      <c r="AI226" s="0" t="n">
        <v>11</v>
      </c>
      <c r="AN226" s="0" t="s">
        <v>145</v>
      </c>
      <c r="AO226" s="0" t="s">
        <v>150</v>
      </c>
      <c r="AP226" s="0" t="s">
        <v>151</v>
      </c>
      <c r="AQ226" s="0" t="n">
        <v>9</v>
      </c>
      <c r="AR226" s="0" t="n">
        <v>64</v>
      </c>
      <c r="AS226" s="0" t="n">
        <v>32</v>
      </c>
      <c r="AU226" s="0" t="n">
        <f aca="false">COUNTA($BA$273:$EH$273)</f>
        <v>4</v>
      </c>
      <c r="AV226" s="0" t="n">
        <f aca="false">COUNTIF($BA$273:$EH$273,"D")</f>
        <v>0</v>
      </c>
      <c r="AW226" s="0" t="n">
        <f aca="false">COUNTIF($BA$273:$EH$273,"R")</f>
        <v>0</v>
      </c>
      <c r="AX226" s="0" t="n">
        <f aca="false">IF(BN226="D",1,0)+IF(BO226="D",1,0)+IF(BT226="D",1,0)+IF(BU226="D",1,0)+IF(BW226="D",1,0)+IF(CC226="D",1,0)+IF(CD226="D",1,0)+IF(CE226="D",1,0)+IF(CF226="D",1,0)+IF(CL226="D",1,0)+IF(CM226="D",1,0)+IF(CQ226="D",1,0)+IF(CR226="D",1,0)+IF(CS226="D",1,0)+IF(CW226="D",1,0)+IF(CX226="D",1,0)+IF(DD226="D",1,0)+IF(DE226="D",1,0)+IF(DJ226="D",1,0)+IF(DK226="D",1,0)+IF(DO226="D",1,0)+IF(DP226="D",1,0)+IF(DQ226="D",1,0)+IF(DW226="D",1,0)+IF(DZ226="D",1,0)+IF(EH226="D",1,0)</f>
        <v>0</v>
      </c>
      <c r="AY226" s="0" t="n">
        <f aca="false">COUNTIF(DU226:EH226, "&lt;&gt;")</f>
        <v>0</v>
      </c>
      <c r="AZ226" s="0" t="n">
        <f aca="false">IF(EH226&lt;&gt;"",1,0)</f>
        <v>0</v>
      </c>
      <c r="BB226" s="0" t="s">
        <v>152</v>
      </c>
    </row>
    <row r="227" customFormat="false" ht="13.8" hidden="true" customHeight="false" outlineLevel="0" collapsed="false">
      <c r="A227" s="0" t="s">
        <v>1359</v>
      </c>
      <c r="B227" s="0" t="n">
        <v>78</v>
      </c>
      <c r="C227" s="0" t="n">
        <v>342427</v>
      </c>
      <c r="D227" s="0" t="s">
        <v>1360</v>
      </c>
      <c r="E227" s="0" t="s">
        <v>1361</v>
      </c>
      <c r="F227" s="0" t="str">
        <f aca="false">CONCATENATE(D227," ",LEFT(H227,4),"T=",AU227,"D=",AV227,"R=",AW227,"M=",AX227,"L=",AY227,"B=",AZ227)</f>
        <v>TENNEY T=1D=0R=0M=0L=0B=0</v>
      </c>
      <c r="G227" s="0" t="s">
        <v>351</v>
      </c>
      <c r="I227" s="0" t="s">
        <v>1362</v>
      </c>
      <c r="J227" s="0" t="s">
        <v>1363</v>
      </c>
      <c r="K227" s="0" t="s">
        <v>143</v>
      </c>
      <c r="M227" s="0" t="s">
        <v>1358</v>
      </c>
      <c r="N227" s="0" t="str">
        <f aca="false">RIGHT(M227,LEN(M227)-FIND(" ",M227))</f>
        <v>BONNIE BRAE AVE SE</v>
      </c>
      <c r="P227" s="0" t="s">
        <v>145</v>
      </c>
      <c r="Q227" s="0" t="s">
        <v>146</v>
      </c>
      <c r="R227" s="0" t="n">
        <v>44484</v>
      </c>
      <c r="AD227" s="0" t="s">
        <v>147</v>
      </c>
      <c r="AE227" s="0" t="s">
        <v>148</v>
      </c>
      <c r="AF227" s="0" t="s">
        <v>149</v>
      </c>
      <c r="AH227" s="0" t="n">
        <v>14</v>
      </c>
      <c r="AI227" s="0" t="n">
        <v>11</v>
      </c>
      <c r="AN227" s="0" t="s">
        <v>145</v>
      </c>
      <c r="AO227" s="0" t="s">
        <v>150</v>
      </c>
      <c r="AP227" s="0" t="s">
        <v>151</v>
      </c>
      <c r="AQ227" s="0" t="n">
        <v>9</v>
      </c>
      <c r="AR227" s="0" t="n">
        <v>64</v>
      </c>
      <c r="AS227" s="0" t="n">
        <v>32</v>
      </c>
      <c r="AU227" s="0" t="n">
        <f aca="false">COUNTA($BA$942:$EH$942)</f>
        <v>1</v>
      </c>
      <c r="AV227" s="0" t="n">
        <f aca="false">COUNTIF($BA$942:$EH$942,"D")</f>
        <v>0</v>
      </c>
      <c r="AW227" s="0" t="n">
        <f aca="false">COUNTIF($BA$942:$EH$942,"R")</f>
        <v>0</v>
      </c>
      <c r="AX227" s="0" t="n">
        <f aca="false">IF(BN227="D",1,0)+IF(BO227="D",1,0)+IF(BT227="D",1,0)+IF(BU227="D",1,0)+IF(BW227="D",1,0)+IF(CC227="D",1,0)+IF(CD227="D",1,0)+IF(CE227="D",1,0)+IF(CF227="D",1,0)+IF(CL227="D",1,0)+IF(CM227="D",1,0)+IF(CQ227="D",1,0)+IF(CR227="D",1,0)+IF(CS227="D",1,0)+IF(CW227="D",1,0)+IF(CX227="D",1,0)+IF(DD227="D",1,0)+IF(DE227="D",1,0)+IF(DJ227="D",1,0)+IF(DK227="D",1,0)+IF(DO227="D",1,0)+IF(DP227="D",1,0)+IF(DQ227="D",1,0)+IF(DW227="D",1,0)+IF(DZ227="D",1,0)+IF(EH227="D",1,0)</f>
        <v>0</v>
      </c>
      <c r="AY227" s="0" t="n">
        <f aca="false">COUNTIF(DU227:EH227, "&lt;&gt;")</f>
        <v>0</v>
      </c>
      <c r="AZ227" s="0" t="n">
        <f aca="false">IF(EH227&lt;&gt;"",1,0)</f>
        <v>0</v>
      </c>
      <c r="BB227" s="0" t="s">
        <v>152</v>
      </c>
      <c r="CP227" s="0" t="s">
        <v>153</v>
      </c>
    </row>
    <row r="228" customFormat="false" ht="13.8" hidden="false" customHeight="false" outlineLevel="0" collapsed="false">
      <c r="A228" s="0" t="s">
        <v>1364</v>
      </c>
      <c r="B228" s="0" t="n">
        <v>78</v>
      </c>
      <c r="C228" s="0" t="n">
        <v>13214</v>
      </c>
      <c r="D228" s="0" t="s">
        <v>1365</v>
      </c>
      <c r="E228" s="0" t="s">
        <v>1366</v>
      </c>
      <c r="F228" s="0" t="str">
        <f aca="false">CONCATENATE(D228," ",LEFT(H228,4),"T=",AU228,"D=",AV228,"R=",AW228,"M=",AX228,"L=",AY228,"B=",AZ228)</f>
        <v>HARKINS T=5D=0R=0M=2L=6B=1</v>
      </c>
      <c r="I228" s="0" t="s">
        <v>1367</v>
      </c>
      <c r="J228" s="0" t="s">
        <v>1368</v>
      </c>
      <c r="K228" s="0" t="s">
        <v>160</v>
      </c>
      <c r="L228" s="0" t="s">
        <v>175</v>
      </c>
      <c r="M228" s="0" t="s">
        <v>1369</v>
      </c>
      <c r="N228" s="0" t="str">
        <f aca="false">RIGHT(M228,LEN(M228)-FIND(" ",M228))</f>
        <v>BONNIE BRAE AVE SE</v>
      </c>
      <c r="P228" s="0" t="s">
        <v>145</v>
      </c>
      <c r="Q228" s="0" t="s">
        <v>146</v>
      </c>
      <c r="R228" s="0" t="n">
        <v>44484</v>
      </c>
      <c r="AD228" s="0" t="s">
        <v>147</v>
      </c>
      <c r="AE228" s="0" t="s">
        <v>148</v>
      </c>
      <c r="AF228" s="0" t="s">
        <v>149</v>
      </c>
      <c r="AH228" s="0" t="n">
        <v>14</v>
      </c>
      <c r="AI228" s="0" t="n">
        <v>11</v>
      </c>
      <c r="AN228" s="0" t="s">
        <v>145</v>
      </c>
      <c r="AO228" s="0" t="s">
        <v>150</v>
      </c>
      <c r="AP228" s="0" t="s">
        <v>151</v>
      </c>
      <c r="AQ228" s="0" t="n">
        <v>9</v>
      </c>
      <c r="AR228" s="0" t="n">
        <v>64</v>
      </c>
      <c r="AS228" s="0" t="n">
        <v>32</v>
      </c>
      <c r="AU228" s="0" t="n">
        <f aca="false">COUNTA($BA$929:$EH$929)</f>
        <v>5</v>
      </c>
      <c r="AV228" s="0" t="n">
        <f aca="false">COUNTIF($BA$929:$EH$929,"D")</f>
        <v>0</v>
      </c>
      <c r="AW228" s="0" t="n">
        <f aca="false">COUNTIF($BA$929:$EH$929,"R")</f>
        <v>0</v>
      </c>
      <c r="AX228" s="0" t="n">
        <f aca="false">IF(BN228="D",1,0)+IF(BO228="D",1,0)+IF(BT228="D",1,0)+IF(BU228="D",1,0)+IF(BW228="D",1,0)+IF(CC228="D",1,0)+IF(CD228="D",1,0)+IF(CE228="D",1,0)+IF(CF228="D",1,0)+IF(CL228="D",1,0)+IF(CM228="D",1,0)+IF(CQ228="D",1,0)+IF(CR228="D",1,0)+IF(CS228="D",1,0)+IF(CW228="D",1,0)+IF(CX228="D",1,0)+IF(DD228="D",1,0)+IF(DE228="D",1,0)+IF(DJ228="D",1,0)+IF(DK228="D",1,0)+IF(DO228="D",1,0)+IF(DP228="D",1,0)+IF(DQ228="D",1,0)+IF(DW228="D",1,0)+IF(DZ228="D",1,0)+IF(EH228="D",1,0)</f>
        <v>2</v>
      </c>
      <c r="AY228" s="0" t="n">
        <f aca="false">COUNTIF(DU228:EH228, "&lt;&gt;")</f>
        <v>6</v>
      </c>
      <c r="AZ228" s="0" t="n">
        <f aca="false">IF(EH228&lt;&gt;"",1,0)</f>
        <v>1</v>
      </c>
      <c r="BB228" s="0" t="s">
        <v>152</v>
      </c>
      <c r="BC228" s="0" t="s">
        <v>153</v>
      </c>
      <c r="BD228" s="0" t="s">
        <v>153</v>
      </c>
      <c r="BG228" s="0" t="s">
        <v>153</v>
      </c>
      <c r="BH228" s="0" t="s">
        <v>153</v>
      </c>
      <c r="BI228" s="0" t="s">
        <v>153</v>
      </c>
      <c r="BJ228" s="0" t="s">
        <v>153</v>
      </c>
      <c r="BK228" s="0" t="s">
        <v>153</v>
      </c>
      <c r="BL228" s="0" t="s">
        <v>153</v>
      </c>
      <c r="BS228" s="0" t="s">
        <v>153</v>
      </c>
      <c r="BY228" s="0" t="s">
        <v>175</v>
      </c>
      <c r="CA228" s="0" t="s">
        <v>153</v>
      </c>
      <c r="CG228" s="0" t="s">
        <v>153</v>
      </c>
      <c r="CP228" s="0" t="s">
        <v>153</v>
      </c>
      <c r="DC228" s="0" t="s">
        <v>153</v>
      </c>
      <c r="DN228" s="0" t="s">
        <v>153</v>
      </c>
      <c r="DS228" s="0" t="s">
        <v>175</v>
      </c>
      <c r="DU228" s="0" t="s">
        <v>153</v>
      </c>
      <c r="DW228" s="0" t="s">
        <v>175</v>
      </c>
      <c r="EA228" s="0" t="s">
        <v>153</v>
      </c>
      <c r="ED228" s="0" t="s">
        <v>175</v>
      </c>
      <c r="EF228" s="0" t="s">
        <v>153</v>
      </c>
      <c r="EH228" s="0" t="s">
        <v>175</v>
      </c>
    </row>
    <row r="229" customFormat="false" ht="13.8" hidden="true" customHeight="false" outlineLevel="0" collapsed="false">
      <c r="A229" s="0" t="s">
        <v>1370</v>
      </c>
      <c r="B229" s="0" t="n">
        <v>78</v>
      </c>
      <c r="C229" s="0" t="n">
        <v>394876</v>
      </c>
      <c r="D229" s="0" t="s">
        <v>1371</v>
      </c>
      <c r="E229" s="0" t="s">
        <v>1372</v>
      </c>
      <c r="F229" s="0" t="str">
        <f aca="false">CONCATENATE(D229," ",LEFT(H229,4),"T=",AU229,"D=",AV229,"R=",AW229,"M=",AX229,"L=",AY229,"B=",AZ229)</f>
        <v>BUMBICO T=1D=0R=0M=0L=0B=0</v>
      </c>
      <c r="G229" s="0" t="s">
        <v>224</v>
      </c>
      <c r="I229" s="0" t="s">
        <v>1373</v>
      </c>
      <c r="J229" s="0" t="s">
        <v>1374</v>
      </c>
      <c r="K229" s="0" t="s">
        <v>143</v>
      </c>
      <c r="M229" s="0" t="s">
        <v>1375</v>
      </c>
      <c r="N229" s="0" t="str">
        <f aca="false">RIGHT(M229,LEN(M229)-FIND(" ",M229))</f>
        <v>BONNIE BRAE AVE SE</v>
      </c>
      <c r="P229" s="0" t="s">
        <v>145</v>
      </c>
      <c r="Q229" s="0" t="s">
        <v>146</v>
      </c>
      <c r="R229" s="0" t="n">
        <v>44484</v>
      </c>
      <c r="AD229" s="0" t="s">
        <v>147</v>
      </c>
      <c r="AE229" s="0" t="s">
        <v>148</v>
      </c>
      <c r="AF229" s="0" t="s">
        <v>149</v>
      </c>
      <c r="AH229" s="0" t="n">
        <v>14</v>
      </c>
      <c r="AI229" s="0" t="n">
        <v>11</v>
      </c>
      <c r="AN229" s="0" t="s">
        <v>145</v>
      </c>
      <c r="AO229" s="0" t="s">
        <v>150</v>
      </c>
      <c r="AP229" s="0" t="s">
        <v>151</v>
      </c>
      <c r="AQ229" s="0" t="n">
        <v>9</v>
      </c>
      <c r="AR229" s="0" t="n">
        <v>64</v>
      </c>
      <c r="AS229" s="0" t="n">
        <v>32</v>
      </c>
      <c r="AU229" s="0" t="n">
        <f aca="false">COUNTA($BA$141:$EH$141)</f>
        <v>1</v>
      </c>
      <c r="AV229" s="0" t="n">
        <f aca="false">COUNTIF($BA$141:$EH$141,"D")</f>
        <v>0</v>
      </c>
      <c r="AW229" s="0" t="n">
        <f aca="false">COUNTIF($BA$141:$EH$141,"R")</f>
        <v>0</v>
      </c>
      <c r="AX229" s="0" t="n">
        <f aca="false">IF(BN229="D",1,0)+IF(BO229="D",1,0)+IF(BT229="D",1,0)+IF(BU229="D",1,0)+IF(BW229="D",1,0)+IF(CC229="D",1,0)+IF(CD229="D",1,0)+IF(CE229="D",1,0)+IF(CF229="D",1,0)+IF(CL229="D",1,0)+IF(CM229="D",1,0)+IF(CQ229="D",1,0)+IF(CR229="D",1,0)+IF(CS229="D",1,0)+IF(CW229="D",1,0)+IF(CX229="D",1,0)+IF(DD229="D",1,0)+IF(DE229="D",1,0)+IF(DJ229="D",1,0)+IF(DK229="D",1,0)+IF(DO229="D",1,0)+IF(DP229="D",1,0)+IF(DQ229="D",1,0)+IF(DW229="D",1,0)+IF(DZ229="D",1,0)+IF(EH229="D",1,0)</f>
        <v>0</v>
      </c>
      <c r="AY229" s="0" t="n">
        <f aca="false">COUNTIF(DU229:EH229, "&lt;&gt;")</f>
        <v>0</v>
      </c>
      <c r="AZ229" s="0" t="n">
        <f aca="false">IF(EH229&lt;&gt;"",1,0)</f>
        <v>0</v>
      </c>
      <c r="BB229" s="0" t="s">
        <v>152</v>
      </c>
      <c r="CY229" s="0" t="s">
        <v>153</v>
      </c>
      <c r="CZ229" s="0" t="s">
        <v>209</v>
      </c>
      <c r="DI229" s="0" t="s">
        <v>153</v>
      </c>
      <c r="DN229" s="0" t="s">
        <v>153</v>
      </c>
    </row>
    <row r="230" customFormat="false" ht="13.8" hidden="false" customHeight="false" outlineLevel="0" collapsed="false">
      <c r="A230" s="0" t="s">
        <v>1376</v>
      </c>
      <c r="B230" s="0" t="n">
        <v>78</v>
      </c>
      <c r="C230" s="0" t="n">
        <v>187146</v>
      </c>
      <c r="D230" s="0" t="s">
        <v>1377</v>
      </c>
      <c r="E230" s="0" t="s">
        <v>557</v>
      </c>
      <c r="F230" s="0" t="str">
        <f aca="false">CONCATENATE(D230," ",LEFT(H230,4),"T=",AU230,"D=",AV230,"R=",AW230,"M=",AX230,"L=",AY230,"B=",AZ230)</f>
        <v>MONTECALVO T=32D=5R=2M=4L=2B=0</v>
      </c>
      <c r="G230" s="0" t="s">
        <v>164</v>
      </c>
      <c r="I230" s="0" t="s">
        <v>1378</v>
      </c>
      <c r="J230" s="0" t="s">
        <v>1379</v>
      </c>
      <c r="K230" s="0" t="s">
        <v>160</v>
      </c>
      <c r="L230" s="0" t="s">
        <v>175</v>
      </c>
      <c r="M230" s="0" t="s">
        <v>1375</v>
      </c>
      <c r="N230" s="0" t="str">
        <f aca="false">RIGHT(M230,LEN(M230)-FIND(" ",M230))</f>
        <v>BONNIE BRAE AVE SE</v>
      </c>
      <c r="P230" s="0" t="s">
        <v>145</v>
      </c>
      <c r="Q230" s="0" t="s">
        <v>146</v>
      </c>
      <c r="R230" s="0" t="n">
        <v>44484</v>
      </c>
      <c r="AD230" s="0" t="s">
        <v>147</v>
      </c>
      <c r="AE230" s="0" t="s">
        <v>148</v>
      </c>
      <c r="AF230" s="0" t="s">
        <v>149</v>
      </c>
      <c r="AH230" s="0" t="n">
        <v>14</v>
      </c>
      <c r="AI230" s="0" t="n">
        <v>11</v>
      </c>
      <c r="AN230" s="0" t="s">
        <v>145</v>
      </c>
      <c r="AO230" s="0" t="s">
        <v>150</v>
      </c>
      <c r="AP230" s="0" t="s">
        <v>151</v>
      </c>
      <c r="AQ230" s="0" t="n">
        <v>9</v>
      </c>
      <c r="AR230" s="0" t="n">
        <v>64</v>
      </c>
      <c r="AS230" s="0" t="n">
        <v>32</v>
      </c>
      <c r="AU230" s="0" t="n">
        <f aca="false">COUNTA($BA$377:$EH$377)</f>
        <v>32</v>
      </c>
      <c r="AV230" s="0" t="n">
        <f aca="false">COUNTIF($BA$377:$EH$377,"D")</f>
        <v>5</v>
      </c>
      <c r="AW230" s="0" t="n">
        <f aca="false">COUNTIF($BA$377:$EH$377,"R")</f>
        <v>2</v>
      </c>
      <c r="AX230" s="0" t="n">
        <f aca="false">IF(BN230="D",1,0)+IF(BO230="D",1,0)+IF(BT230="D",1,0)+IF(BU230="D",1,0)+IF(BW230="D",1,0)+IF(CC230="D",1,0)+IF(CD230="D",1,0)+IF(CE230="D",1,0)+IF(CF230="D",1,0)+IF(CL230="D",1,0)+IF(CM230="D",1,0)+IF(CQ230="D",1,0)+IF(CR230="D",1,0)+IF(CS230="D",1,0)+IF(CW230="D",1,0)+IF(CX230="D",1,0)+IF(DD230="D",1,0)+IF(DE230="D",1,0)+IF(DJ230="D",1,0)+IF(DK230="D",1,0)+IF(DO230="D",1,0)+IF(DP230="D",1,0)+IF(DQ230="D",1,0)+IF(DW230="D",1,0)+IF(DZ230="D",1,0)+IF(EH230="D",1,0)</f>
        <v>4</v>
      </c>
      <c r="AY230" s="0" t="n">
        <f aca="false">COUNTIF(DU230:EH230, "&lt;&gt;")</f>
        <v>2</v>
      </c>
      <c r="AZ230" s="0" t="n">
        <f aca="false">IF(EH230&lt;&gt;"",1,0)</f>
        <v>0</v>
      </c>
      <c r="BB230" s="0" t="s">
        <v>152</v>
      </c>
      <c r="BC230" s="0" t="s">
        <v>153</v>
      </c>
      <c r="BD230" s="0" t="s">
        <v>153</v>
      </c>
      <c r="BE230" s="0" t="s">
        <v>153</v>
      </c>
      <c r="BH230" s="0" t="s">
        <v>153</v>
      </c>
      <c r="BI230" s="0" t="s">
        <v>153</v>
      </c>
      <c r="BK230" s="0" t="s">
        <v>153</v>
      </c>
      <c r="BR230" s="0" t="s">
        <v>153</v>
      </c>
      <c r="BS230" s="0" t="s">
        <v>153</v>
      </c>
      <c r="BV230" s="0" t="s">
        <v>153</v>
      </c>
      <c r="CA230" s="0" t="s">
        <v>153</v>
      </c>
      <c r="CC230" s="0" t="s">
        <v>175</v>
      </c>
      <c r="CH230" s="0" t="s">
        <v>175</v>
      </c>
      <c r="CL230" s="0" t="s">
        <v>175</v>
      </c>
      <c r="CN230" s="0" t="s">
        <v>153</v>
      </c>
      <c r="DJ230" s="0" t="s">
        <v>175</v>
      </c>
      <c r="DN230" s="0" t="s">
        <v>153</v>
      </c>
      <c r="DW230" s="0" t="s">
        <v>175</v>
      </c>
      <c r="EF230" s="0" t="s">
        <v>153</v>
      </c>
    </row>
    <row r="231" customFormat="false" ht="13.8" hidden="true" customHeight="false" outlineLevel="0" collapsed="false">
      <c r="A231" s="0" t="s">
        <v>1380</v>
      </c>
      <c r="B231" s="0" t="n">
        <v>78</v>
      </c>
      <c r="C231" s="0" t="n">
        <v>405168</v>
      </c>
      <c r="D231" s="0" t="s">
        <v>974</v>
      </c>
      <c r="E231" s="0" t="s">
        <v>1381</v>
      </c>
      <c r="F231" s="0" t="str">
        <f aca="false">CONCATENATE(D231," ",LEFT(H231,4),"T=",AU231,"D=",AV231,"R=",AW231,"M=",AX231,"L=",AY231,"B=",AZ231)</f>
        <v>STAGGERS T=31D=6R=0M=0L=1B=0</v>
      </c>
      <c r="G231" s="0" t="s">
        <v>209</v>
      </c>
      <c r="I231" s="0" t="s">
        <v>1382</v>
      </c>
      <c r="J231" s="0" t="s">
        <v>386</v>
      </c>
      <c r="K231" s="0" t="s">
        <v>160</v>
      </c>
      <c r="M231" s="0" t="s">
        <v>1383</v>
      </c>
      <c r="N231" s="0" t="str">
        <f aca="false">RIGHT(M231,LEN(M231)-FIND(" ",M231))</f>
        <v>BONNIE BRAE AVE SE</v>
      </c>
      <c r="P231" s="0" t="s">
        <v>145</v>
      </c>
      <c r="Q231" s="0" t="s">
        <v>146</v>
      </c>
      <c r="R231" s="0" t="n">
        <v>44484</v>
      </c>
      <c r="AD231" s="0" t="s">
        <v>147</v>
      </c>
      <c r="AE231" s="0" t="s">
        <v>148</v>
      </c>
      <c r="AF231" s="0" t="s">
        <v>149</v>
      </c>
      <c r="AH231" s="0" t="n">
        <v>14</v>
      </c>
      <c r="AI231" s="0" t="n">
        <v>11</v>
      </c>
      <c r="AN231" s="0" t="s">
        <v>145</v>
      </c>
      <c r="AO231" s="0" t="s">
        <v>150</v>
      </c>
      <c r="AP231" s="0" t="s">
        <v>151</v>
      </c>
      <c r="AQ231" s="0" t="n">
        <v>9</v>
      </c>
      <c r="AR231" s="0" t="n">
        <v>64</v>
      </c>
      <c r="AS231" s="0" t="n">
        <v>32</v>
      </c>
      <c r="AU231" s="0" t="n">
        <f aca="false">COUNTA($BA$142:$EH$142)</f>
        <v>31</v>
      </c>
      <c r="AV231" s="0" t="n">
        <f aca="false">COUNTIF($BA$142:$EH$142,"D")</f>
        <v>6</v>
      </c>
      <c r="AW231" s="0" t="n">
        <f aca="false">COUNTIF($BA$142:$EH$142,"R")</f>
        <v>0</v>
      </c>
      <c r="AX231" s="0" t="n">
        <f aca="false">IF(BN231="D",1,0)+IF(BO231="D",1,0)+IF(BT231="D",1,0)+IF(BU231="D",1,0)+IF(BW231="D",1,0)+IF(CC231="D",1,0)+IF(CD231="D",1,0)+IF(CE231="D",1,0)+IF(CF231="D",1,0)+IF(CL231="D",1,0)+IF(CM231="D",1,0)+IF(CQ231="D",1,0)+IF(CR231="D",1,0)+IF(CS231="D",1,0)+IF(CW231="D",1,0)+IF(CX231="D",1,0)+IF(DD231="D",1,0)+IF(DE231="D",1,0)+IF(DJ231="D",1,0)+IF(DK231="D",1,0)+IF(DO231="D",1,0)+IF(DP231="D",1,0)+IF(DQ231="D",1,0)+IF(DW231="D",1,0)+IF(DZ231="D",1,0)+IF(EH231="D",1,0)</f>
        <v>0</v>
      </c>
      <c r="AY231" s="0" t="n">
        <f aca="false">COUNTIF(DU231:EH231, "&lt;&gt;")</f>
        <v>1</v>
      </c>
      <c r="AZ231" s="0" t="n">
        <f aca="false">IF(EH231&lt;&gt;"",1,0)</f>
        <v>0</v>
      </c>
      <c r="BB231" s="0" t="s">
        <v>152</v>
      </c>
      <c r="EF231" s="0" t="s">
        <v>153</v>
      </c>
    </row>
    <row r="232" customFormat="false" ht="13.8" hidden="true" customHeight="false" outlineLevel="0" collapsed="false">
      <c r="A232" s="0" t="s">
        <v>1384</v>
      </c>
      <c r="B232" s="0" t="n">
        <v>78</v>
      </c>
      <c r="C232" s="0" t="n">
        <v>450329</v>
      </c>
      <c r="D232" s="0" t="s">
        <v>1385</v>
      </c>
      <c r="E232" s="0" t="s">
        <v>1386</v>
      </c>
      <c r="F232" s="0" t="str">
        <f aca="false">CONCATENATE(D232," ",LEFT(H232,4),"T=",AU232,"D=",AV232,"R=",AW232,"M=",AX232,"L=",AY232,"B=",AZ232)</f>
        <v>MARLOWE T=2D=0R=0M=0L=0B=0</v>
      </c>
      <c r="G232" s="0" t="s">
        <v>275</v>
      </c>
      <c r="I232" s="0" t="s">
        <v>1387</v>
      </c>
      <c r="J232" s="0" t="s">
        <v>1388</v>
      </c>
      <c r="K232" s="0" t="s">
        <v>143</v>
      </c>
      <c r="M232" s="0" t="s">
        <v>1383</v>
      </c>
      <c r="N232" s="0" t="str">
        <f aca="false">RIGHT(M232,LEN(M232)-FIND(" ",M232))</f>
        <v>BONNIE BRAE AVE SE</v>
      </c>
      <c r="P232" s="0" t="s">
        <v>145</v>
      </c>
      <c r="Q232" s="0" t="s">
        <v>146</v>
      </c>
      <c r="R232" s="0" t="n">
        <v>44484</v>
      </c>
      <c r="AD232" s="0" t="s">
        <v>147</v>
      </c>
      <c r="AE232" s="0" t="s">
        <v>148</v>
      </c>
      <c r="AF232" s="0" t="s">
        <v>149</v>
      </c>
      <c r="AH232" s="0" t="n">
        <v>14</v>
      </c>
      <c r="AI232" s="0" t="n">
        <v>11</v>
      </c>
      <c r="AN232" s="0" t="s">
        <v>145</v>
      </c>
      <c r="AO232" s="0" t="s">
        <v>150</v>
      </c>
      <c r="AP232" s="0" t="s">
        <v>151</v>
      </c>
      <c r="AQ232" s="0" t="n">
        <v>9</v>
      </c>
      <c r="AR232" s="0" t="n">
        <v>64</v>
      </c>
      <c r="AS232" s="0" t="n">
        <v>32</v>
      </c>
      <c r="AU232" s="0" t="n">
        <f aca="false">COUNTA($BA$684:$EH$684)</f>
        <v>2</v>
      </c>
      <c r="AV232" s="0" t="n">
        <f aca="false">COUNTIF($BA$684:$EH$684,"D")</f>
        <v>0</v>
      </c>
      <c r="AW232" s="0" t="n">
        <f aca="false">COUNTIF($BA$684:$EH$684,"R")</f>
        <v>0</v>
      </c>
      <c r="AX232" s="0" t="n">
        <f aca="false">IF(BN232="D",1,0)+IF(BO232="D",1,0)+IF(BT232="D",1,0)+IF(BU232="D",1,0)+IF(BW232="D",1,0)+IF(CC232="D",1,0)+IF(CD232="D",1,0)+IF(CE232="D",1,0)+IF(CF232="D",1,0)+IF(CL232="D",1,0)+IF(CM232="D",1,0)+IF(CQ232="D",1,0)+IF(CR232="D",1,0)+IF(CS232="D",1,0)+IF(CW232="D",1,0)+IF(CX232="D",1,0)+IF(DD232="D",1,0)+IF(DE232="D",1,0)+IF(DJ232="D",1,0)+IF(DK232="D",1,0)+IF(DO232="D",1,0)+IF(DP232="D",1,0)+IF(DQ232="D",1,0)+IF(DW232="D",1,0)+IF(DZ232="D",1,0)+IF(EH232="D",1,0)</f>
        <v>0</v>
      </c>
      <c r="AY232" s="0" t="n">
        <f aca="false">COUNTIF(DU232:EH232, "&lt;&gt;")</f>
        <v>0</v>
      </c>
      <c r="AZ232" s="0" t="n">
        <f aca="false">IF(EH232&lt;&gt;"",1,0)</f>
        <v>0</v>
      </c>
      <c r="BB232" s="0" t="s">
        <v>152</v>
      </c>
    </row>
    <row r="233" customFormat="false" ht="13.8" hidden="true" customHeight="false" outlineLevel="0" collapsed="false">
      <c r="A233" s="0" t="s">
        <v>1389</v>
      </c>
      <c r="B233" s="0" t="n">
        <v>78</v>
      </c>
      <c r="C233" s="0" t="n">
        <v>433702</v>
      </c>
      <c r="D233" s="0" t="s">
        <v>1390</v>
      </c>
      <c r="E233" s="0" t="s">
        <v>1366</v>
      </c>
      <c r="F233" s="0" t="str">
        <f aca="false">CONCATENATE(D233," ",LEFT(H233,4),"T=",AU233,"D=",AV233,"R=",AW233,"M=",AX233,"L=",AY233,"B=",AZ233)</f>
        <v>NEAL T=2D=0R=0M=0L=0B=0</v>
      </c>
      <c r="G233" s="0" t="s">
        <v>164</v>
      </c>
      <c r="I233" s="0" t="s">
        <v>1391</v>
      </c>
      <c r="J233" s="0" t="s">
        <v>1392</v>
      </c>
      <c r="K233" s="0" t="s">
        <v>143</v>
      </c>
      <c r="M233" s="0" t="s">
        <v>1393</v>
      </c>
      <c r="N233" s="0" t="str">
        <f aca="false">RIGHT(M233,LEN(M233)-FIND(" ",M233))</f>
        <v>BONNIE BRAE AVE SE</v>
      </c>
      <c r="P233" s="0" t="s">
        <v>145</v>
      </c>
      <c r="Q233" s="0" t="s">
        <v>146</v>
      </c>
      <c r="R233" s="0" t="n">
        <v>44484</v>
      </c>
      <c r="AD233" s="0" t="s">
        <v>147</v>
      </c>
      <c r="AE233" s="0" t="s">
        <v>148</v>
      </c>
      <c r="AF233" s="0" t="s">
        <v>149</v>
      </c>
      <c r="AH233" s="0" t="n">
        <v>14</v>
      </c>
      <c r="AI233" s="0" t="n">
        <v>11</v>
      </c>
      <c r="AN233" s="0" t="s">
        <v>145</v>
      </c>
      <c r="AO233" s="0" t="s">
        <v>150</v>
      </c>
      <c r="AP233" s="0" t="s">
        <v>151</v>
      </c>
      <c r="AQ233" s="0" t="n">
        <v>9</v>
      </c>
      <c r="AR233" s="0" t="n">
        <v>64</v>
      </c>
      <c r="AS233" s="0" t="n">
        <v>32</v>
      </c>
      <c r="AU233" s="0" t="n">
        <f aca="false">COUNTA($BA$90:$EH$90)</f>
        <v>2</v>
      </c>
      <c r="AV233" s="0" t="n">
        <f aca="false">COUNTIF($BA$90:$EH$90,"D")</f>
        <v>0</v>
      </c>
      <c r="AW233" s="0" t="n">
        <f aca="false">COUNTIF($BA$90:$EH$90,"R")</f>
        <v>0</v>
      </c>
      <c r="AX233" s="0" t="n">
        <f aca="false">IF(BN233="D",1,0)+IF(BO233="D",1,0)+IF(BT233="D",1,0)+IF(BU233="D",1,0)+IF(BW233="D",1,0)+IF(CC233="D",1,0)+IF(CD233="D",1,0)+IF(CE233="D",1,0)+IF(CF233="D",1,0)+IF(CL233="D",1,0)+IF(CM233="D",1,0)+IF(CQ233="D",1,0)+IF(CR233="D",1,0)+IF(CS233="D",1,0)+IF(CW233="D",1,0)+IF(CX233="D",1,0)+IF(DD233="D",1,0)+IF(DE233="D",1,0)+IF(DJ233="D",1,0)+IF(DK233="D",1,0)+IF(DO233="D",1,0)+IF(DP233="D",1,0)+IF(DQ233="D",1,0)+IF(DW233="D",1,0)+IF(DZ233="D",1,0)+IF(EH233="D",1,0)</f>
        <v>0</v>
      </c>
      <c r="AY233" s="0" t="n">
        <f aca="false">COUNTIF(DU233:EH233, "&lt;&gt;")</f>
        <v>0</v>
      </c>
      <c r="AZ233" s="0" t="n">
        <f aca="false">IF(EH233&lt;&gt;"",1,0)</f>
        <v>0</v>
      </c>
      <c r="BB233" s="0" t="s">
        <v>152</v>
      </c>
      <c r="BY233" s="0" t="s">
        <v>175</v>
      </c>
      <c r="CA233" s="0" t="s">
        <v>153</v>
      </c>
    </row>
    <row r="234" customFormat="false" ht="13.8" hidden="true" customHeight="false" outlineLevel="0" collapsed="false">
      <c r="A234" s="0" t="s">
        <v>1394</v>
      </c>
      <c r="B234" s="0" t="n">
        <v>78</v>
      </c>
      <c r="C234" s="0" t="n">
        <v>262257</v>
      </c>
      <c r="D234" s="0" t="s">
        <v>824</v>
      </c>
      <c r="E234" s="0" t="s">
        <v>1395</v>
      </c>
      <c r="F234" s="0" t="str">
        <f aca="false">CONCATENATE(D234," ",LEFT(H234,4),"T=",AU234,"D=",AV234,"R=",AW234,"M=",AX234,"L=",AY234,"B=",AZ234)</f>
        <v>SCOTT T=11D=0R=2M=1L=1B=0</v>
      </c>
      <c r="G234" s="0" t="s">
        <v>190</v>
      </c>
      <c r="I234" s="0" t="s">
        <v>1396</v>
      </c>
      <c r="J234" s="0" t="s">
        <v>1134</v>
      </c>
      <c r="K234" s="0" t="s">
        <v>160</v>
      </c>
      <c r="M234" s="0" t="s">
        <v>1397</v>
      </c>
      <c r="N234" s="0" t="str">
        <f aca="false">RIGHT(M234,LEN(M234)-FIND(" ",M234))</f>
        <v>BONNIE BRAE AVE SE</v>
      </c>
      <c r="P234" s="0" t="s">
        <v>145</v>
      </c>
      <c r="Q234" s="0" t="s">
        <v>146</v>
      </c>
      <c r="R234" s="0" t="n">
        <v>44484</v>
      </c>
      <c r="AD234" s="0" t="s">
        <v>147</v>
      </c>
      <c r="AE234" s="0" t="s">
        <v>148</v>
      </c>
      <c r="AF234" s="0" t="s">
        <v>149</v>
      </c>
      <c r="AH234" s="0" t="n">
        <v>14</v>
      </c>
      <c r="AI234" s="0" t="n">
        <v>11</v>
      </c>
      <c r="AN234" s="0" t="s">
        <v>145</v>
      </c>
      <c r="AO234" s="0" t="s">
        <v>150</v>
      </c>
      <c r="AP234" s="0" t="s">
        <v>151</v>
      </c>
      <c r="AQ234" s="0" t="n">
        <v>9</v>
      </c>
      <c r="AR234" s="0" t="n">
        <v>64</v>
      </c>
      <c r="AS234" s="0" t="n">
        <v>32</v>
      </c>
      <c r="AU234" s="0" t="n">
        <f aca="false">COUNTA($BA$969:$EH$969)</f>
        <v>11</v>
      </c>
      <c r="AV234" s="0" t="n">
        <f aca="false">COUNTIF($BA$969:$EH$969,"D")</f>
        <v>0</v>
      </c>
      <c r="AW234" s="0" t="n">
        <f aca="false">COUNTIF($BA$969:$EH$969,"R")</f>
        <v>2</v>
      </c>
      <c r="AX234" s="0" t="n">
        <f aca="false">IF(BN234="D",1,0)+IF(BO234="D",1,0)+IF(BT234="D",1,0)+IF(BU234="D",1,0)+IF(BW234="D",1,0)+IF(CC234="D",1,0)+IF(CD234="D",1,0)+IF(CE234="D",1,0)+IF(CF234="D",1,0)+IF(CL234="D",1,0)+IF(CM234="D",1,0)+IF(CQ234="D",1,0)+IF(CR234="D",1,0)+IF(CS234="D",1,0)+IF(CW234="D",1,0)+IF(CX234="D",1,0)+IF(DD234="D",1,0)+IF(DE234="D",1,0)+IF(DJ234="D",1,0)+IF(DK234="D",1,0)+IF(DO234="D",1,0)+IF(DP234="D",1,0)+IF(DQ234="D",1,0)+IF(DW234="D",1,0)+IF(DZ234="D",1,0)+IF(EH234="D",1,0)</f>
        <v>1</v>
      </c>
      <c r="AY234" s="0" t="n">
        <f aca="false">COUNTIF(DU234:EH234, "&lt;&gt;")</f>
        <v>1</v>
      </c>
      <c r="AZ234" s="0" t="n">
        <f aca="false">IF(EH234&lt;&gt;"",1,0)</f>
        <v>0</v>
      </c>
      <c r="BB234" s="0" t="s">
        <v>152</v>
      </c>
      <c r="BD234" s="0" t="s">
        <v>153</v>
      </c>
      <c r="BH234" s="0" t="s">
        <v>153</v>
      </c>
      <c r="BI234" s="0" t="s">
        <v>153</v>
      </c>
      <c r="BJ234" s="0" t="s">
        <v>153</v>
      </c>
      <c r="BK234" s="0" t="s">
        <v>153</v>
      </c>
      <c r="BL234" s="0" t="s">
        <v>153</v>
      </c>
      <c r="CA234" s="0" t="s">
        <v>153</v>
      </c>
      <c r="DI234" s="0" t="s">
        <v>153</v>
      </c>
      <c r="DJ234" s="0" t="s">
        <v>175</v>
      </c>
      <c r="DN234" s="0" t="s">
        <v>153</v>
      </c>
      <c r="EF234" s="0" t="s">
        <v>153</v>
      </c>
    </row>
    <row r="235" customFormat="false" ht="13.8" hidden="true" customHeight="false" outlineLevel="0" collapsed="false">
      <c r="A235" s="0" t="s">
        <v>1398</v>
      </c>
      <c r="B235" s="0" t="n">
        <v>78</v>
      </c>
      <c r="C235" s="0" t="n">
        <v>432114</v>
      </c>
      <c r="D235" s="0" t="s">
        <v>824</v>
      </c>
      <c r="E235" s="0" t="s">
        <v>1399</v>
      </c>
      <c r="F235" s="0" t="str">
        <f aca="false">CONCATENATE(D235," ",LEFT(H235,4),"T=",AU235,"D=",AV235,"R=",AW235,"M=",AX235,"L=",AY235,"B=",AZ235)</f>
        <v>SCOTT T=1D=0R=0M=0L=0B=0</v>
      </c>
      <c r="G235" s="0" t="s">
        <v>190</v>
      </c>
      <c r="I235" s="0" t="s">
        <v>1400</v>
      </c>
      <c r="J235" s="0" t="s">
        <v>1401</v>
      </c>
      <c r="K235" s="0" t="s">
        <v>160</v>
      </c>
      <c r="M235" s="0" t="s">
        <v>1397</v>
      </c>
      <c r="N235" s="0" t="str">
        <f aca="false">RIGHT(M235,LEN(M235)-FIND(" ",M235))</f>
        <v>BONNIE BRAE AVE SE</v>
      </c>
      <c r="P235" s="0" t="s">
        <v>145</v>
      </c>
      <c r="Q235" s="0" t="s">
        <v>146</v>
      </c>
      <c r="R235" s="0" t="n">
        <v>44484</v>
      </c>
      <c r="AD235" s="0" t="s">
        <v>147</v>
      </c>
      <c r="AE235" s="0" t="s">
        <v>148</v>
      </c>
      <c r="AF235" s="0" t="s">
        <v>149</v>
      </c>
      <c r="AH235" s="0" t="n">
        <v>14</v>
      </c>
      <c r="AI235" s="0" t="n">
        <v>11</v>
      </c>
      <c r="AN235" s="0" t="s">
        <v>145</v>
      </c>
      <c r="AO235" s="0" t="s">
        <v>150</v>
      </c>
      <c r="AP235" s="0" t="s">
        <v>151</v>
      </c>
      <c r="AQ235" s="0" t="n">
        <v>9</v>
      </c>
      <c r="AR235" s="0" t="n">
        <v>64</v>
      </c>
      <c r="AS235" s="0" t="n">
        <v>32</v>
      </c>
      <c r="AU235" s="0" t="n">
        <f aca="false">COUNTA($BA$1086:$EH$1086)</f>
        <v>1</v>
      </c>
      <c r="AV235" s="0" t="n">
        <f aca="false">COUNTIF($BA$1086:$EH$1086,"D")</f>
        <v>0</v>
      </c>
      <c r="AW235" s="0" t="n">
        <f aca="false">COUNTIF($BA$1086:$EH$1086,"R")</f>
        <v>0</v>
      </c>
      <c r="AX235" s="0" t="n">
        <f aca="false">IF(BN235="D",1,0)+IF(BO235="D",1,0)+IF(BT235="D",1,0)+IF(BU235="D",1,0)+IF(BW235="D",1,0)+IF(CC235="D",1,0)+IF(CD235="D",1,0)+IF(CE235="D",1,0)+IF(CF235="D",1,0)+IF(CL235="D",1,0)+IF(CM235="D",1,0)+IF(CQ235="D",1,0)+IF(CR235="D",1,0)+IF(CS235="D",1,0)+IF(CW235="D",1,0)+IF(CX235="D",1,0)+IF(DD235="D",1,0)+IF(DE235="D",1,0)+IF(DJ235="D",1,0)+IF(DK235="D",1,0)+IF(DO235="D",1,0)+IF(DP235="D",1,0)+IF(DQ235="D",1,0)+IF(DW235="D",1,0)+IF(DZ235="D",1,0)+IF(EH235="D",1,0)</f>
        <v>0</v>
      </c>
      <c r="AY235" s="0" t="n">
        <f aca="false">COUNTIF(DU235:EH235, "&lt;&gt;")</f>
        <v>0</v>
      </c>
      <c r="AZ235" s="0" t="n">
        <f aca="false">IF(EH235&lt;&gt;"",1,0)</f>
        <v>0</v>
      </c>
      <c r="BB235" s="0" t="s">
        <v>152</v>
      </c>
    </row>
    <row r="236" customFormat="false" ht="13.8" hidden="true" customHeight="false" outlineLevel="0" collapsed="false">
      <c r="A236" s="0" t="s">
        <v>1402</v>
      </c>
      <c r="B236" s="0" t="n">
        <v>78</v>
      </c>
      <c r="C236" s="0" t="n">
        <v>422070</v>
      </c>
      <c r="D236" s="0" t="s">
        <v>1403</v>
      </c>
      <c r="E236" s="0" t="s">
        <v>1404</v>
      </c>
      <c r="F236" s="0" t="str">
        <f aca="false">CONCATENATE(D236," ",LEFT(H236,4),"T=",AU236,"D=",AV236,"R=",AW236,"M=",AX236,"L=",AY236,"B=",AZ236)</f>
        <v>FULLER T=5D=0R=0M=0L=0B=0</v>
      </c>
      <c r="G236" s="0" t="s">
        <v>195</v>
      </c>
      <c r="I236" s="0" t="s">
        <v>1405</v>
      </c>
      <c r="J236" s="0" t="s">
        <v>1038</v>
      </c>
      <c r="K236" s="0" t="s">
        <v>143</v>
      </c>
      <c r="M236" s="0" t="s">
        <v>1406</v>
      </c>
      <c r="N236" s="0" t="str">
        <f aca="false">RIGHT(M236,LEN(M236)-FIND(" ",M236))</f>
        <v>BONNIE BRAE AVE SE</v>
      </c>
      <c r="P236" s="0" t="s">
        <v>145</v>
      </c>
      <c r="Q236" s="0" t="s">
        <v>146</v>
      </c>
      <c r="R236" s="0" t="n">
        <v>44484</v>
      </c>
      <c r="AD236" s="0" t="s">
        <v>147</v>
      </c>
      <c r="AE236" s="0" t="s">
        <v>148</v>
      </c>
      <c r="AF236" s="0" t="s">
        <v>149</v>
      </c>
      <c r="AH236" s="0" t="n">
        <v>14</v>
      </c>
      <c r="AI236" s="0" t="n">
        <v>11</v>
      </c>
      <c r="AN236" s="0" t="s">
        <v>145</v>
      </c>
      <c r="AO236" s="0" t="s">
        <v>150</v>
      </c>
      <c r="AP236" s="0" t="s">
        <v>151</v>
      </c>
      <c r="AQ236" s="0" t="n">
        <v>9</v>
      </c>
      <c r="AR236" s="0" t="n">
        <v>64</v>
      </c>
      <c r="AS236" s="0" t="n">
        <v>32</v>
      </c>
      <c r="AU236" s="0" t="n">
        <f aca="false">COUNTA($BA$282:$EH$282)</f>
        <v>5</v>
      </c>
      <c r="AV236" s="0" t="n">
        <f aca="false">COUNTIF($BA$282:$EH$282,"D")</f>
        <v>0</v>
      </c>
      <c r="AW236" s="0" t="n">
        <f aca="false">COUNTIF($BA$282:$EH$282,"R")</f>
        <v>0</v>
      </c>
      <c r="AX236" s="0" t="n">
        <f aca="false">IF(BN236="D",1,0)+IF(BO236="D",1,0)+IF(BT236="D",1,0)+IF(BU236="D",1,0)+IF(BW236="D",1,0)+IF(CC236="D",1,0)+IF(CD236="D",1,0)+IF(CE236="D",1,0)+IF(CF236="D",1,0)+IF(CL236="D",1,0)+IF(CM236="D",1,0)+IF(CQ236="D",1,0)+IF(CR236="D",1,0)+IF(CS236="D",1,0)+IF(CW236="D",1,0)+IF(CX236="D",1,0)+IF(DD236="D",1,0)+IF(DE236="D",1,0)+IF(DJ236="D",1,0)+IF(DK236="D",1,0)+IF(DO236="D",1,0)+IF(DP236="D",1,0)+IF(DQ236="D",1,0)+IF(DW236="D",1,0)+IF(DZ236="D",1,0)+IF(EH236="D",1,0)</f>
        <v>0</v>
      </c>
      <c r="AY236" s="0" t="n">
        <f aca="false">COUNTIF(DU236:EH236, "&lt;&gt;")</f>
        <v>0</v>
      </c>
      <c r="AZ236" s="0" t="n">
        <f aca="false">IF(EH236&lt;&gt;"",1,0)</f>
        <v>0</v>
      </c>
      <c r="BB236" s="0" t="s">
        <v>152</v>
      </c>
      <c r="BL236" s="0" t="s">
        <v>153</v>
      </c>
    </row>
    <row r="237" customFormat="false" ht="13.8" hidden="true" customHeight="false" outlineLevel="0" collapsed="false">
      <c r="A237" s="0" t="s">
        <v>1407</v>
      </c>
      <c r="B237" s="0" t="n">
        <v>78</v>
      </c>
      <c r="C237" s="0" t="n">
        <v>416871</v>
      </c>
      <c r="D237" s="0" t="s">
        <v>1408</v>
      </c>
      <c r="E237" s="0" t="s">
        <v>1409</v>
      </c>
      <c r="F237" s="0" t="str">
        <f aca="false">CONCATENATE(D237," ",LEFT(H237,4),"T=",AU237,"D=",AV237,"R=",AW237,"M=",AX237,"L=",AY237,"B=",AZ237)</f>
        <v>HIPPO T=3D=1R=0M=0L=0B=0</v>
      </c>
      <c r="G237" s="0" t="s">
        <v>164</v>
      </c>
      <c r="I237" s="0" t="s">
        <v>1410</v>
      </c>
      <c r="J237" s="0" t="s">
        <v>1038</v>
      </c>
      <c r="K237" s="0" t="s">
        <v>143</v>
      </c>
      <c r="M237" s="0" t="s">
        <v>1411</v>
      </c>
      <c r="N237" s="0" t="str">
        <f aca="false">RIGHT(M237,LEN(M237)-FIND(" ",M237))</f>
        <v>BONNIE BRAE AVE SE</v>
      </c>
      <c r="P237" s="0" t="s">
        <v>145</v>
      </c>
      <c r="Q237" s="0" t="s">
        <v>146</v>
      </c>
      <c r="R237" s="0" t="n">
        <v>44484</v>
      </c>
      <c r="AD237" s="0" t="s">
        <v>147</v>
      </c>
      <c r="AE237" s="0" t="s">
        <v>148</v>
      </c>
      <c r="AF237" s="0" t="s">
        <v>149</v>
      </c>
      <c r="AH237" s="0" t="n">
        <v>14</v>
      </c>
      <c r="AI237" s="0" t="n">
        <v>11</v>
      </c>
      <c r="AN237" s="0" t="s">
        <v>145</v>
      </c>
      <c r="AO237" s="0" t="s">
        <v>150</v>
      </c>
      <c r="AP237" s="0" t="s">
        <v>151</v>
      </c>
      <c r="AQ237" s="0" t="n">
        <v>9</v>
      </c>
      <c r="AR237" s="0" t="n">
        <v>64</v>
      </c>
      <c r="AS237" s="0" t="n">
        <v>32</v>
      </c>
      <c r="AU237" s="0" t="n">
        <f aca="false">COUNTA($BA$319:$EH$319)</f>
        <v>3</v>
      </c>
      <c r="AV237" s="0" t="n">
        <f aca="false">COUNTIF($BA$319:$EH$319,"D")</f>
        <v>1</v>
      </c>
      <c r="AW237" s="0" t="n">
        <f aca="false">COUNTIF($BA$319:$EH$319,"R")</f>
        <v>0</v>
      </c>
      <c r="AX237" s="0" t="n">
        <f aca="false">IF(BN237="D",1,0)+IF(BO237="D",1,0)+IF(BT237="D",1,0)+IF(BU237="D",1,0)+IF(BW237="D",1,0)+IF(CC237="D",1,0)+IF(CD237="D",1,0)+IF(CE237="D",1,0)+IF(CF237="D",1,0)+IF(CL237="D",1,0)+IF(CM237="D",1,0)+IF(CQ237="D",1,0)+IF(CR237="D",1,0)+IF(CS237="D",1,0)+IF(CW237="D",1,0)+IF(CX237="D",1,0)+IF(DD237="D",1,0)+IF(DE237="D",1,0)+IF(DJ237="D",1,0)+IF(DK237="D",1,0)+IF(DO237="D",1,0)+IF(DP237="D",1,0)+IF(DQ237="D",1,0)+IF(DW237="D",1,0)+IF(DZ237="D",1,0)+IF(EH237="D",1,0)</f>
        <v>0</v>
      </c>
      <c r="AY237" s="0" t="n">
        <f aca="false">COUNTIF(DU237:EH237, "&lt;&gt;")</f>
        <v>0</v>
      </c>
      <c r="AZ237" s="0" t="n">
        <f aca="false">IF(EH237&lt;&gt;"",1,0)</f>
        <v>0</v>
      </c>
      <c r="BB237" s="0" t="s">
        <v>152</v>
      </c>
    </row>
    <row r="238" customFormat="false" ht="13.8" hidden="true" customHeight="false" outlineLevel="0" collapsed="false">
      <c r="A238" s="0" t="s">
        <v>1412</v>
      </c>
      <c r="B238" s="0" t="n">
        <v>78</v>
      </c>
      <c r="C238" s="0" t="n">
        <v>294666</v>
      </c>
      <c r="D238" s="0" t="s">
        <v>1413</v>
      </c>
      <c r="E238" s="0" t="s">
        <v>1414</v>
      </c>
      <c r="F238" s="0" t="str">
        <f aca="false">CONCATENATE(D238," ",LEFT(H238,4),"T=",AU238,"D=",AV238,"R=",AW238,"M=",AX238,"L=",AY238,"B=",AZ238)</f>
        <v>BRYNER T=13D=3R=0M=0L=0B=0</v>
      </c>
      <c r="G238" s="0" t="s">
        <v>1248</v>
      </c>
      <c r="I238" s="0" t="s">
        <v>1415</v>
      </c>
      <c r="J238" s="0" t="s">
        <v>1416</v>
      </c>
      <c r="K238" s="0" t="s">
        <v>143</v>
      </c>
      <c r="M238" s="0" t="s">
        <v>1411</v>
      </c>
      <c r="N238" s="0" t="str">
        <f aca="false">RIGHT(M238,LEN(M238)-FIND(" ",M238))</f>
        <v>BONNIE BRAE AVE SE</v>
      </c>
      <c r="P238" s="0" t="s">
        <v>145</v>
      </c>
      <c r="Q238" s="0" t="s">
        <v>146</v>
      </c>
      <c r="R238" s="0" t="n">
        <v>44484</v>
      </c>
      <c r="AD238" s="0" t="s">
        <v>147</v>
      </c>
      <c r="AE238" s="0" t="s">
        <v>148</v>
      </c>
      <c r="AF238" s="0" t="s">
        <v>149</v>
      </c>
      <c r="AH238" s="0" t="n">
        <v>14</v>
      </c>
      <c r="AI238" s="0" t="n">
        <v>11</v>
      </c>
      <c r="AN238" s="0" t="s">
        <v>145</v>
      </c>
      <c r="AO238" s="0" t="s">
        <v>150</v>
      </c>
      <c r="AP238" s="0" t="s">
        <v>151</v>
      </c>
      <c r="AQ238" s="0" t="n">
        <v>9</v>
      </c>
      <c r="AR238" s="0" t="n">
        <v>64</v>
      </c>
      <c r="AS238" s="0" t="n">
        <v>32</v>
      </c>
      <c r="AU238" s="0" t="n">
        <f aca="false">COUNTA($BA$551:$EH$551)</f>
        <v>13</v>
      </c>
      <c r="AV238" s="0" t="n">
        <f aca="false">COUNTIF($BA$551:$EH$551,"D")</f>
        <v>3</v>
      </c>
      <c r="AW238" s="0" t="n">
        <f aca="false">COUNTIF($BA$551:$EH$551,"R")</f>
        <v>0</v>
      </c>
      <c r="AX238" s="0" t="n">
        <f aca="false">IF(BN238="D",1,0)+IF(BO238="D",1,0)+IF(BT238="D",1,0)+IF(BU238="D",1,0)+IF(BW238="D",1,0)+IF(CC238="D",1,0)+IF(CD238="D",1,0)+IF(CE238="D",1,0)+IF(CF238="D",1,0)+IF(CL238="D",1,0)+IF(CM238="D",1,0)+IF(CQ238="D",1,0)+IF(CR238="D",1,0)+IF(CS238="D",1,0)+IF(CW238="D",1,0)+IF(CX238="D",1,0)+IF(DD238="D",1,0)+IF(DE238="D",1,0)+IF(DJ238="D",1,0)+IF(DK238="D",1,0)+IF(DO238="D",1,0)+IF(DP238="D",1,0)+IF(DQ238="D",1,0)+IF(DW238="D",1,0)+IF(DZ238="D",1,0)+IF(EH238="D",1,0)</f>
        <v>0</v>
      </c>
      <c r="AY238" s="0" t="n">
        <f aca="false">COUNTIF(DU238:EH238, "&lt;&gt;")</f>
        <v>0</v>
      </c>
      <c r="AZ238" s="0" t="n">
        <f aca="false">IF(EH238&lt;&gt;"",1,0)</f>
        <v>0</v>
      </c>
      <c r="BB238" s="0" t="s">
        <v>152</v>
      </c>
      <c r="BG238" s="0" t="s">
        <v>153</v>
      </c>
      <c r="BL238" s="0" t="s">
        <v>153</v>
      </c>
      <c r="BP238" s="0" t="s">
        <v>153</v>
      </c>
      <c r="BR238" s="0" t="s">
        <v>153</v>
      </c>
      <c r="BS238" s="0" t="s">
        <v>153</v>
      </c>
      <c r="CA238" s="0" t="s">
        <v>153</v>
      </c>
      <c r="CC238" s="0" t="s">
        <v>153</v>
      </c>
      <c r="CY238" s="0" t="s">
        <v>153</v>
      </c>
      <c r="CZ238" s="0" t="s">
        <v>209</v>
      </c>
    </row>
    <row r="239" customFormat="false" ht="13.8" hidden="true" customHeight="false" outlineLevel="0" collapsed="false">
      <c r="A239" s="0" t="s">
        <v>1417</v>
      </c>
      <c r="B239" s="0" t="n">
        <v>78</v>
      </c>
      <c r="C239" s="0" t="n">
        <v>402840</v>
      </c>
      <c r="D239" s="0" t="s">
        <v>1418</v>
      </c>
      <c r="E239" s="0" t="s">
        <v>712</v>
      </c>
      <c r="F239" s="0" t="str">
        <f aca="false">CONCATENATE(D239," ",LEFT(H239,4),"T=",AU239,"D=",AV239,"R=",AW239,"M=",AX239,"L=",AY239,"B=",AZ239)</f>
        <v>SPITLER T=1D=0R=0M=0L=1B=0</v>
      </c>
      <c r="G239" s="0" t="s">
        <v>367</v>
      </c>
      <c r="I239" s="0" t="s">
        <v>1419</v>
      </c>
      <c r="J239" s="0" t="s">
        <v>1420</v>
      </c>
      <c r="K239" s="0" t="s">
        <v>160</v>
      </c>
      <c r="M239" s="0" t="s">
        <v>1411</v>
      </c>
      <c r="N239" s="0" t="str">
        <f aca="false">RIGHT(M239,LEN(M239)-FIND(" ",M239))</f>
        <v>BONNIE BRAE AVE SE</v>
      </c>
      <c r="P239" s="0" t="s">
        <v>145</v>
      </c>
      <c r="Q239" s="0" t="s">
        <v>146</v>
      </c>
      <c r="R239" s="0" t="n">
        <v>44484</v>
      </c>
      <c r="AD239" s="0" t="s">
        <v>147</v>
      </c>
      <c r="AE239" s="0" t="s">
        <v>148</v>
      </c>
      <c r="AF239" s="0" t="s">
        <v>149</v>
      </c>
      <c r="AH239" s="0" t="n">
        <v>14</v>
      </c>
      <c r="AI239" s="0" t="n">
        <v>11</v>
      </c>
      <c r="AN239" s="0" t="s">
        <v>145</v>
      </c>
      <c r="AO239" s="0" t="s">
        <v>150</v>
      </c>
      <c r="AP239" s="0" t="s">
        <v>151</v>
      </c>
      <c r="AQ239" s="0" t="n">
        <v>9</v>
      </c>
      <c r="AR239" s="0" t="n">
        <v>64</v>
      </c>
      <c r="AS239" s="0" t="n">
        <v>32</v>
      </c>
      <c r="AU239" s="0" t="n">
        <f aca="false">COUNTA($BA$673:$EH$673)</f>
        <v>1</v>
      </c>
      <c r="AV239" s="0" t="n">
        <f aca="false">COUNTIF($BA$673:$EH$673,"D")</f>
        <v>0</v>
      </c>
      <c r="AW239" s="0" t="n">
        <f aca="false">COUNTIF($BA$673:$EH$673,"R")</f>
        <v>0</v>
      </c>
      <c r="AX239" s="0" t="n">
        <f aca="false">IF(BN239="D",1,0)+IF(BO239="D",1,0)+IF(BT239="D",1,0)+IF(BU239="D",1,0)+IF(BW239="D",1,0)+IF(CC239="D",1,0)+IF(CD239="D",1,0)+IF(CE239="D",1,0)+IF(CF239="D",1,0)+IF(CL239="D",1,0)+IF(CM239="D",1,0)+IF(CQ239="D",1,0)+IF(CR239="D",1,0)+IF(CS239="D",1,0)+IF(CW239="D",1,0)+IF(CX239="D",1,0)+IF(DD239="D",1,0)+IF(DE239="D",1,0)+IF(DJ239="D",1,0)+IF(DK239="D",1,0)+IF(DO239="D",1,0)+IF(DP239="D",1,0)+IF(DQ239="D",1,0)+IF(DW239="D",1,0)+IF(DZ239="D",1,0)+IF(EH239="D",1,0)</f>
        <v>0</v>
      </c>
      <c r="AY239" s="0" t="n">
        <f aca="false">COUNTIF(DU239:EH239, "&lt;&gt;")</f>
        <v>1</v>
      </c>
      <c r="AZ239" s="0" t="n">
        <f aca="false">IF(EH239&lt;&gt;"",1,0)</f>
        <v>0</v>
      </c>
      <c r="BB239" s="0" t="s">
        <v>152</v>
      </c>
      <c r="BL239" s="0" t="s">
        <v>153</v>
      </c>
      <c r="BN239" s="0" t="s">
        <v>153</v>
      </c>
      <c r="BP239" s="0" t="s">
        <v>153</v>
      </c>
      <c r="BS239" s="0" t="s">
        <v>153</v>
      </c>
      <c r="BY239" s="0" t="s">
        <v>175</v>
      </c>
      <c r="CA239" s="0" t="s">
        <v>153</v>
      </c>
      <c r="CK239" s="0" t="s">
        <v>153</v>
      </c>
      <c r="CY239" s="0" t="s">
        <v>153</v>
      </c>
      <c r="EF239" s="0" t="s">
        <v>153</v>
      </c>
    </row>
    <row r="240" customFormat="false" ht="13.8" hidden="true" customHeight="false" outlineLevel="0" collapsed="false">
      <c r="A240" s="0" t="s">
        <v>1421</v>
      </c>
      <c r="B240" s="0" t="n">
        <v>78</v>
      </c>
      <c r="C240" s="0" t="n">
        <v>216122</v>
      </c>
      <c r="D240" s="0" t="s">
        <v>1418</v>
      </c>
      <c r="E240" s="0" t="s">
        <v>379</v>
      </c>
      <c r="F240" s="0" t="str">
        <f aca="false">CONCATENATE(D240," ",LEFT(H240,4),"T=",AU240,"D=",AV240,"R=",AW240,"M=",AX240,"L=",AY240,"B=",AZ240)</f>
        <v>SPITLER JRT=10D=1R=1M=0L=1B=0</v>
      </c>
      <c r="G240" s="0" t="s">
        <v>357</v>
      </c>
      <c r="H240" s="0" t="s">
        <v>314</v>
      </c>
      <c r="I240" s="0" t="s">
        <v>1422</v>
      </c>
      <c r="J240" s="0" t="s">
        <v>1423</v>
      </c>
      <c r="K240" s="0" t="s">
        <v>160</v>
      </c>
      <c r="M240" s="0" t="s">
        <v>1411</v>
      </c>
      <c r="N240" s="0" t="str">
        <f aca="false">RIGHT(M240,LEN(M240)-FIND(" ",M240))</f>
        <v>BONNIE BRAE AVE SE</v>
      </c>
      <c r="P240" s="0" t="s">
        <v>145</v>
      </c>
      <c r="Q240" s="0" t="s">
        <v>146</v>
      </c>
      <c r="R240" s="0" t="n">
        <v>44484</v>
      </c>
      <c r="AD240" s="0" t="s">
        <v>147</v>
      </c>
      <c r="AE240" s="0" t="s">
        <v>148</v>
      </c>
      <c r="AF240" s="0" t="s">
        <v>149</v>
      </c>
      <c r="AH240" s="0" t="n">
        <v>14</v>
      </c>
      <c r="AI240" s="0" t="n">
        <v>11</v>
      </c>
      <c r="AN240" s="0" t="s">
        <v>145</v>
      </c>
      <c r="AO240" s="0" t="s">
        <v>150</v>
      </c>
      <c r="AP240" s="0" t="s">
        <v>151</v>
      </c>
      <c r="AQ240" s="0" t="n">
        <v>9</v>
      </c>
      <c r="AR240" s="0" t="n">
        <v>64</v>
      </c>
      <c r="AS240" s="0" t="n">
        <v>32</v>
      </c>
      <c r="AU240" s="0" t="n">
        <f aca="false">COUNTA($BA$1072:$EH$1072)</f>
        <v>10</v>
      </c>
      <c r="AV240" s="0" t="n">
        <f aca="false">COUNTIF($BA$1072:$EH$1072,"D")</f>
        <v>1</v>
      </c>
      <c r="AW240" s="0" t="n">
        <f aca="false">COUNTIF($BA$1072:$EH$1072,"R")</f>
        <v>1</v>
      </c>
      <c r="AX240" s="0" t="n">
        <f aca="false">IF(BN240="D",1,0)+IF(BO240="D",1,0)+IF(BT240="D",1,0)+IF(BU240="D",1,0)+IF(BW240="D",1,0)+IF(CC240="D",1,0)+IF(CD240="D",1,0)+IF(CE240="D",1,0)+IF(CF240="D",1,0)+IF(CL240="D",1,0)+IF(CM240="D",1,0)+IF(CQ240="D",1,0)+IF(CR240="D",1,0)+IF(CS240="D",1,0)+IF(CW240="D",1,0)+IF(CX240="D",1,0)+IF(DD240="D",1,0)+IF(DE240="D",1,0)+IF(DJ240="D",1,0)+IF(DK240="D",1,0)+IF(DO240="D",1,0)+IF(DP240="D",1,0)+IF(DQ240="D",1,0)+IF(DW240="D",1,0)+IF(DZ240="D",1,0)+IF(EH240="D",1,0)</f>
        <v>0</v>
      </c>
      <c r="AY240" s="0" t="n">
        <f aca="false">COUNTIF(DU240:EH240, "&lt;&gt;")</f>
        <v>1</v>
      </c>
      <c r="AZ240" s="0" t="n">
        <f aca="false">IF(EH240&lt;&gt;"",1,0)</f>
        <v>0</v>
      </c>
      <c r="BB240" s="0" t="s">
        <v>152</v>
      </c>
      <c r="BD240" s="0" t="s">
        <v>153</v>
      </c>
      <c r="BH240" s="0" t="s">
        <v>153</v>
      </c>
      <c r="BJ240" s="0" t="s">
        <v>153</v>
      </c>
      <c r="BL240" s="0" t="s">
        <v>153</v>
      </c>
      <c r="BS240" s="0" t="s">
        <v>153</v>
      </c>
      <c r="CN240" s="0" t="s">
        <v>153</v>
      </c>
      <c r="CP240" s="0" t="s">
        <v>153</v>
      </c>
      <c r="CZ240" s="0" t="s">
        <v>209</v>
      </c>
      <c r="DC240" s="0" t="s">
        <v>153</v>
      </c>
      <c r="DI240" s="0" t="s">
        <v>153</v>
      </c>
      <c r="DL240" s="0" t="s">
        <v>153</v>
      </c>
      <c r="DN240" s="0" t="s">
        <v>153</v>
      </c>
      <c r="EF240" s="0" t="s">
        <v>153</v>
      </c>
    </row>
    <row r="241" customFormat="false" ht="13.8" hidden="true" customHeight="false" outlineLevel="0" collapsed="false">
      <c r="A241" s="0" t="s">
        <v>1424</v>
      </c>
      <c r="B241" s="0" t="n">
        <v>78</v>
      </c>
      <c r="C241" s="0" t="n">
        <v>356248</v>
      </c>
      <c r="D241" s="0" t="s">
        <v>1425</v>
      </c>
      <c r="E241" s="0" t="s">
        <v>275</v>
      </c>
      <c r="F241" s="0" t="str">
        <f aca="false">CONCATENATE(D241," ",LEFT(H241,4),"T=",AU241,"D=",AV241,"R=",AW241,"M=",AX241,"L=",AY241,"B=",AZ241)</f>
        <v>WELKER T=1D=0R=0M=0L=0B=0</v>
      </c>
      <c r="G241" s="0" t="s">
        <v>307</v>
      </c>
      <c r="I241" s="0" t="s">
        <v>1426</v>
      </c>
      <c r="J241" s="0" t="s">
        <v>1427</v>
      </c>
      <c r="K241" s="0" t="s">
        <v>160</v>
      </c>
      <c r="L241" s="0" t="s">
        <v>175</v>
      </c>
      <c r="M241" s="0" t="s">
        <v>1428</v>
      </c>
      <c r="N241" s="0" t="str">
        <f aca="false">RIGHT(M241,LEN(M241)-FIND(" ",M241))</f>
        <v>BONNIE BRAE AVE SE</v>
      </c>
      <c r="P241" s="0" t="s">
        <v>145</v>
      </c>
      <c r="Q241" s="0" t="s">
        <v>146</v>
      </c>
      <c r="R241" s="0" t="n">
        <v>44484</v>
      </c>
      <c r="AD241" s="0" t="s">
        <v>147</v>
      </c>
      <c r="AE241" s="0" t="s">
        <v>148</v>
      </c>
      <c r="AF241" s="0" t="s">
        <v>149</v>
      </c>
      <c r="AH241" s="0" t="n">
        <v>14</v>
      </c>
      <c r="AI241" s="0" t="n">
        <v>11</v>
      </c>
      <c r="AN241" s="0" t="s">
        <v>145</v>
      </c>
      <c r="AO241" s="0" t="s">
        <v>150</v>
      </c>
      <c r="AP241" s="0" t="s">
        <v>151</v>
      </c>
      <c r="AQ241" s="0" t="n">
        <v>9</v>
      </c>
      <c r="AR241" s="0" t="n">
        <v>64</v>
      </c>
      <c r="AS241" s="0" t="n">
        <v>32</v>
      </c>
      <c r="AU241" s="0" t="n">
        <f aca="false">COUNTA($BA$513:$EH$513)</f>
        <v>1</v>
      </c>
      <c r="AV241" s="0" t="n">
        <f aca="false">COUNTIF($BA$513:$EH$513,"D")</f>
        <v>0</v>
      </c>
      <c r="AW241" s="0" t="n">
        <f aca="false">COUNTIF($BA$513:$EH$513,"R")</f>
        <v>0</v>
      </c>
      <c r="AX241" s="0" t="n">
        <f aca="false">IF(BN241="D",1,0)+IF(BO241="D",1,0)+IF(BT241="D",1,0)+IF(BU241="D",1,0)+IF(BW241="D",1,0)+IF(CC241="D",1,0)+IF(CD241="D",1,0)+IF(CE241="D",1,0)+IF(CF241="D",1,0)+IF(CL241="D",1,0)+IF(CM241="D",1,0)+IF(CQ241="D",1,0)+IF(CR241="D",1,0)+IF(CS241="D",1,0)+IF(CW241="D",1,0)+IF(CX241="D",1,0)+IF(DD241="D",1,0)+IF(DE241="D",1,0)+IF(DJ241="D",1,0)+IF(DK241="D",1,0)+IF(DO241="D",1,0)+IF(DP241="D",1,0)+IF(DQ241="D",1,0)+IF(DW241="D",1,0)+IF(DZ241="D",1,0)+IF(EH241="D",1,0)</f>
        <v>0</v>
      </c>
      <c r="AY241" s="0" t="n">
        <f aca="false">COUNTIF(DU241:EH241, "&lt;&gt;")</f>
        <v>0</v>
      </c>
      <c r="AZ241" s="0" t="n">
        <f aca="false">IF(EH241&lt;&gt;"",1,0)</f>
        <v>0</v>
      </c>
      <c r="BB241" s="0" t="s">
        <v>152</v>
      </c>
      <c r="CG241" s="0" t="s">
        <v>153</v>
      </c>
      <c r="CP241" s="0" t="s">
        <v>153</v>
      </c>
      <c r="CY241" s="0" t="s">
        <v>153</v>
      </c>
      <c r="DS241" s="0" t="s">
        <v>175</v>
      </c>
    </row>
    <row r="242" customFormat="false" ht="13.8" hidden="false" customHeight="false" outlineLevel="0" collapsed="false">
      <c r="A242" s="0" t="s">
        <v>1429</v>
      </c>
      <c r="B242" s="0" t="n">
        <v>78</v>
      </c>
      <c r="C242" s="0" t="n">
        <v>345094</v>
      </c>
      <c r="D242" s="0" t="s">
        <v>1430</v>
      </c>
      <c r="E242" s="0" t="s">
        <v>1431</v>
      </c>
      <c r="F242" s="0" t="str">
        <f aca="false">CONCATENATE(D242," ",LEFT(H242,4),"T=",AU242,"D=",AV242,"R=",AW242,"M=",AX242,"L=",AY242,"B=",AZ242)</f>
        <v>MARSHALL T=2D=0R=0M=0L=3B=0</v>
      </c>
      <c r="G242" s="0" t="s">
        <v>1082</v>
      </c>
      <c r="I242" s="0" t="s">
        <v>1432</v>
      </c>
      <c r="J242" s="0" t="s">
        <v>1433</v>
      </c>
      <c r="K242" s="0" t="s">
        <v>160</v>
      </c>
      <c r="M242" s="0" t="s">
        <v>1434</v>
      </c>
      <c r="N242" s="0" t="str">
        <f aca="false">RIGHT(M242,LEN(M242)-FIND(" ",M242))</f>
        <v>BONNIE BRAE AVE SE</v>
      </c>
      <c r="P242" s="0" t="s">
        <v>145</v>
      </c>
      <c r="Q242" s="0" t="s">
        <v>146</v>
      </c>
      <c r="R242" s="0" t="n">
        <v>44484</v>
      </c>
      <c r="AD242" s="0" t="s">
        <v>147</v>
      </c>
      <c r="AE242" s="0" t="s">
        <v>148</v>
      </c>
      <c r="AF242" s="0" t="s">
        <v>149</v>
      </c>
      <c r="AH242" s="0" t="n">
        <v>14</v>
      </c>
      <c r="AI242" s="0" t="n">
        <v>11</v>
      </c>
      <c r="AN242" s="0" t="s">
        <v>145</v>
      </c>
      <c r="AO242" s="0" t="s">
        <v>150</v>
      </c>
      <c r="AP242" s="0" t="s">
        <v>151</v>
      </c>
      <c r="AQ242" s="0" t="n">
        <v>9</v>
      </c>
      <c r="AR242" s="0" t="n">
        <v>64</v>
      </c>
      <c r="AS242" s="0" t="n">
        <v>32</v>
      </c>
      <c r="AU242" s="0" t="n">
        <f aca="false">COUNTA($BA$522:$EH$522)</f>
        <v>2</v>
      </c>
      <c r="AV242" s="0" t="n">
        <f aca="false">COUNTIF($BA$522:$EH$522,"D")</f>
        <v>0</v>
      </c>
      <c r="AW242" s="0" t="n">
        <f aca="false">COUNTIF($BA$522:$EH$522,"R")</f>
        <v>0</v>
      </c>
      <c r="AX242" s="0" t="n">
        <f aca="false">IF(BN242="D",1,0)+IF(BO242="D",1,0)+IF(BT242="D",1,0)+IF(BU242="D",1,0)+IF(BW242="D",1,0)+IF(CC242="D",1,0)+IF(CD242="D",1,0)+IF(CE242="D",1,0)+IF(CF242="D",1,0)+IF(CL242="D",1,0)+IF(CM242="D",1,0)+IF(CQ242="D",1,0)+IF(CR242="D",1,0)+IF(CS242="D",1,0)+IF(CW242="D",1,0)+IF(CX242="D",1,0)+IF(DD242="D",1,0)+IF(DE242="D",1,0)+IF(DJ242="D",1,0)+IF(DK242="D",1,0)+IF(DO242="D",1,0)+IF(DP242="D",1,0)+IF(DQ242="D",1,0)+IF(DW242="D",1,0)+IF(DZ242="D",1,0)+IF(EH242="D",1,0)</f>
        <v>0</v>
      </c>
      <c r="AY242" s="0" t="n">
        <f aca="false">COUNTIF(DU242:EH242, "&lt;&gt;")</f>
        <v>3</v>
      </c>
      <c r="AZ242" s="0" t="n">
        <f aca="false">IF(EH242&lt;&gt;"",1,0)</f>
        <v>0</v>
      </c>
      <c r="BB242" s="0" t="s">
        <v>152</v>
      </c>
      <c r="DC242" s="0" t="s">
        <v>153</v>
      </c>
      <c r="DN242" s="0" t="s">
        <v>153</v>
      </c>
      <c r="DU242" s="0" t="s">
        <v>153</v>
      </c>
      <c r="EA242" s="0" t="s">
        <v>153</v>
      </c>
      <c r="EF242" s="0" t="s">
        <v>153</v>
      </c>
    </row>
    <row r="243" customFormat="false" ht="13.8" hidden="true" customHeight="false" outlineLevel="0" collapsed="false">
      <c r="A243" s="0" t="s">
        <v>1435</v>
      </c>
      <c r="B243" s="0" t="n">
        <v>78</v>
      </c>
      <c r="C243" s="0" t="n">
        <v>279136</v>
      </c>
      <c r="D243" s="0" t="s">
        <v>770</v>
      </c>
      <c r="E243" s="0" t="s">
        <v>1014</v>
      </c>
      <c r="F243" s="0" t="str">
        <f aca="false">CONCATENATE(D243," ",LEFT(H243,4),"T=",AU243,"D=",AV243,"R=",AW243,"M=",AX243,"L=",AY243,"B=",AZ243)</f>
        <v>ALLEN T=2D=0R=0M=0L=0B=0</v>
      </c>
      <c r="G243" s="0" t="s">
        <v>325</v>
      </c>
      <c r="I243" s="0" t="s">
        <v>1436</v>
      </c>
      <c r="J243" s="0" t="s">
        <v>1437</v>
      </c>
      <c r="K243" s="0" t="s">
        <v>160</v>
      </c>
      <c r="M243" s="0" t="s">
        <v>1438</v>
      </c>
      <c r="N243" s="0" t="str">
        <f aca="false">RIGHT(M243,LEN(M243)-FIND(" ",M243))</f>
        <v>BONNIE BRAE AVE SE</v>
      </c>
      <c r="P243" s="0" t="s">
        <v>145</v>
      </c>
      <c r="Q243" s="0" t="s">
        <v>146</v>
      </c>
      <c r="R243" s="0" t="n">
        <v>44484</v>
      </c>
      <c r="AD243" s="0" t="s">
        <v>147</v>
      </c>
      <c r="AE243" s="0" t="s">
        <v>148</v>
      </c>
      <c r="AF243" s="0" t="s">
        <v>149</v>
      </c>
      <c r="AH243" s="0" t="n">
        <v>14</v>
      </c>
      <c r="AI243" s="0" t="n">
        <v>11</v>
      </c>
      <c r="AN243" s="0" t="s">
        <v>145</v>
      </c>
      <c r="AO243" s="0" t="s">
        <v>150</v>
      </c>
      <c r="AP243" s="0" t="s">
        <v>151</v>
      </c>
      <c r="AQ243" s="0" t="n">
        <v>9</v>
      </c>
      <c r="AR243" s="0" t="n">
        <v>64</v>
      </c>
      <c r="AS243" s="0" t="n">
        <v>32</v>
      </c>
      <c r="AU243" s="0" t="n">
        <f aca="false">COUNTA($BA$157:$EH$157)</f>
        <v>2</v>
      </c>
      <c r="AV243" s="0" t="n">
        <f aca="false">COUNTIF($BA$157:$EH$157,"D")</f>
        <v>0</v>
      </c>
      <c r="AW243" s="0" t="n">
        <f aca="false">COUNTIF($BA$157:$EH$157,"R")</f>
        <v>0</v>
      </c>
      <c r="AX243" s="0" t="n">
        <f aca="false">IF(BN243="D",1,0)+IF(BO243="D",1,0)+IF(BT243="D",1,0)+IF(BU243="D",1,0)+IF(BW243="D",1,0)+IF(CC243="D",1,0)+IF(CD243="D",1,0)+IF(CE243="D",1,0)+IF(CF243="D",1,0)+IF(CL243="D",1,0)+IF(CM243="D",1,0)+IF(CQ243="D",1,0)+IF(CR243="D",1,0)+IF(CS243="D",1,0)+IF(CW243="D",1,0)+IF(CX243="D",1,0)+IF(DD243="D",1,0)+IF(DE243="D",1,0)+IF(DJ243="D",1,0)+IF(DK243="D",1,0)+IF(DO243="D",1,0)+IF(DP243="D",1,0)+IF(DQ243="D",1,0)+IF(DW243="D",1,0)+IF(DZ243="D",1,0)+IF(EH243="D",1,0)</f>
        <v>0</v>
      </c>
      <c r="AY243" s="0" t="n">
        <f aca="false">COUNTIF(DU243:EH243, "&lt;&gt;")</f>
        <v>0</v>
      </c>
      <c r="AZ243" s="0" t="n">
        <f aca="false">IF(EH243&lt;&gt;"",1,0)</f>
        <v>0</v>
      </c>
      <c r="BB243" s="0" t="s">
        <v>152</v>
      </c>
      <c r="BD243" s="0" t="s">
        <v>153</v>
      </c>
      <c r="BE243" s="0" t="s">
        <v>153</v>
      </c>
      <c r="DC243" s="0" t="s">
        <v>153</v>
      </c>
      <c r="DN243" s="0" t="s">
        <v>153</v>
      </c>
    </row>
    <row r="244" customFormat="false" ht="13.8" hidden="true" customHeight="false" outlineLevel="0" collapsed="false">
      <c r="A244" s="0" t="s">
        <v>1439</v>
      </c>
      <c r="B244" s="0" t="n">
        <v>78</v>
      </c>
      <c r="C244" s="0" t="n">
        <v>426810</v>
      </c>
      <c r="D244" s="0" t="s">
        <v>1440</v>
      </c>
      <c r="E244" s="0" t="s">
        <v>379</v>
      </c>
      <c r="F244" s="0" t="str">
        <f aca="false">CONCATENATE(D244," ",LEFT(H244,4),"T=",AU244,"D=",AV244,"R=",AW244,"M=",AX244,"L=",AY244,"B=",AZ244)</f>
        <v>MARXEN JRT=10D=1R=1M=0L=0B=0</v>
      </c>
      <c r="G244" s="0" t="s">
        <v>275</v>
      </c>
      <c r="H244" s="0" t="s">
        <v>314</v>
      </c>
      <c r="I244" s="0" t="s">
        <v>1441</v>
      </c>
      <c r="J244" s="0" t="s">
        <v>1442</v>
      </c>
      <c r="K244" s="0" t="s">
        <v>143</v>
      </c>
      <c r="M244" s="0" t="s">
        <v>1443</v>
      </c>
      <c r="N244" s="0" t="str">
        <f aca="false">RIGHT(M244,LEN(M244)-FIND(" ",M244))</f>
        <v>BONNIE BRAE AVE SE</v>
      </c>
      <c r="P244" s="0" t="s">
        <v>145</v>
      </c>
      <c r="Q244" s="0" t="s">
        <v>146</v>
      </c>
      <c r="R244" s="0" t="n">
        <v>44484</v>
      </c>
      <c r="AD244" s="0" t="s">
        <v>147</v>
      </c>
      <c r="AE244" s="0" t="s">
        <v>148</v>
      </c>
      <c r="AF244" s="0" t="s">
        <v>149</v>
      </c>
      <c r="AH244" s="0" t="n">
        <v>14</v>
      </c>
      <c r="AI244" s="0" t="n">
        <v>11</v>
      </c>
      <c r="AN244" s="0" t="s">
        <v>145</v>
      </c>
      <c r="AO244" s="0" t="s">
        <v>150</v>
      </c>
      <c r="AP244" s="0" t="s">
        <v>151</v>
      </c>
      <c r="AQ244" s="0" t="n">
        <v>9</v>
      </c>
      <c r="AR244" s="0" t="n">
        <v>64</v>
      </c>
      <c r="AS244" s="0" t="n">
        <v>32</v>
      </c>
      <c r="AU244" s="0" t="n">
        <f aca="false">COUNTA($BA$262:$EH$262)</f>
        <v>10</v>
      </c>
      <c r="AV244" s="0" t="n">
        <f aca="false">COUNTIF($BA$262:$EH$262,"D")</f>
        <v>1</v>
      </c>
      <c r="AW244" s="0" t="n">
        <f aca="false">COUNTIF($BA$262:$EH$262,"R")</f>
        <v>1</v>
      </c>
      <c r="AX244" s="0" t="n">
        <f aca="false">IF(BN244="D",1,0)+IF(BO244="D",1,0)+IF(BT244="D",1,0)+IF(BU244="D",1,0)+IF(BW244="D",1,0)+IF(CC244="D",1,0)+IF(CD244="D",1,0)+IF(CE244="D",1,0)+IF(CF244="D",1,0)+IF(CL244="D",1,0)+IF(CM244="D",1,0)+IF(CQ244="D",1,0)+IF(CR244="D",1,0)+IF(CS244="D",1,0)+IF(CW244="D",1,0)+IF(CX244="D",1,0)+IF(DD244="D",1,0)+IF(DE244="D",1,0)+IF(DJ244="D",1,0)+IF(DK244="D",1,0)+IF(DO244="D",1,0)+IF(DP244="D",1,0)+IF(DQ244="D",1,0)+IF(DW244="D",1,0)+IF(DZ244="D",1,0)+IF(EH244="D",1,0)</f>
        <v>0</v>
      </c>
      <c r="AY244" s="0" t="n">
        <f aca="false">COUNTIF(DU244:EH244, "&lt;&gt;")</f>
        <v>0</v>
      </c>
      <c r="AZ244" s="0" t="n">
        <f aca="false">IF(EH244&lt;&gt;"",1,0)</f>
        <v>0</v>
      </c>
      <c r="BB244" s="0" t="s">
        <v>152</v>
      </c>
    </row>
    <row r="245" customFormat="false" ht="13.8" hidden="false" customHeight="false" outlineLevel="0" collapsed="false">
      <c r="A245" s="0" t="s">
        <v>1444</v>
      </c>
      <c r="B245" s="0" t="n">
        <v>78</v>
      </c>
      <c r="C245" s="0" t="n">
        <v>326678</v>
      </c>
      <c r="D245" s="0" t="s">
        <v>1445</v>
      </c>
      <c r="E245" s="0" t="s">
        <v>344</v>
      </c>
      <c r="F245" s="0" t="str">
        <f aca="false">CONCATENATE(D245," ",LEFT(H245,4),"T=",AU245,"D=",AV245,"R=",AW245,"M=",AX245,"L=",AY245,"B=",AZ245)</f>
        <v>WILLIAMS T=1D=0R=0M=1L=2B=0</v>
      </c>
      <c r="G245" s="0" t="s">
        <v>190</v>
      </c>
      <c r="I245" s="0" t="s">
        <v>1446</v>
      </c>
      <c r="J245" s="0" t="s">
        <v>1447</v>
      </c>
      <c r="K245" s="0" t="s">
        <v>143</v>
      </c>
      <c r="M245" s="0" t="s">
        <v>1448</v>
      </c>
      <c r="N245" s="0" t="str">
        <f aca="false">RIGHT(M245,LEN(M245)-FIND(" ",M245))</f>
        <v>BRIER ST SE</v>
      </c>
      <c r="P245" s="0" t="s">
        <v>145</v>
      </c>
      <c r="Q245" s="0" t="s">
        <v>146</v>
      </c>
      <c r="R245" s="0" t="n">
        <v>44484</v>
      </c>
      <c r="AD245" s="0" t="s">
        <v>147</v>
      </c>
      <c r="AE245" s="0" t="s">
        <v>148</v>
      </c>
      <c r="AF245" s="0" t="s">
        <v>149</v>
      </c>
      <c r="AH245" s="0" t="n">
        <v>14</v>
      </c>
      <c r="AI245" s="0" t="n">
        <v>11</v>
      </c>
      <c r="AN245" s="0" t="s">
        <v>145</v>
      </c>
      <c r="AO245" s="0" t="s">
        <v>233</v>
      </c>
      <c r="AP245" s="0" t="s">
        <v>234</v>
      </c>
      <c r="AQ245" s="0" t="n">
        <v>9</v>
      </c>
      <c r="AR245" s="0" t="n">
        <v>64</v>
      </c>
      <c r="AS245" s="0" t="n">
        <v>32</v>
      </c>
      <c r="AU245" s="0" t="n">
        <f aca="false">COUNTA($BA$2413:$EH$2413)</f>
        <v>1</v>
      </c>
      <c r="AV245" s="0" t="n">
        <f aca="false">COUNTIF($BA$2413:$EH$2413,"D")</f>
        <v>0</v>
      </c>
      <c r="AW245" s="0" t="n">
        <f aca="false">COUNTIF($BA$2413:$EH$2413,"R")</f>
        <v>0</v>
      </c>
      <c r="AX245" s="0" t="n">
        <f aca="false">IF(BN245="D",1,0)+IF(BO245="D",1,0)+IF(BT245="D",1,0)+IF(BU245="D",1,0)+IF(BW245="D",1,0)+IF(CC245="D",1,0)+IF(CD245="D",1,0)+IF(CE245="D",1,0)+IF(CF245="D",1,0)+IF(CL245="D",1,0)+IF(CM245="D",1,0)+IF(CQ245="D",1,0)+IF(CR245="D",1,0)+IF(CS245="D",1,0)+IF(CW245="D",1,0)+IF(CX245="D",1,0)+IF(DD245="D",1,0)+IF(DE245="D",1,0)+IF(DJ245="D",1,0)+IF(DK245="D",1,0)+IF(DO245="D",1,0)+IF(DP245="D",1,0)+IF(DQ245="D",1,0)+IF(DW245="D",1,0)+IF(DZ245="D",1,0)+IF(EH245="D",1,0)</f>
        <v>1</v>
      </c>
      <c r="AY245" s="0" t="n">
        <f aca="false">COUNTIF(DU245:EH245, "&lt;&gt;")</f>
        <v>2</v>
      </c>
      <c r="AZ245" s="0" t="n">
        <f aca="false">IF(EH245&lt;&gt;"",1,0)</f>
        <v>0</v>
      </c>
      <c r="BB245" s="0" t="s">
        <v>152</v>
      </c>
      <c r="BL245" s="0" t="s">
        <v>153</v>
      </c>
      <c r="BY245" s="0" t="s">
        <v>175</v>
      </c>
      <c r="CA245" s="0" t="s">
        <v>153</v>
      </c>
      <c r="CK245" s="0" t="s">
        <v>153</v>
      </c>
      <c r="CL245" s="0" t="s">
        <v>175</v>
      </c>
      <c r="CP245" s="0" t="s">
        <v>153</v>
      </c>
      <c r="CV245" s="0" t="s">
        <v>153</v>
      </c>
      <c r="CZ245" s="0" t="s">
        <v>175</v>
      </c>
      <c r="DC245" s="0" t="s">
        <v>153</v>
      </c>
      <c r="DI245" s="0" t="s">
        <v>153</v>
      </c>
      <c r="DL245" s="0" t="s">
        <v>153</v>
      </c>
      <c r="DN245" s="0" t="s">
        <v>153</v>
      </c>
      <c r="DU245" s="0" t="s">
        <v>153</v>
      </c>
      <c r="EA245" s="0" t="s">
        <v>153</v>
      </c>
    </row>
    <row r="246" customFormat="false" ht="13.8" hidden="false" customHeight="false" outlineLevel="0" collapsed="false">
      <c r="A246" s="0" t="s">
        <v>1449</v>
      </c>
      <c r="B246" s="0" t="n">
        <v>78</v>
      </c>
      <c r="C246" s="0" t="n">
        <v>242353</v>
      </c>
      <c r="D246" s="0" t="s">
        <v>1450</v>
      </c>
      <c r="E246" s="0" t="s">
        <v>1451</v>
      </c>
      <c r="F246" s="0" t="str">
        <f aca="false">CONCATENATE(D246," ",LEFT(H246,4),"T=",AU246,"D=",AV246,"R=",AW246,"M=",AX246,"L=",AY246,"B=",AZ246)</f>
        <v>ZUCCO JRT=15D=1R=0M=0L=3B=0</v>
      </c>
      <c r="G246" s="0" t="s">
        <v>195</v>
      </c>
      <c r="H246" s="0" t="s">
        <v>314</v>
      </c>
      <c r="I246" s="0" t="s">
        <v>1452</v>
      </c>
      <c r="J246" s="0" t="s">
        <v>1453</v>
      </c>
      <c r="K246" s="0" t="s">
        <v>160</v>
      </c>
      <c r="M246" s="0" t="s">
        <v>1454</v>
      </c>
      <c r="N246" s="0" t="str">
        <f aca="false">RIGHT(M246,LEN(M246)-FIND(" ",M246))</f>
        <v>BRIER ST SE</v>
      </c>
      <c r="P246" s="0" t="s">
        <v>145</v>
      </c>
      <c r="Q246" s="0" t="s">
        <v>146</v>
      </c>
      <c r="R246" s="0" t="n">
        <v>44484</v>
      </c>
      <c r="AD246" s="0" t="s">
        <v>147</v>
      </c>
      <c r="AE246" s="0" t="s">
        <v>148</v>
      </c>
      <c r="AF246" s="0" t="s">
        <v>149</v>
      </c>
      <c r="AH246" s="0" t="n">
        <v>14</v>
      </c>
      <c r="AI246" s="0" t="n">
        <v>11</v>
      </c>
      <c r="AN246" s="0" t="s">
        <v>145</v>
      </c>
      <c r="AO246" s="0" t="s">
        <v>233</v>
      </c>
      <c r="AP246" s="0" t="s">
        <v>234</v>
      </c>
      <c r="AQ246" s="0" t="n">
        <v>9</v>
      </c>
      <c r="AR246" s="0" t="n">
        <v>64</v>
      </c>
      <c r="AS246" s="0" t="n">
        <v>32</v>
      </c>
      <c r="AU246" s="0" t="n">
        <f aca="false">COUNTA($BA$2461:$EH$2461)</f>
        <v>15</v>
      </c>
      <c r="AV246" s="0" t="n">
        <f aca="false">COUNTIF($BA$2461:$EH$2461,"D")</f>
        <v>1</v>
      </c>
      <c r="AW246" s="0" t="n">
        <f aca="false">COUNTIF($BA$2461:$EH$2461,"R")</f>
        <v>0</v>
      </c>
      <c r="AX246" s="0" t="n">
        <f aca="false">IF(BN246="D",1,0)+IF(BO246="D",1,0)+IF(BT246="D",1,0)+IF(BU246="D",1,0)+IF(BW246="D",1,0)+IF(CC246="D",1,0)+IF(CD246="D",1,0)+IF(CE246="D",1,0)+IF(CF246="D",1,0)+IF(CL246="D",1,0)+IF(CM246="D",1,0)+IF(CQ246="D",1,0)+IF(CR246="D",1,0)+IF(CS246="D",1,0)+IF(CW246="D",1,0)+IF(CX246="D",1,0)+IF(DD246="D",1,0)+IF(DE246="D",1,0)+IF(DJ246="D",1,0)+IF(DK246="D",1,0)+IF(DO246="D",1,0)+IF(DP246="D",1,0)+IF(DQ246="D",1,0)+IF(DW246="D",1,0)+IF(DZ246="D",1,0)+IF(EH246="D",1,0)</f>
        <v>0</v>
      </c>
      <c r="AY246" s="0" t="n">
        <f aca="false">COUNTIF(DU246:EH246, "&lt;&gt;")</f>
        <v>3</v>
      </c>
      <c r="AZ246" s="0" t="n">
        <f aca="false">IF(EH246&lt;&gt;"",1,0)</f>
        <v>0</v>
      </c>
      <c r="BB246" s="0" t="s">
        <v>152</v>
      </c>
      <c r="BD246" s="0" t="s">
        <v>153</v>
      </c>
      <c r="BH246" s="0" t="s">
        <v>153</v>
      </c>
      <c r="BL246" s="0" t="s">
        <v>153</v>
      </c>
      <c r="BS246" s="0" t="s">
        <v>153</v>
      </c>
      <c r="BY246" s="0" t="s">
        <v>175</v>
      </c>
      <c r="CA246" s="0" t="s">
        <v>153</v>
      </c>
      <c r="CP246" s="0" t="s">
        <v>153</v>
      </c>
      <c r="DC246" s="0" t="s">
        <v>153</v>
      </c>
      <c r="DI246" s="0" t="s">
        <v>153</v>
      </c>
      <c r="DM246" s="0" t="s">
        <v>175</v>
      </c>
      <c r="DN246" s="0" t="s">
        <v>153</v>
      </c>
      <c r="DU246" s="0" t="s">
        <v>153</v>
      </c>
      <c r="EA246" s="0" t="s">
        <v>153</v>
      </c>
      <c r="EF246" s="0" t="s">
        <v>153</v>
      </c>
    </row>
    <row r="247" customFormat="false" ht="13.8" hidden="false" customHeight="false" outlineLevel="0" collapsed="false">
      <c r="A247" s="0" t="s">
        <v>1455</v>
      </c>
      <c r="B247" s="0" t="n">
        <v>78</v>
      </c>
      <c r="C247" s="0" t="n">
        <v>291739</v>
      </c>
      <c r="D247" s="0" t="s">
        <v>1456</v>
      </c>
      <c r="E247" s="0" t="s">
        <v>1457</v>
      </c>
      <c r="F247" s="0" t="str">
        <f aca="false">CONCATENATE(D247," ",LEFT(H247,4),"T=",AU247,"D=",AV247,"R=",AW247,"M=",AX247,"L=",AY247,"B=",AZ247)</f>
        <v>BENNETT T=1D=0R=0M=2L=2B=0</v>
      </c>
      <c r="G247" s="0" t="s">
        <v>209</v>
      </c>
      <c r="I247" s="0" t="s">
        <v>1458</v>
      </c>
      <c r="J247" s="0" t="s">
        <v>1324</v>
      </c>
      <c r="K247" s="0" t="s">
        <v>160</v>
      </c>
      <c r="M247" s="0" t="s">
        <v>1459</v>
      </c>
      <c r="N247" s="0" t="str">
        <f aca="false">RIGHT(M247,LEN(M247)-FIND(" ",M247))</f>
        <v>BRIER ST SE</v>
      </c>
      <c r="P247" s="0" t="s">
        <v>145</v>
      </c>
      <c r="Q247" s="0" t="s">
        <v>146</v>
      </c>
      <c r="R247" s="0" t="n">
        <v>44484</v>
      </c>
      <c r="AD247" s="0" t="s">
        <v>147</v>
      </c>
      <c r="AE247" s="0" t="s">
        <v>148</v>
      </c>
      <c r="AF247" s="0" t="s">
        <v>149</v>
      </c>
      <c r="AH247" s="0" t="n">
        <v>14</v>
      </c>
      <c r="AI247" s="0" t="n">
        <v>11</v>
      </c>
      <c r="AN247" s="0" t="s">
        <v>145</v>
      </c>
      <c r="AO247" s="0" t="s">
        <v>233</v>
      </c>
      <c r="AP247" s="0" t="s">
        <v>234</v>
      </c>
      <c r="AQ247" s="0" t="n">
        <v>9</v>
      </c>
      <c r="AR247" s="0" t="n">
        <v>64</v>
      </c>
      <c r="AS247" s="0" t="n">
        <v>32</v>
      </c>
      <c r="AU247" s="0" t="n">
        <f aca="false">COUNTA($BA$2561:$EH$2561)</f>
        <v>1</v>
      </c>
      <c r="AV247" s="0" t="n">
        <f aca="false">COUNTIF($BA$2561:$EH$2561,"D")</f>
        <v>0</v>
      </c>
      <c r="AW247" s="0" t="n">
        <f aca="false">COUNTIF($BA$2561:$EH$2561,"R")</f>
        <v>0</v>
      </c>
      <c r="AX247" s="0" t="n">
        <f aca="false">IF(BN247="D",1,0)+IF(BO247="D",1,0)+IF(BT247="D",1,0)+IF(BU247="D",1,0)+IF(BW247="D",1,0)+IF(CC247="D",1,0)+IF(CD247="D",1,0)+IF(CE247="D",1,0)+IF(CF247="D",1,0)+IF(CL247="D",1,0)+IF(CM247="D",1,0)+IF(CQ247="D",1,0)+IF(CR247="D",1,0)+IF(CS247="D",1,0)+IF(CW247="D",1,0)+IF(CX247="D",1,0)+IF(DD247="D",1,0)+IF(DE247="D",1,0)+IF(DJ247="D",1,0)+IF(DK247="D",1,0)+IF(DO247="D",1,0)+IF(DP247="D",1,0)+IF(DQ247="D",1,0)+IF(DW247="D",1,0)+IF(DZ247="D",1,0)+IF(EH247="D",1,0)</f>
        <v>2</v>
      </c>
      <c r="AY247" s="0" t="n">
        <f aca="false">COUNTIF(DU247:EH247, "&lt;&gt;")</f>
        <v>2</v>
      </c>
      <c r="AZ247" s="0" t="n">
        <f aca="false">IF(EH247&lt;&gt;"",1,0)</f>
        <v>0</v>
      </c>
      <c r="BB247" s="0" t="s">
        <v>152</v>
      </c>
      <c r="BC247" s="0" t="s">
        <v>153</v>
      </c>
      <c r="BL247" s="0" t="s">
        <v>153</v>
      </c>
      <c r="CA247" s="0" t="s">
        <v>153</v>
      </c>
      <c r="CL247" s="0" t="s">
        <v>175</v>
      </c>
      <c r="CN247" s="0" t="s">
        <v>153</v>
      </c>
      <c r="CP247" s="0" t="s">
        <v>153</v>
      </c>
      <c r="CY247" s="0" t="s">
        <v>153</v>
      </c>
      <c r="DC247" s="0" t="s">
        <v>153</v>
      </c>
      <c r="DD247" s="0" t="s">
        <v>175</v>
      </c>
      <c r="DI247" s="0" t="s">
        <v>153</v>
      </c>
      <c r="DL247" s="0" t="s">
        <v>153</v>
      </c>
      <c r="DM247" s="0" t="s">
        <v>175</v>
      </c>
      <c r="DN247" s="0" t="s">
        <v>153</v>
      </c>
      <c r="DU247" s="0" t="s">
        <v>153</v>
      </c>
      <c r="DX247" s="0" t="s">
        <v>153</v>
      </c>
    </row>
    <row r="248" customFormat="false" ht="13.8" hidden="true" customHeight="false" outlineLevel="0" collapsed="false">
      <c r="A248" s="0" t="s">
        <v>1460</v>
      </c>
      <c r="B248" s="0" t="n">
        <v>78</v>
      </c>
      <c r="C248" s="0" t="n">
        <v>423557</v>
      </c>
      <c r="D248" s="0" t="s">
        <v>1461</v>
      </c>
      <c r="E248" s="0" t="s">
        <v>796</v>
      </c>
      <c r="F248" s="0" t="str">
        <f aca="false">CONCATENATE(D248," ",LEFT(H248,4),"T=",AU248,"D=",AV248,"R=",AW248,"M=",AX248,"L=",AY248,"B=",AZ248)</f>
        <v>PERRY T=8D=0R=1M=0L=0B=0</v>
      </c>
      <c r="G248" s="0" t="s">
        <v>1462</v>
      </c>
      <c r="I248" s="0" t="s">
        <v>1463</v>
      </c>
      <c r="J248" s="0" t="s">
        <v>1464</v>
      </c>
      <c r="K248" s="0" t="s">
        <v>143</v>
      </c>
      <c r="M248" s="0" t="s">
        <v>1459</v>
      </c>
      <c r="N248" s="0" t="str">
        <f aca="false">RIGHT(M248,LEN(M248)-FIND(" ",M248))</f>
        <v>BRIER ST SE</v>
      </c>
      <c r="O248" s="0" t="s">
        <v>868</v>
      </c>
      <c r="P248" s="0" t="s">
        <v>145</v>
      </c>
      <c r="Q248" s="0" t="s">
        <v>146</v>
      </c>
      <c r="R248" s="0" t="n">
        <v>44484</v>
      </c>
      <c r="AD248" s="0" t="s">
        <v>147</v>
      </c>
      <c r="AE248" s="0" t="s">
        <v>148</v>
      </c>
      <c r="AF248" s="0" t="s">
        <v>149</v>
      </c>
      <c r="AH248" s="0" t="n">
        <v>14</v>
      </c>
      <c r="AI248" s="0" t="n">
        <v>11</v>
      </c>
      <c r="AN248" s="0" t="s">
        <v>145</v>
      </c>
      <c r="AO248" s="0" t="s">
        <v>233</v>
      </c>
      <c r="AP248" s="0" t="s">
        <v>234</v>
      </c>
      <c r="AQ248" s="0" t="n">
        <v>9</v>
      </c>
      <c r="AR248" s="0" t="n">
        <v>64</v>
      </c>
      <c r="AS248" s="0" t="n">
        <v>32</v>
      </c>
      <c r="AU248" s="0" t="n">
        <f aca="false">COUNTA($BA$2624:$EH$2624)</f>
        <v>8</v>
      </c>
      <c r="AV248" s="0" t="n">
        <f aca="false">COUNTIF($BA$2624:$EH$2624,"D")</f>
        <v>0</v>
      </c>
      <c r="AW248" s="0" t="n">
        <f aca="false">COUNTIF($BA$2624:$EH$2624,"R")</f>
        <v>1</v>
      </c>
      <c r="AX248" s="0" t="n">
        <f aca="false">IF(BN248="D",1,0)+IF(BO248="D",1,0)+IF(BT248="D",1,0)+IF(BU248="D",1,0)+IF(BW248="D",1,0)+IF(CC248="D",1,0)+IF(CD248="D",1,0)+IF(CE248="D",1,0)+IF(CF248="D",1,0)+IF(CL248="D",1,0)+IF(CM248="D",1,0)+IF(CQ248="D",1,0)+IF(CR248="D",1,0)+IF(CS248="D",1,0)+IF(CW248="D",1,0)+IF(CX248="D",1,0)+IF(DD248="D",1,0)+IF(DE248="D",1,0)+IF(DJ248="D",1,0)+IF(DK248="D",1,0)+IF(DO248="D",1,0)+IF(DP248="D",1,0)+IF(DQ248="D",1,0)+IF(DW248="D",1,0)+IF(DZ248="D",1,0)+IF(EH248="D",1,0)</f>
        <v>0</v>
      </c>
      <c r="AY248" s="0" t="n">
        <f aca="false">COUNTIF(DU248:EH248, "&lt;&gt;")</f>
        <v>0</v>
      </c>
      <c r="AZ248" s="0" t="n">
        <f aca="false">IF(EH248&lt;&gt;"",1,0)</f>
        <v>0</v>
      </c>
      <c r="BB248" s="0" t="s">
        <v>152</v>
      </c>
    </row>
    <row r="249" customFormat="false" ht="13.8" hidden="true" customHeight="false" outlineLevel="0" collapsed="false">
      <c r="A249" s="0" t="s">
        <v>1465</v>
      </c>
      <c r="B249" s="0" t="n">
        <v>78</v>
      </c>
      <c r="C249" s="0" t="n">
        <v>427719</v>
      </c>
      <c r="D249" s="0" t="s">
        <v>1466</v>
      </c>
      <c r="E249" s="0" t="s">
        <v>1467</v>
      </c>
      <c r="F249" s="0" t="str">
        <f aca="false">CONCATENATE(D249," ",LEFT(H249,4),"T=",AU249,"D=",AV249,"R=",AW249,"M=",AX249,"L=",AY249,"B=",AZ249)</f>
        <v>JOHNSON T=1D=0R=0M=0L=0B=0</v>
      </c>
      <c r="G249" s="0" t="s">
        <v>164</v>
      </c>
      <c r="I249" s="0" t="s">
        <v>1468</v>
      </c>
      <c r="J249" s="0" t="s">
        <v>283</v>
      </c>
      <c r="K249" s="0" t="s">
        <v>160</v>
      </c>
      <c r="M249" s="0" t="s">
        <v>1459</v>
      </c>
      <c r="N249" s="0" t="str">
        <f aca="false">RIGHT(M249,LEN(M249)-FIND(" ",M249))</f>
        <v>BRIER ST SE</v>
      </c>
      <c r="O249" s="0" t="s">
        <v>868</v>
      </c>
      <c r="P249" s="0" t="s">
        <v>145</v>
      </c>
      <c r="Q249" s="0" t="s">
        <v>146</v>
      </c>
      <c r="R249" s="0" t="n">
        <v>44484</v>
      </c>
      <c r="AD249" s="0" t="s">
        <v>147</v>
      </c>
      <c r="AE249" s="0" t="s">
        <v>148</v>
      </c>
      <c r="AF249" s="0" t="s">
        <v>149</v>
      </c>
      <c r="AH249" s="0" t="n">
        <v>14</v>
      </c>
      <c r="AI249" s="0" t="n">
        <v>11</v>
      </c>
      <c r="AN249" s="0" t="s">
        <v>145</v>
      </c>
      <c r="AO249" s="0" t="s">
        <v>233</v>
      </c>
      <c r="AP249" s="0" t="s">
        <v>234</v>
      </c>
      <c r="AQ249" s="0" t="n">
        <v>9</v>
      </c>
      <c r="AR249" s="0" t="n">
        <v>64</v>
      </c>
      <c r="AS249" s="0" t="n">
        <v>32</v>
      </c>
      <c r="AU249" s="0" t="n">
        <f aca="false">COUNTA($BA$2674:$EH$2674)</f>
        <v>1</v>
      </c>
      <c r="AV249" s="0" t="n">
        <f aca="false">COUNTIF($BA$2674:$EH$2674,"D")</f>
        <v>0</v>
      </c>
      <c r="AW249" s="0" t="n">
        <f aca="false">COUNTIF($BA$2674:$EH$2674,"R")</f>
        <v>0</v>
      </c>
      <c r="AX249" s="0" t="n">
        <f aca="false">IF(BN249="D",1,0)+IF(BO249="D",1,0)+IF(BT249="D",1,0)+IF(BU249="D",1,0)+IF(BW249="D",1,0)+IF(CC249="D",1,0)+IF(CD249="D",1,0)+IF(CE249="D",1,0)+IF(CF249="D",1,0)+IF(CL249="D",1,0)+IF(CM249="D",1,0)+IF(CQ249="D",1,0)+IF(CR249="D",1,0)+IF(CS249="D",1,0)+IF(CW249="D",1,0)+IF(CX249="D",1,0)+IF(DD249="D",1,0)+IF(DE249="D",1,0)+IF(DJ249="D",1,0)+IF(DK249="D",1,0)+IF(DO249="D",1,0)+IF(DP249="D",1,0)+IF(DQ249="D",1,0)+IF(DW249="D",1,0)+IF(DZ249="D",1,0)+IF(EH249="D",1,0)</f>
        <v>0</v>
      </c>
      <c r="AY249" s="0" t="n">
        <f aca="false">COUNTIF(DU249:EH249, "&lt;&gt;")</f>
        <v>0</v>
      </c>
      <c r="AZ249" s="0" t="n">
        <f aca="false">IF(EH249&lt;&gt;"",1,0)</f>
        <v>0</v>
      </c>
      <c r="BB249" s="0" t="s">
        <v>152</v>
      </c>
      <c r="BL249" s="0" t="s">
        <v>153</v>
      </c>
      <c r="BP249" s="0" t="s">
        <v>153</v>
      </c>
      <c r="CA249" s="0" t="s">
        <v>153</v>
      </c>
      <c r="DC249" s="0" t="s">
        <v>153</v>
      </c>
    </row>
    <row r="250" customFormat="false" ht="13.8" hidden="false" customHeight="false" outlineLevel="0" collapsed="false">
      <c r="A250" s="0" t="s">
        <v>1469</v>
      </c>
      <c r="B250" s="0" t="n">
        <v>78</v>
      </c>
      <c r="C250" s="0" t="n">
        <v>325468</v>
      </c>
      <c r="D250" s="0" t="s">
        <v>527</v>
      </c>
      <c r="E250" s="0" t="s">
        <v>719</v>
      </c>
      <c r="F250" s="0" t="str">
        <f aca="false">CONCATENATE(D250," ",LEFT(H250,4),"T=",AU250,"D=",AV250,"R=",AW250,"M=",AX250,"L=",AY250,"B=",AZ250)</f>
        <v>BAUGH T=45D=14R=0M=3L=5B=0</v>
      </c>
      <c r="I250" s="0" t="s">
        <v>1470</v>
      </c>
      <c r="J250" s="0" t="s">
        <v>1471</v>
      </c>
      <c r="K250" s="0" t="s">
        <v>160</v>
      </c>
      <c r="L250" s="0" t="s">
        <v>175</v>
      </c>
      <c r="M250" s="0" t="s">
        <v>1472</v>
      </c>
      <c r="N250" s="0" t="str">
        <f aca="false">RIGHT(M250,LEN(M250)-FIND(" ",M250))</f>
        <v>BRIER ST SE</v>
      </c>
      <c r="P250" s="0" t="s">
        <v>145</v>
      </c>
      <c r="Q250" s="0" t="s">
        <v>146</v>
      </c>
      <c r="R250" s="0" t="n">
        <v>44484</v>
      </c>
      <c r="AD250" s="0" t="s">
        <v>147</v>
      </c>
      <c r="AE250" s="0" t="s">
        <v>148</v>
      </c>
      <c r="AF250" s="0" t="s">
        <v>149</v>
      </c>
      <c r="AH250" s="0" t="n">
        <v>14</v>
      </c>
      <c r="AI250" s="0" t="n">
        <v>11</v>
      </c>
      <c r="AN250" s="0" t="s">
        <v>145</v>
      </c>
      <c r="AO250" s="0" t="s">
        <v>233</v>
      </c>
      <c r="AP250" s="0" t="s">
        <v>234</v>
      </c>
      <c r="AQ250" s="0" t="n">
        <v>9</v>
      </c>
      <c r="AR250" s="0" t="n">
        <v>64</v>
      </c>
      <c r="AS250" s="0" t="n">
        <v>32</v>
      </c>
      <c r="AU250" s="0" t="n">
        <f aca="false">COUNTA($BA$2460:$EH$2460)</f>
        <v>45</v>
      </c>
      <c r="AV250" s="0" t="n">
        <f aca="false">COUNTIF($BA$2460:$EH$2460,"D")</f>
        <v>14</v>
      </c>
      <c r="AW250" s="0" t="n">
        <f aca="false">COUNTIF($BA$2460:$EH$2460,"R")</f>
        <v>0</v>
      </c>
      <c r="AX250" s="0" t="n">
        <f aca="false">IF(BN250="D",1,0)+IF(BO250="D",1,0)+IF(BT250="D",1,0)+IF(BU250="D",1,0)+IF(BW250="D",1,0)+IF(CC250="D",1,0)+IF(CD250="D",1,0)+IF(CE250="D",1,0)+IF(CF250="D",1,0)+IF(CL250="D",1,0)+IF(CM250="D",1,0)+IF(CQ250="D",1,0)+IF(CR250="D",1,0)+IF(CS250="D",1,0)+IF(CW250="D",1,0)+IF(CX250="D",1,0)+IF(DD250="D",1,0)+IF(DE250="D",1,0)+IF(DJ250="D",1,0)+IF(DK250="D",1,0)+IF(DO250="D",1,0)+IF(DP250="D",1,0)+IF(DQ250="D",1,0)+IF(DW250="D",1,0)+IF(DZ250="D",1,0)+IF(EH250="D",1,0)</f>
        <v>3</v>
      </c>
      <c r="AY250" s="0" t="n">
        <f aca="false">COUNTIF(DU250:EH250, "&lt;&gt;")</f>
        <v>5</v>
      </c>
      <c r="AZ250" s="0" t="n">
        <f aca="false">IF(EH250&lt;&gt;"",1,0)</f>
        <v>0</v>
      </c>
      <c r="BB250" s="0" t="s">
        <v>152</v>
      </c>
      <c r="BL250" s="0" t="s">
        <v>153</v>
      </c>
      <c r="CA250" s="0" t="s">
        <v>153</v>
      </c>
      <c r="CG250" s="0" t="s">
        <v>153</v>
      </c>
      <c r="CK250" s="0" t="s">
        <v>153</v>
      </c>
      <c r="CL250" s="0" t="s">
        <v>175</v>
      </c>
      <c r="CN250" s="0" t="s">
        <v>153</v>
      </c>
      <c r="CP250" s="0" t="s">
        <v>153</v>
      </c>
      <c r="CV250" s="0" t="s">
        <v>153</v>
      </c>
      <c r="CW250" s="0" t="s">
        <v>175</v>
      </c>
      <c r="CY250" s="0" t="s">
        <v>153</v>
      </c>
      <c r="CZ250" s="0" t="s">
        <v>175</v>
      </c>
      <c r="DC250" s="0" t="s">
        <v>153</v>
      </c>
      <c r="DF250" s="0" t="s">
        <v>153</v>
      </c>
      <c r="DN250" s="0" t="s">
        <v>153</v>
      </c>
      <c r="DR250" s="0" t="s">
        <v>153</v>
      </c>
      <c r="DU250" s="0" t="s">
        <v>153</v>
      </c>
      <c r="DW250" s="0" t="s">
        <v>175</v>
      </c>
      <c r="DX250" s="0" t="s">
        <v>153</v>
      </c>
      <c r="EA250" s="0" t="s">
        <v>153</v>
      </c>
      <c r="EF250" s="0" t="s">
        <v>153</v>
      </c>
    </row>
    <row r="251" customFormat="false" ht="13.8" hidden="true" customHeight="false" outlineLevel="0" collapsed="false">
      <c r="A251" s="0" t="s">
        <v>1473</v>
      </c>
      <c r="B251" s="0" t="n">
        <v>78</v>
      </c>
      <c r="C251" s="0" t="n">
        <v>416208</v>
      </c>
      <c r="D251" s="0" t="s">
        <v>1474</v>
      </c>
      <c r="E251" s="0" t="s">
        <v>1475</v>
      </c>
      <c r="F251" s="0" t="str">
        <f aca="false">CONCATENATE(D251," ",LEFT(H251,4),"T=",AU251,"D=",AV251,"R=",AW251,"M=",AX251,"L=",AY251,"B=",AZ251)</f>
        <v>OLU CYRUS T=6D=0R=0M=1L=1B=0</v>
      </c>
      <c r="I251" s="0" t="s">
        <v>1476</v>
      </c>
      <c r="J251" s="0" t="s">
        <v>404</v>
      </c>
      <c r="K251" s="0" t="s">
        <v>160</v>
      </c>
      <c r="M251" s="0" t="s">
        <v>1477</v>
      </c>
      <c r="N251" s="0" t="str">
        <f aca="false">RIGHT(M251,LEN(M251)-FIND(" ",M251))</f>
        <v>BRIER ST SE</v>
      </c>
      <c r="P251" s="0" t="s">
        <v>145</v>
      </c>
      <c r="Q251" s="0" t="s">
        <v>146</v>
      </c>
      <c r="R251" s="0" t="n">
        <v>44484</v>
      </c>
      <c r="AD251" s="0" t="s">
        <v>147</v>
      </c>
      <c r="AE251" s="0" t="s">
        <v>148</v>
      </c>
      <c r="AF251" s="0" t="s">
        <v>149</v>
      </c>
      <c r="AH251" s="0" t="n">
        <v>14</v>
      </c>
      <c r="AI251" s="0" t="n">
        <v>11</v>
      </c>
      <c r="AN251" s="0" t="s">
        <v>145</v>
      </c>
      <c r="AO251" s="0" t="s">
        <v>233</v>
      </c>
      <c r="AP251" s="0" t="s">
        <v>234</v>
      </c>
      <c r="AQ251" s="0" t="n">
        <v>9</v>
      </c>
      <c r="AR251" s="0" t="n">
        <v>64</v>
      </c>
      <c r="AS251" s="0" t="n">
        <v>32</v>
      </c>
      <c r="AU251" s="0" t="n">
        <f aca="false">COUNTA($BA$2528:$EH$2528)</f>
        <v>6</v>
      </c>
      <c r="AV251" s="0" t="n">
        <f aca="false">COUNTIF($BA$2528:$EH$2528,"D")</f>
        <v>0</v>
      </c>
      <c r="AW251" s="0" t="n">
        <f aca="false">COUNTIF($BA$2528:$EH$2528,"R")</f>
        <v>0</v>
      </c>
      <c r="AX251" s="0" t="n">
        <f aca="false">IF(BN251="D",1,0)+IF(BO251="D",1,0)+IF(BT251="D",1,0)+IF(BU251="D",1,0)+IF(BW251="D",1,0)+IF(CC251="D",1,0)+IF(CD251="D",1,0)+IF(CE251="D",1,0)+IF(CF251="D",1,0)+IF(CL251="D",1,0)+IF(CM251="D",1,0)+IF(CQ251="D",1,0)+IF(CR251="D",1,0)+IF(CS251="D",1,0)+IF(CW251="D",1,0)+IF(CX251="D",1,0)+IF(DD251="D",1,0)+IF(DE251="D",1,0)+IF(DJ251="D",1,0)+IF(DK251="D",1,0)+IF(DO251="D",1,0)+IF(DP251="D",1,0)+IF(DQ251="D",1,0)+IF(DW251="D",1,0)+IF(DZ251="D",1,0)+IF(EH251="D",1,0)</f>
        <v>1</v>
      </c>
      <c r="AY251" s="0" t="n">
        <f aca="false">COUNTIF(DU251:EH251, "&lt;&gt;")</f>
        <v>1</v>
      </c>
      <c r="AZ251" s="0" t="n">
        <f aca="false">IF(EH251&lt;&gt;"",1,0)</f>
        <v>0</v>
      </c>
      <c r="BB251" s="0" t="s">
        <v>152</v>
      </c>
      <c r="DC251" s="0" t="s">
        <v>153</v>
      </c>
      <c r="DD251" s="0" t="s">
        <v>175</v>
      </c>
      <c r="DL251" s="0" t="s">
        <v>153</v>
      </c>
      <c r="EF251" s="0" t="s">
        <v>153</v>
      </c>
    </row>
    <row r="252" customFormat="false" ht="13.8" hidden="false" customHeight="false" outlineLevel="0" collapsed="false">
      <c r="A252" s="0" t="s">
        <v>1478</v>
      </c>
      <c r="B252" s="0" t="n">
        <v>78</v>
      </c>
      <c r="C252" s="0" t="n">
        <v>148907</v>
      </c>
      <c r="D252" s="0" t="s">
        <v>1479</v>
      </c>
      <c r="E252" s="0" t="s">
        <v>1366</v>
      </c>
      <c r="F252" s="0" t="str">
        <f aca="false">CONCATENATE(D252," ",LEFT(H252,4),"T=",AU252,"D=",AV252,"R=",AW252,"M=",AX252,"L=",AY252,"B=",AZ252)</f>
        <v>CLOSSIN JRT=1D=0R=0M=2L=3B=0</v>
      </c>
      <c r="G252" s="0" t="s">
        <v>325</v>
      </c>
      <c r="H252" s="0" t="s">
        <v>314</v>
      </c>
      <c r="I252" s="0" t="s">
        <v>1480</v>
      </c>
      <c r="J252" s="0" t="s">
        <v>1481</v>
      </c>
      <c r="K252" s="0" t="s">
        <v>160</v>
      </c>
      <c r="L252" s="0" t="s">
        <v>175</v>
      </c>
      <c r="M252" s="0" t="s">
        <v>1477</v>
      </c>
      <c r="N252" s="0" t="str">
        <f aca="false">RIGHT(M252,LEN(M252)-FIND(" ",M252))</f>
        <v>BRIER ST SE</v>
      </c>
      <c r="P252" s="0" t="s">
        <v>145</v>
      </c>
      <c r="Q252" s="0" t="s">
        <v>146</v>
      </c>
      <c r="R252" s="0" t="n">
        <v>44484</v>
      </c>
      <c r="AD252" s="0" t="s">
        <v>147</v>
      </c>
      <c r="AE252" s="0" t="s">
        <v>148</v>
      </c>
      <c r="AF252" s="0" t="s">
        <v>149</v>
      </c>
      <c r="AH252" s="0" t="n">
        <v>14</v>
      </c>
      <c r="AI252" s="0" t="n">
        <v>11</v>
      </c>
      <c r="AN252" s="0" t="s">
        <v>145</v>
      </c>
      <c r="AO252" s="0" t="s">
        <v>233</v>
      </c>
      <c r="AP252" s="0" t="s">
        <v>234</v>
      </c>
      <c r="AQ252" s="0" t="n">
        <v>9</v>
      </c>
      <c r="AR252" s="0" t="n">
        <v>64</v>
      </c>
      <c r="AS252" s="0" t="n">
        <v>32</v>
      </c>
      <c r="AU252" s="0" t="n">
        <f aca="false">COUNTA($BA$2666:$EH$2666)</f>
        <v>1</v>
      </c>
      <c r="AV252" s="0" t="n">
        <f aca="false">COUNTIF($BA$2666:$EH$2666,"D")</f>
        <v>0</v>
      </c>
      <c r="AW252" s="0" t="n">
        <f aca="false">COUNTIF($BA$2666:$EH$2666,"R")</f>
        <v>0</v>
      </c>
      <c r="AX252" s="0" t="n">
        <f aca="false">IF(BN252="D",1,0)+IF(BO252="D",1,0)+IF(BT252="D",1,0)+IF(BU252="D",1,0)+IF(BW252="D",1,0)+IF(CC252="D",1,0)+IF(CD252="D",1,0)+IF(CE252="D",1,0)+IF(CF252="D",1,0)+IF(CL252="D",1,0)+IF(CM252="D",1,0)+IF(CQ252="D",1,0)+IF(CR252="D",1,0)+IF(CS252="D",1,0)+IF(CW252="D",1,0)+IF(CX252="D",1,0)+IF(DD252="D",1,0)+IF(DE252="D",1,0)+IF(DJ252="D",1,0)+IF(DK252="D",1,0)+IF(DO252="D",1,0)+IF(DP252="D",1,0)+IF(DQ252="D",1,0)+IF(DW252="D",1,0)+IF(DZ252="D",1,0)+IF(EH252="D",1,0)</f>
        <v>2</v>
      </c>
      <c r="AY252" s="0" t="n">
        <f aca="false">COUNTIF(DU252:EH252, "&lt;&gt;")</f>
        <v>3</v>
      </c>
      <c r="AZ252" s="0" t="n">
        <f aca="false">IF(EH252&lt;&gt;"",1,0)</f>
        <v>0</v>
      </c>
      <c r="BB252" s="0" t="s">
        <v>152</v>
      </c>
      <c r="BC252" s="0" t="s">
        <v>153</v>
      </c>
      <c r="BD252" s="0" t="s">
        <v>153</v>
      </c>
      <c r="BF252" s="0" t="s">
        <v>153</v>
      </c>
      <c r="BG252" s="0" t="s">
        <v>153</v>
      </c>
      <c r="BH252" s="0" t="s">
        <v>153</v>
      </c>
      <c r="BK252" s="0" t="s">
        <v>153</v>
      </c>
      <c r="BL252" s="0" t="s">
        <v>153</v>
      </c>
      <c r="BY252" s="0" t="s">
        <v>175</v>
      </c>
      <c r="CG252" s="0" t="s">
        <v>153</v>
      </c>
      <c r="CH252" s="0" t="s">
        <v>175</v>
      </c>
      <c r="CK252" s="0" t="s">
        <v>153</v>
      </c>
      <c r="CL252" s="0" t="s">
        <v>175</v>
      </c>
      <c r="CN252" s="0" t="s">
        <v>153</v>
      </c>
      <c r="CP252" s="0" t="s">
        <v>153</v>
      </c>
      <c r="CU252" s="0" t="s">
        <v>175</v>
      </c>
      <c r="CV252" s="0" t="s">
        <v>153</v>
      </c>
      <c r="CY252" s="0" t="s">
        <v>153</v>
      </c>
      <c r="DC252" s="0" t="s">
        <v>153</v>
      </c>
      <c r="DW252" s="0" t="s">
        <v>175</v>
      </c>
      <c r="ED252" s="0" t="s">
        <v>175</v>
      </c>
      <c r="EF252" s="0" t="s">
        <v>153</v>
      </c>
    </row>
    <row r="253" customFormat="false" ht="13.8" hidden="false" customHeight="false" outlineLevel="0" collapsed="false">
      <c r="A253" s="0" t="s">
        <v>1482</v>
      </c>
      <c r="B253" s="0" t="n">
        <v>78</v>
      </c>
      <c r="C253" s="0" t="n">
        <v>421053</v>
      </c>
      <c r="D253" s="0" t="s">
        <v>1483</v>
      </c>
      <c r="E253" s="0" t="s">
        <v>1198</v>
      </c>
      <c r="F253" s="0" t="str">
        <f aca="false">CONCATENATE(D253," ",LEFT(H253,4),"T=",AU253,"D=",AV253,"R=",AW253,"M=",AX253,"L=",AY253,"B=",AZ253)</f>
        <v>BORELL T=4D=0R=0M=1L=4B=0</v>
      </c>
      <c r="G253" s="0" t="s">
        <v>195</v>
      </c>
      <c r="I253" s="0" t="s">
        <v>1484</v>
      </c>
      <c r="J253" s="0" t="s">
        <v>1485</v>
      </c>
      <c r="K253" s="0" t="s">
        <v>160</v>
      </c>
      <c r="L253" s="0" t="s">
        <v>175</v>
      </c>
      <c r="M253" s="0" t="s">
        <v>1477</v>
      </c>
      <c r="N253" s="0" t="str">
        <f aca="false">RIGHT(M253,LEN(M253)-FIND(" ",M253))</f>
        <v>BRIER ST SE</v>
      </c>
      <c r="P253" s="0" t="s">
        <v>145</v>
      </c>
      <c r="Q253" s="0" t="s">
        <v>146</v>
      </c>
      <c r="R253" s="0" t="n">
        <v>44484</v>
      </c>
      <c r="AD253" s="0" t="s">
        <v>147</v>
      </c>
      <c r="AE253" s="0" t="s">
        <v>148</v>
      </c>
      <c r="AF253" s="0" t="s">
        <v>149</v>
      </c>
      <c r="AH253" s="0" t="n">
        <v>14</v>
      </c>
      <c r="AI253" s="0" t="n">
        <v>11</v>
      </c>
      <c r="AN253" s="0" t="s">
        <v>145</v>
      </c>
      <c r="AO253" s="0" t="s">
        <v>233</v>
      </c>
      <c r="AP253" s="0" t="s">
        <v>234</v>
      </c>
      <c r="AQ253" s="0" t="n">
        <v>9</v>
      </c>
      <c r="AR253" s="0" t="n">
        <v>64</v>
      </c>
      <c r="AS253" s="0" t="n">
        <v>32</v>
      </c>
      <c r="AU253" s="0" t="n">
        <f aca="false">COUNTA($BA$2675:$EH$2675)</f>
        <v>4</v>
      </c>
      <c r="AV253" s="0" t="n">
        <f aca="false">COUNTIF($BA$2675:$EH$2675,"D")</f>
        <v>0</v>
      </c>
      <c r="AW253" s="0" t="n">
        <f aca="false">COUNTIF($BA$2675:$EH$2675,"R")</f>
        <v>0</v>
      </c>
      <c r="AX253" s="0" t="n">
        <f aca="false">IF(BN253="D",1,0)+IF(BO253="D",1,0)+IF(BT253="D",1,0)+IF(BU253="D",1,0)+IF(BW253="D",1,0)+IF(CC253="D",1,0)+IF(CD253="D",1,0)+IF(CE253="D",1,0)+IF(CF253="D",1,0)+IF(CL253="D",1,0)+IF(CM253="D",1,0)+IF(CQ253="D",1,0)+IF(CR253="D",1,0)+IF(CS253="D",1,0)+IF(CW253="D",1,0)+IF(CX253="D",1,0)+IF(DD253="D",1,0)+IF(DE253="D",1,0)+IF(DJ253="D",1,0)+IF(DK253="D",1,0)+IF(DO253="D",1,0)+IF(DP253="D",1,0)+IF(DQ253="D",1,0)+IF(DW253="D",1,0)+IF(DZ253="D",1,0)+IF(EH253="D",1,0)</f>
        <v>1</v>
      </c>
      <c r="AY253" s="0" t="n">
        <f aca="false">COUNTIF(DU253:EH253, "&lt;&gt;")</f>
        <v>4</v>
      </c>
      <c r="AZ253" s="0" t="n">
        <f aca="false">IF(EH253&lt;&gt;"",1,0)</f>
        <v>0</v>
      </c>
      <c r="BB253" s="0" t="s">
        <v>152</v>
      </c>
      <c r="DL253" s="0" t="s">
        <v>153</v>
      </c>
      <c r="DN253" s="0" t="s">
        <v>153</v>
      </c>
      <c r="DU253" s="0" t="s">
        <v>153</v>
      </c>
      <c r="DW253" s="0" t="s">
        <v>175</v>
      </c>
      <c r="DX253" s="0" t="s">
        <v>153</v>
      </c>
      <c r="EF253" s="0" t="s">
        <v>153</v>
      </c>
    </row>
    <row r="254" customFormat="false" ht="13.8" hidden="true" customHeight="false" outlineLevel="0" collapsed="false">
      <c r="A254" s="0" t="s">
        <v>1486</v>
      </c>
      <c r="B254" s="0" t="n">
        <v>78</v>
      </c>
      <c r="C254" s="0" t="n">
        <v>329359</v>
      </c>
      <c r="D254" s="0" t="s">
        <v>1487</v>
      </c>
      <c r="E254" s="0" t="s">
        <v>1208</v>
      </c>
      <c r="F254" s="0" t="str">
        <f aca="false">CONCATENATE(D254," ",LEFT(H254,4),"T=",AU254,"D=",AV254,"R=",AW254,"M=",AX254,"L=",AY254,"B=",AZ254)</f>
        <v>SIMS T=5D=0R=0M=0L=0B=0</v>
      </c>
      <c r="G254" s="0" t="s">
        <v>839</v>
      </c>
      <c r="I254" s="0" t="s">
        <v>1488</v>
      </c>
      <c r="J254" s="0" t="s">
        <v>1489</v>
      </c>
      <c r="K254" s="0" t="s">
        <v>160</v>
      </c>
      <c r="M254" s="0" t="s">
        <v>1490</v>
      </c>
      <c r="N254" s="0" t="str">
        <f aca="false">RIGHT(M254,LEN(M254)-FIND(" ",M254))</f>
        <v>BRIER ST SE</v>
      </c>
      <c r="P254" s="0" t="s">
        <v>145</v>
      </c>
      <c r="Q254" s="0" t="s">
        <v>146</v>
      </c>
      <c r="R254" s="0" t="n">
        <v>44484</v>
      </c>
      <c r="AD254" s="0" t="s">
        <v>147</v>
      </c>
      <c r="AE254" s="0" t="s">
        <v>148</v>
      </c>
      <c r="AF254" s="0" t="s">
        <v>149</v>
      </c>
      <c r="AH254" s="0" t="n">
        <v>14</v>
      </c>
      <c r="AI254" s="0" t="n">
        <v>11</v>
      </c>
      <c r="AN254" s="0" t="s">
        <v>145</v>
      </c>
      <c r="AO254" s="0" t="s">
        <v>233</v>
      </c>
      <c r="AP254" s="0" t="s">
        <v>234</v>
      </c>
      <c r="AQ254" s="0" t="n">
        <v>9</v>
      </c>
      <c r="AR254" s="0" t="n">
        <v>64</v>
      </c>
      <c r="AS254" s="0" t="n">
        <v>32</v>
      </c>
      <c r="AU254" s="0" t="n">
        <f aca="false">COUNTA($BA$2458:$EH$2458)</f>
        <v>5</v>
      </c>
      <c r="AV254" s="0" t="n">
        <f aca="false">COUNTIF($BA$2458:$EH$2458,"D")</f>
        <v>0</v>
      </c>
      <c r="AW254" s="0" t="n">
        <f aca="false">COUNTIF($BA$2458:$EH$2458,"R")</f>
        <v>0</v>
      </c>
      <c r="AX254" s="0" t="n">
        <f aca="false">IF(BN254="D",1,0)+IF(BO254="D",1,0)+IF(BT254="D",1,0)+IF(BU254="D",1,0)+IF(BW254="D",1,0)+IF(CC254="D",1,0)+IF(CD254="D",1,0)+IF(CE254="D",1,0)+IF(CF254="D",1,0)+IF(CL254="D",1,0)+IF(CM254="D",1,0)+IF(CQ254="D",1,0)+IF(CR254="D",1,0)+IF(CS254="D",1,0)+IF(CW254="D",1,0)+IF(CX254="D",1,0)+IF(DD254="D",1,0)+IF(DE254="D",1,0)+IF(DJ254="D",1,0)+IF(DK254="D",1,0)+IF(DO254="D",1,0)+IF(DP254="D",1,0)+IF(DQ254="D",1,0)+IF(DW254="D",1,0)+IF(DZ254="D",1,0)+IF(EH254="D",1,0)</f>
        <v>0</v>
      </c>
      <c r="AY254" s="0" t="n">
        <f aca="false">COUNTIF(DU254:EH254, "&lt;&gt;")</f>
        <v>0</v>
      </c>
      <c r="AZ254" s="0" t="n">
        <f aca="false">IF(EH254&lt;&gt;"",1,0)</f>
        <v>0</v>
      </c>
      <c r="BB254" s="0" t="s">
        <v>152</v>
      </c>
      <c r="BL254" s="0" t="s">
        <v>153</v>
      </c>
      <c r="CA254" s="0" t="s">
        <v>153</v>
      </c>
      <c r="CP254" s="0" t="s">
        <v>153</v>
      </c>
      <c r="CZ254" s="0" t="s">
        <v>175</v>
      </c>
      <c r="DC254" s="0" t="s">
        <v>153</v>
      </c>
      <c r="DI254" s="0" t="s">
        <v>153</v>
      </c>
      <c r="DL254" s="0" t="s">
        <v>153</v>
      </c>
      <c r="DN254" s="0" t="s">
        <v>153</v>
      </c>
    </row>
    <row r="255" customFormat="false" ht="13.8" hidden="true" customHeight="false" outlineLevel="0" collapsed="false">
      <c r="A255" s="0" t="s">
        <v>1491</v>
      </c>
      <c r="B255" s="0" t="n">
        <v>78</v>
      </c>
      <c r="C255" s="0" t="n">
        <v>455167</v>
      </c>
      <c r="D255" s="0" t="s">
        <v>1492</v>
      </c>
      <c r="E255" s="0" t="s">
        <v>1493</v>
      </c>
      <c r="F255" s="0" t="str">
        <f aca="false">CONCATENATE(D255," ",LEFT(H255,4),"T=",AU255,"D=",AV255,"R=",AW255,"M=",AX255,"L=",AY255,"B=",AZ255)</f>
        <v>SHINE T=3D=0R=0M=0L=0B=0</v>
      </c>
      <c r="G255" s="0" t="s">
        <v>615</v>
      </c>
      <c r="I255" s="0" t="s">
        <v>1494</v>
      </c>
      <c r="J255" s="0" t="s">
        <v>159</v>
      </c>
      <c r="K255" s="0" t="s">
        <v>143</v>
      </c>
      <c r="M255" s="0" t="s">
        <v>1495</v>
      </c>
      <c r="N255" s="0" t="str">
        <f aca="false">RIGHT(M255,LEN(M255)-FIND(" ",M255))</f>
        <v>BRIER ST SE</v>
      </c>
      <c r="P255" s="0" t="s">
        <v>145</v>
      </c>
      <c r="Q255" s="0" t="s">
        <v>146</v>
      </c>
      <c r="R255" s="0" t="n">
        <v>44484</v>
      </c>
      <c r="AD255" s="0" t="s">
        <v>147</v>
      </c>
      <c r="AE255" s="0" t="s">
        <v>148</v>
      </c>
      <c r="AF255" s="0" t="s">
        <v>149</v>
      </c>
      <c r="AH255" s="0" t="n">
        <v>14</v>
      </c>
      <c r="AI255" s="0" t="n">
        <v>11</v>
      </c>
      <c r="AN255" s="0" t="s">
        <v>145</v>
      </c>
      <c r="AO255" s="0" t="s">
        <v>233</v>
      </c>
      <c r="AP255" s="0" t="s">
        <v>234</v>
      </c>
      <c r="AQ255" s="0" t="n">
        <v>9</v>
      </c>
      <c r="AR255" s="0" t="n">
        <v>64</v>
      </c>
      <c r="AS255" s="0" t="n">
        <v>32</v>
      </c>
      <c r="AU255" s="0" t="n">
        <f aca="false">COUNTA($BA$2307:$EH$2307)</f>
        <v>3</v>
      </c>
      <c r="AV255" s="0" t="n">
        <f aca="false">COUNTIF($BA$2307:$EH$2307,"D")</f>
        <v>0</v>
      </c>
      <c r="AW255" s="0" t="n">
        <f aca="false">COUNTIF($BA$2307:$EH$2307,"R")</f>
        <v>0</v>
      </c>
      <c r="AX255" s="0" t="n">
        <f aca="false">IF(BN255="D",1,0)+IF(BO255="D",1,0)+IF(BT255="D",1,0)+IF(BU255="D",1,0)+IF(BW255="D",1,0)+IF(CC255="D",1,0)+IF(CD255="D",1,0)+IF(CE255="D",1,0)+IF(CF255="D",1,0)+IF(CL255="D",1,0)+IF(CM255="D",1,0)+IF(CQ255="D",1,0)+IF(CR255="D",1,0)+IF(CS255="D",1,0)+IF(CW255="D",1,0)+IF(CX255="D",1,0)+IF(DD255="D",1,0)+IF(DE255="D",1,0)+IF(DJ255="D",1,0)+IF(DK255="D",1,0)+IF(DO255="D",1,0)+IF(DP255="D",1,0)+IF(DQ255="D",1,0)+IF(DW255="D",1,0)+IF(DZ255="D",1,0)+IF(EH255="D",1,0)</f>
        <v>0</v>
      </c>
      <c r="AY255" s="0" t="n">
        <f aca="false">COUNTIF(DU255:EH255, "&lt;&gt;")</f>
        <v>0</v>
      </c>
      <c r="AZ255" s="0" t="n">
        <f aca="false">IF(EH255&lt;&gt;"",1,0)</f>
        <v>0</v>
      </c>
      <c r="BB255" s="0" t="s">
        <v>152</v>
      </c>
      <c r="CP255" s="0" t="s">
        <v>153</v>
      </c>
      <c r="DN255" s="0" t="s">
        <v>153</v>
      </c>
    </row>
    <row r="256" customFormat="false" ht="13.8" hidden="false" customHeight="false" outlineLevel="0" collapsed="false">
      <c r="A256" s="0" t="s">
        <v>1496</v>
      </c>
      <c r="B256" s="0" t="n">
        <v>78</v>
      </c>
      <c r="C256" s="0" t="n">
        <v>411585</v>
      </c>
      <c r="D256" s="0" t="s">
        <v>1497</v>
      </c>
      <c r="E256" s="0" t="s">
        <v>1498</v>
      </c>
      <c r="F256" s="0" t="str">
        <f aca="false">CONCATENATE(D256," ",LEFT(H256,4),"T=",AU256,"D=",AV256,"R=",AW256,"M=",AX256,"L=",AY256,"B=",AZ256)</f>
        <v>DIGGS T=2D=1R=0M=2L=4B=1</v>
      </c>
      <c r="G256" s="0" t="s">
        <v>713</v>
      </c>
      <c r="I256" s="0" t="s">
        <v>1499</v>
      </c>
      <c r="J256" s="0" t="s">
        <v>1500</v>
      </c>
      <c r="K256" s="0" t="s">
        <v>160</v>
      </c>
      <c r="L256" s="0" t="s">
        <v>175</v>
      </c>
      <c r="M256" s="0" t="s">
        <v>1501</v>
      </c>
      <c r="N256" s="0" t="str">
        <f aca="false">RIGHT(M256,LEN(M256)-FIND(" ",M256))</f>
        <v>BRIER ST SE</v>
      </c>
      <c r="P256" s="0" t="s">
        <v>145</v>
      </c>
      <c r="Q256" s="0" t="s">
        <v>146</v>
      </c>
      <c r="R256" s="0" t="n">
        <v>44484</v>
      </c>
      <c r="AD256" s="0" t="s">
        <v>147</v>
      </c>
      <c r="AE256" s="0" t="s">
        <v>148</v>
      </c>
      <c r="AF256" s="0" t="s">
        <v>149</v>
      </c>
      <c r="AH256" s="0" t="n">
        <v>14</v>
      </c>
      <c r="AI256" s="0" t="n">
        <v>11</v>
      </c>
      <c r="AN256" s="0" t="s">
        <v>145</v>
      </c>
      <c r="AO256" s="0" t="s">
        <v>233</v>
      </c>
      <c r="AP256" s="0" t="s">
        <v>234</v>
      </c>
      <c r="AQ256" s="0" t="n">
        <v>9</v>
      </c>
      <c r="AR256" s="0" t="n">
        <v>64</v>
      </c>
      <c r="AS256" s="0" t="n">
        <v>32</v>
      </c>
      <c r="AU256" s="0" t="n">
        <f aca="false">COUNTA($BA$2145:$EH$2145)</f>
        <v>2</v>
      </c>
      <c r="AV256" s="0" t="n">
        <f aca="false">COUNTIF($BA$2145:$EH$2145,"D")</f>
        <v>1</v>
      </c>
      <c r="AW256" s="0" t="n">
        <f aca="false">COUNTIF($BA$2145:$EH$2145,"R")</f>
        <v>0</v>
      </c>
      <c r="AX256" s="0" t="n">
        <f aca="false">IF(BN256="D",1,0)+IF(BO256="D",1,0)+IF(BT256="D",1,0)+IF(BU256="D",1,0)+IF(BW256="D",1,0)+IF(CC256="D",1,0)+IF(CD256="D",1,0)+IF(CE256="D",1,0)+IF(CF256="D",1,0)+IF(CL256="D",1,0)+IF(CM256="D",1,0)+IF(CQ256="D",1,0)+IF(CR256="D",1,0)+IF(CS256="D",1,0)+IF(CW256="D",1,0)+IF(CX256="D",1,0)+IF(DD256="D",1,0)+IF(DE256="D",1,0)+IF(DJ256="D",1,0)+IF(DK256="D",1,0)+IF(DO256="D",1,0)+IF(DP256="D",1,0)+IF(DQ256="D",1,0)+IF(DW256="D",1,0)+IF(DZ256="D",1,0)+IF(EH256="D",1,0)</f>
        <v>2</v>
      </c>
      <c r="AY256" s="0" t="n">
        <f aca="false">COUNTIF(DU256:EH256, "&lt;&gt;")</f>
        <v>4</v>
      </c>
      <c r="AZ256" s="0" t="n">
        <f aca="false">IF(EH256&lt;&gt;"",1,0)</f>
        <v>1</v>
      </c>
      <c r="BB256" s="0" t="s">
        <v>152</v>
      </c>
      <c r="BC256" s="0" t="s">
        <v>153</v>
      </c>
      <c r="BD256" s="0" t="s">
        <v>153</v>
      </c>
      <c r="BF256" s="0" t="s">
        <v>153</v>
      </c>
      <c r="BG256" s="0" t="s">
        <v>153</v>
      </c>
      <c r="BH256" s="0" t="s">
        <v>153</v>
      </c>
      <c r="BI256" s="0" t="s">
        <v>153</v>
      </c>
      <c r="BJ256" s="0" t="s">
        <v>153</v>
      </c>
      <c r="BL256" s="0" t="s">
        <v>153</v>
      </c>
      <c r="BR256" s="0" t="s">
        <v>153</v>
      </c>
      <c r="CZ256" s="0" t="s">
        <v>175</v>
      </c>
      <c r="DC256" s="0" t="s">
        <v>153</v>
      </c>
      <c r="DG256" s="0" t="s">
        <v>175</v>
      </c>
      <c r="DI256" s="0" t="s">
        <v>153</v>
      </c>
      <c r="DL256" s="0" t="s">
        <v>153</v>
      </c>
      <c r="DM256" s="0" t="s">
        <v>175</v>
      </c>
      <c r="DN256" s="0" t="s">
        <v>153</v>
      </c>
      <c r="DU256" s="0" t="s">
        <v>153</v>
      </c>
      <c r="DW256" s="0" t="s">
        <v>175</v>
      </c>
      <c r="EF256" s="0" t="s">
        <v>153</v>
      </c>
      <c r="EH256" s="0" t="s">
        <v>175</v>
      </c>
    </row>
    <row r="257" customFormat="false" ht="13.8" hidden="true" customHeight="false" outlineLevel="0" collapsed="false">
      <c r="A257" s="0" t="s">
        <v>1502</v>
      </c>
      <c r="B257" s="0" t="n">
        <v>78</v>
      </c>
      <c r="C257" s="0" t="n">
        <v>460756</v>
      </c>
      <c r="D257" s="0" t="s">
        <v>1503</v>
      </c>
      <c r="E257" s="0" t="s">
        <v>1504</v>
      </c>
      <c r="F257" s="0" t="str">
        <f aca="false">CONCATENATE(D257," ",LEFT(H257,4),"T=",AU257,"D=",AV257,"R=",AW257,"M=",AX257,"L=",AY257,"B=",AZ257)</f>
        <v>ATKINS T=4D=0R=0M=0L=0B=0</v>
      </c>
      <c r="G257" s="0" t="s">
        <v>1505</v>
      </c>
      <c r="I257" s="0" t="s">
        <v>1506</v>
      </c>
      <c r="J257" s="0" t="s">
        <v>1507</v>
      </c>
      <c r="K257" s="0" t="s">
        <v>160</v>
      </c>
      <c r="M257" s="0" t="s">
        <v>1501</v>
      </c>
      <c r="N257" s="0" t="str">
        <f aca="false">RIGHT(M257,LEN(M257)-FIND(" ",M257))</f>
        <v>BRIER ST SE</v>
      </c>
      <c r="P257" s="0" t="s">
        <v>145</v>
      </c>
      <c r="Q257" s="0" t="s">
        <v>146</v>
      </c>
      <c r="R257" s="0" t="n">
        <v>44484</v>
      </c>
      <c r="AD257" s="0" t="s">
        <v>147</v>
      </c>
      <c r="AE257" s="0" t="s">
        <v>148</v>
      </c>
      <c r="AF257" s="0" t="s">
        <v>149</v>
      </c>
      <c r="AH257" s="0" t="n">
        <v>14</v>
      </c>
      <c r="AI257" s="0" t="n">
        <v>11</v>
      </c>
      <c r="AN257" s="0" t="s">
        <v>145</v>
      </c>
      <c r="AO257" s="0" t="s">
        <v>233</v>
      </c>
      <c r="AP257" s="0" t="s">
        <v>234</v>
      </c>
      <c r="AQ257" s="0" t="n">
        <v>9</v>
      </c>
      <c r="AR257" s="0" t="n">
        <v>64</v>
      </c>
      <c r="AS257" s="0" t="n">
        <v>32</v>
      </c>
      <c r="AU257" s="0" t="n">
        <f aca="false">COUNTA($BA$2502:$EH$2502)</f>
        <v>4</v>
      </c>
      <c r="AV257" s="0" t="n">
        <f aca="false">COUNTIF($BA$2502:$EH$2502,"D")</f>
        <v>0</v>
      </c>
      <c r="AW257" s="0" t="n">
        <f aca="false">COUNTIF($BA$2502:$EH$2502,"R")</f>
        <v>0</v>
      </c>
      <c r="AX257" s="0" t="n">
        <f aca="false">IF(BN257="D",1,0)+IF(BO257="D",1,0)+IF(BT257="D",1,0)+IF(BU257="D",1,0)+IF(BW257="D",1,0)+IF(CC257="D",1,0)+IF(CD257="D",1,0)+IF(CE257="D",1,0)+IF(CF257="D",1,0)+IF(CL257="D",1,0)+IF(CM257="D",1,0)+IF(CQ257="D",1,0)+IF(CR257="D",1,0)+IF(CS257="D",1,0)+IF(CW257="D",1,0)+IF(CX257="D",1,0)+IF(DD257="D",1,0)+IF(DE257="D",1,0)+IF(DJ257="D",1,0)+IF(DK257="D",1,0)+IF(DO257="D",1,0)+IF(DP257="D",1,0)+IF(DQ257="D",1,0)+IF(DW257="D",1,0)+IF(DZ257="D",1,0)+IF(EH257="D",1,0)</f>
        <v>0</v>
      </c>
      <c r="AY257" s="0" t="n">
        <f aca="false">COUNTIF(DU257:EH257, "&lt;&gt;")</f>
        <v>0</v>
      </c>
      <c r="AZ257" s="0" t="n">
        <f aca="false">IF(EH257&lt;&gt;"",1,0)</f>
        <v>0</v>
      </c>
      <c r="BB257" s="0" t="s">
        <v>152</v>
      </c>
    </row>
    <row r="258" customFormat="false" ht="13.8" hidden="true" customHeight="false" outlineLevel="0" collapsed="false">
      <c r="A258" s="0" t="s">
        <v>1508</v>
      </c>
      <c r="B258" s="0" t="n">
        <v>78</v>
      </c>
      <c r="C258" s="0" t="n">
        <v>409430</v>
      </c>
      <c r="D258" s="0" t="s">
        <v>1497</v>
      </c>
      <c r="E258" s="0" t="s">
        <v>1509</v>
      </c>
      <c r="F258" s="0" t="str">
        <f aca="false">CONCATENATE(D258," ",LEFT(H258,4),"T=",AU258,"D=",AV258,"R=",AW258,"M=",AX258,"L=",AY258,"B=",AZ258)</f>
        <v>DIGGS T=4D=1R=0M=0L=0B=0</v>
      </c>
      <c r="G258" s="0" t="s">
        <v>1510</v>
      </c>
      <c r="I258" s="0" t="s">
        <v>1511</v>
      </c>
      <c r="J258" s="0" t="s">
        <v>1512</v>
      </c>
      <c r="K258" s="0" t="s">
        <v>160</v>
      </c>
      <c r="M258" s="0" t="s">
        <v>1501</v>
      </c>
      <c r="N258" s="0" t="str">
        <f aca="false">RIGHT(M258,LEN(M258)-FIND(" ",M258))</f>
        <v>BRIER ST SE</v>
      </c>
      <c r="P258" s="0" t="s">
        <v>145</v>
      </c>
      <c r="Q258" s="0" t="s">
        <v>146</v>
      </c>
      <c r="R258" s="0" t="n">
        <v>44484</v>
      </c>
      <c r="AD258" s="0" t="s">
        <v>147</v>
      </c>
      <c r="AE258" s="0" t="s">
        <v>148</v>
      </c>
      <c r="AF258" s="0" t="s">
        <v>149</v>
      </c>
      <c r="AH258" s="0" t="n">
        <v>14</v>
      </c>
      <c r="AI258" s="0" t="n">
        <v>11</v>
      </c>
      <c r="AN258" s="0" t="s">
        <v>145</v>
      </c>
      <c r="AO258" s="0" t="s">
        <v>233</v>
      </c>
      <c r="AP258" s="0" t="s">
        <v>234</v>
      </c>
      <c r="AQ258" s="0" t="n">
        <v>9</v>
      </c>
      <c r="AR258" s="0" t="n">
        <v>64</v>
      </c>
      <c r="AS258" s="0" t="n">
        <v>32</v>
      </c>
      <c r="AU258" s="0" t="n">
        <f aca="false">COUNTA($BA$2631:$EH$2631)</f>
        <v>4</v>
      </c>
      <c r="AV258" s="0" t="n">
        <f aca="false">COUNTIF($BA$2631:$EH$2631,"D")</f>
        <v>1</v>
      </c>
      <c r="AW258" s="0" t="n">
        <f aca="false">COUNTIF($BA$2631:$EH$2631,"R")</f>
        <v>0</v>
      </c>
      <c r="AX258" s="0" t="n">
        <f aca="false">IF(BN258="D",1,0)+IF(BO258="D",1,0)+IF(BT258="D",1,0)+IF(BU258="D",1,0)+IF(BW258="D",1,0)+IF(CC258="D",1,0)+IF(CD258="D",1,0)+IF(CE258="D",1,0)+IF(CF258="D",1,0)+IF(CL258="D",1,0)+IF(CM258="D",1,0)+IF(CQ258="D",1,0)+IF(CR258="D",1,0)+IF(CS258="D",1,0)+IF(CW258="D",1,0)+IF(CX258="D",1,0)+IF(DD258="D",1,0)+IF(DE258="D",1,0)+IF(DJ258="D",1,0)+IF(DK258="D",1,0)+IF(DO258="D",1,0)+IF(DP258="D",1,0)+IF(DQ258="D",1,0)+IF(DW258="D",1,0)+IF(DZ258="D",1,0)+IF(EH258="D",1,0)</f>
        <v>0</v>
      </c>
      <c r="AY258" s="0" t="n">
        <f aca="false">COUNTIF(DU258:EH258, "&lt;&gt;")</f>
        <v>0</v>
      </c>
      <c r="AZ258" s="0" t="n">
        <f aca="false">IF(EH258&lt;&gt;"",1,0)</f>
        <v>0</v>
      </c>
      <c r="BB258" s="0" t="s">
        <v>152</v>
      </c>
    </row>
    <row r="259" customFormat="false" ht="13.8" hidden="false" customHeight="false" outlineLevel="0" collapsed="false">
      <c r="A259" s="0" t="s">
        <v>1513</v>
      </c>
      <c r="B259" s="0" t="n">
        <v>78</v>
      </c>
      <c r="C259" s="0" t="n">
        <v>240727</v>
      </c>
      <c r="D259" s="0" t="s">
        <v>1445</v>
      </c>
      <c r="E259" s="0" t="s">
        <v>1514</v>
      </c>
      <c r="F259" s="0" t="str">
        <f aca="false">CONCATENATE(D259," ",LEFT(H259,4),"T=",AU259,"D=",AV259,"R=",AW259,"M=",AX259,"L=",AY259,"B=",AZ259)</f>
        <v>WILLIAMS T=5D=0R=0M=0L=3B=0</v>
      </c>
      <c r="G259" s="0" t="s">
        <v>175</v>
      </c>
      <c r="I259" s="0" t="s">
        <v>1515</v>
      </c>
      <c r="J259" s="0" t="s">
        <v>1516</v>
      </c>
      <c r="K259" s="0" t="s">
        <v>160</v>
      </c>
      <c r="M259" s="0" t="s">
        <v>1517</v>
      </c>
      <c r="N259" s="0" t="str">
        <f aca="false">RIGHT(M259,LEN(M259)-FIND(" ",M259))</f>
        <v>BRIER ST SE</v>
      </c>
      <c r="P259" s="0" t="s">
        <v>145</v>
      </c>
      <c r="Q259" s="0" t="s">
        <v>146</v>
      </c>
      <c r="R259" s="0" t="n">
        <v>44484</v>
      </c>
      <c r="AD259" s="0" t="s">
        <v>147</v>
      </c>
      <c r="AE259" s="0" t="s">
        <v>148</v>
      </c>
      <c r="AF259" s="0" t="s">
        <v>149</v>
      </c>
      <c r="AH259" s="0" t="n">
        <v>14</v>
      </c>
      <c r="AI259" s="0" t="n">
        <v>11</v>
      </c>
      <c r="AN259" s="0" t="s">
        <v>145</v>
      </c>
      <c r="AO259" s="0" t="s">
        <v>233</v>
      </c>
      <c r="AP259" s="0" t="s">
        <v>234</v>
      </c>
      <c r="AQ259" s="0" t="n">
        <v>9</v>
      </c>
      <c r="AR259" s="0" t="n">
        <v>64</v>
      </c>
      <c r="AS259" s="0" t="n">
        <v>32</v>
      </c>
      <c r="AU259" s="0" t="n">
        <f aca="false">COUNTA($BA$2459:$EH$2459)</f>
        <v>5</v>
      </c>
      <c r="AV259" s="0" t="n">
        <f aca="false">COUNTIF($BA$2459:$EH$2459,"D")</f>
        <v>0</v>
      </c>
      <c r="AW259" s="0" t="n">
        <f aca="false">COUNTIF($BA$2459:$EH$2459,"R")</f>
        <v>0</v>
      </c>
      <c r="AX259" s="0" t="n">
        <f aca="false">IF(BN259="D",1,0)+IF(BO259="D",1,0)+IF(BT259="D",1,0)+IF(BU259="D",1,0)+IF(BW259="D",1,0)+IF(CC259="D",1,0)+IF(CD259="D",1,0)+IF(CE259="D",1,0)+IF(CF259="D",1,0)+IF(CL259="D",1,0)+IF(CM259="D",1,0)+IF(CQ259="D",1,0)+IF(CR259="D",1,0)+IF(CS259="D",1,0)+IF(CW259="D",1,0)+IF(CX259="D",1,0)+IF(DD259="D",1,0)+IF(DE259="D",1,0)+IF(DJ259="D",1,0)+IF(DK259="D",1,0)+IF(DO259="D",1,0)+IF(DP259="D",1,0)+IF(DQ259="D",1,0)+IF(DW259="D",1,0)+IF(DZ259="D",1,0)+IF(EH259="D",1,0)</f>
        <v>0</v>
      </c>
      <c r="AY259" s="0" t="n">
        <f aca="false">COUNTIF(DU259:EH259, "&lt;&gt;")</f>
        <v>3</v>
      </c>
      <c r="AZ259" s="0" t="n">
        <f aca="false">IF(EH259&lt;&gt;"",1,0)</f>
        <v>0</v>
      </c>
      <c r="BB259" s="0" t="s">
        <v>152</v>
      </c>
      <c r="BD259" s="0" t="s">
        <v>153</v>
      </c>
      <c r="BH259" s="0" t="s">
        <v>153</v>
      </c>
      <c r="BL259" s="0" t="s">
        <v>153</v>
      </c>
      <c r="BY259" s="0" t="s">
        <v>175</v>
      </c>
      <c r="CA259" s="0" t="s">
        <v>153</v>
      </c>
      <c r="CP259" s="0" t="s">
        <v>153</v>
      </c>
      <c r="CZ259" s="0" t="s">
        <v>175</v>
      </c>
      <c r="DC259" s="0" t="s">
        <v>153</v>
      </c>
      <c r="DU259" s="0" t="s">
        <v>153</v>
      </c>
      <c r="EA259" s="0" t="s">
        <v>153</v>
      </c>
      <c r="EF259" s="0" t="s">
        <v>153</v>
      </c>
    </row>
    <row r="260" customFormat="false" ht="13.8" hidden="true" customHeight="false" outlineLevel="0" collapsed="false">
      <c r="A260" s="0" t="s">
        <v>1518</v>
      </c>
      <c r="B260" s="0" t="n">
        <v>78</v>
      </c>
      <c r="C260" s="0" t="n">
        <v>376076</v>
      </c>
      <c r="D260" s="0" t="s">
        <v>1519</v>
      </c>
      <c r="E260" s="0" t="s">
        <v>1520</v>
      </c>
      <c r="F260" s="0" t="str">
        <f aca="false">CONCATENATE(D260," ",LEFT(H260,4),"T=",AU260,"D=",AV260,"R=",AW260,"M=",AX260,"L=",AY260,"B=",AZ260)</f>
        <v>GARY T=1D=0R=0M=0L=1B=0</v>
      </c>
      <c r="G260" s="0" t="s">
        <v>195</v>
      </c>
      <c r="I260" s="0" t="s">
        <v>1521</v>
      </c>
      <c r="J260" s="0" t="s">
        <v>688</v>
      </c>
      <c r="K260" s="0" t="s">
        <v>160</v>
      </c>
      <c r="M260" s="0" t="s">
        <v>1522</v>
      </c>
      <c r="N260" s="0" t="str">
        <f aca="false">RIGHT(M260,LEN(M260)-FIND(" ",M260))</f>
        <v>BRIER ST SE</v>
      </c>
      <c r="P260" s="0" t="s">
        <v>145</v>
      </c>
      <c r="Q260" s="0" t="s">
        <v>146</v>
      </c>
      <c r="R260" s="0" t="n">
        <v>44484</v>
      </c>
      <c r="AD260" s="0" t="s">
        <v>147</v>
      </c>
      <c r="AE260" s="0" t="s">
        <v>148</v>
      </c>
      <c r="AF260" s="0" t="s">
        <v>149</v>
      </c>
      <c r="AH260" s="0" t="n">
        <v>14</v>
      </c>
      <c r="AI260" s="0" t="n">
        <v>11</v>
      </c>
      <c r="AN260" s="0" t="s">
        <v>145</v>
      </c>
      <c r="AO260" s="0" t="s">
        <v>233</v>
      </c>
      <c r="AP260" s="0" t="s">
        <v>234</v>
      </c>
      <c r="AQ260" s="0" t="n">
        <v>9</v>
      </c>
      <c r="AR260" s="0" t="n">
        <v>64</v>
      </c>
      <c r="AS260" s="0" t="n">
        <v>32</v>
      </c>
      <c r="AU260" s="0" t="n">
        <f aca="false">COUNTA($BA$2457:$EH$2457)</f>
        <v>1</v>
      </c>
      <c r="AV260" s="0" t="n">
        <f aca="false">COUNTIF($BA$2457:$EH$2457,"D")</f>
        <v>0</v>
      </c>
      <c r="AW260" s="0" t="n">
        <f aca="false">COUNTIF($BA$2457:$EH$2457,"R")</f>
        <v>0</v>
      </c>
      <c r="AX260" s="0" t="n">
        <f aca="false">IF(BN260="D",1,0)+IF(BO260="D",1,0)+IF(BT260="D",1,0)+IF(BU260="D",1,0)+IF(BW260="D",1,0)+IF(CC260="D",1,0)+IF(CD260="D",1,0)+IF(CE260="D",1,0)+IF(CF260="D",1,0)+IF(CL260="D",1,0)+IF(CM260="D",1,0)+IF(CQ260="D",1,0)+IF(CR260="D",1,0)+IF(CS260="D",1,0)+IF(CW260="D",1,0)+IF(CX260="D",1,0)+IF(DD260="D",1,0)+IF(DE260="D",1,0)+IF(DJ260="D",1,0)+IF(DK260="D",1,0)+IF(DO260="D",1,0)+IF(DP260="D",1,0)+IF(DQ260="D",1,0)+IF(DW260="D",1,0)+IF(DZ260="D",1,0)+IF(EH260="D",1,0)</f>
        <v>0</v>
      </c>
      <c r="AY260" s="0" t="n">
        <f aca="false">COUNTIF(DU260:EH260, "&lt;&gt;")</f>
        <v>1</v>
      </c>
      <c r="AZ260" s="0" t="n">
        <f aca="false">IF(EH260&lt;&gt;"",1,0)</f>
        <v>0</v>
      </c>
      <c r="BB260" s="0" t="s">
        <v>152</v>
      </c>
      <c r="CP260" s="0" t="s">
        <v>153</v>
      </c>
      <c r="DC260" s="0" t="s">
        <v>153</v>
      </c>
      <c r="DN260" s="0" t="s">
        <v>153</v>
      </c>
      <c r="EF260" s="0" t="s">
        <v>153</v>
      </c>
    </row>
    <row r="261" customFormat="false" ht="13.8" hidden="true" customHeight="false" outlineLevel="0" collapsed="false">
      <c r="A261" s="0" t="s">
        <v>1523</v>
      </c>
      <c r="B261" s="0" t="n">
        <v>78</v>
      </c>
      <c r="C261" s="0" t="n">
        <v>470999</v>
      </c>
      <c r="D261" s="0" t="s">
        <v>1466</v>
      </c>
      <c r="E261" s="0" t="s">
        <v>1524</v>
      </c>
      <c r="F261" s="0" t="str">
        <f aca="false">CONCATENATE(D261," ",LEFT(H261,4),"T=",AU261,"D=",AV261,"R=",AW261,"M=",AX261,"L=",AY261,"B=",AZ261)</f>
        <v>JOHNSON T=1D=0R=0M=0L=1B=0</v>
      </c>
      <c r="G261" s="0" t="s">
        <v>1198</v>
      </c>
      <c r="I261" s="0" t="s">
        <v>1525</v>
      </c>
      <c r="J261" s="0" t="s">
        <v>639</v>
      </c>
      <c r="K261" s="0" t="s">
        <v>160</v>
      </c>
      <c r="M261" s="0" t="s">
        <v>1526</v>
      </c>
      <c r="N261" s="0" t="str">
        <f aca="false">RIGHT(M261,LEN(M261)-FIND(" ",M261))</f>
        <v>BRIER ST SE</v>
      </c>
      <c r="P261" s="0" t="s">
        <v>145</v>
      </c>
      <c r="Q261" s="0" t="s">
        <v>146</v>
      </c>
      <c r="R261" s="0" t="n">
        <v>44484</v>
      </c>
      <c r="AD261" s="0" t="s">
        <v>147</v>
      </c>
      <c r="AE261" s="0" t="s">
        <v>148</v>
      </c>
      <c r="AF261" s="0" t="s">
        <v>149</v>
      </c>
      <c r="AH261" s="0" t="n">
        <v>14</v>
      </c>
      <c r="AI261" s="0" t="n">
        <v>11</v>
      </c>
      <c r="AN261" s="0" t="s">
        <v>145</v>
      </c>
      <c r="AO261" s="0" t="s">
        <v>233</v>
      </c>
      <c r="AP261" s="0" t="s">
        <v>234</v>
      </c>
      <c r="AQ261" s="0" t="n">
        <v>9</v>
      </c>
      <c r="AR261" s="0" t="n">
        <v>64</v>
      </c>
      <c r="AS261" s="0" t="n">
        <v>32</v>
      </c>
      <c r="AU261" s="0" t="n">
        <f aca="false">COUNTA($BA$2174:$EH$2174)</f>
        <v>1</v>
      </c>
      <c r="AV261" s="0" t="n">
        <f aca="false">COUNTIF($BA$2174:$EH$2174,"D")</f>
        <v>0</v>
      </c>
      <c r="AW261" s="0" t="n">
        <f aca="false">COUNTIF($BA$2174:$EH$2174,"R")</f>
        <v>0</v>
      </c>
      <c r="AX261" s="0" t="n">
        <f aca="false">IF(BN261="D",1,0)+IF(BO261="D",1,0)+IF(BT261="D",1,0)+IF(BU261="D",1,0)+IF(BW261="D",1,0)+IF(CC261="D",1,0)+IF(CD261="D",1,0)+IF(CE261="D",1,0)+IF(CF261="D",1,0)+IF(CL261="D",1,0)+IF(CM261="D",1,0)+IF(CQ261="D",1,0)+IF(CR261="D",1,0)+IF(CS261="D",1,0)+IF(CW261="D",1,0)+IF(CX261="D",1,0)+IF(DD261="D",1,0)+IF(DE261="D",1,0)+IF(DJ261="D",1,0)+IF(DK261="D",1,0)+IF(DO261="D",1,0)+IF(DP261="D",1,0)+IF(DQ261="D",1,0)+IF(DW261="D",1,0)+IF(DZ261="D",1,0)+IF(EH261="D",1,0)</f>
        <v>0</v>
      </c>
      <c r="AY261" s="0" t="n">
        <f aca="false">COUNTIF(DU261:EH261, "&lt;&gt;")</f>
        <v>1</v>
      </c>
      <c r="AZ261" s="0" t="n">
        <f aca="false">IF(EH261&lt;&gt;"",1,0)</f>
        <v>0</v>
      </c>
      <c r="BB261" s="0" t="s">
        <v>152</v>
      </c>
      <c r="EF261" s="0" t="s">
        <v>153</v>
      </c>
    </row>
    <row r="262" customFormat="false" ht="13.8" hidden="false" customHeight="false" outlineLevel="0" collapsed="false">
      <c r="A262" s="0" t="s">
        <v>1527</v>
      </c>
      <c r="B262" s="0" t="n">
        <v>78</v>
      </c>
      <c r="C262" s="0" t="n">
        <v>391186</v>
      </c>
      <c r="D262" s="0" t="s">
        <v>1466</v>
      </c>
      <c r="E262" s="0" t="s">
        <v>1528</v>
      </c>
      <c r="F262" s="0" t="str">
        <f aca="false">CONCATENATE(D262," ",LEFT(H262,4),"T=",AU262,"D=",AV262,"R=",AW262,"M=",AX262,"L=",AY262,"B=",AZ262)</f>
        <v>JOHNSON T=7D=0R=0M=0L=2B=0</v>
      </c>
      <c r="G262" s="0" t="s">
        <v>202</v>
      </c>
      <c r="I262" s="0" t="s">
        <v>1529</v>
      </c>
      <c r="J262" s="0" t="s">
        <v>1530</v>
      </c>
      <c r="K262" s="0" t="s">
        <v>160</v>
      </c>
      <c r="M262" s="0" t="s">
        <v>1526</v>
      </c>
      <c r="N262" s="0" t="str">
        <f aca="false">RIGHT(M262,LEN(M262)-FIND(" ",M262))</f>
        <v>BRIER ST SE</v>
      </c>
      <c r="P262" s="0" t="s">
        <v>145</v>
      </c>
      <c r="Q262" s="0" t="s">
        <v>146</v>
      </c>
      <c r="R262" s="0" t="n">
        <v>44484</v>
      </c>
      <c r="AD262" s="0" t="s">
        <v>147</v>
      </c>
      <c r="AE262" s="0" t="s">
        <v>148</v>
      </c>
      <c r="AF262" s="0" t="s">
        <v>149</v>
      </c>
      <c r="AH262" s="0" t="n">
        <v>14</v>
      </c>
      <c r="AI262" s="0" t="n">
        <v>11</v>
      </c>
      <c r="AN262" s="0" t="s">
        <v>145</v>
      </c>
      <c r="AO262" s="0" t="s">
        <v>233</v>
      </c>
      <c r="AP262" s="0" t="s">
        <v>234</v>
      </c>
      <c r="AQ262" s="0" t="n">
        <v>9</v>
      </c>
      <c r="AR262" s="0" t="n">
        <v>64</v>
      </c>
      <c r="AS262" s="0" t="n">
        <v>32</v>
      </c>
      <c r="AU262" s="0" t="n">
        <f aca="false">COUNTA($BA$2231:$EH$2231)</f>
        <v>7</v>
      </c>
      <c r="AV262" s="0" t="n">
        <f aca="false">COUNTIF($BA$2231:$EH$2231,"D")</f>
        <v>0</v>
      </c>
      <c r="AW262" s="0" t="n">
        <f aca="false">COUNTIF($BA$2231:$EH$2231,"R")</f>
        <v>0</v>
      </c>
      <c r="AX262" s="0" t="n">
        <f aca="false">IF(BN262="D",1,0)+IF(BO262="D",1,0)+IF(BT262="D",1,0)+IF(BU262="D",1,0)+IF(BW262="D",1,0)+IF(CC262="D",1,0)+IF(CD262="D",1,0)+IF(CE262="D",1,0)+IF(CF262="D",1,0)+IF(CL262="D",1,0)+IF(CM262="D",1,0)+IF(CQ262="D",1,0)+IF(CR262="D",1,0)+IF(CS262="D",1,0)+IF(CW262="D",1,0)+IF(CX262="D",1,0)+IF(DD262="D",1,0)+IF(DE262="D",1,0)+IF(DJ262="D",1,0)+IF(DK262="D",1,0)+IF(DO262="D",1,0)+IF(DP262="D",1,0)+IF(DQ262="D",1,0)+IF(DW262="D",1,0)+IF(DZ262="D",1,0)+IF(EH262="D",1,0)</f>
        <v>0</v>
      </c>
      <c r="AY262" s="0" t="n">
        <f aca="false">COUNTIF(DU262:EH262, "&lt;&gt;")</f>
        <v>2</v>
      </c>
      <c r="AZ262" s="0" t="n">
        <f aca="false">IF(EH262&lt;&gt;"",1,0)</f>
        <v>0</v>
      </c>
      <c r="BB262" s="0" t="s">
        <v>152</v>
      </c>
      <c r="BL262" s="0" t="s">
        <v>153</v>
      </c>
      <c r="BY262" s="0" t="s">
        <v>209</v>
      </c>
      <c r="CA262" s="0" t="s">
        <v>153</v>
      </c>
      <c r="CY262" s="0" t="s">
        <v>153</v>
      </c>
      <c r="CZ262" s="0" t="s">
        <v>175</v>
      </c>
      <c r="DC262" s="0" t="s">
        <v>153</v>
      </c>
      <c r="DN262" s="0" t="s">
        <v>153</v>
      </c>
      <c r="EA262" s="0" t="s">
        <v>153</v>
      </c>
      <c r="EF262" s="0" t="s">
        <v>153</v>
      </c>
    </row>
    <row r="263" customFormat="false" ht="13.8" hidden="true" customHeight="false" outlineLevel="0" collapsed="false">
      <c r="A263" s="0" t="s">
        <v>1531</v>
      </c>
      <c r="B263" s="0" t="n">
        <v>78</v>
      </c>
      <c r="C263" s="0" t="n">
        <v>472263</v>
      </c>
      <c r="D263" s="0" t="s">
        <v>1466</v>
      </c>
      <c r="E263" s="0" t="s">
        <v>1532</v>
      </c>
      <c r="F263" s="0" t="str">
        <f aca="false">CONCATENATE(D263," ",LEFT(H263,4),"T=",AU263,"D=",AV263,"R=",AW263,"M=",AX263,"L=",AY263,"B=",AZ263)</f>
        <v>JOHNSON T=1D=0R=0M=0L=1B=0</v>
      </c>
      <c r="G263" s="0" t="s">
        <v>1533</v>
      </c>
      <c r="I263" s="0" t="s">
        <v>1525</v>
      </c>
      <c r="J263" s="0" t="s">
        <v>1534</v>
      </c>
      <c r="K263" s="0" t="s">
        <v>160</v>
      </c>
      <c r="M263" s="0" t="s">
        <v>1526</v>
      </c>
      <c r="N263" s="0" t="str">
        <f aca="false">RIGHT(M263,LEN(M263)-FIND(" ",M263))</f>
        <v>BRIER ST SE</v>
      </c>
      <c r="P263" s="0" t="s">
        <v>145</v>
      </c>
      <c r="Q263" s="0" t="s">
        <v>146</v>
      </c>
      <c r="R263" s="0" t="n">
        <v>44484</v>
      </c>
      <c r="AD263" s="0" t="s">
        <v>147</v>
      </c>
      <c r="AE263" s="0" t="s">
        <v>148</v>
      </c>
      <c r="AF263" s="0" t="s">
        <v>149</v>
      </c>
      <c r="AH263" s="0" t="n">
        <v>14</v>
      </c>
      <c r="AI263" s="0" t="n">
        <v>11</v>
      </c>
      <c r="AN263" s="0" t="s">
        <v>145</v>
      </c>
      <c r="AO263" s="0" t="s">
        <v>233</v>
      </c>
      <c r="AP263" s="0" t="s">
        <v>234</v>
      </c>
      <c r="AQ263" s="0" t="n">
        <v>9</v>
      </c>
      <c r="AR263" s="0" t="n">
        <v>64</v>
      </c>
      <c r="AS263" s="0" t="n">
        <v>32</v>
      </c>
      <c r="AU263" s="0" t="n">
        <f aca="false">COUNTA($BA$2401:$EH$2401)</f>
        <v>1</v>
      </c>
      <c r="AV263" s="0" t="n">
        <f aca="false">COUNTIF($BA$2401:$EH$2401,"D")</f>
        <v>0</v>
      </c>
      <c r="AW263" s="0" t="n">
        <f aca="false">COUNTIF($BA$2401:$EH$2401,"R")</f>
        <v>0</v>
      </c>
      <c r="AX263" s="0" t="n">
        <f aca="false">IF(BN263="D",1,0)+IF(BO263="D",1,0)+IF(BT263="D",1,0)+IF(BU263="D",1,0)+IF(BW263="D",1,0)+IF(CC263="D",1,0)+IF(CD263="D",1,0)+IF(CE263="D",1,0)+IF(CF263="D",1,0)+IF(CL263="D",1,0)+IF(CM263="D",1,0)+IF(CQ263="D",1,0)+IF(CR263="D",1,0)+IF(CS263="D",1,0)+IF(CW263="D",1,0)+IF(CX263="D",1,0)+IF(DD263="D",1,0)+IF(DE263="D",1,0)+IF(DJ263="D",1,0)+IF(DK263="D",1,0)+IF(DO263="D",1,0)+IF(DP263="D",1,0)+IF(DQ263="D",1,0)+IF(DW263="D",1,0)+IF(DZ263="D",1,0)+IF(EH263="D",1,0)</f>
        <v>0</v>
      </c>
      <c r="AY263" s="0" t="n">
        <f aca="false">COUNTIF(DU263:EH263, "&lt;&gt;")</f>
        <v>1</v>
      </c>
      <c r="AZ263" s="0" t="n">
        <f aca="false">IF(EH263&lt;&gt;"",1,0)</f>
        <v>0</v>
      </c>
      <c r="BB263" s="0" t="s">
        <v>152</v>
      </c>
      <c r="EF263" s="0" t="s">
        <v>153</v>
      </c>
    </row>
    <row r="264" customFormat="false" ht="13.8" hidden="true" customHeight="false" outlineLevel="0" collapsed="false">
      <c r="A264" s="0" t="s">
        <v>1535</v>
      </c>
      <c r="B264" s="0" t="n">
        <v>78</v>
      </c>
      <c r="C264" s="0" t="n">
        <v>348987</v>
      </c>
      <c r="D264" s="0" t="s">
        <v>1536</v>
      </c>
      <c r="E264" s="0" t="s">
        <v>1537</v>
      </c>
      <c r="F264" s="0" t="str">
        <f aca="false">CONCATENATE(D264," ",LEFT(H264,4),"T=",AU264,"D=",AV264,"R=",AW264,"M=",AX264,"L=",AY264,"B=",AZ264)</f>
        <v>HARDIA T=33D=5R=3M=0L=0B=0</v>
      </c>
      <c r="G264" s="0" t="s">
        <v>175</v>
      </c>
      <c r="I264" s="0" t="s">
        <v>1538</v>
      </c>
      <c r="J264" s="0" t="s">
        <v>1539</v>
      </c>
      <c r="K264" s="0" t="s">
        <v>143</v>
      </c>
      <c r="M264" s="0" t="s">
        <v>1540</v>
      </c>
      <c r="N264" s="0" t="str">
        <f aca="false">RIGHT(M264,LEN(M264)-FIND(" ",M264))</f>
        <v>BRIER ST SE</v>
      </c>
      <c r="P264" s="0" t="s">
        <v>145</v>
      </c>
      <c r="Q264" s="0" t="s">
        <v>146</v>
      </c>
      <c r="R264" s="0" t="n">
        <v>44484</v>
      </c>
      <c r="AD264" s="0" t="s">
        <v>147</v>
      </c>
      <c r="AE264" s="0" t="s">
        <v>148</v>
      </c>
      <c r="AF264" s="0" t="s">
        <v>149</v>
      </c>
      <c r="AH264" s="0" t="n">
        <v>14</v>
      </c>
      <c r="AI264" s="0" t="n">
        <v>11</v>
      </c>
      <c r="AN264" s="0" t="s">
        <v>145</v>
      </c>
      <c r="AO264" s="0" t="s">
        <v>233</v>
      </c>
      <c r="AP264" s="0" t="s">
        <v>234</v>
      </c>
      <c r="AQ264" s="0" t="n">
        <v>9</v>
      </c>
      <c r="AR264" s="0" t="n">
        <v>64</v>
      </c>
      <c r="AS264" s="0" t="n">
        <v>32</v>
      </c>
      <c r="AU264" s="0" t="n">
        <f aca="false">COUNTA($BA$2104:$EH$2104)</f>
        <v>33</v>
      </c>
      <c r="AV264" s="0" t="n">
        <f aca="false">COUNTIF($BA$2104:$EH$2104,"D")</f>
        <v>5</v>
      </c>
      <c r="AW264" s="0" t="n">
        <f aca="false">COUNTIF($BA$2104:$EH$2104,"R")</f>
        <v>3</v>
      </c>
      <c r="AX264" s="0" t="n">
        <f aca="false">IF(BN264="D",1,0)+IF(BO264="D",1,0)+IF(BT264="D",1,0)+IF(BU264="D",1,0)+IF(BW264="D",1,0)+IF(CC264="D",1,0)+IF(CD264="D",1,0)+IF(CE264="D",1,0)+IF(CF264="D",1,0)+IF(CL264="D",1,0)+IF(CM264="D",1,0)+IF(CQ264="D",1,0)+IF(CR264="D",1,0)+IF(CS264="D",1,0)+IF(CW264="D",1,0)+IF(CX264="D",1,0)+IF(DD264="D",1,0)+IF(DE264="D",1,0)+IF(DJ264="D",1,0)+IF(DK264="D",1,0)+IF(DO264="D",1,0)+IF(DP264="D",1,0)+IF(DQ264="D",1,0)+IF(DW264="D",1,0)+IF(DZ264="D",1,0)+IF(EH264="D",1,0)</f>
        <v>0</v>
      </c>
      <c r="AY264" s="0" t="n">
        <f aca="false">COUNTIF(DU264:EH264, "&lt;&gt;")</f>
        <v>0</v>
      </c>
      <c r="AZ264" s="0" t="n">
        <f aca="false">IF(EH264&lt;&gt;"",1,0)</f>
        <v>0</v>
      </c>
      <c r="BB264" s="0" t="s">
        <v>152</v>
      </c>
      <c r="BY264" s="0" t="s">
        <v>175</v>
      </c>
      <c r="CA264" s="0" t="s">
        <v>153</v>
      </c>
      <c r="CP264" s="0" t="s">
        <v>153</v>
      </c>
      <c r="CZ264" s="0" t="s">
        <v>175</v>
      </c>
    </row>
    <row r="265" customFormat="false" ht="13.8" hidden="false" customHeight="false" outlineLevel="0" collapsed="false">
      <c r="A265" s="0" t="s">
        <v>1541</v>
      </c>
      <c r="B265" s="0" t="n">
        <v>78</v>
      </c>
      <c r="C265" s="0" t="n">
        <v>380887</v>
      </c>
      <c r="D265" s="0" t="s">
        <v>1542</v>
      </c>
      <c r="E265" s="0" t="s">
        <v>1543</v>
      </c>
      <c r="F265" s="0" t="str">
        <f aca="false">CONCATENATE(D265," ",LEFT(H265,4),"T=",AU265,"D=",AV265,"R=",AW265,"M=",AX265,"L=",AY265,"B=",AZ265)</f>
        <v>FAYNE T=8D=0R=0M=0L=3B=0</v>
      </c>
      <c r="G265" s="0" t="s">
        <v>615</v>
      </c>
      <c r="I265" s="0" t="s">
        <v>1544</v>
      </c>
      <c r="J265" s="0" t="s">
        <v>1545</v>
      </c>
      <c r="K265" s="0" t="s">
        <v>160</v>
      </c>
      <c r="M265" s="0" t="s">
        <v>1540</v>
      </c>
      <c r="N265" s="0" t="str">
        <f aca="false">RIGHT(M265,LEN(M265)-FIND(" ",M265))</f>
        <v>BRIER ST SE</v>
      </c>
      <c r="P265" s="0" t="s">
        <v>145</v>
      </c>
      <c r="Q265" s="0" t="s">
        <v>146</v>
      </c>
      <c r="R265" s="0" t="n">
        <v>44484</v>
      </c>
      <c r="AD265" s="0" t="s">
        <v>147</v>
      </c>
      <c r="AE265" s="0" t="s">
        <v>148</v>
      </c>
      <c r="AF265" s="0" t="s">
        <v>149</v>
      </c>
      <c r="AH265" s="0" t="n">
        <v>14</v>
      </c>
      <c r="AI265" s="0" t="n">
        <v>11</v>
      </c>
      <c r="AN265" s="0" t="s">
        <v>145</v>
      </c>
      <c r="AO265" s="0" t="s">
        <v>233</v>
      </c>
      <c r="AP265" s="0" t="s">
        <v>234</v>
      </c>
      <c r="AQ265" s="0" t="n">
        <v>9</v>
      </c>
      <c r="AR265" s="0" t="n">
        <v>64</v>
      </c>
      <c r="AS265" s="0" t="n">
        <v>32</v>
      </c>
      <c r="AU265" s="0" t="n">
        <f aca="false">COUNTA($BA$2418:$EH$2418)</f>
        <v>8</v>
      </c>
      <c r="AV265" s="0" t="n">
        <f aca="false">COUNTIF($BA$2418:$EH$2418,"D")</f>
        <v>0</v>
      </c>
      <c r="AW265" s="0" t="n">
        <f aca="false">COUNTIF($BA$2418:$EH$2418,"R")</f>
        <v>0</v>
      </c>
      <c r="AX265" s="0" t="n">
        <f aca="false">IF(BN265="D",1,0)+IF(BO265="D",1,0)+IF(BT265="D",1,0)+IF(BU265="D",1,0)+IF(BW265="D",1,0)+IF(CC265="D",1,0)+IF(CD265="D",1,0)+IF(CE265="D",1,0)+IF(CF265="D",1,0)+IF(CL265="D",1,0)+IF(CM265="D",1,0)+IF(CQ265="D",1,0)+IF(CR265="D",1,0)+IF(CS265="D",1,0)+IF(CW265="D",1,0)+IF(CX265="D",1,0)+IF(DD265="D",1,0)+IF(DE265="D",1,0)+IF(DJ265="D",1,0)+IF(DK265="D",1,0)+IF(DO265="D",1,0)+IF(DP265="D",1,0)+IF(DQ265="D",1,0)+IF(DW265="D",1,0)+IF(DZ265="D",1,0)+IF(EH265="D",1,0)</f>
        <v>0</v>
      </c>
      <c r="AY265" s="0" t="n">
        <f aca="false">COUNTIF(DU265:EH265, "&lt;&gt;")</f>
        <v>3</v>
      </c>
      <c r="AZ265" s="0" t="n">
        <f aca="false">IF(EH265&lt;&gt;"",1,0)</f>
        <v>0</v>
      </c>
      <c r="BB265" s="0" t="s">
        <v>152</v>
      </c>
      <c r="CP265" s="0" t="s">
        <v>153</v>
      </c>
      <c r="CY265" s="0" t="s">
        <v>153</v>
      </c>
      <c r="DC265" s="0" t="s">
        <v>153</v>
      </c>
      <c r="DI265" s="0" t="s">
        <v>153</v>
      </c>
      <c r="DN265" s="0" t="s">
        <v>153</v>
      </c>
      <c r="DR265" s="0" t="s">
        <v>153</v>
      </c>
      <c r="DX265" s="0" t="s">
        <v>153</v>
      </c>
      <c r="EA265" s="0" t="s">
        <v>153</v>
      </c>
      <c r="EF265" s="0" t="s">
        <v>153</v>
      </c>
    </row>
    <row r="266" customFormat="false" ht="13.8" hidden="true" customHeight="false" outlineLevel="0" collapsed="false">
      <c r="A266" s="0" t="s">
        <v>1546</v>
      </c>
      <c r="B266" s="0" t="n">
        <v>78</v>
      </c>
      <c r="C266" s="0" t="n">
        <v>446138</v>
      </c>
      <c r="D266" s="0" t="s">
        <v>1547</v>
      </c>
      <c r="E266" s="0" t="s">
        <v>1548</v>
      </c>
      <c r="F266" s="0" t="str">
        <f aca="false">CONCATENATE(D266," ",LEFT(H266,4),"T=",AU266,"D=",AV266,"R=",AW266,"M=",AX266,"L=",AY266,"B=",AZ266)</f>
        <v>WASHINGTON T=1D=0R=0M=1L=0B=0</v>
      </c>
      <c r="I266" s="0" t="s">
        <v>1549</v>
      </c>
      <c r="J266" s="0" t="s">
        <v>1550</v>
      </c>
      <c r="K266" s="0" t="s">
        <v>143</v>
      </c>
      <c r="M266" s="0" t="s">
        <v>1551</v>
      </c>
      <c r="N266" s="0" t="str">
        <f aca="false">RIGHT(M266,LEN(M266)-FIND(" ",M266))</f>
        <v>BRIER ST SE</v>
      </c>
      <c r="P266" s="0" t="s">
        <v>145</v>
      </c>
      <c r="Q266" s="0" t="s">
        <v>146</v>
      </c>
      <c r="R266" s="0" t="n">
        <v>44484</v>
      </c>
      <c r="AD266" s="0" t="s">
        <v>147</v>
      </c>
      <c r="AE266" s="0" t="s">
        <v>148</v>
      </c>
      <c r="AF266" s="0" t="s">
        <v>149</v>
      </c>
      <c r="AH266" s="0" t="n">
        <v>14</v>
      </c>
      <c r="AI266" s="0" t="n">
        <v>11</v>
      </c>
      <c r="AN266" s="0" t="s">
        <v>145</v>
      </c>
      <c r="AO266" s="0" t="s">
        <v>233</v>
      </c>
      <c r="AP266" s="0" t="s">
        <v>234</v>
      </c>
      <c r="AQ266" s="0" t="n">
        <v>9</v>
      </c>
      <c r="AR266" s="0" t="n">
        <v>64</v>
      </c>
      <c r="AS266" s="0" t="n">
        <v>32</v>
      </c>
      <c r="AU266" s="0" t="n">
        <f aca="false">COUNTA($BA$2120:$EH$2120)</f>
        <v>1</v>
      </c>
      <c r="AV266" s="0" t="n">
        <f aca="false">COUNTIF($BA$2120:$EH$2120,"D")</f>
        <v>0</v>
      </c>
      <c r="AW266" s="0" t="n">
        <f aca="false">COUNTIF($BA$2120:$EH$2120,"R")</f>
        <v>0</v>
      </c>
      <c r="AX266" s="0" t="n">
        <f aca="false">IF(BN266="D",1,0)+IF(BO266="D",1,0)+IF(BT266="D",1,0)+IF(BU266="D",1,0)+IF(BW266="D",1,0)+IF(CC266="D",1,0)+IF(CD266="D",1,0)+IF(CE266="D",1,0)+IF(CF266="D",1,0)+IF(CL266="D",1,0)+IF(CM266="D",1,0)+IF(CQ266="D",1,0)+IF(CR266="D",1,0)+IF(CS266="D",1,0)+IF(CW266="D",1,0)+IF(CX266="D",1,0)+IF(DD266="D",1,0)+IF(DE266="D",1,0)+IF(DJ266="D",1,0)+IF(DK266="D",1,0)+IF(DO266="D",1,0)+IF(DP266="D",1,0)+IF(DQ266="D",1,0)+IF(DW266="D",1,0)+IF(DZ266="D",1,0)+IF(EH266="D",1,0)</f>
        <v>1</v>
      </c>
      <c r="AY266" s="0" t="n">
        <f aca="false">COUNTIF(DU266:EH266, "&lt;&gt;")</f>
        <v>0</v>
      </c>
      <c r="AZ266" s="0" t="n">
        <f aca="false">IF(EH266&lt;&gt;"",1,0)</f>
        <v>0</v>
      </c>
      <c r="BB266" s="0" t="s">
        <v>152</v>
      </c>
      <c r="CQ266" s="0" t="s">
        <v>175</v>
      </c>
      <c r="CT266" s="0" t="s">
        <v>153</v>
      </c>
      <c r="CY266" s="0" t="s">
        <v>153</v>
      </c>
      <c r="DN266" s="0" t="s">
        <v>153</v>
      </c>
    </row>
    <row r="267" customFormat="false" ht="13.8" hidden="false" customHeight="false" outlineLevel="0" collapsed="false">
      <c r="A267" s="0" t="s">
        <v>1552</v>
      </c>
      <c r="B267" s="0" t="n">
        <v>78</v>
      </c>
      <c r="C267" s="0" t="n">
        <v>346084</v>
      </c>
      <c r="D267" s="0" t="s">
        <v>735</v>
      </c>
      <c r="E267" s="0" t="s">
        <v>1295</v>
      </c>
      <c r="F267" s="0" t="str">
        <f aca="false">CONCATENATE(D267," ",LEFT(H267,4),"T=",AU267,"D=",AV267,"R=",AW267,"M=",AX267,"L=",AY267,"B=",AZ267)</f>
        <v>JETER T=2D=0R=0M=0L=2B=0</v>
      </c>
      <c r="G267" s="0" t="s">
        <v>517</v>
      </c>
      <c r="I267" s="0" t="s">
        <v>1553</v>
      </c>
      <c r="J267" s="0" t="s">
        <v>1554</v>
      </c>
      <c r="K267" s="0" t="s">
        <v>160</v>
      </c>
      <c r="M267" s="0" t="s">
        <v>1551</v>
      </c>
      <c r="N267" s="0" t="str">
        <f aca="false">RIGHT(M267,LEN(M267)-FIND(" ",M267))</f>
        <v>BRIER ST SE</v>
      </c>
      <c r="P267" s="0" t="s">
        <v>145</v>
      </c>
      <c r="Q267" s="0" t="s">
        <v>146</v>
      </c>
      <c r="R267" s="0" t="n">
        <v>44484</v>
      </c>
      <c r="AD267" s="0" t="s">
        <v>147</v>
      </c>
      <c r="AE267" s="0" t="s">
        <v>148</v>
      </c>
      <c r="AF267" s="0" t="s">
        <v>149</v>
      </c>
      <c r="AH267" s="0" t="n">
        <v>14</v>
      </c>
      <c r="AI267" s="0" t="n">
        <v>11</v>
      </c>
      <c r="AN267" s="0" t="s">
        <v>145</v>
      </c>
      <c r="AO267" s="0" t="s">
        <v>233</v>
      </c>
      <c r="AP267" s="0" t="s">
        <v>234</v>
      </c>
      <c r="AQ267" s="0" t="n">
        <v>9</v>
      </c>
      <c r="AR267" s="0" t="n">
        <v>64</v>
      </c>
      <c r="AS267" s="0" t="n">
        <v>32</v>
      </c>
      <c r="AU267" s="0" t="n">
        <f aca="false">COUNTA($BA$2589:$EH$2589)</f>
        <v>2</v>
      </c>
      <c r="AV267" s="0" t="n">
        <f aca="false">COUNTIF($BA$2589:$EH$2589,"D")</f>
        <v>0</v>
      </c>
      <c r="AW267" s="0" t="n">
        <f aca="false">COUNTIF($BA$2589:$EH$2589,"R")</f>
        <v>0</v>
      </c>
      <c r="AX267" s="0" t="n">
        <f aca="false">IF(BN267="D",1,0)+IF(BO267="D",1,0)+IF(BT267="D",1,0)+IF(BU267="D",1,0)+IF(BW267="D",1,0)+IF(CC267="D",1,0)+IF(CD267="D",1,0)+IF(CE267="D",1,0)+IF(CF267="D",1,0)+IF(CL267="D",1,0)+IF(CM267="D",1,0)+IF(CQ267="D",1,0)+IF(CR267="D",1,0)+IF(CS267="D",1,0)+IF(CW267="D",1,0)+IF(CX267="D",1,0)+IF(DD267="D",1,0)+IF(DE267="D",1,0)+IF(DJ267="D",1,0)+IF(DK267="D",1,0)+IF(DO267="D",1,0)+IF(DP267="D",1,0)+IF(DQ267="D",1,0)+IF(DW267="D",1,0)+IF(DZ267="D",1,0)+IF(EH267="D",1,0)</f>
        <v>0</v>
      </c>
      <c r="AY267" s="0" t="n">
        <f aca="false">COUNTIF(DU267:EH267, "&lt;&gt;")</f>
        <v>2</v>
      </c>
      <c r="AZ267" s="0" t="n">
        <f aca="false">IF(EH267&lt;&gt;"",1,0)</f>
        <v>0</v>
      </c>
      <c r="BB267" s="0" t="s">
        <v>152</v>
      </c>
      <c r="BS267" s="0" t="s">
        <v>153</v>
      </c>
      <c r="BY267" s="0" t="s">
        <v>175</v>
      </c>
      <c r="CA267" s="0" t="s">
        <v>153</v>
      </c>
      <c r="CP267" s="0" t="s">
        <v>153</v>
      </c>
      <c r="CZ267" s="0" t="s">
        <v>175</v>
      </c>
      <c r="DC267" s="0" t="s">
        <v>153</v>
      </c>
      <c r="DI267" s="0" t="s">
        <v>153</v>
      </c>
      <c r="DN267" s="0" t="s">
        <v>153</v>
      </c>
      <c r="DU267" s="0" t="s">
        <v>153</v>
      </c>
      <c r="EF267" s="0" t="s">
        <v>153</v>
      </c>
    </row>
    <row r="268" customFormat="false" ht="13.8" hidden="true" customHeight="false" outlineLevel="0" collapsed="false">
      <c r="A268" s="0" t="s">
        <v>1555</v>
      </c>
      <c r="B268" s="0" t="n">
        <v>78</v>
      </c>
      <c r="C268" s="0" t="n">
        <v>327334</v>
      </c>
      <c r="D268" s="0" t="s">
        <v>1461</v>
      </c>
      <c r="E268" s="0" t="s">
        <v>1556</v>
      </c>
      <c r="F268" s="0" t="str">
        <f aca="false">CONCATENATE(D268," ",LEFT(H268,4),"T=",AU268,"D=",AV268,"R=",AW268,"M=",AX268,"L=",AY268,"B=",AZ268)</f>
        <v>PERRY T=3D=0R=0M=0L=1B=0</v>
      </c>
      <c r="G268" s="0" t="s">
        <v>1557</v>
      </c>
      <c r="I268" s="0" t="s">
        <v>1558</v>
      </c>
      <c r="J268" s="0" t="s">
        <v>1559</v>
      </c>
      <c r="K268" s="0" t="s">
        <v>160</v>
      </c>
      <c r="M268" s="0" t="s">
        <v>1551</v>
      </c>
      <c r="N268" s="0" t="str">
        <f aca="false">RIGHT(M268,LEN(M268)-FIND(" ",M268))</f>
        <v>BRIER ST SE</v>
      </c>
      <c r="P268" s="0" t="s">
        <v>145</v>
      </c>
      <c r="Q268" s="0" t="s">
        <v>146</v>
      </c>
      <c r="R268" s="0" t="n">
        <v>44484</v>
      </c>
      <c r="AD268" s="0" t="s">
        <v>147</v>
      </c>
      <c r="AE268" s="0" t="s">
        <v>148</v>
      </c>
      <c r="AF268" s="0" t="s">
        <v>149</v>
      </c>
      <c r="AH268" s="0" t="n">
        <v>14</v>
      </c>
      <c r="AI268" s="0" t="n">
        <v>11</v>
      </c>
      <c r="AN268" s="0" t="s">
        <v>145</v>
      </c>
      <c r="AO268" s="0" t="s">
        <v>233</v>
      </c>
      <c r="AP268" s="0" t="s">
        <v>234</v>
      </c>
      <c r="AQ268" s="0" t="n">
        <v>9</v>
      </c>
      <c r="AR268" s="0" t="n">
        <v>64</v>
      </c>
      <c r="AS268" s="0" t="n">
        <v>32</v>
      </c>
      <c r="AU268" s="0" t="n">
        <f aca="false">COUNTA($BA$2637:$EH$2637)</f>
        <v>3</v>
      </c>
      <c r="AV268" s="0" t="n">
        <f aca="false">COUNTIF($BA$2637:$EH$2637,"D")</f>
        <v>0</v>
      </c>
      <c r="AW268" s="0" t="n">
        <f aca="false">COUNTIF($BA$2637:$EH$2637,"R")</f>
        <v>0</v>
      </c>
      <c r="AX268" s="0" t="n">
        <f aca="false">IF(BN268="D",1,0)+IF(BO268="D",1,0)+IF(BT268="D",1,0)+IF(BU268="D",1,0)+IF(BW268="D",1,0)+IF(CC268="D",1,0)+IF(CD268="D",1,0)+IF(CE268="D",1,0)+IF(CF268="D",1,0)+IF(CL268="D",1,0)+IF(CM268="D",1,0)+IF(CQ268="D",1,0)+IF(CR268="D",1,0)+IF(CS268="D",1,0)+IF(CW268="D",1,0)+IF(CX268="D",1,0)+IF(DD268="D",1,0)+IF(DE268="D",1,0)+IF(DJ268="D",1,0)+IF(DK268="D",1,0)+IF(DO268="D",1,0)+IF(DP268="D",1,0)+IF(DQ268="D",1,0)+IF(DW268="D",1,0)+IF(DZ268="D",1,0)+IF(EH268="D",1,0)</f>
        <v>0</v>
      </c>
      <c r="AY268" s="0" t="n">
        <f aca="false">COUNTIF(DU268:EH268, "&lt;&gt;")</f>
        <v>1</v>
      </c>
      <c r="AZ268" s="0" t="n">
        <f aca="false">IF(EH268&lt;&gt;"",1,0)</f>
        <v>0</v>
      </c>
      <c r="BB268" s="0" t="s">
        <v>152</v>
      </c>
      <c r="BL268" s="0" t="s">
        <v>153</v>
      </c>
      <c r="CA268" s="0" t="s">
        <v>153</v>
      </c>
      <c r="CP268" s="0" t="s">
        <v>153</v>
      </c>
      <c r="DC268" s="0" t="s">
        <v>153</v>
      </c>
      <c r="DN268" s="0" t="s">
        <v>153</v>
      </c>
      <c r="DU268" s="0" t="s">
        <v>153</v>
      </c>
    </row>
    <row r="269" customFormat="false" ht="13.8" hidden="false" customHeight="false" outlineLevel="0" collapsed="false">
      <c r="A269" s="0" t="s">
        <v>1560</v>
      </c>
      <c r="B269" s="0" t="n">
        <v>78</v>
      </c>
      <c r="C269" s="0" t="n">
        <v>257851</v>
      </c>
      <c r="D269" s="0" t="s">
        <v>1561</v>
      </c>
      <c r="E269" s="0" t="s">
        <v>1562</v>
      </c>
      <c r="F269" s="0" t="str">
        <f aca="false">CONCATENATE(D269," ",LEFT(H269,4),"T=",AU269,"D=",AV269,"R=",AW269,"M=",AX269,"L=",AY269,"B=",AZ269)</f>
        <v>KIMBLE T=16D=1R=0M=0L=2B=0</v>
      </c>
      <c r="G269" s="0" t="s">
        <v>175</v>
      </c>
      <c r="I269" s="0" t="s">
        <v>1563</v>
      </c>
      <c r="J269" s="0" t="s">
        <v>1550</v>
      </c>
      <c r="K269" s="0" t="s">
        <v>160</v>
      </c>
      <c r="M269" s="0" t="s">
        <v>1564</v>
      </c>
      <c r="N269" s="0" t="str">
        <f aca="false">RIGHT(M269,LEN(M269)-FIND(" ",M269))</f>
        <v>BURTON ST SE</v>
      </c>
      <c r="P269" s="0" t="s">
        <v>145</v>
      </c>
      <c r="Q269" s="0" t="s">
        <v>146</v>
      </c>
      <c r="R269" s="0" t="n">
        <v>44484</v>
      </c>
      <c r="AD269" s="0" t="s">
        <v>147</v>
      </c>
      <c r="AE269" s="0" t="s">
        <v>148</v>
      </c>
      <c r="AF269" s="0" t="s">
        <v>149</v>
      </c>
      <c r="AH269" s="0" t="n">
        <v>14</v>
      </c>
      <c r="AI269" s="0" t="n">
        <v>11</v>
      </c>
      <c r="AN269" s="0" t="s">
        <v>145</v>
      </c>
      <c r="AO269" s="0" t="s">
        <v>233</v>
      </c>
      <c r="AP269" s="0" t="s">
        <v>234</v>
      </c>
      <c r="AQ269" s="0" t="n">
        <v>9</v>
      </c>
      <c r="AR269" s="0" t="n">
        <v>64</v>
      </c>
      <c r="AS269" s="0" t="n">
        <v>32</v>
      </c>
      <c r="AU269" s="0" t="n">
        <f aca="false">COUNTA($BA$2446:$EH$2446)</f>
        <v>16</v>
      </c>
      <c r="AV269" s="0" t="n">
        <f aca="false">COUNTIF($BA$2446:$EH$2446,"D")</f>
        <v>1</v>
      </c>
      <c r="AW269" s="0" t="n">
        <f aca="false">COUNTIF($BA$2446:$EH$2446,"R")</f>
        <v>0</v>
      </c>
      <c r="AX269" s="0" t="n">
        <f aca="false">IF(BN269="D",1,0)+IF(BO269="D",1,0)+IF(BT269="D",1,0)+IF(BU269="D",1,0)+IF(BW269="D",1,0)+IF(CC269="D",1,0)+IF(CD269="D",1,0)+IF(CE269="D",1,0)+IF(CF269="D",1,0)+IF(CL269="D",1,0)+IF(CM269="D",1,0)+IF(CQ269="D",1,0)+IF(CR269="D",1,0)+IF(CS269="D",1,0)+IF(CW269="D",1,0)+IF(CX269="D",1,0)+IF(DD269="D",1,0)+IF(DE269="D",1,0)+IF(DJ269="D",1,0)+IF(DK269="D",1,0)+IF(DO269="D",1,0)+IF(DP269="D",1,0)+IF(DQ269="D",1,0)+IF(DW269="D",1,0)+IF(DZ269="D",1,0)+IF(EH269="D",1,0)</f>
        <v>0</v>
      </c>
      <c r="AY269" s="0" t="n">
        <f aca="false">COUNTIF(DU269:EH269, "&lt;&gt;")</f>
        <v>2</v>
      </c>
      <c r="AZ269" s="0" t="n">
        <f aca="false">IF(EH269&lt;&gt;"",1,0)</f>
        <v>0</v>
      </c>
      <c r="BB269" s="0" t="s">
        <v>152</v>
      </c>
      <c r="CA269" s="0" t="s">
        <v>153</v>
      </c>
      <c r="CK269" s="0" t="s">
        <v>153</v>
      </c>
      <c r="CP269" s="0" t="s">
        <v>153</v>
      </c>
      <c r="CV269" s="0" t="s">
        <v>153</v>
      </c>
      <c r="DC269" s="0" t="s">
        <v>153</v>
      </c>
      <c r="DN269" s="0" t="s">
        <v>153</v>
      </c>
      <c r="DU269" s="0" t="s">
        <v>153</v>
      </c>
      <c r="EF269" s="0" t="s">
        <v>153</v>
      </c>
    </row>
    <row r="270" customFormat="false" ht="13.8" hidden="false" customHeight="false" outlineLevel="0" collapsed="false">
      <c r="A270" s="0" t="s">
        <v>1565</v>
      </c>
      <c r="B270" s="0" t="n">
        <v>78</v>
      </c>
      <c r="C270" s="0" t="n">
        <v>387561</v>
      </c>
      <c r="D270" s="0" t="s">
        <v>1561</v>
      </c>
      <c r="E270" s="0" t="s">
        <v>1566</v>
      </c>
      <c r="F270" s="0" t="str">
        <f aca="false">CONCATENATE(D270," ",LEFT(H270,4),"T=",AU270,"D=",AV270,"R=",AW270,"M=",AX270,"L=",AY270,"B=",AZ270)</f>
        <v>KIMBLE T=41D=10R=0M=0L=2B=0</v>
      </c>
      <c r="G270" s="0" t="s">
        <v>190</v>
      </c>
      <c r="I270" s="0" t="s">
        <v>1567</v>
      </c>
      <c r="J270" s="0" t="s">
        <v>903</v>
      </c>
      <c r="K270" s="0" t="s">
        <v>160</v>
      </c>
      <c r="M270" s="0" t="s">
        <v>1564</v>
      </c>
      <c r="N270" s="0" t="str">
        <f aca="false">RIGHT(M270,LEN(M270)-FIND(" ",M270))</f>
        <v>BURTON ST SE</v>
      </c>
      <c r="P270" s="0" t="s">
        <v>145</v>
      </c>
      <c r="Q270" s="0" t="s">
        <v>146</v>
      </c>
      <c r="R270" s="0" t="n">
        <v>44484</v>
      </c>
      <c r="AD270" s="0" t="s">
        <v>147</v>
      </c>
      <c r="AE270" s="0" t="s">
        <v>148</v>
      </c>
      <c r="AF270" s="0" t="s">
        <v>149</v>
      </c>
      <c r="AH270" s="0" t="n">
        <v>14</v>
      </c>
      <c r="AI270" s="0" t="n">
        <v>11</v>
      </c>
      <c r="AN270" s="0" t="s">
        <v>145</v>
      </c>
      <c r="AO270" s="0" t="s">
        <v>233</v>
      </c>
      <c r="AP270" s="0" t="s">
        <v>234</v>
      </c>
      <c r="AQ270" s="0" t="n">
        <v>9</v>
      </c>
      <c r="AR270" s="0" t="n">
        <v>64</v>
      </c>
      <c r="AS270" s="0" t="n">
        <v>32</v>
      </c>
      <c r="AU270" s="0" t="n">
        <f aca="false">COUNTA($BA$2468:$EH$2468)</f>
        <v>41</v>
      </c>
      <c r="AV270" s="0" t="n">
        <f aca="false">COUNTIF($BA$2468:$EH$2468,"D")</f>
        <v>10</v>
      </c>
      <c r="AW270" s="0" t="n">
        <f aca="false">COUNTIF($BA$2468:$EH$2468,"R")</f>
        <v>0</v>
      </c>
      <c r="AX270" s="0" t="n">
        <f aca="false">IF(BN270="D",1,0)+IF(BO270="D",1,0)+IF(BT270="D",1,0)+IF(BU270="D",1,0)+IF(BW270="D",1,0)+IF(CC270="D",1,0)+IF(CD270="D",1,0)+IF(CE270="D",1,0)+IF(CF270="D",1,0)+IF(CL270="D",1,0)+IF(CM270="D",1,0)+IF(CQ270="D",1,0)+IF(CR270="D",1,0)+IF(CS270="D",1,0)+IF(CW270="D",1,0)+IF(CX270="D",1,0)+IF(DD270="D",1,0)+IF(DE270="D",1,0)+IF(DJ270="D",1,0)+IF(DK270="D",1,0)+IF(DO270="D",1,0)+IF(DP270="D",1,0)+IF(DQ270="D",1,0)+IF(DW270="D",1,0)+IF(DZ270="D",1,0)+IF(EH270="D",1,0)</f>
        <v>0</v>
      </c>
      <c r="AY270" s="0" t="n">
        <f aca="false">COUNTIF(DU270:EH270, "&lt;&gt;")</f>
        <v>2</v>
      </c>
      <c r="AZ270" s="0" t="n">
        <f aca="false">IF(EH270&lt;&gt;"",1,0)</f>
        <v>0</v>
      </c>
      <c r="BB270" s="0" t="s">
        <v>152</v>
      </c>
      <c r="CP270" s="0" t="s">
        <v>153</v>
      </c>
      <c r="CV270" s="0" t="s">
        <v>153</v>
      </c>
      <c r="DC270" s="0" t="s">
        <v>153</v>
      </c>
      <c r="DN270" s="0" t="s">
        <v>153</v>
      </c>
      <c r="DU270" s="0" t="s">
        <v>153</v>
      </c>
      <c r="EF270" s="0" t="s">
        <v>153</v>
      </c>
    </row>
    <row r="271" customFormat="false" ht="13.8" hidden="true" customHeight="false" outlineLevel="0" collapsed="false">
      <c r="A271" s="0" t="s">
        <v>1568</v>
      </c>
      <c r="B271" s="0" t="n">
        <v>78</v>
      </c>
      <c r="C271" s="0" t="n">
        <v>484360</v>
      </c>
      <c r="D271" s="0" t="s">
        <v>1569</v>
      </c>
      <c r="E271" s="0" t="s">
        <v>1570</v>
      </c>
      <c r="F271" s="0" t="str">
        <f aca="false">CONCATENATE(D271," ",LEFT(H271,4),"T=",AU271,"D=",AV271,"R=",AW271,"M=",AX271,"L=",AY271,"B=",AZ271)</f>
        <v>BELLORE T=1D=0R=0M=0L=0B=0</v>
      </c>
      <c r="G271" s="0" t="s">
        <v>1571</v>
      </c>
      <c r="I271" s="0" t="s">
        <v>1572</v>
      </c>
      <c r="J271" s="0" t="s">
        <v>1573</v>
      </c>
      <c r="K271" s="0" t="s">
        <v>160</v>
      </c>
      <c r="M271" s="0" t="s">
        <v>1574</v>
      </c>
      <c r="N271" s="0" t="str">
        <f aca="false">RIGHT(M271,LEN(M271)-FIND(" ",M271))</f>
        <v>BURTON ST SE</v>
      </c>
      <c r="P271" s="0" t="s">
        <v>145</v>
      </c>
      <c r="Q271" s="0" t="s">
        <v>146</v>
      </c>
      <c r="R271" s="0" t="n">
        <v>44484</v>
      </c>
      <c r="S271" s="0" t="n">
        <v>5133</v>
      </c>
      <c r="AD271" s="0" t="s">
        <v>147</v>
      </c>
      <c r="AE271" s="0" t="s">
        <v>148</v>
      </c>
      <c r="AF271" s="0" t="s">
        <v>149</v>
      </c>
      <c r="AH271" s="0" t="n">
        <v>14</v>
      </c>
      <c r="AI271" s="0" t="n">
        <v>11</v>
      </c>
      <c r="AN271" s="0" t="s">
        <v>145</v>
      </c>
      <c r="AO271" s="0" t="s">
        <v>233</v>
      </c>
      <c r="AP271" s="0" t="s">
        <v>234</v>
      </c>
      <c r="AQ271" s="0" t="n">
        <v>9</v>
      </c>
      <c r="AR271" s="0" t="n">
        <v>64</v>
      </c>
      <c r="AS271" s="0" t="n">
        <v>32</v>
      </c>
      <c r="AU271" s="0" t="n">
        <f aca="false">COUNTA($BA$2081:$EH$2081)</f>
        <v>1</v>
      </c>
      <c r="AV271" s="0" t="n">
        <f aca="false">COUNTIF($BA$2081:$EH$2081,"D")</f>
        <v>0</v>
      </c>
      <c r="AW271" s="0" t="n">
        <f aca="false">COUNTIF($BA$2081:$EH$2081,"R")</f>
        <v>0</v>
      </c>
      <c r="AX271" s="0" t="n">
        <f aca="false">IF(BN271="D",1,0)+IF(BO271="D",1,0)+IF(BT271="D",1,0)+IF(BU271="D",1,0)+IF(BW271="D",1,0)+IF(CC271="D",1,0)+IF(CD271="D",1,0)+IF(CE271="D",1,0)+IF(CF271="D",1,0)+IF(CL271="D",1,0)+IF(CM271="D",1,0)+IF(CQ271="D",1,0)+IF(CR271="D",1,0)+IF(CS271="D",1,0)+IF(CW271="D",1,0)+IF(CX271="D",1,0)+IF(DD271="D",1,0)+IF(DE271="D",1,0)+IF(DJ271="D",1,0)+IF(DK271="D",1,0)+IF(DO271="D",1,0)+IF(DP271="D",1,0)+IF(DQ271="D",1,0)+IF(DW271="D",1,0)+IF(DZ271="D",1,0)+IF(EH271="D",1,0)</f>
        <v>0</v>
      </c>
      <c r="AY271" s="0" t="n">
        <f aca="false">COUNTIF(DU271:EH271, "&lt;&gt;")</f>
        <v>0</v>
      </c>
      <c r="AZ271" s="0" t="n">
        <f aca="false">IF(EH271&lt;&gt;"",1,0)</f>
        <v>0</v>
      </c>
      <c r="BB271" s="0" t="s">
        <v>152</v>
      </c>
    </row>
    <row r="272" customFormat="false" ht="13.8" hidden="true" customHeight="false" outlineLevel="0" collapsed="false">
      <c r="A272" s="0" t="s">
        <v>1575</v>
      </c>
      <c r="B272" s="0" t="n">
        <v>78</v>
      </c>
      <c r="C272" s="0" t="n">
        <v>443113</v>
      </c>
      <c r="D272" s="0" t="s">
        <v>1058</v>
      </c>
      <c r="E272" s="0" t="s">
        <v>756</v>
      </c>
      <c r="F272" s="0" t="str">
        <f aca="false">CONCATENATE(D272," ",LEFT(H272,4),"T=",AU272,"D=",AV272,"R=",AW272,"M=",AX272,"L=",AY272,"B=",AZ272)</f>
        <v>OWENS T=10D=2R=0M=0L=0B=0</v>
      </c>
      <c r="G272" s="0" t="s">
        <v>190</v>
      </c>
      <c r="I272" s="0" t="s">
        <v>1576</v>
      </c>
      <c r="J272" s="0" t="s">
        <v>1577</v>
      </c>
      <c r="K272" s="0" t="s">
        <v>143</v>
      </c>
      <c r="M272" s="0" t="s">
        <v>1574</v>
      </c>
      <c r="N272" s="0" t="str">
        <f aca="false">RIGHT(M272,LEN(M272)-FIND(" ",M272))</f>
        <v>BURTON ST SE</v>
      </c>
      <c r="P272" s="0" t="s">
        <v>145</v>
      </c>
      <c r="Q272" s="0" t="s">
        <v>146</v>
      </c>
      <c r="R272" s="0" t="n">
        <v>44484</v>
      </c>
      <c r="AD272" s="0" t="s">
        <v>147</v>
      </c>
      <c r="AE272" s="0" t="s">
        <v>148</v>
      </c>
      <c r="AF272" s="0" t="s">
        <v>149</v>
      </c>
      <c r="AH272" s="0" t="n">
        <v>14</v>
      </c>
      <c r="AI272" s="0" t="n">
        <v>11</v>
      </c>
      <c r="AN272" s="0" t="s">
        <v>145</v>
      </c>
      <c r="AO272" s="0" t="s">
        <v>233</v>
      </c>
      <c r="AP272" s="0" t="s">
        <v>234</v>
      </c>
      <c r="AQ272" s="0" t="n">
        <v>9</v>
      </c>
      <c r="AR272" s="0" t="n">
        <v>64</v>
      </c>
      <c r="AS272" s="0" t="n">
        <v>32</v>
      </c>
      <c r="AU272" s="0" t="n">
        <f aca="false">COUNTA($BA$2214:$EH$2214)</f>
        <v>10</v>
      </c>
      <c r="AV272" s="0" t="n">
        <f aca="false">COUNTIF($BA$2214:$EH$2214,"D")</f>
        <v>2</v>
      </c>
      <c r="AW272" s="0" t="n">
        <f aca="false">COUNTIF($BA$2214:$EH$2214,"R")</f>
        <v>0</v>
      </c>
      <c r="AX272" s="0" t="n">
        <f aca="false">IF(BN272="D",1,0)+IF(BO272="D",1,0)+IF(BT272="D",1,0)+IF(BU272="D",1,0)+IF(BW272="D",1,0)+IF(CC272="D",1,0)+IF(CD272="D",1,0)+IF(CE272="D",1,0)+IF(CF272="D",1,0)+IF(CL272="D",1,0)+IF(CM272="D",1,0)+IF(CQ272="D",1,0)+IF(CR272="D",1,0)+IF(CS272="D",1,0)+IF(CW272="D",1,0)+IF(CX272="D",1,0)+IF(DD272="D",1,0)+IF(DE272="D",1,0)+IF(DJ272="D",1,0)+IF(DK272="D",1,0)+IF(DO272="D",1,0)+IF(DP272="D",1,0)+IF(DQ272="D",1,0)+IF(DW272="D",1,0)+IF(DZ272="D",1,0)+IF(EH272="D",1,0)</f>
        <v>0</v>
      </c>
      <c r="AY272" s="0" t="n">
        <f aca="false">COUNTIF(DU272:EH272, "&lt;&gt;")</f>
        <v>0</v>
      </c>
      <c r="AZ272" s="0" t="n">
        <f aca="false">IF(EH272&lt;&gt;"",1,0)</f>
        <v>0</v>
      </c>
      <c r="BB272" s="0" t="s">
        <v>152</v>
      </c>
      <c r="CA272" s="0" t="s">
        <v>153</v>
      </c>
    </row>
    <row r="273" customFormat="false" ht="13.8" hidden="false" customHeight="false" outlineLevel="0" collapsed="false">
      <c r="A273" s="0" t="s">
        <v>1578</v>
      </c>
      <c r="B273" s="0" t="n">
        <v>78</v>
      </c>
      <c r="C273" s="0" t="n">
        <v>446370</v>
      </c>
      <c r="D273" s="0" t="s">
        <v>1579</v>
      </c>
      <c r="E273" s="0" t="s">
        <v>1580</v>
      </c>
      <c r="F273" s="0" t="str">
        <f aca="false">CONCATENATE(D273," ",LEFT(H273,4),"T=",AU273,"D=",AV273,"R=",AW273,"M=",AX273,"L=",AY273,"B=",AZ273)</f>
        <v>BURCHETT NORQUIST T=1D=0R=0M=0L=2B=0</v>
      </c>
      <c r="G273" s="0" t="s">
        <v>1581</v>
      </c>
      <c r="I273" s="0" t="s">
        <v>1582</v>
      </c>
      <c r="J273" s="0" t="s">
        <v>1583</v>
      </c>
      <c r="K273" s="0" t="s">
        <v>160</v>
      </c>
      <c r="M273" s="0" t="s">
        <v>1574</v>
      </c>
      <c r="N273" s="0" t="str">
        <f aca="false">RIGHT(M273,LEN(M273)-FIND(" ",M273))</f>
        <v>BURTON ST SE</v>
      </c>
      <c r="P273" s="0" t="s">
        <v>145</v>
      </c>
      <c r="Q273" s="0" t="s">
        <v>146</v>
      </c>
      <c r="R273" s="0" t="n">
        <v>44484</v>
      </c>
      <c r="AD273" s="0" t="s">
        <v>147</v>
      </c>
      <c r="AE273" s="0" t="s">
        <v>148</v>
      </c>
      <c r="AF273" s="0" t="s">
        <v>149</v>
      </c>
      <c r="AH273" s="0" t="n">
        <v>14</v>
      </c>
      <c r="AI273" s="0" t="n">
        <v>11</v>
      </c>
      <c r="AN273" s="0" t="s">
        <v>145</v>
      </c>
      <c r="AO273" s="0" t="s">
        <v>233</v>
      </c>
      <c r="AP273" s="0" t="s">
        <v>234</v>
      </c>
      <c r="AQ273" s="0" t="n">
        <v>9</v>
      </c>
      <c r="AR273" s="0" t="n">
        <v>64</v>
      </c>
      <c r="AS273" s="0" t="n">
        <v>32</v>
      </c>
      <c r="AU273" s="0" t="n">
        <f aca="false">COUNTA($BA$2283:$EH$2283)</f>
        <v>1</v>
      </c>
      <c r="AV273" s="0" t="n">
        <f aca="false">COUNTIF($BA$2283:$EH$2283,"D")</f>
        <v>0</v>
      </c>
      <c r="AW273" s="0" t="n">
        <f aca="false">COUNTIF($BA$2283:$EH$2283,"R")</f>
        <v>0</v>
      </c>
      <c r="AX273" s="0" t="n">
        <f aca="false">IF(BN273="D",1,0)+IF(BO273="D",1,0)+IF(BT273="D",1,0)+IF(BU273="D",1,0)+IF(BW273="D",1,0)+IF(CC273="D",1,0)+IF(CD273="D",1,0)+IF(CE273="D",1,0)+IF(CF273="D",1,0)+IF(CL273="D",1,0)+IF(CM273="D",1,0)+IF(CQ273="D",1,0)+IF(CR273="D",1,0)+IF(CS273="D",1,0)+IF(CW273="D",1,0)+IF(CX273="D",1,0)+IF(DD273="D",1,0)+IF(DE273="D",1,0)+IF(DJ273="D",1,0)+IF(DK273="D",1,0)+IF(DO273="D",1,0)+IF(DP273="D",1,0)+IF(DQ273="D",1,0)+IF(DW273="D",1,0)+IF(DZ273="D",1,0)+IF(EH273="D",1,0)</f>
        <v>0</v>
      </c>
      <c r="AY273" s="0" t="n">
        <f aca="false">COUNTIF(DU273:EH273, "&lt;&gt;")</f>
        <v>2</v>
      </c>
      <c r="AZ273" s="0" t="n">
        <f aca="false">IF(EH273&lt;&gt;"",1,0)</f>
        <v>0</v>
      </c>
      <c r="BB273" s="0" t="s">
        <v>152</v>
      </c>
      <c r="DN273" s="0" t="s">
        <v>153</v>
      </c>
      <c r="DU273" s="0" t="s">
        <v>153</v>
      </c>
      <c r="EF273" s="0" t="s">
        <v>153</v>
      </c>
    </row>
    <row r="274" customFormat="false" ht="13.8" hidden="true" customHeight="false" outlineLevel="0" collapsed="false">
      <c r="A274" s="0" t="s">
        <v>1584</v>
      </c>
      <c r="B274" s="0" t="n">
        <v>78</v>
      </c>
      <c r="C274" s="0" t="n">
        <v>442851</v>
      </c>
      <c r="D274" s="0" t="s">
        <v>1585</v>
      </c>
      <c r="E274" s="0" t="s">
        <v>1586</v>
      </c>
      <c r="F274" s="0" t="str">
        <f aca="false">CONCATENATE(D274," ",LEFT(H274,4),"T=",AU274,"D=",AV274,"R=",AW274,"M=",AX274,"L=",AY274,"B=",AZ274)</f>
        <v>HEDRINGTON T=36D=7R=0M=0L=0B=0</v>
      </c>
      <c r="G274" s="0" t="s">
        <v>1587</v>
      </c>
      <c r="I274" s="0" t="s">
        <v>1588</v>
      </c>
      <c r="J274" s="0" t="s">
        <v>1589</v>
      </c>
      <c r="K274" s="0" t="s">
        <v>160</v>
      </c>
      <c r="M274" s="0" t="s">
        <v>1574</v>
      </c>
      <c r="N274" s="0" t="str">
        <f aca="false">RIGHT(M274,LEN(M274)-FIND(" ",M274))</f>
        <v>BURTON ST SE</v>
      </c>
      <c r="P274" s="0" t="s">
        <v>145</v>
      </c>
      <c r="Q274" s="0" t="s">
        <v>146</v>
      </c>
      <c r="R274" s="0" t="n">
        <v>44484</v>
      </c>
      <c r="AD274" s="0" t="s">
        <v>147</v>
      </c>
      <c r="AE274" s="0" t="s">
        <v>148</v>
      </c>
      <c r="AF274" s="0" t="s">
        <v>149</v>
      </c>
      <c r="AH274" s="0" t="n">
        <v>14</v>
      </c>
      <c r="AI274" s="0" t="n">
        <v>11</v>
      </c>
      <c r="AN274" s="0" t="s">
        <v>145</v>
      </c>
      <c r="AO274" s="0" t="s">
        <v>233</v>
      </c>
      <c r="AP274" s="0" t="s">
        <v>234</v>
      </c>
      <c r="AQ274" s="0" t="n">
        <v>9</v>
      </c>
      <c r="AR274" s="0" t="n">
        <v>64</v>
      </c>
      <c r="AS274" s="0" t="n">
        <v>32</v>
      </c>
      <c r="AU274" s="0" t="n">
        <f aca="false">COUNTA($BA$2662:$EH$2662)</f>
        <v>36</v>
      </c>
      <c r="AV274" s="0" t="n">
        <f aca="false">COUNTIF($BA$2662:$EH$2662,"D")</f>
        <v>7</v>
      </c>
      <c r="AW274" s="0" t="n">
        <f aca="false">COUNTIF($BA$2662:$EH$2662,"R")</f>
        <v>0</v>
      </c>
      <c r="AX274" s="0" t="n">
        <f aca="false">IF(BN274="D",1,0)+IF(BO274="D",1,0)+IF(BT274="D",1,0)+IF(BU274="D",1,0)+IF(BW274="D",1,0)+IF(CC274="D",1,0)+IF(CD274="D",1,0)+IF(CE274="D",1,0)+IF(CF274="D",1,0)+IF(CL274="D",1,0)+IF(CM274="D",1,0)+IF(CQ274="D",1,0)+IF(CR274="D",1,0)+IF(CS274="D",1,0)+IF(CW274="D",1,0)+IF(CX274="D",1,0)+IF(DD274="D",1,0)+IF(DE274="D",1,0)+IF(DJ274="D",1,0)+IF(DK274="D",1,0)+IF(DO274="D",1,0)+IF(DP274="D",1,0)+IF(DQ274="D",1,0)+IF(DW274="D",1,0)+IF(DZ274="D",1,0)+IF(EH274="D",1,0)</f>
        <v>0</v>
      </c>
      <c r="AY274" s="0" t="n">
        <f aca="false">COUNTIF(DU274:EH274, "&lt;&gt;")</f>
        <v>0</v>
      </c>
      <c r="AZ274" s="0" t="n">
        <f aca="false">IF(EH274&lt;&gt;"",1,0)</f>
        <v>0</v>
      </c>
      <c r="BB274" s="0" t="s">
        <v>152</v>
      </c>
      <c r="DN274" s="0" t="s">
        <v>153</v>
      </c>
    </row>
    <row r="275" customFormat="false" ht="13.8" hidden="true" customHeight="false" outlineLevel="0" collapsed="false">
      <c r="A275" s="0" t="s">
        <v>1590</v>
      </c>
      <c r="B275" s="0" t="n">
        <v>78</v>
      </c>
      <c r="C275" s="0" t="n">
        <v>329090</v>
      </c>
      <c r="D275" s="0" t="s">
        <v>1591</v>
      </c>
      <c r="E275" s="0" t="s">
        <v>1519</v>
      </c>
      <c r="F275" s="0" t="str">
        <f aca="false">CONCATENATE(D275," ",LEFT(H275,4),"T=",AU275,"D=",AV275,"R=",AW275,"M=",AX275,"L=",AY275,"B=",AZ275)</f>
        <v>DANIELS T=4D=0R=0M=1L=0B=0</v>
      </c>
      <c r="G275" s="0" t="s">
        <v>195</v>
      </c>
      <c r="I275" s="0" t="s">
        <v>1592</v>
      </c>
      <c r="J275" s="0" t="s">
        <v>1593</v>
      </c>
      <c r="K275" s="0" t="s">
        <v>160</v>
      </c>
      <c r="M275" s="0" t="s">
        <v>1594</v>
      </c>
      <c r="N275" s="0" t="str">
        <f aca="false">RIGHT(M275,LEN(M275)-FIND(" ",M275))</f>
        <v>BURTON ST SE</v>
      </c>
      <c r="P275" s="0" t="s">
        <v>145</v>
      </c>
      <c r="Q275" s="0" t="s">
        <v>146</v>
      </c>
      <c r="R275" s="0" t="n">
        <v>44484</v>
      </c>
      <c r="AD275" s="0" t="s">
        <v>147</v>
      </c>
      <c r="AE275" s="0" t="s">
        <v>148</v>
      </c>
      <c r="AF275" s="0" t="s">
        <v>149</v>
      </c>
      <c r="AH275" s="0" t="n">
        <v>14</v>
      </c>
      <c r="AI275" s="0" t="n">
        <v>11</v>
      </c>
      <c r="AN275" s="0" t="s">
        <v>145</v>
      </c>
      <c r="AO275" s="0" t="s">
        <v>233</v>
      </c>
      <c r="AP275" s="0" t="s">
        <v>234</v>
      </c>
      <c r="AQ275" s="0" t="n">
        <v>9</v>
      </c>
      <c r="AR275" s="0" t="n">
        <v>64</v>
      </c>
      <c r="AS275" s="0" t="n">
        <v>32</v>
      </c>
      <c r="AU275" s="0" t="n">
        <f aca="false">COUNTA($BA$2470:$EH$2470)</f>
        <v>4</v>
      </c>
      <c r="AV275" s="0" t="n">
        <f aca="false">COUNTIF($BA$2470:$EH$2470,"D")</f>
        <v>0</v>
      </c>
      <c r="AW275" s="0" t="n">
        <f aca="false">COUNTIF($BA$2470:$EH$2470,"R")</f>
        <v>0</v>
      </c>
      <c r="AX275" s="0" t="n">
        <f aca="false">IF(BN275="D",1,0)+IF(BO275="D",1,0)+IF(BT275="D",1,0)+IF(BU275="D",1,0)+IF(BW275="D",1,0)+IF(CC275="D",1,0)+IF(CD275="D",1,0)+IF(CE275="D",1,0)+IF(CF275="D",1,0)+IF(CL275="D",1,0)+IF(CM275="D",1,0)+IF(CQ275="D",1,0)+IF(CR275="D",1,0)+IF(CS275="D",1,0)+IF(CW275="D",1,0)+IF(CX275="D",1,0)+IF(DD275="D",1,0)+IF(DE275="D",1,0)+IF(DJ275="D",1,0)+IF(DK275="D",1,0)+IF(DO275="D",1,0)+IF(DP275="D",1,0)+IF(DQ275="D",1,0)+IF(DW275="D",1,0)+IF(DZ275="D",1,0)+IF(EH275="D",1,0)</f>
        <v>1</v>
      </c>
      <c r="AY275" s="0" t="n">
        <f aca="false">COUNTIF(DU275:EH275, "&lt;&gt;")</f>
        <v>0</v>
      </c>
      <c r="AZ275" s="0" t="n">
        <f aca="false">IF(EH275&lt;&gt;"",1,0)</f>
        <v>0</v>
      </c>
      <c r="BB275" s="0" t="s">
        <v>152</v>
      </c>
      <c r="CN275" s="0" t="s">
        <v>153</v>
      </c>
      <c r="CP275" s="0" t="s">
        <v>153</v>
      </c>
      <c r="CV275" s="0" t="s">
        <v>153</v>
      </c>
      <c r="CW275" s="0" t="s">
        <v>175</v>
      </c>
      <c r="CZ275" s="0" t="s">
        <v>175</v>
      </c>
      <c r="DC275" s="0" t="s">
        <v>153</v>
      </c>
    </row>
    <row r="276" customFormat="false" ht="13.8" hidden="true" customHeight="false" outlineLevel="0" collapsed="false">
      <c r="A276" s="0" t="s">
        <v>1595</v>
      </c>
      <c r="B276" s="0" t="n">
        <v>78</v>
      </c>
      <c r="C276" s="0" t="n">
        <v>367693</v>
      </c>
      <c r="D276" s="0" t="s">
        <v>1001</v>
      </c>
      <c r="E276" s="0" t="s">
        <v>292</v>
      </c>
      <c r="F276" s="0" t="str">
        <f aca="false">CONCATENATE(D276," ",LEFT(H276,4),"T=",AU276,"D=",AV276,"R=",AW276,"M=",AX276,"L=",AY276,"B=",AZ276)</f>
        <v>DAVIS T=2D=0R=0M=0L=0B=0</v>
      </c>
      <c r="G276" s="0" t="s">
        <v>1596</v>
      </c>
      <c r="I276" s="0" t="s">
        <v>1597</v>
      </c>
      <c r="J276" s="0" t="s">
        <v>283</v>
      </c>
      <c r="K276" s="0" t="s">
        <v>160</v>
      </c>
      <c r="M276" s="0" t="s">
        <v>1598</v>
      </c>
      <c r="N276" s="0" t="str">
        <f aca="false">RIGHT(M276,LEN(M276)-FIND(" ",M276))</f>
        <v>BURTON ST SE</v>
      </c>
      <c r="P276" s="0" t="s">
        <v>145</v>
      </c>
      <c r="Q276" s="0" t="s">
        <v>146</v>
      </c>
      <c r="R276" s="0" t="n">
        <v>44484</v>
      </c>
      <c r="AD276" s="0" t="s">
        <v>147</v>
      </c>
      <c r="AE276" s="0" t="s">
        <v>148</v>
      </c>
      <c r="AF276" s="0" t="s">
        <v>149</v>
      </c>
      <c r="AH276" s="0" t="n">
        <v>14</v>
      </c>
      <c r="AI276" s="0" t="n">
        <v>11</v>
      </c>
      <c r="AN276" s="0" t="s">
        <v>145</v>
      </c>
      <c r="AO276" s="0" t="s">
        <v>233</v>
      </c>
      <c r="AP276" s="0" t="s">
        <v>234</v>
      </c>
      <c r="AQ276" s="0" t="n">
        <v>9</v>
      </c>
      <c r="AR276" s="0" t="n">
        <v>64</v>
      </c>
      <c r="AS276" s="0" t="n">
        <v>32</v>
      </c>
      <c r="AU276" s="0" t="n">
        <f aca="false">COUNTA($BA$2236:$EH$2236)</f>
        <v>2</v>
      </c>
      <c r="AV276" s="0" t="n">
        <f aca="false">COUNTIF($BA$2236:$EH$2236,"D")</f>
        <v>0</v>
      </c>
      <c r="AW276" s="0" t="n">
        <f aca="false">COUNTIF($BA$2236:$EH$2236,"R")</f>
        <v>0</v>
      </c>
      <c r="AX276" s="0" t="n">
        <f aca="false">IF(BN276="D",1,0)+IF(BO276="D",1,0)+IF(BT276="D",1,0)+IF(BU276="D",1,0)+IF(BW276="D",1,0)+IF(CC276="D",1,0)+IF(CD276="D",1,0)+IF(CE276="D",1,0)+IF(CF276="D",1,0)+IF(CL276="D",1,0)+IF(CM276="D",1,0)+IF(CQ276="D",1,0)+IF(CR276="D",1,0)+IF(CS276="D",1,0)+IF(CW276="D",1,0)+IF(CX276="D",1,0)+IF(DD276="D",1,0)+IF(DE276="D",1,0)+IF(DJ276="D",1,0)+IF(DK276="D",1,0)+IF(DO276="D",1,0)+IF(DP276="D",1,0)+IF(DQ276="D",1,0)+IF(DW276="D",1,0)+IF(DZ276="D",1,0)+IF(EH276="D",1,0)</f>
        <v>0</v>
      </c>
      <c r="AY276" s="0" t="n">
        <f aca="false">COUNTIF(DU276:EH276, "&lt;&gt;")</f>
        <v>0</v>
      </c>
      <c r="AZ276" s="0" t="n">
        <f aca="false">IF(EH276&lt;&gt;"",1,0)</f>
        <v>0</v>
      </c>
      <c r="BB276" s="0" t="s">
        <v>152</v>
      </c>
    </row>
    <row r="277" customFormat="false" ht="13.8" hidden="true" customHeight="false" outlineLevel="0" collapsed="false">
      <c r="A277" s="0" t="s">
        <v>1599</v>
      </c>
      <c r="B277" s="0" t="n">
        <v>78</v>
      </c>
      <c r="C277" s="0" t="n">
        <v>487113</v>
      </c>
      <c r="D277" s="0" t="s">
        <v>1001</v>
      </c>
      <c r="E277" s="0" t="s">
        <v>1600</v>
      </c>
      <c r="F277" s="0" t="str">
        <f aca="false">CONCATENATE(D277," ",LEFT(H277,4),"T=",AU277,"D=",AV277,"R=",AW277,"M=",AX277,"L=",AY277,"B=",AZ277)</f>
        <v>DAVIS T=37D=6R=4M=0L=0B=0</v>
      </c>
      <c r="G277" s="0" t="s">
        <v>164</v>
      </c>
      <c r="I277" s="0" t="s">
        <v>1601</v>
      </c>
      <c r="J277" s="0" t="s">
        <v>639</v>
      </c>
      <c r="K277" s="0" t="s">
        <v>160</v>
      </c>
      <c r="M277" s="0" t="s">
        <v>1598</v>
      </c>
      <c r="N277" s="0" t="str">
        <f aca="false">RIGHT(M277,LEN(M277)-FIND(" ",M277))</f>
        <v>BURTON ST SE</v>
      </c>
      <c r="P277" s="0" t="s">
        <v>145</v>
      </c>
      <c r="Q277" s="0" t="s">
        <v>146</v>
      </c>
      <c r="R277" s="0" t="n">
        <v>44484</v>
      </c>
      <c r="AD277" s="0" t="s">
        <v>147</v>
      </c>
      <c r="AE277" s="0" t="s">
        <v>148</v>
      </c>
      <c r="AF277" s="0" t="s">
        <v>149</v>
      </c>
      <c r="AH277" s="0" t="n">
        <v>14</v>
      </c>
      <c r="AI277" s="0" t="n">
        <v>11</v>
      </c>
      <c r="AN277" s="0" t="s">
        <v>145</v>
      </c>
      <c r="AO277" s="0" t="s">
        <v>233</v>
      </c>
      <c r="AP277" s="0" t="s">
        <v>234</v>
      </c>
      <c r="AQ277" s="0" t="n">
        <v>9</v>
      </c>
      <c r="AR277" s="0" t="n">
        <v>64</v>
      </c>
      <c r="AS277" s="0" t="n">
        <v>32</v>
      </c>
      <c r="AU277" s="0" t="n">
        <f aca="false">COUNTA($BA$2485:$EH$2485)</f>
        <v>37</v>
      </c>
      <c r="AV277" s="0" t="n">
        <f aca="false">COUNTIF($BA$2485:$EH$2485,"D")</f>
        <v>6</v>
      </c>
      <c r="AW277" s="0" t="n">
        <f aca="false">COUNTIF($BA$2485:$EH$2485,"R")</f>
        <v>4</v>
      </c>
      <c r="AX277" s="0" t="n">
        <f aca="false">IF(BN277="D",1,0)+IF(BO277="D",1,0)+IF(BT277="D",1,0)+IF(BU277="D",1,0)+IF(BW277="D",1,0)+IF(CC277="D",1,0)+IF(CD277="D",1,0)+IF(CE277="D",1,0)+IF(CF277="D",1,0)+IF(CL277="D",1,0)+IF(CM277="D",1,0)+IF(CQ277="D",1,0)+IF(CR277="D",1,0)+IF(CS277="D",1,0)+IF(CW277="D",1,0)+IF(CX277="D",1,0)+IF(DD277="D",1,0)+IF(DE277="D",1,0)+IF(DJ277="D",1,0)+IF(DK277="D",1,0)+IF(DO277="D",1,0)+IF(DP277="D",1,0)+IF(DQ277="D",1,0)+IF(DW277="D",1,0)+IF(DZ277="D",1,0)+IF(EH277="D",1,0)</f>
        <v>0</v>
      </c>
      <c r="AY277" s="0" t="n">
        <f aca="false">COUNTIF(DU277:EH277, "&lt;&gt;")</f>
        <v>0</v>
      </c>
      <c r="AZ277" s="0" t="n">
        <f aca="false">IF(EH277&lt;&gt;"",1,0)</f>
        <v>0</v>
      </c>
      <c r="BB277" s="0" t="s">
        <v>152</v>
      </c>
      <c r="CA277" s="0" t="s">
        <v>153</v>
      </c>
    </row>
    <row r="278" customFormat="false" ht="13.8" hidden="false" customHeight="false" outlineLevel="0" collapsed="false">
      <c r="A278" s="0" t="s">
        <v>1602</v>
      </c>
      <c r="B278" s="0" t="n">
        <v>78</v>
      </c>
      <c r="C278" s="0" t="n">
        <v>317470</v>
      </c>
      <c r="D278" s="0" t="s">
        <v>1603</v>
      </c>
      <c r="E278" s="0" t="s">
        <v>854</v>
      </c>
      <c r="F278" s="0" t="str">
        <f aca="false">CONCATENATE(D278," ",LEFT(H278,4),"T=",AU278,"D=",AV278,"R=",AW278,"M=",AX278,"L=",AY278,"B=",AZ278)</f>
        <v>MURRY JRT=8D=0R=0M=1L=2B=0</v>
      </c>
      <c r="H278" s="0" t="s">
        <v>314</v>
      </c>
      <c r="I278" s="0" t="s">
        <v>1604</v>
      </c>
      <c r="J278" s="0" t="s">
        <v>1605</v>
      </c>
      <c r="K278" s="0" t="s">
        <v>160</v>
      </c>
      <c r="M278" s="0" t="s">
        <v>1606</v>
      </c>
      <c r="N278" s="0" t="str">
        <f aca="false">RIGHT(M278,LEN(M278)-FIND(" ",M278))</f>
        <v>BURTON ST SE</v>
      </c>
      <c r="P278" s="0" t="s">
        <v>145</v>
      </c>
      <c r="Q278" s="0" t="s">
        <v>146</v>
      </c>
      <c r="R278" s="0" t="n">
        <v>44484</v>
      </c>
      <c r="AD278" s="0" t="s">
        <v>147</v>
      </c>
      <c r="AE278" s="0" t="s">
        <v>148</v>
      </c>
      <c r="AF278" s="0" t="s">
        <v>149</v>
      </c>
      <c r="AH278" s="0" t="n">
        <v>14</v>
      </c>
      <c r="AI278" s="0" t="n">
        <v>11</v>
      </c>
      <c r="AN278" s="0" t="s">
        <v>145</v>
      </c>
      <c r="AO278" s="0" t="s">
        <v>233</v>
      </c>
      <c r="AP278" s="0" t="s">
        <v>234</v>
      </c>
      <c r="AQ278" s="0" t="n">
        <v>9</v>
      </c>
      <c r="AR278" s="0" t="n">
        <v>64</v>
      </c>
      <c r="AS278" s="0" t="n">
        <v>32</v>
      </c>
      <c r="AU278" s="0" t="n">
        <f aca="false">COUNTA($BA$2420:$EH$2420)</f>
        <v>8</v>
      </c>
      <c r="AV278" s="0" t="n">
        <f aca="false">COUNTIF($BA$2420:$EH$2420,"D")</f>
        <v>0</v>
      </c>
      <c r="AW278" s="0" t="n">
        <f aca="false">COUNTIF($BA$2420:$EH$2420,"R")</f>
        <v>0</v>
      </c>
      <c r="AX278" s="0" t="n">
        <f aca="false">IF(BN278="D",1,0)+IF(BO278="D",1,0)+IF(BT278="D",1,0)+IF(BU278="D",1,0)+IF(BW278="D",1,0)+IF(CC278="D",1,0)+IF(CD278="D",1,0)+IF(CE278="D",1,0)+IF(CF278="D",1,0)+IF(CL278="D",1,0)+IF(CM278="D",1,0)+IF(CQ278="D",1,0)+IF(CR278="D",1,0)+IF(CS278="D",1,0)+IF(CW278="D",1,0)+IF(CX278="D",1,0)+IF(DD278="D",1,0)+IF(DE278="D",1,0)+IF(DJ278="D",1,0)+IF(DK278="D",1,0)+IF(DO278="D",1,0)+IF(DP278="D",1,0)+IF(DQ278="D",1,0)+IF(DW278="D",1,0)+IF(DZ278="D",1,0)+IF(EH278="D",1,0)</f>
        <v>1</v>
      </c>
      <c r="AY278" s="0" t="n">
        <f aca="false">COUNTIF(DU278:EH278, "&lt;&gt;")</f>
        <v>2</v>
      </c>
      <c r="AZ278" s="0" t="n">
        <f aca="false">IF(EH278&lt;&gt;"",1,0)</f>
        <v>0</v>
      </c>
      <c r="BB278" s="0" t="s">
        <v>152</v>
      </c>
      <c r="BL278" s="0" t="s">
        <v>153</v>
      </c>
      <c r="BY278" s="0" t="s">
        <v>175</v>
      </c>
      <c r="CA278" s="0" t="s">
        <v>153</v>
      </c>
      <c r="CK278" s="0" t="s">
        <v>153</v>
      </c>
      <c r="CL278" s="0" t="s">
        <v>175</v>
      </c>
      <c r="CN278" s="0" t="s">
        <v>153</v>
      </c>
      <c r="CP278" s="0" t="s">
        <v>153</v>
      </c>
      <c r="CY278" s="0" t="s">
        <v>153</v>
      </c>
      <c r="CZ278" s="0" t="s">
        <v>175</v>
      </c>
      <c r="DC278" s="0" t="s">
        <v>153</v>
      </c>
      <c r="DI278" s="0" t="s">
        <v>153</v>
      </c>
      <c r="DN278" s="0" t="s">
        <v>153</v>
      </c>
      <c r="DU278" s="0" t="s">
        <v>153</v>
      </c>
      <c r="EF278" s="0" t="s">
        <v>153</v>
      </c>
    </row>
    <row r="279" customFormat="false" ht="13.8" hidden="false" customHeight="false" outlineLevel="0" collapsed="false">
      <c r="A279" s="0" t="s">
        <v>1607</v>
      </c>
      <c r="B279" s="0" t="n">
        <v>78</v>
      </c>
      <c r="C279" s="0" t="n">
        <v>229633</v>
      </c>
      <c r="D279" s="0" t="s">
        <v>1603</v>
      </c>
      <c r="E279" s="0" t="s">
        <v>1608</v>
      </c>
      <c r="F279" s="0" t="str">
        <f aca="false">CONCATENATE(D279," ",LEFT(H279,4),"T=",AU279,"D=",AV279,"R=",AW279,"M=",AX279,"L=",AY279,"B=",AZ279)</f>
        <v>MURRY T=1D=0R=0M=1L=2B=0</v>
      </c>
      <c r="I279" s="0" t="s">
        <v>1609</v>
      </c>
      <c r="J279" s="0" t="s">
        <v>1605</v>
      </c>
      <c r="K279" s="0" t="s">
        <v>160</v>
      </c>
      <c r="M279" s="0" t="s">
        <v>1606</v>
      </c>
      <c r="N279" s="0" t="str">
        <f aca="false">RIGHT(M279,LEN(M279)-FIND(" ",M279))</f>
        <v>BURTON ST SE</v>
      </c>
      <c r="P279" s="0" t="s">
        <v>145</v>
      </c>
      <c r="Q279" s="0" t="s">
        <v>146</v>
      </c>
      <c r="R279" s="0" t="n">
        <v>44484</v>
      </c>
      <c r="AD279" s="0" t="s">
        <v>147</v>
      </c>
      <c r="AE279" s="0" t="s">
        <v>148</v>
      </c>
      <c r="AF279" s="0" t="s">
        <v>149</v>
      </c>
      <c r="AH279" s="0" t="n">
        <v>14</v>
      </c>
      <c r="AI279" s="0" t="n">
        <v>11</v>
      </c>
      <c r="AN279" s="0" t="s">
        <v>145</v>
      </c>
      <c r="AO279" s="0" t="s">
        <v>233</v>
      </c>
      <c r="AP279" s="0" t="s">
        <v>234</v>
      </c>
      <c r="AQ279" s="0" t="n">
        <v>9</v>
      </c>
      <c r="AR279" s="0" t="n">
        <v>64</v>
      </c>
      <c r="AS279" s="0" t="n">
        <v>32</v>
      </c>
      <c r="AU279" s="0" t="n">
        <f aca="false">COUNTA($BA$2430:$EH$2430)</f>
        <v>1</v>
      </c>
      <c r="AV279" s="0" t="n">
        <f aca="false">COUNTIF($BA$2430:$EH$2430,"D")</f>
        <v>0</v>
      </c>
      <c r="AW279" s="0" t="n">
        <f aca="false">COUNTIF($BA$2430:$EH$2430,"R")</f>
        <v>0</v>
      </c>
      <c r="AX279" s="0" t="n">
        <f aca="false">IF(BN279="D",1,0)+IF(BO279="D",1,0)+IF(BT279="D",1,0)+IF(BU279="D",1,0)+IF(BW279="D",1,0)+IF(CC279="D",1,0)+IF(CD279="D",1,0)+IF(CE279="D",1,0)+IF(CF279="D",1,0)+IF(CL279="D",1,0)+IF(CM279="D",1,0)+IF(CQ279="D",1,0)+IF(CR279="D",1,0)+IF(CS279="D",1,0)+IF(CW279="D",1,0)+IF(CX279="D",1,0)+IF(DD279="D",1,0)+IF(DE279="D",1,0)+IF(DJ279="D",1,0)+IF(DK279="D",1,0)+IF(DO279="D",1,0)+IF(DP279="D",1,0)+IF(DQ279="D",1,0)+IF(DW279="D",1,0)+IF(DZ279="D",1,0)+IF(EH279="D",1,0)</f>
        <v>1</v>
      </c>
      <c r="AY279" s="0" t="n">
        <f aca="false">COUNTIF(DU279:EH279, "&lt;&gt;")</f>
        <v>2</v>
      </c>
      <c r="AZ279" s="0" t="n">
        <f aca="false">IF(EH279&lt;&gt;"",1,0)</f>
        <v>0</v>
      </c>
      <c r="BB279" s="0" t="s">
        <v>152</v>
      </c>
      <c r="BD279" s="0" t="s">
        <v>153</v>
      </c>
      <c r="BG279" s="0" t="s">
        <v>153</v>
      </c>
      <c r="BJ279" s="0" t="s">
        <v>153</v>
      </c>
      <c r="BL279" s="0" t="s">
        <v>153</v>
      </c>
      <c r="BS279" s="0" t="s">
        <v>153</v>
      </c>
      <c r="BV279" s="0" t="s">
        <v>153</v>
      </c>
      <c r="BY279" s="0" t="s">
        <v>175</v>
      </c>
      <c r="CA279" s="0" t="s">
        <v>153</v>
      </c>
      <c r="CK279" s="0" t="s">
        <v>153</v>
      </c>
      <c r="CL279" s="0" t="s">
        <v>175</v>
      </c>
      <c r="CN279" s="0" t="s">
        <v>153</v>
      </c>
      <c r="CP279" s="0" t="s">
        <v>153</v>
      </c>
      <c r="CY279" s="0" t="s">
        <v>153</v>
      </c>
      <c r="CZ279" s="0" t="s">
        <v>175</v>
      </c>
      <c r="DC279" s="0" t="s">
        <v>153</v>
      </c>
      <c r="DI279" s="0" t="s">
        <v>153</v>
      </c>
      <c r="DN279" s="0" t="s">
        <v>153</v>
      </c>
      <c r="DU279" s="0" t="s">
        <v>153</v>
      </c>
      <c r="EF279" s="0" t="s">
        <v>153</v>
      </c>
    </row>
    <row r="280" customFormat="false" ht="13.8" hidden="true" customHeight="false" outlineLevel="0" collapsed="false">
      <c r="A280" s="0" t="s">
        <v>1610</v>
      </c>
      <c r="B280" s="0" t="n">
        <v>78</v>
      </c>
      <c r="C280" s="0" t="n">
        <v>349091</v>
      </c>
      <c r="D280" s="0" t="s">
        <v>1611</v>
      </c>
      <c r="E280" s="0" t="s">
        <v>237</v>
      </c>
      <c r="F280" s="0" t="str">
        <f aca="false">CONCATENATE(D280," ",LEFT(H280,4),"T=",AU280,"D=",AV280,"R=",AW280,"M=",AX280,"L=",AY280,"B=",AZ280)</f>
        <v>JORDEN T=5D=0R=0M=0L=0B=0</v>
      </c>
      <c r="G280" s="0" t="s">
        <v>164</v>
      </c>
      <c r="I280" s="0" t="s">
        <v>1612</v>
      </c>
      <c r="J280" s="0" t="s">
        <v>1613</v>
      </c>
      <c r="K280" s="0" t="s">
        <v>143</v>
      </c>
      <c r="M280" s="0" t="s">
        <v>1614</v>
      </c>
      <c r="N280" s="0" t="str">
        <f aca="false">RIGHT(M280,LEN(M280)-FIND(" ",M280))</f>
        <v>BURTON ST SE</v>
      </c>
      <c r="P280" s="0" t="s">
        <v>145</v>
      </c>
      <c r="Q280" s="0" t="s">
        <v>146</v>
      </c>
      <c r="R280" s="0" t="n">
        <v>44484</v>
      </c>
      <c r="AD280" s="0" t="s">
        <v>147</v>
      </c>
      <c r="AE280" s="0" t="s">
        <v>148</v>
      </c>
      <c r="AF280" s="0" t="s">
        <v>149</v>
      </c>
      <c r="AH280" s="0" t="n">
        <v>14</v>
      </c>
      <c r="AI280" s="0" t="n">
        <v>11</v>
      </c>
      <c r="AN280" s="0" t="s">
        <v>145</v>
      </c>
      <c r="AO280" s="0" t="s">
        <v>233</v>
      </c>
      <c r="AP280" s="0" t="s">
        <v>234</v>
      </c>
      <c r="AQ280" s="0" t="n">
        <v>9</v>
      </c>
      <c r="AR280" s="0" t="n">
        <v>64</v>
      </c>
      <c r="AS280" s="0" t="n">
        <v>32</v>
      </c>
      <c r="AU280" s="0" t="n">
        <f aca="false">COUNTA($BA$2128:$EH$2128)</f>
        <v>5</v>
      </c>
      <c r="AV280" s="0" t="n">
        <f aca="false">COUNTIF($BA$2128:$EH$2128,"D")</f>
        <v>0</v>
      </c>
      <c r="AW280" s="0" t="n">
        <f aca="false">COUNTIF($BA$2128:$EH$2128,"R")</f>
        <v>0</v>
      </c>
      <c r="AX280" s="0" t="n">
        <f aca="false">IF(BN280="D",1,0)+IF(BO280="D",1,0)+IF(BT280="D",1,0)+IF(BU280="D",1,0)+IF(BW280="D",1,0)+IF(CC280="D",1,0)+IF(CD280="D",1,0)+IF(CE280="D",1,0)+IF(CF280="D",1,0)+IF(CL280="D",1,0)+IF(CM280="D",1,0)+IF(CQ280="D",1,0)+IF(CR280="D",1,0)+IF(CS280="D",1,0)+IF(CW280="D",1,0)+IF(CX280="D",1,0)+IF(DD280="D",1,0)+IF(DE280="D",1,0)+IF(DJ280="D",1,0)+IF(DK280="D",1,0)+IF(DO280="D",1,0)+IF(DP280="D",1,0)+IF(DQ280="D",1,0)+IF(DW280="D",1,0)+IF(DZ280="D",1,0)+IF(EH280="D",1,0)</f>
        <v>0</v>
      </c>
      <c r="AY280" s="0" t="n">
        <f aca="false">COUNTIF(DU280:EH280, "&lt;&gt;")</f>
        <v>0</v>
      </c>
      <c r="AZ280" s="0" t="n">
        <f aca="false">IF(EH280&lt;&gt;"",1,0)</f>
        <v>0</v>
      </c>
      <c r="BB280" s="0" t="s">
        <v>152</v>
      </c>
    </row>
    <row r="281" customFormat="false" ht="13.8" hidden="false" customHeight="false" outlineLevel="0" collapsed="false">
      <c r="A281" s="0" t="s">
        <v>1615</v>
      </c>
      <c r="B281" s="0" t="n">
        <v>78</v>
      </c>
      <c r="C281" s="0" t="n">
        <v>362447</v>
      </c>
      <c r="D281" s="0" t="s">
        <v>761</v>
      </c>
      <c r="E281" s="0" t="s">
        <v>1616</v>
      </c>
      <c r="F281" s="0" t="str">
        <f aca="false">CONCATENATE(D281," ",LEFT(H281,4),"T=",AU281,"D=",AV281,"R=",AW281,"M=",AX281,"L=",AY281,"B=",AZ281)</f>
        <v>BROWN T=12D=3R=0M=0L=2B=0</v>
      </c>
      <c r="G281" s="0" t="s">
        <v>1617</v>
      </c>
      <c r="I281" s="0" t="s">
        <v>1618</v>
      </c>
      <c r="J281" s="0" t="s">
        <v>1619</v>
      </c>
      <c r="K281" s="0" t="s">
        <v>160</v>
      </c>
      <c r="M281" s="0" t="s">
        <v>1614</v>
      </c>
      <c r="N281" s="0" t="str">
        <f aca="false">RIGHT(M281,LEN(M281)-FIND(" ",M281))</f>
        <v>BURTON ST SE</v>
      </c>
      <c r="P281" s="0" t="s">
        <v>145</v>
      </c>
      <c r="Q281" s="0" t="s">
        <v>146</v>
      </c>
      <c r="R281" s="0" t="n">
        <v>44484</v>
      </c>
      <c r="AD281" s="0" t="s">
        <v>147</v>
      </c>
      <c r="AE281" s="0" t="s">
        <v>148</v>
      </c>
      <c r="AF281" s="0" t="s">
        <v>149</v>
      </c>
      <c r="AH281" s="0" t="n">
        <v>14</v>
      </c>
      <c r="AI281" s="0" t="n">
        <v>11</v>
      </c>
      <c r="AN281" s="0" t="s">
        <v>145</v>
      </c>
      <c r="AO281" s="0" t="s">
        <v>233</v>
      </c>
      <c r="AP281" s="0" t="s">
        <v>234</v>
      </c>
      <c r="AQ281" s="0" t="n">
        <v>9</v>
      </c>
      <c r="AR281" s="0" t="n">
        <v>64</v>
      </c>
      <c r="AS281" s="0" t="n">
        <v>32</v>
      </c>
      <c r="AU281" s="0" t="n">
        <f aca="false">COUNTA($BA$2505:$EH$2505)</f>
        <v>12</v>
      </c>
      <c r="AV281" s="0" t="n">
        <f aca="false">COUNTIF($BA$2505:$EH$2505,"D")</f>
        <v>3</v>
      </c>
      <c r="AW281" s="0" t="n">
        <f aca="false">COUNTIF($BA$2505:$EH$2505,"R")</f>
        <v>0</v>
      </c>
      <c r="AX281" s="0" t="n">
        <f aca="false">IF(BN281="D",1,0)+IF(BO281="D",1,0)+IF(BT281="D",1,0)+IF(BU281="D",1,0)+IF(BW281="D",1,0)+IF(CC281="D",1,0)+IF(CD281="D",1,0)+IF(CE281="D",1,0)+IF(CF281="D",1,0)+IF(CL281="D",1,0)+IF(CM281="D",1,0)+IF(CQ281="D",1,0)+IF(CR281="D",1,0)+IF(CS281="D",1,0)+IF(CW281="D",1,0)+IF(CX281="D",1,0)+IF(DD281="D",1,0)+IF(DE281="D",1,0)+IF(DJ281="D",1,0)+IF(DK281="D",1,0)+IF(DO281="D",1,0)+IF(DP281="D",1,0)+IF(DQ281="D",1,0)+IF(DW281="D",1,0)+IF(DZ281="D",1,0)+IF(EH281="D",1,0)</f>
        <v>0</v>
      </c>
      <c r="AY281" s="0" t="n">
        <f aca="false">COUNTIF(DU281:EH281, "&lt;&gt;")</f>
        <v>2</v>
      </c>
      <c r="AZ281" s="0" t="n">
        <f aca="false">IF(EH281&lt;&gt;"",1,0)</f>
        <v>0</v>
      </c>
      <c r="BB281" s="0" t="s">
        <v>152</v>
      </c>
      <c r="CP281" s="0" t="s">
        <v>153</v>
      </c>
      <c r="DC281" s="0" t="s">
        <v>153</v>
      </c>
      <c r="DN281" s="0" t="s">
        <v>153</v>
      </c>
      <c r="DU281" s="0" t="s">
        <v>153</v>
      </c>
      <c r="EF281" s="0" t="s">
        <v>153</v>
      </c>
    </row>
    <row r="282" customFormat="false" ht="13.8" hidden="true" customHeight="false" outlineLevel="0" collapsed="false">
      <c r="A282" s="0" t="s">
        <v>1620</v>
      </c>
      <c r="B282" s="0" t="n">
        <v>78</v>
      </c>
      <c r="C282" s="0" t="n">
        <v>342348</v>
      </c>
      <c r="D282" s="0" t="s">
        <v>1041</v>
      </c>
      <c r="E282" s="0" t="s">
        <v>324</v>
      </c>
      <c r="F282" s="0" t="str">
        <f aca="false">CONCATENATE(D282," ",LEFT(H282,4),"T=",AU282,"D=",AV282,"R=",AW282,"M=",AX282,"L=",AY282,"B=",AZ282)</f>
        <v>JONES T=21D=2R=0M=0L=0B=0</v>
      </c>
      <c r="G282" s="0" t="s">
        <v>175</v>
      </c>
      <c r="I282" s="0" t="s">
        <v>1621</v>
      </c>
      <c r="J282" s="0" t="s">
        <v>1622</v>
      </c>
      <c r="K282" s="0" t="s">
        <v>143</v>
      </c>
      <c r="M282" s="0" t="s">
        <v>1614</v>
      </c>
      <c r="N282" s="0" t="str">
        <f aca="false">RIGHT(M282,LEN(M282)-FIND(" ",M282))</f>
        <v>BURTON ST SE</v>
      </c>
      <c r="P282" s="0" t="s">
        <v>145</v>
      </c>
      <c r="Q282" s="0" t="s">
        <v>146</v>
      </c>
      <c r="R282" s="0" t="n">
        <v>44484</v>
      </c>
      <c r="AD282" s="0" t="s">
        <v>147</v>
      </c>
      <c r="AE282" s="0" t="s">
        <v>148</v>
      </c>
      <c r="AF282" s="0" t="s">
        <v>149</v>
      </c>
      <c r="AH282" s="0" t="n">
        <v>14</v>
      </c>
      <c r="AI282" s="0" t="n">
        <v>11</v>
      </c>
      <c r="AN282" s="0" t="s">
        <v>145</v>
      </c>
      <c r="AO282" s="0" t="s">
        <v>233</v>
      </c>
      <c r="AP282" s="0" t="s">
        <v>234</v>
      </c>
      <c r="AQ282" s="0" t="n">
        <v>9</v>
      </c>
      <c r="AR282" s="0" t="n">
        <v>64</v>
      </c>
      <c r="AS282" s="0" t="n">
        <v>32</v>
      </c>
      <c r="AU282" s="0" t="n">
        <f aca="false">COUNTA($BA$2552:$EH$2552)</f>
        <v>21</v>
      </c>
      <c r="AV282" s="0" t="n">
        <f aca="false">COUNTIF($BA$2552:$EH$2552,"D")</f>
        <v>2</v>
      </c>
      <c r="AW282" s="0" t="n">
        <f aca="false">COUNTIF($BA$2552:$EH$2552,"R")</f>
        <v>0</v>
      </c>
      <c r="AX282" s="0" t="n">
        <f aca="false">IF(BN282="D",1,0)+IF(BO282="D",1,0)+IF(BT282="D",1,0)+IF(BU282="D",1,0)+IF(BW282="D",1,0)+IF(CC282="D",1,0)+IF(CD282="D",1,0)+IF(CE282="D",1,0)+IF(CF282="D",1,0)+IF(CL282="D",1,0)+IF(CM282="D",1,0)+IF(CQ282="D",1,0)+IF(CR282="D",1,0)+IF(CS282="D",1,0)+IF(CW282="D",1,0)+IF(CX282="D",1,0)+IF(DD282="D",1,0)+IF(DE282="D",1,0)+IF(DJ282="D",1,0)+IF(DK282="D",1,0)+IF(DO282="D",1,0)+IF(DP282="D",1,0)+IF(DQ282="D",1,0)+IF(DW282="D",1,0)+IF(DZ282="D",1,0)+IF(EH282="D",1,0)</f>
        <v>0</v>
      </c>
      <c r="AY282" s="0" t="n">
        <f aca="false">COUNTIF(DU282:EH282, "&lt;&gt;")</f>
        <v>0</v>
      </c>
      <c r="AZ282" s="0" t="n">
        <f aca="false">IF(EH282&lt;&gt;"",1,0)</f>
        <v>0</v>
      </c>
      <c r="BB282" s="0" t="s">
        <v>152</v>
      </c>
      <c r="CA282" s="0" t="s">
        <v>153</v>
      </c>
      <c r="CK282" s="0" t="s">
        <v>153</v>
      </c>
      <c r="CY282" s="0" t="s">
        <v>153</v>
      </c>
      <c r="DC282" s="0" t="s">
        <v>153</v>
      </c>
    </row>
    <row r="283" customFormat="false" ht="13.8" hidden="true" customHeight="false" outlineLevel="0" collapsed="false">
      <c r="A283" s="0" t="s">
        <v>1623</v>
      </c>
      <c r="B283" s="0" t="n">
        <v>78</v>
      </c>
      <c r="C283" s="0" t="n">
        <v>458234</v>
      </c>
      <c r="D283" s="0" t="s">
        <v>1466</v>
      </c>
      <c r="E283" s="0" t="s">
        <v>1624</v>
      </c>
      <c r="F283" s="0" t="str">
        <f aca="false">CONCATENATE(D283," ",LEFT(H283,4),"T=",AU283,"D=",AV283,"R=",AW283,"M=",AX283,"L=",AY283,"B=",AZ283)</f>
        <v>JOHNSON T=2D=0R=0M=0L=0B=0</v>
      </c>
      <c r="G283" s="0" t="s">
        <v>1183</v>
      </c>
      <c r="I283" s="0" t="s">
        <v>1625</v>
      </c>
      <c r="J283" s="0" t="s">
        <v>1079</v>
      </c>
      <c r="K283" s="0" t="s">
        <v>143</v>
      </c>
      <c r="M283" s="0" t="s">
        <v>1626</v>
      </c>
      <c r="N283" s="0" t="str">
        <f aca="false">RIGHT(M283,LEN(M283)-FIND(" ",M283))</f>
        <v>BURTON ST SE</v>
      </c>
      <c r="P283" s="0" t="s">
        <v>145</v>
      </c>
      <c r="Q283" s="0" t="s">
        <v>146</v>
      </c>
      <c r="R283" s="0" t="n">
        <v>44484</v>
      </c>
      <c r="AD283" s="0" t="s">
        <v>147</v>
      </c>
      <c r="AE283" s="0" t="s">
        <v>148</v>
      </c>
      <c r="AF283" s="0" t="s">
        <v>149</v>
      </c>
      <c r="AH283" s="0" t="n">
        <v>14</v>
      </c>
      <c r="AI283" s="0" t="n">
        <v>11</v>
      </c>
      <c r="AN283" s="0" t="s">
        <v>145</v>
      </c>
      <c r="AO283" s="0" t="s">
        <v>233</v>
      </c>
      <c r="AP283" s="0" t="s">
        <v>234</v>
      </c>
      <c r="AQ283" s="0" t="n">
        <v>9</v>
      </c>
      <c r="AR283" s="0" t="n">
        <v>64</v>
      </c>
      <c r="AS283" s="0" t="n">
        <v>32</v>
      </c>
      <c r="AU283" s="0" t="n">
        <f aca="false">COUNTA($BA$2536:$EH$2536)</f>
        <v>2</v>
      </c>
      <c r="AV283" s="0" t="n">
        <f aca="false">COUNTIF($BA$2536:$EH$2536,"D")</f>
        <v>0</v>
      </c>
      <c r="AW283" s="0" t="n">
        <f aca="false">COUNTIF($BA$2536:$EH$2536,"R")</f>
        <v>0</v>
      </c>
      <c r="AX283" s="0" t="n">
        <f aca="false">IF(BN283="D",1,0)+IF(BO283="D",1,0)+IF(BT283="D",1,0)+IF(BU283="D",1,0)+IF(BW283="D",1,0)+IF(CC283="D",1,0)+IF(CD283="D",1,0)+IF(CE283="D",1,0)+IF(CF283="D",1,0)+IF(CL283="D",1,0)+IF(CM283="D",1,0)+IF(CQ283="D",1,0)+IF(CR283="D",1,0)+IF(CS283="D",1,0)+IF(CW283="D",1,0)+IF(CX283="D",1,0)+IF(DD283="D",1,0)+IF(DE283="D",1,0)+IF(DJ283="D",1,0)+IF(DK283="D",1,0)+IF(DO283="D",1,0)+IF(DP283="D",1,0)+IF(DQ283="D",1,0)+IF(DW283="D",1,0)+IF(DZ283="D",1,0)+IF(EH283="D",1,0)</f>
        <v>0</v>
      </c>
      <c r="AY283" s="0" t="n">
        <f aca="false">COUNTIF(DU283:EH283, "&lt;&gt;")</f>
        <v>0</v>
      </c>
      <c r="AZ283" s="0" t="n">
        <f aca="false">IF(EH283&lt;&gt;"",1,0)</f>
        <v>0</v>
      </c>
      <c r="BB283" s="0" t="s">
        <v>152</v>
      </c>
    </row>
    <row r="284" customFormat="false" ht="13.8" hidden="true" customHeight="false" outlineLevel="0" collapsed="false">
      <c r="A284" s="0" t="s">
        <v>1627</v>
      </c>
      <c r="B284" s="0" t="n">
        <v>78</v>
      </c>
      <c r="C284" s="0" t="n">
        <v>484291</v>
      </c>
      <c r="D284" s="0" t="s">
        <v>642</v>
      </c>
      <c r="E284" s="0" t="s">
        <v>1628</v>
      </c>
      <c r="F284" s="0" t="str">
        <f aca="false">CONCATENATE(D284," ",LEFT(H284,4),"T=",AU284,"D=",AV284,"R=",AW284,"M=",AX284,"L=",AY284,"B=",AZ284)</f>
        <v>MILLS T=15D=2R=1M=0L=1B=0</v>
      </c>
      <c r="G284" s="0" t="s">
        <v>1629</v>
      </c>
      <c r="I284" s="0" t="s">
        <v>1630</v>
      </c>
      <c r="J284" s="0" t="s">
        <v>1631</v>
      </c>
      <c r="K284" s="0" t="s">
        <v>160</v>
      </c>
      <c r="M284" s="0" t="s">
        <v>1632</v>
      </c>
      <c r="N284" s="0" t="str">
        <f aca="false">RIGHT(M284,LEN(M284)-FIND(" ",M284))</f>
        <v>BURTON ST SE</v>
      </c>
      <c r="P284" s="0" t="s">
        <v>145</v>
      </c>
      <c r="Q284" s="0" t="s">
        <v>146</v>
      </c>
      <c r="R284" s="0" t="n">
        <v>44484</v>
      </c>
      <c r="AD284" s="0" t="s">
        <v>147</v>
      </c>
      <c r="AE284" s="0" t="s">
        <v>148</v>
      </c>
      <c r="AF284" s="0" t="s">
        <v>149</v>
      </c>
      <c r="AH284" s="0" t="n">
        <v>14</v>
      </c>
      <c r="AI284" s="0" t="n">
        <v>11</v>
      </c>
      <c r="AN284" s="0" t="s">
        <v>145</v>
      </c>
      <c r="AO284" s="0" t="s">
        <v>233</v>
      </c>
      <c r="AP284" s="0" t="s">
        <v>234</v>
      </c>
      <c r="AQ284" s="0" t="n">
        <v>9</v>
      </c>
      <c r="AR284" s="0" t="n">
        <v>64</v>
      </c>
      <c r="AS284" s="0" t="n">
        <v>32</v>
      </c>
      <c r="AU284" s="0" t="n">
        <f aca="false">COUNTA($BA$2132:$EH$2132)</f>
        <v>15</v>
      </c>
      <c r="AV284" s="0" t="n">
        <f aca="false">COUNTIF($BA$2132:$EH$2132,"D")</f>
        <v>2</v>
      </c>
      <c r="AW284" s="0" t="n">
        <f aca="false">COUNTIF($BA$2132:$EH$2132,"R")</f>
        <v>1</v>
      </c>
      <c r="AX284" s="0" t="n">
        <f aca="false">IF(BN284="D",1,0)+IF(BO284="D",1,0)+IF(BT284="D",1,0)+IF(BU284="D",1,0)+IF(BW284="D",1,0)+IF(CC284="D",1,0)+IF(CD284="D",1,0)+IF(CE284="D",1,0)+IF(CF284="D",1,0)+IF(CL284="D",1,0)+IF(CM284="D",1,0)+IF(CQ284="D",1,0)+IF(CR284="D",1,0)+IF(CS284="D",1,0)+IF(CW284="D",1,0)+IF(CX284="D",1,0)+IF(DD284="D",1,0)+IF(DE284="D",1,0)+IF(DJ284="D",1,0)+IF(DK284="D",1,0)+IF(DO284="D",1,0)+IF(DP284="D",1,0)+IF(DQ284="D",1,0)+IF(DW284="D",1,0)+IF(DZ284="D",1,0)+IF(EH284="D",1,0)</f>
        <v>0</v>
      </c>
      <c r="AY284" s="0" t="n">
        <f aca="false">COUNTIF(DU284:EH284, "&lt;&gt;")</f>
        <v>1</v>
      </c>
      <c r="AZ284" s="0" t="n">
        <f aca="false">IF(EH284&lt;&gt;"",1,0)</f>
        <v>0</v>
      </c>
      <c r="BB284" s="0" t="s">
        <v>152</v>
      </c>
      <c r="EF284" s="0" t="s">
        <v>153</v>
      </c>
    </row>
    <row r="285" customFormat="false" ht="13.8" hidden="true" customHeight="false" outlineLevel="0" collapsed="false">
      <c r="A285" s="0" t="s">
        <v>1633</v>
      </c>
      <c r="B285" s="0" t="n">
        <v>78</v>
      </c>
      <c r="C285" s="0" t="n">
        <v>309109</v>
      </c>
      <c r="D285" s="0" t="s">
        <v>1634</v>
      </c>
      <c r="E285" s="0" t="s">
        <v>1635</v>
      </c>
      <c r="F285" s="0" t="str">
        <f aca="false">CONCATENATE(D285," ",LEFT(H285,4),"T=",AU285,"D=",AV285,"R=",AW285,"M=",AX285,"L=",AY285,"B=",AZ285)</f>
        <v>BARNES T=1D=0R=0M=0L=1B=0</v>
      </c>
      <c r="G285" s="0" t="s">
        <v>164</v>
      </c>
      <c r="I285" s="0" t="s">
        <v>1636</v>
      </c>
      <c r="J285" s="0" t="s">
        <v>1637</v>
      </c>
      <c r="K285" s="0" t="s">
        <v>160</v>
      </c>
      <c r="M285" s="0" t="s">
        <v>1632</v>
      </c>
      <c r="N285" s="0" t="str">
        <f aca="false">RIGHT(M285,LEN(M285)-FIND(" ",M285))</f>
        <v>BURTON ST SE</v>
      </c>
      <c r="P285" s="0" t="s">
        <v>145</v>
      </c>
      <c r="Q285" s="0" t="s">
        <v>146</v>
      </c>
      <c r="R285" s="0" t="n">
        <v>44484</v>
      </c>
      <c r="AD285" s="0" t="s">
        <v>147</v>
      </c>
      <c r="AE285" s="0" t="s">
        <v>148</v>
      </c>
      <c r="AF285" s="0" t="s">
        <v>149</v>
      </c>
      <c r="AH285" s="0" t="n">
        <v>14</v>
      </c>
      <c r="AI285" s="0" t="n">
        <v>11</v>
      </c>
      <c r="AN285" s="0" t="s">
        <v>145</v>
      </c>
      <c r="AO285" s="0" t="s">
        <v>233</v>
      </c>
      <c r="AP285" s="0" t="s">
        <v>234</v>
      </c>
      <c r="AQ285" s="0" t="n">
        <v>9</v>
      </c>
      <c r="AR285" s="0" t="n">
        <v>64</v>
      </c>
      <c r="AS285" s="0" t="n">
        <v>32</v>
      </c>
      <c r="AU285" s="0" t="n">
        <f aca="false">COUNTA($BA$2419:$EH$2419)</f>
        <v>1</v>
      </c>
      <c r="AV285" s="0" t="n">
        <f aca="false">COUNTIF($BA$2419:$EH$2419,"D")</f>
        <v>0</v>
      </c>
      <c r="AW285" s="0" t="n">
        <f aca="false">COUNTIF($BA$2419:$EH$2419,"R")</f>
        <v>0</v>
      </c>
      <c r="AX285" s="0" t="n">
        <f aca="false">IF(BN285="D",1,0)+IF(BO285="D",1,0)+IF(BT285="D",1,0)+IF(BU285="D",1,0)+IF(BW285="D",1,0)+IF(CC285="D",1,0)+IF(CD285="D",1,0)+IF(CE285="D",1,0)+IF(CF285="D",1,0)+IF(CL285="D",1,0)+IF(CM285="D",1,0)+IF(CQ285="D",1,0)+IF(CR285="D",1,0)+IF(CS285="D",1,0)+IF(CW285="D",1,0)+IF(CX285="D",1,0)+IF(DD285="D",1,0)+IF(DE285="D",1,0)+IF(DJ285="D",1,0)+IF(DK285="D",1,0)+IF(DO285="D",1,0)+IF(DP285="D",1,0)+IF(DQ285="D",1,0)+IF(DW285="D",1,0)+IF(DZ285="D",1,0)+IF(EH285="D",1,0)</f>
        <v>0</v>
      </c>
      <c r="AY285" s="0" t="n">
        <f aca="false">COUNTIF(DU285:EH285, "&lt;&gt;")</f>
        <v>1</v>
      </c>
      <c r="AZ285" s="0" t="n">
        <f aca="false">IF(EH285&lt;&gt;"",1,0)</f>
        <v>0</v>
      </c>
      <c r="BB285" s="0" t="s">
        <v>152</v>
      </c>
      <c r="CA285" s="0" t="s">
        <v>153</v>
      </c>
      <c r="CP285" s="0" t="s">
        <v>153</v>
      </c>
      <c r="CZ285" s="0" t="s">
        <v>175</v>
      </c>
      <c r="DC285" s="0" t="s">
        <v>153</v>
      </c>
      <c r="EF285" s="0" t="s">
        <v>153</v>
      </c>
    </row>
    <row r="286" customFormat="false" ht="13.8" hidden="true" customHeight="false" outlineLevel="0" collapsed="false">
      <c r="A286" s="0" t="s">
        <v>1638</v>
      </c>
      <c r="B286" s="0" t="n">
        <v>78</v>
      </c>
      <c r="C286" s="0" t="n">
        <v>342529</v>
      </c>
      <c r="D286" s="0" t="s">
        <v>986</v>
      </c>
      <c r="E286" s="0" t="s">
        <v>1639</v>
      </c>
      <c r="F286" s="0" t="str">
        <f aca="false">CONCATENATE(D286," ",LEFT(H286,4),"T=",AU286,"D=",AV286,"R=",AW286,"M=",AX286,"L=",AY286,"B=",AZ286)</f>
        <v>YOUNG T=4D=0R=0M=0L=0B=0</v>
      </c>
      <c r="G286" s="0" t="s">
        <v>175</v>
      </c>
      <c r="I286" s="0" t="s">
        <v>1640</v>
      </c>
      <c r="J286" s="0" t="s">
        <v>1641</v>
      </c>
      <c r="K286" s="0" t="s">
        <v>143</v>
      </c>
      <c r="M286" s="0" t="s">
        <v>1642</v>
      </c>
      <c r="N286" s="0" t="str">
        <f aca="false">RIGHT(M286,LEN(M286)-FIND(" ",M286))</f>
        <v>BURTON ST SE</v>
      </c>
      <c r="P286" s="0" t="s">
        <v>145</v>
      </c>
      <c r="Q286" s="0" t="s">
        <v>146</v>
      </c>
      <c r="R286" s="0" t="n">
        <v>44484</v>
      </c>
      <c r="AD286" s="0" t="s">
        <v>147</v>
      </c>
      <c r="AE286" s="0" t="s">
        <v>148</v>
      </c>
      <c r="AF286" s="0" t="s">
        <v>149</v>
      </c>
      <c r="AH286" s="0" t="n">
        <v>14</v>
      </c>
      <c r="AI286" s="0" t="n">
        <v>11</v>
      </c>
      <c r="AN286" s="0" t="s">
        <v>145</v>
      </c>
      <c r="AO286" s="0" t="s">
        <v>233</v>
      </c>
      <c r="AP286" s="0" t="s">
        <v>234</v>
      </c>
      <c r="AQ286" s="0" t="n">
        <v>9</v>
      </c>
      <c r="AR286" s="0" t="n">
        <v>64</v>
      </c>
      <c r="AS286" s="0" t="n">
        <v>32</v>
      </c>
      <c r="AU286" s="0" t="n">
        <f aca="false">COUNTA($BA$2659:$EH$2659)</f>
        <v>4</v>
      </c>
      <c r="AV286" s="0" t="n">
        <f aca="false">COUNTIF($BA$2659:$EH$2659,"D")</f>
        <v>0</v>
      </c>
      <c r="AW286" s="0" t="n">
        <f aca="false">COUNTIF($BA$2659:$EH$2659,"R")</f>
        <v>0</v>
      </c>
      <c r="AX286" s="0" t="n">
        <f aca="false">IF(BN286="D",1,0)+IF(BO286="D",1,0)+IF(BT286="D",1,0)+IF(BU286="D",1,0)+IF(BW286="D",1,0)+IF(CC286="D",1,0)+IF(CD286="D",1,0)+IF(CE286="D",1,0)+IF(CF286="D",1,0)+IF(CL286="D",1,0)+IF(CM286="D",1,0)+IF(CQ286="D",1,0)+IF(CR286="D",1,0)+IF(CS286="D",1,0)+IF(CW286="D",1,0)+IF(CX286="D",1,0)+IF(DD286="D",1,0)+IF(DE286="D",1,0)+IF(DJ286="D",1,0)+IF(DK286="D",1,0)+IF(DO286="D",1,0)+IF(DP286="D",1,0)+IF(DQ286="D",1,0)+IF(DW286="D",1,0)+IF(DZ286="D",1,0)+IF(EH286="D",1,0)</f>
        <v>0</v>
      </c>
      <c r="AY286" s="0" t="n">
        <f aca="false">COUNTIF(DU286:EH286, "&lt;&gt;")</f>
        <v>0</v>
      </c>
      <c r="AZ286" s="0" t="n">
        <f aca="false">IF(EH286&lt;&gt;"",1,0)</f>
        <v>0</v>
      </c>
      <c r="BB286" s="0" t="s">
        <v>152</v>
      </c>
      <c r="BY286" s="0" t="s">
        <v>175</v>
      </c>
      <c r="CA286" s="0" t="s">
        <v>153</v>
      </c>
      <c r="CK286" s="0" t="s">
        <v>153</v>
      </c>
      <c r="CO286" s="0" t="s">
        <v>175</v>
      </c>
      <c r="CP286" s="0" t="s">
        <v>153</v>
      </c>
      <c r="DC286" s="0" t="s">
        <v>153</v>
      </c>
      <c r="DI286" s="0" t="s">
        <v>153</v>
      </c>
      <c r="DN286" s="0" t="s">
        <v>153</v>
      </c>
    </row>
    <row r="287" customFormat="false" ht="13.8" hidden="true" customHeight="false" outlineLevel="0" collapsed="false">
      <c r="A287" s="0" t="s">
        <v>1643</v>
      </c>
      <c r="B287" s="0" t="n">
        <v>78</v>
      </c>
      <c r="C287" s="0" t="n">
        <v>411327</v>
      </c>
      <c r="D287" s="0" t="s">
        <v>1644</v>
      </c>
      <c r="E287" s="0" t="s">
        <v>1645</v>
      </c>
      <c r="F287" s="0" t="str">
        <f aca="false">CONCATENATE(D287," ",LEFT(H287,4),"T=",AU287,"D=",AV287,"R=",AW287,"M=",AX287,"L=",AY287,"B=",AZ287)</f>
        <v>BOBBITT T=7D=0R=0M=0L=0B=0</v>
      </c>
      <c r="G287" s="0" t="s">
        <v>164</v>
      </c>
      <c r="I287" s="0" t="s">
        <v>1646</v>
      </c>
      <c r="J287" s="0" t="s">
        <v>903</v>
      </c>
      <c r="K287" s="0" t="s">
        <v>160</v>
      </c>
      <c r="M287" s="0" t="s">
        <v>1647</v>
      </c>
      <c r="N287" s="0" t="str">
        <f aca="false">RIGHT(M287,LEN(M287)-FIND(" ",M287))</f>
        <v>BURTON ST SE</v>
      </c>
      <c r="P287" s="0" t="s">
        <v>145</v>
      </c>
      <c r="Q287" s="0" t="s">
        <v>146</v>
      </c>
      <c r="R287" s="0" t="n">
        <v>44484</v>
      </c>
      <c r="AD287" s="0" t="s">
        <v>147</v>
      </c>
      <c r="AE287" s="0" t="s">
        <v>148</v>
      </c>
      <c r="AF287" s="0" t="s">
        <v>149</v>
      </c>
      <c r="AH287" s="0" t="n">
        <v>14</v>
      </c>
      <c r="AI287" s="0" t="n">
        <v>11</v>
      </c>
      <c r="AN287" s="0" t="s">
        <v>145</v>
      </c>
      <c r="AO287" s="0" t="s">
        <v>233</v>
      </c>
      <c r="AP287" s="0" t="s">
        <v>234</v>
      </c>
      <c r="AQ287" s="0" t="n">
        <v>9</v>
      </c>
      <c r="AR287" s="0" t="n">
        <v>64</v>
      </c>
      <c r="AS287" s="0" t="n">
        <v>32</v>
      </c>
      <c r="AU287" s="0" t="n">
        <f aca="false">COUNTA($BA$2167:$EH$2167)</f>
        <v>7</v>
      </c>
      <c r="AV287" s="0" t="n">
        <f aca="false">COUNTIF($BA$2167:$EH$2167,"D")</f>
        <v>0</v>
      </c>
      <c r="AW287" s="0" t="n">
        <f aca="false">COUNTIF($BA$2167:$EH$2167,"R")</f>
        <v>0</v>
      </c>
      <c r="AX287" s="0" t="n">
        <f aca="false">IF(BN287="D",1,0)+IF(BO287="D",1,0)+IF(BT287="D",1,0)+IF(BU287="D",1,0)+IF(BW287="D",1,0)+IF(CC287="D",1,0)+IF(CD287="D",1,0)+IF(CE287="D",1,0)+IF(CF287="D",1,0)+IF(CL287="D",1,0)+IF(CM287="D",1,0)+IF(CQ287="D",1,0)+IF(CR287="D",1,0)+IF(CS287="D",1,0)+IF(CW287="D",1,0)+IF(CX287="D",1,0)+IF(DD287="D",1,0)+IF(DE287="D",1,0)+IF(DJ287="D",1,0)+IF(DK287="D",1,0)+IF(DO287="D",1,0)+IF(DP287="D",1,0)+IF(DQ287="D",1,0)+IF(DW287="D",1,0)+IF(DZ287="D",1,0)+IF(EH287="D",1,0)</f>
        <v>0</v>
      </c>
      <c r="AY287" s="0" t="n">
        <f aca="false">COUNTIF(DU287:EH287, "&lt;&gt;")</f>
        <v>0</v>
      </c>
      <c r="AZ287" s="0" t="n">
        <f aca="false">IF(EH287&lt;&gt;"",1,0)</f>
        <v>0</v>
      </c>
      <c r="BB287" s="0" t="s">
        <v>152</v>
      </c>
      <c r="DN287" s="0" t="s">
        <v>153</v>
      </c>
    </row>
    <row r="288" customFormat="false" ht="13.8" hidden="false" customHeight="false" outlineLevel="0" collapsed="false">
      <c r="A288" s="0" t="s">
        <v>1648</v>
      </c>
      <c r="B288" s="0" t="n">
        <v>78</v>
      </c>
      <c r="C288" s="0" t="n">
        <v>338302</v>
      </c>
      <c r="D288" s="0" t="s">
        <v>1649</v>
      </c>
      <c r="E288" s="0" t="s">
        <v>1650</v>
      </c>
      <c r="F288" s="0" t="str">
        <f aca="false">CONCATENATE(D288," ",LEFT(H288,4),"T=",AU288,"D=",AV288,"R=",AW288,"M=",AX288,"L=",AY288,"B=",AZ288)</f>
        <v>LIPTROT T=2D=0R=0M=0L=2B=0</v>
      </c>
      <c r="G288" s="0" t="s">
        <v>1651</v>
      </c>
      <c r="I288" s="0" t="s">
        <v>1652</v>
      </c>
      <c r="J288" s="0" t="s">
        <v>1653</v>
      </c>
      <c r="K288" s="0" t="s">
        <v>160</v>
      </c>
      <c r="M288" s="0" t="s">
        <v>1647</v>
      </c>
      <c r="N288" s="0" t="str">
        <f aca="false">RIGHT(M288,LEN(M288)-FIND(" ",M288))</f>
        <v>BURTON ST SE</v>
      </c>
      <c r="P288" s="0" t="s">
        <v>145</v>
      </c>
      <c r="Q288" s="0" t="s">
        <v>146</v>
      </c>
      <c r="R288" s="0" t="n">
        <v>44484</v>
      </c>
      <c r="AD288" s="0" t="s">
        <v>147</v>
      </c>
      <c r="AE288" s="0" t="s">
        <v>148</v>
      </c>
      <c r="AF288" s="0" t="s">
        <v>149</v>
      </c>
      <c r="AH288" s="0" t="n">
        <v>14</v>
      </c>
      <c r="AI288" s="0" t="n">
        <v>11</v>
      </c>
      <c r="AN288" s="0" t="s">
        <v>145</v>
      </c>
      <c r="AO288" s="0" t="s">
        <v>233</v>
      </c>
      <c r="AP288" s="0" t="s">
        <v>234</v>
      </c>
      <c r="AQ288" s="0" t="n">
        <v>9</v>
      </c>
      <c r="AR288" s="0" t="n">
        <v>64</v>
      </c>
      <c r="AS288" s="0" t="n">
        <v>32</v>
      </c>
      <c r="AU288" s="0" t="n">
        <f aca="false">COUNTA($BA$2671:$EH$2671)</f>
        <v>2</v>
      </c>
      <c r="AV288" s="0" t="n">
        <f aca="false">COUNTIF($BA$2671:$EH$2671,"D")</f>
        <v>0</v>
      </c>
      <c r="AW288" s="0" t="n">
        <f aca="false">COUNTIF($BA$2671:$EH$2671,"R")</f>
        <v>0</v>
      </c>
      <c r="AX288" s="0" t="n">
        <f aca="false">IF(BN288="D",1,0)+IF(BO288="D",1,0)+IF(BT288="D",1,0)+IF(BU288="D",1,0)+IF(BW288="D",1,0)+IF(CC288="D",1,0)+IF(CD288="D",1,0)+IF(CE288="D",1,0)+IF(CF288="D",1,0)+IF(CL288="D",1,0)+IF(CM288="D",1,0)+IF(CQ288="D",1,0)+IF(CR288="D",1,0)+IF(CS288="D",1,0)+IF(CW288="D",1,0)+IF(CX288="D",1,0)+IF(DD288="D",1,0)+IF(DE288="D",1,0)+IF(DJ288="D",1,0)+IF(DK288="D",1,0)+IF(DO288="D",1,0)+IF(DP288="D",1,0)+IF(DQ288="D",1,0)+IF(DW288="D",1,0)+IF(DZ288="D",1,0)+IF(EH288="D",1,0)</f>
        <v>0</v>
      </c>
      <c r="AY288" s="0" t="n">
        <f aca="false">COUNTIF(DU288:EH288, "&lt;&gt;")</f>
        <v>2</v>
      </c>
      <c r="AZ288" s="0" t="n">
        <f aca="false">IF(EH288&lt;&gt;"",1,0)</f>
        <v>0</v>
      </c>
      <c r="BB288" s="0" t="s">
        <v>152</v>
      </c>
      <c r="BS288" s="0" t="s">
        <v>153</v>
      </c>
      <c r="BV288" s="0" t="s">
        <v>153</v>
      </c>
      <c r="BY288" s="0" t="s">
        <v>175</v>
      </c>
      <c r="CA288" s="0" t="s">
        <v>153</v>
      </c>
      <c r="CP288" s="0" t="s">
        <v>153</v>
      </c>
      <c r="CV288" s="0" t="s">
        <v>153</v>
      </c>
      <c r="DC288" s="0" t="s">
        <v>153</v>
      </c>
      <c r="DX288" s="0" t="s">
        <v>153</v>
      </c>
      <c r="EF288" s="0" t="s">
        <v>153</v>
      </c>
    </row>
    <row r="289" customFormat="false" ht="13.8" hidden="true" customHeight="false" outlineLevel="0" collapsed="false">
      <c r="A289" s="0" t="s">
        <v>1654</v>
      </c>
      <c r="B289" s="0" t="n">
        <v>78</v>
      </c>
      <c r="C289" s="0" t="n">
        <v>343904</v>
      </c>
      <c r="D289" s="0" t="s">
        <v>1655</v>
      </c>
      <c r="E289" s="0" t="s">
        <v>1656</v>
      </c>
      <c r="F289" s="0" t="str">
        <f aca="false">CONCATENATE(D289," ",LEFT(H289,4),"T=",AU289,"D=",AV289,"R=",AW289,"M=",AX289,"L=",AY289,"B=",AZ289)</f>
        <v>WESLEY T=1D=0R=0M=0L=1B=0</v>
      </c>
      <c r="I289" s="0" t="s">
        <v>1657</v>
      </c>
      <c r="J289" s="0" t="s">
        <v>1658</v>
      </c>
      <c r="K289" s="0" t="s">
        <v>160</v>
      </c>
      <c r="M289" s="0" t="s">
        <v>1659</v>
      </c>
      <c r="N289" s="0" t="str">
        <f aca="false">RIGHT(M289,LEN(M289)-FIND(" ",M289))</f>
        <v>BURTON ST SE</v>
      </c>
      <c r="P289" s="0" t="s">
        <v>145</v>
      </c>
      <c r="Q289" s="0" t="s">
        <v>146</v>
      </c>
      <c r="R289" s="0" t="n">
        <v>44484</v>
      </c>
      <c r="AD289" s="0" t="s">
        <v>147</v>
      </c>
      <c r="AE289" s="0" t="s">
        <v>148</v>
      </c>
      <c r="AF289" s="0" t="s">
        <v>149</v>
      </c>
      <c r="AH289" s="0" t="n">
        <v>14</v>
      </c>
      <c r="AI289" s="0" t="n">
        <v>11</v>
      </c>
      <c r="AN289" s="0" t="s">
        <v>145</v>
      </c>
      <c r="AO289" s="0" t="s">
        <v>233</v>
      </c>
      <c r="AP289" s="0" t="s">
        <v>234</v>
      </c>
      <c r="AQ289" s="0" t="n">
        <v>9</v>
      </c>
      <c r="AR289" s="0" t="n">
        <v>64</v>
      </c>
      <c r="AS289" s="0" t="n">
        <v>32</v>
      </c>
      <c r="AU289" s="0" t="n">
        <f aca="false">COUNTA($BA$2421:$EH$2421)</f>
        <v>1</v>
      </c>
      <c r="AV289" s="0" t="n">
        <f aca="false">COUNTIF($BA$2421:$EH$2421,"D")</f>
        <v>0</v>
      </c>
      <c r="AW289" s="0" t="n">
        <f aca="false">COUNTIF($BA$2421:$EH$2421,"R")</f>
        <v>0</v>
      </c>
      <c r="AX289" s="0" t="n">
        <f aca="false">IF(BN289="D",1,0)+IF(BO289="D",1,0)+IF(BT289="D",1,0)+IF(BU289="D",1,0)+IF(BW289="D",1,0)+IF(CC289="D",1,0)+IF(CD289="D",1,0)+IF(CE289="D",1,0)+IF(CF289="D",1,0)+IF(CL289="D",1,0)+IF(CM289="D",1,0)+IF(CQ289="D",1,0)+IF(CR289="D",1,0)+IF(CS289="D",1,0)+IF(CW289="D",1,0)+IF(CX289="D",1,0)+IF(DD289="D",1,0)+IF(DE289="D",1,0)+IF(DJ289="D",1,0)+IF(DK289="D",1,0)+IF(DO289="D",1,0)+IF(DP289="D",1,0)+IF(DQ289="D",1,0)+IF(DW289="D",1,0)+IF(DZ289="D",1,0)+IF(EH289="D",1,0)</f>
        <v>0</v>
      </c>
      <c r="AY289" s="0" t="n">
        <f aca="false">COUNTIF(DU289:EH289, "&lt;&gt;")</f>
        <v>1</v>
      </c>
      <c r="AZ289" s="0" t="n">
        <f aca="false">IF(EH289&lt;&gt;"",1,0)</f>
        <v>0</v>
      </c>
      <c r="BB289" s="0" t="s">
        <v>152</v>
      </c>
      <c r="CA289" s="0" t="s">
        <v>153</v>
      </c>
      <c r="CP289" s="0" t="s">
        <v>153</v>
      </c>
      <c r="DI289" s="0" t="s">
        <v>153</v>
      </c>
      <c r="DM289" s="0" t="s">
        <v>175</v>
      </c>
      <c r="EF289" s="0" t="s">
        <v>153</v>
      </c>
    </row>
    <row r="290" customFormat="false" ht="13.8" hidden="true" customHeight="false" outlineLevel="0" collapsed="false">
      <c r="A290" s="0" t="s">
        <v>1660</v>
      </c>
      <c r="B290" s="0" t="n">
        <v>78</v>
      </c>
      <c r="C290" s="0" t="n">
        <v>434659</v>
      </c>
      <c r="D290" s="0" t="s">
        <v>1661</v>
      </c>
      <c r="E290" s="0" t="s">
        <v>1662</v>
      </c>
      <c r="F290" s="0" t="str">
        <f aca="false">CONCATENATE(D290," ",LEFT(H290,4),"T=",AU290,"D=",AV290,"R=",AW290,"M=",AX290,"L=",AY290,"B=",AZ290)</f>
        <v>JACKSON T=3D=0R=0M=0L=0B=0</v>
      </c>
      <c r="G290" s="0" t="s">
        <v>190</v>
      </c>
      <c r="I290" s="0" t="s">
        <v>1663</v>
      </c>
      <c r="J290" s="0" t="s">
        <v>1664</v>
      </c>
      <c r="K290" s="0" t="s">
        <v>160</v>
      </c>
      <c r="M290" s="0" t="s">
        <v>1665</v>
      </c>
      <c r="N290" s="0" t="str">
        <f aca="false">RIGHT(M290,LEN(M290)-FIND(" ",M290))</f>
        <v>BURTON ST SE</v>
      </c>
      <c r="P290" s="0" t="s">
        <v>145</v>
      </c>
      <c r="Q290" s="0" t="s">
        <v>146</v>
      </c>
      <c r="R290" s="0" t="n">
        <v>44484</v>
      </c>
      <c r="AD290" s="0" t="s">
        <v>147</v>
      </c>
      <c r="AE290" s="0" t="s">
        <v>148</v>
      </c>
      <c r="AF290" s="0" t="s">
        <v>149</v>
      </c>
      <c r="AH290" s="0" t="n">
        <v>14</v>
      </c>
      <c r="AI290" s="0" t="n">
        <v>11</v>
      </c>
      <c r="AN290" s="0" t="s">
        <v>145</v>
      </c>
      <c r="AO290" s="0" t="s">
        <v>233</v>
      </c>
      <c r="AP290" s="0" t="s">
        <v>234</v>
      </c>
      <c r="AQ290" s="0" t="n">
        <v>9</v>
      </c>
      <c r="AR290" s="0" t="n">
        <v>64</v>
      </c>
      <c r="AS290" s="0" t="n">
        <v>32</v>
      </c>
      <c r="AU290" s="0" t="n">
        <f aca="false">COUNTA($BA$2184:$EH$2184)</f>
        <v>3</v>
      </c>
      <c r="AV290" s="0" t="n">
        <f aca="false">COUNTIF($BA$2184:$EH$2184,"D")</f>
        <v>0</v>
      </c>
      <c r="AW290" s="0" t="n">
        <f aca="false">COUNTIF($BA$2184:$EH$2184,"R")</f>
        <v>0</v>
      </c>
      <c r="AX290" s="0" t="n">
        <f aca="false">IF(BN290="D",1,0)+IF(BO290="D",1,0)+IF(BT290="D",1,0)+IF(BU290="D",1,0)+IF(BW290="D",1,0)+IF(CC290="D",1,0)+IF(CD290="D",1,0)+IF(CE290="D",1,0)+IF(CF290="D",1,0)+IF(CL290="D",1,0)+IF(CM290="D",1,0)+IF(CQ290="D",1,0)+IF(CR290="D",1,0)+IF(CS290="D",1,0)+IF(CW290="D",1,0)+IF(CX290="D",1,0)+IF(DD290="D",1,0)+IF(DE290="D",1,0)+IF(DJ290="D",1,0)+IF(DK290="D",1,0)+IF(DO290="D",1,0)+IF(DP290="D",1,0)+IF(DQ290="D",1,0)+IF(DW290="D",1,0)+IF(DZ290="D",1,0)+IF(EH290="D",1,0)</f>
        <v>0</v>
      </c>
      <c r="AY290" s="0" t="n">
        <f aca="false">COUNTIF(DU290:EH290, "&lt;&gt;")</f>
        <v>0</v>
      </c>
      <c r="AZ290" s="0" t="n">
        <f aca="false">IF(EH290&lt;&gt;"",1,0)</f>
        <v>0</v>
      </c>
      <c r="BB290" s="0" t="s">
        <v>152</v>
      </c>
    </row>
    <row r="291" customFormat="false" ht="13.8" hidden="true" customHeight="false" outlineLevel="0" collapsed="false">
      <c r="A291" s="0" t="s">
        <v>1666</v>
      </c>
      <c r="B291" s="0" t="n">
        <v>78</v>
      </c>
      <c r="C291" s="0" t="n">
        <v>444842</v>
      </c>
      <c r="D291" s="0" t="s">
        <v>1661</v>
      </c>
      <c r="E291" s="0" t="s">
        <v>1667</v>
      </c>
      <c r="F291" s="0" t="str">
        <f aca="false">CONCATENATE(D291," ",LEFT(H291,4),"T=",AU291,"D=",AV291,"R=",AW291,"M=",AX291,"L=",AY291,"B=",AZ291)</f>
        <v>JACKSON T=1D=0R=0M=0L=0B=0</v>
      </c>
      <c r="G291" s="0" t="s">
        <v>1668</v>
      </c>
      <c r="I291" s="0" t="s">
        <v>1669</v>
      </c>
      <c r="J291" s="0" t="s">
        <v>1670</v>
      </c>
      <c r="K291" s="0" t="s">
        <v>143</v>
      </c>
      <c r="M291" s="0" t="s">
        <v>1665</v>
      </c>
      <c r="N291" s="0" t="str">
        <f aca="false">RIGHT(M291,LEN(M291)-FIND(" ",M291))</f>
        <v>BURTON ST SE</v>
      </c>
      <c r="P291" s="0" t="s">
        <v>145</v>
      </c>
      <c r="Q291" s="0" t="s">
        <v>146</v>
      </c>
      <c r="R291" s="0" t="n">
        <v>44484</v>
      </c>
      <c r="AD291" s="0" t="s">
        <v>147</v>
      </c>
      <c r="AE291" s="0" t="s">
        <v>148</v>
      </c>
      <c r="AF291" s="0" t="s">
        <v>149</v>
      </c>
      <c r="AH291" s="0" t="n">
        <v>14</v>
      </c>
      <c r="AI291" s="0" t="n">
        <v>11</v>
      </c>
      <c r="AN291" s="0" t="s">
        <v>145</v>
      </c>
      <c r="AO291" s="0" t="s">
        <v>233</v>
      </c>
      <c r="AP291" s="0" t="s">
        <v>234</v>
      </c>
      <c r="AQ291" s="0" t="n">
        <v>9</v>
      </c>
      <c r="AR291" s="0" t="n">
        <v>64</v>
      </c>
      <c r="AS291" s="0" t="n">
        <v>32</v>
      </c>
      <c r="AU291" s="0" t="n">
        <f aca="false">COUNTA($BA$2331:$EH$2331)</f>
        <v>1</v>
      </c>
      <c r="AV291" s="0" t="n">
        <f aca="false">COUNTIF($BA$2331:$EH$2331,"D")</f>
        <v>0</v>
      </c>
      <c r="AW291" s="0" t="n">
        <f aca="false">COUNTIF($BA$2331:$EH$2331,"R")</f>
        <v>0</v>
      </c>
      <c r="AX291" s="0" t="n">
        <f aca="false">IF(BN291="D",1,0)+IF(BO291="D",1,0)+IF(BT291="D",1,0)+IF(BU291="D",1,0)+IF(BW291="D",1,0)+IF(CC291="D",1,0)+IF(CD291="D",1,0)+IF(CE291="D",1,0)+IF(CF291="D",1,0)+IF(CL291="D",1,0)+IF(CM291="D",1,0)+IF(CQ291="D",1,0)+IF(CR291="D",1,0)+IF(CS291="D",1,0)+IF(CW291="D",1,0)+IF(CX291="D",1,0)+IF(DD291="D",1,0)+IF(DE291="D",1,0)+IF(DJ291="D",1,0)+IF(DK291="D",1,0)+IF(DO291="D",1,0)+IF(DP291="D",1,0)+IF(DQ291="D",1,0)+IF(DW291="D",1,0)+IF(DZ291="D",1,0)+IF(EH291="D",1,0)</f>
        <v>0</v>
      </c>
      <c r="AY291" s="0" t="n">
        <f aca="false">COUNTIF(DU291:EH291, "&lt;&gt;")</f>
        <v>0</v>
      </c>
      <c r="AZ291" s="0" t="n">
        <f aca="false">IF(EH291&lt;&gt;"",1,0)</f>
        <v>0</v>
      </c>
      <c r="BB291" s="0" t="s">
        <v>152</v>
      </c>
    </row>
    <row r="292" customFormat="false" ht="13.8" hidden="true" customHeight="false" outlineLevel="0" collapsed="false">
      <c r="A292" s="0" t="s">
        <v>1671</v>
      </c>
      <c r="B292" s="0" t="n">
        <v>78</v>
      </c>
      <c r="C292" s="0" t="n">
        <v>323259</v>
      </c>
      <c r="D292" s="0" t="s">
        <v>1672</v>
      </c>
      <c r="E292" s="0" t="s">
        <v>610</v>
      </c>
      <c r="F292" s="0" t="str">
        <f aca="false">CONCATENATE(D292," ",LEFT(H292,4),"T=",AU292,"D=",AV292,"R=",AW292,"M=",AX292,"L=",AY292,"B=",AZ292)</f>
        <v>LACEY T=7D=1R=0M=0L=0B=0</v>
      </c>
      <c r="G292" s="0" t="s">
        <v>175</v>
      </c>
      <c r="I292" s="0" t="s">
        <v>1673</v>
      </c>
      <c r="J292" s="0" t="s">
        <v>1674</v>
      </c>
      <c r="K292" s="0" t="s">
        <v>143</v>
      </c>
      <c r="M292" s="0" t="s">
        <v>1665</v>
      </c>
      <c r="N292" s="0" t="str">
        <f aca="false">RIGHT(M292,LEN(M292)-FIND(" ",M292))</f>
        <v>BURTON ST SE</v>
      </c>
      <c r="P292" s="0" t="s">
        <v>145</v>
      </c>
      <c r="Q292" s="0" t="s">
        <v>146</v>
      </c>
      <c r="R292" s="0" t="n">
        <v>44484</v>
      </c>
      <c r="AD292" s="0" t="s">
        <v>147</v>
      </c>
      <c r="AE292" s="0" t="s">
        <v>148</v>
      </c>
      <c r="AF292" s="0" t="s">
        <v>149</v>
      </c>
      <c r="AH292" s="0" t="n">
        <v>14</v>
      </c>
      <c r="AI292" s="0" t="n">
        <v>11</v>
      </c>
      <c r="AN292" s="0" t="s">
        <v>145</v>
      </c>
      <c r="AO292" s="0" t="s">
        <v>233</v>
      </c>
      <c r="AP292" s="0" t="s">
        <v>234</v>
      </c>
      <c r="AQ292" s="0" t="n">
        <v>9</v>
      </c>
      <c r="AR292" s="0" t="n">
        <v>64</v>
      </c>
      <c r="AS292" s="0" t="n">
        <v>32</v>
      </c>
      <c r="AU292" s="0" t="n">
        <f aca="false">COUNTA($BA$2474:$EH$2474)</f>
        <v>7</v>
      </c>
      <c r="AV292" s="0" t="n">
        <f aca="false">COUNTIF($BA$2474:$EH$2474,"D")</f>
        <v>1</v>
      </c>
      <c r="AW292" s="0" t="n">
        <f aca="false">COUNTIF($BA$2474:$EH$2474,"R")</f>
        <v>0</v>
      </c>
      <c r="AX292" s="0" t="n">
        <f aca="false">IF(BN292="D",1,0)+IF(BO292="D",1,0)+IF(BT292="D",1,0)+IF(BU292="D",1,0)+IF(BW292="D",1,0)+IF(CC292="D",1,0)+IF(CD292="D",1,0)+IF(CE292="D",1,0)+IF(CF292="D",1,0)+IF(CL292="D",1,0)+IF(CM292="D",1,0)+IF(CQ292="D",1,0)+IF(CR292="D",1,0)+IF(CS292="D",1,0)+IF(CW292="D",1,0)+IF(CX292="D",1,0)+IF(DD292="D",1,0)+IF(DE292="D",1,0)+IF(DJ292="D",1,0)+IF(DK292="D",1,0)+IF(DO292="D",1,0)+IF(DP292="D",1,0)+IF(DQ292="D",1,0)+IF(DW292="D",1,0)+IF(DZ292="D",1,0)+IF(EH292="D",1,0)</f>
        <v>0</v>
      </c>
      <c r="AY292" s="0" t="n">
        <f aca="false">COUNTIF(DU292:EH292, "&lt;&gt;")</f>
        <v>0</v>
      </c>
      <c r="AZ292" s="0" t="n">
        <f aca="false">IF(EH292&lt;&gt;"",1,0)</f>
        <v>0</v>
      </c>
      <c r="BB292" s="0" t="s">
        <v>152</v>
      </c>
    </row>
    <row r="293" customFormat="false" ht="13.8" hidden="true" customHeight="false" outlineLevel="0" collapsed="false">
      <c r="A293" s="0" t="s">
        <v>1675</v>
      </c>
      <c r="B293" s="0" t="n">
        <v>78</v>
      </c>
      <c r="C293" s="0" t="n">
        <v>459134</v>
      </c>
      <c r="D293" s="0" t="s">
        <v>1661</v>
      </c>
      <c r="E293" s="0" t="s">
        <v>1676</v>
      </c>
      <c r="F293" s="0" t="str">
        <f aca="false">CONCATENATE(D293," ",LEFT(H293,4),"T=",AU293,"D=",AV293,"R=",AW293,"M=",AX293,"L=",AY293,"B=",AZ293)</f>
        <v>JACKSON T=1D=0R=0M=0L=0B=0</v>
      </c>
      <c r="G293" s="0" t="s">
        <v>215</v>
      </c>
      <c r="I293" s="0" t="s">
        <v>1677</v>
      </c>
      <c r="J293" s="0" t="s">
        <v>1678</v>
      </c>
      <c r="K293" s="0" t="s">
        <v>143</v>
      </c>
      <c r="M293" s="0" t="s">
        <v>1665</v>
      </c>
      <c r="N293" s="0" t="str">
        <f aca="false">RIGHT(M293,LEN(M293)-FIND(" ",M293))</f>
        <v>BURTON ST SE</v>
      </c>
      <c r="P293" s="0" t="s">
        <v>145</v>
      </c>
      <c r="Q293" s="0" t="s">
        <v>146</v>
      </c>
      <c r="R293" s="0" t="n">
        <v>44484</v>
      </c>
      <c r="AD293" s="0" t="s">
        <v>147</v>
      </c>
      <c r="AE293" s="0" t="s">
        <v>148</v>
      </c>
      <c r="AF293" s="0" t="s">
        <v>149</v>
      </c>
      <c r="AH293" s="0" t="n">
        <v>14</v>
      </c>
      <c r="AI293" s="0" t="n">
        <v>11</v>
      </c>
      <c r="AN293" s="0" t="s">
        <v>145</v>
      </c>
      <c r="AO293" s="0" t="s">
        <v>233</v>
      </c>
      <c r="AP293" s="0" t="s">
        <v>234</v>
      </c>
      <c r="AQ293" s="0" t="n">
        <v>9</v>
      </c>
      <c r="AR293" s="0" t="n">
        <v>64</v>
      </c>
      <c r="AS293" s="0" t="n">
        <v>32</v>
      </c>
      <c r="AU293" s="0" t="n">
        <f aca="false">COUNTA($BA$2683:$EH$2683)</f>
        <v>1</v>
      </c>
      <c r="AV293" s="0" t="n">
        <f aca="false">COUNTIF($BA$2683:$EH$2683,"D")</f>
        <v>0</v>
      </c>
      <c r="AW293" s="0" t="n">
        <f aca="false">COUNTIF($BA$2683:$EH$2683,"R")</f>
        <v>0</v>
      </c>
      <c r="AX293" s="0" t="n">
        <f aca="false">IF(BN293="D",1,0)+IF(BO293="D",1,0)+IF(BT293="D",1,0)+IF(BU293="D",1,0)+IF(BW293="D",1,0)+IF(CC293="D",1,0)+IF(CD293="D",1,0)+IF(CE293="D",1,0)+IF(CF293="D",1,0)+IF(CL293="D",1,0)+IF(CM293="D",1,0)+IF(CQ293="D",1,0)+IF(CR293="D",1,0)+IF(CS293="D",1,0)+IF(CW293="D",1,0)+IF(CX293="D",1,0)+IF(DD293="D",1,0)+IF(DE293="D",1,0)+IF(DJ293="D",1,0)+IF(DK293="D",1,0)+IF(DO293="D",1,0)+IF(DP293="D",1,0)+IF(DQ293="D",1,0)+IF(DW293="D",1,0)+IF(DZ293="D",1,0)+IF(EH293="D",1,0)</f>
        <v>0</v>
      </c>
      <c r="AY293" s="0" t="n">
        <f aca="false">COUNTIF(DU293:EH293, "&lt;&gt;")</f>
        <v>0</v>
      </c>
      <c r="AZ293" s="0" t="n">
        <f aca="false">IF(EH293&lt;&gt;"",1,0)</f>
        <v>0</v>
      </c>
      <c r="BB293" s="0" t="s">
        <v>152</v>
      </c>
    </row>
    <row r="294" customFormat="false" ht="13.8" hidden="false" customHeight="false" outlineLevel="0" collapsed="false">
      <c r="A294" s="0" t="s">
        <v>1679</v>
      </c>
      <c r="B294" s="0" t="n">
        <v>78</v>
      </c>
      <c r="C294" s="0" t="n">
        <v>291839</v>
      </c>
      <c r="D294" s="0" t="s">
        <v>770</v>
      </c>
      <c r="E294" s="0" t="s">
        <v>1680</v>
      </c>
      <c r="F294" s="0" t="str">
        <f aca="false">CONCATENATE(D294," ",LEFT(H294,4),"T=",AU294,"D=",AV294,"R=",AW294,"M=",AX294,"L=",AY294,"B=",AZ294)</f>
        <v>ALLEN T=2D=0R=0M=0L=2B=0</v>
      </c>
      <c r="G294" s="0" t="s">
        <v>175</v>
      </c>
      <c r="I294" s="0" t="s">
        <v>1681</v>
      </c>
      <c r="J294" s="0" t="s">
        <v>1682</v>
      </c>
      <c r="K294" s="0" t="s">
        <v>160</v>
      </c>
      <c r="M294" s="0" t="s">
        <v>1683</v>
      </c>
      <c r="N294" s="0" t="str">
        <f aca="false">RIGHT(M294,LEN(M294)-FIND(" ",M294))</f>
        <v>BURTON ST SE</v>
      </c>
      <c r="P294" s="0" t="s">
        <v>145</v>
      </c>
      <c r="Q294" s="0" t="s">
        <v>146</v>
      </c>
      <c r="R294" s="0" t="n">
        <v>44484</v>
      </c>
      <c r="AD294" s="0" t="s">
        <v>147</v>
      </c>
      <c r="AE294" s="0" t="s">
        <v>148</v>
      </c>
      <c r="AF294" s="0" t="s">
        <v>149</v>
      </c>
      <c r="AH294" s="0" t="n">
        <v>14</v>
      </c>
      <c r="AI294" s="0" t="n">
        <v>11</v>
      </c>
      <c r="AN294" s="0" t="s">
        <v>145</v>
      </c>
      <c r="AO294" s="0" t="s">
        <v>233</v>
      </c>
      <c r="AP294" s="0" t="s">
        <v>234</v>
      </c>
      <c r="AQ294" s="0" t="n">
        <v>9</v>
      </c>
      <c r="AR294" s="0" t="n">
        <v>64</v>
      </c>
      <c r="AS294" s="0" t="n">
        <v>32</v>
      </c>
      <c r="AU294" s="0" t="n">
        <f aca="false">COUNTA($BA$2148:$EH$2148)</f>
        <v>2</v>
      </c>
      <c r="AV294" s="0" t="n">
        <f aca="false">COUNTIF($BA$2148:$EH$2148,"D")</f>
        <v>0</v>
      </c>
      <c r="AW294" s="0" t="n">
        <f aca="false">COUNTIF($BA$2148:$EH$2148,"R")</f>
        <v>0</v>
      </c>
      <c r="AX294" s="0" t="n">
        <f aca="false">IF(BN294="D",1,0)+IF(BO294="D",1,0)+IF(BT294="D",1,0)+IF(BU294="D",1,0)+IF(BW294="D",1,0)+IF(CC294="D",1,0)+IF(CD294="D",1,0)+IF(CE294="D",1,0)+IF(CF294="D",1,0)+IF(CL294="D",1,0)+IF(CM294="D",1,0)+IF(CQ294="D",1,0)+IF(CR294="D",1,0)+IF(CS294="D",1,0)+IF(CW294="D",1,0)+IF(CX294="D",1,0)+IF(DD294="D",1,0)+IF(DE294="D",1,0)+IF(DJ294="D",1,0)+IF(DK294="D",1,0)+IF(DO294="D",1,0)+IF(DP294="D",1,0)+IF(DQ294="D",1,0)+IF(DW294="D",1,0)+IF(DZ294="D",1,0)+IF(EH294="D",1,0)</f>
        <v>0</v>
      </c>
      <c r="AY294" s="0" t="n">
        <f aca="false">COUNTIF(DU294:EH294, "&lt;&gt;")</f>
        <v>2</v>
      </c>
      <c r="AZ294" s="0" t="n">
        <f aca="false">IF(EH294&lt;&gt;"",1,0)</f>
        <v>0</v>
      </c>
      <c r="BB294" s="0" t="s">
        <v>152</v>
      </c>
      <c r="BL294" s="0" t="s">
        <v>153</v>
      </c>
      <c r="CA294" s="0" t="s">
        <v>153</v>
      </c>
      <c r="CN294" s="0" t="s">
        <v>153</v>
      </c>
      <c r="CP294" s="0" t="s">
        <v>153</v>
      </c>
      <c r="CV294" s="0" t="s">
        <v>153</v>
      </c>
      <c r="DC294" s="0" t="s">
        <v>153</v>
      </c>
      <c r="DI294" s="0" t="s">
        <v>153</v>
      </c>
      <c r="DN294" s="0" t="s">
        <v>153</v>
      </c>
      <c r="DU294" s="0" t="s">
        <v>153</v>
      </c>
      <c r="EF294" s="0" t="s">
        <v>153</v>
      </c>
    </row>
    <row r="295" customFormat="false" ht="13.8" hidden="true" customHeight="false" outlineLevel="0" collapsed="false">
      <c r="A295" s="0" t="s">
        <v>1684</v>
      </c>
      <c r="B295" s="0" t="n">
        <v>78</v>
      </c>
      <c r="C295" s="0" t="n">
        <v>390486</v>
      </c>
      <c r="D295" s="0" t="s">
        <v>1661</v>
      </c>
      <c r="E295" s="0" t="s">
        <v>1685</v>
      </c>
      <c r="F295" s="0" t="str">
        <f aca="false">CONCATENATE(D295," ",LEFT(H295,4),"T=",AU295,"D=",AV295,"R=",AW295,"M=",AX295,"L=",AY295,"B=",AZ295)</f>
        <v>JACKSON T=2D=0R=0M=0L=1B=0</v>
      </c>
      <c r="G295" s="0" t="s">
        <v>1031</v>
      </c>
      <c r="I295" s="0" t="s">
        <v>1686</v>
      </c>
      <c r="J295" s="0" t="s">
        <v>1038</v>
      </c>
      <c r="K295" s="0" t="s">
        <v>160</v>
      </c>
      <c r="M295" s="0" t="s">
        <v>1687</v>
      </c>
      <c r="N295" s="0" t="str">
        <f aca="false">RIGHT(M295,LEN(M295)-FIND(" ",M295))</f>
        <v>BURTON ST SE</v>
      </c>
      <c r="P295" s="0" t="s">
        <v>145</v>
      </c>
      <c r="Q295" s="0" t="s">
        <v>146</v>
      </c>
      <c r="R295" s="0" t="n">
        <v>44484</v>
      </c>
      <c r="AD295" s="0" t="s">
        <v>147</v>
      </c>
      <c r="AE295" s="0" t="s">
        <v>148</v>
      </c>
      <c r="AF295" s="0" t="s">
        <v>149</v>
      </c>
      <c r="AH295" s="0" t="n">
        <v>14</v>
      </c>
      <c r="AI295" s="0" t="n">
        <v>11</v>
      </c>
      <c r="AN295" s="0" t="s">
        <v>145</v>
      </c>
      <c r="AO295" s="0" t="s">
        <v>233</v>
      </c>
      <c r="AP295" s="0" t="s">
        <v>234</v>
      </c>
      <c r="AQ295" s="0" t="n">
        <v>9</v>
      </c>
      <c r="AR295" s="0" t="n">
        <v>64</v>
      </c>
      <c r="AS295" s="0" t="n">
        <v>32</v>
      </c>
      <c r="AU295" s="0" t="n">
        <f aca="false">COUNTA($BA$2162:$EH$2162)</f>
        <v>2</v>
      </c>
      <c r="AV295" s="0" t="n">
        <f aca="false">COUNTIF($BA$2162:$EH$2162,"D")</f>
        <v>0</v>
      </c>
      <c r="AW295" s="0" t="n">
        <f aca="false">COUNTIF($BA$2162:$EH$2162,"R")</f>
        <v>0</v>
      </c>
      <c r="AX295" s="0" t="n">
        <f aca="false">IF(BN295="D",1,0)+IF(BO295="D",1,0)+IF(BT295="D",1,0)+IF(BU295="D",1,0)+IF(BW295="D",1,0)+IF(CC295="D",1,0)+IF(CD295="D",1,0)+IF(CE295="D",1,0)+IF(CF295="D",1,0)+IF(CL295="D",1,0)+IF(CM295="D",1,0)+IF(CQ295="D",1,0)+IF(CR295="D",1,0)+IF(CS295="D",1,0)+IF(CW295="D",1,0)+IF(CX295="D",1,0)+IF(DD295="D",1,0)+IF(DE295="D",1,0)+IF(DJ295="D",1,0)+IF(DK295="D",1,0)+IF(DO295="D",1,0)+IF(DP295="D",1,0)+IF(DQ295="D",1,0)+IF(DW295="D",1,0)+IF(DZ295="D",1,0)+IF(EH295="D",1,0)</f>
        <v>0</v>
      </c>
      <c r="AY295" s="0" t="n">
        <f aca="false">COUNTIF(DU295:EH295, "&lt;&gt;")</f>
        <v>1</v>
      </c>
      <c r="AZ295" s="0" t="n">
        <f aca="false">IF(EH295&lt;&gt;"",1,0)</f>
        <v>0</v>
      </c>
      <c r="BB295" s="0" t="s">
        <v>152</v>
      </c>
      <c r="CP295" s="0" t="s">
        <v>153</v>
      </c>
      <c r="DC295" s="0" t="s">
        <v>153</v>
      </c>
      <c r="DI295" s="0" t="s">
        <v>153</v>
      </c>
      <c r="DN295" s="0" t="s">
        <v>153</v>
      </c>
      <c r="EF295" s="0" t="s">
        <v>153</v>
      </c>
    </row>
    <row r="296" customFormat="false" ht="13.8" hidden="false" customHeight="false" outlineLevel="0" collapsed="false">
      <c r="A296" s="0" t="s">
        <v>1688</v>
      </c>
      <c r="B296" s="0" t="n">
        <v>78</v>
      </c>
      <c r="C296" s="0" t="n">
        <v>491421</v>
      </c>
      <c r="D296" s="0" t="s">
        <v>770</v>
      </c>
      <c r="E296" s="0" t="s">
        <v>1689</v>
      </c>
      <c r="F296" s="0" t="str">
        <f aca="false">CONCATENATE(D296," ",LEFT(H296,4),"T=",AU296,"D=",AV296,"R=",AW296,"M=",AX296,"L=",AY296,"B=",AZ296)</f>
        <v>ALLEN JRT=10D=1R=1M=0L=2B=0</v>
      </c>
      <c r="H296" s="0" t="s">
        <v>314</v>
      </c>
      <c r="I296" s="0" t="s">
        <v>1690</v>
      </c>
      <c r="J296" s="0" t="s">
        <v>1658</v>
      </c>
      <c r="K296" s="0" t="s">
        <v>160</v>
      </c>
      <c r="M296" s="0" t="s">
        <v>1687</v>
      </c>
      <c r="N296" s="0" t="str">
        <f aca="false">RIGHT(M296,LEN(M296)-FIND(" ",M296))</f>
        <v>BURTON ST SE</v>
      </c>
      <c r="O296" s="0" t="s">
        <v>1691</v>
      </c>
      <c r="P296" s="0" t="s">
        <v>145</v>
      </c>
      <c r="Q296" s="0" t="s">
        <v>146</v>
      </c>
      <c r="R296" s="0" t="n">
        <v>44484</v>
      </c>
      <c r="AD296" s="0" t="s">
        <v>147</v>
      </c>
      <c r="AE296" s="0" t="s">
        <v>148</v>
      </c>
      <c r="AF296" s="0" t="s">
        <v>149</v>
      </c>
      <c r="AH296" s="0" t="n">
        <v>14</v>
      </c>
      <c r="AI296" s="0" t="n">
        <v>11</v>
      </c>
      <c r="AN296" s="0" t="s">
        <v>145</v>
      </c>
      <c r="AO296" s="0" t="s">
        <v>233</v>
      </c>
      <c r="AP296" s="0" t="s">
        <v>234</v>
      </c>
      <c r="AQ296" s="0" t="n">
        <v>9</v>
      </c>
      <c r="AR296" s="0" t="n">
        <v>64</v>
      </c>
      <c r="AS296" s="0" t="n">
        <v>32</v>
      </c>
      <c r="AU296" s="0" t="n">
        <f aca="false">COUNTA($BA$2462:$EH$2462)</f>
        <v>10</v>
      </c>
      <c r="AV296" s="0" t="n">
        <f aca="false">COUNTIF($BA$2462:$EH$2462,"D")</f>
        <v>1</v>
      </c>
      <c r="AW296" s="0" t="n">
        <f aca="false">COUNTIF($BA$2462:$EH$2462,"R")</f>
        <v>1</v>
      </c>
      <c r="AX296" s="0" t="n">
        <f aca="false">IF(BN296="D",1,0)+IF(BO296="D",1,0)+IF(BT296="D",1,0)+IF(BU296="D",1,0)+IF(BW296="D",1,0)+IF(CC296="D",1,0)+IF(CD296="D",1,0)+IF(CE296="D",1,0)+IF(CF296="D",1,0)+IF(CL296="D",1,0)+IF(CM296="D",1,0)+IF(CQ296="D",1,0)+IF(CR296="D",1,0)+IF(CS296="D",1,0)+IF(CW296="D",1,0)+IF(CX296="D",1,0)+IF(DD296="D",1,0)+IF(DE296="D",1,0)+IF(DJ296="D",1,0)+IF(DK296="D",1,0)+IF(DO296="D",1,0)+IF(DP296="D",1,0)+IF(DQ296="D",1,0)+IF(DW296="D",1,0)+IF(DZ296="D",1,0)+IF(EH296="D",1,0)</f>
        <v>0</v>
      </c>
      <c r="AY296" s="0" t="n">
        <f aca="false">COUNTIF(DU296:EH296, "&lt;&gt;")</f>
        <v>2</v>
      </c>
      <c r="AZ296" s="0" t="n">
        <f aca="false">IF(EH296&lt;&gt;"",1,0)</f>
        <v>0</v>
      </c>
      <c r="BB296" s="0" t="s">
        <v>152</v>
      </c>
      <c r="CP296" s="0" t="s">
        <v>153</v>
      </c>
      <c r="DU296" s="0" t="s">
        <v>153</v>
      </c>
      <c r="EF296" s="0" t="s">
        <v>153</v>
      </c>
    </row>
    <row r="297" customFormat="false" ht="13.8" hidden="true" customHeight="false" outlineLevel="0" collapsed="false">
      <c r="A297" s="0" t="s">
        <v>1692</v>
      </c>
      <c r="B297" s="0" t="n">
        <v>78</v>
      </c>
      <c r="C297" s="0" t="n">
        <v>308913</v>
      </c>
      <c r="D297" s="0" t="s">
        <v>1693</v>
      </c>
      <c r="E297" s="0" t="s">
        <v>658</v>
      </c>
      <c r="F297" s="0" t="str">
        <f aca="false">CONCATENATE(D297," ",LEFT(H297,4),"T=",AU297,"D=",AV297,"R=",AW297,"M=",AX297,"L=",AY297,"B=",AZ297)</f>
        <v>WILLIAMSON T=16D=1R=3M=0L=0B=0</v>
      </c>
      <c r="G297" s="0" t="s">
        <v>190</v>
      </c>
      <c r="I297" s="0" t="s">
        <v>1694</v>
      </c>
      <c r="J297" s="0" t="s">
        <v>1695</v>
      </c>
      <c r="K297" s="0" t="s">
        <v>160</v>
      </c>
      <c r="M297" s="0" t="s">
        <v>1696</v>
      </c>
      <c r="N297" s="0" t="str">
        <f aca="false">RIGHT(M297,LEN(M297)-FIND(" ",M297))</f>
        <v>CAROLINA AVE SE</v>
      </c>
      <c r="P297" s="0" t="s">
        <v>145</v>
      </c>
      <c r="Q297" s="0" t="s">
        <v>146</v>
      </c>
      <c r="R297" s="0" t="n">
        <v>44484</v>
      </c>
      <c r="AD297" s="0" t="s">
        <v>147</v>
      </c>
      <c r="AE297" s="0" t="s">
        <v>148</v>
      </c>
      <c r="AF297" s="0" t="s">
        <v>149</v>
      </c>
      <c r="AH297" s="0" t="n">
        <v>14</v>
      </c>
      <c r="AI297" s="0" t="n">
        <v>11</v>
      </c>
      <c r="AN297" s="0" t="s">
        <v>145</v>
      </c>
      <c r="AO297" s="0" t="s">
        <v>233</v>
      </c>
      <c r="AP297" s="0" t="s">
        <v>234</v>
      </c>
      <c r="AQ297" s="0" t="n">
        <v>9</v>
      </c>
      <c r="AR297" s="0" t="n">
        <v>64</v>
      </c>
      <c r="AS297" s="0" t="n">
        <v>32</v>
      </c>
      <c r="AU297" s="0" t="n">
        <f aca="false">COUNTA($BA$2315:$EH$2315)</f>
        <v>16</v>
      </c>
      <c r="AV297" s="0" t="n">
        <f aca="false">COUNTIF($BA$2315:$EH$2315,"D")</f>
        <v>1</v>
      </c>
      <c r="AW297" s="0" t="n">
        <f aca="false">COUNTIF($BA$2315:$EH$2315,"R")</f>
        <v>3</v>
      </c>
      <c r="AX297" s="0" t="n">
        <f aca="false">IF(BN297="D",1,0)+IF(BO297="D",1,0)+IF(BT297="D",1,0)+IF(BU297="D",1,0)+IF(BW297="D",1,0)+IF(CC297="D",1,0)+IF(CD297="D",1,0)+IF(CE297="D",1,0)+IF(CF297="D",1,0)+IF(CL297="D",1,0)+IF(CM297="D",1,0)+IF(CQ297="D",1,0)+IF(CR297="D",1,0)+IF(CS297="D",1,0)+IF(CW297="D",1,0)+IF(CX297="D",1,0)+IF(DD297="D",1,0)+IF(DE297="D",1,0)+IF(DJ297="D",1,0)+IF(DK297="D",1,0)+IF(DO297="D",1,0)+IF(DP297="D",1,0)+IF(DQ297="D",1,0)+IF(DW297="D",1,0)+IF(DZ297="D",1,0)+IF(EH297="D",1,0)</f>
        <v>0</v>
      </c>
      <c r="AY297" s="0" t="n">
        <f aca="false">COUNTIF(DU297:EH297, "&lt;&gt;")</f>
        <v>0</v>
      </c>
      <c r="AZ297" s="0" t="n">
        <f aca="false">IF(EH297&lt;&gt;"",1,0)</f>
        <v>0</v>
      </c>
      <c r="BB297" s="0" t="s">
        <v>152</v>
      </c>
      <c r="CA297" s="0" t="s">
        <v>153</v>
      </c>
      <c r="DN297" s="0" t="s">
        <v>153</v>
      </c>
    </row>
    <row r="298" customFormat="false" ht="13.8" hidden="true" customHeight="false" outlineLevel="0" collapsed="false">
      <c r="A298" s="0" t="s">
        <v>1697</v>
      </c>
      <c r="B298" s="0" t="n">
        <v>78</v>
      </c>
      <c r="C298" s="0" t="n">
        <v>321471</v>
      </c>
      <c r="D298" s="0" t="s">
        <v>1698</v>
      </c>
      <c r="E298" s="0" t="s">
        <v>1699</v>
      </c>
      <c r="F298" s="0" t="str">
        <f aca="false">CONCATENATE(D298," ",LEFT(H298,4),"T=",AU298,"D=",AV298,"R=",AW298,"M=",AX298,"L=",AY298,"B=",AZ298)</f>
        <v>ELKINS T=4D=0R=0M=0L=1B=0</v>
      </c>
      <c r="G298" s="0" t="s">
        <v>357</v>
      </c>
      <c r="I298" s="0" t="s">
        <v>1700</v>
      </c>
      <c r="J298" s="0" t="s">
        <v>1701</v>
      </c>
      <c r="K298" s="0" t="s">
        <v>160</v>
      </c>
      <c r="M298" s="0" t="s">
        <v>1702</v>
      </c>
      <c r="N298" s="0" t="str">
        <f aca="false">RIGHT(M298,LEN(M298)-FIND(" ",M298))</f>
        <v>CAROLINA AVE SE</v>
      </c>
      <c r="P298" s="0" t="s">
        <v>145</v>
      </c>
      <c r="Q298" s="0" t="s">
        <v>146</v>
      </c>
      <c r="R298" s="0" t="n">
        <v>44484</v>
      </c>
      <c r="AD298" s="0" t="s">
        <v>147</v>
      </c>
      <c r="AE298" s="0" t="s">
        <v>148</v>
      </c>
      <c r="AF298" s="0" t="s">
        <v>149</v>
      </c>
      <c r="AH298" s="0" t="n">
        <v>14</v>
      </c>
      <c r="AI298" s="0" t="n">
        <v>11</v>
      </c>
      <c r="AN298" s="0" t="s">
        <v>145</v>
      </c>
      <c r="AO298" s="0" t="s">
        <v>233</v>
      </c>
      <c r="AP298" s="0" t="s">
        <v>234</v>
      </c>
      <c r="AQ298" s="0" t="n">
        <v>9</v>
      </c>
      <c r="AR298" s="0" t="n">
        <v>64</v>
      </c>
      <c r="AS298" s="0" t="n">
        <v>32</v>
      </c>
      <c r="AU298" s="0" t="n">
        <f aca="false">COUNTA($BA$2527:$EH$2527)</f>
        <v>4</v>
      </c>
      <c r="AV298" s="0" t="n">
        <f aca="false">COUNTIF($BA$2527:$EH$2527,"D")</f>
        <v>0</v>
      </c>
      <c r="AW298" s="0" t="n">
        <f aca="false">COUNTIF($BA$2527:$EH$2527,"R")</f>
        <v>0</v>
      </c>
      <c r="AX298" s="0" t="n">
        <f aca="false">IF(BN298="D",1,0)+IF(BO298="D",1,0)+IF(BT298="D",1,0)+IF(BU298="D",1,0)+IF(BW298="D",1,0)+IF(CC298="D",1,0)+IF(CD298="D",1,0)+IF(CE298="D",1,0)+IF(CF298="D",1,0)+IF(CL298="D",1,0)+IF(CM298="D",1,0)+IF(CQ298="D",1,0)+IF(CR298="D",1,0)+IF(CS298="D",1,0)+IF(CW298="D",1,0)+IF(CX298="D",1,0)+IF(DD298="D",1,0)+IF(DE298="D",1,0)+IF(DJ298="D",1,0)+IF(DK298="D",1,0)+IF(DO298="D",1,0)+IF(DP298="D",1,0)+IF(DQ298="D",1,0)+IF(DW298="D",1,0)+IF(DZ298="D",1,0)+IF(EH298="D",1,0)</f>
        <v>0</v>
      </c>
      <c r="AY298" s="0" t="n">
        <f aca="false">COUNTIF(DU298:EH298, "&lt;&gt;")</f>
        <v>1</v>
      </c>
      <c r="AZ298" s="0" t="n">
        <f aca="false">IF(EH298&lt;&gt;"",1,0)</f>
        <v>0</v>
      </c>
      <c r="BB298" s="0" t="s">
        <v>152</v>
      </c>
      <c r="BS298" s="0" t="s">
        <v>153</v>
      </c>
      <c r="BV298" s="0" t="s">
        <v>153</v>
      </c>
      <c r="BY298" s="0" t="s">
        <v>175</v>
      </c>
      <c r="CA298" s="0" t="s">
        <v>153</v>
      </c>
      <c r="CP298" s="0" t="s">
        <v>153</v>
      </c>
      <c r="DC298" s="0" t="s">
        <v>153</v>
      </c>
      <c r="DF298" s="0" t="s">
        <v>153</v>
      </c>
      <c r="DI298" s="0" t="s">
        <v>153</v>
      </c>
      <c r="DN298" s="0" t="s">
        <v>153</v>
      </c>
      <c r="EF298" s="0" t="s">
        <v>153</v>
      </c>
    </row>
    <row r="299" customFormat="false" ht="13.8" hidden="true" customHeight="false" outlineLevel="0" collapsed="false">
      <c r="A299" s="0" t="s">
        <v>1703</v>
      </c>
      <c r="B299" s="0" t="n">
        <v>78</v>
      </c>
      <c r="C299" s="0" t="n">
        <v>457797</v>
      </c>
      <c r="D299" s="0" t="s">
        <v>1704</v>
      </c>
      <c r="E299" s="0" t="s">
        <v>292</v>
      </c>
      <c r="F299" s="0" t="str">
        <f aca="false">CONCATENATE(D299," ",LEFT(H299,4),"T=",AU299,"D=",AV299,"R=",AW299,"M=",AX299,"L=",AY299,"B=",AZ299)</f>
        <v>ELLIS JRT=2D=0R=0M=0L=0B=0</v>
      </c>
      <c r="G299" s="0" t="s">
        <v>770</v>
      </c>
      <c r="H299" s="0" t="s">
        <v>314</v>
      </c>
      <c r="I299" s="0" t="s">
        <v>1705</v>
      </c>
      <c r="J299" s="0" t="s">
        <v>1706</v>
      </c>
      <c r="K299" s="0" t="s">
        <v>160</v>
      </c>
      <c r="M299" s="0" t="s">
        <v>1707</v>
      </c>
      <c r="N299" s="0" t="str">
        <f aca="false">RIGHT(M299,LEN(M299)-FIND(" ",M299))</f>
        <v>CAROLINA AVE SE</v>
      </c>
      <c r="P299" s="0" t="s">
        <v>145</v>
      </c>
      <c r="Q299" s="0" t="s">
        <v>146</v>
      </c>
      <c r="R299" s="0" t="n">
        <v>44484</v>
      </c>
      <c r="AD299" s="0" t="s">
        <v>147</v>
      </c>
      <c r="AE299" s="0" t="s">
        <v>148</v>
      </c>
      <c r="AF299" s="0" t="s">
        <v>149</v>
      </c>
      <c r="AH299" s="0" t="n">
        <v>14</v>
      </c>
      <c r="AI299" s="0" t="n">
        <v>11</v>
      </c>
      <c r="AN299" s="0" t="s">
        <v>145</v>
      </c>
      <c r="AO299" s="0" t="s">
        <v>233</v>
      </c>
      <c r="AP299" s="0" t="s">
        <v>234</v>
      </c>
      <c r="AQ299" s="0" t="n">
        <v>9</v>
      </c>
      <c r="AR299" s="0" t="n">
        <v>64</v>
      </c>
      <c r="AS299" s="0" t="n">
        <v>32</v>
      </c>
      <c r="AU299" s="0" t="n">
        <f aca="false">COUNTA($BA$2103:$EH$2103)</f>
        <v>2</v>
      </c>
      <c r="AV299" s="0" t="n">
        <f aca="false">COUNTIF($BA$2103:$EH$2103,"D")</f>
        <v>0</v>
      </c>
      <c r="AW299" s="0" t="n">
        <f aca="false">COUNTIF($BA$2103:$EH$2103,"R")</f>
        <v>0</v>
      </c>
      <c r="AX299" s="0" t="n">
        <f aca="false">IF(BN299="D",1,0)+IF(BO299="D",1,0)+IF(BT299="D",1,0)+IF(BU299="D",1,0)+IF(BW299="D",1,0)+IF(CC299="D",1,0)+IF(CD299="D",1,0)+IF(CE299="D",1,0)+IF(CF299="D",1,0)+IF(CL299="D",1,0)+IF(CM299="D",1,0)+IF(CQ299="D",1,0)+IF(CR299="D",1,0)+IF(CS299="D",1,0)+IF(CW299="D",1,0)+IF(CX299="D",1,0)+IF(DD299="D",1,0)+IF(DE299="D",1,0)+IF(DJ299="D",1,0)+IF(DK299="D",1,0)+IF(DO299="D",1,0)+IF(DP299="D",1,0)+IF(DQ299="D",1,0)+IF(DW299="D",1,0)+IF(DZ299="D",1,0)+IF(EH299="D",1,0)</f>
        <v>0</v>
      </c>
      <c r="AY299" s="0" t="n">
        <f aca="false">COUNTIF(DU299:EH299, "&lt;&gt;")</f>
        <v>0</v>
      </c>
      <c r="AZ299" s="0" t="n">
        <f aca="false">IF(EH299&lt;&gt;"",1,0)</f>
        <v>0</v>
      </c>
      <c r="BB299" s="0" t="s">
        <v>152</v>
      </c>
    </row>
    <row r="300" customFormat="false" ht="13.8" hidden="true" customHeight="false" outlineLevel="0" collapsed="false">
      <c r="A300" s="0" t="s">
        <v>1708</v>
      </c>
      <c r="B300" s="0" t="n">
        <v>78</v>
      </c>
      <c r="C300" s="0" t="n">
        <v>431504</v>
      </c>
      <c r="D300" s="0" t="s">
        <v>1709</v>
      </c>
      <c r="E300" s="0" t="s">
        <v>1710</v>
      </c>
      <c r="F300" s="0" t="str">
        <f aca="false">CONCATENATE(D300," ",LEFT(H300,4),"T=",AU300,"D=",AV300,"R=",AW300,"M=",AX300,"L=",AY300,"B=",AZ300)</f>
        <v>HARLEY T=1D=0R=0M=0L=0B=0</v>
      </c>
      <c r="G300" s="0" t="s">
        <v>202</v>
      </c>
      <c r="I300" s="0" t="s">
        <v>1711</v>
      </c>
      <c r="J300" s="0" t="s">
        <v>1712</v>
      </c>
      <c r="K300" s="0" t="s">
        <v>160</v>
      </c>
      <c r="M300" s="0" t="s">
        <v>1713</v>
      </c>
      <c r="N300" s="0" t="str">
        <f aca="false">RIGHT(M300,LEN(M300)-FIND(" ",M300))</f>
        <v>CAROLINA AVE SE</v>
      </c>
      <c r="P300" s="0" t="s">
        <v>145</v>
      </c>
      <c r="Q300" s="0" t="s">
        <v>146</v>
      </c>
      <c r="R300" s="0" t="n">
        <v>44484</v>
      </c>
      <c r="AD300" s="0" t="s">
        <v>147</v>
      </c>
      <c r="AE300" s="0" t="s">
        <v>148</v>
      </c>
      <c r="AF300" s="0" t="s">
        <v>149</v>
      </c>
      <c r="AH300" s="0" t="n">
        <v>14</v>
      </c>
      <c r="AI300" s="0" t="n">
        <v>11</v>
      </c>
      <c r="AN300" s="0" t="s">
        <v>145</v>
      </c>
      <c r="AO300" s="0" t="s">
        <v>233</v>
      </c>
      <c r="AP300" s="0" t="s">
        <v>234</v>
      </c>
      <c r="AQ300" s="0" t="n">
        <v>9</v>
      </c>
      <c r="AR300" s="0" t="n">
        <v>64</v>
      </c>
      <c r="AS300" s="0" t="n">
        <v>32</v>
      </c>
      <c r="AU300" s="0" t="n">
        <f aca="false">COUNTA($BA$2355:$EH$2355)</f>
        <v>1</v>
      </c>
      <c r="AV300" s="0" t="n">
        <f aca="false">COUNTIF($BA$2355:$EH$2355,"D")</f>
        <v>0</v>
      </c>
      <c r="AW300" s="0" t="n">
        <f aca="false">COUNTIF($BA$2355:$EH$2355,"R")</f>
        <v>0</v>
      </c>
      <c r="AX300" s="0" t="n">
        <f aca="false">IF(BN300="D",1,0)+IF(BO300="D",1,0)+IF(BT300="D",1,0)+IF(BU300="D",1,0)+IF(BW300="D",1,0)+IF(CC300="D",1,0)+IF(CD300="D",1,0)+IF(CE300="D",1,0)+IF(CF300="D",1,0)+IF(CL300="D",1,0)+IF(CM300="D",1,0)+IF(CQ300="D",1,0)+IF(CR300="D",1,0)+IF(CS300="D",1,0)+IF(CW300="D",1,0)+IF(CX300="D",1,0)+IF(DD300="D",1,0)+IF(DE300="D",1,0)+IF(DJ300="D",1,0)+IF(DK300="D",1,0)+IF(DO300="D",1,0)+IF(DP300="D",1,0)+IF(DQ300="D",1,0)+IF(DW300="D",1,0)+IF(DZ300="D",1,0)+IF(EH300="D",1,0)</f>
        <v>0</v>
      </c>
      <c r="AY300" s="0" t="n">
        <f aca="false">COUNTIF(DU300:EH300, "&lt;&gt;")</f>
        <v>0</v>
      </c>
      <c r="AZ300" s="0" t="n">
        <f aca="false">IF(EH300&lt;&gt;"",1,0)</f>
        <v>0</v>
      </c>
      <c r="BB300" s="0" t="s">
        <v>152</v>
      </c>
    </row>
    <row r="301" customFormat="false" ht="13.8" hidden="false" customHeight="false" outlineLevel="0" collapsed="false">
      <c r="A301" s="0" t="s">
        <v>1714</v>
      </c>
      <c r="B301" s="0" t="n">
        <v>78</v>
      </c>
      <c r="C301" s="0" t="n">
        <v>385664</v>
      </c>
      <c r="D301" s="0" t="s">
        <v>1715</v>
      </c>
      <c r="E301" s="0" t="s">
        <v>1716</v>
      </c>
      <c r="F301" s="0" t="str">
        <f aca="false">CONCATENATE(D301," ",LEFT(H301,4),"T=",AU301,"D=",AV301,"R=",AW301,"M=",AX301,"L=",AY301,"B=",AZ301)</f>
        <v>WIANT T=11D=3R=0M=1L=2B=0</v>
      </c>
      <c r="G301" s="0" t="s">
        <v>325</v>
      </c>
      <c r="I301" s="0" t="s">
        <v>1717</v>
      </c>
      <c r="J301" s="0" t="s">
        <v>1718</v>
      </c>
      <c r="K301" s="0" t="s">
        <v>160</v>
      </c>
      <c r="M301" s="0" t="s">
        <v>1719</v>
      </c>
      <c r="N301" s="0" t="str">
        <f aca="false">RIGHT(M301,LEN(M301)-FIND(" ",M301))</f>
        <v>CHARLES AVE NE</v>
      </c>
      <c r="P301" s="0" t="s">
        <v>145</v>
      </c>
      <c r="Q301" s="0" t="s">
        <v>146</v>
      </c>
      <c r="R301" s="0" t="n">
        <v>44483</v>
      </c>
      <c r="AD301" s="0" t="s">
        <v>147</v>
      </c>
      <c r="AE301" s="0" t="s">
        <v>148</v>
      </c>
      <c r="AF301" s="0" t="s">
        <v>149</v>
      </c>
      <c r="AH301" s="0" t="n">
        <v>14</v>
      </c>
      <c r="AI301" s="0" t="n">
        <v>11</v>
      </c>
      <c r="AN301" s="0" t="s">
        <v>145</v>
      </c>
      <c r="AO301" s="0" t="s">
        <v>654</v>
      </c>
      <c r="AP301" s="0" t="s">
        <v>655</v>
      </c>
      <c r="AQ301" s="0" t="n">
        <v>9</v>
      </c>
      <c r="AR301" s="0" t="n">
        <v>64</v>
      </c>
      <c r="AS301" s="0" t="n">
        <v>32</v>
      </c>
      <c r="AU301" s="0" t="n">
        <f aca="false">COUNTA($BA$1950:$EH$1950)</f>
        <v>11</v>
      </c>
      <c r="AV301" s="0" t="n">
        <f aca="false">COUNTIF($BA$1950:$EH$1950,"D")</f>
        <v>3</v>
      </c>
      <c r="AW301" s="0" t="n">
        <f aca="false">COUNTIF($BA$1950:$EH$1950,"R")</f>
        <v>0</v>
      </c>
      <c r="AX301" s="0" t="n">
        <f aca="false">IF(BN301="D",1,0)+IF(BO301="D",1,0)+IF(BT301="D",1,0)+IF(BU301="D",1,0)+IF(BW301="D",1,0)+IF(CC301="D",1,0)+IF(CD301="D",1,0)+IF(CE301="D",1,0)+IF(CF301="D",1,0)+IF(CL301="D",1,0)+IF(CM301="D",1,0)+IF(CQ301="D",1,0)+IF(CR301="D",1,0)+IF(CS301="D",1,0)+IF(CW301="D",1,0)+IF(CX301="D",1,0)+IF(DD301="D",1,0)+IF(DE301="D",1,0)+IF(DJ301="D",1,0)+IF(DK301="D",1,0)+IF(DO301="D",1,0)+IF(DP301="D",1,0)+IF(DQ301="D",1,0)+IF(DW301="D",1,0)+IF(DZ301="D",1,0)+IF(EH301="D",1,0)</f>
        <v>1</v>
      </c>
      <c r="AY301" s="0" t="n">
        <f aca="false">COUNTIF(DU301:EH301, "&lt;&gt;")</f>
        <v>2</v>
      </c>
      <c r="AZ301" s="0" t="n">
        <f aca="false">IF(EH301&lt;&gt;"",1,0)</f>
        <v>0</v>
      </c>
      <c r="BB301" s="0" t="s">
        <v>152</v>
      </c>
      <c r="CO301" s="0" t="s">
        <v>175</v>
      </c>
      <c r="CP301" s="0" t="s">
        <v>153</v>
      </c>
      <c r="CV301" s="0" t="s">
        <v>153</v>
      </c>
      <c r="CW301" s="0" t="s">
        <v>175</v>
      </c>
      <c r="CY301" s="0" t="s">
        <v>153</v>
      </c>
      <c r="CZ301" s="0" t="s">
        <v>175</v>
      </c>
      <c r="DC301" s="0" t="s">
        <v>153</v>
      </c>
      <c r="DI301" s="0" t="s">
        <v>153</v>
      </c>
      <c r="DN301" s="0" t="s">
        <v>153</v>
      </c>
      <c r="DR301" s="0" t="s">
        <v>153</v>
      </c>
      <c r="DU301" s="0" t="s">
        <v>153</v>
      </c>
      <c r="EA301" s="0" t="s">
        <v>153</v>
      </c>
    </row>
    <row r="302" customFormat="false" ht="13.8" hidden="true" customHeight="false" outlineLevel="0" collapsed="false">
      <c r="A302" s="0" t="s">
        <v>1720</v>
      </c>
      <c r="B302" s="0" t="n">
        <v>78</v>
      </c>
      <c r="C302" s="0" t="n">
        <v>466387</v>
      </c>
      <c r="D302" s="0" t="s">
        <v>1721</v>
      </c>
      <c r="E302" s="0" t="s">
        <v>1722</v>
      </c>
      <c r="F302" s="0" t="str">
        <f aca="false">CONCATENATE(D302," ",LEFT(H302,4),"T=",AU302,"D=",AV302,"R=",AW302,"M=",AX302,"L=",AY302,"B=",AZ302)</f>
        <v>RUPLE T=8D=1R=0M=0L=1B=0</v>
      </c>
      <c r="I302" s="0" t="s">
        <v>1723</v>
      </c>
      <c r="J302" s="0" t="s">
        <v>1724</v>
      </c>
      <c r="K302" s="0" t="s">
        <v>160</v>
      </c>
      <c r="M302" s="0" t="s">
        <v>1725</v>
      </c>
      <c r="N302" s="0" t="str">
        <f aca="false">RIGHT(M302,LEN(M302)-FIND(" ",M302))</f>
        <v>CHARLES AVE NE</v>
      </c>
      <c r="P302" s="0" t="s">
        <v>145</v>
      </c>
      <c r="Q302" s="0" t="s">
        <v>146</v>
      </c>
      <c r="R302" s="0" t="n">
        <v>44483</v>
      </c>
      <c r="AD302" s="0" t="s">
        <v>147</v>
      </c>
      <c r="AE302" s="0" t="s">
        <v>148</v>
      </c>
      <c r="AF302" s="0" t="s">
        <v>149</v>
      </c>
      <c r="AH302" s="0" t="n">
        <v>14</v>
      </c>
      <c r="AI302" s="0" t="n">
        <v>11</v>
      </c>
      <c r="AN302" s="0" t="s">
        <v>145</v>
      </c>
      <c r="AO302" s="0" t="s">
        <v>654</v>
      </c>
      <c r="AP302" s="0" t="s">
        <v>655</v>
      </c>
      <c r="AQ302" s="0" t="n">
        <v>9</v>
      </c>
      <c r="AR302" s="0" t="n">
        <v>64</v>
      </c>
      <c r="AS302" s="0" t="n">
        <v>32</v>
      </c>
      <c r="AU302" s="0" t="n">
        <f aca="false">COUNTA($BA$1790:$EH$1790)</f>
        <v>8</v>
      </c>
      <c r="AV302" s="0" t="n">
        <f aca="false">COUNTIF($BA$1790:$EH$1790,"D")</f>
        <v>1</v>
      </c>
      <c r="AW302" s="0" t="n">
        <f aca="false">COUNTIF($BA$1790:$EH$1790,"R")</f>
        <v>0</v>
      </c>
      <c r="AX302" s="0" t="n">
        <f aca="false">IF(BN302="D",1,0)+IF(BO302="D",1,0)+IF(BT302="D",1,0)+IF(BU302="D",1,0)+IF(BW302="D",1,0)+IF(CC302="D",1,0)+IF(CD302="D",1,0)+IF(CE302="D",1,0)+IF(CF302="D",1,0)+IF(CL302="D",1,0)+IF(CM302="D",1,0)+IF(CQ302="D",1,0)+IF(CR302="D",1,0)+IF(CS302="D",1,0)+IF(CW302="D",1,0)+IF(CX302="D",1,0)+IF(DD302="D",1,0)+IF(DE302="D",1,0)+IF(DJ302="D",1,0)+IF(DK302="D",1,0)+IF(DO302="D",1,0)+IF(DP302="D",1,0)+IF(DQ302="D",1,0)+IF(DW302="D",1,0)+IF(DZ302="D",1,0)+IF(EH302="D",1,0)</f>
        <v>0</v>
      </c>
      <c r="AY302" s="0" t="n">
        <f aca="false">COUNTIF(DU302:EH302, "&lt;&gt;")</f>
        <v>1</v>
      </c>
      <c r="AZ302" s="0" t="n">
        <f aca="false">IF(EH302&lt;&gt;"",1,0)</f>
        <v>0</v>
      </c>
      <c r="BB302" s="0" t="s">
        <v>152</v>
      </c>
      <c r="DU302" s="0" t="s">
        <v>153</v>
      </c>
    </row>
    <row r="303" customFormat="false" ht="13.8" hidden="false" customHeight="false" outlineLevel="0" collapsed="false">
      <c r="A303" s="0" t="s">
        <v>1726</v>
      </c>
      <c r="B303" s="0" t="n">
        <v>78</v>
      </c>
      <c r="C303" s="0" t="n">
        <v>360687</v>
      </c>
      <c r="D303" s="0" t="s">
        <v>1721</v>
      </c>
      <c r="E303" s="0" t="s">
        <v>208</v>
      </c>
      <c r="F303" s="0" t="str">
        <f aca="false">CONCATENATE(D303," ",LEFT(H303,4),"T=",AU303,"D=",AV303,"R=",AW303,"M=",AX303,"L=",AY303,"B=",AZ303)</f>
        <v>RUPLE T=4D=0R=0M=0L=2B=0</v>
      </c>
      <c r="G303" s="0" t="s">
        <v>175</v>
      </c>
      <c r="I303" s="0" t="s">
        <v>1727</v>
      </c>
      <c r="J303" s="0" t="s">
        <v>1200</v>
      </c>
      <c r="K303" s="0" t="s">
        <v>160</v>
      </c>
      <c r="M303" s="0" t="s">
        <v>1725</v>
      </c>
      <c r="N303" s="0" t="str">
        <f aca="false">RIGHT(M303,LEN(M303)-FIND(" ",M303))</f>
        <v>CHARLES AVE NE</v>
      </c>
      <c r="P303" s="0" t="s">
        <v>145</v>
      </c>
      <c r="Q303" s="0" t="s">
        <v>146</v>
      </c>
      <c r="R303" s="0" t="n">
        <v>44483</v>
      </c>
      <c r="AD303" s="0" t="s">
        <v>147</v>
      </c>
      <c r="AE303" s="0" t="s">
        <v>148</v>
      </c>
      <c r="AF303" s="0" t="s">
        <v>149</v>
      </c>
      <c r="AH303" s="0" t="n">
        <v>14</v>
      </c>
      <c r="AI303" s="0" t="n">
        <v>11</v>
      </c>
      <c r="AN303" s="0" t="s">
        <v>145</v>
      </c>
      <c r="AO303" s="0" t="s">
        <v>654</v>
      </c>
      <c r="AP303" s="0" t="s">
        <v>655</v>
      </c>
      <c r="AQ303" s="0" t="n">
        <v>9</v>
      </c>
      <c r="AR303" s="0" t="n">
        <v>64</v>
      </c>
      <c r="AS303" s="0" t="n">
        <v>32</v>
      </c>
      <c r="AU303" s="0" t="n">
        <f aca="false">COUNTA($BA$2021:$EH$2021)</f>
        <v>4</v>
      </c>
      <c r="AV303" s="0" t="n">
        <f aca="false">COUNTIF($BA$2021:$EH$2021,"D")</f>
        <v>0</v>
      </c>
      <c r="AW303" s="0" t="n">
        <f aca="false">COUNTIF($BA$2021:$EH$2021,"R")</f>
        <v>0</v>
      </c>
      <c r="AX303" s="0" t="n">
        <f aca="false">IF(BN303="D",1,0)+IF(BO303="D",1,0)+IF(BT303="D",1,0)+IF(BU303="D",1,0)+IF(BW303="D",1,0)+IF(CC303="D",1,0)+IF(CD303="D",1,0)+IF(CE303="D",1,0)+IF(CF303="D",1,0)+IF(CL303="D",1,0)+IF(CM303="D",1,0)+IF(CQ303="D",1,0)+IF(CR303="D",1,0)+IF(CS303="D",1,0)+IF(CW303="D",1,0)+IF(CX303="D",1,0)+IF(DD303="D",1,0)+IF(DE303="D",1,0)+IF(DJ303="D",1,0)+IF(DK303="D",1,0)+IF(DO303="D",1,0)+IF(DP303="D",1,0)+IF(DQ303="D",1,0)+IF(DW303="D",1,0)+IF(DZ303="D",1,0)+IF(EH303="D",1,0)</f>
        <v>0</v>
      </c>
      <c r="AY303" s="0" t="n">
        <f aca="false">COUNTIF(DU303:EH303, "&lt;&gt;")</f>
        <v>2</v>
      </c>
      <c r="AZ303" s="0" t="n">
        <f aca="false">IF(EH303&lt;&gt;"",1,0)</f>
        <v>0</v>
      </c>
      <c r="BB303" s="0" t="s">
        <v>152</v>
      </c>
      <c r="CA303" s="0" t="s">
        <v>153</v>
      </c>
      <c r="CV303" s="0" t="s">
        <v>153</v>
      </c>
      <c r="DI303" s="0" t="s">
        <v>153</v>
      </c>
      <c r="DN303" s="0" t="s">
        <v>153</v>
      </c>
      <c r="DU303" s="0" t="s">
        <v>153</v>
      </c>
      <c r="DX303" s="0" t="s">
        <v>153</v>
      </c>
    </row>
    <row r="304" customFormat="false" ht="13.8" hidden="true" customHeight="false" outlineLevel="0" collapsed="false">
      <c r="A304" s="0" t="s">
        <v>1728</v>
      </c>
      <c r="B304" s="0" t="n">
        <v>78</v>
      </c>
      <c r="C304" s="0" t="n">
        <v>488232</v>
      </c>
      <c r="D304" s="0" t="s">
        <v>407</v>
      </c>
      <c r="E304" s="0" t="s">
        <v>1729</v>
      </c>
      <c r="F304" s="0" t="str">
        <f aca="false">CONCATENATE(D304," ",LEFT(H304,4),"T=",AU304,"D=",AV304,"R=",AW304,"M=",AX304,"L=",AY304,"B=",AZ304)</f>
        <v>TORRES T=2D=0R=0M=0L=0B=0</v>
      </c>
      <c r="G304" s="0" t="s">
        <v>1557</v>
      </c>
      <c r="I304" s="0" t="s">
        <v>1730</v>
      </c>
      <c r="J304" s="0" t="s">
        <v>386</v>
      </c>
      <c r="K304" s="0" t="s">
        <v>160</v>
      </c>
      <c r="M304" s="0" t="s">
        <v>1731</v>
      </c>
      <c r="N304" s="0" t="str">
        <f aca="false">RIGHT(M304,LEN(M304)-FIND(" ",M304))</f>
        <v>CHARLES AVE NE</v>
      </c>
      <c r="P304" s="0" t="s">
        <v>145</v>
      </c>
      <c r="Q304" s="0" t="s">
        <v>146</v>
      </c>
      <c r="R304" s="0" t="n">
        <v>44483</v>
      </c>
      <c r="AD304" s="0" t="s">
        <v>147</v>
      </c>
      <c r="AE304" s="0" t="s">
        <v>148</v>
      </c>
      <c r="AF304" s="0" t="s">
        <v>149</v>
      </c>
      <c r="AH304" s="0" t="n">
        <v>14</v>
      </c>
      <c r="AI304" s="0" t="n">
        <v>11</v>
      </c>
      <c r="AN304" s="0" t="s">
        <v>145</v>
      </c>
      <c r="AO304" s="0" t="s">
        <v>654</v>
      </c>
      <c r="AP304" s="0" t="s">
        <v>655</v>
      </c>
      <c r="AQ304" s="0" t="n">
        <v>9</v>
      </c>
      <c r="AR304" s="0" t="n">
        <v>64</v>
      </c>
      <c r="AS304" s="0" t="n">
        <v>32</v>
      </c>
      <c r="AU304" s="0" t="n">
        <f aca="false">COUNTA($BA$1400:$EH$1400)</f>
        <v>2</v>
      </c>
      <c r="AV304" s="0" t="n">
        <f aca="false">COUNTIF($BA$1400:$EH$1400,"D")</f>
        <v>0</v>
      </c>
      <c r="AW304" s="0" t="n">
        <f aca="false">COUNTIF($BA$1400:$EH$1400,"R")</f>
        <v>0</v>
      </c>
      <c r="AX304" s="0" t="n">
        <f aca="false">IF(BN304="D",1,0)+IF(BO304="D",1,0)+IF(BT304="D",1,0)+IF(BU304="D",1,0)+IF(BW304="D",1,0)+IF(CC304="D",1,0)+IF(CD304="D",1,0)+IF(CE304="D",1,0)+IF(CF304="D",1,0)+IF(CL304="D",1,0)+IF(CM304="D",1,0)+IF(CQ304="D",1,0)+IF(CR304="D",1,0)+IF(CS304="D",1,0)+IF(CW304="D",1,0)+IF(CX304="D",1,0)+IF(DD304="D",1,0)+IF(DE304="D",1,0)+IF(DJ304="D",1,0)+IF(DK304="D",1,0)+IF(DO304="D",1,0)+IF(DP304="D",1,0)+IF(DQ304="D",1,0)+IF(DW304="D",1,0)+IF(DZ304="D",1,0)+IF(EH304="D",1,0)</f>
        <v>0</v>
      </c>
      <c r="AY304" s="0" t="n">
        <f aca="false">COUNTIF(DU304:EH304, "&lt;&gt;")</f>
        <v>0</v>
      </c>
      <c r="AZ304" s="0" t="n">
        <f aca="false">IF(EH304&lt;&gt;"",1,0)</f>
        <v>0</v>
      </c>
      <c r="BB304" s="0" t="s">
        <v>152</v>
      </c>
    </row>
    <row r="305" customFormat="false" ht="13.8" hidden="true" customHeight="false" outlineLevel="0" collapsed="false">
      <c r="A305" s="0" t="s">
        <v>1732</v>
      </c>
      <c r="B305" s="0" t="n">
        <v>78</v>
      </c>
      <c r="C305" s="0" t="n">
        <v>451296</v>
      </c>
      <c r="D305" s="0" t="s">
        <v>1733</v>
      </c>
      <c r="E305" s="0" t="s">
        <v>224</v>
      </c>
      <c r="F305" s="0" t="str">
        <f aca="false">CONCATENATE(D305," ",LEFT(H305,4),"T=",AU305,"D=",AV305,"R=",AW305,"M=",AX305,"L=",AY305,"B=",AZ305)</f>
        <v>SCOFIELD T=1D=0R=0M=0L=1B=0</v>
      </c>
      <c r="G305" s="0" t="s">
        <v>1734</v>
      </c>
      <c r="I305" s="0" t="s">
        <v>1735</v>
      </c>
      <c r="J305" s="0" t="s">
        <v>1736</v>
      </c>
      <c r="K305" s="0" t="s">
        <v>160</v>
      </c>
      <c r="M305" s="0" t="s">
        <v>1731</v>
      </c>
      <c r="N305" s="0" t="str">
        <f aca="false">RIGHT(M305,LEN(M305)-FIND(" ",M305))</f>
        <v>CHARLES AVE NE</v>
      </c>
      <c r="P305" s="0" t="s">
        <v>145</v>
      </c>
      <c r="Q305" s="0" t="s">
        <v>146</v>
      </c>
      <c r="R305" s="0" t="n">
        <v>44483</v>
      </c>
      <c r="AD305" s="0" t="s">
        <v>147</v>
      </c>
      <c r="AE305" s="0" t="s">
        <v>148</v>
      </c>
      <c r="AF305" s="0" t="s">
        <v>149</v>
      </c>
      <c r="AH305" s="0" t="n">
        <v>14</v>
      </c>
      <c r="AI305" s="0" t="n">
        <v>11</v>
      </c>
      <c r="AN305" s="0" t="s">
        <v>145</v>
      </c>
      <c r="AO305" s="0" t="s">
        <v>654</v>
      </c>
      <c r="AP305" s="0" t="s">
        <v>655</v>
      </c>
      <c r="AQ305" s="0" t="n">
        <v>9</v>
      </c>
      <c r="AR305" s="0" t="n">
        <v>64</v>
      </c>
      <c r="AS305" s="0" t="n">
        <v>32</v>
      </c>
      <c r="AU305" s="0" t="n">
        <f aca="false">COUNTA($BA$1678:$EH$1678)</f>
        <v>1</v>
      </c>
      <c r="AV305" s="0" t="n">
        <f aca="false">COUNTIF($BA$1678:$EH$1678,"D")</f>
        <v>0</v>
      </c>
      <c r="AW305" s="0" t="n">
        <f aca="false">COUNTIF($BA$1678:$EH$1678,"R")</f>
        <v>0</v>
      </c>
      <c r="AX305" s="0" t="n">
        <f aca="false">IF(BN305="D",1,0)+IF(BO305="D",1,0)+IF(BT305="D",1,0)+IF(BU305="D",1,0)+IF(BW305="D",1,0)+IF(CC305="D",1,0)+IF(CD305="D",1,0)+IF(CE305="D",1,0)+IF(CF305="D",1,0)+IF(CL305="D",1,0)+IF(CM305="D",1,0)+IF(CQ305="D",1,0)+IF(CR305="D",1,0)+IF(CS305="D",1,0)+IF(CW305="D",1,0)+IF(CX305="D",1,0)+IF(DD305="D",1,0)+IF(DE305="D",1,0)+IF(DJ305="D",1,0)+IF(DK305="D",1,0)+IF(DO305="D",1,0)+IF(DP305="D",1,0)+IF(DQ305="D",1,0)+IF(DW305="D",1,0)+IF(DZ305="D",1,0)+IF(EH305="D",1,0)</f>
        <v>0</v>
      </c>
      <c r="AY305" s="0" t="n">
        <f aca="false">COUNTIF(DU305:EH305, "&lt;&gt;")</f>
        <v>1</v>
      </c>
      <c r="AZ305" s="0" t="n">
        <f aca="false">IF(EH305&lt;&gt;"",1,0)</f>
        <v>0</v>
      </c>
      <c r="BB305" s="0" t="s">
        <v>152</v>
      </c>
      <c r="DN305" s="0" t="s">
        <v>153</v>
      </c>
      <c r="EF305" s="0" t="s">
        <v>153</v>
      </c>
    </row>
    <row r="306" customFormat="false" ht="13.8" hidden="true" customHeight="false" outlineLevel="0" collapsed="false">
      <c r="A306" s="0" t="s">
        <v>1737</v>
      </c>
      <c r="B306" s="0" t="n">
        <v>78</v>
      </c>
      <c r="C306" s="0" t="n">
        <v>446677</v>
      </c>
      <c r="D306" s="0" t="s">
        <v>1738</v>
      </c>
      <c r="E306" s="0" t="s">
        <v>1739</v>
      </c>
      <c r="F306" s="0" t="str">
        <f aca="false">CONCATENATE(D306," ",LEFT(H306,4),"T=",AU306,"D=",AV306,"R=",AW306,"M=",AX306,"L=",AY306,"B=",AZ306)</f>
        <v>LOHR T=1D=0R=0M=0L=0B=0</v>
      </c>
      <c r="G306" s="0" t="s">
        <v>164</v>
      </c>
      <c r="I306" s="0" t="s">
        <v>1740</v>
      </c>
      <c r="J306" s="0" t="s">
        <v>1741</v>
      </c>
      <c r="K306" s="0" t="s">
        <v>143</v>
      </c>
      <c r="M306" s="0" t="s">
        <v>1742</v>
      </c>
      <c r="N306" s="0" t="str">
        <f aca="false">RIGHT(M306,LEN(M306)-FIND(" ",M306))</f>
        <v>CHARLES AVE NE</v>
      </c>
      <c r="P306" s="0" t="s">
        <v>145</v>
      </c>
      <c r="Q306" s="0" t="s">
        <v>146</v>
      </c>
      <c r="R306" s="0" t="n">
        <v>44483</v>
      </c>
      <c r="AD306" s="0" t="s">
        <v>147</v>
      </c>
      <c r="AE306" s="0" t="s">
        <v>148</v>
      </c>
      <c r="AF306" s="0" t="s">
        <v>149</v>
      </c>
      <c r="AH306" s="0" t="n">
        <v>14</v>
      </c>
      <c r="AI306" s="0" t="n">
        <v>11</v>
      </c>
      <c r="AN306" s="0" t="s">
        <v>145</v>
      </c>
      <c r="AO306" s="0" t="s">
        <v>654</v>
      </c>
      <c r="AP306" s="0" t="s">
        <v>655</v>
      </c>
      <c r="AQ306" s="0" t="n">
        <v>9</v>
      </c>
      <c r="AR306" s="0" t="n">
        <v>64</v>
      </c>
      <c r="AS306" s="0" t="n">
        <v>32</v>
      </c>
      <c r="AU306" s="0" t="n">
        <f aca="false">COUNTA($BA$1785:$EH$1785)</f>
        <v>1</v>
      </c>
      <c r="AV306" s="0" t="n">
        <f aca="false">COUNTIF($BA$1785:$EH$1785,"D")</f>
        <v>0</v>
      </c>
      <c r="AW306" s="0" t="n">
        <f aca="false">COUNTIF($BA$1785:$EH$1785,"R")</f>
        <v>0</v>
      </c>
      <c r="AX306" s="0" t="n">
        <f aca="false">IF(BN306="D",1,0)+IF(BO306="D",1,0)+IF(BT306="D",1,0)+IF(BU306="D",1,0)+IF(BW306="D",1,0)+IF(CC306="D",1,0)+IF(CD306="D",1,0)+IF(CE306="D",1,0)+IF(CF306="D",1,0)+IF(CL306="D",1,0)+IF(CM306="D",1,0)+IF(CQ306="D",1,0)+IF(CR306="D",1,0)+IF(CS306="D",1,0)+IF(CW306="D",1,0)+IF(CX306="D",1,0)+IF(DD306="D",1,0)+IF(DE306="D",1,0)+IF(DJ306="D",1,0)+IF(DK306="D",1,0)+IF(DO306="D",1,0)+IF(DP306="D",1,0)+IF(DQ306="D",1,0)+IF(DW306="D",1,0)+IF(DZ306="D",1,0)+IF(EH306="D",1,0)</f>
        <v>0</v>
      </c>
      <c r="AY306" s="0" t="n">
        <f aca="false">COUNTIF(DU306:EH306, "&lt;&gt;")</f>
        <v>0</v>
      </c>
      <c r="AZ306" s="0" t="n">
        <f aca="false">IF(EH306&lt;&gt;"",1,0)</f>
        <v>0</v>
      </c>
      <c r="BB306" s="0" t="s">
        <v>152</v>
      </c>
    </row>
    <row r="307" customFormat="false" ht="13.8" hidden="true" customHeight="false" outlineLevel="0" collapsed="false">
      <c r="A307" s="0" t="s">
        <v>1743</v>
      </c>
      <c r="B307" s="0" t="n">
        <v>78</v>
      </c>
      <c r="C307" s="0" t="n">
        <v>411887</v>
      </c>
      <c r="D307" s="0" t="s">
        <v>1744</v>
      </c>
      <c r="E307" s="0" t="s">
        <v>1745</v>
      </c>
      <c r="F307" s="0" t="str">
        <f aca="false">CONCATENATE(D307," ",LEFT(H307,4),"T=",AU307,"D=",AV307,"R=",AW307,"M=",AX307,"L=",AY307,"B=",AZ307)</f>
        <v>WALKER T=5D=0R=0M=0L=1B=0</v>
      </c>
      <c r="G307" s="0" t="s">
        <v>1557</v>
      </c>
      <c r="I307" s="0" t="s">
        <v>1746</v>
      </c>
      <c r="J307" s="0" t="s">
        <v>1747</v>
      </c>
      <c r="K307" s="0" t="s">
        <v>160</v>
      </c>
      <c r="M307" s="0" t="s">
        <v>1748</v>
      </c>
      <c r="N307" s="0" t="str">
        <f aca="false">RIGHT(M307,LEN(M307)-FIND(" ",M307))</f>
        <v>CHARLES AVE NE</v>
      </c>
      <c r="P307" s="0" t="s">
        <v>145</v>
      </c>
      <c r="Q307" s="0" t="s">
        <v>146</v>
      </c>
      <c r="R307" s="0" t="n">
        <v>44483</v>
      </c>
      <c r="AD307" s="0" t="s">
        <v>147</v>
      </c>
      <c r="AE307" s="0" t="s">
        <v>148</v>
      </c>
      <c r="AF307" s="0" t="s">
        <v>149</v>
      </c>
      <c r="AH307" s="0" t="n">
        <v>14</v>
      </c>
      <c r="AI307" s="0" t="n">
        <v>11</v>
      </c>
      <c r="AN307" s="0" t="s">
        <v>145</v>
      </c>
      <c r="AO307" s="0" t="s">
        <v>654</v>
      </c>
      <c r="AP307" s="0" t="s">
        <v>655</v>
      </c>
      <c r="AQ307" s="0" t="n">
        <v>9</v>
      </c>
      <c r="AR307" s="0" t="n">
        <v>64</v>
      </c>
      <c r="AS307" s="0" t="n">
        <v>32</v>
      </c>
      <c r="AU307" s="0" t="n">
        <f aca="false">COUNTA($BA$1146:$EH$1146)</f>
        <v>5</v>
      </c>
      <c r="AV307" s="0" t="n">
        <f aca="false">COUNTIF($BA$1146:$EH$1146,"D")</f>
        <v>0</v>
      </c>
      <c r="AW307" s="0" t="n">
        <f aca="false">COUNTIF($BA$1146:$EH$1146,"R")</f>
        <v>0</v>
      </c>
      <c r="AX307" s="0" t="n">
        <f aca="false">IF(BN307="D",1,0)+IF(BO307="D",1,0)+IF(BT307="D",1,0)+IF(BU307="D",1,0)+IF(BW307="D",1,0)+IF(CC307="D",1,0)+IF(CD307="D",1,0)+IF(CE307="D",1,0)+IF(CF307="D",1,0)+IF(CL307="D",1,0)+IF(CM307="D",1,0)+IF(CQ307="D",1,0)+IF(CR307="D",1,0)+IF(CS307="D",1,0)+IF(CW307="D",1,0)+IF(CX307="D",1,0)+IF(DD307="D",1,0)+IF(DE307="D",1,0)+IF(DJ307="D",1,0)+IF(DK307="D",1,0)+IF(DO307="D",1,0)+IF(DP307="D",1,0)+IF(DQ307="D",1,0)+IF(DW307="D",1,0)+IF(DZ307="D",1,0)+IF(EH307="D",1,0)</f>
        <v>0</v>
      </c>
      <c r="AY307" s="0" t="n">
        <f aca="false">COUNTIF(DU307:EH307, "&lt;&gt;")</f>
        <v>1</v>
      </c>
      <c r="AZ307" s="0" t="n">
        <f aca="false">IF(EH307&lt;&gt;"",1,0)</f>
        <v>0</v>
      </c>
      <c r="BB307" s="0" t="s">
        <v>152</v>
      </c>
      <c r="EF307" s="0" t="s">
        <v>153</v>
      </c>
    </row>
    <row r="308" customFormat="false" ht="13.8" hidden="true" customHeight="false" outlineLevel="0" collapsed="false">
      <c r="A308" s="0" t="s">
        <v>1749</v>
      </c>
      <c r="B308" s="0" t="n">
        <v>78</v>
      </c>
      <c r="C308" s="0" t="n">
        <v>442050</v>
      </c>
      <c r="D308" s="0" t="s">
        <v>1750</v>
      </c>
      <c r="E308" s="0" t="s">
        <v>1751</v>
      </c>
      <c r="F308" s="0" t="str">
        <f aca="false">CONCATENATE(D308," ",LEFT(H308,4),"T=",AU308,"D=",AV308,"R=",AW308,"M=",AX308,"L=",AY308,"B=",AZ308)</f>
        <v>ETZWILER T=2D=0R=0M=0L=0B=0</v>
      </c>
      <c r="G308" s="0" t="s">
        <v>1752</v>
      </c>
      <c r="I308" s="0" t="s">
        <v>1753</v>
      </c>
      <c r="J308" s="0" t="s">
        <v>1010</v>
      </c>
      <c r="K308" s="0" t="s">
        <v>143</v>
      </c>
      <c r="M308" s="0" t="s">
        <v>1748</v>
      </c>
      <c r="N308" s="0" t="str">
        <f aca="false">RIGHT(M308,LEN(M308)-FIND(" ",M308))</f>
        <v>CHARLES AVE NE</v>
      </c>
      <c r="P308" s="0" t="s">
        <v>145</v>
      </c>
      <c r="Q308" s="0" t="s">
        <v>146</v>
      </c>
      <c r="R308" s="0" t="n">
        <v>44483</v>
      </c>
      <c r="AD308" s="0" t="s">
        <v>147</v>
      </c>
      <c r="AE308" s="0" t="s">
        <v>148</v>
      </c>
      <c r="AF308" s="0" t="s">
        <v>149</v>
      </c>
      <c r="AH308" s="0" t="n">
        <v>14</v>
      </c>
      <c r="AI308" s="0" t="n">
        <v>11</v>
      </c>
      <c r="AN308" s="0" t="s">
        <v>145</v>
      </c>
      <c r="AO308" s="0" t="s">
        <v>654</v>
      </c>
      <c r="AP308" s="0" t="s">
        <v>655</v>
      </c>
      <c r="AQ308" s="0" t="n">
        <v>9</v>
      </c>
      <c r="AR308" s="0" t="n">
        <v>64</v>
      </c>
      <c r="AS308" s="0" t="n">
        <v>32</v>
      </c>
      <c r="AU308" s="0" t="n">
        <f aca="false">COUNTA($BA$1206:$EH$1206)</f>
        <v>2</v>
      </c>
      <c r="AV308" s="0" t="n">
        <f aca="false">COUNTIF($BA$1206:$EH$1206,"D")</f>
        <v>0</v>
      </c>
      <c r="AW308" s="0" t="n">
        <f aca="false">COUNTIF($BA$1206:$EH$1206,"R")</f>
        <v>0</v>
      </c>
      <c r="AX308" s="0" t="n">
        <f aca="false">IF(BN308="D",1,0)+IF(BO308="D",1,0)+IF(BT308="D",1,0)+IF(BU308="D",1,0)+IF(BW308="D",1,0)+IF(CC308="D",1,0)+IF(CD308="D",1,0)+IF(CE308="D",1,0)+IF(CF308="D",1,0)+IF(CL308="D",1,0)+IF(CM308="D",1,0)+IF(CQ308="D",1,0)+IF(CR308="D",1,0)+IF(CS308="D",1,0)+IF(CW308="D",1,0)+IF(CX308="D",1,0)+IF(DD308="D",1,0)+IF(DE308="D",1,0)+IF(DJ308="D",1,0)+IF(DK308="D",1,0)+IF(DO308="D",1,0)+IF(DP308="D",1,0)+IF(DQ308="D",1,0)+IF(DW308="D",1,0)+IF(DZ308="D",1,0)+IF(EH308="D",1,0)</f>
        <v>0</v>
      </c>
      <c r="AY308" s="0" t="n">
        <f aca="false">COUNTIF(DU308:EH308, "&lt;&gt;")</f>
        <v>0</v>
      </c>
      <c r="AZ308" s="0" t="n">
        <f aca="false">IF(EH308&lt;&gt;"",1,0)</f>
        <v>0</v>
      </c>
      <c r="BB308" s="0" t="s">
        <v>152</v>
      </c>
    </row>
    <row r="309" customFormat="false" ht="13.8" hidden="true" customHeight="false" outlineLevel="0" collapsed="false">
      <c r="A309" s="0" t="s">
        <v>1754</v>
      </c>
      <c r="B309" s="0" t="n">
        <v>78</v>
      </c>
      <c r="C309" s="0" t="n">
        <v>410002</v>
      </c>
      <c r="D309" s="0" t="s">
        <v>1755</v>
      </c>
      <c r="E309" s="0" t="s">
        <v>224</v>
      </c>
      <c r="F309" s="0" t="str">
        <f aca="false">CONCATENATE(D309," ",LEFT(H309,4),"T=",AU309,"D=",AV309,"R=",AW309,"M=",AX309,"L=",AY309,"B=",AZ309)</f>
        <v>EICHLER VT=7D=0R=0M=0L=0B=0</v>
      </c>
      <c r="G309" s="0" t="s">
        <v>1596</v>
      </c>
      <c r="H309" s="0" t="s">
        <v>1596</v>
      </c>
      <c r="I309" s="0" t="s">
        <v>1756</v>
      </c>
      <c r="J309" s="0" t="s">
        <v>1757</v>
      </c>
      <c r="K309" s="0" t="s">
        <v>160</v>
      </c>
      <c r="M309" s="0" t="s">
        <v>1748</v>
      </c>
      <c r="N309" s="0" t="str">
        <f aca="false">RIGHT(M309,LEN(M309)-FIND(" ",M309))</f>
        <v>CHARLES AVE NE</v>
      </c>
      <c r="P309" s="0" t="s">
        <v>145</v>
      </c>
      <c r="Q309" s="0" t="s">
        <v>146</v>
      </c>
      <c r="R309" s="0" t="n">
        <v>44483</v>
      </c>
      <c r="AD309" s="0" t="s">
        <v>147</v>
      </c>
      <c r="AE309" s="0" t="s">
        <v>148</v>
      </c>
      <c r="AF309" s="0" t="s">
        <v>149</v>
      </c>
      <c r="AH309" s="0" t="n">
        <v>14</v>
      </c>
      <c r="AI309" s="0" t="n">
        <v>11</v>
      </c>
      <c r="AN309" s="0" t="s">
        <v>145</v>
      </c>
      <c r="AO309" s="0" t="s">
        <v>654</v>
      </c>
      <c r="AP309" s="0" t="s">
        <v>655</v>
      </c>
      <c r="AQ309" s="0" t="n">
        <v>9</v>
      </c>
      <c r="AR309" s="0" t="n">
        <v>64</v>
      </c>
      <c r="AS309" s="0" t="n">
        <v>32</v>
      </c>
      <c r="AU309" s="0" t="n">
        <f aca="false">COUNTA($BA$1247:$EH$1247)</f>
        <v>7</v>
      </c>
      <c r="AV309" s="0" t="n">
        <f aca="false">COUNTIF($BA$1247:$EH$1247,"D")</f>
        <v>0</v>
      </c>
      <c r="AW309" s="0" t="n">
        <f aca="false">COUNTIF($BA$1247:$EH$1247,"R")</f>
        <v>0</v>
      </c>
      <c r="AX309" s="0" t="n">
        <f aca="false">IF(BN309="D",1,0)+IF(BO309="D",1,0)+IF(BT309="D",1,0)+IF(BU309="D",1,0)+IF(BW309="D",1,0)+IF(CC309="D",1,0)+IF(CD309="D",1,0)+IF(CE309="D",1,0)+IF(CF309="D",1,0)+IF(CL309="D",1,0)+IF(CM309="D",1,0)+IF(CQ309="D",1,0)+IF(CR309="D",1,0)+IF(CS309="D",1,0)+IF(CW309="D",1,0)+IF(CX309="D",1,0)+IF(DD309="D",1,0)+IF(DE309="D",1,0)+IF(DJ309="D",1,0)+IF(DK309="D",1,0)+IF(DO309="D",1,0)+IF(DP309="D",1,0)+IF(DQ309="D",1,0)+IF(DW309="D",1,0)+IF(DZ309="D",1,0)+IF(EH309="D",1,0)</f>
        <v>0</v>
      </c>
      <c r="AY309" s="0" t="n">
        <f aca="false">COUNTIF(DU309:EH309, "&lt;&gt;")</f>
        <v>0</v>
      </c>
      <c r="AZ309" s="0" t="n">
        <f aca="false">IF(EH309&lt;&gt;"",1,0)</f>
        <v>0</v>
      </c>
      <c r="BB309" s="0" t="s">
        <v>152</v>
      </c>
      <c r="CY309" s="0" t="s">
        <v>153</v>
      </c>
    </row>
    <row r="310" customFormat="false" ht="13.8" hidden="true" customHeight="false" outlineLevel="0" collapsed="false">
      <c r="A310" s="0" t="s">
        <v>1758</v>
      </c>
      <c r="B310" s="0" t="n">
        <v>78</v>
      </c>
      <c r="C310" s="0" t="n">
        <v>438444</v>
      </c>
      <c r="D310" s="0" t="s">
        <v>1759</v>
      </c>
      <c r="E310" s="0" t="s">
        <v>1760</v>
      </c>
      <c r="F310" s="0" t="str">
        <f aca="false">CONCATENATE(D310," ",LEFT(H310,4),"T=",AU310,"D=",AV310,"R=",AW310,"M=",AX310,"L=",AY310,"B=",AZ310)</f>
        <v>EISENHUTH T=10D=1R=0M=0L=0B=0</v>
      </c>
      <c r="G310" s="0" t="s">
        <v>215</v>
      </c>
      <c r="I310" s="0" t="s">
        <v>1761</v>
      </c>
      <c r="J310" s="0" t="s">
        <v>1762</v>
      </c>
      <c r="K310" s="0" t="s">
        <v>143</v>
      </c>
      <c r="M310" s="0" t="s">
        <v>1748</v>
      </c>
      <c r="N310" s="0" t="str">
        <f aca="false">RIGHT(M310,LEN(M310)-FIND(" ",M310))</f>
        <v>CHARLES AVE NE</v>
      </c>
      <c r="P310" s="0" t="s">
        <v>145</v>
      </c>
      <c r="Q310" s="0" t="s">
        <v>146</v>
      </c>
      <c r="R310" s="0" t="n">
        <v>44483</v>
      </c>
      <c r="AD310" s="0" t="s">
        <v>147</v>
      </c>
      <c r="AE310" s="0" t="s">
        <v>148</v>
      </c>
      <c r="AF310" s="0" t="s">
        <v>149</v>
      </c>
      <c r="AH310" s="0" t="n">
        <v>14</v>
      </c>
      <c r="AI310" s="0" t="n">
        <v>11</v>
      </c>
      <c r="AN310" s="0" t="s">
        <v>145</v>
      </c>
      <c r="AO310" s="0" t="s">
        <v>654</v>
      </c>
      <c r="AP310" s="0" t="s">
        <v>655</v>
      </c>
      <c r="AQ310" s="0" t="n">
        <v>9</v>
      </c>
      <c r="AR310" s="0" t="n">
        <v>64</v>
      </c>
      <c r="AS310" s="0" t="n">
        <v>32</v>
      </c>
      <c r="AU310" s="0" t="n">
        <f aca="false">COUNTA($BA$1462:$EH$1462)</f>
        <v>10</v>
      </c>
      <c r="AV310" s="0" t="n">
        <f aca="false">COUNTIF($BA$1462:$EH$1462,"D")</f>
        <v>1</v>
      </c>
      <c r="AW310" s="0" t="n">
        <f aca="false">COUNTIF($BA$1462:$EH$1462,"R")</f>
        <v>0</v>
      </c>
      <c r="AX310" s="0" t="n">
        <f aca="false">IF(BN310="D",1,0)+IF(BO310="D",1,0)+IF(BT310="D",1,0)+IF(BU310="D",1,0)+IF(BW310="D",1,0)+IF(CC310="D",1,0)+IF(CD310="D",1,0)+IF(CE310="D",1,0)+IF(CF310="D",1,0)+IF(CL310="D",1,0)+IF(CM310="D",1,0)+IF(CQ310="D",1,0)+IF(CR310="D",1,0)+IF(CS310="D",1,0)+IF(CW310="D",1,0)+IF(CX310="D",1,0)+IF(DD310="D",1,0)+IF(DE310="D",1,0)+IF(DJ310="D",1,0)+IF(DK310="D",1,0)+IF(DO310="D",1,0)+IF(DP310="D",1,0)+IF(DQ310="D",1,0)+IF(DW310="D",1,0)+IF(DZ310="D",1,0)+IF(EH310="D",1,0)</f>
        <v>0</v>
      </c>
      <c r="AY310" s="0" t="n">
        <f aca="false">COUNTIF(DU310:EH310, "&lt;&gt;")</f>
        <v>0</v>
      </c>
      <c r="AZ310" s="0" t="n">
        <f aca="false">IF(EH310&lt;&gt;"",1,0)</f>
        <v>0</v>
      </c>
      <c r="BB310" s="0" t="s">
        <v>152</v>
      </c>
    </row>
    <row r="311" customFormat="false" ht="13.8" hidden="true" customHeight="false" outlineLevel="0" collapsed="false">
      <c r="A311" s="0" t="s">
        <v>1763</v>
      </c>
      <c r="B311" s="0" t="n">
        <v>78</v>
      </c>
      <c r="C311" s="0" t="n">
        <v>378126</v>
      </c>
      <c r="D311" s="0" t="s">
        <v>1764</v>
      </c>
      <c r="E311" s="0" t="s">
        <v>275</v>
      </c>
      <c r="F311" s="0" t="str">
        <f aca="false">CONCATENATE(D311," ",LEFT(H311,4),"T=",AU311,"D=",AV311,"R=",AW311,"M=",AX311,"L=",AY311,"B=",AZ311)</f>
        <v>MOORE T=12D=0R=0M=0L=0B=0</v>
      </c>
      <c r="G311" s="0" t="s">
        <v>209</v>
      </c>
      <c r="I311" s="0" t="s">
        <v>1765</v>
      </c>
      <c r="J311" s="0" t="s">
        <v>1038</v>
      </c>
      <c r="K311" s="0" t="s">
        <v>143</v>
      </c>
      <c r="M311" s="0" t="s">
        <v>1766</v>
      </c>
      <c r="N311" s="0" t="str">
        <f aca="false">RIGHT(M311,LEN(M311)-FIND(" ",M311))</f>
        <v>CHARLES AVE NE</v>
      </c>
      <c r="P311" s="0" t="s">
        <v>145</v>
      </c>
      <c r="Q311" s="0" t="s">
        <v>146</v>
      </c>
      <c r="R311" s="0" t="n">
        <v>44483</v>
      </c>
      <c r="AD311" s="0" t="s">
        <v>147</v>
      </c>
      <c r="AE311" s="0" t="s">
        <v>148</v>
      </c>
      <c r="AF311" s="0" t="s">
        <v>149</v>
      </c>
      <c r="AH311" s="0" t="n">
        <v>14</v>
      </c>
      <c r="AI311" s="0" t="n">
        <v>11</v>
      </c>
      <c r="AN311" s="0" t="s">
        <v>145</v>
      </c>
      <c r="AO311" s="0" t="s">
        <v>654</v>
      </c>
      <c r="AP311" s="0" t="s">
        <v>655</v>
      </c>
      <c r="AQ311" s="0" t="n">
        <v>9</v>
      </c>
      <c r="AR311" s="0" t="n">
        <v>64</v>
      </c>
      <c r="AS311" s="0" t="n">
        <v>32</v>
      </c>
      <c r="AU311" s="0" t="n">
        <f aca="false">COUNTA($BA$1743:$EH$1743)</f>
        <v>12</v>
      </c>
      <c r="AV311" s="0" t="n">
        <f aca="false">COUNTIF($BA$1743:$EH$1743,"D")</f>
        <v>0</v>
      </c>
      <c r="AW311" s="0" t="n">
        <f aca="false">COUNTIF($BA$1743:$EH$1743,"R")</f>
        <v>0</v>
      </c>
      <c r="AX311" s="0" t="n">
        <f aca="false">IF(BN311="D",1,0)+IF(BO311="D",1,0)+IF(BT311="D",1,0)+IF(BU311="D",1,0)+IF(BW311="D",1,0)+IF(CC311="D",1,0)+IF(CD311="D",1,0)+IF(CE311="D",1,0)+IF(CF311="D",1,0)+IF(CL311="D",1,0)+IF(CM311="D",1,0)+IF(CQ311="D",1,0)+IF(CR311="D",1,0)+IF(CS311="D",1,0)+IF(CW311="D",1,0)+IF(CX311="D",1,0)+IF(DD311="D",1,0)+IF(DE311="D",1,0)+IF(DJ311="D",1,0)+IF(DK311="D",1,0)+IF(DO311="D",1,0)+IF(DP311="D",1,0)+IF(DQ311="D",1,0)+IF(DW311="D",1,0)+IF(DZ311="D",1,0)+IF(EH311="D",1,0)</f>
        <v>0</v>
      </c>
      <c r="AY311" s="0" t="n">
        <f aca="false">COUNTIF(DU311:EH311, "&lt;&gt;")</f>
        <v>0</v>
      </c>
      <c r="AZ311" s="0" t="n">
        <f aca="false">IF(EH311&lt;&gt;"",1,0)</f>
        <v>0</v>
      </c>
      <c r="BB311" s="0" t="s">
        <v>152</v>
      </c>
    </row>
    <row r="312" customFormat="false" ht="13.8" hidden="false" customHeight="false" outlineLevel="0" collapsed="false">
      <c r="A312" s="0" t="s">
        <v>1767</v>
      </c>
      <c r="B312" s="0" t="n">
        <v>78</v>
      </c>
      <c r="C312" s="0" t="n">
        <v>74635</v>
      </c>
      <c r="D312" s="0" t="s">
        <v>1768</v>
      </c>
      <c r="E312" s="0" t="s">
        <v>1769</v>
      </c>
      <c r="F312" s="0" t="str">
        <f aca="false">CONCATENATE(D312," ",LEFT(H312,4),"T=",AU312,"D=",AV312,"R=",AW312,"M=",AX312,"L=",AY312,"B=",AZ312)</f>
        <v>BLANAR T=10D=1R=1M=4L=4B=0</v>
      </c>
      <c r="G312" s="0" t="s">
        <v>164</v>
      </c>
      <c r="I312" s="0" t="s">
        <v>1770</v>
      </c>
      <c r="J312" s="0" t="s">
        <v>1771</v>
      </c>
      <c r="K312" s="0" t="s">
        <v>160</v>
      </c>
      <c r="L312" s="0" t="s">
        <v>209</v>
      </c>
      <c r="M312" s="0" t="s">
        <v>1772</v>
      </c>
      <c r="N312" s="0" t="str">
        <f aca="false">RIGHT(M312,LEN(M312)-FIND(" ",M312))</f>
        <v>CHARLES AVE NE</v>
      </c>
      <c r="P312" s="0" t="s">
        <v>145</v>
      </c>
      <c r="Q312" s="0" t="s">
        <v>146</v>
      </c>
      <c r="R312" s="0" t="n">
        <v>44483</v>
      </c>
      <c r="AD312" s="0" t="s">
        <v>147</v>
      </c>
      <c r="AE312" s="0" t="s">
        <v>148</v>
      </c>
      <c r="AF312" s="0" t="s">
        <v>149</v>
      </c>
      <c r="AH312" s="0" t="n">
        <v>14</v>
      </c>
      <c r="AI312" s="0" t="n">
        <v>11</v>
      </c>
      <c r="AN312" s="0" t="s">
        <v>145</v>
      </c>
      <c r="AO312" s="0" t="s">
        <v>654</v>
      </c>
      <c r="AP312" s="0" t="s">
        <v>655</v>
      </c>
      <c r="AQ312" s="0" t="n">
        <v>9</v>
      </c>
      <c r="AR312" s="0" t="n">
        <v>64</v>
      </c>
      <c r="AS312" s="0" t="n">
        <v>32</v>
      </c>
      <c r="AU312" s="0" t="n">
        <f aca="false">COUNTA($BA$1948:$EH$1948)</f>
        <v>10</v>
      </c>
      <c r="AV312" s="0" t="n">
        <f aca="false">COUNTIF($BA$1948:$EH$1948,"D")</f>
        <v>1</v>
      </c>
      <c r="AW312" s="0" t="n">
        <f aca="false">COUNTIF($BA$1948:$EH$1948,"R")</f>
        <v>1</v>
      </c>
      <c r="AX312" s="0" t="n">
        <f aca="false">IF(BN312="D",1,0)+IF(BO312="D",1,0)+IF(BT312="D",1,0)+IF(BU312="D",1,0)+IF(BW312="D",1,0)+IF(CC312="D",1,0)+IF(CD312="D",1,0)+IF(CE312="D",1,0)+IF(CF312="D",1,0)+IF(CL312="D",1,0)+IF(CM312="D",1,0)+IF(CQ312="D",1,0)+IF(CR312="D",1,0)+IF(CS312="D",1,0)+IF(CW312="D",1,0)+IF(CX312="D",1,0)+IF(DD312="D",1,0)+IF(DE312="D",1,0)+IF(DJ312="D",1,0)+IF(DK312="D",1,0)+IF(DO312="D",1,0)+IF(DP312="D",1,0)+IF(DQ312="D",1,0)+IF(DW312="D",1,0)+IF(DZ312="D",1,0)+IF(EH312="D",1,0)</f>
        <v>4</v>
      </c>
      <c r="AY312" s="0" t="n">
        <f aca="false">COUNTIF(DU312:EH312, "&lt;&gt;")</f>
        <v>4</v>
      </c>
      <c r="AZ312" s="0" t="n">
        <f aca="false">IF(EH312&lt;&gt;"",1,0)</f>
        <v>0</v>
      </c>
      <c r="BB312" s="0" t="s">
        <v>152</v>
      </c>
      <c r="BC312" s="0" t="s">
        <v>153</v>
      </c>
      <c r="BD312" s="0" t="s">
        <v>153</v>
      </c>
      <c r="BE312" s="0" t="s">
        <v>153</v>
      </c>
      <c r="BF312" s="0" t="s">
        <v>153</v>
      </c>
      <c r="BH312" s="0" t="s">
        <v>153</v>
      </c>
      <c r="BJ312" s="0" t="s">
        <v>153</v>
      </c>
      <c r="BK312" s="0" t="s">
        <v>153</v>
      </c>
      <c r="BL312" s="0" t="s">
        <v>153</v>
      </c>
      <c r="BP312" s="0" t="s">
        <v>153</v>
      </c>
      <c r="BR312" s="0" t="s">
        <v>153</v>
      </c>
      <c r="BS312" s="0" t="s">
        <v>153</v>
      </c>
      <c r="BT312" s="0" t="s">
        <v>153</v>
      </c>
      <c r="BV312" s="0" t="s">
        <v>153</v>
      </c>
      <c r="BY312" s="0" t="s">
        <v>175</v>
      </c>
      <c r="CA312" s="0" t="s">
        <v>153</v>
      </c>
      <c r="CC312" s="0" t="s">
        <v>175</v>
      </c>
      <c r="CG312" s="0" t="s">
        <v>153</v>
      </c>
      <c r="CK312" s="0" t="s">
        <v>153</v>
      </c>
      <c r="CL312" s="0" t="s">
        <v>175</v>
      </c>
      <c r="CN312" s="0" t="s">
        <v>153</v>
      </c>
      <c r="CP312" s="0" t="s">
        <v>153</v>
      </c>
      <c r="CQ312" s="0" t="s">
        <v>175</v>
      </c>
      <c r="CT312" s="0" t="s">
        <v>153</v>
      </c>
      <c r="CV312" s="0" t="s">
        <v>153</v>
      </c>
      <c r="CW312" s="0" t="s">
        <v>175</v>
      </c>
      <c r="CY312" s="0" t="s">
        <v>153</v>
      </c>
      <c r="CZ312" s="0" t="s">
        <v>209</v>
      </c>
      <c r="DC312" s="0" t="s">
        <v>153</v>
      </c>
      <c r="DG312" s="0" t="s">
        <v>209</v>
      </c>
      <c r="DL312" s="0" t="s">
        <v>153</v>
      </c>
      <c r="DN312" s="0" t="s">
        <v>153</v>
      </c>
      <c r="DR312" s="0" t="s">
        <v>153</v>
      </c>
      <c r="DS312" s="0" t="s">
        <v>209</v>
      </c>
      <c r="DU312" s="0" t="s">
        <v>153</v>
      </c>
      <c r="DW312" s="0" t="s">
        <v>153</v>
      </c>
      <c r="EA312" s="0" t="s">
        <v>153</v>
      </c>
      <c r="EF312" s="0" t="s">
        <v>153</v>
      </c>
    </row>
    <row r="313" customFormat="false" ht="13.8" hidden="false" customHeight="false" outlineLevel="0" collapsed="false">
      <c r="A313" s="0" t="s">
        <v>1773</v>
      </c>
      <c r="B313" s="0" t="n">
        <v>78</v>
      </c>
      <c r="C313" s="0" t="n">
        <v>432244</v>
      </c>
      <c r="D313" s="0" t="s">
        <v>1774</v>
      </c>
      <c r="E313" s="0" t="s">
        <v>1775</v>
      </c>
      <c r="F313" s="0" t="str">
        <f aca="false">CONCATENATE(D313," ",LEFT(H313,4),"T=",AU313,"D=",AV313,"R=",AW313,"M=",AX313,"L=",AY313,"B=",AZ313)</f>
        <v>MARCHESE T=17D=4R=0M=1L=6B=0</v>
      </c>
      <c r="G313" s="0" t="s">
        <v>1776</v>
      </c>
      <c r="I313" s="0" t="s">
        <v>1777</v>
      </c>
      <c r="J313" s="0" t="s">
        <v>1778</v>
      </c>
      <c r="K313" s="0" t="s">
        <v>160</v>
      </c>
      <c r="L313" s="0" t="s">
        <v>175</v>
      </c>
      <c r="M313" s="0" t="s">
        <v>1779</v>
      </c>
      <c r="N313" s="0" t="str">
        <f aca="false">RIGHT(M313,LEN(M313)-FIND(" ",M313))</f>
        <v>CHARLES AVE NE</v>
      </c>
      <c r="P313" s="0" t="s">
        <v>145</v>
      </c>
      <c r="Q313" s="0" t="s">
        <v>146</v>
      </c>
      <c r="R313" s="0" t="n">
        <v>44483</v>
      </c>
      <c r="AD313" s="0" t="s">
        <v>147</v>
      </c>
      <c r="AE313" s="0" t="s">
        <v>148</v>
      </c>
      <c r="AF313" s="0" t="s">
        <v>149</v>
      </c>
      <c r="AH313" s="0" t="n">
        <v>14</v>
      </c>
      <c r="AI313" s="0" t="n">
        <v>11</v>
      </c>
      <c r="AN313" s="0" t="s">
        <v>145</v>
      </c>
      <c r="AO313" s="0" t="s">
        <v>654</v>
      </c>
      <c r="AP313" s="0" t="s">
        <v>655</v>
      </c>
      <c r="AQ313" s="0" t="n">
        <v>9</v>
      </c>
      <c r="AR313" s="0" t="n">
        <v>64</v>
      </c>
      <c r="AS313" s="0" t="n">
        <v>32</v>
      </c>
      <c r="AU313" s="0" t="n">
        <f aca="false">COUNTA($BA$1823:$EH$1823)</f>
        <v>17</v>
      </c>
      <c r="AV313" s="0" t="n">
        <f aca="false">COUNTIF($BA$1823:$EH$1823,"D")</f>
        <v>4</v>
      </c>
      <c r="AW313" s="0" t="n">
        <f aca="false">COUNTIF($BA$1823:$EH$1823,"R")</f>
        <v>0</v>
      </c>
      <c r="AX313" s="0" t="n">
        <f aca="false">IF(BN313="D",1,0)+IF(BO313="D",1,0)+IF(BT313="D",1,0)+IF(BU313="D",1,0)+IF(BW313="D",1,0)+IF(CC313="D",1,0)+IF(CD313="D",1,0)+IF(CE313="D",1,0)+IF(CF313="D",1,0)+IF(CL313="D",1,0)+IF(CM313="D",1,0)+IF(CQ313="D",1,0)+IF(CR313="D",1,0)+IF(CS313="D",1,0)+IF(CW313="D",1,0)+IF(CX313="D",1,0)+IF(DD313="D",1,0)+IF(DE313="D",1,0)+IF(DJ313="D",1,0)+IF(DK313="D",1,0)+IF(DO313="D",1,0)+IF(DP313="D",1,0)+IF(DQ313="D",1,0)+IF(DW313="D",1,0)+IF(DZ313="D",1,0)+IF(EH313="D",1,0)</f>
        <v>1</v>
      </c>
      <c r="AY313" s="0" t="n">
        <f aca="false">COUNTIF(DU313:EH313, "&lt;&gt;")</f>
        <v>6</v>
      </c>
      <c r="AZ313" s="0" t="n">
        <f aca="false">IF(EH313&lt;&gt;"",1,0)</f>
        <v>0</v>
      </c>
      <c r="BB313" s="0" t="s">
        <v>152</v>
      </c>
      <c r="DI313" s="0" t="s">
        <v>153</v>
      </c>
      <c r="DM313" s="0" t="s">
        <v>175</v>
      </c>
      <c r="DN313" s="0" t="s">
        <v>153</v>
      </c>
      <c r="DU313" s="0" t="s">
        <v>153</v>
      </c>
      <c r="DW313" s="0" t="s">
        <v>175</v>
      </c>
      <c r="DX313" s="0" t="s">
        <v>153</v>
      </c>
      <c r="EA313" s="0" t="s">
        <v>153</v>
      </c>
      <c r="ED313" s="0" t="s">
        <v>175</v>
      </c>
      <c r="EF313" s="0" t="s">
        <v>153</v>
      </c>
    </row>
    <row r="314" customFormat="false" ht="13.8" hidden="false" customHeight="false" outlineLevel="0" collapsed="false">
      <c r="A314" s="0" t="s">
        <v>1780</v>
      </c>
      <c r="B314" s="0" t="n">
        <v>78</v>
      </c>
      <c r="C314" s="0" t="n">
        <v>436370</v>
      </c>
      <c r="D314" s="0" t="s">
        <v>1774</v>
      </c>
      <c r="E314" s="0" t="s">
        <v>1781</v>
      </c>
      <c r="F314" s="0" t="str">
        <f aca="false">CONCATENATE(D314," ",LEFT(H314,4),"T=",AU314,"D=",AV314,"R=",AW314,"M=",AX314,"L=",AY314,"B=",AZ314)</f>
        <v>MARCHESE JRT=43D=14R=0M=1L=6B=0</v>
      </c>
      <c r="G314" s="0" t="s">
        <v>357</v>
      </c>
      <c r="H314" s="0" t="s">
        <v>314</v>
      </c>
      <c r="I314" s="0" t="s">
        <v>1782</v>
      </c>
      <c r="J314" s="0" t="s">
        <v>1783</v>
      </c>
      <c r="K314" s="0" t="s">
        <v>160</v>
      </c>
      <c r="L314" s="0" t="s">
        <v>175</v>
      </c>
      <c r="M314" s="0" t="s">
        <v>1779</v>
      </c>
      <c r="N314" s="0" t="str">
        <f aca="false">RIGHT(M314,LEN(M314)-FIND(" ",M314))</f>
        <v>CHARLES AVE NE</v>
      </c>
      <c r="P314" s="0" t="s">
        <v>145</v>
      </c>
      <c r="Q314" s="0" t="s">
        <v>146</v>
      </c>
      <c r="R314" s="0" t="n">
        <v>44483</v>
      </c>
      <c r="AD314" s="0" t="s">
        <v>147</v>
      </c>
      <c r="AE314" s="0" t="s">
        <v>148</v>
      </c>
      <c r="AF314" s="0" t="s">
        <v>149</v>
      </c>
      <c r="AH314" s="0" t="n">
        <v>14</v>
      </c>
      <c r="AI314" s="0" t="n">
        <v>11</v>
      </c>
      <c r="AN314" s="0" t="s">
        <v>145</v>
      </c>
      <c r="AO314" s="0" t="s">
        <v>654</v>
      </c>
      <c r="AP314" s="0" t="s">
        <v>655</v>
      </c>
      <c r="AQ314" s="0" t="n">
        <v>9</v>
      </c>
      <c r="AR314" s="0" t="n">
        <v>64</v>
      </c>
      <c r="AS314" s="0" t="n">
        <v>32</v>
      </c>
      <c r="AU314" s="0" t="n">
        <f aca="false">COUNTA($BA$2005:$EH$2005)</f>
        <v>43</v>
      </c>
      <c r="AV314" s="0" t="n">
        <f aca="false">COUNTIF($BA$2005:$EH$2005,"D")</f>
        <v>14</v>
      </c>
      <c r="AW314" s="0" t="n">
        <f aca="false">COUNTIF($BA$2005:$EH$2005,"R")</f>
        <v>0</v>
      </c>
      <c r="AX314" s="0" t="n">
        <f aca="false">IF(BN314="D",1,0)+IF(BO314="D",1,0)+IF(BT314="D",1,0)+IF(BU314="D",1,0)+IF(BW314="D",1,0)+IF(CC314="D",1,0)+IF(CD314="D",1,0)+IF(CE314="D",1,0)+IF(CF314="D",1,0)+IF(CL314="D",1,0)+IF(CM314="D",1,0)+IF(CQ314="D",1,0)+IF(CR314="D",1,0)+IF(CS314="D",1,0)+IF(CW314="D",1,0)+IF(CX314="D",1,0)+IF(DD314="D",1,0)+IF(DE314="D",1,0)+IF(DJ314="D",1,0)+IF(DK314="D",1,0)+IF(DO314="D",1,0)+IF(DP314="D",1,0)+IF(DQ314="D",1,0)+IF(DW314="D",1,0)+IF(DZ314="D",1,0)+IF(EH314="D",1,0)</f>
        <v>1</v>
      </c>
      <c r="AY314" s="0" t="n">
        <f aca="false">COUNTIF(DU314:EH314, "&lt;&gt;")</f>
        <v>6</v>
      </c>
      <c r="AZ314" s="0" t="n">
        <f aca="false">IF(EH314&lt;&gt;"",1,0)</f>
        <v>0</v>
      </c>
      <c r="BB314" s="0" t="s">
        <v>152</v>
      </c>
      <c r="DI314" s="0" t="s">
        <v>153</v>
      </c>
      <c r="DM314" s="0" t="s">
        <v>175</v>
      </c>
      <c r="DN314" s="0" t="s">
        <v>153</v>
      </c>
      <c r="DU314" s="0" t="s">
        <v>153</v>
      </c>
      <c r="DW314" s="0" t="s">
        <v>175</v>
      </c>
      <c r="DX314" s="0" t="s">
        <v>153</v>
      </c>
      <c r="EA314" s="0" t="s">
        <v>153</v>
      </c>
      <c r="ED314" s="0" t="s">
        <v>175</v>
      </c>
      <c r="EF314" s="0" t="s">
        <v>153</v>
      </c>
    </row>
    <row r="315" customFormat="false" ht="13.8" hidden="true" customHeight="false" outlineLevel="0" collapsed="false">
      <c r="A315" s="0" t="s">
        <v>1784</v>
      </c>
      <c r="B315" s="0" t="n">
        <v>78</v>
      </c>
      <c r="C315" s="0" t="n">
        <v>294046</v>
      </c>
      <c r="D315" s="0" t="s">
        <v>1785</v>
      </c>
      <c r="E315" s="0" t="s">
        <v>633</v>
      </c>
      <c r="F315" s="0" t="str">
        <f aca="false">CONCATENATE(D315," ",LEFT(H315,4),"T=",AU315,"D=",AV315,"R=",AW315,"M=",AX315,"L=",AY315,"B=",AZ315)</f>
        <v>LOMAX T=15D=2R=0M=0L=1B=0</v>
      </c>
      <c r="G315" s="0" t="s">
        <v>164</v>
      </c>
      <c r="I315" s="0" t="s">
        <v>1786</v>
      </c>
      <c r="J315" s="0" t="s">
        <v>404</v>
      </c>
      <c r="K315" s="0" t="s">
        <v>160</v>
      </c>
      <c r="M315" s="0" t="s">
        <v>1787</v>
      </c>
      <c r="N315" s="0" t="str">
        <f aca="false">RIGHT(M315,LEN(M315)-FIND(" ",M315))</f>
        <v>CHARLES AVE NE</v>
      </c>
      <c r="P315" s="0" t="s">
        <v>145</v>
      </c>
      <c r="Q315" s="0" t="s">
        <v>146</v>
      </c>
      <c r="R315" s="0" t="n">
        <v>44483</v>
      </c>
      <c r="AD315" s="0" t="s">
        <v>147</v>
      </c>
      <c r="AE315" s="0" t="s">
        <v>148</v>
      </c>
      <c r="AF315" s="0" t="s">
        <v>149</v>
      </c>
      <c r="AH315" s="0" t="n">
        <v>14</v>
      </c>
      <c r="AI315" s="0" t="n">
        <v>11</v>
      </c>
      <c r="AN315" s="0" t="s">
        <v>145</v>
      </c>
      <c r="AO315" s="0" t="s">
        <v>654</v>
      </c>
      <c r="AP315" s="0" t="s">
        <v>655</v>
      </c>
      <c r="AQ315" s="0" t="n">
        <v>9</v>
      </c>
      <c r="AR315" s="0" t="n">
        <v>64</v>
      </c>
      <c r="AS315" s="0" t="n">
        <v>32</v>
      </c>
      <c r="AU315" s="0" t="n">
        <f aca="false">COUNTA($BA$1531:$EH$1531)</f>
        <v>15</v>
      </c>
      <c r="AV315" s="0" t="n">
        <f aca="false">COUNTIF($BA$1531:$EH$1531,"D")</f>
        <v>2</v>
      </c>
      <c r="AW315" s="0" t="n">
        <f aca="false">COUNTIF($BA$1531:$EH$1531,"R")</f>
        <v>0</v>
      </c>
      <c r="AX315" s="0" t="n">
        <f aca="false">IF(BN315="D",1,0)+IF(BO315="D",1,0)+IF(BT315="D",1,0)+IF(BU315="D",1,0)+IF(BW315="D",1,0)+IF(CC315="D",1,0)+IF(CD315="D",1,0)+IF(CE315="D",1,0)+IF(CF315="D",1,0)+IF(CL315="D",1,0)+IF(CM315="D",1,0)+IF(CQ315="D",1,0)+IF(CR315="D",1,0)+IF(CS315="D",1,0)+IF(CW315="D",1,0)+IF(CX315="D",1,0)+IF(DD315="D",1,0)+IF(DE315="D",1,0)+IF(DJ315="D",1,0)+IF(DK315="D",1,0)+IF(DO315="D",1,0)+IF(DP315="D",1,0)+IF(DQ315="D",1,0)+IF(DW315="D",1,0)+IF(DZ315="D",1,0)+IF(EH315="D",1,0)</f>
        <v>0</v>
      </c>
      <c r="AY315" s="0" t="n">
        <f aca="false">COUNTIF(DU315:EH315, "&lt;&gt;")</f>
        <v>1</v>
      </c>
      <c r="AZ315" s="0" t="n">
        <f aca="false">IF(EH315&lt;&gt;"",1,0)</f>
        <v>0</v>
      </c>
      <c r="BB315" s="0" t="s">
        <v>152</v>
      </c>
      <c r="BL315" s="0" t="s">
        <v>153</v>
      </c>
      <c r="CZ315" s="0" t="s">
        <v>175</v>
      </c>
      <c r="DC315" s="0" t="s">
        <v>153</v>
      </c>
      <c r="DI315" s="0" t="s">
        <v>153</v>
      </c>
      <c r="DN315" s="0" t="s">
        <v>153</v>
      </c>
      <c r="EF315" s="0" t="s">
        <v>153</v>
      </c>
    </row>
    <row r="316" customFormat="false" ht="13.8" hidden="true" customHeight="false" outlineLevel="0" collapsed="false">
      <c r="A316" s="0" t="s">
        <v>1788</v>
      </c>
      <c r="B316" s="0" t="n">
        <v>78</v>
      </c>
      <c r="C316" s="0" t="n">
        <v>283445</v>
      </c>
      <c r="D316" s="0" t="s">
        <v>1789</v>
      </c>
      <c r="E316" s="0" t="s">
        <v>1790</v>
      </c>
      <c r="F316" s="0" t="str">
        <f aca="false">CONCATENATE(D316," ",LEFT(H316,4),"T=",AU316,"D=",AV316,"R=",AW316,"M=",AX316,"L=",AY316,"B=",AZ316)</f>
        <v>BLAND T=29D=4R=1M=1L=1B=0</v>
      </c>
      <c r="I316" s="0" t="s">
        <v>1791</v>
      </c>
      <c r="J316" s="0" t="s">
        <v>1792</v>
      </c>
      <c r="K316" s="0" t="s">
        <v>160</v>
      </c>
      <c r="M316" s="0" t="s">
        <v>1787</v>
      </c>
      <c r="N316" s="0" t="str">
        <f aca="false">RIGHT(M316,LEN(M316)-FIND(" ",M316))</f>
        <v>CHARLES AVE NE</v>
      </c>
      <c r="P316" s="0" t="s">
        <v>145</v>
      </c>
      <c r="Q316" s="0" t="s">
        <v>146</v>
      </c>
      <c r="R316" s="0" t="n">
        <v>44483</v>
      </c>
      <c r="AD316" s="0" t="s">
        <v>147</v>
      </c>
      <c r="AE316" s="0" t="s">
        <v>148</v>
      </c>
      <c r="AF316" s="0" t="s">
        <v>149</v>
      </c>
      <c r="AH316" s="0" t="n">
        <v>14</v>
      </c>
      <c r="AI316" s="0" t="n">
        <v>11</v>
      </c>
      <c r="AN316" s="0" t="s">
        <v>145</v>
      </c>
      <c r="AO316" s="0" t="s">
        <v>654</v>
      </c>
      <c r="AP316" s="0" t="s">
        <v>655</v>
      </c>
      <c r="AQ316" s="0" t="n">
        <v>9</v>
      </c>
      <c r="AR316" s="0" t="n">
        <v>64</v>
      </c>
      <c r="AS316" s="0" t="n">
        <v>32</v>
      </c>
      <c r="AU316" s="0" t="n">
        <f aca="false">COUNTA($BA$1947:$EH$1947)</f>
        <v>29</v>
      </c>
      <c r="AV316" s="0" t="n">
        <f aca="false">COUNTIF($BA$1947:$EH$1947,"D")</f>
        <v>4</v>
      </c>
      <c r="AW316" s="0" t="n">
        <f aca="false">COUNTIF($BA$1947:$EH$1947,"R")</f>
        <v>1</v>
      </c>
      <c r="AX316" s="0" t="n">
        <f aca="false">IF(BN316="D",1,0)+IF(BO316="D",1,0)+IF(BT316="D",1,0)+IF(BU316="D",1,0)+IF(BW316="D",1,0)+IF(CC316="D",1,0)+IF(CD316="D",1,0)+IF(CE316="D",1,0)+IF(CF316="D",1,0)+IF(CL316="D",1,0)+IF(CM316="D",1,0)+IF(CQ316="D",1,0)+IF(CR316="D",1,0)+IF(CS316="D",1,0)+IF(CW316="D",1,0)+IF(CX316="D",1,0)+IF(DD316="D",1,0)+IF(DE316="D",1,0)+IF(DJ316="D",1,0)+IF(DK316="D",1,0)+IF(DO316="D",1,0)+IF(DP316="D",1,0)+IF(DQ316="D",1,0)+IF(DW316="D",1,0)+IF(DZ316="D",1,0)+IF(EH316="D",1,0)</f>
        <v>1</v>
      </c>
      <c r="AY316" s="0" t="n">
        <f aca="false">COUNTIF(DU316:EH316, "&lt;&gt;")</f>
        <v>1</v>
      </c>
      <c r="AZ316" s="0" t="n">
        <f aca="false">IF(EH316&lt;&gt;"",1,0)</f>
        <v>0</v>
      </c>
      <c r="BB316" s="0" t="s">
        <v>152</v>
      </c>
      <c r="BC316" s="0" t="s">
        <v>153</v>
      </c>
      <c r="BD316" s="0" t="s">
        <v>153</v>
      </c>
      <c r="BE316" s="0" t="s">
        <v>153</v>
      </c>
      <c r="BG316" s="0" t="s">
        <v>153</v>
      </c>
      <c r="BH316" s="0" t="s">
        <v>153</v>
      </c>
      <c r="BI316" s="0" t="s">
        <v>153</v>
      </c>
      <c r="BJ316" s="0" t="s">
        <v>153</v>
      </c>
      <c r="BK316" s="0" t="s">
        <v>153</v>
      </c>
      <c r="BL316" s="0" t="s">
        <v>153</v>
      </c>
      <c r="BP316" s="0" t="s">
        <v>153</v>
      </c>
      <c r="BR316" s="0" t="s">
        <v>153</v>
      </c>
      <c r="BS316" s="0" t="s">
        <v>153</v>
      </c>
      <c r="BT316" s="0" t="s">
        <v>153</v>
      </c>
      <c r="CA316" s="0" t="s">
        <v>153</v>
      </c>
      <c r="CG316" s="0" t="s">
        <v>153</v>
      </c>
      <c r="CH316" s="0" t="s">
        <v>175</v>
      </c>
      <c r="CK316" s="0" t="s">
        <v>153</v>
      </c>
      <c r="CN316" s="0" t="s">
        <v>153</v>
      </c>
      <c r="CP316" s="0" t="s">
        <v>153</v>
      </c>
      <c r="CU316" s="0" t="s">
        <v>175</v>
      </c>
      <c r="CW316" s="0" t="s">
        <v>175</v>
      </c>
      <c r="CY316" s="0" t="s">
        <v>153</v>
      </c>
      <c r="CZ316" s="0" t="s">
        <v>209</v>
      </c>
      <c r="DC316" s="0" t="s">
        <v>153</v>
      </c>
      <c r="DF316" s="0" t="s">
        <v>153</v>
      </c>
      <c r="DG316" s="0" t="s">
        <v>209</v>
      </c>
      <c r="DI316" s="0" t="s">
        <v>153</v>
      </c>
      <c r="DL316" s="0" t="s">
        <v>153</v>
      </c>
      <c r="DM316" s="0" t="s">
        <v>209</v>
      </c>
      <c r="DN316" s="0" t="s">
        <v>153</v>
      </c>
      <c r="EF316" s="0" t="s">
        <v>153</v>
      </c>
    </row>
    <row r="317" customFormat="false" ht="13.8" hidden="false" customHeight="false" outlineLevel="0" collapsed="false">
      <c r="A317" s="0" t="s">
        <v>1793</v>
      </c>
      <c r="B317" s="0" t="n">
        <v>78</v>
      </c>
      <c r="C317" s="0" t="n">
        <v>449674</v>
      </c>
      <c r="D317" s="0" t="s">
        <v>1794</v>
      </c>
      <c r="E317" s="0" t="s">
        <v>1795</v>
      </c>
      <c r="F317" s="0" t="str">
        <f aca="false">CONCATENATE(D317," ",LEFT(H317,4),"T=",AU317,"D=",AV317,"R=",AW317,"M=",AX317,"L=",AY317,"B=",AZ317)</f>
        <v>VAIL T=1D=0R=0M=0L=2B=0</v>
      </c>
      <c r="G317" s="0" t="s">
        <v>1796</v>
      </c>
      <c r="I317" s="0" t="s">
        <v>1797</v>
      </c>
      <c r="J317" s="0" t="s">
        <v>1798</v>
      </c>
      <c r="K317" s="0" t="s">
        <v>160</v>
      </c>
      <c r="M317" s="0" t="s">
        <v>1799</v>
      </c>
      <c r="N317" s="0" t="str">
        <f aca="false">RIGHT(M317,LEN(M317)-FIND(" ",M317))</f>
        <v>CHARLES AVE NE</v>
      </c>
      <c r="P317" s="0" t="s">
        <v>145</v>
      </c>
      <c r="Q317" s="0" t="s">
        <v>146</v>
      </c>
      <c r="R317" s="0" t="n">
        <v>44483</v>
      </c>
      <c r="AD317" s="0" t="s">
        <v>147</v>
      </c>
      <c r="AE317" s="0" t="s">
        <v>148</v>
      </c>
      <c r="AF317" s="0" t="s">
        <v>149</v>
      </c>
      <c r="AH317" s="0" t="n">
        <v>14</v>
      </c>
      <c r="AI317" s="0" t="n">
        <v>11</v>
      </c>
      <c r="AN317" s="0" t="s">
        <v>145</v>
      </c>
      <c r="AO317" s="0" t="s">
        <v>654</v>
      </c>
      <c r="AP317" s="0" t="s">
        <v>655</v>
      </c>
      <c r="AQ317" s="0" t="n">
        <v>9</v>
      </c>
      <c r="AR317" s="0" t="n">
        <v>64</v>
      </c>
      <c r="AS317" s="0" t="n">
        <v>32</v>
      </c>
      <c r="AU317" s="0" t="n">
        <f aca="false">COUNTA($BA$1616:$EH$1616)</f>
        <v>1</v>
      </c>
      <c r="AV317" s="0" t="n">
        <f aca="false">COUNTIF($BA$1616:$EH$1616,"D")</f>
        <v>0</v>
      </c>
      <c r="AW317" s="0" t="n">
        <f aca="false">COUNTIF($BA$1616:$EH$1616,"R")</f>
        <v>0</v>
      </c>
      <c r="AX317" s="0" t="n">
        <f aca="false">IF(BN317="D",1,0)+IF(BO317="D",1,0)+IF(BT317="D",1,0)+IF(BU317="D",1,0)+IF(BW317="D",1,0)+IF(CC317="D",1,0)+IF(CD317="D",1,0)+IF(CE317="D",1,0)+IF(CF317="D",1,0)+IF(CL317="D",1,0)+IF(CM317="D",1,0)+IF(CQ317="D",1,0)+IF(CR317="D",1,0)+IF(CS317="D",1,0)+IF(CW317="D",1,0)+IF(CX317="D",1,0)+IF(DD317="D",1,0)+IF(DE317="D",1,0)+IF(DJ317="D",1,0)+IF(DK317="D",1,0)+IF(DO317="D",1,0)+IF(DP317="D",1,0)+IF(DQ317="D",1,0)+IF(DW317="D",1,0)+IF(DZ317="D",1,0)+IF(EH317="D",1,0)</f>
        <v>0</v>
      </c>
      <c r="AY317" s="0" t="n">
        <f aca="false">COUNTIF(DU317:EH317, "&lt;&gt;")</f>
        <v>2</v>
      </c>
      <c r="AZ317" s="0" t="n">
        <f aca="false">IF(EH317&lt;&gt;"",1,0)</f>
        <v>0</v>
      </c>
      <c r="BB317" s="0" t="s">
        <v>152</v>
      </c>
      <c r="DN317" s="0" t="s">
        <v>153</v>
      </c>
      <c r="EA317" s="0" t="s">
        <v>153</v>
      </c>
      <c r="EF317" s="0" t="s">
        <v>153</v>
      </c>
    </row>
    <row r="318" customFormat="false" ht="13.8" hidden="true" customHeight="false" outlineLevel="0" collapsed="false">
      <c r="A318" s="0" t="s">
        <v>1800</v>
      </c>
      <c r="B318" s="0" t="n">
        <v>78</v>
      </c>
      <c r="C318" s="0" t="n">
        <v>376613</v>
      </c>
      <c r="D318" s="0" t="s">
        <v>1456</v>
      </c>
      <c r="E318" s="0" t="s">
        <v>1801</v>
      </c>
      <c r="F318" s="0" t="str">
        <f aca="false">CONCATENATE(D318," ",LEFT(H318,4),"T=",AU318,"D=",AV318,"R=",AW318,"M=",AX318,"L=",AY318,"B=",AZ318)</f>
        <v>BENNETT T=36D=14R=0M=0L=0B=0</v>
      </c>
      <c r="G318" s="0" t="s">
        <v>268</v>
      </c>
      <c r="I318" s="0" t="s">
        <v>1802</v>
      </c>
      <c r="J318" s="0" t="s">
        <v>1038</v>
      </c>
      <c r="K318" s="0" t="s">
        <v>143</v>
      </c>
      <c r="M318" s="0" t="s">
        <v>1803</v>
      </c>
      <c r="N318" s="0" t="str">
        <f aca="false">RIGHT(M318,LEN(M318)-FIND(" ",M318))</f>
        <v>CHARLES AVE NE</v>
      </c>
      <c r="P318" s="0" t="s">
        <v>145</v>
      </c>
      <c r="Q318" s="0" t="s">
        <v>146</v>
      </c>
      <c r="R318" s="0" t="n">
        <v>44483</v>
      </c>
      <c r="AD318" s="0" t="s">
        <v>147</v>
      </c>
      <c r="AE318" s="0" t="s">
        <v>148</v>
      </c>
      <c r="AF318" s="0" t="s">
        <v>149</v>
      </c>
      <c r="AH318" s="0" t="n">
        <v>14</v>
      </c>
      <c r="AI318" s="0" t="n">
        <v>11</v>
      </c>
      <c r="AN318" s="0" t="s">
        <v>145</v>
      </c>
      <c r="AO318" s="0" t="s">
        <v>654</v>
      </c>
      <c r="AP318" s="0" t="s">
        <v>655</v>
      </c>
      <c r="AQ318" s="0" t="n">
        <v>9</v>
      </c>
      <c r="AR318" s="0" t="n">
        <v>64</v>
      </c>
      <c r="AS318" s="0" t="n">
        <v>32</v>
      </c>
      <c r="AU318" s="0" t="n">
        <f aca="false">COUNTA($BA$1605:$EH$1605)</f>
        <v>36</v>
      </c>
      <c r="AV318" s="0" t="n">
        <f aca="false">COUNTIF($BA$1605:$EH$1605,"D")</f>
        <v>14</v>
      </c>
      <c r="AW318" s="0" t="n">
        <f aca="false">COUNTIF($BA$1605:$EH$1605,"R")</f>
        <v>0</v>
      </c>
      <c r="AX318" s="0" t="n">
        <f aca="false">IF(BN318="D",1,0)+IF(BO318="D",1,0)+IF(BT318="D",1,0)+IF(BU318="D",1,0)+IF(BW318="D",1,0)+IF(CC318="D",1,0)+IF(CD318="D",1,0)+IF(CE318="D",1,0)+IF(CF318="D",1,0)+IF(CL318="D",1,0)+IF(CM318="D",1,0)+IF(CQ318="D",1,0)+IF(CR318="D",1,0)+IF(CS318="D",1,0)+IF(CW318="D",1,0)+IF(CX318="D",1,0)+IF(DD318="D",1,0)+IF(DE318="D",1,0)+IF(DJ318="D",1,0)+IF(DK318="D",1,0)+IF(DO318="D",1,0)+IF(DP318="D",1,0)+IF(DQ318="D",1,0)+IF(DW318="D",1,0)+IF(DZ318="D",1,0)+IF(EH318="D",1,0)</f>
        <v>0</v>
      </c>
      <c r="AY318" s="0" t="n">
        <f aca="false">COUNTIF(DU318:EH318, "&lt;&gt;")</f>
        <v>0</v>
      </c>
      <c r="AZ318" s="0" t="n">
        <f aca="false">IF(EH318&lt;&gt;"",1,0)</f>
        <v>0</v>
      </c>
      <c r="BB318" s="0" t="s">
        <v>152</v>
      </c>
    </row>
    <row r="319" customFormat="false" ht="13.8" hidden="true" customHeight="false" outlineLevel="0" collapsed="false">
      <c r="A319" s="0" t="s">
        <v>1804</v>
      </c>
      <c r="B319" s="0" t="n">
        <v>78</v>
      </c>
      <c r="C319" s="0" t="n">
        <v>306555</v>
      </c>
      <c r="D319" s="0" t="s">
        <v>1805</v>
      </c>
      <c r="E319" s="0" t="s">
        <v>1208</v>
      </c>
      <c r="F319" s="0" t="str">
        <f aca="false">CONCATENATE(D319," ",LEFT(H319,4),"T=",AU319,"D=",AV319,"R=",AW319,"M=",AX319,"L=",AY319,"B=",AZ319)</f>
        <v>BHAIH T=1D=0R=0M=0L=0B=0</v>
      </c>
      <c r="G319" s="0" t="s">
        <v>195</v>
      </c>
      <c r="I319" s="0" t="s">
        <v>1806</v>
      </c>
      <c r="J319" s="0" t="s">
        <v>1807</v>
      </c>
      <c r="K319" s="0" t="s">
        <v>143</v>
      </c>
      <c r="M319" s="0" t="s">
        <v>1808</v>
      </c>
      <c r="N319" s="0" t="str">
        <f aca="false">RIGHT(M319,LEN(M319)-FIND(" ",M319))</f>
        <v>CHARLES AVE SE</v>
      </c>
      <c r="P319" s="0" t="s">
        <v>145</v>
      </c>
      <c r="Q319" s="0" t="s">
        <v>146</v>
      </c>
      <c r="R319" s="0" t="n">
        <v>44483</v>
      </c>
      <c r="AD319" s="0" t="s">
        <v>147</v>
      </c>
      <c r="AE319" s="0" t="s">
        <v>148</v>
      </c>
      <c r="AF319" s="0" t="s">
        <v>149</v>
      </c>
      <c r="AH319" s="0" t="n">
        <v>14</v>
      </c>
      <c r="AI319" s="0" t="n">
        <v>11</v>
      </c>
      <c r="AN319" s="0" t="s">
        <v>145</v>
      </c>
      <c r="AO319" s="0" t="s">
        <v>150</v>
      </c>
      <c r="AP319" s="0" t="s">
        <v>151</v>
      </c>
      <c r="AQ319" s="0" t="n">
        <v>9</v>
      </c>
      <c r="AR319" s="0" t="n">
        <v>64</v>
      </c>
      <c r="AS319" s="0" t="n">
        <v>32</v>
      </c>
      <c r="AU319" s="0" t="n">
        <f aca="false">COUNTA($BA$318:$EH$318)</f>
        <v>1</v>
      </c>
      <c r="AV319" s="0" t="n">
        <f aca="false">COUNTIF($BA$318:$EH$318,"D")</f>
        <v>0</v>
      </c>
      <c r="AW319" s="0" t="n">
        <f aca="false">COUNTIF($BA$318:$EH$318,"R")</f>
        <v>0</v>
      </c>
      <c r="AX319" s="0" t="n">
        <f aca="false">IF(BN319="D",1,0)+IF(BO319="D",1,0)+IF(BT319="D",1,0)+IF(BU319="D",1,0)+IF(BW319="D",1,0)+IF(CC319="D",1,0)+IF(CD319="D",1,0)+IF(CE319="D",1,0)+IF(CF319="D",1,0)+IF(CL319="D",1,0)+IF(CM319="D",1,0)+IF(CQ319="D",1,0)+IF(CR319="D",1,0)+IF(CS319="D",1,0)+IF(CW319="D",1,0)+IF(CX319="D",1,0)+IF(DD319="D",1,0)+IF(DE319="D",1,0)+IF(DJ319="D",1,0)+IF(DK319="D",1,0)+IF(DO319="D",1,0)+IF(DP319="D",1,0)+IF(DQ319="D",1,0)+IF(DW319="D",1,0)+IF(DZ319="D",1,0)+IF(EH319="D",1,0)</f>
        <v>0</v>
      </c>
      <c r="AY319" s="0" t="n">
        <f aca="false">COUNTIF(DU319:EH319, "&lt;&gt;")</f>
        <v>0</v>
      </c>
      <c r="AZ319" s="0" t="n">
        <f aca="false">IF(EH319&lt;&gt;"",1,0)</f>
        <v>0</v>
      </c>
      <c r="BB319" s="0" t="s">
        <v>152</v>
      </c>
      <c r="BY319" s="0" t="s">
        <v>175</v>
      </c>
      <c r="DC319" s="0" t="s">
        <v>153</v>
      </c>
    </row>
    <row r="320" customFormat="false" ht="13.8" hidden="true" customHeight="false" outlineLevel="0" collapsed="false">
      <c r="A320" s="0" t="s">
        <v>1809</v>
      </c>
      <c r="B320" s="0" t="n">
        <v>78</v>
      </c>
      <c r="C320" s="0" t="n">
        <v>426234</v>
      </c>
      <c r="D320" s="0" t="s">
        <v>1805</v>
      </c>
      <c r="E320" s="0" t="s">
        <v>1810</v>
      </c>
      <c r="F320" s="0" t="str">
        <f aca="false">CONCATENATE(D320," ",LEFT(H320,4),"T=",AU320,"D=",AV320,"R=",AW320,"M=",AX320,"L=",AY320,"B=",AZ320)</f>
        <v>BHAIH T=6D=1R=0M=0L=0B=0</v>
      </c>
      <c r="I320" s="0" t="s">
        <v>1811</v>
      </c>
      <c r="J320" s="0" t="s">
        <v>1010</v>
      </c>
      <c r="K320" s="0" t="s">
        <v>143</v>
      </c>
      <c r="M320" s="0" t="s">
        <v>1808</v>
      </c>
      <c r="N320" s="0" t="str">
        <f aca="false">RIGHT(M320,LEN(M320)-FIND(" ",M320))</f>
        <v>CHARLES AVE SE</v>
      </c>
      <c r="P320" s="0" t="s">
        <v>145</v>
      </c>
      <c r="Q320" s="0" t="s">
        <v>146</v>
      </c>
      <c r="R320" s="0" t="n">
        <v>44483</v>
      </c>
      <c r="AD320" s="0" t="s">
        <v>147</v>
      </c>
      <c r="AE320" s="0" t="s">
        <v>148</v>
      </c>
      <c r="AF320" s="0" t="s">
        <v>149</v>
      </c>
      <c r="AH320" s="0" t="n">
        <v>14</v>
      </c>
      <c r="AI320" s="0" t="n">
        <v>11</v>
      </c>
      <c r="AN320" s="0" t="s">
        <v>145</v>
      </c>
      <c r="AO320" s="0" t="s">
        <v>150</v>
      </c>
      <c r="AP320" s="0" t="s">
        <v>151</v>
      </c>
      <c r="AQ320" s="0" t="n">
        <v>9</v>
      </c>
      <c r="AR320" s="0" t="n">
        <v>64</v>
      </c>
      <c r="AS320" s="0" t="n">
        <v>32</v>
      </c>
      <c r="AU320" s="0" t="n">
        <f aca="false">COUNTA($BA$323:$EH$323)</f>
        <v>6</v>
      </c>
      <c r="AV320" s="0" t="n">
        <f aca="false">COUNTIF($BA$323:$EH$323,"D")</f>
        <v>1</v>
      </c>
      <c r="AW320" s="0" t="n">
        <f aca="false">COUNTIF($BA$323:$EH$323,"R")</f>
        <v>0</v>
      </c>
      <c r="AX320" s="0" t="n">
        <f aca="false">IF(BN320="D",1,0)+IF(BO320="D",1,0)+IF(BT320="D",1,0)+IF(BU320="D",1,0)+IF(BW320="D",1,0)+IF(CC320="D",1,0)+IF(CD320="D",1,0)+IF(CE320="D",1,0)+IF(CF320="D",1,0)+IF(CL320="D",1,0)+IF(CM320="D",1,0)+IF(CQ320="D",1,0)+IF(CR320="D",1,0)+IF(CS320="D",1,0)+IF(CW320="D",1,0)+IF(CX320="D",1,0)+IF(DD320="D",1,0)+IF(DE320="D",1,0)+IF(DJ320="D",1,0)+IF(DK320="D",1,0)+IF(DO320="D",1,0)+IF(DP320="D",1,0)+IF(DQ320="D",1,0)+IF(DW320="D",1,0)+IF(DZ320="D",1,0)+IF(EH320="D",1,0)</f>
        <v>0</v>
      </c>
      <c r="AY320" s="0" t="n">
        <f aca="false">COUNTIF(DU320:EH320, "&lt;&gt;")</f>
        <v>0</v>
      </c>
      <c r="AZ320" s="0" t="n">
        <f aca="false">IF(EH320&lt;&gt;"",1,0)</f>
        <v>0</v>
      </c>
      <c r="BB320" s="0" t="s">
        <v>152</v>
      </c>
    </row>
    <row r="321" customFormat="false" ht="13.8" hidden="true" customHeight="false" outlineLevel="0" collapsed="false">
      <c r="A321" s="0" t="s">
        <v>1812</v>
      </c>
      <c r="B321" s="0" t="n">
        <v>78</v>
      </c>
      <c r="C321" s="0" t="n">
        <v>407913</v>
      </c>
      <c r="D321" s="0" t="s">
        <v>1813</v>
      </c>
      <c r="E321" s="0" t="s">
        <v>1814</v>
      </c>
      <c r="F321" s="0" t="str">
        <f aca="false">CONCATENATE(D321," ",LEFT(H321,4),"T=",AU321,"D=",AV321,"R=",AW321,"M=",AX321,"L=",AY321,"B=",AZ321)</f>
        <v>JACOBS T=1D=0R=0M=0L=0B=0</v>
      </c>
      <c r="G321" s="0" t="s">
        <v>839</v>
      </c>
      <c r="I321" s="0" t="s">
        <v>1815</v>
      </c>
      <c r="J321" s="0" t="s">
        <v>1816</v>
      </c>
      <c r="K321" s="0" t="s">
        <v>143</v>
      </c>
      <c r="M321" s="0" t="s">
        <v>1808</v>
      </c>
      <c r="N321" s="0" t="str">
        <f aca="false">RIGHT(M321,LEN(M321)-FIND(" ",M321))</f>
        <v>CHARLES AVE SE</v>
      </c>
      <c r="P321" s="0" t="s">
        <v>145</v>
      </c>
      <c r="Q321" s="0" t="s">
        <v>146</v>
      </c>
      <c r="R321" s="0" t="n">
        <v>44483</v>
      </c>
      <c r="AD321" s="0" t="s">
        <v>147</v>
      </c>
      <c r="AE321" s="0" t="s">
        <v>148</v>
      </c>
      <c r="AF321" s="0" t="s">
        <v>149</v>
      </c>
      <c r="AH321" s="0" t="n">
        <v>14</v>
      </c>
      <c r="AI321" s="0" t="n">
        <v>11</v>
      </c>
      <c r="AN321" s="0" t="s">
        <v>145</v>
      </c>
      <c r="AO321" s="0" t="s">
        <v>150</v>
      </c>
      <c r="AP321" s="0" t="s">
        <v>151</v>
      </c>
      <c r="AQ321" s="0" t="n">
        <v>9</v>
      </c>
      <c r="AR321" s="0" t="n">
        <v>64</v>
      </c>
      <c r="AS321" s="0" t="n">
        <v>32</v>
      </c>
      <c r="AU321" s="0" t="n">
        <f aca="false">COUNTA($BA$564:$EH$564)</f>
        <v>1</v>
      </c>
      <c r="AV321" s="0" t="n">
        <f aca="false">COUNTIF($BA$564:$EH$564,"D")</f>
        <v>0</v>
      </c>
      <c r="AW321" s="0" t="n">
        <f aca="false">COUNTIF($BA$564:$EH$564,"R")</f>
        <v>0</v>
      </c>
      <c r="AX321" s="0" t="n">
        <f aca="false">IF(BN321="D",1,0)+IF(BO321="D",1,0)+IF(BT321="D",1,0)+IF(BU321="D",1,0)+IF(BW321="D",1,0)+IF(CC321="D",1,0)+IF(CD321="D",1,0)+IF(CE321="D",1,0)+IF(CF321="D",1,0)+IF(CL321="D",1,0)+IF(CM321="D",1,0)+IF(CQ321="D",1,0)+IF(CR321="D",1,0)+IF(CS321="D",1,0)+IF(CW321="D",1,0)+IF(CX321="D",1,0)+IF(DD321="D",1,0)+IF(DE321="D",1,0)+IF(DJ321="D",1,0)+IF(DK321="D",1,0)+IF(DO321="D",1,0)+IF(DP321="D",1,0)+IF(DQ321="D",1,0)+IF(DW321="D",1,0)+IF(DZ321="D",1,0)+IF(EH321="D",1,0)</f>
        <v>0</v>
      </c>
      <c r="AY321" s="0" t="n">
        <f aca="false">COUNTIF(DU321:EH321, "&lt;&gt;")</f>
        <v>0</v>
      </c>
      <c r="AZ321" s="0" t="n">
        <f aca="false">IF(EH321&lt;&gt;"",1,0)</f>
        <v>0</v>
      </c>
      <c r="BB321" s="0" t="s">
        <v>152</v>
      </c>
    </row>
    <row r="322" customFormat="false" ht="13.8" hidden="false" customHeight="false" outlineLevel="0" collapsed="false">
      <c r="A322" s="0" t="s">
        <v>1817</v>
      </c>
      <c r="B322" s="0" t="n">
        <v>78</v>
      </c>
      <c r="C322" s="0" t="n">
        <v>256385</v>
      </c>
      <c r="D322" s="0" t="s">
        <v>1818</v>
      </c>
      <c r="E322" s="0" t="s">
        <v>1819</v>
      </c>
      <c r="F322" s="0" t="str">
        <f aca="false">CONCATENATE(D322," ",LEFT(H322,4),"T=",AU322,"D=",AV322,"R=",AW322,"M=",AX322,"L=",AY322,"B=",AZ322)</f>
        <v>LOPEZ T=14D=0R=0M=2L=5B=0</v>
      </c>
      <c r="I322" s="0" t="s">
        <v>1820</v>
      </c>
      <c r="J322" s="0" t="s">
        <v>1756</v>
      </c>
      <c r="K322" s="0" t="s">
        <v>160</v>
      </c>
      <c r="L322" s="0" t="s">
        <v>209</v>
      </c>
      <c r="M322" s="0" t="s">
        <v>1821</v>
      </c>
      <c r="N322" s="0" t="str">
        <f aca="false">RIGHT(M322,LEN(M322)-FIND(" ",M322))</f>
        <v>CHARLES AVE SE</v>
      </c>
      <c r="P322" s="0" t="s">
        <v>145</v>
      </c>
      <c r="Q322" s="0" t="s">
        <v>146</v>
      </c>
      <c r="R322" s="0" t="n">
        <v>44483</v>
      </c>
      <c r="AD322" s="0" t="s">
        <v>147</v>
      </c>
      <c r="AE322" s="0" t="s">
        <v>148</v>
      </c>
      <c r="AF322" s="0" t="s">
        <v>149</v>
      </c>
      <c r="AH322" s="0" t="n">
        <v>14</v>
      </c>
      <c r="AI322" s="0" t="n">
        <v>11</v>
      </c>
      <c r="AN322" s="0" t="s">
        <v>145</v>
      </c>
      <c r="AO322" s="0" t="s">
        <v>150</v>
      </c>
      <c r="AP322" s="0" t="s">
        <v>151</v>
      </c>
      <c r="AQ322" s="0" t="n">
        <v>9</v>
      </c>
      <c r="AR322" s="0" t="n">
        <v>64</v>
      </c>
      <c r="AS322" s="0" t="n">
        <v>32</v>
      </c>
      <c r="AU322" s="0" t="n">
        <f aca="false">COUNTA($BA$726:$EH$726)</f>
        <v>14</v>
      </c>
      <c r="AV322" s="0" t="n">
        <f aca="false">COUNTIF($BA$726:$EH$726,"D")</f>
        <v>0</v>
      </c>
      <c r="AW322" s="0" t="n">
        <f aca="false">COUNTIF($BA$726:$EH$726,"R")</f>
        <v>0</v>
      </c>
      <c r="AX322" s="0" t="n">
        <f aca="false">IF(BN322="D",1,0)+IF(BO322="D",1,0)+IF(BT322="D",1,0)+IF(BU322="D",1,0)+IF(BW322="D",1,0)+IF(CC322="D",1,0)+IF(CD322="D",1,0)+IF(CE322="D",1,0)+IF(CF322="D",1,0)+IF(CL322="D",1,0)+IF(CM322="D",1,0)+IF(CQ322="D",1,0)+IF(CR322="D",1,0)+IF(CS322="D",1,0)+IF(CW322="D",1,0)+IF(CX322="D",1,0)+IF(DD322="D",1,0)+IF(DE322="D",1,0)+IF(DJ322="D",1,0)+IF(DK322="D",1,0)+IF(DO322="D",1,0)+IF(DP322="D",1,0)+IF(DQ322="D",1,0)+IF(DW322="D",1,0)+IF(DZ322="D",1,0)+IF(EH322="D",1,0)</f>
        <v>2</v>
      </c>
      <c r="AY322" s="0" t="n">
        <f aca="false">COUNTIF(DU322:EH322, "&lt;&gt;")</f>
        <v>5</v>
      </c>
      <c r="AZ322" s="0" t="n">
        <f aca="false">IF(EH322&lt;&gt;"",1,0)</f>
        <v>0</v>
      </c>
      <c r="BB322" s="0" t="s">
        <v>152</v>
      </c>
      <c r="BC322" s="0" t="s">
        <v>153</v>
      </c>
      <c r="BD322" s="0" t="s">
        <v>153</v>
      </c>
      <c r="BI322" s="0" t="s">
        <v>153</v>
      </c>
      <c r="BJ322" s="0" t="s">
        <v>153</v>
      </c>
      <c r="BK322" s="0" t="s">
        <v>153</v>
      </c>
      <c r="BL322" s="0" t="s">
        <v>153</v>
      </c>
      <c r="BP322" s="0" t="s">
        <v>153</v>
      </c>
      <c r="BR322" s="0" t="s">
        <v>153</v>
      </c>
      <c r="BS322" s="0" t="s">
        <v>153</v>
      </c>
      <c r="BT322" s="0" t="s">
        <v>153</v>
      </c>
      <c r="CA322" s="0" t="s">
        <v>153</v>
      </c>
      <c r="CK322" s="0" t="s">
        <v>153</v>
      </c>
      <c r="CY322" s="0" t="s">
        <v>153</v>
      </c>
      <c r="DC322" s="0" t="s">
        <v>153</v>
      </c>
      <c r="DF322" s="0" t="s">
        <v>153</v>
      </c>
      <c r="DI322" s="0" t="s">
        <v>153</v>
      </c>
      <c r="DJ322" s="0" t="s">
        <v>175</v>
      </c>
      <c r="DN322" s="0" t="s">
        <v>153</v>
      </c>
      <c r="DS322" s="0" t="s">
        <v>209</v>
      </c>
      <c r="DT322" s="0" t="s">
        <v>209</v>
      </c>
      <c r="DU322" s="0" t="s">
        <v>153</v>
      </c>
      <c r="DW322" s="0" t="s">
        <v>175</v>
      </c>
      <c r="EA322" s="0" t="s">
        <v>153</v>
      </c>
      <c r="ED322" s="0" t="s">
        <v>209</v>
      </c>
      <c r="EF322" s="0" t="s">
        <v>153</v>
      </c>
    </row>
    <row r="323" customFormat="false" ht="13.8" hidden="true" customHeight="false" outlineLevel="0" collapsed="false">
      <c r="A323" s="0" t="s">
        <v>1822</v>
      </c>
      <c r="B323" s="0" t="n">
        <v>78</v>
      </c>
      <c r="C323" s="0" t="n">
        <v>353275</v>
      </c>
      <c r="D323" s="0" t="s">
        <v>1823</v>
      </c>
      <c r="E323" s="0" t="s">
        <v>1143</v>
      </c>
      <c r="F323" s="0" t="str">
        <f aca="false">CONCATENATE(D323," ",LEFT(H323,4),"T=",AU323,"D=",AV323,"R=",AW323,"M=",AX323,"L=",AY323,"B=",AZ323)</f>
        <v>LORRAINE T=2D=0R=0M=0L=1B=0</v>
      </c>
      <c r="G323" s="0" t="s">
        <v>839</v>
      </c>
      <c r="I323" s="0" t="s">
        <v>1824</v>
      </c>
      <c r="J323" s="0" t="s">
        <v>386</v>
      </c>
      <c r="K323" s="0" t="s">
        <v>160</v>
      </c>
      <c r="M323" s="0" t="s">
        <v>1821</v>
      </c>
      <c r="N323" s="0" t="str">
        <f aca="false">RIGHT(M323,LEN(M323)-FIND(" ",M323))</f>
        <v>CHARLES AVE SE</v>
      </c>
      <c r="P323" s="0" t="s">
        <v>145</v>
      </c>
      <c r="Q323" s="0" t="s">
        <v>146</v>
      </c>
      <c r="R323" s="0" t="n">
        <v>44483</v>
      </c>
      <c r="AD323" s="0" t="s">
        <v>147</v>
      </c>
      <c r="AE323" s="0" t="s">
        <v>148</v>
      </c>
      <c r="AF323" s="0" t="s">
        <v>149</v>
      </c>
      <c r="AH323" s="0" t="n">
        <v>14</v>
      </c>
      <c r="AI323" s="0" t="n">
        <v>11</v>
      </c>
      <c r="AN323" s="0" t="s">
        <v>145</v>
      </c>
      <c r="AO323" s="0" t="s">
        <v>150</v>
      </c>
      <c r="AP323" s="0" t="s">
        <v>151</v>
      </c>
      <c r="AQ323" s="0" t="n">
        <v>9</v>
      </c>
      <c r="AR323" s="0" t="n">
        <v>64</v>
      </c>
      <c r="AS323" s="0" t="n">
        <v>32</v>
      </c>
      <c r="AU323" s="0" t="n">
        <f aca="false">COUNTA($BA$902:$EH$902)</f>
        <v>2</v>
      </c>
      <c r="AV323" s="0" t="n">
        <f aca="false">COUNTIF($BA$902:$EH$902,"D")</f>
        <v>0</v>
      </c>
      <c r="AW323" s="0" t="n">
        <f aca="false">COUNTIF($BA$902:$EH$902,"R")</f>
        <v>0</v>
      </c>
      <c r="AX323" s="0" t="n">
        <f aca="false">IF(BN323="D",1,0)+IF(BO323="D",1,0)+IF(BT323="D",1,0)+IF(BU323="D",1,0)+IF(BW323="D",1,0)+IF(CC323="D",1,0)+IF(CD323="D",1,0)+IF(CE323="D",1,0)+IF(CF323="D",1,0)+IF(CL323="D",1,0)+IF(CM323="D",1,0)+IF(CQ323="D",1,0)+IF(CR323="D",1,0)+IF(CS323="D",1,0)+IF(CW323="D",1,0)+IF(CX323="D",1,0)+IF(DD323="D",1,0)+IF(DE323="D",1,0)+IF(DJ323="D",1,0)+IF(DK323="D",1,0)+IF(DO323="D",1,0)+IF(DP323="D",1,0)+IF(DQ323="D",1,0)+IF(DW323="D",1,0)+IF(DZ323="D",1,0)+IF(EH323="D",1,0)</f>
        <v>0</v>
      </c>
      <c r="AY323" s="0" t="n">
        <f aca="false">COUNTIF(DU323:EH323, "&lt;&gt;")</f>
        <v>1</v>
      </c>
      <c r="AZ323" s="0" t="n">
        <f aca="false">IF(EH323&lt;&gt;"",1,0)</f>
        <v>0</v>
      </c>
      <c r="BB323" s="0" t="s">
        <v>152</v>
      </c>
      <c r="BY323" s="0" t="s">
        <v>175</v>
      </c>
      <c r="CA323" s="0" t="s">
        <v>153</v>
      </c>
      <c r="CN323" s="0" t="s">
        <v>153</v>
      </c>
      <c r="CP323" s="0" t="s">
        <v>153</v>
      </c>
      <c r="EF323" s="0" t="s">
        <v>153</v>
      </c>
    </row>
    <row r="324" customFormat="false" ht="13.8" hidden="true" customHeight="false" outlineLevel="0" collapsed="false">
      <c r="A324" s="0" t="s">
        <v>1825</v>
      </c>
      <c r="B324" s="0" t="n">
        <v>78</v>
      </c>
      <c r="C324" s="0" t="n">
        <v>362826</v>
      </c>
      <c r="D324" s="0" t="s">
        <v>1826</v>
      </c>
      <c r="E324" s="0" t="s">
        <v>1827</v>
      </c>
      <c r="F324" s="0" t="str">
        <f aca="false">CONCATENATE(D324," ",LEFT(H324,4),"T=",AU324,"D=",AV324,"R=",AW324,"M=",AX324,"L=",AY324,"B=",AZ324)</f>
        <v>KLINE T=12D=1R=0M=0L=0B=0</v>
      </c>
      <c r="G324" s="0" t="s">
        <v>164</v>
      </c>
      <c r="I324" s="0" t="s">
        <v>1828</v>
      </c>
      <c r="J324" s="0" t="s">
        <v>1829</v>
      </c>
      <c r="K324" s="0" t="s">
        <v>160</v>
      </c>
      <c r="M324" s="0" t="s">
        <v>1830</v>
      </c>
      <c r="N324" s="0" t="str">
        <f aca="false">RIGHT(M324,LEN(M324)-FIND(" ",M324))</f>
        <v>CHARLES AVE SE</v>
      </c>
      <c r="P324" s="0" t="s">
        <v>145</v>
      </c>
      <c r="Q324" s="0" t="s">
        <v>146</v>
      </c>
      <c r="R324" s="0" t="n">
        <v>44483</v>
      </c>
      <c r="AD324" s="0" t="s">
        <v>147</v>
      </c>
      <c r="AE324" s="0" t="s">
        <v>148</v>
      </c>
      <c r="AF324" s="0" t="s">
        <v>149</v>
      </c>
      <c r="AH324" s="0" t="n">
        <v>14</v>
      </c>
      <c r="AI324" s="0" t="n">
        <v>11</v>
      </c>
      <c r="AN324" s="0" t="s">
        <v>145</v>
      </c>
      <c r="AO324" s="0" t="s">
        <v>150</v>
      </c>
      <c r="AP324" s="0" t="s">
        <v>151</v>
      </c>
      <c r="AQ324" s="0" t="n">
        <v>9</v>
      </c>
      <c r="AR324" s="0" t="n">
        <v>64</v>
      </c>
      <c r="AS324" s="0" t="n">
        <v>32</v>
      </c>
      <c r="AU324" s="0" t="n">
        <f aca="false">COUNTA($BA$767:$EH$767)</f>
        <v>12</v>
      </c>
      <c r="AV324" s="0" t="n">
        <f aca="false">COUNTIF($BA$767:$EH$767,"D")</f>
        <v>1</v>
      </c>
      <c r="AW324" s="0" t="n">
        <f aca="false">COUNTIF($BA$767:$EH$767,"R")</f>
        <v>0</v>
      </c>
      <c r="AX324" s="0" t="n">
        <f aca="false">IF(BN324="D",1,0)+IF(BO324="D",1,0)+IF(BT324="D",1,0)+IF(BU324="D",1,0)+IF(BW324="D",1,0)+IF(CC324="D",1,0)+IF(CD324="D",1,0)+IF(CE324="D",1,0)+IF(CF324="D",1,0)+IF(CL324="D",1,0)+IF(CM324="D",1,0)+IF(CQ324="D",1,0)+IF(CR324="D",1,0)+IF(CS324="D",1,0)+IF(CW324="D",1,0)+IF(CX324="D",1,0)+IF(DD324="D",1,0)+IF(DE324="D",1,0)+IF(DJ324="D",1,0)+IF(DK324="D",1,0)+IF(DO324="D",1,0)+IF(DP324="D",1,0)+IF(DQ324="D",1,0)+IF(DW324="D",1,0)+IF(DZ324="D",1,0)+IF(EH324="D",1,0)</f>
        <v>0</v>
      </c>
      <c r="AY324" s="0" t="n">
        <f aca="false">COUNTIF(DU324:EH324, "&lt;&gt;")</f>
        <v>0</v>
      </c>
      <c r="AZ324" s="0" t="n">
        <f aca="false">IF(EH324&lt;&gt;"",1,0)</f>
        <v>0</v>
      </c>
      <c r="BB324" s="0" t="s">
        <v>152</v>
      </c>
      <c r="CA324" s="0" t="s">
        <v>153</v>
      </c>
    </row>
    <row r="325" customFormat="false" ht="13.8" hidden="true" customHeight="false" outlineLevel="0" collapsed="false">
      <c r="A325" s="0" t="s">
        <v>1831</v>
      </c>
      <c r="B325" s="0" t="n">
        <v>78</v>
      </c>
      <c r="C325" s="0" t="n">
        <v>410966</v>
      </c>
      <c r="D325" s="0" t="s">
        <v>1832</v>
      </c>
      <c r="E325" s="0" t="s">
        <v>208</v>
      </c>
      <c r="F325" s="0" t="str">
        <f aca="false">CONCATENATE(D325," ",LEFT(H325,4),"T=",AU325,"D=",AV325,"R=",AW325,"M=",AX325,"L=",AY325,"B=",AZ325)</f>
        <v>CASPER T=6D=0R=0M=0L=0B=0</v>
      </c>
      <c r="G325" s="0" t="s">
        <v>268</v>
      </c>
      <c r="I325" s="0" t="s">
        <v>1833</v>
      </c>
      <c r="J325" s="0" t="s">
        <v>1038</v>
      </c>
      <c r="K325" s="0" t="s">
        <v>143</v>
      </c>
      <c r="M325" s="0" t="s">
        <v>1830</v>
      </c>
      <c r="N325" s="0" t="str">
        <f aca="false">RIGHT(M325,LEN(M325)-FIND(" ",M325))</f>
        <v>CHARLES AVE SE</v>
      </c>
      <c r="P325" s="0" t="s">
        <v>145</v>
      </c>
      <c r="Q325" s="0" t="s">
        <v>146</v>
      </c>
      <c r="R325" s="0" t="n">
        <v>44483</v>
      </c>
      <c r="AD325" s="0" t="s">
        <v>147</v>
      </c>
      <c r="AE325" s="0" t="s">
        <v>148</v>
      </c>
      <c r="AF325" s="0" t="s">
        <v>149</v>
      </c>
      <c r="AH325" s="0" t="n">
        <v>14</v>
      </c>
      <c r="AI325" s="0" t="n">
        <v>11</v>
      </c>
      <c r="AN325" s="0" t="s">
        <v>145</v>
      </c>
      <c r="AO325" s="0" t="s">
        <v>150</v>
      </c>
      <c r="AP325" s="0" t="s">
        <v>151</v>
      </c>
      <c r="AQ325" s="0" t="n">
        <v>9</v>
      </c>
      <c r="AR325" s="0" t="n">
        <v>64</v>
      </c>
      <c r="AS325" s="0" t="n">
        <v>32</v>
      </c>
      <c r="AU325" s="0" t="n">
        <f aca="false">COUNTA($BA$934:$EH$934)</f>
        <v>6</v>
      </c>
      <c r="AV325" s="0" t="n">
        <f aca="false">COUNTIF($BA$934:$EH$934,"D")</f>
        <v>0</v>
      </c>
      <c r="AW325" s="0" t="n">
        <f aca="false">COUNTIF($BA$934:$EH$934,"R")</f>
        <v>0</v>
      </c>
      <c r="AX325" s="0" t="n">
        <f aca="false">IF(BN325="D",1,0)+IF(BO325="D",1,0)+IF(BT325="D",1,0)+IF(BU325="D",1,0)+IF(BW325="D",1,0)+IF(CC325="D",1,0)+IF(CD325="D",1,0)+IF(CE325="D",1,0)+IF(CF325="D",1,0)+IF(CL325="D",1,0)+IF(CM325="D",1,0)+IF(CQ325="D",1,0)+IF(CR325="D",1,0)+IF(CS325="D",1,0)+IF(CW325="D",1,0)+IF(CX325="D",1,0)+IF(DD325="D",1,0)+IF(DE325="D",1,0)+IF(DJ325="D",1,0)+IF(DK325="D",1,0)+IF(DO325="D",1,0)+IF(DP325="D",1,0)+IF(DQ325="D",1,0)+IF(DW325="D",1,0)+IF(DZ325="D",1,0)+IF(EH325="D",1,0)</f>
        <v>0</v>
      </c>
      <c r="AY325" s="0" t="n">
        <f aca="false">COUNTIF(DU325:EH325, "&lt;&gt;")</f>
        <v>0</v>
      </c>
      <c r="AZ325" s="0" t="n">
        <f aca="false">IF(EH325&lt;&gt;"",1,0)</f>
        <v>0</v>
      </c>
      <c r="BB325" s="0" t="s">
        <v>152</v>
      </c>
    </row>
    <row r="326" customFormat="false" ht="13.8" hidden="true" customHeight="false" outlineLevel="0" collapsed="false">
      <c r="A326" s="0" t="s">
        <v>1834</v>
      </c>
      <c r="B326" s="0" t="n">
        <v>78</v>
      </c>
      <c r="C326" s="0" t="n">
        <v>250356</v>
      </c>
      <c r="D326" s="0" t="s">
        <v>1835</v>
      </c>
      <c r="E326" s="0" t="s">
        <v>1836</v>
      </c>
      <c r="F326" s="0" t="str">
        <f aca="false">CONCATENATE(D326," ",LEFT(H326,4),"T=",AU326,"D=",AV326,"R=",AW326,"M=",AX326,"L=",AY326,"B=",AZ326)</f>
        <v>FORD T=46D=13R=0M=3L=1B=0</v>
      </c>
      <c r="I326" s="0" t="s">
        <v>1837</v>
      </c>
      <c r="J326" s="0" t="s">
        <v>1838</v>
      </c>
      <c r="K326" s="0" t="s">
        <v>160</v>
      </c>
      <c r="M326" s="0" t="s">
        <v>1839</v>
      </c>
      <c r="N326" s="0" t="str">
        <f aca="false">RIGHT(M326,LEN(M326)-FIND(" ",M326))</f>
        <v>CHARLES AVE SE</v>
      </c>
      <c r="P326" s="0" t="s">
        <v>145</v>
      </c>
      <c r="Q326" s="0" t="s">
        <v>146</v>
      </c>
      <c r="R326" s="0" t="n">
        <v>44483</v>
      </c>
      <c r="AD326" s="0" t="s">
        <v>147</v>
      </c>
      <c r="AE326" s="0" t="s">
        <v>148</v>
      </c>
      <c r="AF326" s="0" t="s">
        <v>149</v>
      </c>
      <c r="AH326" s="0" t="n">
        <v>14</v>
      </c>
      <c r="AI326" s="0" t="n">
        <v>11</v>
      </c>
      <c r="AN326" s="0" t="s">
        <v>145</v>
      </c>
      <c r="AO326" s="0" t="s">
        <v>150</v>
      </c>
      <c r="AP326" s="0" t="s">
        <v>151</v>
      </c>
      <c r="AQ326" s="0" t="n">
        <v>9</v>
      </c>
      <c r="AR326" s="0" t="n">
        <v>64</v>
      </c>
      <c r="AS326" s="0" t="n">
        <v>32</v>
      </c>
      <c r="AU326" s="0" t="n">
        <f aca="false">COUNTA($BA$725:$EH$725)</f>
        <v>46</v>
      </c>
      <c r="AV326" s="0" t="n">
        <f aca="false">COUNTIF($BA$725:$EH$725,"D")</f>
        <v>13</v>
      </c>
      <c r="AW326" s="0" t="n">
        <f aca="false">COUNTIF($BA$725:$EH$725,"R")</f>
        <v>0</v>
      </c>
      <c r="AX326" s="0" t="n">
        <f aca="false">IF(BN326="D",1,0)+IF(BO326="D",1,0)+IF(BT326="D",1,0)+IF(BU326="D",1,0)+IF(BW326="D",1,0)+IF(CC326="D",1,0)+IF(CD326="D",1,0)+IF(CE326="D",1,0)+IF(CF326="D",1,0)+IF(CL326="D",1,0)+IF(CM326="D",1,0)+IF(CQ326="D",1,0)+IF(CR326="D",1,0)+IF(CS326="D",1,0)+IF(CW326="D",1,0)+IF(CX326="D",1,0)+IF(DD326="D",1,0)+IF(DE326="D",1,0)+IF(DJ326="D",1,0)+IF(DK326="D",1,0)+IF(DO326="D",1,0)+IF(DP326="D",1,0)+IF(DQ326="D",1,0)+IF(DW326="D",1,0)+IF(DZ326="D",1,0)+IF(EH326="D",1,0)</f>
        <v>3</v>
      </c>
      <c r="AY326" s="0" t="n">
        <f aca="false">COUNTIF(DU326:EH326, "&lt;&gt;")</f>
        <v>1</v>
      </c>
      <c r="AZ326" s="0" t="n">
        <f aca="false">IF(EH326&lt;&gt;"",1,0)</f>
        <v>0</v>
      </c>
      <c r="BB326" s="0" t="s">
        <v>152</v>
      </c>
      <c r="BC326" s="0" t="s">
        <v>153</v>
      </c>
      <c r="BE326" s="0" t="s">
        <v>153</v>
      </c>
      <c r="BF326" s="0" t="s">
        <v>153</v>
      </c>
      <c r="BG326" s="0" t="s">
        <v>153</v>
      </c>
      <c r="BH326" s="0" t="s">
        <v>153</v>
      </c>
      <c r="BI326" s="0" t="s">
        <v>153</v>
      </c>
      <c r="BJ326" s="0" t="s">
        <v>153</v>
      </c>
      <c r="BK326" s="0" t="s">
        <v>153</v>
      </c>
      <c r="BL326" s="0" t="s">
        <v>153</v>
      </c>
      <c r="BP326" s="0" t="s">
        <v>153</v>
      </c>
      <c r="BR326" s="0" t="s">
        <v>153</v>
      </c>
      <c r="BS326" s="0" t="s">
        <v>153</v>
      </c>
      <c r="BT326" s="0" t="s">
        <v>153</v>
      </c>
      <c r="BV326" s="0" t="s">
        <v>153</v>
      </c>
      <c r="BY326" s="0" t="s">
        <v>175</v>
      </c>
      <c r="CA326" s="0" t="s">
        <v>153</v>
      </c>
      <c r="CC326" s="0" t="s">
        <v>175</v>
      </c>
      <c r="CG326" s="0" t="s">
        <v>153</v>
      </c>
      <c r="CH326" s="0" t="s">
        <v>175</v>
      </c>
      <c r="CK326" s="0" t="s">
        <v>153</v>
      </c>
      <c r="CL326" s="0" t="s">
        <v>175</v>
      </c>
      <c r="CN326" s="0" t="s">
        <v>153</v>
      </c>
      <c r="CP326" s="0" t="s">
        <v>153</v>
      </c>
      <c r="CU326" s="0" t="s">
        <v>175</v>
      </c>
      <c r="CW326" s="0" t="s">
        <v>175</v>
      </c>
      <c r="CY326" s="0" t="s">
        <v>153</v>
      </c>
      <c r="CZ326" s="0" t="s">
        <v>175</v>
      </c>
      <c r="DC326" s="0" t="s">
        <v>153</v>
      </c>
      <c r="DG326" s="0" t="s">
        <v>175</v>
      </c>
      <c r="DI326" s="0" t="s">
        <v>153</v>
      </c>
      <c r="DN326" s="0" t="s">
        <v>153</v>
      </c>
      <c r="EF326" s="0" t="s">
        <v>153</v>
      </c>
    </row>
    <row r="327" customFormat="false" ht="13.8" hidden="true" customHeight="false" outlineLevel="0" collapsed="false">
      <c r="A327" s="0" t="s">
        <v>1840</v>
      </c>
      <c r="B327" s="0" t="n">
        <v>78</v>
      </c>
      <c r="C327" s="0" t="n">
        <v>224456</v>
      </c>
      <c r="D327" s="0" t="s">
        <v>1841</v>
      </c>
      <c r="E327" s="0" t="s">
        <v>1842</v>
      </c>
      <c r="F327" s="0" t="str">
        <f aca="false">CONCATENATE(D327," ",LEFT(H327,4),"T=",AU327,"D=",AV327,"R=",AW327,"M=",AX327,"L=",AY327,"B=",AZ327)</f>
        <v>SHONGO T=32D=9R=0M=0L=0B=0</v>
      </c>
      <c r="G327" s="0" t="s">
        <v>195</v>
      </c>
      <c r="I327" s="0" t="s">
        <v>1843</v>
      </c>
      <c r="J327" s="0" t="s">
        <v>1844</v>
      </c>
      <c r="K327" s="0" t="s">
        <v>160</v>
      </c>
      <c r="M327" s="0" t="s">
        <v>1845</v>
      </c>
      <c r="N327" s="0" t="str">
        <f aca="false">RIGHT(M327,LEN(M327)-FIND(" ",M327))</f>
        <v>CHARLES AVE SE</v>
      </c>
      <c r="P327" s="0" t="s">
        <v>145</v>
      </c>
      <c r="Q327" s="0" t="s">
        <v>146</v>
      </c>
      <c r="R327" s="0" t="n">
        <v>44483</v>
      </c>
      <c r="AD327" s="0" t="s">
        <v>147</v>
      </c>
      <c r="AE327" s="0" t="s">
        <v>148</v>
      </c>
      <c r="AF327" s="0" t="s">
        <v>149</v>
      </c>
      <c r="AH327" s="0" t="n">
        <v>14</v>
      </c>
      <c r="AI327" s="0" t="n">
        <v>11</v>
      </c>
      <c r="AN327" s="0" t="s">
        <v>145</v>
      </c>
      <c r="AO327" s="0" t="s">
        <v>150</v>
      </c>
      <c r="AP327" s="0" t="s">
        <v>151</v>
      </c>
      <c r="AQ327" s="0" t="n">
        <v>9</v>
      </c>
      <c r="AR327" s="0" t="n">
        <v>64</v>
      </c>
      <c r="AS327" s="0" t="n">
        <v>32</v>
      </c>
      <c r="AU327" s="0" t="n">
        <f aca="false">COUNTA($BA$724:$EH$724)</f>
        <v>32</v>
      </c>
      <c r="AV327" s="0" t="n">
        <f aca="false">COUNTIF($BA$724:$EH$724,"D")</f>
        <v>9</v>
      </c>
      <c r="AW327" s="0" t="n">
        <f aca="false">COUNTIF($BA$724:$EH$724,"R")</f>
        <v>0</v>
      </c>
      <c r="AX327" s="0" t="n">
        <f aca="false">IF(BN327="D",1,0)+IF(BO327="D",1,0)+IF(BT327="D",1,0)+IF(BU327="D",1,0)+IF(BW327="D",1,0)+IF(CC327="D",1,0)+IF(CD327="D",1,0)+IF(CE327="D",1,0)+IF(CF327="D",1,0)+IF(CL327="D",1,0)+IF(CM327="D",1,0)+IF(CQ327="D",1,0)+IF(CR327="D",1,0)+IF(CS327="D",1,0)+IF(CW327="D",1,0)+IF(CX327="D",1,0)+IF(DD327="D",1,0)+IF(DE327="D",1,0)+IF(DJ327="D",1,0)+IF(DK327="D",1,0)+IF(DO327="D",1,0)+IF(DP327="D",1,0)+IF(DQ327="D",1,0)+IF(DW327="D",1,0)+IF(DZ327="D",1,0)+IF(EH327="D",1,0)</f>
        <v>0</v>
      </c>
      <c r="AY327" s="0" t="n">
        <f aca="false">COUNTIF(DU327:EH327, "&lt;&gt;")</f>
        <v>0</v>
      </c>
      <c r="AZ327" s="0" t="n">
        <f aca="false">IF(EH327&lt;&gt;"",1,0)</f>
        <v>0</v>
      </c>
      <c r="BB327" s="0" t="s">
        <v>152</v>
      </c>
      <c r="BC327" s="0" t="s">
        <v>153</v>
      </c>
      <c r="BD327" s="0" t="s">
        <v>153</v>
      </c>
      <c r="BF327" s="0" t="s">
        <v>153</v>
      </c>
      <c r="BH327" s="0" t="s">
        <v>153</v>
      </c>
      <c r="BJ327" s="0" t="s">
        <v>153</v>
      </c>
      <c r="BL327" s="0" t="s">
        <v>153</v>
      </c>
      <c r="CA327" s="0" t="s">
        <v>153</v>
      </c>
      <c r="CN327" s="0" t="s">
        <v>153</v>
      </c>
      <c r="CP327" s="0" t="s">
        <v>153</v>
      </c>
      <c r="CV327" s="0" t="s">
        <v>153</v>
      </c>
    </row>
    <row r="328" customFormat="false" ht="13.8" hidden="true" customHeight="false" outlineLevel="0" collapsed="false">
      <c r="A328" s="0" t="s">
        <v>1846</v>
      </c>
      <c r="B328" s="0" t="n">
        <v>78</v>
      </c>
      <c r="C328" s="0" t="n">
        <v>413334</v>
      </c>
      <c r="D328" s="0" t="s">
        <v>1847</v>
      </c>
      <c r="E328" s="0" t="s">
        <v>905</v>
      </c>
      <c r="F328" s="0" t="str">
        <f aca="false">CONCATENATE(D328," ",LEFT(H328,4),"T=",AU328,"D=",AV328,"R=",AW328,"M=",AX328,"L=",AY328,"B=",AZ328)</f>
        <v>HURT T=7D=2R=0M=0L=0B=0</v>
      </c>
      <c r="G328" s="0" t="s">
        <v>175</v>
      </c>
      <c r="I328" s="0" t="s">
        <v>1848</v>
      </c>
      <c r="J328" s="0" t="s">
        <v>1849</v>
      </c>
      <c r="K328" s="0" t="s">
        <v>143</v>
      </c>
      <c r="M328" s="0" t="s">
        <v>1850</v>
      </c>
      <c r="N328" s="0" t="str">
        <f aca="false">RIGHT(M328,LEN(M328)-FIND(" ",M328))</f>
        <v>CHARLES AVE SE</v>
      </c>
      <c r="P328" s="0" t="s">
        <v>145</v>
      </c>
      <c r="Q328" s="0" t="s">
        <v>146</v>
      </c>
      <c r="R328" s="0" t="n">
        <v>44483</v>
      </c>
      <c r="AD328" s="0" t="s">
        <v>147</v>
      </c>
      <c r="AE328" s="0" t="s">
        <v>148</v>
      </c>
      <c r="AF328" s="0" t="s">
        <v>149</v>
      </c>
      <c r="AH328" s="0" t="n">
        <v>14</v>
      </c>
      <c r="AI328" s="0" t="n">
        <v>11</v>
      </c>
      <c r="AN328" s="0" t="s">
        <v>145</v>
      </c>
      <c r="AO328" s="0" t="s">
        <v>150</v>
      </c>
      <c r="AP328" s="0" t="s">
        <v>151</v>
      </c>
      <c r="AQ328" s="0" t="n">
        <v>9</v>
      </c>
      <c r="AR328" s="0" t="n">
        <v>64</v>
      </c>
      <c r="AS328" s="0" t="n">
        <v>32</v>
      </c>
      <c r="AU328" s="0" t="n">
        <f aca="false">COUNTA($BA$275:$EH$275)</f>
        <v>7</v>
      </c>
      <c r="AV328" s="0" t="n">
        <f aca="false">COUNTIF($BA$275:$EH$275,"D")</f>
        <v>2</v>
      </c>
      <c r="AW328" s="0" t="n">
        <f aca="false">COUNTIF($BA$275:$EH$275,"R")</f>
        <v>0</v>
      </c>
      <c r="AX328" s="0" t="n">
        <f aca="false">IF(BN328="D",1,0)+IF(BO328="D",1,0)+IF(BT328="D",1,0)+IF(BU328="D",1,0)+IF(BW328="D",1,0)+IF(CC328="D",1,0)+IF(CD328="D",1,0)+IF(CE328="D",1,0)+IF(CF328="D",1,0)+IF(CL328="D",1,0)+IF(CM328="D",1,0)+IF(CQ328="D",1,0)+IF(CR328="D",1,0)+IF(CS328="D",1,0)+IF(CW328="D",1,0)+IF(CX328="D",1,0)+IF(DD328="D",1,0)+IF(DE328="D",1,0)+IF(DJ328="D",1,0)+IF(DK328="D",1,0)+IF(DO328="D",1,0)+IF(DP328="D",1,0)+IF(DQ328="D",1,0)+IF(DW328="D",1,0)+IF(DZ328="D",1,0)+IF(EH328="D",1,0)</f>
        <v>0</v>
      </c>
      <c r="AY328" s="0" t="n">
        <f aca="false">COUNTIF(DU328:EH328, "&lt;&gt;")</f>
        <v>0</v>
      </c>
      <c r="AZ328" s="0" t="n">
        <f aca="false">IF(EH328&lt;&gt;"",1,0)</f>
        <v>0</v>
      </c>
      <c r="BB328" s="0" t="s">
        <v>152</v>
      </c>
      <c r="CP328" s="0" t="s">
        <v>153</v>
      </c>
    </row>
    <row r="329" customFormat="false" ht="13.8" hidden="true" customHeight="false" outlineLevel="0" collapsed="false">
      <c r="A329" s="0" t="s">
        <v>1851</v>
      </c>
      <c r="B329" s="0" t="n">
        <v>78</v>
      </c>
      <c r="C329" s="0" t="n">
        <v>288673</v>
      </c>
      <c r="D329" s="0" t="s">
        <v>556</v>
      </c>
      <c r="E329" s="0" t="s">
        <v>1852</v>
      </c>
      <c r="F329" s="0" t="str">
        <f aca="false">CONCATENATE(D329," ",LEFT(H329,4),"T=",AU329,"D=",AV329,"R=",AW329,"M=",AX329,"L=",AY329,"B=",AZ329)</f>
        <v>ANDERSON T=4D=0R=0M=0L=0B=0</v>
      </c>
      <c r="G329" s="0" t="s">
        <v>325</v>
      </c>
      <c r="I329" s="0" t="s">
        <v>1853</v>
      </c>
      <c r="J329" s="0" t="s">
        <v>1854</v>
      </c>
      <c r="K329" s="0" t="s">
        <v>143</v>
      </c>
      <c r="M329" s="0" t="s">
        <v>1855</v>
      </c>
      <c r="N329" s="0" t="str">
        <f aca="false">RIGHT(M329,LEN(M329)-FIND(" ",M329))</f>
        <v>CHARLES AVE SE</v>
      </c>
      <c r="P329" s="0" t="s">
        <v>145</v>
      </c>
      <c r="Q329" s="0" t="s">
        <v>146</v>
      </c>
      <c r="R329" s="0" t="n">
        <v>44483</v>
      </c>
      <c r="AD329" s="0" t="s">
        <v>147</v>
      </c>
      <c r="AE329" s="0" t="s">
        <v>148</v>
      </c>
      <c r="AF329" s="0" t="s">
        <v>149</v>
      </c>
      <c r="AH329" s="0" t="n">
        <v>14</v>
      </c>
      <c r="AI329" s="0" t="n">
        <v>11</v>
      </c>
      <c r="AN329" s="0" t="s">
        <v>145</v>
      </c>
      <c r="AO329" s="0" t="s">
        <v>150</v>
      </c>
      <c r="AP329" s="0" t="s">
        <v>151</v>
      </c>
      <c r="AQ329" s="0" t="n">
        <v>9</v>
      </c>
      <c r="AR329" s="0" t="n">
        <v>64</v>
      </c>
      <c r="AS329" s="0" t="n">
        <v>32</v>
      </c>
      <c r="AU329" s="0" t="n">
        <f aca="false">COUNTA($BA$69:$EH$69)</f>
        <v>4</v>
      </c>
      <c r="AV329" s="0" t="n">
        <f aca="false">COUNTIF($BA$69:$EH$69,"D")</f>
        <v>0</v>
      </c>
      <c r="AW329" s="0" t="n">
        <f aca="false">COUNTIF($BA$69:$EH$69,"R")</f>
        <v>0</v>
      </c>
      <c r="AX329" s="0" t="n">
        <f aca="false">IF(BN329="D",1,0)+IF(BO329="D",1,0)+IF(BT329="D",1,0)+IF(BU329="D",1,0)+IF(BW329="D",1,0)+IF(CC329="D",1,0)+IF(CD329="D",1,0)+IF(CE329="D",1,0)+IF(CF329="D",1,0)+IF(CL329="D",1,0)+IF(CM329="D",1,0)+IF(CQ329="D",1,0)+IF(CR329="D",1,0)+IF(CS329="D",1,0)+IF(CW329="D",1,0)+IF(CX329="D",1,0)+IF(DD329="D",1,0)+IF(DE329="D",1,0)+IF(DJ329="D",1,0)+IF(DK329="D",1,0)+IF(DO329="D",1,0)+IF(DP329="D",1,0)+IF(DQ329="D",1,0)+IF(DW329="D",1,0)+IF(DZ329="D",1,0)+IF(EH329="D",1,0)</f>
        <v>0</v>
      </c>
      <c r="AY329" s="0" t="n">
        <f aca="false">COUNTIF(DU329:EH329, "&lt;&gt;")</f>
        <v>0</v>
      </c>
      <c r="AZ329" s="0" t="n">
        <f aca="false">IF(EH329&lt;&gt;"",1,0)</f>
        <v>0</v>
      </c>
      <c r="BB329" s="0" t="s">
        <v>152</v>
      </c>
      <c r="BD329" s="0" t="s">
        <v>153</v>
      </c>
      <c r="BI329" s="0" t="s">
        <v>153</v>
      </c>
      <c r="BL329" s="0" t="s">
        <v>153</v>
      </c>
      <c r="BP329" s="0" t="s">
        <v>153</v>
      </c>
      <c r="CA329" s="0" t="s">
        <v>153</v>
      </c>
      <c r="CK329" s="0" t="s">
        <v>153</v>
      </c>
      <c r="CP329" s="0" t="s">
        <v>153</v>
      </c>
      <c r="DC329" s="0" t="s">
        <v>153</v>
      </c>
      <c r="DN329" s="0" t="s">
        <v>153</v>
      </c>
    </row>
    <row r="330" customFormat="false" ht="13.8" hidden="true" customHeight="false" outlineLevel="0" collapsed="false">
      <c r="A330" s="0" t="s">
        <v>1856</v>
      </c>
      <c r="B330" s="0" t="n">
        <v>78</v>
      </c>
      <c r="C330" s="0" t="n">
        <v>488493</v>
      </c>
      <c r="D330" s="0" t="s">
        <v>556</v>
      </c>
      <c r="E330" s="0" t="s">
        <v>1857</v>
      </c>
      <c r="F330" s="0" t="str">
        <f aca="false">CONCATENATE(D330," ",LEFT(H330,4),"T=",AU330,"D=",AV330,"R=",AW330,"M=",AX330,"L=",AY330,"B=",AZ330)</f>
        <v>ANDERSON T=6D=0R=0M=0L=0B=0</v>
      </c>
      <c r="G330" s="0" t="s">
        <v>175</v>
      </c>
      <c r="I330" s="0" t="s">
        <v>1858</v>
      </c>
      <c r="J330" s="0" t="s">
        <v>1859</v>
      </c>
      <c r="K330" s="0" t="s">
        <v>160</v>
      </c>
      <c r="M330" s="0" t="s">
        <v>1855</v>
      </c>
      <c r="N330" s="0" t="str">
        <f aca="false">RIGHT(M330,LEN(M330)-FIND(" ",M330))</f>
        <v>CHARLES AVE SE</v>
      </c>
      <c r="P330" s="0" t="s">
        <v>145</v>
      </c>
      <c r="Q330" s="0" t="s">
        <v>146</v>
      </c>
      <c r="R330" s="0" t="n">
        <v>44483</v>
      </c>
      <c r="AD330" s="0" t="s">
        <v>147</v>
      </c>
      <c r="AE330" s="0" t="s">
        <v>148</v>
      </c>
      <c r="AF330" s="0" t="s">
        <v>149</v>
      </c>
      <c r="AH330" s="0" t="n">
        <v>14</v>
      </c>
      <c r="AI330" s="0" t="n">
        <v>11</v>
      </c>
      <c r="AN330" s="0" t="s">
        <v>145</v>
      </c>
      <c r="AO330" s="0" t="s">
        <v>150</v>
      </c>
      <c r="AP330" s="0" t="s">
        <v>151</v>
      </c>
      <c r="AQ330" s="0" t="n">
        <v>9</v>
      </c>
      <c r="AR330" s="0" t="n">
        <v>64</v>
      </c>
      <c r="AS330" s="0" t="n">
        <v>32</v>
      </c>
      <c r="AU330" s="0" t="n">
        <f aca="false">COUNTA($BA$598:$EH$598)</f>
        <v>6</v>
      </c>
      <c r="AV330" s="0" t="n">
        <f aca="false">COUNTIF($BA$598:$EH$598,"D")</f>
        <v>0</v>
      </c>
      <c r="AW330" s="0" t="n">
        <f aca="false">COUNTIF($BA$598:$EH$598,"R")</f>
        <v>0</v>
      </c>
      <c r="AX330" s="0" t="n">
        <f aca="false">IF(BN330="D",1,0)+IF(BO330="D",1,0)+IF(BT330="D",1,0)+IF(BU330="D",1,0)+IF(BW330="D",1,0)+IF(CC330="D",1,0)+IF(CD330="D",1,0)+IF(CE330="D",1,0)+IF(CF330="D",1,0)+IF(CL330="D",1,0)+IF(CM330="D",1,0)+IF(CQ330="D",1,0)+IF(CR330="D",1,0)+IF(CS330="D",1,0)+IF(CW330="D",1,0)+IF(CX330="D",1,0)+IF(DD330="D",1,0)+IF(DE330="D",1,0)+IF(DJ330="D",1,0)+IF(DK330="D",1,0)+IF(DO330="D",1,0)+IF(DP330="D",1,0)+IF(DQ330="D",1,0)+IF(DW330="D",1,0)+IF(DZ330="D",1,0)+IF(EH330="D",1,0)</f>
        <v>0</v>
      </c>
      <c r="AY330" s="0" t="n">
        <f aca="false">COUNTIF(DU330:EH330, "&lt;&gt;")</f>
        <v>0</v>
      </c>
      <c r="AZ330" s="0" t="n">
        <f aca="false">IF(EH330&lt;&gt;"",1,0)</f>
        <v>0</v>
      </c>
      <c r="BB330" s="0" t="s">
        <v>152</v>
      </c>
    </row>
    <row r="331" customFormat="false" ht="13.8" hidden="true" customHeight="false" outlineLevel="0" collapsed="false">
      <c r="A331" s="0" t="s">
        <v>1860</v>
      </c>
      <c r="B331" s="0" t="n">
        <v>78</v>
      </c>
      <c r="C331" s="0" t="n">
        <v>376079</v>
      </c>
      <c r="D331" s="0" t="s">
        <v>1861</v>
      </c>
      <c r="E331" s="0" t="s">
        <v>1862</v>
      </c>
      <c r="F331" s="0" t="str">
        <f aca="false">CONCATENATE(D331," ",LEFT(H331,4),"T=",AU331,"D=",AV331,"R=",AW331,"M=",AX331,"L=",AY331,"B=",AZ331)</f>
        <v>BOGANY T=18D=3R=0M=0L=0B=0</v>
      </c>
      <c r="G331" s="0" t="s">
        <v>190</v>
      </c>
      <c r="I331" s="0" t="s">
        <v>1863</v>
      </c>
      <c r="J331" s="0" t="s">
        <v>1864</v>
      </c>
      <c r="K331" s="0" t="s">
        <v>143</v>
      </c>
      <c r="M331" s="0" t="s">
        <v>1865</v>
      </c>
      <c r="N331" s="0" t="str">
        <f aca="false">RIGHT(M331,LEN(M331)-FIND(" ",M331))</f>
        <v>CHARLES AVE SE</v>
      </c>
      <c r="P331" s="0" t="s">
        <v>145</v>
      </c>
      <c r="Q331" s="0" t="s">
        <v>146</v>
      </c>
      <c r="R331" s="0" t="n">
        <v>44483</v>
      </c>
      <c r="AD331" s="0" t="s">
        <v>147</v>
      </c>
      <c r="AE331" s="0" t="s">
        <v>148</v>
      </c>
      <c r="AF331" s="0" t="s">
        <v>149</v>
      </c>
      <c r="AH331" s="0" t="n">
        <v>14</v>
      </c>
      <c r="AI331" s="0" t="n">
        <v>11</v>
      </c>
      <c r="AN331" s="0" t="s">
        <v>145</v>
      </c>
      <c r="AO331" s="0" t="s">
        <v>150</v>
      </c>
      <c r="AP331" s="0" t="s">
        <v>151</v>
      </c>
      <c r="AQ331" s="0" t="n">
        <v>9</v>
      </c>
      <c r="AR331" s="0" t="n">
        <v>64</v>
      </c>
      <c r="AS331" s="0" t="n">
        <v>32</v>
      </c>
      <c r="AU331" s="0" t="n">
        <f aca="false">COUNTA($BA$1058:$EH$1058)</f>
        <v>18</v>
      </c>
      <c r="AV331" s="0" t="n">
        <f aca="false">COUNTIF($BA$1058:$EH$1058,"D")</f>
        <v>3</v>
      </c>
      <c r="AW331" s="0" t="n">
        <f aca="false">COUNTIF($BA$1058:$EH$1058,"R")</f>
        <v>0</v>
      </c>
      <c r="AX331" s="0" t="n">
        <f aca="false">IF(BN331="D",1,0)+IF(BO331="D",1,0)+IF(BT331="D",1,0)+IF(BU331="D",1,0)+IF(BW331="D",1,0)+IF(CC331="D",1,0)+IF(CD331="D",1,0)+IF(CE331="D",1,0)+IF(CF331="D",1,0)+IF(CL331="D",1,0)+IF(CM331="D",1,0)+IF(CQ331="D",1,0)+IF(CR331="D",1,0)+IF(CS331="D",1,0)+IF(CW331="D",1,0)+IF(CX331="D",1,0)+IF(DD331="D",1,0)+IF(DE331="D",1,0)+IF(DJ331="D",1,0)+IF(DK331="D",1,0)+IF(DO331="D",1,0)+IF(DP331="D",1,0)+IF(DQ331="D",1,0)+IF(DW331="D",1,0)+IF(DZ331="D",1,0)+IF(EH331="D",1,0)</f>
        <v>0</v>
      </c>
      <c r="AY331" s="0" t="n">
        <f aca="false">COUNTIF(DU331:EH331, "&lt;&gt;")</f>
        <v>0</v>
      </c>
      <c r="AZ331" s="0" t="n">
        <f aca="false">IF(EH331&lt;&gt;"",1,0)</f>
        <v>0</v>
      </c>
      <c r="BB331" s="0" t="s">
        <v>152</v>
      </c>
    </row>
    <row r="332" customFormat="false" ht="13.8" hidden="true" customHeight="false" outlineLevel="0" collapsed="false">
      <c r="A332" s="0" t="s">
        <v>1866</v>
      </c>
      <c r="B332" s="0" t="n">
        <v>78</v>
      </c>
      <c r="C332" s="0" t="n">
        <v>441340</v>
      </c>
      <c r="D332" s="0" t="s">
        <v>1867</v>
      </c>
      <c r="E332" s="0" t="s">
        <v>1868</v>
      </c>
      <c r="F332" s="0" t="str">
        <f aca="false">CONCATENATE(D332," ",LEFT(H332,4),"T=",AU332,"D=",AV332,"R=",AW332,"M=",AX332,"L=",AY332,"B=",AZ332)</f>
        <v>TAYLOR T=3D=0R=0M=0L=0B=0</v>
      </c>
      <c r="G332" s="0" t="s">
        <v>522</v>
      </c>
      <c r="I332" s="0" t="s">
        <v>1869</v>
      </c>
      <c r="J332" s="0" t="s">
        <v>1870</v>
      </c>
      <c r="K332" s="0" t="s">
        <v>143</v>
      </c>
      <c r="M332" s="0" t="s">
        <v>1871</v>
      </c>
      <c r="N332" s="0" t="str">
        <f aca="false">RIGHT(M332,LEN(M332)-FIND(" ",M332))</f>
        <v>CHARLES AVE SE</v>
      </c>
      <c r="P332" s="0" t="s">
        <v>145</v>
      </c>
      <c r="Q332" s="0" t="s">
        <v>146</v>
      </c>
      <c r="R332" s="0" t="n">
        <v>44483</v>
      </c>
      <c r="AD332" s="0" t="s">
        <v>147</v>
      </c>
      <c r="AE332" s="0" t="s">
        <v>148</v>
      </c>
      <c r="AF332" s="0" t="s">
        <v>149</v>
      </c>
      <c r="AH332" s="0" t="n">
        <v>14</v>
      </c>
      <c r="AI332" s="0" t="n">
        <v>11</v>
      </c>
      <c r="AN332" s="0" t="s">
        <v>145</v>
      </c>
      <c r="AO332" s="0" t="s">
        <v>150</v>
      </c>
      <c r="AP332" s="0" t="s">
        <v>151</v>
      </c>
      <c r="AQ332" s="0" t="n">
        <v>9</v>
      </c>
      <c r="AR332" s="0" t="n">
        <v>64</v>
      </c>
      <c r="AS332" s="0" t="n">
        <v>32</v>
      </c>
      <c r="AU332" s="0" t="n">
        <f aca="false">COUNTA($BA$587:$EH$587)</f>
        <v>3</v>
      </c>
      <c r="AV332" s="0" t="n">
        <f aca="false">COUNTIF($BA$587:$EH$587,"D")</f>
        <v>0</v>
      </c>
      <c r="AW332" s="0" t="n">
        <f aca="false">COUNTIF($BA$587:$EH$587,"R")</f>
        <v>0</v>
      </c>
      <c r="AX332" s="0" t="n">
        <f aca="false">IF(BN332="D",1,0)+IF(BO332="D",1,0)+IF(BT332="D",1,0)+IF(BU332="D",1,0)+IF(BW332="D",1,0)+IF(CC332="D",1,0)+IF(CD332="D",1,0)+IF(CE332="D",1,0)+IF(CF332="D",1,0)+IF(CL332="D",1,0)+IF(CM332="D",1,0)+IF(CQ332="D",1,0)+IF(CR332="D",1,0)+IF(CS332="D",1,0)+IF(CW332="D",1,0)+IF(CX332="D",1,0)+IF(DD332="D",1,0)+IF(DE332="D",1,0)+IF(DJ332="D",1,0)+IF(DK332="D",1,0)+IF(DO332="D",1,0)+IF(DP332="D",1,0)+IF(DQ332="D",1,0)+IF(DW332="D",1,0)+IF(DZ332="D",1,0)+IF(EH332="D",1,0)</f>
        <v>0</v>
      </c>
      <c r="AY332" s="0" t="n">
        <f aca="false">COUNTIF(DU332:EH332, "&lt;&gt;")</f>
        <v>0</v>
      </c>
      <c r="AZ332" s="0" t="n">
        <f aca="false">IF(EH332&lt;&gt;"",1,0)</f>
        <v>0</v>
      </c>
      <c r="BB332" s="0" t="s">
        <v>152</v>
      </c>
    </row>
    <row r="333" customFormat="false" ht="13.8" hidden="true" customHeight="false" outlineLevel="0" collapsed="false">
      <c r="A333" s="0" t="s">
        <v>1872</v>
      </c>
      <c r="B333" s="0" t="n">
        <v>78</v>
      </c>
      <c r="C333" s="0" t="n">
        <v>426675</v>
      </c>
      <c r="D333" s="0" t="s">
        <v>1873</v>
      </c>
      <c r="E333" s="0" t="s">
        <v>1874</v>
      </c>
      <c r="F333" s="0" t="str">
        <f aca="false">CONCATENATE(D333," ",LEFT(H333,4),"T=",AU333,"D=",AV333,"R=",AW333,"M=",AX333,"L=",AY333,"B=",AZ333)</f>
        <v>PARKER DOUGLAS T=1D=0R=0M=0L=0B=0</v>
      </c>
      <c r="G333" s="0" t="s">
        <v>1875</v>
      </c>
      <c r="I333" s="0" t="s">
        <v>1876</v>
      </c>
      <c r="J333" s="0" t="s">
        <v>962</v>
      </c>
      <c r="K333" s="0" t="s">
        <v>143</v>
      </c>
      <c r="M333" s="0" t="s">
        <v>1871</v>
      </c>
      <c r="N333" s="0" t="str">
        <f aca="false">RIGHT(M333,LEN(M333)-FIND(" ",M333))</f>
        <v>CHARLES AVE SE</v>
      </c>
      <c r="O333" s="0" t="s">
        <v>1877</v>
      </c>
      <c r="P333" s="0" t="s">
        <v>145</v>
      </c>
      <c r="Q333" s="0" t="s">
        <v>146</v>
      </c>
      <c r="R333" s="0" t="n">
        <v>44483</v>
      </c>
      <c r="AD333" s="0" t="s">
        <v>147</v>
      </c>
      <c r="AE333" s="0" t="s">
        <v>148</v>
      </c>
      <c r="AF333" s="0" t="s">
        <v>149</v>
      </c>
      <c r="AH333" s="0" t="n">
        <v>14</v>
      </c>
      <c r="AI333" s="0" t="n">
        <v>11</v>
      </c>
      <c r="AN333" s="0" t="s">
        <v>145</v>
      </c>
      <c r="AO333" s="0" t="s">
        <v>150</v>
      </c>
      <c r="AP333" s="0" t="s">
        <v>151</v>
      </c>
      <c r="AQ333" s="0" t="n">
        <v>9</v>
      </c>
      <c r="AR333" s="0" t="n">
        <v>64</v>
      </c>
      <c r="AS333" s="0" t="n">
        <v>32</v>
      </c>
      <c r="AU333" s="0" t="n">
        <f aca="false">COUNTA($BA$646:$EH$646)</f>
        <v>1</v>
      </c>
      <c r="AV333" s="0" t="n">
        <f aca="false">COUNTIF($BA$646:$EH$646,"D")</f>
        <v>0</v>
      </c>
      <c r="AW333" s="0" t="n">
        <f aca="false">COUNTIF($BA$646:$EH$646,"R")</f>
        <v>0</v>
      </c>
      <c r="AX333" s="0" t="n">
        <f aca="false">IF(BN333="D",1,0)+IF(BO333="D",1,0)+IF(BT333="D",1,0)+IF(BU333="D",1,0)+IF(BW333="D",1,0)+IF(CC333="D",1,0)+IF(CD333="D",1,0)+IF(CE333="D",1,0)+IF(CF333="D",1,0)+IF(CL333="D",1,0)+IF(CM333="D",1,0)+IF(CQ333="D",1,0)+IF(CR333="D",1,0)+IF(CS333="D",1,0)+IF(CW333="D",1,0)+IF(CX333="D",1,0)+IF(DD333="D",1,0)+IF(DE333="D",1,0)+IF(DJ333="D",1,0)+IF(DK333="D",1,0)+IF(DO333="D",1,0)+IF(DP333="D",1,0)+IF(DQ333="D",1,0)+IF(DW333="D",1,0)+IF(DZ333="D",1,0)+IF(EH333="D",1,0)</f>
        <v>0</v>
      </c>
      <c r="AY333" s="0" t="n">
        <f aca="false">COUNTIF(DU333:EH333, "&lt;&gt;")</f>
        <v>0</v>
      </c>
      <c r="AZ333" s="0" t="n">
        <f aca="false">IF(EH333&lt;&gt;"",1,0)</f>
        <v>0</v>
      </c>
      <c r="BB333" s="0" t="s">
        <v>152</v>
      </c>
    </row>
    <row r="334" customFormat="false" ht="13.8" hidden="true" customHeight="false" outlineLevel="0" collapsed="false">
      <c r="A334" s="0" t="s">
        <v>1878</v>
      </c>
      <c r="B334" s="0" t="n">
        <v>78</v>
      </c>
      <c r="C334" s="0" t="n">
        <v>390304</v>
      </c>
      <c r="D334" s="0" t="s">
        <v>1879</v>
      </c>
      <c r="E334" s="0" t="s">
        <v>1880</v>
      </c>
      <c r="F334" s="0" t="str">
        <f aca="false">CONCATENATE(D334," ",LEFT(H334,4),"T=",AU334,"D=",AV334,"R=",AW334,"M=",AX334,"L=",AY334,"B=",AZ334)</f>
        <v>ALFORD T=2D=0R=0M=0L=0B=0</v>
      </c>
      <c r="G334" s="0" t="s">
        <v>164</v>
      </c>
      <c r="I334" s="0" t="s">
        <v>1881</v>
      </c>
      <c r="J334" s="0" t="s">
        <v>1882</v>
      </c>
      <c r="K334" s="0" t="s">
        <v>143</v>
      </c>
      <c r="M334" s="0" t="s">
        <v>1871</v>
      </c>
      <c r="N334" s="0" t="str">
        <f aca="false">RIGHT(M334,LEN(M334)-FIND(" ",M334))</f>
        <v>CHARLES AVE SE</v>
      </c>
      <c r="O334" s="0" t="s">
        <v>1877</v>
      </c>
      <c r="P334" s="0" t="s">
        <v>145</v>
      </c>
      <c r="Q334" s="0" t="s">
        <v>146</v>
      </c>
      <c r="R334" s="0" t="n">
        <v>44483</v>
      </c>
      <c r="AD334" s="0" t="s">
        <v>147</v>
      </c>
      <c r="AE334" s="0" t="s">
        <v>148</v>
      </c>
      <c r="AF334" s="0" t="s">
        <v>149</v>
      </c>
      <c r="AH334" s="0" t="n">
        <v>14</v>
      </c>
      <c r="AI334" s="0" t="n">
        <v>11</v>
      </c>
      <c r="AN334" s="0" t="s">
        <v>145</v>
      </c>
      <c r="AO334" s="0" t="s">
        <v>150</v>
      </c>
      <c r="AP334" s="0" t="s">
        <v>151</v>
      </c>
      <c r="AQ334" s="0" t="n">
        <v>9</v>
      </c>
      <c r="AR334" s="0" t="n">
        <v>64</v>
      </c>
      <c r="AS334" s="0" t="n">
        <v>32</v>
      </c>
      <c r="AU334" s="0" t="n">
        <f aca="false">COUNTA($BA$888:$EH$888)</f>
        <v>2</v>
      </c>
      <c r="AV334" s="0" t="n">
        <f aca="false">COUNTIF($BA$888:$EH$888,"D")</f>
        <v>0</v>
      </c>
      <c r="AW334" s="0" t="n">
        <f aca="false">COUNTIF($BA$888:$EH$888,"R")</f>
        <v>0</v>
      </c>
      <c r="AX334" s="0" t="n">
        <f aca="false">IF(BN334="D",1,0)+IF(BO334="D",1,0)+IF(BT334="D",1,0)+IF(BU334="D",1,0)+IF(BW334="D",1,0)+IF(CC334="D",1,0)+IF(CD334="D",1,0)+IF(CE334="D",1,0)+IF(CF334="D",1,0)+IF(CL334="D",1,0)+IF(CM334="D",1,0)+IF(CQ334="D",1,0)+IF(CR334="D",1,0)+IF(CS334="D",1,0)+IF(CW334="D",1,0)+IF(CX334="D",1,0)+IF(DD334="D",1,0)+IF(DE334="D",1,0)+IF(DJ334="D",1,0)+IF(DK334="D",1,0)+IF(DO334="D",1,0)+IF(DP334="D",1,0)+IF(DQ334="D",1,0)+IF(DW334="D",1,0)+IF(DZ334="D",1,0)+IF(EH334="D",1,0)</f>
        <v>0</v>
      </c>
      <c r="AY334" s="0" t="n">
        <f aca="false">COUNTIF(DU334:EH334, "&lt;&gt;")</f>
        <v>0</v>
      </c>
      <c r="AZ334" s="0" t="n">
        <f aca="false">IF(EH334&lt;&gt;"",1,0)</f>
        <v>0</v>
      </c>
      <c r="BB334" s="0" t="s">
        <v>152</v>
      </c>
      <c r="CP334" s="0" t="s">
        <v>153</v>
      </c>
      <c r="DC334" s="0" t="s">
        <v>153</v>
      </c>
    </row>
    <row r="335" customFormat="false" ht="13.8" hidden="true" customHeight="false" outlineLevel="0" collapsed="false">
      <c r="A335" s="0" t="s">
        <v>1883</v>
      </c>
      <c r="B335" s="0" t="n">
        <v>78</v>
      </c>
      <c r="C335" s="0" t="n">
        <v>483689</v>
      </c>
      <c r="D335" s="0" t="s">
        <v>1884</v>
      </c>
      <c r="E335" s="0" t="s">
        <v>1885</v>
      </c>
      <c r="F335" s="0" t="str">
        <f aca="false">CONCATENATE(D335," ",LEFT(H335,4),"T=",AU335,"D=",AV335,"R=",AW335,"M=",AX335,"L=",AY335,"B=",AZ335)</f>
        <v>MENAPACE T=7D=0R=0M=0L=1B=0</v>
      </c>
      <c r="G335" s="0" t="s">
        <v>1886</v>
      </c>
      <c r="I335" s="0" t="s">
        <v>1887</v>
      </c>
      <c r="J335" s="0" t="s">
        <v>1888</v>
      </c>
      <c r="K335" s="0" t="s">
        <v>160</v>
      </c>
      <c r="M335" s="0" t="s">
        <v>1871</v>
      </c>
      <c r="N335" s="0" t="str">
        <f aca="false">RIGHT(M335,LEN(M335)-FIND(" ",M335))</f>
        <v>CHARLES AVE SE</v>
      </c>
      <c r="P335" s="0" t="s">
        <v>145</v>
      </c>
      <c r="Q335" s="0" t="s">
        <v>146</v>
      </c>
      <c r="R335" s="0" t="n">
        <v>44483</v>
      </c>
      <c r="AD335" s="0" t="s">
        <v>147</v>
      </c>
      <c r="AE335" s="0" t="s">
        <v>148</v>
      </c>
      <c r="AF335" s="0" t="s">
        <v>149</v>
      </c>
      <c r="AH335" s="0" t="n">
        <v>14</v>
      </c>
      <c r="AI335" s="0" t="n">
        <v>11</v>
      </c>
      <c r="AN335" s="0" t="s">
        <v>145</v>
      </c>
      <c r="AO335" s="0" t="s">
        <v>150</v>
      </c>
      <c r="AP335" s="0" t="s">
        <v>151</v>
      </c>
      <c r="AQ335" s="0" t="n">
        <v>9</v>
      </c>
      <c r="AR335" s="0" t="n">
        <v>64</v>
      </c>
      <c r="AS335" s="0" t="n">
        <v>32</v>
      </c>
      <c r="AU335" s="0" t="n">
        <f aca="false">COUNTA($BA$893:$EH$893)</f>
        <v>7</v>
      </c>
      <c r="AV335" s="0" t="n">
        <f aca="false">COUNTIF($BA$893:$EH$893,"D")</f>
        <v>0</v>
      </c>
      <c r="AW335" s="0" t="n">
        <f aca="false">COUNTIF($BA$893:$EH$893,"R")</f>
        <v>0</v>
      </c>
      <c r="AX335" s="0" t="n">
        <f aca="false">IF(BN335="D",1,0)+IF(BO335="D",1,0)+IF(BT335="D",1,0)+IF(BU335="D",1,0)+IF(BW335="D",1,0)+IF(CC335="D",1,0)+IF(CD335="D",1,0)+IF(CE335="D",1,0)+IF(CF335="D",1,0)+IF(CL335="D",1,0)+IF(CM335="D",1,0)+IF(CQ335="D",1,0)+IF(CR335="D",1,0)+IF(CS335="D",1,0)+IF(CW335="D",1,0)+IF(CX335="D",1,0)+IF(DD335="D",1,0)+IF(DE335="D",1,0)+IF(DJ335="D",1,0)+IF(DK335="D",1,0)+IF(DO335="D",1,0)+IF(DP335="D",1,0)+IF(DQ335="D",1,0)+IF(DW335="D",1,0)+IF(DZ335="D",1,0)+IF(EH335="D",1,0)</f>
        <v>0</v>
      </c>
      <c r="AY335" s="0" t="n">
        <f aca="false">COUNTIF(DU335:EH335, "&lt;&gt;")</f>
        <v>1</v>
      </c>
      <c r="AZ335" s="0" t="n">
        <f aca="false">IF(EH335&lt;&gt;"",1,0)</f>
        <v>0</v>
      </c>
      <c r="BB335" s="0" t="s">
        <v>152</v>
      </c>
      <c r="EF335" s="0" t="s">
        <v>153</v>
      </c>
    </row>
    <row r="336" customFormat="false" ht="13.8" hidden="false" customHeight="false" outlineLevel="0" collapsed="false">
      <c r="A336" s="0" t="s">
        <v>1889</v>
      </c>
      <c r="B336" s="0" t="n">
        <v>78</v>
      </c>
      <c r="C336" s="0" t="n">
        <v>478159</v>
      </c>
      <c r="D336" s="0" t="s">
        <v>1890</v>
      </c>
      <c r="E336" s="0" t="s">
        <v>1891</v>
      </c>
      <c r="F336" s="0" t="str">
        <f aca="false">CONCATENATE(D336," ",LEFT(H336,4),"T=",AU336,"D=",AV336,"R=",AW336,"M=",AX336,"L=",AY336,"B=",AZ336)</f>
        <v>HERNANDEZ RIVERA T=6D=1R=0M=0L=2B=0</v>
      </c>
      <c r="G336" s="0" t="s">
        <v>255</v>
      </c>
      <c r="I336" s="0" t="s">
        <v>1892</v>
      </c>
      <c r="J336" s="0" t="s">
        <v>1893</v>
      </c>
      <c r="K336" s="0" t="s">
        <v>160</v>
      </c>
      <c r="L336" s="0" t="s">
        <v>209</v>
      </c>
      <c r="M336" s="0" t="s">
        <v>1894</v>
      </c>
      <c r="N336" s="0" t="str">
        <f aca="false">RIGHT(M336,LEN(M336)-FIND(" ",M336))</f>
        <v>CHARLES AVE SE</v>
      </c>
      <c r="P336" s="0" t="s">
        <v>145</v>
      </c>
      <c r="Q336" s="0" t="s">
        <v>146</v>
      </c>
      <c r="R336" s="0" t="n">
        <v>44483</v>
      </c>
      <c r="AD336" s="0" t="s">
        <v>147</v>
      </c>
      <c r="AE336" s="0" t="s">
        <v>148</v>
      </c>
      <c r="AF336" s="0" t="s">
        <v>149</v>
      </c>
      <c r="AH336" s="0" t="n">
        <v>14</v>
      </c>
      <c r="AI336" s="0" t="n">
        <v>11</v>
      </c>
      <c r="AN336" s="0" t="s">
        <v>145</v>
      </c>
      <c r="AO336" s="0" t="s">
        <v>150</v>
      </c>
      <c r="AP336" s="0" t="s">
        <v>151</v>
      </c>
      <c r="AQ336" s="0" t="n">
        <v>9</v>
      </c>
      <c r="AR336" s="0" t="n">
        <v>64</v>
      </c>
      <c r="AS336" s="0" t="n">
        <v>32</v>
      </c>
      <c r="AU336" s="0" t="n">
        <f aca="false">COUNTA($BA$79:$EH$79)</f>
        <v>6</v>
      </c>
      <c r="AV336" s="0" t="n">
        <f aca="false">COUNTIF($BA$79:$EH$79,"D")</f>
        <v>1</v>
      </c>
      <c r="AW336" s="0" t="n">
        <f aca="false">COUNTIF($BA$79:$EH$79,"R")</f>
        <v>0</v>
      </c>
      <c r="AX336" s="0" t="n">
        <f aca="false">IF(BN336="D",1,0)+IF(BO336="D",1,0)+IF(BT336="D",1,0)+IF(BU336="D",1,0)+IF(BW336="D",1,0)+IF(CC336="D",1,0)+IF(CD336="D",1,0)+IF(CE336="D",1,0)+IF(CF336="D",1,0)+IF(CL336="D",1,0)+IF(CM336="D",1,0)+IF(CQ336="D",1,0)+IF(CR336="D",1,0)+IF(CS336="D",1,0)+IF(CW336="D",1,0)+IF(CX336="D",1,0)+IF(DD336="D",1,0)+IF(DE336="D",1,0)+IF(DJ336="D",1,0)+IF(DK336="D",1,0)+IF(DO336="D",1,0)+IF(DP336="D",1,0)+IF(DQ336="D",1,0)+IF(DW336="D",1,0)+IF(DZ336="D",1,0)+IF(EH336="D",1,0)</f>
        <v>0</v>
      </c>
      <c r="AY336" s="0" t="n">
        <f aca="false">COUNTIF(DU336:EH336, "&lt;&gt;")</f>
        <v>2</v>
      </c>
      <c r="AZ336" s="0" t="n">
        <f aca="false">IF(EH336&lt;&gt;"",1,0)</f>
        <v>0</v>
      </c>
      <c r="BB336" s="0" t="s">
        <v>152</v>
      </c>
      <c r="ED336" s="0" t="s">
        <v>209</v>
      </c>
      <c r="EF336" s="0" t="s">
        <v>153</v>
      </c>
    </row>
    <row r="337" customFormat="false" ht="13.8" hidden="false" customHeight="false" outlineLevel="0" collapsed="false">
      <c r="A337" s="0" t="s">
        <v>1895</v>
      </c>
      <c r="B337" s="0" t="n">
        <v>78</v>
      </c>
      <c r="C337" s="0" t="n">
        <v>388759</v>
      </c>
      <c r="D337" s="0" t="s">
        <v>1896</v>
      </c>
      <c r="E337" s="0" t="s">
        <v>1897</v>
      </c>
      <c r="F337" s="0" t="str">
        <f aca="false">CONCATENATE(D337," ",LEFT(H337,4),"T=",AU337,"D=",AV337,"R=",AW337,"M=",AX337,"L=",AY337,"B=",AZ337)</f>
        <v>DEPAZ T=14D=2R=0M=0L=4B=0</v>
      </c>
      <c r="I337" s="0" t="s">
        <v>1898</v>
      </c>
      <c r="J337" s="0" t="s">
        <v>1899</v>
      </c>
      <c r="K337" s="0" t="s">
        <v>160</v>
      </c>
      <c r="L337" s="0" t="s">
        <v>209</v>
      </c>
      <c r="M337" s="0" t="s">
        <v>1894</v>
      </c>
      <c r="N337" s="0" t="str">
        <f aca="false">RIGHT(M337,LEN(M337)-FIND(" ",M337))</f>
        <v>CHARLES AVE SE</v>
      </c>
      <c r="P337" s="0" t="s">
        <v>145</v>
      </c>
      <c r="Q337" s="0" t="s">
        <v>146</v>
      </c>
      <c r="R337" s="0" t="n">
        <v>44483</v>
      </c>
      <c r="AD337" s="0" t="s">
        <v>147</v>
      </c>
      <c r="AE337" s="0" t="s">
        <v>148</v>
      </c>
      <c r="AF337" s="0" t="s">
        <v>149</v>
      </c>
      <c r="AH337" s="0" t="n">
        <v>14</v>
      </c>
      <c r="AI337" s="0" t="n">
        <v>11</v>
      </c>
      <c r="AN337" s="0" t="s">
        <v>145</v>
      </c>
      <c r="AO337" s="0" t="s">
        <v>150</v>
      </c>
      <c r="AP337" s="0" t="s">
        <v>151</v>
      </c>
      <c r="AQ337" s="0" t="n">
        <v>9</v>
      </c>
      <c r="AR337" s="0" t="n">
        <v>64</v>
      </c>
      <c r="AS337" s="0" t="n">
        <v>32</v>
      </c>
      <c r="AU337" s="0" t="n">
        <f aca="false">COUNTA($BA$162:$EH$162)</f>
        <v>14</v>
      </c>
      <c r="AV337" s="0" t="n">
        <f aca="false">COUNTIF($BA$162:$EH$162,"D")</f>
        <v>2</v>
      </c>
      <c r="AW337" s="0" t="n">
        <f aca="false">COUNTIF($BA$162:$EH$162,"R")</f>
        <v>0</v>
      </c>
      <c r="AX337" s="0" t="n">
        <f aca="false">IF(BN337="D",1,0)+IF(BO337="D",1,0)+IF(BT337="D",1,0)+IF(BU337="D",1,0)+IF(BW337="D",1,0)+IF(CC337="D",1,0)+IF(CD337="D",1,0)+IF(CE337="D",1,0)+IF(CF337="D",1,0)+IF(CL337="D",1,0)+IF(CM337="D",1,0)+IF(CQ337="D",1,0)+IF(CR337="D",1,0)+IF(CS337="D",1,0)+IF(CW337="D",1,0)+IF(CX337="D",1,0)+IF(DD337="D",1,0)+IF(DE337="D",1,0)+IF(DJ337="D",1,0)+IF(DK337="D",1,0)+IF(DO337="D",1,0)+IF(DP337="D",1,0)+IF(DQ337="D",1,0)+IF(DW337="D",1,0)+IF(DZ337="D",1,0)+IF(EH337="D",1,0)</f>
        <v>0</v>
      </c>
      <c r="AY337" s="0" t="n">
        <f aca="false">COUNTIF(DU337:EH337, "&lt;&gt;")</f>
        <v>4</v>
      </c>
      <c r="AZ337" s="0" t="n">
        <f aca="false">IF(EH337&lt;&gt;"",1,0)</f>
        <v>0</v>
      </c>
      <c r="BB337" s="0" t="s">
        <v>152</v>
      </c>
      <c r="CP337" s="0" t="s">
        <v>153</v>
      </c>
      <c r="CY337" s="0" t="s">
        <v>153</v>
      </c>
      <c r="CZ337" s="0" t="s">
        <v>175</v>
      </c>
      <c r="DC337" s="0" t="s">
        <v>153</v>
      </c>
      <c r="DI337" s="0" t="s">
        <v>153</v>
      </c>
      <c r="DL337" s="0" t="s">
        <v>153</v>
      </c>
      <c r="DN337" s="0" t="s">
        <v>153</v>
      </c>
      <c r="DX337" s="0" t="s">
        <v>153</v>
      </c>
      <c r="EA337" s="0" t="s">
        <v>153</v>
      </c>
      <c r="ED337" s="0" t="s">
        <v>209</v>
      </c>
      <c r="EF337" s="0" t="s">
        <v>153</v>
      </c>
    </row>
    <row r="338" customFormat="false" ht="13.8" hidden="false" customHeight="false" outlineLevel="0" collapsed="false">
      <c r="A338" s="0" t="s">
        <v>1900</v>
      </c>
      <c r="B338" s="0" t="n">
        <v>78</v>
      </c>
      <c r="C338" s="0" t="n">
        <v>478382</v>
      </c>
      <c r="D338" s="0" t="s">
        <v>1901</v>
      </c>
      <c r="E338" s="0" t="s">
        <v>1902</v>
      </c>
      <c r="F338" s="0" t="str">
        <f aca="false">CONCATENATE(D338," ",LEFT(H338,4),"T=",AU338,"D=",AV338,"R=",AW338,"M=",AX338,"L=",AY338,"B=",AZ338)</f>
        <v>RIVERA T=6D=1R=0M=0L=2B=0</v>
      </c>
      <c r="G338" s="0" t="s">
        <v>650</v>
      </c>
      <c r="I338" s="0" t="s">
        <v>1903</v>
      </c>
      <c r="J338" s="0" t="s">
        <v>1904</v>
      </c>
      <c r="K338" s="0" t="s">
        <v>160</v>
      </c>
      <c r="L338" s="0" t="s">
        <v>209</v>
      </c>
      <c r="M338" s="0" t="s">
        <v>1894</v>
      </c>
      <c r="N338" s="0" t="str">
        <f aca="false">RIGHT(M338,LEN(M338)-FIND(" ",M338))</f>
        <v>CHARLES AVE SE</v>
      </c>
      <c r="P338" s="0" t="s">
        <v>145</v>
      </c>
      <c r="Q338" s="0" t="s">
        <v>146</v>
      </c>
      <c r="R338" s="0" t="n">
        <v>44483</v>
      </c>
      <c r="AD338" s="0" t="s">
        <v>147</v>
      </c>
      <c r="AE338" s="0" t="s">
        <v>148</v>
      </c>
      <c r="AF338" s="0" t="s">
        <v>149</v>
      </c>
      <c r="AH338" s="0" t="n">
        <v>14</v>
      </c>
      <c r="AI338" s="0" t="n">
        <v>11</v>
      </c>
      <c r="AN338" s="0" t="s">
        <v>145</v>
      </c>
      <c r="AO338" s="0" t="s">
        <v>150</v>
      </c>
      <c r="AP338" s="0" t="s">
        <v>151</v>
      </c>
      <c r="AQ338" s="0" t="n">
        <v>9</v>
      </c>
      <c r="AR338" s="0" t="n">
        <v>64</v>
      </c>
      <c r="AS338" s="0" t="n">
        <v>32</v>
      </c>
      <c r="AU338" s="0" t="n">
        <f aca="false">COUNTA($BA$625:$EH$625)</f>
        <v>6</v>
      </c>
      <c r="AV338" s="0" t="n">
        <f aca="false">COUNTIF($BA$625:$EH$625,"D")</f>
        <v>1</v>
      </c>
      <c r="AW338" s="0" t="n">
        <f aca="false">COUNTIF($BA$625:$EH$625,"R")</f>
        <v>0</v>
      </c>
      <c r="AX338" s="0" t="n">
        <f aca="false">IF(BN338="D",1,0)+IF(BO338="D",1,0)+IF(BT338="D",1,0)+IF(BU338="D",1,0)+IF(BW338="D",1,0)+IF(CC338="D",1,0)+IF(CD338="D",1,0)+IF(CE338="D",1,0)+IF(CF338="D",1,0)+IF(CL338="D",1,0)+IF(CM338="D",1,0)+IF(CQ338="D",1,0)+IF(CR338="D",1,0)+IF(CS338="D",1,0)+IF(CW338="D",1,0)+IF(CX338="D",1,0)+IF(DD338="D",1,0)+IF(DE338="D",1,0)+IF(DJ338="D",1,0)+IF(DK338="D",1,0)+IF(DO338="D",1,0)+IF(DP338="D",1,0)+IF(DQ338="D",1,0)+IF(DW338="D",1,0)+IF(DZ338="D",1,0)+IF(EH338="D",1,0)</f>
        <v>0</v>
      </c>
      <c r="AY338" s="0" t="n">
        <f aca="false">COUNTIF(DU338:EH338, "&lt;&gt;")</f>
        <v>2</v>
      </c>
      <c r="AZ338" s="0" t="n">
        <f aca="false">IF(EH338&lt;&gt;"",1,0)</f>
        <v>0</v>
      </c>
      <c r="BB338" s="0" t="s">
        <v>152</v>
      </c>
      <c r="ED338" s="0" t="s">
        <v>209</v>
      </c>
      <c r="EF338" s="0" t="s">
        <v>153</v>
      </c>
    </row>
    <row r="339" customFormat="false" ht="13.8" hidden="true" customHeight="false" outlineLevel="0" collapsed="false">
      <c r="A339" s="0" t="s">
        <v>1905</v>
      </c>
      <c r="B339" s="0" t="n">
        <v>78</v>
      </c>
      <c r="C339" s="0" t="n">
        <v>386448</v>
      </c>
      <c r="D339" s="0" t="s">
        <v>1906</v>
      </c>
      <c r="E339" s="0" t="s">
        <v>184</v>
      </c>
      <c r="F339" s="0" t="str">
        <f aca="false">CONCATENATE(D339," ",LEFT(H339,4),"T=",AU339,"D=",AV339,"R=",AW339,"M=",AX339,"L=",AY339,"B=",AZ339)</f>
        <v>HARSCH T=1D=0R=0M=0L=0B=0</v>
      </c>
      <c r="G339" s="0" t="s">
        <v>190</v>
      </c>
      <c r="I339" s="0" t="s">
        <v>1907</v>
      </c>
      <c r="J339" s="0" t="s">
        <v>1908</v>
      </c>
      <c r="K339" s="0" t="s">
        <v>160</v>
      </c>
      <c r="M339" s="0" t="s">
        <v>1909</v>
      </c>
      <c r="N339" s="0" t="str">
        <f aca="false">RIGHT(M339,LEN(M339)-FIND(" ",M339))</f>
        <v>CHARLES AVE SE</v>
      </c>
      <c r="P339" s="0" t="s">
        <v>145</v>
      </c>
      <c r="Q339" s="0" t="s">
        <v>146</v>
      </c>
      <c r="R339" s="0" t="n">
        <v>44483</v>
      </c>
      <c r="AD339" s="0" t="s">
        <v>147</v>
      </c>
      <c r="AE339" s="0" t="s">
        <v>148</v>
      </c>
      <c r="AF339" s="0" t="s">
        <v>149</v>
      </c>
      <c r="AH339" s="0" t="n">
        <v>14</v>
      </c>
      <c r="AI339" s="0" t="n">
        <v>11</v>
      </c>
      <c r="AN339" s="0" t="s">
        <v>145</v>
      </c>
      <c r="AO339" s="0" t="s">
        <v>150</v>
      </c>
      <c r="AP339" s="0" t="s">
        <v>151</v>
      </c>
      <c r="AQ339" s="0" t="n">
        <v>9</v>
      </c>
      <c r="AR339" s="0" t="n">
        <v>64</v>
      </c>
      <c r="AS339" s="0" t="n">
        <v>32</v>
      </c>
      <c r="AU339" s="0" t="n">
        <f aca="false">COUNTA($BA$165:$EH$165)</f>
        <v>1</v>
      </c>
      <c r="AV339" s="0" t="n">
        <f aca="false">COUNTIF($BA$165:$EH$165,"D")</f>
        <v>0</v>
      </c>
      <c r="AW339" s="0" t="n">
        <f aca="false">COUNTIF($BA$165:$EH$165,"R")</f>
        <v>0</v>
      </c>
      <c r="AX339" s="0" t="n">
        <f aca="false">IF(BN339="D",1,0)+IF(BO339="D",1,0)+IF(BT339="D",1,0)+IF(BU339="D",1,0)+IF(BW339="D",1,0)+IF(CC339="D",1,0)+IF(CD339="D",1,0)+IF(CE339="D",1,0)+IF(CF339="D",1,0)+IF(CL339="D",1,0)+IF(CM339="D",1,0)+IF(CQ339="D",1,0)+IF(CR339="D",1,0)+IF(CS339="D",1,0)+IF(CW339="D",1,0)+IF(CX339="D",1,0)+IF(DD339="D",1,0)+IF(DE339="D",1,0)+IF(DJ339="D",1,0)+IF(DK339="D",1,0)+IF(DO339="D",1,0)+IF(DP339="D",1,0)+IF(DQ339="D",1,0)+IF(DW339="D",1,0)+IF(DZ339="D",1,0)+IF(EH339="D",1,0)</f>
        <v>0</v>
      </c>
      <c r="AY339" s="0" t="n">
        <f aca="false">COUNTIF(DU339:EH339, "&lt;&gt;")</f>
        <v>0</v>
      </c>
      <c r="AZ339" s="0" t="n">
        <f aca="false">IF(EH339&lt;&gt;"",1,0)</f>
        <v>0</v>
      </c>
      <c r="BB339" s="0" t="s">
        <v>152</v>
      </c>
      <c r="CP339" s="0" t="s">
        <v>153</v>
      </c>
    </row>
    <row r="340" customFormat="false" ht="13.8" hidden="true" customHeight="false" outlineLevel="0" collapsed="false">
      <c r="A340" s="0" t="s">
        <v>1910</v>
      </c>
      <c r="B340" s="0" t="n">
        <v>78</v>
      </c>
      <c r="C340" s="0" t="n">
        <v>420219</v>
      </c>
      <c r="D340" s="0" t="s">
        <v>1911</v>
      </c>
      <c r="E340" s="0" t="s">
        <v>1912</v>
      </c>
      <c r="F340" s="0" t="str">
        <f aca="false">CONCATENATE(D340," ",LEFT(H340,4),"T=",AU340,"D=",AV340,"R=",AW340,"M=",AX340,"L=",AY340,"B=",AZ340)</f>
        <v>COFFMAN T=2D=0R=0M=0L=0B=0</v>
      </c>
      <c r="G340" s="0" t="s">
        <v>268</v>
      </c>
      <c r="I340" s="0" t="s">
        <v>1913</v>
      </c>
      <c r="J340" s="0" t="s">
        <v>1914</v>
      </c>
      <c r="K340" s="0" t="s">
        <v>143</v>
      </c>
      <c r="M340" s="0" t="s">
        <v>1909</v>
      </c>
      <c r="N340" s="0" t="str">
        <f aca="false">RIGHT(M340,LEN(M340)-FIND(" ",M340))</f>
        <v>CHARLES AVE SE</v>
      </c>
      <c r="P340" s="0" t="s">
        <v>145</v>
      </c>
      <c r="Q340" s="0" t="s">
        <v>146</v>
      </c>
      <c r="R340" s="0" t="n">
        <v>44483</v>
      </c>
      <c r="AD340" s="0" t="s">
        <v>147</v>
      </c>
      <c r="AE340" s="0" t="s">
        <v>148</v>
      </c>
      <c r="AF340" s="0" t="s">
        <v>149</v>
      </c>
      <c r="AH340" s="0" t="n">
        <v>14</v>
      </c>
      <c r="AI340" s="0" t="n">
        <v>11</v>
      </c>
      <c r="AN340" s="0" t="s">
        <v>145</v>
      </c>
      <c r="AO340" s="0" t="s">
        <v>150</v>
      </c>
      <c r="AP340" s="0" t="s">
        <v>151</v>
      </c>
      <c r="AQ340" s="0" t="n">
        <v>9</v>
      </c>
      <c r="AR340" s="0" t="n">
        <v>64</v>
      </c>
      <c r="AS340" s="0" t="n">
        <v>32</v>
      </c>
      <c r="AU340" s="0" t="n">
        <f aca="false">COUNTA($BA$483:$EH$483)</f>
        <v>2</v>
      </c>
      <c r="AV340" s="0" t="n">
        <f aca="false">COUNTIF($BA$483:$EH$483,"D")</f>
        <v>0</v>
      </c>
      <c r="AW340" s="0" t="n">
        <f aca="false">COUNTIF($BA$483:$EH$483,"R")</f>
        <v>0</v>
      </c>
      <c r="AX340" s="0" t="n">
        <f aca="false">IF(BN340="D",1,0)+IF(BO340="D",1,0)+IF(BT340="D",1,0)+IF(BU340="D",1,0)+IF(BW340="D",1,0)+IF(CC340="D",1,0)+IF(CD340="D",1,0)+IF(CE340="D",1,0)+IF(CF340="D",1,0)+IF(CL340="D",1,0)+IF(CM340="D",1,0)+IF(CQ340="D",1,0)+IF(CR340="D",1,0)+IF(CS340="D",1,0)+IF(CW340="D",1,0)+IF(CX340="D",1,0)+IF(DD340="D",1,0)+IF(DE340="D",1,0)+IF(DJ340="D",1,0)+IF(DK340="D",1,0)+IF(DO340="D",1,0)+IF(DP340="D",1,0)+IF(DQ340="D",1,0)+IF(DW340="D",1,0)+IF(DZ340="D",1,0)+IF(EH340="D",1,0)</f>
        <v>0</v>
      </c>
      <c r="AY340" s="0" t="n">
        <f aca="false">COUNTIF(DU340:EH340, "&lt;&gt;")</f>
        <v>0</v>
      </c>
      <c r="AZ340" s="0" t="n">
        <f aca="false">IF(EH340&lt;&gt;"",1,0)</f>
        <v>0</v>
      </c>
      <c r="BB340" s="0" t="s">
        <v>152</v>
      </c>
    </row>
    <row r="341" customFormat="false" ht="13.8" hidden="true" customHeight="false" outlineLevel="0" collapsed="false">
      <c r="A341" s="0" t="s">
        <v>1915</v>
      </c>
      <c r="B341" s="0" t="n">
        <v>78</v>
      </c>
      <c r="C341" s="0" t="n">
        <v>353233</v>
      </c>
      <c r="D341" s="0" t="s">
        <v>1861</v>
      </c>
      <c r="E341" s="0" t="s">
        <v>1916</v>
      </c>
      <c r="F341" s="0" t="str">
        <f aca="false">CONCATENATE(D341," ",LEFT(H341,4),"T=",AU341,"D=",AV341,"R=",AW341,"M=",AX341,"L=",AY341,"B=",AZ341)</f>
        <v>BOGANY T=2D=0R=0M=0L=0B=0</v>
      </c>
      <c r="G341" s="0" t="s">
        <v>1917</v>
      </c>
      <c r="I341" s="0" t="s">
        <v>1918</v>
      </c>
      <c r="J341" s="0" t="s">
        <v>1919</v>
      </c>
      <c r="K341" s="0" t="s">
        <v>143</v>
      </c>
      <c r="M341" s="0" t="s">
        <v>1920</v>
      </c>
      <c r="N341" s="0" t="str">
        <f aca="false">RIGHT(M341,LEN(M341)-FIND(" ",M341))</f>
        <v>CHARLES AVE SE</v>
      </c>
      <c r="P341" s="0" t="s">
        <v>145</v>
      </c>
      <c r="Q341" s="0" t="s">
        <v>146</v>
      </c>
      <c r="R341" s="0" t="n">
        <v>44483</v>
      </c>
      <c r="AD341" s="0" t="s">
        <v>147</v>
      </c>
      <c r="AE341" s="0" t="s">
        <v>148</v>
      </c>
      <c r="AF341" s="0" t="s">
        <v>149</v>
      </c>
      <c r="AH341" s="0" t="n">
        <v>14</v>
      </c>
      <c r="AI341" s="0" t="n">
        <v>11</v>
      </c>
      <c r="AN341" s="0" t="s">
        <v>145</v>
      </c>
      <c r="AO341" s="0" t="s">
        <v>150</v>
      </c>
      <c r="AP341" s="0" t="s">
        <v>151</v>
      </c>
      <c r="AQ341" s="0" t="n">
        <v>9</v>
      </c>
      <c r="AR341" s="0" t="n">
        <v>64</v>
      </c>
      <c r="AS341" s="0" t="n">
        <v>32</v>
      </c>
      <c r="AU341" s="0" t="n">
        <f aca="false">COUNTA($BA$649:$EH$649)</f>
        <v>2</v>
      </c>
      <c r="AV341" s="0" t="n">
        <f aca="false">COUNTIF($BA$649:$EH$649,"D")</f>
        <v>0</v>
      </c>
      <c r="AW341" s="0" t="n">
        <f aca="false">COUNTIF($BA$649:$EH$649,"R")</f>
        <v>0</v>
      </c>
      <c r="AX341" s="0" t="n">
        <f aca="false">IF(BN341="D",1,0)+IF(BO341="D",1,0)+IF(BT341="D",1,0)+IF(BU341="D",1,0)+IF(BW341="D",1,0)+IF(CC341="D",1,0)+IF(CD341="D",1,0)+IF(CE341="D",1,0)+IF(CF341="D",1,0)+IF(CL341="D",1,0)+IF(CM341="D",1,0)+IF(CQ341="D",1,0)+IF(CR341="D",1,0)+IF(CS341="D",1,0)+IF(CW341="D",1,0)+IF(CX341="D",1,0)+IF(DD341="D",1,0)+IF(DE341="D",1,0)+IF(DJ341="D",1,0)+IF(DK341="D",1,0)+IF(DO341="D",1,0)+IF(DP341="D",1,0)+IF(DQ341="D",1,0)+IF(DW341="D",1,0)+IF(DZ341="D",1,0)+IF(EH341="D",1,0)</f>
        <v>0</v>
      </c>
      <c r="AY341" s="0" t="n">
        <f aca="false">COUNTIF(DU341:EH341, "&lt;&gt;")</f>
        <v>0</v>
      </c>
      <c r="AZ341" s="0" t="n">
        <f aca="false">IF(EH341&lt;&gt;"",1,0)</f>
        <v>0</v>
      </c>
      <c r="BB341" s="0" t="s">
        <v>152</v>
      </c>
    </row>
    <row r="342" customFormat="false" ht="13.8" hidden="true" customHeight="false" outlineLevel="0" collapsed="false">
      <c r="A342" s="0" t="s">
        <v>1921</v>
      </c>
      <c r="B342" s="0" t="n">
        <v>78</v>
      </c>
      <c r="C342" s="0" t="n">
        <v>416951</v>
      </c>
      <c r="D342" s="0" t="s">
        <v>885</v>
      </c>
      <c r="E342" s="0" t="s">
        <v>292</v>
      </c>
      <c r="F342" s="0" t="str">
        <f aca="false">CONCATENATE(D342," ",LEFT(H342,4),"T=",AU342,"D=",AV342,"R=",AW342,"M=",AX342,"L=",AY342,"B=",AZ342)</f>
        <v>BUTCHER T=2D=0R=0M=0L=0B=0</v>
      </c>
      <c r="G342" s="0" t="s">
        <v>275</v>
      </c>
      <c r="I342" s="0" t="s">
        <v>1922</v>
      </c>
      <c r="J342" s="0" t="s">
        <v>1923</v>
      </c>
      <c r="K342" s="0" t="s">
        <v>143</v>
      </c>
      <c r="M342" s="0" t="s">
        <v>1924</v>
      </c>
      <c r="N342" s="0" t="str">
        <f aca="false">RIGHT(M342,LEN(M342)-FIND(" ",M342))</f>
        <v>CHARLES AVE SE</v>
      </c>
      <c r="P342" s="0" t="s">
        <v>145</v>
      </c>
      <c r="Q342" s="0" t="s">
        <v>146</v>
      </c>
      <c r="R342" s="0" t="n">
        <v>44483</v>
      </c>
      <c r="AD342" s="0" t="s">
        <v>147</v>
      </c>
      <c r="AE342" s="0" t="s">
        <v>148</v>
      </c>
      <c r="AF342" s="0" t="s">
        <v>149</v>
      </c>
      <c r="AH342" s="0" t="n">
        <v>14</v>
      </c>
      <c r="AI342" s="0" t="n">
        <v>11</v>
      </c>
      <c r="AN342" s="0" t="s">
        <v>145</v>
      </c>
      <c r="AO342" s="0" t="s">
        <v>150</v>
      </c>
      <c r="AP342" s="0" t="s">
        <v>151</v>
      </c>
      <c r="AQ342" s="0" t="n">
        <v>9</v>
      </c>
      <c r="AR342" s="0" t="n">
        <v>64</v>
      </c>
      <c r="AS342" s="0" t="n">
        <v>32</v>
      </c>
      <c r="AU342" s="0" t="n">
        <f aca="false">COUNTA($BA$126:$EH$126)</f>
        <v>2</v>
      </c>
      <c r="AV342" s="0" t="n">
        <f aca="false">COUNTIF($BA$126:$EH$126,"D")</f>
        <v>0</v>
      </c>
      <c r="AW342" s="0" t="n">
        <f aca="false">COUNTIF($BA$126:$EH$126,"R")</f>
        <v>0</v>
      </c>
      <c r="AX342" s="0" t="n">
        <f aca="false">IF(BN342="D",1,0)+IF(BO342="D",1,0)+IF(BT342="D",1,0)+IF(BU342="D",1,0)+IF(BW342="D",1,0)+IF(CC342="D",1,0)+IF(CD342="D",1,0)+IF(CE342="D",1,0)+IF(CF342="D",1,0)+IF(CL342="D",1,0)+IF(CM342="D",1,0)+IF(CQ342="D",1,0)+IF(CR342="D",1,0)+IF(CS342="D",1,0)+IF(CW342="D",1,0)+IF(CX342="D",1,0)+IF(DD342="D",1,0)+IF(DE342="D",1,0)+IF(DJ342="D",1,0)+IF(DK342="D",1,0)+IF(DO342="D",1,0)+IF(DP342="D",1,0)+IF(DQ342="D",1,0)+IF(DW342="D",1,0)+IF(DZ342="D",1,0)+IF(EH342="D",1,0)</f>
        <v>0</v>
      </c>
      <c r="AY342" s="0" t="n">
        <f aca="false">COUNTIF(DU342:EH342, "&lt;&gt;")</f>
        <v>0</v>
      </c>
      <c r="AZ342" s="0" t="n">
        <f aca="false">IF(EH342&lt;&gt;"",1,0)</f>
        <v>0</v>
      </c>
      <c r="BB342" s="0" t="s">
        <v>152</v>
      </c>
    </row>
    <row r="343" customFormat="false" ht="13.8" hidden="true" customHeight="false" outlineLevel="0" collapsed="false">
      <c r="A343" s="0" t="s">
        <v>1925</v>
      </c>
      <c r="B343" s="0" t="n">
        <v>78</v>
      </c>
      <c r="C343" s="0" t="n">
        <v>487098</v>
      </c>
      <c r="D343" s="0" t="s">
        <v>1926</v>
      </c>
      <c r="E343" s="0" t="s">
        <v>1571</v>
      </c>
      <c r="F343" s="0" t="str">
        <f aca="false">CONCATENATE(D343," ",LEFT(H343,4),"T=",AU343,"D=",AV343,"R=",AW343,"M=",AX343,"L=",AY343,"B=",AZ343)</f>
        <v>CHOW T=34D=1R=6M=0L=0B=0</v>
      </c>
      <c r="I343" s="0" t="s">
        <v>1927</v>
      </c>
      <c r="J343" s="0" t="s">
        <v>399</v>
      </c>
      <c r="K343" s="0" t="s">
        <v>143</v>
      </c>
      <c r="M343" s="0" t="s">
        <v>1924</v>
      </c>
      <c r="N343" s="0" t="str">
        <f aca="false">RIGHT(M343,LEN(M343)-FIND(" ",M343))</f>
        <v>CHARLES AVE SE</v>
      </c>
      <c r="P343" s="0" t="s">
        <v>145</v>
      </c>
      <c r="Q343" s="0" t="s">
        <v>146</v>
      </c>
      <c r="R343" s="0" t="n">
        <v>44483</v>
      </c>
      <c r="AD343" s="0" t="s">
        <v>147</v>
      </c>
      <c r="AE343" s="0" t="s">
        <v>148</v>
      </c>
      <c r="AF343" s="0" t="s">
        <v>149</v>
      </c>
      <c r="AH343" s="0" t="n">
        <v>14</v>
      </c>
      <c r="AI343" s="0" t="n">
        <v>11</v>
      </c>
      <c r="AN343" s="0" t="s">
        <v>145</v>
      </c>
      <c r="AO343" s="0" t="s">
        <v>150</v>
      </c>
      <c r="AP343" s="0" t="s">
        <v>151</v>
      </c>
      <c r="AQ343" s="0" t="n">
        <v>9</v>
      </c>
      <c r="AR343" s="0" t="n">
        <v>64</v>
      </c>
      <c r="AS343" s="0" t="n">
        <v>32</v>
      </c>
      <c r="AU343" s="0" t="n">
        <f aca="false">COUNTA($BA$408:$EH$408)</f>
        <v>34</v>
      </c>
      <c r="AV343" s="0" t="n">
        <f aca="false">COUNTIF($BA$408:$EH$408,"D")</f>
        <v>1</v>
      </c>
      <c r="AW343" s="0" t="n">
        <f aca="false">COUNTIF($BA$408:$EH$408,"R")</f>
        <v>6</v>
      </c>
      <c r="AX343" s="0" t="n">
        <f aca="false">IF(BN343="D",1,0)+IF(BO343="D",1,0)+IF(BT343="D",1,0)+IF(BU343="D",1,0)+IF(BW343="D",1,0)+IF(CC343="D",1,0)+IF(CD343="D",1,0)+IF(CE343="D",1,0)+IF(CF343="D",1,0)+IF(CL343="D",1,0)+IF(CM343="D",1,0)+IF(CQ343="D",1,0)+IF(CR343="D",1,0)+IF(CS343="D",1,0)+IF(CW343="D",1,0)+IF(CX343="D",1,0)+IF(DD343="D",1,0)+IF(DE343="D",1,0)+IF(DJ343="D",1,0)+IF(DK343="D",1,0)+IF(DO343="D",1,0)+IF(DP343="D",1,0)+IF(DQ343="D",1,0)+IF(DW343="D",1,0)+IF(DZ343="D",1,0)+IF(EH343="D",1,0)</f>
        <v>0</v>
      </c>
      <c r="AY343" s="0" t="n">
        <f aca="false">COUNTIF(DU343:EH343, "&lt;&gt;")</f>
        <v>0</v>
      </c>
      <c r="AZ343" s="0" t="n">
        <f aca="false">IF(EH343&lt;&gt;"",1,0)</f>
        <v>0</v>
      </c>
      <c r="BB343" s="0" t="s">
        <v>152</v>
      </c>
    </row>
    <row r="344" customFormat="false" ht="13.8" hidden="true" customHeight="false" outlineLevel="0" collapsed="false">
      <c r="A344" s="0" t="s">
        <v>1928</v>
      </c>
      <c r="B344" s="0" t="n">
        <v>78</v>
      </c>
      <c r="C344" s="0" t="n">
        <v>465183</v>
      </c>
      <c r="D344" s="0" t="s">
        <v>1929</v>
      </c>
      <c r="E344" s="0" t="s">
        <v>1282</v>
      </c>
      <c r="F344" s="0" t="str">
        <f aca="false">CONCATENATE(D344," ",LEFT(H344,4),"T=",AU344,"D=",AV344,"R=",AW344,"M=",AX344,"L=",AY344,"B=",AZ344)</f>
        <v>EARLY T=5D=1R=0M=0L=0B=0</v>
      </c>
      <c r="G344" s="0" t="s">
        <v>190</v>
      </c>
      <c r="I344" s="0" t="s">
        <v>1930</v>
      </c>
      <c r="J344" s="0" t="s">
        <v>218</v>
      </c>
      <c r="K344" s="0" t="s">
        <v>160</v>
      </c>
      <c r="M344" s="0" t="s">
        <v>1924</v>
      </c>
      <c r="N344" s="0" t="str">
        <f aca="false">RIGHT(M344,LEN(M344)-FIND(" ",M344))</f>
        <v>CHARLES AVE SE</v>
      </c>
      <c r="P344" s="0" t="s">
        <v>145</v>
      </c>
      <c r="Q344" s="0" t="s">
        <v>146</v>
      </c>
      <c r="R344" s="0" t="n">
        <v>44483</v>
      </c>
      <c r="AD344" s="0" t="s">
        <v>147</v>
      </c>
      <c r="AE344" s="0" t="s">
        <v>148</v>
      </c>
      <c r="AF344" s="0" t="s">
        <v>149</v>
      </c>
      <c r="AH344" s="0" t="n">
        <v>14</v>
      </c>
      <c r="AI344" s="0" t="n">
        <v>11</v>
      </c>
      <c r="AN344" s="0" t="s">
        <v>145</v>
      </c>
      <c r="AO344" s="0" t="s">
        <v>150</v>
      </c>
      <c r="AP344" s="0" t="s">
        <v>151</v>
      </c>
      <c r="AQ344" s="0" t="n">
        <v>9</v>
      </c>
      <c r="AR344" s="0" t="n">
        <v>64</v>
      </c>
      <c r="AS344" s="0" t="n">
        <v>32</v>
      </c>
      <c r="AU344" s="0" t="n">
        <f aca="false">COUNTA($BA$504:$EH$504)</f>
        <v>5</v>
      </c>
      <c r="AV344" s="0" t="n">
        <f aca="false">COUNTIF($BA$504:$EH$504,"D")</f>
        <v>1</v>
      </c>
      <c r="AW344" s="0" t="n">
        <f aca="false">COUNTIF($BA$504:$EH$504,"R")</f>
        <v>0</v>
      </c>
      <c r="AX344" s="0" t="n">
        <f aca="false">IF(BN344="D",1,0)+IF(BO344="D",1,0)+IF(BT344="D",1,0)+IF(BU344="D",1,0)+IF(BW344="D",1,0)+IF(CC344="D",1,0)+IF(CD344="D",1,0)+IF(CE344="D",1,0)+IF(CF344="D",1,0)+IF(CL344="D",1,0)+IF(CM344="D",1,0)+IF(CQ344="D",1,0)+IF(CR344="D",1,0)+IF(CS344="D",1,0)+IF(CW344="D",1,0)+IF(CX344="D",1,0)+IF(DD344="D",1,0)+IF(DE344="D",1,0)+IF(DJ344="D",1,0)+IF(DK344="D",1,0)+IF(DO344="D",1,0)+IF(DP344="D",1,0)+IF(DQ344="D",1,0)+IF(DW344="D",1,0)+IF(DZ344="D",1,0)+IF(EH344="D",1,0)</f>
        <v>0</v>
      </c>
      <c r="AY344" s="0" t="n">
        <f aca="false">COUNTIF(DU344:EH344, "&lt;&gt;")</f>
        <v>0</v>
      </c>
      <c r="AZ344" s="0" t="n">
        <f aca="false">IF(EH344&lt;&gt;"",1,0)</f>
        <v>0</v>
      </c>
      <c r="BB344" s="0" t="s">
        <v>152</v>
      </c>
    </row>
    <row r="345" customFormat="false" ht="13.8" hidden="true" customHeight="false" outlineLevel="0" collapsed="false">
      <c r="A345" s="0" t="s">
        <v>1931</v>
      </c>
      <c r="B345" s="0" t="n">
        <v>78</v>
      </c>
      <c r="C345" s="0" t="n">
        <v>405344</v>
      </c>
      <c r="D345" s="0" t="s">
        <v>562</v>
      </c>
      <c r="E345" s="0" t="s">
        <v>274</v>
      </c>
      <c r="F345" s="0" t="str">
        <f aca="false">CONCATENATE(D345," ",LEFT(H345,4),"T=",AU345,"D=",AV345,"R=",AW345,"M=",AX345,"L=",AY345,"B=",AZ345)</f>
        <v>EDWARDS IIIT=11D=2R=0M=0L=0B=0</v>
      </c>
      <c r="G345" s="0" t="s">
        <v>948</v>
      </c>
      <c r="H345" s="0" t="s">
        <v>1932</v>
      </c>
      <c r="I345" s="0" t="s">
        <v>1933</v>
      </c>
      <c r="J345" s="0" t="s">
        <v>1934</v>
      </c>
      <c r="K345" s="0" t="s">
        <v>143</v>
      </c>
      <c r="M345" s="0" t="s">
        <v>1924</v>
      </c>
      <c r="N345" s="0" t="str">
        <f aca="false">RIGHT(M345,LEN(M345)-FIND(" ",M345))</f>
        <v>CHARLES AVE SE</v>
      </c>
      <c r="P345" s="0" t="s">
        <v>145</v>
      </c>
      <c r="Q345" s="0" t="s">
        <v>146</v>
      </c>
      <c r="R345" s="0" t="n">
        <v>44483</v>
      </c>
      <c r="AD345" s="0" t="s">
        <v>147</v>
      </c>
      <c r="AE345" s="0" t="s">
        <v>148</v>
      </c>
      <c r="AF345" s="0" t="s">
        <v>149</v>
      </c>
      <c r="AH345" s="0" t="n">
        <v>14</v>
      </c>
      <c r="AI345" s="0" t="n">
        <v>11</v>
      </c>
      <c r="AN345" s="0" t="s">
        <v>145</v>
      </c>
      <c r="AO345" s="0" t="s">
        <v>150</v>
      </c>
      <c r="AP345" s="0" t="s">
        <v>151</v>
      </c>
      <c r="AQ345" s="0" t="n">
        <v>9</v>
      </c>
      <c r="AR345" s="0" t="n">
        <v>64</v>
      </c>
      <c r="AS345" s="0" t="n">
        <v>32</v>
      </c>
      <c r="AU345" s="0" t="n">
        <f aca="false">COUNTA($BA$871:$EH$871)</f>
        <v>11</v>
      </c>
      <c r="AV345" s="0" t="n">
        <f aca="false">COUNTIF($BA$871:$EH$871,"D")</f>
        <v>2</v>
      </c>
      <c r="AW345" s="0" t="n">
        <f aca="false">COUNTIF($BA$871:$EH$871,"R")</f>
        <v>0</v>
      </c>
      <c r="AX345" s="0" t="n">
        <f aca="false">IF(BN345="D",1,0)+IF(BO345="D",1,0)+IF(BT345="D",1,0)+IF(BU345="D",1,0)+IF(BW345="D",1,0)+IF(CC345="D",1,0)+IF(CD345="D",1,0)+IF(CE345="D",1,0)+IF(CF345="D",1,0)+IF(CL345="D",1,0)+IF(CM345="D",1,0)+IF(CQ345="D",1,0)+IF(CR345="D",1,0)+IF(CS345="D",1,0)+IF(CW345="D",1,0)+IF(CX345="D",1,0)+IF(DD345="D",1,0)+IF(DE345="D",1,0)+IF(DJ345="D",1,0)+IF(DK345="D",1,0)+IF(DO345="D",1,0)+IF(DP345="D",1,0)+IF(DQ345="D",1,0)+IF(DW345="D",1,0)+IF(DZ345="D",1,0)+IF(EH345="D",1,0)</f>
        <v>0</v>
      </c>
      <c r="AY345" s="0" t="n">
        <f aca="false">COUNTIF(DU345:EH345, "&lt;&gt;")</f>
        <v>0</v>
      </c>
      <c r="AZ345" s="0" t="n">
        <f aca="false">IF(EH345&lt;&gt;"",1,0)</f>
        <v>0</v>
      </c>
      <c r="BB345" s="0" t="s">
        <v>152</v>
      </c>
    </row>
    <row r="346" customFormat="false" ht="13.8" hidden="true" customHeight="false" outlineLevel="0" collapsed="false">
      <c r="A346" s="0" t="s">
        <v>1935</v>
      </c>
      <c r="B346" s="0" t="n">
        <v>78</v>
      </c>
      <c r="C346" s="0" t="n">
        <v>427865</v>
      </c>
      <c r="D346" s="0" t="s">
        <v>1936</v>
      </c>
      <c r="E346" s="0" t="s">
        <v>379</v>
      </c>
      <c r="F346" s="0" t="str">
        <f aca="false">CONCATENATE(D346," ",LEFT(H346,4),"T=",AU346,"D=",AV346,"R=",AW346,"M=",AX346,"L=",AY346,"B=",AZ346)</f>
        <v>CAMPBELL T=5D=0R=1M=0L=0B=0</v>
      </c>
      <c r="G346" s="0" t="s">
        <v>686</v>
      </c>
      <c r="I346" s="0" t="s">
        <v>1937</v>
      </c>
      <c r="J346" s="0" t="s">
        <v>782</v>
      </c>
      <c r="K346" s="0" t="s">
        <v>160</v>
      </c>
      <c r="M346" s="0" t="s">
        <v>1938</v>
      </c>
      <c r="N346" s="0" t="str">
        <f aca="false">RIGHT(M346,LEN(M346)-FIND(" ",M346))</f>
        <v>CHARLES AVE SE</v>
      </c>
      <c r="O346" s="0" t="s">
        <v>1939</v>
      </c>
      <c r="P346" s="0" t="s">
        <v>145</v>
      </c>
      <c r="Q346" s="0" t="s">
        <v>146</v>
      </c>
      <c r="R346" s="0" t="n">
        <v>44483</v>
      </c>
      <c r="AD346" s="0" t="s">
        <v>147</v>
      </c>
      <c r="AE346" s="0" t="s">
        <v>148</v>
      </c>
      <c r="AF346" s="0" t="s">
        <v>149</v>
      </c>
      <c r="AH346" s="0" t="n">
        <v>14</v>
      </c>
      <c r="AI346" s="0" t="n">
        <v>11</v>
      </c>
      <c r="AN346" s="0" t="s">
        <v>145</v>
      </c>
      <c r="AO346" s="0" t="s">
        <v>150</v>
      </c>
      <c r="AP346" s="0" t="s">
        <v>151</v>
      </c>
      <c r="AQ346" s="0" t="n">
        <v>9</v>
      </c>
      <c r="AR346" s="0" t="n">
        <v>64</v>
      </c>
      <c r="AS346" s="0" t="n">
        <v>32</v>
      </c>
      <c r="AU346" s="0" t="n">
        <f aca="false">COUNTA($BA$664:$EH$664)</f>
        <v>5</v>
      </c>
      <c r="AV346" s="0" t="n">
        <f aca="false">COUNTIF($BA$664:$EH$664,"D")</f>
        <v>0</v>
      </c>
      <c r="AW346" s="0" t="n">
        <f aca="false">COUNTIF($BA$664:$EH$664,"R")</f>
        <v>1</v>
      </c>
      <c r="AX346" s="0" t="n">
        <f aca="false">IF(BN346="D",1,0)+IF(BO346="D",1,0)+IF(BT346="D",1,0)+IF(BU346="D",1,0)+IF(BW346="D",1,0)+IF(CC346="D",1,0)+IF(CD346="D",1,0)+IF(CE346="D",1,0)+IF(CF346="D",1,0)+IF(CL346="D",1,0)+IF(CM346="D",1,0)+IF(CQ346="D",1,0)+IF(CR346="D",1,0)+IF(CS346="D",1,0)+IF(CW346="D",1,0)+IF(CX346="D",1,0)+IF(DD346="D",1,0)+IF(DE346="D",1,0)+IF(DJ346="D",1,0)+IF(DK346="D",1,0)+IF(DO346="D",1,0)+IF(DP346="D",1,0)+IF(DQ346="D",1,0)+IF(DW346="D",1,0)+IF(DZ346="D",1,0)+IF(EH346="D",1,0)</f>
        <v>0</v>
      </c>
      <c r="AY346" s="0" t="n">
        <f aca="false">COUNTIF(DU346:EH346, "&lt;&gt;")</f>
        <v>0</v>
      </c>
      <c r="AZ346" s="0" t="n">
        <f aca="false">IF(EH346&lt;&gt;"",1,0)</f>
        <v>0</v>
      </c>
      <c r="BB346" s="0" t="s">
        <v>152</v>
      </c>
      <c r="BL346" s="0" t="s">
        <v>153</v>
      </c>
    </row>
    <row r="347" customFormat="false" ht="13.8" hidden="true" customHeight="false" outlineLevel="0" collapsed="false">
      <c r="A347" s="0" t="s">
        <v>1940</v>
      </c>
      <c r="B347" s="0" t="n">
        <v>78</v>
      </c>
      <c r="C347" s="0" t="n">
        <v>473993</v>
      </c>
      <c r="D347" s="0" t="s">
        <v>1941</v>
      </c>
      <c r="E347" s="0" t="s">
        <v>1942</v>
      </c>
      <c r="F347" s="0" t="str">
        <f aca="false">CONCATENATE(D347," ",LEFT(H347,4),"T=",AU347,"D=",AV347,"R=",AW347,"M=",AX347,"L=",AY347,"B=",AZ347)</f>
        <v>TURVEY T=27D=4R=0M=0L=0B=0</v>
      </c>
      <c r="G347" s="0" t="s">
        <v>1943</v>
      </c>
      <c r="I347" s="0" t="s">
        <v>1944</v>
      </c>
      <c r="J347" s="0" t="s">
        <v>1945</v>
      </c>
      <c r="K347" s="0" t="s">
        <v>160</v>
      </c>
      <c r="M347" s="0" t="s">
        <v>1946</v>
      </c>
      <c r="N347" s="0" t="str">
        <f aca="false">RIGHT(M347,LEN(M347)-FIND(" ",M347))</f>
        <v>CHARLES AVE SE</v>
      </c>
      <c r="O347" s="0" t="s">
        <v>1947</v>
      </c>
      <c r="P347" s="0" t="s">
        <v>145</v>
      </c>
      <c r="Q347" s="0" t="s">
        <v>146</v>
      </c>
      <c r="R347" s="0" t="n">
        <v>44483</v>
      </c>
      <c r="AD347" s="0" t="s">
        <v>147</v>
      </c>
      <c r="AE347" s="0" t="s">
        <v>148</v>
      </c>
      <c r="AF347" s="0" t="s">
        <v>149</v>
      </c>
      <c r="AH347" s="0" t="n">
        <v>14</v>
      </c>
      <c r="AI347" s="0" t="n">
        <v>11</v>
      </c>
      <c r="AN347" s="0" t="s">
        <v>145</v>
      </c>
      <c r="AO347" s="0" t="s">
        <v>150</v>
      </c>
      <c r="AP347" s="0" t="s">
        <v>151</v>
      </c>
      <c r="AQ347" s="0" t="n">
        <v>9</v>
      </c>
      <c r="AR347" s="0" t="n">
        <v>64</v>
      </c>
      <c r="AS347" s="0" t="n">
        <v>32</v>
      </c>
      <c r="AU347" s="0" t="n">
        <f aca="false">COUNTA($BA$531:$EH$531)</f>
        <v>27</v>
      </c>
      <c r="AV347" s="0" t="n">
        <f aca="false">COUNTIF($BA$531:$EH$531,"D")</f>
        <v>4</v>
      </c>
      <c r="AW347" s="0" t="n">
        <f aca="false">COUNTIF($BA$531:$EH$531,"R")</f>
        <v>0</v>
      </c>
      <c r="AX347" s="0" t="n">
        <f aca="false">IF(BN347="D",1,0)+IF(BO347="D",1,0)+IF(BT347="D",1,0)+IF(BU347="D",1,0)+IF(BW347="D",1,0)+IF(CC347="D",1,0)+IF(CD347="D",1,0)+IF(CE347="D",1,0)+IF(CF347="D",1,0)+IF(CL347="D",1,0)+IF(CM347="D",1,0)+IF(CQ347="D",1,0)+IF(CR347="D",1,0)+IF(CS347="D",1,0)+IF(CW347="D",1,0)+IF(CX347="D",1,0)+IF(DD347="D",1,0)+IF(DE347="D",1,0)+IF(DJ347="D",1,0)+IF(DK347="D",1,0)+IF(DO347="D",1,0)+IF(DP347="D",1,0)+IF(DQ347="D",1,0)+IF(DW347="D",1,0)+IF(DZ347="D",1,0)+IF(EH347="D",1,0)</f>
        <v>0</v>
      </c>
      <c r="AY347" s="0" t="n">
        <f aca="false">COUNTIF(DU347:EH347, "&lt;&gt;")</f>
        <v>0</v>
      </c>
      <c r="AZ347" s="0" t="n">
        <f aca="false">IF(EH347&lt;&gt;"",1,0)</f>
        <v>0</v>
      </c>
      <c r="BB347" s="0" t="s">
        <v>152</v>
      </c>
      <c r="BD347" s="0" t="s">
        <v>153</v>
      </c>
      <c r="BL347" s="0" t="s">
        <v>153</v>
      </c>
      <c r="CA347" s="0" t="s">
        <v>153</v>
      </c>
      <c r="CP347" s="0" t="s">
        <v>153</v>
      </c>
      <c r="CV347" s="0" t="s">
        <v>153</v>
      </c>
      <c r="CY347" s="0" t="s">
        <v>153</v>
      </c>
      <c r="DC347" s="0" t="s">
        <v>153</v>
      </c>
      <c r="DI347" s="0" t="s">
        <v>153</v>
      </c>
      <c r="DN347" s="0" t="s">
        <v>153</v>
      </c>
    </row>
    <row r="348" customFormat="false" ht="13.8" hidden="true" customHeight="false" outlineLevel="0" collapsed="false">
      <c r="A348" s="0" t="s">
        <v>1948</v>
      </c>
      <c r="B348" s="0" t="n">
        <v>78</v>
      </c>
      <c r="C348" s="0" t="n">
        <v>463527</v>
      </c>
      <c r="D348" s="0" t="s">
        <v>1949</v>
      </c>
      <c r="E348" s="0" t="s">
        <v>1950</v>
      </c>
      <c r="F348" s="0" t="str">
        <f aca="false">CONCATENATE(D348," ",LEFT(H348,4),"T=",AU348,"D=",AV348,"R=",AW348,"M=",AX348,"L=",AY348,"B=",AZ348)</f>
        <v>UYGUN T=11D=5R=0M=0L=0B=0</v>
      </c>
      <c r="G348" s="0" t="s">
        <v>1951</v>
      </c>
      <c r="I348" s="0" t="s">
        <v>1952</v>
      </c>
      <c r="J348" s="0" t="s">
        <v>1953</v>
      </c>
      <c r="K348" s="0" t="s">
        <v>160</v>
      </c>
      <c r="M348" s="0" t="s">
        <v>1946</v>
      </c>
      <c r="N348" s="0" t="str">
        <f aca="false">RIGHT(M348,LEN(M348)-FIND(" ",M348))</f>
        <v>CHARLES AVE SE</v>
      </c>
      <c r="O348" s="0" t="s">
        <v>1939</v>
      </c>
      <c r="P348" s="0" t="s">
        <v>145</v>
      </c>
      <c r="Q348" s="0" t="s">
        <v>146</v>
      </c>
      <c r="R348" s="0" t="n">
        <v>44483</v>
      </c>
      <c r="AD348" s="0" t="s">
        <v>147</v>
      </c>
      <c r="AE348" s="0" t="s">
        <v>148</v>
      </c>
      <c r="AF348" s="0" t="s">
        <v>149</v>
      </c>
      <c r="AH348" s="0" t="n">
        <v>14</v>
      </c>
      <c r="AI348" s="0" t="n">
        <v>11</v>
      </c>
      <c r="AN348" s="0" t="s">
        <v>145</v>
      </c>
      <c r="AO348" s="0" t="s">
        <v>150</v>
      </c>
      <c r="AP348" s="0" t="s">
        <v>151</v>
      </c>
      <c r="AQ348" s="0" t="n">
        <v>9</v>
      </c>
      <c r="AR348" s="0" t="n">
        <v>64</v>
      </c>
      <c r="AS348" s="0" t="n">
        <v>32</v>
      </c>
      <c r="AU348" s="0" t="n">
        <f aca="false">COUNTA($BA$666:$EH$666)</f>
        <v>11</v>
      </c>
      <c r="AV348" s="0" t="n">
        <f aca="false">COUNTIF($BA$666:$EH$666,"D")</f>
        <v>5</v>
      </c>
      <c r="AW348" s="0" t="n">
        <f aca="false">COUNTIF($BA$666:$EH$666,"R")</f>
        <v>0</v>
      </c>
      <c r="AX348" s="0" t="n">
        <f aca="false">IF(BN348="D",1,0)+IF(BO348="D",1,0)+IF(BT348="D",1,0)+IF(BU348="D",1,0)+IF(BW348="D",1,0)+IF(CC348="D",1,0)+IF(CD348="D",1,0)+IF(CE348="D",1,0)+IF(CF348="D",1,0)+IF(CL348="D",1,0)+IF(CM348="D",1,0)+IF(CQ348="D",1,0)+IF(CR348="D",1,0)+IF(CS348="D",1,0)+IF(CW348="D",1,0)+IF(CX348="D",1,0)+IF(DD348="D",1,0)+IF(DE348="D",1,0)+IF(DJ348="D",1,0)+IF(DK348="D",1,0)+IF(DO348="D",1,0)+IF(DP348="D",1,0)+IF(DQ348="D",1,0)+IF(DW348="D",1,0)+IF(DZ348="D",1,0)+IF(EH348="D",1,0)</f>
        <v>0</v>
      </c>
      <c r="AY348" s="0" t="n">
        <f aca="false">COUNTIF(DU348:EH348, "&lt;&gt;")</f>
        <v>0</v>
      </c>
      <c r="AZ348" s="0" t="n">
        <f aca="false">IF(EH348&lt;&gt;"",1,0)</f>
        <v>0</v>
      </c>
      <c r="BB348" s="0" t="s">
        <v>152</v>
      </c>
    </row>
    <row r="349" customFormat="false" ht="13.8" hidden="true" customHeight="false" outlineLevel="0" collapsed="false">
      <c r="A349" s="0" t="s">
        <v>1954</v>
      </c>
      <c r="B349" s="0" t="n">
        <v>78</v>
      </c>
      <c r="C349" s="0" t="n">
        <v>398654</v>
      </c>
      <c r="D349" s="0" t="s">
        <v>1955</v>
      </c>
      <c r="E349" s="0" t="s">
        <v>1229</v>
      </c>
      <c r="F349" s="0" t="str">
        <f aca="false">CONCATENATE(D349," ",LEFT(H349,4),"T=",AU349,"D=",AV349,"R=",AW349,"M=",AX349,"L=",AY349,"B=",AZ349)</f>
        <v>JOURNEY T=4D=0R=0M=0L=0B=0</v>
      </c>
      <c r="G349" s="0" t="s">
        <v>719</v>
      </c>
      <c r="I349" s="0" t="s">
        <v>1956</v>
      </c>
      <c r="J349" s="0" t="s">
        <v>404</v>
      </c>
      <c r="K349" s="0" t="s">
        <v>160</v>
      </c>
      <c r="M349" s="0" t="s">
        <v>1957</v>
      </c>
      <c r="N349" s="0" t="str">
        <f aca="false">RIGHT(M349,LEN(M349)-FIND(" ",M349))</f>
        <v>CHARLES AVE SE</v>
      </c>
      <c r="P349" s="0" t="s">
        <v>145</v>
      </c>
      <c r="Q349" s="0" t="s">
        <v>146</v>
      </c>
      <c r="R349" s="0" t="n">
        <v>44483</v>
      </c>
      <c r="AD349" s="0" t="s">
        <v>147</v>
      </c>
      <c r="AE349" s="0" t="s">
        <v>148</v>
      </c>
      <c r="AF349" s="0" t="s">
        <v>149</v>
      </c>
      <c r="AH349" s="0" t="n">
        <v>14</v>
      </c>
      <c r="AI349" s="0" t="n">
        <v>11</v>
      </c>
      <c r="AN349" s="0" t="s">
        <v>145</v>
      </c>
      <c r="AO349" s="0" t="s">
        <v>150</v>
      </c>
      <c r="AP349" s="0" t="s">
        <v>151</v>
      </c>
      <c r="AQ349" s="0" t="n">
        <v>9</v>
      </c>
      <c r="AR349" s="0" t="n">
        <v>64</v>
      </c>
      <c r="AS349" s="0" t="n">
        <v>32</v>
      </c>
      <c r="AU349" s="0" t="n">
        <f aca="false">COUNTA($BA$205:$EH$205)</f>
        <v>4</v>
      </c>
      <c r="AV349" s="0" t="n">
        <f aca="false">COUNTIF($BA$205:$EH$205,"D")</f>
        <v>0</v>
      </c>
      <c r="AW349" s="0" t="n">
        <f aca="false">COUNTIF($BA$205:$EH$205,"R")</f>
        <v>0</v>
      </c>
      <c r="AX349" s="0" t="n">
        <f aca="false">IF(BN349="D",1,0)+IF(BO349="D",1,0)+IF(BT349="D",1,0)+IF(BU349="D",1,0)+IF(BW349="D",1,0)+IF(CC349="D",1,0)+IF(CD349="D",1,0)+IF(CE349="D",1,0)+IF(CF349="D",1,0)+IF(CL349="D",1,0)+IF(CM349="D",1,0)+IF(CQ349="D",1,0)+IF(CR349="D",1,0)+IF(CS349="D",1,0)+IF(CW349="D",1,0)+IF(CX349="D",1,0)+IF(DD349="D",1,0)+IF(DE349="D",1,0)+IF(DJ349="D",1,0)+IF(DK349="D",1,0)+IF(DO349="D",1,0)+IF(DP349="D",1,0)+IF(DQ349="D",1,0)+IF(DW349="D",1,0)+IF(DZ349="D",1,0)+IF(EH349="D",1,0)</f>
        <v>0</v>
      </c>
      <c r="AY349" s="0" t="n">
        <f aca="false">COUNTIF(DU349:EH349, "&lt;&gt;")</f>
        <v>0</v>
      </c>
      <c r="AZ349" s="0" t="n">
        <f aca="false">IF(EH349&lt;&gt;"",1,0)</f>
        <v>0</v>
      </c>
      <c r="BB349" s="0" t="s">
        <v>152</v>
      </c>
      <c r="CY349" s="0" t="s">
        <v>153</v>
      </c>
      <c r="CZ349" s="0" t="s">
        <v>175</v>
      </c>
      <c r="DI349" s="0" t="s">
        <v>153</v>
      </c>
      <c r="DM349" s="0" t="s">
        <v>175</v>
      </c>
      <c r="DN349" s="0" t="s">
        <v>153</v>
      </c>
    </row>
    <row r="350" customFormat="false" ht="13.8" hidden="false" customHeight="false" outlineLevel="0" collapsed="false">
      <c r="A350" s="0" t="s">
        <v>1958</v>
      </c>
      <c r="B350" s="0" t="n">
        <v>78</v>
      </c>
      <c r="C350" s="0" t="n">
        <v>12132</v>
      </c>
      <c r="D350" s="0" t="s">
        <v>1959</v>
      </c>
      <c r="E350" s="0" t="s">
        <v>1960</v>
      </c>
      <c r="F350" s="0" t="str">
        <f aca="false">CONCATENATE(D350," ",LEFT(H350,4),"T=",AU350,"D=",AV350,"R=",AW350,"M=",AX350,"L=",AY350,"B=",AZ350)</f>
        <v>MCLENNAN T=1D=0R=0M=5L=4B=0</v>
      </c>
      <c r="G350" s="0" t="s">
        <v>195</v>
      </c>
      <c r="I350" s="0" t="s">
        <v>1961</v>
      </c>
      <c r="J350" s="0" t="s">
        <v>1962</v>
      </c>
      <c r="K350" s="0" t="s">
        <v>160</v>
      </c>
      <c r="L350" s="0" t="s">
        <v>175</v>
      </c>
      <c r="M350" s="0" t="s">
        <v>1957</v>
      </c>
      <c r="N350" s="0" t="str">
        <f aca="false">RIGHT(M350,LEN(M350)-FIND(" ",M350))</f>
        <v>CHARLES AVE SE</v>
      </c>
      <c r="P350" s="0" t="s">
        <v>145</v>
      </c>
      <c r="Q350" s="0" t="s">
        <v>146</v>
      </c>
      <c r="R350" s="0" t="n">
        <v>44483</v>
      </c>
      <c r="AD350" s="0" t="s">
        <v>147</v>
      </c>
      <c r="AE350" s="0" t="s">
        <v>148</v>
      </c>
      <c r="AF350" s="0" t="s">
        <v>149</v>
      </c>
      <c r="AH350" s="0" t="n">
        <v>14</v>
      </c>
      <c r="AI350" s="0" t="n">
        <v>11</v>
      </c>
      <c r="AN350" s="0" t="s">
        <v>145</v>
      </c>
      <c r="AO350" s="0" t="s">
        <v>150</v>
      </c>
      <c r="AP350" s="0" t="s">
        <v>151</v>
      </c>
      <c r="AQ350" s="0" t="n">
        <v>9</v>
      </c>
      <c r="AR350" s="0" t="n">
        <v>64</v>
      </c>
      <c r="AS350" s="0" t="n">
        <v>32</v>
      </c>
      <c r="AU350" s="0" t="n">
        <f aca="false">COUNTA($BA$723:$EH$723)</f>
        <v>1</v>
      </c>
      <c r="AV350" s="0" t="n">
        <f aca="false">COUNTIF($BA$723:$EH$723,"D")</f>
        <v>0</v>
      </c>
      <c r="AW350" s="0" t="n">
        <f aca="false">COUNTIF($BA$723:$EH$723,"R")</f>
        <v>0</v>
      </c>
      <c r="AX350" s="0" t="n">
        <f aca="false">IF(BN350="D",1,0)+IF(BO350="D",1,0)+IF(BT350="D",1,0)+IF(BU350="D",1,0)+IF(BW350="D",1,0)+IF(CC350="D",1,0)+IF(CD350="D",1,0)+IF(CE350="D",1,0)+IF(CF350="D",1,0)+IF(CL350="D",1,0)+IF(CM350="D",1,0)+IF(CQ350="D",1,0)+IF(CR350="D",1,0)+IF(CS350="D",1,0)+IF(CW350="D",1,0)+IF(CX350="D",1,0)+IF(DD350="D",1,0)+IF(DE350="D",1,0)+IF(DJ350="D",1,0)+IF(DK350="D",1,0)+IF(DO350="D",1,0)+IF(DP350="D",1,0)+IF(DQ350="D",1,0)+IF(DW350="D",1,0)+IF(DZ350="D",1,0)+IF(EH350="D",1,0)</f>
        <v>5</v>
      </c>
      <c r="AY350" s="0" t="n">
        <f aca="false">COUNTIF(DU350:EH350, "&lt;&gt;")</f>
        <v>4</v>
      </c>
      <c r="AZ350" s="0" t="n">
        <f aca="false">IF(EH350&lt;&gt;"",1,0)</f>
        <v>0</v>
      </c>
      <c r="BB350" s="0" t="s">
        <v>152</v>
      </c>
      <c r="BC350" s="0" t="s">
        <v>153</v>
      </c>
      <c r="BD350" s="0" t="s">
        <v>153</v>
      </c>
      <c r="BH350" s="0" t="s">
        <v>153</v>
      </c>
      <c r="BL350" s="0" t="s">
        <v>153</v>
      </c>
      <c r="BS350" s="0" t="s">
        <v>153</v>
      </c>
      <c r="BY350" s="0" t="s">
        <v>175</v>
      </c>
      <c r="CA350" s="0" t="s">
        <v>153</v>
      </c>
      <c r="CK350" s="0" t="s">
        <v>153</v>
      </c>
      <c r="CL350" s="0" t="s">
        <v>175</v>
      </c>
      <c r="CN350" s="0" t="s">
        <v>153</v>
      </c>
      <c r="CP350" s="0" t="s">
        <v>153</v>
      </c>
      <c r="CQ350" s="0" t="s">
        <v>175</v>
      </c>
      <c r="CU350" s="0" t="s">
        <v>175</v>
      </c>
      <c r="CV350" s="0" t="s">
        <v>153</v>
      </c>
      <c r="CW350" s="0" t="s">
        <v>175</v>
      </c>
      <c r="CY350" s="0" t="s">
        <v>153</v>
      </c>
      <c r="CZ350" s="0" t="s">
        <v>175</v>
      </c>
      <c r="DC350" s="0" t="s">
        <v>153</v>
      </c>
      <c r="DD350" s="0" t="s">
        <v>175</v>
      </c>
      <c r="DF350" s="0" t="s">
        <v>153</v>
      </c>
      <c r="DG350" s="0" t="s">
        <v>175</v>
      </c>
      <c r="DI350" s="0" t="s">
        <v>153</v>
      </c>
      <c r="DJ350" s="0" t="s">
        <v>175</v>
      </c>
      <c r="DL350" s="0" t="s">
        <v>153</v>
      </c>
      <c r="DM350" s="0" t="s">
        <v>175</v>
      </c>
      <c r="DN350" s="0" t="s">
        <v>153</v>
      </c>
      <c r="DS350" s="0" t="s">
        <v>175</v>
      </c>
      <c r="DU350" s="0" t="s">
        <v>153</v>
      </c>
      <c r="DX350" s="0" t="s">
        <v>153</v>
      </c>
      <c r="EA350" s="0" t="s">
        <v>153</v>
      </c>
      <c r="EF350" s="0" t="s">
        <v>153</v>
      </c>
    </row>
    <row r="351" customFormat="false" ht="13.8" hidden="false" customHeight="false" outlineLevel="0" collapsed="false">
      <c r="A351" s="0" t="s">
        <v>1963</v>
      </c>
      <c r="B351" s="0" t="n">
        <v>78</v>
      </c>
      <c r="C351" s="0" t="n">
        <v>320931</v>
      </c>
      <c r="D351" s="0" t="s">
        <v>1959</v>
      </c>
      <c r="E351" s="0" t="s">
        <v>1964</v>
      </c>
      <c r="F351" s="0" t="str">
        <f aca="false">CONCATENATE(D351," ",LEFT(H351,4),"T=",AU351,"D=",AV351,"R=",AW351,"M=",AX351,"L=",AY351,"B=",AZ351)</f>
        <v>MCLENNAN T=5D=1R=0M=2L=3B=0</v>
      </c>
      <c r="G351" s="0" t="s">
        <v>1596</v>
      </c>
      <c r="I351" s="0" t="s">
        <v>1965</v>
      </c>
      <c r="J351" s="0" t="s">
        <v>1966</v>
      </c>
      <c r="K351" s="0" t="s">
        <v>160</v>
      </c>
      <c r="M351" s="0" t="s">
        <v>1957</v>
      </c>
      <c r="N351" s="0" t="str">
        <f aca="false">RIGHT(M351,LEN(M351)-FIND(" ",M351))</f>
        <v>CHARLES AVE SE</v>
      </c>
      <c r="P351" s="0" t="s">
        <v>145</v>
      </c>
      <c r="Q351" s="0" t="s">
        <v>146</v>
      </c>
      <c r="R351" s="0" t="n">
        <v>44483</v>
      </c>
      <c r="AD351" s="0" t="s">
        <v>147</v>
      </c>
      <c r="AE351" s="0" t="s">
        <v>148</v>
      </c>
      <c r="AF351" s="0" t="s">
        <v>149</v>
      </c>
      <c r="AH351" s="0" t="n">
        <v>14</v>
      </c>
      <c r="AI351" s="0" t="n">
        <v>11</v>
      </c>
      <c r="AN351" s="0" t="s">
        <v>145</v>
      </c>
      <c r="AO351" s="0" t="s">
        <v>150</v>
      </c>
      <c r="AP351" s="0" t="s">
        <v>151</v>
      </c>
      <c r="AQ351" s="0" t="n">
        <v>9</v>
      </c>
      <c r="AR351" s="0" t="n">
        <v>64</v>
      </c>
      <c r="AS351" s="0" t="n">
        <v>32</v>
      </c>
      <c r="AU351" s="0" t="n">
        <f aca="false">COUNTA($BA$825:$EH$825)</f>
        <v>5</v>
      </c>
      <c r="AV351" s="0" t="n">
        <f aca="false">COUNTIF($BA$825:$EH$825,"D")</f>
        <v>1</v>
      </c>
      <c r="AW351" s="0" t="n">
        <f aca="false">COUNTIF($BA$825:$EH$825,"R")</f>
        <v>0</v>
      </c>
      <c r="AX351" s="0" t="n">
        <f aca="false">IF(BN351="D",1,0)+IF(BO351="D",1,0)+IF(BT351="D",1,0)+IF(BU351="D",1,0)+IF(BW351="D",1,0)+IF(CC351="D",1,0)+IF(CD351="D",1,0)+IF(CE351="D",1,0)+IF(CF351="D",1,0)+IF(CL351="D",1,0)+IF(CM351="D",1,0)+IF(CQ351="D",1,0)+IF(CR351="D",1,0)+IF(CS351="D",1,0)+IF(CW351="D",1,0)+IF(CX351="D",1,0)+IF(DD351="D",1,0)+IF(DE351="D",1,0)+IF(DJ351="D",1,0)+IF(DK351="D",1,0)+IF(DO351="D",1,0)+IF(DP351="D",1,0)+IF(DQ351="D",1,0)+IF(DW351="D",1,0)+IF(DZ351="D",1,0)+IF(EH351="D",1,0)</f>
        <v>2</v>
      </c>
      <c r="AY351" s="0" t="n">
        <f aca="false">COUNTIF(DU351:EH351, "&lt;&gt;")</f>
        <v>3</v>
      </c>
      <c r="AZ351" s="0" t="n">
        <f aca="false">IF(EH351&lt;&gt;"",1,0)</f>
        <v>0</v>
      </c>
      <c r="BB351" s="0" t="s">
        <v>152</v>
      </c>
      <c r="BL351" s="0" t="s">
        <v>153</v>
      </c>
      <c r="BS351" s="0" t="s">
        <v>153</v>
      </c>
      <c r="CA351" s="0" t="s">
        <v>153</v>
      </c>
      <c r="CK351" s="0" t="s">
        <v>153</v>
      </c>
      <c r="CN351" s="0" t="s">
        <v>153</v>
      </c>
      <c r="CP351" s="0" t="s">
        <v>153</v>
      </c>
      <c r="CQ351" s="0" t="s">
        <v>175</v>
      </c>
      <c r="CV351" s="0" t="s">
        <v>153</v>
      </c>
      <c r="CW351" s="0" t="s">
        <v>175</v>
      </c>
      <c r="CY351" s="0" t="s">
        <v>153</v>
      </c>
      <c r="CZ351" s="0" t="s">
        <v>175</v>
      </c>
      <c r="DC351" s="0" t="s">
        <v>153</v>
      </c>
      <c r="DF351" s="0" t="s">
        <v>153</v>
      </c>
      <c r="DG351" s="0" t="s">
        <v>175</v>
      </c>
      <c r="DI351" s="0" t="s">
        <v>153</v>
      </c>
      <c r="DM351" s="0" t="s">
        <v>175</v>
      </c>
      <c r="DN351" s="0" t="s">
        <v>153</v>
      </c>
      <c r="DX351" s="0" t="s">
        <v>153</v>
      </c>
      <c r="EA351" s="0" t="s">
        <v>153</v>
      </c>
      <c r="EF351" s="0" t="s">
        <v>153</v>
      </c>
    </row>
    <row r="352" customFormat="false" ht="13.8" hidden="false" customHeight="false" outlineLevel="0" collapsed="false">
      <c r="A352" s="0" t="s">
        <v>1967</v>
      </c>
      <c r="B352" s="0" t="n">
        <v>78</v>
      </c>
      <c r="C352" s="0" t="n">
        <v>438326</v>
      </c>
      <c r="D352" s="0" t="s">
        <v>952</v>
      </c>
      <c r="E352" s="0" t="s">
        <v>1968</v>
      </c>
      <c r="F352" s="0" t="str">
        <f aca="false">CONCATENATE(D352," ",LEFT(H352,4),"T=",AU352,"D=",AV352,"R=",AW352,"M=",AX352,"L=",AY352,"B=",AZ352)</f>
        <v>MCMURRAY T=1D=0R=0M=0L=2B=0</v>
      </c>
      <c r="G352" s="0" t="s">
        <v>1969</v>
      </c>
      <c r="I352" s="0" t="s">
        <v>1970</v>
      </c>
      <c r="J352" s="0" t="s">
        <v>1971</v>
      </c>
      <c r="K352" s="0" t="s">
        <v>160</v>
      </c>
      <c r="M352" s="0" t="s">
        <v>1972</v>
      </c>
      <c r="N352" s="0" t="str">
        <f aca="false">RIGHT(M352,LEN(M352)-FIND(" ",M352))</f>
        <v>CHARLES AVE SE</v>
      </c>
      <c r="P352" s="0" t="s">
        <v>145</v>
      </c>
      <c r="Q352" s="0" t="s">
        <v>146</v>
      </c>
      <c r="R352" s="0" t="n">
        <v>44483</v>
      </c>
      <c r="AD352" s="0" t="s">
        <v>147</v>
      </c>
      <c r="AE352" s="0" t="s">
        <v>148</v>
      </c>
      <c r="AF352" s="0" t="s">
        <v>149</v>
      </c>
      <c r="AH352" s="0" t="n">
        <v>14</v>
      </c>
      <c r="AI352" s="0" t="n">
        <v>11</v>
      </c>
      <c r="AN352" s="0" t="s">
        <v>145</v>
      </c>
      <c r="AO352" s="0" t="s">
        <v>150</v>
      </c>
      <c r="AP352" s="0" t="s">
        <v>151</v>
      </c>
      <c r="AQ352" s="0" t="n">
        <v>9</v>
      </c>
      <c r="AR352" s="0" t="n">
        <v>64</v>
      </c>
      <c r="AS352" s="0" t="n">
        <v>32</v>
      </c>
      <c r="AU352" s="0" t="n">
        <f aca="false">COUNTA($BA$583:$EH$583)</f>
        <v>1</v>
      </c>
      <c r="AV352" s="0" t="n">
        <f aca="false">COUNTIF($BA$583:$EH$583,"D")</f>
        <v>0</v>
      </c>
      <c r="AW352" s="0" t="n">
        <f aca="false">COUNTIF($BA$583:$EH$583,"R")</f>
        <v>0</v>
      </c>
      <c r="AX352" s="0" t="n">
        <f aca="false">IF(BN352="D",1,0)+IF(BO352="D",1,0)+IF(BT352="D",1,0)+IF(BU352="D",1,0)+IF(BW352="D",1,0)+IF(CC352="D",1,0)+IF(CD352="D",1,0)+IF(CE352="D",1,0)+IF(CF352="D",1,0)+IF(CL352="D",1,0)+IF(CM352="D",1,0)+IF(CQ352="D",1,0)+IF(CR352="D",1,0)+IF(CS352="D",1,0)+IF(CW352="D",1,0)+IF(CX352="D",1,0)+IF(DD352="D",1,0)+IF(DE352="D",1,0)+IF(DJ352="D",1,0)+IF(DK352="D",1,0)+IF(DO352="D",1,0)+IF(DP352="D",1,0)+IF(DQ352="D",1,0)+IF(DW352="D",1,0)+IF(DZ352="D",1,0)+IF(EH352="D",1,0)</f>
        <v>0</v>
      </c>
      <c r="AY352" s="0" t="n">
        <f aca="false">COUNTIF(DU352:EH352, "&lt;&gt;")</f>
        <v>2</v>
      </c>
      <c r="AZ352" s="0" t="n">
        <f aca="false">IF(EH352&lt;&gt;"",1,0)</f>
        <v>0</v>
      </c>
      <c r="BB352" s="0" t="s">
        <v>152</v>
      </c>
      <c r="DN352" s="0" t="s">
        <v>153</v>
      </c>
      <c r="DX352" s="0" t="s">
        <v>153</v>
      </c>
      <c r="EF352" s="0" t="s">
        <v>153</v>
      </c>
    </row>
    <row r="353" customFormat="false" ht="13.8" hidden="true" customHeight="false" outlineLevel="0" collapsed="false">
      <c r="A353" s="0" t="s">
        <v>1973</v>
      </c>
      <c r="B353" s="0" t="n">
        <v>78</v>
      </c>
      <c r="C353" s="0" t="n">
        <v>468332</v>
      </c>
      <c r="D353" s="0" t="s">
        <v>1974</v>
      </c>
      <c r="E353" s="0" t="s">
        <v>1975</v>
      </c>
      <c r="F353" s="0" t="str">
        <f aca="false">CONCATENATE(D353," ",LEFT(H353,4),"T=",AU353,"D=",AV353,"R=",AW353,"M=",AX353,"L=",AY353,"B=",AZ353)</f>
        <v>GRAHAM T=3D=0R=0M=0L=0B=0</v>
      </c>
      <c r="G353" s="0" t="s">
        <v>195</v>
      </c>
      <c r="I353" s="0" t="s">
        <v>1976</v>
      </c>
      <c r="J353" s="0" t="s">
        <v>1977</v>
      </c>
      <c r="K353" s="0" t="s">
        <v>160</v>
      </c>
      <c r="M353" s="0" t="s">
        <v>1978</v>
      </c>
      <c r="N353" s="0" t="str">
        <f aca="false">RIGHT(M353,LEN(M353)-FIND(" ",M353))</f>
        <v>CHARLES AVE SE</v>
      </c>
      <c r="P353" s="0" t="s">
        <v>145</v>
      </c>
      <c r="Q353" s="0" t="s">
        <v>146</v>
      </c>
      <c r="R353" s="0" t="n">
        <v>44483</v>
      </c>
      <c r="AD353" s="0" t="s">
        <v>147</v>
      </c>
      <c r="AE353" s="0" t="s">
        <v>148</v>
      </c>
      <c r="AF353" s="0" t="s">
        <v>149</v>
      </c>
      <c r="AH353" s="0" t="n">
        <v>14</v>
      </c>
      <c r="AI353" s="0" t="n">
        <v>11</v>
      </c>
      <c r="AN353" s="0" t="s">
        <v>145</v>
      </c>
      <c r="AO353" s="0" t="s">
        <v>150</v>
      </c>
      <c r="AP353" s="0" t="s">
        <v>151</v>
      </c>
      <c r="AQ353" s="0" t="n">
        <v>9</v>
      </c>
      <c r="AR353" s="0" t="n">
        <v>64</v>
      </c>
      <c r="AS353" s="0" t="n">
        <v>32</v>
      </c>
      <c r="AU353" s="0" t="n">
        <f aca="false">COUNTA($BA$366:$EH$366)</f>
        <v>3</v>
      </c>
      <c r="AV353" s="0" t="n">
        <f aca="false">COUNTIF($BA$366:$EH$366,"D")</f>
        <v>0</v>
      </c>
      <c r="AW353" s="0" t="n">
        <f aca="false">COUNTIF($BA$366:$EH$366,"R")</f>
        <v>0</v>
      </c>
      <c r="AX353" s="0" t="n">
        <f aca="false">IF(BN353="D",1,0)+IF(BO353="D",1,0)+IF(BT353="D",1,0)+IF(BU353="D",1,0)+IF(BW353="D",1,0)+IF(CC353="D",1,0)+IF(CD353="D",1,0)+IF(CE353="D",1,0)+IF(CF353="D",1,0)+IF(CL353="D",1,0)+IF(CM353="D",1,0)+IF(CQ353="D",1,0)+IF(CR353="D",1,0)+IF(CS353="D",1,0)+IF(CW353="D",1,0)+IF(CX353="D",1,0)+IF(DD353="D",1,0)+IF(DE353="D",1,0)+IF(DJ353="D",1,0)+IF(DK353="D",1,0)+IF(DO353="D",1,0)+IF(DP353="D",1,0)+IF(DQ353="D",1,0)+IF(DW353="D",1,0)+IF(DZ353="D",1,0)+IF(EH353="D",1,0)</f>
        <v>0</v>
      </c>
      <c r="AY353" s="0" t="n">
        <f aca="false">COUNTIF(DU353:EH353, "&lt;&gt;")</f>
        <v>0</v>
      </c>
      <c r="AZ353" s="0" t="n">
        <f aca="false">IF(EH353&lt;&gt;"",1,0)</f>
        <v>0</v>
      </c>
      <c r="BB353" s="0" t="s">
        <v>152</v>
      </c>
      <c r="BD353" s="0" t="s">
        <v>153</v>
      </c>
      <c r="BG353" s="0" t="s">
        <v>175</v>
      </c>
      <c r="CA353" s="0" t="s">
        <v>153</v>
      </c>
      <c r="CG353" s="0" t="s">
        <v>153</v>
      </c>
      <c r="CK353" s="0" t="s">
        <v>153</v>
      </c>
      <c r="CP353" s="0" t="s">
        <v>153</v>
      </c>
      <c r="DC353" s="0" t="s">
        <v>153</v>
      </c>
    </row>
    <row r="354" customFormat="false" ht="13.8" hidden="false" customHeight="false" outlineLevel="0" collapsed="false">
      <c r="A354" s="0" t="s">
        <v>1979</v>
      </c>
      <c r="B354" s="0" t="n">
        <v>78</v>
      </c>
      <c r="C354" s="0" t="n">
        <v>466821</v>
      </c>
      <c r="D354" s="0" t="s">
        <v>1980</v>
      </c>
      <c r="E354" s="0" t="s">
        <v>1912</v>
      </c>
      <c r="F354" s="0" t="str">
        <f aca="false">CONCATENATE(D354," ",LEFT(H354,4),"T=",AU354,"D=",AV354,"R=",AW354,"M=",AX354,"L=",AY354,"B=",AZ354)</f>
        <v>CONDE T=35D=5R=3M=2L=5B=1</v>
      </c>
      <c r="G354" s="0" t="s">
        <v>1981</v>
      </c>
      <c r="I354" s="0" t="s">
        <v>1982</v>
      </c>
      <c r="J354" s="0" t="s">
        <v>1983</v>
      </c>
      <c r="K354" s="0" t="s">
        <v>160</v>
      </c>
      <c r="L354" s="0" t="s">
        <v>175</v>
      </c>
      <c r="M354" s="0" t="s">
        <v>1984</v>
      </c>
      <c r="N354" s="0" t="str">
        <f aca="false">RIGHT(M354,LEN(M354)-FIND(" ",M354))</f>
        <v>CHARLES AVE SE</v>
      </c>
      <c r="P354" s="0" t="s">
        <v>145</v>
      </c>
      <c r="Q354" s="0" t="s">
        <v>146</v>
      </c>
      <c r="R354" s="0" t="n">
        <v>44483</v>
      </c>
      <c r="AD354" s="0" t="s">
        <v>147</v>
      </c>
      <c r="AE354" s="0" t="s">
        <v>148</v>
      </c>
      <c r="AF354" s="0" t="s">
        <v>149</v>
      </c>
      <c r="AH354" s="0" t="n">
        <v>14</v>
      </c>
      <c r="AI354" s="0" t="n">
        <v>11</v>
      </c>
      <c r="AN354" s="0" t="s">
        <v>145</v>
      </c>
      <c r="AO354" s="0" t="s">
        <v>150</v>
      </c>
      <c r="AP354" s="0" t="s">
        <v>151</v>
      </c>
      <c r="AQ354" s="0" t="n">
        <v>9</v>
      </c>
      <c r="AR354" s="0" t="n">
        <v>64</v>
      </c>
      <c r="AS354" s="0" t="n">
        <v>32</v>
      </c>
      <c r="AU354" s="0" t="n">
        <f aca="false">COUNTA($BA$532:$EH$532)</f>
        <v>35</v>
      </c>
      <c r="AV354" s="0" t="n">
        <f aca="false">COUNTIF($BA$532:$EH$532,"D")</f>
        <v>5</v>
      </c>
      <c r="AW354" s="0" t="n">
        <f aca="false">COUNTIF($BA$532:$EH$532,"R")</f>
        <v>3</v>
      </c>
      <c r="AX354" s="0" t="n">
        <f aca="false">IF(BN354="D",1,0)+IF(BO354="D",1,0)+IF(BT354="D",1,0)+IF(BU354="D",1,0)+IF(BW354="D",1,0)+IF(CC354="D",1,0)+IF(CD354="D",1,0)+IF(CE354="D",1,0)+IF(CF354="D",1,0)+IF(CL354="D",1,0)+IF(CM354="D",1,0)+IF(CQ354="D",1,0)+IF(CR354="D",1,0)+IF(CS354="D",1,0)+IF(CW354="D",1,0)+IF(CX354="D",1,0)+IF(DD354="D",1,0)+IF(DE354="D",1,0)+IF(DJ354="D",1,0)+IF(DK354="D",1,0)+IF(DO354="D",1,0)+IF(DP354="D",1,0)+IF(DQ354="D",1,0)+IF(DW354="D",1,0)+IF(DZ354="D",1,0)+IF(EH354="D",1,0)</f>
        <v>2</v>
      </c>
      <c r="AY354" s="0" t="n">
        <f aca="false">COUNTIF(DU354:EH354, "&lt;&gt;")</f>
        <v>5</v>
      </c>
      <c r="AZ354" s="0" t="n">
        <f aca="false">IF(EH354&lt;&gt;"",1,0)</f>
        <v>1</v>
      </c>
      <c r="BB354" s="0" t="s">
        <v>152</v>
      </c>
      <c r="DW354" s="0" t="s">
        <v>175</v>
      </c>
      <c r="EA354" s="0" t="s">
        <v>153</v>
      </c>
      <c r="ED354" s="0" t="s">
        <v>175</v>
      </c>
      <c r="EF354" s="0" t="s">
        <v>153</v>
      </c>
      <c r="EH354" s="0" t="s">
        <v>175</v>
      </c>
    </row>
    <row r="355" customFormat="false" ht="13.8" hidden="true" customHeight="false" outlineLevel="0" collapsed="false">
      <c r="A355" s="0" t="s">
        <v>1985</v>
      </c>
      <c r="B355" s="0" t="n">
        <v>78</v>
      </c>
      <c r="C355" s="0" t="n">
        <v>360459</v>
      </c>
      <c r="D355" s="0" t="s">
        <v>1980</v>
      </c>
      <c r="E355" s="0" t="s">
        <v>224</v>
      </c>
      <c r="F355" s="0" t="str">
        <f aca="false">CONCATENATE(D355," ",LEFT(H355,4),"T=",AU355,"D=",AV355,"R=",AW355,"M=",AX355,"L=",AY355,"B=",AZ355)</f>
        <v>CONDE T=15D=0R=0M=0L=0B=0</v>
      </c>
      <c r="G355" s="0" t="s">
        <v>202</v>
      </c>
      <c r="I355" s="0" t="s">
        <v>1986</v>
      </c>
      <c r="J355" s="0" t="s">
        <v>1987</v>
      </c>
      <c r="K355" s="0" t="s">
        <v>143</v>
      </c>
      <c r="M355" s="0" t="s">
        <v>1984</v>
      </c>
      <c r="N355" s="0" t="str">
        <f aca="false">RIGHT(M355,LEN(M355)-FIND(" ",M355))</f>
        <v>CHARLES AVE SE</v>
      </c>
      <c r="P355" s="0" t="s">
        <v>145</v>
      </c>
      <c r="Q355" s="0" t="s">
        <v>146</v>
      </c>
      <c r="R355" s="0" t="n">
        <v>44483</v>
      </c>
      <c r="AD355" s="0" t="s">
        <v>147</v>
      </c>
      <c r="AE355" s="0" t="s">
        <v>148</v>
      </c>
      <c r="AF355" s="0" t="s">
        <v>149</v>
      </c>
      <c r="AH355" s="0" t="n">
        <v>14</v>
      </c>
      <c r="AI355" s="0" t="n">
        <v>11</v>
      </c>
      <c r="AN355" s="0" t="s">
        <v>145</v>
      </c>
      <c r="AO355" s="0" t="s">
        <v>150</v>
      </c>
      <c r="AP355" s="0" t="s">
        <v>151</v>
      </c>
      <c r="AQ355" s="0" t="n">
        <v>9</v>
      </c>
      <c r="AR355" s="0" t="n">
        <v>64</v>
      </c>
      <c r="AS355" s="0" t="n">
        <v>32</v>
      </c>
      <c r="AU355" s="0" t="n">
        <f aca="false">COUNTA($BA$648:$EH$648)</f>
        <v>15</v>
      </c>
      <c r="AV355" s="0" t="n">
        <f aca="false">COUNTIF($BA$648:$EH$648,"D")</f>
        <v>0</v>
      </c>
      <c r="AW355" s="0" t="n">
        <f aca="false">COUNTIF($BA$648:$EH$648,"R")</f>
        <v>0</v>
      </c>
      <c r="AX355" s="0" t="n">
        <f aca="false">IF(BN355="D",1,0)+IF(BO355="D",1,0)+IF(BT355="D",1,0)+IF(BU355="D",1,0)+IF(BW355="D",1,0)+IF(CC355="D",1,0)+IF(CD355="D",1,0)+IF(CE355="D",1,0)+IF(CF355="D",1,0)+IF(CL355="D",1,0)+IF(CM355="D",1,0)+IF(CQ355="D",1,0)+IF(CR355="D",1,0)+IF(CS355="D",1,0)+IF(CW355="D",1,0)+IF(CX355="D",1,0)+IF(DD355="D",1,0)+IF(DE355="D",1,0)+IF(DJ355="D",1,0)+IF(DK355="D",1,0)+IF(DO355="D",1,0)+IF(DP355="D",1,0)+IF(DQ355="D",1,0)+IF(DW355="D",1,0)+IF(DZ355="D",1,0)+IF(EH355="D",1,0)</f>
        <v>0</v>
      </c>
      <c r="AY355" s="0" t="n">
        <f aca="false">COUNTIF(DU355:EH355, "&lt;&gt;")</f>
        <v>0</v>
      </c>
      <c r="AZ355" s="0" t="n">
        <f aca="false">IF(EH355&lt;&gt;"",1,0)</f>
        <v>0</v>
      </c>
      <c r="BB355" s="0" t="s">
        <v>152</v>
      </c>
    </row>
    <row r="356" customFormat="false" ht="13.8" hidden="false" customHeight="false" outlineLevel="0" collapsed="false">
      <c r="A356" s="0" t="s">
        <v>1988</v>
      </c>
      <c r="B356" s="0" t="n">
        <v>78</v>
      </c>
      <c r="C356" s="0" t="n">
        <v>332858</v>
      </c>
      <c r="D356" s="0" t="s">
        <v>1980</v>
      </c>
      <c r="E356" s="0" t="s">
        <v>789</v>
      </c>
      <c r="F356" s="0" t="str">
        <f aca="false">CONCATENATE(D356," ",LEFT(H356,4),"T=",AU356,"D=",AV356,"R=",AW356,"M=",AX356,"L=",AY356,"B=",AZ356)</f>
        <v>CONDE T=17D=1R=0M=2L=4B=0</v>
      </c>
      <c r="I356" s="0" t="s">
        <v>1989</v>
      </c>
      <c r="J356" s="0" t="s">
        <v>1990</v>
      </c>
      <c r="K356" s="0" t="s">
        <v>160</v>
      </c>
      <c r="L356" s="0" t="s">
        <v>175</v>
      </c>
      <c r="M356" s="0" t="s">
        <v>1984</v>
      </c>
      <c r="N356" s="0" t="str">
        <f aca="false">RIGHT(M356,LEN(M356)-FIND(" ",M356))</f>
        <v>CHARLES AVE SE</v>
      </c>
      <c r="P356" s="0" t="s">
        <v>145</v>
      </c>
      <c r="Q356" s="0" t="s">
        <v>146</v>
      </c>
      <c r="R356" s="0" t="n">
        <v>44483</v>
      </c>
      <c r="AD356" s="0" t="s">
        <v>147</v>
      </c>
      <c r="AE356" s="0" t="s">
        <v>148</v>
      </c>
      <c r="AF356" s="0" t="s">
        <v>149</v>
      </c>
      <c r="AH356" s="0" t="n">
        <v>14</v>
      </c>
      <c r="AI356" s="0" t="n">
        <v>11</v>
      </c>
      <c r="AN356" s="0" t="s">
        <v>145</v>
      </c>
      <c r="AO356" s="0" t="s">
        <v>150</v>
      </c>
      <c r="AP356" s="0" t="s">
        <v>151</v>
      </c>
      <c r="AQ356" s="0" t="n">
        <v>9</v>
      </c>
      <c r="AR356" s="0" t="n">
        <v>64</v>
      </c>
      <c r="AS356" s="0" t="n">
        <v>32</v>
      </c>
      <c r="AU356" s="0" t="n">
        <f aca="false">COUNTA($BA$735:$EH$735)</f>
        <v>17</v>
      </c>
      <c r="AV356" s="0" t="n">
        <f aca="false">COUNTIF($BA$735:$EH$735,"D")</f>
        <v>1</v>
      </c>
      <c r="AW356" s="0" t="n">
        <f aca="false">COUNTIF($BA$735:$EH$735,"R")</f>
        <v>0</v>
      </c>
      <c r="AX356" s="0" t="n">
        <f aca="false">IF(BN356="D",1,0)+IF(BO356="D",1,0)+IF(BT356="D",1,0)+IF(BU356="D",1,0)+IF(BW356="D",1,0)+IF(CC356="D",1,0)+IF(CD356="D",1,0)+IF(CE356="D",1,0)+IF(CF356="D",1,0)+IF(CL356="D",1,0)+IF(CM356="D",1,0)+IF(CQ356="D",1,0)+IF(CR356="D",1,0)+IF(CS356="D",1,0)+IF(CW356="D",1,0)+IF(CX356="D",1,0)+IF(DD356="D",1,0)+IF(DE356="D",1,0)+IF(DJ356="D",1,0)+IF(DK356="D",1,0)+IF(DO356="D",1,0)+IF(DP356="D",1,0)+IF(DQ356="D",1,0)+IF(DW356="D",1,0)+IF(DZ356="D",1,0)+IF(EH356="D",1,0)</f>
        <v>2</v>
      </c>
      <c r="AY356" s="0" t="n">
        <f aca="false">COUNTIF(DU356:EH356, "&lt;&gt;")</f>
        <v>4</v>
      </c>
      <c r="AZ356" s="0" t="n">
        <f aca="false">IF(EH356&lt;&gt;"",1,0)</f>
        <v>0</v>
      </c>
      <c r="BB356" s="0" t="s">
        <v>152</v>
      </c>
      <c r="BL356" s="0" t="s">
        <v>153</v>
      </c>
      <c r="BS356" s="0" t="s">
        <v>153</v>
      </c>
      <c r="BY356" s="0" t="s">
        <v>175</v>
      </c>
      <c r="CA356" s="0" t="s">
        <v>153</v>
      </c>
      <c r="CK356" s="0" t="s">
        <v>153</v>
      </c>
      <c r="CN356" s="0" t="s">
        <v>153</v>
      </c>
      <c r="CP356" s="0" t="s">
        <v>153</v>
      </c>
      <c r="CY356" s="0" t="s">
        <v>153</v>
      </c>
      <c r="CZ356" s="0" t="s">
        <v>175</v>
      </c>
      <c r="DC356" s="0" t="s">
        <v>153</v>
      </c>
      <c r="DD356" s="0" t="s">
        <v>175</v>
      </c>
      <c r="DI356" s="0" t="s">
        <v>153</v>
      </c>
      <c r="DL356" s="0" t="s">
        <v>153</v>
      </c>
      <c r="DN356" s="0" t="s">
        <v>153</v>
      </c>
      <c r="DR356" s="0" t="s">
        <v>153</v>
      </c>
      <c r="DS356" s="0" t="s">
        <v>209</v>
      </c>
      <c r="DU356" s="0" t="s">
        <v>153</v>
      </c>
      <c r="DW356" s="0" t="s">
        <v>175</v>
      </c>
      <c r="DX356" s="0" t="s">
        <v>153</v>
      </c>
      <c r="EF356" s="0" t="s">
        <v>153</v>
      </c>
    </row>
    <row r="357" customFormat="false" ht="13.8" hidden="true" customHeight="false" outlineLevel="0" collapsed="false">
      <c r="A357" s="0" t="s">
        <v>1991</v>
      </c>
      <c r="B357" s="0" t="n">
        <v>78</v>
      </c>
      <c r="C357" s="0" t="n">
        <v>456049</v>
      </c>
      <c r="D357" s="0" t="s">
        <v>1992</v>
      </c>
      <c r="E357" s="0" t="s">
        <v>789</v>
      </c>
      <c r="F357" s="0" t="str">
        <f aca="false">CONCATENATE(D357," ",LEFT(H357,4),"T=",AU357,"D=",AV357,"R=",AW357,"M=",AX357,"L=",AY357,"B=",AZ357)</f>
        <v>LAVIGNE T=7D=2R=0M=0L=1B=0</v>
      </c>
      <c r="G357" s="0" t="s">
        <v>157</v>
      </c>
      <c r="I357" s="0" t="s">
        <v>1993</v>
      </c>
      <c r="J357" s="0" t="s">
        <v>1994</v>
      </c>
      <c r="K357" s="0" t="s">
        <v>160</v>
      </c>
      <c r="M357" s="0" t="s">
        <v>1995</v>
      </c>
      <c r="N357" s="0" t="str">
        <f aca="false">RIGHT(M357,LEN(M357)-FIND(" ",M357))</f>
        <v>CHARLES AVE SE</v>
      </c>
      <c r="P357" s="0" t="s">
        <v>145</v>
      </c>
      <c r="Q357" s="0" t="s">
        <v>146</v>
      </c>
      <c r="R357" s="0" t="n">
        <v>44483</v>
      </c>
      <c r="AD357" s="0" t="s">
        <v>147</v>
      </c>
      <c r="AE357" s="0" t="s">
        <v>148</v>
      </c>
      <c r="AF357" s="0" t="s">
        <v>149</v>
      </c>
      <c r="AH357" s="0" t="n">
        <v>14</v>
      </c>
      <c r="AI357" s="0" t="n">
        <v>11</v>
      </c>
      <c r="AN357" s="0" t="s">
        <v>145</v>
      </c>
      <c r="AO357" s="0" t="s">
        <v>150</v>
      </c>
      <c r="AP357" s="0" t="s">
        <v>151</v>
      </c>
      <c r="AQ357" s="0" t="n">
        <v>9</v>
      </c>
      <c r="AR357" s="0" t="n">
        <v>64</v>
      </c>
      <c r="AS357" s="0" t="n">
        <v>32</v>
      </c>
      <c r="AU357" s="0" t="n">
        <f aca="false">COUNTA($BA$214:$EH$214)</f>
        <v>7</v>
      </c>
      <c r="AV357" s="0" t="n">
        <f aca="false">COUNTIF($BA$214:$EH$214,"D")</f>
        <v>2</v>
      </c>
      <c r="AW357" s="0" t="n">
        <f aca="false">COUNTIF($BA$214:$EH$214,"R")</f>
        <v>0</v>
      </c>
      <c r="AX357" s="0" t="n">
        <f aca="false">IF(BN357="D",1,0)+IF(BO357="D",1,0)+IF(BT357="D",1,0)+IF(BU357="D",1,0)+IF(BW357="D",1,0)+IF(CC357="D",1,0)+IF(CD357="D",1,0)+IF(CE357="D",1,0)+IF(CF357="D",1,0)+IF(CL357="D",1,0)+IF(CM357="D",1,0)+IF(CQ357="D",1,0)+IF(CR357="D",1,0)+IF(CS357="D",1,0)+IF(CW357="D",1,0)+IF(CX357="D",1,0)+IF(DD357="D",1,0)+IF(DE357="D",1,0)+IF(DJ357="D",1,0)+IF(DK357="D",1,0)+IF(DO357="D",1,0)+IF(DP357="D",1,0)+IF(DQ357="D",1,0)+IF(DW357="D",1,0)+IF(DZ357="D",1,0)+IF(EH357="D",1,0)</f>
        <v>0</v>
      </c>
      <c r="AY357" s="0" t="n">
        <f aca="false">COUNTIF(DU357:EH357, "&lt;&gt;")</f>
        <v>1</v>
      </c>
      <c r="AZ357" s="0" t="n">
        <f aca="false">IF(EH357&lt;&gt;"",1,0)</f>
        <v>0</v>
      </c>
      <c r="BB357" s="0" t="s">
        <v>152</v>
      </c>
      <c r="EF357" s="0" t="s">
        <v>153</v>
      </c>
    </row>
    <row r="358" customFormat="false" ht="13.8" hidden="true" customHeight="false" outlineLevel="0" collapsed="false">
      <c r="A358" s="0" t="s">
        <v>1996</v>
      </c>
      <c r="B358" s="0" t="n">
        <v>78</v>
      </c>
      <c r="C358" s="0" t="n">
        <v>487045</v>
      </c>
      <c r="D358" s="0" t="s">
        <v>1997</v>
      </c>
      <c r="E358" s="0" t="s">
        <v>1998</v>
      </c>
      <c r="F358" s="0" t="str">
        <f aca="false">CONCATENATE(D358," ",LEFT(H358,4),"T=",AU358,"D=",AV358,"R=",AW358,"M=",AX358,"L=",AY358,"B=",AZ358)</f>
        <v>BARTLETT T=10D=1R=0M=0L=1B=0</v>
      </c>
      <c r="I358" s="0" t="s">
        <v>1999</v>
      </c>
      <c r="J358" s="0" t="s">
        <v>782</v>
      </c>
      <c r="K358" s="0" t="s">
        <v>160</v>
      </c>
      <c r="M358" s="0" t="s">
        <v>1995</v>
      </c>
      <c r="N358" s="0" t="str">
        <f aca="false">RIGHT(M358,LEN(M358)-FIND(" ",M358))</f>
        <v>CHARLES AVE SE</v>
      </c>
      <c r="P358" s="0" t="s">
        <v>145</v>
      </c>
      <c r="Q358" s="0" t="s">
        <v>146</v>
      </c>
      <c r="R358" s="0" t="n">
        <v>44483</v>
      </c>
      <c r="AD358" s="0" t="s">
        <v>147</v>
      </c>
      <c r="AE358" s="0" t="s">
        <v>148</v>
      </c>
      <c r="AF358" s="0" t="s">
        <v>149</v>
      </c>
      <c r="AH358" s="0" t="n">
        <v>14</v>
      </c>
      <c r="AI358" s="0" t="n">
        <v>11</v>
      </c>
      <c r="AN358" s="0" t="s">
        <v>145</v>
      </c>
      <c r="AO358" s="0" t="s">
        <v>150</v>
      </c>
      <c r="AP358" s="0" t="s">
        <v>151</v>
      </c>
      <c r="AQ358" s="0" t="n">
        <v>9</v>
      </c>
      <c r="AR358" s="0" t="n">
        <v>64</v>
      </c>
      <c r="AS358" s="0" t="n">
        <v>32</v>
      </c>
      <c r="AU358" s="0" t="n">
        <f aca="false">COUNTA($BA$288:$EH$288)</f>
        <v>10</v>
      </c>
      <c r="AV358" s="0" t="n">
        <f aca="false">COUNTIF($BA$288:$EH$288,"D")</f>
        <v>1</v>
      </c>
      <c r="AW358" s="0" t="n">
        <f aca="false">COUNTIF($BA$288:$EH$288,"R")</f>
        <v>0</v>
      </c>
      <c r="AX358" s="0" t="n">
        <f aca="false">IF(BN358="D",1,0)+IF(BO358="D",1,0)+IF(BT358="D",1,0)+IF(BU358="D",1,0)+IF(BW358="D",1,0)+IF(CC358="D",1,0)+IF(CD358="D",1,0)+IF(CE358="D",1,0)+IF(CF358="D",1,0)+IF(CL358="D",1,0)+IF(CM358="D",1,0)+IF(CQ358="D",1,0)+IF(CR358="D",1,0)+IF(CS358="D",1,0)+IF(CW358="D",1,0)+IF(CX358="D",1,0)+IF(DD358="D",1,0)+IF(DE358="D",1,0)+IF(DJ358="D",1,0)+IF(DK358="D",1,0)+IF(DO358="D",1,0)+IF(DP358="D",1,0)+IF(DQ358="D",1,0)+IF(DW358="D",1,0)+IF(DZ358="D",1,0)+IF(EH358="D",1,0)</f>
        <v>0</v>
      </c>
      <c r="AY358" s="0" t="n">
        <f aca="false">COUNTIF(DU358:EH358, "&lt;&gt;")</f>
        <v>1</v>
      </c>
      <c r="AZ358" s="0" t="n">
        <f aca="false">IF(EH358&lt;&gt;"",1,0)</f>
        <v>0</v>
      </c>
      <c r="BB358" s="0" t="s">
        <v>152</v>
      </c>
      <c r="EF358" s="0" t="s">
        <v>153</v>
      </c>
    </row>
    <row r="359" customFormat="false" ht="13.8" hidden="false" customHeight="false" outlineLevel="0" collapsed="false">
      <c r="A359" s="0" t="s">
        <v>2000</v>
      </c>
      <c r="B359" s="0" t="n">
        <v>78</v>
      </c>
      <c r="C359" s="0" t="n">
        <v>439959</v>
      </c>
      <c r="D359" s="0" t="s">
        <v>1997</v>
      </c>
      <c r="E359" s="0" t="s">
        <v>2001</v>
      </c>
      <c r="F359" s="0" t="str">
        <f aca="false">CONCATENATE(D359," ",LEFT(H359,4),"T=",AU359,"D=",AV359,"R=",AW359,"M=",AX359,"L=",AY359,"B=",AZ359)</f>
        <v>BARTLETT T=14D=1R=0M=0L=5B=0</v>
      </c>
      <c r="G359" s="0" t="s">
        <v>939</v>
      </c>
      <c r="I359" s="0" t="s">
        <v>2002</v>
      </c>
      <c r="J359" s="0" t="s">
        <v>2003</v>
      </c>
      <c r="K359" s="0" t="s">
        <v>160</v>
      </c>
      <c r="L359" s="0" t="s">
        <v>175</v>
      </c>
      <c r="M359" s="0" t="s">
        <v>1995</v>
      </c>
      <c r="N359" s="0" t="str">
        <f aca="false">RIGHT(M359,LEN(M359)-FIND(" ",M359))</f>
        <v>CHARLES AVE SE</v>
      </c>
      <c r="P359" s="0" t="s">
        <v>145</v>
      </c>
      <c r="Q359" s="0" t="s">
        <v>146</v>
      </c>
      <c r="R359" s="0" t="n">
        <v>44483</v>
      </c>
      <c r="AD359" s="0" t="s">
        <v>147</v>
      </c>
      <c r="AE359" s="0" t="s">
        <v>148</v>
      </c>
      <c r="AF359" s="0" t="s">
        <v>149</v>
      </c>
      <c r="AH359" s="0" t="n">
        <v>14</v>
      </c>
      <c r="AI359" s="0" t="n">
        <v>11</v>
      </c>
      <c r="AN359" s="0" t="s">
        <v>145</v>
      </c>
      <c r="AO359" s="0" t="s">
        <v>150</v>
      </c>
      <c r="AP359" s="0" t="s">
        <v>151</v>
      </c>
      <c r="AQ359" s="0" t="n">
        <v>9</v>
      </c>
      <c r="AR359" s="0" t="n">
        <v>64</v>
      </c>
      <c r="AS359" s="0" t="n">
        <v>32</v>
      </c>
      <c r="AU359" s="0" t="n">
        <f aca="false">COUNTA($BA$731:$EH$731)</f>
        <v>14</v>
      </c>
      <c r="AV359" s="0" t="n">
        <f aca="false">COUNTIF($BA$731:$EH$731,"D")</f>
        <v>1</v>
      </c>
      <c r="AW359" s="0" t="n">
        <f aca="false">COUNTIF($BA$731:$EH$731,"R")</f>
        <v>0</v>
      </c>
      <c r="AX359" s="0" t="n">
        <f aca="false">IF(BN359="D",1,0)+IF(BO359="D",1,0)+IF(BT359="D",1,0)+IF(BU359="D",1,0)+IF(BW359="D",1,0)+IF(CC359="D",1,0)+IF(CD359="D",1,0)+IF(CE359="D",1,0)+IF(CF359="D",1,0)+IF(CL359="D",1,0)+IF(CM359="D",1,0)+IF(CQ359="D",1,0)+IF(CR359="D",1,0)+IF(CS359="D",1,0)+IF(CW359="D",1,0)+IF(CX359="D",1,0)+IF(DD359="D",1,0)+IF(DE359="D",1,0)+IF(DJ359="D",1,0)+IF(DK359="D",1,0)+IF(DO359="D",1,0)+IF(DP359="D",1,0)+IF(DQ359="D",1,0)+IF(DW359="D",1,0)+IF(DZ359="D",1,0)+IF(EH359="D",1,0)</f>
        <v>0</v>
      </c>
      <c r="AY359" s="0" t="n">
        <f aca="false">COUNTIF(DU359:EH359, "&lt;&gt;")</f>
        <v>5</v>
      </c>
      <c r="AZ359" s="0" t="n">
        <f aca="false">IF(EH359&lt;&gt;"",1,0)</f>
        <v>0</v>
      </c>
      <c r="BB359" s="0" t="s">
        <v>152</v>
      </c>
      <c r="DN359" s="0" t="s">
        <v>153</v>
      </c>
      <c r="DS359" s="0" t="s">
        <v>175</v>
      </c>
      <c r="DT359" s="0" t="s">
        <v>175</v>
      </c>
      <c r="DU359" s="0" t="s">
        <v>153</v>
      </c>
      <c r="DX359" s="0" t="s">
        <v>153</v>
      </c>
      <c r="EA359" s="0" t="s">
        <v>153</v>
      </c>
      <c r="ED359" s="0" t="s">
        <v>175</v>
      </c>
      <c r="EF359" s="0" t="s">
        <v>153</v>
      </c>
    </row>
    <row r="360" customFormat="false" ht="13.8" hidden="true" customHeight="false" outlineLevel="0" collapsed="false">
      <c r="A360" s="0" t="s">
        <v>2004</v>
      </c>
      <c r="B360" s="0" t="n">
        <v>78</v>
      </c>
      <c r="C360" s="0" t="n">
        <v>291806</v>
      </c>
      <c r="D360" s="0" t="s">
        <v>642</v>
      </c>
      <c r="E360" s="0" t="s">
        <v>2005</v>
      </c>
      <c r="F360" s="0" t="str">
        <f aca="false">CONCATENATE(D360," ",LEFT(H360,4),"T=",AU360,"D=",AV360,"R=",AW360,"M=",AX360,"L=",AY360,"B=",AZ360)</f>
        <v>MILLS T=4D=0R=0M=0L=1B=0</v>
      </c>
      <c r="I360" s="0" t="s">
        <v>2006</v>
      </c>
      <c r="J360" s="0" t="s">
        <v>2007</v>
      </c>
      <c r="K360" s="0" t="s">
        <v>160</v>
      </c>
      <c r="M360" s="0" t="s">
        <v>2008</v>
      </c>
      <c r="N360" s="0" t="str">
        <f aca="false">RIGHT(M360,LEN(M360)-FIND(" ",M360))</f>
        <v>CHARLES AVE SE</v>
      </c>
      <c r="P360" s="0" t="s">
        <v>145</v>
      </c>
      <c r="Q360" s="0" t="s">
        <v>146</v>
      </c>
      <c r="R360" s="0" t="n">
        <v>44483</v>
      </c>
      <c r="AD360" s="0" t="s">
        <v>147</v>
      </c>
      <c r="AE360" s="0" t="s">
        <v>148</v>
      </c>
      <c r="AF360" s="0" t="s">
        <v>149</v>
      </c>
      <c r="AH360" s="0" t="n">
        <v>14</v>
      </c>
      <c r="AI360" s="0" t="n">
        <v>11</v>
      </c>
      <c r="AN360" s="0" t="s">
        <v>145</v>
      </c>
      <c r="AO360" s="0" t="s">
        <v>150</v>
      </c>
      <c r="AP360" s="0" t="s">
        <v>151</v>
      </c>
      <c r="AQ360" s="0" t="n">
        <v>9</v>
      </c>
      <c r="AR360" s="0" t="n">
        <v>64</v>
      </c>
      <c r="AS360" s="0" t="n">
        <v>32</v>
      </c>
      <c r="AU360" s="0" t="n">
        <f aca="false">COUNTA($BA$386:$EH$386)</f>
        <v>4</v>
      </c>
      <c r="AV360" s="0" t="n">
        <f aca="false">COUNTIF($BA$386:$EH$386,"D")</f>
        <v>0</v>
      </c>
      <c r="AW360" s="0" t="n">
        <f aca="false">COUNTIF($BA$386:$EH$386,"R")</f>
        <v>0</v>
      </c>
      <c r="AX360" s="0" t="n">
        <f aca="false">IF(BN360="D",1,0)+IF(BO360="D",1,0)+IF(BT360="D",1,0)+IF(BU360="D",1,0)+IF(BW360="D",1,0)+IF(CC360="D",1,0)+IF(CD360="D",1,0)+IF(CE360="D",1,0)+IF(CF360="D",1,0)+IF(CL360="D",1,0)+IF(CM360="D",1,0)+IF(CQ360="D",1,0)+IF(CR360="D",1,0)+IF(CS360="D",1,0)+IF(CW360="D",1,0)+IF(CX360="D",1,0)+IF(DD360="D",1,0)+IF(DE360="D",1,0)+IF(DJ360="D",1,0)+IF(DK360="D",1,0)+IF(DO360="D",1,0)+IF(DP360="D",1,0)+IF(DQ360="D",1,0)+IF(DW360="D",1,0)+IF(DZ360="D",1,0)+IF(EH360="D",1,0)</f>
        <v>0</v>
      </c>
      <c r="AY360" s="0" t="n">
        <f aca="false">COUNTIF(DU360:EH360, "&lt;&gt;")</f>
        <v>1</v>
      </c>
      <c r="AZ360" s="0" t="n">
        <f aca="false">IF(EH360&lt;&gt;"",1,0)</f>
        <v>0</v>
      </c>
      <c r="BB360" s="0" t="s">
        <v>152</v>
      </c>
      <c r="BD360" s="0" t="s">
        <v>153</v>
      </c>
      <c r="BL360" s="0" t="s">
        <v>153</v>
      </c>
      <c r="BS360" s="0" t="s">
        <v>153</v>
      </c>
      <c r="BY360" s="0" t="s">
        <v>175</v>
      </c>
      <c r="CA360" s="0" t="s">
        <v>153</v>
      </c>
      <c r="CN360" s="0" t="s">
        <v>153</v>
      </c>
      <c r="CP360" s="0" t="s">
        <v>153</v>
      </c>
      <c r="DI360" s="0" t="s">
        <v>153</v>
      </c>
      <c r="DN360" s="0" t="s">
        <v>153</v>
      </c>
      <c r="DX360" s="0" t="s">
        <v>153</v>
      </c>
    </row>
    <row r="361" customFormat="false" ht="13.8" hidden="false" customHeight="false" outlineLevel="0" collapsed="false">
      <c r="A361" s="0" t="s">
        <v>2009</v>
      </c>
      <c r="B361" s="0" t="n">
        <v>78</v>
      </c>
      <c r="C361" s="0" t="n">
        <v>406523</v>
      </c>
      <c r="D361" s="0" t="s">
        <v>642</v>
      </c>
      <c r="E361" s="0" t="s">
        <v>1704</v>
      </c>
      <c r="F361" s="0" t="str">
        <f aca="false">CONCATENATE(D361," ",LEFT(H361,4),"T=",AU361,"D=",AV361,"R=",AW361,"M=",AX361,"L=",AY361,"B=",AZ361)</f>
        <v>MILLS T=4D=0R=0M=0L=2B=0</v>
      </c>
      <c r="G361" s="0" t="s">
        <v>209</v>
      </c>
      <c r="I361" s="0" t="s">
        <v>2010</v>
      </c>
      <c r="J361" s="0" t="s">
        <v>2007</v>
      </c>
      <c r="K361" s="0" t="s">
        <v>160</v>
      </c>
      <c r="M361" s="0" t="s">
        <v>2008</v>
      </c>
      <c r="N361" s="0" t="str">
        <f aca="false">RIGHT(M361,LEN(M361)-FIND(" ",M361))</f>
        <v>CHARLES AVE SE</v>
      </c>
      <c r="P361" s="0" t="s">
        <v>145</v>
      </c>
      <c r="Q361" s="0" t="s">
        <v>146</v>
      </c>
      <c r="R361" s="0" t="n">
        <v>44483</v>
      </c>
      <c r="AD361" s="0" t="s">
        <v>147</v>
      </c>
      <c r="AE361" s="0" t="s">
        <v>148</v>
      </c>
      <c r="AF361" s="0" t="s">
        <v>149</v>
      </c>
      <c r="AH361" s="0" t="n">
        <v>14</v>
      </c>
      <c r="AI361" s="0" t="n">
        <v>11</v>
      </c>
      <c r="AN361" s="0" t="s">
        <v>145</v>
      </c>
      <c r="AO361" s="0" t="s">
        <v>150</v>
      </c>
      <c r="AP361" s="0" t="s">
        <v>151</v>
      </c>
      <c r="AQ361" s="0" t="n">
        <v>9</v>
      </c>
      <c r="AR361" s="0" t="n">
        <v>64</v>
      </c>
      <c r="AS361" s="0" t="n">
        <v>32</v>
      </c>
      <c r="AU361" s="0" t="n">
        <f aca="false">COUNTA($BA$460:$EH$460)</f>
        <v>4</v>
      </c>
      <c r="AV361" s="0" t="n">
        <f aca="false">COUNTIF($BA$460:$EH$460,"D")</f>
        <v>0</v>
      </c>
      <c r="AW361" s="0" t="n">
        <f aca="false">COUNTIF($BA$460:$EH$460,"R")</f>
        <v>0</v>
      </c>
      <c r="AX361" s="0" t="n">
        <f aca="false">IF(BN361="D",1,0)+IF(BO361="D",1,0)+IF(BT361="D",1,0)+IF(BU361="D",1,0)+IF(BW361="D",1,0)+IF(CC361="D",1,0)+IF(CD361="D",1,0)+IF(CE361="D",1,0)+IF(CF361="D",1,0)+IF(CL361="D",1,0)+IF(CM361="D",1,0)+IF(CQ361="D",1,0)+IF(CR361="D",1,0)+IF(CS361="D",1,0)+IF(CW361="D",1,0)+IF(CX361="D",1,0)+IF(DD361="D",1,0)+IF(DE361="D",1,0)+IF(DJ361="D",1,0)+IF(DK361="D",1,0)+IF(DO361="D",1,0)+IF(DP361="D",1,0)+IF(DQ361="D",1,0)+IF(DW361="D",1,0)+IF(DZ361="D",1,0)+IF(EH361="D",1,0)</f>
        <v>0</v>
      </c>
      <c r="AY361" s="0" t="n">
        <f aca="false">COUNTIF(DU361:EH361, "&lt;&gt;")</f>
        <v>2</v>
      </c>
      <c r="AZ361" s="0" t="n">
        <f aca="false">IF(EH361&lt;&gt;"",1,0)</f>
        <v>0</v>
      </c>
      <c r="BB361" s="0" t="s">
        <v>152</v>
      </c>
      <c r="CY361" s="0" t="s">
        <v>153</v>
      </c>
      <c r="DI361" s="0" t="s">
        <v>153</v>
      </c>
      <c r="DN361" s="0" t="s">
        <v>153</v>
      </c>
      <c r="EA361" s="0" t="s">
        <v>153</v>
      </c>
      <c r="EF361" s="0" t="s">
        <v>153</v>
      </c>
    </row>
    <row r="362" customFormat="false" ht="13.8" hidden="true" customHeight="false" outlineLevel="0" collapsed="false">
      <c r="A362" s="0" t="s">
        <v>2011</v>
      </c>
      <c r="B362" s="0" t="n">
        <v>78</v>
      </c>
      <c r="C362" s="0" t="n">
        <v>356084</v>
      </c>
      <c r="D362" s="0" t="s">
        <v>2012</v>
      </c>
      <c r="E362" s="0" t="s">
        <v>2013</v>
      </c>
      <c r="F362" s="0" t="str">
        <f aca="false">CONCATENATE(D362," ",LEFT(H362,4),"T=",AU362,"D=",AV362,"R=",AW362,"M=",AX362,"L=",AY362,"B=",AZ362)</f>
        <v>BANJACK T=26D=2R=3M=0L=0B=0</v>
      </c>
      <c r="G362" s="0" t="s">
        <v>770</v>
      </c>
      <c r="I362" s="0" t="s">
        <v>2014</v>
      </c>
      <c r="J362" s="0" t="s">
        <v>2015</v>
      </c>
      <c r="K362" s="0" t="s">
        <v>160</v>
      </c>
      <c r="M362" s="0" t="s">
        <v>2016</v>
      </c>
      <c r="N362" s="0" t="str">
        <f aca="false">RIGHT(M362,LEN(M362)-FIND(" ",M362))</f>
        <v>CHARLES AVE SE</v>
      </c>
      <c r="P362" s="0" t="s">
        <v>145</v>
      </c>
      <c r="Q362" s="0" t="s">
        <v>146</v>
      </c>
      <c r="R362" s="0" t="n">
        <v>44483</v>
      </c>
      <c r="AD362" s="0" t="s">
        <v>147</v>
      </c>
      <c r="AE362" s="0" t="s">
        <v>148</v>
      </c>
      <c r="AF362" s="0" t="s">
        <v>149</v>
      </c>
      <c r="AH362" s="0" t="n">
        <v>14</v>
      </c>
      <c r="AI362" s="0" t="n">
        <v>11</v>
      </c>
      <c r="AN362" s="0" t="s">
        <v>145</v>
      </c>
      <c r="AO362" s="0" t="s">
        <v>150</v>
      </c>
      <c r="AP362" s="0" t="s">
        <v>151</v>
      </c>
      <c r="AQ362" s="0" t="n">
        <v>9</v>
      </c>
      <c r="AR362" s="0" t="n">
        <v>64</v>
      </c>
      <c r="AS362" s="0" t="n">
        <v>32</v>
      </c>
      <c r="AU362" s="0" t="n">
        <f aca="false">COUNTA($BA$322:$EH$322)</f>
        <v>26</v>
      </c>
      <c r="AV362" s="0" t="n">
        <f aca="false">COUNTIF($BA$322:$EH$322,"D")</f>
        <v>2</v>
      </c>
      <c r="AW362" s="0" t="n">
        <f aca="false">COUNTIF($BA$322:$EH$322,"R")</f>
        <v>3</v>
      </c>
      <c r="AX362" s="0" t="n">
        <f aca="false">IF(BN362="D",1,0)+IF(BO362="D",1,0)+IF(BT362="D",1,0)+IF(BU362="D",1,0)+IF(BW362="D",1,0)+IF(CC362="D",1,0)+IF(CD362="D",1,0)+IF(CE362="D",1,0)+IF(CF362="D",1,0)+IF(CL362="D",1,0)+IF(CM362="D",1,0)+IF(CQ362="D",1,0)+IF(CR362="D",1,0)+IF(CS362="D",1,0)+IF(CW362="D",1,0)+IF(CX362="D",1,0)+IF(DD362="D",1,0)+IF(DE362="D",1,0)+IF(DJ362="D",1,0)+IF(DK362="D",1,0)+IF(DO362="D",1,0)+IF(DP362="D",1,0)+IF(DQ362="D",1,0)+IF(DW362="D",1,0)+IF(DZ362="D",1,0)+IF(EH362="D",1,0)</f>
        <v>0</v>
      </c>
      <c r="AY362" s="0" t="n">
        <f aca="false">COUNTIF(DU362:EH362, "&lt;&gt;")</f>
        <v>0</v>
      </c>
      <c r="AZ362" s="0" t="n">
        <f aca="false">IF(EH362&lt;&gt;"",1,0)</f>
        <v>0</v>
      </c>
      <c r="BB362" s="0" t="s">
        <v>152</v>
      </c>
      <c r="CA362" s="0" t="s">
        <v>153</v>
      </c>
      <c r="CG362" s="0" t="s">
        <v>153</v>
      </c>
      <c r="CP362" s="0" t="s">
        <v>153</v>
      </c>
    </row>
    <row r="363" customFormat="false" ht="13.8" hidden="true" customHeight="false" outlineLevel="0" collapsed="false">
      <c r="A363" s="0" t="s">
        <v>2017</v>
      </c>
      <c r="B363" s="0" t="n">
        <v>78</v>
      </c>
      <c r="C363" s="0" t="n">
        <v>14047</v>
      </c>
      <c r="D363" s="0" t="s">
        <v>2018</v>
      </c>
      <c r="E363" s="0" t="s">
        <v>628</v>
      </c>
      <c r="F363" s="0" t="str">
        <f aca="false">CONCATENATE(D363," ",LEFT(H363,4),"T=",AU363,"D=",AV363,"R=",AW363,"M=",AX363,"L=",AY363,"B=",AZ363)</f>
        <v>ECONOMOS T=1D=0R=0M=4L=1B=0</v>
      </c>
      <c r="I363" s="0" t="s">
        <v>2019</v>
      </c>
      <c r="J363" s="0" t="s">
        <v>2020</v>
      </c>
      <c r="K363" s="0" t="s">
        <v>160</v>
      </c>
      <c r="M363" s="0" t="s">
        <v>2021</v>
      </c>
      <c r="N363" s="0" t="str">
        <f aca="false">RIGHT(M363,LEN(M363)-FIND(" ",M363))</f>
        <v>CHARLES AVE SE</v>
      </c>
      <c r="P363" s="0" t="s">
        <v>145</v>
      </c>
      <c r="Q363" s="0" t="s">
        <v>146</v>
      </c>
      <c r="R363" s="0" t="n">
        <v>44483</v>
      </c>
      <c r="AD363" s="0" t="s">
        <v>147</v>
      </c>
      <c r="AE363" s="0" t="s">
        <v>148</v>
      </c>
      <c r="AF363" s="0" t="s">
        <v>149</v>
      </c>
      <c r="AH363" s="0" t="n">
        <v>14</v>
      </c>
      <c r="AI363" s="0" t="n">
        <v>11</v>
      </c>
      <c r="AN363" s="0" t="s">
        <v>145</v>
      </c>
      <c r="AO363" s="0" t="s">
        <v>150</v>
      </c>
      <c r="AP363" s="0" t="s">
        <v>151</v>
      </c>
      <c r="AQ363" s="0" t="n">
        <v>9</v>
      </c>
      <c r="AR363" s="0" t="n">
        <v>64</v>
      </c>
      <c r="AS363" s="0" t="n">
        <v>32</v>
      </c>
      <c r="AU363" s="0" t="n">
        <f aca="false">COUNTA($BA$773:$EH$773)</f>
        <v>1</v>
      </c>
      <c r="AV363" s="0" t="n">
        <f aca="false">COUNTIF($BA$773:$EH$773,"D")</f>
        <v>0</v>
      </c>
      <c r="AW363" s="0" t="n">
        <f aca="false">COUNTIF($BA$773:$EH$773,"R")</f>
        <v>0</v>
      </c>
      <c r="AX363" s="0" t="n">
        <f aca="false">IF(BN363="D",1,0)+IF(BO363="D",1,0)+IF(BT363="D",1,0)+IF(BU363="D",1,0)+IF(BW363="D",1,0)+IF(CC363="D",1,0)+IF(CD363="D",1,0)+IF(CE363="D",1,0)+IF(CF363="D",1,0)+IF(CL363="D",1,0)+IF(CM363="D",1,0)+IF(CQ363="D",1,0)+IF(CR363="D",1,0)+IF(CS363="D",1,0)+IF(CW363="D",1,0)+IF(CX363="D",1,0)+IF(DD363="D",1,0)+IF(DE363="D",1,0)+IF(DJ363="D",1,0)+IF(DK363="D",1,0)+IF(DO363="D",1,0)+IF(DP363="D",1,0)+IF(DQ363="D",1,0)+IF(DW363="D",1,0)+IF(DZ363="D",1,0)+IF(EH363="D",1,0)</f>
        <v>4</v>
      </c>
      <c r="AY363" s="0" t="n">
        <f aca="false">COUNTIF(DU363:EH363, "&lt;&gt;")</f>
        <v>1</v>
      </c>
      <c r="AZ363" s="0" t="n">
        <f aca="false">IF(EH363&lt;&gt;"",1,0)</f>
        <v>0</v>
      </c>
      <c r="BB363" s="0" t="s">
        <v>152</v>
      </c>
      <c r="BC363" s="0" t="s">
        <v>153</v>
      </c>
      <c r="BD363" s="0" t="s">
        <v>153</v>
      </c>
      <c r="BE363" s="0" t="s">
        <v>153</v>
      </c>
      <c r="BF363" s="0" t="s">
        <v>153</v>
      </c>
      <c r="BG363" s="0" t="s">
        <v>153</v>
      </c>
      <c r="BH363" s="0" t="s">
        <v>153</v>
      </c>
      <c r="BI363" s="0" t="s">
        <v>153</v>
      </c>
      <c r="BK363" s="0" t="s">
        <v>153</v>
      </c>
      <c r="BL363" s="0" t="s">
        <v>153</v>
      </c>
      <c r="BP363" s="0" t="s">
        <v>153</v>
      </c>
      <c r="BR363" s="0" t="s">
        <v>153</v>
      </c>
      <c r="BV363" s="0" t="s">
        <v>153</v>
      </c>
      <c r="BY363" s="0" t="s">
        <v>175</v>
      </c>
      <c r="CA363" s="0" t="s">
        <v>153</v>
      </c>
      <c r="CG363" s="0" t="s">
        <v>153</v>
      </c>
      <c r="CK363" s="0" t="s">
        <v>153</v>
      </c>
      <c r="CL363" s="0" t="s">
        <v>175</v>
      </c>
      <c r="CP363" s="0" t="s">
        <v>153</v>
      </c>
      <c r="CQ363" s="0" t="s">
        <v>175</v>
      </c>
      <c r="CT363" s="0" t="s">
        <v>153</v>
      </c>
      <c r="CW363" s="0" t="s">
        <v>175</v>
      </c>
      <c r="CY363" s="0" t="s">
        <v>153</v>
      </c>
      <c r="DC363" s="0" t="s">
        <v>153</v>
      </c>
      <c r="DF363" s="0" t="s">
        <v>153</v>
      </c>
      <c r="DI363" s="0" t="s">
        <v>153</v>
      </c>
      <c r="DJ363" s="0" t="s">
        <v>175</v>
      </c>
      <c r="DL363" s="0" t="s">
        <v>153</v>
      </c>
      <c r="DM363" s="0" t="s">
        <v>175</v>
      </c>
      <c r="EF363" s="0" t="s">
        <v>153</v>
      </c>
    </row>
    <row r="364" customFormat="false" ht="13.8" hidden="false" customHeight="false" outlineLevel="0" collapsed="false">
      <c r="A364" s="0" t="s">
        <v>2022</v>
      </c>
      <c r="B364" s="0" t="n">
        <v>78</v>
      </c>
      <c r="C364" s="0" t="n">
        <v>306706</v>
      </c>
      <c r="D364" s="0" t="s">
        <v>2023</v>
      </c>
      <c r="E364" s="0" t="s">
        <v>2024</v>
      </c>
      <c r="F364" s="0" t="str">
        <f aca="false">CONCATENATE(D364," ",LEFT(H364,4),"T=",AU364,"D=",AV364,"R=",AW364,"M=",AX364,"L=",AY364,"B=",AZ364)</f>
        <v>GILBERT T=2D=0R=0M=1L=5B=0</v>
      </c>
      <c r="G364" s="0" t="s">
        <v>268</v>
      </c>
      <c r="I364" s="0" t="s">
        <v>2025</v>
      </c>
      <c r="J364" s="0" t="s">
        <v>2026</v>
      </c>
      <c r="K364" s="0" t="s">
        <v>160</v>
      </c>
      <c r="L364" s="0" t="s">
        <v>175</v>
      </c>
      <c r="M364" s="0" t="s">
        <v>2027</v>
      </c>
      <c r="N364" s="0" t="str">
        <f aca="false">RIGHT(M364,LEN(M364)-FIND(" ",M364))</f>
        <v>CHARLES AVE SE</v>
      </c>
      <c r="P364" s="0" t="s">
        <v>145</v>
      </c>
      <c r="Q364" s="0" t="s">
        <v>146</v>
      </c>
      <c r="R364" s="0" t="n">
        <v>44483</v>
      </c>
      <c r="AD364" s="0" t="s">
        <v>147</v>
      </c>
      <c r="AE364" s="0" t="s">
        <v>148</v>
      </c>
      <c r="AF364" s="0" t="s">
        <v>149</v>
      </c>
      <c r="AH364" s="0" t="n">
        <v>14</v>
      </c>
      <c r="AI364" s="0" t="n">
        <v>11</v>
      </c>
      <c r="AN364" s="0" t="s">
        <v>145</v>
      </c>
      <c r="AO364" s="0" t="s">
        <v>150</v>
      </c>
      <c r="AP364" s="0" t="s">
        <v>151</v>
      </c>
      <c r="AQ364" s="0" t="n">
        <v>9</v>
      </c>
      <c r="AR364" s="0" t="n">
        <v>64</v>
      </c>
      <c r="AS364" s="0" t="n">
        <v>32</v>
      </c>
      <c r="AU364" s="0" t="n">
        <f aca="false">COUNTA($BA$526:$EH$526)</f>
        <v>2</v>
      </c>
      <c r="AV364" s="0" t="n">
        <f aca="false">COUNTIF($BA$526:$EH$526,"D")</f>
        <v>0</v>
      </c>
      <c r="AW364" s="0" t="n">
        <f aca="false">COUNTIF($BA$526:$EH$526,"R")</f>
        <v>0</v>
      </c>
      <c r="AX364" s="0" t="n">
        <f aca="false">IF(BN364="D",1,0)+IF(BO364="D",1,0)+IF(BT364="D",1,0)+IF(BU364="D",1,0)+IF(BW364="D",1,0)+IF(CC364="D",1,0)+IF(CD364="D",1,0)+IF(CE364="D",1,0)+IF(CF364="D",1,0)+IF(CL364="D",1,0)+IF(CM364="D",1,0)+IF(CQ364="D",1,0)+IF(CR364="D",1,0)+IF(CS364="D",1,0)+IF(CW364="D",1,0)+IF(CX364="D",1,0)+IF(DD364="D",1,0)+IF(DE364="D",1,0)+IF(DJ364="D",1,0)+IF(DK364="D",1,0)+IF(DO364="D",1,0)+IF(DP364="D",1,0)+IF(DQ364="D",1,0)+IF(DW364="D",1,0)+IF(DZ364="D",1,0)+IF(EH364="D",1,0)</f>
        <v>1</v>
      </c>
      <c r="AY364" s="0" t="n">
        <f aca="false">COUNTIF(DU364:EH364, "&lt;&gt;")</f>
        <v>5</v>
      </c>
      <c r="AZ364" s="0" t="n">
        <f aca="false">IF(EH364&lt;&gt;"",1,0)</f>
        <v>0</v>
      </c>
      <c r="BB364" s="0" t="s">
        <v>152</v>
      </c>
      <c r="BJ364" s="0" t="s">
        <v>153</v>
      </c>
      <c r="BL364" s="0" t="s">
        <v>153</v>
      </c>
      <c r="BP364" s="0" t="s">
        <v>153</v>
      </c>
      <c r="BV364" s="0" t="s">
        <v>153</v>
      </c>
      <c r="BY364" s="0" t="s">
        <v>175</v>
      </c>
      <c r="CA364" s="0" t="s">
        <v>153</v>
      </c>
      <c r="CG364" s="0" t="s">
        <v>153</v>
      </c>
      <c r="CK364" s="0" t="s">
        <v>153</v>
      </c>
      <c r="CN364" s="0" t="s">
        <v>153</v>
      </c>
      <c r="CP364" s="0" t="s">
        <v>153</v>
      </c>
      <c r="CQ364" s="0" t="s">
        <v>175</v>
      </c>
      <c r="CT364" s="0" t="s">
        <v>153</v>
      </c>
      <c r="CU364" s="0" t="s">
        <v>175</v>
      </c>
      <c r="DC364" s="0" t="s">
        <v>153</v>
      </c>
      <c r="DN364" s="0" t="s">
        <v>153</v>
      </c>
      <c r="DU364" s="0" t="s">
        <v>153</v>
      </c>
      <c r="DX364" s="0" t="s">
        <v>153</v>
      </c>
      <c r="EA364" s="0" t="s">
        <v>153</v>
      </c>
      <c r="ED364" s="0" t="s">
        <v>175</v>
      </c>
      <c r="EF364" s="0" t="s">
        <v>153</v>
      </c>
    </row>
    <row r="365" customFormat="false" ht="13.8" hidden="false" customHeight="false" outlineLevel="0" collapsed="false">
      <c r="A365" s="0" t="s">
        <v>2028</v>
      </c>
      <c r="B365" s="0" t="n">
        <v>78</v>
      </c>
      <c r="C365" s="0" t="n">
        <v>334327</v>
      </c>
      <c r="D365" s="0" t="s">
        <v>2023</v>
      </c>
      <c r="E365" s="0" t="s">
        <v>2029</v>
      </c>
      <c r="F365" s="0" t="str">
        <f aca="false">CONCATENATE(D365," ",LEFT(H365,4),"T=",AU365,"D=",AV365,"R=",AW365,"M=",AX365,"L=",AY365,"B=",AZ365)</f>
        <v>GILBERT T=31D=5R=1M=1L=5B=0</v>
      </c>
      <c r="G365" s="0" t="s">
        <v>522</v>
      </c>
      <c r="I365" s="0" t="s">
        <v>2030</v>
      </c>
      <c r="J365" s="0" t="s">
        <v>2031</v>
      </c>
      <c r="K365" s="0" t="s">
        <v>160</v>
      </c>
      <c r="L365" s="0" t="s">
        <v>175</v>
      </c>
      <c r="M365" s="0" t="s">
        <v>2027</v>
      </c>
      <c r="N365" s="0" t="str">
        <f aca="false">RIGHT(M365,LEN(M365)-FIND(" ",M365))</f>
        <v>CHARLES AVE SE</v>
      </c>
      <c r="P365" s="0" t="s">
        <v>145</v>
      </c>
      <c r="Q365" s="0" t="s">
        <v>146</v>
      </c>
      <c r="R365" s="0" t="n">
        <v>44483</v>
      </c>
      <c r="AD365" s="0" t="s">
        <v>147</v>
      </c>
      <c r="AE365" s="0" t="s">
        <v>148</v>
      </c>
      <c r="AF365" s="0" t="s">
        <v>149</v>
      </c>
      <c r="AH365" s="0" t="n">
        <v>14</v>
      </c>
      <c r="AI365" s="0" t="n">
        <v>11</v>
      </c>
      <c r="AN365" s="0" t="s">
        <v>145</v>
      </c>
      <c r="AO365" s="0" t="s">
        <v>150</v>
      </c>
      <c r="AP365" s="0" t="s">
        <v>151</v>
      </c>
      <c r="AQ365" s="0" t="n">
        <v>9</v>
      </c>
      <c r="AR365" s="0" t="n">
        <v>64</v>
      </c>
      <c r="AS365" s="0" t="n">
        <v>32</v>
      </c>
      <c r="AU365" s="0" t="n">
        <f aca="false">COUNTA($BA$528:$EH$528)</f>
        <v>31</v>
      </c>
      <c r="AV365" s="0" t="n">
        <f aca="false">COUNTIF($BA$528:$EH$528,"D")</f>
        <v>5</v>
      </c>
      <c r="AW365" s="0" t="n">
        <f aca="false">COUNTIF($BA$528:$EH$528,"R")</f>
        <v>1</v>
      </c>
      <c r="AX365" s="0" t="n">
        <f aca="false">IF(BN365="D",1,0)+IF(BO365="D",1,0)+IF(BT365="D",1,0)+IF(BU365="D",1,0)+IF(BW365="D",1,0)+IF(CC365="D",1,0)+IF(CD365="D",1,0)+IF(CE365="D",1,0)+IF(CF365="D",1,0)+IF(CL365="D",1,0)+IF(CM365="D",1,0)+IF(CQ365="D",1,0)+IF(CR365="D",1,0)+IF(CS365="D",1,0)+IF(CW365="D",1,0)+IF(CX365="D",1,0)+IF(DD365="D",1,0)+IF(DE365="D",1,0)+IF(DJ365="D",1,0)+IF(DK365="D",1,0)+IF(DO365="D",1,0)+IF(DP365="D",1,0)+IF(DQ365="D",1,0)+IF(DW365="D",1,0)+IF(DZ365="D",1,0)+IF(EH365="D",1,0)</f>
        <v>1</v>
      </c>
      <c r="AY365" s="0" t="n">
        <f aca="false">COUNTIF(DU365:EH365, "&lt;&gt;")</f>
        <v>5</v>
      </c>
      <c r="AZ365" s="0" t="n">
        <f aca="false">IF(EH365&lt;&gt;"",1,0)</f>
        <v>0</v>
      </c>
      <c r="BB365" s="0" t="s">
        <v>152</v>
      </c>
      <c r="BL365" s="0" t="s">
        <v>153</v>
      </c>
      <c r="BP365" s="0" t="s">
        <v>153</v>
      </c>
      <c r="BV365" s="0" t="s">
        <v>153</v>
      </c>
      <c r="BY365" s="0" t="s">
        <v>175</v>
      </c>
      <c r="CA365" s="0" t="s">
        <v>153</v>
      </c>
      <c r="CG365" s="0" t="s">
        <v>153</v>
      </c>
      <c r="CK365" s="0" t="s">
        <v>153</v>
      </c>
      <c r="CN365" s="0" t="s">
        <v>153</v>
      </c>
      <c r="CP365" s="0" t="s">
        <v>153</v>
      </c>
      <c r="CQ365" s="0" t="s">
        <v>175</v>
      </c>
      <c r="CT365" s="0" t="s">
        <v>153</v>
      </c>
      <c r="CU365" s="0" t="s">
        <v>175</v>
      </c>
      <c r="DN365" s="0" t="s">
        <v>153</v>
      </c>
      <c r="DR365" s="0" t="s">
        <v>153</v>
      </c>
      <c r="DU365" s="0" t="s">
        <v>153</v>
      </c>
      <c r="DX365" s="0" t="s">
        <v>153</v>
      </c>
      <c r="EA365" s="0" t="s">
        <v>153</v>
      </c>
      <c r="ED365" s="0" t="s">
        <v>175</v>
      </c>
      <c r="EF365" s="0" t="s">
        <v>153</v>
      </c>
    </row>
    <row r="366" customFormat="false" ht="13.8" hidden="true" customHeight="false" outlineLevel="0" collapsed="false">
      <c r="A366" s="0" t="s">
        <v>2032</v>
      </c>
      <c r="B366" s="0" t="n">
        <v>78</v>
      </c>
      <c r="C366" s="0" t="n">
        <v>369069</v>
      </c>
      <c r="D366" s="0" t="s">
        <v>876</v>
      </c>
      <c r="E366" s="0" t="s">
        <v>2033</v>
      </c>
      <c r="F366" s="0" t="str">
        <f aca="false">CONCATENATE(D366," ",LEFT(H366,4),"T=",AU366,"D=",AV366,"R=",AW366,"M=",AX366,"L=",AY366,"B=",AZ366)</f>
        <v>MOYER T=5D=1R=0M=0L=0B=0</v>
      </c>
      <c r="G366" s="0" t="s">
        <v>2034</v>
      </c>
      <c r="I366" s="0" t="s">
        <v>2035</v>
      </c>
      <c r="J366" s="0" t="s">
        <v>2036</v>
      </c>
      <c r="K366" s="0" t="s">
        <v>160</v>
      </c>
      <c r="M366" s="0" t="s">
        <v>2037</v>
      </c>
      <c r="N366" s="0" t="str">
        <f aca="false">RIGHT(M366,LEN(M366)-FIND(" ",M366))</f>
        <v>CHARLES AVE SE</v>
      </c>
      <c r="P366" s="0" t="s">
        <v>145</v>
      </c>
      <c r="Q366" s="0" t="s">
        <v>146</v>
      </c>
      <c r="R366" s="0" t="n">
        <v>44483</v>
      </c>
      <c r="AD366" s="0" t="s">
        <v>147</v>
      </c>
      <c r="AE366" s="0" t="s">
        <v>148</v>
      </c>
      <c r="AF366" s="0" t="s">
        <v>149</v>
      </c>
      <c r="AH366" s="0" t="n">
        <v>14</v>
      </c>
      <c r="AI366" s="0" t="n">
        <v>11</v>
      </c>
      <c r="AN366" s="0" t="s">
        <v>145</v>
      </c>
      <c r="AO366" s="0" t="s">
        <v>150</v>
      </c>
      <c r="AP366" s="0" t="s">
        <v>151</v>
      </c>
      <c r="AQ366" s="0" t="n">
        <v>9</v>
      </c>
      <c r="AR366" s="0" t="n">
        <v>64</v>
      </c>
      <c r="AS366" s="0" t="n">
        <v>32</v>
      </c>
      <c r="AU366" s="0" t="n">
        <f aca="false">COUNTA($BA$503:$EH$503)</f>
        <v>5</v>
      </c>
      <c r="AV366" s="0" t="n">
        <f aca="false">COUNTIF($BA$503:$EH$503,"D")</f>
        <v>1</v>
      </c>
      <c r="AW366" s="0" t="n">
        <f aca="false">COUNTIF($BA$503:$EH$503,"R")</f>
        <v>0</v>
      </c>
      <c r="AX366" s="0" t="n">
        <f aca="false">IF(BN366="D",1,0)+IF(BO366="D",1,0)+IF(BT366="D",1,0)+IF(BU366="D",1,0)+IF(BW366="D",1,0)+IF(CC366="D",1,0)+IF(CD366="D",1,0)+IF(CE366="D",1,0)+IF(CF366="D",1,0)+IF(CL366="D",1,0)+IF(CM366="D",1,0)+IF(CQ366="D",1,0)+IF(CR366="D",1,0)+IF(CS366="D",1,0)+IF(CW366="D",1,0)+IF(CX366="D",1,0)+IF(DD366="D",1,0)+IF(DE366="D",1,0)+IF(DJ366="D",1,0)+IF(DK366="D",1,0)+IF(DO366="D",1,0)+IF(DP366="D",1,0)+IF(DQ366="D",1,0)+IF(DW366="D",1,0)+IF(DZ366="D",1,0)+IF(EH366="D",1,0)</f>
        <v>0</v>
      </c>
      <c r="AY366" s="0" t="n">
        <f aca="false">COUNTIF(DU366:EH366, "&lt;&gt;")</f>
        <v>0</v>
      </c>
      <c r="AZ366" s="0" t="n">
        <f aca="false">IF(EH366&lt;&gt;"",1,0)</f>
        <v>0</v>
      </c>
      <c r="BB366" s="0" t="s">
        <v>152</v>
      </c>
      <c r="DC366" s="0" t="s">
        <v>153</v>
      </c>
      <c r="DN366" s="0" t="s">
        <v>153</v>
      </c>
    </row>
    <row r="367" customFormat="false" ht="13.8" hidden="true" customHeight="false" outlineLevel="0" collapsed="false">
      <c r="A367" s="0" t="s">
        <v>2038</v>
      </c>
      <c r="B367" s="0" t="n">
        <v>78</v>
      </c>
      <c r="C367" s="0" t="n">
        <v>320314</v>
      </c>
      <c r="D367" s="0" t="s">
        <v>2039</v>
      </c>
      <c r="E367" s="0" t="s">
        <v>2040</v>
      </c>
      <c r="F367" s="0" t="str">
        <f aca="false">CONCATENATE(D367," ",LEFT(H367,4),"T=",AU367,"D=",AV367,"R=",AW367,"M=",AX367,"L=",AY367,"B=",AZ367)</f>
        <v>MOORMAN T=7D=0R=0M=0L=1B=0</v>
      </c>
      <c r="G367" s="0" t="s">
        <v>1328</v>
      </c>
      <c r="I367" s="0" t="s">
        <v>2041</v>
      </c>
      <c r="J367" s="0" t="s">
        <v>2042</v>
      </c>
      <c r="K367" s="0" t="s">
        <v>160</v>
      </c>
      <c r="M367" s="0" t="s">
        <v>2043</v>
      </c>
      <c r="N367" s="0" t="str">
        <f aca="false">RIGHT(M367,LEN(M367)-FIND(" ",M367))</f>
        <v>CHARLES AVE SE</v>
      </c>
      <c r="P367" s="0" t="s">
        <v>145</v>
      </c>
      <c r="Q367" s="0" t="s">
        <v>146</v>
      </c>
      <c r="R367" s="0" t="n">
        <v>44483</v>
      </c>
      <c r="AD367" s="0" t="s">
        <v>147</v>
      </c>
      <c r="AE367" s="0" t="s">
        <v>148</v>
      </c>
      <c r="AF367" s="0" t="s">
        <v>149</v>
      </c>
      <c r="AH367" s="0" t="n">
        <v>14</v>
      </c>
      <c r="AI367" s="0" t="n">
        <v>11</v>
      </c>
      <c r="AN367" s="0" t="s">
        <v>145</v>
      </c>
      <c r="AO367" s="0" t="s">
        <v>150</v>
      </c>
      <c r="AP367" s="0" t="s">
        <v>151</v>
      </c>
      <c r="AQ367" s="0" t="n">
        <v>9</v>
      </c>
      <c r="AR367" s="0" t="n">
        <v>64</v>
      </c>
      <c r="AS367" s="0" t="n">
        <v>32</v>
      </c>
      <c r="AU367" s="0" t="n">
        <f aca="false">COUNTA($BA$484:$EH$484)</f>
        <v>7</v>
      </c>
      <c r="AV367" s="0" t="n">
        <f aca="false">COUNTIF($BA$484:$EH$484,"D")</f>
        <v>0</v>
      </c>
      <c r="AW367" s="0" t="n">
        <f aca="false">COUNTIF($BA$484:$EH$484,"R")</f>
        <v>0</v>
      </c>
      <c r="AX367" s="0" t="n">
        <f aca="false">IF(BN367="D",1,0)+IF(BO367="D",1,0)+IF(BT367="D",1,0)+IF(BU367="D",1,0)+IF(BW367="D",1,0)+IF(CC367="D",1,0)+IF(CD367="D",1,0)+IF(CE367="D",1,0)+IF(CF367="D",1,0)+IF(CL367="D",1,0)+IF(CM367="D",1,0)+IF(CQ367="D",1,0)+IF(CR367="D",1,0)+IF(CS367="D",1,0)+IF(CW367="D",1,0)+IF(CX367="D",1,0)+IF(DD367="D",1,0)+IF(DE367="D",1,0)+IF(DJ367="D",1,0)+IF(DK367="D",1,0)+IF(DO367="D",1,0)+IF(DP367="D",1,0)+IF(DQ367="D",1,0)+IF(DW367="D",1,0)+IF(DZ367="D",1,0)+IF(EH367="D",1,0)</f>
        <v>0</v>
      </c>
      <c r="AY367" s="0" t="n">
        <f aca="false">COUNTIF(DU367:EH367, "&lt;&gt;")</f>
        <v>1</v>
      </c>
      <c r="AZ367" s="0" t="n">
        <f aca="false">IF(EH367&lt;&gt;"",1,0)</f>
        <v>0</v>
      </c>
      <c r="BB367" s="0" t="s">
        <v>152</v>
      </c>
      <c r="DN367" s="0" t="s">
        <v>153</v>
      </c>
      <c r="EF367" s="0" t="s">
        <v>153</v>
      </c>
    </row>
    <row r="368" customFormat="false" ht="13.8" hidden="true" customHeight="false" outlineLevel="0" collapsed="false">
      <c r="A368" s="0" t="s">
        <v>2044</v>
      </c>
      <c r="B368" s="0" t="n">
        <v>78</v>
      </c>
      <c r="C368" s="0" t="n">
        <v>415470</v>
      </c>
      <c r="D368" s="0" t="s">
        <v>2039</v>
      </c>
      <c r="E368" s="0" t="s">
        <v>274</v>
      </c>
      <c r="F368" s="0" t="str">
        <f aca="false">CONCATENATE(D368," ",LEFT(H368,4),"T=",AU368,"D=",AV368,"R=",AW368,"M=",AX368,"L=",AY368,"B=",AZ368)</f>
        <v>MOORMAN T=40D=10R=0M=0L=1B=0</v>
      </c>
      <c r="G368" s="0" t="s">
        <v>2045</v>
      </c>
      <c r="I368" s="0" t="s">
        <v>2046</v>
      </c>
      <c r="J368" s="0" t="s">
        <v>2042</v>
      </c>
      <c r="K368" s="0" t="s">
        <v>160</v>
      </c>
      <c r="M368" s="0" t="s">
        <v>2043</v>
      </c>
      <c r="N368" s="0" t="str">
        <f aca="false">RIGHT(M368,LEN(M368)-FIND(" ",M368))</f>
        <v>CHARLES AVE SE</v>
      </c>
      <c r="P368" s="0" t="s">
        <v>145</v>
      </c>
      <c r="Q368" s="0" t="s">
        <v>146</v>
      </c>
      <c r="R368" s="0" t="n">
        <v>44483</v>
      </c>
      <c r="AD368" s="0" t="s">
        <v>147</v>
      </c>
      <c r="AE368" s="0" t="s">
        <v>148</v>
      </c>
      <c r="AF368" s="0" t="s">
        <v>149</v>
      </c>
      <c r="AH368" s="0" t="n">
        <v>14</v>
      </c>
      <c r="AI368" s="0" t="n">
        <v>11</v>
      </c>
      <c r="AN368" s="0" t="s">
        <v>145</v>
      </c>
      <c r="AO368" s="0" t="s">
        <v>150</v>
      </c>
      <c r="AP368" s="0" t="s">
        <v>151</v>
      </c>
      <c r="AQ368" s="0" t="n">
        <v>9</v>
      </c>
      <c r="AR368" s="0" t="n">
        <v>64</v>
      </c>
      <c r="AS368" s="0" t="n">
        <v>32</v>
      </c>
      <c r="AU368" s="0" t="n">
        <f aca="false">COUNTA($BA$641:$EH$641)</f>
        <v>40</v>
      </c>
      <c r="AV368" s="0" t="n">
        <f aca="false">COUNTIF($BA$641:$EH$641,"D")</f>
        <v>10</v>
      </c>
      <c r="AW368" s="0" t="n">
        <f aca="false">COUNTIF($BA$641:$EH$641,"R")</f>
        <v>0</v>
      </c>
      <c r="AX368" s="0" t="n">
        <f aca="false">IF(BN368="D",1,0)+IF(BO368="D",1,0)+IF(BT368="D",1,0)+IF(BU368="D",1,0)+IF(BW368="D",1,0)+IF(CC368="D",1,0)+IF(CD368="D",1,0)+IF(CE368="D",1,0)+IF(CF368="D",1,0)+IF(CL368="D",1,0)+IF(CM368="D",1,0)+IF(CQ368="D",1,0)+IF(CR368="D",1,0)+IF(CS368="D",1,0)+IF(CW368="D",1,0)+IF(CX368="D",1,0)+IF(DD368="D",1,0)+IF(DE368="D",1,0)+IF(DJ368="D",1,0)+IF(DK368="D",1,0)+IF(DO368="D",1,0)+IF(DP368="D",1,0)+IF(DQ368="D",1,0)+IF(DW368="D",1,0)+IF(DZ368="D",1,0)+IF(EH368="D",1,0)</f>
        <v>0</v>
      </c>
      <c r="AY368" s="0" t="n">
        <f aca="false">COUNTIF(DU368:EH368, "&lt;&gt;")</f>
        <v>1</v>
      </c>
      <c r="AZ368" s="0" t="n">
        <f aca="false">IF(EH368&lt;&gt;"",1,0)</f>
        <v>0</v>
      </c>
      <c r="BB368" s="0" t="s">
        <v>152</v>
      </c>
      <c r="DN368" s="0" t="s">
        <v>153</v>
      </c>
      <c r="EF368" s="0" t="s">
        <v>153</v>
      </c>
    </row>
    <row r="369" customFormat="false" ht="13.8" hidden="true" customHeight="false" outlineLevel="0" collapsed="false">
      <c r="A369" s="0" t="s">
        <v>2047</v>
      </c>
      <c r="B369" s="0" t="n">
        <v>78</v>
      </c>
      <c r="C369" s="0" t="n">
        <v>477620</v>
      </c>
      <c r="D369" s="0" t="s">
        <v>562</v>
      </c>
      <c r="E369" s="0" t="s">
        <v>2048</v>
      </c>
      <c r="F369" s="0" t="str">
        <f aca="false">CONCATENATE(D369," ",LEFT(H369,4),"T=",AU369,"D=",AV369,"R=",AW369,"M=",AX369,"L=",AY369,"B=",AZ369)</f>
        <v>EDWARDS T=1D=0R=0M=0L=0B=0</v>
      </c>
      <c r="G369" s="0" t="s">
        <v>2049</v>
      </c>
      <c r="I369" s="0" t="s">
        <v>753</v>
      </c>
      <c r="J369" s="0" t="s">
        <v>1893</v>
      </c>
      <c r="K369" s="0" t="s">
        <v>160</v>
      </c>
      <c r="M369" s="0" t="s">
        <v>2050</v>
      </c>
      <c r="N369" s="0" t="str">
        <f aca="false">RIGHT(M369,LEN(M369)-FIND(" ",M369))</f>
        <v>CHARLES AVE SE</v>
      </c>
      <c r="P369" s="0" t="s">
        <v>145</v>
      </c>
      <c r="Q369" s="0" t="s">
        <v>146</v>
      </c>
      <c r="R369" s="0" t="n">
        <v>44483</v>
      </c>
      <c r="AD369" s="0" t="s">
        <v>147</v>
      </c>
      <c r="AE369" s="0" t="s">
        <v>148</v>
      </c>
      <c r="AF369" s="0" t="s">
        <v>149</v>
      </c>
      <c r="AH369" s="0" t="n">
        <v>14</v>
      </c>
      <c r="AI369" s="0" t="n">
        <v>11</v>
      </c>
      <c r="AN369" s="0" t="s">
        <v>145</v>
      </c>
      <c r="AO369" s="0" t="s">
        <v>150</v>
      </c>
      <c r="AP369" s="0" t="s">
        <v>151</v>
      </c>
      <c r="AQ369" s="0" t="n">
        <v>9</v>
      </c>
      <c r="AR369" s="0" t="n">
        <v>64</v>
      </c>
      <c r="AS369" s="0" t="n">
        <v>32</v>
      </c>
      <c r="AU369" s="0" t="n">
        <f aca="false">COUNTA($BA$154:$EH$154)</f>
        <v>1</v>
      </c>
      <c r="AV369" s="0" t="n">
        <f aca="false">COUNTIF($BA$154:$EH$154,"D")</f>
        <v>0</v>
      </c>
      <c r="AW369" s="0" t="n">
        <f aca="false">COUNTIF($BA$154:$EH$154,"R")</f>
        <v>0</v>
      </c>
      <c r="AX369" s="0" t="n">
        <f aca="false">IF(BN369="D",1,0)+IF(BO369="D",1,0)+IF(BT369="D",1,0)+IF(BU369="D",1,0)+IF(BW369="D",1,0)+IF(CC369="D",1,0)+IF(CD369="D",1,0)+IF(CE369="D",1,0)+IF(CF369="D",1,0)+IF(CL369="D",1,0)+IF(CM369="D",1,0)+IF(CQ369="D",1,0)+IF(CR369="D",1,0)+IF(CS369="D",1,0)+IF(CW369="D",1,0)+IF(CX369="D",1,0)+IF(DD369="D",1,0)+IF(DE369="D",1,0)+IF(DJ369="D",1,0)+IF(DK369="D",1,0)+IF(DO369="D",1,0)+IF(DP369="D",1,0)+IF(DQ369="D",1,0)+IF(DW369="D",1,0)+IF(DZ369="D",1,0)+IF(EH369="D",1,0)</f>
        <v>0</v>
      </c>
      <c r="AY369" s="0" t="n">
        <f aca="false">COUNTIF(DU369:EH369, "&lt;&gt;")</f>
        <v>0</v>
      </c>
      <c r="AZ369" s="0" t="n">
        <f aca="false">IF(EH369&lt;&gt;"",1,0)</f>
        <v>0</v>
      </c>
      <c r="BB369" s="0" t="s">
        <v>152</v>
      </c>
    </row>
    <row r="370" customFormat="false" ht="13.8" hidden="true" customHeight="false" outlineLevel="0" collapsed="false">
      <c r="A370" s="0" t="s">
        <v>2051</v>
      </c>
      <c r="B370" s="0" t="n">
        <v>78</v>
      </c>
      <c r="C370" s="0" t="n">
        <v>490924</v>
      </c>
      <c r="D370" s="0" t="s">
        <v>562</v>
      </c>
      <c r="E370" s="0" t="s">
        <v>669</v>
      </c>
      <c r="F370" s="0" t="str">
        <f aca="false">CONCATENATE(D370," ",LEFT(H370,4),"T=",AU370,"D=",AV370,"R=",AW370,"M=",AX370,"L=",AY370,"B=",AZ370)</f>
        <v>EDWARDS T=19D=5R=0M=0L=0B=0</v>
      </c>
      <c r="G370" s="0" t="s">
        <v>195</v>
      </c>
      <c r="I370" s="0" t="s">
        <v>2052</v>
      </c>
      <c r="J370" s="0" t="s">
        <v>2053</v>
      </c>
      <c r="K370" s="0" t="s">
        <v>160</v>
      </c>
      <c r="M370" s="0" t="s">
        <v>2050</v>
      </c>
      <c r="N370" s="0" t="str">
        <f aca="false">RIGHT(M370,LEN(M370)-FIND(" ",M370))</f>
        <v>CHARLES AVE SE</v>
      </c>
      <c r="P370" s="0" t="s">
        <v>145</v>
      </c>
      <c r="Q370" s="0" t="s">
        <v>146</v>
      </c>
      <c r="R370" s="0" t="n">
        <v>44483</v>
      </c>
      <c r="AD370" s="0" t="s">
        <v>147</v>
      </c>
      <c r="AE370" s="0" t="s">
        <v>148</v>
      </c>
      <c r="AF370" s="0" t="s">
        <v>149</v>
      </c>
      <c r="AH370" s="0" t="n">
        <v>14</v>
      </c>
      <c r="AI370" s="0" t="n">
        <v>11</v>
      </c>
      <c r="AN370" s="0" t="s">
        <v>145</v>
      </c>
      <c r="AO370" s="0" t="s">
        <v>150</v>
      </c>
      <c r="AP370" s="0" t="s">
        <v>151</v>
      </c>
      <c r="AQ370" s="0" t="n">
        <v>9</v>
      </c>
      <c r="AR370" s="0" t="n">
        <v>64</v>
      </c>
      <c r="AS370" s="0" t="n">
        <v>32</v>
      </c>
      <c r="AU370" s="0" t="n">
        <f aca="false">COUNTA($BA$230:$EH$230)</f>
        <v>19</v>
      </c>
      <c r="AV370" s="0" t="n">
        <f aca="false">COUNTIF($BA$230:$EH$230,"D")</f>
        <v>5</v>
      </c>
      <c r="AW370" s="0" t="n">
        <f aca="false">COUNTIF($BA$230:$EH$230,"R")</f>
        <v>0</v>
      </c>
      <c r="AX370" s="0" t="n">
        <f aca="false">IF(BN370="D",1,0)+IF(BO370="D",1,0)+IF(BT370="D",1,0)+IF(BU370="D",1,0)+IF(BW370="D",1,0)+IF(CC370="D",1,0)+IF(CD370="D",1,0)+IF(CE370="D",1,0)+IF(CF370="D",1,0)+IF(CL370="D",1,0)+IF(CM370="D",1,0)+IF(CQ370="D",1,0)+IF(CR370="D",1,0)+IF(CS370="D",1,0)+IF(CW370="D",1,0)+IF(CX370="D",1,0)+IF(DD370="D",1,0)+IF(DE370="D",1,0)+IF(DJ370="D",1,0)+IF(DK370="D",1,0)+IF(DO370="D",1,0)+IF(DP370="D",1,0)+IF(DQ370="D",1,0)+IF(DW370="D",1,0)+IF(DZ370="D",1,0)+IF(EH370="D",1,0)</f>
        <v>0</v>
      </c>
      <c r="AY370" s="0" t="n">
        <f aca="false">COUNTIF(DU370:EH370, "&lt;&gt;")</f>
        <v>0</v>
      </c>
      <c r="AZ370" s="0" t="n">
        <f aca="false">IF(EH370&lt;&gt;"",1,0)</f>
        <v>0</v>
      </c>
      <c r="BB370" s="0" t="s">
        <v>152</v>
      </c>
    </row>
    <row r="371" customFormat="false" ht="13.8" hidden="false" customHeight="false" outlineLevel="0" collapsed="false">
      <c r="A371" s="0" t="s">
        <v>2054</v>
      </c>
      <c r="B371" s="0" t="n">
        <v>78</v>
      </c>
      <c r="C371" s="0" t="n">
        <v>429147</v>
      </c>
      <c r="D371" s="0" t="s">
        <v>562</v>
      </c>
      <c r="E371" s="0" t="s">
        <v>2055</v>
      </c>
      <c r="F371" s="0" t="str">
        <f aca="false">CONCATENATE(D371," ",LEFT(H371,4),"T=",AU371,"D=",AV371,"R=",AW371,"M=",AX371,"L=",AY371,"B=",AZ371)</f>
        <v>EDWARDS T=1D=0R=0M=0L=3B=0</v>
      </c>
      <c r="G371" s="0" t="s">
        <v>2056</v>
      </c>
      <c r="I371" s="0" t="s">
        <v>2057</v>
      </c>
      <c r="J371" s="0" t="s">
        <v>2058</v>
      </c>
      <c r="K371" s="0" t="s">
        <v>160</v>
      </c>
      <c r="M371" s="0" t="s">
        <v>2050</v>
      </c>
      <c r="N371" s="0" t="str">
        <f aca="false">RIGHT(M371,LEN(M371)-FIND(" ",M371))</f>
        <v>CHARLES AVE SE</v>
      </c>
      <c r="P371" s="0" t="s">
        <v>145</v>
      </c>
      <c r="Q371" s="0" t="s">
        <v>146</v>
      </c>
      <c r="R371" s="0" t="n">
        <v>44483</v>
      </c>
      <c r="AD371" s="0" t="s">
        <v>147</v>
      </c>
      <c r="AE371" s="0" t="s">
        <v>148</v>
      </c>
      <c r="AF371" s="0" t="s">
        <v>149</v>
      </c>
      <c r="AH371" s="0" t="n">
        <v>14</v>
      </c>
      <c r="AI371" s="0" t="n">
        <v>11</v>
      </c>
      <c r="AN371" s="0" t="s">
        <v>145</v>
      </c>
      <c r="AO371" s="0" t="s">
        <v>150</v>
      </c>
      <c r="AP371" s="0" t="s">
        <v>151</v>
      </c>
      <c r="AQ371" s="0" t="n">
        <v>9</v>
      </c>
      <c r="AR371" s="0" t="n">
        <v>64</v>
      </c>
      <c r="AS371" s="0" t="n">
        <v>32</v>
      </c>
      <c r="AU371" s="0" t="n">
        <f aca="false">COUNTA($BA$300:$EH$300)</f>
        <v>1</v>
      </c>
      <c r="AV371" s="0" t="n">
        <f aca="false">COUNTIF($BA$300:$EH$300,"D")</f>
        <v>0</v>
      </c>
      <c r="AW371" s="0" t="n">
        <f aca="false">COUNTIF($BA$300:$EH$300,"R")</f>
        <v>0</v>
      </c>
      <c r="AX371" s="0" t="n">
        <f aca="false">IF(BN371="D",1,0)+IF(BO371="D",1,0)+IF(BT371="D",1,0)+IF(BU371="D",1,0)+IF(BW371="D",1,0)+IF(CC371="D",1,0)+IF(CD371="D",1,0)+IF(CE371="D",1,0)+IF(CF371="D",1,0)+IF(CL371="D",1,0)+IF(CM371="D",1,0)+IF(CQ371="D",1,0)+IF(CR371="D",1,0)+IF(CS371="D",1,0)+IF(CW371="D",1,0)+IF(CX371="D",1,0)+IF(DD371="D",1,0)+IF(DE371="D",1,0)+IF(DJ371="D",1,0)+IF(DK371="D",1,0)+IF(DO371="D",1,0)+IF(DP371="D",1,0)+IF(DQ371="D",1,0)+IF(DW371="D",1,0)+IF(DZ371="D",1,0)+IF(EH371="D",1,0)</f>
        <v>0</v>
      </c>
      <c r="AY371" s="0" t="n">
        <f aca="false">COUNTIF(DU371:EH371, "&lt;&gt;")</f>
        <v>3</v>
      </c>
      <c r="AZ371" s="0" t="n">
        <f aca="false">IF(EH371&lt;&gt;"",1,0)</f>
        <v>0</v>
      </c>
      <c r="BB371" s="0" t="s">
        <v>152</v>
      </c>
      <c r="DN371" s="0" t="s">
        <v>153</v>
      </c>
      <c r="DX371" s="0" t="s">
        <v>153</v>
      </c>
      <c r="EA371" s="0" t="s">
        <v>153</v>
      </c>
      <c r="EF371" s="0" t="s">
        <v>153</v>
      </c>
    </row>
    <row r="372" customFormat="false" ht="13.8" hidden="true" customHeight="false" outlineLevel="0" collapsed="false">
      <c r="A372" s="0" t="s">
        <v>2059</v>
      </c>
      <c r="B372" s="0" t="n">
        <v>78</v>
      </c>
      <c r="C372" s="0" t="n">
        <v>435863</v>
      </c>
      <c r="D372" s="0" t="s">
        <v>562</v>
      </c>
      <c r="E372" s="0" t="s">
        <v>469</v>
      </c>
      <c r="F372" s="0" t="str">
        <f aca="false">CONCATENATE(D372," ",LEFT(H372,4),"T=",AU372,"D=",AV372,"R=",AW372,"M=",AX372,"L=",AY372,"B=",AZ372)</f>
        <v>EDWARDS T=15D=5R=0M=0L=1B=0</v>
      </c>
      <c r="G372" s="0" t="s">
        <v>190</v>
      </c>
      <c r="I372" s="0" t="s">
        <v>2060</v>
      </c>
      <c r="J372" s="0" t="s">
        <v>2061</v>
      </c>
      <c r="K372" s="0" t="s">
        <v>160</v>
      </c>
      <c r="M372" s="0" t="s">
        <v>2050</v>
      </c>
      <c r="N372" s="0" t="str">
        <f aca="false">RIGHT(M372,LEN(M372)-FIND(" ",M372))</f>
        <v>CHARLES AVE SE</v>
      </c>
      <c r="P372" s="0" t="s">
        <v>145</v>
      </c>
      <c r="Q372" s="0" t="s">
        <v>146</v>
      </c>
      <c r="R372" s="0" t="n">
        <v>44483</v>
      </c>
      <c r="AD372" s="0" t="s">
        <v>147</v>
      </c>
      <c r="AE372" s="0" t="s">
        <v>148</v>
      </c>
      <c r="AF372" s="0" t="s">
        <v>149</v>
      </c>
      <c r="AH372" s="0" t="n">
        <v>14</v>
      </c>
      <c r="AI372" s="0" t="n">
        <v>11</v>
      </c>
      <c r="AN372" s="0" t="s">
        <v>145</v>
      </c>
      <c r="AO372" s="0" t="s">
        <v>150</v>
      </c>
      <c r="AP372" s="0" t="s">
        <v>151</v>
      </c>
      <c r="AQ372" s="0" t="n">
        <v>9</v>
      </c>
      <c r="AR372" s="0" t="n">
        <v>64</v>
      </c>
      <c r="AS372" s="0" t="n">
        <v>32</v>
      </c>
      <c r="AU372" s="0" t="n">
        <f aca="false">COUNTA($BA$854:$EH$854)</f>
        <v>15</v>
      </c>
      <c r="AV372" s="0" t="n">
        <f aca="false">COUNTIF($BA$854:$EH$854,"D")</f>
        <v>5</v>
      </c>
      <c r="AW372" s="0" t="n">
        <f aca="false">COUNTIF($BA$854:$EH$854,"R")</f>
        <v>0</v>
      </c>
      <c r="AX372" s="0" t="n">
        <f aca="false">IF(BN372="D",1,0)+IF(BO372="D",1,0)+IF(BT372="D",1,0)+IF(BU372="D",1,0)+IF(BW372="D",1,0)+IF(CC372="D",1,0)+IF(CD372="D",1,0)+IF(CE372="D",1,0)+IF(CF372="D",1,0)+IF(CL372="D",1,0)+IF(CM372="D",1,0)+IF(CQ372="D",1,0)+IF(CR372="D",1,0)+IF(CS372="D",1,0)+IF(CW372="D",1,0)+IF(CX372="D",1,0)+IF(DD372="D",1,0)+IF(DE372="D",1,0)+IF(DJ372="D",1,0)+IF(DK372="D",1,0)+IF(DO372="D",1,0)+IF(DP372="D",1,0)+IF(DQ372="D",1,0)+IF(DW372="D",1,0)+IF(DZ372="D",1,0)+IF(EH372="D",1,0)</f>
        <v>0</v>
      </c>
      <c r="AY372" s="0" t="n">
        <f aca="false">COUNTIF(DU372:EH372, "&lt;&gt;")</f>
        <v>1</v>
      </c>
      <c r="AZ372" s="0" t="n">
        <f aca="false">IF(EH372&lt;&gt;"",1,0)</f>
        <v>0</v>
      </c>
      <c r="BB372" s="0" t="s">
        <v>152</v>
      </c>
      <c r="DN372" s="0" t="s">
        <v>153</v>
      </c>
      <c r="EF372" s="0" t="s">
        <v>153</v>
      </c>
    </row>
    <row r="373" customFormat="false" ht="13.8" hidden="true" customHeight="false" outlineLevel="0" collapsed="false">
      <c r="A373" s="0" t="s">
        <v>2062</v>
      </c>
      <c r="B373" s="0" t="n">
        <v>78</v>
      </c>
      <c r="C373" s="0" t="n">
        <v>273710</v>
      </c>
      <c r="D373" s="0" t="s">
        <v>286</v>
      </c>
      <c r="E373" s="0" t="s">
        <v>541</v>
      </c>
      <c r="F373" s="0" t="str">
        <f aca="false">CONCATENATE(D373," ",LEFT(H373,4),"T=",AU373,"D=",AV373,"R=",AW373,"M=",AX373,"L=",AY373,"B=",AZ373)</f>
        <v>HIGGINS T=2D=0R=0M=0L=0B=0</v>
      </c>
      <c r="G373" s="0" t="s">
        <v>268</v>
      </c>
      <c r="I373" s="0" t="s">
        <v>2063</v>
      </c>
      <c r="J373" s="0" t="s">
        <v>2064</v>
      </c>
      <c r="K373" s="0" t="s">
        <v>143</v>
      </c>
      <c r="M373" s="0" t="s">
        <v>2065</v>
      </c>
      <c r="N373" s="0" t="str">
        <f aca="false">RIGHT(M373,LEN(M373)-FIND(" ",M373))</f>
        <v>CHARLES AVE SE</v>
      </c>
      <c r="P373" s="0" t="s">
        <v>145</v>
      </c>
      <c r="Q373" s="0" t="s">
        <v>146</v>
      </c>
      <c r="R373" s="0" t="n">
        <v>44483</v>
      </c>
      <c r="AD373" s="0" t="s">
        <v>147</v>
      </c>
      <c r="AE373" s="0" t="s">
        <v>148</v>
      </c>
      <c r="AF373" s="0" t="s">
        <v>149</v>
      </c>
      <c r="AH373" s="0" t="n">
        <v>14</v>
      </c>
      <c r="AI373" s="0" t="n">
        <v>11</v>
      </c>
      <c r="AN373" s="0" t="s">
        <v>145</v>
      </c>
      <c r="AO373" s="0" t="s">
        <v>150</v>
      </c>
      <c r="AP373" s="0" t="s">
        <v>151</v>
      </c>
      <c r="AQ373" s="0" t="n">
        <v>9</v>
      </c>
      <c r="AR373" s="0" t="n">
        <v>64</v>
      </c>
      <c r="AS373" s="0" t="n">
        <v>32</v>
      </c>
      <c r="AU373" s="0" t="n">
        <f aca="false">COUNTA($BA$263:$EH$263)</f>
        <v>2</v>
      </c>
      <c r="AV373" s="0" t="n">
        <f aca="false">COUNTIF($BA$263:$EH$263,"D")</f>
        <v>0</v>
      </c>
      <c r="AW373" s="0" t="n">
        <f aca="false">COUNTIF($BA$263:$EH$263,"R")</f>
        <v>0</v>
      </c>
      <c r="AX373" s="0" t="n">
        <f aca="false">IF(BN373="D",1,0)+IF(BO373="D",1,0)+IF(BT373="D",1,0)+IF(BU373="D",1,0)+IF(BW373="D",1,0)+IF(CC373="D",1,0)+IF(CD373="D",1,0)+IF(CE373="D",1,0)+IF(CF373="D",1,0)+IF(CL373="D",1,0)+IF(CM373="D",1,0)+IF(CQ373="D",1,0)+IF(CR373="D",1,0)+IF(CS373="D",1,0)+IF(CW373="D",1,0)+IF(CX373="D",1,0)+IF(DD373="D",1,0)+IF(DE373="D",1,0)+IF(DJ373="D",1,0)+IF(DK373="D",1,0)+IF(DO373="D",1,0)+IF(DP373="D",1,0)+IF(DQ373="D",1,0)+IF(DW373="D",1,0)+IF(DZ373="D",1,0)+IF(EH373="D",1,0)</f>
        <v>0</v>
      </c>
      <c r="AY373" s="0" t="n">
        <f aca="false">COUNTIF(DU373:EH373, "&lt;&gt;")</f>
        <v>0</v>
      </c>
      <c r="AZ373" s="0" t="n">
        <f aca="false">IF(EH373&lt;&gt;"",1,0)</f>
        <v>0</v>
      </c>
      <c r="BB373" s="0" t="s">
        <v>152</v>
      </c>
      <c r="BC373" s="0" t="s">
        <v>153</v>
      </c>
      <c r="BD373" s="0" t="s">
        <v>153</v>
      </c>
      <c r="BH373" s="0" t="s">
        <v>153</v>
      </c>
      <c r="BL373" s="0" t="s">
        <v>153</v>
      </c>
      <c r="BP373" s="0" t="s">
        <v>153</v>
      </c>
      <c r="BS373" s="0" t="s">
        <v>153</v>
      </c>
      <c r="BY373" s="0" t="s">
        <v>175</v>
      </c>
      <c r="CA373" s="0" t="s">
        <v>153</v>
      </c>
      <c r="CG373" s="0" t="s">
        <v>153</v>
      </c>
      <c r="CK373" s="0" t="s">
        <v>153</v>
      </c>
      <c r="CN373" s="0" t="s">
        <v>153</v>
      </c>
      <c r="CP373" s="0" t="s">
        <v>153</v>
      </c>
      <c r="CV373" s="0" t="s">
        <v>153</v>
      </c>
      <c r="CY373" s="0" t="s">
        <v>153</v>
      </c>
      <c r="CZ373" s="0" t="s">
        <v>175</v>
      </c>
      <c r="DC373" s="0" t="s">
        <v>153</v>
      </c>
      <c r="DF373" s="0" t="s">
        <v>153</v>
      </c>
      <c r="DI373" s="0" t="s">
        <v>153</v>
      </c>
      <c r="DN373" s="0" t="s">
        <v>153</v>
      </c>
    </row>
    <row r="374" customFormat="false" ht="13.8" hidden="false" customHeight="false" outlineLevel="0" collapsed="false">
      <c r="A374" s="0" t="s">
        <v>2066</v>
      </c>
      <c r="B374" s="0" t="n">
        <v>78</v>
      </c>
      <c r="C374" s="0" t="n">
        <v>142160</v>
      </c>
      <c r="D374" s="0" t="s">
        <v>2067</v>
      </c>
      <c r="E374" s="0" t="s">
        <v>2068</v>
      </c>
      <c r="F374" s="0" t="str">
        <f aca="false">CONCATENATE(D374," ",LEFT(H374,4),"T=",AU374,"D=",AV374,"R=",AW374,"M=",AX374,"L=",AY374,"B=",AZ374)</f>
        <v>BOCKELMAN T=10D=1R=0M=6L=7B=1</v>
      </c>
      <c r="G374" s="0" t="s">
        <v>195</v>
      </c>
      <c r="I374" s="0" t="s">
        <v>2069</v>
      </c>
      <c r="J374" s="0" t="s">
        <v>2070</v>
      </c>
      <c r="K374" s="0" t="s">
        <v>160</v>
      </c>
      <c r="L374" s="0" t="s">
        <v>175</v>
      </c>
      <c r="M374" s="0" t="s">
        <v>2065</v>
      </c>
      <c r="N374" s="0" t="str">
        <f aca="false">RIGHT(M374,LEN(M374)-FIND(" ",M374))</f>
        <v>CHARLES AVE SE</v>
      </c>
      <c r="P374" s="0" t="s">
        <v>145</v>
      </c>
      <c r="Q374" s="0" t="s">
        <v>146</v>
      </c>
      <c r="R374" s="0" t="n">
        <v>44483</v>
      </c>
      <c r="AD374" s="0" t="s">
        <v>147</v>
      </c>
      <c r="AE374" s="0" t="s">
        <v>148</v>
      </c>
      <c r="AF374" s="0" t="s">
        <v>149</v>
      </c>
      <c r="AH374" s="0" t="n">
        <v>14</v>
      </c>
      <c r="AI374" s="0" t="n">
        <v>11</v>
      </c>
      <c r="AN374" s="0" t="s">
        <v>145</v>
      </c>
      <c r="AO374" s="0" t="s">
        <v>150</v>
      </c>
      <c r="AP374" s="0" t="s">
        <v>151</v>
      </c>
      <c r="AQ374" s="0" t="n">
        <v>9</v>
      </c>
      <c r="AR374" s="0" t="n">
        <v>64</v>
      </c>
      <c r="AS374" s="0" t="n">
        <v>32</v>
      </c>
      <c r="AU374" s="0" t="n">
        <f aca="false">COUNTA($BA$827:$EH$827)</f>
        <v>10</v>
      </c>
      <c r="AV374" s="0" t="n">
        <f aca="false">COUNTIF($BA$827:$EH$827,"D")</f>
        <v>1</v>
      </c>
      <c r="AW374" s="0" t="n">
        <f aca="false">COUNTIF($BA$827:$EH$827,"R")</f>
        <v>0</v>
      </c>
      <c r="AX374" s="0" t="n">
        <f aca="false">IF(BN374="D",1,0)+IF(BO374="D",1,0)+IF(BT374="D",1,0)+IF(BU374="D",1,0)+IF(BW374="D",1,0)+IF(CC374="D",1,0)+IF(CD374="D",1,0)+IF(CE374="D",1,0)+IF(CF374="D",1,0)+IF(CL374="D",1,0)+IF(CM374="D",1,0)+IF(CQ374="D",1,0)+IF(CR374="D",1,0)+IF(CS374="D",1,0)+IF(CW374="D",1,0)+IF(CX374="D",1,0)+IF(DD374="D",1,0)+IF(DE374="D",1,0)+IF(DJ374="D",1,0)+IF(DK374="D",1,0)+IF(DO374="D",1,0)+IF(DP374="D",1,0)+IF(DQ374="D",1,0)+IF(DW374="D",1,0)+IF(DZ374="D",1,0)+IF(EH374="D",1,0)</f>
        <v>6</v>
      </c>
      <c r="AY374" s="0" t="n">
        <f aca="false">COUNTIF(DU374:EH374, "&lt;&gt;")</f>
        <v>7</v>
      </c>
      <c r="AZ374" s="0" t="n">
        <f aca="false">IF(EH374&lt;&gt;"",1,0)</f>
        <v>1</v>
      </c>
      <c r="BB374" s="0" t="s">
        <v>152</v>
      </c>
      <c r="BC374" s="0" t="s">
        <v>153</v>
      </c>
      <c r="BD374" s="0" t="s">
        <v>153</v>
      </c>
      <c r="BE374" s="0" t="s">
        <v>153</v>
      </c>
      <c r="BF374" s="0" t="s">
        <v>153</v>
      </c>
      <c r="BH374" s="0" t="s">
        <v>153</v>
      </c>
      <c r="BI374" s="0" t="s">
        <v>153</v>
      </c>
      <c r="BJ374" s="0" t="s">
        <v>153</v>
      </c>
      <c r="BK374" s="0" t="s">
        <v>153</v>
      </c>
      <c r="BL374" s="0" t="s">
        <v>153</v>
      </c>
      <c r="BP374" s="0" t="s">
        <v>153</v>
      </c>
      <c r="BR374" s="0" t="s">
        <v>153</v>
      </c>
      <c r="BS374" s="0" t="s">
        <v>153</v>
      </c>
      <c r="BV374" s="0" t="s">
        <v>153</v>
      </c>
      <c r="BY374" s="0" t="s">
        <v>175</v>
      </c>
      <c r="CA374" s="0" t="s">
        <v>153</v>
      </c>
      <c r="CC374" s="0" t="s">
        <v>175</v>
      </c>
      <c r="CG374" s="0" t="s">
        <v>153</v>
      </c>
      <c r="CH374" s="0" t="s">
        <v>175</v>
      </c>
      <c r="CK374" s="0" t="s">
        <v>153</v>
      </c>
      <c r="CL374" s="0" t="s">
        <v>175</v>
      </c>
      <c r="CN374" s="0" t="s">
        <v>153</v>
      </c>
      <c r="CO374" s="0" t="s">
        <v>175</v>
      </c>
      <c r="CP374" s="0" t="s">
        <v>153</v>
      </c>
      <c r="CT374" s="0" t="s">
        <v>153</v>
      </c>
      <c r="CU374" s="0" t="s">
        <v>175</v>
      </c>
      <c r="CV374" s="0" t="s">
        <v>153</v>
      </c>
      <c r="CY374" s="0" t="s">
        <v>153</v>
      </c>
      <c r="CZ374" s="0" t="s">
        <v>175</v>
      </c>
      <c r="DC374" s="0" t="s">
        <v>153</v>
      </c>
      <c r="DD374" s="0" t="s">
        <v>175</v>
      </c>
      <c r="DF374" s="0" t="s">
        <v>153</v>
      </c>
      <c r="DG374" s="0" t="s">
        <v>175</v>
      </c>
      <c r="DI374" s="0" t="s">
        <v>153</v>
      </c>
      <c r="DJ374" s="0" t="s">
        <v>175</v>
      </c>
      <c r="DL374" s="0" t="s">
        <v>153</v>
      </c>
      <c r="DM374" s="0" t="s">
        <v>175</v>
      </c>
      <c r="DN374" s="0" t="s">
        <v>153</v>
      </c>
      <c r="DR374" s="0" t="s">
        <v>153</v>
      </c>
      <c r="DS374" s="0" t="s">
        <v>175</v>
      </c>
      <c r="DU374" s="0" t="s">
        <v>153</v>
      </c>
      <c r="DW374" s="0" t="s">
        <v>175</v>
      </c>
      <c r="DX374" s="0" t="s">
        <v>153</v>
      </c>
      <c r="EA374" s="0" t="s">
        <v>153</v>
      </c>
      <c r="ED374" s="0" t="s">
        <v>175</v>
      </c>
      <c r="EF374" s="0" t="s">
        <v>153</v>
      </c>
      <c r="EH374" s="0" t="s">
        <v>175</v>
      </c>
    </row>
    <row r="375" customFormat="false" ht="13.8" hidden="false" customHeight="false" outlineLevel="0" collapsed="false">
      <c r="A375" s="0" t="s">
        <v>2071</v>
      </c>
      <c r="B375" s="0" t="n">
        <v>78</v>
      </c>
      <c r="C375" s="0" t="n">
        <v>212719</v>
      </c>
      <c r="D375" s="0" t="s">
        <v>2072</v>
      </c>
      <c r="E375" s="0" t="s">
        <v>675</v>
      </c>
      <c r="F375" s="0" t="str">
        <f aca="false">CONCATENATE(D375," ",LEFT(H375,4),"T=",AU375,"D=",AV375,"R=",AW375,"M=",AX375,"L=",AY375,"B=",AZ375)</f>
        <v>SOLINGER T=20D=0R=5M=0L=5B=0</v>
      </c>
      <c r="G375" s="0" t="s">
        <v>670</v>
      </c>
      <c r="I375" s="0" t="s">
        <v>2073</v>
      </c>
      <c r="J375" s="0" t="s">
        <v>2074</v>
      </c>
      <c r="K375" s="0" t="s">
        <v>160</v>
      </c>
      <c r="L375" s="0" t="s">
        <v>175</v>
      </c>
      <c r="M375" s="0" t="s">
        <v>2075</v>
      </c>
      <c r="N375" s="0" t="str">
        <f aca="false">RIGHT(M375,LEN(M375)-FIND(" ",M375))</f>
        <v>CHARLES AVE SE</v>
      </c>
      <c r="P375" s="0" t="s">
        <v>145</v>
      </c>
      <c r="Q375" s="0" t="s">
        <v>146</v>
      </c>
      <c r="R375" s="0" t="n">
        <v>44483</v>
      </c>
      <c r="AD375" s="0" t="s">
        <v>147</v>
      </c>
      <c r="AE375" s="0" t="s">
        <v>148</v>
      </c>
      <c r="AF375" s="0" t="s">
        <v>149</v>
      </c>
      <c r="AH375" s="0" t="n">
        <v>14</v>
      </c>
      <c r="AI375" s="0" t="n">
        <v>11</v>
      </c>
      <c r="AN375" s="0" t="s">
        <v>145</v>
      </c>
      <c r="AO375" s="0" t="s">
        <v>150</v>
      </c>
      <c r="AP375" s="0" t="s">
        <v>151</v>
      </c>
      <c r="AQ375" s="0" t="n">
        <v>9</v>
      </c>
      <c r="AR375" s="0" t="n">
        <v>64</v>
      </c>
      <c r="AS375" s="0" t="n">
        <v>32</v>
      </c>
      <c r="AU375" s="0" t="n">
        <f aca="false">COUNTA($BA$721:$EH$721)</f>
        <v>20</v>
      </c>
      <c r="AV375" s="0" t="n">
        <f aca="false">COUNTIF($BA$721:$EH$721,"D")</f>
        <v>0</v>
      </c>
      <c r="AW375" s="0" t="n">
        <f aca="false">COUNTIF($BA$721:$EH$721,"R")</f>
        <v>5</v>
      </c>
      <c r="AX375" s="0" t="n">
        <f aca="false">IF(BN375="D",1,0)+IF(BO375="D",1,0)+IF(BT375="D",1,0)+IF(BU375="D",1,0)+IF(BW375="D",1,0)+IF(CC375="D",1,0)+IF(CD375="D",1,0)+IF(CE375="D",1,0)+IF(CF375="D",1,0)+IF(CL375="D",1,0)+IF(CM375="D",1,0)+IF(CQ375="D",1,0)+IF(CR375="D",1,0)+IF(CS375="D",1,0)+IF(CW375="D",1,0)+IF(CX375="D",1,0)+IF(DD375="D",1,0)+IF(DE375="D",1,0)+IF(DJ375="D",1,0)+IF(DK375="D",1,0)+IF(DO375="D",1,0)+IF(DP375="D",1,0)+IF(DQ375="D",1,0)+IF(DW375="D",1,0)+IF(DZ375="D",1,0)+IF(EH375="D",1,0)</f>
        <v>0</v>
      </c>
      <c r="AY375" s="0" t="n">
        <f aca="false">COUNTIF(DU375:EH375, "&lt;&gt;")</f>
        <v>5</v>
      </c>
      <c r="AZ375" s="0" t="n">
        <f aca="false">IF(EH375&lt;&gt;"",1,0)</f>
        <v>0</v>
      </c>
      <c r="BB375" s="0" t="s">
        <v>152</v>
      </c>
      <c r="BD375" s="0" t="s">
        <v>153</v>
      </c>
      <c r="BL375" s="0" t="s">
        <v>153</v>
      </c>
      <c r="BV375" s="0" t="s">
        <v>153</v>
      </c>
      <c r="BY375" s="0" t="s">
        <v>175</v>
      </c>
      <c r="CA375" s="0" t="s">
        <v>153</v>
      </c>
      <c r="CK375" s="0" t="s">
        <v>153</v>
      </c>
      <c r="CN375" s="0" t="s">
        <v>153</v>
      </c>
      <c r="CP375" s="0" t="s">
        <v>153</v>
      </c>
      <c r="CV375" s="0" t="s">
        <v>153</v>
      </c>
      <c r="CY375" s="0" t="s">
        <v>153</v>
      </c>
      <c r="CZ375" s="0" t="s">
        <v>175</v>
      </c>
      <c r="DC375" s="0" t="s">
        <v>153</v>
      </c>
      <c r="DG375" s="0" t="s">
        <v>175</v>
      </c>
      <c r="DI375" s="0" t="s">
        <v>153</v>
      </c>
      <c r="DN375" s="0" t="s">
        <v>153</v>
      </c>
      <c r="DU375" s="0" t="s">
        <v>153</v>
      </c>
      <c r="DX375" s="0" t="s">
        <v>153</v>
      </c>
      <c r="EA375" s="0" t="s">
        <v>153</v>
      </c>
      <c r="ED375" s="0" t="s">
        <v>175</v>
      </c>
      <c r="EF375" s="0" t="s">
        <v>153</v>
      </c>
    </row>
    <row r="376" customFormat="false" ht="13.8" hidden="true" customHeight="false" outlineLevel="0" collapsed="false">
      <c r="A376" s="0" t="s">
        <v>2076</v>
      </c>
      <c r="B376" s="0" t="n">
        <v>78</v>
      </c>
      <c r="C376" s="0" t="n">
        <v>494556</v>
      </c>
      <c r="D376" s="0" t="s">
        <v>1744</v>
      </c>
      <c r="E376" s="0" t="s">
        <v>331</v>
      </c>
      <c r="F376" s="0" t="str">
        <f aca="false">CONCATENATE(D376," ",LEFT(H376,4),"T=",AU376,"D=",AV376,"R=",AW376,"M=",AX376,"L=",AY376,"B=",AZ376)</f>
        <v>WALKER SRT=48D=14R=2M=0L=0B=0</v>
      </c>
      <c r="G376" s="0" t="s">
        <v>770</v>
      </c>
      <c r="H376" s="0" t="s">
        <v>216</v>
      </c>
      <c r="I376" s="0" t="s">
        <v>2077</v>
      </c>
      <c r="J376" s="0" t="s">
        <v>2078</v>
      </c>
      <c r="K376" s="0" t="s">
        <v>160</v>
      </c>
      <c r="M376" s="0" t="s">
        <v>2079</v>
      </c>
      <c r="N376" s="0" t="str">
        <f aca="false">RIGHT(M376,LEN(M376)-FIND(" ",M376))</f>
        <v>CHESTNUT AVE NE</v>
      </c>
      <c r="P376" s="0" t="s">
        <v>145</v>
      </c>
      <c r="Q376" s="0" t="s">
        <v>146</v>
      </c>
      <c r="R376" s="0" t="n">
        <v>44483</v>
      </c>
      <c r="AD376" s="0" t="s">
        <v>147</v>
      </c>
      <c r="AE376" s="0" t="s">
        <v>148</v>
      </c>
      <c r="AF376" s="0" t="s">
        <v>149</v>
      </c>
      <c r="AH376" s="0" t="n">
        <v>14</v>
      </c>
      <c r="AI376" s="0" t="n">
        <v>11</v>
      </c>
      <c r="AN376" s="0" t="s">
        <v>145</v>
      </c>
      <c r="AO376" s="0" t="s">
        <v>654</v>
      </c>
      <c r="AP376" s="0" t="s">
        <v>655</v>
      </c>
      <c r="AQ376" s="0" t="n">
        <v>9</v>
      </c>
      <c r="AR376" s="0" t="n">
        <v>64</v>
      </c>
      <c r="AS376" s="0" t="n">
        <v>32</v>
      </c>
      <c r="AU376" s="0" t="n">
        <f aca="false">COUNTA($BA$1374:$EH$1374)</f>
        <v>48</v>
      </c>
      <c r="AV376" s="0" t="n">
        <f aca="false">COUNTIF($BA$1374:$EH$1374,"D")</f>
        <v>14</v>
      </c>
      <c r="AW376" s="0" t="n">
        <f aca="false">COUNTIF($BA$1374:$EH$1374,"R")</f>
        <v>2</v>
      </c>
      <c r="AX376" s="0" t="n">
        <f aca="false">IF(BN376="D",1,0)+IF(BO376="D",1,0)+IF(BT376="D",1,0)+IF(BU376="D",1,0)+IF(BW376="D",1,0)+IF(CC376="D",1,0)+IF(CD376="D",1,0)+IF(CE376="D",1,0)+IF(CF376="D",1,0)+IF(CL376="D",1,0)+IF(CM376="D",1,0)+IF(CQ376="D",1,0)+IF(CR376="D",1,0)+IF(CS376="D",1,0)+IF(CW376="D",1,0)+IF(CX376="D",1,0)+IF(DD376="D",1,0)+IF(DE376="D",1,0)+IF(DJ376="D",1,0)+IF(DK376="D",1,0)+IF(DO376="D",1,0)+IF(DP376="D",1,0)+IF(DQ376="D",1,0)+IF(DW376="D",1,0)+IF(DZ376="D",1,0)+IF(EH376="D",1,0)</f>
        <v>0</v>
      </c>
      <c r="AY376" s="0" t="n">
        <f aca="false">COUNTIF(DU376:EH376, "&lt;&gt;")</f>
        <v>0</v>
      </c>
      <c r="AZ376" s="0" t="n">
        <f aca="false">IF(EH376&lt;&gt;"",1,0)</f>
        <v>0</v>
      </c>
      <c r="BB376" s="0" t="s">
        <v>152</v>
      </c>
    </row>
    <row r="377" customFormat="false" ht="13.8" hidden="false" customHeight="false" outlineLevel="0" collapsed="false">
      <c r="A377" s="0" t="s">
        <v>2080</v>
      </c>
      <c r="B377" s="0" t="n">
        <v>78</v>
      </c>
      <c r="C377" s="0" t="n">
        <v>155650</v>
      </c>
      <c r="D377" s="0" t="s">
        <v>2081</v>
      </c>
      <c r="E377" s="0" t="s">
        <v>2082</v>
      </c>
      <c r="F377" s="0" t="str">
        <f aca="false">CONCATENATE(D377," ",LEFT(H377,4),"T=",AU377,"D=",AV377,"R=",AW377,"M=",AX377,"L=",AY377,"B=",AZ377)</f>
        <v>ACCORDINO JRT=10D=1R=0M=1L=4B=0</v>
      </c>
      <c r="H377" s="0" t="s">
        <v>314</v>
      </c>
      <c r="I377" s="0" t="s">
        <v>2083</v>
      </c>
      <c r="J377" s="0" t="s">
        <v>2084</v>
      </c>
      <c r="K377" s="0" t="s">
        <v>160</v>
      </c>
      <c r="L377" s="0" t="s">
        <v>209</v>
      </c>
      <c r="M377" s="0" t="s">
        <v>2085</v>
      </c>
      <c r="N377" s="0" t="str">
        <f aca="false">RIGHT(M377,LEN(M377)-FIND(" ",M377))</f>
        <v>CHESTNUT AVE NE</v>
      </c>
      <c r="P377" s="0" t="s">
        <v>145</v>
      </c>
      <c r="Q377" s="0" t="s">
        <v>146</v>
      </c>
      <c r="R377" s="0" t="n">
        <v>44483</v>
      </c>
      <c r="AD377" s="0" t="s">
        <v>147</v>
      </c>
      <c r="AE377" s="0" t="s">
        <v>148</v>
      </c>
      <c r="AF377" s="0" t="s">
        <v>149</v>
      </c>
      <c r="AH377" s="0" t="n">
        <v>14</v>
      </c>
      <c r="AI377" s="0" t="n">
        <v>11</v>
      </c>
      <c r="AN377" s="0" t="s">
        <v>145</v>
      </c>
      <c r="AO377" s="0" t="s">
        <v>654</v>
      </c>
      <c r="AP377" s="0" t="s">
        <v>655</v>
      </c>
      <c r="AQ377" s="0" t="n">
        <v>9</v>
      </c>
      <c r="AR377" s="0" t="n">
        <v>64</v>
      </c>
      <c r="AS377" s="0" t="n">
        <v>32</v>
      </c>
      <c r="AU377" s="0" t="n">
        <f aca="false">COUNTA($BA$1254:$EH$1254)</f>
        <v>10</v>
      </c>
      <c r="AV377" s="0" t="n">
        <f aca="false">COUNTIF($BA$1254:$EH$1254,"D")</f>
        <v>1</v>
      </c>
      <c r="AW377" s="0" t="n">
        <f aca="false">COUNTIF($BA$1254:$EH$1254,"R")</f>
        <v>0</v>
      </c>
      <c r="AX377" s="0" t="n">
        <f aca="false">IF(BN377="D",1,0)+IF(BO377="D",1,0)+IF(BT377="D",1,0)+IF(BU377="D",1,0)+IF(BW377="D",1,0)+IF(CC377="D",1,0)+IF(CD377="D",1,0)+IF(CE377="D",1,0)+IF(CF377="D",1,0)+IF(CL377="D",1,0)+IF(CM377="D",1,0)+IF(CQ377="D",1,0)+IF(CR377="D",1,0)+IF(CS377="D",1,0)+IF(CW377="D",1,0)+IF(CX377="D",1,0)+IF(DD377="D",1,0)+IF(DE377="D",1,0)+IF(DJ377="D",1,0)+IF(DK377="D",1,0)+IF(DO377="D",1,0)+IF(DP377="D",1,0)+IF(DQ377="D",1,0)+IF(DW377="D",1,0)+IF(DZ377="D",1,0)+IF(EH377="D",1,0)</f>
        <v>1</v>
      </c>
      <c r="AY377" s="0" t="n">
        <f aca="false">COUNTIF(DU377:EH377, "&lt;&gt;")</f>
        <v>4</v>
      </c>
      <c r="AZ377" s="0" t="n">
        <f aca="false">IF(EH377&lt;&gt;"",1,0)</f>
        <v>0</v>
      </c>
      <c r="BB377" s="0" t="s">
        <v>152</v>
      </c>
      <c r="BC377" s="0" t="s">
        <v>153</v>
      </c>
      <c r="BD377" s="0" t="s">
        <v>153</v>
      </c>
      <c r="BF377" s="0" t="s">
        <v>153</v>
      </c>
      <c r="BH377" s="0" t="s">
        <v>153</v>
      </c>
      <c r="BI377" s="0" t="s">
        <v>153</v>
      </c>
      <c r="BL377" s="0" t="s">
        <v>153</v>
      </c>
      <c r="BS377" s="0" t="s">
        <v>153</v>
      </c>
      <c r="BV377" s="0" t="s">
        <v>153</v>
      </c>
      <c r="BY377" s="0" t="s">
        <v>175</v>
      </c>
      <c r="CA377" s="0" t="s">
        <v>153</v>
      </c>
      <c r="CG377" s="0" t="s">
        <v>153</v>
      </c>
      <c r="CK377" s="0" t="s">
        <v>153</v>
      </c>
      <c r="CL377" s="0" t="s">
        <v>153</v>
      </c>
      <c r="CN377" s="0" t="s">
        <v>153</v>
      </c>
      <c r="CO377" s="0" t="s">
        <v>175</v>
      </c>
      <c r="CP377" s="0" t="s">
        <v>153</v>
      </c>
      <c r="CU377" s="0" t="s">
        <v>175</v>
      </c>
      <c r="CV377" s="0" t="s">
        <v>153</v>
      </c>
      <c r="CY377" s="0" t="s">
        <v>153</v>
      </c>
      <c r="CZ377" s="0" t="s">
        <v>209</v>
      </c>
      <c r="DC377" s="0" t="s">
        <v>153</v>
      </c>
      <c r="DD377" s="0" t="s">
        <v>175</v>
      </c>
      <c r="DF377" s="0" t="s">
        <v>153</v>
      </c>
      <c r="DG377" s="0" t="s">
        <v>175</v>
      </c>
      <c r="DI377" s="0" t="s">
        <v>153</v>
      </c>
      <c r="DL377" s="0" t="s">
        <v>153</v>
      </c>
      <c r="DN377" s="0" t="s">
        <v>153</v>
      </c>
      <c r="DU377" s="0" t="s">
        <v>153</v>
      </c>
      <c r="DX377" s="0" t="s">
        <v>153</v>
      </c>
      <c r="ED377" s="0" t="s">
        <v>209</v>
      </c>
      <c r="EF377" s="0" t="s">
        <v>153</v>
      </c>
    </row>
    <row r="378" customFormat="false" ht="13.8" hidden="false" customHeight="false" outlineLevel="0" collapsed="false">
      <c r="A378" s="0" t="s">
        <v>2086</v>
      </c>
      <c r="B378" s="0" t="n">
        <v>78</v>
      </c>
      <c r="C378" s="0" t="n">
        <v>186542</v>
      </c>
      <c r="D378" s="0" t="s">
        <v>2087</v>
      </c>
      <c r="E378" s="0" t="s">
        <v>2088</v>
      </c>
      <c r="F378" s="0" t="str">
        <f aca="false">CONCATENATE(D378," ",LEFT(H378,4),"T=",AU378,"D=",AV378,"R=",AW378,"M=",AX378,"L=",AY378,"B=",AZ378)</f>
        <v>THOMAE ACCORDINO T=21D=6R=0M=1L=3B=0</v>
      </c>
      <c r="G378" s="0" t="s">
        <v>1128</v>
      </c>
      <c r="I378" s="0" t="s">
        <v>2089</v>
      </c>
      <c r="J378" s="0" t="s">
        <v>2090</v>
      </c>
      <c r="K378" s="0" t="s">
        <v>160</v>
      </c>
      <c r="L378" s="0" t="s">
        <v>209</v>
      </c>
      <c r="M378" s="0" t="s">
        <v>2085</v>
      </c>
      <c r="N378" s="0" t="str">
        <f aca="false">RIGHT(M378,LEN(M378)-FIND(" ",M378))</f>
        <v>CHESTNUT AVE NE</v>
      </c>
      <c r="P378" s="0" t="s">
        <v>145</v>
      </c>
      <c r="Q378" s="0" t="s">
        <v>146</v>
      </c>
      <c r="R378" s="0" t="n">
        <v>44483</v>
      </c>
      <c r="AD378" s="0" t="s">
        <v>147</v>
      </c>
      <c r="AE378" s="0" t="s">
        <v>148</v>
      </c>
      <c r="AF378" s="0" t="s">
        <v>149</v>
      </c>
      <c r="AH378" s="0" t="n">
        <v>14</v>
      </c>
      <c r="AI378" s="0" t="n">
        <v>11</v>
      </c>
      <c r="AN378" s="0" t="s">
        <v>145</v>
      </c>
      <c r="AO378" s="0" t="s">
        <v>654</v>
      </c>
      <c r="AP378" s="0" t="s">
        <v>655</v>
      </c>
      <c r="AQ378" s="0" t="n">
        <v>9</v>
      </c>
      <c r="AR378" s="0" t="n">
        <v>64</v>
      </c>
      <c r="AS378" s="0" t="n">
        <v>32</v>
      </c>
      <c r="AU378" s="0" t="n">
        <f aca="false">COUNTA($BA$1256:$EH$1256)</f>
        <v>21</v>
      </c>
      <c r="AV378" s="0" t="n">
        <f aca="false">COUNTIF($BA$1256:$EH$1256,"D")</f>
        <v>6</v>
      </c>
      <c r="AW378" s="0" t="n">
        <f aca="false">COUNTIF($BA$1256:$EH$1256,"R")</f>
        <v>0</v>
      </c>
      <c r="AX378" s="0" t="n">
        <f aca="false">IF(BN378="D",1,0)+IF(BO378="D",1,0)+IF(BT378="D",1,0)+IF(BU378="D",1,0)+IF(BW378="D",1,0)+IF(CC378="D",1,0)+IF(CD378="D",1,0)+IF(CE378="D",1,0)+IF(CF378="D",1,0)+IF(CL378="D",1,0)+IF(CM378="D",1,0)+IF(CQ378="D",1,0)+IF(CR378="D",1,0)+IF(CS378="D",1,0)+IF(CW378="D",1,0)+IF(CX378="D",1,0)+IF(DD378="D",1,0)+IF(DE378="D",1,0)+IF(DJ378="D",1,0)+IF(DK378="D",1,0)+IF(DO378="D",1,0)+IF(DP378="D",1,0)+IF(DQ378="D",1,0)+IF(DW378="D",1,0)+IF(DZ378="D",1,0)+IF(EH378="D",1,0)</f>
        <v>1</v>
      </c>
      <c r="AY378" s="0" t="n">
        <f aca="false">COUNTIF(DU378:EH378, "&lt;&gt;")</f>
        <v>3</v>
      </c>
      <c r="AZ378" s="0" t="n">
        <f aca="false">IF(EH378&lt;&gt;"",1,0)</f>
        <v>0</v>
      </c>
      <c r="BB378" s="0" t="s">
        <v>152</v>
      </c>
      <c r="BC378" s="0" t="s">
        <v>153</v>
      </c>
      <c r="BD378" s="0" t="s">
        <v>153</v>
      </c>
      <c r="BH378" s="0" t="s">
        <v>153</v>
      </c>
      <c r="BI378" s="0" t="s">
        <v>153</v>
      </c>
      <c r="BL378" s="0" t="s">
        <v>153</v>
      </c>
      <c r="BS378" s="0" t="s">
        <v>153</v>
      </c>
      <c r="BY378" s="0" t="s">
        <v>175</v>
      </c>
      <c r="CA378" s="0" t="s">
        <v>153</v>
      </c>
      <c r="CG378" s="0" t="s">
        <v>153</v>
      </c>
      <c r="CL378" s="0" t="s">
        <v>153</v>
      </c>
      <c r="CN378" s="0" t="s">
        <v>153</v>
      </c>
      <c r="CO378" s="0" t="s">
        <v>175</v>
      </c>
      <c r="CP378" s="0" t="s">
        <v>153</v>
      </c>
      <c r="CU378" s="0" t="s">
        <v>175</v>
      </c>
      <c r="CV378" s="0" t="s">
        <v>153</v>
      </c>
      <c r="CY378" s="0" t="s">
        <v>153</v>
      </c>
      <c r="CZ378" s="0" t="s">
        <v>209</v>
      </c>
      <c r="DC378" s="0" t="s">
        <v>153</v>
      </c>
      <c r="DD378" s="0" t="s">
        <v>175</v>
      </c>
      <c r="DF378" s="0" t="s">
        <v>153</v>
      </c>
      <c r="DG378" s="0" t="s">
        <v>175</v>
      </c>
      <c r="DI378" s="0" t="s">
        <v>153</v>
      </c>
      <c r="DL378" s="0" t="s">
        <v>153</v>
      </c>
      <c r="DN378" s="0" t="s">
        <v>153</v>
      </c>
      <c r="DS378" s="0" t="s">
        <v>209</v>
      </c>
      <c r="DU378" s="0" t="s">
        <v>153</v>
      </c>
      <c r="DX378" s="0" t="s">
        <v>153</v>
      </c>
      <c r="EF378" s="0" t="s">
        <v>153</v>
      </c>
    </row>
    <row r="379" customFormat="false" ht="13.8" hidden="true" customHeight="false" outlineLevel="0" collapsed="false">
      <c r="A379" s="0" t="s">
        <v>2091</v>
      </c>
      <c r="B379" s="0" t="n">
        <v>78</v>
      </c>
      <c r="C379" s="0" t="n">
        <v>439283</v>
      </c>
      <c r="D379" s="0" t="s">
        <v>1041</v>
      </c>
      <c r="E379" s="0" t="s">
        <v>517</v>
      </c>
      <c r="F379" s="0" t="str">
        <f aca="false">CONCATENATE(D379," ",LEFT(H379,4),"T=",AU379,"D=",AV379,"R=",AW379,"M=",AX379,"L=",AY379,"B=",AZ379)</f>
        <v>JONES T=1D=0R=0M=0L=0B=0</v>
      </c>
      <c r="G379" s="0" t="s">
        <v>325</v>
      </c>
      <c r="I379" s="0" t="s">
        <v>2092</v>
      </c>
      <c r="J379" s="0" t="s">
        <v>2093</v>
      </c>
      <c r="K379" s="0" t="s">
        <v>143</v>
      </c>
      <c r="M379" s="0" t="s">
        <v>2094</v>
      </c>
      <c r="N379" s="0" t="str">
        <f aca="false">RIGHT(M379,LEN(M379)-FIND(" ",M379))</f>
        <v>CHESTNUT AVE NE</v>
      </c>
      <c r="P379" s="0" t="s">
        <v>145</v>
      </c>
      <c r="Q379" s="0" t="s">
        <v>146</v>
      </c>
      <c r="R379" s="0" t="n">
        <v>44483</v>
      </c>
      <c r="AD379" s="0" t="s">
        <v>147</v>
      </c>
      <c r="AE379" s="0" t="s">
        <v>148</v>
      </c>
      <c r="AF379" s="0" t="s">
        <v>149</v>
      </c>
      <c r="AH379" s="0" t="n">
        <v>14</v>
      </c>
      <c r="AI379" s="0" t="n">
        <v>11</v>
      </c>
      <c r="AN379" s="0" t="s">
        <v>145</v>
      </c>
      <c r="AO379" s="0" t="s">
        <v>654</v>
      </c>
      <c r="AP379" s="0" t="s">
        <v>655</v>
      </c>
      <c r="AQ379" s="0" t="n">
        <v>9</v>
      </c>
      <c r="AR379" s="0" t="n">
        <v>64</v>
      </c>
      <c r="AS379" s="0" t="n">
        <v>32</v>
      </c>
      <c r="AU379" s="0" t="n">
        <f aca="false">COUNTA($BA$2000:$EH$2000)</f>
        <v>1</v>
      </c>
      <c r="AV379" s="0" t="n">
        <f aca="false">COUNTIF($BA$2000:$EH$2000,"D")</f>
        <v>0</v>
      </c>
      <c r="AW379" s="0" t="n">
        <f aca="false">COUNTIF($BA$2000:$EH$2000,"R")</f>
        <v>0</v>
      </c>
      <c r="AX379" s="0" t="n">
        <f aca="false">IF(BN379="D",1,0)+IF(BO379="D",1,0)+IF(BT379="D",1,0)+IF(BU379="D",1,0)+IF(BW379="D",1,0)+IF(CC379="D",1,0)+IF(CD379="D",1,0)+IF(CE379="D",1,0)+IF(CF379="D",1,0)+IF(CL379="D",1,0)+IF(CM379="D",1,0)+IF(CQ379="D",1,0)+IF(CR379="D",1,0)+IF(CS379="D",1,0)+IF(CW379="D",1,0)+IF(CX379="D",1,0)+IF(DD379="D",1,0)+IF(DE379="D",1,0)+IF(DJ379="D",1,0)+IF(DK379="D",1,0)+IF(DO379="D",1,0)+IF(DP379="D",1,0)+IF(DQ379="D",1,0)+IF(DW379="D",1,0)+IF(DZ379="D",1,0)+IF(EH379="D",1,0)</f>
        <v>0</v>
      </c>
      <c r="AY379" s="0" t="n">
        <f aca="false">COUNTIF(DU379:EH379, "&lt;&gt;")</f>
        <v>0</v>
      </c>
      <c r="AZ379" s="0" t="n">
        <f aca="false">IF(EH379&lt;&gt;"",1,0)</f>
        <v>0</v>
      </c>
      <c r="BB379" s="0" t="s">
        <v>152</v>
      </c>
    </row>
    <row r="380" customFormat="false" ht="13.8" hidden="true" customHeight="false" outlineLevel="0" collapsed="false">
      <c r="A380" s="0" t="s">
        <v>2095</v>
      </c>
      <c r="B380" s="0" t="n">
        <v>78</v>
      </c>
      <c r="C380" s="0" t="n">
        <v>395778</v>
      </c>
      <c r="D380" s="0" t="s">
        <v>2096</v>
      </c>
      <c r="E380" s="0" t="s">
        <v>2049</v>
      </c>
      <c r="F380" s="0" t="str">
        <f aca="false">CONCATENATE(D380," ",LEFT(H380,4),"T=",AU380,"D=",AV380,"R=",AW380,"M=",AX380,"L=",AY380,"B=",AZ380)</f>
        <v>LEHMAN JRT=10D=0R=1M=0L=0B=0</v>
      </c>
      <c r="G380" s="0" t="s">
        <v>770</v>
      </c>
      <c r="H380" s="0" t="s">
        <v>314</v>
      </c>
      <c r="I380" s="0" t="s">
        <v>2097</v>
      </c>
      <c r="J380" s="0" t="s">
        <v>1712</v>
      </c>
      <c r="K380" s="0" t="s">
        <v>143</v>
      </c>
      <c r="M380" s="0" t="s">
        <v>2098</v>
      </c>
      <c r="N380" s="0" t="str">
        <f aca="false">RIGHT(M380,LEN(M380)-FIND(" ",M380))</f>
        <v>CHESTNUT AVE NE</v>
      </c>
      <c r="P380" s="0" t="s">
        <v>145</v>
      </c>
      <c r="Q380" s="0" t="s">
        <v>146</v>
      </c>
      <c r="R380" s="0" t="n">
        <v>44483</v>
      </c>
      <c r="AD380" s="0" t="s">
        <v>147</v>
      </c>
      <c r="AE380" s="0" t="s">
        <v>148</v>
      </c>
      <c r="AF380" s="0" t="s">
        <v>149</v>
      </c>
      <c r="AH380" s="0" t="n">
        <v>14</v>
      </c>
      <c r="AI380" s="0" t="n">
        <v>11</v>
      </c>
      <c r="AN380" s="0" t="s">
        <v>145</v>
      </c>
      <c r="AO380" s="0" t="s">
        <v>654</v>
      </c>
      <c r="AP380" s="0" t="s">
        <v>655</v>
      </c>
      <c r="AQ380" s="0" t="n">
        <v>9</v>
      </c>
      <c r="AR380" s="0" t="n">
        <v>64</v>
      </c>
      <c r="AS380" s="0" t="n">
        <v>32</v>
      </c>
      <c r="AU380" s="0" t="n">
        <f aca="false">COUNTA($BA$1827:$EH$1827)</f>
        <v>10</v>
      </c>
      <c r="AV380" s="0" t="n">
        <f aca="false">COUNTIF($BA$1827:$EH$1827,"D")</f>
        <v>0</v>
      </c>
      <c r="AW380" s="0" t="n">
        <f aca="false">COUNTIF($BA$1827:$EH$1827,"R")</f>
        <v>1</v>
      </c>
      <c r="AX380" s="0" t="n">
        <f aca="false">IF(BN380="D",1,0)+IF(BO380="D",1,0)+IF(BT380="D",1,0)+IF(BU380="D",1,0)+IF(BW380="D",1,0)+IF(CC380="D",1,0)+IF(CD380="D",1,0)+IF(CE380="D",1,0)+IF(CF380="D",1,0)+IF(CL380="D",1,0)+IF(CM380="D",1,0)+IF(CQ380="D",1,0)+IF(CR380="D",1,0)+IF(CS380="D",1,0)+IF(CW380="D",1,0)+IF(CX380="D",1,0)+IF(DD380="D",1,0)+IF(DE380="D",1,0)+IF(DJ380="D",1,0)+IF(DK380="D",1,0)+IF(DO380="D",1,0)+IF(DP380="D",1,0)+IF(DQ380="D",1,0)+IF(DW380="D",1,0)+IF(DZ380="D",1,0)+IF(EH380="D",1,0)</f>
        <v>0</v>
      </c>
      <c r="AY380" s="0" t="n">
        <f aca="false">COUNTIF(DU380:EH380, "&lt;&gt;")</f>
        <v>0</v>
      </c>
      <c r="AZ380" s="0" t="n">
        <f aca="false">IF(EH380&lt;&gt;"",1,0)</f>
        <v>0</v>
      </c>
      <c r="BB380" s="0" t="s">
        <v>152</v>
      </c>
      <c r="BL380" s="0" t="s">
        <v>153</v>
      </c>
    </row>
    <row r="381" customFormat="false" ht="13.8" hidden="true" customHeight="false" outlineLevel="0" collapsed="false">
      <c r="A381" s="0" t="s">
        <v>2099</v>
      </c>
      <c r="B381" s="0" t="n">
        <v>78</v>
      </c>
      <c r="C381" s="0" t="n">
        <v>485045</v>
      </c>
      <c r="D381" s="0" t="s">
        <v>2100</v>
      </c>
      <c r="E381" s="0" t="s">
        <v>2101</v>
      </c>
      <c r="F381" s="0" t="str">
        <f aca="false">CONCATENATE(D381," ",LEFT(H381,4),"T=",AU381,"D=",AV381,"R=",AW381,"M=",AX381,"L=",AY381,"B=",AZ381)</f>
        <v>OGLETREE T=3D=0R=0M=0L=0B=0</v>
      </c>
      <c r="G381" s="0" t="s">
        <v>215</v>
      </c>
      <c r="I381" s="0" t="s">
        <v>2102</v>
      </c>
      <c r="J381" s="0" t="s">
        <v>2103</v>
      </c>
      <c r="K381" s="0" t="s">
        <v>160</v>
      </c>
      <c r="M381" s="0" t="s">
        <v>2104</v>
      </c>
      <c r="N381" s="0" t="str">
        <f aca="false">RIGHT(M381,LEN(M381)-FIND(" ",M381))</f>
        <v>CHESTNUT AVE NE</v>
      </c>
      <c r="P381" s="0" t="s">
        <v>145</v>
      </c>
      <c r="Q381" s="0" t="s">
        <v>146</v>
      </c>
      <c r="R381" s="0" t="n">
        <v>44483</v>
      </c>
      <c r="AD381" s="0" t="s">
        <v>147</v>
      </c>
      <c r="AE381" s="0" t="s">
        <v>148</v>
      </c>
      <c r="AF381" s="0" t="s">
        <v>149</v>
      </c>
      <c r="AH381" s="0" t="n">
        <v>14</v>
      </c>
      <c r="AI381" s="0" t="n">
        <v>11</v>
      </c>
      <c r="AN381" s="0" t="s">
        <v>145</v>
      </c>
      <c r="AO381" s="0" t="s">
        <v>654</v>
      </c>
      <c r="AP381" s="0" t="s">
        <v>655</v>
      </c>
      <c r="AQ381" s="0" t="n">
        <v>9</v>
      </c>
      <c r="AR381" s="0" t="n">
        <v>64</v>
      </c>
      <c r="AS381" s="0" t="n">
        <v>32</v>
      </c>
      <c r="AU381" s="0" t="n">
        <f aca="false">COUNTA($BA$1135:$EH$1135)</f>
        <v>3</v>
      </c>
      <c r="AV381" s="0" t="n">
        <f aca="false">COUNTIF($BA$1135:$EH$1135,"D")</f>
        <v>0</v>
      </c>
      <c r="AW381" s="0" t="n">
        <f aca="false">COUNTIF($BA$1135:$EH$1135,"R")</f>
        <v>0</v>
      </c>
      <c r="AX381" s="0" t="n">
        <f aca="false">IF(BN381="D",1,0)+IF(BO381="D",1,0)+IF(BT381="D",1,0)+IF(BU381="D",1,0)+IF(BW381="D",1,0)+IF(CC381="D",1,0)+IF(CD381="D",1,0)+IF(CE381="D",1,0)+IF(CF381="D",1,0)+IF(CL381="D",1,0)+IF(CM381="D",1,0)+IF(CQ381="D",1,0)+IF(CR381="D",1,0)+IF(CS381="D",1,0)+IF(CW381="D",1,0)+IF(CX381="D",1,0)+IF(DD381="D",1,0)+IF(DE381="D",1,0)+IF(DJ381="D",1,0)+IF(DK381="D",1,0)+IF(DO381="D",1,0)+IF(DP381="D",1,0)+IF(DQ381="D",1,0)+IF(DW381="D",1,0)+IF(DZ381="D",1,0)+IF(EH381="D",1,0)</f>
        <v>0</v>
      </c>
      <c r="AY381" s="0" t="n">
        <f aca="false">COUNTIF(DU381:EH381, "&lt;&gt;")</f>
        <v>0</v>
      </c>
      <c r="AZ381" s="0" t="n">
        <f aca="false">IF(EH381&lt;&gt;"",1,0)</f>
        <v>0</v>
      </c>
      <c r="BB381" s="0" t="s">
        <v>152</v>
      </c>
    </row>
    <row r="382" customFormat="false" ht="13.8" hidden="true" customHeight="false" outlineLevel="0" collapsed="false">
      <c r="A382" s="0" t="s">
        <v>2105</v>
      </c>
      <c r="B382" s="0" t="n">
        <v>78</v>
      </c>
      <c r="C382" s="0" t="n">
        <v>476525</v>
      </c>
      <c r="D382" s="0" t="s">
        <v>1466</v>
      </c>
      <c r="E382" s="0" t="s">
        <v>2106</v>
      </c>
      <c r="F382" s="0" t="str">
        <f aca="false">CONCATENATE(D382," ",LEFT(H382,4),"T=",AU382,"D=",AV382,"R=",AW382,"M=",AX382,"L=",AY382,"B=",AZ382)</f>
        <v>JOHNSON T=13D=3R=0M=0L=0B=0</v>
      </c>
      <c r="I382" s="0" t="s">
        <v>2107</v>
      </c>
      <c r="J382" s="0" t="s">
        <v>2108</v>
      </c>
      <c r="K382" s="0" t="s">
        <v>160</v>
      </c>
      <c r="M382" s="0" t="s">
        <v>2104</v>
      </c>
      <c r="N382" s="0" t="str">
        <f aca="false">RIGHT(M382,LEN(M382)-FIND(" ",M382))</f>
        <v>CHESTNUT AVE NE</v>
      </c>
      <c r="P382" s="0" t="s">
        <v>145</v>
      </c>
      <c r="Q382" s="0" t="s">
        <v>146</v>
      </c>
      <c r="R382" s="0" t="n">
        <v>44483</v>
      </c>
      <c r="AD382" s="0" t="s">
        <v>147</v>
      </c>
      <c r="AE382" s="0" t="s">
        <v>148</v>
      </c>
      <c r="AF382" s="0" t="s">
        <v>149</v>
      </c>
      <c r="AH382" s="0" t="n">
        <v>14</v>
      </c>
      <c r="AI382" s="0" t="n">
        <v>11</v>
      </c>
      <c r="AN382" s="0" t="s">
        <v>145</v>
      </c>
      <c r="AO382" s="0" t="s">
        <v>654</v>
      </c>
      <c r="AP382" s="0" t="s">
        <v>655</v>
      </c>
      <c r="AQ382" s="0" t="n">
        <v>9</v>
      </c>
      <c r="AR382" s="0" t="n">
        <v>64</v>
      </c>
      <c r="AS382" s="0" t="n">
        <v>32</v>
      </c>
      <c r="AU382" s="0" t="n">
        <f aca="false">COUNTA($BA$1177:$EH$1177)</f>
        <v>13</v>
      </c>
      <c r="AV382" s="0" t="n">
        <f aca="false">COUNTIF($BA$1177:$EH$1177,"D")</f>
        <v>3</v>
      </c>
      <c r="AW382" s="0" t="n">
        <f aca="false">COUNTIF($BA$1177:$EH$1177,"R")</f>
        <v>0</v>
      </c>
      <c r="AX382" s="0" t="n">
        <f aca="false">IF(BN382="D",1,0)+IF(BO382="D",1,0)+IF(BT382="D",1,0)+IF(BU382="D",1,0)+IF(BW382="D",1,0)+IF(CC382="D",1,0)+IF(CD382="D",1,0)+IF(CE382="D",1,0)+IF(CF382="D",1,0)+IF(CL382="D",1,0)+IF(CM382="D",1,0)+IF(CQ382="D",1,0)+IF(CR382="D",1,0)+IF(CS382="D",1,0)+IF(CW382="D",1,0)+IF(CX382="D",1,0)+IF(DD382="D",1,0)+IF(DE382="D",1,0)+IF(DJ382="D",1,0)+IF(DK382="D",1,0)+IF(DO382="D",1,0)+IF(DP382="D",1,0)+IF(DQ382="D",1,0)+IF(DW382="D",1,0)+IF(DZ382="D",1,0)+IF(EH382="D",1,0)</f>
        <v>0</v>
      </c>
      <c r="AY382" s="0" t="n">
        <f aca="false">COUNTIF(DU382:EH382, "&lt;&gt;")</f>
        <v>0</v>
      </c>
      <c r="AZ382" s="0" t="n">
        <f aca="false">IF(EH382&lt;&gt;"",1,0)</f>
        <v>0</v>
      </c>
      <c r="BB382" s="0" t="s">
        <v>152</v>
      </c>
    </row>
    <row r="383" customFormat="false" ht="13.8" hidden="true" customHeight="false" outlineLevel="0" collapsed="false">
      <c r="A383" s="0" t="s">
        <v>2109</v>
      </c>
      <c r="B383" s="0" t="n">
        <v>78</v>
      </c>
      <c r="C383" s="0" t="n">
        <v>270524</v>
      </c>
      <c r="D383" s="0" t="s">
        <v>2023</v>
      </c>
      <c r="E383" s="0" t="s">
        <v>1082</v>
      </c>
      <c r="F383" s="0" t="str">
        <f aca="false">CONCATENATE(D383," ",LEFT(H383,4),"T=",AU383,"D=",AV383,"R=",AW383,"M=",AX383,"L=",AY383,"B=",AZ383)</f>
        <v>GILBERT T=7D=1R=0M=0L=0B=0</v>
      </c>
      <c r="G383" s="0" t="s">
        <v>190</v>
      </c>
      <c r="I383" s="0" t="s">
        <v>2110</v>
      </c>
      <c r="J383" s="0" t="s">
        <v>2111</v>
      </c>
      <c r="K383" s="0" t="s">
        <v>143</v>
      </c>
      <c r="M383" s="0" t="s">
        <v>2104</v>
      </c>
      <c r="N383" s="0" t="str">
        <f aca="false">RIGHT(M383,LEN(M383)-FIND(" ",M383))</f>
        <v>CHESTNUT AVE NE</v>
      </c>
      <c r="P383" s="0" t="s">
        <v>145</v>
      </c>
      <c r="Q383" s="0" t="s">
        <v>146</v>
      </c>
      <c r="R383" s="0" t="n">
        <v>44483</v>
      </c>
      <c r="AD383" s="0" t="s">
        <v>147</v>
      </c>
      <c r="AE383" s="0" t="s">
        <v>148</v>
      </c>
      <c r="AF383" s="0" t="s">
        <v>149</v>
      </c>
      <c r="AH383" s="0" t="n">
        <v>14</v>
      </c>
      <c r="AI383" s="0" t="n">
        <v>11</v>
      </c>
      <c r="AN383" s="0" t="s">
        <v>145</v>
      </c>
      <c r="AO383" s="0" t="s">
        <v>654</v>
      </c>
      <c r="AP383" s="0" t="s">
        <v>655</v>
      </c>
      <c r="AQ383" s="0" t="n">
        <v>9</v>
      </c>
      <c r="AR383" s="0" t="n">
        <v>64</v>
      </c>
      <c r="AS383" s="0" t="n">
        <v>32</v>
      </c>
      <c r="AU383" s="0" t="n">
        <f aca="false">COUNTA($BA$1720:$EH$1720)</f>
        <v>7</v>
      </c>
      <c r="AV383" s="0" t="n">
        <f aca="false">COUNTIF($BA$1720:$EH$1720,"D")</f>
        <v>1</v>
      </c>
      <c r="AW383" s="0" t="n">
        <f aca="false">COUNTIF($BA$1720:$EH$1720,"R")</f>
        <v>0</v>
      </c>
      <c r="AX383" s="0" t="n">
        <f aca="false">IF(BN383="D",1,0)+IF(BO383="D",1,0)+IF(BT383="D",1,0)+IF(BU383="D",1,0)+IF(BW383="D",1,0)+IF(CC383="D",1,0)+IF(CD383="D",1,0)+IF(CE383="D",1,0)+IF(CF383="D",1,0)+IF(CL383="D",1,0)+IF(CM383="D",1,0)+IF(CQ383="D",1,0)+IF(CR383="D",1,0)+IF(CS383="D",1,0)+IF(CW383="D",1,0)+IF(CX383="D",1,0)+IF(DD383="D",1,0)+IF(DE383="D",1,0)+IF(DJ383="D",1,0)+IF(DK383="D",1,0)+IF(DO383="D",1,0)+IF(DP383="D",1,0)+IF(DQ383="D",1,0)+IF(DW383="D",1,0)+IF(DZ383="D",1,0)+IF(EH383="D",1,0)</f>
        <v>0</v>
      </c>
      <c r="AY383" s="0" t="n">
        <f aca="false">COUNTIF(DU383:EH383, "&lt;&gt;")</f>
        <v>0</v>
      </c>
      <c r="AZ383" s="0" t="n">
        <f aca="false">IF(EH383&lt;&gt;"",1,0)</f>
        <v>0</v>
      </c>
      <c r="BB383" s="0" t="s">
        <v>152</v>
      </c>
      <c r="BC383" s="0" t="s">
        <v>153</v>
      </c>
      <c r="BL383" s="0" t="s">
        <v>153</v>
      </c>
      <c r="BP383" s="0" t="s">
        <v>153</v>
      </c>
      <c r="BS383" s="0" t="s">
        <v>153</v>
      </c>
      <c r="BY383" s="0" t="s">
        <v>175</v>
      </c>
      <c r="CA383" s="0" t="s">
        <v>153</v>
      </c>
    </row>
    <row r="384" customFormat="false" ht="13.8" hidden="false" customHeight="false" outlineLevel="0" collapsed="false">
      <c r="A384" s="0" t="s">
        <v>2112</v>
      </c>
      <c r="B384" s="0" t="n">
        <v>78</v>
      </c>
      <c r="C384" s="0" t="n">
        <v>446176</v>
      </c>
      <c r="D384" s="0" t="s">
        <v>2113</v>
      </c>
      <c r="E384" s="0" t="s">
        <v>2114</v>
      </c>
      <c r="F384" s="0" t="str">
        <f aca="false">CONCATENATE(D384," ",LEFT(H384,4),"T=",AU384,"D=",AV384,"R=",AW384,"M=",AX384,"L=",AY384,"B=",AZ384)</f>
        <v>PAYNE T=33D=8R=0M=1L=3B=0</v>
      </c>
      <c r="G384" s="0" t="s">
        <v>175</v>
      </c>
      <c r="I384" s="0" t="s">
        <v>2115</v>
      </c>
      <c r="J384" s="0" t="s">
        <v>2116</v>
      </c>
      <c r="K384" s="0" t="s">
        <v>160</v>
      </c>
      <c r="L384" s="0" t="s">
        <v>175</v>
      </c>
      <c r="M384" s="0" t="s">
        <v>2104</v>
      </c>
      <c r="N384" s="0" t="str">
        <f aca="false">RIGHT(M384,LEN(M384)-FIND(" ",M384))</f>
        <v>CHESTNUT AVE NE</v>
      </c>
      <c r="P384" s="0" t="s">
        <v>145</v>
      </c>
      <c r="Q384" s="0" t="s">
        <v>146</v>
      </c>
      <c r="R384" s="0" t="n">
        <v>44483</v>
      </c>
      <c r="AD384" s="0" t="s">
        <v>147</v>
      </c>
      <c r="AE384" s="0" t="s">
        <v>148</v>
      </c>
      <c r="AF384" s="0" t="s">
        <v>149</v>
      </c>
      <c r="AH384" s="0" t="n">
        <v>14</v>
      </c>
      <c r="AI384" s="0" t="n">
        <v>11</v>
      </c>
      <c r="AN384" s="0" t="s">
        <v>145</v>
      </c>
      <c r="AO384" s="0" t="s">
        <v>654</v>
      </c>
      <c r="AP384" s="0" t="s">
        <v>655</v>
      </c>
      <c r="AQ384" s="0" t="n">
        <v>9</v>
      </c>
      <c r="AR384" s="0" t="n">
        <v>64</v>
      </c>
      <c r="AS384" s="0" t="n">
        <v>32</v>
      </c>
      <c r="AU384" s="0" t="n">
        <f aca="false">COUNTA($BA$1841:$EH$1841)</f>
        <v>33</v>
      </c>
      <c r="AV384" s="0" t="n">
        <f aca="false">COUNTIF($BA$1841:$EH$1841,"D")</f>
        <v>8</v>
      </c>
      <c r="AW384" s="0" t="n">
        <f aca="false">COUNTIF($BA$1841:$EH$1841,"R")</f>
        <v>0</v>
      </c>
      <c r="AX384" s="0" t="n">
        <f aca="false">IF(BN384="D",1,0)+IF(BO384="D",1,0)+IF(BT384="D",1,0)+IF(BU384="D",1,0)+IF(BW384="D",1,0)+IF(CC384="D",1,0)+IF(CD384="D",1,0)+IF(CE384="D",1,0)+IF(CF384="D",1,0)+IF(CL384="D",1,0)+IF(CM384="D",1,0)+IF(CQ384="D",1,0)+IF(CR384="D",1,0)+IF(CS384="D",1,0)+IF(CW384="D",1,0)+IF(CX384="D",1,0)+IF(DD384="D",1,0)+IF(DE384="D",1,0)+IF(DJ384="D",1,0)+IF(DK384="D",1,0)+IF(DO384="D",1,0)+IF(DP384="D",1,0)+IF(DQ384="D",1,0)+IF(DW384="D",1,0)+IF(DZ384="D",1,0)+IF(EH384="D",1,0)</f>
        <v>1</v>
      </c>
      <c r="AY384" s="0" t="n">
        <f aca="false">COUNTIF(DU384:EH384, "&lt;&gt;")</f>
        <v>3</v>
      </c>
      <c r="AZ384" s="0" t="n">
        <f aca="false">IF(EH384&lt;&gt;"",1,0)</f>
        <v>0</v>
      </c>
      <c r="BB384" s="0" t="s">
        <v>152</v>
      </c>
      <c r="BY384" s="0" t="s">
        <v>175</v>
      </c>
      <c r="CA384" s="0" t="s">
        <v>153</v>
      </c>
      <c r="CZ384" s="0" t="s">
        <v>175</v>
      </c>
      <c r="DW384" s="0" t="s">
        <v>175</v>
      </c>
      <c r="DX384" s="0" t="s">
        <v>153</v>
      </c>
      <c r="EF384" s="0" t="s">
        <v>153</v>
      </c>
    </row>
    <row r="385" customFormat="false" ht="13.8" hidden="true" customHeight="false" outlineLevel="0" collapsed="false">
      <c r="A385" s="0" t="s">
        <v>2117</v>
      </c>
      <c r="B385" s="0" t="n">
        <v>78</v>
      </c>
      <c r="C385" s="0" t="n">
        <v>475766</v>
      </c>
      <c r="D385" s="0" t="s">
        <v>2100</v>
      </c>
      <c r="E385" s="0" t="s">
        <v>2118</v>
      </c>
      <c r="F385" s="0" t="str">
        <f aca="false">CONCATENATE(D385," ",LEFT(H385,4),"T=",AU385,"D=",AV385,"R=",AW385,"M=",AX385,"L=",AY385,"B=",AZ385)</f>
        <v>OGLETREE T=1D=0R=0M=0L=1B=0</v>
      </c>
      <c r="G385" s="0" t="s">
        <v>164</v>
      </c>
      <c r="I385" s="0" t="s">
        <v>2119</v>
      </c>
      <c r="J385" s="0" t="s">
        <v>2120</v>
      </c>
      <c r="K385" s="0" t="s">
        <v>160</v>
      </c>
      <c r="M385" s="0" t="s">
        <v>2104</v>
      </c>
      <c r="N385" s="0" t="str">
        <f aca="false">RIGHT(M385,LEN(M385)-FIND(" ",M385))</f>
        <v>CHESTNUT AVE NE</v>
      </c>
      <c r="P385" s="0" t="s">
        <v>145</v>
      </c>
      <c r="Q385" s="0" t="s">
        <v>146</v>
      </c>
      <c r="R385" s="0" t="n">
        <v>44483</v>
      </c>
      <c r="AD385" s="0" t="s">
        <v>147</v>
      </c>
      <c r="AE385" s="0" t="s">
        <v>148</v>
      </c>
      <c r="AF385" s="0" t="s">
        <v>149</v>
      </c>
      <c r="AH385" s="0" t="n">
        <v>14</v>
      </c>
      <c r="AI385" s="0" t="n">
        <v>11</v>
      </c>
      <c r="AN385" s="0" t="s">
        <v>145</v>
      </c>
      <c r="AO385" s="0" t="s">
        <v>654</v>
      </c>
      <c r="AP385" s="0" t="s">
        <v>655</v>
      </c>
      <c r="AQ385" s="0" t="n">
        <v>9</v>
      </c>
      <c r="AR385" s="0" t="n">
        <v>64</v>
      </c>
      <c r="AS385" s="0" t="n">
        <v>32</v>
      </c>
      <c r="AU385" s="0" t="n">
        <f aca="false">COUNTA($BA$1987:$EH$1987)</f>
        <v>1</v>
      </c>
      <c r="AV385" s="0" t="n">
        <f aca="false">COUNTIF($BA$1987:$EH$1987,"D")</f>
        <v>0</v>
      </c>
      <c r="AW385" s="0" t="n">
        <f aca="false">COUNTIF($BA$1987:$EH$1987,"R")</f>
        <v>0</v>
      </c>
      <c r="AX385" s="0" t="n">
        <f aca="false">IF(BN385="D",1,0)+IF(BO385="D",1,0)+IF(BT385="D",1,0)+IF(BU385="D",1,0)+IF(BW385="D",1,0)+IF(CC385="D",1,0)+IF(CD385="D",1,0)+IF(CE385="D",1,0)+IF(CF385="D",1,0)+IF(CL385="D",1,0)+IF(CM385="D",1,0)+IF(CQ385="D",1,0)+IF(CR385="D",1,0)+IF(CS385="D",1,0)+IF(CW385="D",1,0)+IF(CX385="D",1,0)+IF(DD385="D",1,0)+IF(DE385="D",1,0)+IF(DJ385="D",1,0)+IF(DK385="D",1,0)+IF(DO385="D",1,0)+IF(DP385="D",1,0)+IF(DQ385="D",1,0)+IF(DW385="D",1,0)+IF(DZ385="D",1,0)+IF(EH385="D",1,0)</f>
        <v>0</v>
      </c>
      <c r="AY385" s="0" t="n">
        <f aca="false">COUNTIF(DU385:EH385, "&lt;&gt;")</f>
        <v>1</v>
      </c>
      <c r="AZ385" s="0" t="n">
        <f aca="false">IF(EH385&lt;&gt;"",1,0)</f>
        <v>0</v>
      </c>
      <c r="BB385" s="0" t="s">
        <v>152</v>
      </c>
      <c r="EF385" s="0" t="s">
        <v>153</v>
      </c>
    </row>
    <row r="386" customFormat="false" ht="13.8" hidden="false" customHeight="false" outlineLevel="0" collapsed="false">
      <c r="A386" s="0" t="s">
        <v>2121</v>
      </c>
      <c r="B386" s="0" t="n">
        <v>78</v>
      </c>
      <c r="C386" s="0" t="n">
        <v>417842</v>
      </c>
      <c r="D386" s="0" t="s">
        <v>690</v>
      </c>
      <c r="E386" s="0" t="s">
        <v>2122</v>
      </c>
      <c r="F386" s="0" t="str">
        <f aca="false">CONCATENATE(D386," ",LEFT(H386,4),"T=",AU386,"D=",AV386,"R=",AW386,"M=",AX386,"L=",AY386,"B=",AZ386)</f>
        <v>SMITH T=1D=0R=0M=0L=2B=0</v>
      </c>
      <c r="G386" s="0" t="s">
        <v>2123</v>
      </c>
      <c r="I386" s="0" t="s">
        <v>2124</v>
      </c>
      <c r="J386" s="0" t="s">
        <v>2125</v>
      </c>
      <c r="K386" s="0" t="s">
        <v>160</v>
      </c>
      <c r="M386" s="0" t="s">
        <v>2126</v>
      </c>
      <c r="N386" s="0" t="str">
        <f aca="false">RIGHT(M386,LEN(M386)-FIND(" ",M386))</f>
        <v>CHESTNUT AVE NE</v>
      </c>
      <c r="P386" s="0" t="s">
        <v>145</v>
      </c>
      <c r="Q386" s="0" t="s">
        <v>146</v>
      </c>
      <c r="R386" s="0" t="n">
        <v>44483</v>
      </c>
      <c r="AD386" s="0" t="s">
        <v>147</v>
      </c>
      <c r="AE386" s="0" t="s">
        <v>148</v>
      </c>
      <c r="AF386" s="0" t="s">
        <v>149</v>
      </c>
      <c r="AH386" s="0" t="n">
        <v>14</v>
      </c>
      <c r="AI386" s="0" t="n">
        <v>11</v>
      </c>
      <c r="AN386" s="0" t="s">
        <v>145</v>
      </c>
      <c r="AO386" s="0" t="s">
        <v>654</v>
      </c>
      <c r="AP386" s="0" t="s">
        <v>655</v>
      </c>
      <c r="AQ386" s="0" t="n">
        <v>9</v>
      </c>
      <c r="AR386" s="0" t="n">
        <v>64</v>
      </c>
      <c r="AS386" s="0" t="n">
        <v>32</v>
      </c>
      <c r="AU386" s="0" t="n">
        <f aca="false">COUNTA($BA$1896:$EH$1896)</f>
        <v>1</v>
      </c>
      <c r="AV386" s="0" t="n">
        <f aca="false">COUNTIF($BA$1896:$EH$1896,"D")</f>
        <v>0</v>
      </c>
      <c r="AW386" s="0" t="n">
        <f aca="false">COUNTIF($BA$1896:$EH$1896,"R")</f>
        <v>0</v>
      </c>
      <c r="AX386" s="0" t="n">
        <f aca="false">IF(BN386="D",1,0)+IF(BO386="D",1,0)+IF(BT386="D",1,0)+IF(BU386="D",1,0)+IF(BW386="D",1,0)+IF(CC386="D",1,0)+IF(CD386="D",1,0)+IF(CE386="D",1,0)+IF(CF386="D",1,0)+IF(CL386="D",1,0)+IF(CM386="D",1,0)+IF(CQ386="D",1,0)+IF(CR386="D",1,0)+IF(CS386="D",1,0)+IF(CW386="D",1,0)+IF(CX386="D",1,0)+IF(DD386="D",1,0)+IF(DE386="D",1,0)+IF(DJ386="D",1,0)+IF(DK386="D",1,0)+IF(DO386="D",1,0)+IF(DP386="D",1,0)+IF(DQ386="D",1,0)+IF(DW386="D",1,0)+IF(DZ386="D",1,0)+IF(EH386="D",1,0)</f>
        <v>0</v>
      </c>
      <c r="AY386" s="0" t="n">
        <f aca="false">COUNTIF(DU386:EH386, "&lt;&gt;")</f>
        <v>2</v>
      </c>
      <c r="AZ386" s="0" t="n">
        <f aca="false">IF(EH386&lt;&gt;"",1,0)</f>
        <v>0</v>
      </c>
      <c r="BB386" s="0" t="s">
        <v>152</v>
      </c>
      <c r="DC386" s="0" t="s">
        <v>153</v>
      </c>
      <c r="EA386" s="0" t="s">
        <v>153</v>
      </c>
      <c r="EF386" s="0" t="s">
        <v>153</v>
      </c>
    </row>
    <row r="387" customFormat="false" ht="13.8" hidden="true" customHeight="false" outlineLevel="0" collapsed="false">
      <c r="A387" s="0" t="s">
        <v>2127</v>
      </c>
      <c r="B387" s="0" t="n">
        <v>78</v>
      </c>
      <c r="C387" s="0" t="n">
        <v>405045</v>
      </c>
      <c r="D387" s="0" t="s">
        <v>2128</v>
      </c>
      <c r="E387" s="0" t="s">
        <v>2129</v>
      </c>
      <c r="F387" s="0" t="str">
        <f aca="false">CONCATENATE(D387," ",LEFT(H387,4),"T=",AU387,"D=",AV387,"R=",AW387,"M=",AX387,"L=",AY387,"B=",AZ387)</f>
        <v>SYLVESTER T=4D=0R=0M=0L=0B=0</v>
      </c>
      <c r="G387" s="0" t="s">
        <v>2130</v>
      </c>
      <c r="I387" s="0" t="s">
        <v>2131</v>
      </c>
      <c r="J387" s="0" t="s">
        <v>2132</v>
      </c>
      <c r="K387" s="0" t="s">
        <v>143</v>
      </c>
      <c r="M387" s="0" t="s">
        <v>2133</v>
      </c>
      <c r="N387" s="0" t="str">
        <f aca="false">RIGHT(M387,LEN(M387)-FIND(" ",M387))</f>
        <v>CHESTNUT AVE NE</v>
      </c>
      <c r="O387" s="0" t="s">
        <v>297</v>
      </c>
      <c r="P387" s="0" t="s">
        <v>145</v>
      </c>
      <c r="Q387" s="0" t="s">
        <v>146</v>
      </c>
      <c r="R387" s="0" t="n">
        <v>44483</v>
      </c>
      <c r="AD387" s="0" t="s">
        <v>147</v>
      </c>
      <c r="AE387" s="0" t="s">
        <v>148</v>
      </c>
      <c r="AF387" s="0" t="s">
        <v>149</v>
      </c>
      <c r="AH387" s="0" t="n">
        <v>14</v>
      </c>
      <c r="AI387" s="0" t="n">
        <v>11</v>
      </c>
      <c r="AN387" s="0" t="s">
        <v>145</v>
      </c>
      <c r="AO387" s="0" t="s">
        <v>654</v>
      </c>
      <c r="AP387" s="0" t="s">
        <v>655</v>
      </c>
      <c r="AQ387" s="0" t="n">
        <v>9</v>
      </c>
      <c r="AR387" s="0" t="n">
        <v>64</v>
      </c>
      <c r="AS387" s="0" t="n">
        <v>32</v>
      </c>
      <c r="AU387" s="0" t="n">
        <f aca="false">COUNTA($BA$2020:$EH$2020)</f>
        <v>4</v>
      </c>
      <c r="AV387" s="0" t="n">
        <f aca="false">COUNTIF($BA$2020:$EH$2020,"D")</f>
        <v>0</v>
      </c>
      <c r="AW387" s="0" t="n">
        <f aca="false">COUNTIF($BA$2020:$EH$2020,"R")</f>
        <v>0</v>
      </c>
      <c r="AX387" s="0" t="n">
        <f aca="false">IF(BN387="D",1,0)+IF(BO387="D",1,0)+IF(BT387="D",1,0)+IF(BU387="D",1,0)+IF(BW387="D",1,0)+IF(CC387="D",1,0)+IF(CD387="D",1,0)+IF(CE387="D",1,0)+IF(CF387="D",1,0)+IF(CL387="D",1,0)+IF(CM387="D",1,0)+IF(CQ387="D",1,0)+IF(CR387="D",1,0)+IF(CS387="D",1,0)+IF(CW387="D",1,0)+IF(CX387="D",1,0)+IF(DD387="D",1,0)+IF(DE387="D",1,0)+IF(DJ387="D",1,0)+IF(DK387="D",1,0)+IF(DO387="D",1,0)+IF(DP387="D",1,0)+IF(DQ387="D",1,0)+IF(DW387="D",1,0)+IF(DZ387="D",1,0)+IF(EH387="D",1,0)</f>
        <v>0</v>
      </c>
      <c r="AY387" s="0" t="n">
        <f aca="false">COUNTIF(DU387:EH387, "&lt;&gt;")</f>
        <v>0</v>
      </c>
      <c r="AZ387" s="0" t="n">
        <f aca="false">IF(EH387&lt;&gt;"",1,0)</f>
        <v>0</v>
      </c>
      <c r="BB387" s="0" t="s">
        <v>152</v>
      </c>
    </row>
    <row r="388" customFormat="false" ht="13.8" hidden="true" customHeight="false" outlineLevel="0" collapsed="false">
      <c r="A388" s="0" t="s">
        <v>2134</v>
      </c>
      <c r="B388" s="0" t="n">
        <v>78</v>
      </c>
      <c r="C388" s="0" t="n">
        <v>457181</v>
      </c>
      <c r="D388" s="0" t="s">
        <v>2135</v>
      </c>
      <c r="E388" s="0" t="s">
        <v>2136</v>
      </c>
      <c r="F388" s="0" t="str">
        <f aca="false">CONCATENATE(D388," ",LEFT(H388,4),"T=",AU388,"D=",AV388,"R=",AW388,"M=",AX388,"L=",AY388,"B=",AZ388)</f>
        <v>OMAR T=3D=0R=0M=0L=0B=0</v>
      </c>
      <c r="G388" s="0" t="s">
        <v>195</v>
      </c>
      <c r="I388" s="0" t="s">
        <v>2137</v>
      </c>
      <c r="J388" s="0" t="s">
        <v>2138</v>
      </c>
      <c r="K388" s="0" t="s">
        <v>143</v>
      </c>
      <c r="M388" s="0" t="s">
        <v>2139</v>
      </c>
      <c r="N388" s="0" t="str">
        <f aca="false">RIGHT(M388,LEN(M388)-FIND(" ",M388))</f>
        <v>CHESTNUT AVE NE</v>
      </c>
      <c r="P388" s="0" t="s">
        <v>145</v>
      </c>
      <c r="Q388" s="0" t="s">
        <v>146</v>
      </c>
      <c r="R388" s="0" t="n">
        <v>44483</v>
      </c>
      <c r="AD388" s="0" t="s">
        <v>147</v>
      </c>
      <c r="AE388" s="0" t="s">
        <v>148</v>
      </c>
      <c r="AF388" s="0" t="s">
        <v>149</v>
      </c>
      <c r="AH388" s="0" t="n">
        <v>14</v>
      </c>
      <c r="AI388" s="0" t="n">
        <v>11</v>
      </c>
      <c r="AN388" s="0" t="s">
        <v>145</v>
      </c>
      <c r="AO388" s="0" t="s">
        <v>654</v>
      </c>
      <c r="AP388" s="0" t="s">
        <v>655</v>
      </c>
      <c r="AQ388" s="0" t="n">
        <v>9</v>
      </c>
      <c r="AR388" s="0" t="n">
        <v>64</v>
      </c>
      <c r="AS388" s="0" t="n">
        <v>32</v>
      </c>
      <c r="AU388" s="0" t="n">
        <f aca="false">COUNTA($BA$1537:$EH$1537)</f>
        <v>3</v>
      </c>
      <c r="AV388" s="0" t="n">
        <f aca="false">COUNTIF($BA$1537:$EH$1537,"D")</f>
        <v>0</v>
      </c>
      <c r="AW388" s="0" t="n">
        <f aca="false">COUNTIF($BA$1537:$EH$1537,"R")</f>
        <v>0</v>
      </c>
      <c r="AX388" s="0" t="n">
        <f aca="false">IF(BN388="D",1,0)+IF(BO388="D",1,0)+IF(BT388="D",1,0)+IF(BU388="D",1,0)+IF(BW388="D",1,0)+IF(CC388="D",1,0)+IF(CD388="D",1,0)+IF(CE388="D",1,0)+IF(CF388="D",1,0)+IF(CL388="D",1,0)+IF(CM388="D",1,0)+IF(CQ388="D",1,0)+IF(CR388="D",1,0)+IF(CS388="D",1,0)+IF(CW388="D",1,0)+IF(CX388="D",1,0)+IF(DD388="D",1,0)+IF(DE388="D",1,0)+IF(DJ388="D",1,0)+IF(DK388="D",1,0)+IF(DO388="D",1,0)+IF(DP388="D",1,0)+IF(DQ388="D",1,0)+IF(DW388="D",1,0)+IF(DZ388="D",1,0)+IF(EH388="D",1,0)</f>
        <v>0</v>
      </c>
      <c r="AY388" s="0" t="n">
        <f aca="false">COUNTIF(DU388:EH388, "&lt;&gt;")</f>
        <v>0</v>
      </c>
      <c r="AZ388" s="0" t="n">
        <f aca="false">IF(EH388&lt;&gt;"",1,0)</f>
        <v>0</v>
      </c>
      <c r="BB388" s="0" t="s">
        <v>152</v>
      </c>
      <c r="CP388" s="0" t="s">
        <v>153</v>
      </c>
    </row>
    <row r="389" customFormat="false" ht="13.8" hidden="true" customHeight="false" outlineLevel="0" collapsed="false">
      <c r="A389" s="0" t="s">
        <v>2140</v>
      </c>
      <c r="B389" s="0" t="n">
        <v>78</v>
      </c>
      <c r="C389" s="0" t="n">
        <v>315775</v>
      </c>
      <c r="D389" s="0" t="s">
        <v>2141</v>
      </c>
      <c r="E389" s="0" t="s">
        <v>2142</v>
      </c>
      <c r="F389" s="0" t="str">
        <f aca="false">CONCATENATE(D389," ",LEFT(H389,4),"T=",AU389,"D=",AV389,"R=",AW389,"M=",AX389,"L=",AY389,"B=",AZ389)</f>
        <v>MAY T=11D=0R=1M=0L=0B=0</v>
      </c>
      <c r="G389" s="0" t="s">
        <v>606</v>
      </c>
      <c r="I389" s="0" t="s">
        <v>2143</v>
      </c>
      <c r="J389" s="0" t="s">
        <v>2144</v>
      </c>
      <c r="K389" s="0" t="s">
        <v>143</v>
      </c>
      <c r="M389" s="0" t="s">
        <v>2145</v>
      </c>
      <c r="N389" s="0" t="str">
        <f aca="false">RIGHT(M389,LEN(M389)-FIND(" ",M389))</f>
        <v>CHESTNUT AVE NE</v>
      </c>
      <c r="O389" s="0" t="s">
        <v>297</v>
      </c>
      <c r="P389" s="0" t="s">
        <v>145</v>
      </c>
      <c r="Q389" s="0" t="s">
        <v>146</v>
      </c>
      <c r="R389" s="0" t="n">
        <v>44483</v>
      </c>
      <c r="AD389" s="0" t="s">
        <v>147</v>
      </c>
      <c r="AE389" s="0" t="s">
        <v>148</v>
      </c>
      <c r="AF389" s="0" t="s">
        <v>149</v>
      </c>
      <c r="AH389" s="0" t="n">
        <v>14</v>
      </c>
      <c r="AI389" s="0" t="n">
        <v>11</v>
      </c>
      <c r="AN389" s="0" t="s">
        <v>145</v>
      </c>
      <c r="AO389" s="0" t="s">
        <v>654</v>
      </c>
      <c r="AP389" s="0" t="s">
        <v>655</v>
      </c>
      <c r="AQ389" s="0" t="n">
        <v>9</v>
      </c>
      <c r="AR389" s="0" t="n">
        <v>64</v>
      </c>
      <c r="AS389" s="0" t="n">
        <v>32</v>
      </c>
      <c r="AU389" s="0" t="n">
        <f aca="false">COUNTA($BA$1749:$EH$1749)</f>
        <v>11</v>
      </c>
      <c r="AV389" s="0" t="n">
        <f aca="false">COUNTIF($BA$1749:$EH$1749,"D")</f>
        <v>0</v>
      </c>
      <c r="AW389" s="0" t="n">
        <f aca="false">COUNTIF($BA$1749:$EH$1749,"R")</f>
        <v>1</v>
      </c>
      <c r="AX389" s="0" t="n">
        <f aca="false">IF(BN389="D",1,0)+IF(BO389="D",1,0)+IF(BT389="D",1,0)+IF(BU389="D",1,0)+IF(BW389="D",1,0)+IF(CC389="D",1,0)+IF(CD389="D",1,0)+IF(CE389="D",1,0)+IF(CF389="D",1,0)+IF(CL389="D",1,0)+IF(CM389="D",1,0)+IF(CQ389="D",1,0)+IF(CR389="D",1,0)+IF(CS389="D",1,0)+IF(CW389="D",1,0)+IF(CX389="D",1,0)+IF(DD389="D",1,0)+IF(DE389="D",1,0)+IF(DJ389="D",1,0)+IF(DK389="D",1,0)+IF(DO389="D",1,0)+IF(DP389="D",1,0)+IF(DQ389="D",1,0)+IF(DW389="D",1,0)+IF(DZ389="D",1,0)+IF(EH389="D",1,0)</f>
        <v>0</v>
      </c>
      <c r="AY389" s="0" t="n">
        <f aca="false">COUNTIF(DU389:EH389, "&lt;&gt;")</f>
        <v>0</v>
      </c>
      <c r="AZ389" s="0" t="n">
        <f aca="false">IF(EH389&lt;&gt;"",1,0)</f>
        <v>0</v>
      </c>
      <c r="BB389" s="0" t="s">
        <v>152</v>
      </c>
      <c r="BL389" s="0" t="s">
        <v>153</v>
      </c>
    </row>
    <row r="390" customFormat="false" ht="13.8" hidden="true" customHeight="false" outlineLevel="0" collapsed="false">
      <c r="A390" s="0" t="s">
        <v>2146</v>
      </c>
      <c r="B390" s="0" t="n">
        <v>78</v>
      </c>
      <c r="C390" s="0" t="n">
        <v>336458</v>
      </c>
      <c r="D390" s="0" t="s">
        <v>2141</v>
      </c>
      <c r="E390" s="0" t="s">
        <v>1282</v>
      </c>
      <c r="F390" s="0" t="str">
        <f aca="false">CONCATENATE(D390," ",LEFT(H390,4),"T=",AU390,"D=",AV390,"R=",AW390,"M=",AX390,"L=",AY390,"B=",AZ390)</f>
        <v>MAY T=26D=7R=0M=0L=0B=0</v>
      </c>
      <c r="G390" s="0" t="s">
        <v>190</v>
      </c>
      <c r="I390" s="0" t="s">
        <v>2147</v>
      </c>
      <c r="J390" s="0" t="s">
        <v>693</v>
      </c>
      <c r="K390" s="0" t="s">
        <v>143</v>
      </c>
      <c r="M390" s="0" t="s">
        <v>2145</v>
      </c>
      <c r="N390" s="0" t="str">
        <f aca="false">RIGHT(M390,LEN(M390)-FIND(" ",M390))</f>
        <v>CHESTNUT AVE NE</v>
      </c>
      <c r="O390" s="0" t="s">
        <v>297</v>
      </c>
      <c r="P390" s="0" t="s">
        <v>145</v>
      </c>
      <c r="Q390" s="0" t="s">
        <v>146</v>
      </c>
      <c r="R390" s="0" t="n">
        <v>44483</v>
      </c>
      <c r="AD390" s="0" t="s">
        <v>147</v>
      </c>
      <c r="AE390" s="0" t="s">
        <v>148</v>
      </c>
      <c r="AF390" s="0" t="s">
        <v>149</v>
      </c>
      <c r="AH390" s="0" t="n">
        <v>14</v>
      </c>
      <c r="AI390" s="0" t="n">
        <v>11</v>
      </c>
      <c r="AN390" s="0" t="s">
        <v>145</v>
      </c>
      <c r="AO390" s="0" t="s">
        <v>654</v>
      </c>
      <c r="AP390" s="0" t="s">
        <v>655</v>
      </c>
      <c r="AQ390" s="0" t="n">
        <v>9</v>
      </c>
      <c r="AR390" s="0" t="n">
        <v>64</v>
      </c>
      <c r="AS390" s="0" t="n">
        <v>32</v>
      </c>
      <c r="AU390" s="0" t="n">
        <f aca="false">COUNTA($BA$1844:$EH$1844)</f>
        <v>26</v>
      </c>
      <c r="AV390" s="0" t="n">
        <f aca="false">COUNTIF($BA$1844:$EH$1844,"D")</f>
        <v>7</v>
      </c>
      <c r="AW390" s="0" t="n">
        <f aca="false">COUNTIF($BA$1844:$EH$1844,"R")</f>
        <v>0</v>
      </c>
      <c r="AX390" s="0" t="n">
        <f aca="false">IF(BN390="D",1,0)+IF(BO390="D",1,0)+IF(BT390="D",1,0)+IF(BU390="D",1,0)+IF(BW390="D",1,0)+IF(CC390="D",1,0)+IF(CD390="D",1,0)+IF(CE390="D",1,0)+IF(CF390="D",1,0)+IF(CL390="D",1,0)+IF(CM390="D",1,0)+IF(CQ390="D",1,0)+IF(CR390="D",1,0)+IF(CS390="D",1,0)+IF(CW390="D",1,0)+IF(CX390="D",1,0)+IF(DD390="D",1,0)+IF(DE390="D",1,0)+IF(DJ390="D",1,0)+IF(DK390="D",1,0)+IF(DO390="D",1,0)+IF(DP390="D",1,0)+IF(DQ390="D",1,0)+IF(DW390="D",1,0)+IF(DZ390="D",1,0)+IF(EH390="D",1,0)</f>
        <v>0</v>
      </c>
      <c r="AY390" s="0" t="n">
        <f aca="false">COUNTIF(DU390:EH390, "&lt;&gt;")</f>
        <v>0</v>
      </c>
      <c r="AZ390" s="0" t="n">
        <f aca="false">IF(EH390&lt;&gt;"",1,0)</f>
        <v>0</v>
      </c>
      <c r="BB390" s="0" t="s">
        <v>152</v>
      </c>
    </row>
    <row r="391" customFormat="false" ht="13.8" hidden="true" customHeight="false" outlineLevel="0" collapsed="false">
      <c r="A391" s="0" t="s">
        <v>2148</v>
      </c>
      <c r="B391" s="0" t="n">
        <v>78</v>
      </c>
      <c r="C391" s="0" t="n">
        <v>391404</v>
      </c>
      <c r="D391" s="0" t="s">
        <v>2149</v>
      </c>
      <c r="E391" s="0" t="s">
        <v>895</v>
      </c>
      <c r="F391" s="0" t="str">
        <f aca="false">CONCATENATE(D391," ",LEFT(H391,4),"T=",AU391,"D=",AV391,"R=",AW391,"M=",AX391,"L=",AY391,"B=",AZ391)</f>
        <v>BAILES T=39D=10R=0M=0L=1B=0</v>
      </c>
      <c r="G391" s="0" t="s">
        <v>2150</v>
      </c>
      <c r="I391" s="0" t="s">
        <v>2151</v>
      </c>
      <c r="J391" s="0" t="s">
        <v>2152</v>
      </c>
      <c r="K391" s="0" t="s">
        <v>160</v>
      </c>
      <c r="M391" s="0" t="s">
        <v>2153</v>
      </c>
      <c r="N391" s="0" t="str">
        <f aca="false">RIGHT(M391,LEN(M391)-FIND(" ",M391))</f>
        <v>CHESTNUT AVE NE</v>
      </c>
      <c r="P391" s="0" t="s">
        <v>145</v>
      </c>
      <c r="Q391" s="0" t="s">
        <v>146</v>
      </c>
      <c r="R391" s="0" t="n">
        <v>44483</v>
      </c>
      <c r="AD391" s="0" t="s">
        <v>147</v>
      </c>
      <c r="AE391" s="0" t="s">
        <v>148</v>
      </c>
      <c r="AF391" s="0" t="s">
        <v>149</v>
      </c>
      <c r="AH391" s="0" t="n">
        <v>14</v>
      </c>
      <c r="AI391" s="0" t="n">
        <v>11</v>
      </c>
      <c r="AN391" s="0" t="s">
        <v>145</v>
      </c>
      <c r="AO391" s="0" t="s">
        <v>654</v>
      </c>
      <c r="AP391" s="0" t="s">
        <v>655</v>
      </c>
      <c r="AQ391" s="0" t="n">
        <v>9</v>
      </c>
      <c r="AR391" s="0" t="n">
        <v>64</v>
      </c>
      <c r="AS391" s="0" t="n">
        <v>32</v>
      </c>
      <c r="AU391" s="0" t="n">
        <f aca="false">COUNTA($BA$1172:$EH$1172)</f>
        <v>39</v>
      </c>
      <c r="AV391" s="0" t="n">
        <f aca="false">COUNTIF($BA$1172:$EH$1172,"D")</f>
        <v>10</v>
      </c>
      <c r="AW391" s="0" t="n">
        <f aca="false">COUNTIF($BA$1172:$EH$1172,"R")</f>
        <v>0</v>
      </c>
      <c r="AX391" s="0" t="n">
        <f aca="false">IF(BN391="D",1,0)+IF(BO391="D",1,0)+IF(BT391="D",1,0)+IF(BU391="D",1,0)+IF(BW391="D",1,0)+IF(CC391="D",1,0)+IF(CD391="D",1,0)+IF(CE391="D",1,0)+IF(CF391="D",1,0)+IF(CL391="D",1,0)+IF(CM391="D",1,0)+IF(CQ391="D",1,0)+IF(CR391="D",1,0)+IF(CS391="D",1,0)+IF(CW391="D",1,0)+IF(CX391="D",1,0)+IF(DD391="D",1,0)+IF(DE391="D",1,0)+IF(DJ391="D",1,0)+IF(DK391="D",1,0)+IF(DO391="D",1,0)+IF(DP391="D",1,0)+IF(DQ391="D",1,0)+IF(DW391="D",1,0)+IF(DZ391="D",1,0)+IF(EH391="D",1,0)</f>
        <v>0</v>
      </c>
      <c r="AY391" s="0" t="n">
        <f aca="false">COUNTIF(DU391:EH391, "&lt;&gt;")</f>
        <v>1</v>
      </c>
      <c r="AZ391" s="0" t="n">
        <f aca="false">IF(EH391&lt;&gt;"",1,0)</f>
        <v>0</v>
      </c>
      <c r="BB391" s="0" t="s">
        <v>152</v>
      </c>
      <c r="EF391" s="0" t="s">
        <v>153</v>
      </c>
    </row>
    <row r="392" customFormat="false" ht="13.8" hidden="true" customHeight="false" outlineLevel="0" collapsed="false">
      <c r="A392" s="0" t="s">
        <v>2154</v>
      </c>
      <c r="B392" s="0" t="n">
        <v>78</v>
      </c>
      <c r="C392" s="0" t="n">
        <v>407327</v>
      </c>
      <c r="D392" s="0" t="s">
        <v>2155</v>
      </c>
      <c r="E392" s="0" t="s">
        <v>2156</v>
      </c>
      <c r="F392" s="0" t="str">
        <f aca="false">CONCATENATE(D392," ",LEFT(H392,4),"T=",AU392,"D=",AV392,"R=",AW392,"M=",AX392,"L=",AY392,"B=",AZ392)</f>
        <v>WYNYARD T=4D=0R=0M=0L=1B=0</v>
      </c>
      <c r="G392" s="0" t="s">
        <v>2157</v>
      </c>
      <c r="I392" s="0" t="s">
        <v>2158</v>
      </c>
      <c r="J392" s="0" t="s">
        <v>2159</v>
      </c>
      <c r="K392" s="0" t="s">
        <v>160</v>
      </c>
      <c r="M392" s="0" t="s">
        <v>2153</v>
      </c>
      <c r="N392" s="0" t="str">
        <f aca="false">RIGHT(M392,LEN(M392)-FIND(" ",M392))</f>
        <v>CHESTNUT AVE NE</v>
      </c>
      <c r="P392" s="0" t="s">
        <v>145</v>
      </c>
      <c r="Q392" s="0" t="s">
        <v>146</v>
      </c>
      <c r="R392" s="0" t="n">
        <v>44483</v>
      </c>
      <c r="AD392" s="0" t="s">
        <v>147</v>
      </c>
      <c r="AE392" s="0" t="s">
        <v>148</v>
      </c>
      <c r="AF392" s="0" t="s">
        <v>149</v>
      </c>
      <c r="AH392" s="0" t="n">
        <v>14</v>
      </c>
      <c r="AI392" s="0" t="n">
        <v>11</v>
      </c>
      <c r="AN392" s="0" t="s">
        <v>145</v>
      </c>
      <c r="AO392" s="0" t="s">
        <v>654</v>
      </c>
      <c r="AP392" s="0" t="s">
        <v>655</v>
      </c>
      <c r="AQ392" s="0" t="n">
        <v>9</v>
      </c>
      <c r="AR392" s="0" t="n">
        <v>64</v>
      </c>
      <c r="AS392" s="0" t="n">
        <v>32</v>
      </c>
      <c r="AU392" s="0" t="n">
        <f aca="false">COUNTA($BA$1210:$EH$1210)</f>
        <v>4</v>
      </c>
      <c r="AV392" s="0" t="n">
        <f aca="false">COUNTIF($BA$1210:$EH$1210,"D")</f>
        <v>0</v>
      </c>
      <c r="AW392" s="0" t="n">
        <f aca="false">COUNTIF($BA$1210:$EH$1210,"R")</f>
        <v>0</v>
      </c>
      <c r="AX392" s="0" t="n">
        <f aca="false">IF(BN392="D",1,0)+IF(BO392="D",1,0)+IF(BT392="D",1,0)+IF(BU392="D",1,0)+IF(BW392="D",1,0)+IF(CC392="D",1,0)+IF(CD392="D",1,0)+IF(CE392="D",1,0)+IF(CF392="D",1,0)+IF(CL392="D",1,0)+IF(CM392="D",1,0)+IF(CQ392="D",1,0)+IF(CR392="D",1,0)+IF(CS392="D",1,0)+IF(CW392="D",1,0)+IF(CX392="D",1,0)+IF(DD392="D",1,0)+IF(DE392="D",1,0)+IF(DJ392="D",1,0)+IF(DK392="D",1,0)+IF(DO392="D",1,0)+IF(DP392="D",1,0)+IF(DQ392="D",1,0)+IF(DW392="D",1,0)+IF(DZ392="D",1,0)+IF(EH392="D",1,0)</f>
        <v>0</v>
      </c>
      <c r="AY392" s="0" t="n">
        <f aca="false">COUNTIF(DU392:EH392, "&lt;&gt;")</f>
        <v>1</v>
      </c>
      <c r="AZ392" s="0" t="n">
        <f aca="false">IF(EH392&lt;&gt;"",1,0)</f>
        <v>0</v>
      </c>
      <c r="BB392" s="0" t="s">
        <v>152</v>
      </c>
      <c r="EF392" s="0" t="s">
        <v>153</v>
      </c>
    </row>
    <row r="393" customFormat="false" ht="13.8" hidden="true" customHeight="false" outlineLevel="0" collapsed="false">
      <c r="A393" s="0" t="s">
        <v>2160</v>
      </c>
      <c r="B393" s="0" t="n">
        <v>78</v>
      </c>
      <c r="C393" s="0" t="n">
        <v>491265</v>
      </c>
      <c r="D393" s="0" t="s">
        <v>2149</v>
      </c>
      <c r="E393" s="0" t="s">
        <v>558</v>
      </c>
      <c r="F393" s="0" t="str">
        <f aca="false">CONCATENATE(D393," ",LEFT(H393,4),"T=",AU393,"D=",AV393,"R=",AW393,"M=",AX393,"L=",AY393,"B=",AZ393)</f>
        <v>BAILES T=5D=1R=0M=0L=1B=0</v>
      </c>
      <c r="G393" s="0" t="s">
        <v>190</v>
      </c>
      <c r="I393" s="0" t="s">
        <v>2161</v>
      </c>
      <c r="J393" s="0" t="s">
        <v>2162</v>
      </c>
      <c r="K393" s="0" t="s">
        <v>160</v>
      </c>
      <c r="M393" s="0" t="s">
        <v>2153</v>
      </c>
      <c r="N393" s="0" t="str">
        <f aca="false">RIGHT(M393,LEN(M393)-FIND(" ",M393))</f>
        <v>CHESTNUT AVE NE</v>
      </c>
      <c r="P393" s="0" t="s">
        <v>145</v>
      </c>
      <c r="Q393" s="0" t="s">
        <v>146</v>
      </c>
      <c r="R393" s="0" t="n">
        <v>44483</v>
      </c>
      <c r="AD393" s="0" t="s">
        <v>147</v>
      </c>
      <c r="AE393" s="0" t="s">
        <v>148</v>
      </c>
      <c r="AF393" s="0" t="s">
        <v>149</v>
      </c>
      <c r="AH393" s="0" t="n">
        <v>14</v>
      </c>
      <c r="AI393" s="0" t="n">
        <v>11</v>
      </c>
      <c r="AN393" s="0" t="s">
        <v>145</v>
      </c>
      <c r="AO393" s="0" t="s">
        <v>654</v>
      </c>
      <c r="AP393" s="0" t="s">
        <v>655</v>
      </c>
      <c r="AQ393" s="0" t="n">
        <v>9</v>
      </c>
      <c r="AR393" s="0" t="n">
        <v>64</v>
      </c>
      <c r="AS393" s="0" t="n">
        <v>32</v>
      </c>
      <c r="AU393" s="0" t="n">
        <f aca="false">COUNTA($BA$1363:$EH$1363)</f>
        <v>5</v>
      </c>
      <c r="AV393" s="0" t="n">
        <f aca="false">COUNTIF($BA$1363:$EH$1363,"D")</f>
        <v>1</v>
      </c>
      <c r="AW393" s="0" t="n">
        <f aca="false">COUNTIF($BA$1363:$EH$1363,"R")</f>
        <v>0</v>
      </c>
      <c r="AX393" s="0" t="n">
        <f aca="false">IF(BN393="D",1,0)+IF(BO393="D",1,0)+IF(BT393="D",1,0)+IF(BU393="D",1,0)+IF(BW393="D",1,0)+IF(CC393="D",1,0)+IF(CD393="D",1,0)+IF(CE393="D",1,0)+IF(CF393="D",1,0)+IF(CL393="D",1,0)+IF(CM393="D",1,0)+IF(CQ393="D",1,0)+IF(CR393="D",1,0)+IF(CS393="D",1,0)+IF(CW393="D",1,0)+IF(CX393="D",1,0)+IF(DD393="D",1,0)+IF(DE393="D",1,0)+IF(DJ393="D",1,0)+IF(DK393="D",1,0)+IF(DO393="D",1,0)+IF(DP393="D",1,0)+IF(DQ393="D",1,0)+IF(DW393="D",1,0)+IF(DZ393="D",1,0)+IF(EH393="D",1,0)</f>
        <v>0</v>
      </c>
      <c r="AY393" s="0" t="n">
        <f aca="false">COUNTIF(DU393:EH393, "&lt;&gt;")</f>
        <v>1</v>
      </c>
      <c r="AZ393" s="0" t="n">
        <f aca="false">IF(EH393&lt;&gt;"",1,0)</f>
        <v>0</v>
      </c>
      <c r="BB393" s="0" t="s">
        <v>152</v>
      </c>
      <c r="EF393" s="0" t="s">
        <v>153</v>
      </c>
    </row>
    <row r="394" customFormat="false" ht="13.8" hidden="true" customHeight="false" outlineLevel="0" collapsed="false">
      <c r="A394" s="0" t="s">
        <v>2163</v>
      </c>
      <c r="B394" s="0" t="n">
        <v>78</v>
      </c>
      <c r="C394" s="0" t="n">
        <v>412764</v>
      </c>
      <c r="D394" s="0" t="s">
        <v>2164</v>
      </c>
      <c r="E394" s="0" t="s">
        <v>2165</v>
      </c>
      <c r="F394" s="0" t="str">
        <f aca="false">CONCATENATE(D394," ",LEFT(H394,4),"T=",AU394,"D=",AV394,"R=",AW394,"M=",AX394,"L=",AY394,"B=",AZ394)</f>
        <v>SAIN T=17D=1R=0M=0L=1B=0</v>
      </c>
      <c r="G394" s="0" t="s">
        <v>2166</v>
      </c>
      <c r="I394" s="0" t="s">
        <v>2167</v>
      </c>
      <c r="J394" s="0" t="s">
        <v>386</v>
      </c>
      <c r="K394" s="0" t="s">
        <v>160</v>
      </c>
      <c r="L394" s="0" t="s">
        <v>209</v>
      </c>
      <c r="M394" s="0" t="s">
        <v>2153</v>
      </c>
      <c r="N394" s="0" t="str">
        <f aca="false">RIGHT(M394,LEN(M394)-FIND(" ",M394))</f>
        <v>CHESTNUT AVE NE</v>
      </c>
      <c r="P394" s="0" t="s">
        <v>145</v>
      </c>
      <c r="Q394" s="0" t="s">
        <v>146</v>
      </c>
      <c r="R394" s="0" t="n">
        <v>44483</v>
      </c>
      <c r="AD394" s="0" t="s">
        <v>147</v>
      </c>
      <c r="AE394" s="0" t="s">
        <v>148</v>
      </c>
      <c r="AF394" s="0" t="s">
        <v>149</v>
      </c>
      <c r="AH394" s="0" t="n">
        <v>14</v>
      </c>
      <c r="AI394" s="0" t="n">
        <v>11</v>
      </c>
      <c r="AN394" s="0" t="s">
        <v>145</v>
      </c>
      <c r="AO394" s="0" t="s">
        <v>654</v>
      </c>
      <c r="AP394" s="0" t="s">
        <v>655</v>
      </c>
      <c r="AQ394" s="0" t="n">
        <v>9</v>
      </c>
      <c r="AR394" s="0" t="n">
        <v>64</v>
      </c>
      <c r="AS394" s="0" t="n">
        <v>32</v>
      </c>
      <c r="AU394" s="0" t="n">
        <f aca="false">COUNTA($BA$1442:$EH$1442)</f>
        <v>17</v>
      </c>
      <c r="AV394" s="0" t="n">
        <f aca="false">COUNTIF($BA$1442:$EH$1442,"D")</f>
        <v>1</v>
      </c>
      <c r="AW394" s="0" t="n">
        <f aca="false">COUNTIF($BA$1442:$EH$1442,"R")</f>
        <v>0</v>
      </c>
      <c r="AX394" s="0" t="n">
        <f aca="false">IF(BN394="D",1,0)+IF(BO394="D",1,0)+IF(BT394="D",1,0)+IF(BU394="D",1,0)+IF(BW394="D",1,0)+IF(CC394="D",1,0)+IF(CD394="D",1,0)+IF(CE394="D",1,0)+IF(CF394="D",1,0)+IF(CL394="D",1,0)+IF(CM394="D",1,0)+IF(CQ394="D",1,0)+IF(CR394="D",1,0)+IF(CS394="D",1,0)+IF(CW394="D",1,0)+IF(CX394="D",1,0)+IF(DD394="D",1,0)+IF(DE394="D",1,0)+IF(DJ394="D",1,0)+IF(DK394="D",1,0)+IF(DO394="D",1,0)+IF(DP394="D",1,0)+IF(DQ394="D",1,0)+IF(DW394="D",1,0)+IF(DZ394="D",1,0)+IF(EH394="D",1,0)</f>
        <v>0</v>
      </c>
      <c r="AY394" s="0" t="n">
        <f aca="false">COUNTIF(DU394:EH394, "&lt;&gt;")</f>
        <v>1</v>
      </c>
      <c r="AZ394" s="0" t="n">
        <f aca="false">IF(EH394&lt;&gt;"",1,0)</f>
        <v>0</v>
      </c>
      <c r="BB394" s="0" t="s">
        <v>152</v>
      </c>
      <c r="DC394" s="0" t="s">
        <v>153</v>
      </c>
      <c r="DN394" s="0" t="s">
        <v>153</v>
      </c>
      <c r="DS394" s="0" t="s">
        <v>209</v>
      </c>
      <c r="EF394" s="0" t="s">
        <v>153</v>
      </c>
    </row>
    <row r="395" customFormat="false" ht="13.8" hidden="true" customHeight="false" outlineLevel="0" collapsed="false">
      <c r="A395" s="0" t="s">
        <v>2168</v>
      </c>
      <c r="B395" s="0" t="n">
        <v>78</v>
      </c>
      <c r="C395" s="0" t="n">
        <v>486157</v>
      </c>
      <c r="D395" s="0" t="s">
        <v>2155</v>
      </c>
      <c r="E395" s="0" t="s">
        <v>1143</v>
      </c>
      <c r="F395" s="0" t="str">
        <f aca="false">CONCATENATE(D395," ",LEFT(H395,4),"T=",AU395,"D=",AV395,"R=",AW395,"M=",AX395,"L=",AY395,"B=",AZ395)</f>
        <v>WYNYARD T=4D=1R=1M=0L=1B=0</v>
      </c>
      <c r="G395" s="0" t="s">
        <v>872</v>
      </c>
      <c r="I395" s="0" t="s">
        <v>2169</v>
      </c>
      <c r="J395" s="0" t="s">
        <v>2159</v>
      </c>
      <c r="K395" s="0" t="s">
        <v>160</v>
      </c>
      <c r="M395" s="0" t="s">
        <v>2153</v>
      </c>
      <c r="N395" s="0" t="str">
        <f aca="false">RIGHT(M395,LEN(M395)-FIND(" ",M395))</f>
        <v>CHESTNUT AVE NE</v>
      </c>
      <c r="P395" s="0" t="s">
        <v>145</v>
      </c>
      <c r="Q395" s="0" t="s">
        <v>146</v>
      </c>
      <c r="R395" s="0" t="n">
        <v>44483</v>
      </c>
      <c r="AD395" s="0" t="s">
        <v>147</v>
      </c>
      <c r="AE395" s="0" t="s">
        <v>148</v>
      </c>
      <c r="AF395" s="0" t="s">
        <v>149</v>
      </c>
      <c r="AH395" s="0" t="n">
        <v>14</v>
      </c>
      <c r="AI395" s="0" t="n">
        <v>11</v>
      </c>
      <c r="AN395" s="0" t="s">
        <v>145</v>
      </c>
      <c r="AO395" s="0" t="s">
        <v>654</v>
      </c>
      <c r="AP395" s="0" t="s">
        <v>655</v>
      </c>
      <c r="AQ395" s="0" t="n">
        <v>9</v>
      </c>
      <c r="AR395" s="0" t="n">
        <v>64</v>
      </c>
      <c r="AS395" s="0" t="n">
        <v>32</v>
      </c>
      <c r="AU395" s="0" t="n">
        <f aca="false">COUNTA($BA$2035:$EH$2035)</f>
        <v>4</v>
      </c>
      <c r="AV395" s="0" t="n">
        <f aca="false">COUNTIF($BA$2035:$EH$2035,"D")</f>
        <v>1</v>
      </c>
      <c r="AW395" s="0" t="n">
        <f aca="false">COUNTIF($BA$2035:$EH$2035,"R")</f>
        <v>1</v>
      </c>
      <c r="AX395" s="0" t="n">
        <f aca="false">IF(BN395="D",1,0)+IF(BO395="D",1,0)+IF(BT395="D",1,0)+IF(BU395="D",1,0)+IF(BW395="D",1,0)+IF(CC395="D",1,0)+IF(CD395="D",1,0)+IF(CE395="D",1,0)+IF(CF395="D",1,0)+IF(CL395="D",1,0)+IF(CM395="D",1,0)+IF(CQ395="D",1,0)+IF(CR395="D",1,0)+IF(CS395="D",1,0)+IF(CW395="D",1,0)+IF(CX395="D",1,0)+IF(DD395="D",1,0)+IF(DE395="D",1,0)+IF(DJ395="D",1,0)+IF(DK395="D",1,0)+IF(DO395="D",1,0)+IF(DP395="D",1,0)+IF(DQ395="D",1,0)+IF(DW395="D",1,0)+IF(DZ395="D",1,0)+IF(EH395="D",1,0)</f>
        <v>0</v>
      </c>
      <c r="AY395" s="0" t="n">
        <f aca="false">COUNTIF(DU395:EH395, "&lt;&gt;")</f>
        <v>1</v>
      </c>
      <c r="AZ395" s="0" t="n">
        <f aca="false">IF(EH395&lt;&gt;"",1,0)</f>
        <v>0</v>
      </c>
      <c r="BB395" s="0" t="s">
        <v>152</v>
      </c>
      <c r="EF395" s="0" t="s">
        <v>153</v>
      </c>
    </row>
    <row r="396" customFormat="false" ht="13.8" hidden="true" customHeight="false" outlineLevel="0" collapsed="false">
      <c r="A396" s="0" t="s">
        <v>2170</v>
      </c>
      <c r="B396" s="0" t="n">
        <v>78</v>
      </c>
      <c r="C396" s="0" t="n">
        <v>390355</v>
      </c>
      <c r="D396" s="0" t="s">
        <v>2171</v>
      </c>
      <c r="E396" s="0" t="s">
        <v>2172</v>
      </c>
      <c r="F396" s="0" t="str">
        <f aca="false">CONCATENATE(D396," ",LEFT(H396,4),"T=",AU396,"D=",AV396,"R=",AW396,"M=",AX396,"L=",AY396,"B=",AZ396)</f>
        <v>SULLIVAN T=1D=0R=0M=0L=0B=0</v>
      </c>
      <c r="G396" s="0" t="s">
        <v>268</v>
      </c>
      <c r="I396" s="0" t="s">
        <v>2173</v>
      </c>
      <c r="J396" s="0" t="s">
        <v>2174</v>
      </c>
      <c r="K396" s="0" t="s">
        <v>160</v>
      </c>
      <c r="M396" s="0" t="s">
        <v>2175</v>
      </c>
      <c r="N396" s="0" t="str">
        <f aca="false">RIGHT(M396,LEN(M396)-FIND(" ",M396))</f>
        <v>CHESTNUT AVE NE</v>
      </c>
      <c r="O396" s="0" t="s">
        <v>297</v>
      </c>
      <c r="P396" s="0" t="s">
        <v>145</v>
      </c>
      <c r="Q396" s="0" t="s">
        <v>146</v>
      </c>
      <c r="R396" s="0" t="n">
        <v>44483</v>
      </c>
      <c r="AD396" s="0" t="s">
        <v>147</v>
      </c>
      <c r="AE396" s="0" t="s">
        <v>148</v>
      </c>
      <c r="AF396" s="0" t="s">
        <v>149</v>
      </c>
      <c r="AH396" s="0" t="n">
        <v>14</v>
      </c>
      <c r="AI396" s="0" t="n">
        <v>11</v>
      </c>
      <c r="AN396" s="0" t="s">
        <v>145</v>
      </c>
      <c r="AO396" s="0" t="s">
        <v>654</v>
      </c>
      <c r="AP396" s="0" t="s">
        <v>655</v>
      </c>
      <c r="AQ396" s="0" t="n">
        <v>9</v>
      </c>
      <c r="AR396" s="0" t="n">
        <v>64</v>
      </c>
      <c r="AS396" s="0" t="n">
        <v>32</v>
      </c>
      <c r="AU396" s="0" t="n">
        <f aca="false">COUNTA($BA$2026:$EH$2026)</f>
        <v>1</v>
      </c>
      <c r="AV396" s="0" t="n">
        <f aca="false">COUNTIF($BA$2026:$EH$2026,"D")</f>
        <v>0</v>
      </c>
      <c r="AW396" s="0" t="n">
        <f aca="false">COUNTIF($BA$2026:$EH$2026,"R")</f>
        <v>0</v>
      </c>
      <c r="AX396" s="0" t="n">
        <f aca="false">IF(BN396="D",1,0)+IF(BO396="D",1,0)+IF(BT396="D",1,0)+IF(BU396="D",1,0)+IF(BW396="D",1,0)+IF(CC396="D",1,0)+IF(CD396="D",1,0)+IF(CE396="D",1,0)+IF(CF396="D",1,0)+IF(CL396="D",1,0)+IF(CM396="D",1,0)+IF(CQ396="D",1,0)+IF(CR396="D",1,0)+IF(CS396="D",1,0)+IF(CW396="D",1,0)+IF(CX396="D",1,0)+IF(DD396="D",1,0)+IF(DE396="D",1,0)+IF(DJ396="D",1,0)+IF(DK396="D",1,0)+IF(DO396="D",1,0)+IF(DP396="D",1,0)+IF(DQ396="D",1,0)+IF(DW396="D",1,0)+IF(DZ396="D",1,0)+IF(EH396="D",1,0)</f>
        <v>0</v>
      </c>
      <c r="AY396" s="0" t="n">
        <f aca="false">COUNTIF(DU396:EH396, "&lt;&gt;")</f>
        <v>0</v>
      </c>
      <c r="AZ396" s="0" t="n">
        <f aca="false">IF(EH396&lt;&gt;"",1,0)</f>
        <v>0</v>
      </c>
      <c r="BB396" s="0" t="s">
        <v>152</v>
      </c>
    </row>
    <row r="397" customFormat="false" ht="13.8" hidden="true" customHeight="false" outlineLevel="0" collapsed="false">
      <c r="A397" s="0" t="s">
        <v>2176</v>
      </c>
      <c r="B397" s="0" t="n">
        <v>78</v>
      </c>
      <c r="C397" s="0" t="n">
        <v>484807</v>
      </c>
      <c r="D397" s="0" t="s">
        <v>2177</v>
      </c>
      <c r="E397" s="0" t="s">
        <v>2178</v>
      </c>
      <c r="F397" s="0" t="str">
        <f aca="false">CONCATENATE(D397," ",LEFT(H397,4),"T=",AU397,"D=",AV397,"R=",AW397,"M=",AX397,"L=",AY397,"B=",AZ397)</f>
        <v>SHELLENHAMER T=21D=4R=0M=0L=0B=0</v>
      </c>
      <c r="G397" s="0" t="s">
        <v>2179</v>
      </c>
      <c r="I397" s="0" t="s">
        <v>2180</v>
      </c>
      <c r="J397" s="0" t="s">
        <v>2181</v>
      </c>
      <c r="K397" s="0" t="s">
        <v>160</v>
      </c>
      <c r="M397" s="0" t="s">
        <v>2182</v>
      </c>
      <c r="N397" s="0" t="str">
        <f aca="false">RIGHT(M397,LEN(M397)-FIND(" ",M397))</f>
        <v>CHESTNUT AVE NE</v>
      </c>
      <c r="P397" s="0" t="s">
        <v>145</v>
      </c>
      <c r="Q397" s="0" t="s">
        <v>146</v>
      </c>
      <c r="R397" s="0" t="n">
        <v>44483</v>
      </c>
      <c r="AD397" s="0" t="s">
        <v>147</v>
      </c>
      <c r="AE397" s="0" t="s">
        <v>148</v>
      </c>
      <c r="AF397" s="0" t="s">
        <v>149</v>
      </c>
      <c r="AH397" s="0" t="n">
        <v>14</v>
      </c>
      <c r="AI397" s="0" t="n">
        <v>11</v>
      </c>
      <c r="AN397" s="0" t="s">
        <v>145</v>
      </c>
      <c r="AO397" s="0" t="s">
        <v>654</v>
      </c>
      <c r="AP397" s="0" t="s">
        <v>655</v>
      </c>
      <c r="AQ397" s="0" t="n">
        <v>9</v>
      </c>
      <c r="AR397" s="0" t="n">
        <v>64</v>
      </c>
      <c r="AS397" s="0" t="n">
        <v>32</v>
      </c>
      <c r="AU397" s="0" t="n">
        <f aca="false">COUNTA($BA$1096:$EH$1096)</f>
        <v>21</v>
      </c>
      <c r="AV397" s="0" t="n">
        <f aca="false">COUNTIF($BA$1096:$EH$1096,"D")</f>
        <v>4</v>
      </c>
      <c r="AW397" s="0" t="n">
        <f aca="false">COUNTIF($BA$1096:$EH$1096,"R")</f>
        <v>0</v>
      </c>
      <c r="AX397" s="0" t="n">
        <f aca="false">IF(BN397="D",1,0)+IF(BO397="D",1,0)+IF(BT397="D",1,0)+IF(BU397="D",1,0)+IF(BW397="D",1,0)+IF(CC397="D",1,0)+IF(CD397="D",1,0)+IF(CE397="D",1,0)+IF(CF397="D",1,0)+IF(CL397="D",1,0)+IF(CM397="D",1,0)+IF(CQ397="D",1,0)+IF(CR397="D",1,0)+IF(CS397="D",1,0)+IF(CW397="D",1,0)+IF(CX397="D",1,0)+IF(DD397="D",1,0)+IF(DE397="D",1,0)+IF(DJ397="D",1,0)+IF(DK397="D",1,0)+IF(DO397="D",1,0)+IF(DP397="D",1,0)+IF(DQ397="D",1,0)+IF(DW397="D",1,0)+IF(DZ397="D",1,0)+IF(EH397="D",1,0)</f>
        <v>0</v>
      </c>
      <c r="AY397" s="0" t="n">
        <f aca="false">COUNTIF(DU397:EH397, "&lt;&gt;")</f>
        <v>0</v>
      </c>
      <c r="AZ397" s="0" t="n">
        <f aca="false">IF(EH397&lt;&gt;"",1,0)</f>
        <v>0</v>
      </c>
      <c r="BB397" s="0" t="s">
        <v>152</v>
      </c>
    </row>
    <row r="398" customFormat="false" ht="13.8" hidden="true" customHeight="false" outlineLevel="0" collapsed="false">
      <c r="A398" s="0" t="s">
        <v>2183</v>
      </c>
      <c r="B398" s="0" t="n">
        <v>78</v>
      </c>
      <c r="C398" s="0" t="n">
        <v>376814</v>
      </c>
      <c r="D398" s="0" t="s">
        <v>2184</v>
      </c>
      <c r="E398" s="0" t="s">
        <v>958</v>
      </c>
      <c r="F398" s="0" t="str">
        <f aca="false">CONCATENATE(D398," ",LEFT(H398,4),"T=",AU398,"D=",AV398,"R=",AW398,"M=",AX398,"L=",AY398,"B=",AZ398)</f>
        <v>BENDER T=2D=0R=0M=0L=0B=0</v>
      </c>
      <c r="G398" s="0" t="s">
        <v>175</v>
      </c>
      <c r="I398" s="0" t="s">
        <v>2185</v>
      </c>
      <c r="J398" s="0" t="s">
        <v>483</v>
      </c>
      <c r="K398" s="0" t="s">
        <v>160</v>
      </c>
      <c r="M398" s="0" t="s">
        <v>2182</v>
      </c>
      <c r="N398" s="0" t="str">
        <f aca="false">RIGHT(M398,LEN(M398)-FIND(" ",M398))</f>
        <v>CHESTNUT AVE NE</v>
      </c>
      <c r="P398" s="0" t="s">
        <v>145</v>
      </c>
      <c r="Q398" s="0" t="s">
        <v>146</v>
      </c>
      <c r="R398" s="0" t="n">
        <v>44483</v>
      </c>
      <c r="AD398" s="0" t="s">
        <v>147</v>
      </c>
      <c r="AE398" s="0" t="s">
        <v>148</v>
      </c>
      <c r="AF398" s="0" t="s">
        <v>149</v>
      </c>
      <c r="AH398" s="0" t="n">
        <v>14</v>
      </c>
      <c r="AI398" s="0" t="n">
        <v>11</v>
      </c>
      <c r="AN398" s="0" t="s">
        <v>145</v>
      </c>
      <c r="AO398" s="0" t="s">
        <v>654</v>
      </c>
      <c r="AP398" s="0" t="s">
        <v>655</v>
      </c>
      <c r="AQ398" s="0" t="n">
        <v>9</v>
      </c>
      <c r="AR398" s="0" t="n">
        <v>64</v>
      </c>
      <c r="AS398" s="0" t="n">
        <v>32</v>
      </c>
      <c r="AU398" s="0" t="n">
        <f aca="false">COUNTA($BA$1623:$EH$1623)</f>
        <v>2</v>
      </c>
      <c r="AV398" s="0" t="n">
        <f aca="false">COUNTIF($BA$1623:$EH$1623,"D")</f>
        <v>0</v>
      </c>
      <c r="AW398" s="0" t="n">
        <f aca="false">COUNTIF($BA$1623:$EH$1623,"R")</f>
        <v>0</v>
      </c>
      <c r="AX398" s="0" t="n">
        <f aca="false">IF(BN398="D",1,0)+IF(BO398="D",1,0)+IF(BT398="D",1,0)+IF(BU398="D",1,0)+IF(BW398="D",1,0)+IF(CC398="D",1,0)+IF(CD398="D",1,0)+IF(CE398="D",1,0)+IF(CF398="D",1,0)+IF(CL398="D",1,0)+IF(CM398="D",1,0)+IF(CQ398="D",1,0)+IF(CR398="D",1,0)+IF(CS398="D",1,0)+IF(CW398="D",1,0)+IF(CX398="D",1,0)+IF(DD398="D",1,0)+IF(DE398="D",1,0)+IF(DJ398="D",1,0)+IF(DK398="D",1,0)+IF(DO398="D",1,0)+IF(DP398="D",1,0)+IF(DQ398="D",1,0)+IF(DW398="D",1,0)+IF(DZ398="D",1,0)+IF(EH398="D",1,0)</f>
        <v>0</v>
      </c>
      <c r="AY398" s="0" t="n">
        <f aca="false">COUNTIF(DU398:EH398, "&lt;&gt;")</f>
        <v>0</v>
      </c>
      <c r="AZ398" s="0" t="n">
        <f aca="false">IF(EH398&lt;&gt;"",1,0)</f>
        <v>0</v>
      </c>
      <c r="BB398" s="0" t="s">
        <v>152</v>
      </c>
    </row>
    <row r="399" customFormat="false" ht="13.8" hidden="false" customHeight="false" outlineLevel="0" collapsed="false">
      <c r="A399" s="0" t="s">
        <v>2186</v>
      </c>
      <c r="B399" s="0" t="n">
        <v>78</v>
      </c>
      <c r="C399" s="0" t="n">
        <v>348080</v>
      </c>
      <c r="D399" s="0" t="s">
        <v>2187</v>
      </c>
      <c r="E399" s="0" t="s">
        <v>2188</v>
      </c>
      <c r="F399" s="0" t="str">
        <f aca="false">CONCATENATE(D399," ",LEFT(H399,4),"T=",AU399,"D=",AV399,"R=",AW399,"M=",AX399,"L=",AY399,"B=",AZ399)</f>
        <v>PAGAN T=3D=0R=0M=2L=3B=0</v>
      </c>
      <c r="I399" s="0" t="s">
        <v>2189</v>
      </c>
      <c r="J399" s="0" t="s">
        <v>2190</v>
      </c>
      <c r="K399" s="0" t="s">
        <v>160</v>
      </c>
      <c r="L399" s="0" t="s">
        <v>175</v>
      </c>
      <c r="M399" s="0" t="s">
        <v>2191</v>
      </c>
      <c r="N399" s="0" t="str">
        <f aca="false">RIGHT(M399,LEN(M399)-FIND(" ",M399))</f>
        <v>CHESTNUT AVE NE</v>
      </c>
      <c r="P399" s="0" t="s">
        <v>145</v>
      </c>
      <c r="Q399" s="0" t="s">
        <v>146</v>
      </c>
      <c r="R399" s="0" t="n">
        <v>44483</v>
      </c>
      <c r="AD399" s="0" t="s">
        <v>147</v>
      </c>
      <c r="AE399" s="0" t="s">
        <v>148</v>
      </c>
      <c r="AF399" s="0" t="s">
        <v>149</v>
      </c>
      <c r="AH399" s="0" t="n">
        <v>14</v>
      </c>
      <c r="AI399" s="0" t="n">
        <v>11</v>
      </c>
      <c r="AN399" s="0" t="s">
        <v>145</v>
      </c>
      <c r="AO399" s="0" t="s">
        <v>654</v>
      </c>
      <c r="AP399" s="0" t="s">
        <v>655</v>
      </c>
      <c r="AQ399" s="0" t="n">
        <v>9</v>
      </c>
      <c r="AR399" s="0" t="n">
        <v>64</v>
      </c>
      <c r="AS399" s="0" t="n">
        <v>32</v>
      </c>
      <c r="AU399" s="0" t="n">
        <f aca="false">COUNTA($BA$1291:$EH$1291)</f>
        <v>3</v>
      </c>
      <c r="AV399" s="0" t="n">
        <f aca="false">COUNTIF($BA$1291:$EH$1291,"D")</f>
        <v>0</v>
      </c>
      <c r="AW399" s="0" t="n">
        <f aca="false">COUNTIF($BA$1291:$EH$1291,"R")</f>
        <v>0</v>
      </c>
      <c r="AX399" s="0" t="n">
        <f aca="false">IF(BN399="D",1,0)+IF(BO399="D",1,0)+IF(BT399="D",1,0)+IF(BU399="D",1,0)+IF(BW399="D",1,0)+IF(CC399="D",1,0)+IF(CD399="D",1,0)+IF(CE399="D",1,0)+IF(CF399="D",1,0)+IF(CL399="D",1,0)+IF(CM399="D",1,0)+IF(CQ399="D",1,0)+IF(CR399="D",1,0)+IF(CS399="D",1,0)+IF(CW399="D",1,0)+IF(CX399="D",1,0)+IF(DD399="D",1,0)+IF(DE399="D",1,0)+IF(DJ399="D",1,0)+IF(DK399="D",1,0)+IF(DO399="D",1,0)+IF(DP399="D",1,0)+IF(DQ399="D",1,0)+IF(DW399="D",1,0)+IF(DZ399="D",1,0)+IF(EH399="D",1,0)</f>
        <v>2</v>
      </c>
      <c r="AY399" s="0" t="n">
        <f aca="false">COUNTIF(DU399:EH399, "&lt;&gt;")</f>
        <v>3</v>
      </c>
      <c r="AZ399" s="0" t="n">
        <f aca="false">IF(EH399&lt;&gt;"",1,0)</f>
        <v>0</v>
      </c>
      <c r="BB399" s="0" t="s">
        <v>152</v>
      </c>
      <c r="BH399" s="0" t="s">
        <v>153</v>
      </c>
      <c r="BJ399" s="0" t="s">
        <v>153</v>
      </c>
      <c r="BK399" s="0" t="s">
        <v>175</v>
      </c>
      <c r="BL399" s="0" t="s">
        <v>153</v>
      </c>
      <c r="BN399" s="0" t="s">
        <v>153</v>
      </c>
      <c r="BV399" s="0" t="s">
        <v>153</v>
      </c>
      <c r="BY399" s="0" t="s">
        <v>175</v>
      </c>
      <c r="CA399" s="0" t="s">
        <v>153</v>
      </c>
      <c r="CK399" s="0" t="s">
        <v>153</v>
      </c>
      <c r="CL399" s="0" t="s">
        <v>175</v>
      </c>
      <c r="CP399" s="0" t="s">
        <v>153</v>
      </c>
      <c r="CY399" s="0" t="s">
        <v>153</v>
      </c>
      <c r="CZ399" s="0" t="s">
        <v>175</v>
      </c>
      <c r="DC399" s="0" t="s">
        <v>153</v>
      </c>
      <c r="DI399" s="0" t="s">
        <v>153</v>
      </c>
      <c r="DN399" s="0" t="s">
        <v>153</v>
      </c>
      <c r="DT399" s="0" t="s">
        <v>175</v>
      </c>
      <c r="DU399" s="0" t="s">
        <v>153</v>
      </c>
      <c r="DW399" s="0" t="s">
        <v>175</v>
      </c>
      <c r="EF399" s="0" t="s">
        <v>153</v>
      </c>
    </row>
    <row r="400" customFormat="false" ht="13.8" hidden="false" customHeight="false" outlineLevel="0" collapsed="false">
      <c r="A400" s="0" t="s">
        <v>2192</v>
      </c>
      <c r="B400" s="0" t="n">
        <v>78</v>
      </c>
      <c r="C400" s="0" t="n">
        <v>348079</v>
      </c>
      <c r="D400" s="0" t="s">
        <v>2187</v>
      </c>
      <c r="E400" s="0" t="s">
        <v>2193</v>
      </c>
      <c r="F400" s="0" t="str">
        <f aca="false">CONCATENATE(D400," ",LEFT(H400,4),"T=",AU400,"D=",AV400,"R=",AW400,"M=",AX400,"L=",AY400,"B=",AZ400)</f>
        <v>PAGAN T=7D=0R=0M=2L=3B=0</v>
      </c>
      <c r="I400" s="0" t="s">
        <v>2194</v>
      </c>
      <c r="J400" s="0" t="s">
        <v>321</v>
      </c>
      <c r="K400" s="0" t="s">
        <v>160</v>
      </c>
      <c r="L400" s="0" t="s">
        <v>175</v>
      </c>
      <c r="M400" s="0" t="s">
        <v>2191</v>
      </c>
      <c r="N400" s="0" t="str">
        <f aca="false">RIGHT(M400,LEN(M400)-FIND(" ",M400))</f>
        <v>CHESTNUT AVE NE</v>
      </c>
      <c r="P400" s="0" t="s">
        <v>145</v>
      </c>
      <c r="Q400" s="0" t="s">
        <v>146</v>
      </c>
      <c r="R400" s="0" t="n">
        <v>44483</v>
      </c>
      <c r="AD400" s="0" t="s">
        <v>147</v>
      </c>
      <c r="AE400" s="0" t="s">
        <v>148</v>
      </c>
      <c r="AF400" s="0" t="s">
        <v>149</v>
      </c>
      <c r="AH400" s="0" t="n">
        <v>14</v>
      </c>
      <c r="AI400" s="0" t="n">
        <v>11</v>
      </c>
      <c r="AN400" s="0" t="s">
        <v>145</v>
      </c>
      <c r="AO400" s="0" t="s">
        <v>654</v>
      </c>
      <c r="AP400" s="0" t="s">
        <v>655</v>
      </c>
      <c r="AQ400" s="0" t="n">
        <v>9</v>
      </c>
      <c r="AR400" s="0" t="n">
        <v>64</v>
      </c>
      <c r="AS400" s="0" t="n">
        <v>32</v>
      </c>
      <c r="AU400" s="0" t="n">
        <f aca="false">COUNTA($BA$1897:$EH$1897)</f>
        <v>7</v>
      </c>
      <c r="AV400" s="0" t="n">
        <f aca="false">COUNTIF($BA$1897:$EH$1897,"D")</f>
        <v>0</v>
      </c>
      <c r="AW400" s="0" t="n">
        <f aca="false">COUNTIF($BA$1897:$EH$1897,"R")</f>
        <v>0</v>
      </c>
      <c r="AX400" s="0" t="n">
        <f aca="false">IF(BN400="D",1,0)+IF(BO400="D",1,0)+IF(BT400="D",1,0)+IF(BU400="D",1,0)+IF(BW400="D",1,0)+IF(CC400="D",1,0)+IF(CD400="D",1,0)+IF(CE400="D",1,0)+IF(CF400="D",1,0)+IF(CL400="D",1,0)+IF(CM400="D",1,0)+IF(CQ400="D",1,0)+IF(CR400="D",1,0)+IF(CS400="D",1,0)+IF(CW400="D",1,0)+IF(CX400="D",1,0)+IF(DD400="D",1,0)+IF(DE400="D",1,0)+IF(DJ400="D",1,0)+IF(DK400="D",1,0)+IF(DO400="D",1,0)+IF(DP400="D",1,0)+IF(DQ400="D",1,0)+IF(DW400="D",1,0)+IF(DZ400="D",1,0)+IF(EH400="D",1,0)</f>
        <v>2</v>
      </c>
      <c r="AY400" s="0" t="n">
        <f aca="false">COUNTIF(DU400:EH400, "&lt;&gt;")</f>
        <v>3</v>
      </c>
      <c r="AZ400" s="0" t="n">
        <f aca="false">IF(EH400&lt;&gt;"",1,0)</f>
        <v>0</v>
      </c>
      <c r="BB400" s="0" t="s">
        <v>152</v>
      </c>
      <c r="BV400" s="0" t="s">
        <v>153</v>
      </c>
      <c r="BY400" s="0" t="s">
        <v>175</v>
      </c>
      <c r="CA400" s="0" t="s">
        <v>153</v>
      </c>
      <c r="CK400" s="0" t="s">
        <v>153</v>
      </c>
      <c r="CL400" s="0" t="s">
        <v>175</v>
      </c>
      <c r="CP400" s="0" t="s">
        <v>153</v>
      </c>
      <c r="CY400" s="0" t="s">
        <v>153</v>
      </c>
      <c r="CZ400" s="0" t="s">
        <v>175</v>
      </c>
      <c r="DC400" s="0" t="s">
        <v>153</v>
      </c>
      <c r="DF400" s="0" t="s">
        <v>153</v>
      </c>
      <c r="DI400" s="0" t="s">
        <v>153</v>
      </c>
      <c r="DL400" s="0" t="s">
        <v>153</v>
      </c>
      <c r="DN400" s="0" t="s">
        <v>153</v>
      </c>
      <c r="DU400" s="0" t="s">
        <v>153</v>
      </c>
      <c r="DW400" s="0" t="s">
        <v>175</v>
      </c>
      <c r="EF400" s="0" t="s">
        <v>153</v>
      </c>
    </row>
    <row r="401" customFormat="false" ht="13.8" hidden="true" customHeight="false" outlineLevel="0" collapsed="false">
      <c r="A401" s="0" t="s">
        <v>2195</v>
      </c>
      <c r="B401" s="0" t="n">
        <v>78</v>
      </c>
      <c r="C401" s="0" t="n">
        <v>472089</v>
      </c>
      <c r="D401" s="0" t="s">
        <v>2196</v>
      </c>
      <c r="E401" s="0" t="s">
        <v>2197</v>
      </c>
      <c r="F401" s="0" t="str">
        <f aca="false">CONCATENATE(D401," ",LEFT(H401,4),"T=",AU401,"D=",AV401,"R=",AW401,"M=",AX401,"L=",AY401,"B=",AZ401)</f>
        <v>MARTINEZ VALENTIN T=4D=0R=0M=0L=0B=0</v>
      </c>
      <c r="I401" s="0" t="s">
        <v>2198</v>
      </c>
      <c r="J401" s="0" t="s">
        <v>2199</v>
      </c>
      <c r="K401" s="0" t="s">
        <v>160</v>
      </c>
      <c r="M401" s="0" t="s">
        <v>2200</v>
      </c>
      <c r="N401" s="0" t="str">
        <f aca="false">RIGHT(M401,LEN(M401)-FIND(" ",M401))</f>
        <v>CHESTNUT AVE NE</v>
      </c>
      <c r="P401" s="0" t="s">
        <v>145</v>
      </c>
      <c r="Q401" s="0" t="s">
        <v>146</v>
      </c>
      <c r="R401" s="0" t="n">
        <v>44483</v>
      </c>
      <c r="AD401" s="0" t="s">
        <v>147</v>
      </c>
      <c r="AE401" s="0" t="s">
        <v>148</v>
      </c>
      <c r="AF401" s="0" t="s">
        <v>149</v>
      </c>
      <c r="AH401" s="0" t="n">
        <v>14</v>
      </c>
      <c r="AI401" s="0" t="n">
        <v>11</v>
      </c>
      <c r="AN401" s="0" t="s">
        <v>145</v>
      </c>
      <c r="AO401" s="0" t="s">
        <v>654</v>
      </c>
      <c r="AP401" s="0" t="s">
        <v>655</v>
      </c>
      <c r="AQ401" s="0" t="n">
        <v>9</v>
      </c>
      <c r="AR401" s="0" t="n">
        <v>64</v>
      </c>
      <c r="AS401" s="0" t="n">
        <v>32</v>
      </c>
      <c r="AU401" s="0" t="n">
        <f aca="false">COUNTA($BA$1186:$EH$1186)</f>
        <v>4</v>
      </c>
      <c r="AV401" s="0" t="n">
        <f aca="false">COUNTIF($BA$1186:$EH$1186,"D")</f>
        <v>0</v>
      </c>
      <c r="AW401" s="0" t="n">
        <f aca="false">COUNTIF($BA$1186:$EH$1186,"R")</f>
        <v>0</v>
      </c>
      <c r="AX401" s="0" t="n">
        <f aca="false">IF(BN401="D",1,0)+IF(BO401="D",1,0)+IF(BT401="D",1,0)+IF(BU401="D",1,0)+IF(BW401="D",1,0)+IF(CC401="D",1,0)+IF(CD401="D",1,0)+IF(CE401="D",1,0)+IF(CF401="D",1,0)+IF(CL401="D",1,0)+IF(CM401="D",1,0)+IF(CQ401="D",1,0)+IF(CR401="D",1,0)+IF(CS401="D",1,0)+IF(CW401="D",1,0)+IF(CX401="D",1,0)+IF(DD401="D",1,0)+IF(DE401="D",1,0)+IF(DJ401="D",1,0)+IF(DK401="D",1,0)+IF(DO401="D",1,0)+IF(DP401="D",1,0)+IF(DQ401="D",1,0)+IF(DW401="D",1,0)+IF(DZ401="D",1,0)+IF(EH401="D",1,0)</f>
        <v>0</v>
      </c>
      <c r="AY401" s="0" t="n">
        <f aca="false">COUNTIF(DU401:EH401, "&lt;&gt;")</f>
        <v>0</v>
      </c>
      <c r="AZ401" s="0" t="n">
        <f aca="false">IF(EH401&lt;&gt;"",1,0)</f>
        <v>0</v>
      </c>
      <c r="BB401" s="0" t="s">
        <v>152</v>
      </c>
    </row>
    <row r="402" customFormat="false" ht="13.8" hidden="true" customHeight="false" outlineLevel="0" collapsed="false">
      <c r="A402" s="0" t="s">
        <v>2201</v>
      </c>
      <c r="B402" s="0" t="n">
        <v>78</v>
      </c>
      <c r="C402" s="0" t="n">
        <v>449682</v>
      </c>
      <c r="D402" s="0" t="s">
        <v>2202</v>
      </c>
      <c r="E402" s="0" t="s">
        <v>2049</v>
      </c>
      <c r="F402" s="0" t="str">
        <f aca="false">CONCATENATE(D402," ",LEFT(H402,4),"T=",AU402,"D=",AV402,"R=",AW402,"M=",AX402,"L=",AY402,"B=",AZ402)</f>
        <v>STONE T=2D=0R=0M=0L=0B=0</v>
      </c>
      <c r="G402" s="0" t="s">
        <v>325</v>
      </c>
      <c r="I402" s="0" t="s">
        <v>2203</v>
      </c>
      <c r="J402" s="0" t="s">
        <v>2204</v>
      </c>
      <c r="K402" s="0" t="s">
        <v>143</v>
      </c>
      <c r="M402" s="0" t="s">
        <v>2200</v>
      </c>
      <c r="N402" s="0" t="str">
        <f aca="false">RIGHT(M402,LEN(M402)-FIND(" ",M402))</f>
        <v>CHESTNUT AVE NE</v>
      </c>
      <c r="P402" s="0" t="s">
        <v>145</v>
      </c>
      <c r="Q402" s="0" t="s">
        <v>146</v>
      </c>
      <c r="R402" s="0" t="n">
        <v>44483</v>
      </c>
      <c r="AD402" s="0" t="s">
        <v>147</v>
      </c>
      <c r="AE402" s="0" t="s">
        <v>148</v>
      </c>
      <c r="AF402" s="0" t="s">
        <v>149</v>
      </c>
      <c r="AH402" s="0" t="n">
        <v>14</v>
      </c>
      <c r="AI402" s="0" t="n">
        <v>11</v>
      </c>
      <c r="AN402" s="0" t="s">
        <v>145</v>
      </c>
      <c r="AO402" s="0" t="s">
        <v>654</v>
      </c>
      <c r="AP402" s="0" t="s">
        <v>655</v>
      </c>
      <c r="AQ402" s="0" t="n">
        <v>9</v>
      </c>
      <c r="AR402" s="0" t="n">
        <v>64</v>
      </c>
      <c r="AS402" s="0" t="n">
        <v>32</v>
      </c>
      <c r="AU402" s="0" t="n">
        <f aca="false">COUNTA($BA$2066:$EH$2066)</f>
        <v>2</v>
      </c>
      <c r="AV402" s="0" t="n">
        <f aca="false">COUNTIF($BA$2066:$EH$2066,"D")</f>
        <v>0</v>
      </c>
      <c r="AW402" s="0" t="n">
        <f aca="false">COUNTIF($BA$2066:$EH$2066,"R")</f>
        <v>0</v>
      </c>
      <c r="AX402" s="0" t="n">
        <f aca="false">IF(BN402="D",1,0)+IF(BO402="D",1,0)+IF(BT402="D",1,0)+IF(BU402="D",1,0)+IF(BW402="D",1,0)+IF(CC402="D",1,0)+IF(CD402="D",1,0)+IF(CE402="D",1,0)+IF(CF402="D",1,0)+IF(CL402="D",1,0)+IF(CM402="D",1,0)+IF(CQ402="D",1,0)+IF(CR402="D",1,0)+IF(CS402="D",1,0)+IF(CW402="D",1,0)+IF(CX402="D",1,0)+IF(DD402="D",1,0)+IF(DE402="D",1,0)+IF(DJ402="D",1,0)+IF(DK402="D",1,0)+IF(DO402="D",1,0)+IF(DP402="D",1,0)+IF(DQ402="D",1,0)+IF(DW402="D",1,0)+IF(DZ402="D",1,0)+IF(EH402="D",1,0)</f>
        <v>0</v>
      </c>
      <c r="AY402" s="0" t="n">
        <f aca="false">COUNTIF(DU402:EH402, "&lt;&gt;")</f>
        <v>0</v>
      </c>
      <c r="AZ402" s="0" t="n">
        <f aca="false">IF(EH402&lt;&gt;"",1,0)</f>
        <v>0</v>
      </c>
      <c r="BB402" s="0" t="s">
        <v>152</v>
      </c>
      <c r="BL402" s="0" t="s">
        <v>153</v>
      </c>
      <c r="CA402" s="0" t="s">
        <v>153</v>
      </c>
    </row>
    <row r="403" customFormat="false" ht="13.8" hidden="true" customHeight="false" outlineLevel="0" collapsed="false">
      <c r="A403" s="0" t="s">
        <v>2205</v>
      </c>
      <c r="B403" s="0" t="n">
        <v>78</v>
      </c>
      <c r="C403" s="0" t="n">
        <v>392574</v>
      </c>
      <c r="D403" s="0" t="s">
        <v>2206</v>
      </c>
      <c r="E403" s="0" t="s">
        <v>2207</v>
      </c>
      <c r="F403" s="0" t="str">
        <f aca="false">CONCATENATE(D403," ",LEFT(H403,4),"T=",AU403,"D=",AV403,"R=",AW403,"M=",AX403,"L=",AY403,"B=",AZ403)</f>
        <v>MARTINEZ T=3D=0R=0M=0L=0B=0</v>
      </c>
      <c r="I403" s="0" t="s">
        <v>2208</v>
      </c>
      <c r="J403" s="0" t="s">
        <v>2209</v>
      </c>
      <c r="K403" s="0" t="s">
        <v>143</v>
      </c>
      <c r="M403" s="0" t="s">
        <v>2210</v>
      </c>
      <c r="N403" s="0" t="str">
        <f aca="false">RIGHT(M403,LEN(M403)-FIND(" ",M403))</f>
        <v>CHESTNUT AVE NE</v>
      </c>
      <c r="O403" s="0" t="s">
        <v>2211</v>
      </c>
      <c r="P403" s="0" t="s">
        <v>145</v>
      </c>
      <c r="Q403" s="0" t="s">
        <v>146</v>
      </c>
      <c r="R403" s="0" t="n">
        <v>44483</v>
      </c>
      <c r="AD403" s="0" t="s">
        <v>147</v>
      </c>
      <c r="AE403" s="0" t="s">
        <v>148</v>
      </c>
      <c r="AF403" s="0" t="s">
        <v>149</v>
      </c>
      <c r="AH403" s="0" t="n">
        <v>14</v>
      </c>
      <c r="AI403" s="0" t="n">
        <v>11</v>
      </c>
      <c r="AN403" s="0" t="s">
        <v>145</v>
      </c>
      <c r="AO403" s="0" t="s">
        <v>654</v>
      </c>
      <c r="AP403" s="0" t="s">
        <v>655</v>
      </c>
      <c r="AQ403" s="0" t="n">
        <v>9</v>
      </c>
      <c r="AR403" s="0" t="n">
        <v>64</v>
      </c>
      <c r="AS403" s="0" t="n">
        <v>32</v>
      </c>
      <c r="AU403" s="0" t="n">
        <f aca="false">COUNTA($BA$1292:$EH$1292)</f>
        <v>3</v>
      </c>
      <c r="AV403" s="0" t="n">
        <f aca="false">COUNTIF($BA$1292:$EH$1292,"D")</f>
        <v>0</v>
      </c>
      <c r="AW403" s="0" t="n">
        <f aca="false">COUNTIF($BA$1292:$EH$1292,"R")</f>
        <v>0</v>
      </c>
      <c r="AX403" s="0" t="n">
        <f aca="false">IF(BN403="D",1,0)+IF(BO403="D",1,0)+IF(BT403="D",1,0)+IF(BU403="D",1,0)+IF(BW403="D",1,0)+IF(CC403="D",1,0)+IF(CD403="D",1,0)+IF(CE403="D",1,0)+IF(CF403="D",1,0)+IF(CL403="D",1,0)+IF(CM403="D",1,0)+IF(CQ403="D",1,0)+IF(CR403="D",1,0)+IF(CS403="D",1,0)+IF(CW403="D",1,0)+IF(CX403="D",1,0)+IF(DD403="D",1,0)+IF(DE403="D",1,0)+IF(DJ403="D",1,0)+IF(DK403="D",1,0)+IF(DO403="D",1,0)+IF(DP403="D",1,0)+IF(DQ403="D",1,0)+IF(DW403="D",1,0)+IF(DZ403="D",1,0)+IF(EH403="D",1,0)</f>
        <v>0</v>
      </c>
      <c r="AY403" s="0" t="n">
        <f aca="false">COUNTIF(DU403:EH403, "&lt;&gt;")</f>
        <v>0</v>
      </c>
      <c r="AZ403" s="0" t="n">
        <f aca="false">IF(EH403&lt;&gt;"",1,0)</f>
        <v>0</v>
      </c>
      <c r="BB403" s="0" t="s">
        <v>152</v>
      </c>
      <c r="CP403" s="0" t="s">
        <v>153</v>
      </c>
      <c r="DC403" s="0" t="s">
        <v>153</v>
      </c>
      <c r="DI403" s="0" t="s">
        <v>153</v>
      </c>
      <c r="DN403" s="0" t="s">
        <v>153</v>
      </c>
    </row>
    <row r="404" customFormat="false" ht="13.8" hidden="true" customHeight="false" outlineLevel="0" collapsed="false">
      <c r="A404" s="0" t="s">
        <v>2212</v>
      </c>
      <c r="B404" s="0" t="n">
        <v>78</v>
      </c>
      <c r="C404" s="0" t="n">
        <v>441048</v>
      </c>
      <c r="D404" s="0" t="s">
        <v>2213</v>
      </c>
      <c r="E404" s="0" t="s">
        <v>2214</v>
      </c>
      <c r="F404" s="0" t="str">
        <f aca="false">CONCATENATE(D404," ",LEFT(H404,4),"T=",AU404,"D=",AV404,"R=",AW404,"M=",AX404,"L=",AY404,"B=",AZ404)</f>
        <v>CREGIER T=8D=2R=0M=0L=0B=0</v>
      </c>
      <c r="G404" s="0" t="s">
        <v>331</v>
      </c>
      <c r="I404" s="0" t="s">
        <v>2215</v>
      </c>
      <c r="J404" s="0" t="s">
        <v>2216</v>
      </c>
      <c r="K404" s="0" t="s">
        <v>143</v>
      </c>
      <c r="M404" s="0" t="s">
        <v>2210</v>
      </c>
      <c r="N404" s="0" t="str">
        <f aca="false">RIGHT(M404,LEN(M404)-FIND(" ",M404))</f>
        <v>CHESTNUT AVE NE</v>
      </c>
      <c r="O404" s="0" t="s">
        <v>2211</v>
      </c>
      <c r="P404" s="0" t="s">
        <v>145</v>
      </c>
      <c r="Q404" s="0" t="s">
        <v>146</v>
      </c>
      <c r="R404" s="0" t="n">
        <v>44483</v>
      </c>
      <c r="AD404" s="0" t="s">
        <v>147</v>
      </c>
      <c r="AE404" s="0" t="s">
        <v>148</v>
      </c>
      <c r="AF404" s="0" t="s">
        <v>149</v>
      </c>
      <c r="AH404" s="0" t="n">
        <v>14</v>
      </c>
      <c r="AI404" s="0" t="n">
        <v>11</v>
      </c>
      <c r="AN404" s="0" t="s">
        <v>145</v>
      </c>
      <c r="AO404" s="0" t="s">
        <v>654</v>
      </c>
      <c r="AP404" s="0" t="s">
        <v>655</v>
      </c>
      <c r="AQ404" s="0" t="n">
        <v>9</v>
      </c>
      <c r="AR404" s="0" t="n">
        <v>64</v>
      </c>
      <c r="AS404" s="0" t="n">
        <v>32</v>
      </c>
      <c r="AU404" s="0" t="n">
        <f aca="false">COUNTA($BA$1777:$EH$1777)</f>
        <v>8</v>
      </c>
      <c r="AV404" s="0" t="n">
        <f aca="false">COUNTIF($BA$1777:$EH$1777,"D")</f>
        <v>2</v>
      </c>
      <c r="AW404" s="0" t="n">
        <f aca="false">COUNTIF($BA$1777:$EH$1777,"R")</f>
        <v>0</v>
      </c>
      <c r="AX404" s="0" t="n">
        <f aca="false">IF(BN404="D",1,0)+IF(BO404="D",1,0)+IF(BT404="D",1,0)+IF(BU404="D",1,0)+IF(BW404="D",1,0)+IF(CC404="D",1,0)+IF(CD404="D",1,0)+IF(CE404="D",1,0)+IF(CF404="D",1,0)+IF(CL404="D",1,0)+IF(CM404="D",1,0)+IF(CQ404="D",1,0)+IF(CR404="D",1,0)+IF(CS404="D",1,0)+IF(CW404="D",1,0)+IF(CX404="D",1,0)+IF(DD404="D",1,0)+IF(DE404="D",1,0)+IF(DJ404="D",1,0)+IF(DK404="D",1,0)+IF(DO404="D",1,0)+IF(DP404="D",1,0)+IF(DQ404="D",1,0)+IF(DW404="D",1,0)+IF(DZ404="D",1,0)+IF(EH404="D",1,0)</f>
        <v>0</v>
      </c>
      <c r="AY404" s="0" t="n">
        <f aca="false">COUNTIF(DU404:EH404, "&lt;&gt;")</f>
        <v>0</v>
      </c>
      <c r="AZ404" s="0" t="n">
        <f aca="false">IF(EH404&lt;&gt;"",1,0)</f>
        <v>0</v>
      </c>
      <c r="BB404" s="0" t="s">
        <v>152</v>
      </c>
    </row>
    <row r="405" customFormat="false" ht="13.8" hidden="true" customHeight="false" outlineLevel="0" collapsed="false">
      <c r="A405" s="0" t="s">
        <v>2217</v>
      </c>
      <c r="B405" s="0" t="n">
        <v>78</v>
      </c>
      <c r="C405" s="0" t="n">
        <v>435392</v>
      </c>
      <c r="D405" s="0" t="s">
        <v>2218</v>
      </c>
      <c r="E405" s="0" t="s">
        <v>547</v>
      </c>
      <c r="F405" s="0" t="str">
        <f aca="false">CONCATENATE(D405," ",LEFT(H405,4),"T=",AU405,"D=",AV405,"R=",AW405,"M=",AX405,"L=",AY405,"B=",AZ405)</f>
        <v>POST T=40D=11R=0M=0L=0B=0</v>
      </c>
      <c r="G405" s="0" t="s">
        <v>190</v>
      </c>
      <c r="I405" s="0" t="s">
        <v>2219</v>
      </c>
      <c r="J405" s="0" t="s">
        <v>2220</v>
      </c>
      <c r="K405" s="0" t="s">
        <v>160</v>
      </c>
      <c r="M405" s="0" t="s">
        <v>2221</v>
      </c>
      <c r="N405" s="0" t="str">
        <f aca="false">RIGHT(M405,LEN(M405)-FIND(" ",M405))</f>
        <v>CHESTNUT AVE NE</v>
      </c>
      <c r="P405" s="0" t="s">
        <v>145</v>
      </c>
      <c r="Q405" s="0" t="s">
        <v>146</v>
      </c>
      <c r="R405" s="0" t="n">
        <v>44483</v>
      </c>
      <c r="AD405" s="0" t="s">
        <v>147</v>
      </c>
      <c r="AE405" s="0" t="s">
        <v>148</v>
      </c>
      <c r="AF405" s="0" t="s">
        <v>149</v>
      </c>
      <c r="AH405" s="0" t="n">
        <v>14</v>
      </c>
      <c r="AI405" s="0" t="n">
        <v>11</v>
      </c>
      <c r="AN405" s="0" t="s">
        <v>145</v>
      </c>
      <c r="AO405" s="0" t="s">
        <v>654</v>
      </c>
      <c r="AP405" s="0" t="s">
        <v>655</v>
      </c>
      <c r="AQ405" s="0" t="n">
        <v>9</v>
      </c>
      <c r="AR405" s="0" t="n">
        <v>64</v>
      </c>
      <c r="AS405" s="0" t="n">
        <v>32</v>
      </c>
      <c r="AU405" s="0" t="n">
        <f aca="false">COUNTA($BA$1736:$EH$1736)</f>
        <v>40</v>
      </c>
      <c r="AV405" s="0" t="n">
        <f aca="false">COUNTIF($BA$1736:$EH$1736,"D")</f>
        <v>11</v>
      </c>
      <c r="AW405" s="0" t="n">
        <f aca="false">COUNTIF($BA$1736:$EH$1736,"R")</f>
        <v>0</v>
      </c>
      <c r="AX405" s="0" t="n">
        <f aca="false">IF(BN405="D",1,0)+IF(BO405="D",1,0)+IF(BT405="D",1,0)+IF(BU405="D",1,0)+IF(BW405="D",1,0)+IF(CC405="D",1,0)+IF(CD405="D",1,0)+IF(CE405="D",1,0)+IF(CF405="D",1,0)+IF(CL405="D",1,0)+IF(CM405="D",1,0)+IF(CQ405="D",1,0)+IF(CR405="D",1,0)+IF(CS405="D",1,0)+IF(CW405="D",1,0)+IF(CX405="D",1,0)+IF(DD405="D",1,0)+IF(DE405="D",1,0)+IF(DJ405="D",1,0)+IF(DK405="D",1,0)+IF(DO405="D",1,0)+IF(DP405="D",1,0)+IF(DQ405="D",1,0)+IF(DW405="D",1,0)+IF(DZ405="D",1,0)+IF(EH405="D",1,0)</f>
        <v>0</v>
      </c>
      <c r="AY405" s="0" t="n">
        <f aca="false">COUNTIF(DU405:EH405, "&lt;&gt;")</f>
        <v>0</v>
      </c>
      <c r="AZ405" s="0" t="n">
        <f aca="false">IF(EH405&lt;&gt;"",1,0)</f>
        <v>0</v>
      </c>
      <c r="BB405" s="0" t="s">
        <v>152</v>
      </c>
    </row>
    <row r="406" customFormat="false" ht="13.8" hidden="true" customHeight="false" outlineLevel="0" collapsed="false">
      <c r="A406" s="0" t="s">
        <v>2222</v>
      </c>
      <c r="B406" s="0" t="n">
        <v>78</v>
      </c>
      <c r="C406" s="0" t="n">
        <v>409318</v>
      </c>
      <c r="D406" s="0" t="s">
        <v>2223</v>
      </c>
      <c r="E406" s="0" t="s">
        <v>2224</v>
      </c>
      <c r="F406" s="0" t="str">
        <f aca="false">CONCATENATE(D406," ",LEFT(H406,4),"T=",AU406,"D=",AV406,"R=",AW406,"M=",AX406,"L=",AY406,"B=",AZ406)</f>
        <v>BRETT T=6D=1R=0M=0L=0B=0</v>
      </c>
      <c r="G406" s="0" t="s">
        <v>2123</v>
      </c>
      <c r="I406" s="0" t="s">
        <v>2225</v>
      </c>
      <c r="J406" s="0" t="s">
        <v>2226</v>
      </c>
      <c r="K406" s="0" t="s">
        <v>160</v>
      </c>
      <c r="M406" s="0" t="s">
        <v>2221</v>
      </c>
      <c r="N406" s="0" t="str">
        <f aca="false">RIGHT(M406,LEN(M406)-FIND(" ",M406))</f>
        <v>CHESTNUT AVE NE</v>
      </c>
      <c r="P406" s="0" t="s">
        <v>145</v>
      </c>
      <c r="Q406" s="0" t="s">
        <v>146</v>
      </c>
      <c r="R406" s="0" t="n">
        <v>44483</v>
      </c>
      <c r="AD406" s="0" t="s">
        <v>147</v>
      </c>
      <c r="AE406" s="0" t="s">
        <v>148</v>
      </c>
      <c r="AF406" s="0" t="s">
        <v>149</v>
      </c>
      <c r="AH406" s="0" t="n">
        <v>14</v>
      </c>
      <c r="AI406" s="0" t="n">
        <v>11</v>
      </c>
      <c r="AN406" s="0" t="s">
        <v>145</v>
      </c>
      <c r="AO406" s="0" t="s">
        <v>654</v>
      </c>
      <c r="AP406" s="0" t="s">
        <v>655</v>
      </c>
      <c r="AQ406" s="0" t="n">
        <v>9</v>
      </c>
      <c r="AR406" s="0" t="n">
        <v>64</v>
      </c>
      <c r="AS406" s="0" t="n">
        <v>32</v>
      </c>
      <c r="AU406" s="0" t="n">
        <f aca="false">COUNTA($BA$1904:$EH$1904)</f>
        <v>6</v>
      </c>
      <c r="AV406" s="0" t="n">
        <f aca="false">COUNTIF($BA$1904:$EH$1904,"D")</f>
        <v>1</v>
      </c>
      <c r="AW406" s="0" t="n">
        <f aca="false">COUNTIF($BA$1904:$EH$1904,"R")</f>
        <v>0</v>
      </c>
      <c r="AX406" s="0" t="n">
        <f aca="false">IF(BN406="D",1,0)+IF(BO406="D",1,0)+IF(BT406="D",1,0)+IF(BU406="D",1,0)+IF(BW406="D",1,0)+IF(CC406="D",1,0)+IF(CD406="D",1,0)+IF(CE406="D",1,0)+IF(CF406="D",1,0)+IF(CL406="D",1,0)+IF(CM406="D",1,0)+IF(CQ406="D",1,0)+IF(CR406="D",1,0)+IF(CS406="D",1,0)+IF(CW406="D",1,0)+IF(CX406="D",1,0)+IF(DD406="D",1,0)+IF(DE406="D",1,0)+IF(DJ406="D",1,0)+IF(DK406="D",1,0)+IF(DO406="D",1,0)+IF(DP406="D",1,0)+IF(DQ406="D",1,0)+IF(DW406="D",1,0)+IF(DZ406="D",1,0)+IF(EH406="D",1,0)</f>
        <v>0</v>
      </c>
      <c r="AY406" s="0" t="n">
        <f aca="false">COUNTIF(DU406:EH406, "&lt;&gt;")</f>
        <v>0</v>
      </c>
      <c r="AZ406" s="0" t="n">
        <f aca="false">IF(EH406&lt;&gt;"",1,0)</f>
        <v>0</v>
      </c>
      <c r="BB406" s="0" t="s">
        <v>152</v>
      </c>
    </row>
    <row r="407" customFormat="false" ht="13.8" hidden="true" customHeight="false" outlineLevel="0" collapsed="false">
      <c r="A407" s="0" t="s">
        <v>2227</v>
      </c>
      <c r="B407" s="0" t="n">
        <v>78</v>
      </c>
      <c r="C407" s="0" t="n">
        <v>487897</v>
      </c>
      <c r="D407" s="0" t="s">
        <v>1041</v>
      </c>
      <c r="E407" s="0" t="s">
        <v>2228</v>
      </c>
      <c r="F407" s="0" t="str">
        <f aca="false">CONCATENATE(D407," ",LEFT(H407,4),"T=",AU407,"D=",AV407,"R=",AW407,"M=",AX407,"L=",AY407,"B=",AZ407)</f>
        <v>JONES T=1D=0R=0M=0L=0B=0</v>
      </c>
      <c r="G407" s="0" t="s">
        <v>325</v>
      </c>
      <c r="I407" s="0" t="s">
        <v>2229</v>
      </c>
      <c r="J407" s="0" t="s">
        <v>2230</v>
      </c>
      <c r="K407" s="0" t="s">
        <v>160</v>
      </c>
      <c r="M407" s="0" t="s">
        <v>2231</v>
      </c>
      <c r="N407" s="0" t="str">
        <f aca="false">RIGHT(M407,LEN(M407)-FIND(" ",M407))</f>
        <v>CHESTNUT AVE NE</v>
      </c>
      <c r="P407" s="0" t="s">
        <v>145</v>
      </c>
      <c r="Q407" s="0" t="s">
        <v>146</v>
      </c>
      <c r="R407" s="0" t="n">
        <v>44483</v>
      </c>
      <c r="AD407" s="0" t="s">
        <v>147</v>
      </c>
      <c r="AE407" s="0" t="s">
        <v>148</v>
      </c>
      <c r="AF407" s="0" t="s">
        <v>149</v>
      </c>
      <c r="AH407" s="0" t="n">
        <v>14</v>
      </c>
      <c r="AI407" s="0" t="n">
        <v>11</v>
      </c>
      <c r="AN407" s="0" t="s">
        <v>145</v>
      </c>
      <c r="AO407" s="0" t="s">
        <v>654</v>
      </c>
      <c r="AP407" s="0" t="s">
        <v>655</v>
      </c>
      <c r="AQ407" s="0" t="n">
        <v>9</v>
      </c>
      <c r="AR407" s="0" t="n">
        <v>64</v>
      </c>
      <c r="AS407" s="0" t="n">
        <v>32</v>
      </c>
      <c r="AU407" s="0" t="n">
        <f aca="false">COUNTA($BA$1311:$EH$1311)</f>
        <v>1</v>
      </c>
      <c r="AV407" s="0" t="n">
        <f aca="false">COUNTIF($BA$1311:$EH$1311,"D")</f>
        <v>0</v>
      </c>
      <c r="AW407" s="0" t="n">
        <f aca="false">COUNTIF($BA$1311:$EH$1311,"R")</f>
        <v>0</v>
      </c>
      <c r="AX407" s="0" t="n">
        <f aca="false">IF(BN407="D",1,0)+IF(BO407="D",1,0)+IF(BT407="D",1,0)+IF(BU407="D",1,0)+IF(BW407="D",1,0)+IF(CC407="D",1,0)+IF(CD407="D",1,0)+IF(CE407="D",1,0)+IF(CF407="D",1,0)+IF(CL407="D",1,0)+IF(CM407="D",1,0)+IF(CQ407="D",1,0)+IF(CR407="D",1,0)+IF(CS407="D",1,0)+IF(CW407="D",1,0)+IF(CX407="D",1,0)+IF(DD407="D",1,0)+IF(DE407="D",1,0)+IF(DJ407="D",1,0)+IF(DK407="D",1,0)+IF(DO407="D",1,0)+IF(DP407="D",1,0)+IF(DQ407="D",1,0)+IF(DW407="D",1,0)+IF(DZ407="D",1,0)+IF(EH407="D",1,0)</f>
        <v>0</v>
      </c>
      <c r="AY407" s="0" t="n">
        <f aca="false">COUNTIF(DU407:EH407, "&lt;&gt;")</f>
        <v>0</v>
      </c>
      <c r="AZ407" s="0" t="n">
        <f aca="false">IF(EH407&lt;&gt;"",1,0)</f>
        <v>0</v>
      </c>
      <c r="BB407" s="0" t="s">
        <v>152</v>
      </c>
    </row>
    <row r="408" customFormat="false" ht="13.8" hidden="false" customHeight="false" outlineLevel="0" collapsed="false">
      <c r="A408" s="0" t="s">
        <v>2232</v>
      </c>
      <c r="B408" s="0" t="n">
        <v>78</v>
      </c>
      <c r="C408" s="0" t="n">
        <v>14210</v>
      </c>
      <c r="D408" s="0" t="s">
        <v>2233</v>
      </c>
      <c r="E408" s="0" t="s">
        <v>2234</v>
      </c>
      <c r="F408" s="0" t="str">
        <f aca="false">CONCATENATE(D408," ",LEFT(H408,4),"T=",AU408,"D=",AV408,"R=",AW408,"M=",AX408,"L=",AY408,"B=",AZ408)</f>
        <v>WATSON T=1D=0R=0M=1L=5B=0</v>
      </c>
      <c r="I408" s="0" t="s">
        <v>2235</v>
      </c>
      <c r="J408" s="0" t="s">
        <v>688</v>
      </c>
      <c r="K408" s="0" t="s">
        <v>160</v>
      </c>
      <c r="L408" s="0" t="s">
        <v>209</v>
      </c>
      <c r="M408" s="0" t="s">
        <v>2236</v>
      </c>
      <c r="N408" s="0" t="str">
        <f aca="false">RIGHT(M408,LEN(M408)-FIND(" ",M408))</f>
        <v>CHESTNUT AVE SE</v>
      </c>
      <c r="P408" s="0" t="s">
        <v>145</v>
      </c>
      <c r="Q408" s="0" t="s">
        <v>146</v>
      </c>
      <c r="R408" s="0" t="n">
        <v>44483</v>
      </c>
      <c r="AD408" s="0" t="s">
        <v>147</v>
      </c>
      <c r="AE408" s="0" t="s">
        <v>148</v>
      </c>
      <c r="AF408" s="0" t="s">
        <v>149</v>
      </c>
      <c r="AH408" s="0" t="n">
        <v>14</v>
      </c>
      <c r="AI408" s="0" t="n">
        <v>11</v>
      </c>
      <c r="AN408" s="0" t="s">
        <v>145</v>
      </c>
      <c r="AO408" s="0" t="s">
        <v>654</v>
      </c>
      <c r="AP408" s="0" t="s">
        <v>655</v>
      </c>
      <c r="AQ408" s="0" t="n">
        <v>9</v>
      </c>
      <c r="AR408" s="0" t="n">
        <v>64</v>
      </c>
      <c r="AS408" s="0" t="n">
        <v>32</v>
      </c>
      <c r="AU408" s="0" t="n">
        <f aca="false">COUNTA($BA$1231:$EH$1231)</f>
        <v>1</v>
      </c>
      <c r="AV408" s="0" t="n">
        <f aca="false">COUNTIF($BA$1231:$EH$1231,"D")</f>
        <v>0</v>
      </c>
      <c r="AW408" s="0" t="n">
        <f aca="false">COUNTIF($BA$1231:$EH$1231,"R")</f>
        <v>0</v>
      </c>
      <c r="AX408" s="0" t="n">
        <f aca="false">IF(BN408="D",1,0)+IF(BO408="D",1,0)+IF(BT408="D",1,0)+IF(BU408="D",1,0)+IF(BW408="D",1,0)+IF(CC408="D",1,0)+IF(CD408="D",1,0)+IF(CE408="D",1,0)+IF(CF408="D",1,0)+IF(CL408="D",1,0)+IF(CM408="D",1,0)+IF(CQ408="D",1,0)+IF(CR408="D",1,0)+IF(CS408="D",1,0)+IF(CW408="D",1,0)+IF(CX408="D",1,0)+IF(DD408="D",1,0)+IF(DE408="D",1,0)+IF(DJ408="D",1,0)+IF(DK408="D",1,0)+IF(DO408="D",1,0)+IF(DP408="D",1,0)+IF(DQ408="D",1,0)+IF(DW408="D",1,0)+IF(DZ408="D",1,0)+IF(EH408="D",1,0)</f>
        <v>1</v>
      </c>
      <c r="AY408" s="0" t="n">
        <f aca="false">COUNTIF(DU408:EH408, "&lt;&gt;")</f>
        <v>5</v>
      </c>
      <c r="AZ408" s="0" t="n">
        <f aca="false">IF(EH408&lt;&gt;"",1,0)</f>
        <v>0</v>
      </c>
      <c r="BB408" s="0" t="s">
        <v>152</v>
      </c>
      <c r="BC408" s="0" t="s">
        <v>153</v>
      </c>
      <c r="BD408" s="0" t="s">
        <v>153</v>
      </c>
      <c r="BE408" s="0" t="s">
        <v>153</v>
      </c>
      <c r="BF408" s="0" t="s">
        <v>153</v>
      </c>
      <c r="BH408" s="0" t="s">
        <v>153</v>
      </c>
      <c r="BI408" s="0" t="s">
        <v>153</v>
      </c>
      <c r="BJ408" s="0" t="s">
        <v>153</v>
      </c>
      <c r="BK408" s="0" t="s">
        <v>153</v>
      </c>
      <c r="BP408" s="0" t="s">
        <v>153</v>
      </c>
      <c r="BS408" s="0" t="s">
        <v>153</v>
      </c>
      <c r="BY408" s="0" t="s">
        <v>209</v>
      </c>
      <c r="CA408" s="0" t="s">
        <v>153</v>
      </c>
      <c r="CG408" s="0" t="s">
        <v>153</v>
      </c>
      <c r="CK408" s="0" t="s">
        <v>153</v>
      </c>
      <c r="CN408" s="0" t="s">
        <v>153</v>
      </c>
      <c r="CO408" s="0" t="s">
        <v>209</v>
      </c>
      <c r="CP408" s="0" t="s">
        <v>153</v>
      </c>
      <c r="CV408" s="0" t="s">
        <v>153</v>
      </c>
      <c r="CY408" s="0" t="s">
        <v>153</v>
      </c>
      <c r="CZ408" s="0" t="s">
        <v>209</v>
      </c>
      <c r="DC408" s="0" t="s">
        <v>153</v>
      </c>
      <c r="DI408" s="0" t="s">
        <v>153</v>
      </c>
      <c r="DJ408" s="0" t="s">
        <v>175</v>
      </c>
      <c r="DL408" s="0" t="s">
        <v>153</v>
      </c>
      <c r="DM408" s="0" t="s">
        <v>209</v>
      </c>
      <c r="DN408" s="0" t="s">
        <v>153</v>
      </c>
      <c r="DR408" s="0" t="s">
        <v>153</v>
      </c>
      <c r="DS408" s="0" t="s">
        <v>209</v>
      </c>
      <c r="DU408" s="0" t="s">
        <v>153</v>
      </c>
      <c r="DX408" s="0" t="s">
        <v>153</v>
      </c>
      <c r="EA408" s="0" t="s">
        <v>153</v>
      </c>
      <c r="ED408" s="0" t="s">
        <v>209</v>
      </c>
      <c r="EF408" s="0" t="s">
        <v>153</v>
      </c>
    </row>
    <row r="409" customFormat="false" ht="13.8" hidden="false" customHeight="false" outlineLevel="0" collapsed="false">
      <c r="A409" s="0" t="s">
        <v>2237</v>
      </c>
      <c r="B409" s="0" t="n">
        <v>78</v>
      </c>
      <c r="C409" s="0" t="n">
        <v>367356</v>
      </c>
      <c r="D409" s="0" t="s">
        <v>2238</v>
      </c>
      <c r="E409" s="0" t="s">
        <v>1031</v>
      </c>
      <c r="F409" s="0" t="str">
        <f aca="false">CONCATENATE(D409," ",LEFT(H409,4),"T=",AU409,"D=",AV409,"R=",AW409,"M=",AX409,"L=",AY409,"B=",AZ409)</f>
        <v>DYSON T=2D=0R=0M=0L=5B=0</v>
      </c>
      <c r="G409" s="0" t="s">
        <v>268</v>
      </c>
      <c r="I409" s="0" t="s">
        <v>2239</v>
      </c>
      <c r="J409" s="0" t="s">
        <v>2240</v>
      </c>
      <c r="K409" s="0" t="s">
        <v>160</v>
      </c>
      <c r="L409" s="0" t="s">
        <v>209</v>
      </c>
      <c r="M409" s="0" t="s">
        <v>2241</v>
      </c>
      <c r="N409" s="0" t="str">
        <f aca="false">RIGHT(M409,LEN(M409)-FIND(" ",M409))</f>
        <v>CHESTNUT AVE SE</v>
      </c>
      <c r="P409" s="0" t="s">
        <v>145</v>
      </c>
      <c r="Q409" s="0" t="s">
        <v>146</v>
      </c>
      <c r="R409" s="0" t="n">
        <v>44483</v>
      </c>
      <c r="AD409" s="0" t="s">
        <v>147</v>
      </c>
      <c r="AE409" s="0" t="s">
        <v>148</v>
      </c>
      <c r="AF409" s="0" t="s">
        <v>149</v>
      </c>
      <c r="AH409" s="0" t="n">
        <v>14</v>
      </c>
      <c r="AI409" s="0" t="n">
        <v>11</v>
      </c>
      <c r="AN409" s="0" t="s">
        <v>145</v>
      </c>
      <c r="AO409" s="0" t="s">
        <v>654</v>
      </c>
      <c r="AP409" s="0" t="s">
        <v>655</v>
      </c>
      <c r="AQ409" s="0" t="n">
        <v>9</v>
      </c>
      <c r="AR409" s="0" t="n">
        <v>64</v>
      </c>
      <c r="AS409" s="0" t="n">
        <v>32</v>
      </c>
      <c r="AU409" s="0" t="n">
        <f aca="false">COUNTA($BA$1694:$EH$1694)</f>
        <v>2</v>
      </c>
      <c r="AV409" s="0" t="n">
        <f aca="false">COUNTIF($BA$1694:$EH$1694,"D")</f>
        <v>0</v>
      </c>
      <c r="AW409" s="0" t="n">
        <f aca="false">COUNTIF($BA$1694:$EH$1694,"R")</f>
        <v>0</v>
      </c>
      <c r="AX409" s="0" t="n">
        <f aca="false">IF(BN409="D",1,0)+IF(BO409="D",1,0)+IF(BT409="D",1,0)+IF(BU409="D",1,0)+IF(BW409="D",1,0)+IF(CC409="D",1,0)+IF(CD409="D",1,0)+IF(CE409="D",1,0)+IF(CF409="D",1,0)+IF(CL409="D",1,0)+IF(CM409="D",1,0)+IF(CQ409="D",1,0)+IF(CR409="D",1,0)+IF(CS409="D",1,0)+IF(CW409="D",1,0)+IF(CX409="D",1,0)+IF(DD409="D",1,0)+IF(DE409="D",1,0)+IF(DJ409="D",1,0)+IF(DK409="D",1,0)+IF(DO409="D",1,0)+IF(DP409="D",1,0)+IF(DQ409="D",1,0)+IF(DW409="D",1,0)+IF(DZ409="D",1,0)+IF(EH409="D",1,0)</f>
        <v>0</v>
      </c>
      <c r="AY409" s="0" t="n">
        <f aca="false">COUNTIF(DU409:EH409, "&lt;&gt;")</f>
        <v>5</v>
      </c>
      <c r="AZ409" s="0" t="n">
        <f aca="false">IF(EH409&lt;&gt;"",1,0)</f>
        <v>0</v>
      </c>
      <c r="BB409" s="0" t="s">
        <v>152</v>
      </c>
      <c r="CP409" s="0" t="s">
        <v>153</v>
      </c>
      <c r="DI409" s="0" t="s">
        <v>153</v>
      </c>
      <c r="DM409" s="0" t="s">
        <v>209</v>
      </c>
      <c r="DN409" s="0" t="s">
        <v>153</v>
      </c>
      <c r="DS409" s="0" t="s">
        <v>209</v>
      </c>
      <c r="DU409" s="0" t="s">
        <v>153</v>
      </c>
      <c r="DX409" s="0" t="s">
        <v>153</v>
      </c>
      <c r="EA409" s="0" t="s">
        <v>153</v>
      </c>
      <c r="ED409" s="0" t="s">
        <v>209</v>
      </c>
      <c r="EF409" s="0" t="s">
        <v>153</v>
      </c>
    </row>
    <row r="410" customFormat="false" ht="13.8" hidden="false" customHeight="false" outlineLevel="0" collapsed="false">
      <c r="A410" s="0" t="s">
        <v>2242</v>
      </c>
      <c r="B410" s="0" t="n">
        <v>78</v>
      </c>
      <c r="C410" s="0" t="n">
        <v>399636</v>
      </c>
      <c r="D410" s="0" t="s">
        <v>2243</v>
      </c>
      <c r="E410" s="0" t="s">
        <v>435</v>
      </c>
      <c r="F410" s="0" t="str">
        <f aca="false">CONCATENATE(D410," ",LEFT(H410,4),"T=",AU410,"D=",AV410,"R=",AW410,"M=",AX410,"L=",AY410,"B=",AZ410)</f>
        <v>DAMIANO JRT=1D=0R=0M=0L=3B=0</v>
      </c>
      <c r="G410" s="0" t="s">
        <v>2214</v>
      </c>
      <c r="H410" s="0" t="s">
        <v>314</v>
      </c>
      <c r="I410" s="0" t="s">
        <v>2244</v>
      </c>
      <c r="J410" s="0" t="s">
        <v>2245</v>
      </c>
      <c r="K410" s="0" t="s">
        <v>160</v>
      </c>
      <c r="M410" s="0" t="s">
        <v>2246</v>
      </c>
      <c r="N410" s="0" t="str">
        <f aca="false">RIGHT(M410,LEN(M410)-FIND(" ",M410))</f>
        <v>CHESTNUT AVE SE</v>
      </c>
      <c r="P410" s="0" t="s">
        <v>145</v>
      </c>
      <c r="Q410" s="0" t="s">
        <v>146</v>
      </c>
      <c r="R410" s="0" t="n">
        <v>44483</v>
      </c>
      <c r="AD410" s="0" t="s">
        <v>147</v>
      </c>
      <c r="AE410" s="0" t="s">
        <v>148</v>
      </c>
      <c r="AF410" s="0" t="s">
        <v>149</v>
      </c>
      <c r="AH410" s="0" t="n">
        <v>14</v>
      </c>
      <c r="AI410" s="0" t="n">
        <v>11</v>
      </c>
      <c r="AN410" s="0" t="s">
        <v>145</v>
      </c>
      <c r="AO410" s="0" t="s">
        <v>654</v>
      </c>
      <c r="AP410" s="0" t="s">
        <v>655</v>
      </c>
      <c r="AQ410" s="0" t="n">
        <v>9</v>
      </c>
      <c r="AR410" s="0" t="n">
        <v>64</v>
      </c>
      <c r="AS410" s="0" t="n">
        <v>32</v>
      </c>
      <c r="AU410" s="0" t="n">
        <f aca="false">COUNTA($BA$1789:$EH$1789)</f>
        <v>1</v>
      </c>
      <c r="AV410" s="0" t="n">
        <f aca="false">COUNTIF($BA$1789:$EH$1789,"D")</f>
        <v>0</v>
      </c>
      <c r="AW410" s="0" t="n">
        <f aca="false">COUNTIF($BA$1789:$EH$1789,"R")</f>
        <v>0</v>
      </c>
      <c r="AX410" s="0" t="n">
        <f aca="false">IF(BN410="D",1,0)+IF(BO410="D",1,0)+IF(BT410="D",1,0)+IF(BU410="D",1,0)+IF(BW410="D",1,0)+IF(CC410="D",1,0)+IF(CD410="D",1,0)+IF(CE410="D",1,0)+IF(CF410="D",1,0)+IF(CL410="D",1,0)+IF(CM410="D",1,0)+IF(CQ410="D",1,0)+IF(CR410="D",1,0)+IF(CS410="D",1,0)+IF(CW410="D",1,0)+IF(CX410="D",1,0)+IF(DD410="D",1,0)+IF(DE410="D",1,0)+IF(DJ410="D",1,0)+IF(DK410="D",1,0)+IF(DO410="D",1,0)+IF(DP410="D",1,0)+IF(DQ410="D",1,0)+IF(DW410="D",1,0)+IF(DZ410="D",1,0)+IF(EH410="D",1,0)</f>
        <v>0</v>
      </c>
      <c r="AY410" s="0" t="n">
        <f aca="false">COUNTIF(DU410:EH410, "&lt;&gt;")</f>
        <v>3</v>
      </c>
      <c r="AZ410" s="0" t="n">
        <f aca="false">IF(EH410&lt;&gt;"",1,0)</f>
        <v>0</v>
      </c>
      <c r="BB410" s="0" t="s">
        <v>152</v>
      </c>
      <c r="CV410" s="0" t="s">
        <v>153</v>
      </c>
      <c r="CY410" s="0" t="s">
        <v>153</v>
      </c>
      <c r="CZ410" s="0" t="s">
        <v>175</v>
      </c>
      <c r="DC410" s="0" t="s">
        <v>153</v>
      </c>
      <c r="DI410" s="0" t="s">
        <v>153</v>
      </c>
      <c r="DM410" s="0" t="s">
        <v>175</v>
      </c>
      <c r="DN410" s="0" t="s">
        <v>153</v>
      </c>
      <c r="DU410" s="0" t="s">
        <v>153</v>
      </c>
      <c r="EA410" s="0" t="s">
        <v>153</v>
      </c>
      <c r="EF410" s="0" t="s">
        <v>153</v>
      </c>
    </row>
    <row r="411" customFormat="false" ht="13.8" hidden="false" customHeight="false" outlineLevel="0" collapsed="false">
      <c r="A411" s="0" t="s">
        <v>2247</v>
      </c>
      <c r="B411" s="0" t="n">
        <v>78</v>
      </c>
      <c r="C411" s="0" t="n">
        <v>296707</v>
      </c>
      <c r="D411" s="0" t="s">
        <v>1867</v>
      </c>
      <c r="E411" s="0" t="s">
        <v>675</v>
      </c>
      <c r="F411" s="0" t="str">
        <f aca="false">CONCATENATE(D411," ",LEFT(H411,4),"T=",AU411,"D=",AV411,"R=",AW411,"M=",AX411,"L=",AY411,"B=",AZ411)</f>
        <v>TAYLOR T=1D=0R=0M=0L=3B=0</v>
      </c>
      <c r="G411" s="0" t="s">
        <v>164</v>
      </c>
      <c r="I411" s="0" t="s">
        <v>2248</v>
      </c>
      <c r="J411" s="0" t="s">
        <v>2245</v>
      </c>
      <c r="K411" s="0" t="s">
        <v>160</v>
      </c>
      <c r="M411" s="0" t="s">
        <v>2246</v>
      </c>
      <c r="N411" s="0" t="str">
        <f aca="false">RIGHT(M411,LEN(M411)-FIND(" ",M411))</f>
        <v>CHESTNUT AVE SE</v>
      </c>
      <c r="P411" s="0" t="s">
        <v>145</v>
      </c>
      <c r="Q411" s="0" t="s">
        <v>146</v>
      </c>
      <c r="R411" s="0" t="n">
        <v>44483</v>
      </c>
      <c r="AD411" s="0" t="s">
        <v>147</v>
      </c>
      <c r="AE411" s="0" t="s">
        <v>148</v>
      </c>
      <c r="AF411" s="0" t="s">
        <v>149</v>
      </c>
      <c r="AH411" s="0" t="n">
        <v>14</v>
      </c>
      <c r="AI411" s="0" t="n">
        <v>11</v>
      </c>
      <c r="AN411" s="0" t="s">
        <v>145</v>
      </c>
      <c r="AO411" s="0" t="s">
        <v>654</v>
      </c>
      <c r="AP411" s="0" t="s">
        <v>655</v>
      </c>
      <c r="AQ411" s="0" t="n">
        <v>9</v>
      </c>
      <c r="AR411" s="0" t="n">
        <v>64</v>
      </c>
      <c r="AS411" s="0" t="n">
        <v>32</v>
      </c>
      <c r="AU411" s="0" t="n">
        <f aca="false">COUNTA($BA$1839:$EH$1839)</f>
        <v>1</v>
      </c>
      <c r="AV411" s="0" t="n">
        <f aca="false">COUNTIF($BA$1839:$EH$1839,"D")</f>
        <v>0</v>
      </c>
      <c r="AW411" s="0" t="n">
        <f aca="false">COUNTIF($BA$1839:$EH$1839,"R")</f>
        <v>0</v>
      </c>
      <c r="AX411" s="0" t="n">
        <f aca="false">IF(BN411="D",1,0)+IF(BO411="D",1,0)+IF(BT411="D",1,0)+IF(BU411="D",1,0)+IF(BW411="D",1,0)+IF(CC411="D",1,0)+IF(CD411="D",1,0)+IF(CE411="D",1,0)+IF(CF411="D",1,0)+IF(CL411="D",1,0)+IF(CM411="D",1,0)+IF(CQ411="D",1,0)+IF(CR411="D",1,0)+IF(CS411="D",1,0)+IF(CW411="D",1,0)+IF(CX411="D",1,0)+IF(DD411="D",1,0)+IF(DE411="D",1,0)+IF(DJ411="D",1,0)+IF(DK411="D",1,0)+IF(DO411="D",1,0)+IF(DP411="D",1,0)+IF(DQ411="D",1,0)+IF(DW411="D",1,0)+IF(DZ411="D",1,0)+IF(EH411="D",1,0)</f>
        <v>0</v>
      </c>
      <c r="AY411" s="0" t="n">
        <f aca="false">COUNTIF(DU411:EH411, "&lt;&gt;")</f>
        <v>3</v>
      </c>
      <c r="AZ411" s="0" t="n">
        <f aca="false">IF(EH411&lt;&gt;"",1,0)</f>
        <v>0</v>
      </c>
      <c r="BB411" s="0" t="s">
        <v>152</v>
      </c>
      <c r="BS411" s="0" t="s">
        <v>153</v>
      </c>
      <c r="CA411" s="0" t="s">
        <v>153</v>
      </c>
      <c r="CP411" s="0" t="s">
        <v>153</v>
      </c>
      <c r="CV411" s="0" t="s">
        <v>153</v>
      </c>
      <c r="CY411" s="0" t="s">
        <v>153</v>
      </c>
      <c r="DC411" s="0" t="s">
        <v>153</v>
      </c>
      <c r="DM411" s="0" t="s">
        <v>175</v>
      </c>
      <c r="DN411" s="0" t="s">
        <v>153</v>
      </c>
      <c r="DU411" s="0" t="s">
        <v>153</v>
      </c>
      <c r="EA411" s="0" t="s">
        <v>153</v>
      </c>
      <c r="EF411" s="0" t="s">
        <v>153</v>
      </c>
    </row>
    <row r="412" customFormat="false" ht="13.8" hidden="true" customHeight="false" outlineLevel="0" collapsed="false">
      <c r="A412" s="0" t="s">
        <v>2249</v>
      </c>
      <c r="B412" s="0" t="n">
        <v>78</v>
      </c>
      <c r="C412" s="0" t="n">
        <v>416821</v>
      </c>
      <c r="D412" s="0" t="s">
        <v>2250</v>
      </c>
      <c r="E412" s="0" t="s">
        <v>1729</v>
      </c>
      <c r="F412" s="0" t="str">
        <f aca="false">CONCATENATE(D412," ",LEFT(H412,4),"T=",AU412,"D=",AV412,"R=",AW412,"M=",AX412,"L=",AY412,"B=",AZ412)</f>
        <v>RODRIGUEZ T=33D=3R=1M=0L=0B=0</v>
      </c>
      <c r="G412" s="0" t="s">
        <v>195</v>
      </c>
      <c r="I412" s="0" t="s">
        <v>2251</v>
      </c>
      <c r="J412" s="0" t="s">
        <v>2174</v>
      </c>
      <c r="K412" s="0" t="s">
        <v>160</v>
      </c>
      <c r="M412" s="0" t="s">
        <v>2252</v>
      </c>
      <c r="N412" s="0" t="str">
        <f aca="false">RIGHT(M412,LEN(M412)-FIND(" ",M412))</f>
        <v>CHESTNUT AVE SE</v>
      </c>
      <c r="P412" s="0" t="s">
        <v>145</v>
      </c>
      <c r="Q412" s="0" t="s">
        <v>146</v>
      </c>
      <c r="R412" s="0" t="n">
        <v>44483</v>
      </c>
      <c r="AD412" s="0" t="s">
        <v>147</v>
      </c>
      <c r="AE412" s="0" t="s">
        <v>148</v>
      </c>
      <c r="AF412" s="0" t="s">
        <v>149</v>
      </c>
      <c r="AH412" s="0" t="n">
        <v>14</v>
      </c>
      <c r="AI412" s="0" t="n">
        <v>11</v>
      </c>
      <c r="AN412" s="0" t="s">
        <v>145</v>
      </c>
      <c r="AO412" s="0" t="s">
        <v>654</v>
      </c>
      <c r="AP412" s="0" t="s">
        <v>655</v>
      </c>
      <c r="AQ412" s="0" t="n">
        <v>9</v>
      </c>
      <c r="AR412" s="0" t="n">
        <v>64</v>
      </c>
      <c r="AS412" s="0" t="n">
        <v>32</v>
      </c>
      <c r="AU412" s="0" t="n">
        <f aca="false">COUNTA($BA$2040:$EH$2040)</f>
        <v>33</v>
      </c>
      <c r="AV412" s="0" t="n">
        <f aca="false">COUNTIF($BA$2040:$EH$2040,"D")</f>
        <v>3</v>
      </c>
      <c r="AW412" s="0" t="n">
        <f aca="false">COUNTIF($BA$2040:$EH$2040,"R")</f>
        <v>1</v>
      </c>
      <c r="AX412" s="0" t="n">
        <f aca="false">IF(BN412="D",1,0)+IF(BO412="D",1,0)+IF(BT412="D",1,0)+IF(BU412="D",1,0)+IF(BW412="D",1,0)+IF(CC412="D",1,0)+IF(CD412="D",1,0)+IF(CE412="D",1,0)+IF(CF412="D",1,0)+IF(CL412="D",1,0)+IF(CM412="D",1,0)+IF(CQ412="D",1,0)+IF(CR412="D",1,0)+IF(CS412="D",1,0)+IF(CW412="D",1,0)+IF(CX412="D",1,0)+IF(DD412="D",1,0)+IF(DE412="D",1,0)+IF(DJ412="D",1,0)+IF(DK412="D",1,0)+IF(DO412="D",1,0)+IF(DP412="D",1,0)+IF(DQ412="D",1,0)+IF(DW412="D",1,0)+IF(DZ412="D",1,0)+IF(EH412="D",1,0)</f>
        <v>0</v>
      </c>
      <c r="AY412" s="0" t="n">
        <f aca="false">COUNTIF(DU412:EH412, "&lt;&gt;")</f>
        <v>0</v>
      </c>
      <c r="AZ412" s="0" t="n">
        <f aca="false">IF(EH412&lt;&gt;"",1,0)</f>
        <v>0</v>
      </c>
      <c r="BB412" s="0" t="s">
        <v>152</v>
      </c>
    </row>
    <row r="413" customFormat="false" ht="13.8" hidden="true" customHeight="false" outlineLevel="0" collapsed="false">
      <c r="A413" s="0" t="s">
        <v>2253</v>
      </c>
      <c r="B413" s="0" t="n">
        <v>78</v>
      </c>
      <c r="C413" s="0" t="n">
        <v>423279</v>
      </c>
      <c r="D413" s="0" t="s">
        <v>2254</v>
      </c>
      <c r="E413" s="0" t="s">
        <v>2255</v>
      </c>
      <c r="F413" s="0" t="str">
        <f aca="false">CONCATENATE(D413," ",LEFT(H413,4),"T=",AU413,"D=",AV413,"R=",AW413,"M=",AX413,"L=",AY413,"B=",AZ413)</f>
        <v>CALDWELL T=1D=0R=0M=0L=0B=0</v>
      </c>
      <c r="G413" s="0" t="s">
        <v>2256</v>
      </c>
      <c r="I413" s="0" t="s">
        <v>2257</v>
      </c>
      <c r="J413" s="0" t="s">
        <v>2258</v>
      </c>
      <c r="K413" s="0" t="s">
        <v>160</v>
      </c>
      <c r="M413" s="0" t="s">
        <v>2259</v>
      </c>
      <c r="N413" s="0" t="str">
        <f aca="false">RIGHT(M413,LEN(M413)-FIND(" ",M413))</f>
        <v>CHINNOCK PL NE</v>
      </c>
      <c r="P413" s="0" t="s">
        <v>145</v>
      </c>
      <c r="Q413" s="0" t="s">
        <v>146</v>
      </c>
      <c r="R413" s="0" t="n">
        <v>44483</v>
      </c>
      <c r="AD413" s="0" t="s">
        <v>147</v>
      </c>
      <c r="AE413" s="0" t="s">
        <v>148</v>
      </c>
      <c r="AF413" s="0" t="s">
        <v>149</v>
      </c>
      <c r="AH413" s="0" t="n">
        <v>14</v>
      </c>
      <c r="AI413" s="0" t="n">
        <v>11</v>
      </c>
      <c r="AN413" s="0" t="s">
        <v>145</v>
      </c>
      <c r="AO413" s="0" t="s">
        <v>654</v>
      </c>
      <c r="AP413" s="0" t="s">
        <v>655</v>
      </c>
      <c r="AQ413" s="0" t="n">
        <v>9</v>
      </c>
      <c r="AR413" s="0" t="n">
        <v>64</v>
      </c>
      <c r="AS413" s="0" t="n">
        <v>32</v>
      </c>
      <c r="AU413" s="0" t="n">
        <f aca="false">COUNTA($BA$1102:$EH$1102)</f>
        <v>1</v>
      </c>
      <c r="AV413" s="0" t="n">
        <f aca="false">COUNTIF($BA$1102:$EH$1102,"D")</f>
        <v>0</v>
      </c>
      <c r="AW413" s="0" t="n">
        <f aca="false">COUNTIF($BA$1102:$EH$1102,"R")</f>
        <v>0</v>
      </c>
      <c r="AX413" s="0" t="n">
        <f aca="false">IF(BN413="D",1,0)+IF(BO413="D",1,0)+IF(BT413="D",1,0)+IF(BU413="D",1,0)+IF(BW413="D",1,0)+IF(CC413="D",1,0)+IF(CD413="D",1,0)+IF(CE413="D",1,0)+IF(CF413="D",1,0)+IF(CL413="D",1,0)+IF(CM413="D",1,0)+IF(CQ413="D",1,0)+IF(CR413="D",1,0)+IF(CS413="D",1,0)+IF(CW413="D",1,0)+IF(CX413="D",1,0)+IF(DD413="D",1,0)+IF(DE413="D",1,0)+IF(DJ413="D",1,0)+IF(DK413="D",1,0)+IF(DO413="D",1,0)+IF(DP413="D",1,0)+IF(DQ413="D",1,0)+IF(DW413="D",1,0)+IF(DZ413="D",1,0)+IF(EH413="D",1,0)</f>
        <v>0</v>
      </c>
      <c r="AY413" s="0" t="n">
        <f aca="false">COUNTIF(DU413:EH413, "&lt;&gt;")</f>
        <v>0</v>
      </c>
      <c r="AZ413" s="0" t="n">
        <f aca="false">IF(EH413&lt;&gt;"",1,0)</f>
        <v>0</v>
      </c>
      <c r="BB413" s="0" t="s">
        <v>152</v>
      </c>
    </row>
    <row r="414" customFormat="false" ht="13.8" hidden="true" customHeight="false" outlineLevel="0" collapsed="false">
      <c r="A414" s="0" t="s">
        <v>2260</v>
      </c>
      <c r="B414" s="0" t="n">
        <v>78</v>
      </c>
      <c r="C414" s="0" t="n">
        <v>453132</v>
      </c>
      <c r="D414" s="0" t="s">
        <v>527</v>
      </c>
      <c r="E414" s="0" t="s">
        <v>2261</v>
      </c>
      <c r="F414" s="0" t="str">
        <f aca="false">CONCATENATE(D414," ",LEFT(H414,4),"T=",AU414,"D=",AV414,"R=",AW414,"M=",AX414,"L=",AY414,"B=",AZ414)</f>
        <v>BAUGH T=2D=0R=0M=0L=0B=0</v>
      </c>
      <c r="G414" s="0" t="s">
        <v>175</v>
      </c>
      <c r="I414" s="0" t="s">
        <v>2262</v>
      </c>
      <c r="J414" s="0" t="s">
        <v>2263</v>
      </c>
      <c r="K414" s="0" t="s">
        <v>143</v>
      </c>
      <c r="M414" s="0" t="s">
        <v>2259</v>
      </c>
      <c r="N414" s="0" t="str">
        <f aca="false">RIGHT(M414,LEN(M414)-FIND(" ",M414))</f>
        <v>CHINNOCK PL NE</v>
      </c>
      <c r="P414" s="0" t="s">
        <v>145</v>
      </c>
      <c r="Q414" s="0" t="s">
        <v>146</v>
      </c>
      <c r="R414" s="0" t="n">
        <v>44483</v>
      </c>
      <c r="AD414" s="0" t="s">
        <v>147</v>
      </c>
      <c r="AE414" s="0" t="s">
        <v>148</v>
      </c>
      <c r="AF414" s="0" t="s">
        <v>149</v>
      </c>
      <c r="AH414" s="0" t="n">
        <v>14</v>
      </c>
      <c r="AI414" s="0" t="n">
        <v>11</v>
      </c>
      <c r="AN414" s="0" t="s">
        <v>145</v>
      </c>
      <c r="AO414" s="0" t="s">
        <v>654</v>
      </c>
      <c r="AP414" s="0" t="s">
        <v>655</v>
      </c>
      <c r="AQ414" s="0" t="n">
        <v>9</v>
      </c>
      <c r="AR414" s="0" t="n">
        <v>64</v>
      </c>
      <c r="AS414" s="0" t="n">
        <v>32</v>
      </c>
      <c r="AU414" s="0" t="n">
        <f aca="false">COUNTA($BA$1104:$EH$1104)</f>
        <v>2</v>
      </c>
      <c r="AV414" s="0" t="n">
        <f aca="false">COUNTIF($BA$1104:$EH$1104,"D")</f>
        <v>0</v>
      </c>
      <c r="AW414" s="0" t="n">
        <f aca="false">COUNTIF($BA$1104:$EH$1104,"R")</f>
        <v>0</v>
      </c>
      <c r="AX414" s="0" t="n">
        <f aca="false">IF(BN414="D",1,0)+IF(BO414="D",1,0)+IF(BT414="D",1,0)+IF(BU414="D",1,0)+IF(BW414="D",1,0)+IF(CC414="D",1,0)+IF(CD414="D",1,0)+IF(CE414="D",1,0)+IF(CF414="D",1,0)+IF(CL414="D",1,0)+IF(CM414="D",1,0)+IF(CQ414="D",1,0)+IF(CR414="D",1,0)+IF(CS414="D",1,0)+IF(CW414="D",1,0)+IF(CX414="D",1,0)+IF(DD414="D",1,0)+IF(DE414="D",1,0)+IF(DJ414="D",1,0)+IF(DK414="D",1,0)+IF(DO414="D",1,0)+IF(DP414="D",1,0)+IF(DQ414="D",1,0)+IF(DW414="D",1,0)+IF(DZ414="D",1,0)+IF(EH414="D",1,0)</f>
        <v>0</v>
      </c>
      <c r="AY414" s="0" t="n">
        <f aca="false">COUNTIF(DU414:EH414, "&lt;&gt;")</f>
        <v>0</v>
      </c>
      <c r="AZ414" s="0" t="n">
        <f aca="false">IF(EH414&lt;&gt;"",1,0)</f>
        <v>0</v>
      </c>
      <c r="BB414" s="0" t="s">
        <v>152</v>
      </c>
      <c r="CP414" s="0" t="s">
        <v>153</v>
      </c>
      <c r="DN414" s="0" t="s">
        <v>153</v>
      </c>
    </row>
    <row r="415" customFormat="false" ht="13.8" hidden="true" customHeight="false" outlineLevel="0" collapsed="false">
      <c r="A415" s="0" t="s">
        <v>2264</v>
      </c>
      <c r="B415" s="0" t="n">
        <v>78</v>
      </c>
      <c r="C415" s="0" t="n">
        <v>323286</v>
      </c>
      <c r="D415" s="0" t="s">
        <v>2265</v>
      </c>
      <c r="E415" s="0" t="s">
        <v>274</v>
      </c>
      <c r="F415" s="0" t="str">
        <f aca="false">CONCATENATE(D415," ",LEFT(H415,4),"T=",AU415,"D=",AV415,"R=",AW415,"M=",AX415,"L=",AY415,"B=",AZ415)</f>
        <v>HEASLEY JRT=5D=0R=0M=0L=0B=0</v>
      </c>
      <c r="G415" s="0" t="s">
        <v>860</v>
      </c>
      <c r="H415" s="0" t="s">
        <v>314</v>
      </c>
      <c r="I415" s="0" t="s">
        <v>2266</v>
      </c>
      <c r="J415" s="0" t="s">
        <v>2267</v>
      </c>
      <c r="K415" s="0" t="s">
        <v>143</v>
      </c>
      <c r="M415" s="0" t="s">
        <v>2268</v>
      </c>
      <c r="N415" s="0" t="str">
        <f aca="false">RIGHT(M415,LEN(M415)-FIND(" ",M415))</f>
        <v>CHINNOCK PL NE</v>
      </c>
      <c r="P415" s="0" t="s">
        <v>145</v>
      </c>
      <c r="Q415" s="0" t="s">
        <v>146</v>
      </c>
      <c r="R415" s="0" t="n">
        <v>44483</v>
      </c>
      <c r="AD415" s="0" t="s">
        <v>147</v>
      </c>
      <c r="AE415" s="0" t="s">
        <v>148</v>
      </c>
      <c r="AF415" s="0" t="s">
        <v>149</v>
      </c>
      <c r="AH415" s="0" t="n">
        <v>14</v>
      </c>
      <c r="AI415" s="0" t="n">
        <v>11</v>
      </c>
      <c r="AN415" s="0" t="s">
        <v>145</v>
      </c>
      <c r="AO415" s="0" t="s">
        <v>654</v>
      </c>
      <c r="AP415" s="0" t="s">
        <v>655</v>
      </c>
      <c r="AQ415" s="0" t="n">
        <v>9</v>
      </c>
      <c r="AR415" s="0" t="n">
        <v>64</v>
      </c>
      <c r="AS415" s="0" t="n">
        <v>32</v>
      </c>
      <c r="AU415" s="0" t="n">
        <f aca="false">COUNTA($BA$2011:$EH$2011)</f>
        <v>5</v>
      </c>
      <c r="AV415" s="0" t="n">
        <f aca="false">COUNTIF($BA$2011:$EH$2011,"D")</f>
        <v>0</v>
      </c>
      <c r="AW415" s="0" t="n">
        <f aca="false">COUNTIF($BA$2011:$EH$2011,"R")</f>
        <v>0</v>
      </c>
      <c r="AX415" s="0" t="n">
        <f aca="false">IF(BN415="D",1,0)+IF(BO415="D",1,0)+IF(BT415="D",1,0)+IF(BU415="D",1,0)+IF(BW415="D",1,0)+IF(CC415="D",1,0)+IF(CD415="D",1,0)+IF(CE415="D",1,0)+IF(CF415="D",1,0)+IF(CL415="D",1,0)+IF(CM415="D",1,0)+IF(CQ415="D",1,0)+IF(CR415="D",1,0)+IF(CS415="D",1,0)+IF(CW415="D",1,0)+IF(CX415="D",1,0)+IF(DD415="D",1,0)+IF(DE415="D",1,0)+IF(DJ415="D",1,0)+IF(DK415="D",1,0)+IF(DO415="D",1,0)+IF(DP415="D",1,0)+IF(DQ415="D",1,0)+IF(DW415="D",1,0)+IF(DZ415="D",1,0)+IF(EH415="D",1,0)</f>
        <v>0</v>
      </c>
      <c r="AY415" s="0" t="n">
        <f aca="false">COUNTIF(DU415:EH415, "&lt;&gt;")</f>
        <v>0</v>
      </c>
      <c r="AZ415" s="0" t="n">
        <f aca="false">IF(EH415&lt;&gt;"",1,0)</f>
        <v>0</v>
      </c>
      <c r="BB415" s="0" t="s">
        <v>152</v>
      </c>
    </row>
    <row r="416" customFormat="false" ht="13.8" hidden="true" customHeight="false" outlineLevel="0" collapsed="false">
      <c r="A416" s="0" t="s">
        <v>2269</v>
      </c>
      <c r="B416" s="0" t="n">
        <v>78</v>
      </c>
      <c r="C416" s="0" t="n">
        <v>452981</v>
      </c>
      <c r="D416" s="0" t="s">
        <v>2270</v>
      </c>
      <c r="E416" s="0" t="s">
        <v>2271</v>
      </c>
      <c r="F416" s="0" t="str">
        <f aca="false">CONCATENATE(D416," ",LEFT(H416,4),"T=",AU416,"D=",AV416,"R=",AW416,"M=",AX416,"L=",AY416,"B=",AZ416)</f>
        <v>TATOR T=42D=10R=2M=0L=0B=0</v>
      </c>
      <c r="G416" s="0" t="s">
        <v>606</v>
      </c>
      <c r="I416" s="0" t="s">
        <v>2272</v>
      </c>
      <c r="J416" s="0" t="s">
        <v>2273</v>
      </c>
      <c r="K416" s="0" t="s">
        <v>143</v>
      </c>
      <c r="M416" s="0" t="s">
        <v>2274</v>
      </c>
      <c r="N416" s="0" t="str">
        <f aca="false">RIGHT(M416,LEN(M416)-FIND(" ",M416))</f>
        <v>COLUMBIA PL SE</v>
      </c>
      <c r="P416" s="0" t="s">
        <v>145</v>
      </c>
      <c r="Q416" s="0" t="s">
        <v>146</v>
      </c>
      <c r="R416" s="0" t="n">
        <v>44484</v>
      </c>
      <c r="AD416" s="0" t="s">
        <v>147</v>
      </c>
      <c r="AE416" s="0" t="s">
        <v>148</v>
      </c>
      <c r="AF416" s="0" t="s">
        <v>149</v>
      </c>
      <c r="AH416" s="0" t="n">
        <v>14</v>
      </c>
      <c r="AI416" s="0" t="n">
        <v>11</v>
      </c>
      <c r="AN416" s="0" t="s">
        <v>145</v>
      </c>
      <c r="AO416" s="0" t="s">
        <v>233</v>
      </c>
      <c r="AP416" s="0" t="s">
        <v>234</v>
      </c>
      <c r="AQ416" s="0" t="n">
        <v>9</v>
      </c>
      <c r="AR416" s="0" t="n">
        <v>64</v>
      </c>
      <c r="AS416" s="0" t="n">
        <v>32</v>
      </c>
      <c r="AU416" s="0" t="n">
        <f aca="false">COUNTA($BA$2541:$EH$2541)</f>
        <v>42</v>
      </c>
      <c r="AV416" s="0" t="n">
        <f aca="false">COUNTIF($BA$2541:$EH$2541,"D")</f>
        <v>10</v>
      </c>
      <c r="AW416" s="0" t="n">
        <f aca="false">COUNTIF($BA$2541:$EH$2541,"R")</f>
        <v>2</v>
      </c>
      <c r="AX416" s="0" t="n">
        <f aca="false">IF(BN416="D",1,0)+IF(BO416="D",1,0)+IF(BT416="D",1,0)+IF(BU416="D",1,0)+IF(BW416="D",1,0)+IF(CC416="D",1,0)+IF(CD416="D",1,0)+IF(CE416="D",1,0)+IF(CF416="D",1,0)+IF(CL416="D",1,0)+IF(CM416="D",1,0)+IF(CQ416="D",1,0)+IF(CR416="D",1,0)+IF(CS416="D",1,0)+IF(CW416="D",1,0)+IF(CX416="D",1,0)+IF(DD416="D",1,0)+IF(DE416="D",1,0)+IF(DJ416="D",1,0)+IF(DK416="D",1,0)+IF(DO416="D",1,0)+IF(DP416="D",1,0)+IF(DQ416="D",1,0)+IF(DW416="D",1,0)+IF(DZ416="D",1,0)+IF(EH416="D",1,0)</f>
        <v>0</v>
      </c>
      <c r="AY416" s="0" t="n">
        <f aca="false">COUNTIF(DU416:EH416, "&lt;&gt;")</f>
        <v>0</v>
      </c>
      <c r="AZ416" s="0" t="n">
        <f aca="false">IF(EH416&lt;&gt;"",1,0)</f>
        <v>0</v>
      </c>
      <c r="BB416" s="0" t="s">
        <v>152</v>
      </c>
    </row>
    <row r="417" customFormat="false" ht="13.8" hidden="true" customHeight="false" outlineLevel="0" collapsed="false">
      <c r="A417" s="0" t="s">
        <v>2275</v>
      </c>
      <c r="B417" s="0" t="n">
        <v>78</v>
      </c>
      <c r="C417" s="0" t="n">
        <v>457605</v>
      </c>
      <c r="D417" s="0" t="s">
        <v>2276</v>
      </c>
      <c r="E417" s="0" t="s">
        <v>331</v>
      </c>
      <c r="F417" s="0" t="str">
        <f aca="false">CONCATENATE(D417," ",LEFT(H417,4),"T=",AU417,"D=",AV417,"R=",AW417,"M=",AX417,"L=",AY417,"B=",AZ417)</f>
        <v>GIRON T=3D=0R=0M=0L=0B=0</v>
      </c>
      <c r="G417" s="0" t="s">
        <v>170</v>
      </c>
      <c r="I417" s="0" t="s">
        <v>2277</v>
      </c>
      <c r="J417" s="0" t="s">
        <v>2278</v>
      </c>
      <c r="K417" s="0" t="s">
        <v>143</v>
      </c>
      <c r="M417" s="0" t="s">
        <v>2279</v>
      </c>
      <c r="N417" s="0" t="str">
        <f aca="false">RIGHT(M417,LEN(M417)-FIND(" ",M417))</f>
        <v>COLUMBIA PL SE</v>
      </c>
      <c r="P417" s="0" t="s">
        <v>145</v>
      </c>
      <c r="Q417" s="0" t="s">
        <v>146</v>
      </c>
      <c r="R417" s="0" t="n">
        <v>44484</v>
      </c>
      <c r="AD417" s="0" t="s">
        <v>147</v>
      </c>
      <c r="AE417" s="0" t="s">
        <v>148</v>
      </c>
      <c r="AF417" s="0" t="s">
        <v>149</v>
      </c>
      <c r="AH417" s="0" t="n">
        <v>14</v>
      </c>
      <c r="AI417" s="0" t="n">
        <v>11</v>
      </c>
      <c r="AN417" s="0" t="s">
        <v>145</v>
      </c>
      <c r="AO417" s="0" t="s">
        <v>233</v>
      </c>
      <c r="AP417" s="0" t="s">
        <v>234</v>
      </c>
      <c r="AQ417" s="0" t="n">
        <v>9</v>
      </c>
      <c r="AR417" s="0" t="n">
        <v>64</v>
      </c>
      <c r="AS417" s="0" t="n">
        <v>32</v>
      </c>
      <c r="AU417" s="0" t="n">
        <f aca="false">COUNTA($BA$2526:$EH$2526)</f>
        <v>3</v>
      </c>
      <c r="AV417" s="0" t="n">
        <f aca="false">COUNTIF($BA$2526:$EH$2526,"D")</f>
        <v>0</v>
      </c>
      <c r="AW417" s="0" t="n">
        <f aca="false">COUNTIF($BA$2526:$EH$2526,"R")</f>
        <v>0</v>
      </c>
      <c r="AX417" s="0" t="n">
        <f aca="false">IF(BN417="D",1,0)+IF(BO417="D",1,0)+IF(BT417="D",1,0)+IF(BU417="D",1,0)+IF(BW417="D",1,0)+IF(CC417="D",1,0)+IF(CD417="D",1,0)+IF(CE417="D",1,0)+IF(CF417="D",1,0)+IF(CL417="D",1,0)+IF(CM417="D",1,0)+IF(CQ417="D",1,0)+IF(CR417="D",1,0)+IF(CS417="D",1,0)+IF(CW417="D",1,0)+IF(CX417="D",1,0)+IF(DD417="D",1,0)+IF(DE417="D",1,0)+IF(DJ417="D",1,0)+IF(DK417="D",1,0)+IF(DO417="D",1,0)+IF(DP417="D",1,0)+IF(DQ417="D",1,0)+IF(DW417="D",1,0)+IF(DZ417="D",1,0)+IF(EH417="D",1,0)</f>
        <v>0</v>
      </c>
      <c r="AY417" s="0" t="n">
        <f aca="false">COUNTIF(DU417:EH417, "&lt;&gt;")</f>
        <v>0</v>
      </c>
      <c r="AZ417" s="0" t="n">
        <f aca="false">IF(EH417&lt;&gt;"",1,0)</f>
        <v>0</v>
      </c>
      <c r="BB417" s="0" t="s">
        <v>152</v>
      </c>
    </row>
    <row r="418" customFormat="false" ht="13.8" hidden="true" customHeight="false" outlineLevel="0" collapsed="false">
      <c r="A418" s="0" t="s">
        <v>2280</v>
      </c>
      <c r="B418" s="0" t="n">
        <v>78</v>
      </c>
      <c r="C418" s="0" t="n">
        <v>492092</v>
      </c>
      <c r="D418" s="0" t="s">
        <v>2281</v>
      </c>
      <c r="E418" s="0" t="s">
        <v>2282</v>
      </c>
      <c r="F418" s="0" t="str">
        <f aca="false">CONCATENATE(D418," ",LEFT(H418,4),"T=",AU418,"D=",AV418,"R=",AW418,"M=",AX418,"L=",AY418,"B=",AZ418)</f>
        <v>POLAN T=4D=0R=0M=0L=0B=0</v>
      </c>
      <c r="G418" s="0" t="s">
        <v>785</v>
      </c>
      <c r="I418" s="0" t="s">
        <v>2283</v>
      </c>
      <c r="J418" s="0" t="s">
        <v>2284</v>
      </c>
      <c r="K418" s="0" t="s">
        <v>160</v>
      </c>
      <c r="M418" s="0" t="s">
        <v>2285</v>
      </c>
      <c r="N418" s="0" t="str">
        <f aca="false">RIGHT(M418,LEN(M418)-FIND(" ",M418))</f>
        <v>COLUMBIA PL SE</v>
      </c>
      <c r="P418" s="0" t="s">
        <v>145</v>
      </c>
      <c r="Q418" s="0" t="s">
        <v>146</v>
      </c>
      <c r="R418" s="0" t="n">
        <v>44484</v>
      </c>
      <c r="AD418" s="0" t="s">
        <v>147</v>
      </c>
      <c r="AE418" s="0" t="s">
        <v>148</v>
      </c>
      <c r="AF418" s="0" t="s">
        <v>149</v>
      </c>
      <c r="AH418" s="0" t="n">
        <v>14</v>
      </c>
      <c r="AI418" s="0" t="n">
        <v>11</v>
      </c>
      <c r="AN418" s="0" t="s">
        <v>145</v>
      </c>
      <c r="AO418" s="0" t="s">
        <v>233</v>
      </c>
      <c r="AP418" s="0" t="s">
        <v>234</v>
      </c>
      <c r="AQ418" s="0" t="n">
        <v>9</v>
      </c>
      <c r="AR418" s="0" t="n">
        <v>64</v>
      </c>
      <c r="AS418" s="0" t="n">
        <v>32</v>
      </c>
      <c r="AU418" s="0" t="n">
        <f aca="false">COUNTA($BA$2412:$EH$2412)</f>
        <v>4</v>
      </c>
      <c r="AV418" s="0" t="n">
        <f aca="false">COUNTIF($BA$2412:$EH$2412,"D")</f>
        <v>0</v>
      </c>
      <c r="AW418" s="0" t="n">
        <f aca="false">COUNTIF($BA$2412:$EH$2412,"R")</f>
        <v>0</v>
      </c>
      <c r="AX418" s="0" t="n">
        <f aca="false">IF(BN418="D",1,0)+IF(BO418="D",1,0)+IF(BT418="D",1,0)+IF(BU418="D",1,0)+IF(BW418="D",1,0)+IF(CC418="D",1,0)+IF(CD418="D",1,0)+IF(CE418="D",1,0)+IF(CF418="D",1,0)+IF(CL418="D",1,0)+IF(CM418="D",1,0)+IF(CQ418="D",1,0)+IF(CR418="D",1,0)+IF(CS418="D",1,0)+IF(CW418="D",1,0)+IF(CX418="D",1,0)+IF(DD418="D",1,0)+IF(DE418="D",1,0)+IF(DJ418="D",1,0)+IF(DK418="D",1,0)+IF(DO418="D",1,0)+IF(DP418="D",1,0)+IF(DQ418="D",1,0)+IF(DW418="D",1,0)+IF(DZ418="D",1,0)+IF(EH418="D",1,0)</f>
        <v>0</v>
      </c>
      <c r="AY418" s="0" t="n">
        <f aca="false">COUNTIF(DU418:EH418, "&lt;&gt;")</f>
        <v>0</v>
      </c>
      <c r="AZ418" s="0" t="n">
        <f aca="false">IF(EH418&lt;&gt;"",1,0)</f>
        <v>0</v>
      </c>
      <c r="BB418" s="0" t="s">
        <v>152</v>
      </c>
    </row>
    <row r="419" customFormat="false" ht="13.8" hidden="false" customHeight="false" outlineLevel="0" collapsed="false">
      <c r="A419" s="0" t="s">
        <v>2286</v>
      </c>
      <c r="B419" s="0" t="n">
        <v>78</v>
      </c>
      <c r="C419" s="0" t="n">
        <v>436082</v>
      </c>
      <c r="D419" s="0" t="s">
        <v>2281</v>
      </c>
      <c r="E419" s="0" t="s">
        <v>633</v>
      </c>
      <c r="F419" s="0" t="str">
        <f aca="false">CONCATENATE(D419," ",LEFT(H419,4),"T=",AU419,"D=",AV419,"R=",AW419,"M=",AX419,"L=",AY419,"B=",AZ419)</f>
        <v>POLAN T=2D=0R=0M=0L=4B=0</v>
      </c>
      <c r="G419" s="0" t="s">
        <v>171</v>
      </c>
      <c r="I419" s="0" t="s">
        <v>2287</v>
      </c>
      <c r="J419" s="0" t="s">
        <v>2288</v>
      </c>
      <c r="K419" s="0" t="s">
        <v>160</v>
      </c>
      <c r="L419" s="0" t="s">
        <v>209</v>
      </c>
      <c r="M419" s="0" t="s">
        <v>2285</v>
      </c>
      <c r="N419" s="0" t="str">
        <f aca="false">RIGHT(M419,LEN(M419)-FIND(" ",M419))</f>
        <v>COLUMBIA PL SE</v>
      </c>
      <c r="P419" s="0" t="s">
        <v>145</v>
      </c>
      <c r="Q419" s="0" t="s">
        <v>146</v>
      </c>
      <c r="R419" s="0" t="n">
        <v>44484</v>
      </c>
      <c r="AD419" s="0" t="s">
        <v>147</v>
      </c>
      <c r="AE419" s="0" t="s">
        <v>148</v>
      </c>
      <c r="AF419" s="0" t="s">
        <v>149</v>
      </c>
      <c r="AH419" s="0" t="n">
        <v>14</v>
      </c>
      <c r="AI419" s="0" t="n">
        <v>11</v>
      </c>
      <c r="AN419" s="0" t="s">
        <v>145</v>
      </c>
      <c r="AO419" s="0" t="s">
        <v>233</v>
      </c>
      <c r="AP419" s="0" t="s">
        <v>234</v>
      </c>
      <c r="AQ419" s="0" t="n">
        <v>9</v>
      </c>
      <c r="AR419" s="0" t="n">
        <v>64</v>
      </c>
      <c r="AS419" s="0" t="n">
        <v>32</v>
      </c>
      <c r="AU419" s="0" t="n">
        <f aca="false">COUNTA($BA$2603:$EH$2603)</f>
        <v>2</v>
      </c>
      <c r="AV419" s="0" t="n">
        <f aca="false">COUNTIF($BA$2603:$EH$2603,"D")</f>
        <v>0</v>
      </c>
      <c r="AW419" s="0" t="n">
        <f aca="false">COUNTIF($BA$2603:$EH$2603,"R")</f>
        <v>0</v>
      </c>
      <c r="AX419" s="0" t="n">
        <f aca="false">IF(BN419="D",1,0)+IF(BO419="D",1,0)+IF(BT419="D",1,0)+IF(BU419="D",1,0)+IF(BW419="D",1,0)+IF(CC419="D",1,0)+IF(CD419="D",1,0)+IF(CE419="D",1,0)+IF(CF419="D",1,0)+IF(CL419="D",1,0)+IF(CM419="D",1,0)+IF(CQ419="D",1,0)+IF(CR419="D",1,0)+IF(CS419="D",1,0)+IF(CW419="D",1,0)+IF(CX419="D",1,0)+IF(DD419="D",1,0)+IF(DE419="D",1,0)+IF(DJ419="D",1,0)+IF(DK419="D",1,0)+IF(DO419="D",1,0)+IF(DP419="D",1,0)+IF(DQ419="D",1,0)+IF(DW419="D",1,0)+IF(DZ419="D",1,0)+IF(EH419="D",1,0)</f>
        <v>0</v>
      </c>
      <c r="AY419" s="0" t="n">
        <f aca="false">COUNTIF(DU419:EH419, "&lt;&gt;")</f>
        <v>4</v>
      </c>
      <c r="AZ419" s="0" t="n">
        <f aca="false">IF(EH419&lt;&gt;"",1,0)</f>
        <v>0</v>
      </c>
      <c r="BB419" s="0" t="s">
        <v>152</v>
      </c>
      <c r="DI419" s="0" t="s">
        <v>153</v>
      </c>
      <c r="DN419" s="0" t="s">
        <v>153</v>
      </c>
      <c r="DU419" s="0" t="s">
        <v>153</v>
      </c>
      <c r="EA419" s="0" t="s">
        <v>153</v>
      </c>
      <c r="ED419" s="0" t="s">
        <v>209</v>
      </c>
      <c r="EF419" s="0" t="s">
        <v>153</v>
      </c>
    </row>
    <row r="420" customFormat="false" ht="13.8" hidden="true" customHeight="false" outlineLevel="0" collapsed="false">
      <c r="A420" s="0" t="s">
        <v>2289</v>
      </c>
      <c r="B420" s="0" t="n">
        <v>78</v>
      </c>
      <c r="C420" s="0" t="n">
        <v>461939</v>
      </c>
      <c r="D420" s="0" t="s">
        <v>2290</v>
      </c>
      <c r="E420" s="0" t="s">
        <v>2291</v>
      </c>
      <c r="F420" s="0" t="str">
        <f aca="false">CONCATENATE(D420," ",LEFT(H420,4),"T=",AU420,"D=",AV420,"R=",AW420,"M=",AX420,"L=",AY420,"B=",AZ420)</f>
        <v>CLUTTER T=13D=1R=0M=0L=0B=0</v>
      </c>
      <c r="G420" s="0" t="s">
        <v>2292</v>
      </c>
      <c r="I420" s="0" t="s">
        <v>2293</v>
      </c>
      <c r="J420" s="0" t="s">
        <v>2294</v>
      </c>
      <c r="K420" s="0" t="s">
        <v>143</v>
      </c>
      <c r="M420" s="0" t="s">
        <v>2295</v>
      </c>
      <c r="N420" s="0" t="str">
        <f aca="false">RIGHT(M420,LEN(M420)-FIND(" ",M420))</f>
        <v>COLUMBIA PL SE</v>
      </c>
      <c r="P420" s="0" t="s">
        <v>145</v>
      </c>
      <c r="Q420" s="0" t="s">
        <v>146</v>
      </c>
      <c r="R420" s="0" t="n">
        <v>44484</v>
      </c>
      <c r="AD420" s="0" t="s">
        <v>147</v>
      </c>
      <c r="AE420" s="0" t="s">
        <v>148</v>
      </c>
      <c r="AF420" s="0" t="s">
        <v>149</v>
      </c>
      <c r="AH420" s="0" t="n">
        <v>14</v>
      </c>
      <c r="AI420" s="0" t="n">
        <v>11</v>
      </c>
      <c r="AN420" s="0" t="s">
        <v>145</v>
      </c>
      <c r="AO420" s="0" t="s">
        <v>233</v>
      </c>
      <c r="AP420" s="0" t="s">
        <v>234</v>
      </c>
      <c r="AQ420" s="0" t="n">
        <v>9</v>
      </c>
      <c r="AR420" s="0" t="n">
        <v>64</v>
      </c>
      <c r="AS420" s="0" t="n">
        <v>32</v>
      </c>
      <c r="AU420" s="0" t="n">
        <f aca="false">COUNTA($BA$2386:$EH$2386)</f>
        <v>13</v>
      </c>
      <c r="AV420" s="0" t="n">
        <f aca="false">COUNTIF($BA$2386:$EH$2386,"D")</f>
        <v>1</v>
      </c>
      <c r="AW420" s="0" t="n">
        <f aca="false">COUNTIF($BA$2386:$EH$2386,"R")</f>
        <v>0</v>
      </c>
      <c r="AX420" s="0" t="n">
        <f aca="false">IF(BN420="D",1,0)+IF(BO420="D",1,0)+IF(BT420="D",1,0)+IF(BU420="D",1,0)+IF(BW420="D",1,0)+IF(CC420="D",1,0)+IF(CD420="D",1,0)+IF(CE420="D",1,0)+IF(CF420="D",1,0)+IF(CL420="D",1,0)+IF(CM420="D",1,0)+IF(CQ420="D",1,0)+IF(CR420="D",1,0)+IF(CS420="D",1,0)+IF(CW420="D",1,0)+IF(CX420="D",1,0)+IF(DD420="D",1,0)+IF(DE420="D",1,0)+IF(DJ420="D",1,0)+IF(DK420="D",1,0)+IF(DO420="D",1,0)+IF(DP420="D",1,0)+IF(DQ420="D",1,0)+IF(DW420="D",1,0)+IF(DZ420="D",1,0)+IF(EH420="D",1,0)</f>
        <v>0</v>
      </c>
      <c r="AY420" s="0" t="n">
        <f aca="false">COUNTIF(DU420:EH420, "&lt;&gt;")</f>
        <v>0</v>
      </c>
      <c r="AZ420" s="0" t="n">
        <f aca="false">IF(EH420&lt;&gt;"",1,0)</f>
        <v>0</v>
      </c>
      <c r="BB420" s="0" t="s">
        <v>152</v>
      </c>
    </row>
    <row r="421" customFormat="false" ht="13.8" hidden="true" customHeight="false" outlineLevel="0" collapsed="false">
      <c r="A421" s="0" t="s">
        <v>2296</v>
      </c>
      <c r="B421" s="0" t="n">
        <v>78</v>
      </c>
      <c r="C421" s="0" t="n">
        <v>487122</v>
      </c>
      <c r="D421" s="0" t="s">
        <v>2297</v>
      </c>
      <c r="E421" s="0" t="s">
        <v>2298</v>
      </c>
      <c r="F421" s="0" t="str">
        <f aca="false">CONCATENATE(D421," ",LEFT(H421,4),"T=",AU421,"D=",AV421,"R=",AW421,"M=",AX421,"L=",AY421,"B=",AZ421)</f>
        <v>ROLLAND T=2D=0R=0M=0L=0B=0</v>
      </c>
      <c r="G421" s="0" t="s">
        <v>268</v>
      </c>
      <c r="I421" s="0" t="s">
        <v>2299</v>
      </c>
      <c r="J421" s="0" t="s">
        <v>399</v>
      </c>
      <c r="K421" s="0" t="s">
        <v>160</v>
      </c>
      <c r="M421" s="0" t="s">
        <v>2295</v>
      </c>
      <c r="N421" s="0" t="str">
        <f aca="false">RIGHT(M421,LEN(M421)-FIND(" ",M421))</f>
        <v>COLUMBIA PL SE</v>
      </c>
      <c r="P421" s="0" t="s">
        <v>145</v>
      </c>
      <c r="Q421" s="0" t="s">
        <v>146</v>
      </c>
      <c r="R421" s="0" t="n">
        <v>44484</v>
      </c>
      <c r="AD421" s="0" t="s">
        <v>147</v>
      </c>
      <c r="AE421" s="0" t="s">
        <v>148</v>
      </c>
      <c r="AF421" s="0" t="s">
        <v>149</v>
      </c>
      <c r="AH421" s="0" t="n">
        <v>14</v>
      </c>
      <c r="AI421" s="0" t="n">
        <v>11</v>
      </c>
      <c r="AN421" s="0" t="s">
        <v>145</v>
      </c>
      <c r="AO421" s="0" t="s">
        <v>233</v>
      </c>
      <c r="AP421" s="0" t="s">
        <v>234</v>
      </c>
      <c r="AQ421" s="0" t="n">
        <v>9</v>
      </c>
      <c r="AR421" s="0" t="n">
        <v>64</v>
      </c>
      <c r="AS421" s="0" t="n">
        <v>32</v>
      </c>
      <c r="AU421" s="0" t="n">
        <f aca="false">COUNTA($BA$2481:$EH$2481)</f>
        <v>2</v>
      </c>
      <c r="AV421" s="0" t="n">
        <f aca="false">COUNTIF($BA$2481:$EH$2481,"D")</f>
        <v>0</v>
      </c>
      <c r="AW421" s="0" t="n">
        <f aca="false">COUNTIF($BA$2481:$EH$2481,"R")</f>
        <v>0</v>
      </c>
      <c r="AX421" s="0" t="n">
        <f aca="false">IF(BN421="D",1,0)+IF(BO421="D",1,0)+IF(BT421="D",1,0)+IF(BU421="D",1,0)+IF(BW421="D",1,0)+IF(CC421="D",1,0)+IF(CD421="D",1,0)+IF(CE421="D",1,0)+IF(CF421="D",1,0)+IF(CL421="D",1,0)+IF(CM421="D",1,0)+IF(CQ421="D",1,0)+IF(CR421="D",1,0)+IF(CS421="D",1,0)+IF(CW421="D",1,0)+IF(CX421="D",1,0)+IF(DD421="D",1,0)+IF(DE421="D",1,0)+IF(DJ421="D",1,0)+IF(DK421="D",1,0)+IF(DO421="D",1,0)+IF(DP421="D",1,0)+IF(DQ421="D",1,0)+IF(DW421="D",1,0)+IF(DZ421="D",1,0)+IF(EH421="D",1,0)</f>
        <v>0</v>
      </c>
      <c r="AY421" s="0" t="n">
        <f aca="false">COUNTIF(DU421:EH421, "&lt;&gt;")</f>
        <v>0</v>
      </c>
      <c r="AZ421" s="0" t="n">
        <f aca="false">IF(EH421&lt;&gt;"",1,0)</f>
        <v>0</v>
      </c>
      <c r="BB421" s="0" t="s">
        <v>152</v>
      </c>
    </row>
    <row r="422" customFormat="false" ht="13.8" hidden="true" customHeight="false" outlineLevel="0" collapsed="false">
      <c r="A422" s="0" t="s">
        <v>2300</v>
      </c>
      <c r="B422" s="0" t="n">
        <v>78</v>
      </c>
      <c r="C422" s="0" t="n">
        <v>440601</v>
      </c>
      <c r="D422" s="0" t="s">
        <v>2301</v>
      </c>
      <c r="E422" s="0" t="s">
        <v>796</v>
      </c>
      <c r="F422" s="0" t="str">
        <f aca="false">CONCATENATE(D422," ",LEFT(H422,4),"T=",AU422,"D=",AV422,"R=",AW422,"M=",AX422,"L=",AY422,"B=",AZ422)</f>
        <v>BURNFIELD T=1D=0R=0M=0L=0B=0</v>
      </c>
      <c r="G422" s="0" t="s">
        <v>697</v>
      </c>
      <c r="I422" s="0" t="s">
        <v>2302</v>
      </c>
      <c r="J422" s="0" t="s">
        <v>2303</v>
      </c>
      <c r="K422" s="0" t="s">
        <v>160</v>
      </c>
      <c r="M422" s="0" t="s">
        <v>2304</v>
      </c>
      <c r="N422" s="0" t="str">
        <f aca="false">RIGHT(M422,LEN(M422)-FIND(" ",M422))</f>
        <v>COLUMBIA PL SE</v>
      </c>
      <c r="P422" s="0" t="s">
        <v>145</v>
      </c>
      <c r="Q422" s="0" t="s">
        <v>146</v>
      </c>
      <c r="R422" s="0" t="n">
        <v>44484</v>
      </c>
      <c r="AD422" s="0" t="s">
        <v>147</v>
      </c>
      <c r="AE422" s="0" t="s">
        <v>148</v>
      </c>
      <c r="AF422" s="0" t="s">
        <v>149</v>
      </c>
      <c r="AH422" s="0" t="n">
        <v>14</v>
      </c>
      <c r="AI422" s="0" t="n">
        <v>11</v>
      </c>
      <c r="AN422" s="0" t="s">
        <v>145</v>
      </c>
      <c r="AO422" s="0" t="s">
        <v>233</v>
      </c>
      <c r="AP422" s="0" t="s">
        <v>234</v>
      </c>
      <c r="AQ422" s="0" t="n">
        <v>9</v>
      </c>
      <c r="AR422" s="0" t="n">
        <v>64</v>
      </c>
      <c r="AS422" s="0" t="n">
        <v>32</v>
      </c>
      <c r="AU422" s="0" t="n">
        <f aca="false">COUNTA($BA$2389:$EH$2389)</f>
        <v>1</v>
      </c>
      <c r="AV422" s="0" t="n">
        <f aca="false">COUNTIF($BA$2389:$EH$2389,"D")</f>
        <v>0</v>
      </c>
      <c r="AW422" s="0" t="n">
        <f aca="false">COUNTIF($BA$2389:$EH$2389,"R")</f>
        <v>0</v>
      </c>
      <c r="AX422" s="0" t="n">
        <f aca="false">IF(BN422="D",1,0)+IF(BO422="D",1,0)+IF(BT422="D",1,0)+IF(BU422="D",1,0)+IF(BW422="D",1,0)+IF(CC422="D",1,0)+IF(CD422="D",1,0)+IF(CE422="D",1,0)+IF(CF422="D",1,0)+IF(CL422="D",1,0)+IF(CM422="D",1,0)+IF(CQ422="D",1,0)+IF(CR422="D",1,0)+IF(CS422="D",1,0)+IF(CW422="D",1,0)+IF(CX422="D",1,0)+IF(DD422="D",1,0)+IF(DE422="D",1,0)+IF(DJ422="D",1,0)+IF(DK422="D",1,0)+IF(DO422="D",1,0)+IF(DP422="D",1,0)+IF(DQ422="D",1,0)+IF(DW422="D",1,0)+IF(DZ422="D",1,0)+IF(EH422="D",1,0)</f>
        <v>0</v>
      </c>
      <c r="AY422" s="0" t="n">
        <f aca="false">COUNTIF(DU422:EH422, "&lt;&gt;")</f>
        <v>0</v>
      </c>
      <c r="AZ422" s="0" t="n">
        <f aca="false">IF(EH422&lt;&gt;"",1,0)</f>
        <v>0</v>
      </c>
      <c r="BB422" s="0" t="s">
        <v>152</v>
      </c>
    </row>
    <row r="423" customFormat="false" ht="13.8" hidden="true" customHeight="false" outlineLevel="0" collapsed="false">
      <c r="A423" s="0" t="s">
        <v>2305</v>
      </c>
      <c r="B423" s="0" t="n">
        <v>78</v>
      </c>
      <c r="C423" s="0" t="n">
        <v>372009</v>
      </c>
      <c r="D423" s="0" t="s">
        <v>2306</v>
      </c>
      <c r="E423" s="0" t="s">
        <v>274</v>
      </c>
      <c r="F423" s="0" t="str">
        <f aca="false">CONCATENATE(D423," ",LEFT(H423,4),"T=",AU423,"D=",AV423,"R=",AW423,"M=",AX423,"L=",AY423,"B=",AZ423)</f>
        <v>CAVALIERE JRT=1D=0R=0M=0L=0B=0</v>
      </c>
      <c r="G423" s="0" t="s">
        <v>190</v>
      </c>
      <c r="H423" s="0" t="s">
        <v>314</v>
      </c>
      <c r="I423" s="0" t="s">
        <v>2307</v>
      </c>
      <c r="J423" s="0" t="s">
        <v>2308</v>
      </c>
      <c r="K423" s="0" t="s">
        <v>143</v>
      </c>
      <c r="M423" s="0" t="s">
        <v>2309</v>
      </c>
      <c r="N423" s="0" t="str">
        <f aca="false">RIGHT(M423,LEN(M423)-FIND(" ",M423))</f>
        <v>COLUMBIA PL SE</v>
      </c>
      <c r="P423" s="0" t="s">
        <v>145</v>
      </c>
      <c r="Q423" s="0" t="s">
        <v>146</v>
      </c>
      <c r="R423" s="0" t="n">
        <v>44484</v>
      </c>
      <c r="AD423" s="0" t="s">
        <v>147</v>
      </c>
      <c r="AE423" s="0" t="s">
        <v>148</v>
      </c>
      <c r="AF423" s="0" t="s">
        <v>149</v>
      </c>
      <c r="AH423" s="0" t="n">
        <v>14</v>
      </c>
      <c r="AI423" s="0" t="n">
        <v>11</v>
      </c>
      <c r="AN423" s="0" t="s">
        <v>145</v>
      </c>
      <c r="AO423" s="0" t="s">
        <v>233</v>
      </c>
      <c r="AP423" s="0" t="s">
        <v>234</v>
      </c>
      <c r="AQ423" s="0" t="n">
        <v>9</v>
      </c>
      <c r="AR423" s="0" t="n">
        <v>64</v>
      </c>
      <c r="AS423" s="0" t="n">
        <v>32</v>
      </c>
      <c r="AU423" s="0" t="n">
        <f aca="false">COUNTA($BA$2134:$EH$2134)</f>
        <v>1</v>
      </c>
      <c r="AV423" s="0" t="n">
        <f aca="false">COUNTIF($BA$2134:$EH$2134,"D")</f>
        <v>0</v>
      </c>
      <c r="AW423" s="0" t="n">
        <f aca="false">COUNTIF($BA$2134:$EH$2134,"R")</f>
        <v>0</v>
      </c>
      <c r="AX423" s="0" t="n">
        <f aca="false">IF(BN423="D",1,0)+IF(BO423="D",1,0)+IF(BT423="D",1,0)+IF(BU423="D",1,0)+IF(BW423="D",1,0)+IF(CC423="D",1,0)+IF(CD423="D",1,0)+IF(CE423="D",1,0)+IF(CF423="D",1,0)+IF(CL423="D",1,0)+IF(CM423="D",1,0)+IF(CQ423="D",1,0)+IF(CR423="D",1,0)+IF(CS423="D",1,0)+IF(CW423="D",1,0)+IF(CX423="D",1,0)+IF(DD423="D",1,0)+IF(DE423="D",1,0)+IF(DJ423="D",1,0)+IF(DK423="D",1,0)+IF(DO423="D",1,0)+IF(DP423="D",1,0)+IF(DQ423="D",1,0)+IF(DW423="D",1,0)+IF(DZ423="D",1,0)+IF(EH423="D",1,0)</f>
        <v>0</v>
      </c>
      <c r="AY423" s="0" t="n">
        <f aca="false">COUNTIF(DU423:EH423, "&lt;&gt;")</f>
        <v>0</v>
      </c>
      <c r="AZ423" s="0" t="n">
        <f aca="false">IF(EH423&lt;&gt;"",1,0)</f>
        <v>0</v>
      </c>
      <c r="BB423" s="0" t="s">
        <v>152</v>
      </c>
    </row>
    <row r="424" customFormat="false" ht="13.8" hidden="true" customHeight="false" outlineLevel="0" collapsed="false">
      <c r="A424" s="0" t="s">
        <v>2310</v>
      </c>
      <c r="B424" s="0" t="n">
        <v>78</v>
      </c>
      <c r="C424" s="0" t="n">
        <v>477830</v>
      </c>
      <c r="D424" s="0" t="s">
        <v>2311</v>
      </c>
      <c r="E424" s="0" t="s">
        <v>615</v>
      </c>
      <c r="F424" s="0" t="str">
        <f aca="false">CONCATENATE(D424," ",LEFT(H424,4),"T=",AU424,"D=",AV424,"R=",AW424,"M=",AX424,"L=",AY424,"B=",AZ424)</f>
        <v>WOJCIK T=8D=1R=0M=0L=1B=0</v>
      </c>
      <c r="G424" s="0" t="s">
        <v>650</v>
      </c>
      <c r="I424" s="0" t="s">
        <v>2312</v>
      </c>
      <c r="J424" s="0" t="s">
        <v>2313</v>
      </c>
      <c r="K424" s="0" t="s">
        <v>160</v>
      </c>
      <c r="M424" s="0" t="s">
        <v>2314</v>
      </c>
      <c r="N424" s="0" t="str">
        <f aca="false">RIGHT(M424,LEN(M424)-FIND(" ",M424))</f>
        <v>COTTAGE CT SE</v>
      </c>
      <c r="P424" s="0" t="s">
        <v>145</v>
      </c>
      <c r="Q424" s="0" t="s">
        <v>146</v>
      </c>
      <c r="R424" s="0" t="n">
        <v>44483</v>
      </c>
      <c r="AD424" s="0" t="s">
        <v>147</v>
      </c>
      <c r="AE424" s="0" t="s">
        <v>148</v>
      </c>
      <c r="AF424" s="0" t="s">
        <v>149</v>
      </c>
      <c r="AH424" s="0" t="n">
        <v>14</v>
      </c>
      <c r="AI424" s="0" t="n">
        <v>11</v>
      </c>
      <c r="AN424" s="0" t="s">
        <v>145</v>
      </c>
      <c r="AO424" s="0" t="s">
        <v>150</v>
      </c>
      <c r="AP424" s="0" t="s">
        <v>151</v>
      </c>
      <c r="AQ424" s="0" t="n">
        <v>9</v>
      </c>
      <c r="AR424" s="0" t="n">
        <v>64</v>
      </c>
      <c r="AS424" s="0" t="n">
        <v>32</v>
      </c>
      <c r="AU424" s="0" t="n">
        <f aca="false">COUNTA($BA$830:$EH$830)</f>
        <v>8</v>
      </c>
      <c r="AV424" s="0" t="n">
        <f aca="false">COUNTIF($BA$830:$EH$830,"D")</f>
        <v>1</v>
      </c>
      <c r="AW424" s="0" t="n">
        <f aca="false">COUNTIF($BA$830:$EH$830,"R")</f>
        <v>0</v>
      </c>
      <c r="AX424" s="0" t="n">
        <f aca="false">IF(BN424="D",1,0)+IF(BO424="D",1,0)+IF(BT424="D",1,0)+IF(BU424="D",1,0)+IF(BW424="D",1,0)+IF(CC424="D",1,0)+IF(CD424="D",1,0)+IF(CE424="D",1,0)+IF(CF424="D",1,0)+IF(CL424="D",1,0)+IF(CM424="D",1,0)+IF(CQ424="D",1,0)+IF(CR424="D",1,0)+IF(CS424="D",1,0)+IF(CW424="D",1,0)+IF(CX424="D",1,0)+IF(DD424="D",1,0)+IF(DE424="D",1,0)+IF(DJ424="D",1,0)+IF(DK424="D",1,0)+IF(DO424="D",1,0)+IF(DP424="D",1,0)+IF(DQ424="D",1,0)+IF(DW424="D",1,0)+IF(DZ424="D",1,0)+IF(EH424="D",1,0)</f>
        <v>0</v>
      </c>
      <c r="AY424" s="0" t="n">
        <f aca="false">COUNTIF(DU424:EH424, "&lt;&gt;")</f>
        <v>1</v>
      </c>
      <c r="AZ424" s="0" t="n">
        <f aca="false">IF(EH424&lt;&gt;"",1,0)</f>
        <v>0</v>
      </c>
      <c r="BB424" s="0" t="s">
        <v>152</v>
      </c>
      <c r="EF424" s="0" t="s">
        <v>153</v>
      </c>
    </row>
    <row r="425" customFormat="false" ht="13.8" hidden="true" customHeight="false" outlineLevel="0" collapsed="false">
      <c r="A425" s="0" t="s">
        <v>2315</v>
      </c>
      <c r="B425" s="0" t="n">
        <v>78</v>
      </c>
      <c r="C425" s="0" t="n">
        <v>485464</v>
      </c>
      <c r="D425" s="0" t="s">
        <v>2311</v>
      </c>
      <c r="E425" s="0" t="s">
        <v>248</v>
      </c>
      <c r="F425" s="0" t="str">
        <f aca="false">CONCATENATE(D425," ",LEFT(H425,4),"T=",AU425,"D=",AV425,"R=",AW425,"M=",AX425,"L=",AY425,"B=",AZ425)</f>
        <v>WOJCIK T=2D=0R=0M=0L=1B=0</v>
      </c>
      <c r="G425" s="0" t="s">
        <v>719</v>
      </c>
      <c r="I425" s="0" t="s">
        <v>2316</v>
      </c>
      <c r="J425" s="0" t="s">
        <v>2317</v>
      </c>
      <c r="K425" s="0" t="s">
        <v>160</v>
      </c>
      <c r="M425" s="0" t="s">
        <v>2318</v>
      </c>
      <c r="N425" s="0" t="str">
        <f aca="false">RIGHT(M425,LEN(M425)-FIND(" ",M425))</f>
        <v>COTTAGE CT SE</v>
      </c>
      <c r="P425" s="0" t="s">
        <v>145</v>
      </c>
      <c r="Q425" s="0" t="s">
        <v>146</v>
      </c>
      <c r="R425" s="0" t="n">
        <v>44483</v>
      </c>
      <c r="AD425" s="0" t="s">
        <v>147</v>
      </c>
      <c r="AE425" s="0" t="s">
        <v>148</v>
      </c>
      <c r="AF425" s="0" t="s">
        <v>149</v>
      </c>
      <c r="AH425" s="0" t="n">
        <v>14</v>
      </c>
      <c r="AI425" s="0" t="n">
        <v>11</v>
      </c>
      <c r="AN425" s="0" t="s">
        <v>145</v>
      </c>
      <c r="AO425" s="0" t="s">
        <v>150</v>
      </c>
      <c r="AP425" s="0" t="s">
        <v>151</v>
      </c>
      <c r="AQ425" s="0" t="n">
        <v>9</v>
      </c>
      <c r="AR425" s="0" t="n">
        <v>64</v>
      </c>
      <c r="AS425" s="0" t="n">
        <v>32</v>
      </c>
      <c r="AU425" s="0" t="n">
        <f aca="false">COUNTA($BA$324:$EH$324)</f>
        <v>2</v>
      </c>
      <c r="AV425" s="0" t="n">
        <f aca="false">COUNTIF($BA$324:$EH$324,"D")</f>
        <v>0</v>
      </c>
      <c r="AW425" s="0" t="n">
        <f aca="false">COUNTIF($BA$324:$EH$324,"R")</f>
        <v>0</v>
      </c>
      <c r="AX425" s="0" t="n">
        <f aca="false">IF(BN425="D",1,0)+IF(BO425="D",1,0)+IF(BT425="D",1,0)+IF(BU425="D",1,0)+IF(BW425="D",1,0)+IF(CC425="D",1,0)+IF(CD425="D",1,0)+IF(CE425="D",1,0)+IF(CF425="D",1,0)+IF(CL425="D",1,0)+IF(CM425="D",1,0)+IF(CQ425="D",1,0)+IF(CR425="D",1,0)+IF(CS425="D",1,0)+IF(CW425="D",1,0)+IF(CX425="D",1,0)+IF(DD425="D",1,0)+IF(DE425="D",1,0)+IF(DJ425="D",1,0)+IF(DK425="D",1,0)+IF(DO425="D",1,0)+IF(DP425="D",1,0)+IF(DQ425="D",1,0)+IF(DW425="D",1,0)+IF(DZ425="D",1,0)+IF(EH425="D",1,0)</f>
        <v>0</v>
      </c>
      <c r="AY425" s="0" t="n">
        <f aca="false">COUNTIF(DU425:EH425, "&lt;&gt;")</f>
        <v>1</v>
      </c>
      <c r="AZ425" s="0" t="n">
        <f aca="false">IF(EH425&lt;&gt;"",1,0)</f>
        <v>0</v>
      </c>
      <c r="BB425" s="0" t="s">
        <v>152</v>
      </c>
      <c r="EF425" s="0" t="s">
        <v>153</v>
      </c>
    </row>
    <row r="426" customFormat="false" ht="13.8" hidden="true" customHeight="false" outlineLevel="0" collapsed="false">
      <c r="A426" s="0" t="s">
        <v>2319</v>
      </c>
      <c r="B426" s="0" t="n">
        <v>78</v>
      </c>
      <c r="C426" s="0" t="n">
        <v>449273</v>
      </c>
      <c r="D426" s="0" t="s">
        <v>2320</v>
      </c>
      <c r="E426" s="0" t="s">
        <v>877</v>
      </c>
      <c r="F426" s="0" t="str">
        <f aca="false">CONCATENATE(D426," ",LEFT(H426,4),"T=",AU426,"D=",AV426,"R=",AW426,"M=",AX426,"L=",AY426,"B=",AZ426)</f>
        <v>PERKINS T=1D=0R=0M=0L=1B=0</v>
      </c>
      <c r="G426" s="0" t="s">
        <v>190</v>
      </c>
      <c r="I426" s="0" t="s">
        <v>2321</v>
      </c>
      <c r="J426" s="0" t="s">
        <v>2322</v>
      </c>
      <c r="K426" s="0" t="s">
        <v>160</v>
      </c>
      <c r="L426" s="0" t="s">
        <v>175</v>
      </c>
      <c r="M426" s="0" t="s">
        <v>2323</v>
      </c>
      <c r="N426" s="0" t="str">
        <f aca="false">RIGHT(M426,LEN(M426)-FIND(" ",M426))</f>
        <v>DRAPER AVE SE</v>
      </c>
      <c r="P426" s="0" t="s">
        <v>145</v>
      </c>
      <c r="Q426" s="0" t="s">
        <v>146</v>
      </c>
      <c r="R426" s="0" t="n">
        <v>44484</v>
      </c>
      <c r="AD426" s="0" t="s">
        <v>147</v>
      </c>
      <c r="AE426" s="0" t="s">
        <v>148</v>
      </c>
      <c r="AF426" s="0" t="s">
        <v>149</v>
      </c>
      <c r="AH426" s="0" t="n">
        <v>14</v>
      </c>
      <c r="AI426" s="0" t="n">
        <v>11</v>
      </c>
      <c r="AN426" s="0" t="s">
        <v>145</v>
      </c>
      <c r="AO426" s="0" t="s">
        <v>233</v>
      </c>
      <c r="AP426" s="0" t="s">
        <v>234</v>
      </c>
      <c r="AQ426" s="0" t="n">
        <v>9</v>
      </c>
      <c r="AR426" s="0" t="n">
        <v>64</v>
      </c>
      <c r="AS426" s="0" t="n">
        <v>32</v>
      </c>
      <c r="AU426" s="0" t="n">
        <f aca="false">COUNTA($BA$2322:$EH$2322)</f>
        <v>1</v>
      </c>
      <c r="AV426" s="0" t="n">
        <f aca="false">COUNTIF($BA$2322:$EH$2322,"D")</f>
        <v>0</v>
      </c>
      <c r="AW426" s="0" t="n">
        <f aca="false">COUNTIF($BA$2322:$EH$2322,"R")</f>
        <v>0</v>
      </c>
      <c r="AX426" s="0" t="n">
        <f aca="false">IF(BN426="D",1,0)+IF(BO426="D",1,0)+IF(BT426="D",1,0)+IF(BU426="D",1,0)+IF(BW426="D",1,0)+IF(CC426="D",1,0)+IF(CD426="D",1,0)+IF(CE426="D",1,0)+IF(CF426="D",1,0)+IF(CL426="D",1,0)+IF(CM426="D",1,0)+IF(CQ426="D",1,0)+IF(CR426="D",1,0)+IF(CS426="D",1,0)+IF(CW426="D",1,0)+IF(CX426="D",1,0)+IF(DD426="D",1,0)+IF(DE426="D",1,0)+IF(DJ426="D",1,0)+IF(DK426="D",1,0)+IF(DO426="D",1,0)+IF(DP426="D",1,0)+IF(DQ426="D",1,0)+IF(DW426="D",1,0)+IF(DZ426="D",1,0)+IF(EH426="D",1,0)</f>
        <v>0</v>
      </c>
      <c r="AY426" s="0" t="n">
        <f aca="false">COUNTIF(DU426:EH426, "&lt;&gt;")</f>
        <v>1</v>
      </c>
      <c r="AZ426" s="0" t="n">
        <f aca="false">IF(EH426&lt;&gt;"",1,0)</f>
        <v>0</v>
      </c>
      <c r="BB426" s="0" t="s">
        <v>152</v>
      </c>
      <c r="BJ426" s="0" t="s">
        <v>153</v>
      </c>
      <c r="BK426" s="0" t="s">
        <v>153</v>
      </c>
      <c r="BY426" s="0" t="s">
        <v>175</v>
      </c>
      <c r="CA426" s="0" t="s">
        <v>153</v>
      </c>
      <c r="CP426" s="0" t="s">
        <v>153</v>
      </c>
      <c r="DN426" s="0" t="s">
        <v>153</v>
      </c>
      <c r="DS426" s="0" t="s">
        <v>175</v>
      </c>
      <c r="DU426" s="0" t="s">
        <v>153</v>
      </c>
    </row>
    <row r="427" customFormat="false" ht="13.8" hidden="true" customHeight="false" outlineLevel="0" collapsed="false">
      <c r="A427" s="0" t="s">
        <v>2324</v>
      </c>
      <c r="B427" s="0" t="n">
        <v>78</v>
      </c>
      <c r="C427" s="0" t="n">
        <v>383255</v>
      </c>
      <c r="D427" s="0" t="s">
        <v>2325</v>
      </c>
      <c r="E427" s="0" t="s">
        <v>2326</v>
      </c>
      <c r="F427" s="0" t="str">
        <f aca="false">CONCATENATE(D427," ",LEFT(H427,4),"T=",AU427,"D=",AV427,"R=",AW427,"M=",AX427,"L=",AY427,"B=",AZ427)</f>
        <v>HUGLEY T=10D=1R=0M=0L=1B=0</v>
      </c>
      <c r="G427" s="0" t="s">
        <v>2327</v>
      </c>
      <c r="I427" s="0" t="s">
        <v>2328</v>
      </c>
      <c r="J427" s="0" t="s">
        <v>2329</v>
      </c>
      <c r="K427" s="0" t="s">
        <v>160</v>
      </c>
      <c r="M427" s="0" t="s">
        <v>2330</v>
      </c>
      <c r="N427" s="0" t="str">
        <f aca="false">RIGHT(M427,LEN(M427)-FIND(" ",M427))</f>
        <v>DRAPER AVE SE</v>
      </c>
      <c r="P427" s="0" t="s">
        <v>145</v>
      </c>
      <c r="Q427" s="0" t="s">
        <v>146</v>
      </c>
      <c r="R427" s="0" t="n">
        <v>44484</v>
      </c>
      <c r="AD427" s="0" t="s">
        <v>147</v>
      </c>
      <c r="AE427" s="0" t="s">
        <v>148</v>
      </c>
      <c r="AF427" s="0" t="s">
        <v>149</v>
      </c>
      <c r="AH427" s="0" t="n">
        <v>14</v>
      </c>
      <c r="AI427" s="0" t="n">
        <v>11</v>
      </c>
      <c r="AN427" s="0" t="s">
        <v>145</v>
      </c>
      <c r="AO427" s="0" t="s">
        <v>233</v>
      </c>
      <c r="AP427" s="0" t="s">
        <v>234</v>
      </c>
      <c r="AQ427" s="0" t="n">
        <v>9</v>
      </c>
      <c r="AR427" s="0" t="n">
        <v>64</v>
      </c>
      <c r="AS427" s="0" t="n">
        <v>32</v>
      </c>
      <c r="AU427" s="0" t="n">
        <f aca="false">COUNTA($BA$2471:$EH$2471)</f>
        <v>10</v>
      </c>
      <c r="AV427" s="0" t="n">
        <f aca="false">COUNTIF($BA$2471:$EH$2471,"D")</f>
        <v>1</v>
      </c>
      <c r="AW427" s="0" t="n">
        <f aca="false">COUNTIF($BA$2471:$EH$2471,"R")</f>
        <v>0</v>
      </c>
      <c r="AX427" s="0" t="n">
        <f aca="false">IF(BN427="D",1,0)+IF(BO427="D",1,0)+IF(BT427="D",1,0)+IF(BU427="D",1,0)+IF(BW427="D",1,0)+IF(CC427="D",1,0)+IF(CD427="D",1,0)+IF(CE427="D",1,0)+IF(CF427="D",1,0)+IF(CL427="D",1,0)+IF(CM427="D",1,0)+IF(CQ427="D",1,0)+IF(CR427="D",1,0)+IF(CS427="D",1,0)+IF(CW427="D",1,0)+IF(CX427="D",1,0)+IF(DD427="D",1,0)+IF(DE427="D",1,0)+IF(DJ427="D",1,0)+IF(DK427="D",1,0)+IF(DO427="D",1,0)+IF(DP427="D",1,0)+IF(DQ427="D",1,0)+IF(DW427="D",1,0)+IF(DZ427="D",1,0)+IF(EH427="D",1,0)</f>
        <v>0</v>
      </c>
      <c r="AY427" s="0" t="n">
        <f aca="false">COUNTIF(DU427:EH427, "&lt;&gt;")</f>
        <v>1</v>
      </c>
      <c r="AZ427" s="0" t="n">
        <f aca="false">IF(EH427&lt;&gt;"",1,0)</f>
        <v>0</v>
      </c>
      <c r="BB427" s="0" t="s">
        <v>152</v>
      </c>
      <c r="CN427" s="0" t="s">
        <v>153</v>
      </c>
      <c r="CP427" s="0" t="s">
        <v>153</v>
      </c>
      <c r="CZ427" s="0" t="s">
        <v>175</v>
      </c>
      <c r="DC427" s="0" t="s">
        <v>153</v>
      </c>
      <c r="DN427" s="0" t="s">
        <v>153</v>
      </c>
      <c r="DU427" s="0" t="s">
        <v>153</v>
      </c>
    </row>
    <row r="428" customFormat="false" ht="13.8" hidden="true" customHeight="false" outlineLevel="0" collapsed="false">
      <c r="A428" s="0" t="s">
        <v>2331</v>
      </c>
      <c r="B428" s="0" t="n">
        <v>78</v>
      </c>
      <c r="C428" s="0" t="n">
        <v>430564</v>
      </c>
      <c r="D428" s="0" t="s">
        <v>2325</v>
      </c>
      <c r="E428" s="0" t="s">
        <v>2332</v>
      </c>
      <c r="F428" s="0" t="str">
        <f aca="false">CONCATENATE(D428," ",LEFT(H428,4),"T=",AU428,"D=",AV428,"R=",AW428,"M=",AX428,"L=",AY428,"B=",AZ428)</f>
        <v>HUGLEY T=6D=0R=0M=0L=1B=0</v>
      </c>
      <c r="G428" s="0" t="s">
        <v>1510</v>
      </c>
      <c r="I428" s="0" t="s">
        <v>2333</v>
      </c>
      <c r="J428" s="0" t="s">
        <v>2334</v>
      </c>
      <c r="K428" s="0" t="s">
        <v>160</v>
      </c>
      <c r="M428" s="0" t="s">
        <v>2330</v>
      </c>
      <c r="N428" s="0" t="str">
        <f aca="false">RIGHT(M428,LEN(M428)-FIND(" ",M428))</f>
        <v>DRAPER AVE SE</v>
      </c>
      <c r="P428" s="0" t="s">
        <v>145</v>
      </c>
      <c r="Q428" s="0" t="s">
        <v>146</v>
      </c>
      <c r="R428" s="0" t="n">
        <v>44484</v>
      </c>
      <c r="AD428" s="0" t="s">
        <v>147</v>
      </c>
      <c r="AE428" s="0" t="s">
        <v>148</v>
      </c>
      <c r="AF428" s="0" t="s">
        <v>149</v>
      </c>
      <c r="AH428" s="0" t="n">
        <v>14</v>
      </c>
      <c r="AI428" s="0" t="n">
        <v>11</v>
      </c>
      <c r="AN428" s="0" t="s">
        <v>145</v>
      </c>
      <c r="AO428" s="0" t="s">
        <v>233</v>
      </c>
      <c r="AP428" s="0" t="s">
        <v>234</v>
      </c>
      <c r="AQ428" s="0" t="n">
        <v>9</v>
      </c>
      <c r="AR428" s="0" t="n">
        <v>64</v>
      </c>
      <c r="AS428" s="0" t="n">
        <v>32</v>
      </c>
      <c r="AU428" s="0" t="n">
        <f aca="false">COUNTA($BA$2517:$EH$2517)</f>
        <v>6</v>
      </c>
      <c r="AV428" s="0" t="n">
        <f aca="false">COUNTIF($BA$2517:$EH$2517,"D")</f>
        <v>0</v>
      </c>
      <c r="AW428" s="0" t="n">
        <f aca="false">COUNTIF($BA$2517:$EH$2517,"R")</f>
        <v>0</v>
      </c>
      <c r="AX428" s="0" t="n">
        <f aca="false">IF(BN428="D",1,0)+IF(BO428="D",1,0)+IF(BT428="D",1,0)+IF(BU428="D",1,0)+IF(BW428="D",1,0)+IF(CC428="D",1,0)+IF(CD428="D",1,0)+IF(CE428="D",1,0)+IF(CF428="D",1,0)+IF(CL428="D",1,0)+IF(CM428="D",1,0)+IF(CQ428="D",1,0)+IF(CR428="D",1,0)+IF(CS428="D",1,0)+IF(CW428="D",1,0)+IF(CX428="D",1,0)+IF(DD428="D",1,0)+IF(DE428="D",1,0)+IF(DJ428="D",1,0)+IF(DK428="D",1,0)+IF(DO428="D",1,0)+IF(DP428="D",1,0)+IF(DQ428="D",1,0)+IF(DW428="D",1,0)+IF(DZ428="D",1,0)+IF(EH428="D",1,0)</f>
        <v>0</v>
      </c>
      <c r="AY428" s="0" t="n">
        <f aca="false">COUNTIF(DU428:EH428, "&lt;&gt;")</f>
        <v>1</v>
      </c>
      <c r="AZ428" s="0" t="n">
        <f aca="false">IF(EH428&lt;&gt;"",1,0)</f>
        <v>0</v>
      </c>
      <c r="BB428" s="0" t="s">
        <v>152</v>
      </c>
      <c r="DI428" s="0" t="s">
        <v>153</v>
      </c>
      <c r="DN428" s="0" t="s">
        <v>153</v>
      </c>
      <c r="DU428" s="0" t="s">
        <v>153</v>
      </c>
    </row>
    <row r="429" customFormat="false" ht="13.8" hidden="true" customHeight="false" outlineLevel="0" collapsed="false">
      <c r="A429" s="0" t="s">
        <v>2335</v>
      </c>
      <c r="B429" s="0" t="n">
        <v>78</v>
      </c>
      <c r="C429" s="0" t="n">
        <v>409226</v>
      </c>
      <c r="D429" s="0" t="s">
        <v>2336</v>
      </c>
      <c r="E429" s="0" t="s">
        <v>2337</v>
      </c>
      <c r="F429" s="0" t="str">
        <f aca="false">CONCATENATE(D429," ",LEFT(H429,4),"T=",AU429,"D=",AV429,"R=",AW429,"M=",AX429,"L=",AY429,"B=",AZ429)</f>
        <v>BRANTLEY T=2D=0R=0M=1L=0B=0</v>
      </c>
      <c r="G429" s="0" t="s">
        <v>195</v>
      </c>
      <c r="I429" s="0" t="s">
        <v>2338</v>
      </c>
      <c r="J429" s="0" t="s">
        <v>2339</v>
      </c>
      <c r="K429" s="0" t="s">
        <v>160</v>
      </c>
      <c r="M429" s="0" t="s">
        <v>2340</v>
      </c>
      <c r="N429" s="0" t="str">
        <f aca="false">RIGHT(M429,LEN(M429)-FIND(" ",M429))</f>
        <v>DRAPER AVE SE</v>
      </c>
      <c r="P429" s="0" t="s">
        <v>145</v>
      </c>
      <c r="Q429" s="0" t="s">
        <v>146</v>
      </c>
      <c r="R429" s="0" t="n">
        <v>44484</v>
      </c>
      <c r="AD429" s="0" t="s">
        <v>147</v>
      </c>
      <c r="AE429" s="0" t="s">
        <v>148</v>
      </c>
      <c r="AF429" s="0" t="s">
        <v>149</v>
      </c>
      <c r="AH429" s="0" t="n">
        <v>14</v>
      </c>
      <c r="AI429" s="0" t="n">
        <v>11</v>
      </c>
      <c r="AN429" s="0" t="s">
        <v>145</v>
      </c>
      <c r="AO429" s="0" t="s">
        <v>233</v>
      </c>
      <c r="AP429" s="0" t="s">
        <v>234</v>
      </c>
      <c r="AQ429" s="0" t="n">
        <v>9</v>
      </c>
      <c r="AR429" s="0" t="n">
        <v>64</v>
      </c>
      <c r="AS429" s="0" t="n">
        <v>32</v>
      </c>
      <c r="AU429" s="0" t="n">
        <f aca="false">COUNTA($BA$2142:$EH$2142)</f>
        <v>2</v>
      </c>
      <c r="AV429" s="0" t="n">
        <f aca="false">COUNTIF($BA$2142:$EH$2142,"D")</f>
        <v>0</v>
      </c>
      <c r="AW429" s="0" t="n">
        <f aca="false">COUNTIF($BA$2142:$EH$2142,"R")</f>
        <v>0</v>
      </c>
      <c r="AX429" s="0" t="n">
        <f aca="false">IF(BN429="D",1,0)+IF(BO429="D",1,0)+IF(BT429="D",1,0)+IF(BU429="D",1,0)+IF(BW429="D",1,0)+IF(CC429="D",1,0)+IF(CD429="D",1,0)+IF(CE429="D",1,0)+IF(CF429="D",1,0)+IF(CL429="D",1,0)+IF(CM429="D",1,0)+IF(CQ429="D",1,0)+IF(CR429="D",1,0)+IF(CS429="D",1,0)+IF(CW429="D",1,0)+IF(CX429="D",1,0)+IF(DD429="D",1,0)+IF(DE429="D",1,0)+IF(DJ429="D",1,0)+IF(DK429="D",1,0)+IF(DO429="D",1,0)+IF(DP429="D",1,0)+IF(DQ429="D",1,0)+IF(DW429="D",1,0)+IF(DZ429="D",1,0)+IF(EH429="D",1,0)</f>
        <v>1</v>
      </c>
      <c r="AY429" s="0" t="n">
        <f aca="false">COUNTIF(DU429:EH429, "&lt;&gt;")</f>
        <v>0</v>
      </c>
      <c r="AZ429" s="0" t="n">
        <f aca="false">IF(EH429&lt;&gt;"",1,0)</f>
        <v>0</v>
      </c>
      <c r="BB429" s="0" t="s">
        <v>152</v>
      </c>
      <c r="CL429" s="0" t="s">
        <v>175</v>
      </c>
    </row>
    <row r="430" customFormat="false" ht="13.8" hidden="true" customHeight="false" outlineLevel="0" collapsed="false">
      <c r="A430" s="0" t="s">
        <v>2341</v>
      </c>
      <c r="B430" s="0" t="n">
        <v>78</v>
      </c>
      <c r="C430" s="0" t="n">
        <v>466953</v>
      </c>
      <c r="D430" s="0" t="s">
        <v>2342</v>
      </c>
      <c r="E430" s="0" t="s">
        <v>2343</v>
      </c>
      <c r="F430" s="0" t="str">
        <f aca="false">CONCATENATE(D430," ",LEFT(H430,4),"T=",AU430,"D=",AV430,"R=",AW430,"M=",AX430,"L=",AY430,"B=",AZ430)</f>
        <v>REPOTSKI T=1D=0R=0M=0L=1B=0</v>
      </c>
      <c r="G430" s="0" t="s">
        <v>208</v>
      </c>
      <c r="I430" s="0" t="s">
        <v>2344</v>
      </c>
      <c r="J430" s="0" t="s">
        <v>2345</v>
      </c>
      <c r="K430" s="0" t="s">
        <v>160</v>
      </c>
      <c r="M430" s="0" t="s">
        <v>2346</v>
      </c>
      <c r="N430" s="0" t="str">
        <f aca="false">RIGHT(M430,LEN(M430)-FIND(" ",M430))</f>
        <v>DRAPER AVE SE</v>
      </c>
      <c r="P430" s="0" t="s">
        <v>145</v>
      </c>
      <c r="Q430" s="0" t="s">
        <v>146</v>
      </c>
      <c r="R430" s="0" t="n">
        <v>44484</v>
      </c>
      <c r="AD430" s="0" t="s">
        <v>147</v>
      </c>
      <c r="AE430" s="0" t="s">
        <v>148</v>
      </c>
      <c r="AF430" s="0" t="s">
        <v>149</v>
      </c>
      <c r="AH430" s="0" t="n">
        <v>14</v>
      </c>
      <c r="AI430" s="0" t="n">
        <v>11</v>
      </c>
      <c r="AN430" s="0" t="s">
        <v>145</v>
      </c>
      <c r="AO430" s="0" t="s">
        <v>233</v>
      </c>
      <c r="AP430" s="0" t="s">
        <v>234</v>
      </c>
      <c r="AQ430" s="0" t="n">
        <v>9</v>
      </c>
      <c r="AR430" s="0" t="n">
        <v>64</v>
      </c>
      <c r="AS430" s="0" t="n">
        <v>32</v>
      </c>
      <c r="AU430" s="0" t="n">
        <f aca="false">COUNTA($BA$2108:$EH$2108)</f>
        <v>1</v>
      </c>
      <c r="AV430" s="0" t="n">
        <f aca="false">COUNTIF($BA$2108:$EH$2108,"D")</f>
        <v>0</v>
      </c>
      <c r="AW430" s="0" t="n">
        <f aca="false">COUNTIF($BA$2108:$EH$2108,"R")</f>
        <v>0</v>
      </c>
      <c r="AX430" s="0" t="n">
        <f aca="false">IF(BN430="D",1,0)+IF(BO430="D",1,0)+IF(BT430="D",1,0)+IF(BU430="D",1,0)+IF(BW430="D",1,0)+IF(CC430="D",1,0)+IF(CD430="D",1,0)+IF(CE430="D",1,0)+IF(CF430="D",1,0)+IF(CL430="D",1,0)+IF(CM430="D",1,0)+IF(CQ430="D",1,0)+IF(CR430="D",1,0)+IF(CS430="D",1,0)+IF(CW430="D",1,0)+IF(CX430="D",1,0)+IF(DD430="D",1,0)+IF(DE430="D",1,0)+IF(DJ430="D",1,0)+IF(DK430="D",1,0)+IF(DO430="D",1,0)+IF(DP430="D",1,0)+IF(DQ430="D",1,0)+IF(DW430="D",1,0)+IF(DZ430="D",1,0)+IF(EH430="D",1,0)</f>
        <v>0</v>
      </c>
      <c r="AY430" s="0" t="n">
        <f aca="false">COUNTIF(DU430:EH430, "&lt;&gt;")</f>
        <v>1</v>
      </c>
      <c r="AZ430" s="0" t="n">
        <f aca="false">IF(EH430&lt;&gt;"",1,0)</f>
        <v>0</v>
      </c>
      <c r="BB430" s="0" t="s">
        <v>152</v>
      </c>
      <c r="EF430" s="0" t="s">
        <v>153</v>
      </c>
    </row>
    <row r="431" customFormat="false" ht="13.8" hidden="true" customHeight="false" outlineLevel="0" collapsed="false">
      <c r="A431" s="0" t="s">
        <v>2347</v>
      </c>
      <c r="B431" s="0" t="n">
        <v>78</v>
      </c>
      <c r="C431" s="0" t="n">
        <v>458628</v>
      </c>
      <c r="D431" s="0" t="s">
        <v>1041</v>
      </c>
      <c r="E431" s="0" t="s">
        <v>2348</v>
      </c>
      <c r="F431" s="0" t="str">
        <f aca="false">CONCATENATE(D431," ",LEFT(H431,4),"T=",AU431,"D=",AV431,"R=",AW431,"M=",AX431,"L=",AY431,"B=",AZ431)</f>
        <v>JONES T=6D=0R=0M=0L=0B=0</v>
      </c>
      <c r="G431" s="0" t="s">
        <v>190</v>
      </c>
      <c r="I431" s="0" t="s">
        <v>2349</v>
      </c>
      <c r="J431" s="0" t="s">
        <v>2350</v>
      </c>
      <c r="K431" s="0" t="s">
        <v>160</v>
      </c>
      <c r="M431" s="0" t="s">
        <v>2351</v>
      </c>
      <c r="N431" s="0" t="str">
        <f aca="false">RIGHT(M431,LEN(M431)-FIND(" ",M431))</f>
        <v>DRAPER AVE SE</v>
      </c>
      <c r="P431" s="0" t="s">
        <v>145</v>
      </c>
      <c r="Q431" s="0" t="s">
        <v>146</v>
      </c>
      <c r="R431" s="0" t="n">
        <v>44484</v>
      </c>
      <c r="AD431" s="0" t="s">
        <v>147</v>
      </c>
      <c r="AE431" s="0" t="s">
        <v>148</v>
      </c>
      <c r="AF431" s="0" t="s">
        <v>149</v>
      </c>
      <c r="AH431" s="0" t="n">
        <v>14</v>
      </c>
      <c r="AI431" s="0" t="n">
        <v>11</v>
      </c>
      <c r="AN431" s="0" t="s">
        <v>145</v>
      </c>
      <c r="AO431" s="0" t="s">
        <v>233</v>
      </c>
      <c r="AP431" s="0" t="s">
        <v>234</v>
      </c>
      <c r="AQ431" s="0" t="n">
        <v>9</v>
      </c>
      <c r="AR431" s="0" t="n">
        <v>64</v>
      </c>
      <c r="AS431" s="0" t="n">
        <v>32</v>
      </c>
      <c r="AU431" s="0" t="n">
        <f aca="false">COUNTA($BA$2612:$EH$2612)</f>
        <v>6</v>
      </c>
      <c r="AV431" s="0" t="n">
        <f aca="false">COUNTIF($BA$2612:$EH$2612,"D")</f>
        <v>0</v>
      </c>
      <c r="AW431" s="0" t="n">
        <f aca="false">COUNTIF($BA$2612:$EH$2612,"R")</f>
        <v>0</v>
      </c>
      <c r="AX431" s="0" t="n">
        <f aca="false">IF(BN431="D",1,0)+IF(BO431="D",1,0)+IF(BT431="D",1,0)+IF(BU431="D",1,0)+IF(BW431="D",1,0)+IF(CC431="D",1,0)+IF(CD431="D",1,0)+IF(CE431="D",1,0)+IF(CF431="D",1,0)+IF(CL431="D",1,0)+IF(CM431="D",1,0)+IF(CQ431="D",1,0)+IF(CR431="D",1,0)+IF(CS431="D",1,0)+IF(CW431="D",1,0)+IF(CX431="D",1,0)+IF(DD431="D",1,0)+IF(DE431="D",1,0)+IF(DJ431="D",1,0)+IF(DK431="D",1,0)+IF(DO431="D",1,0)+IF(DP431="D",1,0)+IF(DQ431="D",1,0)+IF(DW431="D",1,0)+IF(DZ431="D",1,0)+IF(EH431="D",1,0)</f>
        <v>0</v>
      </c>
      <c r="AY431" s="0" t="n">
        <f aca="false">COUNTIF(DU431:EH431, "&lt;&gt;")</f>
        <v>0</v>
      </c>
      <c r="AZ431" s="0" t="n">
        <f aca="false">IF(EH431&lt;&gt;"",1,0)</f>
        <v>0</v>
      </c>
      <c r="BB431" s="0" t="s">
        <v>152</v>
      </c>
    </row>
    <row r="432" customFormat="false" ht="13.8" hidden="true" customHeight="false" outlineLevel="0" collapsed="false">
      <c r="A432" s="0" t="s">
        <v>2352</v>
      </c>
      <c r="B432" s="0" t="n">
        <v>78</v>
      </c>
      <c r="C432" s="0" t="n">
        <v>423722</v>
      </c>
      <c r="D432" s="0" t="s">
        <v>1445</v>
      </c>
      <c r="E432" s="0" t="s">
        <v>2353</v>
      </c>
      <c r="F432" s="0" t="str">
        <f aca="false">CONCATENATE(D432," ",LEFT(H432,4),"T=",AU432,"D=",AV432,"R=",AW432,"M=",AX432,"L=",AY432,"B=",AZ432)</f>
        <v>WILLIAMS T=1D=0R=0M=0L=0B=0</v>
      </c>
      <c r="G432" s="0" t="s">
        <v>1128</v>
      </c>
      <c r="I432" s="0" t="s">
        <v>2354</v>
      </c>
      <c r="J432" s="0" t="s">
        <v>2355</v>
      </c>
      <c r="K432" s="0" t="s">
        <v>160</v>
      </c>
      <c r="M432" s="0" t="s">
        <v>2351</v>
      </c>
      <c r="N432" s="0" t="str">
        <f aca="false">RIGHT(M432,LEN(M432)-FIND(" ",M432))</f>
        <v>DRAPER AVE SE</v>
      </c>
      <c r="P432" s="0" t="s">
        <v>145</v>
      </c>
      <c r="Q432" s="0" t="s">
        <v>146</v>
      </c>
      <c r="R432" s="0" t="n">
        <v>44484</v>
      </c>
      <c r="AD432" s="0" t="s">
        <v>147</v>
      </c>
      <c r="AE432" s="0" t="s">
        <v>148</v>
      </c>
      <c r="AF432" s="0" t="s">
        <v>149</v>
      </c>
      <c r="AH432" s="0" t="n">
        <v>14</v>
      </c>
      <c r="AI432" s="0" t="n">
        <v>11</v>
      </c>
      <c r="AN432" s="0" t="s">
        <v>145</v>
      </c>
      <c r="AO432" s="0" t="s">
        <v>233</v>
      </c>
      <c r="AP432" s="0" t="s">
        <v>234</v>
      </c>
      <c r="AQ432" s="0" t="n">
        <v>9</v>
      </c>
      <c r="AR432" s="0" t="n">
        <v>64</v>
      </c>
      <c r="AS432" s="0" t="n">
        <v>32</v>
      </c>
      <c r="AU432" s="0" t="n">
        <f aca="false">COUNTA($BA$2681:$EH$2681)</f>
        <v>1</v>
      </c>
      <c r="AV432" s="0" t="n">
        <f aca="false">COUNTIF($BA$2681:$EH$2681,"D")</f>
        <v>0</v>
      </c>
      <c r="AW432" s="0" t="n">
        <f aca="false">COUNTIF($BA$2681:$EH$2681,"R")</f>
        <v>0</v>
      </c>
      <c r="AX432" s="0" t="n">
        <f aca="false">IF(BN432="D",1,0)+IF(BO432="D",1,0)+IF(BT432="D",1,0)+IF(BU432="D",1,0)+IF(BW432="D",1,0)+IF(CC432="D",1,0)+IF(CD432="D",1,0)+IF(CE432="D",1,0)+IF(CF432="D",1,0)+IF(CL432="D",1,0)+IF(CM432="D",1,0)+IF(CQ432="D",1,0)+IF(CR432="D",1,0)+IF(CS432="D",1,0)+IF(CW432="D",1,0)+IF(CX432="D",1,0)+IF(DD432="D",1,0)+IF(DE432="D",1,0)+IF(DJ432="D",1,0)+IF(DK432="D",1,0)+IF(DO432="D",1,0)+IF(DP432="D",1,0)+IF(DQ432="D",1,0)+IF(DW432="D",1,0)+IF(DZ432="D",1,0)+IF(EH432="D",1,0)</f>
        <v>0</v>
      </c>
      <c r="AY432" s="0" t="n">
        <f aca="false">COUNTIF(DU432:EH432, "&lt;&gt;")</f>
        <v>0</v>
      </c>
      <c r="AZ432" s="0" t="n">
        <f aca="false">IF(EH432&lt;&gt;"",1,0)</f>
        <v>0</v>
      </c>
      <c r="BB432" s="0" t="s">
        <v>152</v>
      </c>
    </row>
    <row r="433" customFormat="false" ht="13.8" hidden="true" customHeight="false" outlineLevel="0" collapsed="false">
      <c r="A433" s="0" t="s">
        <v>2356</v>
      </c>
      <c r="B433" s="0" t="n">
        <v>78</v>
      </c>
      <c r="C433" s="0" t="n">
        <v>454872</v>
      </c>
      <c r="D433" s="0" t="s">
        <v>2357</v>
      </c>
      <c r="E433" s="0" t="s">
        <v>2358</v>
      </c>
      <c r="F433" s="0" t="str">
        <f aca="false">CONCATENATE(D433," ",LEFT(H433,4),"T=",AU433,"D=",AV433,"R=",AW433,"M=",AX433,"L=",AY433,"B=",AZ433)</f>
        <v>DAVIDSON T=1D=0R=0M=0L=1B=0</v>
      </c>
      <c r="G433" s="0" t="s">
        <v>190</v>
      </c>
      <c r="I433" s="0" t="s">
        <v>2359</v>
      </c>
      <c r="J433" s="0" t="s">
        <v>2360</v>
      </c>
      <c r="K433" s="0" t="s">
        <v>160</v>
      </c>
      <c r="M433" s="0" t="s">
        <v>2361</v>
      </c>
      <c r="N433" s="0" t="str">
        <f aca="false">RIGHT(M433,LEN(M433)-FIND(" ",M433))</f>
        <v>DRAPER AVE SE</v>
      </c>
      <c r="P433" s="0" t="s">
        <v>145</v>
      </c>
      <c r="Q433" s="0" t="s">
        <v>146</v>
      </c>
      <c r="R433" s="0" t="n">
        <v>44484</v>
      </c>
      <c r="AD433" s="0" t="s">
        <v>147</v>
      </c>
      <c r="AE433" s="0" t="s">
        <v>148</v>
      </c>
      <c r="AF433" s="0" t="s">
        <v>149</v>
      </c>
      <c r="AH433" s="0" t="n">
        <v>14</v>
      </c>
      <c r="AI433" s="0" t="n">
        <v>11</v>
      </c>
      <c r="AN433" s="0" t="s">
        <v>145</v>
      </c>
      <c r="AO433" s="0" t="s">
        <v>233</v>
      </c>
      <c r="AP433" s="0" t="s">
        <v>234</v>
      </c>
      <c r="AQ433" s="0" t="n">
        <v>9</v>
      </c>
      <c r="AR433" s="0" t="n">
        <v>64</v>
      </c>
      <c r="AS433" s="0" t="n">
        <v>32</v>
      </c>
      <c r="AU433" s="0" t="n">
        <f aca="false">COUNTA($BA$2091:$EH$2091)</f>
        <v>1</v>
      </c>
      <c r="AV433" s="0" t="n">
        <f aca="false">COUNTIF($BA$2091:$EH$2091,"D")</f>
        <v>0</v>
      </c>
      <c r="AW433" s="0" t="n">
        <f aca="false">COUNTIF($BA$2091:$EH$2091,"R")</f>
        <v>0</v>
      </c>
      <c r="AX433" s="0" t="n">
        <f aca="false">IF(BN433="D",1,0)+IF(BO433="D",1,0)+IF(BT433="D",1,0)+IF(BU433="D",1,0)+IF(BW433="D",1,0)+IF(CC433="D",1,0)+IF(CD433="D",1,0)+IF(CE433="D",1,0)+IF(CF433="D",1,0)+IF(CL433="D",1,0)+IF(CM433="D",1,0)+IF(CQ433="D",1,0)+IF(CR433="D",1,0)+IF(CS433="D",1,0)+IF(CW433="D",1,0)+IF(CX433="D",1,0)+IF(DD433="D",1,0)+IF(DE433="D",1,0)+IF(DJ433="D",1,0)+IF(DK433="D",1,0)+IF(DO433="D",1,0)+IF(DP433="D",1,0)+IF(DQ433="D",1,0)+IF(DW433="D",1,0)+IF(DZ433="D",1,0)+IF(EH433="D",1,0)</f>
        <v>0</v>
      </c>
      <c r="AY433" s="0" t="n">
        <f aca="false">COUNTIF(DU433:EH433, "&lt;&gt;")</f>
        <v>1</v>
      </c>
      <c r="AZ433" s="0" t="n">
        <f aca="false">IF(EH433&lt;&gt;"",1,0)</f>
        <v>0</v>
      </c>
      <c r="BB433" s="0" t="s">
        <v>152</v>
      </c>
      <c r="DN433" s="0" t="s">
        <v>153</v>
      </c>
      <c r="EF433" s="0" t="s">
        <v>153</v>
      </c>
    </row>
    <row r="434" customFormat="false" ht="13.8" hidden="true" customHeight="false" outlineLevel="0" collapsed="false">
      <c r="A434" s="0" t="s">
        <v>2362</v>
      </c>
      <c r="B434" s="0" t="n">
        <v>78</v>
      </c>
      <c r="C434" s="0" t="n">
        <v>406610</v>
      </c>
      <c r="D434" s="0" t="s">
        <v>2363</v>
      </c>
      <c r="E434" s="0" t="s">
        <v>2364</v>
      </c>
      <c r="F434" s="0" t="str">
        <f aca="false">CONCATENATE(D434," ",LEFT(H434,4),"T=",AU434,"D=",AV434,"R=",AW434,"M=",AX434,"L=",AY434,"B=",AZ434)</f>
        <v>GRIFFIN JRT=3D=0R=0M=0L=0B=0</v>
      </c>
      <c r="G434" s="0" t="s">
        <v>943</v>
      </c>
      <c r="H434" s="0" t="s">
        <v>314</v>
      </c>
      <c r="I434" s="0" t="s">
        <v>2365</v>
      </c>
      <c r="J434" s="0" t="s">
        <v>2366</v>
      </c>
      <c r="K434" s="0" t="s">
        <v>160</v>
      </c>
      <c r="M434" s="0" t="s">
        <v>2361</v>
      </c>
      <c r="N434" s="0" t="str">
        <f aca="false">RIGHT(M434,LEN(M434)-FIND(" ",M434))</f>
        <v>DRAPER AVE SE</v>
      </c>
      <c r="P434" s="0" t="s">
        <v>145</v>
      </c>
      <c r="Q434" s="0" t="s">
        <v>146</v>
      </c>
      <c r="R434" s="0" t="n">
        <v>44484</v>
      </c>
      <c r="AD434" s="0" t="s">
        <v>147</v>
      </c>
      <c r="AE434" s="0" t="s">
        <v>148</v>
      </c>
      <c r="AF434" s="0" t="s">
        <v>149</v>
      </c>
      <c r="AH434" s="0" t="n">
        <v>14</v>
      </c>
      <c r="AI434" s="0" t="n">
        <v>11</v>
      </c>
      <c r="AN434" s="0" t="s">
        <v>145</v>
      </c>
      <c r="AO434" s="0" t="s">
        <v>233</v>
      </c>
      <c r="AP434" s="0" t="s">
        <v>234</v>
      </c>
      <c r="AQ434" s="0" t="n">
        <v>9</v>
      </c>
      <c r="AR434" s="0" t="n">
        <v>64</v>
      </c>
      <c r="AS434" s="0" t="n">
        <v>32</v>
      </c>
      <c r="AU434" s="0" t="n">
        <f aca="false">COUNTA($BA$2202:$EH$2202)</f>
        <v>3</v>
      </c>
      <c r="AV434" s="0" t="n">
        <f aca="false">COUNTIF($BA$2202:$EH$2202,"D")</f>
        <v>0</v>
      </c>
      <c r="AW434" s="0" t="n">
        <f aca="false">COUNTIF($BA$2202:$EH$2202,"R")</f>
        <v>0</v>
      </c>
      <c r="AX434" s="0" t="n">
        <f aca="false">IF(BN434="D",1,0)+IF(BO434="D",1,0)+IF(BT434="D",1,0)+IF(BU434="D",1,0)+IF(BW434="D",1,0)+IF(CC434="D",1,0)+IF(CD434="D",1,0)+IF(CE434="D",1,0)+IF(CF434="D",1,0)+IF(CL434="D",1,0)+IF(CM434="D",1,0)+IF(CQ434="D",1,0)+IF(CR434="D",1,0)+IF(CS434="D",1,0)+IF(CW434="D",1,0)+IF(CX434="D",1,0)+IF(DD434="D",1,0)+IF(DE434="D",1,0)+IF(DJ434="D",1,0)+IF(DK434="D",1,0)+IF(DO434="D",1,0)+IF(DP434="D",1,0)+IF(DQ434="D",1,0)+IF(DW434="D",1,0)+IF(DZ434="D",1,0)+IF(EH434="D",1,0)</f>
        <v>0</v>
      </c>
      <c r="AY434" s="0" t="n">
        <f aca="false">COUNTIF(DU434:EH434, "&lt;&gt;")</f>
        <v>0</v>
      </c>
      <c r="AZ434" s="0" t="n">
        <f aca="false">IF(EH434&lt;&gt;"",1,0)</f>
        <v>0</v>
      </c>
      <c r="BB434" s="0" t="s">
        <v>152</v>
      </c>
      <c r="CY434" s="0" t="s">
        <v>153</v>
      </c>
      <c r="DC434" s="0" t="s">
        <v>153</v>
      </c>
    </row>
    <row r="435" customFormat="false" ht="13.8" hidden="true" customHeight="false" outlineLevel="0" collapsed="false">
      <c r="A435" s="0" t="s">
        <v>2367</v>
      </c>
      <c r="B435" s="0" t="n">
        <v>78</v>
      </c>
      <c r="C435" s="0" t="n">
        <v>303554</v>
      </c>
      <c r="D435" s="0" t="s">
        <v>2368</v>
      </c>
      <c r="E435" s="0" t="s">
        <v>2369</v>
      </c>
      <c r="F435" s="0" t="str">
        <f aca="false">CONCATENATE(D435," ",LEFT(H435,4),"T=",AU435,"D=",AV435,"R=",AW435,"M=",AX435,"L=",AY435,"B=",AZ435)</f>
        <v>CLAY POVENTUD T=52D=18R=0M=0L=0B=0</v>
      </c>
      <c r="I435" s="0" t="s">
        <v>2370</v>
      </c>
      <c r="J435" s="0" t="s">
        <v>2371</v>
      </c>
      <c r="K435" s="0" t="s">
        <v>143</v>
      </c>
      <c r="M435" s="0" t="s">
        <v>2372</v>
      </c>
      <c r="N435" s="0" t="str">
        <f aca="false">RIGHT(M435,LEN(M435)-FIND(" ",M435))</f>
        <v>DRAPER AVE SE</v>
      </c>
      <c r="P435" s="0" t="s">
        <v>145</v>
      </c>
      <c r="Q435" s="0" t="s">
        <v>146</v>
      </c>
      <c r="R435" s="0" t="n">
        <v>44484</v>
      </c>
      <c r="AD435" s="0" t="s">
        <v>147</v>
      </c>
      <c r="AE435" s="0" t="s">
        <v>148</v>
      </c>
      <c r="AF435" s="0" t="s">
        <v>149</v>
      </c>
      <c r="AH435" s="0" t="n">
        <v>14</v>
      </c>
      <c r="AI435" s="0" t="n">
        <v>11</v>
      </c>
      <c r="AN435" s="0" t="s">
        <v>145</v>
      </c>
      <c r="AO435" s="0" t="s">
        <v>233</v>
      </c>
      <c r="AP435" s="0" t="s">
        <v>234</v>
      </c>
      <c r="AQ435" s="0" t="n">
        <v>9</v>
      </c>
      <c r="AR435" s="0" t="n">
        <v>64</v>
      </c>
      <c r="AS435" s="0" t="n">
        <v>32</v>
      </c>
      <c r="AU435" s="0" t="n">
        <f aca="false">COUNTA($BA$2375:$EH$2375)</f>
        <v>52</v>
      </c>
      <c r="AV435" s="0" t="n">
        <f aca="false">COUNTIF($BA$2375:$EH$2375,"D")</f>
        <v>18</v>
      </c>
      <c r="AW435" s="0" t="n">
        <f aca="false">COUNTIF($BA$2375:$EH$2375,"R")</f>
        <v>0</v>
      </c>
      <c r="AX435" s="0" t="n">
        <f aca="false">IF(BN435="D",1,0)+IF(BO435="D",1,0)+IF(BT435="D",1,0)+IF(BU435="D",1,0)+IF(BW435="D",1,0)+IF(CC435="D",1,0)+IF(CD435="D",1,0)+IF(CE435="D",1,0)+IF(CF435="D",1,0)+IF(CL435="D",1,0)+IF(CM435="D",1,0)+IF(CQ435="D",1,0)+IF(CR435="D",1,0)+IF(CS435="D",1,0)+IF(CW435="D",1,0)+IF(CX435="D",1,0)+IF(DD435="D",1,0)+IF(DE435="D",1,0)+IF(DJ435="D",1,0)+IF(DK435="D",1,0)+IF(DO435="D",1,0)+IF(DP435="D",1,0)+IF(DQ435="D",1,0)+IF(DW435="D",1,0)+IF(DZ435="D",1,0)+IF(EH435="D",1,0)</f>
        <v>0</v>
      </c>
      <c r="AY435" s="0" t="n">
        <f aca="false">COUNTIF(DU435:EH435, "&lt;&gt;")</f>
        <v>0</v>
      </c>
      <c r="AZ435" s="0" t="n">
        <f aca="false">IF(EH435&lt;&gt;"",1,0)</f>
        <v>0</v>
      </c>
      <c r="BB435" s="0" t="s">
        <v>152</v>
      </c>
      <c r="CK435" s="0" t="s">
        <v>153</v>
      </c>
      <c r="CP435" s="0" t="s">
        <v>153</v>
      </c>
    </row>
    <row r="436" customFormat="false" ht="13.8" hidden="true" customHeight="false" outlineLevel="0" collapsed="false">
      <c r="A436" s="0" t="s">
        <v>2373</v>
      </c>
      <c r="B436" s="0" t="n">
        <v>78</v>
      </c>
      <c r="C436" s="0" t="n">
        <v>489468</v>
      </c>
      <c r="D436" s="0" t="s">
        <v>2374</v>
      </c>
      <c r="E436" s="0" t="s">
        <v>2375</v>
      </c>
      <c r="F436" s="0" t="str">
        <f aca="false">CONCATENATE(D436," ",LEFT(H436,4),"T=",AU436,"D=",AV436,"R=",AW436,"M=",AX436,"L=",AY436,"B=",AZ436)</f>
        <v>MULLINS T=2D=0R=0M=0L=0B=0</v>
      </c>
      <c r="G436" s="0" t="s">
        <v>195</v>
      </c>
      <c r="I436" s="0" t="s">
        <v>2376</v>
      </c>
      <c r="J436" s="0" t="s">
        <v>2377</v>
      </c>
      <c r="K436" s="0" t="s">
        <v>160</v>
      </c>
      <c r="M436" s="0" t="s">
        <v>2378</v>
      </c>
      <c r="N436" s="0" t="str">
        <f aca="false">RIGHT(M436,LEN(M436)-FIND(" ",M436))</f>
        <v>DRAPER AVE SE</v>
      </c>
      <c r="P436" s="0" t="s">
        <v>145</v>
      </c>
      <c r="Q436" s="0" t="s">
        <v>146</v>
      </c>
      <c r="R436" s="0" t="n">
        <v>44484</v>
      </c>
      <c r="AD436" s="0" t="s">
        <v>147</v>
      </c>
      <c r="AE436" s="0" t="s">
        <v>148</v>
      </c>
      <c r="AF436" s="0" t="s">
        <v>149</v>
      </c>
      <c r="AH436" s="0" t="n">
        <v>14</v>
      </c>
      <c r="AI436" s="0" t="n">
        <v>11</v>
      </c>
      <c r="AN436" s="0" t="s">
        <v>145</v>
      </c>
      <c r="AO436" s="0" t="s">
        <v>233</v>
      </c>
      <c r="AP436" s="0" t="s">
        <v>234</v>
      </c>
      <c r="AQ436" s="0" t="n">
        <v>9</v>
      </c>
      <c r="AR436" s="0" t="n">
        <v>64</v>
      </c>
      <c r="AS436" s="0" t="n">
        <v>32</v>
      </c>
      <c r="AU436" s="0" t="n">
        <f aca="false">COUNTA($BA$2326:$EH$2326)</f>
        <v>2</v>
      </c>
      <c r="AV436" s="0" t="n">
        <f aca="false">COUNTIF($BA$2326:$EH$2326,"D")</f>
        <v>0</v>
      </c>
      <c r="AW436" s="0" t="n">
        <f aca="false">COUNTIF($BA$2326:$EH$2326,"R")</f>
        <v>0</v>
      </c>
      <c r="AX436" s="0" t="n">
        <f aca="false">IF(BN436="D",1,0)+IF(BO436="D",1,0)+IF(BT436="D",1,0)+IF(BU436="D",1,0)+IF(BW436="D",1,0)+IF(CC436="D",1,0)+IF(CD436="D",1,0)+IF(CE436="D",1,0)+IF(CF436="D",1,0)+IF(CL436="D",1,0)+IF(CM436="D",1,0)+IF(CQ436="D",1,0)+IF(CR436="D",1,0)+IF(CS436="D",1,0)+IF(CW436="D",1,0)+IF(CX436="D",1,0)+IF(DD436="D",1,0)+IF(DE436="D",1,0)+IF(DJ436="D",1,0)+IF(DK436="D",1,0)+IF(DO436="D",1,0)+IF(DP436="D",1,0)+IF(DQ436="D",1,0)+IF(DW436="D",1,0)+IF(DZ436="D",1,0)+IF(EH436="D",1,0)</f>
        <v>0</v>
      </c>
      <c r="AY436" s="0" t="n">
        <f aca="false">COUNTIF(DU436:EH436, "&lt;&gt;")</f>
        <v>0</v>
      </c>
      <c r="AZ436" s="0" t="n">
        <f aca="false">IF(EH436&lt;&gt;"",1,0)</f>
        <v>0</v>
      </c>
      <c r="BB436" s="0" t="s">
        <v>152</v>
      </c>
      <c r="CP436" s="0" t="s">
        <v>153</v>
      </c>
      <c r="DC436" s="0" t="s">
        <v>153</v>
      </c>
    </row>
    <row r="437" customFormat="false" ht="13.8" hidden="true" customHeight="false" outlineLevel="0" collapsed="false">
      <c r="A437" s="0" t="s">
        <v>2379</v>
      </c>
      <c r="B437" s="0" t="n">
        <v>78</v>
      </c>
      <c r="C437" s="0" t="n">
        <v>324721</v>
      </c>
      <c r="D437" s="0" t="s">
        <v>2380</v>
      </c>
      <c r="E437" s="0" t="s">
        <v>663</v>
      </c>
      <c r="F437" s="0" t="str">
        <f aca="false">CONCATENATE(D437," ",LEFT(H437,4),"T=",AU437,"D=",AV437,"R=",AW437,"M=",AX437,"L=",AY437,"B=",AZ437)</f>
        <v>JULIAN T=1D=0R=0M=0L=1B=0</v>
      </c>
      <c r="G437" s="0" t="s">
        <v>190</v>
      </c>
      <c r="I437" s="0" t="s">
        <v>2381</v>
      </c>
      <c r="J437" s="0" t="s">
        <v>2382</v>
      </c>
      <c r="K437" s="0" t="s">
        <v>160</v>
      </c>
      <c r="M437" s="0" t="s">
        <v>2383</v>
      </c>
      <c r="N437" s="0" t="str">
        <f aca="false">RIGHT(M437,LEN(M437)-FIND(" ",M437))</f>
        <v>DRAPER AVE SE</v>
      </c>
      <c r="P437" s="0" t="s">
        <v>145</v>
      </c>
      <c r="Q437" s="0" t="s">
        <v>146</v>
      </c>
      <c r="R437" s="0" t="n">
        <v>44484</v>
      </c>
      <c r="AD437" s="0" t="s">
        <v>147</v>
      </c>
      <c r="AE437" s="0" t="s">
        <v>148</v>
      </c>
      <c r="AF437" s="0" t="s">
        <v>149</v>
      </c>
      <c r="AH437" s="0" t="n">
        <v>14</v>
      </c>
      <c r="AI437" s="0" t="n">
        <v>11</v>
      </c>
      <c r="AN437" s="0" t="s">
        <v>145</v>
      </c>
      <c r="AO437" s="0" t="s">
        <v>233</v>
      </c>
      <c r="AP437" s="0" t="s">
        <v>234</v>
      </c>
      <c r="AQ437" s="0" t="n">
        <v>9</v>
      </c>
      <c r="AR437" s="0" t="n">
        <v>64</v>
      </c>
      <c r="AS437" s="0" t="n">
        <v>32</v>
      </c>
      <c r="AU437" s="0" t="n">
        <f aca="false">COUNTA($BA$2677:$EH$2677)</f>
        <v>1</v>
      </c>
      <c r="AV437" s="0" t="n">
        <f aca="false">COUNTIF($BA$2677:$EH$2677,"D")</f>
        <v>0</v>
      </c>
      <c r="AW437" s="0" t="n">
        <f aca="false">COUNTIF($BA$2677:$EH$2677,"R")</f>
        <v>0</v>
      </c>
      <c r="AX437" s="0" t="n">
        <f aca="false">IF(BN437="D",1,0)+IF(BO437="D",1,0)+IF(BT437="D",1,0)+IF(BU437="D",1,0)+IF(BW437="D",1,0)+IF(CC437="D",1,0)+IF(CD437="D",1,0)+IF(CE437="D",1,0)+IF(CF437="D",1,0)+IF(CL437="D",1,0)+IF(CM437="D",1,0)+IF(CQ437="D",1,0)+IF(CR437="D",1,0)+IF(CS437="D",1,0)+IF(CW437="D",1,0)+IF(CX437="D",1,0)+IF(DD437="D",1,0)+IF(DE437="D",1,0)+IF(DJ437="D",1,0)+IF(DK437="D",1,0)+IF(DO437="D",1,0)+IF(DP437="D",1,0)+IF(DQ437="D",1,0)+IF(DW437="D",1,0)+IF(DZ437="D",1,0)+IF(EH437="D",1,0)</f>
        <v>0</v>
      </c>
      <c r="AY437" s="0" t="n">
        <f aca="false">COUNTIF(DU437:EH437, "&lt;&gt;")</f>
        <v>1</v>
      </c>
      <c r="AZ437" s="0" t="n">
        <f aca="false">IF(EH437&lt;&gt;"",1,0)</f>
        <v>0</v>
      </c>
      <c r="BB437" s="0" t="s">
        <v>152</v>
      </c>
      <c r="BL437" s="0" t="s">
        <v>153</v>
      </c>
      <c r="CP437" s="0" t="s">
        <v>153</v>
      </c>
      <c r="DN437" s="0" t="s">
        <v>153</v>
      </c>
      <c r="EF437" s="0" t="s">
        <v>153</v>
      </c>
    </row>
    <row r="438" customFormat="false" ht="13.8" hidden="true" customHeight="false" outlineLevel="0" collapsed="false">
      <c r="A438" s="0" t="s">
        <v>2384</v>
      </c>
      <c r="B438" s="0" t="n">
        <v>78</v>
      </c>
      <c r="C438" s="0" t="n">
        <v>439700</v>
      </c>
      <c r="D438" s="0" t="s">
        <v>2385</v>
      </c>
      <c r="E438" s="0" t="s">
        <v>1193</v>
      </c>
      <c r="F438" s="0" t="str">
        <f aca="false">CONCATENATE(D438," ",LEFT(H438,4),"T=",AU438,"D=",AV438,"R=",AW438,"M=",AX438,"L=",AY438,"B=",AZ438)</f>
        <v>DELL T=35D=1R=7M=0L=1B=0</v>
      </c>
      <c r="G438" s="0" t="s">
        <v>164</v>
      </c>
      <c r="I438" s="0" t="s">
        <v>2386</v>
      </c>
      <c r="J438" s="0" t="s">
        <v>2387</v>
      </c>
      <c r="K438" s="0" t="s">
        <v>160</v>
      </c>
      <c r="M438" s="0" t="s">
        <v>2388</v>
      </c>
      <c r="N438" s="0" t="str">
        <f aca="false">RIGHT(M438,LEN(M438)-FIND(" ",M438))</f>
        <v>DRAPER AVE SE</v>
      </c>
      <c r="P438" s="0" t="s">
        <v>145</v>
      </c>
      <c r="Q438" s="0" t="s">
        <v>146</v>
      </c>
      <c r="R438" s="0" t="n">
        <v>44484</v>
      </c>
      <c r="AD438" s="0" t="s">
        <v>147</v>
      </c>
      <c r="AE438" s="0" t="s">
        <v>148</v>
      </c>
      <c r="AF438" s="0" t="s">
        <v>149</v>
      </c>
      <c r="AH438" s="0" t="n">
        <v>14</v>
      </c>
      <c r="AI438" s="0" t="n">
        <v>11</v>
      </c>
      <c r="AN438" s="0" t="s">
        <v>145</v>
      </c>
      <c r="AO438" s="0" t="s">
        <v>233</v>
      </c>
      <c r="AP438" s="0" t="s">
        <v>234</v>
      </c>
      <c r="AQ438" s="0" t="n">
        <v>9</v>
      </c>
      <c r="AR438" s="0" t="n">
        <v>64</v>
      </c>
      <c r="AS438" s="0" t="n">
        <v>32</v>
      </c>
      <c r="AU438" s="0" t="n">
        <f aca="false">COUNTA($BA$2572:$EH$2572)</f>
        <v>35</v>
      </c>
      <c r="AV438" s="0" t="n">
        <f aca="false">COUNTIF($BA$2572:$EH$2572,"D")</f>
        <v>1</v>
      </c>
      <c r="AW438" s="0" t="n">
        <f aca="false">COUNTIF($BA$2572:$EH$2572,"R")</f>
        <v>7</v>
      </c>
      <c r="AX438" s="0" t="n">
        <f aca="false">IF(BN438="D",1,0)+IF(BO438="D",1,0)+IF(BT438="D",1,0)+IF(BU438="D",1,0)+IF(BW438="D",1,0)+IF(CC438="D",1,0)+IF(CD438="D",1,0)+IF(CE438="D",1,0)+IF(CF438="D",1,0)+IF(CL438="D",1,0)+IF(CM438="D",1,0)+IF(CQ438="D",1,0)+IF(CR438="D",1,0)+IF(CS438="D",1,0)+IF(CW438="D",1,0)+IF(CX438="D",1,0)+IF(DD438="D",1,0)+IF(DE438="D",1,0)+IF(DJ438="D",1,0)+IF(DK438="D",1,0)+IF(DO438="D",1,0)+IF(DP438="D",1,0)+IF(DQ438="D",1,0)+IF(DW438="D",1,0)+IF(DZ438="D",1,0)+IF(EH438="D",1,0)</f>
        <v>0</v>
      </c>
      <c r="AY438" s="0" t="n">
        <f aca="false">COUNTIF(DU438:EH438, "&lt;&gt;")</f>
        <v>1</v>
      </c>
      <c r="AZ438" s="0" t="n">
        <f aca="false">IF(EH438&lt;&gt;"",1,0)</f>
        <v>0</v>
      </c>
      <c r="BB438" s="0" t="s">
        <v>152</v>
      </c>
      <c r="DN438" s="0" t="s">
        <v>153</v>
      </c>
      <c r="EF438" s="0" t="s">
        <v>153</v>
      </c>
    </row>
    <row r="439" customFormat="false" ht="13.8" hidden="false" customHeight="false" outlineLevel="0" collapsed="false">
      <c r="A439" s="0" t="s">
        <v>2389</v>
      </c>
      <c r="B439" s="0" t="n">
        <v>78</v>
      </c>
      <c r="C439" s="0" t="n">
        <v>247046</v>
      </c>
      <c r="D439" s="0" t="s">
        <v>2390</v>
      </c>
      <c r="E439" s="0" t="s">
        <v>2391</v>
      </c>
      <c r="F439" s="0" t="str">
        <f aca="false">CONCATENATE(D439," ",LEFT(H439,4),"T=",AU439,"D=",AV439,"R=",AW439,"M=",AX439,"L=",AY439,"B=",AZ439)</f>
        <v>THORNTON T=7D=0R=1M=0L=4B=0</v>
      </c>
      <c r="G439" s="0" t="s">
        <v>2392</v>
      </c>
      <c r="I439" s="0" t="s">
        <v>2393</v>
      </c>
      <c r="J439" s="0" t="s">
        <v>2394</v>
      </c>
      <c r="K439" s="0" t="s">
        <v>160</v>
      </c>
      <c r="L439" s="0" t="s">
        <v>175</v>
      </c>
      <c r="M439" s="0" t="s">
        <v>2395</v>
      </c>
      <c r="N439" s="0" t="str">
        <f aca="false">RIGHT(M439,LEN(M439)-FIND(" ",M439))</f>
        <v>DRAPER AVE SE</v>
      </c>
      <c r="P439" s="0" t="s">
        <v>145</v>
      </c>
      <c r="Q439" s="0" t="s">
        <v>146</v>
      </c>
      <c r="R439" s="0" t="n">
        <v>44484</v>
      </c>
      <c r="AD439" s="0" t="s">
        <v>147</v>
      </c>
      <c r="AE439" s="0" t="s">
        <v>148</v>
      </c>
      <c r="AF439" s="0" t="s">
        <v>149</v>
      </c>
      <c r="AH439" s="0" t="n">
        <v>14</v>
      </c>
      <c r="AI439" s="0" t="n">
        <v>11</v>
      </c>
      <c r="AN439" s="0" t="s">
        <v>145</v>
      </c>
      <c r="AO439" s="0" t="s">
        <v>233</v>
      </c>
      <c r="AP439" s="0" t="s">
        <v>234</v>
      </c>
      <c r="AQ439" s="0" t="n">
        <v>9</v>
      </c>
      <c r="AR439" s="0" t="n">
        <v>64</v>
      </c>
      <c r="AS439" s="0" t="n">
        <v>32</v>
      </c>
      <c r="AU439" s="0" t="n">
        <f aca="false">COUNTA($BA$2496:$EH$2496)</f>
        <v>7</v>
      </c>
      <c r="AV439" s="0" t="n">
        <f aca="false">COUNTIF($BA$2496:$EH$2496,"D")</f>
        <v>0</v>
      </c>
      <c r="AW439" s="0" t="n">
        <f aca="false">COUNTIF($BA$2496:$EH$2496,"R")</f>
        <v>1</v>
      </c>
      <c r="AX439" s="0" t="n">
        <f aca="false">IF(BN439="D",1,0)+IF(BO439="D",1,0)+IF(BT439="D",1,0)+IF(BU439="D",1,0)+IF(BW439="D",1,0)+IF(CC439="D",1,0)+IF(CD439="D",1,0)+IF(CE439="D",1,0)+IF(CF439="D",1,0)+IF(CL439="D",1,0)+IF(CM439="D",1,0)+IF(CQ439="D",1,0)+IF(CR439="D",1,0)+IF(CS439="D",1,0)+IF(CW439="D",1,0)+IF(CX439="D",1,0)+IF(DD439="D",1,0)+IF(DE439="D",1,0)+IF(DJ439="D",1,0)+IF(DK439="D",1,0)+IF(DO439="D",1,0)+IF(DP439="D",1,0)+IF(DQ439="D",1,0)+IF(DW439="D",1,0)+IF(DZ439="D",1,0)+IF(EH439="D",1,0)</f>
        <v>0</v>
      </c>
      <c r="AY439" s="0" t="n">
        <f aca="false">COUNTIF(DU439:EH439, "&lt;&gt;")</f>
        <v>4</v>
      </c>
      <c r="AZ439" s="0" t="n">
        <f aca="false">IF(EH439&lt;&gt;"",1,0)</f>
        <v>0</v>
      </c>
      <c r="BB439" s="0" t="s">
        <v>152</v>
      </c>
      <c r="BD439" s="0" t="s">
        <v>153</v>
      </c>
      <c r="BL439" s="0" t="s">
        <v>153</v>
      </c>
      <c r="BY439" s="0" t="s">
        <v>175</v>
      </c>
      <c r="CA439" s="0" t="s">
        <v>153</v>
      </c>
      <c r="CO439" s="0" t="s">
        <v>175</v>
      </c>
      <c r="CP439" s="0" t="s">
        <v>153</v>
      </c>
      <c r="CZ439" s="0" t="s">
        <v>175</v>
      </c>
      <c r="DC439" s="0" t="s">
        <v>153</v>
      </c>
      <c r="DF439" s="0" t="s">
        <v>153</v>
      </c>
      <c r="DG439" s="0" t="s">
        <v>175</v>
      </c>
      <c r="DI439" s="0" t="s">
        <v>153</v>
      </c>
      <c r="DL439" s="0" t="s">
        <v>153</v>
      </c>
      <c r="DN439" s="0" t="s">
        <v>153</v>
      </c>
      <c r="DR439" s="0" t="s">
        <v>153</v>
      </c>
      <c r="DS439" s="0" t="s">
        <v>175</v>
      </c>
      <c r="DT439" s="0" t="s">
        <v>175</v>
      </c>
      <c r="DU439" s="0" t="s">
        <v>153</v>
      </c>
      <c r="DX439" s="0" t="s">
        <v>153</v>
      </c>
      <c r="EA439" s="0" t="s">
        <v>153</v>
      </c>
      <c r="EF439" s="0" t="s">
        <v>153</v>
      </c>
    </row>
    <row r="440" customFormat="false" ht="13.8" hidden="false" customHeight="false" outlineLevel="0" collapsed="false">
      <c r="A440" s="0" t="s">
        <v>2396</v>
      </c>
      <c r="B440" s="0" t="n">
        <v>78</v>
      </c>
      <c r="C440" s="0" t="n">
        <v>165209</v>
      </c>
      <c r="D440" s="0" t="s">
        <v>452</v>
      </c>
      <c r="E440" s="0" t="s">
        <v>558</v>
      </c>
      <c r="F440" s="0" t="str">
        <f aca="false">CONCATENATE(D440," ",LEFT(H440,4),"T=",AU440,"D=",AV440,"R=",AW440,"M=",AX440,"L=",AY440,"B=",AZ440)</f>
        <v>HOWARD T=3D=0R=0M=3L=6B=0</v>
      </c>
      <c r="I440" s="0" t="s">
        <v>2397</v>
      </c>
      <c r="J440" s="0" t="s">
        <v>2398</v>
      </c>
      <c r="K440" s="0" t="s">
        <v>160</v>
      </c>
      <c r="L440" s="0" t="s">
        <v>175</v>
      </c>
      <c r="M440" s="0" t="s">
        <v>2399</v>
      </c>
      <c r="N440" s="0" t="str">
        <f aca="false">RIGHT(M440,LEN(M440)-FIND(" ",M440))</f>
        <v>DRAPER AVE SE</v>
      </c>
      <c r="P440" s="0" t="s">
        <v>145</v>
      </c>
      <c r="Q440" s="0" t="s">
        <v>146</v>
      </c>
      <c r="R440" s="0" t="n">
        <v>44484</v>
      </c>
      <c r="AD440" s="0" t="s">
        <v>147</v>
      </c>
      <c r="AE440" s="0" t="s">
        <v>148</v>
      </c>
      <c r="AF440" s="0" t="s">
        <v>149</v>
      </c>
      <c r="AH440" s="0" t="n">
        <v>14</v>
      </c>
      <c r="AI440" s="0" t="n">
        <v>11</v>
      </c>
      <c r="AN440" s="0" t="s">
        <v>145</v>
      </c>
      <c r="AO440" s="0" t="s">
        <v>233</v>
      </c>
      <c r="AP440" s="0" t="s">
        <v>234</v>
      </c>
      <c r="AQ440" s="0" t="n">
        <v>9</v>
      </c>
      <c r="AR440" s="0" t="n">
        <v>64</v>
      </c>
      <c r="AS440" s="0" t="n">
        <v>32</v>
      </c>
      <c r="AU440" s="0" t="n">
        <f aca="false">COUNTA($BA$2152:$EH$2152)</f>
        <v>3</v>
      </c>
      <c r="AV440" s="0" t="n">
        <f aca="false">COUNTIF($BA$2152:$EH$2152,"D")</f>
        <v>0</v>
      </c>
      <c r="AW440" s="0" t="n">
        <f aca="false">COUNTIF($BA$2152:$EH$2152,"R")</f>
        <v>0</v>
      </c>
      <c r="AX440" s="0" t="n">
        <f aca="false">IF(BN440="D",1,0)+IF(BO440="D",1,0)+IF(BT440="D",1,0)+IF(BU440="D",1,0)+IF(BW440="D",1,0)+IF(CC440="D",1,0)+IF(CD440="D",1,0)+IF(CE440="D",1,0)+IF(CF440="D",1,0)+IF(CL440="D",1,0)+IF(CM440="D",1,0)+IF(CQ440="D",1,0)+IF(CR440="D",1,0)+IF(CS440="D",1,0)+IF(CW440="D",1,0)+IF(CX440="D",1,0)+IF(DD440="D",1,0)+IF(DE440="D",1,0)+IF(DJ440="D",1,0)+IF(DK440="D",1,0)+IF(DO440="D",1,0)+IF(DP440="D",1,0)+IF(DQ440="D",1,0)+IF(DW440="D",1,0)+IF(DZ440="D",1,0)+IF(EH440="D",1,0)</f>
        <v>3</v>
      </c>
      <c r="AY440" s="0" t="n">
        <f aca="false">COUNTIF(DU440:EH440, "&lt;&gt;")</f>
        <v>6</v>
      </c>
      <c r="AZ440" s="0" t="n">
        <f aca="false">IF(EH440&lt;&gt;"",1,0)</f>
        <v>0</v>
      </c>
      <c r="BB440" s="0" t="s">
        <v>152</v>
      </c>
      <c r="BC440" s="0" t="s">
        <v>153</v>
      </c>
      <c r="BD440" s="0" t="s">
        <v>153</v>
      </c>
      <c r="BF440" s="0" t="s">
        <v>153</v>
      </c>
      <c r="BJ440" s="0" t="s">
        <v>153</v>
      </c>
      <c r="BL440" s="0" t="s">
        <v>153</v>
      </c>
      <c r="BS440" s="0" t="s">
        <v>153</v>
      </c>
      <c r="BY440" s="0" t="s">
        <v>175</v>
      </c>
      <c r="CA440" s="0" t="s">
        <v>153</v>
      </c>
      <c r="CK440" s="0" t="s">
        <v>153</v>
      </c>
      <c r="CN440" s="0" t="s">
        <v>153</v>
      </c>
      <c r="CP440" s="0" t="s">
        <v>153</v>
      </c>
      <c r="CW440" s="0" t="s">
        <v>175</v>
      </c>
      <c r="CY440" s="0" t="s">
        <v>153</v>
      </c>
      <c r="CZ440" s="0" t="s">
        <v>175</v>
      </c>
      <c r="DC440" s="0" t="s">
        <v>153</v>
      </c>
      <c r="DF440" s="0" t="s">
        <v>153</v>
      </c>
      <c r="DI440" s="0" t="s">
        <v>153</v>
      </c>
      <c r="DJ440" s="0" t="s">
        <v>175</v>
      </c>
      <c r="DL440" s="0" t="s">
        <v>153</v>
      </c>
      <c r="DN440" s="0" t="s">
        <v>153</v>
      </c>
      <c r="DR440" s="0" t="s">
        <v>153</v>
      </c>
      <c r="DU440" s="0" t="s">
        <v>153</v>
      </c>
      <c r="DW440" s="0" t="s">
        <v>175</v>
      </c>
      <c r="DX440" s="0" t="s">
        <v>153</v>
      </c>
      <c r="EA440" s="0" t="s">
        <v>153</v>
      </c>
      <c r="ED440" s="0" t="s">
        <v>175</v>
      </c>
      <c r="EF440" s="0" t="s">
        <v>153</v>
      </c>
    </row>
    <row r="441" customFormat="false" ht="13.8" hidden="false" customHeight="false" outlineLevel="0" collapsed="false">
      <c r="A441" s="0" t="s">
        <v>2400</v>
      </c>
      <c r="B441" s="0" t="n">
        <v>78</v>
      </c>
      <c r="C441" s="0" t="n">
        <v>202557</v>
      </c>
      <c r="D441" s="0" t="s">
        <v>527</v>
      </c>
      <c r="E441" s="0" t="s">
        <v>2401</v>
      </c>
      <c r="F441" s="0" t="str">
        <f aca="false">CONCATENATE(D441," ",LEFT(H441,4),"T=",AU441,"D=",AV441,"R=",AW441,"M=",AX441,"L=",AY441,"B=",AZ441)</f>
        <v>BAUGH T=4D=0R=0M=5L=7B=1</v>
      </c>
      <c r="G441" s="0" t="s">
        <v>325</v>
      </c>
      <c r="I441" s="0" t="s">
        <v>2402</v>
      </c>
      <c r="J441" s="0" t="s">
        <v>2403</v>
      </c>
      <c r="K441" s="0" t="s">
        <v>160</v>
      </c>
      <c r="L441" s="0" t="s">
        <v>175</v>
      </c>
      <c r="M441" s="0" t="s">
        <v>2404</v>
      </c>
      <c r="N441" s="0" t="str">
        <f aca="false">RIGHT(M441,LEN(M441)-FIND(" ",M441))</f>
        <v>DRAPER AVE SE</v>
      </c>
      <c r="P441" s="0" t="s">
        <v>145</v>
      </c>
      <c r="Q441" s="0" t="s">
        <v>146</v>
      </c>
      <c r="R441" s="0" t="n">
        <v>44484</v>
      </c>
      <c r="AD441" s="0" t="s">
        <v>147</v>
      </c>
      <c r="AE441" s="0" t="s">
        <v>148</v>
      </c>
      <c r="AF441" s="0" t="s">
        <v>149</v>
      </c>
      <c r="AH441" s="0" t="n">
        <v>14</v>
      </c>
      <c r="AI441" s="0" t="n">
        <v>11</v>
      </c>
      <c r="AN441" s="0" t="s">
        <v>145</v>
      </c>
      <c r="AO441" s="0" t="s">
        <v>233</v>
      </c>
      <c r="AP441" s="0" t="s">
        <v>234</v>
      </c>
      <c r="AQ441" s="0" t="n">
        <v>9</v>
      </c>
      <c r="AR441" s="0" t="n">
        <v>64</v>
      </c>
      <c r="AS441" s="0" t="n">
        <v>32</v>
      </c>
      <c r="AU441" s="0" t="n">
        <f aca="false">COUNTA($BA$2121:$EH$2121)</f>
        <v>4</v>
      </c>
      <c r="AV441" s="0" t="n">
        <f aca="false">COUNTIF($BA$2121:$EH$2121,"D")</f>
        <v>0</v>
      </c>
      <c r="AW441" s="0" t="n">
        <f aca="false">COUNTIF($BA$2121:$EH$2121,"R")</f>
        <v>0</v>
      </c>
      <c r="AX441" s="0" t="n">
        <f aca="false">IF(BN441="D",1,0)+IF(BO441="D",1,0)+IF(BT441="D",1,0)+IF(BU441="D",1,0)+IF(BW441="D",1,0)+IF(CC441="D",1,0)+IF(CD441="D",1,0)+IF(CE441="D",1,0)+IF(CF441="D",1,0)+IF(CL441="D",1,0)+IF(CM441="D",1,0)+IF(CQ441="D",1,0)+IF(CR441="D",1,0)+IF(CS441="D",1,0)+IF(CW441="D",1,0)+IF(CX441="D",1,0)+IF(DD441="D",1,0)+IF(DE441="D",1,0)+IF(DJ441="D",1,0)+IF(DK441="D",1,0)+IF(DO441="D",1,0)+IF(DP441="D",1,0)+IF(DQ441="D",1,0)+IF(DW441="D",1,0)+IF(DZ441="D",1,0)+IF(EH441="D",1,0)</f>
        <v>5</v>
      </c>
      <c r="AY441" s="0" t="n">
        <f aca="false">COUNTIF(DU441:EH441, "&lt;&gt;")</f>
        <v>7</v>
      </c>
      <c r="AZ441" s="0" t="n">
        <f aca="false">IF(EH441&lt;&gt;"",1,0)</f>
        <v>1</v>
      </c>
      <c r="BB441" s="0" t="s">
        <v>152</v>
      </c>
      <c r="BC441" s="0" t="s">
        <v>153</v>
      </c>
      <c r="BD441" s="0" t="s">
        <v>153</v>
      </c>
      <c r="BG441" s="0" t="s">
        <v>153</v>
      </c>
      <c r="BJ441" s="0" t="s">
        <v>153</v>
      </c>
      <c r="BL441" s="0" t="s">
        <v>153</v>
      </c>
      <c r="BR441" s="0" t="s">
        <v>153</v>
      </c>
      <c r="BS441" s="0" t="s">
        <v>153</v>
      </c>
      <c r="BY441" s="0" t="s">
        <v>175</v>
      </c>
      <c r="CA441" s="0" t="s">
        <v>153</v>
      </c>
      <c r="CL441" s="0" t="s">
        <v>175</v>
      </c>
      <c r="CN441" s="0" t="s">
        <v>153</v>
      </c>
      <c r="CP441" s="0" t="s">
        <v>153</v>
      </c>
      <c r="CV441" s="0" t="s">
        <v>153</v>
      </c>
      <c r="CW441" s="0" t="s">
        <v>175</v>
      </c>
      <c r="CY441" s="0" t="s">
        <v>153</v>
      </c>
      <c r="CZ441" s="0" t="s">
        <v>175</v>
      </c>
      <c r="DC441" s="0" t="s">
        <v>153</v>
      </c>
      <c r="DF441" s="0" t="s">
        <v>153</v>
      </c>
      <c r="DG441" s="0" t="s">
        <v>175</v>
      </c>
      <c r="DI441" s="0" t="s">
        <v>153</v>
      </c>
      <c r="DJ441" s="0" t="s">
        <v>175</v>
      </c>
      <c r="DL441" s="0" t="s">
        <v>153</v>
      </c>
      <c r="DN441" s="0" t="s">
        <v>153</v>
      </c>
      <c r="DS441" s="0" t="s">
        <v>175</v>
      </c>
      <c r="DU441" s="0" t="s">
        <v>153</v>
      </c>
      <c r="DW441" s="0" t="s">
        <v>175</v>
      </c>
      <c r="DX441" s="0" t="s">
        <v>153</v>
      </c>
      <c r="EA441" s="0" t="s">
        <v>153</v>
      </c>
      <c r="ED441" s="0" t="s">
        <v>175</v>
      </c>
      <c r="EF441" s="0" t="s">
        <v>153</v>
      </c>
      <c r="EH441" s="0" t="s">
        <v>175</v>
      </c>
    </row>
    <row r="442" customFormat="false" ht="13.8" hidden="false" customHeight="false" outlineLevel="0" collapsed="false">
      <c r="A442" s="0" t="s">
        <v>2405</v>
      </c>
      <c r="B442" s="0" t="n">
        <v>78</v>
      </c>
      <c r="C442" s="0" t="n">
        <v>367904</v>
      </c>
      <c r="D442" s="0" t="s">
        <v>2406</v>
      </c>
      <c r="E442" s="0" t="s">
        <v>2407</v>
      </c>
      <c r="F442" s="0" t="str">
        <f aca="false">CONCATENATE(D442," ",LEFT(H442,4),"T=",AU442,"D=",AV442,"R=",AW442,"M=",AX442,"L=",AY442,"B=",AZ442)</f>
        <v>WALTERS SRT=14D=2R=0M=2L=5B=0</v>
      </c>
      <c r="G442" s="0" t="s">
        <v>2408</v>
      </c>
      <c r="H442" s="0" t="s">
        <v>216</v>
      </c>
      <c r="I442" s="0" t="s">
        <v>2409</v>
      </c>
      <c r="J442" s="0" t="s">
        <v>2410</v>
      </c>
      <c r="K442" s="0" t="s">
        <v>160</v>
      </c>
      <c r="L442" s="0" t="s">
        <v>175</v>
      </c>
      <c r="M442" s="0" t="s">
        <v>2404</v>
      </c>
      <c r="N442" s="0" t="str">
        <f aca="false">RIGHT(M442,LEN(M442)-FIND(" ",M442))</f>
        <v>DRAPER AVE SE</v>
      </c>
      <c r="P442" s="0" t="s">
        <v>145</v>
      </c>
      <c r="Q442" s="0" t="s">
        <v>146</v>
      </c>
      <c r="R442" s="0" t="n">
        <v>44484</v>
      </c>
      <c r="AD442" s="0" t="s">
        <v>147</v>
      </c>
      <c r="AE442" s="0" t="s">
        <v>148</v>
      </c>
      <c r="AF442" s="0" t="s">
        <v>149</v>
      </c>
      <c r="AH442" s="0" t="n">
        <v>14</v>
      </c>
      <c r="AI442" s="0" t="n">
        <v>11</v>
      </c>
      <c r="AN442" s="0" t="s">
        <v>145</v>
      </c>
      <c r="AO442" s="0" t="s">
        <v>233</v>
      </c>
      <c r="AP442" s="0" t="s">
        <v>234</v>
      </c>
      <c r="AQ442" s="0" t="n">
        <v>9</v>
      </c>
      <c r="AR442" s="0" t="n">
        <v>64</v>
      </c>
      <c r="AS442" s="0" t="n">
        <v>32</v>
      </c>
      <c r="AU442" s="0" t="n">
        <f aca="false">COUNTA($BA$2367:$EH$2367)</f>
        <v>14</v>
      </c>
      <c r="AV442" s="0" t="n">
        <f aca="false">COUNTIF($BA$2367:$EH$2367,"D")</f>
        <v>2</v>
      </c>
      <c r="AW442" s="0" t="n">
        <f aca="false">COUNTIF($BA$2367:$EH$2367,"R")</f>
        <v>0</v>
      </c>
      <c r="AX442" s="0" t="n">
        <f aca="false">IF(BN442="D",1,0)+IF(BO442="D",1,0)+IF(BT442="D",1,0)+IF(BU442="D",1,0)+IF(BW442="D",1,0)+IF(CC442="D",1,0)+IF(CD442="D",1,0)+IF(CE442="D",1,0)+IF(CF442="D",1,0)+IF(CL442="D",1,0)+IF(CM442="D",1,0)+IF(CQ442="D",1,0)+IF(CR442="D",1,0)+IF(CS442="D",1,0)+IF(CW442="D",1,0)+IF(CX442="D",1,0)+IF(DD442="D",1,0)+IF(DE442="D",1,0)+IF(DJ442="D",1,0)+IF(DK442="D",1,0)+IF(DO442="D",1,0)+IF(DP442="D",1,0)+IF(DQ442="D",1,0)+IF(DW442="D",1,0)+IF(DZ442="D",1,0)+IF(EH442="D",1,0)</f>
        <v>2</v>
      </c>
      <c r="AY442" s="0" t="n">
        <f aca="false">COUNTIF(DU442:EH442, "&lt;&gt;")</f>
        <v>5</v>
      </c>
      <c r="AZ442" s="0" t="n">
        <f aca="false">IF(EH442&lt;&gt;"",1,0)</f>
        <v>0</v>
      </c>
      <c r="BB442" s="0" t="s">
        <v>152</v>
      </c>
      <c r="BD442" s="0" t="s">
        <v>153</v>
      </c>
      <c r="BF442" s="0" t="s">
        <v>153</v>
      </c>
      <c r="BI442" s="0" t="s">
        <v>153</v>
      </c>
      <c r="BJ442" s="0" t="s">
        <v>153</v>
      </c>
      <c r="BL442" s="0" t="s">
        <v>153</v>
      </c>
      <c r="BY442" s="0" t="s">
        <v>175</v>
      </c>
      <c r="CK442" s="0" t="s">
        <v>153</v>
      </c>
      <c r="CL442" s="0" t="s">
        <v>175</v>
      </c>
      <c r="CN442" s="0" t="s">
        <v>153</v>
      </c>
      <c r="CP442" s="0" t="s">
        <v>153</v>
      </c>
      <c r="CU442" s="0" t="s">
        <v>175</v>
      </c>
      <c r="CY442" s="0" t="s">
        <v>153</v>
      </c>
      <c r="CZ442" s="0" t="s">
        <v>175</v>
      </c>
      <c r="DC442" s="0" t="s">
        <v>153</v>
      </c>
      <c r="DI442" s="0" t="s">
        <v>153</v>
      </c>
      <c r="DL442" s="0" t="s">
        <v>153</v>
      </c>
      <c r="DN442" s="0" t="s">
        <v>153</v>
      </c>
      <c r="DS442" s="0" t="s">
        <v>175</v>
      </c>
      <c r="DU442" s="0" t="s">
        <v>153</v>
      </c>
      <c r="DW442" s="0" t="s">
        <v>175</v>
      </c>
      <c r="DX442" s="0" t="s">
        <v>153</v>
      </c>
      <c r="EA442" s="0" t="s">
        <v>153</v>
      </c>
      <c r="EF442" s="0" t="s">
        <v>153</v>
      </c>
    </row>
    <row r="443" customFormat="false" ht="13.8" hidden="false" customHeight="false" outlineLevel="0" collapsed="false">
      <c r="A443" s="0" t="s">
        <v>2411</v>
      </c>
      <c r="B443" s="0" t="n">
        <v>78</v>
      </c>
      <c r="C443" s="0" t="n">
        <v>413754</v>
      </c>
      <c r="D443" s="0" t="s">
        <v>2412</v>
      </c>
      <c r="E443" s="0" t="s">
        <v>2413</v>
      </c>
      <c r="F443" s="0" t="str">
        <f aca="false">CONCATENATE(D443," ",LEFT(H443,4),"T=",AU443,"D=",AV443,"R=",AW443,"M=",AX443,"L=",AY443,"B=",AZ443)</f>
        <v>NORMAN T=14D=6R=0M=1L=5B=0</v>
      </c>
      <c r="G443" s="0" t="s">
        <v>209</v>
      </c>
      <c r="I443" s="0" t="s">
        <v>2414</v>
      </c>
      <c r="J443" s="0" t="s">
        <v>2415</v>
      </c>
      <c r="K443" s="0" t="s">
        <v>160</v>
      </c>
      <c r="L443" s="0" t="s">
        <v>175</v>
      </c>
      <c r="M443" s="0" t="s">
        <v>2416</v>
      </c>
      <c r="N443" s="0" t="str">
        <f aca="false">RIGHT(M443,LEN(M443)-FIND(" ",M443))</f>
        <v>DRAPER AVE SE</v>
      </c>
      <c r="P443" s="0" t="s">
        <v>145</v>
      </c>
      <c r="Q443" s="0" t="s">
        <v>146</v>
      </c>
      <c r="R443" s="0" t="n">
        <v>44484</v>
      </c>
      <c r="AD443" s="0" t="s">
        <v>147</v>
      </c>
      <c r="AE443" s="0" t="s">
        <v>148</v>
      </c>
      <c r="AF443" s="0" t="s">
        <v>149</v>
      </c>
      <c r="AH443" s="0" t="n">
        <v>14</v>
      </c>
      <c r="AI443" s="0" t="n">
        <v>11</v>
      </c>
      <c r="AN443" s="0" t="s">
        <v>145</v>
      </c>
      <c r="AO443" s="0" t="s">
        <v>233</v>
      </c>
      <c r="AP443" s="0" t="s">
        <v>234</v>
      </c>
      <c r="AQ443" s="0" t="n">
        <v>9</v>
      </c>
      <c r="AR443" s="0" t="n">
        <v>64</v>
      </c>
      <c r="AS443" s="0" t="n">
        <v>32</v>
      </c>
      <c r="AU443" s="0" t="n">
        <f aca="false">COUNTA($BA$2564:$EH$2564)</f>
        <v>14</v>
      </c>
      <c r="AV443" s="0" t="n">
        <f aca="false">COUNTIF($BA$2564:$EH$2564,"D")</f>
        <v>6</v>
      </c>
      <c r="AW443" s="0" t="n">
        <f aca="false">COUNTIF($BA$2564:$EH$2564,"R")</f>
        <v>0</v>
      </c>
      <c r="AX443" s="0" t="n">
        <f aca="false">IF(BN443="D",1,0)+IF(BO443="D",1,0)+IF(BT443="D",1,0)+IF(BU443="D",1,0)+IF(BW443="D",1,0)+IF(CC443="D",1,0)+IF(CD443="D",1,0)+IF(CE443="D",1,0)+IF(CF443="D",1,0)+IF(CL443="D",1,0)+IF(CM443="D",1,0)+IF(CQ443="D",1,0)+IF(CR443="D",1,0)+IF(CS443="D",1,0)+IF(CW443="D",1,0)+IF(CX443="D",1,0)+IF(DD443="D",1,0)+IF(DE443="D",1,0)+IF(DJ443="D",1,0)+IF(DK443="D",1,0)+IF(DO443="D",1,0)+IF(DP443="D",1,0)+IF(DQ443="D",1,0)+IF(DW443="D",1,0)+IF(DZ443="D",1,0)+IF(EH443="D",1,0)</f>
        <v>1</v>
      </c>
      <c r="AY443" s="0" t="n">
        <f aca="false">COUNTIF(DU443:EH443, "&lt;&gt;")</f>
        <v>5</v>
      </c>
      <c r="AZ443" s="0" t="n">
        <f aca="false">IF(EH443&lt;&gt;"",1,0)</f>
        <v>0</v>
      </c>
      <c r="BB443" s="0" t="s">
        <v>152</v>
      </c>
      <c r="CO443" s="0" t="s">
        <v>175</v>
      </c>
      <c r="CP443" s="0" t="s">
        <v>153</v>
      </c>
      <c r="CV443" s="0" t="s">
        <v>153</v>
      </c>
      <c r="CY443" s="0" t="s">
        <v>153</v>
      </c>
      <c r="CZ443" s="0" t="s">
        <v>175</v>
      </c>
      <c r="DC443" s="0" t="s">
        <v>153</v>
      </c>
      <c r="DG443" s="0" t="s">
        <v>175</v>
      </c>
      <c r="DI443" s="0" t="s">
        <v>153</v>
      </c>
      <c r="DN443" s="0" t="s">
        <v>153</v>
      </c>
      <c r="DU443" s="0" t="s">
        <v>153</v>
      </c>
      <c r="DW443" s="0" t="s">
        <v>175</v>
      </c>
      <c r="DX443" s="0" t="s">
        <v>153</v>
      </c>
      <c r="EA443" s="0" t="s">
        <v>153</v>
      </c>
      <c r="EF443" s="0" t="s">
        <v>153</v>
      </c>
    </row>
    <row r="444" customFormat="false" ht="13.8" hidden="true" customHeight="false" outlineLevel="0" collapsed="false">
      <c r="A444" s="0" t="s">
        <v>2417</v>
      </c>
      <c r="B444" s="0" t="n">
        <v>78</v>
      </c>
      <c r="C444" s="0" t="n">
        <v>239774</v>
      </c>
      <c r="D444" s="0" t="s">
        <v>193</v>
      </c>
      <c r="E444" s="0" t="s">
        <v>1635</v>
      </c>
      <c r="F444" s="0" t="str">
        <f aca="false">CONCATENATE(D444," ",LEFT(H444,4),"T=",AU444,"D=",AV444,"R=",AW444,"M=",AX444,"L=",AY444,"B=",AZ444)</f>
        <v>MORGAN T=1D=0R=0M=0L=0B=0</v>
      </c>
      <c r="I444" s="0" t="s">
        <v>1078</v>
      </c>
      <c r="J444" s="0" t="s">
        <v>1539</v>
      </c>
      <c r="K444" s="0" t="s">
        <v>143</v>
      </c>
      <c r="M444" s="0" t="s">
        <v>2418</v>
      </c>
      <c r="N444" s="0" t="str">
        <f aca="false">RIGHT(M444,LEN(M444)-FIND(" ",M444))</f>
        <v>DRAPER AVE SE</v>
      </c>
      <c r="P444" s="0" t="s">
        <v>145</v>
      </c>
      <c r="Q444" s="0" t="s">
        <v>146</v>
      </c>
      <c r="R444" s="0" t="n">
        <v>44484</v>
      </c>
      <c r="AD444" s="0" t="s">
        <v>147</v>
      </c>
      <c r="AE444" s="0" t="s">
        <v>148</v>
      </c>
      <c r="AF444" s="0" t="s">
        <v>149</v>
      </c>
      <c r="AH444" s="0" t="n">
        <v>14</v>
      </c>
      <c r="AI444" s="0" t="n">
        <v>11</v>
      </c>
      <c r="AN444" s="0" t="s">
        <v>145</v>
      </c>
      <c r="AO444" s="0" t="s">
        <v>233</v>
      </c>
      <c r="AP444" s="0" t="s">
        <v>234</v>
      </c>
      <c r="AQ444" s="0" t="n">
        <v>9</v>
      </c>
      <c r="AR444" s="0" t="n">
        <v>64</v>
      </c>
      <c r="AS444" s="0" t="n">
        <v>32</v>
      </c>
      <c r="AU444" s="0" t="n">
        <f aca="false">COUNTA($BA$2092:$EH$2092)</f>
        <v>1</v>
      </c>
      <c r="AV444" s="0" t="n">
        <f aca="false">COUNTIF($BA$2092:$EH$2092,"D")</f>
        <v>0</v>
      </c>
      <c r="AW444" s="0" t="n">
        <f aca="false">COUNTIF($BA$2092:$EH$2092,"R")</f>
        <v>0</v>
      </c>
      <c r="AX444" s="0" t="n">
        <f aca="false">IF(BN444="D",1,0)+IF(BO444="D",1,0)+IF(BT444="D",1,0)+IF(BU444="D",1,0)+IF(BW444="D",1,0)+IF(CC444="D",1,0)+IF(CD444="D",1,0)+IF(CE444="D",1,0)+IF(CF444="D",1,0)+IF(CL444="D",1,0)+IF(CM444="D",1,0)+IF(CQ444="D",1,0)+IF(CR444="D",1,0)+IF(CS444="D",1,0)+IF(CW444="D",1,0)+IF(CX444="D",1,0)+IF(DD444="D",1,0)+IF(DE444="D",1,0)+IF(DJ444="D",1,0)+IF(DK444="D",1,0)+IF(DO444="D",1,0)+IF(DP444="D",1,0)+IF(DQ444="D",1,0)+IF(DW444="D",1,0)+IF(DZ444="D",1,0)+IF(EH444="D",1,0)</f>
        <v>0</v>
      </c>
      <c r="AY444" s="0" t="n">
        <f aca="false">COUNTIF(DU444:EH444, "&lt;&gt;")</f>
        <v>0</v>
      </c>
      <c r="AZ444" s="0" t="n">
        <f aca="false">IF(EH444&lt;&gt;"",1,0)</f>
        <v>0</v>
      </c>
      <c r="BB444" s="0" t="s">
        <v>152</v>
      </c>
      <c r="BD444" s="0" t="s">
        <v>153</v>
      </c>
      <c r="BL444" s="0" t="s">
        <v>153</v>
      </c>
      <c r="BY444" s="0" t="s">
        <v>175</v>
      </c>
      <c r="CA444" s="0" t="s">
        <v>153</v>
      </c>
      <c r="CK444" s="0" t="s">
        <v>153</v>
      </c>
      <c r="CP444" s="0" t="s">
        <v>153</v>
      </c>
      <c r="DC444" s="0" t="s">
        <v>153</v>
      </c>
      <c r="DI444" s="0" t="s">
        <v>153</v>
      </c>
      <c r="DN444" s="0" t="s">
        <v>153</v>
      </c>
    </row>
    <row r="445" customFormat="false" ht="13.8" hidden="true" customHeight="false" outlineLevel="0" collapsed="false">
      <c r="A445" s="0" t="s">
        <v>2419</v>
      </c>
      <c r="B445" s="0" t="n">
        <v>78</v>
      </c>
      <c r="C445" s="0" t="n">
        <v>410707</v>
      </c>
      <c r="D445" s="0" t="s">
        <v>2420</v>
      </c>
      <c r="E445" s="0" t="s">
        <v>215</v>
      </c>
      <c r="F445" s="0" t="str">
        <f aca="false">CONCATENATE(D445," ",LEFT(H445,4),"T=",AU445,"D=",AV445,"R=",AW445,"M=",AX445,"L=",AY445,"B=",AZ445)</f>
        <v>JENKINS T=2D=0R=0M=0L=0B=0</v>
      </c>
      <c r="G445" s="0" t="s">
        <v>307</v>
      </c>
      <c r="I445" s="0" t="s">
        <v>2421</v>
      </c>
      <c r="J445" s="0" t="s">
        <v>1038</v>
      </c>
      <c r="K445" s="0" t="s">
        <v>160</v>
      </c>
      <c r="M445" s="0" t="s">
        <v>2418</v>
      </c>
      <c r="N445" s="0" t="str">
        <f aca="false">RIGHT(M445,LEN(M445)-FIND(" ",M445))</f>
        <v>DRAPER AVE SE</v>
      </c>
      <c r="P445" s="0" t="s">
        <v>145</v>
      </c>
      <c r="Q445" s="0" t="s">
        <v>146</v>
      </c>
      <c r="R445" s="0" t="n">
        <v>44484</v>
      </c>
      <c r="AD445" s="0" t="s">
        <v>147</v>
      </c>
      <c r="AE445" s="0" t="s">
        <v>148</v>
      </c>
      <c r="AF445" s="0" t="s">
        <v>149</v>
      </c>
      <c r="AH445" s="0" t="n">
        <v>14</v>
      </c>
      <c r="AI445" s="0" t="n">
        <v>11</v>
      </c>
      <c r="AN445" s="0" t="s">
        <v>145</v>
      </c>
      <c r="AO445" s="0" t="s">
        <v>233</v>
      </c>
      <c r="AP445" s="0" t="s">
        <v>234</v>
      </c>
      <c r="AQ445" s="0" t="n">
        <v>9</v>
      </c>
      <c r="AR445" s="0" t="n">
        <v>64</v>
      </c>
      <c r="AS445" s="0" t="n">
        <v>32</v>
      </c>
      <c r="AU445" s="0" t="n">
        <f aca="false">COUNTA($BA$2538:$EH$2538)</f>
        <v>2</v>
      </c>
      <c r="AV445" s="0" t="n">
        <f aca="false">COUNTIF($BA$2538:$EH$2538,"D")</f>
        <v>0</v>
      </c>
      <c r="AW445" s="0" t="n">
        <f aca="false">COUNTIF($BA$2538:$EH$2538,"R")</f>
        <v>0</v>
      </c>
      <c r="AX445" s="0" t="n">
        <f aca="false">IF(BN445="D",1,0)+IF(BO445="D",1,0)+IF(BT445="D",1,0)+IF(BU445="D",1,0)+IF(BW445="D",1,0)+IF(CC445="D",1,0)+IF(CD445="D",1,0)+IF(CE445="D",1,0)+IF(CF445="D",1,0)+IF(CL445="D",1,0)+IF(CM445="D",1,0)+IF(CQ445="D",1,0)+IF(CR445="D",1,0)+IF(CS445="D",1,0)+IF(CW445="D",1,0)+IF(CX445="D",1,0)+IF(DD445="D",1,0)+IF(DE445="D",1,0)+IF(DJ445="D",1,0)+IF(DK445="D",1,0)+IF(DO445="D",1,0)+IF(DP445="D",1,0)+IF(DQ445="D",1,0)+IF(DW445="D",1,0)+IF(DZ445="D",1,0)+IF(EH445="D",1,0)</f>
        <v>0</v>
      </c>
      <c r="AY445" s="0" t="n">
        <f aca="false">COUNTIF(DU445:EH445, "&lt;&gt;")</f>
        <v>0</v>
      </c>
      <c r="AZ445" s="0" t="n">
        <f aca="false">IF(EH445&lt;&gt;"",1,0)</f>
        <v>0</v>
      </c>
      <c r="BB445" s="0" t="s">
        <v>152</v>
      </c>
    </row>
    <row r="446" customFormat="false" ht="13.8" hidden="true" customHeight="false" outlineLevel="0" collapsed="false">
      <c r="A446" s="0" t="s">
        <v>2422</v>
      </c>
      <c r="B446" s="0" t="n">
        <v>78</v>
      </c>
      <c r="C446" s="0" t="n">
        <v>19507</v>
      </c>
      <c r="D446" s="0" t="s">
        <v>784</v>
      </c>
      <c r="E446" s="0" t="s">
        <v>2423</v>
      </c>
      <c r="F446" s="0" t="str">
        <f aca="false">CONCATENATE(D446," ",LEFT(H446,4),"T=",AU446,"D=",AV446,"R=",AW446,"M=",AX446,"L=",AY446,"B=",AZ446)</f>
        <v>BUTLER T=9D=0R=0M=1L=0B=0</v>
      </c>
      <c r="I446" s="0" t="s">
        <v>2424</v>
      </c>
      <c r="J446" s="0" t="s">
        <v>2425</v>
      </c>
      <c r="K446" s="0" t="s">
        <v>143</v>
      </c>
      <c r="M446" s="0" t="s">
        <v>2426</v>
      </c>
      <c r="N446" s="0" t="str">
        <f aca="false">RIGHT(M446,LEN(M446)-FIND(" ",M446))</f>
        <v>DRAPER AVE SE</v>
      </c>
      <c r="P446" s="0" t="s">
        <v>145</v>
      </c>
      <c r="Q446" s="0" t="s">
        <v>146</v>
      </c>
      <c r="R446" s="0" t="n">
        <v>44484</v>
      </c>
      <c r="AD446" s="0" t="s">
        <v>147</v>
      </c>
      <c r="AE446" s="0" t="s">
        <v>148</v>
      </c>
      <c r="AF446" s="0" t="s">
        <v>149</v>
      </c>
      <c r="AH446" s="0" t="n">
        <v>14</v>
      </c>
      <c r="AI446" s="0" t="n">
        <v>11</v>
      </c>
      <c r="AN446" s="0" t="s">
        <v>145</v>
      </c>
      <c r="AO446" s="0" t="s">
        <v>233</v>
      </c>
      <c r="AP446" s="0" t="s">
        <v>234</v>
      </c>
      <c r="AQ446" s="0" t="n">
        <v>9</v>
      </c>
      <c r="AR446" s="0" t="n">
        <v>64</v>
      </c>
      <c r="AS446" s="0" t="n">
        <v>32</v>
      </c>
      <c r="AU446" s="0" t="n">
        <f aca="false">COUNTA($BA$2373:$EH$2373)</f>
        <v>9</v>
      </c>
      <c r="AV446" s="0" t="n">
        <f aca="false">COUNTIF($BA$2373:$EH$2373,"D")</f>
        <v>0</v>
      </c>
      <c r="AW446" s="0" t="n">
        <f aca="false">COUNTIF($BA$2373:$EH$2373,"R")</f>
        <v>0</v>
      </c>
      <c r="AX446" s="0" t="n">
        <f aca="false">IF(BN446="D",1,0)+IF(BO446="D",1,0)+IF(BT446="D",1,0)+IF(BU446="D",1,0)+IF(BW446="D",1,0)+IF(CC446="D",1,0)+IF(CD446="D",1,0)+IF(CE446="D",1,0)+IF(CF446="D",1,0)+IF(CL446="D",1,0)+IF(CM446="D",1,0)+IF(CQ446="D",1,0)+IF(CR446="D",1,0)+IF(CS446="D",1,0)+IF(CW446="D",1,0)+IF(CX446="D",1,0)+IF(DD446="D",1,0)+IF(DE446="D",1,0)+IF(DJ446="D",1,0)+IF(DK446="D",1,0)+IF(DO446="D",1,0)+IF(DP446="D",1,0)+IF(DQ446="D",1,0)+IF(DW446="D",1,0)+IF(DZ446="D",1,0)+IF(EH446="D",1,0)</f>
        <v>1</v>
      </c>
      <c r="AY446" s="0" t="n">
        <f aca="false">COUNTIF(DU446:EH446, "&lt;&gt;")</f>
        <v>0</v>
      </c>
      <c r="AZ446" s="0" t="n">
        <f aca="false">IF(EH446&lt;&gt;"",1,0)</f>
        <v>0</v>
      </c>
      <c r="BB446" s="0" t="s">
        <v>152</v>
      </c>
      <c r="BC446" s="0" t="s">
        <v>153</v>
      </c>
      <c r="BD446" s="0" t="s">
        <v>153</v>
      </c>
      <c r="BH446" s="0" t="s">
        <v>153</v>
      </c>
      <c r="BJ446" s="0" t="s">
        <v>153</v>
      </c>
      <c r="BL446" s="0" t="s">
        <v>153</v>
      </c>
      <c r="BP446" s="0" t="s">
        <v>153</v>
      </c>
      <c r="BR446" s="0" t="s">
        <v>153</v>
      </c>
      <c r="BS446" s="0" t="s">
        <v>153</v>
      </c>
      <c r="BY446" s="0" t="s">
        <v>175</v>
      </c>
      <c r="CA446" s="0" t="s">
        <v>153</v>
      </c>
      <c r="CG446" s="0" t="s">
        <v>153</v>
      </c>
      <c r="CK446" s="0" t="s">
        <v>153</v>
      </c>
      <c r="CL446" s="0" t="s">
        <v>175</v>
      </c>
      <c r="CP446" s="0" t="s">
        <v>153</v>
      </c>
      <c r="CV446" s="0" t="s">
        <v>153</v>
      </c>
      <c r="CY446" s="0" t="s">
        <v>153</v>
      </c>
      <c r="CZ446" s="0" t="s">
        <v>175</v>
      </c>
      <c r="DC446" s="0" t="s">
        <v>153</v>
      </c>
      <c r="DL446" s="0" t="s">
        <v>153</v>
      </c>
    </row>
    <row r="447" customFormat="false" ht="13.8" hidden="true" customHeight="false" outlineLevel="0" collapsed="false">
      <c r="A447" s="0" t="s">
        <v>2427</v>
      </c>
      <c r="B447" s="0" t="n">
        <v>78</v>
      </c>
      <c r="C447" s="0" t="n">
        <v>229706</v>
      </c>
      <c r="D447" s="0" t="s">
        <v>784</v>
      </c>
      <c r="E447" s="0" t="s">
        <v>2428</v>
      </c>
      <c r="F447" s="0" t="str">
        <f aca="false">CONCATENATE(D447," ",LEFT(H447,4),"T=",AU447,"D=",AV447,"R=",AW447,"M=",AX447,"L=",AY447,"B=",AZ447)</f>
        <v>BUTLER T=6D=0R=0M=0L=1B=0</v>
      </c>
      <c r="G447" s="0" t="s">
        <v>175</v>
      </c>
      <c r="I447" s="0" t="s">
        <v>2429</v>
      </c>
      <c r="J447" s="0" t="s">
        <v>2430</v>
      </c>
      <c r="K447" s="0" t="s">
        <v>160</v>
      </c>
      <c r="M447" s="0" t="s">
        <v>2426</v>
      </c>
      <c r="N447" s="0" t="str">
        <f aca="false">RIGHT(M447,LEN(M447)-FIND(" ",M447))</f>
        <v>DRAPER AVE SE</v>
      </c>
      <c r="P447" s="0" t="s">
        <v>145</v>
      </c>
      <c r="Q447" s="0" t="s">
        <v>146</v>
      </c>
      <c r="R447" s="0" t="n">
        <v>44484</v>
      </c>
      <c r="AD447" s="0" t="s">
        <v>147</v>
      </c>
      <c r="AE447" s="0" t="s">
        <v>148</v>
      </c>
      <c r="AF447" s="0" t="s">
        <v>149</v>
      </c>
      <c r="AH447" s="0" t="n">
        <v>14</v>
      </c>
      <c r="AI447" s="0" t="n">
        <v>11</v>
      </c>
      <c r="AN447" s="0" t="s">
        <v>145</v>
      </c>
      <c r="AO447" s="0" t="s">
        <v>233</v>
      </c>
      <c r="AP447" s="0" t="s">
        <v>234</v>
      </c>
      <c r="AQ447" s="0" t="n">
        <v>9</v>
      </c>
      <c r="AR447" s="0" t="n">
        <v>64</v>
      </c>
      <c r="AS447" s="0" t="n">
        <v>32</v>
      </c>
      <c r="AU447" s="0" t="n">
        <f aca="false">COUNTA($BA$2391:$EH$2391)</f>
        <v>6</v>
      </c>
      <c r="AV447" s="0" t="n">
        <f aca="false">COUNTIF($BA$2391:$EH$2391,"D")</f>
        <v>0</v>
      </c>
      <c r="AW447" s="0" t="n">
        <f aca="false">COUNTIF($BA$2391:$EH$2391,"R")</f>
        <v>0</v>
      </c>
      <c r="AX447" s="0" t="n">
        <f aca="false">IF(BN447="D",1,0)+IF(BO447="D",1,0)+IF(BT447="D",1,0)+IF(BU447="D",1,0)+IF(BW447="D",1,0)+IF(CC447="D",1,0)+IF(CD447="D",1,0)+IF(CE447="D",1,0)+IF(CF447="D",1,0)+IF(CL447="D",1,0)+IF(CM447="D",1,0)+IF(CQ447="D",1,0)+IF(CR447="D",1,0)+IF(CS447="D",1,0)+IF(CW447="D",1,0)+IF(CX447="D",1,0)+IF(DD447="D",1,0)+IF(DE447="D",1,0)+IF(DJ447="D",1,0)+IF(DK447="D",1,0)+IF(DO447="D",1,0)+IF(DP447="D",1,0)+IF(DQ447="D",1,0)+IF(DW447="D",1,0)+IF(DZ447="D",1,0)+IF(EH447="D",1,0)</f>
        <v>0</v>
      </c>
      <c r="AY447" s="0" t="n">
        <f aca="false">COUNTIF(DU447:EH447, "&lt;&gt;")</f>
        <v>1</v>
      </c>
      <c r="AZ447" s="0" t="n">
        <f aca="false">IF(EH447&lt;&gt;"",1,0)</f>
        <v>0</v>
      </c>
      <c r="BB447" s="0" t="s">
        <v>152</v>
      </c>
      <c r="BD447" s="0" t="s">
        <v>153</v>
      </c>
      <c r="BL447" s="0" t="s">
        <v>153</v>
      </c>
      <c r="BY447" s="0" t="s">
        <v>175</v>
      </c>
      <c r="CA447" s="0" t="s">
        <v>153</v>
      </c>
      <c r="CK447" s="0" t="s">
        <v>153</v>
      </c>
      <c r="CN447" s="0" t="s">
        <v>153</v>
      </c>
      <c r="CP447" s="0" t="s">
        <v>153</v>
      </c>
      <c r="CV447" s="0" t="s">
        <v>153</v>
      </c>
      <c r="CY447" s="0" t="s">
        <v>153</v>
      </c>
      <c r="DC447" s="0" t="s">
        <v>153</v>
      </c>
      <c r="EF447" s="0" t="s">
        <v>153</v>
      </c>
    </row>
    <row r="448" customFormat="false" ht="13.8" hidden="false" customHeight="false" outlineLevel="0" collapsed="false">
      <c r="A448" s="0" t="s">
        <v>2431</v>
      </c>
      <c r="B448" s="0" t="n">
        <v>78</v>
      </c>
      <c r="C448" s="0" t="n">
        <v>21981</v>
      </c>
      <c r="D448" s="0" t="s">
        <v>2432</v>
      </c>
      <c r="E448" s="0" t="s">
        <v>2433</v>
      </c>
      <c r="F448" s="0" t="str">
        <f aca="false">CONCATENATE(D448," ",LEFT(H448,4),"T=",AU448,"D=",AV448,"R=",AW448,"M=",AX448,"L=",AY448,"B=",AZ448)</f>
        <v>CAYSON T=7D=0R=0M=4L=5B=0</v>
      </c>
      <c r="G448" s="0" t="s">
        <v>362</v>
      </c>
      <c r="I448" s="0" t="s">
        <v>2434</v>
      </c>
      <c r="J448" s="0" t="s">
        <v>688</v>
      </c>
      <c r="K448" s="0" t="s">
        <v>160</v>
      </c>
      <c r="L448" s="0" t="s">
        <v>175</v>
      </c>
      <c r="M448" s="0" t="s">
        <v>2435</v>
      </c>
      <c r="N448" s="0" t="str">
        <f aca="false">RIGHT(M448,LEN(M448)-FIND(" ",M448))</f>
        <v>DRAPER AVE SE</v>
      </c>
      <c r="P448" s="0" t="s">
        <v>145</v>
      </c>
      <c r="Q448" s="0" t="s">
        <v>146</v>
      </c>
      <c r="R448" s="0" t="n">
        <v>44484</v>
      </c>
      <c r="AD448" s="0" t="s">
        <v>147</v>
      </c>
      <c r="AE448" s="0" t="s">
        <v>148</v>
      </c>
      <c r="AF448" s="0" t="s">
        <v>149</v>
      </c>
      <c r="AH448" s="0" t="n">
        <v>14</v>
      </c>
      <c r="AI448" s="0" t="n">
        <v>11</v>
      </c>
      <c r="AN448" s="0" t="s">
        <v>145</v>
      </c>
      <c r="AO448" s="0" t="s">
        <v>233</v>
      </c>
      <c r="AP448" s="0" t="s">
        <v>234</v>
      </c>
      <c r="AQ448" s="0" t="n">
        <v>9</v>
      </c>
      <c r="AR448" s="0" t="n">
        <v>64</v>
      </c>
      <c r="AS448" s="0" t="n">
        <v>32</v>
      </c>
      <c r="AU448" s="0" t="n">
        <f aca="false">COUNTA($BA$2248:$EH$2248)</f>
        <v>7</v>
      </c>
      <c r="AV448" s="0" t="n">
        <f aca="false">COUNTIF($BA$2248:$EH$2248,"D")</f>
        <v>0</v>
      </c>
      <c r="AW448" s="0" t="n">
        <f aca="false">COUNTIF($BA$2248:$EH$2248,"R")</f>
        <v>0</v>
      </c>
      <c r="AX448" s="0" t="n">
        <f aca="false">IF(BN448="D",1,0)+IF(BO448="D",1,0)+IF(BT448="D",1,0)+IF(BU448="D",1,0)+IF(BW448="D",1,0)+IF(CC448="D",1,0)+IF(CD448="D",1,0)+IF(CE448="D",1,0)+IF(CF448="D",1,0)+IF(CL448="D",1,0)+IF(CM448="D",1,0)+IF(CQ448="D",1,0)+IF(CR448="D",1,0)+IF(CS448="D",1,0)+IF(CW448="D",1,0)+IF(CX448="D",1,0)+IF(DD448="D",1,0)+IF(DE448="D",1,0)+IF(DJ448="D",1,0)+IF(DK448="D",1,0)+IF(DO448="D",1,0)+IF(DP448="D",1,0)+IF(DQ448="D",1,0)+IF(DW448="D",1,0)+IF(DZ448="D",1,0)+IF(EH448="D",1,0)</f>
        <v>4</v>
      </c>
      <c r="AY448" s="0" t="n">
        <f aca="false">COUNTIF(DU448:EH448, "&lt;&gt;")</f>
        <v>5</v>
      </c>
      <c r="AZ448" s="0" t="n">
        <f aca="false">IF(EH448&lt;&gt;"",1,0)</f>
        <v>0</v>
      </c>
      <c r="BB448" s="0" t="s">
        <v>152</v>
      </c>
      <c r="BD448" s="0" t="s">
        <v>153</v>
      </c>
      <c r="BH448" s="0" t="s">
        <v>153</v>
      </c>
      <c r="BJ448" s="0" t="s">
        <v>153</v>
      </c>
      <c r="BK448" s="0" t="s">
        <v>153</v>
      </c>
      <c r="BL448" s="0" t="s">
        <v>153</v>
      </c>
      <c r="BY448" s="0" t="s">
        <v>175</v>
      </c>
      <c r="CA448" s="0" t="s">
        <v>153</v>
      </c>
      <c r="CK448" s="0" t="s">
        <v>153</v>
      </c>
      <c r="CP448" s="0" t="s">
        <v>153</v>
      </c>
      <c r="CQ448" s="0" t="s">
        <v>175</v>
      </c>
      <c r="CV448" s="0" t="s">
        <v>153</v>
      </c>
      <c r="CW448" s="0" t="s">
        <v>175</v>
      </c>
      <c r="CY448" s="0" t="s">
        <v>153</v>
      </c>
      <c r="CZ448" s="0" t="s">
        <v>175</v>
      </c>
      <c r="DC448" s="0" t="s">
        <v>153</v>
      </c>
      <c r="DF448" s="0" t="s">
        <v>153</v>
      </c>
      <c r="DG448" s="0" t="s">
        <v>175</v>
      </c>
      <c r="DI448" s="0" t="s">
        <v>153</v>
      </c>
      <c r="DJ448" s="0" t="s">
        <v>175</v>
      </c>
      <c r="DN448" s="0" t="s">
        <v>153</v>
      </c>
      <c r="DT448" s="0" t="s">
        <v>175</v>
      </c>
      <c r="DU448" s="0" t="s">
        <v>153</v>
      </c>
      <c r="DW448" s="0" t="s">
        <v>175</v>
      </c>
      <c r="DX448" s="0" t="s">
        <v>153</v>
      </c>
      <c r="EA448" s="0" t="s">
        <v>153</v>
      </c>
      <c r="EF448" s="0" t="s">
        <v>153</v>
      </c>
    </row>
    <row r="449" customFormat="false" ht="13.8" hidden="true" customHeight="false" outlineLevel="0" collapsed="false">
      <c r="A449" s="0" t="s">
        <v>2436</v>
      </c>
      <c r="B449" s="0" t="n">
        <v>78</v>
      </c>
      <c r="C449" s="0" t="n">
        <v>475802</v>
      </c>
      <c r="D449" s="0" t="s">
        <v>2437</v>
      </c>
      <c r="E449" s="0" t="s">
        <v>2438</v>
      </c>
      <c r="F449" s="0" t="str">
        <f aca="false">CONCATENATE(D449," ",LEFT(H449,4),"T=",AU449,"D=",AV449,"R=",AW449,"M=",AX449,"L=",AY449,"B=",AZ449)</f>
        <v>TILLMAN T=5D=0R=0M=0L=1B=0</v>
      </c>
      <c r="G449" s="0" t="s">
        <v>2439</v>
      </c>
      <c r="I449" s="0" t="s">
        <v>2440</v>
      </c>
      <c r="J449" s="0" t="s">
        <v>1401</v>
      </c>
      <c r="K449" s="0" t="s">
        <v>160</v>
      </c>
      <c r="M449" s="0" t="s">
        <v>2441</v>
      </c>
      <c r="N449" s="0" t="str">
        <f aca="false">RIGHT(M449,LEN(M449)-FIND(" ",M449))</f>
        <v>DRAPER AVE SE</v>
      </c>
      <c r="P449" s="0" t="s">
        <v>145</v>
      </c>
      <c r="Q449" s="0" t="s">
        <v>146</v>
      </c>
      <c r="R449" s="0" t="n">
        <v>44484</v>
      </c>
      <c r="AD449" s="0" t="s">
        <v>147</v>
      </c>
      <c r="AE449" s="0" t="s">
        <v>148</v>
      </c>
      <c r="AF449" s="0" t="s">
        <v>149</v>
      </c>
      <c r="AH449" s="0" t="n">
        <v>14</v>
      </c>
      <c r="AI449" s="0" t="n">
        <v>11</v>
      </c>
      <c r="AN449" s="0" t="s">
        <v>145</v>
      </c>
      <c r="AO449" s="0" t="s">
        <v>233</v>
      </c>
      <c r="AP449" s="0" t="s">
        <v>234</v>
      </c>
      <c r="AQ449" s="0" t="n">
        <v>9</v>
      </c>
      <c r="AR449" s="0" t="n">
        <v>64</v>
      </c>
      <c r="AS449" s="0" t="n">
        <v>32</v>
      </c>
      <c r="AU449" s="0" t="n">
        <f aca="false">COUNTA($BA$2519:$EH$2519)</f>
        <v>5</v>
      </c>
      <c r="AV449" s="0" t="n">
        <f aca="false">COUNTIF($BA$2519:$EH$2519,"D")</f>
        <v>0</v>
      </c>
      <c r="AW449" s="0" t="n">
        <f aca="false">COUNTIF($BA$2519:$EH$2519,"R")</f>
        <v>0</v>
      </c>
      <c r="AX449" s="0" t="n">
        <f aca="false">IF(BN449="D",1,0)+IF(BO449="D",1,0)+IF(BT449="D",1,0)+IF(BU449="D",1,0)+IF(BW449="D",1,0)+IF(CC449="D",1,0)+IF(CD449="D",1,0)+IF(CE449="D",1,0)+IF(CF449="D",1,0)+IF(CL449="D",1,0)+IF(CM449="D",1,0)+IF(CQ449="D",1,0)+IF(CR449="D",1,0)+IF(CS449="D",1,0)+IF(CW449="D",1,0)+IF(CX449="D",1,0)+IF(DD449="D",1,0)+IF(DE449="D",1,0)+IF(DJ449="D",1,0)+IF(DK449="D",1,0)+IF(DO449="D",1,0)+IF(DP449="D",1,0)+IF(DQ449="D",1,0)+IF(DW449="D",1,0)+IF(DZ449="D",1,0)+IF(EH449="D",1,0)</f>
        <v>0</v>
      </c>
      <c r="AY449" s="0" t="n">
        <f aca="false">COUNTIF(DU449:EH449, "&lt;&gt;")</f>
        <v>1</v>
      </c>
      <c r="AZ449" s="0" t="n">
        <f aca="false">IF(EH449&lt;&gt;"",1,0)</f>
        <v>0</v>
      </c>
      <c r="BB449" s="0" t="s">
        <v>152</v>
      </c>
      <c r="BL449" s="0" t="s">
        <v>153</v>
      </c>
      <c r="CA449" s="0" t="s">
        <v>153</v>
      </c>
      <c r="CP449" s="0" t="s">
        <v>153</v>
      </c>
      <c r="EF449" s="0" t="s">
        <v>153</v>
      </c>
    </row>
    <row r="450" customFormat="false" ht="13.8" hidden="false" customHeight="false" outlineLevel="0" collapsed="false">
      <c r="A450" s="0" t="s">
        <v>2442</v>
      </c>
      <c r="B450" s="0" t="n">
        <v>78</v>
      </c>
      <c r="C450" s="0" t="n">
        <v>315313</v>
      </c>
      <c r="D450" s="0" t="s">
        <v>2443</v>
      </c>
      <c r="E450" s="0" t="s">
        <v>2444</v>
      </c>
      <c r="F450" s="0" t="str">
        <f aca="false">CONCATENATE(D450," ",LEFT(H450,4),"T=",AU450,"D=",AV450,"R=",AW450,"M=",AX450,"L=",AY450,"B=",AZ450)</f>
        <v>BONNER T=51D=17R=0M=1L=4B=0</v>
      </c>
      <c r="G450" s="0" t="s">
        <v>268</v>
      </c>
      <c r="I450" s="0" t="s">
        <v>2445</v>
      </c>
      <c r="J450" s="0" t="s">
        <v>2446</v>
      </c>
      <c r="K450" s="0" t="s">
        <v>160</v>
      </c>
      <c r="L450" s="0" t="s">
        <v>175</v>
      </c>
      <c r="M450" s="0" t="s">
        <v>2447</v>
      </c>
      <c r="N450" s="0" t="str">
        <f aca="false">RIGHT(M450,LEN(M450)-FIND(" ",M450))</f>
        <v>DRAPER AVE SE</v>
      </c>
      <c r="P450" s="0" t="s">
        <v>145</v>
      </c>
      <c r="Q450" s="0" t="s">
        <v>146</v>
      </c>
      <c r="R450" s="0" t="n">
        <v>44484</v>
      </c>
      <c r="AD450" s="0" t="s">
        <v>147</v>
      </c>
      <c r="AE450" s="0" t="s">
        <v>148</v>
      </c>
      <c r="AF450" s="0" t="s">
        <v>149</v>
      </c>
      <c r="AH450" s="0" t="n">
        <v>14</v>
      </c>
      <c r="AI450" s="0" t="n">
        <v>11</v>
      </c>
      <c r="AN450" s="0" t="s">
        <v>145</v>
      </c>
      <c r="AO450" s="0" t="s">
        <v>233</v>
      </c>
      <c r="AP450" s="0" t="s">
        <v>234</v>
      </c>
      <c r="AQ450" s="0" t="n">
        <v>9</v>
      </c>
      <c r="AR450" s="0" t="n">
        <v>64</v>
      </c>
      <c r="AS450" s="0" t="n">
        <v>32</v>
      </c>
      <c r="AU450" s="0" t="n">
        <f aca="false">COUNTA($BA$2298:$EH$2298)</f>
        <v>51</v>
      </c>
      <c r="AV450" s="0" t="n">
        <f aca="false">COUNTIF($BA$2298:$EH$2298,"D")</f>
        <v>17</v>
      </c>
      <c r="AW450" s="0" t="n">
        <f aca="false">COUNTIF($BA$2298:$EH$2298,"R")</f>
        <v>0</v>
      </c>
      <c r="AX450" s="0" t="n">
        <f aca="false">IF(BN450="D",1,0)+IF(BO450="D",1,0)+IF(BT450="D",1,0)+IF(BU450="D",1,0)+IF(BW450="D",1,0)+IF(CC450="D",1,0)+IF(CD450="D",1,0)+IF(CE450="D",1,0)+IF(CF450="D",1,0)+IF(CL450="D",1,0)+IF(CM450="D",1,0)+IF(CQ450="D",1,0)+IF(CR450="D",1,0)+IF(CS450="D",1,0)+IF(CW450="D",1,0)+IF(CX450="D",1,0)+IF(DD450="D",1,0)+IF(DE450="D",1,0)+IF(DJ450="D",1,0)+IF(DK450="D",1,0)+IF(DO450="D",1,0)+IF(DP450="D",1,0)+IF(DQ450="D",1,0)+IF(DW450="D",1,0)+IF(DZ450="D",1,0)+IF(EH450="D",1,0)</f>
        <v>1</v>
      </c>
      <c r="AY450" s="0" t="n">
        <f aca="false">COUNTIF(DU450:EH450, "&lt;&gt;")</f>
        <v>4</v>
      </c>
      <c r="AZ450" s="0" t="n">
        <f aca="false">IF(EH450&lt;&gt;"",1,0)</f>
        <v>0</v>
      </c>
      <c r="BB450" s="0" t="s">
        <v>152</v>
      </c>
      <c r="BL450" s="0" t="s">
        <v>153</v>
      </c>
      <c r="BS450" s="0" t="s">
        <v>153</v>
      </c>
      <c r="BY450" s="0" t="s">
        <v>175</v>
      </c>
      <c r="CA450" s="0" t="s">
        <v>153</v>
      </c>
      <c r="CP450" s="0" t="s">
        <v>153</v>
      </c>
      <c r="CY450" s="0" t="s">
        <v>153</v>
      </c>
      <c r="CZ450" s="0" t="s">
        <v>175</v>
      </c>
      <c r="DC450" s="0" t="s">
        <v>153</v>
      </c>
      <c r="DI450" s="0" t="s">
        <v>153</v>
      </c>
      <c r="DM450" s="0" t="s">
        <v>175</v>
      </c>
      <c r="DN450" s="0" t="s">
        <v>153</v>
      </c>
      <c r="DU450" s="0" t="s">
        <v>153</v>
      </c>
      <c r="DW450" s="0" t="s">
        <v>175</v>
      </c>
      <c r="ED450" s="0" t="s">
        <v>175</v>
      </c>
      <c r="EF450" s="0" t="s">
        <v>153</v>
      </c>
    </row>
    <row r="451" customFormat="false" ht="13.8" hidden="false" customHeight="false" outlineLevel="0" collapsed="false">
      <c r="A451" s="0" t="s">
        <v>2448</v>
      </c>
      <c r="B451" s="0" t="n">
        <v>78</v>
      </c>
      <c r="C451" s="0" t="n">
        <v>318897</v>
      </c>
      <c r="D451" s="0" t="s">
        <v>1058</v>
      </c>
      <c r="E451" s="0" t="s">
        <v>2449</v>
      </c>
      <c r="F451" s="0" t="str">
        <f aca="false">CONCATENATE(D451," ",LEFT(H451,4),"T=",AU451,"D=",AV451,"R=",AW451,"M=",AX451,"L=",AY451,"B=",AZ451)</f>
        <v>OWENS T=17D=4R=0M=0L=2B=0</v>
      </c>
      <c r="G451" s="0" t="s">
        <v>2450</v>
      </c>
      <c r="I451" s="0" t="s">
        <v>2451</v>
      </c>
      <c r="J451" s="0" t="s">
        <v>2452</v>
      </c>
      <c r="K451" s="0" t="s">
        <v>160</v>
      </c>
      <c r="M451" s="0" t="s">
        <v>2453</v>
      </c>
      <c r="N451" s="0" t="str">
        <f aca="false">RIGHT(M451,LEN(M451)-FIND(" ",M451))</f>
        <v>DRAPER AVE SE</v>
      </c>
      <c r="P451" s="0" t="s">
        <v>145</v>
      </c>
      <c r="Q451" s="0" t="s">
        <v>146</v>
      </c>
      <c r="R451" s="0" t="n">
        <v>44484</v>
      </c>
      <c r="AD451" s="0" t="s">
        <v>147</v>
      </c>
      <c r="AE451" s="0" t="s">
        <v>148</v>
      </c>
      <c r="AF451" s="0" t="s">
        <v>149</v>
      </c>
      <c r="AH451" s="0" t="n">
        <v>14</v>
      </c>
      <c r="AI451" s="0" t="n">
        <v>11</v>
      </c>
      <c r="AN451" s="0" t="s">
        <v>145</v>
      </c>
      <c r="AO451" s="0" t="s">
        <v>233</v>
      </c>
      <c r="AP451" s="0" t="s">
        <v>234</v>
      </c>
      <c r="AQ451" s="0" t="n">
        <v>9</v>
      </c>
      <c r="AR451" s="0" t="n">
        <v>64</v>
      </c>
      <c r="AS451" s="0" t="n">
        <v>32</v>
      </c>
      <c r="AU451" s="0" t="n">
        <f aca="false">COUNTA($BA$2557:$EH$2557)</f>
        <v>17</v>
      </c>
      <c r="AV451" s="0" t="n">
        <f aca="false">COUNTIF($BA$2557:$EH$2557,"D")</f>
        <v>4</v>
      </c>
      <c r="AW451" s="0" t="n">
        <f aca="false">COUNTIF($BA$2557:$EH$2557,"R")</f>
        <v>0</v>
      </c>
      <c r="AX451" s="0" t="n">
        <f aca="false">IF(BN451="D",1,0)+IF(BO451="D",1,0)+IF(BT451="D",1,0)+IF(BU451="D",1,0)+IF(BW451="D",1,0)+IF(CC451="D",1,0)+IF(CD451="D",1,0)+IF(CE451="D",1,0)+IF(CF451="D",1,0)+IF(CL451="D",1,0)+IF(CM451="D",1,0)+IF(CQ451="D",1,0)+IF(CR451="D",1,0)+IF(CS451="D",1,0)+IF(CW451="D",1,0)+IF(CX451="D",1,0)+IF(DD451="D",1,0)+IF(DE451="D",1,0)+IF(DJ451="D",1,0)+IF(DK451="D",1,0)+IF(DO451="D",1,0)+IF(DP451="D",1,0)+IF(DQ451="D",1,0)+IF(DW451="D",1,0)+IF(DZ451="D",1,0)+IF(EH451="D",1,0)</f>
        <v>0</v>
      </c>
      <c r="AY451" s="0" t="n">
        <f aca="false">COUNTIF(DU451:EH451, "&lt;&gt;")</f>
        <v>2</v>
      </c>
      <c r="AZ451" s="0" t="n">
        <f aca="false">IF(EH451&lt;&gt;"",1,0)</f>
        <v>0</v>
      </c>
      <c r="BB451" s="0" t="s">
        <v>152</v>
      </c>
      <c r="BY451" s="0" t="s">
        <v>175</v>
      </c>
      <c r="CA451" s="0" t="s">
        <v>153</v>
      </c>
      <c r="CP451" s="0" t="s">
        <v>153</v>
      </c>
      <c r="CY451" s="0" t="s">
        <v>153</v>
      </c>
      <c r="CZ451" s="0" t="s">
        <v>175</v>
      </c>
      <c r="DC451" s="0" t="s">
        <v>153</v>
      </c>
      <c r="DI451" s="0" t="s">
        <v>153</v>
      </c>
      <c r="DN451" s="0" t="s">
        <v>153</v>
      </c>
      <c r="DU451" s="0" t="s">
        <v>153</v>
      </c>
      <c r="EF451" s="0" t="s">
        <v>153</v>
      </c>
    </row>
    <row r="452" customFormat="false" ht="13.8" hidden="false" customHeight="false" outlineLevel="0" collapsed="false">
      <c r="A452" s="0" t="s">
        <v>2454</v>
      </c>
      <c r="B452" s="0" t="n">
        <v>78</v>
      </c>
      <c r="C452" s="0" t="n">
        <v>185226</v>
      </c>
      <c r="D452" s="0" t="s">
        <v>1649</v>
      </c>
      <c r="E452" s="0" t="s">
        <v>2455</v>
      </c>
      <c r="F452" s="0" t="str">
        <f aca="false">CONCATENATE(D452," ",LEFT(H452,4),"T=",AU452,"D=",AV452,"R=",AW452,"M=",AX452,"L=",AY452,"B=",AZ452)</f>
        <v>LIPTROT T=5D=0R=0M=3L=5B=0</v>
      </c>
      <c r="G452" s="0" t="s">
        <v>2456</v>
      </c>
      <c r="I452" s="0" t="s">
        <v>2457</v>
      </c>
      <c r="J452" s="0" t="s">
        <v>1516</v>
      </c>
      <c r="K452" s="0" t="s">
        <v>160</v>
      </c>
      <c r="L452" s="0" t="s">
        <v>175</v>
      </c>
      <c r="M452" s="0" t="s">
        <v>2458</v>
      </c>
      <c r="N452" s="0" t="str">
        <f aca="false">RIGHT(M452,LEN(M452)-FIND(" ",M452))</f>
        <v>DRAPER AVE SE</v>
      </c>
      <c r="P452" s="0" t="s">
        <v>145</v>
      </c>
      <c r="Q452" s="0" t="s">
        <v>146</v>
      </c>
      <c r="R452" s="0" t="n">
        <v>44484</v>
      </c>
      <c r="AD452" s="0" t="s">
        <v>147</v>
      </c>
      <c r="AE452" s="0" t="s">
        <v>148</v>
      </c>
      <c r="AF452" s="0" t="s">
        <v>149</v>
      </c>
      <c r="AH452" s="0" t="n">
        <v>14</v>
      </c>
      <c r="AI452" s="0" t="n">
        <v>11</v>
      </c>
      <c r="AN452" s="0" t="s">
        <v>145</v>
      </c>
      <c r="AO452" s="0" t="s">
        <v>233</v>
      </c>
      <c r="AP452" s="0" t="s">
        <v>234</v>
      </c>
      <c r="AQ452" s="0" t="n">
        <v>9</v>
      </c>
      <c r="AR452" s="0" t="n">
        <v>64</v>
      </c>
      <c r="AS452" s="0" t="n">
        <v>32</v>
      </c>
      <c r="AU452" s="0" t="n">
        <f aca="false">COUNTA($BA$2558:$EH$2558)</f>
        <v>5</v>
      </c>
      <c r="AV452" s="0" t="n">
        <f aca="false">COUNTIF($BA$2558:$EH$2558,"D")</f>
        <v>0</v>
      </c>
      <c r="AW452" s="0" t="n">
        <f aca="false">COUNTIF($BA$2558:$EH$2558,"R")</f>
        <v>0</v>
      </c>
      <c r="AX452" s="0" t="n">
        <f aca="false">IF(BN452="D",1,0)+IF(BO452="D",1,0)+IF(BT452="D",1,0)+IF(BU452="D",1,0)+IF(BW452="D",1,0)+IF(CC452="D",1,0)+IF(CD452="D",1,0)+IF(CE452="D",1,0)+IF(CF452="D",1,0)+IF(CL452="D",1,0)+IF(CM452="D",1,0)+IF(CQ452="D",1,0)+IF(CR452="D",1,0)+IF(CS452="D",1,0)+IF(CW452="D",1,0)+IF(CX452="D",1,0)+IF(DD452="D",1,0)+IF(DE452="D",1,0)+IF(DJ452="D",1,0)+IF(DK452="D",1,0)+IF(DO452="D",1,0)+IF(DP452="D",1,0)+IF(DQ452="D",1,0)+IF(DW452="D",1,0)+IF(DZ452="D",1,0)+IF(EH452="D",1,0)</f>
        <v>3</v>
      </c>
      <c r="AY452" s="0" t="n">
        <f aca="false">COUNTIF(DU452:EH452, "&lt;&gt;")</f>
        <v>5</v>
      </c>
      <c r="AZ452" s="0" t="n">
        <f aca="false">IF(EH452&lt;&gt;"",1,0)</f>
        <v>0</v>
      </c>
      <c r="BB452" s="0" t="s">
        <v>152</v>
      </c>
      <c r="BC452" s="0" t="s">
        <v>153</v>
      </c>
      <c r="BD452" s="0" t="s">
        <v>153</v>
      </c>
      <c r="BE452" s="0" t="s">
        <v>153</v>
      </c>
      <c r="BF452" s="0" t="s">
        <v>153</v>
      </c>
      <c r="BH452" s="0" t="s">
        <v>153</v>
      </c>
      <c r="BJ452" s="0" t="s">
        <v>153</v>
      </c>
      <c r="BL452" s="0" t="s">
        <v>153</v>
      </c>
      <c r="BP452" s="0" t="s">
        <v>153</v>
      </c>
      <c r="BS452" s="0" t="s">
        <v>153</v>
      </c>
      <c r="BY452" s="0" t="s">
        <v>175</v>
      </c>
      <c r="CA452" s="0" t="s">
        <v>153</v>
      </c>
      <c r="CK452" s="0" t="s">
        <v>153</v>
      </c>
      <c r="CL452" s="0" t="s">
        <v>175</v>
      </c>
      <c r="CN452" s="0" t="s">
        <v>153</v>
      </c>
      <c r="CP452" s="0" t="s">
        <v>153</v>
      </c>
      <c r="CT452" s="0" t="s">
        <v>153</v>
      </c>
      <c r="CU452" s="0" t="s">
        <v>175</v>
      </c>
      <c r="CV452" s="0" t="s">
        <v>153</v>
      </c>
      <c r="CY452" s="0" t="s">
        <v>153</v>
      </c>
      <c r="CZ452" s="0" t="s">
        <v>175</v>
      </c>
      <c r="DC452" s="0" t="s">
        <v>153</v>
      </c>
      <c r="DD452" s="0" t="s">
        <v>175</v>
      </c>
      <c r="DG452" s="0" t="s">
        <v>175</v>
      </c>
      <c r="DI452" s="0" t="s">
        <v>153</v>
      </c>
      <c r="DL452" s="0" t="s">
        <v>153</v>
      </c>
      <c r="DN452" s="0" t="s">
        <v>153</v>
      </c>
      <c r="DU452" s="0" t="s">
        <v>153</v>
      </c>
      <c r="DW452" s="0" t="s">
        <v>175</v>
      </c>
      <c r="DX452" s="0" t="s">
        <v>153</v>
      </c>
      <c r="EA452" s="0" t="s">
        <v>153</v>
      </c>
      <c r="EF452" s="0" t="s">
        <v>153</v>
      </c>
    </row>
    <row r="453" customFormat="false" ht="13.8" hidden="true" customHeight="false" outlineLevel="0" collapsed="false">
      <c r="A453" s="0" t="s">
        <v>2459</v>
      </c>
      <c r="B453" s="0" t="n">
        <v>78</v>
      </c>
      <c r="C453" s="0" t="n">
        <v>416471</v>
      </c>
      <c r="D453" s="0" t="s">
        <v>1661</v>
      </c>
      <c r="E453" s="0" t="s">
        <v>2460</v>
      </c>
      <c r="F453" s="0" t="str">
        <f aca="false">CONCATENATE(D453," ",LEFT(H453,4),"T=",AU453,"D=",AV453,"R=",AW453,"M=",AX453,"L=",AY453,"B=",AZ453)</f>
        <v>JACKSON T=1D=0R=0M=0L=1B=0</v>
      </c>
      <c r="G453" s="0" t="s">
        <v>190</v>
      </c>
      <c r="I453" s="0" t="s">
        <v>2461</v>
      </c>
      <c r="J453" s="0" t="s">
        <v>2462</v>
      </c>
      <c r="K453" s="0" t="s">
        <v>160</v>
      </c>
      <c r="M453" s="0" t="s">
        <v>2463</v>
      </c>
      <c r="N453" s="0" t="str">
        <f aca="false">RIGHT(M453,LEN(M453)-FIND(" ",M453))</f>
        <v>DRAPER AVE SE</v>
      </c>
      <c r="O453" s="0" t="s">
        <v>2464</v>
      </c>
      <c r="P453" s="0" t="s">
        <v>145</v>
      </c>
      <c r="Q453" s="0" t="s">
        <v>146</v>
      </c>
      <c r="R453" s="0" t="n">
        <v>44484</v>
      </c>
      <c r="AD453" s="0" t="s">
        <v>147</v>
      </c>
      <c r="AE453" s="0" t="s">
        <v>148</v>
      </c>
      <c r="AF453" s="0" t="s">
        <v>149</v>
      </c>
      <c r="AH453" s="0" t="n">
        <v>14</v>
      </c>
      <c r="AI453" s="0" t="n">
        <v>11</v>
      </c>
      <c r="AN453" s="0" t="s">
        <v>145</v>
      </c>
      <c r="AO453" s="0" t="s">
        <v>233</v>
      </c>
      <c r="AP453" s="0" t="s">
        <v>234</v>
      </c>
      <c r="AQ453" s="0" t="n">
        <v>9</v>
      </c>
      <c r="AR453" s="0" t="n">
        <v>64</v>
      </c>
      <c r="AS453" s="0" t="n">
        <v>32</v>
      </c>
      <c r="AU453" s="0" t="n">
        <f aca="false">COUNTA($BA$2169:$EH$2169)</f>
        <v>1</v>
      </c>
      <c r="AV453" s="0" t="n">
        <f aca="false">COUNTIF($BA$2169:$EH$2169,"D")</f>
        <v>0</v>
      </c>
      <c r="AW453" s="0" t="n">
        <f aca="false">COUNTIF($BA$2169:$EH$2169,"R")</f>
        <v>0</v>
      </c>
      <c r="AX453" s="0" t="n">
        <f aca="false">IF(BN453="D",1,0)+IF(BO453="D",1,0)+IF(BT453="D",1,0)+IF(BU453="D",1,0)+IF(BW453="D",1,0)+IF(CC453="D",1,0)+IF(CD453="D",1,0)+IF(CE453="D",1,0)+IF(CF453="D",1,0)+IF(CL453="D",1,0)+IF(CM453="D",1,0)+IF(CQ453="D",1,0)+IF(CR453="D",1,0)+IF(CS453="D",1,0)+IF(CW453="D",1,0)+IF(CX453="D",1,0)+IF(DD453="D",1,0)+IF(DE453="D",1,0)+IF(DJ453="D",1,0)+IF(DK453="D",1,0)+IF(DO453="D",1,0)+IF(DP453="D",1,0)+IF(DQ453="D",1,0)+IF(DW453="D",1,0)+IF(DZ453="D",1,0)+IF(EH453="D",1,0)</f>
        <v>0</v>
      </c>
      <c r="AY453" s="0" t="n">
        <f aca="false">COUNTIF(DU453:EH453, "&lt;&gt;")</f>
        <v>1</v>
      </c>
      <c r="AZ453" s="0" t="n">
        <f aca="false">IF(EH453&lt;&gt;"",1,0)</f>
        <v>0</v>
      </c>
      <c r="BB453" s="0" t="s">
        <v>152</v>
      </c>
      <c r="EF453" s="0" t="s">
        <v>153</v>
      </c>
    </row>
    <row r="454" customFormat="false" ht="13.8" hidden="true" customHeight="false" outlineLevel="0" collapsed="false">
      <c r="A454" s="0" t="s">
        <v>2465</v>
      </c>
      <c r="B454" s="0" t="n">
        <v>78</v>
      </c>
      <c r="C454" s="0" t="n">
        <v>248182</v>
      </c>
      <c r="D454" s="0" t="s">
        <v>2466</v>
      </c>
      <c r="E454" s="0" t="s">
        <v>1276</v>
      </c>
      <c r="F454" s="0" t="str">
        <f aca="false">CONCATENATE(D454," ",LEFT(H454,4),"T=",AU454,"D=",AV454,"R=",AW454,"M=",AX454,"L=",AY454,"B=",AZ454)</f>
        <v>DEFOOR T=5D=0R=0M=0L=0B=0</v>
      </c>
      <c r="G454" s="0" t="s">
        <v>190</v>
      </c>
      <c r="I454" s="0" t="s">
        <v>2467</v>
      </c>
      <c r="J454" s="0" t="s">
        <v>478</v>
      </c>
      <c r="K454" s="0" t="s">
        <v>143</v>
      </c>
      <c r="M454" s="0" t="s">
        <v>2463</v>
      </c>
      <c r="N454" s="0" t="str">
        <f aca="false">RIGHT(M454,LEN(M454)-FIND(" ",M454))</f>
        <v>DRAPER AVE SE</v>
      </c>
      <c r="P454" s="0" t="s">
        <v>145</v>
      </c>
      <c r="Q454" s="0" t="s">
        <v>146</v>
      </c>
      <c r="R454" s="0" t="n">
        <v>44484</v>
      </c>
      <c r="AD454" s="0" t="s">
        <v>147</v>
      </c>
      <c r="AE454" s="0" t="s">
        <v>148</v>
      </c>
      <c r="AF454" s="0" t="s">
        <v>149</v>
      </c>
      <c r="AH454" s="0" t="n">
        <v>14</v>
      </c>
      <c r="AI454" s="0" t="n">
        <v>11</v>
      </c>
      <c r="AN454" s="0" t="s">
        <v>145</v>
      </c>
      <c r="AO454" s="0" t="s">
        <v>233</v>
      </c>
      <c r="AP454" s="0" t="s">
        <v>234</v>
      </c>
      <c r="AQ454" s="0" t="n">
        <v>9</v>
      </c>
      <c r="AR454" s="0" t="n">
        <v>64</v>
      </c>
      <c r="AS454" s="0" t="n">
        <v>32</v>
      </c>
      <c r="AU454" s="0" t="n">
        <f aca="false">COUNTA($BA$2177:$EH$2177)</f>
        <v>5</v>
      </c>
      <c r="AV454" s="0" t="n">
        <f aca="false">COUNTIF($BA$2177:$EH$2177,"D")</f>
        <v>0</v>
      </c>
      <c r="AW454" s="0" t="n">
        <f aca="false">COUNTIF($BA$2177:$EH$2177,"R")</f>
        <v>0</v>
      </c>
      <c r="AX454" s="0" t="n">
        <f aca="false">IF(BN454="D",1,0)+IF(BO454="D",1,0)+IF(BT454="D",1,0)+IF(BU454="D",1,0)+IF(BW454="D",1,0)+IF(CC454="D",1,0)+IF(CD454="D",1,0)+IF(CE454="D",1,0)+IF(CF454="D",1,0)+IF(CL454="D",1,0)+IF(CM454="D",1,0)+IF(CQ454="D",1,0)+IF(CR454="D",1,0)+IF(CS454="D",1,0)+IF(CW454="D",1,0)+IF(CX454="D",1,0)+IF(DD454="D",1,0)+IF(DE454="D",1,0)+IF(DJ454="D",1,0)+IF(DK454="D",1,0)+IF(DO454="D",1,0)+IF(DP454="D",1,0)+IF(DQ454="D",1,0)+IF(DW454="D",1,0)+IF(DZ454="D",1,0)+IF(EH454="D",1,0)</f>
        <v>0</v>
      </c>
      <c r="AY454" s="0" t="n">
        <f aca="false">COUNTIF(DU454:EH454, "&lt;&gt;")</f>
        <v>0</v>
      </c>
      <c r="AZ454" s="0" t="n">
        <f aca="false">IF(EH454&lt;&gt;"",1,0)</f>
        <v>0</v>
      </c>
      <c r="BB454" s="0" t="s">
        <v>152</v>
      </c>
      <c r="CP454" s="0" t="s">
        <v>153</v>
      </c>
      <c r="DN454" s="0" t="s">
        <v>153</v>
      </c>
    </row>
    <row r="455" customFormat="false" ht="13.8" hidden="true" customHeight="false" outlineLevel="0" collapsed="false">
      <c r="A455" s="0" t="s">
        <v>2468</v>
      </c>
      <c r="B455" s="0" t="n">
        <v>78</v>
      </c>
      <c r="C455" s="0" t="n">
        <v>344713</v>
      </c>
      <c r="D455" s="0" t="s">
        <v>657</v>
      </c>
      <c r="E455" s="0" t="s">
        <v>2469</v>
      </c>
      <c r="F455" s="0" t="str">
        <f aca="false">CONCATENATE(D455," ",LEFT(H455,4),"T=",AU455,"D=",AV455,"R=",AW455,"M=",AX455,"L=",AY455,"B=",AZ455)</f>
        <v>HALL T=6D=0R=0M=0L=1B=0</v>
      </c>
      <c r="G455" s="0" t="s">
        <v>190</v>
      </c>
      <c r="I455" s="0" t="s">
        <v>2470</v>
      </c>
      <c r="J455" s="0" t="s">
        <v>2471</v>
      </c>
      <c r="K455" s="0" t="s">
        <v>160</v>
      </c>
      <c r="M455" s="0" t="s">
        <v>2472</v>
      </c>
      <c r="N455" s="0" t="str">
        <f aca="false">RIGHT(M455,LEN(M455)-FIND(" ",M455))</f>
        <v>DRAPER AVE SE</v>
      </c>
      <c r="P455" s="0" t="s">
        <v>145</v>
      </c>
      <c r="Q455" s="0" t="s">
        <v>146</v>
      </c>
      <c r="R455" s="0" t="n">
        <v>44484</v>
      </c>
      <c r="AD455" s="0" t="s">
        <v>147</v>
      </c>
      <c r="AE455" s="0" t="s">
        <v>148</v>
      </c>
      <c r="AF455" s="0" t="s">
        <v>149</v>
      </c>
      <c r="AH455" s="0" t="n">
        <v>14</v>
      </c>
      <c r="AI455" s="0" t="n">
        <v>11</v>
      </c>
      <c r="AN455" s="0" t="s">
        <v>145</v>
      </c>
      <c r="AO455" s="0" t="s">
        <v>233</v>
      </c>
      <c r="AP455" s="0" t="s">
        <v>234</v>
      </c>
      <c r="AQ455" s="0" t="n">
        <v>9</v>
      </c>
      <c r="AR455" s="0" t="n">
        <v>64</v>
      </c>
      <c r="AS455" s="0" t="n">
        <v>32</v>
      </c>
      <c r="AU455" s="0" t="n">
        <f aca="false">COUNTA($BA$2556:$EH$2556)</f>
        <v>6</v>
      </c>
      <c r="AV455" s="0" t="n">
        <f aca="false">COUNTIF($BA$2556:$EH$2556,"D")</f>
        <v>0</v>
      </c>
      <c r="AW455" s="0" t="n">
        <f aca="false">COUNTIF($BA$2556:$EH$2556,"R")</f>
        <v>0</v>
      </c>
      <c r="AX455" s="0" t="n">
        <f aca="false">IF(BN455="D",1,0)+IF(BO455="D",1,0)+IF(BT455="D",1,0)+IF(BU455="D",1,0)+IF(BW455="D",1,0)+IF(CC455="D",1,0)+IF(CD455="D",1,0)+IF(CE455="D",1,0)+IF(CF455="D",1,0)+IF(CL455="D",1,0)+IF(CM455="D",1,0)+IF(CQ455="D",1,0)+IF(CR455="D",1,0)+IF(CS455="D",1,0)+IF(CW455="D",1,0)+IF(CX455="D",1,0)+IF(DD455="D",1,0)+IF(DE455="D",1,0)+IF(DJ455="D",1,0)+IF(DK455="D",1,0)+IF(DO455="D",1,0)+IF(DP455="D",1,0)+IF(DQ455="D",1,0)+IF(DW455="D",1,0)+IF(DZ455="D",1,0)+IF(EH455="D",1,0)</f>
        <v>0</v>
      </c>
      <c r="AY455" s="0" t="n">
        <f aca="false">COUNTIF(DU455:EH455, "&lt;&gt;")</f>
        <v>1</v>
      </c>
      <c r="AZ455" s="0" t="n">
        <f aca="false">IF(EH455&lt;&gt;"",1,0)</f>
        <v>0</v>
      </c>
      <c r="BB455" s="0" t="s">
        <v>152</v>
      </c>
      <c r="CA455" s="0" t="s">
        <v>153</v>
      </c>
      <c r="CP455" s="0" t="s">
        <v>153</v>
      </c>
      <c r="DN455" s="0" t="s">
        <v>153</v>
      </c>
      <c r="DU455" s="0" t="s">
        <v>153</v>
      </c>
    </row>
    <row r="456" customFormat="false" ht="13.8" hidden="false" customHeight="false" outlineLevel="0" collapsed="false">
      <c r="A456" s="0" t="s">
        <v>2473</v>
      </c>
      <c r="B456" s="0" t="n">
        <v>78</v>
      </c>
      <c r="C456" s="0" t="n">
        <v>159536</v>
      </c>
      <c r="D456" s="0" t="s">
        <v>2474</v>
      </c>
      <c r="E456" s="0" t="s">
        <v>2475</v>
      </c>
      <c r="F456" s="0" t="str">
        <f aca="false">CONCATENATE(D456," ",LEFT(H456,4),"T=",AU456,"D=",AV456,"R=",AW456,"M=",AX456,"L=",AY456,"B=",AZ456)</f>
        <v>STEVENSON T=6D=0R=0M=2L=4B=1</v>
      </c>
      <c r="G456" s="0" t="s">
        <v>325</v>
      </c>
      <c r="I456" s="0" t="s">
        <v>2476</v>
      </c>
      <c r="J456" s="0" t="s">
        <v>2477</v>
      </c>
      <c r="K456" s="0" t="s">
        <v>160</v>
      </c>
      <c r="L456" s="0" t="s">
        <v>175</v>
      </c>
      <c r="M456" s="0" t="s">
        <v>2478</v>
      </c>
      <c r="N456" s="0" t="str">
        <f aca="false">RIGHT(M456,LEN(M456)-FIND(" ",M456))</f>
        <v>DRAPER AVE SE</v>
      </c>
      <c r="P456" s="0" t="s">
        <v>145</v>
      </c>
      <c r="Q456" s="0" t="s">
        <v>146</v>
      </c>
      <c r="R456" s="0" t="n">
        <v>44484</v>
      </c>
      <c r="AD456" s="0" t="s">
        <v>147</v>
      </c>
      <c r="AE456" s="0" t="s">
        <v>148</v>
      </c>
      <c r="AF456" s="0" t="s">
        <v>149</v>
      </c>
      <c r="AH456" s="0" t="n">
        <v>14</v>
      </c>
      <c r="AI456" s="0" t="n">
        <v>11</v>
      </c>
      <c r="AN456" s="0" t="s">
        <v>145</v>
      </c>
      <c r="AO456" s="0" t="s">
        <v>233</v>
      </c>
      <c r="AP456" s="0" t="s">
        <v>234</v>
      </c>
      <c r="AQ456" s="0" t="n">
        <v>9</v>
      </c>
      <c r="AR456" s="0" t="n">
        <v>64</v>
      </c>
      <c r="AS456" s="0" t="n">
        <v>32</v>
      </c>
      <c r="AU456" s="0" t="n">
        <f aca="false">COUNTA($BA$2123:$EH$2123)</f>
        <v>6</v>
      </c>
      <c r="AV456" s="0" t="n">
        <f aca="false">COUNTIF($BA$2123:$EH$2123,"D")</f>
        <v>0</v>
      </c>
      <c r="AW456" s="0" t="n">
        <f aca="false">COUNTIF($BA$2123:$EH$2123,"R")</f>
        <v>0</v>
      </c>
      <c r="AX456" s="0" t="n">
        <f aca="false">IF(BN456="D",1,0)+IF(BO456="D",1,0)+IF(BT456="D",1,0)+IF(BU456="D",1,0)+IF(BW456="D",1,0)+IF(CC456="D",1,0)+IF(CD456="D",1,0)+IF(CE456="D",1,0)+IF(CF456="D",1,0)+IF(CL456="D",1,0)+IF(CM456="D",1,0)+IF(CQ456="D",1,0)+IF(CR456="D",1,0)+IF(CS456="D",1,0)+IF(CW456="D",1,0)+IF(CX456="D",1,0)+IF(DD456="D",1,0)+IF(DE456="D",1,0)+IF(DJ456="D",1,0)+IF(DK456="D",1,0)+IF(DO456="D",1,0)+IF(DP456="D",1,0)+IF(DQ456="D",1,0)+IF(DW456="D",1,0)+IF(DZ456="D",1,0)+IF(EH456="D",1,0)</f>
        <v>2</v>
      </c>
      <c r="AY456" s="0" t="n">
        <f aca="false">COUNTIF(DU456:EH456, "&lt;&gt;")</f>
        <v>4</v>
      </c>
      <c r="AZ456" s="0" t="n">
        <f aca="false">IF(EH456&lt;&gt;"",1,0)</f>
        <v>1</v>
      </c>
      <c r="BB456" s="0" t="s">
        <v>152</v>
      </c>
      <c r="BC456" s="0" t="s">
        <v>153</v>
      </c>
      <c r="BD456" s="0" t="s">
        <v>153</v>
      </c>
      <c r="BF456" s="0" t="s">
        <v>153</v>
      </c>
      <c r="BI456" s="0" t="s">
        <v>153</v>
      </c>
      <c r="BJ456" s="0" t="s">
        <v>153</v>
      </c>
      <c r="BL456" s="0" t="s">
        <v>153</v>
      </c>
      <c r="BR456" s="0" t="s">
        <v>153</v>
      </c>
      <c r="BS456" s="0" t="s">
        <v>153</v>
      </c>
      <c r="BV456" s="0" t="s">
        <v>153</v>
      </c>
      <c r="BY456" s="0" t="s">
        <v>175</v>
      </c>
      <c r="CA456" s="0" t="s">
        <v>153</v>
      </c>
      <c r="CG456" s="0" t="s">
        <v>153</v>
      </c>
      <c r="CK456" s="0" t="s">
        <v>153</v>
      </c>
      <c r="CN456" s="0" t="s">
        <v>153</v>
      </c>
      <c r="CP456" s="0" t="s">
        <v>153</v>
      </c>
      <c r="CV456" s="0" t="s">
        <v>153</v>
      </c>
      <c r="CW456" s="0" t="s">
        <v>175</v>
      </c>
      <c r="CY456" s="0" t="s">
        <v>153</v>
      </c>
      <c r="CZ456" s="0" t="s">
        <v>175</v>
      </c>
      <c r="DC456" s="0" t="s">
        <v>153</v>
      </c>
      <c r="DI456" s="0" t="s">
        <v>153</v>
      </c>
      <c r="DL456" s="0" t="s">
        <v>153</v>
      </c>
      <c r="DN456" s="0" t="s">
        <v>153</v>
      </c>
      <c r="DR456" s="0" t="s">
        <v>153</v>
      </c>
      <c r="DS456" s="0" t="s">
        <v>175</v>
      </c>
      <c r="DU456" s="0" t="s">
        <v>153</v>
      </c>
      <c r="DX456" s="0" t="s">
        <v>153</v>
      </c>
      <c r="EF456" s="0" t="s">
        <v>153</v>
      </c>
      <c r="EH456" s="0" t="s">
        <v>175</v>
      </c>
    </row>
    <row r="457" customFormat="false" ht="13.8" hidden="true" customHeight="false" outlineLevel="0" collapsed="false">
      <c r="A457" s="0" t="s">
        <v>2479</v>
      </c>
      <c r="B457" s="0" t="n">
        <v>78</v>
      </c>
      <c r="C457" s="0" t="n">
        <v>248614</v>
      </c>
      <c r="D457" s="0" t="s">
        <v>2480</v>
      </c>
      <c r="E457" s="0" t="s">
        <v>615</v>
      </c>
      <c r="F457" s="0" t="str">
        <f aca="false">CONCATENATE(D457," ",LEFT(H457,4),"T=",AU457,"D=",AV457,"R=",AW457,"M=",AX457,"L=",AY457,"B=",AZ457)</f>
        <v>BUTTS T=3D=0R=0M=0L=0B=0</v>
      </c>
      <c r="G457" s="0" t="s">
        <v>1031</v>
      </c>
      <c r="I457" s="0" t="s">
        <v>2481</v>
      </c>
      <c r="J457" s="0" t="s">
        <v>2482</v>
      </c>
      <c r="K457" s="0" t="s">
        <v>143</v>
      </c>
      <c r="M457" s="0" t="s">
        <v>2483</v>
      </c>
      <c r="N457" s="0" t="str">
        <f aca="false">RIGHT(M457,LEN(M457)-FIND(" ",M457))</f>
        <v>DRAPER AVE SE</v>
      </c>
      <c r="P457" s="0" t="s">
        <v>145</v>
      </c>
      <c r="Q457" s="0" t="s">
        <v>146</v>
      </c>
      <c r="R457" s="0" t="n">
        <v>44484</v>
      </c>
      <c r="AD457" s="0" t="s">
        <v>147</v>
      </c>
      <c r="AE457" s="0" t="s">
        <v>148</v>
      </c>
      <c r="AF457" s="0" t="s">
        <v>149</v>
      </c>
      <c r="AH457" s="0" t="n">
        <v>14</v>
      </c>
      <c r="AI457" s="0" t="n">
        <v>11</v>
      </c>
      <c r="AN457" s="0" t="s">
        <v>145</v>
      </c>
      <c r="AO457" s="0" t="s">
        <v>233</v>
      </c>
      <c r="AP457" s="0" t="s">
        <v>234</v>
      </c>
      <c r="AQ457" s="0" t="n">
        <v>9</v>
      </c>
      <c r="AR457" s="0" t="n">
        <v>64</v>
      </c>
      <c r="AS457" s="0" t="n">
        <v>32</v>
      </c>
      <c r="AU457" s="0" t="n">
        <f aca="false">COUNTA($BA$2362:$EH$2362)</f>
        <v>3</v>
      </c>
      <c r="AV457" s="0" t="n">
        <f aca="false">COUNTIF($BA$2362:$EH$2362,"D")</f>
        <v>0</v>
      </c>
      <c r="AW457" s="0" t="n">
        <f aca="false">COUNTIF($BA$2362:$EH$2362,"R")</f>
        <v>0</v>
      </c>
      <c r="AX457" s="0" t="n">
        <f aca="false">IF(BN457="D",1,0)+IF(BO457="D",1,0)+IF(BT457="D",1,0)+IF(BU457="D",1,0)+IF(BW457="D",1,0)+IF(CC457="D",1,0)+IF(CD457="D",1,0)+IF(CE457="D",1,0)+IF(CF457="D",1,0)+IF(CL457="D",1,0)+IF(CM457="D",1,0)+IF(CQ457="D",1,0)+IF(CR457="D",1,0)+IF(CS457="D",1,0)+IF(CW457="D",1,0)+IF(CX457="D",1,0)+IF(DD457="D",1,0)+IF(DE457="D",1,0)+IF(DJ457="D",1,0)+IF(DK457="D",1,0)+IF(DO457="D",1,0)+IF(DP457="D",1,0)+IF(DQ457="D",1,0)+IF(DW457="D",1,0)+IF(DZ457="D",1,0)+IF(EH457="D",1,0)</f>
        <v>0</v>
      </c>
      <c r="AY457" s="0" t="n">
        <f aca="false">COUNTIF(DU457:EH457, "&lt;&gt;")</f>
        <v>0</v>
      </c>
      <c r="AZ457" s="0" t="n">
        <f aca="false">IF(EH457&lt;&gt;"",1,0)</f>
        <v>0</v>
      </c>
      <c r="BB457" s="0" t="s">
        <v>152</v>
      </c>
    </row>
    <row r="458" customFormat="false" ht="13.8" hidden="true" customHeight="false" outlineLevel="0" collapsed="false">
      <c r="A458" s="0" t="s">
        <v>2484</v>
      </c>
      <c r="B458" s="0" t="n">
        <v>78</v>
      </c>
      <c r="C458" s="0" t="n">
        <v>328426</v>
      </c>
      <c r="D458" s="0" t="s">
        <v>2485</v>
      </c>
      <c r="E458" s="0" t="s">
        <v>2486</v>
      </c>
      <c r="F458" s="0" t="str">
        <f aca="false">CONCATENATE(D458," ",LEFT(H458,4),"T=",AU458,"D=",AV458,"R=",AW458,"M=",AX458,"L=",AY458,"B=",AZ458)</f>
        <v>DELANEY T=22D=5R=0M=0L=0B=0</v>
      </c>
      <c r="G458" s="0" t="s">
        <v>522</v>
      </c>
      <c r="I458" s="0" t="s">
        <v>2487</v>
      </c>
      <c r="J458" s="0" t="s">
        <v>2488</v>
      </c>
      <c r="K458" s="0" t="s">
        <v>143</v>
      </c>
      <c r="M458" s="0" t="s">
        <v>2483</v>
      </c>
      <c r="N458" s="0" t="str">
        <f aca="false">RIGHT(M458,LEN(M458)-FIND(" ",M458))</f>
        <v>DRAPER AVE SE</v>
      </c>
      <c r="P458" s="0" t="s">
        <v>145</v>
      </c>
      <c r="Q458" s="0" t="s">
        <v>146</v>
      </c>
      <c r="R458" s="0" t="n">
        <v>44484</v>
      </c>
      <c r="AD458" s="0" t="s">
        <v>147</v>
      </c>
      <c r="AE458" s="0" t="s">
        <v>148</v>
      </c>
      <c r="AF458" s="0" t="s">
        <v>149</v>
      </c>
      <c r="AH458" s="0" t="n">
        <v>14</v>
      </c>
      <c r="AI458" s="0" t="n">
        <v>11</v>
      </c>
      <c r="AN458" s="0" t="s">
        <v>145</v>
      </c>
      <c r="AO458" s="0" t="s">
        <v>233</v>
      </c>
      <c r="AP458" s="0" t="s">
        <v>234</v>
      </c>
      <c r="AQ458" s="0" t="n">
        <v>9</v>
      </c>
      <c r="AR458" s="0" t="n">
        <v>64</v>
      </c>
      <c r="AS458" s="0" t="n">
        <v>32</v>
      </c>
      <c r="AU458" s="0" t="n">
        <f aca="false">COUNTA($BA$2370:$EH$2370)</f>
        <v>22</v>
      </c>
      <c r="AV458" s="0" t="n">
        <f aca="false">COUNTIF($BA$2370:$EH$2370,"D")</f>
        <v>5</v>
      </c>
      <c r="AW458" s="0" t="n">
        <f aca="false">COUNTIF($BA$2370:$EH$2370,"R")</f>
        <v>0</v>
      </c>
      <c r="AX458" s="0" t="n">
        <f aca="false">IF(BN458="D",1,0)+IF(BO458="D",1,0)+IF(BT458="D",1,0)+IF(BU458="D",1,0)+IF(BW458="D",1,0)+IF(CC458="D",1,0)+IF(CD458="D",1,0)+IF(CE458="D",1,0)+IF(CF458="D",1,0)+IF(CL458="D",1,0)+IF(CM458="D",1,0)+IF(CQ458="D",1,0)+IF(CR458="D",1,0)+IF(CS458="D",1,0)+IF(CW458="D",1,0)+IF(CX458="D",1,0)+IF(DD458="D",1,0)+IF(DE458="D",1,0)+IF(DJ458="D",1,0)+IF(DK458="D",1,0)+IF(DO458="D",1,0)+IF(DP458="D",1,0)+IF(DQ458="D",1,0)+IF(DW458="D",1,0)+IF(DZ458="D",1,0)+IF(EH458="D",1,0)</f>
        <v>0</v>
      </c>
      <c r="AY458" s="0" t="n">
        <f aca="false">COUNTIF(DU458:EH458, "&lt;&gt;")</f>
        <v>0</v>
      </c>
      <c r="AZ458" s="0" t="n">
        <f aca="false">IF(EH458&lt;&gt;"",1,0)</f>
        <v>0</v>
      </c>
      <c r="BB458" s="0" t="s">
        <v>152</v>
      </c>
    </row>
    <row r="459" customFormat="false" ht="13.8" hidden="false" customHeight="false" outlineLevel="0" collapsed="false">
      <c r="A459" s="0" t="s">
        <v>2489</v>
      </c>
      <c r="B459" s="0" t="n">
        <v>78</v>
      </c>
      <c r="C459" s="0" t="n">
        <v>147349</v>
      </c>
      <c r="D459" s="0" t="s">
        <v>784</v>
      </c>
      <c r="E459" s="0" t="s">
        <v>2490</v>
      </c>
      <c r="F459" s="0" t="str">
        <f aca="false">CONCATENATE(D459," ",LEFT(H459,4),"T=",AU459,"D=",AV459,"R=",AW459,"M=",AX459,"L=",AY459,"B=",AZ459)</f>
        <v>BUTLER T=1D=0R=0M=2L=4B=0</v>
      </c>
      <c r="I459" s="0" t="s">
        <v>2491</v>
      </c>
      <c r="J459" s="0" t="s">
        <v>2492</v>
      </c>
      <c r="K459" s="0" t="s">
        <v>160</v>
      </c>
      <c r="L459" s="0" t="s">
        <v>175</v>
      </c>
      <c r="M459" s="0" t="s">
        <v>2493</v>
      </c>
      <c r="N459" s="0" t="str">
        <f aca="false">RIGHT(M459,LEN(M459)-FIND(" ",M459))</f>
        <v>DRAPER AVE SE</v>
      </c>
      <c r="P459" s="0" t="s">
        <v>145</v>
      </c>
      <c r="Q459" s="0" t="s">
        <v>146</v>
      </c>
      <c r="R459" s="0" t="n">
        <v>44484</v>
      </c>
      <c r="AD459" s="0" t="s">
        <v>147</v>
      </c>
      <c r="AE459" s="0" t="s">
        <v>148</v>
      </c>
      <c r="AF459" s="0" t="s">
        <v>149</v>
      </c>
      <c r="AH459" s="0" t="n">
        <v>14</v>
      </c>
      <c r="AI459" s="0" t="n">
        <v>11</v>
      </c>
      <c r="AN459" s="0" t="s">
        <v>145</v>
      </c>
      <c r="AO459" s="0" t="s">
        <v>233</v>
      </c>
      <c r="AP459" s="0" t="s">
        <v>234</v>
      </c>
      <c r="AQ459" s="0" t="n">
        <v>9</v>
      </c>
      <c r="AR459" s="0" t="n">
        <v>64</v>
      </c>
      <c r="AS459" s="0" t="n">
        <v>32</v>
      </c>
      <c r="AU459" s="0" t="n">
        <f aca="false">COUNTA($BA$2117:$EH$2117)</f>
        <v>1</v>
      </c>
      <c r="AV459" s="0" t="n">
        <f aca="false">COUNTIF($BA$2117:$EH$2117,"D")</f>
        <v>0</v>
      </c>
      <c r="AW459" s="0" t="n">
        <f aca="false">COUNTIF($BA$2117:$EH$2117,"R")</f>
        <v>0</v>
      </c>
      <c r="AX459" s="0" t="n">
        <f aca="false">IF(BN459="D",1,0)+IF(BO459="D",1,0)+IF(BT459="D",1,0)+IF(BU459="D",1,0)+IF(BW459="D",1,0)+IF(CC459="D",1,0)+IF(CD459="D",1,0)+IF(CE459="D",1,0)+IF(CF459="D",1,0)+IF(CL459="D",1,0)+IF(CM459="D",1,0)+IF(CQ459="D",1,0)+IF(CR459="D",1,0)+IF(CS459="D",1,0)+IF(CW459="D",1,0)+IF(CX459="D",1,0)+IF(DD459="D",1,0)+IF(DE459="D",1,0)+IF(DJ459="D",1,0)+IF(DK459="D",1,0)+IF(DO459="D",1,0)+IF(DP459="D",1,0)+IF(DQ459="D",1,0)+IF(DW459="D",1,0)+IF(DZ459="D",1,0)+IF(EH459="D",1,0)</f>
        <v>2</v>
      </c>
      <c r="AY459" s="0" t="n">
        <f aca="false">COUNTIF(DU459:EH459, "&lt;&gt;")</f>
        <v>4</v>
      </c>
      <c r="AZ459" s="0" t="n">
        <f aca="false">IF(EH459&lt;&gt;"",1,0)</f>
        <v>0</v>
      </c>
      <c r="BB459" s="0" t="s">
        <v>152</v>
      </c>
      <c r="BC459" s="0" t="s">
        <v>153</v>
      </c>
      <c r="BD459" s="0" t="s">
        <v>153</v>
      </c>
      <c r="BH459" s="0" t="s">
        <v>153</v>
      </c>
      <c r="BJ459" s="0" t="s">
        <v>153</v>
      </c>
      <c r="BL459" s="0" t="s">
        <v>153</v>
      </c>
      <c r="BP459" s="0" t="s">
        <v>153</v>
      </c>
      <c r="BR459" s="0" t="s">
        <v>153</v>
      </c>
      <c r="BS459" s="0" t="s">
        <v>153</v>
      </c>
      <c r="BY459" s="0" t="s">
        <v>175</v>
      </c>
      <c r="CA459" s="0" t="s">
        <v>153</v>
      </c>
      <c r="CG459" s="0" t="s">
        <v>153</v>
      </c>
      <c r="CK459" s="0" t="s">
        <v>153</v>
      </c>
      <c r="CL459" s="0" t="s">
        <v>175</v>
      </c>
      <c r="CN459" s="0" t="s">
        <v>153</v>
      </c>
      <c r="CP459" s="0" t="s">
        <v>153</v>
      </c>
      <c r="CV459" s="0" t="s">
        <v>153</v>
      </c>
      <c r="CY459" s="0" t="s">
        <v>153</v>
      </c>
      <c r="DC459" s="0" t="s">
        <v>153</v>
      </c>
      <c r="DI459" s="0" t="s">
        <v>153</v>
      </c>
      <c r="DL459" s="0" t="s">
        <v>153</v>
      </c>
      <c r="DN459" s="0" t="s">
        <v>153</v>
      </c>
      <c r="DU459" s="0" t="s">
        <v>153</v>
      </c>
      <c r="DW459" s="0" t="s">
        <v>175</v>
      </c>
      <c r="EA459" s="0" t="s">
        <v>153</v>
      </c>
      <c r="EF459" s="0" t="s">
        <v>153</v>
      </c>
    </row>
    <row r="460" customFormat="false" ht="13.8" hidden="true" customHeight="false" outlineLevel="0" collapsed="false">
      <c r="A460" s="0" t="s">
        <v>2494</v>
      </c>
      <c r="B460" s="0" t="n">
        <v>78</v>
      </c>
      <c r="C460" s="0" t="n">
        <v>422243</v>
      </c>
      <c r="D460" s="0" t="s">
        <v>2495</v>
      </c>
      <c r="E460" s="0" t="s">
        <v>2496</v>
      </c>
      <c r="F460" s="0" t="str">
        <f aca="false">CONCATENATE(D460," ",LEFT(H460,4),"T=",AU460,"D=",AV460,"R=",AW460,"M=",AX460,"L=",AY460,"B=",AZ460)</f>
        <v>BROOKS T=1D=0R=0M=0L=0B=0</v>
      </c>
      <c r="G460" s="0" t="s">
        <v>202</v>
      </c>
      <c r="I460" s="0" t="s">
        <v>2497</v>
      </c>
      <c r="J460" s="0" t="s">
        <v>2498</v>
      </c>
      <c r="K460" s="0" t="s">
        <v>160</v>
      </c>
      <c r="M460" s="0" t="s">
        <v>2493</v>
      </c>
      <c r="N460" s="0" t="str">
        <f aca="false">RIGHT(M460,LEN(M460)-FIND(" ",M460))</f>
        <v>DRAPER AVE SE</v>
      </c>
      <c r="P460" s="0" t="s">
        <v>145</v>
      </c>
      <c r="Q460" s="0" t="s">
        <v>146</v>
      </c>
      <c r="R460" s="0" t="n">
        <v>44484</v>
      </c>
      <c r="AD460" s="0" t="s">
        <v>147</v>
      </c>
      <c r="AE460" s="0" t="s">
        <v>148</v>
      </c>
      <c r="AF460" s="0" t="s">
        <v>149</v>
      </c>
      <c r="AH460" s="0" t="n">
        <v>14</v>
      </c>
      <c r="AI460" s="0" t="n">
        <v>11</v>
      </c>
      <c r="AN460" s="0" t="s">
        <v>145</v>
      </c>
      <c r="AO460" s="0" t="s">
        <v>233</v>
      </c>
      <c r="AP460" s="0" t="s">
        <v>234</v>
      </c>
      <c r="AQ460" s="0" t="n">
        <v>9</v>
      </c>
      <c r="AR460" s="0" t="n">
        <v>64</v>
      </c>
      <c r="AS460" s="0" t="n">
        <v>32</v>
      </c>
      <c r="AU460" s="0" t="n">
        <f aca="false">COUNTA($BA$2168:$EH$2168)</f>
        <v>1</v>
      </c>
      <c r="AV460" s="0" t="n">
        <f aca="false">COUNTIF($BA$2168:$EH$2168,"D")</f>
        <v>0</v>
      </c>
      <c r="AW460" s="0" t="n">
        <f aca="false">COUNTIF($BA$2168:$EH$2168,"R")</f>
        <v>0</v>
      </c>
      <c r="AX460" s="0" t="n">
        <f aca="false">IF(BN460="D",1,0)+IF(BO460="D",1,0)+IF(BT460="D",1,0)+IF(BU460="D",1,0)+IF(BW460="D",1,0)+IF(CC460="D",1,0)+IF(CD460="D",1,0)+IF(CE460="D",1,0)+IF(CF460="D",1,0)+IF(CL460="D",1,0)+IF(CM460="D",1,0)+IF(CQ460="D",1,0)+IF(CR460="D",1,0)+IF(CS460="D",1,0)+IF(CW460="D",1,0)+IF(CX460="D",1,0)+IF(DD460="D",1,0)+IF(DE460="D",1,0)+IF(DJ460="D",1,0)+IF(DK460="D",1,0)+IF(DO460="D",1,0)+IF(DP460="D",1,0)+IF(DQ460="D",1,0)+IF(DW460="D",1,0)+IF(DZ460="D",1,0)+IF(EH460="D",1,0)</f>
        <v>0</v>
      </c>
      <c r="AY460" s="0" t="n">
        <f aca="false">COUNTIF(DU460:EH460, "&lt;&gt;")</f>
        <v>0</v>
      </c>
      <c r="AZ460" s="0" t="n">
        <f aca="false">IF(EH460&lt;&gt;"",1,0)</f>
        <v>0</v>
      </c>
      <c r="BB460" s="0" t="s">
        <v>152</v>
      </c>
      <c r="DC460" s="0" t="s">
        <v>153</v>
      </c>
      <c r="DI460" s="0" t="s">
        <v>153</v>
      </c>
      <c r="DN460" s="0" t="s">
        <v>153</v>
      </c>
    </row>
    <row r="461" customFormat="false" ht="13.8" hidden="false" customHeight="false" outlineLevel="0" collapsed="false">
      <c r="A461" s="0" t="s">
        <v>2499</v>
      </c>
      <c r="B461" s="0" t="n">
        <v>78</v>
      </c>
      <c r="C461" s="0" t="n">
        <v>421152</v>
      </c>
      <c r="D461" s="0" t="s">
        <v>784</v>
      </c>
      <c r="E461" s="0" t="s">
        <v>2500</v>
      </c>
      <c r="F461" s="0" t="str">
        <f aca="false">CONCATENATE(D461," ",LEFT(H461,4),"T=",AU461,"D=",AV461,"R=",AW461,"M=",AX461,"L=",AY461,"B=",AZ461)</f>
        <v>BUTLER T=1D=0R=0M=0L=2B=0</v>
      </c>
      <c r="G461" s="0" t="s">
        <v>2501</v>
      </c>
      <c r="I461" s="0" t="s">
        <v>2502</v>
      </c>
      <c r="J461" s="0" t="s">
        <v>2503</v>
      </c>
      <c r="K461" s="0" t="s">
        <v>160</v>
      </c>
      <c r="M461" s="0" t="s">
        <v>2493</v>
      </c>
      <c r="N461" s="0" t="str">
        <f aca="false">RIGHT(M461,LEN(M461)-FIND(" ",M461))</f>
        <v>DRAPER AVE SE</v>
      </c>
      <c r="P461" s="0" t="s">
        <v>145</v>
      </c>
      <c r="Q461" s="0" t="s">
        <v>146</v>
      </c>
      <c r="R461" s="0" t="n">
        <v>44484</v>
      </c>
      <c r="AD461" s="0" t="s">
        <v>147</v>
      </c>
      <c r="AE461" s="0" t="s">
        <v>148</v>
      </c>
      <c r="AF461" s="0" t="s">
        <v>149</v>
      </c>
      <c r="AH461" s="0" t="n">
        <v>14</v>
      </c>
      <c r="AI461" s="0" t="n">
        <v>11</v>
      </c>
      <c r="AN461" s="0" t="s">
        <v>145</v>
      </c>
      <c r="AO461" s="0" t="s">
        <v>233</v>
      </c>
      <c r="AP461" s="0" t="s">
        <v>234</v>
      </c>
      <c r="AQ461" s="0" t="n">
        <v>9</v>
      </c>
      <c r="AR461" s="0" t="n">
        <v>64</v>
      </c>
      <c r="AS461" s="0" t="n">
        <v>32</v>
      </c>
      <c r="AU461" s="0" t="n">
        <f aca="false">COUNTA($BA$2183:$EH$2183)</f>
        <v>1</v>
      </c>
      <c r="AV461" s="0" t="n">
        <f aca="false">COUNTIF($BA$2183:$EH$2183,"D")</f>
        <v>0</v>
      </c>
      <c r="AW461" s="0" t="n">
        <f aca="false">COUNTIF($BA$2183:$EH$2183,"R")</f>
        <v>0</v>
      </c>
      <c r="AX461" s="0" t="n">
        <f aca="false">IF(BN461="D",1,0)+IF(BO461="D",1,0)+IF(BT461="D",1,0)+IF(BU461="D",1,0)+IF(BW461="D",1,0)+IF(CC461="D",1,0)+IF(CD461="D",1,0)+IF(CE461="D",1,0)+IF(CF461="D",1,0)+IF(CL461="D",1,0)+IF(CM461="D",1,0)+IF(CQ461="D",1,0)+IF(CR461="D",1,0)+IF(CS461="D",1,0)+IF(CW461="D",1,0)+IF(CX461="D",1,0)+IF(DD461="D",1,0)+IF(DE461="D",1,0)+IF(DJ461="D",1,0)+IF(DK461="D",1,0)+IF(DO461="D",1,0)+IF(DP461="D",1,0)+IF(DQ461="D",1,0)+IF(DW461="D",1,0)+IF(DZ461="D",1,0)+IF(EH461="D",1,0)</f>
        <v>0</v>
      </c>
      <c r="AY461" s="0" t="n">
        <f aca="false">COUNTIF(DU461:EH461, "&lt;&gt;")</f>
        <v>2</v>
      </c>
      <c r="AZ461" s="0" t="n">
        <f aca="false">IF(EH461&lt;&gt;"",1,0)</f>
        <v>0</v>
      </c>
      <c r="BB461" s="0" t="s">
        <v>152</v>
      </c>
      <c r="BD461" s="0" t="s">
        <v>153</v>
      </c>
      <c r="BH461" s="0" t="s">
        <v>153</v>
      </c>
      <c r="BL461" s="0" t="s">
        <v>153</v>
      </c>
      <c r="BY461" s="0" t="s">
        <v>175</v>
      </c>
      <c r="CA461" s="0" t="s">
        <v>153</v>
      </c>
      <c r="DC461" s="0" t="s">
        <v>153</v>
      </c>
      <c r="DN461" s="0" t="s">
        <v>153</v>
      </c>
      <c r="EA461" s="0" t="s">
        <v>153</v>
      </c>
      <c r="EF461" s="0" t="s">
        <v>153</v>
      </c>
    </row>
    <row r="462" customFormat="false" ht="13.8" hidden="true" customHeight="false" outlineLevel="0" collapsed="false">
      <c r="A462" s="0" t="s">
        <v>2504</v>
      </c>
      <c r="B462" s="0" t="n">
        <v>78</v>
      </c>
      <c r="C462" s="0" t="n">
        <v>409005</v>
      </c>
      <c r="D462" s="0" t="s">
        <v>2233</v>
      </c>
      <c r="E462" s="0" t="s">
        <v>2505</v>
      </c>
      <c r="F462" s="0" t="str">
        <f aca="false">CONCATENATE(D462," ",LEFT(H462,4),"T=",AU462,"D=",AV462,"R=",AW462,"M=",AX462,"L=",AY462,"B=",AZ462)</f>
        <v>WATSON T=2D=0R=0M=0L=1B=0</v>
      </c>
      <c r="I462" s="0" t="s">
        <v>2506</v>
      </c>
      <c r="J462" s="0" t="s">
        <v>411</v>
      </c>
      <c r="K462" s="0" t="s">
        <v>160</v>
      </c>
      <c r="M462" s="0" t="s">
        <v>2507</v>
      </c>
      <c r="N462" s="0" t="str">
        <f aca="false">RIGHT(M462,LEN(M462)-FIND(" ",M462))</f>
        <v>DRAPER AVE SE</v>
      </c>
      <c r="P462" s="0" t="s">
        <v>145</v>
      </c>
      <c r="Q462" s="0" t="s">
        <v>146</v>
      </c>
      <c r="R462" s="0" t="n">
        <v>44484</v>
      </c>
      <c r="AD462" s="0" t="s">
        <v>147</v>
      </c>
      <c r="AE462" s="0" t="s">
        <v>148</v>
      </c>
      <c r="AF462" s="0" t="s">
        <v>149</v>
      </c>
      <c r="AH462" s="0" t="n">
        <v>14</v>
      </c>
      <c r="AI462" s="0" t="n">
        <v>11</v>
      </c>
      <c r="AN462" s="0" t="s">
        <v>145</v>
      </c>
      <c r="AO462" s="0" t="s">
        <v>233</v>
      </c>
      <c r="AP462" s="0" t="s">
        <v>234</v>
      </c>
      <c r="AQ462" s="0" t="n">
        <v>9</v>
      </c>
      <c r="AR462" s="0" t="n">
        <v>64</v>
      </c>
      <c r="AS462" s="0" t="n">
        <v>32</v>
      </c>
      <c r="AU462" s="0" t="n">
        <f aca="false">COUNTA($BA$2301:$EH$2301)</f>
        <v>2</v>
      </c>
      <c r="AV462" s="0" t="n">
        <f aca="false">COUNTIF($BA$2301:$EH$2301,"D")</f>
        <v>0</v>
      </c>
      <c r="AW462" s="0" t="n">
        <f aca="false">COUNTIF($BA$2301:$EH$2301,"R")</f>
        <v>0</v>
      </c>
      <c r="AX462" s="0" t="n">
        <f aca="false">IF(BN462="D",1,0)+IF(BO462="D",1,0)+IF(BT462="D",1,0)+IF(BU462="D",1,0)+IF(BW462="D",1,0)+IF(CC462="D",1,0)+IF(CD462="D",1,0)+IF(CE462="D",1,0)+IF(CF462="D",1,0)+IF(CL462="D",1,0)+IF(CM462="D",1,0)+IF(CQ462="D",1,0)+IF(CR462="D",1,0)+IF(CS462="D",1,0)+IF(CW462="D",1,0)+IF(CX462="D",1,0)+IF(DD462="D",1,0)+IF(DE462="D",1,0)+IF(DJ462="D",1,0)+IF(DK462="D",1,0)+IF(DO462="D",1,0)+IF(DP462="D",1,0)+IF(DQ462="D",1,0)+IF(DW462="D",1,0)+IF(DZ462="D",1,0)+IF(EH462="D",1,0)</f>
        <v>0</v>
      </c>
      <c r="AY462" s="0" t="n">
        <f aca="false">COUNTIF(DU462:EH462, "&lt;&gt;")</f>
        <v>1</v>
      </c>
      <c r="AZ462" s="0" t="n">
        <f aca="false">IF(EH462&lt;&gt;"",1,0)</f>
        <v>0</v>
      </c>
      <c r="BB462" s="0" t="s">
        <v>152</v>
      </c>
      <c r="BJ462" s="0" t="s">
        <v>153</v>
      </c>
      <c r="BL462" s="0" t="s">
        <v>153</v>
      </c>
      <c r="DN462" s="0" t="s">
        <v>153</v>
      </c>
      <c r="EF462" s="0" t="s">
        <v>153</v>
      </c>
    </row>
    <row r="463" customFormat="false" ht="13.8" hidden="false" customHeight="false" outlineLevel="0" collapsed="false">
      <c r="A463" s="0" t="s">
        <v>2508</v>
      </c>
      <c r="B463" s="0" t="n">
        <v>78</v>
      </c>
      <c r="C463" s="0" t="n">
        <v>324575</v>
      </c>
      <c r="D463" s="0" t="s">
        <v>2509</v>
      </c>
      <c r="E463" s="0" t="s">
        <v>424</v>
      </c>
      <c r="F463" s="0" t="str">
        <f aca="false">CONCATENATE(D463," ",LEFT(H463,4),"T=",AU463,"D=",AV463,"R=",AW463,"M=",AX463,"L=",AY463,"B=",AZ463)</f>
        <v>ROBINSON T=5D=0R=0M=2L=6B=1</v>
      </c>
      <c r="I463" s="0" t="s">
        <v>2510</v>
      </c>
      <c r="J463" s="0" t="s">
        <v>693</v>
      </c>
      <c r="K463" s="0" t="s">
        <v>160</v>
      </c>
      <c r="L463" s="0" t="s">
        <v>175</v>
      </c>
      <c r="M463" s="0" t="s">
        <v>2511</v>
      </c>
      <c r="N463" s="0" t="str">
        <f aca="false">RIGHT(M463,LEN(M463)-FIND(" ",M463))</f>
        <v>DRAPER AVE SE</v>
      </c>
      <c r="P463" s="0" t="s">
        <v>145</v>
      </c>
      <c r="Q463" s="0" t="s">
        <v>146</v>
      </c>
      <c r="R463" s="0" t="n">
        <v>44484</v>
      </c>
      <c r="AD463" s="0" t="s">
        <v>147</v>
      </c>
      <c r="AE463" s="0" t="s">
        <v>148</v>
      </c>
      <c r="AF463" s="0" t="s">
        <v>149</v>
      </c>
      <c r="AH463" s="0" t="n">
        <v>14</v>
      </c>
      <c r="AI463" s="0" t="n">
        <v>11</v>
      </c>
      <c r="AN463" s="0" t="s">
        <v>145</v>
      </c>
      <c r="AO463" s="0" t="s">
        <v>233</v>
      </c>
      <c r="AP463" s="0" t="s">
        <v>234</v>
      </c>
      <c r="AQ463" s="0" t="n">
        <v>9</v>
      </c>
      <c r="AR463" s="0" t="n">
        <v>64</v>
      </c>
      <c r="AS463" s="0" t="n">
        <v>32</v>
      </c>
      <c r="AU463" s="0" t="n">
        <f aca="false">COUNTA($BA$2537:$EH$2537)</f>
        <v>5</v>
      </c>
      <c r="AV463" s="0" t="n">
        <f aca="false">COUNTIF($BA$2537:$EH$2537,"D")</f>
        <v>0</v>
      </c>
      <c r="AW463" s="0" t="n">
        <f aca="false">COUNTIF($BA$2537:$EH$2537,"R")</f>
        <v>0</v>
      </c>
      <c r="AX463" s="0" t="n">
        <f aca="false">IF(BN463="D",1,0)+IF(BO463="D",1,0)+IF(BT463="D",1,0)+IF(BU463="D",1,0)+IF(BW463="D",1,0)+IF(CC463="D",1,0)+IF(CD463="D",1,0)+IF(CE463="D",1,0)+IF(CF463="D",1,0)+IF(CL463="D",1,0)+IF(CM463="D",1,0)+IF(CQ463="D",1,0)+IF(CR463="D",1,0)+IF(CS463="D",1,0)+IF(CW463="D",1,0)+IF(CX463="D",1,0)+IF(DD463="D",1,0)+IF(DE463="D",1,0)+IF(DJ463="D",1,0)+IF(DK463="D",1,0)+IF(DO463="D",1,0)+IF(DP463="D",1,0)+IF(DQ463="D",1,0)+IF(DW463="D",1,0)+IF(DZ463="D",1,0)+IF(EH463="D",1,0)</f>
        <v>2</v>
      </c>
      <c r="AY463" s="0" t="n">
        <f aca="false">COUNTIF(DU463:EH463, "&lt;&gt;")</f>
        <v>6</v>
      </c>
      <c r="AZ463" s="0" t="n">
        <f aca="false">IF(EH463&lt;&gt;"",1,0)</f>
        <v>1</v>
      </c>
      <c r="BB463" s="0" t="s">
        <v>152</v>
      </c>
      <c r="BL463" s="0" t="s">
        <v>153</v>
      </c>
      <c r="BS463" s="0" t="s">
        <v>153</v>
      </c>
      <c r="BY463" s="0" t="s">
        <v>175</v>
      </c>
      <c r="CA463" s="0" t="s">
        <v>153</v>
      </c>
      <c r="CP463" s="0" t="s">
        <v>153</v>
      </c>
      <c r="CY463" s="0" t="s">
        <v>153</v>
      </c>
      <c r="CZ463" s="0" t="s">
        <v>175</v>
      </c>
      <c r="DC463" s="0" t="s">
        <v>153</v>
      </c>
      <c r="DL463" s="0" t="s">
        <v>153</v>
      </c>
      <c r="DN463" s="0" t="s">
        <v>153</v>
      </c>
      <c r="DU463" s="0" t="s">
        <v>153</v>
      </c>
      <c r="DW463" s="0" t="s">
        <v>175</v>
      </c>
      <c r="DX463" s="0" t="s">
        <v>153</v>
      </c>
      <c r="EA463" s="0" t="s">
        <v>153</v>
      </c>
      <c r="EF463" s="0" t="s">
        <v>153</v>
      </c>
      <c r="EH463" s="0" t="s">
        <v>175</v>
      </c>
    </row>
    <row r="464" customFormat="false" ht="13.8" hidden="false" customHeight="false" outlineLevel="0" collapsed="false">
      <c r="A464" s="0" t="s">
        <v>2512</v>
      </c>
      <c r="B464" s="0" t="n">
        <v>78</v>
      </c>
      <c r="C464" s="0" t="n">
        <v>278484</v>
      </c>
      <c r="D464" s="0" t="s">
        <v>2513</v>
      </c>
      <c r="E464" s="0" t="s">
        <v>905</v>
      </c>
      <c r="F464" s="0" t="str">
        <f aca="false">CONCATENATE(D464," ",LEFT(H464,4),"T=",AU464,"D=",AV464,"R=",AW464,"M=",AX464,"L=",AY464,"B=",AZ464)</f>
        <v>REDD SRT=9D=0R=0M=7L=4B=1</v>
      </c>
      <c r="G464" s="0" t="s">
        <v>195</v>
      </c>
      <c r="H464" s="0" t="s">
        <v>216</v>
      </c>
      <c r="I464" s="0" t="s">
        <v>2514</v>
      </c>
      <c r="J464" s="0" t="s">
        <v>2515</v>
      </c>
      <c r="K464" s="0" t="s">
        <v>160</v>
      </c>
      <c r="L464" s="0" t="s">
        <v>175</v>
      </c>
      <c r="M464" s="0" t="s">
        <v>2516</v>
      </c>
      <c r="N464" s="0" t="str">
        <f aca="false">RIGHT(M464,LEN(M464)-FIND(" ",M464))</f>
        <v>DRAPER AVE SE</v>
      </c>
      <c r="P464" s="0" t="s">
        <v>145</v>
      </c>
      <c r="Q464" s="0" t="s">
        <v>146</v>
      </c>
      <c r="R464" s="0" t="n">
        <v>44484</v>
      </c>
      <c r="AD464" s="0" t="s">
        <v>147</v>
      </c>
      <c r="AE464" s="0" t="s">
        <v>148</v>
      </c>
      <c r="AF464" s="0" t="s">
        <v>149</v>
      </c>
      <c r="AH464" s="0" t="n">
        <v>14</v>
      </c>
      <c r="AI464" s="0" t="n">
        <v>11</v>
      </c>
      <c r="AN464" s="0" t="s">
        <v>145</v>
      </c>
      <c r="AO464" s="0" t="s">
        <v>233</v>
      </c>
      <c r="AP464" s="0" t="s">
        <v>234</v>
      </c>
      <c r="AQ464" s="0" t="n">
        <v>9</v>
      </c>
      <c r="AR464" s="0" t="n">
        <v>64</v>
      </c>
      <c r="AS464" s="0" t="n">
        <v>32</v>
      </c>
      <c r="AU464" s="0" t="n">
        <f aca="false">COUNTA($BA$2451:$EH$2451)</f>
        <v>9</v>
      </c>
      <c r="AV464" s="0" t="n">
        <f aca="false">COUNTIF($BA$2451:$EH$2451,"D")</f>
        <v>0</v>
      </c>
      <c r="AW464" s="0" t="n">
        <f aca="false">COUNTIF($BA$2451:$EH$2451,"R")</f>
        <v>0</v>
      </c>
      <c r="AX464" s="0" t="n">
        <f aca="false">IF(BN464="D",1,0)+IF(BO464="D",1,0)+IF(BT464="D",1,0)+IF(BU464="D",1,0)+IF(BW464="D",1,0)+IF(CC464="D",1,0)+IF(CD464="D",1,0)+IF(CE464="D",1,0)+IF(CF464="D",1,0)+IF(CL464="D",1,0)+IF(CM464="D",1,0)+IF(CQ464="D",1,0)+IF(CR464="D",1,0)+IF(CS464="D",1,0)+IF(CW464="D",1,0)+IF(CX464="D",1,0)+IF(DD464="D",1,0)+IF(DE464="D",1,0)+IF(DJ464="D",1,0)+IF(DK464="D",1,0)+IF(DO464="D",1,0)+IF(DP464="D",1,0)+IF(DQ464="D",1,0)+IF(DW464="D",1,0)+IF(DZ464="D",1,0)+IF(EH464="D",1,0)</f>
        <v>7</v>
      </c>
      <c r="AY464" s="0" t="n">
        <f aca="false">COUNTIF(DU464:EH464, "&lt;&gt;")</f>
        <v>4</v>
      </c>
      <c r="AZ464" s="0" t="n">
        <f aca="false">IF(EH464&lt;&gt;"",1,0)</f>
        <v>1</v>
      </c>
      <c r="BB464" s="0" t="s">
        <v>152</v>
      </c>
      <c r="BC464" s="0" t="s">
        <v>153</v>
      </c>
      <c r="BD464" s="0" t="s">
        <v>153</v>
      </c>
      <c r="BG464" s="0" t="s">
        <v>153</v>
      </c>
      <c r="BH464" s="0" t="s">
        <v>153</v>
      </c>
      <c r="BK464" s="0" t="s">
        <v>153</v>
      </c>
      <c r="BL464" s="0" t="s">
        <v>153</v>
      </c>
      <c r="BP464" s="0" t="s">
        <v>153</v>
      </c>
      <c r="BR464" s="0" t="s">
        <v>153</v>
      </c>
      <c r="BS464" s="0" t="s">
        <v>153</v>
      </c>
      <c r="BV464" s="0" t="s">
        <v>153</v>
      </c>
      <c r="BY464" s="0" t="s">
        <v>175</v>
      </c>
      <c r="CA464" s="0" t="s">
        <v>153</v>
      </c>
      <c r="CG464" s="0" t="s">
        <v>153</v>
      </c>
      <c r="CK464" s="0" t="s">
        <v>153</v>
      </c>
      <c r="CL464" s="0" t="s">
        <v>175</v>
      </c>
      <c r="CN464" s="0" t="s">
        <v>153</v>
      </c>
      <c r="CO464" s="0" t="s">
        <v>175</v>
      </c>
      <c r="CP464" s="0" t="s">
        <v>153</v>
      </c>
      <c r="CQ464" s="0" t="s">
        <v>175</v>
      </c>
      <c r="CT464" s="0" t="s">
        <v>153</v>
      </c>
      <c r="CU464" s="0" t="s">
        <v>175</v>
      </c>
      <c r="CV464" s="0" t="s">
        <v>153</v>
      </c>
      <c r="CW464" s="0" t="s">
        <v>175</v>
      </c>
      <c r="CY464" s="0" t="s">
        <v>153</v>
      </c>
      <c r="CZ464" s="0" t="s">
        <v>175</v>
      </c>
      <c r="DC464" s="0" t="s">
        <v>153</v>
      </c>
      <c r="DD464" s="0" t="s">
        <v>175</v>
      </c>
      <c r="DF464" s="0" t="s">
        <v>153</v>
      </c>
      <c r="DG464" s="0" t="s">
        <v>175</v>
      </c>
      <c r="DI464" s="0" t="s">
        <v>153</v>
      </c>
      <c r="DJ464" s="0" t="s">
        <v>175</v>
      </c>
      <c r="DL464" s="0" t="s">
        <v>153</v>
      </c>
      <c r="DN464" s="0" t="s">
        <v>153</v>
      </c>
      <c r="DW464" s="0" t="s">
        <v>175</v>
      </c>
      <c r="ED464" s="0" t="s">
        <v>175</v>
      </c>
      <c r="EF464" s="0" t="s">
        <v>153</v>
      </c>
      <c r="EH464" s="0" t="s">
        <v>175</v>
      </c>
    </row>
    <row r="465" customFormat="false" ht="13.8" hidden="false" customHeight="false" outlineLevel="0" collapsed="false">
      <c r="A465" s="0" t="s">
        <v>2517</v>
      </c>
      <c r="B465" s="0" t="n">
        <v>78</v>
      </c>
      <c r="C465" s="0" t="n">
        <v>300625</v>
      </c>
      <c r="D465" s="0" t="s">
        <v>2518</v>
      </c>
      <c r="E465" s="0" t="s">
        <v>2519</v>
      </c>
      <c r="F465" s="0" t="str">
        <f aca="false">CONCATENATE(D465," ",LEFT(H465,4),"T=",AU465,"D=",AV465,"R=",AW465,"M=",AX465,"L=",AY465,"B=",AZ465)</f>
        <v>STRICKLAND T=1D=0R=0M=7L=5B=1</v>
      </c>
      <c r="G465" s="0" t="s">
        <v>419</v>
      </c>
      <c r="I465" s="0" t="s">
        <v>2520</v>
      </c>
      <c r="J465" s="0" t="s">
        <v>2521</v>
      </c>
      <c r="K465" s="0" t="s">
        <v>160</v>
      </c>
      <c r="L465" s="0" t="s">
        <v>175</v>
      </c>
      <c r="M465" s="0" t="s">
        <v>2516</v>
      </c>
      <c r="N465" s="0" t="str">
        <f aca="false">RIGHT(M465,LEN(M465)-FIND(" ",M465))</f>
        <v>DRAPER AVE SE</v>
      </c>
      <c r="P465" s="0" t="s">
        <v>145</v>
      </c>
      <c r="Q465" s="0" t="s">
        <v>146</v>
      </c>
      <c r="R465" s="0" t="n">
        <v>44484</v>
      </c>
      <c r="AD465" s="0" t="s">
        <v>147</v>
      </c>
      <c r="AE465" s="0" t="s">
        <v>148</v>
      </c>
      <c r="AF465" s="0" t="s">
        <v>149</v>
      </c>
      <c r="AH465" s="0" t="n">
        <v>14</v>
      </c>
      <c r="AI465" s="0" t="n">
        <v>11</v>
      </c>
      <c r="AN465" s="0" t="s">
        <v>145</v>
      </c>
      <c r="AO465" s="0" t="s">
        <v>233</v>
      </c>
      <c r="AP465" s="0" t="s">
        <v>234</v>
      </c>
      <c r="AQ465" s="0" t="n">
        <v>9</v>
      </c>
      <c r="AR465" s="0" t="n">
        <v>64</v>
      </c>
      <c r="AS465" s="0" t="n">
        <v>32</v>
      </c>
      <c r="AU465" s="0" t="n">
        <f aca="false">COUNTA($BA$2654:$EH$2654)</f>
        <v>1</v>
      </c>
      <c r="AV465" s="0" t="n">
        <f aca="false">COUNTIF($BA$2654:$EH$2654,"D")</f>
        <v>0</v>
      </c>
      <c r="AW465" s="0" t="n">
        <f aca="false">COUNTIF($BA$2654:$EH$2654,"R")</f>
        <v>0</v>
      </c>
      <c r="AX465" s="0" t="n">
        <f aca="false">IF(BN465="D",1,0)+IF(BO465="D",1,0)+IF(BT465="D",1,0)+IF(BU465="D",1,0)+IF(BW465="D",1,0)+IF(CC465="D",1,0)+IF(CD465="D",1,0)+IF(CE465="D",1,0)+IF(CF465="D",1,0)+IF(CL465="D",1,0)+IF(CM465="D",1,0)+IF(CQ465="D",1,0)+IF(CR465="D",1,0)+IF(CS465="D",1,0)+IF(CW465="D",1,0)+IF(CX465="D",1,0)+IF(DD465="D",1,0)+IF(DE465="D",1,0)+IF(DJ465="D",1,0)+IF(DK465="D",1,0)+IF(DO465="D",1,0)+IF(DP465="D",1,0)+IF(DQ465="D",1,0)+IF(DW465="D",1,0)+IF(DZ465="D",1,0)+IF(EH465="D",1,0)</f>
        <v>7</v>
      </c>
      <c r="AY465" s="0" t="n">
        <f aca="false">COUNTIF(DU465:EH465, "&lt;&gt;")</f>
        <v>5</v>
      </c>
      <c r="AZ465" s="0" t="n">
        <f aca="false">IF(EH465&lt;&gt;"",1,0)</f>
        <v>1</v>
      </c>
      <c r="BB465" s="0" t="s">
        <v>152</v>
      </c>
      <c r="BE465" s="0" t="s">
        <v>153</v>
      </c>
      <c r="BF465" s="0" t="s">
        <v>153</v>
      </c>
      <c r="BG465" s="0" t="s">
        <v>153</v>
      </c>
      <c r="BH465" s="0" t="s">
        <v>153</v>
      </c>
      <c r="BI465" s="0" t="s">
        <v>153</v>
      </c>
      <c r="BJ465" s="0" t="s">
        <v>153</v>
      </c>
      <c r="BK465" s="0" t="s">
        <v>153</v>
      </c>
      <c r="BL465" s="0" t="s">
        <v>153</v>
      </c>
      <c r="BP465" s="0" t="s">
        <v>153</v>
      </c>
      <c r="BR465" s="0" t="s">
        <v>153</v>
      </c>
      <c r="BS465" s="0" t="s">
        <v>153</v>
      </c>
      <c r="BV465" s="0" t="s">
        <v>153</v>
      </c>
      <c r="BY465" s="0" t="s">
        <v>209</v>
      </c>
      <c r="CA465" s="0" t="s">
        <v>153</v>
      </c>
      <c r="CG465" s="0" t="s">
        <v>153</v>
      </c>
      <c r="CH465" s="0" t="s">
        <v>175</v>
      </c>
      <c r="CK465" s="0" t="s">
        <v>153</v>
      </c>
      <c r="CL465" s="0" t="s">
        <v>175</v>
      </c>
      <c r="CN465" s="0" t="s">
        <v>153</v>
      </c>
      <c r="CO465" s="0" t="s">
        <v>175</v>
      </c>
      <c r="CP465" s="0" t="s">
        <v>153</v>
      </c>
      <c r="CQ465" s="0" t="s">
        <v>175</v>
      </c>
      <c r="CT465" s="0" t="s">
        <v>153</v>
      </c>
      <c r="CV465" s="0" t="s">
        <v>153</v>
      </c>
      <c r="CW465" s="0" t="s">
        <v>175</v>
      </c>
      <c r="CY465" s="0" t="s">
        <v>153</v>
      </c>
      <c r="CZ465" s="0" t="s">
        <v>175</v>
      </c>
      <c r="DC465" s="0" t="s">
        <v>153</v>
      </c>
      <c r="DD465" s="0" t="s">
        <v>175</v>
      </c>
      <c r="DF465" s="0" t="s">
        <v>153</v>
      </c>
      <c r="DG465" s="0" t="s">
        <v>175</v>
      </c>
      <c r="DI465" s="0" t="s">
        <v>153</v>
      </c>
      <c r="DJ465" s="0" t="s">
        <v>175</v>
      </c>
      <c r="DL465" s="0" t="s">
        <v>153</v>
      </c>
      <c r="DM465" s="0" t="s">
        <v>209</v>
      </c>
      <c r="DN465" s="0" t="s">
        <v>153</v>
      </c>
      <c r="DR465" s="0" t="s">
        <v>153</v>
      </c>
      <c r="DS465" s="0" t="s">
        <v>175</v>
      </c>
      <c r="DW465" s="0" t="s">
        <v>175</v>
      </c>
      <c r="EA465" s="0" t="s">
        <v>153</v>
      </c>
      <c r="ED465" s="0" t="s">
        <v>175</v>
      </c>
      <c r="EF465" s="0" t="s">
        <v>153</v>
      </c>
      <c r="EH465" s="0" t="s">
        <v>175</v>
      </c>
    </row>
    <row r="466" customFormat="false" ht="13.8" hidden="false" customHeight="false" outlineLevel="0" collapsed="false">
      <c r="A466" s="0" t="s">
        <v>2522</v>
      </c>
      <c r="B466" s="0" t="n">
        <v>78</v>
      </c>
      <c r="C466" s="0" t="n">
        <v>19580</v>
      </c>
      <c r="D466" s="0" t="s">
        <v>2523</v>
      </c>
      <c r="E466" s="0" t="s">
        <v>818</v>
      </c>
      <c r="F466" s="0" t="str">
        <f aca="false">CONCATENATE(D466," ",LEFT(H466,4),"T=",AU466,"D=",AV466,"R=",AW466,"M=",AX466,"L=",AY466,"B=",AZ466)</f>
        <v>HARRIS T=1D=0R=0M=8L=7B=1</v>
      </c>
      <c r="G466" s="0" t="s">
        <v>195</v>
      </c>
      <c r="I466" s="0" t="s">
        <v>2524</v>
      </c>
      <c r="J466" s="0" t="s">
        <v>2525</v>
      </c>
      <c r="K466" s="0" t="s">
        <v>160</v>
      </c>
      <c r="L466" s="0" t="s">
        <v>175</v>
      </c>
      <c r="M466" s="0" t="s">
        <v>2526</v>
      </c>
      <c r="N466" s="0" t="str">
        <f aca="false">RIGHT(M466,LEN(M466)-FIND(" ",M466))</f>
        <v>DRAPER AVE SE</v>
      </c>
      <c r="P466" s="0" t="s">
        <v>145</v>
      </c>
      <c r="Q466" s="0" t="s">
        <v>146</v>
      </c>
      <c r="R466" s="0" t="n">
        <v>44484</v>
      </c>
      <c r="AD466" s="0" t="s">
        <v>147</v>
      </c>
      <c r="AE466" s="0" t="s">
        <v>148</v>
      </c>
      <c r="AF466" s="0" t="s">
        <v>149</v>
      </c>
      <c r="AH466" s="0" t="n">
        <v>14</v>
      </c>
      <c r="AI466" s="0" t="n">
        <v>11</v>
      </c>
      <c r="AN466" s="0" t="s">
        <v>145</v>
      </c>
      <c r="AO466" s="0" t="s">
        <v>233</v>
      </c>
      <c r="AP466" s="0" t="s">
        <v>234</v>
      </c>
      <c r="AQ466" s="0" t="n">
        <v>9</v>
      </c>
      <c r="AR466" s="0" t="n">
        <v>64</v>
      </c>
      <c r="AS466" s="0" t="n">
        <v>32</v>
      </c>
      <c r="AU466" s="0" t="n">
        <f aca="false">COUNTA($BA$2393:$EH$2393)</f>
        <v>1</v>
      </c>
      <c r="AV466" s="0" t="n">
        <f aca="false">COUNTIF($BA$2393:$EH$2393,"D")</f>
        <v>0</v>
      </c>
      <c r="AW466" s="0" t="n">
        <f aca="false">COUNTIF($BA$2393:$EH$2393,"R")</f>
        <v>0</v>
      </c>
      <c r="AX466" s="0" t="n">
        <f aca="false">IF(BN466="D",1,0)+IF(BO466="D",1,0)+IF(BT466="D",1,0)+IF(BU466="D",1,0)+IF(BW466="D",1,0)+IF(CC466="D",1,0)+IF(CD466="D",1,0)+IF(CE466="D",1,0)+IF(CF466="D",1,0)+IF(CL466="D",1,0)+IF(CM466="D",1,0)+IF(CQ466="D",1,0)+IF(CR466="D",1,0)+IF(CS466="D",1,0)+IF(CW466="D",1,0)+IF(CX466="D",1,0)+IF(DD466="D",1,0)+IF(DE466="D",1,0)+IF(DJ466="D",1,0)+IF(DK466="D",1,0)+IF(DO466="D",1,0)+IF(DP466="D",1,0)+IF(DQ466="D",1,0)+IF(DW466="D",1,0)+IF(DZ466="D",1,0)+IF(EH466="D",1,0)</f>
        <v>8</v>
      </c>
      <c r="AY466" s="0" t="n">
        <f aca="false">COUNTIF(DU466:EH466, "&lt;&gt;")</f>
        <v>7</v>
      </c>
      <c r="AZ466" s="0" t="n">
        <f aca="false">IF(EH466&lt;&gt;"",1,0)</f>
        <v>1</v>
      </c>
      <c r="BB466" s="0" t="s">
        <v>152</v>
      </c>
      <c r="BC466" s="0" t="s">
        <v>153</v>
      </c>
      <c r="BD466" s="0" t="s">
        <v>153</v>
      </c>
      <c r="BE466" s="0" t="s">
        <v>153</v>
      </c>
      <c r="BF466" s="0" t="s">
        <v>153</v>
      </c>
      <c r="BG466" s="0" t="s">
        <v>153</v>
      </c>
      <c r="BH466" s="0" t="s">
        <v>153</v>
      </c>
      <c r="BI466" s="0" t="s">
        <v>153</v>
      </c>
      <c r="BJ466" s="0" t="s">
        <v>153</v>
      </c>
      <c r="BK466" s="0" t="s">
        <v>153</v>
      </c>
      <c r="BL466" s="0" t="s">
        <v>153</v>
      </c>
      <c r="BP466" s="0" t="s">
        <v>153</v>
      </c>
      <c r="BR466" s="0" t="s">
        <v>153</v>
      </c>
      <c r="BS466" s="0" t="s">
        <v>153</v>
      </c>
      <c r="BT466" s="0" t="s">
        <v>153</v>
      </c>
      <c r="BV466" s="0" t="s">
        <v>153</v>
      </c>
      <c r="BY466" s="0" t="s">
        <v>175</v>
      </c>
      <c r="CA466" s="0" t="s">
        <v>153</v>
      </c>
      <c r="CC466" s="0" t="s">
        <v>175</v>
      </c>
      <c r="CG466" s="0" t="s">
        <v>153</v>
      </c>
      <c r="CH466" s="0" t="s">
        <v>175</v>
      </c>
      <c r="CK466" s="0" t="s">
        <v>153</v>
      </c>
      <c r="CL466" s="0" t="s">
        <v>175</v>
      </c>
      <c r="CN466" s="0" t="s">
        <v>153</v>
      </c>
      <c r="CO466" s="0" t="s">
        <v>175</v>
      </c>
      <c r="CP466" s="0" t="s">
        <v>153</v>
      </c>
      <c r="CQ466" s="0" t="s">
        <v>175</v>
      </c>
      <c r="CT466" s="0" t="s">
        <v>153</v>
      </c>
      <c r="CU466" s="0" t="s">
        <v>175</v>
      </c>
      <c r="CV466" s="0" t="s">
        <v>153</v>
      </c>
      <c r="CW466" s="0" t="s">
        <v>175</v>
      </c>
      <c r="CY466" s="0" t="s">
        <v>153</v>
      </c>
      <c r="CZ466" s="0" t="s">
        <v>175</v>
      </c>
      <c r="DC466" s="0" t="s">
        <v>153</v>
      </c>
      <c r="DD466" s="0" t="s">
        <v>175</v>
      </c>
      <c r="DF466" s="0" t="s">
        <v>153</v>
      </c>
      <c r="DG466" s="0" t="s">
        <v>175</v>
      </c>
      <c r="DI466" s="0" t="s">
        <v>153</v>
      </c>
      <c r="DJ466" s="0" t="s">
        <v>175</v>
      </c>
      <c r="DL466" s="0" t="s">
        <v>153</v>
      </c>
      <c r="DM466" s="0" t="s">
        <v>175</v>
      </c>
      <c r="DN466" s="0" t="s">
        <v>153</v>
      </c>
      <c r="DR466" s="0" t="s">
        <v>153</v>
      </c>
      <c r="DS466" s="0" t="s">
        <v>175</v>
      </c>
      <c r="DT466" s="0" t="s">
        <v>175</v>
      </c>
      <c r="DU466" s="0" t="s">
        <v>153</v>
      </c>
      <c r="DW466" s="0" t="s">
        <v>175</v>
      </c>
      <c r="DX466" s="0" t="s">
        <v>153</v>
      </c>
      <c r="EA466" s="0" t="s">
        <v>153</v>
      </c>
      <c r="ED466" s="0" t="s">
        <v>175</v>
      </c>
      <c r="EF466" s="0" t="s">
        <v>153</v>
      </c>
      <c r="EH466" s="0" t="s">
        <v>175</v>
      </c>
    </row>
    <row r="467" customFormat="false" ht="13.8" hidden="false" customHeight="false" outlineLevel="0" collapsed="false">
      <c r="A467" s="0" t="s">
        <v>2527</v>
      </c>
      <c r="B467" s="0" t="n">
        <v>78</v>
      </c>
      <c r="C467" s="0" t="n">
        <v>128363</v>
      </c>
      <c r="D467" s="0" t="s">
        <v>1693</v>
      </c>
      <c r="E467" s="0" t="s">
        <v>2528</v>
      </c>
      <c r="F467" s="0" t="str">
        <f aca="false">CONCATENATE(D467," ",LEFT(H467,4),"T=",AU467,"D=",AV467,"R=",AW467,"M=",AX467,"L=",AY467,"B=",AZ467)</f>
        <v>WILLIAMSON T=7D=0R=0M=3L=5B=0</v>
      </c>
      <c r="G467" s="0" t="s">
        <v>164</v>
      </c>
      <c r="I467" s="0" t="s">
        <v>2529</v>
      </c>
      <c r="J467" s="0" t="s">
        <v>2530</v>
      </c>
      <c r="K467" s="0" t="s">
        <v>160</v>
      </c>
      <c r="L467" s="0" t="s">
        <v>175</v>
      </c>
      <c r="M467" s="0" t="s">
        <v>2531</v>
      </c>
      <c r="N467" s="0" t="str">
        <f aca="false">RIGHT(M467,LEN(M467)-FIND(" ",M467))</f>
        <v>DRAPER AVE SE</v>
      </c>
      <c r="P467" s="0" t="s">
        <v>145</v>
      </c>
      <c r="Q467" s="0" t="s">
        <v>146</v>
      </c>
      <c r="R467" s="0" t="n">
        <v>44484</v>
      </c>
      <c r="AD467" s="0" t="s">
        <v>147</v>
      </c>
      <c r="AE467" s="0" t="s">
        <v>148</v>
      </c>
      <c r="AF467" s="0" t="s">
        <v>149</v>
      </c>
      <c r="AH467" s="0" t="n">
        <v>14</v>
      </c>
      <c r="AI467" s="0" t="n">
        <v>11</v>
      </c>
      <c r="AN467" s="0" t="s">
        <v>145</v>
      </c>
      <c r="AO467" s="0" t="s">
        <v>233</v>
      </c>
      <c r="AP467" s="0" t="s">
        <v>234</v>
      </c>
      <c r="AQ467" s="0" t="n">
        <v>9</v>
      </c>
      <c r="AR467" s="0" t="n">
        <v>64</v>
      </c>
      <c r="AS467" s="0" t="n">
        <v>32</v>
      </c>
      <c r="AU467" s="0" t="n">
        <f aca="false">COUNTA($BA$2620:$EH$2620)</f>
        <v>7</v>
      </c>
      <c r="AV467" s="0" t="n">
        <f aca="false">COUNTIF($BA$2620:$EH$2620,"D")</f>
        <v>0</v>
      </c>
      <c r="AW467" s="0" t="n">
        <f aca="false">COUNTIF($BA$2620:$EH$2620,"R")</f>
        <v>0</v>
      </c>
      <c r="AX467" s="0" t="n">
        <f aca="false">IF(BN467="D",1,0)+IF(BO467="D",1,0)+IF(BT467="D",1,0)+IF(BU467="D",1,0)+IF(BW467="D",1,0)+IF(CC467="D",1,0)+IF(CD467="D",1,0)+IF(CE467="D",1,0)+IF(CF467="D",1,0)+IF(CL467="D",1,0)+IF(CM467="D",1,0)+IF(CQ467="D",1,0)+IF(CR467="D",1,0)+IF(CS467="D",1,0)+IF(CW467="D",1,0)+IF(CX467="D",1,0)+IF(DD467="D",1,0)+IF(DE467="D",1,0)+IF(DJ467="D",1,0)+IF(DK467="D",1,0)+IF(DO467="D",1,0)+IF(DP467="D",1,0)+IF(DQ467="D",1,0)+IF(DW467="D",1,0)+IF(DZ467="D",1,0)+IF(EH467="D",1,0)</f>
        <v>3</v>
      </c>
      <c r="AY467" s="0" t="n">
        <f aca="false">COUNTIF(DU467:EH467, "&lt;&gt;")</f>
        <v>5</v>
      </c>
      <c r="AZ467" s="0" t="n">
        <f aca="false">IF(EH467&lt;&gt;"",1,0)</f>
        <v>0</v>
      </c>
      <c r="BB467" s="0" t="s">
        <v>152</v>
      </c>
      <c r="BC467" s="0" t="s">
        <v>153</v>
      </c>
      <c r="BD467" s="0" t="s">
        <v>153</v>
      </c>
      <c r="BE467" s="0" t="s">
        <v>153</v>
      </c>
      <c r="BF467" s="0" t="s">
        <v>153</v>
      </c>
      <c r="BG467" s="0" t="s">
        <v>153</v>
      </c>
      <c r="BH467" s="0" t="s">
        <v>153</v>
      </c>
      <c r="BI467" s="0" t="s">
        <v>153</v>
      </c>
      <c r="BJ467" s="0" t="s">
        <v>153</v>
      </c>
      <c r="BK467" s="0" t="s">
        <v>153</v>
      </c>
      <c r="BL467" s="0" t="s">
        <v>153</v>
      </c>
      <c r="BP467" s="0" t="s">
        <v>153</v>
      </c>
      <c r="BR467" s="0" t="s">
        <v>153</v>
      </c>
      <c r="BV467" s="0" t="s">
        <v>153</v>
      </c>
      <c r="BY467" s="0" t="s">
        <v>175</v>
      </c>
      <c r="CA467" s="0" t="s">
        <v>153</v>
      </c>
      <c r="CC467" s="0" t="s">
        <v>175</v>
      </c>
      <c r="CG467" s="0" t="s">
        <v>153</v>
      </c>
      <c r="CH467" s="0" t="s">
        <v>175</v>
      </c>
      <c r="CK467" s="0" t="s">
        <v>153</v>
      </c>
      <c r="CL467" s="0" t="s">
        <v>175</v>
      </c>
      <c r="CN467" s="0" t="s">
        <v>153</v>
      </c>
      <c r="CP467" s="0" t="s">
        <v>153</v>
      </c>
      <c r="CQ467" s="0" t="s">
        <v>175</v>
      </c>
      <c r="CT467" s="0" t="s">
        <v>153</v>
      </c>
      <c r="CV467" s="0" t="s">
        <v>153</v>
      </c>
      <c r="CY467" s="0" t="s">
        <v>153</v>
      </c>
      <c r="CZ467" s="0" t="s">
        <v>175</v>
      </c>
      <c r="DC467" s="0" t="s">
        <v>153</v>
      </c>
      <c r="DF467" s="0" t="s">
        <v>153</v>
      </c>
      <c r="DI467" s="0" t="s">
        <v>153</v>
      </c>
      <c r="DL467" s="0" t="s">
        <v>153</v>
      </c>
      <c r="DN467" s="0" t="s">
        <v>153</v>
      </c>
      <c r="DU467" s="0" t="s">
        <v>153</v>
      </c>
      <c r="DX467" s="0" t="s">
        <v>153</v>
      </c>
      <c r="EA467" s="0" t="s">
        <v>153</v>
      </c>
      <c r="ED467" s="0" t="s">
        <v>175</v>
      </c>
      <c r="EF467" s="0" t="s">
        <v>153</v>
      </c>
    </row>
    <row r="468" customFormat="false" ht="13.8" hidden="true" customHeight="false" outlineLevel="0" collapsed="false">
      <c r="A468" s="0" t="s">
        <v>2532</v>
      </c>
      <c r="B468" s="0" t="n">
        <v>78</v>
      </c>
      <c r="C468" s="0" t="n">
        <v>364128</v>
      </c>
      <c r="D468" s="0" t="s">
        <v>1704</v>
      </c>
      <c r="E468" s="0" t="s">
        <v>2214</v>
      </c>
      <c r="F468" s="0" t="str">
        <f aca="false">CONCATENATE(D468," ",LEFT(H468,4),"T=",AU468,"D=",AV468,"R=",AW468,"M=",AX468,"L=",AY468,"B=",AZ468)</f>
        <v>ELLIS T=1D=0R=0M=0L=1B=0</v>
      </c>
      <c r="G468" s="0" t="s">
        <v>325</v>
      </c>
      <c r="I468" s="0" t="s">
        <v>2533</v>
      </c>
      <c r="J468" s="0" t="s">
        <v>2230</v>
      </c>
      <c r="K468" s="0" t="s">
        <v>160</v>
      </c>
      <c r="M468" s="0" t="s">
        <v>2534</v>
      </c>
      <c r="N468" s="0" t="str">
        <f aca="false">RIGHT(M468,LEN(M468)-FIND(" ",M468))</f>
        <v>DRAPER AVE SE</v>
      </c>
      <c r="P468" s="0" t="s">
        <v>145</v>
      </c>
      <c r="Q468" s="0" t="s">
        <v>146</v>
      </c>
      <c r="R468" s="0" t="n">
        <v>44484</v>
      </c>
      <c r="AD468" s="0" t="s">
        <v>147</v>
      </c>
      <c r="AE468" s="0" t="s">
        <v>148</v>
      </c>
      <c r="AF468" s="0" t="s">
        <v>149</v>
      </c>
      <c r="AH468" s="0" t="n">
        <v>14</v>
      </c>
      <c r="AI468" s="0" t="n">
        <v>11</v>
      </c>
      <c r="AN468" s="0" t="s">
        <v>145</v>
      </c>
      <c r="AO468" s="0" t="s">
        <v>233</v>
      </c>
      <c r="AP468" s="0" t="s">
        <v>234</v>
      </c>
      <c r="AQ468" s="0" t="n">
        <v>9</v>
      </c>
      <c r="AR468" s="0" t="n">
        <v>64</v>
      </c>
      <c r="AS468" s="0" t="n">
        <v>32</v>
      </c>
      <c r="AU468" s="0" t="n">
        <f aca="false">COUNTA($BA$2661:$EH$2661)</f>
        <v>1</v>
      </c>
      <c r="AV468" s="0" t="n">
        <f aca="false">COUNTIF($BA$2661:$EH$2661,"D")</f>
        <v>0</v>
      </c>
      <c r="AW468" s="0" t="n">
        <f aca="false">COUNTIF($BA$2661:$EH$2661,"R")</f>
        <v>0</v>
      </c>
      <c r="AX468" s="0" t="n">
        <f aca="false">IF(BN468="D",1,0)+IF(BO468="D",1,0)+IF(BT468="D",1,0)+IF(BU468="D",1,0)+IF(BW468="D",1,0)+IF(CC468="D",1,0)+IF(CD468="D",1,0)+IF(CE468="D",1,0)+IF(CF468="D",1,0)+IF(CL468="D",1,0)+IF(CM468="D",1,0)+IF(CQ468="D",1,0)+IF(CR468="D",1,0)+IF(CS468="D",1,0)+IF(CW468="D",1,0)+IF(CX468="D",1,0)+IF(DD468="D",1,0)+IF(DE468="D",1,0)+IF(DJ468="D",1,0)+IF(DK468="D",1,0)+IF(DO468="D",1,0)+IF(DP468="D",1,0)+IF(DQ468="D",1,0)+IF(DW468="D",1,0)+IF(DZ468="D",1,0)+IF(EH468="D",1,0)</f>
        <v>0</v>
      </c>
      <c r="AY468" s="0" t="n">
        <f aca="false">COUNTIF(DU468:EH468, "&lt;&gt;")</f>
        <v>1</v>
      </c>
      <c r="AZ468" s="0" t="n">
        <f aca="false">IF(EH468&lt;&gt;"",1,0)</f>
        <v>0</v>
      </c>
      <c r="BB468" s="0" t="s">
        <v>152</v>
      </c>
      <c r="CP468" s="0" t="s">
        <v>153</v>
      </c>
      <c r="CY468" s="0" t="s">
        <v>153</v>
      </c>
      <c r="DC468" s="0" t="s">
        <v>153</v>
      </c>
      <c r="DG468" s="0" t="s">
        <v>175</v>
      </c>
      <c r="EF468" s="0" t="s">
        <v>153</v>
      </c>
    </row>
    <row r="469" customFormat="false" ht="13.8" hidden="true" customHeight="false" outlineLevel="0" collapsed="false">
      <c r="A469" s="0" t="s">
        <v>2535</v>
      </c>
      <c r="B469" s="0" t="n">
        <v>78</v>
      </c>
      <c r="C469" s="0" t="n">
        <v>414347</v>
      </c>
      <c r="D469" s="0" t="s">
        <v>2536</v>
      </c>
      <c r="E469" s="0" t="s">
        <v>1361</v>
      </c>
      <c r="F469" s="0" t="str">
        <f aca="false">CONCATENATE(D469," ",LEFT(H469,4),"T=",AU469,"D=",AV469,"R=",AW469,"M=",AX469,"L=",AY469,"B=",AZ469)</f>
        <v>LILLY T=2D=0R=0M=0L=0B=0</v>
      </c>
      <c r="G469" s="0" t="s">
        <v>164</v>
      </c>
      <c r="I469" s="0" t="s">
        <v>2537</v>
      </c>
      <c r="J469" s="0" t="s">
        <v>2538</v>
      </c>
      <c r="K469" s="0" t="s">
        <v>143</v>
      </c>
      <c r="M469" s="0" t="s">
        <v>2539</v>
      </c>
      <c r="N469" s="0" t="str">
        <f aca="false">RIGHT(M469,LEN(M469)-FIND(" ",M469))</f>
        <v>DRAPER AVE SE</v>
      </c>
      <c r="P469" s="0" t="s">
        <v>145</v>
      </c>
      <c r="Q469" s="0" t="s">
        <v>146</v>
      </c>
      <c r="R469" s="0" t="n">
        <v>44484</v>
      </c>
      <c r="AD469" s="0" t="s">
        <v>147</v>
      </c>
      <c r="AE469" s="0" t="s">
        <v>148</v>
      </c>
      <c r="AF469" s="0" t="s">
        <v>149</v>
      </c>
      <c r="AH469" s="0" t="n">
        <v>14</v>
      </c>
      <c r="AI469" s="0" t="n">
        <v>11</v>
      </c>
      <c r="AN469" s="0" t="s">
        <v>145</v>
      </c>
      <c r="AO469" s="0" t="s">
        <v>233</v>
      </c>
      <c r="AP469" s="0" t="s">
        <v>234</v>
      </c>
      <c r="AQ469" s="0" t="n">
        <v>9</v>
      </c>
      <c r="AR469" s="0" t="n">
        <v>64</v>
      </c>
      <c r="AS469" s="0" t="n">
        <v>32</v>
      </c>
      <c r="AU469" s="0" t="n">
        <f aca="false">COUNTA($BA$2330:$EH$2330)</f>
        <v>2</v>
      </c>
      <c r="AV469" s="0" t="n">
        <f aca="false">COUNTIF($BA$2330:$EH$2330,"D")</f>
        <v>0</v>
      </c>
      <c r="AW469" s="0" t="n">
        <f aca="false">COUNTIF($BA$2330:$EH$2330,"R")</f>
        <v>0</v>
      </c>
      <c r="AX469" s="0" t="n">
        <f aca="false">IF(BN469="D",1,0)+IF(BO469="D",1,0)+IF(BT469="D",1,0)+IF(BU469="D",1,0)+IF(BW469="D",1,0)+IF(CC469="D",1,0)+IF(CD469="D",1,0)+IF(CE469="D",1,0)+IF(CF469="D",1,0)+IF(CL469="D",1,0)+IF(CM469="D",1,0)+IF(CQ469="D",1,0)+IF(CR469="D",1,0)+IF(CS469="D",1,0)+IF(CW469="D",1,0)+IF(CX469="D",1,0)+IF(DD469="D",1,0)+IF(DE469="D",1,0)+IF(DJ469="D",1,0)+IF(DK469="D",1,0)+IF(DO469="D",1,0)+IF(DP469="D",1,0)+IF(DQ469="D",1,0)+IF(DW469="D",1,0)+IF(DZ469="D",1,0)+IF(EH469="D",1,0)</f>
        <v>0</v>
      </c>
      <c r="AY469" s="0" t="n">
        <f aca="false">COUNTIF(DU469:EH469, "&lt;&gt;")</f>
        <v>0</v>
      </c>
      <c r="AZ469" s="0" t="n">
        <f aca="false">IF(EH469&lt;&gt;"",1,0)</f>
        <v>0</v>
      </c>
      <c r="BB469" s="0" t="s">
        <v>152</v>
      </c>
      <c r="DC469" s="0" t="s">
        <v>153</v>
      </c>
    </row>
    <row r="470" customFormat="false" ht="13.8" hidden="false" customHeight="false" outlineLevel="0" collapsed="false">
      <c r="A470" s="0" t="s">
        <v>2540</v>
      </c>
      <c r="B470" s="0" t="n">
        <v>78</v>
      </c>
      <c r="C470" s="0" t="n">
        <v>422783</v>
      </c>
      <c r="D470" s="0" t="s">
        <v>1001</v>
      </c>
      <c r="E470" s="0" t="s">
        <v>2541</v>
      </c>
      <c r="F470" s="0" t="str">
        <f aca="false">CONCATENATE(D470," ",LEFT(H470,4),"T=",AU470,"D=",AV470,"R=",AW470,"M=",AX470,"L=",AY470,"B=",AZ470)</f>
        <v>DAVIS T=2D=0R=0M=0L=3B=0</v>
      </c>
      <c r="G470" s="0" t="s">
        <v>190</v>
      </c>
      <c r="I470" s="0" t="s">
        <v>2542</v>
      </c>
      <c r="J470" s="0" t="s">
        <v>404</v>
      </c>
      <c r="K470" s="0" t="s">
        <v>160</v>
      </c>
      <c r="M470" s="0" t="s">
        <v>2539</v>
      </c>
      <c r="N470" s="0" t="str">
        <f aca="false">RIGHT(M470,LEN(M470)-FIND(" ",M470))</f>
        <v>DRAPER AVE SE</v>
      </c>
      <c r="P470" s="0" t="s">
        <v>145</v>
      </c>
      <c r="Q470" s="0" t="s">
        <v>146</v>
      </c>
      <c r="R470" s="0" t="n">
        <v>44484</v>
      </c>
      <c r="AD470" s="0" t="s">
        <v>147</v>
      </c>
      <c r="AE470" s="0" t="s">
        <v>148</v>
      </c>
      <c r="AF470" s="0" t="s">
        <v>149</v>
      </c>
      <c r="AH470" s="0" t="n">
        <v>14</v>
      </c>
      <c r="AI470" s="0" t="n">
        <v>11</v>
      </c>
      <c r="AN470" s="0" t="s">
        <v>145</v>
      </c>
      <c r="AO470" s="0" t="s">
        <v>233</v>
      </c>
      <c r="AP470" s="0" t="s">
        <v>234</v>
      </c>
      <c r="AQ470" s="0" t="n">
        <v>9</v>
      </c>
      <c r="AR470" s="0" t="n">
        <v>64</v>
      </c>
      <c r="AS470" s="0" t="n">
        <v>32</v>
      </c>
      <c r="AU470" s="0" t="n">
        <f aca="false">COUNTA($BA$2402:$EH$2402)</f>
        <v>2</v>
      </c>
      <c r="AV470" s="0" t="n">
        <f aca="false">COUNTIF($BA$2402:$EH$2402,"D")</f>
        <v>0</v>
      </c>
      <c r="AW470" s="0" t="n">
        <f aca="false">COUNTIF($BA$2402:$EH$2402,"R")</f>
        <v>0</v>
      </c>
      <c r="AX470" s="0" t="n">
        <f aca="false">IF(BN470="D",1,0)+IF(BO470="D",1,0)+IF(BT470="D",1,0)+IF(BU470="D",1,0)+IF(BW470="D",1,0)+IF(CC470="D",1,0)+IF(CD470="D",1,0)+IF(CE470="D",1,0)+IF(CF470="D",1,0)+IF(CL470="D",1,0)+IF(CM470="D",1,0)+IF(CQ470="D",1,0)+IF(CR470="D",1,0)+IF(CS470="D",1,0)+IF(CW470="D",1,0)+IF(CX470="D",1,0)+IF(DD470="D",1,0)+IF(DE470="D",1,0)+IF(DJ470="D",1,0)+IF(DK470="D",1,0)+IF(DO470="D",1,0)+IF(DP470="D",1,0)+IF(DQ470="D",1,0)+IF(DW470="D",1,0)+IF(DZ470="D",1,0)+IF(EH470="D",1,0)</f>
        <v>0</v>
      </c>
      <c r="AY470" s="0" t="n">
        <f aca="false">COUNTIF(DU470:EH470, "&lt;&gt;")</f>
        <v>3</v>
      </c>
      <c r="AZ470" s="0" t="n">
        <f aca="false">IF(EH470&lt;&gt;"",1,0)</f>
        <v>0</v>
      </c>
      <c r="BB470" s="0" t="s">
        <v>152</v>
      </c>
      <c r="CK470" s="0" t="s">
        <v>153</v>
      </c>
      <c r="CP470" s="0" t="s">
        <v>153</v>
      </c>
      <c r="CV470" s="0" t="s">
        <v>153</v>
      </c>
      <c r="CZ470" s="0" t="s">
        <v>175</v>
      </c>
      <c r="DC470" s="0" t="s">
        <v>153</v>
      </c>
      <c r="DN470" s="0" t="s">
        <v>153</v>
      </c>
      <c r="DU470" s="0" t="s">
        <v>153</v>
      </c>
      <c r="DX470" s="0" t="s">
        <v>153</v>
      </c>
      <c r="EF470" s="0" t="s">
        <v>153</v>
      </c>
    </row>
    <row r="471" customFormat="false" ht="13.8" hidden="true" customHeight="false" outlineLevel="0" collapsed="false">
      <c r="A471" s="0" t="s">
        <v>2543</v>
      </c>
      <c r="B471" s="0" t="n">
        <v>78</v>
      </c>
      <c r="C471" s="0" t="n">
        <v>394724</v>
      </c>
      <c r="D471" s="0" t="s">
        <v>1764</v>
      </c>
      <c r="E471" s="0" t="s">
        <v>2544</v>
      </c>
      <c r="F471" s="0" t="str">
        <f aca="false">CONCATENATE(D471," ",LEFT(H471,4),"T=",AU471,"D=",AV471,"R=",AW471,"M=",AX471,"L=",AY471,"B=",AZ471)</f>
        <v>MOORE T=1D=0R=0M=0L=0B=0</v>
      </c>
      <c r="G471" s="0" t="s">
        <v>164</v>
      </c>
      <c r="I471" s="0" t="s">
        <v>2167</v>
      </c>
      <c r="J471" s="0" t="s">
        <v>1423</v>
      </c>
      <c r="K471" s="0" t="s">
        <v>160</v>
      </c>
      <c r="M471" s="0" t="s">
        <v>2539</v>
      </c>
      <c r="N471" s="0" t="str">
        <f aca="false">RIGHT(M471,LEN(M471)-FIND(" ",M471))</f>
        <v>DRAPER AVE SE</v>
      </c>
      <c r="P471" s="0" t="s">
        <v>145</v>
      </c>
      <c r="Q471" s="0" t="s">
        <v>146</v>
      </c>
      <c r="R471" s="0" t="n">
        <v>44484</v>
      </c>
      <c r="AD471" s="0" t="s">
        <v>147</v>
      </c>
      <c r="AE471" s="0" t="s">
        <v>148</v>
      </c>
      <c r="AF471" s="0" t="s">
        <v>149</v>
      </c>
      <c r="AH471" s="0" t="n">
        <v>14</v>
      </c>
      <c r="AI471" s="0" t="n">
        <v>11</v>
      </c>
      <c r="AN471" s="0" t="s">
        <v>145</v>
      </c>
      <c r="AO471" s="0" t="s">
        <v>233</v>
      </c>
      <c r="AP471" s="0" t="s">
        <v>234</v>
      </c>
      <c r="AQ471" s="0" t="n">
        <v>9</v>
      </c>
      <c r="AR471" s="0" t="n">
        <v>64</v>
      </c>
      <c r="AS471" s="0" t="n">
        <v>32</v>
      </c>
      <c r="AU471" s="0" t="n">
        <f aca="false">COUNTA($BA$2455:$EH$2455)</f>
        <v>1</v>
      </c>
      <c r="AV471" s="0" t="n">
        <f aca="false">COUNTIF($BA$2455:$EH$2455,"D")</f>
        <v>0</v>
      </c>
      <c r="AW471" s="0" t="n">
        <f aca="false">COUNTIF($BA$2455:$EH$2455,"R")</f>
        <v>0</v>
      </c>
      <c r="AX471" s="0" t="n">
        <f aca="false">IF(BN471="D",1,0)+IF(BO471="D",1,0)+IF(BT471="D",1,0)+IF(BU471="D",1,0)+IF(BW471="D",1,0)+IF(CC471="D",1,0)+IF(CD471="D",1,0)+IF(CE471="D",1,0)+IF(CF471="D",1,0)+IF(CL471="D",1,0)+IF(CM471="D",1,0)+IF(CQ471="D",1,0)+IF(CR471="D",1,0)+IF(CS471="D",1,0)+IF(CW471="D",1,0)+IF(CX471="D",1,0)+IF(DD471="D",1,0)+IF(DE471="D",1,0)+IF(DJ471="D",1,0)+IF(DK471="D",1,0)+IF(DO471="D",1,0)+IF(DP471="D",1,0)+IF(DQ471="D",1,0)+IF(DW471="D",1,0)+IF(DZ471="D",1,0)+IF(EH471="D",1,0)</f>
        <v>0</v>
      </c>
      <c r="AY471" s="0" t="n">
        <f aca="false">COUNTIF(DU471:EH471, "&lt;&gt;")</f>
        <v>0</v>
      </c>
      <c r="AZ471" s="0" t="n">
        <f aca="false">IF(EH471&lt;&gt;"",1,0)</f>
        <v>0</v>
      </c>
      <c r="BB471" s="0" t="s">
        <v>152</v>
      </c>
      <c r="DN471" s="0" t="s">
        <v>153</v>
      </c>
    </row>
    <row r="472" customFormat="false" ht="13.8" hidden="true" customHeight="false" outlineLevel="0" collapsed="false">
      <c r="A472" s="0" t="s">
        <v>2545</v>
      </c>
      <c r="B472" s="0" t="n">
        <v>78</v>
      </c>
      <c r="C472" s="0" t="n">
        <v>385239</v>
      </c>
      <c r="D472" s="0" t="s">
        <v>2432</v>
      </c>
      <c r="E472" s="0" t="s">
        <v>2546</v>
      </c>
      <c r="F472" s="0" t="str">
        <f aca="false">CONCATENATE(D472," ",LEFT(H472,4),"T=",AU472,"D=",AV472,"R=",AW472,"M=",AX472,"L=",AY472,"B=",AZ472)</f>
        <v>CAYSON T=7D=0R=0M=0L=0B=0</v>
      </c>
      <c r="G472" s="0" t="s">
        <v>190</v>
      </c>
      <c r="I472" s="0" t="s">
        <v>2547</v>
      </c>
      <c r="J472" s="0" t="s">
        <v>2548</v>
      </c>
      <c r="K472" s="0" t="s">
        <v>160</v>
      </c>
      <c r="M472" s="0" t="s">
        <v>2549</v>
      </c>
      <c r="N472" s="0" t="str">
        <f aca="false">RIGHT(M472,LEN(M472)-FIND(" ",M472))</f>
        <v>DRAPER AVE SE</v>
      </c>
      <c r="P472" s="0" t="s">
        <v>145</v>
      </c>
      <c r="Q472" s="0" t="s">
        <v>146</v>
      </c>
      <c r="R472" s="0" t="n">
        <v>44484</v>
      </c>
      <c r="AD472" s="0" t="s">
        <v>147</v>
      </c>
      <c r="AE472" s="0" t="s">
        <v>148</v>
      </c>
      <c r="AF472" s="0" t="s">
        <v>149</v>
      </c>
      <c r="AH472" s="0" t="n">
        <v>14</v>
      </c>
      <c r="AI472" s="0" t="n">
        <v>11</v>
      </c>
      <c r="AN472" s="0" t="s">
        <v>145</v>
      </c>
      <c r="AO472" s="0" t="s">
        <v>233</v>
      </c>
      <c r="AP472" s="0" t="s">
        <v>234</v>
      </c>
      <c r="AQ472" s="0" t="n">
        <v>9</v>
      </c>
      <c r="AR472" s="0" t="n">
        <v>64</v>
      </c>
      <c r="AS472" s="0" t="n">
        <v>32</v>
      </c>
      <c r="AU472" s="0" t="n">
        <f aca="false">COUNTA($BA$2555:$EH$2555)</f>
        <v>7</v>
      </c>
      <c r="AV472" s="0" t="n">
        <f aca="false">COUNTIF($BA$2555:$EH$2555,"D")</f>
        <v>0</v>
      </c>
      <c r="AW472" s="0" t="n">
        <f aca="false">COUNTIF($BA$2555:$EH$2555,"R")</f>
        <v>0</v>
      </c>
      <c r="AX472" s="0" t="n">
        <f aca="false">IF(BN472="D",1,0)+IF(BO472="D",1,0)+IF(BT472="D",1,0)+IF(BU472="D",1,0)+IF(BW472="D",1,0)+IF(CC472="D",1,0)+IF(CD472="D",1,0)+IF(CE472="D",1,0)+IF(CF472="D",1,0)+IF(CL472="D",1,0)+IF(CM472="D",1,0)+IF(CQ472="D",1,0)+IF(CR472="D",1,0)+IF(CS472="D",1,0)+IF(CW472="D",1,0)+IF(CX472="D",1,0)+IF(DD472="D",1,0)+IF(DE472="D",1,0)+IF(DJ472="D",1,0)+IF(DK472="D",1,0)+IF(DO472="D",1,0)+IF(DP472="D",1,0)+IF(DQ472="D",1,0)+IF(DW472="D",1,0)+IF(DZ472="D",1,0)+IF(EH472="D",1,0)</f>
        <v>0</v>
      </c>
      <c r="AY472" s="0" t="n">
        <f aca="false">COUNTIF(DU472:EH472, "&lt;&gt;")</f>
        <v>0</v>
      </c>
      <c r="AZ472" s="0" t="n">
        <f aca="false">IF(EH472&lt;&gt;"",1,0)</f>
        <v>0</v>
      </c>
      <c r="BB472" s="0" t="s">
        <v>152</v>
      </c>
      <c r="CP472" s="0" t="s">
        <v>153</v>
      </c>
    </row>
    <row r="473" customFormat="false" ht="13.8" hidden="true" customHeight="false" outlineLevel="0" collapsed="false">
      <c r="A473" s="0" t="s">
        <v>2550</v>
      </c>
      <c r="B473" s="0" t="n">
        <v>78</v>
      </c>
      <c r="C473" s="0" t="n">
        <v>363346</v>
      </c>
      <c r="D473" s="0" t="s">
        <v>527</v>
      </c>
      <c r="E473" s="0" t="s">
        <v>2551</v>
      </c>
      <c r="F473" s="0" t="str">
        <f aca="false">CONCATENATE(D473," ",LEFT(H473,4),"T=",AU473,"D=",AV473,"R=",AW473,"M=",AX473,"L=",AY473,"B=",AZ473)</f>
        <v>BAUGH T=31D=3R=3M=0L=0B=0</v>
      </c>
      <c r="G473" s="0" t="s">
        <v>195</v>
      </c>
      <c r="I473" s="0" t="s">
        <v>2552</v>
      </c>
      <c r="J473" s="0" t="s">
        <v>2553</v>
      </c>
      <c r="K473" s="0" t="s">
        <v>143</v>
      </c>
      <c r="M473" s="0" t="s">
        <v>2549</v>
      </c>
      <c r="N473" s="0" t="str">
        <f aca="false">RIGHT(M473,LEN(M473)-FIND(" ",M473))</f>
        <v>DRAPER AVE SE</v>
      </c>
      <c r="P473" s="0" t="s">
        <v>145</v>
      </c>
      <c r="Q473" s="0" t="s">
        <v>146</v>
      </c>
      <c r="R473" s="0" t="n">
        <v>44484</v>
      </c>
      <c r="AD473" s="0" t="s">
        <v>147</v>
      </c>
      <c r="AE473" s="0" t="s">
        <v>148</v>
      </c>
      <c r="AF473" s="0" t="s">
        <v>149</v>
      </c>
      <c r="AH473" s="0" t="n">
        <v>14</v>
      </c>
      <c r="AI473" s="0" t="n">
        <v>11</v>
      </c>
      <c r="AN473" s="0" t="s">
        <v>145</v>
      </c>
      <c r="AO473" s="0" t="s">
        <v>233</v>
      </c>
      <c r="AP473" s="0" t="s">
        <v>234</v>
      </c>
      <c r="AQ473" s="0" t="n">
        <v>9</v>
      </c>
      <c r="AR473" s="0" t="n">
        <v>64</v>
      </c>
      <c r="AS473" s="0" t="n">
        <v>32</v>
      </c>
      <c r="AU473" s="0" t="n">
        <f aca="false">COUNTA($BA$2663:$EH$2663)</f>
        <v>31</v>
      </c>
      <c r="AV473" s="0" t="n">
        <f aca="false">COUNTIF($BA$2663:$EH$2663,"D")</f>
        <v>3</v>
      </c>
      <c r="AW473" s="0" t="n">
        <f aca="false">COUNTIF($BA$2663:$EH$2663,"R")</f>
        <v>3</v>
      </c>
      <c r="AX473" s="0" t="n">
        <f aca="false">IF(BN473="D",1,0)+IF(BO473="D",1,0)+IF(BT473="D",1,0)+IF(BU473="D",1,0)+IF(BW473="D",1,0)+IF(CC473="D",1,0)+IF(CD473="D",1,0)+IF(CE473="D",1,0)+IF(CF473="D",1,0)+IF(CL473="D",1,0)+IF(CM473="D",1,0)+IF(CQ473="D",1,0)+IF(CR473="D",1,0)+IF(CS473="D",1,0)+IF(CW473="D",1,0)+IF(CX473="D",1,0)+IF(DD473="D",1,0)+IF(DE473="D",1,0)+IF(DJ473="D",1,0)+IF(DK473="D",1,0)+IF(DO473="D",1,0)+IF(DP473="D",1,0)+IF(DQ473="D",1,0)+IF(DW473="D",1,0)+IF(DZ473="D",1,0)+IF(EH473="D",1,0)</f>
        <v>0</v>
      </c>
      <c r="AY473" s="0" t="n">
        <f aca="false">COUNTIF(DU473:EH473, "&lt;&gt;")</f>
        <v>0</v>
      </c>
      <c r="AZ473" s="0" t="n">
        <f aca="false">IF(EH473&lt;&gt;"",1,0)</f>
        <v>0</v>
      </c>
      <c r="BB473" s="0" t="s">
        <v>152</v>
      </c>
      <c r="CA473" s="0" t="s">
        <v>153</v>
      </c>
      <c r="CV473" s="0" t="s">
        <v>153</v>
      </c>
      <c r="CY473" s="0" t="s">
        <v>153</v>
      </c>
      <c r="DC473" s="0" t="s">
        <v>153</v>
      </c>
    </row>
    <row r="474" customFormat="false" ht="13.8" hidden="false" customHeight="false" outlineLevel="0" collapsed="false">
      <c r="A474" s="0" t="s">
        <v>2554</v>
      </c>
      <c r="B474" s="0" t="n">
        <v>78</v>
      </c>
      <c r="C474" s="0" t="n">
        <v>406492</v>
      </c>
      <c r="D474" s="0" t="s">
        <v>1764</v>
      </c>
      <c r="E474" s="0" t="s">
        <v>2555</v>
      </c>
      <c r="F474" s="0" t="str">
        <f aca="false">CONCATENATE(D474," ",LEFT(H474,4),"T=",AU474,"D=",AV474,"R=",AW474,"M=",AX474,"L=",AY474,"B=",AZ474)</f>
        <v>MOORE T=5D=0R=0M=2L=7B=1</v>
      </c>
      <c r="G474" s="0" t="s">
        <v>190</v>
      </c>
      <c r="I474" s="0" t="s">
        <v>2556</v>
      </c>
      <c r="J474" s="0" t="s">
        <v>1324</v>
      </c>
      <c r="K474" s="0" t="s">
        <v>160</v>
      </c>
      <c r="L474" s="0" t="s">
        <v>175</v>
      </c>
      <c r="M474" s="0" t="s">
        <v>2557</v>
      </c>
      <c r="N474" s="0" t="str">
        <f aca="false">RIGHT(M474,LEN(M474)-FIND(" ",M474))</f>
        <v>DRAPER AVE SE</v>
      </c>
      <c r="P474" s="0" t="s">
        <v>145</v>
      </c>
      <c r="Q474" s="0" t="s">
        <v>146</v>
      </c>
      <c r="R474" s="0" t="n">
        <v>44484</v>
      </c>
      <c r="AD474" s="0" t="s">
        <v>147</v>
      </c>
      <c r="AE474" s="0" t="s">
        <v>148</v>
      </c>
      <c r="AF474" s="0" t="s">
        <v>149</v>
      </c>
      <c r="AH474" s="0" t="n">
        <v>14</v>
      </c>
      <c r="AI474" s="0" t="n">
        <v>11</v>
      </c>
      <c r="AN474" s="0" t="s">
        <v>145</v>
      </c>
      <c r="AO474" s="0" t="s">
        <v>233</v>
      </c>
      <c r="AP474" s="0" t="s">
        <v>234</v>
      </c>
      <c r="AQ474" s="0" t="n">
        <v>9</v>
      </c>
      <c r="AR474" s="0" t="n">
        <v>64</v>
      </c>
      <c r="AS474" s="0" t="n">
        <v>32</v>
      </c>
      <c r="AU474" s="0" t="n">
        <f aca="false">COUNTA($BA$2568:$EH$2568)</f>
        <v>5</v>
      </c>
      <c r="AV474" s="0" t="n">
        <f aca="false">COUNTIF($BA$2568:$EH$2568,"D")</f>
        <v>0</v>
      </c>
      <c r="AW474" s="0" t="n">
        <f aca="false">COUNTIF($BA$2568:$EH$2568,"R")</f>
        <v>0</v>
      </c>
      <c r="AX474" s="0" t="n">
        <f aca="false">IF(BN474="D",1,0)+IF(BO474="D",1,0)+IF(BT474="D",1,0)+IF(BU474="D",1,0)+IF(BW474="D",1,0)+IF(CC474="D",1,0)+IF(CD474="D",1,0)+IF(CE474="D",1,0)+IF(CF474="D",1,0)+IF(CL474="D",1,0)+IF(CM474="D",1,0)+IF(CQ474="D",1,0)+IF(CR474="D",1,0)+IF(CS474="D",1,0)+IF(CW474="D",1,0)+IF(CX474="D",1,0)+IF(DD474="D",1,0)+IF(DE474="D",1,0)+IF(DJ474="D",1,0)+IF(DK474="D",1,0)+IF(DO474="D",1,0)+IF(DP474="D",1,0)+IF(DQ474="D",1,0)+IF(DW474="D",1,0)+IF(DZ474="D",1,0)+IF(EH474="D",1,0)</f>
        <v>2</v>
      </c>
      <c r="AY474" s="0" t="n">
        <f aca="false">COUNTIF(DU474:EH474, "&lt;&gt;")</f>
        <v>7</v>
      </c>
      <c r="AZ474" s="0" t="n">
        <f aca="false">IF(EH474&lt;&gt;"",1,0)</f>
        <v>1</v>
      </c>
      <c r="BB474" s="0" t="s">
        <v>152</v>
      </c>
      <c r="CZ474" s="0" t="s">
        <v>175</v>
      </c>
      <c r="DC474" s="0" t="s">
        <v>153</v>
      </c>
      <c r="DF474" s="0" t="s">
        <v>153</v>
      </c>
      <c r="DG474" s="0" t="s">
        <v>175</v>
      </c>
      <c r="DI474" s="0" t="s">
        <v>153</v>
      </c>
      <c r="DL474" s="0" t="s">
        <v>153</v>
      </c>
      <c r="DM474" s="0" t="s">
        <v>175</v>
      </c>
      <c r="DN474" s="0" t="s">
        <v>153</v>
      </c>
      <c r="DR474" s="0" t="s">
        <v>153</v>
      </c>
      <c r="DS474" s="0" t="s">
        <v>175</v>
      </c>
      <c r="DT474" s="0" t="s">
        <v>175</v>
      </c>
      <c r="DU474" s="0" t="s">
        <v>153</v>
      </c>
      <c r="DW474" s="0" t="s">
        <v>175</v>
      </c>
      <c r="DX474" s="0" t="s">
        <v>153</v>
      </c>
      <c r="EA474" s="0" t="s">
        <v>153</v>
      </c>
      <c r="ED474" s="0" t="s">
        <v>175</v>
      </c>
      <c r="EF474" s="0" t="s">
        <v>153</v>
      </c>
      <c r="EH474" s="0" t="s">
        <v>175</v>
      </c>
    </row>
    <row r="475" customFormat="false" ht="13.8" hidden="true" customHeight="false" outlineLevel="0" collapsed="false">
      <c r="A475" s="0" t="s">
        <v>2558</v>
      </c>
      <c r="B475" s="0" t="n">
        <v>78</v>
      </c>
      <c r="C475" s="0" t="n">
        <v>321609</v>
      </c>
      <c r="D475" s="0" t="s">
        <v>1466</v>
      </c>
      <c r="E475" s="0" t="s">
        <v>424</v>
      </c>
      <c r="F475" s="0" t="str">
        <f aca="false">CONCATENATE(D475," ",LEFT(H475,4),"T=",AU475,"D=",AV475,"R=",AW475,"M=",AX475,"L=",AY475,"B=",AZ475)</f>
        <v>JOHNSON T=1D=0R=0M=1L=0B=0</v>
      </c>
      <c r="G475" s="0" t="s">
        <v>637</v>
      </c>
      <c r="I475" s="0" t="s">
        <v>2559</v>
      </c>
      <c r="J475" s="0" t="s">
        <v>2560</v>
      </c>
      <c r="K475" s="0" t="s">
        <v>160</v>
      </c>
      <c r="M475" s="0" t="s">
        <v>2561</v>
      </c>
      <c r="N475" s="0" t="str">
        <f aca="false">RIGHT(M475,LEN(M475)-FIND(" ",M475))</f>
        <v>DRAPER AVE SE</v>
      </c>
      <c r="P475" s="0" t="s">
        <v>145</v>
      </c>
      <c r="Q475" s="0" t="s">
        <v>146</v>
      </c>
      <c r="R475" s="0" t="n">
        <v>44484</v>
      </c>
      <c r="AD475" s="0" t="s">
        <v>147</v>
      </c>
      <c r="AE475" s="0" t="s">
        <v>148</v>
      </c>
      <c r="AF475" s="0" t="s">
        <v>149</v>
      </c>
      <c r="AH475" s="0" t="n">
        <v>14</v>
      </c>
      <c r="AI475" s="0" t="n">
        <v>11</v>
      </c>
      <c r="AN475" s="0" t="s">
        <v>145</v>
      </c>
      <c r="AO475" s="0" t="s">
        <v>233</v>
      </c>
      <c r="AP475" s="0" t="s">
        <v>234</v>
      </c>
      <c r="AQ475" s="0" t="n">
        <v>9</v>
      </c>
      <c r="AR475" s="0" t="n">
        <v>64</v>
      </c>
      <c r="AS475" s="0" t="n">
        <v>32</v>
      </c>
      <c r="AU475" s="0" t="n">
        <f aca="false">COUNTA($BA$2504:$EH$2504)</f>
        <v>1</v>
      </c>
      <c r="AV475" s="0" t="n">
        <f aca="false">COUNTIF($BA$2504:$EH$2504,"D")</f>
        <v>0</v>
      </c>
      <c r="AW475" s="0" t="n">
        <f aca="false">COUNTIF($BA$2504:$EH$2504,"R")</f>
        <v>0</v>
      </c>
      <c r="AX475" s="0" t="n">
        <f aca="false">IF(BN475="D",1,0)+IF(BO475="D",1,0)+IF(BT475="D",1,0)+IF(BU475="D",1,0)+IF(BW475="D",1,0)+IF(CC475="D",1,0)+IF(CD475="D",1,0)+IF(CE475="D",1,0)+IF(CF475="D",1,0)+IF(CL475="D",1,0)+IF(CM475="D",1,0)+IF(CQ475="D",1,0)+IF(CR475="D",1,0)+IF(CS475="D",1,0)+IF(CW475="D",1,0)+IF(CX475="D",1,0)+IF(DD475="D",1,0)+IF(DE475="D",1,0)+IF(DJ475="D",1,0)+IF(DK475="D",1,0)+IF(DO475="D",1,0)+IF(DP475="D",1,0)+IF(DQ475="D",1,0)+IF(DW475="D",1,0)+IF(DZ475="D",1,0)+IF(EH475="D",1,0)</f>
        <v>1</v>
      </c>
      <c r="AY475" s="0" t="n">
        <f aca="false">COUNTIF(DU475:EH475, "&lt;&gt;")</f>
        <v>0</v>
      </c>
      <c r="AZ475" s="0" t="n">
        <f aca="false">IF(EH475&lt;&gt;"",1,0)</f>
        <v>0</v>
      </c>
      <c r="BB475" s="0" t="s">
        <v>152</v>
      </c>
      <c r="BL475" s="0" t="s">
        <v>153</v>
      </c>
      <c r="BY475" s="0" t="s">
        <v>175</v>
      </c>
      <c r="CA475" s="0" t="s">
        <v>153</v>
      </c>
      <c r="CL475" s="0" t="s">
        <v>175</v>
      </c>
      <c r="CP475" s="0" t="s">
        <v>153</v>
      </c>
      <c r="CY475" s="0" t="s">
        <v>153</v>
      </c>
      <c r="DC475" s="0" t="s">
        <v>153</v>
      </c>
      <c r="DN475" s="0" t="s">
        <v>153</v>
      </c>
    </row>
    <row r="476" customFormat="false" ht="13.8" hidden="true" customHeight="false" outlineLevel="0" collapsed="false">
      <c r="A476" s="0" t="s">
        <v>2562</v>
      </c>
      <c r="B476" s="0" t="n">
        <v>78</v>
      </c>
      <c r="C476" s="0" t="n">
        <v>248194</v>
      </c>
      <c r="D476" s="0" t="s">
        <v>1661</v>
      </c>
      <c r="E476" s="0" t="s">
        <v>2563</v>
      </c>
      <c r="F476" s="0" t="str">
        <f aca="false">CONCATENATE(D476," ",LEFT(H476,4),"T=",AU476,"D=",AV476,"R=",AW476,"M=",AX476,"L=",AY476,"B=",AZ476)</f>
        <v>JACKSON T=7D=0R=1M=1L=1B=0</v>
      </c>
      <c r="G476" s="0" t="s">
        <v>209</v>
      </c>
      <c r="I476" s="0" t="s">
        <v>2564</v>
      </c>
      <c r="J476" s="0" t="s">
        <v>2565</v>
      </c>
      <c r="K476" s="0" t="s">
        <v>160</v>
      </c>
      <c r="M476" s="0" t="s">
        <v>2561</v>
      </c>
      <c r="N476" s="0" t="str">
        <f aca="false">RIGHT(M476,LEN(M476)-FIND(" ",M476))</f>
        <v>DRAPER AVE SE</v>
      </c>
      <c r="P476" s="0" t="s">
        <v>145</v>
      </c>
      <c r="Q476" s="0" t="s">
        <v>146</v>
      </c>
      <c r="R476" s="0" t="n">
        <v>44484</v>
      </c>
      <c r="AD476" s="0" t="s">
        <v>147</v>
      </c>
      <c r="AE476" s="0" t="s">
        <v>148</v>
      </c>
      <c r="AF476" s="0" t="s">
        <v>149</v>
      </c>
      <c r="AH476" s="0" t="n">
        <v>14</v>
      </c>
      <c r="AI476" s="0" t="n">
        <v>11</v>
      </c>
      <c r="AN476" s="0" t="s">
        <v>145</v>
      </c>
      <c r="AO476" s="0" t="s">
        <v>233</v>
      </c>
      <c r="AP476" s="0" t="s">
        <v>234</v>
      </c>
      <c r="AQ476" s="0" t="n">
        <v>9</v>
      </c>
      <c r="AR476" s="0" t="n">
        <v>64</v>
      </c>
      <c r="AS476" s="0" t="n">
        <v>32</v>
      </c>
      <c r="AU476" s="0" t="n">
        <f aca="false">COUNTA($BA$2685:$EH$2685)</f>
        <v>7</v>
      </c>
      <c r="AV476" s="0" t="n">
        <f aca="false">COUNTIF($BA$2685:$EH$2685,"D")</f>
        <v>0</v>
      </c>
      <c r="AW476" s="0" t="n">
        <f aca="false">COUNTIF($BA$2685:$EH$2685,"R")</f>
        <v>1</v>
      </c>
      <c r="AX476" s="0" t="n">
        <f aca="false">IF(BN476="D",1,0)+IF(BO476="D",1,0)+IF(BT476="D",1,0)+IF(BU476="D",1,0)+IF(BW476="D",1,0)+IF(CC476="D",1,0)+IF(CD476="D",1,0)+IF(CE476="D",1,0)+IF(CF476="D",1,0)+IF(CL476="D",1,0)+IF(CM476="D",1,0)+IF(CQ476="D",1,0)+IF(CR476="D",1,0)+IF(CS476="D",1,0)+IF(CW476="D",1,0)+IF(CX476="D",1,0)+IF(DD476="D",1,0)+IF(DE476="D",1,0)+IF(DJ476="D",1,0)+IF(DK476="D",1,0)+IF(DO476="D",1,0)+IF(DP476="D",1,0)+IF(DQ476="D",1,0)+IF(DW476="D",1,0)+IF(DZ476="D",1,0)+IF(EH476="D",1,0)</f>
        <v>1</v>
      </c>
      <c r="AY476" s="0" t="n">
        <f aca="false">COUNTIF(DU476:EH476, "&lt;&gt;")</f>
        <v>1</v>
      </c>
      <c r="AZ476" s="0" t="n">
        <f aca="false">IF(EH476&lt;&gt;"",1,0)</f>
        <v>0</v>
      </c>
      <c r="BB476" s="0" t="s">
        <v>152</v>
      </c>
      <c r="BD476" s="0" t="s">
        <v>153</v>
      </c>
      <c r="BL476" s="0" t="s">
        <v>153</v>
      </c>
      <c r="BY476" s="0" t="s">
        <v>175</v>
      </c>
      <c r="CL476" s="0" t="s">
        <v>175</v>
      </c>
      <c r="CP476" s="0" t="s">
        <v>153</v>
      </c>
      <c r="DI476" s="0" t="s">
        <v>153</v>
      </c>
      <c r="EF476" s="0" t="s">
        <v>153</v>
      </c>
    </row>
    <row r="477" customFormat="false" ht="13.8" hidden="false" customHeight="false" outlineLevel="0" collapsed="false">
      <c r="A477" s="0" t="s">
        <v>2566</v>
      </c>
      <c r="B477" s="0" t="n">
        <v>78</v>
      </c>
      <c r="C477" s="0" t="n">
        <v>128354</v>
      </c>
      <c r="D477" s="0" t="s">
        <v>2567</v>
      </c>
      <c r="E477" s="0" t="s">
        <v>1101</v>
      </c>
      <c r="F477" s="0" t="str">
        <f aca="false">CONCATENATE(D477," ",LEFT(H477,4),"T=",AU477,"D=",AV477,"R=",AW477,"M=",AX477,"L=",AY477,"B=",AZ477)</f>
        <v>SPARKS T=1D=0R=0M=4L=6B=1</v>
      </c>
      <c r="I477" s="0" t="s">
        <v>2568</v>
      </c>
      <c r="J477" s="0" t="s">
        <v>2569</v>
      </c>
      <c r="K477" s="0" t="s">
        <v>160</v>
      </c>
      <c r="L477" s="0" t="s">
        <v>175</v>
      </c>
      <c r="M477" s="0" t="s">
        <v>2570</v>
      </c>
      <c r="N477" s="0" t="str">
        <f aca="false">RIGHT(M477,LEN(M477)-FIND(" ",M477))</f>
        <v>DRAPER AVE SE</v>
      </c>
      <c r="P477" s="0" t="s">
        <v>145</v>
      </c>
      <c r="Q477" s="0" t="s">
        <v>146</v>
      </c>
      <c r="R477" s="0" t="n">
        <v>44484</v>
      </c>
      <c r="AD477" s="0" t="s">
        <v>147</v>
      </c>
      <c r="AE477" s="0" t="s">
        <v>148</v>
      </c>
      <c r="AF477" s="0" t="s">
        <v>149</v>
      </c>
      <c r="AH477" s="0" t="n">
        <v>14</v>
      </c>
      <c r="AI477" s="0" t="n">
        <v>11</v>
      </c>
      <c r="AN477" s="0" t="s">
        <v>145</v>
      </c>
      <c r="AO477" s="0" t="s">
        <v>233</v>
      </c>
      <c r="AP477" s="0" t="s">
        <v>234</v>
      </c>
      <c r="AQ477" s="0" t="n">
        <v>9</v>
      </c>
      <c r="AR477" s="0" t="n">
        <v>64</v>
      </c>
      <c r="AS477" s="0" t="n">
        <v>32</v>
      </c>
      <c r="AU477" s="0" t="n">
        <f aca="false">COUNTA($BA$2392:$EH$2392)</f>
        <v>1</v>
      </c>
      <c r="AV477" s="0" t="n">
        <f aca="false">COUNTIF($BA$2392:$EH$2392,"D")</f>
        <v>0</v>
      </c>
      <c r="AW477" s="0" t="n">
        <f aca="false">COUNTIF($BA$2392:$EH$2392,"R")</f>
        <v>0</v>
      </c>
      <c r="AX477" s="0" t="n">
        <f aca="false">IF(BN477="D",1,0)+IF(BO477="D",1,0)+IF(BT477="D",1,0)+IF(BU477="D",1,0)+IF(BW477="D",1,0)+IF(CC477="D",1,0)+IF(CD477="D",1,0)+IF(CE477="D",1,0)+IF(CF477="D",1,0)+IF(CL477="D",1,0)+IF(CM477="D",1,0)+IF(CQ477="D",1,0)+IF(CR477="D",1,0)+IF(CS477="D",1,0)+IF(CW477="D",1,0)+IF(CX477="D",1,0)+IF(DD477="D",1,0)+IF(DE477="D",1,0)+IF(DJ477="D",1,0)+IF(DK477="D",1,0)+IF(DO477="D",1,0)+IF(DP477="D",1,0)+IF(DQ477="D",1,0)+IF(DW477="D",1,0)+IF(DZ477="D",1,0)+IF(EH477="D",1,0)</f>
        <v>4</v>
      </c>
      <c r="AY477" s="0" t="n">
        <f aca="false">COUNTIF(DU477:EH477, "&lt;&gt;")</f>
        <v>6</v>
      </c>
      <c r="AZ477" s="0" t="n">
        <f aca="false">IF(EH477&lt;&gt;"",1,0)</f>
        <v>1</v>
      </c>
      <c r="BB477" s="0" t="s">
        <v>152</v>
      </c>
      <c r="BC477" s="0" t="s">
        <v>153</v>
      </c>
      <c r="BD477" s="0" t="s">
        <v>153</v>
      </c>
      <c r="BH477" s="0" t="s">
        <v>153</v>
      </c>
      <c r="BL477" s="0" t="s">
        <v>153</v>
      </c>
      <c r="BS477" s="0" t="s">
        <v>153</v>
      </c>
      <c r="BY477" s="0" t="s">
        <v>175</v>
      </c>
      <c r="CA477" s="0" t="s">
        <v>153</v>
      </c>
      <c r="CG477" s="0" t="s">
        <v>153</v>
      </c>
      <c r="CK477" s="0" t="s">
        <v>153</v>
      </c>
      <c r="CL477" s="0" t="s">
        <v>175</v>
      </c>
      <c r="CN477" s="0" t="s">
        <v>153</v>
      </c>
      <c r="CP477" s="0" t="s">
        <v>153</v>
      </c>
      <c r="CU477" s="0" t="s">
        <v>175</v>
      </c>
      <c r="CV477" s="0" t="s">
        <v>153</v>
      </c>
      <c r="CW477" s="0" t="s">
        <v>175</v>
      </c>
      <c r="CY477" s="0" t="s">
        <v>153</v>
      </c>
      <c r="CZ477" s="0" t="s">
        <v>175</v>
      </c>
      <c r="DC477" s="0" t="s">
        <v>153</v>
      </c>
      <c r="DF477" s="0" t="s">
        <v>153</v>
      </c>
      <c r="DI477" s="0" t="s">
        <v>153</v>
      </c>
      <c r="DL477" s="0" t="s">
        <v>153</v>
      </c>
      <c r="DM477" s="0" t="s">
        <v>175</v>
      </c>
      <c r="DN477" s="0" t="s">
        <v>153</v>
      </c>
      <c r="DR477" s="0" t="s">
        <v>153</v>
      </c>
      <c r="DS477" s="0" t="s">
        <v>175</v>
      </c>
      <c r="DU477" s="0" t="s">
        <v>153</v>
      </c>
      <c r="DW477" s="0" t="s">
        <v>175</v>
      </c>
      <c r="DX477" s="0" t="s">
        <v>153</v>
      </c>
      <c r="EA477" s="0" t="s">
        <v>153</v>
      </c>
      <c r="EF477" s="0" t="s">
        <v>153</v>
      </c>
      <c r="EH477" s="0" t="s">
        <v>175</v>
      </c>
    </row>
    <row r="478" customFormat="false" ht="13.8" hidden="false" customHeight="false" outlineLevel="0" collapsed="false">
      <c r="A478" s="0" t="s">
        <v>2571</v>
      </c>
      <c r="B478" s="0" t="n">
        <v>78</v>
      </c>
      <c r="C478" s="0" t="n">
        <v>405949</v>
      </c>
      <c r="D478" s="0" t="s">
        <v>690</v>
      </c>
      <c r="E478" s="0" t="s">
        <v>2572</v>
      </c>
      <c r="F478" s="0" t="str">
        <f aca="false">CONCATENATE(D478," ",LEFT(H478,4),"T=",AU478,"D=",AV478,"R=",AW478,"M=",AX478,"L=",AY478,"B=",AZ478)</f>
        <v>SMITH T=9D=0R=0M=6L=7B=1</v>
      </c>
      <c r="G478" s="0" t="s">
        <v>2573</v>
      </c>
      <c r="I478" s="0" t="s">
        <v>2574</v>
      </c>
      <c r="J478" s="0" t="s">
        <v>2575</v>
      </c>
      <c r="K478" s="0" t="s">
        <v>160</v>
      </c>
      <c r="L478" s="0" t="s">
        <v>175</v>
      </c>
      <c r="M478" s="0" t="s">
        <v>2576</v>
      </c>
      <c r="N478" s="0" t="str">
        <f aca="false">RIGHT(M478,LEN(M478)-FIND(" ",M478))</f>
        <v>DUKE AVE SE</v>
      </c>
      <c r="P478" s="0" t="s">
        <v>145</v>
      </c>
      <c r="Q478" s="0" t="s">
        <v>146</v>
      </c>
      <c r="R478" s="0" t="n">
        <v>44484</v>
      </c>
      <c r="AD478" s="0" t="s">
        <v>147</v>
      </c>
      <c r="AE478" s="0" t="s">
        <v>148</v>
      </c>
      <c r="AF478" s="0" t="s">
        <v>149</v>
      </c>
      <c r="AH478" s="0" t="n">
        <v>14</v>
      </c>
      <c r="AI478" s="0" t="n">
        <v>11</v>
      </c>
      <c r="AN478" s="0" t="s">
        <v>145</v>
      </c>
      <c r="AO478" s="0" t="s">
        <v>233</v>
      </c>
      <c r="AP478" s="0" t="s">
        <v>234</v>
      </c>
      <c r="AQ478" s="0" t="n">
        <v>9</v>
      </c>
      <c r="AR478" s="0" t="n">
        <v>64</v>
      </c>
      <c r="AS478" s="0" t="n">
        <v>32</v>
      </c>
      <c r="AU478" s="0" t="n">
        <f aca="false">COUNTA($BA$2250:$EH$2250)</f>
        <v>9</v>
      </c>
      <c r="AV478" s="0" t="n">
        <f aca="false">COUNTIF($BA$2250:$EH$2250,"D")</f>
        <v>0</v>
      </c>
      <c r="AW478" s="0" t="n">
        <f aca="false">COUNTIF($BA$2250:$EH$2250,"R")</f>
        <v>0</v>
      </c>
      <c r="AX478" s="0" t="n">
        <f aca="false">IF(BN478="D",1,0)+IF(BO478="D",1,0)+IF(BT478="D",1,0)+IF(BU478="D",1,0)+IF(BW478="D",1,0)+IF(CC478="D",1,0)+IF(CD478="D",1,0)+IF(CE478="D",1,0)+IF(CF478="D",1,0)+IF(CL478="D",1,0)+IF(CM478="D",1,0)+IF(CQ478="D",1,0)+IF(CR478="D",1,0)+IF(CS478="D",1,0)+IF(CW478="D",1,0)+IF(CX478="D",1,0)+IF(DD478="D",1,0)+IF(DE478="D",1,0)+IF(DJ478="D",1,0)+IF(DK478="D",1,0)+IF(DO478="D",1,0)+IF(DP478="D",1,0)+IF(DQ478="D",1,0)+IF(DW478="D",1,0)+IF(DZ478="D",1,0)+IF(EH478="D",1,0)</f>
        <v>6</v>
      </c>
      <c r="AY478" s="0" t="n">
        <f aca="false">COUNTIF(DU478:EH478, "&lt;&gt;")</f>
        <v>7</v>
      </c>
      <c r="AZ478" s="0" t="n">
        <f aca="false">IF(EH478&lt;&gt;"",1,0)</f>
        <v>1</v>
      </c>
      <c r="BB478" s="0" t="s">
        <v>152</v>
      </c>
      <c r="BC478" s="0" t="s">
        <v>175</v>
      </c>
      <c r="BD478" s="0" t="s">
        <v>153</v>
      </c>
      <c r="BE478" s="0" t="s">
        <v>153</v>
      </c>
      <c r="BF478" s="0" t="s">
        <v>153</v>
      </c>
      <c r="BG478" s="0" t="s">
        <v>175</v>
      </c>
      <c r="BH478" s="0" t="s">
        <v>153</v>
      </c>
      <c r="BJ478" s="0" t="s">
        <v>153</v>
      </c>
      <c r="BK478" s="0" t="s">
        <v>175</v>
      </c>
      <c r="BL478" s="0" t="s">
        <v>153</v>
      </c>
      <c r="BN478" s="0" t="s">
        <v>175</v>
      </c>
      <c r="BP478" s="0" t="s">
        <v>153</v>
      </c>
      <c r="BR478" s="0" t="s">
        <v>175</v>
      </c>
      <c r="BS478" s="0" t="s">
        <v>153</v>
      </c>
      <c r="BV478" s="0" t="s">
        <v>153</v>
      </c>
      <c r="BY478" s="0" t="s">
        <v>175</v>
      </c>
      <c r="CA478" s="0" t="s">
        <v>153</v>
      </c>
      <c r="CG478" s="0" t="s">
        <v>153</v>
      </c>
      <c r="CH478" s="0" t="s">
        <v>175</v>
      </c>
      <c r="CK478" s="0" t="s">
        <v>153</v>
      </c>
      <c r="CN478" s="0" t="s">
        <v>153</v>
      </c>
      <c r="CO478" s="0" t="s">
        <v>175</v>
      </c>
      <c r="CP478" s="0" t="s">
        <v>153</v>
      </c>
      <c r="CQ478" s="0" t="s">
        <v>153</v>
      </c>
      <c r="CT478" s="0" t="s">
        <v>153</v>
      </c>
      <c r="CU478" s="0" t="s">
        <v>175</v>
      </c>
      <c r="CV478" s="0" t="s">
        <v>153</v>
      </c>
      <c r="CW478" s="0" t="s">
        <v>175</v>
      </c>
      <c r="CY478" s="0" t="s">
        <v>153</v>
      </c>
      <c r="CZ478" s="0" t="s">
        <v>175</v>
      </c>
      <c r="DC478" s="0" t="s">
        <v>153</v>
      </c>
      <c r="DD478" s="0" t="s">
        <v>175</v>
      </c>
      <c r="DF478" s="0" t="s">
        <v>153</v>
      </c>
      <c r="DG478" s="0" t="s">
        <v>175</v>
      </c>
      <c r="DI478" s="0" t="s">
        <v>153</v>
      </c>
      <c r="DJ478" s="0" t="s">
        <v>175</v>
      </c>
      <c r="DL478" s="0" t="s">
        <v>153</v>
      </c>
      <c r="DM478" s="0" t="s">
        <v>175</v>
      </c>
      <c r="DN478" s="0" t="s">
        <v>153</v>
      </c>
      <c r="DR478" s="0" t="s">
        <v>153</v>
      </c>
      <c r="DS478" s="0" t="s">
        <v>175</v>
      </c>
      <c r="DT478" s="0" t="s">
        <v>175</v>
      </c>
      <c r="DU478" s="0" t="s">
        <v>153</v>
      </c>
      <c r="DW478" s="0" t="s">
        <v>175</v>
      </c>
      <c r="DX478" s="0" t="s">
        <v>153</v>
      </c>
      <c r="EA478" s="0" t="s">
        <v>153</v>
      </c>
      <c r="ED478" s="0" t="s">
        <v>175</v>
      </c>
      <c r="EF478" s="0" t="s">
        <v>153</v>
      </c>
      <c r="EH478" s="0" t="s">
        <v>175</v>
      </c>
    </row>
    <row r="479" customFormat="false" ht="13.8" hidden="false" customHeight="false" outlineLevel="0" collapsed="false">
      <c r="A479" s="0" t="s">
        <v>2577</v>
      </c>
      <c r="B479" s="0" t="n">
        <v>78</v>
      </c>
      <c r="C479" s="0" t="n">
        <v>19690</v>
      </c>
      <c r="D479" s="0" t="s">
        <v>690</v>
      </c>
      <c r="E479" s="0" t="s">
        <v>2578</v>
      </c>
      <c r="F479" s="0" t="str">
        <f aca="false">CONCATENATE(D479," ",LEFT(H479,4),"T=",AU479,"D=",AV479,"R=",AW479,"M=",AX479,"L=",AY479,"B=",AZ479)</f>
        <v>SMITH T=2D=0R=0M=8L=7B=1</v>
      </c>
      <c r="G479" s="0" t="s">
        <v>209</v>
      </c>
      <c r="I479" s="0" t="s">
        <v>2579</v>
      </c>
      <c r="J479" s="0" t="s">
        <v>2580</v>
      </c>
      <c r="K479" s="0" t="s">
        <v>160</v>
      </c>
      <c r="L479" s="0" t="s">
        <v>175</v>
      </c>
      <c r="M479" s="0" t="s">
        <v>2576</v>
      </c>
      <c r="N479" s="0" t="str">
        <f aca="false">RIGHT(M479,LEN(M479)-FIND(" ",M479))</f>
        <v>DUKE AVE SE</v>
      </c>
      <c r="P479" s="0" t="s">
        <v>145</v>
      </c>
      <c r="Q479" s="0" t="s">
        <v>146</v>
      </c>
      <c r="R479" s="0" t="n">
        <v>44484</v>
      </c>
      <c r="AD479" s="0" t="s">
        <v>147</v>
      </c>
      <c r="AE479" s="0" t="s">
        <v>148</v>
      </c>
      <c r="AF479" s="0" t="s">
        <v>149</v>
      </c>
      <c r="AH479" s="0" t="n">
        <v>14</v>
      </c>
      <c r="AI479" s="0" t="n">
        <v>11</v>
      </c>
      <c r="AN479" s="0" t="s">
        <v>145</v>
      </c>
      <c r="AO479" s="0" t="s">
        <v>233</v>
      </c>
      <c r="AP479" s="0" t="s">
        <v>234</v>
      </c>
      <c r="AQ479" s="0" t="n">
        <v>9</v>
      </c>
      <c r="AR479" s="0" t="n">
        <v>64</v>
      </c>
      <c r="AS479" s="0" t="n">
        <v>32</v>
      </c>
      <c r="AU479" s="0" t="n">
        <f aca="false">COUNTA($BA$2479:$EH$2479)</f>
        <v>2</v>
      </c>
      <c r="AV479" s="0" t="n">
        <f aca="false">COUNTIF($BA$2479:$EH$2479,"D")</f>
        <v>0</v>
      </c>
      <c r="AW479" s="0" t="n">
        <f aca="false">COUNTIF($BA$2479:$EH$2479,"R")</f>
        <v>0</v>
      </c>
      <c r="AX479" s="0" t="n">
        <f aca="false">IF(BN479="D",1,0)+IF(BO479="D",1,0)+IF(BT479="D",1,0)+IF(BU479="D",1,0)+IF(BW479="D",1,0)+IF(CC479="D",1,0)+IF(CD479="D",1,0)+IF(CE479="D",1,0)+IF(CF479="D",1,0)+IF(CL479="D",1,0)+IF(CM479="D",1,0)+IF(CQ479="D",1,0)+IF(CR479="D",1,0)+IF(CS479="D",1,0)+IF(CW479="D",1,0)+IF(CX479="D",1,0)+IF(DD479="D",1,0)+IF(DE479="D",1,0)+IF(DJ479="D",1,0)+IF(DK479="D",1,0)+IF(DO479="D",1,0)+IF(DP479="D",1,0)+IF(DQ479="D",1,0)+IF(DW479="D",1,0)+IF(DZ479="D",1,0)+IF(EH479="D",1,0)</f>
        <v>8</v>
      </c>
      <c r="AY479" s="0" t="n">
        <f aca="false">COUNTIF(DU479:EH479, "&lt;&gt;")</f>
        <v>7</v>
      </c>
      <c r="AZ479" s="0" t="n">
        <f aca="false">IF(EH479&lt;&gt;"",1,0)</f>
        <v>1</v>
      </c>
      <c r="BB479" s="0" t="s">
        <v>152</v>
      </c>
      <c r="BC479" s="0" t="s">
        <v>153</v>
      </c>
      <c r="BD479" s="0" t="s">
        <v>153</v>
      </c>
      <c r="BE479" s="0" t="s">
        <v>153</v>
      </c>
      <c r="BF479" s="0" t="s">
        <v>153</v>
      </c>
      <c r="BG479" s="0" t="s">
        <v>153</v>
      </c>
      <c r="BH479" s="0" t="s">
        <v>153</v>
      </c>
      <c r="BI479" s="0" t="s">
        <v>153</v>
      </c>
      <c r="BJ479" s="0" t="s">
        <v>153</v>
      </c>
      <c r="BK479" s="0" t="s">
        <v>153</v>
      </c>
      <c r="BL479" s="0" t="s">
        <v>153</v>
      </c>
      <c r="BP479" s="0" t="s">
        <v>153</v>
      </c>
      <c r="BR479" s="0" t="s">
        <v>153</v>
      </c>
      <c r="BS479" s="0" t="s">
        <v>153</v>
      </c>
      <c r="BT479" s="0" t="s">
        <v>153</v>
      </c>
      <c r="BV479" s="0" t="s">
        <v>153</v>
      </c>
      <c r="BY479" s="0" t="s">
        <v>175</v>
      </c>
      <c r="CA479" s="0" t="s">
        <v>153</v>
      </c>
      <c r="CC479" s="0" t="s">
        <v>175</v>
      </c>
      <c r="CG479" s="0" t="s">
        <v>153</v>
      </c>
      <c r="CH479" s="0" t="s">
        <v>175</v>
      </c>
      <c r="CK479" s="0" t="s">
        <v>153</v>
      </c>
      <c r="CL479" s="0" t="s">
        <v>175</v>
      </c>
      <c r="CN479" s="0" t="s">
        <v>153</v>
      </c>
      <c r="CO479" s="0" t="s">
        <v>175</v>
      </c>
      <c r="CP479" s="0" t="s">
        <v>153</v>
      </c>
      <c r="CQ479" s="0" t="s">
        <v>175</v>
      </c>
      <c r="CT479" s="0" t="s">
        <v>153</v>
      </c>
      <c r="CU479" s="0" t="s">
        <v>175</v>
      </c>
      <c r="CV479" s="0" t="s">
        <v>153</v>
      </c>
      <c r="CW479" s="0" t="s">
        <v>175</v>
      </c>
      <c r="CY479" s="0" t="s">
        <v>153</v>
      </c>
      <c r="CZ479" s="0" t="s">
        <v>175</v>
      </c>
      <c r="DC479" s="0" t="s">
        <v>153</v>
      </c>
      <c r="DD479" s="0" t="s">
        <v>175</v>
      </c>
      <c r="DF479" s="0" t="s">
        <v>153</v>
      </c>
      <c r="DG479" s="0" t="s">
        <v>175</v>
      </c>
      <c r="DI479" s="0" t="s">
        <v>153</v>
      </c>
      <c r="DJ479" s="0" t="s">
        <v>175</v>
      </c>
      <c r="DL479" s="0" t="s">
        <v>153</v>
      </c>
      <c r="DM479" s="0" t="s">
        <v>175</v>
      </c>
      <c r="DN479" s="0" t="s">
        <v>153</v>
      </c>
      <c r="DR479" s="0" t="s">
        <v>153</v>
      </c>
      <c r="DS479" s="0" t="s">
        <v>175</v>
      </c>
      <c r="DT479" s="0" t="s">
        <v>175</v>
      </c>
      <c r="DU479" s="0" t="s">
        <v>153</v>
      </c>
      <c r="DW479" s="0" t="s">
        <v>175</v>
      </c>
      <c r="DX479" s="0" t="s">
        <v>153</v>
      </c>
      <c r="EA479" s="0" t="s">
        <v>153</v>
      </c>
      <c r="ED479" s="0" t="s">
        <v>175</v>
      </c>
      <c r="EF479" s="0" t="s">
        <v>153</v>
      </c>
      <c r="EH479" s="0" t="s">
        <v>175</v>
      </c>
    </row>
    <row r="480" customFormat="false" ht="13.8" hidden="false" customHeight="false" outlineLevel="0" collapsed="false">
      <c r="A480" s="0" t="s">
        <v>2581</v>
      </c>
      <c r="B480" s="0" t="n">
        <v>78</v>
      </c>
      <c r="C480" s="0" t="n">
        <v>154051</v>
      </c>
      <c r="D480" s="0" t="s">
        <v>413</v>
      </c>
      <c r="E480" s="0" t="s">
        <v>2582</v>
      </c>
      <c r="F480" s="0" t="str">
        <f aca="false">CONCATENATE(D480," ",LEFT(H480,4),"T=",AU480,"D=",AV480,"R=",AW480,"M=",AX480,"L=",AY480,"B=",AZ480)</f>
        <v>BELL T=24D=7R=0M=0L=3B=0</v>
      </c>
      <c r="G480" s="0" t="s">
        <v>190</v>
      </c>
      <c r="I480" s="0" t="s">
        <v>2583</v>
      </c>
      <c r="J480" s="0" t="s">
        <v>570</v>
      </c>
      <c r="K480" s="0" t="s">
        <v>160</v>
      </c>
      <c r="M480" s="0" t="s">
        <v>2584</v>
      </c>
      <c r="N480" s="0" t="str">
        <f aca="false">RIGHT(M480,LEN(M480)-FIND(" ",M480))</f>
        <v>DUKE AVE SE</v>
      </c>
      <c r="P480" s="0" t="s">
        <v>145</v>
      </c>
      <c r="Q480" s="0" t="s">
        <v>146</v>
      </c>
      <c r="R480" s="0" t="n">
        <v>44484</v>
      </c>
      <c r="AD480" s="0" t="s">
        <v>147</v>
      </c>
      <c r="AE480" s="0" t="s">
        <v>148</v>
      </c>
      <c r="AF480" s="0" t="s">
        <v>149</v>
      </c>
      <c r="AH480" s="0" t="n">
        <v>14</v>
      </c>
      <c r="AI480" s="0" t="n">
        <v>11</v>
      </c>
      <c r="AN480" s="0" t="s">
        <v>145</v>
      </c>
      <c r="AO480" s="0" t="s">
        <v>233</v>
      </c>
      <c r="AP480" s="0" t="s">
        <v>234</v>
      </c>
      <c r="AQ480" s="0" t="n">
        <v>9</v>
      </c>
      <c r="AR480" s="0" t="n">
        <v>64</v>
      </c>
      <c r="AS480" s="0" t="n">
        <v>32</v>
      </c>
      <c r="AU480" s="0" t="n">
        <f aca="false">COUNTA($BA$2540:$EH$2540)</f>
        <v>24</v>
      </c>
      <c r="AV480" s="0" t="n">
        <f aca="false">COUNTIF($BA$2540:$EH$2540,"D")</f>
        <v>7</v>
      </c>
      <c r="AW480" s="0" t="n">
        <f aca="false">COUNTIF($BA$2540:$EH$2540,"R")</f>
        <v>0</v>
      </c>
      <c r="AX480" s="0" t="n">
        <f aca="false">IF(BN480="D",1,0)+IF(BO480="D",1,0)+IF(BT480="D",1,0)+IF(BU480="D",1,0)+IF(BW480="D",1,0)+IF(CC480="D",1,0)+IF(CD480="D",1,0)+IF(CE480="D",1,0)+IF(CF480="D",1,0)+IF(CL480="D",1,0)+IF(CM480="D",1,0)+IF(CQ480="D",1,0)+IF(CR480="D",1,0)+IF(CS480="D",1,0)+IF(CW480="D",1,0)+IF(CX480="D",1,0)+IF(DD480="D",1,0)+IF(DE480="D",1,0)+IF(DJ480="D",1,0)+IF(DK480="D",1,0)+IF(DO480="D",1,0)+IF(DP480="D",1,0)+IF(DQ480="D",1,0)+IF(DW480="D",1,0)+IF(DZ480="D",1,0)+IF(EH480="D",1,0)</f>
        <v>0</v>
      </c>
      <c r="AY480" s="0" t="n">
        <f aca="false">COUNTIF(DU480:EH480, "&lt;&gt;")</f>
        <v>3</v>
      </c>
      <c r="AZ480" s="0" t="n">
        <f aca="false">IF(EH480&lt;&gt;"",1,0)</f>
        <v>0</v>
      </c>
      <c r="BB480" s="0" t="s">
        <v>152</v>
      </c>
      <c r="BC480" s="0" t="s">
        <v>153</v>
      </c>
      <c r="BD480" s="0" t="s">
        <v>153</v>
      </c>
      <c r="BK480" s="0" t="s">
        <v>153</v>
      </c>
      <c r="BL480" s="0" t="s">
        <v>153</v>
      </c>
      <c r="BP480" s="0" t="s">
        <v>153</v>
      </c>
      <c r="BS480" s="0" t="s">
        <v>153</v>
      </c>
      <c r="BY480" s="0" t="s">
        <v>175</v>
      </c>
      <c r="CA480" s="0" t="s">
        <v>153</v>
      </c>
      <c r="CG480" s="0" t="s">
        <v>153</v>
      </c>
      <c r="CK480" s="0" t="s">
        <v>153</v>
      </c>
      <c r="CN480" s="0" t="s">
        <v>153</v>
      </c>
      <c r="CP480" s="0" t="s">
        <v>153</v>
      </c>
      <c r="CY480" s="0" t="s">
        <v>153</v>
      </c>
      <c r="CZ480" s="0" t="s">
        <v>175</v>
      </c>
      <c r="DC480" s="0" t="s">
        <v>153</v>
      </c>
      <c r="DI480" s="0" t="s">
        <v>153</v>
      </c>
      <c r="DN480" s="0" t="s">
        <v>153</v>
      </c>
      <c r="DU480" s="0" t="s">
        <v>153</v>
      </c>
      <c r="EA480" s="0" t="s">
        <v>153</v>
      </c>
      <c r="EF480" s="0" t="s">
        <v>153</v>
      </c>
    </row>
    <row r="481" customFormat="false" ht="13.8" hidden="false" customHeight="false" outlineLevel="0" collapsed="false">
      <c r="A481" s="0" t="s">
        <v>2585</v>
      </c>
      <c r="B481" s="0" t="n">
        <v>78</v>
      </c>
      <c r="C481" s="0" t="n">
        <v>136825</v>
      </c>
      <c r="D481" s="0" t="s">
        <v>413</v>
      </c>
      <c r="E481" s="0" t="s">
        <v>2586</v>
      </c>
      <c r="F481" s="0" t="str">
        <f aca="false">CONCATENATE(D481," ",LEFT(H481,4),"T=",AU481,"D=",AV481,"R=",AW481,"M=",AX481,"L=",AY481,"B=",AZ481)</f>
        <v>BELL T=12D=3R=0M=0L=3B=0</v>
      </c>
      <c r="G481" s="0" t="s">
        <v>164</v>
      </c>
      <c r="I481" s="0" t="s">
        <v>2583</v>
      </c>
      <c r="J481" s="0" t="s">
        <v>570</v>
      </c>
      <c r="K481" s="0" t="s">
        <v>160</v>
      </c>
      <c r="M481" s="0" t="s">
        <v>2584</v>
      </c>
      <c r="N481" s="0" t="str">
        <f aca="false">RIGHT(M481,LEN(M481)-FIND(" ",M481))</f>
        <v>DUKE AVE SE</v>
      </c>
      <c r="P481" s="0" t="s">
        <v>145</v>
      </c>
      <c r="Q481" s="0" t="s">
        <v>146</v>
      </c>
      <c r="R481" s="0" t="n">
        <v>44484</v>
      </c>
      <c r="AD481" s="0" t="s">
        <v>147</v>
      </c>
      <c r="AE481" s="0" t="s">
        <v>148</v>
      </c>
      <c r="AF481" s="0" t="s">
        <v>149</v>
      </c>
      <c r="AH481" s="0" t="n">
        <v>14</v>
      </c>
      <c r="AI481" s="0" t="n">
        <v>11</v>
      </c>
      <c r="AN481" s="0" t="s">
        <v>145</v>
      </c>
      <c r="AO481" s="0" t="s">
        <v>233</v>
      </c>
      <c r="AP481" s="0" t="s">
        <v>234</v>
      </c>
      <c r="AQ481" s="0" t="n">
        <v>9</v>
      </c>
      <c r="AR481" s="0" t="n">
        <v>64</v>
      </c>
      <c r="AS481" s="0" t="n">
        <v>32</v>
      </c>
      <c r="AU481" s="0" t="n">
        <f aca="false">COUNTA($BA$2626:$EH$2626)</f>
        <v>12</v>
      </c>
      <c r="AV481" s="0" t="n">
        <f aca="false">COUNTIF($BA$2626:$EH$2626,"D")</f>
        <v>3</v>
      </c>
      <c r="AW481" s="0" t="n">
        <f aca="false">COUNTIF($BA$2626:$EH$2626,"R")</f>
        <v>0</v>
      </c>
      <c r="AX481" s="0" t="n">
        <f aca="false">IF(BN481="D",1,0)+IF(BO481="D",1,0)+IF(BT481="D",1,0)+IF(BU481="D",1,0)+IF(BW481="D",1,0)+IF(CC481="D",1,0)+IF(CD481="D",1,0)+IF(CE481="D",1,0)+IF(CF481="D",1,0)+IF(CL481="D",1,0)+IF(CM481="D",1,0)+IF(CQ481="D",1,0)+IF(CR481="D",1,0)+IF(CS481="D",1,0)+IF(CW481="D",1,0)+IF(CX481="D",1,0)+IF(DD481="D",1,0)+IF(DE481="D",1,0)+IF(DJ481="D",1,0)+IF(DK481="D",1,0)+IF(DO481="D",1,0)+IF(DP481="D",1,0)+IF(DQ481="D",1,0)+IF(DW481="D",1,0)+IF(DZ481="D",1,0)+IF(EH481="D",1,0)</f>
        <v>0</v>
      </c>
      <c r="AY481" s="0" t="n">
        <f aca="false">COUNTIF(DU481:EH481, "&lt;&gt;")</f>
        <v>3</v>
      </c>
      <c r="AZ481" s="0" t="n">
        <f aca="false">IF(EH481&lt;&gt;"",1,0)</f>
        <v>0</v>
      </c>
      <c r="BB481" s="0" t="s">
        <v>152</v>
      </c>
      <c r="BD481" s="0" t="s">
        <v>153</v>
      </c>
      <c r="BG481" s="0" t="s">
        <v>153</v>
      </c>
      <c r="BH481" s="0" t="s">
        <v>153</v>
      </c>
      <c r="BK481" s="0" t="s">
        <v>153</v>
      </c>
      <c r="BL481" s="0" t="s">
        <v>153</v>
      </c>
      <c r="BP481" s="0" t="s">
        <v>153</v>
      </c>
      <c r="BS481" s="0" t="s">
        <v>153</v>
      </c>
      <c r="BY481" s="0" t="s">
        <v>175</v>
      </c>
      <c r="CA481" s="0" t="s">
        <v>153</v>
      </c>
      <c r="CG481" s="0" t="s">
        <v>153</v>
      </c>
      <c r="CN481" s="0" t="s">
        <v>153</v>
      </c>
      <c r="CP481" s="0" t="s">
        <v>153</v>
      </c>
      <c r="CY481" s="0" t="s">
        <v>153</v>
      </c>
      <c r="CZ481" s="0" t="s">
        <v>175</v>
      </c>
      <c r="DC481" s="0" t="s">
        <v>153</v>
      </c>
      <c r="DI481" s="0" t="s">
        <v>153</v>
      </c>
      <c r="DN481" s="0" t="s">
        <v>153</v>
      </c>
      <c r="DU481" s="0" t="s">
        <v>153</v>
      </c>
      <c r="EA481" s="0" t="s">
        <v>153</v>
      </c>
      <c r="EF481" s="0" t="s">
        <v>153</v>
      </c>
    </row>
    <row r="482" customFormat="false" ht="13.8" hidden="true" customHeight="false" outlineLevel="0" collapsed="false">
      <c r="A482" s="0" t="s">
        <v>2587</v>
      </c>
      <c r="B482" s="0" t="n">
        <v>78</v>
      </c>
      <c r="C482" s="0" t="n">
        <v>455960</v>
      </c>
      <c r="D482" s="0" t="s">
        <v>2588</v>
      </c>
      <c r="E482" s="0" t="s">
        <v>2589</v>
      </c>
      <c r="F482" s="0" t="str">
        <f aca="false">CONCATENATE(D482," ",LEFT(H482,4),"T=",AU482,"D=",AV482,"R=",AW482,"M=",AX482,"L=",AY482,"B=",AZ482)</f>
        <v>FLEISHER T=1D=0R=0M=0L=0B=0</v>
      </c>
      <c r="G482" s="0" t="s">
        <v>255</v>
      </c>
      <c r="I482" s="0" t="s">
        <v>2590</v>
      </c>
      <c r="J482" s="0" t="s">
        <v>2591</v>
      </c>
      <c r="K482" s="0" t="s">
        <v>160</v>
      </c>
      <c r="M482" s="0" t="s">
        <v>2592</v>
      </c>
      <c r="N482" s="0" t="str">
        <f aca="false">RIGHT(M482,LEN(M482)-FIND(" ",M482))</f>
        <v>DUKE AVE SE</v>
      </c>
      <c r="P482" s="0" t="s">
        <v>145</v>
      </c>
      <c r="Q482" s="0" t="s">
        <v>146</v>
      </c>
      <c r="R482" s="0" t="n">
        <v>44484</v>
      </c>
      <c r="AD482" s="0" t="s">
        <v>147</v>
      </c>
      <c r="AE482" s="0" t="s">
        <v>148</v>
      </c>
      <c r="AF482" s="0" t="s">
        <v>149</v>
      </c>
      <c r="AH482" s="0" t="n">
        <v>14</v>
      </c>
      <c r="AI482" s="0" t="n">
        <v>11</v>
      </c>
      <c r="AN482" s="0" t="s">
        <v>145</v>
      </c>
      <c r="AO482" s="0" t="s">
        <v>233</v>
      </c>
      <c r="AP482" s="0" t="s">
        <v>234</v>
      </c>
      <c r="AQ482" s="0" t="n">
        <v>9</v>
      </c>
      <c r="AR482" s="0" t="n">
        <v>64</v>
      </c>
      <c r="AS482" s="0" t="n">
        <v>32</v>
      </c>
      <c r="AU482" s="0" t="n">
        <f aca="false">COUNTA($BA$2266:$EH$2266)</f>
        <v>1</v>
      </c>
      <c r="AV482" s="0" t="n">
        <f aca="false">COUNTIF($BA$2266:$EH$2266,"D")</f>
        <v>0</v>
      </c>
      <c r="AW482" s="0" t="n">
        <f aca="false">COUNTIF($BA$2266:$EH$2266,"R")</f>
        <v>0</v>
      </c>
      <c r="AX482" s="0" t="n">
        <f aca="false">IF(BN482="D",1,0)+IF(BO482="D",1,0)+IF(BT482="D",1,0)+IF(BU482="D",1,0)+IF(BW482="D",1,0)+IF(CC482="D",1,0)+IF(CD482="D",1,0)+IF(CE482="D",1,0)+IF(CF482="D",1,0)+IF(CL482="D",1,0)+IF(CM482="D",1,0)+IF(CQ482="D",1,0)+IF(CR482="D",1,0)+IF(CS482="D",1,0)+IF(CW482="D",1,0)+IF(CX482="D",1,0)+IF(DD482="D",1,0)+IF(DE482="D",1,0)+IF(DJ482="D",1,0)+IF(DK482="D",1,0)+IF(DO482="D",1,0)+IF(DP482="D",1,0)+IF(DQ482="D",1,0)+IF(DW482="D",1,0)+IF(DZ482="D",1,0)+IF(EH482="D",1,0)</f>
        <v>0</v>
      </c>
      <c r="AY482" s="0" t="n">
        <f aca="false">COUNTIF(DU482:EH482, "&lt;&gt;")</f>
        <v>0</v>
      </c>
      <c r="AZ482" s="0" t="n">
        <f aca="false">IF(EH482&lt;&gt;"",1,0)</f>
        <v>0</v>
      </c>
      <c r="BB482" s="0" t="s">
        <v>152</v>
      </c>
    </row>
    <row r="483" customFormat="false" ht="13.8" hidden="true" customHeight="false" outlineLevel="0" collapsed="false">
      <c r="A483" s="0" t="s">
        <v>2593</v>
      </c>
      <c r="B483" s="0" t="n">
        <v>78</v>
      </c>
      <c r="C483" s="0" t="n">
        <v>394903</v>
      </c>
      <c r="D483" s="0" t="s">
        <v>2594</v>
      </c>
      <c r="E483" s="0" t="s">
        <v>379</v>
      </c>
      <c r="F483" s="0" t="str">
        <f aca="false">CONCATENATE(D483," ",LEFT(H483,4),"T=",AU483,"D=",AV483,"R=",AW483,"M=",AX483,"L=",AY483,"B=",AZ483)</f>
        <v>YOCUM T=18D=5R=1M=0L=0B=0</v>
      </c>
      <c r="G483" s="0" t="s">
        <v>274</v>
      </c>
      <c r="I483" s="0" t="s">
        <v>1690</v>
      </c>
      <c r="J483" s="0" t="s">
        <v>727</v>
      </c>
      <c r="K483" s="0" t="s">
        <v>143</v>
      </c>
      <c r="M483" s="0" t="s">
        <v>2595</v>
      </c>
      <c r="N483" s="0" t="str">
        <f aca="false">RIGHT(M483,LEN(M483)-FIND(" ",M483))</f>
        <v>DUKE AVE SE</v>
      </c>
      <c r="P483" s="0" t="s">
        <v>145</v>
      </c>
      <c r="Q483" s="0" t="s">
        <v>146</v>
      </c>
      <c r="R483" s="0" t="n">
        <v>44484</v>
      </c>
      <c r="AD483" s="0" t="s">
        <v>147</v>
      </c>
      <c r="AE483" s="0" t="s">
        <v>148</v>
      </c>
      <c r="AF483" s="0" t="s">
        <v>149</v>
      </c>
      <c r="AH483" s="0" t="n">
        <v>14</v>
      </c>
      <c r="AI483" s="0" t="n">
        <v>11</v>
      </c>
      <c r="AN483" s="0" t="s">
        <v>145</v>
      </c>
      <c r="AO483" s="0" t="s">
        <v>233</v>
      </c>
      <c r="AP483" s="0" t="s">
        <v>234</v>
      </c>
      <c r="AQ483" s="0" t="n">
        <v>9</v>
      </c>
      <c r="AR483" s="0" t="n">
        <v>64</v>
      </c>
      <c r="AS483" s="0" t="n">
        <v>32</v>
      </c>
      <c r="AU483" s="0" t="n">
        <f aca="false">COUNTA($BA$2472:$EH$2472)</f>
        <v>18</v>
      </c>
      <c r="AV483" s="0" t="n">
        <f aca="false">COUNTIF($BA$2472:$EH$2472,"D")</f>
        <v>5</v>
      </c>
      <c r="AW483" s="0" t="n">
        <f aca="false">COUNTIF($BA$2472:$EH$2472,"R")</f>
        <v>1</v>
      </c>
      <c r="AX483" s="0" t="n">
        <f aca="false">IF(BN483="D",1,0)+IF(BO483="D",1,0)+IF(BT483="D",1,0)+IF(BU483="D",1,0)+IF(BW483="D",1,0)+IF(CC483="D",1,0)+IF(CD483="D",1,0)+IF(CE483="D",1,0)+IF(CF483="D",1,0)+IF(CL483="D",1,0)+IF(CM483="D",1,0)+IF(CQ483="D",1,0)+IF(CR483="D",1,0)+IF(CS483="D",1,0)+IF(CW483="D",1,0)+IF(CX483="D",1,0)+IF(DD483="D",1,0)+IF(DE483="D",1,0)+IF(DJ483="D",1,0)+IF(DK483="D",1,0)+IF(DO483="D",1,0)+IF(DP483="D",1,0)+IF(DQ483="D",1,0)+IF(DW483="D",1,0)+IF(DZ483="D",1,0)+IF(EH483="D",1,0)</f>
        <v>0</v>
      </c>
      <c r="AY483" s="0" t="n">
        <f aca="false">COUNTIF(DU483:EH483, "&lt;&gt;")</f>
        <v>0</v>
      </c>
      <c r="AZ483" s="0" t="n">
        <f aca="false">IF(EH483&lt;&gt;"",1,0)</f>
        <v>0</v>
      </c>
      <c r="BB483" s="0" t="s">
        <v>152</v>
      </c>
      <c r="DC483" s="0" t="s">
        <v>153</v>
      </c>
    </row>
    <row r="484" customFormat="false" ht="13.8" hidden="true" customHeight="false" outlineLevel="0" collapsed="false">
      <c r="A484" s="0" t="s">
        <v>2596</v>
      </c>
      <c r="B484" s="0" t="n">
        <v>78</v>
      </c>
      <c r="C484" s="0" t="n">
        <v>332197</v>
      </c>
      <c r="D484" s="0" t="s">
        <v>724</v>
      </c>
      <c r="E484" s="0" t="s">
        <v>2597</v>
      </c>
      <c r="F484" s="0" t="str">
        <f aca="false">CONCATENATE(D484," ",LEFT(H484,4),"T=",AU484,"D=",AV484,"R=",AW484,"M=",AX484,"L=",AY484,"B=",AZ484)</f>
        <v>OLIVER T=44D=9R=4M=0L=1B=0</v>
      </c>
      <c r="I484" s="0" t="s">
        <v>2598</v>
      </c>
      <c r="J484" s="0" t="s">
        <v>2599</v>
      </c>
      <c r="K484" s="0" t="s">
        <v>160</v>
      </c>
      <c r="M484" s="0" t="s">
        <v>2600</v>
      </c>
      <c r="N484" s="0" t="str">
        <f aca="false">RIGHT(M484,LEN(M484)-FIND(" ",M484))</f>
        <v>DUKE AVE SE</v>
      </c>
      <c r="P484" s="0" t="s">
        <v>145</v>
      </c>
      <c r="Q484" s="0" t="s">
        <v>146</v>
      </c>
      <c r="R484" s="0" t="n">
        <v>44484</v>
      </c>
      <c r="AD484" s="0" t="s">
        <v>147</v>
      </c>
      <c r="AE484" s="0" t="s">
        <v>148</v>
      </c>
      <c r="AF484" s="0" t="s">
        <v>149</v>
      </c>
      <c r="AH484" s="0" t="n">
        <v>14</v>
      </c>
      <c r="AI484" s="0" t="n">
        <v>11</v>
      </c>
      <c r="AN484" s="0" t="s">
        <v>145</v>
      </c>
      <c r="AO484" s="0" t="s">
        <v>233</v>
      </c>
      <c r="AP484" s="0" t="s">
        <v>234</v>
      </c>
      <c r="AQ484" s="0" t="n">
        <v>9</v>
      </c>
      <c r="AR484" s="0" t="n">
        <v>64</v>
      </c>
      <c r="AS484" s="0" t="n">
        <v>32</v>
      </c>
      <c r="AU484" s="0" t="n">
        <f aca="false">COUNTA($BA$2244:$EH$2244)</f>
        <v>44</v>
      </c>
      <c r="AV484" s="0" t="n">
        <f aca="false">COUNTIF($BA$2244:$EH$2244,"D")</f>
        <v>9</v>
      </c>
      <c r="AW484" s="0" t="n">
        <f aca="false">COUNTIF($BA$2244:$EH$2244,"R")</f>
        <v>4</v>
      </c>
      <c r="AX484" s="0" t="n">
        <f aca="false">IF(BN484="D",1,0)+IF(BO484="D",1,0)+IF(BT484="D",1,0)+IF(BU484="D",1,0)+IF(BW484="D",1,0)+IF(CC484="D",1,0)+IF(CD484="D",1,0)+IF(CE484="D",1,0)+IF(CF484="D",1,0)+IF(CL484="D",1,0)+IF(CM484="D",1,0)+IF(CQ484="D",1,0)+IF(CR484="D",1,0)+IF(CS484="D",1,0)+IF(CW484="D",1,0)+IF(CX484="D",1,0)+IF(DD484="D",1,0)+IF(DE484="D",1,0)+IF(DJ484="D",1,0)+IF(DK484="D",1,0)+IF(DO484="D",1,0)+IF(DP484="D",1,0)+IF(DQ484="D",1,0)+IF(DW484="D",1,0)+IF(DZ484="D",1,0)+IF(EH484="D",1,0)</f>
        <v>0</v>
      </c>
      <c r="AY484" s="0" t="n">
        <f aca="false">COUNTIF(DU484:EH484, "&lt;&gt;")</f>
        <v>1</v>
      </c>
      <c r="AZ484" s="0" t="n">
        <f aca="false">IF(EH484&lt;&gt;"",1,0)</f>
        <v>0</v>
      </c>
      <c r="BB484" s="0" t="s">
        <v>152</v>
      </c>
      <c r="BL484" s="0" t="s">
        <v>153</v>
      </c>
      <c r="CA484" s="0" t="s">
        <v>153</v>
      </c>
      <c r="CP484" s="0" t="s">
        <v>153</v>
      </c>
      <c r="DC484" s="0" t="s">
        <v>153</v>
      </c>
      <c r="DN484" s="0" t="s">
        <v>153</v>
      </c>
      <c r="EF484" s="0" t="s">
        <v>153</v>
      </c>
    </row>
    <row r="485" customFormat="false" ht="13.8" hidden="true" customHeight="false" outlineLevel="0" collapsed="false">
      <c r="A485" s="0" t="s">
        <v>2601</v>
      </c>
      <c r="B485" s="0" t="n">
        <v>78</v>
      </c>
      <c r="C485" s="0" t="n">
        <v>454885</v>
      </c>
      <c r="D485" s="0" t="s">
        <v>2602</v>
      </c>
      <c r="E485" s="0" t="s">
        <v>2603</v>
      </c>
      <c r="F485" s="0" t="str">
        <f aca="false">CONCATENATE(D485," ",LEFT(H485,4),"T=",AU485,"D=",AV485,"R=",AW485,"M=",AX485,"L=",AY485,"B=",AZ485)</f>
        <v>CRAWFORD T=1D=0R=0M=0L=0B=0</v>
      </c>
      <c r="G485" s="0" t="s">
        <v>171</v>
      </c>
      <c r="I485" s="0" t="s">
        <v>2604</v>
      </c>
      <c r="J485" s="0" t="s">
        <v>159</v>
      </c>
      <c r="K485" s="0" t="s">
        <v>143</v>
      </c>
      <c r="M485" s="0" t="s">
        <v>2605</v>
      </c>
      <c r="N485" s="0" t="str">
        <f aca="false">RIGHT(M485,LEN(M485)-FIND(" ",M485))</f>
        <v>DUKE AVE SE</v>
      </c>
      <c r="P485" s="0" t="s">
        <v>145</v>
      </c>
      <c r="Q485" s="0" t="s">
        <v>146</v>
      </c>
      <c r="R485" s="0" t="n">
        <v>44484</v>
      </c>
      <c r="AD485" s="0" t="s">
        <v>147</v>
      </c>
      <c r="AE485" s="0" t="s">
        <v>148</v>
      </c>
      <c r="AF485" s="0" t="s">
        <v>149</v>
      </c>
      <c r="AH485" s="0" t="n">
        <v>14</v>
      </c>
      <c r="AI485" s="0" t="n">
        <v>11</v>
      </c>
      <c r="AN485" s="0" t="s">
        <v>145</v>
      </c>
      <c r="AO485" s="0" t="s">
        <v>233</v>
      </c>
      <c r="AP485" s="0" t="s">
        <v>234</v>
      </c>
      <c r="AQ485" s="0" t="n">
        <v>9</v>
      </c>
      <c r="AR485" s="0" t="n">
        <v>64</v>
      </c>
      <c r="AS485" s="0" t="n">
        <v>32</v>
      </c>
      <c r="AU485" s="0" t="n">
        <f aca="false">COUNTA($BA$2422:$EH$2422)</f>
        <v>1</v>
      </c>
      <c r="AV485" s="0" t="n">
        <f aca="false">COUNTIF($BA$2422:$EH$2422,"D")</f>
        <v>0</v>
      </c>
      <c r="AW485" s="0" t="n">
        <f aca="false">COUNTIF($BA$2422:$EH$2422,"R")</f>
        <v>0</v>
      </c>
      <c r="AX485" s="0" t="n">
        <f aca="false">IF(BN485="D",1,0)+IF(BO485="D",1,0)+IF(BT485="D",1,0)+IF(BU485="D",1,0)+IF(BW485="D",1,0)+IF(CC485="D",1,0)+IF(CD485="D",1,0)+IF(CE485="D",1,0)+IF(CF485="D",1,0)+IF(CL485="D",1,0)+IF(CM485="D",1,0)+IF(CQ485="D",1,0)+IF(CR485="D",1,0)+IF(CS485="D",1,0)+IF(CW485="D",1,0)+IF(CX485="D",1,0)+IF(DD485="D",1,0)+IF(DE485="D",1,0)+IF(DJ485="D",1,0)+IF(DK485="D",1,0)+IF(DO485="D",1,0)+IF(DP485="D",1,0)+IF(DQ485="D",1,0)+IF(DW485="D",1,0)+IF(DZ485="D",1,0)+IF(EH485="D",1,0)</f>
        <v>0</v>
      </c>
      <c r="AY485" s="0" t="n">
        <f aca="false">COUNTIF(DU485:EH485, "&lt;&gt;")</f>
        <v>0</v>
      </c>
      <c r="AZ485" s="0" t="n">
        <f aca="false">IF(EH485&lt;&gt;"",1,0)</f>
        <v>0</v>
      </c>
      <c r="BB485" s="0" t="s">
        <v>152</v>
      </c>
      <c r="DN485" s="0" t="s">
        <v>153</v>
      </c>
    </row>
    <row r="486" customFormat="false" ht="13.8" hidden="true" customHeight="false" outlineLevel="0" collapsed="false">
      <c r="A486" s="0" t="s">
        <v>2606</v>
      </c>
      <c r="B486" s="0" t="n">
        <v>78</v>
      </c>
      <c r="C486" s="0" t="n">
        <v>494043</v>
      </c>
      <c r="D486" s="0" t="s">
        <v>2607</v>
      </c>
      <c r="E486" s="0" t="s">
        <v>547</v>
      </c>
      <c r="F486" s="0" t="str">
        <f aca="false">CONCATENATE(D486," ",LEFT(H486,4),"T=",AU486,"D=",AV486,"R=",AW486,"M=",AX486,"L=",AY486,"B=",AZ486)</f>
        <v>LONG T=1D=0R=0M=0L=0B=0</v>
      </c>
      <c r="G486" s="0" t="s">
        <v>164</v>
      </c>
      <c r="I486" s="0" t="s">
        <v>2608</v>
      </c>
      <c r="J486" s="0" t="s">
        <v>2609</v>
      </c>
      <c r="K486" s="0" t="s">
        <v>160</v>
      </c>
      <c r="M486" s="0" t="s">
        <v>2610</v>
      </c>
      <c r="N486" s="0" t="str">
        <f aca="false">RIGHT(M486,LEN(M486)-FIND(" ",M486))</f>
        <v>DUKE AVE SE</v>
      </c>
      <c r="P486" s="0" t="s">
        <v>145</v>
      </c>
      <c r="Q486" s="0" t="s">
        <v>146</v>
      </c>
      <c r="R486" s="0" t="n">
        <v>44484</v>
      </c>
      <c r="AD486" s="0" t="s">
        <v>147</v>
      </c>
      <c r="AE486" s="0" t="s">
        <v>148</v>
      </c>
      <c r="AF486" s="0" t="s">
        <v>149</v>
      </c>
      <c r="AH486" s="0" t="n">
        <v>14</v>
      </c>
      <c r="AI486" s="0" t="n">
        <v>11</v>
      </c>
      <c r="AN486" s="0" t="s">
        <v>145</v>
      </c>
      <c r="AO486" s="0" t="s">
        <v>233</v>
      </c>
      <c r="AP486" s="0" t="s">
        <v>234</v>
      </c>
      <c r="AQ486" s="0" t="n">
        <v>9</v>
      </c>
      <c r="AR486" s="0" t="n">
        <v>64</v>
      </c>
      <c r="AS486" s="0" t="n">
        <v>32</v>
      </c>
      <c r="AU486" s="0" t="n">
        <f aca="false">COUNTA($BA$2281:$EH$2281)</f>
        <v>1</v>
      </c>
      <c r="AV486" s="0" t="n">
        <f aca="false">COUNTIF($BA$2281:$EH$2281,"D")</f>
        <v>0</v>
      </c>
      <c r="AW486" s="0" t="n">
        <f aca="false">COUNTIF($BA$2281:$EH$2281,"R")</f>
        <v>0</v>
      </c>
      <c r="AX486" s="0" t="n">
        <f aca="false">IF(BN486="D",1,0)+IF(BO486="D",1,0)+IF(BT486="D",1,0)+IF(BU486="D",1,0)+IF(BW486="D",1,0)+IF(CC486="D",1,0)+IF(CD486="D",1,0)+IF(CE486="D",1,0)+IF(CF486="D",1,0)+IF(CL486="D",1,0)+IF(CM486="D",1,0)+IF(CQ486="D",1,0)+IF(CR486="D",1,0)+IF(CS486="D",1,0)+IF(CW486="D",1,0)+IF(CX486="D",1,0)+IF(DD486="D",1,0)+IF(DE486="D",1,0)+IF(DJ486="D",1,0)+IF(DK486="D",1,0)+IF(DO486="D",1,0)+IF(DP486="D",1,0)+IF(DQ486="D",1,0)+IF(DW486="D",1,0)+IF(DZ486="D",1,0)+IF(EH486="D",1,0)</f>
        <v>0</v>
      </c>
      <c r="AY486" s="0" t="n">
        <f aca="false">COUNTIF(DU486:EH486, "&lt;&gt;")</f>
        <v>0</v>
      </c>
      <c r="AZ486" s="0" t="n">
        <f aca="false">IF(EH486&lt;&gt;"",1,0)</f>
        <v>0</v>
      </c>
      <c r="BB486" s="0" t="s">
        <v>152</v>
      </c>
    </row>
    <row r="487" customFormat="false" ht="13.8" hidden="true" customHeight="false" outlineLevel="0" collapsed="false">
      <c r="A487" s="0" t="s">
        <v>2611</v>
      </c>
      <c r="B487" s="0" t="n">
        <v>78</v>
      </c>
      <c r="C487" s="0" t="n">
        <v>216638</v>
      </c>
      <c r="D487" s="0" t="s">
        <v>2612</v>
      </c>
      <c r="E487" s="0" t="s">
        <v>1409</v>
      </c>
      <c r="F487" s="0" t="str">
        <f aca="false">CONCATENATE(D487," ",LEFT(H487,4),"T=",AU487,"D=",AV487,"R=",AW487,"M=",AX487,"L=",AY487,"B=",AZ487)</f>
        <v>SIMMONS T=1D=0R=0M=0L=0B=0</v>
      </c>
      <c r="G487" s="0" t="s">
        <v>2613</v>
      </c>
      <c r="I487" s="0" t="s">
        <v>2614</v>
      </c>
      <c r="J487" s="0" t="s">
        <v>2615</v>
      </c>
      <c r="K487" s="0" t="s">
        <v>143</v>
      </c>
      <c r="M487" s="0" t="s">
        <v>2616</v>
      </c>
      <c r="N487" s="0" t="str">
        <f aca="false">RIGHT(M487,LEN(M487)-FIND(" ",M487))</f>
        <v>DUKE AVE SE</v>
      </c>
      <c r="P487" s="0" t="s">
        <v>145</v>
      </c>
      <c r="Q487" s="0" t="s">
        <v>146</v>
      </c>
      <c r="R487" s="0" t="n">
        <v>44484</v>
      </c>
      <c r="AD487" s="0" t="s">
        <v>147</v>
      </c>
      <c r="AE487" s="0" t="s">
        <v>148</v>
      </c>
      <c r="AF487" s="0" t="s">
        <v>149</v>
      </c>
      <c r="AH487" s="0" t="n">
        <v>14</v>
      </c>
      <c r="AI487" s="0" t="n">
        <v>11</v>
      </c>
      <c r="AN487" s="0" t="s">
        <v>145</v>
      </c>
      <c r="AO487" s="0" t="s">
        <v>233</v>
      </c>
      <c r="AP487" s="0" t="s">
        <v>234</v>
      </c>
      <c r="AQ487" s="0" t="n">
        <v>9</v>
      </c>
      <c r="AR487" s="0" t="n">
        <v>64</v>
      </c>
      <c r="AS487" s="0" t="n">
        <v>32</v>
      </c>
      <c r="AU487" s="0" t="n">
        <f aca="false">COUNTA($BA$2369:$EH$2369)</f>
        <v>1</v>
      </c>
      <c r="AV487" s="0" t="n">
        <f aca="false">COUNTIF($BA$2369:$EH$2369,"D")</f>
        <v>0</v>
      </c>
      <c r="AW487" s="0" t="n">
        <f aca="false">COUNTIF($BA$2369:$EH$2369,"R")</f>
        <v>0</v>
      </c>
      <c r="AX487" s="0" t="n">
        <f aca="false">IF(BN487="D",1,0)+IF(BO487="D",1,0)+IF(BT487="D",1,0)+IF(BU487="D",1,0)+IF(BW487="D",1,0)+IF(CC487="D",1,0)+IF(CD487="D",1,0)+IF(CE487="D",1,0)+IF(CF487="D",1,0)+IF(CL487="D",1,0)+IF(CM487="D",1,0)+IF(CQ487="D",1,0)+IF(CR487="D",1,0)+IF(CS487="D",1,0)+IF(CW487="D",1,0)+IF(CX487="D",1,0)+IF(DD487="D",1,0)+IF(DE487="D",1,0)+IF(DJ487="D",1,0)+IF(DK487="D",1,0)+IF(DO487="D",1,0)+IF(DP487="D",1,0)+IF(DQ487="D",1,0)+IF(DW487="D",1,0)+IF(DZ487="D",1,0)+IF(EH487="D",1,0)</f>
        <v>0</v>
      </c>
      <c r="AY487" s="0" t="n">
        <f aca="false">COUNTIF(DU487:EH487, "&lt;&gt;")</f>
        <v>0</v>
      </c>
      <c r="AZ487" s="0" t="n">
        <f aca="false">IF(EH487&lt;&gt;"",1,0)</f>
        <v>0</v>
      </c>
      <c r="BB487" s="0" t="s">
        <v>152</v>
      </c>
      <c r="BL487" s="0" t="s">
        <v>153</v>
      </c>
      <c r="BS487" s="0" t="s">
        <v>153</v>
      </c>
      <c r="BY487" s="0" t="s">
        <v>175</v>
      </c>
      <c r="CP487" s="0" t="s">
        <v>153</v>
      </c>
      <c r="DI487" s="0" t="s">
        <v>153</v>
      </c>
      <c r="DN487" s="0" t="s">
        <v>153</v>
      </c>
    </row>
    <row r="488" customFormat="false" ht="13.8" hidden="true" customHeight="false" outlineLevel="0" collapsed="false">
      <c r="A488" s="0" t="s">
        <v>2617</v>
      </c>
      <c r="B488" s="0" t="n">
        <v>78</v>
      </c>
      <c r="C488" s="0" t="n">
        <v>390886</v>
      </c>
      <c r="D488" s="0" t="s">
        <v>2618</v>
      </c>
      <c r="E488" s="0" t="s">
        <v>2261</v>
      </c>
      <c r="F488" s="0" t="str">
        <f aca="false">CONCATENATE(D488," ",LEFT(H488,4),"T=",AU488,"D=",AV488,"R=",AW488,"M=",AX488,"L=",AY488,"B=",AZ488)</f>
        <v>DORSEY T=1D=0R=0M=0L=0B=0</v>
      </c>
      <c r="G488" s="0" t="s">
        <v>2619</v>
      </c>
      <c r="I488" s="0" t="s">
        <v>2620</v>
      </c>
      <c r="J488" s="0" t="s">
        <v>386</v>
      </c>
      <c r="K488" s="0" t="s">
        <v>160</v>
      </c>
      <c r="M488" s="0" t="s">
        <v>2621</v>
      </c>
      <c r="N488" s="0" t="str">
        <f aca="false">RIGHT(M488,LEN(M488)-FIND(" ",M488))</f>
        <v>DUKE AVE SE</v>
      </c>
      <c r="P488" s="0" t="s">
        <v>145</v>
      </c>
      <c r="Q488" s="0" t="s">
        <v>146</v>
      </c>
      <c r="R488" s="0" t="n">
        <v>44484</v>
      </c>
      <c r="AD488" s="0" t="s">
        <v>147</v>
      </c>
      <c r="AE488" s="0" t="s">
        <v>148</v>
      </c>
      <c r="AF488" s="0" t="s">
        <v>149</v>
      </c>
      <c r="AH488" s="0" t="n">
        <v>14</v>
      </c>
      <c r="AI488" s="0" t="n">
        <v>11</v>
      </c>
      <c r="AN488" s="0" t="s">
        <v>145</v>
      </c>
      <c r="AO488" s="0" t="s">
        <v>233</v>
      </c>
      <c r="AP488" s="0" t="s">
        <v>234</v>
      </c>
      <c r="AQ488" s="0" t="n">
        <v>9</v>
      </c>
      <c r="AR488" s="0" t="n">
        <v>64</v>
      </c>
      <c r="AS488" s="0" t="n">
        <v>32</v>
      </c>
      <c r="AU488" s="0" t="n">
        <f aca="false">COUNTA($BA$2453:$EH$2453)</f>
        <v>1</v>
      </c>
      <c r="AV488" s="0" t="n">
        <f aca="false">COUNTIF($BA$2453:$EH$2453,"D")</f>
        <v>0</v>
      </c>
      <c r="AW488" s="0" t="n">
        <f aca="false">COUNTIF($BA$2453:$EH$2453,"R")</f>
        <v>0</v>
      </c>
      <c r="AX488" s="0" t="n">
        <f aca="false">IF(BN488="D",1,0)+IF(BO488="D",1,0)+IF(BT488="D",1,0)+IF(BU488="D",1,0)+IF(BW488="D",1,0)+IF(CC488="D",1,0)+IF(CD488="D",1,0)+IF(CE488="D",1,0)+IF(CF488="D",1,0)+IF(CL488="D",1,0)+IF(CM488="D",1,0)+IF(CQ488="D",1,0)+IF(CR488="D",1,0)+IF(CS488="D",1,0)+IF(CW488="D",1,0)+IF(CX488="D",1,0)+IF(DD488="D",1,0)+IF(DE488="D",1,0)+IF(DJ488="D",1,0)+IF(DK488="D",1,0)+IF(DO488="D",1,0)+IF(DP488="D",1,0)+IF(DQ488="D",1,0)+IF(DW488="D",1,0)+IF(DZ488="D",1,0)+IF(EH488="D",1,0)</f>
        <v>0</v>
      </c>
      <c r="AY488" s="0" t="n">
        <f aca="false">COUNTIF(DU488:EH488, "&lt;&gt;")</f>
        <v>0</v>
      </c>
      <c r="AZ488" s="0" t="n">
        <f aca="false">IF(EH488&lt;&gt;"",1,0)</f>
        <v>0</v>
      </c>
      <c r="BB488" s="0" t="s">
        <v>152</v>
      </c>
      <c r="DC488" s="0" t="s">
        <v>153</v>
      </c>
    </row>
    <row r="489" customFormat="false" ht="13.8" hidden="true" customHeight="false" outlineLevel="0" collapsed="false">
      <c r="A489" s="0" t="s">
        <v>2622</v>
      </c>
      <c r="B489" s="0" t="n">
        <v>78</v>
      </c>
      <c r="C489" s="0" t="n">
        <v>390883</v>
      </c>
      <c r="D489" s="0" t="s">
        <v>2623</v>
      </c>
      <c r="E489" s="0" t="s">
        <v>2624</v>
      </c>
      <c r="F489" s="0" t="str">
        <f aca="false">CONCATENATE(D489," ",LEFT(H489,4),"T=",AU489,"D=",AV489,"R=",AW489,"M=",AX489,"L=",AY489,"B=",AZ489)</f>
        <v>MCMILLIAN T=51D=17R=0M=0L=0B=0</v>
      </c>
      <c r="G489" s="0" t="s">
        <v>686</v>
      </c>
      <c r="I489" s="0" t="s">
        <v>2625</v>
      </c>
      <c r="J489" s="0" t="s">
        <v>2626</v>
      </c>
      <c r="K489" s="0" t="s">
        <v>143</v>
      </c>
      <c r="M489" s="0" t="s">
        <v>2621</v>
      </c>
      <c r="N489" s="0" t="str">
        <f aca="false">RIGHT(M489,LEN(M489)-FIND(" ",M489))</f>
        <v>DUKE AVE SE</v>
      </c>
      <c r="P489" s="0" t="s">
        <v>145</v>
      </c>
      <c r="Q489" s="0" t="s">
        <v>146</v>
      </c>
      <c r="R489" s="0" t="n">
        <v>44484</v>
      </c>
      <c r="AD489" s="0" t="s">
        <v>147</v>
      </c>
      <c r="AE489" s="0" t="s">
        <v>148</v>
      </c>
      <c r="AF489" s="0" t="s">
        <v>149</v>
      </c>
      <c r="AH489" s="0" t="n">
        <v>14</v>
      </c>
      <c r="AI489" s="0" t="n">
        <v>11</v>
      </c>
      <c r="AN489" s="0" t="s">
        <v>145</v>
      </c>
      <c r="AO489" s="0" t="s">
        <v>233</v>
      </c>
      <c r="AP489" s="0" t="s">
        <v>234</v>
      </c>
      <c r="AQ489" s="0" t="n">
        <v>9</v>
      </c>
      <c r="AR489" s="0" t="n">
        <v>64</v>
      </c>
      <c r="AS489" s="0" t="n">
        <v>32</v>
      </c>
      <c r="AU489" s="0" t="n">
        <f aca="false">COUNTA($BA$2487:$EH$2487)</f>
        <v>51</v>
      </c>
      <c r="AV489" s="0" t="n">
        <f aca="false">COUNTIF($BA$2487:$EH$2487,"D")</f>
        <v>17</v>
      </c>
      <c r="AW489" s="0" t="n">
        <f aca="false">COUNTIF($BA$2487:$EH$2487,"R")</f>
        <v>0</v>
      </c>
      <c r="AX489" s="0" t="n">
        <f aca="false">IF(BN489="D",1,0)+IF(BO489="D",1,0)+IF(BT489="D",1,0)+IF(BU489="D",1,0)+IF(BW489="D",1,0)+IF(CC489="D",1,0)+IF(CD489="D",1,0)+IF(CE489="D",1,0)+IF(CF489="D",1,0)+IF(CL489="D",1,0)+IF(CM489="D",1,0)+IF(CQ489="D",1,0)+IF(CR489="D",1,0)+IF(CS489="D",1,0)+IF(CW489="D",1,0)+IF(CX489="D",1,0)+IF(DD489="D",1,0)+IF(DE489="D",1,0)+IF(DJ489="D",1,0)+IF(DK489="D",1,0)+IF(DO489="D",1,0)+IF(DP489="D",1,0)+IF(DQ489="D",1,0)+IF(DW489="D",1,0)+IF(DZ489="D",1,0)+IF(EH489="D",1,0)</f>
        <v>0</v>
      </c>
      <c r="AY489" s="0" t="n">
        <f aca="false">COUNTIF(DU489:EH489, "&lt;&gt;")</f>
        <v>0</v>
      </c>
      <c r="AZ489" s="0" t="n">
        <f aca="false">IF(EH489&lt;&gt;"",1,0)</f>
        <v>0</v>
      </c>
      <c r="BB489" s="0" t="s">
        <v>152</v>
      </c>
      <c r="CP489" s="0" t="s">
        <v>153</v>
      </c>
      <c r="DC489" s="0" t="s">
        <v>153</v>
      </c>
    </row>
    <row r="490" customFormat="false" ht="13.8" hidden="true" customHeight="false" outlineLevel="0" collapsed="false">
      <c r="A490" s="0" t="s">
        <v>2627</v>
      </c>
      <c r="B490" s="0" t="n">
        <v>78</v>
      </c>
      <c r="C490" s="0" t="n">
        <v>453589</v>
      </c>
      <c r="D490" s="0" t="s">
        <v>2628</v>
      </c>
      <c r="E490" s="0" t="s">
        <v>2629</v>
      </c>
      <c r="F490" s="0" t="str">
        <f aca="false">CONCATENATE(D490," ",LEFT(H490,4),"T=",AU490,"D=",AV490,"R=",AW490,"M=",AX490,"L=",AY490,"B=",AZ490)</f>
        <v>SPICER T=7D=0R=0M=0L=1B=0</v>
      </c>
      <c r="G490" s="0" t="s">
        <v>686</v>
      </c>
      <c r="I490" s="0" t="s">
        <v>2630</v>
      </c>
      <c r="J490" s="0" t="s">
        <v>2631</v>
      </c>
      <c r="K490" s="0" t="s">
        <v>160</v>
      </c>
      <c r="M490" s="0" t="s">
        <v>2632</v>
      </c>
      <c r="N490" s="0" t="str">
        <f aca="false">RIGHT(M490,LEN(M490)-FIND(" ",M490))</f>
        <v>DUKE AVE SE</v>
      </c>
      <c r="P490" s="0" t="s">
        <v>145</v>
      </c>
      <c r="Q490" s="0" t="s">
        <v>146</v>
      </c>
      <c r="R490" s="0" t="n">
        <v>44484</v>
      </c>
      <c r="AD490" s="0" t="s">
        <v>147</v>
      </c>
      <c r="AE490" s="0" t="s">
        <v>148</v>
      </c>
      <c r="AF490" s="0" t="s">
        <v>149</v>
      </c>
      <c r="AH490" s="0" t="n">
        <v>14</v>
      </c>
      <c r="AI490" s="0" t="n">
        <v>11</v>
      </c>
      <c r="AN490" s="0" t="s">
        <v>145</v>
      </c>
      <c r="AO490" s="0" t="s">
        <v>233</v>
      </c>
      <c r="AP490" s="0" t="s">
        <v>234</v>
      </c>
      <c r="AQ490" s="0" t="n">
        <v>9</v>
      </c>
      <c r="AR490" s="0" t="n">
        <v>64</v>
      </c>
      <c r="AS490" s="0" t="n">
        <v>32</v>
      </c>
      <c r="AU490" s="0" t="n">
        <f aca="false">COUNTA($BA$2652:$EH$2652)</f>
        <v>7</v>
      </c>
      <c r="AV490" s="0" t="n">
        <f aca="false">COUNTIF($BA$2652:$EH$2652,"D")</f>
        <v>0</v>
      </c>
      <c r="AW490" s="0" t="n">
        <f aca="false">COUNTIF($BA$2652:$EH$2652,"R")</f>
        <v>0</v>
      </c>
      <c r="AX490" s="0" t="n">
        <f aca="false">IF(BN490="D",1,0)+IF(BO490="D",1,0)+IF(BT490="D",1,0)+IF(BU490="D",1,0)+IF(BW490="D",1,0)+IF(CC490="D",1,0)+IF(CD490="D",1,0)+IF(CE490="D",1,0)+IF(CF490="D",1,0)+IF(CL490="D",1,0)+IF(CM490="D",1,0)+IF(CQ490="D",1,0)+IF(CR490="D",1,0)+IF(CS490="D",1,0)+IF(CW490="D",1,0)+IF(CX490="D",1,0)+IF(DD490="D",1,0)+IF(DE490="D",1,0)+IF(DJ490="D",1,0)+IF(DK490="D",1,0)+IF(DO490="D",1,0)+IF(DP490="D",1,0)+IF(DQ490="D",1,0)+IF(DW490="D",1,0)+IF(DZ490="D",1,0)+IF(EH490="D",1,0)</f>
        <v>0</v>
      </c>
      <c r="AY490" s="0" t="n">
        <f aca="false">COUNTIF(DU490:EH490, "&lt;&gt;")</f>
        <v>1</v>
      </c>
      <c r="AZ490" s="0" t="n">
        <f aca="false">IF(EH490&lt;&gt;"",1,0)</f>
        <v>0</v>
      </c>
      <c r="BB490" s="0" t="s">
        <v>152</v>
      </c>
      <c r="DI490" s="0" t="s">
        <v>153</v>
      </c>
      <c r="DN490" s="0" t="s">
        <v>153</v>
      </c>
      <c r="DU490" s="0" t="s">
        <v>153</v>
      </c>
    </row>
    <row r="491" customFormat="false" ht="13.8" hidden="true" customHeight="false" outlineLevel="0" collapsed="false">
      <c r="A491" s="0" t="s">
        <v>2633</v>
      </c>
      <c r="B491" s="0" t="n">
        <v>78</v>
      </c>
      <c r="C491" s="0" t="n">
        <v>415986</v>
      </c>
      <c r="D491" s="0" t="s">
        <v>2634</v>
      </c>
      <c r="E491" s="0" t="s">
        <v>736</v>
      </c>
      <c r="F491" s="0" t="str">
        <f aca="false">CONCATENATE(D491," ",LEFT(H491,4),"T=",AU491,"D=",AV491,"R=",AW491,"M=",AX491,"L=",AY491,"B=",AZ491)</f>
        <v>DAWKINS T=24D=8R=1M=0L=1B=0</v>
      </c>
      <c r="G491" s="0" t="s">
        <v>202</v>
      </c>
      <c r="I491" s="0" t="s">
        <v>2635</v>
      </c>
      <c r="J491" s="0" t="s">
        <v>1433</v>
      </c>
      <c r="K491" s="0" t="s">
        <v>160</v>
      </c>
      <c r="M491" s="0" t="s">
        <v>2636</v>
      </c>
      <c r="N491" s="0" t="str">
        <f aca="false">RIGHT(M491,LEN(M491)-FIND(" ",M491))</f>
        <v>DUKE AVE SE</v>
      </c>
      <c r="P491" s="0" t="s">
        <v>145</v>
      </c>
      <c r="Q491" s="0" t="s">
        <v>146</v>
      </c>
      <c r="R491" s="0" t="n">
        <v>44484</v>
      </c>
      <c r="AD491" s="0" t="s">
        <v>147</v>
      </c>
      <c r="AE491" s="0" t="s">
        <v>148</v>
      </c>
      <c r="AF491" s="0" t="s">
        <v>149</v>
      </c>
      <c r="AH491" s="0" t="n">
        <v>14</v>
      </c>
      <c r="AI491" s="0" t="n">
        <v>11</v>
      </c>
      <c r="AN491" s="0" t="s">
        <v>145</v>
      </c>
      <c r="AO491" s="0" t="s">
        <v>233</v>
      </c>
      <c r="AP491" s="0" t="s">
        <v>234</v>
      </c>
      <c r="AQ491" s="0" t="n">
        <v>9</v>
      </c>
      <c r="AR491" s="0" t="n">
        <v>64</v>
      </c>
      <c r="AS491" s="0" t="n">
        <v>32</v>
      </c>
      <c r="AU491" s="0" t="n">
        <f aca="false">COUNTA($BA$2337:$EH$2337)</f>
        <v>24</v>
      </c>
      <c r="AV491" s="0" t="n">
        <f aca="false">COUNTIF($BA$2337:$EH$2337,"D")</f>
        <v>8</v>
      </c>
      <c r="AW491" s="0" t="n">
        <f aca="false">COUNTIF($BA$2337:$EH$2337,"R")</f>
        <v>1</v>
      </c>
      <c r="AX491" s="0" t="n">
        <f aca="false">IF(BN491="D",1,0)+IF(BO491="D",1,0)+IF(BT491="D",1,0)+IF(BU491="D",1,0)+IF(BW491="D",1,0)+IF(CC491="D",1,0)+IF(CD491="D",1,0)+IF(CE491="D",1,0)+IF(CF491="D",1,0)+IF(CL491="D",1,0)+IF(CM491="D",1,0)+IF(CQ491="D",1,0)+IF(CR491="D",1,0)+IF(CS491="D",1,0)+IF(CW491="D",1,0)+IF(CX491="D",1,0)+IF(DD491="D",1,0)+IF(DE491="D",1,0)+IF(DJ491="D",1,0)+IF(DK491="D",1,0)+IF(DO491="D",1,0)+IF(DP491="D",1,0)+IF(DQ491="D",1,0)+IF(DW491="D",1,0)+IF(DZ491="D",1,0)+IF(EH491="D",1,0)</f>
        <v>0</v>
      </c>
      <c r="AY491" s="0" t="n">
        <f aca="false">COUNTIF(DU491:EH491, "&lt;&gt;")</f>
        <v>1</v>
      </c>
      <c r="AZ491" s="0" t="n">
        <f aca="false">IF(EH491&lt;&gt;"",1,0)</f>
        <v>0</v>
      </c>
      <c r="BB491" s="0" t="s">
        <v>152</v>
      </c>
      <c r="DC491" s="0" t="s">
        <v>153</v>
      </c>
      <c r="DU491" s="0" t="s">
        <v>153</v>
      </c>
    </row>
    <row r="492" customFormat="false" ht="13.8" hidden="true" customHeight="false" outlineLevel="0" collapsed="false">
      <c r="A492" s="0" t="s">
        <v>2637</v>
      </c>
      <c r="B492" s="0" t="n">
        <v>78</v>
      </c>
      <c r="C492" s="0" t="n">
        <v>309384</v>
      </c>
      <c r="D492" s="0" t="s">
        <v>2638</v>
      </c>
      <c r="E492" s="0" t="s">
        <v>2639</v>
      </c>
      <c r="F492" s="0" t="str">
        <f aca="false">CONCATENATE(D492," ",LEFT(H492,4),"T=",AU492,"D=",AV492,"R=",AW492,"M=",AX492,"L=",AY492,"B=",AZ492)</f>
        <v>BURGESS T=2D=0R=0M=1L=0B=0</v>
      </c>
      <c r="G492" s="0" t="s">
        <v>307</v>
      </c>
      <c r="I492" s="0" t="s">
        <v>2640</v>
      </c>
      <c r="J492" s="0" t="s">
        <v>1674</v>
      </c>
      <c r="K492" s="0" t="s">
        <v>143</v>
      </c>
      <c r="M492" s="0" t="s">
        <v>2641</v>
      </c>
      <c r="N492" s="0" t="str">
        <f aca="false">RIGHT(M492,LEN(M492)-FIND(" ",M492))</f>
        <v>DUKE AVE SE</v>
      </c>
      <c r="P492" s="0" t="s">
        <v>145</v>
      </c>
      <c r="Q492" s="0" t="s">
        <v>146</v>
      </c>
      <c r="R492" s="0" t="n">
        <v>44484</v>
      </c>
      <c r="AD492" s="0" t="s">
        <v>147</v>
      </c>
      <c r="AE492" s="0" t="s">
        <v>148</v>
      </c>
      <c r="AF492" s="0" t="s">
        <v>149</v>
      </c>
      <c r="AH492" s="0" t="n">
        <v>14</v>
      </c>
      <c r="AI492" s="0" t="n">
        <v>11</v>
      </c>
      <c r="AN492" s="0" t="s">
        <v>145</v>
      </c>
      <c r="AO492" s="0" t="s">
        <v>233</v>
      </c>
      <c r="AP492" s="0" t="s">
        <v>234</v>
      </c>
      <c r="AQ492" s="0" t="n">
        <v>9</v>
      </c>
      <c r="AR492" s="0" t="n">
        <v>64</v>
      </c>
      <c r="AS492" s="0" t="n">
        <v>32</v>
      </c>
      <c r="AU492" s="0" t="n">
        <f aca="false">COUNTA($BA$2380:$EH$2380)</f>
        <v>2</v>
      </c>
      <c r="AV492" s="0" t="n">
        <f aca="false">COUNTIF($BA$2380:$EH$2380,"D")</f>
        <v>0</v>
      </c>
      <c r="AW492" s="0" t="n">
        <f aca="false">COUNTIF($BA$2380:$EH$2380,"R")</f>
        <v>0</v>
      </c>
      <c r="AX492" s="0" t="n">
        <f aca="false">IF(BN492="D",1,0)+IF(BO492="D",1,0)+IF(BT492="D",1,0)+IF(BU492="D",1,0)+IF(BW492="D",1,0)+IF(CC492="D",1,0)+IF(CD492="D",1,0)+IF(CE492="D",1,0)+IF(CF492="D",1,0)+IF(CL492="D",1,0)+IF(CM492="D",1,0)+IF(CQ492="D",1,0)+IF(CR492="D",1,0)+IF(CS492="D",1,0)+IF(CW492="D",1,0)+IF(CX492="D",1,0)+IF(DD492="D",1,0)+IF(DE492="D",1,0)+IF(DJ492="D",1,0)+IF(DK492="D",1,0)+IF(DO492="D",1,0)+IF(DP492="D",1,0)+IF(DQ492="D",1,0)+IF(DW492="D",1,0)+IF(DZ492="D",1,0)+IF(EH492="D",1,0)</f>
        <v>1</v>
      </c>
      <c r="AY492" s="0" t="n">
        <f aca="false">COUNTIF(DU492:EH492, "&lt;&gt;")</f>
        <v>0</v>
      </c>
      <c r="AZ492" s="0" t="n">
        <f aca="false">IF(EH492&lt;&gt;"",1,0)</f>
        <v>0</v>
      </c>
      <c r="BB492" s="0" t="s">
        <v>152</v>
      </c>
      <c r="BY492" s="0" t="s">
        <v>175</v>
      </c>
      <c r="CL492" s="0" t="s">
        <v>175</v>
      </c>
      <c r="CN492" s="0" t="s">
        <v>153</v>
      </c>
      <c r="CP492" s="0" t="s">
        <v>153</v>
      </c>
      <c r="CZ492" s="0" t="s">
        <v>175</v>
      </c>
      <c r="DC492" s="0" t="s">
        <v>153</v>
      </c>
      <c r="DF492" s="0" t="s">
        <v>153</v>
      </c>
    </row>
    <row r="493" customFormat="false" ht="13.8" hidden="true" customHeight="false" outlineLevel="0" collapsed="false">
      <c r="A493" s="0" t="s">
        <v>2642</v>
      </c>
      <c r="B493" s="0" t="n">
        <v>78</v>
      </c>
      <c r="C493" s="0" t="n">
        <v>465348</v>
      </c>
      <c r="D493" s="0" t="s">
        <v>2643</v>
      </c>
      <c r="E493" s="0" t="s">
        <v>2644</v>
      </c>
      <c r="F493" s="0" t="str">
        <f aca="false">CONCATENATE(D493," ",LEFT(H493,4),"T=",AU493,"D=",AV493,"R=",AW493,"M=",AX493,"L=",AY493,"B=",AZ493)</f>
        <v>RUTHERFORD T=10D=0R=0M=0L=1B=0</v>
      </c>
      <c r="G493" s="0" t="s">
        <v>2645</v>
      </c>
      <c r="I493" s="0" t="s">
        <v>2646</v>
      </c>
      <c r="J493" s="0" t="s">
        <v>2647</v>
      </c>
      <c r="K493" s="0" t="s">
        <v>160</v>
      </c>
      <c r="M493" s="0" t="s">
        <v>2648</v>
      </c>
      <c r="N493" s="0" t="str">
        <f aca="false">RIGHT(M493,LEN(M493)-FIND(" ",M493))</f>
        <v>DUKE AVE SE</v>
      </c>
      <c r="P493" s="0" t="s">
        <v>145</v>
      </c>
      <c r="Q493" s="0" t="s">
        <v>146</v>
      </c>
      <c r="R493" s="0" t="n">
        <v>44484</v>
      </c>
      <c r="AD493" s="0" t="s">
        <v>147</v>
      </c>
      <c r="AE493" s="0" t="s">
        <v>148</v>
      </c>
      <c r="AF493" s="0" t="s">
        <v>149</v>
      </c>
      <c r="AH493" s="0" t="n">
        <v>14</v>
      </c>
      <c r="AI493" s="0" t="n">
        <v>11</v>
      </c>
      <c r="AN493" s="0" t="s">
        <v>145</v>
      </c>
      <c r="AO493" s="0" t="s">
        <v>233</v>
      </c>
      <c r="AP493" s="0" t="s">
        <v>234</v>
      </c>
      <c r="AQ493" s="0" t="n">
        <v>9</v>
      </c>
      <c r="AR493" s="0" t="n">
        <v>64</v>
      </c>
      <c r="AS493" s="0" t="n">
        <v>32</v>
      </c>
      <c r="AU493" s="0" t="n">
        <f aca="false">COUNTA($BA$2633:$EH$2633)</f>
        <v>10</v>
      </c>
      <c r="AV493" s="0" t="n">
        <f aca="false">COUNTIF($BA$2633:$EH$2633,"D")</f>
        <v>0</v>
      </c>
      <c r="AW493" s="0" t="n">
        <f aca="false">COUNTIF($BA$2633:$EH$2633,"R")</f>
        <v>0</v>
      </c>
      <c r="AX493" s="0" t="n">
        <f aca="false">IF(BN493="D",1,0)+IF(BO493="D",1,0)+IF(BT493="D",1,0)+IF(BU493="D",1,0)+IF(BW493="D",1,0)+IF(CC493="D",1,0)+IF(CD493="D",1,0)+IF(CE493="D",1,0)+IF(CF493="D",1,0)+IF(CL493="D",1,0)+IF(CM493="D",1,0)+IF(CQ493="D",1,0)+IF(CR493="D",1,0)+IF(CS493="D",1,0)+IF(CW493="D",1,0)+IF(CX493="D",1,0)+IF(DD493="D",1,0)+IF(DE493="D",1,0)+IF(DJ493="D",1,0)+IF(DK493="D",1,0)+IF(DO493="D",1,0)+IF(DP493="D",1,0)+IF(DQ493="D",1,0)+IF(DW493="D",1,0)+IF(DZ493="D",1,0)+IF(EH493="D",1,0)</f>
        <v>0</v>
      </c>
      <c r="AY493" s="0" t="n">
        <f aca="false">COUNTIF(DU493:EH493, "&lt;&gt;")</f>
        <v>1</v>
      </c>
      <c r="AZ493" s="0" t="n">
        <f aca="false">IF(EH493&lt;&gt;"",1,0)</f>
        <v>0</v>
      </c>
      <c r="BB493" s="0" t="s">
        <v>152</v>
      </c>
      <c r="BL493" s="0" t="s">
        <v>153</v>
      </c>
      <c r="CA493" s="0" t="s">
        <v>153</v>
      </c>
      <c r="DC493" s="0" t="s">
        <v>153</v>
      </c>
      <c r="EF493" s="0" t="s">
        <v>153</v>
      </c>
    </row>
    <row r="494" customFormat="false" ht="13.8" hidden="true" customHeight="false" outlineLevel="0" collapsed="false">
      <c r="A494" s="0" t="s">
        <v>2649</v>
      </c>
      <c r="B494" s="0" t="n">
        <v>78</v>
      </c>
      <c r="C494" s="0" t="n">
        <v>463282</v>
      </c>
      <c r="D494" s="0" t="s">
        <v>1001</v>
      </c>
      <c r="E494" s="0" t="s">
        <v>2650</v>
      </c>
      <c r="F494" s="0" t="str">
        <f aca="false">CONCATENATE(D494," ",LEFT(H494,4),"T=",AU494,"D=",AV494,"R=",AW494,"M=",AX494,"L=",AY494,"B=",AZ494)</f>
        <v>DAVIS T=1D=0R=0M=0L=0B=0</v>
      </c>
      <c r="G494" s="0" t="s">
        <v>171</v>
      </c>
      <c r="I494" s="0" t="s">
        <v>2651</v>
      </c>
      <c r="J494" s="0" t="s">
        <v>2652</v>
      </c>
      <c r="K494" s="0" t="s">
        <v>160</v>
      </c>
      <c r="M494" s="0" t="s">
        <v>2648</v>
      </c>
      <c r="N494" s="0" t="str">
        <f aca="false">RIGHT(M494,LEN(M494)-FIND(" ",M494))</f>
        <v>DUKE AVE SE</v>
      </c>
      <c r="P494" s="0" t="s">
        <v>145</v>
      </c>
      <c r="Q494" s="0" t="s">
        <v>146</v>
      </c>
      <c r="R494" s="0" t="n">
        <v>44484</v>
      </c>
      <c r="AD494" s="0" t="s">
        <v>147</v>
      </c>
      <c r="AE494" s="0" t="s">
        <v>148</v>
      </c>
      <c r="AF494" s="0" t="s">
        <v>149</v>
      </c>
      <c r="AH494" s="0" t="n">
        <v>14</v>
      </c>
      <c r="AI494" s="0" t="n">
        <v>11</v>
      </c>
      <c r="AN494" s="0" t="s">
        <v>145</v>
      </c>
      <c r="AO494" s="0" t="s">
        <v>233</v>
      </c>
      <c r="AP494" s="0" t="s">
        <v>234</v>
      </c>
      <c r="AQ494" s="0" t="n">
        <v>9</v>
      </c>
      <c r="AR494" s="0" t="n">
        <v>64</v>
      </c>
      <c r="AS494" s="0" t="n">
        <v>32</v>
      </c>
      <c r="AU494" s="0" t="n">
        <f aca="false">COUNTA($BA$2635:$EH$2635)</f>
        <v>1</v>
      </c>
      <c r="AV494" s="0" t="n">
        <f aca="false">COUNTIF($BA$2635:$EH$2635,"D")</f>
        <v>0</v>
      </c>
      <c r="AW494" s="0" t="n">
        <f aca="false">COUNTIF($BA$2635:$EH$2635,"R")</f>
        <v>0</v>
      </c>
      <c r="AX494" s="0" t="n">
        <f aca="false">IF(BN494="D",1,0)+IF(BO494="D",1,0)+IF(BT494="D",1,0)+IF(BU494="D",1,0)+IF(BW494="D",1,0)+IF(CC494="D",1,0)+IF(CD494="D",1,0)+IF(CE494="D",1,0)+IF(CF494="D",1,0)+IF(CL494="D",1,0)+IF(CM494="D",1,0)+IF(CQ494="D",1,0)+IF(CR494="D",1,0)+IF(CS494="D",1,0)+IF(CW494="D",1,0)+IF(CX494="D",1,0)+IF(DD494="D",1,0)+IF(DE494="D",1,0)+IF(DJ494="D",1,0)+IF(DK494="D",1,0)+IF(DO494="D",1,0)+IF(DP494="D",1,0)+IF(DQ494="D",1,0)+IF(DW494="D",1,0)+IF(DZ494="D",1,0)+IF(EH494="D",1,0)</f>
        <v>0</v>
      </c>
      <c r="AY494" s="0" t="n">
        <f aca="false">COUNTIF(DU494:EH494, "&lt;&gt;")</f>
        <v>0</v>
      </c>
      <c r="AZ494" s="0" t="n">
        <f aca="false">IF(EH494&lt;&gt;"",1,0)</f>
        <v>0</v>
      </c>
      <c r="BB494" s="0" t="s">
        <v>152</v>
      </c>
      <c r="CP494" s="0" t="s">
        <v>153</v>
      </c>
      <c r="DC494" s="0" t="s">
        <v>153</v>
      </c>
      <c r="DL494" s="0" t="s">
        <v>153</v>
      </c>
      <c r="DN494" s="0" t="s">
        <v>153</v>
      </c>
      <c r="DR494" s="0" t="s">
        <v>153</v>
      </c>
    </row>
    <row r="495" customFormat="false" ht="13.8" hidden="true" customHeight="false" outlineLevel="0" collapsed="false">
      <c r="A495" s="0" t="s">
        <v>2653</v>
      </c>
      <c r="B495" s="0" t="n">
        <v>78</v>
      </c>
      <c r="C495" s="0" t="n">
        <v>439464</v>
      </c>
      <c r="D495" s="0" t="s">
        <v>2654</v>
      </c>
      <c r="E495" s="0" t="s">
        <v>658</v>
      </c>
      <c r="F495" s="0" t="str">
        <f aca="false">CONCATENATE(D495," ",LEFT(H495,4),"T=",AU495,"D=",AV495,"R=",AW495,"M=",AX495,"L=",AY495,"B=",AZ495)</f>
        <v>KIRKSEY JRT=5D=0R=0M=0L=0B=0</v>
      </c>
      <c r="G495" s="0" t="s">
        <v>2655</v>
      </c>
      <c r="H495" s="0" t="s">
        <v>314</v>
      </c>
      <c r="I495" s="0" t="s">
        <v>2656</v>
      </c>
      <c r="J495" s="0" t="s">
        <v>2657</v>
      </c>
      <c r="K495" s="0" t="s">
        <v>143</v>
      </c>
      <c r="M495" s="0" t="s">
        <v>2658</v>
      </c>
      <c r="N495" s="0" t="str">
        <f aca="false">RIGHT(M495,LEN(M495)-FIND(" ",M495))</f>
        <v>DUKE AVE SE</v>
      </c>
      <c r="P495" s="0" t="s">
        <v>145</v>
      </c>
      <c r="Q495" s="0" t="s">
        <v>146</v>
      </c>
      <c r="R495" s="0" t="n">
        <v>44484</v>
      </c>
      <c r="AD495" s="0" t="s">
        <v>147</v>
      </c>
      <c r="AE495" s="0" t="s">
        <v>148</v>
      </c>
      <c r="AF495" s="0" t="s">
        <v>149</v>
      </c>
      <c r="AH495" s="0" t="n">
        <v>14</v>
      </c>
      <c r="AI495" s="0" t="n">
        <v>11</v>
      </c>
      <c r="AN495" s="0" t="s">
        <v>145</v>
      </c>
      <c r="AO495" s="0" t="s">
        <v>233</v>
      </c>
      <c r="AP495" s="0" t="s">
        <v>234</v>
      </c>
      <c r="AQ495" s="0" t="n">
        <v>9</v>
      </c>
      <c r="AR495" s="0" t="n">
        <v>64</v>
      </c>
      <c r="AS495" s="0" t="n">
        <v>32</v>
      </c>
      <c r="AU495" s="0" t="n">
        <f aca="false">COUNTA($BA$2382:$EH$2382)</f>
        <v>5</v>
      </c>
      <c r="AV495" s="0" t="n">
        <f aca="false">COUNTIF($BA$2382:$EH$2382,"D")</f>
        <v>0</v>
      </c>
      <c r="AW495" s="0" t="n">
        <f aca="false">COUNTIF($BA$2382:$EH$2382,"R")</f>
        <v>0</v>
      </c>
      <c r="AX495" s="0" t="n">
        <f aca="false">IF(BN495="D",1,0)+IF(BO495="D",1,0)+IF(BT495="D",1,0)+IF(BU495="D",1,0)+IF(BW495="D",1,0)+IF(CC495="D",1,0)+IF(CD495="D",1,0)+IF(CE495="D",1,0)+IF(CF495="D",1,0)+IF(CL495="D",1,0)+IF(CM495="D",1,0)+IF(CQ495="D",1,0)+IF(CR495="D",1,0)+IF(CS495="D",1,0)+IF(CW495="D",1,0)+IF(CX495="D",1,0)+IF(DD495="D",1,0)+IF(DE495="D",1,0)+IF(DJ495="D",1,0)+IF(DK495="D",1,0)+IF(DO495="D",1,0)+IF(DP495="D",1,0)+IF(DQ495="D",1,0)+IF(DW495="D",1,0)+IF(DZ495="D",1,0)+IF(EH495="D",1,0)</f>
        <v>0</v>
      </c>
      <c r="AY495" s="0" t="n">
        <f aca="false">COUNTIF(DU495:EH495, "&lt;&gt;")</f>
        <v>0</v>
      </c>
      <c r="AZ495" s="0" t="n">
        <f aca="false">IF(EH495&lt;&gt;"",1,0)</f>
        <v>0</v>
      </c>
      <c r="BB495" s="0" t="s">
        <v>152</v>
      </c>
    </row>
    <row r="496" customFormat="false" ht="13.8" hidden="true" customHeight="false" outlineLevel="0" collapsed="false">
      <c r="A496" s="0" t="s">
        <v>2659</v>
      </c>
      <c r="B496" s="0" t="n">
        <v>78</v>
      </c>
      <c r="C496" s="0" t="n">
        <v>408871</v>
      </c>
      <c r="D496" s="0" t="s">
        <v>228</v>
      </c>
      <c r="E496" s="0" t="s">
        <v>2660</v>
      </c>
      <c r="F496" s="0" t="str">
        <f aca="false">CONCATENATE(D496," ",LEFT(H496,4),"T=",AU496,"D=",AV496,"R=",AW496,"M=",AX496,"L=",AY496,"B=",AZ496)</f>
        <v>WARFIELD SRT=1D=0R=0M=0L=0B=0</v>
      </c>
      <c r="G496" s="0" t="s">
        <v>2661</v>
      </c>
      <c r="H496" s="0" t="s">
        <v>216</v>
      </c>
      <c r="I496" s="0" t="s">
        <v>2662</v>
      </c>
      <c r="J496" s="0" t="s">
        <v>2663</v>
      </c>
      <c r="K496" s="0" t="s">
        <v>143</v>
      </c>
      <c r="M496" s="0" t="s">
        <v>2664</v>
      </c>
      <c r="N496" s="0" t="str">
        <f aca="false">RIGHT(M496,LEN(M496)-FIND(" ",M496))</f>
        <v>DUKE AVE SE</v>
      </c>
      <c r="P496" s="0" t="s">
        <v>145</v>
      </c>
      <c r="Q496" s="0" t="s">
        <v>146</v>
      </c>
      <c r="R496" s="0" t="n">
        <v>44484</v>
      </c>
      <c r="AD496" s="0" t="s">
        <v>147</v>
      </c>
      <c r="AE496" s="0" t="s">
        <v>148</v>
      </c>
      <c r="AF496" s="0" t="s">
        <v>149</v>
      </c>
      <c r="AH496" s="0" t="n">
        <v>14</v>
      </c>
      <c r="AI496" s="0" t="n">
        <v>11</v>
      </c>
      <c r="AN496" s="0" t="s">
        <v>145</v>
      </c>
      <c r="AO496" s="0" t="s">
        <v>233</v>
      </c>
      <c r="AP496" s="0" t="s">
        <v>234</v>
      </c>
      <c r="AQ496" s="0" t="n">
        <v>9</v>
      </c>
      <c r="AR496" s="0" t="n">
        <v>64</v>
      </c>
      <c r="AS496" s="0" t="n">
        <v>32</v>
      </c>
      <c r="AU496" s="0" t="n">
        <f aca="false">COUNTA($BA$2086:$EH$2086)</f>
        <v>1</v>
      </c>
      <c r="AV496" s="0" t="n">
        <f aca="false">COUNTIF($BA$2086:$EH$2086,"D")</f>
        <v>0</v>
      </c>
      <c r="AW496" s="0" t="n">
        <f aca="false">COUNTIF($BA$2086:$EH$2086,"R")</f>
        <v>0</v>
      </c>
      <c r="AX496" s="0" t="n">
        <f aca="false">IF(BN496="D",1,0)+IF(BO496="D",1,0)+IF(BT496="D",1,0)+IF(BU496="D",1,0)+IF(BW496="D",1,0)+IF(CC496="D",1,0)+IF(CD496="D",1,0)+IF(CE496="D",1,0)+IF(CF496="D",1,0)+IF(CL496="D",1,0)+IF(CM496="D",1,0)+IF(CQ496="D",1,0)+IF(CR496="D",1,0)+IF(CS496="D",1,0)+IF(CW496="D",1,0)+IF(CX496="D",1,0)+IF(DD496="D",1,0)+IF(DE496="D",1,0)+IF(DJ496="D",1,0)+IF(DK496="D",1,0)+IF(DO496="D",1,0)+IF(DP496="D",1,0)+IF(DQ496="D",1,0)+IF(DW496="D",1,0)+IF(DZ496="D",1,0)+IF(EH496="D",1,0)</f>
        <v>0</v>
      </c>
      <c r="AY496" s="0" t="n">
        <f aca="false">COUNTIF(DU496:EH496, "&lt;&gt;")</f>
        <v>0</v>
      </c>
      <c r="AZ496" s="0" t="n">
        <f aca="false">IF(EH496&lt;&gt;"",1,0)</f>
        <v>0</v>
      </c>
      <c r="BB496" s="0" t="s">
        <v>152</v>
      </c>
    </row>
    <row r="497" customFormat="false" ht="13.8" hidden="true" customHeight="false" outlineLevel="0" collapsed="false">
      <c r="A497" s="0" t="s">
        <v>2665</v>
      </c>
      <c r="B497" s="0" t="n">
        <v>78</v>
      </c>
      <c r="C497" s="0" t="n">
        <v>418157</v>
      </c>
      <c r="D497" s="0" t="s">
        <v>2666</v>
      </c>
      <c r="E497" s="0" t="s">
        <v>274</v>
      </c>
      <c r="F497" s="0" t="str">
        <f aca="false">CONCATENATE(D497," ",LEFT(H497,4),"T=",AU497,"D=",AV497,"R=",AW497,"M=",AX497,"L=",AY497,"B=",AZ497)</f>
        <v>STRINGHAM T=4D=1R=0M=0L=1B=0</v>
      </c>
      <c r="G497" s="0" t="s">
        <v>2667</v>
      </c>
      <c r="I497" s="0" t="s">
        <v>2668</v>
      </c>
      <c r="J497" s="0" t="s">
        <v>404</v>
      </c>
      <c r="K497" s="0" t="s">
        <v>160</v>
      </c>
      <c r="M497" s="0" t="s">
        <v>2669</v>
      </c>
      <c r="N497" s="0" t="str">
        <f aca="false">RIGHT(M497,LEN(M497)-FIND(" ",M497))</f>
        <v>DUKE AVE SE</v>
      </c>
      <c r="P497" s="0" t="s">
        <v>145</v>
      </c>
      <c r="Q497" s="0" t="s">
        <v>146</v>
      </c>
      <c r="R497" s="0" t="n">
        <v>44484</v>
      </c>
      <c r="AD497" s="0" t="s">
        <v>147</v>
      </c>
      <c r="AE497" s="0" t="s">
        <v>148</v>
      </c>
      <c r="AF497" s="0" t="s">
        <v>149</v>
      </c>
      <c r="AH497" s="0" t="n">
        <v>14</v>
      </c>
      <c r="AI497" s="0" t="n">
        <v>11</v>
      </c>
      <c r="AN497" s="0" t="s">
        <v>145</v>
      </c>
      <c r="AO497" s="0" t="s">
        <v>233</v>
      </c>
      <c r="AP497" s="0" t="s">
        <v>234</v>
      </c>
      <c r="AQ497" s="0" t="n">
        <v>9</v>
      </c>
      <c r="AR497" s="0" t="n">
        <v>64</v>
      </c>
      <c r="AS497" s="0" t="n">
        <v>32</v>
      </c>
      <c r="AU497" s="0" t="n">
        <f aca="false">COUNTA($BA$2173:$EH$2173)</f>
        <v>4</v>
      </c>
      <c r="AV497" s="0" t="n">
        <f aca="false">COUNTIF($BA$2173:$EH$2173,"D")</f>
        <v>1</v>
      </c>
      <c r="AW497" s="0" t="n">
        <f aca="false">COUNTIF($BA$2173:$EH$2173,"R")</f>
        <v>0</v>
      </c>
      <c r="AX497" s="0" t="n">
        <f aca="false">IF(BN497="D",1,0)+IF(BO497="D",1,0)+IF(BT497="D",1,0)+IF(BU497="D",1,0)+IF(BW497="D",1,0)+IF(CC497="D",1,0)+IF(CD497="D",1,0)+IF(CE497="D",1,0)+IF(CF497="D",1,0)+IF(CL497="D",1,0)+IF(CM497="D",1,0)+IF(CQ497="D",1,0)+IF(CR497="D",1,0)+IF(CS497="D",1,0)+IF(CW497="D",1,0)+IF(CX497="D",1,0)+IF(DD497="D",1,0)+IF(DE497="D",1,0)+IF(DJ497="D",1,0)+IF(DK497="D",1,0)+IF(DO497="D",1,0)+IF(DP497="D",1,0)+IF(DQ497="D",1,0)+IF(DW497="D",1,0)+IF(DZ497="D",1,0)+IF(EH497="D",1,0)</f>
        <v>0</v>
      </c>
      <c r="AY497" s="0" t="n">
        <f aca="false">COUNTIF(DU497:EH497, "&lt;&gt;")</f>
        <v>1</v>
      </c>
      <c r="AZ497" s="0" t="n">
        <f aca="false">IF(EH497&lt;&gt;"",1,0)</f>
        <v>0</v>
      </c>
      <c r="BB497" s="0" t="s">
        <v>152</v>
      </c>
      <c r="DC497" s="0" t="s">
        <v>153</v>
      </c>
      <c r="EF497" s="0" t="s">
        <v>153</v>
      </c>
    </row>
    <row r="498" customFormat="false" ht="13.8" hidden="false" customHeight="false" outlineLevel="0" collapsed="false">
      <c r="A498" s="0" t="s">
        <v>2670</v>
      </c>
      <c r="B498" s="0" t="n">
        <v>78</v>
      </c>
      <c r="C498" s="0" t="n">
        <v>309219</v>
      </c>
      <c r="D498" s="0" t="s">
        <v>1693</v>
      </c>
      <c r="E498" s="0" t="s">
        <v>910</v>
      </c>
      <c r="F498" s="0" t="str">
        <f aca="false">CONCATENATE(D498," ",LEFT(H498,4),"T=",AU498,"D=",AV498,"R=",AW498,"M=",AX498,"L=",AY498,"B=",AZ498)</f>
        <v>WILLIAMSON T=2D=0R=0M=0L=2B=0</v>
      </c>
      <c r="I498" s="0" t="s">
        <v>2671</v>
      </c>
      <c r="J498" s="0" t="s">
        <v>2672</v>
      </c>
      <c r="K498" s="0" t="s">
        <v>160</v>
      </c>
      <c r="M498" s="0" t="s">
        <v>2673</v>
      </c>
      <c r="N498" s="0" t="str">
        <f aca="false">RIGHT(M498,LEN(M498)-FIND(" ",M498))</f>
        <v>DUKE AVE SE</v>
      </c>
      <c r="P498" s="0" t="s">
        <v>145</v>
      </c>
      <c r="Q498" s="0" t="s">
        <v>146</v>
      </c>
      <c r="R498" s="0" t="n">
        <v>44484</v>
      </c>
      <c r="AD498" s="0" t="s">
        <v>147</v>
      </c>
      <c r="AE498" s="0" t="s">
        <v>148</v>
      </c>
      <c r="AF498" s="0" t="s">
        <v>149</v>
      </c>
      <c r="AH498" s="0" t="n">
        <v>14</v>
      </c>
      <c r="AI498" s="0" t="n">
        <v>11</v>
      </c>
      <c r="AN498" s="0" t="s">
        <v>145</v>
      </c>
      <c r="AO498" s="0" t="s">
        <v>233</v>
      </c>
      <c r="AP498" s="0" t="s">
        <v>234</v>
      </c>
      <c r="AQ498" s="0" t="n">
        <v>9</v>
      </c>
      <c r="AR498" s="0" t="n">
        <v>64</v>
      </c>
      <c r="AS498" s="0" t="n">
        <v>32</v>
      </c>
      <c r="AU498" s="0" t="n">
        <f aca="false">COUNTA($BA$2480:$EH$2480)</f>
        <v>2</v>
      </c>
      <c r="AV498" s="0" t="n">
        <f aca="false">COUNTIF($BA$2480:$EH$2480,"D")</f>
        <v>0</v>
      </c>
      <c r="AW498" s="0" t="n">
        <f aca="false">COUNTIF($BA$2480:$EH$2480,"R")</f>
        <v>0</v>
      </c>
      <c r="AX498" s="0" t="n">
        <f aca="false">IF(BN498="D",1,0)+IF(BO498="D",1,0)+IF(BT498="D",1,0)+IF(BU498="D",1,0)+IF(BW498="D",1,0)+IF(CC498="D",1,0)+IF(CD498="D",1,0)+IF(CE498="D",1,0)+IF(CF498="D",1,0)+IF(CL498="D",1,0)+IF(CM498="D",1,0)+IF(CQ498="D",1,0)+IF(CR498="D",1,0)+IF(CS498="D",1,0)+IF(CW498="D",1,0)+IF(CX498="D",1,0)+IF(DD498="D",1,0)+IF(DE498="D",1,0)+IF(DJ498="D",1,0)+IF(DK498="D",1,0)+IF(DO498="D",1,0)+IF(DP498="D",1,0)+IF(DQ498="D",1,0)+IF(DW498="D",1,0)+IF(DZ498="D",1,0)+IF(EH498="D",1,0)</f>
        <v>0</v>
      </c>
      <c r="AY498" s="0" t="n">
        <f aca="false">COUNTIF(DU498:EH498, "&lt;&gt;")</f>
        <v>2</v>
      </c>
      <c r="AZ498" s="0" t="n">
        <f aca="false">IF(EH498&lt;&gt;"",1,0)</f>
        <v>0</v>
      </c>
      <c r="BB498" s="0" t="s">
        <v>152</v>
      </c>
      <c r="BL498" s="0" t="s">
        <v>153</v>
      </c>
      <c r="BY498" s="0" t="s">
        <v>175</v>
      </c>
      <c r="CA498" s="0" t="s">
        <v>153</v>
      </c>
      <c r="CG498" s="0" t="s">
        <v>153</v>
      </c>
      <c r="CK498" s="0" t="s">
        <v>153</v>
      </c>
      <c r="CN498" s="0" t="s">
        <v>153</v>
      </c>
      <c r="CP498" s="0" t="s">
        <v>153</v>
      </c>
      <c r="CT498" s="0" t="s">
        <v>153</v>
      </c>
      <c r="CV498" s="0" t="s">
        <v>153</v>
      </c>
      <c r="CY498" s="0" t="s">
        <v>153</v>
      </c>
      <c r="DC498" s="0" t="s">
        <v>153</v>
      </c>
      <c r="DI498" s="0" t="s">
        <v>153</v>
      </c>
      <c r="DM498" s="0" t="s">
        <v>175</v>
      </c>
      <c r="DN498" s="0" t="s">
        <v>153</v>
      </c>
      <c r="EA498" s="0" t="s">
        <v>153</v>
      </c>
      <c r="EF498" s="0" t="s">
        <v>153</v>
      </c>
    </row>
    <row r="499" customFormat="false" ht="13.8" hidden="true" customHeight="false" outlineLevel="0" collapsed="false">
      <c r="A499" s="0" t="s">
        <v>2674</v>
      </c>
      <c r="B499" s="0" t="n">
        <v>78</v>
      </c>
      <c r="C499" s="0" t="n">
        <v>373034</v>
      </c>
      <c r="D499" s="0" t="s">
        <v>1764</v>
      </c>
      <c r="E499" s="0" t="s">
        <v>2675</v>
      </c>
      <c r="F499" s="0" t="str">
        <f aca="false">CONCATENATE(D499," ",LEFT(H499,4),"T=",AU499,"D=",AV499,"R=",AW499,"M=",AX499,"L=",AY499,"B=",AZ499)</f>
        <v>MOORE T=1D=0R=0M=0L=1B=0</v>
      </c>
      <c r="G499" s="0" t="s">
        <v>255</v>
      </c>
      <c r="I499" s="0" t="s">
        <v>2676</v>
      </c>
      <c r="J499" s="0" t="s">
        <v>2677</v>
      </c>
      <c r="K499" s="0" t="s">
        <v>160</v>
      </c>
      <c r="M499" s="0" t="s">
        <v>2678</v>
      </c>
      <c r="N499" s="0" t="str">
        <f aca="false">RIGHT(M499,LEN(M499)-FIND(" ",M499))</f>
        <v>DUKE AVE SE</v>
      </c>
      <c r="P499" s="0" t="s">
        <v>145</v>
      </c>
      <c r="Q499" s="0" t="s">
        <v>146</v>
      </c>
      <c r="R499" s="0" t="n">
        <v>44484</v>
      </c>
      <c r="AD499" s="0" t="s">
        <v>147</v>
      </c>
      <c r="AE499" s="0" t="s">
        <v>148</v>
      </c>
      <c r="AF499" s="0" t="s">
        <v>149</v>
      </c>
      <c r="AH499" s="0" t="n">
        <v>14</v>
      </c>
      <c r="AI499" s="0" t="n">
        <v>11</v>
      </c>
      <c r="AN499" s="0" t="s">
        <v>145</v>
      </c>
      <c r="AO499" s="0" t="s">
        <v>233</v>
      </c>
      <c r="AP499" s="0" t="s">
        <v>234</v>
      </c>
      <c r="AQ499" s="0" t="n">
        <v>9</v>
      </c>
      <c r="AR499" s="0" t="n">
        <v>64</v>
      </c>
      <c r="AS499" s="0" t="n">
        <v>32</v>
      </c>
      <c r="AU499" s="0" t="n">
        <f aca="false">COUNTA($BA$2109:$EH$2109)</f>
        <v>1</v>
      </c>
      <c r="AV499" s="0" t="n">
        <f aca="false">COUNTIF($BA$2109:$EH$2109,"D")</f>
        <v>0</v>
      </c>
      <c r="AW499" s="0" t="n">
        <f aca="false">COUNTIF($BA$2109:$EH$2109,"R")</f>
        <v>0</v>
      </c>
      <c r="AX499" s="0" t="n">
        <f aca="false">IF(BN499="D",1,0)+IF(BO499="D",1,0)+IF(BT499="D",1,0)+IF(BU499="D",1,0)+IF(BW499="D",1,0)+IF(CC499="D",1,0)+IF(CD499="D",1,0)+IF(CE499="D",1,0)+IF(CF499="D",1,0)+IF(CL499="D",1,0)+IF(CM499="D",1,0)+IF(CQ499="D",1,0)+IF(CR499="D",1,0)+IF(CS499="D",1,0)+IF(CW499="D",1,0)+IF(CX499="D",1,0)+IF(DD499="D",1,0)+IF(DE499="D",1,0)+IF(DJ499="D",1,0)+IF(DK499="D",1,0)+IF(DO499="D",1,0)+IF(DP499="D",1,0)+IF(DQ499="D",1,0)+IF(DW499="D",1,0)+IF(DZ499="D",1,0)+IF(EH499="D",1,0)</f>
        <v>0</v>
      </c>
      <c r="AY499" s="0" t="n">
        <f aca="false">COUNTIF(DU499:EH499, "&lt;&gt;")</f>
        <v>1</v>
      </c>
      <c r="AZ499" s="0" t="n">
        <f aca="false">IF(EH499&lt;&gt;"",1,0)</f>
        <v>0</v>
      </c>
      <c r="BB499" s="0" t="s">
        <v>152</v>
      </c>
      <c r="CP499" s="0" t="s">
        <v>153</v>
      </c>
      <c r="DN499" s="0" t="s">
        <v>153</v>
      </c>
      <c r="EA499" s="0" t="s">
        <v>153</v>
      </c>
    </row>
    <row r="500" customFormat="false" ht="13.8" hidden="true" customHeight="false" outlineLevel="0" collapsed="false">
      <c r="A500" s="0" t="s">
        <v>2679</v>
      </c>
      <c r="B500" s="0" t="n">
        <v>78</v>
      </c>
      <c r="C500" s="0" t="n">
        <v>440239</v>
      </c>
      <c r="D500" s="0" t="s">
        <v>1764</v>
      </c>
      <c r="E500" s="0" t="s">
        <v>2680</v>
      </c>
      <c r="F500" s="0" t="str">
        <f aca="false">CONCATENATE(D500," ",LEFT(H500,4),"T=",AU500,"D=",AV500,"R=",AW500,"M=",AX500,"L=",AY500,"B=",AZ500)</f>
        <v>MOORE T=7D=0R=0M=0L=1B=0</v>
      </c>
      <c r="G500" s="0" t="s">
        <v>362</v>
      </c>
      <c r="I500" s="0" t="s">
        <v>2681</v>
      </c>
      <c r="J500" s="0" t="s">
        <v>2682</v>
      </c>
      <c r="K500" s="0" t="s">
        <v>160</v>
      </c>
      <c r="M500" s="0" t="s">
        <v>2678</v>
      </c>
      <c r="N500" s="0" t="str">
        <f aca="false">RIGHT(M500,LEN(M500)-FIND(" ",M500))</f>
        <v>DUKE AVE SE</v>
      </c>
      <c r="P500" s="0" t="s">
        <v>145</v>
      </c>
      <c r="Q500" s="0" t="s">
        <v>146</v>
      </c>
      <c r="R500" s="0" t="n">
        <v>44484</v>
      </c>
      <c r="AD500" s="0" t="s">
        <v>147</v>
      </c>
      <c r="AE500" s="0" t="s">
        <v>148</v>
      </c>
      <c r="AF500" s="0" t="s">
        <v>149</v>
      </c>
      <c r="AH500" s="0" t="n">
        <v>14</v>
      </c>
      <c r="AI500" s="0" t="n">
        <v>11</v>
      </c>
      <c r="AN500" s="0" t="s">
        <v>145</v>
      </c>
      <c r="AO500" s="0" t="s">
        <v>233</v>
      </c>
      <c r="AP500" s="0" t="s">
        <v>234</v>
      </c>
      <c r="AQ500" s="0" t="n">
        <v>9</v>
      </c>
      <c r="AR500" s="0" t="n">
        <v>64</v>
      </c>
      <c r="AS500" s="0" t="n">
        <v>32</v>
      </c>
      <c r="AU500" s="0" t="n">
        <f aca="false">COUNTA($BA$2653:$EH$2653)</f>
        <v>7</v>
      </c>
      <c r="AV500" s="0" t="n">
        <f aca="false">COUNTIF($BA$2653:$EH$2653,"D")</f>
        <v>0</v>
      </c>
      <c r="AW500" s="0" t="n">
        <f aca="false">COUNTIF($BA$2653:$EH$2653,"R")</f>
        <v>0</v>
      </c>
      <c r="AX500" s="0" t="n">
        <f aca="false">IF(BN500="D",1,0)+IF(BO500="D",1,0)+IF(BT500="D",1,0)+IF(BU500="D",1,0)+IF(BW500="D",1,0)+IF(CC500="D",1,0)+IF(CD500="D",1,0)+IF(CE500="D",1,0)+IF(CF500="D",1,0)+IF(CL500="D",1,0)+IF(CM500="D",1,0)+IF(CQ500="D",1,0)+IF(CR500="D",1,0)+IF(CS500="D",1,0)+IF(CW500="D",1,0)+IF(CX500="D",1,0)+IF(DD500="D",1,0)+IF(DE500="D",1,0)+IF(DJ500="D",1,0)+IF(DK500="D",1,0)+IF(DO500="D",1,0)+IF(DP500="D",1,0)+IF(DQ500="D",1,0)+IF(DW500="D",1,0)+IF(DZ500="D",1,0)+IF(EH500="D",1,0)</f>
        <v>0</v>
      </c>
      <c r="AY500" s="0" t="n">
        <f aca="false">COUNTIF(DU500:EH500, "&lt;&gt;")</f>
        <v>1</v>
      </c>
      <c r="AZ500" s="0" t="n">
        <f aca="false">IF(EH500&lt;&gt;"",1,0)</f>
        <v>0</v>
      </c>
      <c r="BB500" s="0" t="s">
        <v>152</v>
      </c>
      <c r="DN500" s="0" t="s">
        <v>153</v>
      </c>
      <c r="EA500" s="0" t="s">
        <v>153</v>
      </c>
    </row>
    <row r="501" customFormat="false" ht="13.8" hidden="false" customHeight="false" outlineLevel="0" collapsed="false">
      <c r="A501" s="0" t="s">
        <v>2683</v>
      </c>
      <c r="B501" s="0" t="n">
        <v>78</v>
      </c>
      <c r="C501" s="0" t="n">
        <v>394266</v>
      </c>
      <c r="D501" s="0" t="s">
        <v>2684</v>
      </c>
      <c r="E501" s="0" t="s">
        <v>558</v>
      </c>
      <c r="F501" s="0" t="str">
        <f aca="false">CONCATENATE(D501," ",LEFT(H501,4),"T=",AU501,"D=",AV501,"R=",AW501,"M=",AX501,"L=",AY501,"B=",AZ501)</f>
        <v>SHEETS T=4D=0R=0M=0L=2B=0</v>
      </c>
      <c r="G501" s="0" t="s">
        <v>164</v>
      </c>
      <c r="I501" s="0" t="s">
        <v>2685</v>
      </c>
      <c r="J501" s="0" t="s">
        <v>2686</v>
      </c>
      <c r="K501" s="0" t="s">
        <v>160</v>
      </c>
      <c r="M501" s="0" t="s">
        <v>2687</v>
      </c>
      <c r="N501" s="0" t="str">
        <f aca="false">RIGHT(M501,LEN(M501)-FIND(" ",M501))</f>
        <v>DUKE AVE SE</v>
      </c>
      <c r="P501" s="0" t="s">
        <v>145</v>
      </c>
      <c r="Q501" s="0" t="s">
        <v>146</v>
      </c>
      <c r="R501" s="0" t="n">
        <v>44484</v>
      </c>
      <c r="AD501" s="0" t="s">
        <v>147</v>
      </c>
      <c r="AE501" s="0" t="s">
        <v>148</v>
      </c>
      <c r="AF501" s="0" t="s">
        <v>149</v>
      </c>
      <c r="AH501" s="0" t="n">
        <v>14</v>
      </c>
      <c r="AI501" s="0" t="n">
        <v>11</v>
      </c>
      <c r="AN501" s="0" t="s">
        <v>145</v>
      </c>
      <c r="AO501" s="0" t="s">
        <v>233</v>
      </c>
      <c r="AP501" s="0" t="s">
        <v>234</v>
      </c>
      <c r="AQ501" s="0" t="n">
        <v>9</v>
      </c>
      <c r="AR501" s="0" t="n">
        <v>64</v>
      </c>
      <c r="AS501" s="0" t="n">
        <v>32</v>
      </c>
      <c r="AU501" s="0" t="n">
        <f aca="false">COUNTA($BA$2336:$EH$2336)</f>
        <v>4</v>
      </c>
      <c r="AV501" s="0" t="n">
        <f aca="false">COUNTIF($BA$2336:$EH$2336,"D")</f>
        <v>0</v>
      </c>
      <c r="AW501" s="0" t="n">
        <f aca="false">COUNTIF($BA$2336:$EH$2336,"R")</f>
        <v>0</v>
      </c>
      <c r="AX501" s="0" t="n">
        <f aca="false">IF(BN501="D",1,0)+IF(BO501="D",1,0)+IF(BT501="D",1,0)+IF(BU501="D",1,0)+IF(BW501="D",1,0)+IF(CC501="D",1,0)+IF(CD501="D",1,0)+IF(CE501="D",1,0)+IF(CF501="D",1,0)+IF(CL501="D",1,0)+IF(CM501="D",1,0)+IF(CQ501="D",1,0)+IF(CR501="D",1,0)+IF(CS501="D",1,0)+IF(CW501="D",1,0)+IF(CX501="D",1,0)+IF(DD501="D",1,0)+IF(DE501="D",1,0)+IF(DJ501="D",1,0)+IF(DK501="D",1,0)+IF(DO501="D",1,0)+IF(DP501="D",1,0)+IF(DQ501="D",1,0)+IF(DW501="D",1,0)+IF(DZ501="D",1,0)+IF(EH501="D",1,0)</f>
        <v>0</v>
      </c>
      <c r="AY501" s="0" t="n">
        <f aca="false">COUNTIF(DU501:EH501, "&lt;&gt;")</f>
        <v>2</v>
      </c>
      <c r="AZ501" s="0" t="n">
        <f aca="false">IF(EH501&lt;&gt;"",1,0)</f>
        <v>0</v>
      </c>
      <c r="BB501" s="0" t="s">
        <v>152</v>
      </c>
      <c r="DN501" s="0" t="s">
        <v>153</v>
      </c>
      <c r="EA501" s="0" t="s">
        <v>153</v>
      </c>
      <c r="EF501" s="0" t="s">
        <v>153</v>
      </c>
    </row>
    <row r="502" customFormat="false" ht="13.8" hidden="true" customHeight="false" outlineLevel="0" collapsed="false">
      <c r="A502" s="0" t="s">
        <v>2688</v>
      </c>
      <c r="B502" s="0" t="n">
        <v>78</v>
      </c>
      <c r="C502" s="0" t="n">
        <v>410755</v>
      </c>
      <c r="D502" s="0" t="s">
        <v>718</v>
      </c>
      <c r="E502" s="0" t="s">
        <v>2689</v>
      </c>
      <c r="F502" s="0" t="str">
        <f aca="false">CONCATENATE(D502," ",LEFT(H502,4),"T=",AU502,"D=",AV502,"R=",AW502,"M=",AX502,"L=",AY502,"B=",AZ502)</f>
        <v>WHITE T=11D=1R=0M=0L=0B=0</v>
      </c>
      <c r="G502" s="0" t="s">
        <v>190</v>
      </c>
      <c r="I502" s="0" t="s">
        <v>2690</v>
      </c>
      <c r="J502" s="0" t="s">
        <v>2691</v>
      </c>
      <c r="K502" s="0" t="s">
        <v>143</v>
      </c>
      <c r="M502" s="0" t="s">
        <v>2692</v>
      </c>
      <c r="N502" s="0" t="str">
        <f aca="false">RIGHT(M502,LEN(M502)-FIND(" ",M502))</f>
        <v>DUKE AVE SE</v>
      </c>
      <c r="P502" s="0" t="s">
        <v>145</v>
      </c>
      <c r="Q502" s="0" t="s">
        <v>146</v>
      </c>
      <c r="R502" s="0" t="n">
        <v>44484</v>
      </c>
      <c r="AD502" s="0" t="s">
        <v>147</v>
      </c>
      <c r="AE502" s="0" t="s">
        <v>148</v>
      </c>
      <c r="AF502" s="0" t="s">
        <v>149</v>
      </c>
      <c r="AH502" s="0" t="n">
        <v>14</v>
      </c>
      <c r="AI502" s="0" t="n">
        <v>11</v>
      </c>
      <c r="AN502" s="0" t="s">
        <v>145</v>
      </c>
      <c r="AO502" s="0" t="s">
        <v>233</v>
      </c>
      <c r="AP502" s="0" t="s">
        <v>234</v>
      </c>
      <c r="AQ502" s="0" t="n">
        <v>9</v>
      </c>
      <c r="AR502" s="0" t="n">
        <v>64</v>
      </c>
      <c r="AS502" s="0" t="n">
        <v>32</v>
      </c>
      <c r="AU502" s="0" t="n">
        <f aca="false">COUNTA($BA$2476:$EH$2476)</f>
        <v>11</v>
      </c>
      <c r="AV502" s="0" t="n">
        <f aca="false">COUNTIF($BA$2476:$EH$2476,"D")</f>
        <v>1</v>
      </c>
      <c r="AW502" s="0" t="n">
        <f aca="false">COUNTIF($BA$2476:$EH$2476,"R")</f>
        <v>0</v>
      </c>
      <c r="AX502" s="0" t="n">
        <f aca="false">IF(BN502="D",1,0)+IF(BO502="D",1,0)+IF(BT502="D",1,0)+IF(BU502="D",1,0)+IF(BW502="D",1,0)+IF(CC502="D",1,0)+IF(CD502="D",1,0)+IF(CE502="D",1,0)+IF(CF502="D",1,0)+IF(CL502="D",1,0)+IF(CM502="D",1,0)+IF(CQ502="D",1,0)+IF(CR502="D",1,0)+IF(CS502="D",1,0)+IF(CW502="D",1,0)+IF(CX502="D",1,0)+IF(DD502="D",1,0)+IF(DE502="D",1,0)+IF(DJ502="D",1,0)+IF(DK502="D",1,0)+IF(DO502="D",1,0)+IF(DP502="D",1,0)+IF(DQ502="D",1,0)+IF(DW502="D",1,0)+IF(DZ502="D",1,0)+IF(EH502="D",1,0)</f>
        <v>0</v>
      </c>
      <c r="AY502" s="0" t="n">
        <f aca="false">COUNTIF(DU502:EH502, "&lt;&gt;")</f>
        <v>0</v>
      </c>
      <c r="AZ502" s="0" t="n">
        <f aca="false">IF(EH502&lt;&gt;"",1,0)</f>
        <v>0</v>
      </c>
      <c r="BB502" s="0" t="s">
        <v>152</v>
      </c>
    </row>
    <row r="503" customFormat="false" ht="13.8" hidden="true" customHeight="false" outlineLevel="0" collapsed="false">
      <c r="A503" s="0" t="s">
        <v>2693</v>
      </c>
      <c r="B503" s="0" t="n">
        <v>78</v>
      </c>
      <c r="C503" s="0" t="n">
        <v>325620</v>
      </c>
      <c r="D503" s="0" t="s">
        <v>2694</v>
      </c>
      <c r="E503" s="0" t="s">
        <v>2695</v>
      </c>
      <c r="F503" s="0" t="str">
        <f aca="false">CONCATENATE(D503," ",LEFT(H503,4),"T=",AU503,"D=",AV503,"R=",AW503,"M=",AX503,"L=",AY503,"B=",AZ503)</f>
        <v>GRAVES T=23D=0R=3M=0L=0B=0</v>
      </c>
      <c r="G503" s="0" t="s">
        <v>190</v>
      </c>
      <c r="I503" s="0" t="s">
        <v>2696</v>
      </c>
      <c r="J503" s="0" t="s">
        <v>2697</v>
      </c>
      <c r="K503" s="0" t="s">
        <v>143</v>
      </c>
      <c r="M503" s="0" t="s">
        <v>2698</v>
      </c>
      <c r="N503" s="0" t="str">
        <f aca="false">RIGHT(M503,LEN(M503)-FIND(" ",M503))</f>
        <v>DUKE AVE SE</v>
      </c>
      <c r="P503" s="0" t="s">
        <v>145</v>
      </c>
      <c r="Q503" s="0" t="s">
        <v>146</v>
      </c>
      <c r="R503" s="0" t="n">
        <v>44484</v>
      </c>
      <c r="AD503" s="0" t="s">
        <v>147</v>
      </c>
      <c r="AE503" s="0" t="s">
        <v>148</v>
      </c>
      <c r="AF503" s="0" t="s">
        <v>149</v>
      </c>
      <c r="AH503" s="0" t="n">
        <v>14</v>
      </c>
      <c r="AI503" s="0" t="n">
        <v>11</v>
      </c>
      <c r="AN503" s="0" t="s">
        <v>145</v>
      </c>
      <c r="AO503" s="0" t="s">
        <v>233</v>
      </c>
      <c r="AP503" s="0" t="s">
        <v>234</v>
      </c>
      <c r="AQ503" s="0" t="n">
        <v>9</v>
      </c>
      <c r="AR503" s="0" t="n">
        <v>64</v>
      </c>
      <c r="AS503" s="0" t="n">
        <v>32</v>
      </c>
      <c r="AU503" s="0" t="n">
        <f aca="false">COUNTA($BA$2408:$EH$2408)</f>
        <v>23</v>
      </c>
      <c r="AV503" s="0" t="n">
        <f aca="false">COUNTIF($BA$2408:$EH$2408,"D")</f>
        <v>0</v>
      </c>
      <c r="AW503" s="0" t="n">
        <f aca="false">COUNTIF($BA$2408:$EH$2408,"R")</f>
        <v>3</v>
      </c>
      <c r="AX503" s="0" t="n">
        <f aca="false">IF(BN503="D",1,0)+IF(BO503="D",1,0)+IF(BT503="D",1,0)+IF(BU503="D",1,0)+IF(BW503="D",1,0)+IF(CC503="D",1,0)+IF(CD503="D",1,0)+IF(CE503="D",1,0)+IF(CF503="D",1,0)+IF(CL503="D",1,0)+IF(CM503="D",1,0)+IF(CQ503="D",1,0)+IF(CR503="D",1,0)+IF(CS503="D",1,0)+IF(CW503="D",1,0)+IF(CX503="D",1,0)+IF(DD503="D",1,0)+IF(DE503="D",1,0)+IF(DJ503="D",1,0)+IF(DK503="D",1,0)+IF(DO503="D",1,0)+IF(DP503="D",1,0)+IF(DQ503="D",1,0)+IF(DW503="D",1,0)+IF(DZ503="D",1,0)+IF(EH503="D",1,0)</f>
        <v>0</v>
      </c>
      <c r="AY503" s="0" t="n">
        <f aca="false">COUNTIF(DU503:EH503, "&lt;&gt;")</f>
        <v>0</v>
      </c>
      <c r="AZ503" s="0" t="n">
        <f aca="false">IF(EH503&lt;&gt;"",1,0)</f>
        <v>0</v>
      </c>
      <c r="BB503" s="0" t="s">
        <v>152</v>
      </c>
      <c r="BL503" s="0" t="s">
        <v>153</v>
      </c>
      <c r="CA503" s="0" t="s">
        <v>153</v>
      </c>
      <c r="CK503" s="0" t="s">
        <v>153</v>
      </c>
      <c r="CZ503" s="0" t="s">
        <v>175</v>
      </c>
    </row>
    <row r="504" customFormat="false" ht="13.8" hidden="true" customHeight="false" outlineLevel="0" collapsed="false">
      <c r="A504" s="0" t="s">
        <v>2699</v>
      </c>
      <c r="B504" s="0" t="n">
        <v>78</v>
      </c>
      <c r="C504" s="0" t="n">
        <v>471014</v>
      </c>
      <c r="D504" s="0" t="s">
        <v>2700</v>
      </c>
      <c r="E504" s="0" t="s">
        <v>2701</v>
      </c>
      <c r="F504" s="0" t="str">
        <f aca="false">CONCATENATE(D504," ",LEFT(H504,4),"T=",AU504,"D=",AV504,"R=",AW504,"M=",AX504,"L=",AY504,"B=",AZ504)</f>
        <v>BROGDON T=20D=3R=0M=0L=0B=0</v>
      </c>
      <c r="G504" s="0" t="s">
        <v>2702</v>
      </c>
      <c r="I504" s="0" t="s">
        <v>2703</v>
      </c>
      <c r="J504" s="0" t="s">
        <v>2199</v>
      </c>
      <c r="K504" s="0" t="s">
        <v>160</v>
      </c>
      <c r="M504" s="0" t="s">
        <v>2698</v>
      </c>
      <c r="N504" s="0" t="str">
        <f aca="false">RIGHT(M504,LEN(M504)-FIND(" ",M504))</f>
        <v>DUKE AVE SE</v>
      </c>
      <c r="P504" s="0" t="s">
        <v>145</v>
      </c>
      <c r="Q504" s="0" t="s">
        <v>146</v>
      </c>
      <c r="R504" s="0" t="n">
        <v>44484</v>
      </c>
      <c r="AD504" s="0" t="s">
        <v>147</v>
      </c>
      <c r="AE504" s="0" t="s">
        <v>148</v>
      </c>
      <c r="AF504" s="0" t="s">
        <v>149</v>
      </c>
      <c r="AH504" s="0" t="n">
        <v>14</v>
      </c>
      <c r="AI504" s="0" t="n">
        <v>11</v>
      </c>
      <c r="AN504" s="0" t="s">
        <v>145</v>
      </c>
      <c r="AO504" s="0" t="s">
        <v>233</v>
      </c>
      <c r="AP504" s="0" t="s">
        <v>234</v>
      </c>
      <c r="AQ504" s="0" t="n">
        <v>9</v>
      </c>
      <c r="AR504" s="0" t="n">
        <v>64</v>
      </c>
      <c r="AS504" s="0" t="n">
        <v>32</v>
      </c>
      <c r="AU504" s="0" t="n">
        <f aca="false">COUNTA($BA$2497:$EH$2497)</f>
        <v>20</v>
      </c>
      <c r="AV504" s="0" t="n">
        <f aca="false">COUNTIF($BA$2497:$EH$2497,"D")</f>
        <v>3</v>
      </c>
      <c r="AW504" s="0" t="n">
        <f aca="false">COUNTIF($BA$2497:$EH$2497,"R")</f>
        <v>0</v>
      </c>
      <c r="AX504" s="0" t="n">
        <f aca="false">IF(BN504="D",1,0)+IF(BO504="D",1,0)+IF(BT504="D",1,0)+IF(BU504="D",1,0)+IF(BW504="D",1,0)+IF(CC504="D",1,0)+IF(CD504="D",1,0)+IF(CE504="D",1,0)+IF(CF504="D",1,0)+IF(CL504="D",1,0)+IF(CM504="D",1,0)+IF(CQ504="D",1,0)+IF(CR504="D",1,0)+IF(CS504="D",1,0)+IF(CW504="D",1,0)+IF(CX504="D",1,0)+IF(DD504="D",1,0)+IF(DE504="D",1,0)+IF(DJ504="D",1,0)+IF(DK504="D",1,0)+IF(DO504="D",1,0)+IF(DP504="D",1,0)+IF(DQ504="D",1,0)+IF(DW504="D",1,0)+IF(DZ504="D",1,0)+IF(EH504="D",1,0)</f>
        <v>0</v>
      </c>
      <c r="AY504" s="0" t="n">
        <f aca="false">COUNTIF(DU504:EH504, "&lt;&gt;")</f>
        <v>0</v>
      </c>
      <c r="AZ504" s="0" t="n">
        <f aca="false">IF(EH504&lt;&gt;"",1,0)</f>
        <v>0</v>
      </c>
      <c r="BB504" s="0" t="s">
        <v>152</v>
      </c>
      <c r="CA504" s="0" t="s">
        <v>153</v>
      </c>
      <c r="CP504" s="0" t="s">
        <v>153</v>
      </c>
      <c r="CZ504" s="0" t="s">
        <v>175</v>
      </c>
      <c r="DN504" s="0" t="s">
        <v>153</v>
      </c>
    </row>
    <row r="505" customFormat="false" ht="13.8" hidden="false" customHeight="false" outlineLevel="0" collapsed="false">
      <c r="A505" s="0" t="s">
        <v>2704</v>
      </c>
      <c r="B505" s="0" t="n">
        <v>78</v>
      </c>
      <c r="C505" s="0" t="n">
        <v>189624</v>
      </c>
      <c r="D505" s="0" t="s">
        <v>2705</v>
      </c>
      <c r="E505" s="0" t="s">
        <v>2298</v>
      </c>
      <c r="F505" s="0" t="str">
        <f aca="false">CONCATENATE(D505," ",LEFT(H505,4),"T=",AU505,"D=",AV505,"R=",AW505,"M=",AX505,"L=",AY505,"B=",AZ505)</f>
        <v>FARR T=1D=0R=0M=1L=3B=0</v>
      </c>
      <c r="G505" s="0" t="s">
        <v>670</v>
      </c>
      <c r="I505" s="0" t="s">
        <v>2706</v>
      </c>
      <c r="J505" s="0" t="s">
        <v>2707</v>
      </c>
      <c r="K505" s="0" t="s">
        <v>160</v>
      </c>
      <c r="M505" s="0" t="s">
        <v>2708</v>
      </c>
      <c r="N505" s="0" t="str">
        <f aca="false">RIGHT(M505,LEN(M505)-FIND(" ",M505))</f>
        <v>DUKE AVE SE</v>
      </c>
      <c r="P505" s="0" t="s">
        <v>145</v>
      </c>
      <c r="Q505" s="0" t="s">
        <v>146</v>
      </c>
      <c r="R505" s="0" t="n">
        <v>44484</v>
      </c>
      <c r="AD505" s="0" t="s">
        <v>147</v>
      </c>
      <c r="AE505" s="0" t="s">
        <v>148</v>
      </c>
      <c r="AF505" s="0" t="s">
        <v>149</v>
      </c>
      <c r="AH505" s="0" t="n">
        <v>14</v>
      </c>
      <c r="AI505" s="0" t="n">
        <v>11</v>
      </c>
      <c r="AN505" s="0" t="s">
        <v>145</v>
      </c>
      <c r="AO505" s="0" t="s">
        <v>233</v>
      </c>
      <c r="AP505" s="0" t="s">
        <v>234</v>
      </c>
      <c r="AQ505" s="0" t="n">
        <v>9</v>
      </c>
      <c r="AR505" s="0" t="n">
        <v>64</v>
      </c>
      <c r="AS505" s="0" t="n">
        <v>32</v>
      </c>
      <c r="AU505" s="0" t="n">
        <f aca="false">COUNTA($BA$2306:$EH$2306)</f>
        <v>1</v>
      </c>
      <c r="AV505" s="0" t="n">
        <f aca="false">COUNTIF($BA$2306:$EH$2306,"D")</f>
        <v>0</v>
      </c>
      <c r="AW505" s="0" t="n">
        <f aca="false">COUNTIF($BA$2306:$EH$2306,"R")</f>
        <v>0</v>
      </c>
      <c r="AX505" s="0" t="n">
        <f aca="false">IF(BN505="D",1,0)+IF(BO505="D",1,0)+IF(BT505="D",1,0)+IF(BU505="D",1,0)+IF(BW505="D",1,0)+IF(CC505="D",1,0)+IF(CD505="D",1,0)+IF(CE505="D",1,0)+IF(CF505="D",1,0)+IF(CL505="D",1,0)+IF(CM505="D",1,0)+IF(CQ505="D",1,0)+IF(CR505="D",1,0)+IF(CS505="D",1,0)+IF(CW505="D",1,0)+IF(CX505="D",1,0)+IF(DD505="D",1,0)+IF(DE505="D",1,0)+IF(DJ505="D",1,0)+IF(DK505="D",1,0)+IF(DO505="D",1,0)+IF(DP505="D",1,0)+IF(DQ505="D",1,0)+IF(DW505="D",1,0)+IF(DZ505="D",1,0)+IF(EH505="D",1,0)</f>
        <v>1</v>
      </c>
      <c r="AY505" s="0" t="n">
        <f aca="false">COUNTIF(DU505:EH505, "&lt;&gt;")</f>
        <v>3</v>
      </c>
      <c r="AZ505" s="0" t="n">
        <f aca="false">IF(EH505&lt;&gt;"",1,0)</f>
        <v>0</v>
      </c>
      <c r="BB505" s="0" t="s">
        <v>152</v>
      </c>
      <c r="BC505" s="0" t="s">
        <v>153</v>
      </c>
      <c r="BF505" s="0" t="s">
        <v>153</v>
      </c>
      <c r="BH505" s="0" t="s">
        <v>153</v>
      </c>
      <c r="BI505" s="0" t="s">
        <v>153</v>
      </c>
      <c r="BJ505" s="0" t="s">
        <v>153</v>
      </c>
      <c r="BL505" s="0" t="s">
        <v>153</v>
      </c>
      <c r="BR505" s="0" t="s">
        <v>153</v>
      </c>
      <c r="BS505" s="0" t="s">
        <v>153</v>
      </c>
      <c r="BY505" s="0" t="s">
        <v>175</v>
      </c>
      <c r="CA505" s="0" t="s">
        <v>153</v>
      </c>
      <c r="CG505" s="0" t="s">
        <v>153</v>
      </c>
      <c r="CK505" s="0" t="s">
        <v>153</v>
      </c>
      <c r="CN505" s="0" t="s">
        <v>153</v>
      </c>
      <c r="CP505" s="0" t="s">
        <v>153</v>
      </c>
      <c r="CU505" s="0" t="s">
        <v>175</v>
      </c>
      <c r="CV505" s="0" t="s">
        <v>153</v>
      </c>
      <c r="CY505" s="0" t="s">
        <v>153</v>
      </c>
      <c r="DC505" s="0" t="s">
        <v>153</v>
      </c>
      <c r="DF505" s="0" t="s">
        <v>153</v>
      </c>
      <c r="DI505" s="0" t="s">
        <v>153</v>
      </c>
      <c r="DJ505" s="0" t="s">
        <v>175</v>
      </c>
      <c r="DL505" s="0" t="s">
        <v>153</v>
      </c>
      <c r="DX505" s="0" t="s">
        <v>153</v>
      </c>
      <c r="EA505" s="0" t="s">
        <v>153</v>
      </c>
      <c r="EF505" s="0" t="s">
        <v>153</v>
      </c>
    </row>
    <row r="506" customFormat="false" ht="13.8" hidden="true" customHeight="false" outlineLevel="0" collapsed="false">
      <c r="A506" s="0" t="s">
        <v>2709</v>
      </c>
      <c r="B506" s="0" t="n">
        <v>78</v>
      </c>
      <c r="C506" s="0" t="n">
        <v>487583</v>
      </c>
      <c r="D506" s="0" t="s">
        <v>2710</v>
      </c>
      <c r="E506" s="0" t="s">
        <v>2711</v>
      </c>
      <c r="F506" s="0" t="str">
        <f aca="false">CONCATENATE(D506," ",LEFT(H506,4),"T=",AU506,"D=",AV506,"R=",AW506,"M=",AX506,"L=",AY506,"B=",AZ506)</f>
        <v>WEATHERS T=5D=0R=0M=0L=0B=0</v>
      </c>
      <c r="G506" s="0" t="s">
        <v>195</v>
      </c>
      <c r="I506" s="0" t="s">
        <v>1618</v>
      </c>
      <c r="J506" s="0" t="s">
        <v>1253</v>
      </c>
      <c r="K506" s="0" t="s">
        <v>160</v>
      </c>
      <c r="M506" s="0" t="s">
        <v>2712</v>
      </c>
      <c r="N506" s="0" t="str">
        <f aca="false">RIGHT(M506,LEN(M506)-FIND(" ",M506))</f>
        <v>DUKE AVE SE</v>
      </c>
      <c r="P506" s="0" t="s">
        <v>145</v>
      </c>
      <c r="Q506" s="0" t="s">
        <v>146</v>
      </c>
      <c r="R506" s="0" t="n">
        <v>44484</v>
      </c>
      <c r="AD506" s="0" t="s">
        <v>147</v>
      </c>
      <c r="AE506" s="0" t="s">
        <v>148</v>
      </c>
      <c r="AF506" s="0" t="s">
        <v>149</v>
      </c>
      <c r="AH506" s="0" t="n">
        <v>14</v>
      </c>
      <c r="AI506" s="0" t="n">
        <v>11</v>
      </c>
      <c r="AN506" s="0" t="s">
        <v>145</v>
      </c>
      <c r="AO506" s="0" t="s">
        <v>233</v>
      </c>
      <c r="AP506" s="0" t="s">
        <v>234</v>
      </c>
      <c r="AQ506" s="0" t="n">
        <v>9</v>
      </c>
      <c r="AR506" s="0" t="n">
        <v>64</v>
      </c>
      <c r="AS506" s="0" t="n">
        <v>32</v>
      </c>
      <c r="AU506" s="0" t="n">
        <f aca="false">COUNTA($BA$2435:$EH$2435)</f>
        <v>5</v>
      </c>
      <c r="AV506" s="0" t="n">
        <f aca="false">COUNTIF($BA$2435:$EH$2435,"D")</f>
        <v>0</v>
      </c>
      <c r="AW506" s="0" t="n">
        <f aca="false">COUNTIF($BA$2435:$EH$2435,"R")</f>
        <v>0</v>
      </c>
      <c r="AX506" s="0" t="n">
        <f aca="false">IF(BN506="D",1,0)+IF(BO506="D",1,0)+IF(BT506="D",1,0)+IF(BU506="D",1,0)+IF(BW506="D",1,0)+IF(CC506="D",1,0)+IF(CD506="D",1,0)+IF(CE506="D",1,0)+IF(CF506="D",1,0)+IF(CL506="D",1,0)+IF(CM506="D",1,0)+IF(CQ506="D",1,0)+IF(CR506="D",1,0)+IF(CS506="D",1,0)+IF(CW506="D",1,0)+IF(CX506="D",1,0)+IF(DD506="D",1,0)+IF(DE506="D",1,0)+IF(DJ506="D",1,0)+IF(DK506="D",1,0)+IF(DO506="D",1,0)+IF(DP506="D",1,0)+IF(DQ506="D",1,0)+IF(DW506="D",1,0)+IF(DZ506="D",1,0)+IF(EH506="D",1,0)</f>
        <v>0</v>
      </c>
      <c r="AY506" s="0" t="n">
        <f aca="false">COUNTIF(DU506:EH506, "&lt;&gt;")</f>
        <v>0</v>
      </c>
      <c r="AZ506" s="0" t="n">
        <f aca="false">IF(EH506&lt;&gt;"",1,0)</f>
        <v>0</v>
      </c>
      <c r="BB506" s="0" t="s">
        <v>152</v>
      </c>
    </row>
    <row r="507" customFormat="false" ht="13.8" hidden="true" customHeight="false" outlineLevel="0" collapsed="false">
      <c r="A507" s="0" t="s">
        <v>2713</v>
      </c>
      <c r="B507" s="0" t="n">
        <v>78</v>
      </c>
      <c r="C507" s="0" t="n">
        <v>367793</v>
      </c>
      <c r="D507" s="0" t="s">
        <v>2320</v>
      </c>
      <c r="E507" s="0" t="s">
        <v>2714</v>
      </c>
      <c r="F507" s="0" t="str">
        <f aca="false">CONCATENATE(D507," ",LEFT(H507,4),"T=",AU507,"D=",AV507,"R=",AW507,"M=",AX507,"L=",AY507,"B=",AZ507)</f>
        <v>PERKINS T=1D=0R=0M=0L=0B=0</v>
      </c>
      <c r="G507" s="0" t="s">
        <v>164</v>
      </c>
      <c r="I507" s="0" t="s">
        <v>2715</v>
      </c>
      <c r="J507" s="0" t="s">
        <v>2716</v>
      </c>
      <c r="K507" s="0" t="s">
        <v>143</v>
      </c>
      <c r="M507" s="0" t="s">
        <v>2717</v>
      </c>
      <c r="N507" s="0" t="str">
        <f aca="false">RIGHT(M507,LEN(M507)-FIND(" ",M507))</f>
        <v>DUKE AVE SE</v>
      </c>
      <c r="P507" s="0" t="s">
        <v>145</v>
      </c>
      <c r="Q507" s="0" t="s">
        <v>146</v>
      </c>
      <c r="R507" s="0" t="n">
        <v>44484</v>
      </c>
      <c r="AD507" s="0" t="s">
        <v>147</v>
      </c>
      <c r="AE507" s="0" t="s">
        <v>148</v>
      </c>
      <c r="AF507" s="0" t="s">
        <v>149</v>
      </c>
      <c r="AH507" s="0" t="n">
        <v>14</v>
      </c>
      <c r="AI507" s="0" t="n">
        <v>11</v>
      </c>
      <c r="AN507" s="0" t="s">
        <v>145</v>
      </c>
      <c r="AO507" s="0" t="s">
        <v>233</v>
      </c>
      <c r="AP507" s="0" t="s">
        <v>234</v>
      </c>
      <c r="AQ507" s="0" t="n">
        <v>9</v>
      </c>
      <c r="AR507" s="0" t="n">
        <v>64</v>
      </c>
      <c r="AS507" s="0" t="n">
        <v>32</v>
      </c>
      <c r="AU507" s="0" t="n">
        <f aca="false">COUNTA($BA$2210:$EH$2210)</f>
        <v>1</v>
      </c>
      <c r="AV507" s="0" t="n">
        <f aca="false">COUNTIF($BA$2210:$EH$2210,"D")</f>
        <v>0</v>
      </c>
      <c r="AW507" s="0" t="n">
        <f aca="false">COUNTIF($BA$2210:$EH$2210,"R")</f>
        <v>0</v>
      </c>
      <c r="AX507" s="0" t="n">
        <f aca="false">IF(BN507="D",1,0)+IF(BO507="D",1,0)+IF(BT507="D",1,0)+IF(BU507="D",1,0)+IF(BW507="D",1,0)+IF(CC507="D",1,0)+IF(CD507="D",1,0)+IF(CE507="D",1,0)+IF(CF507="D",1,0)+IF(CL507="D",1,0)+IF(CM507="D",1,0)+IF(CQ507="D",1,0)+IF(CR507="D",1,0)+IF(CS507="D",1,0)+IF(CW507="D",1,0)+IF(CX507="D",1,0)+IF(DD507="D",1,0)+IF(DE507="D",1,0)+IF(DJ507="D",1,0)+IF(DK507="D",1,0)+IF(DO507="D",1,0)+IF(DP507="D",1,0)+IF(DQ507="D",1,0)+IF(DW507="D",1,0)+IF(DZ507="D",1,0)+IF(EH507="D",1,0)</f>
        <v>0</v>
      </c>
      <c r="AY507" s="0" t="n">
        <f aca="false">COUNTIF(DU507:EH507, "&lt;&gt;")</f>
        <v>0</v>
      </c>
      <c r="AZ507" s="0" t="n">
        <f aca="false">IF(EH507&lt;&gt;"",1,0)</f>
        <v>0</v>
      </c>
      <c r="BB507" s="0" t="s">
        <v>152</v>
      </c>
      <c r="CP507" s="0" t="s">
        <v>153</v>
      </c>
      <c r="CY507" s="0" t="s">
        <v>153</v>
      </c>
      <c r="CZ507" s="0" t="s">
        <v>175</v>
      </c>
      <c r="DC507" s="0" t="s">
        <v>153</v>
      </c>
      <c r="DI507" s="0" t="s">
        <v>153</v>
      </c>
    </row>
    <row r="508" customFormat="false" ht="13.8" hidden="true" customHeight="false" outlineLevel="0" collapsed="false">
      <c r="A508" s="0" t="s">
        <v>2718</v>
      </c>
      <c r="B508" s="0" t="n">
        <v>78</v>
      </c>
      <c r="C508" s="0" t="n">
        <v>408829</v>
      </c>
      <c r="D508" s="0" t="s">
        <v>468</v>
      </c>
      <c r="E508" s="0" t="s">
        <v>991</v>
      </c>
      <c r="F508" s="0" t="str">
        <f aca="false">CONCATENATE(D508," ",LEFT(H508,4),"T=",AU508,"D=",AV508,"R=",AW508,"M=",AX508,"L=",AY508,"B=",AZ508)</f>
        <v>EVANS T=8D=0R=0M=0L=0B=0</v>
      </c>
      <c r="G508" s="0" t="s">
        <v>164</v>
      </c>
      <c r="I508" s="0" t="s">
        <v>2719</v>
      </c>
      <c r="J508" s="0" t="s">
        <v>2720</v>
      </c>
      <c r="K508" s="0" t="s">
        <v>143</v>
      </c>
      <c r="M508" s="0" t="s">
        <v>2721</v>
      </c>
      <c r="N508" s="0" t="str">
        <f aca="false">RIGHT(M508,LEN(M508)-FIND(" ",M508))</f>
        <v>DUKE AVE SE</v>
      </c>
      <c r="P508" s="0" t="s">
        <v>145</v>
      </c>
      <c r="Q508" s="0" t="s">
        <v>146</v>
      </c>
      <c r="R508" s="0" t="n">
        <v>44484</v>
      </c>
      <c r="AD508" s="0" t="s">
        <v>147</v>
      </c>
      <c r="AE508" s="0" t="s">
        <v>148</v>
      </c>
      <c r="AF508" s="0" t="s">
        <v>149</v>
      </c>
      <c r="AH508" s="0" t="n">
        <v>14</v>
      </c>
      <c r="AI508" s="0" t="n">
        <v>11</v>
      </c>
      <c r="AN508" s="0" t="s">
        <v>145</v>
      </c>
      <c r="AO508" s="0" t="s">
        <v>233</v>
      </c>
      <c r="AP508" s="0" t="s">
        <v>234</v>
      </c>
      <c r="AQ508" s="0" t="n">
        <v>9</v>
      </c>
      <c r="AR508" s="0" t="n">
        <v>64</v>
      </c>
      <c r="AS508" s="0" t="n">
        <v>32</v>
      </c>
      <c r="AU508" s="0" t="n">
        <f aca="false">COUNTA($BA$2096:$EH$2096)</f>
        <v>8</v>
      </c>
      <c r="AV508" s="0" t="n">
        <f aca="false">COUNTIF($BA$2096:$EH$2096,"D")</f>
        <v>0</v>
      </c>
      <c r="AW508" s="0" t="n">
        <f aca="false">COUNTIF($BA$2096:$EH$2096,"R")</f>
        <v>0</v>
      </c>
      <c r="AX508" s="0" t="n">
        <f aca="false">IF(BN508="D",1,0)+IF(BO508="D",1,0)+IF(BT508="D",1,0)+IF(BU508="D",1,0)+IF(BW508="D",1,0)+IF(CC508="D",1,0)+IF(CD508="D",1,0)+IF(CE508="D",1,0)+IF(CF508="D",1,0)+IF(CL508="D",1,0)+IF(CM508="D",1,0)+IF(CQ508="D",1,0)+IF(CR508="D",1,0)+IF(CS508="D",1,0)+IF(CW508="D",1,0)+IF(CX508="D",1,0)+IF(DD508="D",1,0)+IF(DE508="D",1,0)+IF(DJ508="D",1,0)+IF(DK508="D",1,0)+IF(DO508="D",1,0)+IF(DP508="D",1,0)+IF(DQ508="D",1,0)+IF(DW508="D",1,0)+IF(DZ508="D",1,0)+IF(EH508="D",1,0)</f>
        <v>0</v>
      </c>
      <c r="AY508" s="0" t="n">
        <f aca="false">COUNTIF(DU508:EH508, "&lt;&gt;")</f>
        <v>0</v>
      </c>
      <c r="AZ508" s="0" t="n">
        <f aca="false">IF(EH508&lt;&gt;"",1,0)</f>
        <v>0</v>
      </c>
      <c r="BB508" s="0" t="s">
        <v>152</v>
      </c>
      <c r="DC508" s="0" t="s">
        <v>153</v>
      </c>
      <c r="DN508" s="0" t="s">
        <v>153</v>
      </c>
    </row>
    <row r="509" customFormat="false" ht="13.8" hidden="true" customHeight="false" outlineLevel="0" collapsed="false">
      <c r="A509" s="0" t="s">
        <v>2722</v>
      </c>
      <c r="B509" s="0" t="n">
        <v>78</v>
      </c>
      <c r="C509" s="0" t="n">
        <v>452715</v>
      </c>
      <c r="D509" s="0" t="s">
        <v>2723</v>
      </c>
      <c r="E509" s="0" t="s">
        <v>558</v>
      </c>
      <c r="F509" s="0" t="str">
        <f aca="false">CONCATENATE(D509," ",LEFT(H509,4),"T=",AU509,"D=",AV509,"R=",AW509,"M=",AX509,"L=",AY509,"B=",AZ509)</f>
        <v>COOPER T=37D=6R=1M=0L=0B=0</v>
      </c>
      <c r="G509" s="0" t="s">
        <v>255</v>
      </c>
      <c r="I509" s="0" t="s">
        <v>2724</v>
      </c>
      <c r="J509" s="0" t="s">
        <v>903</v>
      </c>
      <c r="K509" s="0" t="s">
        <v>143</v>
      </c>
      <c r="M509" s="0" t="s">
        <v>2725</v>
      </c>
      <c r="N509" s="0" t="str">
        <f aca="false">RIGHT(M509,LEN(M509)-FIND(" ",M509))</f>
        <v>DUKE AVE SE</v>
      </c>
      <c r="P509" s="0" t="s">
        <v>145</v>
      </c>
      <c r="Q509" s="0" t="s">
        <v>146</v>
      </c>
      <c r="R509" s="0" t="n">
        <v>44484</v>
      </c>
      <c r="AD509" s="0" t="s">
        <v>147</v>
      </c>
      <c r="AE509" s="0" t="s">
        <v>148</v>
      </c>
      <c r="AF509" s="0" t="s">
        <v>149</v>
      </c>
      <c r="AH509" s="0" t="n">
        <v>14</v>
      </c>
      <c r="AI509" s="0" t="n">
        <v>11</v>
      </c>
      <c r="AN509" s="0" t="s">
        <v>145</v>
      </c>
      <c r="AO509" s="0" t="s">
        <v>233</v>
      </c>
      <c r="AP509" s="0" t="s">
        <v>234</v>
      </c>
      <c r="AQ509" s="0" t="n">
        <v>9</v>
      </c>
      <c r="AR509" s="0" t="n">
        <v>64</v>
      </c>
      <c r="AS509" s="0" t="n">
        <v>32</v>
      </c>
      <c r="AU509" s="0" t="n">
        <f aca="false">COUNTA($BA$2310:$EH$2310)</f>
        <v>37</v>
      </c>
      <c r="AV509" s="0" t="n">
        <f aca="false">COUNTIF($BA$2310:$EH$2310,"D")</f>
        <v>6</v>
      </c>
      <c r="AW509" s="0" t="n">
        <f aca="false">COUNTIF($BA$2310:$EH$2310,"R")</f>
        <v>1</v>
      </c>
      <c r="AX509" s="0" t="n">
        <f aca="false">IF(BN509="D",1,0)+IF(BO509="D",1,0)+IF(BT509="D",1,0)+IF(BU509="D",1,0)+IF(BW509="D",1,0)+IF(CC509="D",1,0)+IF(CD509="D",1,0)+IF(CE509="D",1,0)+IF(CF509="D",1,0)+IF(CL509="D",1,0)+IF(CM509="D",1,0)+IF(CQ509="D",1,0)+IF(CR509="D",1,0)+IF(CS509="D",1,0)+IF(CW509="D",1,0)+IF(CX509="D",1,0)+IF(DD509="D",1,0)+IF(DE509="D",1,0)+IF(DJ509="D",1,0)+IF(DK509="D",1,0)+IF(DO509="D",1,0)+IF(DP509="D",1,0)+IF(DQ509="D",1,0)+IF(DW509="D",1,0)+IF(DZ509="D",1,0)+IF(EH509="D",1,0)</f>
        <v>0</v>
      </c>
      <c r="AY509" s="0" t="n">
        <f aca="false">COUNTIF(DU509:EH509, "&lt;&gt;")</f>
        <v>0</v>
      </c>
      <c r="AZ509" s="0" t="n">
        <f aca="false">IF(EH509&lt;&gt;"",1,0)</f>
        <v>0</v>
      </c>
      <c r="BB509" s="0" t="s">
        <v>152</v>
      </c>
    </row>
    <row r="510" customFormat="false" ht="13.8" hidden="true" customHeight="false" outlineLevel="0" collapsed="false">
      <c r="A510" s="0" t="s">
        <v>2726</v>
      </c>
      <c r="B510" s="0" t="n">
        <v>78</v>
      </c>
      <c r="C510" s="0" t="n">
        <v>410405</v>
      </c>
      <c r="D510" s="0" t="s">
        <v>1445</v>
      </c>
      <c r="E510" s="0" t="s">
        <v>2727</v>
      </c>
      <c r="F510" s="0" t="str">
        <f aca="false">CONCATENATE(D510," ",LEFT(H510,4),"T=",AU510,"D=",AV510,"R=",AW510,"M=",AX510,"L=",AY510,"B=",AZ510)</f>
        <v>WILLIAMS T=1D=0R=0M=0L=0B=0</v>
      </c>
      <c r="G510" s="0" t="s">
        <v>171</v>
      </c>
      <c r="I510" s="0" t="s">
        <v>2728</v>
      </c>
      <c r="J510" s="0" t="s">
        <v>2729</v>
      </c>
      <c r="K510" s="0" t="s">
        <v>143</v>
      </c>
      <c r="M510" s="0" t="s">
        <v>2725</v>
      </c>
      <c r="N510" s="0" t="str">
        <f aca="false">RIGHT(M510,LEN(M510)-FIND(" ",M510))</f>
        <v>DUKE AVE SE</v>
      </c>
      <c r="P510" s="0" t="s">
        <v>145</v>
      </c>
      <c r="Q510" s="0" t="s">
        <v>146</v>
      </c>
      <c r="R510" s="0" t="n">
        <v>44484</v>
      </c>
      <c r="AD510" s="0" t="s">
        <v>147</v>
      </c>
      <c r="AE510" s="0" t="s">
        <v>148</v>
      </c>
      <c r="AF510" s="0" t="s">
        <v>149</v>
      </c>
      <c r="AH510" s="0" t="n">
        <v>14</v>
      </c>
      <c r="AI510" s="0" t="n">
        <v>11</v>
      </c>
      <c r="AN510" s="0" t="s">
        <v>145</v>
      </c>
      <c r="AO510" s="0" t="s">
        <v>233</v>
      </c>
      <c r="AP510" s="0" t="s">
        <v>234</v>
      </c>
      <c r="AQ510" s="0" t="n">
        <v>9</v>
      </c>
      <c r="AR510" s="0" t="n">
        <v>64</v>
      </c>
      <c r="AS510" s="0" t="n">
        <v>32</v>
      </c>
      <c r="AU510" s="0" t="n">
        <f aca="false">COUNTA($BA$2379:$EH$2379)</f>
        <v>1</v>
      </c>
      <c r="AV510" s="0" t="n">
        <f aca="false">COUNTIF($BA$2379:$EH$2379,"D")</f>
        <v>0</v>
      </c>
      <c r="AW510" s="0" t="n">
        <f aca="false">COUNTIF($BA$2379:$EH$2379,"R")</f>
        <v>0</v>
      </c>
      <c r="AX510" s="0" t="n">
        <f aca="false">IF(BN510="D",1,0)+IF(BO510="D",1,0)+IF(BT510="D",1,0)+IF(BU510="D",1,0)+IF(BW510="D",1,0)+IF(CC510="D",1,0)+IF(CD510="D",1,0)+IF(CE510="D",1,0)+IF(CF510="D",1,0)+IF(CL510="D",1,0)+IF(CM510="D",1,0)+IF(CQ510="D",1,0)+IF(CR510="D",1,0)+IF(CS510="D",1,0)+IF(CW510="D",1,0)+IF(CX510="D",1,0)+IF(DD510="D",1,0)+IF(DE510="D",1,0)+IF(DJ510="D",1,0)+IF(DK510="D",1,0)+IF(DO510="D",1,0)+IF(DP510="D",1,0)+IF(DQ510="D",1,0)+IF(DW510="D",1,0)+IF(DZ510="D",1,0)+IF(EH510="D",1,0)</f>
        <v>0</v>
      </c>
      <c r="AY510" s="0" t="n">
        <f aca="false">COUNTIF(DU510:EH510, "&lt;&gt;")</f>
        <v>0</v>
      </c>
      <c r="AZ510" s="0" t="n">
        <f aca="false">IF(EH510&lt;&gt;"",1,0)</f>
        <v>0</v>
      </c>
      <c r="BB510" s="0" t="s">
        <v>152</v>
      </c>
      <c r="CA510" s="0" t="s">
        <v>153</v>
      </c>
      <c r="CP510" s="0" t="s">
        <v>153</v>
      </c>
    </row>
    <row r="511" customFormat="false" ht="13.8" hidden="true" customHeight="false" outlineLevel="0" collapsed="false">
      <c r="A511" s="0" t="s">
        <v>2730</v>
      </c>
      <c r="B511" s="0" t="n">
        <v>78</v>
      </c>
      <c r="C511" s="0" t="n">
        <v>487614</v>
      </c>
      <c r="D511" s="0" t="s">
        <v>413</v>
      </c>
      <c r="E511" s="0" t="s">
        <v>2731</v>
      </c>
      <c r="F511" s="0" t="str">
        <f aca="false">CONCATENATE(D511," ",LEFT(H511,4),"T=",AU511,"D=",AV511,"R=",AW511,"M=",AX511,"L=",AY511,"B=",AZ511)</f>
        <v>BELL T=21D=5R=0M=0L=0B=0</v>
      </c>
      <c r="G511" s="0" t="s">
        <v>268</v>
      </c>
      <c r="I511" s="0" t="s">
        <v>2732</v>
      </c>
      <c r="J511" s="0" t="s">
        <v>2733</v>
      </c>
      <c r="K511" s="0" t="s">
        <v>160</v>
      </c>
      <c r="M511" s="0" t="s">
        <v>2734</v>
      </c>
      <c r="N511" s="0" t="str">
        <f aca="false">RIGHT(M511,LEN(M511)-FIND(" ",M511))</f>
        <v>DUKE AVE SE</v>
      </c>
      <c r="P511" s="0" t="s">
        <v>145</v>
      </c>
      <c r="Q511" s="0" t="s">
        <v>146</v>
      </c>
      <c r="R511" s="0" t="n">
        <v>44484</v>
      </c>
      <c r="AD511" s="0" t="s">
        <v>147</v>
      </c>
      <c r="AE511" s="0" t="s">
        <v>148</v>
      </c>
      <c r="AF511" s="0" t="s">
        <v>149</v>
      </c>
      <c r="AH511" s="0" t="n">
        <v>14</v>
      </c>
      <c r="AI511" s="0" t="n">
        <v>11</v>
      </c>
      <c r="AN511" s="0" t="s">
        <v>145</v>
      </c>
      <c r="AO511" s="0" t="s">
        <v>233</v>
      </c>
      <c r="AP511" s="0" t="s">
        <v>234</v>
      </c>
      <c r="AQ511" s="0" t="n">
        <v>9</v>
      </c>
      <c r="AR511" s="0" t="n">
        <v>64</v>
      </c>
      <c r="AS511" s="0" t="n">
        <v>32</v>
      </c>
      <c r="AU511" s="0" t="n">
        <f aca="false">COUNTA($BA$2143:$EH$2143)</f>
        <v>21</v>
      </c>
      <c r="AV511" s="0" t="n">
        <f aca="false">COUNTIF($BA$2143:$EH$2143,"D")</f>
        <v>5</v>
      </c>
      <c r="AW511" s="0" t="n">
        <f aca="false">COUNTIF($BA$2143:$EH$2143,"R")</f>
        <v>0</v>
      </c>
      <c r="AX511" s="0" t="n">
        <f aca="false">IF(BN511="D",1,0)+IF(BO511="D",1,0)+IF(BT511="D",1,0)+IF(BU511="D",1,0)+IF(BW511="D",1,0)+IF(CC511="D",1,0)+IF(CD511="D",1,0)+IF(CE511="D",1,0)+IF(CF511="D",1,0)+IF(CL511="D",1,0)+IF(CM511="D",1,0)+IF(CQ511="D",1,0)+IF(CR511="D",1,0)+IF(CS511="D",1,0)+IF(CW511="D",1,0)+IF(CX511="D",1,0)+IF(DD511="D",1,0)+IF(DE511="D",1,0)+IF(DJ511="D",1,0)+IF(DK511="D",1,0)+IF(DO511="D",1,0)+IF(DP511="D",1,0)+IF(DQ511="D",1,0)+IF(DW511="D",1,0)+IF(DZ511="D",1,0)+IF(EH511="D",1,0)</f>
        <v>0</v>
      </c>
      <c r="AY511" s="0" t="n">
        <f aca="false">COUNTIF(DU511:EH511, "&lt;&gt;")</f>
        <v>0</v>
      </c>
      <c r="AZ511" s="0" t="n">
        <f aca="false">IF(EH511&lt;&gt;"",1,0)</f>
        <v>0</v>
      </c>
      <c r="BB511" s="0" t="s">
        <v>152</v>
      </c>
    </row>
    <row r="512" customFormat="false" ht="13.8" hidden="true" customHeight="false" outlineLevel="0" collapsed="false">
      <c r="A512" s="0" t="s">
        <v>2735</v>
      </c>
      <c r="B512" s="0" t="n">
        <v>78</v>
      </c>
      <c r="C512" s="0" t="n">
        <v>487394</v>
      </c>
      <c r="D512" s="0" t="s">
        <v>2736</v>
      </c>
      <c r="E512" s="0" t="s">
        <v>2737</v>
      </c>
      <c r="F512" s="0" t="str">
        <f aca="false">CONCATENATE(D512," ",LEFT(H512,4),"T=",AU512,"D=",AV512,"R=",AW512,"M=",AX512,"L=",AY512,"B=",AZ512)</f>
        <v>KIM T=2D=0R=0M=0L=0B=0</v>
      </c>
      <c r="I512" s="0" t="s">
        <v>2738</v>
      </c>
      <c r="J512" s="0" t="s">
        <v>1050</v>
      </c>
      <c r="K512" s="0" t="s">
        <v>160</v>
      </c>
      <c r="M512" s="0" t="s">
        <v>2739</v>
      </c>
      <c r="N512" s="0" t="str">
        <f aca="false">RIGHT(M512,LEN(M512)-FIND(" ",M512))</f>
        <v>DUKE AVE SE</v>
      </c>
      <c r="P512" s="0" t="s">
        <v>145</v>
      </c>
      <c r="Q512" s="0" t="s">
        <v>146</v>
      </c>
      <c r="R512" s="0" t="n">
        <v>44484</v>
      </c>
      <c r="AD512" s="0" t="s">
        <v>147</v>
      </c>
      <c r="AE512" s="0" t="s">
        <v>148</v>
      </c>
      <c r="AF512" s="0" t="s">
        <v>149</v>
      </c>
      <c r="AH512" s="0" t="n">
        <v>14</v>
      </c>
      <c r="AI512" s="0" t="n">
        <v>11</v>
      </c>
      <c r="AN512" s="0" t="s">
        <v>145</v>
      </c>
      <c r="AO512" s="0" t="s">
        <v>233</v>
      </c>
      <c r="AP512" s="0" t="s">
        <v>234</v>
      </c>
      <c r="AQ512" s="0" t="n">
        <v>9</v>
      </c>
      <c r="AR512" s="0" t="n">
        <v>64</v>
      </c>
      <c r="AS512" s="0" t="n">
        <v>32</v>
      </c>
      <c r="AU512" s="0" t="n">
        <f aca="false">COUNTA($BA$2601:$EH$2601)</f>
        <v>2</v>
      </c>
      <c r="AV512" s="0" t="n">
        <f aca="false">COUNTIF($BA$2601:$EH$2601,"D")</f>
        <v>0</v>
      </c>
      <c r="AW512" s="0" t="n">
        <f aca="false">COUNTIF($BA$2601:$EH$2601,"R")</f>
        <v>0</v>
      </c>
      <c r="AX512" s="0" t="n">
        <f aca="false">IF(BN512="D",1,0)+IF(BO512="D",1,0)+IF(BT512="D",1,0)+IF(BU512="D",1,0)+IF(BW512="D",1,0)+IF(CC512="D",1,0)+IF(CD512="D",1,0)+IF(CE512="D",1,0)+IF(CF512="D",1,0)+IF(CL512="D",1,0)+IF(CM512="D",1,0)+IF(CQ512="D",1,0)+IF(CR512="D",1,0)+IF(CS512="D",1,0)+IF(CW512="D",1,0)+IF(CX512="D",1,0)+IF(DD512="D",1,0)+IF(DE512="D",1,0)+IF(DJ512="D",1,0)+IF(DK512="D",1,0)+IF(DO512="D",1,0)+IF(DP512="D",1,0)+IF(DQ512="D",1,0)+IF(DW512="D",1,0)+IF(DZ512="D",1,0)+IF(EH512="D",1,0)</f>
        <v>0</v>
      </c>
      <c r="AY512" s="0" t="n">
        <f aca="false">COUNTIF(DU512:EH512, "&lt;&gt;")</f>
        <v>0</v>
      </c>
      <c r="AZ512" s="0" t="n">
        <f aca="false">IF(EH512&lt;&gt;"",1,0)</f>
        <v>0</v>
      </c>
      <c r="BB512" s="0" t="s">
        <v>152</v>
      </c>
    </row>
    <row r="513" customFormat="false" ht="13.8" hidden="true" customHeight="false" outlineLevel="0" collapsed="false">
      <c r="A513" s="0" t="s">
        <v>2740</v>
      </c>
      <c r="B513" s="0" t="n">
        <v>78</v>
      </c>
      <c r="C513" s="0" t="n">
        <v>431982</v>
      </c>
      <c r="D513" s="0" t="s">
        <v>986</v>
      </c>
      <c r="E513" s="0" t="s">
        <v>1229</v>
      </c>
      <c r="F513" s="0" t="str">
        <f aca="false">CONCATENATE(D513," ",LEFT(H513,4),"T=",AU513,"D=",AV513,"R=",AW513,"M=",AX513,"L=",AY513,"B=",AZ513)</f>
        <v>YOUNG T=2D=0R=0M=0L=0B=0</v>
      </c>
      <c r="G513" s="0" t="s">
        <v>175</v>
      </c>
      <c r="I513" s="0" t="s">
        <v>2741</v>
      </c>
      <c r="J513" s="0" t="s">
        <v>2742</v>
      </c>
      <c r="K513" s="0" t="s">
        <v>143</v>
      </c>
      <c r="M513" s="0" t="s">
        <v>2743</v>
      </c>
      <c r="N513" s="0" t="str">
        <f aca="false">RIGHT(M513,LEN(M513)-FIND(" ",M513))</f>
        <v>DUKE AVE SE</v>
      </c>
      <c r="P513" s="0" t="s">
        <v>145</v>
      </c>
      <c r="Q513" s="0" t="s">
        <v>146</v>
      </c>
      <c r="R513" s="0" t="n">
        <v>44484</v>
      </c>
      <c r="AD513" s="0" t="s">
        <v>147</v>
      </c>
      <c r="AE513" s="0" t="s">
        <v>148</v>
      </c>
      <c r="AF513" s="0" t="s">
        <v>149</v>
      </c>
      <c r="AH513" s="0" t="n">
        <v>14</v>
      </c>
      <c r="AI513" s="0" t="n">
        <v>11</v>
      </c>
      <c r="AN513" s="0" t="s">
        <v>145</v>
      </c>
      <c r="AO513" s="0" t="s">
        <v>233</v>
      </c>
      <c r="AP513" s="0" t="s">
        <v>234</v>
      </c>
      <c r="AQ513" s="0" t="n">
        <v>9</v>
      </c>
      <c r="AR513" s="0" t="n">
        <v>64</v>
      </c>
      <c r="AS513" s="0" t="n">
        <v>32</v>
      </c>
      <c r="AU513" s="0" t="n">
        <f aca="false">COUNTA($BA$2079:$EH$2079)</f>
        <v>2</v>
      </c>
      <c r="AV513" s="0" t="n">
        <f aca="false">COUNTIF($BA$2079:$EH$2079,"D")</f>
        <v>0</v>
      </c>
      <c r="AW513" s="0" t="n">
        <f aca="false">COUNTIF($BA$2079:$EH$2079,"R")</f>
        <v>0</v>
      </c>
      <c r="AX513" s="0" t="n">
        <f aca="false">IF(BN513="D",1,0)+IF(BO513="D",1,0)+IF(BT513="D",1,0)+IF(BU513="D",1,0)+IF(BW513="D",1,0)+IF(CC513="D",1,0)+IF(CD513="D",1,0)+IF(CE513="D",1,0)+IF(CF513="D",1,0)+IF(CL513="D",1,0)+IF(CM513="D",1,0)+IF(CQ513="D",1,0)+IF(CR513="D",1,0)+IF(CS513="D",1,0)+IF(CW513="D",1,0)+IF(CX513="D",1,0)+IF(DD513="D",1,0)+IF(DE513="D",1,0)+IF(DJ513="D",1,0)+IF(DK513="D",1,0)+IF(DO513="D",1,0)+IF(DP513="D",1,0)+IF(DQ513="D",1,0)+IF(DW513="D",1,0)+IF(DZ513="D",1,0)+IF(EH513="D",1,0)</f>
        <v>0</v>
      </c>
      <c r="AY513" s="0" t="n">
        <f aca="false">COUNTIF(DU513:EH513, "&lt;&gt;")</f>
        <v>0</v>
      </c>
      <c r="AZ513" s="0" t="n">
        <f aca="false">IF(EH513&lt;&gt;"",1,0)</f>
        <v>0</v>
      </c>
      <c r="BB513" s="0" t="s">
        <v>152</v>
      </c>
    </row>
    <row r="514" customFormat="false" ht="13.8" hidden="true" customHeight="false" outlineLevel="0" collapsed="false">
      <c r="A514" s="0" t="s">
        <v>2744</v>
      </c>
      <c r="B514" s="0" t="n">
        <v>78</v>
      </c>
      <c r="C514" s="0" t="n">
        <v>487871</v>
      </c>
      <c r="D514" s="0" t="s">
        <v>2745</v>
      </c>
      <c r="E514" s="0" t="s">
        <v>2746</v>
      </c>
      <c r="F514" s="0" t="str">
        <f aca="false">CONCATENATE(D514," ",LEFT(H514,4),"T=",AU514,"D=",AV514,"R=",AW514,"M=",AX514,"L=",AY514,"B=",AZ514)</f>
        <v>ESSILFIE T=3D=0R=0M=0L=0B=0</v>
      </c>
      <c r="G514" s="0" t="s">
        <v>164</v>
      </c>
      <c r="I514" s="0" t="s">
        <v>2747</v>
      </c>
      <c r="J514" s="0" t="s">
        <v>2230</v>
      </c>
      <c r="K514" s="0" t="s">
        <v>160</v>
      </c>
      <c r="M514" s="0" t="s">
        <v>2743</v>
      </c>
      <c r="N514" s="0" t="str">
        <f aca="false">RIGHT(M514,LEN(M514)-FIND(" ",M514))</f>
        <v>DUKE AVE SE</v>
      </c>
      <c r="P514" s="0" t="s">
        <v>145</v>
      </c>
      <c r="Q514" s="0" t="s">
        <v>146</v>
      </c>
      <c r="R514" s="0" t="n">
        <v>44484</v>
      </c>
      <c r="AD514" s="0" t="s">
        <v>147</v>
      </c>
      <c r="AE514" s="0" t="s">
        <v>148</v>
      </c>
      <c r="AF514" s="0" t="s">
        <v>149</v>
      </c>
      <c r="AH514" s="0" t="n">
        <v>14</v>
      </c>
      <c r="AI514" s="0" t="n">
        <v>11</v>
      </c>
      <c r="AN514" s="0" t="s">
        <v>145</v>
      </c>
      <c r="AO514" s="0" t="s">
        <v>233</v>
      </c>
      <c r="AP514" s="0" t="s">
        <v>234</v>
      </c>
      <c r="AQ514" s="0" t="n">
        <v>9</v>
      </c>
      <c r="AR514" s="0" t="n">
        <v>64</v>
      </c>
      <c r="AS514" s="0" t="n">
        <v>32</v>
      </c>
      <c r="AU514" s="0" t="n">
        <f aca="false">COUNTA($BA$2466:$EH$2466)</f>
        <v>3</v>
      </c>
      <c r="AV514" s="0" t="n">
        <f aca="false">COUNTIF($BA$2466:$EH$2466,"D")</f>
        <v>0</v>
      </c>
      <c r="AW514" s="0" t="n">
        <f aca="false">COUNTIF($BA$2466:$EH$2466,"R")</f>
        <v>0</v>
      </c>
      <c r="AX514" s="0" t="n">
        <f aca="false">IF(BN514="D",1,0)+IF(BO514="D",1,0)+IF(BT514="D",1,0)+IF(BU514="D",1,0)+IF(BW514="D",1,0)+IF(CC514="D",1,0)+IF(CD514="D",1,0)+IF(CE514="D",1,0)+IF(CF514="D",1,0)+IF(CL514="D",1,0)+IF(CM514="D",1,0)+IF(CQ514="D",1,0)+IF(CR514="D",1,0)+IF(CS514="D",1,0)+IF(CW514="D",1,0)+IF(CX514="D",1,0)+IF(DD514="D",1,0)+IF(DE514="D",1,0)+IF(DJ514="D",1,0)+IF(DK514="D",1,0)+IF(DO514="D",1,0)+IF(DP514="D",1,0)+IF(DQ514="D",1,0)+IF(DW514="D",1,0)+IF(DZ514="D",1,0)+IF(EH514="D",1,0)</f>
        <v>0</v>
      </c>
      <c r="AY514" s="0" t="n">
        <f aca="false">COUNTIF(DU514:EH514, "&lt;&gt;")</f>
        <v>0</v>
      </c>
      <c r="AZ514" s="0" t="n">
        <f aca="false">IF(EH514&lt;&gt;"",1,0)</f>
        <v>0</v>
      </c>
      <c r="BB514" s="0" t="s">
        <v>152</v>
      </c>
    </row>
    <row r="515" customFormat="false" ht="13.8" hidden="true" customHeight="false" outlineLevel="0" collapsed="false">
      <c r="A515" s="0" t="s">
        <v>2748</v>
      </c>
      <c r="B515" s="0" t="n">
        <v>78</v>
      </c>
      <c r="C515" s="0" t="n">
        <v>443771</v>
      </c>
      <c r="D515" s="0" t="s">
        <v>1058</v>
      </c>
      <c r="E515" s="0" t="s">
        <v>2749</v>
      </c>
      <c r="F515" s="0" t="str">
        <f aca="false">CONCATENATE(D515," ",LEFT(H515,4),"T=",AU515,"D=",AV515,"R=",AW515,"M=",AX515,"L=",AY515,"B=",AZ515)</f>
        <v>OWENS T=1D=0R=0M=0L=0B=0</v>
      </c>
      <c r="G515" s="0" t="s">
        <v>2750</v>
      </c>
      <c r="I515" s="0" t="s">
        <v>2751</v>
      </c>
      <c r="J515" s="0" t="s">
        <v>2752</v>
      </c>
      <c r="K515" s="0" t="s">
        <v>160</v>
      </c>
      <c r="M515" s="0" t="s">
        <v>2743</v>
      </c>
      <c r="N515" s="0" t="str">
        <f aca="false">RIGHT(M515,LEN(M515)-FIND(" ",M515))</f>
        <v>DUKE AVE SE</v>
      </c>
      <c r="P515" s="0" t="s">
        <v>145</v>
      </c>
      <c r="Q515" s="0" t="s">
        <v>146</v>
      </c>
      <c r="R515" s="0" t="n">
        <v>44484</v>
      </c>
      <c r="AD515" s="0" t="s">
        <v>147</v>
      </c>
      <c r="AE515" s="0" t="s">
        <v>148</v>
      </c>
      <c r="AF515" s="0" t="s">
        <v>149</v>
      </c>
      <c r="AH515" s="0" t="n">
        <v>14</v>
      </c>
      <c r="AI515" s="0" t="n">
        <v>11</v>
      </c>
      <c r="AN515" s="0" t="s">
        <v>145</v>
      </c>
      <c r="AO515" s="0" t="s">
        <v>233</v>
      </c>
      <c r="AP515" s="0" t="s">
        <v>234</v>
      </c>
      <c r="AQ515" s="0" t="n">
        <v>9</v>
      </c>
      <c r="AR515" s="0" t="n">
        <v>64</v>
      </c>
      <c r="AS515" s="0" t="n">
        <v>32</v>
      </c>
      <c r="AU515" s="0" t="n">
        <f aca="false">COUNTA($BA$2634:$EH$2634)</f>
        <v>1</v>
      </c>
      <c r="AV515" s="0" t="n">
        <f aca="false">COUNTIF($BA$2634:$EH$2634,"D")</f>
        <v>0</v>
      </c>
      <c r="AW515" s="0" t="n">
        <f aca="false">COUNTIF($BA$2634:$EH$2634,"R")</f>
        <v>0</v>
      </c>
      <c r="AX515" s="0" t="n">
        <f aca="false">IF(BN515="D",1,0)+IF(BO515="D",1,0)+IF(BT515="D",1,0)+IF(BU515="D",1,0)+IF(BW515="D",1,0)+IF(CC515="D",1,0)+IF(CD515="D",1,0)+IF(CE515="D",1,0)+IF(CF515="D",1,0)+IF(CL515="D",1,0)+IF(CM515="D",1,0)+IF(CQ515="D",1,0)+IF(CR515="D",1,0)+IF(CS515="D",1,0)+IF(CW515="D",1,0)+IF(CX515="D",1,0)+IF(DD515="D",1,0)+IF(DE515="D",1,0)+IF(DJ515="D",1,0)+IF(DK515="D",1,0)+IF(DO515="D",1,0)+IF(DP515="D",1,0)+IF(DQ515="D",1,0)+IF(DW515="D",1,0)+IF(DZ515="D",1,0)+IF(EH515="D",1,0)</f>
        <v>0</v>
      </c>
      <c r="AY515" s="0" t="n">
        <f aca="false">COUNTIF(DU515:EH515, "&lt;&gt;")</f>
        <v>0</v>
      </c>
      <c r="AZ515" s="0" t="n">
        <f aca="false">IF(EH515&lt;&gt;"",1,0)</f>
        <v>0</v>
      </c>
      <c r="BB515" s="0" t="s">
        <v>152</v>
      </c>
      <c r="BY515" s="0" t="s">
        <v>175</v>
      </c>
      <c r="CA515" s="0" t="s">
        <v>153</v>
      </c>
      <c r="DN515" s="0" t="s">
        <v>153</v>
      </c>
    </row>
    <row r="516" customFormat="false" ht="13.8" hidden="true" customHeight="false" outlineLevel="0" collapsed="false">
      <c r="A516" s="0" t="s">
        <v>2753</v>
      </c>
      <c r="B516" s="0" t="n">
        <v>78</v>
      </c>
      <c r="C516" s="0" t="n">
        <v>415985</v>
      </c>
      <c r="D516" s="0" t="s">
        <v>974</v>
      </c>
      <c r="E516" s="0" t="s">
        <v>2754</v>
      </c>
      <c r="F516" s="0" t="str">
        <f aca="false">CONCATENATE(D516," ",LEFT(H516,4),"T=",AU516,"D=",AV516,"R=",AW516,"M=",AX516,"L=",AY516,"B=",AZ516)</f>
        <v>STAGGERS T=1D=0R=0M=0L=1B=0</v>
      </c>
      <c r="G516" s="0" t="s">
        <v>190</v>
      </c>
      <c r="I516" s="0" t="s">
        <v>2755</v>
      </c>
      <c r="J516" s="0" t="s">
        <v>2756</v>
      </c>
      <c r="K516" s="0" t="s">
        <v>160</v>
      </c>
      <c r="M516" s="0" t="s">
        <v>2757</v>
      </c>
      <c r="N516" s="0" t="str">
        <f aca="false">RIGHT(M516,LEN(M516)-FIND(" ",M516))</f>
        <v>DUKE AVE SE</v>
      </c>
      <c r="P516" s="0" t="s">
        <v>145</v>
      </c>
      <c r="Q516" s="0" t="s">
        <v>146</v>
      </c>
      <c r="R516" s="0" t="n">
        <v>44484</v>
      </c>
      <c r="AD516" s="0" t="s">
        <v>147</v>
      </c>
      <c r="AE516" s="0" t="s">
        <v>148</v>
      </c>
      <c r="AF516" s="0" t="s">
        <v>149</v>
      </c>
      <c r="AH516" s="0" t="n">
        <v>14</v>
      </c>
      <c r="AI516" s="0" t="n">
        <v>11</v>
      </c>
      <c r="AN516" s="0" t="s">
        <v>145</v>
      </c>
      <c r="AO516" s="0" t="s">
        <v>233</v>
      </c>
      <c r="AP516" s="0" t="s">
        <v>234</v>
      </c>
      <c r="AQ516" s="0" t="n">
        <v>9</v>
      </c>
      <c r="AR516" s="0" t="n">
        <v>64</v>
      </c>
      <c r="AS516" s="0" t="n">
        <v>32</v>
      </c>
      <c r="AU516" s="0" t="n">
        <f aca="false">COUNTA($BA$2477:$EH$2477)</f>
        <v>1</v>
      </c>
      <c r="AV516" s="0" t="n">
        <f aca="false">COUNTIF($BA$2477:$EH$2477,"D")</f>
        <v>0</v>
      </c>
      <c r="AW516" s="0" t="n">
        <f aca="false">COUNTIF($BA$2477:$EH$2477,"R")</f>
        <v>0</v>
      </c>
      <c r="AX516" s="0" t="n">
        <f aca="false">IF(BN516="D",1,0)+IF(BO516="D",1,0)+IF(BT516="D",1,0)+IF(BU516="D",1,0)+IF(BW516="D",1,0)+IF(CC516="D",1,0)+IF(CD516="D",1,0)+IF(CE516="D",1,0)+IF(CF516="D",1,0)+IF(CL516="D",1,0)+IF(CM516="D",1,0)+IF(CQ516="D",1,0)+IF(CR516="D",1,0)+IF(CS516="D",1,0)+IF(CW516="D",1,0)+IF(CX516="D",1,0)+IF(DD516="D",1,0)+IF(DE516="D",1,0)+IF(DJ516="D",1,0)+IF(DK516="D",1,0)+IF(DO516="D",1,0)+IF(DP516="D",1,0)+IF(DQ516="D",1,0)+IF(DW516="D",1,0)+IF(DZ516="D",1,0)+IF(EH516="D",1,0)</f>
        <v>0</v>
      </c>
      <c r="AY516" s="0" t="n">
        <f aca="false">COUNTIF(DU516:EH516, "&lt;&gt;")</f>
        <v>1</v>
      </c>
      <c r="AZ516" s="0" t="n">
        <f aca="false">IF(EH516&lt;&gt;"",1,0)</f>
        <v>0</v>
      </c>
      <c r="BB516" s="0" t="s">
        <v>152</v>
      </c>
      <c r="DC516" s="0" t="s">
        <v>153</v>
      </c>
      <c r="DI516" s="0" t="s">
        <v>153</v>
      </c>
      <c r="DN516" s="0" t="s">
        <v>153</v>
      </c>
      <c r="EF516" s="0" t="s">
        <v>153</v>
      </c>
    </row>
    <row r="517" customFormat="false" ht="13.8" hidden="true" customHeight="false" outlineLevel="0" collapsed="false">
      <c r="A517" s="0" t="s">
        <v>2758</v>
      </c>
      <c r="B517" s="0" t="n">
        <v>78</v>
      </c>
      <c r="C517" s="0" t="n">
        <v>359823</v>
      </c>
      <c r="D517" s="0" t="s">
        <v>2759</v>
      </c>
      <c r="E517" s="0" t="s">
        <v>939</v>
      </c>
      <c r="F517" s="0" t="str">
        <f aca="false">CONCATENATE(D517," ",LEFT(H517,4),"T=",AU517,"D=",AV517,"R=",AW517,"M=",AX517,"L=",AY517,"B=",AZ517)</f>
        <v>CRITCHFIELD T=9D=1R=0M=0L=0B=0</v>
      </c>
      <c r="G517" s="0" t="s">
        <v>171</v>
      </c>
      <c r="I517" s="0" t="s">
        <v>2760</v>
      </c>
      <c r="J517" s="0" t="s">
        <v>2761</v>
      </c>
      <c r="K517" s="0" t="s">
        <v>143</v>
      </c>
      <c r="M517" s="0" t="s">
        <v>2762</v>
      </c>
      <c r="N517" s="0" t="str">
        <f aca="false">RIGHT(M517,LEN(M517)-FIND(" ",M517))</f>
        <v>E MARKET ST</v>
      </c>
      <c r="O517" s="0" t="s">
        <v>297</v>
      </c>
      <c r="P517" s="0" t="s">
        <v>145</v>
      </c>
      <c r="Q517" s="0" t="s">
        <v>146</v>
      </c>
      <c r="R517" s="0" t="n">
        <v>44483</v>
      </c>
      <c r="AD517" s="0" t="s">
        <v>147</v>
      </c>
      <c r="AE517" s="0" t="s">
        <v>148</v>
      </c>
      <c r="AF517" s="0" t="s">
        <v>149</v>
      </c>
      <c r="AH517" s="0" t="n">
        <v>14</v>
      </c>
      <c r="AI517" s="0" t="n">
        <v>11</v>
      </c>
      <c r="AN517" s="0" t="s">
        <v>145</v>
      </c>
      <c r="AO517" s="0" t="s">
        <v>150</v>
      </c>
      <c r="AP517" s="0" t="s">
        <v>151</v>
      </c>
      <c r="AQ517" s="0" t="n">
        <v>9</v>
      </c>
      <c r="AR517" s="0" t="n">
        <v>64</v>
      </c>
      <c r="AS517" s="0" t="n">
        <v>32</v>
      </c>
      <c r="AU517" s="0" t="n">
        <f aca="false">COUNTA($BA$134:$EH$134)</f>
        <v>9</v>
      </c>
      <c r="AV517" s="0" t="n">
        <f aca="false">COUNTIF($BA$134:$EH$134,"D")</f>
        <v>1</v>
      </c>
      <c r="AW517" s="0" t="n">
        <f aca="false">COUNTIF($BA$134:$EH$134,"R")</f>
        <v>0</v>
      </c>
      <c r="AX517" s="0" t="n">
        <f aca="false">IF(BN517="D",1,0)+IF(BO517="D",1,0)+IF(BT517="D",1,0)+IF(BU517="D",1,0)+IF(BW517="D",1,0)+IF(CC517="D",1,0)+IF(CD517="D",1,0)+IF(CE517="D",1,0)+IF(CF517="D",1,0)+IF(CL517="D",1,0)+IF(CM517="D",1,0)+IF(CQ517="D",1,0)+IF(CR517="D",1,0)+IF(CS517="D",1,0)+IF(CW517="D",1,0)+IF(CX517="D",1,0)+IF(DD517="D",1,0)+IF(DE517="D",1,0)+IF(DJ517="D",1,0)+IF(DK517="D",1,0)+IF(DO517="D",1,0)+IF(DP517="D",1,0)+IF(DQ517="D",1,0)+IF(DW517="D",1,0)+IF(DZ517="D",1,0)+IF(EH517="D",1,0)</f>
        <v>0</v>
      </c>
      <c r="AY517" s="0" t="n">
        <f aca="false">COUNTIF(DU517:EH517, "&lt;&gt;")</f>
        <v>0</v>
      </c>
      <c r="AZ517" s="0" t="n">
        <f aca="false">IF(EH517&lt;&gt;"",1,0)</f>
        <v>0</v>
      </c>
      <c r="BB517" s="0" t="s">
        <v>152</v>
      </c>
      <c r="CA517" s="0" t="s">
        <v>153</v>
      </c>
      <c r="CP517" s="0" t="s">
        <v>153</v>
      </c>
      <c r="DC517" s="0" t="s">
        <v>153</v>
      </c>
      <c r="DI517" s="0" t="s">
        <v>153</v>
      </c>
      <c r="DN517" s="0" t="s">
        <v>153</v>
      </c>
    </row>
    <row r="518" customFormat="false" ht="13.8" hidden="true" customHeight="false" outlineLevel="0" collapsed="false">
      <c r="A518" s="0" t="s">
        <v>2763</v>
      </c>
      <c r="B518" s="0" t="n">
        <v>78</v>
      </c>
      <c r="C518" s="0" t="n">
        <v>439481</v>
      </c>
      <c r="D518" s="0" t="s">
        <v>2764</v>
      </c>
      <c r="E518" s="0" t="s">
        <v>2765</v>
      </c>
      <c r="F518" s="0" t="str">
        <f aca="false">CONCATENATE(D518," ",LEFT(H518,4),"T=",AU518,"D=",AV518,"R=",AW518,"M=",AX518,"L=",AY518,"B=",AZ518)</f>
        <v>VINCZAN T=9D=0R=0M=0L=0B=0</v>
      </c>
      <c r="G518" s="0" t="s">
        <v>1128</v>
      </c>
      <c r="I518" s="0" t="s">
        <v>2766</v>
      </c>
      <c r="J518" s="0" t="s">
        <v>2767</v>
      </c>
      <c r="K518" s="0" t="s">
        <v>143</v>
      </c>
      <c r="M518" s="0" t="s">
        <v>2762</v>
      </c>
      <c r="N518" s="0" t="str">
        <f aca="false">RIGHT(M518,LEN(M518)-FIND(" ",M518))</f>
        <v>E MARKET ST</v>
      </c>
      <c r="P518" s="0" t="s">
        <v>145</v>
      </c>
      <c r="Q518" s="0" t="s">
        <v>146</v>
      </c>
      <c r="R518" s="0" t="n">
        <v>44483</v>
      </c>
      <c r="AD518" s="0" t="s">
        <v>147</v>
      </c>
      <c r="AE518" s="0" t="s">
        <v>148</v>
      </c>
      <c r="AF518" s="0" t="s">
        <v>149</v>
      </c>
      <c r="AH518" s="0" t="n">
        <v>14</v>
      </c>
      <c r="AI518" s="0" t="n">
        <v>11</v>
      </c>
      <c r="AN518" s="0" t="s">
        <v>145</v>
      </c>
      <c r="AO518" s="0" t="s">
        <v>150</v>
      </c>
      <c r="AP518" s="0" t="s">
        <v>151</v>
      </c>
      <c r="AQ518" s="0" t="n">
        <v>9</v>
      </c>
      <c r="AR518" s="0" t="n">
        <v>64</v>
      </c>
      <c r="AS518" s="0" t="n">
        <v>32</v>
      </c>
      <c r="AU518" s="0" t="n">
        <f aca="false">COUNTA($BA$569:$EH$569)</f>
        <v>9</v>
      </c>
      <c r="AV518" s="0" t="n">
        <f aca="false">COUNTIF($BA$569:$EH$569,"D")</f>
        <v>0</v>
      </c>
      <c r="AW518" s="0" t="n">
        <f aca="false">COUNTIF($BA$569:$EH$569,"R")</f>
        <v>0</v>
      </c>
      <c r="AX518" s="0" t="n">
        <f aca="false">IF(BN518="D",1,0)+IF(BO518="D",1,0)+IF(BT518="D",1,0)+IF(BU518="D",1,0)+IF(BW518="D",1,0)+IF(CC518="D",1,0)+IF(CD518="D",1,0)+IF(CE518="D",1,0)+IF(CF518="D",1,0)+IF(CL518="D",1,0)+IF(CM518="D",1,0)+IF(CQ518="D",1,0)+IF(CR518="D",1,0)+IF(CS518="D",1,0)+IF(CW518="D",1,0)+IF(CX518="D",1,0)+IF(DD518="D",1,0)+IF(DE518="D",1,0)+IF(DJ518="D",1,0)+IF(DK518="D",1,0)+IF(DO518="D",1,0)+IF(DP518="D",1,0)+IF(DQ518="D",1,0)+IF(DW518="D",1,0)+IF(DZ518="D",1,0)+IF(EH518="D",1,0)</f>
        <v>0</v>
      </c>
      <c r="AY518" s="0" t="n">
        <f aca="false">COUNTIF(DU518:EH518, "&lt;&gt;")</f>
        <v>0</v>
      </c>
      <c r="AZ518" s="0" t="n">
        <f aca="false">IF(EH518&lt;&gt;"",1,0)</f>
        <v>0</v>
      </c>
      <c r="BB518" s="0" t="s">
        <v>152</v>
      </c>
    </row>
    <row r="519" customFormat="false" ht="13.8" hidden="true" customHeight="false" outlineLevel="0" collapsed="false">
      <c r="A519" s="0" t="s">
        <v>2768</v>
      </c>
      <c r="B519" s="0" t="n">
        <v>78</v>
      </c>
      <c r="C519" s="0" t="n">
        <v>488125</v>
      </c>
      <c r="D519" s="0" t="s">
        <v>657</v>
      </c>
      <c r="E519" s="0" t="s">
        <v>2769</v>
      </c>
      <c r="F519" s="0" t="str">
        <f aca="false">CONCATENATE(D519," ",LEFT(H519,4),"T=",AU519,"D=",AV519,"R=",AW519,"M=",AX519,"L=",AY519,"B=",AZ519)</f>
        <v>HALL T=3D=0R=0M=0L=0B=0</v>
      </c>
      <c r="G519" s="0" t="s">
        <v>195</v>
      </c>
      <c r="I519" s="0" t="s">
        <v>2770</v>
      </c>
      <c r="J519" s="0" t="s">
        <v>2771</v>
      </c>
      <c r="K519" s="0" t="s">
        <v>160</v>
      </c>
      <c r="M519" s="0" t="s">
        <v>2772</v>
      </c>
      <c r="N519" s="0" t="str">
        <f aca="false">RIGHT(M519,LEN(M519)-FIND(" ",M519))</f>
        <v>E MARKET ST</v>
      </c>
      <c r="P519" s="0" t="s">
        <v>145</v>
      </c>
      <c r="Q519" s="0" t="s">
        <v>146</v>
      </c>
      <c r="R519" s="0" t="n">
        <v>44483</v>
      </c>
      <c r="AD519" s="0" t="s">
        <v>147</v>
      </c>
      <c r="AE519" s="0" t="s">
        <v>148</v>
      </c>
      <c r="AF519" s="0" t="s">
        <v>149</v>
      </c>
      <c r="AH519" s="0" t="n">
        <v>14</v>
      </c>
      <c r="AI519" s="0" t="n">
        <v>11</v>
      </c>
      <c r="AN519" s="0" t="s">
        <v>145</v>
      </c>
      <c r="AO519" s="0" t="s">
        <v>150</v>
      </c>
      <c r="AP519" s="0" t="s">
        <v>151</v>
      </c>
      <c r="AQ519" s="0" t="n">
        <v>9</v>
      </c>
      <c r="AR519" s="0" t="n">
        <v>64</v>
      </c>
      <c r="AS519" s="0" t="n">
        <v>32</v>
      </c>
      <c r="AU519" s="0" t="n">
        <f aca="false">COUNTA($BA$562:$EH$562)</f>
        <v>3</v>
      </c>
      <c r="AV519" s="0" t="n">
        <f aca="false">COUNTIF($BA$562:$EH$562,"D")</f>
        <v>0</v>
      </c>
      <c r="AW519" s="0" t="n">
        <f aca="false">COUNTIF($BA$562:$EH$562,"R")</f>
        <v>0</v>
      </c>
      <c r="AX519" s="0" t="n">
        <f aca="false">IF(BN519="D",1,0)+IF(BO519="D",1,0)+IF(BT519="D",1,0)+IF(BU519="D",1,0)+IF(BW519="D",1,0)+IF(CC519="D",1,0)+IF(CD519="D",1,0)+IF(CE519="D",1,0)+IF(CF519="D",1,0)+IF(CL519="D",1,0)+IF(CM519="D",1,0)+IF(CQ519="D",1,0)+IF(CR519="D",1,0)+IF(CS519="D",1,0)+IF(CW519="D",1,0)+IF(CX519="D",1,0)+IF(DD519="D",1,0)+IF(DE519="D",1,0)+IF(DJ519="D",1,0)+IF(DK519="D",1,0)+IF(DO519="D",1,0)+IF(DP519="D",1,0)+IF(DQ519="D",1,0)+IF(DW519="D",1,0)+IF(DZ519="D",1,0)+IF(EH519="D",1,0)</f>
        <v>0</v>
      </c>
      <c r="AY519" s="0" t="n">
        <f aca="false">COUNTIF(DU519:EH519, "&lt;&gt;")</f>
        <v>0</v>
      </c>
      <c r="AZ519" s="0" t="n">
        <f aca="false">IF(EH519&lt;&gt;"",1,0)</f>
        <v>0</v>
      </c>
      <c r="BB519" s="0" t="s">
        <v>152</v>
      </c>
      <c r="CA519" s="0" t="s">
        <v>153</v>
      </c>
    </row>
    <row r="520" customFormat="false" ht="13.8" hidden="true" customHeight="false" outlineLevel="0" collapsed="false">
      <c r="A520" s="0" t="s">
        <v>2773</v>
      </c>
      <c r="B520" s="0" t="n">
        <v>78</v>
      </c>
      <c r="C520" s="0" t="n">
        <v>496285</v>
      </c>
      <c r="D520" s="0" t="s">
        <v>1487</v>
      </c>
      <c r="E520" s="0" t="s">
        <v>2774</v>
      </c>
      <c r="F520" s="0" t="str">
        <f aca="false">CONCATENATE(D520," ",LEFT(H520,4),"T=",AU520,"D=",AV520,"R=",AW520,"M=",AX520,"L=",AY520,"B=",AZ520)</f>
        <v>SIMS SRT=4D=0R=1M=0L=0B=0</v>
      </c>
      <c r="G520" s="0" t="s">
        <v>1722</v>
      </c>
      <c r="H520" s="0" t="s">
        <v>216</v>
      </c>
      <c r="I520" s="0" t="s">
        <v>2775</v>
      </c>
      <c r="J520" s="0" t="s">
        <v>2776</v>
      </c>
      <c r="K520" s="0" t="s">
        <v>160</v>
      </c>
      <c r="M520" s="0" t="s">
        <v>2777</v>
      </c>
      <c r="N520" s="0" t="str">
        <f aca="false">RIGHT(M520,LEN(M520)-FIND(" ",M520))</f>
        <v>E MARKET ST</v>
      </c>
      <c r="P520" s="0" t="s">
        <v>145</v>
      </c>
      <c r="Q520" s="0" t="s">
        <v>146</v>
      </c>
      <c r="R520" s="0" t="n">
        <v>44483</v>
      </c>
      <c r="AD520" s="0" t="s">
        <v>147</v>
      </c>
      <c r="AE520" s="0" t="s">
        <v>148</v>
      </c>
      <c r="AF520" s="0" t="s">
        <v>149</v>
      </c>
      <c r="AH520" s="0" t="n">
        <v>14</v>
      </c>
      <c r="AI520" s="0" t="n">
        <v>11</v>
      </c>
      <c r="AN520" s="0" t="s">
        <v>145</v>
      </c>
      <c r="AO520" s="0" t="s">
        <v>150</v>
      </c>
      <c r="AP520" s="0" t="s">
        <v>151</v>
      </c>
      <c r="AQ520" s="0" t="n">
        <v>9</v>
      </c>
      <c r="AR520" s="0" t="n">
        <v>64</v>
      </c>
      <c r="AS520" s="0" t="n">
        <v>32</v>
      </c>
      <c r="AU520" s="0" t="n">
        <f aca="false">COUNTA($BA$36:$EH$36)</f>
        <v>4</v>
      </c>
      <c r="AV520" s="0" t="n">
        <f aca="false">COUNTIF($BA$36:$EH$36,"D")</f>
        <v>0</v>
      </c>
      <c r="AW520" s="0" t="n">
        <f aca="false">COUNTIF($BA$36:$EH$36,"R")</f>
        <v>1</v>
      </c>
      <c r="AX520" s="0" t="n">
        <f aca="false">IF(BN520="D",1,0)+IF(BO520="D",1,0)+IF(BT520="D",1,0)+IF(BU520="D",1,0)+IF(BW520="D",1,0)+IF(CC520="D",1,0)+IF(CD520="D",1,0)+IF(CE520="D",1,0)+IF(CF520="D",1,0)+IF(CL520="D",1,0)+IF(CM520="D",1,0)+IF(CQ520="D",1,0)+IF(CR520="D",1,0)+IF(CS520="D",1,0)+IF(CW520="D",1,0)+IF(CX520="D",1,0)+IF(DD520="D",1,0)+IF(DE520="D",1,0)+IF(DJ520="D",1,0)+IF(DK520="D",1,0)+IF(DO520="D",1,0)+IF(DP520="D",1,0)+IF(DQ520="D",1,0)+IF(DW520="D",1,0)+IF(DZ520="D",1,0)+IF(EH520="D",1,0)</f>
        <v>0</v>
      </c>
      <c r="AY520" s="0" t="n">
        <f aca="false">COUNTIF(DU520:EH520, "&lt;&gt;")</f>
        <v>0</v>
      </c>
      <c r="AZ520" s="0" t="n">
        <f aca="false">IF(EH520&lt;&gt;"",1,0)</f>
        <v>0</v>
      </c>
      <c r="BB520" s="0" t="s">
        <v>152</v>
      </c>
      <c r="BY520" s="0" t="s">
        <v>175</v>
      </c>
      <c r="CA520" s="0" t="s">
        <v>153</v>
      </c>
    </row>
    <row r="521" customFormat="false" ht="13.8" hidden="true" customHeight="false" outlineLevel="0" collapsed="false">
      <c r="A521" s="0" t="s">
        <v>2778</v>
      </c>
      <c r="B521" s="0" t="n">
        <v>78</v>
      </c>
      <c r="C521" s="0" t="n">
        <v>486056</v>
      </c>
      <c r="D521" s="0" t="s">
        <v>2779</v>
      </c>
      <c r="E521" s="0" t="s">
        <v>275</v>
      </c>
      <c r="F521" s="0" t="str">
        <f aca="false">CONCATENATE(D521," ",LEFT(H521,4),"T=",AU521,"D=",AV521,"R=",AW521,"M=",AX521,"L=",AY521,"B=",AZ521)</f>
        <v>LEWERENZ T=7D=0R=0M=0L=0B=0</v>
      </c>
      <c r="G521" s="0" t="s">
        <v>261</v>
      </c>
      <c r="I521" s="0" t="s">
        <v>2780</v>
      </c>
      <c r="J521" s="0" t="s">
        <v>2781</v>
      </c>
      <c r="K521" s="0" t="s">
        <v>160</v>
      </c>
      <c r="M521" s="0" t="s">
        <v>2777</v>
      </c>
      <c r="N521" s="0" t="str">
        <f aca="false">RIGHT(M521,LEN(M521)-FIND(" ",M521))</f>
        <v>E MARKET ST</v>
      </c>
      <c r="P521" s="0" t="s">
        <v>145</v>
      </c>
      <c r="Q521" s="0" t="s">
        <v>146</v>
      </c>
      <c r="R521" s="0" t="n">
        <v>44483</v>
      </c>
      <c r="AD521" s="0" t="s">
        <v>147</v>
      </c>
      <c r="AE521" s="0" t="s">
        <v>148</v>
      </c>
      <c r="AF521" s="0" t="s">
        <v>149</v>
      </c>
      <c r="AH521" s="0" t="n">
        <v>14</v>
      </c>
      <c r="AI521" s="0" t="n">
        <v>11</v>
      </c>
      <c r="AN521" s="0" t="s">
        <v>145</v>
      </c>
      <c r="AO521" s="0" t="s">
        <v>150</v>
      </c>
      <c r="AP521" s="0" t="s">
        <v>151</v>
      </c>
      <c r="AQ521" s="0" t="n">
        <v>9</v>
      </c>
      <c r="AR521" s="0" t="n">
        <v>64</v>
      </c>
      <c r="AS521" s="0" t="n">
        <v>32</v>
      </c>
      <c r="AU521" s="0" t="n">
        <f aca="false">COUNTA($BA$303:$EH$303)</f>
        <v>7</v>
      </c>
      <c r="AV521" s="0" t="n">
        <f aca="false">COUNTIF($BA$303:$EH$303,"D")</f>
        <v>0</v>
      </c>
      <c r="AW521" s="0" t="n">
        <f aca="false">COUNTIF($BA$303:$EH$303,"R")</f>
        <v>0</v>
      </c>
      <c r="AX521" s="0" t="n">
        <f aca="false">IF(BN521="D",1,0)+IF(BO521="D",1,0)+IF(BT521="D",1,0)+IF(BU521="D",1,0)+IF(BW521="D",1,0)+IF(CC521="D",1,0)+IF(CD521="D",1,0)+IF(CE521="D",1,0)+IF(CF521="D",1,0)+IF(CL521="D",1,0)+IF(CM521="D",1,0)+IF(CQ521="D",1,0)+IF(CR521="D",1,0)+IF(CS521="D",1,0)+IF(CW521="D",1,0)+IF(CX521="D",1,0)+IF(DD521="D",1,0)+IF(DE521="D",1,0)+IF(DJ521="D",1,0)+IF(DK521="D",1,0)+IF(DO521="D",1,0)+IF(DP521="D",1,0)+IF(DQ521="D",1,0)+IF(DW521="D",1,0)+IF(DZ521="D",1,0)+IF(EH521="D",1,0)</f>
        <v>0</v>
      </c>
      <c r="AY521" s="0" t="n">
        <f aca="false">COUNTIF(DU521:EH521, "&lt;&gt;")</f>
        <v>0</v>
      </c>
      <c r="AZ521" s="0" t="n">
        <f aca="false">IF(EH521&lt;&gt;"",1,0)</f>
        <v>0</v>
      </c>
      <c r="BB521" s="0" t="s">
        <v>152</v>
      </c>
    </row>
    <row r="522" customFormat="false" ht="13.8" hidden="true" customHeight="false" outlineLevel="0" collapsed="false">
      <c r="A522" s="0" t="s">
        <v>2782</v>
      </c>
      <c r="B522" s="0" t="n">
        <v>78</v>
      </c>
      <c r="C522" s="0" t="n">
        <v>474674</v>
      </c>
      <c r="D522" s="0" t="s">
        <v>2254</v>
      </c>
      <c r="E522" s="0" t="s">
        <v>943</v>
      </c>
      <c r="F522" s="0" t="str">
        <f aca="false">CONCATENATE(D522," ",LEFT(H522,4),"T=",AU522,"D=",AV522,"R=",AW522,"M=",AX522,"L=",AY522,"B=",AZ522)</f>
        <v>CALDWELL JRT=4D=0R=0M=0L=1B=0</v>
      </c>
      <c r="G522" s="0" t="s">
        <v>2783</v>
      </c>
      <c r="H522" s="0" t="s">
        <v>314</v>
      </c>
      <c r="I522" s="0" t="s">
        <v>506</v>
      </c>
      <c r="J522" s="0" t="s">
        <v>2784</v>
      </c>
      <c r="K522" s="0" t="s">
        <v>160</v>
      </c>
      <c r="M522" s="0" t="s">
        <v>2777</v>
      </c>
      <c r="N522" s="0" t="str">
        <f aca="false">RIGHT(M522,LEN(M522)-FIND(" ",M522))</f>
        <v>E MARKET ST</v>
      </c>
      <c r="P522" s="0" t="s">
        <v>145</v>
      </c>
      <c r="Q522" s="0" t="s">
        <v>146</v>
      </c>
      <c r="R522" s="0" t="n">
        <v>44483</v>
      </c>
      <c r="AD522" s="0" t="s">
        <v>147</v>
      </c>
      <c r="AE522" s="0" t="s">
        <v>148</v>
      </c>
      <c r="AF522" s="0" t="s">
        <v>149</v>
      </c>
      <c r="AH522" s="0" t="n">
        <v>14</v>
      </c>
      <c r="AI522" s="0" t="n">
        <v>11</v>
      </c>
      <c r="AN522" s="0" t="s">
        <v>145</v>
      </c>
      <c r="AO522" s="0" t="s">
        <v>150</v>
      </c>
      <c r="AP522" s="0" t="s">
        <v>151</v>
      </c>
      <c r="AQ522" s="0" t="n">
        <v>9</v>
      </c>
      <c r="AR522" s="0" t="n">
        <v>64</v>
      </c>
      <c r="AS522" s="0" t="n">
        <v>32</v>
      </c>
      <c r="AU522" s="0" t="n">
        <f aca="false">COUNTA($BA$540:$EH$540)</f>
        <v>4</v>
      </c>
      <c r="AV522" s="0" t="n">
        <f aca="false">COUNTIF($BA$540:$EH$540,"D")</f>
        <v>0</v>
      </c>
      <c r="AW522" s="0" t="n">
        <f aca="false">COUNTIF($BA$540:$EH$540,"R")</f>
        <v>0</v>
      </c>
      <c r="AX522" s="0" t="n">
        <f aca="false">IF(BN522="D",1,0)+IF(BO522="D",1,0)+IF(BT522="D",1,0)+IF(BU522="D",1,0)+IF(BW522="D",1,0)+IF(CC522="D",1,0)+IF(CD522="D",1,0)+IF(CE522="D",1,0)+IF(CF522="D",1,0)+IF(CL522="D",1,0)+IF(CM522="D",1,0)+IF(CQ522="D",1,0)+IF(CR522="D",1,0)+IF(CS522="D",1,0)+IF(CW522="D",1,0)+IF(CX522="D",1,0)+IF(DD522="D",1,0)+IF(DE522="D",1,0)+IF(DJ522="D",1,0)+IF(DK522="D",1,0)+IF(DO522="D",1,0)+IF(DP522="D",1,0)+IF(DQ522="D",1,0)+IF(DW522="D",1,0)+IF(DZ522="D",1,0)+IF(EH522="D",1,0)</f>
        <v>0</v>
      </c>
      <c r="AY522" s="0" t="n">
        <f aca="false">COUNTIF(DU522:EH522, "&lt;&gt;")</f>
        <v>1</v>
      </c>
      <c r="AZ522" s="0" t="n">
        <f aca="false">IF(EH522&lt;&gt;"",1,0)</f>
        <v>0</v>
      </c>
      <c r="BB522" s="0" t="s">
        <v>152</v>
      </c>
      <c r="EF522" s="0" t="s">
        <v>153</v>
      </c>
    </row>
    <row r="523" customFormat="false" ht="13.8" hidden="true" customHeight="false" outlineLevel="0" collapsed="false">
      <c r="A523" s="0" t="s">
        <v>2785</v>
      </c>
      <c r="B523" s="0" t="n">
        <v>78</v>
      </c>
      <c r="C523" s="0" t="n">
        <v>440757</v>
      </c>
      <c r="D523" s="0" t="s">
        <v>2786</v>
      </c>
      <c r="E523" s="0" t="s">
        <v>1722</v>
      </c>
      <c r="F523" s="0" t="str">
        <f aca="false">CONCATENATE(D523," ",LEFT(H523,4),"T=",AU523,"D=",AV523,"R=",AW523,"M=",AX523,"L=",AY523,"B=",AZ523)</f>
        <v>ARELLANES T=2D=1R=0M=0L=0B=0</v>
      </c>
      <c r="G523" s="0" t="s">
        <v>307</v>
      </c>
      <c r="I523" s="0" t="s">
        <v>2787</v>
      </c>
      <c r="J523" s="0" t="s">
        <v>2788</v>
      </c>
      <c r="K523" s="0" t="s">
        <v>143</v>
      </c>
      <c r="M523" s="0" t="s">
        <v>2777</v>
      </c>
      <c r="N523" s="0" t="str">
        <f aca="false">RIGHT(M523,LEN(M523)-FIND(" ",M523))</f>
        <v>E MARKET ST</v>
      </c>
      <c r="P523" s="0" t="s">
        <v>145</v>
      </c>
      <c r="Q523" s="0" t="s">
        <v>146</v>
      </c>
      <c r="R523" s="0" t="n">
        <v>44483</v>
      </c>
      <c r="AD523" s="0" t="s">
        <v>147</v>
      </c>
      <c r="AE523" s="0" t="s">
        <v>148</v>
      </c>
      <c r="AF523" s="0" t="s">
        <v>149</v>
      </c>
      <c r="AH523" s="0" t="n">
        <v>14</v>
      </c>
      <c r="AI523" s="0" t="n">
        <v>11</v>
      </c>
      <c r="AN523" s="0" t="s">
        <v>145</v>
      </c>
      <c r="AO523" s="0" t="s">
        <v>150</v>
      </c>
      <c r="AP523" s="0" t="s">
        <v>151</v>
      </c>
      <c r="AQ523" s="0" t="n">
        <v>9</v>
      </c>
      <c r="AR523" s="0" t="n">
        <v>64</v>
      </c>
      <c r="AS523" s="0" t="n">
        <v>32</v>
      </c>
      <c r="AU523" s="0" t="n">
        <f aca="false">COUNTA($BA$790:$EH$790)</f>
        <v>2</v>
      </c>
      <c r="AV523" s="0" t="n">
        <f aca="false">COUNTIF($BA$790:$EH$790,"D")</f>
        <v>1</v>
      </c>
      <c r="AW523" s="0" t="n">
        <f aca="false">COUNTIF($BA$790:$EH$790,"R")</f>
        <v>0</v>
      </c>
      <c r="AX523" s="0" t="n">
        <f aca="false">IF(BN523="D",1,0)+IF(BO523="D",1,0)+IF(BT523="D",1,0)+IF(BU523="D",1,0)+IF(BW523="D",1,0)+IF(CC523="D",1,0)+IF(CD523="D",1,0)+IF(CE523="D",1,0)+IF(CF523="D",1,0)+IF(CL523="D",1,0)+IF(CM523="D",1,0)+IF(CQ523="D",1,0)+IF(CR523="D",1,0)+IF(CS523="D",1,0)+IF(CW523="D",1,0)+IF(CX523="D",1,0)+IF(DD523="D",1,0)+IF(DE523="D",1,0)+IF(DJ523="D",1,0)+IF(DK523="D",1,0)+IF(DO523="D",1,0)+IF(DP523="D",1,0)+IF(DQ523="D",1,0)+IF(DW523="D",1,0)+IF(DZ523="D",1,0)+IF(EH523="D",1,0)</f>
        <v>0</v>
      </c>
      <c r="AY523" s="0" t="n">
        <f aca="false">COUNTIF(DU523:EH523, "&lt;&gt;")</f>
        <v>0</v>
      </c>
      <c r="AZ523" s="0" t="n">
        <f aca="false">IF(EH523&lt;&gt;"",1,0)</f>
        <v>0</v>
      </c>
      <c r="BB523" s="0" t="s">
        <v>152</v>
      </c>
    </row>
    <row r="524" customFormat="false" ht="13.8" hidden="true" customHeight="false" outlineLevel="0" collapsed="false">
      <c r="A524" s="0" t="s">
        <v>2789</v>
      </c>
      <c r="B524" s="0" t="n">
        <v>78</v>
      </c>
      <c r="C524" s="0" t="n">
        <v>368642</v>
      </c>
      <c r="D524" s="0" t="s">
        <v>2790</v>
      </c>
      <c r="E524" s="0" t="s">
        <v>274</v>
      </c>
      <c r="F524" s="0" t="str">
        <f aca="false">CONCATENATE(D524," ",LEFT(H524,4),"T=",AU524,"D=",AV524,"R=",AW524,"M=",AX524,"L=",AY524,"B=",AZ524)</f>
        <v>MASSUCCI JRT=1D=0R=0M=0L=0B=0</v>
      </c>
      <c r="G524" s="0" t="s">
        <v>905</v>
      </c>
      <c r="H524" s="0" t="s">
        <v>314</v>
      </c>
      <c r="I524" s="0" t="s">
        <v>2046</v>
      </c>
      <c r="J524" s="0" t="s">
        <v>2791</v>
      </c>
      <c r="K524" s="0" t="s">
        <v>143</v>
      </c>
      <c r="M524" s="0" t="s">
        <v>2777</v>
      </c>
      <c r="N524" s="0" t="str">
        <f aca="false">RIGHT(M524,LEN(M524)-FIND(" ",M524))</f>
        <v>E MARKET ST</v>
      </c>
      <c r="P524" s="0" t="s">
        <v>145</v>
      </c>
      <c r="Q524" s="0" t="s">
        <v>146</v>
      </c>
      <c r="R524" s="0" t="n">
        <v>44483</v>
      </c>
      <c r="AD524" s="0" t="s">
        <v>147</v>
      </c>
      <c r="AE524" s="0" t="s">
        <v>148</v>
      </c>
      <c r="AF524" s="0" t="s">
        <v>149</v>
      </c>
      <c r="AH524" s="0" t="n">
        <v>14</v>
      </c>
      <c r="AI524" s="0" t="n">
        <v>11</v>
      </c>
      <c r="AN524" s="0" t="s">
        <v>145</v>
      </c>
      <c r="AO524" s="0" t="s">
        <v>150</v>
      </c>
      <c r="AP524" s="0" t="s">
        <v>151</v>
      </c>
      <c r="AQ524" s="0" t="n">
        <v>9</v>
      </c>
      <c r="AR524" s="0" t="n">
        <v>64</v>
      </c>
      <c r="AS524" s="0" t="n">
        <v>32</v>
      </c>
      <c r="AU524" s="0" t="n">
        <f aca="false">COUNTA($BA$952:$EH$952)</f>
        <v>1</v>
      </c>
      <c r="AV524" s="0" t="n">
        <f aca="false">COUNTIF($BA$952:$EH$952,"D")</f>
        <v>0</v>
      </c>
      <c r="AW524" s="0" t="n">
        <f aca="false">COUNTIF($BA$952:$EH$952,"R")</f>
        <v>0</v>
      </c>
      <c r="AX524" s="0" t="n">
        <f aca="false">IF(BN524="D",1,0)+IF(BO524="D",1,0)+IF(BT524="D",1,0)+IF(BU524="D",1,0)+IF(BW524="D",1,0)+IF(CC524="D",1,0)+IF(CD524="D",1,0)+IF(CE524="D",1,0)+IF(CF524="D",1,0)+IF(CL524="D",1,0)+IF(CM524="D",1,0)+IF(CQ524="D",1,0)+IF(CR524="D",1,0)+IF(CS524="D",1,0)+IF(CW524="D",1,0)+IF(CX524="D",1,0)+IF(DD524="D",1,0)+IF(DE524="D",1,0)+IF(DJ524="D",1,0)+IF(DK524="D",1,0)+IF(DO524="D",1,0)+IF(DP524="D",1,0)+IF(DQ524="D",1,0)+IF(DW524="D",1,0)+IF(DZ524="D",1,0)+IF(EH524="D",1,0)</f>
        <v>0</v>
      </c>
      <c r="AY524" s="0" t="n">
        <f aca="false">COUNTIF(DU524:EH524, "&lt;&gt;")</f>
        <v>0</v>
      </c>
      <c r="AZ524" s="0" t="n">
        <f aca="false">IF(EH524&lt;&gt;"",1,0)</f>
        <v>0</v>
      </c>
      <c r="BB524" s="0" t="s">
        <v>152</v>
      </c>
      <c r="DG524" s="0" t="s">
        <v>175</v>
      </c>
    </row>
    <row r="525" customFormat="false" ht="13.8" hidden="true" customHeight="false" outlineLevel="0" collapsed="false">
      <c r="A525" s="0" t="s">
        <v>2792</v>
      </c>
      <c r="B525" s="0" t="n">
        <v>78</v>
      </c>
      <c r="C525" s="0" t="n">
        <v>417091</v>
      </c>
      <c r="D525" s="0" t="s">
        <v>2793</v>
      </c>
      <c r="E525" s="0" t="s">
        <v>1152</v>
      </c>
      <c r="F525" s="0" t="str">
        <f aca="false">CONCATENATE(D525," ",LEFT(H525,4),"T=",AU525,"D=",AV525,"R=",AW525,"M=",AX525,"L=",AY525,"B=",AZ525)</f>
        <v>HARMON T=4D=0R=0M=0L=0B=0</v>
      </c>
      <c r="G525" s="0" t="s">
        <v>175</v>
      </c>
      <c r="I525" s="0" t="s">
        <v>2794</v>
      </c>
      <c r="J525" s="0" t="s">
        <v>2795</v>
      </c>
      <c r="K525" s="0" t="s">
        <v>143</v>
      </c>
      <c r="M525" s="0" t="s">
        <v>2777</v>
      </c>
      <c r="N525" s="0" t="str">
        <f aca="false">RIGHT(M525,LEN(M525)-FIND(" ",M525))</f>
        <v>E MARKET ST</v>
      </c>
      <c r="P525" s="0" t="s">
        <v>145</v>
      </c>
      <c r="Q525" s="0" t="s">
        <v>146</v>
      </c>
      <c r="R525" s="0" t="n">
        <v>44483</v>
      </c>
      <c r="AD525" s="0" t="s">
        <v>147</v>
      </c>
      <c r="AE525" s="0" t="s">
        <v>148</v>
      </c>
      <c r="AF525" s="0" t="s">
        <v>149</v>
      </c>
      <c r="AH525" s="0" t="n">
        <v>14</v>
      </c>
      <c r="AI525" s="0" t="n">
        <v>11</v>
      </c>
      <c r="AN525" s="0" t="s">
        <v>145</v>
      </c>
      <c r="AO525" s="0" t="s">
        <v>150</v>
      </c>
      <c r="AP525" s="0" t="s">
        <v>151</v>
      </c>
      <c r="AQ525" s="0" t="n">
        <v>9</v>
      </c>
      <c r="AR525" s="0" t="n">
        <v>64</v>
      </c>
      <c r="AS525" s="0" t="n">
        <v>32</v>
      </c>
      <c r="AU525" s="0" t="n">
        <f aca="false">COUNTA($BA$1011:$EH$1011)</f>
        <v>4</v>
      </c>
      <c r="AV525" s="0" t="n">
        <f aca="false">COUNTIF($BA$1011:$EH$1011,"D")</f>
        <v>0</v>
      </c>
      <c r="AW525" s="0" t="n">
        <f aca="false">COUNTIF($BA$1011:$EH$1011,"R")</f>
        <v>0</v>
      </c>
      <c r="AX525" s="0" t="n">
        <f aca="false">IF(BN525="D",1,0)+IF(BO525="D",1,0)+IF(BT525="D",1,0)+IF(BU525="D",1,0)+IF(BW525="D",1,0)+IF(CC525="D",1,0)+IF(CD525="D",1,0)+IF(CE525="D",1,0)+IF(CF525="D",1,0)+IF(CL525="D",1,0)+IF(CM525="D",1,0)+IF(CQ525="D",1,0)+IF(CR525="D",1,0)+IF(CS525="D",1,0)+IF(CW525="D",1,0)+IF(CX525="D",1,0)+IF(DD525="D",1,0)+IF(DE525="D",1,0)+IF(DJ525="D",1,0)+IF(DK525="D",1,0)+IF(DO525="D",1,0)+IF(DP525="D",1,0)+IF(DQ525="D",1,0)+IF(DW525="D",1,0)+IF(DZ525="D",1,0)+IF(EH525="D",1,0)</f>
        <v>0</v>
      </c>
      <c r="AY525" s="0" t="n">
        <f aca="false">COUNTIF(DU525:EH525, "&lt;&gt;")</f>
        <v>0</v>
      </c>
      <c r="AZ525" s="0" t="n">
        <f aca="false">IF(EH525&lt;&gt;"",1,0)</f>
        <v>0</v>
      </c>
      <c r="BB525" s="0" t="s">
        <v>152</v>
      </c>
      <c r="CA525" s="0" t="s">
        <v>153</v>
      </c>
    </row>
    <row r="526" customFormat="false" ht="13.8" hidden="true" customHeight="false" outlineLevel="0" collapsed="false">
      <c r="A526" s="0" t="s">
        <v>2796</v>
      </c>
      <c r="B526" s="0" t="n">
        <v>78</v>
      </c>
      <c r="C526" s="0" t="n">
        <v>404218</v>
      </c>
      <c r="D526" s="0" t="s">
        <v>2797</v>
      </c>
      <c r="E526" s="0" t="s">
        <v>2798</v>
      </c>
      <c r="F526" s="0" t="str">
        <f aca="false">CONCATENATE(D526," ",LEFT(H526,4),"T=",AU526,"D=",AV526,"R=",AW526,"M=",AX526,"L=",AY526,"B=",AZ526)</f>
        <v>APPLEQUIST T=4D=0R=0M=0L=0B=0</v>
      </c>
      <c r="G526" s="0" t="s">
        <v>164</v>
      </c>
      <c r="I526" s="0" t="s">
        <v>2799</v>
      </c>
      <c r="J526" s="0" t="s">
        <v>2800</v>
      </c>
      <c r="K526" s="0" t="s">
        <v>160</v>
      </c>
      <c r="M526" s="0" t="s">
        <v>2777</v>
      </c>
      <c r="N526" s="0" t="str">
        <f aca="false">RIGHT(M526,LEN(M526)-FIND(" ",M526))</f>
        <v>E MARKET ST</v>
      </c>
      <c r="P526" s="0" t="s">
        <v>145</v>
      </c>
      <c r="Q526" s="0" t="s">
        <v>146</v>
      </c>
      <c r="R526" s="0" t="n">
        <v>44483</v>
      </c>
      <c r="AD526" s="0" t="s">
        <v>147</v>
      </c>
      <c r="AE526" s="0" t="s">
        <v>148</v>
      </c>
      <c r="AF526" s="0" t="s">
        <v>149</v>
      </c>
      <c r="AH526" s="0" t="n">
        <v>14</v>
      </c>
      <c r="AI526" s="0" t="n">
        <v>11</v>
      </c>
      <c r="AN526" s="0" t="s">
        <v>145</v>
      </c>
      <c r="AO526" s="0" t="s">
        <v>150</v>
      </c>
      <c r="AP526" s="0" t="s">
        <v>151</v>
      </c>
      <c r="AQ526" s="0" t="n">
        <v>9</v>
      </c>
      <c r="AR526" s="0" t="n">
        <v>64</v>
      </c>
      <c r="AS526" s="0" t="n">
        <v>32</v>
      </c>
      <c r="AU526" s="0" t="n">
        <f aca="false">COUNTA($BA$1053:$EH$1053)</f>
        <v>4</v>
      </c>
      <c r="AV526" s="0" t="n">
        <f aca="false">COUNTIF($BA$1053:$EH$1053,"D")</f>
        <v>0</v>
      </c>
      <c r="AW526" s="0" t="n">
        <f aca="false">COUNTIF($BA$1053:$EH$1053,"R")</f>
        <v>0</v>
      </c>
      <c r="AX526" s="0" t="n">
        <f aca="false">IF(BN526="D",1,0)+IF(BO526="D",1,0)+IF(BT526="D",1,0)+IF(BU526="D",1,0)+IF(BW526="D",1,0)+IF(CC526="D",1,0)+IF(CD526="D",1,0)+IF(CE526="D",1,0)+IF(CF526="D",1,0)+IF(CL526="D",1,0)+IF(CM526="D",1,0)+IF(CQ526="D",1,0)+IF(CR526="D",1,0)+IF(CS526="D",1,0)+IF(CW526="D",1,0)+IF(CX526="D",1,0)+IF(DD526="D",1,0)+IF(DE526="D",1,0)+IF(DJ526="D",1,0)+IF(DK526="D",1,0)+IF(DO526="D",1,0)+IF(DP526="D",1,0)+IF(DQ526="D",1,0)+IF(DW526="D",1,0)+IF(DZ526="D",1,0)+IF(EH526="D",1,0)</f>
        <v>0</v>
      </c>
      <c r="AY526" s="0" t="n">
        <f aca="false">COUNTIF(DU526:EH526, "&lt;&gt;")</f>
        <v>0</v>
      </c>
      <c r="AZ526" s="0" t="n">
        <f aca="false">IF(EH526&lt;&gt;"",1,0)</f>
        <v>0</v>
      </c>
      <c r="BB526" s="0" t="s">
        <v>152</v>
      </c>
      <c r="DC526" s="0" t="s">
        <v>153</v>
      </c>
    </row>
    <row r="527" customFormat="false" ht="13.8" hidden="true" customHeight="false" outlineLevel="0" collapsed="false">
      <c r="A527" s="0" t="s">
        <v>2801</v>
      </c>
      <c r="B527" s="0" t="n">
        <v>78</v>
      </c>
      <c r="C527" s="0" t="n">
        <v>496090</v>
      </c>
      <c r="D527" s="0" t="s">
        <v>2802</v>
      </c>
      <c r="E527" s="0" t="s">
        <v>2040</v>
      </c>
      <c r="F527" s="0" t="str">
        <f aca="false">CONCATENATE(D527," ",LEFT(H527,4),"T=",AU527,"D=",AV527,"R=",AW527,"M=",AX527,"L=",AY527,"B=",AZ527)</f>
        <v>HOWLEY T=24D=8R=0M=0L=0B=0</v>
      </c>
      <c r="G527" s="0" t="s">
        <v>215</v>
      </c>
      <c r="I527" s="0" t="s">
        <v>2803</v>
      </c>
      <c r="J527" s="0" t="s">
        <v>2804</v>
      </c>
      <c r="K527" s="0" t="s">
        <v>160</v>
      </c>
      <c r="M527" s="0" t="s">
        <v>2805</v>
      </c>
      <c r="N527" s="0" t="str">
        <f aca="false">RIGHT(M527,LEN(M527)-FIND(" ",M527))</f>
        <v>E MARKET ST</v>
      </c>
      <c r="P527" s="0" t="s">
        <v>145</v>
      </c>
      <c r="Q527" s="0" t="s">
        <v>146</v>
      </c>
      <c r="R527" s="0" t="n">
        <v>44483</v>
      </c>
      <c r="AD527" s="0" t="s">
        <v>147</v>
      </c>
      <c r="AE527" s="0" t="s">
        <v>148</v>
      </c>
      <c r="AF527" s="0" t="s">
        <v>149</v>
      </c>
      <c r="AH527" s="0" t="n">
        <v>14</v>
      </c>
      <c r="AI527" s="0" t="n">
        <v>11</v>
      </c>
      <c r="AN527" s="0" t="s">
        <v>145</v>
      </c>
      <c r="AO527" s="0" t="s">
        <v>150</v>
      </c>
      <c r="AP527" s="0" t="s">
        <v>151</v>
      </c>
      <c r="AQ527" s="0" t="n">
        <v>9</v>
      </c>
      <c r="AR527" s="0" t="n">
        <v>64</v>
      </c>
      <c r="AS527" s="0" t="n">
        <v>32</v>
      </c>
      <c r="AU527" s="0" t="n">
        <f aca="false">COUNTA($BA$31:$EH$31)</f>
        <v>24</v>
      </c>
      <c r="AV527" s="0" t="n">
        <f aca="false">COUNTIF($BA$31:$EH$31,"D")</f>
        <v>8</v>
      </c>
      <c r="AW527" s="0" t="n">
        <f aca="false">COUNTIF($BA$31:$EH$31,"R")</f>
        <v>0</v>
      </c>
      <c r="AX527" s="0" t="n">
        <f aca="false">IF(BN527="D",1,0)+IF(BO527="D",1,0)+IF(BT527="D",1,0)+IF(BU527="D",1,0)+IF(BW527="D",1,0)+IF(CC527="D",1,0)+IF(CD527="D",1,0)+IF(CE527="D",1,0)+IF(CF527="D",1,0)+IF(CL527="D",1,0)+IF(CM527="D",1,0)+IF(CQ527="D",1,0)+IF(CR527="D",1,0)+IF(CS527="D",1,0)+IF(CW527="D",1,0)+IF(CX527="D",1,0)+IF(DD527="D",1,0)+IF(DE527="D",1,0)+IF(DJ527="D",1,0)+IF(DK527="D",1,0)+IF(DO527="D",1,0)+IF(DP527="D",1,0)+IF(DQ527="D",1,0)+IF(DW527="D",1,0)+IF(DZ527="D",1,0)+IF(EH527="D",1,0)</f>
        <v>0</v>
      </c>
      <c r="AY527" s="0" t="n">
        <f aca="false">COUNTIF(DU527:EH527, "&lt;&gt;")</f>
        <v>0</v>
      </c>
      <c r="AZ527" s="0" t="n">
        <f aca="false">IF(EH527&lt;&gt;"",1,0)</f>
        <v>0</v>
      </c>
      <c r="BB527" s="0" t="s">
        <v>152</v>
      </c>
    </row>
    <row r="528" customFormat="false" ht="13.8" hidden="true" customHeight="false" outlineLevel="0" collapsed="false">
      <c r="A528" s="0" t="s">
        <v>2806</v>
      </c>
      <c r="B528" s="0" t="n">
        <v>78</v>
      </c>
      <c r="C528" s="0" t="n">
        <v>105822</v>
      </c>
      <c r="D528" s="0" t="s">
        <v>2807</v>
      </c>
      <c r="E528" s="0" t="s">
        <v>615</v>
      </c>
      <c r="F528" s="0" t="str">
        <f aca="false">CONCATENATE(D528," ",LEFT(H528,4),"T=",AU528,"D=",AV528,"R=",AW528,"M=",AX528,"L=",AY528,"B=",AZ528)</f>
        <v>COHOL T=8D=0R=0M=1L=0B=0</v>
      </c>
      <c r="G528" s="0" t="s">
        <v>190</v>
      </c>
      <c r="I528" s="0" t="s">
        <v>2808</v>
      </c>
      <c r="J528" s="0" t="s">
        <v>2809</v>
      </c>
      <c r="K528" s="0" t="s">
        <v>160</v>
      </c>
      <c r="M528" s="0" t="s">
        <v>2810</v>
      </c>
      <c r="N528" s="0" t="str">
        <f aca="false">RIGHT(M528,LEN(M528)-FIND(" ",M528))</f>
        <v>E MARKET ST</v>
      </c>
      <c r="O528" s="0" t="s">
        <v>2811</v>
      </c>
      <c r="P528" s="0" t="s">
        <v>145</v>
      </c>
      <c r="Q528" s="0" t="s">
        <v>146</v>
      </c>
      <c r="R528" s="0" t="n">
        <v>44481</v>
      </c>
      <c r="AD528" s="0" t="s">
        <v>147</v>
      </c>
      <c r="AE528" s="0" t="s">
        <v>148</v>
      </c>
      <c r="AF528" s="0" t="s">
        <v>149</v>
      </c>
      <c r="AH528" s="0" t="n">
        <v>14</v>
      </c>
      <c r="AI528" s="0" t="n">
        <v>11</v>
      </c>
      <c r="AN528" s="0" t="s">
        <v>145</v>
      </c>
      <c r="AO528" s="0" t="s">
        <v>654</v>
      </c>
      <c r="AP528" s="0" t="s">
        <v>655</v>
      </c>
      <c r="AQ528" s="0" t="n">
        <v>9</v>
      </c>
      <c r="AR528" s="0" t="n">
        <v>64</v>
      </c>
      <c r="AS528" s="0" t="n">
        <v>32</v>
      </c>
      <c r="AU528" s="0" t="n">
        <f aca="false">COUNTA($BA$1282:$EH$1282)</f>
        <v>8</v>
      </c>
      <c r="AV528" s="0" t="n">
        <f aca="false">COUNTIF($BA$1282:$EH$1282,"D")</f>
        <v>0</v>
      </c>
      <c r="AW528" s="0" t="n">
        <f aca="false">COUNTIF($BA$1282:$EH$1282,"R")</f>
        <v>0</v>
      </c>
      <c r="AX528" s="0" t="n">
        <f aca="false">IF(BN528="D",1,0)+IF(BO528="D",1,0)+IF(BT528="D",1,0)+IF(BU528="D",1,0)+IF(BW528="D",1,0)+IF(CC528="D",1,0)+IF(CD528="D",1,0)+IF(CE528="D",1,0)+IF(CF528="D",1,0)+IF(CL528="D",1,0)+IF(CM528="D",1,0)+IF(CQ528="D",1,0)+IF(CR528="D",1,0)+IF(CS528="D",1,0)+IF(CW528="D",1,0)+IF(CX528="D",1,0)+IF(DD528="D",1,0)+IF(DE528="D",1,0)+IF(DJ528="D",1,0)+IF(DK528="D",1,0)+IF(DO528="D",1,0)+IF(DP528="D",1,0)+IF(DQ528="D",1,0)+IF(DW528="D",1,0)+IF(DZ528="D",1,0)+IF(EH528="D",1,0)</f>
        <v>1</v>
      </c>
      <c r="AY528" s="0" t="n">
        <f aca="false">COUNTIF(DU528:EH528, "&lt;&gt;")</f>
        <v>0</v>
      </c>
      <c r="AZ528" s="0" t="n">
        <f aca="false">IF(EH528&lt;&gt;"",1,0)</f>
        <v>0</v>
      </c>
      <c r="BB528" s="0" t="s">
        <v>152</v>
      </c>
      <c r="BD528" s="0" t="s">
        <v>153</v>
      </c>
      <c r="BF528" s="0" t="s">
        <v>153</v>
      </c>
      <c r="BH528" s="0" t="s">
        <v>153</v>
      </c>
      <c r="BI528" s="0" t="s">
        <v>153</v>
      </c>
      <c r="BK528" s="0" t="s">
        <v>153</v>
      </c>
      <c r="BL528" s="0" t="s">
        <v>153</v>
      </c>
      <c r="BP528" s="0" t="s">
        <v>153</v>
      </c>
      <c r="BS528" s="0" t="s">
        <v>153</v>
      </c>
      <c r="BV528" s="0" t="s">
        <v>153</v>
      </c>
      <c r="BY528" s="0" t="s">
        <v>175</v>
      </c>
      <c r="CA528" s="0" t="s">
        <v>153</v>
      </c>
      <c r="CC528" s="0" t="s">
        <v>153</v>
      </c>
      <c r="CG528" s="0" t="s">
        <v>153</v>
      </c>
      <c r="CH528" s="0" t="s">
        <v>175</v>
      </c>
      <c r="CK528" s="0" t="s">
        <v>153</v>
      </c>
      <c r="CL528" s="0" t="s">
        <v>175</v>
      </c>
      <c r="CN528" s="0" t="s">
        <v>153</v>
      </c>
      <c r="CO528" s="0" t="s">
        <v>175</v>
      </c>
      <c r="CP528" s="0" t="s">
        <v>153</v>
      </c>
      <c r="CT528" s="0" t="s">
        <v>153</v>
      </c>
      <c r="CU528" s="0" t="s">
        <v>175</v>
      </c>
      <c r="CV528" s="0" t="s">
        <v>153</v>
      </c>
      <c r="CY528" s="0" t="s">
        <v>153</v>
      </c>
      <c r="CZ528" s="0" t="s">
        <v>209</v>
      </c>
      <c r="DC528" s="0" t="s">
        <v>153</v>
      </c>
      <c r="DF528" s="0" t="s">
        <v>153</v>
      </c>
      <c r="DI528" s="0" t="s">
        <v>153</v>
      </c>
      <c r="DL528" s="0" t="s">
        <v>153</v>
      </c>
      <c r="DN528" s="0" t="s">
        <v>153</v>
      </c>
      <c r="DO528" s="0" t="s">
        <v>153</v>
      </c>
    </row>
    <row r="529" customFormat="false" ht="13.8" hidden="true" customHeight="false" outlineLevel="0" collapsed="false">
      <c r="A529" s="0" t="s">
        <v>2812</v>
      </c>
      <c r="B529" s="0" t="n">
        <v>78</v>
      </c>
      <c r="C529" s="0" t="n">
        <v>102438</v>
      </c>
      <c r="D529" s="0" t="s">
        <v>2813</v>
      </c>
      <c r="E529" s="0" t="s">
        <v>2814</v>
      </c>
      <c r="F529" s="0" t="str">
        <f aca="false">CONCATENATE(D529," ",LEFT(H529,4),"T=",AU529,"D=",AV529,"R=",AW529,"M=",AX529,"L=",AY529,"B=",AZ529)</f>
        <v>VIROSTEK T=1D=0R=0M=1L=0B=0</v>
      </c>
      <c r="G529" s="0" t="s">
        <v>171</v>
      </c>
      <c r="I529" s="0" t="s">
        <v>2815</v>
      </c>
      <c r="J529" s="0" t="s">
        <v>2816</v>
      </c>
      <c r="K529" s="0" t="s">
        <v>143</v>
      </c>
      <c r="M529" s="0" t="s">
        <v>2810</v>
      </c>
      <c r="N529" s="0" t="str">
        <f aca="false">RIGHT(M529,LEN(M529)-FIND(" ",M529))</f>
        <v>E MARKET ST</v>
      </c>
      <c r="O529" s="0" t="s">
        <v>2811</v>
      </c>
      <c r="P529" s="0" t="s">
        <v>145</v>
      </c>
      <c r="Q529" s="0" t="s">
        <v>146</v>
      </c>
      <c r="R529" s="0" t="n">
        <v>44481</v>
      </c>
      <c r="AD529" s="0" t="s">
        <v>147</v>
      </c>
      <c r="AE529" s="0" t="s">
        <v>148</v>
      </c>
      <c r="AF529" s="0" t="s">
        <v>149</v>
      </c>
      <c r="AH529" s="0" t="n">
        <v>14</v>
      </c>
      <c r="AI529" s="0" t="n">
        <v>11</v>
      </c>
      <c r="AN529" s="0" t="s">
        <v>145</v>
      </c>
      <c r="AO529" s="0" t="s">
        <v>654</v>
      </c>
      <c r="AP529" s="0" t="s">
        <v>655</v>
      </c>
      <c r="AQ529" s="0" t="n">
        <v>9</v>
      </c>
      <c r="AR529" s="0" t="n">
        <v>64</v>
      </c>
      <c r="AS529" s="0" t="n">
        <v>32</v>
      </c>
      <c r="AU529" s="0" t="n">
        <f aca="false">COUNTA($BA$1390:$EH$1390)</f>
        <v>1</v>
      </c>
      <c r="AV529" s="0" t="n">
        <f aca="false">COUNTIF($BA$1390:$EH$1390,"D")</f>
        <v>0</v>
      </c>
      <c r="AW529" s="0" t="n">
        <f aca="false">COUNTIF($BA$1390:$EH$1390,"R")</f>
        <v>0</v>
      </c>
      <c r="AX529" s="0" t="n">
        <f aca="false">IF(BN529="D",1,0)+IF(BO529="D",1,0)+IF(BT529="D",1,0)+IF(BU529="D",1,0)+IF(BW529="D",1,0)+IF(CC529="D",1,0)+IF(CD529="D",1,0)+IF(CE529="D",1,0)+IF(CF529="D",1,0)+IF(CL529="D",1,0)+IF(CM529="D",1,0)+IF(CQ529="D",1,0)+IF(CR529="D",1,0)+IF(CS529="D",1,0)+IF(CW529="D",1,0)+IF(CX529="D",1,0)+IF(DD529="D",1,0)+IF(DE529="D",1,0)+IF(DJ529="D",1,0)+IF(DK529="D",1,0)+IF(DO529="D",1,0)+IF(DP529="D",1,0)+IF(DQ529="D",1,0)+IF(DW529="D",1,0)+IF(DZ529="D",1,0)+IF(EH529="D",1,0)</f>
        <v>1</v>
      </c>
      <c r="AY529" s="0" t="n">
        <f aca="false">COUNTIF(DU529:EH529, "&lt;&gt;")</f>
        <v>0</v>
      </c>
      <c r="AZ529" s="0" t="n">
        <f aca="false">IF(EH529&lt;&gt;"",1,0)</f>
        <v>0</v>
      </c>
      <c r="BB529" s="0" t="s">
        <v>152</v>
      </c>
      <c r="BL529" s="0" t="s">
        <v>153</v>
      </c>
      <c r="BP529" s="0" t="s">
        <v>153</v>
      </c>
      <c r="BY529" s="0" t="s">
        <v>175</v>
      </c>
      <c r="CA529" s="0" t="s">
        <v>153</v>
      </c>
      <c r="CC529" s="0" t="s">
        <v>153</v>
      </c>
      <c r="CG529" s="0" t="s">
        <v>153</v>
      </c>
      <c r="CH529" s="0" t="s">
        <v>175</v>
      </c>
      <c r="CK529" s="0" t="s">
        <v>153</v>
      </c>
      <c r="CL529" s="0" t="s">
        <v>175</v>
      </c>
      <c r="CN529" s="0" t="s">
        <v>153</v>
      </c>
      <c r="CP529" s="0" t="s">
        <v>153</v>
      </c>
      <c r="CT529" s="0" t="s">
        <v>153</v>
      </c>
      <c r="CU529" s="0" t="s">
        <v>175</v>
      </c>
      <c r="CV529" s="0" t="s">
        <v>153</v>
      </c>
      <c r="CW529" s="0" t="s">
        <v>153</v>
      </c>
      <c r="CY529" s="0" t="s">
        <v>153</v>
      </c>
      <c r="CZ529" s="0" t="s">
        <v>175</v>
      </c>
      <c r="DC529" s="0" t="s">
        <v>153</v>
      </c>
      <c r="DF529" s="0" t="s">
        <v>153</v>
      </c>
      <c r="DG529" s="0" t="s">
        <v>175</v>
      </c>
      <c r="DI529" s="0" t="s">
        <v>153</v>
      </c>
    </row>
    <row r="530" customFormat="false" ht="13.8" hidden="true" customHeight="false" outlineLevel="0" collapsed="false">
      <c r="A530" s="0" t="s">
        <v>2817</v>
      </c>
      <c r="B530" s="0" t="n">
        <v>78</v>
      </c>
      <c r="C530" s="0" t="n">
        <v>58892</v>
      </c>
      <c r="D530" s="0" t="s">
        <v>2818</v>
      </c>
      <c r="E530" s="0" t="s">
        <v>2819</v>
      </c>
      <c r="F530" s="0" t="str">
        <f aca="false">CONCATENATE(D530," ",LEFT(H530,4),"T=",AU530,"D=",AV530,"R=",AW530,"M=",AX530,"L=",AY530,"B=",AZ530)</f>
        <v>TYMOCHKO T=14D=2R=0M=0L=0B=0</v>
      </c>
      <c r="I530" s="0" t="s">
        <v>2820</v>
      </c>
      <c r="J530" s="0" t="s">
        <v>386</v>
      </c>
      <c r="K530" s="0" t="s">
        <v>160</v>
      </c>
      <c r="M530" s="0" t="s">
        <v>2810</v>
      </c>
      <c r="N530" s="0" t="str">
        <f aca="false">RIGHT(M530,LEN(M530)-FIND(" ",M530))</f>
        <v>E MARKET ST</v>
      </c>
      <c r="O530" s="0" t="s">
        <v>2811</v>
      </c>
      <c r="P530" s="0" t="s">
        <v>145</v>
      </c>
      <c r="Q530" s="0" t="s">
        <v>146</v>
      </c>
      <c r="R530" s="0" t="n">
        <v>44481</v>
      </c>
      <c r="AD530" s="0" t="s">
        <v>147</v>
      </c>
      <c r="AE530" s="0" t="s">
        <v>148</v>
      </c>
      <c r="AF530" s="0" t="s">
        <v>149</v>
      </c>
      <c r="AH530" s="0" t="n">
        <v>14</v>
      </c>
      <c r="AI530" s="0" t="n">
        <v>11</v>
      </c>
      <c r="AN530" s="0" t="s">
        <v>145</v>
      </c>
      <c r="AO530" s="0" t="s">
        <v>654</v>
      </c>
      <c r="AP530" s="0" t="s">
        <v>655</v>
      </c>
      <c r="AQ530" s="0" t="n">
        <v>9</v>
      </c>
      <c r="AR530" s="0" t="n">
        <v>64</v>
      </c>
      <c r="AS530" s="0" t="n">
        <v>32</v>
      </c>
      <c r="AU530" s="0" t="n">
        <f aca="false">COUNTA($BA$1401:$EH$1401)</f>
        <v>14</v>
      </c>
      <c r="AV530" s="0" t="n">
        <f aca="false">COUNTIF($BA$1401:$EH$1401,"D")</f>
        <v>2</v>
      </c>
      <c r="AW530" s="0" t="n">
        <f aca="false">COUNTIF($BA$1401:$EH$1401,"R")</f>
        <v>0</v>
      </c>
      <c r="AX530" s="0" t="n">
        <f aca="false">IF(BN530="D",1,0)+IF(BO530="D",1,0)+IF(BT530="D",1,0)+IF(BU530="D",1,0)+IF(BW530="D",1,0)+IF(CC530="D",1,0)+IF(CD530="D",1,0)+IF(CE530="D",1,0)+IF(CF530="D",1,0)+IF(CL530="D",1,0)+IF(CM530="D",1,0)+IF(CQ530="D",1,0)+IF(CR530="D",1,0)+IF(CS530="D",1,0)+IF(CW530="D",1,0)+IF(CX530="D",1,0)+IF(DD530="D",1,0)+IF(DE530="D",1,0)+IF(DJ530="D",1,0)+IF(DK530="D",1,0)+IF(DO530="D",1,0)+IF(DP530="D",1,0)+IF(DQ530="D",1,0)+IF(DW530="D",1,0)+IF(DZ530="D",1,0)+IF(EH530="D",1,0)</f>
        <v>0</v>
      </c>
      <c r="AY530" s="0" t="n">
        <f aca="false">COUNTIF(DU530:EH530, "&lt;&gt;")</f>
        <v>0</v>
      </c>
      <c r="AZ530" s="0" t="n">
        <f aca="false">IF(EH530&lt;&gt;"",1,0)</f>
        <v>0</v>
      </c>
      <c r="BB530" s="0" t="s">
        <v>152</v>
      </c>
      <c r="BC530" s="0" t="s">
        <v>153</v>
      </c>
      <c r="BD530" s="0" t="s">
        <v>153</v>
      </c>
      <c r="BH530" s="0" t="s">
        <v>153</v>
      </c>
      <c r="BL530" s="0" t="s">
        <v>153</v>
      </c>
      <c r="BS530" s="0" t="s">
        <v>153</v>
      </c>
      <c r="CA530" s="0" t="s">
        <v>153</v>
      </c>
      <c r="CK530" s="0" t="s">
        <v>153</v>
      </c>
      <c r="CP530" s="0" t="s">
        <v>153</v>
      </c>
      <c r="DC530" s="0" t="s">
        <v>153</v>
      </c>
      <c r="DN530" s="0" t="s">
        <v>153</v>
      </c>
    </row>
    <row r="531" customFormat="false" ht="13.8" hidden="true" customHeight="false" outlineLevel="0" collapsed="false">
      <c r="A531" s="0" t="s">
        <v>2821</v>
      </c>
      <c r="B531" s="0" t="n">
        <v>78</v>
      </c>
      <c r="C531" s="0" t="n">
        <v>168855</v>
      </c>
      <c r="D531" s="0" t="s">
        <v>2822</v>
      </c>
      <c r="E531" s="0" t="s">
        <v>1823</v>
      </c>
      <c r="F531" s="0" t="str">
        <f aca="false">CONCATENATE(D531," ",LEFT(H531,4),"T=",AU531,"D=",AV531,"R=",AW531,"M=",AX531,"L=",AY531,"B=",AZ531)</f>
        <v>RENNINGER T=3D=1R=0M=0L=0B=0</v>
      </c>
      <c r="G531" s="0" t="s">
        <v>164</v>
      </c>
      <c r="I531" s="0" t="s">
        <v>2823</v>
      </c>
      <c r="J531" s="0" t="s">
        <v>2824</v>
      </c>
      <c r="K531" s="0" t="s">
        <v>143</v>
      </c>
      <c r="M531" s="0" t="s">
        <v>2810</v>
      </c>
      <c r="N531" s="0" t="str">
        <f aca="false">RIGHT(M531,LEN(M531)-FIND(" ",M531))</f>
        <v>E MARKET ST</v>
      </c>
      <c r="O531" s="0" t="s">
        <v>2811</v>
      </c>
      <c r="P531" s="0" t="s">
        <v>145</v>
      </c>
      <c r="Q531" s="0" t="s">
        <v>146</v>
      </c>
      <c r="R531" s="0" t="n">
        <v>44481</v>
      </c>
      <c r="AD531" s="0" t="s">
        <v>147</v>
      </c>
      <c r="AE531" s="0" t="s">
        <v>148</v>
      </c>
      <c r="AF531" s="0" t="s">
        <v>149</v>
      </c>
      <c r="AH531" s="0" t="n">
        <v>14</v>
      </c>
      <c r="AI531" s="0" t="n">
        <v>11</v>
      </c>
      <c r="AN531" s="0" t="s">
        <v>145</v>
      </c>
      <c r="AO531" s="0" t="s">
        <v>654</v>
      </c>
      <c r="AP531" s="0" t="s">
        <v>655</v>
      </c>
      <c r="AQ531" s="0" t="n">
        <v>9</v>
      </c>
      <c r="AR531" s="0" t="n">
        <v>64</v>
      </c>
      <c r="AS531" s="0" t="n">
        <v>32</v>
      </c>
      <c r="AU531" s="0" t="n">
        <f aca="false">COUNTA($BA$1573:$EH$1573)</f>
        <v>3</v>
      </c>
      <c r="AV531" s="0" t="n">
        <f aca="false">COUNTIF($BA$1573:$EH$1573,"D")</f>
        <v>1</v>
      </c>
      <c r="AW531" s="0" t="n">
        <f aca="false">COUNTIF($BA$1573:$EH$1573,"R")</f>
        <v>0</v>
      </c>
      <c r="AX531" s="0" t="n">
        <f aca="false">IF(BN531="D",1,0)+IF(BO531="D",1,0)+IF(BT531="D",1,0)+IF(BU531="D",1,0)+IF(BW531="D",1,0)+IF(CC531="D",1,0)+IF(CD531="D",1,0)+IF(CE531="D",1,0)+IF(CF531="D",1,0)+IF(CL531="D",1,0)+IF(CM531="D",1,0)+IF(CQ531="D",1,0)+IF(CR531="D",1,0)+IF(CS531="D",1,0)+IF(CW531="D",1,0)+IF(CX531="D",1,0)+IF(DD531="D",1,0)+IF(DE531="D",1,0)+IF(DJ531="D",1,0)+IF(DK531="D",1,0)+IF(DO531="D",1,0)+IF(DP531="D",1,0)+IF(DQ531="D",1,0)+IF(DW531="D",1,0)+IF(DZ531="D",1,0)+IF(EH531="D",1,0)</f>
        <v>0</v>
      </c>
      <c r="AY531" s="0" t="n">
        <f aca="false">COUNTIF(DU531:EH531, "&lt;&gt;")</f>
        <v>0</v>
      </c>
      <c r="AZ531" s="0" t="n">
        <f aca="false">IF(EH531&lt;&gt;"",1,0)</f>
        <v>0</v>
      </c>
      <c r="BB531" s="0" t="s">
        <v>152</v>
      </c>
      <c r="BC531" s="0" t="s">
        <v>153</v>
      </c>
      <c r="BD531" s="0" t="s">
        <v>153</v>
      </c>
      <c r="BF531" s="0" t="s">
        <v>153</v>
      </c>
      <c r="BG531" s="0" t="s">
        <v>153</v>
      </c>
      <c r="BH531" s="0" t="s">
        <v>153</v>
      </c>
      <c r="BI531" s="0" t="s">
        <v>153</v>
      </c>
      <c r="BJ531" s="0" t="s">
        <v>153</v>
      </c>
      <c r="BK531" s="0" t="s">
        <v>153</v>
      </c>
      <c r="BL531" s="0" t="s">
        <v>153</v>
      </c>
      <c r="BP531" s="0" t="s">
        <v>153</v>
      </c>
      <c r="BR531" s="0" t="s">
        <v>153</v>
      </c>
      <c r="BS531" s="0" t="s">
        <v>153</v>
      </c>
      <c r="BV531" s="0" t="s">
        <v>153</v>
      </c>
      <c r="BY531" s="0" t="s">
        <v>175</v>
      </c>
      <c r="CA531" s="0" t="s">
        <v>153</v>
      </c>
      <c r="CG531" s="0" t="s">
        <v>153</v>
      </c>
      <c r="CH531" s="0" t="s">
        <v>175</v>
      </c>
      <c r="CK531" s="0" t="s">
        <v>153</v>
      </c>
      <c r="CN531" s="0" t="s">
        <v>153</v>
      </c>
      <c r="CO531" s="0" t="s">
        <v>175</v>
      </c>
      <c r="CP531" s="0" t="s">
        <v>153</v>
      </c>
      <c r="CT531" s="0" t="s">
        <v>153</v>
      </c>
      <c r="CU531" s="0" t="s">
        <v>175</v>
      </c>
      <c r="CV531" s="0" t="s">
        <v>153</v>
      </c>
      <c r="CY531" s="0" t="s">
        <v>153</v>
      </c>
      <c r="DC531" s="0" t="s">
        <v>153</v>
      </c>
    </row>
    <row r="532" customFormat="false" ht="13.8" hidden="true" customHeight="false" outlineLevel="0" collapsed="false">
      <c r="A532" s="0" t="s">
        <v>2825</v>
      </c>
      <c r="B532" s="0" t="n">
        <v>78</v>
      </c>
      <c r="C532" s="0" t="n">
        <v>256220</v>
      </c>
      <c r="D532" s="0" t="s">
        <v>2826</v>
      </c>
      <c r="E532" s="0" t="s">
        <v>2827</v>
      </c>
      <c r="F532" s="0" t="str">
        <f aca="false">CONCATENATE(D532," ",LEFT(H532,4),"T=",AU532,"D=",AV532,"R=",AW532,"M=",AX532,"L=",AY532,"B=",AZ532)</f>
        <v>LAWRENCE T=1D=0R=0M=4L=0B=0</v>
      </c>
      <c r="G532" s="0" t="s">
        <v>195</v>
      </c>
      <c r="I532" s="0" t="s">
        <v>2828</v>
      </c>
      <c r="J532" s="0" t="s">
        <v>2829</v>
      </c>
      <c r="K532" s="0" t="s">
        <v>160</v>
      </c>
      <c r="M532" s="0" t="s">
        <v>2810</v>
      </c>
      <c r="N532" s="0" t="str">
        <f aca="false">RIGHT(M532,LEN(M532)-FIND(" ",M532))</f>
        <v>E MARKET ST</v>
      </c>
      <c r="O532" s="0" t="s">
        <v>2811</v>
      </c>
      <c r="P532" s="0" t="s">
        <v>145</v>
      </c>
      <c r="Q532" s="0" t="s">
        <v>146</v>
      </c>
      <c r="R532" s="0" t="n">
        <v>44481</v>
      </c>
      <c r="AD532" s="0" t="s">
        <v>147</v>
      </c>
      <c r="AE532" s="0" t="s">
        <v>148</v>
      </c>
      <c r="AF532" s="0" t="s">
        <v>149</v>
      </c>
      <c r="AH532" s="0" t="n">
        <v>14</v>
      </c>
      <c r="AI532" s="0" t="n">
        <v>11</v>
      </c>
      <c r="AN532" s="0" t="s">
        <v>145</v>
      </c>
      <c r="AO532" s="0" t="s">
        <v>654</v>
      </c>
      <c r="AP532" s="0" t="s">
        <v>655</v>
      </c>
      <c r="AQ532" s="0" t="n">
        <v>9</v>
      </c>
      <c r="AR532" s="0" t="n">
        <v>64</v>
      </c>
      <c r="AS532" s="0" t="n">
        <v>32</v>
      </c>
      <c r="AU532" s="0" t="n">
        <f aca="false">COUNTA($BA$1596:$EH$1596)</f>
        <v>1</v>
      </c>
      <c r="AV532" s="0" t="n">
        <f aca="false">COUNTIF($BA$1596:$EH$1596,"D")</f>
        <v>0</v>
      </c>
      <c r="AW532" s="0" t="n">
        <f aca="false">COUNTIF($BA$1596:$EH$1596,"R")</f>
        <v>0</v>
      </c>
      <c r="AX532" s="0" t="n">
        <f aca="false">IF(BN532="D",1,0)+IF(BO532="D",1,0)+IF(BT532="D",1,0)+IF(BU532="D",1,0)+IF(BW532="D",1,0)+IF(CC532="D",1,0)+IF(CD532="D",1,0)+IF(CE532="D",1,0)+IF(CF532="D",1,0)+IF(CL532="D",1,0)+IF(CM532="D",1,0)+IF(CQ532="D",1,0)+IF(CR532="D",1,0)+IF(CS532="D",1,0)+IF(CW532="D",1,0)+IF(CX532="D",1,0)+IF(DD532="D",1,0)+IF(DE532="D",1,0)+IF(DJ532="D",1,0)+IF(DK532="D",1,0)+IF(DO532="D",1,0)+IF(DP532="D",1,0)+IF(DQ532="D",1,0)+IF(DW532="D",1,0)+IF(DZ532="D",1,0)+IF(EH532="D",1,0)</f>
        <v>4</v>
      </c>
      <c r="AY532" s="0" t="n">
        <f aca="false">COUNTIF(DU532:EH532, "&lt;&gt;")</f>
        <v>0</v>
      </c>
      <c r="AZ532" s="0" t="n">
        <f aca="false">IF(EH532&lt;&gt;"",1,0)</f>
        <v>0</v>
      </c>
      <c r="BB532" s="0" t="s">
        <v>152</v>
      </c>
      <c r="BC532" s="0" t="s">
        <v>153</v>
      </c>
      <c r="BD532" s="0" t="s">
        <v>153</v>
      </c>
      <c r="BE532" s="0" t="s">
        <v>153</v>
      </c>
      <c r="BF532" s="0" t="s">
        <v>153</v>
      </c>
      <c r="BH532" s="0" t="s">
        <v>153</v>
      </c>
      <c r="BI532" s="0" t="s">
        <v>153</v>
      </c>
      <c r="BJ532" s="0" t="s">
        <v>153</v>
      </c>
      <c r="BK532" s="0" t="s">
        <v>153</v>
      </c>
      <c r="BL532" s="0" t="s">
        <v>153</v>
      </c>
      <c r="BP532" s="0" t="s">
        <v>153</v>
      </c>
      <c r="BR532" s="0" t="s">
        <v>153</v>
      </c>
      <c r="BS532" s="0" t="s">
        <v>153</v>
      </c>
      <c r="BV532" s="0" t="s">
        <v>153</v>
      </c>
      <c r="BY532" s="0" t="s">
        <v>175</v>
      </c>
      <c r="CA532" s="0" t="s">
        <v>153</v>
      </c>
      <c r="CC532" s="0" t="s">
        <v>175</v>
      </c>
      <c r="CG532" s="0" t="s">
        <v>153</v>
      </c>
      <c r="CK532" s="0" t="s">
        <v>153</v>
      </c>
      <c r="CL532" s="0" t="s">
        <v>175</v>
      </c>
      <c r="CN532" s="0" t="s">
        <v>153</v>
      </c>
      <c r="CO532" s="0" t="s">
        <v>209</v>
      </c>
      <c r="CP532" s="0" t="s">
        <v>153</v>
      </c>
      <c r="CQ532" s="0" t="s">
        <v>175</v>
      </c>
      <c r="CT532" s="0" t="s">
        <v>153</v>
      </c>
      <c r="CV532" s="0" t="s">
        <v>153</v>
      </c>
      <c r="CW532" s="0" t="s">
        <v>175</v>
      </c>
      <c r="CY532" s="0" t="s">
        <v>153</v>
      </c>
      <c r="CZ532" s="0" t="s">
        <v>209</v>
      </c>
      <c r="DC532" s="0" t="s">
        <v>153</v>
      </c>
      <c r="DF532" s="0" t="s">
        <v>153</v>
      </c>
      <c r="DG532" s="0" t="s">
        <v>209</v>
      </c>
      <c r="DI532" s="0" t="s">
        <v>153</v>
      </c>
      <c r="DL532" s="0" t="s">
        <v>153</v>
      </c>
      <c r="DN532" s="0" t="s">
        <v>153</v>
      </c>
    </row>
    <row r="533" customFormat="false" ht="13.8" hidden="true" customHeight="false" outlineLevel="0" collapsed="false">
      <c r="A533" s="0" t="s">
        <v>2830</v>
      </c>
      <c r="B533" s="0" t="n">
        <v>78</v>
      </c>
      <c r="C533" s="0" t="n">
        <v>450320</v>
      </c>
      <c r="D533" s="0" t="s">
        <v>2831</v>
      </c>
      <c r="E533" s="0" t="s">
        <v>2832</v>
      </c>
      <c r="F533" s="0" t="str">
        <f aca="false">CONCATENATE(D533," ",LEFT(H533,4),"T=",AU533,"D=",AV533,"R=",AW533,"M=",AX533,"L=",AY533,"B=",AZ533)</f>
        <v>BOOTH T=1D=0R=0M=0L=0B=0</v>
      </c>
      <c r="G533" s="0" t="s">
        <v>307</v>
      </c>
      <c r="I533" s="0" t="s">
        <v>2833</v>
      </c>
      <c r="J533" s="0" t="s">
        <v>2834</v>
      </c>
      <c r="K533" s="0" t="s">
        <v>160</v>
      </c>
      <c r="M533" s="0" t="s">
        <v>2810</v>
      </c>
      <c r="N533" s="0" t="str">
        <f aca="false">RIGHT(M533,LEN(M533)-FIND(" ",M533))</f>
        <v>E MARKET ST</v>
      </c>
      <c r="O533" s="0" t="s">
        <v>2811</v>
      </c>
      <c r="P533" s="0" t="s">
        <v>145</v>
      </c>
      <c r="Q533" s="0" t="s">
        <v>146</v>
      </c>
      <c r="R533" s="0" t="n">
        <v>44481</v>
      </c>
      <c r="AD533" s="0" t="s">
        <v>147</v>
      </c>
      <c r="AE533" s="0" t="s">
        <v>148</v>
      </c>
      <c r="AF533" s="0" t="s">
        <v>149</v>
      </c>
      <c r="AH533" s="0" t="n">
        <v>14</v>
      </c>
      <c r="AI533" s="0" t="n">
        <v>11</v>
      </c>
      <c r="AN533" s="0" t="s">
        <v>145</v>
      </c>
      <c r="AO533" s="0" t="s">
        <v>654</v>
      </c>
      <c r="AP533" s="0" t="s">
        <v>655</v>
      </c>
      <c r="AQ533" s="0" t="n">
        <v>9</v>
      </c>
      <c r="AR533" s="0" t="n">
        <v>64</v>
      </c>
      <c r="AS533" s="0" t="n">
        <v>32</v>
      </c>
      <c r="AU533" s="0" t="n">
        <f aca="false">COUNTA($BA$1778:$EH$1778)</f>
        <v>1</v>
      </c>
      <c r="AV533" s="0" t="n">
        <f aca="false">COUNTIF($BA$1778:$EH$1778,"D")</f>
        <v>0</v>
      </c>
      <c r="AW533" s="0" t="n">
        <f aca="false">COUNTIF($BA$1778:$EH$1778,"R")</f>
        <v>0</v>
      </c>
      <c r="AX533" s="0" t="n">
        <f aca="false">IF(BN533="D",1,0)+IF(BO533="D",1,0)+IF(BT533="D",1,0)+IF(BU533="D",1,0)+IF(BW533="D",1,0)+IF(CC533="D",1,0)+IF(CD533="D",1,0)+IF(CE533="D",1,0)+IF(CF533="D",1,0)+IF(CL533="D",1,0)+IF(CM533="D",1,0)+IF(CQ533="D",1,0)+IF(CR533="D",1,0)+IF(CS533="D",1,0)+IF(CW533="D",1,0)+IF(CX533="D",1,0)+IF(DD533="D",1,0)+IF(DE533="D",1,0)+IF(DJ533="D",1,0)+IF(DK533="D",1,0)+IF(DO533="D",1,0)+IF(DP533="D",1,0)+IF(DQ533="D",1,0)+IF(DW533="D",1,0)+IF(DZ533="D",1,0)+IF(EH533="D",1,0)</f>
        <v>0</v>
      </c>
      <c r="AY533" s="0" t="n">
        <f aca="false">COUNTIF(DU533:EH533, "&lt;&gt;")</f>
        <v>0</v>
      </c>
      <c r="AZ533" s="0" t="n">
        <f aca="false">IF(EH533&lt;&gt;"",1,0)</f>
        <v>0</v>
      </c>
      <c r="BB533" s="0" t="s">
        <v>152</v>
      </c>
      <c r="DN533" s="0" t="s">
        <v>153</v>
      </c>
    </row>
    <row r="534" customFormat="false" ht="13.8" hidden="true" customHeight="false" outlineLevel="0" collapsed="false">
      <c r="A534" s="0" t="s">
        <v>2835</v>
      </c>
      <c r="B534" s="0" t="n">
        <v>78</v>
      </c>
      <c r="C534" s="0" t="n">
        <v>87860</v>
      </c>
      <c r="D534" s="0" t="s">
        <v>2836</v>
      </c>
      <c r="E534" s="0" t="s">
        <v>2837</v>
      </c>
      <c r="F534" s="0" t="str">
        <f aca="false">CONCATENATE(D534," ",LEFT(H534,4),"T=",AU534,"D=",AV534,"R=",AW534,"M=",AX534,"L=",AY534,"B=",AZ534)</f>
        <v>SPEICHER T=9D=1R=0M=0L=0B=0</v>
      </c>
      <c r="G534" s="0" t="s">
        <v>325</v>
      </c>
      <c r="I534" s="0" t="s">
        <v>2838</v>
      </c>
      <c r="J534" s="0" t="s">
        <v>2839</v>
      </c>
      <c r="K534" s="0" t="s">
        <v>160</v>
      </c>
      <c r="M534" s="0" t="s">
        <v>2810</v>
      </c>
      <c r="N534" s="0" t="str">
        <f aca="false">RIGHT(M534,LEN(M534)-FIND(" ",M534))</f>
        <v>E MARKET ST</v>
      </c>
      <c r="O534" s="0" t="s">
        <v>2811</v>
      </c>
      <c r="P534" s="0" t="s">
        <v>145</v>
      </c>
      <c r="Q534" s="0" t="s">
        <v>146</v>
      </c>
      <c r="R534" s="0" t="n">
        <v>44481</v>
      </c>
      <c r="AD534" s="0" t="s">
        <v>147</v>
      </c>
      <c r="AE534" s="0" t="s">
        <v>148</v>
      </c>
      <c r="AF534" s="0" t="s">
        <v>149</v>
      </c>
      <c r="AH534" s="0" t="n">
        <v>14</v>
      </c>
      <c r="AI534" s="0" t="n">
        <v>11</v>
      </c>
      <c r="AN534" s="0" t="s">
        <v>145</v>
      </c>
      <c r="AO534" s="0" t="s">
        <v>654</v>
      </c>
      <c r="AP534" s="0" t="s">
        <v>655</v>
      </c>
      <c r="AQ534" s="0" t="n">
        <v>9</v>
      </c>
      <c r="AR534" s="0" t="n">
        <v>64</v>
      </c>
      <c r="AS534" s="0" t="n">
        <v>32</v>
      </c>
      <c r="AU534" s="0" t="n">
        <f aca="false">COUNTA($BA$1849:$EH$1849)</f>
        <v>9</v>
      </c>
      <c r="AV534" s="0" t="n">
        <f aca="false">COUNTIF($BA$1849:$EH$1849,"D")</f>
        <v>1</v>
      </c>
      <c r="AW534" s="0" t="n">
        <f aca="false">COUNTIF($BA$1849:$EH$1849,"R")</f>
        <v>0</v>
      </c>
      <c r="AX534" s="0" t="n">
        <f aca="false">IF(BN534="D",1,0)+IF(BO534="D",1,0)+IF(BT534="D",1,0)+IF(BU534="D",1,0)+IF(BW534="D",1,0)+IF(CC534="D",1,0)+IF(CD534="D",1,0)+IF(CE534="D",1,0)+IF(CF534="D",1,0)+IF(CL534="D",1,0)+IF(CM534="D",1,0)+IF(CQ534="D",1,0)+IF(CR534="D",1,0)+IF(CS534="D",1,0)+IF(CW534="D",1,0)+IF(CX534="D",1,0)+IF(DD534="D",1,0)+IF(DE534="D",1,0)+IF(DJ534="D",1,0)+IF(DK534="D",1,0)+IF(DO534="D",1,0)+IF(DP534="D",1,0)+IF(DQ534="D",1,0)+IF(DW534="D",1,0)+IF(DZ534="D",1,0)+IF(EH534="D",1,0)</f>
        <v>0</v>
      </c>
      <c r="AY534" s="0" t="n">
        <f aca="false">COUNTIF(DU534:EH534, "&lt;&gt;")</f>
        <v>0</v>
      </c>
      <c r="AZ534" s="0" t="n">
        <f aca="false">IF(EH534&lt;&gt;"",1,0)</f>
        <v>0</v>
      </c>
      <c r="BB534" s="0" t="s">
        <v>152</v>
      </c>
      <c r="BC534" s="0" t="s">
        <v>153</v>
      </c>
      <c r="BD534" s="0" t="s">
        <v>153</v>
      </c>
      <c r="BF534" s="0" t="s">
        <v>153</v>
      </c>
      <c r="BG534" s="0" t="s">
        <v>153</v>
      </c>
      <c r="BH534" s="0" t="s">
        <v>153</v>
      </c>
      <c r="BK534" s="0" t="s">
        <v>153</v>
      </c>
      <c r="BL534" s="0" t="s">
        <v>153</v>
      </c>
      <c r="BS534" s="0" t="s">
        <v>153</v>
      </c>
      <c r="BY534" s="0" t="s">
        <v>209</v>
      </c>
      <c r="CA534" s="0" t="s">
        <v>153</v>
      </c>
      <c r="CG534" s="0" t="s">
        <v>153</v>
      </c>
      <c r="CH534" s="0" t="s">
        <v>209</v>
      </c>
      <c r="CK534" s="0" t="s">
        <v>153</v>
      </c>
      <c r="CN534" s="0" t="s">
        <v>153</v>
      </c>
      <c r="CO534" s="0" t="s">
        <v>209</v>
      </c>
      <c r="CP534" s="0" t="s">
        <v>153</v>
      </c>
      <c r="CU534" s="0" t="s">
        <v>209</v>
      </c>
      <c r="CV534" s="0" t="s">
        <v>153</v>
      </c>
      <c r="CY534" s="0" t="s">
        <v>153</v>
      </c>
      <c r="CZ534" s="0" t="s">
        <v>209</v>
      </c>
      <c r="DC534" s="0" t="s">
        <v>153</v>
      </c>
      <c r="DF534" s="0" t="s">
        <v>153</v>
      </c>
      <c r="DI534" s="0" t="s">
        <v>153</v>
      </c>
      <c r="DN534" s="0" t="s">
        <v>153</v>
      </c>
    </row>
    <row r="535" customFormat="false" ht="13.8" hidden="true" customHeight="false" outlineLevel="0" collapsed="false">
      <c r="A535" s="0" t="s">
        <v>2840</v>
      </c>
      <c r="B535" s="0" t="n">
        <v>78</v>
      </c>
      <c r="C535" s="0" t="n">
        <v>489803</v>
      </c>
      <c r="D535" s="0" t="s">
        <v>2841</v>
      </c>
      <c r="E535" s="0" t="s">
        <v>2842</v>
      </c>
      <c r="F535" s="0" t="str">
        <f aca="false">CONCATENATE(D535," ",LEFT(H535,4),"T=",AU535,"D=",AV535,"R=",AW535,"M=",AX535,"L=",AY535,"B=",AZ535)</f>
        <v>GARZANICH T=11D=0R=0M=0L=1B=0</v>
      </c>
      <c r="G535" s="0" t="s">
        <v>224</v>
      </c>
      <c r="I535" s="0" t="s">
        <v>2843</v>
      </c>
      <c r="J535" s="0" t="s">
        <v>411</v>
      </c>
      <c r="K535" s="0" t="s">
        <v>160</v>
      </c>
      <c r="M535" s="0" t="s">
        <v>2844</v>
      </c>
      <c r="N535" s="0" t="str">
        <f aca="false">RIGHT(M535,LEN(M535)-FIND(" ",M535))</f>
        <v>E MARKET ST</v>
      </c>
      <c r="O535" s="0" t="s">
        <v>220</v>
      </c>
      <c r="P535" s="0" t="s">
        <v>145</v>
      </c>
      <c r="Q535" s="0" t="s">
        <v>146</v>
      </c>
      <c r="R535" s="0" t="n">
        <v>44483</v>
      </c>
      <c r="AD535" s="0" t="s">
        <v>147</v>
      </c>
      <c r="AE535" s="0" t="s">
        <v>148</v>
      </c>
      <c r="AF535" s="0" t="s">
        <v>149</v>
      </c>
      <c r="AH535" s="0" t="n">
        <v>14</v>
      </c>
      <c r="AI535" s="0" t="n">
        <v>11</v>
      </c>
      <c r="AN535" s="0" t="s">
        <v>145</v>
      </c>
      <c r="AO535" s="0" t="s">
        <v>150</v>
      </c>
      <c r="AP535" s="0" t="s">
        <v>151</v>
      </c>
      <c r="AQ535" s="0" t="n">
        <v>9</v>
      </c>
      <c r="AR535" s="0" t="n">
        <v>64</v>
      </c>
      <c r="AS535" s="0" t="n">
        <v>32</v>
      </c>
      <c r="AU535" s="0" t="n">
        <f aca="false">COUNTA($BA$730:$EH$730)</f>
        <v>11</v>
      </c>
      <c r="AV535" s="0" t="n">
        <f aca="false">COUNTIF($BA$730:$EH$730,"D")</f>
        <v>0</v>
      </c>
      <c r="AW535" s="0" t="n">
        <f aca="false">COUNTIF($BA$730:$EH$730,"R")</f>
        <v>0</v>
      </c>
      <c r="AX535" s="0" t="n">
        <f aca="false">IF(BN535="D",1,0)+IF(BO535="D",1,0)+IF(BT535="D",1,0)+IF(BU535="D",1,0)+IF(BW535="D",1,0)+IF(CC535="D",1,0)+IF(CD535="D",1,0)+IF(CE535="D",1,0)+IF(CF535="D",1,0)+IF(CL535="D",1,0)+IF(CM535="D",1,0)+IF(CQ535="D",1,0)+IF(CR535="D",1,0)+IF(CS535="D",1,0)+IF(CW535="D",1,0)+IF(CX535="D",1,0)+IF(DD535="D",1,0)+IF(DE535="D",1,0)+IF(DJ535="D",1,0)+IF(DK535="D",1,0)+IF(DO535="D",1,0)+IF(DP535="D",1,0)+IF(DQ535="D",1,0)+IF(DW535="D",1,0)+IF(DZ535="D",1,0)+IF(EH535="D",1,0)</f>
        <v>0</v>
      </c>
      <c r="AY535" s="0" t="n">
        <f aca="false">COUNTIF(DU535:EH535, "&lt;&gt;")</f>
        <v>1</v>
      </c>
      <c r="AZ535" s="0" t="n">
        <f aca="false">IF(EH535&lt;&gt;"",1,0)</f>
        <v>0</v>
      </c>
      <c r="BB535" s="0" t="s">
        <v>152</v>
      </c>
      <c r="EF535" s="0" t="s">
        <v>153</v>
      </c>
    </row>
    <row r="536" customFormat="false" ht="13.8" hidden="true" customHeight="false" outlineLevel="0" collapsed="false">
      <c r="A536" s="0" t="s">
        <v>2845</v>
      </c>
      <c r="B536" s="0" t="n">
        <v>78</v>
      </c>
      <c r="C536" s="0" t="n">
        <v>483298</v>
      </c>
      <c r="D536" s="0" t="s">
        <v>2846</v>
      </c>
      <c r="E536" s="0" t="s">
        <v>2847</v>
      </c>
      <c r="F536" s="0" t="str">
        <f aca="false">CONCATENATE(D536," ",LEFT(H536,4),"T=",AU536,"D=",AV536,"R=",AW536,"M=",AX536,"L=",AY536,"B=",AZ536)</f>
        <v>MOSCHELL T=2D=0R=0M=0L=1B=0</v>
      </c>
      <c r="G536" s="0" t="s">
        <v>1243</v>
      </c>
      <c r="I536" s="0" t="s">
        <v>2848</v>
      </c>
      <c r="J536" s="0" t="s">
        <v>2849</v>
      </c>
      <c r="K536" s="0" t="s">
        <v>160</v>
      </c>
      <c r="M536" s="0" t="s">
        <v>2844</v>
      </c>
      <c r="N536" s="0" t="str">
        <f aca="false">RIGHT(M536,LEN(M536)-FIND(" ",M536))</f>
        <v>E MARKET ST</v>
      </c>
      <c r="P536" s="0" t="s">
        <v>145</v>
      </c>
      <c r="Q536" s="0" t="s">
        <v>146</v>
      </c>
      <c r="R536" s="0" t="n">
        <v>44483</v>
      </c>
      <c r="AD536" s="0" t="s">
        <v>147</v>
      </c>
      <c r="AE536" s="0" t="s">
        <v>148</v>
      </c>
      <c r="AF536" s="0" t="s">
        <v>149</v>
      </c>
      <c r="AH536" s="0" t="n">
        <v>14</v>
      </c>
      <c r="AI536" s="0" t="n">
        <v>11</v>
      </c>
      <c r="AN536" s="0" t="s">
        <v>145</v>
      </c>
      <c r="AO536" s="0" t="s">
        <v>150</v>
      </c>
      <c r="AP536" s="0" t="s">
        <v>151</v>
      </c>
      <c r="AQ536" s="0" t="n">
        <v>9</v>
      </c>
      <c r="AR536" s="0" t="n">
        <v>64</v>
      </c>
      <c r="AS536" s="0" t="n">
        <v>32</v>
      </c>
      <c r="AU536" s="0" t="n">
        <f aca="false">COUNTA($BA$1006:$EH$1006)</f>
        <v>2</v>
      </c>
      <c r="AV536" s="0" t="n">
        <f aca="false">COUNTIF($BA$1006:$EH$1006,"D")</f>
        <v>0</v>
      </c>
      <c r="AW536" s="0" t="n">
        <f aca="false">COUNTIF($BA$1006:$EH$1006,"R")</f>
        <v>0</v>
      </c>
      <c r="AX536" s="0" t="n">
        <f aca="false">IF(BN536="D",1,0)+IF(BO536="D",1,0)+IF(BT536="D",1,0)+IF(BU536="D",1,0)+IF(BW536="D",1,0)+IF(CC536="D",1,0)+IF(CD536="D",1,0)+IF(CE536="D",1,0)+IF(CF536="D",1,0)+IF(CL536="D",1,0)+IF(CM536="D",1,0)+IF(CQ536="D",1,0)+IF(CR536="D",1,0)+IF(CS536="D",1,0)+IF(CW536="D",1,0)+IF(CX536="D",1,0)+IF(DD536="D",1,0)+IF(DE536="D",1,0)+IF(DJ536="D",1,0)+IF(DK536="D",1,0)+IF(DO536="D",1,0)+IF(DP536="D",1,0)+IF(DQ536="D",1,0)+IF(DW536="D",1,0)+IF(DZ536="D",1,0)+IF(EH536="D",1,0)</f>
        <v>0</v>
      </c>
      <c r="AY536" s="0" t="n">
        <f aca="false">COUNTIF(DU536:EH536, "&lt;&gt;")</f>
        <v>1</v>
      </c>
      <c r="AZ536" s="0" t="n">
        <f aca="false">IF(EH536&lt;&gt;"",1,0)</f>
        <v>0</v>
      </c>
      <c r="BB536" s="0" t="s">
        <v>152</v>
      </c>
      <c r="EF536" s="0" t="s">
        <v>153</v>
      </c>
    </row>
    <row r="537" customFormat="false" ht="13.8" hidden="true" customHeight="false" outlineLevel="0" collapsed="false">
      <c r="A537" s="0" t="s">
        <v>2850</v>
      </c>
      <c r="B537" s="0" t="n">
        <v>78</v>
      </c>
      <c r="C537" s="0" t="n">
        <v>394469</v>
      </c>
      <c r="D537" s="0" t="s">
        <v>1466</v>
      </c>
      <c r="E537" s="0" t="s">
        <v>1519</v>
      </c>
      <c r="F537" s="0" t="str">
        <f aca="false">CONCATENATE(D537," ",LEFT(H537,4),"T=",AU537,"D=",AV537,"R=",AW537,"M=",AX537,"L=",AY537,"B=",AZ537)</f>
        <v>JOHNSON T=1D=0R=0M=0L=0B=0</v>
      </c>
      <c r="G537" s="0" t="s">
        <v>175</v>
      </c>
      <c r="I537" s="0" t="s">
        <v>2851</v>
      </c>
      <c r="J537" s="0" t="s">
        <v>2852</v>
      </c>
      <c r="K537" s="0" t="s">
        <v>143</v>
      </c>
      <c r="M537" s="0" t="s">
        <v>2853</v>
      </c>
      <c r="N537" s="0" t="str">
        <f aca="false">RIGHT(M537,LEN(M537)-FIND(" ",M537))</f>
        <v>E MARKET ST</v>
      </c>
      <c r="O537" s="0" t="s">
        <v>868</v>
      </c>
      <c r="P537" s="0" t="s">
        <v>145</v>
      </c>
      <c r="Q537" s="0" t="s">
        <v>146</v>
      </c>
      <c r="R537" s="0" t="n">
        <v>44483</v>
      </c>
      <c r="AD537" s="0" t="s">
        <v>147</v>
      </c>
      <c r="AE537" s="0" t="s">
        <v>148</v>
      </c>
      <c r="AF537" s="0" t="s">
        <v>149</v>
      </c>
      <c r="AH537" s="0" t="n">
        <v>14</v>
      </c>
      <c r="AI537" s="0" t="n">
        <v>11</v>
      </c>
      <c r="AN537" s="0" t="s">
        <v>145</v>
      </c>
      <c r="AO537" s="0" t="s">
        <v>150</v>
      </c>
      <c r="AP537" s="0" t="s">
        <v>151</v>
      </c>
      <c r="AQ537" s="0" t="n">
        <v>9</v>
      </c>
      <c r="AR537" s="0" t="n">
        <v>64</v>
      </c>
      <c r="AS537" s="0" t="n">
        <v>32</v>
      </c>
      <c r="AU537" s="0" t="n">
        <f aca="false">COUNTA($BA$138:$EH$138)</f>
        <v>1</v>
      </c>
      <c r="AV537" s="0" t="n">
        <f aca="false">COUNTIF($BA$138:$EH$138,"D")</f>
        <v>0</v>
      </c>
      <c r="AW537" s="0" t="n">
        <f aca="false">COUNTIF($BA$138:$EH$138,"R")</f>
        <v>0</v>
      </c>
      <c r="AX537" s="0" t="n">
        <f aca="false">IF(BN537="D",1,0)+IF(BO537="D",1,0)+IF(BT537="D",1,0)+IF(BU537="D",1,0)+IF(BW537="D",1,0)+IF(CC537="D",1,0)+IF(CD537="D",1,0)+IF(CE537="D",1,0)+IF(CF537="D",1,0)+IF(CL537="D",1,0)+IF(CM537="D",1,0)+IF(CQ537="D",1,0)+IF(CR537="D",1,0)+IF(CS537="D",1,0)+IF(CW537="D",1,0)+IF(CX537="D",1,0)+IF(DD537="D",1,0)+IF(DE537="D",1,0)+IF(DJ537="D",1,0)+IF(DK537="D",1,0)+IF(DO537="D",1,0)+IF(DP537="D",1,0)+IF(DQ537="D",1,0)+IF(DW537="D",1,0)+IF(DZ537="D",1,0)+IF(EH537="D",1,0)</f>
        <v>0</v>
      </c>
      <c r="AY537" s="0" t="n">
        <f aca="false">COUNTIF(DU537:EH537, "&lt;&gt;")</f>
        <v>0</v>
      </c>
      <c r="AZ537" s="0" t="n">
        <f aca="false">IF(EH537&lt;&gt;"",1,0)</f>
        <v>0</v>
      </c>
      <c r="BB537" s="0" t="s">
        <v>152</v>
      </c>
    </row>
    <row r="538" customFormat="false" ht="13.8" hidden="true" customHeight="false" outlineLevel="0" collapsed="false">
      <c r="A538" s="0" t="s">
        <v>2854</v>
      </c>
      <c r="B538" s="0" t="n">
        <v>78</v>
      </c>
      <c r="C538" s="0" t="n">
        <v>360147</v>
      </c>
      <c r="D538" s="0" t="s">
        <v>2855</v>
      </c>
      <c r="E538" s="0" t="s">
        <v>331</v>
      </c>
      <c r="F538" s="0" t="str">
        <f aca="false">CONCATENATE(D538," ",LEFT(H538,4),"T=",AU538,"D=",AV538,"R=",AW538,"M=",AX538,"L=",AY538,"B=",AZ538)</f>
        <v>STREETER T=7D=1R=0M=0L=0B=0</v>
      </c>
      <c r="G538" s="0" t="s">
        <v>175</v>
      </c>
      <c r="I538" s="0" t="s">
        <v>2856</v>
      </c>
      <c r="J538" s="0" t="s">
        <v>2230</v>
      </c>
      <c r="K538" s="0" t="s">
        <v>160</v>
      </c>
      <c r="M538" s="0" t="s">
        <v>2857</v>
      </c>
      <c r="N538" s="0" t="str">
        <f aca="false">RIGHT(M538,LEN(M538)-FIND(" ",M538))</f>
        <v>E MARKET ST</v>
      </c>
      <c r="P538" s="0" t="s">
        <v>145</v>
      </c>
      <c r="Q538" s="0" t="s">
        <v>146</v>
      </c>
      <c r="R538" s="0" t="n">
        <v>44483</v>
      </c>
      <c r="AD538" s="0" t="s">
        <v>147</v>
      </c>
      <c r="AE538" s="0" t="s">
        <v>148</v>
      </c>
      <c r="AF538" s="0" t="s">
        <v>149</v>
      </c>
      <c r="AH538" s="0" t="n">
        <v>14</v>
      </c>
      <c r="AI538" s="0" t="n">
        <v>11</v>
      </c>
      <c r="AN538" s="0" t="s">
        <v>145</v>
      </c>
      <c r="AO538" s="0" t="s">
        <v>150</v>
      </c>
      <c r="AP538" s="0" t="s">
        <v>151</v>
      </c>
      <c r="AQ538" s="0" t="n">
        <v>9</v>
      </c>
      <c r="AR538" s="0" t="n">
        <v>64</v>
      </c>
      <c r="AS538" s="0" t="n">
        <v>32</v>
      </c>
      <c r="AU538" s="0" t="n">
        <f aca="false">COUNTA($BA$689:$EH$689)</f>
        <v>7</v>
      </c>
      <c r="AV538" s="0" t="n">
        <f aca="false">COUNTIF($BA$689:$EH$689,"D")</f>
        <v>1</v>
      </c>
      <c r="AW538" s="0" t="n">
        <f aca="false">COUNTIF($BA$689:$EH$689,"R")</f>
        <v>0</v>
      </c>
      <c r="AX538" s="0" t="n">
        <f aca="false">IF(BN538="D",1,0)+IF(BO538="D",1,0)+IF(BT538="D",1,0)+IF(BU538="D",1,0)+IF(BW538="D",1,0)+IF(CC538="D",1,0)+IF(CD538="D",1,0)+IF(CE538="D",1,0)+IF(CF538="D",1,0)+IF(CL538="D",1,0)+IF(CM538="D",1,0)+IF(CQ538="D",1,0)+IF(CR538="D",1,0)+IF(CS538="D",1,0)+IF(CW538="D",1,0)+IF(CX538="D",1,0)+IF(DD538="D",1,0)+IF(DE538="D",1,0)+IF(DJ538="D",1,0)+IF(DK538="D",1,0)+IF(DO538="D",1,0)+IF(DP538="D",1,0)+IF(DQ538="D",1,0)+IF(DW538="D",1,0)+IF(DZ538="D",1,0)+IF(EH538="D",1,0)</f>
        <v>0</v>
      </c>
      <c r="AY538" s="0" t="n">
        <f aca="false">COUNTIF(DU538:EH538, "&lt;&gt;")</f>
        <v>0</v>
      </c>
      <c r="AZ538" s="0" t="n">
        <f aca="false">IF(EH538&lt;&gt;"",1,0)</f>
        <v>0</v>
      </c>
      <c r="BB538" s="0" t="s">
        <v>152</v>
      </c>
    </row>
    <row r="539" customFormat="false" ht="13.8" hidden="true" customHeight="false" outlineLevel="0" collapsed="false">
      <c r="A539" s="0" t="s">
        <v>2858</v>
      </c>
      <c r="B539" s="0" t="n">
        <v>78</v>
      </c>
      <c r="C539" s="0" t="n">
        <v>406410</v>
      </c>
      <c r="D539" s="0" t="s">
        <v>1192</v>
      </c>
      <c r="E539" s="0" t="s">
        <v>2859</v>
      </c>
      <c r="F539" s="0" t="str">
        <f aca="false">CONCATENATE(D539," ",LEFT(H539,4),"T=",AU539,"D=",AV539,"R=",AW539,"M=",AX539,"L=",AY539,"B=",AZ539)</f>
        <v>MILLER T=3D=0R=0M=0L=1B=0</v>
      </c>
      <c r="G539" s="0" t="s">
        <v>325</v>
      </c>
      <c r="I539" s="0" t="s">
        <v>2860</v>
      </c>
      <c r="J539" s="0" t="s">
        <v>2861</v>
      </c>
      <c r="K539" s="0" t="s">
        <v>160</v>
      </c>
      <c r="M539" s="0" t="s">
        <v>2857</v>
      </c>
      <c r="N539" s="0" t="str">
        <f aca="false">RIGHT(M539,LEN(M539)-FIND(" ",M539))</f>
        <v>E MARKET ST</v>
      </c>
      <c r="O539" s="0" t="s">
        <v>2211</v>
      </c>
      <c r="P539" s="0" t="s">
        <v>145</v>
      </c>
      <c r="Q539" s="0" t="s">
        <v>146</v>
      </c>
      <c r="R539" s="0" t="n">
        <v>44483</v>
      </c>
      <c r="AD539" s="0" t="s">
        <v>147</v>
      </c>
      <c r="AE539" s="0" t="s">
        <v>148</v>
      </c>
      <c r="AF539" s="0" t="s">
        <v>149</v>
      </c>
      <c r="AH539" s="0" t="n">
        <v>14</v>
      </c>
      <c r="AI539" s="0" t="n">
        <v>11</v>
      </c>
      <c r="AN539" s="0" t="s">
        <v>145</v>
      </c>
      <c r="AO539" s="0" t="s">
        <v>150</v>
      </c>
      <c r="AP539" s="0" t="s">
        <v>151</v>
      </c>
      <c r="AQ539" s="0" t="n">
        <v>9</v>
      </c>
      <c r="AR539" s="0" t="n">
        <v>64</v>
      </c>
      <c r="AS539" s="0" t="n">
        <v>32</v>
      </c>
      <c r="AU539" s="0" t="n">
        <f aca="false">COUNTA($BA$992:$EH$992)</f>
        <v>3</v>
      </c>
      <c r="AV539" s="0" t="n">
        <f aca="false">COUNTIF($BA$992:$EH$992,"D")</f>
        <v>0</v>
      </c>
      <c r="AW539" s="0" t="n">
        <f aca="false">COUNTIF($BA$992:$EH$992,"R")</f>
        <v>0</v>
      </c>
      <c r="AX539" s="0" t="n">
        <f aca="false">IF(BN539="D",1,0)+IF(BO539="D",1,0)+IF(BT539="D",1,0)+IF(BU539="D",1,0)+IF(BW539="D",1,0)+IF(CC539="D",1,0)+IF(CD539="D",1,0)+IF(CE539="D",1,0)+IF(CF539="D",1,0)+IF(CL539="D",1,0)+IF(CM539="D",1,0)+IF(CQ539="D",1,0)+IF(CR539="D",1,0)+IF(CS539="D",1,0)+IF(CW539="D",1,0)+IF(CX539="D",1,0)+IF(DD539="D",1,0)+IF(DE539="D",1,0)+IF(DJ539="D",1,0)+IF(DK539="D",1,0)+IF(DO539="D",1,0)+IF(DP539="D",1,0)+IF(DQ539="D",1,0)+IF(DW539="D",1,0)+IF(DZ539="D",1,0)+IF(EH539="D",1,0)</f>
        <v>0</v>
      </c>
      <c r="AY539" s="0" t="n">
        <f aca="false">COUNTIF(DU539:EH539, "&lt;&gt;")</f>
        <v>1</v>
      </c>
      <c r="AZ539" s="0" t="n">
        <f aca="false">IF(EH539&lt;&gt;"",1,0)</f>
        <v>0</v>
      </c>
      <c r="BB539" s="0" t="s">
        <v>152</v>
      </c>
      <c r="BL539" s="0" t="s">
        <v>153</v>
      </c>
      <c r="DN539" s="0" t="s">
        <v>153</v>
      </c>
      <c r="EF539" s="0" t="s">
        <v>153</v>
      </c>
    </row>
    <row r="540" customFormat="false" ht="13.8" hidden="true" customHeight="false" outlineLevel="0" collapsed="false">
      <c r="A540" s="0" t="s">
        <v>2862</v>
      </c>
      <c r="B540" s="0" t="n">
        <v>78</v>
      </c>
      <c r="C540" s="0" t="n">
        <v>440470</v>
      </c>
      <c r="D540" s="0" t="s">
        <v>2863</v>
      </c>
      <c r="E540" s="0" t="s">
        <v>2864</v>
      </c>
      <c r="F540" s="0" t="str">
        <f aca="false">CONCATENATE(D540," ",LEFT(H540,4),"T=",AU540,"D=",AV540,"R=",AW540,"M=",AX540,"L=",AY540,"B=",AZ540)</f>
        <v>OBRIEN T=1D=0R=0M=0L=0B=0</v>
      </c>
      <c r="G540" s="0" t="s">
        <v>209</v>
      </c>
      <c r="I540" s="0" t="s">
        <v>2865</v>
      </c>
      <c r="J540" s="0" t="s">
        <v>2866</v>
      </c>
      <c r="K540" s="0" t="s">
        <v>143</v>
      </c>
      <c r="M540" s="0" t="s">
        <v>2867</v>
      </c>
      <c r="N540" s="0" t="str">
        <f aca="false">RIGHT(M540,LEN(M540)-FIND(" ",M540))</f>
        <v>E MARKET ST</v>
      </c>
      <c r="P540" s="0" t="s">
        <v>145</v>
      </c>
      <c r="Q540" s="0" t="s">
        <v>146</v>
      </c>
      <c r="R540" s="0" t="n">
        <v>44481</v>
      </c>
      <c r="AD540" s="0" t="s">
        <v>147</v>
      </c>
      <c r="AE540" s="0" t="s">
        <v>148</v>
      </c>
      <c r="AF540" s="0" t="s">
        <v>149</v>
      </c>
      <c r="AH540" s="0" t="n">
        <v>14</v>
      </c>
      <c r="AI540" s="0" t="n">
        <v>11</v>
      </c>
      <c r="AN540" s="0" t="s">
        <v>145</v>
      </c>
      <c r="AO540" s="0" t="s">
        <v>654</v>
      </c>
      <c r="AP540" s="0" t="s">
        <v>655</v>
      </c>
      <c r="AQ540" s="0" t="n">
        <v>9</v>
      </c>
      <c r="AR540" s="0" t="n">
        <v>64</v>
      </c>
      <c r="AS540" s="0" t="n">
        <v>32</v>
      </c>
      <c r="AU540" s="0" t="n">
        <f aca="false">COUNTA($BA$1584:$EH$1584)</f>
        <v>1</v>
      </c>
      <c r="AV540" s="0" t="n">
        <f aca="false">COUNTIF($BA$1584:$EH$1584,"D")</f>
        <v>0</v>
      </c>
      <c r="AW540" s="0" t="n">
        <f aca="false">COUNTIF($BA$1584:$EH$1584,"R")</f>
        <v>0</v>
      </c>
      <c r="AX540" s="0" t="n">
        <f aca="false">IF(BN540="D",1,0)+IF(BO540="D",1,0)+IF(BT540="D",1,0)+IF(BU540="D",1,0)+IF(BW540="D",1,0)+IF(CC540="D",1,0)+IF(CD540="D",1,0)+IF(CE540="D",1,0)+IF(CF540="D",1,0)+IF(CL540="D",1,0)+IF(CM540="D",1,0)+IF(CQ540="D",1,0)+IF(CR540="D",1,0)+IF(CS540="D",1,0)+IF(CW540="D",1,0)+IF(CX540="D",1,0)+IF(DD540="D",1,0)+IF(DE540="D",1,0)+IF(DJ540="D",1,0)+IF(DK540="D",1,0)+IF(DO540="D",1,0)+IF(DP540="D",1,0)+IF(DQ540="D",1,0)+IF(DW540="D",1,0)+IF(DZ540="D",1,0)+IF(EH540="D",1,0)</f>
        <v>0</v>
      </c>
      <c r="AY540" s="0" t="n">
        <f aca="false">COUNTIF(DU540:EH540, "&lt;&gt;")</f>
        <v>0</v>
      </c>
      <c r="AZ540" s="0" t="n">
        <f aca="false">IF(EH540&lt;&gt;"",1,0)</f>
        <v>0</v>
      </c>
      <c r="BB540" s="0" t="s">
        <v>152</v>
      </c>
      <c r="BD540" s="0" t="s">
        <v>153</v>
      </c>
      <c r="BH540" s="0" t="s">
        <v>153</v>
      </c>
      <c r="DL540" s="0" t="s">
        <v>153</v>
      </c>
    </row>
    <row r="541" customFormat="false" ht="13.8" hidden="true" customHeight="false" outlineLevel="0" collapsed="false">
      <c r="A541" s="0" t="s">
        <v>2868</v>
      </c>
      <c r="B541" s="0" t="n">
        <v>78</v>
      </c>
      <c r="C541" s="0" t="n">
        <v>487867</v>
      </c>
      <c r="D541" s="0" t="s">
        <v>2869</v>
      </c>
      <c r="E541" s="0" t="s">
        <v>877</v>
      </c>
      <c r="F541" s="0" t="str">
        <f aca="false">CONCATENATE(D541," ",LEFT(H541,4),"T=",AU541,"D=",AV541,"R=",AW541,"M=",AX541,"L=",AY541,"B=",AZ541)</f>
        <v>LYTLE T=21D=0R=5M=0L=0B=0</v>
      </c>
      <c r="G541" s="0" t="s">
        <v>325</v>
      </c>
      <c r="I541" s="0" t="s">
        <v>2870</v>
      </c>
      <c r="J541" s="0" t="s">
        <v>2871</v>
      </c>
      <c r="K541" s="0" t="s">
        <v>160</v>
      </c>
      <c r="M541" s="0" t="s">
        <v>2872</v>
      </c>
      <c r="N541" s="0" t="str">
        <f aca="false">RIGHT(M541,LEN(M541)-FIND(" ",M541))</f>
        <v>E MARKET ST</v>
      </c>
      <c r="P541" s="0" t="s">
        <v>145</v>
      </c>
      <c r="Q541" s="0" t="s">
        <v>146</v>
      </c>
      <c r="R541" s="0" t="n">
        <v>44481</v>
      </c>
      <c r="AD541" s="0" t="s">
        <v>147</v>
      </c>
      <c r="AE541" s="0" t="s">
        <v>148</v>
      </c>
      <c r="AF541" s="0" t="s">
        <v>149</v>
      </c>
      <c r="AH541" s="0" t="n">
        <v>14</v>
      </c>
      <c r="AI541" s="0" t="n">
        <v>11</v>
      </c>
      <c r="AN541" s="0" t="s">
        <v>145</v>
      </c>
      <c r="AO541" s="0" t="s">
        <v>654</v>
      </c>
      <c r="AP541" s="0" t="s">
        <v>655</v>
      </c>
      <c r="AQ541" s="0" t="n">
        <v>9</v>
      </c>
      <c r="AR541" s="0" t="n">
        <v>64</v>
      </c>
      <c r="AS541" s="0" t="n">
        <v>32</v>
      </c>
      <c r="AU541" s="0" t="n">
        <f aca="false">COUNTA($BA$1271:$EH$1271)</f>
        <v>21</v>
      </c>
      <c r="AV541" s="0" t="n">
        <f aca="false">COUNTIF($BA$1271:$EH$1271,"D")</f>
        <v>0</v>
      </c>
      <c r="AW541" s="0" t="n">
        <f aca="false">COUNTIF($BA$1271:$EH$1271,"R")</f>
        <v>5</v>
      </c>
      <c r="AX541" s="0" t="n">
        <f aca="false">IF(BN541="D",1,0)+IF(BO541="D",1,0)+IF(BT541="D",1,0)+IF(BU541="D",1,0)+IF(BW541="D",1,0)+IF(CC541="D",1,0)+IF(CD541="D",1,0)+IF(CE541="D",1,0)+IF(CF541="D",1,0)+IF(CL541="D",1,0)+IF(CM541="D",1,0)+IF(CQ541="D",1,0)+IF(CR541="D",1,0)+IF(CS541="D",1,0)+IF(CW541="D",1,0)+IF(CX541="D",1,0)+IF(DD541="D",1,0)+IF(DE541="D",1,0)+IF(DJ541="D",1,0)+IF(DK541="D",1,0)+IF(DO541="D",1,0)+IF(DP541="D",1,0)+IF(DQ541="D",1,0)+IF(DW541="D",1,0)+IF(DZ541="D",1,0)+IF(EH541="D",1,0)</f>
        <v>0</v>
      </c>
      <c r="AY541" s="0" t="n">
        <f aca="false">COUNTIF(DU541:EH541, "&lt;&gt;")</f>
        <v>0</v>
      </c>
      <c r="AZ541" s="0" t="n">
        <f aca="false">IF(EH541&lt;&gt;"",1,0)</f>
        <v>0</v>
      </c>
      <c r="BB541" s="0" t="s">
        <v>152</v>
      </c>
    </row>
    <row r="542" customFormat="false" ht="13.8" hidden="true" customHeight="false" outlineLevel="0" collapsed="false">
      <c r="A542" s="0" t="s">
        <v>2873</v>
      </c>
      <c r="B542" s="0" t="n">
        <v>78</v>
      </c>
      <c r="C542" s="0" t="n">
        <v>314635</v>
      </c>
      <c r="D542" s="0" t="s">
        <v>2874</v>
      </c>
      <c r="E542" s="0" t="s">
        <v>2875</v>
      </c>
      <c r="F542" s="0" t="str">
        <f aca="false">CONCATENATE(D542," ",LEFT(H542,4),"T=",AU542,"D=",AV542,"R=",AW542,"M=",AX542,"L=",AY542,"B=",AZ542)</f>
        <v>STEELE T=25D=4R=0M=0L=0B=0</v>
      </c>
      <c r="G542" s="0" t="s">
        <v>190</v>
      </c>
      <c r="I542" s="0" t="s">
        <v>2876</v>
      </c>
      <c r="J542" s="0" t="s">
        <v>2877</v>
      </c>
      <c r="K542" s="0" t="s">
        <v>143</v>
      </c>
      <c r="M542" s="0" t="s">
        <v>2878</v>
      </c>
      <c r="N542" s="0" t="str">
        <f aca="false">RIGHT(M542,LEN(M542)-FIND(" ",M542))</f>
        <v>E MARKET ST</v>
      </c>
      <c r="P542" s="0" t="s">
        <v>145</v>
      </c>
      <c r="Q542" s="0" t="s">
        <v>146</v>
      </c>
      <c r="R542" s="0" t="n">
        <v>44481</v>
      </c>
      <c r="AD542" s="0" t="s">
        <v>147</v>
      </c>
      <c r="AE542" s="0" t="s">
        <v>148</v>
      </c>
      <c r="AF542" s="0" t="s">
        <v>149</v>
      </c>
      <c r="AH542" s="0" t="n">
        <v>14</v>
      </c>
      <c r="AI542" s="0" t="n">
        <v>11</v>
      </c>
      <c r="AN542" s="0" t="s">
        <v>145</v>
      </c>
      <c r="AO542" s="0" t="s">
        <v>654</v>
      </c>
      <c r="AP542" s="0" t="s">
        <v>655</v>
      </c>
      <c r="AQ542" s="0" t="n">
        <v>9</v>
      </c>
      <c r="AR542" s="0" t="n">
        <v>64</v>
      </c>
      <c r="AS542" s="0" t="n">
        <v>32</v>
      </c>
      <c r="AU542" s="0" t="n">
        <f aca="false">COUNTA($BA$1235:$EH$1235)</f>
        <v>25</v>
      </c>
      <c r="AV542" s="0" t="n">
        <f aca="false">COUNTIF($BA$1235:$EH$1235,"D")</f>
        <v>4</v>
      </c>
      <c r="AW542" s="0" t="n">
        <f aca="false">COUNTIF($BA$1235:$EH$1235,"R")</f>
        <v>0</v>
      </c>
      <c r="AX542" s="0" t="n">
        <f aca="false">IF(BN542="D",1,0)+IF(BO542="D",1,0)+IF(BT542="D",1,0)+IF(BU542="D",1,0)+IF(BW542="D",1,0)+IF(CC542="D",1,0)+IF(CD542="D",1,0)+IF(CE542="D",1,0)+IF(CF542="D",1,0)+IF(CL542="D",1,0)+IF(CM542="D",1,0)+IF(CQ542="D",1,0)+IF(CR542="D",1,0)+IF(CS542="D",1,0)+IF(CW542="D",1,0)+IF(CX542="D",1,0)+IF(DD542="D",1,0)+IF(DE542="D",1,0)+IF(DJ542="D",1,0)+IF(DK542="D",1,0)+IF(DO542="D",1,0)+IF(DP542="D",1,0)+IF(DQ542="D",1,0)+IF(DW542="D",1,0)+IF(DZ542="D",1,0)+IF(EH542="D",1,0)</f>
        <v>0</v>
      </c>
      <c r="AY542" s="0" t="n">
        <f aca="false">COUNTIF(DU542:EH542, "&lt;&gt;")</f>
        <v>0</v>
      </c>
      <c r="AZ542" s="0" t="n">
        <f aca="false">IF(EH542&lt;&gt;"",1,0)</f>
        <v>0</v>
      </c>
      <c r="BB542" s="0" t="s">
        <v>152</v>
      </c>
    </row>
    <row r="543" customFormat="false" ht="13.8" hidden="false" customHeight="false" outlineLevel="0" collapsed="false">
      <c r="A543" s="0" t="s">
        <v>2879</v>
      </c>
      <c r="B543" s="0" t="n">
        <v>78</v>
      </c>
      <c r="C543" s="0" t="n">
        <v>15458</v>
      </c>
      <c r="D543" s="0" t="s">
        <v>2880</v>
      </c>
      <c r="E543" s="0" t="s">
        <v>2049</v>
      </c>
      <c r="F543" s="0" t="str">
        <f aca="false">CONCATENATE(D543," ",LEFT(H543,4),"T=",AU543,"D=",AV543,"R=",AW543,"M=",AX543,"L=",AY543,"B=",AZ543)</f>
        <v>SINCHAK T=1D=0R=0M=6L=6B=1</v>
      </c>
      <c r="G543" s="0" t="s">
        <v>175</v>
      </c>
      <c r="I543" s="0" t="s">
        <v>2881</v>
      </c>
      <c r="J543" s="0" t="s">
        <v>2882</v>
      </c>
      <c r="K543" s="0" t="s">
        <v>160</v>
      </c>
      <c r="L543" s="0" t="s">
        <v>175</v>
      </c>
      <c r="M543" s="0" t="s">
        <v>2883</v>
      </c>
      <c r="N543" s="0" t="str">
        <f aca="false">RIGHT(M543,LEN(M543)-FIND(" ",M543))</f>
        <v>E MARKET ST</v>
      </c>
      <c r="P543" s="0" t="s">
        <v>145</v>
      </c>
      <c r="Q543" s="0" t="s">
        <v>146</v>
      </c>
      <c r="R543" s="0" t="n">
        <v>44481</v>
      </c>
      <c r="AD543" s="0" t="s">
        <v>147</v>
      </c>
      <c r="AE543" s="0" t="s">
        <v>148</v>
      </c>
      <c r="AF543" s="0" t="s">
        <v>149</v>
      </c>
      <c r="AH543" s="0" t="n">
        <v>14</v>
      </c>
      <c r="AI543" s="0" t="n">
        <v>11</v>
      </c>
      <c r="AN543" s="0" t="s">
        <v>145</v>
      </c>
      <c r="AO543" s="0" t="s">
        <v>654</v>
      </c>
      <c r="AP543" s="0" t="s">
        <v>655</v>
      </c>
      <c r="AQ543" s="0" t="n">
        <v>9</v>
      </c>
      <c r="AR543" s="0" t="n">
        <v>64</v>
      </c>
      <c r="AS543" s="0" t="n">
        <v>32</v>
      </c>
      <c r="AU543" s="0" t="n">
        <f aca="false">COUNTA($BA$1399:$EH$1399)</f>
        <v>1</v>
      </c>
      <c r="AV543" s="0" t="n">
        <f aca="false">COUNTIF($BA$1399:$EH$1399,"D")</f>
        <v>0</v>
      </c>
      <c r="AW543" s="0" t="n">
        <f aca="false">COUNTIF($BA$1399:$EH$1399,"R")</f>
        <v>0</v>
      </c>
      <c r="AX543" s="0" t="n">
        <f aca="false">IF(BN543="D",1,0)+IF(BO543="D",1,0)+IF(BT543="D",1,0)+IF(BU543="D",1,0)+IF(BW543="D",1,0)+IF(CC543="D",1,0)+IF(CD543="D",1,0)+IF(CE543="D",1,0)+IF(CF543="D",1,0)+IF(CL543="D",1,0)+IF(CM543="D",1,0)+IF(CQ543="D",1,0)+IF(CR543="D",1,0)+IF(CS543="D",1,0)+IF(CW543="D",1,0)+IF(CX543="D",1,0)+IF(DD543="D",1,0)+IF(DE543="D",1,0)+IF(DJ543="D",1,0)+IF(DK543="D",1,0)+IF(DO543="D",1,0)+IF(DP543="D",1,0)+IF(DQ543="D",1,0)+IF(DW543="D",1,0)+IF(DZ543="D",1,0)+IF(EH543="D",1,0)</f>
        <v>6</v>
      </c>
      <c r="AY543" s="0" t="n">
        <f aca="false">COUNTIF(DU543:EH543, "&lt;&gt;")</f>
        <v>6</v>
      </c>
      <c r="AZ543" s="0" t="n">
        <f aca="false">IF(EH543&lt;&gt;"",1,0)</f>
        <v>1</v>
      </c>
      <c r="BB543" s="0" t="s">
        <v>152</v>
      </c>
      <c r="BC543" s="0" t="s">
        <v>153</v>
      </c>
      <c r="BD543" s="0" t="s">
        <v>153</v>
      </c>
      <c r="BE543" s="0" t="s">
        <v>153</v>
      </c>
      <c r="BF543" s="0" t="s">
        <v>153</v>
      </c>
      <c r="BG543" s="0" t="s">
        <v>153</v>
      </c>
      <c r="BH543" s="0" t="s">
        <v>153</v>
      </c>
      <c r="BI543" s="0" t="s">
        <v>153</v>
      </c>
      <c r="BJ543" s="0" t="s">
        <v>153</v>
      </c>
      <c r="BK543" s="0" t="s">
        <v>153</v>
      </c>
      <c r="BL543" s="0" t="s">
        <v>153</v>
      </c>
      <c r="BP543" s="0" t="s">
        <v>153</v>
      </c>
      <c r="BR543" s="0" t="s">
        <v>153</v>
      </c>
      <c r="BS543" s="0" t="s">
        <v>153</v>
      </c>
      <c r="BY543" s="0" t="s">
        <v>175</v>
      </c>
      <c r="CA543" s="0" t="s">
        <v>153</v>
      </c>
      <c r="CG543" s="0" t="s">
        <v>153</v>
      </c>
      <c r="CH543" s="0" t="s">
        <v>175</v>
      </c>
      <c r="CK543" s="0" t="s">
        <v>153</v>
      </c>
      <c r="CL543" s="0" t="s">
        <v>175</v>
      </c>
      <c r="CN543" s="0" t="s">
        <v>153</v>
      </c>
      <c r="CO543" s="0" t="s">
        <v>209</v>
      </c>
      <c r="CP543" s="0" t="s">
        <v>153</v>
      </c>
      <c r="CQ543" s="0" t="s">
        <v>175</v>
      </c>
      <c r="CT543" s="0" t="s">
        <v>153</v>
      </c>
      <c r="CU543" s="0" t="s">
        <v>175</v>
      </c>
      <c r="CV543" s="0" t="s">
        <v>153</v>
      </c>
      <c r="CW543" s="0" t="s">
        <v>175</v>
      </c>
      <c r="CY543" s="0" t="s">
        <v>153</v>
      </c>
      <c r="CZ543" s="0" t="s">
        <v>209</v>
      </c>
      <c r="DC543" s="0" t="s">
        <v>153</v>
      </c>
      <c r="DF543" s="0" t="s">
        <v>153</v>
      </c>
      <c r="DG543" s="0" t="s">
        <v>209</v>
      </c>
      <c r="DI543" s="0" t="s">
        <v>153</v>
      </c>
      <c r="DJ543" s="0" t="s">
        <v>175</v>
      </c>
      <c r="DL543" s="0" t="s">
        <v>153</v>
      </c>
      <c r="DN543" s="0" t="s">
        <v>153</v>
      </c>
      <c r="DS543" s="0" t="s">
        <v>175</v>
      </c>
      <c r="DU543" s="0" t="s">
        <v>153</v>
      </c>
      <c r="DW543" s="0" t="s">
        <v>175</v>
      </c>
      <c r="EA543" s="0" t="s">
        <v>153</v>
      </c>
      <c r="ED543" s="0" t="s">
        <v>175</v>
      </c>
      <c r="EF543" s="0" t="s">
        <v>153</v>
      </c>
      <c r="EH543" s="0" t="s">
        <v>175</v>
      </c>
    </row>
    <row r="544" customFormat="false" ht="13.8" hidden="true" customHeight="false" outlineLevel="0" collapsed="false">
      <c r="A544" s="0" t="s">
        <v>2884</v>
      </c>
      <c r="B544" s="0" t="n">
        <v>78</v>
      </c>
      <c r="C544" s="0" t="n">
        <v>423277</v>
      </c>
      <c r="D544" s="0" t="s">
        <v>1116</v>
      </c>
      <c r="E544" s="0" t="s">
        <v>2885</v>
      </c>
      <c r="F544" s="0" t="str">
        <f aca="false">CONCATENATE(D544," ",LEFT(H544,4),"T=",AU544,"D=",AV544,"R=",AW544,"M=",AX544,"L=",AY544,"B=",AZ544)</f>
        <v>FREEMAN T=7D=1R=0M=0L=0B=0</v>
      </c>
      <c r="G544" s="0" t="s">
        <v>175</v>
      </c>
      <c r="I544" s="0" t="s">
        <v>2886</v>
      </c>
      <c r="J544" s="0" t="s">
        <v>1464</v>
      </c>
      <c r="K544" s="0" t="s">
        <v>143</v>
      </c>
      <c r="M544" s="0" t="s">
        <v>2887</v>
      </c>
      <c r="N544" s="0" t="str">
        <f aca="false">RIGHT(M544,LEN(M544)-FIND(" ",M544))</f>
        <v>E MARKET ST</v>
      </c>
      <c r="O544" s="0" t="s">
        <v>220</v>
      </c>
      <c r="P544" s="0" t="s">
        <v>145</v>
      </c>
      <c r="Q544" s="0" t="s">
        <v>146</v>
      </c>
      <c r="R544" s="0" t="n">
        <v>44483</v>
      </c>
      <c r="AD544" s="0" t="s">
        <v>147</v>
      </c>
      <c r="AE544" s="0" t="s">
        <v>148</v>
      </c>
      <c r="AF544" s="0" t="s">
        <v>149</v>
      </c>
      <c r="AH544" s="0" t="n">
        <v>14</v>
      </c>
      <c r="AI544" s="0" t="n">
        <v>11</v>
      </c>
      <c r="AN544" s="0" t="s">
        <v>145</v>
      </c>
      <c r="AO544" s="0" t="s">
        <v>654</v>
      </c>
      <c r="AP544" s="0" t="s">
        <v>655</v>
      </c>
      <c r="AQ544" s="0" t="n">
        <v>9</v>
      </c>
      <c r="AR544" s="0" t="n">
        <v>64</v>
      </c>
      <c r="AS544" s="0" t="n">
        <v>32</v>
      </c>
      <c r="AU544" s="0" t="n">
        <f aca="false">COUNTA($BA$1607:$EH$1607)</f>
        <v>7</v>
      </c>
      <c r="AV544" s="0" t="n">
        <f aca="false">COUNTIF($BA$1607:$EH$1607,"D")</f>
        <v>1</v>
      </c>
      <c r="AW544" s="0" t="n">
        <f aca="false">COUNTIF($BA$1607:$EH$1607,"R")</f>
        <v>0</v>
      </c>
      <c r="AX544" s="0" t="n">
        <f aca="false">IF(BN544="D",1,0)+IF(BO544="D",1,0)+IF(BT544="D",1,0)+IF(BU544="D",1,0)+IF(BW544="D",1,0)+IF(CC544="D",1,0)+IF(CD544="D",1,0)+IF(CE544="D",1,0)+IF(CF544="D",1,0)+IF(CL544="D",1,0)+IF(CM544="D",1,0)+IF(CQ544="D",1,0)+IF(CR544="D",1,0)+IF(CS544="D",1,0)+IF(CW544="D",1,0)+IF(CX544="D",1,0)+IF(DD544="D",1,0)+IF(DE544="D",1,0)+IF(DJ544="D",1,0)+IF(DK544="D",1,0)+IF(DO544="D",1,0)+IF(DP544="D",1,0)+IF(DQ544="D",1,0)+IF(DW544="D",1,0)+IF(DZ544="D",1,0)+IF(EH544="D",1,0)</f>
        <v>0</v>
      </c>
      <c r="AY544" s="0" t="n">
        <f aca="false">COUNTIF(DU544:EH544, "&lt;&gt;")</f>
        <v>0</v>
      </c>
      <c r="AZ544" s="0" t="n">
        <f aca="false">IF(EH544&lt;&gt;"",1,0)</f>
        <v>0</v>
      </c>
      <c r="BB544" s="0" t="s">
        <v>152</v>
      </c>
    </row>
    <row r="545" customFormat="false" ht="13.8" hidden="true" customHeight="false" outlineLevel="0" collapsed="false">
      <c r="A545" s="0" t="s">
        <v>2888</v>
      </c>
      <c r="B545" s="0" t="n">
        <v>78</v>
      </c>
      <c r="C545" s="0" t="n">
        <v>371678</v>
      </c>
      <c r="D545" s="0" t="s">
        <v>2889</v>
      </c>
      <c r="E545" s="0" t="s">
        <v>594</v>
      </c>
      <c r="F545" s="0" t="str">
        <f aca="false">CONCATENATE(D545," ",LEFT(H545,4),"T=",AU545,"D=",AV545,"R=",AW545,"M=",AX545,"L=",AY545,"B=",AZ545)</f>
        <v>WHEELER T=3D=0R=0M=0L=0B=0</v>
      </c>
      <c r="G545" s="0" t="s">
        <v>2214</v>
      </c>
      <c r="I545" s="0" t="s">
        <v>2890</v>
      </c>
      <c r="J545" s="0" t="s">
        <v>2891</v>
      </c>
      <c r="K545" s="0" t="s">
        <v>160</v>
      </c>
      <c r="M545" s="0" t="s">
        <v>2892</v>
      </c>
      <c r="N545" s="0" t="str">
        <f aca="false">RIGHT(M545,LEN(M545)-FIND(" ",M545))</f>
        <v>E MARKET ST</v>
      </c>
      <c r="P545" s="0" t="s">
        <v>145</v>
      </c>
      <c r="Q545" s="0" t="s">
        <v>146</v>
      </c>
      <c r="R545" s="0" t="n">
        <v>44483</v>
      </c>
      <c r="AD545" s="0" t="s">
        <v>147</v>
      </c>
      <c r="AE545" s="0" t="s">
        <v>148</v>
      </c>
      <c r="AF545" s="0" t="s">
        <v>149</v>
      </c>
      <c r="AH545" s="0" t="n">
        <v>14</v>
      </c>
      <c r="AI545" s="0" t="n">
        <v>11</v>
      </c>
      <c r="AN545" s="0" t="s">
        <v>145</v>
      </c>
      <c r="AO545" s="0" t="s">
        <v>654</v>
      </c>
      <c r="AP545" s="0" t="s">
        <v>655</v>
      </c>
      <c r="AQ545" s="0" t="n">
        <v>9</v>
      </c>
      <c r="AR545" s="0" t="n">
        <v>64</v>
      </c>
      <c r="AS545" s="0" t="n">
        <v>32</v>
      </c>
      <c r="AU545" s="0" t="n">
        <f aca="false">COUNTA($BA$2004:$EH$2004)</f>
        <v>3</v>
      </c>
      <c r="AV545" s="0" t="n">
        <f aca="false">COUNTIF($BA$2004:$EH$2004,"D")</f>
        <v>0</v>
      </c>
      <c r="AW545" s="0" t="n">
        <f aca="false">COUNTIF($BA$2004:$EH$2004,"R")</f>
        <v>0</v>
      </c>
      <c r="AX545" s="0" t="n">
        <f aca="false">IF(BN545="D",1,0)+IF(BO545="D",1,0)+IF(BT545="D",1,0)+IF(BU545="D",1,0)+IF(BW545="D",1,0)+IF(CC545="D",1,0)+IF(CD545="D",1,0)+IF(CE545="D",1,0)+IF(CF545="D",1,0)+IF(CL545="D",1,0)+IF(CM545="D",1,0)+IF(CQ545="D",1,0)+IF(CR545="D",1,0)+IF(CS545="D",1,0)+IF(CW545="D",1,0)+IF(CX545="D",1,0)+IF(DD545="D",1,0)+IF(DE545="D",1,0)+IF(DJ545="D",1,0)+IF(DK545="D",1,0)+IF(DO545="D",1,0)+IF(DP545="D",1,0)+IF(DQ545="D",1,0)+IF(DW545="D",1,0)+IF(DZ545="D",1,0)+IF(EH545="D",1,0)</f>
        <v>0</v>
      </c>
      <c r="AY545" s="0" t="n">
        <f aca="false">COUNTIF(DU545:EH545, "&lt;&gt;")</f>
        <v>0</v>
      </c>
      <c r="AZ545" s="0" t="n">
        <f aca="false">IF(EH545&lt;&gt;"",1,0)</f>
        <v>0</v>
      </c>
      <c r="BB545" s="0" t="s">
        <v>152</v>
      </c>
    </row>
    <row r="546" customFormat="false" ht="13.8" hidden="true" customHeight="false" outlineLevel="0" collapsed="false">
      <c r="A546" s="0" t="s">
        <v>2893</v>
      </c>
      <c r="B546" s="0" t="n">
        <v>78</v>
      </c>
      <c r="C546" s="0" t="n">
        <v>441252</v>
      </c>
      <c r="D546" s="0" t="s">
        <v>2894</v>
      </c>
      <c r="E546" s="0" t="s">
        <v>2895</v>
      </c>
      <c r="F546" s="0" t="str">
        <f aca="false">CONCATENATE(D546," ",LEFT(H546,4),"T=",AU546,"D=",AV546,"R=",AW546,"M=",AX546,"L=",AY546,"B=",AZ546)</f>
        <v>WEBER T=4D=0R=0M=0L=0B=0</v>
      </c>
      <c r="G546" s="0" t="s">
        <v>2423</v>
      </c>
      <c r="I546" s="0" t="s">
        <v>2896</v>
      </c>
      <c r="J546" s="0" t="s">
        <v>2897</v>
      </c>
      <c r="K546" s="0" t="s">
        <v>143</v>
      </c>
      <c r="M546" s="0" t="s">
        <v>2892</v>
      </c>
      <c r="N546" s="0" t="str">
        <f aca="false">RIGHT(M546,LEN(M546)-FIND(" ",M546))</f>
        <v>E MARKET ST</v>
      </c>
      <c r="P546" s="0" t="s">
        <v>145</v>
      </c>
      <c r="Q546" s="0" t="s">
        <v>146</v>
      </c>
      <c r="R546" s="0" t="n">
        <v>44483</v>
      </c>
      <c r="AD546" s="0" t="s">
        <v>147</v>
      </c>
      <c r="AE546" s="0" t="s">
        <v>148</v>
      </c>
      <c r="AF546" s="0" t="s">
        <v>149</v>
      </c>
      <c r="AH546" s="0" t="n">
        <v>14</v>
      </c>
      <c r="AI546" s="0" t="n">
        <v>11</v>
      </c>
      <c r="AN546" s="0" t="s">
        <v>145</v>
      </c>
      <c r="AO546" s="0" t="s">
        <v>654</v>
      </c>
      <c r="AP546" s="0" t="s">
        <v>655</v>
      </c>
      <c r="AQ546" s="0" t="n">
        <v>9</v>
      </c>
      <c r="AR546" s="0" t="n">
        <v>64</v>
      </c>
      <c r="AS546" s="0" t="n">
        <v>32</v>
      </c>
      <c r="AU546" s="0" t="n">
        <f aca="false">COUNTA($BA$2070:$EH$2070)</f>
        <v>4</v>
      </c>
      <c r="AV546" s="0" t="n">
        <f aca="false">COUNTIF($BA$2070:$EH$2070,"D")</f>
        <v>0</v>
      </c>
      <c r="AW546" s="0" t="n">
        <f aca="false">COUNTIF($BA$2070:$EH$2070,"R")</f>
        <v>0</v>
      </c>
      <c r="AX546" s="0" t="n">
        <f aca="false">IF(BN546="D",1,0)+IF(BO546="D",1,0)+IF(BT546="D",1,0)+IF(BU546="D",1,0)+IF(BW546="D",1,0)+IF(CC546="D",1,0)+IF(CD546="D",1,0)+IF(CE546="D",1,0)+IF(CF546="D",1,0)+IF(CL546="D",1,0)+IF(CM546="D",1,0)+IF(CQ546="D",1,0)+IF(CR546="D",1,0)+IF(CS546="D",1,0)+IF(CW546="D",1,0)+IF(CX546="D",1,0)+IF(DD546="D",1,0)+IF(DE546="D",1,0)+IF(DJ546="D",1,0)+IF(DK546="D",1,0)+IF(DO546="D",1,0)+IF(DP546="D",1,0)+IF(DQ546="D",1,0)+IF(DW546="D",1,0)+IF(DZ546="D",1,0)+IF(EH546="D",1,0)</f>
        <v>0</v>
      </c>
      <c r="AY546" s="0" t="n">
        <f aca="false">COUNTIF(DU546:EH546, "&lt;&gt;")</f>
        <v>0</v>
      </c>
      <c r="AZ546" s="0" t="n">
        <f aca="false">IF(EH546&lt;&gt;"",1,0)</f>
        <v>0</v>
      </c>
      <c r="BB546" s="0" t="s">
        <v>152</v>
      </c>
      <c r="DN546" s="0" t="s">
        <v>153</v>
      </c>
    </row>
    <row r="547" customFormat="false" ht="13.8" hidden="true" customHeight="false" outlineLevel="0" collapsed="false">
      <c r="A547" s="0" t="s">
        <v>2898</v>
      </c>
      <c r="B547" s="0" t="n">
        <v>78</v>
      </c>
      <c r="C547" s="0" t="n">
        <v>352914</v>
      </c>
      <c r="D547" s="0" t="s">
        <v>2899</v>
      </c>
      <c r="E547" s="0" t="s">
        <v>1451</v>
      </c>
      <c r="F547" s="0" t="str">
        <f aca="false">CONCATENATE(D547," ",LEFT(H547,4),"T=",AU547,"D=",AV547,"R=",AW547,"M=",AX547,"L=",AY547,"B=",AZ547)</f>
        <v>MCCLAIN T=2D=0R=0M=0L=0B=0</v>
      </c>
      <c r="G547" s="0" t="s">
        <v>307</v>
      </c>
      <c r="I547" s="0" t="s">
        <v>2900</v>
      </c>
      <c r="J547" s="0" t="s">
        <v>2901</v>
      </c>
      <c r="K547" s="0" t="s">
        <v>160</v>
      </c>
      <c r="M547" s="0" t="s">
        <v>2902</v>
      </c>
      <c r="N547" s="0" t="str">
        <f aca="false">RIGHT(M547,LEN(M547)-FIND(" ",M547))</f>
        <v>EAST AVE SE</v>
      </c>
      <c r="P547" s="0" t="s">
        <v>145</v>
      </c>
      <c r="Q547" s="0" t="s">
        <v>146</v>
      </c>
      <c r="R547" s="0" t="n">
        <v>44484</v>
      </c>
      <c r="AD547" s="0" t="s">
        <v>147</v>
      </c>
      <c r="AE547" s="0" t="s">
        <v>148</v>
      </c>
      <c r="AF547" s="0" t="s">
        <v>149</v>
      </c>
      <c r="AH547" s="0" t="n">
        <v>14</v>
      </c>
      <c r="AI547" s="0" t="n">
        <v>11</v>
      </c>
      <c r="AN547" s="0" t="s">
        <v>145</v>
      </c>
      <c r="AO547" s="0" t="s">
        <v>233</v>
      </c>
      <c r="AP547" s="0" t="s">
        <v>234</v>
      </c>
      <c r="AQ547" s="0" t="n">
        <v>9</v>
      </c>
      <c r="AR547" s="0" t="n">
        <v>64</v>
      </c>
      <c r="AS547" s="0" t="n">
        <v>32</v>
      </c>
      <c r="AU547" s="0" t="n">
        <f aca="false">COUNTA($BA$2302:$EH$2302)</f>
        <v>2</v>
      </c>
      <c r="AV547" s="0" t="n">
        <f aca="false">COUNTIF($BA$2302:$EH$2302,"D")</f>
        <v>0</v>
      </c>
      <c r="AW547" s="0" t="n">
        <f aca="false">COUNTIF($BA$2302:$EH$2302,"R")</f>
        <v>0</v>
      </c>
      <c r="AX547" s="0" t="n">
        <f aca="false">IF(BN547="D",1,0)+IF(BO547="D",1,0)+IF(BT547="D",1,0)+IF(BU547="D",1,0)+IF(BW547="D",1,0)+IF(CC547="D",1,0)+IF(CD547="D",1,0)+IF(CE547="D",1,0)+IF(CF547="D",1,0)+IF(CL547="D",1,0)+IF(CM547="D",1,0)+IF(CQ547="D",1,0)+IF(CR547="D",1,0)+IF(CS547="D",1,0)+IF(CW547="D",1,0)+IF(CX547="D",1,0)+IF(DD547="D",1,0)+IF(DE547="D",1,0)+IF(DJ547="D",1,0)+IF(DK547="D",1,0)+IF(DO547="D",1,0)+IF(DP547="D",1,0)+IF(DQ547="D",1,0)+IF(DW547="D",1,0)+IF(DZ547="D",1,0)+IF(EH547="D",1,0)</f>
        <v>0</v>
      </c>
      <c r="AY547" s="0" t="n">
        <f aca="false">COUNTIF(DU547:EH547, "&lt;&gt;")</f>
        <v>0</v>
      </c>
      <c r="AZ547" s="0" t="n">
        <f aca="false">IF(EH547&lt;&gt;"",1,0)</f>
        <v>0</v>
      </c>
      <c r="BB547" s="0" t="s">
        <v>152</v>
      </c>
    </row>
    <row r="548" customFormat="false" ht="13.8" hidden="true" customHeight="false" outlineLevel="0" collapsed="false">
      <c r="A548" s="0" t="s">
        <v>2903</v>
      </c>
      <c r="B548" s="0" t="n">
        <v>78</v>
      </c>
      <c r="C548" s="0" t="n">
        <v>350971</v>
      </c>
      <c r="D548" s="0" t="s">
        <v>2899</v>
      </c>
      <c r="E548" s="0" t="s">
        <v>2904</v>
      </c>
      <c r="F548" s="0" t="str">
        <f aca="false">CONCATENATE(D548," ",LEFT(H548,4),"T=",AU548,"D=",AV548,"R=",AW548,"M=",AX548,"L=",AY548,"B=",AZ548)</f>
        <v>MCCLAIN T=9D=1R=0M=0L=0B=0</v>
      </c>
      <c r="G548" s="0" t="s">
        <v>275</v>
      </c>
      <c r="I548" s="0" t="s">
        <v>2905</v>
      </c>
      <c r="J548" s="0" t="s">
        <v>2788</v>
      </c>
      <c r="K548" s="0" t="s">
        <v>143</v>
      </c>
      <c r="M548" s="0" t="s">
        <v>2902</v>
      </c>
      <c r="N548" s="0" t="str">
        <f aca="false">RIGHT(M548,LEN(M548)-FIND(" ",M548))</f>
        <v>EAST AVE SE</v>
      </c>
      <c r="P548" s="0" t="s">
        <v>145</v>
      </c>
      <c r="Q548" s="0" t="s">
        <v>146</v>
      </c>
      <c r="R548" s="0" t="n">
        <v>44484</v>
      </c>
      <c r="AD548" s="0" t="s">
        <v>147</v>
      </c>
      <c r="AE548" s="0" t="s">
        <v>148</v>
      </c>
      <c r="AF548" s="0" t="s">
        <v>149</v>
      </c>
      <c r="AH548" s="0" t="n">
        <v>14</v>
      </c>
      <c r="AI548" s="0" t="n">
        <v>11</v>
      </c>
      <c r="AN548" s="0" t="s">
        <v>145</v>
      </c>
      <c r="AO548" s="0" t="s">
        <v>233</v>
      </c>
      <c r="AP548" s="0" t="s">
        <v>234</v>
      </c>
      <c r="AQ548" s="0" t="n">
        <v>9</v>
      </c>
      <c r="AR548" s="0" t="n">
        <v>64</v>
      </c>
      <c r="AS548" s="0" t="n">
        <v>32</v>
      </c>
      <c r="AU548" s="0" t="n">
        <f aca="false">COUNTA($BA$2400:$EH$2400)</f>
        <v>9</v>
      </c>
      <c r="AV548" s="0" t="n">
        <f aca="false">COUNTIF($BA$2400:$EH$2400,"D")</f>
        <v>1</v>
      </c>
      <c r="AW548" s="0" t="n">
        <f aca="false">COUNTIF($BA$2400:$EH$2400,"R")</f>
        <v>0</v>
      </c>
      <c r="AX548" s="0" t="n">
        <f aca="false">IF(BN548="D",1,0)+IF(BO548="D",1,0)+IF(BT548="D",1,0)+IF(BU548="D",1,0)+IF(BW548="D",1,0)+IF(CC548="D",1,0)+IF(CD548="D",1,0)+IF(CE548="D",1,0)+IF(CF548="D",1,0)+IF(CL548="D",1,0)+IF(CM548="D",1,0)+IF(CQ548="D",1,0)+IF(CR548="D",1,0)+IF(CS548="D",1,0)+IF(CW548="D",1,0)+IF(CX548="D",1,0)+IF(DD548="D",1,0)+IF(DE548="D",1,0)+IF(DJ548="D",1,0)+IF(DK548="D",1,0)+IF(DO548="D",1,0)+IF(DP548="D",1,0)+IF(DQ548="D",1,0)+IF(DW548="D",1,0)+IF(DZ548="D",1,0)+IF(EH548="D",1,0)</f>
        <v>0</v>
      </c>
      <c r="AY548" s="0" t="n">
        <f aca="false">COUNTIF(DU548:EH548, "&lt;&gt;")</f>
        <v>0</v>
      </c>
      <c r="AZ548" s="0" t="n">
        <f aca="false">IF(EH548&lt;&gt;"",1,0)</f>
        <v>0</v>
      </c>
      <c r="BB548" s="0" t="s">
        <v>152</v>
      </c>
    </row>
    <row r="549" customFormat="false" ht="13.8" hidden="true" customHeight="false" outlineLevel="0" collapsed="false">
      <c r="A549" s="0" t="s">
        <v>2906</v>
      </c>
      <c r="B549" s="0" t="n">
        <v>78</v>
      </c>
      <c r="C549" s="0" t="n">
        <v>14464</v>
      </c>
      <c r="D549" s="0" t="s">
        <v>2907</v>
      </c>
      <c r="E549" s="0" t="s">
        <v>747</v>
      </c>
      <c r="F549" s="0" t="str">
        <f aca="false">CONCATENATE(D549," ",LEFT(H549,4),"T=",AU549,"D=",AV549,"R=",AW549,"M=",AX549,"L=",AY549,"B=",AZ549)</f>
        <v>MCMAHAN T=2D=0R=0M=1L=0B=0</v>
      </c>
      <c r="G549" s="0" t="s">
        <v>1310</v>
      </c>
      <c r="I549" s="0" t="s">
        <v>2908</v>
      </c>
      <c r="J549" s="0" t="s">
        <v>2909</v>
      </c>
      <c r="K549" s="0" t="s">
        <v>143</v>
      </c>
      <c r="M549" s="0" t="s">
        <v>2902</v>
      </c>
      <c r="N549" s="0" t="str">
        <f aca="false">RIGHT(M549,LEN(M549)-FIND(" ",M549))</f>
        <v>EAST AVE SE</v>
      </c>
      <c r="P549" s="0" t="s">
        <v>145</v>
      </c>
      <c r="Q549" s="0" t="s">
        <v>146</v>
      </c>
      <c r="R549" s="0" t="n">
        <v>44484</v>
      </c>
      <c r="AD549" s="0" t="s">
        <v>147</v>
      </c>
      <c r="AE549" s="0" t="s">
        <v>148</v>
      </c>
      <c r="AF549" s="0" t="s">
        <v>149</v>
      </c>
      <c r="AH549" s="0" t="n">
        <v>14</v>
      </c>
      <c r="AI549" s="0" t="n">
        <v>11</v>
      </c>
      <c r="AN549" s="0" t="s">
        <v>145</v>
      </c>
      <c r="AO549" s="0" t="s">
        <v>233</v>
      </c>
      <c r="AP549" s="0" t="s">
        <v>234</v>
      </c>
      <c r="AQ549" s="0" t="n">
        <v>9</v>
      </c>
      <c r="AR549" s="0" t="n">
        <v>64</v>
      </c>
      <c r="AS549" s="0" t="n">
        <v>32</v>
      </c>
      <c r="AU549" s="0" t="n">
        <f aca="false">COUNTA($BA$2405:$EH$2405)</f>
        <v>2</v>
      </c>
      <c r="AV549" s="0" t="n">
        <f aca="false">COUNTIF($BA$2405:$EH$2405,"D")</f>
        <v>0</v>
      </c>
      <c r="AW549" s="0" t="n">
        <f aca="false">COUNTIF($BA$2405:$EH$2405,"R")</f>
        <v>0</v>
      </c>
      <c r="AX549" s="0" t="n">
        <f aca="false">IF(BN549="D",1,0)+IF(BO549="D",1,0)+IF(BT549="D",1,0)+IF(BU549="D",1,0)+IF(BW549="D",1,0)+IF(CC549="D",1,0)+IF(CD549="D",1,0)+IF(CE549="D",1,0)+IF(CF549="D",1,0)+IF(CL549="D",1,0)+IF(CM549="D",1,0)+IF(CQ549="D",1,0)+IF(CR549="D",1,0)+IF(CS549="D",1,0)+IF(CW549="D",1,0)+IF(CX549="D",1,0)+IF(DD549="D",1,0)+IF(DE549="D",1,0)+IF(DJ549="D",1,0)+IF(DK549="D",1,0)+IF(DO549="D",1,0)+IF(DP549="D",1,0)+IF(DQ549="D",1,0)+IF(DW549="D",1,0)+IF(DZ549="D",1,0)+IF(EH549="D",1,0)</f>
        <v>1</v>
      </c>
      <c r="AY549" s="0" t="n">
        <f aca="false">COUNTIF(DU549:EH549, "&lt;&gt;")</f>
        <v>0</v>
      </c>
      <c r="AZ549" s="0" t="n">
        <f aca="false">IF(EH549&lt;&gt;"",1,0)</f>
        <v>0</v>
      </c>
      <c r="BB549" s="0" t="s">
        <v>152</v>
      </c>
      <c r="BC549" s="0" t="s">
        <v>153</v>
      </c>
      <c r="BD549" s="0" t="s">
        <v>153</v>
      </c>
      <c r="BL549" s="0" t="s">
        <v>153</v>
      </c>
      <c r="BY549" s="0" t="s">
        <v>175</v>
      </c>
      <c r="CA549" s="0" t="s">
        <v>153</v>
      </c>
      <c r="CC549" s="0" t="s">
        <v>175</v>
      </c>
      <c r="CP549" s="0" t="s">
        <v>153</v>
      </c>
      <c r="CY549" s="0" t="s">
        <v>153</v>
      </c>
    </row>
    <row r="550" customFormat="false" ht="13.8" hidden="true" customHeight="false" outlineLevel="0" collapsed="false">
      <c r="A550" s="0" t="s">
        <v>2910</v>
      </c>
      <c r="B550" s="0" t="n">
        <v>78</v>
      </c>
      <c r="C550" s="0" t="n">
        <v>407311</v>
      </c>
      <c r="D550" s="0" t="s">
        <v>1504</v>
      </c>
      <c r="E550" s="0" t="s">
        <v>2911</v>
      </c>
      <c r="F550" s="0" t="str">
        <f aca="false">CONCATENATE(D550," ",LEFT(H550,4),"T=",AU550,"D=",AV550,"R=",AW550,"M=",AX550,"L=",AY550,"B=",AZ550)</f>
        <v>KING T=10D=0R=0M=0L=0B=0</v>
      </c>
      <c r="G550" s="0" t="s">
        <v>209</v>
      </c>
      <c r="I550" s="0" t="s">
        <v>2912</v>
      </c>
      <c r="J550" s="0" t="s">
        <v>2913</v>
      </c>
      <c r="K550" s="0" t="s">
        <v>143</v>
      </c>
      <c r="M550" s="0" t="s">
        <v>2902</v>
      </c>
      <c r="N550" s="0" t="str">
        <f aca="false">RIGHT(M550,LEN(M550)-FIND(" ",M550))</f>
        <v>EAST AVE SE</v>
      </c>
      <c r="P550" s="0" t="s">
        <v>145</v>
      </c>
      <c r="Q550" s="0" t="s">
        <v>146</v>
      </c>
      <c r="R550" s="0" t="n">
        <v>44484</v>
      </c>
      <c r="AD550" s="0" t="s">
        <v>147</v>
      </c>
      <c r="AE550" s="0" t="s">
        <v>148</v>
      </c>
      <c r="AF550" s="0" t="s">
        <v>149</v>
      </c>
      <c r="AH550" s="0" t="n">
        <v>14</v>
      </c>
      <c r="AI550" s="0" t="n">
        <v>11</v>
      </c>
      <c r="AN550" s="0" t="s">
        <v>145</v>
      </c>
      <c r="AO550" s="0" t="s">
        <v>233</v>
      </c>
      <c r="AP550" s="0" t="s">
        <v>234</v>
      </c>
      <c r="AQ550" s="0" t="n">
        <v>9</v>
      </c>
      <c r="AR550" s="0" t="n">
        <v>64</v>
      </c>
      <c r="AS550" s="0" t="n">
        <v>32</v>
      </c>
      <c r="AU550" s="0" t="n">
        <f aca="false">COUNTA($BA$2642:$EH$2642)</f>
        <v>10</v>
      </c>
      <c r="AV550" s="0" t="n">
        <f aca="false">COUNTIF($BA$2642:$EH$2642,"D")</f>
        <v>0</v>
      </c>
      <c r="AW550" s="0" t="n">
        <f aca="false">COUNTIF($BA$2642:$EH$2642,"R")</f>
        <v>0</v>
      </c>
      <c r="AX550" s="0" t="n">
        <f aca="false">IF(BN550="D",1,0)+IF(BO550="D",1,0)+IF(BT550="D",1,0)+IF(BU550="D",1,0)+IF(BW550="D",1,0)+IF(CC550="D",1,0)+IF(CD550="D",1,0)+IF(CE550="D",1,0)+IF(CF550="D",1,0)+IF(CL550="D",1,0)+IF(CM550="D",1,0)+IF(CQ550="D",1,0)+IF(CR550="D",1,0)+IF(CS550="D",1,0)+IF(CW550="D",1,0)+IF(CX550="D",1,0)+IF(DD550="D",1,0)+IF(DE550="D",1,0)+IF(DJ550="D",1,0)+IF(DK550="D",1,0)+IF(DO550="D",1,0)+IF(DP550="D",1,0)+IF(DQ550="D",1,0)+IF(DW550="D",1,0)+IF(DZ550="D",1,0)+IF(EH550="D",1,0)</f>
        <v>0</v>
      </c>
      <c r="AY550" s="0" t="n">
        <f aca="false">COUNTIF(DU550:EH550, "&lt;&gt;")</f>
        <v>0</v>
      </c>
      <c r="AZ550" s="0" t="n">
        <f aca="false">IF(EH550&lt;&gt;"",1,0)</f>
        <v>0</v>
      </c>
      <c r="BB550" s="0" t="s">
        <v>152</v>
      </c>
      <c r="DC550" s="0" t="s">
        <v>153</v>
      </c>
    </row>
    <row r="551" customFormat="false" ht="13.8" hidden="true" customHeight="false" outlineLevel="0" collapsed="false">
      <c r="A551" s="0" t="s">
        <v>2914</v>
      </c>
      <c r="B551" s="0" t="n">
        <v>78</v>
      </c>
      <c r="C551" s="0" t="n">
        <v>251254</v>
      </c>
      <c r="D551" s="0" t="s">
        <v>1192</v>
      </c>
      <c r="E551" s="0" t="s">
        <v>2915</v>
      </c>
      <c r="F551" s="0" t="str">
        <f aca="false">CONCATENATE(D551," ",LEFT(H551,4),"T=",AU551,"D=",AV551,"R=",AW551,"M=",AX551,"L=",AY551,"B=",AZ551)</f>
        <v>MILLER T=1D=0R=0M=1L=0B=0</v>
      </c>
      <c r="I551" s="0" t="s">
        <v>2916</v>
      </c>
      <c r="J551" s="0" t="s">
        <v>2917</v>
      </c>
      <c r="K551" s="0" t="s">
        <v>143</v>
      </c>
      <c r="M551" s="0" t="s">
        <v>2918</v>
      </c>
      <c r="N551" s="0" t="str">
        <f aca="false">RIGHT(M551,LEN(M551)-FIND(" ",M551))</f>
        <v>EAST AVE SE</v>
      </c>
      <c r="P551" s="0" t="s">
        <v>145</v>
      </c>
      <c r="Q551" s="0" t="s">
        <v>146</v>
      </c>
      <c r="R551" s="0" t="n">
        <v>44484</v>
      </c>
      <c r="AD551" s="0" t="s">
        <v>147</v>
      </c>
      <c r="AE551" s="0" t="s">
        <v>148</v>
      </c>
      <c r="AF551" s="0" t="s">
        <v>149</v>
      </c>
      <c r="AH551" s="0" t="n">
        <v>14</v>
      </c>
      <c r="AI551" s="0" t="n">
        <v>11</v>
      </c>
      <c r="AN551" s="0" t="s">
        <v>145</v>
      </c>
      <c r="AO551" s="0" t="s">
        <v>233</v>
      </c>
      <c r="AP551" s="0" t="s">
        <v>234</v>
      </c>
      <c r="AQ551" s="0" t="n">
        <v>9</v>
      </c>
      <c r="AR551" s="0" t="n">
        <v>64</v>
      </c>
      <c r="AS551" s="0" t="n">
        <v>32</v>
      </c>
      <c r="AU551" s="0" t="n">
        <f aca="false">COUNTA($BA$2576:$EH$2576)</f>
        <v>1</v>
      </c>
      <c r="AV551" s="0" t="n">
        <f aca="false">COUNTIF($BA$2576:$EH$2576,"D")</f>
        <v>0</v>
      </c>
      <c r="AW551" s="0" t="n">
        <f aca="false">COUNTIF($BA$2576:$EH$2576,"R")</f>
        <v>0</v>
      </c>
      <c r="AX551" s="0" t="n">
        <f aca="false">IF(BN551="D",1,0)+IF(BO551="D",1,0)+IF(BT551="D",1,0)+IF(BU551="D",1,0)+IF(BW551="D",1,0)+IF(CC551="D",1,0)+IF(CD551="D",1,0)+IF(CE551="D",1,0)+IF(CF551="D",1,0)+IF(CL551="D",1,0)+IF(CM551="D",1,0)+IF(CQ551="D",1,0)+IF(CR551="D",1,0)+IF(CS551="D",1,0)+IF(CW551="D",1,0)+IF(CX551="D",1,0)+IF(DD551="D",1,0)+IF(DE551="D",1,0)+IF(DJ551="D",1,0)+IF(DK551="D",1,0)+IF(DO551="D",1,0)+IF(DP551="D",1,0)+IF(DQ551="D",1,0)+IF(DW551="D",1,0)+IF(DZ551="D",1,0)+IF(EH551="D",1,0)</f>
        <v>1</v>
      </c>
      <c r="AY551" s="0" t="n">
        <f aca="false">COUNTIF(DU551:EH551, "&lt;&gt;")</f>
        <v>0</v>
      </c>
      <c r="AZ551" s="0" t="n">
        <f aca="false">IF(EH551&lt;&gt;"",1,0)</f>
        <v>0</v>
      </c>
      <c r="BB551" s="0" t="s">
        <v>152</v>
      </c>
      <c r="BC551" s="0" t="s">
        <v>153</v>
      </c>
      <c r="BD551" s="0" t="s">
        <v>153</v>
      </c>
      <c r="BL551" s="0" t="s">
        <v>153</v>
      </c>
      <c r="BY551" s="0" t="s">
        <v>175</v>
      </c>
      <c r="CA551" s="0" t="s">
        <v>153</v>
      </c>
      <c r="CK551" s="0" t="s">
        <v>153</v>
      </c>
      <c r="CL551" s="0" t="s">
        <v>175</v>
      </c>
      <c r="CN551" s="0" t="s">
        <v>153</v>
      </c>
      <c r="CP551" s="0" t="s">
        <v>153</v>
      </c>
      <c r="CZ551" s="0" t="s">
        <v>175</v>
      </c>
      <c r="DC551" s="0" t="s">
        <v>153</v>
      </c>
      <c r="DI551" s="0" t="s">
        <v>153</v>
      </c>
    </row>
    <row r="552" customFormat="false" ht="13.8" hidden="false" customHeight="false" outlineLevel="0" collapsed="false">
      <c r="A552" s="0" t="s">
        <v>2919</v>
      </c>
      <c r="B552" s="0" t="n">
        <v>78</v>
      </c>
      <c r="C552" s="0" t="n">
        <v>259598</v>
      </c>
      <c r="D552" s="0" t="s">
        <v>1192</v>
      </c>
      <c r="E552" s="0" t="s">
        <v>2920</v>
      </c>
      <c r="F552" s="0" t="str">
        <f aca="false">CONCATENATE(D552," ",LEFT(H552,4),"T=",AU552,"D=",AV552,"R=",AW552,"M=",AX552,"L=",AY552,"B=",AZ552)</f>
        <v>MILLER SRT=4D=0R=0M=1L=2B=0</v>
      </c>
      <c r="G552" s="0" t="s">
        <v>171</v>
      </c>
      <c r="H552" s="0" t="s">
        <v>216</v>
      </c>
      <c r="I552" s="0" t="s">
        <v>2921</v>
      </c>
      <c r="J552" s="0" t="s">
        <v>2922</v>
      </c>
      <c r="K552" s="0" t="s">
        <v>160</v>
      </c>
      <c r="M552" s="0" t="s">
        <v>2918</v>
      </c>
      <c r="N552" s="0" t="str">
        <f aca="false">RIGHT(M552,LEN(M552)-FIND(" ",M552))</f>
        <v>EAST AVE SE</v>
      </c>
      <c r="P552" s="0" t="s">
        <v>145</v>
      </c>
      <c r="Q552" s="0" t="s">
        <v>146</v>
      </c>
      <c r="R552" s="0" t="n">
        <v>44484</v>
      </c>
      <c r="AD552" s="0" t="s">
        <v>147</v>
      </c>
      <c r="AE552" s="0" t="s">
        <v>148</v>
      </c>
      <c r="AF552" s="0" t="s">
        <v>149</v>
      </c>
      <c r="AH552" s="0" t="n">
        <v>14</v>
      </c>
      <c r="AI552" s="0" t="n">
        <v>11</v>
      </c>
      <c r="AN552" s="0" t="s">
        <v>145</v>
      </c>
      <c r="AO552" s="0" t="s">
        <v>233</v>
      </c>
      <c r="AP552" s="0" t="s">
        <v>234</v>
      </c>
      <c r="AQ552" s="0" t="n">
        <v>9</v>
      </c>
      <c r="AR552" s="0" t="n">
        <v>64</v>
      </c>
      <c r="AS552" s="0" t="n">
        <v>32</v>
      </c>
      <c r="AU552" s="0" t="n">
        <f aca="false">COUNTA($BA$2619:$EH$2619)</f>
        <v>4</v>
      </c>
      <c r="AV552" s="0" t="n">
        <f aca="false">COUNTIF($BA$2619:$EH$2619,"D")</f>
        <v>0</v>
      </c>
      <c r="AW552" s="0" t="n">
        <f aca="false">COUNTIF($BA$2619:$EH$2619,"R")</f>
        <v>0</v>
      </c>
      <c r="AX552" s="0" t="n">
        <f aca="false">IF(BN552="D",1,0)+IF(BO552="D",1,0)+IF(BT552="D",1,0)+IF(BU552="D",1,0)+IF(BW552="D",1,0)+IF(CC552="D",1,0)+IF(CD552="D",1,0)+IF(CE552="D",1,0)+IF(CF552="D",1,0)+IF(CL552="D",1,0)+IF(CM552="D",1,0)+IF(CQ552="D",1,0)+IF(CR552="D",1,0)+IF(CS552="D",1,0)+IF(CW552="D",1,0)+IF(CX552="D",1,0)+IF(DD552="D",1,0)+IF(DE552="D",1,0)+IF(DJ552="D",1,0)+IF(DK552="D",1,0)+IF(DO552="D",1,0)+IF(DP552="D",1,0)+IF(DQ552="D",1,0)+IF(DW552="D",1,0)+IF(DZ552="D",1,0)+IF(EH552="D",1,0)</f>
        <v>1</v>
      </c>
      <c r="AY552" s="0" t="n">
        <f aca="false">COUNTIF(DU552:EH552, "&lt;&gt;")</f>
        <v>2</v>
      </c>
      <c r="AZ552" s="0" t="n">
        <f aca="false">IF(EH552&lt;&gt;"",1,0)</f>
        <v>0</v>
      </c>
      <c r="BB552" s="0" t="s">
        <v>152</v>
      </c>
      <c r="BD552" s="0" t="s">
        <v>153</v>
      </c>
      <c r="BH552" s="0" t="s">
        <v>153</v>
      </c>
      <c r="BL552" s="0" t="s">
        <v>153</v>
      </c>
      <c r="BS552" s="0" t="s">
        <v>153</v>
      </c>
      <c r="BY552" s="0" t="s">
        <v>175</v>
      </c>
      <c r="CA552" s="0" t="s">
        <v>153</v>
      </c>
      <c r="CK552" s="0" t="s">
        <v>153</v>
      </c>
      <c r="CL552" s="0" t="s">
        <v>175</v>
      </c>
      <c r="CN552" s="0" t="s">
        <v>153</v>
      </c>
      <c r="CP552" s="0" t="s">
        <v>153</v>
      </c>
      <c r="CY552" s="0" t="s">
        <v>153</v>
      </c>
      <c r="CZ552" s="0" t="s">
        <v>175</v>
      </c>
      <c r="DC552" s="0" t="s">
        <v>153</v>
      </c>
      <c r="DI552" s="0" t="s">
        <v>153</v>
      </c>
      <c r="DN552" s="0" t="s">
        <v>153</v>
      </c>
      <c r="DU552" s="0" t="s">
        <v>153</v>
      </c>
      <c r="EF552" s="0" t="s">
        <v>153</v>
      </c>
    </row>
    <row r="553" customFormat="false" ht="13.8" hidden="true" customHeight="false" outlineLevel="0" collapsed="false">
      <c r="A553" s="0" t="s">
        <v>2923</v>
      </c>
      <c r="B553" s="0" t="n">
        <v>78</v>
      </c>
      <c r="C553" s="0" t="n">
        <v>317762</v>
      </c>
      <c r="D553" s="0" t="s">
        <v>690</v>
      </c>
      <c r="E553" s="0" t="s">
        <v>1276</v>
      </c>
      <c r="F553" s="0" t="str">
        <f aca="false">CONCATENATE(D553," ",LEFT(H553,4),"T=",AU553,"D=",AV553,"R=",AW553,"M=",AX553,"L=",AY553,"B=",AZ553)</f>
        <v>SMITH T=2D=0R=0M=0L=0B=0</v>
      </c>
      <c r="G553" s="0" t="s">
        <v>325</v>
      </c>
      <c r="I553" s="0" t="s">
        <v>2924</v>
      </c>
      <c r="J553" s="0" t="s">
        <v>2925</v>
      </c>
      <c r="K553" s="0" t="s">
        <v>143</v>
      </c>
      <c r="M553" s="0" t="s">
        <v>2926</v>
      </c>
      <c r="N553" s="0" t="str">
        <f aca="false">RIGHT(M553,LEN(M553)-FIND(" ",M553))</f>
        <v>EAST AVE SE</v>
      </c>
      <c r="P553" s="0" t="s">
        <v>145</v>
      </c>
      <c r="Q553" s="0" t="s">
        <v>146</v>
      </c>
      <c r="R553" s="0" t="n">
        <v>44484</v>
      </c>
      <c r="AD553" s="0" t="s">
        <v>147</v>
      </c>
      <c r="AE553" s="0" t="s">
        <v>148</v>
      </c>
      <c r="AF553" s="0" t="s">
        <v>149</v>
      </c>
      <c r="AH553" s="0" t="n">
        <v>14</v>
      </c>
      <c r="AI553" s="0" t="n">
        <v>11</v>
      </c>
      <c r="AN553" s="0" t="s">
        <v>145</v>
      </c>
      <c r="AO553" s="0" t="s">
        <v>233</v>
      </c>
      <c r="AP553" s="0" t="s">
        <v>234</v>
      </c>
      <c r="AQ553" s="0" t="n">
        <v>9</v>
      </c>
      <c r="AR553" s="0" t="n">
        <v>64</v>
      </c>
      <c r="AS553" s="0" t="n">
        <v>32</v>
      </c>
      <c r="AU553" s="0" t="n">
        <f aca="false">COUNTA($BA$2574:$EH$2574)</f>
        <v>2</v>
      </c>
      <c r="AV553" s="0" t="n">
        <f aca="false">COUNTIF($BA$2574:$EH$2574,"D")</f>
        <v>0</v>
      </c>
      <c r="AW553" s="0" t="n">
        <f aca="false">COUNTIF($BA$2574:$EH$2574,"R")</f>
        <v>0</v>
      </c>
      <c r="AX553" s="0" t="n">
        <f aca="false">IF(BN553="D",1,0)+IF(BO553="D",1,0)+IF(BT553="D",1,0)+IF(BU553="D",1,0)+IF(BW553="D",1,0)+IF(CC553="D",1,0)+IF(CD553="D",1,0)+IF(CE553="D",1,0)+IF(CF553="D",1,0)+IF(CL553="D",1,0)+IF(CM553="D",1,0)+IF(CQ553="D",1,0)+IF(CR553="D",1,0)+IF(CS553="D",1,0)+IF(CW553="D",1,0)+IF(CX553="D",1,0)+IF(DD553="D",1,0)+IF(DE553="D",1,0)+IF(DJ553="D",1,0)+IF(DK553="D",1,0)+IF(DO553="D",1,0)+IF(DP553="D",1,0)+IF(DQ553="D",1,0)+IF(DW553="D",1,0)+IF(DZ553="D",1,0)+IF(EH553="D",1,0)</f>
        <v>0</v>
      </c>
      <c r="AY553" s="0" t="n">
        <f aca="false">COUNTIF(DU553:EH553, "&lt;&gt;")</f>
        <v>0</v>
      </c>
      <c r="AZ553" s="0" t="n">
        <f aca="false">IF(EH553&lt;&gt;"",1,0)</f>
        <v>0</v>
      </c>
      <c r="BB553" s="0" t="s">
        <v>152</v>
      </c>
      <c r="BY553" s="0" t="s">
        <v>175</v>
      </c>
      <c r="CA553" s="0" t="s">
        <v>153</v>
      </c>
      <c r="CP553" s="0" t="s">
        <v>153</v>
      </c>
    </row>
    <row r="554" customFormat="false" ht="13.8" hidden="true" customHeight="false" outlineLevel="0" collapsed="false">
      <c r="A554" s="0" t="s">
        <v>2927</v>
      </c>
      <c r="B554" s="0" t="n">
        <v>78</v>
      </c>
      <c r="C554" s="0" t="n">
        <v>453793</v>
      </c>
      <c r="D554" s="0" t="s">
        <v>2928</v>
      </c>
      <c r="E554" s="0" t="s">
        <v>2929</v>
      </c>
      <c r="F554" s="0" t="str">
        <f aca="false">CONCATENATE(D554," ",LEFT(H554,4),"T=",AU554,"D=",AV554,"R=",AW554,"M=",AX554,"L=",AY554,"B=",AZ554)</f>
        <v>HOLLOWAY T=29D=5R=0M=0L=1B=0</v>
      </c>
      <c r="G554" s="0" t="s">
        <v>2930</v>
      </c>
      <c r="I554" s="0" t="s">
        <v>2931</v>
      </c>
      <c r="J554" s="0" t="s">
        <v>1341</v>
      </c>
      <c r="K554" s="0" t="s">
        <v>160</v>
      </c>
      <c r="M554" s="0" t="s">
        <v>2932</v>
      </c>
      <c r="N554" s="0" t="str">
        <f aca="false">RIGHT(M554,LEN(M554)-FIND(" ",M554))</f>
        <v>EAST AVE SE</v>
      </c>
      <c r="O554" s="0" t="s">
        <v>2933</v>
      </c>
      <c r="P554" s="0" t="s">
        <v>145</v>
      </c>
      <c r="Q554" s="0" t="s">
        <v>146</v>
      </c>
      <c r="R554" s="0" t="n">
        <v>44484</v>
      </c>
      <c r="AD554" s="0" t="s">
        <v>147</v>
      </c>
      <c r="AE554" s="0" t="s">
        <v>148</v>
      </c>
      <c r="AF554" s="0" t="s">
        <v>149</v>
      </c>
      <c r="AH554" s="0" t="n">
        <v>14</v>
      </c>
      <c r="AI554" s="0" t="n">
        <v>11</v>
      </c>
      <c r="AN554" s="0" t="s">
        <v>145</v>
      </c>
      <c r="AO554" s="0" t="s">
        <v>233</v>
      </c>
      <c r="AP554" s="0" t="s">
        <v>234</v>
      </c>
      <c r="AQ554" s="0" t="n">
        <v>9</v>
      </c>
      <c r="AR554" s="0" t="n">
        <v>64</v>
      </c>
      <c r="AS554" s="0" t="n">
        <v>32</v>
      </c>
      <c r="AU554" s="0" t="n">
        <f aca="false">COUNTA($BA$2365:$EH$2365)</f>
        <v>29</v>
      </c>
      <c r="AV554" s="0" t="n">
        <f aca="false">COUNTIF($BA$2365:$EH$2365,"D")</f>
        <v>5</v>
      </c>
      <c r="AW554" s="0" t="n">
        <f aca="false">COUNTIF($BA$2365:$EH$2365,"R")</f>
        <v>0</v>
      </c>
      <c r="AX554" s="0" t="n">
        <f aca="false">IF(BN554="D",1,0)+IF(BO554="D",1,0)+IF(BT554="D",1,0)+IF(BU554="D",1,0)+IF(BW554="D",1,0)+IF(CC554="D",1,0)+IF(CD554="D",1,0)+IF(CE554="D",1,0)+IF(CF554="D",1,0)+IF(CL554="D",1,0)+IF(CM554="D",1,0)+IF(CQ554="D",1,0)+IF(CR554="D",1,0)+IF(CS554="D",1,0)+IF(CW554="D",1,0)+IF(CX554="D",1,0)+IF(DD554="D",1,0)+IF(DE554="D",1,0)+IF(DJ554="D",1,0)+IF(DK554="D",1,0)+IF(DO554="D",1,0)+IF(DP554="D",1,0)+IF(DQ554="D",1,0)+IF(DW554="D",1,0)+IF(DZ554="D",1,0)+IF(EH554="D",1,0)</f>
        <v>0</v>
      </c>
      <c r="AY554" s="0" t="n">
        <f aca="false">COUNTIF(DU554:EH554, "&lt;&gt;")</f>
        <v>1</v>
      </c>
      <c r="AZ554" s="0" t="n">
        <f aca="false">IF(EH554&lt;&gt;"",1,0)</f>
        <v>0</v>
      </c>
      <c r="BB554" s="0" t="s">
        <v>152</v>
      </c>
      <c r="DN554" s="0" t="s">
        <v>153</v>
      </c>
      <c r="EF554" s="0" t="s">
        <v>153</v>
      </c>
    </row>
    <row r="555" customFormat="false" ht="13.8" hidden="true" customHeight="false" outlineLevel="0" collapsed="false">
      <c r="A555" s="0" t="s">
        <v>2934</v>
      </c>
      <c r="B555" s="0" t="n">
        <v>78</v>
      </c>
      <c r="C555" s="0" t="n">
        <v>481020</v>
      </c>
      <c r="D555" s="0" t="s">
        <v>2928</v>
      </c>
      <c r="E555" s="0" t="s">
        <v>633</v>
      </c>
      <c r="F555" s="0" t="str">
        <f aca="false">CONCATENATE(D555," ",LEFT(H555,4),"T=",AU555,"D=",AV555,"R=",AW555,"M=",AX555,"L=",AY555,"B=",AZ555)</f>
        <v>HOLLOWAY T=2D=0R=0M=0L=0B=0</v>
      </c>
      <c r="G555" s="0" t="s">
        <v>2935</v>
      </c>
      <c r="I555" s="0" t="s">
        <v>2936</v>
      </c>
      <c r="J555" s="0" t="s">
        <v>2937</v>
      </c>
      <c r="K555" s="0" t="s">
        <v>160</v>
      </c>
      <c r="M555" s="0" t="s">
        <v>2932</v>
      </c>
      <c r="N555" s="0" t="str">
        <f aca="false">RIGHT(M555,LEN(M555)-FIND(" ",M555))</f>
        <v>EAST AVE SE</v>
      </c>
      <c r="P555" s="0" t="s">
        <v>145</v>
      </c>
      <c r="Q555" s="0" t="s">
        <v>146</v>
      </c>
      <c r="R555" s="0" t="n">
        <v>44484</v>
      </c>
      <c r="AD555" s="0" t="s">
        <v>147</v>
      </c>
      <c r="AE555" s="0" t="s">
        <v>148</v>
      </c>
      <c r="AF555" s="0" t="s">
        <v>149</v>
      </c>
      <c r="AH555" s="0" t="n">
        <v>14</v>
      </c>
      <c r="AI555" s="0" t="n">
        <v>11</v>
      </c>
      <c r="AN555" s="0" t="s">
        <v>145</v>
      </c>
      <c r="AO555" s="0" t="s">
        <v>233</v>
      </c>
      <c r="AP555" s="0" t="s">
        <v>234</v>
      </c>
      <c r="AQ555" s="0" t="n">
        <v>9</v>
      </c>
      <c r="AR555" s="0" t="n">
        <v>64</v>
      </c>
      <c r="AS555" s="0" t="n">
        <v>32</v>
      </c>
      <c r="AU555" s="0" t="n">
        <f aca="false">COUNTA($BA$2553:$EH$2553)</f>
        <v>2</v>
      </c>
      <c r="AV555" s="0" t="n">
        <f aca="false">COUNTIF($BA$2553:$EH$2553,"D")</f>
        <v>0</v>
      </c>
      <c r="AW555" s="0" t="n">
        <f aca="false">COUNTIF($BA$2553:$EH$2553,"R")</f>
        <v>0</v>
      </c>
      <c r="AX555" s="0" t="n">
        <f aca="false">IF(BN555="D",1,0)+IF(BO555="D",1,0)+IF(BT555="D",1,0)+IF(BU555="D",1,0)+IF(BW555="D",1,0)+IF(CC555="D",1,0)+IF(CD555="D",1,0)+IF(CE555="D",1,0)+IF(CF555="D",1,0)+IF(CL555="D",1,0)+IF(CM555="D",1,0)+IF(CQ555="D",1,0)+IF(CR555="D",1,0)+IF(CS555="D",1,0)+IF(CW555="D",1,0)+IF(CX555="D",1,0)+IF(DD555="D",1,0)+IF(DE555="D",1,0)+IF(DJ555="D",1,0)+IF(DK555="D",1,0)+IF(DO555="D",1,0)+IF(DP555="D",1,0)+IF(DQ555="D",1,0)+IF(DW555="D",1,0)+IF(DZ555="D",1,0)+IF(EH555="D",1,0)</f>
        <v>0</v>
      </c>
      <c r="AY555" s="0" t="n">
        <f aca="false">COUNTIF(DU555:EH555, "&lt;&gt;")</f>
        <v>0</v>
      </c>
      <c r="AZ555" s="0" t="n">
        <f aca="false">IF(EH555&lt;&gt;"",1,0)</f>
        <v>0</v>
      </c>
      <c r="BB555" s="0" t="s">
        <v>152</v>
      </c>
    </row>
    <row r="556" customFormat="false" ht="13.8" hidden="true" customHeight="false" outlineLevel="0" collapsed="false">
      <c r="A556" s="0" t="s">
        <v>2938</v>
      </c>
      <c r="B556" s="0" t="n">
        <v>78</v>
      </c>
      <c r="C556" s="0" t="n">
        <v>363716</v>
      </c>
      <c r="D556" s="0" t="s">
        <v>1693</v>
      </c>
      <c r="E556" s="0" t="s">
        <v>2675</v>
      </c>
      <c r="F556" s="0" t="str">
        <f aca="false">CONCATENATE(D556," ",LEFT(H556,4),"T=",AU556,"D=",AV556,"R=",AW556,"M=",AX556,"L=",AY556,"B=",AZ556)</f>
        <v>WILLIAMSON T=1D=0R=0M=0L=0B=0</v>
      </c>
      <c r="G556" s="0" t="s">
        <v>175</v>
      </c>
      <c r="I556" s="0" t="s">
        <v>2939</v>
      </c>
      <c r="J556" s="0" t="s">
        <v>2940</v>
      </c>
      <c r="K556" s="0" t="s">
        <v>143</v>
      </c>
      <c r="M556" s="0" t="s">
        <v>2932</v>
      </c>
      <c r="N556" s="0" t="str">
        <f aca="false">RIGHT(M556,LEN(M556)-FIND(" ",M556))</f>
        <v>EAST AVE SE</v>
      </c>
      <c r="P556" s="0" t="s">
        <v>145</v>
      </c>
      <c r="Q556" s="0" t="s">
        <v>146</v>
      </c>
      <c r="R556" s="0" t="n">
        <v>44484</v>
      </c>
      <c r="AD556" s="0" t="s">
        <v>147</v>
      </c>
      <c r="AE556" s="0" t="s">
        <v>148</v>
      </c>
      <c r="AF556" s="0" t="s">
        <v>149</v>
      </c>
      <c r="AH556" s="0" t="n">
        <v>14</v>
      </c>
      <c r="AI556" s="0" t="n">
        <v>11</v>
      </c>
      <c r="AN556" s="0" t="s">
        <v>145</v>
      </c>
      <c r="AO556" s="0" t="s">
        <v>233</v>
      </c>
      <c r="AP556" s="0" t="s">
        <v>234</v>
      </c>
      <c r="AQ556" s="0" t="n">
        <v>9</v>
      </c>
      <c r="AR556" s="0" t="n">
        <v>64</v>
      </c>
      <c r="AS556" s="0" t="n">
        <v>32</v>
      </c>
      <c r="AU556" s="0" t="n">
        <f aca="false">COUNTA($BA$2567:$EH$2567)</f>
        <v>1</v>
      </c>
      <c r="AV556" s="0" t="n">
        <f aca="false">COUNTIF($BA$2567:$EH$2567,"D")</f>
        <v>0</v>
      </c>
      <c r="AW556" s="0" t="n">
        <f aca="false">COUNTIF($BA$2567:$EH$2567,"R")</f>
        <v>0</v>
      </c>
      <c r="AX556" s="0" t="n">
        <f aca="false">IF(BN556="D",1,0)+IF(BO556="D",1,0)+IF(BT556="D",1,0)+IF(BU556="D",1,0)+IF(BW556="D",1,0)+IF(CC556="D",1,0)+IF(CD556="D",1,0)+IF(CE556="D",1,0)+IF(CF556="D",1,0)+IF(CL556="D",1,0)+IF(CM556="D",1,0)+IF(CQ556="D",1,0)+IF(CR556="D",1,0)+IF(CS556="D",1,0)+IF(CW556="D",1,0)+IF(CX556="D",1,0)+IF(DD556="D",1,0)+IF(DE556="D",1,0)+IF(DJ556="D",1,0)+IF(DK556="D",1,0)+IF(DO556="D",1,0)+IF(DP556="D",1,0)+IF(DQ556="D",1,0)+IF(DW556="D",1,0)+IF(DZ556="D",1,0)+IF(EH556="D",1,0)</f>
        <v>0</v>
      </c>
      <c r="AY556" s="0" t="n">
        <f aca="false">COUNTIF(DU556:EH556, "&lt;&gt;")</f>
        <v>0</v>
      </c>
      <c r="AZ556" s="0" t="n">
        <f aca="false">IF(EH556&lt;&gt;"",1,0)</f>
        <v>0</v>
      </c>
      <c r="BB556" s="0" t="s">
        <v>152</v>
      </c>
    </row>
    <row r="557" customFormat="false" ht="13.8" hidden="true" customHeight="false" outlineLevel="0" collapsed="false">
      <c r="A557" s="0" t="s">
        <v>2941</v>
      </c>
      <c r="B557" s="0" t="n">
        <v>78</v>
      </c>
      <c r="C557" s="0" t="n">
        <v>422665</v>
      </c>
      <c r="D557" s="0" t="s">
        <v>2942</v>
      </c>
      <c r="E557" s="0" t="s">
        <v>633</v>
      </c>
      <c r="F557" s="0" t="str">
        <f aca="false">CONCATENATE(D557," ",LEFT(H557,4),"T=",AU557,"D=",AV557,"R=",AW557,"M=",AX557,"L=",AY557,"B=",AZ557)</f>
        <v>KNEPPER T=1D=0R=0M=0L=0B=0</v>
      </c>
      <c r="G557" s="0" t="s">
        <v>2130</v>
      </c>
      <c r="I557" s="0" t="s">
        <v>2943</v>
      </c>
      <c r="J557" s="0" t="s">
        <v>1464</v>
      </c>
      <c r="K557" s="0" t="s">
        <v>143</v>
      </c>
      <c r="M557" s="0" t="s">
        <v>2944</v>
      </c>
      <c r="N557" s="0" t="str">
        <f aca="false">RIGHT(M557,LEN(M557)-FIND(" ",M557))</f>
        <v>EAST AVE SE</v>
      </c>
      <c r="P557" s="0" t="s">
        <v>145</v>
      </c>
      <c r="Q557" s="0" t="s">
        <v>146</v>
      </c>
      <c r="R557" s="0" t="n">
        <v>44484</v>
      </c>
      <c r="AD557" s="0" t="s">
        <v>147</v>
      </c>
      <c r="AE557" s="0" t="s">
        <v>148</v>
      </c>
      <c r="AF557" s="0" t="s">
        <v>149</v>
      </c>
      <c r="AH557" s="0" t="n">
        <v>14</v>
      </c>
      <c r="AI557" s="0" t="n">
        <v>11</v>
      </c>
      <c r="AN557" s="0" t="s">
        <v>145</v>
      </c>
      <c r="AO557" s="0" t="s">
        <v>233</v>
      </c>
      <c r="AP557" s="0" t="s">
        <v>234</v>
      </c>
      <c r="AQ557" s="0" t="n">
        <v>9</v>
      </c>
      <c r="AR557" s="0" t="n">
        <v>64</v>
      </c>
      <c r="AS557" s="0" t="n">
        <v>32</v>
      </c>
      <c r="AU557" s="0" t="n">
        <f aca="false">COUNTA($BA$2113:$EH$2113)</f>
        <v>1</v>
      </c>
      <c r="AV557" s="0" t="n">
        <f aca="false">COUNTIF($BA$2113:$EH$2113,"D")</f>
        <v>0</v>
      </c>
      <c r="AW557" s="0" t="n">
        <f aca="false">COUNTIF($BA$2113:$EH$2113,"R")</f>
        <v>0</v>
      </c>
      <c r="AX557" s="0" t="n">
        <f aca="false">IF(BN557="D",1,0)+IF(BO557="D",1,0)+IF(BT557="D",1,0)+IF(BU557="D",1,0)+IF(BW557="D",1,0)+IF(CC557="D",1,0)+IF(CD557="D",1,0)+IF(CE557="D",1,0)+IF(CF557="D",1,0)+IF(CL557="D",1,0)+IF(CM557="D",1,0)+IF(CQ557="D",1,0)+IF(CR557="D",1,0)+IF(CS557="D",1,0)+IF(CW557="D",1,0)+IF(CX557="D",1,0)+IF(DD557="D",1,0)+IF(DE557="D",1,0)+IF(DJ557="D",1,0)+IF(DK557="D",1,0)+IF(DO557="D",1,0)+IF(DP557="D",1,0)+IF(DQ557="D",1,0)+IF(DW557="D",1,0)+IF(DZ557="D",1,0)+IF(EH557="D",1,0)</f>
        <v>0</v>
      </c>
      <c r="AY557" s="0" t="n">
        <f aca="false">COUNTIF(DU557:EH557, "&lt;&gt;")</f>
        <v>0</v>
      </c>
      <c r="AZ557" s="0" t="n">
        <f aca="false">IF(EH557&lt;&gt;"",1,0)</f>
        <v>0</v>
      </c>
      <c r="BB557" s="0" t="s">
        <v>152</v>
      </c>
      <c r="DC557" s="0" t="s">
        <v>153</v>
      </c>
    </row>
    <row r="558" customFormat="false" ht="13.8" hidden="true" customHeight="false" outlineLevel="0" collapsed="false">
      <c r="A558" s="0" t="s">
        <v>2945</v>
      </c>
      <c r="B558" s="0" t="n">
        <v>78</v>
      </c>
      <c r="C558" s="0" t="n">
        <v>426532</v>
      </c>
      <c r="D558" s="0" t="s">
        <v>2946</v>
      </c>
      <c r="E558" s="0" t="s">
        <v>2947</v>
      </c>
      <c r="F558" s="0" t="str">
        <f aca="false">CONCATENATE(D558," ",LEFT(H558,4),"T=",AU558,"D=",AV558,"R=",AW558,"M=",AX558,"L=",AY558,"B=",AZ558)</f>
        <v>MCCAULEY T=11D=0R=1M=0L=0B=0</v>
      </c>
      <c r="G558" s="0" t="s">
        <v>324</v>
      </c>
      <c r="I558" s="0" t="s">
        <v>2948</v>
      </c>
      <c r="J558" s="0" t="s">
        <v>2949</v>
      </c>
      <c r="K558" s="0" t="s">
        <v>143</v>
      </c>
      <c r="M558" s="0" t="s">
        <v>2944</v>
      </c>
      <c r="N558" s="0" t="str">
        <f aca="false">RIGHT(M558,LEN(M558)-FIND(" ",M558))</f>
        <v>EAST AVE SE</v>
      </c>
      <c r="P558" s="0" t="s">
        <v>145</v>
      </c>
      <c r="Q558" s="0" t="s">
        <v>146</v>
      </c>
      <c r="R558" s="0" t="n">
        <v>44484</v>
      </c>
      <c r="AD558" s="0" t="s">
        <v>147</v>
      </c>
      <c r="AE558" s="0" t="s">
        <v>148</v>
      </c>
      <c r="AF558" s="0" t="s">
        <v>149</v>
      </c>
      <c r="AH558" s="0" t="n">
        <v>14</v>
      </c>
      <c r="AI558" s="0" t="n">
        <v>11</v>
      </c>
      <c r="AN558" s="0" t="s">
        <v>145</v>
      </c>
      <c r="AO558" s="0" t="s">
        <v>233</v>
      </c>
      <c r="AP558" s="0" t="s">
        <v>234</v>
      </c>
      <c r="AQ558" s="0" t="n">
        <v>9</v>
      </c>
      <c r="AR558" s="0" t="n">
        <v>64</v>
      </c>
      <c r="AS558" s="0" t="n">
        <v>32</v>
      </c>
      <c r="AU558" s="0" t="n">
        <f aca="false">COUNTA($BA$2316:$EH$2316)</f>
        <v>11</v>
      </c>
      <c r="AV558" s="0" t="n">
        <f aca="false">COUNTIF($BA$2316:$EH$2316,"D")</f>
        <v>0</v>
      </c>
      <c r="AW558" s="0" t="n">
        <f aca="false">COUNTIF($BA$2316:$EH$2316,"R")</f>
        <v>1</v>
      </c>
      <c r="AX558" s="0" t="n">
        <f aca="false">IF(BN558="D",1,0)+IF(BO558="D",1,0)+IF(BT558="D",1,0)+IF(BU558="D",1,0)+IF(BW558="D",1,0)+IF(CC558="D",1,0)+IF(CD558="D",1,0)+IF(CE558="D",1,0)+IF(CF558="D",1,0)+IF(CL558="D",1,0)+IF(CM558="D",1,0)+IF(CQ558="D",1,0)+IF(CR558="D",1,0)+IF(CS558="D",1,0)+IF(CW558="D",1,0)+IF(CX558="D",1,0)+IF(DD558="D",1,0)+IF(DE558="D",1,0)+IF(DJ558="D",1,0)+IF(DK558="D",1,0)+IF(DO558="D",1,0)+IF(DP558="D",1,0)+IF(DQ558="D",1,0)+IF(DW558="D",1,0)+IF(DZ558="D",1,0)+IF(EH558="D",1,0)</f>
        <v>0</v>
      </c>
      <c r="AY558" s="0" t="n">
        <f aca="false">COUNTIF(DU558:EH558, "&lt;&gt;")</f>
        <v>0</v>
      </c>
      <c r="AZ558" s="0" t="n">
        <f aca="false">IF(EH558&lt;&gt;"",1,0)</f>
        <v>0</v>
      </c>
      <c r="BB558" s="0" t="s">
        <v>152</v>
      </c>
    </row>
    <row r="559" customFormat="false" ht="13.8" hidden="true" customHeight="false" outlineLevel="0" collapsed="false">
      <c r="A559" s="0" t="s">
        <v>2950</v>
      </c>
      <c r="B559" s="0" t="n">
        <v>78</v>
      </c>
      <c r="C559" s="0" t="n">
        <v>478228</v>
      </c>
      <c r="D559" s="0" t="s">
        <v>2951</v>
      </c>
      <c r="E559" s="0" t="s">
        <v>2952</v>
      </c>
      <c r="F559" s="0" t="str">
        <f aca="false">CONCATENATE(D559," ",LEFT(H559,4),"T=",AU559,"D=",AV559,"R=",AW559,"M=",AX559,"L=",AY559,"B=",AZ559)</f>
        <v>HUNTER T=4D=0R=0M=0L=0B=0</v>
      </c>
      <c r="G559" s="0" t="s">
        <v>2953</v>
      </c>
      <c r="I559" s="0" t="s">
        <v>2954</v>
      </c>
      <c r="J559" s="0" t="s">
        <v>2955</v>
      </c>
      <c r="K559" s="0" t="s">
        <v>160</v>
      </c>
      <c r="M559" s="0" t="s">
        <v>2944</v>
      </c>
      <c r="N559" s="0" t="str">
        <f aca="false">RIGHT(M559,LEN(M559)-FIND(" ",M559))</f>
        <v>EAST AVE SE</v>
      </c>
      <c r="P559" s="0" t="s">
        <v>145</v>
      </c>
      <c r="Q559" s="0" t="s">
        <v>146</v>
      </c>
      <c r="R559" s="0" t="n">
        <v>44484</v>
      </c>
      <c r="AD559" s="0" t="s">
        <v>147</v>
      </c>
      <c r="AE559" s="0" t="s">
        <v>148</v>
      </c>
      <c r="AF559" s="0" t="s">
        <v>149</v>
      </c>
      <c r="AH559" s="0" t="n">
        <v>14</v>
      </c>
      <c r="AI559" s="0" t="n">
        <v>11</v>
      </c>
      <c r="AN559" s="0" t="s">
        <v>145</v>
      </c>
      <c r="AO559" s="0" t="s">
        <v>233</v>
      </c>
      <c r="AP559" s="0" t="s">
        <v>234</v>
      </c>
      <c r="AQ559" s="0" t="n">
        <v>9</v>
      </c>
      <c r="AR559" s="0" t="n">
        <v>64</v>
      </c>
      <c r="AS559" s="0" t="n">
        <v>32</v>
      </c>
      <c r="AU559" s="0" t="n">
        <f aca="false">COUNTA($BA$2586:$EH$2586)</f>
        <v>4</v>
      </c>
      <c r="AV559" s="0" t="n">
        <f aca="false">COUNTIF($BA$2586:$EH$2586,"D")</f>
        <v>0</v>
      </c>
      <c r="AW559" s="0" t="n">
        <f aca="false">COUNTIF($BA$2586:$EH$2586,"R")</f>
        <v>0</v>
      </c>
      <c r="AX559" s="0" t="n">
        <f aca="false">IF(BN559="D",1,0)+IF(BO559="D",1,0)+IF(BT559="D",1,0)+IF(BU559="D",1,0)+IF(BW559="D",1,0)+IF(CC559="D",1,0)+IF(CD559="D",1,0)+IF(CE559="D",1,0)+IF(CF559="D",1,0)+IF(CL559="D",1,0)+IF(CM559="D",1,0)+IF(CQ559="D",1,0)+IF(CR559="D",1,0)+IF(CS559="D",1,0)+IF(CW559="D",1,0)+IF(CX559="D",1,0)+IF(DD559="D",1,0)+IF(DE559="D",1,0)+IF(DJ559="D",1,0)+IF(DK559="D",1,0)+IF(DO559="D",1,0)+IF(DP559="D",1,0)+IF(DQ559="D",1,0)+IF(DW559="D",1,0)+IF(DZ559="D",1,0)+IF(EH559="D",1,0)</f>
        <v>0</v>
      </c>
      <c r="AY559" s="0" t="n">
        <f aca="false">COUNTIF(DU559:EH559, "&lt;&gt;")</f>
        <v>0</v>
      </c>
      <c r="AZ559" s="0" t="n">
        <f aca="false">IF(EH559&lt;&gt;"",1,0)</f>
        <v>0</v>
      </c>
      <c r="BB559" s="0" t="s">
        <v>152</v>
      </c>
    </row>
    <row r="560" customFormat="false" ht="13.8" hidden="true" customHeight="false" outlineLevel="0" collapsed="false">
      <c r="A560" s="0" t="s">
        <v>2956</v>
      </c>
      <c r="B560" s="0" t="n">
        <v>78</v>
      </c>
      <c r="C560" s="0" t="n">
        <v>432108</v>
      </c>
      <c r="D560" s="0" t="s">
        <v>1041</v>
      </c>
      <c r="E560" s="0" t="s">
        <v>2957</v>
      </c>
      <c r="F560" s="0" t="str">
        <f aca="false">CONCATENATE(D560," ",LEFT(H560,4),"T=",AU560,"D=",AV560,"R=",AW560,"M=",AX560,"L=",AY560,"B=",AZ560)</f>
        <v>JONES T=10D=0R=0M=0L=0B=0</v>
      </c>
      <c r="G560" s="0" t="s">
        <v>190</v>
      </c>
      <c r="I560" s="0" t="s">
        <v>2958</v>
      </c>
      <c r="J560" s="0" t="s">
        <v>187</v>
      </c>
      <c r="K560" s="0" t="s">
        <v>143</v>
      </c>
      <c r="M560" s="0" t="s">
        <v>2959</v>
      </c>
      <c r="N560" s="0" t="str">
        <f aca="false">RIGHT(M560,LEN(M560)-FIND(" ",M560))</f>
        <v>EAST AVE SE</v>
      </c>
      <c r="P560" s="0" t="s">
        <v>145</v>
      </c>
      <c r="Q560" s="0" t="s">
        <v>146</v>
      </c>
      <c r="R560" s="0" t="n">
        <v>44484</v>
      </c>
      <c r="AD560" s="0" t="s">
        <v>147</v>
      </c>
      <c r="AE560" s="0" t="s">
        <v>148</v>
      </c>
      <c r="AF560" s="0" t="s">
        <v>149</v>
      </c>
      <c r="AH560" s="0" t="n">
        <v>14</v>
      </c>
      <c r="AI560" s="0" t="n">
        <v>11</v>
      </c>
      <c r="AN560" s="0" t="s">
        <v>145</v>
      </c>
      <c r="AO560" s="0" t="s">
        <v>233</v>
      </c>
      <c r="AP560" s="0" t="s">
        <v>234</v>
      </c>
      <c r="AQ560" s="0" t="n">
        <v>9</v>
      </c>
      <c r="AR560" s="0" t="n">
        <v>64</v>
      </c>
      <c r="AS560" s="0" t="n">
        <v>32</v>
      </c>
      <c r="AU560" s="0" t="n">
        <f aca="false">COUNTA($BA$2494:$EH$2494)</f>
        <v>10</v>
      </c>
      <c r="AV560" s="0" t="n">
        <f aca="false">COUNTIF($BA$2494:$EH$2494,"D")</f>
        <v>0</v>
      </c>
      <c r="AW560" s="0" t="n">
        <f aca="false">COUNTIF($BA$2494:$EH$2494,"R")</f>
        <v>0</v>
      </c>
      <c r="AX560" s="0" t="n">
        <f aca="false">IF(BN560="D",1,0)+IF(BO560="D",1,0)+IF(BT560="D",1,0)+IF(BU560="D",1,0)+IF(BW560="D",1,0)+IF(CC560="D",1,0)+IF(CD560="D",1,0)+IF(CE560="D",1,0)+IF(CF560="D",1,0)+IF(CL560="D",1,0)+IF(CM560="D",1,0)+IF(CQ560="D",1,0)+IF(CR560="D",1,0)+IF(CS560="D",1,0)+IF(CW560="D",1,0)+IF(CX560="D",1,0)+IF(DD560="D",1,0)+IF(DE560="D",1,0)+IF(DJ560="D",1,0)+IF(DK560="D",1,0)+IF(DO560="D",1,0)+IF(DP560="D",1,0)+IF(DQ560="D",1,0)+IF(DW560="D",1,0)+IF(DZ560="D",1,0)+IF(EH560="D",1,0)</f>
        <v>0</v>
      </c>
      <c r="AY560" s="0" t="n">
        <f aca="false">COUNTIF(DU560:EH560, "&lt;&gt;")</f>
        <v>0</v>
      </c>
      <c r="AZ560" s="0" t="n">
        <f aca="false">IF(EH560&lt;&gt;"",1,0)</f>
        <v>0</v>
      </c>
      <c r="BB560" s="0" t="s">
        <v>152</v>
      </c>
    </row>
    <row r="561" customFormat="false" ht="13.8" hidden="true" customHeight="false" outlineLevel="0" collapsed="false">
      <c r="A561" s="0" t="s">
        <v>2960</v>
      </c>
      <c r="B561" s="0" t="n">
        <v>78</v>
      </c>
      <c r="C561" s="0" t="n">
        <v>14232</v>
      </c>
      <c r="D561" s="0" t="s">
        <v>2961</v>
      </c>
      <c r="E561" s="0" t="s">
        <v>663</v>
      </c>
      <c r="F561" s="0" t="str">
        <f aca="false">CONCATENATE(D561," ",LEFT(H561,4),"T=",AU561,"D=",AV561,"R=",AW561,"M=",AX561,"L=",AY561,"B=",AZ561)</f>
        <v>ASTON T=17D=3R=0M=1L=1B=0</v>
      </c>
      <c r="G561" s="0" t="s">
        <v>175</v>
      </c>
      <c r="I561" s="0" t="s">
        <v>2962</v>
      </c>
      <c r="J561" s="0" t="s">
        <v>2963</v>
      </c>
      <c r="K561" s="0" t="s">
        <v>160</v>
      </c>
      <c r="L561" s="0" t="s">
        <v>175</v>
      </c>
      <c r="M561" s="0" t="s">
        <v>2964</v>
      </c>
      <c r="N561" s="0" t="str">
        <f aca="false">RIGHT(M561,LEN(M561)-FIND(" ",M561))</f>
        <v>EAST AVE SE</v>
      </c>
      <c r="P561" s="0" t="s">
        <v>145</v>
      </c>
      <c r="Q561" s="0" t="s">
        <v>146</v>
      </c>
      <c r="R561" s="0" t="n">
        <v>44484</v>
      </c>
      <c r="AD561" s="0" t="s">
        <v>147</v>
      </c>
      <c r="AE561" s="0" t="s">
        <v>148</v>
      </c>
      <c r="AF561" s="0" t="s">
        <v>149</v>
      </c>
      <c r="AH561" s="0" t="n">
        <v>14</v>
      </c>
      <c r="AI561" s="0" t="n">
        <v>11</v>
      </c>
      <c r="AN561" s="0" t="s">
        <v>145</v>
      </c>
      <c r="AO561" s="0" t="s">
        <v>233</v>
      </c>
      <c r="AP561" s="0" t="s">
        <v>234</v>
      </c>
      <c r="AQ561" s="0" t="n">
        <v>9</v>
      </c>
      <c r="AR561" s="0" t="n">
        <v>64</v>
      </c>
      <c r="AS561" s="0" t="n">
        <v>32</v>
      </c>
      <c r="AU561" s="0" t="n">
        <f aca="false">COUNTA($BA$2616:$EH$2616)</f>
        <v>17</v>
      </c>
      <c r="AV561" s="0" t="n">
        <f aca="false">COUNTIF($BA$2616:$EH$2616,"D")</f>
        <v>3</v>
      </c>
      <c r="AW561" s="0" t="n">
        <f aca="false">COUNTIF($BA$2616:$EH$2616,"R")</f>
        <v>0</v>
      </c>
      <c r="AX561" s="0" t="n">
        <f aca="false">IF(BN561="D",1,0)+IF(BO561="D",1,0)+IF(BT561="D",1,0)+IF(BU561="D",1,0)+IF(BW561="D",1,0)+IF(CC561="D",1,0)+IF(CD561="D",1,0)+IF(CE561="D",1,0)+IF(CF561="D",1,0)+IF(CL561="D",1,0)+IF(CM561="D",1,0)+IF(CQ561="D",1,0)+IF(CR561="D",1,0)+IF(CS561="D",1,0)+IF(CW561="D",1,0)+IF(CX561="D",1,0)+IF(DD561="D",1,0)+IF(DE561="D",1,0)+IF(DJ561="D",1,0)+IF(DK561="D",1,0)+IF(DO561="D",1,0)+IF(DP561="D",1,0)+IF(DQ561="D",1,0)+IF(DW561="D",1,0)+IF(DZ561="D",1,0)+IF(EH561="D",1,0)</f>
        <v>1</v>
      </c>
      <c r="AY561" s="0" t="n">
        <f aca="false">COUNTIF(DU561:EH561, "&lt;&gt;")</f>
        <v>1</v>
      </c>
      <c r="AZ561" s="0" t="n">
        <f aca="false">IF(EH561&lt;&gt;"",1,0)</f>
        <v>0</v>
      </c>
      <c r="BB561" s="0" t="s">
        <v>152</v>
      </c>
      <c r="BL561" s="0" t="s">
        <v>153</v>
      </c>
      <c r="CA561" s="0" t="s">
        <v>153</v>
      </c>
      <c r="CK561" s="0" t="s">
        <v>153</v>
      </c>
      <c r="CP561" s="0" t="s">
        <v>153</v>
      </c>
      <c r="DC561" s="0" t="s">
        <v>153</v>
      </c>
      <c r="DN561" s="0" t="s">
        <v>153</v>
      </c>
      <c r="DW561" s="0" t="s">
        <v>175</v>
      </c>
    </row>
    <row r="562" customFormat="false" ht="13.8" hidden="false" customHeight="false" outlineLevel="0" collapsed="false">
      <c r="A562" s="0" t="s">
        <v>2965</v>
      </c>
      <c r="B562" s="0" t="n">
        <v>78</v>
      </c>
      <c r="C562" s="0" t="n">
        <v>402339</v>
      </c>
      <c r="D562" s="0" t="s">
        <v>2966</v>
      </c>
      <c r="E562" s="0" t="s">
        <v>208</v>
      </c>
      <c r="F562" s="0" t="str">
        <f aca="false">CONCATENATE(D562," ",LEFT(H562,4),"T=",AU562,"D=",AV562,"R=",AW562,"M=",AX562,"L=",AY562,"B=",AZ562)</f>
        <v>MCGILL T=3D=0R=0M=0L=2B=0</v>
      </c>
      <c r="G562" s="0" t="s">
        <v>190</v>
      </c>
      <c r="I562" s="0" t="s">
        <v>2967</v>
      </c>
      <c r="J562" s="0" t="s">
        <v>2968</v>
      </c>
      <c r="K562" s="0" t="s">
        <v>160</v>
      </c>
      <c r="M562" s="0" t="s">
        <v>2969</v>
      </c>
      <c r="N562" s="0" t="str">
        <f aca="false">RIGHT(M562,LEN(M562)-FIND(" ",M562))</f>
        <v>EAST AVE SE</v>
      </c>
      <c r="P562" s="0" t="s">
        <v>145</v>
      </c>
      <c r="Q562" s="0" t="s">
        <v>146</v>
      </c>
      <c r="R562" s="0" t="n">
        <v>44484</v>
      </c>
      <c r="AD562" s="0" t="s">
        <v>147</v>
      </c>
      <c r="AE562" s="0" t="s">
        <v>148</v>
      </c>
      <c r="AF562" s="0" t="s">
        <v>149</v>
      </c>
      <c r="AH562" s="0" t="n">
        <v>14</v>
      </c>
      <c r="AI562" s="0" t="n">
        <v>11</v>
      </c>
      <c r="AN562" s="0" t="s">
        <v>145</v>
      </c>
      <c r="AO562" s="0" t="s">
        <v>233</v>
      </c>
      <c r="AP562" s="0" t="s">
        <v>234</v>
      </c>
      <c r="AQ562" s="0" t="n">
        <v>9</v>
      </c>
      <c r="AR562" s="0" t="n">
        <v>64</v>
      </c>
      <c r="AS562" s="0" t="n">
        <v>32</v>
      </c>
      <c r="AU562" s="0" t="n">
        <f aca="false">COUNTA($BA$2192:$EH$2192)</f>
        <v>3</v>
      </c>
      <c r="AV562" s="0" t="n">
        <f aca="false">COUNTIF($BA$2192:$EH$2192,"D")</f>
        <v>0</v>
      </c>
      <c r="AW562" s="0" t="n">
        <f aca="false">COUNTIF($BA$2192:$EH$2192,"R")</f>
        <v>0</v>
      </c>
      <c r="AX562" s="0" t="n">
        <f aca="false">IF(BN562="D",1,0)+IF(BO562="D",1,0)+IF(BT562="D",1,0)+IF(BU562="D",1,0)+IF(BW562="D",1,0)+IF(CC562="D",1,0)+IF(CD562="D",1,0)+IF(CE562="D",1,0)+IF(CF562="D",1,0)+IF(CL562="D",1,0)+IF(CM562="D",1,0)+IF(CQ562="D",1,0)+IF(CR562="D",1,0)+IF(CS562="D",1,0)+IF(CW562="D",1,0)+IF(CX562="D",1,0)+IF(DD562="D",1,0)+IF(DE562="D",1,0)+IF(DJ562="D",1,0)+IF(DK562="D",1,0)+IF(DO562="D",1,0)+IF(DP562="D",1,0)+IF(DQ562="D",1,0)+IF(DW562="D",1,0)+IF(DZ562="D",1,0)+IF(EH562="D",1,0)</f>
        <v>0</v>
      </c>
      <c r="AY562" s="0" t="n">
        <f aca="false">COUNTIF(DU562:EH562, "&lt;&gt;")</f>
        <v>2</v>
      </c>
      <c r="AZ562" s="0" t="n">
        <f aca="false">IF(EH562&lt;&gt;"",1,0)</f>
        <v>0</v>
      </c>
      <c r="BB562" s="0" t="s">
        <v>152</v>
      </c>
      <c r="DU562" s="0" t="s">
        <v>153</v>
      </c>
      <c r="EF562" s="0" t="s">
        <v>153</v>
      </c>
    </row>
    <row r="563" customFormat="false" ht="13.8" hidden="true" customHeight="false" outlineLevel="0" collapsed="false">
      <c r="A563" s="0" t="s">
        <v>2970</v>
      </c>
      <c r="B563" s="0" t="n">
        <v>78</v>
      </c>
      <c r="C563" s="0" t="n">
        <v>487127</v>
      </c>
      <c r="D563" s="0" t="s">
        <v>1041</v>
      </c>
      <c r="E563" s="0" t="s">
        <v>2971</v>
      </c>
      <c r="F563" s="0" t="str">
        <f aca="false">CONCATENATE(D563," ",LEFT(H563,4),"T=",AU563,"D=",AV563,"R=",AW563,"M=",AX563,"L=",AY563,"B=",AZ563)</f>
        <v>JONES JRT=1D=0R=0M=0L=0B=0</v>
      </c>
      <c r="G563" s="0" t="s">
        <v>606</v>
      </c>
      <c r="H563" s="0" t="s">
        <v>314</v>
      </c>
      <c r="I563" s="0" t="s">
        <v>2972</v>
      </c>
      <c r="J563" s="0" t="s">
        <v>399</v>
      </c>
      <c r="K563" s="0" t="s">
        <v>143</v>
      </c>
      <c r="M563" s="0" t="s">
        <v>2969</v>
      </c>
      <c r="N563" s="0" t="str">
        <f aca="false">RIGHT(M563,LEN(M563)-FIND(" ",M563))</f>
        <v>EAST AVE SE</v>
      </c>
      <c r="P563" s="0" t="s">
        <v>145</v>
      </c>
      <c r="Q563" s="0" t="s">
        <v>146</v>
      </c>
      <c r="R563" s="0" t="n">
        <v>44484</v>
      </c>
      <c r="AD563" s="0" t="s">
        <v>147</v>
      </c>
      <c r="AE563" s="0" t="s">
        <v>148</v>
      </c>
      <c r="AF563" s="0" t="s">
        <v>149</v>
      </c>
      <c r="AH563" s="0" t="n">
        <v>14</v>
      </c>
      <c r="AI563" s="0" t="n">
        <v>11</v>
      </c>
      <c r="AN563" s="0" t="s">
        <v>145</v>
      </c>
      <c r="AO563" s="0" t="s">
        <v>233</v>
      </c>
      <c r="AP563" s="0" t="s">
        <v>234</v>
      </c>
      <c r="AQ563" s="0" t="n">
        <v>9</v>
      </c>
      <c r="AR563" s="0" t="n">
        <v>64</v>
      </c>
      <c r="AS563" s="0" t="n">
        <v>32</v>
      </c>
      <c r="AU563" s="0" t="n">
        <f aca="false">COUNTA($BA$2682:$EH$2682)</f>
        <v>1</v>
      </c>
      <c r="AV563" s="0" t="n">
        <f aca="false">COUNTIF($BA$2682:$EH$2682,"D")</f>
        <v>0</v>
      </c>
      <c r="AW563" s="0" t="n">
        <f aca="false">COUNTIF($BA$2682:$EH$2682,"R")</f>
        <v>0</v>
      </c>
      <c r="AX563" s="0" t="n">
        <f aca="false">IF(BN563="D",1,0)+IF(BO563="D",1,0)+IF(BT563="D",1,0)+IF(BU563="D",1,0)+IF(BW563="D",1,0)+IF(CC563="D",1,0)+IF(CD563="D",1,0)+IF(CE563="D",1,0)+IF(CF563="D",1,0)+IF(CL563="D",1,0)+IF(CM563="D",1,0)+IF(CQ563="D",1,0)+IF(CR563="D",1,0)+IF(CS563="D",1,0)+IF(CW563="D",1,0)+IF(CX563="D",1,0)+IF(DD563="D",1,0)+IF(DE563="D",1,0)+IF(DJ563="D",1,0)+IF(DK563="D",1,0)+IF(DO563="D",1,0)+IF(DP563="D",1,0)+IF(DQ563="D",1,0)+IF(DW563="D",1,0)+IF(DZ563="D",1,0)+IF(EH563="D",1,0)</f>
        <v>0</v>
      </c>
      <c r="AY563" s="0" t="n">
        <f aca="false">COUNTIF(DU563:EH563, "&lt;&gt;")</f>
        <v>0</v>
      </c>
      <c r="AZ563" s="0" t="n">
        <f aca="false">IF(EH563&lt;&gt;"",1,0)</f>
        <v>0</v>
      </c>
      <c r="BB563" s="0" t="s">
        <v>152</v>
      </c>
    </row>
    <row r="564" customFormat="false" ht="13.8" hidden="true" customHeight="false" outlineLevel="0" collapsed="false">
      <c r="A564" s="0" t="s">
        <v>2973</v>
      </c>
      <c r="B564" s="0" t="n">
        <v>78</v>
      </c>
      <c r="C564" s="0" t="n">
        <v>414928</v>
      </c>
      <c r="D564" s="0" t="s">
        <v>2974</v>
      </c>
      <c r="E564" s="0" t="s">
        <v>2975</v>
      </c>
      <c r="F564" s="0" t="str">
        <f aca="false">CONCATENATE(D564," ",LEFT(H564,4),"T=",AU564,"D=",AV564,"R=",AW564,"M=",AX564,"L=",AY564,"B=",AZ564)</f>
        <v>MALCOMSON T=1D=0R=0M=0L=0B=0</v>
      </c>
      <c r="G564" s="0" t="s">
        <v>325</v>
      </c>
      <c r="I564" s="0" t="s">
        <v>2976</v>
      </c>
      <c r="J564" s="0" t="s">
        <v>2462</v>
      </c>
      <c r="K564" s="0" t="s">
        <v>160</v>
      </c>
      <c r="M564" s="0" t="s">
        <v>2977</v>
      </c>
      <c r="N564" s="0" t="str">
        <f aca="false">RIGHT(M564,LEN(M564)-FIND(" ",M564))</f>
        <v>EAST AVE SE</v>
      </c>
      <c r="P564" s="0" t="s">
        <v>145</v>
      </c>
      <c r="Q564" s="0" t="s">
        <v>146</v>
      </c>
      <c r="R564" s="0" t="n">
        <v>44484</v>
      </c>
      <c r="AD564" s="0" t="s">
        <v>147</v>
      </c>
      <c r="AE564" s="0" t="s">
        <v>148</v>
      </c>
      <c r="AF564" s="0" t="s">
        <v>149</v>
      </c>
      <c r="AH564" s="0" t="n">
        <v>14</v>
      </c>
      <c r="AI564" s="0" t="n">
        <v>11</v>
      </c>
      <c r="AN564" s="0" t="s">
        <v>145</v>
      </c>
      <c r="AO564" s="0" t="s">
        <v>233</v>
      </c>
      <c r="AP564" s="0" t="s">
        <v>234</v>
      </c>
      <c r="AQ564" s="0" t="n">
        <v>9</v>
      </c>
      <c r="AR564" s="0" t="n">
        <v>64</v>
      </c>
      <c r="AS564" s="0" t="n">
        <v>32</v>
      </c>
      <c r="AU564" s="0" t="n">
        <f aca="false">COUNTA($BA$2324:$EH$2324)</f>
        <v>1</v>
      </c>
      <c r="AV564" s="0" t="n">
        <f aca="false">COUNTIF($BA$2324:$EH$2324,"D")</f>
        <v>0</v>
      </c>
      <c r="AW564" s="0" t="n">
        <f aca="false">COUNTIF($BA$2324:$EH$2324,"R")</f>
        <v>0</v>
      </c>
      <c r="AX564" s="0" t="n">
        <f aca="false">IF(BN564="D",1,0)+IF(BO564="D",1,0)+IF(BT564="D",1,0)+IF(BU564="D",1,0)+IF(BW564="D",1,0)+IF(CC564="D",1,0)+IF(CD564="D",1,0)+IF(CE564="D",1,0)+IF(CF564="D",1,0)+IF(CL564="D",1,0)+IF(CM564="D",1,0)+IF(CQ564="D",1,0)+IF(CR564="D",1,0)+IF(CS564="D",1,0)+IF(CW564="D",1,0)+IF(CX564="D",1,0)+IF(DD564="D",1,0)+IF(DE564="D",1,0)+IF(DJ564="D",1,0)+IF(DK564="D",1,0)+IF(DO564="D",1,0)+IF(DP564="D",1,0)+IF(DQ564="D",1,0)+IF(DW564="D",1,0)+IF(DZ564="D",1,0)+IF(EH564="D",1,0)</f>
        <v>0</v>
      </c>
      <c r="AY564" s="0" t="n">
        <f aca="false">COUNTIF(DU564:EH564, "&lt;&gt;")</f>
        <v>0</v>
      </c>
      <c r="AZ564" s="0" t="n">
        <f aca="false">IF(EH564&lt;&gt;"",1,0)</f>
        <v>0</v>
      </c>
      <c r="BB564" s="0" t="s">
        <v>152</v>
      </c>
    </row>
    <row r="565" customFormat="false" ht="13.8" hidden="true" customHeight="false" outlineLevel="0" collapsed="false">
      <c r="A565" s="0" t="s">
        <v>2978</v>
      </c>
      <c r="B565" s="0" t="n">
        <v>78</v>
      </c>
      <c r="C565" s="0" t="n">
        <v>490946</v>
      </c>
      <c r="D565" s="0" t="s">
        <v>2974</v>
      </c>
      <c r="E565" s="0" t="s">
        <v>2979</v>
      </c>
      <c r="F565" s="0" t="str">
        <f aca="false">CONCATENATE(D565," ",LEFT(H565,4),"T=",AU565,"D=",AV565,"R=",AW565,"M=",AX565,"L=",AY565,"B=",AZ565)</f>
        <v>MALCOMSON T=3D=0R=0M=0L=0B=0</v>
      </c>
      <c r="G565" s="0" t="s">
        <v>1912</v>
      </c>
      <c r="I565" s="0" t="s">
        <v>2976</v>
      </c>
      <c r="J565" s="0" t="s">
        <v>2053</v>
      </c>
      <c r="K565" s="0" t="s">
        <v>160</v>
      </c>
      <c r="M565" s="0" t="s">
        <v>2977</v>
      </c>
      <c r="N565" s="0" t="str">
        <f aca="false">RIGHT(M565,LEN(M565)-FIND(" ",M565))</f>
        <v>EAST AVE SE</v>
      </c>
      <c r="P565" s="0" t="s">
        <v>145</v>
      </c>
      <c r="Q565" s="0" t="s">
        <v>146</v>
      </c>
      <c r="R565" s="0" t="n">
        <v>44484</v>
      </c>
      <c r="AD565" s="0" t="s">
        <v>147</v>
      </c>
      <c r="AE565" s="0" t="s">
        <v>148</v>
      </c>
      <c r="AF565" s="0" t="s">
        <v>149</v>
      </c>
      <c r="AH565" s="0" t="n">
        <v>14</v>
      </c>
      <c r="AI565" s="0" t="n">
        <v>11</v>
      </c>
      <c r="AN565" s="0" t="s">
        <v>145</v>
      </c>
      <c r="AO565" s="0" t="s">
        <v>233</v>
      </c>
      <c r="AP565" s="0" t="s">
        <v>234</v>
      </c>
      <c r="AQ565" s="0" t="n">
        <v>9</v>
      </c>
      <c r="AR565" s="0" t="n">
        <v>64</v>
      </c>
      <c r="AS565" s="0" t="n">
        <v>32</v>
      </c>
      <c r="AU565" s="0" t="n">
        <f aca="false">COUNTA($BA$2507:$EH$2507)</f>
        <v>3</v>
      </c>
      <c r="AV565" s="0" t="n">
        <f aca="false">COUNTIF($BA$2507:$EH$2507,"D")</f>
        <v>0</v>
      </c>
      <c r="AW565" s="0" t="n">
        <f aca="false">COUNTIF($BA$2507:$EH$2507,"R")</f>
        <v>0</v>
      </c>
      <c r="AX565" s="0" t="n">
        <f aca="false">IF(BN565="D",1,0)+IF(BO565="D",1,0)+IF(BT565="D",1,0)+IF(BU565="D",1,0)+IF(BW565="D",1,0)+IF(CC565="D",1,0)+IF(CD565="D",1,0)+IF(CE565="D",1,0)+IF(CF565="D",1,0)+IF(CL565="D",1,0)+IF(CM565="D",1,0)+IF(CQ565="D",1,0)+IF(CR565="D",1,0)+IF(CS565="D",1,0)+IF(CW565="D",1,0)+IF(CX565="D",1,0)+IF(DD565="D",1,0)+IF(DE565="D",1,0)+IF(DJ565="D",1,0)+IF(DK565="D",1,0)+IF(DO565="D",1,0)+IF(DP565="D",1,0)+IF(DQ565="D",1,0)+IF(DW565="D",1,0)+IF(DZ565="D",1,0)+IF(EH565="D",1,0)</f>
        <v>0</v>
      </c>
      <c r="AY565" s="0" t="n">
        <f aca="false">COUNTIF(DU565:EH565, "&lt;&gt;")</f>
        <v>0</v>
      </c>
      <c r="AZ565" s="0" t="n">
        <f aca="false">IF(EH565&lt;&gt;"",1,0)</f>
        <v>0</v>
      </c>
      <c r="BB565" s="0" t="s">
        <v>152</v>
      </c>
    </row>
    <row r="566" customFormat="false" ht="13.8" hidden="true" customHeight="false" outlineLevel="0" collapsed="false">
      <c r="A566" s="0" t="s">
        <v>2980</v>
      </c>
      <c r="B566" s="0" t="n">
        <v>78</v>
      </c>
      <c r="C566" s="0" t="n">
        <v>371252</v>
      </c>
      <c r="D566" s="0" t="s">
        <v>2981</v>
      </c>
      <c r="E566" s="0" t="s">
        <v>2982</v>
      </c>
      <c r="F566" s="0" t="str">
        <f aca="false">CONCATENATE(D566," ",LEFT(H566,4),"T=",AU566,"D=",AV566,"R=",AW566,"M=",AX566,"L=",AY566,"B=",AZ566)</f>
        <v>GMUCS T=1D=0R=0M=0L=0B=0</v>
      </c>
      <c r="G566" s="0" t="s">
        <v>164</v>
      </c>
      <c r="I566" s="0" t="s">
        <v>2983</v>
      </c>
      <c r="J566" s="0" t="s">
        <v>2984</v>
      </c>
      <c r="K566" s="0" t="s">
        <v>143</v>
      </c>
      <c r="M566" s="0" t="s">
        <v>2985</v>
      </c>
      <c r="N566" s="0" t="str">
        <f aca="false">RIGHT(M566,LEN(M566)-FIND(" ",M566))</f>
        <v>EAST AVE SE</v>
      </c>
      <c r="P566" s="0" t="s">
        <v>145</v>
      </c>
      <c r="Q566" s="0" t="s">
        <v>146</v>
      </c>
      <c r="R566" s="0" t="n">
        <v>44484</v>
      </c>
      <c r="AD566" s="0" t="s">
        <v>147</v>
      </c>
      <c r="AE566" s="0" t="s">
        <v>148</v>
      </c>
      <c r="AF566" s="0" t="s">
        <v>149</v>
      </c>
      <c r="AH566" s="0" t="n">
        <v>14</v>
      </c>
      <c r="AI566" s="0" t="n">
        <v>11</v>
      </c>
      <c r="AN566" s="0" t="s">
        <v>145</v>
      </c>
      <c r="AO566" s="0" t="s">
        <v>150</v>
      </c>
      <c r="AP566" s="0" t="s">
        <v>151</v>
      </c>
      <c r="AQ566" s="0" t="n">
        <v>9</v>
      </c>
      <c r="AR566" s="0" t="n">
        <v>64</v>
      </c>
      <c r="AS566" s="0" t="n">
        <v>32</v>
      </c>
      <c r="AU566" s="0" t="n">
        <f aca="false">COUNTA($BA$355:$EH$355)</f>
        <v>1</v>
      </c>
      <c r="AV566" s="0" t="n">
        <f aca="false">COUNTIF($BA$355:$EH$355,"D")</f>
        <v>0</v>
      </c>
      <c r="AW566" s="0" t="n">
        <f aca="false">COUNTIF($BA$355:$EH$355,"R")</f>
        <v>0</v>
      </c>
      <c r="AX566" s="0" t="n">
        <f aca="false">IF(BN566="D",1,0)+IF(BO566="D",1,0)+IF(BT566="D",1,0)+IF(BU566="D",1,0)+IF(BW566="D",1,0)+IF(CC566="D",1,0)+IF(CD566="D",1,0)+IF(CE566="D",1,0)+IF(CF566="D",1,0)+IF(CL566="D",1,0)+IF(CM566="D",1,0)+IF(CQ566="D",1,0)+IF(CR566="D",1,0)+IF(CS566="D",1,0)+IF(CW566="D",1,0)+IF(CX566="D",1,0)+IF(DD566="D",1,0)+IF(DE566="D",1,0)+IF(DJ566="D",1,0)+IF(DK566="D",1,0)+IF(DO566="D",1,0)+IF(DP566="D",1,0)+IF(DQ566="D",1,0)+IF(DW566="D",1,0)+IF(DZ566="D",1,0)+IF(EH566="D",1,0)</f>
        <v>0</v>
      </c>
      <c r="AY566" s="0" t="n">
        <f aca="false">COUNTIF(DU566:EH566, "&lt;&gt;")</f>
        <v>0</v>
      </c>
      <c r="AZ566" s="0" t="n">
        <f aca="false">IF(EH566&lt;&gt;"",1,0)</f>
        <v>0</v>
      </c>
      <c r="BB566" s="0" t="s">
        <v>152</v>
      </c>
    </row>
    <row r="567" customFormat="false" ht="13.8" hidden="true" customHeight="false" outlineLevel="0" collapsed="false">
      <c r="A567" s="0" t="s">
        <v>2986</v>
      </c>
      <c r="B567" s="0" t="n">
        <v>78</v>
      </c>
      <c r="C567" s="0" t="n">
        <v>312789</v>
      </c>
      <c r="D567" s="0" t="s">
        <v>2987</v>
      </c>
      <c r="E567" s="0" t="s">
        <v>140</v>
      </c>
      <c r="F567" s="0" t="str">
        <f aca="false">CONCATENATE(D567," ",LEFT(H567,4),"T=",AU567,"D=",AV567,"R=",AW567,"M=",AX567,"L=",AY567,"B=",AZ567)</f>
        <v>TORTORETE T=1D=0R=0M=0L=0B=0</v>
      </c>
      <c r="G567" s="0" t="s">
        <v>175</v>
      </c>
      <c r="I567" s="0" t="s">
        <v>2988</v>
      </c>
      <c r="J567" s="0" t="s">
        <v>2989</v>
      </c>
      <c r="K567" s="0" t="s">
        <v>160</v>
      </c>
      <c r="M567" s="0" t="s">
        <v>2990</v>
      </c>
      <c r="N567" s="0" t="str">
        <f aca="false">RIGHT(M567,LEN(M567)-FIND(" ",M567))</f>
        <v>EAST AVE SE</v>
      </c>
      <c r="P567" s="0" t="s">
        <v>145</v>
      </c>
      <c r="Q567" s="0" t="s">
        <v>146</v>
      </c>
      <c r="R567" s="0" t="n">
        <v>44484</v>
      </c>
      <c r="AD567" s="0" t="s">
        <v>147</v>
      </c>
      <c r="AE567" s="0" t="s">
        <v>148</v>
      </c>
      <c r="AF567" s="0" t="s">
        <v>149</v>
      </c>
      <c r="AH567" s="0" t="n">
        <v>14</v>
      </c>
      <c r="AI567" s="0" t="n">
        <v>11</v>
      </c>
      <c r="AN567" s="0" t="s">
        <v>145</v>
      </c>
      <c r="AO567" s="0" t="s">
        <v>150</v>
      </c>
      <c r="AP567" s="0" t="s">
        <v>151</v>
      </c>
      <c r="AQ567" s="0" t="n">
        <v>9</v>
      </c>
      <c r="AR567" s="0" t="n">
        <v>64</v>
      </c>
      <c r="AS567" s="0" t="n">
        <v>32</v>
      </c>
      <c r="AU567" s="0" t="n">
        <f aca="false">COUNTA($BA$922:$EH$922)</f>
        <v>1</v>
      </c>
      <c r="AV567" s="0" t="n">
        <f aca="false">COUNTIF($BA$922:$EH$922,"D")</f>
        <v>0</v>
      </c>
      <c r="AW567" s="0" t="n">
        <f aca="false">COUNTIF($BA$922:$EH$922,"R")</f>
        <v>0</v>
      </c>
      <c r="AX567" s="0" t="n">
        <f aca="false">IF(BN567="D",1,0)+IF(BO567="D",1,0)+IF(BT567="D",1,0)+IF(BU567="D",1,0)+IF(BW567="D",1,0)+IF(CC567="D",1,0)+IF(CD567="D",1,0)+IF(CE567="D",1,0)+IF(CF567="D",1,0)+IF(CL567="D",1,0)+IF(CM567="D",1,0)+IF(CQ567="D",1,0)+IF(CR567="D",1,0)+IF(CS567="D",1,0)+IF(CW567="D",1,0)+IF(CX567="D",1,0)+IF(DD567="D",1,0)+IF(DE567="D",1,0)+IF(DJ567="D",1,0)+IF(DK567="D",1,0)+IF(DO567="D",1,0)+IF(DP567="D",1,0)+IF(DQ567="D",1,0)+IF(DW567="D",1,0)+IF(DZ567="D",1,0)+IF(EH567="D",1,0)</f>
        <v>0</v>
      </c>
      <c r="AY567" s="0" t="n">
        <f aca="false">COUNTIF(DU567:EH567, "&lt;&gt;")</f>
        <v>0</v>
      </c>
      <c r="AZ567" s="0" t="n">
        <f aca="false">IF(EH567&lt;&gt;"",1,0)</f>
        <v>0</v>
      </c>
      <c r="BB567" s="0" t="s">
        <v>152</v>
      </c>
    </row>
    <row r="568" customFormat="false" ht="13.8" hidden="true" customHeight="false" outlineLevel="0" collapsed="false">
      <c r="A568" s="0" t="s">
        <v>2991</v>
      </c>
      <c r="B568" s="0" t="n">
        <v>78</v>
      </c>
      <c r="C568" s="0" t="n">
        <v>463939</v>
      </c>
      <c r="D568" s="0" t="s">
        <v>2250</v>
      </c>
      <c r="E568" s="0" t="s">
        <v>2992</v>
      </c>
      <c r="F568" s="0" t="str">
        <f aca="false">CONCATENATE(D568," ",LEFT(H568,4),"T=",AU568,"D=",AV568,"R=",AW568,"M=",AX568,"L=",AY568,"B=",AZ568)</f>
        <v>RODRIGUEZ T=12D=1R=0M=0L=0B=0</v>
      </c>
      <c r="I568" s="0" t="s">
        <v>2993</v>
      </c>
      <c r="J568" s="0" t="s">
        <v>2994</v>
      </c>
      <c r="K568" s="0" t="s">
        <v>160</v>
      </c>
      <c r="M568" s="0" t="s">
        <v>2995</v>
      </c>
      <c r="N568" s="0" t="str">
        <f aca="false">RIGHT(M568,LEN(M568)-FIND(" ",M568))</f>
        <v>EAST AVE SE</v>
      </c>
      <c r="P568" s="0" t="s">
        <v>145</v>
      </c>
      <c r="Q568" s="0" t="s">
        <v>146</v>
      </c>
      <c r="R568" s="0" t="n">
        <v>44484</v>
      </c>
      <c r="AD568" s="0" t="s">
        <v>147</v>
      </c>
      <c r="AE568" s="0" t="s">
        <v>148</v>
      </c>
      <c r="AF568" s="0" t="s">
        <v>149</v>
      </c>
      <c r="AH568" s="0" t="n">
        <v>14</v>
      </c>
      <c r="AI568" s="0" t="n">
        <v>11</v>
      </c>
      <c r="AN568" s="0" t="s">
        <v>145</v>
      </c>
      <c r="AO568" s="0" t="s">
        <v>150</v>
      </c>
      <c r="AP568" s="0" t="s">
        <v>151</v>
      </c>
      <c r="AQ568" s="0" t="n">
        <v>9</v>
      </c>
      <c r="AR568" s="0" t="n">
        <v>64</v>
      </c>
      <c r="AS568" s="0" t="n">
        <v>32</v>
      </c>
      <c r="AU568" s="0" t="n">
        <f aca="false">COUNTA($BA$447:$EH$447)</f>
        <v>12</v>
      </c>
      <c r="AV568" s="0" t="n">
        <f aca="false">COUNTIF($BA$447:$EH$447,"D")</f>
        <v>1</v>
      </c>
      <c r="AW568" s="0" t="n">
        <f aca="false">COUNTIF($BA$447:$EH$447,"R")</f>
        <v>0</v>
      </c>
      <c r="AX568" s="0" t="n">
        <f aca="false">IF(BN568="D",1,0)+IF(BO568="D",1,0)+IF(BT568="D",1,0)+IF(BU568="D",1,0)+IF(BW568="D",1,0)+IF(CC568="D",1,0)+IF(CD568="D",1,0)+IF(CE568="D",1,0)+IF(CF568="D",1,0)+IF(CL568="D",1,0)+IF(CM568="D",1,0)+IF(CQ568="D",1,0)+IF(CR568="D",1,0)+IF(CS568="D",1,0)+IF(CW568="D",1,0)+IF(CX568="D",1,0)+IF(DD568="D",1,0)+IF(DE568="D",1,0)+IF(DJ568="D",1,0)+IF(DK568="D",1,0)+IF(DO568="D",1,0)+IF(DP568="D",1,0)+IF(DQ568="D",1,0)+IF(DW568="D",1,0)+IF(DZ568="D",1,0)+IF(EH568="D",1,0)</f>
        <v>0</v>
      </c>
      <c r="AY568" s="0" t="n">
        <f aca="false">COUNTIF(DU568:EH568, "&lt;&gt;")</f>
        <v>0</v>
      </c>
      <c r="AZ568" s="0" t="n">
        <f aca="false">IF(EH568&lt;&gt;"",1,0)</f>
        <v>0</v>
      </c>
      <c r="BB568" s="0" t="s">
        <v>152</v>
      </c>
    </row>
    <row r="569" customFormat="false" ht="13.8" hidden="true" customHeight="false" outlineLevel="0" collapsed="false">
      <c r="A569" s="0" t="s">
        <v>2996</v>
      </c>
      <c r="B569" s="0" t="n">
        <v>78</v>
      </c>
      <c r="C569" s="0" t="n">
        <v>187543</v>
      </c>
      <c r="D569" s="0" t="s">
        <v>2997</v>
      </c>
      <c r="E569" s="0" t="s">
        <v>1639</v>
      </c>
      <c r="F569" s="0" t="str">
        <f aca="false">CONCATENATE(D569," ",LEFT(H569,4),"T=",AU569,"D=",AV569,"R=",AW569,"M=",AX569,"L=",AY569,"B=",AZ569)</f>
        <v>SANTUCCI T=25D=9R=0M=0L=0B=0</v>
      </c>
      <c r="G569" s="0" t="s">
        <v>195</v>
      </c>
      <c r="I569" s="0" t="s">
        <v>2998</v>
      </c>
      <c r="J569" s="0" t="s">
        <v>2999</v>
      </c>
      <c r="K569" s="0" t="s">
        <v>143</v>
      </c>
      <c r="M569" s="0" t="s">
        <v>3000</v>
      </c>
      <c r="N569" s="0" t="str">
        <f aca="false">RIGHT(M569,LEN(M569)-FIND(" ",M569))</f>
        <v>EAST AVE SE</v>
      </c>
      <c r="P569" s="0" t="s">
        <v>145</v>
      </c>
      <c r="Q569" s="0" t="s">
        <v>146</v>
      </c>
      <c r="R569" s="0" t="n">
        <v>44484</v>
      </c>
      <c r="AD569" s="0" t="s">
        <v>147</v>
      </c>
      <c r="AE569" s="0" t="s">
        <v>148</v>
      </c>
      <c r="AF569" s="0" t="s">
        <v>149</v>
      </c>
      <c r="AH569" s="0" t="n">
        <v>14</v>
      </c>
      <c r="AI569" s="0" t="n">
        <v>11</v>
      </c>
      <c r="AN569" s="0" t="s">
        <v>145</v>
      </c>
      <c r="AO569" s="0" t="s">
        <v>150</v>
      </c>
      <c r="AP569" s="0" t="s">
        <v>151</v>
      </c>
      <c r="AQ569" s="0" t="n">
        <v>9</v>
      </c>
      <c r="AR569" s="0" t="n">
        <v>64</v>
      </c>
      <c r="AS569" s="0" t="n">
        <v>32</v>
      </c>
      <c r="AU569" s="0" t="n">
        <f aca="false">COUNTA($BA$997:$EH$997)</f>
        <v>25</v>
      </c>
      <c r="AV569" s="0" t="n">
        <f aca="false">COUNTIF($BA$997:$EH$997,"D")</f>
        <v>9</v>
      </c>
      <c r="AW569" s="0" t="n">
        <f aca="false">COUNTIF($BA$997:$EH$997,"R")</f>
        <v>0</v>
      </c>
      <c r="AX569" s="0" t="n">
        <f aca="false">IF(BN569="D",1,0)+IF(BO569="D",1,0)+IF(BT569="D",1,0)+IF(BU569="D",1,0)+IF(BW569="D",1,0)+IF(CC569="D",1,0)+IF(CD569="D",1,0)+IF(CE569="D",1,0)+IF(CF569="D",1,0)+IF(CL569="D",1,0)+IF(CM569="D",1,0)+IF(CQ569="D",1,0)+IF(CR569="D",1,0)+IF(CS569="D",1,0)+IF(CW569="D",1,0)+IF(CX569="D",1,0)+IF(DD569="D",1,0)+IF(DE569="D",1,0)+IF(DJ569="D",1,0)+IF(DK569="D",1,0)+IF(DO569="D",1,0)+IF(DP569="D",1,0)+IF(DQ569="D",1,0)+IF(DW569="D",1,0)+IF(DZ569="D",1,0)+IF(EH569="D",1,0)</f>
        <v>0</v>
      </c>
      <c r="AY569" s="0" t="n">
        <f aca="false">COUNTIF(DU569:EH569, "&lt;&gt;")</f>
        <v>0</v>
      </c>
      <c r="AZ569" s="0" t="n">
        <f aca="false">IF(EH569&lt;&gt;"",1,0)</f>
        <v>0</v>
      </c>
      <c r="BB569" s="0" t="s">
        <v>152</v>
      </c>
      <c r="BF569" s="0" t="s">
        <v>153</v>
      </c>
      <c r="BJ569" s="0" t="s">
        <v>153</v>
      </c>
      <c r="BL569" s="0" t="s">
        <v>153</v>
      </c>
      <c r="CA569" s="0" t="s">
        <v>153</v>
      </c>
      <c r="CN569" s="0" t="s">
        <v>153</v>
      </c>
      <c r="CP569" s="0" t="s">
        <v>153</v>
      </c>
      <c r="CY569" s="0" t="s">
        <v>153</v>
      </c>
      <c r="DC569" s="0" t="s">
        <v>153</v>
      </c>
    </row>
    <row r="570" customFormat="false" ht="13.8" hidden="true" customHeight="false" outlineLevel="0" collapsed="false">
      <c r="A570" s="0" t="s">
        <v>3001</v>
      </c>
      <c r="B570" s="0" t="n">
        <v>78</v>
      </c>
      <c r="C570" s="0" t="n">
        <v>341634</v>
      </c>
      <c r="D570" s="0" t="s">
        <v>3002</v>
      </c>
      <c r="E570" s="0" t="s">
        <v>3003</v>
      </c>
      <c r="F570" s="0" t="str">
        <f aca="false">CONCATENATE(D570," ",LEFT(H570,4),"T=",AU570,"D=",AV570,"R=",AW570,"M=",AX570,"L=",AY570,"B=",AZ570)</f>
        <v>GALLAGHER T=3D=0R=0M=0L=0B=0</v>
      </c>
      <c r="G570" s="0" t="s">
        <v>190</v>
      </c>
      <c r="I570" s="0" t="s">
        <v>3004</v>
      </c>
      <c r="J570" s="0" t="s">
        <v>3005</v>
      </c>
      <c r="K570" s="0" t="s">
        <v>160</v>
      </c>
      <c r="M570" s="0" t="s">
        <v>3006</v>
      </c>
      <c r="N570" s="0" t="str">
        <f aca="false">RIGHT(M570,LEN(M570)-FIND(" ",M570))</f>
        <v>EAST AVE SE</v>
      </c>
      <c r="P570" s="0" t="s">
        <v>145</v>
      </c>
      <c r="Q570" s="0" t="s">
        <v>146</v>
      </c>
      <c r="R570" s="0" t="n">
        <v>44484</v>
      </c>
      <c r="AD570" s="0" t="s">
        <v>147</v>
      </c>
      <c r="AE570" s="0" t="s">
        <v>148</v>
      </c>
      <c r="AF570" s="0" t="s">
        <v>149</v>
      </c>
      <c r="AH570" s="0" t="n">
        <v>14</v>
      </c>
      <c r="AI570" s="0" t="n">
        <v>11</v>
      </c>
      <c r="AN570" s="0" t="s">
        <v>145</v>
      </c>
      <c r="AO570" s="0" t="s">
        <v>150</v>
      </c>
      <c r="AP570" s="0" t="s">
        <v>151</v>
      </c>
      <c r="AQ570" s="0" t="n">
        <v>9</v>
      </c>
      <c r="AR570" s="0" t="n">
        <v>64</v>
      </c>
      <c r="AS570" s="0" t="n">
        <v>32</v>
      </c>
      <c r="AU570" s="0" t="n">
        <f aca="false">COUNTA($BA$402:$EH$402)</f>
        <v>3</v>
      </c>
      <c r="AV570" s="0" t="n">
        <f aca="false">COUNTIF($BA$402:$EH$402,"D")</f>
        <v>0</v>
      </c>
      <c r="AW570" s="0" t="n">
        <f aca="false">COUNTIF($BA$402:$EH$402,"R")</f>
        <v>0</v>
      </c>
      <c r="AX570" s="0" t="n">
        <f aca="false">IF(BN570="D",1,0)+IF(BO570="D",1,0)+IF(BT570="D",1,0)+IF(BU570="D",1,0)+IF(BW570="D",1,0)+IF(CC570="D",1,0)+IF(CD570="D",1,0)+IF(CE570="D",1,0)+IF(CF570="D",1,0)+IF(CL570="D",1,0)+IF(CM570="D",1,0)+IF(CQ570="D",1,0)+IF(CR570="D",1,0)+IF(CS570="D",1,0)+IF(CW570="D",1,0)+IF(CX570="D",1,0)+IF(DD570="D",1,0)+IF(DE570="D",1,0)+IF(DJ570="D",1,0)+IF(DK570="D",1,0)+IF(DO570="D",1,0)+IF(DP570="D",1,0)+IF(DQ570="D",1,0)+IF(DW570="D",1,0)+IF(DZ570="D",1,0)+IF(EH570="D",1,0)</f>
        <v>0</v>
      </c>
      <c r="AY570" s="0" t="n">
        <f aca="false">COUNTIF(DU570:EH570, "&lt;&gt;")</f>
        <v>0</v>
      </c>
      <c r="AZ570" s="0" t="n">
        <f aca="false">IF(EH570&lt;&gt;"",1,0)</f>
        <v>0</v>
      </c>
      <c r="BB570" s="0" t="s">
        <v>152</v>
      </c>
    </row>
    <row r="571" customFormat="false" ht="13.8" hidden="false" customHeight="false" outlineLevel="0" collapsed="false">
      <c r="A571" s="0" t="s">
        <v>3007</v>
      </c>
      <c r="B571" s="0" t="n">
        <v>78</v>
      </c>
      <c r="C571" s="0" t="n">
        <v>255744</v>
      </c>
      <c r="D571" s="0" t="s">
        <v>690</v>
      </c>
      <c r="E571" s="0" t="s">
        <v>1208</v>
      </c>
      <c r="F571" s="0" t="str">
        <f aca="false">CONCATENATE(D571," ",LEFT(H571,4),"T=",AU571,"D=",AV571,"R=",AW571,"M=",AX571,"L=",AY571,"B=",AZ571)</f>
        <v>SMITH T=1D=0R=0M=0L=4B=0</v>
      </c>
      <c r="G571" s="0" t="s">
        <v>1617</v>
      </c>
      <c r="I571" s="0" t="s">
        <v>3008</v>
      </c>
      <c r="J571" s="0" t="s">
        <v>3009</v>
      </c>
      <c r="K571" s="0" t="s">
        <v>160</v>
      </c>
      <c r="L571" s="0" t="s">
        <v>175</v>
      </c>
      <c r="M571" s="0" t="s">
        <v>3010</v>
      </c>
      <c r="N571" s="0" t="str">
        <f aca="false">RIGHT(M571,LEN(M571)-FIND(" ",M571))</f>
        <v>EAST AVE SE</v>
      </c>
      <c r="P571" s="0" t="s">
        <v>145</v>
      </c>
      <c r="Q571" s="0" t="s">
        <v>146</v>
      </c>
      <c r="R571" s="0" t="n">
        <v>44484</v>
      </c>
      <c r="AD571" s="0" t="s">
        <v>147</v>
      </c>
      <c r="AE571" s="0" t="s">
        <v>148</v>
      </c>
      <c r="AF571" s="0" t="s">
        <v>149</v>
      </c>
      <c r="AH571" s="0" t="n">
        <v>14</v>
      </c>
      <c r="AI571" s="0" t="n">
        <v>11</v>
      </c>
      <c r="AN571" s="0" t="s">
        <v>145</v>
      </c>
      <c r="AO571" s="0" t="s">
        <v>150</v>
      </c>
      <c r="AP571" s="0" t="s">
        <v>151</v>
      </c>
      <c r="AQ571" s="0" t="n">
        <v>9</v>
      </c>
      <c r="AR571" s="0" t="n">
        <v>64</v>
      </c>
      <c r="AS571" s="0" t="n">
        <v>32</v>
      </c>
      <c r="AU571" s="0" t="n">
        <f aca="false">COUNTA($BA$248:$EH$248)</f>
        <v>1</v>
      </c>
      <c r="AV571" s="0" t="n">
        <f aca="false">COUNTIF($BA$248:$EH$248,"D")</f>
        <v>0</v>
      </c>
      <c r="AW571" s="0" t="n">
        <f aca="false">COUNTIF($BA$248:$EH$248,"R")</f>
        <v>0</v>
      </c>
      <c r="AX571" s="0" t="n">
        <f aca="false">IF(BN571="D",1,0)+IF(BO571="D",1,0)+IF(BT571="D",1,0)+IF(BU571="D",1,0)+IF(BW571="D",1,0)+IF(CC571="D",1,0)+IF(CD571="D",1,0)+IF(CE571="D",1,0)+IF(CF571="D",1,0)+IF(CL571="D",1,0)+IF(CM571="D",1,0)+IF(CQ571="D",1,0)+IF(CR571="D",1,0)+IF(CS571="D",1,0)+IF(CW571="D",1,0)+IF(CX571="D",1,0)+IF(DD571="D",1,0)+IF(DE571="D",1,0)+IF(DJ571="D",1,0)+IF(DK571="D",1,0)+IF(DO571="D",1,0)+IF(DP571="D",1,0)+IF(DQ571="D",1,0)+IF(DW571="D",1,0)+IF(DZ571="D",1,0)+IF(EH571="D",1,0)</f>
        <v>0</v>
      </c>
      <c r="AY571" s="0" t="n">
        <f aca="false">COUNTIF(DU571:EH571, "&lt;&gt;")</f>
        <v>4</v>
      </c>
      <c r="AZ571" s="0" t="n">
        <f aca="false">IF(EH571&lt;&gt;"",1,0)</f>
        <v>0</v>
      </c>
      <c r="BB571" s="0" t="s">
        <v>152</v>
      </c>
      <c r="BC571" s="0" t="s">
        <v>153</v>
      </c>
      <c r="BD571" s="0" t="s">
        <v>153</v>
      </c>
      <c r="BE571" s="0" t="s">
        <v>153</v>
      </c>
      <c r="BF571" s="0" t="s">
        <v>153</v>
      </c>
      <c r="BI571" s="0" t="s">
        <v>153</v>
      </c>
      <c r="BJ571" s="0" t="s">
        <v>153</v>
      </c>
      <c r="BL571" s="0" t="s">
        <v>153</v>
      </c>
      <c r="CA571" s="0" t="s">
        <v>153</v>
      </c>
      <c r="CP571" s="0" t="s">
        <v>153</v>
      </c>
      <c r="DC571" s="0" t="s">
        <v>153</v>
      </c>
      <c r="DM571" s="0" t="s">
        <v>175</v>
      </c>
      <c r="DN571" s="0" t="s">
        <v>153</v>
      </c>
      <c r="DS571" s="0" t="s">
        <v>175</v>
      </c>
      <c r="DU571" s="0" t="s">
        <v>153</v>
      </c>
      <c r="EA571" s="0" t="s">
        <v>153</v>
      </c>
      <c r="ED571" s="0" t="s">
        <v>175</v>
      </c>
      <c r="EF571" s="0" t="s">
        <v>153</v>
      </c>
    </row>
    <row r="572" customFormat="false" ht="13.8" hidden="false" customHeight="false" outlineLevel="0" collapsed="false">
      <c r="A572" s="0" t="s">
        <v>3011</v>
      </c>
      <c r="B572" s="0" t="n">
        <v>78</v>
      </c>
      <c r="C572" s="0" t="n">
        <v>332497</v>
      </c>
      <c r="D572" s="0" t="s">
        <v>3012</v>
      </c>
      <c r="E572" s="0" t="s">
        <v>1451</v>
      </c>
      <c r="F572" s="0" t="str">
        <f aca="false">CONCATENATE(D572," ",LEFT(H572,4),"T=",AU572,"D=",AV572,"R=",AW572,"M=",AX572,"L=",AY572,"B=",AZ572)</f>
        <v>CHIN T=1D=0R=0M=4L=6B=1</v>
      </c>
      <c r="G572" s="0" t="s">
        <v>475</v>
      </c>
      <c r="I572" s="0" t="s">
        <v>601</v>
      </c>
      <c r="J572" s="0" t="s">
        <v>3013</v>
      </c>
      <c r="K572" s="0" t="s">
        <v>160</v>
      </c>
      <c r="L572" s="0" t="s">
        <v>175</v>
      </c>
      <c r="M572" s="0" t="s">
        <v>3014</v>
      </c>
      <c r="N572" s="0" t="str">
        <f aca="false">RIGHT(M572,LEN(M572)-FIND(" ",M572))</f>
        <v>EAST AVE SE</v>
      </c>
      <c r="P572" s="0" t="s">
        <v>145</v>
      </c>
      <c r="Q572" s="0" t="s">
        <v>146</v>
      </c>
      <c r="R572" s="0" t="n">
        <v>44484</v>
      </c>
      <c r="AD572" s="0" t="s">
        <v>147</v>
      </c>
      <c r="AE572" s="0" t="s">
        <v>148</v>
      </c>
      <c r="AF572" s="0" t="s">
        <v>149</v>
      </c>
      <c r="AH572" s="0" t="n">
        <v>14</v>
      </c>
      <c r="AI572" s="0" t="n">
        <v>11</v>
      </c>
      <c r="AN572" s="0" t="s">
        <v>145</v>
      </c>
      <c r="AO572" s="0" t="s">
        <v>150</v>
      </c>
      <c r="AP572" s="0" t="s">
        <v>151</v>
      </c>
      <c r="AQ572" s="0" t="n">
        <v>9</v>
      </c>
      <c r="AR572" s="0" t="n">
        <v>64</v>
      </c>
      <c r="AS572" s="0" t="n">
        <v>32</v>
      </c>
      <c r="AU572" s="0" t="n">
        <f aca="false">COUNTA($BA$203:$EH$203)</f>
        <v>1</v>
      </c>
      <c r="AV572" s="0" t="n">
        <f aca="false">COUNTIF($BA$203:$EH$203,"D")</f>
        <v>0</v>
      </c>
      <c r="AW572" s="0" t="n">
        <f aca="false">COUNTIF($BA$203:$EH$203,"R")</f>
        <v>0</v>
      </c>
      <c r="AX572" s="0" t="n">
        <f aca="false">IF(BN572="D",1,0)+IF(BO572="D",1,0)+IF(BT572="D",1,0)+IF(BU572="D",1,0)+IF(BW572="D",1,0)+IF(CC572="D",1,0)+IF(CD572="D",1,0)+IF(CE572="D",1,0)+IF(CF572="D",1,0)+IF(CL572="D",1,0)+IF(CM572="D",1,0)+IF(CQ572="D",1,0)+IF(CR572="D",1,0)+IF(CS572="D",1,0)+IF(CW572="D",1,0)+IF(CX572="D",1,0)+IF(DD572="D",1,0)+IF(DE572="D",1,0)+IF(DJ572="D",1,0)+IF(DK572="D",1,0)+IF(DO572="D",1,0)+IF(DP572="D",1,0)+IF(DQ572="D",1,0)+IF(DW572="D",1,0)+IF(DZ572="D",1,0)+IF(EH572="D",1,0)</f>
        <v>4</v>
      </c>
      <c r="AY572" s="0" t="n">
        <f aca="false">COUNTIF(DU572:EH572, "&lt;&gt;")</f>
        <v>6</v>
      </c>
      <c r="AZ572" s="0" t="n">
        <f aca="false">IF(EH572&lt;&gt;"",1,0)</f>
        <v>1</v>
      </c>
      <c r="BB572" s="0" t="s">
        <v>152</v>
      </c>
      <c r="BL572" s="0" t="s">
        <v>153</v>
      </c>
      <c r="BS572" s="0" t="s">
        <v>153</v>
      </c>
      <c r="BY572" s="0" t="s">
        <v>175</v>
      </c>
      <c r="CA572" s="0" t="s">
        <v>153</v>
      </c>
      <c r="CG572" s="0" t="s">
        <v>153</v>
      </c>
      <c r="CK572" s="0" t="s">
        <v>153</v>
      </c>
      <c r="CL572" s="0" t="s">
        <v>175</v>
      </c>
      <c r="CN572" s="0" t="s">
        <v>153</v>
      </c>
      <c r="CP572" s="0" t="s">
        <v>153</v>
      </c>
      <c r="CQ572" s="0" t="s">
        <v>175</v>
      </c>
      <c r="CV572" s="0" t="s">
        <v>153</v>
      </c>
      <c r="CY572" s="0" t="s">
        <v>153</v>
      </c>
      <c r="CZ572" s="0" t="s">
        <v>606</v>
      </c>
      <c r="DC572" s="0" t="s">
        <v>153</v>
      </c>
      <c r="DI572" s="0" t="s">
        <v>153</v>
      </c>
      <c r="DN572" s="0" t="s">
        <v>153</v>
      </c>
      <c r="DR572" s="0" t="s">
        <v>153</v>
      </c>
      <c r="DU572" s="0" t="s">
        <v>153</v>
      </c>
      <c r="DW572" s="0" t="s">
        <v>175</v>
      </c>
      <c r="DX572" s="0" t="s">
        <v>153</v>
      </c>
      <c r="EA572" s="0" t="s">
        <v>153</v>
      </c>
      <c r="EF572" s="0" t="s">
        <v>153</v>
      </c>
      <c r="EH572" s="0" t="s">
        <v>175</v>
      </c>
    </row>
    <row r="573" customFormat="false" ht="13.8" hidden="false" customHeight="false" outlineLevel="0" collapsed="false">
      <c r="A573" s="0" t="s">
        <v>3015</v>
      </c>
      <c r="B573" s="0" t="n">
        <v>78</v>
      </c>
      <c r="C573" s="0" t="n">
        <v>329033</v>
      </c>
      <c r="D573" s="0" t="s">
        <v>3016</v>
      </c>
      <c r="E573" s="0" t="s">
        <v>3017</v>
      </c>
      <c r="F573" s="0" t="str">
        <f aca="false">CONCATENATE(D573," ",LEFT(H573,4),"T=",AU573,"D=",AV573,"R=",AW573,"M=",AX573,"L=",AY573,"B=",AZ573)</f>
        <v>WARD CHIN T=1D=0R=0M=4L=7B=1</v>
      </c>
      <c r="G573" s="0" t="s">
        <v>3018</v>
      </c>
      <c r="I573" s="0" t="s">
        <v>3019</v>
      </c>
      <c r="J573" s="0" t="s">
        <v>3020</v>
      </c>
      <c r="K573" s="0" t="s">
        <v>160</v>
      </c>
      <c r="L573" s="0" t="s">
        <v>175</v>
      </c>
      <c r="M573" s="0" t="s">
        <v>3014</v>
      </c>
      <c r="N573" s="0" t="str">
        <f aca="false">RIGHT(M573,LEN(M573)-FIND(" ",M573))</f>
        <v>EAST AVE SE</v>
      </c>
      <c r="P573" s="0" t="s">
        <v>145</v>
      </c>
      <c r="Q573" s="0" t="s">
        <v>146</v>
      </c>
      <c r="R573" s="0" t="n">
        <v>44484</v>
      </c>
      <c r="AD573" s="0" t="s">
        <v>147</v>
      </c>
      <c r="AE573" s="0" t="s">
        <v>148</v>
      </c>
      <c r="AF573" s="0" t="s">
        <v>149</v>
      </c>
      <c r="AH573" s="0" t="n">
        <v>14</v>
      </c>
      <c r="AI573" s="0" t="n">
        <v>11</v>
      </c>
      <c r="AN573" s="0" t="s">
        <v>145</v>
      </c>
      <c r="AO573" s="0" t="s">
        <v>150</v>
      </c>
      <c r="AP573" s="0" t="s">
        <v>151</v>
      </c>
      <c r="AQ573" s="0" t="n">
        <v>9</v>
      </c>
      <c r="AR573" s="0" t="n">
        <v>64</v>
      </c>
      <c r="AS573" s="0" t="n">
        <v>32</v>
      </c>
      <c r="AU573" s="0" t="n">
        <f aca="false">COUNTA($BA$218:$EH$218)</f>
        <v>1</v>
      </c>
      <c r="AV573" s="0" t="n">
        <f aca="false">COUNTIF($BA$218:$EH$218,"D")</f>
        <v>0</v>
      </c>
      <c r="AW573" s="0" t="n">
        <f aca="false">COUNTIF($BA$218:$EH$218,"R")</f>
        <v>0</v>
      </c>
      <c r="AX573" s="0" t="n">
        <f aca="false">IF(BN573="D",1,0)+IF(BO573="D",1,0)+IF(BT573="D",1,0)+IF(BU573="D",1,0)+IF(BW573="D",1,0)+IF(CC573="D",1,0)+IF(CD573="D",1,0)+IF(CE573="D",1,0)+IF(CF573="D",1,0)+IF(CL573="D",1,0)+IF(CM573="D",1,0)+IF(CQ573="D",1,0)+IF(CR573="D",1,0)+IF(CS573="D",1,0)+IF(CW573="D",1,0)+IF(CX573="D",1,0)+IF(DD573="D",1,0)+IF(DE573="D",1,0)+IF(DJ573="D",1,0)+IF(DK573="D",1,0)+IF(DO573="D",1,0)+IF(DP573="D",1,0)+IF(DQ573="D",1,0)+IF(DW573="D",1,0)+IF(DZ573="D",1,0)+IF(EH573="D",1,0)</f>
        <v>4</v>
      </c>
      <c r="AY573" s="0" t="n">
        <f aca="false">COUNTIF(DU573:EH573, "&lt;&gt;")</f>
        <v>7</v>
      </c>
      <c r="AZ573" s="0" t="n">
        <f aca="false">IF(EH573&lt;&gt;"",1,0)</f>
        <v>1</v>
      </c>
      <c r="BB573" s="0" t="s">
        <v>152</v>
      </c>
      <c r="BL573" s="0" t="s">
        <v>153</v>
      </c>
      <c r="BS573" s="0" t="s">
        <v>153</v>
      </c>
      <c r="BY573" s="0" t="s">
        <v>175</v>
      </c>
      <c r="CA573" s="0" t="s">
        <v>153</v>
      </c>
      <c r="CG573" s="0" t="s">
        <v>153</v>
      </c>
      <c r="CK573" s="0" t="s">
        <v>153</v>
      </c>
      <c r="CL573" s="0" t="s">
        <v>175</v>
      </c>
      <c r="CN573" s="0" t="s">
        <v>153</v>
      </c>
      <c r="CP573" s="0" t="s">
        <v>153</v>
      </c>
      <c r="CQ573" s="0" t="s">
        <v>175</v>
      </c>
      <c r="CV573" s="0" t="s">
        <v>153</v>
      </c>
      <c r="CY573" s="0" t="s">
        <v>153</v>
      </c>
      <c r="CZ573" s="0" t="s">
        <v>175</v>
      </c>
      <c r="DC573" s="0" t="s">
        <v>153</v>
      </c>
      <c r="DI573" s="0" t="s">
        <v>153</v>
      </c>
      <c r="DN573" s="0" t="s">
        <v>153</v>
      </c>
      <c r="DR573" s="0" t="s">
        <v>153</v>
      </c>
      <c r="DU573" s="0" t="s">
        <v>153</v>
      </c>
      <c r="DW573" s="0" t="s">
        <v>175</v>
      </c>
      <c r="DX573" s="0" t="s">
        <v>153</v>
      </c>
      <c r="EA573" s="0" t="s">
        <v>153</v>
      </c>
      <c r="ED573" s="0" t="s">
        <v>175</v>
      </c>
      <c r="EF573" s="0" t="s">
        <v>153</v>
      </c>
      <c r="EH573" s="0" t="s">
        <v>175</v>
      </c>
    </row>
    <row r="574" customFormat="false" ht="13.8" hidden="true" customHeight="false" outlineLevel="0" collapsed="false">
      <c r="A574" s="0" t="s">
        <v>3021</v>
      </c>
      <c r="B574" s="0" t="n">
        <v>78</v>
      </c>
      <c r="C574" s="0" t="n">
        <v>464030</v>
      </c>
      <c r="D574" s="0" t="s">
        <v>3012</v>
      </c>
      <c r="E574" s="0" t="s">
        <v>3022</v>
      </c>
      <c r="F574" s="0" t="str">
        <f aca="false">CONCATENATE(D574," ",LEFT(H574,4),"T=",AU574,"D=",AV574,"R=",AW574,"M=",AX574,"L=",AY574,"B=",AZ574)</f>
        <v>CHIN T=47D=15R=0M=0L=1B=0</v>
      </c>
      <c r="G574" s="0" t="s">
        <v>3023</v>
      </c>
      <c r="I574" s="0" t="s">
        <v>3024</v>
      </c>
      <c r="J574" s="0" t="s">
        <v>3025</v>
      </c>
      <c r="K574" s="0" t="s">
        <v>160</v>
      </c>
      <c r="M574" s="0" t="s">
        <v>3014</v>
      </c>
      <c r="N574" s="0" t="str">
        <f aca="false">RIGHT(M574,LEN(M574)-FIND(" ",M574))</f>
        <v>EAST AVE SE</v>
      </c>
      <c r="P574" s="0" t="s">
        <v>145</v>
      </c>
      <c r="Q574" s="0" t="s">
        <v>146</v>
      </c>
      <c r="R574" s="0" t="n">
        <v>44484</v>
      </c>
      <c r="AD574" s="0" t="s">
        <v>147</v>
      </c>
      <c r="AE574" s="0" t="s">
        <v>148</v>
      </c>
      <c r="AF574" s="0" t="s">
        <v>149</v>
      </c>
      <c r="AH574" s="0" t="n">
        <v>14</v>
      </c>
      <c r="AI574" s="0" t="n">
        <v>11</v>
      </c>
      <c r="AN574" s="0" t="s">
        <v>145</v>
      </c>
      <c r="AO574" s="0" t="s">
        <v>150</v>
      </c>
      <c r="AP574" s="0" t="s">
        <v>151</v>
      </c>
      <c r="AQ574" s="0" t="n">
        <v>9</v>
      </c>
      <c r="AR574" s="0" t="n">
        <v>64</v>
      </c>
      <c r="AS574" s="0" t="n">
        <v>32</v>
      </c>
      <c r="AU574" s="0" t="n">
        <f aca="false">COUNTA($BA$374:$EH$374)</f>
        <v>47</v>
      </c>
      <c r="AV574" s="0" t="n">
        <f aca="false">COUNTIF($BA$374:$EH$374,"D")</f>
        <v>15</v>
      </c>
      <c r="AW574" s="0" t="n">
        <f aca="false">COUNTIF($BA$374:$EH$374,"R")</f>
        <v>0</v>
      </c>
      <c r="AX574" s="0" t="n">
        <f aca="false">IF(BN574="D",1,0)+IF(BO574="D",1,0)+IF(BT574="D",1,0)+IF(BU574="D",1,0)+IF(BW574="D",1,0)+IF(CC574="D",1,0)+IF(CD574="D",1,0)+IF(CE574="D",1,0)+IF(CF574="D",1,0)+IF(CL574="D",1,0)+IF(CM574="D",1,0)+IF(CQ574="D",1,0)+IF(CR574="D",1,0)+IF(CS574="D",1,0)+IF(CW574="D",1,0)+IF(CX574="D",1,0)+IF(DD574="D",1,0)+IF(DE574="D",1,0)+IF(DJ574="D",1,0)+IF(DK574="D",1,0)+IF(DO574="D",1,0)+IF(DP574="D",1,0)+IF(DQ574="D",1,0)+IF(DW574="D",1,0)+IF(DZ574="D",1,0)+IF(EH574="D",1,0)</f>
        <v>0</v>
      </c>
      <c r="AY574" s="0" t="n">
        <f aca="false">COUNTIF(DU574:EH574, "&lt;&gt;")</f>
        <v>1</v>
      </c>
      <c r="AZ574" s="0" t="n">
        <f aca="false">IF(EH574&lt;&gt;"",1,0)</f>
        <v>0</v>
      </c>
      <c r="BB574" s="0" t="s">
        <v>152</v>
      </c>
      <c r="EF574" s="0" t="s">
        <v>153</v>
      </c>
    </row>
    <row r="575" customFormat="false" ht="13.8" hidden="true" customHeight="false" outlineLevel="0" collapsed="false">
      <c r="A575" s="0" t="s">
        <v>3026</v>
      </c>
      <c r="B575" s="0" t="n">
        <v>78</v>
      </c>
      <c r="C575" s="0" t="n">
        <v>473539</v>
      </c>
      <c r="D575" s="0" t="s">
        <v>3012</v>
      </c>
      <c r="E575" s="0" t="s">
        <v>3027</v>
      </c>
      <c r="F575" s="0" t="str">
        <f aca="false">CONCATENATE(D575," ",LEFT(H575,4),"T=",AU575,"D=",AV575,"R=",AW575,"M=",AX575,"L=",AY575,"B=",AZ575)</f>
        <v>CHIN T=5D=0R=0M=0L=0B=0</v>
      </c>
      <c r="G575" s="0" t="s">
        <v>3028</v>
      </c>
      <c r="I575" s="0" t="s">
        <v>3029</v>
      </c>
      <c r="J575" s="0" t="s">
        <v>3030</v>
      </c>
      <c r="K575" s="0" t="s">
        <v>160</v>
      </c>
      <c r="M575" s="0" t="s">
        <v>3014</v>
      </c>
      <c r="N575" s="0" t="str">
        <f aca="false">RIGHT(M575,LEN(M575)-FIND(" ",M575))</f>
        <v>EAST AVE SE</v>
      </c>
      <c r="P575" s="0" t="s">
        <v>145</v>
      </c>
      <c r="Q575" s="0" t="s">
        <v>146</v>
      </c>
      <c r="R575" s="0" t="n">
        <v>44484</v>
      </c>
      <c r="AD575" s="0" t="s">
        <v>147</v>
      </c>
      <c r="AE575" s="0" t="s">
        <v>148</v>
      </c>
      <c r="AF575" s="0" t="s">
        <v>149</v>
      </c>
      <c r="AH575" s="0" t="n">
        <v>14</v>
      </c>
      <c r="AI575" s="0" t="n">
        <v>11</v>
      </c>
      <c r="AN575" s="0" t="s">
        <v>145</v>
      </c>
      <c r="AO575" s="0" t="s">
        <v>150</v>
      </c>
      <c r="AP575" s="0" t="s">
        <v>151</v>
      </c>
      <c r="AQ575" s="0" t="n">
        <v>9</v>
      </c>
      <c r="AR575" s="0" t="n">
        <v>64</v>
      </c>
      <c r="AS575" s="0" t="n">
        <v>32</v>
      </c>
      <c r="AU575" s="0" t="n">
        <f aca="false">COUNTA($BA$936:$EH$936)</f>
        <v>5</v>
      </c>
      <c r="AV575" s="0" t="n">
        <f aca="false">COUNTIF($BA$936:$EH$936,"D")</f>
        <v>0</v>
      </c>
      <c r="AW575" s="0" t="n">
        <f aca="false">COUNTIF($BA$936:$EH$936,"R")</f>
        <v>0</v>
      </c>
      <c r="AX575" s="0" t="n">
        <f aca="false">IF(BN575="D",1,0)+IF(BO575="D",1,0)+IF(BT575="D",1,0)+IF(BU575="D",1,0)+IF(BW575="D",1,0)+IF(CC575="D",1,0)+IF(CD575="D",1,0)+IF(CE575="D",1,0)+IF(CF575="D",1,0)+IF(CL575="D",1,0)+IF(CM575="D",1,0)+IF(CQ575="D",1,0)+IF(CR575="D",1,0)+IF(CS575="D",1,0)+IF(CW575="D",1,0)+IF(CX575="D",1,0)+IF(DD575="D",1,0)+IF(DE575="D",1,0)+IF(DJ575="D",1,0)+IF(DK575="D",1,0)+IF(DO575="D",1,0)+IF(DP575="D",1,0)+IF(DQ575="D",1,0)+IF(DW575="D",1,0)+IF(DZ575="D",1,0)+IF(EH575="D",1,0)</f>
        <v>0</v>
      </c>
      <c r="AY575" s="0" t="n">
        <f aca="false">COUNTIF(DU575:EH575, "&lt;&gt;")</f>
        <v>0</v>
      </c>
      <c r="AZ575" s="0" t="n">
        <f aca="false">IF(EH575&lt;&gt;"",1,0)</f>
        <v>0</v>
      </c>
      <c r="BB575" s="0" t="s">
        <v>152</v>
      </c>
    </row>
    <row r="576" customFormat="false" ht="13.8" hidden="true" customHeight="false" outlineLevel="0" collapsed="false">
      <c r="A576" s="0" t="s">
        <v>3031</v>
      </c>
      <c r="B576" s="0" t="n">
        <v>78</v>
      </c>
      <c r="C576" s="0" t="n">
        <v>449661</v>
      </c>
      <c r="D576" s="0" t="s">
        <v>3012</v>
      </c>
      <c r="E576" s="0" t="s">
        <v>1745</v>
      </c>
      <c r="F576" s="0" t="str">
        <f aca="false">CONCATENATE(D576," ",LEFT(H576,4),"T=",AU576,"D=",AV576,"R=",AW576,"M=",AX576,"L=",AY576,"B=",AZ576)</f>
        <v>CHIN T=5D=0R=1M=0L=0B=0</v>
      </c>
      <c r="G576" s="0" t="s">
        <v>3027</v>
      </c>
      <c r="I576" s="0" t="s">
        <v>3032</v>
      </c>
      <c r="J576" s="0" t="s">
        <v>3033</v>
      </c>
      <c r="K576" s="0" t="s">
        <v>160</v>
      </c>
      <c r="M576" s="0" t="s">
        <v>3014</v>
      </c>
      <c r="N576" s="0" t="str">
        <f aca="false">RIGHT(M576,LEN(M576)-FIND(" ",M576))</f>
        <v>EAST AVE SE</v>
      </c>
      <c r="P576" s="0" t="s">
        <v>145</v>
      </c>
      <c r="Q576" s="0" t="s">
        <v>146</v>
      </c>
      <c r="R576" s="0" t="n">
        <v>44484</v>
      </c>
      <c r="AD576" s="0" t="s">
        <v>147</v>
      </c>
      <c r="AE576" s="0" t="s">
        <v>148</v>
      </c>
      <c r="AF576" s="0" t="s">
        <v>149</v>
      </c>
      <c r="AH576" s="0" t="n">
        <v>14</v>
      </c>
      <c r="AI576" s="0" t="n">
        <v>11</v>
      </c>
      <c r="AN576" s="0" t="s">
        <v>145</v>
      </c>
      <c r="AO576" s="0" t="s">
        <v>150</v>
      </c>
      <c r="AP576" s="0" t="s">
        <v>151</v>
      </c>
      <c r="AQ576" s="0" t="n">
        <v>9</v>
      </c>
      <c r="AR576" s="0" t="n">
        <v>64</v>
      </c>
      <c r="AS576" s="0" t="n">
        <v>32</v>
      </c>
      <c r="AU576" s="0" t="n">
        <f aca="false">COUNTA($BA$1073:$EH$1073)</f>
        <v>5</v>
      </c>
      <c r="AV576" s="0" t="n">
        <f aca="false">COUNTIF($BA$1073:$EH$1073,"D")</f>
        <v>0</v>
      </c>
      <c r="AW576" s="0" t="n">
        <f aca="false">COUNTIF($BA$1073:$EH$1073,"R")</f>
        <v>1</v>
      </c>
      <c r="AX576" s="0" t="n">
        <f aca="false">IF(BN576="D",1,0)+IF(BO576="D",1,0)+IF(BT576="D",1,0)+IF(BU576="D",1,0)+IF(BW576="D",1,0)+IF(CC576="D",1,0)+IF(CD576="D",1,0)+IF(CE576="D",1,0)+IF(CF576="D",1,0)+IF(CL576="D",1,0)+IF(CM576="D",1,0)+IF(CQ576="D",1,0)+IF(CR576="D",1,0)+IF(CS576="D",1,0)+IF(CW576="D",1,0)+IF(CX576="D",1,0)+IF(DD576="D",1,0)+IF(DE576="D",1,0)+IF(DJ576="D",1,0)+IF(DK576="D",1,0)+IF(DO576="D",1,0)+IF(DP576="D",1,0)+IF(DQ576="D",1,0)+IF(DW576="D",1,0)+IF(DZ576="D",1,0)+IF(EH576="D",1,0)</f>
        <v>0</v>
      </c>
      <c r="AY576" s="0" t="n">
        <f aca="false">COUNTIF(DU576:EH576, "&lt;&gt;")</f>
        <v>0</v>
      </c>
      <c r="AZ576" s="0" t="n">
        <f aca="false">IF(EH576&lt;&gt;"",1,0)</f>
        <v>0</v>
      </c>
      <c r="BB576" s="0" t="s">
        <v>152</v>
      </c>
    </row>
    <row r="577" customFormat="false" ht="13.8" hidden="true" customHeight="false" outlineLevel="0" collapsed="false">
      <c r="A577" s="0" t="s">
        <v>3034</v>
      </c>
      <c r="B577" s="0" t="n">
        <v>78</v>
      </c>
      <c r="C577" s="0" t="n">
        <v>424088</v>
      </c>
      <c r="D577" s="0" t="s">
        <v>3035</v>
      </c>
      <c r="E577" s="0" t="s">
        <v>3036</v>
      </c>
      <c r="F577" s="0" t="str">
        <f aca="false">CONCATENATE(D577," ",LEFT(H577,4),"T=",AU577,"D=",AV577,"R=",AW577,"M=",AX577,"L=",AY577,"B=",AZ577)</f>
        <v>MUHAMMAD T=2D=0R=0M=0L=0B=0</v>
      </c>
      <c r="G577" s="0" t="s">
        <v>171</v>
      </c>
      <c r="I577" s="0" t="s">
        <v>3037</v>
      </c>
      <c r="J577" s="0" t="s">
        <v>3038</v>
      </c>
      <c r="K577" s="0" t="s">
        <v>143</v>
      </c>
      <c r="M577" s="0" t="s">
        <v>3039</v>
      </c>
      <c r="N577" s="0" t="str">
        <f aca="false">RIGHT(M577,LEN(M577)-FIND(" ",M577))</f>
        <v>EAST AVE SE</v>
      </c>
      <c r="P577" s="0" t="s">
        <v>145</v>
      </c>
      <c r="Q577" s="0" t="s">
        <v>146</v>
      </c>
      <c r="R577" s="0" t="n">
        <v>44484</v>
      </c>
      <c r="AD577" s="0" t="s">
        <v>147</v>
      </c>
      <c r="AE577" s="0" t="s">
        <v>148</v>
      </c>
      <c r="AF577" s="0" t="s">
        <v>149</v>
      </c>
      <c r="AH577" s="0" t="n">
        <v>14</v>
      </c>
      <c r="AI577" s="0" t="n">
        <v>11</v>
      </c>
      <c r="AN577" s="0" t="s">
        <v>145</v>
      </c>
      <c r="AO577" s="0" t="s">
        <v>150</v>
      </c>
      <c r="AP577" s="0" t="s">
        <v>151</v>
      </c>
      <c r="AQ577" s="0" t="n">
        <v>9</v>
      </c>
      <c r="AR577" s="0" t="n">
        <v>64</v>
      </c>
      <c r="AS577" s="0" t="n">
        <v>32</v>
      </c>
      <c r="AU577" s="0" t="n">
        <f aca="false">COUNTA($BA$307:$EH$307)</f>
        <v>2</v>
      </c>
      <c r="AV577" s="0" t="n">
        <f aca="false">COUNTIF($BA$307:$EH$307,"D")</f>
        <v>0</v>
      </c>
      <c r="AW577" s="0" t="n">
        <f aca="false">COUNTIF($BA$307:$EH$307,"R")</f>
        <v>0</v>
      </c>
      <c r="AX577" s="0" t="n">
        <f aca="false">IF(BN577="D",1,0)+IF(BO577="D",1,0)+IF(BT577="D",1,0)+IF(BU577="D",1,0)+IF(BW577="D",1,0)+IF(CC577="D",1,0)+IF(CD577="D",1,0)+IF(CE577="D",1,0)+IF(CF577="D",1,0)+IF(CL577="D",1,0)+IF(CM577="D",1,0)+IF(CQ577="D",1,0)+IF(CR577="D",1,0)+IF(CS577="D",1,0)+IF(CW577="D",1,0)+IF(CX577="D",1,0)+IF(DD577="D",1,0)+IF(DE577="D",1,0)+IF(DJ577="D",1,0)+IF(DK577="D",1,0)+IF(DO577="D",1,0)+IF(DP577="D",1,0)+IF(DQ577="D",1,0)+IF(DW577="D",1,0)+IF(DZ577="D",1,0)+IF(EH577="D",1,0)</f>
        <v>0</v>
      </c>
      <c r="AY577" s="0" t="n">
        <f aca="false">COUNTIF(DU577:EH577, "&lt;&gt;")</f>
        <v>0</v>
      </c>
      <c r="AZ577" s="0" t="n">
        <f aca="false">IF(EH577&lt;&gt;"",1,0)</f>
        <v>0</v>
      </c>
      <c r="BB577" s="0" t="s">
        <v>152</v>
      </c>
    </row>
    <row r="578" customFormat="false" ht="13.8" hidden="true" customHeight="false" outlineLevel="0" collapsed="false">
      <c r="A578" s="0" t="s">
        <v>3040</v>
      </c>
      <c r="B578" s="0" t="n">
        <v>78</v>
      </c>
      <c r="C578" s="0" t="n">
        <v>487521</v>
      </c>
      <c r="D578" s="0" t="s">
        <v>2889</v>
      </c>
      <c r="E578" s="0" t="s">
        <v>1322</v>
      </c>
      <c r="F578" s="0" t="str">
        <f aca="false">CONCATENATE(D578," ",LEFT(H578,4),"T=",AU578,"D=",AV578,"R=",AW578,"M=",AX578,"L=",AY578,"B=",AZ578)</f>
        <v>WHEELER T=22D=3R=0M=0L=1B=0</v>
      </c>
      <c r="G578" s="0" t="s">
        <v>3041</v>
      </c>
      <c r="I578" s="0" t="s">
        <v>3042</v>
      </c>
      <c r="J578" s="0" t="s">
        <v>2339</v>
      </c>
      <c r="K578" s="0" t="s">
        <v>160</v>
      </c>
      <c r="M578" s="0" t="s">
        <v>3039</v>
      </c>
      <c r="N578" s="0" t="str">
        <f aca="false">RIGHT(M578,LEN(M578)-FIND(" ",M578))</f>
        <v>EAST AVE SE</v>
      </c>
      <c r="P578" s="0" t="s">
        <v>145</v>
      </c>
      <c r="Q578" s="0" t="s">
        <v>146</v>
      </c>
      <c r="R578" s="0" t="n">
        <v>44484</v>
      </c>
      <c r="AD578" s="0" t="s">
        <v>147</v>
      </c>
      <c r="AE578" s="0" t="s">
        <v>148</v>
      </c>
      <c r="AF578" s="0" t="s">
        <v>149</v>
      </c>
      <c r="AH578" s="0" t="n">
        <v>14</v>
      </c>
      <c r="AI578" s="0" t="n">
        <v>11</v>
      </c>
      <c r="AN578" s="0" t="s">
        <v>145</v>
      </c>
      <c r="AO578" s="0" t="s">
        <v>150</v>
      </c>
      <c r="AP578" s="0" t="s">
        <v>151</v>
      </c>
      <c r="AQ578" s="0" t="n">
        <v>9</v>
      </c>
      <c r="AR578" s="0" t="n">
        <v>64</v>
      </c>
      <c r="AS578" s="0" t="n">
        <v>32</v>
      </c>
      <c r="AU578" s="0" t="n">
        <f aca="false">COUNTA($BA$660:$EH$660)</f>
        <v>22</v>
      </c>
      <c r="AV578" s="0" t="n">
        <f aca="false">COUNTIF($BA$660:$EH$660,"D")</f>
        <v>3</v>
      </c>
      <c r="AW578" s="0" t="n">
        <f aca="false">COUNTIF($BA$660:$EH$660,"R")</f>
        <v>0</v>
      </c>
      <c r="AX578" s="0" t="n">
        <f aca="false">IF(BN578="D",1,0)+IF(BO578="D",1,0)+IF(BT578="D",1,0)+IF(BU578="D",1,0)+IF(BW578="D",1,0)+IF(CC578="D",1,0)+IF(CD578="D",1,0)+IF(CE578="D",1,0)+IF(CF578="D",1,0)+IF(CL578="D",1,0)+IF(CM578="D",1,0)+IF(CQ578="D",1,0)+IF(CR578="D",1,0)+IF(CS578="D",1,0)+IF(CW578="D",1,0)+IF(CX578="D",1,0)+IF(DD578="D",1,0)+IF(DE578="D",1,0)+IF(DJ578="D",1,0)+IF(DK578="D",1,0)+IF(DO578="D",1,0)+IF(DP578="D",1,0)+IF(DQ578="D",1,0)+IF(DW578="D",1,0)+IF(DZ578="D",1,0)+IF(EH578="D",1,0)</f>
        <v>0</v>
      </c>
      <c r="AY578" s="0" t="n">
        <f aca="false">COUNTIF(DU578:EH578, "&lt;&gt;")</f>
        <v>1</v>
      </c>
      <c r="AZ578" s="0" t="n">
        <f aca="false">IF(EH578&lt;&gt;"",1,0)</f>
        <v>0</v>
      </c>
      <c r="BB578" s="0" t="s">
        <v>152</v>
      </c>
      <c r="EF578" s="0" t="s">
        <v>153</v>
      </c>
    </row>
    <row r="579" customFormat="false" ht="13.8" hidden="true" customHeight="false" outlineLevel="0" collapsed="false">
      <c r="A579" s="0" t="s">
        <v>3043</v>
      </c>
      <c r="B579" s="0" t="n">
        <v>78</v>
      </c>
      <c r="C579" s="0" t="n">
        <v>409014</v>
      </c>
      <c r="D579" s="0" t="s">
        <v>3044</v>
      </c>
      <c r="E579" s="0" t="s">
        <v>895</v>
      </c>
      <c r="F579" s="0" t="str">
        <f aca="false">CONCATENATE(D579," ",LEFT(H579,4),"T=",AU579,"D=",AV579,"R=",AW579,"M=",AX579,"L=",AY579,"B=",AZ579)</f>
        <v>KOVALSCIK T=9D=2R=0M=0L=0B=0</v>
      </c>
      <c r="G579" s="0" t="s">
        <v>195</v>
      </c>
      <c r="I579" s="0" t="s">
        <v>3045</v>
      </c>
      <c r="J579" s="0" t="s">
        <v>3046</v>
      </c>
      <c r="K579" s="0" t="s">
        <v>143</v>
      </c>
      <c r="M579" s="0" t="s">
        <v>3039</v>
      </c>
      <c r="N579" s="0" t="str">
        <f aca="false">RIGHT(M579,LEN(M579)-FIND(" ",M579))</f>
        <v>EAST AVE SE</v>
      </c>
      <c r="P579" s="0" t="s">
        <v>145</v>
      </c>
      <c r="Q579" s="0" t="s">
        <v>146</v>
      </c>
      <c r="R579" s="0" t="n">
        <v>44484</v>
      </c>
      <c r="AD579" s="0" t="s">
        <v>147</v>
      </c>
      <c r="AE579" s="0" t="s">
        <v>148</v>
      </c>
      <c r="AF579" s="0" t="s">
        <v>149</v>
      </c>
      <c r="AH579" s="0" t="n">
        <v>14</v>
      </c>
      <c r="AI579" s="0" t="n">
        <v>11</v>
      </c>
      <c r="AN579" s="0" t="s">
        <v>145</v>
      </c>
      <c r="AO579" s="0" t="s">
        <v>150</v>
      </c>
      <c r="AP579" s="0" t="s">
        <v>151</v>
      </c>
      <c r="AQ579" s="0" t="n">
        <v>9</v>
      </c>
      <c r="AR579" s="0" t="n">
        <v>64</v>
      </c>
      <c r="AS579" s="0" t="n">
        <v>32</v>
      </c>
      <c r="AU579" s="0" t="n">
        <f aca="false">COUNTA($BA$829:$EH$829)</f>
        <v>9</v>
      </c>
      <c r="AV579" s="0" t="n">
        <f aca="false">COUNTIF($BA$829:$EH$829,"D")</f>
        <v>2</v>
      </c>
      <c r="AW579" s="0" t="n">
        <f aca="false">COUNTIF($BA$829:$EH$829,"R")</f>
        <v>0</v>
      </c>
      <c r="AX579" s="0" t="n">
        <f aca="false">IF(BN579="D",1,0)+IF(BO579="D",1,0)+IF(BT579="D",1,0)+IF(BU579="D",1,0)+IF(BW579="D",1,0)+IF(CC579="D",1,0)+IF(CD579="D",1,0)+IF(CE579="D",1,0)+IF(CF579="D",1,0)+IF(CL579="D",1,0)+IF(CM579="D",1,0)+IF(CQ579="D",1,0)+IF(CR579="D",1,0)+IF(CS579="D",1,0)+IF(CW579="D",1,0)+IF(CX579="D",1,0)+IF(DD579="D",1,0)+IF(DE579="D",1,0)+IF(DJ579="D",1,0)+IF(DK579="D",1,0)+IF(DO579="D",1,0)+IF(DP579="D",1,0)+IF(DQ579="D",1,0)+IF(DW579="D",1,0)+IF(DZ579="D",1,0)+IF(EH579="D",1,0)</f>
        <v>0</v>
      </c>
      <c r="AY579" s="0" t="n">
        <f aca="false">COUNTIF(DU579:EH579, "&lt;&gt;")</f>
        <v>0</v>
      </c>
      <c r="AZ579" s="0" t="n">
        <f aca="false">IF(EH579&lt;&gt;"",1,0)</f>
        <v>0</v>
      </c>
      <c r="BB579" s="0" t="s">
        <v>152</v>
      </c>
    </row>
    <row r="580" customFormat="false" ht="13.8" hidden="false" customHeight="false" outlineLevel="0" collapsed="false">
      <c r="A580" s="0" t="s">
        <v>3047</v>
      </c>
      <c r="B580" s="0" t="n">
        <v>78</v>
      </c>
      <c r="C580" s="0" t="n">
        <v>370393</v>
      </c>
      <c r="D580" s="0" t="s">
        <v>1634</v>
      </c>
      <c r="E580" s="0" t="s">
        <v>331</v>
      </c>
      <c r="F580" s="0" t="str">
        <f aca="false">CONCATENATE(D580," ",LEFT(H580,4),"T=",AU580,"D=",AV580,"R=",AW580,"M=",AX580,"L=",AY580,"B=",AZ580)</f>
        <v>BARNES T=4D=0R=0M=0L=2B=0</v>
      </c>
      <c r="G580" s="0" t="s">
        <v>425</v>
      </c>
      <c r="I580" s="0" t="s">
        <v>3048</v>
      </c>
      <c r="J580" s="0" t="s">
        <v>3049</v>
      </c>
      <c r="K580" s="0" t="s">
        <v>160</v>
      </c>
      <c r="M580" s="0" t="s">
        <v>3050</v>
      </c>
      <c r="N580" s="0" t="str">
        <f aca="false">RIGHT(M580,LEN(M580)-FIND(" ",M580))</f>
        <v>EAST AVE SE</v>
      </c>
      <c r="P580" s="0" t="s">
        <v>145</v>
      </c>
      <c r="Q580" s="0" t="s">
        <v>146</v>
      </c>
      <c r="R580" s="0" t="n">
        <v>44484</v>
      </c>
      <c r="AD580" s="0" t="s">
        <v>147</v>
      </c>
      <c r="AE580" s="0" t="s">
        <v>148</v>
      </c>
      <c r="AF580" s="0" t="s">
        <v>149</v>
      </c>
      <c r="AH580" s="0" t="n">
        <v>14</v>
      </c>
      <c r="AI580" s="0" t="n">
        <v>11</v>
      </c>
      <c r="AN580" s="0" t="s">
        <v>145</v>
      </c>
      <c r="AO580" s="0" t="s">
        <v>150</v>
      </c>
      <c r="AP580" s="0" t="s">
        <v>151</v>
      </c>
      <c r="AQ580" s="0" t="n">
        <v>9</v>
      </c>
      <c r="AR580" s="0" t="n">
        <v>64</v>
      </c>
      <c r="AS580" s="0" t="n">
        <v>32</v>
      </c>
      <c r="AU580" s="0" t="n">
        <f aca="false">COUNTA($BA$593:$EH$593)</f>
        <v>4</v>
      </c>
      <c r="AV580" s="0" t="n">
        <f aca="false">COUNTIF($BA$593:$EH$593,"D")</f>
        <v>0</v>
      </c>
      <c r="AW580" s="0" t="n">
        <f aca="false">COUNTIF($BA$593:$EH$593,"R")</f>
        <v>0</v>
      </c>
      <c r="AX580" s="0" t="n">
        <f aca="false">IF(BN580="D",1,0)+IF(BO580="D",1,0)+IF(BT580="D",1,0)+IF(BU580="D",1,0)+IF(BW580="D",1,0)+IF(CC580="D",1,0)+IF(CD580="D",1,0)+IF(CE580="D",1,0)+IF(CF580="D",1,0)+IF(CL580="D",1,0)+IF(CM580="D",1,0)+IF(CQ580="D",1,0)+IF(CR580="D",1,0)+IF(CS580="D",1,0)+IF(CW580="D",1,0)+IF(CX580="D",1,0)+IF(DD580="D",1,0)+IF(DE580="D",1,0)+IF(DJ580="D",1,0)+IF(DK580="D",1,0)+IF(DO580="D",1,0)+IF(DP580="D",1,0)+IF(DQ580="D",1,0)+IF(DW580="D",1,0)+IF(DZ580="D",1,0)+IF(EH580="D",1,0)</f>
        <v>0</v>
      </c>
      <c r="AY580" s="0" t="n">
        <f aca="false">COUNTIF(DU580:EH580, "&lt;&gt;")</f>
        <v>2</v>
      </c>
      <c r="AZ580" s="0" t="n">
        <f aca="false">IF(EH580&lt;&gt;"",1,0)</f>
        <v>0</v>
      </c>
      <c r="BB580" s="0" t="s">
        <v>152</v>
      </c>
      <c r="BC580" s="0" t="s">
        <v>153</v>
      </c>
      <c r="BD580" s="0" t="s">
        <v>153</v>
      </c>
      <c r="BE580" s="0" t="s">
        <v>153</v>
      </c>
      <c r="BH580" s="0" t="s">
        <v>153</v>
      </c>
      <c r="BJ580" s="0" t="s">
        <v>153</v>
      </c>
      <c r="BL580" s="0" t="s">
        <v>153</v>
      </c>
      <c r="BS580" s="0" t="s">
        <v>153</v>
      </c>
      <c r="BY580" s="0" t="s">
        <v>175</v>
      </c>
      <c r="CA580" s="0" t="s">
        <v>153</v>
      </c>
      <c r="CH580" s="0" t="s">
        <v>175</v>
      </c>
      <c r="CK580" s="0" t="s">
        <v>153</v>
      </c>
      <c r="CP580" s="0" t="s">
        <v>153</v>
      </c>
      <c r="CU580" s="0" t="s">
        <v>175</v>
      </c>
      <c r="CV580" s="0" t="s">
        <v>153</v>
      </c>
      <c r="CZ580" s="0" t="s">
        <v>175</v>
      </c>
      <c r="DC580" s="0" t="s">
        <v>153</v>
      </c>
      <c r="DN580" s="0" t="s">
        <v>153</v>
      </c>
      <c r="DU580" s="0" t="s">
        <v>153</v>
      </c>
      <c r="EA580" s="0" t="s">
        <v>153</v>
      </c>
    </row>
    <row r="581" customFormat="false" ht="13.8" hidden="true" customHeight="false" outlineLevel="0" collapsed="false">
      <c r="A581" s="0" t="s">
        <v>3051</v>
      </c>
      <c r="B581" s="0" t="n">
        <v>78</v>
      </c>
      <c r="C581" s="0" t="n">
        <v>316324</v>
      </c>
      <c r="D581" s="0" t="s">
        <v>690</v>
      </c>
      <c r="E581" s="0" t="s">
        <v>3052</v>
      </c>
      <c r="F581" s="0" t="str">
        <f aca="false">CONCATENATE(D581," ",LEFT(H581,4),"T=",AU581,"D=",AV581,"R=",AW581,"M=",AX581,"L=",AY581,"B=",AZ581)</f>
        <v>SMITH T=11D=0R=2M=0L=0B=0</v>
      </c>
      <c r="G581" s="0" t="s">
        <v>190</v>
      </c>
      <c r="I581" s="0" t="s">
        <v>3053</v>
      </c>
      <c r="J581" s="0" t="s">
        <v>3054</v>
      </c>
      <c r="K581" s="0" t="s">
        <v>143</v>
      </c>
      <c r="M581" s="0" t="s">
        <v>3055</v>
      </c>
      <c r="N581" s="0" t="str">
        <f aca="false">RIGHT(M581,LEN(M581)-FIND(" ",M581))</f>
        <v>EAST AVE SE</v>
      </c>
      <c r="P581" s="0" t="s">
        <v>145</v>
      </c>
      <c r="Q581" s="0" t="s">
        <v>146</v>
      </c>
      <c r="R581" s="0" t="n">
        <v>44484</v>
      </c>
      <c r="AD581" s="0" t="s">
        <v>147</v>
      </c>
      <c r="AE581" s="0" t="s">
        <v>148</v>
      </c>
      <c r="AF581" s="0" t="s">
        <v>149</v>
      </c>
      <c r="AH581" s="0" t="n">
        <v>14</v>
      </c>
      <c r="AI581" s="0" t="n">
        <v>11</v>
      </c>
      <c r="AN581" s="0" t="s">
        <v>145</v>
      </c>
      <c r="AO581" s="0" t="s">
        <v>233</v>
      </c>
      <c r="AP581" s="0" t="s">
        <v>234</v>
      </c>
      <c r="AQ581" s="0" t="n">
        <v>9</v>
      </c>
      <c r="AR581" s="0" t="n">
        <v>64</v>
      </c>
      <c r="AS581" s="0" t="n">
        <v>32</v>
      </c>
      <c r="AU581" s="0" t="n">
        <f aca="false">COUNTA($BA$2153:$EH$2153)</f>
        <v>11</v>
      </c>
      <c r="AV581" s="0" t="n">
        <f aca="false">COUNTIF($BA$2153:$EH$2153,"D")</f>
        <v>0</v>
      </c>
      <c r="AW581" s="0" t="n">
        <f aca="false">COUNTIF($BA$2153:$EH$2153,"R")</f>
        <v>2</v>
      </c>
      <c r="AX581" s="0" t="n">
        <f aca="false">IF(BN581="D",1,0)+IF(BO581="D",1,0)+IF(BT581="D",1,0)+IF(BU581="D",1,0)+IF(BW581="D",1,0)+IF(CC581="D",1,0)+IF(CD581="D",1,0)+IF(CE581="D",1,0)+IF(CF581="D",1,0)+IF(CL581="D",1,0)+IF(CM581="D",1,0)+IF(CQ581="D",1,0)+IF(CR581="D",1,0)+IF(CS581="D",1,0)+IF(CW581="D",1,0)+IF(CX581="D",1,0)+IF(DD581="D",1,0)+IF(DE581="D",1,0)+IF(DJ581="D",1,0)+IF(DK581="D",1,0)+IF(DO581="D",1,0)+IF(DP581="D",1,0)+IF(DQ581="D",1,0)+IF(DW581="D",1,0)+IF(DZ581="D",1,0)+IF(EH581="D",1,0)</f>
        <v>0</v>
      </c>
      <c r="AY581" s="0" t="n">
        <f aca="false">COUNTIF(DU581:EH581, "&lt;&gt;")</f>
        <v>0</v>
      </c>
      <c r="AZ581" s="0" t="n">
        <f aca="false">IF(EH581&lt;&gt;"",1,0)</f>
        <v>0</v>
      </c>
      <c r="BB581" s="0" t="s">
        <v>152</v>
      </c>
      <c r="BL581" s="0" t="s">
        <v>153</v>
      </c>
      <c r="BY581" s="0" t="s">
        <v>175</v>
      </c>
      <c r="CA581" s="0" t="s">
        <v>153</v>
      </c>
      <c r="CP581" s="0" t="s">
        <v>153</v>
      </c>
      <c r="DC581" s="0" t="s">
        <v>153</v>
      </c>
      <c r="DN581" s="0" t="s">
        <v>153</v>
      </c>
    </row>
    <row r="582" customFormat="false" ht="13.8" hidden="true" customHeight="false" outlineLevel="0" collapsed="false">
      <c r="A582" s="0" t="s">
        <v>3056</v>
      </c>
      <c r="B582" s="0" t="n">
        <v>78</v>
      </c>
      <c r="C582" s="0" t="n">
        <v>405146</v>
      </c>
      <c r="D582" s="0" t="s">
        <v>3057</v>
      </c>
      <c r="E582" s="0" t="s">
        <v>658</v>
      </c>
      <c r="F582" s="0" t="str">
        <f aca="false">CONCATENATE(D582," ",LEFT(H582,4),"T=",AU582,"D=",AV582,"R=",AW582,"M=",AX582,"L=",AY582,"B=",AZ582)</f>
        <v>NATALI T=1D=0R=0M=0L=0B=0</v>
      </c>
      <c r="G582" s="0" t="s">
        <v>175</v>
      </c>
      <c r="I582" s="0" t="s">
        <v>3058</v>
      </c>
      <c r="J582" s="0" t="s">
        <v>3059</v>
      </c>
      <c r="K582" s="0" t="s">
        <v>143</v>
      </c>
      <c r="M582" s="0" t="s">
        <v>3060</v>
      </c>
      <c r="N582" s="0" t="str">
        <f aca="false">RIGHT(M582,LEN(M582)-FIND(" ",M582))</f>
        <v>EAST AVE SE</v>
      </c>
      <c r="P582" s="0" t="s">
        <v>145</v>
      </c>
      <c r="Q582" s="0" t="s">
        <v>146</v>
      </c>
      <c r="R582" s="0" t="n">
        <v>44484</v>
      </c>
      <c r="AD582" s="0" t="s">
        <v>147</v>
      </c>
      <c r="AE582" s="0" t="s">
        <v>148</v>
      </c>
      <c r="AF582" s="0" t="s">
        <v>149</v>
      </c>
      <c r="AH582" s="0" t="n">
        <v>14</v>
      </c>
      <c r="AI582" s="0" t="n">
        <v>11</v>
      </c>
      <c r="AN582" s="0" t="s">
        <v>145</v>
      </c>
      <c r="AO582" s="0" t="s">
        <v>233</v>
      </c>
      <c r="AP582" s="0" t="s">
        <v>234</v>
      </c>
      <c r="AQ582" s="0" t="n">
        <v>9</v>
      </c>
      <c r="AR582" s="0" t="n">
        <v>64</v>
      </c>
      <c r="AS582" s="0" t="n">
        <v>32</v>
      </c>
      <c r="AU582" s="0" t="n">
        <f aca="false">COUNTA($BA$2436:$EH$2436)</f>
        <v>1</v>
      </c>
      <c r="AV582" s="0" t="n">
        <f aca="false">COUNTIF($BA$2436:$EH$2436,"D")</f>
        <v>0</v>
      </c>
      <c r="AW582" s="0" t="n">
        <f aca="false">COUNTIF($BA$2436:$EH$2436,"R")</f>
        <v>0</v>
      </c>
      <c r="AX582" s="0" t="n">
        <f aca="false">IF(BN582="D",1,0)+IF(BO582="D",1,0)+IF(BT582="D",1,0)+IF(BU582="D",1,0)+IF(BW582="D",1,0)+IF(CC582="D",1,0)+IF(CD582="D",1,0)+IF(CE582="D",1,0)+IF(CF582="D",1,0)+IF(CL582="D",1,0)+IF(CM582="D",1,0)+IF(CQ582="D",1,0)+IF(CR582="D",1,0)+IF(CS582="D",1,0)+IF(CW582="D",1,0)+IF(CX582="D",1,0)+IF(DD582="D",1,0)+IF(DE582="D",1,0)+IF(DJ582="D",1,0)+IF(DK582="D",1,0)+IF(DO582="D",1,0)+IF(DP582="D",1,0)+IF(DQ582="D",1,0)+IF(DW582="D",1,0)+IF(DZ582="D",1,0)+IF(EH582="D",1,0)</f>
        <v>0</v>
      </c>
      <c r="AY582" s="0" t="n">
        <f aca="false">COUNTIF(DU582:EH582, "&lt;&gt;")</f>
        <v>0</v>
      </c>
      <c r="AZ582" s="0" t="n">
        <f aca="false">IF(EH582&lt;&gt;"",1,0)</f>
        <v>0</v>
      </c>
      <c r="BB582" s="0" t="s">
        <v>152</v>
      </c>
    </row>
    <row r="583" customFormat="false" ht="13.8" hidden="true" customHeight="false" outlineLevel="0" collapsed="false">
      <c r="A583" s="0" t="s">
        <v>3061</v>
      </c>
      <c r="B583" s="0" t="n">
        <v>78</v>
      </c>
      <c r="C583" s="0" t="n">
        <v>457321</v>
      </c>
      <c r="D583" s="0" t="s">
        <v>1503</v>
      </c>
      <c r="E583" s="0" t="s">
        <v>943</v>
      </c>
      <c r="F583" s="0" t="str">
        <f aca="false">CONCATENATE(D583," ",LEFT(H583,4),"T=",AU583,"D=",AV583,"R=",AW583,"M=",AX583,"L=",AY583,"B=",AZ583)</f>
        <v>ATKINS JRT=4D=0R=0M=0L=0B=0</v>
      </c>
      <c r="G583" s="0" t="s">
        <v>175</v>
      </c>
      <c r="H583" s="0" t="s">
        <v>314</v>
      </c>
      <c r="I583" s="0" t="s">
        <v>3062</v>
      </c>
      <c r="J583" s="0" t="s">
        <v>3063</v>
      </c>
      <c r="K583" s="0" t="s">
        <v>143</v>
      </c>
      <c r="M583" s="0" t="s">
        <v>3064</v>
      </c>
      <c r="N583" s="0" t="str">
        <f aca="false">RIGHT(M583,LEN(M583)-FIND(" ",M583))</f>
        <v>EAST AVE SE</v>
      </c>
      <c r="P583" s="0" t="s">
        <v>145</v>
      </c>
      <c r="Q583" s="0" t="s">
        <v>146</v>
      </c>
      <c r="R583" s="0" t="n">
        <v>44484</v>
      </c>
      <c r="AD583" s="0" t="s">
        <v>147</v>
      </c>
      <c r="AE583" s="0" t="s">
        <v>148</v>
      </c>
      <c r="AF583" s="0" t="s">
        <v>149</v>
      </c>
      <c r="AH583" s="0" t="n">
        <v>14</v>
      </c>
      <c r="AI583" s="0" t="n">
        <v>11</v>
      </c>
      <c r="AN583" s="0" t="s">
        <v>145</v>
      </c>
      <c r="AO583" s="0" t="s">
        <v>233</v>
      </c>
      <c r="AP583" s="0" t="s">
        <v>234</v>
      </c>
      <c r="AQ583" s="0" t="n">
        <v>9</v>
      </c>
      <c r="AR583" s="0" t="n">
        <v>64</v>
      </c>
      <c r="AS583" s="0" t="n">
        <v>32</v>
      </c>
      <c r="AU583" s="0" t="n">
        <f aca="false">COUNTA($BA$2126:$EH$2126)</f>
        <v>4</v>
      </c>
      <c r="AV583" s="0" t="n">
        <f aca="false">COUNTIF($BA$2126:$EH$2126,"D")</f>
        <v>0</v>
      </c>
      <c r="AW583" s="0" t="n">
        <f aca="false">COUNTIF($BA$2126:$EH$2126,"R")</f>
        <v>0</v>
      </c>
      <c r="AX583" s="0" t="n">
        <f aca="false">IF(BN583="D",1,0)+IF(BO583="D",1,0)+IF(BT583="D",1,0)+IF(BU583="D",1,0)+IF(BW583="D",1,0)+IF(CC583="D",1,0)+IF(CD583="D",1,0)+IF(CE583="D",1,0)+IF(CF583="D",1,0)+IF(CL583="D",1,0)+IF(CM583="D",1,0)+IF(CQ583="D",1,0)+IF(CR583="D",1,0)+IF(CS583="D",1,0)+IF(CW583="D",1,0)+IF(CX583="D",1,0)+IF(DD583="D",1,0)+IF(DE583="D",1,0)+IF(DJ583="D",1,0)+IF(DK583="D",1,0)+IF(DO583="D",1,0)+IF(DP583="D",1,0)+IF(DQ583="D",1,0)+IF(DW583="D",1,0)+IF(DZ583="D",1,0)+IF(EH583="D",1,0)</f>
        <v>0</v>
      </c>
      <c r="AY583" s="0" t="n">
        <f aca="false">COUNTIF(DU583:EH583, "&lt;&gt;")</f>
        <v>0</v>
      </c>
      <c r="AZ583" s="0" t="n">
        <f aca="false">IF(EH583&lt;&gt;"",1,0)</f>
        <v>0</v>
      </c>
      <c r="BB583" s="0" t="s">
        <v>152</v>
      </c>
    </row>
    <row r="584" customFormat="false" ht="13.8" hidden="false" customHeight="false" outlineLevel="0" collapsed="false">
      <c r="A584" s="0" t="s">
        <v>3065</v>
      </c>
      <c r="B584" s="0" t="n">
        <v>78</v>
      </c>
      <c r="C584" s="0" t="n">
        <v>361595</v>
      </c>
      <c r="D584" s="0" t="s">
        <v>1661</v>
      </c>
      <c r="E584" s="0" t="s">
        <v>2353</v>
      </c>
      <c r="F584" s="0" t="str">
        <f aca="false">CONCATENATE(D584," ",LEFT(H584,4),"T=",AU584,"D=",AV584,"R=",AW584,"M=",AX584,"L=",AY584,"B=",AZ584)</f>
        <v>JACKSON T=3D=0R=0M=0L=2B=0</v>
      </c>
      <c r="G584" s="0" t="s">
        <v>190</v>
      </c>
      <c r="I584" s="0" t="s">
        <v>3066</v>
      </c>
      <c r="J584" s="0" t="s">
        <v>3067</v>
      </c>
      <c r="K584" s="0" t="s">
        <v>160</v>
      </c>
      <c r="M584" s="0" t="s">
        <v>3064</v>
      </c>
      <c r="N584" s="0" t="str">
        <f aca="false">RIGHT(M584,LEN(M584)-FIND(" ",M584))</f>
        <v>EAST AVE SE</v>
      </c>
      <c r="P584" s="0" t="s">
        <v>145</v>
      </c>
      <c r="Q584" s="0" t="s">
        <v>146</v>
      </c>
      <c r="R584" s="0" t="n">
        <v>44484</v>
      </c>
      <c r="AD584" s="0" t="s">
        <v>147</v>
      </c>
      <c r="AE584" s="0" t="s">
        <v>148</v>
      </c>
      <c r="AF584" s="0" t="s">
        <v>149</v>
      </c>
      <c r="AH584" s="0" t="n">
        <v>14</v>
      </c>
      <c r="AI584" s="0" t="n">
        <v>11</v>
      </c>
      <c r="AN584" s="0" t="s">
        <v>145</v>
      </c>
      <c r="AO584" s="0" t="s">
        <v>233</v>
      </c>
      <c r="AP584" s="0" t="s">
        <v>234</v>
      </c>
      <c r="AQ584" s="0" t="n">
        <v>9</v>
      </c>
      <c r="AR584" s="0" t="n">
        <v>64</v>
      </c>
      <c r="AS584" s="0" t="n">
        <v>32</v>
      </c>
      <c r="AU584" s="0" t="n">
        <f aca="false">COUNTA($BA$2417:$EH$2417)</f>
        <v>3</v>
      </c>
      <c r="AV584" s="0" t="n">
        <f aca="false">COUNTIF($BA$2417:$EH$2417,"D")</f>
        <v>0</v>
      </c>
      <c r="AW584" s="0" t="n">
        <f aca="false">COUNTIF($BA$2417:$EH$2417,"R")</f>
        <v>0</v>
      </c>
      <c r="AX584" s="0" t="n">
        <f aca="false">IF(BN584="D",1,0)+IF(BO584="D",1,0)+IF(BT584="D",1,0)+IF(BU584="D",1,0)+IF(BW584="D",1,0)+IF(CC584="D",1,0)+IF(CD584="D",1,0)+IF(CE584="D",1,0)+IF(CF584="D",1,0)+IF(CL584="D",1,0)+IF(CM584="D",1,0)+IF(CQ584="D",1,0)+IF(CR584="D",1,0)+IF(CS584="D",1,0)+IF(CW584="D",1,0)+IF(CX584="D",1,0)+IF(DD584="D",1,0)+IF(DE584="D",1,0)+IF(DJ584="D",1,0)+IF(DK584="D",1,0)+IF(DO584="D",1,0)+IF(DP584="D",1,0)+IF(DQ584="D",1,0)+IF(DW584="D",1,0)+IF(DZ584="D",1,0)+IF(EH584="D",1,0)</f>
        <v>0</v>
      </c>
      <c r="AY584" s="0" t="n">
        <f aca="false">COUNTIF(DU584:EH584, "&lt;&gt;")</f>
        <v>2</v>
      </c>
      <c r="AZ584" s="0" t="n">
        <f aca="false">IF(EH584&lt;&gt;"",1,0)</f>
        <v>0</v>
      </c>
      <c r="BB584" s="0" t="s">
        <v>152</v>
      </c>
      <c r="CA584" s="0" t="s">
        <v>153</v>
      </c>
      <c r="CP584" s="0" t="s">
        <v>153</v>
      </c>
      <c r="DC584" s="0" t="s">
        <v>153</v>
      </c>
      <c r="DI584" s="0" t="s">
        <v>153</v>
      </c>
      <c r="DL584" s="0" t="s">
        <v>153</v>
      </c>
      <c r="DN584" s="0" t="s">
        <v>153</v>
      </c>
      <c r="EA584" s="0" t="s">
        <v>153</v>
      </c>
      <c r="EF584" s="0" t="s">
        <v>153</v>
      </c>
    </row>
    <row r="585" customFormat="false" ht="13.8" hidden="true" customHeight="false" outlineLevel="0" collapsed="false">
      <c r="A585" s="0" t="s">
        <v>3068</v>
      </c>
      <c r="B585" s="0" t="n">
        <v>78</v>
      </c>
      <c r="C585" s="0" t="n">
        <v>449875</v>
      </c>
      <c r="D585" s="0" t="s">
        <v>3069</v>
      </c>
      <c r="E585" s="0" t="s">
        <v>2979</v>
      </c>
      <c r="F585" s="0" t="str">
        <f aca="false">CONCATENATE(D585," ",LEFT(H585,4),"T=",AU585,"D=",AV585,"R=",AW585,"M=",AX585,"L=",AY585,"B=",AZ585)</f>
        <v>CONNER T=10D=1R=0M=0L=0B=0</v>
      </c>
      <c r="G585" s="0" t="s">
        <v>164</v>
      </c>
      <c r="I585" s="0" t="s">
        <v>3070</v>
      </c>
      <c r="J585" s="0" t="s">
        <v>3071</v>
      </c>
      <c r="K585" s="0" t="s">
        <v>143</v>
      </c>
      <c r="M585" s="0" t="s">
        <v>3072</v>
      </c>
      <c r="N585" s="0" t="str">
        <f aca="false">RIGHT(M585,LEN(M585)-FIND(" ",M585))</f>
        <v>EAST AVE SE</v>
      </c>
      <c r="P585" s="0" t="s">
        <v>145</v>
      </c>
      <c r="Q585" s="0" t="s">
        <v>146</v>
      </c>
      <c r="R585" s="0" t="n">
        <v>44484</v>
      </c>
      <c r="AD585" s="0" t="s">
        <v>147</v>
      </c>
      <c r="AE585" s="0" t="s">
        <v>148</v>
      </c>
      <c r="AF585" s="0" t="s">
        <v>149</v>
      </c>
      <c r="AH585" s="0" t="n">
        <v>14</v>
      </c>
      <c r="AI585" s="0" t="n">
        <v>11</v>
      </c>
      <c r="AN585" s="0" t="s">
        <v>145</v>
      </c>
      <c r="AO585" s="0" t="s">
        <v>233</v>
      </c>
      <c r="AP585" s="0" t="s">
        <v>234</v>
      </c>
      <c r="AQ585" s="0" t="n">
        <v>9</v>
      </c>
      <c r="AR585" s="0" t="n">
        <v>64</v>
      </c>
      <c r="AS585" s="0" t="n">
        <v>32</v>
      </c>
      <c r="AU585" s="0" t="n">
        <f aca="false">COUNTA($BA$2193:$EH$2193)</f>
        <v>10</v>
      </c>
      <c r="AV585" s="0" t="n">
        <f aca="false">COUNTIF($BA$2193:$EH$2193,"D")</f>
        <v>1</v>
      </c>
      <c r="AW585" s="0" t="n">
        <f aca="false">COUNTIF($BA$2193:$EH$2193,"R")</f>
        <v>0</v>
      </c>
      <c r="AX585" s="0" t="n">
        <f aca="false">IF(BN585="D",1,0)+IF(BO585="D",1,0)+IF(BT585="D",1,0)+IF(BU585="D",1,0)+IF(BW585="D",1,0)+IF(CC585="D",1,0)+IF(CD585="D",1,0)+IF(CE585="D",1,0)+IF(CF585="D",1,0)+IF(CL585="D",1,0)+IF(CM585="D",1,0)+IF(CQ585="D",1,0)+IF(CR585="D",1,0)+IF(CS585="D",1,0)+IF(CW585="D",1,0)+IF(CX585="D",1,0)+IF(DD585="D",1,0)+IF(DE585="D",1,0)+IF(DJ585="D",1,0)+IF(DK585="D",1,0)+IF(DO585="D",1,0)+IF(DP585="D",1,0)+IF(DQ585="D",1,0)+IF(DW585="D",1,0)+IF(DZ585="D",1,0)+IF(EH585="D",1,0)</f>
        <v>0</v>
      </c>
      <c r="AY585" s="0" t="n">
        <f aca="false">COUNTIF(DU585:EH585, "&lt;&gt;")</f>
        <v>0</v>
      </c>
      <c r="AZ585" s="0" t="n">
        <f aca="false">IF(EH585&lt;&gt;"",1,0)</f>
        <v>0</v>
      </c>
      <c r="BB585" s="0" t="s">
        <v>152</v>
      </c>
    </row>
    <row r="586" customFormat="false" ht="13.8" hidden="true" customHeight="false" outlineLevel="0" collapsed="false">
      <c r="A586" s="0" t="s">
        <v>3073</v>
      </c>
      <c r="B586" s="0" t="n">
        <v>78</v>
      </c>
      <c r="C586" s="0" t="n">
        <v>427540</v>
      </c>
      <c r="D586" s="0" t="s">
        <v>3074</v>
      </c>
      <c r="E586" s="0" t="s">
        <v>3075</v>
      </c>
      <c r="F586" s="0" t="str">
        <f aca="false">CONCATENATE(D586," ",LEFT(H586,4),"T=",AU586,"D=",AV586,"R=",AW586,"M=",AX586,"L=",AY586,"B=",AZ586)</f>
        <v>WHITFIELD T=39D=1R=8M=0L=1B=0</v>
      </c>
      <c r="G586" s="0" t="s">
        <v>164</v>
      </c>
      <c r="I586" s="0" t="s">
        <v>3076</v>
      </c>
      <c r="J586" s="0" t="s">
        <v>3077</v>
      </c>
      <c r="K586" s="0" t="s">
        <v>160</v>
      </c>
      <c r="M586" s="0" t="s">
        <v>3078</v>
      </c>
      <c r="N586" s="0" t="str">
        <f aca="false">RIGHT(M586,LEN(M586)-FIND(" ",M586))</f>
        <v>EAST AVE SE</v>
      </c>
      <c r="P586" s="0" t="s">
        <v>145</v>
      </c>
      <c r="Q586" s="0" t="s">
        <v>146</v>
      </c>
      <c r="R586" s="0" t="n">
        <v>44484</v>
      </c>
      <c r="AD586" s="0" t="s">
        <v>147</v>
      </c>
      <c r="AE586" s="0" t="s">
        <v>148</v>
      </c>
      <c r="AF586" s="0" t="s">
        <v>149</v>
      </c>
      <c r="AH586" s="0" t="n">
        <v>14</v>
      </c>
      <c r="AI586" s="0" t="n">
        <v>11</v>
      </c>
      <c r="AN586" s="0" t="s">
        <v>145</v>
      </c>
      <c r="AO586" s="0" t="s">
        <v>233</v>
      </c>
      <c r="AP586" s="0" t="s">
        <v>234</v>
      </c>
      <c r="AQ586" s="0" t="n">
        <v>9</v>
      </c>
      <c r="AR586" s="0" t="n">
        <v>64</v>
      </c>
      <c r="AS586" s="0" t="n">
        <v>32</v>
      </c>
      <c r="AU586" s="0" t="n">
        <f aca="false">COUNTA($BA$2136:$EH$2136)</f>
        <v>39</v>
      </c>
      <c r="AV586" s="0" t="n">
        <f aca="false">COUNTIF($BA$2136:$EH$2136,"D")</f>
        <v>1</v>
      </c>
      <c r="AW586" s="0" t="n">
        <f aca="false">COUNTIF($BA$2136:$EH$2136,"R")</f>
        <v>8</v>
      </c>
      <c r="AX586" s="0" t="n">
        <f aca="false">IF(BN586="D",1,0)+IF(BO586="D",1,0)+IF(BT586="D",1,0)+IF(BU586="D",1,0)+IF(BW586="D",1,0)+IF(CC586="D",1,0)+IF(CD586="D",1,0)+IF(CE586="D",1,0)+IF(CF586="D",1,0)+IF(CL586="D",1,0)+IF(CM586="D",1,0)+IF(CQ586="D",1,0)+IF(CR586="D",1,0)+IF(CS586="D",1,0)+IF(CW586="D",1,0)+IF(CX586="D",1,0)+IF(DD586="D",1,0)+IF(DE586="D",1,0)+IF(DJ586="D",1,0)+IF(DK586="D",1,0)+IF(DO586="D",1,0)+IF(DP586="D",1,0)+IF(DQ586="D",1,0)+IF(DW586="D",1,0)+IF(DZ586="D",1,0)+IF(EH586="D",1,0)</f>
        <v>0</v>
      </c>
      <c r="AY586" s="0" t="n">
        <f aca="false">COUNTIF(DU586:EH586, "&lt;&gt;")</f>
        <v>1</v>
      </c>
      <c r="AZ586" s="0" t="n">
        <f aca="false">IF(EH586&lt;&gt;"",1,0)</f>
        <v>0</v>
      </c>
      <c r="BB586" s="0" t="s">
        <v>152</v>
      </c>
      <c r="EF586" s="0" t="s">
        <v>153</v>
      </c>
    </row>
    <row r="587" customFormat="false" ht="13.8" hidden="true" customHeight="false" outlineLevel="0" collapsed="false">
      <c r="A587" s="0" t="s">
        <v>3079</v>
      </c>
      <c r="B587" s="0" t="n">
        <v>78</v>
      </c>
      <c r="C587" s="0" t="n">
        <v>404690</v>
      </c>
      <c r="D587" s="0" t="s">
        <v>3080</v>
      </c>
      <c r="E587" s="0" t="s">
        <v>583</v>
      </c>
      <c r="F587" s="0" t="str">
        <f aca="false">CONCATENATE(D587," ",LEFT(H587,4),"T=",AU587,"D=",AV587,"R=",AW587,"M=",AX587,"L=",AY587,"B=",AZ587)</f>
        <v>SWEGAN T=9D=1R=0M=0L=1B=0</v>
      </c>
      <c r="G587" s="0" t="s">
        <v>209</v>
      </c>
      <c r="I587" s="0" t="s">
        <v>3081</v>
      </c>
      <c r="J587" s="0" t="s">
        <v>1489</v>
      </c>
      <c r="K587" s="0" t="s">
        <v>160</v>
      </c>
      <c r="M587" s="0" t="s">
        <v>3078</v>
      </c>
      <c r="N587" s="0" t="str">
        <f aca="false">RIGHT(M587,LEN(M587)-FIND(" ",M587))</f>
        <v>EAST AVE SE</v>
      </c>
      <c r="P587" s="0" t="s">
        <v>145</v>
      </c>
      <c r="Q587" s="0" t="s">
        <v>146</v>
      </c>
      <c r="R587" s="0" t="n">
        <v>44484</v>
      </c>
      <c r="AD587" s="0" t="s">
        <v>147</v>
      </c>
      <c r="AE587" s="0" t="s">
        <v>148</v>
      </c>
      <c r="AF587" s="0" t="s">
        <v>149</v>
      </c>
      <c r="AH587" s="0" t="n">
        <v>14</v>
      </c>
      <c r="AI587" s="0" t="n">
        <v>11</v>
      </c>
      <c r="AN587" s="0" t="s">
        <v>145</v>
      </c>
      <c r="AO587" s="0" t="s">
        <v>233</v>
      </c>
      <c r="AP587" s="0" t="s">
        <v>234</v>
      </c>
      <c r="AQ587" s="0" t="n">
        <v>9</v>
      </c>
      <c r="AR587" s="0" t="n">
        <v>64</v>
      </c>
      <c r="AS587" s="0" t="n">
        <v>32</v>
      </c>
      <c r="AU587" s="0" t="n">
        <f aca="false">COUNTA($BA$2313:$EH$2313)</f>
        <v>9</v>
      </c>
      <c r="AV587" s="0" t="n">
        <f aca="false">COUNTIF($BA$2313:$EH$2313,"D")</f>
        <v>1</v>
      </c>
      <c r="AW587" s="0" t="n">
        <f aca="false">COUNTIF($BA$2313:$EH$2313,"R")</f>
        <v>0</v>
      </c>
      <c r="AX587" s="0" t="n">
        <f aca="false">IF(BN587="D",1,0)+IF(BO587="D",1,0)+IF(BT587="D",1,0)+IF(BU587="D",1,0)+IF(BW587="D",1,0)+IF(CC587="D",1,0)+IF(CD587="D",1,0)+IF(CE587="D",1,0)+IF(CF587="D",1,0)+IF(CL587="D",1,0)+IF(CM587="D",1,0)+IF(CQ587="D",1,0)+IF(CR587="D",1,0)+IF(CS587="D",1,0)+IF(CW587="D",1,0)+IF(CX587="D",1,0)+IF(DD587="D",1,0)+IF(DE587="D",1,0)+IF(DJ587="D",1,0)+IF(DK587="D",1,0)+IF(DO587="D",1,0)+IF(DP587="D",1,0)+IF(DQ587="D",1,0)+IF(DW587="D",1,0)+IF(DZ587="D",1,0)+IF(EH587="D",1,0)</f>
        <v>0</v>
      </c>
      <c r="AY587" s="0" t="n">
        <f aca="false">COUNTIF(DU587:EH587, "&lt;&gt;")</f>
        <v>1</v>
      </c>
      <c r="AZ587" s="0" t="n">
        <f aca="false">IF(EH587&lt;&gt;"",1,0)</f>
        <v>0</v>
      </c>
      <c r="BB587" s="0" t="s">
        <v>152</v>
      </c>
      <c r="DN587" s="0" t="s">
        <v>153</v>
      </c>
      <c r="EF587" s="0" t="s">
        <v>153</v>
      </c>
    </row>
    <row r="588" customFormat="false" ht="13.8" hidden="true" customHeight="false" outlineLevel="0" collapsed="false">
      <c r="A588" s="0" t="s">
        <v>3082</v>
      </c>
      <c r="B588" s="0" t="n">
        <v>78</v>
      </c>
      <c r="C588" s="0" t="n">
        <v>434851</v>
      </c>
      <c r="D588" s="0" t="s">
        <v>3083</v>
      </c>
      <c r="E588" s="0" t="s">
        <v>3084</v>
      </c>
      <c r="F588" s="0" t="str">
        <f aca="false">CONCATENATE(D588," ",LEFT(H588,4),"T=",AU588,"D=",AV588,"R=",AW588,"M=",AX588,"L=",AY588,"B=",AZ588)</f>
        <v>FLIGHT T=1D=0R=0M=0L=0B=0</v>
      </c>
      <c r="G588" s="0" t="s">
        <v>195</v>
      </c>
      <c r="I588" s="0" t="s">
        <v>3085</v>
      </c>
      <c r="J588" s="0" t="s">
        <v>3086</v>
      </c>
      <c r="K588" s="0" t="s">
        <v>143</v>
      </c>
      <c r="M588" s="0" t="s">
        <v>3078</v>
      </c>
      <c r="N588" s="0" t="str">
        <f aca="false">RIGHT(M588,LEN(M588)-FIND(" ",M588))</f>
        <v>EAST AVE SE</v>
      </c>
      <c r="P588" s="0" t="s">
        <v>145</v>
      </c>
      <c r="Q588" s="0" t="s">
        <v>146</v>
      </c>
      <c r="R588" s="0" t="n">
        <v>44484</v>
      </c>
      <c r="AD588" s="0" t="s">
        <v>147</v>
      </c>
      <c r="AE588" s="0" t="s">
        <v>148</v>
      </c>
      <c r="AF588" s="0" t="s">
        <v>149</v>
      </c>
      <c r="AH588" s="0" t="n">
        <v>14</v>
      </c>
      <c r="AI588" s="0" t="n">
        <v>11</v>
      </c>
      <c r="AN588" s="0" t="s">
        <v>145</v>
      </c>
      <c r="AO588" s="0" t="s">
        <v>233</v>
      </c>
      <c r="AP588" s="0" t="s">
        <v>234</v>
      </c>
      <c r="AQ588" s="0" t="n">
        <v>9</v>
      </c>
      <c r="AR588" s="0" t="n">
        <v>64</v>
      </c>
      <c r="AS588" s="0" t="n">
        <v>32</v>
      </c>
      <c r="AU588" s="0" t="n">
        <f aca="false">COUNTA($BA$2329:$EH$2329)</f>
        <v>1</v>
      </c>
      <c r="AV588" s="0" t="n">
        <f aca="false">COUNTIF($BA$2329:$EH$2329,"D")</f>
        <v>0</v>
      </c>
      <c r="AW588" s="0" t="n">
        <f aca="false">COUNTIF($BA$2329:$EH$2329,"R")</f>
        <v>0</v>
      </c>
      <c r="AX588" s="0" t="n">
        <f aca="false">IF(BN588="D",1,0)+IF(BO588="D",1,0)+IF(BT588="D",1,0)+IF(BU588="D",1,0)+IF(BW588="D",1,0)+IF(CC588="D",1,0)+IF(CD588="D",1,0)+IF(CE588="D",1,0)+IF(CF588="D",1,0)+IF(CL588="D",1,0)+IF(CM588="D",1,0)+IF(CQ588="D",1,0)+IF(CR588="D",1,0)+IF(CS588="D",1,0)+IF(CW588="D",1,0)+IF(CX588="D",1,0)+IF(DD588="D",1,0)+IF(DE588="D",1,0)+IF(DJ588="D",1,0)+IF(DK588="D",1,0)+IF(DO588="D",1,0)+IF(DP588="D",1,0)+IF(DQ588="D",1,0)+IF(DW588="D",1,0)+IF(DZ588="D",1,0)+IF(EH588="D",1,0)</f>
        <v>0</v>
      </c>
      <c r="AY588" s="0" t="n">
        <f aca="false">COUNTIF(DU588:EH588, "&lt;&gt;")</f>
        <v>0</v>
      </c>
      <c r="AZ588" s="0" t="n">
        <f aca="false">IF(EH588&lt;&gt;"",1,0)</f>
        <v>0</v>
      </c>
      <c r="BB588" s="0" t="s">
        <v>152</v>
      </c>
    </row>
    <row r="589" customFormat="false" ht="13.8" hidden="true" customHeight="false" outlineLevel="0" collapsed="false">
      <c r="A589" s="0" t="s">
        <v>3087</v>
      </c>
      <c r="B589" s="0" t="n">
        <v>78</v>
      </c>
      <c r="C589" s="0" t="n">
        <v>487587</v>
      </c>
      <c r="D589" s="0" t="s">
        <v>3088</v>
      </c>
      <c r="E589" s="0" t="s">
        <v>3089</v>
      </c>
      <c r="F589" s="0" t="str">
        <f aca="false">CONCATENATE(D589," ",LEFT(H589,4),"T=",AU589,"D=",AV589,"R=",AW589,"M=",AX589,"L=",AY589,"B=",AZ589)</f>
        <v>BARNETT T=1D=0R=0M=0L=0B=0</v>
      </c>
      <c r="G589" s="0" t="s">
        <v>209</v>
      </c>
      <c r="I589" s="0" t="s">
        <v>3090</v>
      </c>
      <c r="J589" s="0" t="s">
        <v>1253</v>
      </c>
      <c r="K589" s="0" t="s">
        <v>160</v>
      </c>
      <c r="M589" s="0" t="s">
        <v>3078</v>
      </c>
      <c r="N589" s="0" t="str">
        <f aca="false">RIGHT(M589,LEN(M589)-FIND(" ",M589))</f>
        <v>EAST AVE SE</v>
      </c>
      <c r="P589" s="0" t="s">
        <v>145</v>
      </c>
      <c r="Q589" s="0" t="s">
        <v>146</v>
      </c>
      <c r="R589" s="0" t="n">
        <v>44484</v>
      </c>
      <c r="AD589" s="0" t="s">
        <v>147</v>
      </c>
      <c r="AE589" s="0" t="s">
        <v>148</v>
      </c>
      <c r="AF589" s="0" t="s">
        <v>149</v>
      </c>
      <c r="AH589" s="0" t="n">
        <v>14</v>
      </c>
      <c r="AI589" s="0" t="n">
        <v>11</v>
      </c>
      <c r="AN589" s="0" t="s">
        <v>145</v>
      </c>
      <c r="AO589" s="0" t="s">
        <v>233</v>
      </c>
      <c r="AP589" s="0" t="s">
        <v>234</v>
      </c>
      <c r="AQ589" s="0" t="n">
        <v>9</v>
      </c>
      <c r="AR589" s="0" t="n">
        <v>64</v>
      </c>
      <c r="AS589" s="0" t="n">
        <v>32</v>
      </c>
      <c r="AU589" s="0" t="n">
        <f aca="false">COUNTA($BA$2427:$EH$2427)</f>
        <v>1</v>
      </c>
      <c r="AV589" s="0" t="n">
        <f aca="false">COUNTIF($BA$2427:$EH$2427,"D")</f>
        <v>0</v>
      </c>
      <c r="AW589" s="0" t="n">
        <f aca="false">COUNTIF($BA$2427:$EH$2427,"R")</f>
        <v>0</v>
      </c>
      <c r="AX589" s="0" t="n">
        <f aca="false">IF(BN589="D",1,0)+IF(BO589="D",1,0)+IF(BT589="D",1,0)+IF(BU589="D",1,0)+IF(BW589="D",1,0)+IF(CC589="D",1,0)+IF(CD589="D",1,0)+IF(CE589="D",1,0)+IF(CF589="D",1,0)+IF(CL589="D",1,0)+IF(CM589="D",1,0)+IF(CQ589="D",1,0)+IF(CR589="D",1,0)+IF(CS589="D",1,0)+IF(CW589="D",1,0)+IF(CX589="D",1,0)+IF(DD589="D",1,0)+IF(DE589="D",1,0)+IF(DJ589="D",1,0)+IF(DK589="D",1,0)+IF(DO589="D",1,0)+IF(DP589="D",1,0)+IF(DQ589="D",1,0)+IF(DW589="D",1,0)+IF(DZ589="D",1,0)+IF(EH589="D",1,0)</f>
        <v>0</v>
      </c>
      <c r="AY589" s="0" t="n">
        <f aca="false">COUNTIF(DU589:EH589, "&lt;&gt;")</f>
        <v>0</v>
      </c>
      <c r="AZ589" s="0" t="n">
        <f aca="false">IF(EH589&lt;&gt;"",1,0)</f>
        <v>0</v>
      </c>
      <c r="BB589" s="0" t="s">
        <v>152</v>
      </c>
    </row>
    <row r="590" customFormat="false" ht="13.8" hidden="true" customHeight="false" outlineLevel="0" collapsed="false">
      <c r="A590" s="0" t="s">
        <v>3091</v>
      </c>
      <c r="B590" s="0" t="n">
        <v>78</v>
      </c>
      <c r="C590" s="0" t="n">
        <v>436095</v>
      </c>
      <c r="D590" s="0" t="s">
        <v>3092</v>
      </c>
      <c r="E590" s="0" t="s">
        <v>3093</v>
      </c>
      <c r="F590" s="0" t="str">
        <f aca="false">CONCATENATE(D590," ",LEFT(H590,4),"T=",AU590,"D=",AV590,"R=",AW590,"M=",AX590,"L=",AY590,"B=",AZ590)</f>
        <v>MALONEY T=2D=0R=0M=0L=0B=0</v>
      </c>
      <c r="G590" s="0" t="s">
        <v>195</v>
      </c>
      <c r="I590" s="0" t="s">
        <v>3094</v>
      </c>
      <c r="J590" s="0" t="s">
        <v>3095</v>
      </c>
      <c r="K590" s="0" t="s">
        <v>160</v>
      </c>
      <c r="M590" s="0" t="s">
        <v>3078</v>
      </c>
      <c r="N590" s="0" t="str">
        <f aca="false">RIGHT(M590,LEN(M590)-FIND(" ",M590))</f>
        <v>EAST AVE SE</v>
      </c>
      <c r="P590" s="0" t="s">
        <v>145</v>
      </c>
      <c r="Q590" s="0" t="s">
        <v>146</v>
      </c>
      <c r="R590" s="0" t="n">
        <v>44484</v>
      </c>
      <c r="AD590" s="0" t="s">
        <v>147</v>
      </c>
      <c r="AE590" s="0" t="s">
        <v>148</v>
      </c>
      <c r="AF590" s="0" t="s">
        <v>149</v>
      </c>
      <c r="AH590" s="0" t="n">
        <v>14</v>
      </c>
      <c r="AI590" s="0" t="n">
        <v>11</v>
      </c>
      <c r="AN590" s="0" t="s">
        <v>145</v>
      </c>
      <c r="AO590" s="0" t="s">
        <v>233</v>
      </c>
      <c r="AP590" s="0" t="s">
        <v>234</v>
      </c>
      <c r="AQ590" s="0" t="n">
        <v>9</v>
      </c>
      <c r="AR590" s="0" t="n">
        <v>64</v>
      </c>
      <c r="AS590" s="0" t="n">
        <v>32</v>
      </c>
      <c r="AU590" s="0" t="n">
        <f aca="false">COUNTA($BA$2581:$EH$2581)</f>
        <v>2</v>
      </c>
      <c r="AV590" s="0" t="n">
        <f aca="false">COUNTIF($BA$2581:$EH$2581,"D")</f>
        <v>0</v>
      </c>
      <c r="AW590" s="0" t="n">
        <f aca="false">COUNTIF($BA$2581:$EH$2581,"R")</f>
        <v>0</v>
      </c>
      <c r="AX590" s="0" t="n">
        <f aca="false">IF(BN590="D",1,0)+IF(BO590="D",1,0)+IF(BT590="D",1,0)+IF(BU590="D",1,0)+IF(BW590="D",1,0)+IF(CC590="D",1,0)+IF(CD590="D",1,0)+IF(CE590="D",1,0)+IF(CF590="D",1,0)+IF(CL590="D",1,0)+IF(CM590="D",1,0)+IF(CQ590="D",1,0)+IF(CR590="D",1,0)+IF(CS590="D",1,0)+IF(CW590="D",1,0)+IF(CX590="D",1,0)+IF(DD590="D",1,0)+IF(DE590="D",1,0)+IF(DJ590="D",1,0)+IF(DK590="D",1,0)+IF(DO590="D",1,0)+IF(DP590="D",1,0)+IF(DQ590="D",1,0)+IF(DW590="D",1,0)+IF(DZ590="D",1,0)+IF(EH590="D",1,0)</f>
        <v>0</v>
      </c>
      <c r="AY590" s="0" t="n">
        <f aca="false">COUNTIF(DU590:EH590, "&lt;&gt;")</f>
        <v>0</v>
      </c>
      <c r="AZ590" s="0" t="n">
        <f aca="false">IF(EH590&lt;&gt;"",1,0)</f>
        <v>0</v>
      </c>
      <c r="BB590" s="0" t="s">
        <v>152</v>
      </c>
      <c r="BC590" s="0" t="s">
        <v>153</v>
      </c>
      <c r="BD590" s="0" t="s">
        <v>153</v>
      </c>
      <c r="BJ590" s="0" t="s">
        <v>153</v>
      </c>
      <c r="BL590" s="0" t="s">
        <v>153</v>
      </c>
      <c r="DI590" s="0" t="s">
        <v>153</v>
      </c>
    </row>
    <row r="591" customFormat="false" ht="13.8" hidden="true" customHeight="false" outlineLevel="0" collapsed="false">
      <c r="A591" s="0" t="s">
        <v>3096</v>
      </c>
      <c r="B591" s="0" t="n">
        <v>78</v>
      </c>
      <c r="C591" s="0" t="n">
        <v>349275</v>
      </c>
      <c r="D591" s="0" t="s">
        <v>3097</v>
      </c>
      <c r="E591" s="0" t="s">
        <v>3098</v>
      </c>
      <c r="F591" s="0" t="str">
        <f aca="false">CONCATENATE(D591," ",LEFT(H591,4),"T=",AU591,"D=",AV591,"R=",AW591,"M=",AX591,"L=",AY591,"B=",AZ591)</f>
        <v>ROBERTS T=8D=1R=0M=0L=1B=0</v>
      </c>
      <c r="G591" s="0" t="s">
        <v>190</v>
      </c>
      <c r="I591" s="0" t="s">
        <v>1553</v>
      </c>
      <c r="J591" s="0" t="s">
        <v>1050</v>
      </c>
      <c r="K591" s="0" t="s">
        <v>160</v>
      </c>
      <c r="M591" s="0" t="s">
        <v>3099</v>
      </c>
      <c r="N591" s="0" t="str">
        <f aca="false">RIGHT(M591,LEN(M591)-FIND(" ",M591))</f>
        <v>EAST AVE SE</v>
      </c>
      <c r="P591" s="0" t="s">
        <v>145</v>
      </c>
      <c r="Q591" s="0" t="s">
        <v>146</v>
      </c>
      <c r="R591" s="0" t="n">
        <v>44484</v>
      </c>
      <c r="AD591" s="0" t="s">
        <v>147</v>
      </c>
      <c r="AE591" s="0" t="s">
        <v>148</v>
      </c>
      <c r="AF591" s="0" t="s">
        <v>149</v>
      </c>
      <c r="AH591" s="0" t="n">
        <v>14</v>
      </c>
      <c r="AI591" s="0" t="n">
        <v>11</v>
      </c>
      <c r="AN591" s="0" t="s">
        <v>145</v>
      </c>
      <c r="AO591" s="0" t="s">
        <v>233</v>
      </c>
      <c r="AP591" s="0" t="s">
        <v>234</v>
      </c>
      <c r="AQ591" s="0" t="n">
        <v>9</v>
      </c>
      <c r="AR591" s="0" t="n">
        <v>64</v>
      </c>
      <c r="AS591" s="0" t="n">
        <v>32</v>
      </c>
      <c r="AU591" s="0" t="n">
        <f aca="false">COUNTA($BA$2585:$EH$2585)</f>
        <v>8</v>
      </c>
      <c r="AV591" s="0" t="n">
        <f aca="false">COUNTIF($BA$2585:$EH$2585,"D")</f>
        <v>1</v>
      </c>
      <c r="AW591" s="0" t="n">
        <f aca="false">COUNTIF($BA$2585:$EH$2585,"R")</f>
        <v>0</v>
      </c>
      <c r="AX591" s="0" t="n">
        <f aca="false">IF(BN591="D",1,0)+IF(BO591="D",1,0)+IF(BT591="D",1,0)+IF(BU591="D",1,0)+IF(BW591="D",1,0)+IF(CC591="D",1,0)+IF(CD591="D",1,0)+IF(CE591="D",1,0)+IF(CF591="D",1,0)+IF(CL591="D",1,0)+IF(CM591="D",1,0)+IF(CQ591="D",1,0)+IF(CR591="D",1,0)+IF(CS591="D",1,0)+IF(CW591="D",1,0)+IF(CX591="D",1,0)+IF(DD591="D",1,0)+IF(DE591="D",1,0)+IF(DJ591="D",1,0)+IF(DK591="D",1,0)+IF(DO591="D",1,0)+IF(DP591="D",1,0)+IF(DQ591="D",1,0)+IF(DW591="D",1,0)+IF(DZ591="D",1,0)+IF(EH591="D",1,0)</f>
        <v>0</v>
      </c>
      <c r="AY591" s="0" t="n">
        <f aca="false">COUNTIF(DU591:EH591, "&lt;&gt;")</f>
        <v>1</v>
      </c>
      <c r="AZ591" s="0" t="n">
        <f aca="false">IF(EH591&lt;&gt;"",1,0)</f>
        <v>0</v>
      </c>
      <c r="BB591" s="0" t="s">
        <v>152</v>
      </c>
      <c r="CA591" s="0" t="s">
        <v>153</v>
      </c>
      <c r="CP591" s="0" t="s">
        <v>153</v>
      </c>
      <c r="CY591" s="0" t="s">
        <v>153</v>
      </c>
      <c r="DC591" s="0" t="s">
        <v>153</v>
      </c>
      <c r="DX591" s="0" t="s">
        <v>153</v>
      </c>
    </row>
    <row r="592" customFormat="false" ht="13.8" hidden="true" customHeight="false" outlineLevel="0" collapsed="false">
      <c r="A592" s="0" t="s">
        <v>3100</v>
      </c>
      <c r="B592" s="0" t="n">
        <v>78</v>
      </c>
      <c r="C592" s="0" t="n">
        <v>495008</v>
      </c>
      <c r="D592" s="0" t="s">
        <v>1223</v>
      </c>
      <c r="E592" s="0" t="s">
        <v>3101</v>
      </c>
      <c r="F592" s="0" t="str">
        <f aca="false">CONCATENATE(D592," ",LEFT(H592,4),"T=",AU592,"D=",AV592,"R=",AW592,"M=",AX592,"L=",AY592,"B=",AZ592)</f>
        <v>TURNER IIIT=31D=6R=1M=0L=0B=0</v>
      </c>
      <c r="G592" s="0" t="s">
        <v>3102</v>
      </c>
      <c r="H592" s="0" t="s">
        <v>1932</v>
      </c>
      <c r="I592" s="0" t="s">
        <v>3103</v>
      </c>
      <c r="J592" s="0" t="s">
        <v>3104</v>
      </c>
      <c r="K592" s="0" t="s">
        <v>160</v>
      </c>
      <c r="M592" s="0" t="s">
        <v>3105</v>
      </c>
      <c r="N592" s="0" t="str">
        <f aca="false">RIGHT(M592,LEN(M592)-FIND(" ",M592))</f>
        <v>EAST AVE SE</v>
      </c>
      <c r="P592" s="0" t="s">
        <v>145</v>
      </c>
      <c r="Q592" s="0" t="s">
        <v>146</v>
      </c>
      <c r="R592" s="0" t="n">
        <v>44484</v>
      </c>
      <c r="AD592" s="0" t="s">
        <v>147</v>
      </c>
      <c r="AE592" s="0" t="s">
        <v>148</v>
      </c>
      <c r="AF592" s="0" t="s">
        <v>149</v>
      </c>
      <c r="AH592" s="0" t="n">
        <v>14</v>
      </c>
      <c r="AI592" s="0" t="n">
        <v>11</v>
      </c>
      <c r="AN592" s="0" t="s">
        <v>145</v>
      </c>
      <c r="AO592" s="0" t="s">
        <v>233</v>
      </c>
      <c r="AP592" s="0" t="s">
        <v>234</v>
      </c>
      <c r="AQ592" s="0" t="n">
        <v>9</v>
      </c>
      <c r="AR592" s="0" t="n">
        <v>64</v>
      </c>
      <c r="AS592" s="0" t="n">
        <v>32</v>
      </c>
      <c r="AU592" s="0" t="n">
        <f aca="false">COUNTA($BA$2559:$EH$2559)</f>
        <v>31</v>
      </c>
      <c r="AV592" s="0" t="n">
        <f aca="false">COUNTIF($BA$2559:$EH$2559,"D")</f>
        <v>6</v>
      </c>
      <c r="AW592" s="0" t="n">
        <f aca="false">COUNTIF($BA$2559:$EH$2559,"R")</f>
        <v>1</v>
      </c>
      <c r="AX592" s="0" t="n">
        <f aca="false">IF(BN592="D",1,0)+IF(BO592="D",1,0)+IF(BT592="D",1,0)+IF(BU592="D",1,0)+IF(BW592="D",1,0)+IF(CC592="D",1,0)+IF(CD592="D",1,0)+IF(CE592="D",1,0)+IF(CF592="D",1,0)+IF(CL592="D",1,0)+IF(CM592="D",1,0)+IF(CQ592="D",1,0)+IF(CR592="D",1,0)+IF(CS592="D",1,0)+IF(CW592="D",1,0)+IF(CX592="D",1,0)+IF(DD592="D",1,0)+IF(DE592="D",1,0)+IF(DJ592="D",1,0)+IF(DK592="D",1,0)+IF(DO592="D",1,0)+IF(DP592="D",1,0)+IF(DQ592="D",1,0)+IF(DW592="D",1,0)+IF(DZ592="D",1,0)+IF(EH592="D",1,0)</f>
        <v>0</v>
      </c>
      <c r="AY592" s="0" t="n">
        <f aca="false">COUNTIF(DU592:EH592, "&lt;&gt;")</f>
        <v>0</v>
      </c>
      <c r="AZ592" s="0" t="n">
        <f aca="false">IF(EH592&lt;&gt;"",1,0)</f>
        <v>0</v>
      </c>
      <c r="BB592" s="0" t="s">
        <v>152</v>
      </c>
    </row>
    <row r="593" customFormat="false" ht="13.8" hidden="true" customHeight="false" outlineLevel="0" collapsed="false">
      <c r="A593" s="0" t="s">
        <v>3106</v>
      </c>
      <c r="B593" s="0" t="n">
        <v>78</v>
      </c>
      <c r="C593" s="0" t="n">
        <v>320171</v>
      </c>
      <c r="D593" s="0" t="s">
        <v>1223</v>
      </c>
      <c r="E593" s="0" t="s">
        <v>3107</v>
      </c>
      <c r="F593" s="0" t="str">
        <f aca="false">CONCATENATE(D593," ",LEFT(H593,4),"T=",AU593,"D=",AV593,"R=",AW593,"M=",AX593,"L=",AY593,"B=",AZ593)</f>
        <v>TURNER T=3D=0R=0M=0L=0B=0</v>
      </c>
      <c r="G593" s="0" t="s">
        <v>175</v>
      </c>
      <c r="I593" s="0" t="s">
        <v>3108</v>
      </c>
      <c r="J593" s="0" t="s">
        <v>3109</v>
      </c>
      <c r="K593" s="0" t="s">
        <v>143</v>
      </c>
      <c r="M593" s="0" t="s">
        <v>3105</v>
      </c>
      <c r="N593" s="0" t="str">
        <f aca="false">RIGHT(M593,LEN(M593)-FIND(" ",M593))</f>
        <v>EAST AVE SE</v>
      </c>
      <c r="P593" s="0" t="s">
        <v>145</v>
      </c>
      <c r="Q593" s="0" t="s">
        <v>146</v>
      </c>
      <c r="R593" s="0" t="n">
        <v>44484</v>
      </c>
      <c r="AD593" s="0" t="s">
        <v>147</v>
      </c>
      <c r="AE593" s="0" t="s">
        <v>148</v>
      </c>
      <c r="AF593" s="0" t="s">
        <v>149</v>
      </c>
      <c r="AH593" s="0" t="n">
        <v>14</v>
      </c>
      <c r="AI593" s="0" t="n">
        <v>11</v>
      </c>
      <c r="AN593" s="0" t="s">
        <v>145</v>
      </c>
      <c r="AO593" s="0" t="s">
        <v>233</v>
      </c>
      <c r="AP593" s="0" t="s">
        <v>234</v>
      </c>
      <c r="AQ593" s="0" t="n">
        <v>9</v>
      </c>
      <c r="AR593" s="0" t="n">
        <v>64</v>
      </c>
      <c r="AS593" s="0" t="n">
        <v>32</v>
      </c>
      <c r="AU593" s="0" t="n">
        <f aca="false">COUNTA($BA$2569:$EH$2569)</f>
        <v>3</v>
      </c>
      <c r="AV593" s="0" t="n">
        <f aca="false">COUNTIF($BA$2569:$EH$2569,"D")</f>
        <v>0</v>
      </c>
      <c r="AW593" s="0" t="n">
        <f aca="false">COUNTIF($BA$2569:$EH$2569,"R")</f>
        <v>0</v>
      </c>
      <c r="AX593" s="0" t="n">
        <f aca="false">IF(BN593="D",1,0)+IF(BO593="D",1,0)+IF(BT593="D",1,0)+IF(BU593="D",1,0)+IF(BW593="D",1,0)+IF(CC593="D",1,0)+IF(CD593="D",1,0)+IF(CE593="D",1,0)+IF(CF593="D",1,0)+IF(CL593="D",1,0)+IF(CM593="D",1,0)+IF(CQ593="D",1,0)+IF(CR593="D",1,0)+IF(CS593="D",1,0)+IF(CW593="D",1,0)+IF(CX593="D",1,0)+IF(DD593="D",1,0)+IF(DE593="D",1,0)+IF(DJ593="D",1,0)+IF(DK593="D",1,0)+IF(DO593="D",1,0)+IF(DP593="D",1,0)+IF(DQ593="D",1,0)+IF(DW593="D",1,0)+IF(DZ593="D",1,0)+IF(EH593="D",1,0)</f>
        <v>0</v>
      </c>
      <c r="AY593" s="0" t="n">
        <f aca="false">COUNTIF(DU593:EH593, "&lt;&gt;")</f>
        <v>0</v>
      </c>
      <c r="AZ593" s="0" t="n">
        <f aca="false">IF(EH593&lt;&gt;"",1,0)</f>
        <v>0</v>
      </c>
      <c r="BB593" s="0" t="s">
        <v>152</v>
      </c>
      <c r="CA593" s="0" t="s">
        <v>153</v>
      </c>
      <c r="CP593" s="0" t="s">
        <v>153</v>
      </c>
      <c r="DN593" s="0" t="s">
        <v>153</v>
      </c>
    </row>
    <row r="594" customFormat="false" ht="13.8" hidden="true" customHeight="false" outlineLevel="0" collapsed="false">
      <c r="A594" s="0" t="s">
        <v>3110</v>
      </c>
      <c r="B594" s="0" t="n">
        <v>78</v>
      </c>
      <c r="C594" s="0" t="n">
        <v>388928</v>
      </c>
      <c r="D594" s="0" t="s">
        <v>3111</v>
      </c>
      <c r="E594" s="0" t="s">
        <v>2689</v>
      </c>
      <c r="F594" s="0" t="str">
        <f aca="false">CONCATENATE(D594," ",LEFT(H594,4),"T=",AU594,"D=",AV594,"R=",AW594,"M=",AX594,"L=",AY594,"B=",AZ594)</f>
        <v>DAVENPORT T=26D=4R=1M=0L=0B=0</v>
      </c>
      <c r="G594" s="0" t="s">
        <v>1596</v>
      </c>
      <c r="I594" s="0" t="s">
        <v>3112</v>
      </c>
      <c r="J594" s="0" t="s">
        <v>3113</v>
      </c>
      <c r="K594" s="0" t="s">
        <v>143</v>
      </c>
      <c r="M594" s="0" t="s">
        <v>3114</v>
      </c>
      <c r="N594" s="0" t="str">
        <f aca="false">RIGHT(M594,LEN(M594)-FIND(" ",M594))</f>
        <v>EAST AVE SE</v>
      </c>
      <c r="P594" s="0" t="s">
        <v>145</v>
      </c>
      <c r="Q594" s="0" t="s">
        <v>146</v>
      </c>
      <c r="R594" s="0" t="n">
        <v>44484</v>
      </c>
      <c r="AD594" s="0" t="s">
        <v>147</v>
      </c>
      <c r="AE594" s="0" t="s">
        <v>148</v>
      </c>
      <c r="AF594" s="0" t="s">
        <v>149</v>
      </c>
      <c r="AH594" s="0" t="n">
        <v>14</v>
      </c>
      <c r="AI594" s="0" t="n">
        <v>11</v>
      </c>
      <c r="AN594" s="0" t="s">
        <v>145</v>
      </c>
      <c r="AO594" s="0" t="s">
        <v>233</v>
      </c>
      <c r="AP594" s="0" t="s">
        <v>234</v>
      </c>
      <c r="AQ594" s="0" t="n">
        <v>9</v>
      </c>
      <c r="AR594" s="0" t="n">
        <v>64</v>
      </c>
      <c r="AS594" s="0" t="n">
        <v>32</v>
      </c>
      <c r="AU594" s="0" t="n">
        <f aca="false">COUNTA($BA$2245:$EH$2245)</f>
        <v>26</v>
      </c>
      <c r="AV594" s="0" t="n">
        <f aca="false">COUNTIF($BA$2245:$EH$2245,"D")</f>
        <v>4</v>
      </c>
      <c r="AW594" s="0" t="n">
        <f aca="false">COUNTIF($BA$2245:$EH$2245,"R")</f>
        <v>1</v>
      </c>
      <c r="AX594" s="0" t="n">
        <f aca="false">IF(BN594="D",1,0)+IF(BO594="D",1,0)+IF(BT594="D",1,0)+IF(BU594="D",1,0)+IF(BW594="D",1,0)+IF(CC594="D",1,0)+IF(CD594="D",1,0)+IF(CE594="D",1,0)+IF(CF594="D",1,0)+IF(CL594="D",1,0)+IF(CM594="D",1,0)+IF(CQ594="D",1,0)+IF(CR594="D",1,0)+IF(CS594="D",1,0)+IF(CW594="D",1,0)+IF(CX594="D",1,0)+IF(DD594="D",1,0)+IF(DE594="D",1,0)+IF(DJ594="D",1,0)+IF(DK594="D",1,0)+IF(DO594="D",1,0)+IF(DP594="D",1,0)+IF(DQ594="D",1,0)+IF(DW594="D",1,0)+IF(DZ594="D",1,0)+IF(EH594="D",1,0)</f>
        <v>0</v>
      </c>
      <c r="AY594" s="0" t="n">
        <f aca="false">COUNTIF(DU594:EH594, "&lt;&gt;")</f>
        <v>0</v>
      </c>
      <c r="AZ594" s="0" t="n">
        <f aca="false">IF(EH594&lt;&gt;"",1,0)</f>
        <v>0</v>
      </c>
      <c r="BB594" s="0" t="s">
        <v>152</v>
      </c>
      <c r="CP594" s="0" t="s">
        <v>153</v>
      </c>
    </row>
    <row r="595" customFormat="false" ht="13.8" hidden="true" customHeight="false" outlineLevel="0" collapsed="false">
      <c r="A595" s="0" t="s">
        <v>3115</v>
      </c>
      <c r="B595" s="0" t="n">
        <v>78</v>
      </c>
      <c r="C595" s="0" t="n">
        <v>457799</v>
      </c>
      <c r="D595" s="0" t="s">
        <v>3116</v>
      </c>
      <c r="E595" s="0" t="s">
        <v>3117</v>
      </c>
      <c r="F595" s="0" t="str">
        <f aca="false">CONCATENATE(D595," ",LEFT(H595,4),"T=",AU595,"D=",AV595,"R=",AW595,"M=",AX595,"L=",AY595,"B=",AZ595)</f>
        <v>HAWN T=1D=0R=0M=0L=0B=0</v>
      </c>
      <c r="G595" s="0" t="s">
        <v>379</v>
      </c>
      <c r="I595" s="0" t="s">
        <v>3118</v>
      </c>
      <c r="J595" s="0" t="s">
        <v>3119</v>
      </c>
      <c r="K595" s="0" t="s">
        <v>143</v>
      </c>
      <c r="M595" s="0" t="s">
        <v>3114</v>
      </c>
      <c r="N595" s="0" t="str">
        <f aca="false">RIGHT(M595,LEN(M595)-FIND(" ",M595))</f>
        <v>EAST AVE SE</v>
      </c>
      <c r="P595" s="0" t="s">
        <v>145</v>
      </c>
      <c r="Q595" s="0" t="s">
        <v>146</v>
      </c>
      <c r="R595" s="0" t="n">
        <v>44484</v>
      </c>
      <c r="AD595" s="0" t="s">
        <v>147</v>
      </c>
      <c r="AE595" s="0" t="s">
        <v>148</v>
      </c>
      <c r="AF595" s="0" t="s">
        <v>149</v>
      </c>
      <c r="AH595" s="0" t="n">
        <v>14</v>
      </c>
      <c r="AI595" s="0" t="n">
        <v>11</v>
      </c>
      <c r="AN595" s="0" t="s">
        <v>145</v>
      </c>
      <c r="AO595" s="0" t="s">
        <v>233</v>
      </c>
      <c r="AP595" s="0" t="s">
        <v>234</v>
      </c>
      <c r="AQ595" s="0" t="n">
        <v>9</v>
      </c>
      <c r="AR595" s="0" t="n">
        <v>64</v>
      </c>
      <c r="AS595" s="0" t="n">
        <v>32</v>
      </c>
      <c r="AU595" s="0" t="n">
        <f aca="false">COUNTA($BA$2641:$EH$2641)</f>
        <v>1</v>
      </c>
      <c r="AV595" s="0" t="n">
        <f aca="false">COUNTIF($BA$2641:$EH$2641,"D")</f>
        <v>0</v>
      </c>
      <c r="AW595" s="0" t="n">
        <f aca="false">COUNTIF($BA$2641:$EH$2641,"R")</f>
        <v>0</v>
      </c>
      <c r="AX595" s="0" t="n">
        <f aca="false">IF(BN595="D",1,0)+IF(BO595="D",1,0)+IF(BT595="D",1,0)+IF(BU595="D",1,0)+IF(BW595="D",1,0)+IF(CC595="D",1,0)+IF(CD595="D",1,0)+IF(CE595="D",1,0)+IF(CF595="D",1,0)+IF(CL595="D",1,0)+IF(CM595="D",1,0)+IF(CQ595="D",1,0)+IF(CR595="D",1,0)+IF(CS595="D",1,0)+IF(CW595="D",1,0)+IF(CX595="D",1,0)+IF(DD595="D",1,0)+IF(DE595="D",1,0)+IF(DJ595="D",1,0)+IF(DK595="D",1,0)+IF(DO595="D",1,0)+IF(DP595="D",1,0)+IF(DQ595="D",1,0)+IF(DW595="D",1,0)+IF(DZ595="D",1,0)+IF(EH595="D",1,0)</f>
        <v>0</v>
      </c>
      <c r="AY595" s="0" t="n">
        <f aca="false">COUNTIF(DU595:EH595, "&lt;&gt;")</f>
        <v>0</v>
      </c>
      <c r="AZ595" s="0" t="n">
        <f aca="false">IF(EH595&lt;&gt;"",1,0)</f>
        <v>0</v>
      </c>
      <c r="BB595" s="0" t="s">
        <v>152</v>
      </c>
    </row>
    <row r="596" customFormat="false" ht="13.8" hidden="true" customHeight="false" outlineLevel="0" collapsed="false">
      <c r="A596" s="0" t="s">
        <v>3120</v>
      </c>
      <c r="B596" s="0" t="n">
        <v>78</v>
      </c>
      <c r="C596" s="0" t="n">
        <v>428744</v>
      </c>
      <c r="D596" s="0" t="s">
        <v>3121</v>
      </c>
      <c r="E596" s="0" t="s">
        <v>248</v>
      </c>
      <c r="F596" s="0" t="str">
        <f aca="false">CONCATENATE(D596," ",LEFT(H596,4),"T=",AU596,"D=",AV596,"R=",AW596,"M=",AX596,"L=",AY596,"B=",AZ596)</f>
        <v>WEAVER T=19D=1R=2M=0L=0B=0</v>
      </c>
      <c r="G596" s="0" t="s">
        <v>697</v>
      </c>
      <c r="I596" s="0" t="s">
        <v>3122</v>
      </c>
      <c r="J596" s="0" t="s">
        <v>3123</v>
      </c>
      <c r="K596" s="0" t="s">
        <v>143</v>
      </c>
      <c r="M596" s="0" t="s">
        <v>3124</v>
      </c>
      <c r="N596" s="0" t="str">
        <f aca="false">RIGHT(M596,LEN(M596)-FIND(" ",M596))</f>
        <v>EAST AVE SE</v>
      </c>
      <c r="P596" s="0" t="s">
        <v>145</v>
      </c>
      <c r="Q596" s="0" t="s">
        <v>146</v>
      </c>
      <c r="R596" s="0" t="n">
        <v>44484</v>
      </c>
      <c r="AD596" s="0" t="s">
        <v>147</v>
      </c>
      <c r="AE596" s="0" t="s">
        <v>148</v>
      </c>
      <c r="AF596" s="0" t="s">
        <v>149</v>
      </c>
      <c r="AH596" s="0" t="n">
        <v>14</v>
      </c>
      <c r="AI596" s="0" t="n">
        <v>11</v>
      </c>
      <c r="AN596" s="0" t="s">
        <v>145</v>
      </c>
      <c r="AO596" s="0" t="s">
        <v>233</v>
      </c>
      <c r="AP596" s="0" t="s">
        <v>234</v>
      </c>
      <c r="AQ596" s="0" t="n">
        <v>9</v>
      </c>
      <c r="AR596" s="0" t="n">
        <v>64</v>
      </c>
      <c r="AS596" s="0" t="n">
        <v>32</v>
      </c>
      <c r="AU596" s="0" t="n">
        <f aca="false">COUNTA($BA$2335:$EH$2335)</f>
        <v>19</v>
      </c>
      <c r="AV596" s="0" t="n">
        <f aca="false">COUNTIF($BA$2335:$EH$2335,"D")</f>
        <v>1</v>
      </c>
      <c r="AW596" s="0" t="n">
        <f aca="false">COUNTIF($BA$2335:$EH$2335,"R")</f>
        <v>2</v>
      </c>
      <c r="AX596" s="0" t="n">
        <f aca="false">IF(BN596="D",1,0)+IF(BO596="D",1,0)+IF(BT596="D",1,0)+IF(BU596="D",1,0)+IF(BW596="D",1,0)+IF(CC596="D",1,0)+IF(CD596="D",1,0)+IF(CE596="D",1,0)+IF(CF596="D",1,0)+IF(CL596="D",1,0)+IF(CM596="D",1,0)+IF(CQ596="D",1,0)+IF(CR596="D",1,0)+IF(CS596="D",1,0)+IF(CW596="D",1,0)+IF(CX596="D",1,0)+IF(DD596="D",1,0)+IF(DE596="D",1,0)+IF(DJ596="D",1,0)+IF(DK596="D",1,0)+IF(DO596="D",1,0)+IF(DP596="D",1,0)+IF(DQ596="D",1,0)+IF(DW596="D",1,0)+IF(DZ596="D",1,0)+IF(EH596="D",1,0)</f>
        <v>0</v>
      </c>
      <c r="AY596" s="0" t="n">
        <f aca="false">COUNTIF(DU596:EH596, "&lt;&gt;")</f>
        <v>0</v>
      </c>
      <c r="AZ596" s="0" t="n">
        <f aca="false">IF(EH596&lt;&gt;"",1,0)</f>
        <v>0</v>
      </c>
      <c r="BB596" s="0" t="s">
        <v>152</v>
      </c>
    </row>
    <row r="597" customFormat="false" ht="13.8" hidden="false" customHeight="false" outlineLevel="0" collapsed="false">
      <c r="A597" s="0" t="s">
        <v>3125</v>
      </c>
      <c r="B597" s="0" t="n">
        <v>78</v>
      </c>
      <c r="C597" s="0" t="n">
        <v>270467</v>
      </c>
      <c r="D597" s="0" t="s">
        <v>770</v>
      </c>
      <c r="E597" s="0" t="s">
        <v>3126</v>
      </c>
      <c r="F597" s="0" t="str">
        <f aca="false">CONCATENATE(D597," ",LEFT(H597,4),"T=",AU597,"D=",AV597,"R=",AW597,"M=",AX597,"L=",AY597,"B=",AZ597)</f>
        <v>ALLEN T=6D=0R=0M=0L=2B=0</v>
      </c>
      <c r="G597" s="0" t="s">
        <v>255</v>
      </c>
      <c r="I597" s="0" t="s">
        <v>3127</v>
      </c>
      <c r="J597" s="0" t="s">
        <v>3020</v>
      </c>
      <c r="K597" s="0" t="s">
        <v>160</v>
      </c>
      <c r="M597" s="0" t="s">
        <v>3124</v>
      </c>
      <c r="N597" s="0" t="str">
        <f aca="false">RIGHT(M597,LEN(M597)-FIND(" ",M597))</f>
        <v>EAST AVE SE</v>
      </c>
      <c r="P597" s="0" t="s">
        <v>145</v>
      </c>
      <c r="Q597" s="0" t="s">
        <v>146</v>
      </c>
      <c r="R597" s="0" t="n">
        <v>44484</v>
      </c>
      <c r="AD597" s="0" t="s">
        <v>147</v>
      </c>
      <c r="AE597" s="0" t="s">
        <v>148</v>
      </c>
      <c r="AF597" s="0" t="s">
        <v>149</v>
      </c>
      <c r="AH597" s="0" t="n">
        <v>14</v>
      </c>
      <c r="AI597" s="0" t="n">
        <v>11</v>
      </c>
      <c r="AN597" s="0" t="s">
        <v>145</v>
      </c>
      <c r="AO597" s="0" t="s">
        <v>233</v>
      </c>
      <c r="AP597" s="0" t="s">
        <v>234</v>
      </c>
      <c r="AQ597" s="0" t="n">
        <v>9</v>
      </c>
      <c r="AR597" s="0" t="n">
        <v>64</v>
      </c>
      <c r="AS597" s="0" t="n">
        <v>32</v>
      </c>
      <c r="AU597" s="0" t="n">
        <f aca="false">COUNTA($BA$2587:$EH$2587)</f>
        <v>6</v>
      </c>
      <c r="AV597" s="0" t="n">
        <f aca="false">COUNTIF($BA$2587:$EH$2587,"D")</f>
        <v>0</v>
      </c>
      <c r="AW597" s="0" t="n">
        <f aca="false">COUNTIF($BA$2587:$EH$2587,"R")</f>
        <v>0</v>
      </c>
      <c r="AX597" s="0" t="n">
        <f aca="false">IF(BN597="D",1,0)+IF(BO597="D",1,0)+IF(BT597="D",1,0)+IF(BU597="D",1,0)+IF(BW597="D",1,0)+IF(CC597="D",1,0)+IF(CD597="D",1,0)+IF(CE597="D",1,0)+IF(CF597="D",1,0)+IF(CL597="D",1,0)+IF(CM597="D",1,0)+IF(CQ597="D",1,0)+IF(CR597="D",1,0)+IF(CS597="D",1,0)+IF(CW597="D",1,0)+IF(CX597="D",1,0)+IF(DD597="D",1,0)+IF(DE597="D",1,0)+IF(DJ597="D",1,0)+IF(DK597="D",1,0)+IF(DO597="D",1,0)+IF(DP597="D",1,0)+IF(DQ597="D",1,0)+IF(DW597="D",1,0)+IF(DZ597="D",1,0)+IF(EH597="D",1,0)</f>
        <v>0</v>
      </c>
      <c r="AY597" s="0" t="n">
        <f aca="false">COUNTIF(DU597:EH597, "&lt;&gt;")</f>
        <v>2</v>
      </c>
      <c r="AZ597" s="0" t="n">
        <f aca="false">IF(EH597&lt;&gt;"",1,0)</f>
        <v>0</v>
      </c>
      <c r="BB597" s="0" t="s">
        <v>152</v>
      </c>
      <c r="BD597" s="0" t="s">
        <v>153</v>
      </c>
      <c r="BH597" s="0" t="s">
        <v>153</v>
      </c>
      <c r="BJ597" s="0" t="s">
        <v>153</v>
      </c>
      <c r="BK597" s="0" t="s">
        <v>153</v>
      </c>
      <c r="BL597" s="0" t="s">
        <v>153</v>
      </c>
      <c r="BP597" s="0" t="s">
        <v>153</v>
      </c>
      <c r="BR597" s="0" t="s">
        <v>153</v>
      </c>
      <c r="BS597" s="0" t="s">
        <v>153</v>
      </c>
      <c r="BV597" s="0" t="s">
        <v>153</v>
      </c>
      <c r="BY597" s="0" t="s">
        <v>175</v>
      </c>
      <c r="CA597" s="0" t="s">
        <v>153</v>
      </c>
      <c r="CG597" s="0" t="s">
        <v>153</v>
      </c>
      <c r="CH597" s="0" t="s">
        <v>175</v>
      </c>
      <c r="CK597" s="0" t="s">
        <v>153</v>
      </c>
      <c r="CP597" s="0" t="s">
        <v>153</v>
      </c>
      <c r="DC597" s="0" t="s">
        <v>153</v>
      </c>
      <c r="DN597" s="0" t="s">
        <v>153</v>
      </c>
      <c r="DX597" s="0" t="s">
        <v>153</v>
      </c>
      <c r="EF597" s="0" t="s">
        <v>153</v>
      </c>
    </row>
    <row r="598" customFormat="false" ht="13.8" hidden="true" customHeight="false" outlineLevel="0" collapsed="false">
      <c r="A598" s="0" t="s">
        <v>3128</v>
      </c>
      <c r="B598" s="0" t="n">
        <v>78</v>
      </c>
      <c r="C598" s="0" t="n">
        <v>309000</v>
      </c>
      <c r="D598" s="0" t="s">
        <v>3129</v>
      </c>
      <c r="E598" s="0" t="s">
        <v>3130</v>
      </c>
      <c r="F598" s="0" t="str">
        <f aca="false">CONCATENATE(D598," ",LEFT(H598,4),"T=",AU598,"D=",AV598,"R=",AW598,"M=",AX598,"L=",AY598,"B=",AZ598)</f>
        <v>HUDSON T=6D=1R=0M=0L=1B=0</v>
      </c>
      <c r="G598" s="0" t="s">
        <v>325</v>
      </c>
      <c r="I598" s="0" t="s">
        <v>3131</v>
      </c>
      <c r="J598" s="0" t="s">
        <v>3132</v>
      </c>
      <c r="K598" s="0" t="s">
        <v>160</v>
      </c>
      <c r="M598" s="0" t="s">
        <v>3133</v>
      </c>
      <c r="N598" s="0" t="str">
        <f aca="false">RIGHT(M598,LEN(M598)-FIND(" ",M598))</f>
        <v>ELM RD NE</v>
      </c>
      <c r="O598" s="0" t="s">
        <v>297</v>
      </c>
      <c r="P598" s="0" t="s">
        <v>145</v>
      </c>
      <c r="Q598" s="0" t="s">
        <v>146</v>
      </c>
      <c r="R598" s="0" t="n">
        <v>44483</v>
      </c>
      <c r="AD598" s="0" t="s">
        <v>147</v>
      </c>
      <c r="AE598" s="0" t="s">
        <v>148</v>
      </c>
      <c r="AF598" s="0" t="s">
        <v>149</v>
      </c>
      <c r="AH598" s="0" t="n">
        <v>14</v>
      </c>
      <c r="AI598" s="0" t="n">
        <v>11</v>
      </c>
      <c r="AN598" s="0" t="s">
        <v>145</v>
      </c>
      <c r="AO598" s="0" t="s">
        <v>654</v>
      </c>
      <c r="AP598" s="0" t="s">
        <v>655</v>
      </c>
      <c r="AQ598" s="0" t="n">
        <v>9</v>
      </c>
      <c r="AR598" s="0" t="n">
        <v>64</v>
      </c>
      <c r="AS598" s="0" t="n">
        <v>32</v>
      </c>
      <c r="AU598" s="0" t="n">
        <f aca="false">COUNTA($BA$1169:$EH$1169)</f>
        <v>6</v>
      </c>
      <c r="AV598" s="0" t="n">
        <f aca="false">COUNTIF($BA$1169:$EH$1169,"D")</f>
        <v>1</v>
      </c>
      <c r="AW598" s="0" t="n">
        <f aca="false">COUNTIF($BA$1169:$EH$1169,"R")</f>
        <v>0</v>
      </c>
      <c r="AX598" s="0" t="n">
        <f aca="false">IF(BN598="D",1,0)+IF(BO598="D",1,0)+IF(BT598="D",1,0)+IF(BU598="D",1,0)+IF(BW598="D",1,0)+IF(CC598="D",1,0)+IF(CD598="D",1,0)+IF(CE598="D",1,0)+IF(CF598="D",1,0)+IF(CL598="D",1,0)+IF(CM598="D",1,0)+IF(CQ598="D",1,0)+IF(CR598="D",1,0)+IF(CS598="D",1,0)+IF(CW598="D",1,0)+IF(CX598="D",1,0)+IF(DD598="D",1,0)+IF(DE598="D",1,0)+IF(DJ598="D",1,0)+IF(DK598="D",1,0)+IF(DO598="D",1,0)+IF(DP598="D",1,0)+IF(DQ598="D",1,0)+IF(DW598="D",1,0)+IF(DZ598="D",1,0)+IF(EH598="D",1,0)</f>
        <v>0</v>
      </c>
      <c r="AY598" s="0" t="n">
        <f aca="false">COUNTIF(DU598:EH598, "&lt;&gt;")</f>
        <v>1</v>
      </c>
      <c r="AZ598" s="0" t="n">
        <f aca="false">IF(EH598&lt;&gt;"",1,0)</f>
        <v>0</v>
      </c>
      <c r="BB598" s="0" t="s">
        <v>152</v>
      </c>
      <c r="BL598" s="0" t="s">
        <v>153</v>
      </c>
      <c r="CP598" s="0" t="s">
        <v>153</v>
      </c>
      <c r="CY598" s="0" t="s">
        <v>153</v>
      </c>
      <c r="DC598" s="0" t="s">
        <v>153</v>
      </c>
      <c r="EF598" s="0" t="s">
        <v>153</v>
      </c>
    </row>
    <row r="599" customFormat="false" ht="13.8" hidden="true" customHeight="false" outlineLevel="0" collapsed="false">
      <c r="A599" s="0" t="s">
        <v>3134</v>
      </c>
      <c r="B599" s="0" t="n">
        <v>78</v>
      </c>
      <c r="C599" s="0" t="n">
        <v>402672</v>
      </c>
      <c r="D599" s="0" t="s">
        <v>3135</v>
      </c>
      <c r="E599" s="0" t="s">
        <v>3136</v>
      </c>
      <c r="F599" s="0" t="str">
        <f aca="false">CONCATENATE(D599," ",LEFT(H599,4),"T=",AU599,"D=",AV599,"R=",AW599,"M=",AX599,"L=",AY599,"B=",AZ599)</f>
        <v>BEACHUM T=1D=0R=0M=0L=1B=0</v>
      </c>
      <c r="G599" s="0" t="s">
        <v>195</v>
      </c>
      <c r="I599" s="0" t="s">
        <v>3137</v>
      </c>
      <c r="J599" s="0" t="s">
        <v>3138</v>
      </c>
      <c r="K599" s="0" t="s">
        <v>160</v>
      </c>
      <c r="M599" s="0" t="s">
        <v>3133</v>
      </c>
      <c r="N599" s="0" t="str">
        <f aca="false">RIGHT(M599,LEN(M599)-FIND(" ",M599))</f>
        <v>ELM RD NE</v>
      </c>
      <c r="P599" s="0" t="s">
        <v>145</v>
      </c>
      <c r="Q599" s="0" t="s">
        <v>146</v>
      </c>
      <c r="R599" s="0" t="n">
        <v>44483</v>
      </c>
      <c r="AD599" s="0" t="s">
        <v>147</v>
      </c>
      <c r="AE599" s="0" t="s">
        <v>148</v>
      </c>
      <c r="AF599" s="0" t="s">
        <v>149</v>
      </c>
      <c r="AH599" s="0" t="n">
        <v>14</v>
      </c>
      <c r="AI599" s="0" t="n">
        <v>11</v>
      </c>
      <c r="AN599" s="0" t="s">
        <v>145</v>
      </c>
      <c r="AO599" s="0" t="s">
        <v>654</v>
      </c>
      <c r="AP599" s="0" t="s">
        <v>655</v>
      </c>
      <c r="AQ599" s="0" t="n">
        <v>9</v>
      </c>
      <c r="AR599" s="0" t="n">
        <v>64</v>
      </c>
      <c r="AS599" s="0" t="n">
        <v>32</v>
      </c>
      <c r="AU599" s="0" t="n">
        <f aca="false">COUNTA($BA$1852:$EH$1852)</f>
        <v>1</v>
      </c>
      <c r="AV599" s="0" t="n">
        <f aca="false">COUNTIF($BA$1852:$EH$1852,"D")</f>
        <v>0</v>
      </c>
      <c r="AW599" s="0" t="n">
        <f aca="false">COUNTIF($BA$1852:$EH$1852,"R")</f>
        <v>0</v>
      </c>
      <c r="AX599" s="0" t="n">
        <f aca="false">IF(BN599="D",1,0)+IF(BO599="D",1,0)+IF(BT599="D",1,0)+IF(BU599="D",1,0)+IF(BW599="D",1,0)+IF(CC599="D",1,0)+IF(CD599="D",1,0)+IF(CE599="D",1,0)+IF(CF599="D",1,0)+IF(CL599="D",1,0)+IF(CM599="D",1,0)+IF(CQ599="D",1,0)+IF(CR599="D",1,0)+IF(CS599="D",1,0)+IF(CW599="D",1,0)+IF(CX599="D",1,0)+IF(DD599="D",1,0)+IF(DE599="D",1,0)+IF(DJ599="D",1,0)+IF(DK599="D",1,0)+IF(DO599="D",1,0)+IF(DP599="D",1,0)+IF(DQ599="D",1,0)+IF(DW599="D",1,0)+IF(DZ599="D",1,0)+IF(EH599="D",1,0)</f>
        <v>0</v>
      </c>
      <c r="AY599" s="0" t="n">
        <f aca="false">COUNTIF(DU599:EH599, "&lt;&gt;")</f>
        <v>1</v>
      </c>
      <c r="AZ599" s="0" t="n">
        <f aca="false">IF(EH599&lt;&gt;"",1,0)</f>
        <v>0</v>
      </c>
      <c r="BB599" s="0" t="s">
        <v>152</v>
      </c>
      <c r="DN599" s="0" t="s">
        <v>153</v>
      </c>
      <c r="EA599" s="0" t="s">
        <v>153</v>
      </c>
    </row>
    <row r="600" customFormat="false" ht="13.8" hidden="true" customHeight="false" outlineLevel="0" collapsed="false">
      <c r="A600" s="0" t="s">
        <v>3139</v>
      </c>
      <c r="B600" s="0" t="n">
        <v>78</v>
      </c>
      <c r="C600" s="0" t="n">
        <v>322047</v>
      </c>
      <c r="D600" s="0" t="s">
        <v>3140</v>
      </c>
      <c r="E600" s="0" t="s">
        <v>3141</v>
      </c>
      <c r="F600" s="0" t="str">
        <f aca="false">CONCATENATE(D600," ",LEFT(H600,4),"T=",AU600,"D=",AV600,"R=",AW600,"M=",AX600,"L=",AY600,"B=",AZ600)</f>
        <v>REDRICK T=39D=1R=7M=0L=0B=0</v>
      </c>
      <c r="G600" s="0" t="s">
        <v>190</v>
      </c>
      <c r="I600" s="0" t="s">
        <v>3142</v>
      </c>
      <c r="J600" s="0" t="s">
        <v>3143</v>
      </c>
      <c r="K600" s="0" t="s">
        <v>143</v>
      </c>
      <c r="M600" s="0" t="s">
        <v>3144</v>
      </c>
      <c r="N600" s="0" t="str">
        <f aca="false">RIGHT(M600,LEN(M600)-FIND(" ",M600))</f>
        <v>ELM RD NE</v>
      </c>
      <c r="O600" s="0" t="s">
        <v>868</v>
      </c>
      <c r="P600" s="0" t="s">
        <v>145</v>
      </c>
      <c r="Q600" s="0" t="s">
        <v>146</v>
      </c>
      <c r="R600" s="0" t="n">
        <v>44483</v>
      </c>
      <c r="AD600" s="0" t="s">
        <v>147</v>
      </c>
      <c r="AE600" s="0" t="s">
        <v>148</v>
      </c>
      <c r="AF600" s="0" t="s">
        <v>149</v>
      </c>
      <c r="AH600" s="0" t="n">
        <v>14</v>
      </c>
      <c r="AI600" s="0" t="n">
        <v>11</v>
      </c>
      <c r="AN600" s="0" t="s">
        <v>145</v>
      </c>
      <c r="AO600" s="0" t="s">
        <v>654</v>
      </c>
      <c r="AP600" s="0" t="s">
        <v>655</v>
      </c>
      <c r="AQ600" s="0" t="n">
        <v>9</v>
      </c>
      <c r="AR600" s="0" t="n">
        <v>64</v>
      </c>
      <c r="AS600" s="0" t="n">
        <v>32</v>
      </c>
      <c r="AU600" s="0" t="n">
        <f aca="false">COUNTA($BA$1270:$EH$1270)</f>
        <v>39</v>
      </c>
      <c r="AV600" s="0" t="n">
        <f aca="false">COUNTIF($BA$1270:$EH$1270,"D")</f>
        <v>1</v>
      </c>
      <c r="AW600" s="0" t="n">
        <f aca="false">COUNTIF($BA$1270:$EH$1270,"R")</f>
        <v>7</v>
      </c>
      <c r="AX600" s="0" t="n">
        <f aca="false">IF(BN600="D",1,0)+IF(BO600="D",1,0)+IF(BT600="D",1,0)+IF(BU600="D",1,0)+IF(BW600="D",1,0)+IF(CC600="D",1,0)+IF(CD600="D",1,0)+IF(CE600="D",1,0)+IF(CF600="D",1,0)+IF(CL600="D",1,0)+IF(CM600="D",1,0)+IF(CQ600="D",1,0)+IF(CR600="D",1,0)+IF(CS600="D",1,0)+IF(CW600="D",1,0)+IF(CX600="D",1,0)+IF(DD600="D",1,0)+IF(DE600="D",1,0)+IF(DJ600="D",1,0)+IF(DK600="D",1,0)+IF(DO600="D",1,0)+IF(DP600="D",1,0)+IF(DQ600="D",1,0)+IF(DW600="D",1,0)+IF(DZ600="D",1,0)+IF(EH600="D",1,0)</f>
        <v>0</v>
      </c>
      <c r="AY600" s="0" t="n">
        <f aca="false">COUNTIF(DU600:EH600, "&lt;&gt;")</f>
        <v>0</v>
      </c>
      <c r="AZ600" s="0" t="n">
        <f aca="false">IF(EH600&lt;&gt;"",1,0)</f>
        <v>0</v>
      </c>
      <c r="BB600" s="0" t="s">
        <v>152</v>
      </c>
    </row>
    <row r="601" customFormat="false" ht="13.8" hidden="true" customHeight="false" outlineLevel="0" collapsed="false">
      <c r="A601" s="0" t="s">
        <v>3145</v>
      </c>
      <c r="B601" s="0" t="n">
        <v>78</v>
      </c>
      <c r="C601" s="0" t="n">
        <v>327068</v>
      </c>
      <c r="D601" s="0" t="s">
        <v>3097</v>
      </c>
      <c r="E601" s="0" t="s">
        <v>3146</v>
      </c>
      <c r="F601" s="0" t="str">
        <f aca="false">CONCATENATE(D601," ",LEFT(H601,4),"T=",AU601,"D=",AV601,"R=",AW601,"M=",AX601,"L=",AY601,"B=",AZ601)</f>
        <v>ROBERTS T=1D=0R=0M=0L=0B=0</v>
      </c>
      <c r="G601" s="0" t="s">
        <v>190</v>
      </c>
      <c r="I601" s="0" t="s">
        <v>3147</v>
      </c>
      <c r="J601" s="0" t="s">
        <v>688</v>
      </c>
      <c r="K601" s="0" t="s">
        <v>143</v>
      </c>
      <c r="M601" s="0" t="s">
        <v>3144</v>
      </c>
      <c r="N601" s="0" t="str">
        <f aca="false">RIGHT(M601,LEN(M601)-FIND(" ",M601))</f>
        <v>ELM RD NE</v>
      </c>
      <c r="P601" s="0" t="s">
        <v>145</v>
      </c>
      <c r="Q601" s="0" t="s">
        <v>146</v>
      </c>
      <c r="R601" s="0" t="n">
        <v>44483</v>
      </c>
      <c r="AD601" s="0" t="s">
        <v>147</v>
      </c>
      <c r="AE601" s="0" t="s">
        <v>148</v>
      </c>
      <c r="AF601" s="0" t="s">
        <v>149</v>
      </c>
      <c r="AH601" s="0" t="n">
        <v>14</v>
      </c>
      <c r="AI601" s="0" t="n">
        <v>11</v>
      </c>
      <c r="AN601" s="0" t="s">
        <v>145</v>
      </c>
      <c r="AO601" s="0" t="s">
        <v>654</v>
      </c>
      <c r="AP601" s="0" t="s">
        <v>655</v>
      </c>
      <c r="AQ601" s="0" t="n">
        <v>9</v>
      </c>
      <c r="AR601" s="0" t="n">
        <v>64</v>
      </c>
      <c r="AS601" s="0" t="n">
        <v>32</v>
      </c>
      <c r="AU601" s="0" t="n">
        <f aca="false">COUNTA($BA$1396:$EH$1396)</f>
        <v>1</v>
      </c>
      <c r="AV601" s="0" t="n">
        <f aca="false">COUNTIF($BA$1396:$EH$1396,"D")</f>
        <v>0</v>
      </c>
      <c r="AW601" s="0" t="n">
        <f aca="false">COUNTIF($BA$1396:$EH$1396,"R")</f>
        <v>0</v>
      </c>
      <c r="AX601" s="0" t="n">
        <f aca="false">IF(BN601="D",1,0)+IF(BO601="D",1,0)+IF(BT601="D",1,0)+IF(BU601="D",1,0)+IF(BW601="D",1,0)+IF(CC601="D",1,0)+IF(CD601="D",1,0)+IF(CE601="D",1,0)+IF(CF601="D",1,0)+IF(CL601="D",1,0)+IF(CM601="D",1,0)+IF(CQ601="D",1,0)+IF(CR601="D",1,0)+IF(CS601="D",1,0)+IF(CW601="D",1,0)+IF(CX601="D",1,0)+IF(DD601="D",1,0)+IF(DE601="D",1,0)+IF(DJ601="D",1,0)+IF(DK601="D",1,0)+IF(DO601="D",1,0)+IF(DP601="D",1,0)+IF(DQ601="D",1,0)+IF(DW601="D",1,0)+IF(DZ601="D",1,0)+IF(EH601="D",1,0)</f>
        <v>0</v>
      </c>
      <c r="AY601" s="0" t="n">
        <f aca="false">COUNTIF(DU601:EH601, "&lt;&gt;")</f>
        <v>0</v>
      </c>
      <c r="AZ601" s="0" t="n">
        <f aca="false">IF(EH601&lt;&gt;"",1,0)</f>
        <v>0</v>
      </c>
      <c r="BB601" s="0" t="s">
        <v>152</v>
      </c>
      <c r="CP601" s="0" t="s">
        <v>153</v>
      </c>
      <c r="DC601" s="0" t="s">
        <v>153</v>
      </c>
      <c r="DI601" s="0" t="s">
        <v>153</v>
      </c>
      <c r="DN601" s="0" t="s">
        <v>153</v>
      </c>
    </row>
    <row r="602" customFormat="false" ht="13.8" hidden="true" customHeight="false" outlineLevel="0" collapsed="false">
      <c r="A602" s="0" t="s">
        <v>3148</v>
      </c>
      <c r="B602" s="0" t="n">
        <v>78</v>
      </c>
      <c r="C602" s="0" t="n">
        <v>419204</v>
      </c>
      <c r="D602" s="0" t="s">
        <v>3149</v>
      </c>
      <c r="E602" s="0" t="s">
        <v>752</v>
      </c>
      <c r="F602" s="0" t="str">
        <f aca="false">CONCATENATE(D602," ",LEFT(H602,4),"T=",AU602,"D=",AV602,"R=",AW602,"M=",AX602,"L=",AY602,"B=",AZ602)</f>
        <v>NICOSIA T=7D=1R=0M=0L=0B=0</v>
      </c>
      <c r="G602" s="0" t="s">
        <v>255</v>
      </c>
      <c r="I602" s="0" t="s">
        <v>3150</v>
      </c>
      <c r="J602" s="0" t="s">
        <v>3151</v>
      </c>
      <c r="K602" s="0" t="s">
        <v>143</v>
      </c>
      <c r="M602" s="0" t="s">
        <v>3144</v>
      </c>
      <c r="N602" s="0" t="str">
        <f aca="false">RIGHT(M602,LEN(M602)-FIND(" ",M602))</f>
        <v>ELM RD NE</v>
      </c>
      <c r="P602" s="0" t="s">
        <v>145</v>
      </c>
      <c r="Q602" s="0" t="s">
        <v>146</v>
      </c>
      <c r="R602" s="0" t="n">
        <v>44483</v>
      </c>
      <c r="AD602" s="0" t="s">
        <v>147</v>
      </c>
      <c r="AE602" s="0" t="s">
        <v>148</v>
      </c>
      <c r="AF602" s="0" t="s">
        <v>149</v>
      </c>
      <c r="AH602" s="0" t="n">
        <v>14</v>
      </c>
      <c r="AI602" s="0" t="n">
        <v>11</v>
      </c>
      <c r="AN602" s="0" t="s">
        <v>145</v>
      </c>
      <c r="AO602" s="0" t="s">
        <v>654</v>
      </c>
      <c r="AP602" s="0" t="s">
        <v>655</v>
      </c>
      <c r="AQ602" s="0" t="n">
        <v>9</v>
      </c>
      <c r="AR602" s="0" t="n">
        <v>64</v>
      </c>
      <c r="AS602" s="0" t="n">
        <v>32</v>
      </c>
      <c r="AU602" s="0" t="n">
        <f aca="false">COUNTA($BA$1846:$EH$1846)</f>
        <v>7</v>
      </c>
      <c r="AV602" s="0" t="n">
        <f aca="false">COUNTIF($BA$1846:$EH$1846,"D")</f>
        <v>1</v>
      </c>
      <c r="AW602" s="0" t="n">
        <f aca="false">COUNTIF($BA$1846:$EH$1846,"R")</f>
        <v>0</v>
      </c>
      <c r="AX602" s="0" t="n">
        <f aca="false">IF(BN602="D",1,0)+IF(BO602="D",1,0)+IF(BT602="D",1,0)+IF(BU602="D",1,0)+IF(BW602="D",1,0)+IF(CC602="D",1,0)+IF(CD602="D",1,0)+IF(CE602="D",1,0)+IF(CF602="D",1,0)+IF(CL602="D",1,0)+IF(CM602="D",1,0)+IF(CQ602="D",1,0)+IF(CR602="D",1,0)+IF(CS602="D",1,0)+IF(CW602="D",1,0)+IF(CX602="D",1,0)+IF(DD602="D",1,0)+IF(DE602="D",1,0)+IF(DJ602="D",1,0)+IF(DK602="D",1,0)+IF(DO602="D",1,0)+IF(DP602="D",1,0)+IF(DQ602="D",1,0)+IF(DW602="D",1,0)+IF(DZ602="D",1,0)+IF(EH602="D",1,0)</f>
        <v>0</v>
      </c>
      <c r="AY602" s="0" t="n">
        <f aca="false">COUNTIF(DU602:EH602, "&lt;&gt;")</f>
        <v>0</v>
      </c>
      <c r="AZ602" s="0" t="n">
        <f aca="false">IF(EH602&lt;&gt;"",1,0)</f>
        <v>0</v>
      </c>
      <c r="BB602" s="0" t="s">
        <v>152</v>
      </c>
    </row>
    <row r="603" customFormat="false" ht="13.8" hidden="true" customHeight="false" outlineLevel="0" collapsed="false">
      <c r="A603" s="0" t="s">
        <v>3152</v>
      </c>
      <c r="B603" s="0" t="n">
        <v>78</v>
      </c>
      <c r="C603" s="0" t="n">
        <v>431592</v>
      </c>
      <c r="D603" s="0" t="s">
        <v>3153</v>
      </c>
      <c r="E603" s="0" t="s">
        <v>275</v>
      </c>
      <c r="F603" s="0" t="str">
        <f aca="false">CONCATENATE(D603," ",LEFT(H603,4),"T=",AU603,"D=",AV603,"R=",AW603,"M=",AX603,"L=",AY603,"B=",AZ603)</f>
        <v>MACIAS T=17D=8R=0M=0L=0B=0</v>
      </c>
      <c r="G603" s="0" t="s">
        <v>379</v>
      </c>
      <c r="I603" s="0" t="s">
        <v>3154</v>
      </c>
      <c r="J603" s="0" t="s">
        <v>3155</v>
      </c>
      <c r="K603" s="0" t="s">
        <v>143</v>
      </c>
      <c r="M603" s="0" t="s">
        <v>3156</v>
      </c>
      <c r="N603" s="0" t="str">
        <f aca="false">RIGHT(M603,LEN(M603)-FIND(" ",M603))</f>
        <v>ELM RD NE</v>
      </c>
      <c r="P603" s="0" t="s">
        <v>145</v>
      </c>
      <c r="Q603" s="0" t="s">
        <v>146</v>
      </c>
      <c r="R603" s="0" t="n">
        <v>44483</v>
      </c>
      <c r="AD603" s="0" t="s">
        <v>147</v>
      </c>
      <c r="AE603" s="0" t="s">
        <v>148</v>
      </c>
      <c r="AF603" s="0" t="s">
        <v>149</v>
      </c>
      <c r="AH603" s="0" t="n">
        <v>14</v>
      </c>
      <c r="AI603" s="0" t="n">
        <v>11</v>
      </c>
      <c r="AN603" s="0" t="s">
        <v>145</v>
      </c>
      <c r="AO603" s="0" t="s">
        <v>654</v>
      </c>
      <c r="AP603" s="0" t="s">
        <v>655</v>
      </c>
      <c r="AQ603" s="0" t="n">
        <v>9</v>
      </c>
      <c r="AR603" s="0" t="n">
        <v>64</v>
      </c>
      <c r="AS603" s="0" t="n">
        <v>32</v>
      </c>
      <c r="AU603" s="0" t="n">
        <f aca="false">COUNTA($BA$1475:$EH$1475)</f>
        <v>17</v>
      </c>
      <c r="AV603" s="0" t="n">
        <f aca="false">COUNTIF($BA$1475:$EH$1475,"D")</f>
        <v>8</v>
      </c>
      <c r="AW603" s="0" t="n">
        <f aca="false">COUNTIF($BA$1475:$EH$1475,"R")</f>
        <v>0</v>
      </c>
      <c r="AX603" s="0" t="n">
        <f aca="false">IF(BN603="D",1,0)+IF(BO603="D",1,0)+IF(BT603="D",1,0)+IF(BU603="D",1,0)+IF(BW603="D",1,0)+IF(CC603="D",1,0)+IF(CD603="D",1,0)+IF(CE603="D",1,0)+IF(CF603="D",1,0)+IF(CL603="D",1,0)+IF(CM603="D",1,0)+IF(CQ603="D",1,0)+IF(CR603="D",1,0)+IF(CS603="D",1,0)+IF(CW603="D",1,0)+IF(CX603="D",1,0)+IF(DD603="D",1,0)+IF(DE603="D",1,0)+IF(DJ603="D",1,0)+IF(DK603="D",1,0)+IF(DO603="D",1,0)+IF(DP603="D",1,0)+IF(DQ603="D",1,0)+IF(DW603="D",1,0)+IF(DZ603="D",1,0)+IF(EH603="D",1,0)</f>
        <v>0</v>
      </c>
      <c r="AY603" s="0" t="n">
        <f aca="false">COUNTIF(DU603:EH603, "&lt;&gt;")</f>
        <v>0</v>
      </c>
      <c r="AZ603" s="0" t="n">
        <f aca="false">IF(EH603&lt;&gt;"",1,0)</f>
        <v>0</v>
      </c>
      <c r="BB603" s="0" t="s">
        <v>152</v>
      </c>
    </row>
    <row r="604" customFormat="false" ht="13.8" hidden="true" customHeight="false" outlineLevel="0" collapsed="false">
      <c r="A604" s="0" t="s">
        <v>3157</v>
      </c>
      <c r="B604" s="0" t="n">
        <v>78</v>
      </c>
      <c r="C604" s="0" t="n">
        <v>446703</v>
      </c>
      <c r="D604" s="0" t="s">
        <v>3158</v>
      </c>
      <c r="E604" s="0" t="s">
        <v>2353</v>
      </c>
      <c r="F604" s="0" t="str">
        <f aca="false">CONCATENATE(D604," ",LEFT(H604,4),"T=",AU604,"D=",AV604,"R=",AW604,"M=",AX604,"L=",AY604,"B=",AZ604)</f>
        <v>SCHULER T=11D=1R=0M=0L=0B=0</v>
      </c>
      <c r="G604" s="0" t="s">
        <v>1943</v>
      </c>
      <c r="I604" s="0" t="s">
        <v>3159</v>
      </c>
      <c r="J604" s="0" t="s">
        <v>3160</v>
      </c>
      <c r="K604" s="0" t="s">
        <v>143</v>
      </c>
      <c r="M604" s="0" t="s">
        <v>3156</v>
      </c>
      <c r="N604" s="0" t="str">
        <f aca="false">RIGHT(M604,LEN(M604)-FIND(" ",M604))</f>
        <v>ELM RD NE</v>
      </c>
      <c r="P604" s="0" t="s">
        <v>145</v>
      </c>
      <c r="Q604" s="0" t="s">
        <v>146</v>
      </c>
      <c r="R604" s="0" t="n">
        <v>44483</v>
      </c>
      <c r="AD604" s="0" t="s">
        <v>147</v>
      </c>
      <c r="AE604" s="0" t="s">
        <v>148</v>
      </c>
      <c r="AF604" s="0" t="s">
        <v>149</v>
      </c>
      <c r="AH604" s="0" t="n">
        <v>14</v>
      </c>
      <c r="AI604" s="0" t="n">
        <v>11</v>
      </c>
      <c r="AN604" s="0" t="s">
        <v>145</v>
      </c>
      <c r="AO604" s="0" t="s">
        <v>654</v>
      </c>
      <c r="AP604" s="0" t="s">
        <v>655</v>
      </c>
      <c r="AQ604" s="0" t="n">
        <v>9</v>
      </c>
      <c r="AR604" s="0" t="n">
        <v>64</v>
      </c>
      <c r="AS604" s="0" t="n">
        <v>32</v>
      </c>
      <c r="AU604" s="0" t="n">
        <f aca="false">COUNTA($BA$1930:$EH$1930)</f>
        <v>11</v>
      </c>
      <c r="AV604" s="0" t="n">
        <f aca="false">COUNTIF($BA$1930:$EH$1930,"D")</f>
        <v>1</v>
      </c>
      <c r="AW604" s="0" t="n">
        <f aca="false">COUNTIF($BA$1930:$EH$1930,"R")</f>
        <v>0</v>
      </c>
      <c r="AX604" s="0" t="n">
        <f aca="false">IF(BN604="D",1,0)+IF(BO604="D",1,0)+IF(BT604="D",1,0)+IF(BU604="D",1,0)+IF(BW604="D",1,0)+IF(CC604="D",1,0)+IF(CD604="D",1,0)+IF(CE604="D",1,0)+IF(CF604="D",1,0)+IF(CL604="D",1,0)+IF(CM604="D",1,0)+IF(CQ604="D",1,0)+IF(CR604="D",1,0)+IF(CS604="D",1,0)+IF(CW604="D",1,0)+IF(CX604="D",1,0)+IF(DD604="D",1,0)+IF(DE604="D",1,0)+IF(DJ604="D",1,0)+IF(DK604="D",1,0)+IF(DO604="D",1,0)+IF(DP604="D",1,0)+IF(DQ604="D",1,0)+IF(DW604="D",1,0)+IF(DZ604="D",1,0)+IF(EH604="D",1,0)</f>
        <v>0</v>
      </c>
      <c r="AY604" s="0" t="n">
        <f aca="false">COUNTIF(DU604:EH604, "&lt;&gt;")</f>
        <v>0</v>
      </c>
      <c r="AZ604" s="0" t="n">
        <f aca="false">IF(EH604&lt;&gt;"",1,0)</f>
        <v>0</v>
      </c>
      <c r="BB604" s="0" t="s">
        <v>152</v>
      </c>
    </row>
    <row r="605" customFormat="false" ht="13.8" hidden="true" customHeight="false" outlineLevel="0" collapsed="false">
      <c r="A605" s="0" t="s">
        <v>3161</v>
      </c>
      <c r="B605" s="0" t="n">
        <v>78</v>
      </c>
      <c r="C605" s="0" t="n">
        <v>412040</v>
      </c>
      <c r="D605" s="0" t="s">
        <v>356</v>
      </c>
      <c r="E605" s="0" t="s">
        <v>3162</v>
      </c>
      <c r="F605" s="0" t="str">
        <f aca="false">CONCATENATE(D605," ",LEFT(H605,4),"T=",AU605,"D=",AV605,"R=",AW605,"M=",AX605,"L=",AY605,"B=",AZ605)</f>
        <v>NOLAN T=7D=1R=0M=0L=0B=0</v>
      </c>
      <c r="G605" s="0" t="s">
        <v>1128</v>
      </c>
      <c r="I605" s="0" t="s">
        <v>3163</v>
      </c>
      <c r="J605" s="0" t="s">
        <v>3164</v>
      </c>
      <c r="K605" s="0" t="s">
        <v>160</v>
      </c>
      <c r="M605" s="0" t="s">
        <v>3156</v>
      </c>
      <c r="N605" s="0" t="str">
        <f aca="false">RIGHT(M605,LEN(M605)-FIND(" ",M605))</f>
        <v>ELM RD NE</v>
      </c>
      <c r="P605" s="0" t="s">
        <v>145</v>
      </c>
      <c r="Q605" s="0" t="s">
        <v>146</v>
      </c>
      <c r="R605" s="0" t="n">
        <v>44483</v>
      </c>
      <c r="AD605" s="0" t="s">
        <v>147</v>
      </c>
      <c r="AE605" s="0" t="s">
        <v>148</v>
      </c>
      <c r="AF605" s="0" t="s">
        <v>149</v>
      </c>
      <c r="AH605" s="0" t="n">
        <v>14</v>
      </c>
      <c r="AI605" s="0" t="n">
        <v>11</v>
      </c>
      <c r="AN605" s="0" t="s">
        <v>145</v>
      </c>
      <c r="AO605" s="0" t="s">
        <v>654</v>
      </c>
      <c r="AP605" s="0" t="s">
        <v>655</v>
      </c>
      <c r="AQ605" s="0" t="n">
        <v>9</v>
      </c>
      <c r="AR605" s="0" t="n">
        <v>64</v>
      </c>
      <c r="AS605" s="0" t="n">
        <v>32</v>
      </c>
      <c r="AU605" s="0" t="n">
        <f aca="false">COUNTA($BA$1977:$EH$1977)</f>
        <v>7</v>
      </c>
      <c r="AV605" s="0" t="n">
        <f aca="false">COUNTIF($BA$1977:$EH$1977,"D")</f>
        <v>1</v>
      </c>
      <c r="AW605" s="0" t="n">
        <f aca="false">COUNTIF($BA$1977:$EH$1977,"R")</f>
        <v>0</v>
      </c>
      <c r="AX605" s="0" t="n">
        <f aca="false">IF(BN605="D",1,0)+IF(BO605="D",1,0)+IF(BT605="D",1,0)+IF(BU605="D",1,0)+IF(BW605="D",1,0)+IF(CC605="D",1,0)+IF(CD605="D",1,0)+IF(CE605="D",1,0)+IF(CF605="D",1,0)+IF(CL605="D",1,0)+IF(CM605="D",1,0)+IF(CQ605="D",1,0)+IF(CR605="D",1,0)+IF(CS605="D",1,0)+IF(CW605="D",1,0)+IF(CX605="D",1,0)+IF(DD605="D",1,0)+IF(DE605="D",1,0)+IF(DJ605="D",1,0)+IF(DK605="D",1,0)+IF(DO605="D",1,0)+IF(DP605="D",1,0)+IF(DQ605="D",1,0)+IF(DW605="D",1,0)+IF(DZ605="D",1,0)+IF(EH605="D",1,0)</f>
        <v>0</v>
      </c>
      <c r="AY605" s="0" t="n">
        <f aca="false">COUNTIF(DU605:EH605, "&lt;&gt;")</f>
        <v>0</v>
      </c>
      <c r="AZ605" s="0" t="n">
        <f aca="false">IF(EH605&lt;&gt;"",1,0)</f>
        <v>0</v>
      </c>
      <c r="BB605" s="0" t="s">
        <v>152</v>
      </c>
    </row>
    <row r="606" customFormat="false" ht="13.8" hidden="true" customHeight="false" outlineLevel="0" collapsed="false">
      <c r="A606" s="0" t="s">
        <v>3165</v>
      </c>
      <c r="B606" s="0" t="n">
        <v>78</v>
      </c>
      <c r="C606" s="0" t="n">
        <v>483978</v>
      </c>
      <c r="D606" s="0" t="s">
        <v>3166</v>
      </c>
      <c r="E606" s="0" t="s">
        <v>3167</v>
      </c>
      <c r="F606" s="0" t="str">
        <f aca="false">CONCATENATE(D606," ",LEFT(H606,4),"T=",AU606,"D=",AV606,"R=",AW606,"M=",AX606,"L=",AY606,"B=",AZ606)</f>
        <v>ENGSTER T=2D=0R=0M=0L=1B=0</v>
      </c>
      <c r="G606" s="0" t="s">
        <v>325</v>
      </c>
      <c r="I606" s="0" t="s">
        <v>3168</v>
      </c>
      <c r="J606" s="0" t="s">
        <v>3169</v>
      </c>
      <c r="K606" s="0" t="s">
        <v>160</v>
      </c>
      <c r="M606" s="0" t="s">
        <v>3170</v>
      </c>
      <c r="N606" s="0" t="str">
        <f aca="false">RIGHT(M606,LEN(M606)-FIND(" ",M606))</f>
        <v>ELM RD NE</v>
      </c>
      <c r="P606" s="0" t="s">
        <v>145</v>
      </c>
      <c r="Q606" s="0" t="s">
        <v>146</v>
      </c>
      <c r="R606" s="0" t="n">
        <v>44483</v>
      </c>
      <c r="AD606" s="0" t="s">
        <v>147</v>
      </c>
      <c r="AE606" s="0" t="s">
        <v>148</v>
      </c>
      <c r="AF606" s="0" t="s">
        <v>149</v>
      </c>
      <c r="AH606" s="0" t="n">
        <v>14</v>
      </c>
      <c r="AI606" s="0" t="n">
        <v>11</v>
      </c>
      <c r="AN606" s="0" t="s">
        <v>145</v>
      </c>
      <c r="AO606" s="0" t="s">
        <v>654</v>
      </c>
      <c r="AP606" s="0" t="s">
        <v>655</v>
      </c>
      <c r="AQ606" s="0" t="n">
        <v>9</v>
      </c>
      <c r="AR606" s="0" t="n">
        <v>64</v>
      </c>
      <c r="AS606" s="0" t="n">
        <v>32</v>
      </c>
      <c r="AU606" s="0" t="n">
        <f aca="false">COUNTA($BA$1429:$EH$1429)</f>
        <v>2</v>
      </c>
      <c r="AV606" s="0" t="n">
        <f aca="false">COUNTIF($BA$1429:$EH$1429,"D")</f>
        <v>0</v>
      </c>
      <c r="AW606" s="0" t="n">
        <f aca="false">COUNTIF($BA$1429:$EH$1429,"R")</f>
        <v>0</v>
      </c>
      <c r="AX606" s="0" t="n">
        <f aca="false">IF(BN606="D",1,0)+IF(BO606="D",1,0)+IF(BT606="D",1,0)+IF(BU606="D",1,0)+IF(BW606="D",1,0)+IF(CC606="D",1,0)+IF(CD606="D",1,0)+IF(CE606="D",1,0)+IF(CF606="D",1,0)+IF(CL606="D",1,0)+IF(CM606="D",1,0)+IF(CQ606="D",1,0)+IF(CR606="D",1,0)+IF(CS606="D",1,0)+IF(CW606="D",1,0)+IF(CX606="D",1,0)+IF(DD606="D",1,0)+IF(DE606="D",1,0)+IF(DJ606="D",1,0)+IF(DK606="D",1,0)+IF(DO606="D",1,0)+IF(DP606="D",1,0)+IF(DQ606="D",1,0)+IF(DW606="D",1,0)+IF(DZ606="D",1,0)+IF(EH606="D",1,0)</f>
        <v>0</v>
      </c>
      <c r="AY606" s="0" t="n">
        <f aca="false">COUNTIF(DU606:EH606, "&lt;&gt;")</f>
        <v>1</v>
      </c>
      <c r="AZ606" s="0" t="n">
        <f aca="false">IF(EH606&lt;&gt;"",1,0)</f>
        <v>0</v>
      </c>
      <c r="BB606" s="0" t="s">
        <v>152</v>
      </c>
      <c r="EF606" s="0" t="s">
        <v>153</v>
      </c>
    </row>
    <row r="607" customFormat="false" ht="13.8" hidden="true" customHeight="false" outlineLevel="0" collapsed="false">
      <c r="A607" s="0" t="s">
        <v>3171</v>
      </c>
      <c r="B607" s="0" t="n">
        <v>78</v>
      </c>
      <c r="C607" s="0" t="n">
        <v>496101</v>
      </c>
      <c r="D607" s="0" t="s">
        <v>2523</v>
      </c>
      <c r="E607" s="0" t="s">
        <v>3172</v>
      </c>
      <c r="F607" s="0" t="str">
        <f aca="false">CONCATENATE(D607," ",LEFT(H607,4),"T=",AU607,"D=",AV607,"R=",AW607,"M=",AX607,"L=",AY607,"B=",AZ607)</f>
        <v>HARRIS T=29D=6R=0M=0L=0B=0</v>
      </c>
      <c r="G607" s="0" t="s">
        <v>268</v>
      </c>
      <c r="I607" s="0" t="s">
        <v>3173</v>
      </c>
      <c r="J607" s="0" t="s">
        <v>3174</v>
      </c>
      <c r="K607" s="0" t="s">
        <v>160</v>
      </c>
      <c r="M607" s="0" t="s">
        <v>3175</v>
      </c>
      <c r="N607" s="0" t="str">
        <f aca="false">RIGHT(M607,LEN(M607)-FIND(" ",M607))</f>
        <v>ELM RD NE</v>
      </c>
      <c r="P607" s="0" t="s">
        <v>145</v>
      </c>
      <c r="Q607" s="0" t="s">
        <v>146</v>
      </c>
      <c r="R607" s="0" t="n">
        <v>44483</v>
      </c>
      <c r="AD607" s="0" t="s">
        <v>147</v>
      </c>
      <c r="AE607" s="0" t="s">
        <v>148</v>
      </c>
      <c r="AF607" s="0" t="s">
        <v>149</v>
      </c>
      <c r="AH607" s="0" t="n">
        <v>14</v>
      </c>
      <c r="AI607" s="0" t="n">
        <v>11</v>
      </c>
      <c r="AN607" s="0" t="s">
        <v>145</v>
      </c>
      <c r="AO607" s="0" t="s">
        <v>654</v>
      </c>
      <c r="AP607" s="0" t="s">
        <v>655</v>
      </c>
      <c r="AQ607" s="0" t="n">
        <v>9</v>
      </c>
      <c r="AR607" s="0" t="n">
        <v>64</v>
      </c>
      <c r="AS607" s="0" t="n">
        <v>32</v>
      </c>
      <c r="AU607" s="0" t="n">
        <f aca="false">COUNTA($BA$1332:$EH$1332)</f>
        <v>29</v>
      </c>
      <c r="AV607" s="0" t="n">
        <f aca="false">COUNTIF($BA$1332:$EH$1332,"D")</f>
        <v>6</v>
      </c>
      <c r="AW607" s="0" t="n">
        <f aca="false">COUNTIF($BA$1332:$EH$1332,"R")</f>
        <v>0</v>
      </c>
      <c r="AX607" s="0" t="n">
        <f aca="false">IF(BN607="D",1,0)+IF(BO607="D",1,0)+IF(BT607="D",1,0)+IF(BU607="D",1,0)+IF(BW607="D",1,0)+IF(CC607="D",1,0)+IF(CD607="D",1,0)+IF(CE607="D",1,0)+IF(CF607="D",1,0)+IF(CL607="D",1,0)+IF(CM607="D",1,0)+IF(CQ607="D",1,0)+IF(CR607="D",1,0)+IF(CS607="D",1,0)+IF(CW607="D",1,0)+IF(CX607="D",1,0)+IF(DD607="D",1,0)+IF(DE607="D",1,0)+IF(DJ607="D",1,0)+IF(DK607="D",1,0)+IF(DO607="D",1,0)+IF(DP607="D",1,0)+IF(DQ607="D",1,0)+IF(DW607="D",1,0)+IF(DZ607="D",1,0)+IF(EH607="D",1,0)</f>
        <v>0</v>
      </c>
      <c r="AY607" s="0" t="n">
        <f aca="false">COUNTIF(DU607:EH607, "&lt;&gt;")</f>
        <v>0</v>
      </c>
      <c r="AZ607" s="0" t="n">
        <f aca="false">IF(EH607&lt;&gt;"",1,0)</f>
        <v>0</v>
      </c>
      <c r="BB607" s="0" t="s">
        <v>152</v>
      </c>
      <c r="DC607" s="0" t="s">
        <v>153</v>
      </c>
    </row>
    <row r="608" customFormat="false" ht="13.8" hidden="true" customHeight="false" outlineLevel="0" collapsed="false">
      <c r="A608" s="0" t="s">
        <v>3176</v>
      </c>
      <c r="B608" s="0" t="n">
        <v>78</v>
      </c>
      <c r="C608" s="0" t="n">
        <v>433880</v>
      </c>
      <c r="D608" s="0" t="s">
        <v>3177</v>
      </c>
      <c r="E608" s="0" t="s">
        <v>3178</v>
      </c>
      <c r="F608" s="0" t="str">
        <f aca="false">CONCATENATE(D608," ",LEFT(H608,4),"T=",AU608,"D=",AV608,"R=",AW608,"M=",AX608,"L=",AY608,"B=",AZ608)</f>
        <v>MURRAY T=1D=0R=0M=0L=0B=0</v>
      </c>
      <c r="G608" s="0" t="s">
        <v>190</v>
      </c>
      <c r="I608" s="0" t="s">
        <v>3179</v>
      </c>
      <c r="J608" s="0" t="s">
        <v>3180</v>
      </c>
      <c r="K608" s="0" t="s">
        <v>143</v>
      </c>
      <c r="M608" s="0" t="s">
        <v>3181</v>
      </c>
      <c r="N608" s="0" t="str">
        <f aca="false">RIGHT(M608,LEN(M608)-FIND(" ",M608))</f>
        <v>ELM RD NE</v>
      </c>
      <c r="P608" s="0" t="s">
        <v>145</v>
      </c>
      <c r="Q608" s="0" t="s">
        <v>146</v>
      </c>
      <c r="R608" s="0" t="n">
        <v>44483</v>
      </c>
      <c r="AD608" s="0" t="s">
        <v>147</v>
      </c>
      <c r="AE608" s="0" t="s">
        <v>148</v>
      </c>
      <c r="AF608" s="0" t="s">
        <v>149</v>
      </c>
      <c r="AH608" s="0" t="n">
        <v>14</v>
      </c>
      <c r="AI608" s="0" t="n">
        <v>11</v>
      </c>
      <c r="AN608" s="0" t="s">
        <v>145</v>
      </c>
      <c r="AO608" s="0" t="s">
        <v>654</v>
      </c>
      <c r="AP608" s="0" t="s">
        <v>655</v>
      </c>
      <c r="AQ608" s="0" t="n">
        <v>9</v>
      </c>
      <c r="AR608" s="0" t="n">
        <v>64</v>
      </c>
      <c r="AS608" s="0" t="n">
        <v>32</v>
      </c>
      <c r="AU608" s="0" t="n">
        <f aca="false">COUNTA($BA$1510:$EH$1510)</f>
        <v>1</v>
      </c>
      <c r="AV608" s="0" t="n">
        <f aca="false">COUNTIF($BA$1510:$EH$1510,"D")</f>
        <v>0</v>
      </c>
      <c r="AW608" s="0" t="n">
        <f aca="false">COUNTIF($BA$1510:$EH$1510,"R")</f>
        <v>0</v>
      </c>
      <c r="AX608" s="0" t="n">
        <f aca="false">IF(BN608="D",1,0)+IF(BO608="D",1,0)+IF(BT608="D",1,0)+IF(BU608="D",1,0)+IF(BW608="D",1,0)+IF(CC608="D",1,0)+IF(CD608="D",1,0)+IF(CE608="D",1,0)+IF(CF608="D",1,0)+IF(CL608="D",1,0)+IF(CM608="D",1,0)+IF(CQ608="D",1,0)+IF(CR608="D",1,0)+IF(CS608="D",1,0)+IF(CW608="D",1,0)+IF(CX608="D",1,0)+IF(DD608="D",1,0)+IF(DE608="D",1,0)+IF(DJ608="D",1,0)+IF(DK608="D",1,0)+IF(DO608="D",1,0)+IF(DP608="D",1,0)+IF(DQ608="D",1,0)+IF(DW608="D",1,0)+IF(DZ608="D",1,0)+IF(EH608="D",1,0)</f>
        <v>0</v>
      </c>
      <c r="AY608" s="0" t="n">
        <f aca="false">COUNTIF(DU608:EH608, "&lt;&gt;")</f>
        <v>0</v>
      </c>
      <c r="AZ608" s="0" t="n">
        <f aca="false">IF(EH608&lt;&gt;"",1,0)</f>
        <v>0</v>
      </c>
      <c r="BB608" s="0" t="s">
        <v>152</v>
      </c>
    </row>
    <row r="609" customFormat="false" ht="13.8" hidden="true" customHeight="false" outlineLevel="0" collapsed="false">
      <c r="A609" s="0" t="s">
        <v>3182</v>
      </c>
      <c r="B609" s="0" t="n">
        <v>78</v>
      </c>
      <c r="C609" s="0" t="n">
        <v>422743</v>
      </c>
      <c r="D609" s="0" t="s">
        <v>3183</v>
      </c>
      <c r="E609" s="0" t="s">
        <v>517</v>
      </c>
      <c r="F609" s="0" t="str">
        <f aca="false">CONCATENATE(D609," ",LEFT(H609,4),"T=",AU609,"D=",AV609,"R=",AW609,"M=",AX609,"L=",AY609,"B=",AZ609)</f>
        <v>KROTZER T=8D=0R=0M=0L=0B=0</v>
      </c>
      <c r="G609" s="0" t="s">
        <v>190</v>
      </c>
      <c r="I609" s="0" t="s">
        <v>3184</v>
      </c>
      <c r="J609" s="0" t="s">
        <v>507</v>
      </c>
      <c r="K609" s="0" t="s">
        <v>160</v>
      </c>
      <c r="M609" s="0" t="s">
        <v>3185</v>
      </c>
      <c r="N609" s="0" t="str">
        <f aca="false">RIGHT(M609,LEN(M609)-FIND(" ",M609))</f>
        <v>ELM RD NE</v>
      </c>
      <c r="O609" s="0" t="s">
        <v>3186</v>
      </c>
      <c r="P609" s="0" t="s">
        <v>145</v>
      </c>
      <c r="Q609" s="0" t="s">
        <v>146</v>
      </c>
      <c r="R609" s="0" t="n">
        <v>44483</v>
      </c>
      <c r="AD609" s="0" t="s">
        <v>147</v>
      </c>
      <c r="AE609" s="0" t="s">
        <v>148</v>
      </c>
      <c r="AF609" s="0" t="s">
        <v>149</v>
      </c>
      <c r="AH609" s="0" t="n">
        <v>14</v>
      </c>
      <c r="AI609" s="0" t="n">
        <v>11</v>
      </c>
      <c r="AN609" s="0" t="s">
        <v>145</v>
      </c>
      <c r="AO609" s="0" t="s">
        <v>654</v>
      </c>
      <c r="AP609" s="0" t="s">
        <v>655</v>
      </c>
      <c r="AQ609" s="0" t="n">
        <v>9</v>
      </c>
      <c r="AR609" s="0" t="n">
        <v>64</v>
      </c>
      <c r="AS609" s="0" t="n">
        <v>32</v>
      </c>
      <c r="AU609" s="0" t="n">
        <f aca="false">COUNTA($BA$1665:$EH$1665)</f>
        <v>8</v>
      </c>
      <c r="AV609" s="0" t="n">
        <f aca="false">COUNTIF($BA$1665:$EH$1665,"D")</f>
        <v>0</v>
      </c>
      <c r="AW609" s="0" t="n">
        <f aca="false">COUNTIF($BA$1665:$EH$1665,"R")</f>
        <v>0</v>
      </c>
      <c r="AX609" s="0" t="n">
        <f aca="false">IF(BN609="D",1,0)+IF(BO609="D",1,0)+IF(BT609="D",1,0)+IF(BU609="D",1,0)+IF(BW609="D",1,0)+IF(CC609="D",1,0)+IF(CD609="D",1,0)+IF(CE609="D",1,0)+IF(CF609="D",1,0)+IF(CL609="D",1,0)+IF(CM609="D",1,0)+IF(CQ609="D",1,0)+IF(CR609="D",1,0)+IF(CS609="D",1,0)+IF(CW609="D",1,0)+IF(CX609="D",1,0)+IF(DD609="D",1,0)+IF(DE609="D",1,0)+IF(DJ609="D",1,0)+IF(DK609="D",1,0)+IF(DO609="D",1,0)+IF(DP609="D",1,0)+IF(DQ609="D",1,0)+IF(DW609="D",1,0)+IF(DZ609="D",1,0)+IF(EH609="D",1,0)</f>
        <v>0</v>
      </c>
      <c r="AY609" s="0" t="n">
        <f aca="false">COUNTIF(DU609:EH609, "&lt;&gt;")</f>
        <v>0</v>
      </c>
      <c r="AZ609" s="0" t="n">
        <f aca="false">IF(EH609&lt;&gt;"",1,0)</f>
        <v>0</v>
      </c>
      <c r="BB609" s="0" t="s">
        <v>152</v>
      </c>
      <c r="CA609" s="0" t="s">
        <v>153</v>
      </c>
      <c r="CY609" s="0" t="s">
        <v>153</v>
      </c>
      <c r="DC609" s="0" t="s">
        <v>153</v>
      </c>
      <c r="DI609" s="0" t="s">
        <v>153</v>
      </c>
      <c r="DN609" s="0" t="s">
        <v>153</v>
      </c>
    </row>
    <row r="610" customFormat="false" ht="13.8" hidden="true" customHeight="false" outlineLevel="0" collapsed="false">
      <c r="A610" s="0" t="s">
        <v>3187</v>
      </c>
      <c r="B610" s="0" t="n">
        <v>78</v>
      </c>
      <c r="C610" s="0" t="n">
        <v>450635</v>
      </c>
      <c r="D610" s="0" t="s">
        <v>3188</v>
      </c>
      <c r="E610" s="0" t="s">
        <v>3189</v>
      </c>
      <c r="F610" s="0" t="str">
        <f aca="false">CONCATENATE(D610," ",LEFT(H610,4),"T=",AU610,"D=",AV610,"R=",AW610,"M=",AX610,"L=",AY610,"B=",AZ610)</f>
        <v>LATRONICA T=9D=0R=0M=0L=0B=0</v>
      </c>
      <c r="G610" s="0" t="s">
        <v>824</v>
      </c>
      <c r="I610" s="0" t="s">
        <v>3190</v>
      </c>
      <c r="J610" s="0" t="s">
        <v>3191</v>
      </c>
      <c r="K610" s="0" t="s">
        <v>143</v>
      </c>
      <c r="M610" s="0" t="s">
        <v>3185</v>
      </c>
      <c r="N610" s="0" t="str">
        <f aca="false">RIGHT(M610,LEN(M610)-FIND(" ",M610))</f>
        <v>ELM RD NE</v>
      </c>
      <c r="P610" s="0" t="s">
        <v>145</v>
      </c>
      <c r="Q610" s="0" t="s">
        <v>146</v>
      </c>
      <c r="R610" s="0" t="n">
        <v>44483</v>
      </c>
      <c r="AD610" s="0" t="s">
        <v>147</v>
      </c>
      <c r="AE610" s="0" t="s">
        <v>148</v>
      </c>
      <c r="AF610" s="0" t="s">
        <v>149</v>
      </c>
      <c r="AH610" s="0" t="n">
        <v>14</v>
      </c>
      <c r="AI610" s="0" t="n">
        <v>11</v>
      </c>
      <c r="AN610" s="0" t="s">
        <v>145</v>
      </c>
      <c r="AO610" s="0" t="s">
        <v>654</v>
      </c>
      <c r="AP610" s="0" t="s">
        <v>655</v>
      </c>
      <c r="AQ610" s="0" t="n">
        <v>9</v>
      </c>
      <c r="AR610" s="0" t="n">
        <v>64</v>
      </c>
      <c r="AS610" s="0" t="n">
        <v>32</v>
      </c>
      <c r="AU610" s="0" t="n">
        <f aca="false">COUNTA($BA$1804:$EH$1804)</f>
        <v>9</v>
      </c>
      <c r="AV610" s="0" t="n">
        <f aca="false">COUNTIF($BA$1804:$EH$1804,"D")</f>
        <v>0</v>
      </c>
      <c r="AW610" s="0" t="n">
        <f aca="false">COUNTIF($BA$1804:$EH$1804,"R")</f>
        <v>0</v>
      </c>
      <c r="AX610" s="0" t="n">
        <f aca="false">IF(BN610="D",1,0)+IF(BO610="D",1,0)+IF(BT610="D",1,0)+IF(BU610="D",1,0)+IF(BW610="D",1,0)+IF(CC610="D",1,0)+IF(CD610="D",1,0)+IF(CE610="D",1,0)+IF(CF610="D",1,0)+IF(CL610="D",1,0)+IF(CM610="D",1,0)+IF(CQ610="D",1,0)+IF(CR610="D",1,0)+IF(CS610="D",1,0)+IF(CW610="D",1,0)+IF(CX610="D",1,0)+IF(DD610="D",1,0)+IF(DE610="D",1,0)+IF(DJ610="D",1,0)+IF(DK610="D",1,0)+IF(DO610="D",1,0)+IF(DP610="D",1,0)+IF(DQ610="D",1,0)+IF(DW610="D",1,0)+IF(DZ610="D",1,0)+IF(EH610="D",1,0)</f>
        <v>0</v>
      </c>
      <c r="AY610" s="0" t="n">
        <f aca="false">COUNTIF(DU610:EH610, "&lt;&gt;")</f>
        <v>0</v>
      </c>
      <c r="AZ610" s="0" t="n">
        <f aca="false">IF(EH610&lt;&gt;"",1,0)</f>
        <v>0</v>
      </c>
      <c r="BB610" s="0" t="s">
        <v>152</v>
      </c>
      <c r="DN610" s="0" t="s">
        <v>153</v>
      </c>
    </row>
    <row r="611" customFormat="false" ht="13.8" hidden="true" customHeight="false" outlineLevel="0" collapsed="false">
      <c r="A611" s="0" t="s">
        <v>3192</v>
      </c>
      <c r="B611" s="0" t="n">
        <v>78</v>
      </c>
      <c r="C611" s="0" t="n">
        <v>487159</v>
      </c>
      <c r="D611" s="0" t="s">
        <v>3193</v>
      </c>
      <c r="E611" s="0" t="s">
        <v>1699</v>
      </c>
      <c r="F611" s="0" t="str">
        <f aca="false">CONCATENATE(D611," ",LEFT(H611,4),"T=",AU611,"D=",AV611,"R=",AW611,"M=",AX611,"L=",AY611,"B=",AZ611)</f>
        <v>CARTER T=5D=0R=0M=0L=0B=0</v>
      </c>
      <c r="G611" s="0" t="s">
        <v>175</v>
      </c>
      <c r="I611" s="0" t="s">
        <v>3194</v>
      </c>
      <c r="J611" s="0" t="s">
        <v>639</v>
      </c>
      <c r="K611" s="0" t="s">
        <v>143</v>
      </c>
      <c r="M611" s="0" t="s">
        <v>3195</v>
      </c>
      <c r="N611" s="0" t="str">
        <f aca="false">RIGHT(M611,LEN(M611)-FIND(" ",M611))</f>
        <v>ELM RD NE</v>
      </c>
      <c r="P611" s="0" t="s">
        <v>145</v>
      </c>
      <c r="Q611" s="0" t="s">
        <v>146</v>
      </c>
      <c r="R611" s="0" t="n">
        <v>44483</v>
      </c>
      <c r="AD611" s="0" t="s">
        <v>147</v>
      </c>
      <c r="AE611" s="0" t="s">
        <v>148</v>
      </c>
      <c r="AF611" s="0" t="s">
        <v>149</v>
      </c>
      <c r="AH611" s="0" t="n">
        <v>14</v>
      </c>
      <c r="AI611" s="0" t="n">
        <v>11</v>
      </c>
      <c r="AN611" s="0" t="s">
        <v>145</v>
      </c>
      <c r="AO611" s="0" t="s">
        <v>654</v>
      </c>
      <c r="AP611" s="0" t="s">
        <v>655</v>
      </c>
      <c r="AQ611" s="0" t="n">
        <v>9</v>
      </c>
      <c r="AR611" s="0" t="n">
        <v>64</v>
      </c>
      <c r="AS611" s="0" t="n">
        <v>32</v>
      </c>
      <c r="AU611" s="0" t="n">
        <f aca="false">COUNTA($BA$1559:$EH$1559)</f>
        <v>5</v>
      </c>
      <c r="AV611" s="0" t="n">
        <f aca="false">COUNTIF($BA$1559:$EH$1559,"D")</f>
        <v>0</v>
      </c>
      <c r="AW611" s="0" t="n">
        <f aca="false">COUNTIF($BA$1559:$EH$1559,"R")</f>
        <v>0</v>
      </c>
      <c r="AX611" s="0" t="n">
        <f aca="false">IF(BN611="D",1,0)+IF(BO611="D",1,0)+IF(BT611="D",1,0)+IF(BU611="D",1,0)+IF(BW611="D",1,0)+IF(CC611="D",1,0)+IF(CD611="D",1,0)+IF(CE611="D",1,0)+IF(CF611="D",1,0)+IF(CL611="D",1,0)+IF(CM611="D",1,0)+IF(CQ611="D",1,0)+IF(CR611="D",1,0)+IF(CS611="D",1,0)+IF(CW611="D",1,0)+IF(CX611="D",1,0)+IF(DD611="D",1,0)+IF(DE611="D",1,0)+IF(DJ611="D",1,0)+IF(DK611="D",1,0)+IF(DO611="D",1,0)+IF(DP611="D",1,0)+IF(DQ611="D",1,0)+IF(DW611="D",1,0)+IF(DZ611="D",1,0)+IF(EH611="D",1,0)</f>
        <v>0</v>
      </c>
      <c r="AY611" s="0" t="n">
        <f aca="false">COUNTIF(DU611:EH611, "&lt;&gt;")</f>
        <v>0</v>
      </c>
      <c r="AZ611" s="0" t="n">
        <f aca="false">IF(EH611&lt;&gt;"",1,0)</f>
        <v>0</v>
      </c>
      <c r="BB611" s="0" t="s">
        <v>152</v>
      </c>
    </row>
    <row r="612" customFormat="false" ht="13.8" hidden="true" customHeight="false" outlineLevel="0" collapsed="false">
      <c r="A612" s="0" t="s">
        <v>3196</v>
      </c>
      <c r="B612" s="0" t="n">
        <v>78</v>
      </c>
      <c r="C612" s="0" t="n">
        <v>359543</v>
      </c>
      <c r="D612" s="0" t="s">
        <v>1445</v>
      </c>
      <c r="E612" s="0" t="s">
        <v>1451</v>
      </c>
      <c r="F612" s="0" t="str">
        <f aca="false">CONCATENATE(D612," ",LEFT(H612,4),"T=",AU612,"D=",AV612,"R=",AW612,"M=",AX612,"L=",AY612,"B=",AZ612)</f>
        <v>WILLIAMS T=12D=0R=2M=1L=0B=0</v>
      </c>
      <c r="G612" s="0" t="s">
        <v>171</v>
      </c>
      <c r="I612" s="0" t="s">
        <v>3197</v>
      </c>
      <c r="J612" s="0" t="s">
        <v>3198</v>
      </c>
      <c r="K612" s="0" t="s">
        <v>160</v>
      </c>
      <c r="M612" s="0" t="s">
        <v>3195</v>
      </c>
      <c r="N612" s="0" t="str">
        <f aca="false">RIGHT(M612,LEN(M612)-FIND(" ",M612))</f>
        <v>ELM RD NE</v>
      </c>
      <c r="P612" s="0" t="s">
        <v>145</v>
      </c>
      <c r="Q612" s="0" t="s">
        <v>146</v>
      </c>
      <c r="R612" s="0" t="n">
        <v>44483</v>
      </c>
      <c r="AD612" s="0" t="s">
        <v>147</v>
      </c>
      <c r="AE612" s="0" t="s">
        <v>148</v>
      </c>
      <c r="AF612" s="0" t="s">
        <v>149</v>
      </c>
      <c r="AH612" s="0" t="n">
        <v>14</v>
      </c>
      <c r="AI612" s="0" t="n">
        <v>11</v>
      </c>
      <c r="AN612" s="0" t="s">
        <v>145</v>
      </c>
      <c r="AO612" s="0" t="s">
        <v>654</v>
      </c>
      <c r="AP612" s="0" t="s">
        <v>655</v>
      </c>
      <c r="AQ612" s="0" t="n">
        <v>9</v>
      </c>
      <c r="AR612" s="0" t="n">
        <v>64</v>
      </c>
      <c r="AS612" s="0" t="n">
        <v>32</v>
      </c>
      <c r="AU612" s="0" t="n">
        <f aca="false">COUNTA($BA$1861:$EH$1861)</f>
        <v>12</v>
      </c>
      <c r="AV612" s="0" t="n">
        <f aca="false">COUNTIF($BA$1861:$EH$1861,"D")</f>
        <v>0</v>
      </c>
      <c r="AW612" s="0" t="n">
        <f aca="false">COUNTIF($BA$1861:$EH$1861,"R")</f>
        <v>2</v>
      </c>
      <c r="AX612" s="0" t="n">
        <f aca="false">IF(BN612="D",1,0)+IF(BO612="D",1,0)+IF(BT612="D",1,0)+IF(BU612="D",1,0)+IF(BW612="D",1,0)+IF(CC612="D",1,0)+IF(CD612="D",1,0)+IF(CE612="D",1,0)+IF(CF612="D",1,0)+IF(CL612="D",1,0)+IF(CM612="D",1,0)+IF(CQ612="D",1,0)+IF(CR612="D",1,0)+IF(CS612="D",1,0)+IF(CW612="D",1,0)+IF(CX612="D",1,0)+IF(DD612="D",1,0)+IF(DE612="D",1,0)+IF(DJ612="D",1,0)+IF(DK612="D",1,0)+IF(DO612="D",1,0)+IF(DP612="D",1,0)+IF(DQ612="D",1,0)+IF(DW612="D",1,0)+IF(DZ612="D",1,0)+IF(EH612="D",1,0)</f>
        <v>1</v>
      </c>
      <c r="AY612" s="0" t="n">
        <f aca="false">COUNTIF(DU612:EH612, "&lt;&gt;")</f>
        <v>0</v>
      </c>
      <c r="AZ612" s="0" t="n">
        <f aca="false">IF(EH612&lt;&gt;"",1,0)</f>
        <v>0</v>
      </c>
      <c r="BB612" s="0" t="s">
        <v>152</v>
      </c>
      <c r="CA612" s="0" t="s">
        <v>153</v>
      </c>
      <c r="CK612" s="0" t="s">
        <v>153</v>
      </c>
      <c r="CP612" s="0" t="s">
        <v>153</v>
      </c>
      <c r="CW612" s="0" t="s">
        <v>175</v>
      </c>
      <c r="CY612" s="0" t="s">
        <v>153</v>
      </c>
    </row>
    <row r="613" customFormat="false" ht="13.8" hidden="true" customHeight="false" outlineLevel="0" collapsed="false">
      <c r="A613" s="0" t="s">
        <v>3199</v>
      </c>
      <c r="B613" s="0" t="n">
        <v>78</v>
      </c>
      <c r="C613" s="0" t="n">
        <v>405230</v>
      </c>
      <c r="D613" s="0" t="s">
        <v>3200</v>
      </c>
      <c r="E613" s="0" t="s">
        <v>1710</v>
      </c>
      <c r="F613" s="0" t="str">
        <f aca="false">CONCATENATE(D613," ",LEFT(H613,4),"T=",AU613,"D=",AV613,"R=",AW613,"M=",AX613,"L=",AY613,"B=",AZ613)</f>
        <v>BRAINARD IIIT=34D=7R=0M=0L=0B=0</v>
      </c>
      <c r="G613" s="0" t="s">
        <v>3201</v>
      </c>
      <c r="H613" s="0" t="s">
        <v>1932</v>
      </c>
      <c r="I613" s="0" t="s">
        <v>3202</v>
      </c>
      <c r="J613" s="0" t="s">
        <v>3203</v>
      </c>
      <c r="K613" s="0" t="s">
        <v>160</v>
      </c>
      <c r="M613" s="0" t="s">
        <v>3204</v>
      </c>
      <c r="N613" s="0" t="str">
        <f aca="false">RIGHT(M613,LEN(M613)-FIND(" ",M613))</f>
        <v>ELM RD NE</v>
      </c>
      <c r="P613" s="0" t="s">
        <v>145</v>
      </c>
      <c r="Q613" s="0" t="s">
        <v>146</v>
      </c>
      <c r="R613" s="0" t="n">
        <v>44483</v>
      </c>
      <c r="AD613" s="0" t="s">
        <v>147</v>
      </c>
      <c r="AE613" s="0" t="s">
        <v>148</v>
      </c>
      <c r="AF613" s="0" t="s">
        <v>149</v>
      </c>
      <c r="AH613" s="0" t="n">
        <v>14</v>
      </c>
      <c r="AI613" s="0" t="n">
        <v>11</v>
      </c>
      <c r="AN613" s="0" t="s">
        <v>145</v>
      </c>
      <c r="AO613" s="0" t="s">
        <v>654</v>
      </c>
      <c r="AP613" s="0" t="s">
        <v>655</v>
      </c>
      <c r="AQ613" s="0" t="n">
        <v>9</v>
      </c>
      <c r="AR613" s="0" t="n">
        <v>64</v>
      </c>
      <c r="AS613" s="0" t="n">
        <v>32</v>
      </c>
      <c r="AU613" s="0" t="n">
        <f aca="false">COUNTA($BA$1747:$EH$1747)</f>
        <v>34</v>
      </c>
      <c r="AV613" s="0" t="n">
        <f aca="false">COUNTIF($BA$1747:$EH$1747,"D")</f>
        <v>7</v>
      </c>
      <c r="AW613" s="0" t="n">
        <f aca="false">COUNTIF($BA$1747:$EH$1747,"R")</f>
        <v>0</v>
      </c>
      <c r="AX613" s="0" t="n">
        <f aca="false">IF(BN613="D",1,0)+IF(BO613="D",1,0)+IF(BT613="D",1,0)+IF(BU613="D",1,0)+IF(BW613="D",1,0)+IF(CC613="D",1,0)+IF(CD613="D",1,0)+IF(CE613="D",1,0)+IF(CF613="D",1,0)+IF(CL613="D",1,0)+IF(CM613="D",1,0)+IF(CQ613="D",1,0)+IF(CR613="D",1,0)+IF(CS613="D",1,0)+IF(CW613="D",1,0)+IF(CX613="D",1,0)+IF(DD613="D",1,0)+IF(DE613="D",1,0)+IF(DJ613="D",1,0)+IF(DK613="D",1,0)+IF(DO613="D",1,0)+IF(DP613="D",1,0)+IF(DQ613="D",1,0)+IF(DW613="D",1,0)+IF(DZ613="D",1,0)+IF(EH613="D",1,0)</f>
        <v>0</v>
      </c>
      <c r="AY613" s="0" t="n">
        <f aca="false">COUNTIF(DU613:EH613, "&lt;&gt;")</f>
        <v>0</v>
      </c>
      <c r="AZ613" s="0" t="n">
        <f aca="false">IF(EH613&lt;&gt;"",1,0)</f>
        <v>0</v>
      </c>
      <c r="BB613" s="0" t="s">
        <v>152</v>
      </c>
    </row>
    <row r="614" customFormat="false" ht="13.8" hidden="true" customHeight="false" outlineLevel="0" collapsed="false">
      <c r="A614" s="0" t="s">
        <v>3205</v>
      </c>
      <c r="B614" s="0" t="n">
        <v>78</v>
      </c>
      <c r="C614" s="0" t="n">
        <v>494109</v>
      </c>
      <c r="D614" s="0" t="s">
        <v>3206</v>
      </c>
      <c r="E614" s="0" t="s">
        <v>541</v>
      </c>
      <c r="F614" s="0" t="str">
        <f aca="false">CONCATENATE(D614," ",LEFT(H614,4),"T=",AU614,"D=",AV614,"R=",AW614,"M=",AX614,"L=",AY614,"B=",AZ614)</f>
        <v>BOONE T=1D=0R=0M=0L=0B=0</v>
      </c>
      <c r="G614" s="0" t="s">
        <v>3207</v>
      </c>
      <c r="I614" s="0" t="s">
        <v>3208</v>
      </c>
      <c r="J614" s="0" t="s">
        <v>3209</v>
      </c>
      <c r="K614" s="0" t="s">
        <v>160</v>
      </c>
      <c r="M614" s="0" t="s">
        <v>3210</v>
      </c>
      <c r="N614" s="0" t="str">
        <f aca="false">RIGHT(M614,LEN(M614)-FIND(" ",M614))</f>
        <v>ELM RD NE</v>
      </c>
      <c r="P614" s="0" t="s">
        <v>145</v>
      </c>
      <c r="Q614" s="0" t="s">
        <v>146</v>
      </c>
      <c r="R614" s="0" t="n">
        <v>44483</v>
      </c>
      <c r="AD614" s="0" t="s">
        <v>147</v>
      </c>
      <c r="AE614" s="0" t="s">
        <v>148</v>
      </c>
      <c r="AF614" s="0" t="s">
        <v>149</v>
      </c>
      <c r="AH614" s="0" t="n">
        <v>14</v>
      </c>
      <c r="AI614" s="0" t="n">
        <v>11</v>
      </c>
      <c r="AN614" s="0" t="s">
        <v>145</v>
      </c>
      <c r="AO614" s="0" t="s">
        <v>654</v>
      </c>
      <c r="AP614" s="0" t="s">
        <v>655</v>
      </c>
      <c r="AQ614" s="0" t="n">
        <v>9</v>
      </c>
      <c r="AR614" s="0" t="n">
        <v>64</v>
      </c>
      <c r="AS614" s="0" t="n">
        <v>32</v>
      </c>
      <c r="AU614" s="0" t="n">
        <f aca="false">COUNTA($BA$1545:$EH$1545)</f>
        <v>1</v>
      </c>
      <c r="AV614" s="0" t="n">
        <f aca="false">COUNTIF($BA$1545:$EH$1545,"D")</f>
        <v>0</v>
      </c>
      <c r="AW614" s="0" t="n">
        <f aca="false">COUNTIF($BA$1545:$EH$1545,"R")</f>
        <v>0</v>
      </c>
      <c r="AX614" s="0" t="n">
        <f aca="false">IF(BN614="D",1,0)+IF(BO614="D",1,0)+IF(BT614="D",1,0)+IF(BU614="D",1,0)+IF(BW614="D",1,0)+IF(CC614="D",1,0)+IF(CD614="D",1,0)+IF(CE614="D",1,0)+IF(CF614="D",1,0)+IF(CL614="D",1,0)+IF(CM614="D",1,0)+IF(CQ614="D",1,0)+IF(CR614="D",1,0)+IF(CS614="D",1,0)+IF(CW614="D",1,0)+IF(CX614="D",1,0)+IF(DD614="D",1,0)+IF(DE614="D",1,0)+IF(DJ614="D",1,0)+IF(DK614="D",1,0)+IF(DO614="D",1,0)+IF(DP614="D",1,0)+IF(DQ614="D",1,0)+IF(DW614="D",1,0)+IF(DZ614="D",1,0)+IF(EH614="D",1,0)</f>
        <v>0</v>
      </c>
      <c r="AY614" s="0" t="n">
        <f aca="false">COUNTIF(DU614:EH614, "&lt;&gt;")</f>
        <v>0</v>
      </c>
      <c r="AZ614" s="0" t="n">
        <f aca="false">IF(EH614&lt;&gt;"",1,0)</f>
        <v>0</v>
      </c>
      <c r="BB614" s="0" t="s">
        <v>152</v>
      </c>
    </row>
    <row r="615" customFormat="false" ht="13.8" hidden="true" customHeight="false" outlineLevel="0" collapsed="false">
      <c r="A615" s="0" t="s">
        <v>3211</v>
      </c>
      <c r="B615" s="0" t="n">
        <v>78</v>
      </c>
      <c r="C615" s="0" t="n">
        <v>374047</v>
      </c>
      <c r="D615" s="0" t="s">
        <v>3206</v>
      </c>
      <c r="E615" s="0" t="s">
        <v>3212</v>
      </c>
      <c r="F615" s="0" t="str">
        <f aca="false">CONCATENATE(D615," ",LEFT(H615,4),"T=",AU615,"D=",AV615,"R=",AW615,"M=",AX615,"L=",AY615,"B=",AZ615)</f>
        <v>BOONE T=10D=2R=0M=0L=0B=0</v>
      </c>
      <c r="G615" s="0" t="s">
        <v>175</v>
      </c>
      <c r="I615" s="0" t="s">
        <v>3213</v>
      </c>
      <c r="J615" s="0" t="s">
        <v>3214</v>
      </c>
      <c r="K615" s="0" t="s">
        <v>160</v>
      </c>
      <c r="M615" s="0" t="s">
        <v>3210</v>
      </c>
      <c r="N615" s="0" t="str">
        <f aca="false">RIGHT(M615,LEN(M615)-FIND(" ",M615))</f>
        <v>ELM RD NE</v>
      </c>
      <c r="P615" s="0" t="s">
        <v>145</v>
      </c>
      <c r="Q615" s="0" t="s">
        <v>146</v>
      </c>
      <c r="R615" s="0" t="n">
        <v>44483</v>
      </c>
      <c r="AD615" s="0" t="s">
        <v>147</v>
      </c>
      <c r="AE615" s="0" t="s">
        <v>148</v>
      </c>
      <c r="AF615" s="0" t="s">
        <v>149</v>
      </c>
      <c r="AH615" s="0" t="n">
        <v>14</v>
      </c>
      <c r="AI615" s="0" t="n">
        <v>11</v>
      </c>
      <c r="AN615" s="0" t="s">
        <v>145</v>
      </c>
      <c r="AO615" s="0" t="s">
        <v>654</v>
      </c>
      <c r="AP615" s="0" t="s">
        <v>655</v>
      </c>
      <c r="AQ615" s="0" t="n">
        <v>9</v>
      </c>
      <c r="AR615" s="0" t="n">
        <v>64</v>
      </c>
      <c r="AS615" s="0" t="n">
        <v>32</v>
      </c>
      <c r="AU615" s="0" t="n">
        <f aca="false">COUNTA($BA$1701:$EH$1701)</f>
        <v>10</v>
      </c>
      <c r="AV615" s="0" t="n">
        <f aca="false">COUNTIF($BA$1701:$EH$1701,"D")</f>
        <v>2</v>
      </c>
      <c r="AW615" s="0" t="n">
        <f aca="false">COUNTIF($BA$1701:$EH$1701,"R")</f>
        <v>0</v>
      </c>
      <c r="AX615" s="0" t="n">
        <f aca="false">IF(BN615="D",1,0)+IF(BO615="D",1,0)+IF(BT615="D",1,0)+IF(BU615="D",1,0)+IF(BW615="D",1,0)+IF(CC615="D",1,0)+IF(CD615="D",1,0)+IF(CE615="D",1,0)+IF(CF615="D",1,0)+IF(CL615="D",1,0)+IF(CM615="D",1,0)+IF(CQ615="D",1,0)+IF(CR615="D",1,0)+IF(CS615="D",1,0)+IF(CW615="D",1,0)+IF(CX615="D",1,0)+IF(DD615="D",1,0)+IF(DE615="D",1,0)+IF(DJ615="D",1,0)+IF(DK615="D",1,0)+IF(DO615="D",1,0)+IF(DP615="D",1,0)+IF(DQ615="D",1,0)+IF(DW615="D",1,0)+IF(DZ615="D",1,0)+IF(EH615="D",1,0)</f>
        <v>0</v>
      </c>
      <c r="AY615" s="0" t="n">
        <f aca="false">COUNTIF(DU615:EH615, "&lt;&gt;")</f>
        <v>0</v>
      </c>
      <c r="AZ615" s="0" t="n">
        <f aca="false">IF(EH615&lt;&gt;"",1,0)</f>
        <v>0</v>
      </c>
      <c r="BB615" s="0" t="s">
        <v>152</v>
      </c>
    </row>
    <row r="616" customFormat="false" ht="13.8" hidden="true" customHeight="false" outlineLevel="0" collapsed="false">
      <c r="A616" s="0" t="s">
        <v>3215</v>
      </c>
      <c r="B616" s="0" t="n">
        <v>78</v>
      </c>
      <c r="C616" s="0" t="n">
        <v>434737</v>
      </c>
      <c r="D616" s="0" t="s">
        <v>3216</v>
      </c>
      <c r="E616" s="0" t="s">
        <v>275</v>
      </c>
      <c r="F616" s="0" t="str">
        <f aca="false">CONCATENATE(D616," ",LEFT(H616,4),"T=",AU616,"D=",AV616,"R=",AW616,"M=",AX616,"L=",AY616,"B=",AZ616)</f>
        <v>PEPPARD T=1D=0R=0M=0L=0B=0</v>
      </c>
      <c r="G616" s="0" t="s">
        <v>325</v>
      </c>
      <c r="I616" s="0" t="s">
        <v>3217</v>
      </c>
      <c r="J616" s="0" t="s">
        <v>1971</v>
      </c>
      <c r="K616" s="0" t="s">
        <v>160</v>
      </c>
      <c r="M616" s="0" t="s">
        <v>3218</v>
      </c>
      <c r="N616" s="0" t="str">
        <f aca="false">RIGHT(M616,LEN(M616)-FIND(" ",M616))</f>
        <v>ELM RD NE</v>
      </c>
      <c r="O616" s="0" t="s">
        <v>1877</v>
      </c>
      <c r="P616" s="0" t="s">
        <v>145</v>
      </c>
      <c r="Q616" s="0" t="s">
        <v>146</v>
      </c>
      <c r="R616" s="0" t="n">
        <v>44483</v>
      </c>
      <c r="AD616" s="0" t="s">
        <v>147</v>
      </c>
      <c r="AE616" s="0" t="s">
        <v>148</v>
      </c>
      <c r="AF616" s="0" t="s">
        <v>149</v>
      </c>
      <c r="AH616" s="0" t="n">
        <v>14</v>
      </c>
      <c r="AI616" s="0" t="n">
        <v>11</v>
      </c>
      <c r="AN616" s="0" t="s">
        <v>145</v>
      </c>
      <c r="AO616" s="0" t="s">
        <v>654</v>
      </c>
      <c r="AP616" s="0" t="s">
        <v>655</v>
      </c>
      <c r="AQ616" s="0" t="n">
        <v>9</v>
      </c>
      <c r="AR616" s="0" t="n">
        <v>64</v>
      </c>
      <c r="AS616" s="0" t="n">
        <v>32</v>
      </c>
      <c r="AU616" s="0" t="n">
        <f aca="false">COUNTA($BA$1939:$EH$1939)</f>
        <v>1</v>
      </c>
      <c r="AV616" s="0" t="n">
        <f aca="false">COUNTIF($BA$1939:$EH$1939,"D")</f>
        <v>0</v>
      </c>
      <c r="AW616" s="0" t="n">
        <f aca="false">COUNTIF($BA$1939:$EH$1939,"R")</f>
        <v>0</v>
      </c>
      <c r="AX616" s="0" t="n">
        <f aca="false">IF(BN616="D",1,0)+IF(BO616="D",1,0)+IF(BT616="D",1,0)+IF(BU616="D",1,0)+IF(BW616="D",1,0)+IF(CC616="D",1,0)+IF(CD616="D",1,0)+IF(CE616="D",1,0)+IF(CF616="D",1,0)+IF(CL616="D",1,0)+IF(CM616="D",1,0)+IF(CQ616="D",1,0)+IF(CR616="D",1,0)+IF(CS616="D",1,0)+IF(CW616="D",1,0)+IF(CX616="D",1,0)+IF(DD616="D",1,0)+IF(DE616="D",1,0)+IF(DJ616="D",1,0)+IF(DK616="D",1,0)+IF(DO616="D",1,0)+IF(DP616="D",1,0)+IF(DQ616="D",1,0)+IF(DW616="D",1,0)+IF(DZ616="D",1,0)+IF(EH616="D",1,0)</f>
        <v>0</v>
      </c>
      <c r="AY616" s="0" t="n">
        <f aca="false">COUNTIF(DU616:EH616, "&lt;&gt;")</f>
        <v>0</v>
      </c>
      <c r="AZ616" s="0" t="n">
        <f aca="false">IF(EH616&lt;&gt;"",1,0)</f>
        <v>0</v>
      </c>
      <c r="BB616" s="0" t="s">
        <v>152</v>
      </c>
    </row>
    <row r="617" customFormat="false" ht="13.8" hidden="true" customHeight="false" outlineLevel="0" collapsed="false">
      <c r="A617" s="0" t="s">
        <v>3219</v>
      </c>
      <c r="B617" s="0" t="n">
        <v>78</v>
      </c>
      <c r="C617" s="0" t="n">
        <v>456426</v>
      </c>
      <c r="D617" s="0" t="s">
        <v>3220</v>
      </c>
      <c r="E617" s="0" t="s">
        <v>3221</v>
      </c>
      <c r="F617" s="0" t="str">
        <f aca="false">CONCATENATE(D617," ",LEFT(H617,4),"T=",AU617,"D=",AV617,"R=",AW617,"M=",AX617,"L=",AY617,"B=",AZ617)</f>
        <v>MZEHEM T=3D=0R=0M=0L=0B=0</v>
      </c>
      <c r="G617" s="0" t="s">
        <v>3222</v>
      </c>
      <c r="I617" s="0" t="s">
        <v>3223</v>
      </c>
      <c r="J617" s="0" t="s">
        <v>3224</v>
      </c>
      <c r="K617" s="0" t="s">
        <v>160</v>
      </c>
      <c r="M617" s="0" t="s">
        <v>3225</v>
      </c>
      <c r="N617" s="0" t="str">
        <f aca="false">RIGHT(M617,LEN(M617)-FIND(" ",M617))</f>
        <v>ELM RD NE</v>
      </c>
      <c r="P617" s="0" t="s">
        <v>145</v>
      </c>
      <c r="Q617" s="0" t="s">
        <v>146</v>
      </c>
      <c r="R617" s="0" t="n">
        <v>44483</v>
      </c>
      <c r="AD617" s="0" t="s">
        <v>147</v>
      </c>
      <c r="AE617" s="0" t="s">
        <v>148</v>
      </c>
      <c r="AF617" s="0" t="s">
        <v>149</v>
      </c>
      <c r="AH617" s="0" t="n">
        <v>14</v>
      </c>
      <c r="AI617" s="0" t="n">
        <v>11</v>
      </c>
      <c r="AN617" s="0" t="s">
        <v>145</v>
      </c>
      <c r="AO617" s="0" t="s">
        <v>654</v>
      </c>
      <c r="AP617" s="0" t="s">
        <v>655</v>
      </c>
      <c r="AQ617" s="0" t="n">
        <v>9</v>
      </c>
      <c r="AR617" s="0" t="n">
        <v>64</v>
      </c>
      <c r="AS617" s="0" t="n">
        <v>32</v>
      </c>
      <c r="AU617" s="0" t="n">
        <f aca="false">COUNTA($BA$1651:$EH$1651)</f>
        <v>3</v>
      </c>
      <c r="AV617" s="0" t="n">
        <f aca="false">COUNTIF($BA$1651:$EH$1651,"D")</f>
        <v>0</v>
      </c>
      <c r="AW617" s="0" t="n">
        <f aca="false">COUNTIF($BA$1651:$EH$1651,"R")</f>
        <v>0</v>
      </c>
      <c r="AX617" s="0" t="n">
        <f aca="false">IF(BN617="D",1,0)+IF(BO617="D",1,0)+IF(BT617="D",1,0)+IF(BU617="D",1,0)+IF(BW617="D",1,0)+IF(CC617="D",1,0)+IF(CD617="D",1,0)+IF(CE617="D",1,0)+IF(CF617="D",1,0)+IF(CL617="D",1,0)+IF(CM617="D",1,0)+IF(CQ617="D",1,0)+IF(CR617="D",1,0)+IF(CS617="D",1,0)+IF(CW617="D",1,0)+IF(CX617="D",1,0)+IF(DD617="D",1,0)+IF(DE617="D",1,0)+IF(DJ617="D",1,0)+IF(DK617="D",1,0)+IF(DO617="D",1,0)+IF(DP617="D",1,0)+IF(DQ617="D",1,0)+IF(DW617="D",1,0)+IF(DZ617="D",1,0)+IF(EH617="D",1,0)</f>
        <v>0</v>
      </c>
      <c r="AY617" s="0" t="n">
        <f aca="false">COUNTIF(DU617:EH617, "&lt;&gt;")</f>
        <v>0</v>
      </c>
      <c r="AZ617" s="0" t="n">
        <f aca="false">IF(EH617&lt;&gt;"",1,0)</f>
        <v>0</v>
      </c>
      <c r="BB617" s="0" t="s">
        <v>152</v>
      </c>
    </row>
    <row r="618" customFormat="false" ht="13.8" hidden="true" customHeight="false" outlineLevel="0" collapsed="false">
      <c r="A618" s="0" t="s">
        <v>3226</v>
      </c>
      <c r="B618" s="0" t="n">
        <v>78</v>
      </c>
      <c r="C618" s="0" t="n">
        <v>412954</v>
      </c>
      <c r="D618" s="0" t="s">
        <v>3227</v>
      </c>
      <c r="E618" s="0" t="s">
        <v>658</v>
      </c>
      <c r="F618" s="0" t="str">
        <f aca="false">CONCATENATE(D618," ",LEFT(H618,4),"T=",AU618,"D=",AV618,"R=",AW618,"M=",AX618,"L=",AY618,"B=",AZ618)</f>
        <v>MORTARO IIIT=9D=0R=0M=0L=0B=0</v>
      </c>
      <c r="G618" s="0" t="s">
        <v>2214</v>
      </c>
      <c r="H618" s="0" t="s">
        <v>1932</v>
      </c>
      <c r="I618" s="0" t="s">
        <v>3228</v>
      </c>
      <c r="J618" s="0" t="s">
        <v>693</v>
      </c>
      <c r="K618" s="0" t="s">
        <v>143</v>
      </c>
      <c r="M618" s="0" t="s">
        <v>3225</v>
      </c>
      <c r="N618" s="0" t="str">
        <f aca="false">RIGHT(M618,LEN(M618)-FIND(" ",M618))</f>
        <v>ELM RD NE</v>
      </c>
      <c r="P618" s="0" t="s">
        <v>145</v>
      </c>
      <c r="Q618" s="0" t="s">
        <v>146</v>
      </c>
      <c r="R618" s="0" t="n">
        <v>44483</v>
      </c>
      <c r="AD618" s="0" t="s">
        <v>147</v>
      </c>
      <c r="AE618" s="0" t="s">
        <v>148</v>
      </c>
      <c r="AF618" s="0" t="s">
        <v>149</v>
      </c>
      <c r="AH618" s="0" t="n">
        <v>14</v>
      </c>
      <c r="AI618" s="0" t="n">
        <v>11</v>
      </c>
      <c r="AN618" s="0" t="s">
        <v>145</v>
      </c>
      <c r="AO618" s="0" t="s">
        <v>654</v>
      </c>
      <c r="AP618" s="0" t="s">
        <v>655</v>
      </c>
      <c r="AQ618" s="0" t="n">
        <v>9</v>
      </c>
      <c r="AR618" s="0" t="n">
        <v>64</v>
      </c>
      <c r="AS618" s="0" t="n">
        <v>32</v>
      </c>
      <c r="AU618" s="0" t="n">
        <f aca="false">COUNTA($BA$1845:$EH$1845)</f>
        <v>9</v>
      </c>
      <c r="AV618" s="0" t="n">
        <f aca="false">COUNTIF($BA$1845:$EH$1845,"D")</f>
        <v>0</v>
      </c>
      <c r="AW618" s="0" t="n">
        <f aca="false">COUNTIF($BA$1845:$EH$1845,"R")</f>
        <v>0</v>
      </c>
      <c r="AX618" s="0" t="n">
        <f aca="false">IF(BN618="D",1,0)+IF(BO618="D",1,0)+IF(BT618="D",1,0)+IF(BU618="D",1,0)+IF(BW618="D",1,0)+IF(CC618="D",1,0)+IF(CD618="D",1,0)+IF(CE618="D",1,0)+IF(CF618="D",1,0)+IF(CL618="D",1,0)+IF(CM618="D",1,0)+IF(CQ618="D",1,0)+IF(CR618="D",1,0)+IF(CS618="D",1,0)+IF(CW618="D",1,0)+IF(CX618="D",1,0)+IF(DD618="D",1,0)+IF(DE618="D",1,0)+IF(DJ618="D",1,0)+IF(DK618="D",1,0)+IF(DO618="D",1,0)+IF(DP618="D",1,0)+IF(DQ618="D",1,0)+IF(DW618="D",1,0)+IF(DZ618="D",1,0)+IF(EH618="D",1,0)</f>
        <v>0</v>
      </c>
      <c r="AY618" s="0" t="n">
        <f aca="false">COUNTIF(DU618:EH618, "&lt;&gt;")</f>
        <v>0</v>
      </c>
      <c r="AZ618" s="0" t="n">
        <f aca="false">IF(EH618&lt;&gt;"",1,0)</f>
        <v>0</v>
      </c>
      <c r="BB618" s="0" t="s">
        <v>152</v>
      </c>
      <c r="BD618" s="0" t="s">
        <v>153</v>
      </c>
      <c r="BK618" s="0" t="s">
        <v>175</v>
      </c>
      <c r="BL618" s="0" t="s">
        <v>153</v>
      </c>
      <c r="CA618" s="0" t="s">
        <v>153</v>
      </c>
      <c r="CU618" s="0" t="s">
        <v>175</v>
      </c>
    </row>
    <row r="619" customFormat="false" ht="13.8" hidden="false" customHeight="false" outlineLevel="0" collapsed="false">
      <c r="A619" s="0" t="s">
        <v>3229</v>
      </c>
      <c r="B619" s="0" t="n">
        <v>78</v>
      </c>
      <c r="C619" s="0" t="n">
        <v>86819</v>
      </c>
      <c r="D619" s="0" t="s">
        <v>3230</v>
      </c>
      <c r="E619" s="0" t="s">
        <v>1639</v>
      </c>
      <c r="F619" s="0" t="str">
        <f aca="false">CONCATENATE(D619," ",LEFT(H619,4),"T=",AU619,"D=",AV619,"R=",AW619,"M=",AX619,"L=",AY619,"B=",AZ619)</f>
        <v>STARK T=1D=0R=0M=3L=2B=0</v>
      </c>
      <c r="I619" s="0" t="s">
        <v>3231</v>
      </c>
      <c r="J619" s="0" t="s">
        <v>3232</v>
      </c>
      <c r="K619" s="0" t="s">
        <v>160</v>
      </c>
      <c r="L619" s="0" t="s">
        <v>209</v>
      </c>
      <c r="M619" s="0" t="s">
        <v>3233</v>
      </c>
      <c r="N619" s="0" t="str">
        <f aca="false">RIGHT(M619,LEN(M619)-FIND(" ",M619))</f>
        <v>ELM RD NE</v>
      </c>
      <c r="P619" s="0" t="s">
        <v>145</v>
      </c>
      <c r="Q619" s="0" t="s">
        <v>146</v>
      </c>
      <c r="R619" s="0" t="n">
        <v>44483</v>
      </c>
      <c r="AD619" s="0" t="s">
        <v>147</v>
      </c>
      <c r="AE619" s="0" t="s">
        <v>148</v>
      </c>
      <c r="AF619" s="0" t="s">
        <v>149</v>
      </c>
      <c r="AH619" s="0" t="n">
        <v>14</v>
      </c>
      <c r="AI619" s="0" t="n">
        <v>11</v>
      </c>
      <c r="AN619" s="0" t="s">
        <v>145</v>
      </c>
      <c r="AO619" s="0" t="s">
        <v>654</v>
      </c>
      <c r="AP619" s="0" t="s">
        <v>655</v>
      </c>
      <c r="AQ619" s="0" t="n">
        <v>9</v>
      </c>
      <c r="AR619" s="0" t="n">
        <v>64</v>
      </c>
      <c r="AS619" s="0" t="n">
        <v>32</v>
      </c>
      <c r="AU619" s="0" t="n">
        <f aca="false">COUNTA($BA$1342:$EH$1342)</f>
        <v>1</v>
      </c>
      <c r="AV619" s="0" t="n">
        <f aca="false">COUNTIF($BA$1342:$EH$1342,"D")</f>
        <v>0</v>
      </c>
      <c r="AW619" s="0" t="n">
        <f aca="false">COUNTIF($BA$1342:$EH$1342,"R")</f>
        <v>0</v>
      </c>
      <c r="AX619" s="0" t="n">
        <f aca="false">IF(BN619="D",1,0)+IF(BO619="D",1,0)+IF(BT619="D",1,0)+IF(BU619="D",1,0)+IF(BW619="D",1,0)+IF(CC619="D",1,0)+IF(CD619="D",1,0)+IF(CE619="D",1,0)+IF(CF619="D",1,0)+IF(CL619="D",1,0)+IF(CM619="D",1,0)+IF(CQ619="D",1,0)+IF(CR619="D",1,0)+IF(CS619="D",1,0)+IF(CW619="D",1,0)+IF(CX619="D",1,0)+IF(DD619="D",1,0)+IF(DE619="D",1,0)+IF(DJ619="D",1,0)+IF(DK619="D",1,0)+IF(DO619="D",1,0)+IF(DP619="D",1,0)+IF(DQ619="D",1,0)+IF(DW619="D",1,0)+IF(DZ619="D",1,0)+IF(EH619="D",1,0)</f>
        <v>3</v>
      </c>
      <c r="AY619" s="0" t="n">
        <f aca="false">COUNTIF(DU619:EH619, "&lt;&gt;")</f>
        <v>2</v>
      </c>
      <c r="AZ619" s="0" t="n">
        <f aca="false">IF(EH619&lt;&gt;"",1,0)</f>
        <v>0</v>
      </c>
      <c r="BB619" s="0" t="s">
        <v>152</v>
      </c>
      <c r="BC619" s="0" t="s">
        <v>153</v>
      </c>
      <c r="BD619" s="0" t="s">
        <v>153</v>
      </c>
      <c r="BH619" s="0" t="s">
        <v>153</v>
      </c>
      <c r="BJ619" s="0" t="s">
        <v>153</v>
      </c>
      <c r="BK619" s="0" t="s">
        <v>153</v>
      </c>
      <c r="BL619" s="0" t="s">
        <v>153</v>
      </c>
      <c r="BS619" s="0" t="s">
        <v>153</v>
      </c>
      <c r="BV619" s="0" t="s">
        <v>153</v>
      </c>
      <c r="BY619" s="0" t="s">
        <v>175</v>
      </c>
      <c r="CA619" s="0" t="s">
        <v>153</v>
      </c>
      <c r="CC619" s="0" t="s">
        <v>175</v>
      </c>
      <c r="CG619" s="0" t="s">
        <v>153</v>
      </c>
      <c r="CH619" s="0" t="s">
        <v>175</v>
      </c>
      <c r="CK619" s="0" t="s">
        <v>153</v>
      </c>
      <c r="CL619" s="0" t="s">
        <v>175</v>
      </c>
      <c r="CN619" s="0" t="s">
        <v>153</v>
      </c>
      <c r="CP619" s="0" t="s">
        <v>153</v>
      </c>
      <c r="CU619" s="0" t="s">
        <v>175</v>
      </c>
      <c r="CW619" s="0" t="s">
        <v>175</v>
      </c>
      <c r="CY619" s="0" t="s">
        <v>153</v>
      </c>
      <c r="CZ619" s="0" t="s">
        <v>175</v>
      </c>
      <c r="DC619" s="0" t="s">
        <v>153</v>
      </c>
      <c r="DN619" s="0" t="s">
        <v>153</v>
      </c>
      <c r="DS619" s="0" t="s">
        <v>209</v>
      </c>
      <c r="DT619" s="0" t="s">
        <v>209</v>
      </c>
      <c r="DU619" s="0" t="s">
        <v>153</v>
      </c>
      <c r="EF619" s="0" t="s">
        <v>153</v>
      </c>
    </row>
    <row r="620" customFormat="false" ht="13.8" hidden="false" customHeight="false" outlineLevel="0" collapsed="false">
      <c r="A620" s="0" t="s">
        <v>3234</v>
      </c>
      <c r="B620" s="0" t="n">
        <v>78</v>
      </c>
      <c r="C620" s="0" t="n">
        <v>19575</v>
      </c>
      <c r="D620" s="0" t="s">
        <v>3235</v>
      </c>
      <c r="E620" s="0" t="s">
        <v>3236</v>
      </c>
      <c r="F620" s="0" t="str">
        <f aca="false">CONCATENATE(D620," ",LEFT(H620,4),"T=",AU620,"D=",AV620,"R=",AW620,"M=",AX620,"L=",AY620,"B=",AZ620)</f>
        <v>HAINESWORTH T=4D=0R=0M=2L=2B=0</v>
      </c>
      <c r="I620" s="0" t="s">
        <v>3237</v>
      </c>
      <c r="J620" s="0" t="s">
        <v>3238</v>
      </c>
      <c r="K620" s="0" t="s">
        <v>160</v>
      </c>
      <c r="L620" s="0" t="s">
        <v>175</v>
      </c>
      <c r="M620" s="0" t="s">
        <v>3239</v>
      </c>
      <c r="N620" s="0" t="str">
        <f aca="false">RIGHT(M620,LEN(M620)-FIND(" ",M620))</f>
        <v>FAIRFIELD AVE NE</v>
      </c>
      <c r="P620" s="0" t="s">
        <v>145</v>
      </c>
      <c r="Q620" s="0" t="s">
        <v>146</v>
      </c>
      <c r="R620" s="0" t="n">
        <v>44483</v>
      </c>
      <c r="AD620" s="0" t="s">
        <v>147</v>
      </c>
      <c r="AE620" s="0" t="s">
        <v>148</v>
      </c>
      <c r="AF620" s="0" t="s">
        <v>149</v>
      </c>
      <c r="AH620" s="0" t="n">
        <v>14</v>
      </c>
      <c r="AI620" s="0" t="n">
        <v>11</v>
      </c>
      <c r="AN620" s="0" t="s">
        <v>145</v>
      </c>
      <c r="AO620" s="0" t="s">
        <v>654</v>
      </c>
      <c r="AP620" s="0" t="s">
        <v>655</v>
      </c>
      <c r="AQ620" s="0" t="n">
        <v>9</v>
      </c>
      <c r="AR620" s="0" t="n">
        <v>64</v>
      </c>
      <c r="AS620" s="0" t="n">
        <v>32</v>
      </c>
      <c r="AU620" s="0" t="n">
        <f aca="false">COUNTA($BA$1422:$EH$1422)</f>
        <v>4</v>
      </c>
      <c r="AV620" s="0" t="n">
        <f aca="false">COUNTIF($BA$1422:$EH$1422,"D")</f>
        <v>0</v>
      </c>
      <c r="AW620" s="0" t="n">
        <f aca="false">COUNTIF($BA$1422:$EH$1422,"R")</f>
        <v>0</v>
      </c>
      <c r="AX620" s="0" t="n">
        <f aca="false">IF(BN620="D",1,0)+IF(BO620="D",1,0)+IF(BT620="D",1,0)+IF(BU620="D",1,0)+IF(BW620="D",1,0)+IF(CC620="D",1,0)+IF(CD620="D",1,0)+IF(CE620="D",1,0)+IF(CF620="D",1,0)+IF(CL620="D",1,0)+IF(CM620="D",1,0)+IF(CQ620="D",1,0)+IF(CR620="D",1,0)+IF(CS620="D",1,0)+IF(CW620="D",1,0)+IF(CX620="D",1,0)+IF(DD620="D",1,0)+IF(DE620="D",1,0)+IF(DJ620="D",1,0)+IF(DK620="D",1,0)+IF(DO620="D",1,0)+IF(DP620="D",1,0)+IF(DQ620="D",1,0)+IF(DW620="D",1,0)+IF(DZ620="D",1,0)+IF(EH620="D",1,0)</f>
        <v>2</v>
      </c>
      <c r="AY620" s="0" t="n">
        <f aca="false">COUNTIF(DU620:EH620, "&lt;&gt;")</f>
        <v>2</v>
      </c>
      <c r="AZ620" s="0" t="n">
        <f aca="false">IF(EH620&lt;&gt;"",1,0)</f>
        <v>0</v>
      </c>
      <c r="BB620" s="0" t="s">
        <v>152</v>
      </c>
      <c r="BC620" s="0" t="s">
        <v>153</v>
      </c>
      <c r="BD620" s="0" t="s">
        <v>153</v>
      </c>
      <c r="BF620" s="0" t="s">
        <v>153</v>
      </c>
      <c r="BK620" s="0" t="s">
        <v>153</v>
      </c>
      <c r="BL620" s="0" t="s">
        <v>153</v>
      </c>
      <c r="BY620" s="0" t="s">
        <v>175</v>
      </c>
      <c r="CA620" s="0" t="s">
        <v>153</v>
      </c>
      <c r="CG620" s="0" t="s">
        <v>153</v>
      </c>
      <c r="CK620" s="0" t="s">
        <v>153</v>
      </c>
      <c r="CN620" s="0" t="s">
        <v>153</v>
      </c>
      <c r="CP620" s="0" t="s">
        <v>153</v>
      </c>
      <c r="CT620" s="0" t="s">
        <v>153</v>
      </c>
      <c r="CV620" s="0" t="s">
        <v>153</v>
      </c>
      <c r="CY620" s="0" t="s">
        <v>153</v>
      </c>
      <c r="CZ620" s="0" t="s">
        <v>175</v>
      </c>
      <c r="DC620" s="0" t="s">
        <v>153</v>
      </c>
      <c r="DD620" s="0" t="s">
        <v>175</v>
      </c>
      <c r="DF620" s="0" t="s">
        <v>153</v>
      </c>
      <c r="DG620" s="0" t="s">
        <v>175</v>
      </c>
      <c r="DI620" s="0" t="s">
        <v>153</v>
      </c>
      <c r="DL620" s="0" t="s">
        <v>153</v>
      </c>
      <c r="DM620" s="0" t="s">
        <v>175</v>
      </c>
      <c r="DN620" s="0" t="s">
        <v>153</v>
      </c>
      <c r="DS620" s="0" t="s">
        <v>175</v>
      </c>
      <c r="DW620" s="0" t="s">
        <v>175</v>
      </c>
      <c r="EA620" s="0" t="s">
        <v>153</v>
      </c>
    </row>
    <row r="621" customFormat="false" ht="13.8" hidden="true" customHeight="false" outlineLevel="0" collapsed="false">
      <c r="A621" s="0" t="s">
        <v>3240</v>
      </c>
      <c r="B621" s="0" t="n">
        <v>78</v>
      </c>
      <c r="C621" s="0" t="n">
        <v>400589</v>
      </c>
      <c r="D621" s="0" t="s">
        <v>1504</v>
      </c>
      <c r="E621" s="0" t="s">
        <v>1193</v>
      </c>
      <c r="F621" s="0" t="str">
        <f aca="false">CONCATENATE(D621," ",LEFT(H621,4),"T=",AU621,"D=",AV621,"R=",AW621,"M=",AX621,"L=",AY621,"B=",AZ621)</f>
        <v>KING T=7D=0R=0M=0L=0B=0</v>
      </c>
      <c r="G621" s="0" t="s">
        <v>1310</v>
      </c>
      <c r="I621" s="0" t="s">
        <v>3241</v>
      </c>
      <c r="J621" s="0" t="s">
        <v>3242</v>
      </c>
      <c r="K621" s="0" t="s">
        <v>143</v>
      </c>
      <c r="M621" s="0" t="s">
        <v>3243</v>
      </c>
      <c r="N621" s="0" t="str">
        <f aca="false">RIGHT(M621,LEN(M621)-FIND(" ",M621))</f>
        <v>FAIRFIELD AVE NE</v>
      </c>
      <c r="P621" s="0" t="s">
        <v>145</v>
      </c>
      <c r="Q621" s="0" t="s">
        <v>146</v>
      </c>
      <c r="R621" s="0" t="n">
        <v>44483</v>
      </c>
      <c r="AD621" s="0" t="s">
        <v>147</v>
      </c>
      <c r="AE621" s="0" t="s">
        <v>148</v>
      </c>
      <c r="AF621" s="0" t="s">
        <v>149</v>
      </c>
      <c r="AH621" s="0" t="n">
        <v>14</v>
      </c>
      <c r="AI621" s="0" t="n">
        <v>11</v>
      </c>
      <c r="AN621" s="0" t="s">
        <v>145</v>
      </c>
      <c r="AO621" s="0" t="s">
        <v>654</v>
      </c>
      <c r="AP621" s="0" t="s">
        <v>655</v>
      </c>
      <c r="AQ621" s="0" t="n">
        <v>9</v>
      </c>
      <c r="AR621" s="0" t="n">
        <v>64</v>
      </c>
      <c r="AS621" s="0" t="n">
        <v>32</v>
      </c>
      <c r="AU621" s="0" t="n">
        <f aca="false">COUNTA($BA$1885:$EH$1885)</f>
        <v>7</v>
      </c>
      <c r="AV621" s="0" t="n">
        <f aca="false">COUNTIF($BA$1885:$EH$1885,"D")</f>
        <v>0</v>
      </c>
      <c r="AW621" s="0" t="n">
        <f aca="false">COUNTIF($BA$1885:$EH$1885,"R")</f>
        <v>0</v>
      </c>
      <c r="AX621" s="0" t="n">
        <f aca="false">IF(BN621="D",1,0)+IF(BO621="D",1,0)+IF(BT621="D",1,0)+IF(BU621="D",1,0)+IF(BW621="D",1,0)+IF(CC621="D",1,0)+IF(CD621="D",1,0)+IF(CE621="D",1,0)+IF(CF621="D",1,0)+IF(CL621="D",1,0)+IF(CM621="D",1,0)+IF(CQ621="D",1,0)+IF(CR621="D",1,0)+IF(CS621="D",1,0)+IF(CW621="D",1,0)+IF(CX621="D",1,0)+IF(DD621="D",1,0)+IF(DE621="D",1,0)+IF(DJ621="D",1,0)+IF(DK621="D",1,0)+IF(DO621="D",1,0)+IF(DP621="D",1,0)+IF(DQ621="D",1,0)+IF(DW621="D",1,0)+IF(DZ621="D",1,0)+IF(EH621="D",1,0)</f>
        <v>0</v>
      </c>
      <c r="AY621" s="0" t="n">
        <f aca="false">COUNTIF(DU621:EH621, "&lt;&gt;")</f>
        <v>0</v>
      </c>
      <c r="AZ621" s="0" t="n">
        <f aca="false">IF(EH621&lt;&gt;"",1,0)</f>
        <v>0</v>
      </c>
      <c r="BB621" s="0" t="s">
        <v>152</v>
      </c>
    </row>
    <row r="622" customFormat="false" ht="13.8" hidden="true" customHeight="false" outlineLevel="0" collapsed="false">
      <c r="A622" s="0" t="s">
        <v>3244</v>
      </c>
      <c r="B622" s="0" t="n">
        <v>78</v>
      </c>
      <c r="C622" s="0" t="n">
        <v>409003</v>
      </c>
      <c r="D622" s="0" t="s">
        <v>1504</v>
      </c>
      <c r="E622" s="0" t="s">
        <v>3245</v>
      </c>
      <c r="F622" s="0" t="str">
        <f aca="false">CONCATENATE(D622," ",LEFT(H622,4),"T=",AU622,"D=",AV622,"R=",AW622,"M=",AX622,"L=",AY622,"B=",AZ622)</f>
        <v>KING T=20D=4R=0M=0L=0B=0</v>
      </c>
      <c r="G622" s="0" t="s">
        <v>2214</v>
      </c>
      <c r="I622" s="0" t="s">
        <v>3246</v>
      </c>
      <c r="J622" s="0" t="s">
        <v>3247</v>
      </c>
      <c r="K622" s="0" t="s">
        <v>160</v>
      </c>
      <c r="M622" s="0" t="s">
        <v>3243</v>
      </c>
      <c r="N622" s="0" t="str">
        <f aca="false">RIGHT(M622,LEN(M622)-FIND(" ",M622))</f>
        <v>FAIRFIELD AVE NE</v>
      </c>
      <c r="P622" s="0" t="s">
        <v>145</v>
      </c>
      <c r="Q622" s="0" t="s">
        <v>146</v>
      </c>
      <c r="R622" s="0" t="n">
        <v>44483</v>
      </c>
      <c r="AD622" s="0" t="s">
        <v>147</v>
      </c>
      <c r="AE622" s="0" t="s">
        <v>148</v>
      </c>
      <c r="AF622" s="0" t="s">
        <v>149</v>
      </c>
      <c r="AH622" s="0" t="n">
        <v>14</v>
      </c>
      <c r="AI622" s="0" t="n">
        <v>11</v>
      </c>
      <c r="AN622" s="0" t="s">
        <v>145</v>
      </c>
      <c r="AO622" s="0" t="s">
        <v>654</v>
      </c>
      <c r="AP622" s="0" t="s">
        <v>655</v>
      </c>
      <c r="AQ622" s="0" t="n">
        <v>9</v>
      </c>
      <c r="AR622" s="0" t="n">
        <v>64</v>
      </c>
      <c r="AS622" s="0" t="n">
        <v>32</v>
      </c>
      <c r="AU622" s="0" t="n">
        <f aca="false">COUNTA($BA$1891:$EH$1891)</f>
        <v>20</v>
      </c>
      <c r="AV622" s="0" t="n">
        <f aca="false">COUNTIF($BA$1891:$EH$1891,"D")</f>
        <v>4</v>
      </c>
      <c r="AW622" s="0" t="n">
        <f aca="false">COUNTIF($BA$1891:$EH$1891,"R")</f>
        <v>0</v>
      </c>
      <c r="AX622" s="0" t="n">
        <f aca="false">IF(BN622="D",1,0)+IF(BO622="D",1,0)+IF(BT622="D",1,0)+IF(BU622="D",1,0)+IF(BW622="D",1,0)+IF(CC622="D",1,0)+IF(CD622="D",1,0)+IF(CE622="D",1,0)+IF(CF622="D",1,0)+IF(CL622="D",1,0)+IF(CM622="D",1,0)+IF(CQ622="D",1,0)+IF(CR622="D",1,0)+IF(CS622="D",1,0)+IF(CW622="D",1,0)+IF(CX622="D",1,0)+IF(DD622="D",1,0)+IF(DE622="D",1,0)+IF(DJ622="D",1,0)+IF(DK622="D",1,0)+IF(DO622="D",1,0)+IF(DP622="D",1,0)+IF(DQ622="D",1,0)+IF(DW622="D",1,0)+IF(DZ622="D",1,0)+IF(EH622="D",1,0)</f>
        <v>0</v>
      </c>
      <c r="AY622" s="0" t="n">
        <f aca="false">COUNTIF(DU622:EH622, "&lt;&gt;")</f>
        <v>0</v>
      </c>
      <c r="AZ622" s="0" t="n">
        <f aca="false">IF(EH622&lt;&gt;"",1,0)</f>
        <v>0</v>
      </c>
      <c r="BB622" s="0" t="s">
        <v>152</v>
      </c>
    </row>
    <row r="623" customFormat="false" ht="13.8" hidden="true" customHeight="false" outlineLevel="0" collapsed="false">
      <c r="A623" s="0" t="s">
        <v>3248</v>
      </c>
      <c r="B623" s="0" t="n">
        <v>78</v>
      </c>
      <c r="C623" s="0" t="n">
        <v>414155</v>
      </c>
      <c r="D623" s="0" t="s">
        <v>1058</v>
      </c>
      <c r="E623" s="0" t="s">
        <v>3167</v>
      </c>
      <c r="F623" s="0" t="str">
        <f aca="false">CONCATENATE(D623," ",LEFT(H623,4),"T=",AU623,"D=",AV623,"R=",AW623,"M=",AX623,"L=",AY623,"B=",AZ623)</f>
        <v>OWENS T=1D=0R=0M=0L=0B=0</v>
      </c>
      <c r="G623" s="0" t="s">
        <v>164</v>
      </c>
      <c r="I623" s="0" t="s">
        <v>3249</v>
      </c>
      <c r="J623" s="0" t="s">
        <v>3250</v>
      </c>
      <c r="K623" s="0" t="s">
        <v>143</v>
      </c>
      <c r="M623" s="0" t="s">
        <v>3251</v>
      </c>
      <c r="N623" s="0" t="str">
        <f aca="false">RIGHT(M623,LEN(M623)-FIND(" ",M623))</f>
        <v>FAIRFIELD AVE NE</v>
      </c>
      <c r="P623" s="0" t="s">
        <v>145</v>
      </c>
      <c r="Q623" s="0" t="s">
        <v>146</v>
      </c>
      <c r="R623" s="0" t="n">
        <v>44483</v>
      </c>
      <c r="AD623" s="0" t="s">
        <v>147</v>
      </c>
      <c r="AE623" s="0" t="s">
        <v>148</v>
      </c>
      <c r="AF623" s="0" t="s">
        <v>149</v>
      </c>
      <c r="AH623" s="0" t="n">
        <v>14</v>
      </c>
      <c r="AI623" s="0" t="n">
        <v>11</v>
      </c>
      <c r="AN623" s="0" t="s">
        <v>145</v>
      </c>
      <c r="AO623" s="0" t="s">
        <v>654</v>
      </c>
      <c r="AP623" s="0" t="s">
        <v>655</v>
      </c>
      <c r="AQ623" s="0" t="n">
        <v>9</v>
      </c>
      <c r="AR623" s="0" t="n">
        <v>64</v>
      </c>
      <c r="AS623" s="0" t="n">
        <v>32</v>
      </c>
      <c r="AU623" s="0" t="n">
        <f aca="false">COUNTA($BA$1306:$EH$1306)</f>
        <v>1</v>
      </c>
      <c r="AV623" s="0" t="n">
        <f aca="false">COUNTIF($BA$1306:$EH$1306,"D")</f>
        <v>0</v>
      </c>
      <c r="AW623" s="0" t="n">
        <f aca="false">COUNTIF($BA$1306:$EH$1306,"R")</f>
        <v>0</v>
      </c>
      <c r="AX623" s="0" t="n">
        <f aca="false">IF(BN623="D",1,0)+IF(BO623="D",1,0)+IF(BT623="D",1,0)+IF(BU623="D",1,0)+IF(BW623="D",1,0)+IF(CC623="D",1,0)+IF(CD623="D",1,0)+IF(CE623="D",1,0)+IF(CF623="D",1,0)+IF(CL623="D",1,0)+IF(CM623="D",1,0)+IF(CQ623="D",1,0)+IF(CR623="D",1,0)+IF(CS623="D",1,0)+IF(CW623="D",1,0)+IF(CX623="D",1,0)+IF(DD623="D",1,0)+IF(DE623="D",1,0)+IF(DJ623="D",1,0)+IF(DK623="D",1,0)+IF(DO623="D",1,0)+IF(DP623="D",1,0)+IF(DQ623="D",1,0)+IF(DW623="D",1,0)+IF(DZ623="D",1,0)+IF(EH623="D",1,0)</f>
        <v>0</v>
      </c>
      <c r="AY623" s="0" t="n">
        <f aca="false">COUNTIF(DU623:EH623, "&lt;&gt;")</f>
        <v>0</v>
      </c>
      <c r="AZ623" s="0" t="n">
        <f aca="false">IF(EH623&lt;&gt;"",1,0)</f>
        <v>0</v>
      </c>
      <c r="BB623" s="0" t="s">
        <v>152</v>
      </c>
      <c r="CZ623" s="0" t="s">
        <v>209</v>
      </c>
    </row>
    <row r="624" customFormat="false" ht="13.8" hidden="true" customHeight="false" outlineLevel="0" collapsed="false">
      <c r="A624" s="0" t="s">
        <v>3252</v>
      </c>
      <c r="B624" s="0" t="n">
        <v>78</v>
      </c>
      <c r="C624" s="0" t="n">
        <v>414156</v>
      </c>
      <c r="D624" s="0" t="s">
        <v>1058</v>
      </c>
      <c r="E624" s="0" t="s">
        <v>3253</v>
      </c>
      <c r="F624" s="0" t="str">
        <f aca="false">CONCATENATE(D624," ",LEFT(H624,4),"T=",AU624,"D=",AV624,"R=",AW624,"M=",AX624,"L=",AY624,"B=",AZ624)</f>
        <v>OWENS T=15D=3R=0M=0L=0B=0</v>
      </c>
      <c r="G624" s="0" t="s">
        <v>190</v>
      </c>
      <c r="I624" s="0" t="s">
        <v>3254</v>
      </c>
      <c r="J624" s="0" t="s">
        <v>3255</v>
      </c>
      <c r="K624" s="0" t="s">
        <v>143</v>
      </c>
      <c r="M624" s="0" t="s">
        <v>3251</v>
      </c>
      <c r="N624" s="0" t="str">
        <f aca="false">RIGHT(M624,LEN(M624)-FIND(" ",M624))</f>
        <v>FAIRFIELD AVE NE</v>
      </c>
      <c r="P624" s="0" t="s">
        <v>145</v>
      </c>
      <c r="Q624" s="0" t="s">
        <v>146</v>
      </c>
      <c r="R624" s="0" t="n">
        <v>44483</v>
      </c>
      <c r="AD624" s="0" t="s">
        <v>147</v>
      </c>
      <c r="AE624" s="0" t="s">
        <v>148</v>
      </c>
      <c r="AF624" s="0" t="s">
        <v>149</v>
      </c>
      <c r="AH624" s="0" t="n">
        <v>14</v>
      </c>
      <c r="AI624" s="0" t="n">
        <v>11</v>
      </c>
      <c r="AN624" s="0" t="s">
        <v>145</v>
      </c>
      <c r="AO624" s="0" t="s">
        <v>654</v>
      </c>
      <c r="AP624" s="0" t="s">
        <v>655</v>
      </c>
      <c r="AQ624" s="0" t="n">
        <v>9</v>
      </c>
      <c r="AR624" s="0" t="n">
        <v>64</v>
      </c>
      <c r="AS624" s="0" t="n">
        <v>32</v>
      </c>
      <c r="AU624" s="0" t="n">
        <f aca="false">COUNTA($BA$1309:$EH$1309)</f>
        <v>15</v>
      </c>
      <c r="AV624" s="0" t="n">
        <f aca="false">COUNTIF($BA$1309:$EH$1309,"D")</f>
        <v>3</v>
      </c>
      <c r="AW624" s="0" t="n">
        <f aca="false">COUNTIF($BA$1309:$EH$1309,"R")</f>
        <v>0</v>
      </c>
      <c r="AX624" s="0" t="n">
        <f aca="false">IF(BN624="D",1,0)+IF(BO624="D",1,0)+IF(BT624="D",1,0)+IF(BU624="D",1,0)+IF(BW624="D",1,0)+IF(CC624="D",1,0)+IF(CD624="D",1,0)+IF(CE624="D",1,0)+IF(CF624="D",1,0)+IF(CL624="D",1,0)+IF(CM624="D",1,0)+IF(CQ624="D",1,0)+IF(CR624="D",1,0)+IF(CS624="D",1,0)+IF(CW624="D",1,0)+IF(CX624="D",1,0)+IF(DD624="D",1,0)+IF(DE624="D",1,0)+IF(DJ624="D",1,0)+IF(DK624="D",1,0)+IF(DO624="D",1,0)+IF(DP624="D",1,0)+IF(DQ624="D",1,0)+IF(DW624="D",1,0)+IF(DZ624="D",1,0)+IF(EH624="D",1,0)</f>
        <v>0</v>
      </c>
      <c r="AY624" s="0" t="n">
        <f aca="false">COUNTIF(DU624:EH624, "&lt;&gt;")</f>
        <v>0</v>
      </c>
      <c r="AZ624" s="0" t="n">
        <f aca="false">IF(EH624&lt;&gt;"",1,0)</f>
        <v>0</v>
      </c>
      <c r="BB624" s="0" t="s">
        <v>152</v>
      </c>
      <c r="CZ624" s="0" t="s">
        <v>209</v>
      </c>
    </row>
    <row r="625" customFormat="false" ht="13.8" hidden="true" customHeight="false" outlineLevel="0" collapsed="false">
      <c r="A625" s="0" t="s">
        <v>3256</v>
      </c>
      <c r="B625" s="0" t="n">
        <v>78</v>
      </c>
      <c r="C625" s="0" t="n">
        <v>404730</v>
      </c>
      <c r="D625" s="0" t="s">
        <v>1058</v>
      </c>
      <c r="E625" s="0" t="s">
        <v>237</v>
      </c>
      <c r="F625" s="0" t="str">
        <f aca="false">CONCATENATE(D625," ",LEFT(H625,4),"T=",AU625,"D=",AV625,"R=",AW625,"M=",AX625,"L=",AY625,"B=",AZ625)</f>
        <v>OWENS T=6D=0R=1M=0L=1B=0</v>
      </c>
      <c r="I625" s="0" t="s">
        <v>3249</v>
      </c>
      <c r="J625" s="0" t="s">
        <v>1038</v>
      </c>
      <c r="K625" s="0" t="s">
        <v>160</v>
      </c>
      <c r="M625" s="0" t="s">
        <v>3251</v>
      </c>
      <c r="N625" s="0" t="str">
        <f aca="false">RIGHT(M625,LEN(M625)-FIND(" ",M625))</f>
        <v>FAIRFIELD AVE NE</v>
      </c>
      <c r="P625" s="0" t="s">
        <v>145</v>
      </c>
      <c r="Q625" s="0" t="s">
        <v>146</v>
      </c>
      <c r="R625" s="0" t="n">
        <v>44483</v>
      </c>
      <c r="AD625" s="0" t="s">
        <v>147</v>
      </c>
      <c r="AE625" s="0" t="s">
        <v>148</v>
      </c>
      <c r="AF625" s="0" t="s">
        <v>149</v>
      </c>
      <c r="AH625" s="0" t="n">
        <v>14</v>
      </c>
      <c r="AI625" s="0" t="n">
        <v>11</v>
      </c>
      <c r="AN625" s="0" t="s">
        <v>145</v>
      </c>
      <c r="AO625" s="0" t="s">
        <v>654</v>
      </c>
      <c r="AP625" s="0" t="s">
        <v>655</v>
      </c>
      <c r="AQ625" s="0" t="n">
        <v>9</v>
      </c>
      <c r="AR625" s="0" t="n">
        <v>64</v>
      </c>
      <c r="AS625" s="0" t="n">
        <v>32</v>
      </c>
      <c r="AU625" s="0" t="n">
        <f aca="false">COUNTA($BA$1862:$EH$1862)</f>
        <v>6</v>
      </c>
      <c r="AV625" s="0" t="n">
        <f aca="false">COUNTIF($BA$1862:$EH$1862,"D")</f>
        <v>0</v>
      </c>
      <c r="AW625" s="0" t="n">
        <f aca="false">COUNTIF($BA$1862:$EH$1862,"R")</f>
        <v>1</v>
      </c>
      <c r="AX625" s="0" t="n">
        <f aca="false">IF(BN625="D",1,0)+IF(BO625="D",1,0)+IF(BT625="D",1,0)+IF(BU625="D",1,0)+IF(BW625="D",1,0)+IF(CC625="D",1,0)+IF(CD625="D",1,0)+IF(CE625="D",1,0)+IF(CF625="D",1,0)+IF(CL625="D",1,0)+IF(CM625="D",1,0)+IF(CQ625="D",1,0)+IF(CR625="D",1,0)+IF(CS625="D",1,0)+IF(CW625="D",1,0)+IF(CX625="D",1,0)+IF(DD625="D",1,0)+IF(DE625="D",1,0)+IF(DJ625="D",1,0)+IF(DK625="D",1,0)+IF(DO625="D",1,0)+IF(DP625="D",1,0)+IF(DQ625="D",1,0)+IF(DW625="D",1,0)+IF(DZ625="D",1,0)+IF(EH625="D",1,0)</f>
        <v>0</v>
      </c>
      <c r="AY625" s="0" t="n">
        <f aca="false">COUNTIF(DU625:EH625, "&lt;&gt;")</f>
        <v>1</v>
      </c>
      <c r="AZ625" s="0" t="n">
        <f aca="false">IF(EH625&lt;&gt;"",1,0)</f>
        <v>0</v>
      </c>
      <c r="BB625" s="0" t="s">
        <v>152</v>
      </c>
      <c r="CH625" s="0" t="s">
        <v>175</v>
      </c>
      <c r="CP625" s="0" t="s">
        <v>153</v>
      </c>
      <c r="CT625" s="0" t="s">
        <v>153</v>
      </c>
      <c r="CV625" s="0" t="s">
        <v>153</v>
      </c>
      <c r="EF625" s="0" t="s">
        <v>153</v>
      </c>
    </row>
    <row r="626" customFormat="false" ht="13.8" hidden="true" customHeight="false" outlineLevel="0" collapsed="false">
      <c r="A626" s="0" t="s">
        <v>3257</v>
      </c>
      <c r="B626" s="0" t="n">
        <v>78</v>
      </c>
      <c r="C626" s="0" t="n">
        <v>428302</v>
      </c>
      <c r="D626" s="0" t="s">
        <v>3258</v>
      </c>
      <c r="E626" s="0" t="s">
        <v>331</v>
      </c>
      <c r="F626" s="0" t="str">
        <f aca="false">CONCATENATE(D626," ",LEFT(H626,4),"T=",AU626,"D=",AV626,"R=",AW626,"M=",AX626,"L=",AY626,"B=",AZ626)</f>
        <v>POLLARD IIT=6D=0R=0M=0L=0B=0</v>
      </c>
      <c r="G626" s="0" t="s">
        <v>3259</v>
      </c>
      <c r="H626" s="0" t="s">
        <v>476</v>
      </c>
      <c r="I626" s="0" t="s">
        <v>3260</v>
      </c>
      <c r="J626" s="0" t="s">
        <v>2103</v>
      </c>
      <c r="K626" s="0" t="s">
        <v>160</v>
      </c>
      <c r="M626" s="0" t="s">
        <v>3261</v>
      </c>
      <c r="N626" s="0" t="str">
        <f aca="false">RIGHT(M626,LEN(M626)-FIND(" ",M626))</f>
        <v>FAIRFIELD AVE NE</v>
      </c>
      <c r="P626" s="0" t="s">
        <v>145</v>
      </c>
      <c r="Q626" s="0" t="s">
        <v>146</v>
      </c>
      <c r="R626" s="0" t="n">
        <v>44483</v>
      </c>
      <c r="AD626" s="0" t="s">
        <v>147</v>
      </c>
      <c r="AE626" s="0" t="s">
        <v>148</v>
      </c>
      <c r="AF626" s="0" t="s">
        <v>149</v>
      </c>
      <c r="AH626" s="0" t="n">
        <v>14</v>
      </c>
      <c r="AI626" s="0" t="n">
        <v>11</v>
      </c>
      <c r="AN626" s="0" t="s">
        <v>145</v>
      </c>
      <c r="AO626" s="0" t="s">
        <v>654</v>
      </c>
      <c r="AP626" s="0" t="s">
        <v>655</v>
      </c>
      <c r="AQ626" s="0" t="n">
        <v>9</v>
      </c>
      <c r="AR626" s="0" t="n">
        <v>64</v>
      </c>
      <c r="AS626" s="0" t="n">
        <v>32</v>
      </c>
      <c r="AU626" s="0" t="n">
        <f aca="false">COUNTA($BA$1307:$EH$1307)</f>
        <v>6</v>
      </c>
      <c r="AV626" s="0" t="n">
        <f aca="false">COUNTIF($BA$1307:$EH$1307,"D")</f>
        <v>0</v>
      </c>
      <c r="AW626" s="0" t="n">
        <f aca="false">COUNTIF($BA$1307:$EH$1307,"R")</f>
        <v>0</v>
      </c>
      <c r="AX626" s="0" t="n">
        <f aca="false">IF(BN626="D",1,0)+IF(BO626="D",1,0)+IF(BT626="D",1,0)+IF(BU626="D",1,0)+IF(BW626="D",1,0)+IF(CC626="D",1,0)+IF(CD626="D",1,0)+IF(CE626="D",1,0)+IF(CF626="D",1,0)+IF(CL626="D",1,0)+IF(CM626="D",1,0)+IF(CQ626="D",1,0)+IF(CR626="D",1,0)+IF(CS626="D",1,0)+IF(CW626="D",1,0)+IF(CX626="D",1,0)+IF(DD626="D",1,0)+IF(DE626="D",1,0)+IF(DJ626="D",1,0)+IF(DK626="D",1,0)+IF(DO626="D",1,0)+IF(DP626="D",1,0)+IF(DQ626="D",1,0)+IF(DW626="D",1,0)+IF(DZ626="D",1,0)+IF(EH626="D",1,0)</f>
        <v>0</v>
      </c>
      <c r="AY626" s="0" t="n">
        <f aca="false">COUNTIF(DU626:EH626, "&lt;&gt;")</f>
        <v>0</v>
      </c>
      <c r="AZ626" s="0" t="n">
        <f aca="false">IF(EH626&lt;&gt;"",1,0)</f>
        <v>0</v>
      </c>
      <c r="BB626" s="0" t="s">
        <v>152</v>
      </c>
      <c r="CA626" s="0" t="s">
        <v>153</v>
      </c>
      <c r="CP626" s="0" t="s">
        <v>153</v>
      </c>
    </row>
    <row r="627" customFormat="false" ht="13.8" hidden="true" customHeight="false" outlineLevel="0" collapsed="false">
      <c r="A627" s="0" t="s">
        <v>3262</v>
      </c>
      <c r="B627" s="0" t="n">
        <v>78</v>
      </c>
      <c r="C627" s="0" t="n">
        <v>431464</v>
      </c>
      <c r="D627" s="0" t="s">
        <v>3263</v>
      </c>
      <c r="E627" s="0" t="s">
        <v>1229</v>
      </c>
      <c r="F627" s="0" t="str">
        <f aca="false">CONCATENATE(D627," ",LEFT(H627,4),"T=",AU627,"D=",AV627,"R=",AW627,"M=",AX627,"L=",AY627,"B=",AZ627)</f>
        <v>PUGH T=2D=0R=0M=0L=0B=0</v>
      </c>
      <c r="G627" s="0" t="s">
        <v>195</v>
      </c>
      <c r="I627" s="0" t="s">
        <v>3264</v>
      </c>
      <c r="J627" s="0" t="s">
        <v>2984</v>
      </c>
      <c r="K627" s="0" t="s">
        <v>143</v>
      </c>
      <c r="M627" s="0" t="s">
        <v>3261</v>
      </c>
      <c r="N627" s="0" t="str">
        <f aca="false">RIGHT(M627,LEN(M627)-FIND(" ",M627))</f>
        <v>FAIRFIELD AVE NE</v>
      </c>
      <c r="P627" s="0" t="s">
        <v>145</v>
      </c>
      <c r="Q627" s="0" t="s">
        <v>146</v>
      </c>
      <c r="R627" s="0" t="n">
        <v>44483</v>
      </c>
      <c r="AD627" s="0" t="s">
        <v>147</v>
      </c>
      <c r="AE627" s="0" t="s">
        <v>148</v>
      </c>
      <c r="AF627" s="0" t="s">
        <v>149</v>
      </c>
      <c r="AH627" s="0" t="n">
        <v>14</v>
      </c>
      <c r="AI627" s="0" t="n">
        <v>11</v>
      </c>
      <c r="AN627" s="0" t="s">
        <v>145</v>
      </c>
      <c r="AO627" s="0" t="s">
        <v>654</v>
      </c>
      <c r="AP627" s="0" t="s">
        <v>655</v>
      </c>
      <c r="AQ627" s="0" t="n">
        <v>9</v>
      </c>
      <c r="AR627" s="0" t="n">
        <v>64</v>
      </c>
      <c r="AS627" s="0" t="n">
        <v>32</v>
      </c>
      <c r="AU627" s="0" t="n">
        <f aca="false">COUNTA($BA$1554:$EH$1554)</f>
        <v>2</v>
      </c>
      <c r="AV627" s="0" t="n">
        <f aca="false">COUNTIF($BA$1554:$EH$1554,"D")</f>
        <v>0</v>
      </c>
      <c r="AW627" s="0" t="n">
        <f aca="false">COUNTIF($BA$1554:$EH$1554,"R")</f>
        <v>0</v>
      </c>
      <c r="AX627" s="0" t="n">
        <f aca="false">IF(BN627="D",1,0)+IF(BO627="D",1,0)+IF(BT627="D",1,0)+IF(BU627="D",1,0)+IF(BW627="D",1,0)+IF(CC627="D",1,0)+IF(CD627="D",1,0)+IF(CE627="D",1,0)+IF(CF627="D",1,0)+IF(CL627="D",1,0)+IF(CM627="D",1,0)+IF(CQ627="D",1,0)+IF(CR627="D",1,0)+IF(CS627="D",1,0)+IF(CW627="D",1,0)+IF(CX627="D",1,0)+IF(DD627="D",1,0)+IF(DE627="D",1,0)+IF(DJ627="D",1,0)+IF(DK627="D",1,0)+IF(DO627="D",1,0)+IF(DP627="D",1,0)+IF(DQ627="D",1,0)+IF(DW627="D",1,0)+IF(DZ627="D",1,0)+IF(EH627="D",1,0)</f>
        <v>0</v>
      </c>
      <c r="AY627" s="0" t="n">
        <f aca="false">COUNTIF(DU627:EH627, "&lt;&gt;")</f>
        <v>0</v>
      </c>
      <c r="AZ627" s="0" t="n">
        <f aca="false">IF(EH627&lt;&gt;"",1,0)</f>
        <v>0</v>
      </c>
      <c r="BB627" s="0" t="s">
        <v>152</v>
      </c>
    </row>
    <row r="628" customFormat="false" ht="13.8" hidden="true" customHeight="false" outlineLevel="0" collapsed="false">
      <c r="A628" s="0" t="s">
        <v>3265</v>
      </c>
      <c r="B628" s="0" t="n">
        <v>78</v>
      </c>
      <c r="C628" s="0" t="n">
        <v>454778</v>
      </c>
      <c r="D628" s="0" t="s">
        <v>636</v>
      </c>
      <c r="E628" s="0" t="s">
        <v>3266</v>
      </c>
      <c r="F628" s="0" t="str">
        <f aca="false">CONCATENATE(D628," ",LEFT(H628,4),"T=",AU628,"D=",AV628,"R=",AW628,"M=",AX628,"L=",AY628,"B=",AZ628)</f>
        <v>ADAMS T=6D=0R=1M=0L=1B=0</v>
      </c>
      <c r="G628" s="0" t="s">
        <v>670</v>
      </c>
      <c r="I628" s="0" t="s">
        <v>3267</v>
      </c>
      <c r="J628" s="0" t="s">
        <v>570</v>
      </c>
      <c r="K628" s="0" t="s">
        <v>160</v>
      </c>
      <c r="M628" s="0" t="s">
        <v>3268</v>
      </c>
      <c r="N628" s="0" t="str">
        <f aca="false">RIGHT(M628,LEN(M628)-FIND(" ",M628))</f>
        <v>FAIRFIELD AVE NE</v>
      </c>
      <c r="P628" s="0" t="s">
        <v>145</v>
      </c>
      <c r="Q628" s="0" t="s">
        <v>146</v>
      </c>
      <c r="R628" s="0" t="n">
        <v>44483</v>
      </c>
      <c r="AD628" s="0" t="s">
        <v>147</v>
      </c>
      <c r="AE628" s="0" t="s">
        <v>148</v>
      </c>
      <c r="AF628" s="0" t="s">
        <v>149</v>
      </c>
      <c r="AH628" s="0" t="n">
        <v>14</v>
      </c>
      <c r="AI628" s="0" t="n">
        <v>11</v>
      </c>
      <c r="AN628" s="0" t="s">
        <v>145</v>
      </c>
      <c r="AO628" s="0" t="s">
        <v>654</v>
      </c>
      <c r="AP628" s="0" t="s">
        <v>655</v>
      </c>
      <c r="AQ628" s="0" t="n">
        <v>9</v>
      </c>
      <c r="AR628" s="0" t="n">
        <v>64</v>
      </c>
      <c r="AS628" s="0" t="n">
        <v>32</v>
      </c>
      <c r="AU628" s="0" t="n">
        <f aca="false">COUNTA($BA$1105:$EH$1105)</f>
        <v>6</v>
      </c>
      <c r="AV628" s="0" t="n">
        <f aca="false">COUNTIF($BA$1105:$EH$1105,"D")</f>
        <v>0</v>
      </c>
      <c r="AW628" s="0" t="n">
        <f aca="false">COUNTIF($BA$1105:$EH$1105,"R")</f>
        <v>1</v>
      </c>
      <c r="AX628" s="0" t="n">
        <f aca="false">IF(BN628="D",1,0)+IF(BO628="D",1,0)+IF(BT628="D",1,0)+IF(BU628="D",1,0)+IF(BW628="D",1,0)+IF(CC628="D",1,0)+IF(CD628="D",1,0)+IF(CE628="D",1,0)+IF(CF628="D",1,0)+IF(CL628="D",1,0)+IF(CM628="D",1,0)+IF(CQ628="D",1,0)+IF(CR628="D",1,0)+IF(CS628="D",1,0)+IF(CW628="D",1,0)+IF(CX628="D",1,0)+IF(DD628="D",1,0)+IF(DE628="D",1,0)+IF(DJ628="D",1,0)+IF(DK628="D",1,0)+IF(DO628="D",1,0)+IF(DP628="D",1,0)+IF(DQ628="D",1,0)+IF(DW628="D",1,0)+IF(DZ628="D",1,0)+IF(EH628="D",1,0)</f>
        <v>0</v>
      </c>
      <c r="AY628" s="0" t="n">
        <f aca="false">COUNTIF(DU628:EH628, "&lt;&gt;")</f>
        <v>1</v>
      </c>
      <c r="AZ628" s="0" t="n">
        <f aca="false">IF(EH628&lt;&gt;"",1,0)</f>
        <v>0</v>
      </c>
      <c r="BB628" s="0" t="s">
        <v>152</v>
      </c>
      <c r="EA628" s="0" t="s">
        <v>153</v>
      </c>
    </row>
    <row r="629" customFormat="false" ht="13.8" hidden="true" customHeight="false" outlineLevel="0" collapsed="false">
      <c r="A629" s="0" t="s">
        <v>3269</v>
      </c>
      <c r="B629" s="0" t="n">
        <v>78</v>
      </c>
      <c r="C629" s="0" t="n">
        <v>368244</v>
      </c>
      <c r="D629" s="0" t="s">
        <v>588</v>
      </c>
      <c r="E629" s="0" t="s">
        <v>2573</v>
      </c>
      <c r="F629" s="0" t="str">
        <f aca="false">CONCATENATE(D629," ",LEFT(H629,4),"T=",AU629,"D=",AV629,"R=",AW629,"M=",AX629,"L=",AY629,"B=",AZ629)</f>
        <v>PLACER T=4D=0R=0M=0L=0B=0</v>
      </c>
      <c r="G629" s="0" t="s">
        <v>3270</v>
      </c>
      <c r="I629" s="0" t="s">
        <v>3271</v>
      </c>
      <c r="J629" s="0" t="s">
        <v>3272</v>
      </c>
      <c r="K629" s="0" t="s">
        <v>143</v>
      </c>
      <c r="M629" s="0" t="s">
        <v>3268</v>
      </c>
      <c r="N629" s="0" t="str">
        <f aca="false">RIGHT(M629,LEN(M629)-FIND(" ",M629))</f>
        <v>FAIRFIELD AVE NE</v>
      </c>
      <c r="P629" s="0" t="s">
        <v>145</v>
      </c>
      <c r="Q629" s="0" t="s">
        <v>146</v>
      </c>
      <c r="R629" s="0" t="n">
        <v>44483</v>
      </c>
      <c r="AD629" s="0" t="s">
        <v>147</v>
      </c>
      <c r="AE629" s="0" t="s">
        <v>148</v>
      </c>
      <c r="AF629" s="0" t="s">
        <v>149</v>
      </c>
      <c r="AH629" s="0" t="n">
        <v>14</v>
      </c>
      <c r="AI629" s="0" t="n">
        <v>11</v>
      </c>
      <c r="AN629" s="0" t="s">
        <v>145</v>
      </c>
      <c r="AO629" s="0" t="s">
        <v>654</v>
      </c>
      <c r="AP629" s="0" t="s">
        <v>655</v>
      </c>
      <c r="AQ629" s="0" t="n">
        <v>9</v>
      </c>
      <c r="AR629" s="0" t="n">
        <v>64</v>
      </c>
      <c r="AS629" s="0" t="n">
        <v>32</v>
      </c>
      <c r="AU629" s="0" t="n">
        <f aca="false">COUNTA($BA$1277:$EH$1277)</f>
        <v>4</v>
      </c>
      <c r="AV629" s="0" t="n">
        <f aca="false">COUNTIF($BA$1277:$EH$1277,"D")</f>
        <v>0</v>
      </c>
      <c r="AW629" s="0" t="n">
        <f aca="false">COUNTIF($BA$1277:$EH$1277,"R")</f>
        <v>0</v>
      </c>
      <c r="AX629" s="0" t="n">
        <f aca="false">IF(BN629="D",1,0)+IF(BO629="D",1,0)+IF(BT629="D",1,0)+IF(BU629="D",1,0)+IF(BW629="D",1,0)+IF(CC629="D",1,0)+IF(CD629="D",1,0)+IF(CE629="D",1,0)+IF(CF629="D",1,0)+IF(CL629="D",1,0)+IF(CM629="D",1,0)+IF(CQ629="D",1,0)+IF(CR629="D",1,0)+IF(CS629="D",1,0)+IF(CW629="D",1,0)+IF(CX629="D",1,0)+IF(DD629="D",1,0)+IF(DE629="D",1,0)+IF(DJ629="D",1,0)+IF(DK629="D",1,0)+IF(DO629="D",1,0)+IF(DP629="D",1,0)+IF(DQ629="D",1,0)+IF(DW629="D",1,0)+IF(DZ629="D",1,0)+IF(EH629="D",1,0)</f>
        <v>0</v>
      </c>
      <c r="AY629" s="0" t="n">
        <f aca="false">COUNTIF(DU629:EH629, "&lt;&gt;")</f>
        <v>0</v>
      </c>
      <c r="AZ629" s="0" t="n">
        <f aca="false">IF(EH629&lt;&gt;"",1,0)</f>
        <v>0</v>
      </c>
      <c r="BB629" s="0" t="s">
        <v>152</v>
      </c>
      <c r="CP629" s="0" t="s">
        <v>153</v>
      </c>
    </row>
    <row r="630" customFormat="false" ht="13.8" hidden="true" customHeight="false" outlineLevel="0" collapsed="false">
      <c r="A630" s="0" t="s">
        <v>3273</v>
      </c>
      <c r="B630" s="0" t="n">
        <v>78</v>
      </c>
      <c r="C630" s="0" t="n">
        <v>290481</v>
      </c>
      <c r="D630" s="0" t="s">
        <v>636</v>
      </c>
      <c r="E630" s="0" t="s">
        <v>3274</v>
      </c>
      <c r="F630" s="0" t="str">
        <f aca="false">CONCATENATE(D630," ",LEFT(H630,4),"T=",AU630,"D=",AV630,"R=",AW630,"M=",AX630,"L=",AY630,"B=",AZ630)</f>
        <v>ADAMS T=9D=1R=0M=0L=0B=0</v>
      </c>
      <c r="I630" s="0" t="s">
        <v>3275</v>
      </c>
      <c r="J630" s="0" t="s">
        <v>478</v>
      </c>
      <c r="K630" s="0" t="s">
        <v>143</v>
      </c>
      <c r="M630" s="0" t="s">
        <v>3268</v>
      </c>
      <c r="N630" s="0" t="str">
        <f aca="false">RIGHT(M630,LEN(M630)-FIND(" ",M630))</f>
        <v>FAIRFIELD AVE NE</v>
      </c>
      <c r="P630" s="0" t="s">
        <v>145</v>
      </c>
      <c r="Q630" s="0" t="s">
        <v>146</v>
      </c>
      <c r="R630" s="0" t="n">
        <v>44483</v>
      </c>
      <c r="AD630" s="0" t="s">
        <v>147</v>
      </c>
      <c r="AE630" s="0" t="s">
        <v>148</v>
      </c>
      <c r="AF630" s="0" t="s">
        <v>149</v>
      </c>
      <c r="AH630" s="0" t="n">
        <v>14</v>
      </c>
      <c r="AI630" s="0" t="n">
        <v>11</v>
      </c>
      <c r="AN630" s="0" t="s">
        <v>145</v>
      </c>
      <c r="AO630" s="0" t="s">
        <v>654</v>
      </c>
      <c r="AP630" s="0" t="s">
        <v>655</v>
      </c>
      <c r="AQ630" s="0" t="n">
        <v>9</v>
      </c>
      <c r="AR630" s="0" t="n">
        <v>64</v>
      </c>
      <c r="AS630" s="0" t="n">
        <v>32</v>
      </c>
      <c r="AU630" s="0" t="n">
        <f aca="false">COUNTA($BA$1984:$EH$1984)</f>
        <v>9</v>
      </c>
      <c r="AV630" s="0" t="n">
        <f aca="false">COUNTIF($BA$1984:$EH$1984,"D")</f>
        <v>1</v>
      </c>
      <c r="AW630" s="0" t="n">
        <f aca="false">COUNTIF($BA$1984:$EH$1984,"R")</f>
        <v>0</v>
      </c>
      <c r="AX630" s="0" t="n">
        <f aca="false">IF(BN630="D",1,0)+IF(BO630="D",1,0)+IF(BT630="D",1,0)+IF(BU630="D",1,0)+IF(BW630="D",1,0)+IF(CC630="D",1,0)+IF(CD630="D",1,0)+IF(CE630="D",1,0)+IF(CF630="D",1,0)+IF(CL630="D",1,0)+IF(CM630="D",1,0)+IF(CQ630="D",1,0)+IF(CR630="D",1,0)+IF(CS630="D",1,0)+IF(CW630="D",1,0)+IF(CX630="D",1,0)+IF(DD630="D",1,0)+IF(DE630="D",1,0)+IF(DJ630="D",1,0)+IF(DK630="D",1,0)+IF(DO630="D",1,0)+IF(DP630="D",1,0)+IF(DQ630="D",1,0)+IF(DW630="D",1,0)+IF(DZ630="D",1,0)+IF(EH630="D",1,0)</f>
        <v>0</v>
      </c>
      <c r="AY630" s="0" t="n">
        <f aca="false">COUNTIF(DU630:EH630, "&lt;&gt;")</f>
        <v>0</v>
      </c>
      <c r="AZ630" s="0" t="n">
        <f aca="false">IF(EH630&lt;&gt;"",1,0)</f>
        <v>0</v>
      </c>
      <c r="BB630" s="0" t="s">
        <v>152</v>
      </c>
      <c r="BL630" s="0" t="s">
        <v>153</v>
      </c>
    </row>
    <row r="631" customFormat="false" ht="13.8" hidden="true" customHeight="false" outlineLevel="0" collapsed="false">
      <c r="A631" s="0" t="s">
        <v>3276</v>
      </c>
      <c r="B631" s="0" t="n">
        <v>78</v>
      </c>
      <c r="C631" s="0" t="n">
        <v>400460</v>
      </c>
      <c r="D631" s="0" t="s">
        <v>636</v>
      </c>
      <c r="E631" s="0" t="s">
        <v>2904</v>
      </c>
      <c r="F631" s="0" t="str">
        <f aca="false">CONCATENATE(D631," ",LEFT(H631,4),"T=",AU631,"D=",AV631,"R=",AW631,"M=",AX631,"L=",AY631,"B=",AZ631)</f>
        <v>ADAMS T=2D=0R=0M=0L=0B=0</v>
      </c>
      <c r="G631" s="0" t="s">
        <v>522</v>
      </c>
      <c r="I631" s="0" t="s">
        <v>3277</v>
      </c>
      <c r="J631" s="0" t="s">
        <v>3278</v>
      </c>
      <c r="K631" s="0" t="s">
        <v>160</v>
      </c>
      <c r="M631" s="0" t="s">
        <v>3268</v>
      </c>
      <c r="N631" s="0" t="str">
        <f aca="false">RIGHT(M631,LEN(M631)-FIND(" ",M631))</f>
        <v>FAIRFIELD AVE NE</v>
      </c>
      <c r="P631" s="0" t="s">
        <v>145</v>
      </c>
      <c r="Q631" s="0" t="s">
        <v>146</v>
      </c>
      <c r="R631" s="0" t="n">
        <v>44483</v>
      </c>
      <c r="AD631" s="0" t="s">
        <v>147</v>
      </c>
      <c r="AE631" s="0" t="s">
        <v>148</v>
      </c>
      <c r="AF631" s="0" t="s">
        <v>149</v>
      </c>
      <c r="AH631" s="0" t="n">
        <v>14</v>
      </c>
      <c r="AI631" s="0" t="n">
        <v>11</v>
      </c>
      <c r="AN631" s="0" t="s">
        <v>145</v>
      </c>
      <c r="AO631" s="0" t="s">
        <v>654</v>
      </c>
      <c r="AP631" s="0" t="s">
        <v>655</v>
      </c>
      <c r="AQ631" s="0" t="n">
        <v>9</v>
      </c>
      <c r="AR631" s="0" t="n">
        <v>64</v>
      </c>
      <c r="AS631" s="0" t="n">
        <v>32</v>
      </c>
      <c r="AU631" s="0" t="n">
        <f aca="false">COUNTA($BA$2057:$EH$2057)</f>
        <v>2</v>
      </c>
      <c r="AV631" s="0" t="n">
        <f aca="false">COUNTIF($BA$2057:$EH$2057,"D")</f>
        <v>0</v>
      </c>
      <c r="AW631" s="0" t="n">
        <f aca="false">COUNTIF($BA$2057:$EH$2057,"R")</f>
        <v>0</v>
      </c>
      <c r="AX631" s="0" t="n">
        <f aca="false">IF(BN631="D",1,0)+IF(BO631="D",1,0)+IF(BT631="D",1,0)+IF(BU631="D",1,0)+IF(BW631="D",1,0)+IF(CC631="D",1,0)+IF(CD631="D",1,0)+IF(CE631="D",1,0)+IF(CF631="D",1,0)+IF(CL631="D",1,0)+IF(CM631="D",1,0)+IF(CQ631="D",1,0)+IF(CR631="D",1,0)+IF(CS631="D",1,0)+IF(CW631="D",1,0)+IF(CX631="D",1,0)+IF(DD631="D",1,0)+IF(DE631="D",1,0)+IF(DJ631="D",1,0)+IF(DK631="D",1,0)+IF(DO631="D",1,0)+IF(DP631="D",1,0)+IF(DQ631="D",1,0)+IF(DW631="D",1,0)+IF(DZ631="D",1,0)+IF(EH631="D",1,0)</f>
        <v>0</v>
      </c>
      <c r="AY631" s="0" t="n">
        <f aca="false">COUNTIF(DU631:EH631, "&lt;&gt;")</f>
        <v>0</v>
      </c>
      <c r="AZ631" s="0" t="n">
        <f aca="false">IF(EH631&lt;&gt;"",1,0)</f>
        <v>0</v>
      </c>
      <c r="BB631" s="0" t="s">
        <v>152</v>
      </c>
    </row>
    <row r="632" customFormat="false" ht="13.8" hidden="true" customHeight="false" outlineLevel="0" collapsed="false">
      <c r="A632" s="0" t="s">
        <v>3279</v>
      </c>
      <c r="B632" s="0" t="n">
        <v>78</v>
      </c>
      <c r="C632" s="0" t="n">
        <v>496031</v>
      </c>
      <c r="D632" s="0" t="s">
        <v>3280</v>
      </c>
      <c r="E632" s="0" t="s">
        <v>3281</v>
      </c>
      <c r="F632" s="0" t="str">
        <f aca="false">CONCATENATE(D632," ",LEFT(H632,4),"T=",AU632,"D=",AV632,"R=",AW632,"M=",AX632,"L=",AY632,"B=",AZ632)</f>
        <v>GRAY T=1D=0R=0M=0L=0B=0</v>
      </c>
      <c r="G632" s="0" t="s">
        <v>424</v>
      </c>
      <c r="I632" s="0" t="s">
        <v>3282</v>
      </c>
      <c r="J632" s="0" t="s">
        <v>3283</v>
      </c>
      <c r="K632" s="0" t="s">
        <v>160</v>
      </c>
      <c r="M632" s="0" t="s">
        <v>3284</v>
      </c>
      <c r="N632" s="0" t="str">
        <f aca="false">RIGHT(M632,LEN(M632)-FIND(" ",M632))</f>
        <v>FAIRFIELD AVE NE</v>
      </c>
      <c r="P632" s="0" t="s">
        <v>145</v>
      </c>
      <c r="Q632" s="0" t="s">
        <v>146</v>
      </c>
      <c r="R632" s="0" t="n">
        <v>44483</v>
      </c>
      <c r="AD632" s="0" t="s">
        <v>147</v>
      </c>
      <c r="AE632" s="0" t="s">
        <v>148</v>
      </c>
      <c r="AF632" s="0" t="s">
        <v>149</v>
      </c>
      <c r="AH632" s="0" t="n">
        <v>14</v>
      </c>
      <c r="AI632" s="0" t="n">
        <v>11</v>
      </c>
      <c r="AN632" s="0" t="s">
        <v>145</v>
      </c>
      <c r="AO632" s="0" t="s">
        <v>654</v>
      </c>
      <c r="AP632" s="0" t="s">
        <v>655</v>
      </c>
      <c r="AQ632" s="0" t="n">
        <v>9</v>
      </c>
      <c r="AR632" s="0" t="n">
        <v>64</v>
      </c>
      <c r="AS632" s="0" t="n">
        <v>32</v>
      </c>
      <c r="AU632" s="0" t="n">
        <f aca="false">COUNTA($BA$1483:$EH$1483)</f>
        <v>1</v>
      </c>
      <c r="AV632" s="0" t="n">
        <f aca="false">COUNTIF($BA$1483:$EH$1483,"D")</f>
        <v>0</v>
      </c>
      <c r="AW632" s="0" t="n">
        <f aca="false">COUNTIF($BA$1483:$EH$1483,"R")</f>
        <v>0</v>
      </c>
      <c r="AX632" s="0" t="n">
        <f aca="false">IF(BN632="D",1,0)+IF(BO632="D",1,0)+IF(BT632="D",1,0)+IF(BU632="D",1,0)+IF(BW632="D",1,0)+IF(CC632="D",1,0)+IF(CD632="D",1,0)+IF(CE632="D",1,0)+IF(CF632="D",1,0)+IF(CL632="D",1,0)+IF(CM632="D",1,0)+IF(CQ632="D",1,0)+IF(CR632="D",1,0)+IF(CS632="D",1,0)+IF(CW632="D",1,0)+IF(CX632="D",1,0)+IF(DD632="D",1,0)+IF(DE632="D",1,0)+IF(DJ632="D",1,0)+IF(DK632="D",1,0)+IF(DO632="D",1,0)+IF(DP632="D",1,0)+IF(DQ632="D",1,0)+IF(DW632="D",1,0)+IF(DZ632="D",1,0)+IF(EH632="D",1,0)</f>
        <v>0</v>
      </c>
      <c r="AY632" s="0" t="n">
        <f aca="false">COUNTIF(DU632:EH632, "&lt;&gt;")</f>
        <v>0</v>
      </c>
      <c r="AZ632" s="0" t="n">
        <f aca="false">IF(EH632&lt;&gt;"",1,0)</f>
        <v>0</v>
      </c>
      <c r="BB632" s="0" t="s">
        <v>152</v>
      </c>
    </row>
    <row r="633" customFormat="false" ht="13.8" hidden="true" customHeight="false" outlineLevel="0" collapsed="false">
      <c r="A633" s="0" t="s">
        <v>3285</v>
      </c>
      <c r="B633" s="0" t="n">
        <v>78</v>
      </c>
      <c r="C633" s="0" t="n">
        <v>428219</v>
      </c>
      <c r="D633" s="0" t="s">
        <v>3097</v>
      </c>
      <c r="E633" s="0" t="s">
        <v>324</v>
      </c>
      <c r="F633" s="0" t="str">
        <f aca="false">CONCATENATE(D633," ",LEFT(H633,4),"T=",AU633,"D=",AV633,"R=",AW633,"M=",AX633,"L=",AY633,"B=",AZ633)</f>
        <v>ROBERTS T=1D=0R=0M=0L=0B=0</v>
      </c>
      <c r="G633" s="0" t="s">
        <v>3286</v>
      </c>
      <c r="I633" s="0" t="s">
        <v>3287</v>
      </c>
      <c r="J633" s="0" t="s">
        <v>3288</v>
      </c>
      <c r="K633" s="0" t="s">
        <v>143</v>
      </c>
      <c r="M633" s="0" t="s">
        <v>3284</v>
      </c>
      <c r="N633" s="0" t="str">
        <f aca="false">RIGHT(M633,LEN(M633)-FIND(" ",M633))</f>
        <v>FAIRFIELD AVE NE</v>
      </c>
      <c r="P633" s="0" t="s">
        <v>145</v>
      </c>
      <c r="Q633" s="0" t="s">
        <v>146</v>
      </c>
      <c r="R633" s="0" t="n">
        <v>44483</v>
      </c>
      <c r="AD633" s="0" t="s">
        <v>147</v>
      </c>
      <c r="AE633" s="0" t="s">
        <v>148</v>
      </c>
      <c r="AF633" s="0" t="s">
        <v>149</v>
      </c>
      <c r="AH633" s="0" t="n">
        <v>14</v>
      </c>
      <c r="AI633" s="0" t="n">
        <v>11</v>
      </c>
      <c r="AN633" s="0" t="s">
        <v>145</v>
      </c>
      <c r="AO633" s="0" t="s">
        <v>654</v>
      </c>
      <c r="AP633" s="0" t="s">
        <v>655</v>
      </c>
      <c r="AQ633" s="0" t="n">
        <v>9</v>
      </c>
      <c r="AR633" s="0" t="n">
        <v>64</v>
      </c>
      <c r="AS633" s="0" t="n">
        <v>32</v>
      </c>
      <c r="AU633" s="0" t="n">
        <f aca="false">COUNTA($BA$1572:$EH$1572)</f>
        <v>1</v>
      </c>
      <c r="AV633" s="0" t="n">
        <f aca="false">COUNTIF($BA$1572:$EH$1572,"D")</f>
        <v>0</v>
      </c>
      <c r="AW633" s="0" t="n">
        <f aca="false">COUNTIF($BA$1572:$EH$1572,"R")</f>
        <v>0</v>
      </c>
      <c r="AX633" s="0" t="n">
        <f aca="false">IF(BN633="D",1,0)+IF(BO633="D",1,0)+IF(BT633="D",1,0)+IF(BU633="D",1,0)+IF(BW633="D",1,0)+IF(CC633="D",1,0)+IF(CD633="D",1,0)+IF(CE633="D",1,0)+IF(CF633="D",1,0)+IF(CL633="D",1,0)+IF(CM633="D",1,0)+IF(CQ633="D",1,0)+IF(CR633="D",1,0)+IF(CS633="D",1,0)+IF(CW633="D",1,0)+IF(CX633="D",1,0)+IF(DD633="D",1,0)+IF(DE633="D",1,0)+IF(DJ633="D",1,0)+IF(DK633="D",1,0)+IF(DO633="D",1,0)+IF(DP633="D",1,0)+IF(DQ633="D",1,0)+IF(DW633="D",1,0)+IF(DZ633="D",1,0)+IF(EH633="D",1,0)</f>
        <v>0</v>
      </c>
      <c r="AY633" s="0" t="n">
        <f aca="false">COUNTIF(DU633:EH633, "&lt;&gt;")</f>
        <v>0</v>
      </c>
      <c r="AZ633" s="0" t="n">
        <f aca="false">IF(EH633&lt;&gt;"",1,0)</f>
        <v>0</v>
      </c>
      <c r="BB633" s="0" t="s">
        <v>152</v>
      </c>
    </row>
    <row r="634" customFormat="false" ht="13.8" hidden="true" customHeight="false" outlineLevel="0" collapsed="false">
      <c r="A634" s="0" t="s">
        <v>3289</v>
      </c>
      <c r="B634" s="0" t="n">
        <v>78</v>
      </c>
      <c r="C634" s="0" t="n">
        <v>346158</v>
      </c>
      <c r="D634" s="0" t="s">
        <v>3280</v>
      </c>
      <c r="E634" s="0" t="s">
        <v>2024</v>
      </c>
      <c r="F634" s="0" t="str">
        <f aca="false">CONCATENATE(D634," ",LEFT(H634,4),"T=",AU634,"D=",AV634,"R=",AW634,"M=",AX634,"L=",AY634,"B=",AZ634)</f>
        <v>GRAY T=1D=0R=0M=0L=0B=0</v>
      </c>
      <c r="G634" s="0" t="s">
        <v>839</v>
      </c>
      <c r="I634" s="0" t="s">
        <v>3290</v>
      </c>
      <c r="J634" s="0" t="s">
        <v>257</v>
      </c>
      <c r="K634" s="0" t="s">
        <v>143</v>
      </c>
      <c r="M634" s="0" t="s">
        <v>3284</v>
      </c>
      <c r="N634" s="0" t="str">
        <f aca="false">RIGHT(M634,LEN(M634)-FIND(" ",M634))</f>
        <v>FAIRFIELD AVE NE</v>
      </c>
      <c r="P634" s="0" t="s">
        <v>145</v>
      </c>
      <c r="Q634" s="0" t="s">
        <v>146</v>
      </c>
      <c r="R634" s="0" t="n">
        <v>44483</v>
      </c>
      <c r="AD634" s="0" t="s">
        <v>147</v>
      </c>
      <c r="AE634" s="0" t="s">
        <v>148</v>
      </c>
      <c r="AF634" s="0" t="s">
        <v>149</v>
      </c>
      <c r="AH634" s="0" t="n">
        <v>14</v>
      </c>
      <c r="AI634" s="0" t="n">
        <v>11</v>
      </c>
      <c r="AN634" s="0" t="s">
        <v>145</v>
      </c>
      <c r="AO634" s="0" t="s">
        <v>654</v>
      </c>
      <c r="AP634" s="0" t="s">
        <v>655</v>
      </c>
      <c r="AQ634" s="0" t="n">
        <v>9</v>
      </c>
      <c r="AR634" s="0" t="n">
        <v>64</v>
      </c>
      <c r="AS634" s="0" t="n">
        <v>32</v>
      </c>
      <c r="AU634" s="0" t="n">
        <f aca="false">COUNTA($BA$1592:$EH$1592)</f>
        <v>1</v>
      </c>
      <c r="AV634" s="0" t="n">
        <f aca="false">COUNTIF($BA$1592:$EH$1592,"D")</f>
        <v>0</v>
      </c>
      <c r="AW634" s="0" t="n">
        <f aca="false">COUNTIF($BA$1592:$EH$1592,"R")</f>
        <v>0</v>
      </c>
      <c r="AX634" s="0" t="n">
        <f aca="false">IF(BN634="D",1,0)+IF(BO634="D",1,0)+IF(BT634="D",1,0)+IF(BU634="D",1,0)+IF(BW634="D",1,0)+IF(CC634="D",1,0)+IF(CD634="D",1,0)+IF(CE634="D",1,0)+IF(CF634="D",1,0)+IF(CL634="D",1,0)+IF(CM634="D",1,0)+IF(CQ634="D",1,0)+IF(CR634="D",1,0)+IF(CS634="D",1,0)+IF(CW634="D",1,0)+IF(CX634="D",1,0)+IF(DD634="D",1,0)+IF(DE634="D",1,0)+IF(DJ634="D",1,0)+IF(DK634="D",1,0)+IF(DO634="D",1,0)+IF(DP634="D",1,0)+IF(DQ634="D",1,0)+IF(DW634="D",1,0)+IF(DZ634="D",1,0)+IF(EH634="D",1,0)</f>
        <v>0</v>
      </c>
      <c r="AY634" s="0" t="n">
        <f aca="false">COUNTIF(DU634:EH634, "&lt;&gt;")</f>
        <v>0</v>
      </c>
      <c r="AZ634" s="0" t="n">
        <f aca="false">IF(EH634&lt;&gt;"",1,0)</f>
        <v>0</v>
      </c>
      <c r="BB634" s="0" t="s">
        <v>152</v>
      </c>
      <c r="BY634" s="0" t="s">
        <v>175</v>
      </c>
      <c r="CA634" s="0" t="s">
        <v>153</v>
      </c>
      <c r="CG634" s="0" t="s">
        <v>153</v>
      </c>
      <c r="CK634" s="0" t="s">
        <v>153</v>
      </c>
      <c r="CP634" s="0" t="s">
        <v>153</v>
      </c>
      <c r="CZ634" s="0" t="s">
        <v>175</v>
      </c>
      <c r="DC634" s="0" t="s">
        <v>153</v>
      </c>
    </row>
    <row r="635" customFormat="false" ht="13.8" hidden="false" customHeight="false" outlineLevel="0" collapsed="false">
      <c r="A635" s="0" t="s">
        <v>3291</v>
      </c>
      <c r="B635" s="0" t="n">
        <v>78</v>
      </c>
      <c r="C635" s="0" t="n">
        <v>274511</v>
      </c>
      <c r="D635" s="0" t="s">
        <v>3292</v>
      </c>
      <c r="E635" s="0" t="s">
        <v>487</v>
      </c>
      <c r="F635" s="0" t="str">
        <f aca="false">CONCATENATE(D635," ",LEFT(H635,4),"T=",AU635,"D=",AV635,"R=",AW635,"M=",AX635,"L=",AY635,"B=",AZ635)</f>
        <v>MOSLEY T=2D=0R=0M=0L=2B=0</v>
      </c>
      <c r="G635" s="0" t="s">
        <v>268</v>
      </c>
      <c r="I635" s="0" t="s">
        <v>3293</v>
      </c>
      <c r="J635" s="0" t="s">
        <v>3294</v>
      </c>
      <c r="K635" s="0" t="s">
        <v>160</v>
      </c>
      <c r="M635" s="0" t="s">
        <v>3295</v>
      </c>
      <c r="N635" s="0" t="str">
        <f aca="false">RIGHT(M635,LEN(M635)-FIND(" ",M635))</f>
        <v>FAIRFIELD AVE NE</v>
      </c>
      <c r="P635" s="0" t="s">
        <v>145</v>
      </c>
      <c r="Q635" s="0" t="s">
        <v>146</v>
      </c>
      <c r="R635" s="0" t="n">
        <v>44483</v>
      </c>
      <c r="AD635" s="0" t="s">
        <v>147</v>
      </c>
      <c r="AE635" s="0" t="s">
        <v>148</v>
      </c>
      <c r="AF635" s="0" t="s">
        <v>149</v>
      </c>
      <c r="AH635" s="0" t="n">
        <v>14</v>
      </c>
      <c r="AI635" s="0" t="n">
        <v>11</v>
      </c>
      <c r="AN635" s="0" t="s">
        <v>145</v>
      </c>
      <c r="AO635" s="0" t="s">
        <v>654</v>
      </c>
      <c r="AP635" s="0" t="s">
        <v>655</v>
      </c>
      <c r="AQ635" s="0" t="n">
        <v>9</v>
      </c>
      <c r="AR635" s="0" t="n">
        <v>64</v>
      </c>
      <c r="AS635" s="0" t="n">
        <v>32</v>
      </c>
      <c r="AU635" s="0" t="n">
        <f aca="false">COUNTA($BA$1403:$EH$1403)</f>
        <v>2</v>
      </c>
      <c r="AV635" s="0" t="n">
        <f aca="false">COUNTIF($BA$1403:$EH$1403,"D")</f>
        <v>0</v>
      </c>
      <c r="AW635" s="0" t="n">
        <f aca="false">COUNTIF($BA$1403:$EH$1403,"R")</f>
        <v>0</v>
      </c>
      <c r="AX635" s="0" t="n">
        <f aca="false">IF(BN635="D",1,0)+IF(BO635="D",1,0)+IF(BT635="D",1,0)+IF(BU635="D",1,0)+IF(BW635="D",1,0)+IF(CC635="D",1,0)+IF(CD635="D",1,0)+IF(CE635="D",1,0)+IF(CF635="D",1,0)+IF(CL635="D",1,0)+IF(CM635="D",1,0)+IF(CQ635="D",1,0)+IF(CR635="D",1,0)+IF(CS635="D",1,0)+IF(CW635="D",1,0)+IF(CX635="D",1,0)+IF(DD635="D",1,0)+IF(DE635="D",1,0)+IF(DJ635="D",1,0)+IF(DK635="D",1,0)+IF(DO635="D",1,0)+IF(DP635="D",1,0)+IF(DQ635="D",1,0)+IF(DW635="D",1,0)+IF(DZ635="D",1,0)+IF(EH635="D",1,0)</f>
        <v>0</v>
      </c>
      <c r="AY635" s="0" t="n">
        <f aca="false">COUNTIF(DU635:EH635, "&lt;&gt;")</f>
        <v>2</v>
      </c>
      <c r="AZ635" s="0" t="n">
        <f aca="false">IF(EH635&lt;&gt;"",1,0)</f>
        <v>0</v>
      </c>
      <c r="BB635" s="0" t="s">
        <v>152</v>
      </c>
      <c r="BL635" s="0" t="s">
        <v>153</v>
      </c>
      <c r="BS635" s="0" t="s">
        <v>153</v>
      </c>
      <c r="BV635" s="0" t="s">
        <v>153</v>
      </c>
      <c r="CA635" s="0" t="s">
        <v>153</v>
      </c>
      <c r="CG635" s="0" t="s">
        <v>153</v>
      </c>
      <c r="CN635" s="0" t="s">
        <v>153</v>
      </c>
      <c r="DC635" s="0" t="s">
        <v>153</v>
      </c>
      <c r="DI635" s="0" t="s">
        <v>153</v>
      </c>
      <c r="DN635" s="0" t="s">
        <v>153</v>
      </c>
      <c r="EA635" s="0" t="s">
        <v>153</v>
      </c>
      <c r="EF635" s="0" t="s">
        <v>153</v>
      </c>
    </row>
    <row r="636" customFormat="false" ht="13.8" hidden="false" customHeight="false" outlineLevel="0" collapsed="false">
      <c r="A636" s="0" t="s">
        <v>3296</v>
      </c>
      <c r="B636" s="0" t="n">
        <v>78</v>
      </c>
      <c r="C636" s="0" t="n">
        <v>476999</v>
      </c>
      <c r="D636" s="0" t="s">
        <v>3297</v>
      </c>
      <c r="E636" s="0" t="s">
        <v>3298</v>
      </c>
      <c r="F636" s="0" t="str">
        <f aca="false">CONCATENATE(D636," ",LEFT(H636,4),"T=",AU636,"D=",AV636,"R=",AW636,"M=",AX636,"L=",AY636,"B=",AZ636)</f>
        <v>CHATMAN T=29D=0R=4M=0L=3B=0</v>
      </c>
      <c r="G636" s="0" t="s">
        <v>391</v>
      </c>
      <c r="I636" s="0" t="s">
        <v>3299</v>
      </c>
      <c r="J636" s="0" t="s">
        <v>3300</v>
      </c>
      <c r="K636" s="0" t="s">
        <v>160</v>
      </c>
      <c r="L636" s="0" t="s">
        <v>175</v>
      </c>
      <c r="M636" s="0" t="s">
        <v>3301</v>
      </c>
      <c r="N636" s="0" t="str">
        <f aca="false">RIGHT(M636,LEN(M636)-FIND(" ",M636))</f>
        <v>FAIRFIELD AVE NE</v>
      </c>
      <c r="P636" s="0" t="s">
        <v>145</v>
      </c>
      <c r="Q636" s="0" t="s">
        <v>146</v>
      </c>
      <c r="R636" s="0" t="n">
        <v>44483</v>
      </c>
      <c r="AD636" s="0" t="s">
        <v>147</v>
      </c>
      <c r="AE636" s="0" t="s">
        <v>148</v>
      </c>
      <c r="AF636" s="0" t="s">
        <v>149</v>
      </c>
      <c r="AH636" s="0" t="n">
        <v>14</v>
      </c>
      <c r="AI636" s="0" t="n">
        <v>11</v>
      </c>
      <c r="AN636" s="0" t="s">
        <v>145</v>
      </c>
      <c r="AO636" s="0" t="s">
        <v>654</v>
      </c>
      <c r="AP636" s="0" t="s">
        <v>655</v>
      </c>
      <c r="AQ636" s="0" t="n">
        <v>9</v>
      </c>
      <c r="AR636" s="0" t="n">
        <v>64</v>
      </c>
      <c r="AS636" s="0" t="n">
        <v>32</v>
      </c>
      <c r="AU636" s="0" t="n">
        <f aca="false">COUNTA($BA$1470:$EH$1470)</f>
        <v>29</v>
      </c>
      <c r="AV636" s="0" t="n">
        <f aca="false">COUNTIF($BA$1470:$EH$1470,"D")</f>
        <v>0</v>
      </c>
      <c r="AW636" s="0" t="n">
        <f aca="false">COUNTIF($BA$1470:$EH$1470,"R")</f>
        <v>4</v>
      </c>
      <c r="AX636" s="0" t="n">
        <f aca="false">IF(BN636="D",1,0)+IF(BO636="D",1,0)+IF(BT636="D",1,0)+IF(BU636="D",1,0)+IF(BW636="D",1,0)+IF(CC636="D",1,0)+IF(CD636="D",1,0)+IF(CE636="D",1,0)+IF(CF636="D",1,0)+IF(CL636="D",1,0)+IF(CM636="D",1,0)+IF(CQ636="D",1,0)+IF(CR636="D",1,0)+IF(CS636="D",1,0)+IF(CW636="D",1,0)+IF(CX636="D",1,0)+IF(DD636="D",1,0)+IF(DE636="D",1,0)+IF(DJ636="D",1,0)+IF(DK636="D",1,0)+IF(DO636="D",1,0)+IF(DP636="D",1,0)+IF(DQ636="D",1,0)+IF(DW636="D",1,0)+IF(DZ636="D",1,0)+IF(EH636="D",1,0)</f>
        <v>0</v>
      </c>
      <c r="AY636" s="0" t="n">
        <f aca="false">COUNTIF(DU636:EH636, "&lt;&gt;")</f>
        <v>3</v>
      </c>
      <c r="AZ636" s="0" t="n">
        <f aca="false">IF(EH636&lt;&gt;"",1,0)</f>
        <v>0</v>
      </c>
      <c r="BB636" s="0" t="s">
        <v>152</v>
      </c>
      <c r="BL636" s="0" t="s">
        <v>153</v>
      </c>
      <c r="CY636" s="0" t="s">
        <v>153</v>
      </c>
      <c r="CZ636" s="0" t="s">
        <v>175</v>
      </c>
      <c r="DC636" s="0" t="s">
        <v>153</v>
      </c>
      <c r="EA636" s="0" t="s">
        <v>153</v>
      </c>
      <c r="ED636" s="0" t="s">
        <v>175</v>
      </c>
      <c r="EF636" s="0" t="s">
        <v>153</v>
      </c>
    </row>
    <row r="637" customFormat="false" ht="13.8" hidden="true" customHeight="false" outlineLevel="0" collapsed="false">
      <c r="A637" s="0" t="s">
        <v>3302</v>
      </c>
      <c r="B637" s="0" t="n">
        <v>78</v>
      </c>
      <c r="C637" s="0" t="n">
        <v>469467</v>
      </c>
      <c r="D637" s="0" t="s">
        <v>3303</v>
      </c>
      <c r="E637" s="0" t="s">
        <v>3304</v>
      </c>
      <c r="F637" s="0" t="str">
        <f aca="false">CONCATENATE(D637," ",LEFT(H637,4),"T=",AU637,"D=",AV637,"R=",AW637,"M=",AX637,"L=",AY637,"B=",AZ637)</f>
        <v>PRISCILLA T=3D=0R=1M=0L=0B=0</v>
      </c>
      <c r="G637" s="0" t="s">
        <v>325</v>
      </c>
      <c r="I637" s="0" t="s">
        <v>3305</v>
      </c>
      <c r="J637" s="0" t="s">
        <v>3306</v>
      </c>
      <c r="K637" s="0" t="s">
        <v>160</v>
      </c>
      <c r="M637" s="0" t="s">
        <v>3307</v>
      </c>
      <c r="N637" s="0" t="str">
        <f aca="false">RIGHT(M637,LEN(M637)-FIND(" ",M637))</f>
        <v>FAIRFIELD AVE NE</v>
      </c>
      <c r="P637" s="0" t="s">
        <v>145</v>
      </c>
      <c r="Q637" s="0" t="s">
        <v>146</v>
      </c>
      <c r="R637" s="0" t="n">
        <v>44483</v>
      </c>
      <c r="AD637" s="0" t="s">
        <v>147</v>
      </c>
      <c r="AE637" s="0" t="s">
        <v>148</v>
      </c>
      <c r="AF637" s="0" t="s">
        <v>149</v>
      </c>
      <c r="AH637" s="0" t="n">
        <v>14</v>
      </c>
      <c r="AI637" s="0" t="n">
        <v>11</v>
      </c>
      <c r="AN637" s="0" t="s">
        <v>145</v>
      </c>
      <c r="AO637" s="0" t="s">
        <v>654</v>
      </c>
      <c r="AP637" s="0" t="s">
        <v>655</v>
      </c>
      <c r="AQ637" s="0" t="n">
        <v>9</v>
      </c>
      <c r="AR637" s="0" t="n">
        <v>64</v>
      </c>
      <c r="AS637" s="0" t="n">
        <v>32</v>
      </c>
      <c r="AU637" s="0" t="n">
        <f aca="false">COUNTA($BA$1793:$EH$1793)</f>
        <v>3</v>
      </c>
      <c r="AV637" s="0" t="n">
        <f aca="false">COUNTIF($BA$1793:$EH$1793,"D")</f>
        <v>0</v>
      </c>
      <c r="AW637" s="0" t="n">
        <f aca="false">COUNTIF($BA$1793:$EH$1793,"R")</f>
        <v>1</v>
      </c>
      <c r="AX637" s="0" t="n">
        <f aca="false">IF(BN637="D",1,0)+IF(BO637="D",1,0)+IF(BT637="D",1,0)+IF(BU637="D",1,0)+IF(BW637="D",1,0)+IF(CC637="D",1,0)+IF(CD637="D",1,0)+IF(CE637="D",1,0)+IF(CF637="D",1,0)+IF(CL637="D",1,0)+IF(CM637="D",1,0)+IF(CQ637="D",1,0)+IF(CR637="D",1,0)+IF(CS637="D",1,0)+IF(CW637="D",1,0)+IF(CX637="D",1,0)+IF(DD637="D",1,0)+IF(DE637="D",1,0)+IF(DJ637="D",1,0)+IF(DK637="D",1,0)+IF(DO637="D",1,0)+IF(DP637="D",1,0)+IF(DQ637="D",1,0)+IF(DW637="D",1,0)+IF(DZ637="D",1,0)+IF(EH637="D",1,0)</f>
        <v>0</v>
      </c>
      <c r="AY637" s="0" t="n">
        <f aca="false">COUNTIF(DU637:EH637, "&lt;&gt;")</f>
        <v>0</v>
      </c>
      <c r="AZ637" s="0" t="n">
        <f aca="false">IF(EH637&lt;&gt;"",1,0)</f>
        <v>0</v>
      </c>
      <c r="BB637" s="0" t="s">
        <v>152</v>
      </c>
    </row>
    <row r="638" customFormat="false" ht="13.8" hidden="true" customHeight="false" outlineLevel="0" collapsed="false">
      <c r="A638" s="0" t="s">
        <v>3308</v>
      </c>
      <c r="B638" s="0" t="n">
        <v>78</v>
      </c>
      <c r="C638" s="0" t="n">
        <v>429852</v>
      </c>
      <c r="D638" s="0" t="s">
        <v>3309</v>
      </c>
      <c r="E638" s="0" t="s">
        <v>1451</v>
      </c>
      <c r="F638" s="0" t="str">
        <f aca="false">CONCATENATE(D638," ",LEFT(H638,4),"T=",AU638,"D=",AV638,"R=",AW638,"M=",AX638,"L=",AY638,"B=",AZ638)</f>
        <v>HEYMAN T=1D=0R=0M=0L=0B=0</v>
      </c>
      <c r="G638" s="0" t="s">
        <v>164</v>
      </c>
      <c r="I638" s="0" t="s">
        <v>3310</v>
      </c>
      <c r="J638" s="0" t="s">
        <v>3311</v>
      </c>
      <c r="K638" s="0" t="s">
        <v>143</v>
      </c>
      <c r="M638" s="0" t="s">
        <v>3312</v>
      </c>
      <c r="N638" s="0" t="str">
        <f aca="false">RIGHT(M638,LEN(M638)-FIND(" ",M638))</f>
        <v>FRANKLIN ST SE</v>
      </c>
      <c r="P638" s="0" t="s">
        <v>145</v>
      </c>
      <c r="Q638" s="0" t="s">
        <v>146</v>
      </c>
      <c r="R638" s="0" t="n">
        <v>44481</v>
      </c>
      <c r="AD638" s="0" t="s">
        <v>147</v>
      </c>
      <c r="AE638" s="0" t="s">
        <v>148</v>
      </c>
      <c r="AF638" s="0" t="s">
        <v>149</v>
      </c>
      <c r="AH638" s="0" t="n">
        <v>14</v>
      </c>
      <c r="AI638" s="0" t="n">
        <v>11</v>
      </c>
      <c r="AN638" s="0" t="s">
        <v>145</v>
      </c>
      <c r="AO638" s="0" t="s">
        <v>654</v>
      </c>
      <c r="AP638" s="0" t="s">
        <v>655</v>
      </c>
      <c r="AQ638" s="0" t="n">
        <v>9</v>
      </c>
      <c r="AR638" s="0" t="n">
        <v>64</v>
      </c>
      <c r="AS638" s="0" t="n">
        <v>32</v>
      </c>
      <c r="AU638" s="0" t="n">
        <f aca="false">COUNTA($BA$1196:$EH$1196)</f>
        <v>1</v>
      </c>
      <c r="AV638" s="0" t="n">
        <f aca="false">COUNTIF($BA$1196:$EH$1196,"D")</f>
        <v>0</v>
      </c>
      <c r="AW638" s="0" t="n">
        <f aca="false">COUNTIF($BA$1196:$EH$1196,"R")</f>
        <v>0</v>
      </c>
      <c r="AX638" s="0" t="n">
        <f aca="false">IF(BN638="D",1,0)+IF(BO638="D",1,0)+IF(BT638="D",1,0)+IF(BU638="D",1,0)+IF(BW638="D",1,0)+IF(CC638="D",1,0)+IF(CD638="D",1,0)+IF(CE638="D",1,0)+IF(CF638="D",1,0)+IF(CL638="D",1,0)+IF(CM638="D",1,0)+IF(CQ638="D",1,0)+IF(CR638="D",1,0)+IF(CS638="D",1,0)+IF(CW638="D",1,0)+IF(CX638="D",1,0)+IF(DD638="D",1,0)+IF(DE638="D",1,0)+IF(DJ638="D",1,0)+IF(DK638="D",1,0)+IF(DO638="D",1,0)+IF(DP638="D",1,0)+IF(DQ638="D",1,0)+IF(DW638="D",1,0)+IF(DZ638="D",1,0)+IF(EH638="D",1,0)</f>
        <v>0</v>
      </c>
      <c r="AY638" s="0" t="n">
        <f aca="false">COUNTIF(DU638:EH638, "&lt;&gt;")</f>
        <v>0</v>
      </c>
      <c r="AZ638" s="0" t="n">
        <f aca="false">IF(EH638&lt;&gt;"",1,0)</f>
        <v>0</v>
      </c>
      <c r="BB638" s="0" t="s">
        <v>152</v>
      </c>
    </row>
    <row r="639" customFormat="false" ht="13.8" hidden="false" customHeight="false" outlineLevel="0" collapsed="false">
      <c r="A639" s="0" t="s">
        <v>3313</v>
      </c>
      <c r="B639" s="0" t="n">
        <v>78</v>
      </c>
      <c r="C639" s="0" t="n">
        <v>28944</v>
      </c>
      <c r="D639" s="0" t="s">
        <v>3314</v>
      </c>
      <c r="E639" s="0" t="s">
        <v>3315</v>
      </c>
      <c r="F639" s="0" t="str">
        <f aca="false">CONCATENATE(D639," ",LEFT(H639,4),"T=",AU639,"D=",AV639,"R=",AW639,"M=",AX639,"L=",AY639,"B=",AZ639)</f>
        <v>CARR T=7D=0R=1M=0L=2B=0</v>
      </c>
      <c r="G639" s="0" t="s">
        <v>307</v>
      </c>
      <c r="I639" s="0" t="s">
        <v>3316</v>
      </c>
      <c r="J639" s="0" t="s">
        <v>3317</v>
      </c>
      <c r="K639" s="0" t="s">
        <v>160</v>
      </c>
      <c r="M639" s="0" t="s">
        <v>3318</v>
      </c>
      <c r="N639" s="0" t="str">
        <f aca="false">RIGHT(M639,LEN(M639)-FIND(" ",M639))</f>
        <v>FULTON ST SW</v>
      </c>
      <c r="O639" s="0" t="s">
        <v>297</v>
      </c>
      <c r="P639" s="0" t="s">
        <v>145</v>
      </c>
      <c r="Q639" s="0" t="s">
        <v>146</v>
      </c>
      <c r="R639" s="0" t="n">
        <v>44483</v>
      </c>
      <c r="AD639" s="0" t="s">
        <v>147</v>
      </c>
      <c r="AE639" s="0" t="s">
        <v>148</v>
      </c>
      <c r="AF639" s="0" t="s">
        <v>149</v>
      </c>
      <c r="AH639" s="0" t="n">
        <v>14</v>
      </c>
      <c r="AI639" s="0" t="n">
        <v>11</v>
      </c>
      <c r="AN639" s="0" t="s">
        <v>145</v>
      </c>
      <c r="AO639" s="0" t="s">
        <v>233</v>
      </c>
      <c r="AP639" s="0" t="s">
        <v>234</v>
      </c>
      <c r="AQ639" s="0" t="n">
        <v>9</v>
      </c>
      <c r="AR639" s="0" t="n">
        <v>64</v>
      </c>
      <c r="AS639" s="0" t="n">
        <v>32</v>
      </c>
      <c r="AU639" s="0" t="n">
        <f aca="false">COUNTA($BA$2348:$EH$2348)</f>
        <v>7</v>
      </c>
      <c r="AV639" s="0" t="n">
        <f aca="false">COUNTIF($BA$2348:$EH$2348,"D")</f>
        <v>0</v>
      </c>
      <c r="AW639" s="0" t="n">
        <f aca="false">COUNTIF($BA$2348:$EH$2348,"R")</f>
        <v>1</v>
      </c>
      <c r="AX639" s="0" t="n">
        <f aca="false">IF(BN639="D",1,0)+IF(BO639="D",1,0)+IF(BT639="D",1,0)+IF(BU639="D",1,0)+IF(BW639="D",1,0)+IF(CC639="D",1,0)+IF(CD639="D",1,0)+IF(CE639="D",1,0)+IF(CF639="D",1,0)+IF(CL639="D",1,0)+IF(CM639="D",1,0)+IF(CQ639="D",1,0)+IF(CR639="D",1,0)+IF(CS639="D",1,0)+IF(CW639="D",1,0)+IF(CX639="D",1,0)+IF(DD639="D",1,0)+IF(DE639="D",1,0)+IF(DJ639="D",1,0)+IF(DK639="D",1,0)+IF(DO639="D",1,0)+IF(DP639="D",1,0)+IF(DQ639="D",1,0)+IF(DW639="D",1,0)+IF(DZ639="D",1,0)+IF(EH639="D",1,0)</f>
        <v>0</v>
      </c>
      <c r="AY639" s="0" t="n">
        <f aca="false">COUNTIF(DU639:EH639, "&lt;&gt;")</f>
        <v>2</v>
      </c>
      <c r="AZ639" s="0" t="n">
        <f aca="false">IF(EH639&lt;&gt;"",1,0)</f>
        <v>0</v>
      </c>
      <c r="BB639" s="0" t="s">
        <v>152</v>
      </c>
      <c r="BC639" s="0" t="s">
        <v>153</v>
      </c>
      <c r="BD639" s="0" t="s">
        <v>153</v>
      </c>
      <c r="BF639" s="0" t="s">
        <v>153</v>
      </c>
      <c r="BG639" s="0" t="s">
        <v>153</v>
      </c>
      <c r="BH639" s="0" t="s">
        <v>153</v>
      </c>
      <c r="BK639" s="0" t="s">
        <v>153</v>
      </c>
      <c r="BL639" s="0" t="s">
        <v>153</v>
      </c>
      <c r="BP639" s="0" t="s">
        <v>153</v>
      </c>
      <c r="BS639" s="0" t="s">
        <v>153</v>
      </c>
      <c r="BV639" s="0" t="s">
        <v>153</v>
      </c>
      <c r="BY639" s="0" t="s">
        <v>175</v>
      </c>
      <c r="CA639" s="0" t="s">
        <v>153</v>
      </c>
      <c r="CG639" s="0" t="s">
        <v>153</v>
      </c>
      <c r="CK639" s="0" t="s">
        <v>153</v>
      </c>
      <c r="CN639" s="0" t="s">
        <v>153</v>
      </c>
      <c r="CP639" s="0" t="s">
        <v>153</v>
      </c>
      <c r="DC639" s="0" t="s">
        <v>153</v>
      </c>
      <c r="DD639" s="0" t="s">
        <v>153</v>
      </c>
      <c r="DI639" s="0" t="s">
        <v>153</v>
      </c>
      <c r="DL639" s="0" t="s">
        <v>153</v>
      </c>
      <c r="DN639" s="0" t="s">
        <v>153</v>
      </c>
      <c r="EA639" s="0" t="s">
        <v>153</v>
      </c>
      <c r="EF639" s="0" t="s">
        <v>153</v>
      </c>
    </row>
    <row r="640" customFormat="false" ht="13.8" hidden="true" customHeight="false" outlineLevel="0" collapsed="false">
      <c r="A640" s="0" t="s">
        <v>3319</v>
      </c>
      <c r="B640" s="0" t="n">
        <v>78</v>
      </c>
      <c r="C640" s="0" t="n">
        <v>399436</v>
      </c>
      <c r="D640" s="0" t="s">
        <v>3320</v>
      </c>
      <c r="E640" s="0" t="s">
        <v>1208</v>
      </c>
      <c r="F640" s="0" t="str">
        <f aca="false">CONCATENATE(D640," ",LEFT(H640,4),"T=",AU640,"D=",AV640,"R=",AW640,"M=",AX640,"L=",AY640,"B=",AZ640)</f>
        <v>COPE T=1D=0R=0M=0L=0B=0</v>
      </c>
      <c r="G640" s="0" t="s">
        <v>164</v>
      </c>
      <c r="I640" s="0" t="s">
        <v>3321</v>
      </c>
      <c r="J640" s="0" t="s">
        <v>3322</v>
      </c>
      <c r="K640" s="0" t="s">
        <v>160</v>
      </c>
      <c r="M640" s="0" t="s">
        <v>3323</v>
      </c>
      <c r="N640" s="0" t="str">
        <f aca="false">RIGHT(M640,LEN(M640)-FIND(" ",M640))</f>
        <v>GRANDVIEW ST SE</v>
      </c>
      <c r="P640" s="0" t="s">
        <v>145</v>
      </c>
      <c r="Q640" s="0" t="s">
        <v>146</v>
      </c>
      <c r="R640" s="0" t="n">
        <v>44484</v>
      </c>
      <c r="AD640" s="0" t="s">
        <v>147</v>
      </c>
      <c r="AE640" s="0" t="s">
        <v>148</v>
      </c>
      <c r="AF640" s="0" t="s">
        <v>149</v>
      </c>
      <c r="AH640" s="0" t="n">
        <v>14</v>
      </c>
      <c r="AI640" s="0" t="n">
        <v>11</v>
      </c>
      <c r="AN640" s="0" t="s">
        <v>145</v>
      </c>
      <c r="AO640" s="0" t="s">
        <v>150</v>
      </c>
      <c r="AP640" s="0" t="s">
        <v>151</v>
      </c>
      <c r="AQ640" s="0" t="n">
        <v>9</v>
      </c>
      <c r="AR640" s="0" t="n">
        <v>64</v>
      </c>
      <c r="AS640" s="0" t="n">
        <v>32</v>
      </c>
      <c r="AU640" s="0" t="n">
        <f aca="false">COUNTA($BA$541:$EH$541)</f>
        <v>1</v>
      </c>
      <c r="AV640" s="0" t="n">
        <f aca="false">COUNTIF($BA$541:$EH$541,"D")</f>
        <v>0</v>
      </c>
      <c r="AW640" s="0" t="n">
        <f aca="false">COUNTIF($BA$541:$EH$541,"R")</f>
        <v>0</v>
      </c>
      <c r="AX640" s="0" t="n">
        <f aca="false">IF(BN640="D",1,0)+IF(BO640="D",1,0)+IF(BT640="D",1,0)+IF(BU640="D",1,0)+IF(BW640="D",1,0)+IF(CC640="D",1,0)+IF(CD640="D",1,0)+IF(CE640="D",1,0)+IF(CF640="D",1,0)+IF(CL640="D",1,0)+IF(CM640="D",1,0)+IF(CQ640="D",1,0)+IF(CR640="D",1,0)+IF(CS640="D",1,0)+IF(CW640="D",1,0)+IF(CX640="D",1,0)+IF(DD640="D",1,0)+IF(DE640="D",1,0)+IF(DJ640="D",1,0)+IF(DK640="D",1,0)+IF(DO640="D",1,0)+IF(DP640="D",1,0)+IF(DQ640="D",1,0)+IF(DW640="D",1,0)+IF(DZ640="D",1,0)+IF(EH640="D",1,0)</f>
        <v>0</v>
      </c>
      <c r="AY640" s="0" t="n">
        <f aca="false">COUNTIF(DU640:EH640, "&lt;&gt;")</f>
        <v>0</v>
      </c>
      <c r="AZ640" s="0" t="n">
        <f aca="false">IF(EH640&lt;&gt;"",1,0)</f>
        <v>0</v>
      </c>
      <c r="BB640" s="0" t="s">
        <v>152</v>
      </c>
    </row>
    <row r="641" customFormat="false" ht="13.8" hidden="false" customHeight="false" outlineLevel="0" collapsed="false">
      <c r="A641" s="0" t="s">
        <v>3324</v>
      </c>
      <c r="B641" s="0" t="n">
        <v>78</v>
      </c>
      <c r="C641" s="0" t="n">
        <v>147883</v>
      </c>
      <c r="D641" s="0" t="s">
        <v>3325</v>
      </c>
      <c r="E641" s="0" t="s">
        <v>274</v>
      </c>
      <c r="F641" s="0" t="str">
        <f aca="false">CONCATENATE(D641," ",LEFT(H641,4),"T=",AU641,"D=",AV641,"R=",AW641,"M=",AX641,"L=",AY641,"B=",AZ641)</f>
        <v>PERIGO T=5D=0R=0M=3L=6B=0</v>
      </c>
      <c r="G641" s="0" t="s">
        <v>890</v>
      </c>
      <c r="I641" s="0" t="s">
        <v>2476</v>
      </c>
      <c r="J641" s="0" t="s">
        <v>3326</v>
      </c>
      <c r="K641" s="0" t="s">
        <v>160</v>
      </c>
      <c r="L641" s="0" t="s">
        <v>175</v>
      </c>
      <c r="M641" s="0" t="s">
        <v>3327</v>
      </c>
      <c r="N641" s="0" t="str">
        <f aca="false">RIGHT(M641,LEN(M641)-FIND(" ",M641))</f>
        <v>GRANDVIEW ST SE</v>
      </c>
      <c r="P641" s="0" t="s">
        <v>145</v>
      </c>
      <c r="Q641" s="0" t="s">
        <v>146</v>
      </c>
      <c r="R641" s="0" t="n">
        <v>44484</v>
      </c>
      <c r="AD641" s="0" t="s">
        <v>147</v>
      </c>
      <c r="AE641" s="0" t="s">
        <v>148</v>
      </c>
      <c r="AF641" s="0" t="s">
        <v>149</v>
      </c>
      <c r="AH641" s="0" t="n">
        <v>14</v>
      </c>
      <c r="AI641" s="0" t="n">
        <v>11</v>
      </c>
      <c r="AN641" s="0" t="s">
        <v>145</v>
      </c>
      <c r="AO641" s="0" t="s">
        <v>150</v>
      </c>
      <c r="AP641" s="0" t="s">
        <v>151</v>
      </c>
      <c r="AQ641" s="0" t="n">
        <v>9</v>
      </c>
      <c r="AR641" s="0" t="n">
        <v>64</v>
      </c>
      <c r="AS641" s="0" t="n">
        <v>32</v>
      </c>
      <c r="AU641" s="0" t="n">
        <f aca="false">COUNTA($BA$702:$EH$702)</f>
        <v>5</v>
      </c>
      <c r="AV641" s="0" t="n">
        <f aca="false">COUNTIF($BA$702:$EH$702,"D")</f>
        <v>0</v>
      </c>
      <c r="AW641" s="0" t="n">
        <f aca="false">COUNTIF($BA$702:$EH$702,"R")</f>
        <v>0</v>
      </c>
      <c r="AX641" s="0" t="n">
        <f aca="false">IF(BN641="D",1,0)+IF(BO641="D",1,0)+IF(BT641="D",1,0)+IF(BU641="D",1,0)+IF(BW641="D",1,0)+IF(CC641="D",1,0)+IF(CD641="D",1,0)+IF(CE641="D",1,0)+IF(CF641="D",1,0)+IF(CL641="D",1,0)+IF(CM641="D",1,0)+IF(CQ641="D",1,0)+IF(CR641="D",1,0)+IF(CS641="D",1,0)+IF(CW641="D",1,0)+IF(CX641="D",1,0)+IF(DD641="D",1,0)+IF(DE641="D",1,0)+IF(DJ641="D",1,0)+IF(DK641="D",1,0)+IF(DO641="D",1,0)+IF(DP641="D",1,0)+IF(DQ641="D",1,0)+IF(DW641="D",1,0)+IF(DZ641="D",1,0)+IF(EH641="D",1,0)</f>
        <v>3</v>
      </c>
      <c r="AY641" s="0" t="n">
        <f aca="false">COUNTIF(DU641:EH641, "&lt;&gt;")</f>
        <v>6</v>
      </c>
      <c r="AZ641" s="0" t="n">
        <f aca="false">IF(EH641&lt;&gt;"",1,0)</f>
        <v>0</v>
      </c>
      <c r="BB641" s="0" t="s">
        <v>152</v>
      </c>
      <c r="BC641" s="0" t="s">
        <v>153</v>
      </c>
      <c r="BD641" s="0" t="s">
        <v>153</v>
      </c>
      <c r="BE641" s="0" t="s">
        <v>153</v>
      </c>
      <c r="BF641" s="0" t="s">
        <v>153</v>
      </c>
      <c r="BG641" s="0" t="s">
        <v>153</v>
      </c>
      <c r="BH641" s="0" t="s">
        <v>153</v>
      </c>
      <c r="BJ641" s="0" t="s">
        <v>153</v>
      </c>
      <c r="BK641" s="0" t="s">
        <v>153</v>
      </c>
      <c r="BL641" s="0" t="s">
        <v>153</v>
      </c>
      <c r="BP641" s="0" t="s">
        <v>153</v>
      </c>
      <c r="BR641" s="0" t="s">
        <v>153</v>
      </c>
      <c r="BS641" s="0" t="s">
        <v>153</v>
      </c>
      <c r="BT641" s="0" t="s">
        <v>153</v>
      </c>
      <c r="BY641" s="0" t="s">
        <v>175</v>
      </c>
      <c r="CA641" s="0" t="s">
        <v>153</v>
      </c>
      <c r="CG641" s="0" t="s">
        <v>153</v>
      </c>
      <c r="CH641" s="0" t="s">
        <v>175</v>
      </c>
      <c r="CK641" s="0" t="s">
        <v>153</v>
      </c>
      <c r="CL641" s="0" t="s">
        <v>175</v>
      </c>
      <c r="CN641" s="0" t="s">
        <v>153</v>
      </c>
      <c r="CO641" s="0" t="s">
        <v>175</v>
      </c>
      <c r="CP641" s="0" t="s">
        <v>153</v>
      </c>
      <c r="CT641" s="0" t="s">
        <v>153</v>
      </c>
      <c r="CU641" s="0" t="s">
        <v>175</v>
      </c>
      <c r="CY641" s="0" t="s">
        <v>153</v>
      </c>
      <c r="DC641" s="0" t="s">
        <v>153</v>
      </c>
      <c r="DD641" s="0" t="s">
        <v>175</v>
      </c>
      <c r="DF641" s="0" t="s">
        <v>153</v>
      </c>
      <c r="DG641" s="0" t="s">
        <v>175</v>
      </c>
      <c r="DI641" s="0" t="s">
        <v>153</v>
      </c>
      <c r="DL641" s="0" t="s">
        <v>153</v>
      </c>
      <c r="DM641" s="0" t="s">
        <v>175</v>
      </c>
      <c r="DN641" s="0" t="s">
        <v>153</v>
      </c>
      <c r="DU641" s="0" t="s">
        <v>153</v>
      </c>
      <c r="DW641" s="0" t="s">
        <v>175</v>
      </c>
      <c r="DX641" s="0" t="s">
        <v>153</v>
      </c>
      <c r="EA641" s="0" t="s">
        <v>153</v>
      </c>
      <c r="ED641" s="0" t="s">
        <v>175</v>
      </c>
      <c r="EF641" s="0" t="s">
        <v>153</v>
      </c>
    </row>
    <row r="642" customFormat="false" ht="13.8" hidden="false" customHeight="false" outlineLevel="0" collapsed="false">
      <c r="A642" s="0" t="s">
        <v>3328</v>
      </c>
      <c r="B642" s="0" t="n">
        <v>78</v>
      </c>
      <c r="C642" s="0" t="n">
        <v>147884</v>
      </c>
      <c r="D642" s="0" t="s">
        <v>3325</v>
      </c>
      <c r="E642" s="0" t="s">
        <v>3329</v>
      </c>
      <c r="F642" s="0" t="str">
        <f aca="false">CONCATENATE(D642," ",LEFT(H642,4),"T=",AU642,"D=",AV642,"R=",AW642,"M=",AX642,"L=",AY642,"B=",AZ642)</f>
        <v>PERIGO T=5D=0R=0M=7L=7B=1</v>
      </c>
      <c r="G642" s="0" t="s">
        <v>195</v>
      </c>
      <c r="I642" s="0" t="s">
        <v>3330</v>
      </c>
      <c r="J642" s="0" t="s">
        <v>3326</v>
      </c>
      <c r="K642" s="0" t="s">
        <v>160</v>
      </c>
      <c r="L642" s="0" t="s">
        <v>175</v>
      </c>
      <c r="M642" s="0" t="s">
        <v>3327</v>
      </c>
      <c r="N642" s="0" t="str">
        <f aca="false">RIGHT(M642,LEN(M642)-FIND(" ",M642))</f>
        <v>GRANDVIEW ST SE</v>
      </c>
      <c r="P642" s="0" t="s">
        <v>145</v>
      </c>
      <c r="Q642" s="0" t="s">
        <v>146</v>
      </c>
      <c r="R642" s="0" t="n">
        <v>44484</v>
      </c>
      <c r="AD642" s="0" t="s">
        <v>147</v>
      </c>
      <c r="AE642" s="0" t="s">
        <v>148</v>
      </c>
      <c r="AF642" s="0" t="s">
        <v>149</v>
      </c>
      <c r="AH642" s="0" t="n">
        <v>14</v>
      </c>
      <c r="AI642" s="0" t="n">
        <v>11</v>
      </c>
      <c r="AN642" s="0" t="s">
        <v>145</v>
      </c>
      <c r="AO642" s="0" t="s">
        <v>150</v>
      </c>
      <c r="AP642" s="0" t="s">
        <v>151</v>
      </c>
      <c r="AQ642" s="0" t="n">
        <v>9</v>
      </c>
      <c r="AR642" s="0" t="n">
        <v>64</v>
      </c>
      <c r="AS642" s="0" t="n">
        <v>32</v>
      </c>
      <c r="AU642" s="0" t="n">
        <f aca="false">COUNTA($BA$715:$EH$715)</f>
        <v>5</v>
      </c>
      <c r="AV642" s="0" t="n">
        <f aca="false">COUNTIF($BA$715:$EH$715,"D")</f>
        <v>0</v>
      </c>
      <c r="AW642" s="0" t="n">
        <f aca="false">COUNTIF($BA$715:$EH$715,"R")</f>
        <v>0</v>
      </c>
      <c r="AX642" s="0" t="n">
        <f aca="false">IF(BN642="D",1,0)+IF(BO642="D",1,0)+IF(BT642="D",1,0)+IF(BU642="D",1,0)+IF(BW642="D",1,0)+IF(CC642="D",1,0)+IF(CD642="D",1,0)+IF(CE642="D",1,0)+IF(CF642="D",1,0)+IF(CL642="D",1,0)+IF(CM642="D",1,0)+IF(CQ642="D",1,0)+IF(CR642="D",1,0)+IF(CS642="D",1,0)+IF(CW642="D",1,0)+IF(CX642="D",1,0)+IF(DD642="D",1,0)+IF(DE642="D",1,0)+IF(DJ642="D",1,0)+IF(DK642="D",1,0)+IF(DO642="D",1,0)+IF(DP642="D",1,0)+IF(DQ642="D",1,0)+IF(DW642="D",1,0)+IF(DZ642="D",1,0)+IF(EH642="D",1,0)</f>
        <v>7</v>
      </c>
      <c r="AY642" s="0" t="n">
        <f aca="false">COUNTIF(DU642:EH642, "&lt;&gt;")</f>
        <v>7</v>
      </c>
      <c r="AZ642" s="0" t="n">
        <f aca="false">IF(EH642&lt;&gt;"",1,0)</f>
        <v>1</v>
      </c>
      <c r="BB642" s="0" t="s">
        <v>152</v>
      </c>
      <c r="BC642" s="0" t="s">
        <v>153</v>
      </c>
      <c r="BD642" s="0" t="s">
        <v>153</v>
      </c>
      <c r="BE642" s="0" t="s">
        <v>153</v>
      </c>
      <c r="BF642" s="0" t="s">
        <v>153</v>
      </c>
      <c r="BG642" s="0" t="s">
        <v>153</v>
      </c>
      <c r="BH642" s="0" t="s">
        <v>153</v>
      </c>
      <c r="BI642" s="0" t="s">
        <v>153</v>
      </c>
      <c r="BJ642" s="0" t="s">
        <v>153</v>
      </c>
      <c r="BK642" s="0" t="s">
        <v>153</v>
      </c>
      <c r="BL642" s="0" t="s">
        <v>153</v>
      </c>
      <c r="BP642" s="0" t="s">
        <v>153</v>
      </c>
      <c r="BR642" s="0" t="s">
        <v>153</v>
      </c>
      <c r="BS642" s="0" t="s">
        <v>153</v>
      </c>
      <c r="BT642" s="0" t="s">
        <v>153</v>
      </c>
      <c r="BV642" s="0" t="s">
        <v>153</v>
      </c>
      <c r="BY642" s="0" t="s">
        <v>175</v>
      </c>
      <c r="CA642" s="0" t="s">
        <v>153</v>
      </c>
      <c r="CG642" s="0" t="s">
        <v>153</v>
      </c>
      <c r="CH642" s="0" t="s">
        <v>175</v>
      </c>
      <c r="CK642" s="0" t="s">
        <v>153</v>
      </c>
      <c r="CL642" s="0" t="s">
        <v>175</v>
      </c>
      <c r="CN642" s="0" t="s">
        <v>153</v>
      </c>
      <c r="CO642" s="0" t="s">
        <v>175</v>
      </c>
      <c r="CP642" s="0" t="s">
        <v>153</v>
      </c>
      <c r="CQ642" s="0" t="s">
        <v>175</v>
      </c>
      <c r="CT642" s="0" t="s">
        <v>153</v>
      </c>
      <c r="CU642" s="0" t="s">
        <v>175</v>
      </c>
      <c r="CV642" s="0" t="s">
        <v>153</v>
      </c>
      <c r="CW642" s="0" t="s">
        <v>175</v>
      </c>
      <c r="CY642" s="0" t="s">
        <v>153</v>
      </c>
      <c r="CZ642" s="0" t="s">
        <v>175</v>
      </c>
      <c r="DC642" s="0" t="s">
        <v>153</v>
      </c>
      <c r="DD642" s="0" t="s">
        <v>175</v>
      </c>
      <c r="DF642" s="0" t="s">
        <v>153</v>
      </c>
      <c r="DG642" s="0" t="s">
        <v>175</v>
      </c>
      <c r="DI642" s="0" t="s">
        <v>153</v>
      </c>
      <c r="DJ642" s="0" t="s">
        <v>175</v>
      </c>
      <c r="DL642" s="0" t="s">
        <v>153</v>
      </c>
      <c r="DM642" s="0" t="s">
        <v>175</v>
      </c>
      <c r="DN642" s="0" t="s">
        <v>153</v>
      </c>
      <c r="DR642" s="0" t="s">
        <v>153</v>
      </c>
      <c r="DS642" s="0" t="s">
        <v>175</v>
      </c>
      <c r="DT642" s="0" t="s">
        <v>175</v>
      </c>
      <c r="DU642" s="0" t="s">
        <v>153</v>
      </c>
      <c r="DW642" s="0" t="s">
        <v>175</v>
      </c>
      <c r="DX642" s="0" t="s">
        <v>153</v>
      </c>
      <c r="EA642" s="0" t="s">
        <v>153</v>
      </c>
      <c r="ED642" s="0" t="s">
        <v>175</v>
      </c>
      <c r="EF642" s="0" t="s">
        <v>153</v>
      </c>
      <c r="EH642" s="0" t="s">
        <v>175</v>
      </c>
    </row>
    <row r="643" customFormat="false" ht="13.8" hidden="true" customHeight="false" outlineLevel="0" collapsed="false">
      <c r="A643" s="0" t="s">
        <v>3331</v>
      </c>
      <c r="B643" s="0" t="n">
        <v>78</v>
      </c>
      <c r="C643" s="0" t="n">
        <v>440960</v>
      </c>
      <c r="D643" s="0" t="s">
        <v>3332</v>
      </c>
      <c r="E643" s="0" t="s">
        <v>563</v>
      </c>
      <c r="F643" s="0" t="str">
        <f aca="false">CONCATENATE(D643," ",LEFT(H643,4),"T=",AU643,"D=",AV643,"R=",AW643,"M=",AX643,"L=",AY643,"B=",AZ643)</f>
        <v>ISER T=3D=0R=0M=0L=1B=0</v>
      </c>
      <c r="G643" s="0" t="s">
        <v>164</v>
      </c>
      <c r="I643" s="0" t="s">
        <v>3333</v>
      </c>
      <c r="J643" s="0" t="s">
        <v>2216</v>
      </c>
      <c r="K643" s="0" t="s">
        <v>160</v>
      </c>
      <c r="M643" s="0" t="s">
        <v>3334</v>
      </c>
      <c r="N643" s="0" t="str">
        <f aca="false">RIGHT(M643,LEN(M643)-FIND(" ",M643))</f>
        <v>GRANT ST SE</v>
      </c>
      <c r="P643" s="0" t="s">
        <v>145</v>
      </c>
      <c r="Q643" s="0" t="s">
        <v>146</v>
      </c>
      <c r="R643" s="0" t="n">
        <v>44483</v>
      </c>
      <c r="AD643" s="0" t="s">
        <v>147</v>
      </c>
      <c r="AE643" s="0" t="s">
        <v>148</v>
      </c>
      <c r="AF643" s="0" t="s">
        <v>149</v>
      </c>
      <c r="AH643" s="0" t="n">
        <v>14</v>
      </c>
      <c r="AI643" s="0" t="n">
        <v>11</v>
      </c>
      <c r="AN643" s="0" t="s">
        <v>145</v>
      </c>
      <c r="AO643" s="0" t="s">
        <v>150</v>
      </c>
      <c r="AP643" s="0" t="s">
        <v>151</v>
      </c>
      <c r="AQ643" s="0" t="n">
        <v>9</v>
      </c>
      <c r="AR643" s="0" t="n">
        <v>64</v>
      </c>
      <c r="AS643" s="0" t="n">
        <v>32</v>
      </c>
      <c r="AU643" s="0" t="n">
        <f aca="false">COUNTA($BA$68:$EH$68)</f>
        <v>3</v>
      </c>
      <c r="AV643" s="0" t="n">
        <f aca="false">COUNTIF($BA$68:$EH$68,"D")</f>
        <v>0</v>
      </c>
      <c r="AW643" s="0" t="n">
        <f aca="false">COUNTIF($BA$68:$EH$68,"R")</f>
        <v>0</v>
      </c>
      <c r="AX643" s="0" t="n">
        <f aca="false">IF(BN643="D",1,0)+IF(BO643="D",1,0)+IF(BT643="D",1,0)+IF(BU643="D",1,0)+IF(BW643="D",1,0)+IF(CC643="D",1,0)+IF(CD643="D",1,0)+IF(CE643="D",1,0)+IF(CF643="D",1,0)+IF(CL643="D",1,0)+IF(CM643="D",1,0)+IF(CQ643="D",1,0)+IF(CR643="D",1,0)+IF(CS643="D",1,0)+IF(CW643="D",1,0)+IF(CX643="D",1,0)+IF(DD643="D",1,0)+IF(DE643="D",1,0)+IF(DJ643="D",1,0)+IF(DK643="D",1,0)+IF(DO643="D",1,0)+IF(DP643="D",1,0)+IF(DQ643="D",1,0)+IF(DW643="D",1,0)+IF(DZ643="D",1,0)+IF(EH643="D",1,0)</f>
        <v>0</v>
      </c>
      <c r="AY643" s="0" t="n">
        <f aca="false">COUNTIF(DU643:EH643, "&lt;&gt;")</f>
        <v>1</v>
      </c>
      <c r="AZ643" s="0" t="n">
        <f aca="false">IF(EH643&lt;&gt;"",1,0)</f>
        <v>0</v>
      </c>
      <c r="BB643" s="0" t="s">
        <v>152</v>
      </c>
      <c r="EF643" s="0" t="s">
        <v>153</v>
      </c>
    </row>
    <row r="644" customFormat="false" ht="13.8" hidden="true" customHeight="false" outlineLevel="0" collapsed="false">
      <c r="A644" s="0" t="s">
        <v>3335</v>
      </c>
      <c r="B644" s="0" t="n">
        <v>78</v>
      </c>
      <c r="C644" s="0" t="n">
        <v>489041</v>
      </c>
      <c r="D644" s="0" t="s">
        <v>690</v>
      </c>
      <c r="E644" s="0" t="s">
        <v>3315</v>
      </c>
      <c r="F644" s="0" t="str">
        <f aca="false">CONCATENATE(D644," ",LEFT(H644,4),"T=",AU644,"D=",AV644,"R=",AW644,"M=",AX644,"L=",AY644,"B=",AZ644)</f>
        <v>SMITH T=32D=10R=0M=0L=1B=0</v>
      </c>
      <c r="G644" s="0" t="s">
        <v>860</v>
      </c>
      <c r="I644" s="0" t="s">
        <v>3336</v>
      </c>
      <c r="J644" s="0" t="s">
        <v>1061</v>
      </c>
      <c r="K644" s="0" t="s">
        <v>160</v>
      </c>
      <c r="M644" s="0" t="s">
        <v>3334</v>
      </c>
      <c r="N644" s="0" t="str">
        <f aca="false">RIGHT(M644,LEN(M644)-FIND(" ",M644))</f>
        <v>GRANT ST SE</v>
      </c>
      <c r="P644" s="0" t="s">
        <v>145</v>
      </c>
      <c r="Q644" s="0" t="s">
        <v>146</v>
      </c>
      <c r="R644" s="0" t="n">
        <v>44483</v>
      </c>
      <c r="AD644" s="0" t="s">
        <v>147</v>
      </c>
      <c r="AE644" s="0" t="s">
        <v>148</v>
      </c>
      <c r="AF644" s="0" t="s">
        <v>149</v>
      </c>
      <c r="AH644" s="0" t="n">
        <v>14</v>
      </c>
      <c r="AI644" s="0" t="n">
        <v>11</v>
      </c>
      <c r="AN644" s="0" t="s">
        <v>145</v>
      </c>
      <c r="AO644" s="0" t="s">
        <v>150</v>
      </c>
      <c r="AP644" s="0" t="s">
        <v>151</v>
      </c>
      <c r="AQ644" s="0" t="n">
        <v>9</v>
      </c>
      <c r="AR644" s="0" t="n">
        <v>64</v>
      </c>
      <c r="AS644" s="0" t="n">
        <v>32</v>
      </c>
      <c r="AU644" s="0" t="n">
        <f aca="false">COUNTA($BA$441:$EH$441)</f>
        <v>32</v>
      </c>
      <c r="AV644" s="0" t="n">
        <f aca="false">COUNTIF($BA$441:$EH$441,"D")</f>
        <v>10</v>
      </c>
      <c r="AW644" s="0" t="n">
        <f aca="false">COUNTIF($BA$441:$EH$441,"R")</f>
        <v>0</v>
      </c>
      <c r="AX644" s="0" t="n">
        <f aca="false">IF(BN644="D",1,0)+IF(BO644="D",1,0)+IF(BT644="D",1,0)+IF(BU644="D",1,0)+IF(BW644="D",1,0)+IF(CC644="D",1,0)+IF(CD644="D",1,0)+IF(CE644="D",1,0)+IF(CF644="D",1,0)+IF(CL644="D",1,0)+IF(CM644="D",1,0)+IF(CQ644="D",1,0)+IF(CR644="D",1,0)+IF(CS644="D",1,0)+IF(CW644="D",1,0)+IF(CX644="D",1,0)+IF(DD644="D",1,0)+IF(DE644="D",1,0)+IF(DJ644="D",1,0)+IF(DK644="D",1,0)+IF(DO644="D",1,0)+IF(DP644="D",1,0)+IF(DQ644="D",1,0)+IF(DW644="D",1,0)+IF(DZ644="D",1,0)+IF(EH644="D",1,0)</f>
        <v>0</v>
      </c>
      <c r="AY644" s="0" t="n">
        <f aca="false">COUNTIF(DU644:EH644, "&lt;&gt;")</f>
        <v>1</v>
      </c>
      <c r="AZ644" s="0" t="n">
        <f aca="false">IF(EH644&lt;&gt;"",1,0)</f>
        <v>0</v>
      </c>
      <c r="BB644" s="0" t="s">
        <v>152</v>
      </c>
      <c r="BY644" s="0" t="s">
        <v>175</v>
      </c>
      <c r="CA644" s="0" t="s">
        <v>153</v>
      </c>
      <c r="CC644" s="0" t="s">
        <v>153</v>
      </c>
      <c r="CK644" s="0" t="s">
        <v>153</v>
      </c>
      <c r="EF644" s="0" t="s">
        <v>153</v>
      </c>
    </row>
    <row r="645" customFormat="false" ht="13.8" hidden="true" customHeight="false" outlineLevel="0" collapsed="false">
      <c r="A645" s="0" t="s">
        <v>3337</v>
      </c>
      <c r="B645" s="0" t="n">
        <v>78</v>
      </c>
      <c r="C645" s="0" t="n">
        <v>487209</v>
      </c>
      <c r="D645" s="0" t="s">
        <v>3088</v>
      </c>
      <c r="E645" s="0" t="s">
        <v>3338</v>
      </c>
      <c r="F645" s="0" t="str">
        <f aca="false">CONCATENATE(D645," ",LEFT(H645,4),"T=",AU645,"D=",AV645,"R=",AW645,"M=",AX645,"L=",AY645,"B=",AZ645)</f>
        <v>BARNETT T=1D=0R=0M=0L=0B=0</v>
      </c>
      <c r="I645" s="0" t="s">
        <v>3339</v>
      </c>
      <c r="J645" s="0" t="s">
        <v>3340</v>
      </c>
      <c r="K645" s="0" t="s">
        <v>160</v>
      </c>
      <c r="M645" s="0" t="s">
        <v>3334</v>
      </c>
      <c r="N645" s="0" t="str">
        <f aca="false">RIGHT(M645,LEN(M645)-FIND(" ",M645))</f>
        <v>GRANT ST SE</v>
      </c>
      <c r="P645" s="0" t="s">
        <v>145</v>
      </c>
      <c r="Q645" s="0" t="s">
        <v>146</v>
      </c>
      <c r="R645" s="0" t="n">
        <v>44483</v>
      </c>
      <c r="AD645" s="0" t="s">
        <v>147</v>
      </c>
      <c r="AE645" s="0" t="s">
        <v>148</v>
      </c>
      <c r="AF645" s="0" t="s">
        <v>149</v>
      </c>
      <c r="AH645" s="0" t="n">
        <v>14</v>
      </c>
      <c r="AI645" s="0" t="n">
        <v>11</v>
      </c>
      <c r="AN645" s="0" t="s">
        <v>145</v>
      </c>
      <c r="AO645" s="0" t="s">
        <v>150</v>
      </c>
      <c r="AP645" s="0" t="s">
        <v>151</v>
      </c>
      <c r="AQ645" s="0" t="n">
        <v>9</v>
      </c>
      <c r="AR645" s="0" t="n">
        <v>64</v>
      </c>
      <c r="AS645" s="0" t="n">
        <v>32</v>
      </c>
      <c r="AU645" s="0" t="n">
        <f aca="false">COUNTA($BA$769:$EH$769)</f>
        <v>1</v>
      </c>
      <c r="AV645" s="0" t="n">
        <f aca="false">COUNTIF($BA$769:$EH$769,"D")</f>
        <v>0</v>
      </c>
      <c r="AW645" s="0" t="n">
        <f aca="false">COUNTIF($BA$769:$EH$769,"R")</f>
        <v>0</v>
      </c>
      <c r="AX645" s="0" t="n">
        <f aca="false">IF(BN645="D",1,0)+IF(BO645="D",1,0)+IF(BT645="D",1,0)+IF(BU645="D",1,0)+IF(BW645="D",1,0)+IF(CC645="D",1,0)+IF(CD645="D",1,0)+IF(CE645="D",1,0)+IF(CF645="D",1,0)+IF(CL645="D",1,0)+IF(CM645="D",1,0)+IF(CQ645="D",1,0)+IF(CR645="D",1,0)+IF(CS645="D",1,0)+IF(CW645="D",1,0)+IF(CX645="D",1,0)+IF(DD645="D",1,0)+IF(DE645="D",1,0)+IF(DJ645="D",1,0)+IF(DK645="D",1,0)+IF(DO645="D",1,0)+IF(DP645="D",1,0)+IF(DQ645="D",1,0)+IF(DW645="D",1,0)+IF(DZ645="D",1,0)+IF(EH645="D",1,0)</f>
        <v>0</v>
      </c>
      <c r="AY645" s="0" t="n">
        <f aca="false">COUNTIF(DU645:EH645, "&lt;&gt;")</f>
        <v>0</v>
      </c>
      <c r="AZ645" s="0" t="n">
        <f aca="false">IF(EH645&lt;&gt;"",1,0)</f>
        <v>0</v>
      </c>
      <c r="BB645" s="0" t="s">
        <v>152</v>
      </c>
    </row>
    <row r="646" customFormat="false" ht="13.8" hidden="true" customHeight="false" outlineLevel="0" collapsed="false">
      <c r="A646" s="0" t="s">
        <v>3341</v>
      </c>
      <c r="B646" s="0" t="n">
        <v>78</v>
      </c>
      <c r="C646" s="0" t="n">
        <v>463902</v>
      </c>
      <c r="D646" s="0" t="s">
        <v>3342</v>
      </c>
      <c r="E646" s="0" t="s">
        <v>3343</v>
      </c>
      <c r="F646" s="0" t="str">
        <f aca="false">CONCATENATE(D646," ",LEFT(H646,4),"T=",AU646,"D=",AV646,"R=",AW646,"M=",AX646,"L=",AY646,"B=",AZ646)</f>
        <v>MACLARREN T=1D=0R=0M=0L=0B=0</v>
      </c>
      <c r="G646" s="0" t="s">
        <v>164</v>
      </c>
      <c r="I646" s="0" t="s">
        <v>3344</v>
      </c>
      <c r="J646" s="0" t="s">
        <v>3345</v>
      </c>
      <c r="K646" s="0" t="s">
        <v>160</v>
      </c>
      <c r="M646" s="0" t="s">
        <v>3334</v>
      </c>
      <c r="N646" s="0" t="str">
        <f aca="false">RIGHT(M646,LEN(M646)-FIND(" ",M646))</f>
        <v>GRANT ST SE</v>
      </c>
      <c r="P646" s="0" t="s">
        <v>145</v>
      </c>
      <c r="Q646" s="0" t="s">
        <v>146</v>
      </c>
      <c r="R646" s="0" t="n">
        <v>44483</v>
      </c>
      <c r="AD646" s="0" t="s">
        <v>147</v>
      </c>
      <c r="AE646" s="0" t="s">
        <v>148</v>
      </c>
      <c r="AF646" s="0" t="s">
        <v>149</v>
      </c>
      <c r="AH646" s="0" t="n">
        <v>14</v>
      </c>
      <c r="AI646" s="0" t="n">
        <v>11</v>
      </c>
      <c r="AN646" s="0" t="s">
        <v>145</v>
      </c>
      <c r="AO646" s="0" t="s">
        <v>150</v>
      </c>
      <c r="AP646" s="0" t="s">
        <v>151</v>
      </c>
      <c r="AQ646" s="0" t="n">
        <v>9</v>
      </c>
      <c r="AR646" s="0" t="n">
        <v>64</v>
      </c>
      <c r="AS646" s="0" t="n">
        <v>32</v>
      </c>
      <c r="AU646" s="0" t="n">
        <f aca="false">COUNTA($BA$877:$EH$877)</f>
        <v>1</v>
      </c>
      <c r="AV646" s="0" t="n">
        <f aca="false">COUNTIF($BA$877:$EH$877,"D")</f>
        <v>0</v>
      </c>
      <c r="AW646" s="0" t="n">
        <f aca="false">COUNTIF($BA$877:$EH$877,"R")</f>
        <v>0</v>
      </c>
      <c r="AX646" s="0" t="n">
        <f aca="false">IF(BN646="D",1,0)+IF(BO646="D",1,0)+IF(BT646="D",1,0)+IF(BU646="D",1,0)+IF(BW646="D",1,0)+IF(CC646="D",1,0)+IF(CD646="D",1,0)+IF(CE646="D",1,0)+IF(CF646="D",1,0)+IF(CL646="D",1,0)+IF(CM646="D",1,0)+IF(CQ646="D",1,0)+IF(CR646="D",1,0)+IF(CS646="D",1,0)+IF(CW646="D",1,0)+IF(CX646="D",1,0)+IF(DD646="D",1,0)+IF(DE646="D",1,0)+IF(DJ646="D",1,0)+IF(DK646="D",1,0)+IF(DO646="D",1,0)+IF(DP646="D",1,0)+IF(DQ646="D",1,0)+IF(DW646="D",1,0)+IF(DZ646="D",1,0)+IF(EH646="D",1,0)</f>
        <v>0</v>
      </c>
      <c r="AY646" s="0" t="n">
        <f aca="false">COUNTIF(DU646:EH646, "&lt;&gt;")</f>
        <v>0</v>
      </c>
      <c r="AZ646" s="0" t="n">
        <f aca="false">IF(EH646&lt;&gt;"",1,0)</f>
        <v>0</v>
      </c>
      <c r="BB646" s="0" t="s">
        <v>152</v>
      </c>
    </row>
    <row r="647" customFormat="false" ht="13.8" hidden="true" customHeight="false" outlineLevel="0" collapsed="false">
      <c r="A647" s="0" t="s">
        <v>3346</v>
      </c>
      <c r="B647" s="0" t="n">
        <v>78</v>
      </c>
      <c r="C647" s="0" t="n">
        <v>478164</v>
      </c>
      <c r="D647" s="0" t="s">
        <v>3347</v>
      </c>
      <c r="E647" s="0" t="s">
        <v>2029</v>
      </c>
      <c r="F647" s="0" t="str">
        <f aca="false">CONCATENATE(D647," ",LEFT(H647,4),"T=",AU647,"D=",AV647,"R=",AW647,"M=",AX647,"L=",AY647,"B=",AZ647)</f>
        <v>GALVIN T=1D=0R=0M=0L=1B=0</v>
      </c>
      <c r="G647" s="0" t="s">
        <v>325</v>
      </c>
      <c r="I647" s="0" t="s">
        <v>3348</v>
      </c>
      <c r="J647" s="0" t="s">
        <v>2036</v>
      </c>
      <c r="K647" s="0" t="s">
        <v>160</v>
      </c>
      <c r="M647" s="0" t="s">
        <v>3349</v>
      </c>
      <c r="N647" s="0" t="str">
        <f aca="false">RIGHT(M647,LEN(M647)-FIND(" ",M647))</f>
        <v>GRANT ST SE</v>
      </c>
      <c r="P647" s="0" t="s">
        <v>145</v>
      </c>
      <c r="Q647" s="0" t="s">
        <v>146</v>
      </c>
      <c r="R647" s="0" t="n">
        <v>44483</v>
      </c>
      <c r="AD647" s="0" t="s">
        <v>147</v>
      </c>
      <c r="AE647" s="0" t="s">
        <v>148</v>
      </c>
      <c r="AF647" s="0" t="s">
        <v>149</v>
      </c>
      <c r="AH647" s="0" t="n">
        <v>14</v>
      </c>
      <c r="AI647" s="0" t="n">
        <v>11</v>
      </c>
      <c r="AN647" s="0" t="s">
        <v>145</v>
      </c>
      <c r="AO647" s="0" t="s">
        <v>150</v>
      </c>
      <c r="AP647" s="0" t="s">
        <v>151</v>
      </c>
      <c r="AQ647" s="0" t="n">
        <v>9</v>
      </c>
      <c r="AR647" s="0" t="n">
        <v>64</v>
      </c>
      <c r="AS647" s="0" t="n">
        <v>32</v>
      </c>
      <c r="AU647" s="0" t="n">
        <f aca="false">COUNTA($BA$82:$EH$82)</f>
        <v>1</v>
      </c>
      <c r="AV647" s="0" t="n">
        <f aca="false">COUNTIF($BA$82:$EH$82,"D")</f>
        <v>0</v>
      </c>
      <c r="AW647" s="0" t="n">
        <f aca="false">COUNTIF($BA$82:$EH$82,"R")</f>
        <v>0</v>
      </c>
      <c r="AX647" s="0" t="n">
        <f aca="false">IF(BN647="D",1,0)+IF(BO647="D",1,0)+IF(BT647="D",1,0)+IF(BU647="D",1,0)+IF(BW647="D",1,0)+IF(CC647="D",1,0)+IF(CD647="D",1,0)+IF(CE647="D",1,0)+IF(CF647="D",1,0)+IF(CL647="D",1,0)+IF(CM647="D",1,0)+IF(CQ647="D",1,0)+IF(CR647="D",1,0)+IF(CS647="D",1,0)+IF(CW647="D",1,0)+IF(CX647="D",1,0)+IF(DD647="D",1,0)+IF(DE647="D",1,0)+IF(DJ647="D",1,0)+IF(DK647="D",1,0)+IF(DO647="D",1,0)+IF(DP647="D",1,0)+IF(DQ647="D",1,0)+IF(DW647="D",1,0)+IF(DZ647="D",1,0)+IF(EH647="D",1,0)</f>
        <v>0</v>
      </c>
      <c r="AY647" s="0" t="n">
        <f aca="false">COUNTIF(DU647:EH647, "&lt;&gt;")</f>
        <v>1</v>
      </c>
      <c r="AZ647" s="0" t="n">
        <f aca="false">IF(EH647&lt;&gt;"",1,0)</f>
        <v>0</v>
      </c>
      <c r="BB647" s="0" t="s">
        <v>152</v>
      </c>
      <c r="CP647" s="0" t="s">
        <v>153</v>
      </c>
      <c r="CT647" s="0" t="s">
        <v>153</v>
      </c>
      <c r="DC647" s="0" t="s">
        <v>153</v>
      </c>
      <c r="DN647" s="0" t="s">
        <v>153</v>
      </c>
      <c r="EF647" s="0" t="s">
        <v>153</v>
      </c>
    </row>
    <row r="648" customFormat="false" ht="13.8" hidden="true" customHeight="false" outlineLevel="0" collapsed="false">
      <c r="A648" s="0" t="s">
        <v>3350</v>
      </c>
      <c r="B648" s="0" t="n">
        <v>78</v>
      </c>
      <c r="C648" s="0" t="n">
        <v>13290</v>
      </c>
      <c r="D648" s="0" t="s">
        <v>3351</v>
      </c>
      <c r="E648" s="0" t="s">
        <v>3352</v>
      </c>
      <c r="F648" s="0" t="str">
        <f aca="false">CONCATENATE(D648," ",LEFT(H648,4),"T=",AU648,"D=",AV648,"R=",AW648,"M=",AX648,"L=",AY648,"B=",AZ648)</f>
        <v>MINES T=44D=11R=3M=0L=0B=0</v>
      </c>
      <c r="G648" s="0" t="s">
        <v>325</v>
      </c>
      <c r="I648" s="0" t="s">
        <v>3353</v>
      </c>
      <c r="J648" s="0" t="s">
        <v>3354</v>
      </c>
      <c r="K648" s="0" t="s">
        <v>143</v>
      </c>
      <c r="M648" s="0" t="s">
        <v>3355</v>
      </c>
      <c r="N648" s="0" t="str">
        <f aca="false">RIGHT(M648,LEN(M648)-FIND(" ",M648))</f>
        <v>GRANT ST SE</v>
      </c>
      <c r="P648" s="0" t="s">
        <v>145</v>
      </c>
      <c r="Q648" s="0" t="s">
        <v>146</v>
      </c>
      <c r="R648" s="0" t="n">
        <v>44483</v>
      </c>
      <c r="AD648" s="0" t="s">
        <v>147</v>
      </c>
      <c r="AE648" s="0" t="s">
        <v>148</v>
      </c>
      <c r="AF648" s="0" t="s">
        <v>149</v>
      </c>
      <c r="AH648" s="0" t="n">
        <v>14</v>
      </c>
      <c r="AI648" s="0" t="n">
        <v>11</v>
      </c>
      <c r="AN648" s="0" t="s">
        <v>145</v>
      </c>
      <c r="AO648" s="0" t="s">
        <v>150</v>
      </c>
      <c r="AP648" s="0" t="s">
        <v>151</v>
      </c>
      <c r="AQ648" s="0" t="n">
        <v>9</v>
      </c>
      <c r="AR648" s="0" t="n">
        <v>64</v>
      </c>
      <c r="AS648" s="0" t="n">
        <v>32</v>
      </c>
      <c r="AU648" s="0" t="n">
        <f aca="false">COUNTA($BA$543:$EH$543)</f>
        <v>44</v>
      </c>
      <c r="AV648" s="0" t="n">
        <f aca="false">COUNTIF($BA$543:$EH$543,"D")</f>
        <v>11</v>
      </c>
      <c r="AW648" s="0" t="n">
        <f aca="false">COUNTIF($BA$543:$EH$543,"R")</f>
        <v>3</v>
      </c>
      <c r="AX648" s="0" t="n">
        <f aca="false">IF(BN648="D",1,0)+IF(BO648="D",1,0)+IF(BT648="D",1,0)+IF(BU648="D",1,0)+IF(BW648="D",1,0)+IF(CC648="D",1,0)+IF(CD648="D",1,0)+IF(CE648="D",1,0)+IF(CF648="D",1,0)+IF(CL648="D",1,0)+IF(CM648="D",1,0)+IF(CQ648="D",1,0)+IF(CR648="D",1,0)+IF(CS648="D",1,0)+IF(CW648="D",1,0)+IF(CX648="D",1,0)+IF(DD648="D",1,0)+IF(DE648="D",1,0)+IF(DJ648="D",1,0)+IF(DK648="D",1,0)+IF(DO648="D",1,0)+IF(DP648="D",1,0)+IF(DQ648="D",1,0)+IF(DW648="D",1,0)+IF(DZ648="D",1,0)+IF(EH648="D",1,0)</f>
        <v>0</v>
      </c>
      <c r="AY648" s="0" t="n">
        <f aca="false">COUNTIF(DU648:EH648, "&lt;&gt;")</f>
        <v>0</v>
      </c>
      <c r="AZ648" s="0" t="n">
        <f aca="false">IF(EH648&lt;&gt;"",1,0)</f>
        <v>0</v>
      </c>
      <c r="BB648" s="0" t="s">
        <v>152</v>
      </c>
      <c r="BD648" s="0" t="s">
        <v>153</v>
      </c>
      <c r="BE648" s="0" t="s">
        <v>153</v>
      </c>
      <c r="BH648" s="0" t="s">
        <v>153</v>
      </c>
      <c r="BJ648" s="0" t="s">
        <v>153</v>
      </c>
      <c r="BK648" s="0" t="s">
        <v>153</v>
      </c>
      <c r="BL648" s="0" t="s">
        <v>153</v>
      </c>
      <c r="BP648" s="0" t="s">
        <v>153</v>
      </c>
      <c r="BS648" s="0" t="s">
        <v>153</v>
      </c>
      <c r="CA648" s="0" t="s">
        <v>153</v>
      </c>
      <c r="CG648" s="0" t="s">
        <v>153</v>
      </c>
      <c r="CK648" s="0" t="s">
        <v>153</v>
      </c>
      <c r="CN648" s="0" t="s">
        <v>153</v>
      </c>
      <c r="CP648" s="0" t="s">
        <v>153</v>
      </c>
      <c r="DI648" s="0" t="s">
        <v>153</v>
      </c>
    </row>
    <row r="649" customFormat="false" ht="13.8" hidden="true" customHeight="false" outlineLevel="0" collapsed="false">
      <c r="A649" s="0" t="s">
        <v>3356</v>
      </c>
      <c r="B649" s="0" t="n">
        <v>78</v>
      </c>
      <c r="C649" s="0" t="n">
        <v>483457</v>
      </c>
      <c r="D649" s="0" t="s">
        <v>3357</v>
      </c>
      <c r="E649" s="0" t="s">
        <v>3358</v>
      </c>
      <c r="F649" s="0" t="str">
        <f aca="false">CONCATENATE(D649," ",LEFT(H649,4),"T=",AU649,"D=",AV649,"R=",AW649,"M=",AX649,"L=",AY649,"B=",AZ649)</f>
        <v>NIEVES LOPEZ T=1D=0R=0M=0L=1B=0</v>
      </c>
      <c r="I649" s="0" t="s">
        <v>3359</v>
      </c>
      <c r="J649" s="0" t="s">
        <v>3360</v>
      </c>
      <c r="K649" s="0" t="s">
        <v>160</v>
      </c>
      <c r="M649" s="0" t="s">
        <v>3361</v>
      </c>
      <c r="N649" s="0" t="str">
        <f aca="false">RIGHT(M649,LEN(M649)-FIND(" ",M649))</f>
        <v>GRANT ST SE</v>
      </c>
      <c r="P649" s="0" t="s">
        <v>145</v>
      </c>
      <c r="Q649" s="0" t="s">
        <v>146</v>
      </c>
      <c r="R649" s="0" t="n">
        <v>44483</v>
      </c>
      <c r="AD649" s="0" t="s">
        <v>147</v>
      </c>
      <c r="AE649" s="0" t="s">
        <v>148</v>
      </c>
      <c r="AF649" s="0" t="s">
        <v>149</v>
      </c>
      <c r="AH649" s="0" t="n">
        <v>14</v>
      </c>
      <c r="AI649" s="0" t="n">
        <v>11</v>
      </c>
      <c r="AN649" s="0" t="s">
        <v>145</v>
      </c>
      <c r="AO649" s="0" t="s">
        <v>150</v>
      </c>
      <c r="AP649" s="0" t="s">
        <v>151</v>
      </c>
      <c r="AQ649" s="0" t="n">
        <v>9</v>
      </c>
      <c r="AR649" s="0" t="n">
        <v>64</v>
      </c>
      <c r="AS649" s="0" t="n">
        <v>32</v>
      </c>
      <c r="AU649" s="0" t="n">
        <f aca="false">COUNTA($BA$495:$EH$495)</f>
        <v>1</v>
      </c>
      <c r="AV649" s="0" t="n">
        <f aca="false">COUNTIF($BA$495:$EH$495,"D")</f>
        <v>0</v>
      </c>
      <c r="AW649" s="0" t="n">
        <f aca="false">COUNTIF($BA$495:$EH$495,"R")</f>
        <v>0</v>
      </c>
      <c r="AX649" s="0" t="n">
        <f aca="false">IF(BN649="D",1,0)+IF(BO649="D",1,0)+IF(BT649="D",1,0)+IF(BU649="D",1,0)+IF(BW649="D",1,0)+IF(CC649="D",1,0)+IF(CD649="D",1,0)+IF(CE649="D",1,0)+IF(CF649="D",1,0)+IF(CL649="D",1,0)+IF(CM649="D",1,0)+IF(CQ649="D",1,0)+IF(CR649="D",1,0)+IF(CS649="D",1,0)+IF(CW649="D",1,0)+IF(CX649="D",1,0)+IF(DD649="D",1,0)+IF(DE649="D",1,0)+IF(DJ649="D",1,0)+IF(DK649="D",1,0)+IF(DO649="D",1,0)+IF(DP649="D",1,0)+IF(DQ649="D",1,0)+IF(DW649="D",1,0)+IF(DZ649="D",1,0)+IF(EH649="D",1,0)</f>
        <v>0</v>
      </c>
      <c r="AY649" s="0" t="n">
        <f aca="false">COUNTIF(DU649:EH649, "&lt;&gt;")</f>
        <v>1</v>
      </c>
      <c r="AZ649" s="0" t="n">
        <f aca="false">IF(EH649&lt;&gt;"",1,0)</f>
        <v>0</v>
      </c>
      <c r="BB649" s="0" t="s">
        <v>152</v>
      </c>
      <c r="EF649" s="0" t="s">
        <v>153</v>
      </c>
    </row>
    <row r="650" customFormat="false" ht="13.8" hidden="false" customHeight="false" outlineLevel="0" collapsed="false">
      <c r="A650" s="0" t="s">
        <v>3362</v>
      </c>
      <c r="B650" s="0" t="n">
        <v>78</v>
      </c>
      <c r="C650" s="0" t="n">
        <v>420997</v>
      </c>
      <c r="D650" s="0" t="s">
        <v>3363</v>
      </c>
      <c r="E650" s="0" t="s">
        <v>3364</v>
      </c>
      <c r="F650" s="0" t="str">
        <f aca="false">CONCATENATE(D650," ",LEFT(H650,4),"T=",AU650,"D=",AV650,"R=",AW650,"M=",AX650,"L=",AY650,"B=",AZ650)</f>
        <v>NIEVES T=1D=0R=0M=0L=3B=0</v>
      </c>
      <c r="I650" s="0" t="s">
        <v>3365</v>
      </c>
      <c r="J650" s="0" t="s">
        <v>3366</v>
      </c>
      <c r="K650" s="0" t="s">
        <v>160</v>
      </c>
      <c r="M650" s="0" t="s">
        <v>3361</v>
      </c>
      <c r="N650" s="0" t="str">
        <f aca="false">RIGHT(M650,LEN(M650)-FIND(" ",M650))</f>
        <v>GRANT ST SE</v>
      </c>
      <c r="P650" s="0" t="s">
        <v>145</v>
      </c>
      <c r="Q650" s="0" t="s">
        <v>146</v>
      </c>
      <c r="R650" s="0" t="n">
        <v>44483</v>
      </c>
      <c r="AD650" s="0" t="s">
        <v>147</v>
      </c>
      <c r="AE650" s="0" t="s">
        <v>148</v>
      </c>
      <c r="AF650" s="0" t="s">
        <v>149</v>
      </c>
      <c r="AH650" s="0" t="n">
        <v>14</v>
      </c>
      <c r="AI650" s="0" t="n">
        <v>11</v>
      </c>
      <c r="AN650" s="0" t="s">
        <v>145</v>
      </c>
      <c r="AO650" s="0" t="s">
        <v>150</v>
      </c>
      <c r="AP650" s="0" t="s">
        <v>151</v>
      </c>
      <c r="AQ650" s="0" t="n">
        <v>9</v>
      </c>
      <c r="AR650" s="0" t="n">
        <v>64</v>
      </c>
      <c r="AS650" s="0" t="n">
        <v>32</v>
      </c>
      <c r="AU650" s="0" t="n">
        <f aca="false">COUNTA($BA$795:$EH$795)</f>
        <v>1</v>
      </c>
      <c r="AV650" s="0" t="n">
        <f aca="false">COUNTIF($BA$795:$EH$795,"D")</f>
        <v>0</v>
      </c>
      <c r="AW650" s="0" t="n">
        <f aca="false">COUNTIF($BA$795:$EH$795,"R")</f>
        <v>0</v>
      </c>
      <c r="AX650" s="0" t="n">
        <f aca="false">IF(BN650="D",1,0)+IF(BO650="D",1,0)+IF(BT650="D",1,0)+IF(BU650="D",1,0)+IF(BW650="D",1,0)+IF(CC650="D",1,0)+IF(CD650="D",1,0)+IF(CE650="D",1,0)+IF(CF650="D",1,0)+IF(CL650="D",1,0)+IF(CM650="D",1,0)+IF(CQ650="D",1,0)+IF(CR650="D",1,0)+IF(CS650="D",1,0)+IF(CW650="D",1,0)+IF(CX650="D",1,0)+IF(DD650="D",1,0)+IF(DE650="D",1,0)+IF(DJ650="D",1,0)+IF(DK650="D",1,0)+IF(DO650="D",1,0)+IF(DP650="D",1,0)+IF(DQ650="D",1,0)+IF(DW650="D",1,0)+IF(DZ650="D",1,0)+IF(EH650="D",1,0)</f>
        <v>0</v>
      </c>
      <c r="AY650" s="0" t="n">
        <f aca="false">COUNTIF(DU650:EH650, "&lt;&gt;")</f>
        <v>3</v>
      </c>
      <c r="AZ650" s="0" t="n">
        <f aca="false">IF(EH650&lt;&gt;"",1,0)</f>
        <v>0</v>
      </c>
      <c r="BB650" s="0" t="s">
        <v>152</v>
      </c>
      <c r="DI650" s="0" t="s">
        <v>153</v>
      </c>
      <c r="DN650" s="0" t="s">
        <v>153</v>
      </c>
      <c r="DX650" s="0" t="s">
        <v>153</v>
      </c>
      <c r="EA650" s="0" t="s">
        <v>153</v>
      </c>
      <c r="EF650" s="0" t="s">
        <v>153</v>
      </c>
    </row>
    <row r="651" customFormat="false" ht="13.8" hidden="false" customHeight="false" outlineLevel="0" collapsed="false">
      <c r="A651" s="0" t="s">
        <v>3367</v>
      </c>
      <c r="B651" s="0" t="n">
        <v>78</v>
      </c>
      <c r="C651" s="0" t="n">
        <v>420998</v>
      </c>
      <c r="D651" s="0" t="s">
        <v>3368</v>
      </c>
      <c r="E651" s="0" t="s">
        <v>3369</v>
      </c>
      <c r="F651" s="0" t="str">
        <f aca="false">CONCATENATE(D651," ",LEFT(H651,4),"T=",AU651,"D=",AV651,"R=",AW651,"M=",AX651,"L=",AY651,"B=",AZ651)</f>
        <v>LOPEZ RIVERA T=1D=0R=0M=0L=4B=0</v>
      </c>
      <c r="I651" s="0" t="s">
        <v>3370</v>
      </c>
      <c r="J651" s="0" t="s">
        <v>3366</v>
      </c>
      <c r="K651" s="0" t="s">
        <v>160</v>
      </c>
      <c r="M651" s="0" t="s">
        <v>3361</v>
      </c>
      <c r="N651" s="0" t="str">
        <f aca="false">RIGHT(M651,LEN(M651)-FIND(" ",M651))</f>
        <v>GRANT ST SE</v>
      </c>
      <c r="P651" s="0" t="s">
        <v>145</v>
      </c>
      <c r="Q651" s="0" t="s">
        <v>146</v>
      </c>
      <c r="R651" s="0" t="n">
        <v>44483</v>
      </c>
      <c r="AD651" s="0" t="s">
        <v>147</v>
      </c>
      <c r="AE651" s="0" t="s">
        <v>148</v>
      </c>
      <c r="AF651" s="0" t="s">
        <v>149</v>
      </c>
      <c r="AH651" s="0" t="n">
        <v>14</v>
      </c>
      <c r="AI651" s="0" t="n">
        <v>11</v>
      </c>
      <c r="AN651" s="0" t="s">
        <v>145</v>
      </c>
      <c r="AO651" s="0" t="s">
        <v>150</v>
      </c>
      <c r="AP651" s="0" t="s">
        <v>151</v>
      </c>
      <c r="AQ651" s="0" t="n">
        <v>9</v>
      </c>
      <c r="AR651" s="0" t="n">
        <v>64</v>
      </c>
      <c r="AS651" s="0" t="n">
        <v>32</v>
      </c>
      <c r="AU651" s="0" t="n">
        <f aca="false">COUNTA($BA$796:$EH$796)</f>
        <v>1</v>
      </c>
      <c r="AV651" s="0" t="n">
        <f aca="false">COUNTIF($BA$796:$EH$796,"D")</f>
        <v>0</v>
      </c>
      <c r="AW651" s="0" t="n">
        <f aca="false">COUNTIF($BA$796:$EH$796,"R")</f>
        <v>0</v>
      </c>
      <c r="AX651" s="0" t="n">
        <f aca="false">IF(BN651="D",1,0)+IF(BO651="D",1,0)+IF(BT651="D",1,0)+IF(BU651="D",1,0)+IF(BW651="D",1,0)+IF(CC651="D",1,0)+IF(CD651="D",1,0)+IF(CE651="D",1,0)+IF(CF651="D",1,0)+IF(CL651="D",1,0)+IF(CM651="D",1,0)+IF(CQ651="D",1,0)+IF(CR651="D",1,0)+IF(CS651="D",1,0)+IF(CW651="D",1,0)+IF(CX651="D",1,0)+IF(DD651="D",1,0)+IF(DE651="D",1,0)+IF(DJ651="D",1,0)+IF(DK651="D",1,0)+IF(DO651="D",1,0)+IF(DP651="D",1,0)+IF(DQ651="D",1,0)+IF(DW651="D",1,0)+IF(DZ651="D",1,0)+IF(EH651="D",1,0)</f>
        <v>0</v>
      </c>
      <c r="AY651" s="0" t="n">
        <f aca="false">COUNTIF(DU651:EH651, "&lt;&gt;")</f>
        <v>4</v>
      </c>
      <c r="AZ651" s="0" t="n">
        <f aca="false">IF(EH651&lt;&gt;"",1,0)</f>
        <v>0</v>
      </c>
      <c r="BB651" s="0" t="s">
        <v>152</v>
      </c>
      <c r="DC651" s="0" t="s">
        <v>153</v>
      </c>
      <c r="DI651" s="0" t="s">
        <v>153</v>
      </c>
      <c r="DN651" s="0" t="s">
        <v>153</v>
      </c>
      <c r="DU651" s="0" t="s">
        <v>153</v>
      </c>
      <c r="DX651" s="0" t="s">
        <v>153</v>
      </c>
      <c r="EA651" s="0" t="s">
        <v>153</v>
      </c>
      <c r="EF651" s="0" t="s">
        <v>153</v>
      </c>
    </row>
    <row r="652" customFormat="false" ht="13.8" hidden="false" customHeight="false" outlineLevel="0" collapsed="false">
      <c r="A652" s="0" t="s">
        <v>3371</v>
      </c>
      <c r="B652" s="0" t="n">
        <v>78</v>
      </c>
      <c r="C652" s="0" t="n">
        <v>13220</v>
      </c>
      <c r="D652" s="0" t="s">
        <v>3372</v>
      </c>
      <c r="E652" s="0" t="s">
        <v>274</v>
      </c>
      <c r="F652" s="0" t="str">
        <f aca="false">CONCATENATE(D652," ",LEFT(H652,4),"T=",AU652,"D=",AV652,"R=",AW652,"M=",AX652,"L=",AY652,"B=",AZ652)</f>
        <v>HOLMES IIIT=23D=6R=0M=7L=7B=1</v>
      </c>
      <c r="H652" s="0" t="s">
        <v>1932</v>
      </c>
      <c r="I652" s="0" t="s">
        <v>3373</v>
      </c>
      <c r="J652" s="0" t="s">
        <v>3374</v>
      </c>
      <c r="K652" s="0" t="s">
        <v>160</v>
      </c>
      <c r="L652" s="0" t="s">
        <v>175</v>
      </c>
      <c r="M652" s="0" t="s">
        <v>3375</v>
      </c>
      <c r="N652" s="0" t="str">
        <f aca="false">RIGHT(M652,LEN(M652)-FIND(" ",M652))</f>
        <v>GRANT ST SE</v>
      </c>
      <c r="P652" s="0" t="s">
        <v>145</v>
      </c>
      <c r="Q652" s="0" t="s">
        <v>146</v>
      </c>
      <c r="R652" s="0" t="n">
        <v>44483</v>
      </c>
      <c r="S652" s="0" t="n">
        <v>5911</v>
      </c>
      <c r="AD652" s="0" t="s">
        <v>147</v>
      </c>
      <c r="AE652" s="0" t="s">
        <v>148</v>
      </c>
      <c r="AF652" s="0" t="s">
        <v>149</v>
      </c>
      <c r="AH652" s="0" t="n">
        <v>14</v>
      </c>
      <c r="AI652" s="0" t="n">
        <v>11</v>
      </c>
      <c r="AN652" s="0" t="s">
        <v>145</v>
      </c>
      <c r="AO652" s="0" t="s">
        <v>150</v>
      </c>
      <c r="AP652" s="0" t="s">
        <v>151</v>
      </c>
      <c r="AQ652" s="0" t="n">
        <v>9</v>
      </c>
      <c r="AR652" s="0" t="n">
        <v>64</v>
      </c>
      <c r="AS652" s="0" t="n">
        <v>32</v>
      </c>
      <c r="AU652" s="0" t="n">
        <f aca="false">COUNTA($BA$717:$EH$717)</f>
        <v>23</v>
      </c>
      <c r="AV652" s="0" t="n">
        <f aca="false">COUNTIF($BA$717:$EH$717,"D")</f>
        <v>6</v>
      </c>
      <c r="AW652" s="0" t="n">
        <f aca="false">COUNTIF($BA$717:$EH$717,"R")</f>
        <v>0</v>
      </c>
      <c r="AX652" s="0" t="n">
        <f aca="false">IF(BN652="D",1,0)+IF(BO652="D",1,0)+IF(BT652="D",1,0)+IF(BU652="D",1,0)+IF(BW652="D",1,0)+IF(CC652="D",1,0)+IF(CD652="D",1,0)+IF(CE652="D",1,0)+IF(CF652="D",1,0)+IF(CL652="D",1,0)+IF(CM652="D",1,0)+IF(CQ652="D",1,0)+IF(CR652="D",1,0)+IF(CS652="D",1,0)+IF(CW652="D",1,0)+IF(CX652="D",1,0)+IF(DD652="D",1,0)+IF(DE652="D",1,0)+IF(DJ652="D",1,0)+IF(DK652="D",1,0)+IF(DO652="D",1,0)+IF(DP652="D",1,0)+IF(DQ652="D",1,0)+IF(DW652="D",1,0)+IF(DZ652="D",1,0)+IF(EH652="D",1,0)</f>
        <v>7</v>
      </c>
      <c r="AY652" s="0" t="n">
        <f aca="false">COUNTIF(DU652:EH652, "&lt;&gt;")</f>
        <v>7</v>
      </c>
      <c r="AZ652" s="0" t="n">
        <f aca="false">IF(EH652&lt;&gt;"",1,0)</f>
        <v>1</v>
      </c>
      <c r="BB652" s="0" t="s">
        <v>152</v>
      </c>
      <c r="BC652" s="0" t="s">
        <v>153</v>
      </c>
      <c r="BD652" s="0" t="s">
        <v>153</v>
      </c>
      <c r="BE652" s="0" t="s">
        <v>153</v>
      </c>
      <c r="BF652" s="0" t="s">
        <v>153</v>
      </c>
      <c r="BG652" s="0" t="s">
        <v>153</v>
      </c>
      <c r="BH652" s="0" t="s">
        <v>153</v>
      </c>
      <c r="BI652" s="0" t="s">
        <v>153</v>
      </c>
      <c r="BJ652" s="0" t="s">
        <v>153</v>
      </c>
      <c r="BK652" s="0" t="s">
        <v>153</v>
      </c>
      <c r="BL652" s="0" t="s">
        <v>153</v>
      </c>
      <c r="BP652" s="0" t="s">
        <v>153</v>
      </c>
      <c r="BR652" s="0" t="s">
        <v>153</v>
      </c>
      <c r="BS652" s="0" t="s">
        <v>153</v>
      </c>
      <c r="BT652" s="0" t="s">
        <v>153</v>
      </c>
      <c r="BV652" s="0" t="s">
        <v>153</v>
      </c>
      <c r="BY652" s="0" t="s">
        <v>175</v>
      </c>
      <c r="CA652" s="0" t="s">
        <v>153</v>
      </c>
      <c r="CC652" s="0" t="s">
        <v>175</v>
      </c>
      <c r="CG652" s="0" t="s">
        <v>153</v>
      </c>
      <c r="CH652" s="0" t="s">
        <v>175</v>
      </c>
      <c r="CK652" s="0" t="s">
        <v>153</v>
      </c>
      <c r="CL652" s="0" t="s">
        <v>175</v>
      </c>
      <c r="CN652" s="0" t="s">
        <v>153</v>
      </c>
      <c r="CO652" s="0" t="s">
        <v>175</v>
      </c>
      <c r="CP652" s="0" t="s">
        <v>153</v>
      </c>
      <c r="CQ652" s="0" t="s">
        <v>175</v>
      </c>
      <c r="CU652" s="0" t="s">
        <v>175</v>
      </c>
      <c r="CV652" s="0" t="s">
        <v>153</v>
      </c>
      <c r="CW652" s="0" t="s">
        <v>175</v>
      </c>
      <c r="CY652" s="0" t="s">
        <v>153</v>
      </c>
      <c r="CZ652" s="0" t="s">
        <v>175</v>
      </c>
      <c r="DC652" s="0" t="s">
        <v>153</v>
      </c>
      <c r="DF652" s="0" t="s">
        <v>153</v>
      </c>
      <c r="DG652" s="0" t="s">
        <v>175</v>
      </c>
      <c r="DI652" s="0" t="s">
        <v>153</v>
      </c>
      <c r="DJ652" s="0" t="s">
        <v>175</v>
      </c>
      <c r="DL652" s="0" t="s">
        <v>153</v>
      </c>
      <c r="DM652" s="0" t="s">
        <v>175</v>
      </c>
      <c r="DN652" s="0" t="s">
        <v>153</v>
      </c>
      <c r="DR652" s="0" t="s">
        <v>153</v>
      </c>
      <c r="DS652" s="0" t="s">
        <v>175</v>
      </c>
      <c r="DU652" s="0" t="s">
        <v>153</v>
      </c>
      <c r="DW652" s="0" t="s">
        <v>175</v>
      </c>
      <c r="DX652" s="0" t="s">
        <v>153</v>
      </c>
      <c r="EA652" s="0" t="s">
        <v>153</v>
      </c>
      <c r="ED652" s="0" t="s">
        <v>175</v>
      </c>
      <c r="EF652" s="0" t="s">
        <v>153</v>
      </c>
      <c r="EH652" s="0" t="s">
        <v>175</v>
      </c>
    </row>
    <row r="653" customFormat="false" ht="13.8" hidden="false" customHeight="false" outlineLevel="0" collapsed="false">
      <c r="A653" s="0" t="s">
        <v>3376</v>
      </c>
      <c r="B653" s="0" t="n">
        <v>78</v>
      </c>
      <c r="C653" s="0" t="n">
        <v>18020</v>
      </c>
      <c r="D653" s="0" t="s">
        <v>3097</v>
      </c>
      <c r="E653" s="0" t="s">
        <v>2049</v>
      </c>
      <c r="F653" s="0" t="str">
        <f aca="false">CONCATENATE(D653," ",LEFT(H653,4),"T=",AU653,"D=",AV653,"R=",AW653,"M=",AX653,"L=",AY653,"B=",AZ653)</f>
        <v>ROBERTS T=3D=0R=0M=2L=7B=1</v>
      </c>
      <c r="G653" s="0" t="s">
        <v>215</v>
      </c>
      <c r="I653" s="0" t="s">
        <v>3377</v>
      </c>
      <c r="J653" s="0" t="s">
        <v>3378</v>
      </c>
      <c r="K653" s="0" t="s">
        <v>160</v>
      </c>
      <c r="L653" s="0" t="s">
        <v>175</v>
      </c>
      <c r="M653" s="0" t="s">
        <v>3375</v>
      </c>
      <c r="N653" s="0" t="str">
        <f aca="false">RIGHT(M653,LEN(M653)-FIND(" ",M653))</f>
        <v>GRANT ST SE</v>
      </c>
      <c r="P653" s="0" t="s">
        <v>145</v>
      </c>
      <c r="Q653" s="0" t="s">
        <v>146</v>
      </c>
      <c r="R653" s="0" t="n">
        <v>44483</v>
      </c>
      <c r="AD653" s="0" t="s">
        <v>147</v>
      </c>
      <c r="AE653" s="0" t="s">
        <v>148</v>
      </c>
      <c r="AF653" s="0" t="s">
        <v>149</v>
      </c>
      <c r="AH653" s="0" t="n">
        <v>14</v>
      </c>
      <c r="AI653" s="0" t="n">
        <v>11</v>
      </c>
      <c r="AN653" s="0" t="s">
        <v>145</v>
      </c>
      <c r="AO653" s="0" t="s">
        <v>150</v>
      </c>
      <c r="AP653" s="0" t="s">
        <v>151</v>
      </c>
      <c r="AQ653" s="0" t="n">
        <v>9</v>
      </c>
      <c r="AR653" s="0" t="n">
        <v>64</v>
      </c>
      <c r="AS653" s="0" t="n">
        <v>32</v>
      </c>
      <c r="AU653" s="0" t="n">
        <f aca="false">COUNTA($BA$734:$EH$734)</f>
        <v>3</v>
      </c>
      <c r="AV653" s="0" t="n">
        <f aca="false">COUNTIF($BA$734:$EH$734,"D")</f>
        <v>0</v>
      </c>
      <c r="AW653" s="0" t="n">
        <f aca="false">COUNTIF($BA$734:$EH$734,"R")</f>
        <v>0</v>
      </c>
      <c r="AX653" s="0" t="n">
        <f aca="false">IF(BN653="D",1,0)+IF(BO653="D",1,0)+IF(BT653="D",1,0)+IF(BU653="D",1,0)+IF(BW653="D",1,0)+IF(CC653="D",1,0)+IF(CD653="D",1,0)+IF(CE653="D",1,0)+IF(CF653="D",1,0)+IF(CL653="D",1,0)+IF(CM653="D",1,0)+IF(CQ653="D",1,0)+IF(CR653="D",1,0)+IF(CS653="D",1,0)+IF(CW653="D",1,0)+IF(CX653="D",1,0)+IF(DD653="D",1,0)+IF(DE653="D",1,0)+IF(DJ653="D",1,0)+IF(DK653="D",1,0)+IF(DO653="D",1,0)+IF(DP653="D",1,0)+IF(DQ653="D",1,0)+IF(DW653="D",1,0)+IF(DZ653="D",1,0)+IF(EH653="D",1,0)</f>
        <v>2</v>
      </c>
      <c r="AY653" s="0" t="n">
        <f aca="false">COUNTIF(DU653:EH653, "&lt;&gt;")</f>
        <v>7</v>
      </c>
      <c r="AZ653" s="0" t="n">
        <f aca="false">IF(EH653&lt;&gt;"",1,0)</f>
        <v>1</v>
      </c>
      <c r="BB653" s="0" t="s">
        <v>152</v>
      </c>
      <c r="BC653" s="0" t="s">
        <v>153</v>
      </c>
      <c r="BD653" s="0" t="s">
        <v>153</v>
      </c>
      <c r="BE653" s="0" t="s">
        <v>153</v>
      </c>
      <c r="BF653" s="0" t="s">
        <v>153</v>
      </c>
      <c r="BG653" s="0" t="s">
        <v>153</v>
      </c>
      <c r="BH653" s="0" t="s">
        <v>153</v>
      </c>
      <c r="BI653" s="0" t="s">
        <v>153</v>
      </c>
      <c r="BJ653" s="0" t="s">
        <v>153</v>
      </c>
      <c r="BK653" s="0" t="s">
        <v>153</v>
      </c>
      <c r="BL653" s="0" t="s">
        <v>153</v>
      </c>
      <c r="BS653" s="0" t="s">
        <v>153</v>
      </c>
      <c r="BT653" s="0" t="s">
        <v>153</v>
      </c>
      <c r="BV653" s="0" t="s">
        <v>153</v>
      </c>
      <c r="BY653" s="0" t="s">
        <v>175</v>
      </c>
      <c r="CK653" s="0" t="s">
        <v>153</v>
      </c>
      <c r="CP653" s="0" t="s">
        <v>153</v>
      </c>
      <c r="CY653" s="0" t="s">
        <v>153</v>
      </c>
      <c r="DC653" s="0" t="s">
        <v>153</v>
      </c>
      <c r="DN653" s="0" t="s">
        <v>153</v>
      </c>
      <c r="DU653" s="0" t="s">
        <v>153</v>
      </c>
      <c r="DW653" s="0" t="s">
        <v>175</v>
      </c>
      <c r="DX653" s="0" t="s">
        <v>153</v>
      </c>
      <c r="EA653" s="0" t="s">
        <v>153</v>
      </c>
      <c r="ED653" s="0" t="s">
        <v>175</v>
      </c>
      <c r="EF653" s="0" t="s">
        <v>153</v>
      </c>
      <c r="EH653" s="0" t="s">
        <v>175</v>
      </c>
    </row>
    <row r="654" customFormat="false" ht="13.8" hidden="true" customHeight="false" outlineLevel="0" collapsed="false">
      <c r="A654" s="0" t="s">
        <v>3379</v>
      </c>
      <c r="B654" s="0" t="n">
        <v>78</v>
      </c>
      <c r="C654" s="0" t="n">
        <v>409334</v>
      </c>
      <c r="D654" s="0" t="s">
        <v>1445</v>
      </c>
      <c r="E654" s="0" t="s">
        <v>3380</v>
      </c>
      <c r="F654" s="0" t="str">
        <f aca="false">CONCATENATE(D654," ",LEFT(H654,4),"T=",AU654,"D=",AV654,"R=",AW654,"M=",AX654,"L=",AY654,"B=",AZ654)</f>
        <v>WILLIAMS T=7D=0R=2M=0L=0B=0</v>
      </c>
      <c r="G654" s="0" t="s">
        <v>195</v>
      </c>
      <c r="I654" s="0" t="s">
        <v>3381</v>
      </c>
      <c r="J654" s="0" t="s">
        <v>3382</v>
      </c>
      <c r="K654" s="0" t="s">
        <v>143</v>
      </c>
      <c r="M654" s="0" t="s">
        <v>3383</v>
      </c>
      <c r="N654" s="0" t="str">
        <f aca="false">RIGHT(M654,LEN(M654)-FIND(" ",M654))</f>
        <v>GRANT ST SE</v>
      </c>
      <c r="O654" s="0" t="s">
        <v>1947</v>
      </c>
      <c r="P654" s="0" t="s">
        <v>145</v>
      </c>
      <c r="Q654" s="0" t="s">
        <v>146</v>
      </c>
      <c r="R654" s="0" t="n">
        <v>44483</v>
      </c>
      <c r="AD654" s="0" t="s">
        <v>147</v>
      </c>
      <c r="AE654" s="0" t="s">
        <v>148</v>
      </c>
      <c r="AF654" s="0" t="s">
        <v>149</v>
      </c>
      <c r="AH654" s="0" t="n">
        <v>14</v>
      </c>
      <c r="AI654" s="0" t="n">
        <v>11</v>
      </c>
      <c r="AN654" s="0" t="s">
        <v>145</v>
      </c>
      <c r="AO654" s="0" t="s">
        <v>150</v>
      </c>
      <c r="AP654" s="0" t="s">
        <v>151</v>
      </c>
      <c r="AQ654" s="0" t="n">
        <v>9</v>
      </c>
      <c r="AR654" s="0" t="n">
        <v>64</v>
      </c>
      <c r="AS654" s="0" t="n">
        <v>32</v>
      </c>
      <c r="AU654" s="0" t="n">
        <f aca="false">COUNTA($BA$63:$EH$63)</f>
        <v>7</v>
      </c>
      <c r="AV654" s="0" t="n">
        <f aca="false">COUNTIF($BA$63:$EH$63,"D")</f>
        <v>0</v>
      </c>
      <c r="AW654" s="0" t="n">
        <f aca="false">COUNTIF($BA$63:$EH$63,"R")</f>
        <v>2</v>
      </c>
      <c r="AX654" s="0" t="n">
        <f aca="false">IF(BN654="D",1,0)+IF(BO654="D",1,0)+IF(BT654="D",1,0)+IF(BU654="D",1,0)+IF(BW654="D",1,0)+IF(CC654="D",1,0)+IF(CD654="D",1,0)+IF(CE654="D",1,0)+IF(CF654="D",1,0)+IF(CL654="D",1,0)+IF(CM654="D",1,0)+IF(CQ654="D",1,0)+IF(CR654="D",1,0)+IF(CS654="D",1,0)+IF(CW654="D",1,0)+IF(CX654="D",1,0)+IF(DD654="D",1,0)+IF(DE654="D",1,0)+IF(DJ654="D",1,0)+IF(DK654="D",1,0)+IF(DO654="D",1,0)+IF(DP654="D",1,0)+IF(DQ654="D",1,0)+IF(DW654="D",1,0)+IF(DZ654="D",1,0)+IF(EH654="D",1,0)</f>
        <v>0</v>
      </c>
      <c r="AY654" s="0" t="n">
        <f aca="false">COUNTIF(DU654:EH654, "&lt;&gt;")</f>
        <v>0</v>
      </c>
      <c r="AZ654" s="0" t="n">
        <f aca="false">IF(EH654&lt;&gt;"",1,0)</f>
        <v>0</v>
      </c>
      <c r="BB654" s="0" t="s">
        <v>152</v>
      </c>
    </row>
    <row r="655" customFormat="false" ht="13.8" hidden="true" customHeight="false" outlineLevel="0" collapsed="false">
      <c r="A655" s="0" t="s">
        <v>3384</v>
      </c>
      <c r="B655" s="0" t="n">
        <v>78</v>
      </c>
      <c r="C655" s="0" t="n">
        <v>437705</v>
      </c>
      <c r="D655" s="0" t="s">
        <v>1281</v>
      </c>
      <c r="E655" s="0" t="s">
        <v>2475</v>
      </c>
      <c r="F655" s="0" t="str">
        <f aca="false">CONCATENATE(D655," ",LEFT(H655,4),"T=",AU655,"D=",AV655,"R=",AW655,"M=",AX655,"L=",AY655,"B=",AZ655)</f>
        <v>DAWSON T=1D=0R=0M=0L=0B=0</v>
      </c>
      <c r="G655" s="0" t="s">
        <v>164</v>
      </c>
      <c r="I655" s="0" t="s">
        <v>3385</v>
      </c>
      <c r="J655" s="0" t="s">
        <v>3386</v>
      </c>
      <c r="K655" s="0" t="s">
        <v>143</v>
      </c>
      <c r="M655" s="0" t="s">
        <v>3387</v>
      </c>
      <c r="N655" s="0" t="str">
        <f aca="false">RIGHT(M655,LEN(M655)-FIND(" ",M655))</f>
        <v>GRANT ST SE</v>
      </c>
      <c r="P655" s="0" t="s">
        <v>145</v>
      </c>
      <c r="Q655" s="0" t="s">
        <v>146</v>
      </c>
      <c r="R655" s="0" t="n">
        <v>44483</v>
      </c>
      <c r="AD655" s="0" t="s">
        <v>147</v>
      </c>
      <c r="AE655" s="0" t="s">
        <v>148</v>
      </c>
      <c r="AF655" s="0" t="s">
        <v>149</v>
      </c>
      <c r="AH655" s="0" t="n">
        <v>14</v>
      </c>
      <c r="AI655" s="0" t="n">
        <v>11</v>
      </c>
      <c r="AN655" s="0" t="s">
        <v>145</v>
      </c>
      <c r="AO655" s="0" t="s">
        <v>150</v>
      </c>
      <c r="AP655" s="0" t="s">
        <v>151</v>
      </c>
      <c r="AQ655" s="0" t="n">
        <v>9</v>
      </c>
      <c r="AR655" s="0" t="n">
        <v>64</v>
      </c>
      <c r="AS655" s="0" t="n">
        <v>32</v>
      </c>
      <c r="AU655" s="0" t="n">
        <f aca="false">COUNTA($BA$608:$EH$608)</f>
        <v>1</v>
      </c>
      <c r="AV655" s="0" t="n">
        <f aca="false">COUNTIF($BA$608:$EH$608,"D")</f>
        <v>0</v>
      </c>
      <c r="AW655" s="0" t="n">
        <f aca="false">COUNTIF($BA$608:$EH$608,"R")</f>
        <v>0</v>
      </c>
      <c r="AX655" s="0" t="n">
        <f aca="false">IF(BN655="D",1,0)+IF(BO655="D",1,0)+IF(BT655="D",1,0)+IF(BU655="D",1,0)+IF(BW655="D",1,0)+IF(CC655="D",1,0)+IF(CD655="D",1,0)+IF(CE655="D",1,0)+IF(CF655="D",1,0)+IF(CL655="D",1,0)+IF(CM655="D",1,0)+IF(CQ655="D",1,0)+IF(CR655="D",1,0)+IF(CS655="D",1,0)+IF(CW655="D",1,0)+IF(CX655="D",1,0)+IF(DD655="D",1,0)+IF(DE655="D",1,0)+IF(DJ655="D",1,0)+IF(DK655="D",1,0)+IF(DO655="D",1,0)+IF(DP655="D",1,0)+IF(DQ655="D",1,0)+IF(DW655="D",1,0)+IF(DZ655="D",1,0)+IF(EH655="D",1,0)</f>
        <v>0</v>
      </c>
      <c r="AY655" s="0" t="n">
        <f aca="false">COUNTIF(DU655:EH655, "&lt;&gt;")</f>
        <v>0</v>
      </c>
      <c r="AZ655" s="0" t="n">
        <f aca="false">IF(EH655&lt;&gt;"",1,0)</f>
        <v>0</v>
      </c>
      <c r="BB655" s="0" t="s">
        <v>152</v>
      </c>
    </row>
    <row r="656" customFormat="false" ht="13.8" hidden="true" customHeight="false" outlineLevel="0" collapsed="false">
      <c r="A656" s="0" t="s">
        <v>3388</v>
      </c>
      <c r="B656" s="0" t="n">
        <v>78</v>
      </c>
      <c r="C656" s="0" t="n">
        <v>416415</v>
      </c>
      <c r="D656" s="0" t="s">
        <v>3389</v>
      </c>
      <c r="E656" s="0" t="s">
        <v>824</v>
      </c>
      <c r="F656" s="0" t="str">
        <f aca="false">CONCATENATE(D656," ",LEFT(H656,4),"T=",AU656,"D=",AV656,"R=",AW656,"M=",AX656,"L=",AY656,"B=",AZ656)</f>
        <v>FOY T=3D=0R=0M=0L=0B=0</v>
      </c>
      <c r="G656" s="0" t="s">
        <v>3390</v>
      </c>
      <c r="I656" s="0" t="s">
        <v>3391</v>
      </c>
      <c r="J656" s="0" t="s">
        <v>3392</v>
      </c>
      <c r="K656" s="0" t="s">
        <v>143</v>
      </c>
      <c r="M656" s="0" t="s">
        <v>3393</v>
      </c>
      <c r="N656" s="0" t="str">
        <f aca="false">RIGHT(M656,LEN(M656)-FIND(" ",M656))</f>
        <v>GRANT ST SE</v>
      </c>
      <c r="P656" s="0" t="s">
        <v>145</v>
      </c>
      <c r="Q656" s="0" t="s">
        <v>146</v>
      </c>
      <c r="R656" s="0" t="n">
        <v>44483</v>
      </c>
      <c r="AD656" s="0" t="s">
        <v>147</v>
      </c>
      <c r="AE656" s="0" t="s">
        <v>148</v>
      </c>
      <c r="AF656" s="0" t="s">
        <v>149</v>
      </c>
      <c r="AH656" s="0" t="n">
        <v>14</v>
      </c>
      <c r="AI656" s="0" t="n">
        <v>11</v>
      </c>
      <c r="AN656" s="0" t="s">
        <v>145</v>
      </c>
      <c r="AO656" s="0" t="s">
        <v>150</v>
      </c>
      <c r="AP656" s="0" t="s">
        <v>151</v>
      </c>
      <c r="AQ656" s="0" t="n">
        <v>9</v>
      </c>
      <c r="AR656" s="0" t="n">
        <v>64</v>
      </c>
      <c r="AS656" s="0" t="n">
        <v>32</v>
      </c>
      <c r="AU656" s="0" t="n">
        <f aca="false">COUNTA($BA$101:$EH$101)</f>
        <v>3</v>
      </c>
      <c r="AV656" s="0" t="n">
        <f aca="false">COUNTIF($BA$101:$EH$101,"D")</f>
        <v>0</v>
      </c>
      <c r="AW656" s="0" t="n">
        <f aca="false">COUNTIF($BA$101:$EH$101,"R")</f>
        <v>0</v>
      </c>
      <c r="AX656" s="0" t="n">
        <f aca="false">IF(BN656="D",1,0)+IF(BO656="D",1,0)+IF(BT656="D",1,0)+IF(BU656="D",1,0)+IF(BW656="D",1,0)+IF(CC656="D",1,0)+IF(CD656="D",1,0)+IF(CE656="D",1,0)+IF(CF656="D",1,0)+IF(CL656="D",1,0)+IF(CM656="D",1,0)+IF(CQ656="D",1,0)+IF(CR656="D",1,0)+IF(CS656="D",1,0)+IF(CW656="D",1,0)+IF(CX656="D",1,0)+IF(DD656="D",1,0)+IF(DE656="D",1,0)+IF(DJ656="D",1,0)+IF(DK656="D",1,0)+IF(DO656="D",1,0)+IF(DP656="D",1,0)+IF(DQ656="D",1,0)+IF(DW656="D",1,0)+IF(DZ656="D",1,0)+IF(EH656="D",1,0)</f>
        <v>0</v>
      </c>
      <c r="AY656" s="0" t="n">
        <f aca="false">COUNTIF(DU656:EH656, "&lt;&gt;")</f>
        <v>0</v>
      </c>
      <c r="AZ656" s="0" t="n">
        <f aca="false">IF(EH656&lt;&gt;"",1,0)</f>
        <v>0</v>
      </c>
      <c r="BB656" s="0" t="s">
        <v>152</v>
      </c>
    </row>
    <row r="657" customFormat="false" ht="13.8" hidden="true" customHeight="false" outlineLevel="0" collapsed="false">
      <c r="A657" s="0" t="s">
        <v>3394</v>
      </c>
      <c r="B657" s="0" t="n">
        <v>78</v>
      </c>
      <c r="C657" s="0" t="n">
        <v>432064</v>
      </c>
      <c r="D657" s="0" t="s">
        <v>3395</v>
      </c>
      <c r="E657" s="0" t="s">
        <v>292</v>
      </c>
      <c r="F657" s="0" t="str">
        <f aca="false">CONCATENATE(D657," ",LEFT(H657,4),"T=",AU657,"D=",AV657,"R=",AW657,"M=",AX657,"L=",AY657,"B=",AZ657)</f>
        <v>LOUCKS T=6D=0R=0M=0L=0B=0</v>
      </c>
      <c r="G657" s="0" t="s">
        <v>719</v>
      </c>
      <c r="I657" s="0" t="s">
        <v>3396</v>
      </c>
      <c r="J657" s="0" t="s">
        <v>3397</v>
      </c>
      <c r="K657" s="0" t="s">
        <v>143</v>
      </c>
      <c r="M657" s="0" t="s">
        <v>3393</v>
      </c>
      <c r="N657" s="0" t="str">
        <f aca="false">RIGHT(M657,LEN(M657)-FIND(" ",M657))</f>
        <v>GRANT ST SE</v>
      </c>
      <c r="O657" s="0" t="s">
        <v>868</v>
      </c>
      <c r="P657" s="0" t="s">
        <v>145</v>
      </c>
      <c r="Q657" s="0" t="s">
        <v>146</v>
      </c>
      <c r="R657" s="0" t="n">
        <v>44483</v>
      </c>
      <c r="AD657" s="0" t="s">
        <v>147</v>
      </c>
      <c r="AE657" s="0" t="s">
        <v>148</v>
      </c>
      <c r="AF657" s="0" t="s">
        <v>149</v>
      </c>
      <c r="AH657" s="0" t="n">
        <v>14</v>
      </c>
      <c r="AI657" s="0" t="n">
        <v>11</v>
      </c>
      <c r="AN657" s="0" t="s">
        <v>145</v>
      </c>
      <c r="AO657" s="0" t="s">
        <v>150</v>
      </c>
      <c r="AP657" s="0" t="s">
        <v>151</v>
      </c>
      <c r="AQ657" s="0" t="n">
        <v>9</v>
      </c>
      <c r="AR657" s="0" t="n">
        <v>64</v>
      </c>
      <c r="AS657" s="0" t="n">
        <v>32</v>
      </c>
      <c r="AU657" s="0" t="n">
        <f aca="false">COUNTA($BA$494:$EH$494)</f>
        <v>6</v>
      </c>
      <c r="AV657" s="0" t="n">
        <f aca="false">COUNTIF($BA$494:$EH$494,"D")</f>
        <v>0</v>
      </c>
      <c r="AW657" s="0" t="n">
        <f aca="false">COUNTIF($BA$494:$EH$494,"R")</f>
        <v>0</v>
      </c>
      <c r="AX657" s="0" t="n">
        <f aca="false">IF(BN657="D",1,0)+IF(BO657="D",1,0)+IF(BT657="D",1,0)+IF(BU657="D",1,0)+IF(BW657="D",1,0)+IF(CC657="D",1,0)+IF(CD657="D",1,0)+IF(CE657="D",1,0)+IF(CF657="D",1,0)+IF(CL657="D",1,0)+IF(CM657="D",1,0)+IF(CQ657="D",1,0)+IF(CR657="D",1,0)+IF(CS657="D",1,0)+IF(CW657="D",1,0)+IF(CX657="D",1,0)+IF(DD657="D",1,0)+IF(DE657="D",1,0)+IF(DJ657="D",1,0)+IF(DK657="D",1,0)+IF(DO657="D",1,0)+IF(DP657="D",1,0)+IF(DQ657="D",1,0)+IF(DW657="D",1,0)+IF(DZ657="D",1,0)+IF(EH657="D",1,0)</f>
        <v>0</v>
      </c>
      <c r="AY657" s="0" t="n">
        <f aca="false">COUNTIF(DU657:EH657, "&lt;&gt;")</f>
        <v>0</v>
      </c>
      <c r="AZ657" s="0" t="n">
        <f aca="false">IF(EH657&lt;&gt;"",1,0)</f>
        <v>0</v>
      </c>
      <c r="BB657" s="0" t="s">
        <v>152</v>
      </c>
    </row>
    <row r="658" customFormat="false" ht="13.8" hidden="false" customHeight="false" outlineLevel="0" collapsed="false">
      <c r="A658" s="0" t="s">
        <v>3398</v>
      </c>
      <c r="B658" s="0" t="n">
        <v>78</v>
      </c>
      <c r="C658" s="0" t="n">
        <v>322304</v>
      </c>
      <c r="D658" s="0" t="s">
        <v>3399</v>
      </c>
      <c r="E658" s="0" t="s">
        <v>1776</v>
      </c>
      <c r="F658" s="0" t="str">
        <f aca="false">CONCATENATE(D658," ",LEFT(H658,4),"T=",AU658,"D=",AV658,"R=",AW658,"M=",AX658,"L=",AY658,"B=",AZ658)</f>
        <v>COMANESCU T=1D=0R=0M=1L=2B=0</v>
      </c>
      <c r="G658" s="0" t="s">
        <v>202</v>
      </c>
      <c r="I658" s="0" t="s">
        <v>3400</v>
      </c>
      <c r="J658" s="0" t="s">
        <v>3401</v>
      </c>
      <c r="K658" s="0" t="s">
        <v>160</v>
      </c>
      <c r="M658" s="0" t="s">
        <v>3402</v>
      </c>
      <c r="N658" s="0" t="str">
        <f aca="false">RIGHT(M658,LEN(M658)-FIND(" ",M658))</f>
        <v>HARMON AVE NW</v>
      </c>
      <c r="P658" s="0" t="s">
        <v>145</v>
      </c>
      <c r="Q658" s="0" t="s">
        <v>146</v>
      </c>
      <c r="R658" s="0" t="n">
        <v>44483</v>
      </c>
      <c r="AD658" s="0" t="s">
        <v>147</v>
      </c>
      <c r="AE658" s="0" t="s">
        <v>148</v>
      </c>
      <c r="AF658" s="0" t="s">
        <v>149</v>
      </c>
      <c r="AH658" s="0" t="n">
        <v>14</v>
      </c>
      <c r="AI658" s="0" t="n">
        <v>11</v>
      </c>
      <c r="AN658" s="0" t="s">
        <v>145</v>
      </c>
      <c r="AO658" s="0" t="s">
        <v>654</v>
      </c>
      <c r="AP658" s="0" t="s">
        <v>655</v>
      </c>
      <c r="AQ658" s="0" t="n">
        <v>9</v>
      </c>
      <c r="AR658" s="0" t="n">
        <v>64</v>
      </c>
      <c r="AS658" s="0" t="n">
        <v>32</v>
      </c>
      <c r="AU658" s="0" t="n">
        <f aca="false">COUNTA($BA$1784:$EH$1784)</f>
        <v>1</v>
      </c>
      <c r="AV658" s="0" t="n">
        <f aca="false">COUNTIF($BA$1784:$EH$1784,"D")</f>
        <v>0</v>
      </c>
      <c r="AW658" s="0" t="n">
        <f aca="false">COUNTIF($BA$1784:$EH$1784,"R")</f>
        <v>0</v>
      </c>
      <c r="AX658" s="0" t="n">
        <f aca="false">IF(BN658="D",1,0)+IF(BO658="D",1,0)+IF(BT658="D",1,0)+IF(BU658="D",1,0)+IF(BW658="D",1,0)+IF(CC658="D",1,0)+IF(CD658="D",1,0)+IF(CE658="D",1,0)+IF(CF658="D",1,0)+IF(CL658="D",1,0)+IF(CM658="D",1,0)+IF(CQ658="D",1,0)+IF(CR658="D",1,0)+IF(CS658="D",1,0)+IF(CW658="D",1,0)+IF(CX658="D",1,0)+IF(DD658="D",1,0)+IF(DE658="D",1,0)+IF(DJ658="D",1,0)+IF(DK658="D",1,0)+IF(DO658="D",1,0)+IF(DP658="D",1,0)+IF(DQ658="D",1,0)+IF(DW658="D",1,0)+IF(DZ658="D",1,0)+IF(EH658="D",1,0)</f>
        <v>1</v>
      </c>
      <c r="AY658" s="0" t="n">
        <f aca="false">COUNTIF(DU658:EH658, "&lt;&gt;")</f>
        <v>2</v>
      </c>
      <c r="AZ658" s="0" t="n">
        <f aca="false">IF(EH658&lt;&gt;"",1,0)</f>
        <v>0</v>
      </c>
      <c r="BB658" s="0" t="s">
        <v>152</v>
      </c>
      <c r="BL658" s="0" t="s">
        <v>153</v>
      </c>
      <c r="CA658" s="0" t="s">
        <v>153</v>
      </c>
      <c r="CK658" s="0" t="s">
        <v>153</v>
      </c>
      <c r="CP658" s="0" t="s">
        <v>153</v>
      </c>
      <c r="CV658" s="0" t="s">
        <v>153</v>
      </c>
      <c r="CW658" s="0" t="s">
        <v>175</v>
      </c>
      <c r="CY658" s="0" t="s">
        <v>153</v>
      </c>
      <c r="CZ658" s="0" t="s">
        <v>175</v>
      </c>
      <c r="DC658" s="0" t="s">
        <v>153</v>
      </c>
      <c r="DF658" s="0" t="s">
        <v>153</v>
      </c>
      <c r="DG658" s="0" t="s">
        <v>175</v>
      </c>
      <c r="DI658" s="0" t="s">
        <v>153</v>
      </c>
      <c r="DN658" s="0" t="s">
        <v>153</v>
      </c>
      <c r="DU658" s="0" t="s">
        <v>153</v>
      </c>
      <c r="EF658" s="0" t="s">
        <v>153</v>
      </c>
    </row>
    <row r="659" customFormat="false" ht="13.8" hidden="true" customHeight="false" outlineLevel="0" collapsed="false">
      <c r="A659" s="0" t="s">
        <v>3403</v>
      </c>
      <c r="B659" s="0" t="n">
        <v>78</v>
      </c>
      <c r="C659" s="0" t="n">
        <v>462384</v>
      </c>
      <c r="D659" s="0" t="s">
        <v>452</v>
      </c>
      <c r="E659" s="0" t="s">
        <v>3404</v>
      </c>
      <c r="F659" s="0" t="str">
        <f aca="false">CONCATENATE(D659," ",LEFT(H659,4),"T=",AU659,"D=",AV659,"R=",AW659,"M=",AX659,"L=",AY659,"B=",AZ659)</f>
        <v>HOWARD T=4D=0R=0M=0L=1B=0</v>
      </c>
      <c r="G659" s="0" t="s">
        <v>1616</v>
      </c>
      <c r="I659" s="0" t="s">
        <v>3405</v>
      </c>
      <c r="J659" s="0" t="s">
        <v>386</v>
      </c>
      <c r="K659" s="0" t="s">
        <v>160</v>
      </c>
      <c r="M659" s="0" t="s">
        <v>3406</v>
      </c>
      <c r="N659" s="0" t="str">
        <f aca="false">RIGHT(M659,LEN(M659)-FIND(" ",M659))</f>
        <v>HARMON AVE NW</v>
      </c>
      <c r="O659" s="0" t="s">
        <v>3407</v>
      </c>
      <c r="P659" s="0" t="s">
        <v>145</v>
      </c>
      <c r="Q659" s="0" t="s">
        <v>146</v>
      </c>
      <c r="R659" s="0" t="n">
        <v>44483</v>
      </c>
      <c r="AD659" s="0" t="s">
        <v>147</v>
      </c>
      <c r="AE659" s="0" t="s">
        <v>148</v>
      </c>
      <c r="AF659" s="0" t="s">
        <v>149</v>
      </c>
      <c r="AH659" s="0" t="n">
        <v>14</v>
      </c>
      <c r="AI659" s="0" t="n">
        <v>11</v>
      </c>
      <c r="AN659" s="0" t="s">
        <v>145</v>
      </c>
      <c r="AO659" s="0" t="s">
        <v>654</v>
      </c>
      <c r="AP659" s="0" t="s">
        <v>655</v>
      </c>
      <c r="AQ659" s="0" t="n">
        <v>9</v>
      </c>
      <c r="AR659" s="0" t="n">
        <v>64</v>
      </c>
      <c r="AS659" s="0" t="n">
        <v>32</v>
      </c>
      <c r="AU659" s="0" t="n">
        <f aca="false">COUNTA($BA$1218:$EH$1218)</f>
        <v>4</v>
      </c>
      <c r="AV659" s="0" t="n">
        <f aca="false">COUNTIF($BA$1218:$EH$1218,"D")</f>
        <v>0</v>
      </c>
      <c r="AW659" s="0" t="n">
        <f aca="false">COUNTIF($BA$1218:$EH$1218,"R")</f>
        <v>0</v>
      </c>
      <c r="AX659" s="0" t="n">
        <f aca="false">IF(BN659="D",1,0)+IF(BO659="D",1,0)+IF(BT659="D",1,0)+IF(BU659="D",1,0)+IF(BW659="D",1,0)+IF(CC659="D",1,0)+IF(CD659="D",1,0)+IF(CE659="D",1,0)+IF(CF659="D",1,0)+IF(CL659="D",1,0)+IF(CM659="D",1,0)+IF(CQ659="D",1,0)+IF(CR659="D",1,0)+IF(CS659="D",1,0)+IF(CW659="D",1,0)+IF(CX659="D",1,0)+IF(DD659="D",1,0)+IF(DE659="D",1,0)+IF(DJ659="D",1,0)+IF(DK659="D",1,0)+IF(DO659="D",1,0)+IF(DP659="D",1,0)+IF(DQ659="D",1,0)+IF(DW659="D",1,0)+IF(DZ659="D",1,0)+IF(EH659="D",1,0)</f>
        <v>0</v>
      </c>
      <c r="AY659" s="0" t="n">
        <f aca="false">COUNTIF(DU659:EH659, "&lt;&gt;")</f>
        <v>1</v>
      </c>
      <c r="AZ659" s="0" t="n">
        <f aca="false">IF(EH659&lt;&gt;"",1,0)</f>
        <v>0</v>
      </c>
      <c r="BB659" s="0" t="s">
        <v>152</v>
      </c>
      <c r="DU659" s="0" t="s">
        <v>153</v>
      </c>
    </row>
    <row r="660" customFormat="false" ht="13.8" hidden="false" customHeight="false" outlineLevel="0" collapsed="false">
      <c r="A660" s="0" t="s">
        <v>3408</v>
      </c>
      <c r="B660" s="0" t="n">
        <v>78</v>
      </c>
      <c r="C660" s="0" t="n">
        <v>6193</v>
      </c>
      <c r="D660" s="0" t="s">
        <v>3409</v>
      </c>
      <c r="E660" s="0" t="s">
        <v>3410</v>
      </c>
      <c r="F660" s="0" t="str">
        <f aca="false">CONCATENATE(D660," ",LEFT(H660,4),"T=",AU660,"D=",AV660,"R=",AW660,"M=",AX660,"L=",AY660,"B=",AZ660)</f>
        <v>GERMANO T=2D=0R=0M=0L=5B=0</v>
      </c>
      <c r="G660" s="0" t="s">
        <v>1208</v>
      </c>
      <c r="I660" s="0" t="s">
        <v>3411</v>
      </c>
      <c r="J660" s="0" t="s">
        <v>3412</v>
      </c>
      <c r="K660" s="0" t="s">
        <v>160</v>
      </c>
      <c r="L660" s="0" t="s">
        <v>175</v>
      </c>
      <c r="M660" s="0" t="s">
        <v>3406</v>
      </c>
      <c r="N660" s="0" t="str">
        <f aca="false">RIGHT(M660,LEN(M660)-FIND(" ",M660))</f>
        <v>HARMON AVE NW</v>
      </c>
      <c r="O660" s="0" t="s">
        <v>3413</v>
      </c>
      <c r="P660" s="0" t="s">
        <v>145</v>
      </c>
      <c r="Q660" s="0" t="s">
        <v>146</v>
      </c>
      <c r="R660" s="0" t="n">
        <v>44483</v>
      </c>
      <c r="AD660" s="0" t="s">
        <v>147</v>
      </c>
      <c r="AE660" s="0" t="s">
        <v>148</v>
      </c>
      <c r="AF660" s="0" t="s">
        <v>149</v>
      </c>
      <c r="AH660" s="0" t="n">
        <v>14</v>
      </c>
      <c r="AI660" s="0" t="n">
        <v>11</v>
      </c>
      <c r="AN660" s="0" t="s">
        <v>145</v>
      </c>
      <c r="AO660" s="0" t="s">
        <v>654</v>
      </c>
      <c r="AP660" s="0" t="s">
        <v>655</v>
      </c>
      <c r="AQ660" s="0" t="n">
        <v>9</v>
      </c>
      <c r="AR660" s="0" t="n">
        <v>64</v>
      </c>
      <c r="AS660" s="0" t="n">
        <v>32</v>
      </c>
      <c r="AU660" s="0" t="n">
        <f aca="false">COUNTA($BA$1255:$EH$1255)</f>
        <v>2</v>
      </c>
      <c r="AV660" s="0" t="n">
        <f aca="false">COUNTIF($BA$1255:$EH$1255,"D")</f>
        <v>0</v>
      </c>
      <c r="AW660" s="0" t="n">
        <f aca="false">COUNTIF($BA$1255:$EH$1255,"R")</f>
        <v>0</v>
      </c>
      <c r="AX660" s="0" t="n">
        <f aca="false">IF(BN660="D",1,0)+IF(BO660="D",1,0)+IF(BT660="D",1,0)+IF(BU660="D",1,0)+IF(BW660="D",1,0)+IF(CC660="D",1,0)+IF(CD660="D",1,0)+IF(CE660="D",1,0)+IF(CF660="D",1,0)+IF(CL660="D",1,0)+IF(CM660="D",1,0)+IF(CQ660="D",1,0)+IF(CR660="D",1,0)+IF(CS660="D",1,0)+IF(CW660="D",1,0)+IF(CX660="D",1,0)+IF(DD660="D",1,0)+IF(DE660="D",1,0)+IF(DJ660="D",1,0)+IF(DK660="D",1,0)+IF(DO660="D",1,0)+IF(DP660="D",1,0)+IF(DQ660="D",1,0)+IF(DW660="D",1,0)+IF(DZ660="D",1,0)+IF(EH660="D",1,0)</f>
        <v>0</v>
      </c>
      <c r="AY660" s="0" t="n">
        <f aca="false">COUNTIF(DU660:EH660, "&lt;&gt;")</f>
        <v>5</v>
      </c>
      <c r="AZ660" s="0" t="n">
        <f aca="false">IF(EH660&lt;&gt;"",1,0)</f>
        <v>0</v>
      </c>
      <c r="BB660" s="0" t="s">
        <v>152</v>
      </c>
      <c r="BD660" s="0" t="s">
        <v>153</v>
      </c>
      <c r="BE660" s="0" t="s">
        <v>153</v>
      </c>
      <c r="BH660" s="0" t="s">
        <v>153</v>
      </c>
      <c r="BL660" s="0" t="s">
        <v>153</v>
      </c>
      <c r="BP660" s="0" t="s">
        <v>153</v>
      </c>
      <c r="BY660" s="0" t="s">
        <v>175</v>
      </c>
      <c r="CA660" s="0" t="s">
        <v>153</v>
      </c>
      <c r="CK660" s="0" t="s">
        <v>153</v>
      </c>
      <c r="CN660" s="0" t="s">
        <v>153</v>
      </c>
      <c r="CP660" s="0" t="s">
        <v>153</v>
      </c>
      <c r="CV660" s="0" t="s">
        <v>153</v>
      </c>
      <c r="CY660" s="0" t="s">
        <v>153</v>
      </c>
      <c r="CZ660" s="0" t="s">
        <v>175</v>
      </c>
      <c r="DC660" s="0" t="s">
        <v>153</v>
      </c>
      <c r="DI660" s="0" t="s">
        <v>153</v>
      </c>
      <c r="DN660" s="0" t="s">
        <v>153</v>
      </c>
      <c r="DU660" s="0" t="s">
        <v>153</v>
      </c>
      <c r="DX660" s="0" t="s">
        <v>153</v>
      </c>
      <c r="EA660" s="0" t="s">
        <v>153</v>
      </c>
      <c r="ED660" s="0" t="s">
        <v>175</v>
      </c>
      <c r="EF660" s="0" t="s">
        <v>153</v>
      </c>
    </row>
    <row r="661" customFormat="false" ht="13.8" hidden="false" customHeight="false" outlineLevel="0" collapsed="false">
      <c r="A661" s="0" t="s">
        <v>3414</v>
      </c>
      <c r="B661" s="0" t="n">
        <v>78</v>
      </c>
      <c r="C661" s="0" t="n">
        <v>403636</v>
      </c>
      <c r="D661" s="0" t="s">
        <v>3415</v>
      </c>
      <c r="E661" s="0" t="s">
        <v>663</v>
      </c>
      <c r="F661" s="0" t="str">
        <f aca="false">CONCATENATE(D661," ",LEFT(H661,4),"T=",AU661,"D=",AV661,"R=",AW661,"M=",AX661,"L=",AY661,"B=",AZ661)</f>
        <v>SCHLECHT T=2D=0R=0M=2L=4B=1</v>
      </c>
      <c r="G661" s="0" t="s">
        <v>1310</v>
      </c>
      <c r="I661" s="0" t="s">
        <v>3416</v>
      </c>
      <c r="J661" s="0" t="s">
        <v>3417</v>
      </c>
      <c r="K661" s="0" t="s">
        <v>160</v>
      </c>
      <c r="L661" s="0" t="s">
        <v>175</v>
      </c>
      <c r="M661" s="0" t="s">
        <v>3406</v>
      </c>
      <c r="N661" s="0" t="str">
        <f aca="false">RIGHT(M661,LEN(M661)-FIND(" ",M661))</f>
        <v>HARMON AVE NW</v>
      </c>
      <c r="O661" s="0" t="s">
        <v>868</v>
      </c>
      <c r="P661" s="0" t="s">
        <v>145</v>
      </c>
      <c r="Q661" s="0" t="s">
        <v>146</v>
      </c>
      <c r="R661" s="0" t="n">
        <v>44483</v>
      </c>
      <c r="AD661" s="0" t="s">
        <v>147</v>
      </c>
      <c r="AE661" s="0" t="s">
        <v>148</v>
      </c>
      <c r="AF661" s="0" t="s">
        <v>149</v>
      </c>
      <c r="AH661" s="0" t="n">
        <v>14</v>
      </c>
      <c r="AI661" s="0" t="n">
        <v>11</v>
      </c>
      <c r="AN661" s="0" t="s">
        <v>145</v>
      </c>
      <c r="AO661" s="0" t="s">
        <v>654</v>
      </c>
      <c r="AP661" s="0" t="s">
        <v>655</v>
      </c>
      <c r="AQ661" s="0" t="n">
        <v>9</v>
      </c>
      <c r="AR661" s="0" t="n">
        <v>64</v>
      </c>
      <c r="AS661" s="0" t="n">
        <v>32</v>
      </c>
      <c r="AU661" s="0" t="n">
        <f aca="false">COUNTA($BA$1258:$EH$1258)</f>
        <v>2</v>
      </c>
      <c r="AV661" s="0" t="n">
        <f aca="false">COUNTIF($BA$1258:$EH$1258,"D")</f>
        <v>0</v>
      </c>
      <c r="AW661" s="0" t="n">
        <f aca="false">COUNTIF($BA$1258:$EH$1258,"R")</f>
        <v>0</v>
      </c>
      <c r="AX661" s="0" t="n">
        <f aca="false">IF(BN661="D",1,0)+IF(BO661="D",1,0)+IF(BT661="D",1,0)+IF(BU661="D",1,0)+IF(BW661="D",1,0)+IF(CC661="D",1,0)+IF(CD661="D",1,0)+IF(CE661="D",1,0)+IF(CF661="D",1,0)+IF(CL661="D",1,0)+IF(CM661="D",1,0)+IF(CQ661="D",1,0)+IF(CR661="D",1,0)+IF(CS661="D",1,0)+IF(CW661="D",1,0)+IF(CX661="D",1,0)+IF(DD661="D",1,0)+IF(DE661="D",1,0)+IF(DJ661="D",1,0)+IF(DK661="D",1,0)+IF(DO661="D",1,0)+IF(DP661="D",1,0)+IF(DQ661="D",1,0)+IF(DW661="D",1,0)+IF(DZ661="D",1,0)+IF(EH661="D",1,0)</f>
        <v>2</v>
      </c>
      <c r="AY661" s="0" t="n">
        <f aca="false">COUNTIF(DU661:EH661, "&lt;&gt;")</f>
        <v>4</v>
      </c>
      <c r="AZ661" s="0" t="n">
        <f aca="false">IF(EH661&lt;&gt;"",1,0)</f>
        <v>1</v>
      </c>
      <c r="BB661" s="0" t="s">
        <v>152</v>
      </c>
      <c r="CY661" s="0" t="s">
        <v>153</v>
      </c>
      <c r="CZ661" s="0" t="s">
        <v>175</v>
      </c>
      <c r="DC661" s="0" t="s">
        <v>153</v>
      </c>
      <c r="DG661" s="0" t="s">
        <v>175</v>
      </c>
      <c r="DI661" s="0" t="s">
        <v>153</v>
      </c>
      <c r="DJ661" s="0" t="s">
        <v>175</v>
      </c>
      <c r="DL661" s="0" t="s">
        <v>153</v>
      </c>
      <c r="DM661" s="0" t="s">
        <v>175</v>
      </c>
      <c r="DN661" s="0" t="s">
        <v>153</v>
      </c>
      <c r="DR661" s="0" t="s">
        <v>153</v>
      </c>
      <c r="DS661" s="0" t="s">
        <v>175</v>
      </c>
      <c r="DT661" s="0" t="s">
        <v>175</v>
      </c>
      <c r="DU661" s="0" t="s">
        <v>153</v>
      </c>
      <c r="DX661" s="0" t="s">
        <v>153</v>
      </c>
      <c r="EF661" s="0" t="s">
        <v>153</v>
      </c>
      <c r="EH661" s="0" t="s">
        <v>175</v>
      </c>
    </row>
    <row r="662" customFormat="false" ht="13.8" hidden="false" customHeight="false" outlineLevel="0" collapsed="false">
      <c r="A662" s="0" t="s">
        <v>3418</v>
      </c>
      <c r="B662" s="0" t="n">
        <v>78</v>
      </c>
      <c r="C662" s="0" t="n">
        <v>485014</v>
      </c>
      <c r="D662" s="0" t="s">
        <v>3419</v>
      </c>
      <c r="E662" s="0" t="s">
        <v>719</v>
      </c>
      <c r="F662" s="0" t="str">
        <f aca="false">CONCATENATE(D662," ",LEFT(H662,4),"T=",AU662,"D=",AV662,"R=",AW662,"M=",AX662,"L=",AY662,"B=",AZ662)</f>
        <v>LONSBROUGH T=1D=0R=0M=0L=2B=0</v>
      </c>
      <c r="G662" s="0" t="s">
        <v>3420</v>
      </c>
      <c r="I662" s="0" t="s">
        <v>3421</v>
      </c>
      <c r="J662" s="0" t="s">
        <v>3422</v>
      </c>
      <c r="K662" s="0" t="s">
        <v>160</v>
      </c>
      <c r="M662" s="0" t="s">
        <v>3406</v>
      </c>
      <c r="N662" s="0" t="str">
        <f aca="false">RIGHT(M662,LEN(M662)-FIND(" ",M662))</f>
        <v>HARMON AVE NW</v>
      </c>
      <c r="O662" s="0" t="s">
        <v>2211</v>
      </c>
      <c r="P662" s="0" t="s">
        <v>145</v>
      </c>
      <c r="Q662" s="0" t="s">
        <v>146</v>
      </c>
      <c r="R662" s="0" t="n">
        <v>44483</v>
      </c>
      <c r="AD662" s="0" t="s">
        <v>147</v>
      </c>
      <c r="AE662" s="0" t="s">
        <v>148</v>
      </c>
      <c r="AF662" s="0" t="s">
        <v>149</v>
      </c>
      <c r="AH662" s="0" t="n">
        <v>14</v>
      </c>
      <c r="AI662" s="0" t="n">
        <v>11</v>
      </c>
      <c r="AN662" s="0" t="s">
        <v>145</v>
      </c>
      <c r="AO662" s="0" t="s">
        <v>654</v>
      </c>
      <c r="AP662" s="0" t="s">
        <v>655</v>
      </c>
      <c r="AQ662" s="0" t="n">
        <v>9</v>
      </c>
      <c r="AR662" s="0" t="n">
        <v>64</v>
      </c>
      <c r="AS662" s="0" t="n">
        <v>32</v>
      </c>
      <c r="AU662" s="0" t="n">
        <f aca="false">COUNTA($BA$1449:$EH$1449)</f>
        <v>1</v>
      </c>
      <c r="AV662" s="0" t="n">
        <f aca="false">COUNTIF($BA$1449:$EH$1449,"D")</f>
        <v>0</v>
      </c>
      <c r="AW662" s="0" t="n">
        <f aca="false">COUNTIF($BA$1449:$EH$1449,"R")</f>
        <v>0</v>
      </c>
      <c r="AX662" s="0" t="n">
        <f aca="false">IF(BN662="D",1,0)+IF(BO662="D",1,0)+IF(BT662="D",1,0)+IF(BU662="D",1,0)+IF(BW662="D",1,0)+IF(CC662="D",1,0)+IF(CD662="D",1,0)+IF(CE662="D",1,0)+IF(CF662="D",1,0)+IF(CL662="D",1,0)+IF(CM662="D",1,0)+IF(CQ662="D",1,0)+IF(CR662="D",1,0)+IF(CS662="D",1,0)+IF(CW662="D",1,0)+IF(CX662="D",1,0)+IF(DD662="D",1,0)+IF(DE662="D",1,0)+IF(DJ662="D",1,0)+IF(DK662="D",1,0)+IF(DO662="D",1,0)+IF(DP662="D",1,0)+IF(DQ662="D",1,0)+IF(DW662="D",1,0)+IF(DZ662="D",1,0)+IF(EH662="D",1,0)</f>
        <v>0</v>
      </c>
      <c r="AY662" s="0" t="n">
        <f aca="false">COUNTIF(DU662:EH662, "&lt;&gt;")</f>
        <v>2</v>
      </c>
      <c r="AZ662" s="0" t="n">
        <f aca="false">IF(EH662&lt;&gt;"",1,0)</f>
        <v>0</v>
      </c>
      <c r="BB662" s="0" t="s">
        <v>152</v>
      </c>
      <c r="CA662" s="0" t="s">
        <v>153</v>
      </c>
      <c r="CP662" s="0" t="s">
        <v>153</v>
      </c>
      <c r="CV662" s="0" t="s">
        <v>153</v>
      </c>
      <c r="CZ662" s="0" t="s">
        <v>209</v>
      </c>
      <c r="DC662" s="0" t="s">
        <v>153</v>
      </c>
      <c r="DL662" s="0" t="s">
        <v>153</v>
      </c>
      <c r="DN662" s="0" t="s">
        <v>153</v>
      </c>
      <c r="DR662" s="0" t="s">
        <v>153</v>
      </c>
      <c r="DS662" s="0" t="s">
        <v>209</v>
      </c>
      <c r="DU662" s="0" t="s">
        <v>153</v>
      </c>
      <c r="EF662" s="0" t="s">
        <v>153</v>
      </c>
    </row>
    <row r="663" customFormat="false" ht="13.8" hidden="false" customHeight="false" outlineLevel="0" collapsed="false">
      <c r="A663" s="0" t="s">
        <v>3423</v>
      </c>
      <c r="B663" s="0" t="n">
        <v>78</v>
      </c>
      <c r="C663" s="0" t="n">
        <v>314621</v>
      </c>
      <c r="D663" s="0" t="s">
        <v>3424</v>
      </c>
      <c r="E663" s="0" t="s">
        <v>324</v>
      </c>
      <c r="F663" s="0" t="str">
        <f aca="false">CONCATENATE(D663," ",LEFT(H663,4),"T=",AU663,"D=",AV663,"R=",AW663,"M=",AX663,"L=",AY663,"B=",AZ663)</f>
        <v>ESTRIGHT T=1D=0R=0M=6L=7B=1</v>
      </c>
      <c r="G663" s="0" t="s">
        <v>307</v>
      </c>
      <c r="I663" s="0" t="s">
        <v>3425</v>
      </c>
      <c r="J663" s="0" t="s">
        <v>3426</v>
      </c>
      <c r="K663" s="0" t="s">
        <v>160</v>
      </c>
      <c r="L663" s="0" t="s">
        <v>175</v>
      </c>
      <c r="M663" s="0" t="s">
        <v>3406</v>
      </c>
      <c r="N663" s="0" t="str">
        <f aca="false">RIGHT(M663,LEN(M663)-FIND(" ",M663))</f>
        <v>HARMON AVE NW</v>
      </c>
      <c r="O663" s="0" t="s">
        <v>3427</v>
      </c>
      <c r="P663" s="0" t="s">
        <v>145</v>
      </c>
      <c r="Q663" s="0" t="s">
        <v>146</v>
      </c>
      <c r="R663" s="0" t="n">
        <v>44483</v>
      </c>
      <c r="AD663" s="0" t="s">
        <v>147</v>
      </c>
      <c r="AE663" s="0" t="s">
        <v>148</v>
      </c>
      <c r="AF663" s="0" t="s">
        <v>149</v>
      </c>
      <c r="AH663" s="0" t="n">
        <v>14</v>
      </c>
      <c r="AI663" s="0" t="n">
        <v>11</v>
      </c>
      <c r="AN663" s="0" t="s">
        <v>145</v>
      </c>
      <c r="AO663" s="0" t="s">
        <v>654</v>
      </c>
      <c r="AP663" s="0" t="s">
        <v>655</v>
      </c>
      <c r="AQ663" s="0" t="n">
        <v>9</v>
      </c>
      <c r="AR663" s="0" t="n">
        <v>64</v>
      </c>
      <c r="AS663" s="0" t="n">
        <v>32</v>
      </c>
      <c r="AU663" s="0" t="n">
        <f aca="false">COUNTA($BA$1964:$EH$1964)</f>
        <v>1</v>
      </c>
      <c r="AV663" s="0" t="n">
        <f aca="false">COUNTIF($BA$1964:$EH$1964,"D")</f>
        <v>0</v>
      </c>
      <c r="AW663" s="0" t="n">
        <f aca="false">COUNTIF($BA$1964:$EH$1964,"R")</f>
        <v>0</v>
      </c>
      <c r="AX663" s="0" t="n">
        <f aca="false">IF(BN663="D",1,0)+IF(BO663="D",1,0)+IF(BT663="D",1,0)+IF(BU663="D",1,0)+IF(BW663="D",1,0)+IF(CC663="D",1,0)+IF(CD663="D",1,0)+IF(CE663="D",1,0)+IF(CF663="D",1,0)+IF(CL663="D",1,0)+IF(CM663="D",1,0)+IF(CQ663="D",1,0)+IF(CR663="D",1,0)+IF(CS663="D",1,0)+IF(CW663="D",1,0)+IF(CX663="D",1,0)+IF(DD663="D",1,0)+IF(DE663="D",1,0)+IF(DJ663="D",1,0)+IF(DK663="D",1,0)+IF(DO663="D",1,0)+IF(DP663="D",1,0)+IF(DQ663="D",1,0)+IF(DW663="D",1,0)+IF(DZ663="D",1,0)+IF(EH663="D",1,0)</f>
        <v>6</v>
      </c>
      <c r="AY663" s="0" t="n">
        <f aca="false">COUNTIF(DU663:EH663, "&lt;&gt;")</f>
        <v>7</v>
      </c>
      <c r="AZ663" s="0" t="n">
        <f aca="false">IF(EH663&lt;&gt;"",1,0)</f>
        <v>1</v>
      </c>
      <c r="BB663" s="0" t="s">
        <v>152</v>
      </c>
      <c r="BK663" s="0" t="s">
        <v>153</v>
      </c>
      <c r="BL663" s="0" t="s">
        <v>153</v>
      </c>
      <c r="BP663" s="0" t="s">
        <v>153</v>
      </c>
      <c r="BS663" s="0" t="s">
        <v>153</v>
      </c>
      <c r="BV663" s="0" t="s">
        <v>153</v>
      </c>
      <c r="BY663" s="0" t="s">
        <v>175</v>
      </c>
      <c r="CA663" s="0" t="s">
        <v>153</v>
      </c>
      <c r="CN663" s="0" t="s">
        <v>153</v>
      </c>
      <c r="CO663" s="0" t="s">
        <v>209</v>
      </c>
      <c r="CP663" s="0" t="s">
        <v>153</v>
      </c>
      <c r="CQ663" s="0" t="s">
        <v>175</v>
      </c>
      <c r="CT663" s="0" t="s">
        <v>153</v>
      </c>
      <c r="CU663" s="0" t="s">
        <v>175</v>
      </c>
      <c r="CV663" s="0" t="s">
        <v>153</v>
      </c>
      <c r="CW663" s="0" t="s">
        <v>175</v>
      </c>
      <c r="CY663" s="0" t="s">
        <v>153</v>
      </c>
      <c r="CZ663" s="0" t="s">
        <v>175</v>
      </c>
      <c r="DC663" s="0" t="s">
        <v>153</v>
      </c>
      <c r="DD663" s="0" t="s">
        <v>175</v>
      </c>
      <c r="DF663" s="0" t="s">
        <v>153</v>
      </c>
      <c r="DG663" s="0" t="s">
        <v>175</v>
      </c>
      <c r="DI663" s="0" t="s">
        <v>153</v>
      </c>
      <c r="DJ663" s="0" t="s">
        <v>175</v>
      </c>
      <c r="DL663" s="0" t="s">
        <v>153</v>
      </c>
      <c r="DM663" s="0" t="s">
        <v>175</v>
      </c>
      <c r="DN663" s="0" t="s">
        <v>153</v>
      </c>
      <c r="DR663" s="0" t="s">
        <v>153</v>
      </c>
      <c r="DS663" s="0" t="s">
        <v>175</v>
      </c>
      <c r="DT663" s="0" t="s">
        <v>175</v>
      </c>
      <c r="DU663" s="0" t="s">
        <v>153</v>
      </c>
      <c r="DW663" s="0" t="s">
        <v>175</v>
      </c>
      <c r="DX663" s="0" t="s">
        <v>153</v>
      </c>
      <c r="EA663" s="0" t="s">
        <v>153</v>
      </c>
      <c r="ED663" s="0" t="s">
        <v>175</v>
      </c>
      <c r="EF663" s="0" t="s">
        <v>153</v>
      </c>
      <c r="EH663" s="0" t="s">
        <v>175</v>
      </c>
    </row>
    <row r="664" customFormat="false" ht="13.8" hidden="true" customHeight="false" outlineLevel="0" collapsed="false">
      <c r="A664" s="0" t="s">
        <v>3428</v>
      </c>
      <c r="B664" s="0" t="n">
        <v>78</v>
      </c>
      <c r="C664" s="0" t="n">
        <v>380949</v>
      </c>
      <c r="D664" s="0" t="s">
        <v>3429</v>
      </c>
      <c r="E664" s="0" t="s">
        <v>3178</v>
      </c>
      <c r="F664" s="0" t="str">
        <f aca="false">CONCATENATE(D664," ",LEFT(H664,4),"T=",AU664,"D=",AV664,"R=",AW664,"M=",AX664,"L=",AY664,"B=",AZ664)</f>
        <v>KROMER T=7D=0R=0M=0L=1B=0</v>
      </c>
      <c r="G664" s="0" t="s">
        <v>325</v>
      </c>
      <c r="I664" s="0" t="s">
        <v>3430</v>
      </c>
      <c r="J664" s="0" t="s">
        <v>3431</v>
      </c>
      <c r="K664" s="0" t="s">
        <v>160</v>
      </c>
      <c r="M664" s="0" t="s">
        <v>3432</v>
      </c>
      <c r="N664" s="0" t="str">
        <f aca="false">RIGHT(M664,LEN(M664)-FIND(" ",M664))</f>
        <v>HARMON AVE NW</v>
      </c>
      <c r="P664" s="0" t="s">
        <v>145</v>
      </c>
      <c r="Q664" s="0" t="s">
        <v>146</v>
      </c>
      <c r="R664" s="0" t="n">
        <v>44483</v>
      </c>
      <c r="AD664" s="0" t="s">
        <v>147</v>
      </c>
      <c r="AE664" s="0" t="s">
        <v>148</v>
      </c>
      <c r="AF664" s="0" t="s">
        <v>149</v>
      </c>
      <c r="AH664" s="0" t="n">
        <v>14</v>
      </c>
      <c r="AI664" s="0" t="n">
        <v>11</v>
      </c>
      <c r="AN664" s="0" t="s">
        <v>145</v>
      </c>
      <c r="AO664" s="0" t="s">
        <v>654</v>
      </c>
      <c r="AP664" s="0" t="s">
        <v>655</v>
      </c>
      <c r="AQ664" s="0" t="n">
        <v>9</v>
      </c>
      <c r="AR664" s="0" t="n">
        <v>64</v>
      </c>
      <c r="AS664" s="0" t="n">
        <v>32</v>
      </c>
      <c r="AU664" s="0" t="n">
        <f aca="false">COUNTA($BA$2027:$EH$2027)</f>
        <v>7</v>
      </c>
      <c r="AV664" s="0" t="n">
        <f aca="false">COUNTIF($BA$2027:$EH$2027,"D")</f>
        <v>0</v>
      </c>
      <c r="AW664" s="0" t="n">
        <f aca="false">COUNTIF($BA$2027:$EH$2027,"R")</f>
        <v>0</v>
      </c>
      <c r="AX664" s="0" t="n">
        <f aca="false">IF(BN664="D",1,0)+IF(BO664="D",1,0)+IF(BT664="D",1,0)+IF(BU664="D",1,0)+IF(BW664="D",1,0)+IF(CC664="D",1,0)+IF(CD664="D",1,0)+IF(CE664="D",1,0)+IF(CF664="D",1,0)+IF(CL664="D",1,0)+IF(CM664="D",1,0)+IF(CQ664="D",1,0)+IF(CR664="D",1,0)+IF(CS664="D",1,0)+IF(CW664="D",1,0)+IF(CX664="D",1,0)+IF(DD664="D",1,0)+IF(DE664="D",1,0)+IF(DJ664="D",1,0)+IF(DK664="D",1,0)+IF(DO664="D",1,0)+IF(DP664="D",1,0)+IF(DQ664="D",1,0)+IF(DW664="D",1,0)+IF(DZ664="D",1,0)+IF(EH664="D",1,0)</f>
        <v>0</v>
      </c>
      <c r="AY664" s="0" t="n">
        <f aca="false">COUNTIF(DU664:EH664, "&lt;&gt;")</f>
        <v>1</v>
      </c>
      <c r="AZ664" s="0" t="n">
        <f aca="false">IF(EH664&lt;&gt;"",1,0)</f>
        <v>0</v>
      </c>
      <c r="BB664" s="0" t="s">
        <v>152</v>
      </c>
      <c r="CZ664" s="0" t="s">
        <v>209</v>
      </c>
      <c r="DC664" s="0" t="s">
        <v>153</v>
      </c>
      <c r="DN664" s="0" t="s">
        <v>153</v>
      </c>
      <c r="EF664" s="0" t="s">
        <v>153</v>
      </c>
    </row>
    <row r="665" customFormat="false" ht="13.8" hidden="false" customHeight="false" outlineLevel="0" collapsed="false">
      <c r="A665" s="0" t="s">
        <v>3433</v>
      </c>
      <c r="B665" s="0" t="n">
        <v>78</v>
      </c>
      <c r="C665" s="0" t="n">
        <v>473984</v>
      </c>
      <c r="D665" s="0" t="s">
        <v>562</v>
      </c>
      <c r="E665" s="0" t="s">
        <v>3434</v>
      </c>
      <c r="F665" s="0" t="str">
        <f aca="false">CONCATENATE(D665," ",LEFT(H665,4),"T=",AU665,"D=",AV665,"R=",AW665,"M=",AX665,"L=",AY665,"B=",AZ665)</f>
        <v>EDWARDS T=2D=0R=0M=0L=2B=0</v>
      </c>
      <c r="G665" s="0" t="s">
        <v>164</v>
      </c>
      <c r="I665" s="0" t="s">
        <v>3435</v>
      </c>
      <c r="J665" s="0" t="s">
        <v>3436</v>
      </c>
      <c r="K665" s="0" t="s">
        <v>160</v>
      </c>
      <c r="L665" s="0" t="s">
        <v>209</v>
      </c>
      <c r="M665" s="0" t="s">
        <v>3437</v>
      </c>
      <c r="N665" s="0" t="str">
        <f aca="false">RIGHT(M665,LEN(M665)-FIND(" ",M665))</f>
        <v>HARRISON ST NE</v>
      </c>
      <c r="P665" s="0" t="s">
        <v>145</v>
      </c>
      <c r="Q665" s="0" t="s">
        <v>146</v>
      </c>
      <c r="R665" s="0" t="n">
        <v>44483</v>
      </c>
      <c r="AD665" s="0" t="s">
        <v>147</v>
      </c>
      <c r="AE665" s="0" t="s">
        <v>148</v>
      </c>
      <c r="AF665" s="0" t="s">
        <v>149</v>
      </c>
      <c r="AH665" s="0" t="n">
        <v>14</v>
      </c>
      <c r="AI665" s="0" t="n">
        <v>11</v>
      </c>
      <c r="AN665" s="0" t="s">
        <v>145</v>
      </c>
      <c r="AO665" s="0" t="s">
        <v>654</v>
      </c>
      <c r="AP665" s="0" t="s">
        <v>655</v>
      </c>
      <c r="AQ665" s="0" t="n">
        <v>9</v>
      </c>
      <c r="AR665" s="0" t="n">
        <v>64</v>
      </c>
      <c r="AS665" s="0" t="n">
        <v>32</v>
      </c>
      <c r="AU665" s="0" t="n">
        <f aca="false">COUNTA($BA$1883:$EH$1883)</f>
        <v>2</v>
      </c>
      <c r="AV665" s="0" t="n">
        <f aca="false">COUNTIF($BA$1883:$EH$1883,"D")</f>
        <v>0</v>
      </c>
      <c r="AW665" s="0" t="n">
        <f aca="false">COUNTIF($BA$1883:$EH$1883,"R")</f>
        <v>0</v>
      </c>
      <c r="AX665" s="0" t="n">
        <f aca="false">IF(BN665="D",1,0)+IF(BO665="D",1,0)+IF(BT665="D",1,0)+IF(BU665="D",1,0)+IF(BW665="D",1,0)+IF(CC665="D",1,0)+IF(CD665="D",1,0)+IF(CE665="D",1,0)+IF(CF665="D",1,0)+IF(CL665="D",1,0)+IF(CM665="D",1,0)+IF(CQ665="D",1,0)+IF(CR665="D",1,0)+IF(CS665="D",1,0)+IF(CW665="D",1,0)+IF(CX665="D",1,0)+IF(DD665="D",1,0)+IF(DE665="D",1,0)+IF(DJ665="D",1,0)+IF(DK665="D",1,0)+IF(DO665="D",1,0)+IF(DP665="D",1,0)+IF(DQ665="D",1,0)+IF(DW665="D",1,0)+IF(DZ665="D",1,0)+IF(EH665="D",1,0)</f>
        <v>0</v>
      </c>
      <c r="AY665" s="0" t="n">
        <f aca="false">COUNTIF(DU665:EH665, "&lt;&gt;")</f>
        <v>2</v>
      </c>
      <c r="AZ665" s="0" t="n">
        <f aca="false">IF(EH665&lt;&gt;"",1,0)</f>
        <v>0</v>
      </c>
      <c r="BB665" s="0" t="s">
        <v>152</v>
      </c>
      <c r="ED665" s="0" t="s">
        <v>209</v>
      </c>
      <c r="EF665" s="0" t="s">
        <v>153</v>
      </c>
    </row>
    <row r="666" customFormat="false" ht="13.8" hidden="false" customHeight="false" outlineLevel="0" collapsed="false">
      <c r="A666" s="0" t="s">
        <v>3438</v>
      </c>
      <c r="B666" s="0" t="n">
        <v>78</v>
      </c>
      <c r="C666" s="0" t="n">
        <v>307845</v>
      </c>
      <c r="D666" s="0" t="s">
        <v>3439</v>
      </c>
      <c r="E666" s="0" t="s">
        <v>237</v>
      </c>
      <c r="F666" s="0" t="str">
        <f aca="false">CONCATENATE(D666," ",LEFT(H666,4),"T=",AU666,"D=",AV666,"R=",AW666,"M=",AX666,"L=",AY666,"B=",AZ666)</f>
        <v>DRUM T=7D=0R=0M=3L=6B=1</v>
      </c>
      <c r="G666" s="0" t="s">
        <v>202</v>
      </c>
      <c r="I666" s="0" t="s">
        <v>3440</v>
      </c>
      <c r="J666" s="0" t="s">
        <v>3441</v>
      </c>
      <c r="K666" s="0" t="s">
        <v>160</v>
      </c>
      <c r="L666" s="0" t="s">
        <v>175</v>
      </c>
      <c r="M666" s="0" t="s">
        <v>3437</v>
      </c>
      <c r="N666" s="0" t="str">
        <f aca="false">RIGHT(M666,LEN(M666)-FIND(" ",M666))</f>
        <v>HARRISON ST NE</v>
      </c>
      <c r="P666" s="0" t="s">
        <v>145</v>
      </c>
      <c r="Q666" s="0" t="s">
        <v>146</v>
      </c>
      <c r="R666" s="0" t="n">
        <v>44483</v>
      </c>
      <c r="AD666" s="0" t="s">
        <v>147</v>
      </c>
      <c r="AE666" s="0" t="s">
        <v>148</v>
      </c>
      <c r="AF666" s="0" t="s">
        <v>149</v>
      </c>
      <c r="AH666" s="0" t="n">
        <v>14</v>
      </c>
      <c r="AI666" s="0" t="n">
        <v>11</v>
      </c>
      <c r="AN666" s="0" t="s">
        <v>145</v>
      </c>
      <c r="AO666" s="0" t="s">
        <v>654</v>
      </c>
      <c r="AP666" s="0" t="s">
        <v>655</v>
      </c>
      <c r="AQ666" s="0" t="n">
        <v>9</v>
      </c>
      <c r="AR666" s="0" t="n">
        <v>64</v>
      </c>
      <c r="AS666" s="0" t="n">
        <v>32</v>
      </c>
      <c r="AU666" s="0" t="n">
        <f aca="false">COUNTA($BA$2010:$EH$2010)</f>
        <v>7</v>
      </c>
      <c r="AV666" s="0" t="n">
        <f aca="false">COUNTIF($BA$2010:$EH$2010,"D")</f>
        <v>0</v>
      </c>
      <c r="AW666" s="0" t="n">
        <f aca="false">COUNTIF($BA$2010:$EH$2010,"R")</f>
        <v>0</v>
      </c>
      <c r="AX666" s="0" t="n">
        <f aca="false">IF(BN666="D",1,0)+IF(BO666="D",1,0)+IF(BT666="D",1,0)+IF(BU666="D",1,0)+IF(BW666="D",1,0)+IF(CC666="D",1,0)+IF(CD666="D",1,0)+IF(CE666="D",1,0)+IF(CF666="D",1,0)+IF(CL666="D",1,0)+IF(CM666="D",1,0)+IF(CQ666="D",1,0)+IF(CR666="D",1,0)+IF(CS666="D",1,0)+IF(CW666="D",1,0)+IF(CX666="D",1,0)+IF(DD666="D",1,0)+IF(DE666="D",1,0)+IF(DJ666="D",1,0)+IF(DK666="D",1,0)+IF(DO666="D",1,0)+IF(DP666="D",1,0)+IF(DQ666="D",1,0)+IF(DW666="D",1,0)+IF(DZ666="D",1,0)+IF(EH666="D",1,0)</f>
        <v>3</v>
      </c>
      <c r="AY666" s="0" t="n">
        <f aca="false">COUNTIF(DU666:EH666, "&lt;&gt;")</f>
        <v>6</v>
      </c>
      <c r="AZ666" s="0" t="n">
        <f aca="false">IF(EH666&lt;&gt;"",1,0)</f>
        <v>1</v>
      </c>
      <c r="BB666" s="0" t="s">
        <v>152</v>
      </c>
      <c r="BG666" s="0" t="s">
        <v>153</v>
      </c>
      <c r="CW666" s="0" t="s">
        <v>175</v>
      </c>
      <c r="CY666" s="0" t="s">
        <v>153</v>
      </c>
      <c r="CZ666" s="0" t="s">
        <v>175</v>
      </c>
      <c r="DW666" s="0" t="s">
        <v>175</v>
      </c>
      <c r="DX666" s="0" t="s">
        <v>153</v>
      </c>
      <c r="EA666" s="0" t="s">
        <v>153</v>
      </c>
      <c r="ED666" s="0" t="s">
        <v>175</v>
      </c>
      <c r="EF666" s="0" t="s">
        <v>153</v>
      </c>
      <c r="EH666" s="0" t="s">
        <v>175</v>
      </c>
    </row>
    <row r="667" customFormat="false" ht="13.8" hidden="true" customHeight="false" outlineLevel="0" collapsed="false">
      <c r="A667" s="0" t="s">
        <v>3442</v>
      </c>
      <c r="B667" s="0" t="n">
        <v>78</v>
      </c>
      <c r="C667" s="0" t="n">
        <v>177136</v>
      </c>
      <c r="D667" s="0" t="s">
        <v>273</v>
      </c>
      <c r="E667" s="0" t="s">
        <v>541</v>
      </c>
      <c r="F667" s="0" t="str">
        <f aca="false">CONCATENATE(D667," ",LEFT(H667,4),"T=",AU667,"D=",AV667,"R=",AW667,"M=",AX667,"L=",AY667,"B=",AZ667)</f>
        <v>PHILLIPS T=1D=0R=0M=0L=0B=0</v>
      </c>
      <c r="G667" s="0" t="s">
        <v>215</v>
      </c>
      <c r="I667" s="0" t="s">
        <v>3443</v>
      </c>
      <c r="J667" s="0" t="s">
        <v>1641</v>
      </c>
      <c r="K667" s="0" t="s">
        <v>143</v>
      </c>
      <c r="M667" s="0" t="s">
        <v>3444</v>
      </c>
      <c r="N667" s="0" t="str">
        <f aca="false">RIGHT(M667,LEN(M667)-FIND(" ",M667))</f>
        <v>HARRISON ST NE</v>
      </c>
      <c r="P667" s="0" t="s">
        <v>145</v>
      </c>
      <c r="Q667" s="0" t="s">
        <v>146</v>
      </c>
      <c r="R667" s="0" t="n">
        <v>44483</v>
      </c>
      <c r="AD667" s="0" t="s">
        <v>147</v>
      </c>
      <c r="AE667" s="0" t="s">
        <v>148</v>
      </c>
      <c r="AF667" s="0" t="s">
        <v>149</v>
      </c>
      <c r="AH667" s="0" t="n">
        <v>14</v>
      </c>
      <c r="AI667" s="0" t="n">
        <v>11</v>
      </c>
      <c r="AN667" s="0" t="s">
        <v>145</v>
      </c>
      <c r="AO667" s="0" t="s">
        <v>654</v>
      </c>
      <c r="AP667" s="0" t="s">
        <v>655</v>
      </c>
      <c r="AQ667" s="0" t="n">
        <v>9</v>
      </c>
      <c r="AR667" s="0" t="n">
        <v>64</v>
      </c>
      <c r="AS667" s="0" t="n">
        <v>32</v>
      </c>
      <c r="AU667" s="0" t="n">
        <f aca="false">COUNTA($BA$1238:$EH$1238)</f>
        <v>1</v>
      </c>
      <c r="AV667" s="0" t="n">
        <f aca="false">COUNTIF($BA$1238:$EH$1238,"D")</f>
        <v>0</v>
      </c>
      <c r="AW667" s="0" t="n">
        <f aca="false">COUNTIF($BA$1238:$EH$1238,"R")</f>
        <v>0</v>
      </c>
      <c r="AX667" s="0" t="n">
        <f aca="false">IF(BN667="D",1,0)+IF(BO667="D",1,0)+IF(BT667="D",1,0)+IF(BU667="D",1,0)+IF(BW667="D",1,0)+IF(CC667="D",1,0)+IF(CD667="D",1,0)+IF(CE667="D",1,0)+IF(CF667="D",1,0)+IF(CL667="D",1,0)+IF(CM667="D",1,0)+IF(CQ667="D",1,0)+IF(CR667="D",1,0)+IF(CS667="D",1,0)+IF(CW667="D",1,0)+IF(CX667="D",1,0)+IF(DD667="D",1,0)+IF(DE667="D",1,0)+IF(DJ667="D",1,0)+IF(DK667="D",1,0)+IF(DO667="D",1,0)+IF(DP667="D",1,0)+IF(DQ667="D",1,0)+IF(DW667="D",1,0)+IF(DZ667="D",1,0)+IF(EH667="D",1,0)</f>
        <v>0</v>
      </c>
      <c r="AY667" s="0" t="n">
        <f aca="false">COUNTIF(DU667:EH667, "&lt;&gt;")</f>
        <v>0</v>
      </c>
      <c r="AZ667" s="0" t="n">
        <f aca="false">IF(EH667&lt;&gt;"",1,0)</f>
        <v>0</v>
      </c>
      <c r="BB667" s="0" t="s">
        <v>152</v>
      </c>
      <c r="BC667" s="0" t="s">
        <v>153</v>
      </c>
      <c r="BD667" s="0" t="s">
        <v>153</v>
      </c>
      <c r="DC667" s="0" t="s">
        <v>153</v>
      </c>
      <c r="DN667" s="0" t="s">
        <v>153</v>
      </c>
    </row>
    <row r="668" customFormat="false" ht="13.8" hidden="false" customHeight="false" outlineLevel="0" collapsed="false">
      <c r="A668" s="0" t="s">
        <v>3445</v>
      </c>
      <c r="B668" s="0" t="n">
        <v>78</v>
      </c>
      <c r="C668" s="0" t="n">
        <v>291437</v>
      </c>
      <c r="D668" s="0" t="s">
        <v>2407</v>
      </c>
      <c r="E668" s="0" t="s">
        <v>818</v>
      </c>
      <c r="F668" s="0" t="str">
        <f aca="false">CONCATENATE(D668," ",LEFT(H668,4),"T=",AU668,"D=",AV668,"R=",AW668,"M=",AX668,"L=",AY668,"B=",AZ668)</f>
        <v>WALLACE T=1D=0R=0M=1L=5B=0</v>
      </c>
      <c r="I668" s="0" t="s">
        <v>3446</v>
      </c>
      <c r="J668" s="0" t="s">
        <v>3447</v>
      </c>
      <c r="K668" s="0" t="s">
        <v>160</v>
      </c>
      <c r="L668" s="0" t="s">
        <v>175</v>
      </c>
      <c r="M668" s="0" t="s">
        <v>3448</v>
      </c>
      <c r="N668" s="0" t="str">
        <f aca="false">RIGHT(M668,LEN(M668)-FIND(" ",M668))</f>
        <v>HARRISON ST NE</v>
      </c>
      <c r="P668" s="0" t="s">
        <v>145</v>
      </c>
      <c r="Q668" s="0" t="s">
        <v>146</v>
      </c>
      <c r="R668" s="0" t="n">
        <v>44483</v>
      </c>
      <c r="AD668" s="0" t="s">
        <v>147</v>
      </c>
      <c r="AE668" s="0" t="s">
        <v>148</v>
      </c>
      <c r="AF668" s="0" t="s">
        <v>149</v>
      </c>
      <c r="AH668" s="0" t="n">
        <v>14</v>
      </c>
      <c r="AI668" s="0" t="n">
        <v>11</v>
      </c>
      <c r="AN668" s="0" t="s">
        <v>145</v>
      </c>
      <c r="AO668" s="0" t="s">
        <v>654</v>
      </c>
      <c r="AP668" s="0" t="s">
        <v>655</v>
      </c>
      <c r="AQ668" s="0" t="n">
        <v>9</v>
      </c>
      <c r="AR668" s="0" t="n">
        <v>64</v>
      </c>
      <c r="AS668" s="0" t="n">
        <v>32</v>
      </c>
      <c r="AU668" s="0" t="n">
        <f aca="false">COUNTA($BA$1446:$EH$1446)</f>
        <v>1</v>
      </c>
      <c r="AV668" s="0" t="n">
        <f aca="false">COUNTIF($BA$1446:$EH$1446,"D")</f>
        <v>0</v>
      </c>
      <c r="AW668" s="0" t="n">
        <f aca="false">COUNTIF($BA$1446:$EH$1446,"R")</f>
        <v>0</v>
      </c>
      <c r="AX668" s="0" t="n">
        <f aca="false">IF(BN668="D",1,0)+IF(BO668="D",1,0)+IF(BT668="D",1,0)+IF(BU668="D",1,0)+IF(BW668="D",1,0)+IF(CC668="D",1,0)+IF(CD668="D",1,0)+IF(CE668="D",1,0)+IF(CF668="D",1,0)+IF(CL668="D",1,0)+IF(CM668="D",1,0)+IF(CQ668="D",1,0)+IF(CR668="D",1,0)+IF(CS668="D",1,0)+IF(CW668="D",1,0)+IF(CX668="D",1,0)+IF(DD668="D",1,0)+IF(DE668="D",1,0)+IF(DJ668="D",1,0)+IF(DK668="D",1,0)+IF(DO668="D",1,0)+IF(DP668="D",1,0)+IF(DQ668="D",1,0)+IF(DW668="D",1,0)+IF(DZ668="D",1,0)+IF(EH668="D",1,0)</f>
        <v>1</v>
      </c>
      <c r="AY668" s="0" t="n">
        <f aca="false">COUNTIF(DU668:EH668, "&lt;&gt;")</f>
        <v>5</v>
      </c>
      <c r="AZ668" s="0" t="n">
        <f aca="false">IF(EH668&lt;&gt;"",1,0)</f>
        <v>0</v>
      </c>
      <c r="BB668" s="0" t="s">
        <v>152</v>
      </c>
      <c r="BD668" s="0" t="s">
        <v>153</v>
      </c>
      <c r="BK668" s="0" t="s">
        <v>153</v>
      </c>
      <c r="BL668" s="0" t="s">
        <v>153</v>
      </c>
      <c r="BS668" s="0" t="s">
        <v>153</v>
      </c>
      <c r="BY668" s="0" t="s">
        <v>175</v>
      </c>
      <c r="CA668" s="0" t="s">
        <v>153</v>
      </c>
      <c r="CG668" s="0" t="s">
        <v>153</v>
      </c>
      <c r="CK668" s="0" t="s">
        <v>153</v>
      </c>
      <c r="CN668" s="0" t="s">
        <v>153</v>
      </c>
      <c r="CP668" s="0" t="s">
        <v>153</v>
      </c>
      <c r="CY668" s="0" t="s">
        <v>153</v>
      </c>
      <c r="CZ668" s="0" t="s">
        <v>175</v>
      </c>
      <c r="DC668" s="0" t="s">
        <v>153</v>
      </c>
      <c r="DF668" s="0" t="s">
        <v>153</v>
      </c>
      <c r="DI668" s="0" t="s">
        <v>153</v>
      </c>
      <c r="DL668" s="0" t="s">
        <v>153</v>
      </c>
      <c r="DM668" s="0" t="s">
        <v>175</v>
      </c>
      <c r="DN668" s="0" t="s">
        <v>153</v>
      </c>
      <c r="DR668" s="0" t="s">
        <v>153</v>
      </c>
      <c r="DS668" s="0" t="s">
        <v>175</v>
      </c>
      <c r="DU668" s="0" t="s">
        <v>153</v>
      </c>
      <c r="DW668" s="0" t="s">
        <v>175</v>
      </c>
      <c r="DX668" s="0" t="s">
        <v>153</v>
      </c>
      <c r="EA668" s="0" t="s">
        <v>153</v>
      </c>
      <c r="EF668" s="0" t="s">
        <v>153</v>
      </c>
    </row>
    <row r="669" customFormat="false" ht="13.8" hidden="false" customHeight="false" outlineLevel="0" collapsed="false">
      <c r="A669" s="0" t="s">
        <v>3449</v>
      </c>
      <c r="B669" s="0" t="n">
        <v>78</v>
      </c>
      <c r="C669" s="0" t="n">
        <v>293830</v>
      </c>
      <c r="D669" s="0" t="s">
        <v>2407</v>
      </c>
      <c r="E669" s="0" t="s">
        <v>3450</v>
      </c>
      <c r="F669" s="0" t="str">
        <f aca="false">CONCATENATE(D669," ",LEFT(H669,4),"T=",AU669,"D=",AV669,"R=",AW669,"M=",AX669,"L=",AY669,"B=",AZ669)</f>
        <v>WALLACE T=31D=1R=8M=3L=4B=0</v>
      </c>
      <c r="I669" s="0" t="s">
        <v>3451</v>
      </c>
      <c r="J669" s="0" t="s">
        <v>3452</v>
      </c>
      <c r="K669" s="0" t="s">
        <v>160</v>
      </c>
      <c r="L669" s="0" t="s">
        <v>175</v>
      </c>
      <c r="M669" s="0" t="s">
        <v>3448</v>
      </c>
      <c r="N669" s="0" t="str">
        <f aca="false">RIGHT(M669,LEN(M669)-FIND(" ",M669))</f>
        <v>HARRISON ST NE</v>
      </c>
      <c r="P669" s="0" t="s">
        <v>145</v>
      </c>
      <c r="Q669" s="0" t="s">
        <v>146</v>
      </c>
      <c r="R669" s="0" t="n">
        <v>44483</v>
      </c>
      <c r="AD669" s="0" t="s">
        <v>147</v>
      </c>
      <c r="AE669" s="0" t="s">
        <v>148</v>
      </c>
      <c r="AF669" s="0" t="s">
        <v>149</v>
      </c>
      <c r="AH669" s="0" t="n">
        <v>14</v>
      </c>
      <c r="AI669" s="0" t="n">
        <v>11</v>
      </c>
      <c r="AN669" s="0" t="s">
        <v>145</v>
      </c>
      <c r="AO669" s="0" t="s">
        <v>654</v>
      </c>
      <c r="AP669" s="0" t="s">
        <v>655</v>
      </c>
      <c r="AQ669" s="0" t="n">
        <v>9</v>
      </c>
      <c r="AR669" s="0" t="n">
        <v>64</v>
      </c>
      <c r="AS669" s="0" t="n">
        <v>32</v>
      </c>
      <c r="AU669" s="0" t="n">
        <f aca="false">COUNTA($BA$1473:$EH$1473)</f>
        <v>31</v>
      </c>
      <c r="AV669" s="0" t="n">
        <f aca="false">COUNTIF($BA$1473:$EH$1473,"D")</f>
        <v>1</v>
      </c>
      <c r="AW669" s="0" t="n">
        <f aca="false">COUNTIF($BA$1473:$EH$1473,"R")</f>
        <v>8</v>
      </c>
      <c r="AX669" s="0" t="n">
        <f aca="false">IF(BN669="D",1,0)+IF(BO669="D",1,0)+IF(BT669="D",1,0)+IF(BU669="D",1,0)+IF(BW669="D",1,0)+IF(CC669="D",1,0)+IF(CD669="D",1,0)+IF(CE669="D",1,0)+IF(CF669="D",1,0)+IF(CL669="D",1,0)+IF(CM669="D",1,0)+IF(CQ669="D",1,0)+IF(CR669="D",1,0)+IF(CS669="D",1,0)+IF(CW669="D",1,0)+IF(CX669="D",1,0)+IF(DD669="D",1,0)+IF(DE669="D",1,0)+IF(DJ669="D",1,0)+IF(DK669="D",1,0)+IF(DO669="D",1,0)+IF(DP669="D",1,0)+IF(DQ669="D",1,0)+IF(DW669="D",1,0)+IF(DZ669="D",1,0)+IF(EH669="D",1,0)</f>
        <v>3</v>
      </c>
      <c r="AY669" s="0" t="n">
        <f aca="false">COUNTIF(DU669:EH669, "&lt;&gt;")</f>
        <v>4</v>
      </c>
      <c r="AZ669" s="0" t="n">
        <f aca="false">IF(EH669&lt;&gt;"",1,0)</f>
        <v>0</v>
      </c>
      <c r="BB669" s="0" t="s">
        <v>152</v>
      </c>
      <c r="BD669" s="0" t="s">
        <v>153</v>
      </c>
      <c r="BK669" s="0" t="s">
        <v>153</v>
      </c>
      <c r="BL669" s="0" t="s">
        <v>153</v>
      </c>
      <c r="CA669" s="0" t="s">
        <v>153</v>
      </c>
      <c r="CG669" s="0" t="s">
        <v>153</v>
      </c>
      <c r="CK669" s="0" t="s">
        <v>153</v>
      </c>
      <c r="CL669" s="0" t="s">
        <v>175</v>
      </c>
      <c r="CN669" s="0" t="s">
        <v>153</v>
      </c>
      <c r="CP669" s="0" t="s">
        <v>153</v>
      </c>
      <c r="CV669" s="0" t="s">
        <v>153</v>
      </c>
      <c r="CY669" s="0" t="s">
        <v>153</v>
      </c>
      <c r="CZ669" s="0" t="s">
        <v>175</v>
      </c>
      <c r="DC669" s="0" t="s">
        <v>153</v>
      </c>
      <c r="DD669" s="0" t="s">
        <v>175</v>
      </c>
      <c r="DF669" s="0" t="s">
        <v>153</v>
      </c>
      <c r="DI669" s="0" t="s">
        <v>153</v>
      </c>
      <c r="DL669" s="0" t="s">
        <v>153</v>
      </c>
      <c r="DM669" s="0" t="s">
        <v>175</v>
      </c>
      <c r="DN669" s="0" t="s">
        <v>153</v>
      </c>
      <c r="DR669" s="0" t="s">
        <v>153</v>
      </c>
      <c r="DS669" s="0" t="s">
        <v>175</v>
      </c>
      <c r="DU669" s="0" t="s">
        <v>153</v>
      </c>
      <c r="DW669" s="0" t="s">
        <v>175</v>
      </c>
      <c r="EA669" s="0" t="s">
        <v>153</v>
      </c>
      <c r="EF669" s="0" t="s">
        <v>153</v>
      </c>
    </row>
    <row r="670" customFormat="false" ht="13.8" hidden="false" customHeight="false" outlineLevel="0" collapsed="false">
      <c r="A670" s="0" t="s">
        <v>3453</v>
      </c>
      <c r="B670" s="0" t="n">
        <v>78</v>
      </c>
      <c r="C670" s="0" t="n">
        <v>180552</v>
      </c>
      <c r="D670" s="0" t="s">
        <v>3454</v>
      </c>
      <c r="E670" s="0" t="s">
        <v>1404</v>
      </c>
      <c r="F670" s="0" t="str">
        <f aca="false">CONCATENATE(D670," ",LEFT(H670,4),"T=",AU670,"D=",AV670,"R=",AW670,"M=",AX670,"L=",AY670,"B=",AZ670)</f>
        <v>LOOMIS T=32D=1R=4M=1L=2B=0</v>
      </c>
      <c r="G670" s="0" t="s">
        <v>839</v>
      </c>
      <c r="I670" s="0" t="s">
        <v>3455</v>
      </c>
      <c r="J670" s="0" t="s">
        <v>495</v>
      </c>
      <c r="K670" s="0" t="s">
        <v>160</v>
      </c>
      <c r="M670" s="0" t="s">
        <v>3456</v>
      </c>
      <c r="N670" s="0" t="str">
        <f aca="false">RIGHT(M670,LEN(M670)-FIND(" ",M670))</f>
        <v>HARRISON ST NE</v>
      </c>
      <c r="P670" s="0" t="s">
        <v>145</v>
      </c>
      <c r="Q670" s="0" t="s">
        <v>146</v>
      </c>
      <c r="R670" s="0" t="n">
        <v>44483</v>
      </c>
      <c r="AD670" s="0" t="s">
        <v>147</v>
      </c>
      <c r="AE670" s="0" t="s">
        <v>148</v>
      </c>
      <c r="AF670" s="0" t="s">
        <v>149</v>
      </c>
      <c r="AH670" s="0" t="n">
        <v>14</v>
      </c>
      <c r="AI670" s="0" t="n">
        <v>11</v>
      </c>
      <c r="AN670" s="0" t="s">
        <v>145</v>
      </c>
      <c r="AO670" s="0" t="s">
        <v>654</v>
      </c>
      <c r="AP670" s="0" t="s">
        <v>655</v>
      </c>
      <c r="AQ670" s="0" t="n">
        <v>9</v>
      </c>
      <c r="AR670" s="0" t="n">
        <v>64</v>
      </c>
      <c r="AS670" s="0" t="n">
        <v>32</v>
      </c>
      <c r="AU670" s="0" t="n">
        <f aca="false">COUNTA($BA$1471:$EH$1471)</f>
        <v>32</v>
      </c>
      <c r="AV670" s="0" t="n">
        <f aca="false">COUNTIF($BA$1471:$EH$1471,"D")</f>
        <v>1</v>
      </c>
      <c r="AW670" s="0" t="n">
        <f aca="false">COUNTIF($BA$1471:$EH$1471,"R")</f>
        <v>4</v>
      </c>
      <c r="AX670" s="0" t="n">
        <f aca="false">IF(BN670="D",1,0)+IF(BO670="D",1,0)+IF(BT670="D",1,0)+IF(BU670="D",1,0)+IF(BW670="D",1,0)+IF(CC670="D",1,0)+IF(CD670="D",1,0)+IF(CE670="D",1,0)+IF(CF670="D",1,0)+IF(CL670="D",1,0)+IF(CM670="D",1,0)+IF(CQ670="D",1,0)+IF(CR670="D",1,0)+IF(CS670="D",1,0)+IF(CW670="D",1,0)+IF(CX670="D",1,0)+IF(DD670="D",1,0)+IF(DE670="D",1,0)+IF(DJ670="D",1,0)+IF(DK670="D",1,0)+IF(DO670="D",1,0)+IF(DP670="D",1,0)+IF(DQ670="D",1,0)+IF(DW670="D",1,0)+IF(DZ670="D",1,0)+IF(EH670="D",1,0)</f>
        <v>1</v>
      </c>
      <c r="AY670" s="0" t="n">
        <f aca="false">COUNTIF(DU670:EH670, "&lt;&gt;")</f>
        <v>2</v>
      </c>
      <c r="AZ670" s="0" t="n">
        <f aca="false">IF(EH670&lt;&gt;"",1,0)</f>
        <v>0</v>
      </c>
      <c r="BB670" s="0" t="s">
        <v>152</v>
      </c>
      <c r="BC670" s="0" t="s">
        <v>153</v>
      </c>
      <c r="BD670" s="0" t="s">
        <v>153</v>
      </c>
      <c r="BE670" s="0" t="s">
        <v>153</v>
      </c>
      <c r="BF670" s="0" t="s">
        <v>153</v>
      </c>
      <c r="BH670" s="0" t="s">
        <v>153</v>
      </c>
      <c r="BI670" s="0" t="s">
        <v>153</v>
      </c>
      <c r="BL670" s="0" t="s">
        <v>153</v>
      </c>
      <c r="BR670" s="0" t="s">
        <v>153</v>
      </c>
      <c r="BS670" s="0" t="s">
        <v>153</v>
      </c>
      <c r="BT670" s="0" t="s">
        <v>153</v>
      </c>
      <c r="BV670" s="0" t="s">
        <v>153</v>
      </c>
      <c r="BY670" s="0" t="s">
        <v>175</v>
      </c>
      <c r="CA670" s="0" t="s">
        <v>153</v>
      </c>
      <c r="CG670" s="0" t="s">
        <v>153</v>
      </c>
      <c r="CH670" s="0" t="s">
        <v>175</v>
      </c>
      <c r="CK670" s="0" t="s">
        <v>153</v>
      </c>
      <c r="CL670" s="0" t="s">
        <v>175</v>
      </c>
      <c r="CN670" s="0" t="s">
        <v>153</v>
      </c>
      <c r="CO670" s="0" t="s">
        <v>175</v>
      </c>
      <c r="CP670" s="0" t="s">
        <v>153</v>
      </c>
      <c r="CU670" s="0" t="s">
        <v>175</v>
      </c>
      <c r="CV670" s="0" t="s">
        <v>153</v>
      </c>
      <c r="CZ670" s="0" t="s">
        <v>175</v>
      </c>
      <c r="DC670" s="0" t="s">
        <v>153</v>
      </c>
      <c r="DI670" s="0" t="s">
        <v>153</v>
      </c>
      <c r="DM670" s="0" t="s">
        <v>175</v>
      </c>
      <c r="DN670" s="0" t="s">
        <v>153</v>
      </c>
      <c r="DU670" s="0" t="s">
        <v>153</v>
      </c>
      <c r="EF670" s="0" t="s">
        <v>153</v>
      </c>
    </row>
    <row r="671" customFormat="false" ht="13.8" hidden="true" customHeight="false" outlineLevel="0" collapsed="false">
      <c r="A671" s="0" t="s">
        <v>3457</v>
      </c>
      <c r="B671" s="0" t="n">
        <v>78</v>
      </c>
      <c r="C671" s="0" t="n">
        <v>485902</v>
      </c>
      <c r="D671" s="0" t="s">
        <v>3454</v>
      </c>
      <c r="E671" s="0" t="s">
        <v>3458</v>
      </c>
      <c r="F671" s="0" t="str">
        <f aca="false">CONCATENATE(D671," ",LEFT(H671,4),"T=",AU671,"D=",AV671,"R=",AW671,"M=",AX671,"L=",AY671,"B=",AZ671)</f>
        <v>LOOMIS T=36D=8R=0M=0L=0B=0</v>
      </c>
      <c r="G671" s="0" t="s">
        <v>517</v>
      </c>
      <c r="I671" s="0" t="s">
        <v>3459</v>
      </c>
      <c r="J671" s="0" t="s">
        <v>2781</v>
      </c>
      <c r="K671" s="0" t="s">
        <v>160</v>
      </c>
      <c r="M671" s="0" t="s">
        <v>3456</v>
      </c>
      <c r="N671" s="0" t="str">
        <f aca="false">RIGHT(M671,LEN(M671)-FIND(" ",M671))</f>
        <v>HARRISON ST NE</v>
      </c>
      <c r="P671" s="0" t="s">
        <v>145</v>
      </c>
      <c r="Q671" s="0" t="s">
        <v>146</v>
      </c>
      <c r="R671" s="0" t="n">
        <v>44483</v>
      </c>
      <c r="AD671" s="0" t="s">
        <v>147</v>
      </c>
      <c r="AE671" s="0" t="s">
        <v>148</v>
      </c>
      <c r="AF671" s="0" t="s">
        <v>149</v>
      </c>
      <c r="AH671" s="0" t="n">
        <v>14</v>
      </c>
      <c r="AI671" s="0" t="n">
        <v>11</v>
      </c>
      <c r="AN671" s="0" t="s">
        <v>145</v>
      </c>
      <c r="AO671" s="0" t="s">
        <v>654</v>
      </c>
      <c r="AP671" s="0" t="s">
        <v>655</v>
      </c>
      <c r="AQ671" s="0" t="n">
        <v>9</v>
      </c>
      <c r="AR671" s="0" t="n">
        <v>64</v>
      </c>
      <c r="AS671" s="0" t="n">
        <v>32</v>
      </c>
      <c r="AU671" s="0" t="n">
        <f aca="false">COUNTA($BA$1484:$EH$1484)</f>
        <v>36</v>
      </c>
      <c r="AV671" s="0" t="n">
        <f aca="false">COUNTIF($BA$1484:$EH$1484,"D")</f>
        <v>8</v>
      </c>
      <c r="AW671" s="0" t="n">
        <f aca="false">COUNTIF($BA$1484:$EH$1484,"R")</f>
        <v>0</v>
      </c>
      <c r="AX671" s="0" t="n">
        <f aca="false">IF(BN671="D",1,0)+IF(BO671="D",1,0)+IF(BT671="D",1,0)+IF(BU671="D",1,0)+IF(BW671="D",1,0)+IF(CC671="D",1,0)+IF(CD671="D",1,0)+IF(CE671="D",1,0)+IF(CF671="D",1,0)+IF(CL671="D",1,0)+IF(CM671="D",1,0)+IF(CQ671="D",1,0)+IF(CR671="D",1,0)+IF(CS671="D",1,0)+IF(CW671="D",1,0)+IF(CX671="D",1,0)+IF(DD671="D",1,0)+IF(DE671="D",1,0)+IF(DJ671="D",1,0)+IF(DK671="D",1,0)+IF(DO671="D",1,0)+IF(DP671="D",1,0)+IF(DQ671="D",1,0)+IF(DW671="D",1,0)+IF(DZ671="D",1,0)+IF(EH671="D",1,0)</f>
        <v>0</v>
      </c>
      <c r="AY671" s="0" t="n">
        <f aca="false">COUNTIF(DU671:EH671, "&lt;&gt;")</f>
        <v>0</v>
      </c>
      <c r="AZ671" s="0" t="n">
        <f aca="false">IF(EH671&lt;&gt;"",1,0)</f>
        <v>0</v>
      </c>
      <c r="BB671" s="0" t="s">
        <v>152</v>
      </c>
    </row>
    <row r="672" customFormat="false" ht="13.8" hidden="true" customHeight="false" outlineLevel="0" collapsed="false">
      <c r="A672" s="0" t="s">
        <v>3460</v>
      </c>
      <c r="B672" s="0" t="n">
        <v>78</v>
      </c>
      <c r="C672" s="0" t="n">
        <v>127392</v>
      </c>
      <c r="D672" s="0" t="s">
        <v>3461</v>
      </c>
      <c r="E672" s="0" t="s">
        <v>267</v>
      </c>
      <c r="F672" s="0" t="str">
        <f aca="false">CONCATENATE(D672," ",LEFT(H672,4),"T=",AU672,"D=",AV672,"R=",AW672,"M=",AX672,"L=",AY672,"B=",AZ672)</f>
        <v>MILLESON T=2D=0R=0M=1L=1B=0</v>
      </c>
      <c r="G672" s="0" t="s">
        <v>164</v>
      </c>
      <c r="I672" s="0" t="s">
        <v>3462</v>
      </c>
      <c r="J672" s="0" t="s">
        <v>3463</v>
      </c>
      <c r="K672" s="0" t="s">
        <v>160</v>
      </c>
      <c r="M672" s="0" t="s">
        <v>3464</v>
      </c>
      <c r="N672" s="0" t="str">
        <f aca="false">RIGHT(M672,LEN(M672)-FIND(" ",M672))</f>
        <v>HARRISON ST NE</v>
      </c>
      <c r="P672" s="0" t="s">
        <v>145</v>
      </c>
      <c r="Q672" s="0" t="s">
        <v>146</v>
      </c>
      <c r="R672" s="0" t="n">
        <v>44483</v>
      </c>
      <c r="AD672" s="0" t="s">
        <v>147</v>
      </c>
      <c r="AE672" s="0" t="s">
        <v>148</v>
      </c>
      <c r="AF672" s="0" t="s">
        <v>149</v>
      </c>
      <c r="AH672" s="0" t="n">
        <v>14</v>
      </c>
      <c r="AI672" s="0" t="n">
        <v>11</v>
      </c>
      <c r="AN672" s="0" t="s">
        <v>145</v>
      </c>
      <c r="AO672" s="0" t="s">
        <v>654</v>
      </c>
      <c r="AP672" s="0" t="s">
        <v>655</v>
      </c>
      <c r="AQ672" s="0" t="n">
        <v>9</v>
      </c>
      <c r="AR672" s="0" t="n">
        <v>64</v>
      </c>
      <c r="AS672" s="0" t="n">
        <v>32</v>
      </c>
      <c r="AU672" s="0" t="n">
        <f aca="false">COUNTA($BA$1516:$EH$1516)</f>
        <v>2</v>
      </c>
      <c r="AV672" s="0" t="n">
        <f aca="false">COUNTIF($BA$1516:$EH$1516,"D")</f>
        <v>0</v>
      </c>
      <c r="AW672" s="0" t="n">
        <f aca="false">COUNTIF($BA$1516:$EH$1516,"R")</f>
        <v>0</v>
      </c>
      <c r="AX672" s="0" t="n">
        <f aca="false">IF(BN672="D",1,0)+IF(BO672="D",1,0)+IF(BT672="D",1,0)+IF(BU672="D",1,0)+IF(BW672="D",1,0)+IF(CC672="D",1,0)+IF(CD672="D",1,0)+IF(CE672="D",1,0)+IF(CF672="D",1,0)+IF(CL672="D",1,0)+IF(CM672="D",1,0)+IF(CQ672="D",1,0)+IF(CR672="D",1,0)+IF(CS672="D",1,0)+IF(CW672="D",1,0)+IF(CX672="D",1,0)+IF(DD672="D",1,0)+IF(DE672="D",1,0)+IF(DJ672="D",1,0)+IF(DK672="D",1,0)+IF(DO672="D",1,0)+IF(DP672="D",1,0)+IF(DQ672="D",1,0)+IF(DW672="D",1,0)+IF(DZ672="D",1,0)+IF(EH672="D",1,0)</f>
        <v>1</v>
      </c>
      <c r="AY672" s="0" t="n">
        <f aca="false">COUNTIF(DU672:EH672, "&lt;&gt;")</f>
        <v>1</v>
      </c>
      <c r="AZ672" s="0" t="n">
        <f aca="false">IF(EH672&lt;&gt;"",1,0)</f>
        <v>0</v>
      </c>
      <c r="BB672" s="0" t="s">
        <v>152</v>
      </c>
      <c r="BC672" s="0" t="s">
        <v>153</v>
      </c>
      <c r="BD672" s="0" t="s">
        <v>153</v>
      </c>
      <c r="BE672" s="0" t="s">
        <v>153</v>
      </c>
      <c r="BF672" s="0" t="s">
        <v>153</v>
      </c>
      <c r="BG672" s="0" t="s">
        <v>153</v>
      </c>
      <c r="BH672" s="0" t="s">
        <v>153</v>
      </c>
      <c r="BJ672" s="0" t="s">
        <v>153</v>
      </c>
      <c r="BK672" s="0" t="s">
        <v>153</v>
      </c>
      <c r="BL672" s="0" t="s">
        <v>153</v>
      </c>
      <c r="BP672" s="0" t="s">
        <v>153</v>
      </c>
      <c r="BS672" s="0" t="s">
        <v>153</v>
      </c>
      <c r="CA672" s="0" t="s">
        <v>153</v>
      </c>
      <c r="CL672" s="0" t="s">
        <v>175</v>
      </c>
      <c r="CP672" s="0" t="s">
        <v>153</v>
      </c>
      <c r="CU672" s="0" t="s">
        <v>175</v>
      </c>
      <c r="DC672" s="0" t="s">
        <v>153</v>
      </c>
      <c r="DI672" s="0" t="s">
        <v>153</v>
      </c>
      <c r="DN672" s="0" t="s">
        <v>153</v>
      </c>
      <c r="EF672" s="0" t="s">
        <v>153</v>
      </c>
    </row>
    <row r="673" customFormat="false" ht="13.8" hidden="true" customHeight="false" outlineLevel="0" collapsed="false">
      <c r="A673" s="0" t="s">
        <v>3465</v>
      </c>
      <c r="B673" s="0" t="n">
        <v>78</v>
      </c>
      <c r="C673" s="0" t="n">
        <v>378480</v>
      </c>
      <c r="D673" s="0" t="s">
        <v>3461</v>
      </c>
      <c r="E673" s="0" t="s">
        <v>2680</v>
      </c>
      <c r="F673" s="0" t="str">
        <f aca="false">CONCATENATE(D673," ",LEFT(H673,4),"T=",AU673,"D=",AV673,"R=",AW673,"M=",AX673,"L=",AY673,"B=",AZ673)</f>
        <v>MILLESON SRT=28D=0R=6M=0L=0B=0</v>
      </c>
      <c r="G673" s="0" t="s">
        <v>195</v>
      </c>
      <c r="H673" s="0" t="s">
        <v>216</v>
      </c>
      <c r="I673" s="0" t="s">
        <v>3466</v>
      </c>
      <c r="J673" s="0" t="s">
        <v>1849</v>
      </c>
      <c r="K673" s="0" t="s">
        <v>143</v>
      </c>
      <c r="M673" s="0" t="s">
        <v>3464</v>
      </c>
      <c r="N673" s="0" t="str">
        <f aca="false">RIGHT(M673,LEN(M673)-FIND(" ",M673))</f>
        <v>HARRISON ST NE</v>
      </c>
      <c r="P673" s="0" t="s">
        <v>145</v>
      </c>
      <c r="Q673" s="0" t="s">
        <v>146</v>
      </c>
      <c r="R673" s="0" t="n">
        <v>44483</v>
      </c>
      <c r="AD673" s="0" t="s">
        <v>147</v>
      </c>
      <c r="AE673" s="0" t="s">
        <v>148</v>
      </c>
      <c r="AF673" s="0" t="s">
        <v>149</v>
      </c>
      <c r="AH673" s="0" t="n">
        <v>14</v>
      </c>
      <c r="AI673" s="0" t="n">
        <v>11</v>
      </c>
      <c r="AN673" s="0" t="s">
        <v>145</v>
      </c>
      <c r="AO673" s="0" t="s">
        <v>654</v>
      </c>
      <c r="AP673" s="0" t="s">
        <v>655</v>
      </c>
      <c r="AQ673" s="0" t="n">
        <v>9</v>
      </c>
      <c r="AR673" s="0" t="n">
        <v>64</v>
      </c>
      <c r="AS673" s="0" t="n">
        <v>32</v>
      </c>
      <c r="AU673" s="0" t="n">
        <f aca="false">COUNTA($BA$1859:$EH$1859)</f>
        <v>28</v>
      </c>
      <c r="AV673" s="0" t="n">
        <f aca="false">COUNTIF($BA$1859:$EH$1859,"D")</f>
        <v>0</v>
      </c>
      <c r="AW673" s="0" t="n">
        <f aca="false">COUNTIF($BA$1859:$EH$1859,"R")</f>
        <v>6</v>
      </c>
      <c r="AX673" s="0" t="n">
        <f aca="false">IF(BN673="D",1,0)+IF(BO673="D",1,0)+IF(BT673="D",1,0)+IF(BU673="D",1,0)+IF(BW673="D",1,0)+IF(CC673="D",1,0)+IF(CD673="D",1,0)+IF(CE673="D",1,0)+IF(CF673="D",1,0)+IF(CL673="D",1,0)+IF(CM673="D",1,0)+IF(CQ673="D",1,0)+IF(CR673="D",1,0)+IF(CS673="D",1,0)+IF(CW673="D",1,0)+IF(CX673="D",1,0)+IF(DD673="D",1,0)+IF(DE673="D",1,0)+IF(DJ673="D",1,0)+IF(DK673="D",1,0)+IF(DO673="D",1,0)+IF(DP673="D",1,0)+IF(DQ673="D",1,0)+IF(DW673="D",1,0)+IF(DZ673="D",1,0)+IF(EH673="D",1,0)</f>
        <v>0</v>
      </c>
      <c r="AY673" s="0" t="n">
        <f aca="false">COUNTIF(DU673:EH673, "&lt;&gt;")</f>
        <v>0</v>
      </c>
      <c r="AZ673" s="0" t="n">
        <f aca="false">IF(EH673&lt;&gt;"",1,0)</f>
        <v>0</v>
      </c>
      <c r="BB673" s="0" t="s">
        <v>152</v>
      </c>
    </row>
    <row r="674" customFormat="false" ht="13.8" hidden="true" customHeight="false" outlineLevel="0" collapsed="false">
      <c r="A674" s="0" t="s">
        <v>3467</v>
      </c>
      <c r="B674" s="0" t="n">
        <v>78</v>
      </c>
      <c r="C674" s="0" t="n">
        <v>436538</v>
      </c>
      <c r="D674" s="0" t="s">
        <v>3468</v>
      </c>
      <c r="E674" s="0" t="s">
        <v>3469</v>
      </c>
      <c r="F674" s="0" t="str">
        <f aca="false">CONCATENATE(D674," ",LEFT(H674,4),"T=",AU674,"D=",AV674,"R=",AW674,"M=",AX674,"L=",AY674,"B=",AZ674)</f>
        <v>MACCARTNEY T=1D=0R=0M=0L=0B=0</v>
      </c>
      <c r="G674" s="0" t="s">
        <v>190</v>
      </c>
      <c r="I674" s="0" t="s">
        <v>3470</v>
      </c>
      <c r="J674" s="0" t="s">
        <v>2477</v>
      </c>
      <c r="K674" s="0" t="s">
        <v>160</v>
      </c>
      <c r="M674" s="0" t="s">
        <v>3471</v>
      </c>
      <c r="N674" s="0" t="str">
        <f aca="false">RIGHT(M674,LEN(M674)-FIND(" ",M674))</f>
        <v>HARRISON ST NE</v>
      </c>
      <c r="P674" s="0" t="s">
        <v>145</v>
      </c>
      <c r="Q674" s="0" t="s">
        <v>146</v>
      </c>
      <c r="R674" s="0" t="n">
        <v>44483</v>
      </c>
      <c r="AD674" s="0" t="s">
        <v>147</v>
      </c>
      <c r="AE674" s="0" t="s">
        <v>148</v>
      </c>
      <c r="AF674" s="0" t="s">
        <v>149</v>
      </c>
      <c r="AH674" s="0" t="n">
        <v>14</v>
      </c>
      <c r="AI674" s="0" t="n">
        <v>11</v>
      </c>
      <c r="AN674" s="0" t="s">
        <v>145</v>
      </c>
      <c r="AO674" s="0" t="s">
        <v>654</v>
      </c>
      <c r="AP674" s="0" t="s">
        <v>655</v>
      </c>
      <c r="AQ674" s="0" t="n">
        <v>9</v>
      </c>
      <c r="AR674" s="0" t="n">
        <v>64</v>
      </c>
      <c r="AS674" s="0" t="n">
        <v>32</v>
      </c>
      <c r="AU674" s="0" t="n">
        <f aca="false">COUNTA($BA$2003:$EH$2003)</f>
        <v>1</v>
      </c>
      <c r="AV674" s="0" t="n">
        <f aca="false">COUNTIF($BA$2003:$EH$2003,"D")</f>
        <v>0</v>
      </c>
      <c r="AW674" s="0" t="n">
        <f aca="false">COUNTIF($BA$2003:$EH$2003,"R")</f>
        <v>0</v>
      </c>
      <c r="AX674" s="0" t="n">
        <f aca="false">IF(BN674="D",1,0)+IF(BO674="D",1,0)+IF(BT674="D",1,0)+IF(BU674="D",1,0)+IF(BW674="D",1,0)+IF(CC674="D",1,0)+IF(CD674="D",1,0)+IF(CE674="D",1,0)+IF(CF674="D",1,0)+IF(CL674="D",1,0)+IF(CM674="D",1,0)+IF(CQ674="D",1,0)+IF(CR674="D",1,0)+IF(CS674="D",1,0)+IF(CW674="D",1,0)+IF(CX674="D",1,0)+IF(DD674="D",1,0)+IF(DE674="D",1,0)+IF(DJ674="D",1,0)+IF(DK674="D",1,0)+IF(DO674="D",1,0)+IF(DP674="D",1,0)+IF(DQ674="D",1,0)+IF(DW674="D",1,0)+IF(DZ674="D",1,0)+IF(EH674="D",1,0)</f>
        <v>0</v>
      </c>
      <c r="AY674" s="0" t="n">
        <f aca="false">COUNTIF(DU674:EH674, "&lt;&gt;")</f>
        <v>0</v>
      </c>
      <c r="AZ674" s="0" t="n">
        <f aca="false">IF(EH674&lt;&gt;"",1,0)</f>
        <v>0</v>
      </c>
      <c r="BB674" s="0" t="s">
        <v>152</v>
      </c>
      <c r="BL674" s="0" t="s">
        <v>153</v>
      </c>
      <c r="BY674" s="0" t="s">
        <v>175</v>
      </c>
      <c r="CA674" s="0" t="s">
        <v>153</v>
      </c>
      <c r="CG674" s="0" t="s">
        <v>153</v>
      </c>
      <c r="CO674" s="0" t="s">
        <v>175</v>
      </c>
      <c r="CP674" s="0" t="s">
        <v>153</v>
      </c>
      <c r="CQ674" s="0" t="s">
        <v>153</v>
      </c>
      <c r="CY674" s="0" t="s">
        <v>153</v>
      </c>
      <c r="CZ674" s="0" t="s">
        <v>175</v>
      </c>
      <c r="DC674" s="0" t="s">
        <v>153</v>
      </c>
      <c r="DI674" s="0" t="s">
        <v>153</v>
      </c>
      <c r="DN674" s="0" t="s">
        <v>153</v>
      </c>
    </row>
    <row r="675" customFormat="false" ht="13.8" hidden="true" customHeight="false" outlineLevel="0" collapsed="false">
      <c r="A675" s="0" t="s">
        <v>3472</v>
      </c>
      <c r="B675" s="0" t="n">
        <v>78</v>
      </c>
      <c r="C675" s="0" t="n">
        <v>316885</v>
      </c>
      <c r="D675" s="0" t="s">
        <v>3473</v>
      </c>
      <c r="E675" s="0" t="s">
        <v>3474</v>
      </c>
      <c r="F675" s="0" t="str">
        <f aca="false">CONCATENATE(D675," ",LEFT(H675,4),"T=",AU675,"D=",AV675,"R=",AW675,"M=",AX675,"L=",AY675,"B=",AZ675)</f>
        <v>HAYNES T=3D=0R=0M=0L=0B=0</v>
      </c>
      <c r="G675" s="0" t="s">
        <v>164</v>
      </c>
      <c r="I675" s="0" t="s">
        <v>3475</v>
      </c>
      <c r="J675" s="0" t="s">
        <v>2371</v>
      </c>
      <c r="K675" s="0" t="s">
        <v>143</v>
      </c>
      <c r="M675" s="0" t="s">
        <v>3476</v>
      </c>
      <c r="N675" s="0" t="str">
        <f aca="false">RIGHT(M675,LEN(M675)-FIND(" ",M675))</f>
        <v>HARRISON ST NE</v>
      </c>
      <c r="P675" s="0" t="s">
        <v>145</v>
      </c>
      <c r="Q675" s="0" t="s">
        <v>146</v>
      </c>
      <c r="R675" s="0" t="n">
        <v>44483</v>
      </c>
      <c r="AD675" s="0" t="s">
        <v>147</v>
      </c>
      <c r="AE675" s="0" t="s">
        <v>148</v>
      </c>
      <c r="AF675" s="0" t="s">
        <v>149</v>
      </c>
      <c r="AH675" s="0" t="n">
        <v>14</v>
      </c>
      <c r="AI675" s="0" t="n">
        <v>11</v>
      </c>
      <c r="AN675" s="0" t="s">
        <v>145</v>
      </c>
      <c r="AO675" s="0" t="s">
        <v>654</v>
      </c>
      <c r="AP675" s="0" t="s">
        <v>655</v>
      </c>
      <c r="AQ675" s="0" t="n">
        <v>9</v>
      </c>
      <c r="AR675" s="0" t="n">
        <v>64</v>
      </c>
      <c r="AS675" s="0" t="n">
        <v>32</v>
      </c>
      <c r="AU675" s="0" t="n">
        <f aca="false">COUNTA($BA$2056:$EH$2056)</f>
        <v>3</v>
      </c>
      <c r="AV675" s="0" t="n">
        <f aca="false">COUNTIF($BA$2056:$EH$2056,"D")</f>
        <v>0</v>
      </c>
      <c r="AW675" s="0" t="n">
        <f aca="false">COUNTIF($BA$2056:$EH$2056,"R")</f>
        <v>0</v>
      </c>
      <c r="AX675" s="0" t="n">
        <f aca="false">IF(BN675="D",1,0)+IF(BO675="D",1,0)+IF(BT675="D",1,0)+IF(BU675="D",1,0)+IF(BW675="D",1,0)+IF(CC675="D",1,0)+IF(CD675="D",1,0)+IF(CE675="D",1,0)+IF(CF675="D",1,0)+IF(CL675="D",1,0)+IF(CM675="D",1,0)+IF(CQ675="D",1,0)+IF(CR675="D",1,0)+IF(CS675="D",1,0)+IF(CW675="D",1,0)+IF(CX675="D",1,0)+IF(DD675="D",1,0)+IF(DE675="D",1,0)+IF(DJ675="D",1,0)+IF(DK675="D",1,0)+IF(DO675="D",1,0)+IF(DP675="D",1,0)+IF(DQ675="D",1,0)+IF(DW675="D",1,0)+IF(DZ675="D",1,0)+IF(EH675="D",1,0)</f>
        <v>0</v>
      </c>
      <c r="AY675" s="0" t="n">
        <f aca="false">COUNTIF(DU675:EH675, "&lt;&gt;")</f>
        <v>0</v>
      </c>
      <c r="AZ675" s="0" t="n">
        <f aca="false">IF(EH675&lt;&gt;"",1,0)</f>
        <v>0</v>
      </c>
      <c r="BB675" s="0" t="s">
        <v>152</v>
      </c>
      <c r="BL675" s="0" t="s">
        <v>153</v>
      </c>
      <c r="CA675" s="0" t="s">
        <v>153</v>
      </c>
      <c r="DC675" s="0" t="s">
        <v>153</v>
      </c>
    </row>
    <row r="676" customFormat="false" ht="13.8" hidden="true" customHeight="false" outlineLevel="0" collapsed="false">
      <c r="A676" s="0" t="s">
        <v>3477</v>
      </c>
      <c r="B676" s="0" t="n">
        <v>78</v>
      </c>
      <c r="C676" s="0" t="n">
        <v>407332</v>
      </c>
      <c r="D676" s="0" t="s">
        <v>1661</v>
      </c>
      <c r="E676" s="0" t="s">
        <v>958</v>
      </c>
      <c r="F676" s="0" t="str">
        <f aca="false">CONCATENATE(D676," ",LEFT(H676,4),"T=",AU676,"D=",AV676,"R=",AW676,"M=",AX676,"L=",AY676,"B=",AZ676)</f>
        <v>JACKSON T=1D=0R=0M=0L=0B=0</v>
      </c>
      <c r="G676" s="0" t="s">
        <v>770</v>
      </c>
      <c r="I676" s="0" t="s">
        <v>3478</v>
      </c>
      <c r="J676" s="0" t="s">
        <v>3479</v>
      </c>
      <c r="K676" s="0" t="s">
        <v>143</v>
      </c>
      <c r="M676" s="0" t="s">
        <v>3480</v>
      </c>
      <c r="N676" s="0" t="str">
        <f aca="false">RIGHT(M676,LEN(M676)-FIND(" ",M676))</f>
        <v>HARRISON ST NE</v>
      </c>
      <c r="O676" s="0" t="s">
        <v>3481</v>
      </c>
      <c r="P676" s="0" t="s">
        <v>145</v>
      </c>
      <c r="Q676" s="0" t="s">
        <v>146</v>
      </c>
      <c r="R676" s="0" t="n">
        <v>44483</v>
      </c>
      <c r="AD676" s="0" t="s">
        <v>147</v>
      </c>
      <c r="AE676" s="0" t="s">
        <v>148</v>
      </c>
      <c r="AF676" s="0" t="s">
        <v>149</v>
      </c>
      <c r="AH676" s="0" t="n">
        <v>14</v>
      </c>
      <c r="AI676" s="0" t="n">
        <v>11</v>
      </c>
      <c r="AN676" s="0" t="s">
        <v>145</v>
      </c>
      <c r="AO676" s="0" t="s">
        <v>654</v>
      </c>
      <c r="AP676" s="0" t="s">
        <v>655</v>
      </c>
      <c r="AQ676" s="0" t="n">
        <v>9</v>
      </c>
      <c r="AR676" s="0" t="n">
        <v>64</v>
      </c>
      <c r="AS676" s="0" t="n">
        <v>32</v>
      </c>
      <c r="AU676" s="0" t="n">
        <f aca="false">COUNTA($BA$1142:$EH$1142)</f>
        <v>1</v>
      </c>
      <c r="AV676" s="0" t="n">
        <f aca="false">COUNTIF($BA$1142:$EH$1142,"D")</f>
        <v>0</v>
      </c>
      <c r="AW676" s="0" t="n">
        <f aca="false">COUNTIF($BA$1142:$EH$1142,"R")</f>
        <v>0</v>
      </c>
      <c r="AX676" s="0" t="n">
        <f aca="false">IF(BN676="D",1,0)+IF(BO676="D",1,0)+IF(BT676="D",1,0)+IF(BU676="D",1,0)+IF(BW676="D",1,0)+IF(CC676="D",1,0)+IF(CD676="D",1,0)+IF(CE676="D",1,0)+IF(CF676="D",1,0)+IF(CL676="D",1,0)+IF(CM676="D",1,0)+IF(CQ676="D",1,0)+IF(CR676="D",1,0)+IF(CS676="D",1,0)+IF(CW676="D",1,0)+IF(CX676="D",1,0)+IF(DD676="D",1,0)+IF(DE676="D",1,0)+IF(DJ676="D",1,0)+IF(DK676="D",1,0)+IF(DO676="D",1,0)+IF(DP676="D",1,0)+IF(DQ676="D",1,0)+IF(DW676="D",1,0)+IF(DZ676="D",1,0)+IF(EH676="D",1,0)</f>
        <v>0</v>
      </c>
      <c r="AY676" s="0" t="n">
        <f aca="false">COUNTIF(DU676:EH676, "&lt;&gt;")</f>
        <v>0</v>
      </c>
      <c r="AZ676" s="0" t="n">
        <f aca="false">IF(EH676&lt;&gt;"",1,0)</f>
        <v>0</v>
      </c>
      <c r="BB676" s="0" t="s">
        <v>152</v>
      </c>
    </row>
    <row r="677" customFormat="false" ht="13.8" hidden="true" customHeight="false" outlineLevel="0" collapsed="false">
      <c r="A677" s="0" t="s">
        <v>3482</v>
      </c>
      <c r="B677" s="0" t="n">
        <v>78</v>
      </c>
      <c r="C677" s="0" t="n">
        <v>331022</v>
      </c>
      <c r="D677" s="0" t="s">
        <v>3483</v>
      </c>
      <c r="E677" s="0" t="s">
        <v>3484</v>
      </c>
      <c r="F677" s="0" t="str">
        <f aca="false">CONCATENATE(D677," ",LEFT(H677,4),"T=",AU677,"D=",AV677,"R=",AW677,"M=",AX677,"L=",AY677,"B=",AZ677)</f>
        <v>PENNOCK T=5D=0R=0M=0L=1B=0</v>
      </c>
      <c r="G677" s="0" t="s">
        <v>3485</v>
      </c>
      <c r="I677" s="0" t="s">
        <v>3486</v>
      </c>
      <c r="J677" s="0" t="s">
        <v>3487</v>
      </c>
      <c r="K677" s="0" t="s">
        <v>160</v>
      </c>
      <c r="M677" s="0" t="s">
        <v>3480</v>
      </c>
      <c r="N677" s="0" t="str">
        <f aca="false">RIGHT(M677,LEN(M677)-FIND(" ",M677))</f>
        <v>HARRISON ST NE</v>
      </c>
      <c r="P677" s="0" t="s">
        <v>145</v>
      </c>
      <c r="Q677" s="0" t="s">
        <v>146</v>
      </c>
      <c r="R677" s="0" t="n">
        <v>44483</v>
      </c>
      <c r="AD677" s="0" t="s">
        <v>147</v>
      </c>
      <c r="AE677" s="0" t="s">
        <v>148</v>
      </c>
      <c r="AF677" s="0" t="s">
        <v>149</v>
      </c>
      <c r="AH677" s="0" t="n">
        <v>14</v>
      </c>
      <c r="AI677" s="0" t="n">
        <v>11</v>
      </c>
      <c r="AN677" s="0" t="s">
        <v>145</v>
      </c>
      <c r="AO677" s="0" t="s">
        <v>654</v>
      </c>
      <c r="AP677" s="0" t="s">
        <v>655</v>
      </c>
      <c r="AQ677" s="0" t="n">
        <v>9</v>
      </c>
      <c r="AR677" s="0" t="n">
        <v>64</v>
      </c>
      <c r="AS677" s="0" t="n">
        <v>32</v>
      </c>
      <c r="AU677" s="0" t="n">
        <f aca="false">COUNTA($BA$1857:$EH$1857)</f>
        <v>5</v>
      </c>
      <c r="AV677" s="0" t="n">
        <f aca="false">COUNTIF($BA$1857:$EH$1857,"D")</f>
        <v>0</v>
      </c>
      <c r="AW677" s="0" t="n">
        <f aca="false">COUNTIF($BA$1857:$EH$1857,"R")</f>
        <v>0</v>
      </c>
      <c r="AX677" s="0" t="n">
        <f aca="false">IF(BN677="D",1,0)+IF(BO677="D",1,0)+IF(BT677="D",1,0)+IF(BU677="D",1,0)+IF(BW677="D",1,0)+IF(CC677="D",1,0)+IF(CD677="D",1,0)+IF(CE677="D",1,0)+IF(CF677="D",1,0)+IF(CL677="D",1,0)+IF(CM677="D",1,0)+IF(CQ677="D",1,0)+IF(CR677="D",1,0)+IF(CS677="D",1,0)+IF(CW677="D",1,0)+IF(CX677="D",1,0)+IF(DD677="D",1,0)+IF(DE677="D",1,0)+IF(DJ677="D",1,0)+IF(DK677="D",1,0)+IF(DO677="D",1,0)+IF(DP677="D",1,0)+IF(DQ677="D",1,0)+IF(DW677="D",1,0)+IF(DZ677="D",1,0)+IF(EH677="D",1,0)</f>
        <v>0</v>
      </c>
      <c r="AY677" s="0" t="n">
        <f aca="false">COUNTIF(DU677:EH677, "&lt;&gt;")</f>
        <v>1</v>
      </c>
      <c r="AZ677" s="0" t="n">
        <f aca="false">IF(EH677&lt;&gt;"",1,0)</f>
        <v>0</v>
      </c>
      <c r="BB677" s="0" t="s">
        <v>152</v>
      </c>
      <c r="BL677" s="0" t="s">
        <v>153</v>
      </c>
      <c r="BS677" s="0" t="s">
        <v>153</v>
      </c>
      <c r="CA677" s="0" t="s">
        <v>153</v>
      </c>
      <c r="DC677" s="0" t="s">
        <v>153</v>
      </c>
      <c r="EF677" s="0" t="s">
        <v>153</v>
      </c>
    </row>
    <row r="678" customFormat="false" ht="13.8" hidden="true" customHeight="false" outlineLevel="0" collapsed="false">
      <c r="A678" s="0" t="s">
        <v>3488</v>
      </c>
      <c r="B678" s="0" t="n">
        <v>78</v>
      </c>
      <c r="C678" s="0" t="n">
        <v>488113</v>
      </c>
      <c r="D678" s="0" t="s">
        <v>987</v>
      </c>
      <c r="E678" s="0" t="s">
        <v>3489</v>
      </c>
      <c r="F678" s="0" t="str">
        <f aca="false">CONCATENATE(D678," ",LEFT(H678,4),"T=",AU678,"D=",AV678,"R=",AW678,"M=",AX678,"L=",AY678,"B=",AZ678)</f>
        <v>TODD T=16D=3R=0M=0L=0B=0</v>
      </c>
      <c r="G678" s="0" t="s">
        <v>3490</v>
      </c>
      <c r="I678" s="0" t="s">
        <v>3491</v>
      </c>
      <c r="J678" s="0" t="s">
        <v>2733</v>
      </c>
      <c r="K678" s="0" t="s">
        <v>160</v>
      </c>
      <c r="M678" s="0" t="s">
        <v>3492</v>
      </c>
      <c r="N678" s="0" t="str">
        <f aca="false">RIGHT(M678,LEN(M678)-FIND(" ",M678))</f>
        <v>HARRISON ST NE</v>
      </c>
      <c r="P678" s="0" t="s">
        <v>145</v>
      </c>
      <c r="Q678" s="0" t="s">
        <v>146</v>
      </c>
      <c r="R678" s="0" t="n">
        <v>44483</v>
      </c>
      <c r="AD678" s="0" t="s">
        <v>147</v>
      </c>
      <c r="AE678" s="0" t="s">
        <v>148</v>
      </c>
      <c r="AF678" s="0" t="s">
        <v>149</v>
      </c>
      <c r="AH678" s="0" t="n">
        <v>14</v>
      </c>
      <c r="AI678" s="0" t="n">
        <v>11</v>
      </c>
      <c r="AN678" s="0" t="s">
        <v>145</v>
      </c>
      <c r="AO678" s="0" t="s">
        <v>654</v>
      </c>
      <c r="AP678" s="0" t="s">
        <v>655</v>
      </c>
      <c r="AQ678" s="0" t="n">
        <v>9</v>
      </c>
      <c r="AR678" s="0" t="n">
        <v>64</v>
      </c>
      <c r="AS678" s="0" t="n">
        <v>32</v>
      </c>
      <c r="AU678" s="0" t="n">
        <f aca="false">COUNTA($BA$1202:$EH$1202)</f>
        <v>16</v>
      </c>
      <c r="AV678" s="0" t="n">
        <f aca="false">COUNTIF($BA$1202:$EH$1202,"D")</f>
        <v>3</v>
      </c>
      <c r="AW678" s="0" t="n">
        <f aca="false">COUNTIF($BA$1202:$EH$1202,"R")</f>
        <v>0</v>
      </c>
      <c r="AX678" s="0" t="n">
        <f aca="false">IF(BN678="D",1,0)+IF(BO678="D",1,0)+IF(BT678="D",1,0)+IF(BU678="D",1,0)+IF(BW678="D",1,0)+IF(CC678="D",1,0)+IF(CD678="D",1,0)+IF(CE678="D",1,0)+IF(CF678="D",1,0)+IF(CL678="D",1,0)+IF(CM678="D",1,0)+IF(CQ678="D",1,0)+IF(CR678="D",1,0)+IF(CS678="D",1,0)+IF(CW678="D",1,0)+IF(CX678="D",1,0)+IF(DD678="D",1,0)+IF(DE678="D",1,0)+IF(DJ678="D",1,0)+IF(DK678="D",1,0)+IF(DO678="D",1,0)+IF(DP678="D",1,0)+IF(DQ678="D",1,0)+IF(DW678="D",1,0)+IF(DZ678="D",1,0)+IF(EH678="D",1,0)</f>
        <v>0</v>
      </c>
      <c r="AY678" s="0" t="n">
        <f aca="false">COUNTIF(DU678:EH678, "&lt;&gt;")</f>
        <v>0</v>
      </c>
      <c r="AZ678" s="0" t="n">
        <f aca="false">IF(EH678&lt;&gt;"",1,0)</f>
        <v>0</v>
      </c>
      <c r="BB678" s="0" t="s">
        <v>152</v>
      </c>
    </row>
    <row r="679" customFormat="false" ht="13.8" hidden="false" customHeight="false" outlineLevel="0" collapsed="false">
      <c r="A679" s="0" t="s">
        <v>3493</v>
      </c>
      <c r="B679" s="0" t="n">
        <v>78</v>
      </c>
      <c r="C679" s="0" t="n">
        <v>350078</v>
      </c>
      <c r="D679" s="0" t="s">
        <v>3494</v>
      </c>
      <c r="E679" s="0" t="s">
        <v>615</v>
      </c>
      <c r="F679" s="0" t="str">
        <f aca="false">CONCATENATE(D679," ",LEFT(H679,4),"T=",AU679,"D=",AV679,"R=",AW679,"M=",AX679,"L=",AY679,"B=",AZ679)</f>
        <v>TESORIERO T=1D=0R=0M=6L=7B=1</v>
      </c>
      <c r="I679" s="0" t="s">
        <v>3495</v>
      </c>
      <c r="J679" s="0" t="s">
        <v>3496</v>
      </c>
      <c r="K679" s="0" t="s">
        <v>160</v>
      </c>
      <c r="L679" s="0" t="s">
        <v>175</v>
      </c>
      <c r="M679" s="0" t="s">
        <v>3497</v>
      </c>
      <c r="N679" s="0" t="str">
        <f aca="false">RIGHT(M679,LEN(M679)-FIND(" ",M679))</f>
        <v>HARRISON ST NE</v>
      </c>
      <c r="P679" s="0" t="s">
        <v>145</v>
      </c>
      <c r="Q679" s="0" t="s">
        <v>146</v>
      </c>
      <c r="R679" s="0" t="n">
        <v>44483</v>
      </c>
      <c r="AD679" s="0" t="s">
        <v>147</v>
      </c>
      <c r="AE679" s="0" t="s">
        <v>148</v>
      </c>
      <c r="AF679" s="0" t="s">
        <v>149</v>
      </c>
      <c r="AH679" s="0" t="n">
        <v>14</v>
      </c>
      <c r="AI679" s="0" t="n">
        <v>11</v>
      </c>
      <c r="AN679" s="0" t="s">
        <v>145</v>
      </c>
      <c r="AO679" s="0" t="s">
        <v>654</v>
      </c>
      <c r="AP679" s="0" t="s">
        <v>655</v>
      </c>
      <c r="AQ679" s="0" t="n">
        <v>9</v>
      </c>
      <c r="AR679" s="0" t="n">
        <v>64</v>
      </c>
      <c r="AS679" s="0" t="n">
        <v>32</v>
      </c>
      <c r="AU679" s="0" t="n">
        <f aca="false">COUNTA($BA$1507:$EH$1507)</f>
        <v>1</v>
      </c>
      <c r="AV679" s="0" t="n">
        <f aca="false">COUNTIF($BA$1507:$EH$1507,"D")</f>
        <v>0</v>
      </c>
      <c r="AW679" s="0" t="n">
        <f aca="false">COUNTIF($BA$1507:$EH$1507,"R")</f>
        <v>0</v>
      </c>
      <c r="AX679" s="0" t="n">
        <f aca="false">IF(BN679="D",1,0)+IF(BO679="D",1,0)+IF(BT679="D",1,0)+IF(BU679="D",1,0)+IF(BW679="D",1,0)+IF(CC679="D",1,0)+IF(CD679="D",1,0)+IF(CE679="D",1,0)+IF(CF679="D",1,0)+IF(CL679="D",1,0)+IF(CM679="D",1,0)+IF(CQ679="D",1,0)+IF(CR679="D",1,0)+IF(CS679="D",1,0)+IF(CW679="D",1,0)+IF(CX679="D",1,0)+IF(DD679="D",1,0)+IF(DE679="D",1,0)+IF(DJ679="D",1,0)+IF(DK679="D",1,0)+IF(DO679="D",1,0)+IF(DP679="D",1,0)+IF(DQ679="D",1,0)+IF(DW679="D",1,0)+IF(DZ679="D",1,0)+IF(EH679="D",1,0)</f>
        <v>6</v>
      </c>
      <c r="AY679" s="0" t="n">
        <f aca="false">COUNTIF(DU679:EH679, "&lt;&gt;")</f>
        <v>7</v>
      </c>
      <c r="AZ679" s="0" t="n">
        <f aca="false">IF(EH679&lt;&gt;"",1,0)</f>
        <v>1</v>
      </c>
      <c r="BB679" s="0" t="s">
        <v>152</v>
      </c>
      <c r="BV679" s="0" t="s">
        <v>153</v>
      </c>
      <c r="BY679" s="0" t="s">
        <v>175</v>
      </c>
      <c r="CA679" s="0" t="s">
        <v>153</v>
      </c>
      <c r="CG679" s="0" t="s">
        <v>153</v>
      </c>
      <c r="CK679" s="0" t="s">
        <v>153</v>
      </c>
      <c r="CL679" s="0" t="s">
        <v>175</v>
      </c>
      <c r="CN679" s="0" t="s">
        <v>153</v>
      </c>
      <c r="CO679" s="0" t="s">
        <v>175</v>
      </c>
      <c r="CP679" s="0" t="s">
        <v>153</v>
      </c>
      <c r="CV679" s="0" t="s">
        <v>153</v>
      </c>
      <c r="CW679" s="0" t="s">
        <v>175</v>
      </c>
      <c r="CY679" s="0" t="s">
        <v>153</v>
      </c>
      <c r="CZ679" s="0" t="s">
        <v>175</v>
      </c>
      <c r="DC679" s="0" t="s">
        <v>153</v>
      </c>
      <c r="DD679" s="0" t="s">
        <v>175</v>
      </c>
      <c r="DF679" s="0" t="s">
        <v>153</v>
      </c>
      <c r="DG679" s="0" t="s">
        <v>175</v>
      </c>
      <c r="DI679" s="0" t="s">
        <v>153</v>
      </c>
      <c r="DJ679" s="0" t="s">
        <v>175</v>
      </c>
      <c r="DL679" s="0" t="s">
        <v>153</v>
      </c>
      <c r="DN679" s="0" t="s">
        <v>153</v>
      </c>
      <c r="DS679" s="0" t="s">
        <v>175</v>
      </c>
      <c r="DT679" s="0" t="s">
        <v>175</v>
      </c>
      <c r="DU679" s="0" t="s">
        <v>153</v>
      </c>
      <c r="DW679" s="0" t="s">
        <v>175</v>
      </c>
      <c r="DX679" s="0" t="s">
        <v>153</v>
      </c>
      <c r="EA679" s="0" t="s">
        <v>153</v>
      </c>
      <c r="ED679" s="0" t="s">
        <v>175</v>
      </c>
      <c r="EF679" s="0" t="s">
        <v>153</v>
      </c>
      <c r="EH679" s="0" t="s">
        <v>175</v>
      </c>
    </row>
    <row r="680" customFormat="false" ht="13.8" hidden="false" customHeight="false" outlineLevel="0" collapsed="false">
      <c r="A680" s="0" t="s">
        <v>3498</v>
      </c>
      <c r="B680" s="0" t="n">
        <v>78</v>
      </c>
      <c r="C680" s="0" t="n">
        <v>406423</v>
      </c>
      <c r="D680" s="0" t="s">
        <v>3494</v>
      </c>
      <c r="E680" s="0" t="s">
        <v>1722</v>
      </c>
      <c r="F680" s="0" t="str">
        <f aca="false">CONCATENATE(D680," ",LEFT(H680,4),"T=",AU680,"D=",AV680,"R=",AW680,"M=",AX680,"L=",AY680,"B=",AZ680)</f>
        <v>TESORIERO T=40D=11R=0M=2L=5B=1</v>
      </c>
      <c r="G680" s="0" t="s">
        <v>164</v>
      </c>
      <c r="I680" s="0" t="s">
        <v>3499</v>
      </c>
      <c r="J680" s="0" t="s">
        <v>404</v>
      </c>
      <c r="K680" s="0" t="s">
        <v>160</v>
      </c>
      <c r="L680" s="0" t="s">
        <v>175</v>
      </c>
      <c r="M680" s="0" t="s">
        <v>3497</v>
      </c>
      <c r="N680" s="0" t="str">
        <f aca="false">RIGHT(M680,LEN(M680)-FIND(" ",M680))</f>
        <v>HARRISON ST NE</v>
      </c>
      <c r="P680" s="0" t="s">
        <v>145</v>
      </c>
      <c r="Q680" s="0" t="s">
        <v>146</v>
      </c>
      <c r="R680" s="0" t="n">
        <v>44483</v>
      </c>
      <c r="AD680" s="0" t="s">
        <v>147</v>
      </c>
      <c r="AE680" s="0" t="s">
        <v>148</v>
      </c>
      <c r="AF680" s="0" t="s">
        <v>149</v>
      </c>
      <c r="AH680" s="0" t="n">
        <v>14</v>
      </c>
      <c r="AI680" s="0" t="n">
        <v>11</v>
      </c>
      <c r="AN680" s="0" t="s">
        <v>145</v>
      </c>
      <c r="AO680" s="0" t="s">
        <v>654</v>
      </c>
      <c r="AP680" s="0" t="s">
        <v>655</v>
      </c>
      <c r="AQ680" s="0" t="n">
        <v>9</v>
      </c>
      <c r="AR680" s="0" t="n">
        <v>64</v>
      </c>
      <c r="AS680" s="0" t="n">
        <v>32</v>
      </c>
      <c r="AU680" s="0" t="n">
        <f aca="false">COUNTA($BA$1868:$EH$1868)</f>
        <v>40</v>
      </c>
      <c r="AV680" s="0" t="n">
        <f aca="false">COUNTIF($BA$1868:$EH$1868,"D")</f>
        <v>11</v>
      </c>
      <c r="AW680" s="0" t="n">
        <f aca="false">COUNTIF($BA$1868:$EH$1868,"R")</f>
        <v>0</v>
      </c>
      <c r="AX680" s="0" t="n">
        <f aca="false">IF(BN680="D",1,0)+IF(BO680="D",1,0)+IF(BT680="D",1,0)+IF(BU680="D",1,0)+IF(BW680="D",1,0)+IF(CC680="D",1,0)+IF(CD680="D",1,0)+IF(CE680="D",1,0)+IF(CF680="D",1,0)+IF(CL680="D",1,0)+IF(CM680="D",1,0)+IF(CQ680="D",1,0)+IF(CR680="D",1,0)+IF(CS680="D",1,0)+IF(CW680="D",1,0)+IF(CX680="D",1,0)+IF(DD680="D",1,0)+IF(DE680="D",1,0)+IF(DJ680="D",1,0)+IF(DK680="D",1,0)+IF(DO680="D",1,0)+IF(DP680="D",1,0)+IF(DQ680="D",1,0)+IF(DW680="D",1,0)+IF(DZ680="D",1,0)+IF(EH680="D",1,0)</f>
        <v>2</v>
      </c>
      <c r="AY680" s="0" t="n">
        <f aca="false">COUNTIF(DU680:EH680, "&lt;&gt;")</f>
        <v>5</v>
      </c>
      <c r="AZ680" s="0" t="n">
        <f aca="false">IF(EH680&lt;&gt;"",1,0)</f>
        <v>1</v>
      </c>
      <c r="BB680" s="0" t="s">
        <v>152</v>
      </c>
      <c r="CY680" s="0" t="s">
        <v>153</v>
      </c>
      <c r="DC680" s="0" t="s">
        <v>153</v>
      </c>
      <c r="DN680" s="0" t="s">
        <v>153</v>
      </c>
      <c r="DU680" s="0" t="s">
        <v>153</v>
      </c>
      <c r="DW680" s="0" t="s">
        <v>175</v>
      </c>
      <c r="EA680" s="0" t="s">
        <v>153</v>
      </c>
      <c r="EF680" s="0" t="s">
        <v>153</v>
      </c>
      <c r="EH680" s="0" t="s">
        <v>175</v>
      </c>
    </row>
    <row r="681" customFormat="false" ht="13.8" hidden="true" customHeight="false" outlineLevel="0" collapsed="false">
      <c r="A681" s="0" t="s">
        <v>3500</v>
      </c>
      <c r="B681" s="0" t="n">
        <v>78</v>
      </c>
      <c r="C681" s="0" t="n">
        <v>136287</v>
      </c>
      <c r="D681" s="0" t="s">
        <v>3501</v>
      </c>
      <c r="E681" s="0" t="s">
        <v>3502</v>
      </c>
      <c r="F681" s="0" t="str">
        <f aca="false">CONCATENATE(D681," ",LEFT(H681,4),"T=",AU681,"D=",AV681,"R=",AW681,"M=",AX681,"L=",AY681,"B=",AZ681)</f>
        <v>GENTIS T=1D=0R=0M=1L=1B=0</v>
      </c>
      <c r="I681" s="0" t="s">
        <v>3503</v>
      </c>
      <c r="J681" s="0" t="s">
        <v>3504</v>
      </c>
      <c r="K681" s="0" t="s">
        <v>160</v>
      </c>
      <c r="M681" s="0" t="s">
        <v>3505</v>
      </c>
      <c r="N681" s="0" t="str">
        <f aca="false">RIGHT(M681,LEN(M681)-FIND(" ",M681))</f>
        <v>HARRISON ST NE</v>
      </c>
      <c r="P681" s="0" t="s">
        <v>145</v>
      </c>
      <c r="Q681" s="0" t="s">
        <v>146</v>
      </c>
      <c r="R681" s="0" t="n">
        <v>44483</v>
      </c>
      <c r="AD681" s="0" t="s">
        <v>147</v>
      </c>
      <c r="AE681" s="0" t="s">
        <v>148</v>
      </c>
      <c r="AF681" s="0" t="s">
        <v>149</v>
      </c>
      <c r="AH681" s="0" t="n">
        <v>14</v>
      </c>
      <c r="AI681" s="0" t="n">
        <v>11</v>
      </c>
      <c r="AN681" s="0" t="s">
        <v>145</v>
      </c>
      <c r="AO681" s="0" t="s">
        <v>654</v>
      </c>
      <c r="AP681" s="0" t="s">
        <v>655</v>
      </c>
      <c r="AQ681" s="0" t="n">
        <v>9</v>
      </c>
      <c r="AR681" s="0" t="n">
        <v>64</v>
      </c>
      <c r="AS681" s="0" t="n">
        <v>32</v>
      </c>
      <c r="AU681" s="0" t="n">
        <f aca="false">COUNTA($BA$1447:$EH$1447)</f>
        <v>1</v>
      </c>
      <c r="AV681" s="0" t="n">
        <f aca="false">COUNTIF($BA$1447:$EH$1447,"D")</f>
        <v>0</v>
      </c>
      <c r="AW681" s="0" t="n">
        <f aca="false">COUNTIF($BA$1447:$EH$1447,"R")</f>
        <v>0</v>
      </c>
      <c r="AX681" s="0" t="n">
        <f aca="false">IF(BN681="D",1,0)+IF(BO681="D",1,0)+IF(BT681="D",1,0)+IF(BU681="D",1,0)+IF(BW681="D",1,0)+IF(CC681="D",1,0)+IF(CD681="D",1,0)+IF(CE681="D",1,0)+IF(CF681="D",1,0)+IF(CL681="D",1,0)+IF(CM681="D",1,0)+IF(CQ681="D",1,0)+IF(CR681="D",1,0)+IF(CS681="D",1,0)+IF(CW681="D",1,0)+IF(CX681="D",1,0)+IF(DD681="D",1,0)+IF(DE681="D",1,0)+IF(DJ681="D",1,0)+IF(DK681="D",1,0)+IF(DO681="D",1,0)+IF(DP681="D",1,0)+IF(DQ681="D",1,0)+IF(DW681="D",1,0)+IF(DZ681="D",1,0)+IF(EH681="D",1,0)</f>
        <v>1</v>
      </c>
      <c r="AY681" s="0" t="n">
        <f aca="false">COUNTIF(DU681:EH681, "&lt;&gt;")</f>
        <v>1</v>
      </c>
      <c r="AZ681" s="0" t="n">
        <f aca="false">IF(EH681&lt;&gt;"",1,0)</f>
        <v>0</v>
      </c>
      <c r="BB681" s="0" t="s">
        <v>152</v>
      </c>
      <c r="BC681" s="0" t="s">
        <v>153</v>
      </c>
      <c r="BG681" s="0" t="s">
        <v>153</v>
      </c>
      <c r="BH681" s="0" t="s">
        <v>153</v>
      </c>
      <c r="BI681" s="0" t="s">
        <v>153</v>
      </c>
      <c r="BJ681" s="0" t="s">
        <v>153</v>
      </c>
      <c r="BK681" s="0" t="s">
        <v>153</v>
      </c>
      <c r="BL681" s="0" t="s">
        <v>153</v>
      </c>
      <c r="BP681" s="0" t="s">
        <v>153</v>
      </c>
      <c r="BS681" s="0" t="s">
        <v>153</v>
      </c>
      <c r="BY681" s="0" t="s">
        <v>175</v>
      </c>
      <c r="CA681" s="0" t="s">
        <v>153</v>
      </c>
      <c r="CL681" s="0" t="s">
        <v>175</v>
      </c>
      <c r="CN681" s="0" t="s">
        <v>153</v>
      </c>
      <c r="CU681" s="0" t="s">
        <v>175</v>
      </c>
      <c r="DC681" s="0" t="s">
        <v>153</v>
      </c>
      <c r="DN681" s="0" t="s">
        <v>153</v>
      </c>
      <c r="EF681" s="0" t="s">
        <v>153</v>
      </c>
    </row>
    <row r="682" customFormat="false" ht="13.8" hidden="false" customHeight="false" outlineLevel="0" collapsed="false">
      <c r="A682" s="0" t="s">
        <v>3506</v>
      </c>
      <c r="B682" s="0" t="n">
        <v>78</v>
      </c>
      <c r="C682" s="0" t="n">
        <v>495258</v>
      </c>
      <c r="D682" s="0" t="s">
        <v>3501</v>
      </c>
      <c r="E682" s="0" t="s">
        <v>2228</v>
      </c>
      <c r="F682" s="0" t="str">
        <f aca="false">CONCATENATE(D682," ",LEFT(H682,4),"T=",AU682,"D=",AV682,"R=",AW682,"M=",AX682,"L=",AY682,"B=",AZ682)</f>
        <v>GENTIS T=2D=0R=0M=0L=3B=0</v>
      </c>
      <c r="G682" s="0" t="s">
        <v>362</v>
      </c>
      <c r="I682" s="0" t="s">
        <v>3507</v>
      </c>
      <c r="J682" s="0" t="s">
        <v>3508</v>
      </c>
      <c r="K682" s="0" t="s">
        <v>160</v>
      </c>
      <c r="M682" s="0" t="s">
        <v>3505</v>
      </c>
      <c r="N682" s="0" t="str">
        <f aca="false">RIGHT(M682,LEN(M682)-FIND(" ",M682))</f>
        <v>HARRISON ST NE</v>
      </c>
      <c r="P682" s="0" t="s">
        <v>145</v>
      </c>
      <c r="Q682" s="0" t="s">
        <v>146</v>
      </c>
      <c r="R682" s="0" t="n">
        <v>44483</v>
      </c>
      <c r="AD682" s="0" t="s">
        <v>147</v>
      </c>
      <c r="AE682" s="0" t="s">
        <v>148</v>
      </c>
      <c r="AF682" s="0" t="s">
        <v>149</v>
      </c>
      <c r="AH682" s="0" t="n">
        <v>14</v>
      </c>
      <c r="AI682" s="0" t="n">
        <v>11</v>
      </c>
      <c r="AN682" s="0" t="s">
        <v>145</v>
      </c>
      <c r="AO682" s="0" t="s">
        <v>654</v>
      </c>
      <c r="AP682" s="0" t="s">
        <v>655</v>
      </c>
      <c r="AQ682" s="0" t="n">
        <v>9</v>
      </c>
      <c r="AR682" s="0" t="n">
        <v>64</v>
      </c>
      <c r="AS682" s="0" t="n">
        <v>32</v>
      </c>
      <c r="AU682" s="0" t="n">
        <f aca="false">COUNTA($BA$1463:$EH$1463)</f>
        <v>2</v>
      </c>
      <c r="AV682" s="0" t="n">
        <f aca="false">COUNTIF($BA$1463:$EH$1463,"D")</f>
        <v>0</v>
      </c>
      <c r="AW682" s="0" t="n">
        <f aca="false">COUNTIF($BA$1463:$EH$1463,"R")</f>
        <v>0</v>
      </c>
      <c r="AX682" s="0" t="n">
        <f aca="false">IF(BN682="D",1,0)+IF(BO682="D",1,0)+IF(BT682="D",1,0)+IF(BU682="D",1,0)+IF(BW682="D",1,0)+IF(CC682="D",1,0)+IF(CD682="D",1,0)+IF(CE682="D",1,0)+IF(CF682="D",1,0)+IF(CL682="D",1,0)+IF(CM682="D",1,0)+IF(CQ682="D",1,0)+IF(CR682="D",1,0)+IF(CS682="D",1,0)+IF(CW682="D",1,0)+IF(CX682="D",1,0)+IF(DD682="D",1,0)+IF(DE682="D",1,0)+IF(DJ682="D",1,0)+IF(DK682="D",1,0)+IF(DO682="D",1,0)+IF(DP682="D",1,0)+IF(DQ682="D",1,0)+IF(DW682="D",1,0)+IF(DZ682="D",1,0)+IF(EH682="D",1,0)</f>
        <v>0</v>
      </c>
      <c r="AY682" s="0" t="n">
        <f aca="false">COUNTIF(DU682:EH682, "&lt;&gt;")</f>
        <v>3</v>
      </c>
      <c r="AZ682" s="0" t="n">
        <f aca="false">IF(EH682&lt;&gt;"",1,0)</f>
        <v>0</v>
      </c>
      <c r="BB682" s="0" t="s">
        <v>152</v>
      </c>
      <c r="BY682" s="0" t="s">
        <v>175</v>
      </c>
      <c r="CA682" s="0" t="s">
        <v>153</v>
      </c>
      <c r="CG682" s="0" t="s">
        <v>153</v>
      </c>
      <c r="CO682" s="0" t="s">
        <v>209</v>
      </c>
      <c r="CP682" s="0" t="s">
        <v>153</v>
      </c>
      <c r="CT682" s="0" t="s">
        <v>153</v>
      </c>
      <c r="CY682" s="0" t="s">
        <v>153</v>
      </c>
      <c r="CZ682" s="0" t="s">
        <v>209</v>
      </c>
      <c r="DC682" s="0" t="s">
        <v>153</v>
      </c>
      <c r="DF682" s="0" t="s">
        <v>153</v>
      </c>
      <c r="DG682" s="0" t="s">
        <v>209</v>
      </c>
      <c r="DL682" s="0" t="s">
        <v>153</v>
      </c>
      <c r="DN682" s="0" t="s">
        <v>153</v>
      </c>
      <c r="DX682" s="0" t="s">
        <v>153</v>
      </c>
      <c r="EA682" s="0" t="s">
        <v>153</v>
      </c>
      <c r="EF682" s="0" t="s">
        <v>153</v>
      </c>
    </row>
    <row r="683" customFormat="false" ht="13.8" hidden="false" customHeight="false" outlineLevel="0" collapsed="false">
      <c r="A683" s="0" t="s">
        <v>3509</v>
      </c>
      <c r="B683" s="0" t="n">
        <v>78</v>
      </c>
      <c r="C683" s="0" t="n">
        <v>459557</v>
      </c>
      <c r="D683" s="0" t="s">
        <v>3510</v>
      </c>
      <c r="E683" s="0" t="s">
        <v>3511</v>
      </c>
      <c r="F683" s="0" t="str">
        <f aca="false">CONCATENATE(D683," ",LEFT(H683,4),"T=",AU683,"D=",AV683,"R=",AW683,"M=",AX683,"L=",AY683,"B=",AZ683)</f>
        <v>HAINES JRT=6D=0R=0M=0L=2B=0</v>
      </c>
      <c r="G683" s="0" t="s">
        <v>193</v>
      </c>
      <c r="H683" s="0" t="s">
        <v>314</v>
      </c>
      <c r="I683" s="0" t="s">
        <v>3512</v>
      </c>
      <c r="J683" s="0" t="s">
        <v>3513</v>
      </c>
      <c r="K683" s="0" t="s">
        <v>160</v>
      </c>
      <c r="M683" s="0" t="s">
        <v>3514</v>
      </c>
      <c r="N683" s="0" t="str">
        <f aca="false">RIGHT(M683,LEN(M683)-FIND(" ",M683))</f>
        <v>HARRISON ST NE</v>
      </c>
      <c r="P683" s="0" t="s">
        <v>145</v>
      </c>
      <c r="Q683" s="0" t="s">
        <v>146</v>
      </c>
      <c r="R683" s="0" t="n">
        <v>44483</v>
      </c>
      <c r="AD683" s="0" t="s">
        <v>147</v>
      </c>
      <c r="AE683" s="0" t="s">
        <v>148</v>
      </c>
      <c r="AF683" s="0" t="s">
        <v>149</v>
      </c>
      <c r="AH683" s="0" t="n">
        <v>14</v>
      </c>
      <c r="AI683" s="0" t="n">
        <v>11</v>
      </c>
      <c r="AN683" s="0" t="s">
        <v>145</v>
      </c>
      <c r="AO683" s="0" t="s">
        <v>654</v>
      </c>
      <c r="AP683" s="0" t="s">
        <v>655</v>
      </c>
      <c r="AQ683" s="0" t="n">
        <v>9</v>
      </c>
      <c r="AR683" s="0" t="n">
        <v>64</v>
      </c>
      <c r="AS683" s="0" t="n">
        <v>32</v>
      </c>
      <c r="AU683" s="0" t="n">
        <f aca="false">COUNTA($BA$1671:$EH$1671)</f>
        <v>6</v>
      </c>
      <c r="AV683" s="0" t="n">
        <f aca="false">COUNTIF($BA$1671:$EH$1671,"D")</f>
        <v>0</v>
      </c>
      <c r="AW683" s="0" t="n">
        <f aca="false">COUNTIF($BA$1671:$EH$1671,"R")</f>
        <v>0</v>
      </c>
      <c r="AX683" s="0" t="n">
        <f aca="false">IF(BN683="D",1,0)+IF(BO683="D",1,0)+IF(BT683="D",1,0)+IF(BU683="D",1,0)+IF(BW683="D",1,0)+IF(CC683="D",1,0)+IF(CD683="D",1,0)+IF(CE683="D",1,0)+IF(CF683="D",1,0)+IF(CL683="D",1,0)+IF(CM683="D",1,0)+IF(CQ683="D",1,0)+IF(CR683="D",1,0)+IF(CS683="D",1,0)+IF(CW683="D",1,0)+IF(CX683="D",1,0)+IF(DD683="D",1,0)+IF(DE683="D",1,0)+IF(DJ683="D",1,0)+IF(DK683="D",1,0)+IF(DO683="D",1,0)+IF(DP683="D",1,0)+IF(DQ683="D",1,0)+IF(DW683="D",1,0)+IF(DZ683="D",1,0)+IF(EH683="D",1,0)</f>
        <v>0</v>
      </c>
      <c r="AY683" s="0" t="n">
        <f aca="false">COUNTIF(DU683:EH683, "&lt;&gt;")</f>
        <v>2</v>
      </c>
      <c r="AZ683" s="0" t="n">
        <f aca="false">IF(EH683&lt;&gt;"",1,0)</f>
        <v>0</v>
      </c>
      <c r="BB683" s="0" t="s">
        <v>152</v>
      </c>
      <c r="DU683" s="0" t="s">
        <v>153</v>
      </c>
      <c r="EF683" s="0" t="s">
        <v>153</v>
      </c>
    </row>
    <row r="684" customFormat="false" ht="13.8" hidden="true" customHeight="false" outlineLevel="0" collapsed="false">
      <c r="A684" s="0" t="s">
        <v>3515</v>
      </c>
      <c r="B684" s="0" t="n">
        <v>78</v>
      </c>
      <c r="C684" s="0" t="n">
        <v>487698</v>
      </c>
      <c r="D684" s="0" t="s">
        <v>1764</v>
      </c>
      <c r="E684" s="0" t="s">
        <v>3516</v>
      </c>
      <c r="F684" s="0" t="str">
        <f aca="false">CONCATENATE(D684," ",LEFT(H684,4),"T=",AU684,"D=",AV684,"R=",AW684,"M=",AX684,"L=",AY684,"B=",AZ684)</f>
        <v>MOORE T=21D=8R=0M=0L=1B=0</v>
      </c>
      <c r="G684" s="0" t="s">
        <v>215</v>
      </c>
      <c r="I684" s="0" t="s">
        <v>3517</v>
      </c>
      <c r="J684" s="0" t="s">
        <v>3518</v>
      </c>
      <c r="K684" s="0" t="s">
        <v>160</v>
      </c>
      <c r="M684" s="0" t="s">
        <v>3519</v>
      </c>
      <c r="N684" s="0" t="str">
        <f aca="false">RIGHT(M684,LEN(M684)-FIND(" ",M684))</f>
        <v>HARRISON ST NE</v>
      </c>
      <c r="P684" s="0" t="s">
        <v>145</v>
      </c>
      <c r="Q684" s="0" t="s">
        <v>146</v>
      </c>
      <c r="R684" s="0" t="n">
        <v>44483</v>
      </c>
      <c r="AD684" s="0" t="s">
        <v>147</v>
      </c>
      <c r="AE684" s="0" t="s">
        <v>148</v>
      </c>
      <c r="AF684" s="0" t="s">
        <v>149</v>
      </c>
      <c r="AH684" s="0" t="n">
        <v>14</v>
      </c>
      <c r="AI684" s="0" t="n">
        <v>11</v>
      </c>
      <c r="AN684" s="0" t="s">
        <v>145</v>
      </c>
      <c r="AO684" s="0" t="s">
        <v>654</v>
      </c>
      <c r="AP684" s="0" t="s">
        <v>655</v>
      </c>
      <c r="AQ684" s="0" t="n">
        <v>9</v>
      </c>
      <c r="AR684" s="0" t="n">
        <v>64</v>
      </c>
      <c r="AS684" s="0" t="n">
        <v>32</v>
      </c>
      <c r="AU684" s="0" t="n">
        <f aca="false">COUNTA($BA$1735:$EH$1735)</f>
        <v>21</v>
      </c>
      <c r="AV684" s="0" t="n">
        <f aca="false">COUNTIF($BA$1735:$EH$1735,"D")</f>
        <v>8</v>
      </c>
      <c r="AW684" s="0" t="n">
        <f aca="false">COUNTIF($BA$1735:$EH$1735,"R")</f>
        <v>0</v>
      </c>
      <c r="AX684" s="0" t="n">
        <f aca="false">IF(BN684="D",1,0)+IF(BO684="D",1,0)+IF(BT684="D",1,0)+IF(BU684="D",1,0)+IF(BW684="D",1,0)+IF(CC684="D",1,0)+IF(CD684="D",1,0)+IF(CE684="D",1,0)+IF(CF684="D",1,0)+IF(CL684="D",1,0)+IF(CM684="D",1,0)+IF(CQ684="D",1,0)+IF(CR684="D",1,0)+IF(CS684="D",1,0)+IF(CW684="D",1,0)+IF(CX684="D",1,0)+IF(DD684="D",1,0)+IF(DE684="D",1,0)+IF(DJ684="D",1,0)+IF(DK684="D",1,0)+IF(DO684="D",1,0)+IF(DP684="D",1,0)+IF(DQ684="D",1,0)+IF(DW684="D",1,0)+IF(DZ684="D",1,0)+IF(EH684="D",1,0)</f>
        <v>0</v>
      </c>
      <c r="AY684" s="0" t="n">
        <f aca="false">COUNTIF(DU684:EH684, "&lt;&gt;")</f>
        <v>1</v>
      </c>
      <c r="AZ684" s="0" t="n">
        <f aca="false">IF(EH684&lt;&gt;"",1,0)</f>
        <v>0</v>
      </c>
      <c r="BB684" s="0" t="s">
        <v>152</v>
      </c>
      <c r="EF684" s="0" t="s">
        <v>153</v>
      </c>
    </row>
    <row r="685" customFormat="false" ht="13.8" hidden="true" customHeight="false" outlineLevel="0" collapsed="false">
      <c r="A685" s="0" t="s">
        <v>3520</v>
      </c>
      <c r="B685" s="0" t="n">
        <v>78</v>
      </c>
      <c r="C685" s="0" t="n">
        <v>244342</v>
      </c>
      <c r="D685" s="0" t="s">
        <v>1764</v>
      </c>
      <c r="E685" s="0" t="s">
        <v>3521</v>
      </c>
      <c r="F685" s="0" t="str">
        <f aca="false">CONCATENATE(D685," ",LEFT(H685,4),"T=",AU685,"D=",AV685,"R=",AW685,"M=",AX685,"L=",AY685,"B=",AZ685)</f>
        <v>MOORE T=1D=0R=0M=0L=1B=0</v>
      </c>
      <c r="G685" s="0" t="s">
        <v>215</v>
      </c>
      <c r="I685" s="0" t="s">
        <v>3522</v>
      </c>
      <c r="J685" s="0" t="s">
        <v>204</v>
      </c>
      <c r="K685" s="0" t="s">
        <v>160</v>
      </c>
      <c r="M685" s="0" t="s">
        <v>3519</v>
      </c>
      <c r="N685" s="0" t="str">
        <f aca="false">RIGHT(M685,LEN(M685)-FIND(" ",M685))</f>
        <v>HARRISON ST NE</v>
      </c>
      <c r="P685" s="0" t="s">
        <v>145</v>
      </c>
      <c r="Q685" s="0" t="s">
        <v>146</v>
      </c>
      <c r="R685" s="0" t="n">
        <v>44483</v>
      </c>
      <c r="AD685" s="0" t="s">
        <v>147</v>
      </c>
      <c r="AE685" s="0" t="s">
        <v>148</v>
      </c>
      <c r="AF685" s="0" t="s">
        <v>149</v>
      </c>
      <c r="AH685" s="0" t="n">
        <v>14</v>
      </c>
      <c r="AI685" s="0" t="n">
        <v>11</v>
      </c>
      <c r="AN685" s="0" t="s">
        <v>145</v>
      </c>
      <c r="AO685" s="0" t="s">
        <v>654</v>
      </c>
      <c r="AP685" s="0" t="s">
        <v>655</v>
      </c>
      <c r="AQ685" s="0" t="n">
        <v>9</v>
      </c>
      <c r="AR685" s="0" t="n">
        <v>64</v>
      </c>
      <c r="AS685" s="0" t="n">
        <v>32</v>
      </c>
      <c r="AU685" s="0" t="n">
        <f aca="false">COUNTA($BA$1751:$EH$1751)</f>
        <v>1</v>
      </c>
      <c r="AV685" s="0" t="n">
        <f aca="false">COUNTIF($BA$1751:$EH$1751,"D")</f>
        <v>0</v>
      </c>
      <c r="AW685" s="0" t="n">
        <f aca="false">COUNTIF($BA$1751:$EH$1751,"R")</f>
        <v>0</v>
      </c>
      <c r="AX685" s="0" t="n">
        <f aca="false">IF(BN685="D",1,0)+IF(BO685="D",1,0)+IF(BT685="D",1,0)+IF(BU685="D",1,0)+IF(BW685="D",1,0)+IF(CC685="D",1,0)+IF(CD685="D",1,0)+IF(CE685="D",1,0)+IF(CF685="D",1,0)+IF(CL685="D",1,0)+IF(CM685="D",1,0)+IF(CQ685="D",1,0)+IF(CR685="D",1,0)+IF(CS685="D",1,0)+IF(CW685="D",1,0)+IF(CX685="D",1,0)+IF(DD685="D",1,0)+IF(DE685="D",1,0)+IF(DJ685="D",1,0)+IF(DK685="D",1,0)+IF(DO685="D",1,0)+IF(DP685="D",1,0)+IF(DQ685="D",1,0)+IF(DW685="D",1,0)+IF(DZ685="D",1,0)+IF(EH685="D",1,0)</f>
        <v>0</v>
      </c>
      <c r="AY685" s="0" t="n">
        <f aca="false">COUNTIF(DU685:EH685, "&lt;&gt;")</f>
        <v>1</v>
      </c>
      <c r="AZ685" s="0" t="n">
        <f aca="false">IF(EH685&lt;&gt;"",1,0)</f>
        <v>0</v>
      </c>
      <c r="BB685" s="0" t="s">
        <v>152</v>
      </c>
      <c r="BD685" s="0" t="s">
        <v>153</v>
      </c>
      <c r="DN685" s="0" t="s">
        <v>153</v>
      </c>
      <c r="EF685" s="0" t="s">
        <v>153</v>
      </c>
    </row>
    <row r="686" customFormat="false" ht="13.8" hidden="true" customHeight="false" outlineLevel="0" collapsed="false">
      <c r="A686" s="0" t="s">
        <v>3523</v>
      </c>
      <c r="B686" s="0" t="n">
        <v>78</v>
      </c>
      <c r="C686" s="0" t="n">
        <v>424529</v>
      </c>
      <c r="D686" s="0" t="s">
        <v>1764</v>
      </c>
      <c r="E686" s="0" t="s">
        <v>3524</v>
      </c>
      <c r="F686" s="0" t="str">
        <f aca="false">CONCATENATE(D686," ",LEFT(H686,4),"T=",AU686,"D=",AV686,"R=",AW686,"M=",AX686,"L=",AY686,"B=",AZ686)</f>
        <v>MOORE T=44D=11R=0M=0L=1B=0</v>
      </c>
      <c r="G686" s="0" t="s">
        <v>190</v>
      </c>
      <c r="I686" s="0" t="s">
        <v>3525</v>
      </c>
      <c r="J686" s="0" t="s">
        <v>3526</v>
      </c>
      <c r="K686" s="0" t="s">
        <v>160</v>
      </c>
      <c r="M686" s="0" t="s">
        <v>3519</v>
      </c>
      <c r="N686" s="0" t="str">
        <f aca="false">RIGHT(M686,LEN(M686)-FIND(" ",M686))</f>
        <v>HARRISON ST NE</v>
      </c>
      <c r="P686" s="0" t="s">
        <v>145</v>
      </c>
      <c r="Q686" s="0" t="s">
        <v>146</v>
      </c>
      <c r="R686" s="0" t="n">
        <v>44483</v>
      </c>
      <c r="AD686" s="0" t="s">
        <v>147</v>
      </c>
      <c r="AE686" s="0" t="s">
        <v>148</v>
      </c>
      <c r="AF686" s="0" t="s">
        <v>149</v>
      </c>
      <c r="AH686" s="0" t="n">
        <v>14</v>
      </c>
      <c r="AI686" s="0" t="n">
        <v>11</v>
      </c>
      <c r="AN686" s="0" t="s">
        <v>145</v>
      </c>
      <c r="AO686" s="0" t="s">
        <v>654</v>
      </c>
      <c r="AP686" s="0" t="s">
        <v>655</v>
      </c>
      <c r="AQ686" s="0" t="n">
        <v>9</v>
      </c>
      <c r="AR686" s="0" t="n">
        <v>64</v>
      </c>
      <c r="AS686" s="0" t="n">
        <v>32</v>
      </c>
      <c r="AU686" s="0" t="n">
        <f aca="false">COUNTA($BA$2017:$EH$2017)</f>
        <v>44</v>
      </c>
      <c r="AV686" s="0" t="n">
        <f aca="false">COUNTIF($BA$2017:$EH$2017,"D")</f>
        <v>11</v>
      </c>
      <c r="AW686" s="0" t="n">
        <f aca="false">COUNTIF($BA$2017:$EH$2017,"R")</f>
        <v>0</v>
      </c>
      <c r="AX686" s="0" t="n">
        <f aca="false">IF(BN686="D",1,0)+IF(BO686="D",1,0)+IF(BT686="D",1,0)+IF(BU686="D",1,0)+IF(BW686="D",1,0)+IF(CC686="D",1,0)+IF(CD686="D",1,0)+IF(CE686="D",1,0)+IF(CF686="D",1,0)+IF(CL686="D",1,0)+IF(CM686="D",1,0)+IF(CQ686="D",1,0)+IF(CR686="D",1,0)+IF(CS686="D",1,0)+IF(CW686="D",1,0)+IF(CX686="D",1,0)+IF(DD686="D",1,0)+IF(DE686="D",1,0)+IF(DJ686="D",1,0)+IF(DK686="D",1,0)+IF(DO686="D",1,0)+IF(DP686="D",1,0)+IF(DQ686="D",1,0)+IF(DW686="D",1,0)+IF(DZ686="D",1,0)+IF(EH686="D",1,0)</f>
        <v>0</v>
      </c>
      <c r="AY686" s="0" t="n">
        <f aca="false">COUNTIF(DU686:EH686, "&lt;&gt;")</f>
        <v>1</v>
      </c>
      <c r="AZ686" s="0" t="n">
        <f aca="false">IF(EH686&lt;&gt;"",1,0)</f>
        <v>0</v>
      </c>
      <c r="BB686" s="0" t="s">
        <v>152</v>
      </c>
      <c r="DN686" s="0" t="s">
        <v>153</v>
      </c>
      <c r="EF686" s="0" t="s">
        <v>153</v>
      </c>
    </row>
    <row r="687" customFormat="false" ht="13.8" hidden="false" customHeight="false" outlineLevel="0" collapsed="false">
      <c r="A687" s="0" t="s">
        <v>3527</v>
      </c>
      <c r="B687" s="0" t="n">
        <v>78</v>
      </c>
      <c r="C687" s="0" t="n">
        <v>213650</v>
      </c>
      <c r="D687" s="0" t="s">
        <v>3528</v>
      </c>
      <c r="E687" s="0" t="s">
        <v>1158</v>
      </c>
      <c r="F687" s="0" t="str">
        <f aca="false">CONCATENATE(D687," ",LEFT(H687,4),"T=",AU687,"D=",AV687,"R=",AW687,"M=",AX687,"L=",AY687,"B=",AZ687)</f>
        <v>WISSINGER T=1D=0R=0M=3L=5B=0</v>
      </c>
      <c r="G687" s="0" t="s">
        <v>195</v>
      </c>
      <c r="I687" s="0" t="s">
        <v>3529</v>
      </c>
      <c r="J687" s="0" t="s">
        <v>3530</v>
      </c>
      <c r="K687" s="0" t="s">
        <v>160</v>
      </c>
      <c r="L687" s="0" t="s">
        <v>175</v>
      </c>
      <c r="M687" s="0" t="s">
        <v>3531</v>
      </c>
      <c r="N687" s="0" t="str">
        <f aca="false">RIGHT(M687,LEN(M687)-FIND(" ",M687))</f>
        <v>HARRISON ST NE</v>
      </c>
      <c r="P687" s="0" t="s">
        <v>145</v>
      </c>
      <c r="Q687" s="0" t="s">
        <v>146</v>
      </c>
      <c r="R687" s="0" t="n">
        <v>44483</v>
      </c>
      <c r="AD687" s="0" t="s">
        <v>147</v>
      </c>
      <c r="AE687" s="0" t="s">
        <v>148</v>
      </c>
      <c r="AF687" s="0" t="s">
        <v>149</v>
      </c>
      <c r="AH687" s="0" t="n">
        <v>14</v>
      </c>
      <c r="AI687" s="0" t="n">
        <v>11</v>
      </c>
      <c r="AN687" s="0" t="s">
        <v>145</v>
      </c>
      <c r="AO687" s="0" t="s">
        <v>654</v>
      </c>
      <c r="AP687" s="0" t="s">
        <v>655</v>
      </c>
      <c r="AQ687" s="0" t="n">
        <v>9</v>
      </c>
      <c r="AR687" s="0" t="n">
        <v>64</v>
      </c>
      <c r="AS687" s="0" t="n">
        <v>32</v>
      </c>
      <c r="AU687" s="0" t="n">
        <f aca="false">COUNTA($BA$1499:$EH$1499)</f>
        <v>1</v>
      </c>
      <c r="AV687" s="0" t="n">
        <f aca="false">COUNTIF($BA$1499:$EH$1499,"D")</f>
        <v>0</v>
      </c>
      <c r="AW687" s="0" t="n">
        <f aca="false">COUNTIF($BA$1499:$EH$1499,"R")</f>
        <v>0</v>
      </c>
      <c r="AX687" s="0" t="n">
        <f aca="false">IF(BN687="D",1,0)+IF(BO687="D",1,0)+IF(BT687="D",1,0)+IF(BU687="D",1,0)+IF(BW687="D",1,0)+IF(CC687="D",1,0)+IF(CD687="D",1,0)+IF(CE687="D",1,0)+IF(CF687="D",1,0)+IF(CL687="D",1,0)+IF(CM687="D",1,0)+IF(CQ687="D",1,0)+IF(CR687="D",1,0)+IF(CS687="D",1,0)+IF(CW687="D",1,0)+IF(CX687="D",1,0)+IF(DD687="D",1,0)+IF(DE687="D",1,0)+IF(DJ687="D",1,0)+IF(DK687="D",1,0)+IF(DO687="D",1,0)+IF(DP687="D",1,0)+IF(DQ687="D",1,0)+IF(DW687="D",1,0)+IF(DZ687="D",1,0)+IF(EH687="D",1,0)</f>
        <v>3</v>
      </c>
      <c r="AY687" s="0" t="n">
        <f aca="false">COUNTIF(DU687:EH687, "&lt;&gt;")</f>
        <v>5</v>
      </c>
      <c r="AZ687" s="0" t="n">
        <f aca="false">IF(EH687&lt;&gt;"",1,0)</f>
        <v>0</v>
      </c>
      <c r="BB687" s="0" t="s">
        <v>152</v>
      </c>
      <c r="BC687" s="0" t="s">
        <v>153</v>
      </c>
      <c r="BD687" s="0" t="s">
        <v>153</v>
      </c>
      <c r="BE687" s="0" t="s">
        <v>153</v>
      </c>
      <c r="BF687" s="0" t="s">
        <v>153</v>
      </c>
      <c r="BH687" s="0" t="s">
        <v>153</v>
      </c>
      <c r="BI687" s="0" t="s">
        <v>153</v>
      </c>
      <c r="BJ687" s="0" t="s">
        <v>153</v>
      </c>
      <c r="BK687" s="0" t="s">
        <v>153</v>
      </c>
      <c r="BL687" s="0" t="s">
        <v>153</v>
      </c>
      <c r="BP687" s="0" t="s">
        <v>153</v>
      </c>
      <c r="BS687" s="0" t="s">
        <v>153</v>
      </c>
      <c r="BV687" s="0" t="s">
        <v>153</v>
      </c>
      <c r="BY687" s="0" t="s">
        <v>175</v>
      </c>
      <c r="CA687" s="0" t="s">
        <v>153</v>
      </c>
      <c r="CG687" s="0" t="s">
        <v>153</v>
      </c>
      <c r="CK687" s="0" t="s">
        <v>153</v>
      </c>
      <c r="CL687" s="0" t="s">
        <v>175</v>
      </c>
      <c r="CN687" s="0" t="s">
        <v>153</v>
      </c>
      <c r="CP687" s="0" t="s">
        <v>153</v>
      </c>
      <c r="CV687" s="0" t="s">
        <v>153</v>
      </c>
      <c r="CW687" s="0" t="s">
        <v>175</v>
      </c>
      <c r="CY687" s="0" t="s">
        <v>153</v>
      </c>
      <c r="CZ687" s="0" t="s">
        <v>209</v>
      </c>
      <c r="DC687" s="0" t="s">
        <v>153</v>
      </c>
      <c r="DI687" s="0" t="s">
        <v>153</v>
      </c>
      <c r="DJ687" s="0" t="s">
        <v>175</v>
      </c>
      <c r="DL687" s="0" t="s">
        <v>153</v>
      </c>
      <c r="DM687" s="0" t="s">
        <v>175</v>
      </c>
      <c r="DN687" s="0" t="s">
        <v>153</v>
      </c>
      <c r="DU687" s="0" t="s">
        <v>153</v>
      </c>
      <c r="DX687" s="0" t="s">
        <v>153</v>
      </c>
      <c r="EA687" s="0" t="s">
        <v>153</v>
      </c>
      <c r="ED687" s="0" t="s">
        <v>175</v>
      </c>
      <c r="EF687" s="0" t="s">
        <v>153</v>
      </c>
    </row>
    <row r="688" customFormat="false" ht="13.8" hidden="false" customHeight="false" outlineLevel="0" collapsed="false">
      <c r="A688" s="0" t="s">
        <v>3532</v>
      </c>
      <c r="B688" s="0" t="n">
        <v>78</v>
      </c>
      <c r="C688" s="0" t="n">
        <v>280325</v>
      </c>
      <c r="D688" s="0" t="s">
        <v>3528</v>
      </c>
      <c r="E688" s="0" t="s">
        <v>274</v>
      </c>
      <c r="F688" s="0" t="str">
        <f aca="false">CONCATENATE(D688," ",LEFT(H688,4),"T=",AU688,"D=",AV688,"R=",AW688,"M=",AX688,"L=",AY688,"B=",AZ688)</f>
        <v>WISSINGER T=9D=1R=1M=5L=5B=0</v>
      </c>
      <c r="G688" s="0" t="s">
        <v>268</v>
      </c>
      <c r="I688" s="0" t="s">
        <v>3533</v>
      </c>
      <c r="J688" s="0" t="s">
        <v>1336</v>
      </c>
      <c r="K688" s="0" t="s">
        <v>160</v>
      </c>
      <c r="L688" s="0" t="s">
        <v>175</v>
      </c>
      <c r="M688" s="0" t="s">
        <v>3531</v>
      </c>
      <c r="N688" s="0" t="str">
        <f aca="false">RIGHT(M688,LEN(M688)-FIND(" ",M688))</f>
        <v>HARRISON ST NE</v>
      </c>
      <c r="P688" s="0" t="s">
        <v>145</v>
      </c>
      <c r="Q688" s="0" t="s">
        <v>146</v>
      </c>
      <c r="R688" s="0" t="n">
        <v>44483</v>
      </c>
      <c r="AD688" s="0" t="s">
        <v>147</v>
      </c>
      <c r="AE688" s="0" t="s">
        <v>148</v>
      </c>
      <c r="AF688" s="0" t="s">
        <v>149</v>
      </c>
      <c r="AH688" s="0" t="n">
        <v>14</v>
      </c>
      <c r="AI688" s="0" t="n">
        <v>11</v>
      </c>
      <c r="AN688" s="0" t="s">
        <v>145</v>
      </c>
      <c r="AO688" s="0" t="s">
        <v>654</v>
      </c>
      <c r="AP688" s="0" t="s">
        <v>655</v>
      </c>
      <c r="AQ688" s="0" t="n">
        <v>9</v>
      </c>
      <c r="AR688" s="0" t="n">
        <v>64</v>
      </c>
      <c r="AS688" s="0" t="n">
        <v>32</v>
      </c>
      <c r="AU688" s="0" t="n">
        <f aca="false">COUNTA($BA$1502:$EH$1502)</f>
        <v>9</v>
      </c>
      <c r="AV688" s="0" t="n">
        <f aca="false">COUNTIF($BA$1502:$EH$1502,"D")</f>
        <v>1</v>
      </c>
      <c r="AW688" s="0" t="n">
        <f aca="false">COUNTIF($BA$1502:$EH$1502,"R")</f>
        <v>1</v>
      </c>
      <c r="AX688" s="0" t="n">
        <f aca="false">IF(BN688="D",1,0)+IF(BO688="D",1,0)+IF(BT688="D",1,0)+IF(BU688="D",1,0)+IF(BW688="D",1,0)+IF(CC688="D",1,0)+IF(CD688="D",1,0)+IF(CE688="D",1,0)+IF(CF688="D",1,0)+IF(CL688="D",1,0)+IF(CM688="D",1,0)+IF(CQ688="D",1,0)+IF(CR688="D",1,0)+IF(CS688="D",1,0)+IF(CW688="D",1,0)+IF(CX688="D",1,0)+IF(DD688="D",1,0)+IF(DE688="D",1,0)+IF(DJ688="D",1,0)+IF(DK688="D",1,0)+IF(DO688="D",1,0)+IF(DP688="D",1,0)+IF(DQ688="D",1,0)+IF(DW688="D",1,0)+IF(DZ688="D",1,0)+IF(EH688="D",1,0)</f>
        <v>5</v>
      </c>
      <c r="AY688" s="0" t="n">
        <f aca="false">COUNTIF(DU688:EH688, "&lt;&gt;")</f>
        <v>5</v>
      </c>
      <c r="AZ688" s="0" t="n">
        <f aca="false">IF(EH688&lt;&gt;"",1,0)</f>
        <v>0</v>
      </c>
      <c r="BB688" s="0" t="s">
        <v>152</v>
      </c>
      <c r="BC688" s="0" t="s">
        <v>153</v>
      </c>
      <c r="BD688" s="0" t="s">
        <v>153</v>
      </c>
      <c r="BK688" s="0" t="s">
        <v>153</v>
      </c>
      <c r="BL688" s="0" t="s">
        <v>153</v>
      </c>
      <c r="BS688" s="0" t="s">
        <v>153</v>
      </c>
      <c r="BY688" s="0" t="s">
        <v>175</v>
      </c>
      <c r="CA688" s="0" t="s">
        <v>153</v>
      </c>
      <c r="CG688" s="0" t="s">
        <v>153</v>
      </c>
      <c r="CK688" s="0" t="s">
        <v>153</v>
      </c>
      <c r="CL688" s="0" t="s">
        <v>175</v>
      </c>
      <c r="CN688" s="0" t="s">
        <v>153</v>
      </c>
      <c r="CO688" s="0" t="s">
        <v>209</v>
      </c>
      <c r="CP688" s="0" t="s">
        <v>153</v>
      </c>
      <c r="CV688" s="0" t="s">
        <v>153</v>
      </c>
      <c r="CW688" s="0" t="s">
        <v>175</v>
      </c>
      <c r="CY688" s="0" t="s">
        <v>153</v>
      </c>
      <c r="CZ688" s="0" t="s">
        <v>175</v>
      </c>
      <c r="DC688" s="0" t="s">
        <v>153</v>
      </c>
      <c r="DD688" s="0" t="s">
        <v>175</v>
      </c>
      <c r="DF688" s="0" t="s">
        <v>153</v>
      </c>
      <c r="DI688" s="0" t="s">
        <v>153</v>
      </c>
      <c r="DJ688" s="0" t="s">
        <v>175</v>
      </c>
      <c r="DL688" s="0" t="s">
        <v>153</v>
      </c>
      <c r="DM688" s="0" t="s">
        <v>209</v>
      </c>
      <c r="DN688" s="0" t="s">
        <v>153</v>
      </c>
      <c r="DU688" s="0" t="s">
        <v>153</v>
      </c>
      <c r="DW688" s="0" t="s">
        <v>175</v>
      </c>
      <c r="DX688" s="0" t="s">
        <v>153</v>
      </c>
      <c r="EA688" s="0" t="s">
        <v>153</v>
      </c>
      <c r="EF688" s="0" t="s">
        <v>153</v>
      </c>
    </row>
    <row r="689" customFormat="false" ht="13.8" hidden="true" customHeight="false" outlineLevel="0" collapsed="false">
      <c r="A689" s="0" t="s">
        <v>3534</v>
      </c>
      <c r="B689" s="0" t="n">
        <v>78</v>
      </c>
      <c r="C689" s="0" t="n">
        <v>322443</v>
      </c>
      <c r="D689" s="0" t="s">
        <v>3535</v>
      </c>
      <c r="E689" s="0" t="s">
        <v>3536</v>
      </c>
      <c r="F689" s="0" t="str">
        <f aca="false">CONCATENATE(D689," ",LEFT(H689,4),"T=",AU689,"D=",AV689,"R=",AW689,"M=",AX689,"L=",AY689,"B=",AZ689)</f>
        <v>SHUGART T=2D=0R=0M=0L=1B=0</v>
      </c>
      <c r="G689" s="0" t="s">
        <v>685</v>
      </c>
      <c r="I689" s="0" t="s">
        <v>3537</v>
      </c>
      <c r="J689" s="0" t="s">
        <v>3538</v>
      </c>
      <c r="K689" s="0" t="s">
        <v>160</v>
      </c>
      <c r="M689" s="0" t="s">
        <v>3539</v>
      </c>
      <c r="N689" s="0" t="str">
        <f aca="false">RIGHT(M689,LEN(M689)-FIND(" ",M689))</f>
        <v>HARRISON ST NE</v>
      </c>
      <c r="P689" s="0" t="s">
        <v>145</v>
      </c>
      <c r="Q689" s="0" t="s">
        <v>146</v>
      </c>
      <c r="R689" s="0" t="n">
        <v>44483</v>
      </c>
      <c r="AD689" s="0" t="s">
        <v>147</v>
      </c>
      <c r="AE689" s="0" t="s">
        <v>148</v>
      </c>
      <c r="AF689" s="0" t="s">
        <v>149</v>
      </c>
      <c r="AH689" s="0" t="n">
        <v>14</v>
      </c>
      <c r="AI689" s="0" t="n">
        <v>11</v>
      </c>
      <c r="AN689" s="0" t="s">
        <v>145</v>
      </c>
      <c r="AO689" s="0" t="s">
        <v>654</v>
      </c>
      <c r="AP689" s="0" t="s">
        <v>655</v>
      </c>
      <c r="AQ689" s="0" t="n">
        <v>9</v>
      </c>
      <c r="AR689" s="0" t="n">
        <v>64</v>
      </c>
      <c r="AS689" s="0" t="n">
        <v>32</v>
      </c>
      <c r="AU689" s="0" t="n">
        <f aca="false">COUNTA($BA$1497:$EH$1497)</f>
        <v>2</v>
      </c>
      <c r="AV689" s="0" t="n">
        <f aca="false">COUNTIF($BA$1497:$EH$1497,"D")</f>
        <v>0</v>
      </c>
      <c r="AW689" s="0" t="n">
        <f aca="false">COUNTIF($BA$1497:$EH$1497,"R")</f>
        <v>0</v>
      </c>
      <c r="AX689" s="0" t="n">
        <f aca="false">IF(BN689="D",1,0)+IF(BO689="D",1,0)+IF(BT689="D",1,0)+IF(BU689="D",1,0)+IF(BW689="D",1,0)+IF(CC689="D",1,0)+IF(CD689="D",1,0)+IF(CE689="D",1,0)+IF(CF689="D",1,0)+IF(CL689="D",1,0)+IF(CM689="D",1,0)+IF(CQ689="D",1,0)+IF(CR689="D",1,0)+IF(CS689="D",1,0)+IF(CW689="D",1,0)+IF(CX689="D",1,0)+IF(DD689="D",1,0)+IF(DE689="D",1,0)+IF(DJ689="D",1,0)+IF(DK689="D",1,0)+IF(DO689="D",1,0)+IF(DP689="D",1,0)+IF(DQ689="D",1,0)+IF(DW689="D",1,0)+IF(DZ689="D",1,0)+IF(EH689="D",1,0)</f>
        <v>0</v>
      </c>
      <c r="AY689" s="0" t="n">
        <f aca="false">COUNTIF(DU689:EH689, "&lt;&gt;")</f>
        <v>1</v>
      </c>
      <c r="AZ689" s="0" t="n">
        <f aca="false">IF(EH689&lt;&gt;"",1,0)</f>
        <v>0</v>
      </c>
      <c r="BB689" s="0" t="s">
        <v>152</v>
      </c>
      <c r="BL689" s="0" t="s">
        <v>153</v>
      </c>
      <c r="BY689" s="0" t="s">
        <v>175</v>
      </c>
      <c r="CA689" s="0" t="s">
        <v>153</v>
      </c>
      <c r="CY689" s="0" t="s">
        <v>153</v>
      </c>
      <c r="DN689" s="0" t="s">
        <v>153</v>
      </c>
      <c r="EF689" s="0" t="s">
        <v>153</v>
      </c>
    </row>
    <row r="690" customFormat="false" ht="13.8" hidden="false" customHeight="false" outlineLevel="0" collapsed="false">
      <c r="A690" s="0" t="s">
        <v>3540</v>
      </c>
      <c r="B690" s="0" t="n">
        <v>78</v>
      </c>
      <c r="C690" s="0" t="n">
        <v>426189</v>
      </c>
      <c r="D690" s="0" t="s">
        <v>3541</v>
      </c>
      <c r="E690" s="0" t="s">
        <v>357</v>
      </c>
      <c r="F690" s="0" t="str">
        <f aca="false">CONCATENATE(D690," ",LEFT(H690,4),"T=",AU690,"D=",AV690,"R=",AW690,"M=",AX690,"L=",AY690,"B=",AZ690)</f>
        <v>RUSSELL T=41D=2R=8M=1L=5B=0</v>
      </c>
      <c r="G690" s="0" t="s">
        <v>325</v>
      </c>
      <c r="I690" s="0" t="s">
        <v>2338</v>
      </c>
      <c r="J690" s="0" t="s">
        <v>3542</v>
      </c>
      <c r="K690" s="0" t="s">
        <v>160</v>
      </c>
      <c r="L690" s="0" t="s">
        <v>175</v>
      </c>
      <c r="M690" s="0" t="s">
        <v>3543</v>
      </c>
      <c r="N690" s="0" t="str">
        <f aca="false">RIGHT(M690,LEN(M690)-FIND(" ",M690))</f>
        <v>HARRISON ST NE</v>
      </c>
      <c r="P690" s="0" t="s">
        <v>145</v>
      </c>
      <c r="Q690" s="0" t="s">
        <v>146</v>
      </c>
      <c r="R690" s="0" t="n">
        <v>44483</v>
      </c>
      <c r="AD690" s="0" t="s">
        <v>147</v>
      </c>
      <c r="AE690" s="0" t="s">
        <v>148</v>
      </c>
      <c r="AF690" s="0" t="s">
        <v>149</v>
      </c>
      <c r="AH690" s="0" t="n">
        <v>14</v>
      </c>
      <c r="AI690" s="0" t="n">
        <v>11</v>
      </c>
      <c r="AN690" s="0" t="s">
        <v>145</v>
      </c>
      <c r="AO690" s="0" t="s">
        <v>654</v>
      </c>
      <c r="AP690" s="0" t="s">
        <v>655</v>
      </c>
      <c r="AQ690" s="0" t="n">
        <v>9</v>
      </c>
      <c r="AR690" s="0" t="n">
        <v>64</v>
      </c>
      <c r="AS690" s="0" t="n">
        <v>32</v>
      </c>
      <c r="AU690" s="0" t="n">
        <f aca="false">COUNTA($BA$1662:$EH$1662)</f>
        <v>41</v>
      </c>
      <c r="AV690" s="0" t="n">
        <f aca="false">COUNTIF($BA$1662:$EH$1662,"D")</f>
        <v>2</v>
      </c>
      <c r="AW690" s="0" t="n">
        <f aca="false">COUNTIF($BA$1662:$EH$1662,"R")</f>
        <v>8</v>
      </c>
      <c r="AX690" s="0" t="n">
        <f aca="false">IF(BN690="D",1,0)+IF(BO690="D",1,0)+IF(BT690="D",1,0)+IF(BU690="D",1,0)+IF(BW690="D",1,0)+IF(CC690="D",1,0)+IF(CD690="D",1,0)+IF(CE690="D",1,0)+IF(CF690="D",1,0)+IF(CL690="D",1,0)+IF(CM690="D",1,0)+IF(CQ690="D",1,0)+IF(CR690="D",1,0)+IF(CS690="D",1,0)+IF(CW690="D",1,0)+IF(CX690="D",1,0)+IF(DD690="D",1,0)+IF(DE690="D",1,0)+IF(DJ690="D",1,0)+IF(DK690="D",1,0)+IF(DO690="D",1,0)+IF(DP690="D",1,0)+IF(DQ690="D",1,0)+IF(DW690="D",1,0)+IF(DZ690="D",1,0)+IF(EH690="D",1,0)</f>
        <v>1</v>
      </c>
      <c r="AY690" s="0" t="n">
        <f aca="false">COUNTIF(DU690:EH690, "&lt;&gt;")</f>
        <v>5</v>
      </c>
      <c r="AZ690" s="0" t="n">
        <f aca="false">IF(EH690&lt;&gt;"",1,0)</f>
        <v>0</v>
      </c>
      <c r="BB690" s="0" t="s">
        <v>152</v>
      </c>
      <c r="BD690" s="0" t="s">
        <v>153</v>
      </c>
      <c r="CZ690" s="0" t="s">
        <v>209</v>
      </c>
      <c r="DC690" s="0" t="s">
        <v>153</v>
      </c>
      <c r="DI690" s="0" t="s">
        <v>153</v>
      </c>
      <c r="DM690" s="0" t="s">
        <v>209</v>
      </c>
      <c r="DN690" s="0" t="s">
        <v>153</v>
      </c>
      <c r="DU690" s="0" t="s">
        <v>153</v>
      </c>
      <c r="DW690" s="0" t="s">
        <v>175</v>
      </c>
      <c r="DX690" s="0" t="s">
        <v>153</v>
      </c>
      <c r="EA690" s="0" t="s">
        <v>153</v>
      </c>
      <c r="EF690" s="0" t="s">
        <v>153</v>
      </c>
    </row>
    <row r="691" customFormat="false" ht="13.8" hidden="true" customHeight="false" outlineLevel="0" collapsed="false">
      <c r="A691" s="0" t="s">
        <v>3544</v>
      </c>
      <c r="B691" s="0" t="n">
        <v>78</v>
      </c>
      <c r="C691" s="0" t="n">
        <v>416542</v>
      </c>
      <c r="D691" s="0" t="s">
        <v>3545</v>
      </c>
      <c r="E691" s="0" t="s">
        <v>367</v>
      </c>
      <c r="F691" s="0" t="str">
        <f aca="false">CONCATENATE(D691," ",LEFT(H691,4),"T=",AU691,"D=",AV691,"R=",AW691,"M=",AX691,"L=",AY691,"B=",AZ691)</f>
        <v>FLOWERS T=5D=1R=0M=0L=0B=0</v>
      </c>
      <c r="G691" s="0" t="s">
        <v>195</v>
      </c>
      <c r="I691" s="0" t="s">
        <v>3546</v>
      </c>
      <c r="J691" s="0" t="s">
        <v>3547</v>
      </c>
      <c r="K691" s="0" t="s">
        <v>143</v>
      </c>
      <c r="M691" s="0" t="s">
        <v>3548</v>
      </c>
      <c r="N691" s="0" t="str">
        <f aca="false">RIGHT(M691,LEN(M691)-FIND(" ",M691))</f>
        <v>HARRISON ST NE</v>
      </c>
      <c r="P691" s="0" t="s">
        <v>145</v>
      </c>
      <c r="Q691" s="0" t="s">
        <v>146</v>
      </c>
      <c r="R691" s="0" t="n">
        <v>44483</v>
      </c>
      <c r="AD691" s="0" t="s">
        <v>147</v>
      </c>
      <c r="AE691" s="0" t="s">
        <v>148</v>
      </c>
      <c r="AF691" s="0" t="s">
        <v>149</v>
      </c>
      <c r="AH691" s="0" t="n">
        <v>14</v>
      </c>
      <c r="AI691" s="0" t="n">
        <v>11</v>
      </c>
      <c r="AN691" s="0" t="s">
        <v>145</v>
      </c>
      <c r="AO691" s="0" t="s">
        <v>654</v>
      </c>
      <c r="AP691" s="0" t="s">
        <v>655</v>
      </c>
      <c r="AQ691" s="0" t="n">
        <v>9</v>
      </c>
      <c r="AR691" s="0" t="n">
        <v>64</v>
      </c>
      <c r="AS691" s="0" t="n">
        <v>32</v>
      </c>
      <c r="AU691" s="0" t="n">
        <f aca="false">COUNTA($BA$1560:$EH$1560)</f>
        <v>5</v>
      </c>
      <c r="AV691" s="0" t="n">
        <f aca="false">COUNTIF($BA$1560:$EH$1560,"D")</f>
        <v>1</v>
      </c>
      <c r="AW691" s="0" t="n">
        <f aca="false">COUNTIF($BA$1560:$EH$1560,"R")</f>
        <v>0</v>
      </c>
      <c r="AX691" s="0" t="n">
        <f aca="false">IF(BN691="D",1,0)+IF(BO691="D",1,0)+IF(BT691="D",1,0)+IF(BU691="D",1,0)+IF(BW691="D",1,0)+IF(CC691="D",1,0)+IF(CD691="D",1,0)+IF(CE691="D",1,0)+IF(CF691="D",1,0)+IF(CL691="D",1,0)+IF(CM691="D",1,0)+IF(CQ691="D",1,0)+IF(CR691="D",1,0)+IF(CS691="D",1,0)+IF(CW691="D",1,0)+IF(CX691="D",1,0)+IF(DD691="D",1,0)+IF(DE691="D",1,0)+IF(DJ691="D",1,0)+IF(DK691="D",1,0)+IF(DO691="D",1,0)+IF(DP691="D",1,0)+IF(DQ691="D",1,0)+IF(DW691="D",1,0)+IF(DZ691="D",1,0)+IF(EH691="D",1,0)</f>
        <v>0</v>
      </c>
      <c r="AY691" s="0" t="n">
        <f aca="false">COUNTIF(DU691:EH691, "&lt;&gt;")</f>
        <v>0</v>
      </c>
      <c r="AZ691" s="0" t="n">
        <f aca="false">IF(EH691&lt;&gt;"",1,0)</f>
        <v>0</v>
      </c>
      <c r="BB691" s="0" t="s">
        <v>152</v>
      </c>
      <c r="DC691" s="0" t="s">
        <v>153</v>
      </c>
    </row>
    <row r="692" customFormat="false" ht="13.8" hidden="false" customHeight="false" outlineLevel="0" collapsed="false">
      <c r="A692" s="0" t="s">
        <v>3549</v>
      </c>
      <c r="B692" s="0" t="n">
        <v>78</v>
      </c>
      <c r="C692" s="0" t="n">
        <v>208145</v>
      </c>
      <c r="D692" s="0" t="s">
        <v>3550</v>
      </c>
      <c r="E692" s="0" t="s">
        <v>1710</v>
      </c>
      <c r="F692" s="0" t="str">
        <f aca="false">CONCATENATE(D692," ",LEFT(H692,4),"T=",AU692,"D=",AV692,"R=",AW692,"M=",AX692,"L=",AY692,"B=",AZ692)</f>
        <v>BLACK T=4D=0R=0M=1L=5B=0</v>
      </c>
      <c r="G692" s="0" t="s">
        <v>324</v>
      </c>
      <c r="I692" s="0" t="s">
        <v>3551</v>
      </c>
      <c r="J692" s="0" t="s">
        <v>3552</v>
      </c>
      <c r="K692" s="0" t="s">
        <v>160</v>
      </c>
      <c r="L692" s="0" t="s">
        <v>209</v>
      </c>
      <c r="M692" s="0" t="s">
        <v>3553</v>
      </c>
      <c r="N692" s="0" t="str">
        <f aca="false">RIGHT(M692,LEN(M692)-FIND(" ",M692))</f>
        <v>HARRISON ST NE</v>
      </c>
      <c r="P692" s="0" t="s">
        <v>145</v>
      </c>
      <c r="Q692" s="0" t="s">
        <v>146</v>
      </c>
      <c r="R692" s="0" t="n">
        <v>44483</v>
      </c>
      <c r="AD692" s="0" t="s">
        <v>147</v>
      </c>
      <c r="AE692" s="0" t="s">
        <v>148</v>
      </c>
      <c r="AF692" s="0" t="s">
        <v>149</v>
      </c>
      <c r="AH692" s="0" t="n">
        <v>14</v>
      </c>
      <c r="AI692" s="0" t="n">
        <v>11</v>
      </c>
      <c r="AN692" s="0" t="s">
        <v>145</v>
      </c>
      <c r="AO692" s="0" t="s">
        <v>654</v>
      </c>
      <c r="AP692" s="0" t="s">
        <v>655</v>
      </c>
      <c r="AQ692" s="0" t="n">
        <v>9</v>
      </c>
      <c r="AR692" s="0" t="n">
        <v>64</v>
      </c>
      <c r="AS692" s="0" t="n">
        <v>32</v>
      </c>
      <c r="AU692" s="0" t="n">
        <f aca="false">COUNTA($BA$1506:$EH$1506)</f>
        <v>4</v>
      </c>
      <c r="AV692" s="0" t="n">
        <f aca="false">COUNTIF($BA$1506:$EH$1506,"D")</f>
        <v>0</v>
      </c>
      <c r="AW692" s="0" t="n">
        <f aca="false">COUNTIF($BA$1506:$EH$1506,"R")</f>
        <v>0</v>
      </c>
      <c r="AX692" s="0" t="n">
        <f aca="false">IF(BN692="D",1,0)+IF(BO692="D",1,0)+IF(BT692="D",1,0)+IF(BU692="D",1,0)+IF(BW692="D",1,0)+IF(CC692="D",1,0)+IF(CD692="D",1,0)+IF(CE692="D",1,0)+IF(CF692="D",1,0)+IF(CL692="D",1,0)+IF(CM692="D",1,0)+IF(CQ692="D",1,0)+IF(CR692="D",1,0)+IF(CS692="D",1,0)+IF(CW692="D",1,0)+IF(CX692="D",1,0)+IF(DD692="D",1,0)+IF(DE692="D",1,0)+IF(DJ692="D",1,0)+IF(DK692="D",1,0)+IF(DO692="D",1,0)+IF(DP692="D",1,0)+IF(DQ692="D",1,0)+IF(DW692="D",1,0)+IF(DZ692="D",1,0)+IF(EH692="D",1,0)</f>
        <v>1</v>
      </c>
      <c r="AY692" s="0" t="n">
        <f aca="false">COUNTIF(DU692:EH692, "&lt;&gt;")</f>
        <v>5</v>
      </c>
      <c r="AZ692" s="0" t="n">
        <f aca="false">IF(EH692&lt;&gt;"",1,0)</f>
        <v>0</v>
      </c>
      <c r="BB692" s="0" t="s">
        <v>152</v>
      </c>
      <c r="BC692" s="0" t="s">
        <v>153</v>
      </c>
      <c r="BD692" s="0" t="s">
        <v>153</v>
      </c>
      <c r="BE692" s="0" t="s">
        <v>153</v>
      </c>
      <c r="BF692" s="0" t="s">
        <v>153</v>
      </c>
      <c r="BH692" s="0" t="s">
        <v>153</v>
      </c>
      <c r="BI692" s="0" t="s">
        <v>153</v>
      </c>
      <c r="BJ692" s="0" t="s">
        <v>153</v>
      </c>
      <c r="BK692" s="0" t="s">
        <v>153</v>
      </c>
      <c r="BL692" s="0" t="s">
        <v>153</v>
      </c>
      <c r="BP692" s="0" t="s">
        <v>153</v>
      </c>
      <c r="BR692" s="0" t="s">
        <v>153</v>
      </c>
      <c r="BS692" s="0" t="s">
        <v>153</v>
      </c>
      <c r="BY692" s="0" t="s">
        <v>175</v>
      </c>
      <c r="CA692" s="0" t="s">
        <v>153</v>
      </c>
      <c r="CG692" s="0" t="s">
        <v>153</v>
      </c>
      <c r="CH692" s="0" t="s">
        <v>175</v>
      </c>
      <c r="CK692" s="0" t="s">
        <v>153</v>
      </c>
      <c r="CL692" s="0" t="s">
        <v>175</v>
      </c>
      <c r="CN692" s="0" t="s">
        <v>153</v>
      </c>
      <c r="CO692" s="0" t="s">
        <v>209</v>
      </c>
      <c r="CP692" s="0" t="s">
        <v>153</v>
      </c>
      <c r="CV692" s="0" t="s">
        <v>153</v>
      </c>
      <c r="CY692" s="0" t="s">
        <v>153</v>
      </c>
      <c r="CZ692" s="0" t="s">
        <v>209</v>
      </c>
      <c r="DC692" s="0" t="s">
        <v>153</v>
      </c>
      <c r="DF692" s="0" t="s">
        <v>153</v>
      </c>
      <c r="DG692" s="0" t="s">
        <v>209</v>
      </c>
      <c r="DI692" s="0" t="s">
        <v>153</v>
      </c>
      <c r="DL692" s="0" t="s">
        <v>153</v>
      </c>
      <c r="DM692" s="0" t="s">
        <v>209</v>
      </c>
      <c r="DN692" s="0" t="s">
        <v>153</v>
      </c>
      <c r="DR692" s="0" t="s">
        <v>153</v>
      </c>
      <c r="DS692" s="0" t="s">
        <v>209</v>
      </c>
      <c r="DT692" s="0" t="s">
        <v>209</v>
      </c>
      <c r="DU692" s="0" t="s">
        <v>153</v>
      </c>
      <c r="DX692" s="0" t="s">
        <v>153</v>
      </c>
      <c r="EA692" s="0" t="s">
        <v>153</v>
      </c>
      <c r="ED692" s="0" t="s">
        <v>209</v>
      </c>
      <c r="EF692" s="0" t="s">
        <v>153</v>
      </c>
    </row>
    <row r="693" customFormat="false" ht="13.8" hidden="false" customHeight="false" outlineLevel="0" collapsed="false">
      <c r="A693" s="0" t="s">
        <v>3554</v>
      </c>
      <c r="B693" s="0" t="n">
        <v>78</v>
      </c>
      <c r="C693" s="0" t="n">
        <v>208146</v>
      </c>
      <c r="D693" s="0" t="s">
        <v>3550</v>
      </c>
      <c r="E693" s="0" t="s">
        <v>3555</v>
      </c>
      <c r="F693" s="0" t="str">
        <f aca="false">CONCATENATE(D693," ",LEFT(H693,4),"T=",AU693,"D=",AV693,"R=",AW693,"M=",AX693,"L=",AY693,"B=",AZ693)</f>
        <v>BLACK T=1D=0R=0M=1L=5B=0</v>
      </c>
      <c r="G693" s="0" t="s">
        <v>215</v>
      </c>
      <c r="I693" s="0" t="s">
        <v>3556</v>
      </c>
      <c r="J693" s="0" t="s">
        <v>3552</v>
      </c>
      <c r="K693" s="0" t="s">
        <v>160</v>
      </c>
      <c r="L693" s="0" t="s">
        <v>209</v>
      </c>
      <c r="M693" s="0" t="s">
        <v>3553</v>
      </c>
      <c r="N693" s="0" t="str">
        <f aca="false">RIGHT(M693,LEN(M693)-FIND(" ",M693))</f>
        <v>HARRISON ST NE</v>
      </c>
      <c r="P693" s="0" t="s">
        <v>145</v>
      </c>
      <c r="Q693" s="0" t="s">
        <v>146</v>
      </c>
      <c r="R693" s="0" t="n">
        <v>44483</v>
      </c>
      <c r="AD693" s="0" t="s">
        <v>147</v>
      </c>
      <c r="AE693" s="0" t="s">
        <v>148</v>
      </c>
      <c r="AF693" s="0" t="s">
        <v>149</v>
      </c>
      <c r="AH693" s="0" t="n">
        <v>14</v>
      </c>
      <c r="AI693" s="0" t="n">
        <v>11</v>
      </c>
      <c r="AN693" s="0" t="s">
        <v>145</v>
      </c>
      <c r="AO693" s="0" t="s">
        <v>654</v>
      </c>
      <c r="AP693" s="0" t="s">
        <v>655</v>
      </c>
      <c r="AQ693" s="0" t="n">
        <v>9</v>
      </c>
      <c r="AR693" s="0" t="n">
        <v>64</v>
      </c>
      <c r="AS693" s="0" t="n">
        <v>32</v>
      </c>
      <c r="AU693" s="0" t="n">
        <f aca="false">COUNTA($BA$1511:$EH$1511)</f>
        <v>1</v>
      </c>
      <c r="AV693" s="0" t="n">
        <f aca="false">COUNTIF($BA$1511:$EH$1511,"D")</f>
        <v>0</v>
      </c>
      <c r="AW693" s="0" t="n">
        <f aca="false">COUNTIF($BA$1511:$EH$1511,"R")</f>
        <v>0</v>
      </c>
      <c r="AX693" s="0" t="n">
        <f aca="false">IF(BN693="D",1,0)+IF(BO693="D",1,0)+IF(BT693="D",1,0)+IF(BU693="D",1,0)+IF(BW693="D",1,0)+IF(CC693="D",1,0)+IF(CD693="D",1,0)+IF(CE693="D",1,0)+IF(CF693="D",1,0)+IF(CL693="D",1,0)+IF(CM693="D",1,0)+IF(CQ693="D",1,0)+IF(CR693="D",1,0)+IF(CS693="D",1,0)+IF(CW693="D",1,0)+IF(CX693="D",1,0)+IF(DD693="D",1,0)+IF(DE693="D",1,0)+IF(DJ693="D",1,0)+IF(DK693="D",1,0)+IF(DO693="D",1,0)+IF(DP693="D",1,0)+IF(DQ693="D",1,0)+IF(DW693="D",1,0)+IF(DZ693="D",1,0)+IF(EH693="D",1,0)</f>
        <v>1</v>
      </c>
      <c r="AY693" s="0" t="n">
        <f aca="false">COUNTIF(DU693:EH693, "&lt;&gt;")</f>
        <v>5</v>
      </c>
      <c r="AZ693" s="0" t="n">
        <f aca="false">IF(EH693&lt;&gt;"",1,0)</f>
        <v>0</v>
      </c>
      <c r="BB693" s="0" t="s">
        <v>152</v>
      </c>
      <c r="BC693" s="0" t="s">
        <v>153</v>
      </c>
      <c r="BD693" s="0" t="s">
        <v>153</v>
      </c>
      <c r="BE693" s="0" t="s">
        <v>153</v>
      </c>
      <c r="BF693" s="0" t="s">
        <v>153</v>
      </c>
      <c r="BH693" s="0" t="s">
        <v>153</v>
      </c>
      <c r="BI693" s="0" t="s">
        <v>153</v>
      </c>
      <c r="BJ693" s="0" t="s">
        <v>153</v>
      </c>
      <c r="BK693" s="0" t="s">
        <v>153</v>
      </c>
      <c r="BL693" s="0" t="s">
        <v>153</v>
      </c>
      <c r="BP693" s="0" t="s">
        <v>153</v>
      </c>
      <c r="BR693" s="0" t="s">
        <v>153</v>
      </c>
      <c r="BS693" s="0" t="s">
        <v>153</v>
      </c>
      <c r="BY693" s="0" t="s">
        <v>175</v>
      </c>
      <c r="CA693" s="0" t="s">
        <v>153</v>
      </c>
      <c r="CG693" s="0" t="s">
        <v>153</v>
      </c>
      <c r="CH693" s="0" t="s">
        <v>175</v>
      </c>
      <c r="CK693" s="0" t="s">
        <v>153</v>
      </c>
      <c r="CL693" s="0" t="s">
        <v>175</v>
      </c>
      <c r="CN693" s="0" t="s">
        <v>153</v>
      </c>
      <c r="CO693" s="0" t="s">
        <v>209</v>
      </c>
      <c r="CP693" s="0" t="s">
        <v>153</v>
      </c>
      <c r="CV693" s="0" t="s">
        <v>153</v>
      </c>
      <c r="CZ693" s="0" t="s">
        <v>209</v>
      </c>
      <c r="DC693" s="0" t="s">
        <v>153</v>
      </c>
      <c r="DF693" s="0" t="s">
        <v>153</v>
      </c>
      <c r="DG693" s="0" t="s">
        <v>209</v>
      </c>
      <c r="DI693" s="0" t="s">
        <v>153</v>
      </c>
      <c r="DL693" s="0" t="s">
        <v>153</v>
      </c>
      <c r="DM693" s="0" t="s">
        <v>209</v>
      </c>
      <c r="DN693" s="0" t="s">
        <v>153</v>
      </c>
      <c r="DS693" s="0" t="s">
        <v>209</v>
      </c>
      <c r="DU693" s="0" t="s">
        <v>153</v>
      </c>
      <c r="DX693" s="0" t="s">
        <v>153</v>
      </c>
      <c r="EA693" s="0" t="s">
        <v>153</v>
      </c>
      <c r="ED693" s="0" t="s">
        <v>209</v>
      </c>
      <c r="EF693" s="0" t="s">
        <v>153</v>
      </c>
    </row>
    <row r="694" customFormat="false" ht="13.8" hidden="true" customHeight="false" outlineLevel="0" collapsed="false">
      <c r="A694" s="0" t="s">
        <v>3557</v>
      </c>
      <c r="B694" s="0" t="n">
        <v>78</v>
      </c>
      <c r="C694" s="0" t="n">
        <v>487654</v>
      </c>
      <c r="D694" s="0" t="s">
        <v>3558</v>
      </c>
      <c r="E694" s="0" t="s">
        <v>3559</v>
      </c>
      <c r="F694" s="0" t="str">
        <f aca="false">CONCATENATE(D694," ",LEFT(H694,4),"T=",AU694,"D=",AV694,"R=",AW694,"M=",AX694,"L=",AY694,"B=",AZ694)</f>
        <v>PARRY T=2D=0R=0M=0L=0B=0</v>
      </c>
      <c r="G694" s="0" t="s">
        <v>713</v>
      </c>
      <c r="I694" s="0" t="s">
        <v>3560</v>
      </c>
      <c r="J694" s="0" t="s">
        <v>283</v>
      </c>
      <c r="K694" s="0" t="s">
        <v>160</v>
      </c>
      <c r="M694" s="0" t="s">
        <v>3561</v>
      </c>
      <c r="N694" s="0" t="str">
        <f aca="false">RIGHT(M694,LEN(M694)-FIND(" ",M694))</f>
        <v>HARRISON ST NE</v>
      </c>
      <c r="P694" s="0" t="s">
        <v>145</v>
      </c>
      <c r="Q694" s="0" t="s">
        <v>146</v>
      </c>
      <c r="R694" s="0" t="n">
        <v>44483</v>
      </c>
      <c r="AD694" s="0" t="s">
        <v>147</v>
      </c>
      <c r="AE694" s="0" t="s">
        <v>148</v>
      </c>
      <c r="AF694" s="0" t="s">
        <v>149</v>
      </c>
      <c r="AH694" s="0" t="n">
        <v>14</v>
      </c>
      <c r="AI694" s="0" t="n">
        <v>11</v>
      </c>
      <c r="AN694" s="0" t="s">
        <v>145</v>
      </c>
      <c r="AO694" s="0" t="s">
        <v>654</v>
      </c>
      <c r="AP694" s="0" t="s">
        <v>655</v>
      </c>
      <c r="AQ694" s="0" t="n">
        <v>9</v>
      </c>
      <c r="AR694" s="0" t="n">
        <v>64</v>
      </c>
      <c r="AS694" s="0" t="n">
        <v>32</v>
      </c>
      <c r="AU694" s="0" t="n">
        <f aca="false">COUNTA($BA$1613:$EH$1613)</f>
        <v>2</v>
      </c>
      <c r="AV694" s="0" t="n">
        <f aca="false">COUNTIF($BA$1613:$EH$1613,"D")</f>
        <v>0</v>
      </c>
      <c r="AW694" s="0" t="n">
        <f aca="false">COUNTIF($BA$1613:$EH$1613,"R")</f>
        <v>0</v>
      </c>
      <c r="AX694" s="0" t="n">
        <f aca="false">IF(BN694="D",1,0)+IF(BO694="D",1,0)+IF(BT694="D",1,0)+IF(BU694="D",1,0)+IF(BW694="D",1,0)+IF(CC694="D",1,0)+IF(CD694="D",1,0)+IF(CE694="D",1,0)+IF(CF694="D",1,0)+IF(CL694="D",1,0)+IF(CM694="D",1,0)+IF(CQ694="D",1,0)+IF(CR694="D",1,0)+IF(CS694="D",1,0)+IF(CW694="D",1,0)+IF(CX694="D",1,0)+IF(DD694="D",1,0)+IF(DE694="D",1,0)+IF(DJ694="D",1,0)+IF(DK694="D",1,0)+IF(DO694="D",1,0)+IF(DP694="D",1,0)+IF(DQ694="D",1,0)+IF(DW694="D",1,0)+IF(DZ694="D",1,0)+IF(EH694="D",1,0)</f>
        <v>0</v>
      </c>
      <c r="AY694" s="0" t="n">
        <f aca="false">COUNTIF(DU694:EH694, "&lt;&gt;")</f>
        <v>0</v>
      </c>
      <c r="AZ694" s="0" t="n">
        <f aca="false">IF(EH694&lt;&gt;"",1,0)</f>
        <v>0</v>
      </c>
      <c r="BB694" s="0" t="s">
        <v>152</v>
      </c>
    </row>
    <row r="695" customFormat="false" ht="13.8" hidden="true" customHeight="false" outlineLevel="0" collapsed="false">
      <c r="A695" s="0" t="s">
        <v>3562</v>
      </c>
      <c r="B695" s="0" t="n">
        <v>78</v>
      </c>
      <c r="C695" s="0" t="n">
        <v>383167</v>
      </c>
      <c r="D695" s="0" t="s">
        <v>3563</v>
      </c>
      <c r="E695" s="0" t="s">
        <v>2859</v>
      </c>
      <c r="F695" s="0" t="str">
        <f aca="false">CONCATENATE(D695," ",LEFT(H695,4),"T=",AU695,"D=",AV695,"R=",AW695,"M=",AX695,"L=",AY695,"B=",AZ695)</f>
        <v>POWELL T=8D=1R=0M=0L=0B=0</v>
      </c>
      <c r="G695" s="0" t="s">
        <v>164</v>
      </c>
      <c r="I695" s="0" t="s">
        <v>3564</v>
      </c>
      <c r="J695" s="0" t="s">
        <v>283</v>
      </c>
      <c r="K695" s="0" t="s">
        <v>160</v>
      </c>
      <c r="M695" s="0" t="s">
        <v>3565</v>
      </c>
      <c r="N695" s="0" t="str">
        <f aca="false">RIGHT(M695,LEN(M695)-FIND(" ",M695))</f>
        <v>HARRISON ST NE</v>
      </c>
      <c r="P695" s="0" t="s">
        <v>145</v>
      </c>
      <c r="Q695" s="0" t="s">
        <v>146</v>
      </c>
      <c r="R695" s="0" t="n">
        <v>44483</v>
      </c>
      <c r="AD695" s="0" t="s">
        <v>147</v>
      </c>
      <c r="AE695" s="0" t="s">
        <v>148</v>
      </c>
      <c r="AF695" s="0" t="s">
        <v>149</v>
      </c>
      <c r="AH695" s="0" t="n">
        <v>14</v>
      </c>
      <c r="AI695" s="0" t="n">
        <v>11</v>
      </c>
      <c r="AN695" s="0" t="s">
        <v>145</v>
      </c>
      <c r="AO695" s="0" t="s">
        <v>654</v>
      </c>
      <c r="AP695" s="0" t="s">
        <v>655</v>
      </c>
      <c r="AQ695" s="0" t="n">
        <v>9</v>
      </c>
      <c r="AR695" s="0" t="n">
        <v>64</v>
      </c>
      <c r="AS695" s="0" t="n">
        <v>32</v>
      </c>
      <c r="AU695" s="0" t="n">
        <f aca="false">COUNTA($BA$1345:$EH$1345)</f>
        <v>8</v>
      </c>
      <c r="AV695" s="0" t="n">
        <f aca="false">COUNTIF($BA$1345:$EH$1345,"D")</f>
        <v>1</v>
      </c>
      <c r="AW695" s="0" t="n">
        <f aca="false">COUNTIF($BA$1345:$EH$1345,"R")</f>
        <v>0</v>
      </c>
      <c r="AX695" s="0" t="n">
        <f aca="false">IF(BN695="D",1,0)+IF(BO695="D",1,0)+IF(BT695="D",1,0)+IF(BU695="D",1,0)+IF(BW695="D",1,0)+IF(CC695="D",1,0)+IF(CD695="D",1,0)+IF(CE695="D",1,0)+IF(CF695="D",1,0)+IF(CL695="D",1,0)+IF(CM695="D",1,0)+IF(CQ695="D",1,0)+IF(CR695="D",1,0)+IF(CS695="D",1,0)+IF(CW695="D",1,0)+IF(CX695="D",1,0)+IF(DD695="D",1,0)+IF(DE695="D",1,0)+IF(DJ695="D",1,0)+IF(DK695="D",1,0)+IF(DO695="D",1,0)+IF(DP695="D",1,0)+IF(DQ695="D",1,0)+IF(DW695="D",1,0)+IF(DZ695="D",1,0)+IF(EH695="D",1,0)</f>
        <v>0</v>
      </c>
      <c r="AY695" s="0" t="n">
        <f aca="false">COUNTIF(DU695:EH695, "&lt;&gt;")</f>
        <v>0</v>
      </c>
      <c r="AZ695" s="0" t="n">
        <f aca="false">IF(EH695&lt;&gt;"",1,0)</f>
        <v>0</v>
      </c>
      <c r="BB695" s="0" t="s">
        <v>152</v>
      </c>
    </row>
    <row r="696" customFormat="false" ht="13.8" hidden="true" customHeight="false" outlineLevel="0" collapsed="false">
      <c r="A696" s="0" t="s">
        <v>3566</v>
      </c>
      <c r="B696" s="0" t="n">
        <v>78</v>
      </c>
      <c r="C696" s="0" t="n">
        <v>379517</v>
      </c>
      <c r="D696" s="0" t="s">
        <v>3567</v>
      </c>
      <c r="E696" s="0" t="s">
        <v>3568</v>
      </c>
      <c r="F696" s="0" t="str">
        <f aca="false">CONCATENATE(D696," ",LEFT(H696,4),"T=",AU696,"D=",AV696,"R=",AW696,"M=",AX696,"L=",AY696,"B=",AZ696)</f>
        <v>KOVALIK T=1D=0R=0M=0L=0B=0</v>
      </c>
      <c r="G696" s="0" t="s">
        <v>362</v>
      </c>
      <c r="I696" s="0" t="s">
        <v>1296</v>
      </c>
      <c r="J696" s="0" t="s">
        <v>777</v>
      </c>
      <c r="K696" s="0" t="s">
        <v>143</v>
      </c>
      <c r="M696" s="0" t="s">
        <v>3565</v>
      </c>
      <c r="N696" s="0" t="str">
        <f aca="false">RIGHT(M696,LEN(M696)-FIND(" ",M696))</f>
        <v>HARRISON ST NE</v>
      </c>
      <c r="P696" s="0" t="s">
        <v>145</v>
      </c>
      <c r="Q696" s="0" t="s">
        <v>146</v>
      </c>
      <c r="R696" s="0" t="n">
        <v>44483</v>
      </c>
      <c r="AD696" s="0" t="s">
        <v>147</v>
      </c>
      <c r="AE696" s="0" t="s">
        <v>148</v>
      </c>
      <c r="AF696" s="0" t="s">
        <v>149</v>
      </c>
      <c r="AH696" s="0" t="n">
        <v>14</v>
      </c>
      <c r="AI696" s="0" t="n">
        <v>11</v>
      </c>
      <c r="AN696" s="0" t="s">
        <v>145</v>
      </c>
      <c r="AO696" s="0" t="s">
        <v>654</v>
      </c>
      <c r="AP696" s="0" t="s">
        <v>655</v>
      </c>
      <c r="AQ696" s="0" t="n">
        <v>9</v>
      </c>
      <c r="AR696" s="0" t="n">
        <v>64</v>
      </c>
      <c r="AS696" s="0" t="n">
        <v>32</v>
      </c>
      <c r="AU696" s="0" t="n">
        <f aca="false">COUNTA($BA$1553:$EH$1553)</f>
        <v>1</v>
      </c>
      <c r="AV696" s="0" t="n">
        <f aca="false">COUNTIF($BA$1553:$EH$1553,"D")</f>
        <v>0</v>
      </c>
      <c r="AW696" s="0" t="n">
        <f aca="false">COUNTIF($BA$1553:$EH$1553,"R")</f>
        <v>0</v>
      </c>
      <c r="AX696" s="0" t="n">
        <f aca="false">IF(BN696="D",1,0)+IF(BO696="D",1,0)+IF(BT696="D",1,0)+IF(BU696="D",1,0)+IF(BW696="D",1,0)+IF(CC696="D",1,0)+IF(CD696="D",1,0)+IF(CE696="D",1,0)+IF(CF696="D",1,0)+IF(CL696="D",1,0)+IF(CM696="D",1,0)+IF(CQ696="D",1,0)+IF(CR696="D",1,0)+IF(CS696="D",1,0)+IF(CW696="D",1,0)+IF(CX696="D",1,0)+IF(DD696="D",1,0)+IF(DE696="D",1,0)+IF(DJ696="D",1,0)+IF(DK696="D",1,0)+IF(DO696="D",1,0)+IF(DP696="D",1,0)+IF(DQ696="D",1,0)+IF(DW696="D",1,0)+IF(DZ696="D",1,0)+IF(EH696="D",1,0)</f>
        <v>0</v>
      </c>
      <c r="AY696" s="0" t="n">
        <f aca="false">COUNTIF(DU696:EH696, "&lt;&gt;")</f>
        <v>0</v>
      </c>
      <c r="AZ696" s="0" t="n">
        <f aca="false">IF(EH696&lt;&gt;"",1,0)</f>
        <v>0</v>
      </c>
      <c r="BB696" s="0" t="s">
        <v>152</v>
      </c>
      <c r="CN696" s="0" t="s">
        <v>153</v>
      </c>
    </row>
    <row r="697" customFormat="false" ht="13.8" hidden="true" customHeight="false" outlineLevel="0" collapsed="false">
      <c r="A697" s="0" t="s">
        <v>3569</v>
      </c>
      <c r="B697" s="0" t="n">
        <v>78</v>
      </c>
      <c r="C697" s="0" t="n">
        <v>473802</v>
      </c>
      <c r="D697" s="0" t="s">
        <v>3563</v>
      </c>
      <c r="E697" s="0" t="s">
        <v>224</v>
      </c>
      <c r="F697" s="0" t="str">
        <f aca="false">CONCATENATE(D697," ",LEFT(H697,4),"T=",AU697,"D=",AV697,"R=",AW697,"M=",AX697,"L=",AY697,"B=",AZ697)</f>
        <v>POWELL T=2D=0R=0M=0L=0B=0</v>
      </c>
      <c r="G697" s="0" t="s">
        <v>357</v>
      </c>
      <c r="I697" s="0" t="s">
        <v>3570</v>
      </c>
      <c r="J697" s="0" t="s">
        <v>3571</v>
      </c>
      <c r="K697" s="0" t="s">
        <v>160</v>
      </c>
      <c r="M697" s="0" t="s">
        <v>3565</v>
      </c>
      <c r="N697" s="0" t="str">
        <f aca="false">RIGHT(M697,LEN(M697)-FIND(" ",M697))</f>
        <v>HARRISON ST NE</v>
      </c>
      <c r="P697" s="0" t="s">
        <v>145</v>
      </c>
      <c r="Q697" s="0" t="s">
        <v>146</v>
      </c>
      <c r="R697" s="0" t="n">
        <v>44483</v>
      </c>
      <c r="AD697" s="0" t="s">
        <v>147</v>
      </c>
      <c r="AE697" s="0" t="s">
        <v>148</v>
      </c>
      <c r="AF697" s="0" t="s">
        <v>149</v>
      </c>
      <c r="AH697" s="0" t="n">
        <v>14</v>
      </c>
      <c r="AI697" s="0" t="n">
        <v>11</v>
      </c>
      <c r="AN697" s="0" t="s">
        <v>145</v>
      </c>
      <c r="AO697" s="0" t="s">
        <v>654</v>
      </c>
      <c r="AP697" s="0" t="s">
        <v>655</v>
      </c>
      <c r="AQ697" s="0" t="n">
        <v>9</v>
      </c>
      <c r="AR697" s="0" t="n">
        <v>64</v>
      </c>
      <c r="AS697" s="0" t="n">
        <v>32</v>
      </c>
      <c r="AU697" s="0" t="n">
        <f aca="false">COUNTA($BA$1894:$EH$1894)</f>
        <v>2</v>
      </c>
      <c r="AV697" s="0" t="n">
        <f aca="false">COUNTIF($BA$1894:$EH$1894,"D")</f>
        <v>0</v>
      </c>
      <c r="AW697" s="0" t="n">
        <f aca="false">COUNTIF($BA$1894:$EH$1894,"R")</f>
        <v>0</v>
      </c>
      <c r="AX697" s="0" t="n">
        <f aca="false">IF(BN697="D",1,0)+IF(BO697="D",1,0)+IF(BT697="D",1,0)+IF(BU697="D",1,0)+IF(BW697="D",1,0)+IF(CC697="D",1,0)+IF(CD697="D",1,0)+IF(CE697="D",1,0)+IF(CF697="D",1,0)+IF(CL697="D",1,0)+IF(CM697="D",1,0)+IF(CQ697="D",1,0)+IF(CR697="D",1,0)+IF(CS697="D",1,0)+IF(CW697="D",1,0)+IF(CX697="D",1,0)+IF(DD697="D",1,0)+IF(DE697="D",1,0)+IF(DJ697="D",1,0)+IF(DK697="D",1,0)+IF(DO697="D",1,0)+IF(DP697="D",1,0)+IF(DQ697="D",1,0)+IF(DW697="D",1,0)+IF(DZ697="D",1,0)+IF(EH697="D",1,0)</f>
        <v>0</v>
      </c>
      <c r="AY697" s="0" t="n">
        <f aca="false">COUNTIF(DU697:EH697, "&lt;&gt;")</f>
        <v>0</v>
      </c>
      <c r="AZ697" s="0" t="n">
        <f aca="false">IF(EH697&lt;&gt;"",1,0)</f>
        <v>0</v>
      </c>
      <c r="BB697" s="0" t="s">
        <v>152</v>
      </c>
    </row>
    <row r="698" customFormat="false" ht="13.8" hidden="true" customHeight="false" outlineLevel="0" collapsed="false">
      <c r="A698" s="0" t="s">
        <v>3572</v>
      </c>
      <c r="B698" s="0" t="n">
        <v>78</v>
      </c>
      <c r="C698" s="0" t="n">
        <v>474563</v>
      </c>
      <c r="D698" s="0" t="s">
        <v>3573</v>
      </c>
      <c r="E698" s="0" t="s">
        <v>2475</v>
      </c>
      <c r="F698" s="0" t="str">
        <f aca="false">CONCATENATE(D698," ",LEFT(H698,4),"T=",AU698,"D=",AV698,"R=",AW698,"M=",AX698,"L=",AY698,"B=",AZ698)</f>
        <v>FOERTCH T=22D=4R=0M=0L=1B=0</v>
      </c>
      <c r="I698" s="0" t="s">
        <v>3574</v>
      </c>
      <c r="J698" s="0" t="s">
        <v>3575</v>
      </c>
      <c r="K698" s="0" t="s">
        <v>160</v>
      </c>
      <c r="M698" s="0" t="s">
        <v>3576</v>
      </c>
      <c r="N698" s="0" t="str">
        <f aca="false">RIGHT(M698,LEN(M698)-FIND(" ",M698))</f>
        <v>HARRISON ST NE</v>
      </c>
      <c r="P698" s="0" t="s">
        <v>145</v>
      </c>
      <c r="Q698" s="0" t="s">
        <v>146</v>
      </c>
      <c r="R698" s="0" t="n">
        <v>44483</v>
      </c>
      <c r="AD698" s="0" t="s">
        <v>147</v>
      </c>
      <c r="AE698" s="0" t="s">
        <v>148</v>
      </c>
      <c r="AF698" s="0" t="s">
        <v>149</v>
      </c>
      <c r="AH698" s="0" t="n">
        <v>14</v>
      </c>
      <c r="AI698" s="0" t="n">
        <v>11</v>
      </c>
      <c r="AN698" s="0" t="s">
        <v>145</v>
      </c>
      <c r="AO698" s="0" t="s">
        <v>654</v>
      </c>
      <c r="AP698" s="0" t="s">
        <v>655</v>
      </c>
      <c r="AQ698" s="0" t="n">
        <v>9</v>
      </c>
      <c r="AR698" s="0" t="n">
        <v>64</v>
      </c>
      <c r="AS698" s="0" t="n">
        <v>32</v>
      </c>
      <c r="AU698" s="0" t="n">
        <f aca="false">COUNTA($BA$1118:$EH$1118)</f>
        <v>22</v>
      </c>
      <c r="AV698" s="0" t="n">
        <f aca="false">COUNTIF($BA$1118:$EH$1118,"D")</f>
        <v>4</v>
      </c>
      <c r="AW698" s="0" t="n">
        <f aca="false">COUNTIF($BA$1118:$EH$1118,"R")</f>
        <v>0</v>
      </c>
      <c r="AX698" s="0" t="n">
        <f aca="false">IF(BN698="D",1,0)+IF(BO698="D",1,0)+IF(BT698="D",1,0)+IF(BU698="D",1,0)+IF(BW698="D",1,0)+IF(CC698="D",1,0)+IF(CD698="D",1,0)+IF(CE698="D",1,0)+IF(CF698="D",1,0)+IF(CL698="D",1,0)+IF(CM698="D",1,0)+IF(CQ698="D",1,0)+IF(CR698="D",1,0)+IF(CS698="D",1,0)+IF(CW698="D",1,0)+IF(CX698="D",1,0)+IF(DD698="D",1,0)+IF(DE698="D",1,0)+IF(DJ698="D",1,0)+IF(DK698="D",1,0)+IF(DO698="D",1,0)+IF(DP698="D",1,0)+IF(DQ698="D",1,0)+IF(DW698="D",1,0)+IF(DZ698="D",1,0)+IF(EH698="D",1,0)</f>
        <v>0</v>
      </c>
      <c r="AY698" s="0" t="n">
        <f aca="false">COUNTIF(DU698:EH698, "&lt;&gt;")</f>
        <v>1</v>
      </c>
      <c r="AZ698" s="0" t="n">
        <f aca="false">IF(EH698&lt;&gt;"",1,0)</f>
        <v>0</v>
      </c>
      <c r="BB698" s="0" t="s">
        <v>152</v>
      </c>
      <c r="EF698" s="0" t="s">
        <v>153</v>
      </c>
    </row>
    <row r="699" customFormat="false" ht="13.8" hidden="false" customHeight="false" outlineLevel="0" collapsed="false">
      <c r="A699" s="0" t="s">
        <v>3577</v>
      </c>
      <c r="B699" s="0" t="n">
        <v>78</v>
      </c>
      <c r="C699" s="0" t="n">
        <v>12928</v>
      </c>
      <c r="D699" s="0" t="s">
        <v>3573</v>
      </c>
      <c r="E699" s="0" t="s">
        <v>224</v>
      </c>
      <c r="F699" s="0" t="str">
        <f aca="false">CONCATENATE(D699," ",LEFT(H699,4),"T=",AU699,"D=",AV699,"R=",AW699,"M=",AX699,"L=",AY699,"B=",AZ699)</f>
        <v>FOERTCH T=1D=0R=0M=0L=4B=0</v>
      </c>
      <c r="G699" s="0" t="s">
        <v>190</v>
      </c>
      <c r="I699" s="0" t="s">
        <v>3578</v>
      </c>
      <c r="J699" s="0" t="s">
        <v>3579</v>
      </c>
      <c r="K699" s="0" t="s">
        <v>160</v>
      </c>
      <c r="L699" s="0" t="s">
        <v>175</v>
      </c>
      <c r="M699" s="0" t="s">
        <v>3576</v>
      </c>
      <c r="N699" s="0" t="str">
        <f aca="false">RIGHT(M699,LEN(M699)-FIND(" ",M699))</f>
        <v>HARRISON ST NE</v>
      </c>
      <c r="P699" s="0" t="s">
        <v>145</v>
      </c>
      <c r="Q699" s="0" t="s">
        <v>146</v>
      </c>
      <c r="R699" s="0" t="n">
        <v>44483</v>
      </c>
      <c r="AD699" s="0" t="s">
        <v>147</v>
      </c>
      <c r="AE699" s="0" t="s">
        <v>148</v>
      </c>
      <c r="AF699" s="0" t="s">
        <v>149</v>
      </c>
      <c r="AH699" s="0" t="n">
        <v>14</v>
      </c>
      <c r="AI699" s="0" t="n">
        <v>11</v>
      </c>
      <c r="AN699" s="0" t="s">
        <v>145</v>
      </c>
      <c r="AO699" s="0" t="s">
        <v>654</v>
      </c>
      <c r="AP699" s="0" t="s">
        <v>655</v>
      </c>
      <c r="AQ699" s="0" t="n">
        <v>9</v>
      </c>
      <c r="AR699" s="0" t="n">
        <v>64</v>
      </c>
      <c r="AS699" s="0" t="n">
        <v>32</v>
      </c>
      <c r="AU699" s="0" t="n">
        <f aca="false">COUNTA($BA$1503:$EH$1503)</f>
        <v>1</v>
      </c>
      <c r="AV699" s="0" t="n">
        <f aca="false">COUNTIF($BA$1503:$EH$1503,"D")</f>
        <v>0</v>
      </c>
      <c r="AW699" s="0" t="n">
        <f aca="false">COUNTIF($BA$1503:$EH$1503,"R")</f>
        <v>0</v>
      </c>
      <c r="AX699" s="0" t="n">
        <f aca="false">IF(BN699="D",1,0)+IF(BO699="D",1,0)+IF(BT699="D",1,0)+IF(BU699="D",1,0)+IF(BW699="D",1,0)+IF(CC699="D",1,0)+IF(CD699="D",1,0)+IF(CE699="D",1,0)+IF(CF699="D",1,0)+IF(CL699="D",1,0)+IF(CM699="D",1,0)+IF(CQ699="D",1,0)+IF(CR699="D",1,0)+IF(CS699="D",1,0)+IF(CW699="D",1,0)+IF(CX699="D",1,0)+IF(DD699="D",1,0)+IF(DE699="D",1,0)+IF(DJ699="D",1,0)+IF(DK699="D",1,0)+IF(DO699="D",1,0)+IF(DP699="D",1,0)+IF(DQ699="D",1,0)+IF(DW699="D",1,0)+IF(DZ699="D",1,0)+IF(EH699="D",1,0)</f>
        <v>0</v>
      </c>
      <c r="AY699" s="0" t="n">
        <f aca="false">COUNTIF(DU699:EH699, "&lt;&gt;")</f>
        <v>4</v>
      </c>
      <c r="AZ699" s="0" t="n">
        <f aca="false">IF(EH699&lt;&gt;"",1,0)</f>
        <v>0</v>
      </c>
      <c r="BB699" s="0" t="s">
        <v>152</v>
      </c>
      <c r="BD699" s="0" t="s">
        <v>153</v>
      </c>
      <c r="BE699" s="0" t="s">
        <v>153</v>
      </c>
      <c r="BH699" s="0" t="s">
        <v>153</v>
      </c>
      <c r="BK699" s="0" t="s">
        <v>153</v>
      </c>
      <c r="BL699" s="0" t="s">
        <v>153</v>
      </c>
      <c r="BS699" s="0" t="s">
        <v>153</v>
      </c>
      <c r="BY699" s="0" t="s">
        <v>175</v>
      </c>
      <c r="CA699" s="0" t="s">
        <v>153</v>
      </c>
      <c r="CG699" s="0" t="s">
        <v>153</v>
      </c>
      <c r="CK699" s="0" t="s">
        <v>153</v>
      </c>
      <c r="CN699" s="0" t="s">
        <v>153</v>
      </c>
      <c r="CP699" s="0" t="s">
        <v>153</v>
      </c>
      <c r="CY699" s="0" t="s">
        <v>153</v>
      </c>
      <c r="CZ699" s="0" t="s">
        <v>209</v>
      </c>
      <c r="DC699" s="0" t="s">
        <v>153</v>
      </c>
      <c r="DI699" s="0" t="s">
        <v>153</v>
      </c>
      <c r="DL699" s="0" t="s">
        <v>153</v>
      </c>
      <c r="DM699" s="0" t="s">
        <v>175</v>
      </c>
      <c r="DN699" s="0" t="s">
        <v>153</v>
      </c>
      <c r="DU699" s="0" t="s">
        <v>153</v>
      </c>
      <c r="DX699" s="0" t="s">
        <v>153</v>
      </c>
      <c r="ED699" s="0" t="s">
        <v>175</v>
      </c>
      <c r="EF699" s="0" t="s">
        <v>153</v>
      </c>
    </row>
    <row r="700" customFormat="false" ht="13.8" hidden="true" customHeight="false" outlineLevel="0" collapsed="false">
      <c r="A700" s="0" t="s">
        <v>3580</v>
      </c>
      <c r="B700" s="0" t="n">
        <v>78</v>
      </c>
      <c r="C700" s="0" t="n">
        <v>429861</v>
      </c>
      <c r="D700" s="0" t="s">
        <v>3581</v>
      </c>
      <c r="E700" s="0" t="s">
        <v>324</v>
      </c>
      <c r="F700" s="0" t="str">
        <f aca="false">CONCATENATE(D700," ",LEFT(H700,4),"T=",AU700,"D=",AV700,"R=",AW700,"M=",AX700,"L=",AY700,"B=",AZ700)</f>
        <v>KELLEY T=4D=0R=0M=0L=0B=0</v>
      </c>
      <c r="G700" s="0" t="s">
        <v>860</v>
      </c>
      <c r="I700" s="0" t="s">
        <v>3582</v>
      </c>
      <c r="J700" s="0" t="s">
        <v>3583</v>
      </c>
      <c r="K700" s="0" t="s">
        <v>143</v>
      </c>
      <c r="M700" s="0" t="s">
        <v>3584</v>
      </c>
      <c r="N700" s="0" t="str">
        <f aca="false">RIGHT(M700,LEN(M700)-FIND(" ",M700))</f>
        <v>HARRISON ST NE</v>
      </c>
      <c r="P700" s="0" t="s">
        <v>145</v>
      </c>
      <c r="Q700" s="0" t="s">
        <v>146</v>
      </c>
      <c r="R700" s="0" t="n">
        <v>44483</v>
      </c>
      <c r="AD700" s="0" t="s">
        <v>147</v>
      </c>
      <c r="AE700" s="0" t="s">
        <v>148</v>
      </c>
      <c r="AF700" s="0" t="s">
        <v>149</v>
      </c>
      <c r="AH700" s="0" t="n">
        <v>14</v>
      </c>
      <c r="AI700" s="0" t="n">
        <v>11</v>
      </c>
      <c r="AN700" s="0" t="s">
        <v>145</v>
      </c>
      <c r="AO700" s="0" t="s">
        <v>654</v>
      </c>
      <c r="AP700" s="0" t="s">
        <v>655</v>
      </c>
      <c r="AQ700" s="0" t="n">
        <v>9</v>
      </c>
      <c r="AR700" s="0" t="n">
        <v>64</v>
      </c>
      <c r="AS700" s="0" t="n">
        <v>32</v>
      </c>
      <c r="AU700" s="0" t="n">
        <f aca="false">COUNTA($BA$1372:$EH$1372)</f>
        <v>4</v>
      </c>
      <c r="AV700" s="0" t="n">
        <f aca="false">COUNTIF($BA$1372:$EH$1372,"D")</f>
        <v>0</v>
      </c>
      <c r="AW700" s="0" t="n">
        <f aca="false">COUNTIF($BA$1372:$EH$1372,"R")</f>
        <v>0</v>
      </c>
      <c r="AX700" s="0" t="n">
        <f aca="false">IF(BN700="D",1,0)+IF(BO700="D",1,0)+IF(BT700="D",1,0)+IF(BU700="D",1,0)+IF(BW700="D",1,0)+IF(CC700="D",1,0)+IF(CD700="D",1,0)+IF(CE700="D",1,0)+IF(CF700="D",1,0)+IF(CL700="D",1,0)+IF(CM700="D",1,0)+IF(CQ700="D",1,0)+IF(CR700="D",1,0)+IF(CS700="D",1,0)+IF(CW700="D",1,0)+IF(CX700="D",1,0)+IF(DD700="D",1,0)+IF(DE700="D",1,0)+IF(DJ700="D",1,0)+IF(DK700="D",1,0)+IF(DO700="D",1,0)+IF(DP700="D",1,0)+IF(DQ700="D",1,0)+IF(DW700="D",1,0)+IF(DZ700="D",1,0)+IF(EH700="D",1,0)</f>
        <v>0</v>
      </c>
      <c r="AY700" s="0" t="n">
        <f aca="false">COUNTIF(DU700:EH700, "&lt;&gt;")</f>
        <v>0</v>
      </c>
      <c r="AZ700" s="0" t="n">
        <f aca="false">IF(EH700&lt;&gt;"",1,0)</f>
        <v>0</v>
      </c>
      <c r="BB700" s="0" t="s">
        <v>152</v>
      </c>
    </row>
    <row r="701" customFormat="false" ht="13.8" hidden="true" customHeight="false" outlineLevel="0" collapsed="false">
      <c r="A701" s="0" t="s">
        <v>3585</v>
      </c>
      <c r="B701" s="0" t="n">
        <v>78</v>
      </c>
      <c r="C701" s="0" t="n">
        <v>432359</v>
      </c>
      <c r="D701" s="0" t="s">
        <v>3586</v>
      </c>
      <c r="E701" s="0" t="s">
        <v>551</v>
      </c>
      <c r="F701" s="0" t="str">
        <f aca="false">CONCATENATE(D701," ",LEFT(H701,4),"T=",AU701,"D=",AV701,"R=",AW701,"M=",AX701,"L=",AY701,"B=",AZ701)</f>
        <v>DARBEY SRT=6D=1R=0M=0L=0B=0</v>
      </c>
      <c r="G701" s="0" t="s">
        <v>164</v>
      </c>
      <c r="H701" s="0" t="s">
        <v>216</v>
      </c>
      <c r="I701" s="0" t="s">
        <v>3587</v>
      </c>
      <c r="J701" s="0" t="s">
        <v>3588</v>
      </c>
      <c r="K701" s="0" t="s">
        <v>143</v>
      </c>
      <c r="M701" s="0" t="s">
        <v>3589</v>
      </c>
      <c r="N701" s="0" t="str">
        <f aca="false">RIGHT(M701,LEN(M701)-FIND(" ",M701))</f>
        <v>HIGH ST NE</v>
      </c>
      <c r="O701" s="0" t="s">
        <v>2211</v>
      </c>
      <c r="P701" s="0" t="s">
        <v>145</v>
      </c>
      <c r="Q701" s="0" t="s">
        <v>146</v>
      </c>
      <c r="R701" s="0" t="n">
        <v>44483</v>
      </c>
      <c r="AD701" s="0" t="s">
        <v>147</v>
      </c>
      <c r="AE701" s="0" t="s">
        <v>148</v>
      </c>
      <c r="AF701" s="0" t="s">
        <v>149</v>
      </c>
      <c r="AH701" s="0" t="n">
        <v>14</v>
      </c>
      <c r="AI701" s="0" t="n">
        <v>11</v>
      </c>
      <c r="AN701" s="0" t="s">
        <v>145</v>
      </c>
      <c r="AO701" s="0" t="s">
        <v>654</v>
      </c>
      <c r="AP701" s="0" t="s">
        <v>655</v>
      </c>
      <c r="AQ701" s="0" t="n">
        <v>9</v>
      </c>
      <c r="AR701" s="0" t="n">
        <v>64</v>
      </c>
      <c r="AS701" s="0" t="n">
        <v>32</v>
      </c>
      <c r="AU701" s="0" t="n">
        <f aca="false">COUNTA($BA$1569:$EH$1569)</f>
        <v>6</v>
      </c>
      <c r="AV701" s="0" t="n">
        <f aca="false">COUNTIF($BA$1569:$EH$1569,"D")</f>
        <v>1</v>
      </c>
      <c r="AW701" s="0" t="n">
        <f aca="false">COUNTIF($BA$1569:$EH$1569,"R")</f>
        <v>0</v>
      </c>
      <c r="AX701" s="0" t="n">
        <f aca="false">IF(BN701="D",1,0)+IF(BO701="D",1,0)+IF(BT701="D",1,0)+IF(BU701="D",1,0)+IF(BW701="D",1,0)+IF(CC701="D",1,0)+IF(CD701="D",1,0)+IF(CE701="D",1,0)+IF(CF701="D",1,0)+IF(CL701="D",1,0)+IF(CM701="D",1,0)+IF(CQ701="D",1,0)+IF(CR701="D",1,0)+IF(CS701="D",1,0)+IF(CW701="D",1,0)+IF(CX701="D",1,0)+IF(DD701="D",1,0)+IF(DE701="D",1,0)+IF(DJ701="D",1,0)+IF(DK701="D",1,0)+IF(DO701="D",1,0)+IF(DP701="D",1,0)+IF(DQ701="D",1,0)+IF(DW701="D",1,0)+IF(DZ701="D",1,0)+IF(EH701="D",1,0)</f>
        <v>0</v>
      </c>
      <c r="AY701" s="0" t="n">
        <f aca="false">COUNTIF(DU701:EH701, "&lt;&gt;")</f>
        <v>0</v>
      </c>
      <c r="AZ701" s="0" t="n">
        <f aca="false">IF(EH701&lt;&gt;"",1,0)</f>
        <v>0</v>
      </c>
      <c r="BB701" s="0" t="s">
        <v>152</v>
      </c>
    </row>
    <row r="702" customFormat="false" ht="13.8" hidden="false" customHeight="false" outlineLevel="0" collapsed="false">
      <c r="A702" s="0" t="s">
        <v>3590</v>
      </c>
      <c r="B702" s="0" t="n">
        <v>78</v>
      </c>
      <c r="C702" s="0" t="n">
        <v>434163</v>
      </c>
      <c r="D702" s="0" t="s">
        <v>3069</v>
      </c>
      <c r="E702" s="0" t="s">
        <v>905</v>
      </c>
      <c r="F702" s="0" t="str">
        <f aca="false">CONCATENATE(D702," ",LEFT(H702,4),"T=",AU702,"D=",AV702,"R=",AW702,"M=",AX702,"L=",AY702,"B=",AZ702)</f>
        <v>CONNER T=1D=0R=0M=0L=2B=0</v>
      </c>
      <c r="G702" s="0" t="s">
        <v>890</v>
      </c>
      <c r="I702" s="0" t="s">
        <v>3591</v>
      </c>
      <c r="J702" s="0" t="s">
        <v>3592</v>
      </c>
      <c r="K702" s="0" t="s">
        <v>160</v>
      </c>
      <c r="M702" s="0" t="s">
        <v>3593</v>
      </c>
      <c r="N702" s="0" t="str">
        <f aca="false">RIGHT(M702,LEN(M702)-FIND(" ",M702))</f>
        <v>HIGH ST NE</v>
      </c>
      <c r="P702" s="0" t="s">
        <v>145</v>
      </c>
      <c r="Q702" s="0" t="s">
        <v>146</v>
      </c>
      <c r="R702" s="0" t="n">
        <v>44483</v>
      </c>
      <c r="AD702" s="0" t="s">
        <v>147</v>
      </c>
      <c r="AE702" s="0" t="s">
        <v>148</v>
      </c>
      <c r="AF702" s="0" t="s">
        <v>149</v>
      </c>
      <c r="AH702" s="0" t="n">
        <v>14</v>
      </c>
      <c r="AI702" s="0" t="n">
        <v>11</v>
      </c>
      <c r="AN702" s="0" t="s">
        <v>145</v>
      </c>
      <c r="AO702" s="0" t="s">
        <v>654</v>
      </c>
      <c r="AP702" s="0" t="s">
        <v>655</v>
      </c>
      <c r="AQ702" s="0" t="n">
        <v>9</v>
      </c>
      <c r="AR702" s="0" t="n">
        <v>64</v>
      </c>
      <c r="AS702" s="0" t="n">
        <v>32</v>
      </c>
      <c r="AU702" s="0" t="n">
        <f aca="false">COUNTA($BA$1155:$EH$1155)</f>
        <v>1</v>
      </c>
      <c r="AV702" s="0" t="n">
        <f aca="false">COUNTIF($BA$1155:$EH$1155,"D")</f>
        <v>0</v>
      </c>
      <c r="AW702" s="0" t="n">
        <f aca="false">COUNTIF($BA$1155:$EH$1155,"R")</f>
        <v>0</v>
      </c>
      <c r="AX702" s="0" t="n">
        <f aca="false">IF(BN702="D",1,0)+IF(BO702="D",1,0)+IF(BT702="D",1,0)+IF(BU702="D",1,0)+IF(BW702="D",1,0)+IF(CC702="D",1,0)+IF(CD702="D",1,0)+IF(CE702="D",1,0)+IF(CF702="D",1,0)+IF(CL702="D",1,0)+IF(CM702="D",1,0)+IF(CQ702="D",1,0)+IF(CR702="D",1,0)+IF(CS702="D",1,0)+IF(CW702="D",1,0)+IF(CX702="D",1,0)+IF(DD702="D",1,0)+IF(DE702="D",1,0)+IF(DJ702="D",1,0)+IF(DK702="D",1,0)+IF(DO702="D",1,0)+IF(DP702="D",1,0)+IF(DQ702="D",1,0)+IF(DW702="D",1,0)+IF(DZ702="D",1,0)+IF(EH702="D",1,0)</f>
        <v>0</v>
      </c>
      <c r="AY702" s="0" t="n">
        <f aca="false">COUNTIF(DU702:EH702, "&lt;&gt;")</f>
        <v>2</v>
      </c>
      <c r="AZ702" s="0" t="n">
        <f aca="false">IF(EH702&lt;&gt;"",1,0)</f>
        <v>0</v>
      </c>
      <c r="BB702" s="0" t="s">
        <v>152</v>
      </c>
      <c r="DN702" s="0" t="s">
        <v>153</v>
      </c>
      <c r="DR702" s="0" t="s">
        <v>153</v>
      </c>
      <c r="DU702" s="0" t="s">
        <v>153</v>
      </c>
      <c r="EF702" s="0" t="s">
        <v>153</v>
      </c>
    </row>
    <row r="703" customFormat="false" ht="13.8" hidden="true" customHeight="false" outlineLevel="0" collapsed="false">
      <c r="A703" s="0" t="s">
        <v>3594</v>
      </c>
      <c r="B703" s="0" t="n">
        <v>78</v>
      </c>
      <c r="C703" s="0" t="n">
        <v>451744</v>
      </c>
      <c r="D703" s="0" t="s">
        <v>3595</v>
      </c>
      <c r="E703" s="0" t="s">
        <v>3162</v>
      </c>
      <c r="F703" s="0" t="str">
        <f aca="false">CONCATENATE(D703," ",LEFT(H703,4),"T=",AU703,"D=",AV703,"R=",AW703,"M=",AX703,"L=",AY703,"B=",AZ703)</f>
        <v>SETTLES T=4D=0R=0M=0L=0B=0</v>
      </c>
      <c r="G703" s="0" t="s">
        <v>215</v>
      </c>
      <c r="I703" s="0" t="s">
        <v>3596</v>
      </c>
      <c r="J703" s="0" t="s">
        <v>1189</v>
      </c>
      <c r="K703" s="0" t="s">
        <v>160</v>
      </c>
      <c r="M703" s="0" t="s">
        <v>3593</v>
      </c>
      <c r="N703" s="0" t="str">
        <f aca="false">RIGHT(M703,LEN(M703)-FIND(" ",M703))</f>
        <v>HIGH ST NE</v>
      </c>
      <c r="P703" s="0" t="s">
        <v>145</v>
      </c>
      <c r="Q703" s="0" t="s">
        <v>146</v>
      </c>
      <c r="R703" s="0" t="n">
        <v>44483</v>
      </c>
      <c r="AD703" s="0" t="s">
        <v>147</v>
      </c>
      <c r="AE703" s="0" t="s">
        <v>148</v>
      </c>
      <c r="AF703" s="0" t="s">
        <v>149</v>
      </c>
      <c r="AH703" s="0" t="n">
        <v>14</v>
      </c>
      <c r="AI703" s="0" t="n">
        <v>11</v>
      </c>
      <c r="AN703" s="0" t="s">
        <v>145</v>
      </c>
      <c r="AO703" s="0" t="s">
        <v>654</v>
      </c>
      <c r="AP703" s="0" t="s">
        <v>655</v>
      </c>
      <c r="AQ703" s="0" t="n">
        <v>9</v>
      </c>
      <c r="AR703" s="0" t="n">
        <v>64</v>
      </c>
      <c r="AS703" s="0" t="n">
        <v>32</v>
      </c>
      <c r="AU703" s="0" t="n">
        <f aca="false">COUNTA($BA$1641:$EH$1641)</f>
        <v>4</v>
      </c>
      <c r="AV703" s="0" t="n">
        <f aca="false">COUNTIF($BA$1641:$EH$1641,"D")</f>
        <v>0</v>
      </c>
      <c r="AW703" s="0" t="n">
        <f aca="false">COUNTIF($BA$1641:$EH$1641,"R")</f>
        <v>0</v>
      </c>
      <c r="AX703" s="0" t="n">
        <f aca="false">IF(BN703="D",1,0)+IF(BO703="D",1,0)+IF(BT703="D",1,0)+IF(BU703="D",1,0)+IF(BW703="D",1,0)+IF(CC703="D",1,0)+IF(CD703="D",1,0)+IF(CE703="D",1,0)+IF(CF703="D",1,0)+IF(CL703="D",1,0)+IF(CM703="D",1,0)+IF(CQ703="D",1,0)+IF(CR703="D",1,0)+IF(CS703="D",1,0)+IF(CW703="D",1,0)+IF(CX703="D",1,0)+IF(DD703="D",1,0)+IF(DE703="D",1,0)+IF(DJ703="D",1,0)+IF(DK703="D",1,0)+IF(DO703="D",1,0)+IF(DP703="D",1,0)+IF(DQ703="D",1,0)+IF(DW703="D",1,0)+IF(DZ703="D",1,0)+IF(EH703="D",1,0)</f>
        <v>0</v>
      </c>
      <c r="AY703" s="0" t="n">
        <f aca="false">COUNTIF(DU703:EH703, "&lt;&gt;")</f>
        <v>0</v>
      </c>
      <c r="AZ703" s="0" t="n">
        <f aca="false">IF(EH703&lt;&gt;"",1,0)</f>
        <v>0</v>
      </c>
      <c r="BB703" s="0" t="s">
        <v>152</v>
      </c>
      <c r="DN703" s="0" t="s">
        <v>153</v>
      </c>
    </row>
    <row r="704" customFormat="false" ht="13.8" hidden="true" customHeight="false" outlineLevel="0" collapsed="false">
      <c r="A704" s="0" t="s">
        <v>3597</v>
      </c>
      <c r="B704" s="0" t="n">
        <v>78</v>
      </c>
      <c r="C704" s="0" t="n">
        <v>473629</v>
      </c>
      <c r="D704" s="0" t="s">
        <v>3598</v>
      </c>
      <c r="E704" s="0" t="s">
        <v>3599</v>
      </c>
      <c r="F704" s="0" t="str">
        <f aca="false">CONCATENATE(D704," ",LEFT(H704,4),"T=",AU704,"D=",AV704,"R=",AW704,"M=",AX704,"L=",AY704,"B=",AZ704)</f>
        <v>CAPIRANO T=3D=1R=0M=0L=1B=0</v>
      </c>
      <c r="G704" s="0" t="s">
        <v>3600</v>
      </c>
      <c r="I704" s="0" t="s">
        <v>3601</v>
      </c>
      <c r="J704" s="0" t="s">
        <v>3602</v>
      </c>
      <c r="K704" s="0" t="s">
        <v>160</v>
      </c>
      <c r="M704" s="0" t="s">
        <v>3603</v>
      </c>
      <c r="N704" s="0" t="str">
        <f aca="false">RIGHT(M704,LEN(M704)-FIND(" ",M704))</f>
        <v>HIGH ST NE</v>
      </c>
      <c r="P704" s="0" t="s">
        <v>145</v>
      </c>
      <c r="Q704" s="0" t="s">
        <v>146</v>
      </c>
      <c r="R704" s="0" t="n">
        <v>44483</v>
      </c>
      <c r="AD704" s="0" t="s">
        <v>147</v>
      </c>
      <c r="AE704" s="0" t="s">
        <v>148</v>
      </c>
      <c r="AF704" s="0" t="s">
        <v>149</v>
      </c>
      <c r="AH704" s="0" t="n">
        <v>14</v>
      </c>
      <c r="AI704" s="0" t="n">
        <v>11</v>
      </c>
      <c r="AN704" s="0" t="s">
        <v>145</v>
      </c>
      <c r="AO704" s="0" t="s">
        <v>654</v>
      </c>
      <c r="AP704" s="0" t="s">
        <v>655</v>
      </c>
      <c r="AQ704" s="0" t="n">
        <v>9</v>
      </c>
      <c r="AR704" s="0" t="n">
        <v>64</v>
      </c>
      <c r="AS704" s="0" t="n">
        <v>32</v>
      </c>
      <c r="AU704" s="0" t="n">
        <f aca="false">COUNTA($BA$1640:$EH$1640)</f>
        <v>3</v>
      </c>
      <c r="AV704" s="0" t="n">
        <f aca="false">COUNTIF($BA$1640:$EH$1640,"D")</f>
        <v>1</v>
      </c>
      <c r="AW704" s="0" t="n">
        <f aca="false">COUNTIF($BA$1640:$EH$1640,"R")</f>
        <v>0</v>
      </c>
      <c r="AX704" s="0" t="n">
        <f aca="false">IF(BN704="D",1,0)+IF(BO704="D",1,0)+IF(BT704="D",1,0)+IF(BU704="D",1,0)+IF(BW704="D",1,0)+IF(CC704="D",1,0)+IF(CD704="D",1,0)+IF(CE704="D",1,0)+IF(CF704="D",1,0)+IF(CL704="D",1,0)+IF(CM704="D",1,0)+IF(CQ704="D",1,0)+IF(CR704="D",1,0)+IF(CS704="D",1,0)+IF(CW704="D",1,0)+IF(CX704="D",1,0)+IF(DD704="D",1,0)+IF(DE704="D",1,0)+IF(DJ704="D",1,0)+IF(DK704="D",1,0)+IF(DO704="D",1,0)+IF(DP704="D",1,0)+IF(DQ704="D",1,0)+IF(DW704="D",1,0)+IF(DZ704="D",1,0)+IF(EH704="D",1,0)</f>
        <v>0</v>
      </c>
      <c r="AY704" s="0" t="n">
        <f aca="false">COUNTIF(DU704:EH704, "&lt;&gt;")</f>
        <v>1</v>
      </c>
      <c r="AZ704" s="0" t="n">
        <f aca="false">IF(EH704&lt;&gt;"",1,0)</f>
        <v>0</v>
      </c>
      <c r="BB704" s="0" t="s">
        <v>152</v>
      </c>
      <c r="EF704" s="0" t="s">
        <v>153</v>
      </c>
    </row>
    <row r="705" customFormat="false" ht="13.8" hidden="false" customHeight="false" outlineLevel="0" collapsed="false">
      <c r="A705" s="0" t="s">
        <v>3604</v>
      </c>
      <c r="B705" s="0" t="n">
        <v>78</v>
      </c>
      <c r="C705" s="0" t="n">
        <v>13081</v>
      </c>
      <c r="D705" s="0" t="s">
        <v>3605</v>
      </c>
      <c r="E705" s="0" t="s">
        <v>3606</v>
      </c>
      <c r="F705" s="0" t="str">
        <f aca="false">CONCATENATE(D705," ",LEFT(H705,4),"T=",AU705,"D=",AV705,"R=",AW705,"M=",AX705,"L=",AY705,"B=",AZ705)</f>
        <v>SPRECACENERE T=1D=0R=0M=0L=2B=0</v>
      </c>
      <c r="I705" s="0" t="s">
        <v>3607</v>
      </c>
      <c r="J705" s="0" t="s">
        <v>3608</v>
      </c>
      <c r="K705" s="0" t="s">
        <v>160</v>
      </c>
      <c r="M705" s="0" t="s">
        <v>3609</v>
      </c>
      <c r="N705" s="0" t="str">
        <f aca="false">RIGHT(M705,LEN(M705)-FIND(" ",M705))</f>
        <v>HIGH ST NE</v>
      </c>
      <c r="P705" s="0" t="s">
        <v>145</v>
      </c>
      <c r="Q705" s="0" t="s">
        <v>146</v>
      </c>
      <c r="R705" s="0" t="n">
        <v>44483</v>
      </c>
      <c r="AD705" s="0" t="s">
        <v>147</v>
      </c>
      <c r="AE705" s="0" t="s">
        <v>148</v>
      </c>
      <c r="AF705" s="0" t="s">
        <v>149</v>
      </c>
      <c r="AH705" s="0" t="n">
        <v>14</v>
      </c>
      <c r="AI705" s="0" t="n">
        <v>11</v>
      </c>
      <c r="AN705" s="0" t="s">
        <v>145</v>
      </c>
      <c r="AO705" s="0" t="s">
        <v>654</v>
      </c>
      <c r="AP705" s="0" t="s">
        <v>655</v>
      </c>
      <c r="AQ705" s="0" t="n">
        <v>9</v>
      </c>
      <c r="AR705" s="0" t="n">
        <v>64</v>
      </c>
      <c r="AS705" s="0" t="n">
        <v>32</v>
      </c>
      <c r="AU705" s="0" t="n">
        <f aca="false">COUNTA($BA$1418:$EH$1418)</f>
        <v>1</v>
      </c>
      <c r="AV705" s="0" t="n">
        <f aca="false">COUNTIF($BA$1418:$EH$1418,"D")</f>
        <v>0</v>
      </c>
      <c r="AW705" s="0" t="n">
        <f aca="false">COUNTIF($BA$1418:$EH$1418,"R")</f>
        <v>0</v>
      </c>
      <c r="AX705" s="0" t="n">
        <f aca="false">IF(BN705="D",1,0)+IF(BO705="D",1,0)+IF(BT705="D",1,0)+IF(BU705="D",1,0)+IF(BW705="D",1,0)+IF(CC705="D",1,0)+IF(CD705="D",1,0)+IF(CE705="D",1,0)+IF(CF705="D",1,0)+IF(CL705="D",1,0)+IF(CM705="D",1,0)+IF(CQ705="D",1,0)+IF(CR705="D",1,0)+IF(CS705="D",1,0)+IF(CW705="D",1,0)+IF(CX705="D",1,0)+IF(DD705="D",1,0)+IF(DE705="D",1,0)+IF(DJ705="D",1,0)+IF(DK705="D",1,0)+IF(DO705="D",1,0)+IF(DP705="D",1,0)+IF(DQ705="D",1,0)+IF(DW705="D",1,0)+IF(DZ705="D",1,0)+IF(EH705="D",1,0)</f>
        <v>0</v>
      </c>
      <c r="AY705" s="0" t="n">
        <f aca="false">COUNTIF(DU705:EH705, "&lt;&gt;")</f>
        <v>2</v>
      </c>
      <c r="AZ705" s="0" t="n">
        <f aca="false">IF(EH705&lt;&gt;"",1,0)</f>
        <v>0</v>
      </c>
      <c r="BB705" s="0" t="s">
        <v>152</v>
      </c>
      <c r="BC705" s="0" t="s">
        <v>153</v>
      </c>
      <c r="BD705" s="0" t="s">
        <v>153</v>
      </c>
      <c r="BH705" s="0" t="s">
        <v>153</v>
      </c>
      <c r="BL705" s="0" t="s">
        <v>153</v>
      </c>
      <c r="BP705" s="0" t="s">
        <v>153</v>
      </c>
      <c r="BR705" s="0" t="s">
        <v>153</v>
      </c>
      <c r="BS705" s="0" t="s">
        <v>153</v>
      </c>
      <c r="BY705" s="0" t="s">
        <v>175</v>
      </c>
      <c r="CA705" s="0" t="s">
        <v>153</v>
      </c>
      <c r="CK705" s="0" t="s">
        <v>153</v>
      </c>
      <c r="CN705" s="0" t="s">
        <v>153</v>
      </c>
      <c r="CP705" s="0" t="s">
        <v>153</v>
      </c>
      <c r="CU705" s="0" t="s">
        <v>175</v>
      </c>
      <c r="CV705" s="0" t="s">
        <v>153</v>
      </c>
      <c r="CY705" s="0" t="s">
        <v>153</v>
      </c>
      <c r="CZ705" s="0" t="s">
        <v>209</v>
      </c>
      <c r="DC705" s="0" t="s">
        <v>153</v>
      </c>
      <c r="DI705" s="0" t="s">
        <v>153</v>
      </c>
      <c r="DL705" s="0" t="s">
        <v>153</v>
      </c>
      <c r="DN705" s="0" t="s">
        <v>153</v>
      </c>
      <c r="DU705" s="0" t="s">
        <v>153</v>
      </c>
      <c r="EF705" s="0" t="s">
        <v>153</v>
      </c>
    </row>
    <row r="706" customFormat="false" ht="13.8" hidden="false" customHeight="false" outlineLevel="0" collapsed="false">
      <c r="A706" s="0" t="s">
        <v>3610</v>
      </c>
      <c r="B706" s="0" t="n">
        <v>78</v>
      </c>
      <c r="C706" s="0" t="n">
        <v>248859</v>
      </c>
      <c r="D706" s="0" t="s">
        <v>3605</v>
      </c>
      <c r="E706" s="0" t="s">
        <v>275</v>
      </c>
      <c r="F706" s="0" t="str">
        <f aca="false">CONCATENATE(D706," ",LEFT(H706,4),"T=",AU706,"D=",AV706,"R=",AW706,"M=",AX706,"L=",AY706,"B=",AZ706)</f>
        <v>SPRECACENERE T=2D=0R=0M=1L=5B=1</v>
      </c>
      <c r="I706" s="0" t="s">
        <v>3611</v>
      </c>
      <c r="J706" s="0" t="s">
        <v>1544</v>
      </c>
      <c r="K706" s="0" t="s">
        <v>160</v>
      </c>
      <c r="L706" s="0" t="s">
        <v>175</v>
      </c>
      <c r="M706" s="0" t="s">
        <v>3609</v>
      </c>
      <c r="N706" s="0" t="str">
        <f aca="false">RIGHT(M706,LEN(M706)-FIND(" ",M706))</f>
        <v>HIGH ST NE</v>
      </c>
      <c r="P706" s="0" t="s">
        <v>145</v>
      </c>
      <c r="Q706" s="0" t="s">
        <v>146</v>
      </c>
      <c r="R706" s="0" t="n">
        <v>44483</v>
      </c>
      <c r="AD706" s="0" t="s">
        <v>147</v>
      </c>
      <c r="AE706" s="0" t="s">
        <v>148</v>
      </c>
      <c r="AF706" s="0" t="s">
        <v>149</v>
      </c>
      <c r="AH706" s="0" t="n">
        <v>14</v>
      </c>
      <c r="AI706" s="0" t="n">
        <v>11</v>
      </c>
      <c r="AN706" s="0" t="s">
        <v>145</v>
      </c>
      <c r="AO706" s="0" t="s">
        <v>654</v>
      </c>
      <c r="AP706" s="0" t="s">
        <v>655</v>
      </c>
      <c r="AQ706" s="0" t="n">
        <v>9</v>
      </c>
      <c r="AR706" s="0" t="n">
        <v>64</v>
      </c>
      <c r="AS706" s="0" t="n">
        <v>32</v>
      </c>
      <c r="AU706" s="0" t="n">
        <f aca="false">COUNTA($BA$1420:$EH$1420)</f>
        <v>2</v>
      </c>
      <c r="AV706" s="0" t="n">
        <f aca="false">COUNTIF($BA$1420:$EH$1420,"D")</f>
        <v>0</v>
      </c>
      <c r="AW706" s="0" t="n">
        <f aca="false">COUNTIF($BA$1420:$EH$1420,"R")</f>
        <v>0</v>
      </c>
      <c r="AX706" s="0" t="n">
        <f aca="false">IF(BN706="D",1,0)+IF(BO706="D",1,0)+IF(BT706="D",1,0)+IF(BU706="D",1,0)+IF(BW706="D",1,0)+IF(CC706="D",1,0)+IF(CD706="D",1,0)+IF(CE706="D",1,0)+IF(CF706="D",1,0)+IF(CL706="D",1,0)+IF(CM706="D",1,0)+IF(CQ706="D",1,0)+IF(CR706="D",1,0)+IF(CS706="D",1,0)+IF(CW706="D",1,0)+IF(CX706="D",1,0)+IF(DD706="D",1,0)+IF(DE706="D",1,0)+IF(DJ706="D",1,0)+IF(DK706="D",1,0)+IF(DO706="D",1,0)+IF(DP706="D",1,0)+IF(DQ706="D",1,0)+IF(DW706="D",1,0)+IF(DZ706="D",1,0)+IF(EH706="D",1,0)</f>
        <v>1</v>
      </c>
      <c r="AY706" s="0" t="n">
        <f aca="false">COUNTIF(DU706:EH706, "&lt;&gt;")</f>
        <v>5</v>
      </c>
      <c r="AZ706" s="0" t="n">
        <f aca="false">IF(EH706&lt;&gt;"",1,0)</f>
        <v>1</v>
      </c>
      <c r="BB706" s="0" t="s">
        <v>152</v>
      </c>
      <c r="BC706" s="0" t="s">
        <v>153</v>
      </c>
      <c r="BL706" s="0" t="s">
        <v>153</v>
      </c>
      <c r="BP706" s="0" t="s">
        <v>153</v>
      </c>
      <c r="BV706" s="0" t="s">
        <v>153</v>
      </c>
      <c r="BY706" s="0" t="s">
        <v>175</v>
      </c>
      <c r="CA706" s="0" t="s">
        <v>153</v>
      </c>
      <c r="CK706" s="0" t="s">
        <v>153</v>
      </c>
      <c r="CN706" s="0" t="s">
        <v>153</v>
      </c>
      <c r="CP706" s="0" t="s">
        <v>153</v>
      </c>
      <c r="CU706" s="0" t="s">
        <v>175</v>
      </c>
      <c r="CV706" s="0" t="s">
        <v>153</v>
      </c>
      <c r="CY706" s="0" t="s">
        <v>153</v>
      </c>
      <c r="CZ706" s="0" t="s">
        <v>175</v>
      </c>
      <c r="DC706" s="0" t="s">
        <v>153</v>
      </c>
      <c r="DI706" s="0" t="s">
        <v>153</v>
      </c>
      <c r="DL706" s="0" t="s">
        <v>153</v>
      </c>
      <c r="DM706" s="0" t="s">
        <v>175</v>
      </c>
      <c r="DN706" s="0" t="s">
        <v>153</v>
      </c>
      <c r="DU706" s="0" t="s">
        <v>153</v>
      </c>
      <c r="DX706" s="0" t="s">
        <v>153</v>
      </c>
      <c r="ED706" s="0" t="s">
        <v>175</v>
      </c>
      <c r="EF706" s="0" t="s">
        <v>153</v>
      </c>
      <c r="EH706" s="0" t="s">
        <v>175</v>
      </c>
    </row>
    <row r="707" customFormat="false" ht="13.8" hidden="false" customHeight="false" outlineLevel="0" collapsed="false">
      <c r="A707" s="0" t="s">
        <v>3612</v>
      </c>
      <c r="B707" s="0" t="n">
        <v>78</v>
      </c>
      <c r="C707" s="0" t="n">
        <v>379126</v>
      </c>
      <c r="D707" s="0" t="s">
        <v>3613</v>
      </c>
      <c r="E707" s="0" t="s">
        <v>1366</v>
      </c>
      <c r="F707" s="0" t="str">
        <f aca="false">CONCATENATE(D707," ",LEFT(H707,4),"T=",AU707,"D=",AV707,"R=",AW707,"M=",AX707,"L=",AY707,"B=",AZ707)</f>
        <v>BARE T=1D=0R=0M=0L=3B=0</v>
      </c>
      <c r="G707" s="0" t="s">
        <v>202</v>
      </c>
      <c r="I707" s="0" t="s">
        <v>3614</v>
      </c>
      <c r="J707" s="0" t="s">
        <v>1641</v>
      </c>
      <c r="K707" s="0" t="s">
        <v>160</v>
      </c>
      <c r="M707" s="0" t="s">
        <v>3615</v>
      </c>
      <c r="N707" s="0" t="str">
        <f aca="false">RIGHT(M707,LEN(M707)-FIND(" ",M707))</f>
        <v>HIGH ST NE</v>
      </c>
      <c r="P707" s="0" t="s">
        <v>145</v>
      </c>
      <c r="Q707" s="0" t="s">
        <v>146</v>
      </c>
      <c r="R707" s="0" t="n">
        <v>44483</v>
      </c>
      <c r="AD707" s="0" t="s">
        <v>147</v>
      </c>
      <c r="AE707" s="0" t="s">
        <v>148</v>
      </c>
      <c r="AF707" s="0" t="s">
        <v>149</v>
      </c>
      <c r="AH707" s="0" t="n">
        <v>14</v>
      </c>
      <c r="AI707" s="0" t="n">
        <v>11</v>
      </c>
      <c r="AN707" s="0" t="s">
        <v>145</v>
      </c>
      <c r="AO707" s="0" t="s">
        <v>654</v>
      </c>
      <c r="AP707" s="0" t="s">
        <v>655</v>
      </c>
      <c r="AQ707" s="0" t="n">
        <v>9</v>
      </c>
      <c r="AR707" s="0" t="n">
        <v>64</v>
      </c>
      <c r="AS707" s="0" t="n">
        <v>32</v>
      </c>
      <c r="AU707" s="0" t="n">
        <f aca="false">COUNTA($BA$1680:$EH$1680)</f>
        <v>1</v>
      </c>
      <c r="AV707" s="0" t="n">
        <f aca="false">COUNTIF($BA$1680:$EH$1680,"D")</f>
        <v>0</v>
      </c>
      <c r="AW707" s="0" t="n">
        <f aca="false">COUNTIF($BA$1680:$EH$1680,"R")</f>
        <v>0</v>
      </c>
      <c r="AX707" s="0" t="n">
        <f aca="false">IF(BN707="D",1,0)+IF(BO707="D",1,0)+IF(BT707="D",1,0)+IF(BU707="D",1,0)+IF(BW707="D",1,0)+IF(CC707="D",1,0)+IF(CD707="D",1,0)+IF(CE707="D",1,0)+IF(CF707="D",1,0)+IF(CL707="D",1,0)+IF(CM707="D",1,0)+IF(CQ707="D",1,0)+IF(CR707="D",1,0)+IF(CS707="D",1,0)+IF(CW707="D",1,0)+IF(CX707="D",1,0)+IF(DD707="D",1,0)+IF(DE707="D",1,0)+IF(DJ707="D",1,0)+IF(DK707="D",1,0)+IF(DO707="D",1,0)+IF(DP707="D",1,0)+IF(DQ707="D",1,0)+IF(DW707="D",1,0)+IF(DZ707="D",1,0)+IF(EH707="D",1,0)</f>
        <v>0</v>
      </c>
      <c r="AY707" s="0" t="n">
        <f aca="false">COUNTIF(DU707:EH707, "&lt;&gt;")</f>
        <v>3</v>
      </c>
      <c r="AZ707" s="0" t="n">
        <f aca="false">IF(EH707&lt;&gt;"",1,0)</f>
        <v>0</v>
      </c>
      <c r="BB707" s="0" t="s">
        <v>152</v>
      </c>
      <c r="CP707" s="0" t="s">
        <v>153</v>
      </c>
      <c r="DC707" s="0" t="s">
        <v>153</v>
      </c>
      <c r="DN707" s="0" t="s">
        <v>153</v>
      </c>
      <c r="DU707" s="0" t="s">
        <v>153</v>
      </c>
      <c r="EA707" s="0" t="s">
        <v>153</v>
      </c>
      <c r="EF707" s="0" t="s">
        <v>153</v>
      </c>
    </row>
    <row r="708" customFormat="false" ht="13.8" hidden="false" customHeight="false" outlineLevel="0" collapsed="false">
      <c r="A708" s="0" t="s">
        <v>3616</v>
      </c>
      <c r="B708" s="0" t="n">
        <v>78</v>
      </c>
      <c r="C708" s="0" t="n">
        <v>344118</v>
      </c>
      <c r="D708" s="0" t="s">
        <v>3613</v>
      </c>
      <c r="E708" s="0" t="s">
        <v>487</v>
      </c>
      <c r="F708" s="0" t="str">
        <f aca="false">CONCATENATE(D708," ",LEFT(H708,4),"T=",AU708,"D=",AV708,"R=",AW708,"M=",AX708,"L=",AY708,"B=",AZ708)</f>
        <v>BARE T=7D=0R=1M=0L=3B=0</v>
      </c>
      <c r="G708" s="0" t="s">
        <v>202</v>
      </c>
      <c r="I708" s="0" t="s">
        <v>3617</v>
      </c>
      <c r="J708" s="0" t="s">
        <v>3618</v>
      </c>
      <c r="K708" s="0" t="s">
        <v>160</v>
      </c>
      <c r="M708" s="0" t="s">
        <v>3615</v>
      </c>
      <c r="N708" s="0" t="str">
        <f aca="false">RIGHT(M708,LEN(M708)-FIND(" ",M708))</f>
        <v>HIGH ST NE</v>
      </c>
      <c r="P708" s="0" t="s">
        <v>145</v>
      </c>
      <c r="Q708" s="0" t="s">
        <v>146</v>
      </c>
      <c r="R708" s="0" t="n">
        <v>44483</v>
      </c>
      <c r="AD708" s="0" t="s">
        <v>147</v>
      </c>
      <c r="AE708" s="0" t="s">
        <v>148</v>
      </c>
      <c r="AF708" s="0" t="s">
        <v>149</v>
      </c>
      <c r="AH708" s="0" t="n">
        <v>14</v>
      </c>
      <c r="AI708" s="0" t="n">
        <v>11</v>
      </c>
      <c r="AN708" s="0" t="s">
        <v>145</v>
      </c>
      <c r="AO708" s="0" t="s">
        <v>654</v>
      </c>
      <c r="AP708" s="0" t="s">
        <v>655</v>
      </c>
      <c r="AQ708" s="0" t="n">
        <v>9</v>
      </c>
      <c r="AR708" s="0" t="n">
        <v>64</v>
      </c>
      <c r="AS708" s="0" t="n">
        <v>32</v>
      </c>
      <c r="AU708" s="0" t="n">
        <f aca="false">COUNTA($BA$1764:$EH$1764)</f>
        <v>7</v>
      </c>
      <c r="AV708" s="0" t="n">
        <f aca="false">COUNTIF($BA$1764:$EH$1764,"D")</f>
        <v>0</v>
      </c>
      <c r="AW708" s="0" t="n">
        <f aca="false">COUNTIF($BA$1764:$EH$1764,"R")</f>
        <v>1</v>
      </c>
      <c r="AX708" s="0" t="n">
        <f aca="false">IF(BN708="D",1,0)+IF(BO708="D",1,0)+IF(BT708="D",1,0)+IF(BU708="D",1,0)+IF(BW708="D",1,0)+IF(CC708="D",1,0)+IF(CD708="D",1,0)+IF(CE708="D",1,0)+IF(CF708="D",1,0)+IF(CL708="D",1,0)+IF(CM708="D",1,0)+IF(CQ708="D",1,0)+IF(CR708="D",1,0)+IF(CS708="D",1,0)+IF(CW708="D",1,0)+IF(CX708="D",1,0)+IF(DD708="D",1,0)+IF(DE708="D",1,0)+IF(DJ708="D",1,0)+IF(DK708="D",1,0)+IF(DO708="D",1,0)+IF(DP708="D",1,0)+IF(DQ708="D",1,0)+IF(DW708="D",1,0)+IF(DZ708="D",1,0)+IF(EH708="D",1,0)</f>
        <v>0</v>
      </c>
      <c r="AY708" s="0" t="n">
        <f aca="false">COUNTIF(DU708:EH708, "&lt;&gt;")</f>
        <v>3</v>
      </c>
      <c r="AZ708" s="0" t="n">
        <f aca="false">IF(EH708&lt;&gt;"",1,0)</f>
        <v>0</v>
      </c>
      <c r="BB708" s="0" t="s">
        <v>152</v>
      </c>
      <c r="BY708" s="0" t="s">
        <v>175</v>
      </c>
      <c r="CA708" s="0" t="s">
        <v>153</v>
      </c>
      <c r="CK708" s="0" t="s">
        <v>153</v>
      </c>
      <c r="CN708" s="0" t="s">
        <v>153</v>
      </c>
      <c r="CP708" s="0" t="s">
        <v>153</v>
      </c>
      <c r="DC708" s="0" t="s">
        <v>153</v>
      </c>
      <c r="DN708" s="0" t="s">
        <v>153</v>
      </c>
      <c r="DU708" s="0" t="s">
        <v>153</v>
      </c>
      <c r="EA708" s="0" t="s">
        <v>153</v>
      </c>
      <c r="EF708" s="0" t="s">
        <v>153</v>
      </c>
    </row>
    <row r="709" customFormat="false" ht="13.8" hidden="false" customHeight="false" outlineLevel="0" collapsed="false">
      <c r="A709" s="0" t="s">
        <v>3619</v>
      </c>
      <c r="B709" s="0" t="n">
        <v>78</v>
      </c>
      <c r="C709" s="0" t="n">
        <v>223758</v>
      </c>
      <c r="D709" s="0" t="s">
        <v>3620</v>
      </c>
      <c r="E709" s="0" t="s">
        <v>3017</v>
      </c>
      <c r="F709" s="0" t="str">
        <f aca="false">CONCATENATE(D709," ",LEFT(H709,4),"T=",AU709,"D=",AV709,"R=",AW709,"M=",AX709,"L=",AY709,"B=",AZ709)</f>
        <v>SHANNON T=16D=2R=0M=4L=7B=1</v>
      </c>
      <c r="G709" s="0" t="s">
        <v>190</v>
      </c>
      <c r="I709" s="0" t="s">
        <v>3621</v>
      </c>
      <c r="J709" s="0" t="s">
        <v>3622</v>
      </c>
      <c r="K709" s="0" t="s">
        <v>160</v>
      </c>
      <c r="L709" s="0" t="s">
        <v>175</v>
      </c>
      <c r="M709" s="0" t="s">
        <v>3623</v>
      </c>
      <c r="N709" s="0" t="str">
        <f aca="false">RIGHT(M709,LEN(M709)-FIND(" ",M709))</f>
        <v>HIGH ST NE</v>
      </c>
      <c r="P709" s="0" t="s">
        <v>145</v>
      </c>
      <c r="Q709" s="0" t="s">
        <v>146</v>
      </c>
      <c r="R709" s="0" t="n">
        <v>44483</v>
      </c>
      <c r="AD709" s="0" t="s">
        <v>147</v>
      </c>
      <c r="AE709" s="0" t="s">
        <v>148</v>
      </c>
      <c r="AF709" s="0" t="s">
        <v>149</v>
      </c>
      <c r="AH709" s="0" t="n">
        <v>14</v>
      </c>
      <c r="AI709" s="0" t="n">
        <v>11</v>
      </c>
      <c r="AN709" s="0" t="s">
        <v>145</v>
      </c>
      <c r="AO709" s="0" t="s">
        <v>654</v>
      </c>
      <c r="AP709" s="0" t="s">
        <v>655</v>
      </c>
      <c r="AQ709" s="0" t="n">
        <v>9</v>
      </c>
      <c r="AR709" s="0" t="n">
        <v>64</v>
      </c>
      <c r="AS709" s="0" t="n">
        <v>32</v>
      </c>
      <c r="AU709" s="0" t="n">
        <f aca="false">COUNTA($BA$1419:$EH$1419)</f>
        <v>16</v>
      </c>
      <c r="AV709" s="0" t="n">
        <f aca="false">COUNTIF($BA$1419:$EH$1419,"D")</f>
        <v>2</v>
      </c>
      <c r="AW709" s="0" t="n">
        <f aca="false">COUNTIF($BA$1419:$EH$1419,"R")</f>
        <v>0</v>
      </c>
      <c r="AX709" s="0" t="n">
        <f aca="false">IF(BN709="D",1,0)+IF(BO709="D",1,0)+IF(BT709="D",1,0)+IF(BU709="D",1,0)+IF(BW709="D",1,0)+IF(CC709="D",1,0)+IF(CD709="D",1,0)+IF(CE709="D",1,0)+IF(CF709="D",1,0)+IF(CL709="D",1,0)+IF(CM709="D",1,0)+IF(CQ709="D",1,0)+IF(CR709="D",1,0)+IF(CS709="D",1,0)+IF(CW709="D",1,0)+IF(CX709="D",1,0)+IF(DD709="D",1,0)+IF(DE709="D",1,0)+IF(DJ709="D",1,0)+IF(DK709="D",1,0)+IF(DO709="D",1,0)+IF(DP709="D",1,0)+IF(DQ709="D",1,0)+IF(DW709="D",1,0)+IF(DZ709="D",1,0)+IF(EH709="D",1,0)</f>
        <v>4</v>
      </c>
      <c r="AY709" s="0" t="n">
        <f aca="false">COUNTIF(DU709:EH709, "&lt;&gt;")</f>
        <v>7</v>
      </c>
      <c r="AZ709" s="0" t="n">
        <f aca="false">IF(EH709&lt;&gt;"",1,0)</f>
        <v>1</v>
      </c>
      <c r="BB709" s="0" t="s">
        <v>152</v>
      </c>
      <c r="BC709" s="0" t="s">
        <v>153</v>
      </c>
      <c r="BD709" s="0" t="s">
        <v>153</v>
      </c>
      <c r="BE709" s="0" t="s">
        <v>153</v>
      </c>
      <c r="BF709" s="0" t="s">
        <v>153</v>
      </c>
      <c r="BH709" s="0" t="s">
        <v>153</v>
      </c>
      <c r="BI709" s="0" t="s">
        <v>153</v>
      </c>
      <c r="BJ709" s="0" t="s">
        <v>153</v>
      </c>
      <c r="BK709" s="0" t="s">
        <v>153</v>
      </c>
      <c r="BL709" s="0" t="s">
        <v>153</v>
      </c>
      <c r="BP709" s="0" t="s">
        <v>153</v>
      </c>
      <c r="BR709" s="0" t="s">
        <v>153</v>
      </c>
      <c r="BS709" s="0" t="s">
        <v>153</v>
      </c>
      <c r="BV709" s="0" t="s">
        <v>153</v>
      </c>
      <c r="BY709" s="0" t="s">
        <v>175</v>
      </c>
      <c r="CA709" s="0" t="s">
        <v>153</v>
      </c>
      <c r="CG709" s="0" t="s">
        <v>153</v>
      </c>
      <c r="CH709" s="0" t="s">
        <v>175</v>
      </c>
      <c r="CK709" s="0" t="s">
        <v>153</v>
      </c>
      <c r="CL709" s="0" t="s">
        <v>175</v>
      </c>
      <c r="CN709" s="0" t="s">
        <v>153</v>
      </c>
      <c r="CO709" s="0" t="s">
        <v>175</v>
      </c>
      <c r="CP709" s="0" t="s">
        <v>153</v>
      </c>
      <c r="CT709" s="0" t="s">
        <v>153</v>
      </c>
      <c r="CV709" s="0" t="s">
        <v>153</v>
      </c>
      <c r="CY709" s="0" t="s">
        <v>153</v>
      </c>
      <c r="CZ709" s="0" t="s">
        <v>175</v>
      </c>
      <c r="DC709" s="0" t="s">
        <v>153</v>
      </c>
      <c r="DF709" s="0" t="s">
        <v>153</v>
      </c>
      <c r="DG709" s="0" t="s">
        <v>175</v>
      </c>
      <c r="DI709" s="0" t="s">
        <v>153</v>
      </c>
      <c r="DJ709" s="0" t="s">
        <v>175</v>
      </c>
      <c r="DL709" s="0" t="s">
        <v>153</v>
      </c>
      <c r="DM709" s="0" t="s">
        <v>175</v>
      </c>
      <c r="DN709" s="0" t="s">
        <v>153</v>
      </c>
      <c r="DR709" s="0" t="s">
        <v>153</v>
      </c>
      <c r="DS709" s="0" t="s">
        <v>175</v>
      </c>
      <c r="DU709" s="0" t="s">
        <v>153</v>
      </c>
      <c r="DW709" s="0" t="s">
        <v>175</v>
      </c>
      <c r="DX709" s="0" t="s">
        <v>153</v>
      </c>
      <c r="EA709" s="0" t="s">
        <v>153</v>
      </c>
      <c r="ED709" s="0" t="s">
        <v>175</v>
      </c>
      <c r="EF709" s="0" t="s">
        <v>153</v>
      </c>
      <c r="EH709" s="0" t="s">
        <v>175</v>
      </c>
    </row>
    <row r="710" customFormat="false" ht="13.8" hidden="false" customHeight="false" outlineLevel="0" collapsed="false">
      <c r="A710" s="0" t="s">
        <v>3624</v>
      </c>
      <c r="B710" s="0" t="n">
        <v>78</v>
      </c>
      <c r="C710" s="0" t="n">
        <v>285904</v>
      </c>
      <c r="D710" s="0" t="s">
        <v>3625</v>
      </c>
      <c r="E710" s="0" t="s">
        <v>3329</v>
      </c>
      <c r="F710" s="0" t="str">
        <f aca="false">CONCATENATE(D710," ",LEFT(H710,4),"T=",AU710,"D=",AV710,"R=",AW710,"M=",AX710,"L=",AY710,"B=",AZ710)</f>
        <v>NAVARRO T=2D=0R=0M=1L=2B=0</v>
      </c>
      <c r="G710" s="0" t="s">
        <v>190</v>
      </c>
      <c r="I710" s="0" t="s">
        <v>3626</v>
      </c>
      <c r="J710" s="0" t="s">
        <v>3627</v>
      </c>
      <c r="K710" s="0" t="s">
        <v>160</v>
      </c>
      <c r="M710" s="0" t="s">
        <v>3628</v>
      </c>
      <c r="N710" s="0" t="str">
        <f aca="false">RIGHT(M710,LEN(M710)-FIND(" ",M710))</f>
        <v>HIGH ST NE</v>
      </c>
      <c r="P710" s="0" t="s">
        <v>145</v>
      </c>
      <c r="Q710" s="0" t="s">
        <v>146</v>
      </c>
      <c r="R710" s="0" t="n">
        <v>44483</v>
      </c>
      <c r="AD710" s="0" t="s">
        <v>147</v>
      </c>
      <c r="AE710" s="0" t="s">
        <v>148</v>
      </c>
      <c r="AF710" s="0" t="s">
        <v>149</v>
      </c>
      <c r="AH710" s="0" t="n">
        <v>14</v>
      </c>
      <c r="AI710" s="0" t="n">
        <v>11</v>
      </c>
      <c r="AN710" s="0" t="s">
        <v>145</v>
      </c>
      <c r="AO710" s="0" t="s">
        <v>654</v>
      </c>
      <c r="AP710" s="0" t="s">
        <v>655</v>
      </c>
      <c r="AQ710" s="0" t="n">
        <v>9</v>
      </c>
      <c r="AR710" s="0" t="n">
        <v>64</v>
      </c>
      <c r="AS710" s="0" t="n">
        <v>32</v>
      </c>
      <c r="AU710" s="0" t="n">
        <f aca="false">COUNTA($BA$1421:$EH$1421)</f>
        <v>2</v>
      </c>
      <c r="AV710" s="0" t="n">
        <f aca="false">COUNTIF($BA$1421:$EH$1421,"D")</f>
        <v>0</v>
      </c>
      <c r="AW710" s="0" t="n">
        <f aca="false">COUNTIF($BA$1421:$EH$1421,"R")</f>
        <v>0</v>
      </c>
      <c r="AX710" s="0" t="n">
        <f aca="false">IF(BN710="D",1,0)+IF(BO710="D",1,0)+IF(BT710="D",1,0)+IF(BU710="D",1,0)+IF(BW710="D",1,0)+IF(CC710="D",1,0)+IF(CD710="D",1,0)+IF(CE710="D",1,0)+IF(CF710="D",1,0)+IF(CL710="D",1,0)+IF(CM710="D",1,0)+IF(CQ710="D",1,0)+IF(CR710="D",1,0)+IF(CS710="D",1,0)+IF(CW710="D",1,0)+IF(CX710="D",1,0)+IF(DD710="D",1,0)+IF(DE710="D",1,0)+IF(DJ710="D",1,0)+IF(DK710="D",1,0)+IF(DO710="D",1,0)+IF(DP710="D",1,0)+IF(DQ710="D",1,0)+IF(DW710="D",1,0)+IF(DZ710="D",1,0)+IF(EH710="D",1,0)</f>
        <v>1</v>
      </c>
      <c r="AY710" s="0" t="n">
        <f aca="false">COUNTIF(DU710:EH710, "&lt;&gt;")</f>
        <v>2</v>
      </c>
      <c r="AZ710" s="0" t="n">
        <f aca="false">IF(EH710&lt;&gt;"",1,0)</f>
        <v>0</v>
      </c>
      <c r="BB710" s="0" t="s">
        <v>152</v>
      </c>
      <c r="BD710" s="0" t="s">
        <v>153</v>
      </c>
      <c r="BJ710" s="0" t="s">
        <v>153</v>
      </c>
      <c r="BL710" s="0" t="s">
        <v>153</v>
      </c>
      <c r="BP710" s="0" t="s">
        <v>153</v>
      </c>
      <c r="BS710" s="0" t="s">
        <v>153</v>
      </c>
      <c r="BV710" s="0" t="s">
        <v>153</v>
      </c>
      <c r="BY710" s="0" t="s">
        <v>175</v>
      </c>
      <c r="CA710" s="0" t="s">
        <v>153</v>
      </c>
      <c r="CG710" s="0" t="s">
        <v>153</v>
      </c>
      <c r="CK710" s="0" t="s">
        <v>153</v>
      </c>
      <c r="CL710" s="0" t="s">
        <v>175</v>
      </c>
      <c r="CN710" s="0" t="s">
        <v>153</v>
      </c>
      <c r="CP710" s="0" t="s">
        <v>153</v>
      </c>
      <c r="CV710" s="0" t="s">
        <v>153</v>
      </c>
      <c r="CY710" s="0" t="s">
        <v>153</v>
      </c>
      <c r="CZ710" s="0" t="s">
        <v>175</v>
      </c>
      <c r="DC710" s="0" t="s">
        <v>153</v>
      </c>
      <c r="DF710" s="0" t="s">
        <v>153</v>
      </c>
      <c r="DN710" s="0" t="s">
        <v>153</v>
      </c>
      <c r="DX710" s="0" t="s">
        <v>153</v>
      </c>
      <c r="EF710" s="0" t="s">
        <v>153</v>
      </c>
    </row>
    <row r="711" customFormat="false" ht="13.8" hidden="false" customHeight="false" outlineLevel="0" collapsed="false">
      <c r="A711" s="0" t="s">
        <v>3629</v>
      </c>
      <c r="B711" s="0" t="n">
        <v>78</v>
      </c>
      <c r="C711" s="0" t="n">
        <v>295172</v>
      </c>
      <c r="D711" s="0" t="s">
        <v>3625</v>
      </c>
      <c r="E711" s="0" t="s">
        <v>3630</v>
      </c>
      <c r="F711" s="0" t="str">
        <f aca="false">CONCATENATE(D711," ",LEFT(H711,4),"T=",AU711,"D=",AV711,"R=",AW711,"M=",AX711,"L=",AY711,"B=",AZ711)</f>
        <v>NAVARRO T=37D=8R=0M=2L=6B=0</v>
      </c>
      <c r="I711" s="0" t="s">
        <v>3631</v>
      </c>
      <c r="J711" s="0" t="s">
        <v>3632</v>
      </c>
      <c r="K711" s="0" t="s">
        <v>160</v>
      </c>
      <c r="L711" s="0" t="s">
        <v>209</v>
      </c>
      <c r="M711" s="0" t="s">
        <v>3628</v>
      </c>
      <c r="N711" s="0" t="str">
        <f aca="false">RIGHT(M711,LEN(M711)-FIND(" ",M711))</f>
        <v>HIGH ST NE</v>
      </c>
      <c r="P711" s="0" t="s">
        <v>145</v>
      </c>
      <c r="Q711" s="0" t="s">
        <v>146</v>
      </c>
      <c r="R711" s="0" t="n">
        <v>44483</v>
      </c>
      <c r="AD711" s="0" t="s">
        <v>147</v>
      </c>
      <c r="AE711" s="0" t="s">
        <v>148</v>
      </c>
      <c r="AF711" s="0" t="s">
        <v>149</v>
      </c>
      <c r="AH711" s="0" t="n">
        <v>14</v>
      </c>
      <c r="AI711" s="0" t="n">
        <v>11</v>
      </c>
      <c r="AN711" s="0" t="s">
        <v>145</v>
      </c>
      <c r="AO711" s="0" t="s">
        <v>654</v>
      </c>
      <c r="AP711" s="0" t="s">
        <v>655</v>
      </c>
      <c r="AQ711" s="0" t="n">
        <v>9</v>
      </c>
      <c r="AR711" s="0" t="n">
        <v>64</v>
      </c>
      <c r="AS711" s="0" t="n">
        <v>32</v>
      </c>
      <c r="AU711" s="0" t="n">
        <f aca="false">COUNTA($BA$1423:$EH$1423)</f>
        <v>37</v>
      </c>
      <c r="AV711" s="0" t="n">
        <f aca="false">COUNTIF($BA$1423:$EH$1423,"D")</f>
        <v>8</v>
      </c>
      <c r="AW711" s="0" t="n">
        <f aca="false">COUNTIF($BA$1423:$EH$1423,"R")</f>
        <v>0</v>
      </c>
      <c r="AX711" s="0" t="n">
        <f aca="false">IF(BN711="D",1,0)+IF(BO711="D",1,0)+IF(BT711="D",1,0)+IF(BU711="D",1,0)+IF(BW711="D",1,0)+IF(CC711="D",1,0)+IF(CD711="D",1,0)+IF(CE711="D",1,0)+IF(CF711="D",1,0)+IF(CL711="D",1,0)+IF(CM711="D",1,0)+IF(CQ711="D",1,0)+IF(CR711="D",1,0)+IF(CS711="D",1,0)+IF(CW711="D",1,0)+IF(CX711="D",1,0)+IF(DD711="D",1,0)+IF(DE711="D",1,0)+IF(DJ711="D",1,0)+IF(DK711="D",1,0)+IF(DO711="D",1,0)+IF(DP711="D",1,0)+IF(DQ711="D",1,0)+IF(DW711="D",1,0)+IF(DZ711="D",1,0)+IF(EH711="D",1,0)</f>
        <v>2</v>
      </c>
      <c r="AY711" s="0" t="n">
        <f aca="false">COUNTIF(DU711:EH711, "&lt;&gt;")</f>
        <v>6</v>
      </c>
      <c r="AZ711" s="0" t="n">
        <f aca="false">IF(EH711&lt;&gt;"",1,0)</f>
        <v>0</v>
      </c>
      <c r="BB711" s="0" t="s">
        <v>152</v>
      </c>
      <c r="BD711" s="0" t="s">
        <v>153</v>
      </c>
      <c r="BJ711" s="0" t="s">
        <v>153</v>
      </c>
      <c r="BL711" s="0" t="s">
        <v>153</v>
      </c>
      <c r="BP711" s="0" t="s">
        <v>153</v>
      </c>
      <c r="BS711" s="0" t="s">
        <v>153</v>
      </c>
      <c r="BV711" s="0" t="s">
        <v>153</v>
      </c>
      <c r="BY711" s="0" t="s">
        <v>209</v>
      </c>
      <c r="CA711" s="0" t="s">
        <v>153</v>
      </c>
      <c r="CG711" s="0" t="s">
        <v>153</v>
      </c>
      <c r="CK711" s="0" t="s">
        <v>153</v>
      </c>
      <c r="CL711" s="0" t="s">
        <v>175</v>
      </c>
      <c r="CN711" s="0" t="s">
        <v>153</v>
      </c>
      <c r="CO711" s="0" t="s">
        <v>209</v>
      </c>
      <c r="CP711" s="0" t="s">
        <v>153</v>
      </c>
      <c r="CV711" s="0" t="s">
        <v>153</v>
      </c>
      <c r="CY711" s="0" t="s">
        <v>153</v>
      </c>
      <c r="CZ711" s="0" t="s">
        <v>209</v>
      </c>
      <c r="DC711" s="0" t="s">
        <v>153</v>
      </c>
      <c r="DF711" s="0" t="s">
        <v>153</v>
      </c>
      <c r="DI711" s="0" t="s">
        <v>153</v>
      </c>
      <c r="DL711" s="0" t="s">
        <v>153</v>
      </c>
      <c r="DN711" s="0" t="s">
        <v>153</v>
      </c>
      <c r="DU711" s="0" t="s">
        <v>153</v>
      </c>
      <c r="DW711" s="0" t="s">
        <v>175</v>
      </c>
      <c r="DX711" s="0" t="s">
        <v>153</v>
      </c>
      <c r="EA711" s="0" t="s">
        <v>153</v>
      </c>
      <c r="ED711" s="0" t="s">
        <v>209</v>
      </c>
      <c r="EF711" s="0" t="s">
        <v>153</v>
      </c>
    </row>
    <row r="712" customFormat="false" ht="13.8" hidden="true" customHeight="false" outlineLevel="0" collapsed="false">
      <c r="A712" s="0" t="s">
        <v>3633</v>
      </c>
      <c r="B712" s="0" t="n">
        <v>78</v>
      </c>
      <c r="C712" s="0" t="n">
        <v>416134</v>
      </c>
      <c r="D712" s="0" t="s">
        <v>3177</v>
      </c>
      <c r="E712" s="0" t="s">
        <v>877</v>
      </c>
      <c r="F712" s="0" t="str">
        <f aca="false">CONCATENATE(D712," ",LEFT(H712,4),"T=",AU712,"D=",AV712,"R=",AW712,"M=",AX712,"L=",AY712,"B=",AZ712)</f>
        <v>MURRAY T=23D=6R=0M=0L=0B=0</v>
      </c>
      <c r="G712" s="0" t="s">
        <v>658</v>
      </c>
      <c r="I712" s="0" t="s">
        <v>3634</v>
      </c>
      <c r="J712" s="0" t="s">
        <v>3635</v>
      </c>
      <c r="K712" s="0" t="s">
        <v>143</v>
      </c>
      <c r="M712" s="0" t="s">
        <v>3636</v>
      </c>
      <c r="N712" s="0" t="str">
        <f aca="false">RIGHT(M712,LEN(M712)-FIND(" ",M712))</f>
        <v>HIGH ST NE</v>
      </c>
      <c r="P712" s="0" t="s">
        <v>145</v>
      </c>
      <c r="Q712" s="0" t="s">
        <v>146</v>
      </c>
      <c r="R712" s="0" t="n">
        <v>44483</v>
      </c>
      <c r="AD712" s="0" t="s">
        <v>147</v>
      </c>
      <c r="AE712" s="0" t="s">
        <v>148</v>
      </c>
      <c r="AF712" s="0" t="s">
        <v>149</v>
      </c>
      <c r="AH712" s="0" t="n">
        <v>14</v>
      </c>
      <c r="AI712" s="0" t="n">
        <v>11</v>
      </c>
      <c r="AN712" s="0" t="s">
        <v>145</v>
      </c>
      <c r="AO712" s="0" t="s">
        <v>654</v>
      </c>
      <c r="AP712" s="0" t="s">
        <v>655</v>
      </c>
      <c r="AQ712" s="0" t="n">
        <v>9</v>
      </c>
      <c r="AR712" s="0" t="n">
        <v>64</v>
      </c>
      <c r="AS712" s="0" t="n">
        <v>32</v>
      </c>
      <c r="AU712" s="0" t="n">
        <f aca="false">COUNTA($BA$1293:$EH$1293)</f>
        <v>23</v>
      </c>
      <c r="AV712" s="0" t="n">
        <f aca="false">COUNTIF($BA$1293:$EH$1293,"D")</f>
        <v>6</v>
      </c>
      <c r="AW712" s="0" t="n">
        <f aca="false">COUNTIF($BA$1293:$EH$1293,"R")</f>
        <v>0</v>
      </c>
      <c r="AX712" s="0" t="n">
        <f aca="false">IF(BN712="D",1,0)+IF(BO712="D",1,0)+IF(BT712="D",1,0)+IF(BU712="D",1,0)+IF(BW712="D",1,0)+IF(CC712="D",1,0)+IF(CD712="D",1,0)+IF(CE712="D",1,0)+IF(CF712="D",1,0)+IF(CL712="D",1,0)+IF(CM712="D",1,0)+IF(CQ712="D",1,0)+IF(CR712="D",1,0)+IF(CS712="D",1,0)+IF(CW712="D",1,0)+IF(CX712="D",1,0)+IF(DD712="D",1,0)+IF(DE712="D",1,0)+IF(DJ712="D",1,0)+IF(DK712="D",1,0)+IF(DO712="D",1,0)+IF(DP712="D",1,0)+IF(DQ712="D",1,0)+IF(DW712="D",1,0)+IF(DZ712="D",1,0)+IF(EH712="D",1,0)</f>
        <v>0</v>
      </c>
      <c r="AY712" s="0" t="n">
        <f aca="false">COUNTIF(DU712:EH712, "&lt;&gt;")</f>
        <v>0</v>
      </c>
      <c r="AZ712" s="0" t="n">
        <f aca="false">IF(EH712&lt;&gt;"",1,0)</f>
        <v>0</v>
      </c>
      <c r="BB712" s="0" t="s">
        <v>152</v>
      </c>
    </row>
    <row r="713" customFormat="false" ht="13.8" hidden="false" customHeight="false" outlineLevel="0" collapsed="false">
      <c r="A713" s="0" t="s">
        <v>3637</v>
      </c>
      <c r="B713" s="0" t="n">
        <v>78</v>
      </c>
      <c r="C713" s="0" t="n">
        <v>439547</v>
      </c>
      <c r="D713" s="0" t="s">
        <v>3638</v>
      </c>
      <c r="E713" s="0" t="s">
        <v>3639</v>
      </c>
      <c r="F713" s="0" t="str">
        <f aca="false">CONCATENATE(D713," ",LEFT(H713,4),"T=",AU713,"D=",AV713,"R=",AW713,"M=",AX713,"L=",AY713,"B=",AZ713)</f>
        <v>LEINGANG T=1D=0R=0M=2L=7B=1</v>
      </c>
      <c r="G713" s="0" t="s">
        <v>839</v>
      </c>
      <c r="I713" s="0" t="s">
        <v>3640</v>
      </c>
      <c r="J713" s="0" t="s">
        <v>3575</v>
      </c>
      <c r="K713" s="0" t="s">
        <v>160</v>
      </c>
      <c r="L713" s="0" t="s">
        <v>175</v>
      </c>
      <c r="M713" s="0" t="s">
        <v>3636</v>
      </c>
      <c r="N713" s="0" t="str">
        <f aca="false">RIGHT(M713,LEN(M713)-FIND(" ",M713))</f>
        <v>HIGH ST NE</v>
      </c>
      <c r="P713" s="0" t="s">
        <v>145</v>
      </c>
      <c r="Q713" s="0" t="s">
        <v>146</v>
      </c>
      <c r="R713" s="0" t="n">
        <v>44483</v>
      </c>
      <c r="AD713" s="0" t="s">
        <v>147</v>
      </c>
      <c r="AE713" s="0" t="s">
        <v>148</v>
      </c>
      <c r="AF713" s="0" t="s">
        <v>149</v>
      </c>
      <c r="AH713" s="0" t="n">
        <v>14</v>
      </c>
      <c r="AI713" s="0" t="n">
        <v>11</v>
      </c>
      <c r="AN713" s="0" t="s">
        <v>145</v>
      </c>
      <c r="AO713" s="0" t="s">
        <v>654</v>
      </c>
      <c r="AP713" s="0" t="s">
        <v>655</v>
      </c>
      <c r="AQ713" s="0" t="n">
        <v>9</v>
      </c>
      <c r="AR713" s="0" t="n">
        <v>64</v>
      </c>
      <c r="AS713" s="0" t="n">
        <v>32</v>
      </c>
      <c r="AU713" s="0" t="n">
        <f aca="false">COUNTA($BA$1302:$EH$1302)</f>
        <v>1</v>
      </c>
      <c r="AV713" s="0" t="n">
        <f aca="false">COUNTIF($BA$1302:$EH$1302,"D")</f>
        <v>0</v>
      </c>
      <c r="AW713" s="0" t="n">
        <f aca="false">COUNTIF($BA$1302:$EH$1302,"R")</f>
        <v>0</v>
      </c>
      <c r="AX713" s="0" t="n">
        <f aca="false">IF(BN713="D",1,0)+IF(BO713="D",1,0)+IF(BT713="D",1,0)+IF(BU713="D",1,0)+IF(BW713="D",1,0)+IF(CC713="D",1,0)+IF(CD713="D",1,0)+IF(CE713="D",1,0)+IF(CF713="D",1,0)+IF(CL713="D",1,0)+IF(CM713="D",1,0)+IF(CQ713="D",1,0)+IF(CR713="D",1,0)+IF(CS713="D",1,0)+IF(CW713="D",1,0)+IF(CX713="D",1,0)+IF(DD713="D",1,0)+IF(DE713="D",1,0)+IF(DJ713="D",1,0)+IF(DK713="D",1,0)+IF(DO713="D",1,0)+IF(DP713="D",1,0)+IF(DQ713="D",1,0)+IF(DW713="D",1,0)+IF(DZ713="D",1,0)+IF(EH713="D",1,0)</f>
        <v>2</v>
      </c>
      <c r="AY713" s="0" t="n">
        <f aca="false">COUNTIF(DU713:EH713, "&lt;&gt;")</f>
        <v>7</v>
      </c>
      <c r="AZ713" s="0" t="n">
        <f aca="false">IF(EH713&lt;&gt;"",1,0)</f>
        <v>1</v>
      </c>
      <c r="BB713" s="0" t="s">
        <v>152</v>
      </c>
      <c r="DM713" s="0" t="s">
        <v>175</v>
      </c>
      <c r="DN713" s="0" t="s">
        <v>153</v>
      </c>
      <c r="DR713" s="0" t="s">
        <v>153</v>
      </c>
      <c r="DS713" s="0" t="s">
        <v>175</v>
      </c>
      <c r="DU713" s="0" t="s">
        <v>153</v>
      </c>
      <c r="DW713" s="0" t="s">
        <v>175</v>
      </c>
      <c r="DX713" s="0" t="s">
        <v>153</v>
      </c>
      <c r="EA713" s="0" t="s">
        <v>153</v>
      </c>
      <c r="ED713" s="0" t="s">
        <v>175</v>
      </c>
      <c r="EF713" s="0" t="s">
        <v>153</v>
      </c>
      <c r="EH713" s="0" t="s">
        <v>175</v>
      </c>
    </row>
    <row r="714" customFormat="false" ht="13.8" hidden="false" customHeight="false" outlineLevel="0" collapsed="false">
      <c r="A714" s="0" t="s">
        <v>3641</v>
      </c>
      <c r="B714" s="0" t="n">
        <v>78</v>
      </c>
      <c r="C714" s="0" t="n">
        <v>440640</v>
      </c>
      <c r="D714" s="0" t="s">
        <v>3642</v>
      </c>
      <c r="E714" s="0" t="s">
        <v>224</v>
      </c>
      <c r="F714" s="0" t="str">
        <f aca="false">CONCATENATE(D714," ",LEFT(H714,4),"T=",AU714,"D=",AV714,"R=",AW714,"M=",AX714,"L=",AY714,"B=",AZ714)</f>
        <v>SEBELIST T=8D=1R=0M=2L=7B=1</v>
      </c>
      <c r="G714" s="0" t="s">
        <v>215</v>
      </c>
      <c r="I714" s="0" t="s">
        <v>3643</v>
      </c>
      <c r="J714" s="0" t="s">
        <v>3644</v>
      </c>
      <c r="K714" s="0" t="s">
        <v>160</v>
      </c>
      <c r="L714" s="0" t="s">
        <v>175</v>
      </c>
      <c r="M714" s="0" t="s">
        <v>3636</v>
      </c>
      <c r="N714" s="0" t="str">
        <f aca="false">RIGHT(M714,LEN(M714)-FIND(" ",M714))</f>
        <v>HIGH ST NE</v>
      </c>
      <c r="P714" s="0" t="s">
        <v>145</v>
      </c>
      <c r="Q714" s="0" t="s">
        <v>146</v>
      </c>
      <c r="R714" s="0" t="n">
        <v>44483</v>
      </c>
      <c r="S714" s="0" t="n">
        <v>5858</v>
      </c>
      <c r="AD714" s="0" t="s">
        <v>147</v>
      </c>
      <c r="AE714" s="0" t="s">
        <v>148</v>
      </c>
      <c r="AF714" s="0" t="s">
        <v>149</v>
      </c>
      <c r="AH714" s="0" t="n">
        <v>14</v>
      </c>
      <c r="AI714" s="0" t="n">
        <v>11</v>
      </c>
      <c r="AN714" s="0" t="s">
        <v>145</v>
      </c>
      <c r="AO714" s="0" t="s">
        <v>654</v>
      </c>
      <c r="AP714" s="0" t="s">
        <v>655</v>
      </c>
      <c r="AQ714" s="0" t="n">
        <v>9</v>
      </c>
      <c r="AR714" s="0" t="n">
        <v>64</v>
      </c>
      <c r="AS714" s="0" t="n">
        <v>32</v>
      </c>
      <c r="AU714" s="0" t="n">
        <f aca="false">COUNTA($BA$1587:$EH$1587)</f>
        <v>8</v>
      </c>
      <c r="AV714" s="0" t="n">
        <f aca="false">COUNTIF($BA$1587:$EH$1587,"D")</f>
        <v>1</v>
      </c>
      <c r="AW714" s="0" t="n">
        <f aca="false">COUNTIF($BA$1587:$EH$1587,"R")</f>
        <v>0</v>
      </c>
      <c r="AX714" s="0" t="n">
        <f aca="false">IF(BN714="D",1,0)+IF(BO714="D",1,0)+IF(BT714="D",1,0)+IF(BU714="D",1,0)+IF(BW714="D",1,0)+IF(CC714="D",1,0)+IF(CD714="D",1,0)+IF(CE714="D",1,0)+IF(CF714="D",1,0)+IF(CL714="D",1,0)+IF(CM714="D",1,0)+IF(CQ714="D",1,0)+IF(CR714="D",1,0)+IF(CS714="D",1,0)+IF(CW714="D",1,0)+IF(CX714="D",1,0)+IF(DD714="D",1,0)+IF(DE714="D",1,0)+IF(DJ714="D",1,0)+IF(DK714="D",1,0)+IF(DO714="D",1,0)+IF(DP714="D",1,0)+IF(DQ714="D",1,0)+IF(DW714="D",1,0)+IF(DZ714="D",1,0)+IF(EH714="D",1,0)</f>
        <v>2</v>
      </c>
      <c r="AY714" s="0" t="n">
        <f aca="false">COUNTIF(DU714:EH714, "&lt;&gt;")</f>
        <v>7</v>
      </c>
      <c r="AZ714" s="0" t="n">
        <f aca="false">IF(EH714&lt;&gt;"",1,0)</f>
        <v>1</v>
      </c>
      <c r="BB714" s="0" t="s">
        <v>152</v>
      </c>
      <c r="DL714" s="0" t="s">
        <v>153</v>
      </c>
      <c r="DM714" s="0" t="s">
        <v>175</v>
      </c>
      <c r="DN714" s="0" t="s">
        <v>153</v>
      </c>
      <c r="DS714" s="0" t="s">
        <v>175</v>
      </c>
      <c r="DU714" s="0" t="s">
        <v>153</v>
      </c>
      <c r="DW714" s="0" t="s">
        <v>175</v>
      </c>
      <c r="DX714" s="0" t="s">
        <v>153</v>
      </c>
      <c r="EA714" s="0" t="s">
        <v>153</v>
      </c>
      <c r="ED714" s="0" t="s">
        <v>175</v>
      </c>
      <c r="EF714" s="0" t="s">
        <v>153</v>
      </c>
      <c r="EH714" s="0" t="s">
        <v>175</v>
      </c>
    </row>
    <row r="715" customFormat="false" ht="13.8" hidden="true" customHeight="false" outlineLevel="0" collapsed="false">
      <c r="A715" s="0" t="s">
        <v>3645</v>
      </c>
      <c r="B715" s="0" t="n">
        <v>78</v>
      </c>
      <c r="C715" s="0" t="n">
        <v>376598</v>
      </c>
      <c r="D715" s="0" t="s">
        <v>2420</v>
      </c>
      <c r="E715" s="0" t="s">
        <v>3646</v>
      </c>
      <c r="F715" s="0" t="str">
        <f aca="false">CONCATENATE(D715," ",LEFT(H715,4),"T=",AU715,"D=",AV715,"R=",AW715,"M=",AX715,"L=",AY715,"B=",AZ715)</f>
        <v>JENKINS T=1D=0R=0M=0L=1B=0</v>
      </c>
      <c r="G715" s="0" t="s">
        <v>190</v>
      </c>
      <c r="I715" s="0" t="s">
        <v>3647</v>
      </c>
      <c r="J715" s="0" t="s">
        <v>782</v>
      </c>
      <c r="K715" s="0" t="s">
        <v>160</v>
      </c>
      <c r="M715" s="0" t="s">
        <v>3648</v>
      </c>
      <c r="N715" s="0" t="str">
        <f aca="false">RIGHT(M715,LEN(M715)-FIND(" ",M715))</f>
        <v>HIGH ST NE</v>
      </c>
      <c r="P715" s="0" t="s">
        <v>145</v>
      </c>
      <c r="Q715" s="0" t="s">
        <v>146</v>
      </c>
      <c r="R715" s="0" t="n">
        <v>44483</v>
      </c>
      <c r="AD715" s="0" t="s">
        <v>147</v>
      </c>
      <c r="AE715" s="0" t="s">
        <v>148</v>
      </c>
      <c r="AF715" s="0" t="s">
        <v>149</v>
      </c>
      <c r="AH715" s="0" t="n">
        <v>14</v>
      </c>
      <c r="AI715" s="0" t="n">
        <v>11</v>
      </c>
      <c r="AN715" s="0" t="s">
        <v>145</v>
      </c>
      <c r="AO715" s="0" t="s">
        <v>654</v>
      </c>
      <c r="AP715" s="0" t="s">
        <v>655</v>
      </c>
      <c r="AQ715" s="0" t="n">
        <v>9</v>
      </c>
      <c r="AR715" s="0" t="n">
        <v>64</v>
      </c>
      <c r="AS715" s="0" t="n">
        <v>32</v>
      </c>
      <c r="AU715" s="0" t="n">
        <f aca="false">COUNTA($BA$1479:$EH$1479)</f>
        <v>1</v>
      </c>
      <c r="AV715" s="0" t="n">
        <f aca="false">COUNTIF($BA$1479:$EH$1479,"D")</f>
        <v>0</v>
      </c>
      <c r="AW715" s="0" t="n">
        <f aca="false">COUNTIF($BA$1479:$EH$1479,"R")</f>
        <v>0</v>
      </c>
      <c r="AX715" s="0" t="n">
        <f aca="false">IF(BN715="D",1,0)+IF(BO715="D",1,0)+IF(BT715="D",1,0)+IF(BU715="D",1,0)+IF(BW715="D",1,0)+IF(CC715="D",1,0)+IF(CD715="D",1,0)+IF(CE715="D",1,0)+IF(CF715="D",1,0)+IF(CL715="D",1,0)+IF(CM715="D",1,0)+IF(CQ715="D",1,0)+IF(CR715="D",1,0)+IF(CS715="D",1,0)+IF(CW715="D",1,0)+IF(CX715="D",1,0)+IF(DD715="D",1,0)+IF(DE715="D",1,0)+IF(DJ715="D",1,0)+IF(DK715="D",1,0)+IF(DO715="D",1,0)+IF(DP715="D",1,0)+IF(DQ715="D",1,0)+IF(DW715="D",1,0)+IF(DZ715="D",1,0)+IF(EH715="D",1,0)</f>
        <v>0</v>
      </c>
      <c r="AY715" s="0" t="n">
        <f aca="false">COUNTIF(DU715:EH715, "&lt;&gt;")</f>
        <v>1</v>
      </c>
      <c r="AZ715" s="0" t="n">
        <f aca="false">IF(EH715&lt;&gt;"",1,0)</f>
        <v>0</v>
      </c>
      <c r="BB715" s="0" t="s">
        <v>152</v>
      </c>
      <c r="CP715" s="0" t="s">
        <v>153</v>
      </c>
      <c r="DC715" s="0" t="s">
        <v>153</v>
      </c>
      <c r="DN715" s="0" t="s">
        <v>153</v>
      </c>
      <c r="EF715" s="0" t="s">
        <v>153</v>
      </c>
    </row>
    <row r="716" customFormat="false" ht="13.8" hidden="false" customHeight="false" outlineLevel="0" collapsed="false">
      <c r="A716" s="0" t="s">
        <v>3649</v>
      </c>
      <c r="B716" s="0" t="n">
        <v>78</v>
      </c>
      <c r="C716" s="0" t="n">
        <v>12967</v>
      </c>
      <c r="D716" s="0" t="s">
        <v>3650</v>
      </c>
      <c r="E716" s="0" t="s">
        <v>3651</v>
      </c>
      <c r="F716" s="0" t="str">
        <f aca="false">CONCATENATE(D716," ",LEFT(H716,4),"T=",AU716,"D=",AV716,"R=",AW716,"M=",AX716,"L=",AY716,"B=",AZ716)</f>
        <v>IOANNOU T=1D=0R=0M=4L=5B=0</v>
      </c>
      <c r="G716" s="0" t="s">
        <v>670</v>
      </c>
      <c r="I716" s="0" t="s">
        <v>3652</v>
      </c>
      <c r="J716" s="0" t="s">
        <v>2677</v>
      </c>
      <c r="K716" s="0" t="s">
        <v>160</v>
      </c>
      <c r="L716" s="0" t="s">
        <v>175</v>
      </c>
      <c r="M716" s="0" t="s">
        <v>3653</v>
      </c>
      <c r="N716" s="0" t="str">
        <f aca="false">RIGHT(M716,LEN(M716)-FIND(" ",M716))</f>
        <v>HIGH ST NE</v>
      </c>
      <c r="P716" s="0" t="s">
        <v>145</v>
      </c>
      <c r="Q716" s="0" t="s">
        <v>146</v>
      </c>
      <c r="R716" s="0" t="n">
        <v>44483</v>
      </c>
      <c r="AD716" s="0" t="s">
        <v>147</v>
      </c>
      <c r="AE716" s="0" t="s">
        <v>148</v>
      </c>
      <c r="AF716" s="0" t="s">
        <v>149</v>
      </c>
      <c r="AH716" s="0" t="n">
        <v>14</v>
      </c>
      <c r="AI716" s="0" t="n">
        <v>11</v>
      </c>
      <c r="AN716" s="0" t="s">
        <v>145</v>
      </c>
      <c r="AO716" s="0" t="s">
        <v>654</v>
      </c>
      <c r="AP716" s="0" t="s">
        <v>655</v>
      </c>
      <c r="AQ716" s="0" t="n">
        <v>9</v>
      </c>
      <c r="AR716" s="0" t="n">
        <v>64</v>
      </c>
      <c r="AS716" s="0" t="n">
        <v>32</v>
      </c>
      <c r="AU716" s="0" t="n">
        <f aca="false">COUNTA($BA$1494:$EH$1494)</f>
        <v>1</v>
      </c>
      <c r="AV716" s="0" t="n">
        <f aca="false">COUNTIF($BA$1494:$EH$1494,"D")</f>
        <v>0</v>
      </c>
      <c r="AW716" s="0" t="n">
        <f aca="false">COUNTIF($BA$1494:$EH$1494,"R")</f>
        <v>0</v>
      </c>
      <c r="AX716" s="0" t="n">
        <f aca="false">IF(BN716="D",1,0)+IF(BO716="D",1,0)+IF(BT716="D",1,0)+IF(BU716="D",1,0)+IF(BW716="D",1,0)+IF(CC716="D",1,0)+IF(CD716="D",1,0)+IF(CE716="D",1,0)+IF(CF716="D",1,0)+IF(CL716="D",1,0)+IF(CM716="D",1,0)+IF(CQ716="D",1,0)+IF(CR716="D",1,0)+IF(CS716="D",1,0)+IF(CW716="D",1,0)+IF(CX716="D",1,0)+IF(DD716="D",1,0)+IF(DE716="D",1,0)+IF(DJ716="D",1,0)+IF(DK716="D",1,0)+IF(DO716="D",1,0)+IF(DP716="D",1,0)+IF(DQ716="D",1,0)+IF(DW716="D",1,0)+IF(DZ716="D",1,0)+IF(EH716="D",1,0)</f>
        <v>4</v>
      </c>
      <c r="AY716" s="0" t="n">
        <f aca="false">COUNTIF(DU716:EH716, "&lt;&gt;")</f>
        <v>5</v>
      </c>
      <c r="AZ716" s="0" t="n">
        <f aca="false">IF(EH716&lt;&gt;"",1,0)</f>
        <v>0</v>
      </c>
      <c r="BB716" s="0" t="s">
        <v>152</v>
      </c>
      <c r="BC716" s="0" t="s">
        <v>153</v>
      </c>
      <c r="BD716" s="0" t="s">
        <v>153</v>
      </c>
      <c r="BE716" s="0" t="s">
        <v>153</v>
      </c>
      <c r="BF716" s="0" t="s">
        <v>153</v>
      </c>
      <c r="BG716" s="0" t="s">
        <v>153</v>
      </c>
      <c r="BH716" s="0" t="s">
        <v>153</v>
      </c>
      <c r="BI716" s="0" t="s">
        <v>153</v>
      </c>
      <c r="BJ716" s="0" t="s">
        <v>153</v>
      </c>
      <c r="BK716" s="0" t="s">
        <v>153</v>
      </c>
      <c r="BL716" s="0" t="s">
        <v>153</v>
      </c>
      <c r="BP716" s="0" t="s">
        <v>153</v>
      </c>
      <c r="BR716" s="0" t="s">
        <v>153</v>
      </c>
      <c r="BS716" s="0" t="s">
        <v>153</v>
      </c>
      <c r="BT716" s="0" t="s">
        <v>153</v>
      </c>
      <c r="BV716" s="0" t="s">
        <v>153</v>
      </c>
      <c r="BY716" s="0" t="s">
        <v>175</v>
      </c>
      <c r="CA716" s="0" t="s">
        <v>153</v>
      </c>
      <c r="CG716" s="0" t="s">
        <v>153</v>
      </c>
      <c r="CH716" s="0" t="s">
        <v>175</v>
      </c>
      <c r="CK716" s="0" t="s">
        <v>153</v>
      </c>
      <c r="CL716" s="0" t="s">
        <v>175</v>
      </c>
      <c r="CN716" s="0" t="s">
        <v>153</v>
      </c>
      <c r="CP716" s="0" t="s">
        <v>153</v>
      </c>
      <c r="CT716" s="0" t="s">
        <v>153</v>
      </c>
      <c r="CU716" s="0" t="s">
        <v>175</v>
      </c>
      <c r="CV716" s="0" t="s">
        <v>153</v>
      </c>
      <c r="CW716" s="0" t="s">
        <v>175</v>
      </c>
      <c r="CY716" s="0" t="s">
        <v>153</v>
      </c>
      <c r="CZ716" s="0" t="s">
        <v>175</v>
      </c>
      <c r="DC716" s="0" t="s">
        <v>153</v>
      </c>
      <c r="DF716" s="0" t="s">
        <v>153</v>
      </c>
      <c r="DG716" s="0" t="s">
        <v>175</v>
      </c>
      <c r="DI716" s="0" t="s">
        <v>153</v>
      </c>
      <c r="DJ716" s="0" t="s">
        <v>175</v>
      </c>
      <c r="DL716" s="0" t="s">
        <v>153</v>
      </c>
      <c r="DM716" s="0" t="s">
        <v>175</v>
      </c>
      <c r="DN716" s="0" t="s">
        <v>153</v>
      </c>
      <c r="DS716" s="0" t="s">
        <v>175</v>
      </c>
      <c r="DU716" s="0" t="s">
        <v>153</v>
      </c>
      <c r="DW716" s="0" t="s">
        <v>175</v>
      </c>
      <c r="DX716" s="0" t="s">
        <v>153</v>
      </c>
      <c r="ED716" s="0" t="s">
        <v>175</v>
      </c>
      <c r="EF716" s="0" t="s">
        <v>153</v>
      </c>
    </row>
    <row r="717" customFormat="false" ht="13.8" hidden="false" customHeight="false" outlineLevel="0" collapsed="false">
      <c r="A717" s="0" t="s">
        <v>3654</v>
      </c>
      <c r="B717" s="0" t="n">
        <v>78</v>
      </c>
      <c r="C717" s="0" t="n">
        <v>485184</v>
      </c>
      <c r="D717" s="0" t="s">
        <v>3655</v>
      </c>
      <c r="E717" s="0" t="s">
        <v>3656</v>
      </c>
      <c r="F717" s="0" t="str">
        <f aca="false">CONCATENATE(D717," ",LEFT(H717,4),"T=",AU717,"D=",AV717,"R=",AW717,"M=",AX717,"L=",AY717,"B=",AZ717)</f>
        <v>STANICK T=1D=0R=0M=0L=2B=0</v>
      </c>
      <c r="G717" s="0" t="s">
        <v>307</v>
      </c>
      <c r="I717" s="0" t="s">
        <v>3657</v>
      </c>
      <c r="J717" s="0" t="s">
        <v>2015</v>
      </c>
      <c r="K717" s="0" t="s">
        <v>160</v>
      </c>
      <c r="M717" s="0" t="s">
        <v>3658</v>
      </c>
      <c r="N717" s="0" t="str">
        <f aca="false">RIGHT(M717,LEN(M717)-FIND(" ",M717))</f>
        <v>HIGH ST NE</v>
      </c>
      <c r="P717" s="0" t="s">
        <v>145</v>
      </c>
      <c r="Q717" s="0" t="s">
        <v>146</v>
      </c>
      <c r="R717" s="0" t="n">
        <v>44483</v>
      </c>
      <c r="AD717" s="0" t="s">
        <v>147</v>
      </c>
      <c r="AE717" s="0" t="s">
        <v>148</v>
      </c>
      <c r="AF717" s="0" t="s">
        <v>149</v>
      </c>
      <c r="AH717" s="0" t="n">
        <v>14</v>
      </c>
      <c r="AI717" s="0" t="n">
        <v>11</v>
      </c>
      <c r="AN717" s="0" t="s">
        <v>145</v>
      </c>
      <c r="AO717" s="0" t="s">
        <v>654</v>
      </c>
      <c r="AP717" s="0" t="s">
        <v>655</v>
      </c>
      <c r="AQ717" s="0" t="n">
        <v>9</v>
      </c>
      <c r="AR717" s="0" t="n">
        <v>64</v>
      </c>
      <c r="AS717" s="0" t="n">
        <v>32</v>
      </c>
      <c r="AU717" s="0" t="n">
        <f aca="false">COUNTA($BA$1517:$EH$1517)</f>
        <v>1</v>
      </c>
      <c r="AV717" s="0" t="n">
        <f aca="false">COUNTIF($BA$1517:$EH$1517,"D")</f>
        <v>0</v>
      </c>
      <c r="AW717" s="0" t="n">
        <f aca="false">COUNTIF($BA$1517:$EH$1517,"R")</f>
        <v>0</v>
      </c>
      <c r="AX717" s="0" t="n">
        <f aca="false">IF(BN717="D",1,0)+IF(BO717="D",1,0)+IF(BT717="D",1,0)+IF(BU717="D",1,0)+IF(BW717="D",1,0)+IF(CC717="D",1,0)+IF(CD717="D",1,0)+IF(CE717="D",1,0)+IF(CF717="D",1,0)+IF(CL717="D",1,0)+IF(CM717="D",1,0)+IF(CQ717="D",1,0)+IF(CR717="D",1,0)+IF(CS717="D",1,0)+IF(CW717="D",1,0)+IF(CX717="D",1,0)+IF(DD717="D",1,0)+IF(DE717="D",1,0)+IF(DJ717="D",1,0)+IF(DK717="D",1,0)+IF(DO717="D",1,0)+IF(DP717="D",1,0)+IF(DQ717="D",1,0)+IF(DW717="D",1,0)+IF(DZ717="D",1,0)+IF(EH717="D",1,0)</f>
        <v>0</v>
      </c>
      <c r="AY717" s="0" t="n">
        <f aca="false">COUNTIF(DU717:EH717, "&lt;&gt;")</f>
        <v>2</v>
      </c>
      <c r="AZ717" s="0" t="n">
        <f aca="false">IF(EH717&lt;&gt;"",1,0)</f>
        <v>0</v>
      </c>
      <c r="BB717" s="0" t="s">
        <v>152</v>
      </c>
      <c r="BD717" s="0" t="s">
        <v>153</v>
      </c>
      <c r="BK717" s="0" t="s">
        <v>175</v>
      </c>
      <c r="BL717" s="0" t="s">
        <v>153</v>
      </c>
      <c r="BP717" s="0" t="s">
        <v>153</v>
      </c>
      <c r="BS717" s="0" t="s">
        <v>153</v>
      </c>
      <c r="BV717" s="0" t="s">
        <v>153</v>
      </c>
      <c r="BY717" s="0" t="s">
        <v>175</v>
      </c>
      <c r="CA717" s="0" t="s">
        <v>153</v>
      </c>
      <c r="CG717" s="0" t="s">
        <v>153</v>
      </c>
      <c r="CH717" s="0" t="s">
        <v>175</v>
      </c>
      <c r="CP717" s="0" t="s">
        <v>153</v>
      </c>
      <c r="CV717" s="0" t="s">
        <v>153</v>
      </c>
      <c r="CY717" s="0" t="s">
        <v>153</v>
      </c>
      <c r="CZ717" s="0" t="s">
        <v>175</v>
      </c>
      <c r="DC717" s="0" t="s">
        <v>153</v>
      </c>
      <c r="DI717" s="0" t="s">
        <v>153</v>
      </c>
      <c r="DL717" s="0" t="s">
        <v>153</v>
      </c>
      <c r="DM717" s="0" t="s">
        <v>175</v>
      </c>
      <c r="DN717" s="0" t="s">
        <v>153</v>
      </c>
      <c r="DS717" s="0" t="s">
        <v>175</v>
      </c>
      <c r="DU717" s="0" t="s">
        <v>153</v>
      </c>
      <c r="EF717" s="0" t="s">
        <v>153</v>
      </c>
    </row>
    <row r="718" customFormat="false" ht="13.8" hidden="true" customHeight="false" outlineLevel="0" collapsed="false">
      <c r="A718" s="0" t="s">
        <v>3659</v>
      </c>
      <c r="B718" s="0" t="n">
        <v>78</v>
      </c>
      <c r="C718" s="0" t="n">
        <v>431417</v>
      </c>
      <c r="D718" s="0" t="s">
        <v>3660</v>
      </c>
      <c r="E718" s="0" t="s">
        <v>3661</v>
      </c>
      <c r="F718" s="0" t="str">
        <f aca="false">CONCATENATE(D718," ",LEFT(H718,4),"T=",AU718,"D=",AV718,"R=",AW718,"M=",AX718,"L=",AY718,"B=",AZ718)</f>
        <v>WALLER T=40D=10R=0M=0L=0B=0</v>
      </c>
      <c r="I718" s="0" t="s">
        <v>3662</v>
      </c>
      <c r="J718" s="0" t="s">
        <v>3663</v>
      </c>
      <c r="K718" s="0" t="s">
        <v>143</v>
      </c>
      <c r="M718" s="0" t="s">
        <v>3658</v>
      </c>
      <c r="N718" s="0" t="str">
        <f aca="false">RIGHT(M718,LEN(M718)-FIND(" ",M718))</f>
        <v>HIGH ST NE</v>
      </c>
      <c r="P718" s="0" t="s">
        <v>145</v>
      </c>
      <c r="Q718" s="0" t="s">
        <v>146</v>
      </c>
      <c r="R718" s="0" t="n">
        <v>44483</v>
      </c>
      <c r="AD718" s="0" t="s">
        <v>147</v>
      </c>
      <c r="AE718" s="0" t="s">
        <v>148</v>
      </c>
      <c r="AF718" s="0" t="s">
        <v>149</v>
      </c>
      <c r="AH718" s="0" t="n">
        <v>14</v>
      </c>
      <c r="AI718" s="0" t="n">
        <v>11</v>
      </c>
      <c r="AN718" s="0" t="s">
        <v>145</v>
      </c>
      <c r="AO718" s="0" t="s">
        <v>654</v>
      </c>
      <c r="AP718" s="0" t="s">
        <v>655</v>
      </c>
      <c r="AQ718" s="0" t="n">
        <v>9</v>
      </c>
      <c r="AR718" s="0" t="n">
        <v>64</v>
      </c>
      <c r="AS718" s="0" t="n">
        <v>32</v>
      </c>
      <c r="AU718" s="0" t="n">
        <f aca="false">COUNTA($BA$1710:$EH$1710)</f>
        <v>40</v>
      </c>
      <c r="AV718" s="0" t="n">
        <f aca="false">COUNTIF($BA$1710:$EH$1710,"D")</f>
        <v>10</v>
      </c>
      <c r="AW718" s="0" t="n">
        <f aca="false">COUNTIF($BA$1710:$EH$1710,"R")</f>
        <v>0</v>
      </c>
      <c r="AX718" s="0" t="n">
        <f aca="false">IF(BN718="D",1,0)+IF(BO718="D",1,0)+IF(BT718="D",1,0)+IF(BU718="D",1,0)+IF(BW718="D",1,0)+IF(CC718="D",1,0)+IF(CD718="D",1,0)+IF(CE718="D",1,0)+IF(CF718="D",1,0)+IF(CL718="D",1,0)+IF(CM718="D",1,0)+IF(CQ718="D",1,0)+IF(CR718="D",1,0)+IF(CS718="D",1,0)+IF(CW718="D",1,0)+IF(CX718="D",1,0)+IF(DD718="D",1,0)+IF(DE718="D",1,0)+IF(DJ718="D",1,0)+IF(DK718="D",1,0)+IF(DO718="D",1,0)+IF(DP718="D",1,0)+IF(DQ718="D",1,0)+IF(DW718="D",1,0)+IF(DZ718="D",1,0)+IF(EH718="D",1,0)</f>
        <v>0</v>
      </c>
      <c r="AY718" s="0" t="n">
        <f aca="false">COUNTIF(DU718:EH718, "&lt;&gt;")</f>
        <v>0</v>
      </c>
      <c r="AZ718" s="0" t="n">
        <f aca="false">IF(EH718&lt;&gt;"",1,0)</f>
        <v>0</v>
      </c>
      <c r="BB718" s="0" t="s">
        <v>152</v>
      </c>
    </row>
    <row r="719" customFormat="false" ht="13.8" hidden="false" customHeight="false" outlineLevel="0" collapsed="false">
      <c r="A719" s="0" t="s">
        <v>3664</v>
      </c>
      <c r="B719" s="0" t="n">
        <v>78</v>
      </c>
      <c r="C719" s="0" t="n">
        <v>197544</v>
      </c>
      <c r="D719" s="0" t="s">
        <v>3665</v>
      </c>
      <c r="E719" s="0" t="s">
        <v>324</v>
      </c>
      <c r="F719" s="0" t="str">
        <f aca="false">CONCATENATE(D719," ",LEFT(H719,4),"T=",AU719,"D=",AV719,"R=",AW719,"M=",AX719,"L=",AY719,"B=",AZ719)</f>
        <v>TICORAS T=1D=0R=0M=3L=7B=1</v>
      </c>
      <c r="G719" s="0" t="s">
        <v>331</v>
      </c>
      <c r="I719" s="0" t="s">
        <v>3666</v>
      </c>
      <c r="J719" s="0" t="s">
        <v>3667</v>
      </c>
      <c r="K719" s="0" t="s">
        <v>160</v>
      </c>
      <c r="L719" s="0" t="s">
        <v>175</v>
      </c>
      <c r="M719" s="0" t="s">
        <v>3668</v>
      </c>
      <c r="N719" s="0" t="str">
        <f aca="false">RIGHT(M719,LEN(M719)-FIND(" ",M719))</f>
        <v>HIGH ST NE</v>
      </c>
      <c r="P719" s="0" t="s">
        <v>145</v>
      </c>
      <c r="Q719" s="0" t="s">
        <v>146</v>
      </c>
      <c r="R719" s="0" t="n">
        <v>44483</v>
      </c>
      <c r="AD719" s="0" t="s">
        <v>147</v>
      </c>
      <c r="AE719" s="0" t="s">
        <v>148</v>
      </c>
      <c r="AF719" s="0" t="s">
        <v>149</v>
      </c>
      <c r="AH719" s="0" t="n">
        <v>14</v>
      </c>
      <c r="AI719" s="0" t="n">
        <v>11</v>
      </c>
      <c r="AN719" s="0" t="s">
        <v>145</v>
      </c>
      <c r="AO719" s="0" t="s">
        <v>654</v>
      </c>
      <c r="AP719" s="0" t="s">
        <v>655</v>
      </c>
      <c r="AQ719" s="0" t="n">
        <v>9</v>
      </c>
      <c r="AR719" s="0" t="n">
        <v>64</v>
      </c>
      <c r="AS719" s="0" t="n">
        <v>32</v>
      </c>
      <c r="AU719" s="0" t="n">
        <f aca="false">COUNTA($BA$1320:$EH$1320)</f>
        <v>1</v>
      </c>
      <c r="AV719" s="0" t="n">
        <f aca="false">COUNTIF($BA$1320:$EH$1320,"D")</f>
        <v>0</v>
      </c>
      <c r="AW719" s="0" t="n">
        <f aca="false">COUNTIF($BA$1320:$EH$1320,"R")</f>
        <v>0</v>
      </c>
      <c r="AX719" s="0" t="n">
        <f aca="false">IF(BN719="D",1,0)+IF(BO719="D",1,0)+IF(BT719="D",1,0)+IF(BU719="D",1,0)+IF(BW719="D",1,0)+IF(CC719="D",1,0)+IF(CD719="D",1,0)+IF(CE719="D",1,0)+IF(CF719="D",1,0)+IF(CL719="D",1,0)+IF(CM719="D",1,0)+IF(CQ719="D",1,0)+IF(CR719="D",1,0)+IF(CS719="D",1,0)+IF(CW719="D",1,0)+IF(CX719="D",1,0)+IF(DD719="D",1,0)+IF(DE719="D",1,0)+IF(DJ719="D",1,0)+IF(DK719="D",1,0)+IF(DO719="D",1,0)+IF(DP719="D",1,0)+IF(DQ719="D",1,0)+IF(DW719="D",1,0)+IF(DZ719="D",1,0)+IF(EH719="D",1,0)</f>
        <v>3</v>
      </c>
      <c r="AY719" s="0" t="n">
        <f aca="false">COUNTIF(DU719:EH719, "&lt;&gt;")</f>
        <v>7</v>
      </c>
      <c r="AZ719" s="0" t="n">
        <f aca="false">IF(EH719&lt;&gt;"",1,0)</f>
        <v>1</v>
      </c>
      <c r="BB719" s="0" t="s">
        <v>152</v>
      </c>
      <c r="BC719" s="0" t="s">
        <v>153</v>
      </c>
      <c r="BD719" s="0" t="s">
        <v>153</v>
      </c>
      <c r="BF719" s="0" t="s">
        <v>153</v>
      </c>
      <c r="BG719" s="0" t="s">
        <v>153</v>
      </c>
      <c r="BH719" s="0" t="s">
        <v>153</v>
      </c>
      <c r="BI719" s="0" t="s">
        <v>153</v>
      </c>
      <c r="BJ719" s="0" t="s">
        <v>153</v>
      </c>
      <c r="BK719" s="0" t="s">
        <v>153</v>
      </c>
      <c r="BL719" s="0" t="s">
        <v>153</v>
      </c>
      <c r="BS719" s="0" t="s">
        <v>153</v>
      </c>
      <c r="BY719" s="0" t="s">
        <v>209</v>
      </c>
      <c r="CG719" s="0" t="s">
        <v>153</v>
      </c>
      <c r="CH719" s="0" t="s">
        <v>175</v>
      </c>
      <c r="CK719" s="0" t="s">
        <v>153</v>
      </c>
      <c r="CN719" s="0" t="s">
        <v>153</v>
      </c>
      <c r="CP719" s="0" t="s">
        <v>153</v>
      </c>
      <c r="CT719" s="0" t="s">
        <v>153</v>
      </c>
      <c r="CU719" s="0" t="s">
        <v>175</v>
      </c>
      <c r="CV719" s="0" t="s">
        <v>153</v>
      </c>
      <c r="CY719" s="0" t="s">
        <v>153</v>
      </c>
      <c r="CZ719" s="0" t="s">
        <v>175</v>
      </c>
      <c r="DC719" s="0" t="s">
        <v>153</v>
      </c>
      <c r="DF719" s="0" t="s">
        <v>153</v>
      </c>
      <c r="DG719" s="0" t="s">
        <v>175</v>
      </c>
      <c r="DI719" s="0" t="s">
        <v>153</v>
      </c>
      <c r="DJ719" s="0" t="s">
        <v>175</v>
      </c>
      <c r="DL719" s="0" t="s">
        <v>153</v>
      </c>
      <c r="DM719" s="0" t="s">
        <v>175</v>
      </c>
      <c r="DN719" s="0" t="s">
        <v>153</v>
      </c>
      <c r="DR719" s="0" t="s">
        <v>153</v>
      </c>
      <c r="DS719" s="0" t="s">
        <v>175</v>
      </c>
      <c r="DT719" s="0" t="s">
        <v>175</v>
      </c>
      <c r="DU719" s="0" t="s">
        <v>153</v>
      </c>
      <c r="DW719" s="0" t="s">
        <v>175</v>
      </c>
      <c r="DX719" s="0" t="s">
        <v>153</v>
      </c>
      <c r="EA719" s="0" t="s">
        <v>153</v>
      </c>
      <c r="ED719" s="0" t="s">
        <v>175</v>
      </c>
      <c r="EF719" s="0" t="s">
        <v>153</v>
      </c>
      <c r="EH719" s="0" t="s">
        <v>175</v>
      </c>
    </row>
    <row r="720" customFormat="false" ht="13.8" hidden="false" customHeight="false" outlineLevel="0" collapsed="false">
      <c r="A720" s="0" t="s">
        <v>3669</v>
      </c>
      <c r="B720" s="0" t="n">
        <v>78</v>
      </c>
      <c r="C720" s="0" t="n">
        <v>357144</v>
      </c>
      <c r="D720" s="0" t="s">
        <v>468</v>
      </c>
      <c r="E720" s="0" t="s">
        <v>3670</v>
      </c>
      <c r="F720" s="0" t="str">
        <f aca="false">CONCATENATE(D720," ",LEFT(H720,4),"T=",AU720,"D=",AV720,"R=",AW720,"M=",AX720,"L=",AY720,"B=",AZ720)</f>
        <v>EVANS T=18D=6R=0M=0L=5B=0</v>
      </c>
      <c r="G720" s="0" t="s">
        <v>351</v>
      </c>
      <c r="I720" s="0" t="s">
        <v>3671</v>
      </c>
      <c r="J720" s="0" t="s">
        <v>3672</v>
      </c>
      <c r="K720" s="0" t="s">
        <v>160</v>
      </c>
      <c r="L720" s="0" t="s">
        <v>209</v>
      </c>
      <c r="M720" s="0" t="s">
        <v>3673</v>
      </c>
      <c r="N720" s="0" t="str">
        <f aca="false">RIGHT(M720,LEN(M720)-FIND(" ",M720))</f>
        <v>HIGH ST NE</v>
      </c>
      <c r="P720" s="0" t="s">
        <v>145</v>
      </c>
      <c r="Q720" s="0" t="s">
        <v>146</v>
      </c>
      <c r="R720" s="0" t="n">
        <v>44483</v>
      </c>
      <c r="AD720" s="0" t="s">
        <v>147</v>
      </c>
      <c r="AE720" s="0" t="s">
        <v>148</v>
      </c>
      <c r="AF720" s="0" t="s">
        <v>149</v>
      </c>
      <c r="AH720" s="0" t="n">
        <v>14</v>
      </c>
      <c r="AI720" s="0" t="n">
        <v>11</v>
      </c>
      <c r="AN720" s="0" t="s">
        <v>145</v>
      </c>
      <c r="AO720" s="0" t="s">
        <v>654</v>
      </c>
      <c r="AP720" s="0" t="s">
        <v>655</v>
      </c>
      <c r="AQ720" s="0" t="n">
        <v>9</v>
      </c>
      <c r="AR720" s="0" t="n">
        <v>64</v>
      </c>
      <c r="AS720" s="0" t="n">
        <v>32</v>
      </c>
      <c r="AU720" s="0" t="n">
        <f aca="false">COUNTA($BA$1476:$EH$1476)</f>
        <v>18</v>
      </c>
      <c r="AV720" s="0" t="n">
        <f aca="false">COUNTIF($BA$1476:$EH$1476,"D")</f>
        <v>6</v>
      </c>
      <c r="AW720" s="0" t="n">
        <f aca="false">COUNTIF($BA$1476:$EH$1476,"R")</f>
        <v>0</v>
      </c>
      <c r="AX720" s="0" t="n">
        <f aca="false">IF(BN720="D",1,0)+IF(BO720="D",1,0)+IF(BT720="D",1,0)+IF(BU720="D",1,0)+IF(BW720="D",1,0)+IF(CC720="D",1,0)+IF(CD720="D",1,0)+IF(CE720="D",1,0)+IF(CF720="D",1,0)+IF(CL720="D",1,0)+IF(CM720="D",1,0)+IF(CQ720="D",1,0)+IF(CR720="D",1,0)+IF(CS720="D",1,0)+IF(CW720="D",1,0)+IF(CX720="D",1,0)+IF(DD720="D",1,0)+IF(DE720="D",1,0)+IF(DJ720="D",1,0)+IF(DK720="D",1,0)+IF(DO720="D",1,0)+IF(DP720="D",1,0)+IF(DQ720="D",1,0)+IF(DW720="D",1,0)+IF(DZ720="D",1,0)+IF(EH720="D",1,0)</f>
        <v>0</v>
      </c>
      <c r="AY720" s="0" t="n">
        <f aca="false">COUNTIF(DU720:EH720, "&lt;&gt;")</f>
        <v>5</v>
      </c>
      <c r="AZ720" s="0" t="n">
        <f aca="false">IF(EH720&lt;&gt;"",1,0)</f>
        <v>0</v>
      </c>
      <c r="BB720" s="0" t="s">
        <v>152</v>
      </c>
      <c r="CA720" s="0" t="s">
        <v>153</v>
      </c>
      <c r="CK720" s="0" t="s">
        <v>153</v>
      </c>
      <c r="CO720" s="0" t="s">
        <v>209</v>
      </c>
      <c r="CP720" s="0" t="s">
        <v>153</v>
      </c>
      <c r="CY720" s="0" t="s">
        <v>153</v>
      </c>
      <c r="CZ720" s="0" t="s">
        <v>209</v>
      </c>
      <c r="DC720" s="0" t="s">
        <v>153</v>
      </c>
      <c r="DG720" s="0" t="s">
        <v>209</v>
      </c>
      <c r="DI720" s="0" t="s">
        <v>153</v>
      </c>
      <c r="DL720" s="0" t="s">
        <v>153</v>
      </c>
      <c r="DN720" s="0" t="s">
        <v>153</v>
      </c>
      <c r="DR720" s="0" t="s">
        <v>153</v>
      </c>
      <c r="DS720" s="0" t="s">
        <v>209</v>
      </c>
      <c r="DU720" s="0" t="s">
        <v>153</v>
      </c>
      <c r="DX720" s="0" t="s">
        <v>153</v>
      </c>
      <c r="EA720" s="0" t="s">
        <v>153</v>
      </c>
      <c r="ED720" s="0" t="s">
        <v>209</v>
      </c>
      <c r="EF720" s="0" t="s">
        <v>153</v>
      </c>
    </row>
    <row r="721" customFormat="false" ht="13.8" hidden="false" customHeight="false" outlineLevel="0" collapsed="false">
      <c r="A721" s="0" t="s">
        <v>3674</v>
      </c>
      <c r="B721" s="0" t="n">
        <v>78</v>
      </c>
      <c r="C721" s="0" t="n">
        <v>356623</v>
      </c>
      <c r="D721" s="0" t="s">
        <v>3675</v>
      </c>
      <c r="E721" s="0" t="s">
        <v>3676</v>
      </c>
      <c r="F721" s="0" t="str">
        <f aca="false">CONCATENATE(D721," ",LEFT(H721,4),"T=",AU721,"D=",AV721,"R=",AW721,"M=",AX721,"L=",AY721,"B=",AZ721)</f>
        <v>DONAHUE T=3D=0R=0M=0L=5B=0</v>
      </c>
      <c r="I721" s="0" t="s">
        <v>3677</v>
      </c>
      <c r="J721" s="0" t="s">
        <v>3678</v>
      </c>
      <c r="K721" s="0" t="s">
        <v>160</v>
      </c>
      <c r="L721" s="0" t="s">
        <v>209</v>
      </c>
      <c r="M721" s="0" t="s">
        <v>3673</v>
      </c>
      <c r="N721" s="0" t="str">
        <f aca="false">RIGHT(M721,LEN(M721)-FIND(" ",M721))</f>
        <v>HIGH ST NE</v>
      </c>
      <c r="P721" s="0" t="s">
        <v>145</v>
      </c>
      <c r="Q721" s="0" t="s">
        <v>146</v>
      </c>
      <c r="R721" s="0" t="n">
        <v>44483</v>
      </c>
      <c r="AD721" s="0" t="s">
        <v>147</v>
      </c>
      <c r="AE721" s="0" t="s">
        <v>148</v>
      </c>
      <c r="AF721" s="0" t="s">
        <v>149</v>
      </c>
      <c r="AH721" s="0" t="n">
        <v>14</v>
      </c>
      <c r="AI721" s="0" t="n">
        <v>11</v>
      </c>
      <c r="AN721" s="0" t="s">
        <v>145</v>
      </c>
      <c r="AO721" s="0" t="s">
        <v>654</v>
      </c>
      <c r="AP721" s="0" t="s">
        <v>655</v>
      </c>
      <c r="AQ721" s="0" t="n">
        <v>9</v>
      </c>
      <c r="AR721" s="0" t="n">
        <v>64</v>
      </c>
      <c r="AS721" s="0" t="n">
        <v>32</v>
      </c>
      <c r="AU721" s="0" t="n">
        <f aca="false">COUNTA($BA$1477:$EH$1477)</f>
        <v>3</v>
      </c>
      <c r="AV721" s="0" t="n">
        <f aca="false">COUNTIF($BA$1477:$EH$1477,"D")</f>
        <v>0</v>
      </c>
      <c r="AW721" s="0" t="n">
        <f aca="false">COUNTIF($BA$1477:$EH$1477,"R")</f>
        <v>0</v>
      </c>
      <c r="AX721" s="0" t="n">
        <f aca="false">IF(BN721="D",1,0)+IF(BO721="D",1,0)+IF(BT721="D",1,0)+IF(BU721="D",1,0)+IF(BW721="D",1,0)+IF(CC721="D",1,0)+IF(CD721="D",1,0)+IF(CE721="D",1,0)+IF(CF721="D",1,0)+IF(CL721="D",1,0)+IF(CM721="D",1,0)+IF(CQ721="D",1,0)+IF(CR721="D",1,0)+IF(CS721="D",1,0)+IF(CW721="D",1,0)+IF(CX721="D",1,0)+IF(DD721="D",1,0)+IF(DE721="D",1,0)+IF(DJ721="D",1,0)+IF(DK721="D",1,0)+IF(DO721="D",1,0)+IF(DP721="D",1,0)+IF(DQ721="D",1,0)+IF(DW721="D",1,0)+IF(DZ721="D",1,0)+IF(EH721="D",1,0)</f>
        <v>0</v>
      </c>
      <c r="AY721" s="0" t="n">
        <f aca="false">COUNTIF(DU721:EH721, "&lt;&gt;")</f>
        <v>5</v>
      </c>
      <c r="AZ721" s="0" t="n">
        <f aca="false">IF(EH721&lt;&gt;"",1,0)</f>
        <v>0</v>
      </c>
      <c r="BB721" s="0" t="s">
        <v>152</v>
      </c>
      <c r="BL721" s="0" t="s">
        <v>153</v>
      </c>
      <c r="CA721" s="0" t="s">
        <v>153</v>
      </c>
      <c r="CK721" s="0" t="s">
        <v>153</v>
      </c>
      <c r="CO721" s="0" t="s">
        <v>209</v>
      </c>
      <c r="CP721" s="0" t="s">
        <v>153</v>
      </c>
      <c r="CY721" s="0" t="s">
        <v>153</v>
      </c>
      <c r="CZ721" s="0" t="s">
        <v>209</v>
      </c>
      <c r="DC721" s="0" t="s">
        <v>153</v>
      </c>
      <c r="DG721" s="0" t="s">
        <v>209</v>
      </c>
      <c r="DI721" s="0" t="s">
        <v>153</v>
      </c>
      <c r="DL721" s="0" t="s">
        <v>153</v>
      </c>
      <c r="DN721" s="0" t="s">
        <v>153</v>
      </c>
      <c r="DR721" s="0" t="s">
        <v>153</v>
      </c>
      <c r="DS721" s="0" t="s">
        <v>209</v>
      </c>
      <c r="DU721" s="0" t="s">
        <v>153</v>
      </c>
      <c r="DX721" s="0" t="s">
        <v>153</v>
      </c>
      <c r="EA721" s="0" t="s">
        <v>153</v>
      </c>
      <c r="ED721" s="0" t="s">
        <v>209</v>
      </c>
      <c r="EF721" s="0" t="s">
        <v>153</v>
      </c>
    </row>
    <row r="722" customFormat="false" ht="13.8" hidden="false" customHeight="false" outlineLevel="0" collapsed="false">
      <c r="A722" s="0" t="s">
        <v>3679</v>
      </c>
      <c r="B722" s="0" t="n">
        <v>78</v>
      </c>
      <c r="C722" s="0" t="n">
        <v>12918</v>
      </c>
      <c r="D722" s="0" t="s">
        <v>3675</v>
      </c>
      <c r="E722" s="0" t="s">
        <v>2814</v>
      </c>
      <c r="F722" s="0" t="str">
        <f aca="false">CONCATENATE(D722," ",LEFT(H722,4),"T=",AU722,"D=",AV722,"R=",AW722,"M=",AX722,"L=",AY722,"B=",AZ722)</f>
        <v>DONAHUE T=25D=0R=3M=0L=5B=0</v>
      </c>
      <c r="G722" s="0" t="s">
        <v>670</v>
      </c>
      <c r="I722" s="0" t="s">
        <v>3680</v>
      </c>
      <c r="J722" s="0" t="s">
        <v>3681</v>
      </c>
      <c r="K722" s="0" t="s">
        <v>160</v>
      </c>
      <c r="L722" s="0" t="s">
        <v>209</v>
      </c>
      <c r="M722" s="0" t="s">
        <v>3673</v>
      </c>
      <c r="N722" s="0" t="str">
        <f aca="false">RIGHT(M722,LEN(M722)-FIND(" ",M722))</f>
        <v>HIGH ST NE</v>
      </c>
      <c r="P722" s="0" t="s">
        <v>145</v>
      </c>
      <c r="Q722" s="0" t="s">
        <v>146</v>
      </c>
      <c r="R722" s="0" t="n">
        <v>44483</v>
      </c>
      <c r="AD722" s="0" t="s">
        <v>147</v>
      </c>
      <c r="AE722" s="0" t="s">
        <v>148</v>
      </c>
      <c r="AF722" s="0" t="s">
        <v>149</v>
      </c>
      <c r="AH722" s="0" t="n">
        <v>14</v>
      </c>
      <c r="AI722" s="0" t="n">
        <v>11</v>
      </c>
      <c r="AN722" s="0" t="s">
        <v>145</v>
      </c>
      <c r="AO722" s="0" t="s">
        <v>654</v>
      </c>
      <c r="AP722" s="0" t="s">
        <v>655</v>
      </c>
      <c r="AQ722" s="0" t="n">
        <v>9</v>
      </c>
      <c r="AR722" s="0" t="n">
        <v>64</v>
      </c>
      <c r="AS722" s="0" t="n">
        <v>32</v>
      </c>
      <c r="AU722" s="0" t="n">
        <f aca="false">COUNTA($BA$1513:$EH$1513)</f>
        <v>25</v>
      </c>
      <c r="AV722" s="0" t="n">
        <f aca="false">COUNTIF($BA$1513:$EH$1513,"D")</f>
        <v>0</v>
      </c>
      <c r="AW722" s="0" t="n">
        <f aca="false">COUNTIF($BA$1513:$EH$1513,"R")</f>
        <v>3</v>
      </c>
      <c r="AX722" s="0" t="n">
        <f aca="false">IF(BN722="D",1,0)+IF(BO722="D",1,0)+IF(BT722="D",1,0)+IF(BU722="D",1,0)+IF(BW722="D",1,0)+IF(CC722="D",1,0)+IF(CD722="D",1,0)+IF(CE722="D",1,0)+IF(CF722="D",1,0)+IF(CL722="D",1,0)+IF(CM722="D",1,0)+IF(CQ722="D",1,0)+IF(CR722="D",1,0)+IF(CS722="D",1,0)+IF(CW722="D",1,0)+IF(CX722="D",1,0)+IF(DD722="D",1,0)+IF(DE722="D",1,0)+IF(DJ722="D",1,0)+IF(DK722="D",1,0)+IF(DO722="D",1,0)+IF(DP722="D",1,0)+IF(DQ722="D",1,0)+IF(DW722="D",1,0)+IF(DZ722="D",1,0)+IF(EH722="D",1,0)</f>
        <v>0</v>
      </c>
      <c r="AY722" s="0" t="n">
        <f aca="false">COUNTIF(DU722:EH722, "&lt;&gt;")</f>
        <v>5</v>
      </c>
      <c r="AZ722" s="0" t="n">
        <f aca="false">IF(EH722&lt;&gt;"",1,0)</f>
        <v>0</v>
      </c>
      <c r="BB722" s="0" t="s">
        <v>152</v>
      </c>
      <c r="BC722" s="0" t="s">
        <v>153</v>
      </c>
      <c r="BD722" s="0" t="s">
        <v>153</v>
      </c>
      <c r="BF722" s="0" t="s">
        <v>153</v>
      </c>
      <c r="BG722" s="0" t="s">
        <v>153</v>
      </c>
      <c r="BH722" s="0" t="s">
        <v>153</v>
      </c>
      <c r="BI722" s="0" t="s">
        <v>153</v>
      </c>
      <c r="BL722" s="0" t="s">
        <v>153</v>
      </c>
      <c r="BR722" s="0" t="s">
        <v>153</v>
      </c>
      <c r="BS722" s="0" t="s">
        <v>153</v>
      </c>
      <c r="BY722" s="0" t="s">
        <v>175</v>
      </c>
      <c r="CA722" s="0" t="s">
        <v>153</v>
      </c>
      <c r="CK722" s="0" t="s">
        <v>153</v>
      </c>
      <c r="CN722" s="0" t="s">
        <v>153</v>
      </c>
      <c r="CO722" s="0" t="s">
        <v>209</v>
      </c>
      <c r="CP722" s="0" t="s">
        <v>153</v>
      </c>
      <c r="CZ722" s="0" t="s">
        <v>209</v>
      </c>
      <c r="DC722" s="0" t="s">
        <v>153</v>
      </c>
      <c r="DI722" s="0" t="s">
        <v>153</v>
      </c>
      <c r="DL722" s="0" t="s">
        <v>153</v>
      </c>
      <c r="DN722" s="0" t="s">
        <v>153</v>
      </c>
      <c r="DR722" s="0" t="s">
        <v>153</v>
      </c>
      <c r="DS722" s="0" t="s">
        <v>209</v>
      </c>
      <c r="DT722" s="0" t="s">
        <v>209</v>
      </c>
      <c r="DU722" s="0" t="s">
        <v>153</v>
      </c>
      <c r="DX722" s="0" t="s">
        <v>153</v>
      </c>
      <c r="EA722" s="0" t="s">
        <v>153</v>
      </c>
      <c r="ED722" s="0" t="s">
        <v>209</v>
      </c>
      <c r="EF722" s="0" t="s">
        <v>153</v>
      </c>
    </row>
    <row r="723" customFormat="false" ht="13.8" hidden="true" customHeight="false" outlineLevel="0" collapsed="false">
      <c r="A723" s="0" t="s">
        <v>3682</v>
      </c>
      <c r="B723" s="0" t="n">
        <v>78</v>
      </c>
      <c r="C723" s="0" t="n">
        <v>439085</v>
      </c>
      <c r="D723" s="0" t="s">
        <v>3683</v>
      </c>
      <c r="E723" s="0" t="s">
        <v>292</v>
      </c>
      <c r="F723" s="0" t="str">
        <f aca="false">CONCATENATE(D723," ",LEFT(H723,4),"T=",AU723,"D=",AV723,"R=",AW723,"M=",AX723,"L=",AY723,"B=",AZ723)</f>
        <v>HAFNER T=1D=0R=0M=0L=0B=0</v>
      </c>
      <c r="G723" s="0" t="s">
        <v>202</v>
      </c>
      <c r="I723" s="0" t="s">
        <v>1735</v>
      </c>
      <c r="J723" s="0" t="s">
        <v>1324</v>
      </c>
      <c r="K723" s="0" t="s">
        <v>160</v>
      </c>
      <c r="M723" s="0" t="s">
        <v>3684</v>
      </c>
      <c r="N723" s="0" t="str">
        <f aca="false">RIGHT(M723,LEN(M723)-FIND(" ",M723))</f>
        <v>HIGH ST NE</v>
      </c>
      <c r="P723" s="0" t="s">
        <v>145</v>
      </c>
      <c r="Q723" s="0" t="s">
        <v>146</v>
      </c>
      <c r="R723" s="0" t="n">
        <v>44483</v>
      </c>
      <c r="AD723" s="0" t="s">
        <v>147</v>
      </c>
      <c r="AE723" s="0" t="s">
        <v>148</v>
      </c>
      <c r="AF723" s="0" t="s">
        <v>149</v>
      </c>
      <c r="AH723" s="0" t="n">
        <v>14</v>
      </c>
      <c r="AI723" s="0" t="n">
        <v>11</v>
      </c>
      <c r="AN723" s="0" t="s">
        <v>145</v>
      </c>
      <c r="AO723" s="0" t="s">
        <v>654</v>
      </c>
      <c r="AP723" s="0" t="s">
        <v>655</v>
      </c>
      <c r="AQ723" s="0" t="n">
        <v>9</v>
      </c>
      <c r="AR723" s="0" t="n">
        <v>64</v>
      </c>
      <c r="AS723" s="0" t="n">
        <v>32</v>
      </c>
      <c r="AU723" s="0" t="n">
        <f aca="false">COUNTA($BA$1373:$EH$1373)</f>
        <v>1</v>
      </c>
      <c r="AV723" s="0" t="n">
        <f aca="false">COUNTIF($BA$1373:$EH$1373,"D")</f>
        <v>0</v>
      </c>
      <c r="AW723" s="0" t="n">
        <f aca="false">COUNTIF($BA$1373:$EH$1373,"R")</f>
        <v>0</v>
      </c>
      <c r="AX723" s="0" t="n">
        <f aca="false">IF(BN723="D",1,0)+IF(BO723="D",1,0)+IF(BT723="D",1,0)+IF(BU723="D",1,0)+IF(BW723="D",1,0)+IF(CC723="D",1,0)+IF(CD723="D",1,0)+IF(CE723="D",1,0)+IF(CF723="D",1,0)+IF(CL723="D",1,0)+IF(CM723="D",1,0)+IF(CQ723="D",1,0)+IF(CR723="D",1,0)+IF(CS723="D",1,0)+IF(CW723="D",1,0)+IF(CX723="D",1,0)+IF(DD723="D",1,0)+IF(DE723="D",1,0)+IF(DJ723="D",1,0)+IF(DK723="D",1,0)+IF(DO723="D",1,0)+IF(DP723="D",1,0)+IF(DQ723="D",1,0)+IF(DW723="D",1,0)+IF(DZ723="D",1,0)+IF(EH723="D",1,0)</f>
        <v>0</v>
      </c>
      <c r="AY723" s="0" t="n">
        <f aca="false">COUNTIF(DU723:EH723, "&lt;&gt;")</f>
        <v>0</v>
      </c>
      <c r="AZ723" s="0" t="n">
        <f aca="false">IF(EH723&lt;&gt;"",1,0)</f>
        <v>0</v>
      </c>
      <c r="BB723" s="0" t="s">
        <v>152</v>
      </c>
    </row>
    <row r="724" customFormat="false" ht="13.8" hidden="false" customHeight="false" outlineLevel="0" collapsed="false">
      <c r="A724" s="0" t="s">
        <v>3685</v>
      </c>
      <c r="B724" s="0" t="n">
        <v>78</v>
      </c>
      <c r="C724" s="0" t="n">
        <v>231595</v>
      </c>
      <c r="D724" s="0" t="s">
        <v>3686</v>
      </c>
      <c r="E724" s="0" t="s">
        <v>242</v>
      </c>
      <c r="F724" s="0" t="str">
        <f aca="false">CONCATENATE(D724," ",LEFT(H724,4),"T=",AU724,"D=",AV724,"R=",AW724,"M=",AX724,"L=",AY724,"B=",AZ724)</f>
        <v>PALM T=11D=0R=0M=3L=6B=0</v>
      </c>
      <c r="G724" s="0" t="s">
        <v>164</v>
      </c>
      <c r="I724" s="0" t="s">
        <v>3687</v>
      </c>
      <c r="J724" s="0" t="s">
        <v>3688</v>
      </c>
      <c r="K724" s="0" t="s">
        <v>160</v>
      </c>
      <c r="L724" s="0" t="s">
        <v>175</v>
      </c>
      <c r="M724" s="0" t="s">
        <v>3689</v>
      </c>
      <c r="N724" s="0" t="str">
        <f aca="false">RIGHT(M724,LEN(M724)-FIND(" ",M724))</f>
        <v>HIGH ST NE</v>
      </c>
      <c r="P724" s="0" t="s">
        <v>145</v>
      </c>
      <c r="Q724" s="0" t="s">
        <v>146</v>
      </c>
      <c r="R724" s="0" t="n">
        <v>44483</v>
      </c>
      <c r="AD724" s="0" t="s">
        <v>147</v>
      </c>
      <c r="AE724" s="0" t="s">
        <v>148</v>
      </c>
      <c r="AF724" s="0" t="s">
        <v>149</v>
      </c>
      <c r="AH724" s="0" t="n">
        <v>14</v>
      </c>
      <c r="AI724" s="0" t="n">
        <v>11</v>
      </c>
      <c r="AN724" s="0" t="s">
        <v>145</v>
      </c>
      <c r="AO724" s="0" t="s">
        <v>654</v>
      </c>
      <c r="AP724" s="0" t="s">
        <v>655</v>
      </c>
      <c r="AQ724" s="0" t="n">
        <v>9</v>
      </c>
      <c r="AR724" s="0" t="n">
        <v>64</v>
      </c>
      <c r="AS724" s="0" t="n">
        <v>32</v>
      </c>
      <c r="AU724" s="0" t="n">
        <f aca="false">COUNTA($BA$1495:$EH$1495)</f>
        <v>11</v>
      </c>
      <c r="AV724" s="0" t="n">
        <f aca="false">COUNTIF($BA$1495:$EH$1495,"D")</f>
        <v>0</v>
      </c>
      <c r="AW724" s="0" t="n">
        <f aca="false">COUNTIF($BA$1495:$EH$1495,"R")</f>
        <v>0</v>
      </c>
      <c r="AX724" s="0" t="n">
        <f aca="false">IF(BN724="D",1,0)+IF(BO724="D",1,0)+IF(BT724="D",1,0)+IF(BU724="D",1,0)+IF(BW724="D",1,0)+IF(CC724="D",1,0)+IF(CD724="D",1,0)+IF(CE724="D",1,0)+IF(CF724="D",1,0)+IF(CL724="D",1,0)+IF(CM724="D",1,0)+IF(CQ724="D",1,0)+IF(CR724="D",1,0)+IF(CS724="D",1,0)+IF(CW724="D",1,0)+IF(CX724="D",1,0)+IF(DD724="D",1,0)+IF(DE724="D",1,0)+IF(DJ724="D",1,0)+IF(DK724="D",1,0)+IF(DO724="D",1,0)+IF(DP724="D",1,0)+IF(DQ724="D",1,0)+IF(DW724="D",1,0)+IF(DZ724="D",1,0)+IF(EH724="D",1,0)</f>
        <v>3</v>
      </c>
      <c r="AY724" s="0" t="n">
        <f aca="false">COUNTIF(DU724:EH724, "&lt;&gt;")</f>
        <v>6</v>
      </c>
      <c r="AZ724" s="0" t="n">
        <f aca="false">IF(EH724&lt;&gt;"",1,0)</f>
        <v>0</v>
      </c>
      <c r="BB724" s="0" t="s">
        <v>152</v>
      </c>
      <c r="BC724" s="0" t="s">
        <v>153</v>
      </c>
      <c r="BD724" s="0" t="s">
        <v>153</v>
      </c>
      <c r="BE724" s="0" t="s">
        <v>153</v>
      </c>
      <c r="BI724" s="0" t="s">
        <v>153</v>
      </c>
      <c r="BJ724" s="0" t="s">
        <v>153</v>
      </c>
      <c r="BK724" s="0" t="s">
        <v>153</v>
      </c>
      <c r="BL724" s="0" t="s">
        <v>153</v>
      </c>
      <c r="BS724" s="0" t="s">
        <v>153</v>
      </c>
      <c r="BY724" s="0" t="s">
        <v>175</v>
      </c>
      <c r="CA724" s="0" t="s">
        <v>153</v>
      </c>
      <c r="CG724" s="0" t="s">
        <v>153</v>
      </c>
      <c r="CK724" s="0" t="s">
        <v>153</v>
      </c>
      <c r="CN724" s="0" t="s">
        <v>153</v>
      </c>
      <c r="CO724" s="0" t="s">
        <v>175</v>
      </c>
      <c r="CP724" s="0" t="s">
        <v>153</v>
      </c>
      <c r="CT724" s="0" t="s">
        <v>153</v>
      </c>
      <c r="CW724" s="0" t="s">
        <v>175</v>
      </c>
      <c r="CY724" s="0" t="s">
        <v>153</v>
      </c>
      <c r="CZ724" s="0" t="s">
        <v>175</v>
      </c>
      <c r="DC724" s="0" t="s">
        <v>153</v>
      </c>
      <c r="DI724" s="0" t="s">
        <v>153</v>
      </c>
      <c r="DJ724" s="0" t="s">
        <v>175</v>
      </c>
      <c r="DM724" s="0" t="s">
        <v>175</v>
      </c>
      <c r="DN724" s="0" t="s">
        <v>153</v>
      </c>
      <c r="DS724" s="0" t="s">
        <v>175</v>
      </c>
      <c r="DU724" s="0" t="s">
        <v>153</v>
      </c>
      <c r="DW724" s="0" t="s">
        <v>175</v>
      </c>
      <c r="DX724" s="0" t="s">
        <v>153</v>
      </c>
      <c r="EA724" s="0" t="s">
        <v>153</v>
      </c>
      <c r="ED724" s="0" t="s">
        <v>175</v>
      </c>
      <c r="EF724" s="0" t="s">
        <v>153</v>
      </c>
    </row>
    <row r="725" customFormat="false" ht="13.8" hidden="false" customHeight="false" outlineLevel="0" collapsed="false">
      <c r="A725" s="0" t="s">
        <v>3690</v>
      </c>
      <c r="B725" s="0" t="n">
        <v>78</v>
      </c>
      <c r="C725" s="0" t="n">
        <v>128021</v>
      </c>
      <c r="D725" s="0" t="s">
        <v>3691</v>
      </c>
      <c r="E725" s="0" t="s">
        <v>331</v>
      </c>
      <c r="F725" s="0" t="str">
        <f aca="false">CONCATENATE(D725," ",LEFT(H725,4),"T=",AU725,"D=",AV725,"R=",AW725,"M=",AX725,"L=",AY725,"B=",AZ725)</f>
        <v>GUARNIERI T=21D=0R=3M=5L=6B=0</v>
      </c>
      <c r="I725" s="0" t="s">
        <v>3692</v>
      </c>
      <c r="J725" s="0" t="s">
        <v>3693</v>
      </c>
      <c r="K725" s="0" t="s">
        <v>160</v>
      </c>
      <c r="L725" s="0" t="s">
        <v>175</v>
      </c>
      <c r="M725" s="0" t="s">
        <v>3689</v>
      </c>
      <c r="N725" s="0" t="str">
        <f aca="false">RIGHT(M725,LEN(M725)-FIND(" ",M725))</f>
        <v>HIGH ST NE</v>
      </c>
      <c r="P725" s="0" t="s">
        <v>145</v>
      </c>
      <c r="Q725" s="0" t="s">
        <v>146</v>
      </c>
      <c r="R725" s="0" t="n">
        <v>44483</v>
      </c>
      <c r="AD725" s="0" t="s">
        <v>147</v>
      </c>
      <c r="AE725" s="0" t="s">
        <v>148</v>
      </c>
      <c r="AF725" s="0" t="s">
        <v>149</v>
      </c>
      <c r="AH725" s="0" t="n">
        <v>14</v>
      </c>
      <c r="AI725" s="0" t="n">
        <v>11</v>
      </c>
      <c r="AN725" s="0" t="s">
        <v>145</v>
      </c>
      <c r="AO725" s="0" t="s">
        <v>654</v>
      </c>
      <c r="AP725" s="0" t="s">
        <v>655</v>
      </c>
      <c r="AQ725" s="0" t="n">
        <v>9</v>
      </c>
      <c r="AR725" s="0" t="n">
        <v>64</v>
      </c>
      <c r="AS725" s="0" t="n">
        <v>32</v>
      </c>
      <c r="AU725" s="0" t="n">
        <f aca="false">COUNTA($BA$1515:$EH$1515)</f>
        <v>21</v>
      </c>
      <c r="AV725" s="0" t="n">
        <f aca="false">COUNTIF($BA$1515:$EH$1515,"D")</f>
        <v>0</v>
      </c>
      <c r="AW725" s="0" t="n">
        <f aca="false">COUNTIF($BA$1515:$EH$1515,"R")</f>
        <v>3</v>
      </c>
      <c r="AX725" s="0" t="n">
        <f aca="false">IF(BN725="D",1,0)+IF(BO725="D",1,0)+IF(BT725="D",1,0)+IF(BU725="D",1,0)+IF(BW725="D",1,0)+IF(CC725="D",1,0)+IF(CD725="D",1,0)+IF(CE725="D",1,0)+IF(CF725="D",1,0)+IF(CL725="D",1,0)+IF(CM725="D",1,0)+IF(CQ725="D",1,0)+IF(CR725="D",1,0)+IF(CS725="D",1,0)+IF(CW725="D",1,0)+IF(CX725="D",1,0)+IF(DD725="D",1,0)+IF(DE725="D",1,0)+IF(DJ725="D",1,0)+IF(DK725="D",1,0)+IF(DO725="D",1,0)+IF(DP725="D",1,0)+IF(DQ725="D",1,0)+IF(DW725="D",1,0)+IF(DZ725="D",1,0)+IF(EH725="D",1,0)</f>
        <v>5</v>
      </c>
      <c r="AY725" s="0" t="n">
        <f aca="false">COUNTIF(DU725:EH725, "&lt;&gt;")</f>
        <v>6</v>
      </c>
      <c r="AZ725" s="0" t="n">
        <f aca="false">IF(EH725&lt;&gt;"",1,0)</f>
        <v>0</v>
      </c>
      <c r="BB725" s="0" t="s">
        <v>152</v>
      </c>
      <c r="BC725" s="0" t="s">
        <v>153</v>
      </c>
      <c r="BD725" s="0" t="s">
        <v>153</v>
      </c>
      <c r="BE725" s="0" t="s">
        <v>153</v>
      </c>
      <c r="BF725" s="0" t="s">
        <v>153</v>
      </c>
      <c r="BG725" s="0" t="s">
        <v>153</v>
      </c>
      <c r="BH725" s="0" t="s">
        <v>153</v>
      </c>
      <c r="BI725" s="0" t="s">
        <v>153</v>
      </c>
      <c r="BJ725" s="0" t="s">
        <v>153</v>
      </c>
      <c r="BK725" s="0" t="s">
        <v>153</v>
      </c>
      <c r="BL725" s="0" t="s">
        <v>153</v>
      </c>
      <c r="BP725" s="0" t="s">
        <v>153</v>
      </c>
      <c r="BR725" s="0" t="s">
        <v>153</v>
      </c>
      <c r="BS725" s="0" t="s">
        <v>153</v>
      </c>
      <c r="BT725" s="0" t="s">
        <v>153</v>
      </c>
      <c r="BV725" s="0" t="s">
        <v>153</v>
      </c>
      <c r="BY725" s="0" t="s">
        <v>175</v>
      </c>
      <c r="CA725" s="0" t="s">
        <v>153</v>
      </c>
      <c r="CG725" s="0" t="s">
        <v>153</v>
      </c>
      <c r="CH725" s="0" t="s">
        <v>175</v>
      </c>
      <c r="CK725" s="0" t="s">
        <v>153</v>
      </c>
      <c r="CL725" s="0" t="s">
        <v>175</v>
      </c>
      <c r="CN725" s="0" t="s">
        <v>153</v>
      </c>
      <c r="CO725" s="0" t="s">
        <v>175</v>
      </c>
      <c r="CP725" s="0" t="s">
        <v>153</v>
      </c>
      <c r="CQ725" s="0" t="s">
        <v>175</v>
      </c>
      <c r="CT725" s="0" t="s">
        <v>153</v>
      </c>
      <c r="CU725" s="0" t="s">
        <v>175</v>
      </c>
      <c r="CV725" s="0" t="s">
        <v>153</v>
      </c>
      <c r="CW725" s="0" t="s">
        <v>175</v>
      </c>
      <c r="CY725" s="0" t="s">
        <v>153</v>
      </c>
      <c r="CZ725" s="0" t="s">
        <v>175</v>
      </c>
      <c r="DC725" s="0" t="s">
        <v>153</v>
      </c>
      <c r="DF725" s="0" t="s">
        <v>153</v>
      </c>
      <c r="DG725" s="0" t="s">
        <v>175</v>
      </c>
      <c r="DI725" s="0" t="s">
        <v>153</v>
      </c>
      <c r="DJ725" s="0" t="s">
        <v>175</v>
      </c>
      <c r="DL725" s="0" t="s">
        <v>153</v>
      </c>
      <c r="DM725" s="0" t="s">
        <v>175</v>
      </c>
      <c r="DN725" s="0" t="s">
        <v>153</v>
      </c>
      <c r="DU725" s="0" t="s">
        <v>153</v>
      </c>
      <c r="DW725" s="0" t="s">
        <v>175</v>
      </c>
      <c r="DX725" s="0" t="s">
        <v>153</v>
      </c>
      <c r="EA725" s="0" t="s">
        <v>153</v>
      </c>
      <c r="ED725" s="0" t="s">
        <v>175</v>
      </c>
      <c r="EF725" s="0" t="s">
        <v>153</v>
      </c>
    </row>
    <row r="726" customFormat="false" ht="13.8" hidden="true" customHeight="false" outlineLevel="0" collapsed="false">
      <c r="A726" s="0" t="s">
        <v>3694</v>
      </c>
      <c r="B726" s="0" t="n">
        <v>78</v>
      </c>
      <c r="C726" s="0" t="n">
        <v>149362</v>
      </c>
      <c r="D726" s="0" t="s">
        <v>3695</v>
      </c>
      <c r="E726" s="0" t="s">
        <v>3696</v>
      </c>
      <c r="F726" s="0" t="str">
        <f aca="false">CONCATENATE(D726," ",LEFT(H726,4),"T=",AU726,"D=",AV726,"R=",AW726,"M=",AX726,"L=",AY726,"B=",AZ726)</f>
        <v>STEVENS T=20D=0R=0M=0L=1B=0</v>
      </c>
      <c r="G726" s="0" t="s">
        <v>195</v>
      </c>
      <c r="I726" s="0" t="s">
        <v>3697</v>
      </c>
      <c r="J726" s="0" t="s">
        <v>3698</v>
      </c>
      <c r="K726" s="0" t="s">
        <v>160</v>
      </c>
      <c r="M726" s="0" t="s">
        <v>3699</v>
      </c>
      <c r="N726" s="0" t="str">
        <f aca="false">RIGHT(M726,LEN(M726)-FIND(" ",M726))</f>
        <v>HIGH ST NE</v>
      </c>
      <c r="P726" s="0" t="s">
        <v>145</v>
      </c>
      <c r="Q726" s="0" t="s">
        <v>146</v>
      </c>
      <c r="R726" s="0" t="n">
        <v>44483</v>
      </c>
      <c r="AD726" s="0" t="s">
        <v>147</v>
      </c>
      <c r="AE726" s="0" t="s">
        <v>148</v>
      </c>
      <c r="AF726" s="0" t="s">
        <v>149</v>
      </c>
      <c r="AH726" s="0" t="n">
        <v>14</v>
      </c>
      <c r="AI726" s="0" t="n">
        <v>11</v>
      </c>
      <c r="AN726" s="0" t="s">
        <v>145</v>
      </c>
      <c r="AO726" s="0" t="s">
        <v>654</v>
      </c>
      <c r="AP726" s="0" t="s">
        <v>655</v>
      </c>
      <c r="AQ726" s="0" t="n">
        <v>9</v>
      </c>
      <c r="AR726" s="0" t="n">
        <v>64</v>
      </c>
      <c r="AS726" s="0" t="n">
        <v>32</v>
      </c>
      <c r="AU726" s="0" t="n">
        <f aca="false">COUNTA($BA$1621:$EH$1621)</f>
        <v>20</v>
      </c>
      <c r="AV726" s="0" t="n">
        <f aca="false">COUNTIF($BA$1621:$EH$1621,"D")</f>
        <v>0</v>
      </c>
      <c r="AW726" s="0" t="n">
        <f aca="false">COUNTIF($BA$1621:$EH$1621,"R")</f>
        <v>0</v>
      </c>
      <c r="AX726" s="0" t="n">
        <f aca="false">IF(BN726="D",1,0)+IF(BO726="D",1,0)+IF(BT726="D",1,0)+IF(BU726="D",1,0)+IF(BW726="D",1,0)+IF(CC726="D",1,0)+IF(CD726="D",1,0)+IF(CE726="D",1,0)+IF(CF726="D",1,0)+IF(CL726="D",1,0)+IF(CM726="D",1,0)+IF(CQ726="D",1,0)+IF(CR726="D",1,0)+IF(CS726="D",1,0)+IF(CW726="D",1,0)+IF(CX726="D",1,0)+IF(DD726="D",1,0)+IF(DE726="D",1,0)+IF(DJ726="D",1,0)+IF(DK726="D",1,0)+IF(DO726="D",1,0)+IF(DP726="D",1,0)+IF(DQ726="D",1,0)+IF(DW726="D",1,0)+IF(DZ726="D",1,0)+IF(EH726="D",1,0)</f>
        <v>0</v>
      </c>
      <c r="AY726" s="0" t="n">
        <f aca="false">COUNTIF(DU726:EH726, "&lt;&gt;")</f>
        <v>1</v>
      </c>
      <c r="AZ726" s="0" t="n">
        <f aca="false">IF(EH726&lt;&gt;"",1,0)</f>
        <v>0</v>
      </c>
      <c r="BB726" s="0" t="s">
        <v>152</v>
      </c>
      <c r="BC726" s="0" t="s">
        <v>153</v>
      </c>
      <c r="BD726" s="0" t="s">
        <v>153</v>
      </c>
      <c r="BH726" s="0" t="s">
        <v>153</v>
      </c>
      <c r="BL726" s="0" t="s">
        <v>153</v>
      </c>
      <c r="BS726" s="0" t="s">
        <v>153</v>
      </c>
      <c r="CA726" s="0" t="s">
        <v>153</v>
      </c>
      <c r="CK726" s="0" t="s">
        <v>153</v>
      </c>
      <c r="CN726" s="0" t="s">
        <v>153</v>
      </c>
      <c r="CP726" s="0" t="s">
        <v>153</v>
      </c>
      <c r="DC726" s="0" t="s">
        <v>153</v>
      </c>
      <c r="DI726" s="0" t="s">
        <v>153</v>
      </c>
      <c r="DN726" s="0" t="s">
        <v>153</v>
      </c>
      <c r="EF726" s="0" t="s">
        <v>153</v>
      </c>
    </row>
    <row r="727" customFormat="false" ht="13.8" hidden="true" customHeight="false" outlineLevel="0" collapsed="false">
      <c r="A727" s="0" t="s">
        <v>3700</v>
      </c>
      <c r="B727" s="0" t="n">
        <v>78</v>
      </c>
      <c r="C727" s="0" t="n">
        <v>296719</v>
      </c>
      <c r="D727" s="0" t="s">
        <v>3101</v>
      </c>
      <c r="E727" s="0" t="s">
        <v>3701</v>
      </c>
      <c r="F727" s="0" t="str">
        <f aca="false">CONCATENATE(D727," ",LEFT(H727,4),"T=",AU727,"D=",AV727,"R=",AW727,"M=",AX727,"L=",AY727,"B=",AZ727)</f>
        <v>LOUIS T=7D=0R=0M=0L=0B=0</v>
      </c>
      <c r="G727" s="0" t="s">
        <v>175</v>
      </c>
      <c r="I727" s="0" t="s">
        <v>3702</v>
      </c>
      <c r="J727" s="0" t="s">
        <v>3703</v>
      </c>
      <c r="K727" s="0" t="s">
        <v>143</v>
      </c>
      <c r="M727" s="0" t="s">
        <v>3704</v>
      </c>
      <c r="N727" s="0" t="str">
        <f aca="false">RIGHT(M727,LEN(M727)-FIND(" ",M727))</f>
        <v>HIGH ST NE</v>
      </c>
      <c r="P727" s="0" t="s">
        <v>145</v>
      </c>
      <c r="Q727" s="0" t="s">
        <v>146</v>
      </c>
      <c r="R727" s="0" t="n">
        <v>44483</v>
      </c>
      <c r="AD727" s="0" t="s">
        <v>147</v>
      </c>
      <c r="AE727" s="0" t="s">
        <v>148</v>
      </c>
      <c r="AF727" s="0" t="s">
        <v>149</v>
      </c>
      <c r="AH727" s="0" t="n">
        <v>14</v>
      </c>
      <c r="AI727" s="0" t="n">
        <v>11</v>
      </c>
      <c r="AN727" s="0" t="s">
        <v>145</v>
      </c>
      <c r="AO727" s="0" t="s">
        <v>654</v>
      </c>
      <c r="AP727" s="0" t="s">
        <v>655</v>
      </c>
      <c r="AQ727" s="0" t="n">
        <v>9</v>
      </c>
      <c r="AR727" s="0" t="n">
        <v>64</v>
      </c>
      <c r="AS727" s="0" t="n">
        <v>32</v>
      </c>
      <c r="AU727" s="0" t="n">
        <f aca="false">COUNTA($BA$1880:$EH$1880)</f>
        <v>7</v>
      </c>
      <c r="AV727" s="0" t="n">
        <f aca="false">COUNTIF($BA$1880:$EH$1880,"D")</f>
        <v>0</v>
      </c>
      <c r="AW727" s="0" t="n">
        <f aca="false">COUNTIF($BA$1880:$EH$1880,"R")</f>
        <v>0</v>
      </c>
      <c r="AX727" s="0" t="n">
        <f aca="false">IF(BN727="D",1,0)+IF(BO727="D",1,0)+IF(BT727="D",1,0)+IF(BU727="D",1,0)+IF(BW727="D",1,0)+IF(CC727="D",1,0)+IF(CD727="D",1,0)+IF(CE727="D",1,0)+IF(CF727="D",1,0)+IF(CL727="D",1,0)+IF(CM727="D",1,0)+IF(CQ727="D",1,0)+IF(CR727="D",1,0)+IF(CS727="D",1,0)+IF(CW727="D",1,0)+IF(CX727="D",1,0)+IF(DD727="D",1,0)+IF(DE727="D",1,0)+IF(DJ727="D",1,0)+IF(DK727="D",1,0)+IF(DO727="D",1,0)+IF(DP727="D",1,0)+IF(DQ727="D",1,0)+IF(DW727="D",1,0)+IF(DZ727="D",1,0)+IF(EH727="D",1,0)</f>
        <v>0</v>
      </c>
      <c r="AY727" s="0" t="n">
        <f aca="false">COUNTIF(DU727:EH727, "&lt;&gt;")</f>
        <v>0</v>
      </c>
      <c r="AZ727" s="0" t="n">
        <f aca="false">IF(EH727&lt;&gt;"",1,0)</f>
        <v>0</v>
      </c>
      <c r="BB727" s="0" t="s">
        <v>152</v>
      </c>
      <c r="BD727" s="0" t="s">
        <v>153</v>
      </c>
      <c r="BR727" s="0" t="s">
        <v>153</v>
      </c>
    </row>
    <row r="728" customFormat="false" ht="13.8" hidden="false" customHeight="false" outlineLevel="0" collapsed="false">
      <c r="A728" s="0" t="s">
        <v>3705</v>
      </c>
      <c r="B728" s="0" t="n">
        <v>78</v>
      </c>
      <c r="C728" s="0" t="n">
        <v>486616</v>
      </c>
      <c r="D728" s="0" t="s">
        <v>3706</v>
      </c>
      <c r="E728" s="0" t="s">
        <v>1886</v>
      </c>
      <c r="F728" s="0" t="str">
        <f aca="false">CONCATENATE(D728," ",LEFT(H728,4),"T=",AU728,"D=",AV728,"R=",AW728,"M=",AX728,"L=",AY728,"B=",AZ728)</f>
        <v>ARMSTRONG T=2D=0R=0M=0L=2B=0</v>
      </c>
      <c r="G728" s="0" t="s">
        <v>175</v>
      </c>
      <c r="I728" s="0" t="s">
        <v>3707</v>
      </c>
      <c r="J728" s="0" t="s">
        <v>782</v>
      </c>
      <c r="K728" s="0" t="s">
        <v>160</v>
      </c>
      <c r="M728" s="0" t="s">
        <v>3708</v>
      </c>
      <c r="N728" s="0" t="str">
        <f aca="false">RIGHT(M728,LEN(M728)-FIND(" ",M728))</f>
        <v>HIGH ST NE</v>
      </c>
      <c r="P728" s="0" t="s">
        <v>145</v>
      </c>
      <c r="Q728" s="0" t="s">
        <v>146</v>
      </c>
      <c r="R728" s="0" t="n">
        <v>44481</v>
      </c>
      <c r="V728" s="0" t="s">
        <v>3709</v>
      </c>
      <c r="X728" s="0" t="s">
        <v>145</v>
      </c>
      <c r="Y728" s="0" t="s">
        <v>146</v>
      </c>
      <c r="Z728" s="0" t="n">
        <v>44481</v>
      </c>
      <c r="AD728" s="0" t="s">
        <v>147</v>
      </c>
      <c r="AE728" s="0" t="s">
        <v>148</v>
      </c>
      <c r="AF728" s="0" t="s">
        <v>149</v>
      </c>
      <c r="AH728" s="0" t="n">
        <v>14</v>
      </c>
      <c r="AI728" s="0" t="n">
        <v>11</v>
      </c>
      <c r="AN728" s="0" t="s">
        <v>145</v>
      </c>
      <c r="AO728" s="0" t="s">
        <v>654</v>
      </c>
      <c r="AP728" s="0" t="s">
        <v>655</v>
      </c>
      <c r="AQ728" s="0" t="n">
        <v>9</v>
      </c>
      <c r="AR728" s="0" t="n">
        <v>64</v>
      </c>
      <c r="AS728" s="0" t="n">
        <v>32</v>
      </c>
      <c r="AU728" s="0" t="n">
        <f aca="false">COUNTA($BA$1283:$EH$1283)</f>
        <v>2</v>
      </c>
      <c r="AV728" s="0" t="n">
        <f aca="false">COUNTIF($BA$1283:$EH$1283,"D")</f>
        <v>0</v>
      </c>
      <c r="AW728" s="0" t="n">
        <f aca="false">COUNTIF($BA$1283:$EH$1283,"R")</f>
        <v>0</v>
      </c>
      <c r="AX728" s="0" t="n">
        <f aca="false">IF(BN728="D",1,0)+IF(BO728="D",1,0)+IF(BT728="D",1,0)+IF(BU728="D",1,0)+IF(BW728="D",1,0)+IF(CC728="D",1,0)+IF(CD728="D",1,0)+IF(CE728="D",1,0)+IF(CF728="D",1,0)+IF(CL728="D",1,0)+IF(CM728="D",1,0)+IF(CQ728="D",1,0)+IF(CR728="D",1,0)+IF(CS728="D",1,0)+IF(CW728="D",1,0)+IF(CX728="D",1,0)+IF(DD728="D",1,0)+IF(DE728="D",1,0)+IF(DJ728="D",1,0)+IF(DK728="D",1,0)+IF(DO728="D",1,0)+IF(DP728="D",1,0)+IF(DQ728="D",1,0)+IF(DW728="D",1,0)+IF(DZ728="D",1,0)+IF(EH728="D",1,0)</f>
        <v>0</v>
      </c>
      <c r="AY728" s="0" t="n">
        <f aca="false">COUNTIF(DU728:EH728, "&lt;&gt;")</f>
        <v>2</v>
      </c>
      <c r="AZ728" s="0" t="n">
        <f aca="false">IF(EH728&lt;&gt;"",1,0)</f>
        <v>0</v>
      </c>
      <c r="BB728" s="0" t="s">
        <v>152</v>
      </c>
      <c r="CY728" s="0" t="s">
        <v>153</v>
      </c>
      <c r="DC728" s="0" t="s">
        <v>153</v>
      </c>
      <c r="DI728" s="0" t="s">
        <v>153</v>
      </c>
      <c r="DN728" s="0" t="s">
        <v>153</v>
      </c>
      <c r="EA728" s="0" t="s">
        <v>153</v>
      </c>
      <c r="EF728" s="0" t="s">
        <v>153</v>
      </c>
    </row>
    <row r="729" customFormat="false" ht="13.8" hidden="true" customHeight="false" outlineLevel="0" collapsed="false">
      <c r="A729" s="0" t="s">
        <v>3710</v>
      </c>
      <c r="B729" s="0" t="n">
        <v>78</v>
      </c>
      <c r="C729" s="0" t="n">
        <v>486369</v>
      </c>
      <c r="D729" s="0" t="s">
        <v>3711</v>
      </c>
      <c r="E729" s="0" t="s">
        <v>3712</v>
      </c>
      <c r="F729" s="0" t="str">
        <f aca="false">CONCATENATE(D729," ",LEFT(H729,4),"T=",AU729,"D=",AV729,"R=",AW729,"M=",AX729,"L=",AY729,"B=",AZ729)</f>
        <v>ROYSTER T=2D=0R=0M=0L=0B=0</v>
      </c>
      <c r="G729" s="0" t="s">
        <v>890</v>
      </c>
      <c r="I729" s="0" t="s">
        <v>3713</v>
      </c>
      <c r="J729" s="0" t="s">
        <v>2771</v>
      </c>
      <c r="K729" s="0" t="s">
        <v>160</v>
      </c>
      <c r="M729" s="0" t="s">
        <v>3714</v>
      </c>
      <c r="N729" s="0" t="str">
        <f aca="false">RIGHT(M729,LEN(M729)-FIND(" ",M729))</f>
        <v>HIGH ST NE</v>
      </c>
      <c r="P729" s="0" t="s">
        <v>145</v>
      </c>
      <c r="Q729" s="0" t="s">
        <v>146</v>
      </c>
      <c r="R729" s="0" t="n">
        <v>44481</v>
      </c>
      <c r="AD729" s="0" t="s">
        <v>147</v>
      </c>
      <c r="AE729" s="0" t="s">
        <v>148</v>
      </c>
      <c r="AF729" s="0" t="s">
        <v>149</v>
      </c>
      <c r="AH729" s="0" t="n">
        <v>14</v>
      </c>
      <c r="AI729" s="0" t="n">
        <v>11</v>
      </c>
      <c r="AN729" s="0" t="s">
        <v>145</v>
      </c>
      <c r="AO729" s="0" t="s">
        <v>654</v>
      </c>
      <c r="AP729" s="0" t="s">
        <v>655</v>
      </c>
      <c r="AQ729" s="0" t="n">
        <v>9</v>
      </c>
      <c r="AR729" s="0" t="n">
        <v>64</v>
      </c>
      <c r="AS729" s="0" t="n">
        <v>32</v>
      </c>
      <c r="AU729" s="0" t="n">
        <f aca="false">COUNTA($BA$1563:$EH$1563)</f>
        <v>2</v>
      </c>
      <c r="AV729" s="0" t="n">
        <f aca="false">COUNTIF($BA$1563:$EH$1563,"D")</f>
        <v>0</v>
      </c>
      <c r="AW729" s="0" t="n">
        <f aca="false">COUNTIF($BA$1563:$EH$1563,"R")</f>
        <v>0</v>
      </c>
      <c r="AX729" s="0" t="n">
        <f aca="false">IF(BN729="D",1,0)+IF(BO729="D",1,0)+IF(BT729="D",1,0)+IF(BU729="D",1,0)+IF(BW729="D",1,0)+IF(CC729="D",1,0)+IF(CD729="D",1,0)+IF(CE729="D",1,0)+IF(CF729="D",1,0)+IF(CL729="D",1,0)+IF(CM729="D",1,0)+IF(CQ729="D",1,0)+IF(CR729="D",1,0)+IF(CS729="D",1,0)+IF(CW729="D",1,0)+IF(CX729="D",1,0)+IF(DD729="D",1,0)+IF(DE729="D",1,0)+IF(DJ729="D",1,0)+IF(DK729="D",1,0)+IF(DO729="D",1,0)+IF(DP729="D",1,0)+IF(DQ729="D",1,0)+IF(DW729="D",1,0)+IF(DZ729="D",1,0)+IF(EH729="D",1,0)</f>
        <v>0</v>
      </c>
      <c r="AY729" s="0" t="n">
        <f aca="false">COUNTIF(DU729:EH729, "&lt;&gt;")</f>
        <v>0</v>
      </c>
      <c r="AZ729" s="0" t="n">
        <f aca="false">IF(EH729&lt;&gt;"",1,0)</f>
        <v>0</v>
      </c>
      <c r="BB729" s="0" t="s">
        <v>152</v>
      </c>
    </row>
    <row r="730" customFormat="false" ht="13.8" hidden="false" customHeight="false" outlineLevel="0" collapsed="false">
      <c r="A730" s="0" t="s">
        <v>3715</v>
      </c>
      <c r="B730" s="0" t="n">
        <v>78</v>
      </c>
      <c r="C730" s="0" t="n">
        <v>359190</v>
      </c>
      <c r="D730" s="0" t="s">
        <v>1744</v>
      </c>
      <c r="E730" s="0" t="s">
        <v>3716</v>
      </c>
      <c r="F730" s="0" t="str">
        <f aca="false">CONCATENATE(D730," ",LEFT(H730,4),"T=",AU730,"D=",AV730,"R=",AW730,"M=",AX730,"L=",AY730,"B=",AZ730)</f>
        <v>WALKER T=1D=0R=0M=0L=3B=0</v>
      </c>
      <c r="G730" s="0" t="s">
        <v>3717</v>
      </c>
      <c r="I730" s="0" t="s">
        <v>3718</v>
      </c>
      <c r="J730" s="0" t="s">
        <v>727</v>
      </c>
      <c r="K730" s="0" t="s">
        <v>160</v>
      </c>
      <c r="M730" s="0" t="s">
        <v>3719</v>
      </c>
      <c r="N730" s="0" t="str">
        <f aca="false">RIGHT(M730,LEN(M730)-FIND(" ",M730))</f>
        <v>HIGH ST NE</v>
      </c>
      <c r="O730" s="0" t="s">
        <v>3720</v>
      </c>
      <c r="P730" s="0" t="s">
        <v>145</v>
      </c>
      <c r="Q730" s="0" t="s">
        <v>146</v>
      </c>
      <c r="R730" s="0" t="n">
        <v>44481</v>
      </c>
      <c r="AD730" s="0" t="s">
        <v>147</v>
      </c>
      <c r="AE730" s="0" t="s">
        <v>148</v>
      </c>
      <c r="AF730" s="0" t="s">
        <v>149</v>
      </c>
      <c r="AH730" s="0" t="n">
        <v>14</v>
      </c>
      <c r="AI730" s="0" t="n">
        <v>11</v>
      </c>
      <c r="AN730" s="0" t="s">
        <v>145</v>
      </c>
      <c r="AO730" s="0" t="s">
        <v>654</v>
      </c>
      <c r="AP730" s="0" t="s">
        <v>655</v>
      </c>
      <c r="AQ730" s="0" t="n">
        <v>9</v>
      </c>
      <c r="AR730" s="0" t="n">
        <v>64</v>
      </c>
      <c r="AS730" s="0" t="n">
        <v>32</v>
      </c>
      <c r="AU730" s="0" t="n">
        <f aca="false">COUNTA($BA$1097:$EH$1097)</f>
        <v>1</v>
      </c>
      <c r="AV730" s="0" t="n">
        <f aca="false">COUNTIF($BA$1097:$EH$1097,"D")</f>
        <v>0</v>
      </c>
      <c r="AW730" s="0" t="n">
        <f aca="false">COUNTIF($BA$1097:$EH$1097,"R")</f>
        <v>0</v>
      </c>
      <c r="AX730" s="0" t="n">
        <f aca="false">IF(BN730="D",1,0)+IF(BO730="D",1,0)+IF(BT730="D",1,0)+IF(BU730="D",1,0)+IF(BW730="D",1,0)+IF(CC730="D",1,0)+IF(CD730="D",1,0)+IF(CE730="D",1,0)+IF(CF730="D",1,0)+IF(CL730="D",1,0)+IF(CM730="D",1,0)+IF(CQ730="D",1,0)+IF(CR730="D",1,0)+IF(CS730="D",1,0)+IF(CW730="D",1,0)+IF(CX730="D",1,0)+IF(DD730="D",1,0)+IF(DE730="D",1,0)+IF(DJ730="D",1,0)+IF(DK730="D",1,0)+IF(DO730="D",1,0)+IF(DP730="D",1,0)+IF(DQ730="D",1,0)+IF(DW730="D",1,0)+IF(DZ730="D",1,0)+IF(EH730="D",1,0)</f>
        <v>0</v>
      </c>
      <c r="AY730" s="0" t="n">
        <f aca="false">COUNTIF(DU730:EH730, "&lt;&gt;")</f>
        <v>3</v>
      </c>
      <c r="AZ730" s="0" t="n">
        <f aca="false">IF(EH730&lt;&gt;"",1,0)</f>
        <v>0</v>
      </c>
      <c r="BB730" s="0" t="s">
        <v>152</v>
      </c>
      <c r="BL730" s="0" t="s">
        <v>153</v>
      </c>
      <c r="CA730" s="0" t="s">
        <v>153</v>
      </c>
      <c r="CK730" s="0" t="s">
        <v>153</v>
      </c>
      <c r="CP730" s="0" t="s">
        <v>153</v>
      </c>
      <c r="DC730" s="0" t="s">
        <v>153</v>
      </c>
      <c r="DI730" s="0" t="s">
        <v>153</v>
      </c>
      <c r="DN730" s="0" t="s">
        <v>153</v>
      </c>
      <c r="DX730" s="0" t="s">
        <v>153</v>
      </c>
      <c r="EA730" s="0" t="s">
        <v>153</v>
      </c>
      <c r="EF730" s="0" t="s">
        <v>153</v>
      </c>
    </row>
    <row r="731" customFormat="false" ht="13.8" hidden="false" customHeight="false" outlineLevel="0" collapsed="false">
      <c r="A731" s="0" t="s">
        <v>3721</v>
      </c>
      <c r="B731" s="0" t="n">
        <v>78</v>
      </c>
      <c r="C731" s="0" t="n">
        <v>278083</v>
      </c>
      <c r="D731" s="0" t="s">
        <v>3722</v>
      </c>
      <c r="E731" s="0" t="s">
        <v>274</v>
      </c>
      <c r="F731" s="0" t="str">
        <f aca="false">CONCATENATE(D731," ",LEFT(H731,4),"T=",AU731,"D=",AV731,"R=",AW731,"M=",AX731,"L=",AY731,"B=",AZ731)</f>
        <v>MEEKER JRT=21D=3R=0M=1L=3B=0</v>
      </c>
      <c r="G731" s="0" t="s">
        <v>190</v>
      </c>
      <c r="H731" s="0" t="s">
        <v>314</v>
      </c>
      <c r="I731" s="0" t="s">
        <v>3723</v>
      </c>
      <c r="J731" s="0" t="s">
        <v>2015</v>
      </c>
      <c r="K731" s="0" t="s">
        <v>160</v>
      </c>
      <c r="L731" s="0" t="s">
        <v>175</v>
      </c>
      <c r="M731" s="0" t="s">
        <v>3719</v>
      </c>
      <c r="N731" s="0" t="str">
        <f aca="false">RIGHT(M731,LEN(M731)-FIND(" ",M731))</f>
        <v>HIGH ST NE</v>
      </c>
      <c r="O731" s="0" t="s">
        <v>3724</v>
      </c>
      <c r="P731" s="0" t="s">
        <v>145</v>
      </c>
      <c r="Q731" s="0" t="s">
        <v>146</v>
      </c>
      <c r="R731" s="0" t="n">
        <v>44481</v>
      </c>
      <c r="S731" s="0" t="n">
        <v>1240</v>
      </c>
      <c r="AD731" s="0" t="s">
        <v>147</v>
      </c>
      <c r="AE731" s="0" t="s">
        <v>148</v>
      </c>
      <c r="AF731" s="0" t="s">
        <v>149</v>
      </c>
      <c r="AH731" s="0" t="n">
        <v>14</v>
      </c>
      <c r="AI731" s="0" t="n">
        <v>11</v>
      </c>
      <c r="AN731" s="0" t="s">
        <v>145</v>
      </c>
      <c r="AO731" s="0" t="s">
        <v>654</v>
      </c>
      <c r="AP731" s="0" t="s">
        <v>655</v>
      </c>
      <c r="AQ731" s="0" t="n">
        <v>9</v>
      </c>
      <c r="AR731" s="0" t="n">
        <v>64</v>
      </c>
      <c r="AS731" s="0" t="n">
        <v>32</v>
      </c>
      <c r="AU731" s="0" t="n">
        <f aca="false">COUNTA($BA$1108:$EH$1108)</f>
        <v>21</v>
      </c>
      <c r="AV731" s="0" t="n">
        <f aca="false">COUNTIF($BA$1108:$EH$1108,"D")</f>
        <v>3</v>
      </c>
      <c r="AW731" s="0" t="n">
        <f aca="false">COUNTIF($BA$1108:$EH$1108,"R")</f>
        <v>0</v>
      </c>
      <c r="AX731" s="0" t="n">
        <f aca="false">IF(BN731="D",1,0)+IF(BO731="D",1,0)+IF(BT731="D",1,0)+IF(BU731="D",1,0)+IF(BW731="D",1,0)+IF(CC731="D",1,0)+IF(CD731="D",1,0)+IF(CE731="D",1,0)+IF(CF731="D",1,0)+IF(CL731="D",1,0)+IF(CM731="D",1,0)+IF(CQ731="D",1,0)+IF(CR731="D",1,0)+IF(CS731="D",1,0)+IF(CW731="D",1,0)+IF(CX731="D",1,0)+IF(DD731="D",1,0)+IF(DE731="D",1,0)+IF(DJ731="D",1,0)+IF(DK731="D",1,0)+IF(DO731="D",1,0)+IF(DP731="D",1,0)+IF(DQ731="D",1,0)+IF(DW731="D",1,0)+IF(DZ731="D",1,0)+IF(EH731="D",1,0)</f>
        <v>1</v>
      </c>
      <c r="AY731" s="0" t="n">
        <f aca="false">COUNTIF(DU731:EH731, "&lt;&gt;")</f>
        <v>3</v>
      </c>
      <c r="AZ731" s="0" t="n">
        <f aca="false">IF(EH731&lt;&gt;"",1,0)</f>
        <v>0</v>
      </c>
      <c r="BB731" s="0" t="s">
        <v>152</v>
      </c>
      <c r="BD731" s="0" t="s">
        <v>153</v>
      </c>
      <c r="BL731" s="0" t="s">
        <v>153</v>
      </c>
      <c r="BS731" s="0" t="s">
        <v>153</v>
      </c>
      <c r="CA731" s="0" t="s">
        <v>153</v>
      </c>
      <c r="CK731" s="0" t="s">
        <v>153</v>
      </c>
      <c r="CP731" s="0" t="s">
        <v>153</v>
      </c>
      <c r="CV731" s="0" t="s">
        <v>153</v>
      </c>
      <c r="DC731" s="0" t="s">
        <v>153</v>
      </c>
      <c r="DI731" s="0" t="s">
        <v>153</v>
      </c>
      <c r="DN731" s="0" t="s">
        <v>153</v>
      </c>
      <c r="DU731" s="0" t="s">
        <v>153</v>
      </c>
      <c r="DW731" s="0" t="s">
        <v>175</v>
      </c>
      <c r="EF731" s="0" t="s">
        <v>153</v>
      </c>
    </row>
    <row r="732" customFormat="false" ht="13.8" hidden="false" customHeight="false" outlineLevel="0" collapsed="false">
      <c r="A732" s="0" t="s">
        <v>3725</v>
      </c>
      <c r="B732" s="0" t="n">
        <v>78</v>
      </c>
      <c r="C732" s="0" t="n">
        <v>223792</v>
      </c>
      <c r="D732" s="0" t="s">
        <v>3726</v>
      </c>
      <c r="E732" s="0" t="s">
        <v>1193</v>
      </c>
      <c r="F732" s="0" t="str">
        <f aca="false">CONCATENATE(D732," ",LEFT(H732,4),"T=",AU732,"D=",AV732,"R=",AW732,"M=",AX732,"L=",AY732,"B=",AZ732)</f>
        <v>CERIMELE T=15D=1R=0M=0L=5B=0</v>
      </c>
      <c r="G732" s="0" t="s">
        <v>190</v>
      </c>
      <c r="I732" s="0" t="s">
        <v>3727</v>
      </c>
      <c r="J732" s="0" t="s">
        <v>3728</v>
      </c>
      <c r="K732" s="0" t="s">
        <v>160</v>
      </c>
      <c r="L732" s="0" t="s">
        <v>209</v>
      </c>
      <c r="M732" s="0" t="s">
        <v>3719</v>
      </c>
      <c r="N732" s="0" t="str">
        <f aca="false">RIGHT(M732,LEN(M732)-FIND(" ",M732))</f>
        <v>HIGH ST NE</v>
      </c>
      <c r="O732" s="0" t="s">
        <v>3729</v>
      </c>
      <c r="P732" s="0" t="s">
        <v>145</v>
      </c>
      <c r="Q732" s="0" t="s">
        <v>146</v>
      </c>
      <c r="R732" s="0" t="n">
        <v>44481</v>
      </c>
      <c r="AD732" s="0" t="s">
        <v>147</v>
      </c>
      <c r="AE732" s="0" t="s">
        <v>148</v>
      </c>
      <c r="AF732" s="0" t="s">
        <v>149</v>
      </c>
      <c r="AH732" s="0" t="n">
        <v>14</v>
      </c>
      <c r="AI732" s="0" t="n">
        <v>11</v>
      </c>
      <c r="AN732" s="0" t="s">
        <v>145</v>
      </c>
      <c r="AO732" s="0" t="s">
        <v>654</v>
      </c>
      <c r="AP732" s="0" t="s">
        <v>655</v>
      </c>
      <c r="AQ732" s="0" t="n">
        <v>9</v>
      </c>
      <c r="AR732" s="0" t="n">
        <v>64</v>
      </c>
      <c r="AS732" s="0" t="n">
        <v>32</v>
      </c>
      <c r="AU732" s="0" t="n">
        <f aca="false">COUNTA($BA$1128:$EH$1128)</f>
        <v>15</v>
      </c>
      <c r="AV732" s="0" t="n">
        <f aca="false">COUNTIF($BA$1128:$EH$1128,"D")</f>
        <v>1</v>
      </c>
      <c r="AW732" s="0" t="n">
        <f aca="false">COUNTIF($BA$1128:$EH$1128,"R")</f>
        <v>0</v>
      </c>
      <c r="AX732" s="0" t="n">
        <f aca="false">IF(BN732="D",1,0)+IF(BO732="D",1,0)+IF(BT732="D",1,0)+IF(BU732="D",1,0)+IF(BW732="D",1,0)+IF(CC732="D",1,0)+IF(CD732="D",1,0)+IF(CE732="D",1,0)+IF(CF732="D",1,0)+IF(CL732="D",1,0)+IF(CM732="D",1,0)+IF(CQ732="D",1,0)+IF(CR732="D",1,0)+IF(CS732="D",1,0)+IF(CW732="D",1,0)+IF(CX732="D",1,0)+IF(DD732="D",1,0)+IF(DE732="D",1,0)+IF(DJ732="D",1,0)+IF(DK732="D",1,0)+IF(DO732="D",1,0)+IF(DP732="D",1,0)+IF(DQ732="D",1,0)+IF(DW732="D",1,0)+IF(DZ732="D",1,0)+IF(EH732="D",1,0)</f>
        <v>0</v>
      </c>
      <c r="AY732" s="0" t="n">
        <f aca="false">COUNTIF(DU732:EH732, "&lt;&gt;")</f>
        <v>5</v>
      </c>
      <c r="AZ732" s="0" t="n">
        <f aca="false">IF(EH732&lt;&gt;"",1,0)</f>
        <v>0</v>
      </c>
      <c r="BB732" s="0" t="s">
        <v>152</v>
      </c>
      <c r="BC732" s="0" t="s">
        <v>153</v>
      </c>
      <c r="BD732" s="0" t="s">
        <v>153</v>
      </c>
      <c r="BE732" s="0" t="s">
        <v>153</v>
      </c>
      <c r="BH732" s="0" t="s">
        <v>153</v>
      </c>
      <c r="BI732" s="0" t="s">
        <v>153</v>
      </c>
      <c r="BJ732" s="0" t="s">
        <v>153</v>
      </c>
      <c r="BL732" s="0" t="s">
        <v>153</v>
      </c>
      <c r="BS732" s="0" t="s">
        <v>153</v>
      </c>
      <c r="BY732" s="0" t="s">
        <v>175</v>
      </c>
      <c r="CN732" s="0" t="s">
        <v>153</v>
      </c>
      <c r="CP732" s="0" t="s">
        <v>153</v>
      </c>
      <c r="CV732" s="0" t="s">
        <v>153</v>
      </c>
      <c r="CY732" s="0" t="s">
        <v>153</v>
      </c>
      <c r="CZ732" s="0" t="s">
        <v>209</v>
      </c>
      <c r="DC732" s="0" t="s">
        <v>153</v>
      </c>
      <c r="DI732" s="0" t="s">
        <v>153</v>
      </c>
      <c r="DL732" s="0" t="s">
        <v>153</v>
      </c>
      <c r="DM732" s="0" t="s">
        <v>209</v>
      </c>
      <c r="DN732" s="0" t="s">
        <v>153</v>
      </c>
      <c r="DR732" s="0" t="s">
        <v>153</v>
      </c>
      <c r="DU732" s="0" t="s">
        <v>153</v>
      </c>
      <c r="DX732" s="0" t="s">
        <v>153</v>
      </c>
      <c r="EA732" s="0" t="s">
        <v>153</v>
      </c>
      <c r="ED732" s="0" t="s">
        <v>209</v>
      </c>
      <c r="EF732" s="0" t="s">
        <v>153</v>
      </c>
    </row>
    <row r="733" customFormat="false" ht="13.8" hidden="false" customHeight="false" outlineLevel="0" collapsed="false">
      <c r="A733" s="0" t="s">
        <v>3730</v>
      </c>
      <c r="B733" s="0" t="n">
        <v>78</v>
      </c>
      <c r="C733" s="0" t="n">
        <v>485183</v>
      </c>
      <c r="D733" s="0" t="s">
        <v>3731</v>
      </c>
      <c r="E733" s="0" t="s">
        <v>2814</v>
      </c>
      <c r="F733" s="0" t="str">
        <f aca="false">CONCATENATE(D733," ",LEFT(H733,4),"T=",AU733,"D=",AV733,"R=",AW733,"M=",AX733,"L=",AY733,"B=",AZ733)</f>
        <v>LUNDY T=2D=0R=0M=0L=4B=0</v>
      </c>
      <c r="I733" s="0" t="s">
        <v>3732</v>
      </c>
      <c r="J733" s="0" t="s">
        <v>2015</v>
      </c>
      <c r="K733" s="0" t="s">
        <v>160</v>
      </c>
      <c r="M733" s="0" t="s">
        <v>3719</v>
      </c>
      <c r="N733" s="0" t="str">
        <f aca="false">RIGHT(M733,LEN(M733)-FIND(" ",M733))</f>
        <v>HIGH ST NE</v>
      </c>
      <c r="O733" s="0" t="s">
        <v>3733</v>
      </c>
      <c r="P733" s="0" t="s">
        <v>145</v>
      </c>
      <c r="Q733" s="0" t="s">
        <v>146</v>
      </c>
      <c r="R733" s="0" t="n">
        <v>44481</v>
      </c>
      <c r="AD733" s="0" t="s">
        <v>147</v>
      </c>
      <c r="AE733" s="0" t="s">
        <v>148</v>
      </c>
      <c r="AF733" s="0" t="s">
        <v>149</v>
      </c>
      <c r="AH733" s="0" t="n">
        <v>14</v>
      </c>
      <c r="AI733" s="0" t="n">
        <v>11</v>
      </c>
      <c r="AN733" s="0" t="s">
        <v>145</v>
      </c>
      <c r="AO733" s="0" t="s">
        <v>654</v>
      </c>
      <c r="AP733" s="0" t="s">
        <v>655</v>
      </c>
      <c r="AQ733" s="0" t="n">
        <v>9</v>
      </c>
      <c r="AR733" s="0" t="n">
        <v>64</v>
      </c>
      <c r="AS733" s="0" t="n">
        <v>32</v>
      </c>
      <c r="AU733" s="0" t="n">
        <f aca="false">COUNTA($BA$1143:$EH$1143)</f>
        <v>2</v>
      </c>
      <c r="AV733" s="0" t="n">
        <f aca="false">COUNTIF($BA$1143:$EH$1143,"D")</f>
        <v>0</v>
      </c>
      <c r="AW733" s="0" t="n">
        <f aca="false">COUNTIF($BA$1143:$EH$1143,"R")</f>
        <v>0</v>
      </c>
      <c r="AX733" s="0" t="n">
        <f aca="false">IF(BN733="D",1,0)+IF(BO733="D",1,0)+IF(BT733="D",1,0)+IF(BU733="D",1,0)+IF(BW733="D",1,0)+IF(CC733="D",1,0)+IF(CD733="D",1,0)+IF(CE733="D",1,0)+IF(CF733="D",1,0)+IF(CL733="D",1,0)+IF(CM733="D",1,0)+IF(CQ733="D",1,0)+IF(CR733="D",1,0)+IF(CS733="D",1,0)+IF(CW733="D",1,0)+IF(CX733="D",1,0)+IF(DD733="D",1,0)+IF(DE733="D",1,0)+IF(DJ733="D",1,0)+IF(DK733="D",1,0)+IF(DO733="D",1,0)+IF(DP733="D",1,0)+IF(DQ733="D",1,0)+IF(DW733="D",1,0)+IF(DZ733="D",1,0)+IF(EH733="D",1,0)</f>
        <v>0</v>
      </c>
      <c r="AY733" s="0" t="n">
        <f aca="false">COUNTIF(DU733:EH733, "&lt;&gt;")</f>
        <v>4</v>
      </c>
      <c r="AZ733" s="0" t="n">
        <f aca="false">IF(EH733&lt;&gt;"",1,0)</f>
        <v>0</v>
      </c>
      <c r="BB733" s="0" t="s">
        <v>152</v>
      </c>
      <c r="DN733" s="0" t="s">
        <v>153</v>
      </c>
      <c r="DU733" s="0" t="s">
        <v>153</v>
      </c>
      <c r="DX733" s="0" t="s">
        <v>153</v>
      </c>
      <c r="EA733" s="0" t="s">
        <v>153</v>
      </c>
      <c r="EF733" s="0" t="s">
        <v>153</v>
      </c>
    </row>
    <row r="734" customFormat="false" ht="13.8" hidden="true" customHeight="false" outlineLevel="0" collapsed="false">
      <c r="A734" s="0" t="s">
        <v>3734</v>
      </c>
      <c r="B734" s="0" t="n">
        <v>78</v>
      </c>
      <c r="C734" s="0" t="n">
        <v>306772</v>
      </c>
      <c r="D734" s="0" t="s">
        <v>1001</v>
      </c>
      <c r="E734" s="0" t="s">
        <v>2563</v>
      </c>
      <c r="F734" s="0" t="str">
        <f aca="false">CONCATENATE(D734," ",LEFT(H734,4),"T=",AU734,"D=",AV734,"R=",AW734,"M=",AX734,"L=",AY734,"B=",AZ734)</f>
        <v>DAVIS T=30D=6R=0M=0L=1B=0</v>
      </c>
      <c r="G734" s="0" t="s">
        <v>190</v>
      </c>
      <c r="I734" s="0" t="s">
        <v>3735</v>
      </c>
      <c r="J734" s="0" t="s">
        <v>1783</v>
      </c>
      <c r="K734" s="0" t="s">
        <v>160</v>
      </c>
      <c r="M734" s="0" t="s">
        <v>3719</v>
      </c>
      <c r="N734" s="0" t="str">
        <f aca="false">RIGHT(M734,LEN(M734)-FIND(" ",M734))</f>
        <v>HIGH ST NE</v>
      </c>
      <c r="O734" s="0" t="s">
        <v>3736</v>
      </c>
      <c r="P734" s="0" t="s">
        <v>145</v>
      </c>
      <c r="Q734" s="0" t="s">
        <v>146</v>
      </c>
      <c r="R734" s="0" t="n">
        <v>44481</v>
      </c>
      <c r="AD734" s="0" t="s">
        <v>147</v>
      </c>
      <c r="AE734" s="0" t="s">
        <v>148</v>
      </c>
      <c r="AF734" s="0" t="s">
        <v>149</v>
      </c>
      <c r="AH734" s="0" t="n">
        <v>14</v>
      </c>
      <c r="AI734" s="0" t="n">
        <v>11</v>
      </c>
      <c r="AN734" s="0" t="s">
        <v>145</v>
      </c>
      <c r="AO734" s="0" t="s">
        <v>654</v>
      </c>
      <c r="AP734" s="0" t="s">
        <v>655</v>
      </c>
      <c r="AQ734" s="0" t="n">
        <v>9</v>
      </c>
      <c r="AR734" s="0" t="n">
        <v>64</v>
      </c>
      <c r="AS734" s="0" t="n">
        <v>32</v>
      </c>
      <c r="AU734" s="0" t="n">
        <f aca="false">COUNTA($BA$1158:$EH$1158)</f>
        <v>30</v>
      </c>
      <c r="AV734" s="0" t="n">
        <f aca="false">COUNTIF($BA$1158:$EH$1158,"D")</f>
        <v>6</v>
      </c>
      <c r="AW734" s="0" t="n">
        <f aca="false">COUNTIF($BA$1158:$EH$1158,"R")</f>
        <v>0</v>
      </c>
      <c r="AX734" s="0" t="n">
        <f aca="false">IF(BN734="D",1,0)+IF(BO734="D",1,0)+IF(BT734="D",1,0)+IF(BU734="D",1,0)+IF(BW734="D",1,0)+IF(CC734="D",1,0)+IF(CD734="D",1,0)+IF(CE734="D",1,0)+IF(CF734="D",1,0)+IF(CL734="D",1,0)+IF(CM734="D",1,0)+IF(CQ734="D",1,0)+IF(CR734="D",1,0)+IF(CS734="D",1,0)+IF(CW734="D",1,0)+IF(CX734="D",1,0)+IF(DD734="D",1,0)+IF(DE734="D",1,0)+IF(DJ734="D",1,0)+IF(DK734="D",1,0)+IF(DO734="D",1,0)+IF(DP734="D",1,0)+IF(DQ734="D",1,0)+IF(DW734="D",1,0)+IF(DZ734="D",1,0)+IF(EH734="D",1,0)</f>
        <v>0</v>
      </c>
      <c r="AY734" s="0" t="n">
        <f aca="false">COUNTIF(DU734:EH734, "&lt;&gt;")</f>
        <v>1</v>
      </c>
      <c r="AZ734" s="0" t="n">
        <f aca="false">IF(EH734&lt;&gt;"",1,0)</f>
        <v>0</v>
      </c>
      <c r="BB734" s="0" t="s">
        <v>152</v>
      </c>
      <c r="DN734" s="0" t="s">
        <v>153</v>
      </c>
      <c r="DU734" s="0" t="s">
        <v>153</v>
      </c>
    </row>
    <row r="735" customFormat="false" ht="13.8" hidden="false" customHeight="false" outlineLevel="0" collapsed="false">
      <c r="A735" s="0" t="s">
        <v>3737</v>
      </c>
      <c r="B735" s="0" t="n">
        <v>78</v>
      </c>
      <c r="C735" s="0" t="n">
        <v>257118</v>
      </c>
      <c r="D735" s="0" t="s">
        <v>3738</v>
      </c>
      <c r="E735" s="0" t="s">
        <v>493</v>
      </c>
      <c r="F735" s="0" t="str">
        <f aca="false">CONCATENATE(D735," ",LEFT(H735,4),"T=",AU735,"D=",AV735,"R=",AW735,"M=",AX735,"L=",AY735,"B=",AZ735)</f>
        <v>CUSTER T=34D=8R=0M=0L=3B=0</v>
      </c>
      <c r="G735" s="0" t="s">
        <v>190</v>
      </c>
      <c r="I735" s="0" t="s">
        <v>3739</v>
      </c>
      <c r="J735" s="0" t="s">
        <v>427</v>
      </c>
      <c r="K735" s="0" t="s">
        <v>160</v>
      </c>
      <c r="M735" s="0" t="s">
        <v>3719</v>
      </c>
      <c r="N735" s="0" t="str">
        <f aca="false">RIGHT(M735,LEN(M735)-FIND(" ",M735))</f>
        <v>HIGH ST NE</v>
      </c>
      <c r="O735" s="0" t="s">
        <v>3740</v>
      </c>
      <c r="P735" s="0" t="s">
        <v>145</v>
      </c>
      <c r="Q735" s="0" t="s">
        <v>146</v>
      </c>
      <c r="R735" s="0" t="n">
        <v>44481</v>
      </c>
      <c r="AD735" s="0" t="s">
        <v>147</v>
      </c>
      <c r="AE735" s="0" t="s">
        <v>148</v>
      </c>
      <c r="AF735" s="0" t="s">
        <v>149</v>
      </c>
      <c r="AH735" s="0" t="n">
        <v>14</v>
      </c>
      <c r="AI735" s="0" t="n">
        <v>11</v>
      </c>
      <c r="AN735" s="0" t="s">
        <v>145</v>
      </c>
      <c r="AO735" s="0" t="s">
        <v>654</v>
      </c>
      <c r="AP735" s="0" t="s">
        <v>655</v>
      </c>
      <c r="AQ735" s="0" t="n">
        <v>9</v>
      </c>
      <c r="AR735" s="0" t="n">
        <v>64</v>
      </c>
      <c r="AS735" s="0" t="n">
        <v>32</v>
      </c>
      <c r="AU735" s="0" t="n">
        <f aca="false">COUNTA($BA$1170:$EH$1170)</f>
        <v>34</v>
      </c>
      <c r="AV735" s="0" t="n">
        <f aca="false">COUNTIF($BA$1170:$EH$1170,"D")</f>
        <v>8</v>
      </c>
      <c r="AW735" s="0" t="n">
        <f aca="false">COUNTIF($BA$1170:$EH$1170,"R")</f>
        <v>0</v>
      </c>
      <c r="AX735" s="0" t="n">
        <f aca="false">IF(BN735="D",1,0)+IF(BO735="D",1,0)+IF(BT735="D",1,0)+IF(BU735="D",1,0)+IF(BW735="D",1,0)+IF(CC735="D",1,0)+IF(CD735="D",1,0)+IF(CE735="D",1,0)+IF(CF735="D",1,0)+IF(CL735="D",1,0)+IF(CM735="D",1,0)+IF(CQ735="D",1,0)+IF(CR735="D",1,0)+IF(CS735="D",1,0)+IF(CW735="D",1,0)+IF(CX735="D",1,0)+IF(DD735="D",1,0)+IF(DE735="D",1,0)+IF(DJ735="D",1,0)+IF(DK735="D",1,0)+IF(DO735="D",1,0)+IF(DP735="D",1,0)+IF(DQ735="D",1,0)+IF(DW735="D",1,0)+IF(DZ735="D",1,0)+IF(EH735="D",1,0)</f>
        <v>0</v>
      </c>
      <c r="AY735" s="0" t="n">
        <f aca="false">COUNTIF(DU735:EH735, "&lt;&gt;")</f>
        <v>3</v>
      </c>
      <c r="AZ735" s="0" t="n">
        <f aca="false">IF(EH735&lt;&gt;"",1,0)</f>
        <v>0</v>
      </c>
      <c r="BB735" s="0" t="s">
        <v>152</v>
      </c>
      <c r="BC735" s="0" t="s">
        <v>153</v>
      </c>
      <c r="BD735" s="0" t="s">
        <v>153</v>
      </c>
      <c r="BE735" s="0" t="s">
        <v>153</v>
      </c>
      <c r="BL735" s="0" t="s">
        <v>153</v>
      </c>
      <c r="BP735" s="0" t="s">
        <v>153</v>
      </c>
      <c r="CA735" s="0" t="s">
        <v>153</v>
      </c>
      <c r="CK735" s="0" t="s">
        <v>153</v>
      </c>
      <c r="CP735" s="0" t="s">
        <v>153</v>
      </c>
      <c r="CV735" s="0" t="s">
        <v>153</v>
      </c>
      <c r="CY735" s="0" t="s">
        <v>153</v>
      </c>
      <c r="CZ735" s="0" t="s">
        <v>175</v>
      </c>
      <c r="DI735" s="0" t="s">
        <v>153</v>
      </c>
      <c r="DN735" s="0" t="s">
        <v>153</v>
      </c>
      <c r="DX735" s="0" t="s">
        <v>153</v>
      </c>
      <c r="EA735" s="0" t="s">
        <v>153</v>
      </c>
      <c r="EF735" s="0" t="s">
        <v>153</v>
      </c>
    </row>
    <row r="736" customFormat="false" ht="13.8" hidden="true" customHeight="false" outlineLevel="0" collapsed="false">
      <c r="A736" s="0" t="s">
        <v>3741</v>
      </c>
      <c r="B736" s="0" t="n">
        <v>78</v>
      </c>
      <c r="C736" s="0" t="n">
        <v>128868</v>
      </c>
      <c r="D736" s="0" t="s">
        <v>1974</v>
      </c>
      <c r="E736" s="0" t="s">
        <v>3742</v>
      </c>
      <c r="F736" s="0" t="str">
        <f aca="false">CONCATENATE(D736," ",LEFT(H736,4),"T=",AU736,"D=",AV736,"R=",AW736,"M=",AX736,"L=",AY736,"B=",AZ736)</f>
        <v>GRAHAM T=28D=0R=4M=3L=0B=0</v>
      </c>
      <c r="G736" s="0" t="s">
        <v>171</v>
      </c>
      <c r="I736" s="0" t="s">
        <v>3743</v>
      </c>
      <c r="J736" s="0" t="s">
        <v>3744</v>
      </c>
      <c r="K736" s="0" t="s">
        <v>160</v>
      </c>
      <c r="M736" s="0" t="s">
        <v>3719</v>
      </c>
      <c r="N736" s="0" t="str">
        <f aca="false">RIGHT(M736,LEN(M736)-FIND(" ",M736))</f>
        <v>HIGH ST NE</v>
      </c>
      <c r="O736" s="0" t="s">
        <v>3745</v>
      </c>
      <c r="P736" s="0" t="s">
        <v>145</v>
      </c>
      <c r="Q736" s="0" t="s">
        <v>146</v>
      </c>
      <c r="R736" s="0" t="n">
        <v>44481</v>
      </c>
      <c r="AD736" s="0" t="s">
        <v>147</v>
      </c>
      <c r="AE736" s="0" t="s">
        <v>148</v>
      </c>
      <c r="AF736" s="0" t="s">
        <v>149</v>
      </c>
      <c r="AH736" s="0" t="n">
        <v>14</v>
      </c>
      <c r="AI736" s="0" t="n">
        <v>11</v>
      </c>
      <c r="AN736" s="0" t="s">
        <v>145</v>
      </c>
      <c r="AO736" s="0" t="s">
        <v>654</v>
      </c>
      <c r="AP736" s="0" t="s">
        <v>655</v>
      </c>
      <c r="AQ736" s="0" t="n">
        <v>9</v>
      </c>
      <c r="AR736" s="0" t="n">
        <v>64</v>
      </c>
      <c r="AS736" s="0" t="n">
        <v>32</v>
      </c>
      <c r="AU736" s="0" t="n">
        <f aca="false">COUNTA($BA$1173:$EH$1173)</f>
        <v>28</v>
      </c>
      <c r="AV736" s="0" t="n">
        <f aca="false">COUNTIF($BA$1173:$EH$1173,"D")</f>
        <v>0</v>
      </c>
      <c r="AW736" s="0" t="n">
        <f aca="false">COUNTIF($BA$1173:$EH$1173,"R")</f>
        <v>4</v>
      </c>
      <c r="AX736" s="0" t="n">
        <f aca="false">IF(BN736="D",1,0)+IF(BO736="D",1,0)+IF(BT736="D",1,0)+IF(BU736="D",1,0)+IF(BW736="D",1,0)+IF(CC736="D",1,0)+IF(CD736="D",1,0)+IF(CE736="D",1,0)+IF(CF736="D",1,0)+IF(CL736="D",1,0)+IF(CM736="D",1,0)+IF(CQ736="D",1,0)+IF(CR736="D",1,0)+IF(CS736="D",1,0)+IF(CW736="D",1,0)+IF(CX736="D",1,0)+IF(DD736="D",1,0)+IF(DE736="D",1,0)+IF(DJ736="D",1,0)+IF(DK736="D",1,0)+IF(DO736="D",1,0)+IF(DP736="D",1,0)+IF(DQ736="D",1,0)+IF(DW736="D",1,0)+IF(DZ736="D",1,0)+IF(EH736="D",1,0)</f>
        <v>3</v>
      </c>
      <c r="AY736" s="0" t="n">
        <f aca="false">COUNTIF(DU736:EH736, "&lt;&gt;")</f>
        <v>0</v>
      </c>
      <c r="AZ736" s="0" t="n">
        <f aca="false">IF(EH736&lt;&gt;"",1,0)</f>
        <v>0</v>
      </c>
      <c r="BB736" s="0" t="s">
        <v>152</v>
      </c>
      <c r="BD736" s="0" t="s">
        <v>153</v>
      </c>
      <c r="BI736" s="0" t="s">
        <v>153</v>
      </c>
      <c r="BJ736" s="0" t="s">
        <v>153</v>
      </c>
      <c r="BK736" s="0" t="s">
        <v>153</v>
      </c>
      <c r="BS736" s="0" t="s">
        <v>153</v>
      </c>
      <c r="CG736" s="0" t="s">
        <v>153</v>
      </c>
      <c r="CH736" s="0" t="s">
        <v>209</v>
      </c>
      <c r="CK736" s="0" t="s">
        <v>153</v>
      </c>
      <c r="CL736" s="0" t="s">
        <v>175</v>
      </c>
      <c r="CN736" s="0" t="s">
        <v>153</v>
      </c>
      <c r="CO736" s="0" t="s">
        <v>175</v>
      </c>
      <c r="CP736" s="0" t="s">
        <v>153</v>
      </c>
      <c r="CQ736" s="0" t="s">
        <v>175</v>
      </c>
      <c r="CU736" s="0" t="s">
        <v>175</v>
      </c>
      <c r="CV736" s="0" t="s">
        <v>153</v>
      </c>
      <c r="CW736" s="0" t="s">
        <v>175</v>
      </c>
      <c r="CY736" s="0" t="s">
        <v>153</v>
      </c>
      <c r="DC736" s="0" t="s">
        <v>153</v>
      </c>
      <c r="DF736" s="0" t="s">
        <v>153</v>
      </c>
      <c r="DG736" s="0" t="s">
        <v>175</v>
      </c>
      <c r="DI736" s="0" t="s">
        <v>153</v>
      </c>
      <c r="DL736" s="0" t="s">
        <v>153</v>
      </c>
      <c r="DN736" s="0" t="s">
        <v>153</v>
      </c>
    </row>
    <row r="737" customFormat="false" ht="13.8" hidden="true" customHeight="false" outlineLevel="0" collapsed="false">
      <c r="A737" s="0" t="s">
        <v>3746</v>
      </c>
      <c r="B737" s="0" t="n">
        <v>78</v>
      </c>
      <c r="C737" s="0" t="n">
        <v>379009</v>
      </c>
      <c r="D737" s="0" t="s">
        <v>3747</v>
      </c>
      <c r="E737" s="0" t="s">
        <v>324</v>
      </c>
      <c r="F737" s="0" t="str">
        <f aca="false">CONCATENATE(D737," ",LEFT(H737,4),"T=",AU737,"D=",AV737,"R=",AW737,"M=",AX737,"L=",AY737,"B=",AZ737)</f>
        <v>COUDRIET T=1D=0R=0M=0L=0B=0</v>
      </c>
      <c r="G737" s="0" t="s">
        <v>325</v>
      </c>
      <c r="I737" s="0" t="s">
        <v>3748</v>
      </c>
      <c r="J737" s="0" t="s">
        <v>3749</v>
      </c>
      <c r="K737" s="0" t="s">
        <v>143</v>
      </c>
      <c r="M737" s="0" t="s">
        <v>3719</v>
      </c>
      <c r="N737" s="0" t="str">
        <f aca="false">RIGHT(M737,LEN(M737)-FIND(" ",M737))</f>
        <v>HIGH ST NE</v>
      </c>
      <c r="O737" s="0" t="s">
        <v>3750</v>
      </c>
      <c r="P737" s="0" t="s">
        <v>145</v>
      </c>
      <c r="Q737" s="0" t="s">
        <v>146</v>
      </c>
      <c r="R737" s="0" t="n">
        <v>44481</v>
      </c>
      <c r="AD737" s="0" t="s">
        <v>147</v>
      </c>
      <c r="AE737" s="0" t="s">
        <v>148</v>
      </c>
      <c r="AF737" s="0" t="s">
        <v>149</v>
      </c>
      <c r="AH737" s="0" t="n">
        <v>14</v>
      </c>
      <c r="AI737" s="0" t="n">
        <v>11</v>
      </c>
      <c r="AN737" s="0" t="s">
        <v>145</v>
      </c>
      <c r="AO737" s="0" t="s">
        <v>654</v>
      </c>
      <c r="AP737" s="0" t="s">
        <v>655</v>
      </c>
      <c r="AQ737" s="0" t="n">
        <v>9</v>
      </c>
      <c r="AR737" s="0" t="n">
        <v>64</v>
      </c>
      <c r="AS737" s="0" t="n">
        <v>32</v>
      </c>
      <c r="AU737" s="0" t="n">
        <f aca="false">COUNTA($BA$1228:$EH$1228)</f>
        <v>1</v>
      </c>
      <c r="AV737" s="0" t="n">
        <f aca="false">COUNTIF($BA$1228:$EH$1228,"D")</f>
        <v>0</v>
      </c>
      <c r="AW737" s="0" t="n">
        <f aca="false">COUNTIF($BA$1228:$EH$1228,"R")</f>
        <v>0</v>
      </c>
      <c r="AX737" s="0" t="n">
        <f aca="false">IF(BN737="D",1,0)+IF(BO737="D",1,0)+IF(BT737="D",1,0)+IF(BU737="D",1,0)+IF(BW737="D",1,0)+IF(CC737="D",1,0)+IF(CD737="D",1,0)+IF(CE737="D",1,0)+IF(CF737="D",1,0)+IF(CL737="D",1,0)+IF(CM737="D",1,0)+IF(CQ737="D",1,0)+IF(CR737="D",1,0)+IF(CS737="D",1,0)+IF(CW737="D",1,0)+IF(CX737="D",1,0)+IF(DD737="D",1,0)+IF(DE737="D",1,0)+IF(DJ737="D",1,0)+IF(DK737="D",1,0)+IF(DO737="D",1,0)+IF(DP737="D",1,0)+IF(DQ737="D",1,0)+IF(DW737="D",1,0)+IF(DZ737="D",1,0)+IF(EH737="D",1,0)</f>
        <v>0</v>
      </c>
      <c r="AY737" s="0" t="n">
        <f aca="false">COUNTIF(DU737:EH737, "&lt;&gt;")</f>
        <v>0</v>
      </c>
      <c r="AZ737" s="0" t="n">
        <f aca="false">IF(EH737&lt;&gt;"",1,0)</f>
        <v>0</v>
      </c>
      <c r="BB737" s="0" t="s">
        <v>152</v>
      </c>
    </row>
    <row r="738" customFormat="false" ht="13.8" hidden="true" customHeight="false" outlineLevel="0" collapsed="false">
      <c r="A738" s="0" t="s">
        <v>3751</v>
      </c>
      <c r="B738" s="0" t="n">
        <v>78</v>
      </c>
      <c r="C738" s="0" t="n">
        <v>322399</v>
      </c>
      <c r="D738" s="0" t="s">
        <v>3752</v>
      </c>
      <c r="E738" s="0" t="s">
        <v>275</v>
      </c>
      <c r="F738" s="0" t="str">
        <f aca="false">CONCATENATE(D738," ",LEFT(H738,4),"T=",AU738,"D=",AV738,"R=",AW738,"M=",AX738,"L=",AY738,"B=",AZ738)</f>
        <v>JENNINGS T=1D=0R=0M=0L=0B=0</v>
      </c>
      <c r="G738" s="0" t="s">
        <v>890</v>
      </c>
      <c r="I738" s="0" t="s">
        <v>3753</v>
      </c>
      <c r="J738" s="0" t="s">
        <v>3754</v>
      </c>
      <c r="K738" s="0" t="s">
        <v>160</v>
      </c>
      <c r="M738" s="0" t="s">
        <v>3719</v>
      </c>
      <c r="N738" s="0" t="str">
        <f aca="false">RIGHT(M738,LEN(M738)-FIND(" ",M738))</f>
        <v>HIGH ST NE</v>
      </c>
      <c r="P738" s="0" t="s">
        <v>145</v>
      </c>
      <c r="Q738" s="0" t="s">
        <v>146</v>
      </c>
      <c r="R738" s="0" t="n">
        <v>44481</v>
      </c>
      <c r="AD738" s="0" t="s">
        <v>147</v>
      </c>
      <c r="AE738" s="0" t="s">
        <v>148</v>
      </c>
      <c r="AF738" s="0" t="s">
        <v>149</v>
      </c>
      <c r="AH738" s="0" t="n">
        <v>14</v>
      </c>
      <c r="AI738" s="0" t="n">
        <v>11</v>
      </c>
      <c r="AN738" s="0" t="s">
        <v>145</v>
      </c>
      <c r="AO738" s="0" t="s">
        <v>654</v>
      </c>
      <c r="AP738" s="0" t="s">
        <v>655</v>
      </c>
      <c r="AQ738" s="0" t="n">
        <v>9</v>
      </c>
      <c r="AR738" s="0" t="n">
        <v>64</v>
      </c>
      <c r="AS738" s="0" t="n">
        <v>32</v>
      </c>
      <c r="AU738" s="0" t="n">
        <f aca="false">COUNTA($BA$1244:$EH$1244)</f>
        <v>1</v>
      </c>
      <c r="AV738" s="0" t="n">
        <f aca="false">COUNTIF($BA$1244:$EH$1244,"D")</f>
        <v>0</v>
      </c>
      <c r="AW738" s="0" t="n">
        <f aca="false">COUNTIF($BA$1244:$EH$1244,"R")</f>
        <v>0</v>
      </c>
      <c r="AX738" s="0" t="n">
        <f aca="false">IF(BN738="D",1,0)+IF(BO738="D",1,0)+IF(BT738="D",1,0)+IF(BU738="D",1,0)+IF(BW738="D",1,0)+IF(CC738="D",1,0)+IF(CD738="D",1,0)+IF(CE738="D",1,0)+IF(CF738="D",1,0)+IF(CL738="D",1,0)+IF(CM738="D",1,0)+IF(CQ738="D",1,0)+IF(CR738="D",1,0)+IF(CS738="D",1,0)+IF(CW738="D",1,0)+IF(CX738="D",1,0)+IF(DD738="D",1,0)+IF(DE738="D",1,0)+IF(DJ738="D",1,0)+IF(DK738="D",1,0)+IF(DO738="D",1,0)+IF(DP738="D",1,0)+IF(DQ738="D",1,0)+IF(DW738="D",1,0)+IF(DZ738="D",1,0)+IF(EH738="D",1,0)</f>
        <v>0</v>
      </c>
      <c r="AY738" s="0" t="n">
        <f aca="false">COUNTIF(DU738:EH738, "&lt;&gt;")</f>
        <v>0</v>
      </c>
      <c r="AZ738" s="0" t="n">
        <f aca="false">IF(EH738&lt;&gt;"",1,0)</f>
        <v>0</v>
      </c>
      <c r="BB738" s="0" t="s">
        <v>152</v>
      </c>
      <c r="CP738" s="0" t="s">
        <v>153</v>
      </c>
      <c r="DC738" s="0" t="s">
        <v>153</v>
      </c>
    </row>
    <row r="739" customFormat="false" ht="13.8" hidden="true" customHeight="false" outlineLevel="0" collapsed="false">
      <c r="A739" s="0" t="s">
        <v>3755</v>
      </c>
      <c r="B739" s="0" t="n">
        <v>78</v>
      </c>
      <c r="C739" s="0" t="n">
        <v>240827</v>
      </c>
      <c r="D739" s="0" t="s">
        <v>2523</v>
      </c>
      <c r="E739" s="0" t="s">
        <v>669</v>
      </c>
      <c r="F739" s="0" t="str">
        <f aca="false">CONCATENATE(D739," ",LEFT(H739,4),"T=",AU739,"D=",AV739,"R=",AW739,"M=",AX739,"L=",AY739,"B=",AZ739)</f>
        <v>HARRIS T=6D=0R=0M=0L=0B=0</v>
      </c>
      <c r="I739" s="0" t="s">
        <v>3756</v>
      </c>
      <c r="J739" s="0" t="s">
        <v>1050</v>
      </c>
      <c r="K739" s="0" t="s">
        <v>160</v>
      </c>
      <c r="M739" s="0" t="s">
        <v>3719</v>
      </c>
      <c r="N739" s="0" t="str">
        <f aca="false">RIGHT(M739,LEN(M739)-FIND(" ",M739))</f>
        <v>HIGH ST NE</v>
      </c>
      <c r="O739" s="0" t="s">
        <v>3757</v>
      </c>
      <c r="P739" s="0" t="s">
        <v>145</v>
      </c>
      <c r="Q739" s="0" t="s">
        <v>146</v>
      </c>
      <c r="R739" s="0" t="n">
        <v>44481</v>
      </c>
      <c r="AD739" s="0" t="s">
        <v>147</v>
      </c>
      <c r="AE739" s="0" t="s">
        <v>148</v>
      </c>
      <c r="AF739" s="0" t="s">
        <v>149</v>
      </c>
      <c r="AH739" s="0" t="n">
        <v>14</v>
      </c>
      <c r="AI739" s="0" t="n">
        <v>11</v>
      </c>
      <c r="AN739" s="0" t="s">
        <v>145</v>
      </c>
      <c r="AO739" s="0" t="s">
        <v>654</v>
      </c>
      <c r="AP739" s="0" t="s">
        <v>655</v>
      </c>
      <c r="AQ739" s="0" t="n">
        <v>9</v>
      </c>
      <c r="AR739" s="0" t="n">
        <v>64</v>
      </c>
      <c r="AS739" s="0" t="n">
        <v>32</v>
      </c>
      <c r="AU739" s="0" t="n">
        <f aca="false">COUNTA($BA$1298:$EH$1298)</f>
        <v>6</v>
      </c>
      <c r="AV739" s="0" t="n">
        <f aca="false">COUNTIF($BA$1298:$EH$1298,"D")</f>
        <v>0</v>
      </c>
      <c r="AW739" s="0" t="n">
        <f aca="false">COUNTIF($BA$1298:$EH$1298,"R")</f>
        <v>0</v>
      </c>
      <c r="AX739" s="0" t="n">
        <f aca="false">IF(BN739="D",1,0)+IF(BO739="D",1,0)+IF(BT739="D",1,0)+IF(BU739="D",1,0)+IF(BW739="D",1,0)+IF(CC739="D",1,0)+IF(CD739="D",1,0)+IF(CE739="D",1,0)+IF(CF739="D",1,0)+IF(CL739="D",1,0)+IF(CM739="D",1,0)+IF(CQ739="D",1,0)+IF(CR739="D",1,0)+IF(CS739="D",1,0)+IF(CW739="D",1,0)+IF(CX739="D",1,0)+IF(DD739="D",1,0)+IF(DE739="D",1,0)+IF(DJ739="D",1,0)+IF(DK739="D",1,0)+IF(DO739="D",1,0)+IF(DP739="D",1,0)+IF(DQ739="D",1,0)+IF(DW739="D",1,0)+IF(DZ739="D",1,0)+IF(EH739="D",1,0)</f>
        <v>0</v>
      </c>
      <c r="AY739" s="0" t="n">
        <f aca="false">COUNTIF(DU739:EH739, "&lt;&gt;")</f>
        <v>0</v>
      </c>
      <c r="AZ739" s="0" t="n">
        <f aca="false">IF(EH739&lt;&gt;"",1,0)</f>
        <v>0</v>
      </c>
      <c r="BB739" s="0" t="s">
        <v>152</v>
      </c>
      <c r="BC739" s="0" t="s">
        <v>153</v>
      </c>
      <c r="BD739" s="0" t="s">
        <v>153</v>
      </c>
      <c r="BG739" s="0" t="s">
        <v>153</v>
      </c>
      <c r="BH739" s="0" t="s">
        <v>153</v>
      </c>
      <c r="BJ739" s="0" t="s">
        <v>153</v>
      </c>
      <c r="BL739" s="0" t="s">
        <v>153</v>
      </c>
      <c r="CA739" s="0" t="s">
        <v>153</v>
      </c>
      <c r="CP739" s="0" t="s">
        <v>153</v>
      </c>
      <c r="CY739" s="0" t="s">
        <v>153</v>
      </c>
      <c r="DC739" s="0" t="s">
        <v>153</v>
      </c>
    </row>
    <row r="740" customFormat="false" ht="13.8" hidden="false" customHeight="false" outlineLevel="0" collapsed="false">
      <c r="A740" s="0" t="s">
        <v>3758</v>
      </c>
      <c r="B740" s="0" t="n">
        <v>78</v>
      </c>
      <c r="C740" s="0" t="n">
        <v>364271</v>
      </c>
      <c r="D740" s="0" t="s">
        <v>3759</v>
      </c>
      <c r="E740" s="0" t="s">
        <v>663</v>
      </c>
      <c r="F740" s="0" t="str">
        <f aca="false">CONCATENATE(D740," ",LEFT(H740,4),"T=",AU740,"D=",AV740,"R=",AW740,"M=",AX740,"L=",AY740,"B=",AZ740)</f>
        <v>CARMICHAEL T=11D=2R=0M=0L=2B=0</v>
      </c>
      <c r="G740" s="0" t="s">
        <v>268</v>
      </c>
      <c r="I740" s="0" t="s">
        <v>3760</v>
      </c>
      <c r="J740" s="0" t="s">
        <v>3761</v>
      </c>
      <c r="K740" s="0" t="s">
        <v>160</v>
      </c>
      <c r="M740" s="0" t="s">
        <v>3719</v>
      </c>
      <c r="N740" s="0" t="str">
        <f aca="false">RIGHT(M740,LEN(M740)-FIND(" ",M740))</f>
        <v>HIGH ST NE</v>
      </c>
      <c r="O740" s="0" t="s">
        <v>3762</v>
      </c>
      <c r="P740" s="0" t="s">
        <v>145</v>
      </c>
      <c r="Q740" s="0" t="s">
        <v>146</v>
      </c>
      <c r="R740" s="0" t="n">
        <v>44481</v>
      </c>
      <c r="AD740" s="0" t="s">
        <v>147</v>
      </c>
      <c r="AE740" s="0" t="s">
        <v>148</v>
      </c>
      <c r="AF740" s="0" t="s">
        <v>149</v>
      </c>
      <c r="AH740" s="0" t="n">
        <v>14</v>
      </c>
      <c r="AI740" s="0" t="n">
        <v>11</v>
      </c>
      <c r="AN740" s="0" t="s">
        <v>145</v>
      </c>
      <c r="AO740" s="0" t="s">
        <v>654</v>
      </c>
      <c r="AP740" s="0" t="s">
        <v>655</v>
      </c>
      <c r="AQ740" s="0" t="n">
        <v>9</v>
      </c>
      <c r="AR740" s="0" t="n">
        <v>64</v>
      </c>
      <c r="AS740" s="0" t="n">
        <v>32</v>
      </c>
      <c r="AU740" s="0" t="n">
        <f aca="false">COUNTA($BA$1300:$EH$1300)</f>
        <v>11</v>
      </c>
      <c r="AV740" s="0" t="n">
        <f aca="false">COUNTIF($BA$1300:$EH$1300,"D")</f>
        <v>2</v>
      </c>
      <c r="AW740" s="0" t="n">
        <f aca="false">COUNTIF($BA$1300:$EH$1300,"R")</f>
        <v>0</v>
      </c>
      <c r="AX740" s="0" t="n">
        <f aca="false">IF(BN740="D",1,0)+IF(BO740="D",1,0)+IF(BT740="D",1,0)+IF(BU740="D",1,0)+IF(BW740="D",1,0)+IF(CC740="D",1,0)+IF(CD740="D",1,0)+IF(CE740="D",1,0)+IF(CF740="D",1,0)+IF(CL740="D",1,0)+IF(CM740="D",1,0)+IF(CQ740="D",1,0)+IF(CR740="D",1,0)+IF(CS740="D",1,0)+IF(CW740="D",1,0)+IF(CX740="D",1,0)+IF(DD740="D",1,0)+IF(DE740="D",1,0)+IF(DJ740="D",1,0)+IF(DK740="D",1,0)+IF(DO740="D",1,0)+IF(DP740="D",1,0)+IF(DQ740="D",1,0)+IF(DW740="D",1,0)+IF(DZ740="D",1,0)+IF(EH740="D",1,0)</f>
        <v>0</v>
      </c>
      <c r="AY740" s="0" t="n">
        <f aca="false">COUNTIF(DU740:EH740, "&lt;&gt;")</f>
        <v>2</v>
      </c>
      <c r="AZ740" s="0" t="n">
        <f aca="false">IF(EH740&lt;&gt;"",1,0)</f>
        <v>0</v>
      </c>
      <c r="BB740" s="0" t="s">
        <v>152</v>
      </c>
      <c r="CA740" s="0" t="s">
        <v>153</v>
      </c>
      <c r="CP740" s="0" t="s">
        <v>153</v>
      </c>
      <c r="DN740" s="0" t="s">
        <v>153</v>
      </c>
      <c r="DU740" s="0" t="s">
        <v>153</v>
      </c>
      <c r="EF740" s="0" t="s">
        <v>153</v>
      </c>
    </row>
    <row r="741" customFormat="false" ht="13.8" hidden="true" customHeight="false" outlineLevel="0" collapsed="false">
      <c r="A741" s="0" t="s">
        <v>3763</v>
      </c>
      <c r="B741" s="0" t="n">
        <v>78</v>
      </c>
      <c r="C741" s="0" t="n">
        <v>491563</v>
      </c>
      <c r="D741" s="0" t="s">
        <v>3764</v>
      </c>
      <c r="E741" s="0" t="s">
        <v>1152</v>
      </c>
      <c r="F741" s="0" t="str">
        <f aca="false">CONCATENATE(D741," ",LEFT(H741,4),"T=",AU741,"D=",AV741,"R=",AW741,"M=",AX741,"L=",AY741,"B=",AZ741)</f>
        <v>HONEYWOOD T=2D=0R=0M=0L=0B=0</v>
      </c>
      <c r="G741" s="0" t="s">
        <v>190</v>
      </c>
      <c r="I741" s="0" t="s">
        <v>3765</v>
      </c>
      <c r="J741" s="0" t="s">
        <v>1658</v>
      </c>
      <c r="K741" s="0" t="s">
        <v>160</v>
      </c>
      <c r="M741" s="0" t="s">
        <v>3719</v>
      </c>
      <c r="N741" s="0" t="str">
        <f aca="false">RIGHT(M741,LEN(M741)-FIND(" ",M741))</f>
        <v>HIGH ST NE</v>
      </c>
      <c r="O741" s="0" t="s">
        <v>3766</v>
      </c>
      <c r="P741" s="0" t="s">
        <v>145</v>
      </c>
      <c r="Q741" s="0" t="s">
        <v>146</v>
      </c>
      <c r="R741" s="0" t="n">
        <v>44481</v>
      </c>
      <c r="AD741" s="0" t="s">
        <v>147</v>
      </c>
      <c r="AE741" s="0" t="s">
        <v>148</v>
      </c>
      <c r="AF741" s="0" t="s">
        <v>149</v>
      </c>
      <c r="AH741" s="0" t="n">
        <v>14</v>
      </c>
      <c r="AI741" s="0" t="n">
        <v>11</v>
      </c>
      <c r="AN741" s="0" t="s">
        <v>145</v>
      </c>
      <c r="AO741" s="0" t="s">
        <v>654</v>
      </c>
      <c r="AP741" s="0" t="s">
        <v>655</v>
      </c>
      <c r="AQ741" s="0" t="n">
        <v>9</v>
      </c>
      <c r="AR741" s="0" t="n">
        <v>64</v>
      </c>
      <c r="AS741" s="0" t="n">
        <v>32</v>
      </c>
      <c r="AU741" s="0" t="n">
        <f aca="false">COUNTA($BA$1305:$EH$1305)</f>
        <v>2</v>
      </c>
      <c r="AV741" s="0" t="n">
        <f aca="false">COUNTIF($BA$1305:$EH$1305,"D")</f>
        <v>0</v>
      </c>
      <c r="AW741" s="0" t="n">
        <f aca="false">COUNTIF($BA$1305:$EH$1305,"R")</f>
        <v>0</v>
      </c>
      <c r="AX741" s="0" t="n">
        <f aca="false">IF(BN741="D",1,0)+IF(BO741="D",1,0)+IF(BT741="D",1,0)+IF(BU741="D",1,0)+IF(BW741="D",1,0)+IF(CC741="D",1,0)+IF(CD741="D",1,0)+IF(CE741="D",1,0)+IF(CF741="D",1,0)+IF(CL741="D",1,0)+IF(CM741="D",1,0)+IF(CQ741="D",1,0)+IF(CR741="D",1,0)+IF(CS741="D",1,0)+IF(CW741="D",1,0)+IF(CX741="D",1,0)+IF(DD741="D",1,0)+IF(DE741="D",1,0)+IF(DJ741="D",1,0)+IF(DK741="D",1,0)+IF(DO741="D",1,0)+IF(DP741="D",1,0)+IF(DQ741="D",1,0)+IF(DW741="D",1,0)+IF(DZ741="D",1,0)+IF(EH741="D",1,0)</f>
        <v>0</v>
      </c>
      <c r="AY741" s="0" t="n">
        <f aca="false">COUNTIF(DU741:EH741, "&lt;&gt;")</f>
        <v>0</v>
      </c>
      <c r="AZ741" s="0" t="n">
        <f aca="false">IF(EH741&lt;&gt;"",1,0)</f>
        <v>0</v>
      </c>
      <c r="BB741" s="0" t="s">
        <v>152</v>
      </c>
      <c r="BL741" s="0" t="s">
        <v>153</v>
      </c>
      <c r="BP741" s="0" t="s">
        <v>153</v>
      </c>
      <c r="BS741" s="0" t="s">
        <v>153</v>
      </c>
      <c r="BY741" s="0" t="s">
        <v>175</v>
      </c>
      <c r="CA741" s="0" t="s">
        <v>153</v>
      </c>
      <c r="CG741" s="0" t="s">
        <v>153</v>
      </c>
      <c r="DC741" s="0" t="s">
        <v>153</v>
      </c>
      <c r="DI741" s="0" t="s">
        <v>153</v>
      </c>
      <c r="DL741" s="0" t="s">
        <v>153</v>
      </c>
      <c r="DN741" s="0" t="s">
        <v>153</v>
      </c>
    </row>
    <row r="742" customFormat="false" ht="13.8" hidden="true" customHeight="false" outlineLevel="0" collapsed="false">
      <c r="A742" s="0" t="s">
        <v>3767</v>
      </c>
      <c r="B742" s="0" t="n">
        <v>78</v>
      </c>
      <c r="C742" s="0" t="n">
        <v>379658</v>
      </c>
      <c r="D742" s="0" t="s">
        <v>1041</v>
      </c>
      <c r="E742" s="0" t="s">
        <v>3768</v>
      </c>
      <c r="F742" s="0" t="str">
        <f aca="false">CONCATENATE(D742," ",LEFT(H742,4),"T=",AU742,"D=",AV742,"R=",AW742,"M=",AX742,"L=",AY742,"B=",AZ742)</f>
        <v>JONES T=2D=0R=0M=0L=0B=0</v>
      </c>
      <c r="G742" s="0" t="s">
        <v>362</v>
      </c>
      <c r="I742" s="0" t="s">
        <v>3769</v>
      </c>
      <c r="J742" s="0" t="s">
        <v>3770</v>
      </c>
      <c r="K742" s="0" t="s">
        <v>143</v>
      </c>
      <c r="M742" s="0" t="s">
        <v>3719</v>
      </c>
      <c r="N742" s="0" t="str">
        <f aca="false">RIGHT(M742,LEN(M742)-FIND(" ",M742))</f>
        <v>HIGH ST NE</v>
      </c>
      <c r="O742" s="0" t="s">
        <v>3771</v>
      </c>
      <c r="P742" s="0" t="s">
        <v>145</v>
      </c>
      <c r="Q742" s="0" t="s">
        <v>146</v>
      </c>
      <c r="R742" s="0" t="n">
        <v>44481</v>
      </c>
      <c r="AD742" s="0" t="s">
        <v>147</v>
      </c>
      <c r="AE742" s="0" t="s">
        <v>148</v>
      </c>
      <c r="AF742" s="0" t="s">
        <v>149</v>
      </c>
      <c r="AH742" s="0" t="n">
        <v>14</v>
      </c>
      <c r="AI742" s="0" t="n">
        <v>11</v>
      </c>
      <c r="AN742" s="0" t="s">
        <v>145</v>
      </c>
      <c r="AO742" s="0" t="s">
        <v>654</v>
      </c>
      <c r="AP742" s="0" t="s">
        <v>655</v>
      </c>
      <c r="AQ742" s="0" t="n">
        <v>9</v>
      </c>
      <c r="AR742" s="0" t="n">
        <v>64</v>
      </c>
      <c r="AS742" s="0" t="n">
        <v>32</v>
      </c>
      <c r="AU742" s="0" t="n">
        <f aca="false">COUNTA($BA$1334:$EH$1334)</f>
        <v>2</v>
      </c>
      <c r="AV742" s="0" t="n">
        <f aca="false">COUNTIF($BA$1334:$EH$1334,"D")</f>
        <v>0</v>
      </c>
      <c r="AW742" s="0" t="n">
        <f aca="false">COUNTIF($BA$1334:$EH$1334,"R")</f>
        <v>0</v>
      </c>
      <c r="AX742" s="0" t="n">
        <f aca="false">IF(BN742="D",1,0)+IF(BO742="D",1,0)+IF(BT742="D",1,0)+IF(BU742="D",1,0)+IF(BW742="D",1,0)+IF(CC742="D",1,0)+IF(CD742="D",1,0)+IF(CE742="D",1,0)+IF(CF742="D",1,0)+IF(CL742="D",1,0)+IF(CM742="D",1,0)+IF(CQ742="D",1,0)+IF(CR742="D",1,0)+IF(CS742="D",1,0)+IF(CW742="D",1,0)+IF(CX742="D",1,0)+IF(DD742="D",1,0)+IF(DE742="D",1,0)+IF(DJ742="D",1,0)+IF(DK742="D",1,0)+IF(DO742="D",1,0)+IF(DP742="D",1,0)+IF(DQ742="D",1,0)+IF(DW742="D",1,0)+IF(DZ742="D",1,0)+IF(EH742="D",1,0)</f>
        <v>0</v>
      </c>
      <c r="AY742" s="0" t="n">
        <f aca="false">COUNTIF(DU742:EH742, "&lt;&gt;")</f>
        <v>0</v>
      </c>
      <c r="AZ742" s="0" t="n">
        <f aca="false">IF(EH742&lt;&gt;"",1,0)</f>
        <v>0</v>
      </c>
      <c r="BB742" s="0" t="s">
        <v>152</v>
      </c>
    </row>
    <row r="743" customFormat="false" ht="13.8" hidden="true" customHeight="false" outlineLevel="0" collapsed="false">
      <c r="A743" s="0" t="s">
        <v>3772</v>
      </c>
      <c r="B743" s="0" t="n">
        <v>78</v>
      </c>
      <c r="C743" s="0" t="n">
        <v>191108</v>
      </c>
      <c r="D743" s="0" t="s">
        <v>690</v>
      </c>
      <c r="E743" s="0" t="s">
        <v>3773</v>
      </c>
      <c r="F743" s="0" t="str">
        <f aca="false">CONCATENATE(D743," ",LEFT(H743,4),"T=",AU743,"D=",AV743,"R=",AW743,"M=",AX743,"L=",AY743,"B=",AZ743)</f>
        <v>SMITH T=19D=2R=0M=0L=0B=0</v>
      </c>
      <c r="G743" s="0" t="s">
        <v>3774</v>
      </c>
      <c r="I743" s="0" t="s">
        <v>3775</v>
      </c>
      <c r="J743" s="0" t="s">
        <v>3776</v>
      </c>
      <c r="K743" s="0" t="s">
        <v>143</v>
      </c>
      <c r="M743" s="0" t="s">
        <v>3719</v>
      </c>
      <c r="N743" s="0" t="str">
        <f aca="false">RIGHT(M743,LEN(M743)-FIND(" ",M743))</f>
        <v>HIGH ST NE</v>
      </c>
      <c r="O743" s="0" t="s">
        <v>3413</v>
      </c>
      <c r="P743" s="0" t="s">
        <v>145</v>
      </c>
      <c r="Q743" s="0" t="s">
        <v>146</v>
      </c>
      <c r="R743" s="0" t="n">
        <v>44481</v>
      </c>
      <c r="AD743" s="0" t="s">
        <v>147</v>
      </c>
      <c r="AE743" s="0" t="s">
        <v>148</v>
      </c>
      <c r="AF743" s="0" t="s">
        <v>149</v>
      </c>
      <c r="AH743" s="0" t="n">
        <v>14</v>
      </c>
      <c r="AI743" s="0" t="n">
        <v>11</v>
      </c>
      <c r="AN743" s="0" t="s">
        <v>145</v>
      </c>
      <c r="AO743" s="0" t="s">
        <v>654</v>
      </c>
      <c r="AP743" s="0" t="s">
        <v>655</v>
      </c>
      <c r="AQ743" s="0" t="n">
        <v>9</v>
      </c>
      <c r="AR743" s="0" t="n">
        <v>64</v>
      </c>
      <c r="AS743" s="0" t="n">
        <v>32</v>
      </c>
      <c r="AU743" s="0" t="n">
        <f aca="false">COUNTA($BA$1370:$EH$1370)</f>
        <v>19</v>
      </c>
      <c r="AV743" s="0" t="n">
        <f aca="false">COUNTIF($BA$1370:$EH$1370,"D")</f>
        <v>2</v>
      </c>
      <c r="AW743" s="0" t="n">
        <f aca="false">COUNTIF($BA$1370:$EH$1370,"R")</f>
        <v>0</v>
      </c>
      <c r="AX743" s="0" t="n">
        <f aca="false">IF(BN743="D",1,0)+IF(BO743="D",1,0)+IF(BT743="D",1,0)+IF(BU743="D",1,0)+IF(BW743="D",1,0)+IF(CC743="D",1,0)+IF(CD743="D",1,0)+IF(CE743="D",1,0)+IF(CF743="D",1,0)+IF(CL743="D",1,0)+IF(CM743="D",1,0)+IF(CQ743="D",1,0)+IF(CR743="D",1,0)+IF(CS743="D",1,0)+IF(CW743="D",1,0)+IF(CX743="D",1,0)+IF(DD743="D",1,0)+IF(DE743="D",1,0)+IF(DJ743="D",1,0)+IF(DK743="D",1,0)+IF(DO743="D",1,0)+IF(DP743="D",1,0)+IF(DQ743="D",1,0)+IF(DW743="D",1,0)+IF(DZ743="D",1,0)+IF(EH743="D",1,0)</f>
        <v>0</v>
      </c>
      <c r="AY743" s="0" t="n">
        <f aca="false">COUNTIF(DU743:EH743, "&lt;&gt;")</f>
        <v>0</v>
      </c>
      <c r="AZ743" s="0" t="n">
        <f aca="false">IF(EH743&lt;&gt;"",1,0)</f>
        <v>0</v>
      </c>
      <c r="BB743" s="0" t="s">
        <v>152</v>
      </c>
      <c r="BD743" s="0" t="s">
        <v>153</v>
      </c>
      <c r="BG743" s="0" t="s">
        <v>153</v>
      </c>
      <c r="BH743" s="0" t="s">
        <v>153</v>
      </c>
      <c r="BL743" s="0" t="s">
        <v>153</v>
      </c>
      <c r="BS743" s="0" t="s">
        <v>153</v>
      </c>
      <c r="BY743" s="0" t="s">
        <v>175</v>
      </c>
      <c r="CA743" s="0" t="s">
        <v>153</v>
      </c>
      <c r="CP743" s="0" t="s">
        <v>153</v>
      </c>
      <c r="CY743" s="0" t="s">
        <v>153</v>
      </c>
      <c r="CZ743" s="0" t="s">
        <v>175</v>
      </c>
      <c r="DC743" s="0" t="s">
        <v>153</v>
      </c>
      <c r="DI743" s="0" t="s">
        <v>153</v>
      </c>
      <c r="DL743" s="0" t="s">
        <v>153</v>
      </c>
    </row>
    <row r="744" customFormat="false" ht="13.8" hidden="true" customHeight="false" outlineLevel="0" collapsed="false">
      <c r="A744" s="0" t="s">
        <v>3777</v>
      </c>
      <c r="B744" s="0" t="n">
        <v>78</v>
      </c>
      <c r="C744" s="0" t="n">
        <v>328528</v>
      </c>
      <c r="D744" s="0" t="s">
        <v>657</v>
      </c>
      <c r="E744" s="0" t="s">
        <v>3778</v>
      </c>
      <c r="F744" s="0" t="str">
        <f aca="false">CONCATENATE(D744," ",LEFT(H744,4),"T=",AU744,"D=",AV744,"R=",AW744,"M=",AX744,"L=",AY744,"B=",AZ744)</f>
        <v>HALL T=3D=0R=0M=0L=0B=0</v>
      </c>
      <c r="I744" s="0" t="s">
        <v>3779</v>
      </c>
      <c r="J744" s="0" t="s">
        <v>3780</v>
      </c>
      <c r="K744" s="0" t="s">
        <v>143</v>
      </c>
      <c r="M744" s="0" t="s">
        <v>3719</v>
      </c>
      <c r="N744" s="0" t="str">
        <f aca="false">RIGHT(M744,LEN(M744)-FIND(" ",M744))</f>
        <v>HIGH ST NE</v>
      </c>
      <c r="O744" s="0" t="s">
        <v>3781</v>
      </c>
      <c r="P744" s="0" t="s">
        <v>145</v>
      </c>
      <c r="Q744" s="0" t="s">
        <v>146</v>
      </c>
      <c r="R744" s="0" t="n">
        <v>44481</v>
      </c>
      <c r="AD744" s="0" t="s">
        <v>147</v>
      </c>
      <c r="AE744" s="0" t="s">
        <v>148</v>
      </c>
      <c r="AF744" s="0" t="s">
        <v>149</v>
      </c>
      <c r="AH744" s="0" t="n">
        <v>14</v>
      </c>
      <c r="AI744" s="0" t="n">
        <v>11</v>
      </c>
      <c r="AN744" s="0" t="s">
        <v>145</v>
      </c>
      <c r="AO744" s="0" t="s">
        <v>654</v>
      </c>
      <c r="AP744" s="0" t="s">
        <v>655</v>
      </c>
      <c r="AQ744" s="0" t="n">
        <v>9</v>
      </c>
      <c r="AR744" s="0" t="n">
        <v>64</v>
      </c>
      <c r="AS744" s="0" t="n">
        <v>32</v>
      </c>
      <c r="AU744" s="0" t="n">
        <f aca="false">COUNTA($BA$1377:$EH$1377)</f>
        <v>3</v>
      </c>
      <c r="AV744" s="0" t="n">
        <f aca="false">COUNTIF($BA$1377:$EH$1377,"D")</f>
        <v>0</v>
      </c>
      <c r="AW744" s="0" t="n">
        <f aca="false">COUNTIF($BA$1377:$EH$1377,"R")</f>
        <v>0</v>
      </c>
      <c r="AX744" s="0" t="n">
        <f aca="false">IF(BN744="D",1,0)+IF(BO744="D",1,0)+IF(BT744="D",1,0)+IF(BU744="D",1,0)+IF(BW744="D",1,0)+IF(CC744="D",1,0)+IF(CD744="D",1,0)+IF(CE744="D",1,0)+IF(CF744="D",1,0)+IF(CL744="D",1,0)+IF(CM744="D",1,0)+IF(CQ744="D",1,0)+IF(CR744="D",1,0)+IF(CS744="D",1,0)+IF(CW744="D",1,0)+IF(CX744="D",1,0)+IF(DD744="D",1,0)+IF(DE744="D",1,0)+IF(DJ744="D",1,0)+IF(DK744="D",1,0)+IF(DO744="D",1,0)+IF(DP744="D",1,0)+IF(DQ744="D",1,0)+IF(DW744="D",1,0)+IF(DZ744="D",1,0)+IF(EH744="D",1,0)</f>
        <v>0</v>
      </c>
      <c r="AY744" s="0" t="n">
        <f aca="false">COUNTIF(DU744:EH744, "&lt;&gt;")</f>
        <v>0</v>
      </c>
      <c r="AZ744" s="0" t="n">
        <f aca="false">IF(EH744&lt;&gt;"",1,0)</f>
        <v>0</v>
      </c>
      <c r="BB744" s="0" t="s">
        <v>152</v>
      </c>
    </row>
    <row r="745" customFormat="false" ht="13.8" hidden="true" customHeight="false" outlineLevel="0" collapsed="false">
      <c r="A745" s="0" t="s">
        <v>3782</v>
      </c>
      <c r="B745" s="0" t="n">
        <v>78</v>
      </c>
      <c r="C745" s="0" t="n">
        <v>494822</v>
      </c>
      <c r="D745" s="0" t="s">
        <v>3783</v>
      </c>
      <c r="E745" s="0" t="s">
        <v>208</v>
      </c>
      <c r="F745" s="0" t="str">
        <f aca="false">CONCATENATE(D745," ",LEFT(H745,4),"T=",AU745,"D=",AV745,"R=",AW745,"M=",AX745,"L=",AY745,"B=",AZ745)</f>
        <v>GANTT SRT=12D=4R=0M=0L=0B=0</v>
      </c>
      <c r="G745" s="0" t="s">
        <v>195</v>
      </c>
      <c r="H745" s="0" t="s">
        <v>216</v>
      </c>
      <c r="I745" s="0" t="s">
        <v>3784</v>
      </c>
      <c r="J745" s="0" t="s">
        <v>3785</v>
      </c>
      <c r="K745" s="0" t="s">
        <v>160</v>
      </c>
      <c r="M745" s="0" t="s">
        <v>3719</v>
      </c>
      <c r="N745" s="0" t="str">
        <f aca="false">RIGHT(M745,LEN(M745)-FIND(" ",M745))</f>
        <v>HIGH ST NE</v>
      </c>
      <c r="O745" s="0" t="s">
        <v>3786</v>
      </c>
      <c r="P745" s="0" t="s">
        <v>145</v>
      </c>
      <c r="Q745" s="0" t="s">
        <v>146</v>
      </c>
      <c r="R745" s="0" t="n">
        <v>44481</v>
      </c>
      <c r="AD745" s="0" t="s">
        <v>147</v>
      </c>
      <c r="AE745" s="0" t="s">
        <v>148</v>
      </c>
      <c r="AF745" s="0" t="s">
        <v>149</v>
      </c>
      <c r="AH745" s="0" t="n">
        <v>14</v>
      </c>
      <c r="AI745" s="0" t="n">
        <v>11</v>
      </c>
      <c r="AN745" s="0" t="s">
        <v>145</v>
      </c>
      <c r="AO745" s="0" t="s">
        <v>654</v>
      </c>
      <c r="AP745" s="0" t="s">
        <v>655</v>
      </c>
      <c r="AQ745" s="0" t="n">
        <v>9</v>
      </c>
      <c r="AR745" s="0" t="n">
        <v>64</v>
      </c>
      <c r="AS745" s="0" t="n">
        <v>32</v>
      </c>
      <c r="AU745" s="0" t="n">
        <f aca="false">COUNTA($BA$1382:$EH$1382)</f>
        <v>12</v>
      </c>
      <c r="AV745" s="0" t="n">
        <f aca="false">COUNTIF($BA$1382:$EH$1382,"D")</f>
        <v>4</v>
      </c>
      <c r="AW745" s="0" t="n">
        <f aca="false">COUNTIF($BA$1382:$EH$1382,"R")</f>
        <v>0</v>
      </c>
      <c r="AX745" s="0" t="n">
        <f aca="false">IF(BN745="D",1,0)+IF(BO745="D",1,0)+IF(BT745="D",1,0)+IF(BU745="D",1,0)+IF(BW745="D",1,0)+IF(CC745="D",1,0)+IF(CD745="D",1,0)+IF(CE745="D",1,0)+IF(CF745="D",1,0)+IF(CL745="D",1,0)+IF(CM745="D",1,0)+IF(CQ745="D",1,0)+IF(CR745="D",1,0)+IF(CS745="D",1,0)+IF(CW745="D",1,0)+IF(CX745="D",1,0)+IF(DD745="D",1,0)+IF(DE745="D",1,0)+IF(DJ745="D",1,0)+IF(DK745="D",1,0)+IF(DO745="D",1,0)+IF(DP745="D",1,0)+IF(DQ745="D",1,0)+IF(DW745="D",1,0)+IF(DZ745="D",1,0)+IF(EH745="D",1,0)</f>
        <v>0</v>
      </c>
      <c r="AY745" s="0" t="n">
        <f aca="false">COUNTIF(DU745:EH745, "&lt;&gt;")</f>
        <v>0</v>
      </c>
      <c r="AZ745" s="0" t="n">
        <f aca="false">IF(EH745&lt;&gt;"",1,0)</f>
        <v>0</v>
      </c>
      <c r="BB745" s="0" t="s">
        <v>152</v>
      </c>
      <c r="BD745" s="0" t="s">
        <v>153</v>
      </c>
      <c r="BH745" s="0" t="s">
        <v>153</v>
      </c>
      <c r="BL745" s="0" t="s">
        <v>153</v>
      </c>
      <c r="BP745" s="0" t="s">
        <v>153</v>
      </c>
      <c r="BS745" s="0" t="s">
        <v>153</v>
      </c>
      <c r="BY745" s="0" t="s">
        <v>175</v>
      </c>
      <c r="CA745" s="0" t="s">
        <v>153</v>
      </c>
      <c r="CG745" s="0" t="s">
        <v>153</v>
      </c>
      <c r="CP745" s="0" t="s">
        <v>153</v>
      </c>
    </row>
    <row r="746" customFormat="false" ht="13.8" hidden="true" customHeight="false" outlineLevel="0" collapsed="false">
      <c r="A746" s="0" t="s">
        <v>3787</v>
      </c>
      <c r="B746" s="0" t="n">
        <v>78</v>
      </c>
      <c r="C746" s="0" t="n">
        <v>438398</v>
      </c>
      <c r="D746" s="0" t="s">
        <v>3788</v>
      </c>
      <c r="E746" s="0" t="s">
        <v>3789</v>
      </c>
      <c r="F746" s="0" t="str">
        <f aca="false">CONCATENATE(D746," ",LEFT(H746,4),"T=",AU746,"D=",AV746,"R=",AW746,"M=",AX746,"L=",AY746,"B=",AZ746)</f>
        <v>KOVELL T=4D=0R=0M=0L=0B=0</v>
      </c>
      <c r="G746" s="0" t="s">
        <v>500</v>
      </c>
      <c r="I746" s="0" t="s">
        <v>3790</v>
      </c>
      <c r="J746" s="0" t="s">
        <v>688</v>
      </c>
      <c r="K746" s="0" t="s">
        <v>143</v>
      </c>
      <c r="M746" s="0" t="s">
        <v>3719</v>
      </c>
      <c r="N746" s="0" t="str">
        <f aca="false">RIGHT(M746,LEN(M746)-FIND(" ",M746))</f>
        <v>HIGH ST NE</v>
      </c>
      <c r="O746" s="0" t="s">
        <v>3407</v>
      </c>
      <c r="P746" s="0" t="s">
        <v>145</v>
      </c>
      <c r="Q746" s="0" t="s">
        <v>146</v>
      </c>
      <c r="R746" s="0" t="n">
        <v>44481</v>
      </c>
      <c r="AD746" s="0" t="s">
        <v>147</v>
      </c>
      <c r="AE746" s="0" t="s">
        <v>148</v>
      </c>
      <c r="AF746" s="0" t="s">
        <v>149</v>
      </c>
      <c r="AH746" s="0" t="n">
        <v>14</v>
      </c>
      <c r="AI746" s="0" t="n">
        <v>11</v>
      </c>
      <c r="AN746" s="0" t="s">
        <v>145</v>
      </c>
      <c r="AO746" s="0" t="s">
        <v>654</v>
      </c>
      <c r="AP746" s="0" t="s">
        <v>655</v>
      </c>
      <c r="AQ746" s="0" t="n">
        <v>9</v>
      </c>
      <c r="AR746" s="0" t="n">
        <v>64</v>
      </c>
      <c r="AS746" s="0" t="n">
        <v>32</v>
      </c>
      <c r="AU746" s="0" t="n">
        <f aca="false">COUNTA($BA$1388:$EH$1388)</f>
        <v>4</v>
      </c>
      <c r="AV746" s="0" t="n">
        <f aca="false">COUNTIF($BA$1388:$EH$1388,"D")</f>
        <v>0</v>
      </c>
      <c r="AW746" s="0" t="n">
        <f aca="false">COUNTIF($BA$1388:$EH$1388,"R")</f>
        <v>0</v>
      </c>
      <c r="AX746" s="0" t="n">
        <f aca="false">IF(BN746="D",1,0)+IF(BO746="D",1,0)+IF(BT746="D",1,0)+IF(BU746="D",1,0)+IF(BW746="D",1,0)+IF(CC746="D",1,0)+IF(CD746="D",1,0)+IF(CE746="D",1,0)+IF(CF746="D",1,0)+IF(CL746="D",1,0)+IF(CM746="D",1,0)+IF(CQ746="D",1,0)+IF(CR746="D",1,0)+IF(CS746="D",1,0)+IF(CW746="D",1,0)+IF(CX746="D",1,0)+IF(DD746="D",1,0)+IF(DE746="D",1,0)+IF(DJ746="D",1,0)+IF(DK746="D",1,0)+IF(DO746="D",1,0)+IF(DP746="D",1,0)+IF(DQ746="D",1,0)+IF(DW746="D",1,0)+IF(DZ746="D",1,0)+IF(EH746="D",1,0)</f>
        <v>0</v>
      </c>
      <c r="AY746" s="0" t="n">
        <f aca="false">COUNTIF(DU746:EH746, "&lt;&gt;")</f>
        <v>0</v>
      </c>
      <c r="AZ746" s="0" t="n">
        <f aca="false">IF(EH746&lt;&gt;"",1,0)</f>
        <v>0</v>
      </c>
      <c r="BB746" s="0" t="s">
        <v>152</v>
      </c>
      <c r="DN746" s="0" t="s">
        <v>153</v>
      </c>
    </row>
    <row r="747" customFormat="false" ht="13.8" hidden="true" customHeight="false" outlineLevel="0" collapsed="false">
      <c r="A747" s="0" t="s">
        <v>3791</v>
      </c>
      <c r="B747" s="0" t="n">
        <v>78</v>
      </c>
      <c r="C747" s="0" t="n">
        <v>468331</v>
      </c>
      <c r="D747" s="0" t="s">
        <v>2495</v>
      </c>
      <c r="E747" s="0" t="s">
        <v>3792</v>
      </c>
      <c r="F747" s="0" t="str">
        <f aca="false">CONCATENATE(D747," ",LEFT(H747,4),"T=",AU747,"D=",AV747,"R=",AW747,"M=",AX747,"L=",AY747,"B=",AZ747)</f>
        <v>BROOKS JRT=3D=0R=0M=3L=1B=0</v>
      </c>
      <c r="G747" s="0" t="s">
        <v>452</v>
      </c>
      <c r="H747" s="0" t="s">
        <v>314</v>
      </c>
      <c r="I747" s="0" t="s">
        <v>3793</v>
      </c>
      <c r="J747" s="0" t="s">
        <v>1658</v>
      </c>
      <c r="K747" s="0" t="s">
        <v>160</v>
      </c>
      <c r="M747" s="0" t="s">
        <v>3719</v>
      </c>
      <c r="N747" s="0" t="str">
        <f aca="false">RIGHT(M747,LEN(M747)-FIND(" ",M747))</f>
        <v>HIGH ST NE</v>
      </c>
      <c r="O747" s="0" t="s">
        <v>3794</v>
      </c>
      <c r="P747" s="0" t="s">
        <v>145</v>
      </c>
      <c r="Q747" s="0" t="s">
        <v>146</v>
      </c>
      <c r="R747" s="0" t="n">
        <v>44481</v>
      </c>
      <c r="AD747" s="0" t="s">
        <v>147</v>
      </c>
      <c r="AE747" s="0" t="s">
        <v>148</v>
      </c>
      <c r="AF747" s="0" t="s">
        <v>149</v>
      </c>
      <c r="AH747" s="0" t="n">
        <v>14</v>
      </c>
      <c r="AI747" s="0" t="n">
        <v>11</v>
      </c>
      <c r="AN747" s="0" t="s">
        <v>145</v>
      </c>
      <c r="AO747" s="0" t="s">
        <v>654</v>
      </c>
      <c r="AP747" s="0" t="s">
        <v>655</v>
      </c>
      <c r="AQ747" s="0" t="n">
        <v>9</v>
      </c>
      <c r="AR747" s="0" t="n">
        <v>64</v>
      </c>
      <c r="AS747" s="0" t="n">
        <v>32</v>
      </c>
      <c r="AU747" s="0" t="n">
        <f aca="false">COUNTA($BA$1443:$EH$1443)</f>
        <v>3</v>
      </c>
      <c r="AV747" s="0" t="n">
        <f aca="false">COUNTIF($BA$1443:$EH$1443,"D")</f>
        <v>0</v>
      </c>
      <c r="AW747" s="0" t="n">
        <f aca="false">COUNTIF($BA$1443:$EH$1443,"R")</f>
        <v>0</v>
      </c>
      <c r="AX747" s="0" t="n">
        <f aca="false">IF(BN747="D",1,0)+IF(BO747="D",1,0)+IF(BT747="D",1,0)+IF(BU747="D",1,0)+IF(BW747="D",1,0)+IF(CC747="D",1,0)+IF(CD747="D",1,0)+IF(CE747="D",1,0)+IF(CF747="D",1,0)+IF(CL747="D",1,0)+IF(CM747="D",1,0)+IF(CQ747="D",1,0)+IF(CR747="D",1,0)+IF(CS747="D",1,0)+IF(CW747="D",1,0)+IF(CX747="D",1,0)+IF(DD747="D",1,0)+IF(DE747="D",1,0)+IF(DJ747="D",1,0)+IF(DK747="D",1,0)+IF(DO747="D",1,0)+IF(DP747="D",1,0)+IF(DQ747="D",1,0)+IF(DW747="D",1,0)+IF(DZ747="D",1,0)+IF(EH747="D",1,0)</f>
        <v>3</v>
      </c>
      <c r="AY747" s="0" t="n">
        <f aca="false">COUNTIF(DU747:EH747, "&lt;&gt;")</f>
        <v>1</v>
      </c>
      <c r="AZ747" s="0" t="n">
        <f aca="false">IF(EH747&lt;&gt;"",1,0)</f>
        <v>0</v>
      </c>
      <c r="BB747" s="0" t="s">
        <v>152</v>
      </c>
      <c r="CK747" s="0" t="s">
        <v>153</v>
      </c>
      <c r="CZ747" s="0" t="s">
        <v>175</v>
      </c>
      <c r="DC747" s="0" t="s">
        <v>153</v>
      </c>
      <c r="DD747" s="0" t="s">
        <v>175</v>
      </c>
      <c r="DF747" s="0" t="s">
        <v>153</v>
      </c>
      <c r="DI747" s="0" t="s">
        <v>153</v>
      </c>
      <c r="DJ747" s="0" t="s">
        <v>175</v>
      </c>
      <c r="DL747" s="0" t="s">
        <v>153</v>
      </c>
      <c r="DN747" s="0" t="s">
        <v>153</v>
      </c>
      <c r="DO747" s="0" t="s">
        <v>175</v>
      </c>
      <c r="EF747" s="0" t="s">
        <v>153</v>
      </c>
    </row>
    <row r="748" customFormat="false" ht="13.8" hidden="false" customHeight="false" outlineLevel="0" collapsed="false">
      <c r="A748" s="0" t="s">
        <v>3795</v>
      </c>
      <c r="B748" s="0" t="n">
        <v>78</v>
      </c>
      <c r="C748" s="0" t="n">
        <v>176285</v>
      </c>
      <c r="D748" s="0" t="s">
        <v>3796</v>
      </c>
      <c r="E748" s="0" t="s">
        <v>3797</v>
      </c>
      <c r="F748" s="0" t="str">
        <f aca="false">CONCATENATE(D748," ",LEFT(H748,4),"T=",AU748,"D=",AV748,"R=",AW748,"M=",AX748,"L=",AY748,"B=",AZ748)</f>
        <v>YAKUBEK T=1D=0R=0M=4L=4B=1</v>
      </c>
      <c r="G748" s="0" t="s">
        <v>3676</v>
      </c>
      <c r="I748" s="0" t="s">
        <v>3798</v>
      </c>
      <c r="J748" s="0" t="s">
        <v>3169</v>
      </c>
      <c r="K748" s="0" t="s">
        <v>160</v>
      </c>
      <c r="L748" s="0" t="s">
        <v>175</v>
      </c>
      <c r="M748" s="0" t="s">
        <v>3719</v>
      </c>
      <c r="N748" s="0" t="str">
        <f aca="false">RIGHT(M748,LEN(M748)-FIND(" ",M748))</f>
        <v>HIGH ST NE</v>
      </c>
      <c r="O748" s="0" t="s">
        <v>3799</v>
      </c>
      <c r="P748" s="0" t="s">
        <v>145</v>
      </c>
      <c r="Q748" s="0" t="s">
        <v>146</v>
      </c>
      <c r="R748" s="0" t="n">
        <v>44481</v>
      </c>
      <c r="AD748" s="0" t="s">
        <v>147</v>
      </c>
      <c r="AE748" s="0" t="s">
        <v>148</v>
      </c>
      <c r="AF748" s="0" t="s">
        <v>149</v>
      </c>
      <c r="AH748" s="0" t="n">
        <v>14</v>
      </c>
      <c r="AI748" s="0" t="n">
        <v>11</v>
      </c>
      <c r="AN748" s="0" t="s">
        <v>145</v>
      </c>
      <c r="AO748" s="0" t="s">
        <v>654</v>
      </c>
      <c r="AP748" s="0" t="s">
        <v>655</v>
      </c>
      <c r="AQ748" s="0" t="n">
        <v>9</v>
      </c>
      <c r="AR748" s="0" t="n">
        <v>64</v>
      </c>
      <c r="AS748" s="0" t="n">
        <v>32</v>
      </c>
      <c r="AU748" s="0" t="n">
        <f aca="false">COUNTA($BA$1460:$EH$1460)</f>
        <v>1</v>
      </c>
      <c r="AV748" s="0" t="n">
        <f aca="false">COUNTIF($BA$1460:$EH$1460,"D")</f>
        <v>0</v>
      </c>
      <c r="AW748" s="0" t="n">
        <f aca="false">COUNTIF($BA$1460:$EH$1460,"R")</f>
        <v>0</v>
      </c>
      <c r="AX748" s="0" t="n">
        <f aca="false">IF(BN748="D",1,0)+IF(BO748="D",1,0)+IF(BT748="D",1,0)+IF(BU748="D",1,0)+IF(BW748="D",1,0)+IF(CC748="D",1,0)+IF(CD748="D",1,0)+IF(CE748="D",1,0)+IF(CF748="D",1,0)+IF(CL748="D",1,0)+IF(CM748="D",1,0)+IF(CQ748="D",1,0)+IF(CR748="D",1,0)+IF(CS748="D",1,0)+IF(CW748="D",1,0)+IF(CX748="D",1,0)+IF(DD748="D",1,0)+IF(DE748="D",1,0)+IF(DJ748="D",1,0)+IF(DK748="D",1,0)+IF(DO748="D",1,0)+IF(DP748="D",1,0)+IF(DQ748="D",1,0)+IF(DW748="D",1,0)+IF(DZ748="D",1,0)+IF(EH748="D",1,0)</f>
        <v>4</v>
      </c>
      <c r="AY748" s="0" t="n">
        <f aca="false">COUNTIF(DU748:EH748, "&lt;&gt;")</f>
        <v>4</v>
      </c>
      <c r="AZ748" s="0" t="n">
        <f aca="false">IF(EH748&lt;&gt;"",1,0)</f>
        <v>1</v>
      </c>
      <c r="BB748" s="0" t="s">
        <v>152</v>
      </c>
      <c r="BC748" s="0" t="s">
        <v>153</v>
      </c>
      <c r="BD748" s="0" t="s">
        <v>153</v>
      </c>
      <c r="BH748" s="0" t="s">
        <v>153</v>
      </c>
      <c r="BL748" s="0" t="s">
        <v>153</v>
      </c>
      <c r="BP748" s="0" t="s">
        <v>153</v>
      </c>
      <c r="BR748" s="0" t="s">
        <v>153</v>
      </c>
      <c r="BS748" s="0" t="s">
        <v>153</v>
      </c>
      <c r="BV748" s="0" t="s">
        <v>153</v>
      </c>
      <c r="CA748" s="0" t="s">
        <v>153</v>
      </c>
      <c r="CL748" s="0" t="s">
        <v>175</v>
      </c>
      <c r="CN748" s="0" t="s">
        <v>153</v>
      </c>
      <c r="CP748" s="0" t="s">
        <v>153</v>
      </c>
      <c r="CT748" s="0" t="s">
        <v>153</v>
      </c>
      <c r="CW748" s="0" t="s">
        <v>175</v>
      </c>
      <c r="CY748" s="0" t="s">
        <v>153</v>
      </c>
      <c r="CZ748" s="0" t="s">
        <v>175</v>
      </c>
      <c r="DC748" s="0" t="s">
        <v>153</v>
      </c>
      <c r="DD748" s="0" t="s">
        <v>175</v>
      </c>
      <c r="DF748" s="0" t="s">
        <v>153</v>
      </c>
      <c r="DG748" s="0" t="s">
        <v>175</v>
      </c>
      <c r="DI748" s="0" t="s">
        <v>153</v>
      </c>
      <c r="DM748" s="0" t="s">
        <v>175</v>
      </c>
      <c r="DN748" s="0" t="s">
        <v>153</v>
      </c>
      <c r="DU748" s="0" t="s">
        <v>153</v>
      </c>
      <c r="EA748" s="0" t="s">
        <v>153</v>
      </c>
      <c r="EF748" s="0" t="s">
        <v>153</v>
      </c>
      <c r="EH748" s="0" t="s">
        <v>175</v>
      </c>
    </row>
    <row r="749" customFormat="false" ht="13.8" hidden="true" customHeight="false" outlineLevel="0" collapsed="false">
      <c r="A749" s="0" t="s">
        <v>3800</v>
      </c>
      <c r="B749" s="0" t="n">
        <v>78</v>
      </c>
      <c r="C749" s="0" t="n">
        <v>345118</v>
      </c>
      <c r="D749" s="0" t="s">
        <v>2420</v>
      </c>
      <c r="E749" s="0" t="s">
        <v>419</v>
      </c>
      <c r="F749" s="0" t="str">
        <f aca="false">CONCATENATE(D749," ",LEFT(H749,4),"T=",AU749,"D=",AV749,"R=",AW749,"M=",AX749,"L=",AY749,"B=",AZ749)</f>
        <v>JENKINS T=6D=0R=0M=0L=1B=0</v>
      </c>
      <c r="G749" s="0" t="s">
        <v>255</v>
      </c>
      <c r="I749" s="0" t="s">
        <v>3330</v>
      </c>
      <c r="J749" s="0" t="s">
        <v>1134</v>
      </c>
      <c r="K749" s="0" t="s">
        <v>160</v>
      </c>
      <c r="M749" s="0" t="s">
        <v>3719</v>
      </c>
      <c r="N749" s="0" t="str">
        <f aca="false">RIGHT(M749,LEN(M749)-FIND(" ",M749))</f>
        <v>HIGH ST NE</v>
      </c>
      <c r="O749" s="0" t="s">
        <v>3801</v>
      </c>
      <c r="P749" s="0" t="s">
        <v>145</v>
      </c>
      <c r="Q749" s="0" t="s">
        <v>146</v>
      </c>
      <c r="R749" s="0" t="n">
        <v>44481</v>
      </c>
      <c r="AD749" s="0" t="s">
        <v>147</v>
      </c>
      <c r="AE749" s="0" t="s">
        <v>148</v>
      </c>
      <c r="AF749" s="0" t="s">
        <v>149</v>
      </c>
      <c r="AH749" s="0" t="n">
        <v>14</v>
      </c>
      <c r="AI749" s="0" t="n">
        <v>11</v>
      </c>
      <c r="AN749" s="0" t="s">
        <v>145</v>
      </c>
      <c r="AO749" s="0" t="s">
        <v>654</v>
      </c>
      <c r="AP749" s="0" t="s">
        <v>655</v>
      </c>
      <c r="AQ749" s="0" t="n">
        <v>9</v>
      </c>
      <c r="AR749" s="0" t="n">
        <v>64</v>
      </c>
      <c r="AS749" s="0" t="n">
        <v>32</v>
      </c>
      <c r="AU749" s="0" t="n">
        <f aca="false">COUNTA($BA$1480:$EH$1480)</f>
        <v>6</v>
      </c>
      <c r="AV749" s="0" t="n">
        <f aca="false">COUNTIF($BA$1480:$EH$1480,"D")</f>
        <v>0</v>
      </c>
      <c r="AW749" s="0" t="n">
        <f aca="false">COUNTIF($BA$1480:$EH$1480,"R")</f>
        <v>0</v>
      </c>
      <c r="AX749" s="0" t="n">
        <f aca="false">IF(BN749="D",1,0)+IF(BO749="D",1,0)+IF(BT749="D",1,0)+IF(BU749="D",1,0)+IF(BW749="D",1,0)+IF(CC749="D",1,0)+IF(CD749="D",1,0)+IF(CE749="D",1,0)+IF(CF749="D",1,0)+IF(CL749="D",1,0)+IF(CM749="D",1,0)+IF(CQ749="D",1,0)+IF(CR749="D",1,0)+IF(CS749="D",1,0)+IF(CW749="D",1,0)+IF(CX749="D",1,0)+IF(DD749="D",1,0)+IF(DE749="D",1,0)+IF(DJ749="D",1,0)+IF(DK749="D",1,0)+IF(DO749="D",1,0)+IF(DP749="D",1,0)+IF(DQ749="D",1,0)+IF(DW749="D",1,0)+IF(DZ749="D",1,0)+IF(EH749="D",1,0)</f>
        <v>0</v>
      </c>
      <c r="AY749" s="0" t="n">
        <f aca="false">COUNTIF(DU749:EH749, "&lt;&gt;")</f>
        <v>1</v>
      </c>
      <c r="AZ749" s="0" t="n">
        <f aca="false">IF(EH749&lt;&gt;"",1,0)</f>
        <v>0</v>
      </c>
      <c r="BB749" s="0" t="s">
        <v>152</v>
      </c>
      <c r="CP749" s="0" t="s">
        <v>153</v>
      </c>
      <c r="DC749" s="0" t="s">
        <v>153</v>
      </c>
      <c r="DL749" s="0" t="s">
        <v>153</v>
      </c>
      <c r="EF749" s="0" t="s">
        <v>153</v>
      </c>
    </row>
    <row r="750" customFormat="false" ht="13.8" hidden="false" customHeight="false" outlineLevel="0" collapsed="false">
      <c r="A750" s="0" t="s">
        <v>3802</v>
      </c>
      <c r="B750" s="0" t="n">
        <v>78</v>
      </c>
      <c r="C750" s="0" t="n">
        <v>306879</v>
      </c>
      <c r="D750" s="0" t="s">
        <v>3803</v>
      </c>
      <c r="E750" s="0" t="s">
        <v>267</v>
      </c>
      <c r="F750" s="0" t="str">
        <f aca="false">CONCATENATE(D750," ",LEFT(H750,4),"T=",AU750,"D=",AV750,"R=",AW750,"M=",AX750,"L=",AY750,"B=",AZ750)</f>
        <v>VECCHIO T=1D=0R=0M=0L=2B=0</v>
      </c>
      <c r="I750" s="0" t="s">
        <v>3804</v>
      </c>
      <c r="J750" s="0" t="s">
        <v>3805</v>
      </c>
      <c r="K750" s="0" t="s">
        <v>160</v>
      </c>
      <c r="M750" s="0" t="s">
        <v>3719</v>
      </c>
      <c r="N750" s="0" t="str">
        <f aca="false">RIGHT(M750,LEN(M750)-FIND(" ",M750))</f>
        <v>HIGH ST NE</v>
      </c>
      <c r="O750" s="0" t="s">
        <v>3806</v>
      </c>
      <c r="P750" s="0" t="s">
        <v>145</v>
      </c>
      <c r="Q750" s="0" t="s">
        <v>146</v>
      </c>
      <c r="R750" s="0" t="n">
        <v>44481</v>
      </c>
      <c r="AD750" s="0" t="s">
        <v>147</v>
      </c>
      <c r="AE750" s="0" t="s">
        <v>148</v>
      </c>
      <c r="AF750" s="0" t="s">
        <v>149</v>
      </c>
      <c r="AH750" s="0" t="n">
        <v>14</v>
      </c>
      <c r="AI750" s="0" t="n">
        <v>11</v>
      </c>
      <c r="AN750" s="0" t="s">
        <v>145</v>
      </c>
      <c r="AO750" s="0" t="s">
        <v>654</v>
      </c>
      <c r="AP750" s="0" t="s">
        <v>655</v>
      </c>
      <c r="AQ750" s="0" t="n">
        <v>9</v>
      </c>
      <c r="AR750" s="0" t="n">
        <v>64</v>
      </c>
      <c r="AS750" s="0" t="n">
        <v>32</v>
      </c>
      <c r="AU750" s="0" t="n">
        <f aca="false">COUNTA($BA$1525:$EH$1525)</f>
        <v>1</v>
      </c>
      <c r="AV750" s="0" t="n">
        <f aca="false">COUNTIF($BA$1525:$EH$1525,"D")</f>
        <v>0</v>
      </c>
      <c r="AW750" s="0" t="n">
        <f aca="false">COUNTIF($BA$1525:$EH$1525,"R")</f>
        <v>0</v>
      </c>
      <c r="AX750" s="0" t="n">
        <f aca="false">IF(BN750="D",1,0)+IF(BO750="D",1,0)+IF(BT750="D",1,0)+IF(BU750="D",1,0)+IF(BW750="D",1,0)+IF(CC750="D",1,0)+IF(CD750="D",1,0)+IF(CE750="D",1,0)+IF(CF750="D",1,0)+IF(CL750="D",1,0)+IF(CM750="D",1,0)+IF(CQ750="D",1,0)+IF(CR750="D",1,0)+IF(CS750="D",1,0)+IF(CW750="D",1,0)+IF(CX750="D",1,0)+IF(DD750="D",1,0)+IF(DE750="D",1,0)+IF(DJ750="D",1,0)+IF(DK750="D",1,0)+IF(DO750="D",1,0)+IF(DP750="D",1,0)+IF(DQ750="D",1,0)+IF(DW750="D",1,0)+IF(DZ750="D",1,0)+IF(EH750="D",1,0)</f>
        <v>0</v>
      </c>
      <c r="AY750" s="0" t="n">
        <f aca="false">COUNTIF(DU750:EH750, "&lt;&gt;")</f>
        <v>2</v>
      </c>
      <c r="AZ750" s="0" t="n">
        <f aca="false">IF(EH750&lt;&gt;"",1,0)</f>
        <v>0</v>
      </c>
      <c r="BB750" s="0" t="s">
        <v>152</v>
      </c>
      <c r="CA750" s="0" t="s">
        <v>153</v>
      </c>
      <c r="CP750" s="0" t="s">
        <v>153</v>
      </c>
      <c r="DI750" s="0" t="s">
        <v>153</v>
      </c>
      <c r="EA750" s="0" t="s">
        <v>153</v>
      </c>
      <c r="EF750" s="0" t="s">
        <v>153</v>
      </c>
    </row>
    <row r="751" customFormat="false" ht="13.8" hidden="true" customHeight="false" outlineLevel="0" collapsed="false">
      <c r="A751" s="0" t="s">
        <v>3807</v>
      </c>
      <c r="B751" s="0" t="n">
        <v>78</v>
      </c>
      <c r="C751" s="0" t="n">
        <v>454110</v>
      </c>
      <c r="D751" s="0" t="s">
        <v>3808</v>
      </c>
      <c r="E751" s="0" t="s">
        <v>558</v>
      </c>
      <c r="F751" s="0" t="str">
        <f aca="false">CONCATENATE(D751," ",LEFT(H751,4),"T=",AU751,"D=",AV751,"R=",AW751,"M=",AX751,"L=",AY751,"B=",AZ751)</f>
        <v>WALTER T=3D=0R=0M=0L=0B=0</v>
      </c>
      <c r="G751" s="0" t="s">
        <v>3809</v>
      </c>
      <c r="I751" s="0" t="s">
        <v>954</v>
      </c>
      <c r="J751" s="0" t="s">
        <v>3810</v>
      </c>
      <c r="K751" s="0" t="s">
        <v>160</v>
      </c>
      <c r="M751" s="0" t="s">
        <v>3719</v>
      </c>
      <c r="N751" s="0" t="str">
        <f aca="false">RIGHT(M751,LEN(M751)-FIND(" ",M751))</f>
        <v>HIGH ST NE</v>
      </c>
      <c r="O751" s="0" t="s">
        <v>3811</v>
      </c>
      <c r="P751" s="0" t="s">
        <v>145</v>
      </c>
      <c r="Q751" s="0" t="s">
        <v>146</v>
      </c>
      <c r="R751" s="0" t="n">
        <v>44481</v>
      </c>
      <c r="AD751" s="0" t="s">
        <v>147</v>
      </c>
      <c r="AE751" s="0" t="s">
        <v>148</v>
      </c>
      <c r="AF751" s="0" t="s">
        <v>149</v>
      </c>
      <c r="AH751" s="0" t="n">
        <v>14</v>
      </c>
      <c r="AI751" s="0" t="n">
        <v>11</v>
      </c>
      <c r="AN751" s="0" t="s">
        <v>145</v>
      </c>
      <c r="AO751" s="0" t="s">
        <v>654</v>
      </c>
      <c r="AP751" s="0" t="s">
        <v>655</v>
      </c>
      <c r="AQ751" s="0" t="n">
        <v>9</v>
      </c>
      <c r="AR751" s="0" t="n">
        <v>64</v>
      </c>
      <c r="AS751" s="0" t="n">
        <v>32</v>
      </c>
      <c r="AU751" s="0" t="n">
        <f aca="false">COUNTA($BA$1527:$EH$1527)</f>
        <v>3</v>
      </c>
      <c r="AV751" s="0" t="n">
        <f aca="false">COUNTIF($BA$1527:$EH$1527,"D")</f>
        <v>0</v>
      </c>
      <c r="AW751" s="0" t="n">
        <f aca="false">COUNTIF($BA$1527:$EH$1527,"R")</f>
        <v>0</v>
      </c>
      <c r="AX751" s="0" t="n">
        <f aca="false">IF(BN751="D",1,0)+IF(BO751="D",1,0)+IF(BT751="D",1,0)+IF(BU751="D",1,0)+IF(BW751="D",1,0)+IF(CC751="D",1,0)+IF(CD751="D",1,0)+IF(CE751="D",1,0)+IF(CF751="D",1,0)+IF(CL751="D",1,0)+IF(CM751="D",1,0)+IF(CQ751="D",1,0)+IF(CR751="D",1,0)+IF(CS751="D",1,0)+IF(CW751="D",1,0)+IF(CX751="D",1,0)+IF(DD751="D",1,0)+IF(DE751="D",1,0)+IF(DJ751="D",1,0)+IF(DK751="D",1,0)+IF(DO751="D",1,0)+IF(DP751="D",1,0)+IF(DQ751="D",1,0)+IF(DW751="D",1,0)+IF(DZ751="D",1,0)+IF(EH751="D",1,0)</f>
        <v>0</v>
      </c>
      <c r="AY751" s="0" t="n">
        <f aca="false">COUNTIF(DU751:EH751, "&lt;&gt;")</f>
        <v>0</v>
      </c>
      <c r="AZ751" s="0" t="n">
        <f aca="false">IF(EH751&lt;&gt;"",1,0)</f>
        <v>0</v>
      </c>
      <c r="BB751" s="0" t="s">
        <v>152</v>
      </c>
    </row>
    <row r="752" customFormat="false" ht="13.8" hidden="false" customHeight="false" outlineLevel="0" collapsed="false">
      <c r="A752" s="0" t="s">
        <v>3812</v>
      </c>
      <c r="B752" s="0" t="n">
        <v>78</v>
      </c>
      <c r="C752" s="0" t="n">
        <v>394729</v>
      </c>
      <c r="D752" s="0" t="s">
        <v>3813</v>
      </c>
      <c r="E752" s="0" t="s">
        <v>208</v>
      </c>
      <c r="F752" s="0" t="str">
        <f aca="false">CONCATENATE(D752," ",LEFT(H752,4),"T=",AU752,"D=",AV752,"R=",AW752,"M=",AX752,"L=",AY752,"B=",AZ752)</f>
        <v>BELLOWS T=22D=3R=0M=1L=6B=0</v>
      </c>
      <c r="G752" s="0" t="s">
        <v>890</v>
      </c>
      <c r="I752" s="0" t="s">
        <v>3814</v>
      </c>
      <c r="J752" s="0" t="s">
        <v>3815</v>
      </c>
      <c r="K752" s="0" t="s">
        <v>160</v>
      </c>
      <c r="L752" s="0" t="s">
        <v>175</v>
      </c>
      <c r="M752" s="0" t="s">
        <v>3719</v>
      </c>
      <c r="N752" s="0" t="str">
        <f aca="false">RIGHT(M752,LEN(M752)-FIND(" ",M752))</f>
        <v>HIGH ST NE</v>
      </c>
      <c r="O752" s="0" t="s">
        <v>3816</v>
      </c>
      <c r="P752" s="0" t="s">
        <v>145</v>
      </c>
      <c r="Q752" s="0" t="s">
        <v>146</v>
      </c>
      <c r="R752" s="0" t="n">
        <v>44481</v>
      </c>
      <c r="AD752" s="0" t="s">
        <v>147</v>
      </c>
      <c r="AE752" s="0" t="s">
        <v>148</v>
      </c>
      <c r="AF752" s="0" t="s">
        <v>149</v>
      </c>
      <c r="AH752" s="0" t="n">
        <v>14</v>
      </c>
      <c r="AI752" s="0" t="n">
        <v>11</v>
      </c>
      <c r="AN752" s="0" t="s">
        <v>145</v>
      </c>
      <c r="AO752" s="0" t="s">
        <v>654</v>
      </c>
      <c r="AP752" s="0" t="s">
        <v>655</v>
      </c>
      <c r="AQ752" s="0" t="n">
        <v>9</v>
      </c>
      <c r="AR752" s="0" t="n">
        <v>64</v>
      </c>
      <c r="AS752" s="0" t="n">
        <v>32</v>
      </c>
      <c r="AU752" s="0" t="n">
        <f aca="false">COUNTA($BA$1536:$EH$1536)</f>
        <v>22</v>
      </c>
      <c r="AV752" s="0" t="n">
        <f aca="false">COUNTIF($BA$1536:$EH$1536,"D")</f>
        <v>3</v>
      </c>
      <c r="AW752" s="0" t="n">
        <f aca="false">COUNTIF($BA$1536:$EH$1536,"R")</f>
        <v>0</v>
      </c>
      <c r="AX752" s="0" t="n">
        <f aca="false">IF(BN752="D",1,0)+IF(BO752="D",1,0)+IF(BT752="D",1,0)+IF(BU752="D",1,0)+IF(BW752="D",1,0)+IF(CC752="D",1,0)+IF(CD752="D",1,0)+IF(CE752="D",1,0)+IF(CF752="D",1,0)+IF(CL752="D",1,0)+IF(CM752="D",1,0)+IF(CQ752="D",1,0)+IF(CR752="D",1,0)+IF(CS752="D",1,0)+IF(CW752="D",1,0)+IF(CX752="D",1,0)+IF(DD752="D",1,0)+IF(DE752="D",1,0)+IF(DJ752="D",1,0)+IF(DK752="D",1,0)+IF(DO752="D",1,0)+IF(DP752="D",1,0)+IF(DQ752="D",1,0)+IF(DW752="D",1,0)+IF(DZ752="D",1,0)+IF(EH752="D",1,0)</f>
        <v>1</v>
      </c>
      <c r="AY752" s="0" t="n">
        <f aca="false">COUNTIF(DU752:EH752, "&lt;&gt;")</f>
        <v>6</v>
      </c>
      <c r="AZ752" s="0" t="n">
        <f aca="false">IF(EH752&lt;&gt;"",1,0)</f>
        <v>0</v>
      </c>
      <c r="BB752" s="0" t="s">
        <v>152</v>
      </c>
      <c r="CY752" s="0" t="s">
        <v>153</v>
      </c>
      <c r="CZ752" s="0" t="s">
        <v>209</v>
      </c>
      <c r="DC752" s="0" t="s">
        <v>153</v>
      </c>
      <c r="DG752" s="0" t="s">
        <v>209</v>
      </c>
      <c r="DI752" s="0" t="s">
        <v>153</v>
      </c>
      <c r="DL752" s="0" t="s">
        <v>153</v>
      </c>
      <c r="DN752" s="0" t="s">
        <v>153</v>
      </c>
      <c r="DS752" s="0" t="s">
        <v>175</v>
      </c>
      <c r="DT752" s="0" t="s">
        <v>175</v>
      </c>
      <c r="DU752" s="0" t="s">
        <v>153</v>
      </c>
      <c r="DW752" s="0" t="s">
        <v>175</v>
      </c>
      <c r="DX752" s="0" t="s">
        <v>153</v>
      </c>
      <c r="EA752" s="0" t="s">
        <v>153</v>
      </c>
      <c r="ED752" s="0" t="s">
        <v>175</v>
      </c>
      <c r="EF752" s="0" t="s">
        <v>153</v>
      </c>
    </row>
    <row r="753" customFormat="false" ht="13.8" hidden="false" customHeight="false" outlineLevel="0" collapsed="false">
      <c r="A753" s="0" t="s">
        <v>3817</v>
      </c>
      <c r="B753" s="0" t="n">
        <v>78</v>
      </c>
      <c r="C753" s="0" t="n">
        <v>223543</v>
      </c>
      <c r="D753" s="0" t="s">
        <v>3818</v>
      </c>
      <c r="E753" s="0" t="s">
        <v>670</v>
      </c>
      <c r="F753" s="0" t="str">
        <f aca="false">CONCATENATE(D753," ",LEFT(H753,4),"T=",AU753,"D=",AV753,"R=",AW753,"M=",AX753,"L=",AY753,"B=",AZ753)</f>
        <v>HANAWALT T=2D=0R=0M=2L=4B=0</v>
      </c>
      <c r="G753" s="0" t="s">
        <v>3819</v>
      </c>
      <c r="I753" s="0" t="s">
        <v>3820</v>
      </c>
      <c r="J753" s="0" t="s">
        <v>3821</v>
      </c>
      <c r="K753" s="0" t="s">
        <v>160</v>
      </c>
      <c r="L753" s="0" t="s">
        <v>209</v>
      </c>
      <c r="M753" s="0" t="s">
        <v>3719</v>
      </c>
      <c r="N753" s="0" t="str">
        <f aca="false">RIGHT(M753,LEN(M753)-FIND(" ",M753))</f>
        <v>HIGH ST NE</v>
      </c>
      <c r="O753" s="0" t="s">
        <v>3822</v>
      </c>
      <c r="P753" s="0" t="s">
        <v>145</v>
      </c>
      <c r="Q753" s="0" t="s">
        <v>146</v>
      </c>
      <c r="R753" s="0" t="n">
        <v>44481</v>
      </c>
      <c r="AD753" s="0" t="s">
        <v>147</v>
      </c>
      <c r="AE753" s="0" t="s">
        <v>148</v>
      </c>
      <c r="AF753" s="0" t="s">
        <v>149</v>
      </c>
      <c r="AH753" s="0" t="n">
        <v>14</v>
      </c>
      <c r="AI753" s="0" t="n">
        <v>11</v>
      </c>
      <c r="AN753" s="0" t="s">
        <v>145</v>
      </c>
      <c r="AO753" s="0" t="s">
        <v>654</v>
      </c>
      <c r="AP753" s="0" t="s">
        <v>655</v>
      </c>
      <c r="AQ753" s="0" t="n">
        <v>9</v>
      </c>
      <c r="AR753" s="0" t="n">
        <v>64</v>
      </c>
      <c r="AS753" s="0" t="n">
        <v>32</v>
      </c>
      <c r="AU753" s="0" t="n">
        <f aca="false">COUNTA($BA$1562:$EH$1562)</f>
        <v>2</v>
      </c>
      <c r="AV753" s="0" t="n">
        <f aca="false">COUNTIF($BA$1562:$EH$1562,"D")</f>
        <v>0</v>
      </c>
      <c r="AW753" s="0" t="n">
        <f aca="false">COUNTIF($BA$1562:$EH$1562,"R")</f>
        <v>0</v>
      </c>
      <c r="AX753" s="0" t="n">
        <f aca="false">IF(BN753="D",1,0)+IF(BO753="D",1,0)+IF(BT753="D",1,0)+IF(BU753="D",1,0)+IF(BW753="D",1,0)+IF(CC753="D",1,0)+IF(CD753="D",1,0)+IF(CE753="D",1,0)+IF(CF753="D",1,0)+IF(CL753="D",1,0)+IF(CM753="D",1,0)+IF(CQ753="D",1,0)+IF(CR753="D",1,0)+IF(CS753="D",1,0)+IF(CW753="D",1,0)+IF(CX753="D",1,0)+IF(DD753="D",1,0)+IF(DE753="D",1,0)+IF(DJ753="D",1,0)+IF(DK753="D",1,0)+IF(DO753="D",1,0)+IF(DP753="D",1,0)+IF(DQ753="D",1,0)+IF(DW753="D",1,0)+IF(DZ753="D",1,0)+IF(EH753="D",1,0)</f>
        <v>2</v>
      </c>
      <c r="AY753" s="0" t="n">
        <f aca="false">COUNTIF(DU753:EH753, "&lt;&gt;")</f>
        <v>4</v>
      </c>
      <c r="AZ753" s="0" t="n">
        <f aca="false">IF(EH753&lt;&gt;"",1,0)</f>
        <v>0</v>
      </c>
      <c r="BB753" s="0" t="s">
        <v>152</v>
      </c>
      <c r="BD753" s="0" t="s">
        <v>153</v>
      </c>
      <c r="BE753" s="0" t="s">
        <v>153</v>
      </c>
      <c r="BG753" s="0" t="s">
        <v>153</v>
      </c>
      <c r="BH753" s="0" t="s">
        <v>153</v>
      </c>
      <c r="BK753" s="0" t="s">
        <v>153</v>
      </c>
      <c r="BL753" s="0" t="s">
        <v>153</v>
      </c>
      <c r="BS753" s="0" t="s">
        <v>153</v>
      </c>
      <c r="BY753" s="0" t="s">
        <v>175</v>
      </c>
      <c r="CA753" s="0" t="s">
        <v>153</v>
      </c>
      <c r="CK753" s="0" t="s">
        <v>153</v>
      </c>
      <c r="CN753" s="0" t="s">
        <v>153</v>
      </c>
      <c r="CO753" s="0" t="s">
        <v>175</v>
      </c>
      <c r="CP753" s="0" t="s">
        <v>153</v>
      </c>
      <c r="CU753" s="0" t="s">
        <v>175</v>
      </c>
      <c r="CV753" s="0" t="s">
        <v>153</v>
      </c>
      <c r="CW753" s="0" t="s">
        <v>175</v>
      </c>
      <c r="CY753" s="0" t="s">
        <v>153</v>
      </c>
      <c r="CZ753" s="0" t="s">
        <v>175</v>
      </c>
      <c r="DC753" s="0" t="s">
        <v>153</v>
      </c>
      <c r="DF753" s="0" t="s">
        <v>153</v>
      </c>
      <c r="DG753" s="0" t="s">
        <v>175</v>
      </c>
      <c r="DI753" s="0" t="s">
        <v>153</v>
      </c>
      <c r="DJ753" s="0" t="s">
        <v>175</v>
      </c>
      <c r="DL753" s="0" t="s">
        <v>153</v>
      </c>
      <c r="DM753" s="0" t="s">
        <v>175</v>
      </c>
      <c r="DN753" s="0" t="s">
        <v>153</v>
      </c>
      <c r="DR753" s="0" t="s">
        <v>153</v>
      </c>
      <c r="DS753" s="0" t="s">
        <v>209</v>
      </c>
      <c r="DX753" s="0" t="s">
        <v>153</v>
      </c>
      <c r="EA753" s="0" t="s">
        <v>153</v>
      </c>
      <c r="ED753" s="0" t="s">
        <v>209</v>
      </c>
      <c r="EF753" s="0" t="s">
        <v>153</v>
      </c>
    </row>
    <row r="754" customFormat="false" ht="13.8" hidden="false" customHeight="false" outlineLevel="0" collapsed="false">
      <c r="A754" s="0" t="s">
        <v>3823</v>
      </c>
      <c r="B754" s="0" t="n">
        <v>78</v>
      </c>
      <c r="C754" s="0" t="n">
        <v>426781</v>
      </c>
      <c r="D754" s="0" t="s">
        <v>2357</v>
      </c>
      <c r="E754" s="0" t="s">
        <v>3824</v>
      </c>
      <c r="F754" s="0" t="str">
        <f aca="false">CONCATENATE(D754," ",LEFT(H754,4),"T=",AU754,"D=",AV754,"R=",AW754,"M=",AX754,"L=",AY754,"B=",AZ754)</f>
        <v>DAVIDSON T=47D=13R=0M=1L=4B=0</v>
      </c>
      <c r="G754" s="0" t="s">
        <v>190</v>
      </c>
      <c r="I754" s="0" t="s">
        <v>3825</v>
      </c>
      <c r="J754" s="0" t="s">
        <v>2631</v>
      </c>
      <c r="K754" s="0" t="s">
        <v>160</v>
      </c>
      <c r="L754" s="0" t="s">
        <v>175</v>
      </c>
      <c r="M754" s="0" t="s">
        <v>3719</v>
      </c>
      <c r="N754" s="0" t="str">
        <f aca="false">RIGHT(M754,LEN(M754)-FIND(" ",M754))</f>
        <v>HIGH ST NE</v>
      </c>
      <c r="O754" s="0" t="s">
        <v>3826</v>
      </c>
      <c r="P754" s="0" t="s">
        <v>145</v>
      </c>
      <c r="Q754" s="0" t="s">
        <v>146</v>
      </c>
      <c r="R754" s="0" t="n">
        <v>44481</v>
      </c>
      <c r="AD754" s="0" t="s">
        <v>147</v>
      </c>
      <c r="AE754" s="0" t="s">
        <v>148</v>
      </c>
      <c r="AF754" s="0" t="s">
        <v>149</v>
      </c>
      <c r="AH754" s="0" t="n">
        <v>14</v>
      </c>
      <c r="AI754" s="0" t="n">
        <v>11</v>
      </c>
      <c r="AN754" s="0" t="s">
        <v>145</v>
      </c>
      <c r="AO754" s="0" t="s">
        <v>654</v>
      </c>
      <c r="AP754" s="0" t="s">
        <v>655</v>
      </c>
      <c r="AQ754" s="0" t="n">
        <v>9</v>
      </c>
      <c r="AR754" s="0" t="n">
        <v>64</v>
      </c>
      <c r="AS754" s="0" t="n">
        <v>32</v>
      </c>
      <c r="AU754" s="0" t="n">
        <f aca="false">COUNTA($BA$1602:$EH$1602)</f>
        <v>47</v>
      </c>
      <c r="AV754" s="0" t="n">
        <f aca="false">COUNTIF($BA$1602:$EH$1602,"D")</f>
        <v>13</v>
      </c>
      <c r="AW754" s="0" t="n">
        <f aca="false">COUNTIF($BA$1602:$EH$1602,"R")</f>
        <v>0</v>
      </c>
      <c r="AX754" s="0" t="n">
        <f aca="false">IF(BN754="D",1,0)+IF(BO754="D",1,0)+IF(BT754="D",1,0)+IF(BU754="D",1,0)+IF(BW754="D",1,0)+IF(CC754="D",1,0)+IF(CD754="D",1,0)+IF(CE754="D",1,0)+IF(CF754="D",1,0)+IF(CL754="D",1,0)+IF(CM754="D",1,0)+IF(CQ754="D",1,0)+IF(CR754="D",1,0)+IF(CS754="D",1,0)+IF(CW754="D",1,0)+IF(CX754="D",1,0)+IF(DD754="D",1,0)+IF(DE754="D",1,0)+IF(DJ754="D",1,0)+IF(DK754="D",1,0)+IF(DO754="D",1,0)+IF(DP754="D",1,0)+IF(DQ754="D",1,0)+IF(DW754="D",1,0)+IF(DZ754="D",1,0)+IF(EH754="D",1,0)</f>
        <v>1</v>
      </c>
      <c r="AY754" s="0" t="n">
        <f aca="false">COUNTIF(DU754:EH754, "&lt;&gt;")</f>
        <v>4</v>
      </c>
      <c r="AZ754" s="0" t="n">
        <f aca="false">IF(EH754&lt;&gt;"",1,0)</f>
        <v>0</v>
      </c>
      <c r="BB754" s="0" t="s">
        <v>152</v>
      </c>
      <c r="BD754" s="0" t="s">
        <v>153</v>
      </c>
      <c r="BG754" s="0" t="s">
        <v>153</v>
      </c>
      <c r="BH754" s="0" t="s">
        <v>153</v>
      </c>
      <c r="BI754" s="0" t="s">
        <v>153</v>
      </c>
      <c r="BJ754" s="0" t="s">
        <v>153</v>
      </c>
      <c r="BK754" s="0" t="s">
        <v>153</v>
      </c>
      <c r="BL754" s="0" t="s">
        <v>153</v>
      </c>
      <c r="BP754" s="0" t="s">
        <v>153</v>
      </c>
      <c r="BR754" s="0" t="s">
        <v>153</v>
      </c>
      <c r="BY754" s="0" t="s">
        <v>209</v>
      </c>
      <c r="CA754" s="0" t="s">
        <v>153</v>
      </c>
      <c r="CG754" s="0" t="s">
        <v>153</v>
      </c>
      <c r="CH754" s="0" t="s">
        <v>175</v>
      </c>
      <c r="DM754" s="0" t="s">
        <v>209</v>
      </c>
      <c r="DN754" s="0" t="s">
        <v>153</v>
      </c>
      <c r="DU754" s="0" t="s">
        <v>153</v>
      </c>
      <c r="DW754" s="0" t="s">
        <v>175</v>
      </c>
      <c r="EA754" s="0" t="s">
        <v>153</v>
      </c>
      <c r="EF754" s="0" t="s">
        <v>153</v>
      </c>
    </row>
    <row r="755" customFormat="false" ht="13.8" hidden="true" customHeight="false" outlineLevel="0" collapsed="false">
      <c r="A755" s="0" t="s">
        <v>3827</v>
      </c>
      <c r="B755" s="0" t="n">
        <v>78</v>
      </c>
      <c r="C755" s="0" t="n">
        <v>341112</v>
      </c>
      <c r="D755" s="0" t="s">
        <v>3828</v>
      </c>
      <c r="E755" s="0" t="s">
        <v>3829</v>
      </c>
      <c r="F755" s="0" t="str">
        <f aca="false">CONCATENATE(D755," ",LEFT(H755,4),"T=",AU755,"D=",AV755,"R=",AW755,"M=",AX755,"L=",AY755,"B=",AZ755)</f>
        <v>HAAS T=20D=1R=0M=0L=1B=0</v>
      </c>
      <c r="G755" s="0" t="s">
        <v>190</v>
      </c>
      <c r="I755" s="0" t="s">
        <v>3830</v>
      </c>
      <c r="J755" s="0" t="s">
        <v>3831</v>
      </c>
      <c r="K755" s="0" t="s">
        <v>160</v>
      </c>
      <c r="M755" s="0" t="s">
        <v>3719</v>
      </c>
      <c r="N755" s="0" t="str">
        <f aca="false">RIGHT(M755,LEN(M755)-FIND(" ",M755))</f>
        <v>HIGH ST NE</v>
      </c>
      <c r="O755" s="0" t="s">
        <v>3832</v>
      </c>
      <c r="P755" s="0" t="s">
        <v>145</v>
      </c>
      <c r="Q755" s="0" t="s">
        <v>146</v>
      </c>
      <c r="R755" s="0" t="n">
        <v>44481</v>
      </c>
      <c r="AD755" s="0" t="s">
        <v>147</v>
      </c>
      <c r="AE755" s="0" t="s">
        <v>148</v>
      </c>
      <c r="AF755" s="0" t="s">
        <v>149</v>
      </c>
      <c r="AH755" s="0" t="n">
        <v>14</v>
      </c>
      <c r="AI755" s="0" t="n">
        <v>11</v>
      </c>
      <c r="AN755" s="0" t="s">
        <v>145</v>
      </c>
      <c r="AO755" s="0" t="s">
        <v>654</v>
      </c>
      <c r="AP755" s="0" t="s">
        <v>655</v>
      </c>
      <c r="AQ755" s="0" t="n">
        <v>9</v>
      </c>
      <c r="AR755" s="0" t="n">
        <v>64</v>
      </c>
      <c r="AS755" s="0" t="n">
        <v>32</v>
      </c>
      <c r="AU755" s="0" t="n">
        <f aca="false">COUNTA($BA$1650:$EH$1650)</f>
        <v>20</v>
      </c>
      <c r="AV755" s="0" t="n">
        <f aca="false">COUNTIF($BA$1650:$EH$1650,"D")</f>
        <v>1</v>
      </c>
      <c r="AW755" s="0" t="n">
        <f aca="false">COUNTIF($BA$1650:$EH$1650,"R")</f>
        <v>0</v>
      </c>
      <c r="AX755" s="0" t="n">
        <f aca="false">IF(BN755="D",1,0)+IF(BO755="D",1,0)+IF(BT755="D",1,0)+IF(BU755="D",1,0)+IF(BW755="D",1,0)+IF(CC755="D",1,0)+IF(CD755="D",1,0)+IF(CE755="D",1,0)+IF(CF755="D",1,0)+IF(CL755="D",1,0)+IF(CM755="D",1,0)+IF(CQ755="D",1,0)+IF(CR755="D",1,0)+IF(CS755="D",1,0)+IF(CW755="D",1,0)+IF(CX755="D",1,0)+IF(DD755="D",1,0)+IF(DE755="D",1,0)+IF(DJ755="D",1,0)+IF(DK755="D",1,0)+IF(DO755="D",1,0)+IF(DP755="D",1,0)+IF(DQ755="D",1,0)+IF(DW755="D",1,0)+IF(DZ755="D",1,0)+IF(EH755="D",1,0)</f>
        <v>0</v>
      </c>
      <c r="AY755" s="0" t="n">
        <f aca="false">COUNTIF(DU755:EH755, "&lt;&gt;")</f>
        <v>1</v>
      </c>
      <c r="AZ755" s="0" t="n">
        <f aca="false">IF(EH755&lt;&gt;"",1,0)</f>
        <v>0</v>
      </c>
      <c r="BB755" s="0" t="s">
        <v>152</v>
      </c>
      <c r="CA755" s="0" t="s">
        <v>153</v>
      </c>
      <c r="CN755" s="0" t="s">
        <v>153</v>
      </c>
      <c r="CO755" s="0" t="s">
        <v>175</v>
      </c>
      <c r="CP755" s="0" t="s">
        <v>153</v>
      </c>
      <c r="CU755" s="0" t="s">
        <v>175</v>
      </c>
      <c r="CV755" s="0" t="s">
        <v>153</v>
      </c>
      <c r="DU755" s="0" t="s">
        <v>153</v>
      </c>
    </row>
    <row r="756" customFormat="false" ht="13.8" hidden="false" customHeight="false" outlineLevel="0" collapsed="false">
      <c r="A756" s="0" t="s">
        <v>3833</v>
      </c>
      <c r="B756" s="0" t="n">
        <v>78</v>
      </c>
      <c r="C756" s="0" t="n">
        <v>445802</v>
      </c>
      <c r="D756" s="0" t="s">
        <v>924</v>
      </c>
      <c r="E756" s="0" t="s">
        <v>563</v>
      </c>
      <c r="F756" s="0" t="str">
        <f aca="false">CONCATENATE(D756," ",LEFT(H756,4),"T=",AU756,"D=",AV756,"R=",AW756,"M=",AX756,"L=",AY756,"B=",AZ756)</f>
        <v>BENTON T=3D=0R=0M=0L=3B=0</v>
      </c>
      <c r="G756" s="0" t="s">
        <v>190</v>
      </c>
      <c r="I756" s="0" t="s">
        <v>3834</v>
      </c>
      <c r="J756" s="0" t="s">
        <v>1971</v>
      </c>
      <c r="K756" s="0" t="s">
        <v>160</v>
      </c>
      <c r="M756" s="0" t="s">
        <v>3719</v>
      </c>
      <c r="N756" s="0" t="str">
        <f aca="false">RIGHT(M756,LEN(M756)-FIND(" ",M756))</f>
        <v>HIGH ST NE</v>
      </c>
      <c r="O756" s="0" t="s">
        <v>3835</v>
      </c>
      <c r="P756" s="0" t="s">
        <v>145</v>
      </c>
      <c r="Q756" s="0" t="s">
        <v>146</v>
      </c>
      <c r="R756" s="0" t="n">
        <v>44481</v>
      </c>
      <c r="AD756" s="0" t="s">
        <v>147</v>
      </c>
      <c r="AE756" s="0" t="s">
        <v>148</v>
      </c>
      <c r="AF756" s="0" t="s">
        <v>149</v>
      </c>
      <c r="AH756" s="0" t="n">
        <v>14</v>
      </c>
      <c r="AI756" s="0" t="n">
        <v>11</v>
      </c>
      <c r="AN756" s="0" t="s">
        <v>145</v>
      </c>
      <c r="AO756" s="0" t="s">
        <v>654</v>
      </c>
      <c r="AP756" s="0" t="s">
        <v>655</v>
      </c>
      <c r="AQ756" s="0" t="n">
        <v>9</v>
      </c>
      <c r="AR756" s="0" t="n">
        <v>64</v>
      </c>
      <c r="AS756" s="0" t="n">
        <v>32</v>
      </c>
      <c r="AU756" s="0" t="n">
        <f aca="false">COUNTA($BA$1705:$EH$1705)</f>
        <v>3</v>
      </c>
      <c r="AV756" s="0" t="n">
        <f aca="false">COUNTIF($BA$1705:$EH$1705,"D")</f>
        <v>0</v>
      </c>
      <c r="AW756" s="0" t="n">
        <f aca="false">COUNTIF($BA$1705:$EH$1705,"R")</f>
        <v>0</v>
      </c>
      <c r="AX756" s="0" t="n">
        <f aca="false">IF(BN756="D",1,0)+IF(BO756="D",1,0)+IF(BT756="D",1,0)+IF(BU756="D",1,0)+IF(BW756="D",1,0)+IF(CC756="D",1,0)+IF(CD756="D",1,0)+IF(CE756="D",1,0)+IF(CF756="D",1,0)+IF(CL756="D",1,0)+IF(CM756="D",1,0)+IF(CQ756="D",1,0)+IF(CR756="D",1,0)+IF(CS756="D",1,0)+IF(CW756="D",1,0)+IF(CX756="D",1,0)+IF(DD756="D",1,0)+IF(DE756="D",1,0)+IF(DJ756="D",1,0)+IF(DK756="D",1,0)+IF(DO756="D",1,0)+IF(DP756="D",1,0)+IF(DQ756="D",1,0)+IF(DW756="D",1,0)+IF(DZ756="D",1,0)+IF(EH756="D",1,0)</f>
        <v>0</v>
      </c>
      <c r="AY756" s="0" t="n">
        <f aca="false">COUNTIF(DU756:EH756, "&lt;&gt;")</f>
        <v>3</v>
      </c>
      <c r="AZ756" s="0" t="n">
        <f aca="false">IF(EH756&lt;&gt;"",1,0)</f>
        <v>0</v>
      </c>
      <c r="BB756" s="0" t="s">
        <v>152</v>
      </c>
      <c r="CA756" s="0" t="s">
        <v>153</v>
      </c>
      <c r="DN756" s="0" t="s">
        <v>153</v>
      </c>
      <c r="DU756" s="0" t="s">
        <v>153</v>
      </c>
      <c r="DX756" s="0" t="s">
        <v>153</v>
      </c>
      <c r="EF756" s="0" t="s">
        <v>153</v>
      </c>
    </row>
    <row r="757" customFormat="false" ht="13.8" hidden="true" customHeight="false" outlineLevel="0" collapsed="false">
      <c r="A757" s="0" t="s">
        <v>3836</v>
      </c>
      <c r="B757" s="0" t="n">
        <v>78</v>
      </c>
      <c r="C757" s="0" t="n">
        <v>264621</v>
      </c>
      <c r="D757" s="0" t="s">
        <v>3837</v>
      </c>
      <c r="E757" s="0" t="s">
        <v>3838</v>
      </c>
      <c r="F757" s="0" t="str">
        <f aca="false">CONCATENATE(D757," ",LEFT(H757,4),"T=",AU757,"D=",AV757,"R=",AW757,"M=",AX757,"L=",AY757,"B=",AZ757)</f>
        <v>ALLGOOD T=31D=7R=0M=0L=0B=0</v>
      </c>
      <c r="G757" s="0" t="s">
        <v>307</v>
      </c>
      <c r="I757" s="0" t="s">
        <v>3839</v>
      </c>
      <c r="J757" s="0" t="s">
        <v>3840</v>
      </c>
      <c r="K757" s="0" t="s">
        <v>160</v>
      </c>
      <c r="M757" s="0" t="s">
        <v>3719</v>
      </c>
      <c r="N757" s="0" t="str">
        <f aca="false">RIGHT(M757,LEN(M757)-FIND(" ",M757))</f>
        <v>HIGH ST NE</v>
      </c>
      <c r="O757" s="0" t="s">
        <v>3745</v>
      </c>
      <c r="P757" s="0" t="s">
        <v>145</v>
      </c>
      <c r="Q757" s="0" t="s">
        <v>146</v>
      </c>
      <c r="R757" s="0" t="n">
        <v>44481</v>
      </c>
      <c r="AD757" s="0" t="s">
        <v>147</v>
      </c>
      <c r="AE757" s="0" t="s">
        <v>148</v>
      </c>
      <c r="AF757" s="0" t="s">
        <v>149</v>
      </c>
      <c r="AH757" s="0" t="n">
        <v>14</v>
      </c>
      <c r="AI757" s="0" t="n">
        <v>11</v>
      </c>
      <c r="AN757" s="0" t="s">
        <v>145</v>
      </c>
      <c r="AO757" s="0" t="s">
        <v>654</v>
      </c>
      <c r="AP757" s="0" t="s">
        <v>655</v>
      </c>
      <c r="AQ757" s="0" t="n">
        <v>9</v>
      </c>
      <c r="AR757" s="0" t="n">
        <v>64</v>
      </c>
      <c r="AS757" s="0" t="n">
        <v>32</v>
      </c>
      <c r="AU757" s="0" t="n">
        <f aca="false">COUNTA($BA$1732:$EH$1732)</f>
        <v>31</v>
      </c>
      <c r="AV757" s="0" t="n">
        <f aca="false">COUNTIF($BA$1732:$EH$1732,"D")</f>
        <v>7</v>
      </c>
      <c r="AW757" s="0" t="n">
        <f aca="false">COUNTIF($BA$1732:$EH$1732,"R")</f>
        <v>0</v>
      </c>
      <c r="AX757" s="0" t="n">
        <f aca="false">IF(BN757="D",1,0)+IF(BO757="D",1,0)+IF(BT757="D",1,0)+IF(BU757="D",1,0)+IF(BW757="D",1,0)+IF(CC757="D",1,0)+IF(CD757="D",1,0)+IF(CE757="D",1,0)+IF(CF757="D",1,0)+IF(CL757="D",1,0)+IF(CM757="D",1,0)+IF(CQ757="D",1,0)+IF(CR757="D",1,0)+IF(CS757="D",1,0)+IF(CW757="D",1,0)+IF(CX757="D",1,0)+IF(DD757="D",1,0)+IF(DE757="D",1,0)+IF(DJ757="D",1,0)+IF(DK757="D",1,0)+IF(DO757="D",1,0)+IF(DP757="D",1,0)+IF(DQ757="D",1,0)+IF(DW757="D",1,0)+IF(DZ757="D",1,0)+IF(EH757="D",1,0)</f>
        <v>0</v>
      </c>
      <c r="AY757" s="0" t="n">
        <f aca="false">COUNTIF(DU757:EH757, "&lt;&gt;")</f>
        <v>0</v>
      </c>
      <c r="AZ757" s="0" t="n">
        <f aca="false">IF(EH757&lt;&gt;"",1,0)</f>
        <v>0</v>
      </c>
      <c r="BB757" s="0" t="s">
        <v>152</v>
      </c>
      <c r="BC757" s="0" t="s">
        <v>153</v>
      </c>
      <c r="BH757" s="0" t="s">
        <v>153</v>
      </c>
      <c r="BR757" s="0" t="s">
        <v>153</v>
      </c>
      <c r="BS757" s="0" t="s">
        <v>153</v>
      </c>
      <c r="BV757" s="0" t="s">
        <v>153</v>
      </c>
      <c r="BY757" s="0" t="s">
        <v>175</v>
      </c>
      <c r="CA757" s="0" t="s">
        <v>153</v>
      </c>
      <c r="DC757" s="0" t="s">
        <v>153</v>
      </c>
      <c r="DI757" s="0" t="s">
        <v>153</v>
      </c>
    </row>
    <row r="758" customFormat="false" ht="13.8" hidden="true" customHeight="false" outlineLevel="0" collapsed="false">
      <c r="A758" s="0" t="s">
        <v>3841</v>
      </c>
      <c r="B758" s="0" t="n">
        <v>78</v>
      </c>
      <c r="C758" s="0" t="n">
        <v>384270</v>
      </c>
      <c r="D758" s="0" t="s">
        <v>965</v>
      </c>
      <c r="E758" s="0" t="s">
        <v>3842</v>
      </c>
      <c r="F758" s="0" t="str">
        <f aca="false">CONCATENATE(D758," ",LEFT(H758,4),"T=",AU758,"D=",AV758,"R=",AW758,"M=",AX758,"L=",AY758,"B=",AZ758)</f>
        <v>LOWERY T=7D=0R=0M=0L=0B=0</v>
      </c>
      <c r="G758" s="0" t="s">
        <v>171</v>
      </c>
      <c r="I758" s="0" t="s">
        <v>3843</v>
      </c>
      <c r="J758" s="0" t="s">
        <v>3844</v>
      </c>
      <c r="K758" s="0" t="s">
        <v>160</v>
      </c>
      <c r="M758" s="0" t="s">
        <v>3719</v>
      </c>
      <c r="N758" s="0" t="str">
        <f aca="false">RIGHT(M758,LEN(M758)-FIND(" ",M758))</f>
        <v>HIGH ST NE</v>
      </c>
      <c r="O758" s="0" t="s">
        <v>3845</v>
      </c>
      <c r="P758" s="0" t="s">
        <v>145</v>
      </c>
      <c r="Q758" s="0" t="s">
        <v>146</v>
      </c>
      <c r="R758" s="0" t="n">
        <v>44481</v>
      </c>
      <c r="AD758" s="0" t="s">
        <v>147</v>
      </c>
      <c r="AE758" s="0" t="s">
        <v>148</v>
      </c>
      <c r="AF758" s="0" t="s">
        <v>149</v>
      </c>
      <c r="AH758" s="0" t="n">
        <v>14</v>
      </c>
      <c r="AI758" s="0" t="n">
        <v>11</v>
      </c>
      <c r="AN758" s="0" t="s">
        <v>145</v>
      </c>
      <c r="AO758" s="0" t="s">
        <v>654</v>
      </c>
      <c r="AP758" s="0" t="s">
        <v>655</v>
      </c>
      <c r="AQ758" s="0" t="n">
        <v>9</v>
      </c>
      <c r="AR758" s="0" t="n">
        <v>64</v>
      </c>
      <c r="AS758" s="0" t="n">
        <v>32</v>
      </c>
      <c r="AU758" s="0" t="n">
        <f aca="false">COUNTA($BA$1757:$EH$1757)</f>
        <v>7</v>
      </c>
      <c r="AV758" s="0" t="n">
        <f aca="false">COUNTIF($BA$1757:$EH$1757,"D")</f>
        <v>0</v>
      </c>
      <c r="AW758" s="0" t="n">
        <f aca="false">COUNTIF($BA$1757:$EH$1757,"R")</f>
        <v>0</v>
      </c>
      <c r="AX758" s="0" t="n">
        <f aca="false">IF(BN758="D",1,0)+IF(BO758="D",1,0)+IF(BT758="D",1,0)+IF(BU758="D",1,0)+IF(BW758="D",1,0)+IF(CC758="D",1,0)+IF(CD758="D",1,0)+IF(CE758="D",1,0)+IF(CF758="D",1,0)+IF(CL758="D",1,0)+IF(CM758="D",1,0)+IF(CQ758="D",1,0)+IF(CR758="D",1,0)+IF(CS758="D",1,0)+IF(CW758="D",1,0)+IF(CX758="D",1,0)+IF(DD758="D",1,0)+IF(DE758="D",1,0)+IF(DJ758="D",1,0)+IF(DK758="D",1,0)+IF(DO758="D",1,0)+IF(DP758="D",1,0)+IF(DQ758="D",1,0)+IF(DW758="D",1,0)+IF(DZ758="D",1,0)+IF(EH758="D",1,0)</f>
        <v>0</v>
      </c>
      <c r="AY758" s="0" t="n">
        <f aca="false">COUNTIF(DU758:EH758, "&lt;&gt;")</f>
        <v>0</v>
      </c>
      <c r="AZ758" s="0" t="n">
        <f aca="false">IF(EH758&lt;&gt;"",1,0)</f>
        <v>0</v>
      </c>
      <c r="BB758" s="0" t="s">
        <v>152</v>
      </c>
      <c r="CA758" s="0" t="s">
        <v>153</v>
      </c>
      <c r="CP758" s="0" t="s">
        <v>153</v>
      </c>
      <c r="CY758" s="0" t="s">
        <v>153</v>
      </c>
    </row>
    <row r="759" customFormat="false" ht="13.8" hidden="true" customHeight="false" outlineLevel="0" collapsed="false">
      <c r="A759" s="0" t="s">
        <v>3846</v>
      </c>
      <c r="B759" s="0" t="n">
        <v>78</v>
      </c>
      <c r="C759" s="0" t="n">
        <v>400455</v>
      </c>
      <c r="D759" s="0" t="s">
        <v>3847</v>
      </c>
      <c r="E759" s="0" t="s">
        <v>824</v>
      </c>
      <c r="F759" s="0" t="str">
        <f aca="false">CONCATENATE(D759," ",LEFT(H759,4),"T=",AU759,"D=",AV759,"R=",AW759,"M=",AX759,"L=",AY759,"B=",AZ759)</f>
        <v>LANE T=2D=0R=0M=0L=0B=0</v>
      </c>
      <c r="G759" s="0" t="s">
        <v>3848</v>
      </c>
      <c r="I759" s="0" t="s">
        <v>3849</v>
      </c>
      <c r="J759" s="0" t="s">
        <v>3850</v>
      </c>
      <c r="K759" s="0" t="s">
        <v>160</v>
      </c>
      <c r="M759" s="0" t="s">
        <v>3719</v>
      </c>
      <c r="N759" s="0" t="str">
        <f aca="false">RIGHT(M759,LEN(M759)-FIND(" ",M759))</f>
        <v>HIGH ST NE</v>
      </c>
      <c r="O759" s="0" t="s">
        <v>3407</v>
      </c>
      <c r="P759" s="0" t="s">
        <v>145</v>
      </c>
      <c r="Q759" s="0" t="s">
        <v>146</v>
      </c>
      <c r="R759" s="0" t="n">
        <v>44481</v>
      </c>
      <c r="AD759" s="0" t="s">
        <v>147</v>
      </c>
      <c r="AE759" s="0" t="s">
        <v>148</v>
      </c>
      <c r="AF759" s="0" t="s">
        <v>149</v>
      </c>
      <c r="AH759" s="0" t="n">
        <v>14</v>
      </c>
      <c r="AI759" s="0" t="n">
        <v>11</v>
      </c>
      <c r="AN759" s="0" t="s">
        <v>145</v>
      </c>
      <c r="AO759" s="0" t="s">
        <v>654</v>
      </c>
      <c r="AP759" s="0" t="s">
        <v>655</v>
      </c>
      <c r="AQ759" s="0" t="n">
        <v>9</v>
      </c>
      <c r="AR759" s="0" t="n">
        <v>64</v>
      </c>
      <c r="AS759" s="0" t="n">
        <v>32</v>
      </c>
      <c r="AU759" s="0" t="n">
        <f aca="false">COUNTA($BA$1766:$EH$1766)</f>
        <v>2</v>
      </c>
      <c r="AV759" s="0" t="n">
        <f aca="false">COUNTIF($BA$1766:$EH$1766,"D")</f>
        <v>0</v>
      </c>
      <c r="AW759" s="0" t="n">
        <f aca="false">COUNTIF($BA$1766:$EH$1766,"R")</f>
        <v>0</v>
      </c>
      <c r="AX759" s="0" t="n">
        <f aca="false">IF(BN759="D",1,0)+IF(BO759="D",1,0)+IF(BT759="D",1,0)+IF(BU759="D",1,0)+IF(BW759="D",1,0)+IF(CC759="D",1,0)+IF(CD759="D",1,0)+IF(CE759="D",1,0)+IF(CF759="D",1,0)+IF(CL759="D",1,0)+IF(CM759="D",1,0)+IF(CQ759="D",1,0)+IF(CR759="D",1,0)+IF(CS759="D",1,0)+IF(CW759="D",1,0)+IF(CX759="D",1,0)+IF(DD759="D",1,0)+IF(DE759="D",1,0)+IF(DJ759="D",1,0)+IF(DK759="D",1,0)+IF(DO759="D",1,0)+IF(DP759="D",1,0)+IF(DQ759="D",1,0)+IF(DW759="D",1,0)+IF(DZ759="D",1,0)+IF(EH759="D",1,0)</f>
        <v>0</v>
      </c>
      <c r="AY759" s="0" t="n">
        <f aca="false">COUNTIF(DU759:EH759, "&lt;&gt;")</f>
        <v>0</v>
      </c>
      <c r="AZ759" s="0" t="n">
        <f aca="false">IF(EH759&lt;&gt;"",1,0)</f>
        <v>0</v>
      </c>
      <c r="BB759" s="0" t="s">
        <v>152</v>
      </c>
      <c r="CU759" s="0" t="s">
        <v>153</v>
      </c>
      <c r="CY759" s="0" t="s">
        <v>153</v>
      </c>
    </row>
    <row r="760" customFormat="false" ht="13.8" hidden="false" customHeight="false" outlineLevel="0" collapsed="false">
      <c r="A760" s="0" t="s">
        <v>3851</v>
      </c>
      <c r="B760" s="0" t="n">
        <v>78</v>
      </c>
      <c r="C760" s="0" t="n">
        <v>412078</v>
      </c>
      <c r="D760" s="0" t="s">
        <v>3852</v>
      </c>
      <c r="E760" s="0" t="s">
        <v>379</v>
      </c>
      <c r="F760" s="0" t="str">
        <f aca="false">CONCATENATE(D760," ",LEFT(H760,4),"T=",AU760,"D=",AV760,"R=",AW760,"M=",AX760,"L=",AY760,"B=",AZ760)</f>
        <v>MCLEAN T=52D=18R=0M=0L=2B=0</v>
      </c>
      <c r="G760" s="0" t="s">
        <v>268</v>
      </c>
      <c r="I760" s="0" t="s">
        <v>3853</v>
      </c>
      <c r="J760" s="0" t="s">
        <v>283</v>
      </c>
      <c r="K760" s="0" t="s">
        <v>160</v>
      </c>
      <c r="M760" s="0" t="s">
        <v>3719</v>
      </c>
      <c r="N760" s="0" t="str">
        <f aca="false">RIGHT(M760,LEN(M760)-FIND(" ",M760))</f>
        <v>HIGH ST NE</v>
      </c>
      <c r="O760" s="0" t="s">
        <v>3854</v>
      </c>
      <c r="P760" s="0" t="s">
        <v>145</v>
      </c>
      <c r="Q760" s="0" t="s">
        <v>146</v>
      </c>
      <c r="R760" s="0" t="n">
        <v>44481</v>
      </c>
      <c r="AD760" s="0" t="s">
        <v>147</v>
      </c>
      <c r="AE760" s="0" t="s">
        <v>148</v>
      </c>
      <c r="AF760" s="0" t="s">
        <v>149</v>
      </c>
      <c r="AH760" s="0" t="n">
        <v>14</v>
      </c>
      <c r="AI760" s="0" t="n">
        <v>11</v>
      </c>
      <c r="AN760" s="0" t="s">
        <v>145</v>
      </c>
      <c r="AO760" s="0" t="s">
        <v>654</v>
      </c>
      <c r="AP760" s="0" t="s">
        <v>655</v>
      </c>
      <c r="AQ760" s="0" t="n">
        <v>9</v>
      </c>
      <c r="AR760" s="0" t="n">
        <v>64</v>
      </c>
      <c r="AS760" s="0" t="n">
        <v>32</v>
      </c>
      <c r="AU760" s="0" t="n">
        <f aca="false">COUNTA($BA$1797:$EH$1797)</f>
        <v>52</v>
      </c>
      <c r="AV760" s="0" t="n">
        <f aca="false">COUNTIF($BA$1797:$EH$1797,"D")</f>
        <v>18</v>
      </c>
      <c r="AW760" s="0" t="n">
        <f aca="false">COUNTIF($BA$1797:$EH$1797,"R")</f>
        <v>0</v>
      </c>
      <c r="AX760" s="0" t="n">
        <f aca="false">IF(BN760="D",1,0)+IF(BO760="D",1,0)+IF(BT760="D",1,0)+IF(BU760="D",1,0)+IF(BW760="D",1,0)+IF(CC760="D",1,0)+IF(CD760="D",1,0)+IF(CE760="D",1,0)+IF(CF760="D",1,0)+IF(CL760="D",1,0)+IF(CM760="D",1,0)+IF(CQ760="D",1,0)+IF(CR760="D",1,0)+IF(CS760="D",1,0)+IF(CW760="D",1,0)+IF(CX760="D",1,0)+IF(DD760="D",1,0)+IF(DE760="D",1,0)+IF(DJ760="D",1,0)+IF(DK760="D",1,0)+IF(DO760="D",1,0)+IF(DP760="D",1,0)+IF(DQ760="D",1,0)+IF(DW760="D",1,0)+IF(DZ760="D",1,0)+IF(EH760="D",1,0)</f>
        <v>0</v>
      </c>
      <c r="AY760" s="0" t="n">
        <f aca="false">COUNTIF(DU760:EH760, "&lt;&gt;")</f>
        <v>2</v>
      </c>
      <c r="AZ760" s="0" t="n">
        <f aca="false">IF(EH760&lt;&gt;"",1,0)</f>
        <v>0</v>
      </c>
      <c r="BB760" s="0" t="s">
        <v>152</v>
      </c>
      <c r="DC760" s="0" t="s">
        <v>153</v>
      </c>
      <c r="DI760" s="0" t="s">
        <v>153</v>
      </c>
      <c r="DN760" s="0" t="s">
        <v>153</v>
      </c>
      <c r="EA760" s="0" t="s">
        <v>153</v>
      </c>
      <c r="EF760" s="0" t="s">
        <v>153</v>
      </c>
    </row>
    <row r="761" customFormat="false" ht="13.8" hidden="true" customHeight="false" outlineLevel="0" collapsed="false">
      <c r="A761" s="0" t="s">
        <v>3855</v>
      </c>
      <c r="B761" s="0" t="n">
        <v>78</v>
      </c>
      <c r="C761" s="0" t="n">
        <v>459435</v>
      </c>
      <c r="D761" s="0" t="s">
        <v>3856</v>
      </c>
      <c r="E761" s="0" t="s">
        <v>3857</v>
      </c>
      <c r="F761" s="0" t="str">
        <f aca="false">CONCATENATE(D761," ",LEFT(H761,4),"T=",AU761,"D=",AV761,"R=",AW761,"M=",AX761,"L=",AY761,"B=",AZ761)</f>
        <v>MCCAIN T=36D=5R=0M=0L=0B=0</v>
      </c>
      <c r="G761" s="0" t="s">
        <v>164</v>
      </c>
      <c r="I761" s="0" t="s">
        <v>3858</v>
      </c>
      <c r="J761" s="0" t="s">
        <v>3859</v>
      </c>
      <c r="K761" s="0" t="s">
        <v>160</v>
      </c>
      <c r="M761" s="0" t="s">
        <v>3719</v>
      </c>
      <c r="N761" s="0" t="str">
        <f aca="false">RIGHT(M761,LEN(M761)-FIND(" ",M761))</f>
        <v>HIGH ST NE</v>
      </c>
      <c r="O761" s="0" t="s">
        <v>3860</v>
      </c>
      <c r="P761" s="0" t="s">
        <v>145</v>
      </c>
      <c r="Q761" s="0" t="s">
        <v>146</v>
      </c>
      <c r="R761" s="0" t="n">
        <v>44481</v>
      </c>
      <c r="AD761" s="0" t="s">
        <v>147</v>
      </c>
      <c r="AE761" s="0" t="s">
        <v>148</v>
      </c>
      <c r="AF761" s="0" t="s">
        <v>149</v>
      </c>
      <c r="AH761" s="0" t="n">
        <v>14</v>
      </c>
      <c r="AI761" s="0" t="n">
        <v>11</v>
      </c>
      <c r="AN761" s="0" t="s">
        <v>145</v>
      </c>
      <c r="AO761" s="0" t="s">
        <v>654</v>
      </c>
      <c r="AP761" s="0" t="s">
        <v>655</v>
      </c>
      <c r="AQ761" s="0" t="n">
        <v>9</v>
      </c>
      <c r="AR761" s="0" t="n">
        <v>64</v>
      </c>
      <c r="AS761" s="0" t="n">
        <v>32</v>
      </c>
      <c r="AU761" s="0" t="n">
        <f aca="false">COUNTA($BA$1814:$EH$1814)</f>
        <v>36</v>
      </c>
      <c r="AV761" s="0" t="n">
        <f aca="false">COUNTIF($BA$1814:$EH$1814,"D")</f>
        <v>5</v>
      </c>
      <c r="AW761" s="0" t="n">
        <f aca="false">COUNTIF($BA$1814:$EH$1814,"R")</f>
        <v>0</v>
      </c>
      <c r="AX761" s="0" t="n">
        <f aca="false">IF(BN761="D",1,0)+IF(BO761="D",1,0)+IF(BT761="D",1,0)+IF(BU761="D",1,0)+IF(BW761="D",1,0)+IF(CC761="D",1,0)+IF(CD761="D",1,0)+IF(CE761="D",1,0)+IF(CF761="D",1,0)+IF(CL761="D",1,0)+IF(CM761="D",1,0)+IF(CQ761="D",1,0)+IF(CR761="D",1,0)+IF(CS761="D",1,0)+IF(CW761="D",1,0)+IF(CX761="D",1,0)+IF(DD761="D",1,0)+IF(DE761="D",1,0)+IF(DJ761="D",1,0)+IF(DK761="D",1,0)+IF(DO761="D",1,0)+IF(DP761="D",1,0)+IF(DQ761="D",1,0)+IF(DW761="D",1,0)+IF(DZ761="D",1,0)+IF(EH761="D",1,0)</f>
        <v>0</v>
      </c>
      <c r="AY761" s="0" t="n">
        <f aca="false">COUNTIF(DU761:EH761, "&lt;&gt;")</f>
        <v>0</v>
      </c>
      <c r="AZ761" s="0" t="n">
        <f aca="false">IF(EH761&lt;&gt;"",1,0)</f>
        <v>0</v>
      </c>
      <c r="BB761" s="0" t="s">
        <v>152</v>
      </c>
      <c r="BY761" s="0" t="s">
        <v>175</v>
      </c>
      <c r="CA761" s="0" t="s">
        <v>153</v>
      </c>
      <c r="CP761" s="0" t="s">
        <v>153</v>
      </c>
    </row>
    <row r="762" customFormat="false" ht="13.8" hidden="true" customHeight="false" outlineLevel="0" collapsed="false">
      <c r="A762" s="0" t="s">
        <v>3861</v>
      </c>
      <c r="B762" s="0" t="n">
        <v>78</v>
      </c>
      <c r="C762" s="0" t="n">
        <v>181141</v>
      </c>
      <c r="D762" s="0" t="s">
        <v>3862</v>
      </c>
      <c r="E762" s="0" t="s">
        <v>3863</v>
      </c>
      <c r="F762" s="0" t="str">
        <f aca="false">CONCATENATE(D762," ",LEFT(H762,4),"T=",AU762,"D=",AV762,"R=",AW762,"M=",AX762,"L=",AY762,"B=",AZ762)</f>
        <v>BISKER T=2D=0R=0M=2L=0B=0</v>
      </c>
      <c r="G762" s="0" t="s">
        <v>209</v>
      </c>
      <c r="I762" s="0" t="s">
        <v>3864</v>
      </c>
      <c r="J762" s="0" t="s">
        <v>3865</v>
      </c>
      <c r="K762" s="0" t="s">
        <v>143</v>
      </c>
      <c r="M762" s="0" t="s">
        <v>3719</v>
      </c>
      <c r="N762" s="0" t="str">
        <f aca="false">RIGHT(M762,LEN(M762)-FIND(" ",M762))</f>
        <v>HIGH ST NE</v>
      </c>
      <c r="O762" s="0" t="s">
        <v>3794</v>
      </c>
      <c r="P762" s="0" t="s">
        <v>145</v>
      </c>
      <c r="Q762" s="0" t="s">
        <v>146</v>
      </c>
      <c r="R762" s="0" t="n">
        <v>44481</v>
      </c>
      <c r="AD762" s="0" t="s">
        <v>147</v>
      </c>
      <c r="AE762" s="0" t="s">
        <v>148</v>
      </c>
      <c r="AF762" s="0" t="s">
        <v>149</v>
      </c>
      <c r="AH762" s="0" t="n">
        <v>14</v>
      </c>
      <c r="AI762" s="0" t="n">
        <v>11</v>
      </c>
      <c r="AN762" s="0" t="s">
        <v>145</v>
      </c>
      <c r="AO762" s="0" t="s">
        <v>654</v>
      </c>
      <c r="AP762" s="0" t="s">
        <v>655</v>
      </c>
      <c r="AQ762" s="0" t="n">
        <v>9</v>
      </c>
      <c r="AR762" s="0" t="n">
        <v>64</v>
      </c>
      <c r="AS762" s="0" t="n">
        <v>32</v>
      </c>
      <c r="AU762" s="0" t="n">
        <f aca="false">COUNTA($BA$1836:$EH$1836)</f>
        <v>2</v>
      </c>
      <c r="AV762" s="0" t="n">
        <f aca="false">COUNTIF($BA$1836:$EH$1836,"D")</f>
        <v>0</v>
      </c>
      <c r="AW762" s="0" t="n">
        <f aca="false">COUNTIF($BA$1836:$EH$1836,"R")</f>
        <v>0</v>
      </c>
      <c r="AX762" s="0" t="n">
        <f aca="false">IF(BN762="D",1,0)+IF(BO762="D",1,0)+IF(BT762="D",1,0)+IF(BU762="D",1,0)+IF(BW762="D",1,0)+IF(CC762="D",1,0)+IF(CD762="D",1,0)+IF(CE762="D",1,0)+IF(CF762="D",1,0)+IF(CL762="D",1,0)+IF(CM762="D",1,0)+IF(CQ762="D",1,0)+IF(CR762="D",1,0)+IF(CS762="D",1,0)+IF(CW762="D",1,0)+IF(CX762="D",1,0)+IF(DD762="D",1,0)+IF(DE762="D",1,0)+IF(DJ762="D",1,0)+IF(DK762="D",1,0)+IF(DO762="D",1,0)+IF(DP762="D",1,0)+IF(DQ762="D",1,0)+IF(DW762="D",1,0)+IF(DZ762="D",1,0)+IF(EH762="D",1,0)</f>
        <v>2</v>
      </c>
      <c r="AY762" s="0" t="n">
        <f aca="false">COUNTIF(DU762:EH762, "&lt;&gt;")</f>
        <v>0</v>
      </c>
      <c r="AZ762" s="0" t="n">
        <f aca="false">IF(EH762&lt;&gt;"",1,0)</f>
        <v>0</v>
      </c>
      <c r="BB762" s="0" t="s">
        <v>152</v>
      </c>
      <c r="BG762" s="0" t="s">
        <v>153</v>
      </c>
      <c r="BH762" s="0" t="s">
        <v>153</v>
      </c>
      <c r="BS762" s="0" t="s">
        <v>153</v>
      </c>
      <c r="BY762" s="0" t="s">
        <v>175</v>
      </c>
      <c r="CA762" s="0" t="s">
        <v>153</v>
      </c>
      <c r="CG762" s="0" t="s">
        <v>153</v>
      </c>
      <c r="CH762" s="0" t="s">
        <v>175</v>
      </c>
      <c r="CK762" s="0" t="s">
        <v>153</v>
      </c>
      <c r="CN762" s="0" t="s">
        <v>153</v>
      </c>
      <c r="CP762" s="0" t="s">
        <v>153</v>
      </c>
      <c r="CQ762" s="0" t="s">
        <v>175</v>
      </c>
      <c r="CT762" s="0" t="s">
        <v>153</v>
      </c>
      <c r="CV762" s="0" t="s">
        <v>153</v>
      </c>
      <c r="CW762" s="0" t="s">
        <v>175</v>
      </c>
      <c r="CY762" s="0" t="s">
        <v>153</v>
      </c>
      <c r="CZ762" s="0" t="s">
        <v>209</v>
      </c>
      <c r="DC762" s="0" t="s">
        <v>153</v>
      </c>
    </row>
    <row r="763" customFormat="false" ht="13.8" hidden="false" customHeight="false" outlineLevel="0" collapsed="false">
      <c r="A763" s="0" t="s">
        <v>3866</v>
      </c>
      <c r="B763" s="0" t="n">
        <v>78</v>
      </c>
      <c r="C763" s="0" t="n">
        <v>273470</v>
      </c>
      <c r="D763" s="0" t="s">
        <v>3867</v>
      </c>
      <c r="E763" s="0" t="s">
        <v>1287</v>
      </c>
      <c r="F763" s="0" t="str">
        <f aca="false">CONCATENATE(D763," ",LEFT(H763,4),"T=",AU763,"D=",AV763,"R=",AW763,"M=",AX763,"L=",AY763,"B=",AZ763)</f>
        <v>WEST T=4D=1R=0M=1L=6B=0</v>
      </c>
      <c r="G763" s="0" t="s">
        <v>195</v>
      </c>
      <c r="I763" s="0" t="s">
        <v>3868</v>
      </c>
      <c r="J763" s="0" t="s">
        <v>3869</v>
      </c>
      <c r="K763" s="0" t="s">
        <v>160</v>
      </c>
      <c r="L763" s="0" t="s">
        <v>175</v>
      </c>
      <c r="M763" s="0" t="s">
        <v>3719</v>
      </c>
      <c r="N763" s="0" t="str">
        <f aca="false">RIGHT(M763,LEN(M763)-FIND(" ",M763))</f>
        <v>HIGH ST NE</v>
      </c>
      <c r="O763" s="0" t="s">
        <v>3870</v>
      </c>
      <c r="P763" s="0" t="s">
        <v>145</v>
      </c>
      <c r="Q763" s="0" t="s">
        <v>146</v>
      </c>
      <c r="R763" s="0" t="n">
        <v>44481</v>
      </c>
      <c r="AD763" s="0" t="s">
        <v>147</v>
      </c>
      <c r="AE763" s="0" t="s">
        <v>148</v>
      </c>
      <c r="AF763" s="0" t="s">
        <v>149</v>
      </c>
      <c r="AH763" s="0" t="n">
        <v>14</v>
      </c>
      <c r="AI763" s="0" t="n">
        <v>11</v>
      </c>
      <c r="AN763" s="0" t="s">
        <v>145</v>
      </c>
      <c r="AO763" s="0" t="s">
        <v>654</v>
      </c>
      <c r="AP763" s="0" t="s">
        <v>655</v>
      </c>
      <c r="AQ763" s="0" t="n">
        <v>9</v>
      </c>
      <c r="AR763" s="0" t="n">
        <v>64</v>
      </c>
      <c r="AS763" s="0" t="n">
        <v>32</v>
      </c>
      <c r="AU763" s="0" t="n">
        <f aca="false">COUNTA($BA$1879:$EH$1879)</f>
        <v>4</v>
      </c>
      <c r="AV763" s="0" t="n">
        <f aca="false">COUNTIF($BA$1879:$EH$1879,"D")</f>
        <v>1</v>
      </c>
      <c r="AW763" s="0" t="n">
        <f aca="false">COUNTIF($BA$1879:$EH$1879,"R")</f>
        <v>0</v>
      </c>
      <c r="AX763" s="0" t="n">
        <f aca="false">IF(BN763="D",1,0)+IF(BO763="D",1,0)+IF(BT763="D",1,0)+IF(BU763="D",1,0)+IF(BW763="D",1,0)+IF(CC763="D",1,0)+IF(CD763="D",1,0)+IF(CE763="D",1,0)+IF(CF763="D",1,0)+IF(CL763="D",1,0)+IF(CM763="D",1,0)+IF(CQ763="D",1,0)+IF(CR763="D",1,0)+IF(CS763="D",1,0)+IF(CW763="D",1,0)+IF(CX763="D",1,0)+IF(DD763="D",1,0)+IF(DE763="D",1,0)+IF(DJ763="D",1,0)+IF(DK763="D",1,0)+IF(DO763="D",1,0)+IF(DP763="D",1,0)+IF(DQ763="D",1,0)+IF(DW763="D",1,0)+IF(DZ763="D",1,0)+IF(EH763="D",1,0)</f>
        <v>1</v>
      </c>
      <c r="AY763" s="0" t="n">
        <f aca="false">COUNTIF(DU763:EH763, "&lt;&gt;")</f>
        <v>6</v>
      </c>
      <c r="AZ763" s="0" t="n">
        <f aca="false">IF(EH763&lt;&gt;"",1,0)</f>
        <v>0</v>
      </c>
      <c r="BB763" s="0" t="s">
        <v>152</v>
      </c>
      <c r="BC763" s="0" t="s">
        <v>153</v>
      </c>
      <c r="BD763" s="0" t="s">
        <v>153</v>
      </c>
      <c r="BE763" s="0" t="s">
        <v>153</v>
      </c>
      <c r="BF763" s="0" t="s">
        <v>153</v>
      </c>
      <c r="BG763" s="0" t="s">
        <v>153</v>
      </c>
      <c r="BH763" s="0" t="s">
        <v>153</v>
      </c>
      <c r="BJ763" s="0" t="s">
        <v>153</v>
      </c>
      <c r="BK763" s="0" t="s">
        <v>153</v>
      </c>
      <c r="BL763" s="0" t="s">
        <v>153</v>
      </c>
      <c r="BP763" s="0" t="s">
        <v>153</v>
      </c>
      <c r="BS763" s="0" t="s">
        <v>153</v>
      </c>
      <c r="BY763" s="0" t="s">
        <v>175</v>
      </c>
      <c r="CA763" s="0" t="s">
        <v>153</v>
      </c>
      <c r="CN763" s="0" t="s">
        <v>153</v>
      </c>
      <c r="CP763" s="0" t="s">
        <v>153</v>
      </c>
      <c r="CV763" s="0" t="s">
        <v>153</v>
      </c>
      <c r="CY763" s="0" t="s">
        <v>153</v>
      </c>
      <c r="CZ763" s="0" t="s">
        <v>175</v>
      </c>
      <c r="DC763" s="0" t="s">
        <v>153</v>
      </c>
      <c r="DI763" s="0" t="s">
        <v>153</v>
      </c>
      <c r="DL763" s="0" t="s">
        <v>153</v>
      </c>
      <c r="DN763" s="0" t="s">
        <v>153</v>
      </c>
      <c r="DT763" s="0" t="s">
        <v>175</v>
      </c>
      <c r="DU763" s="0" t="s">
        <v>153</v>
      </c>
      <c r="DW763" s="0" t="s">
        <v>175</v>
      </c>
      <c r="DX763" s="0" t="s">
        <v>153</v>
      </c>
      <c r="EA763" s="0" t="s">
        <v>153</v>
      </c>
      <c r="ED763" s="0" t="s">
        <v>175</v>
      </c>
      <c r="EF763" s="0" t="s">
        <v>153</v>
      </c>
    </row>
    <row r="764" customFormat="false" ht="13.8" hidden="true" customHeight="false" outlineLevel="0" collapsed="false">
      <c r="A764" s="0" t="s">
        <v>3871</v>
      </c>
      <c r="B764" s="0" t="n">
        <v>78</v>
      </c>
      <c r="C764" s="0" t="n">
        <v>303763</v>
      </c>
      <c r="D764" s="0" t="s">
        <v>3872</v>
      </c>
      <c r="E764" s="0" t="s">
        <v>3873</v>
      </c>
      <c r="F764" s="0" t="str">
        <f aca="false">CONCATENATE(D764," ",LEFT(H764,4),"T=",AU764,"D=",AV764,"R=",AW764,"M=",AX764,"L=",AY764,"B=",AZ764)</f>
        <v>SPENCER T=2D=0R=0M=0L=0B=0</v>
      </c>
      <c r="G764" s="0" t="s">
        <v>1082</v>
      </c>
      <c r="I764" s="0" t="s">
        <v>3874</v>
      </c>
      <c r="J764" s="0" t="s">
        <v>3875</v>
      </c>
      <c r="K764" s="0" t="s">
        <v>160</v>
      </c>
      <c r="M764" s="0" t="s">
        <v>3719</v>
      </c>
      <c r="N764" s="0" t="str">
        <f aca="false">RIGHT(M764,LEN(M764)-FIND(" ",M764))</f>
        <v>HIGH ST NE</v>
      </c>
      <c r="O764" s="0" t="s">
        <v>3876</v>
      </c>
      <c r="P764" s="0" t="s">
        <v>145</v>
      </c>
      <c r="Q764" s="0" t="s">
        <v>146</v>
      </c>
      <c r="R764" s="0" t="n">
        <v>44481</v>
      </c>
      <c r="AD764" s="0" t="s">
        <v>147</v>
      </c>
      <c r="AE764" s="0" t="s">
        <v>148</v>
      </c>
      <c r="AF764" s="0" t="s">
        <v>149</v>
      </c>
      <c r="AH764" s="0" t="n">
        <v>14</v>
      </c>
      <c r="AI764" s="0" t="n">
        <v>11</v>
      </c>
      <c r="AN764" s="0" t="s">
        <v>145</v>
      </c>
      <c r="AO764" s="0" t="s">
        <v>654</v>
      </c>
      <c r="AP764" s="0" t="s">
        <v>655</v>
      </c>
      <c r="AQ764" s="0" t="n">
        <v>9</v>
      </c>
      <c r="AR764" s="0" t="n">
        <v>64</v>
      </c>
      <c r="AS764" s="0" t="n">
        <v>32</v>
      </c>
      <c r="AU764" s="0" t="n">
        <f aca="false">COUNTA($BA$1889:$EH$1889)</f>
        <v>2</v>
      </c>
      <c r="AV764" s="0" t="n">
        <f aca="false">COUNTIF($BA$1889:$EH$1889,"D")</f>
        <v>0</v>
      </c>
      <c r="AW764" s="0" t="n">
        <f aca="false">COUNTIF($BA$1889:$EH$1889,"R")</f>
        <v>0</v>
      </c>
      <c r="AX764" s="0" t="n">
        <f aca="false">IF(BN764="D",1,0)+IF(BO764="D",1,0)+IF(BT764="D",1,0)+IF(BU764="D",1,0)+IF(BW764="D",1,0)+IF(CC764="D",1,0)+IF(CD764="D",1,0)+IF(CE764="D",1,0)+IF(CF764="D",1,0)+IF(CL764="D",1,0)+IF(CM764="D",1,0)+IF(CQ764="D",1,0)+IF(CR764="D",1,0)+IF(CS764="D",1,0)+IF(CW764="D",1,0)+IF(CX764="D",1,0)+IF(DD764="D",1,0)+IF(DE764="D",1,0)+IF(DJ764="D",1,0)+IF(DK764="D",1,0)+IF(DO764="D",1,0)+IF(DP764="D",1,0)+IF(DQ764="D",1,0)+IF(DW764="D",1,0)+IF(DZ764="D",1,0)+IF(EH764="D",1,0)</f>
        <v>0</v>
      </c>
      <c r="AY764" s="0" t="n">
        <f aca="false">COUNTIF(DU764:EH764, "&lt;&gt;")</f>
        <v>0</v>
      </c>
      <c r="AZ764" s="0" t="n">
        <f aca="false">IF(EH764&lt;&gt;"",1,0)</f>
        <v>0</v>
      </c>
      <c r="BB764" s="0" t="s">
        <v>152</v>
      </c>
      <c r="BK764" s="0" t="s">
        <v>153</v>
      </c>
      <c r="BL764" s="0" t="s">
        <v>153</v>
      </c>
      <c r="CN764" s="0" t="s">
        <v>153</v>
      </c>
      <c r="CP764" s="0" t="s">
        <v>153</v>
      </c>
      <c r="CY764" s="0" t="s">
        <v>153</v>
      </c>
      <c r="CZ764" s="0" t="s">
        <v>209</v>
      </c>
      <c r="DC764" s="0" t="s">
        <v>153</v>
      </c>
    </row>
    <row r="765" customFormat="false" ht="13.8" hidden="true" customHeight="false" outlineLevel="0" collapsed="false">
      <c r="A765" s="0" t="s">
        <v>3877</v>
      </c>
      <c r="B765" s="0" t="n">
        <v>78</v>
      </c>
      <c r="C765" s="0" t="n">
        <v>298938</v>
      </c>
      <c r="D765" s="0" t="s">
        <v>3878</v>
      </c>
      <c r="E765" s="0" t="s">
        <v>849</v>
      </c>
      <c r="F765" s="0" t="str">
        <f aca="false">CONCATENATE(D765," ",LEFT(H765,4),"T=",AU765,"D=",AV765,"R=",AW765,"M=",AX765,"L=",AY765,"B=",AZ765)</f>
        <v>LAMBEA T=1D=0R=0M=0L=0B=0</v>
      </c>
      <c r="G765" s="0" t="s">
        <v>209</v>
      </c>
      <c r="I765" s="0" t="s">
        <v>3879</v>
      </c>
      <c r="J765" s="0" t="s">
        <v>1641</v>
      </c>
      <c r="K765" s="0" t="s">
        <v>143</v>
      </c>
      <c r="M765" s="0" t="s">
        <v>3719</v>
      </c>
      <c r="N765" s="0" t="str">
        <f aca="false">RIGHT(M765,LEN(M765)-FIND(" ",M765))</f>
        <v>HIGH ST NE</v>
      </c>
      <c r="O765" s="0" t="s">
        <v>3880</v>
      </c>
      <c r="P765" s="0" t="s">
        <v>145</v>
      </c>
      <c r="Q765" s="0" t="s">
        <v>146</v>
      </c>
      <c r="R765" s="0" t="n">
        <v>44481</v>
      </c>
      <c r="AD765" s="0" t="s">
        <v>147</v>
      </c>
      <c r="AE765" s="0" t="s">
        <v>148</v>
      </c>
      <c r="AF765" s="0" t="s">
        <v>149</v>
      </c>
      <c r="AH765" s="0" t="n">
        <v>14</v>
      </c>
      <c r="AI765" s="0" t="n">
        <v>11</v>
      </c>
      <c r="AN765" s="0" t="s">
        <v>145</v>
      </c>
      <c r="AO765" s="0" t="s">
        <v>654</v>
      </c>
      <c r="AP765" s="0" t="s">
        <v>655</v>
      </c>
      <c r="AQ765" s="0" t="n">
        <v>9</v>
      </c>
      <c r="AR765" s="0" t="n">
        <v>64</v>
      </c>
      <c r="AS765" s="0" t="n">
        <v>32</v>
      </c>
      <c r="AU765" s="0" t="n">
        <f aca="false">COUNTA($BA$1966:$EH$1966)</f>
        <v>1</v>
      </c>
      <c r="AV765" s="0" t="n">
        <f aca="false">COUNTIF($BA$1966:$EH$1966,"D")</f>
        <v>0</v>
      </c>
      <c r="AW765" s="0" t="n">
        <f aca="false">COUNTIF($BA$1966:$EH$1966,"R")</f>
        <v>0</v>
      </c>
      <c r="AX765" s="0" t="n">
        <f aca="false">IF(BN765="D",1,0)+IF(BO765="D",1,0)+IF(BT765="D",1,0)+IF(BU765="D",1,0)+IF(BW765="D",1,0)+IF(CC765="D",1,0)+IF(CD765="D",1,0)+IF(CE765="D",1,0)+IF(CF765="D",1,0)+IF(CL765="D",1,0)+IF(CM765="D",1,0)+IF(CQ765="D",1,0)+IF(CR765="D",1,0)+IF(CS765="D",1,0)+IF(CW765="D",1,0)+IF(CX765="D",1,0)+IF(DD765="D",1,0)+IF(DE765="D",1,0)+IF(DJ765="D",1,0)+IF(DK765="D",1,0)+IF(DO765="D",1,0)+IF(DP765="D",1,0)+IF(DQ765="D",1,0)+IF(DW765="D",1,0)+IF(DZ765="D",1,0)+IF(EH765="D",1,0)</f>
        <v>0</v>
      </c>
      <c r="AY765" s="0" t="n">
        <f aca="false">COUNTIF(DU765:EH765, "&lt;&gt;")</f>
        <v>0</v>
      </c>
      <c r="AZ765" s="0" t="n">
        <f aca="false">IF(EH765&lt;&gt;"",1,0)</f>
        <v>0</v>
      </c>
      <c r="BB765" s="0" t="s">
        <v>152</v>
      </c>
      <c r="BD765" s="0" t="s">
        <v>153</v>
      </c>
      <c r="BL765" s="0" t="s">
        <v>153</v>
      </c>
      <c r="BS765" s="0" t="s">
        <v>153</v>
      </c>
      <c r="CA765" s="0" t="s">
        <v>153</v>
      </c>
    </row>
    <row r="766" customFormat="false" ht="13.8" hidden="true" customHeight="false" outlineLevel="0" collapsed="false">
      <c r="A766" s="0" t="s">
        <v>3881</v>
      </c>
      <c r="B766" s="0" t="n">
        <v>78</v>
      </c>
      <c r="C766" s="0" t="n">
        <v>407358</v>
      </c>
      <c r="D766" s="0" t="s">
        <v>3882</v>
      </c>
      <c r="E766" s="0" t="s">
        <v>379</v>
      </c>
      <c r="F766" s="0" t="str">
        <f aca="false">CONCATENATE(D766," ",LEFT(H766,4),"T=",AU766,"D=",AV766,"R=",AW766,"M=",AX766,"L=",AY766,"B=",AZ766)</f>
        <v>LYNCH T=3D=0R=0M=0L=1B=0</v>
      </c>
      <c r="G766" s="0" t="s">
        <v>275</v>
      </c>
      <c r="I766" s="0" t="s">
        <v>3883</v>
      </c>
      <c r="J766" s="0" t="s">
        <v>3884</v>
      </c>
      <c r="K766" s="0" t="s">
        <v>160</v>
      </c>
      <c r="M766" s="0" t="s">
        <v>3719</v>
      </c>
      <c r="N766" s="0" t="str">
        <f aca="false">RIGHT(M766,LEN(M766)-FIND(" ",M766))</f>
        <v>HIGH ST NE</v>
      </c>
      <c r="O766" s="0" t="s">
        <v>3885</v>
      </c>
      <c r="P766" s="0" t="s">
        <v>145</v>
      </c>
      <c r="Q766" s="0" t="s">
        <v>146</v>
      </c>
      <c r="R766" s="0" t="n">
        <v>44481</v>
      </c>
      <c r="AD766" s="0" t="s">
        <v>147</v>
      </c>
      <c r="AE766" s="0" t="s">
        <v>148</v>
      </c>
      <c r="AF766" s="0" t="s">
        <v>149</v>
      </c>
      <c r="AH766" s="0" t="n">
        <v>14</v>
      </c>
      <c r="AI766" s="0" t="n">
        <v>11</v>
      </c>
      <c r="AN766" s="0" t="s">
        <v>145</v>
      </c>
      <c r="AO766" s="0" t="s">
        <v>654</v>
      </c>
      <c r="AP766" s="0" t="s">
        <v>655</v>
      </c>
      <c r="AQ766" s="0" t="n">
        <v>9</v>
      </c>
      <c r="AR766" s="0" t="n">
        <v>64</v>
      </c>
      <c r="AS766" s="0" t="n">
        <v>32</v>
      </c>
      <c r="AU766" s="0" t="n">
        <f aca="false">COUNTA($BA$1974:$EH$1974)</f>
        <v>3</v>
      </c>
      <c r="AV766" s="0" t="n">
        <f aca="false">COUNTIF($BA$1974:$EH$1974,"D")</f>
        <v>0</v>
      </c>
      <c r="AW766" s="0" t="n">
        <f aca="false">COUNTIF($BA$1974:$EH$1974,"R")</f>
        <v>0</v>
      </c>
      <c r="AX766" s="0" t="n">
        <f aca="false">IF(BN766="D",1,0)+IF(BO766="D",1,0)+IF(BT766="D",1,0)+IF(BU766="D",1,0)+IF(BW766="D",1,0)+IF(CC766="D",1,0)+IF(CD766="D",1,0)+IF(CE766="D",1,0)+IF(CF766="D",1,0)+IF(CL766="D",1,0)+IF(CM766="D",1,0)+IF(CQ766="D",1,0)+IF(CR766="D",1,0)+IF(CS766="D",1,0)+IF(CW766="D",1,0)+IF(CX766="D",1,0)+IF(DD766="D",1,0)+IF(DE766="D",1,0)+IF(DJ766="D",1,0)+IF(DK766="D",1,0)+IF(DO766="D",1,0)+IF(DP766="D",1,0)+IF(DQ766="D",1,0)+IF(DW766="D",1,0)+IF(DZ766="D",1,0)+IF(EH766="D",1,0)</f>
        <v>0</v>
      </c>
      <c r="AY766" s="0" t="n">
        <f aca="false">COUNTIF(DU766:EH766, "&lt;&gt;")</f>
        <v>1</v>
      </c>
      <c r="AZ766" s="0" t="n">
        <f aca="false">IF(EH766&lt;&gt;"",1,0)</f>
        <v>0</v>
      </c>
      <c r="BB766" s="0" t="s">
        <v>152</v>
      </c>
      <c r="DC766" s="0" t="s">
        <v>153</v>
      </c>
      <c r="DF766" s="0" t="s">
        <v>153</v>
      </c>
      <c r="DI766" s="0" t="s">
        <v>153</v>
      </c>
      <c r="DL766" s="0" t="s">
        <v>153</v>
      </c>
      <c r="DN766" s="0" t="s">
        <v>153</v>
      </c>
      <c r="DU766" s="0" t="s">
        <v>153</v>
      </c>
    </row>
    <row r="767" customFormat="false" ht="13.8" hidden="true" customHeight="false" outlineLevel="0" collapsed="false">
      <c r="A767" s="0" t="s">
        <v>3886</v>
      </c>
      <c r="B767" s="0" t="n">
        <v>78</v>
      </c>
      <c r="C767" s="0" t="n">
        <v>276178</v>
      </c>
      <c r="D767" s="0" t="s">
        <v>3887</v>
      </c>
      <c r="E767" s="0" t="s">
        <v>939</v>
      </c>
      <c r="F767" s="0" t="str">
        <f aca="false">CONCATENATE(D767," ",LEFT(H767,4),"T=",AU767,"D=",AV767,"R=",AW767,"M=",AX767,"L=",AY767,"B=",AZ767)</f>
        <v>FUTEY T=4D=0R=0M=0L=0B=0</v>
      </c>
      <c r="G767" s="0" t="s">
        <v>2045</v>
      </c>
      <c r="I767" s="0" t="s">
        <v>3888</v>
      </c>
      <c r="J767" s="0" t="s">
        <v>2152</v>
      </c>
      <c r="K767" s="0" t="s">
        <v>160</v>
      </c>
      <c r="M767" s="0" t="s">
        <v>3719</v>
      </c>
      <c r="N767" s="0" t="str">
        <f aca="false">RIGHT(M767,LEN(M767)-FIND(" ",M767))</f>
        <v>HIGH ST NE</v>
      </c>
      <c r="O767" s="0" t="s">
        <v>3889</v>
      </c>
      <c r="P767" s="0" t="s">
        <v>145</v>
      </c>
      <c r="Q767" s="0" t="s">
        <v>146</v>
      </c>
      <c r="R767" s="0" t="n">
        <v>44481</v>
      </c>
      <c r="AD767" s="0" t="s">
        <v>147</v>
      </c>
      <c r="AE767" s="0" t="s">
        <v>148</v>
      </c>
      <c r="AF767" s="0" t="s">
        <v>149</v>
      </c>
      <c r="AH767" s="0" t="n">
        <v>14</v>
      </c>
      <c r="AI767" s="0" t="n">
        <v>11</v>
      </c>
      <c r="AN767" s="0" t="s">
        <v>145</v>
      </c>
      <c r="AO767" s="0" t="s">
        <v>654</v>
      </c>
      <c r="AP767" s="0" t="s">
        <v>655</v>
      </c>
      <c r="AQ767" s="0" t="n">
        <v>9</v>
      </c>
      <c r="AR767" s="0" t="n">
        <v>64</v>
      </c>
      <c r="AS767" s="0" t="n">
        <v>32</v>
      </c>
      <c r="AU767" s="0" t="n">
        <f aca="false">COUNTA($BA$1989:$EH$1989)</f>
        <v>4</v>
      </c>
      <c r="AV767" s="0" t="n">
        <f aca="false">COUNTIF($BA$1989:$EH$1989,"D")</f>
        <v>0</v>
      </c>
      <c r="AW767" s="0" t="n">
        <f aca="false">COUNTIF($BA$1989:$EH$1989,"R")</f>
        <v>0</v>
      </c>
      <c r="AX767" s="0" t="n">
        <f aca="false">IF(BN767="D",1,0)+IF(BO767="D",1,0)+IF(BT767="D",1,0)+IF(BU767="D",1,0)+IF(BW767="D",1,0)+IF(CC767="D",1,0)+IF(CD767="D",1,0)+IF(CE767="D",1,0)+IF(CF767="D",1,0)+IF(CL767="D",1,0)+IF(CM767="D",1,0)+IF(CQ767="D",1,0)+IF(CR767="D",1,0)+IF(CS767="D",1,0)+IF(CW767="D",1,0)+IF(CX767="D",1,0)+IF(DD767="D",1,0)+IF(DE767="D",1,0)+IF(DJ767="D",1,0)+IF(DK767="D",1,0)+IF(DO767="D",1,0)+IF(DP767="D",1,0)+IF(DQ767="D",1,0)+IF(DW767="D",1,0)+IF(DZ767="D",1,0)+IF(EH767="D",1,0)</f>
        <v>0</v>
      </c>
      <c r="AY767" s="0" t="n">
        <f aca="false">COUNTIF(DU767:EH767, "&lt;&gt;")</f>
        <v>0</v>
      </c>
      <c r="AZ767" s="0" t="n">
        <f aca="false">IF(EH767&lt;&gt;"",1,0)</f>
        <v>0</v>
      </c>
      <c r="BB767" s="0" t="s">
        <v>152</v>
      </c>
      <c r="BD767" s="0" t="s">
        <v>153</v>
      </c>
      <c r="BL767" s="0" t="s">
        <v>153</v>
      </c>
      <c r="BP767" s="0" t="s">
        <v>153</v>
      </c>
      <c r="BR767" s="0" t="s">
        <v>153</v>
      </c>
      <c r="BS767" s="0" t="s">
        <v>153</v>
      </c>
      <c r="BY767" s="0" t="s">
        <v>175</v>
      </c>
      <c r="CA767" s="0" t="s">
        <v>153</v>
      </c>
      <c r="CG767" s="0" t="s">
        <v>153</v>
      </c>
      <c r="CP767" s="0" t="s">
        <v>153</v>
      </c>
      <c r="DC767" s="0" t="s">
        <v>153</v>
      </c>
      <c r="DN767" s="0" t="s">
        <v>153</v>
      </c>
    </row>
    <row r="768" customFormat="false" ht="13.8" hidden="false" customHeight="false" outlineLevel="0" collapsed="false">
      <c r="A768" s="0" t="s">
        <v>3890</v>
      </c>
      <c r="B768" s="0" t="n">
        <v>78</v>
      </c>
      <c r="C768" s="0" t="n">
        <v>411168</v>
      </c>
      <c r="D768" s="0" t="s">
        <v>3891</v>
      </c>
      <c r="E768" s="0" t="s">
        <v>1101</v>
      </c>
      <c r="F768" s="0" t="str">
        <f aca="false">CONCATENATE(D768," ",LEFT(H768,4),"T=",AU768,"D=",AV768,"R=",AW768,"M=",AX768,"L=",AY768,"B=",AZ768)</f>
        <v>DECKERHOFF T=3D=0R=0M=1L=6B=0</v>
      </c>
      <c r="G768" s="0" t="s">
        <v>839</v>
      </c>
      <c r="I768" s="0" t="s">
        <v>3892</v>
      </c>
      <c r="J768" s="0" t="s">
        <v>3033</v>
      </c>
      <c r="K768" s="0" t="s">
        <v>160</v>
      </c>
      <c r="L768" s="0" t="s">
        <v>209</v>
      </c>
      <c r="M768" s="0" t="s">
        <v>3719</v>
      </c>
      <c r="N768" s="0" t="str">
        <f aca="false">RIGHT(M768,LEN(M768)-FIND(" ",M768))</f>
        <v>HIGH ST NE</v>
      </c>
      <c r="O768" s="0" t="s">
        <v>3893</v>
      </c>
      <c r="P768" s="0" t="s">
        <v>145</v>
      </c>
      <c r="Q768" s="0" t="s">
        <v>146</v>
      </c>
      <c r="R768" s="0" t="n">
        <v>44481</v>
      </c>
      <c r="AD768" s="0" t="s">
        <v>147</v>
      </c>
      <c r="AE768" s="0" t="s">
        <v>148</v>
      </c>
      <c r="AF768" s="0" t="s">
        <v>149</v>
      </c>
      <c r="AH768" s="0" t="n">
        <v>14</v>
      </c>
      <c r="AI768" s="0" t="n">
        <v>11</v>
      </c>
      <c r="AN768" s="0" t="s">
        <v>145</v>
      </c>
      <c r="AO768" s="0" t="s">
        <v>654</v>
      </c>
      <c r="AP768" s="0" t="s">
        <v>655</v>
      </c>
      <c r="AQ768" s="0" t="n">
        <v>9</v>
      </c>
      <c r="AR768" s="0" t="n">
        <v>64</v>
      </c>
      <c r="AS768" s="0" t="n">
        <v>32</v>
      </c>
      <c r="AU768" s="0" t="n">
        <f aca="false">COUNTA($BA$2039:$EH$2039)</f>
        <v>3</v>
      </c>
      <c r="AV768" s="0" t="n">
        <f aca="false">COUNTIF($BA$2039:$EH$2039,"D")</f>
        <v>0</v>
      </c>
      <c r="AW768" s="0" t="n">
        <f aca="false">COUNTIF($BA$2039:$EH$2039,"R")</f>
        <v>0</v>
      </c>
      <c r="AX768" s="0" t="n">
        <f aca="false">IF(BN768="D",1,0)+IF(BO768="D",1,0)+IF(BT768="D",1,0)+IF(BU768="D",1,0)+IF(BW768="D",1,0)+IF(CC768="D",1,0)+IF(CD768="D",1,0)+IF(CE768="D",1,0)+IF(CF768="D",1,0)+IF(CL768="D",1,0)+IF(CM768="D",1,0)+IF(CQ768="D",1,0)+IF(CR768="D",1,0)+IF(CS768="D",1,0)+IF(CW768="D",1,0)+IF(CX768="D",1,0)+IF(DD768="D",1,0)+IF(DE768="D",1,0)+IF(DJ768="D",1,0)+IF(DK768="D",1,0)+IF(DO768="D",1,0)+IF(DP768="D",1,0)+IF(DQ768="D",1,0)+IF(DW768="D",1,0)+IF(DZ768="D",1,0)+IF(EH768="D",1,0)</f>
        <v>1</v>
      </c>
      <c r="AY768" s="0" t="n">
        <f aca="false">COUNTIF(DU768:EH768, "&lt;&gt;")</f>
        <v>6</v>
      </c>
      <c r="AZ768" s="0" t="n">
        <f aca="false">IF(EH768&lt;&gt;"",1,0)</f>
        <v>0</v>
      </c>
      <c r="BB768" s="0" t="s">
        <v>152</v>
      </c>
      <c r="CZ768" s="0" t="s">
        <v>209</v>
      </c>
      <c r="DC768" s="0" t="s">
        <v>153</v>
      </c>
      <c r="DF768" s="0" t="s">
        <v>153</v>
      </c>
      <c r="DG768" s="0" t="s">
        <v>209</v>
      </c>
      <c r="DI768" s="0" t="s">
        <v>153</v>
      </c>
      <c r="DL768" s="0" t="s">
        <v>153</v>
      </c>
      <c r="DM768" s="0" t="s">
        <v>209</v>
      </c>
      <c r="DN768" s="0" t="s">
        <v>153</v>
      </c>
      <c r="DS768" s="0" t="s">
        <v>209</v>
      </c>
      <c r="DT768" s="0" t="s">
        <v>209</v>
      </c>
      <c r="DU768" s="0" t="s">
        <v>153</v>
      </c>
      <c r="DW768" s="0" t="s">
        <v>175</v>
      </c>
      <c r="DX768" s="0" t="s">
        <v>153</v>
      </c>
      <c r="EA768" s="0" t="s">
        <v>153</v>
      </c>
      <c r="ED768" s="0" t="s">
        <v>209</v>
      </c>
      <c r="EF768" s="0" t="s">
        <v>153</v>
      </c>
    </row>
    <row r="769" customFormat="false" ht="13.8" hidden="true" customHeight="false" outlineLevel="0" collapsed="false">
      <c r="A769" s="0" t="s">
        <v>3894</v>
      </c>
      <c r="B769" s="0" t="n">
        <v>78</v>
      </c>
      <c r="C769" s="0" t="n">
        <v>431833</v>
      </c>
      <c r="D769" s="0" t="s">
        <v>1547</v>
      </c>
      <c r="E769" s="0" t="s">
        <v>3895</v>
      </c>
      <c r="F769" s="0" t="str">
        <f aca="false">CONCATENATE(D769," ",LEFT(H769,4),"T=",AU769,"D=",AV769,"R=",AW769,"M=",AX769,"L=",AY769,"B=",AZ769)</f>
        <v>WASHINGTON T=1D=0R=0M=0L=0B=0</v>
      </c>
      <c r="G769" s="0" t="s">
        <v>3896</v>
      </c>
      <c r="I769" s="0" t="s">
        <v>1933</v>
      </c>
      <c r="J769" s="0" t="s">
        <v>3897</v>
      </c>
      <c r="K769" s="0" t="s">
        <v>160</v>
      </c>
      <c r="M769" s="0" t="s">
        <v>3898</v>
      </c>
      <c r="N769" s="0" t="str">
        <f aca="false">RIGHT(M769,LEN(M769)-FIND(" ",M769))</f>
        <v>HIGH ST NE</v>
      </c>
      <c r="P769" s="0" t="s">
        <v>145</v>
      </c>
      <c r="Q769" s="0" t="s">
        <v>146</v>
      </c>
      <c r="R769" s="0" t="n">
        <v>44481</v>
      </c>
      <c r="AD769" s="0" t="s">
        <v>147</v>
      </c>
      <c r="AE769" s="0" t="s">
        <v>148</v>
      </c>
      <c r="AF769" s="0" t="s">
        <v>149</v>
      </c>
      <c r="AH769" s="0" t="n">
        <v>14</v>
      </c>
      <c r="AI769" s="0" t="n">
        <v>11</v>
      </c>
      <c r="AN769" s="0" t="s">
        <v>145</v>
      </c>
      <c r="AO769" s="0" t="s">
        <v>654</v>
      </c>
      <c r="AP769" s="0" t="s">
        <v>655</v>
      </c>
      <c r="AQ769" s="0" t="n">
        <v>9</v>
      </c>
      <c r="AR769" s="0" t="n">
        <v>64</v>
      </c>
      <c r="AS769" s="0" t="n">
        <v>32</v>
      </c>
      <c r="AU769" s="0" t="n">
        <f aca="false">COUNTA($BA$1136:$EH$1136)</f>
        <v>1</v>
      </c>
      <c r="AV769" s="0" t="n">
        <f aca="false">COUNTIF($BA$1136:$EH$1136,"D")</f>
        <v>0</v>
      </c>
      <c r="AW769" s="0" t="n">
        <f aca="false">COUNTIF($BA$1136:$EH$1136,"R")</f>
        <v>0</v>
      </c>
      <c r="AX769" s="0" t="n">
        <f aca="false">IF(BN769="D",1,0)+IF(BO769="D",1,0)+IF(BT769="D",1,0)+IF(BU769="D",1,0)+IF(BW769="D",1,0)+IF(CC769="D",1,0)+IF(CD769="D",1,0)+IF(CE769="D",1,0)+IF(CF769="D",1,0)+IF(CL769="D",1,0)+IF(CM769="D",1,0)+IF(CQ769="D",1,0)+IF(CR769="D",1,0)+IF(CS769="D",1,0)+IF(CW769="D",1,0)+IF(CX769="D",1,0)+IF(DD769="D",1,0)+IF(DE769="D",1,0)+IF(DJ769="D",1,0)+IF(DK769="D",1,0)+IF(DO769="D",1,0)+IF(DP769="D",1,0)+IF(DQ769="D",1,0)+IF(DW769="D",1,0)+IF(DZ769="D",1,0)+IF(EH769="D",1,0)</f>
        <v>0</v>
      </c>
      <c r="AY769" s="0" t="n">
        <f aca="false">COUNTIF(DU769:EH769, "&lt;&gt;")</f>
        <v>0</v>
      </c>
      <c r="AZ769" s="0" t="n">
        <f aca="false">IF(EH769&lt;&gt;"",1,0)</f>
        <v>0</v>
      </c>
      <c r="BB769" s="0" t="s">
        <v>152</v>
      </c>
    </row>
    <row r="770" customFormat="false" ht="13.8" hidden="true" customHeight="false" outlineLevel="0" collapsed="false">
      <c r="A770" s="0" t="s">
        <v>3899</v>
      </c>
      <c r="B770" s="0" t="n">
        <v>78</v>
      </c>
      <c r="C770" s="0" t="n">
        <v>486601</v>
      </c>
      <c r="D770" s="0" t="s">
        <v>3900</v>
      </c>
      <c r="E770" s="0" t="s">
        <v>3901</v>
      </c>
      <c r="F770" s="0" t="str">
        <f aca="false">CONCATENATE(D770," ",LEFT(H770,4),"T=",AU770,"D=",AV770,"R=",AW770,"M=",AX770,"L=",AY770,"B=",AZ770)</f>
        <v>NEELY T=26D=1R=5M=0L=0B=0</v>
      </c>
      <c r="G770" s="0" t="s">
        <v>325</v>
      </c>
      <c r="I770" s="0" t="s">
        <v>3902</v>
      </c>
      <c r="J770" s="0" t="s">
        <v>2360</v>
      </c>
      <c r="K770" s="0" t="s">
        <v>160</v>
      </c>
      <c r="M770" s="0" t="s">
        <v>3898</v>
      </c>
      <c r="N770" s="0" t="str">
        <f aca="false">RIGHT(M770,LEN(M770)-FIND(" ",M770))</f>
        <v>HIGH ST NE</v>
      </c>
      <c r="P770" s="0" t="s">
        <v>145</v>
      </c>
      <c r="Q770" s="0" t="s">
        <v>146</v>
      </c>
      <c r="R770" s="0" t="n">
        <v>44481</v>
      </c>
      <c r="AD770" s="0" t="s">
        <v>147</v>
      </c>
      <c r="AE770" s="0" t="s">
        <v>148</v>
      </c>
      <c r="AF770" s="0" t="s">
        <v>149</v>
      </c>
      <c r="AH770" s="0" t="n">
        <v>14</v>
      </c>
      <c r="AI770" s="0" t="n">
        <v>11</v>
      </c>
      <c r="AN770" s="0" t="s">
        <v>145</v>
      </c>
      <c r="AO770" s="0" t="s">
        <v>654</v>
      </c>
      <c r="AP770" s="0" t="s">
        <v>655</v>
      </c>
      <c r="AQ770" s="0" t="n">
        <v>9</v>
      </c>
      <c r="AR770" s="0" t="n">
        <v>64</v>
      </c>
      <c r="AS770" s="0" t="n">
        <v>32</v>
      </c>
      <c r="AU770" s="0" t="n">
        <f aca="false">COUNTA($BA$1195:$EH$1195)</f>
        <v>26</v>
      </c>
      <c r="AV770" s="0" t="n">
        <f aca="false">COUNTIF($BA$1195:$EH$1195,"D")</f>
        <v>1</v>
      </c>
      <c r="AW770" s="0" t="n">
        <f aca="false">COUNTIF($BA$1195:$EH$1195,"R")</f>
        <v>5</v>
      </c>
      <c r="AX770" s="0" t="n">
        <f aca="false">IF(BN770="D",1,0)+IF(BO770="D",1,0)+IF(BT770="D",1,0)+IF(BU770="D",1,0)+IF(BW770="D",1,0)+IF(CC770="D",1,0)+IF(CD770="D",1,0)+IF(CE770="D",1,0)+IF(CF770="D",1,0)+IF(CL770="D",1,0)+IF(CM770="D",1,0)+IF(CQ770="D",1,0)+IF(CR770="D",1,0)+IF(CS770="D",1,0)+IF(CW770="D",1,0)+IF(CX770="D",1,0)+IF(DD770="D",1,0)+IF(DE770="D",1,0)+IF(DJ770="D",1,0)+IF(DK770="D",1,0)+IF(DO770="D",1,0)+IF(DP770="D",1,0)+IF(DQ770="D",1,0)+IF(DW770="D",1,0)+IF(DZ770="D",1,0)+IF(EH770="D",1,0)</f>
        <v>0</v>
      </c>
      <c r="AY770" s="0" t="n">
        <f aca="false">COUNTIF(DU770:EH770, "&lt;&gt;")</f>
        <v>0</v>
      </c>
      <c r="AZ770" s="0" t="n">
        <f aca="false">IF(EH770&lt;&gt;"",1,0)</f>
        <v>0</v>
      </c>
      <c r="BB770" s="0" t="s">
        <v>152</v>
      </c>
    </row>
    <row r="771" customFormat="false" ht="13.8" hidden="true" customHeight="false" outlineLevel="0" collapsed="false">
      <c r="A771" s="0" t="s">
        <v>3903</v>
      </c>
      <c r="B771" s="0" t="n">
        <v>78</v>
      </c>
      <c r="C771" s="0" t="n">
        <v>417215</v>
      </c>
      <c r="D771" s="0" t="s">
        <v>215</v>
      </c>
      <c r="E771" s="0" t="s">
        <v>2001</v>
      </c>
      <c r="F771" s="0" t="str">
        <f aca="false">CONCATENATE(D771," ",LEFT(H771,4),"T=",AU771,"D=",AV771,"R=",AW771,"M=",AX771,"L=",AY771,"B=",AZ771)</f>
        <v>LEE IIT=8D=0R=0M=0L=0B=0</v>
      </c>
      <c r="G771" s="0" t="s">
        <v>171</v>
      </c>
      <c r="H771" s="0" t="s">
        <v>476</v>
      </c>
      <c r="I771" s="0" t="s">
        <v>3904</v>
      </c>
      <c r="J771" s="0" t="s">
        <v>967</v>
      </c>
      <c r="K771" s="0" t="s">
        <v>160</v>
      </c>
      <c r="M771" s="0" t="s">
        <v>3898</v>
      </c>
      <c r="N771" s="0" t="str">
        <f aca="false">RIGHT(M771,LEN(M771)-FIND(" ",M771))</f>
        <v>HIGH ST NE</v>
      </c>
      <c r="P771" s="0" t="s">
        <v>145</v>
      </c>
      <c r="Q771" s="0" t="s">
        <v>146</v>
      </c>
      <c r="R771" s="0" t="n">
        <v>44481</v>
      </c>
      <c r="AD771" s="0" t="s">
        <v>147</v>
      </c>
      <c r="AE771" s="0" t="s">
        <v>148</v>
      </c>
      <c r="AF771" s="0" t="s">
        <v>149</v>
      </c>
      <c r="AH771" s="0" t="n">
        <v>14</v>
      </c>
      <c r="AI771" s="0" t="n">
        <v>11</v>
      </c>
      <c r="AN771" s="0" t="s">
        <v>145</v>
      </c>
      <c r="AO771" s="0" t="s">
        <v>654</v>
      </c>
      <c r="AP771" s="0" t="s">
        <v>655</v>
      </c>
      <c r="AQ771" s="0" t="n">
        <v>9</v>
      </c>
      <c r="AR771" s="0" t="n">
        <v>64</v>
      </c>
      <c r="AS771" s="0" t="n">
        <v>32</v>
      </c>
      <c r="AU771" s="0" t="n">
        <f aca="false">COUNTA($BA$1618:$EH$1618)</f>
        <v>8</v>
      </c>
      <c r="AV771" s="0" t="n">
        <f aca="false">COUNTIF($BA$1618:$EH$1618,"D")</f>
        <v>0</v>
      </c>
      <c r="AW771" s="0" t="n">
        <f aca="false">COUNTIF($BA$1618:$EH$1618,"R")</f>
        <v>0</v>
      </c>
      <c r="AX771" s="0" t="n">
        <f aca="false">IF(BN771="D",1,0)+IF(BO771="D",1,0)+IF(BT771="D",1,0)+IF(BU771="D",1,0)+IF(BW771="D",1,0)+IF(CC771="D",1,0)+IF(CD771="D",1,0)+IF(CE771="D",1,0)+IF(CF771="D",1,0)+IF(CL771="D",1,0)+IF(CM771="D",1,0)+IF(CQ771="D",1,0)+IF(CR771="D",1,0)+IF(CS771="D",1,0)+IF(CW771="D",1,0)+IF(CX771="D",1,0)+IF(DD771="D",1,0)+IF(DE771="D",1,0)+IF(DJ771="D",1,0)+IF(DK771="D",1,0)+IF(DO771="D",1,0)+IF(DP771="D",1,0)+IF(DQ771="D",1,0)+IF(DW771="D",1,0)+IF(DZ771="D",1,0)+IF(EH771="D",1,0)</f>
        <v>0</v>
      </c>
      <c r="AY771" s="0" t="n">
        <f aca="false">COUNTIF(DU771:EH771, "&lt;&gt;")</f>
        <v>0</v>
      </c>
      <c r="AZ771" s="0" t="n">
        <f aca="false">IF(EH771&lt;&gt;"",1,0)</f>
        <v>0</v>
      </c>
      <c r="BB771" s="0" t="s">
        <v>152</v>
      </c>
    </row>
    <row r="772" customFormat="false" ht="13.8" hidden="true" customHeight="false" outlineLevel="0" collapsed="false">
      <c r="A772" s="0" t="s">
        <v>3905</v>
      </c>
      <c r="B772" s="0" t="n">
        <v>78</v>
      </c>
      <c r="C772" s="0" t="n">
        <v>414418</v>
      </c>
      <c r="D772" s="0" t="s">
        <v>2202</v>
      </c>
      <c r="E772" s="0" t="s">
        <v>3162</v>
      </c>
      <c r="F772" s="0" t="str">
        <f aca="false">CONCATENATE(D772," ",LEFT(H772,4),"T=",AU772,"D=",AV772,"R=",AW772,"M=",AX772,"L=",AY772,"B=",AZ772)</f>
        <v>STONE T=4D=0R=1M=0L=0B=0</v>
      </c>
      <c r="G772" s="0" t="s">
        <v>164</v>
      </c>
      <c r="I772" s="0" t="s">
        <v>3906</v>
      </c>
      <c r="J772" s="0" t="s">
        <v>3907</v>
      </c>
      <c r="K772" s="0" t="s">
        <v>160</v>
      </c>
      <c r="M772" s="0" t="s">
        <v>3898</v>
      </c>
      <c r="N772" s="0" t="str">
        <f aca="false">RIGHT(M772,LEN(M772)-FIND(" ",M772))</f>
        <v>HIGH ST NE</v>
      </c>
      <c r="P772" s="0" t="s">
        <v>145</v>
      </c>
      <c r="Q772" s="0" t="s">
        <v>146</v>
      </c>
      <c r="R772" s="0" t="n">
        <v>44481</v>
      </c>
      <c r="AD772" s="0" t="s">
        <v>147</v>
      </c>
      <c r="AE772" s="0" t="s">
        <v>148</v>
      </c>
      <c r="AF772" s="0" t="s">
        <v>149</v>
      </c>
      <c r="AH772" s="0" t="n">
        <v>14</v>
      </c>
      <c r="AI772" s="0" t="n">
        <v>11</v>
      </c>
      <c r="AN772" s="0" t="s">
        <v>145</v>
      </c>
      <c r="AO772" s="0" t="s">
        <v>654</v>
      </c>
      <c r="AP772" s="0" t="s">
        <v>655</v>
      </c>
      <c r="AQ772" s="0" t="n">
        <v>9</v>
      </c>
      <c r="AR772" s="0" t="n">
        <v>64</v>
      </c>
      <c r="AS772" s="0" t="n">
        <v>32</v>
      </c>
      <c r="AU772" s="0" t="n">
        <f aca="false">COUNTA($BA$1660:$EH$1660)</f>
        <v>4</v>
      </c>
      <c r="AV772" s="0" t="n">
        <f aca="false">COUNTIF($BA$1660:$EH$1660,"D")</f>
        <v>0</v>
      </c>
      <c r="AW772" s="0" t="n">
        <f aca="false">COUNTIF($BA$1660:$EH$1660,"R")</f>
        <v>1</v>
      </c>
      <c r="AX772" s="0" t="n">
        <f aca="false">IF(BN772="D",1,0)+IF(BO772="D",1,0)+IF(BT772="D",1,0)+IF(BU772="D",1,0)+IF(BW772="D",1,0)+IF(CC772="D",1,0)+IF(CD772="D",1,0)+IF(CE772="D",1,0)+IF(CF772="D",1,0)+IF(CL772="D",1,0)+IF(CM772="D",1,0)+IF(CQ772="D",1,0)+IF(CR772="D",1,0)+IF(CS772="D",1,0)+IF(CW772="D",1,0)+IF(CX772="D",1,0)+IF(DD772="D",1,0)+IF(DE772="D",1,0)+IF(DJ772="D",1,0)+IF(DK772="D",1,0)+IF(DO772="D",1,0)+IF(DP772="D",1,0)+IF(DQ772="D",1,0)+IF(DW772="D",1,0)+IF(DZ772="D",1,0)+IF(EH772="D",1,0)</f>
        <v>0</v>
      </c>
      <c r="AY772" s="0" t="n">
        <f aca="false">COUNTIF(DU772:EH772, "&lt;&gt;")</f>
        <v>0</v>
      </c>
      <c r="AZ772" s="0" t="n">
        <f aca="false">IF(EH772&lt;&gt;"",1,0)</f>
        <v>0</v>
      </c>
      <c r="BB772" s="0" t="s">
        <v>152</v>
      </c>
    </row>
    <row r="773" customFormat="false" ht="13.8" hidden="true" customHeight="false" outlineLevel="0" collapsed="false">
      <c r="A773" s="0" t="s">
        <v>3908</v>
      </c>
      <c r="B773" s="0" t="n">
        <v>78</v>
      </c>
      <c r="C773" s="0" t="n">
        <v>487228</v>
      </c>
      <c r="D773" s="0" t="s">
        <v>3909</v>
      </c>
      <c r="E773" s="0" t="s">
        <v>3910</v>
      </c>
      <c r="F773" s="0" t="str">
        <f aca="false">CONCATENATE(D773," ",LEFT(H773,4),"T=",AU773,"D=",AV773,"R=",AW773,"M=",AX773,"L=",AY773,"B=",AZ773)</f>
        <v>COLLINS T=36D=6R=0M=0L=0B=0</v>
      </c>
      <c r="G773" s="0" t="s">
        <v>325</v>
      </c>
      <c r="I773" s="0" t="s">
        <v>3911</v>
      </c>
      <c r="J773" s="0" t="s">
        <v>3340</v>
      </c>
      <c r="K773" s="0" t="s">
        <v>143</v>
      </c>
      <c r="M773" s="0" t="s">
        <v>3912</v>
      </c>
      <c r="N773" s="0" t="str">
        <f aca="false">RIGHT(M773,LEN(M773)-FIND(" ",M773))</f>
        <v>HIGH ST NE</v>
      </c>
      <c r="P773" s="0" t="s">
        <v>145</v>
      </c>
      <c r="Q773" s="0" t="s">
        <v>146</v>
      </c>
      <c r="R773" s="0" t="n">
        <v>44481</v>
      </c>
      <c r="AD773" s="0" t="s">
        <v>147</v>
      </c>
      <c r="AE773" s="0" t="s">
        <v>148</v>
      </c>
      <c r="AF773" s="0" t="s">
        <v>149</v>
      </c>
      <c r="AH773" s="0" t="n">
        <v>14</v>
      </c>
      <c r="AI773" s="0" t="n">
        <v>11</v>
      </c>
      <c r="AN773" s="0" t="s">
        <v>145</v>
      </c>
      <c r="AO773" s="0" t="s">
        <v>654</v>
      </c>
      <c r="AP773" s="0" t="s">
        <v>655</v>
      </c>
      <c r="AQ773" s="0" t="n">
        <v>9</v>
      </c>
      <c r="AR773" s="0" t="n">
        <v>64</v>
      </c>
      <c r="AS773" s="0" t="n">
        <v>32</v>
      </c>
      <c r="AU773" s="0" t="n">
        <f aca="false">COUNTA($BA$1558:$EH$1558)</f>
        <v>36</v>
      </c>
      <c r="AV773" s="0" t="n">
        <f aca="false">COUNTIF($BA$1558:$EH$1558,"D")</f>
        <v>6</v>
      </c>
      <c r="AW773" s="0" t="n">
        <f aca="false">COUNTIF($BA$1558:$EH$1558,"R")</f>
        <v>0</v>
      </c>
      <c r="AX773" s="0" t="n">
        <f aca="false">IF(BN773="D",1,0)+IF(BO773="D",1,0)+IF(BT773="D",1,0)+IF(BU773="D",1,0)+IF(BW773="D",1,0)+IF(CC773="D",1,0)+IF(CD773="D",1,0)+IF(CE773="D",1,0)+IF(CF773="D",1,0)+IF(CL773="D",1,0)+IF(CM773="D",1,0)+IF(CQ773="D",1,0)+IF(CR773="D",1,0)+IF(CS773="D",1,0)+IF(CW773="D",1,0)+IF(CX773="D",1,0)+IF(DD773="D",1,0)+IF(DE773="D",1,0)+IF(DJ773="D",1,0)+IF(DK773="D",1,0)+IF(DO773="D",1,0)+IF(DP773="D",1,0)+IF(DQ773="D",1,0)+IF(DW773="D",1,0)+IF(DZ773="D",1,0)+IF(EH773="D",1,0)</f>
        <v>0</v>
      </c>
      <c r="AY773" s="0" t="n">
        <f aca="false">COUNTIF(DU773:EH773, "&lt;&gt;")</f>
        <v>0</v>
      </c>
      <c r="AZ773" s="0" t="n">
        <f aca="false">IF(EH773&lt;&gt;"",1,0)</f>
        <v>0</v>
      </c>
      <c r="BB773" s="0" t="s">
        <v>152</v>
      </c>
    </row>
    <row r="774" customFormat="false" ht="13.8" hidden="true" customHeight="false" outlineLevel="0" collapsed="false">
      <c r="A774" s="0" t="s">
        <v>3913</v>
      </c>
      <c r="B774" s="0" t="n">
        <v>78</v>
      </c>
      <c r="C774" s="0" t="n">
        <v>376478</v>
      </c>
      <c r="D774" s="0" t="s">
        <v>3914</v>
      </c>
      <c r="E774" s="0" t="s">
        <v>785</v>
      </c>
      <c r="F774" s="0" t="str">
        <f aca="false">CONCATENATE(D774," ",LEFT(H774,4),"T=",AU774,"D=",AV774,"R=",AW774,"M=",AX774,"L=",AY774,"B=",AZ774)</f>
        <v>GALGOZY T=43D=11R=0M=0L=0B=0</v>
      </c>
      <c r="G774" s="0" t="s">
        <v>171</v>
      </c>
      <c r="I774" s="0" t="s">
        <v>3915</v>
      </c>
      <c r="J774" s="0" t="s">
        <v>3452</v>
      </c>
      <c r="K774" s="0" t="s">
        <v>143</v>
      </c>
      <c r="M774" s="0" t="s">
        <v>3916</v>
      </c>
      <c r="N774" s="0" t="str">
        <f aca="false">RIGHT(M774,LEN(M774)-FIND(" ",M774))</f>
        <v>HIGH ST NE</v>
      </c>
      <c r="P774" s="0" t="s">
        <v>145</v>
      </c>
      <c r="Q774" s="0" t="s">
        <v>146</v>
      </c>
      <c r="R774" s="0" t="n">
        <v>44481</v>
      </c>
      <c r="AD774" s="0" t="s">
        <v>147</v>
      </c>
      <c r="AE774" s="0" t="s">
        <v>148</v>
      </c>
      <c r="AF774" s="0" t="s">
        <v>149</v>
      </c>
      <c r="AH774" s="0" t="n">
        <v>14</v>
      </c>
      <c r="AI774" s="0" t="n">
        <v>11</v>
      </c>
      <c r="AN774" s="0" t="s">
        <v>145</v>
      </c>
      <c r="AO774" s="0" t="s">
        <v>654</v>
      </c>
      <c r="AP774" s="0" t="s">
        <v>655</v>
      </c>
      <c r="AQ774" s="0" t="n">
        <v>9</v>
      </c>
      <c r="AR774" s="0" t="n">
        <v>64</v>
      </c>
      <c r="AS774" s="0" t="n">
        <v>32</v>
      </c>
      <c r="AU774" s="0" t="n">
        <f aca="false">COUNTA($BA$1284:$EH$1284)</f>
        <v>43</v>
      </c>
      <c r="AV774" s="0" t="n">
        <f aca="false">COUNTIF($BA$1284:$EH$1284,"D")</f>
        <v>11</v>
      </c>
      <c r="AW774" s="0" t="n">
        <f aca="false">COUNTIF($BA$1284:$EH$1284,"R")</f>
        <v>0</v>
      </c>
      <c r="AX774" s="0" t="n">
        <f aca="false">IF(BN774="D",1,0)+IF(BO774="D",1,0)+IF(BT774="D",1,0)+IF(BU774="D",1,0)+IF(BW774="D",1,0)+IF(CC774="D",1,0)+IF(CD774="D",1,0)+IF(CE774="D",1,0)+IF(CF774="D",1,0)+IF(CL774="D",1,0)+IF(CM774="D",1,0)+IF(CQ774="D",1,0)+IF(CR774="D",1,0)+IF(CS774="D",1,0)+IF(CW774="D",1,0)+IF(CX774="D",1,0)+IF(DD774="D",1,0)+IF(DE774="D",1,0)+IF(DJ774="D",1,0)+IF(DK774="D",1,0)+IF(DO774="D",1,0)+IF(DP774="D",1,0)+IF(DQ774="D",1,0)+IF(DW774="D",1,0)+IF(DZ774="D",1,0)+IF(EH774="D",1,0)</f>
        <v>0</v>
      </c>
      <c r="AY774" s="0" t="n">
        <f aca="false">COUNTIF(DU774:EH774, "&lt;&gt;")</f>
        <v>0</v>
      </c>
      <c r="AZ774" s="0" t="n">
        <f aca="false">IF(EH774&lt;&gt;"",1,0)</f>
        <v>0</v>
      </c>
      <c r="BB774" s="0" t="s">
        <v>152</v>
      </c>
      <c r="CK774" s="0" t="s">
        <v>153</v>
      </c>
      <c r="CN774" s="0" t="s">
        <v>153</v>
      </c>
    </row>
    <row r="775" customFormat="false" ht="13.8" hidden="false" customHeight="false" outlineLevel="0" collapsed="false">
      <c r="A775" s="0" t="s">
        <v>3917</v>
      </c>
      <c r="B775" s="0" t="n">
        <v>78</v>
      </c>
      <c r="C775" s="0" t="n">
        <v>317063</v>
      </c>
      <c r="D775" s="0" t="s">
        <v>3918</v>
      </c>
      <c r="E775" s="0" t="s">
        <v>736</v>
      </c>
      <c r="F775" s="0" t="str">
        <f aca="false">CONCATENATE(D775," ",LEFT(H775,4),"T=",AU775,"D=",AV775,"R=",AW775,"M=",AX775,"L=",AY775,"B=",AZ775)</f>
        <v>RAMSELL T=47D=13R=0M=1L=4B=0</v>
      </c>
      <c r="G775" s="0" t="s">
        <v>195</v>
      </c>
      <c r="I775" s="0" t="s">
        <v>3919</v>
      </c>
      <c r="J775" s="0" t="s">
        <v>3920</v>
      </c>
      <c r="K775" s="0" t="s">
        <v>160</v>
      </c>
      <c r="L775" s="0" t="s">
        <v>175</v>
      </c>
      <c r="M775" s="0" t="s">
        <v>3916</v>
      </c>
      <c r="N775" s="0" t="str">
        <f aca="false">RIGHT(M775,LEN(M775)-FIND(" ",M775))</f>
        <v>HIGH ST NE</v>
      </c>
      <c r="O775" s="0" t="s">
        <v>2211</v>
      </c>
      <c r="P775" s="0" t="s">
        <v>145</v>
      </c>
      <c r="Q775" s="0" t="s">
        <v>146</v>
      </c>
      <c r="R775" s="0" t="n">
        <v>44481</v>
      </c>
      <c r="AD775" s="0" t="s">
        <v>147</v>
      </c>
      <c r="AE775" s="0" t="s">
        <v>148</v>
      </c>
      <c r="AF775" s="0" t="s">
        <v>149</v>
      </c>
      <c r="AH775" s="0" t="n">
        <v>14</v>
      </c>
      <c r="AI775" s="0" t="n">
        <v>11</v>
      </c>
      <c r="AN775" s="0" t="s">
        <v>145</v>
      </c>
      <c r="AO775" s="0" t="s">
        <v>654</v>
      </c>
      <c r="AP775" s="0" t="s">
        <v>655</v>
      </c>
      <c r="AQ775" s="0" t="n">
        <v>9</v>
      </c>
      <c r="AR775" s="0" t="n">
        <v>64</v>
      </c>
      <c r="AS775" s="0" t="n">
        <v>32</v>
      </c>
      <c r="AU775" s="0" t="n">
        <f aca="false">COUNTA($BA$1521:$EH$1521)</f>
        <v>47</v>
      </c>
      <c r="AV775" s="0" t="n">
        <f aca="false">COUNTIF($BA$1521:$EH$1521,"D")</f>
        <v>13</v>
      </c>
      <c r="AW775" s="0" t="n">
        <f aca="false">COUNTIF($BA$1521:$EH$1521,"R")</f>
        <v>0</v>
      </c>
      <c r="AX775" s="0" t="n">
        <f aca="false">IF(BN775="D",1,0)+IF(BO775="D",1,0)+IF(BT775="D",1,0)+IF(BU775="D",1,0)+IF(BW775="D",1,0)+IF(CC775="D",1,0)+IF(CD775="D",1,0)+IF(CE775="D",1,0)+IF(CF775="D",1,0)+IF(CL775="D",1,0)+IF(CM775="D",1,0)+IF(CQ775="D",1,0)+IF(CR775="D",1,0)+IF(CS775="D",1,0)+IF(CW775="D",1,0)+IF(CX775="D",1,0)+IF(DD775="D",1,0)+IF(DE775="D",1,0)+IF(DJ775="D",1,0)+IF(DK775="D",1,0)+IF(DO775="D",1,0)+IF(DP775="D",1,0)+IF(DQ775="D",1,0)+IF(DW775="D",1,0)+IF(DZ775="D",1,0)+IF(EH775="D",1,0)</f>
        <v>1</v>
      </c>
      <c r="AY775" s="0" t="n">
        <f aca="false">COUNTIF(DU775:EH775, "&lt;&gt;")</f>
        <v>4</v>
      </c>
      <c r="AZ775" s="0" t="n">
        <f aca="false">IF(EH775&lt;&gt;"",1,0)</f>
        <v>0</v>
      </c>
      <c r="BB775" s="0" t="s">
        <v>152</v>
      </c>
      <c r="BJ775" s="0" t="s">
        <v>153</v>
      </c>
      <c r="BL775" s="0" t="s">
        <v>153</v>
      </c>
      <c r="CA775" s="0" t="s">
        <v>153</v>
      </c>
      <c r="CK775" s="0" t="s">
        <v>153</v>
      </c>
      <c r="CP775" s="0" t="s">
        <v>153</v>
      </c>
      <c r="CV775" s="0" t="s">
        <v>153</v>
      </c>
      <c r="DC775" s="0" t="s">
        <v>153</v>
      </c>
      <c r="DN775" s="0" t="s">
        <v>153</v>
      </c>
      <c r="DU775" s="0" t="s">
        <v>153</v>
      </c>
      <c r="DW775" s="0" t="s">
        <v>175</v>
      </c>
      <c r="DX775" s="0" t="s">
        <v>153</v>
      </c>
      <c r="EF775" s="0" t="s">
        <v>153</v>
      </c>
    </row>
    <row r="776" customFormat="false" ht="13.8" hidden="true" customHeight="false" outlineLevel="0" collapsed="false">
      <c r="A776" s="0" t="s">
        <v>3921</v>
      </c>
      <c r="B776" s="0" t="n">
        <v>78</v>
      </c>
      <c r="C776" s="0" t="n">
        <v>289078</v>
      </c>
      <c r="D776" s="0" t="s">
        <v>3922</v>
      </c>
      <c r="E776" s="0" t="s">
        <v>2165</v>
      </c>
      <c r="F776" s="0" t="str">
        <f aca="false">CONCATENATE(D776," ",LEFT(H776,4),"T=",AU776,"D=",AV776,"R=",AW776,"M=",AX776,"L=",AY776,"B=",AZ776)</f>
        <v>DECESARE T=5D=0R=1M=1L=0B=0</v>
      </c>
      <c r="G776" s="0" t="s">
        <v>215</v>
      </c>
      <c r="I776" s="0" t="s">
        <v>3923</v>
      </c>
      <c r="J776" s="0" t="s">
        <v>3924</v>
      </c>
      <c r="K776" s="0" t="s">
        <v>160</v>
      </c>
      <c r="M776" s="0" t="s">
        <v>3916</v>
      </c>
      <c r="N776" s="0" t="str">
        <f aca="false">RIGHT(M776,LEN(M776)-FIND(" ",M776))</f>
        <v>HIGH ST NE</v>
      </c>
      <c r="O776" s="0" t="s">
        <v>1939</v>
      </c>
      <c r="P776" s="0" t="s">
        <v>145</v>
      </c>
      <c r="Q776" s="0" t="s">
        <v>146</v>
      </c>
      <c r="R776" s="0" t="n">
        <v>44481</v>
      </c>
      <c r="AD776" s="0" t="s">
        <v>147</v>
      </c>
      <c r="AE776" s="0" t="s">
        <v>148</v>
      </c>
      <c r="AF776" s="0" t="s">
        <v>149</v>
      </c>
      <c r="AH776" s="0" t="n">
        <v>14</v>
      </c>
      <c r="AI776" s="0" t="n">
        <v>11</v>
      </c>
      <c r="AN776" s="0" t="s">
        <v>145</v>
      </c>
      <c r="AO776" s="0" t="s">
        <v>654</v>
      </c>
      <c r="AP776" s="0" t="s">
        <v>655</v>
      </c>
      <c r="AQ776" s="0" t="n">
        <v>9</v>
      </c>
      <c r="AR776" s="0" t="n">
        <v>64</v>
      </c>
      <c r="AS776" s="0" t="n">
        <v>32</v>
      </c>
      <c r="AU776" s="0" t="n">
        <f aca="false">COUNTA($BA$1659:$EH$1659)</f>
        <v>5</v>
      </c>
      <c r="AV776" s="0" t="n">
        <f aca="false">COUNTIF($BA$1659:$EH$1659,"D")</f>
        <v>0</v>
      </c>
      <c r="AW776" s="0" t="n">
        <f aca="false">COUNTIF($BA$1659:$EH$1659,"R")</f>
        <v>1</v>
      </c>
      <c r="AX776" s="0" t="n">
        <f aca="false">IF(BN776="D",1,0)+IF(BO776="D",1,0)+IF(BT776="D",1,0)+IF(BU776="D",1,0)+IF(BW776="D",1,0)+IF(CC776="D",1,0)+IF(CD776="D",1,0)+IF(CE776="D",1,0)+IF(CF776="D",1,0)+IF(CL776="D",1,0)+IF(CM776="D",1,0)+IF(CQ776="D",1,0)+IF(CR776="D",1,0)+IF(CS776="D",1,0)+IF(CW776="D",1,0)+IF(CX776="D",1,0)+IF(DD776="D",1,0)+IF(DE776="D",1,0)+IF(DJ776="D",1,0)+IF(DK776="D",1,0)+IF(DO776="D",1,0)+IF(DP776="D",1,0)+IF(DQ776="D",1,0)+IF(DW776="D",1,0)+IF(DZ776="D",1,0)+IF(EH776="D",1,0)</f>
        <v>1</v>
      </c>
      <c r="AY776" s="0" t="n">
        <f aca="false">COUNTIF(DU776:EH776, "&lt;&gt;")</f>
        <v>0</v>
      </c>
      <c r="AZ776" s="0" t="n">
        <f aca="false">IF(EH776&lt;&gt;"",1,0)</f>
        <v>0</v>
      </c>
      <c r="BB776" s="0" t="s">
        <v>152</v>
      </c>
      <c r="BH776" s="0" t="s">
        <v>153</v>
      </c>
      <c r="BL776" s="0" t="s">
        <v>153</v>
      </c>
      <c r="CA776" s="0" t="s">
        <v>153</v>
      </c>
      <c r="CN776" s="0" t="s">
        <v>153</v>
      </c>
      <c r="DC776" s="0" t="s">
        <v>153</v>
      </c>
      <c r="DD776" s="0" t="s">
        <v>175</v>
      </c>
    </row>
    <row r="777" customFormat="false" ht="13.8" hidden="true" customHeight="false" outlineLevel="0" collapsed="false">
      <c r="A777" s="0" t="s">
        <v>3925</v>
      </c>
      <c r="B777" s="0" t="n">
        <v>78</v>
      </c>
      <c r="C777" s="0" t="n">
        <v>463619</v>
      </c>
      <c r="D777" s="0" t="s">
        <v>3819</v>
      </c>
      <c r="E777" s="0" t="s">
        <v>224</v>
      </c>
      <c r="F777" s="0" t="str">
        <f aca="false">CONCATENATE(D777," ",LEFT(H777,4),"T=",AU777,"D=",AV777,"R=",AW777,"M=",AX777,"L=",AY777,"B=",AZ777)</f>
        <v>MARTIN T=42D=12R=1M=0L=0B=0</v>
      </c>
      <c r="G777" s="0" t="s">
        <v>685</v>
      </c>
      <c r="I777" s="0" t="s">
        <v>3926</v>
      </c>
      <c r="J777" s="0" t="s">
        <v>3927</v>
      </c>
      <c r="K777" s="0" t="s">
        <v>160</v>
      </c>
      <c r="M777" s="0" t="s">
        <v>3928</v>
      </c>
      <c r="N777" s="0" t="str">
        <f aca="false">RIGHT(M777,LEN(M777)-FIND(" ",M777))</f>
        <v>HIGH ST NE</v>
      </c>
      <c r="O777" s="0" t="s">
        <v>1939</v>
      </c>
      <c r="P777" s="0" t="s">
        <v>145</v>
      </c>
      <c r="Q777" s="0" t="s">
        <v>146</v>
      </c>
      <c r="R777" s="0" t="n">
        <v>44481</v>
      </c>
      <c r="AD777" s="0" t="s">
        <v>147</v>
      </c>
      <c r="AE777" s="0" t="s">
        <v>148</v>
      </c>
      <c r="AF777" s="0" t="s">
        <v>149</v>
      </c>
      <c r="AH777" s="0" t="n">
        <v>14</v>
      </c>
      <c r="AI777" s="0" t="n">
        <v>11</v>
      </c>
      <c r="AN777" s="0" t="s">
        <v>145</v>
      </c>
      <c r="AO777" s="0" t="s">
        <v>654</v>
      </c>
      <c r="AP777" s="0" t="s">
        <v>655</v>
      </c>
      <c r="AQ777" s="0" t="n">
        <v>9</v>
      </c>
      <c r="AR777" s="0" t="n">
        <v>64</v>
      </c>
      <c r="AS777" s="0" t="n">
        <v>32</v>
      </c>
      <c r="AU777" s="0" t="n">
        <f aca="false">COUNTA($BA$1893:$EH$1893)</f>
        <v>42</v>
      </c>
      <c r="AV777" s="0" t="n">
        <f aca="false">COUNTIF($BA$1893:$EH$1893,"D")</f>
        <v>12</v>
      </c>
      <c r="AW777" s="0" t="n">
        <f aca="false">COUNTIF($BA$1893:$EH$1893,"R")</f>
        <v>1</v>
      </c>
      <c r="AX777" s="0" t="n">
        <f aca="false">IF(BN777="D",1,0)+IF(BO777="D",1,0)+IF(BT777="D",1,0)+IF(BU777="D",1,0)+IF(BW777="D",1,0)+IF(CC777="D",1,0)+IF(CD777="D",1,0)+IF(CE777="D",1,0)+IF(CF777="D",1,0)+IF(CL777="D",1,0)+IF(CM777="D",1,0)+IF(CQ777="D",1,0)+IF(CR777="D",1,0)+IF(CS777="D",1,0)+IF(CW777="D",1,0)+IF(CX777="D",1,0)+IF(DD777="D",1,0)+IF(DE777="D",1,0)+IF(DJ777="D",1,0)+IF(DK777="D",1,0)+IF(DO777="D",1,0)+IF(DP777="D",1,0)+IF(DQ777="D",1,0)+IF(DW777="D",1,0)+IF(DZ777="D",1,0)+IF(EH777="D",1,0)</f>
        <v>0</v>
      </c>
      <c r="AY777" s="0" t="n">
        <f aca="false">COUNTIF(DU777:EH777, "&lt;&gt;")</f>
        <v>0</v>
      </c>
      <c r="AZ777" s="0" t="n">
        <f aca="false">IF(EH777&lt;&gt;"",1,0)</f>
        <v>0</v>
      </c>
      <c r="BB777" s="0" t="s">
        <v>152</v>
      </c>
    </row>
    <row r="778" customFormat="false" ht="13.8" hidden="true" customHeight="false" outlineLevel="0" collapsed="false">
      <c r="A778" s="0" t="s">
        <v>3929</v>
      </c>
      <c r="B778" s="0" t="n">
        <v>78</v>
      </c>
      <c r="C778" s="0" t="n">
        <v>428578</v>
      </c>
      <c r="D778" s="0" t="s">
        <v>3930</v>
      </c>
      <c r="E778" s="0" t="s">
        <v>1243</v>
      </c>
      <c r="F778" s="0" t="str">
        <f aca="false">CONCATENATE(D778," ",LEFT(H778,4),"T=",AU778,"D=",AV778,"R=",AW778,"M=",AX778,"L=",AY778,"B=",AZ778)</f>
        <v>MAHAN T=2D=0R=0M=0L=1B=0</v>
      </c>
      <c r="G778" s="0" t="s">
        <v>379</v>
      </c>
      <c r="I778" s="0" t="s">
        <v>3931</v>
      </c>
      <c r="J778" s="0" t="s">
        <v>3932</v>
      </c>
      <c r="K778" s="0" t="s">
        <v>160</v>
      </c>
      <c r="M778" s="0" t="s">
        <v>3933</v>
      </c>
      <c r="N778" s="0" t="str">
        <f aca="false">RIGHT(M778,LEN(M778)-FIND(" ",M778))</f>
        <v>HIGH ST NE</v>
      </c>
      <c r="P778" s="0" t="s">
        <v>145</v>
      </c>
      <c r="Q778" s="0" t="s">
        <v>146</v>
      </c>
      <c r="R778" s="0" t="n">
        <v>44481</v>
      </c>
      <c r="AD778" s="0" t="s">
        <v>147</v>
      </c>
      <c r="AE778" s="0" t="s">
        <v>148</v>
      </c>
      <c r="AF778" s="0" t="s">
        <v>149</v>
      </c>
      <c r="AH778" s="0" t="n">
        <v>14</v>
      </c>
      <c r="AI778" s="0" t="n">
        <v>11</v>
      </c>
      <c r="AN778" s="0" t="s">
        <v>145</v>
      </c>
      <c r="AO778" s="0" t="s">
        <v>654</v>
      </c>
      <c r="AP778" s="0" t="s">
        <v>655</v>
      </c>
      <c r="AQ778" s="0" t="n">
        <v>9</v>
      </c>
      <c r="AR778" s="0" t="n">
        <v>64</v>
      </c>
      <c r="AS778" s="0" t="n">
        <v>32</v>
      </c>
      <c r="AU778" s="0" t="n">
        <f aca="false">COUNTA($BA$1723:$EH$1723)</f>
        <v>2</v>
      </c>
      <c r="AV778" s="0" t="n">
        <f aca="false">COUNTIF($BA$1723:$EH$1723,"D")</f>
        <v>0</v>
      </c>
      <c r="AW778" s="0" t="n">
        <f aca="false">COUNTIF($BA$1723:$EH$1723,"R")</f>
        <v>0</v>
      </c>
      <c r="AX778" s="0" t="n">
        <f aca="false">IF(BN778="D",1,0)+IF(BO778="D",1,0)+IF(BT778="D",1,0)+IF(BU778="D",1,0)+IF(BW778="D",1,0)+IF(CC778="D",1,0)+IF(CD778="D",1,0)+IF(CE778="D",1,0)+IF(CF778="D",1,0)+IF(CL778="D",1,0)+IF(CM778="D",1,0)+IF(CQ778="D",1,0)+IF(CR778="D",1,0)+IF(CS778="D",1,0)+IF(CW778="D",1,0)+IF(CX778="D",1,0)+IF(DD778="D",1,0)+IF(DE778="D",1,0)+IF(DJ778="D",1,0)+IF(DK778="D",1,0)+IF(DO778="D",1,0)+IF(DP778="D",1,0)+IF(DQ778="D",1,0)+IF(DW778="D",1,0)+IF(DZ778="D",1,0)+IF(EH778="D",1,0)</f>
        <v>0</v>
      </c>
      <c r="AY778" s="0" t="n">
        <f aca="false">COUNTIF(DU778:EH778, "&lt;&gt;")</f>
        <v>1</v>
      </c>
      <c r="AZ778" s="0" t="n">
        <f aca="false">IF(EH778&lt;&gt;"",1,0)</f>
        <v>0</v>
      </c>
      <c r="BB778" s="0" t="s">
        <v>152</v>
      </c>
      <c r="DI778" s="0" t="s">
        <v>153</v>
      </c>
      <c r="DN778" s="0" t="s">
        <v>153</v>
      </c>
      <c r="DU778" s="0" t="s">
        <v>153</v>
      </c>
    </row>
    <row r="779" customFormat="false" ht="13.8" hidden="true" customHeight="false" outlineLevel="0" collapsed="false">
      <c r="A779" s="0" t="s">
        <v>3934</v>
      </c>
      <c r="B779" s="0" t="n">
        <v>78</v>
      </c>
      <c r="C779" s="0" t="n">
        <v>429048</v>
      </c>
      <c r="D779" s="0" t="s">
        <v>3935</v>
      </c>
      <c r="E779" s="0" t="s">
        <v>785</v>
      </c>
      <c r="F779" s="0" t="str">
        <f aca="false">CONCATENATE(D779," ",LEFT(H779,4),"T=",AU779,"D=",AV779,"R=",AW779,"M=",AX779,"L=",AY779,"B=",AZ779)</f>
        <v>PETERSON T=13D=0R=0M=0L=0B=0</v>
      </c>
      <c r="G779" s="0" t="s">
        <v>3936</v>
      </c>
      <c r="I779" s="0" t="s">
        <v>3937</v>
      </c>
      <c r="J779" s="0" t="s">
        <v>3938</v>
      </c>
      <c r="K779" s="0" t="s">
        <v>160</v>
      </c>
      <c r="M779" s="0" t="s">
        <v>3933</v>
      </c>
      <c r="N779" s="0" t="str">
        <f aca="false">RIGHT(M779,LEN(M779)-FIND(" ",M779))</f>
        <v>HIGH ST NE</v>
      </c>
      <c r="O779" s="0" t="s">
        <v>1877</v>
      </c>
      <c r="P779" s="0" t="s">
        <v>145</v>
      </c>
      <c r="Q779" s="0" t="s">
        <v>146</v>
      </c>
      <c r="R779" s="0" t="n">
        <v>44481</v>
      </c>
      <c r="AD779" s="0" t="s">
        <v>147</v>
      </c>
      <c r="AE779" s="0" t="s">
        <v>148</v>
      </c>
      <c r="AF779" s="0" t="s">
        <v>149</v>
      </c>
      <c r="AH779" s="0" t="n">
        <v>14</v>
      </c>
      <c r="AI779" s="0" t="n">
        <v>11</v>
      </c>
      <c r="AN779" s="0" t="s">
        <v>145</v>
      </c>
      <c r="AO779" s="0" t="s">
        <v>654</v>
      </c>
      <c r="AP779" s="0" t="s">
        <v>655</v>
      </c>
      <c r="AQ779" s="0" t="n">
        <v>9</v>
      </c>
      <c r="AR779" s="0" t="n">
        <v>64</v>
      </c>
      <c r="AS779" s="0" t="n">
        <v>32</v>
      </c>
      <c r="AU779" s="0" t="n">
        <f aca="false">COUNTA($BA$2022:$EH$2022)</f>
        <v>13</v>
      </c>
      <c r="AV779" s="0" t="n">
        <f aca="false">COUNTIF($BA$2022:$EH$2022,"D")</f>
        <v>0</v>
      </c>
      <c r="AW779" s="0" t="n">
        <f aca="false">COUNTIF($BA$2022:$EH$2022,"R")</f>
        <v>0</v>
      </c>
      <c r="AX779" s="0" t="n">
        <f aca="false">IF(BN779="D",1,0)+IF(BO779="D",1,0)+IF(BT779="D",1,0)+IF(BU779="D",1,0)+IF(BW779="D",1,0)+IF(CC779="D",1,0)+IF(CD779="D",1,0)+IF(CE779="D",1,0)+IF(CF779="D",1,0)+IF(CL779="D",1,0)+IF(CM779="D",1,0)+IF(CQ779="D",1,0)+IF(CR779="D",1,0)+IF(CS779="D",1,0)+IF(CW779="D",1,0)+IF(CX779="D",1,0)+IF(DD779="D",1,0)+IF(DE779="D",1,0)+IF(DJ779="D",1,0)+IF(DK779="D",1,0)+IF(DO779="D",1,0)+IF(DP779="D",1,0)+IF(DQ779="D",1,0)+IF(DW779="D",1,0)+IF(DZ779="D",1,0)+IF(EH779="D",1,0)</f>
        <v>0</v>
      </c>
      <c r="AY779" s="0" t="n">
        <f aca="false">COUNTIF(DU779:EH779, "&lt;&gt;")</f>
        <v>0</v>
      </c>
      <c r="AZ779" s="0" t="n">
        <f aca="false">IF(EH779&lt;&gt;"",1,0)</f>
        <v>0</v>
      </c>
      <c r="BB779" s="0" t="s">
        <v>152</v>
      </c>
      <c r="DI779" s="0" t="s">
        <v>153</v>
      </c>
    </row>
    <row r="780" customFormat="false" ht="13.8" hidden="false" customHeight="false" outlineLevel="0" collapsed="false">
      <c r="A780" s="0" t="s">
        <v>3939</v>
      </c>
      <c r="B780" s="0" t="n">
        <v>78</v>
      </c>
      <c r="C780" s="0" t="n">
        <v>455315</v>
      </c>
      <c r="D780" s="0" t="s">
        <v>3940</v>
      </c>
      <c r="E780" s="0" t="s">
        <v>1031</v>
      </c>
      <c r="F780" s="0" t="str">
        <f aca="false">CONCATENATE(D780," ",LEFT(H780,4),"T=",AU780,"D=",AV780,"R=",AW780,"M=",AX780,"L=",AY780,"B=",AZ780)</f>
        <v>WILSON T=2D=0R=0M=0L=2B=0</v>
      </c>
      <c r="G780" s="0" t="s">
        <v>3941</v>
      </c>
      <c r="I780" s="0" t="s">
        <v>3942</v>
      </c>
      <c r="J780" s="0" t="s">
        <v>159</v>
      </c>
      <c r="K780" s="0" t="s">
        <v>160</v>
      </c>
      <c r="M780" s="0" t="s">
        <v>3943</v>
      </c>
      <c r="N780" s="0" t="str">
        <f aca="false">RIGHT(M780,LEN(M780)-FIND(" ",M780))</f>
        <v>HIGH ST NE</v>
      </c>
      <c r="P780" s="0" t="s">
        <v>145</v>
      </c>
      <c r="Q780" s="0" t="s">
        <v>146</v>
      </c>
      <c r="R780" s="0" t="n">
        <v>44483</v>
      </c>
      <c r="AD780" s="0" t="s">
        <v>147</v>
      </c>
      <c r="AE780" s="0" t="s">
        <v>148</v>
      </c>
      <c r="AF780" s="0" t="s">
        <v>149</v>
      </c>
      <c r="AH780" s="0" t="n">
        <v>14</v>
      </c>
      <c r="AI780" s="0" t="n">
        <v>11</v>
      </c>
      <c r="AN780" s="0" t="s">
        <v>145</v>
      </c>
      <c r="AO780" s="0" t="s">
        <v>654</v>
      </c>
      <c r="AP780" s="0" t="s">
        <v>655</v>
      </c>
      <c r="AQ780" s="0" t="n">
        <v>9</v>
      </c>
      <c r="AR780" s="0" t="n">
        <v>64</v>
      </c>
      <c r="AS780" s="0" t="n">
        <v>32</v>
      </c>
      <c r="AU780" s="0" t="n">
        <f aca="false">COUNTA($BA$1535:$EH$1535)</f>
        <v>2</v>
      </c>
      <c r="AV780" s="0" t="n">
        <f aca="false">COUNTIF($BA$1535:$EH$1535,"D")</f>
        <v>0</v>
      </c>
      <c r="AW780" s="0" t="n">
        <f aca="false">COUNTIF($BA$1535:$EH$1535,"R")</f>
        <v>0</v>
      </c>
      <c r="AX780" s="0" t="n">
        <f aca="false">IF(BN780="D",1,0)+IF(BO780="D",1,0)+IF(BT780="D",1,0)+IF(BU780="D",1,0)+IF(BW780="D",1,0)+IF(CC780="D",1,0)+IF(CD780="D",1,0)+IF(CE780="D",1,0)+IF(CF780="D",1,0)+IF(CL780="D",1,0)+IF(CM780="D",1,0)+IF(CQ780="D",1,0)+IF(CR780="D",1,0)+IF(CS780="D",1,0)+IF(CW780="D",1,0)+IF(CX780="D",1,0)+IF(DD780="D",1,0)+IF(DE780="D",1,0)+IF(DJ780="D",1,0)+IF(DK780="D",1,0)+IF(DO780="D",1,0)+IF(DP780="D",1,0)+IF(DQ780="D",1,0)+IF(DW780="D",1,0)+IF(DZ780="D",1,0)+IF(EH780="D",1,0)</f>
        <v>0</v>
      </c>
      <c r="AY780" s="0" t="n">
        <f aca="false">COUNTIF(DU780:EH780, "&lt;&gt;")</f>
        <v>2</v>
      </c>
      <c r="AZ780" s="0" t="n">
        <f aca="false">IF(EH780&lt;&gt;"",1,0)</f>
        <v>0</v>
      </c>
      <c r="BB780" s="0" t="s">
        <v>152</v>
      </c>
      <c r="BC780" s="0" t="s">
        <v>153</v>
      </c>
      <c r="BD780" s="0" t="s">
        <v>153</v>
      </c>
      <c r="DN780" s="0" t="s">
        <v>153</v>
      </c>
      <c r="EA780" s="0" t="s">
        <v>153</v>
      </c>
      <c r="EF780" s="0" t="s">
        <v>153</v>
      </c>
    </row>
    <row r="781" customFormat="false" ht="13.8" hidden="false" customHeight="false" outlineLevel="0" collapsed="false">
      <c r="A781" s="0" t="s">
        <v>3944</v>
      </c>
      <c r="B781" s="0" t="n">
        <v>78</v>
      </c>
      <c r="C781" s="0" t="n">
        <v>430469</v>
      </c>
      <c r="D781" s="0" t="s">
        <v>3945</v>
      </c>
      <c r="E781" s="0" t="s">
        <v>3620</v>
      </c>
      <c r="F781" s="0" t="str">
        <f aca="false">CONCATENATE(D781," ",LEFT(H781,4),"T=",AU781,"D=",AV781,"R=",AW781,"M=",AX781,"L=",AY781,"B=",AZ781)</f>
        <v>FANNIN T=1D=0R=0M=0L=2B=0</v>
      </c>
      <c r="G781" s="0" t="s">
        <v>164</v>
      </c>
      <c r="I781" s="0" t="s">
        <v>3946</v>
      </c>
      <c r="J781" s="0" t="s">
        <v>1319</v>
      </c>
      <c r="K781" s="0" t="s">
        <v>160</v>
      </c>
      <c r="M781" s="0" t="s">
        <v>3947</v>
      </c>
      <c r="N781" s="0" t="str">
        <f aca="false">RIGHT(M781,LEN(M781)-FIND(" ",M781))</f>
        <v>HIGH ST NE</v>
      </c>
      <c r="P781" s="0" t="s">
        <v>145</v>
      </c>
      <c r="Q781" s="0" t="s">
        <v>146</v>
      </c>
      <c r="R781" s="0" t="n">
        <v>44483</v>
      </c>
      <c r="AD781" s="0" t="s">
        <v>147</v>
      </c>
      <c r="AE781" s="0" t="s">
        <v>148</v>
      </c>
      <c r="AF781" s="0" t="s">
        <v>149</v>
      </c>
      <c r="AH781" s="0" t="n">
        <v>14</v>
      </c>
      <c r="AI781" s="0" t="n">
        <v>11</v>
      </c>
      <c r="AN781" s="0" t="s">
        <v>145</v>
      </c>
      <c r="AO781" s="0" t="s">
        <v>654</v>
      </c>
      <c r="AP781" s="0" t="s">
        <v>655</v>
      </c>
      <c r="AQ781" s="0" t="n">
        <v>9</v>
      </c>
      <c r="AR781" s="0" t="n">
        <v>64</v>
      </c>
      <c r="AS781" s="0" t="n">
        <v>32</v>
      </c>
      <c r="AU781" s="0" t="n">
        <f aca="false">COUNTA($BA$1188:$EH$1188)</f>
        <v>1</v>
      </c>
      <c r="AV781" s="0" t="n">
        <f aca="false">COUNTIF($BA$1188:$EH$1188,"D")</f>
        <v>0</v>
      </c>
      <c r="AW781" s="0" t="n">
        <f aca="false">COUNTIF($BA$1188:$EH$1188,"R")</f>
        <v>0</v>
      </c>
      <c r="AX781" s="0" t="n">
        <f aca="false">IF(BN781="D",1,0)+IF(BO781="D",1,0)+IF(BT781="D",1,0)+IF(BU781="D",1,0)+IF(BW781="D",1,0)+IF(CC781="D",1,0)+IF(CD781="D",1,0)+IF(CE781="D",1,0)+IF(CF781="D",1,0)+IF(CL781="D",1,0)+IF(CM781="D",1,0)+IF(CQ781="D",1,0)+IF(CR781="D",1,0)+IF(CS781="D",1,0)+IF(CW781="D",1,0)+IF(CX781="D",1,0)+IF(DD781="D",1,0)+IF(DE781="D",1,0)+IF(DJ781="D",1,0)+IF(DK781="D",1,0)+IF(DO781="D",1,0)+IF(DP781="D",1,0)+IF(DQ781="D",1,0)+IF(DW781="D",1,0)+IF(DZ781="D",1,0)+IF(EH781="D",1,0)</f>
        <v>0</v>
      </c>
      <c r="AY781" s="0" t="n">
        <f aca="false">COUNTIF(DU781:EH781, "&lt;&gt;")</f>
        <v>2</v>
      </c>
      <c r="AZ781" s="0" t="n">
        <f aca="false">IF(EH781&lt;&gt;"",1,0)</f>
        <v>0</v>
      </c>
      <c r="BB781" s="0" t="s">
        <v>152</v>
      </c>
      <c r="DN781" s="0" t="s">
        <v>153</v>
      </c>
      <c r="EA781" s="0" t="s">
        <v>153</v>
      </c>
      <c r="EF781" s="0" t="s">
        <v>153</v>
      </c>
    </row>
    <row r="782" customFormat="false" ht="13.8" hidden="true" customHeight="false" outlineLevel="0" collapsed="false">
      <c r="A782" s="0" t="s">
        <v>3948</v>
      </c>
      <c r="B782" s="0" t="n">
        <v>78</v>
      </c>
      <c r="C782" s="0" t="n">
        <v>384094</v>
      </c>
      <c r="D782" s="0" t="s">
        <v>3949</v>
      </c>
      <c r="E782" s="0" t="s">
        <v>469</v>
      </c>
      <c r="F782" s="0" t="str">
        <f aca="false">CONCATENATE(D782," ",LEFT(H782,4),"T=",AU782,"D=",AV782,"R=",AW782,"M=",AX782,"L=",AY782,"B=",AZ782)</f>
        <v>SANTIAGO T=1D=0R=0M=0L=0B=0</v>
      </c>
      <c r="I782" s="0" t="s">
        <v>3950</v>
      </c>
      <c r="J782" s="0" t="s">
        <v>3951</v>
      </c>
      <c r="K782" s="0" t="s">
        <v>143</v>
      </c>
      <c r="M782" s="0" t="s">
        <v>3947</v>
      </c>
      <c r="N782" s="0" t="str">
        <f aca="false">RIGHT(M782,LEN(M782)-FIND(" ",M782))</f>
        <v>HIGH ST NE</v>
      </c>
      <c r="P782" s="0" t="s">
        <v>145</v>
      </c>
      <c r="Q782" s="0" t="s">
        <v>146</v>
      </c>
      <c r="R782" s="0" t="n">
        <v>44483</v>
      </c>
      <c r="AD782" s="0" t="s">
        <v>147</v>
      </c>
      <c r="AE782" s="0" t="s">
        <v>148</v>
      </c>
      <c r="AF782" s="0" t="s">
        <v>149</v>
      </c>
      <c r="AH782" s="0" t="n">
        <v>14</v>
      </c>
      <c r="AI782" s="0" t="n">
        <v>11</v>
      </c>
      <c r="AN782" s="0" t="s">
        <v>145</v>
      </c>
      <c r="AO782" s="0" t="s">
        <v>654</v>
      </c>
      <c r="AP782" s="0" t="s">
        <v>655</v>
      </c>
      <c r="AQ782" s="0" t="n">
        <v>9</v>
      </c>
      <c r="AR782" s="0" t="n">
        <v>64</v>
      </c>
      <c r="AS782" s="0" t="n">
        <v>32</v>
      </c>
      <c r="AU782" s="0" t="n">
        <f aca="false">COUNTA($BA$1233:$EH$1233)</f>
        <v>1</v>
      </c>
      <c r="AV782" s="0" t="n">
        <f aca="false">COUNTIF($BA$1233:$EH$1233,"D")</f>
        <v>0</v>
      </c>
      <c r="AW782" s="0" t="n">
        <f aca="false">COUNTIF($BA$1233:$EH$1233,"R")</f>
        <v>0</v>
      </c>
      <c r="AX782" s="0" t="n">
        <f aca="false">IF(BN782="D",1,0)+IF(BO782="D",1,0)+IF(BT782="D",1,0)+IF(BU782="D",1,0)+IF(BW782="D",1,0)+IF(CC782="D",1,0)+IF(CD782="D",1,0)+IF(CE782="D",1,0)+IF(CF782="D",1,0)+IF(CL782="D",1,0)+IF(CM782="D",1,0)+IF(CQ782="D",1,0)+IF(CR782="D",1,0)+IF(CS782="D",1,0)+IF(CW782="D",1,0)+IF(CX782="D",1,0)+IF(DD782="D",1,0)+IF(DE782="D",1,0)+IF(DJ782="D",1,0)+IF(DK782="D",1,0)+IF(DO782="D",1,0)+IF(DP782="D",1,0)+IF(DQ782="D",1,0)+IF(DW782="D",1,0)+IF(DZ782="D",1,0)+IF(EH782="D",1,0)</f>
        <v>0</v>
      </c>
      <c r="AY782" s="0" t="n">
        <f aca="false">COUNTIF(DU782:EH782, "&lt;&gt;")</f>
        <v>0</v>
      </c>
      <c r="AZ782" s="0" t="n">
        <f aca="false">IF(EH782&lt;&gt;"",1,0)</f>
        <v>0</v>
      </c>
      <c r="BB782" s="0" t="s">
        <v>152</v>
      </c>
      <c r="CZ782" s="0" t="s">
        <v>175</v>
      </c>
    </row>
    <row r="783" customFormat="false" ht="13.8" hidden="true" customHeight="false" outlineLevel="0" collapsed="false">
      <c r="A783" s="0" t="s">
        <v>3952</v>
      </c>
      <c r="B783" s="0" t="n">
        <v>78</v>
      </c>
      <c r="C783" s="0" t="n">
        <v>490857</v>
      </c>
      <c r="D783" s="0" t="s">
        <v>3945</v>
      </c>
      <c r="E783" s="0" t="s">
        <v>214</v>
      </c>
      <c r="F783" s="0" t="str">
        <f aca="false">CONCATENATE(D783," ",LEFT(H783,4),"T=",AU783,"D=",AV783,"R=",AW783,"M=",AX783,"L=",AY783,"B=",AZ783)</f>
        <v>FANNIN T=15D=3R=0M=0L=1B=0</v>
      </c>
      <c r="G783" s="0" t="s">
        <v>719</v>
      </c>
      <c r="I783" s="0" t="s">
        <v>3953</v>
      </c>
      <c r="J783" s="0" t="s">
        <v>3214</v>
      </c>
      <c r="K783" s="0" t="s">
        <v>160</v>
      </c>
      <c r="M783" s="0" t="s">
        <v>3947</v>
      </c>
      <c r="N783" s="0" t="str">
        <f aca="false">RIGHT(M783,LEN(M783)-FIND(" ",M783))</f>
        <v>HIGH ST NE</v>
      </c>
      <c r="P783" s="0" t="s">
        <v>145</v>
      </c>
      <c r="Q783" s="0" t="s">
        <v>146</v>
      </c>
      <c r="R783" s="0" t="n">
        <v>44483</v>
      </c>
      <c r="AD783" s="0" t="s">
        <v>147</v>
      </c>
      <c r="AE783" s="0" t="s">
        <v>148</v>
      </c>
      <c r="AF783" s="0" t="s">
        <v>149</v>
      </c>
      <c r="AH783" s="0" t="n">
        <v>14</v>
      </c>
      <c r="AI783" s="0" t="n">
        <v>11</v>
      </c>
      <c r="AN783" s="0" t="s">
        <v>145</v>
      </c>
      <c r="AO783" s="0" t="s">
        <v>654</v>
      </c>
      <c r="AP783" s="0" t="s">
        <v>655</v>
      </c>
      <c r="AQ783" s="0" t="n">
        <v>9</v>
      </c>
      <c r="AR783" s="0" t="n">
        <v>64</v>
      </c>
      <c r="AS783" s="0" t="n">
        <v>32</v>
      </c>
      <c r="AU783" s="0" t="n">
        <f aca="false">COUNTA($BA$1242:$EH$1242)</f>
        <v>15</v>
      </c>
      <c r="AV783" s="0" t="n">
        <f aca="false">COUNTIF($BA$1242:$EH$1242,"D")</f>
        <v>3</v>
      </c>
      <c r="AW783" s="0" t="n">
        <f aca="false">COUNTIF($BA$1242:$EH$1242,"R")</f>
        <v>0</v>
      </c>
      <c r="AX783" s="0" t="n">
        <f aca="false">IF(BN783="D",1,0)+IF(BO783="D",1,0)+IF(BT783="D",1,0)+IF(BU783="D",1,0)+IF(BW783="D",1,0)+IF(CC783="D",1,0)+IF(CD783="D",1,0)+IF(CE783="D",1,0)+IF(CF783="D",1,0)+IF(CL783="D",1,0)+IF(CM783="D",1,0)+IF(CQ783="D",1,0)+IF(CR783="D",1,0)+IF(CS783="D",1,0)+IF(CW783="D",1,0)+IF(CX783="D",1,0)+IF(DD783="D",1,0)+IF(DE783="D",1,0)+IF(DJ783="D",1,0)+IF(DK783="D",1,0)+IF(DO783="D",1,0)+IF(DP783="D",1,0)+IF(DQ783="D",1,0)+IF(DW783="D",1,0)+IF(DZ783="D",1,0)+IF(EH783="D",1,0)</f>
        <v>0</v>
      </c>
      <c r="AY783" s="0" t="n">
        <f aca="false">COUNTIF(DU783:EH783, "&lt;&gt;")</f>
        <v>1</v>
      </c>
      <c r="AZ783" s="0" t="n">
        <f aca="false">IF(EH783&lt;&gt;"",1,0)</f>
        <v>0</v>
      </c>
      <c r="BB783" s="0" t="s">
        <v>152</v>
      </c>
      <c r="EF783" s="0" t="s">
        <v>153</v>
      </c>
    </row>
    <row r="784" customFormat="false" ht="13.8" hidden="true" customHeight="false" outlineLevel="0" collapsed="false">
      <c r="A784" s="0" t="s">
        <v>3954</v>
      </c>
      <c r="B784" s="0" t="n">
        <v>78</v>
      </c>
      <c r="C784" s="0" t="n">
        <v>460401</v>
      </c>
      <c r="D784" s="0" t="s">
        <v>3945</v>
      </c>
      <c r="E784" s="0" t="s">
        <v>3955</v>
      </c>
      <c r="F784" s="0" t="str">
        <f aca="false">CONCATENATE(D784," ",LEFT(H784,4),"T=",AU784,"D=",AV784,"R=",AW784,"M=",AX784,"L=",AY784,"B=",AZ784)</f>
        <v>FANNIN T=1D=0R=0M=0L=1B=0</v>
      </c>
      <c r="G784" s="0" t="s">
        <v>558</v>
      </c>
      <c r="I784" s="0" t="s">
        <v>3956</v>
      </c>
      <c r="J784" s="0" t="s">
        <v>3957</v>
      </c>
      <c r="K784" s="0" t="s">
        <v>160</v>
      </c>
      <c r="M784" s="0" t="s">
        <v>3947</v>
      </c>
      <c r="N784" s="0" t="str">
        <f aca="false">RIGHT(M784,LEN(M784)-FIND(" ",M784))</f>
        <v>HIGH ST NE</v>
      </c>
      <c r="P784" s="0" t="s">
        <v>145</v>
      </c>
      <c r="Q784" s="0" t="s">
        <v>146</v>
      </c>
      <c r="R784" s="0" t="n">
        <v>44483</v>
      </c>
      <c r="AD784" s="0" t="s">
        <v>147</v>
      </c>
      <c r="AE784" s="0" t="s">
        <v>148</v>
      </c>
      <c r="AF784" s="0" t="s">
        <v>149</v>
      </c>
      <c r="AH784" s="0" t="n">
        <v>14</v>
      </c>
      <c r="AI784" s="0" t="n">
        <v>11</v>
      </c>
      <c r="AN784" s="0" t="s">
        <v>145</v>
      </c>
      <c r="AO784" s="0" t="s">
        <v>654</v>
      </c>
      <c r="AP784" s="0" t="s">
        <v>655</v>
      </c>
      <c r="AQ784" s="0" t="n">
        <v>9</v>
      </c>
      <c r="AR784" s="0" t="n">
        <v>64</v>
      </c>
      <c r="AS784" s="0" t="n">
        <v>32</v>
      </c>
      <c r="AU784" s="0" t="n">
        <f aca="false">COUNTA($BA$1248:$EH$1248)</f>
        <v>1</v>
      </c>
      <c r="AV784" s="0" t="n">
        <f aca="false">COUNTIF($BA$1248:$EH$1248,"D")</f>
        <v>0</v>
      </c>
      <c r="AW784" s="0" t="n">
        <f aca="false">COUNTIF($BA$1248:$EH$1248,"R")</f>
        <v>0</v>
      </c>
      <c r="AX784" s="0" t="n">
        <f aca="false">IF(BN784="D",1,0)+IF(BO784="D",1,0)+IF(BT784="D",1,0)+IF(BU784="D",1,0)+IF(BW784="D",1,0)+IF(CC784="D",1,0)+IF(CD784="D",1,0)+IF(CE784="D",1,0)+IF(CF784="D",1,0)+IF(CL784="D",1,0)+IF(CM784="D",1,0)+IF(CQ784="D",1,0)+IF(CR784="D",1,0)+IF(CS784="D",1,0)+IF(CW784="D",1,0)+IF(CX784="D",1,0)+IF(DD784="D",1,0)+IF(DE784="D",1,0)+IF(DJ784="D",1,0)+IF(DK784="D",1,0)+IF(DO784="D",1,0)+IF(DP784="D",1,0)+IF(DQ784="D",1,0)+IF(DW784="D",1,0)+IF(DZ784="D",1,0)+IF(EH784="D",1,0)</f>
        <v>0</v>
      </c>
      <c r="AY784" s="0" t="n">
        <f aca="false">COUNTIF(DU784:EH784, "&lt;&gt;")</f>
        <v>1</v>
      </c>
      <c r="AZ784" s="0" t="n">
        <f aca="false">IF(EH784&lt;&gt;"",1,0)</f>
        <v>0</v>
      </c>
      <c r="BB784" s="0" t="s">
        <v>152</v>
      </c>
      <c r="EF784" s="0" t="s">
        <v>153</v>
      </c>
    </row>
    <row r="785" customFormat="false" ht="13.8" hidden="false" customHeight="false" outlineLevel="0" collapsed="false">
      <c r="A785" s="0" t="s">
        <v>3958</v>
      </c>
      <c r="B785" s="0" t="n">
        <v>78</v>
      </c>
      <c r="C785" s="0" t="n">
        <v>443917</v>
      </c>
      <c r="D785" s="0" t="s">
        <v>3945</v>
      </c>
      <c r="E785" s="0" t="s">
        <v>292</v>
      </c>
      <c r="F785" s="0" t="str">
        <f aca="false">CONCATENATE(D785," ",LEFT(H785,4),"T=",AU785,"D=",AV785,"R=",AW785,"M=",AX785,"L=",AY785,"B=",AZ785)</f>
        <v>FANNIN T=1D=0R=0M=0L=2B=0</v>
      </c>
      <c r="G785" s="0" t="s">
        <v>215</v>
      </c>
      <c r="I785" s="0" t="s">
        <v>3959</v>
      </c>
      <c r="J785" s="0" t="s">
        <v>3960</v>
      </c>
      <c r="K785" s="0" t="s">
        <v>160</v>
      </c>
      <c r="M785" s="0" t="s">
        <v>3947</v>
      </c>
      <c r="N785" s="0" t="str">
        <f aca="false">RIGHT(M785,LEN(M785)-FIND(" ",M785))</f>
        <v>HIGH ST NE</v>
      </c>
      <c r="P785" s="0" t="s">
        <v>145</v>
      </c>
      <c r="Q785" s="0" t="s">
        <v>146</v>
      </c>
      <c r="R785" s="0" t="n">
        <v>44483</v>
      </c>
      <c r="AD785" s="0" t="s">
        <v>147</v>
      </c>
      <c r="AE785" s="0" t="s">
        <v>148</v>
      </c>
      <c r="AF785" s="0" t="s">
        <v>149</v>
      </c>
      <c r="AH785" s="0" t="n">
        <v>14</v>
      </c>
      <c r="AI785" s="0" t="n">
        <v>11</v>
      </c>
      <c r="AN785" s="0" t="s">
        <v>145</v>
      </c>
      <c r="AO785" s="0" t="s">
        <v>654</v>
      </c>
      <c r="AP785" s="0" t="s">
        <v>655</v>
      </c>
      <c r="AQ785" s="0" t="n">
        <v>9</v>
      </c>
      <c r="AR785" s="0" t="n">
        <v>64</v>
      </c>
      <c r="AS785" s="0" t="n">
        <v>32</v>
      </c>
      <c r="AU785" s="0" t="n">
        <f aca="false">COUNTA($BA$1767:$EH$1767)</f>
        <v>1</v>
      </c>
      <c r="AV785" s="0" t="n">
        <f aca="false">COUNTIF($BA$1767:$EH$1767,"D")</f>
        <v>0</v>
      </c>
      <c r="AW785" s="0" t="n">
        <f aca="false">COUNTIF($BA$1767:$EH$1767,"R")</f>
        <v>0</v>
      </c>
      <c r="AX785" s="0" t="n">
        <f aca="false">IF(BN785="D",1,0)+IF(BO785="D",1,0)+IF(BT785="D",1,0)+IF(BU785="D",1,0)+IF(BW785="D",1,0)+IF(CC785="D",1,0)+IF(CD785="D",1,0)+IF(CE785="D",1,0)+IF(CF785="D",1,0)+IF(CL785="D",1,0)+IF(CM785="D",1,0)+IF(CQ785="D",1,0)+IF(CR785="D",1,0)+IF(CS785="D",1,0)+IF(CW785="D",1,0)+IF(CX785="D",1,0)+IF(DD785="D",1,0)+IF(DE785="D",1,0)+IF(DJ785="D",1,0)+IF(DK785="D",1,0)+IF(DO785="D",1,0)+IF(DP785="D",1,0)+IF(DQ785="D",1,0)+IF(DW785="D",1,0)+IF(DZ785="D",1,0)+IF(EH785="D",1,0)</f>
        <v>0</v>
      </c>
      <c r="AY785" s="0" t="n">
        <f aca="false">COUNTIF(DU785:EH785, "&lt;&gt;")</f>
        <v>2</v>
      </c>
      <c r="AZ785" s="0" t="n">
        <f aca="false">IF(EH785&lt;&gt;"",1,0)</f>
        <v>0</v>
      </c>
      <c r="BB785" s="0" t="s">
        <v>152</v>
      </c>
      <c r="DN785" s="0" t="s">
        <v>153</v>
      </c>
      <c r="EA785" s="0" t="s">
        <v>153</v>
      </c>
      <c r="EF785" s="0" t="s">
        <v>153</v>
      </c>
    </row>
    <row r="786" customFormat="false" ht="13.8" hidden="true" customHeight="false" outlineLevel="0" collapsed="false">
      <c r="A786" s="0" t="s">
        <v>3961</v>
      </c>
      <c r="B786" s="0" t="n">
        <v>78</v>
      </c>
      <c r="C786" s="0" t="n">
        <v>420936</v>
      </c>
      <c r="D786" s="0" t="s">
        <v>3962</v>
      </c>
      <c r="E786" s="0" t="s">
        <v>517</v>
      </c>
      <c r="F786" s="0" t="str">
        <f aca="false">CONCATENATE(D786," ",LEFT(H786,4),"T=",AU786,"D=",AV786,"R=",AW786,"M=",AX786,"L=",AY786,"B=",AZ786)</f>
        <v>MOSHER T=30D=3R=0M=0L=0B=0</v>
      </c>
      <c r="G786" s="0" t="s">
        <v>3963</v>
      </c>
      <c r="I786" s="0" t="s">
        <v>3964</v>
      </c>
      <c r="J786" s="0" t="s">
        <v>3965</v>
      </c>
      <c r="K786" s="0" t="s">
        <v>160</v>
      </c>
      <c r="M786" s="0" t="s">
        <v>3966</v>
      </c>
      <c r="N786" s="0" t="str">
        <f aca="false">RIGHT(M786,LEN(M786)-FIND(" ",M786))</f>
        <v>HIGH ST NE</v>
      </c>
      <c r="P786" s="0" t="s">
        <v>145</v>
      </c>
      <c r="Q786" s="0" t="s">
        <v>146</v>
      </c>
      <c r="R786" s="0" t="n">
        <v>44483</v>
      </c>
      <c r="AD786" s="0" t="s">
        <v>147</v>
      </c>
      <c r="AE786" s="0" t="s">
        <v>148</v>
      </c>
      <c r="AF786" s="0" t="s">
        <v>149</v>
      </c>
      <c r="AH786" s="0" t="n">
        <v>14</v>
      </c>
      <c r="AI786" s="0" t="n">
        <v>11</v>
      </c>
      <c r="AN786" s="0" t="s">
        <v>145</v>
      </c>
      <c r="AO786" s="0" t="s">
        <v>654</v>
      </c>
      <c r="AP786" s="0" t="s">
        <v>655</v>
      </c>
      <c r="AQ786" s="0" t="n">
        <v>9</v>
      </c>
      <c r="AR786" s="0" t="n">
        <v>64</v>
      </c>
      <c r="AS786" s="0" t="n">
        <v>32</v>
      </c>
      <c r="AU786" s="0" t="n">
        <f aca="false">COUNTA($BA$1164:$EH$1164)</f>
        <v>30</v>
      </c>
      <c r="AV786" s="0" t="n">
        <f aca="false">COUNTIF($BA$1164:$EH$1164,"D")</f>
        <v>3</v>
      </c>
      <c r="AW786" s="0" t="n">
        <f aca="false">COUNTIF($BA$1164:$EH$1164,"R")</f>
        <v>0</v>
      </c>
      <c r="AX786" s="0" t="n">
        <f aca="false">IF(BN786="D",1,0)+IF(BO786="D",1,0)+IF(BT786="D",1,0)+IF(BU786="D",1,0)+IF(BW786="D",1,0)+IF(CC786="D",1,0)+IF(CD786="D",1,0)+IF(CE786="D",1,0)+IF(CF786="D",1,0)+IF(CL786="D",1,0)+IF(CM786="D",1,0)+IF(CQ786="D",1,0)+IF(CR786="D",1,0)+IF(CS786="D",1,0)+IF(CW786="D",1,0)+IF(CX786="D",1,0)+IF(DD786="D",1,0)+IF(DE786="D",1,0)+IF(DJ786="D",1,0)+IF(DK786="D",1,0)+IF(DO786="D",1,0)+IF(DP786="D",1,0)+IF(DQ786="D",1,0)+IF(DW786="D",1,0)+IF(DZ786="D",1,0)+IF(EH786="D",1,0)</f>
        <v>0</v>
      </c>
      <c r="AY786" s="0" t="n">
        <f aca="false">COUNTIF(DU786:EH786, "&lt;&gt;")</f>
        <v>0</v>
      </c>
      <c r="AZ786" s="0" t="n">
        <f aca="false">IF(EH786&lt;&gt;"",1,0)</f>
        <v>0</v>
      </c>
      <c r="BB786" s="0" t="s">
        <v>152</v>
      </c>
    </row>
    <row r="787" customFormat="false" ht="13.8" hidden="true" customHeight="false" outlineLevel="0" collapsed="false">
      <c r="A787" s="0" t="s">
        <v>3967</v>
      </c>
      <c r="B787" s="0" t="n">
        <v>78</v>
      </c>
      <c r="C787" s="0" t="n">
        <v>309205</v>
      </c>
      <c r="D787" s="0" t="s">
        <v>3968</v>
      </c>
      <c r="E787" s="0" t="s">
        <v>3969</v>
      </c>
      <c r="F787" s="0" t="str">
        <f aca="false">CONCATENATE(D787," ",LEFT(H787,4),"T=",AU787,"D=",AV787,"R=",AW787,"M=",AX787,"L=",AY787,"B=",AZ787)</f>
        <v>COLAPIETRO T=6D=1R=0M=0L=1B=0</v>
      </c>
      <c r="G787" s="0" t="s">
        <v>3970</v>
      </c>
      <c r="I787" s="0" t="s">
        <v>3971</v>
      </c>
      <c r="J787" s="0" t="s">
        <v>3972</v>
      </c>
      <c r="K787" s="0" t="s">
        <v>160</v>
      </c>
      <c r="L787" s="0" t="s">
        <v>175</v>
      </c>
      <c r="M787" s="0" t="s">
        <v>3973</v>
      </c>
      <c r="N787" s="0" t="str">
        <f aca="false">RIGHT(M787,LEN(M787)-FIND(" ",M787))</f>
        <v>HIGH ST NE</v>
      </c>
      <c r="P787" s="0" t="s">
        <v>145</v>
      </c>
      <c r="Q787" s="0" t="s">
        <v>146</v>
      </c>
      <c r="R787" s="0" t="n">
        <v>44483</v>
      </c>
      <c r="AD787" s="0" t="s">
        <v>147</v>
      </c>
      <c r="AE787" s="0" t="s">
        <v>148</v>
      </c>
      <c r="AF787" s="0" t="s">
        <v>149</v>
      </c>
      <c r="AH787" s="0" t="n">
        <v>14</v>
      </c>
      <c r="AI787" s="0" t="n">
        <v>11</v>
      </c>
      <c r="AN787" s="0" t="s">
        <v>145</v>
      </c>
      <c r="AO787" s="0" t="s">
        <v>654</v>
      </c>
      <c r="AP787" s="0" t="s">
        <v>655</v>
      </c>
      <c r="AQ787" s="0" t="n">
        <v>9</v>
      </c>
      <c r="AR787" s="0" t="n">
        <v>64</v>
      </c>
      <c r="AS787" s="0" t="n">
        <v>32</v>
      </c>
      <c r="AU787" s="0" t="n">
        <f aca="false">COUNTA($BA$1518:$EH$1518)</f>
        <v>6</v>
      </c>
      <c r="AV787" s="0" t="n">
        <f aca="false">COUNTIF($BA$1518:$EH$1518,"D")</f>
        <v>1</v>
      </c>
      <c r="AW787" s="0" t="n">
        <f aca="false">COUNTIF($BA$1518:$EH$1518,"R")</f>
        <v>0</v>
      </c>
      <c r="AX787" s="0" t="n">
        <f aca="false">IF(BN787="D",1,0)+IF(BO787="D",1,0)+IF(BT787="D",1,0)+IF(BU787="D",1,0)+IF(BW787="D",1,0)+IF(CC787="D",1,0)+IF(CD787="D",1,0)+IF(CE787="D",1,0)+IF(CF787="D",1,0)+IF(CL787="D",1,0)+IF(CM787="D",1,0)+IF(CQ787="D",1,0)+IF(CR787="D",1,0)+IF(CS787="D",1,0)+IF(CW787="D",1,0)+IF(CX787="D",1,0)+IF(DD787="D",1,0)+IF(DE787="D",1,0)+IF(DJ787="D",1,0)+IF(DK787="D",1,0)+IF(DO787="D",1,0)+IF(DP787="D",1,0)+IF(DQ787="D",1,0)+IF(DW787="D",1,0)+IF(DZ787="D",1,0)+IF(EH787="D",1,0)</f>
        <v>0</v>
      </c>
      <c r="AY787" s="0" t="n">
        <f aca="false">COUNTIF(DU787:EH787, "&lt;&gt;")</f>
        <v>1</v>
      </c>
      <c r="AZ787" s="0" t="n">
        <f aca="false">IF(EH787&lt;&gt;"",1,0)</f>
        <v>0</v>
      </c>
      <c r="BB787" s="0" t="s">
        <v>152</v>
      </c>
      <c r="BK787" s="0" t="s">
        <v>153</v>
      </c>
      <c r="BL787" s="0" t="s">
        <v>153</v>
      </c>
      <c r="CA787" s="0" t="s">
        <v>153</v>
      </c>
      <c r="CP787" s="0" t="s">
        <v>153</v>
      </c>
      <c r="DC787" s="0" t="s">
        <v>153</v>
      </c>
      <c r="DS787" s="0" t="s">
        <v>175</v>
      </c>
      <c r="EF787" s="0" t="s">
        <v>153</v>
      </c>
    </row>
    <row r="788" customFormat="false" ht="13.8" hidden="true" customHeight="false" outlineLevel="0" collapsed="false">
      <c r="A788" s="0" t="s">
        <v>3974</v>
      </c>
      <c r="B788" s="0" t="n">
        <v>78</v>
      </c>
      <c r="C788" s="0" t="n">
        <v>468232</v>
      </c>
      <c r="D788" s="0" t="s">
        <v>3975</v>
      </c>
      <c r="E788" s="0" t="s">
        <v>1451</v>
      </c>
      <c r="F788" s="0" t="str">
        <f aca="false">CONCATENATE(D788," ",LEFT(H788,4),"T=",AU788,"D=",AV788,"R=",AW788,"M=",AX788,"L=",AY788,"B=",AZ788)</f>
        <v>COPELAND JRT=12D=1R=0M=0L=1B=0</v>
      </c>
      <c r="G788" s="0" t="s">
        <v>190</v>
      </c>
      <c r="H788" s="0" t="s">
        <v>314</v>
      </c>
      <c r="I788" s="0" t="s">
        <v>3976</v>
      </c>
      <c r="J788" s="0" t="s">
        <v>3977</v>
      </c>
      <c r="K788" s="0" t="s">
        <v>160</v>
      </c>
      <c r="M788" s="0" t="s">
        <v>3973</v>
      </c>
      <c r="N788" s="0" t="str">
        <f aca="false">RIGHT(M788,LEN(M788)-FIND(" ",M788))</f>
        <v>HIGH ST NE</v>
      </c>
      <c r="P788" s="0" t="s">
        <v>145</v>
      </c>
      <c r="Q788" s="0" t="s">
        <v>146</v>
      </c>
      <c r="R788" s="0" t="n">
        <v>44483</v>
      </c>
      <c r="AD788" s="0" t="s">
        <v>147</v>
      </c>
      <c r="AE788" s="0" t="s">
        <v>148</v>
      </c>
      <c r="AF788" s="0" t="s">
        <v>149</v>
      </c>
      <c r="AH788" s="0" t="n">
        <v>14</v>
      </c>
      <c r="AI788" s="0" t="n">
        <v>11</v>
      </c>
      <c r="AN788" s="0" t="s">
        <v>145</v>
      </c>
      <c r="AO788" s="0" t="s">
        <v>654</v>
      </c>
      <c r="AP788" s="0" t="s">
        <v>655</v>
      </c>
      <c r="AQ788" s="0" t="n">
        <v>9</v>
      </c>
      <c r="AR788" s="0" t="n">
        <v>64</v>
      </c>
      <c r="AS788" s="0" t="n">
        <v>32</v>
      </c>
      <c r="AU788" s="0" t="n">
        <f aca="false">COUNTA($BA$1742:$EH$1742)</f>
        <v>12</v>
      </c>
      <c r="AV788" s="0" t="n">
        <f aca="false">COUNTIF($BA$1742:$EH$1742,"D")</f>
        <v>1</v>
      </c>
      <c r="AW788" s="0" t="n">
        <f aca="false">COUNTIF($BA$1742:$EH$1742,"R")</f>
        <v>0</v>
      </c>
      <c r="AX788" s="0" t="n">
        <f aca="false">IF(BN788="D",1,0)+IF(BO788="D",1,0)+IF(BT788="D",1,0)+IF(BU788="D",1,0)+IF(BW788="D",1,0)+IF(CC788="D",1,0)+IF(CD788="D",1,0)+IF(CE788="D",1,0)+IF(CF788="D",1,0)+IF(CL788="D",1,0)+IF(CM788="D",1,0)+IF(CQ788="D",1,0)+IF(CR788="D",1,0)+IF(CS788="D",1,0)+IF(CW788="D",1,0)+IF(CX788="D",1,0)+IF(DD788="D",1,0)+IF(DE788="D",1,0)+IF(DJ788="D",1,0)+IF(DK788="D",1,0)+IF(DO788="D",1,0)+IF(DP788="D",1,0)+IF(DQ788="D",1,0)+IF(DW788="D",1,0)+IF(DZ788="D",1,0)+IF(EH788="D",1,0)</f>
        <v>0</v>
      </c>
      <c r="AY788" s="0" t="n">
        <f aca="false">COUNTIF(DU788:EH788, "&lt;&gt;")</f>
        <v>1</v>
      </c>
      <c r="AZ788" s="0" t="n">
        <f aca="false">IF(EH788&lt;&gt;"",1,0)</f>
        <v>0</v>
      </c>
      <c r="BB788" s="0" t="s">
        <v>152</v>
      </c>
      <c r="CA788" s="0" t="s">
        <v>153</v>
      </c>
      <c r="CP788" s="0" t="s">
        <v>153</v>
      </c>
      <c r="EF788" s="0" t="s">
        <v>153</v>
      </c>
    </row>
    <row r="789" customFormat="false" ht="13.8" hidden="false" customHeight="false" outlineLevel="0" collapsed="false">
      <c r="A789" s="0" t="s">
        <v>3978</v>
      </c>
      <c r="B789" s="0" t="n">
        <v>78</v>
      </c>
      <c r="C789" s="0" t="n">
        <v>415758</v>
      </c>
      <c r="D789" s="0" t="s">
        <v>3968</v>
      </c>
      <c r="E789" s="0" t="s">
        <v>1295</v>
      </c>
      <c r="F789" s="0" t="str">
        <f aca="false">CONCATENATE(D789," ",LEFT(H789,4),"T=",AU789,"D=",AV789,"R=",AW789,"M=",AX789,"L=",AY789,"B=",AZ789)</f>
        <v>COLAPIETRO T=11D=1R=0M=0L=2B=0</v>
      </c>
      <c r="G789" s="0" t="s">
        <v>3979</v>
      </c>
      <c r="I789" s="0" t="s">
        <v>3980</v>
      </c>
      <c r="J789" s="0" t="s">
        <v>3981</v>
      </c>
      <c r="K789" s="0" t="s">
        <v>160</v>
      </c>
      <c r="M789" s="0" t="s">
        <v>3973</v>
      </c>
      <c r="N789" s="0" t="str">
        <f aca="false">RIGHT(M789,LEN(M789)-FIND(" ",M789))</f>
        <v>HIGH ST NE</v>
      </c>
      <c r="P789" s="0" t="s">
        <v>145</v>
      </c>
      <c r="Q789" s="0" t="s">
        <v>146</v>
      </c>
      <c r="R789" s="0" t="n">
        <v>44483</v>
      </c>
      <c r="AD789" s="0" t="s">
        <v>147</v>
      </c>
      <c r="AE789" s="0" t="s">
        <v>148</v>
      </c>
      <c r="AF789" s="0" t="s">
        <v>149</v>
      </c>
      <c r="AH789" s="0" t="n">
        <v>14</v>
      </c>
      <c r="AI789" s="0" t="n">
        <v>11</v>
      </c>
      <c r="AN789" s="0" t="s">
        <v>145</v>
      </c>
      <c r="AO789" s="0" t="s">
        <v>654</v>
      </c>
      <c r="AP789" s="0" t="s">
        <v>655</v>
      </c>
      <c r="AQ789" s="0" t="n">
        <v>9</v>
      </c>
      <c r="AR789" s="0" t="n">
        <v>64</v>
      </c>
      <c r="AS789" s="0" t="n">
        <v>32</v>
      </c>
      <c r="AU789" s="0" t="n">
        <f aca="false">COUNTA($BA$1782:$EH$1782)</f>
        <v>11</v>
      </c>
      <c r="AV789" s="0" t="n">
        <f aca="false">COUNTIF($BA$1782:$EH$1782,"D")</f>
        <v>1</v>
      </c>
      <c r="AW789" s="0" t="n">
        <f aca="false">COUNTIF($BA$1782:$EH$1782,"R")</f>
        <v>0</v>
      </c>
      <c r="AX789" s="0" t="n">
        <f aca="false">IF(BN789="D",1,0)+IF(BO789="D",1,0)+IF(BT789="D",1,0)+IF(BU789="D",1,0)+IF(BW789="D",1,0)+IF(CC789="D",1,0)+IF(CD789="D",1,0)+IF(CE789="D",1,0)+IF(CF789="D",1,0)+IF(CL789="D",1,0)+IF(CM789="D",1,0)+IF(CQ789="D",1,0)+IF(CR789="D",1,0)+IF(CS789="D",1,0)+IF(CW789="D",1,0)+IF(CX789="D",1,0)+IF(DD789="D",1,0)+IF(DE789="D",1,0)+IF(DJ789="D",1,0)+IF(DK789="D",1,0)+IF(DO789="D",1,0)+IF(DP789="D",1,0)+IF(DQ789="D",1,0)+IF(DW789="D",1,0)+IF(DZ789="D",1,0)+IF(EH789="D",1,0)</f>
        <v>0</v>
      </c>
      <c r="AY789" s="0" t="n">
        <f aca="false">COUNTIF(DU789:EH789, "&lt;&gt;")</f>
        <v>2</v>
      </c>
      <c r="AZ789" s="0" t="n">
        <f aca="false">IF(EH789&lt;&gt;"",1,0)</f>
        <v>0</v>
      </c>
      <c r="BB789" s="0" t="s">
        <v>152</v>
      </c>
      <c r="DC789" s="0" t="s">
        <v>153</v>
      </c>
      <c r="DU789" s="0" t="s">
        <v>153</v>
      </c>
      <c r="EF789" s="0" t="s">
        <v>153</v>
      </c>
    </row>
    <row r="790" customFormat="false" ht="13.8" hidden="true" customHeight="false" outlineLevel="0" collapsed="false">
      <c r="A790" s="0" t="s">
        <v>3982</v>
      </c>
      <c r="B790" s="0" t="n">
        <v>78</v>
      </c>
      <c r="C790" s="0" t="n">
        <v>406194</v>
      </c>
      <c r="D790" s="0" t="s">
        <v>3983</v>
      </c>
      <c r="E790" s="0" t="s">
        <v>3984</v>
      </c>
      <c r="F790" s="0" t="str">
        <f aca="false">CONCATENATE(D790," ",LEFT(H790,4),"T=",AU790,"D=",AV790,"R=",AW790,"M=",AX790,"L=",AY790,"B=",AZ790)</f>
        <v>DELEO T=1D=0R=0M=0L=0B=0</v>
      </c>
      <c r="G790" s="0" t="s">
        <v>3985</v>
      </c>
      <c r="I790" s="0" t="s">
        <v>3986</v>
      </c>
      <c r="J790" s="0" t="s">
        <v>3987</v>
      </c>
      <c r="K790" s="0" t="s">
        <v>143</v>
      </c>
      <c r="M790" s="0" t="s">
        <v>3988</v>
      </c>
      <c r="N790" s="0" t="str">
        <f aca="false">RIGHT(M790,LEN(M790)-FIND(" ",M790))</f>
        <v>HIGH ST NE</v>
      </c>
      <c r="P790" s="0" t="s">
        <v>145</v>
      </c>
      <c r="Q790" s="0" t="s">
        <v>146</v>
      </c>
      <c r="R790" s="0" t="n">
        <v>44483</v>
      </c>
      <c r="AD790" s="0" t="s">
        <v>147</v>
      </c>
      <c r="AE790" s="0" t="s">
        <v>148</v>
      </c>
      <c r="AF790" s="0" t="s">
        <v>149</v>
      </c>
      <c r="AH790" s="0" t="n">
        <v>14</v>
      </c>
      <c r="AI790" s="0" t="n">
        <v>11</v>
      </c>
      <c r="AN790" s="0" t="s">
        <v>145</v>
      </c>
      <c r="AO790" s="0" t="s">
        <v>654</v>
      </c>
      <c r="AP790" s="0" t="s">
        <v>655</v>
      </c>
      <c r="AQ790" s="0" t="n">
        <v>9</v>
      </c>
      <c r="AR790" s="0" t="n">
        <v>64</v>
      </c>
      <c r="AS790" s="0" t="n">
        <v>32</v>
      </c>
      <c r="AU790" s="0" t="n">
        <f aca="false">COUNTA($BA$1236:$EH$1236)</f>
        <v>1</v>
      </c>
      <c r="AV790" s="0" t="n">
        <f aca="false">COUNTIF($BA$1236:$EH$1236,"D")</f>
        <v>0</v>
      </c>
      <c r="AW790" s="0" t="n">
        <f aca="false">COUNTIF($BA$1236:$EH$1236,"R")</f>
        <v>0</v>
      </c>
      <c r="AX790" s="0" t="n">
        <f aca="false">IF(BN790="D",1,0)+IF(BO790="D",1,0)+IF(BT790="D",1,0)+IF(BU790="D",1,0)+IF(BW790="D",1,0)+IF(CC790="D",1,0)+IF(CD790="D",1,0)+IF(CE790="D",1,0)+IF(CF790="D",1,0)+IF(CL790="D",1,0)+IF(CM790="D",1,0)+IF(CQ790="D",1,0)+IF(CR790="D",1,0)+IF(CS790="D",1,0)+IF(CW790="D",1,0)+IF(CX790="D",1,0)+IF(DD790="D",1,0)+IF(DE790="D",1,0)+IF(DJ790="D",1,0)+IF(DK790="D",1,0)+IF(DO790="D",1,0)+IF(DP790="D",1,0)+IF(DQ790="D",1,0)+IF(DW790="D",1,0)+IF(DZ790="D",1,0)+IF(EH790="D",1,0)</f>
        <v>0</v>
      </c>
      <c r="AY790" s="0" t="n">
        <f aca="false">COUNTIF(DU790:EH790, "&lt;&gt;")</f>
        <v>0</v>
      </c>
      <c r="AZ790" s="0" t="n">
        <f aca="false">IF(EH790&lt;&gt;"",1,0)</f>
        <v>0</v>
      </c>
      <c r="BB790" s="0" t="s">
        <v>152</v>
      </c>
      <c r="CZ790" s="0" t="s">
        <v>175</v>
      </c>
    </row>
    <row r="791" customFormat="false" ht="13.8" hidden="true" customHeight="false" outlineLevel="0" collapsed="false">
      <c r="A791" s="0" t="s">
        <v>3989</v>
      </c>
      <c r="B791" s="0" t="n">
        <v>78</v>
      </c>
      <c r="C791" s="0" t="n">
        <v>463553</v>
      </c>
      <c r="D791" s="0" t="s">
        <v>3485</v>
      </c>
      <c r="E791" s="0" t="s">
        <v>1208</v>
      </c>
      <c r="F791" s="0" t="str">
        <f aca="false">CONCATENATE(D791," ",LEFT(H791,4),"T=",AU791,"D=",AV791,"R=",AW791,"M=",AX791,"L=",AY791,"B=",AZ791)</f>
        <v>RANDALL T=45D=14R=1M=0L=1B=0</v>
      </c>
      <c r="G791" s="0" t="s">
        <v>164</v>
      </c>
      <c r="I791" s="0" t="s">
        <v>3990</v>
      </c>
      <c r="J791" s="0" t="s">
        <v>3991</v>
      </c>
      <c r="K791" s="0" t="s">
        <v>160</v>
      </c>
      <c r="M791" s="0" t="s">
        <v>3988</v>
      </c>
      <c r="N791" s="0" t="str">
        <f aca="false">RIGHT(M791,LEN(M791)-FIND(" ",M791))</f>
        <v>HIGH ST NE</v>
      </c>
      <c r="P791" s="0" t="s">
        <v>145</v>
      </c>
      <c r="Q791" s="0" t="s">
        <v>146</v>
      </c>
      <c r="R791" s="0" t="n">
        <v>44483</v>
      </c>
      <c r="AD791" s="0" t="s">
        <v>147</v>
      </c>
      <c r="AE791" s="0" t="s">
        <v>148</v>
      </c>
      <c r="AF791" s="0" t="s">
        <v>149</v>
      </c>
      <c r="AH791" s="0" t="n">
        <v>14</v>
      </c>
      <c r="AI791" s="0" t="n">
        <v>11</v>
      </c>
      <c r="AN791" s="0" t="s">
        <v>145</v>
      </c>
      <c r="AO791" s="0" t="s">
        <v>654</v>
      </c>
      <c r="AP791" s="0" t="s">
        <v>655</v>
      </c>
      <c r="AQ791" s="0" t="n">
        <v>9</v>
      </c>
      <c r="AR791" s="0" t="n">
        <v>64</v>
      </c>
      <c r="AS791" s="0" t="n">
        <v>32</v>
      </c>
      <c r="AU791" s="0" t="n">
        <f aca="false">COUNTA($BA$1661:$EH$1661)</f>
        <v>45</v>
      </c>
      <c r="AV791" s="0" t="n">
        <f aca="false">COUNTIF($BA$1661:$EH$1661,"D")</f>
        <v>14</v>
      </c>
      <c r="AW791" s="0" t="n">
        <f aca="false">COUNTIF($BA$1661:$EH$1661,"R")</f>
        <v>1</v>
      </c>
      <c r="AX791" s="0" t="n">
        <f aca="false">IF(BN791="D",1,0)+IF(BO791="D",1,0)+IF(BT791="D",1,0)+IF(BU791="D",1,0)+IF(BW791="D",1,0)+IF(CC791="D",1,0)+IF(CD791="D",1,0)+IF(CE791="D",1,0)+IF(CF791="D",1,0)+IF(CL791="D",1,0)+IF(CM791="D",1,0)+IF(CQ791="D",1,0)+IF(CR791="D",1,0)+IF(CS791="D",1,0)+IF(CW791="D",1,0)+IF(CX791="D",1,0)+IF(DD791="D",1,0)+IF(DE791="D",1,0)+IF(DJ791="D",1,0)+IF(DK791="D",1,0)+IF(DO791="D",1,0)+IF(DP791="D",1,0)+IF(DQ791="D",1,0)+IF(DW791="D",1,0)+IF(DZ791="D",1,0)+IF(EH791="D",1,0)</f>
        <v>0</v>
      </c>
      <c r="AY791" s="0" t="n">
        <f aca="false">COUNTIF(DU791:EH791, "&lt;&gt;")</f>
        <v>1</v>
      </c>
      <c r="AZ791" s="0" t="n">
        <f aca="false">IF(EH791&lt;&gt;"",1,0)</f>
        <v>0</v>
      </c>
      <c r="BB791" s="0" t="s">
        <v>152</v>
      </c>
      <c r="DN791" s="0" t="s">
        <v>153</v>
      </c>
      <c r="EF791" s="0" t="s">
        <v>153</v>
      </c>
    </row>
    <row r="792" customFormat="false" ht="13.8" hidden="true" customHeight="false" outlineLevel="0" collapsed="false">
      <c r="A792" s="0" t="s">
        <v>3992</v>
      </c>
      <c r="B792" s="0" t="n">
        <v>78</v>
      </c>
      <c r="C792" s="0" t="n">
        <v>412278</v>
      </c>
      <c r="D792" s="0" t="s">
        <v>3993</v>
      </c>
      <c r="E792" s="0" t="s">
        <v>2029</v>
      </c>
      <c r="F792" s="0" t="str">
        <f aca="false">CONCATENATE(D792," ",LEFT(H792,4),"T=",AU792,"D=",AV792,"R=",AW792,"M=",AX792,"L=",AY792,"B=",AZ792)</f>
        <v>DELLIMUTI T=2D=0R=0M=0L=0B=0</v>
      </c>
      <c r="G792" s="0" t="s">
        <v>202</v>
      </c>
      <c r="I792" s="0" t="s">
        <v>3994</v>
      </c>
      <c r="J792" s="0" t="s">
        <v>3995</v>
      </c>
      <c r="K792" s="0" t="s">
        <v>143</v>
      </c>
      <c r="M792" s="0" t="s">
        <v>3996</v>
      </c>
      <c r="N792" s="0" t="str">
        <f aca="false">RIGHT(M792,LEN(M792)-FIND(" ",M792))</f>
        <v>HIGH ST NE</v>
      </c>
      <c r="P792" s="0" t="s">
        <v>145</v>
      </c>
      <c r="Q792" s="0" t="s">
        <v>146</v>
      </c>
      <c r="R792" s="0" t="n">
        <v>44483</v>
      </c>
      <c r="V792" s="0" t="s">
        <v>3997</v>
      </c>
      <c r="X792" s="0" t="s">
        <v>3998</v>
      </c>
      <c r="Y792" s="0" t="s">
        <v>3999</v>
      </c>
      <c r="Z792" s="0" t="n">
        <v>48310</v>
      </c>
      <c r="AD792" s="0" t="s">
        <v>147</v>
      </c>
      <c r="AE792" s="0" t="s">
        <v>148</v>
      </c>
      <c r="AF792" s="0" t="s">
        <v>149</v>
      </c>
      <c r="AH792" s="0" t="n">
        <v>14</v>
      </c>
      <c r="AI792" s="0" t="n">
        <v>11</v>
      </c>
      <c r="AN792" s="0" t="s">
        <v>145</v>
      </c>
      <c r="AO792" s="0" t="s">
        <v>654</v>
      </c>
      <c r="AP792" s="0" t="s">
        <v>655</v>
      </c>
      <c r="AQ792" s="0" t="n">
        <v>9</v>
      </c>
      <c r="AR792" s="0" t="n">
        <v>64</v>
      </c>
      <c r="AS792" s="0" t="n">
        <v>32</v>
      </c>
      <c r="AU792" s="0" t="n">
        <f aca="false">COUNTA($BA$1818:$EH$1818)</f>
        <v>2</v>
      </c>
      <c r="AV792" s="0" t="n">
        <f aca="false">COUNTIF($BA$1818:$EH$1818,"D")</f>
        <v>0</v>
      </c>
      <c r="AW792" s="0" t="n">
        <f aca="false">COUNTIF($BA$1818:$EH$1818,"R")</f>
        <v>0</v>
      </c>
      <c r="AX792" s="0" t="n">
        <f aca="false">IF(BN792="D",1,0)+IF(BO792="D",1,0)+IF(BT792="D",1,0)+IF(BU792="D",1,0)+IF(BW792="D",1,0)+IF(CC792="D",1,0)+IF(CD792="D",1,0)+IF(CE792="D",1,0)+IF(CF792="D",1,0)+IF(CL792="D",1,0)+IF(CM792="D",1,0)+IF(CQ792="D",1,0)+IF(CR792="D",1,0)+IF(CS792="D",1,0)+IF(CW792="D",1,0)+IF(CX792="D",1,0)+IF(DD792="D",1,0)+IF(DE792="D",1,0)+IF(DJ792="D",1,0)+IF(DK792="D",1,0)+IF(DO792="D",1,0)+IF(DP792="D",1,0)+IF(DQ792="D",1,0)+IF(DW792="D",1,0)+IF(DZ792="D",1,0)+IF(EH792="D",1,0)</f>
        <v>0</v>
      </c>
      <c r="AY792" s="0" t="n">
        <f aca="false">COUNTIF(DU792:EH792, "&lt;&gt;")</f>
        <v>0</v>
      </c>
      <c r="AZ792" s="0" t="n">
        <f aca="false">IF(EH792&lt;&gt;"",1,0)</f>
        <v>0</v>
      </c>
      <c r="BB792" s="0" t="s">
        <v>152</v>
      </c>
    </row>
    <row r="793" customFormat="false" ht="13.8" hidden="true" customHeight="false" outlineLevel="0" collapsed="false">
      <c r="A793" s="0" t="s">
        <v>4000</v>
      </c>
      <c r="B793" s="0" t="n">
        <v>78</v>
      </c>
      <c r="C793" s="0" t="n">
        <v>459501</v>
      </c>
      <c r="D793" s="0" t="s">
        <v>4001</v>
      </c>
      <c r="E793" s="0" t="s">
        <v>4002</v>
      </c>
      <c r="F793" s="0" t="str">
        <f aca="false">CONCATENATE(D793," ",LEFT(H793,4),"T=",AU793,"D=",AV793,"R=",AW793,"M=",AX793,"L=",AY793,"B=",AZ793)</f>
        <v>COLEMAN T=12D=4R=0M=0L=1B=0</v>
      </c>
      <c r="G793" s="0" t="s">
        <v>4003</v>
      </c>
      <c r="I793" s="0" t="s">
        <v>4004</v>
      </c>
      <c r="J793" s="0" t="s">
        <v>4005</v>
      </c>
      <c r="K793" s="0" t="s">
        <v>160</v>
      </c>
      <c r="M793" s="0" t="s">
        <v>4006</v>
      </c>
      <c r="N793" s="0" t="str">
        <f aca="false">RIGHT(M793,LEN(M793)-FIND(" ",M793))</f>
        <v>HIGH ST NE</v>
      </c>
      <c r="P793" s="0" t="s">
        <v>145</v>
      </c>
      <c r="Q793" s="0" t="s">
        <v>146</v>
      </c>
      <c r="R793" s="0" t="n">
        <v>44483</v>
      </c>
      <c r="AD793" s="0" t="s">
        <v>147</v>
      </c>
      <c r="AE793" s="0" t="s">
        <v>148</v>
      </c>
      <c r="AF793" s="0" t="s">
        <v>149</v>
      </c>
      <c r="AH793" s="0" t="n">
        <v>14</v>
      </c>
      <c r="AI793" s="0" t="n">
        <v>11</v>
      </c>
      <c r="AN793" s="0" t="s">
        <v>145</v>
      </c>
      <c r="AO793" s="0" t="s">
        <v>654</v>
      </c>
      <c r="AP793" s="0" t="s">
        <v>655</v>
      </c>
      <c r="AQ793" s="0" t="n">
        <v>9</v>
      </c>
      <c r="AR793" s="0" t="n">
        <v>64</v>
      </c>
      <c r="AS793" s="0" t="n">
        <v>32</v>
      </c>
      <c r="AU793" s="0" t="n">
        <f aca="false">COUNTA($BA$1394:$EH$1394)</f>
        <v>12</v>
      </c>
      <c r="AV793" s="0" t="n">
        <f aca="false">COUNTIF($BA$1394:$EH$1394,"D")</f>
        <v>4</v>
      </c>
      <c r="AW793" s="0" t="n">
        <f aca="false">COUNTIF($BA$1394:$EH$1394,"R")</f>
        <v>0</v>
      </c>
      <c r="AX793" s="0" t="n">
        <f aca="false">IF(BN793="D",1,0)+IF(BO793="D",1,0)+IF(BT793="D",1,0)+IF(BU793="D",1,0)+IF(BW793="D",1,0)+IF(CC793="D",1,0)+IF(CD793="D",1,0)+IF(CE793="D",1,0)+IF(CF793="D",1,0)+IF(CL793="D",1,0)+IF(CM793="D",1,0)+IF(CQ793="D",1,0)+IF(CR793="D",1,0)+IF(CS793="D",1,0)+IF(CW793="D",1,0)+IF(CX793="D",1,0)+IF(DD793="D",1,0)+IF(DE793="D",1,0)+IF(DJ793="D",1,0)+IF(DK793="D",1,0)+IF(DO793="D",1,0)+IF(DP793="D",1,0)+IF(DQ793="D",1,0)+IF(DW793="D",1,0)+IF(DZ793="D",1,0)+IF(EH793="D",1,0)</f>
        <v>0</v>
      </c>
      <c r="AY793" s="0" t="n">
        <f aca="false">COUNTIF(DU793:EH793, "&lt;&gt;")</f>
        <v>1</v>
      </c>
      <c r="AZ793" s="0" t="n">
        <f aca="false">IF(EH793&lt;&gt;"",1,0)</f>
        <v>0</v>
      </c>
      <c r="BB793" s="0" t="s">
        <v>152</v>
      </c>
      <c r="EF793" s="0" t="s">
        <v>153</v>
      </c>
    </row>
    <row r="794" customFormat="false" ht="13.8" hidden="true" customHeight="false" outlineLevel="0" collapsed="false">
      <c r="A794" s="0" t="s">
        <v>4007</v>
      </c>
      <c r="B794" s="0" t="n">
        <v>78</v>
      </c>
      <c r="C794" s="0" t="n">
        <v>486640</v>
      </c>
      <c r="D794" s="0" t="s">
        <v>4008</v>
      </c>
      <c r="E794" s="0" t="s">
        <v>4009</v>
      </c>
      <c r="F794" s="0" t="str">
        <f aca="false">CONCATENATE(D794," ",LEFT(H794,4),"T=",AU794,"D=",AV794,"R=",AW794,"M=",AX794,"L=",AY794,"B=",AZ794)</f>
        <v>ORTIZ T=20D=1R=2M=0L=0B=0</v>
      </c>
      <c r="G794" s="0" t="s">
        <v>4010</v>
      </c>
      <c r="I794" s="0" t="s">
        <v>4011</v>
      </c>
      <c r="J794" s="0" t="s">
        <v>2771</v>
      </c>
      <c r="K794" s="0" t="s">
        <v>160</v>
      </c>
      <c r="M794" s="0" t="s">
        <v>4012</v>
      </c>
      <c r="N794" s="0" t="str">
        <f aca="false">RIGHT(M794,LEN(M794)-FIND(" ",M794))</f>
        <v>HIGH ST NE</v>
      </c>
      <c r="P794" s="0" t="s">
        <v>145</v>
      </c>
      <c r="Q794" s="0" t="s">
        <v>146</v>
      </c>
      <c r="R794" s="0" t="n">
        <v>44483</v>
      </c>
      <c r="AD794" s="0" t="s">
        <v>147</v>
      </c>
      <c r="AE794" s="0" t="s">
        <v>148</v>
      </c>
      <c r="AF794" s="0" t="s">
        <v>149</v>
      </c>
      <c r="AH794" s="0" t="n">
        <v>14</v>
      </c>
      <c r="AI794" s="0" t="n">
        <v>11</v>
      </c>
      <c r="AN794" s="0" t="s">
        <v>145</v>
      </c>
      <c r="AO794" s="0" t="s">
        <v>654</v>
      </c>
      <c r="AP794" s="0" t="s">
        <v>655</v>
      </c>
      <c r="AQ794" s="0" t="n">
        <v>9</v>
      </c>
      <c r="AR794" s="0" t="n">
        <v>64</v>
      </c>
      <c r="AS794" s="0" t="n">
        <v>32</v>
      </c>
      <c r="AU794" s="0" t="n">
        <f aca="false">COUNTA($BA$1366:$EH$1366)</f>
        <v>20</v>
      </c>
      <c r="AV794" s="0" t="n">
        <f aca="false">COUNTIF($BA$1366:$EH$1366,"D")</f>
        <v>1</v>
      </c>
      <c r="AW794" s="0" t="n">
        <f aca="false">COUNTIF($BA$1366:$EH$1366,"R")</f>
        <v>2</v>
      </c>
      <c r="AX794" s="0" t="n">
        <f aca="false">IF(BN794="D",1,0)+IF(BO794="D",1,0)+IF(BT794="D",1,0)+IF(BU794="D",1,0)+IF(BW794="D",1,0)+IF(CC794="D",1,0)+IF(CD794="D",1,0)+IF(CE794="D",1,0)+IF(CF794="D",1,0)+IF(CL794="D",1,0)+IF(CM794="D",1,0)+IF(CQ794="D",1,0)+IF(CR794="D",1,0)+IF(CS794="D",1,0)+IF(CW794="D",1,0)+IF(CX794="D",1,0)+IF(DD794="D",1,0)+IF(DE794="D",1,0)+IF(DJ794="D",1,0)+IF(DK794="D",1,0)+IF(DO794="D",1,0)+IF(DP794="D",1,0)+IF(DQ794="D",1,0)+IF(DW794="D",1,0)+IF(DZ794="D",1,0)+IF(EH794="D",1,0)</f>
        <v>0</v>
      </c>
      <c r="AY794" s="0" t="n">
        <f aca="false">COUNTIF(DU794:EH794, "&lt;&gt;")</f>
        <v>0</v>
      </c>
      <c r="AZ794" s="0" t="n">
        <f aca="false">IF(EH794&lt;&gt;"",1,0)</f>
        <v>0</v>
      </c>
      <c r="BB794" s="0" t="s">
        <v>152</v>
      </c>
    </row>
    <row r="795" customFormat="false" ht="13.8" hidden="true" customHeight="false" outlineLevel="0" collapsed="false">
      <c r="A795" s="0" t="s">
        <v>4013</v>
      </c>
      <c r="B795" s="0" t="n">
        <v>78</v>
      </c>
      <c r="C795" s="0" t="n">
        <v>463168</v>
      </c>
      <c r="D795" s="0" t="s">
        <v>4014</v>
      </c>
      <c r="E795" s="0" t="s">
        <v>4015</v>
      </c>
      <c r="F795" s="0" t="str">
        <f aca="false">CONCATENATE(D795," ",LEFT(H795,4),"T=",AU795,"D=",AV795,"R=",AW795,"M=",AX795,"L=",AY795,"B=",AZ795)</f>
        <v>MEDINA CRUZ T=2D=0R=0M=0L=0B=0</v>
      </c>
      <c r="I795" s="0" t="s">
        <v>4016</v>
      </c>
      <c r="J795" s="0" t="s">
        <v>4017</v>
      </c>
      <c r="K795" s="0" t="s">
        <v>160</v>
      </c>
      <c r="M795" s="0" t="s">
        <v>4012</v>
      </c>
      <c r="N795" s="0" t="str">
        <f aca="false">RIGHT(M795,LEN(M795)-FIND(" ",M795))</f>
        <v>HIGH ST NE</v>
      </c>
      <c r="P795" s="0" t="s">
        <v>145</v>
      </c>
      <c r="Q795" s="0" t="s">
        <v>146</v>
      </c>
      <c r="R795" s="0" t="n">
        <v>44483</v>
      </c>
      <c r="AD795" s="0" t="s">
        <v>147</v>
      </c>
      <c r="AE795" s="0" t="s">
        <v>148</v>
      </c>
      <c r="AF795" s="0" t="s">
        <v>149</v>
      </c>
      <c r="AH795" s="0" t="n">
        <v>14</v>
      </c>
      <c r="AI795" s="0" t="n">
        <v>11</v>
      </c>
      <c r="AN795" s="0" t="s">
        <v>145</v>
      </c>
      <c r="AO795" s="0" t="s">
        <v>654</v>
      </c>
      <c r="AP795" s="0" t="s">
        <v>655</v>
      </c>
      <c r="AQ795" s="0" t="n">
        <v>9</v>
      </c>
      <c r="AR795" s="0" t="n">
        <v>64</v>
      </c>
      <c r="AS795" s="0" t="n">
        <v>32</v>
      </c>
      <c r="AU795" s="0" t="n">
        <f aca="false">COUNTA($BA$1848:$EH$1848)</f>
        <v>2</v>
      </c>
      <c r="AV795" s="0" t="n">
        <f aca="false">COUNTIF($BA$1848:$EH$1848,"D")</f>
        <v>0</v>
      </c>
      <c r="AW795" s="0" t="n">
        <f aca="false">COUNTIF($BA$1848:$EH$1848,"R")</f>
        <v>0</v>
      </c>
      <c r="AX795" s="0" t="n">
        <f aca="false">IF(BN795="D",1,0)+IF(BO795="D",1,0)+IF(BT795="D",1,0)+IF(BU795="D",1,0)+IF(BW795="D",1,0)+IF(CC795="D",1,0)+IF(CD795="D",1,0)+IF(CE795="D",1,0)+IF(CF795="D",1,0)+IF(CL795="D",1,0)+IF(CM795="D",1,0)+IF(CQ795="D",1,0)+IF(CR795="D",1,0)+IF(CS795="D",1,0)+IF(CW795="D",1,0)+IF(CX795="D",1,0)+IF(DD795="D",1,0)+IF(DE795="D",1,0)+IF(DJ795="D",1,0)+IF(DK795="D",1,0)+IF(DO795="D",1,0)+IF(DP795="D",1,0)+IF(DQ795="D",1,0)+IF(DW795="D",1,0)+IF(DZ795="D",1,0)+IF(EH795="D",1,0)</f>
        <v>0</v>
      </c>
      <c r="AY795" s="0" t="n">
        <f aca="false">COUNTIF(DU795:EH795, "&lt;&gt;")</f>
        <v>0</v>
      </c>
      <c r="AZ795" s="0" t="n">
        <f aca="false">IF(EH795&lt;&gt;"",1,0)</f>
        <v>0</v>
      </c>
      <c r="BB795" s="0" t="s">
        <v>152</v>
      </c>
    </row>
    <row r="796" customFormat="false" ht="13.8" hidden="true" customHeight="false" outlineLevel="0" collapsed="false">
      <c r="A796" s="0" t="s">
        <v>4018</v>
      </c>
      <c r="B796" s="0" t="n">
        <v>78</v>
      </c>
      <c r="C796" s="0" t="n">
        <v>400617</v>
      </c>
      <c r="D796" s="0" t="s">
        <v>4019</v>
      </c>
      <c r="E796" s="0" t="s">
        <v>4020</v>
      </c>
      <c r="F796" s="0" t="str">
        <f aca="false">CONCATENATE(D796," ",LEFT(H796,4),"T=",AU796,"D=",AV796,"R=",AW796,"M=",AX796,"L=",AY796,"B=",AZ796)</f>
        <v>PUENTE T=1D=0R=0M=0L=0B=0</v>
      </c>
      <c r="G796" s="0" t="s">
        <v>4021</v>
      </c>
      <c r="I796" s="0" t="s">
        <v>4022</v>
      </c>
      <c r="J796" s="0" t="s">
        <v>693</v>
      </c>
      <c r="K796" s="0" t="s">
        <v>143</v>
      </c>
      <c r="M796" s="0" t="s">
        <v>4023</v>
      </c>
      <c r="N796" s="0" t="str">
        <f aca="false">RIGHT(M796,LEN(M796)-FIND(" ",M796))</f>
        <v>HIGH ST NW</v>
      </c>
      <c r="P796" s="0" t="s">
        <v>145</v>
      </c>
      <c r="Q796" s="0" t="s">
        <v>146</v>
      </c>
      <c r="R796" s="0" t="n">
        <v>44481</v>
      </c>
      <c r="AD796" s="0" t="s">
        <v>147</v>
      </c>
      <c r="AE796" s="0" t="s">
        <v>148</v>
      </c>
      <c r="AF796" s="0" t="s">
        <v>149</v>
      </c>
      <c r="AH796" s="0" t="n">
        <v>14</v>
      </c>
      <c r="AI796" s="0" t="n">
        <v>11</v>
      </c>
      <c r="AN796" s="0" t="s">
        <v>145</v>
      </c>
      <c r="AO796" s="0" t="s">
        <v>654</v>
      </c>
      <c r="AP796" s="0" t="s">
        <v>655</v>
      </c>
      <c r="AQ796" s="0" t="n">
        <v>9</v>
      </c>
      <c r="AR796" s="0" t="n">
        <v>64</v>
      </c>
      <c r="AS796" s="0" t="n">
        <v>32</v>
      </c>
      <c r="AU796" s="0" t="n">
        <f aca="false">COUNTA($BA$1637:$EH$1637)</f>
        <v>1</v>
      </c>
      <c r="AV796" s="0" t="n">
        <f aca="false">COUNTIF($BA$1637:$EH$1637,"D")</f>
        <v>0</v>
      </c>
      <c r="AW796" s="0" t="n">
        <f aca="false">COUNTIF($BA$1637:$EH$1637,"R")</f>
        <v>0</v>
      </c>
      <c r="AX796" s="0" t="n">
        <f aca="false">IF(BN796="D",1,0)+IF(BO796="D",1,0)+IF(BT796="D",1,0)+IF(BU796="D",1,0)+IF(BW796="D",1,0)+IF(CC796="D",1,0)+IF(CD796="D",1,0)+IF(CE796="D",1,0)+IF(CF796="D",1,0)+IF(CL796="D",1,0)+IF(CM796="D",1,0)+IF(CQ796="D",1,0)+IF(CR796="D",1,0)+IF(CS796="D",1,0)+IF(CW796="D",1,0)+IF(CX796="D",1,0)+IF(DD796="D",1,0)+IF(DE796="D",1,0)+IF(DJ796="D",1,0)+IF(DK796="D",1,0)+IF(DO796="D",1,0)+IF(DP796="D",1,0)+IF(DQ796="D",1,0)+IF(DW796="D",1,0)+IF(DZ796="D",1,0)+IF(EH796="D",1,0)</f>
        <v>0</v>
      </c>
      <c r="AY796" s="0" t="n">
        <f aca="false">COUNTIF(DU796:EH796, "&lt;&gt;")</f>
        <v>0</v>
      </c>
      <c r="AZ796" s="0" t="n">
        <f aca="false">IF(EH796&lt;&gt;"",1,0)</f>
        <v>0</v>
      </c>
      <c r="BB796" s="0" t="s">
        <v>152</v>
      </c>
    </row>
    <row r="797" customFormat="false" ht="13.8" hidden="true" customHeight="false" outlineLevel="0" collapsed="false">
      <c r="A797" s="0" t="s">
        <v>4024</v>
      </c>
      <c r="B797" s="0" t="n">
        <v>78</v>
      </c>
      <c r="C797" s="0" t="n">
        <v>394082</v>
      </c>
      <c r="D797" s="0" t="s">
        <v>627</v>
      </c>
      <c r="E797" s="0" t="s">
        <v>2783</v>
      </c>
      <c r="F797" s="0" t="str">
        <f aca="false">CONCATENATE(D797," ",LEFT(H797,4),"T=",AU797,"D=",AV797,"R=",AW797,"M=",AX797,"L=",AY797,"B=",AZ797)</f>
        <v>NELSON T=32D=4R=1M=0L=0B=0</v>
      </c>
      <c r="G797" s="0" t="s">
        <v>195</v>
      </c>
      <c r="I797" s="0" t="s">
        <v>4025</v>
      </c>
      <c r="J797" s="0" t="s">
        <v>4026</v>
      </c>
      <c r="K797" s="0" t="s">
        <v>143</v>
      </c>
      <c r="M797" s="0" t="s">
        <v>4027</v>
      </c>
      <c r="N797" s="0" t="str">
        <f aca="false">RIGHT(M797,LEN(M797)-FIND(" ",M797))</f>
        <v>HIGH ST NW</v>
      </c>
      <c r="O797" s="0" t="s">
        <v>4028</v>
      </c>
      <c r="P797" s="0" t="s">
        <v>145</v>
      </c>
      <c r="Q797" s="0" t="s">
        <v>146</v>
      </c>
      <c r="R797" s="0" t="n">
        <v>44481</v>
      </c>
      <c r="AD797" s="0" t="s">
        <v>147</v>
      </c>
      <c r="AE797" s="0" t="s">
        <v>148</v>
      </c>
      <c r="AF797" s="0" t="s">
        <v>149</v>
      </c>
      <c r="AH797" s="0" t="n">
        <v>14</v>
      </c>
      <c r="AI797" s="0" t="n">
        <v>11</v>
      </c>
      <c r="AN797" s="0" t="s">
        <v>145</v>
      </c>
      <c r="AO797" s="0" t="s">
        <v>654</v>
      </c>
      <c r="AP797" s="0" t="s">
        <v>655</v>
      </c>
      <c r="AQ797" s="0" t="n">
        <v>9</v>
      </c>
      <c r="AR797" s="0" t="n">
        <v>64</v>
      </c>
      <c r="AS797" s="0" t="n">
        <v>32</v>
      </c>
      <c r="AU797" s="0" t="n">
        <f aca="false">COUNTA($BA$1407:$EH$1407)</f>
        <v>32</v>
      </c>
      <c r="AV797" s="0" t="n">
        <f aca="false">COUNTIF($BA$1407:$EH$1407,"D")</f>
        <v>4</v>
      </c>
      <c r="AW797" s="0" t="n">
        <f aca="false">COUNTIF($BA$1407:$EH$1407,"R")</f>
        <v>1</v>
      </c>
      <c r="AX797" s="0" t="n">
        <f aca="false">IF(BN797="D",1,0)+IF(BO797="D",1,0)+IF(BT797="D",1,0)+IF(BU797="D",1,0)+IF(BW797="D",1,0)+IF(CC797="D",1,0)+IF(CD797="D",1,0)+IF(CE797="D",1,0)+IF(CF797="D",1,0)+IF(CL797="D",1,0)+IF(CM797="D",1,0)+IF(CQ797="D",1,0)+IF(CR797="D",1,0)+IF(CS797="D",1,0)+IF(CW797="D",1,0)+IF(CX797="D",1,0)+IF(DD797="D",1,0)+IF(DE797="D",1,0)+IF(DJ797="D",1,0)+IF(DK797="D",1,0)+IF(DO797="D",1,0)+IF(DP797="D",1,0)+IF(DQ797="D",1,0)+IF(DW797="D",1,0)+IF(DZ797="D",1,0)+IF(EH797="D",1,0)</f>
        <v>0</v>
      </c>
      <c r="AY797" s="0" t="n">
        <f aca="false">COUNTIF(DU797:EH797, "&lt;&gt;")</f>
        <v>0</v>
      </c>
      <c r="AZ797" s="0" t="n">
        <f aca="false">IF(EH797&lt;&gt;"",1,0)</f>
        <v>0</v>
      </c>
      <c r="BB797" s="0" t="s">
        <v>152</v>
      </c>
      <c r="DC797" s="0" t="s">
        <v>153</v>
      </c>
    </row>
    <row r="798" customFormat="false" ht="13.8" hidden="true" customHeight="false" outlineLevel="0" collapsed="false">
      <c r="A798" s="0" t="s">
        <v>4029</v>
      </c>
      <c r="B798" s="0" t="n">
        <v>78</v>
      </c>
      <c r="C798" s="0" t="n">
        <v>348490</v>
      </c>
      <c r="D798" s="0" t="s">
        <v>4030</v>
      </c>
      <c r="E798" s="0" t="s">
        <v>3536</v>
      </c>
      <c r="F798" s="0" t="str">
        <f aca="false">CONCATENATE(D798," ",LEFT(H798,4),"T=",AU798,"D=",AV798,"R=",AW798,"M=",AX798,"L=",AY798,"B=",AZ798)</f>
        <v>GORE JRT=4D=0R=0M=2L=0B=0</v>
      </c>
      <c r="G798" s="0" t="s">
        <v>209</v>
      </c>
      <c r="H798" s="0" t="s">
        <v>314</v>
      </c>
      <c r="I798" s="0" t="s">
        <v>4031</v>
      </c>
      <c r="J798" s="0" t="s">
        <v>4032</v>
      </c>
      <c r="K798" s="0" t="s">
        <v>160</v>
      </c>
      <c r="M798" s="0" t="s">
        <v>4027</v>
      </c>
      <c r="N798" s="0" t="str">
        <f aca="false">RIGHT(M798,LEN(M798)-FIND(" ",M798))</f>
        <v>HIGH ST NW</v>
      </c>
      <c r="O798" s="0" t="s">
        <v>4033</v>
      </c>
      <c r="P798" s="0" t="s">
        <v>145</v>
      </c>
      <c r="Q798" s="0" t="s">
        <v>146</v>
      </c>
      <c r="R798" s="0" t="n">
        <v>44481</v>
      </c>
      <c r="AD798" s="0" t="s">
        <v>147</v>
      </c>
      <c r="AE798" s="0" t="s">
        <v>148</v>
      </c>
      <c r="AF798" s="0" t="s">
        <v>149</v>
      </c>
      <c r="AH798" s="0" t="n">
        <v>14</v>
      </c>
      <c r="AI798" s="0" t="n">
        <v>11</v>
      </c>
      <c r="AN798" s="0" t="s">
        <v>145</v>
      </c>
      <c r="AO798" s="0" t="s">
        <v>654</v>
      </c>
      <c r="AP798" s="0" t="s">
        <v>655</v>
      </c>
      <c r="AQ798" s="0" t="n">
        <v>9</v>
      </c>
      <c r="AR798" s="0" t="n">
        <v>64</v>
      </c>
      <c r="AS798" s="0" t="n">
        <v>32</v>
      </c>
      <c r="AU798" s="0" t="n">
        <f aca="false">COUNTA($BA$1425:$EH$1425)</f>
        <v>4</v>
      </c>
      <c r="AV798" s="0" t="n">
        <f aca="false">COUNTIF($BA$1425:$EH$1425,"D")</f>
        <v>0</v>
      </c>
      <c r="AW798" s="0" t="n">
        <f aca="false">COUNTIF($BA$1425:$EH$1425,"R")</f>
        <v>0</v>
      </c>
      <c r="AX798" s="0" t="n">
        <f aca="false">IF(BN798="D",1,0)+IF(BO798="D",1,0)+IF(BT798="D",1,0)+IF(BU798="D",1,0)+IF(BW798="D",1,0)+IF(CC798="D",1,0)+IF(CD798="D",1,0)+IF(CE798="D",1,0)+IF(CF798="D",1,0)+IF(CL798="D",1,0)+IF(CM798="D",1,0)+IF(CQ798="D",1,0)+IF(CR798="D",1,0)+IF(CS798="D",1,0)+IF(CW798="D",1,0)+IF(CX798="D",1,0)+IF(DD798="D",1,0)+IF(DE798="D",1,0)+IF(DJ798="D",1,0)+IF(DK798="D",1,0)+IF(DO798="D",1,0)+IF(DP798="D",1,0)+IF(DQ798="D",1,0)+IF(DW798="D",1,0)+IF(DZ798="D",1,0)+IF(EH798="D",1,0)</f>
        <v>2</v>
      </c>
      <c r="AY798" s="0" t="n">
        <f aca="false">COUNTIF(DU798:EH798, "&lt;&gt;")</f>
        <v>0</v>
      </c>
      <c r="AZ798" s="0" t="n">
        <f aca="false">IF(EH798&lt;&gt;"",1,0)</f>
        <v>0</v>
      </c>
      <c r="BB798" s="0" t="s">
        <v>152</v>
      </c>
      <c r="CT798" s="0" t="s">
        <v>153</v>
      </c>
      <c r="CV798" s="0" t="s">
        <v>153</v>
      </c>
      <c r="CW798" s="0" t="s">
        <v>175</v>
      </c>
      <c r="CY798" s="0" t="s">
        <v>153</v>
      </c>
      <c r="CZ798" s="0" t="s">
        <v>175</v>
      </c>
      <c r="DC798" s="0" t="s">
        <v>153</v>
      </c>
      <c r="DD798" s="0" t="s">
        <v>175</v>
      </c>
      <c r="DR798" s="0" t="s">
        <v>153</v>
      </c>
    </row>
    <row r="799" customFormat="false" ht="13.8" hidden="true" customHeight="false" outlineLevel="0" collapsed="false">
      <c r="A799" s="0" t="s">
        <v>4034</v>
      </c>
      <c r="B799" s="0" t="n">
        <v>78</v>
      </c>
      <c r="C799" s="0" t="n">
        <v>344168</v>
      </c>
      <c r="D799" s="0" t="s">
        <v>761</v>
      </c>
      <c r="E799" s="0" t="s">
        <v>3018</v>
      </c>
      <c r="F799" s="0" t="str">
        <f aca="false">CONCATENATE(D799," ",LEFT(H799,4),"T=",AU799,"D=",AV799,"R=",AW799,"M=",AX799,"L=",AY799,"B=",AZ799)</f>
        <v>BROWN T=1D=0R=0M=0L=0B=0</v>
      </c>
      <c r="G799" s="0" t="s">
        <v>175</v>
      </c>
      <c r="I799" s="0" t="s">
        <v>4035</v>
      </c>
      <c r="J799" s="0" t="s">
        <v>782</v>
      </c>
      <c r="K799" s="0" t="s">
        <v>160</v>
      </c>
      <c r="M799" s="0" t="s">
        <v>4027</v>
      </c>
      <c r="N799" s="0" t="str">
        <f aca="false">RIGHT(M799,LEN(M799)-FIND(" ",M799))</f>
        <v>HIGH ST NW</v>
      </c>
      <c r="O799" s="0" t="s">
        <v>3781</v>
      </c>
      <c r="P799" s="0" t="s">
        <v>145</v>
      </c>
      <c r="Q799" s="0" t="s">
        <v>146</v>
      </c>
      <c r="R799" s="0" t="n">
        <v>44481</v>
      </c>
      <c r="AD799" s="0" t="s">
        <v>147</v>
      </c>
      <c r="AE799" s="0" t="s">
        <v>148</v>
      </c>
      <c r="AF799" s="0" t="s">
        <v>149</v>
      </c>
      <c r="AH799" s="0" t="n">
        <v>14</v>
      </c>
      <c r="AI799" s="0" t="n">
        <v>11</v>
      </c>
      <c r="AN799" s="0" t="s">
        <v>145</v>
      </c>
      <c r="AO799" s="0" t="s">
        <v>654</v>
      </c>
      <c r="AP799" s="0" t="s">
        <v>655</v>
      </c>
      <c r="AQ799" s="0" t="n">
        <v>9</v>
      </c>
      <c r="AR799" s="0" t="n">
        <v>64</v>
      </c>
      <c r="AS799" s="0" t="n">
        <v>32</v>
      </c>
      <c r="AU799" s="0" t="n">
        <f aca="false">COUNTA($BA$1478:$EH$1478)</f>
        <v>1</v>
      </c>
      <c r="AV799" s="0" t="n">
        <f aca="false">COUNTIF($BA$1478:$EH$1478,"D")</f>
        <v>0</v>
      </c>
      <c r="AW799" s="0" t="n">
        <f aca="false">COUNTIF($BA$1478:$EH$1478,"R")</f>
        <v>0</v>
      </c>
      <c r="AX799" s="0" t="n">
        <f aca="false">IF(BN799="D",1,0)+IF(BO799="D",1,0)+IF(BT799="D",1,0)+IF(BU799="D",1,0)+IF(BW799="D",1,0)+IF(CC799="D",1,0)+IF(CD799="D",1,0)+IF(CE799="D",1,0)+IF(CF799="D",1,0)+IF(CL799="D",1,0)+IF(CM799="D",1,0)+IF(CQ799="D",1,0)+IF(CR799="D",1,0)+IF(CS799="D",1,0)+IF(CW799="D",1,0)+IF(CX799="D",1,0)+IF(DD799="D",1,0)+IF(DE799="D",1,0)+IF(DJ799="D",1,0)+IF(DK799="D",1,0)+IF(DO799="D",1,0)+IF(DP799="D",1,0)+IF(DQ799="D",1,0)+IF(DW799="D",1,0)+IF(DZ799="D",1,0)+IF(EH799="D",1,0)</f>
        <v>0</v>
      </c>
      <c r="AY799" s="0" t="n">
        <f aca="false">COUNTIF(DU799:EH799, "&lt;&gt;")</f>
        <v>0</v>
      </c>
      <c r="AZ799" s="0" t="n">
        <f aca="false">IF(EH799&lt;&gt;"",1,0)</f>
        <v>0</v>
      </c>
      <c r="BB799" s="0" t="s">
        <v>152</v>
      </c>
    </row>
    <row r="800" customFormat="false" ht="13.8" hidden="true" customHeight="false" outlineLevel="0" collapsed="false">
      <c r="A800" s="0" t="s">
        <v>4036</v>
      </c>
      <c r="B800" s="0" t="n">
        <v>78</v>
      </c>
      <c r="C800" s="0" t="n">
        <v>389589</v>
      </c>
      <c r="D800" s="0" t="s">
        <v>4037</v>
      </c>
      <c r="E800" s="0" t="s">
        <v>2214</v>
      </c>
      <c r="F800" s="0" t="str">
        <f aca="false">CONCATENATE(D800," ",LEFT(H800,4),"T=",AU800,"D=",AV800,"R=",AW800,"M=",AX800,"L=",AY800,"B=",AZ800)</f>
        <v>RICH T=1D=0R=0M=0L=0B=0</v>
      </c>
      <c r="G800" s="0" t="s">
        <v>713</v>
      </c>
      <c r="I800" s="0" t="s">
        <v>4038</v>
      </c>
      <c r="J800" s="0" t="s">
        <v>782</v>
      </c>
      <c r="K800" s="0" t="s">
        <v>160</v>
      </c>
      <c r="M800" s="0" t="s">
        <v>4027</v>
      </c>
      <c r="N800" s="0" t="str">
        <f aca="false">RIGHT(M800,LEN(M800)-FIND(" ",M800))</f>
        <v>HIGH ST NW</v>
      </c>
      <c r="P800" s="0" t="s">
        <v>145</v>
      </c>
      <c r="Q800" s="0" t="s">
        <v>146</v>
      </c>
      <c r="R800" s="0" t="n">
        <v>44481</v>
      </c>
      <c r="AD800" s="0" t="s">
        <v>147</v>
      </c>
      <c r="AE800" s="0" t="s">
        <v>148</v>
      </c>
      <c r="AF800" s="0" t="s">
        <v>149</v>
      </c>
      <c r="AH800" s="0" t="n">
        <v>14</v>
      </c>
      <c r="AI800" s="0" t="n">
        <v>11</v>
      </c>
      <c r="AN800" s="0" t="s">
        <v>145</v>
      </c>
      <c r="AO800" s="0" t="s">
        <v>654</v>
      </c>
      <c r="AP800" s="0" t="s">
        <v>655</v>
      </c>
      <c r="AQ800" s="0" t="n">
        <v>9</v>
      </c>
      <c r="AR800" s="0" t="n">
        <v>64</v>
      </c>
      <c r="AS800" s="0" t="n">
        <v>32</v>
      </c>
      <c r="AU800" s="0" t="n">
        <f aca="false">COUNTA($BA$1509:$EH$1509)</f>
        <v>1</v>
      </c>
      <c r="AV800" s="0" t="n">
        <f aca="false">COUNTIF($BA$1509:$EH$1509,"D")</f>
        <v>0</v>
      </c>
      <c r="AW800" s="0" t="n">
        <f aca="false">COUNTIF($BA$1509:$EH$1509,"R")</f>
        <v>0</v>
      </c>
      <c r="AX800" s="0" t="n">
        <f aca="false">IF(BN800="D",1,0)+IF(BO800="D",1,0)+IF(BT800="D",1,0)+IF(BU800="D",1,0)+IF(BW800="D",1,0)+IF(CC800="D",1,0)+IF(CD800="D",1,0)+IF(CE800="D",1,0)+IF(CF800="D",1,0)+IF(CL800="D",1,0)+IF(CM800="D",1,0)+IF(CQ800="D",1,0)+IF(CR800="D",1,0)+IF(CS800="D",1,0)+IF(CW800="D",1,0)+IF(CX800="D",1,0)+IF(DD800="D",1,0)+IF(DE800="D",1,0)+IF(DJ800="D",1,0)+IF(DK800="D",1,0)+IF(DO800="D",1,0)+IF(DP800="D",1,0)+IF(DQ800="D",1,0)+IF(DW800="D",1,0)+IF(DZ800="D",1,0)+IF(EH800="D",1,0)</f>
        <v>0</v>
      </c>
      <c r="AY800" s="0" t="n">
        <f aca="false">COUNTIF(DU800:EH800, "&lt;&gt;")</f>
        <v>0</v>
      </c>
      <c r="AZ800" s="0" t="n">
        <f aca="false">IF(EH800&lt;&gt;"",1,0)</f>
        <v>0</v>
      </c>
      <c r="BB800" s="0" t="s">
        <v>152</v>
      </c>
    </row>
    <row r="801" customFormat="false" ht="13.8" hidden="false" customHeight="false" outlineLevel="0" collapsed="false">
      <c r="A801" s="0" t="s">
        <v>4039</v>
      </c>
      <c r="B801" s="0" t="n">
        <v>78</v>
      </c>
      <c r="C801" s="0" t="n">
        <v>363365</v>
      </c>
      <c r="D801" s="0" t="s">
        <v>3483</v>
      </c>
      <c r="E801" s="0" t="s">
        <v>2412</v>
      </c>
      <c r="F801" s="0" t="str">
        <f aca="false">CONCATENATE(D801," ",LEFT(H801,4),"T=",AU801,"D=",AV801,"R=",AW801,"M=",AX801,"L=",AY801,"B=",AZ801)</f>
        <v>PENNOCK T=1D=0R=0M=4L=6B=0</v>
      </c>
      <c r="G801" s="0" t="s">
        <v>209</v>
      </c>
      <c r="I801" s="0" t="s">
        <v>4040</v>
      </c>
      <c r="J801" s="0" t="s">
        <v>4041</v>
      </c>
      <c r="K801" s="0" t="s">
        <v>160</v>
      </c>
      <c r="L801" s="0" t="s">
        <v>175</v>
      </c>
      <c r="M801" s="0" t="s">
        <v>4027</v>
      </c>
      <c r="N801" s="0" t="str">
        <f aca="false">RIGHT(M801,LEN(M801)-FIND(" ",M801))</f>
        <v>HIGH ST NW</v>
      </c>
      <c r="O801" s="0" t="s">
        <v>4042</v>
      </c>
      <c r="P801" s="0" t="s">
        <v>145</v>
      </c>
      <c r="Q801" s="0" t="s">
        <v>146</v>
      </c>
      <c r="R801" s="0" t="n">
        <v>44481</v>
      </c>
      <c r="AD801" s="0" t="s">
        <v>147</v>
      </c>
      <c r="AE801" s="0" t="s">
        <v>148</v>
      </c>
      <c r="AF801" s="0" t="s">
        <v>149</v>
      </c>
      <c r="AH801" s="0" t="n">
        <v>14</v>
      </c>
      <c r="AI801" s="0" t="n">
        <v>11</v>
      </c>
      <c r="AN801" s="0" t="s">
        <v>145</v>
      </c>
      <c r="AO801" s="0" t="s">
        <v>654</v>
      </c>
      <c r="AP801" s="0" t="s">
        <v>655</v>
      </c>
      <c r="AQ801" s="0" t="n">
        <v>9</v>
      </c>
      <c r="AR801" s="0" t="n">
        <v>64</v>
      </c>
      <c r="AS801" s="0" t="n">
        <v>32</v>
      </c>
      <c r="AU801" s="0" t="n">
        <f aca="false">COUNTA($BA$1590:$EH$1590)</f>
        <v>1</v>
      </c>
      <c r="AV801" s="0" t="n">
        <f aca="false">COUNTIF($BA$1590:$EH$1590,"D")</f>
        <v>0</v>
      </c>
      <c r="AW801" s="0" t="n">
        <f aca="false">COUNTIF($BA$1590:$EH$1590,"R")</f>
        <v>0</v>
      </c>
      <c r="AX801" s="0" t="n">
        <f aca="false">IF(BN801="D",1,0)+IF(BO801="D",1,0)+IF(BT801="D",1,0)+IF(BU801="D",1,0)+IF(BW801="D",1,0)+IF(CC801="D",1,0)+IF(CD801="D",1,0)+IF(CE801="D",1,0)+IF(CF801="D",1,0)+IF(CL801="D",1,0)+IF(CM801="D",1,0)+IF(CQ801="D",1,0)+IF(CR801="D",1,0)+IF(CS801="D",1,0)+IF(CW801="D",1,0)+IF(CX801="D",1,0)+IF(DD801="D",1,0)+IF(DE801="D",1,0)+IF(DJ801="D",1,0)+IF(DK801="D",1,0)+IF(DO801="D",1,0)+IF(DP801="D",1,0)+IF(DQ801="D",1,0)+IF(DW801="D",1,0)+IF(DZ801="D",1,0)+IF(EH801="D",1,0)</f>
        <v>4</v>
      </c>
      <c r="AY801" s="0" t="n">
        <f aca="false">COUNTIF(DU801:EH801, "&lt;&gt;")</f>
        <v>6</v>
      </c>
      <c r="AZ801" s="0" t="n">
        <f aca="false">IF(EH801&lt;&gt;"",1,0)</f>
        <v>0</v>
      </c>
      <c r="BB801" s="0" t="s">
        <v>152</v>
      </c>
      <c r="CA801" s="0" t="s">
        <v>153</v>
      </c>
      <c r="CC801" s="0" t="s">
        <v>175</v>
      </c>
      <c r="CG801" s="0" t="s">
        <v>153</v>
      </c>
      <c r="CH801" s="0" t="s">
        <v>175</v>
      </c>
      <c r="CK801" s="0" t="s">
        <v>153</v>
      </c>
      <c r="CL801" s="0" t="s">
        <v>175</v>
      </c>
      <c r="CN801" s="0" t="s">
        <v>153</v>
      </c>
      <c r="CO801" s="0" t="s">
        <v>209</v>
      </c>
      <c r="CP801" s="0" t="s">
        <v>153</v>
      </c>
      <c r="CQ801" s="0" t="s">
        <v>175</v>
      </c>
      <c r="CT801" s="0" t="s">
        <v>153</v>
      </c>
      <c r="CU801" s="0" t="s">
        <v>175</v>
      </c>
      <c r="CV801" s="0" t="s">
        <v>153</v>
      </c>
      <c r="DC801" s="0" t="s">
        <v>153</v>
      </c>
      <c r="DI801" s="0" t="s">
        <v>153</v>
      </c>
      <c r="DL801" s="0" t="s">
        <v>153</v>
      </c>
      <c r="DN801" s="0" t="s">
        <v>153</v>
      </c>
      <c r="DT801" s="0" t="s">
        <v>175</v>
      </c>
      <c r="DU801" s="0" t="s">
        <v>153</v>
      </c>
      <c r="DW801" s="0" t="s">
        <v>175</v>
      </c>
      <c r="DX801" s="0" t="s">
        <v>153</v>
      </c>
      <c r="EA801" s="0" t="s">
        <v>153</v>
      </c>
      <c r="ED801" s="0" t="s">
        <v>175</v>
      </c>
      <c r="EF801" s="0" t="s">
        <v>153</v>
      </c>
    </row>
    <row r="802" customFormat="false" ht="13.8" hidden="false" customHeight="false" outlineLevel="0" collapsed="false">
      <c r="A802" s="0" t="s">
        <v>4043</v>
      </c>
      <c r="B802" s="0" t="n">
        <v>78</v>
      </c>
      <c r="C802" s="0" t="n">
        <v>306897</v>
      </c>
      <c r="D802" s="0" t="s">
        <v>4044</v>
      </c>
      <c r="E802" s="0" t="s">
        <v>331</v>
      </c>
      <c r="F802" s="0" t="str">
        <f aca="false">CONCATENATE(D802," ",LEFT(H802,4),"T=",AU802,"D=",AV802,"R=",AW802,"M=",AX802,"L=",AY802,"B=",AZ802)</f>
        <v>OCONNELL T=5D=0R=0M=0L=2B=0</v>
      </c>
      <c r="G802" s="0" t="s">
        <v>325</v>
      </c>
      <c r="I802" s="0" t="s">
        <v>4045</v>
      </c>
      <c r="J802" s="0" t="s">
        <v>4046</v>
      </c>
      <c r="K802" s="0" t="s">
        <v>160</v>
      </c>
      <c r="M802" s="0" t="s">
        <v>4027</v>
      </c>
      <c r="N802" s="0" t="str">
        <f aca="false">RIGHT(M802,LEN(M802)-FIND(" ",M802))</f>
        <v>HIGH ST NW</v>
      </c>
      <c r="O802" s="0" t="s">
        <v>4047</v>
      </c>
      <c r="P802" s="0" t="s">
        <v>145</v>
      </c>
      <c r="Q802" s="0" t="s">
        <v>146</v>
      </c>
      <c r="R802" s="0" t="n">
        <v>44481</v>
      </c>
      <c r="AD802" s="0" t="s">
        <v>147</v>
      </c>
      <c r="AE802" s="0" t="s">
        <v>148</v>
      </c>
      <c r="AF802" s="0" t="s">
        <v>149</v>
      </c>
      <c r="AH802" s="0" t="n">
        <v>14</v>
      </c>
      <c r="AI802" s="0" t="n">
        <v>11</v>
      </c>
      <c r="AN802" s="0" t="s">
        <v>145</v>
      </c>
      <c r="AO802" s="0" t="s">
        <v>654</v>
      </c>
      <c r="AP802" s="0" t="s">
        <v>655</v>
      </c>
      <c r="AQ802" s="0" t="n">
        <v>9</v>
      </c>
      <c r="AR802" s="0" t="n">
        <v>64</v>
      </c>
      <c r="AS802" s="0" t="n">
        <v>32</v>
      </c>
      <c r="AU802" s="0" t="n">
        <f aca="false">COUNTA($BA$1597:$EH$1597)</f>
        <v>5</v>
      </c>
      <c r="AV802" s="0" t="n">
        <f aca="false">COUNTIF($BA$1597:$EH$1597,"D")</f>
        <v>0</v>
      </c>
      <c r="AW802" s="0" t="n">
        <f aca="false">COUNTIF($BA$1597:$EH$1597,"R")</f>
        <v>0</v>
      </c>
      <c r="AX802" s="0" t="n">
        <f aca="false">IF(BN802="D",1,0)+IF(BO802="D",1,0)+IF(BT802="D",1,0)+IF(BU802="D",1,0)+IF(BW802="D",1,0)+IF(CC802="D",1,0)+IF(CD802="D",1,0)+IF(CE802="D",1,0)+IF(CF802="D",1,0)+IF(CL802="D",1,0)+IF(CM802="D",1,0)+IF(CQ802="D",1,0)+IF(CR802="D",1,0)+IF(CS802="D",1,0)+IF(CW802="D",1,0)+IF(CX802="D",1,0)+IF(DD802="D",1,0)+IF(DE802="D",1,0)+IF(DJ802="D",1,0)+IF(DK802="D",1,0)+IF(DO802="D",1,0)+IF(DP802="D",1,0)+IF(DQ802="D",1,0)+IF(DW802="D",1,0)+IF(DZ802="D",1,0)+IF(EH802="D",1,0)</f>
        <v>0</v>
      </c>
      <c r="AY802" s="0" t="n">
        <f aca="false">COUNTIF(DU802:EH802, "&lt;&gt;")</f>
        <v>2</v>
      </c>
      <c r="AZ802" s="0" t="n">
        <f aca="false">IF(EH802&lt;&gt;"",1,0)</f>
        <v>0</v>
      </c>
      <c r="BB802" s="0" t="s">
        <v>152</v>
      </c>
      <c r="BG802" s="0" t="s">
        <v>153</v>
      </c>
      <c r="BH802" s="0" t="s">
        <v>153</v>
      </c>
      <c r="BL802" s="0" t="s">
        <v>153</v>
      </c>
      <c r="CA802" s="0" t="s">
        <v>153</v>
      </c>
      <c r="CP802" s="0" t="s">
        <v>153</v>
      </c>
      <c r="DN802" s="0" t="s">
        <v>153</v>
      </c>
      <c r="DX802" s="0" t="s">
        <v>153</v>
      </c>
      <c r="EF802" s="0" t="s">
        <v>153</v>
      </c>
    </row>
    <row r="803" customFormat="false" ht="13.8" hidden="true" customHeight="false" outlineLevel="0" collapsed="false">
      <c r="A803" s="0" t="s">
        <v>4048</v>
      </c>
      <c r="B803" s="0" t="n">
        <v>78</v>
      </c>
      <c r="C803" s="0" t="n">
        <v>431103</v>
      </c>
      <c r="D803" s="0" t="s">
        <v>1041</v>
      </c>
      <c r="E803" s="0" t="s">
        <v>4049</v>
      </c>
      <c r="F803" s="0" t="str">
        <f aca="false">CONCATENATE(D803," ",LEFT(H803,4),"T=",AU803,"D=",AV803,"R=",AW803,"M=",AX803,"L=",AY803,"B=",AZ803)</f>
        <v>JONES SRT=1D=0R=0M=0L=1B=0</v>
      </c>
      <c r="G803" s="0" t="s">
        <v>190</v>
      </c>
      <c r="H803" s="0" t="s">
        <v>216</v>
      </c>
      <c r="I803" s="0" t="s">
        <v>4050</v>
      </c>
      <c r="J803" s="0" t="s">
        <v>4051</v>
      </c>
      <c r="K803" s="0" t="s">
        <v>160</v>
      </c>
      <c r="M803" s="0" t="s">
        <v>4027</v>
      </c>
      <c r="N803" s="0" t="str">
        <f aca="false">RIGHT(M803,LEN(M803)-FIND(" ",M803))</f>
        <v>HIGH ST NW</v>
      </c>
      <c r="O803" s="0" t="s">
        <v>4052</v>
      </c>
      <c r="P803" s="0" t="s">
        <v>145</v>
      </c>
      <c r="Q803" s="0" t="s">
        <v>146</v>
      </c>
      <c r="R803" s="0" t="n">
        <v>44481</v>
      </c>
      <c r="AD803" s="0" t="s">
        <v>147</v>
      </c>
      <c r="AE803" s="0" t="s">
        <v>148</v>
      </c>
      <c r="AF803" s="0" t="s">
        <v>149</v>
      </c>
      <c r="AH803" s="0" t="n">
        <v>14</v>
      </c>
      <c r="AI803" s="0" t="n">
        <v>11</v>
      </c>
      <c r="AN803" s="0" t="s">
        <v>145</v>
      </c>
      <c r="AO803" s="0" t="s">
        <v>654</v>
      </c>
      <c r="AP803" s="0" t="s">
        <v>655</v>
      </c>
      <c r="AQ803" s="0" t="n">
        <v>9</v>
      </c>
      <c r="AR803" s="0" t="n">
        <v>64</v>
      </c>
      <c r="AS803" s="0" t="n">
        <v>32</v>
      </c>
      <c r="AU803" s="0" t="n">
        <f aca="false">COUNTA($BA$1702:$EH$1702)</f>
        <v>1</v>
      </c>
      <c r="AV803" s="0" t="n">
        <f aca="false">COUNTIF($BA$1702:$EH$1702,"D")</f>
        <v>0</v>
      </c>
      <c r="AW803" s="0" t="n">
        <f aca="false">COUNTIF($BA$1702:$EH$1702,"R")</f>
        <v>0</v>
      </c>
      <c r="AX803" s="0" t="n">
        <f aca="false">IF(BN803="D",1,0)+IF(BO803="D",1,0)+IF(BT803="D",1,0)+IF(BU803="D",1,0)+IF(BW803="D",1,0)+IF(CC803="D",1,0)+IF(CD803="D",1,0)+IF(CE803="D",1,0)+IF(CF803="D",1,0)+IF(CL803="D",1,0)+IF(CM803="D",1,0)+IF(CQ803="D",1,0)+IF(CR803="D",1,0)+IF(CS803="D",1,0)+IF(CW803="D",1,0)+IF(CX803="D",1,0)+IF(DD803="D",1,0)+IF(DE803="D",1,0)+IF(DJ803="D",1,0)+IF(DK803="D",1,0)+IF(DO803="D",1,0)+IF(DP803="D",1,0)+IF(DQ803="D",1,0)+IF(DW803="D",1,0)+IF(DZ803="D",1,0)+IF(EH803="D",1,0)</f>
        <v>0</v>
      </c>
      <c r="AY803" s="0" t="n">
        <f aca="false">COUNTIF(DU803:EH803, "&lt;&gt;")</f>
        <v>1</v>
      </c>
      <c r="AZ803" s="0" t="n">
        <f aca="false">IF(EH803&lt;&gt;"",1,0)</f>
        <v>0</v>
      </c>
      <c r="BB803" s="0" t="s">
        <v>152</v>
      </c>
      <c r="DU803" s="0" t="s">
        <v>153</v>
      </c>
    </row>
    <row r="804" customFormat="false" ht="13.8" hidden="false" customHeight="false" outlineLevel="0" collapsed="false">
      <c r="A804" s="0" t="s">
        <v>4053</v>
      </c>
      <c r="B804" s="0" t="n">
        <v>78</v>
      </c>
      <c r="C804" s="0" t="n">
        <v>435611</v>
      </c>
      <c r="D804" s="0" t="s">
        <v>4054</v>
      </c>
      <c r="E804" s="0" t="s">
        <v>4055</v>
      </c>
      <c r="F804" s="0" t="str">
        <f aca="false">CONCATENATE(D804," ",LEFT(H804,4),"T=",AU804,"D=",AV804,"R=",AW804,"M=",AX804,"L=",AY804,"B=",AZ804)</f>
        <v>FRAZIER T=11D=0R=0M=0L=2B=0</v>
      </c>
      <c r="I804" s="0" t="s">
        <v>4056</v>
      </c>
      <c r="J804" s="0" t="s">
        <v>1783</v>
      </c>
      <c r="K804" s="0" t="s">
        <v>160</v>
      </c>
      <c r="M804" s="0" t="s">
        <v>4027</v>
      </c>
      <c r="N804" s="0" t="str">
        <f aca="false">RIGHT(M804,LEN(M804)-FIND(" ",M804))</f>
        <v>HIGH ST NW</v>
      </c>
      <c r="O804" s="0" t="s">
        <v>4057</v>
      </c>
      <c r="P804" s="0" t="s">
        <v>145</v>
      </c>
      <c r="Q804" s="0" t="s">
        <v>146</v>
      </c>
      <c r="R804" s="0" t="n">
        <v>44481</v>
      </c>
      <c r="AD804" s="0" t="s">
        <v>147</v>
      </c>
      <c r="AE804" s="0" t="s">
        <v>148</v>
      </c>
      <c r="AF804" s="0" t="s">
        <v>149</v>
      </c>
      <c r="AH804" s="0" t="n">
        <v>14</v>
      </c>
      <c r="AI804" s="0" t="n">
        <v>11</v>
      </c>
      <c r="AN804" s="0" t="s">
        <v>145</v>
      </c>
      <c r="AO804" s="0" t="s">
        <v>654</v>
      </c>
      <c r="AP804" s="0" t="s">
        <v>655</v>
      </c>
      <c r="AQ804" s="0" t="n">
        <v>9</v>
      </c>
      <c r="AR804" s="0" t="n">
        <v>64</v>
      </c>
      <c r="AS804" s="0" t="n">
        <v>32</v>
      </c>
      <c r="AU804" s="0" t="n">
        <f aca="false">COUNTA($BA$1843:$EH$1843)</f>
        <v>11</v>
      </c>
      <c r="AV804" s="0" t="n">
        <f aca="false">COUNTIF($BA$1843:$EH$1843,"D")</f>
        <v>0</v>
      </c>
      <c r="AW804" s="0" t="n">
        <f aca="false">COUNTIF($BA$1843:$EH$1843,"R")</f>
        <v>0</v>
      </c>
      <c r="AX804" s="0" t="n">
        <f aca="false">IF(BN804="D",1,0)+IF(BO804="D",1,0)+IF(BT804="D",1,0)+IF(BU804="D",1,0)+IF(BW804="D",1,0)+IF(CC804="D",1,0)+IF(CD804="D",1,0)+IF(CE804="D",1,0)+IF(CF804="D",1,0)+IF(CL804="D",1,0)+IF(CM804="D",1,0)+IF(CQ804="D",1,0)+IF(CR804="D",1,0)+IF(CS804="D",1,0)+IF(CW804="D",1,0)+IF(CX804="D",1,0)+IF(DD804="D",1,0)+IF(DE804="D",1,0)+IF(DJ804="D",1,0)+IF(DK804="D",1,0)+IF(DO804="D",1,0)+IF(DP804="D",1,0)+IF(DQ804="D",1,0)+IF(DW804="D",1,0)+IF(DZ804="D",1,0)+IF(EH804="D",1,0)</f>
        <v>0</v>
      </c>
      <c r="AY804" s="0" t="n">
        <f aca="false">COUNTIF(DU804:EH804, "&lt;&gt;")</f>
        <v>2</v>
      </c>
      <c r="AZ804" s="0" t="n">
        <f aca="false">IF(EH804&lt;&gt;"",1,0)</f>
        <v>0</v>
      </c>
      <c r="BB804" s="0" t="s">
        <v>152</v>
      </c>
      <c r="CA804" s="0" t="s">
        <v>153</v>
      </c>
      <c r="DI804" s="0" t="s">
        <v>153</v>
      </c>
      <c r="DN804" s="0" t="s">
        <v>153</v>
      </c>
      <c r="DU804" s="0" t="s">
        <v>153</v>
      </c>
      <c r="EF804" s="0" t="s">
        <v>153</v>
      </c>
    </row>
    <row r="805" customFormat="false" ht="13.8" hidden="true" customHeight="false" outlineLevel="0" collapsed="false">
      <c r="A805" s="0" t="s">
        <v>4058</v>
      </c>
      <c r="B805" s="0" t="n">
        <v>78</v>
      </c>
      <c r="C805" s="0" t="n">
        <v>319120</v>
      </c>
      <c r="D805" s="0" t="s">
        <v>2634</v>
      </c>
      <c r="E805" s="0" t="s">
        <v>724</v>
      </c>
      <c r="F805" s="0" t="str">
        <f aca="false">CONCATENATE(D805," ",LEFT(H805,4),"T=",AU805,"D=",AV805,"R=",AW805,"M=",AX805,"L=",AY805,"B=",AZ805)</f>
        <v>DAWKINS T=4D=0R=0M=0L=0B=0</v>
      </c>
      <c r="G805" s="0" t="s">
        <v>2408</v>
      </c>
      <c r="I805" s="0" t="s">
        <v>4059</v>
      </c>
      <c r="J805" s="0" t="s">
        <v>1114</v>
      </c>
      <c r="K805" s="0" t="s">
        <v>160</v>
      </c>
      <c r="M805" s="0" t="s">
        <v>4027</v>
      </c>
      <c r="N805" s="0" t="str">
        <f aca="false">RIGHT(M805,LEN(M805)-FIND(" ",M805))</f>
        <v>HIGH ST NW</v>
      </c>
      <c r="O805" s="0" t="s">
        <v>3427</v>
      </c>
      <c r="P805" s="0" t="s">
        <v>145</v>
      </c>
      <c r="Q805" s="0" t="s">
        <v>146</v>
      </c>
      <c r="R805" s="0" t="n">
        <v>44481</v>
      </c>
      <c r="AD805" s="0" t="s">
        <v>147</v>
      </c>
      <c r="AE805" s="0" t="s">
        <v>148</v>
      </c>
      <c r="AF805" s="0" t="s">
        <v>149</v>
      </c>
      <c r="AH805" s="0" t="n">
        <v>14</v>
      </c>
      <c r="AI805" s="0" t="n">
        <v>11</v>
      </c>
      <c r="AN805" s="0" t="s">
        <v>145</v>
      </c>
      <c r="AO805" s="0" t="s">
        <v>654</v>
      </c>
      <c r="AP805" s="0" t="s">
        <v>655</v>
      </c>
      <c r="AQ805" s="0" t="n">
        <v>9</v>
      </c>
      <c r="AR805" s="0" t="n">
        <v>64</v>
      </c>
      <c r="AS805" s="0" t="n">
        <v>32</v>
      </c>
      <c r="AU805" s="0" t="n">
        <f aca="false">COUNTA($BA$1911:$EH$1911)</f>
        <v>4</v>
      </c>
      <c r="AV805" s="0" t="n">
        <f aca="false">COUNTIF($BA$1911:$EH$1911,"D")</f>
        <v>0</v>
      </c>
      <c r="AW805" s="0" t="n">
        <f aca="false">COUNTIF($BA$1911:$EH$1911,"R")</f>
        <v>0</v>
      </c>
      <c r="AX805" s="0" t="n">
        <f aca="false">IF(BN805="D",1,0)+IF(BO805="D",1,0)+IF(BT805="D",1,0)+IF(BU805="D",1,0)+IF(BW805="D",1,0)+IF(CC805="D",1,0)+IF(CD805="D",1,0)+IF(CE805="D",1,0)+IF(CF805="D",1,0)+IF(CL805="D",1,0)+IF(CM805="D",1,0)+IF(CQ805="D",1,0)+IF(CR805="D",1,0)+IF(CS805="D",1,0)+IF(CW805="D",1,0)+IF(CX805="D",1,0)+IF(DD805="D",1,0)+IF(DE805="D",1,0)+IF(DJ805="D",1,0)+IF(DK805="D",1,0)+IF(DO805="D",1,0)+IF(DP805="D",1,0)+IF(DQ805="D",1,0)+IF(DW805="D",1,0)+IF(DZ805="D",1,0)+IF(EH805="D",1,0)</f>
        <v>0</v>
      </c>
      <c r="AY805" s="0" t="n">
        <f aca="false">COUNTIF(DU805:EH805, "&lt;&gt;")</f>
        <v>0</v>
      </c>
      <c r="AZ805" s="0" t="n">
        <f aca="false">IF(EH805&lt;&gt;"",1,0)</f>
        <v>0</v>
      </c>
      <c r="BB805" s="0" t="s">
        <v>152</v>
      </c>
    </row>
    <row r="806" customFormat="false" ht="13.8" hidden="false" customHeight="false" outlineLevel="0" collapsed="false">
      <c r="A806" s="0" t="s">
        <v>4060</v>
      </c>
      <c r="B806" s="0" t="n">
        <v>78</v>
      </c>
      <c r="C806" s="0" t="n">
        <v>329213</v>
      </c>
      <c r="D806" s="0" t="s">
        <v>1661</v>
      </c>
      <c r="E806" s="0" t="s">
        <v>4061</v>
      </c>
      <c r="F806" s="0" t="str">
        <f aca="false">CONCATENATE(D806," ",LEFT(H806,4),"T=",AU806,"D=",AV806,"R=",AW806,"M=",AX806,"L=",AY806,"B=",AZ806)</f>
        <v>JACKSON T=16D=3R=1M=1L=4B=0</v>
      </c>
      <c r="I806" s="0" t="s">
        <v>4062</v>
      </c>
      <c r="J806" s="0" t="s">
        <v>4063</v>
      </c>
      <c r="K806" s="0" t="s">
        <v>160</v>
      </c>
      <c r="L806" s="0" t="s">
        <v>175</v>
      </c>
      <c r="M806" s="0" t="s">
        <v>4064</v>
      </c>
      <c r="N806" s="0" t="str">
        <f aca="false">RIGHT(M806,LEN(M806)-FIND(" ",M806))</f>
        <v>HOMEWOOD AVE SE</v>
      </c>
      <c r="P806" s="0" t="s">
        <v>145</v>
      </c>
      <c r="Q806" s="0" t="s">
        <v>146</v>
      </c>
      <c r="R806" s="0" t="n">
        <v>44484</v>
      </c>
      <c r="V806" s="0" t="s">
        <v>145</v>
      </c>
      <c r="X806" s="0" t="s">
        <v>146</v>
      </c>
      <c r="Y806" s="0" t="s">
        <v>146</v>
      </c>
      <c r="Z806" s="0" t="n">
        <v>44484</v>
      </c>
      <c r="AD806" s="0" t="s">
        <v>147</v>
      </c>
      <c r="AE806" s="0" t="s">
        <v>148</v>
      </c>
      <c r="AF806" s="0" t="s">
        <v>149</v>
      </c>
      <c r="AH806" s="0" t="n">
        <v>14</v>
      </c>
      <c r="AI806" s="0" t="n">
        <v>11</v>
      </c>
      <c r="AN806" s="0" t="s">
        <v>145</v>
      </c>
      <c r="AO806" s="0" t="s">
        <v>233</v>
      </c>
      <c r="AP806" s="0" t="s">
        <v>234</v>
      </c>
      <c r="AQ806" s="0" t="n">
        <v>9</v>
      </c>
      <c r="AR806" s="0" t="n">
        <v>64</v>
      </c>
      <c r="AS806" s="0" t="n">
        <v>32</v>
      </c>
      <c r="AU806" s="0" t="n">
        <f aca="false">COUNTA($BA$2346:$EH$2346)</f>
        <v>16</v>
      </c>
      <c r="AV806" s="0" t="n">
        <f aca="false">COUNTIF($BA$2346:$EH$2346,"D")</f>
        <v>3</v>
      </c>
      <c r="AW806" s="0" t="n">
        <f aca="false">COUNTIF($BA$2346:$EH$2346,"R")</f>
        <v>1</v>
      </c>
      <c r="AX806" s="0" t="n">
        <f aca="false">IF(BN806="D",1,0)+IF(BO806="D",1,0)+IF(BT806="D",1,0)+IF(BU806="D",1,0)+IF(BW806="D",1,0)+IF(CC806="D",1,0)+IF(CD806="D",1,0)+IF(CE806="D",1,0)+IF(CF806="D",1,0)+IF(CL806="D",1,0)+IF(CM806="D",1,0)+IF(CQ806="D",1,0)+IF(CR806="D",1,0)+IF(CS806="D",1,0)+IF(CW806="D",1,0)+IF(CX806="D",1,0)+IF(DD806="D",1,0)+IF(DE806="D",1,0)+IF(DJ806="D",1,0)+IF(DK806="D",1,0)+IF(DO806="D",1,0)+IF(DP806="D",1,0)+IF(DQ806="D",1,0)+IF(DW806="D",1,0)+IF(DZ806="D",1,0)+IF(EH806="D",1,0)</f>
        <v>1</v>
      </c>
      <c r="AY806" s="0" t="n">
        <f aca="false">COUNTIF(DU806:EH806, "&lt;&gt;")</f>
        <v>4</v>
      </c>
      <c r="AZ806" s="0" t="n">
        <f aca="false">IF(EH806&lt;&gt;"",1,0)</f>
        <v>0</v>
      </c>
      <c r="BB806" s="0" t="s">
        <v>152</v>
      </c>
      <c r="BL806" s="0" t="s">
        <v>153</v>
      </c>
      <c r="BY806" s="0" t="s">
        <v>175</v>
      </c>
      <c r="CA806" s="0" t="s">
        <v>153</v>
      </c>
      <c r="CK806" s="0" t="s">
        <v>153</v>
      </c>
      <c r="CP806" s="0" t="s">
        <v>153</v>
      </c>
      <c r="CV806" s="0" t="s">
        <v>153</v>
      </c>
      <c r="DC806" s="0" t="s">
        <v>153</v>
      </c>
      <c r="DD806" s="0" t="s">
        <v>175</v>
      </c>
      <c r="DI806" s="0" t="s">
        <v>153</v>
      </c>
      <c r="DN806" s="0" t="s">
        <v>153</v>
      </c>
      <c r="DS806" s="0" t="s">
        <v>175</v>
      </c>
      <c r="DU806" s="0" t="s">
        <v>153</v>
      </c>
      <c r="DX806" s="0" t="s">
        <v>153</v>
      </c>
      <c r="ED806" s="0" t="s">
        <v>175</v>
      </c>
      <c r="EF806" s="0" t="s">
        <v>153</v>
      </c>
    </row>
    <row r="807" customFormat="false" ht="13.8" hidden="false" customHeight="false" outlineLevel="0" collapsed="false">
      <c r="A807" s="0" t="s">
        <v>4065</v>
      </c>
      <c r="B807" s="0" t="n">
        <v>78</v>
      </c>
      <c r="C807" s="0" t="n">
        <v>419356</v>
      </c>
      <c r="D807" s="0" t="s">
        <v>4066</v>
      </c>
      <c r="E807" s="0" t="s">
        <v>4067</v>
      </c>
      <c r="F807" s="0" t="str">
        <f aca="false">CONCATENATE(D807," ",LEFT(H807,4),"T=",AU807,"D=",AV807,"R=",AW807,"M=",AX807,"L=",AY807,"B=",AZ807)</f>
        <v>PRIEST T=50D=17R=0M=0L=2B=0</v>
      </c>
      <c r="G807" s="0" t="s">
        <v>325</v>
      </c>
      <c r="I807" s="0" t="s">
        <v>4068</v>
      </c>
      <c r="J807" s="0" t="s">
        <v>4069</v>
      </c>
      <c r="K807" s="0" t="s">
        <v>160</v>
      </c>
      <c r="M807" s="0" t="s">
        <v>4070</v>
      </c>
      <c r="N807" s="0" t="str">
        <f aca="false">RIGHT(M807,LEN(M807)-FIND(" ",M807))</f>
        <v>HOMEWOOD AVE SE</v>
      </c>
      <c r="P807" s="0" t="s">
        <v>145</v>
      </c>
      <c r="Q807" s="0" t="s">
        <v>146</v>
      </c>
      <c r="R807" s="0" t="n">
        <v>44484</v>
      </c>
      <c r="AD807" s="0" t="s">
        <v>147</v>
      </c>
      <c r="AE807" s="0" t="s">
        <v>148</v>
      </c>
      <c r="AF807" s="0" t="s">
        <v>149</v>
      </c>
      <c r="AH807" s="0" t="n">
        <v>14</v>
      </c>
      <c r="AI807" s="0" t="n">
        <v>11</v>
      </c>
      <c r="AN807" s="0" t="s">
        <v>145</v>
      </c>
      <c r="AO807" s="0" t="s">
        <v>233</v>
      </c>
      <c r="AP807" s="0" t="s">
        <v>234</v>
      </c>
      <c r="AQ807" s="0" t="n">
        <v>9</v>
      </c>
      <c r="AR807" s="0" t="n">
        <v>64</v>
      </c>
      <c r="AS807" s="0" t="n">
        <v>32</v>
      </c>
      <c r="AU807" s="0" t="n">
        <f aca="false">COUNTA($BA$2201:$EH$2201)</f>
        <v>50</v>
      </c>
      <c r="AV807" s="0" t="n">
        <f aca="false">COUNTIF($BA$2201:$EH$2201,"D")</f>
        <v>17</v>
      </c>
      <c r="AW807" s="0" t="n">
        <f aca="false">COUNTIF($BA$2201:$EH$2201,"R")</f>
        <v>0</v>
      </c>
      <c r="AX807" s="0" t="n">
        <f aca="false">IF(BN807="D",1,0)+IF(BO807="D",1,0)+IF(BT807="D",1,0)+IF(BU807="D",1,0)+IF(BW807="D",1,0)+IF(CC807="D",1,0)+IF(CD807="D",1,0)+IF(CE807="D",1,0)+IF(CF807="D",1,0)+IF(CL807="D",1,0)+IF(CM807="D",1,0)+IF(CQ807="D",1,0)+IF(CR807="D",1,0)+IF(CS807="D",1,0)+IF(CW807="D",1,0)+IF(CX807="D",1,0)+IF(DD807="D",1,0)+IF(DE807="D",1,0)+IF(DJ807="D",1,0)+IF(DK807="D",1,0)+IF(DO807="D",1,0)+IF(DP807="D",1,0)+IF(DQ807="D",1,0)+IF(DW807="D",1,0)+IF(DZ807="D",1,0)+IF(EH807="D",1,0)</f>
        <v>0</v>
      </c>
      <c r="AY807" s="0" t="n">
        <f aca="false">COUNTIF(DU807:EH807, "&lt;&gt;")</f>
        <v>2</v>
      </c>
      <c r="AZ807" s="0" t="n">
        <f aca="false">IF(EH807&lt;&gt;"",1,0)</f>
        <v>0</v>
      </c>
      <c r="BB807" s="0" t="s">
        <v>152</v>
      </c>
      <c r="BL807" s="0" t="s">
        <v>153</v>
      </c>
      <c r="DC807" s="0" t="s">
        <v>153</v>
      </c>
      <c r="DI807" s="0" t="s">
        <v>153</v>
      </c>
      <c r="DN807" s="0" t="s">
        <v>153</v>
      </c>
      <c r="DU807" s="0" t="s">
        <v>153</v>
      </c>
      <c r="EA807" s="0" t="s">
        <v>153</v>
      </c>
    </row>
    <row r="808" customFormat="false" ht="13.8" hidden="false" customHeight="false" outlineLevel="0" collapsed="false">
      <c r="A808" s="0" t="s">
        <v>4071</v>
      </c>
      <c r="B808" s="0" t="n">
        <v>78</v>
      </c>
      <c r="C808" s="0" t="n">
        <v>419355</v>
      </c>
      <c r="D808" s="0" t="s">
        <v>4066</v>
      </c>
      <c r="E808" s="0" t="s">
        <v>4072</v>
      </c>
      <c r="F808" s="0" t="str">
        <f aca="false">CONCATENATE(D808," ",LEFT(H808,4),"T=",AU808,"D=",AV808,"R=",AW808,"M=",AX808,"L=",AY808,"B=",AZ808)</f>
        <v>PRIEST T=4D=0R=0M=0L=2B=0</v>
      </c>
      <c r="I808" s="0" t="s">
        <v>4073</v>
      </c>
      <c r="J808" s="0" t="s">
        <v>386</v>
      </c>
      <c r="K808" s="0" t="s">
        <v>160</v>
      </c>
      <c r="M808" s="0" t="s">
        <v>4070</v>
      </c>
      <c r="N808" s="0" t="str">
        <f aca="false">RIGHT(M808,LEN(M808)-FIND(" ",M808))</f>
        <v>HOMEWOOD AVE SE</v>
      </c>
      <c r="P808" s="0" t="s">
        <v>145</v>
      </c>
      <c r="Q808" s="0" t="s">
        <v>146</v>
      </c>
      <c r="R808" s="0" t="n">
        <v>44484</v>
      </c>
      <c r="AD808" s="0" t="s">
        <v>147</v>
      </c>
      <c r="AE808" s="0" t="s">
        <v>148</v>
      </c>
      <c r="AF808" s="0" t="s">
        <v>149</v>
      </c>
      <c r="AH808" s="0" t="n">
        <v>14</v>
      </c>
      <c r="AI808" s="0" t="n">
        <v>11</v>
      </c>
      <c r="AN808" s="0" t="s">
        <v>145</v>
      </c>
      <c r="AO808" s="0" t="s">
        <v>233</v>
      </c>
      <c r="AP808" s="0" t="s">
        <v>234</v>
      </c>
      <c r="AQ808" s="0" t="n">
        <v>9</v>
      </c>
      <c r="AR808" s="0" t="n">
        <v>64</v>
      </c>
      <c r="AS808" s="0" t="n">
        <v>32</v>
      </c>
      <c r="AU808" s="0" t="n">
        <f aca="false">COUNTA($BA$2241:$EH$2241)</f>
        <v>4</v>
      </c>
      <c r="AV808" s="0" t="n">
        <f aca="false">COUNTIF($BA$2241:$EH$2241,"D")</f>
        <v>0</v>
      </c>
      <c r="AW808" s="0" t="n">
        <f aca="false">COUNTIF($BA$2241:$EH$2241,"R")</f>
        <v>0</v>
      </c>
      <c r="AX808" s="0" t="n">
        <f aca="false">IF(BN808="D",1,0)+IF(BO808="D",1,0)+IF(BT808="D",1,0)+IF(BU808="D",1,0)+IF(BW808="D",1,0)+IF(CC808="D",1,0)+IF(CD808="D",1,0)+IF(CE808="D",1,0)+IF(CF808="D",1,0)+IF(CL808="D",1,0)+IF(CM808="D",1,0)+IF(CQ808="D",1,0)+IF(CR808="D",1,0)+IF(CS808="D",1,0)+IF(CW808="D",1,0)+IF(CX808="D",1,0)+IF(DD808="D",1,0)+IF(DE808="D",1,0)+IF(DJ808="D",1,0)+IF(DK808="D",1,0)+IF(DO808="D",1,0)+IF(DP808="D",1,0)+IF(DQ808="D",1,0)+IF(DW808="D",1,0)+IF(DZ808="D",1,0)+IF(EH808="D",1,0)</f>
        <v>0</v>
      </c>
      <c r="AY808" s="0" t="n">
        <f aca="false">COUNTIF(DU808:EH808, "&lt;&gt;")</f>
        <v>2</v>
      </c>
      <c r="AZ808" s="0" t="n">
        <f aca="false">IF(EH808&lt;&gt;"",1,0)</f>
        <v>0</v>
      </c>
      <c r="BB808" s="0" t="s">
        <v>152</v>
      </c>
      <c r="DC808" s="0" t="s">
        <v>153</v>
      </c>
      <c r="DI808" s="0" t="s">
        <v>153</v>
      </c>
      <c r="DN808" s="0" t="s">
        <v>153</v>
      </c>
      <c r="DU808" s="0" t="s">
        <v>153</v>
      </c>
      <c r="EF808" s="0" t="s">
        <v>153</v>
      </c>
    </row>
    <row r="809" customFormat="false" ht="13.8" hidden="true" customHeight="false" outlineLevel="0" collapsed="false">
      <c r="A809" s="0" t="s">
        <v>4074</v>
      </c>
      <c r="B809" s="0" t="n">
        <v>78</v>
      </c>
      <c r="C809" s="0" t="n">
        <v>475032</v>
      </c>
      <c r="D809" s="0" t="s">
        <v>4066</v>
      </c>
      <c r="E809" s="0" t="s">
        <v>4075</v>
      </c>
      <c r="F809" s="0" t="str">
        <f aca="false">CONCATENATE(D809," ",LEFT(H809,4),"T=",AU809,"D=",AV809,"R=",AW809,"M=",AX809,"L=",AY809,"B=",AZ809)</f>
        <v>PRIEST T=9D=1R=0M=0L=1B=0</v>
      </c>
      <c r="I809" s="0" t="s">
        <v>4076</v>
      </c>
      <c r="J809" s="0" t="s">
        <v>2120</v>
      </c>
      <c r="K809" s="0" t="s">
        <v>160</v>
      </c>
      <c r="M809" s="0" t="s">
        <v>4070</v>
      </c>
      <c r="N809" s="0" t="str">
        <f aca="false">RIGHT(M809,LEN(M809)-FIND(" ",M809))</f>
        <v>HOMEWOOD AVE SE</v>
      </c>
      <c r="P809" s="0" t="s">
        <v>145</v>
      </c>
      <c r="Q809" s="0" t="s">
        <v>146</v>
      </c>
      <c r="R809" s="0" t="n">
        <v>44484</v>
      </c>
      <c r="AD809" s="0" t="s">
        <v>147</v>
      </c>
      <c r="AE809" s="0" t="s">
        <v>148</v>
      </c>
      <c r="AF809" s="0" t="s">
        <v>149</v>
      </c>
      <c r="AH809" s="0" t="n">
        <v>14</v>
      </c>
      <c r="AI809" s="0" t="n">
        <v>11</v>
      </c>
      <c r="AN809" s="0" t="s">
        <v>145</v>
      </c>
      <c r="AO809" s="0" t="s">
        <v>233</v>
      </c>
      <c r="AP809" s="0" t="s">
        <v>234</v>
      </c>
      <c r="AQ809" s="0" t="n">
        <v>9</v>
      </c>
      <c r="AR809" s="0" t="n">
        <v>64</v>
      </c>
      <c r="AS809" s="0" t="n">
        <v>32</v>
      </c>
      <c r="AU809" s="0" t="n">
        <f aca="false">COUNTA($BA$2295:$EH$2295)</f>
        <v>9</v>
      </c>
      <c r="AV809" s="0" t="n">
        <f aca="false">COUNTIF($BA$2295:$EH$2295,"D")</f>
        <v>1</v>
      </c>
      <c r="AW809" s="0" t="n">
        <f aca="false">COUNTIF($BA$2295:$EH$2295,"R")</f>
        <v>0</v>
      </c>
      <c r="AX809" s="0" t="n">
        <f aca="false">IF(BN809="D",1,0)+IF(BO809="D",1,0)+IF(BT809="D",1,0)+IF(BU809="D",1,0)+IF(BW809="D",1,0)+IF(CC809="D",1,0)+IF(CD809="D",1,0)+IF(CE809="D",1,0)+IF(CF809="D",1,0)+IF(CL809="D",1,0)+IF(CM809="D",1,0)+IF(CQ809="D",1,0)+IF(CR809="D",1,0)+IF(CS809="D",1,0)+IF(CW809="D",1,0)+IF(CX809="D",1,0)+IF(DD809="D",1,0)+IF(DE809="D",1,0)+IF(DJ809="D",1,0)+IF(DK809="D",1,0)+IF(DO809="D",1,0)+IF(DP809="D",1,0)+IF(DQ809="D",1,0)+IF(DW809="D",1,0)+IF(DZ809="D",1,0)+IF(EH809="D",1,0)</f>
        <v>0</v>
      </c>
      <c r="AY809" s="0" t="n">
        <f aca="false">COUNTIF(DU809:EH809, "&lt;&gt;")</f>
        <v>1</v>
      </c>
      <c r="AZ809" s="0" t="n">
        <f aca="false">IF(EH809&lt;&gt;"",1,0)</f>
        <v>0</v>
      </c>
      <c r="BB809" s="0" t="s">
        <v>152</v>
      </c>
      <c r="DX809" s="0" t="s">
        <v>153</v>
      </c>
    </row>
    <row r="810" customFormat="false" ht="13.8" hidden="true" customHeight="false" outlineLevel="0" collapsed="false">
      <c r="A810" s="0" t="s">
        <v>4077</v>
      </c>
      <c r="B810" s="0" t="n">
        <v>78</v>
      </c>
      <c r="C810" s="0" t="n">
        <v>409224</v>
      </c>
      <c r="D810" s="0" t="s">
        <v>4078</v>
      </c>
      <c r="E810" s="0" t="s">
        <v>4079</v>
      </c>
      <c r="F810" s="0" t="str">
        <f aca="false">CONCATENATE(D810," ",LEFT(H810,4),"T=",AU810,"D=",AV810,"R=",AW810,"M=",AX810,"L=",AY810,"B=",AZ810)</f>
        <v>RUSS JRT=3D=0R=0M=0L=0B=0</v>
      </c>
      <c r="G810" s="0" t="s">
        <v>2130</v>
      </c>
      <c r="H810" s="0" t="s">
        <v>314</v>
      </c>
      <c r="I810" s="0" t="s">
        <v>4080</v>
      </c>
      <c r="J810" s="0" t="s">
        <v>3340</v>
      </c>
      <c r="K810" s="0" t="s">
        <v>160</v>
      </c>
      <c r="M810" s="0" t="s">
        <v>4070</v>
      </c>
      <c r="N810" s="0" t="str">
        <f aca="false">RIGHT(M810,LEN(M810)-FIND(" ",M810))</f>
        <v>HOMEWOOD AVE SE</v>
      </c>
      <c r="P810" s="0" t="s">
        <v>145</v>
      </c>
      <c r="Q810" s="0" t="s">
        <v>146</v>
      </c>
      <c r="R810" s="0" t="n">
        <v>44484</v>
      </c>
      <c r="AD810" s="0" t="s">
        <v>147</v>
      </c>
      <c r="AE810" s="0" t="s">
        <v>148</v>
      </c>
      <c r="AF810" s="0" t="s">
        <v>149</v>
      </c>
      <c r="AH810" s="0" t="n">
        <v>14</v>
      </c>
      <c r="AI810" s="0" t="n">
        <v>11</v>
      </c>
      <c r="AN810" s="0" t="s">
        <v>145</v>
      </c>
      <c r="AO810" s="0" t="s">
        <v>233</v>
      </c>
      <c r="AP810" s="0" t="s">
        <v>234</v>
      </c>
      <c r="AQ810" s="0" t="n">
        <v>9</v>
      </c>
      <c r="AR810" s="0" t="n">
        <v>64</v>
      </c>
      <c r="AS810" s="0" t="n">
        <v>32</v>
      </c>
      <c r="AU810" s="0" t="n">
        <f aca="false">COUNTA($BA$2299:$EH$2299)</f>
        <v>3</v>
      </c>
      <c r="AV810" s="0" t="n">
        <f aca="false">COUNTIF($BA$2299:$EH$2299,"D")</f>
        <v>0</v>
      </c>
      <c r="AW810" s="0" t="n">
        <f aca="false">COUNTIF($BA$2299:$EH$2299,"R")</f>
        <v>0</v>
      </c>
      <c r="AX810" s="0" t="n">
        <f aca="false">IF(BN810="D",1,0)+IF(BO810="D",1,0)+IF(BT810="D",1,0)+IF(BU810="D",1,0)+IF(BW810="D",1,0)+IF(CC810="D",1,0)+IF(CD810="D",1,0)+IF(CE810="D",1,0)+IF(CF810="D",1,0)+IF(CL810="D",1,0)+IF(CM810="D",1,0)+IF(CQ810="D",1,0)+IF(CR810="D",1,0)+IF(CS810="D",1,0)+IF(CW810="D",1,0)+IF(CX810="D",1,0)+IF(DD810="D",1,0)+IF(DE810="D",1,0)+IF(DJ810="D",1,0)+IF(DK810="D",1,0)+IF(DO810="D",1,0)+IF(DP810="D",1,0)+IF(DQ810="D",1,0)+IF(DW810="D",1,0)+IF(DZ810="D",1,0)+IF(EH810="D",1,0)</f>
        <v>0</v>
      </c>
      <c r="AY810" s="0" t="n">
        <f aca="false">COUNTIF(DU810:EH810, "&lt;&gt;")</f>
        <v>0</v>
      </c>
      <c r="AZ810" s="0" t="n">
        <f aca="false">IF(EH810&lt;&gt;"",1,0)</f>
        <v>0</v>
      </c>
      <c r="BB810" s="0" t="s">
        <v>152</v>
      </c>
    </row>
    <row r="811" customFormat="false" ht="13.8" hidden="false" customHeight="false" outlineLevel="0" collapsed="false">
      <c r="A811" s="0" t="s">
        <v>4081</v>
      </c>
      <c r="B811" s="0" t="n">
        <v>78</v>
      </c>
      <c r="C811" s="0" t="n">
        <v>14454</v>
      </c>
      <c r="D811" s="0" t="s">
        <v>3872</v>
      </c>
      <c r="E811" s="0" t="s">
        <v>4082</v>
      </c>
      <c r="F811" s="0" t="str">
        <f aca="false">CONCATENATE(D811," ",LEFT(H811,4),"T=",AU811,"D=",AV811,"R=",AW811,"M=",AX811,"L=",AY811,"B=",AZ811)</f>
        <v>SPENCER T=12D=0R=5M=5L=7B=1</v>
      </c>
      <c r="G811" s="0" t="s">
        <v>195</v>
      </c>
      <c r="I811" s="0" t="s">
        <v>4083</v>
      </c>
      <c r="J811" s="0" t="s">
        <v>4084</v>
      </c>
      <c r="K811" s="0" t="s">
        <v>160</v>
      </c>
      <c r="L811" s="0" t="s">
        <v>175</v>
      </c>
      <c r="M811" s="0" t="s">
        <v>4085</v>
      </c>
      <c r="N811" s="0" t="str">
        <f aca="false">RIGHT(M811,LEN(M811)-FIND(" ",M811))</f>
        <v>HOMEWOOD AVE SE</v>
      </c>
      <c r="P811" s="0" t="s">
        <v>145</v>
      </c>
      <c r="Q811" s="0" t="s">
        <v>146</v>
      </c>
      <c r="R811" s="0" t="n">
        <v>44484</v>
      </c>
      <c r="AD811" s="0" t="s">
        <v>147</v>
      </c>
      <c r="AE811" s="0" t="s">
        <v>148</v>
      </c>
      <c r="AF811" s="0" t="s">
        <v>149</v>
      </c>
      <c r="AH811" s="0" t="n">
        <v>14</v>
      </c>
      <c r="AI811" s="0" t="n">
        <v>11</v>
      </c>
      <c r="AN811" s="0" t="s">
        <v>145</v>
      </c>
      <c r="AO811" s="0" t="s">
        <v>233</v>
      </c>
      <c r="AP811" s="0" t="s">
        <v>234</v>
      </c>
      <c r="AQ811" s="0" t="n">
        <v>9</v>
      </c>
      <c r="AR811" s="0" t="n">
        <v>64</v>
      </c>
      <c r="AS811" s="0" t="n">
        <v>32</v>
      </c>
      <c r="AU811" s="0" t="n">
        <f aca="false">COUNTA($BA$2513:$EH$2513)</f>
        <v>12</v>
      </c>
      <c r="AV811" s="0" t="n">
        <f aca="false">COUNTIF($BA$2513:$EH$2513,"D")</f>
        <v>0</v>
      </c>
      <c r="AW811" s="0" t="n">
        <f aca="false">COUNTIF($BA$2513:$EH$2513,"R")</f>
        <v>5</v>
      </c>
      <c r="AX811" s="0" t="n">
        <f aca="false">IF(BN811="D",1,0)+IF(BO811="D",1,0)+IF(BT811="D",1,0)+IF(BU811="D",1,0)+IF(BW811="D",1,0)+IF(CC811="D",1,0)+IF(CD811="D",1,0)+IF(CE811="D",1,0)+IF(CF811="D",1,0)+IF(CL811="D",1,0)+IF(CM811="D",1,0)+IF(CQ811="D",1,0)+IF(CR811="D",1,0)+IF(CS811="D",1,0)+IF(CW811="D",1,0)+IF(CX811="D",1,0)+IF(DD811="D",1,0)+IF(DE811="D",1,0)+IF(DJ811="D",1,0)+IF(DK811="D",1,0)+IF(DO811="D",1,0)+IF(DP811="D",1,0)+IF(DQ811="D",1,0)+IF(DW811="D",1,0)+IF(DZ811="D",1,0)+IF(EH811="D",1,0)</f>
        <v>5</v>
      </c>
      <c r="AY811" s="0" t="n">
        <f aca="false">COUNTIF(DU811:EH811, "&lt;&gt;")</f>
        <v>7</v>
      </c>
      <c r="AZ811" s="0" t="n">
        <f aca="false">IF(EH811&lt;&gt;"",1,0)</f>
        <v>1</v>
      </c>
      <c r="BB811" s="0" t="s">
        <v>152</v>
      </c>
      <c r="BC811" s="0" t="s">
        <v>153</v>
      </c>
      <c r="BD811" s="0" t="s">
        <v>153</v>
      </c>
      <c r="BE811" s="0" t="s">
        <v>153</v>
      </c>
      <c r="BH811" s="0" t="s">
        <v>153</v>
      </c>
      <c r="BI811" s="0" t="s">
        <v>153</v>
      </c>
      <c r="BJ811" s="0" t="s">
        <v>153</v>
      </c>
      <c r="BK811" s="0" t="s">
        <v>153</v>
      </c>
      <c r="BL811" s="0" t="s">
        <v>153</v>
      </c>
      <c r="BP811" s="0" t="s">
        <v>153</v>
      </c>
      <c r="BR811" s="0" t="s">
        <v>153</v>
      </c>
      <c r="BS811" s="0" t="s">
        <v>153</v>
      </c>
      <c r="BY811" s="0" t="s">
        <v>175</v>
      </c>
      <c r="CA811" s="0" t="s">
        <v>153</v>
      </c>
      <c r="CG811" s="0" t="s">
        <v>153</v>
      </c>
      <c r="CH811" s="0" t="s">
        <v>175</v>
      </c>
      <c r="CK811" s="0" t="s">
        <v>153</v>
      </c>
      <c r="CL811" s="0" t="s">
        <v>175</v>
      </c>
      <c r="CN811" s="0" t="s">
        <v>153</v>
      </c>
      <c r="CO811" s="0" t="s">
        <v>175</v>
      </c>
      <c r="CP811" s="0" t="s">
        <v>153</v>
      </c>
      <c r="CQ811" s="0" t="s">
        <v>175</v>
      </c>
      <c r="CT811" s="0" t="s">
        <v>153</v>
      </c>
      <c r="CV811" s="0" t="s">
        <v>153</v>
      </c>
      <c r="CY811" s="0" t="s">
        <v>153</v>
      </c>
      <c r="CZ811" s="0" t="s">
        <v>175</v>
      </c>
      <c r="DC811" s="0" t="s">
        <v>153</v>
      </c>
      <c r="DF811" s="0" t="s">
        <v>153</v>
      </c>
      <c r="DG811" s="0" t="s">
        <v>175</v>
      </c>
      <c r="DI811" s="0" t="s">
        <v>153</v>
      </c>
      <c r="DJ811" s="0" t="s">
        <v>175</v>
      </c>
      <c r="DL811" s="0" t="s">
        <v>153</v>
      </c>
      <c r="DM811" s="0" t="s">
        <v>175</v>
      </c>
      <c r="DN811" s="0" t="s">
        <v>153</v>
      </c>
      <c r="DR811" s="0" t="s">
        <v>153</v>
      </c>
      <c r="DS811" s="0" t="s">
        <v>175</v>
      </c>
      <c r="DT811" s="0" t="s">
        <v>175</v>
      </c>
      <c r="DU811" s="0" t="s">
        <v>153</v>
      </c>
      <c r="DW811" s="0" t="s">
        <v>175</v>
      </c>
      <c r="DX811" s="0" t="s">
        <v>153</v>
      </c>
      <c r="EA811" s="0" t="s">
        <v>153</v>
      </c>
      <c r="ED811" s="0" t="s">
        <v>175</v>
      </c>
      <c r="EF811" s="0" t="s">
        <v>153</v>
      </c>
      <c r="EH811" s="0" t="s">
        <v>175</v>
      </c>
    </row>
    <row r="812" customFormat="false" ht="13.8" hidden="true" customHeight="false" outlineLevel="0" collapsed="false">
      <c r="A812" s="0" t="s">
        <v>4086</v>
      </c>
      <c r="B812" s="0" t="n">
        <v>78</v>
      </c>
      <c r="C812" s="0" t="n">
        <v>436309</v>
      </c>
      <c r="D812" s="0" t="s">
        <v>4087</v>
      </c>
      <c r="E812" s="0" t="s">
        <v>4088</v>
      </c>
      <c r="F812" s="0" t="str">
        <f aca="false">CONCATENATE(D812," ",LEFT(H812,4),"T=",AU812,"D=",AV812,"R=",AW812,"M=",AX812,"L=",AY812,"B=",AZ812)</f>
        <v>ANNEMAN T=11D=1R=0M=0L=0B=0</v>
      </c>
      <c r="G812" s="0" t="s">
        <v>164</v>
      </c>
      <c r="I812" s="0" t="s">
        <v>4089</v>
      </c>
      <c r="J812" s="0" t="s">
        <v>4090</v>
      </c>
      <c r="K812" s="0" t="s">
        <v>160</v>
      </c>
      <c r="M812" s="0" t="s">
        <v>4091</v>
      </c>
      <c r="N812" s="0" t="str">
        <f aca="false">RIGHT(M812,LEN(M812)-FIND(" ",M812))</f>
        <v>HOMEWOOD AVE SE</v>
      </c>
      <c r="P812" s="0" t="s">
        <v>145</v>
      </c>
      <c r="Q812" s="0" t="s">
        <v>146</v>
      </c>
      <c r="R812" s="0" t="n">
        <v>44484</v>
      </c>
      <c r="AD812" s="0" t="s">
        <v>147</v>
      </c>
      <c r="AE812" s="0" t="s">
        <v>148</v>
      </c>
      <c r="AF812" s="0" t="s">
        <v>149</v>
      </c>
      <c r="AH812" s="0" t="n">
        <v>14</v>
      </c>
      <c r="AI812" s="0" t="n">
        <v>11</v>
      </c>
      <c r="AN812" s="0" t="s">
        <v>145</v>
      </c>
      <c r="AO812" s="0" t="s">
        <v>233</v>
      </c>
      <c r="AP812" s="0" t="s">
        <v>234</v>
      </c>
      <c r="AQ812" s="0" t="n">
        <v>9</v>
      </c>
      <c r="AR812" s="0" t="n">
        <v>64</v>
      </c>
      <c r="AS812" s="0" t="n">
        <v>32</v>
      </c>
      <c r="AU812" s="0" t="n">
        <f aca="false">COUNTA($BA$2521:$EH$2521)</f>
        <v>11</v>
      </c>
      <c r="AV812" s="0" t="n">
        <f aca="false">COUNTIF($BA$2521:$EH$2521,"D")</f>
        <v>1</v>
      </c>
      <c r="AW812" s="0" t="n">
        <f aca="false">COUNTIF($BA$2521:$EH$2521,"R")</f>
        <v>0</v>
      </c>
      <c r="AX812" s="0" t="n">
        <f aca="false">IF(BN812="D",1,0)+IF(BO812="D",1,0)+IF(BT812="D",1,0)+IF(BU812="D",1,0)+IF(BW812="D",1,0)+IF(CC812="D",1,0)+IF(CD812="D",1,0)+IF(CE812="D",1,0)+IF(CF812="D",1,0)+IF(CL812="D",1,0)+IF(CM812="D",1,0)+IF(CQ812="D",1,0)+IF(CR812="D",1,0)+IF(CS812="D",1,0)+IF(CW812="D",1,0)+IF(CX812="D",1,0)+IF(DD812="D",1,0)+IF(DE812="D",1,0)+IF(DJ812="D",1,0)+IF(DK812="D",1,0)+IF(DO812="D",1,0)+IF(DP812="D",1,0)+IF(DQ812="D",1,0)+IF(DW812="D",1,0)+IF(DZ812="D",1,0)+IF(EH812="D",1,0)</f>
        <v>0</v>
      </c>
      <c r="AY812" s="0" t="n">
        <f aca="false">COUNTIF(DU812:EH812, "&lt;&gt;")</f>
        <v>0</v>
      </c>
      <c r="AZ812" s="0" t="n">
        <f aca="false">IF(EH812&lt;&gt;"",1,0)</f>
        <v>0</v>
      </c>
      <c r="BB812" s="0" t="s">
        <v>152</v>
      </c>
      <c r="DN812" s="0" t="s">
        <v>153</v>
      </c>
    </row>
    <row r="813" customFormat="false" ht="13.8" hidden="false" customHeight="false" outlineLevel="0" collapsed="false">
      <c r="A813" s="0" t="s">
        <v>4092</v>
      </c>
      <c r="B813" s="0" t="n">
        <v>78</v>
      </c>
      <c r="C813" s="0" t="n">
        <v>391930</v>
      </c>
      <c r="D813" s="0" t="s">
        <v>1547</v>
      </c>
      <c r="E813" s="0" t="s">
        <v>4093</v>
      </c>
      <c r="F813" s="0" t="str">
        <f aca="false">CONCATENATE(D813," ",LEFT(H813,4),"T=",AU813,"D=",AV813,"R=",AW813,"M=",AX813,"L=",AY813,"B=",AZ813)</f>
        <v>WASHINGTON T=29D=6R=0M=1L=5B=0</v>
      </c>
      <c r="G813" s="0" t="s">
        <v>190</v>
      </c>
      <c r="I813" s="0" t="s">
        <v>4094</v>
      </c>
      <c r="J813" s="0" t="s">
        <v>4095</v>
      </c>
      <c r="K813" s="0" t="s">
        <v>160</v>
      </c>
      <c r="L813" s="0" t="s">
        <v>175</v>
      </c>
      <c r="M813" s="0" t="s">
        <v>4096</v>
      </c>
      <c r="N813" s="0" t="str">
        <f aca="false">RIGHT(M813,LEN(M813)-FIND(" ",M813))</f>
        <v>HOMEWOOD AVE SE</v>
      </c>
      <c r="P813" s="0" t="s">
        <v>145</v>
      </c>
      <c r="Q813" s="0" t="s">
        <v>146</v>
      </c>
      <c r="R813" s="0" t="n">
        <v>44484</v>
      </c>
      <c r="AD813" s="0" t="s">
        <v>147</v>
      </c>
      <c r="AE813" s="0" t="s">
        <v>148</v>
      </c>
      <c r="AF813" s="0" t="s">
        <v>149</v>
      </c>
      <c r="AH813" s="0" t="n">
        <v>14</v>
      </c>
      <c r="AI813" s="0" t="n">
        <v>11</v>
      </c>
      <c r="AN813" s="0" t="s">
        <v>145</v>
      </c>
      <c r="AO813" s="0" t="s">
        <v>233</v>
      </c>
      <c r="AP813" s="0" t="s">
        <v>234</v>
      </c>
      <c r="AQ813" s="0" t="n">
        <v>9</v>
      </c>
      <c r="AR813" s="0" t="n">
        <v>64</v>
      </c>
      <c r="AS813" s="0" t="n">
        <v>32</v>
      </c>
      <c r="AU813" s="0" t="n">
        <f aca="false">COUNTA($BA$2198:$EH$2198)</f>
        <v>29</v>
      </c>
      <c r="AV813" s="0" t="n">
        <f aca="false">COUNTIF($BA$2198:$EH$2198,"D")</f>
        <v>6</v>
      </c>
      <c r="AW813" s="0" t="n">
        <f aca="false">COUNTIF($BA$2198:$EH$2198,"R")</f>
        <v>0</v>
      </c>
      <c r="AX813" s="0" t="n">
        <f aca="false">IF(BN813="D",1,0)+IF(BO813="D",1,0)+IF(BT813="D",1,0)+IF(BU813="D",1,0)+IF(BW813="D",1,0)+IF(CC813="D",1,0)+IF(CD813="D",1,0)+IF(CE813="D",1,0)+IF(CF813="D",1,0)+IF(CL813="D",1,0)+IF(CM813="D",1,0)+IF(CQ813="D",1,0)+IF(CR813="D",1,0)+IF(CS813="D",1,0)+IF(CW813="D",1,0)+IF(CX813="D",1,0)+IF(DD813="D",1,0)+IF(DE813="D",1,0)+IF(DJ813="D",1,0)+IF(DK813="D",1,0)+IF(DO813="D",1,0)+IF(DP813="D",1,0)+IF(DQ813="D",1,0)+IF(DW813="D",1,0)+IF(DZ813="D",1,0)+IF(EH813="D",1,0)</f>
        <v>1</v>
      </c>
      <c r="AY813" s="0" t="n">
        <f aca="false">COUNTIF(DU813:EH813, "&lt;&gt;")</f>
        <v>5</v>
      </c>
      <c r="AZ813" s="0" t="n">
        <f aca="false">IF(EH813&lt;&gt;"",1,0)</f>
        <v>0</v>
      </c>
      <c r="BB813" s="0" t="s">
        <v>152</v>
      </c>
      <c r="BD813" s="0" t="s">
        <v>153</v>
      </c>
      <c r="BF813" s="0" t="s">
        <v>153</v>
      </c>
      <c r="BH813" s="0" t="s">
        <v>153</v>
      </c>
      <c r="BI813" s="0" t="s">
        <v>153</v>
      </c>
      <c r="BL813" s="0" t="s">
        <v>153</v>
      </c>
      <c r="CA813" s="0" t="s">
        <v>153</v>
      </c>
      <c r="CP813" s="0" t="s">
        <v>153</v>
      </c>
      <c r="CV813" s="0" t="s">
        <v>153</v>
      </c>
      <c r="CY813" s="0" t="s">
        <v>153</v>
      </c>
      <c r="DC813" s="0" t="s">
        <v>153</v>
      </c>
      <c r="DI813" s="0" t="s">
        <v>153</v>
      </c>
      <c r="DL813" s="0" t="s">
        <v>153</v>
      </c>
      <c r="DM813" s="0" t="s">
        <v>175</v>
      </c>
      <c r="DN813" s="0" t="s">
        <v>153</v>
      </c>
      <c r="DU813" s="0" t="s">
        <v>153</v>
      </c>
      <c r="DW813" s="0" t="s">
        <v>175</v>
      </c>
      <c r="DX813" s="0" t="s">
        <v>153</v>
      </c>
      <c r="EA813" s="0" t="s">
        <v>153</v>
      </c>
      <c r="EF813" s="0" t="s">
        <v>153</v>
      </c>
    </row>
    <row r="814" customFormat="false" ht="13.8" hidden="true" customHeight="false" outlineLevel="0" collapsed="false">
      <c r="A814" s="0" t="s">
        <v>4097</v>
      </c>
      <c r="B814" s="0" t="n">
        <v>78</v>
      </c>
      <c r="C814" s="0" t="n">
        <v>298909</v>
      </c>
      <c r="D814" s="0" t="s">
        <v>2523</v>
      </c>
      <c r="E814" s="0" t="s">
        <v>4098</v>
      </c>
      <c r="F814" s="0" t="str">
        <f aca="false">CONCATENATE(D814," ",LEFT(H814,4),"T=",AU814,"D=",AV814,"R=",AW814,"M=",AX814,"L=",AY814,"B=",AZ814)</f>
        <v>HARRIS T=22D=1R=0M=0L=1B=0</v>
      </c>
      <c r="I814" s="0" t="s">
        <v>4099</v>
      </c>
      <c r="J814" s="0" t="s">
        <v>2284</v>
      </c>
      <c r="K814" s="0" t="s">
        <v>160</v>
      </c>
      <c r="M814" s="0" t="s">
        <v>4096</v>
      </c>
      <c r="N814" s="0" t="str">
        <f aca="false">RIGHT(M814,LEN(M814)-FIND(" ",M814))</f>
        <v>HOMEWOOD AVE SE</v>
      </c>
      <c r="P814" s="0" t="s">
        <v>145</v>
      </c>
      <c r="Q814" s="0" t="s">
        <v>146</v>
      </c>
      <c r="R814" s="0" t="n">
        <v>44484</v>
      </c>
      <c r="AD814" s="0" t="s">
        <v>147</v>
      </c>
      <c r="AE814" s="0" t="s">
        <v>148</v>
      </c>
      <c r="AF814" s="0" t="s">
        <v>149</v>
      </c>
      <c r="AH814" s="0" t="n">
        <v>14</v>
      </c>
      <c r="AI814" s="0" t="n">
        <v>11</v>
      </c>
      <c r="AN814" s="0" t="s">
        <v>145</v>
      </c>
      <c r="AO814" s="0" t="s">
        <v>233</v>
      </c>
      <c r="AP814" s="0" t="s">
        <v>234</v>
      </c>
      <c r="AQ814" s="0" t="n">
        <v>9</v>
      </c>
      <c r="AR814" s="0" t="n">
        <v>64</v>
      </c>
      <c r="AS814" s="0" t="n">
        <v>32</v>
      </c>
      <c r="AU814" s="0" t="n">
        <f aca="false">COUNTA($BA$2233:$EH$2233)</f>
        <v>22</v>
      </c>
      <c r="AV814" s="0" t="n">
        <f aca="false">COUNTIF($BA$2233:$EH$2233,"D")</f>
        <v>1</v>
      </c>
      <c r="AW814" s="0" t="n">
        <f aca="false">COUNTIF($BA$2233:$EH$2233,"R")</f>
        <v>0</v>
      </c>
      <c r="AX814" s="0" t="n">
        <f aca="false">IF(BN814="D",1,0)+IF(BO814="D",1,0)+IF(BT814="D",1,0)+IF(BU814="D",1,0)+IF(BW814="D",1,0)+IF(CC814="D",1,0)+IF(CD814="D",1,0)+IF(CE814="D",1,0)+IF(CF814="D",1,0)+IF(CL814="D",1,0)+IF(CM814="D",1,0)+IF(CQ814="D",1,0)+IF(CR814="D",1,0)+IF(CS814="D",1,0)+IF(CW814="D",1,0)+IF(CX814="D",1,0)+IF(DD814="D",1,0)+IF(DE814="D",1,0)+IF(DJ814="D",1,0)+IF(DK814="D",1,0)+IF(DO814="D",1,0)+IF(DP814="D",1,0)+IF(DQ814="D",1,0)+IF(DW814="D",1,0)+IF(DZ814="D",1,0)+IF(EH814="D",1,0)</f>
        <v>0</v>
      </c>
      <c r="AY814" s="0" t="n">
        <f aca="false">COUNTIF(DU814:EH814, "&lt;&gt;")</f>
        <v>1</v>
      </c>
      <c r="AZ814" s="0" t="n">
        <f aca="false">IF(EH814&lt;&gt;"",1,0)</f>
        <v>0</v>
      </c>
      <c r="BB814" s="0" t="s">
        <v>152</v>
      </c>
      <c r="BD814" s="0" t="s">
        <v>153</v>
      </c>
      <c r="BL814" s="0" t="s">
        <v>153</v>
      </c>
      <c r="BY814" s="0" t="s">
        <v>175</v>
      </c>
      <c r="CP814" s="0" t="s">
        <v>153</v>
      </c>
      <c r="DX814" s="0" t="s">
        <v>153</v>
      </c>
    </row>
    <row r="815" customFormat="false" ht="13.8" hidden="true" customHeight="false" outlineLevel="0" collapsed="false">
      <c r="A815" s="0" t="s">
        <v>4100</v>
      </c>
      <c r="B815" s="0" t="n">
        <v>78</v>
      </c>
      <c r="C815" s="0" t="n">
        <v>279629</v>
      </c>
      <c r="D815" s="0" t="s">
        <v>1547</v>
      </c>
      <c r="E815" s="0" t="s">
        <v>4101</v>
      </c>
      <c r="F815" s="0" t="str">
        <f aca="false">CONCATENATE(D815," ",LEFT(H815,4),"T=",AU815,"D=",AV815,"R=",AW815,"M=",AX815,"L=",AY815,"B=",AZ815)</f>
        <v>WASHINGTON IIIT=9D=1R=0M=0L=0B=0</v>
      </c>
      <c r="G815" s="0" t="s">
        <v>190</v>
      </c>
      <c r="H815" s="0" t="s">
        <v>1932</v>
      </c>
      <c r="I815" s="0" t="s">
        <v>4102</v>
      </c>
      <c r="J815" s="0" t="s">
        <v>3397</v>
      </c>
      <c r="K815" s="0" t="s">
        <v>143</v>
      </c>
      <c r="M815" s="0" t="s">
        <v>4096</v>
      </c>
      <c r="N815" s="0" t="str">
        <f aca="false">RIGHT(M815,LEN(M815)-FIND(" ",M815))</f>
        <v>HOMEWOOD AVE SE</v>
      </c>
      <c r="P815" s="0" t="s">
        <v>145</v>
      </c>
      <c r="Q815" s="0" t="s">
        <v>146</v>
      </c>
      <c r="R815" s="0" t="n">
        <v>44484</v>
      </c>
      <c r="AD815" s="0" t="s">
        <v>147</v>
      </c>
      <c r="AE815" s="0" t="s">
        <v>148</v>
      </c>
      <c r="AF815" s="0" t="s">
        <v>149</v>
      </c>
      <c r="AH815" s="0" t="n">
        <v>14</v>
      </c>
      <c r="AI815" s="0" t="n">
        <v>11</v>
      </c>
      <c r="AN815" s="0" t="s">
        <v>145</v>
      </c>
      <c r="AO815" s="0" t="s">
        <v>233</v>
      </c>
      <c r="AP815" s="0" t="s">
        <v>234</v>
      </c>
      <c r="AQ815" s="0" t="n">
        <v>9</v>
      </c>
      <c r="AR815" s="0" t="n">
        <v>64</v>
      </c>
      <c r="AS815" s="0" t="n">
        <v>32</v>
      </c>
      <c r="AU815" s="0" t="n">
        <f aca="false">COUNTA($BA$2547:$EH$2547)</f>
        <v>9</v>
      </c>
      <c r="AV815" s="0" t="n">
        <f aca="false">COUNTIF($BA$2547:$EH$2547,"D")</f>
        <v>1</v>
      </c>
      <c r="AW815" s="0" t="n">
        <f aca="false">COUNTIF($BA$2547:$EH$2547,"R")</f>
        <v>0</v>
      </c>
      <c r="AX815" s="0" t="n">
        <f aca="false">IF(BN815="D",1,0)+IF(BO815="D",1,0)+IF(BT815="D",1,0)+IF(BU815="D",1,0)+IF(BW815="D",1,0)+IF(CC815="D",1,0)+IF(CD815="D",1,0)+IF(CE815="D",1,0)+IF(CF815="D",1,0)+IF(CL815="D",1,0)+IF(CM815="D",1,0)+IF(CQ815="D",1,0)+IF(CR815="D",1,0)+IF(CS815="D",1,0)+IF(CW815="D",1,0)+IF(CX815="D",1,0)+IF(DD815="D",1,0)+IF(DE815="D",1,0)+IF(DJ815="D",1,0)+IF(DK815="D",1,0)+IF(DO815="D",1,0)+IF(DP815="D",1,0)+IF(DQ815="D",1,0)+IF(DW815="D",1,0)+IF(DZ815="D",1,0)+IF(EH815="D",1,0)</f>
        <v>0</v>
      </c>
      <c r="AY815" s="0" t="n">
        <f aca="false">COUNTIF(DU815:EH815, "&lt;&gt;")</f>
        <v>0</v>
      </c>
      <c r="AZ815" s="0" t="n">
        <f aca="false">IF(EH815&lt;&gt;"",1,0)</f>
        <v>0</v>
      </c>
      <c r="BB815" s="0" t="s">
        <v>152</v>
      </c>
      <c r="BG815" s="0" t="s">
        <v>153</v>
      </c>
      <c r="BL815" s="0" t="s">
        <v>153</v>
      </c>
      <c r="CP815" s="0" t="s">
        <v>153</v>
      </c>
    </row>
    <row r="816" customFormat="false" ht="13.8" hidden="false" customHeight="false" outlineLevel="0" collapsed="false">
      <c r="A816" s="0" t="s">
        <v>4103</v>
      </c>
      <c r="B816" s="0" t="n">
        <v>78</v>
      </c>
      <c r="C816" s="0" t="n">
        <v>324375</v>
      </c>
      <c r="D816" s="0" t="s">
        <v>2523</v>
      </c>
      <c r="E816" s="0" t="s">
        <v>4104</v>
      </c>
      <c r="F816" s="0" t="str">
        <f aca="false">CONCATENATE(D816," ",LEFT(H816,4),"T=",AU816,"D=",AV816,"R=",AW816,"M=",AX816,"L=",AY816,"B=",AZ816)</f>
        <v>HARRIS T=1D=0R=0M=1L=4B=0</v>
      </c>
      <c r="G816" s="0" t="s">
        <v>195</v>
      </c>
      <c r="I816" s="0" t="s">
        <v>4105</v>
      </c>
      <c r="J816" s="0" t="s">
        <v>4106</v>
      </c>
      <c r="K816" s="0" t="s">
        <v>160</v>
      </c>
      <c r="L816" s="0" t="s">
        <v>175</v>
      </c>
      <c r="M816" s="0" t="s">
        <v>4107</v>
      </c>
      <c r="N816" s="0" t="str">
        <f aca="false">RIGHT(M816,LEN(M816)-FIND(" ",M816))</f>
        <v>HOMEWOOD AVE SE</v>
      </c>
      <c r="P816" s="0" t="s">
        <v>145</v>
      </c>
      <c r="Q816" s="0" t="s">
        <v>146</v>
      </c>
      <c r="R816" s="0" t="n">
        <v>44484</v>
      </c>
      <c r="AD816" s="0" t="s">
        <v>147</v>
      </c>
      <c r="AE816" s="0" t="s">
        <v>148</v>
      </c>
      <c r="AF816" s="0" t="s">
        <v>149</v>
      </c>
      <c r="AH816" s="0" t="n">
        <v>14</v>
      </c>
      <c r="AI816" s="0" t="n">
        <v>11</v>
      </c>
      <c r="AN816" s="0" t="s">
        <v>145</v>
      </c>
      <c r="AO816" s="0" t="s">
        <v>233</v>
      </c>
      <c r="AP816" s="0" t="s">
        <v>234</v>
      </c>
      <c r="AQ816" s="0" t="n">
        <v>9</v>
      </c>
      <c r="AR816" s="0" t="n">
        <v>64</v>
      </c>
      <c r="AS816" s="0" t="n">
        <v>32</v>
      </c>
      <c r="AU816" s="0" t="n">
        <f aca="false">COUNTA($BA$2230:$EH$2230)</f>
        <v>1</v>
      </c>
      <c r="AV816" s="0" t="n">
        <f aca="false">COUNTIF($BA$2230:$EH$2230,"D")</f>
        <v>0</v>
      </c>
      <c r="AW816" s="0" t="n">
        <f aca="false">COUNTIF($BA$2230:$EH$2230,"R")</f>
        <v>0</v>
      </c>
      <c r="AX816" s="0" t="n">
        <f aca="false">IF(BN816="D",1,0)+IF(BO816="D",1,0)+IF(BT816="D",1,0)+IF(BU816="D",1,0)+IF(BW816="D",1,0)+IF(CC816="D",1,0)+IF(CD816="D",1,0)+IF(CE816="D",1,0)+IF(CF816="D",1,0)+IF(CL816="D",1,0)+IF(CM816="D",1,0)+IF(CQ816="D",1,0)+IF(CR816="D",1,0)+IF(CS816="D",1,0)+IF(CW816="D",1,0)+IF(CX816="D",1,0)+IF(DD816="D",1,0)+IF(DE816="D",1,0)+IF(DJ816="D",1,0)+IF(DK816="D",1,0)+IF(DO816="D",1,0)+IF(DP816="D",1,0)+IF(DQ816="D",1,0)+IF(DW816="D",1,0)+IF(DZ816="D",1,0)+IF(EH816="D",1,0)</f>
        <v>1</v>
      </c>
      <c r="AY816" s="0" t="n">
        <f aca="false">COUNTIF(DU816:EH816, "&lt;&gt;")</f>
        <v>4</v>
      </c>
      <c r="AZ816" s="0" t="n">
        <f aca="false">IF(EH816&lt;&gt;"",1,0)</f>
        <v>0</v>
      </c>
      <c r="BB816" s="0" t="s">
        <v>152</v>
      </c>
      <c r="BL816" s="0" t="s">
        <v>153</v>
      </c>
      <c r="BY816" s="0" t="s">
        <v>175</v>
      </c>
      <c r="CA816" s="0" t="s">
        <v>153</v>
      </c>
      <c r="CG816" s="0" t="s">
        <v>153</v>
      </c>
      <c r="CY816" s="0" t="s">
        <v>153</v>
      </c>
      <c r="CZ816" s="0" t="s">
        <v>175</v>
      </c>
      <c r="DC816" s="0" t="s">
        <v>153</v>
      </c>
      <c r="DI816" s="0" t="s">
        <v>153</v>
      </c>
      <c r="DL816" s="0" t="s">
        <v>153</v>
      </c>
      <c r="DM816" s="0" t="s">
        <v>175</v>
      </c>
      <c r="DN816" s="0" t="s">
        <v>153</v>
      </c>
      <c r="DU816" s="0" t="s">
        <v>153</v>
      </c>
      <c r="DW816" s="0" t="s">
        <v>175</v>
      </c>
      <c r="DX816" s="0" t="s">
        <v>153</v>
      </c>
      <c r="EF816" s="0" t="s">
        <v>153</v>
      </c>
    </row>
    <row r="817" customFormat="false" ht="13.8" hidden="false" customHeight="false" outlineLevel="0" collapsed="false">
      <c r="A817" s="0" t="s">
        <v>4108</v>
      </c>
      <c r="B817" s="0" t="n">
        <v>78</v>
      </c>
      <c r="C817" s="0" t="n">
        <v>14316</v>
      </c>
      <c r="D817" s="0" t="s">
        <v>2523</v>
      </c>
      <c r="E817" s="0" t="s">
        <v>829</v>
      </c>
      <c r="F817" s="0" t="str">
        <f aca="false">CONCATENATE(D817," ",LEFT(H817,4),"T=",AU817,"D=",AV817,"R=",AW817,"M=",AX817,"L=",AY817,"B=",AZ817)</f>
        <v>HARRIS T=3D=0R=0M=3L=6B=0</v>
      </c>
      <c r="G817" s="0" t="s">
        <v>713</v>
      </c>
      <c r="I817" s="0" t="s">
        <v>4109</v>
      </c>
      <c r="J817" s="0" t="s">
        <v>4110</v>
      </c>
      <c r="K817" s="0" t="s">
        <v>160</v>
      </c>
      <c r="L817" s="0" t="s">
        <v>175</v>
      </c>
      <c r="M817" s="0" t="s">
        <v>4107</v>
      </c>
      <c r="N817" s="0" t="str">
        <f aca="false">RIGHT(M817,LEN(M817)-FIND(" ",M817))</f>
        <v>HOMEWOOD AVE SE</v>
      </c>
      <c r="P817" s="0" t="s">
        <v>145</v>
      </c>
      <c r="Q817" s="0" t="s">
        <v>146</v>
      </c>
      <c r="R817" s="0" t="n">
        <v>44484</v>
      </c>
      <c r="AD817" s="0" t="s">
        <v>147</v>
      </c>
      <c r="AE817" s="0" t="s">
        <v>148</v>
      </c>
      <c r="AF817" s="0" t="s">
        <v>149</v>
      </c>
      <c r="AH817" s="0" t="n">
        <v>14</v>
      </c>
      <c r="AI817" s="0" t="n">
        <v>11</v>
      </c>
      <c r="AN817" s="0" t="s">
        <v>145</v>
      </c>
      <c r="AO817" s="0" t="s">
        <v>233</v>
      </c>
      <c r="AP817" s="0" t="s">
        <v>234</v>
      </c>
      <c r="AQ817" s="0" t="n">
        <v>9</v>
      </c>
      <c r="AR817" s="0" t="n">
        <v>64</v>
      </c>
      <c r="AS817" s="0" t="n">
        <v>32</v>
      </c>
      <c r="AU817" s="0" t="n">
        <f aca="false">COUNTA($BA$2511:$EH$2511)</f>
        <v>3</v>
      </c>
      <c r="AV817" s="0" t="n">
        <f aca="false">COUNTIF($BA$2511:$EH$2511,"D")</f>
        <v>0</v>
      </c>
      <c r="AW817" s="0" t="n">
        <f aca="false">COUNTIF($BA$2511:$EH$2511,"R")</f>
        <v>0</v>
      </c>
      <c r="AX817" s="0" t="n">
        <f aca="false">IF(BN817="D",1,0)+IF(BO817="D",1,0)+IF(BT817="D",1,0)+IF(BU817="D",1,0)+IF(BW817="D",1,0)+IF(CC817="D",1,0)+IF(CD817="D",1,0)+IF(CE817="D",1,0)+IF(CF817="D",1,0)+IF(CL817="D",1,0)+IF(CM817="D",1,0)+IF(CQ817="D",1,0)+IF(CR817="D",1,0)+IF(CS817="D",1,0)+IF(CW817="D",1,0)+IF(CX817="D",1,0)+IF(DD817="D",1,0)+IF(DE817="D",1,0)+IF(DJ817="D",1,0)+IF(DK817="D",1,0)+IF(DO817="D",1,0)+IF(DP817="D",1,0)+IF(DQ817="D",1,0)+IF(DW817="D",1,0)+IF(DZ817="D",1,0)+IF(EH817="D",1,0)</f>
        <v>3</v>
      </c>
      <c r="AY817" s="0" t="n">
        <f aca="false">COUNTIF(DU817:EH817, "&lt;&gt;")</f>
        <v>6</v>
      </c>
      <c r="AZ817" s="0" t="n">
        <f aca="false">IF(EH817&lt;&gt;"",1,0)</f>
        <v>0</v>
      </c>
      <c r="BB817" s="0" t="s">
        <v>152</v>
      </c>
      <c r="BC817" s="0" t="s">
        <v>153</v>
      </c>
      <c r="BD817" s="0" t="s">
        <v>153</v>
      </c>
      <c r="BH817" s="0" t="s">
        <v>153</v>
      </c>
      <c r="BI817" s="0" t="s">
        <v>153</v>
      </c>
      <c r="BK817" s="0" t="s">
        <v>153</v>
      </c>
      <c r="BL817" s="0" t="s">
        <v>153</v>
      </c>
      <c r="BP817" s="0" t="s">
        <v>153</v>
      </c>
      <c r="BS817" s="0" t="s">
        <v>153</v>
      </c>
      <c r="BY817" s="0" t="s">
        <v>175</v>
      </c>
      <c r="CA817" s="0" t="s">
        <v>153</v>
      </c>
      <c r="CG817" s="0" t="s">
        <v>153</v>
      </c>
      <c r="CK817" s="0" t="s">
        <v>153</v>
      </c>
      <c r="CL817" s="0" t="s">
        <v>175</v>
      </c>
      <c r="CN817" s="0" t="s">
        <v>153</v>
      </c>
      <c r="CP817" s="0" t="s">
        <v>153</v>
      </c>
      <c r="CT817" s="0" t="s">
        <v>153</v>
      </c>
      <c r="CV817" s="0" t="s">
        <v>153</v>
      </c>
      <c r="CY817" s="0" t="s">
        <v>153</v>
      </c>
      <c r="CZ817" s="0" t="s">
        <v>175</v>
      </c>
      <c r="DC817" s="0" t="s">
        <v>153</v>
      </c>
      <c r="DF817" s="0" t="s">
        <v>153</v>
      </c>
      <c r="DG817" s="0" t="s">
        <v>175</v>
      </c>
      <c r="DI817" s="0" t="s">
        <v>153</v>
      </c>
      <c r="DJ817" s="0" t="s">
        <v>175</v>
      </c>
      <c r="DM817" s="0" t="s">
        <v>175</v>
      </c>
      <c r="DN817" s="0" t="s">
        <v>153</v>
      </c>
      <c r="DR817" s="0" t="s">
        <v>153</v>
      </c>
      <c r="DS817" s="0" t="s">
        <v>175</v>
      </c>
      <c r="DT817" s="0" t="s">
        <v>175</v>
      </c>
      <c r="DU817" s="0" t="s">
        <v>153</v>
      </c>
      <c r="DW817" s="0" t="s">
        <v>175</v>
      </c>
      <c r="DX817" s="0" t="s">
        <v>153</v>
      </c>
      <c r="EA817" s="0" t="s">
        <v>153</v>
      </c>
      <c r="ED817" s="0" t="s">
        <v>175</v>
      </c>
      <c r="EF817" s="0" t="s">
        <v>153</v>
      </c>
    </row>
    <row r="818" customFormat="false" ht="13.8" hidden="true" customHeight="false" outlineLevel="0" collapsed="false">
      <c r="A818" s="0" t="s">
        <v>4111</v>
      </c>
      <c r="B818" s="0" t="n">
        <v>78</v>
      </c>
      <c r="C818" s="0" t="n">
        <v>436806</v>
      </c>
      <c r="D818" s="0" t="s">
        <v>3940</v>
      </c>
      <c r="E818" s="0" t="s">
        <v>3167</v>
      </c>
      <c r="F818" s="0" t="str">
        <f aca="false">CONCATENATE(D818," ",LEFT(H818,4),"T=",AU818,"D=",AV818,"R=",AW818,"M=",AX818,"L=",AY818,"B=",AZ818)</f>
        <v>WILSON T=4D=0R=0M=0L=0B=0</v>
      </c>
      <c r="G818" s="0" t="s">
        <v>2957</v>
      </c>
      <c r="I818" s="0" t="s">
        <v>4112</v>
      </c>
      <c r="J818" s="0" t="s">
        <v>2477</v>
      </c>
      <c r="K818" s="0" t="s">
        <v>143</v>
      </c>
      <c r="M818" s="0" t="s">
        <v>4113</v>
      </c>
      <c r="N818" s="0" t="str">
        <f aca="false">RIGHT(M818,LEN(M818)-FIND(" ",M818))</f>
        <v>HOMEWOOD AVE SE</v>
      </c>
      <c r="P818" s="0" t="s">
        <v>145</v>
      </c>
      <c r="Q818" s="0" t="s">
        <v>146</v>
      </c>
      <c r="R818" s="0" t="n">
        <v>44484</v>
      </c>
      <c r="AD818" s="0" t="s">
        <v>147</v>
      </c>
      <c r="AE818" s="0" t="s">
        <v>148</v>
      </c>
      <c r="AF818" s="0" t="s">
        <v>149</v>
      </c>
      <c r="AH818" s="0" t="n">
        <v>14</v>
      </c>
      <c r="AI818" s="0" t="n">
        <v>11</v>
      </c>
      <c r="AN818" s="0" t="s">
        <v>145</v>
      </c>
      <c r="AO818" s="0" t="s">
        <v>233</v>
      </c>
      <c r="AP818" s="0" t="s">
        <v>234</v>
      </c>
      <c r="AQ818" s="0" t="n">
        <v>9</v>
      </c>
      <c r="AR818" s="0" t="n">
        <v>64</v>
      </c>
      <c r="AS818" s="0" t="n">
        <v>32</v>
      </c>
      <c r="AU818" s="0" t="n">
        <f aca="false">COUNTA($BA$2144:$EH$2144)</f>
        <v>4</v>
      </c>
      <c r="AV818" s="0" t="n">
        <f aca="false">COUNTIF($BA$2144:$EH$2144,"D")</f>
        <v>0</v>
      </c>
      <c r="AW818" s="0" t="n">
        <f aca="false">COUNTIF($BA$2144:$EH$2144,"R")</f>
        <v>0</v>
      </c>
      <c r="AX818" s="0" t="n">
        <f aca="false">IF(BN818="D",1,0)+IF(BO818="D",1,0)+IF(BT818="D",1,0)+IF(BU818="D",1,0)+IF(BW818="D",1,0)+IF(CC818="D",1,0)+IF(CD818="D",1,0)+IF(CE818="D",1,0)+IF(CF818="D",1,0)+IF(CL818="D",1,0)+IF(CM818="D",1,0)+IF(CQ818="D",1,0)+IF(CR818="D",1,0)+IF(CS818="D",1,0)+IF(CW818="D",1,0)+IF(CX818="D",1,0)+IF(DD818="D",1,0)+IF(DE818="D",1,0)+IF(DJ818="D",1,0)+IF(DK818="D",1,0)+IF(DO818="D",1,0)+IF(DP818="D",1,0)+IF(DQ818="D",1,0)+IF(DW818="D",1,0)+IF(DZ818="D",1,0)+IF(EH818="D",1,0)</f>
        <v>0</v>
      </c>
      <c r="AY818" s="0" t="n">
        <f aca="false">COUNTIF(DU818:EH818, "&lt;&gt;")</f>
        <v>0</v>
      </c>
      <c r="AZ818" s="0" t="n">
        <f aca="false">IF(EH818&lt;&gt;"",1,0)</f>
        <v>0</v>
      </c>
      <c r="BB818" s="0" t="s">
        <v>152</v>
      </c>
      <c r="DN818" s="0" t="s">
        <v>153</v>
      </c>
    </row>
    <row r="819" customFormat="false" ht="13.8" hidden="false" customHeight="false" outlineLevel="0" collapsed="false">
      <c r="A819" s="0" t="s">
        <v>4114</v>
      </c>
      <c r="B819" s="0" t="n">
        <v>78</v>
      </c>
      <c r="C819" s="0" t="n">
        <v>364328</v>
      </c>
      <c r="D819" s="0" t="s">
        <v>3177</v>
      </c>
      <c r="E819" s="0" t="s">
        <v>4115</v>
      </c>
      <c r="F819" s="0" t="str">
        <f aca="false">CONCATENATE(D819," ",LEFT(H819,4),"T=",AU819,"D=",AV819,"R=",AW819,"M=",AX819,"L=",AY819,"B=",AZ819)</f>
        <v>MURRAY T=7D=0R=0M=3L=6B=1</v>
      </c>
      <c r="G819" s="0" t="s">
        <v>195</v>
      </c>
      <c r="I819" s="0" t="s">
        <v>4116</v>
      </c>
      <c r="J819" s="0" t="s">
        <v>4117</v>
      </c>
      <c r="K819" s="0" t="s">
        <v>160</v>
      </c>
      <c r="L819" s="0" t="s">
        <v>175</v>
      </c>
      <c r="M819" s="0" t="s">
        <v>4113</v>
      </c>
      <c r="N819" s="0" t="str">
        <f aca="false">RIGHT(M819,LEN(M819)-FIND(" ",M819))</f>
        <v>HOMEWOOD AVE SE</v>
      </c>
      <c r="P819" s="0" t="s">
        <v>145</v>
      </c>
      <c r="Q819" s="0" t="s">
        <v>146</v>
      </c>
      <c r="R819" s="0" t="n">
        <v>44484</v>
      </c>
      <c r="AD819" s="0" t="s">
        <v>147</v>
      </c>
      <c r="AE819" s="0" t="s">
        <v>148</v>
      </c>
      <c r="AF819" s="0" t="s">
        <v>149</v>
      </c>
      <c r="AH819" s="0" t="n">
        <v>14</v>
      </c>
      <c r="AI819" s="0" t="n">
        <v>11</v>
      </c>
      <c r="AN819" s="0" t="s">
        <v>145</v>
      </c>
      <c r="AO819" s="0" t="s">
        <v>233</v>
      </c>
      <c r="AP819" s="0" t="s">
        <v>234</v>
      </c>
      <c r="AQ819" s="0" t="n">
        <v>9</v>
      </c>
      <c r="AR819" s="0" t="n">
        <v>64</v>
      </c>
      <c r="AS819" s="0" t="n">
        <v>32</v>
      </c>
      <c r="AU819" s="0" t="n">
        <f aca="false">COUNTA($BA$2226:$EH$2226)</f>
        <v>7</v>
      </c>
      <c r="AV819" s="0" t="n">
        <f aca="false">COUNTIF($BA$2226:$EH$2226,"D")</f>
        <v>0</v>
      </c>
      <c r="AW819" s="0" t="n">
        <f aca="false">COUNTIF($BA$2226:$EH$2226,"R")</f>
        <v>0</v>
      </c>
      <c r="AX819" s="0" t="n">
        <f aca="false">IF(BN819="D",1,0)+IF(BO819="D",1,0)+IF(BT819="D",1,0)+IF(BU819="D",1,0)+IF(BW819="D",1,0)+IF(CC819="D",1,0)+IF(CD819="D",1,0)+IF(CE819="D",1,0)+IF(CF819="D",1,0)+IF(CL819="D",1,0)+IF(CM819="D",1,0)+IF(CQ819="D",1,0)+IF(CR819="D",1,0)+IF(CS819="D",1,0)+IF(CW819="D",1,0)+IF(CX819="D",1,0)+IF(DD819="D",1,0)+IF(DE819="D",1,0)+IF(DJ819="D",1,0)+IF(DK819="D",1,0)+IF(DO819="D",1,0)+IF(DP819="D",1,0)+IF(DQ819="D",1,0)+IF(DW819="D",1,0)+IF(DZ819="D",1,0)+IF(EH819="D",1,0)</f>
        <v>3</v>
      </c>
      <c r="AY819" s="0" t="n">
        <f aca="false">COUNTIF(DU819:EH819, "&lt;&gt;")</f>
        <v>6</v>
      </c>
      <c r="AZ819" s="0" t="n">
        <f aca="false">IF(EH819&lt;&gt;"",1,0)</f>
        <v>1</v>
      </c>
      <c r="BB819" s="0" t="s">
        <v>152</v>
      </c>
      <c r="CA819" s="0" t="s">
        <v>153</v>
      </c>
      <c r="CK819" s="0" t="s">
        <v>153</v>
      </c>
      <c r="CL819" s="0" t="s">
        <v>175</v>
      </c>
      <c r="CN819" s="0" t="s">
        <v>153</v>
      </c>
      <c r="CO819" s="0" t="s">
        <v>175</v>
      </c>
      <c r="CP819" s="0" t="s">
        <v>153</v>
      </c>
      <c r="CQ819" s="0" t="s">
        <v>175</v>
      </c>
      <c r="CT819" s="0" t="s">
        <v>153</v>
      </c>
      <c r="CU819" s="0" t="s">
        <v>175</v>
      </c>
      <c r="CV819" s="0" t="s">
        <v>153</v>
      </c>
      <c r="CY819" s="0" t="s">
        <v>153</v>
      </c>
      <c r="CZ819" s="0" t="s">
        <v>175</v>
      </c>
      <c r="DC819" s="0" t="s">
        <v>153</v>
      </c>
      <c r="DI819" s="0" t="s">
        <v>153</v>
      </c>
      <c r="DM819" s="0" t="s">
        <v>175</v>
      </c>
      <c r="DN819" s="0" t="s">
        <v>153</v>
      </c>
      <c r="DU819" s="0" t="s">
        <v>153</v>
      </c>
      <c r="DX819" s="0" t="s">
        <v>153</v>
      </c>
      <c r="EA819" s="0" t="s">
        <v>153</v>
      </c>
      <c r="ED819" s="0" t="s">
        <v>175</v>
      </c>
      <c r="EF819" s="0" t="s">
        <v>153</v>
      </c>
      <c r="EH819" s="0" t="s">
        <v>175</v>
      </c>
    </row>
    <row r="820" customFormat="false" ht="13.8" hidden="false" customHeight="false" outlineLevel="0" collapsed="false">
      <c r="A820" s="0" t="s">
        <v>4118</v>
      </c>
      <c r="B820" s="0" t="n">
        <v>78</v>
      </c>
      <c r="C820" s="0" t="n">
        <v>278460</v>
      </c>
      <c r="D820" s="0" t="s">
        <v>3177</v>
      </c>
      <c r="E820" s="0" t="s">
        <v>4119</v>
      </c>
      <c r="F820" s="0" t="str">
        <f aca="false">CONCATENATE(D820," ",LEFT(H820,4),"T=",AU820,"D=",AV820,"R=",AW820,"M=",AX820,"L=",AY820,"B=",AZ820)</f>
        <v>MURRAY T=19D=3R=0M=1L=4B=0</v>
      </c>
      <c r="G820" s="0" t="s">
        <v>209</v>
      </c>
      <c r="I820" s="0" t="s">
        <v>4120</v>
      </c>
      <c r="J820" s="0" t="s">
        <v>1330</v>
      </c>
      <c r="K820" s="0" t="s">
        <v>160</v>
      </c>
      <c r="M820" s="0" t="s">
        <v>4113</v>
      </c>
      <c r="N820" s="0" t="str">
        <f aca="false">RIGHT(M820,LEN(M820)-FIND(" ",M820))</f>
        <v>HOMEWOOD AVE SE</v>
      </c>
      <c r="P820" s="0" t="s">
        <v>145</v>
      </c>
      <c r="Q820" s="0" t="s">
        <v>146</v>
      </c>
      <c r="R820" s="0" t="n">
        <v>44484</v>
      </c>
      <c r="AD820" s="0" t="s">
        <v>147</v>
      </c>
      <c r="AE820" s="0" t="s">
        <v>148</v>
      </c>
      <c r="AF820" s="0" t="s">
        <v>149</v>
      </c>
      <c r="AH820" s="0" t="n">
        <v>14</v>
      </c>
      <c r="AI820" s="0" t="n">
        <v>11</v>
      </c>
      <c r="AN820" s="0" t="s">
        <v>145</v>
      </c>
      <c r="AO820" s="0" t="s">
        <v>233</v>
      </c>
      <c r="AP820" s="0" t="s">
        <v>234</v>
      </c>
      <c r="AQ820" s="0" t="n">
        <v>9</v>
      </c>
      <c r="AR820" s="0" t="n">
        <v>64</v>
      </c>
      <c r="AS820" s="0" t="n">
        <v>32</v>
      </c>
      <c r="AU820" s="0" t="n">
        <f aca="false">COUNTA($BA$2490:$EH$2490)</f>
        <v>19</v>
      </c>
      <c r="AV820" s="0" t="n">
        <f aca="false">COUNTIF($BA$2490:$EH$2490,"D")</f>
        <v>3</v>
      </c>
      <c r="AW820" s="0" t="n">
        <f aca="false">COUNTIF($BA$2490:$EH$2490,"R")</f>
        <v>0</v>
      </c>
      <c r="AX820" s="0" t="n">
        <f aca="false">IF(BN820="D",1,0)+IF(BO820="D",1,0)+IF(BT820="D",1,0)+IF(BU820="D",1,0)+IF(BW820="D",1,0)+IF(CC820="D",1,0)+IF(CD820="D",1,0)+IF(CE820="D",1,0)+IF(CF820="D",1,0)+IF(CL820="D",1,0)+IF(CM820="D",1,0)+IF(CQ820="D",1,0)+IF(CR820="D",1,0)+IF(CS820="D",1,0)+IF(CW820="D",1,0)+IF(CX820="D",1,0)+IF(DD820="D",1,0)+IF(DE820="D",1,0)+IF(DJ820="D",1,0)+IF(DK820="D",1,0)+IF(DO820="D",1,0)+IF(DP820="D",1,0)+IF(DQ820="D",1,0)+IF(DW820="D",1,0)+IF(DZ820="D",1,0)+IF(EH820="D",1,0)</f>
        <v>1</v>
      </c>
      <c r="AY820" s="0" t="n">
        <f aca="false">COUNTIF(DU820:EH820, "&lt;&gt;")</f>
        <v>4</v>
      </c>
      <c r="AZ820" s="0" t="n">
        <f aca="false">IF(EH820&lt;&gt;"",1,0)</f>
        <v>0</v>
      </c>
      <c r="BB820" s="0" t="s">
        <v>152</v>
      </c>
      <c r="BE820" s="0" t="s">
        <v>153</v>
      </c>
      <c r="BH820" s="0" t="s">
        <v>153</v>
      </c>
      <c r="BL820" s="0" t="s">
        <v>153</v>
      </c>
      <c r="BP820" s="0" t="s">
        <v>153</v>
      </c>
      <c r="BS820" s="0" t="s">
        <v>153</v>
      </c>
      <c r="CA820" s="0" t="s">
        <v>153</v>
      </c>
      <c r="CK820" s="0" t="s">
        <v>153</v>
      </c>
      <c r="CL820" s="0" t="s">
        <v>175</v>
      </c>
      <c r="CN820" s="0" t="s">
        <v>153</v>
      </c>
      <c r="CP820" s="0" t="s">
        <v>153</v>
      </c>
      <c r="CV820" s="0" t="s">
        <v>153</v>
      </c>
      <c r="CY820" s="0" t="s">
        <v>153</v>
      </c>
      <c r="DN820" s="0" t="s">
        <v>153</v>
      </c>
      <c r="DU820" s="0" t="s">
        <v>153</v>
      </c>
      <c r="DX820" s="0" t="s">
        <v>153</v>
      </c>
      <c r="EA820" s="0" t="s">
        <v>153</v>
      </c>
      <c r="EF820" s="0" t="s">
        <v>153</v>
      </c>
    </row>
    <row r="821" customFormat="false" ht="13.8" hidden="false" customHeight="false" outlineLevel="0" collapsed="false">
      <c r="A821" s="0" t="s">
        <v>4121</v>
      </c>
      <c r="B821" s="0" t="n">
        <v>78</v>
      </c>
      <c r="C821" s="0" t="n">
        <v>151239</v>
      </c>
      <c r="D821" s="0" t="s">
        <v>3177</v>
      </c>
      <c r="E821" s="0" t="s">
        <v>2953</v>
      </c>
      <c r="F821" s="0" t="str">
        <f aca="false">CONCATENATE(D821," ",LEFT(H821,4),"T=",AU821,"D=",AV821,"R=",AW821,"M=",AX821,"L=",AY821,"B=",AZ821)</f>
        <v>MURRAY T=22D=5R=0M=5L=7B=1</v>
      </c>
      <c r="I821" s="0" t="s">
        <v>4122</v>
      </c>
      <c r="J821" s="0" t="s">
        <v>4123</v>
      </c>
      <c r="K821" s="0" t="s">
        <v>160</v>
      </c>
      <c r="L821" s="0" t="s">
        <v>175</v>
      </c>
      <c r="M821" s="0" t="s">
        <v>4113</v>
      </c>
      <c r="N821" s="0" t="str">
        <f aca="false">RIGHT(M821,LEN(M821)-FIND(" ",M821))</f>
        <v>HOMEWOOD AVE SE</v>
      </c>
      <c r="P821" s="0" t="s">
        <v>145</v>
      </c>
      <c r="Q821" s="0" t="s">
        <v>146</v>
      </c>
      <c r="R821" s="0" t="n">
        <v>44484</v>
      </c>
      <c r="AD821" s="0" t="s">
        <v>147</v>
      </c>
      <c r="AE821" s="0" t="s">
        <v>148</v>
      </c>
      <c r="AF821" s="0" t="s">
        <v>149</v>
      </c>
      <c r="AH821" s="0" t="n">
        <v>14</v>
      </c>
      <c r="AI821" s="0" t="n">
        <v>11</v>
      </c>
      <c r="AN821" s="0" t="s">
        <v>145</v>
      </c>
      <c r="AO821" s="0" t="s">
        <v>233</v>
      </c>
      <c r="AP821" s="0" t="s">
        <v>234</v>
      </c>
      <c r="AQ821" s="0" t="n">
        <v>9</v>
      </c>
      <c r="AR821" s="0" t="n">
        <v>64</v>
      </c>
      <c r="AS821" s="0" t="n">
        <v>32</v>
      </c>
      <c r="AU821" s="0" t="n">
        <f aca="false">COUNTA($BA$2515:$EH$2515)</f>
        <v>22</v>
      </c>
      <c r="AV821" s="0" t="n">
        <f aca="false">COUNTIF($BA$2515:$EH$2515,"D")</f>
        <v>5</v>
      </c>
      <c r="AW821" s="0" t="n">
        <f aca="false">COUNTIF($BA$2515:$EH$2515,"R")</f>
        <v>0</v>
      </c>
      <c r="AX821" s="0" t="n">
        <f aca="false">IF(BN821="D",1,0)+IF(BO821="D",1,0)+IF(BT821="D",1,0)+IF(BU821="D",1,0)+IF(BW821="D",1,0)+IF(CC821="D",1,0)+IF(CD821="D",1,0)+IF(CE821="D",1,0)+IF(CF821="D",1,0)+IF(CL821="D",1,0)+IF(CM821="D",1,0)+IF(CQ821="D",1,0)+IF(CR821="D",1,0)+IF(CS821="D",1,0)+IF(CW821="D",1,0)+IF(CX821="D",1,0)+IF(DD821="D",1,0)+IF(DE821="D",1,0)+IF(DJ821="D",1,0)+IF(DK821="D",1,0)+IF(DO821="D",1,0)+IF(DP821="D",1,0)+IF(DQ821="D",1,0)+IF(DW821="D",1,0)+IF(DZ821="D",1,0)+IF(EH821="D",1,0)</f>
        <v>5</v>
      </c>
      <c r="AY821" s="0" t="n">
        <f aca="false">COUNTIF(DU821:EH821, "&lt;&gt;")</f>
        <v>7</v>
      </c>
      <c r="AZ821" s="0" t="n">
        <f aca="false">IF(EH821&lt;&gt;"",1,0)</f>
        <v>1</v>
      </c>
      <c r="BB821" s="0" t="s">
        <v>152</v>
      </c>
      <c r="BC821" s="0" t="s">
        <v>153</v>
      </c>
      <c r="BD821" s="0" t="s">
        <v>153</v>
      </c>
      <c r="BE821" s="0" t="s">
        <v>153</v>
      </c>
      <c r="BF821" s="0" t="s">
        <v>153</v>
      </c>
      <c r="BG821" s="0" t="s">
        <v>153</v>
      </c>
      <c r="BH821" s="0" t="s">
        <v>153</v>
      </c>
      <c r="BI821" s="0" t="s">
        <v>153</v>
      </c>
      <c r="BJ821" s="0" t="s">
        <v>153</v>
      </c>
      <c r="BL821" s="0" t="s">
        <v>153</v>
      </c>
      <c r="BP821" s="0" t="s">
        <v>153</v>
      </c>
      <c r="BR821" s="0" t="s">
        <v>153</v>
      </c>
      <c r="BS821" s="0" t="s">
        <v>153</v>
      </c>
      <c r="BV821" s="0" t="s">
        <v>153</v>
      </c>
      <c r="BY821" s="0" t="s">
        <v>175</v>
      </c>
      <c r="CA821" s="0" t="s">
        <v>153</v>
      </c>
      <c r="CG821" s="0" t="s">
        <v>153</v>
      </c>
      <c r="CH821" s="0" t="s">
        <v>175</v>
      </c>
      <c r="CK821" s="0" t="s">
        <v>153</v>
      </c>
      <c r="CL821" s="0" t="s">
        <v>175</v>
      </c>
      <c r="CN821" s="0" t="s">
        <v>153</v>
      </c>
      <c r="CO821" s="0" t="s">
        <v>175</v>
      </c>
      <c r="CP821" s="0" t="s">
        <v>153</v>
      </c>
      <c r="CQ821" s="0" t="s">
        <v>175</v>
      </c>
      <c r="CT821" s="0" t="s">
        <v>153</v>
      </c>
      <c r="CU821" s="0" t="s">
        <v>175</v>
      </c>
      <c r="CV821" s="0" t="s">
        <v>153</v>
      </c>
      <c r="CY821" s="0" t="s">
        <v>153</v>
      </c>
      <c r="CZ821" s="0" t="s">
        <v>175</v>
      </c>
      <c r="DC821" s="0" t="s">
        <v>153</v>
      </c>
      <c r="DF821" s="0" t="s">
        <v>153</v>
      </c>
      <c r="DG821" s="0" t="s">
        <v>175</v>
      </c>
      <c r="DI821" s="0" t="s">
        <v>153</v>
      </c>
      <c r="DJ821" s="0" t="s">
        <v>175</v>
      </c>
      <c r="DL821" s="0" t="s">
        <v>153</v>
      </c>
      <c r="DN821" s="0" t="s">
        <v>153</v>
      </c>
      <c r="DR821" s="0" t="s">
        <v>153</v>
      </c>
      <c r="DS821" s="0" t="s">
        <v>175</v>
      </c>
      <c r="DU821" s="0" t="s">
        <v>153</v>
      </c>
      <c r="DW821" s="0" t="s">
        <v>175</v>
      </c>
      <c r="DX821" s="0" t="s">
        <v>153</v>
      </c>
      <c r="EA821" s="0" t="s">
        <v>153</v>
      </c>
      <c r="ED821" s="0" t="s">
        <v>175</v>
      </c>
      <c r="EF821" s="0" t="s">
        <v>153</v>
      </c>
      <c r="EH821" s="0" t="s">
        <v>175</v>
      </c>
    </row>
    <row r="822" customFormat="false" ht="13.8" hidden="true" customHeight="false" outlineLevel="0" collapsed="false">
      <c r="A822" s="0" t="s">
        <v>4124</v>
      </c>
      <c r="B822" s="0" t="n">
        <v>78</v>
      </c>
      <c r="C822" s="0" t="n">
        <v>487354</v>
      </c>
      <c r="D822" s="0" t="s">
        <v>4125</v>
      </c>
      <c r="E822" s="0" t="s">
        <v>4126</v>
      </c>
      <c r="F822" s="0" t="str">
        <f aca="false">CONCATENATE(D822," ",LEFT(H822,4),"T=",AU822,"D=",AV822,"R=",AW822,"M=",AX822,"L=",AY822,"B=",AZ822)</f>
        <v>TUNER T=6D=0R=0M=0L=0B=0</v>
      </c>
      <c r="G822" s="0" t="s">
        <v>190</v>
      </c>
      <c r="I822" s="0" t="s">
        <v>4127</v>
      </c>
      <c r="J822" s="0" t="s">
        <v>2339</v>
      </c>
      <c r="K822" s="0" t="s">
        <v>160</v>
      </c>
      <c r="M822" s="0" t="s">
        <v>4128</v>
      </c>
      <c r="N822" s="0" t="str">
        <f aca="false">RIGHT(M822,LEN(M822)-FIND(" ",M822))</f>
        <v>HOMEWOOD AVE SE</v>
      </c>
      <c r="P822" s="0" t="s">
        <v>145</v>
      </c>
      <c r="Q822" s="0" t="s">
        <v>146</v>
      </c>
      <c r="R822" s="0" t="n">
        <v>44484</v>
      </c>
      <c r="AD822" s="0" t="s">
        <v>147</v>
      </c>
      <c r="AE822" s="0" t="s">
        <v>148</v>
      </c>
      <c r="AF822" s="0" t="s">
        <v>149</v>
      </c>
      <c r="AH822" s="0" t="n">
        <v>14</v>
      </c>
      <c r="AI822" s="0" t="n">
        <v>11</v>
      </c>
      <c r="AN822" s="0" t="s">
        <v>145</v>
      </c>
      <c r="AO822" s="0" t="s">
        <v>233</v>
      </c>
      <c r="AP822" s="0" t="s">
        <v>234</v>
      </c>
      <c r="AQ822" s="0" t="n">
        <v>9</v>
      </c>
      <c r="AR822" s="0" t="n">
        <v>64</v>
      </c>
      <c r="AS822" s="0" t="n">
        <v>32</v>
      </c>
      <c r="AU822" s="0" t="n">
        <f aca="false">COUNTA($BA$2293:$EH$2293)</f>
        <v>6</v>
      </c>
      <c r="AV822" s="0" t="n">
        <f aca="false">COUNTIF($BA$2293:$EH$2293,"D")</f>
        <v>0</v>
      </c>
      <c r="AW822" s="0" t="n">
        <f aca="false">COUNTIF($BA$2293:$EH$2293,"R")</f>
        <v>0</v>
      </c>
      <c r="AX822" s="0" t="n">
        <f aca="false">IF(BN822="D",1,0)+IF(BO822="D",1,0)+IF(BT822="D",1,0)+IF(BU822="D",1,0)+IF(BW822="D",1,0)+IF(CC822="D",1,0)+IF(CD822="D",1,0)+IF(CE822="D",1,0)+IF(CF822="D",1,0)+IF(CL822="D",1,0)+IF(CM822="D",1,0)+IF(CQ822="D",1,0)+IF(CR822="D",1,0)+IF(CS822="D",1,0)+IF(CW822="D",1,0)+IF(CX822="D",1,0)+IF(DD822="D",1,0)+IF(DE822="D",1,0)+IF(DJ822="D",1,0)+IF(DK822="D",1,0)+IF(DO822="D",1,0)+IF(DP822="D",1,0)+IF(DQ822="D",1,0)+IF(DW822="D",1,0)+IF(DZ822="D",1,0)+IF(EH822="D",1,0)</f>
        <v>0</v>
      </c>
      <c r="AY822" s="0" t="n">
        <f aca="false">COUNTIF(DU822:EH822, "&lt;&gt;")</f>
        <v>0</v>
      </c>
      <c r="AZ822" s="0" t="n">
        <f aca="false">IF(EH822&lt;&gt;"",1,0)</f>
        <v>0</v>
      </c>
      <c r="BB822" s="0" t="s">
        <v>152</v>
      </c>
    </row>
    <row r="823" customFormat="false" ht="13.8" hidden="true" customHeight="false" outlineLevel="0" collapsed="false">
      <c r="A823" s="0" t="s">
        <v>4129</v>
      </c>
      <c r="B823" s="0" t="n">
        <v>78</v>
      </c>
      <c r="C823" s="0" t="n">
        <v>435023</v>
      </c>
      <c r="D823" s="0" t="s">
        <v>4130</v>
      </c>
      <c r="E823" s="0" t="s">
        <v>4131</v>
      </c>
      <c r="F823" s="0" t="str">
        <f aca="false">CONCATENATE(D823," ",LEFT(H823,4),"T=",AU823,"D=",AV823,"R=",AW823,"M=",AX823,"L=",AY823,"B=",AZ823)</f>
        <v>RUCKER T=2D=0R=0M=0L=0B=0</v>
      </c>
      <c r="G823" s="0" t="s">
        <v>839</v>
      </c>
      <c r="I823" s="0" t="s">
        <v>4132</v>
      </c>
      <c r="J823" s="0" t="s">
        <v>4133</v>
      </c>
      <c r="K823" s="0" t="s">
        <v>143</v>
      </c>
      <c r="M823" s="0" t="s">
        <v>4134</v>
      </c>
      <c r="N823" s="0" t="str">
        <f aca="false">RIGHT(M823,LEN(M823)-FIND(" ",M823))</f>
        <v>HOMEWOOD AVE SE</v>
      </c>
      <c r="P823" s="0" t="s">
        <v>145</v>
      </c>
      <c r="Q823" s="0" t="s">
        <v>146</v>
      </c>
      <c r="R823" s="0" t="n">
        <v>44484</v>
      </c>
      <c r="AD823" s="0" t="s">
        <v>147</v>
      </c>
      <c r="AE823" s="0" t="s">
        <v>148</v>
      </c>
      <c r="AF823" s="0" t="s">
        <v>149</v>
      </c>
      <c r="AH823" s="0" t="n">
        <v>14</v>
      </c>
      <c r="AI823" s="0" t="n">
        <v>11</v>
      </c>
      <c r="AN823" s="0" t="s">
        <v>145</v>
      </c>
      <c r="AO823" s="0" t="s">
        <v>233</v>
      </c>
      <c r="AP823" s="0" t="s">
        <v>234</v>
      </c>
      <c r="AQ823" s="0" t="n">
        <v>9</v>
      </c>
      <c r="AR823" s="0" t="n">
        <v>64</v>
      </c>
      <c r="AS823" s="0" t="n">
        <v>32</v>
      </c>
      <c r="AU823" s="0" t="n">
        <f aca="false">COUNTA($BA$2185:$EH$2185)</f>
        <v>2</v>
      </c>
      <c r="AV823" s="0" t="n">
        <f aca="false">COUNTIF($BA$2185:$EH$2185,"D")</f>
        <v>0</v>
      </c>
      <c r="AW823" s="0" t="n">
        <f aca="false">COUNTIF($BA$2185:$EH$2185,"R")</f>
        <v>0</v>
      </c>
      <c r="AX823" s="0" t="n">
        <f aca="false">IF(BN823="D",1,0)+IF(BO823="D",1,0)+IF(BT823="D",1,0)+IF(BU823="D",1,0)+IF(BW823="D",1,0)+IF(CC823="D",1,0)+IF(CD823="D",1,0)+IF(CE823="D",1,0)+IF(CF823="D",1,0)+IF(CL823="D",1,0)+IF(CM823="D",1,0)+IF(CQ823="D",1,0)+IF(CR823="D",1,0)+IF(CS823="D",1,0)+IF(CW823="D",1,0)+IF(CX823="D",1,0)+IF(DD823="D",1,0)+IF(DE823="D",1,0)+IF(DJ823="D",1,0)+IF(DK823="D",1,0)+IF(DO823="D",1,0)+IF(DP823="D",1,0)+IF(DQ823="D",1,0)+IF(DW823="D",1,0)+IF(DZ823="D",1,0)+IF(EH823="D",1,0)</f>
        <v>0</v>
      </c>
      <c r="AY823" s="0" t="n">
        <f aca="false">COUNTIF(DU823:EH823, "&lt;&gt;")</f>
        <v>0</v>
      </c>
      <c r="AZ823" s="0" t="n">
        <f aca="false">IF(EH823&lt;&gt;"",1,0)</f>
        <v>0</v>
      </c>
      <c r="BB823" s="0" t="s">
        <v>152</v>
      </c>
      <c r="BD823" s="0" t="s">
        <v>153</v>
      </c>
      <c r="BE823" s="0" t="s">
        <v>153</v>
      </c>
      <c r="BH823" s="0" t="s">
        <v>153</v>
      </c>
      <c r="BL823" s="0" t="s">
        <v>153</v>
      </c>
      <c r="BS823" s="0" t="s">
        <v>153</v>
      </c>
      <c r="CA823" s="0" t="s">
        <v>153</v>
      </c>
    </row>
    <row r="824" customFormat="false" ht="13.8" hidden="false" customHeight="false" outlineLevel="0" collapsed="false">
      <c r="A824" s="0" t="s">
        <v>4135</v>
      </c>
      <c r="B824" s="0" t="n">
        <v>78</v>
      </c>
      <c r="C824" s="0" t="n">
        <v>14374</v>
      </c>
      <c r="D824" s="0" t="s">
        <v>4136</v>
      </c>
      <c r="E824" s="0" t="s">
        <v>4137</v>
      </c>
      <c r="F824" s="0" t="str">
        <f aca="false">CONCATENATE(D824," ",LEFT(H824,4),"T=",AU824,"D=",AV824,"R=",AW824,"M=",AX824,"L=",AY824,"B=",AZ824)</f>
        <v>MCMILLION T=3D=0R=0M=4L=6B=1</v>
      </c>
      <c r="I824" s="0" t="s">
        <v>4138</v>
      </c>
      <c r="J824" s="0" t="s">
        <v>4139</v>
      </c>
      <c r="K824" s="0" t="s">
        <v>160</v>
      </c>
      <c r="L824" s="0" t="s">
        <v>175</v>
      </c>
      <c r="M824" s="0" t="s">
        <v>4134</v>
      </c>
      <c r="N824" s="0" t="str">
        <f aca="false">RIGHT(M824,LEN(M824)-FIND(" ",M824))</f>
        <v>HOMEWOOD AVE SE</v>
      </c>
      <c r="P824" s="0" t="s">
        <v>145</v>
      </c>
      <c r="Q824" s="0" t="s">
        <v>146</v>
      </c>
      <c r="R824" s="0" t="n">
        <v>44484</v>
      </c>
      <c r="AD824" s="0" t="s">
        <v>147</v>
      </c>
      <c r="AE824" s="0" t="s">
        <v>148</v>
      </c>
      <c r="AF824" s="0" t="s">
        <v>149</v>
      </c>
      <c r="AH824" s="0" t="n">
        <v>14</v>
      </c>
      <c r="AI824" s="0" t="n">
        <v>11</v>
      </c>
      <c r="AN824" s="0" t="s">
        <v>145</v>
      </c>
      <c r="AO824" s="0" t="s">
        <v>233</v>
      </c>
      <c r="AP824" s="0" t="s">
        <v>234</v>
      </c>
      <c r="AQ824" s="0" t="n">
        <v>9</v>
      </c>
      <c r="AR824" s="0" t="n">
        <v>64</v>
      </c>
      <c r="AS824" s="0" t="n">
        <v>32</v>
      </c>
      <c r="AU824" s="0" t="n">
        <f aca="false">COUNTA($BA$2509:$EH$2509)</f>
        <v>3</v>
      </c>
      <c r="AV824" s="0" t="n">
        <f aca="false">COUNTIF($BA$2509:$EH$2509,"D")</f>
        <v>0</v>
      </c>
      <c r="AW824" s="0" t="n">
        <f aca="false">COUNTIF($BA$2509:$EH$2509,"R")</f>
        <v>0</v>
      </c>
      <c r="AX824" s="0" t="n">
        <f aca="false">IF(BN824="D",1,0)+IF(BO824="D",1,0)+IF(BT824="D",1,0)+IF(BU824="D",1,0)+IF(BW824="D",1,0)+IF(CC824="D",1,0)+IF(CD824="D",1,0)+IF(CE824="D",1,0)+IF(CF824="D",1,0)+IF(CL824="D",1,0)+IF(CM824="D",1,0)+IF(CQ824="D",1,0)+IF(CR824="D",1,0)+IF(CS824="D",1,0)+IF(CW824="D",1,0)+IF(CX824="D",1,0)+IF(DD824="D",1,0)+IF(DE824="D",1,0)+IF(DJ824="D",1,0)+IF(DK824="D",1,0)+IF(DO824="D",1,0)+IF(DP824="D",1,0)+IF(DQ824="D",1,0)+IF(DW824="D",1,0)+IF(DZ824="D",1,0)+IF(EH824="D",1,0)</f>
        <v>4</v>
      </c>
      <c r="AY824" s="0" t="n">
        <f aca="false">COUNTIF(DU824:EH824, "&lt;&gt;")</f>
        <v>6</v>
      </c>
      <c r="AZ824" s="0" t="n">
        <f aca="false">IF(EH824&lt;&gt;"",1,0)</f>
        <v>1</v>
      </c>
      <c r="BB824" s="0" t="s">
        <v>152</v>
      </c>
      <c r="BC824" s="0" t="s">
        <v>153</v>
      </c>
      <c r="BD824" s="0" t="s">
        <v>153</v>
      </c>
      <c r="BE824" s="0" t="s">
        <v>153</v>
      </c>
      <c r="BF824" s="0" t="s">
        <v>153</v>
      </c>
      <c r="BH824" s="0" t="s">
        <v>153</v>
      </c>
      <c r="BI824" s="0" t="s">
        <v>153</v>
      </c>
      <c r="BJ824" s="0" t="s">
        <v>153</v>
      </c>
      <c r="BK824" s="0" t="s">
        <v>153</v>
      </c>
      <c r="BL824" s="0" t="s">
        <v>153</v>
      </c>
      <c r="BP824" s="0" t="s">
        <v>153</v>
      </c>
      <c r="BR824" s="0" t="s">
        <v>153</v>
      </c>
      <c r="BS824" s="0" t="s">
        <v>153</v>
      </c>
      <c r="BY824" s="0" t="s">
        <v>175</v>
      </c>
      <c r="CA824" s="0" t="s">
        <v>153</v>
      </c>
      <c r="CG824" s="0" t="s">
        <v>153</v>
      </c>
      <c r="CH824" s="0" t="s">
        <v>175</v>
      </c>
      <c r="CK824" s="0" t="s">
        <v>153</v>
      </c>
      <c r="CL824" s="0" t="s">
        <v>175</v>
      </c>
      <c r="CN824" s="0" t="s">
        <v>153</v>
      </c>
      <c r="CO824" s="0" t="s">
        <v>175</v>
      </c>
      <c r="CP824" s="0" t="s">
        <v>153</v>
      </c>
      <c r="CU824" s="0" t="s">
        <v>175</v>
      </c>
      <c r="CV824" s="0" t="s">
        <v>153</v>
      </c>
      <c r="CW824" s="0" t="s">
        <v>175</v>
      </c>
      <c r="CY824" s="0" t="s">
        <v>153</v>
      </c>
      <c r="CZ824" s="0" t="s">
        <v>175</v>
      </c>
      <c r="DC824" s="0" t="s">
        <v>153</v>
      </c>
      <c r="DF824" s="0" t="s">
        <v>153</v>
      </c>
      <c r="DG824" s="0" t="s">
        <v>175</v>
      </c>
      <c r="DI824" s="0" t="s">
        <v>153</v>
      </c>
      <c r="DJ824" s="0" t="s">
        <v>175</v>
      </c>
      <c r="DL824" s="0" t="s">
        <v>153</v>
      </c>
      <c r="DM824" s="0" t="s">
        <v>175</v>
      </c>
      <c r="DS824" s="0" t="s">
        <v>175</v>
      </c>
      <c r="DU824" s="0" t="s">
        <v>153</v>
      </c>
      <c r="DX824" s="0" t="s">
        <v>153</v>
      </c>
      <c r="EA824" s="0" t="s">
        <v>153</v>
      </c>
      <c r="ED824" s="0" t="s">
        <v>175</v>
      </c>
      <c r="EF824" s="0" t="s">
        <v>153</v>
      </c>
      <c r="EH824" s="0" t="s">
        <v>175</v>
      </c>
    </row>
    <row r="825" customFormat="false" ht="13.8" hidden="true" customHeight="false" outlineLevel="0" collapsed="false">
      <c r="A825" s="0" t="s">
        <v>4140</v>
      </c>
      <c r="B825" s="0" t="n">
        <v>78</v>
      </c>
      <c r="C825" s="0" t="n">
        <v>349914</v>
      </c>
      <c r="D825" s="0" t="s">
        <v>1764</v>
      </c>
      <c r="E825" s="0" t="s">
        <v>379</v>
      </c>
      <c r="F825" s="0" t="str">
        <f aca="false">CONCATENATE(D825," ",LEFT(H825,4),"T=",AU825,"D=",AV825,"R=",AW825,"M=",AX825,"L=",AY825,"B=",AZ825)</f>
        <v>MOORE T=12D=1R=0M=1L=0B=0</v>
      </c>
      <c r="G825" s="0" t="s">
        <v>195</v>
      </c>
      <c r="I825" s="0" t="s">
        <v>4141</v>
      </c>
      <c r="J825" s="0" t="s">
        <v>3667</v>
      </c>
      <c r="K825" s="0" t="s">
        <v>143</v>
      </c>
      <c r="M825" s="0" t="s">
        <v>4142</v>
      </c>
      <c r="N825" s="0" t="str">
        <f aca="false">RIGHT(M825,LEN(M825)-FIND(" ",M825))</f>
        <v>HOMEWOOD AVE SE</v>
      </c>
      <c r="P825" s="0" t="s">
        <v>145</v>
      </c>
      <c r="Q825" s="0" t="s">
        <v>146</v>
      </c>
      <c r="R825" s="0" t="n">
        <v>44484</v>
      </c>
      <c r="AD825" s="0" t="s">
        <v>147</v>
      </c>
      <c r="AE825" s="0" t="s">
        <v>148</v>
      </c>
      <c r="AF825" s="0" t="s">
        <v>149</v>
      </c>
      <c r="AH825" s="0" t="n">
        <v>14</v>
      </c>
      <c r="AI825" s="0" t="n">
        <v>11</v>
      </c>
      <c r="AN825" s="0" t="s">
        <v>145</v>
      </c>
      <c r="AO825" s="0" t="s">
        <v>233</v>
      </c>
      <c r="AP825" s="0" t="s">
        <v>234</v>
      </c>
      <c r="AQ825" s="0" t="n">
        <v>9</v>
      </c>
      <c r="AR825" s="0" t="n">
        <v>64</v>
      </c>
      <c r="AS825" s="0" t="n">
        <v>32</v>
      </c>
      <c r="AU825" s="0" t="n">
        <f aca="false">COUNTA($BA$2415:$EH$2415)</f>
        <v>12</v>
      </c>
      <c r="AV825" s="0" t="n">
        <f aca="false">COUNTIF($BA$2415:$EH$2415,"D")</f>
        <v>1</v>
      </c>
      <c r="AW825" s="0" t="n">
        <f aca="false">COUNTIF($BA$2415:$EH$2415,"R")</f>
        <v>0</v>
      </c>
      <c r="AX825" s="0" t="n">
        <f aca="false">IF(BN825="D",1,0)+IF(BO825="D",1,0)+IF(BT825="D",1,0)+IF(BU825="D",1,0)+IF(BW825="D",1,0)+IF(CC825="D",1,0)+IF(CD825="D",1,0)+IF(CE825="D",1,0)+IF(CF825="D",1,0)+IF(CL825="D",1,0)+IF(CM825="D",1,0)+IF(CQ825="D",1,0)+IF(CR825="D",1,0)+IF(CS825="D",1,0)+IF(CW825="D",1,0)+IF(CX825="D",1,0)+IF(DD825="D",1,0)+IF(DE825="D",1,0)+IF(DJ825="D",1,0)+IF(DK825="D",1,0)+IF(DO825="D",1,0)+IF(DP825="D",1,0)+IF(DQ825="D",1,0)+IF(DW825="D",1,0)+IF(DZ825="D",1,0)+IF(EH825="D",1,0)</f>
        <v>1</v>
      </c>
      <c r="AY825" s="0" t="n">
        <f aca="false">COUNTIF(DU825:EH825, "&lt;&gt;")</f>
        <v>0</v>
      </c>
      <c r="AZ825" s="0" t="n">
        <f aca="false">IF(EH825&lt;&gt;"",1,0)</f>
        <v>0</v>
      </c>
      <c r="BB825" s="0" t="s">
        <v>152</v>
      </c>
      <c r="CA825" s="0" t="s">
        <v>153</v>
      </c>
      <c r="CK825" s="0" t="s">
        <v>153</v>
      </c>
      <c r="CL825" s="0" t="s">
        <v>175</v>
      </c>
      <c r="CP825" s="0" t="s">
        <v>153</v>
      </c>
    </row>
    <row r="826" customFormat="false" ht="13.8" hidden="true" customHeight="false" outlineLevel="0" collapsed="false">
      <c r="A826" s="0" t="s">
        <v>4143</v>
      </c>
      <c r="B826" s="0" t="n">
        <v>78</v>
      </c>
      <c r="C826" s="0" t="n">
        <v>360676</v>
      </c>
      <c r="D826" s="0" t="s">
        <v>1041</v>
      </c>
      <c r="E826" s="0" t="s">
        <v>4144</v>
      </c>
      <c r="F826" s="0" t="str">
        <f aca="false">CONCATENATE(D826," ",LEFT(H826,4),"T=",AU826,"D=",AV826,"R=",AW826,"M=",AX826,"L=",AY826,"B=",AZ826)</f>
        <v>JONES T=1D=0R=0M=0L=1B=0</v>
      </c>
      <c r="G826" s="0" t="s">
        <v>190</v>
      </c>
      <c r="I826" s="0" t="s">
        <v>4145</v>
      </c>
      <c r="J826" s="0" t="s">
        <v>693</v>
      </c>
      <c r="K826" s="0" t="s">
        <v>160</v>
      </c>
      <c r="M826" s="0" t="s">
        <v>4142</v>
      </c>
      <c r="N826" s="0" t="str">
        <f aca="false">RIGHT(M826,LEN(M826)-FIND(" ",M826))</f>
        <v>HOMEWOOD AVE SE</v>
      </c>
      <c r="P826" s="0" t="s">
        <v>145</v>
      </c>
      <c r="Q826" s="0" t="s">
        <v>146</v>
      </c>
      <c r="R826" s="0" t="n">
        <v>44484</v>
      </c>
      <c r="AD826" s="0" t="s">
        <v>147</v>
      </c>
      <c r="AE826" s="0" t="s">
        <v>148</v>
      </c>
      <c r="AF826" s="0" t="s">
        <v>149</v>
      </c>
      <c r="AH826" s="0" t="n">
        <v>14</v>
      </c>
      <c r="AI826" s="0" t="n">
        <v>11</v>
      </c>
      <c r="AN826" s="0" t="s">
        <v>145</v>
      </c>
      <c r="AO826" s="0" t="s">
        <v>233</v>
      </c>
      <c r="AP826" s="0" t="s">
        <v>234</v>
      </c>
      <c r="AQ826" s="0" t="n">
        <v>9</v>
      </c>
      <c r="AR826" s="0" t="n">
        <v>64</v>
      </c>
      <c r="AS826" s="0" t="n">
        <v>32</v>
      </c>
      <c r="AU826" s="0" t="n">
        <f aca="false">COUNTA($BA$2440:$EH$2440)</f>
        <v>1</v>
      </c>
      <c r="AV826" s="0" t="n">
        <f aca="false">COUNTIF($BA$2440:$EH$2440,"D")</f>
        <v>0</v>
      </c>
      <c r="AW826" s="0" t="n">
        <f aca="false">COUNTIF($BA$2440:$EH$2440,"R")</f>
        <v>0</v>
      </c>
      <c r="AX826" s="0" t="n">
        <f aca="false">IF(BN826="D",1,0)+IF(BO826="D",1,0)+IF(BT826="D",1,0)+IF(BU826="D",1,0)+IF(BW826="D",1,0)+IF(CC826="D",1,0)+IF(CD826="D",1,0)+IF(CE826="D",1,0)+IF(CF826="D",1,0)+IF(CL826="D",1,0)+IF(CM826="D",1,0)+IF(CQ826="D",1,0)+IF(CR826="D",1,0)+IF(CS826="D",1,0)+IF(CW826="D",1,0)+IF(CX826="D",1,0)+IF(DD826="D",1,0)+IF(DE826="D",1,0)+IF(DJ826="D",1,0)+IF(DK826="D",1,0)+IF(DO826="D",1,0)+IF(DP826="D",1,0)+IF(DQ826="D",1,0)+IF(DW826="D",1,0)+IF(DZ826="D",1,0)+IF(EH826="D",1,0)</f>
        <v>0</v>
      </c>
      <c r="AY826" s="0" t="n">
        <f aca="false">COUNTIF(DU826:EH826, "&lt;&gt;")</f>
        <v>1</v>
      </c>
      <c r="AZ826" s="0" t="n">
        <f aca="false">IF(EH826&lt;&gt;"",1,0)</f>
        <v>0</v>
      </c>
      <c r="BB826" s="0" t="s">
        <v>152</v>
      </c>
      <c r="CP826" s="0" t="s">
        <v>153</v>
      </c>
      <c r="DR826" s="0" t="s">
        <v>153</v>
      </c>
      <c r="EF826" s="0" t="s">
        <v>153</v>
      </c>
    </row>
    <row r="827" customFormat="false" ht="13.8" hidden="true" customHeight="false" outlineLevel="0" collapsed="false">
      <c r="A827" s="0" t="s">
        <v>4146</v>
      </c>
      <c r="B827" s="0" t="n">
        <v>78</v>
      </c>
      <c r="C827" s="0" t="n">
        <v>155480</v>
      </c>
      <c r="D827" s="0" t="s">
        <v>1764</v>
      </c>
      <c r="E827" s="0" t="s">
        <v>3410</v>
      </c>
      <c r="F827" s="0" t="str">
        <f aca="false">CONCATENATE(D827," ",LEFT(H827,4),"T=",AU827,"D=",AV827,"R=",AW827,"M=",AX827,"L=",AY827,"B=",AZ827)</f>
        <v>MOORE T=3D=0R=0M=1L=0B=0</v>
      </c>
      <c r="G827" s="0" t="s">
        <v>1596</v>
      </c>
      <c r="I827" s="0" t="s">
        <v>4147</v>
      </c>
      <c r="J827" s="0" t="s">
        <v>4148</v>
      </c>
      <c r="K827" s="0" t="s">
        <v>160</v>
      </c>
      <c r="M827" s="0" t="s">
        <v>4142</v>
      </c>
      <c r="N827" s="0" t="str">
        <f aca="false">RIGHT(M827,LEN(M827)-FIND(" ",M827))</f>
        <v>HOMEWOOD AVE SE</v>
      </c>
      <c r="P827" s="0" t="s">
        <v>145</v>
      </c>
      <c r="Q827" s="0" t="s">
        <v>146</v>
      </c>
      <c r="R827" s="0" t="n">
        <v>44484</v>
      </c>
      <c r="AD827" s="0" t="s">
        <v>147</v>
      </c>
      <c r="AE827" s="0" t="s">
        <v>148</v>
      </c>
      <c r="AF827" s="0" t="s">
        <v>149</v>
      </c>
      <c r="AH827" s="0" t="n">
        <v>14</v>
      </c>
      <c r="AI827" s="0" t="n">
        <v>11</v>
      </c>
      <c r="AN827" s="0" t="s">
        <v>145</v>
      </c>
      <c r="AO827" s="0" t="s">
        <v>233</v>
      </c>
      <c r="AP827" s="0" t="s">
        <v>234</v>
      </c>
      <c r="AQ827" s="0" t="n">
        <v>9</v>
      </c>
      <c r="AR827" s="0" t="n">
        <v>64</v>
      </c>
      <c r="AS827" s="0" t="n">
        <v>32</v>
      </c>
      <c r="AU827" s="0" t="n">
        <f aca="false">COUNTA($BA$2608:$EH$2608)</f>
        <v>3</v>
      </c>
      <c r="AV827" s="0" t="n">
        <f aca="false">COUNTIF($BA$2608:$EH$2608,"D")</f>
        <v>0</v>
      </c>
      <c r="AW827" s="0" t="n">
        <f aca="false">COUNTIF($BA$2608:$EH$2608,"R")</f>
        <v>0</v>
      </c>
      <c r="AX827" s="0" t="n">
        <f aca="false">IF(BN827="D",1,0)+IF(BO827="D",1,0)+IF(BT827="D",1,0)+IF(BU827="D",1,0)+IF(BW827="D",1,0)+IF(CC827="D",1,0)+IF(CD827="D",1,0)+IF(CE827="D",1,0)+IF(CF827="D",1,0)+IF(CL827="D",1,0)+IF(CM827="D",1,0)+IF(CQ827="D",1,0)+IF(CR827="D",1,0)+IF(CS827="D",1,0)+IF(CW827="D",1,0)+IF(CX827="D",1,0)+IF(DD827="D",1,0)+IF(DE827="D",1,0)+IF(DJ827="D",1,0)+IF(DK827="D",1,0)+IF(DO827="D",1,0)+IF(DP827="D",1,0)+IF(DQ827="D",1,0)+IF(DW827="D",1,0)+IF(DZ827="D",1,0)+IF(EH827="D",1,0)</f>
        <v>1</v>
      </c>
      <c r="AY827" s="0" t="n">
        <f aca="false">COUNTIF(DU827:EH827, "&lt;&gt;")</f>
        <v>0</v>
      </c>
      <c r="AZ827" s="0" t="n">
        <f aca="false">IF(EH827&lt;&gt;"",1,0)</f>
        <v>0</v>
      </c>
      <c r="BB827" s="0" t="s">
        <v>152</v>
      </c>
      <c r="BC827" s="0" t="s">
        <v>153</v>
      </c>
      <c r="BD827" s="0" t="s">
        <v>153</v>
      </c>
      <c r="BE827" s="0" t="s">
        <v>153</v>
      </c>
      <c r="BI827" s="0" t="s">
        <v>153</v>
      </c>
      <c r="BL827" s="0" t="s">
        <v>153</v>
      </c>
      <c r="CA827" s="0" t="s">
        <v>153</v>
      </c>
      <c r="CK827" s="0" t="s">
        <v>153</v>
      </c>
      <c r="CL827" s="0" t="s">
        <v>175</v>
      </c>
      <c r="CP827" s="0" t="s">
        <v>153</v>
      </c>
    </row>
    <row r="828" customFormat="false" ht="13.8" hidden="false" customHeight="false" outlineLevel="0" collapsed="false">
      <c r="A828" s="0" t="s">
        <v>4149</v>
      </c>
      <c r="B828" s="0" t="n">
        <v>78</v>
      </c>
      <c r="C828" s="0" t="n">
        <v>313603</v>
      </c>
      <c r="D828" s="0" t="s">
        <v>4150</v>
      </c>
      <c r="E828" s="0" t="s">
        <v>4151</v>
      </c>
      <c r="F828" s="0" t="str">
        <f aca="false">CONCATENATE(D828," ",LEFT(H828,4),"T=",AU828,"D=",AV828,"R=",AW828,"M=",AX828,"L=",AY828,"B=",AZ828)</f>
        <v>FRANKLIN T=39D=9R=0M=6L=6B=1</v>
      </c>
      <c r="G828" s="0" t="s">
        <v>4152</v>
      </c>
      <c r="I828" s="0" t="s">
        <v>4153</v>
      </c>
      <c r="J828" s="0" t="s">
        <v>1622</v>
      </c>
      <c r="K828" s="0" t="s">
        <v>160</v>
      </c>
      <c r="L828" s="0" t="s">
        <v>175</v>
      </c>
      <c r="M828" s="0" t="s">
        <v>4154</v>
      </c>
      <c r="N828" s="0" t="str">
        <f aca="false">RIGHT(M828,LEN(M828)-FIND(" ",M828))</f>
        <v>HOMEWOOD AVE SE</v>
      </c>
      <c r="P828" s="0" t="s">
        <v>145</v>
      </c>
      <c r="Q828" s="0" t="s">
        <v>146</v>
      </c>
      <c r="R828" s="0" t="n">
        <v>44484</v>
      </c>
      <c r="AD828" s="0" t="s">
        <v>147</v>
      </c>
      <c r="AE828" s="0" t="s">
        <v>148</v>
      </c>
      <c r="AF828" s="0" t="s">
        <v>149</v>
      </c>
      <c r="AH828" s="0" t="n">
        <v>14</v>
      </c>
      <c r="AI828" s="0" t="n">
        <v>11</v>
      </c>
      <c r="AN828" s="0" t="s">
        <v>145</v>
      </c>
      <c r="AO828" s="0" t="s">
        <v>233</v>
      </c>
      <c r="AP828" s="0" t="s">
        <v>234</v>
      </c>
      <c r="AQ828" s="0" t="n">
        <v>9</v>
      </c>
      <c r="AR828" s="0" t="n">
        <v>64</v>
      </c>
      <c r="AS828" s="0" t="n">
        <v>32</v>
      </c>
      <c r="AU828" s="0" t="n">
        <f aca="false">COUNTA($BA$2229:$EH$2229)</f>
        <v>39</v>
      </c>
      <c r="AV828" s="0" t="n">
        <f aca="false">COUNTIF($BA$2229:$EH$2229,"D")</f>
        <v>9</v>
      </c>
      <c r="AW828" s="0" t="n">
        <f aca="false">COUNTIF($BA$2229:$EH$2229,"R")</f>
        <v>0</v>
      </c>
      <c r="AX828" s="0" t="n">
        <f aca="false">IF(BN828="D",1,0)+IF(BO828="D",1,0)+IF(BT828="D",1,0)+IF(BU828="D",1,0)+IF(BW828="D",1,0)+IF(CC828="D",1,0)+IF(CD828="D",1,0)+IF(CE828="D",1,0)+IF(CF828="D",1,0)+IF(CL828="D",1,0)+IF(CM828="D",1,0)+IF(CQ828="D",1,0)+IF(CR828="D",1,0)+IF(CS828="D",1,0)+IF(CW828="D",1,0)+IF(CX828="D",1,0)+IF(DD828="D",1,0)+IF(DE828="D",1,0)+IF(DJ828="D",1,0)+IF(DK828="D",1,0)+IF(DO828="D",1,0)+IF(DP828="D",1,0)+IF(DQ828="D",1,0)+IF(DW828="D",1,0)+IF(DZ828="D",1,0)+IF(EH828="D",1,0)</f>
        <v>6</v>
      </c>
      <c r="AY828" s="0" t="n">
        <f aca="false">COUNTIF(DU828:EH828, "&lt;&gt;")</f>
        <v>6</v>
      </c>
      <c r="AZ828" s="0" t="n">
        <f aca="false">IF(EH828&lt;&gt;"",1,0)</f>
        <v>1</v>
      </c>
      <c r="BB828" s="0" t="s">
        <v>152</v>
      </c>
      <c r="BI828" s="0" t="s">
        <v>153</v>
      </c>
      <c r="BK828" s="0" t="s">
        <v>153</v>
      </c>
      <c r="BL828" s="0" t="s">
        <v>153</v>
      </c>
      <c r="CA828" s="0" t="s">
        <v>153</v>
      </c>
      <c r="CL828" s="0" t="s">
        <v>175</v>
      </c>
      <c r="CP828" s="0" t="s">
        <v>153</v>
      </c>
      <c r="CQ828" s="0" t="s">
        <v>175</v>
      </c>
      <c r="CT828" s="0" t="s">
        <v>153</v>
      </c>
      <c r="CU828" s="0" t="s">
        <v>175</v>
      </c>
      <c r="CV828" s="0" t="s">
        <v>153</v>
      </c>
      <c r="CW828" s="0" t="s">
        <v>175</v>
      </c>
      <c r="CY828" s="0" t="s">
        <v>153</v>
      </c>
      <c r="DC828" s="0" t="s">
        <v>153</v>
      </c>
      <c r="DG828" s="0" t="s">
        <v>175</v>
      </c>
      <c r="DI828" s="0" t="s">
        <v>153</v>
      </c>
      <c r="DJ828" s="0" t="s">
        <v>175</v>
      </c>
      <c r="DL828" s="0" t="s">
        <v>153</v>
      </c>
      <c r="DN828" s="0" t="s">
        <v>153</v>
      </c>
      <c r="DS828" s="0" t="s">
        <v>175</v>
      </c>
      <c r="DT828" s="0" t="s">
        <v>175</v>
      </c>
      <c r="DU828" s="0" t="s">
        <v>153</v>
      </c>
      <c r="DW828" s="0" t="s">
        <v>175</v>
      </c>
      <c r="DX828" s="0" t="s">
        <v>153</v>
      </c>
      <c r="EA828" s="0" t="s">
        <v>153</v>
      </c>
      <c r="EF828" s="0" t="s">
        <v>153</v>
      </c>
      <c r="EH828" s="0" t="s">
        <v>175</v>
      </c>
    </row>
    <row r="829" customFormat="false" ht="13.8" hidden="true" customHeight="false" outlineLevel="0" collapsed="false">
      <c r="A829" s="0" t="s">
        <v>4155</v>
      </c>
      <c r="B829" s="0" t="n">
        <v>78</v>
      </c>
      <c r="C829" s="0" t="n">
        <v>372238</v>
      </c>
      <c r="D829" s="0" t="s">
        <v>4150</v>
      </c>
      <c r="E829" s="0" t="s">
        <v>4156</v>
      </c>
      <c r="F829" s="0" t="str">
        <f aca="false">CONCATENATE(D829," ",LEFT(H829,4),"T=",AU829,"D=",AV829,"R=",AW829,"M=",AX829,"L=",AY829,"B=",AZ829)</f>
        <v>FRANKLIN T=23D=5R=0M=1L=1B=0</v>
      </c>
      <c r="G829" s="0" t="s">
        <v>195</v>
      </c>
      <c r="I829" s="0" t="s">
        <v>4157</v>
      </c>
      <c r="J829" s="0" t="s">
        <v>4158</v>
      </c>
      <c r="K829" s="0" t="s">
        <v>160</v>
      </c>
      <c r="M829" s="0" t="s">
        <v>4154</v>
      </c>
      <c r="N829" s="0" t="str">
        <f aca="false">RIGHT(M829,LEN(M829)-FIND(" ",M829))</f>
        <v>HOMEWOOD AVE SE</v>
      </c>
      <c r="P829" s="0" t="s">
        <v>145</v>
      </c>
      <c r="Q829" s="0" t="s">
        <v>146</v>
      </c>
      <c r="R829" s="0" t="n">
        <v>44484</v>
      </c>
      <c r="AD829" s="0" t="s">
        <v>147</v>
      </c>
      <c r="AE829" s="0" t="s">
        <v>148</v>
      </c>
      <c r="AF829" s="0" t="s">
        <v>149</v>
      </c>
      <c r="AH829" s="0" t="n">
        <v>14</v>
      </c>
      <c r="AI829" s="0" t="n">
        <v>11</v>
      </c>
      <c r="AN829" s="0" t="s">
        <v>145</v>
      </c>
      <c r="AO829" s="0" t="s">
        <v>233</v>
      </c>
      <c r="AP829" s="0" t="s">
        <v>234</v>
      </c>
      <c r="AQ829" s="0" t="n">
        <v>9</v>
      </c>
      <c r="AR829" s="0" t="n">
        <v>64</v>
      </c>
      <c r="AS829" s="0" t="n">
        <v>32</v>
      </c>
      <c r="AU829" s="0" t="n">
        <f aca="false">COUNTA($BA$2516:$EH$2516)</f>
        <v>23</v>
      </c>
      <c r="AV829" s="0" t="n">
        <f aca="false">COUNTIF($BA$2516:$EH$2516,"D")</f>
        <v>5</v>
      </c>
      <c r="AW829" s="0" t="n">
        <f aca="false">COUNTIF($BA$2516:$EH$2516,"R")</f>
        <v>0</v>
      </c>
      <c r="AX829" s="0" t="n">
        <f aca="false">IF(BN829="D",1,0)+IF(BO829="D",1,0)+IF(BT829="D",1,0)+IF(BU829="D",1,0)+IF(BW829="D",1,0)+IF(CC829="D",1,0)+IF(CD829="D",1,0)+IF(CE829="D",1,0)+IF(CF829="D",1,0)+IF(CL829="D",1,0)+IF(CM829="D",1,0)+IF(CQ829="D",1,0)+IF(CR829="D",1,0)+IF(CS829="D",1,0)+IF(CW829="D",1,0)+IF(CX829="D",1,0)+IF(DD829="D",1,0)+IF(DE829="D",1,0)+IF(DJ829="D",1,0)+IF(DK829="D",1,0)+IF(DO829="D",1,0)+IF(DP829="D",1,0)+IF(DQ829="D",1,0)+IF(DW829="D",1,0)+IF(DZ829="D",1,0)+IF(EH829="D",1,0)</f>
        <v>1</v>
      </c>
      <c r="AY829" s="0" t="n">
        <f aca="false">COUNTIF(DU829:EH829, "&lt;&gt;")</f>
        <v>1</v>
      </c>
      <c r="AZ829" s="0" t="n">
        <f aca="false">IF(EH829&lt;&gt;"",1,0)</f>
        <v>0</v>
      </c>
      <c r="BB829" s="0" t="s">
        <v>152</v>
      </c>
      <c r="CK829" s="0" t="s">
        <v>153</v>
      </c>
      <c r="CL829" s="0" t="s">
        <v>175</v>
      </c>
      <c r="CP829" s="0" t="s">
        <v>153</v>
      </c>
      <c r="CU829" s="0" t="s">
        <v>175</v>
      </c>
      <c r="DI829" s="0" t="s">
        <v>153</v>
      </c>
      <c r="DL829" s="0" t="s">
        <v>153</v>
      </c>
      <c r="DN829" s="0" t="s">
        <v>153</v>
      </c>
      <c r="EF829" s="0" t="s">
        <v>153</v>
      </c>
    </row>
    <row r="830" customFormat="false" ht="13.8" hidden="true" customHeight="false" outlineLevel="0" collapsed="false">
      <c r="A830" s="0" t="s">
        <v>4159</v>
      </c>
      <c r="B830" s="0" t="n">
        <v>78</v>
      </c>
      <c r="C830" s="0" t="n">
        <v>263957</v>
      </c>
      <c r="D830" s="0" t="s">
        <v>4160</v>
      </c>
      <c r="E830" s="0" t="s">
        <v>736</v>
      </c>
      <c r="F830" s="0" t="str">
        <f aca="false">CONCATENATE(D830," ",LEFT(H830,4),"T=",AU830,"D=",AV830,"R=",AW830,"M=",AX830,"L=",AY830,"B=",AZ830)</f>
        <v>WEBSTER T=1D=0R=0M=0L=0B=0</v>
      </c>
      <c r="G830" s="0" t="s">
        <v>164</v>
      </c>
      <c r="I830" s="0" t="s">
        <v>4161</v>
      </c>
      <c r="J830" s="0" t="s">
        <v>693</v>
      </c>
      <c r="K830" s="0" t="s">
        <v>143</v>
      </c>
      <c r="M830" s="0" t="s">
        <v>4162</v>
      </c>
      <c r="N830" s="0" t="str">
        <f aca="false">RIGHT(M830,LEN(M830)-FIND(" ",M830))</f>
        <v>HOMEWOOD AVE SE</v>
      </c>
      <c r="P830" s="0" t="s">
        <v>145</v>
      </c>
      <c r="Q830" s="0" t="s">
        <v>146</v>
      </c>
      <c r="R830" s="0" t="n">
        <v>44484</v>
      </c>
      <c r="AD830" s="0" t="s">
        <v>147</v>
      </c>
      <c r="AE830" s="0" t="s">
        <v>148</v>
      </c>
      <c r="AF830" s="0" t="s">
        <v>149</v>
      </c>
      <c r="AH830" s="0" t="n">
        <v>14</v>
      </c>
      <c r="AI830" s="0" t="n">
        <v>11</v>
      </c>
      <c r="AN830" s="0" t="s">
        <v>145</v>
      </c>
      <c r="AO830" s="0" t="s">
        <v>233</v>
      </c>
      <c r="AP830" s="0" t="s">
        <v>234</v>
      </c>
      <c r="AQ830" s="0" t="n">
        <v>9</v>
      </c>
      <c r="AR830" s="0" t="n">
        <v>64</v>
      </c>
      <c r="AS830" s="0" t="n">
        <v>32</v>
      </c>
      <c r="AU830" s="0" t="n">
        <f aca="false">COUNTA($BA$2288:$EH$2288)</f>
        <v>1</v>
      </c>
      <c r="AV830" s="0" t="n">
        <f aca="false">COUNTIF($BA$2288:$EH$2288,"D")</f>
        <v>0</v>
      </c>
      <c r="AW830" s="0" t="n">
        <f aca="false">COUNTIF($BA$2288:$EH$2288,"R")</f>
        <v>0</v>
      </c>
      <c r="AX830" s="0" t="n">
        <f aca="false">IF(BN830="D",1,0)+IF(BO830="D",1,0)+IF(BT830="D",1,0)+IF(BU830="D",1,0)+IF(BW830="D",1,0)+IF(CC830="D",1,0)+IF(CD830="D",1,0)+IF(CE830="D",1,0)+IF(CF830="D",1,0)+IF(CL830="D",1,0)+IF(CM830="D",1,0)+IF(CQ830="D",1,0)+IF(CR830="D",1,0)+IF(CS830="D",1,0)+IF(CW830="D",1,0)+IF(CX830="D",1,0)+IF(DD830="D",1,0)+IF(DE830="D",1,0)+IF(DJ830="D",1,0)+IF(DK830="D",1,0)+IF(DO830="D",1,0)+IF(DP830="D",1,0)+IF(DQ830="D",1,0)+IF(DW830="D",1,0)+IF(DZ830="D",1,0)+IF(EH830="D",1,0)</f>
        <v>0</v>
      </c>
      <c r="AY830" s="0" t="n">
        <f aca="false">COUNTIF(DU830:EH830, "&lt;&gt;")</f>
        <v>0</v>
      </c>
      <c r="AZ830" s="0" t="n">
        <f aca="false">IF(EH830&lt;&gt;"",1,0)</f>
        <v>0</v>
      </c>
      <c r="BB830" s="0" t="s">
        <v>152</v>
      </c>
      <c r="BD830" s="0" t="s">
        <v>153</v>
      </c>
      <c r="BL830" s="0" t="s">
        <v>153</v>
      </c>
      <c r="BY830" s="0" t="s">
        <v>175</v>
      </c>
      <c r="CA830" s="0" t="s">
        <v>153</v>
      </c>
      <c r="CG830" s="0" t="s">
        <v>153</v>
      </c>
      <c r="CP830" s="0" t="s">
        <v>153</v>
      </c>
      <c r="DC830" s="0" t="s">
        <v>153</v>
      </c>
    </row>
    <row r="831" customFormat="false" ht="13.8" hidden="true" customHeight="false" outlineLevel="0" collapsed="false">
      <c r="A831" s="0" t="s">
        <v>4163</v>
      </c>
      <c r="B831" s="0" t="n">
        <v>78</v>
      </c>
      <c r="C831" s="0" t="n">
        <v>348503</v>
      </c>
      <c r="D831" s="0" t="s">
        <v>4164</v>
      </c>
      <c r="E831" s="0" t="s">
        <v>4165</v>
      </c>
      <c r="F831" s="0" t="str">
        <f aca="false">CONCATENATE(D831," ",LEFT(H831,4),"T=",AU831,"D=",AV831,"R=",AW831,"M=",AX831,"L=",AY831,"B=",AZ831)</f>
        <v>REID WILLIAMSON T=29D=8R=1M=1L=1B=0</v>
      </c>
      <c r="G831" s="0" t="s">
        <v>517</v>
      </c>
      <c r="I831" s="0" t="s">
        <v>4166</v>
      </c>
      <c r="J831" s="0" t="s">
        <v>404</v>
      </c>
      <c r="K831" s="0" t="s">
        <v>160</v>
      </c>
      <c r="M831" s="0" t="s">
        <v>4162</v>
      </c>
      <c r="N831" s="0" t="str">
        <f aca="false">RIGHT(M831,LEN(M831)-FIND(" ",M831))</f>
        <v>HOMEWOOD AVE SE</v>
      </c>
      <c r="P831" s="0" t="s">
        <v>145</v>
      </c>
      <c r="Q831" s="0" t="s">
        <v>146</v>
      </c>
      <c r="R831" s="0" t="n">
        <v>44484</v>
      </c>
      <c r="AD831" s="0" t="s">
        <v>147</v>
      </c>
      <c r="AE831" s="0" t="s">
        <v>148</v>
      </c>
      <c r="AF831" s="0" t="s">
        <v>149</v>
      </c>
      <c r="AH831" s="0" t="n">
        <v>14</v>
      </c>
      <c r="AI831" s="0" t="n">
        <v>11</v>
      </c>
      <c r="AN831" s="0" t="s">
        <v>145</v>
      </c>
      <c r="AO831" s="0" t="s">
        <v>233</v>
      </c>
      <c r="AP831" s="0" t="s">
        <v>234</v>
      </c>
      <c r="AQ831" s="0" t="n">
        <v>9</v>
      </c>
      <c r="AR831" s="0" t="n">
        <v>64</v>
      </c>
      <c r="AS831" s="0" t="n">
        <v>32</v>
      </c>
      <c r="AU831" s="0" t="n">
        <f aca="false">COUNTA($BA$2334:$EH$2334)</f>
        <v>29</v>
      </c>
      <c r="AV831" s="0" t="n">
        <f aca="false">COUNTIF($BA$2334:$EH$2334,"D")</f>
        <v>8</v>
      </c>
      <c r="AW831" s="0" t="n">
        <f aca="false">COUNTIF($BA$2334:$EH$2334,"R")</f>
        <v>1</v>
      </c>
      <c r="AX831" s="0" t="n">
        <f aca="false">IF(BN831="D",1,0)+IF(BO831="D",1,0)+IF(BT831="D",1,0)+IF(BU831="D",1,0)+IF(BW831="D",1,0)+IF(CC831="D",1,0)+IF(CD831="D",1,0)+IF(CE831="D",1,0)+IF(CF831="D",1,0)+IF(CL831="D",1,0)+IF(CM831="D",1,0)+IF(CQ831="D",1,0)+IF(CR831="D",1,0)+IF(CS831="D",1,0)+IF(CW831="D",1,0)+IF(CX831="D",1,0)+IF(DD831="D",1,0)+IF(DE831="D",1,0)+IF(DJ831="D",1,0)+IF(DK831="D",1,0)+IF(DO831="D",1,0)+IF(DP831="D",1,0)+IF(DQ831="D",1,0)+IF(DW831="D",1,0)+IF(DZ831="D",1,0)+IF(EH831="D",1,0)</f>
        <v>1</v>
      </c>
      <c r="AY831" s="0" t="n">
        <f aca="false">COUNTIF(DU831:EH831, "&lt;&gt;")</f>
        <v>1</v>
      </c>
      <c r="AZ831" s="0" t="n">
        <f aca="false">IF(EH831&lt;&gt;"",1,0)</f>
        <v>0</v>
      </c>
      <c r="BB831" s="0" t="s">
        <v>152</v>
      </c>
      <c r="BY831" s="0" t="s">
        <v>175</v>
      </c>
      <c r="CA831" s="0" t="s">
        <v>153</v>
      </c>
      <c r="CL831" s="0" t="s">
        <v>175</v>
      </c>
      <c r="CP831" s="0" t="s">
        <v>153</v>
      </c>
      <c r="CZ831" s="0" t="s">
        <v>175</v>
      </c>
      <c r="DC831" s="0" t="s">
        <v>153</v>
      </c>
      <c r="EF831" s="0" t="s">
        <v>153</v>
      </c>
    </row>
    <row r="832" customFormat="false" ht="13.8" hidden="false" customHeight="false" outlineLevel="0" collapsed="false">
      <c r="A832" s="0" t="s">
        <v>4167</v>
      </c>
      <c r="B832" s="0" t="n">
        <v>78</v>
      </c>
      <c r="C832" s="0" t="n">
        <v>362167</v>
      </c>
      <c r="D832" s="0" t="s">
        <v>4168</v>
      </c>
      <c r="E832" s="0" t="s">
        <v>208</v>
      </c>
      <c r="F832" s="0" t="str">
        <f aca="false">CONCATENATE(D832," ",LEFT(H832,4),"T=",AU832,"D=",AV832,"R=",AW832,"M=",AX832,"L=",AY832,"B=",AZ832)</f>
        <v>HERRON JRT=4D=0R=0M=2L=3B=0</v>
      </c>
      <c r="G832" s="0" t="s">
        <v>171</v>
      </c>
      <c r="H832" s="0" t="s">
        <v>314</v>
      </c>
      <c r="I832" s="0" t="s">
        <v>4169</v>
      </c>
      <c r="J832" s="0" t="s">
        <v>4170</v>
      </c>
      <c r="K832" s="0" t="s">
        <v>160</v>
      </c>
      <c r="L832" s="0" t="s">
        <v>175</v>
      </c>
      <c r="M832" s="0" t="s">
        <v>4171</v>
      </c>
      <c r="N832" s="0" t="str">
        <f aca="false">RIGHT(M832,LEN(M832)-FIND(" ",M832))</f>
        <v>HOMEWOOD AVE SE</v>
      </c>
      <c r="P832" s="0" t="s">
        <v>145</v>
      </c>
      <c r="Q832" s="0" t="s">
        <v>146</v>
      </c>
      <c r="R832" s="0" t="n">
        <v>44484</v>
      </c>
      <c r="AD832" s="0" t="s">
        <v>147</v>
      </c>
      <c r="AE832" s="0" t="s">
        <v>148</v>
      </c>
      <c r="AF832" s="0" t="s">
        <v>149</v>
      </c>
      <c r="AH832" s="0" t="n">
        <v>14</v>
      </c>
      <c r="AI832" s="0" t="n">
        <v>11</v>
      </c>
      <c r="AN832" s="0" t="s">
        <v>145</v>
      </c>
      <c r="AO832" s="0" t="s">
        <v>233</v>
      </c>
      <c r="AP832" s="0" t="s">
        <v>234</v>
      </c>
      <c r="AQ832" s="0" t="n">
        <v>9</v>
      </c>
      <c r="AR832" s="0" t="n">
        <v>64</v>
      </c>
      <c r="AS832" s="0" t="n">
        <v>32</v>
      </c>
      <c r="AU832" s="0" t="n">
        <f aca="false">COUNTA($BA$2163:$EH$2163)</f>
        <v>4</v>
      </c>
      <c r="AV832" s="0" t="n">
        <f aca="false">COUNTIF($BA$2163:$EH$2163,"D")</f>
        <v>0</v>
      </c>
      <c r="AW832" s="0" t="n">
        <f aca="false">COUNTIF($BA$2163:$EH$2163,"R")</f>
        <v>0</v>
      </c>
      <c r="AX832" s="0" t="n">
        <f aca="false">IF(BN832="D",1,0)+IF(BO832="D",1,0)+IF(BT832="D",1,0)+IF(BU832="D",1,0)+IF(BW832="D",1,0)+IF(CC832="D",1,0)+IF(CD832="D",1,0)+IF(CE832="D",1,0)+IF(CF832="D",1,0)+IF(CL832="D",1,0)+IF(CM832="D",1,0)+IF(CQ832="D",1,0)+IF(CR832="D",1,0)+IF(CS832="D",1,0)+IF(CW832="D",1,0)+IF(CX832="D",1,0)+IF(DD832="D",1,0)+IF(DE832="D",1,0)+IF(DJ832="D",1,0)+IF(DK832="D",1,0)+IF(DO832="D",1,0)+IF(DP832="D",1,0)+IF(DQ832="D",1,0)+IF(DW832="D",1,0)+IF(DZ832="D",1,0)+IF(EH832="D",1,0)</f>
        <v>2</v>
      </c>
      <c r="AY832" s="0" t="n">
        <f aca="false">COUNTIF(DU832:EH832, "&lt;&gt;")</f>
        <v>3</v>
      </c>
      <c r="AZ832" s="0" t="n">
        <f aca="false">IF(EH832&lt;&gt;"",1,0)</f>
        <v>0</v>
      </c>
      <c r="BB832" s="0" t="s">
        <v>152</v>
      </c>
      <c r="CA832" s="0" t="s">
        <v>153</v>
      </c>
      <c r="CK832" s="0" t="s">
        <v>153</v>
      </c>
      <c r="CL832" s="0" t="s">
        <v>175</v>
      </c>
      <c r="CP832" s="0" t="s">
        <v>153</v>
      </c>
      <c r="CY832" s="0" t="s">
        <v>153</v>
      </c>
      <c r="DM832" s="0" t="s">
        <v>175</v>
      </c>
      <c r="DN832" s="0" t="s">
        <v>153</v>
      </c>
      <c r="DU832" s="0" t="s">
        <v>153</v>
      </c>
      <c r="DW832" s="0" t="s">
        <v>175</v>
      </c>
      <c r="DX832" s="0" t="s">
        <v>153</v>
      </c>
    </row>
    <row r="833" customFormat="false" ht="13.8" hidden="false" customHeight="false" outlineLevel="0" collapsed="false">
      <c r="A833" s="0" t="s">
        <v>4172</v>
      </c>
      <c r="B833" s="0" t="n">
        <v>78</v>
      </c>
      <c r="C833" s="0" t="n">
        <v>18222</v>
      </c>
      <c r="D833" s="0" t="s">
        <v>4168</v>
      </c>
      <c r="E833" s="0" t="s">
        <v>4173</v>
      </c>
      <c r="F833" s="0" t="str">
        <f aca="false">CONCATENATE(D833," ",LEFT(H833,4),"T=",AU833,"D=",AV833,"R=",AW833,"M=",AX833,"L=",AY833,"B=",AZ833)</f>
        <v>HERRON T=24D=2R=0M=6L=5B=0</v>
      </c>
      <c r="G833" s="0" t="s">
        <v>171</v>
      </c>
      <c r="I833" s="0" t="s">
        <v>4174</v>
      </c>
      <c r="J833" s="0" t="s">
        <v>4175</v>
      </c>
      <c r="K833" s="0" t="s">
        <v>160</v>
      </c>
      <c r="L833" s="0" t="s">
        <v>175</v>
      </c>
      <c r="M833" s="0" t="s">
        <v>4171</v>
      </c>
      <c r="N833" s="0" t="str">
        <f aca="false">RIGHT(M833,LEN(M833)-FIND(" ",M833))</f>
        <v>HOMEWOOD AVE SE</v>
      </c>
      <c r="P833" s="0" t="s">
        <v>145</v>
      </c>
      <c r="Q833" s="0" t="s">
        <v>146</v>
      </c>
      <c r="R833" s="0" t="n">
        <v>44484</v>
      </c>
      <c r="AD833" s="0" t="s">
        <v>147</v>
      </c>
      <c r="AE833" s="0" t="s">
        <v>148</v>
      </c>
      <c r="AF833" s="0" t="s">
        <v>149</v>
      </c>
      <c r="AH833" s="0" t="n">
        <v>14</v>
      </c>
      <c r="AI833" s="0" t="n">
        <v>11</v>
      </c>
      <c r="AN833" s="0" t="s">
        <v>145</v>
      </c>
      <c r="AO833" s="0" t="s">
        <v>233</v>
      </c>
      <c r="AP833" s="0" t="s">
        <v>234</v>
      </c>
      <c r="AQ833" s="0" t="n">
        <v>9</v>
      </c>
      <c r="AR833" s="0" t="n">
        <v>64</v>
      </c>
      <c r="AS833" s="0" t="n">
        <v>32</v>
      </c>
      <c r="AU833" s="0" t="n">
        <f aca="false">COUNTA($BA$2577:$EH$2577)</f>
        <v>24</v>
      </c>
      <c r="AV833" s="0" t="n">
        <f aca="false">COUNTIF($BA$2577:$EH$2577,"D")</f>
        <v>2</v>
      </c>
      <c r="AW833" s="0" t="n">
        <f aca="false">COUNTIF($BA$2577:$EH$2577,"R")</f>
        <v>0</v>
      </c>
      <c r="AX833" s="0" t="n">
        <f aca="false">IF(BN833="D",1,0)+IF(BO833="D",1,0)+IF(BT833="D",1,0)+IF(BU833="D",1,0)+IF(BW833="D",1,0)+IF(CC833="D",1,0)+IF(CD833="D",1,0)+IF(CE833="D",1,0)+IF(CF833="D",1,0)+IF(CL833="D",1,0)+IF(CM833="D",1,0)+IF(CQ833="D",1,0)+IF(CR833="D",1,0)+IF(CS833="D",1,0)+IF(CW833="D",1,0)+IF(CX833="D",1,0)+IF(DD833="D",1,0)+IF(DE833="D",1,0)+IF(DJ833="D",1,0)+IF(DK833="D",1,0)+IF(DO833="D",1,0)+IF(DP833="D",1,0)+IF(DQ833="D",1,0)+IF(DW833="D",1,0)+IF(DZ833="D",1,0)+IF(EH833="D",1,0)</f>
        <v>6</v>
      </c>
      <c r="AY833" s="0" t="n">
        <f aca="false">COUNTIF(DU833:EH833, "&lt;&gt;")</f>
        <v>5</v>
      </c>
      <c r="AZ833" s="0" t="n">
        <f aca="false">IF(EH833&lt;&gt;"",1,0)</f>
        <v>0</v>
      </c>
      <c r="BB833" s="0" t="s">
        <v>152</v>
      </c>
      <c r="BD833" s="0" t="s">
        <v>153</v>
      </c>
      <c r="BF833" s="0" t="s">
        <v>153</v>
      </c>
      <c r="BH833" s="0" t="s">
        <v>153</v>
      </c>
      <c r="BI833" s="0" t="s">
        <v>153</v>
      </c>
      <c r="BJ833" s="0" t="s">
        <v>153</v>
      </c>
      <c r="BK833" s="0" t="s">
        <v>153</v>
      </c>
      <c r="BL833" s="0" t="s">
        <v>153</v>
      </c>
      <c r="BP833" s="0" t="s">
        <v>153</v>
      </c>
      <c r="BS833" s="0" t="s">
        <v>153</v>
      </c>
      <c r="BV833" s="0" t="s">
        <v>153</v>
      </c>
      <c r="BY833" s="0" t="s">
        <v>175</v>
      </c>
      <c r="CA833" s="0" t="s">
        <v>153</v>
      </c>
      <c r="CC833" s="0" t="s">
        <v>175</v>
      </c>
      <c r="CG833" s="0" t="s">
        <v>153</v>
      </c>
      <c r="CH833" s="0" t="s">
        <v>175</v>
      </c>
      <c r="CK833" s="0" t="s">
        <v>153</v>
      </c>
      <c r="CL833" s="0" t="s">
        <v>175</v>
      </c>
      <c r="CN833" s="0" t="s">
        <v>153</v>
      </c>
      <c r="CP833" s="0" t="s">
        <v>153</v>
      </c>
      <c r="CQ833" s="0" t="s">
        <v>175</v>
      </c>
      <c r="CU833" s="0" t="s">
        <v>175</v>
      </c>
      <c r="CV833" s="0" t="s">
        <v>153</v>
      </c>
      <c r="CW833" s="0" t="s">
        <v>175</v>
      </c>
      <c r="CY833" s="0" t="s">
        <v>153</v>
      </c>
      <c r="CZ833" s="0" t="s">
        <v>175</v>
      </c>
      <c r="DC833" s="0" t="s">
        <v>153</v>
      </c>
      <c r="DD833" s="0" t="s">
        <v>175</v>
      </c>
      <c r="DI833" s="0" t="s">
        <v>153</v>
      </c>
      <c r="DL833" s="0" t="s">
        <v>153</v>
      </c>
      <c r="DM833" s="0" t="s">
        <v>175</v>
      </c>
      <c r="DN833" s="0" t="s">
        <v>153</v>
      </c>
      <c r="DR833" s="0" t="s">
        <v>153</v>
      </c>
      <c r="DS833" s="0" t="s">
        <v>175</v>
      </c>
      <c r="DT833" s="0" t="s">
        <v>175</v>
      </c>
      <c r="DU833" s="0" t="s">
        <v>153</v>
      </c>
      <c r="DW833" s="0" t="s">
        <v>175</v>
      </c>
      <c r="DX833" s="0" t="s">
        <v>153</v>
      </c>
      <c r="EA833" s="0" t="s">
        <v>153</v>
      </c>
      <c r="EF833" s="0" t="s">
        <v>153</v>
      </c>
    </row>
    <row r="834" customFormat="false" ht="13.8" hidden="false" customHeight="false" outlineLevel="0" collapsed="false">
      <c r="A834" s="0" t="s">
        <v>4176</v>
      </c>
      <c r="B834" s="0" t="n">
        <v>78</v>
      </c>
      <c r="C834" s="0" t="n">
        <v>14289</v>
      </c>
      <c r="D834" s="0" t="s">
        <v>4150</v>
      </c>
      <c r="E834" s="0" t="s">
        <v>1885</v>
      </c>
      <c r="F834" s="0" t="str">
        <f aca="false">CONCATENATE(D834," ",LEFT(H834,4),"T=",AU834,"D=",AV834,"R=",AW834,"M=",AX834,"L=",AY834,"B=",AZ834)</f>
        <v>FRANKLIN T=1D=0R=0M=7L=7B=1</v>
      </c>
      <c r="G834" s="0" t="s">
        <v>606</v>
      </c>
      <c r="I834" s="0" t="s">
        <v>4177</v>
      </c>
      <c r="J834" s="0" t="s">
        <v>4139</v>
      </c>
      <c r="K834" s="0" t="s">
        <v>160</v>
      </c>
      <c r="L834" s="0" t="s">
        <v>175</v>
      </c>
      <c r="M834" s="0" t="s">
        <v>4178</v>
      </c>
      <c r="N834" s="0" t="str">
        <f aca="false">RIGHT(M834,LEN(M834)-FIND(" ",M834))</f>
        <v>HOMEWOOD AVE SE</v>
      </c>
      <c r="P834" s="0" t="s">
        <v>145</v>
      </c>
      <c r="Q834" s="0" t="s">
        <v>146</v>
      </c>
      <c r="R834" s="0" t="n">
        <v>44484</v>
      </c>
      <c r="AD834" s="0" t="s">
        <v>147</v>
      </c>
      <c r="AE834" s="0" t="s">
        <v>148</v>
      </c>
      <c r="AF834" s="0" t="s">
        <v>149</v>
      </c>
      <c r="AH834" s="0" t="n">
        <v>14</v>
      </c>
      <c r="AI834" s="0" t="n">
        <v>11</v>
      </c>
      <c r="AN834" s="0" t="s">
        <v>145</v>
      </c>
      <c r="AO834" s="0" t="s">
        <v>233</v>
      </c>
      <c r="AP834" s="0" t="s">
        <v>234</v>
      </c>
      <c r="AQ834" s="0" t="n">
        <v>9</v>
      </c>
      <c r="AR834" s="0" t="n">
        <v>64</v>
      </c>
      <c r="AS834" s="0" t="n">
        <v>32</v>
      </c>
      <c r="AU834" s="0" t="n">
        <f aca="false">COUNTA($BA$2206:$EH$2206)</f>
        <v>1</v>
      </c>
      <c r="AV834" s="0" t="n">
        <f aca="false">COUNTIF($BA$2206:$EH$2206,"D")</f>
        <v>0</v>
      </c>
      <c r="AW834" s="0" t="n">
        <f aca="false">COUNTIF($BA$2206:$EH$2206,"R")</f>
        <v>0</v>
      </c>
      <c r="AX834" s="0" t="n">
        <f aca="false">IF(BN834="D",1,0)+IF(BO834="D",1,0)+IF(BT834="D",1,0)+IF(BU834="D",1,0)+IF(BW834="D",1,0)+IF(CC834="D",1,0)+IF(CD834="D",1,0)+IF(CE834="D",1,0)+IF(CF834="D",1,0)+IF(CL834="D",1,0)+IF(CM834="D",1,0)+IF(CQ834="D",1,0)+IF(CR834="D",1,0)+IF(CS834="D",1,0)+IF(CW834="D",1,0)+IF(CX834="D",1,0)+IF(DD834="D",1,0)+IF(DE834="D",1,0)+IF(DJ834="D",1,0)+IF(DK834="D",1,0)+IF(DO834="D",1,0)+IF(DP834="D",1,0)+IF(DQ834="D",1,0)+IF(DW834="D",1,0)+IF(DZ834="D",1,0)+IF(EH834="D",1,0)</f>
        <v>7</v>
      </c>
      <c r="AY834" s="0" t="n">
        <f aca="false">COUNTIF(DU834:EH834, "&lt;&gt;")</f>
        <v>7</v>
      </c>
      <c r="AZ834" s="0" t="n">
        <f aca="false">IF(EH834&lt;&gt;"",1,0)</f>
        <v>1</v>
      </c>
      <c r="BB834" s="0" t="s">
        <v>152</v>
      </c>
      <c r="BC834" s="0" t="s">
        <v>153</v>
      </c>
      <c r="BD834" s="0" t="s">
        <v>153</v>
      </c>
      <c r="BE834" s="0" t="s">
        <v>153</v>
      </c>
      <c r="BF834" s="0" t="s">
        <v>153</v>
      </c>
      <c r="BG834" s="0" t="s">
        <v>153</v>
      </c>
      <c r="BH834" s="0" t="s">
        <v>153</v>
      </c>
      <c r="BI834" s="0" t="s">
        <v>153</v>
      </c>
      <c r="BJ834" s="0" t="s">
        <v>153</v>
      </c>
      <c r="BK834" s="0" t="s">
        <v>153</v>
      </c>
      <c r="BL834" s="0" t="s">
        <v>153</v>
      </c>
      <c r="BP834" s="0" t="s">
        <v>153</v>
      </c>
      <c r="BR834" s="0" t="s">
        <v>153</v>
      </c>
      <c r="BS834" s="0" t="s">
        <v>153</v>
      </c>
      <c r="BT834" s="0" t="s">
        <v>153</v>
      </c>
      <c r="BV834" s="0" t="s">
        <v>153</v>
      </c>
      <c r="BY834" s="0" t="s">
        <v>175</v>
      </c>
      <c r="CA834" s="0" t="s">
        <v>153</v>
      </c>
      <c r="CC834" s="0" t="s">
        <v>175</v>
      </c>
      <c r="CG834" s="0" t="s">
        <v>153</v>
      </c>
      <c r="CH834" s="0" t="s">
        <v>175</v>
      </c>
      <c r="CK834" s="0" t="s">
        <v>153</v>
      </c>
      <c r="CL834" s="0" t="s">
        <v>175</v>
      </c>
      <c r="CN834" s="0" t="s">
        <v>153</v>
      </c>
      <c r="CO834" s="0" t="s">
        <v>175</v>
      </c>
      <c r="CP834" s="0" t="s">
        <v>153</v>
      </c>
      <c r="CQ834" s="0" t="s">
        <v>175</v>
      </c>
      <c r="CT834" s="0" t="s">
        <v>153</v>
      </c>
      <c r="CU834" s="0" t="s">
        <v>175</v>
      </c>
      <c r="CV834" s="0" t="s">
        <v>153</v>
      </c>
      <c r="CW834" s="0" t="s">
        <v>175</v>
      </c>
      <c r="CY834" s="0" t="s">
        <v>153</v>
      </c>
      <c r="CZ834" s="0" t="s">
        <v>175</v>
      </c>
      <c r="DC834" s="0" t="s">
        <v>153</v>
      </c>
      <c r="DF834" s="0" t="s">
        <v>153</v>
      </c>
      <c r="DG834" s="0" t="s">
        <v>175</v>
      </c>
      <c r="DI834" s="0" t="s">
        <v>153</v>
      </c>
      <c r="DJ834" s="0" t="s">
        <v>175</v>
      </c>
      <c r="DL834" s="0" t="s">
        <v>153</v>
      </c>
      <c r="DM834" s="0" t="s">
        <v>175</v>
      </c>
      <c r="DN834" s="0" t="s">
        <v>153</v>
      </c>
      <c r="DR834" s="0" t="s">
        <v>153</v>
      </c>
      <c r="DT834" s="0" t="s">
        <v>175</v>
      </c>
      <c r="DU834" s="0" t="s">
        <v>153</v>
      </c>
      <c r="DW834" s="0" t="s">
        <v>175</v>
      </c>
      <c r="DX834" s="0" t="s">
        <v>153</v>
      </c>
      <c r="EA834" s="0" t="s">
        <v>153</v>
      </c>
      <c r="ED834" s="0" t="s">
        <v>175</v>
      </c>
      <c r="EF834" s="0" t="s">
        <v>153</v>
      </c>
      <c r="EH834" s="0" t="s">
        <v>175</v>
      </c>
    </row>
    <row r="835" customFormat="false" ht="13.8" hidden="true" customHeight="false" outlineLevel="0" collapsed="false">
      <c r="A835" s="0" t="s">
        <v>4179</v>
      </c>
      <c r="B835" s="0" t="n">
        <v>78</v>
      </c>
      <c r="C835" s="0" t="n">
        <v>388741</v>
      </c>
      <c r="D835" s="0" t="s">
        <v>4180</v>
      </c>
      <c r="E835" s="0" t="s">
        <v>1600</v>
      </c>
      <c r="F835" s="0" t="str">
        <f aca="false">CONCATENATE(D835," ",LEFT(H835,4),"T=",AU835,"D=",AV835,"R=",AW835,"M=",AX835,"L=",AY835,"B=",AZ835)</f>
        <v>CARPENTER T=4D=0R=0M=0L=0B=0</v>
      </c>
      <c r="G835" s="0" t="s">
        <v>164</v>
      </c>
      <c r="I835" s="0" t="s">
        <v>4181</v>
      </c>
      <c r="J835" s="0" t="s">
        <v>4182</v>
      </c>
      <c r="K835" s="0" t="s">
        <v>143</v>
      </c>
      <c r="M835" s="0" t="s">
        <v>4183</v>
      </c>
      <c r="N835" s="0" t="str">
        <f aca="false">RIGHT(M835,LEN(M835)-FIND(" ",M835))</f>
        <v>HOMEWOOD AVE SE</v>
      </c>
      <c r="P835" s="0" t="s">
        <v>145</v>
      </c>
      <c r="Q835" s="0" t="s">
        <v>146</v>
      </c>
      <c r="R835" s="0" t="n">
        <v>44484</v>
      </c>
      <c r="AD835" s="0" t="s">
        <v>147</v>
      </c>
      <c r="AE835" s="0" t="s">
        <v>148</v>
      </c>
      <c r="AF835" s="0" t="s">
        <v>149</v>
      </c>
      <c r="AH835" s="0" t="n">
        <v>14</v>
      </c>
      <c r="AI835" s="0" t="n">
        <v>11</v>
      </c>
      <c r="AN835" s="0" t="s">
        <v>145</v>
      </c>
      <c r="AO835" s="0" t="s">
        <v>233</v>
      </c>
      <c r="AP835" s="0" t="s">
        <v>234</v>
      </c>
      <c r="AQ835" s="0" t="n">
        <v>9</v>
      </c>
      <c r="AR835" s="0" t="n">
        <v>64</v>
      </c>
      <c r="AS835" s="0" t="n">
        <v>32</v>
      </c>
      <c r="AU835" s="0" t="n">
        <f aca="false">COUNTA($BA$2085:$EH$2085)</f>
        <v>4</v>
      </c>
      <c r="AV835" s="0" t="n">
        <f aca="false">COUNTIF($BA$2085:$EH$2085,"D")</f>
        <v>0</v>
      </c>
      <c r="AW835" s="0" t="n">
        <f aca="false">COUNTIF($BA$2085:$EH$2085,"R")</f>
        <v>0</v>
      </c>
      <c r="AX835" s="0" t="n">
        <f aca="false">IF(BN835="D",1,0)+IF(BO835="D",1,0)+IF(BT835="D",1,0)+IF(BU835="D",1,0)+IF(BW835="D",1,0)+IF(CC835="D",1,0)+IF(CD835="D",1,0)+IF(CE835="D",1,0)+IF(CF835="D",1,0)+IF(CL835="D",1,0)+IF(CM835="D",1,0)+IF(CQ835="D",1,0)+IF(CR835="D",1,0)+IF(CS835="D",1,0)+IF(CW835="D",1,0)+IF(CX835="D",1,0)+IF(DD835="D",1,0)+IF(DE835="D",1,0)+IF(DJ835="D",1,0)+IF(DK835="D",1,0)+IF(DO835="D",1,0)+IF(DP835="D",1,0)+IF(DQ835="D",1,0)+IF(DW835="D",1,0)+IF(DZ835="D",1,0)+IF(EH835="D",1,0)</f>
        <v>0</v>
      </c>
      <c r="AY835" s="0" t="n">
        <f aca="false">COUNTIF(DU835:EH835, "&lt;&gt;")</f>
        <v>0</v>
      </c>
      <c r="AZ835" s="0" t="n">
        <f aca="false">IF(EH835&lt;&gt;"",1,0)</f>
        <v>0</v>
      </c>
      <c r="BB835" s="0" t="s">
        <v>152</v>
      </c>
      <c r="DC835" s="0" t="s">
        <v>153</v>
      </c>
      <c r="DI835" s="0" t="s">
        <v>153</v>
      </c>
    </row>
    <row r="836" customFormat="false" ht="13.8" hidden="false" customHeight="false" outlineLevel="0" collapsed="false">
      <c r="A836" s="0" t="s">
        <v>4184</v>
      </c>
      <c r="B836" s="0" t="n">
        <v>78</v>
      </c>
      <c r="C836" s="0" t="n">
        <v>362235</v>
      </c>
      <c r="D836" s="0" t="s">
        <v>1041</v>
      </c>
      <c r="E836" s="0" t="s">
        <v>4185</v>
      </c>
      <c r="F836" s="0" t="str">
        <f aca="false">CONCATENATE(D836," ",LEFT(H836,4),"T=",AU836,"D=",AV836,"R=",AW836,"M=",AX836,"L=",AY836,"B=",AZ836)</f>
        <v>JONES JRT=18D=2R=0M=2L=3B=0</v>
      </c>
      <c r="H836" s="0" t="s">
        <v>314</v>
      </c>
      <c r="I836" s="0" t="s">
        <v>4186</v>
      </c>
      <c r="J836" s="0" t="s">
        <v>1778</v>
      </c>
      <c r="K836" s="0" t="s">
        <v>160</v>
      </c>
      <c r="L836" s="0" t="s">
        <v>175</v>
      </c>
      <c r="M836" s="0" t="s">
        <v>4183</v>
      </c>
      <c r="N836" s="0" t="str">
        <f aca="false">RIGHT(M836,LEN(M836)-FIND(" ",M836))</f>
        <v>HOMEWOOD AVE SE</v>
      </c>
      <c r="P836" s="0" t="s">
        <v>145</v>
      </c>
      <c r="Q836" s="0" t="s">
        <v>146</v>
      </c>
      <c r="R836" s="0" t="n">
        <v>44484</v>
      </c>
      <c r="AD836" s="0" t="s">
        <v>147</v>
      </c>
      <c r="AE836" s="0" t="s">
        <v>148</v>
      </c>
      <c r="AF836" s="0" t="s">
        <v>149</v>
      </c>
      <c r="AH836" s="0" t="n">
        <v>14</v>
      </c>
      <c r="AI836" s="0" t="n">
        <v>11</v>
      </c>
      <c r="AN836" s="0" t="s">
        <v>145</v>
      </c>
      <c r="AO836" s="0" t="s">
        <v>233</v>
      </c>
      <c r="AP836" s="0" t="s">
        <v>234</v>
      </c>
      <c r="AQ836" s="0" t="n">
        <v>9</v>
      </c>
      <c r="AR836" s="0" t="n">
        <v>64</v>
      </c>
      <c r="AS836" s="0" t="n">
        <v>32</v>
      </c>
      <c r="AU836" s="0" t="n">
        <f aca="false">COUNTA($BA$2200:$EH$2200)</f>
        <v>18</v>
      </c>
      <c r="AV836" s="0" t="n">
        <f aca="false">COUNTIF($BA$2200:$EH$2200,"D")</f>
        <v>2</v>
      </c>
      <c r="AW836" s="0" t="n">
        <f aca="false">COUNTIF($BA$2200:$EH$2200,"R")</f>
        <v>0</v>
      </c>
      <c r="AX836" s="0" t="n">
        <f aca="false">IF(BN836="D",1,0)+IF(BO836="D",1,0)+IF(BT836="D",1,0)+IF(BU836="D",1,0)+IF(BW836="D",1,0)+IF(CC836="D",1,0)+IF(CD836="D",1,0)+IF(CE836="D",1,0)+IF(CF836="D",1,0)+IF(CL836="D",1,0)+IF(CM836="D",1,0)+IF(CQ836="D",1,0)+IF(CR836="D",1,0)+IF(CS836="D",1,0)+IF(CW836="D",1,0)+IF(CX836="D",1,0)+IF(DD836="D",1,0)+IF(DE836="D",1,0)+IF(DJ836="D",1,0)+IF(DK836="D",1,0)+IF(DO836="D",1,0)+IF(DP836="D",1,0)+IF(DQ836="D",1,0)+IF(DW836="D",1,0)+IF(DZ836="D",1,0)+IF(EH836="D",1,0)</f>
        <v>2</v>
      </c>
      <c r="AY836" s="0" t="n">
        <f aca="false">COUNTIF(DU836:EH836, "&lt;&gt;")</f>
        <v>3</v>
      </c>
      <c r="AZ836" s="0" t="n">
        <f aca="false">IF(EH836&lt;&gt;"",1,0)</f>
        <v>0</v>
      </c>
      <c r="BB836" s="0" t="s">
        <v>152</v>
      </c>
      <c r="CA836" s="0" t="s">
        <v>153</v>
      </c>
      <c r="CL836" s="0" t="s">
        <v>175</v>
      </c>
      <c r="CN836" s="0" t="s">
        <v>153</v>
      </c>
      <c r="CP836" s="0" t="s">
        <v>153</v>
      </c>
      <c r="CV836" s="0" t="s">
        <v>153</v>
      </c>
      <c r="CY836" s="0" t="s">
        <v>153</v>
      </c>
      <c r="CZ836" s="0" t="s">
        <v>175</v>
      </c>
      <c r="DC836" s="0" t="s">
        <v>153</v>
      </c>
      <c r="DG836" s="0" t="s">
        <v>175</v>
      </c>
      <c r="DL836" s="0" t="s">
        <v>153</v>
      </c>
      <c r="DN836" s="0" t="s">
        <v>153</v>
      </c>
      <c r="DW836" s="0" t="s">
        <v>175</v>
      </c>
      <c r="EA836" s="0" t="s">
        <v>153</v>
      </c>
      <c r="EF836" s="0" t="s">
        <v>153</v>
      </c>
    </row>
    <row r="837" customFormat="false" ht="13.8" hidden="true" customHeight="false" outlineLevel="0" collapsed="false">
      <c r="A837" s="0" t="s">
        <v>4187</v>
      </c>
      <c r="B837" s="0" t="n">
        <v>78</v>
      </c>
      <c r="C837" s="0" t="n">
        <v>345133</v>
      </c>
      <c r="D837" s="0" t="s">
        <v>1041</v>
      </c>
      <c r="E837" s="0" t="s">
        <v>905</v>
      </c>
      <c r="F837" s="0" t="str">
        <f aca="false">CONCATENATE(D837," ",LEFT(H837,4),"T=",AU837,"D=",AV837,"R=",AW837,"M=",AX837,"L=",AY837,"B=",AZ837)</f>
        <v>JONES T=14D=1R=0M=0L=0B=0</v>
      </c>
      <c r="G837" s="0" t="s">
        <v>195</v>
      </c>
      <c r="I837" s="0" t="s">
        <v>4188</v>
      </c>
      <c r="J837" s="0" t="s">
        <v>4189</v>
      </c>
      <c r="K837" s="0" t="s">
        <v>143</v>
      </c>
      <c r="M837" s="0" t="s">
        <v>4183</v>
      </c>
      <c r="N837" s="0" t="str">
        <f aca="false">RIGHT(M837,LEN(M837)-FIND(" ",M837))</f>
        <v>HOMEWOOD AVE SE</v>
      </c>
      <c r="P837" s="0" t="s">
        <v>145</v>
      </c>
      <c r="Q837" s="0" t="s">
        <v>146</v>
      </c>
      <c r="R837" s="0" t="n">
        <v>44484</v>
      </c>
      <c r="AD837" s="0" t="s">
        <v>147</v>
      </c>
      <c r="AE837" s="0" t="s">
        <v>148</v>
      </c>
      <c r="AF837" s="0" t="s">
        <v>149</v>
      </c>
      <c r="AH837" s="0" t="n">
        <v>14</v>
      </c>
      <c r="AI837" s="0" t="n">
        <v>11</v>
      </c>
      <c r="AN837" s="0" t="s">
        <v>145</v>
      </c>
      <c r="AO837" s="0" t="s">
        <v>233</v>
      </c>
      <c r="AP837" s="0" t="s">
        <v>234</v>
      </c>
      <c r="AQ837" s="0" t="n">
        <v>9</v>
      </c>
      <c r="AR837" s="0" t="n">
        <v>64</v>
      </c>
      <c r="AS837" s="0" t="n">
        <v>32</v>
      </c>
      <c r="AU837" s="0" t="n">
        <f aca="false">COUNTA($BA$2640:$EH$2640)</f>
        <v>14</v>
      </c>
      <c r="AV837" s="0" t="n">
        <f aca="false">COUNTIF($BA$2640:$EH$2640,"D")</f>
        <v>1</v>
      </c>
      <c r="AW837" s="0" t="n">
        <f aca="false">COUNTIF($BA$2640:$EH$2640,"R")</f>
        <v>0</v>
      </c>
      <c r="AX837" s="0" t="n">
        <f aca="false">IF(BN837="D",1,0)+IF(BO837="D",1,0)+IF(BT837="D",1,0)+IF(BU837="D",1,0)+IF(BW837="D",1,0)+IF(CC837="D",1,0)+IF(CD837="D",1,0)+IF(CE837="D",1,0)+IF(CF837="D",1,0)+IF(CL837="D",1,0)+IF(CM837="D",1,0)+IF(CQ837="D",1,0)+IF(CR837="D",1,0)+IF(CS837="D",1,0)+IF(CW837="D",1,0)+IF(CX837="D",1,0)+IF(DD837="D",1,0)+IF(DE837="D",1,0)+IF(DJ837="D",1,0)+IF(DK837="D",1,0)+IF(DO837="D",1,0)+IF(DP837="D",1,0)+IF(DQ837="D",1,0)+IF(DW837="D",1,0)+IF(DZ837="D",1,0)+IF(EH837="D",1,0)</f>
        <v>0</v>
      </c>
      <c r="AY837" s="0" t="n">
        <f aca="false">COUNTIF(DU837:EH837, "&lt;&gt;")</f>
        <v>0</v>
      </c>
      <c r="AZ837" s="0" t="n">
        <f aca="false">IF(EH837&lt;&gt;"",1,0)</f>
        <v>0</v>
      </c>
      <c r="BB837" s="0" t="s">
        <v>152</v>
      </c>
      <c r="BS837" s="0" t="s">
        <v>153</v>
      </c>
      <c r="CP837" s="0" t="s">
        <v>153</v>
      </c>
      <c r="DC837" s="0" t="s">
        <v>153</v>
      </c>
      <c r="DI837" s="0" t="s">
        <v>153</v>
      </c>
      <c r="DN837" s="0" t="s">
        <v>153</v>
      </c>
    </row>
    <row r="838" customFormat="false" ht="13.8" hidden="false" customHeight="false" outlineLevel="0" collapsed="false">
      <c r="A838" s="0" t="s">
        <v>4190</v>
      </c>
      <c r="B838" s="0" t="n">
        <v>78</v>
      </c>
      <c r="C838" s="0" t="n">
        <v>163331</v>
      </c>
      <c r="D838" s="0" t="s">
        <v>4191</v>
      </c>
      <c r="E838" s="0" t="s">
        <v>4192</v>
      </c>
      <c r="F838" s="0" t="str">
        <f aca="false">CONCATENATE(D838," ",LEFT(H838,4),"T=",AU838,"D=",AV838,"R=",AW838,"M=",AX838,"L=",AY838,"B=",AZ838)</f>
        <v>CHRISTIAN T=2D=0R=0M=2L=2B=0</v>
      </c>
      <c r="G838" s="0" t="s">
        <v>209</v>
      </c>
      <c r="I838" s="0" t="s">
        <v>4193</v>
      </c>
      <c r="J838" s="0" t="s">
        <v>4194</v>
      </c>
      <c r="K838" s="0" t="s">
        <v>160</v>
      </c>
      <c r="M838" s="0" t="s">
        <v>4195</v>
      </c>
      <c r="N838" s="0" t="str">
        <f aca="false">RIGHT(M838,LEN(M838)-FIND(" ",M838))</f>
        <v>HOMEWOOD AVE SE</v>
      </c>
      <c r="P838" s="0" t="s">
        <v>145</v>
      </c>
      <c r="Q838" s="0" t="s">
        <v>146</v>
      </c>
      <c r="R838" s="0" t="n">
        <v>44484</v>
      </c>
      <c r="AD838" s="0" t="s">
        <v>147</v>
      </c>
      <c r="AE838" s="0" t="s">
        <v>148</v>
      </c>
      <c r="AF838" s="0" t="s">
        <v>149</v>
      </c>
      <c r="AH838" s="0" t="n">
        <v>14</v>
      </c>
      <c r="AI838" s="0" t="n">
        <v>11</v>
      </c>
      <c r="AN838" s="0" t="s">
        <v>145</v>
      </c>
      <c r="AO838" s="0" t="s">
        <v>233</v>
      </c>
      <c r="AP838" s="0" t="s">
        <v>234</v>
      </c>
      <c r="AQ838" s="0" t="n">
        <v>9</v>
      </c>
      <c r="AR838" s="0" t="n">
        <v>64</v>
      </c>
      <c r="AS838" s="0" t="n">
        <v>32</v>
      </c>
      <c r="AU838" s="0" t="n">
        <f aca="false">COUNTA($BA$2514:$EH$2514)</f>
        <v>2</v>
      </c>
      <c r="AV838" s="0" t="n">
        <f aca="false">COUNTIF($BA$2514:$EH$2514,"D")</f>
        <v>0</v>
      </c>
      <c r="AW838" s="0" t="n">
        <f aca="false">COUNTIF($BA$2514:$EH$2514,"R")</f>
        <v>0</v>
      </c>
      <c r="AX838" s="0" t="n">
        <f aca="false">IF(BN838="D",1,0)+IF(BO838="D",1,0)+IF(BT838="D",1,0)+IF(BU838="D",1,0)+IF(BW838="D",1,0)+IF(CC838="D",1,0)+IF(CD838="D",1,0)+IF(CE838="D",1,0)+IF(CF838="D",1,0)+IF(CL838="D",1,0)+IF(CM838="D",1,0)+IF(CQ838="D",1,0)+IF(CR838="D",1,0)+IF(CS838="D",1,0)+IF(CW838="D",1,0)+IF(CX838="D",1,0)+IF(DD838="D",1,0)+IF(DE838="D",1,0)+IF(DJ838="D",1,0)+IF(DK838="D",1,0)+IF(DO838="D",1,0)+IF(DP838="D",1,0)+IF(DQ838="D",1,0)+IF(DW838="D",1,0)+IF(DZ838="D",1,0)+IF(EH838="D",1,0)</f>
        <v>2</v>
      </c>
      <c r="AY838" s="0" t="n">
        <f aca="false">COUNTIF(DU838:EH838, "&lt;&gt;")</f>
        <v>2</v>
      </c>
      <c r="AZ838" s="0" t="n">
        <f aca="false">IF(EH838&lt;&gt;"",1,0)</f>
        <v>0</v>
      </c>
      <c r="BB838" s="0" t="s">
        <v>152</v>
      </c>
      <c r="BD838" s="0" t="s">
        <v>153</v>
      </c>
      <c r="BK838" s="0" t="s">
        <v>153</v>
      </c>
      <c r="BL838" s="0" t="s">
        <v>153</v>
      </c>
      <c r="BP838" s="0" t="s">
        <v>153</v>
      </c>
      <c r="BR838" s="0" t="s">
        <v>153</v>
      </c>
      <c r="BS838" s="0" t="s">
        <v>153</v>
      </c>
      <c r="BY838" s="0" t="s">
        <v>175</v>
      </c>
      <c r="CA838" s="0" t="s">
        <v>153</v>
      </c>
      <c r="CK838" s="0" t="s">
        <v>153</v>
      </c>
      <c r="CL838" s="0" t="s">
        <v>175</v>
      </c>
      <c r="CN838" s="0" t="s">
        <v>153</v>
      </c>
      <c r="CP838" s="0" t="s">
        <v>153</v>
      </c>
      <c r="CU838" s="0" t="s">
        <v>175</v>
      </c>
      <c r="CV838" s="0" t="s">
        <v>153</v>
      </c>
      <c r="CY838" s="0" t="s">
        <v>153</v>
      </c>
      <c r="CZ838" s="0" t="s">
        <v>175</v>
      </c>
      <c r="DC838" s="0" t="s">
        <v>153</v>
      </c>
      <c r="DI838" s="0" t="s">
        <v>153</v>
      </c>
      <c r="DJ838" s="0" t="s">
        <v>175</v>
      </c>
      <c r="DL838" s="0" t="s">
        <v>153</v>
      </c>
      <c r="DM838" s="0" t="s">
        <v>175</v>
      </c>
      <c r="DN838" s="0" t="s">
        <v>153</v>
      </c>
      <c r="DU838" s="0" t="s">
        <v>153</v>
      </c>
      <c r="EF838" s="0" t="s">
        <v>153</v>
      </c>
    </row>
    <row r="839" customFormat="false" ht="13.8" hidden="true" customHeight="false" outlineLevel="0" collapsed="false">
      <c r="A839" s="0" t="s">
        <v>4196</v>
      </c>
      <c r="B839" s="0" t="n">
        <v>78</v>
      </c>
      <c r="C839" s="0" t="n">
        <v>451747</v>
      </c>
      <c r="D839" s="0" t="s">
        <v>4197</v>
      </c>
      <c r="E839" s="0" t="s">
        <v>4198</v>
      </c>
      <c r="F839" s="0" t="str">
        <f aca="false">CONCATENATE(D839," ",LEFT(H839,4),"T=",AU839,"D=",AV839,"R=",AW839,"M=",AX839,"L=",AY839,"B=",AZ839)</f>
        <v>PRIETO T=46D=16R=0M=0L=0B=0</v>
      </c>
      <c r="G839" s="0" t="s">
        <v>4199</v>
      </c>
      <c r="I839" s="0" t="s">
        <v>2656</v>
      </c>
      <c r="J839" s="0" t="s">
        <v>688</v>
      </c>
      <c r="K839" s="0" t="s">
        <v>143</v>
      </c>
      <c r="M839" s="0" t="s">
        <v>4200</v>
      </c>
      <c r="N839" s="0" t="str">
        <f aca="false">RIGHT(M839,LEN(M839)-FIND(" ",M839))</f>
        <v>HOMEWOOD AVE SE</v>
      </c>
      <c r="P839" s="0" t="s">
        <v>145</v>
      </c>
      <c r="Q839" s="0" t="s">
        <v>146</v>
      </c>
      <c r="R839" s="0" t="n">
        <v>44484</v>
      </c>
      <c r="AD839" s="0" t="s">
        <v>147</v>
      </c>
      <c r="AE839" s="0" t="s">
        <v>148</v>
      </c>
      <c r="AF839" s="0" t="s">
        <v>149</v>
      </c>
      <c r="AH839" s="0" t="n">
        <v>14</v>
      </c>
      <c r="AI839" s="0" t="n">
        <v>11</v>
      </c>
      <c r="AN839" s="0" t="s">
        <v>145</v>
      </c>
      <c r="AO839" s="0" t="s">
        <v>233</v>
      </c>
      <c r="AP839" s="0" t="s">
        <v>234</v>
      </c>
      <c r="AQ839" s="0" t="n">
        <v>9</v>
      </c>
      <c r="AR839" s="0" t="n">
        <v>64</v>
      </c>
      <c r="AS839" s="0" t="n">
        <v>32</v>
      </c>
      <c r="AU839" s="0" t="n">
        <f aca="false">COUNTA($BA$2118:$EH$2118)</f>
        <v>46</v>
      </c>
      <c r="AV839" s="0" t="n">
        <f aca="false">COUNTIF($BA$2118:$EH$2118,"D")</f>
        <v>16</v>
      </c>
      <c r="AW839" s="0" t="n">
        <f aca="false">COUNTIF($BA$2118:$EH$2118,"R")</f>
        <v>0</v>
      </c>
      <c r="AX839" s="0" t="n">
        <f aca="false">IF(BN839="D",1,0)+IF(BO839="D",1,0)+IF(BT839="D",1,0)+IF(BU839="D",1,0)+IF(BW839="D",1,0)+IF(CC839="D",1,0)+IF(CD839="D",1,0)+IF(CE839="D",1,0)+IF(CF839="D",1,0)+IF(CL839="D",1,0)+IF(CM839="D",1,0)+IF(CQ839="D",1,0)+IF(CR839="D",1,0)+IF(CS839="D",1,0)+IF(CW839="D",1,0)+IF(CX839="D",1,0)+IF(DD839="D",1,0)+IF(DE839="D",1,0)+IF(DJ839="D",1,0)+IF(DK839="D",1,0)+IF(DO839="D",1,0)+IF(DP839="D",1,0)+IF(DQ839="D",1,0)+IF(DW839="D",1,0)+IF(DZ839="D",1,0)+IF(EH839="D",1,0)</f>
        <v>0</v>
      </c>
      <c r="AY839" s="0" t="n">
        <f aca="false">COUNTIF(DU839:EH839, "&lt;&gt;")</f>
        <v>0</v>
      </c>
      <c r="AZ839" s="0" t="n">
        <f aca="false">IF(EH839&lt;&gt;"",1,0)</f>
        <v>0</v>
      </c>
      <c r="BB839" s="0" t="s">
        <v>152</v>
      </c>
      <c r="DN839" s="0" t="s">
        <v>153</v>
      </c>
    </row>
    <row r="840" customFormat="false" ht="13.8" hidden="true" customHeight="false" outlineLevel="0" collapsed="false">
      <c r="A840" s="0" t="s">
        <v>4201</v>
      </c>
      <c r="B840" s="0" t="n">
        <v>78</v>
      </c>
      <c r="C840" s="0" t="n">
        <v>474176</v>
      </c>
      <c r="D840" s="0" t="s">
        <v>4202</v>
      </c>
      <c r="E840" s="0" t="s">
        <v>4203</v>
      </c>
      <c r="F840" s="0" t="str">
        <f aca="false">CONCATENATE(D840," ",LEFT(H840,4),"T=",AU840,"D=",AV840,"R=",AW840,"M=",AX840,"L=",AY840,"B=",AZ840)</f>
        <v>BOYKIN T=28D=6R=0M=0L=1B=0</v>
      </c>
      <c r="G840" s="0" t="s">
        <v>171</v>
      </c>
      <c r="I840" s="0" t="s">
        <v>4204</v>
      </c>
      <c r="J840" s="0" t="s">
        <v>4205</v>
      </c>
      <c r="K840" s="0" t="s">
        <v>160</v>
      </c>
      <c r="M840" s="0" t="s">
        <v>4200</v>
      </c>
      <c r="N840" s="0" t="str">
        <f aca="false">RIGHT(M840,LEN(M840)-FIND(" ",M840))</f>
        <v>HOMEWOOD AVE SE</v>
      </c>
      <c r="P840" s="0" t="s">
        <v>145</v>
      </c>
      <c r="Q840" s="0" t="s">
        <v>146</v>
      </c>
      <c r="R840" s="0" t="n">
        <v>44484</v>
      </c>
      <c r="AD840" s="0" t="s">
        <v>147</v>
      </c>
      <c r="AE840" s="0" t="s">
        <v>148</v>
      </c>
      <c r="AF840" s="0" t="s">
        <v>149</v>
      </c>
      <c r="AH840" s="0" t="n">
        <v>14</v>
      </c>
      <c r="AI840" s="0" t="n">
        <v>11</v>
      </c>
      <c r="AN840" s="0" t="s">
        <v>145</v>
      </c>
      <c r="AO840" s="0" t="s">
        <v>233</v>
      </c>
      <c r="AP840" s="0" t="s">
        <v>234</v>
      </c>
      <c r="AQ840" s="0" t="n">
        <v>9</v>
      </c>
      <c r="AR840" s="0" t="n">
        <v>64</v>
      </c>
      <c r="AS840" s="0" t="n">
        <v>32</v>
      </c>
      <c r="AU840" s="0" t="n">
        <f aca="false">COUNTA($BA$2488:$EH$2488)</f>
        <v>28</v>
      </c>
      <c r="AV840" s="0" t="n">
        <f aca="false">COUNTIF($BA$2488:$EH$2488,"D")</f>
        <v>6</v>
      </c>
      <c r="AW840" s="0" t="n">
        <f aca="false">COUNTIF($BA$2488:$EH$2488,"R")</f>
        <v>0</v>
      </c>
      <c r="AX840" s="0" t="n">
        <f aca="false">IF(BN840="D",1,0)+IF(BO840="D",1,0)+IF(BT840="D",1,0)+IF(BU840="D",1,0)+IF(BW840="D",1,0)+IF(CC840="D",1,0)+IF(CD840="D",1,0)+IF(CE840="D",1,0)+IF(CF840="D",1,0)+IF(CL840="D",1,0)+IF(CM840="D",1,0)+IF(CQ840="D",1,0)+IF(CR840="D",1,0)+IF(CS840="D",1,0)+IF(CW840="D",1,0)+IF(CX840="D",1,0)+IF(DD840="D",1,0)+IF(DE840="D",1,0)+IF(DJ840="D",1,0)+IF(DK840="D",1,0)+IF(DO840="D",1,0)+IF(DP840="D",1,0)+IF(DQ840="D",1,0)+IF(DW840="D",1,0)+IF(DZ840="D",1,0)+IF(EH840="D",1,0)</f>
        <v>0</v>
      </c>
      <c r="AY840" s="0" t="n">
        <f aca="false">COUNTIF(DU840:EH840, "&lt;&gt;")</f>
        <v>1</v>
      </c>
      <c r="AZ840" s="0" t="n">
        <f aca="false">IF(EH840&lt;&gt;"",1,0)</f>
        <v>0</v>
      </c>
      <c r="BB840" s="0" t="s">
        <v>152</v>
      </c>
      <c r="CA840" s="0" t="s">
        <v>153</v>
      </c>
      <c r="EF840" s="0" t="s">
        <v>153</v>
      </c>
    </row>
    <row r="841" customFormat="false" ht="13.8" hidden="false" customHeight="false" outlineLevel="0" collapsed="false">
      <c r="A841" s="0" t="s">
        <v>4206</v>
      </c>
      <c r="B841" s="0" t="n">
        <v>78</v>
      </c>
      <c r="C841" s="0" t="n">
        <v>325777</v>
      </c>
      <c r="D841" s="0" t="s">
        <v>1445</v>
      </c>
      <c r="E841" s="0" t="s">
        <v>4207</v>
      </c>
      <c r="F841" s="0" t="str">
        <f aca="false">CONCATENATE(D841," ",LEFT(H841,4),"T=",AU841,"D=",AV841,"R=",AW841,"M=",AX841,"L=",AY841,"B=",AZ841)</f>
        <v>WILLIAMS T=1D=0R=0M=1L=2B=0</v>
      </c>
      <c r="I841" s="0" t="s">
        <v>4208</v>
      </c>
      <c r="J841" s="0" t="s">
        <v>1261</v>
      </c>
      <c r="K841" s="0" t="s">
        <v>160</v>
      </c>
      <c r="M841" s="0" t="s">
        <v>4200</v>
      </c>
      <c r="N841" s="0" t="str">
        <f aca="false">RIGHT(M841,LEN(M841)-FIND(" ",M841))</f>
        <v>HOMEWOOD AVE SE</v>
      </c>
      <c r="P841" s="0" t="s">
        <v>145</v>
      </c>
      <c r="Q841" s="0" t="s">
        <v>146</v>
      </c>
      <c r="R841" s="0" t="n">
        <v>44484</v>
      </c>
      <c r="AD841" s="0" t="s">
        <v>147</v>
      </c>
      <c r="AE841" s="0" t="s">
        <v>148</v>
      </c>
      <c r="AF841" s="0" t="s">
        <v>149</v>
      </c>
      <c r="AH841" s="0" t="n">
        <v>14</v>
      </c>
      <c r="AI841" s="0" t="n">
        <v>11</v>
      </c>
      <c r="AN841" s="0" t="s">
        <v>145</v>
      </c>
      <c r="AO841" s="0" t="s">
        <v>233</v>
      </c>
      <c r="AP841" s="0" t="s">
        <v>234</v>
      </c>
      <c r="AQ841" s="0" t="n">
        <v>9</v>
      </c>
      <c r="AR841" s="0" t="n">
        <v>64</v>
      </c>
      <c r="AS841" s="0" t="n">
        <v>32</v>
      </c>
      <c r="AU841" s="0" t="n">
        <f aca="false">COUNTA($BA$2533:$EH$2533)</f>
        <v>1</v>
      </c>
      <c r="AV841" s="0" t="n">
        <f aca="false">COUNTIF($BA$2533:$EH$2533,"D")</f>
        <v>0</v>
      </c>
      <c r="AW841" s="0" t="n">
        <f aca="false">COUNTIF($BA$2533:$EH$2533,"R")</f>
        <v>0</v>
      </c>
      <c r="AX841" s="0" t="n">
        <f aca="false">IF(BN841="D",1,0)+IF(BO841="D",1,0)+IF(BT841="D",1,0)+IF(BU841="D",1,0)+IF(BW841="D",1,0)+IF(CC841="D",1,0)+IF(CD841="D",1,0)+IF(CE841="D",1,0)+IF(CF841="D",1,0)+IF(CL841="D",1,0)+IF(CM841="D",1,0)+IF(CQ841="D",1,0)+IF(CR841="D",1,0)+IF(CS841="D",1,0)+IF(CW841="D",1,0)+IF(CX841="D",1,0)+IF(DD841="D",1,0)+IF(DE841="D",1,0)+IF(DJ841="D",1,0)+IF(DK841="D",1,0)+IF(DO841="D",1,0)+IF(DP841="D",1,0)+IF(DQ841="D",1,0)+IF(DW841="D",1,0)+IF(DZ841="D",1,0)+IF(EH841="D",1,0)</f>
        <v>1</v>
      </c>
      <c r="AY841" s="0" t="n">
        <f aca="false">COUNTIF(DU841:EH841, "&lt;&gt;")</f>
        <v>2</v>
      </c>
      <c r="AZ841" s="0" t="n">
        <f aca="false">IF(EH841&lt;&gt;"",1,0)</f>
        <v>0</v>
      </c>
      <c r="BB841" s="0" t="s">
        <v>152</v>
      </c>
      <c r="BL841" s="0" t="s">
        <v>153</v>
      </c>
      <c r="BS841" s="0" t="s">
        <v>153</v>
      </c>
      <c r="BY841" s="0" t="s">
        <v>175</v>
      </c>
      <c r="CA841" s="0" t="s">
        <v>153</v>
      </c>
      <c r="CK841" s="0" t="s">
        <v>153</v>
      </c>
      <c r="CN841" s="0" t="s">
        <v>153</v>
      </c>
      <c r="CP841" s="0" t="s">
        <v>153</v>
      </c>
      <c r="CV841" s="0" t="s">
        <v>153</v>
      </c>
      <c r="CY841" s="0" t="s">
        <v>153</v>
      </c>
      <c r="CZ841" s="0" t="s">
        <v>175</v>
      </c>
      <c r="DC841" s="0" t="s">
        <v>153</v>
      </c>
      <c r="DI841" s="0" t="s">
        <v>153</v>
      </c>
      <c r="DJ841" s="0" t="s">
        <v>175</v>
      </c>
      <c r="DL841" s="0" t="s">
        <v>153</v>
      </c>
      <c r="DN841" s="0" t="s">
        <v>153</v>
      </c>
      <c r="DR841" s="0" t="s">
        <v>153</v>
      </c>
      <c r="EA841" s="0" t="s">
        <v>153</v>
      </c>
      <c r="EF841" s="0" t="s">
        <v>153</v>
      </c>
    </row>
    <row r="842" customFormat="false" ht="13.8" hidden="false" customHeight="false" outlineLevel="0" collapsed="false">
      <c r="A842" s="0" t="s">
        <v>4209</v>
      </c>
      <c r="B842" s="0" t="n">
        <v>78</v>
      </c>
      <c r="C842" s="0" t="n">
        <v>14235</v>
      </c>
      <c r="D842" s="0" t="s">
        <v>4210</v>
      </c>
      <c r="E842" s="0" t="s">
        <v>4211</v>
      </c>
      <c r="F842" s="0" t="str">
        <f aca="false">CONCATENATE(D842," ",LEFT(H842,4),"T=",AU842,"D=",AV842,"R=",AW842,"M=",AX842,"L=",AY842,"B=",AZ842)</f>
        <v>BAILEY T=42D=13R=0M=4L=4B=0</v>
      </c>
      <c r="G842" s="0" t="s">
        <v>171</v>
      </c>
      <c r="I842" s="0" t="s">
        <v>4212</v>
      </c>
      <c r="J842" s="0" t="s">
        <v>1516</v>
      </c>
      <c r="K842" s="0" t="s">
        <v>160</v>
      </c>
      <c r="L842" s="0" t="s">
        <v>175</v>
      </c>
      <c r="M842" s="0" t="s">
        <v>4213</v>
      </c>
      <c r="N842" s="0" t="str">
        <f aca="false">RIGHT(M842,LEN(M842)-FIND(" ",M842))</f>
        <v>HOMEWOOD AVE SE</v>
      </c>
      <c r="P842" s="0" t="s">
        <v>145</v>
      </c>
      <c r="Q842" s="0" t="s">
        <v>146</v>
      </c>
      <c r="R842" s="0" t="n">
        <v>44484</v>
      </c>
      <c r="AD842" s="0" t="s">
        <v>147</v>
      </c>
      <c r="AE842" s="0" t="s">
        <v>148</v>
      </c>
      <c r="AF842" s="0" t="s">
        <v>149</v>
      </c>
      <c r="AH842" s="0" t="n">
        <v>14</v>
      </c>
      <c r="AI842" s="0" t="n">
        <v>11</v>
      </c>
      <c r="AN842" s="0" t="s">
        <v>145</v>
      </c>
      <c r="AO842" s="0" t="s">
        <v>233</v>
      </c>
      <c r="AP842" s="0" t="s">
        <v>234</v>
      </c>
      <c r="AQ842" s="0" t="n">
        <v>9</v>
      </c>
      <c r="AR842" s="0" t="n">
        <v>64</v>
      </c>
      <c r="AS842" s="0" t="n">
        <v>32</v>
      </c>
      <c r="AU842" s="0" t="n">
        <f aca="false">COUNTA($BA$2340:$EH$2340)</f>
        <v>42</v>
      </c>
      <c r="AV842" s="0" t="n">
        <f aca="false">COUNTIF($BA$2340:$EH$2340,"D")</f>
        <v>13</v>
      </c>
      <c r="AW842" s="0" t="n">
        <f aca="false">COUNTIF($BA$2340:$EH$2340,"R")</f>
        <v>0</v>
      </c>
      <c r="AX842" s="0" t="n">
        <f aca="false">IF(BN842="D",1,0)+IF(BO842="D",1,0)+IF(BT842="D",1,0)+IF(BU842="D",1,0)+IF(BW842="D",1,0)+IF(CC842="D",1,0)+IF(CD842="D",1,0)+IF(CE842="D",1,0)+IF(CF842="D",1,0)+IF(CL842="D",1,0)+IF(CM842="D",1,0)+IF(CQ842="D",1,0)+IF(CR842="D",1,0)+IF(CS842="D",1,0)+IF(CW842="D",1,0)+IF(CX842="D",1,0)+IF(DD842="D",1,0)+IF(DE842="D",1,0)+IF(DJ842="D",1,0)+IF(DK842="D",1,0)+IF(DO842="D",1,0)+IF(DP842="D",1,0)+IF(DQ842="D",1,0)+IF(DW842="D",1,0)+IF(DZ842="D",1,0)+IF(EH842="D",1,0)</f>
        <v>4</v>
      </c>
      <c r="AY842" s="0" t="n">
        <f aca="false">COUNTIF(DU842:EH842, "&lt;&gt;")</f>
        <v>4</v>
      </c>
      <c r="AZ842" s="0" t="n">
        <f aca="false">IF(EH842&lt;&gt;"",1,0)</f>
        <v>0</v>
      </c>
      <c r="BB842" s="0" t="s">
        <v>152</v>
      </c>
      <c r="BC842" s="0" t="s">
        <v>153</v>
      </c>
      <c r="BD842" s="0" t="s">
        <v>153</v>
      </c>
      <c r="BE842" s="0" t="s">
        <v>153</v>
      </c>
      <c r="BF842" s="0" t="s">
        <v>153</v>
      </c>
      <c r="BH842" s="0" t="s">
        <v>153</v>
      </c>
      <c r="BJ842" s="0" t="s">
        <v>153</v>
      </c>
      <c r="BL842" s="0" t="s">
        <v>153</v>
      </c>
      <c r="BP842" s="0" t="s">
        <v>153</v>
      </c>
      <c r="BR842" s="0" t="s">
        <v>153</v>
      </c>
      <c r="BV842" s="0" t="s">
        <v>153</v>
      </c>
      <c r="BY842" s="0" t="s">
        <v>175</v>
      </c>
      <c r="CA842" s="0" t="s">
        <v>153</v>
      </c>
      <c r="CK842" s="0" t="s">
        <v>153</v>
      </c>
      <c r="CL842" s="0" t="s">
        <v>175</v>
      </c>
      <c r="CN842" s="0" t="s">
        <v>153</v>
      </c>
      <c r="CP842" s="0" t="s">
        <v>153</v>
      </c>
      <c r="CW842" s="0" t="s">
        <v>175</v>
      </c>
      <c r="CY842" s="0" t="s">
        <v>153</v>
      </c>
      <c r="DC842" s="0" t="s">
        <v>153</v>
      </c>
      <c r="DF842" s="0" t="s">
        <v>153</v>
      </c>
      <c r="DG842" s="0" t="s">
        <v>175</v>
      </c>
      <c r="DI842" s="0" t="s">
        <v>153</v>
      </c>
      <c r="DJ842" s="0" t="s">
        <v>175</v>
      </c>
      <c r="DL842" s="0" t="s">
        <v>153</v>
      </c>
      <c r="DM842" s="0" t="s">
        <v>175</v>
      </c>
      <c r="DN842" s="0" t="s">
        <v>153</v>
      </c>
      <c r="DR842" s="0" t="s">
        <v>153</v>
      </c>
      <c r="DS842" s="0" t="s">
        <v>175</v>
      </c>
      <c r="DU842" s="0" t="s">
        <v>153</v>
      </c>
      <c r="DW842" s="0" t="s">
        <v>175</v>
      </c>
      <c r="DX842" s="0" t="s">
        <v>153</v>
      </c>
      <c r="EF842" s="0" t="s">
        <v>153</v>
      </c>
    </row>
    <row r="843" customFormat="false" ht="13.8" hidden="false" customHeight="false" outlineLevel="0" collapsed="false">
      <c r="A843" s="0" t="s">
        <v>4214</v>
      </c>
      <c r="B843" s="0" t="n">
        <v>78</v>
      </c>
      <c r="C843" s="0" t="n">
        <v>196405</v>
      </c>
      <c r="D843" s="0" t="s">
        <v>4210</v>
      </c>
      <c r="E843" s="0" t="s">
        <v>583</v>
      </c>
      <c r="F843" s="0" t="str">
        <f aca="false">CONCATENATE(D843," ",LEFT(H843,4),"T=",AU843,"D=",AV843,"R=",AW843,"M=",AX843,"L=",AY843,"B=",AZ843)</f>
        <v>BAILEY T=13D=0R=1M=4L=6B=0</v>
      </c>
      <c r="G843" s="0" t="s">
        <v>171</v>
      </c>
      <c r="I843" s="0" t="s">
        <v>4215</v>
      </c>
      <c r="J843" s="0" t="s">
        <v>4216</v>
      </c>
      <c r="K843" s="0" t="s">
        <v>160</v>
      </c>
      <c r="L843" s="0" t="s">
        <v>175</v>
      </c>
      <c r="M843" s="0" t="s">
        <v>4213</v>
      </c>
      <c r="N843" s="0" t="str">
        <f aca="false">RIGHT(M843,LEN(M843)-FIND(" ",M843))</f>
        <v>HOMEWOOD AVE SE</v>
      </c>
      <c r="P843" s="0" t="s">
        <v>145</v>
      </c>
      <c r="Q843" s="0" t="s">
        <v>146</v>
      </c>
      <c r="R843" s="0" t="n">
        <v>44484</v>
      </c>
      <c r="AD843" s="0" t="s">
        <v>147</v>
      </c>
      <c r="AE843" s="0" t="s">
        <v>148</v>
      </c>
      <c r="AF843" s="0" t="s">
        <v>149</v>
      </c>
      <c r="AH843" s="0" t="n">
        <v>14</v>
      </c>
      <c r="AI843" s="0" t="n">
        <v>11</v>
      </c>
      <c r="AN843" s="0" t="s">
        <v>145</v>
      </c>
      <c r="AO843" s="0" t="s">
        <v>233</v>
      </c>
      <c r="AP843" s="0" t="s">
        <v>234</v>
      </c>
      <c r="AQ843" s="0" t="n">
        <v>9</v>
      </c>
      <c r="AR843" s="0" t="n">
        <v>64</v>
      </c>
      <c r="AS843" s="0" t="n">
        <v>32</v>
      </c>
      <c r="AU843" s="0" t="n">
        <f aca="false">COUNTA($BA$2508:$EH$2508)</f>
        <v>13</v>
      </c>
      <c r="AV843" s="0" t="n">
        <f aca="false">COUNTIF($BA$2508:$EH$2508,"D")</f>
        <v>0</v>
      </c>
      <c r="AW843" s="0" t="n">
        <f aca="false">COUNTIF($BA$2508:$EH$2508,"R")</f>
        <v>1</v>
      </c>
      <c r="AX843" s="0" t="n">
        <f aca="false">IF(BN843="D",1,0)+IF(BO843="D",1,0)+IF(BT843="D",1,0)+IF(BU843="D",1,0)+IF(BW843="D",1,0)+IF(CC843="D",1,0)+IF(CD843="D",1,0)+IF(CE843="D",1,0)+IF(CF843="D",1,0)+IF(CL843="D",1,0)+IF(CM843="D",1,0)+IF(CQ843="D",1,0)+IF(CR843="D",1,0)+IF(CS843="D",1,0)+IF(CW843="D",1,0)+IF(CX843="D",1,0)+IF(DD843="D",1,0)+IF(DE843="D",1,0)+IF(DJ843="D",1,0)+IF(DK843="D",1,0)+IF(DO843="D",1,0)+IF(DP843="D",1,0)+IF(DQ843="D",1,0)+IF(DW843="D",1,0)+IF(DZ843="D",1,0)+IF(EH843="D",1,0)</f>
        <v>4</v>
      </c>
      <c r="AY843" s="0" t="n">
        <f aca="false">COUNTIF(DU843:EH843, "&lt;&gt;")</f>
        <v>6</v>
      </c>
      <c r="AZ843" s="0" t="n">
        <f aca="false">IF(EH843&lt;&gt;"",1,0)</f>
        <v>0</v>
      </c>
      <c r="BB843" s="0" t="s">
        <v>152</v>
      </c>
      <c r="BC843" s="0" t="s">
        <v>153</v>
      </c>
      <c r="BD843" s="0" t="s">
        <v>153</v>
      </c>
      <c r="BE843" s="0" t="s">
        <v>153</v>
      </c>
      <c r="BF843" s="0" t="s">
        <v>153</v>
      </c>
      <c r="BG843" s="0" t="s">
        <v>153</v>
      </c>
      <c r="BH843" s="0" t="s">
        <v>153</v>
      </c>
      <c r="BI843" s="0" t="s">
        <v>153</v>
      </c>
      <c r="BJ843" s="0" t="s">
        <v>153</v>
      </c>
      <c r="BK843" s="0" t="s">
        <v>153</v>
      </c>
      <c r="BL843" s="0" t="s">
        <v>153</v>
      </c>
      <c r="BP843" s="0" t="s">
        <v>153</v>
      </c>
      <c r="BR843" s="0" t="s">
        <v>153</v>
      </c>
      <c r="BS843" s="0" t="s">
        <v>153</v>
      </c>
      <c r="BV843" s="0" t="s">
        <v>153</v>
      </c>
      <c r="BY843" s="0" t="s">
        <v>175</v>
      </c>
      <c r="CA843" s="0" t="s">
        <v>153</v>
      </c>
      <c r="CG843" s="0" t="s">
        <v>153</v>
      </c>
      <c r="CK843" s="0" t="s">
        <v>153</v>
      </c>
      <c r="CL843" s="0" t="s">
        <v>175</v>
      </c>
      <c r="CN843" s="0" t="s">
        <v>153</v>
      </c>
      <c r="CO843" s="0" t="s">
        <v>175</v>
      </c>
      <c r="CP843" s="0" t="s">
        <v>153</v>
      </c>
      <c r="CT843" s="0" t="s">
        <v>153</v>
      </c>
      <c r="CV843" s="0" t="s">
        <v>153</v>
      </c>
      <c r="CW843" s="0" t="s">
        <v>175</v>
      </c>
      <c r="CY843" s="0" t="s">
        <v>153</v>
      </c>
      <c r="CZ843" s="0" t="s">
        <v>175</v>
      </c>
      <c r="DC843" s="0" t="s">
        <v>153</v>
      </c>
      <c r="DF843" s="0" t="s">
        <v>153</v>
      </c>
      <c r="DG843" s="0" t="s">
        <v>175</v>
      </c>
      <c r="DI843" s="0" t="s">
        <v>153</v>
      </c>
      <c r="DJ843" s="0" t="s">
        <v>175</v>
      </c>
      <c r="DL843" s="0" t="s">
        <v>153</v>
      </c>
      <c r="DM843" s="0" t="s">
        <v>175</v>
      </c>
      <c r="DN843" s="0" t="s">
        <v>153</v>
      </c>
      <c r="DR843" s="0" t="s">
        <v>153</v>
      </c>
      <c r="DU843" s="0" t="s">
        <v>153</v>
      </c>
      <c r="DW843" s="0" t="s">
        <v>175</v>
      </c>
      <c r="DX843" s="0" t="s">
        <v>153</v>
      </c>
      <c r="EA843" s="0" t="s">
        <v>153</v>
      </c>
      <c r="ED843" s="0" t="s">
        <v>175</v>
      </c>
      <c r="EF843" s="0" t="s">
        <v>153</v>
      </c>
    </row>
    <row r="844" customFormat="false" ht="13.8" hidden="true" customHeight="false" outlineLevel="0" collapsed="false">
      <c r="A844" s="0" t="s">
        <v>4217</v>
      </c>
      <c r="B844" s="0" t="n">
        <v>78</v>
      </c>
      <c r="C844" s="0" t="n">
        <v>487593</v>
      </c>
      <c r="D844" s="0" t="s">
        <v>446</v>
      </c>
      <c r="E844" s="0" t="s">
        <v>2172</v>
      </c>
      <c r="F844" s="0" t="str">
        <f aca="false">CONCATENATE(D844," ",LEFT(H844,4),"T=",AU844,"D=",AV844,"R=",AW844,"M=",AX844,"L=",AY844,"B=",AZ844)</f>
        <v>BRYANT T=10D=1R=0M=0L=0B=0</v>
      </c>
      <c r="G844" s="0" t="s">
        <v>195</v>
      </c>
      <c r="I844" s="0" t="s">
        <v>4218</v>
      </c>
      <c r="J844" s="0" t="s">
        <v>1253</v>
      </c>
      <c r="K844" s="0" t="s">
        <v>160</v>
      </c>
      <c r="M844" s="0" t="s">
        <v>4219</v>
      </c>
      <c r="N844" s="0" t="str">
        <f aca="false">RIGHT(M844,LEN(M844)-FIND(" ",M844))</f>
        <v>HOMEWOOD AVE SE</v>
      </c>
      <c r="P844" s="0" t="s">
        <v>145</v>
      </c>
      <c r="Q844" s="0" t="s">
        <v>146</v>
      </c>
      <c r="R844" s="0" t="n">
        <v>44484</v>
      </c>
      <c r="AD844" s="0" t="s">
        <v>147</v>
      </c>
      <c r="AE844" s="0" t="s">
        <v>148</v>
      </c>
      <c r="AF844" s="0" t="s">
        <v>149</v>
      </c>
      <c r="AH844" s="0" t="n">
        <v>14</v>
      </c>
      <c r="AI844" s="0" t="n">
        <v>11</v>
      </c>
      <c r="AN844" s="0" t="s">
        <v>145</v>
      </c>
      <c r="AO844" s="0" t="s">
        <v>233</v>
      </c>
      <c r="AP844" s="0" t="s">
        <v>234</v>
      </c>
      <c r="AQ844" s="0" t="n">
        <v>9</v>
      </c>
      <c r="AR844" s="0" t="n">
        <v>64</v>
      </c>
      <c r="AS844" s="0" t="n">
        <v>32</v>
      </c>
      <c r="AU844" s="0" t="n">
        <f aca="false">COUNTA($BA$2147:$EH$2147)</f>
        <v>10</v>
      </c>
      <c r="AV844" s="0" t="n">
        <f aca="false">COUNTIF($BA$2147:$EH$2147,"D")</f>
        <v>1</v>
      </c>
      <c r="AW844" s="0" t="n">
        <f aca="false">COUNTIF($BA$2147:$EH$2147,"R")</f>
        <v>0</v>
      </c>
      <c r="AX844" s="0" t="n">
        <f aca="false">IF(BN844="D",1,0)+IF(BO844="D",1,0)+IF(BT844="D",1,0)+IF(BU844="D",1,0)+IF(BW844="D",1,0)+IF(CC844="D",1,0)+IF(CD844="D",1,0)+IF(CE844="D",1,0)+IF(CF844="D",1,0)+IF(CL844="D",1,0)+IF(CM844="D",1,0)+IF(CQ844="D",1,0)+IF(CR844="D",1,0)+IF(CS844="D",1,0)+IF(CW844="D",1,0)+IF(CX844="D",1,0)+IF(DD844="D",1,0)+IF(DE844="D",1,0)+IF(DJ844="D",1,0)+IF(DK844="D",1,0)+IF(DO844="D",1,0)+IF(DP844="D",1,0)+IF(DQ844="D",1,0)+IF(DW844="D",1,0)+IF(DZ844="D",1,0)+IF(EH844="D",1,0)</f>
        <v>0</v>
      </c>
      <c r="AY844" s="0" t="n">
        <f aca="false">COUNTIF(DU844:EH844, "&lt;&gt;")</f>
        <v>0</v>
      </c>
      <c r="AZ844" s="0" t="n">
        <f aca="false">IF(EH844&lt;&gt;"",1,0)</f>
        <v>0</v>
      </c>
      <c r="BB844" s="0" t="s">
        <v>152</v>
      </c>
      <c r="BL844" s="0" t="s">
        <v>153</v>
      </c>
    </row>
    <row r="845" customFormat="false" ht="13.8" hidden="true" customHeight="false" outlineLevel="0" collapsed="false">
      <c r="A845" s="0" t="s">
        <v>4220</v>
      </c>
      <c r="B845" s="0" t="n">
        <v>78</v>
      </c>
      <c r="C845" s="0" t="n">
        <v>325507</v>
      </c>
      <c r="D845" s="0" t="s">
        <v>446</v>
      </c>
      <c r="E845" s="0" t="s">
        <v>2661</v>
      </c>
      <c r="F845" s="0" t="str">
        <f aca="false">CONCATENATE(D845," ",LEFT(H845,4),"T=",AU845,"D=",AV845,"R=",AW845,"M=",AX845,"L=",AY845,"B=",AZ845)</f>
        <v>BRYANT T=7D=0R=0M=0L=1B=0</v>
      </c>
      <c r="G845" s="0" t="s">
        <v>307</v>
      </c>
      <c r="I845" s="0" t="s">
        <v>4221</v>
      </c>
      <c r="J845" s="0" t="s">
        <v>4222</v>
      </c>
      <c r="K845" s="0" t="s">
        <v>160</v>
      </c>
      <c r="M845" s="0" t="s">
        <v>4219</v>
      </c>
      <c r="N845" s="0" t="str">
        <f aca="false">RIGHT(M845,LEN(M845)-FIND(" ",M845))</f>
        <v>HOMEWOOD AVE SE</v>
      </c>
      <c r="P845" s="0" t="s">
        <v>145</v>
      </c>
      <c r="Q845" s="0" t="s">
        <v>146</v>
      </c>
      <c r="R845" s="0" t="n">
        <v>44484</v>
      </c>
      <c r="AD845" s="0" t="s">
        <v>147</v>
      </c>
      <c r="AE845" s="0" t="s">
        <v>148</v>
      </c>
      <c r="AF845" s="0" t="s">
        <v>149</v>
      </c>
      <c r="AH845" s="0" t="n">
        <v>14</v>
      </c>
      <c r="AI845" s="0" t="n">
        <v>11</v>
      </c>
      <c r="AN845" s="0" t="s">
        <v>145</v>
      </c>
      <c r="AO845" s="0" t="s">
        <v>233</v>
      </c>
      <c r="AP845" s="0" t="s">
        <v>234</v>
      </c>
      <c r="AQ845" s="0" t="n">
        <v>9</v>
      </c>
      <c r="AR845" s="0" t="n">
        <v>64</v>
      </c>
      <c r="AS845" s="0" t="n">
        <v>32</v>
      </c>
      <c r="AU845" s="0" t="n">
        <f aca="false">COUNTA($BA$2228:$EH$2228)</f>
        <v>7</v>
      </c>
      <c r="AV845" s="0" t="n">
        <f aca="false">COUNTIF($BA$2228:$EH$2228,"D")</f>
        <v>0</v>
      </c>
      <c r="AW845" s="0" t="n">
        <f aca="false">COUNTIF($BA$2228:$EH$2228,"R")</f>
        <v>0</v>
      </c>
      <c r="AX845" s="0" t="n">
        <f aca="false">IF(BN845="D",1,0)+IF(BO845="D",1,0)+IF(BT845="D",1,0)+IF(BU845="D",1,0)+IF(BW845="D",1,0)+IF(CC845="D",1,0)+IF(CD845="D",1,0)+IF(CE845="D",1,0)+IF(CF845="D",1,0)+IF(CL845="D",1,0)+IF(CM845="D",1,0)+IF(CQ845="D",1,0)+IF(CR845="D",1,0)+IF(CS845="D",1,0)+IF(CW845="D",1,0)+IF(CX845="D",1,0)+IF(DD845="D",1,0)+IF(DE845="D",1,0)+IF(DJ845="D",1,0)+IF(DK845="D",1,0)+IF(DO845="D",1,0)+IF(DP845="D",1,0)+IF(DQ845="D",1,0)+IF(DW845="D",1,0)+IF(DZ845="D",1,0)+IF(EH845="D",1,0)</f>
        <v>0</v>
      </c>
      <c r="AY845" s="0" t="n">
        <f aca="false">COUNTIF(DU845:EH845, "&lt;&gt;")</f>
        <v>1</v>
      </c>
      <c r="AZ845" s="0" t="n">
        <f aca="false">IF(EH845&lt;&gt;"",1,0)</f>
        <v>0</v>
      </c>
      <c r="BB845" s="0" t="s">
        <v>152</v>
      </c>
      <c r="BL845" s="0" t="s">
        <v>153</v>
      </c>
      <c r="CA845" s="0" t="s">
        <v>153</v>
      </c>
      <c r="CP845" s="0" t="s">
        <v>153</v>
      </c>
      <c r="CY845" s="0" t="s">
        <v>153</v>
      </c>
      <c r="DC845" s="0" t="s">
        <v>153</v>
      </c>
      <c r="DN845" s="0" t="s">
        <v>153</v>
      </c>
      <c r="EF845" s="0" t="s">
        <v>153</v>
      </c>
    </row>
    <row r="846" customFormat="false" ht="13.8" hidden="false" customHeight="false" outlineLevel="0" collapsed="false">
      <c r="A846" s="0" t="s">
        <v>4223</v>
      </c>
      <c r="B846" s="0" t="n">
        <v>78</v>
      </c>
      <c r="C846" s="0" t="n">
        <v>157442</v>
      </c>
      <c r="D846" s="0" t="s">
        <v>446</v>
      </c>
      <c r="E846" s="0" t="s">
        <v>3555</v>
      </c>
      <c r="F846" s="0" t="str">
        <f aca="false">CONCATENATE(D846," ",LEFT(H846,4),"T=",AU846,"D=",AV846,"R=",AW846,"M=",AX846,"L=",AY846,"B=",AZ846)</f>
        <v>BRYANT T=17D=3R=0M=0L=2B=0</v>
      </c>
      <c r="G846" s="0" t="s">
        <v>175</v>
      </c>
      <c r="I846" s="0" t="s">
        <v>4224</v>
      </c>
      <c r="J846" s="0" t="s">
        <v>4225</v>
      </c>
      <c r="K846" s="0" t="s">
        <v>160</v>
      </c>
      <c r="M846" s="0" t="s">
        <v>4219</v>
      </c>
      <c r="N846" s="0" t="str">
        <f aca="false">RIGHT(M846,LEN(M846)-FIND(" ",M846))</f>
        <v>HOMEWOOD AVE SE</v>
      </c>
      <c r="P846" s="0" t="s">
        <v>145</v>
      </c>
      <c r="Q846" s="0" t="s">
        <v>146</v>
      </c>
      <c r="R846" s="0" t="n">
        <v>44484</v>
      </c>
      <c r="AD846" s="0" t="s">
        <v>147</v>
      </c>
      <c r="AE846" s="0" t="s">
        <v>148</v>
      </c>
      <c r="AF846" s="0" t="s">
        <v>149</v>
      </c>
      <c r="AH846" s="0" t="n">
        <v>14</v>
      </c>
      <c r="AI846" s="0" t="n">
        <v>11</v>
      </c>
      <c r="AN846" s="0" t="s">
        <v>145</v>
      </c>
      <c r="AO846" s="0" t="s">
        <v>233</v>
      </c>
      <c r="AP846" s="0" t="s">
        <v>234</v>
      </c>
      <c r="AQ846" s="0" t="n">
        <v>9</v>
      </c>
      <c r="AR846" s="0" t="n">
        <v>64</v>
      </c>
      <c r="AS846" s="0" t="n">
        <v>32</v>
      </c>
      <c r="AU846" s="0" t="n">
        <f aca="false">COUNTA($BA$2409:$EH$2409)</f>
        <v>17</v>
      </c>
      <c r="AV846" s="0" t="n">
        <f aca="false">COUNTIF($BA$2409:$EH$2409,"D")</f>
        <v>3</v>
      </c>
      <c r="AW846" s="0" t="n">
        <f aca="false">COUNTIF($BA$2409:$EH$2409,"R")</f>
        <v>0</v>
      </c>
      <c r="AX846" s="0" t="n">
        <f aca="false">IF(BN846="D",1,0)+IF(BO846="D",1,0)+IF(BT846="D",1,0)+IF(BU846="D",1,0)+IF(BW846="D",1,0)+IF(CC846="D",1,0)+IF(CD846="D",1,0)+IF(CE846="D",1,0)+IF(CF846="D",1,0)+IF(CL846="D",1,0)+IF(CM846="D",1,0)+IF(CQ846="D",1,0)+IF(CR846="D",1,0)+IF(CS846="D",1,0)+IF(CW846="D",1,0)+IF(CX846="D",1,0)+IF(DD846="D",1,0)+IF(DE846="D",1,0)+IF(DJ846="D",1,0)+IF(DK846="D",1,0)+IF(DO846="D",1,0)+IF(DP846="D",1,0)+IF(DQ846="D",1,0)+IF(DW846="D",1,0)+IF(DZ846="D",1,0)+IF(EH846="D",1,0)</f>
        <v>0</v>
      </c>
      <c r="AY846" s="0" t="n">
        <f aca="false">COUNTIF(DU846:EH846, "&lt;&gt;")</f>
        <v>2</v>
      </c>
      <c r="AZ846" s="0" t="n">
        <f aca="false">IF(EH846&lt;&gt;"",1,0)</f>
        <v>0</v>
      </c>
      <c r="BB846" s="0" t="s">
        <v>152</v>
      </c>
      <c r="BD846" s="0" t="s">
        <v>153</v>
      </c>
      <c r="BG846" s="0" t="s">
        <v>153</v>
      </c>
      <c r="BH846" s="0" t="s">
        <v>153</v>
      </c>
      <c r="BJ846" s="0" t="s">
        <v>153</v>
      </c>
      <c r="BK846" s="0" t="s">
        <v>153</v>
      </c>
      <c r="BL846" s="0" t="s">
        <v>153</v>
      </c>
      <c r="BR846" s="0" t="s">
        <v>153</v>
      </c>
      <c r="BS846" s="0" t="s">
        <v>153</v>
      </c>
      <c r="BY846" s="0" t="s">
        <v>175</v>
      </c>
      <c r="CA846" s="0" t="s">
        <v>153</v>
      </c>
      <c r="CG846" s="0" t="s">
        <v>153</v>
      </c>
      <c r="CH846" s="0" t="s">
        <v>175</v>
      </c>
      <c r="CK846" s="0" t="s">
        <v>153</v>
      </c>
      <c r="CN846" s="0" t="s">
        <v>153</v>
      </c>
      <c r="CP846" s="0" t="s">
        <v>153</v>
      </c>
      <c r="CV846" s="0" t="s">
        <v>153</v>
      </c>
      <c r="CY846" s="0" t="s">
        <v>153</v>
      </c>
      <c r="CZ846" s="0" t="s">
        <v>175</v>
      </c>
      <c r="DC846" s="0" t="s">
        <v>153</v>
      </c>
      <c r="DI846" s="0" t="s">
        <v>153</v>
      </c>
      <c r="DN846" s="0" t="s">
        <v>153</v>
      </c>
      <c r="EA846" s="0" t="s">
        <v>153</v>
      </c>
      <c r="EF846" s="0" t="s">
        <v>153</v>
      </c>
    </row>
    <row r="847" customFormat="false" ht="13.8" hidden="true" customHeight="false" outlineLevel="0" collapsed="false">
      <c r="A847" s="0" t="s">
        <v>4226</v>
      </c>
      <c r="B847" s="0" t="n">
        <v>78</v>
      </c>
      <c r="C847" s="0" t="n">
        <v>172386</v>
      </c>
      <c r="D847" s="0" t="s">
        <v>446</v>
      </c>
      <c r="E847" s="0" t="s">
        <v>4227</v>
      </c>
      <c r="F847" s="0" t="str">
        <f aca="false">CONCATENATE(D847," ",LEFT(H847,4),"T=",AU847,"D=",AV847,"R=",AW847,"M=",AX847,"L=",AY847,"B=",AZ847)</f>
        <v>BRYANT T=11D=0R=4M=2L=1B=0</v>
      </c>
      <c r="G847" s="0" t="s">
        <v>839</v>
      </c>
      <c r="I847" s="0" t="s">
        <v>4228</v>
      </c>
      <c r="J847" s="0" t="s">
        <v>2273</v>
      </c>
      <c r="K847" s="0" t="s">
        <v>160</v>
      </c>
      <c r="M847" s="0" t="s">
        <v>4219</v>
      </c>
      <c r="N847" s="0" t="str">
        <f aca="false">RIGHT(M847,LEN(M847)-FIND(" ",M847))</f>
        <v>HOMEWOOD AVE SE</v>
      </c>
      <c r="P847" s="0" t="s">
        <v>145</v>
      </c>
      <c r="Q847" s="0" t="s">
        <v>146</v>
      </c>
      <c r="R847" s="0" t="n">
        <v>44484</v>
      </c>
      <c r="AD847" s="0" t="s">
        <v>147</v>
      </c>
      <c r="AE847" s="0" t="s">
        <v>148</v>
      </c>
      <c r="AF847" s="0" t="s">
        <v>149</v>
      </c>
      <c r="AH847" s="0" t="n">
        <v>14</v>
      </c>
      <c r="AI847" s="0" t="n">
        <v>11</v>
      </c>
      <c r="AN847" s="0" t="s">
        <v>145</v>
      </c>
      <c r="AO847" s="0" t="s">
        <v>233</v>
      </c>
      <c r="AP847" s="0" t="s">
        <v>234</v>
      </c>
      <c r="AQ847" s="0" t="n">
        <v>9</v>
      </c>
      <c r="AR847" s="0" t="n">
        <v>64</v>
      </c>
      <c r="AS847" s="0" t="n">
        <v>32</v>
      </c>
      <c r="AU847" s="0" t="n">
        <f aca="false">COUNTA($BA$2512:$EH$2512)</f>
        <v>11</v>
      </c>
      <c r="AV847" s="0" t="n">
        <f aca="false">COUNTIF($BA$2512:$EH$2512,"D")</f>
        <v>0</v>
      </c>
      <c r="AW847" s="0" t="n">
        <f aca="false">COUNTIF($BA$2512:$EH$2512,"R")</f>
        <v>4</v>
      </c>
      <c r="AX847" s="0" t="n">
        <f aca="false">IF(BN847="D",1,0)+IF(BO847="D",1,0)+IF(BT847="D",1,0)+IF(BU847="D",1,0)+IF(BW847="D",1,0)+IF(CC847="D",1,0)+IF(CD847="D",1,0)+IF(CE847="D",1,0)+IF(CF847="D",1,0)+IF(CL847="D",1,0)+IF(CM847="D",1,0)+IF(CQ847="D",1,0)+IF(CR847="D",1,0)+IF(CS847="D",1,0)+IF(CW847="D",1,0)+IF(CX847="D",1,0)+IF(DD847="D",1,0)+IF(DE847="D",1,0)+IF(DJ847="D",1,0)+IF(DK847="D",1,0)+IF(DO847="D",1,0)+IF(DP847="D",1,0)+IF(DQ847="D",1,0)+IF(DW847="D",1,0)+IF(DZ847="D",1,0)+IF(EH847="D",1,0)</f>
        <v>2</v>
      </c>
      <c r="AY847" s="0" t="n">
        <f aca="false">COUNTIF(DU847:EH847, "&lt;&gt;")</f>
        <v>1</v>
      </c>
      <c r="AZ847" s="0" t="n">
        <f aca="false">IF(EH847&lt;&gt;"",1,0)</f>
        <v>0</v>
      </c>
      <c r="BB847" s="0" t="s">
        <v>152</v>
      </c>
      <c r="BC847" s="0" t="s">
        <v>153</v>
      </c>
      <c r="BD847" s="0" t="s">
        <v>153</v>
      </c>
      <c r="BG847" s="0" t="s">
        <v>153</v>
      </c>
      <c r="BH847" s="0" t="s">
        <v>153</v>
      </c>
      <c r="BI847" s="0" t="s">
        <v>153</v>
      </c>
      <c r="BJ847" s="0" t="s">
        <v>153</v>
      </c>
      <c r="BK847" s="0" t="s">
        <v>153</v>
      </c>
      <c r="BL847" s="0" t="s">
        <v>153</v>
      </c>
      <c r="BP847" s="0" t="s">
        <v>153</v>
      </c>
      <c r="BR847" s="0" t="s">
        <v>153</v>
      </c>
      <c r="BS847" s="0" t="s">
        <v>153</v>
      </c>
      <c r="BV847" s="0" t="s">
        <v>153</v>
      </c>
      <c r="BY847" s="0" t="s">
        <v>175</v>
      </c>
      <c r="CA847" s="0" t="s">
        <v>153</v>
      </c>
      <c r="CG847" s="0" t="s">
        <v>153</v>
      </c>
      <c r="CH847" s="0" t="s">
        <v>175</v>
      </c>
      <c r="CK847" s="0" t="s">
        <v>153</v>
      </c>
      <c r="CL847" s="0" t="s">
        <v>175</v>
      </c>
      <c r="CN847" s="0" t="s">
        <v>153</v>
      </c>
      <c r="CP847" s="0" t="s">
        <v>153</v>
      </c>
      <c r="CQ847" s="0" t="s">
        <v>175</v>
      </c>
      <c r="CV847" s="0" t="s">
        <v>153</v>
      </c>
      <c r="CY847" s="0" t="s">
        <v>153</v>
      </c>
      <c r="CZ847" s="0" t="s">
        <v>175</v>
      </c>
      <c r="DC847" s="0" t="s">
        <v>153</v>
      </c>
      <c r="DG847" s="0" t="s">
        <v>175</v>
      </c>
      <c r="DI847" s="0" t="s">
        <v>153</v>
      </c>
      <c r="DM847" s="0" t="s">
        <v>175</v>
      </c>
      <c r="DN847" s="0" t="s">
        <v>153</v>
      </c>
      <c r="EF847" s="0" t="s">
        <v>153</v>
      </c>
    </row>
    <row r="848" customFormat="false" ht="13.8" hidden="false" customHeight="false" outlineLevel="0" collapsed="false">
      <c r="A848" s="0" t="s">
        <v>4229</v>
      </c>
      <c r="B848" s="0" t="n">
        <v>78</v>
      </c>
      <c r="C848" s="0" t="n">
        <v>477243</v>
      </c>
      <c r="D848" s="0" t="s">
        <v>4230</v>
      </c>
      <c r="E848" s="0" t="s">
        <v>4231</v>
      </c>
      <c r="F848" s="0" t="str">
        <f aca="false">CONCATENATE(D848," ",LEFT(H848,4),"T=",AU848,"D=",AV848,"R=",AW848,"M=",AX848,"L=",AY848,"B=",AZ848)</f>
        <v>CLAY T=2D=0R=0M=0L=2B=0</v>
      </c>
      <c r="G848" s="0" t="s">
        <v>164</v>
      </c>
      <c r="I848" s="0" t="s">
        <v>4232</v>
      </c>
      <c r="J848" s="0" t="s">
        <v>4233</v>
      </c>
      <c r="K848" s="0" t="s">
        <v>160</v>
      </c>
      <c r="M848" s="0" t="s">
        <v>4234</v>
      </c>
      <c r="N848" s="0" t="str">
        <f aca="false">RIGHT(M848,LEN(M848)-FIND(" ",M848))</f>
        <v>HOMEWOOD AVE SE</v>
      </c>
      <c r="P848" s="0" t="s">
        <v>145</v>
      </c>
      <c r="Q848" s="0" t="s">
        <v>146</v>
      </c>
      <c r="R848" s="0" t="n">
        <v>44484</v>
      </c>
      <c r="AD848" s="0" t="s">
        <v>147</v>
      </c>
      <c r="AE848" s="0" t="s">
        <v>148</v>
      </c>
      <c r="AF848" s="0" t="s">
        <v>149</v>
      </c>
      <c r="AH848" s="0" t="n">
        <v>14</v>
      </c>
      <c r="AI848" s="0" t="n">
        <v>11</v>
      </c>
      <c r="AN848" s="0" t="s">
        <v>145</v>
      </c>
      <c r="AO848" s="0" t="s">
        <v>233</v>
      </c>
      <c r="AP848" s="0" t="s">
        <v>234</v>
      </c>
      <c r="AQ848" s="0" t="n">
        <v>9</v>
      </c>
      <c r="AR848" s="0" t="n">
        <v>64</v>
      </c>
      <c r="AS848" s="0" t="n">
        <v>32</v>
      </c>
      <c r="AU848" s="0" t="n">
        <f aca="false">COUNTA($BA$2106:$EH$2106)</f>
        <v>2</v>
      </c>
      <c r="AV848" s="0" t="n">
        <f aca="false">COUNTIF($BA$2106:$EH$2106,"D")</f>
        <v>0</v>
      </c>
      <c r="AW848" s="0" t="n">
        <f aca="false">COUNTIF($BA$2106:$EH$2106,"R")</f>
        <v>0</v>
      </c>
      <c r="AX848" s="0" t="n">
        <f aca="false">IF(BN848="D",1,0)+IF(BO848="D",1,0)+IF(BT848="D",1,0)+IF(BU848="D",1,0)+IF(BW848="D",1,0)+IF(CC848="D",1,0)+IF(CD848="D",1,0)+IF(CE848="D",1,0)+IF(CF848="D",1,0)+IF(CL848="D",1,0)+IF(CM848="D",1,0)+IF(CQ848="D",1,0)+IF(CR848="D",1,0)+IF(CS848="D",1,0)+IF(CW848="D",1,0)+IF(CX848="D",1,0)+IF(DD848="D",1,0)+IF(DE848="D",1,0)+IF(DJ848="D",1,0)+IF(DK848="D",1,0)+IF(DO848="D",1,0)+IF(DP848="D",1,0)+IF(DQ848="D",1,0)+IF(DW848="D",1,0)+IF(DZ848="D",1,0)+IF(EH848="D",1,0)</f>
        <v>0</v>
      </c>
      <c r="AY848" s="0" t="n">
        <f aca="false">COUNTIF(DU848:EH848, "&lt;&gt;")</f>
        <v>2</v>
      </c>
      <c r="AZ848" s="0" t="n">
        <f aca="false">IF(EH848&lt;&gt;"",1,0)</f>
        <v>0</v>
      </c>
      <c r="BB848" s="0" t="s">
        <v>152</v>
      </c>
      <c r="CA848" s="0" t="s">
        <v>153</v>
      </c>
      <c r="CP848" s="0" t="s">
        <v>153</v>
      </c>
      <c r="DC848" s="0" t="s">
        <v>153</v>
      </c>
      <c r="DI848" s="0" t="s">
        <v>153</v>
      </c>
      <c r="DN848" s="0" t="s">
        <v>153</v>
      </c>
      <c r="EA848" s="0" t="s">
        <v>153</v>
      </c>
      <c r="EF848" s="0" t="s">
        <v>153</v>
      </c>
    </row>
    <row r="849" customFormat="false" ht="13.8" hidden="false" customHeight="false" outlineLevel="0" collapsed="false">
      <c r="A849" s="0" t="s">
        <v>4235</v>
      </c>
      <c r="B849" s="0" t="n">
        <v>78</v>
      </c>
      <c r="C849" s="0" t="n">
        <v>14238</v>
      </c>
      <c r="D849" s="0" t="s">
        <v>2157</v>
      </c>
      <c r="E849" s="0" t="s">
        <v>1656</v>
      </c>
      <c r="F849" s="0" t="str">
        <f aca="false">CONCATENATE(D849," ",LEFT(H849,4),"T=",AU849,"D=",AV849,"R=",AW849,"M=",AX849,"L=",AY849,"B=",AZ849)</f>
        <v>BLAKE T=1D=0R=0M=6L=7B=1</v>
      </c>
      <c r="G849" s="0" t="s">
        <v>325</v>
      </c>
      <c r="I849" s="0" t="s">
        <v>4236</v>
      </c>
      <c r="J849" s="0" t="s">
        <v>4237</v>
      </c>
      <c r="K849" s="0" t="s">
        <v>160</v>
      </c>
      <c r="L849" s="0" t="s">
        <v>175</v>
      </c>
      <c r="M849" s="0" t="s">
        <v>4238</v>
      </c>
      <c r="N849" s="0" t="str">
        <f aca="false">RIGHT(M849,LEN(M849)-FIND(" ",M849))</f>
        <v>HOMEWOOD AVE SE</v>
      </c>
      <c r="P849" s="0" t="s">
        <v>145</v>
      </c>
      <c r="Q849" s="0" t="s">
        <v>146</v>
      </c>
      <c r="R849" s="0" t="n">
        <v>44484</v>
      </c>
      <c r="AD849" s="0" t="s">
        <v>147</v>
      </c>
      <c r="AE849" s="0" t="s">
        <v>148</v>
      </c>
      <c r="AF849" s="0" t="s">
        <v>149</v>
      </c>
      <c r="AH849" s="0" t="n">
        <v>14</v>
      </c>
      <c r="AI849" s="0" t="n">
        <v>11</v>
      </c>
      <c r="AN849" s="0" t="s">
        <v>145</v>
      </c>
      <c r="AO849" s="0" t="s">
        <v>233</v>
      </c>
      <c r="AP849" s="0" t="s">
        <v>234</v>
      </c>
      <c r="AQ849" s="0" t="n">
        <v>9</v>
      </c>
      <c r="AR849" s="0" t="n">
        <v>64</v>
      </c>
      <c r="AS849" s="0" t="n">
        <v>32</v>
      </c>
      <c r="AU849" s="0" t="n">
        <f aca="false">COUNTA($BA$2225:$EH$2225)</f>
        <v>1</v>
      </c>
      <c r="AV849" s="0" t="n">
        <f aca="false">COUNTIF($BA$2225:$EH$2225,"D")</f>
        <v>0</v>
      </c>
      <c r="AW849" s="0" t="n">
        <f aca="false">COUNTIF($BA$2225:$EH$2225,"R")</f>
        <v>0</v>
      </c>
      <c r="AX849" s="0" t="n">
        <f aca="false">IF(BN849="D",1,0)+IF(BO849="D",1,0)+IF(BT849="D",1,0)+IF(BU849="D",1,0)+IF(BW849="D",1,0)+IF(CC849="D",1,0)+IF(CD849="D",1,0)+IF(CE849="D",1,0)+IF(CF849="D",1,0)+IF(CL849="D",1,0)+IF(CM849="D",1,0)+IF(CQ849="D",1,0)+IF(CR849="D",1,0)+IF(CS849="D",1,0)+IF(CW849="D",1,0)+IF(CX849="D",1,0)+IF(DD849="D",1,0)+IF(DE849="D",1,0)+IF(DJ849="D",1,0)+IF(DK849="D",1,0)+IF(DO849="D",1,0)+IF(DP849="D",1,0)+IF(DQ849="D",1,0)+IF(DW849="D",1,0)+IF(DZ849="D",1,0)+IF(EH849="D",1,0)</f>
        <v>6</v>
      </c>
      <c r="AY849" s="0" t="n">
        <f aca="false">COUNTIF(DU849:EH849, "&lt;&gt;")</f>
        <v>7</v>
      </c>
      <c r="AZ849" s="0" t="n">
        <f aca="false">IF(EH849&lt;&gt;"",1,0)</f>
        <v>1</v>
      </c>
      <c r="BB849" s="0" t="s">
        <v>152</v>
      </c>
      <c r="BC849" s="0" t="s">
        <v>153</v>
      </c>
      <c r="BD849" s="0" t="s">
        <v>153</v>
      </c>
      <c r="BE849" s="0" t="s">
        <v>153</v>
      </c>
      <c r="BG849" s="0" t="s">
        <v>153</v>
      </c>
      <c r="BH849" s="0" t="s">
        <v>153</v>
      </c>
      <c r="BI849" s="0" t="s">
        <v>153</v>
      </c>
      <c r="BJ849" s="0" t="s">
        <v>153</v>
      </c>
      <c r="BK849" s="0" t="s">
        <v>153</v>
      </c>
      <c r="BL849" s="0" t="s">
        <v>153</v>
      </c>
      <c r="BP849" s="0" t="s">
        <v>153</v>
      </c>
      <c r="BR849" s="0" t="s">
        <v>153</v>
      </c>
      <c r="BS849" s="0" t="s">
        <v>153</v>
      </c>
      <c r="BT849" s="0" t="s">
        <v>153</v>
      </c>
      <c r="BV849" s="0" t="s">
        <v>153</v>
      </c>
      <c r="BY849" s="0" t="s">
        <v>175</v>
      </c>
      <c r="CA849" s="0" t="s">
        <v>153</v>
      </c>
      <c r="CC849" s="0" t="s">
        <v>175</v>
      </c>
      <c r="CG849" s="0" t="s">
        <v>153</v>
      </c>
      <c r="CH849" s="0" t="s">
        <v>175</v>
      </c>
      <c r="CK849" s="0" t="s">
        <v>153</v>
      </c>
      <c r="CL849" s="0" t="s">
        <v>175</v>
      </c>
      <c r="CN849" s="0" t="s">
        <v>153</v>
      </c>
      <c r="CO849" s="0" t="s">
        <v>175</v>
      </c>
      <c r="CP849" s="0" t="s">
        <v>153</v>
      </c>
      <c r="CT849" s="0" t="s">
        <v>153</v>
      </c>
      <c r="CU849" s="0" t="s">
        <v>175</v>
      </c>
      <c r="CV849" s="0" t="s">
        <v>153</v>
      </c>
      <c r="CW849" s="0" t="s">
        <v>175</v>
      </c>
      <c r="CY849" s="0" t="s">
        <v>153</v>
      </c>
      <c r="CZ849" s="0" t="s">
        <v>175</v>
      </c>
      <c r="DC849" s="0" t="s">
        <v>153</v>
      </c>
      <c r="DF849" s="0" t="s">
        <v>153</v>
      </c>
      <c r="DG849" s="0" t="s">
        <v>175</v>
      </c>
      <c r="DI849" s="0" t="s">
        <v>153</v>
      </c>
      <c r="DJ849" s="0" t="s">
        <v>175</v>
      </c>
      <c r="DL849" s="0" t="s">
        <v>153</v>
      </c>
      <c r="DM849" s="0" t="s">
        <v>175</v>
      </c>
      <c r="DN849" s="0" t="s">
        <v>153</v>
      </c>
      <c r="DR849" s="0" t="s">
        <v>153</v>
      </c>
      <c r="DS849" s="0" t="s">
        <v>175</v>
      </c>
      <c r="DT849" s="0" t="s">
        <v>175</v>
      </c>
      <c r="DU849" s="0" t="s">
        <v>153</v>
      </c>
      <c r="DW849" s="0" t="s">
        <v>175</v>
      </c>
      <c r="DX849" s="0" t="s">
        <v>153</v>
      </c>
      <c r="EA849" s="0" t="s">
        <v>153</v>
      </c>
      <c r="ED849" s="0" t="s">
        <v>175</v>
      </c>
      <c r="EF849" s="0" t="s">
        <v>153</v>
      </c>
      <c r="EH849" s="0" t="s">
        <v>175</v>
      </c>
    </row>
    <row r="850" customFormat="false" ht="13.8" hidden="false" customHeight="false" outlineLevel="0" collapsed="false">
      <c r="A850" s="0" t="s">
        <v>4239</v>
      </c>
      <c r="B850" s="0" t="n">
        <v>78</v>
      </c>
      <c r="C850" s="0" t="n">
        <v>14239</v>
      </c>
      <c r="D850" s="0" t="s">
        <v>2157</v>
      </c>
      <c r="E850" s="0" t="s">
        <v>1208</v>
      </c>
      <c r="F850" s="0" t="str">
        <f aca="false">CONCATENATE(D850," ",LEFT(H850,4),"T=",AU850,"D=",AV850,"R=",AW850,"M=",AX850,"L=",AY850,"B=",AZ850)</f>
        <v>BLAKE T=1D=0R=0M=3L=7B=1</v>
      </c>
      <c r="I850" s="0" t="s">
        <v>4240</v>
      </c>
      <c r="J850" s="0" t="s">
        <v>4241</v>
      </c>
      <c r="K850" s="0" t="s">
        <v>160</v>
      </c>
      <c r="L850" s="0" t="s">
        <v>175</v>
      </c>
      <c r="M850" s="0" t="s">
        <v>4238</v>
      </c>
      <c r="N850" s="0" t="str">
        <f aca="false">RIGHT(M850,LEN(M850)-FIND(" ",M850))</f>
        <v>HOMEWOOD AVE SE</v>
      </c>
      <c r="P850" s="0" t="s">
        <v>145</v>
      </c>
      <c r="Q850" s="0" t="s">
        <v>146</v>
      </c>
      <c r="R850" s="0" t="n">
        <v>44484</v>
      </c>
      <c r="AD850" s="0" t="s">
        <v>147</v>
      </c>
      <c r="AE850" s="0" t="s">
        <v>148</v>
      </c>
      <c r="AF850" s="0" t="s">
        <v>149</v>
      </c>
      <c r="AH850" s="0" t="n">
        <v>14</v>
      </c>
      <c r="AI850" s="0" t="n">
        <v>11</v>
      </c>
      <c r="AN850" s="0" t="s">
        <v>145</v>
      </c>
      <c r="AO850" s="0" t="s">
        <v>233</v>
      </c>
      <c r="AP850" s="0" t="s">
        <v>234</v>
      </c>
      <c r="AQ850" s="0" t="n">
        <v>9</v>
      </c>
      <c r="AR850" s="0" t="n">
        <v>64</v>
      </c>
      <c r="AS850" s="0" t="n">
        <v>32</v>
      </c>
      <c r="AU850" s="0" t="n">
        <f aca="false">COUNTA($BA$2239:$EH$2239)</f>
        <v>1</v>
      </c>
      <c r="AV850" s="0" t="n">
        <f aca="false">COUNTIF($BA$2239:$EH$2239,"D")</f>
        <v>0</v>
      </c>
      <c r="AW850" s="0" t="n">
        <f aca="false">COUNTIF($BA$2239:$EH$2239,"R")</f>
        <v>0</v>
      </c>
      <c r="AX850" s="0" t="n">
        <f aca="false">IF(BN850="D",1,0)+IF(BO850="D",1,0)+IF(BT850="D",1,0)+IF(BU850="D",1,0)+IF(BW850="D",1,0)+IF(CC850="D",1,0)+IF(CD850="D",1,0)+IF(CE850="D",1,0)+IF(CF850="D",1,0)+IF(CL850="D",1,0)+IF(CM850="D",1,0)+IF(CQ850="D",1,0)+IF(CR850="D",1,0)+IF(CS850="D",1,0)+IF(CW850="D",1,0)+IF(CX850="D",1,0)+IF(DD850="D",1,0)+IF(DE850="D",1,0)+IF(DJ850="D",1,0)+IF(DK850="D",1,0)+IF(DO850="D",1,0)+IF(DP850="D",1,0)+IF(DQ850="D",1,0)+IF(DW850="D",1,0)+IF(DZ850="D",1,0)+IF(EH850="D",1,0)</f>
        <v>3</v>
      </c>
      <c r="AY850" s="0" t="n">
        <f aca="false">COUNTIF(DU850:EH850, "&lt;&gt;")</f>
        <v>7</v>
      </c>
      <c r="AZ850" s="0" t="n">
        <f aca="false">IF(EH850&lt;&gt;"",1,0)</f>
        <v>1</v>
      </c>
      <c r="BB850" s="0" t="s">
        <v>152</v>
      </c>
      <c r="BD850" s="0" t="s">
        <v>153</v>
      </c>
      <c r="BH850" s="0" t="s">
        <v>153</v>
      </c>
      <c r="BK850" s="0" t="s">
        <v>153</v>
      </c>
      <c r="BL850" s="0" t="s">
        <v>153</v>
      </c>
      <c r="BP850" s="0" t="s">
        <v>153</v>
      </c>
      <c r="BR850" s="0" t="s">
        <v>153</v>
      </c>
      <c r="BS850" s="0" t="s">
        <v>153</v>
      </c>
      <c r="BY850" s="0" t="s">
        <v>175</v>
      </c>
      <c r="CA850" s="0" t="s">
        <v>153</v>
      </c>
      <c r="CG850" s="0" t="s">
        <v>153</v>
      </c>
      <c r="CH850" s="0" t="s">
        <v>175</v>
      </c>
      <c r="CK850" s="0" t="s">
        <v>153</v>
      </c>
      <c r="CL850" s="0" t="s">
        <v>175</v>
      </c>
      <c r="CN850" s="0" t="s">
        <v>153</v>
      </c>
      <c r="CP850" s="0" t="s">
        <v>153</v>
      </c>
      <c r="CT850" s="0" t="s">
        <v>153</v>
      </c>
      <c r="CU850" s="0" t="s">
        <v>175</v>
      </c>
      <c r="CV850" s="0" t="s">
        <v>153</v>
      </c>
      <c r="CY850" s="0" t="s">
        <v>153</v>
      </c>
      <c r="CZ850" s="0" t="s">
        <v>175</v>
      </c>
      <c r="DC850" s="0" t="s">
        <v>153</v>
      </c>
      <c r="DF850" s="0" t="s">
        <v>153</v>
      </c>
      <c r="DG850" s="0" t="s">
        <v>175</v>
      </c>
      <c r="DI850" s="0" t="s">
        <v>153</v>
      </c>
      <c r="DL850" s="0" t="s">
        <v>153</v>
      </c>
      <c r="DM850" s="0" t="s">
        <v>175</v>
      </c>
      <c r="DN850" s="0" t="s">
        <v>153</v>
      </c>
      <c r="DR850" s="0" t="s">
        <v>153</v>
      </c>
      <c r="DT850" s="0" t="s">
        <v>175</v>
      </c>
      <c r="DU850" s="0" t="s">
        <v>153</v>
      </c>
      <c r="DW850" s="0" t="s">
        <v>175</v>
      </c>
      <c r="DX850" s="0" t="s">
        <v>153</v>
      </c>
      <c r="EA850" s="0" t="s">
        <v>153</v>
      </c>
      <c r="ED850" s="0" t="s">
        <v>175</v>
      </c>
      <c r="EF850" s="0" t="s">
        <v>153</v>
      </c>
      <c r="EH850" s="0" t="s">
        <v>175</v>
      </c>
    </row>
    <row r="851" customFormat="false" ht="13.8" hidden="false" customHeight="false" outlineLevel="0" collapsed="false">
      <c r="A851" s="0" t="s">
        <v>4242</v>
      </c>
      <c r="B851" s="0" t="n">
        <v>78</v>
      </c>
      <c r="C851" s="0" t="n">
        <v>14240</v>
      </c>
      <c r="D851" s="0" t="s">
        <v>2157</v>
      </c>
      <c r="E851" s="0" t="s">
        <v>4243</v>
      </c>
      <c r="F851" s="0" t="str">
        <f aca="false">CONCATENATE(D851," ",LEFT(H851,4),"T=",AU851,"D=",AV851,"R=",AW851,"M=",AX851,"L=",AY851,"B=",AZ851)</f>
        <v>BLAKE T=35D=12R=4M=5L=7B=1</v>
      </c>
      <c r="I851" s="0" t="s">
        <v>4244</v>
      </c>
      <c r="J851" s="0" t="s">
        <v>4245</v>
      </c>
      <c r="K851" s="0" t="s">
        <v>160</v>
      </c>
      <c r="L851" s="0" t="s">
        <v>175</v>
      </c>
      <c r="M851" s="0" t="s">
        <v>4238</v>
      </c>
      <c r="N851" s="0" t="str">
        <f aca="false">RIGHT(M851,LEN(M851)-FIND(" ",M851))</f>
        <v>HOMEWOOD AVE SE</v>
      </c>
      <c r="P851" s="0" t="s">
        <v>145</v>
      </c>
      <c r="Q851" s="0" t="s">
        <v>146</v>
      </c>
      <c r="R851" s="0" t="n">
        <v>44484</v>
      </c>
      <c r="AD851" s="0" t="s">
        <v>147</v>
      </c>
      <c r="AE851" s="0" t="s">
        <v>148</v>
      </c>
      <c r="AF851" s="0" t="s">
        <v>149</v>
      </c>
      <c r="AH851" s="0" t="n">
        <v>14</v>
      </c>
      <c r="AI851" s="0" t="n">
        <v>11</v>
      </c>
      <c r="AN851" s="0" t="s">
        <v>145</v>
      </c>
      <c r="AO851" s="0" t="s">
        <v>233</v>
      </c>
      <c r="AP851" s="0" t="s">
        <v>234</v>
      </c>
      <c r="AQ851" s="0" t="n">
        <v>9</v>
      </c>
      <c r="AR851" s="0" t="n">
        <v>64</v>
      </c>
      <c r="AS851" s="0" t="n">
        <v>32</v>
      </c>
      <c r="AU851" s="0" t="n">
        <f aca="false">COUNTA($BA$2243:$EH$2243)</f>
        <v>35</v>
      </c>
      <c r="AV851" s="0" t="n">
        <f aca="false">COUNTIF($BA$2243:$EH$2243,"D")</f>
        <v>12</v>
      </c>
      <c r="AW851" s="0" t="n">
        <f aca="false">COUNTIF($BA$2243:$EH$2243,"R")</f>
        <v>4</v>
      </c>
      <c r="AX851" s="0" t="n">
        <f aca="false">IF(BN851="D",1,0)+IF(BO851="D",1,0)+IF(BT851="D",1,0)+IF(BU851="D",1,0)+IF(BW851="D",1,0)+IF(CC851="D",1,0)+IF(CD851="D",1,0)+IF(CE851="D",1,0)+IF(CF851="D",1,0)+IF(CL851="D",1,0)+IF(CM851="D",1,0)+IF(CQ851="D",1,0)+IF(CR851="D",1,0)+IF(CS851="D",1,0)+IF(CW851="D",1,0)+IF(CX851="D",1,0)+IF(DD851="D",1,0)+IF(DE851="D",1,0)+IF(DJ851="D",1,0)+IF(DK851="D",1,0)+IF(DO851="D",1,0)+IF(DP851="D",1,0)+IF(DQ851="D",1,0)+IF(DW851="D",1,0)+IF(DZ851="D",1,0)+IF(EH851="D",1,0)</f>
        <v>5</v>
      </c>
      <c r="AY851" s="0" t="n">
        <f aca="false">COUNTIF(DU851:EH851, "&lt;&gt;")</f>
        <v>7</v>
      </c>
      <c r="AZ851" s="0" t="n">
        <f aca="false">IF(EH851&lt;&gt;"",1,0)</f>
        <v>1</v>
      </c>
      <c r="BB851" s="0" t="s">
        <v>152</v>
      </c>
      <c r="BC851" s="0" t="s">
        <v>153</v>
      </c>
      <c r="BD851" s="0" t="s">
        <v>153</v>
      </c>
      <c r="BE851" s="0" t="s">
        <v>153</v>
      </c>
      <c r="BF851" s="0" t="s">
        <v>153</v>
      </c>
      <c r="BG851" s="0" t="s">
        <v>153</v>
      </c>
      <c r="BH851" s="0" t="s">
        <v>153</v>
      </c>
      <c r="BI851" s="0" t="s">
        <v>153</v>
      </c>
      <c r="BJ851" s="0" t="s">
        <v>153</v>
      </c>
      <c r="BK851" s="0" t="s">
        <v>153</v>
      </c>
      <c r="BL851" s="0" t="s">
        <v>153</v>
      </c>
      <c r="BP851" s="0" t="s">
        <v>153</v>
      </c>
      <c r="BR851" s="0" t="s">
        <v>153</v>
      </c>
      <c r="BS851" s="0" t="s">
        <v>153</v>
      </c>
      <c r="BV851" s="0" t="s">
        <v>153</v>
      </c>
      <c r="BY851" s="0" t="s">
        <v>175</v>
      </c>
      <c r="CA851" s="0" t="s">
        <v>153</v>
      </c>
      <c r="CG851" s="0" t="s">
        <v>153</v>
      </c>
      <c r="CH851" s="0" t="s">
        <v>175</v>
      </c>
      <c r="CK851" s="0" t="s">
        <v>153</v>
      </c>
      <c r="CL851" s="0" t="s">
        <v>175</v>
      </c>
      <c r="CN851" s="0" t="s">
        <v>153</v>
      </c>
      <c r="CO851" s="0" t="s">
        <v>175</v>
      </c>
      <c r="CP851" s="0" t="s">
        <v>153</v>
      </c>
      <c r="CT851" s="0" t="s">
        <v>153</v>
      </c>
      <c r="CU851" s="0" t="s">
        <v>175</v>
      </c>
      <c r="CV851" s="0" t="s">
        <v>153</v>
      </c>
      <c r="CW851" s="0" t="s">
        <v>175</v>
      </c>
      <c r="CY851" s="0" t="s">
        <v>153</v>
      </c>
      <c r="CZ851" s="0" t="s">
        <v>175</v>
      </c>
      <c r="DC851" s="0" t="s">
        <v>153</v>
      </c>
      <c r="DF851" s="0" t="s">
        <v>153</v>
      </c>
      <c r="DG851" s="0" t="s">
        <v>175</v>
      </c>
      <c r="DI851" s="0" t="s">
        <v>153</v>
      </c>
      <c r="DJ851" s="0" t="s">
        <v>175</v>
      </c>
      <c r="DL851" s="0" t="s">
        <v>153</v>
      </c>
      <c r="DM851" s="0" t="s">
        <v>175</v>
      </c>
      <c r="DN851" s="0" t="s">
        <v>153</v>
      </c>
      <c r="DR851" s="0" t="s">
        <v>153</v>
      </c>
      <c r="DS851" s="0" t="s">
        <v>175</v>
      </c>
      <c r="DT851" s="0" t="s">
        <v>175</v>
      </c>
      <c r="DU851" s="0" t="s">
        <v>153</v>
      </c>
      <c r="DW851" s="0" t="s">
        <v>175</v>
      </c>
      <c r="DX851" s="0" t="s">
        <v>153</v>
      </c>
      <c r="EA851" s="0" t="s">
        <v>153</v>
      </c>
      <c r="ED851" s="0" t="s">
        <v>175</v>
      </c>
      <c r="EF851" s="0" t="s">
        <v>153</v>
      </c>
      <c r="EH851" s="0" t="s">
        <v>175</v>
      </c>
    </row>
    <row r="852" customFormat="false" ht="13.8" hidden="true" customHeight="false" outlineLevel="0" collapsed="false">
      <c r="A852" s="0" t="s">
        <v>4246</v>
      </c>
      <c r="B852" s="0" t="n">
        <v>78</v>
      </c>
      <c r="C852" s="0" t="n">
        <v>457987</v>
      </c>
      <c r="D852" s="0" t="s">
        <v>2374</v>
      </c>
      <c r="E852" s="0" t="s">
        <v>4247</v>
      </c>
      <c r="F852" s="0" t="str">
        <f aca="false">CONCATENATE(D852," ",LEFT(H852,4),"T=",AU852,"D=",AV852,"R=",AW852,"M=",AX852,"L=",AY852,"B=",AZ852)</f>
        <v>MULLINS T=1D=0R=0M=0L=0B=0</v>
      </c>
      <c r="G852" s="0" t="s">
        <v>268</v>
      </c>
      <c r="I852" s="0" t="s">
        <v>4248</v>
      </c>
      <c r="J852" s="0" t="s">
        <v>4249</v>
      </c>
      <c r="K852" s="0" t="s">
        <v>143</v>
      </c>
      <c r="M852" s="0" t="s">
        <v>4250</v>
      </c>
      <c r="N852" s="0" t="str">
        <f aca="false">RIGHT(M852,LEN(M852)-FIND(" ",M852))</f>
        <v>HOMEWOOD AVE SE</v>
      </c>
      <c r="P852" s="0" t="s">
        <v>145</v>
      </c>
      <c r="Q852" s="0" t="s">
        <v>146</v>
      </c>
      <c r="R852" s="0" t="n">
        <v>44484</v>
      </c>
      <c r="AD852" s="0" t="s">
        <v>147</v>
      </c>
      <c r="AE852" s="0" t="s">
        <v>148</v>
      </c>
      <c r="AF852" s="0" t="s">
        <v>149</v>
      </c>
      <c r="AH852" s="0" t="n">
        <v>14</v>
      </c>
      <c r="AI852" s="0" t="n">
        <v>11</v>
      </c>
      <c r="AN852" s="0" t="s">
        <v>145</v>
      </c>
      <c r="AO852" s="0" t="s">
        <v>233</v>
      </c>
      <c r="AP852" s="0" t="s">
        <v>234</v>
      </c>
      <c r="AQ852" s="0" t="n">
        <v>9</v>
      </c>
      <c r="AR852" s="0" t="n">
        <v>64</v>
      </c>
      <c r="AS852" s="0" t="n">
        <v>32</v>
      </c>
      <c r="AU852" s="0" t="n">
        <f aca="false">COUNTA($BA$2357:$EH$2357)</f>
        <v>1</v>
      </c>
      <c r="AV852" s="0" t="n">
        <f aca="false">COUNTIF($BA$2357:$EH$2357,"D")</f>
        <v>0</v>
      </c>
      <c r="AW852" s="0" t="n">
        <f aca="false">COUNTIF($BA$2357:$EH$2357,"R")</f>
        <v>0</v>
      </c>
      <c r="AX852" s="0" t="n">
        <f aca="false">IF(BN852="D",1,0)+IF(BO852="D",1,0)+IF(BT852="D",1,0)+IF(BU852="D",1,0)+IF(BW852="D",1,0)+IF(CC852="D",1,0)+IF(CD852="D",1,0)+IF(CE852="D",1,0)+IF(CF852="D",1,0)+IF(CL852="D",1,0)+IF(CM852="D",1,0)+IF(CQ852="D",1,0)+IF(CR852="D",1,0)+IF(CS852="D",1,0)+IF(CW852="D",1,0)+IF(CX852="D",1,0)+IF(DD852="D",1,0)+IF(DE852="D",1,0)+IF(DJ852="D",1,0)+IF(DK852="D",1,0)+IF(DO852="D",1,0)+IF(DP852="D",1,0)+IF(DQ852="D",1,0)+IF(DW852="D",1,0)+IF(DZ852="D",1,0)+IF(EH852="D",1,0)</f>
        <v>0</v>
      </c>
      <c r="AY852" s="0" t="n">
        <f aca="false">COUNTIF(DU852:EH852, "&lt;&gt;")</f>
        <v>0</v>
      </c>
      <c r="AZ852" s="0" t="n">
        <f aca="false">IF(EH852&lt;&gt;"",1,0)</f>
        <v>0</v>
      </c>
      <c r="BB852" s="0" t="s">
        <v>152</v>
      </c>
    </row>
    <row r="853" customFormat="false" ht="13.8" hidden="false" customHeight="false" outlineLevel="0" collapsed="false">
      <c r="A853" s="0" t="s">
        <v>4251</v>
      </c>
      <c r="B853" s="0" t="n">
        <v>78</v>
      </c>
      <c r="C853" s="0" t="n">
        <v>495019</v>
      </c>
      <c r="D853" s="0" t="s">
        <v>4252</v>
      </c>
      <c r="E853" s="0" t="s">
        <v>4253</v>
      </c>
      <c r="F853" s="0" t="str">
        <f aca="false">CONCATENATE(D853," ",LEFT(H853,4),"T=",AU853,"D=",AV853,"R=",AW853,"M=",AX853,"L=",AY853,"B=",AZ853)</f>
        <v>REVIS T=1D=0R=0M=0L=2B=0</v>
      </c>
      <c r="G853" s="0" t="s">
        <v>4254</v>
      </c>
      <c r="I853" s="0" t="s">
        <v>4255</v>
      </c>
      <c r="J853" s="0" t="s">
        <v>998</v>
      </c>
      <c r="K853" s="0" t="s">
        <v>160</v>
      </c>
      <c r="M853" s="0" t="s">
        <v>4250</v>
      </c>
      <c r="N853" s="0" t="str">
        <f aca="false">RIGHT(M853,LEN(M853)-FIND(" ",M853))</f>
        <v>HOMEWOOD AVE SE</v>
      </c>
      <c r="P853" s="0" t="s">
        <v>145</v>
      </c>
      <c r="Q853" s="0" t="s">
        <v>146</v>
      </c>
      <c r="R853" s="0" t="n">
        <v>44484</v>
      </c>
      <c r="AD853" s="0" t="s">
        <v>147</v>
      </c>
      <c r="AE853" s="0" t="s">
        <v>148</v>
      </c>
      <c r="AF853" s="0" t="s">
        <v>149</v>
      </c>
      <c r="AH853" s="0" t="n">
        <v>14</v>
      </c>
      <c r="AI853" s="0" t="n">
        <v>11</v>
      </c>
      <c r="AN853" s="0" t="s">
        <v>145</v>
      </c>
      <c r="AO853" s="0" t="s">
        <v>233</v>
      </c>
      <c r="AP853" s="0" t="s">
        <v>234</v>
      </c>
      <c r="AQ853" s="0" t="n">
        <v>9</v>
      </c>
      <c r="AR853" s="0" t="n">
        <v>64</v>
      </c>
      <c r="AS853" s="0" t="n">
        <v>32</v>
      </c>
      <c r="AU853" s="0" t="n">
        <f aca="false">COUNTA($BA$2584:$EH$2584)</f>
        <v>1</v>
      </c>
      <c r="AV853" s="0" t="n">
        <f aca="false">COUNTIF($BA$2584:$EH$2584,"D")</f>
        <v>0</v>
      </c>
      <c r="AW853" s="0" t="n">
        <f aca="false">COUNTIF($BA$2584:$EH$2584,"R")</f>
        <v>0</v>
      </c>
      <c r="AX853" s="0" t="n">
        <f aca="false">IF(BN853="D",1,0)+IF(BO853="D",1,0)+IF(BT853="D",1,0)+IF(BU853="D",1,0)+IF(BW853="D",1,0)+IF(CC853="D",1,0)+IF(CD853="D",1,0)+IF(CE853="D",1,0)+IF(CF853="D",1,0)+IF(CL853="D",1,0)+IF(CM853="D",1,0)+IF(CQ853="D",1,0)+IF(CR853="D",1,0)+IF(CS853="D",1,0)+IF(CW853="D",1,0)+IF(CX853="D",1,0)+IF(DD853="D",1,0)+IF(DE853="D",1,0)+IF(DJ853="D",1,0)+IF(DK853="D",1,0)+IF(DO853="D",1,0)+IF(DP853="D",1,0)+IF(DQ853="D",1,0)+IF(DW853="D",1,0)+IF(DZ853="D",1,0)+IF(EH853="D",1,0)</f>
        <v>0</v>
      </c>
      <c r="AY853" s="0" t="n">
        <f aca="false">COUNTIF(DU853:EH853, "&lt;&gt;")</f>
        <v>2</v>
      </c>
      <c r="AZ853" s="0" t="n">
        <f aca="false">IF(EH853&lt;&gt;"",1,0)</f>
        <v>0</v>
      </c>
      <c r="BB853" s="0" t="s">
        <v>152</v>
      </c>
      <c r="DL853" s="0" t="s">
        <v>153</v>
      </c>
      <c r="DN853" s="0" t="s">
        <v>153</v>
      </c>
      <c r="DX853" s="0" t="s">
        <v>153</v>
      </c>
      <c r="EF853" s="0" t="s">
        <v>153</v>
      </c>
    </row>
    <row r="854" customFormat="false" ht="13.8" hidden="false" customHeight="false" outlineLevel="0" collapsed="false">
      <c r="A854" s="0" t="s">
        <v>4256</v>
      </c>
      <c r="B854" s="0" t="n">
        <v>78</v>
      </c>
      <c r="C854" s="0" t="n">
        <v>412042</v>
      </c>
      <c r="D854" s="0" t="s">
        <v>4257</v>
      </c>
      <c r="E854" s="0" t="s">
        <v>1734</v>
      </c>
      <c r="F854" s="0" t="str">
        <f aca="false">CONCATENATE(D854," ",LEFT(H854,4),"T=",AU854,"D=",AV854,"R=",AW854,"M=",AX854,"L=",AY854,"B=",AZ854)</f>
        <v>GLENN T=7D=1R=0M=2L=6B=0</v>
      </c>
      <c r="G854" s="0" t="s">
        <v>164</v>
      </c>
      <c r="I854" s="0" t="s">
        <v>4258</v>
      </c>
      <c r="J854" s="0" t="s">
        <v>4259</v>
      </c>
      <c r="K854" s="0" t="s">
        <v>160</v>
      </c>
      <c r="L854" s="0" t="s">
        <v>175</v>
      </c>
      <c r="M854" s="0" t="s">
        <v>4260</v>
      </c>
      <c r="N854" s="0" t="str">
        <f aca="false">RIGHT(M854,LEN(M854)-FIND(" ",M854))</f>
        <v>HOMEWOOD AVE SE</v>
      </c>
      <c r="P854" s="0" t="s">
        <v>145</v>
      </c>
      <c r="Q854" s="0" t="s">
        <v>146</v>
      </c>
      <c r="R854" s="0" t="n">
        <v>44483</v>
      </c>
      <c r="AD854" s="0" t="s">
        <v>147</v>
      </c>
      <c r="AE854" s="0" t="s">
        <v>148</v>
      </c>
      <c r="AF854" s="0" t="s">
        <v>149</v>
      </c>
      <c r="AH854" s="0" t="n">
        <v>14</v>
      </c>
      <c r="AI854" s="0" t="n">
        <v>11</v>
      </c>
      <c r="AN854" s="0" t="s">
        <v>145</v>
      </c>
      <c r="AO854" s="0" t="s">
        <v>150</v>
      </c>
      <c r="AP854" s="0" t="s">
        <v>151</v>
      </c>
      <c r="AQ854" s="0" t="n">
        <v>9</v>
      </c>
      <c r="AR854" s="0" t="n">
        <v>64</v>
      </c>
      <c r="AS854" s="0" t="n">
        <v>32</v>
      </c>
      <c r="AU854" s="0" t="n">
        <f aca="false">COUNTA($BA$148:$EH$148)</f>
        <v>7</v>
      </c>
      <c r="AV854" s="0" t="n">
        <f aca="false">COUNTIF($BA$148:$EH$148,"D")</f>
        <v>1</v>
      </c>
      <c r="AW854" s="0" t="n">
        <f aca="false">COUNTIF($BA$148:$EH$148,"R")</f>
        <v>0</v>
      </c>
      <c r="AX854" s="0" t="n">
        <f aca="false">IF(BN854="D",1,0)+IF(BO854="D",1,0)+IF(BT854="D",1,0)+IF(BU854="D",1,0)+IF(BW854="D",1,0)+IF(CC854="D",1,0)+IF(CD854="D",1,0)+IF(CE854="D",1,0)+IF(CF854="D",1,0)+IF(CL854="D",1,0)+IF(CM854="D",1,0)+IF(CQ854="D",1,0)+IF(CR854="D",1,0)+IF(CS854="D",1,0)+IF(CW854="D",1,0)+IF(CX854="D",1,0)+IF(DD854="D",1,0)+IF(DE854="D",1,0)+IF(DJ854="D",1,0)+IF(DK854="D",1,0)+IF(DO854="D",1,0)+IF(DP854="D",1,0)+IF(DQ854="D",1,0)+IF(DW854="D",1,0)+IF(DZ854="D",1,0)+IF(EH854="D",1,0)</f>
        <v>2</v>
      </c>
      <c r="AY854" s="0" t="n">
        <f aca="false">COUNTIF(DU854:EH854, "&lt;&gt;")</f>
        <v>6</v>
      </c>
      <c r="AZ854" s="0" t="n">
        <f aca="false">IF(EH854&lt;&gt;"",1,0)</f>
        <v>0</v>
      </c>
      <c r="BB854" s="0" t="s">
        <v>152</v>
      </c>
      <c r="CZ854" s="0" t="s">
        <v>175</v>
      </c>
      <c r="DC854" s="0" t="s">
        <v>153</v>
      </c>
      <c r="DD854" s="0" t="s">
        <v>175</v>
      </c>
      <c r="DI854" s="0" t="s">
        <v>153</v>
      </c>
      <c r="DL854" s="0" t="s">
        <v>153</v>
      </c>
      <c r="DN854" s="0" t="s">
        <v>153</v>
      </c>
      <c r="DR854" s="0" t="s">
        <v>153</v>
      </c>
      <c r="DS854" s="0" t="s">
        <v>175</v>
      </c>
      <c r="DU854" s="0" t="s">
        <v>153</v>
      </c>
      <c r="DW854" s="0" t="s">
        <v>175</v>
      </c>
      <c r="DX854" s="0" t="s">
        <v>153</v>
      </c>
      <c r="EA854" s="0" t="s">
        <v>153</v>
      </c>
      <c r="ED854" s="0" t="s">
        <v>175</v>
      </c>
      <c r="EF854" s="0" t="s">
        <v>153</v>
      </c>
    </row>
    <row r="855" customFormat="false" ht="13.8" hidden="false" customHeight="false" outlineLevel="0" collapsed="false">
      <c r="A855" s="0" t="s">
        <v>4261</v>
      </c>
      <c r="B855" s="0" t="n">
        <v>78</v>
      </c>
      <c r="C855" s="0" t="n">
        <v>309779</v>
      </c>
      <c r="D855" s="0" t="s">
        <v>4257</v>
      </c>
      <c r="E855" s="0" t="s">
        <v>4262</v>
      </c>
      <c r="F855" s="0" t="str">
        <f aca="false">CONCATENATE(D855," ",LEFT(H855,4),"T=",AU855,"D=",AV855,"R=",AW855,"M=",AX855,"L=",AY855,"B=",AZ855)</f>
        <v>GLENN T=1D=0R=0M=5L=7B=1</v>
      </c>
      <c r="G855" s="0" t="s">
        <v>558</v>
      </c>
      <c r="I855" s="0" t="s">
        <v>4263</v>
      </c>
      <c r="J855" s="0" t="s">
        <v>2599</v>
      </c>
      <c r="K855" s="0" t="s">
        <v>160</v>
      </c>
      <c r="L855" s="0" t="s">
        <v>175</v>
      </c>
      <c r="M855" s="0" t="s">
        <v>4260</v>
      </c>
      <c r="N855" s="0" t="str">
        <f aca="false">RIGHT(M855,LEN(M855)-FIND(" ",M855))</f>
        <v>HOMEWOOD AVE SE</v>
      </c>
      <c r="P855" s="0" t="s">
        <v>145</v>
      </c>
      <c r="Q855" s="0" t="s">
        <v>146</v>
      </c>
      <c r="R855" s="0" t="n">
        <v>44483</v>
      </c>
      <c r="AD855" s="0" t="s">
        <v>147</v>
      </c>
      <c r="AE855" s="0" t="s">
        <v>148</v>
      </c>
      <c r="AF855" s="0" t="s">
        <v>149</v>
      </c>
      <c r="AH855" s="0" t="n">
        <v>14</v>
      </c>
      <c r="AI855" s="0" t="n">
        <v>11</v>
      </c>
      <c r="AN855" s="0" t="s">
        <v>145</v>
      </c>
      <c r="AO855" s="0" t="s">
        <v>150</v>
      </c>
      <c r="AP855" s="0" t="s">
        <v>151</v>
      </c>
      <c r="AQ855" s="0" t="n">
        <v>9</v>
      </c>
      <c r="AR855" s="0" t="n">
        <v>64</v>
      </c>
      <c r="AS855" s="0" t="n">
        <v>32</v>
      </c>
      <c r="AU855" s="0" t="n">
        <f aca="false">COUNTA($BA$333:$EH$333)</f>
        <v>1</v>
      </c>
      <c r="AV855" s="0" t="n">
        <f aca="false">COUNTIF($BA$333:$EH$333,"D")</f>
        <v>0</v>
      </c>
      <c r="AW855" s="0" t="n">
        <f aca="false">COUNTIF($BA$333:$EH$333,"R")</f>
        <v>0</v>
      </c>
      <c r="AX855" s="0" t="n">
        <f aca="false">IF(BN855="D",1,0)+IF(BO855="D",1,0)+IF(BT855="D",1,0)+IF(BU855="D",1,0)+IF(BW855="D",1,0)+IF(CC855="D",1,0)+IF(CD855="D",1,0)+IF(CE855="D",1,0)+IF(CF855="D",1,0)+IF(CL855="D",1,0)+IF(CM855="D",1,0)+IF(CQ855="D",1,0)+IF(CR855="D",1,0)+IF(CS855="D",1,0)+IF(CW855="D",1,0)+IF(CX855="D",1,0)+IF(DD855="D",1,0)+IF(DE855="D",1,0)+IF(DJ855="D",1,0)+IF(DK855="D",1,0)+IF(DO855="D",1,0)+IF(DP855="D",1,0)+IF(DQ855="D",1,0)+IF(DW855="D",1,0)+IF(DZ855="D",1,0)+IF(EH855="D",1,0)</f>
        <v>5</v>
      </c>
      <c r="AY855" s="0" t="n">
        <f aca="false">COUNTIF(DU855:EH855, "&lt;&gt;")</f>
        <v>7</v>
      </c>
      <c r="AZ855" s="0" t="n">
        <f aca="false">IF(EH855&lt;&gt;"",1,0)</f>
        <v>1</v>
      </c>
      <c r="BB855" s="0" t="s">
        <v>152</v>
      </c>
      <c r="BH855" s="0" t="s">
        <v>153</v>
      </c>
      <c r="BI855" s="0" t="s">
        <v>153</v>
      </c>
      <c r="BJ855" s="0" t="s">
        <v>153</v>
      </c>
      <c r="BK855" s="0" t="s">
        <v>153</v>
      </c>
      <c r="BL855" s="0" t="s">
        <v>153</v>
      </c>
      <c r="BP855" s="0" t="s">
        <v>153</v>
      </c>
      <c r="BS855" s="0" t="s">
        <v>153</v>
      </c>
      <c r="CP855" s="0" t="s">
        <v>153</v>
      </c>
      <c r="CV855" s="0" t="s">
        <v>153</v>
      </c>
      <c r="CW855" s="0" t="s">
        <v>175</v>
      </c>
      <c r="CY855" s="0" t="s">
        <v>153</v>
      </c>
      <c r="CZ855" s="0" t="s">
        <v>175</v>
      </c>
      <c r="DC855" s="0" t="s">
        <v>153</v>
      </c>
      <c r="DD855" s="0" t="s">
        <v>175</v>
      </c>
      <c r="DF855" s="0" t="s">
        <v>153</v>
      </c>
      <c r="DI855" s="0" t="s">
        <v>153</v>
      </c>
      <c r="DJ855" s="0" t="s">
        <v>175</v>
      </c>
      <c r="DL855" s="0" t="s">
        <v>153</v>
      </c>
      <c r="DN855" s="0" t="s">
        <v>153</v>
      </c>
      <c r="DR855" s="0" t="s">
        <v>153</v>
      </c>
      <c r="DS855" s="0" t="s">
        <v>175</v>
      </c>
      <c r="DU855" s="0" t="s">
        <v>153</v>
      </c>
      <c r="DW855" s="0" t="s">
        <v>175</v>
      </c>
      <c r="DX855" s="0" t="s">
        <v>153</v>
      </c>
      <c r="EA855" s="0" t="s">
        <v>153</v>
      </c>
      <c r="ED855" s="0" t="s">
        <v>175</v>
      </c>
      <c r="EF855" s="0" t="s">
        <v>153</v>
      </c>
      <c r="EH855" s="0" t="s">
        <v>175</v>
      </c>
    </row>
    <row r="856" customFormat="false" ht="13.8" hidden="false" customHeight="false" outlineLevel="0" collapsed="false">
      <c r="A856" s="0" t="s">
        <v>4264</v>
      </c>
      <c r="B856" s="0" t="n">
        <v>78</v>
      </c>
      <c r="C856" s="0" t="n">
        <v>461371</v>
      </c>
      <c r="D856" s="0" t="s">
        <v>4257</v>
      </c>
      <c r="E856" s="0" t="s">
        <v>4265</v>
      </c>
      <c r="F856" s="0" t="str">
        <f aca="false">CONCATENATE(D856," ",LEFT(H856,4),"T=",AU856,"D=",AV856,"R=",AW856,"M=",AX856,"L=",AY856,"B=",AZ856)</f>
        <v>GLENN T=3D=0R=0M=1L=5B=1</v>
      </c>
      <c r="G856" s="0" t="s">
        <v>4266</v>
      </c>
      <c r="I856" s="0" t="s">
        <v>4267</v>
      </c>
      <c r="J856" s="0" t="s">
        <v>4268</v>
      </c>
      <c r="K856" s="0" t="s">
        <v>160</v>
      </c>
      <c r="L856" s="0" t="s">
        <v>175</v>
      </c>
      <c r="M856" s="0" t="s">
        <v>4260</v>
      </c>
      <c r="N856" s="0" t="str">
        <f aca="false">RIGHT(M856,LEN(M856)-FIND(" ",M856))</f>
        <v>HOMEWOOD AVE SE</v>
      </c>
      <c r="P856" s="0" t="s">
        <v>145</v>
      </c>
      <c r="Q856" s="0" t="s">
        <v>146</v>
      </c>
      <c r="R856" s="0" t="n">
        <v>44483</v>
      </c>
      <c r="AD856" s="0" t="s">
        <v>147</v>
      </c>
      <c r="AE856" s="0" t="s">
        <v>148</v>
      </c>
      <c r="AF856" s="0" t="s">
        <v>149</v>
      </c>
      <c r="AH856" s="0" t="n">
        <v>14</v>
      </c>
      <c r="AI856" s="0" t="n">
        <v>11</v>
      </c>
      <c r="AN856" s="0" t="s">
        <v>145</v>
      </c>
      <c r="AO856" s="0" t="s">
        <v>150</v>
      </c>
      <c r="AP856" s="0" t="s">
        <v>151</v>
      </c>
      <c r="AQ856" s="0" t="n">
        <v>9</v>
      </c>
      <c r="AR856" s="0" t="n">
        <v>64</v>
      </c>
      <c r="AS856" s="0" t="n">
        <v>32</v>
      </c>
      <c r="AU856" s="0" t="n">
        <f aca="false">COUNTA($BA$433:$EH$433)</f>
        <v>3</v>
      </c>
      <c r="AV856" s="0" t="n">
        <f aca="false">COUNTIF($BA$433:$EH$433,"D")</f>
        <v>0</v>
      </c>
      <c r="AW856" s="0" t="n">
        <f aca="false">COUNTIF($BA$433:$EH$433,"R")</f>
        <v>0</v>
      </c>
      <c r="AX856" s="0" t="n">
        <f aca="false">IF(BN856="D",1,0)+IF(BO856="D",1,0)+IF(BT856="D",1,0)+IF(BU856="D",1,0)+IF(BW856="D",1,0)+IF(CC856="D",1,0)+IF(CD856="D",1,0)+IF(CE856="D",1,0)+IF(CF856="D",1,0)+IF(CL856="D",1,0)+IF(CM856="D",1,0)+IF(CQ856="D",1,0)+IF(CR856="D",1,0)+IF(CS856="D",1,0)+IF(CW856="D",1,0)+IF(CX856="D",1,0)+IF(DD856="D",1,0)+IF(DE856="D",1,0)+IF(DJ856="D",1,0)+IF(DK856="D",1,0)+IF(DO856="D",1,0)+IF(DP856="D",1,0)+IF(DQ856="D",1,0)+IF(DW856="D",1,0)+IF(DZ856="D",1,0)+IF(EH856="D",1,0)</f>
        <v>1</v>
      </c>
      <c r="AY856" s="0" t="n">
        <f aca="false">COUNTIF(DU856:EH856, "&lt;&gt;")</f>
        <v>5</v>
      </c>
      <c r="AZ856" s="0" t="n">
        <f aca="false">IF(EH856&lt;&gt;"",1,0)</f>
        <v>1</v>
      </c>
      <c r="BB856" s="0" t="s">
        <v>152</v>
      </c>
      <c r="DU856" s="0" t="s">
        <v>153</v>
      </c>
      <c r="DX856" s="0" t="s">
        <v>153</v>
      </c>
      <c r="EA856" s="0" t="s">
        <v>153</v>
      </c>
      <c r="EF856" s="0" t="s">
        <v>153</v>
      </c>
      <c r="EH856" s="0" t="s">
        <v>175</v>
      </c>
    </row>
    <row r="857" customFormat="false" ht="13.8" hidden="true" customHeight="false" outlineLevel="0" collapsed="false">
      <c r="A857" s="0" t="s">
        <v>4269</v>
      </c>
      <c r="B857" s="0" t="n">
        <v>78</v>
      </c>
      <c r="C857" s="0" t="n">
        <v>487893</v>
      </c>
      <c r="D857" s="0" t="s">
        <v>4270</v>
      </c>
      <c r="E857" s="0" t="s">
        <v>4271</v>
      </c>
      <c r="F857" s="0" t="str">
        <f aca="false">CONCATENATE(D857," ",LEFT(H857,4),"T=",AU857,"D=",AV857,"R=",AW857,"M=",AX857,"L=",AY857,"B=",AZ857)</f>
        <v>HINES T=4D=0R=0M=0L=0B=0</v>
      </c>
      <c r="I857" s="0" t="s">
        <v>4272</v>
      </c>
      <c r="J857" s="0" t="s">
        <v>2230</v>
      </c>
      <c r="K857" s="0" t="s">
        <v>160</v>
      </c>
      <c r="M857" s="0" t="s">
        <v>4273</v>
      </c>
      <c r="N857" s="0" t="str">
        <f aca="false">RIGHT(M857,LEN(M857)-FIND(" ",M857))</f>
        <v>HOMEWOOD AVE SE</v>
      </c>
      <c r="P857" s="0" t="s">
        <v>145</v>
      </c>
      <c r="Q857" s="0" t="s">
        <v>146</v>
      </c>
      <c r="R857" s="0" t="n">
        <v>44483</v>
      </c>
      <c r="AD857" s="0" t="s">
        <v>147</v>
      </c>
      <c r="AE857" s="0" t="s">
        <v>148</v>
      </c>
      <c r="AF857" s="0" t="s">
        <v>149</v>
      </c>
      <c r="AH857" s="0" t="n">
        <v>14</v>
      </c>
      <c r="AI857" s="0" t="n">
        <v>11</v>
      </c>
      <c r="AN857" s="0" t="s">
        <v>145</v>
      </c>
      <c r="AO857" s="0" t="s">
        <v>150</v>
      </c>
      <c r="AP857" s="0" t="s">
        <v>151</v>
      </c>
      <c r="AQ857" s="0" t="n">
        <v>9</v>
      </c>
      <c r="AR857" s="0" t="n">
        <v>64</v>
      </c>
      <c r="AS857" s="0" t="n">
        <v>32</v>
      </c>
      <c r="AU857" s="0" t="n">
        <f aca="false">COUNTA($BA$95:$EH$95)</f>
        <v>4</v>
      </c>
      <c r="AV857" s="0" t="n">
        <f aca="false">COUNTIF($BA$95:$EH$95,"D")</f>
        <v>0</v>
      </c>
      <c r="AW857" s="0" t="n">
        <f aca="false">COUNTIF($BA$95:$EH$95,"R")</f>
        <v>0</v>
      </c>
      <c r="AX857" s="0" t="n">
        <f aca="false">IF(BN857="D",1,0)+IF(BO857="D",1,0)+IF(BT857="D",1,0)+IF(BU857="D",1,0)+IF(BW857="D",1,0)+IF(CC857="D",1,0)+IF(CD857="D",1,0)+IF(CE857="D",1,0)+IF(CF857="D",1,0)+IF(CL857="D",1,0)+IF(CM857="D",1,0)+IF(CQ857="D",1,0)+IF(CR857="D",1,0)+IF(CS857="D",1,0)+IF(CW857="D",1,0)+IF(CX857="D",1,0)+IF(DD857="D",1,0)+IF(DE857="D",1,0)+IF(DJ857="D",1,0)+IF(DK857="D",1,0)+IF(DO857="D",1,0)+IF(DP857="D",1,0)+IF(DQ857="D",1,0)+IF(DW857="D",1,0)+IF(DZ857="D",1,0)+IF(EH857="D",1,0)</f>
        <v>0</v>
      </c>
      <c r="AY857" s="0" t="n">
        <f aca="false">COUNTIF(DU857:EH857, "&lt;&gt;")</f>
        <v>0</v>
      </c>
      <c r="AZ857" s="0" t="n">
        <f aca="false">IF(EH857&lt;&gt;"",1,0)</f>
        <v>0</v>
      </c>
      <c r="BB857" s="0" t="s">
        <v>152</v>
      </c>
    </row>
    <row r="858" customFormat="false" ht="13.8" hidden="true" customHeight="false" outlineLevel="0" collapsed="false">
      <c r="A858" s="0" t="s">
        <v>4274</v>
      </c>
      <c r="B858" s="0" t="n">
        <v>78</v>
      </c>
      <c r="C858" s="0" t="n">
        <v>393413</v>
      </c>
      <c r="D858" s="0" t="s">
        <v>4270</v>
      </c>
      <c r="E858" s="0" t="s">
        <v>4275</v>
      </c>
      <c r="F858" s="0" t="str">
        <f aca="false">CONCATENATE(D858," ",LEFT(H858,4),"T=",AU858,"D=",AV858,"R=",AW858,"M=",AX858,"L=",AY858,"B=",AZ858)</f>
        <v>HINES T=1D=0R=0M=0L=1B=0</v>
      </c>
      <c r="G858" s="0" t="s">
        <v>164</v>
      </c>
      <c r="I858" s="0" t="s">
        <v>4276</v>
      </c>
      <c r="J858" s="0" t="s">
        <v>727</v>
      </c>
      <c r="K858" s="0" t="s">
        <v>160</v>
      </c>
      <c r="M858" s="0" t="s">
        <v>4273</v>
      </c>
      <c r="N858" s="0" t="str">
        <f aca="false">RIGHT(M858,LEN(M858)-FIND(" ",M858))</f>
        <v>HOMEWOOD AVE SE</v>
      </c>
      <c r="P858" s="0" t="s">
        <v>145</v>
      </c>
      <c r="Q858" s="0" t="s">
        <v>146</v>
      </c>
      <c r="R858" s="0" t="n">
        <v>44483</v>
      </c>
      <c r="AD858" s="0" t="s">
        <v>147</v>
      </c>
      <c r="AE858" s="0" t="s">
        <v>148</v>
      </c>
      <c r="AF858" s="0" t="s">
        <v>149</v>
      </c>
      <c r="AH858" s="0" t="n">
        <v>14</v>
      </c>
      <c r="AI858" s="0" t="n">
        <v>11</v>
      </c>
      <c r="AN858" s="0" t="s">
        <v>145</v>
      </c>
      <c r="AO858" s="0" t="s">
        <v>150</v>
      </c>
      <c r="AP858" s="0" t="s">
        <v>151</v>
      </c>
      <c r="AQ858" s="0" t="n">
        <v>9</v>
      </c>
      <c r="AR858" s="0" t="n">
        <v>64</v>
      </c>
      <c r="AS858" s="0" t="n">
        <v>32</v>
      </c>
      <c r="AU858" s="0" t="n">
        <f aca="false">COUNTA($BA$579:$EH$579)</f>
        <v>1</v>
      </c>
      <c r="AV858" s="0" t="n">
        <f aca="false">COUNTIF($BA$579:$EH$579,"D")</f>
        <v>0</v>
      </c>
      <c r="AW858" s="0" t="n">
        <f aca="false">COUNTIF($BA$579:$EH$579,"R")</f>
        <v>0</v>
      </c>
      <c r="AX858" s="0" t="n">
        <f aca="false">IF(BN858="D",1,0)+IF(BO858="D",1,0)+IF(BT858="D",1,0)+IF(BU858="D",1,0)+IF(BW858="D",1,0)+IF(CC858="D",1,0)+IF(CD858="D",1,0)+IF(CE858="D",1,0)+IF(CF858="D",1,0)+IF(CL858="D",1,0)+IF(CM858="D",1,0)+IF(CQ858="D",1,0)+IF(CR858="D",1,0)+IF(CS858="D",1,0)+IF(CW858="D",1,0)+IF(CX858="D",1,0)+IF(DD858="D",1,0)+IF(DE858="D",1,0)+IF(DJ858="D",1,0)+IF(DK858="D",1,0)+IF(DO858="D",1,0)+IF(DP858="D",1,0)+IF(DQ858="D",1,0)+IF(DW858="D",1,0)+IF(DZ858="D",1,0)+IF(EH858="D",1,0)</f>
        <v>0</v>
      </c>
      <c r="AY858" s="0" t="n">
        <f aca="false">COUNTIF(DU858:EH858, "&lt;&gt;")</f>
        <v>1</v>
      </c>
      <c r="AZ858" s="0" t="n">
        <f aca="false">IF(EH858&lt;&gt;"",1,0)</f>
        <v>0</v>
      </c>
      <c r="BB858" s="0" t="s">
        <v>152</v>
      </c>
      <c r="BL858" s="0" t="s">
        <v>153</v>
      </c>
      <c r="BY858" s="0" t="s">
        <v>175</v>
      </c>
      <c r="CA858" s="0" t="s">
        <v>153</v>
      </c>
      <c r="CP858" s="0" t="s">
        <v>153</v>
      </c>
      <c r="CV858" s="0" t="s">
        <v>153</v>
      </c>
      <c r="DC858" s="0" t="s">
        <v>153</v>
      </c>
      <c r="DN858" s="0" t="s">
        <v>153</v>
      </c>
      <c r="EF858" s="0" t="s">
        <v>153</v>
      </c>
    </row>
    <row r="859" customFormat="false" ht="13.8" hidden="false" customHeight="false" outlineLevel="0" collapsed="false">
      <c r="A859" s="0" t="s">
        <v>4277</v>
      </c>
      <c r="B859" s="0" t="n">
        <v>78</v>
      </c>
      <c r="C859" s="0" t="n">
        <v>13566</v>
      </c>
      <c r="D859" s="0" t="s">
        <v>4278</v>
      </c>
      <c r="E859" s="0" t="s">
        <v>4279</v>
      </c>
      <c r="F859" s="0" t="str">
        <f aca="false">CONCATENATE(D859," ",LEFT(H859,4),"T=",AU859,"D=",AV859,"R=",AW859,"M=",AX859,"L=",AY859,"B=",AZ859)</f>
        <v>KOVACH T=14D=0R=1M=0L=2B=0</v>
      </c>
      <c r="G859" s="0" t="s">
        <v>195</v>
      </c>
      <c r="I859" s="0" t="s">
        <v>4280</v>
      </c>
      <c r="J859" s="0" t="s">
        <v>4281</v>
      </c>
      <c r="K859" s="0" t="s">
        <v>160</v>
      </c>
      <c r="M859" s="0" t="s">
        <v>4282</v>
      </c>
      <c r="N859" s="0" t="str">
        <f aca="false">RIGHT(M859,LEN(M859)-FIND(" ",M859))</f>
        <v>HOMEWOOD AVE SE</v>
      </c>
      <c r="P859" s="0" t="s">
        <v>145</v>
      </c>
      <c r="Q859" s="0" t="s">
        <v>146</v>
      </c>
      <c r="R859" s="0" t="n">
        <v>44483</v>
      </c>
      <c r="AD859" s="0" t="s">
        <v>147</v>
      </c>
      <c r="AE859" s="0" t="s">
        <v>148</v>
      </c>
      <c r="AF859" s="0" t="s">
        <v>149</v>
      </c>
      <c r="AH859" s="0" t="n">
        <v>14</v>
      </c>
      <c r="AI859" s="0" t="n">
        <v>11</v>
      </c>
      <c r="AN859" s="0" t="s">
        <v>145</v>
      </c>
      <c r="AO859" s="0" t="s">
        <v>150</v>
      </c>
      <c r="AP859" s="0" t="s">
        <v>151</v>
      </c>
      <c r="AQ859" s="0" t="n">
        <v>9</v>
      </c>
      <c r="AR859" s="0" t="n">
        <v>64</v>
      </c>
      <c r="AS859" s="0" t="n">
        <v>32</v>
      </c>
      <c r="AU859" s="0" t="n">
        <f aca="false">COUNTA($BA$1093:$EH$1093)</f>
        <v>14</v>
      </c>
      <c r="AV859" s="0" t="n">
        <f aca="false">COUNTIF($BA$1093:$EH$1093,"D")</f>
        <v>0</v>
      </c>
      <c r="AW859" s="0" t="n">
        <f aca="false">COUNTIF($BA$1093:$EH$1093,"R")</f>
        <v>1</v>
      </c>
      <c r="AX859" s="0" t="n">
        <f aca="false">IF(BN859="D",1,0)+IF(BO859="D",1,0)+IF(BT859="D",1,0)+IF(BU859="D",1,0)+IF(BW859="D",1,0)+IF(CC859="D",1,0)+IF(CD859="D",1,0)+IF(CE859="D",1,0)+IF(CF859="D",1,0)+IF(CL859="D",1,0)+IF(CM859="D",1,0)+IF(CQ859="D",1,0)+IF(CR859="D",1,0)+IF(CS859="D",1,0)+IF(CW859="D",1,0)+IF(CX859="D",1,0)+IF(DD859="D",1,0)+IF(DE859="D",1,0)+IF(DJ859="D",1,0)+IF(DK859="D",1,0)+IF(DO859="D",1,0)+IF(DP859="D",1,0)+IF(DQ859="D",1,0)+IF(DW859="D",1,0)+IF(DZ859="D",1,0)+IF(EH859="D",1,0)</f>
        <v>0</v>
      </c>
      <c r="AY859" s="0" t="n">
        <f aca="false">COUNTIF(DU859:EH859, "&lt;&gt;")</f>
        <v>2</v>
      </c>
      <c r="AZ859" s="0" t="n">
        <f aca="false">IF(EH859&lt;&gt;"",1,0)</f>
        <v>0</v>
      </c>
      <c r="BB859" s="0" t="s">
        <v>152</v>
      </c>
      <c r="BC859" s="0" t="s">
        <v>153</v>
      </c>
      <c r="BD859" s="0" t="s">
        <v>153</v>
      </c>
      <c r="BE859" s="0" t="s">
        <v>153</v>
      </c>
      <c r="BH859" s="0" t="s">
        <v>153</v>
      </c>
      <c r="BI859" s="0" t="s">
        <v>153</v>
      </c>
      <c r="BJ859" s="0" t="s">
        <v>153</v>
      </c>
      <c r="BL859" s="0" t="s">
        <v>153</v>
      </c>
      <c r="BT859" s="0" t="s">
        <v>153</v>
      </c>
      <c r="CP859" s="0" t="s">
        <v>153</v>
      </c>
      <c r="DC859" s="0" t="s">
        <v>153</v>
      </c>
      <c r="DN859" s="0" t="s">
        <v>153</v>
      </c>
      <c r="DU859" s="0" t="s">
        <v>153</v>
      </c>
      <c r="EF859" s="0" t="s">
        <v>153</v>
      </c>
    </row>
    <row r="860" customFormat="false" ht="13.8" hidden="true" customHeight="false" outlineLevel="0" collapsed="false">
      <c r="A860" s="0" t="s">
        <v>4283</v>
      </c>
      <c r="B860" s="0" t="n">
        <v>78</v>
      </c>
      <c r="C860" s="0" t="n">
        <v>440101</v>
      </c>
      <c r="D860" s="0" t="s">
        <v>4284</v>
      </c>
      <c r="E860" s="0" t="s">
        <v>4285</v>
      </c>
      <c r="F860" s="0" t="str">
        <f aca="false">CONCATENATE(D860," ",LEFT(H860,4),"T=",AU860,"D=",AV860,"R=",AW860,"M=",AX860,"L=",AY860,"B=",AZ860)</f>
        <v>REED T=2D=0R=0M=0L=0B=0</v>
      </c>
      <c r="G860" s="0" t="s">
        <v>175</v>
      </c>
      <c r="I860" s="0" t="s">
        <v>4286</v>
      </c>
      <c r="J860" s="0" t="s">
        <v>3132</v>
      </c>
      <c r="K860" s="0" t="s">
        <v>160</v>
      </c>
      <c r="M860" s="0" t="s">
        <v>4287</v>
      </c>
      <c r="N860" s="0" t="str">
        <f aca="false">RIGHT(M860,LEN(M860)-FIND(" ",M860))</f>
        <v>HOMEWOOD AVE SE</v>
      </c>
      <c r="P860" s="0" t="s">
        <v>145</v>
      </c>
      <c r="Q860" s="0" t="s">
        <v>146</v>
      </c>
      <c r="R860" s="0" t="n">
        <v>44483</v>
      </c>
      <c r="AD860" s="0" t="s">
        <v>147</v>
      </c>
      <c r="AE860" s="0" t="s">
        <v>148</v>
      </c>
      <c r="AF860" s="0" t="s">
        <v>149</v>
      </c>
      <c r="AH860" s="0" t="n">
        <v>14</v>
      </c>
      <c r="AI860" s="0" t="n">
        <v>11</v>
      </c>
      <c r="AN860" s="0" t="s">
        <v>145</v>
      </c>
      <c r="AO860" s="0" t="s">
        <v>150</v>
      </c>
      <c r="AP860" s="0" t="s">
        <v>151</v>
      </c>
      <c r="AQ860" s="0" t="n">
        <v>9</v>
      </c>
      <c r="AR860" s="0" t="n">
        <v>64</v>
      </c>
      <c r="AS860" s="0" t="n">
        <v>32</v>
      </c>
      <c r="AU860" s="0" t="n">
        <f aca="false">COUNTA($BA$62:$EH$62)</f>
        <v>2</v>
      </c>
      <c r="AV860" s="0" t="n">
        <f aca="false">COUNTIF($BA$62:$EH$62,"D")</f>
        <v>0</v>
      </c>
      <c r="AW860" s="0" t="n">
        <f aca="false">COUNTIF($BA$62:$EH$62,"R")</f>
        <v>0</v>
      </c>
      <c r="AX860" s="0" t="n">
        <f aca="false">IF(BN860="D",1,0)+IF(BO860="D",1,0)+IF(BT860="D",1,0)+IF(BU860="D",1,0)+IF(BW860="D",1,0)+IF(CC860="D",1,0)+IF(CD860="D",1,0)+IF(CE860="D",1,0)+IF(CF860="D",1,0)+IF(CL860="D",1,0)+IF(CM860="D",1,0)+IF(CQ860="D",1,0)+IF(CR860="D",1,0)+IF(CS860="D",1,0)+IF(CW860="D",1,0)+IF(CX860="D",1,0)+IF(DD860="D",1,0)+IF(DE860="D",1,0)+IF(DJ860="D",1,0)+IF(DK860="D",1,0)+IF(DO860="D",1,0)+IF(DP860="D",1,0)+IF(DQ860="D",1,0)+IF(DW860="D",1,0)+IF(DZ860="D",1,0)+IF(EH860="D",1,0)</f>
        <v>0</v>
      </c>
      <c r="AY860" s="0" t="n">
        <f aca="false">COUNTIF(DU860:EH860, "&lt;&gt;")</f>
        <v>0</v>
      </c>
      <c r="AZ860" s="0" t="n">
        <f aca="false">IF(EH860&lt;&gt;"",1,0)</f>
        <v>0</v>
      </c>
      <c r="BB860" s="0" t="s">
        <v>152</v>
      </c>
      <c r="BD860" s="0" t="s">
        <v>153</v>
      </c>
    </row>
    <row r="861" customFormat="false" ht="13.8" hidden="true" customHeight="false" outlineLevel="0" collapsed="false">
      <c r="A861" s="0" t="s">
        <v>4288</v>
      </c>
      <c r="B861" s="0" t="n">
        <v>78</v>
      </c>
      <c r="C861" s="0" t="n">
        <v>478641</v>
      </c>
      <c r="D861" s="0" t="s">
        <v>4001</v>
      </c>
      <c r="E861" s="0" t="s">
        <v>4289</v>
      </c>
      <c r="F861" s="0" t="str">
        <f aca="false">CONCATENATE(D861," ",LEFT(H861,4),"T=",AU861,"D=",AV861,"R=",AW861,"M=",AX861,"L=",AY861,"B=",AZ861)</f>
        <v>COLEMAN JRT=1D=0R=0M=0L=0B=0</v>
      </c>
      <c r="G861" s="0" t="s">
        <v>4290</v>
      </c>
      <c r="H861" s="0" t="s">
        <v>314</v>
      </c>
      <c r="I861" s="0" t="s">
        <v>4291</v>
      </c>
      <c r="J861" s="0" t="s">
        <v>4292</v>
      </c>
      <c r="K861" s="0" t="s">
        <v>160</v>
      </c>
      <c r="M861" s="0" t="s">
        <v>4293</v>
      </c>
      <c r="N861" s="0" t="str">
        <f aca="false">RIGHT(M861,LEN(M861)-FIND(" ",M861))</f>
        <v>HOMEWOOD AVE SE</v>
      </c>
      <c r="P861" s="0" t="s">
        <v>145</v>
      </c>
      <c r="Q861" s="0" t="s">
        <v>146</v>
      </c>
      <c r="R861" s="0" t="n">
        <v>44483</v>
      </c>
      <c r="AD861" s="0" t="s">
        <v>147</v>
      </c>
      <c r="AE861" s="0" t="s">
        <v>148</v>
      </c>
      <c r="AF861" s="0" t="s">
        <v>149</v>
      </c>
      <c r="AH861" s="0" t="n">
        <v>14</v>
      </c>
      <c r="AI861" s="0" t="n">
        <v>11</v>
      </c>
      <c r="AN861" s="0" t="s">
        <v>145</v>
      </c>
      <c r="AO861" s="0" t="s">
        <v>150</v>
      </c>
      <c r="AP861" s="0" t="s">
        <v>151</v>
      </c>
      <c r="AQ861" s="0" t="n">
        <v>9</v>
      </c>
      <c r="AR861" s="0" t="n">
        <v>64</v>
      </c>
      <c r="AS861" s="0" t="n">
        <v>32</v>
      </c>
      <c r="AU861" s="0" t="n">
        <f aca="false">COUNTA($BA$106:$EH$106)</f>
        <v>1</v>
      </c>
      <c r="AV861" s="0" t="n">
        <f aca="false">COUNTIF($BA$106:$EH$106,"D")</f>
        <v>0</v>
      </c>
      <c r="AW861" s="0" t="n">
        <f aca="false">COUNTIF($BA$106:$EH$106,"R")</f>
        <v>0</v>
      </c>
      <c r="AX861" s="0" t="n">
        <f aca="false">IF(BN861="D",1,0)+IF(BO861="D",1,0)+IF(BT861="D",1,0)+IF(BU861="D",1,0)+IF(BW861="D",1,0)+IF(CC861="D",1,0)+IF(CD861="D",1,0)+IF(CE861="D",1,0)+IF(CF861="D",1,0)+IF(CL861="D",1,0)+IF(CM861="D",1,0)+IF(CQ861="D",1,0)+IF(CR861="D",1,0)+IF(CS861="D",1,0)+IF(CW861="D",1,0)+IF(CX861="D",1,0)+IF(DD861="D",1,0)+IF(DE861="D",1,0)+IF(DJ861="D",1,0)+IF(DK861="D",1,0)+IF(DO861="D",1,0)+IF(DP861="D",1,0)+IF(DQ861="D",1,0)+IF(DW861="D",1,0)+IF(DZ861="D",1,0)+IF(EH861="D",1,0)</f>
        <v>0</v>
      </c>
      <c r="AY861" s="0" t="n">
        <f aca="false">COUNTIF(DU861:EH861, "&lt;&gt;")</f>
        <v>0</v>
      </c>
      <c r="AZ861" s="0" t="n">
        <f aca="false">IF(EH861&lt;&gt;"",1,0)</f>
        <v>0</v>
      </c>
      <c r="BB861" s="0" t="s">
        <v>152</v>
      </c>
    </row>
    <row r="862" customFormat="false" ht="13.8" hidden="true" customHeight="false" outlineLevel="0" collapsed="false">
      <c r="A862" s="0" t="s">
        <v>4294</v>
      </c>
      <c r="B862" s="0" t="n">
        <v>78</v>
      </c>
      <c r="C862" s="0" t="n">
        <v>309111</v>
      </c>
      <c r="D862" s="0" t="s">
        <v>4295</v>
      </c>
      <c r="E862" s="0" t="s">
        <v>4296</v>
      </c>
      <c r="F862" s="0" t="str">
        <f aca="false">CONCATENATE(D862," ",LEFT(H862,4),"T=",AU862,"D=",AV862,"R=",AW862,"M=",AX862,"L=",AY862,"B=",AZ862)</f>
        <v>PROVITT T=44D=13R=2M=0L=1B=0</v>
      </c>
      <c r="G862" s="0" t="s">
        <v>202</v>
      </c>
      <c r="I862" s="0" t="s">
        <v>4297</v>
      </c>
      <c r="J862" s="0" t="s">
        <v>4298</v>
      </c>
      <c r="K862" s="0" t="s">
        <v>160</v>
      </c>
      <c r="M862" s="0" t="s">
        <v>4299</v>
      </c>
      <c r="N862" s="0" t="str">
        <f aca="false">RIGHT(M862,LEN(M862)-FIND(" ",M862))</f>
        <v>HOMEWOOD AVE SE</v>
      </c>
      <c r="P862" s="0" t="s">
        <v>145</v>
      </c>
      <c r="Q862" s="0" t="s">
        <v>146</v>
      </c>
      <c r="R862" s="0" t="n">
        <v>44483</v>
      </c>
      <c r="AD862" s="0" t="s">
        <v>147</v>
      </c>
      <c r="AE862" s="0" t="s">
        <v>148</v>
      </c>
      <c r="AF862" s="0" t="s">
        <v>149</v>
      </c>
      <c r="AH862" s="0" t="n">
        <v>14</v>
      </c>
      <c r="AI862" s="0" t="n">
        <v>11</v>
      </c>
      <c r="AN862" s="0" t="s">
        <v>145</v>
      </c>
      <c r="AO862" s="0" t="s">
        <v>150</v>
      </c>
      <c r="AP862" s="0" t="s">
        <v>151</v>
      </c>
      <c r="AQ862" s="0" t="n">
        <v>9</v>
      </c>
      <c r="AR862" s="0" t="n">
        <v>64</v>
      </c>
      <c r="AS862" s="0" t="n">
        <v>32</v>
      </c>
      <c r="AU862" s="0" t="n">
        <f aca="false">COUNTA($BA$465:$EH$465)</f>
        <v>44</v>
      </c>
      <c r="AV862" s="0" t="n">
        <f aca="false">COUNTIF($BA$465:$EH$465,"D")</f>
        <v>13</v>
      </c>
      <c r="AW862" s="0" t="n">
        <f aca="false">COUNTIF($BA$465:$EH$465,"R")</f>
        <v>2</v>
      </c>
      <c r="AX862" s="0" t="n">
        <f aca="false">IF(BN862="D",1,0)+IF(BO862="D",1,0)+IF(BT862="D",1,0)+IF(BU862="D",1,0)+IF(BW862="D",1,0)+IF(CC862="D",1,0)+IF(CD862="D",1,0)+IF(CE862="D",1,0)+IF(CF862="D",1,0)+IF(CL862="D",1,0)+IF(CM862="D",1,0)+IF(CQ862="D",1,0)+IF(CR862="D",1,0)+IF(CS862="D",1,0)+IF(CW862="D",1,0)+IF(CX862="D",1,0)+IF(DD862="D",1,0)+IF(DE862="D",1,0)+IF(DJ862="D",1,0)+IF(DK862="D",1,0)+IF(DO862="D",1,0)+IF(DP862="D",1,0)+IF(DQ862="D",1,0)+IF(DW862="D",1,0)+IF(DZ862="D",1,0)+IF(EH862="D",1,0)</f>
        <v>0</v>
      </c>
      <c r="AY862" s="0" t="n">
        <f aca="false">COUNTIF(DU862:EH862, "&lt;&gt;")</f>
        <v>1</v>
      </c>
      <c r="AZ862" s="0" t="n">
        <f aca="false">IF(EH862&lt;&gt;"",1,0)</f>
        <v>0</v>
      </c>
      <c r="BB862" s="0" t="s">
        <v>152</v>
      </c>
      <c r="BL862" s="0" t="s">
        <v>153</v>
      </c>
      <c r="BP862" s="0" t="s">
        <v>153</v>
      </c>
      <c r="CA862" s="0" t="s">
        <v>153</v>
      </c>
      <c r="CK862" s="0" t="s">
        <v>153</v>
      </c>
      <c r="CP862" s="0" t="s">
        <v>153</v>
      </c>
      <c r="DM862" s="0" t="s">
        <v>175</v>
      </c>
      <c r="DN862" s="0" t="s">
        <v>153</v>
      </c>
      <c r="EF862" s="0" t="s">
        <v>153</v>
      </c>
    </row>
    <row r="863" customFormat="false" ht="13.8" hidden="false" customHeight="false" outlineLevel="0" collapsed="false">
      <c r="A863" s="0" t="s">
        <v>4300</v>
      </c>
      <c r="B863" s="0" t="n">
        <v>78</v>
      </c>
      <c r="C863" s="0" t="n">
        <v>474079</v>
      </c>
      <c r="D863" s="0" t="s">
        <v>4295</v>
      </c>
      <c r="E863" s="0" t="s">
        <v>4301</v>
      </c>
      <c r="F863" s="0" t="str">
        <f aca="false">CONCATENATE(D863," ",LEFT(H863,4),"T=",AU863,"D=",AV863,"R=",AW863,"M=",AX863,"L=",AY863,"B=",AZ863)</f>
        <v>PROVITT T=1D=0R=0M=0L=2B=0</v>
      </c>
      <c r="G863" s="0" t="s">
        <v>1587</v>
      </c>
      <c r="I863" s="0" t="s">
        <v>4302</v>
      </c>
      <c r="J863" s="0" t="s">
        <v>218</v>
      </c>
      <c r="K863" s="0" t="s">
        <v>160</v>
      </c>
      <c r="M863" s="0" t="s">
        <v>4299</v>
      </c>
      <c r="N863" s="0" t="str">
        <f aca="false">RIGHT(M863,LEN(M863)-FIND(" ",M863))</f>
        <v>HOMEWOOD AVE SE</v>
      </c>
      <c r="P863" s="0" t="s">
        <v>145</v>
      </c>
      <c r="Q863" s="0" t="s">
        <v>146</v>
      </c>
      <c r="R863" s="0" t="n">
        <v>44483</v>
      </c>
      <c r="AD863" s="0" t="s">
        <v>147</v>
      </c>
      <c r="AE863" s="0" t="s">
        <v>148</v>
      </c>
      <c r="AF863" s="0" t="s">
        <v>149</v>
      </c>
      <c r="AH863" s="0" t="n">
        <v>14</v>
      </c>
      <c r="AI863" s="0" t="n">
        <v>11</v>
      </c>
      <c r="AN863" s="0" t="s">
        <v>145</v>
      </c>
      <c r="AO863" s="0" t="s">
        <v>150</v>
      </c>
      <c r="AP863" s="0" t="s">
        <v>151</v>
      </c>
      <c r="AQ863" s="0" t="n">
        <v>9</v>
      </c>
      <c r="AR863" s="0" t="n">
        <v>64</v>
      </c>
      <c r="AS863" s="0" t="n">
        <v>32</v>
      </c>
      <c r="AU863" s="0" t="n">
        <f aca="false">COUNTA($BA$1061:$EH$1061)</f>
        <v>1</v>
      </c>
      <c r="AV863" s="0" t="n">
        <f aca="false">COUNTIF($BA$1061:$EH$1061,"D")</f>
        <v>0</v>
      </c>
      <c r="AW863" s="0" t="n">
        <f aca="false">COUNTIF($BA$1061:$EH$1061,"R")</f>
        <v>0</v>
      </c>
      <c r="AX863" s="0" t="n">
        <f aca="false">IF(BN863="D",1,0)+IF(BO863="D",1,0)+IF(BT863="D",1,0)+IF(BU863="D",1,0)+IF(BW863="D",1,0)+IF(CC863="D",1,0)+IF(CD863="D",1,0)+IF(CE863="D",1,0)+IF(CF863="D",1,0)+IF(CL863="D",1,0)+IF(CM863="D",1,0)+IF(CQ863="D",1,0)+IF(CR863="D",1,0)+IF(CS863="D",1,0)+IF(CW863="D",1,0)+IF(CX863="D",1,0)+IF(DD863="D",1,0)+IF(DE863="D",1,0)+IF(DJ863="D",1,0)+IF(DK863="D",1,0)+IF(DO863="D",1,0)+IF(DP863="D",1,0)+IF(DQ863="D",1,0)+IF(DW863="D",1,0)+IF(DZ863="D",1,0)+IF(EH863="D",1,0)</f>
        <v>0</v>
      </c>
      <c r="AY863" s="0" t="n">
        <f aca="false">COUNTIF(DU863:EH863, "&lt;&gt;")</f>
        <v>2</v>
      </c>
      <c r="AZ863" s="0" t="n">
        <f aca="false">IF(EH863&lt;&gt;"",1,0)</f>
        <v>0</v>
      </c>
      <c r="BB863" s="0" t="s">
        <v>152</v>
      </c>
      <c r="EA863" s="0" t="s">
        <v>153</v>
      </c>
      <c r="EF863" s="0" t="s">
        <v>153</v>
      </c>
    </row>
    <row r="864" customFormat="false" ht="13.8" hidden="true" customHeight="false" outlineLevel="0" collapsed="false">
      <c r="A864" s="0" t="s">
        <v>4303</v>
      </c>
      <c r="B864" s="0" t="n">
        <v>78</v>
      </c>
      <c r="C864" s="0" t="n">
        <v>486962</v>
      </c>
      <c r="D864" s="0" t="s">
        <v>657</v>
      </c>
      <c r="E864" s="0" t="s">
        <v>1722</v>
      </c>
      <c r="F864" s="0" t="str">
        <f aca="false">CONCATENATE(D864," ",LEFT(H864,4),"T=",AU864,"D=",AV864,"R=",AW864,"M=",AX864,"L=",AY864,"B=",AZ864)</f>
        <v>HALL T=1D=0R=0M=0L=0B=0</v>
      </c>
      <c r="I864" s="0" t="s">
        <v>4304</v>
      </c>
      <c r="J864" s="0" t="s">
        <v>782</v>
      </c>
      <c r="K864" s="0" t="s">
        <v>143</v>
      </c>
      <c r="M864" s="0" t="s">
        <v>4305</v>
      </c>
      <c r="N864" s="0" t="str">
        <f aca="false">RIGHT(M864,LEN(M864)-FIND(" ",M864))</f>
        <v>HOMEWOOD AVE SE</v>
      </c>
      <c r="P864" s="0" t="s">
        <v>145</v>
      </c>
      <c r="Q864" s="0" t="s">
        <v>146</v>
      </c>
      <c r="R864" s="0" t="n">
        <v>44483</v>
      </c>
      <c r="AD864" s="0" t="s">
        <v>147</v>
      </c>
      <c r="AE864" s="0" t="s">
        <v>148</v>
      </c>
      <c r="AF864" s="0" t="s">
        <v>149</v>
      </c>
      <c r="AH864" s="0" t="n">
        <v>14</v>
      </c>
      <c r="AI864" s="0" t="n">
        <v>11</v>
      </c>
      <c r="AN864" s="0" t="s">
        <v>145</v>
      </c>
      <c r="AO864" s="0" t="s">
        <v>150</v>
      </c>
      <c r="AP864" s="0" t="s">
        <v>151</v>
      </c>
      <c r="AQ864" s="0" t="n">
        <v>9</v>
      </c>
      <c r="AR864" s="0" t="n">
        <v>64</v>
      </c>
      <c r="AS864" s="0" t="n">
        <v>32</v>
      </c>
      <c r="AU864" s="0" t="n">
        <f aca="false">COUNTA($BA$423:$EH$423)</f>
        <v>1</v>
      </c>
      <c r="AV864" s="0" t="n">
        <f aca="false">COUNTIF($BA$423:$EH$423,"D")</f>
        <v>0</v>
      </c>
      <c r="AW864" s="0" t="n">
        <f aca="false">COUNTIF($BA$423:$EH$423,"R")</f>
        <v>0</v>
      </c>
      <c r="AX864" s="0" t="n">
        <f aca="false">IF(BN864="D",1,0)+IF(BO864="D",1,0)+IF(BT864="D",1,0)+IF(BU864="D",1,0)+IF(BW864="D",1,0)+IF(CC864="D",1,0)+IF(CD864="D",1,0)+IF(CE864="D",1,0)+IF(CF864="D",1,0)+IF(CL864="D",1,0)+IF(CM864="D",1,0)+IF(CQ864="D",1,0)+IF(CR864="D",1,0)+IF(CS864="D",1,0)+IF(CW864="D",1,0)+IF(CX864="D",1,0)+IF(DD864="D",1,0)+IF(DE864="D",1,0)+IF(DJ864="D",1,0)+IF(DK864="D",1,0)+IF(DO864="D",1,0)+IF(DP864="D",1,0)+IF(DQ864="D",1,0)+IF(DW864="D",1,0)+IF(DZ864="D",1,0)+IF(EH864="D",1,0)</f>
        <v>0</v>
      </c>
      <c r="AY864" s="0" t="n">
        <f aca="false">COUNTIF(DU864:EH864, "&lt;&gt;")</f>
        <v>0</v>
      </c>
      <c r="AZ864" s="0" t="n">
        <f aca="false">IF(EH864&lt;&gt;"",1,0)</f>
        <v>0</v>
      </c>
      <c r="BB864" s="0" t="s">
        <v>152</v>
      </c>
    </row>
    <row r="865" customFormat="false" ht="13.8" hidden="true" customHeight="false" outlineLevel="0" collapsed="false">
      <c r="A865" s="0" t="s">
        <v>4306</v>
      </c>
      <c r="B865" s="0" t="n">
        <v>78</v>
      </c>
      <c r="C865" s="0" t="n">
        <v>309228</v>
      </c>
      <c r="D865" s="0" t="s">
        <v>4066</v>
      </c>
      <c r="E865" s="0" t="s">
        <v>4307</v>
      </c>
      <c r="F865" s="0" t="str">
        <f aca="false">CONCATENATE(D865," ",LEFT(H865,4),"T=",AU865,"D=",AV865,"R=",AW865,"M=",AX865,"L=",AY865,"B=",AZ865)</f>
        <v>PRIEST T=20D=2R=0M=1L=1B=0</v>
      </c>
      <c r="G865" s="0" t="s">
        <v>4308</v>
      </c>
      <c r="I865" s="0" t="s">
        <v>4309</v>
      </c>
      <c r="J865" s="0" t="s">
        <v>4310</v>
      </c>
      <c r="K865" s="0" t="s">
        <v>160</v>
      </c>
      <c r="M865" s="0" t="s">
        <v>4311</v>
      </c>
      <c r="N865" s="0" t="str">
        <f aca="false">RIGHT(M865,LEN(M865)-FIND(" ",M865))</f>
        <v>HOMEWOOD AVE SE</v>
      </c>
      <c r="P865" s="0" t="s">
        <v>145</v>
      </c>
      <c r="Q865" s="0" t="s">
        <v>146</v>
      </c>
      <c r="R865" s="0" t="n">
        <v>44483</v>
      </c>
      <c r="AD865" s="0" t="s">
        <v>147</v>
      </c>
      <c r="AE865" s="0" t="s">
        <v>148</v>
      </c>
      <c r="AF865" s="0" t="s">
        <v>149</v>
      </c>
      <c r="AH865" s="0" t="n">
        <v>14</v>
      </c>
      <c r="AI865" s="0" t="n">
        <v>11</v>
      </c>
      <c r="AN865" s="0" t="s">
        <v>145</v>
      </c>
      <c r="AO865" s="0" t="s">
        <v>150</v>
      </c>
      <c r="AP865" s="0" t="s">
        <v>151</v>
      </c>
      <c r="AQ865" s="0" t="n">
        <v>9</v>
      </c>
      <c r="AR865" s="0" t="n">
        <v>64</v>
      </c>
      <c r="AS865" s="0" t="n">
        <v>32</v>
      </c>
      <c r="AU865" s="0" t="n">
        <f aca="false">COUNTA($BA$597:$EH$597)</f>
        <v>20</v>
      </c>
      <c r="AV865" s="0" t="n">
        <f aca="false">COUNTIF($BA$597:$EH$597,"D")</f>
        <v>2</v>
      </c>
      <c r="AW865" s="0" t="n">
        <f aca="false">COUNTIF($BA$597:$EH$597,"R")</f>
        <v>0</v>
      </c>
      <c r="AX865" s="0" t="n">
        <f aca="false">IF(BN865="D",1,0)+IF(BO865="D",1,0)+IF(BT865="D",1,0)+IF(BU865="D",1,0)+IF(BW865="D",1,0)+IF(CC865="D",1,0)+IF(CD865="D",1,0)+IF(CE865="D",1,0)+IF(CF865="D",1,0)+IF(CL865="D",1,0)+IF(CM865="D",1,0)+IF(CQ865="D",1,0)+IF(CR865="D",1,0)+IF(CS865="D",1,0)+IF(CW865="D",1,0)+IF(CX865="D",1,0)+IF(DD865="D",1,0)+IF(DE865="D",1,0)+IF(DJ865="D",1,0)+IF(DK865="D",1,0)+IF(DO865="D",1,0)+IF(DP865="D",1,0)+IF(DQ865="D",1,0)+IF(DW865="D",1,0)+IF(DZ865="D",1,0)+IF(EH865="D",1,0)</f>
        <v>1</v>
      </c>
      <c r="AY865" s="0" t="n">
        <f aca="false">COUNTIF(DU865:EH865, "&lt;&gt;")</f>
        <v>1</v>
      </c>
      <c r="AZ865" s="0" t="n">
        <f aca="false">IF(EH865&lt;&gt;"",1,0)</f>
        <v>0</v>
      </c>
      <c r="BB865" s="0" t="s">
        <v>152</v>
      </c>
      <c r="CL865" s="0" t="s">
        <v>175</v>
      </c>
      <c r="CN865" s="0" t="s">
        <v>153</v>
      </c>
      <c r="CP865" s="0" t="s">
        <v>153</v>
      </c>
      <c r="CZ865" s="0" t="s">
        <v>175</v>
      </c>
      <c r="DC865" s="0" t="s">
        <v>153</v>
      </c>
      <c r="DI865" s="0" t="s">
        <v>153</v>
      </c>
      <c r="DL865" s="0" t="s">
        <v>153</v>
      </c>
      <c r="DN865" s="0" t="s">
        <v>153</v>
      </c>
      <c r="DU865" s="0" t="s">
        <v>153</v>
      </c>
    </row>
    <row r="866" customFormat="false" ht="13.8" hidden="true" customHeight="false" outlineLevel="0" collapsed="false">
      <c r="A866" s="0" t="s">
        <v>4312</v>
      </c>
      <c r="B866" s="0" t="n">
        <v>78</v>
      </c>
      <c r="C866" s="0" t="n">
        <v>474543</v>
      </c>
      <c r="D866" s="0" t="s">
        <v>4313</v>
      </c>
      <c r="E866" s="0" t="s">
        <v>184</v>
      </c>
      <c r="F866" s="0" t="str">
        <f aca="false">CONCATENATE(D866," ",LEFT(H866,4),"T=",AU866,"D=",AV866,"R=",AW866,"M=",AX866,"L=",AY866,"B=",AZ866)</f>
        <v>WALTON T=2D=0R=0M=0L=0B=0</v>
      </c>
      <c r="G866" s="0" t="s">
        <v>770</v>
      </c>
      <c r="I866" s="0" t="s">
        <v>4314</v>
      </c>
      <c r="J866" s="0" t="s">
        <v>4315</v>
      </c>
      <c r="K866" s="0" t="s">
        <v>160</v>
      </c>
      <c r="M866" s="0" t="s">
        <v>4316</v>
      </c>
      <c r="N866" s="0" t="str">
        <f aca="false">RIGHT(M866,LEN(M866)-FIND(" ",M866))</f>
        <v>HOMEWOOD AVE SE</v>
      </c>
      <c r="P866" s="0" t="s">
        <v>145</v>
      </c>
      <c r="Q866" s="0" t="s">
        <v>146</v>
      </c>
      <c r="R866" s="0" t="n">
        <v>44483</v>
      </c>
      <c r="AD866" s="0" t="s">
        <v>147</v>
      </c>
      <c r="AE866" s="0" t="s">
        <v>148</v>
      </c>
      <c r="AF866" s="0" t="s">
        <v>149</v>
      </c>
      <c r="AH866" s="0" t="n">
        <v>14</v>
      </c>
      <c r="AI866" s="0" t="n">
        <v>11</v>
      </c>
      <c r="AN866" s="0" t="s">
        <v>145</v>
      </c>
      <c r="AO866" s="0" t="s">
        <v>150</v>
      </c>
      <c r="AP866" s="0" t="s">
        <v>151</v>
      </c>
      <c r="AQ866" s="0" t="n">
        <v>9</v>
      </c>
      <c r="AR866" s="0" t="n">
        <v>64</v>
      </c>
      <c r="AS866" s="0" t="n">
        <v>32</v>
      </c>
      <c r="AU866" s="0" t="n">
        <f aca="false">COUNTA($BA$793:$EH$793)</f>
        <v>2</v>
      </c>
      <c r="AV866" s="0" t="n">
        <f aca="false">COUNTIF($BA$793:$EH$793,"D")</f>
        <v>0</v>
      </c>
      <c r="AW866" s="0" t="n">
        <f aca="false">COUNTIF($BA$793:$EH$793,"R")</f>
        <v>0</v>
      </c>
      <c r="AX866" s="0" t="n">
        <f aca="false">IF(BN866="D",1,0)+IF(BO866="D",1,0)+IF(BT866="D",1,0)+IF(BU866="D",1,0)+IF(BW866="D",1,0)+IF(CC866="D",1,0)+IF(CD866="D",1,0)+IF(CE866="D",1,0)+IF(CF866="D",1,0)+IF(CL866="D",1,0)+IF(CM866="D",1,0)+IF(CQ866="D",1,0)+IF(CR866="D",1,0)+IF(CS866="D",1,0)+IF(CW866="D",1,0)+IF(CX866="D",1,0)+IF(DD866="D",1,0)+IF(DE866="D",1,0)+IF(DJ866="D",1,0)+IF(DK866="D",1,0)+IF(DO866="D",1,0)+IF(DP866="D",1,0)+IF(DQ866="D",1,0)+IF(DW866="D",1,0)+IF(DZ866="D",1,0)+IF(EH866="D",1,0)</f>
        <v>0</v>
      </c>
      <c r="AY866" s="0" t="n">
        <f aca="false">COUNTIF(DU866:EH866, "&lt;&gt;")</f>
        <v>0</v>
      </c>
      <c r="AZ866" s="0" t="n">
        <f aca="false">IF(EH866&lt;&gt;"",1,0)</f>
        <v>0</v>
      </c>
      <c r="BB866" s="0" t="s">
        <v>152</v>
      </c>
      <c r="BS866" s="0" t="s">
        <v>153</v>
      </c>
    </row>
    <row r="867" customFormat="false" ht="13.8" hidden="true" customHeight="false" outlineLevel="0" collapsed="false">
      <c r="A867" s="0" t="s">
        <v>4317</v>
      </c>
      <c r="B867" s="0" t="n">
        <v>78</v>
      </c>
      <c r="C867" s="0" t="n">
        <v>364244</v>
      </c>
      <c r="D867" s="0" t="s">
        <v>4318</v>
      </c>
      <c r="E867" s="0" t="s">
        <v>4319</v>
      </c>
      <c r="F867" s="0" t="str">
        <f aca="false">CONCATENATE(D867," ",LEFT(H867,4),"T=",AU867,"D=",AV867,"R=",AW867,"M=",AX867,"L=",AY867,"B=",AZ867)</f>
        <v>GROVES T=33D=8R=0M=0L=0B=0</v>
      </c>
      <c r="G867" s="0" t="s">
        <v>670</v>
      </c>
      <c r="I867" s="0" t="s">
        <v>4320</v>
      </c>
      <c r="J867" s="0" t="s">
        <v>386</v>
      </c>
      <c r="K867" s="0" t="s">
        <v>160</v>
      </c>
      <c r="M867" s="0" t="s">
        <v>4316</v>
      </c>
      <c r="N867" s="0" t="str">
        <f aca="false">RIGHT(M867,LEN(M867)-FIND(" ",M867))</f>
        <v>HOMEWOOD AVE SE</v>
      </c>
      <c r="P867" s="0" t="s">
        <v>145</v>
      </c>
      <c r="Q867" s="0" t="s">
        <v>146</v>
      </c>
      <c r="R867" s="0" t="n">
        <v>44483</v>
      </c>
      <c r="AD867" s="0" t="s">
        <v>147</v>
      </c>
      <c r="AE867" s="0" t="s">
        <v>148</v>
      </c>
      <c r="AF867" s="0" t="s">
        <v>149</v>
      </c>
      <c r="AH867" s="0" t="n">
        <v>14</v>
      </c>
      <c r="AI867" s="0" t="n">
        <v>11</v>
      </c>
      <c r="AN867" s="0" t="s">
        <v>145</v>
      </c>
      <c r="AO867" s="0" t="s">
        <v>150</v>
      </c>
      <c r="AP867" s="0" t="s">
        <v>151</v>
      </c>
      <c r="AQ867" s="0" t="n">
        <v>9</v>
      </c>
      <c r="AR867" s="0" t="n">
        <v>64</v>
      </c>
      <c r="AS867" s="0" t="n">
        <v>32</v>
      </c>
      <c r="AU867" s="0" t="n">
        <f aca="false">COUNTA($BA$842:$EH$842)</f>
        <v>33</v>
      </c>
      <c r="AV867" s="0" t="n">
        <f aca="false">COUNTIF($BA$842:$EH$842,"D")</f>
        <v>8</v>
      </c>
      <c r="AW867" s="0" t="n">
        <f aca="false">COUNTIF($BA$842:$EH$842,"R")</f>
        <v>0</v>
      </c>
      <c r="AX867" s="0" t="n">
        <f aca="false">IF(BN867="D",1,0)+IF(BO867="D",1,0)+IF(BT867="D",1,0)+IF(BU867="D",1,0)+IF(BW867="D",1,0)+IF(CC867="D",1,0)+IF(CD867="D",1,0)+IF(CE867="D",1,0)+IF(CF867="D",1,0)+IF(CL867="D",1,0)+IF(CM867="D",1,0)+IF(CQ867="D",1,0)+IF(CR867="D",1,0)+IF(CS867="D",1,0)+IF(CW867="D",1,0)+IF(CX867="D",1,0)+IF(DD867="D",1,0)+IF(DE867="D",1,0)+IF(DJ867="D",1,0)+IF(DK867="D",1,0)+IF(DO867="D",1,0)+IF(DP867="D",1,0)+IF(DQ867="D",1,0)+IF(DW867="D",1,0)+IF(DZ867="D",1,0)+IF(EH867="D",1,0)</f>
        <v>0</v>
      </c>
      <c r="AY867" s="0" t="n">
        <f aca="false">COUNTIF(DU867:EH867, "&lt;&gt;")</f>
        <v>0</v>
      </c>
      <c r="AZ867" s="0" t="n">
        <f aca="false">IF(EH867&lt;&gt;"",1,0)</f>
        <v>0</v>
      </c>
      <c r="BB867" s="0" t="s">
        <v>152</v>
      </c>
    </row>
    <row r="868" customFormat="false" ht="13.8" hidden="true" customHeight="false" outlineLevel="0" collapsed="false">
      <c r="A868" s="0" t="s">
        <v>4321</v>
      </c>
      <c r="B868" s="0" t="n">
        <v>78</v>
      </c>
      <c r="C868" s="0" t="n">
        <v>487456</v>
      </c>
      <c r="D868" s="0" t="s">
        <v>4322</v>
      </c>
      <c r="E868" s="0" t="s">
        <v>331</v>
      </c>
      <c r="F868" s="0" t="str">
        <f aca="false">CONCATENATE(D868," ",LEFT(H868,4),"T=",AU868,"D=",AV868,"R=",AW868,"M=",AX868,"L=",AY868,"B=",AZ868)</f>
        <v>KENMORE T=22D=5R=0M=0L=0B=0</v>
      </c>
      <c r="G868" s="0" t="s">
        <v>686</v>
      </c>
      <c r="I868" s="0" t="s">
        <v>743</v>
      </c>
      <c r="J868" s="0" t="s">
        <v>1253</v>
      </c>
      <c r="K868" s="0" t="s">
        <v>143</v>
      </c>
      <c r="M868" s="0" t="s">
        <v>4323</v>
      </c>
      <c r="N868" s="0" t="str">
        <f aca="false">RIGHT(M868,LEN(M868)-FIND(" ",M868))</f>
        <v>HOMEWOOD AVE SE</v>
      </c>
      <c r="P868" s="0" t="s">
        <v>145</v>
      </c>
      <c r="Q868" s="0" t="s">
        <v>146</v>
      </c>
      <c r="R868" s="0" t="n">
        <v>44483</v>
      </c>
      <c r="AD868" s="0" t="s">
        <v>147</v>
      </c>
      <c r="AE868" s="0" t="s">
        <v>148</v>
      </c>
      <c r="AF868" s="0" t="s">
        <v>149</v>
      </c>
      <c r="AH868" s="0" t="n">
        <v>14</v>
      </c>
      <c r="AI868" s="0" t="n">
        <v>11</v>
      </c>
      <c r="AN868" s="0" t="s">
        <v>145</v>
      </c>
      <c r="AO868" s="0" t="s">
        <v>150</v>
      </c>
      <c r="AP868" s="0" t="s">
        <v>151</v>
      </c>
      <c r="AQ868" s="0" t="n">
        <v>9</v>
      </c>
      <c r="AR868" s="0" t="n">
        <v>64</v>
      </c>
      <c r="AS868" s="0" t="n">
        <v>32</v>
      </c>
      <c r="AU868" s="0" t="n">
        <f aca="false">COUNTA($BA$1067:$EH$1067)</f>
        <v>22</v>
      </c>
      <c r="AV868" s="0" t="n">
        <f aca="false">COUNTIF($BA$1067:$EH$1067,"D")</f>
        <v>5</v>
      </c>
      <c r="AW868" s="0" t="n">
        <f aca="false">COUNTIF($BA$1067:$EH$1067,"R")</f>
        <v>0</v>
      </c>
      <c r="AX868" s="0" t="n">
        <f aca="false">IF(BN868="D",1,0)+IF(BO868="D",1,0)+IF(BT868="D",1,0)+IF(BU868="D",1,0)+IF(BW868="D",1,0)+IF(CC868="D",1,0)+IF(CD868="D",1,0)+IF(CE868="D",1,0)+IF(CF868="D",1,0)+IF(CL868="D",1,0)+IF(CM868="D",1,0)+IF(CQ868="D",1,0)+IF(CR868="D",1,0)+IF(CS868="D",1,0)+IF(CW868="D",1,0)+IF(CX868="D",1,0)+IF(DD868="D",1,0)+IF(DE868="D",1,0)+IF(DJ868="D",1,0)+IF(DK868="D",1,0)+IF(DO868="D",1,0)+IF(DP868="D",1,0)+IF(DQ868="D",1,0)+IF(DW868="D",1,0)+IF(DZ868="D",1,0)+IF(EH868="D",1,0)</f>
        <v>0</v>
      </c>
      <c r="AY868" s="0" t="n">
        <f aca="false">COUNTIF(DU868:EH868, "&lt;&gt;")</f>
        <v>0</v>
      </c>
      <c r="AZ868" s="0" t="n">
        <f aca="false">IF(EH868&lt;&gt;"",1,0)</f>
        <v>0</v>
      </c>
      <c r="BB868" s="0" t="s">
        <v>152</v>
      </c>
    </row>
    <row r="869" customFormat="false" ht="13.8" hidden="false" customHeight="false" outlineLevel="0" collapsed="false">
      <c r="A869" s="0" t="s">
        <v>4324</v>
      </c>
      <c r="B869" s="0" t="n">
        <v>78</v>
      </c>
      <c r="C869" s="0" t="n">
        <v>174822</v>
      </c>
      <c r="D869" s="0" t="s">
        <v>4325</v>
      </c>
      <c r="E869" s="0" t="s">
        <v>4326</v>
      </c>
      <c r="F869" s="0" t="str">
        <f aca="false">CONCATENATE(D869," ",LEFT(H869,4),"T=",AU869,"D=",AV869,"R=",AW869,"M=",AX869,"L=",AY869,"B=",AZ869)</f>
        <v>WEATHERBY T=2D=0R=0M=3L=6B=0</v>
      </c>
      <c r="I869" s="0" t="s">
        <v>4327</v>
      </c>
      <c r="J869" s="0" t="s">
        <v>4328</v>
      </c>
      <c r="K869" s="0" t="s">
        <v>160</v>
      </c>
      <c r="L869" s="0" t="s">
        <v>209</v>
      </c>
      <c r="M869" s="0" t="s">
        <v>4329</v>
      </c>
      <c r="N869" s="0" t="str">
        <f aca="false">RIGHT(M869,LEN(M869)-FIND(" ",M869))</f>
        <v>HOMEWOOD AVE SE</v>
      </c>
      <c r="P869" s="0" t="s">
        <v>145</v>
      </c>
      <c r="Q869" s="0" t="s">
        <v>146</v>
      </c>
      <c r="R869" s="0" t="n">
        <v>44483</v>
      </c>
      <c r="AD869" s="0" t="s">
        <v>147</v>
      </c>
      <c r="AE869" s="0" t="s">
        <v>148</v>
      </c>
      <c r="AF869" s="0" t="s">
        <v>149</v>
      </c>
      <c r="AH869" s="0" t="n">
        <v>14</v>
      </c>
      <c r="AI869" s="0" t="n">
        <v>11</v>
      </c>
      <c r="AN869" s="0" t="s">
        <v>145</v>
      </c>
      <c r="AO869" s="0" t="s">
        <v>150</v>
      </c>
      <c r="AP869" s="0" t="s">
        <v>151</v>
      </c>
      <c r="AQ869" s="0" t="n">
        <v>9</v>
      </c>
      <c r="AR869" s="0" t="n">
        <v>64</v>
      </c>
      <c r="AS869" s="0" t="n">
        <v>32</v>
      </c>
      <c r="AU869" s="0" t="n">
        <f aca="false">COUNTA($BA$844:$EH$844)</f>
        <v>2</v>
      </c>
      <c r="AV869" s="0" t="n">
        <f aca="false">COUNTIF($BA$844:$EH$844,"D")</f>
        <v>0</v>
      </c>
      <c r="AW869" s="0" t="n">
        <f aca="false">COUNTIF($BA$844:$EH$844,"R")</f>
        <v>0</v>
      </c>
      <c r="AX869" s="0" t="n">
        <f aca="false">IF(BN869="D",1,0)+IF(BO869="D",1,0)+IF(BT869="D",1,0)+IF(BU869="D",1,0)+IF(BW869="D",1,0)+IF(CC869="D",1,0)+IF(CD869="D",1,0)+IF(CE869="D",1,0)+IF(CF869="D",1,0)+IF(CL869="D",1,0)+IF(CM869="D",1,0)+IF(CQ869="D",1,0)+IF(CR869="D",1,0)+IF(CS869="D",1,0)+IF(CW869="D",1,0)+IF(CX869="D",1,0)+IF(DD869="D",1,0)+IF(DE869="D",1,0)+IF(DJ869="D",1,0)+IF(DK869="D",1,0)+IF(DO869="D",1,0)+IF(DP869="D",1,0)+IF(DQ869="D",1,0)+IF(DW869="D",1,0)+IF(DZ869="D",1,0)+IF(EH869="D",1,0)</f>
        <v>3</v>
      </c>
      <c r="AY869" s="0" t="n">
        <f aca="false">COUNTIF(DU869:EH869, "&lt;&gt;")</f>
        <v>6</v>
      </c>
      <c r="AZ869" s="0" t="n">
        <f aca="false">IF(EH869&lt;&gt;"",1,0)</f>
        <v>0</v>
      </c>
      <c r="BB869" s="0" t="s">
        <v>152</v>
      </c>
      <c r="BC869" s="0" t="s">
        <v>153</v>
      </c>
      <c r="BD869" s="0" t="s">
        <v>153</v>
      </c>
      <c r="BF869" s="0" t="s">
        <v>153</v>
      </c>
      <c r="BG869" s="0" t="s">
        <v>153</v>
      </c>
      <c r="BH869" s="0" t="s">
        <v>153</v>
      </c>
      <c r="BI869" s="0" t="s">
        <v>153</v>
      </c>
      <c r="BJ869" s="0" t="s">
        <v>153</v>
      </c>
      <c r="BK869" s="0" t="s">
        <v>153</v>
      </c>
      <c r="BL869" s="0" t="s">
        <v>153</v>
      </c>
      <c r="BP869" s="0" t="s">
        <v>153</v>
      </c>
      <c r="BR869" s="0" t="s">
        <v>153</v>
      </c>
      <c r="BS869" s="0" t="s">
        <v>153</v>
      </c>
      <c r="BV869" s="0" t="s">
        <v>153</v>
      </c>
      <c r="BY869" s="0" t="s">
        <v>175</v>
      </c>
      <c r="CA869" s="0" t="s">
        <v>153</v>
      </c>
      <c r="CH869" s="0" t="s">
        <v>175</v>
      </c>
      <c r="CK869" s="0" t="s">
        <v>153</v>
      </c>
      <c r="CL869" s="0" t="s">
        <v>175</v>
      </c>
      <c r="CN869" s="0" t="s">
        <v>153</v>
      </c>
      <c r="CO869" s="0" t="s">
        <v>175</v>
      </c>
      <c r="CP869" s="0" t="s">
        <v>153</v>
      </c>
      <c r="CT869" s="0" t="s">
        <v>153</v>
      </c>
      <c r="CY869" s="0" t="s">
        <v>153</v>
      </c>
      <c r="CZ869" s="0" t="s">
        <v>175</v>
      </c>
      <c r="DC869" s="0" t="s">
        <v>153</v>
      </c>
      <c r="DF869" s="0" t="s">
        <v>153</v>
      </c>
      <c r="DI869" s="0" t="s">
        <v>153</v>
      </c>
      <c r="DJ869" s="0" t="s">
        <v>175</v>
      </c>
      <c r="DL869" s="0" t="s">
        <v>153</v>
      </c>
      <c r="DN869" s="0" t="s">
        <v>153</v>
      </c>
      <c r="DR869" s="0" t="s">
        <v>153</v>
      </c>
      <c r="DS869" s="0" t="s">
        <v>209</v>
      </c>
      <c r="DT869" s="0" t="s">
        <v>209</v>
      </c>
      <c r="DU869" s="0" t="s">
        <v>153</v>
      </c>
      <c r="DW869" s="0" t="s">
        <v>175</v>
      </c>
      <c r="DX869" s="0" t="s">
        <v>153</v>
      </c>
      <c r="EA869" s="0" t="s">
        <v>153</v>
      </c>
      <c r="ED869" s="0" t="s">
        <v>209</v>
      </c>
      <c r="EF869" s="0" t="s">
        <v>153</v>
      </c>
    </row>
    <row r="870" customFormat="false" ht="13.8" hidden="false" customHeight="false" outlineLevel="0" collapsed="false">
      <c r="A870" s="0" t="s">
        <v>4330</v>
      </c>
      <c r="B870" s="0" t="n">
        <v>78</v>
      </c>
      <c r="C870" s="0" t="n">
        <v>178256</v>
      </c>
      <c r="D870" s="0" t="s">
        <v>4331</v>
      </c>
      <c r="E870" s="0" t="s">
        <v>1193</v>
      </c>
      <c r="F870" s="0" t="str">
        <f aca="false">CONCATENATE(D870," ",LEFT(H870,4),"T=",AU870,"D=",AV870,"R=",AW870,"M=",AX870,"L=",AY870,"B=",AZ870)</f>
        <v>OROURKE T=1D=0R=0M=1L=6B=0</v>
      </c>
      <c r="G870" s="0" t="s">
        <v>1128</v>
      </c>
      <c r="I870" s="0" t="s">
        <v>4332</v>
      </c>
      <c r="J870" s="0" t="s">
        <v>4333</v>
      </c>
      <c r="K870" s="0" t="s">
        <v>160</v>
      </c>
      <c r="L870" s="0" t="s">
        <v>209</v>
      </c>
      <c r="M870" s="0" t="s">
        <v>4329</v>
      </c>
      <c r="N870" s="0" t="str">
        <f aca="false">RIGHT(M870,LEN(M870)-FIND(" ",M870))</f>
        <v>HOMEWOOD AVE SE</v>
      </c>
      <c r="P870" s="0" t="s">
        <v>145</v>
      </c>
      <c r="Q870" s="0" t="s">
        <v>146</v>
      </c>
      <c r="R870" s="0" t="n">
        <v>44483</v>
      </c>
      <c r="AD870" s="0" t="s">
        <v>147</v>
      </c>
      <c r="AE870" s="0" t="s">
        <v>148</v>
      </c>
      <c r="AF870" s="0" t="s">
        <v>149</v>
      </c>
      <c r="AH870" s="0" t="n">
        <v>14</v>
      </c>
      <c r="AI870" s="0" t="n">
        <v>11</v>
      </c>
      <c r="AN870" s="0" t="s">
        <v>145</v>
      </c>
      <c r="AO870" s="0" t="s">
        <v>150</v>
      </c>
      <c r="AP870" s="0" t="s">
        <v>151</v>
      </c>
      <c r="AQ870" s="0" t="n">
        <v>9</v>
      </c>
      <c r="AR870" s="0" t="n">
        <v>64</v>
      </c>
      <c r="AS870" s="0" t="n">
        <v>32</v>
      </c>
      <c r="AU870" s="0" t="n">
        <f aca="false">COUNTA($BA$879:$EH$879)</f>
        <v>1</v>
      </c>
      <c r="AV870" s="0" t="n">
        <f aca="false">COUNTIF($BA$879:$EH$879,"D")</f>
        <v>0</v>
      </c>
      <c r="AW870" s="0" t="n">
        <f aca="false">COUNTIF($BA$879:$EH$879,"R")</f>
        <v>0</v>
      </c>
      <c r="AX870" s="0" t="n">
        <f aca="false">IF(BN870="D",1,0)+IF(BO870="D",1,0)+IF(BT870="D",1,0)+IF(BU870="D",1,0)+IF(BW870="D",1,0)+IF(CC870="D",1,0)+IF(CD870="D",1,0)+IF(CE870="D",1,0)+IF(CF870="D",1,0)+IF(CL870="D",1,0)+IF(CM870="D",1,0)+IF(CQ870="D",1,0)+IF(CR870="D",1,0)+IF(CS870="D",1,0)+IF(CW870="D",1,0)+IF(CX870="D",1,0)+IF(DD870="D",1,0)+IF(DE870="D",1,0)+IF(DJ870="D",1,0)+IF(DK870="D",1,0)+IF(DO870="D",1,0)+IF(DP870="D",1,0)+IF(DQ870="D",1,0)+IF(DW870="D",1,0)+IF(DZ870="D",1,0)+IF(EH870="D",1,0)</f>
        <v>1</v>
      </c>
      <c r="AY870" s="0" t="n">
        <f aca="false">COUNTIF(DU870:EH870, "&lt;&gt;")</f>
        <v>6</v>
      </c>
      <c r="AZ870" s="0" t="n">
        <f aca="false">IF(EH870&lt;&gt;"",1,0)</f>
        <v>0</v>
      </c>
      <c r="BB870" s="0" t="s">
        <v>152</v>
      </c>
      <c r="BC870" s="0" t="s">
        <v>153</v>
      </c>
      <c r="BD870" s="0" t="s">
        <v>153</v>
      </c>
      <c r="BS870" s="0" t="s">
        <v>153</v>
      </c>
      <c r="BV870" s="0" t="s">
        <v>153</v>
      </c>
      <c r="BY870" s="0" t="s">
        <v>175</v>
      </c>
      <c r="CA870" s="0" t="s">
        <v>153</v>
      </c>
      <c r="CN870" s="0" t="s">
        <v>153</v>
      </c>
      <c r="CP870" s="0" t="s">
        <v>153</v>
      </c>
      <c r="CY870" s="0" t="s">
        <v>153</v>
      </c>
      <c r="CZ870" s="0" t="s">
        <v>175</v>
      </c>
      <c r="DC870" s="0" t="s">
        <v>153</v>
      </c>
      <c r="DF870" s="0" t="s">
        <v>153</v>
      </c>
      <c r="DI870" s="0" t="s">
        <v>153</v>
      </c>
      <c r="DL870" s="0" t="s">
        <v>153</v>
      </c>
      <c r="DN870" s="0" t="s">
        <v>153</v>
      </c>
      <c r="DR870" s="0" t="s">
        <v>153</v>
      </c>
      <c r="DS870" s="0" t="s">
        <v>209</v>
      </c>
      <c r="DT870" s="0" t="s">
        <v>209</v>
      </c>
      <c r="DU870" s="0" t="s">
        <v>153</v>
      </c>
      <c r="DW870" s="0" t="s">
        <v>175</v>
      </c>
      <c r="DX870" s="0" t="s">
        <v>153</v>
      </c>
      <c r="EA870" s="0" t="s">
        <v>153</v>
      </c>
      <c r="ED870" s="0" t="s">
        <v>209</v>
      </c>
      <c r="EF870" s="0" t="s">
        <v>153</v>
      </c>
    </row>
    <row r="871" customFormat="false" ht="13.8" hidden="true" customHeight="false" outlineLevel="0" collapsed="false">
      <c r="A871" s="0" t="s">
        <v>4334</v>
      </c>
      <c r="B871" s="0" t="n">
        <v>78</v>
      </c>
      <c r="C871" s="0" t="n">
        <v>325354</v>
      </c>
      <c r="D871" s="0" t="s">
        <v>4335</v>
      </c>
      <c r="E871" s="0" t="s">
        <v>4336</v>
      </c>
      <c r="F871" s="0" t="str">
        <f aca="false">CONCATENATE(D871," ",LEFT(H871,4),"T=",AU871,"D=",AV871,"R=",AW871,"M=",AX871,"L=",AY871,"B=",AZ871)</f>
        <v>WISHART KILLIAS T=1D=0R=0M=0L=0B=0</v>
      </c>
      <c r="G871" s="0" t="s">
        <v>190</v>
      </c>
      <c r="I871" s="0" t="s">
        <v>4337</v>
      </c>
      <c r="J871" s="0" t="s">
        <v>4338</v>
      </c>
      <c r="K871" s="0" t="s">
        <v>143</v>
      </c>
      <c r="M871" s="0" t="s">
        <v>4339</v>
      </c>
      <c r="N871" s="0" t="str">
        <f aca="false">RIGHT(M871,LEN(M871)-FIND(" ",M871))</f>
        <v>HOMEWOOD AVE SE</v>
      </c>
      <c r="P871" s="0" t="s">
        <v>145</v>
      </c>
      <c r="Q871" s="0" t="s">
        <v>146</v>
      </c>
      <c r="R871" s="0" t="n">
        <v>44483</v>
      </c>
      <c r="AD871" s="0" t="s">
        <v>147</v>
      </c>
      <c r="AE871" s="0" t="s">
        <v>148</v>
      </c>
      <c r="AF871" s="0" t="s">
        <v>149</v>
      </c>
      <c r="AH871" s="0" t="n">
        <v>14</v>
      </c>
      <c r="AI871" s="0" t="n">
        <v>11</v>
      </c>
      <c r="AN871" s="0" t="s">
        <v>145</v>
      </c>
      <c r="AO871" s="0" t="s">
        <v>150</v>
      </c>
      <c r="AP871" s="0" t="s">
        <v>151</v>
      </c>
      <c r="AQ871" s="0" t="n">
        <v>9</v>
      </c>
      <c r="AR871" s="0" t="n">
        <v>64</v>
      </c>
      <c r="AS871" s="0" t="n">
        <v>32</v>
      </c>
      <c r="AU871" s="0" t="n">
        <f aca="false">COUNTA($BA$486:$EH$486)</f>
        <v>1</v>
      </c>
      <c r="AV871" s="0" t="n">
        <f aca="false">COUNTIF($BA$486:$EH$486,"D")</f>
        <v>0</v>
      </c>
      <c r="AW871" s="0" t="n">
        <f aca="false">COUNTIF($BA$486:$EH$486,"R")</f>
        <v>0</v>
      </c>
      <c r="AX871" s="0" t="n">
        <f aca="false">IF(BN871="D",1,0)+IF(BO871="D",1,0)+IF(BT871="D",1,0)+IF(BU871="D",1,0)+IF(BW871="D",1,0)+IF(CC871="D",1,0)+IF(CD871="D",1,0)+IF(CE871="D",1,0)+IF(CF871="D",1,0)+IF(CL871="D",1,0)+IF(CM871="D",1,0)+IF(CQ871="D",1,0)+IF(CR871="D",1,0)+IF(CS871="D",1,0)+IF(CW871="D",1,0)+IF(CX871="D",1,0)+IF(DD871="D",1,0)+IF(DE871="D",1,0)+IF(DJ871="D",1,0)+IF(DK871="D",1,0)+IF(DO871="D",1,0)+IF(DP871="D",1,0)+IF(DQ871="D",1,0)+IF(DW871="D",1,0)+IF(DZ871="D",1,0)+IF(EH871="D",1,0)</f>
        <v>0</v>
      </c>
      <c r="AY871" s="0" t="n">
        <f aca="false">COUNTIF(DU871:EH871, "&lt;&gt;")</f>
        <v>0</v>
      </c>
      <c r="AZ871" s="0" t="n">
        <f aca="false">IF(EH871&lt;&gt;"",1,0)</f>
        <v>0</v>
      </c>
      <c r="BB871" s="0" t="s">
        <v>152</v>
      </c>
      <c r="BL871" s="0" t="s">
        <v>153</v>
      </c>
      <c r="BS871" s="0" t="s">
        <v>153</v>
      </c>
      <c r="BY871" s="0" t="s">
        <v>175</v>
      </c>
      <c r="CA871" s="0" t="s">
        <v>153</v>
      </c>
      <c r="CP871" s="0" t="s">
        <v>153</v>
      </c>
      <c r="CY871" s="0" t="s">
        <v>153</v>
      </c>
      <c r="CZ871" s="0" t="s">
        <v>175</v>
      </c>
      <c r="DC871" s="0" t="s">
        <v>153</v>
      </c>
      <c r="DI871" s="0" t="s">
        <v>153</v>
      </c>
      <c r="DN871" s="0" t="s">
        <v>153</v>
      </c>
    </row>
    <row r="872" customFormat="false" ht="13.8" hidden="true" customHeight="false" outlineLevel="0" collapsed="false">
      <c r="A872" s="0" t="s">
        <v>4340</v>
      </c>
      <c r="B872" s="0" t="n">
        <v>78</v>
      </c>
      <c r="C872" s="0" t="n">
        <v>492820</v>
      </c>
      <c r="D872" s="0" t="s">
        <v>4341</v>
      </c>
      <c r="E872" s="0" t="s">
        <v>648</v>
      </c>
      <c r="F872" s="0" t="str">
        <f aca="false">CONCATENATE(D872," ",LEFT(H872,4),"T=",AU872,"D=",AV872,"R=",AW872,"M=",AX872,"L=",AY872,"B=",AZ872)</f>
        <v>KILLIAS T=1D=0R=0M=0L=0B=0</v>
      </c>
      <c r="G872" s="0" t="s">
        <v>719</v>
      </c>
      <c r="I872" s="0" t="s">
        <v>2668</v>
      </c>
      <c r="J872" s="0" t="s">
        <v>404</v>
      </c>
      <c r="K872" s="0" t="s">
        <v>160</v>
      </c>
      <c r="M872" s="0" t="s">
        <v>4339</v>
      </c>
      <c r="N872" s="0" t="str">
        <f aca="false">RIGHT(M872,LEN(M872)-FIND(" ",M872))</f>
        <v>HOMEWOOD AVE SE</v>
      </c>
      <c r="P872" s="0" t="s">
        <v>145</v>
      </c>
      <c r="Q872" s="0" t="s">
        <v>146</v>
      </c>
      <c r="R872" s="0" t="n">
        <v>44483</v>
      </c>
      <c r="AD872" s="0" t="s">
        <v>147</v>
      </c>
      <c r="AE872" s="0" t="s">
        <v>148</v>
      </c>
      <c r="AF872" s="0" t="s">
        <v>149</v>
      </c>
      <c r="AH872" s="0" t="n">
        <v>14</v>
      </c>
      <c r="AI872" s="0" t="n">
        <v>11</v>
      </c>
      <c r="AN872" s="0" t="s">
        <v>145</v>
      </c>
      <c r="AO872" s="0" t="s">
        <v>150</v>
      </c>
      <c r="AP872" s="0" t="s">
        <v>151</v>
      </c>
      <c r="AQ872" s="0" t="n">
        <v>9</v>
      </c>
      <c r="AR872" s="0" t="n">
        <v>64</v>
      </c>
      <c r="AS872" s="0" t="n">
        <v>32</v>
      </c>
      <c r="AU872" s="0" t="n">
        <f aca="false">COUNTA($BA$527:$EH$527)</f>
        <v>1</v>
      </c>
      <c r="AV872" s="0" t="n">
        <f aca="false">COUNTIF($BA$527:$EH$527,"D")</f>
        <v>0</v>
      </c>
      <c r="AW872" s="0" t="n">
        <f aca="false">COUNTIF($BA$527:$EH$527,"R")</f>
        <v>0</v>
      </c>
      <c r="AX872" s="0" t="n">
        <f aca="false">IF(BN872="D",1,0)+IF(BO872="D",1,0)+IF(BT872="D",1,0)+IF(BU872="D",1,0)+IF(BW872="D",1,0)+IF(CC872="D",1,0)+IF(CD872="D",1,0)+IF(CE872="D",1,0)+IF(CF872="D",1,0)+IF(CL872="D",1,0)+IF(CM872="D",1,0)+IF(CQ872="D",1,0)+IF(CR872="D",1,0)+IF(CS872="D",1,0)+IF(CW872="D",1,0)+IF(CX872="D",1,0)+IF(DD872="D",1,0)+IF(DE872="D",1,0)+IF(DJ872="D",1,0)+IF(DK872="D",1,0)+IF(DO872="D",1,0)+IF(DP872="D",1,0)+IF(DQ872="D",1,0)+IF(DW872="D",1,0)+IF(DZ872="D",1,0)+IF(EH872="D",1,0)</f>
        <v>0</v>
      </c>
      <c r="AY872" s="0" t="n">
        <f aca="false">COUNTIF(DU872:EH872, "&lt;&gt;")</f>
        <v>0</v>
      </c>
      <c r="AZ872" s="0" t="n">
        <f aca="false">IF(EH872&lt;&gt;"",1,0)</f>
        <v>0</v>
      </c>
      <c r="BB872" s="0" t="s">
        <v>152</v>
      </c>
    </row>
    <row r="873" customFormat="false" ht="13.8" hidden="true" customHeight="false" outlineLevel="0" collapsed="false">
      <c r="A873" s="0" t="s">
        <v>4342</v>
      </c>
      <c r="B873" s="0" t="n">
        <v>78</v>
      </c>
      <c r="C873" s="0" t="n">
        <v>413330</v>
      </c>
      <c r="D873" s="0" t="s">
        <v>4341</v>
      </c>
      <c r="E873" s="0" t="s">
        <v>4343</v>
      </c>
      <c r="F873" s="0" t="str">
        <f aca="false">CONCATENATE(D873," ",LEFT(H873,4),"T=",AU873,"D=",AV873,"R=",AW873,"M=",AX873,"L=",AY873,"B=",AZ873)</f>
        <v>KILLIAS T=1D=0R=0M=0L=1B=0</v>
      </c>
      <c r="G873" s="0" t="s">
        <v>307</v>
      </c>
      <c r="I873" s="0" t="s">
        <v>4344</v>
      </c>
      <c r="J873" s="0" t="s">
        <v>4345</v>
      </c>
      <c r="K873" s="0" t="s">
        <v>160</v>
      </c>
      <c r="M873" s="0" t="s">
        <v>4339</v>
      </c>
      <c r="N873" s="0" t="str">
        <f aca="false">RIGHT(M873,LEN(M873)-FIND(" ",M873))</f>
        <v>HOMEWOOD AVE SE</v>
      </c>
      <c r="P873" s="0" t="s">
        <v>145</v>
      </c>
      <c r="Q873" s="0" t="s">
        <v>146</v>
      </c>
      <c r="R873" s="0" t="n">
        <v>44483</v>
      </c>
      <c r="AD873" s="0" t="s">
        <v>147</v>
      </c>
      <c r="AE873" s="0" t="s">
        <v>148</v>
      </c>
      <c r="AF873" s="0" t="s">
        <v>149</v>
      </c>
      <c r="AH873" s="0" t="n">
        <v>14</v>
      </c>
      <c r="AI873" s="0" t="n">
        <v>11</v>
      </c>
      <c r="AN873" s="0" t="s">
        <v>145</v>
      </c>
      <c r="AO873" s="0" t="s">
        <v>150</v>
      </c>
      <c r="AP873" s="0" t="s">
        <v>151</v>
      </c>
      <c r="AQ873" s="0" t="n">
        <v>9</v>
      </c>
      <c r="AR873" s="0" t="n">
        <v>64</v>
      </c>
      <c r="AS873" s="0" t="n">
        <v>32</v>
      </c>
      <c r="AU873" s="0" t="n">
        <f aca="false">COUNTA($BA$560:$EH$560)</f>
        <v>1</v>
      </c>
      <c r="AV873" s="0" t="n">
        <f aca="false">COUNTIF($BA$560:$EH$560,"D")</f>
        <v>0</v>
      </c>
      <c r="AW873" s="0" t="n">
        <f aca="false">COUNTIF($BA$560:$EH$560,"R")</f>
        <v>0</v>
      </c>
      <c r="AX873" s="0" t="n">
        <f aca="false">IF(BN873="D",1,0)+IF(BO873="D",1,0)+IF(BT873="D",1,0)+IF(BU873="D",1,0)+IF(BW873="D",1,0)+IF(CC873="D",1,0)+IF(CD873="D",1,0)+IF(CE873="D",1,0)+IF(CF873="D",1,0)+IF(CL873="D",1,0)+IF(CM873="D",1,0)+IF(CQ873="D",1,0)+IF(CR873="D",1,0)+IF(CS873="D",1,0)+IF(CW873="D",1,0)+IF(CX873="D",1,0)+IF(DD873="D",1,0)+IF(DE873="D",1,0)+IF(DJ873="D",1,0)+IF(DK873="D",1,0)+IF(DO873="D",1,0)+IF(DP873="D",1,0)+IF(DQ873="D",1,0)+IF(DW873="D",1,0)+IF(DZ873="D",1,0)+IF(EH873="D",1,0)</f>
        <v>0</v>
      </c>
      <c r="AY873" s="0" t="n">
        <f aca="false">COUNTIF(DU873:EH873, "&lt;&gt;")</f>
        <v>1</v>
      </c>
      <c r="AZ873" s="0" t="n">
        <f aca="false">IF(EH873&lt;&gt;"",1,0)</f>
        <v>0</v>
      </c>
      <c r="BB873" s="0" t="s">
        <v>152</v>
      </c>
      <c r="CZ873" s="0" t="s">
        <v>175</v>
      </c>
      <c r="EF873" s="0" t="s">
        <v>153</v>
      </c>
    </row>
    <row r="874" customFormat="false" ht="13.8" hidden="false" customHeight="false" outlineLevel="0" collapsed="false">
      <c r="A874" s="0" t="s">
        <v>4346</v>
      </c>
      <c r="B874" s="0" t="n">
        <v>78</v>
      </c>
      <c r="C874" s="0" t="n">
        <v>379611</v>
      </c>
      <c r="D874" s="0" t="s">
        <v>4341</v>
      </c>
      <c r="E874" s="0" t="s">
        <v>2847</v>
      </c>
      <c r="F874" s="0" t="str">
        <f aca="false">CONCATENATE(D874," ",LEFT(H874,4),"T=",AU874,"D=",AV874,"R=",AW874,"M=",AX874,"L=",AY874,"B=",AZ874)</f>
        <v>KILLIAS T=2D=0R=0M=0L=4B=0</v>
      </c>
      <c r="G874" s="0" t="s">
        <v>4203</v>
      </c>
      <c r="I874" s="0" t="s">
        <v>4347</v>
      </c>
      <c r="J874" s="0" t="s">
        <v>727</v>
      </c>
      <c r="K874" s="0" t="s">
        <v>160</v>
      </c>
      <c r="M874" s="0" t="s">
        <v>4339</v>
      </c>
      <c r="N874" s="0" t="str">
        <f aca="false">RIGHT(M874,LEN(M874)-FIND(" ",M874))</f>
        <v>HOMEWOOD AVE SE</v>
      </c>
      <c r="P874" s="0" t="s">
        <v>145</v>
      </c>
      <c r="Q874" s="0" t="s">
        <v>146</v>
      </c>
      <c r="R874" s="0" t="n">
        <v>44483</v>
      </c>
      <c r="AD874" s="0" t="s">
        <v>147</v>
      </c>
      <c r="AE874" s="0" t="s">
        <v>148</v>
      </c>
      <c r="AF874" s="0" t="s">
        <v>149</v>
      </c>
      <c r="AH874" s="0" t="n">
        <v>14</v>
      </c>
      <c r="AI874" s="0" t="n">
        <v>11</v>
      </c>
      <c r="AN874" s="0" t="s">
        <v>145</v>
      </c>
      <c r="AO874" s="0" t="s">
        <v>150</v>
      </c>
      <c r="AP874" s="0" t="s">
        <v>151</v>
      </c>
      <c r="AQ874" s="0" t="n">
        <v>9</v>
      </c>
      <c r="AR874" s="0" t="n">
        <v>64</v>
      </c>
      <c r="AS874" s="0" t="n">
        <v>32</v>
      </c>
      <c r="AU874" s="0" t="n">
        <f aca="false">COUNTA($BA$812:$EH$812)</f>
        <v>2</v>
      </c>
      <c r="AV874" s="0" t="n">
        <f aca="false">COUNTIF($BA$812:$EH$812,"D")</f>
        <v>0</v>
      </c>
      <c r="AW874" s="0" t="n">
        <f aca="false">COUNTIF($BA$812:$EH$812,"R")</f>
        <v>0</v>
      </c>
      <c r="AX874" s="0" t="n">
        <f aca="false">IF(BN874="D",1,0)+IF(BO874="D",1,0)+IF(BT874="D",1,0)+IF(BU874="D",1,0)+IF(BW874="D",1,0)+IF(CC874="D",1,0)+IF(CD874="D",1,0)+IF(CE874="D",1,0)+IF(CF874="D",1,0)+IF(CL874="D",1,0)+IF(CM874="D",1,0)+IF(CQ874="D",1,0)+IF(CR874="D",1,0)+IF(CS874="D",1,0)+IF(CW874="D",1,0)+IF(CX874="D",1,0)+IF(DD874="D",1,0)+IF(DE874="D",1,0)+IF(DJ874="D",1,0)+IF(DK874="D",1,0)+IF(DO874="D",1,0)+IF(DP874="D",1,0)+IF(DQ874="D",1,0)+IF(DW874="D",1,0)+IF(DZ874="D",1,0)+IF(EH874="D",1,0)</f>
        <v>0</v>
      </c>
      <c r="AY874" s="0" t="n">
        <f aca="false">COUNTIF(DU874:EH874, "&lt;&gt;")</f>
        <v>4</v>
      </c>
      <c r="AZ874" s="0" t="n">
        <f aca="false">IF(EH874&lt;&gt;"",1,0)</f>
        <v>0</v>
      </c>
      <c r="BB874" s="0" t="s">
        <v>152</v>
      </c>
      <c r="CP874" s="0" t="s">
        <v>153</v>
      </c>
      <c r="CZ874" s="0" t="s">
        <v>175</v>
      </c>
      <c r="DC874" s="0" t="s">
        <v>153</v>
      </c>
      <c r="DI874" s="0" t="s">
        <v>153</v>
      </c>
      <c r="DN874" s="0" t="s">
        <v>153</v>
      </c>
      <c r="DU874" s="0" t="s">
        <v>153</v>
      </c>
      <c r="DX874" s="0" t="s">
        <v>153</v>
      </c>
      <c r="EA874" s="0" t="s">
        <v>153</v>
      </c>
      <c r="EF874" s="0" t="s">
        <v>153</v>
      </c>
    </row>
    <row r="875" customFormat="false" ht="13.8" hidden="false" customHeight="false" outlineLevel="0" collapsed="false">
      <c r="A875" s="0" t="s">
        <v>4348</v>
      </c>
      <c r="B875" s="0" t="n">
        <v>78</v>
      </c>
      <c r="C875" s="0" t="n">
        <v>231911</v>
      </c>
      <c r="D875" s="0" t="s">
        <v>4341</v>
      </c>
      <c r="E875" s="0" t="s">
        <v>4349</v>
      </c>
      <c r="F875" s="0" t="str">
        <f aca="false">CONCATENATE(D875," ",LEFT(H875,4),"T=",AU875,"D=",AV875,"R=",AW875,"M=",AX875,"L=",AY875,"B=",AZ875)</f>
        <v>KILLIAS T=8D=0R=0M=2L=4B=0</v>
      </c>
      <c r="G875" s="0" t="s">
        <v>325</v>
      </c>
      <c r="I875" s="0" t="s">
        <v>4350</v>
      </c>
      <c r="J875" s="0" t="s">
        <v>4351</v>
      </c>
      <c r="K875" s="0" t="s">
        <v>160</v>
      </c>
      <c r="L875" s="0" t="s">
        <v>175</v>
      </c>
      <c r="M875" s="0" t="s">
        <v>4339</v>
      </c>
      <c r="N875" s="0" t="str">
        <f aca="false">RIGHT(M875,LEN(M875)-FIND(" ",M875))</f>
        <v>HOMEWOOD AVE SE</v>
      </c>
      <c r="P875" s="0" t="s">
        <v>145</v>
      </c>
      <c r="Q875" s="0" t="s">
        <v>146</v>
      </c>
      <c r="R875" s="0" t="n">
        <v>44483</v>
      </c>
      <c r="AD875" s="0" t="s">
        <v>147</v>
      </c>
      <c r="AE875" s="0" t="s">
        <v>148</v>
      </c>
      <c r="AF875" s="0" t="s">
        <v>149</v>
      </c>
      <c r="AH875" s="0" t="n">
        <v>14</v>
      </c>
      <c r="AI875" s="0" t="n">
        <v>11</v>
      </c>
      <c r="AN875" s="0" t="s">
        <v>145</v>
      </c>
      <c r="AO875" s="0" t="s">
        <v>150</v>
      </c>
      <c r="AP875" s="0" t="s">
        <v>151</v>
      </c>
      <c r="AQ875" s="0" t="n">
        <v>9</v>
      </c>
      <c r="AR875" s="0" t="n">
        <v>64</v>
      </c>
      <c r="AS875" s="0" t="n">
        <v>32</v>
      </c>
      <c r="AU875" s="0" t="n">
        <f aca="false">COUNTA($BA$848:$EH$848)</f>
        <v>8</v>
      </c>
      <c r="AV875" s="0" t="n">
        <f aca="false">COUNTIF($BA$848:$EH$848,"D")</f>
        <v>0</v>
      </c>
      <c r="AW875" s="0" t="n">
        <f aca="false">COUNTIF($BA$848:$EH$848,"R")</f>
        <v>0</v>
      </c>
      <c r="AX875" s="0" t="n">
        <f aca="false">IF(BN875="D",1,0)+IF(BO875="D",1,0)+IF(BT875="D",1,0)+IF(BU875="D",1,0)+IF(BW875="D",1,0)+IF(CC875="D",1,0)+IF(CD875="D",1,0)+IF(CE875="D",1,0)+IF(CF875="D",1,0)+IF(CL875="D",1,0)+IF(CM875="D",1,0)+IF(CQ875="D",1,0)+IF(CR875="D",1,0)+IF(CS875="D",1,0)+IF(CW875="D",1,0)+IF(CX875="D",1,0)+IF(DD875="D",1,0)+IF(DE875="D",1,0)+IF(DJ875="D",1,0)+IF(DK875="D",1,0)+IF(DO875="D",1,0)+IF(DP875="D",1,0)+IF(DQ875="D",1,0)+IF(DW875="D",1,0)+IF(DZ875="D",1,0)+IF(EH875="D",1,0)</f>
        <v>2</v>
      </c>
      <c r="AY875" s="0" t="n">
        <f aca="false">COUNTIF(DU875:EH875, "&lt;&gt;")</f>
        <v>4</v>
      </c>
      <c r="AZ875" s="0" t="n">
        <f aca="false">IF(EH875&lt;&gt;"",1,0)</f>
        <v>0</v>
      </c>
      <c r="BB875" s="0" t="s">
        <v>152</v>
      </c>
      <c r="BD875" s="0" t="s">
        <v>153</v>
      </c>
      <c r="BH875" s="0" t="s">
        <v>153</v>
      </c>
      <c r="BL875" s="0" t="s">
        <v>153</v>
      </c>
      <c r="BP875" s="0" t="s">
        <v>153</v>
      </c>
      <c r="BS875" s="0" t="s">
        <v>153</v>
      </c>
      <c r="CA875" s="0" t="s">
        <v>153</v>
      </c>
      <c r="CG875" s="0" t="s">
        <v>153</v>
      </c>
      <c r="CK875" s="0" t="s">
        <v>153</v>
      </c>
      <c r="CL875" s="0" t="s">
        <v>175</v>
      </c>
      <c r="CN875" s="0" t="s">
        <v>153</v>
      </c>
      <c r="CP875" s="0" t="s">
        <v>153</v>
      </c>
      <c r="CY875" s="0" t="s">
        <v>153</v>
      </c>
      <c r="CZ875" s="0" t="s">
        <v>175</v>
      </c>
      <c r="DC875" s="0" t="s">
        <v>153</v>
      </c>
      <c r="DI875" s="0" t="s">
        <v>153</v>
      </c>
      <c r="DL875" s="0" t="s">
        <v>153</v>
      </c>
      <c r="DN875" s="0" t="s">
        <v>153</v>
      </c>
      <c r="DW875" s="0" t="s">
        <v>175</v>
      </c>
      <c r="EA875" s="0" t="s">
        <v>153</v>
      </c>
      <c r="ED875" s="0" t="s">
        <v>175</v>
      </c>
      <c r="EF875" s="0" t="s">
        <v>153</v>
      </c>
    </row>
    <row r="876" customFormat="false" ht="13.8" hidden="true" customHeight="false" outlineLevel="0" collapsed="false">
      <c r="A876" s="0" t="s">
        <v>4352</v>
      </c>
      <c r="B876" s="0" t="n">
        <v>78</v>
      </c>
      <c r="C876" s="0" t="n">
        <v>496330</v>
      </c>
      <c r="D876" s="0" t="s">
        <v>1192</v>
      </c>
      <c r="E876" s="0" t="s">
        <v>3789</v>
      </c>
      <c r="F876" s="0" t="str">
        <f aca="false">CONCATENATE(D876," ",LEFT(H876,4),"T=",AU876,"D=",AV876,"R=",AW876,"M=",AX876,"L=",AY876,"B=",AZ876)</f>
        <v>MILLER T=8D=1R=0M=0L=0B=0</v>
      </c>
      <c r="G876" s="0" t="s">
        <v>255</v>
      </c>
      <c r="I876" s="0" t="s">
        <v>4353</v>
      </c>
      <c r="J876" s="0" t="s">
        <v>4354</v>
      </c>
      <c r="K876" s="0" t="s">
        <v>160</v>
      </c>
      <c r="M876" s="0" t="s">
        <v>4355</v>
      </c>
      <c r="N876" s="0" t="str">
        <f aca="false">RIGHT(M876,LEN(M876)-FIND(" ",M876))</f>
        <v>HOMEWOOD AVE SE</v>
      </c>
      <c r="P876" s="0" t="s">
        <v>145</v>
      </c>
      <c r="Q876" s="0" t="s">
        <v>146</v>
      </c>
      <c r="R876" s="0" t="n">
        <v>44483</v>
      </c>
      <c r="AD876" s="0" t="s">
        <v>147</v>
      </c>
      <c r="AE876" s="0" t="s">
        <v>148</v>
      </c>
      <c r="AF876" s="0" t="s">
        <v>149</v>
      </c>
      <c r="AH876" s="0" t="n">
        <v>14</v>
      </c>
      <c r="AI876" s="0" t="n">
        <v>11</v>
      </c>
      <c r="AN876" s="0" t="s">
        <v>145</v>
      </c>
      <c r="AO876" s="0" t="s">
        <v>150</v>
      </c>
      <c r="AP876" s="0" t="s">
        <v>151</v>
      </c>
      <c r="AQ876" s="0" t="n">
        <v>9</v>
      </c>
      <c r="AR876" s="0" t="n">
        <v>64</v>
      </c>
      <c r="AS876" s="0" t="n">
        <v>32</v>
      </c>
      <c r="AU876" s="0" t="n">
        <f aca="false">COUNTA($BA$5:$EH$5)</f>
        <v>8</v>
      </c>
      <c r="AV876" s="0" t="n">
        <f aca="false">COUNTIF($BA$5:$EH$5,"D")</f>
        <v>1</v>
      </c>
      <c r="AW876" s="0" t="n">
        <f aca="false">COUNTIF($BA$5:$EH$5,"R")</f>
        <v>0</v>
      </c>
      <c r="AX876" s="0" t="n">
        <f aca="false">IF(BN876="D",1,0)+IF(BO876="D",1,0)+IF(BT876="D",1,0)+IF(BU876="D",1,0)+IF(BW876="D",1,0)+IF(CC876="D",1,0)+IF(CD876="D",1,0)+IF(CE876="D",1,0)+IF(CF876="D",1,0)+IF(CL876="D",1,0)+IF(CM876="D",1,0)+IF(CQ876="D",1,0)+IF(CR876="D",1,0)+IF(CS876="D",1,0)+IF(CW876="D",1,0)+IF(CX876="D",1,0)+IF(DD876="D",1,0)+IF(DE876="D",1,0)+IF(DJ876="D",1,0)+IF(DK876="D",1,0)+IF(DO876="D",1,0)+IF(DP876="D",1,0)+IF(DQ876="D",1,0)+IF(DW876="D",1,0)+IF(DZ876="D",1,0)+IF(EH876="D",1,0)</f>
        <v>0</v>
      </c>
      <c r="AY876" s="0" t="n">
        <f aca="false">COUNTIF(DU876:EH876, "&lt;&gt;")</f>
        <v>0</v>
      </c>
      <c r="AZ876" s="0" t="n">
        <f aca="false">IF(EH876&lt;&gt;"",1,0)</f>
        <v>0</v>
      </c>
      <c r="BB876" s="0" t="s">
        <v>152</v>
      </c>
    </row>
    <row r="877" customFormat="false" ht="13.8" hidden="true" customHeight="false" outlineLevel="0" collapsed="false">
      <c r="A877" s="0" t="s">
        <v>4356</v>
      </c>
      <c r="B877" s="0" t="n">
        <v>78</v>
      </c>
      <c r="C877" s="0" t="n">
        <v>419365</v>
      </c>
      <c r="D877" s="0" t="s">
        <v>4357</v>
      </c>
      <c r="E877" s="0" t="s">
        <v>4358</v>
      </c>
      <c r="F877" s="0" t="str">
        <f aca="false">CONCATENATE(D877," ",LEFT(H877,4),"T=",AU877,"D=",AV877,"R=",AW877,"M=",AX877,"L=",AY877,"B=",AZ877)</f>
        <v>REYES AYENDE T=2D=0R=0M=0L=0B=0</v>
      </c>
      <c r="G877" s="0" t="s">
        <v>4359</v>
      </c>
      <c r="I877" s="0" t="s">
        <v>4360</v>
      </c>
      <c r="J877" s="0" t="s">
        <v>3143</v>
      </c>
      <c r="K877" s="0" t="s">
        <v>143</v>
      </c>
      <c r="M877" s="0" t="s">
        <v>4355</v>
      </c>
      <c r="N877" s="0" t="str">
        <f aca="false">RIGHT(M877,LEN(M877)-FIND(" ",M877))</f>
        <v>HOMEWOOD AVE SE</v>
      </c>
      <c r="P877" s="0" t="s">
        <v>145</v>
      </c>
      <c r="Q877" s="0" t="s">
        <v>146</v>
      </c>
      <c r="R877" s="0" t="n">
        <v>44483</v>
      </c>
      <c r="AD877" s="0" t="s">
        <v>147</v>
      </c>
      <c r="AE877" s="0" t="s">
        <v>148</v>
      </c>
      <c r="AF877" s="0" t="s">
        <v>149</v>
      </c>
      <c r="AH877" s="0" t="n">
        <v>14</v>
      </c>
      <c r="AI877" s="0" t="n">
        <v>11</v>
      </c>
      <c r="AN877" s="0" t="s">
        <v>145</v>
      </c>
      <c r="AO877" s="0" t="s">
        <v>150</v>
      </c>
      <c r="AP877" s="0" t="s">
        <v>151</v>
      </c>
      <c r="AQ877" s="0" t="n">
        <v>9</v>
      </c>
      <c r="AR877" s="0" t="n">
        <v>64</v>
      </c>
      <c r="AS877" s="0" t="n">
        <v>32</v>
      </c>
      <c r="AU877" s="0" t="n">
        <f aca="false">COUNTA($BA$385:$EH$385)</f>
        <v>2</v>
      </c>
      <c r="AV877" s="0" t="n">
        <f aca="false">COUNTIF($BA$385:$EH$385,"D")</f>
        <v>0</v>
      </c>
      <c r="AW877" s="0" t="n">
        <f aca="false">COUNTIF($BA$385:$EH$385,"R")</f>
        <v>0</v>
      </c>
      <c r="AX877" s="0" t="n">
        <f aca="false">IF(BN877="D",1,0)+IF(BO877="D",1,0)+IF(BT877="D",1,0)+IF(BU877="D",1,0)+IF(BW877="D",1,0)+IF(CC877="D",1,0)+IF(CD877="D",1,0)+IF(CE877="D",1,0)+IF(CF877="D",1,0)+IF(CL877="D",1,0)+IF(CM877="D",1,0)+IF(CQ877="D",1,0)+IF(CR877="D",1,0)+IF(CS877="D",1,0)+IF(CW877="D",1,0)+IF(CX877="D",1,0)+IF(DD877="D",1,0)+IF(DE877="D",1,0)+IF(DJ877="D",1,0)+IF(DK877="D",1,0)+IF(DO877="D",1,0)+IF(DP877="D",1,0)+IF(DQ877="D",1,0)+IF(DW877="D",1,0)+IF(DZ877="D",1,0)+IF(EH877="D",1,0)</f>
        <v>0</v>
      </c>
      <c r="AY877" s="0" t="n">
        <f aca="false">COUNTIF(DU877:EH877, "&lt;&gt;")</f>
        <v>0</v>
      </c>
      <c r="AZ877" s="0" t="n">
        <f aca="false">IF(EH877&lt;&gt;"",1,0)</f>
        <v>0</v>
      </c>
      <c r="BB877" s="0" t="s">
        <v>152</v>
      </c>
    </row>
    <row r="878" customFormat="false" ht="13.8" hidden="true" customHeight="false" outlineLevel="0" collapsed="false">
      <c r="A878" s="0" t="s">
        <v>4361</v>
      </c>
      <c r="B878" s="0" t="n">
        <v>78</v>
      </c>
      <c r="C878" s="0" t="n">
        <v>291301</v>
      </c>
      <c r="D878" s="0" t="s">
        <v>1192</v>
      </c>
      <c r="E878" s="0" t="s">
        <v>4362</v>
      </c>
      <c r="F878" s="0" t="str">
        <f aca="false">CONCATENATE(D878," ",LEFT(H878,4),"T=",AU878,"D=",AV878,"R=",AW878,"M=",AX878,"L=",AY878,"B=",AZ878)</f>
        <v>MILLER T=2D=0R=0M=0L=1B=0</v>
      </c>
      <c r="G878" s="0" t="s">
        <v>175</v>
      </c>
      <c r="I878" s="0" t="s">
        <v>4363</v>
      </c>
      <c r="J878" s="0" t="s">
        <v>4364</v>
      </c>
      <c r="K878" s="0" t="s">
        <v>160</v>
      </c>
      <c r="M878" s="0" t="s">
        <v>4355</v>
      </c>
      <c r="N878" s="0" t="str">
        <f aca="false">RIGHT(M878,LEN(M878)-FIND(" ",M878))</f>
        <v>HOMEWOOD AVE SE</v>
      </c>
      <c r="P878" s="0" t="s">
        <v>145</v>
      </c>
      <c r="Q878" s="0" t="s">
        <v>146</v>
      </c>
      <c r="R878" s="0" t="n">
        <v>44483</v>
      </c>
      <c r="AD878" s="0" t="s">
        <v>147</v>
      </c>
      <c r="AE878" s="0" t="s">
        <v>148</v>
      </c>
      <c r="AF878" s="0" t="s">
        <v>149</v>
      </c>
      <c r="AH878" s="0" t="n">
        <v>14</v>
      </c>
      <c r="AI878" s="0" t="n">
        <v>11</v>
      </c>
      <c r="AN878" s="0" t="s">
        <v>145</v>
      </c>
      <c r="AO878" s="0" t="s">
        <v>150</v>
      </c>
      <c r="AP878" s="0" t="s">
        <v>151</v>
      </c>
      <c r="AQ878" s="0" t="n">
        <v>9</v>
      </c>
      <c r="AR878" s="0" t="n">
        <v>64</v>
      </c>
      <c r="AS878" s="0" t="n">
        <v>32</v>
      </c>
      <c r="AU878" s="0" t="n">
        <f aca="false">COUNTA($BA$525:$EH$525)</f>
        <v>2</v>
      </c>
      <c r="AV878" s="0" t="n">
        <f aca="false">COUNTIF($BA$525:$EH$525,"D")</f>
        <v>0</v>
      </c>
      <c r="AW878" s="0" t="n">
        <f aca="false">COUNTIF($BA$525:$EH$525,"R")</f>
        <v>0</v>
      </c>
      <c r="AX878" s="0" t="n">
        <f aca="false">IF(BN878="D",1,0)+IF(BO878="D",1,0)+IF(BT878="D",1,0)+IF(BU878="D",1,0)+IF(BW878="D",1,0)+IF(CC878="D",1,0)+IF(CD878="D",1,0)+IF(CE878="D",1,0)+IF(CF878="D",1,0)+IF(CL878="D",1,0)+IF(CM878="D",1,0)+IF(CQ878="D",1,0)+IF(CR878="D",1,0)+IF(CS878="D",1,0)+IF(CW878="D",1,0)+IF(CX878="D",1,0)+IF(DD878="D",1,0)+IF(DE878="D",1,0)+IF(DJ878="D",1,0)+IF(DK878="D",1,0)+IF(DO878="D",1,0)+IF(DP878="D",1,0)+IF(DQ878="D",1,0)+IF(DW878="D",1,0)+IF(DZ878="D",1,0)+IF(EH878="D",1,0)</f>
        <v>0</v>
      </c>
      <c r="AY878" s="0" t="n">
        <f aca="false">COUNTIF(DU878:EH878, "&lt;&gt;")</f>
        <v>1</v>
      </c>
      <c r="AZ878" s="0" t="n">
        <f aca="false">IF(EH878&lt;&gt;"",1,0)</f>
        <v>0</v>
      </c>
      <c r="BB878" s="0" t="s">
        <v>152</v>
      </c>
      <c r="CP878" s="0" t="s">
        <v>153</v>
      </c>
      <c r="DC878" s="0" t="s">
        <v>153</v>
      </c>
      <c r="EF878" s="0" t="s">
        <v>153</v>
      </c>
    </row>
    <row r="879" customFormat="false" ht="13.8" hidden="true" customHeight="false" outlineLevel="0" collapsed="false">
      <c r="A879" s="0" t="s">
        <v>4365</v>
      </c>
      <c r="B879" s="0" t="n">
        <v>78</v>
      </c>
      <c r="C879" s="0" t="n">
        <v>416034</v>
      </c>
      <c r="D879" s="0" t="s">
        <v>4366</v>
      </c>
      <c r="E879" s="0" t="s">
        <v>3089</v>
      </c>
      <c r="F879" s="0" t="str">
        <f aca="false">CONCATENATE(D879," ",LEFT(H879,4),"T=",AU879,"D=",AV879,"R=",AW879,"M=",AX879,"L=",AY879,"B=",AZ879)</f>
        <v>HARROLD T=7D=0R=0M=0L=0B=0</v>
      </c>
      <c r="G879" s="0" t="s">
        <v>202</v>
      </c>
      <c r="I879" s="0" t="s">
        <v>4367</v>
      </c>
      <c r="J879" s="0" t="s">
        <v>4368</v>
      </c>
      <c r="K879" s="0" t="s">
        <v>160</v>
      </c>
      <c r="M879" s="0" t="s">
        <v>4369</v>
      </c>
      <c r="N879" s="0" t="str">
        <f aca="false">RIGHT(M879,LEN(M879)-FIND(" ",M879))</f>
        <v>HOMEWOOD AVE SE</v>
      </c>
      <c r="P879" s="0" t="s">
        <v>145</v>
      </c>
      <c r="Q879" s="0" t="s">
        <v>146</v>
      </c>
      <c r="R879" s="0" t="n">
        <v>44483</v>
      </c>
      <c r="AD879" s="0" t="s">
        <v>147</v>
      </c>
      <c r="AE879" s="0" t="s">
        <v>148</v>
      </c>
      <c r="AF879" s="0" t="s">
        <v>149</v>
      </c>
      <c r="AH879" s="0" t="n">
        <v>14</v>
      </c>
      <c r="AI879" s="0" t="n">
        <v>11</v>
      </c>
      <c r="AN879" s="0" t="s">
        <v>145</v>
      </c>
      <c r="AO879" s="0" t="s">
        <v>150</v>
      </c>
      <c r="AP879" s="0" t="s">
        <v>151</v>
      </c>
      <c r="AQ879" s="0" t="n">
        <v>9</v>
      </c>
      <c r="AR879" s="0" t="n">
        <v>64</v>
      </c>
      <c r="AS879" s="0" t="n">
        <v>32</v>
      </c>
      <c r="AU879" s="0" t="n">
        <f aca="false">COUNTA($BA$728:$EH$728)</f>
        <v>7</v>
      </c>
      <c r="AV879" s="0" t="n">
        <f aca="false">COUNTIF($BA$728:$EH$728,"D")</f>
        <v>0</v>
      </c>
      <c r="AW879" s="0" t="n">
        <f aca="false">COUNTIF($BA$728:$EH$728,"R")</f>
        <v>0</v>
      </c>
      <c r="AX879" s="0" t="n">
        <f aca="false">IF(BN879="D",1,0)+IF(BO879="D",1,0)+IF(BT879="D",1,0)+IF(BU879="D",1,0)+IF(BW879="D",1,0)+IF(CC879="D",1,0)+IF(CD879="D",1,0)+IF(CE879="D",1,0)+IF(CF879="D",1,0)+IF(CL879="D",1,0)+IF(CM879="D",1,0)+IF(CQ879="D",1,0)+IF(CR879="D",1,0)+IF(CS879="D",1,0)+IF(CW879="D",1,0)+IF(CX879="D",1,0)+IF(DD879="D",1,0)+IF(DE879="D",1,0)+IF(DJ879="D",1,0)+IF(DK879="D",1,0)+IF(DO879="D",1,0)+IF(DP879="D",1,0)+IF(DQ879="D",1,0)+IF(DW879="D",1,0)+IF(DZ879="D",1,0)+IF(EH879="D",1,0)</f>
        <v>0</v>
      </c>
      <c r="AY879" s="0" t="n">
        <f aca="false">COUNTIF(DU879:EH879, "&lt;&gt;")</f>
        <v>0</v>
      </c>
      <c r="AZ879" s="0" t="n">
        <f aca="false">IF(EH879&lt;&gt;"",1,0)</f>
        <v>0</v>
      </c>
      <c r="BB879" s="0" t="s">
        <v>152</v>
      </c>
    </row>
    <row r="880" customFormat="false" ht="13.8" hidden="true" customHeight="false" outlineLevel="0" collapsed="false">
      <c r="A880" s="0" t="s">
        <v>4370</v>
      </c>
      <c r="B880" s="0" t="n">
        <v>78</v>
      </c>
      <c r="C880" s="0" t="n">
        <v>487102</v>
      </c>
      <c r="D880" s="0" t="s">
        <v>4371</v>
      </c>
      <c r="E880" s="0" t="s">
        <v>785</v>
      </c>
      <c r="F880" s="0" t="str">
        <f aca="false">CONCATENATE(D880," ",LEFT(H880,4),"T=",AU880,"D=",AV880,"R=",AW880,"M=",AX880,"L=",AY880,"B=",AZ880)</f>
        <v>BLOSE T=38D=5R=3M=0L=0B=0</v>
      </c>
      <c r="G880" s="0" t="s">
        <v>325</v>
      </c>
      <c r="I880" s="0" t="s">
        <v>4372</v>
      </c>
      <c r="J880" s="0" t="s">
        <v>534</v>
      </c>
      <c r="K880" s="0" t="s">
        <v>160</v>
      </c>
      <c r="M880" s="0" t="s">
        <v>4373</v>
      </c>
      <c r="N880" s="0" t="str">
        <f aca="false">RIGHT(M880,LEN(M880)-FIND(" ",M880))</f>
        <v>HOMEWOOD AVE SE</v>
      </c>
      <c r="P880" s="0" t="s">
        <v>145</v>
      </c>
      <c r="Q880" s="0" t="s">
        <v>146</v>
      </c>
      <c r="R880" s="0" t="n">
        <v>44483</v>
      </c>
      <c r="AD880" s="0" t="s">
        <v>147</v>
      </c>
      <c r="AE880" s="0" t="s">
        <v>148</v>
      </c>
      <c r="AF880" s="0" t="s">
        <v>149</v>
      </c>
      <c r="AH880" s="0" t="n">
        <v>14</v>
      </c>
      <c r="AI880" s="0" t="n">
        <v>11</v>
      </c>
      <c r="AN880" s="0" t="s">
        <v>145</v>
      </c>
      <c r="AO880" s="0" t="s">
        <v>150</v>
      </c>
      <c r="AP880" s="0" t="s">
        <v>151</v>
      </c>
      <c r="AQ880" s="0" t="n">
        <v>9</v>
      </c>
      <c r="AR880" s="0" t="n">
        <v>64</v>
      </c>
      <c r="AS880" s="0" t="n">
        <v>32</v>
      </c>
      <c r="AU880" s="0" t="n">
        <f aca="false">COUNTA($BA$312:$EH$312)</f>
        <v>38</v>
      </c>
      <c r="AV880" s="0" t="n">
        <f aca="false">COUNTIF($BA$312:$EH$312,"D")</f>
        <v>5</v>
      </c>
      <c r="AW880" s="0" t="n">
        <f aca="false">COUNTIF($BA$312:$EH$312,"R")</f>
        <v>3</v>
      </c>
      <c r="AX880" s="0" t="n">
        <f aca="false">IF(BN880="D",1,0)+IF(BO880="D",1,0)+IF(BT880="D",1,0)+IF(BU880="D",1,0)+IF(BW880="D",1,0)+IF(CC880="D",1,0)+IF(CD880="D",1,0)+IF(CE880="D",1,0)+IF(CF880="D",1,0)+IF(CL880="D",1,0)+IF(CM880="D",1,0)+IF(CQ880="D",1,0)+IF(CR880="D",1,0)+IF(CS880="D",1,0)+IF(CW880="D",1,0)+IF(CX880="D",1,0)+IF(DD880="D",1,0)+IF(DE880="D",1,0)+IF(DJ880="D",1,0)+IF(DK880="D",1,0)+IF(DO880="D",1,0)+IF(DP880="D",1,0)+IF(DQ880="D",1,0)+IF(DW880="D",1,0)+IF(DZ880="D",1,0)+IF(EH880="D",1,0)</f>
        <v>0</v>
      </c>
      <c r="AY880" s="0" t="n">
        <f aca="false">COUNTIF(DU880:EH880, "&lt;&gt;")</f>
        <v>0</v>
      </c>
      <c r="AZ880" s="0" t="n">
        <f aca="false">IF(EH880&lt;&gt;"",1,0)</f>
        <v>0</v>
      </c>
      <c r="BB880" s="0" t="s">
        <v>152</v>
      </c>
    </row>
    <row r="881" customFormat="false" ht="13.8" hidden="true" customHeight="false" outlineLevel="0" collapsed="false">
      <c r="A881" s="0" t="s">
        <v>4374</v>
      </c>
      <c r="B881" s="0" t="n">
        <v>78</v>
      </c>
      <c r="C881" s="0" t="n">
        <v>444517</v>
      </c>
      <c r="D881" s="0" t="s">
        <v>4375</v>
      </c>
      <c r="E881" s="0" t="s">
        <v>4376</v>
      </c>
      <c r="F881" s="0" t="str">
        <f aca="false">CONCATENATE(D881," ",LEFT(H881,4),"T=",AU881,"D=",AV881,"R=",AW881,"M=",AX881,"L=",AY881,"B=",AZ881)</f>
        <v>CURRENCE T=1D=0R=0M=0L=1B=0</v>
      </c>
      <c r="G881" s="0" t="s">
        <v>209</v>
      </c>
      <c r="I881" s="0" t="s">
        <v>4377</v>
      </c>
      <c r="J881" s="0" t="s">
        <v>4378</v>
      </c>
      <c r="K881" s="0" t="s">
        <v>160</v>
      </c>
      <c r="M881" s="0" t="s">
        <v>4379</v>
      </c>
      <c r="N881" s="0" t="str">
        <f aca="false">RIGHT(M881,LEN(M881)-FIND(" ",M881))</f>
        <v>HOMEWOOD AVE SE</v>
      </c>
      <c r="P881" s="0" t="s">
        <v>145</v>
      </c>
      <c r="Q881" s="0" t="s">
        <v>146</v>
      </c>
      <c r="R881" s="0" t="n">
        <v>44483</v>
      </c>
      <c r="AD881" s="0" t="s">
        <v>147</v>
      </c>
      <c r="AE881" s="0" t="s">
        <v>148</v>
      </c>
      <c r="AF881" s="0" t="s">
        <v>149</v>
      </c>
      <c r="AH881" s="0" t="n">
        <v>14</v>
      </c>
      <c r="AI881" s="0" t="n">
        <v>11</v>
      </c>
      <c r="AN881" s="0" t="s">
        <v>145</v>
      </c>
      <c r="AO881" s="0" t="s">
        <v>150</v>
      </c>
      <c r="AP881" s="0" t="s">
        <v>151</v>
      </c>
      <c r="AQ881" s="0" t="n">
        <v>9</v>
      </c>
      <c r="AR881" s="0" t="n">
        <v>64</v>
      </c>
      <c r="AS881" s="0" t="n">
        <v>32</v>
      </c>
      <c r="AU881" s="0" t="n">
        <f aca="false">COUNTA($BA$116:$EH$116)</f>
        <v>1</v>
      </c>
      <c r="AV881" s="0" t="n">
        <f aca="false">COUNTIF($BA$116:$EH$116,"D")</f>
        <v>0</v>
      </c>
      <c r="AW881" s="0" t="n">
        <f aca="false">COUNTIF($BA$116:$EH$116,"R")</f>
        <v>0</v>
      </c>
      <c r="AX881" s="0" t="n">
        <f aca="false">IF(BN881="D",1,0)+IF(BO881="D",1,0)+IF(BT881="D",1,0)+IF(BU881="D",1,0)+IF(BW881="D",1,0)+IF(CC881="D",1,0)+IF(CD881="D",1,0)+IF(CE881="D",1,0)+IF(CF881="D",1,0)+IF(CL881="D",1,0)+IF(CM881="D",1,0)+IF(CQ881="D",1,0)+IF(CR881="D",1,0)+IF(CS881="D",1,0)+IF(CW881="D",1,0)+IF(CX881="D",1,0)+IF(DD881="D",1,0)+IF(DE881="D",1,0)+IF(DJ881="D",1,0)+IF(DK881="D",1,0)+IF(DO881="D",1,0)+IF(DP881="D",1,0)+IF(DQ881="D",1,0)+IF(DW881="D",1,0)+IF(DZ881="D",1,0)+IF(EH881="D",1,0)</f>
        <v>0</v>
      </c>
      <c r="AY881" s="0" t="n">
        <f aca="false">COUNTIF(DU881:EH881, "&lt;&gt;")</f>
        <v>1</v>
      </c>
      <c r="AZ881" s="0" t="n">
        <f aca="false">IF(EH881&lt;&gt;"",1,0)</f>
        <v>0</v>
      </c>
      <c r="BB881" s="0" t="s">
        <v>152</v>
      </c>
      <c r="DN881" s="0" t="s">
        <v>153</v>
      </c>
      <c r="EF881" s="0" t="s">
        <v>153</v>
      </c>
    </row>
    <row r="882" customFormat="false" ht="13.8" hidden="true" customHeight="false" outlineLevel="0" collapsed="false">
      <c r="A882" s="0" t="s">
        <v>4380</v>
      </c>
      <c r="B882" s="0" t="n">
        <v>78</v>
      </c>
      <c r="C882" s="0" t="n">
        <v>491760</v>
      </c>
      <c r="D882" s="0" t="s">
        <v>4381</v>
      </c>
      <c r="E882" s="0" t="s">
        <v>4382</v>
      </c>
      <c r="F882" s="0" t="str">
        <f aca="false">CONCATENATE(D882," ",LEFT(H882,4),"T=",AU882,"D=",AV882,"R=",AW882,"M=",AX882,"L=",AY882,"B=",AZ882)</f>
        <v>BRECKNER T=2D=0R=0M=0L=1B=0</v>
      </c>
      <c r="G882" s="0" t="s">
        <v>500</v>
      </c>
      <c r="I882" s="0" t="s">
        <v>4383</v>
      </c>
      <c r="J882" s="0" t="s">
        <v>404</v>
      </c>
      <c r="K882" s="0" t="s">
        <v>160</v>
      </c>
      <c r="M882" s="0" t="s">
        <v>4379</v>
      </c>
      <c r="N882" s="0" t="str">
        <f aca="false">RIGHT(M882,LEN(M882)-FIND(" ",M882))</f>
        <v>HOMEWOOD AVE SE</v>
      </c>
      <c r="P882" s="0" t="s">
        <v>145</v>
      </c>
      <c r="Q882" s="0" t="s">
        <v>146</v>
      </c>
      <c r="R882" s="0" t="n">
        <v>44483</v>
      </c>
      <c r="AD882" s="0" t="s">
        <v>147</v>
      </c>
      <c r="AE882" s="0" t="s">
        <v>148</v>
      </c>
      <c r="AF882" s="0" t="s">
        <v>149</v>
      </c>
      <c r="AH882" s="0" t="n">
        <v>14</v>
      </c>
      <c r="AI882" s="0" t="n">
        <v>11</v>
      </c>
      <c r="AN882" s="0" t="s">
        <v>145</v>
      </c>
      <c r="AO882" s="0" t="s">
        <v>150</v>
      </c>
      <c r="AP882" s="0" t="s">
        <v>151</v>
      </c>
      <c r="AQ882" s="0" t="n">
        <v>9</v>
      </c>
      <c r="AR882" s="0" t="n">
        <v>64</v>
      </c>
      <c r="AS882" s="0" t="n">
        <v>32</v>
      </c>
      <c r="AU882" s="0" t="n">
        <f aca="false">COUNTA($BA$177:$EH$177)</f>
        <v>2</v>
      </c>
      <c r="AV882" s="0" t="n">
        <f aca="false">COUNTIF($BA$177:$EH$177,"D")</f>
        <v>0</v>
      </c>
      <c r="AW882" s="0" t="n">
        <f aca="false">COUNTIF($BA$177:$EH$177,"R")</f>
        <v>0</v>
      </c>
      <c r="AX882" s="0" t="n">
        <f aca="false">IF(BN882="D",1,0)+IF(BO882="D",1,0)+IF(BT882="D",1,0)+IF(BU882="D",1,0)+IF(BW882="D",1,0)+IF(CC882="D",1,0)+IF(CD882="D",1,0)+IF(CE882="D",1,0)+IF(CF882="D",1,0)+IF(CL882="D",1,0)+IF(CM882="D",1,0)+IF(CQ882="D",1,0)+IF(CR882="D",1,0)+IF(CS882="D",1,0)+IF(CW882="D",1,0)+IF(CX882="D",1,0)+IF(DD882="D",1,0)+IF(DE882="D",1,0)+IF(DJ882="D",1,0)+IF(DK882="D",1,0)+IF(DO882="D",1,0)+IF(DP882="D",1,0)+IF(DQ882="D",1,0)+IF(DW882="D",1,0)+IF(DZ882="D",1,0)+IF(EH882="D",1,0)</f>
        <v>0</v>
      </c>
      <c r="AY882" s="0" t="n">
        <f aca="false">COUNTIF(DU882:EH882, "&lt;&gt;")</f>
        <v>1</v>
      </c>
      <c r="AZ882" s="0" t="n">
        <f aca="false">IF(EH882&lt;&gt;"",1,0)</f>
        <v>0</v>
      </c>
      <c r="BB882" s="0" t="s">
        <v>152</v>
      </c>
      <c r="DN882" s="0" t="s">
        <v>153</v>
      </c>
      <c r="EF882" s="0" t="s">
        <v>153</v>
      </c>
    </row>
    <row r="883" customFormat="false" ht="13.8" hidden="false" customHeight="false" outlineLevel="0" collapsed="false">
      <c r="A883" s="0" t="s">
        <v>4384</v>
      </c>
      <c r="B883" s="0" t="n">
        <v>78</v>
      </c>
      <c r="C883" s="0" t="n">
        <v>450785</v>
      </c>
      <c r="D883" s="0" t="s">
        <v>4385</v>
      </c>
      <c r="E883" s="0" t="s">
        <v>895</v>
      </c>
      <c r="F883" s="0" t="str">
        <f aca="false">CONCATENATE(D883," ",LEFT(H883,4),"T=",AU883,"D=",AV883,"R=",AW883,"M=",AX883,"L=",AY883,"B=",AZ883)</f>
        <v>DARNO T=35D=6R=1M=1L=5B=0</v>
      </c>
      <c r="G883" s="0" t="s">
        <v>658</v>
      </c>
      <c r="I883" s="0" t="s">
        <v>4386</v>
      </c>
      <c r="J883" s="0" t="s">
        <v>4387</v>
      </c>
      <c r="K883" s="0" t="s">
        <v>160</v>
      </c>
      <c r="L883" s="0" t="s">
        <v>209</v>
      </c>
      <c r="M883" s="0" t="s">
        <v>4388</v>
      </c>
      <c r="N883" s="0" t="str">
        <f aca="false">RIGHT(M883,LEN(M883)-FIND(" ",M883))</f>
        <v>HOMEWOOD AVE SE</v>
      </c>
      <c r="P883" s="0" t="s">
        <v>145</v>
      </c>
      <c r="Q883" s="0" t="s">
        <v>146</v>
      </c>
      <c r="R883" s="0" t="n">
        <v>44483</v>
      </c>
      <c r="AD883" s="0" t="s">
        <v>147</v>
      </c>
      <c r="AE883" s="0" t="s">
        <v>148</v>
      </c>
      <c r="AF883" s="0" t="s">
        <v>149</v>
      </c>
      <c r="AH883" s="0" t="n">
        <v>14</v>
      </c>
      <c r="AI883" s="0" t="n">
        <v>11</v>
      </c>
      <c r="AN883" s="0" t="s">
        <v>145</v>
      </c>
      <c r="AO883" s="0" t="s">
        <v>150</v>
      </c>
      <c r="AP883" s="0" t="s">
        <v>151</v>
      </c>
      <c r="AQ883" s="0" t="n">
        <v>9</v>
      </c>
      <c r="AR883" s="0" t="n">
        <v>64</v>
      </c>
      <c r="AS883" s="0" t="n">
        <v>32</v>
      </c>
      <c r="AU883" s="0" t="n">
        <f aca="false">COUNTA($BA$687:$EH$687)</f>
        <v>35</v>
      </c>
      <c r="AV883" s="0" t="n">
        <f aca="false">COUNTIF($BA$687:$EH$687,"D")</f>
        <v>6</v>
      </c>
      <c r="AW883" s="0" t="n">
        <f aca="false">COUNTIF($BA$687:$EH$687,"R")</f>
        <v>1</v>
      </c>
      <c r="AX883" s="0" t="n">
        <f aca="false">IF(BN883="D",1,0)+IF(BO883="D",1,0)+IF(BT883="D",1,0)+IF(BU883="D",1,0)+IF(BW883="D",1,0)+IF(CC883="D",1,0)+IF(CD883="D",1,0)+IF(CE883="D",1,0)+IF(CF883="D",1,0)+IF(CL883="D",1,0)+IF(CM883="D",1,0)+IF(CQ883="D",1,0)+IF(CR883="D",1,0)+IF(CS883="D",1,0)+IF(CW883="D",1,0)+IF(CX883="D",1,0)+IF(DD883="D",1,0)+IF(DE883="D",1,0)+IF(DJ883="D",1,0)+IF(DK883="D",1,0)+IF(DO883="D",1,0)+IF(DP883="D",1,0)+IF(DQ883="D",1,0)+IF(DW883="D",1,0)+IF(DZ883="D",1,0)+IF(EH883="D",1,0)</f>
        <v>1</v>
      </c>
      <c r="AY883" s="0" t="n">
        <f aca="false">COUNTIF(DU883:EH883, "&lt;&gt;")</f>
        <v>5</v>
      </c>
      <c r="AZ883" s="0" t="n">
        <f aca="false">IF(EH883&lt;&gt;"",1,0)</f>
        <v>0</v>
      </c>
      <c r="BB883" s="0" t="s">
        <v>152</v>
      </c>
      <c r="BG883" s="0" t="s">
        <v>153</v>
      </c>
      <c r="BI883" s="0" t="s">
        <v>153</v>
      </c>
      <c r="BY883" s="0" t="s">
        <v>175</v>
      </c>
      <c r="CA883" s="0" t="s">
        <v>153</v>
      </c>
      <c r="CK883" s="0" t="s">
        <v>153</v>
      </c>
      <c r="CL883" s="0" t="s">
        <v>175</v>
      </c>
      <c r="DN883" s="0" t="s">
        <v>153</v>
      </c>
      <c r="DS883" s="0" t="s">
        <v>209</v>
      </c>
      <c r="DU883" s="0" t="s">
        <v>153</v>
      </c>
      <c r="DX883" s="0" t="s">
        <v>153</v>
      </c>
      <c r="EA883" s="0" t="s">
        <v>153</v>
      </c>
      <c r="ED883" s="0" t="s">
        <v>209</v>
      </c>
      <c r="EF883" s="0" t="s">
        <v>153</v>
      </c>
    </row>
    <row r="884" customFormat="false" ht="13.8" hidden="false" customHeight="false" outlineLevel="0" collapsed="false">
      <c r="A884" s="0" t="s">
        <v>4389</v>
      </c>
      <c r="B884" s="0" t="n">
        <v>78</v>
      </c>
      <c r="C884" s="0" t="n">
        <v>7130</v>
      </c>
      <c r="D884" s="0" t="s">
        <v>4385</v>
      </c>
      <c r="E884" s="0" t="s">
        <v>663</v>
      </c>
      <c r="F884" s="0" t="str">
        <f aca="false">CONCATENATE(D884," ",LEFT(H884,4),"T=",AU884,"D=",AV884,"R=",AW884,"M=",AX884,"L=",AY884,"B=",AZ884)</f>
        <v>DARNO T=31D=7R=0M=1L=7B=1</v>
      </c>
      <c r="G884" s="0" t="s">
        <v>175</v>
      </c>
      <c r="I884" s="0" t="s">
        <v>4390</v>
      </c>
      <c r="J884" s="0" t="s">
        <v>4391</v>
      </c>
      <c r="K884" s="0" t="s">
        <v>160</v>
      </c>
      <c r="L884" s="0" t="s">
        <v>209</v>
      </c>
      <c r="M884" s="0" t="s">
        <v>4388</v>
      </c>
      <c r="N884" s="0" t="str">
        <f aca="false">RIGHT(M884,LEN(M884)-FIND(" ",M884))</f>
        <v>HOMEWOOD AVE SE</v>
      </c>
      <c r="P884" s="0" t="s">
        <v>145</v>
      </c>
      <c r="Q884" s="0" t="s">
        <v>146</v>
      </c>
      <c r="R884" s="0" t="n">
        <v>44483</v>
      </c>
      <c r="AD884" s="0" t="s">
        <v>147</v>
      </c>
      <c r="AE884" s="0" t="s">
        <v>148</v>
      </c>
      <c r="AF884" s="0" t="s">
        <v>149</v>
      </c>
      <c r="AH884" s="0" t="n">
        <v>14</v>
      </c>
      <c r="AI884" s="0" t="n">
        <v>11</v>
      </c>
      <c r="AN884" s="0" t="s">
        <v>145</v>
      </c>
      <c r="AO884" s="0" t="s">
        <v>150</v>
      </c>
      <c r="AP884" s="0" t="s">
        <v>151</v>
      </c>
      <c r="AQ884" s="0" t="n">
        <v>9</v>
      </c>
      <c r="AR884" s="0" t="n">
        <v>64</v>
      </c>
      <c r="AS884" s="0" t="n">
        <v>32</v>
      </c>
      <c r="AU884" s="0" t="n">
        <f aca="false">COUNTA($BA$847:$EH$847)</f>
        <v>31</v>
      </c>
      <c r="AV884" s="0" t="n">
        <f aca="false">COUNTIF($BA$847:$EH$847,"D")</f>
        <v>7</v>
      </c>
      <c r="AW884" s="0" t="n">
        <f aca="false">COUNTIF($BA$847:$EH$847,"R")</f>
        <v>0</v>
      </c>
      <c r="AX884" s="0" t="n">
        <f aca="false">IF(BN884="D",1,0)+IF(BO884="D",1,0)+IF(BT884="D",1,0)+IF(BU884="D",1,0)+IF(BW884="D",1,0)+IF(CC884="D",1,0)+IF(CD884="D",1,0)+IF(CE884="D",1,0)+IF(CF884="D",1,0)+IF(CL884="D",1,0)+IF(CM884="D",1,0)+IF(CQ884="D",1,0)+IF(CR884="D",1,0)+IF(CS884="D",1,0)+IF(CW884="D",1,0)+IF(CX884="D",1,0)+IF(DD884="D",1,0)+IF(DE884="D",1,0)+IF(DJ884="D",1,0)+IF(DK884="D",1,0)+IF(DO884="D",1,0)+IF(DP884="D",1,0)+IF(DQ884="D",1,0)+IF(DW884="D",1,0)+IF(DZ884="D",1,0)+IF(EH884="D",1,0)</f>
        <v>1</v>
      </c>
      <c r="AY884" s="0" t="n">
        <f aca="false">COUNTIF(DU884:EH884, "&lt;&gt;")</f>
        <v>7</v>
      </c>
      <c r="AZ884" s="0" t="n">
        <f aca="false">IF(EH884&lt;&gt;"",1,0)</f>
        <v>1</v>
      </c>
      <c r="BB884" s="0" t="s">
        <v>152</v>
      </c>
      <c r="BC884" s="0" t="s">
        <v>153</v>
      </c>
      <c r="BD884" s="0" t="s">
        <v>153</v>
      </c>
      <c r="BE884" s="0" t="s">
        <v>153</v>
      </c>
      <c r="BF884" s="0" t="s">
        <v>153</v>
      </c>
      <c r="BG884" s="0" t="s">
        <v>153</v>
      </c>
      <c r="BH884" s="0" t="s">
        <v>153</v>
      </c>
      <c r="BI884" s="0" t="s">
        <v>153</v>
      </c>
      <c r="BJ884" s="0" t="s">
        <v>153</v>
      </c>
      <c r="BK884" s="0" t="s">
        <v>153</v>
      </c>
      <c r="BL884" s="0" t="s">
        <v>153</v>
      </c>
      <c r="BP884" s="0" t="s">
        <v>153</v>
      </c>
      <c r="BR884" s="0" t="s">
        <v>153</v>
      </c>
      <c r="BS884" s="0" t="s">
        <v>153</v>
      </c>
      <c r="BT884" s="0" t="s">
        <v>153</v>
      </c>
      <c r="BV884" s="0" t="s">
        <v>153</v>
      </c>
      <c r="BY884" s="0" t="s">
        <v>175</v>
      </c>
      <c r="CA884" s="0" t="s">
        <v>153</v>
      </c>
      <c r="CK884" s="0" t="s">
        <v>153</v>
      </c>
      <c r="CN884" s="0" t="s">
        <v>153</v>
      </c>
      <c r="CO884" s="0" t="s">
        <v>175</v>
      </c>
      <c r="CP884" s="0" t="s">
        <v>153</v>
      </c>
      <c r="CT884" s="0" t="s">
        <v>153</v>
      </c>
      <c r="CU884" s="0" t="s">
        <v>175</v>
      </c>
      <c r="CV884" s="0" t="s">
        <v>153</v>
      </c>
      <c r="CY884" s="0" t="s">
        <v>153</v>
      </c>
      <c r="CZ884" s="0" t="s">
        <v>209</v>
      </c>
      <c r="DC884" s="0" t="s">
        <v>153</v>
      </c>
      <c r="DF884" s="0" t="s">
        <v>153</v>
      </c>
      <c r="DG884" s="0" t="s">
        <v>209</v>
      </c>
      <c r="DI884" s="0" t="s">
        <v>153</v>
      </c>
      <c r="DJ884" s="0" t="s">
        <v>175</v>
      </c>
      <c r="DL884" s="0" t="s">
        <v>153</v>
      </c>
      <c r="DN884" s="0" t="s">
        <v>153</v>
      </c>
      <c r="DR884" s="0" t="s">
        <v>153</v>
      </c>
      <c r="DS884" s="0" t="s">
        <v>209</v>
      </c>
      <c r="DT884" s="0" t="s">
        <v>209</v>
      </c>
      <c r="DU884" s="0" t="s">
        <v>153</v>
      </c>
      <c r="DW884" s="0" t="s">
        <v>153</v>
      </c>
      <c r="DX884" s="0" t="s">
        <v>153</v>
      </c>
      <c r="EA884" s="0" t="s">
        <v>153</v>
      </c>
      <c r="ED884" s="0" t="s">
        <v>209</v>
      </c>
      <c r="EF884" s="0" t="s">
        <v>153</v>
      </c>
      <c r="EH884" s="0" t="s">
        <v>153</v>
      </c>
    </row>
    <row r="885" customFormat="false" ht="13.8" hidden="true" customHeight="false" outlineLevel="0" collapsed="false">
      <c r="A885" s="0" t="s">
        <v>4392</v>
      </c>
      <c r="B885" s="0" t="n">
        <v>78</v>
      </c>
      <c r="C885" s="0" t="n">
        <v>483705</v>
      </c>
      <c r="D885" s="0" t="s">
        <v>4393</v>
      </c>
      <c r="E885" s="0" t="s">
        <v>3167</v>
      </c>
      <c r="F885" s="0" t="str">
        <f aca="false">CONCATENATE(D885," ",LEFT(H885,4),"T=",AU885,"D=",AV885,"R=",AW885,"M=",AX885,"L=",AY885,"B=",AZ885)</f>
        <v>GARANSI T=1D=0R=0M=0L=1B=0</v>
      </c>
      <c r="G885" s="0" t="s">
        <v>4394</v>
      </c>
      <c r="I885" s="0" t="s">
        <v>1166</v>
      </c>
      <c r="J885" s="0" t="s">
        <v>4395</v>
      </c>
      <c r="K885" s="0" t="s">
        <v>160</v>
      </c>
      <c r="M885" s="0" t="s">
        <v>4396</v>
      </c>
      <c r="N885" s="0" t="str">
        <f aca="false">RIGHT(M885,LEN(M885)-FIND(" ",M885))</f>
        <v>HOMEWOOD AVE SE</v>
      </c>
      <c r="P885" s="0" t="s">
        <v>145</v>
      </c>
      <c r="Q885" s="0" t="s">
        <v>146</v>
      </c>
      <c r="R885" s="0" t="n">
        <v>44483</v>
      </c>
      <c r="AD885" s="0" t="s">
        <v>147</v>
      </c>
      <c r="AE885" s="0" t="s">
        <v>148</v>
      </c>
      <c r="AF885" s="0" t="s">
        <v>149</v>
      </c>
      <c r="AH885" s="0" t="n">
        <v>14</v>
      </c>
      <c r="AI885" s="0" t="n">
        <v>11</v>
      </c>
      <c r="AN885" s="0" t="s">
        <v>145</v>
      </c>
      <c r="AO885" s="0" t="s">
        <v>150</v>
      </c>
      <c r="AP885" s="0" t="s">
        <v>151</v>
      </c>
      <c r="AQ885" s="0" t="n">
        <v>9</v>
      </c>
      <c r="AR885" s="0" t="n">
        <v>64</v>
      </c>
      <c r="AS885" s="0" t="n">
        <v>32</v>
      </c>
      <c r="AU885" s="0" t="n">
        <f aca="false">COUNTA($BA$96:$EH$96)</f>
        <v>1</v>
      </c>
      <c r="AV885" s="0" t="n">
        <f aca="false">COUNTIF($BA$96:$EH$96,"D")</f>
        <v>0</v>
      </c>
      <c r="AW885" s="0" t="n">
        <f aca="false">COUNTIF($BA$96:$EH$96,"R")</f>
        <v>0</v>
      </c>
      <c r="AX885" s="0" t="n">
        <f aca="false">IF(BN885="D",1,0)+IF(BO885="D",1,0)+IF(BT885="D",1,0)+IF(BU885="D",1,0)+IF(BW885="D",1,0)+IF(CC885="D",1,0)+IF(CD885="D",1,0)+IF(CE885="D",1,0)+IF(CF885="D",1,0)+IF(CL885="D",1,0)+IF(CM885="D",1,0)+IF(CQ885="D",1,0)+IF(CR885="D",1,0)+IF(CS885="D",1,0)+IF(CW885="D",1,0)+IF(CX885="D",1,0)+IF(DD885="D",1,0)+IF(DE885="D",1,0)+IF(DJ885="D",1,0)+IF(DK885="D",1,0)+IF(DO885="D",1,0)+IF(DP885="D",1,0)+IF(DQ885="D",1,0)+IF(DW885="D",1,0)+IF(DZ885="D",1,0)+IF(EH885="D",1,0)</f>
        <v>0</v>
      </c>
      <c r="AY885" s="0" t="n">
        <f aca="false">COUNTIF(DU885:EH885, "&lt;&gt;")</f>
        <v>1</v>
      </c>
      <c r="AZ885" s="0" t="n">
        <f aca="false">IF(EH885&lt;&gt;"",1,0)</f>
        <v>0</v>
      </c>
      <c r="BB885" s="0" t="s">
        <v>152</v>
      </c>
      <c r="EF885" s="0" t="s">
        <v>153</v>
      </c>
    </row>
    <row r="886" customFormat="false" ht="13.8" hidden="true" customHeight="false" outlineLevel="0" collapsed="false">
      <c r="A886" s="0" t="s">
        <v>4397</v>
      </c>
      <c r="B886" s="0" t="n">
        <v>78</v>
      </c>
      <c r="C886" s="0" t="n">
        <v>428754</v>
      </c>
      <c r="D886" s="0" t="s">
        <v>4398</v>
      </c>
      <c r="E886" s="0" t="s">
        <v>4399</v>
      </c>
      <c r="F886" s="0" t="str">
        <f aca="false">CONCATENATE(D886," ",LEFT(H886,4),"T=",AU886,"D=",AV886,"R=",AW886,"M=",AX886,"L=",AY886,"B=",AZ886)</f>
        <v>MCELRATH T=3D=0R=0M=0L=1B=0</v>
      </c>
      <c r="G886" s="0" t="s">
        <v>487</v>
      </c>
      <c r="I886" s="0" t="s">
        <v>4400</v>
      </c>
      <c r="J886" s="0" t="s">
        <v>4401</v>
      </c>
      <c r="K886" s="0" t="s">
        <v>160</v>
      </c>
      <c r="M886" s="0" t="s">
        <v>4396</v>
      </c>
      <c r="N886" s="0" t="str">
        <f aca="false">RIGHT(M886,LEN(M886)-FIND(" ",M886))</f>
        <v>HOMEWOOD AVE SE</v>
      </c>
      <c r="P886" s="0" t="s">
        <v>145</v>
      </c>
      <c r="Q886" s="0" t="s">
        <v>146</v>
      </c>
      <c r="R886" s="0" t="n">
        <v>44483</v>
      </c>
      <c r="AD886" s="0" t="s">
        <v>147</v>
      </c>
      <c r="AE886" s="0" t="s">
        <v>148</v>
      </c>
      <c r="AF886" s="0" t="s">
        <v>149</v>
      </c>
      <c r="AH886" s="0" t="n">
        <v>14</v>
      </c>
      <c r="AI886" s="0" t="n">
        <v>11</v>
      </c>
      <c r="AN886" s="0" t="s">
        <v>145</v>
      </c>
      <c r="AO886" s="0" t="s">
        <v>150</v>
      </c>
      <c r="AP886" s="0" t="s">
        <v>151</v>
      </c>
      <c r="AQ886" s="0" t="n">
        <v>9</v>
      </c>
      <c r="AR886" s="0" t="n">
        <v>64</v>
      </c>
      <c r="AS886" s="0" t="n">
        <v>32</v>
      </c>
      <c r="AU886" s="0" t="n">
        <f aca="false">COUNTA($BA$683:$EH$683)</f>
        <v>3</v>
      </c>
      <c r="AV886" s="0" t="n">
        <f aca="false">COUNTIF($BA$683:$EH$683,"D")</f>
        <v>0</v>
      </c>
      <c r="AW886" s="0" t="n">
        <f aca="false">COUNTIF($BA$683:$EH$683,"R")</f>
        <v>0</v>
      </c>
      <c r="AX886" s="0" t="n">
        <f aca="false">IF(BN886="D",1,0)+IF(BO886="D",1,0)+IF(BT886="D",1,0)+IF(BU886="D",1,0)+IF(BW886="D",1,0)+IF(CC886="D",1,0)+IF(CD886="D",1,0)+IF(CE886="D",1,0)+IF(CF886="D",1,0)+IF(CL886="D",1,0)+IF(CM886="D",1,0)+IF(CQ886="D",1,0)+IF(CR886="D",1,0)+IF(CS886="D",1,0)+IF(CW886="D",1,0)+IF(CX886="D",1,0)+IF(DD886="D",1,0)+IF(DE886="D",1,0)+IF(DJ886="D",1,0)+IF(DK886="D",1,0)+IF(DO886="D",1,0)+IF(DP886="D",1,0)+IF(DQ886="D",1,0)+IF(DW886="D",1,0)+IF(DZ886="D",1,0)+IF(EH886="D",1,0)</f>
        <v>0</v>
      </c>
      <c r="AY886" s="0" t="n">
        <f aca="false">COUNTIF(DU886:EH886, "&lt;&gt;")</f>
        <v>1</v>
      </c>
      <c r="AZ886" s="0" t="n">
        <f aca="false">IF(EH886&lt;&gt;"",1,0)</f>
        <v>0</v>
      </c>
      <c r="BB886" s="0" t="s">
        <v>152</v>
      </c>
      <c r="DN886" s="0" t="s">
        <v>153</v>
      </c>
      <c r="EF886" s="0" t="s">
        <v>153</v>
      </c>
    </row>
    <row r="887" customFormat="false" ht="13.8" hidden="true" customHeight="false" outlineLevel="0" collapsed="false">
      <c r="A887" s="0" t="s">
        <v>4402</v>
      </c>
      <c r="B887" s="0" t="n">
        <v>78</v>
      </c>
      <c r="C887" s="0" t="n">
        <v>463185</v>
      </c>
      <c r="D887" s="0" t="s">
        <v>4403</v>
      </c>
      <c r="E887" s="0" t="s">
        <v>615</v>
      </c>
      <c r="F887" s="0" t="str">
        <f aca="false">CONCATENATE(D887," ",LEFT(H887,4),"T=",AU887,"D=",AV887,"R=",AW887,"M=",AX887,"L=",AY887,"B=",AZ887)</f>
        <v>FORTUNE T=13D=1R=0M=0L=0B=0</v>
      </c>
      <c r="G887" s="0" t="s">
        <v>164</v>
      </c>
      <c r="I887" s="0" t="s">
        <v>4404</v>
      </c>
      <c r="J887" s="0" t="s">
        <v>4405</v>
      </c>
      <c r="K887" s="0" t="s">
        <v>143</v>
      </c>
      <c r="M887" s="0" t="s">
        <v>4406</v>
      </c>
      <c r="N887" s="0" t="str">
        <f aca="false">RIGHT(M887,LEN(M887)-FIND(" ",M887))</f>
        <v>HOMEWOOD AVE SE</v>
      </c>
      <c r="P887" s="0" t="s">
        <v>145</v>
      </c>
      <c r="Q887" s="0" t="s">
        <v>146</v>
      </c>
      <c r="R887" s="0" t="n">
        <v>44483</v>
      </c>
      <c r="AD887" s="0" t="s">
        <v>147</v>
      </c>
      <c r="AE887" s="0" t="s">
        <v>148</v>
      </c>
      <c r="AF887" s="0" t="s">
        <v>149</v>
      </c>
      <c r="AH887" s="0" t="n">
        <v>14</v>
      </c>
      <c r="AI887" s="0" t="n">
        <v>11</v>
      </c>
      <c r="AN887" s="0" t="s">
        <v>145</v>
      </c>
      <c r="AO887" s="0" t="s">
        <v>150</v>
      </c>
      <c r="AP887" s="0" t="s">
        <v>151</v>
      </c>
      <c r="AQ887" s="0" t="n">
        <v>9</v>
      </c>
      <c r="AR887" s="0" t="n">
        <v>64</v>
      </c>
      <c r="AS887" s="0" t="n">
        <v>32</v>
      </c>
      <c r="AU887" s="0" t="n">
        <f aca="false">COUNTA($BA$1037:$EH$1037)</f>
        <v>13</v>
      </c>
      <c r="AV887" s="0" t="n">
        <f aca="false">COUNTIF($BA$1037:$EH$1037,"D")</f>
        <v>1</v>
      </c>
      <c r="AW887" s="0" t="n">
        <f aca="false">COUNTIF($BA$1037:$EH$1037,"R")</f>
        <v>0</v>
      </c>
      <c r="AX887" s="0" t="n">
        <f aca="false">IF(BN887="D",1,0)+IF(BO887="D",1,0)+IF(BT887="D",1,0)+IF(BU887="D",1,0)+IF(BW887="D",1,0)+IF(CC887="D",1,0)+IF(CD887="D",1,0)+IF(CE887="D",1,0)+IF(CF887="D",1,0)+IF(CL887="D",1,0)+IF(CM887="D",1,0)+IF(CQ887="D",1,0)+IF(CR887="D",1,0)+IF(CS887="D",1,0)+IF(CW887="D",1,0)+IF(CX887="D",1,0)+IF(DD887="D",1,0)+IF(DE887="D",1,0)+IF(DJ887="D",1,0)+IF(DK887="D",1,0)+IF(DO887="D",1,0)+IF(DP887="D",1,0)+IF(DQ887="D",1,0)+IF(DW887="D",1,0)+IF(DZ887="D",1,0)+IF(EH887="D",1,0)</f>
        <v>0</v>
      </c>
      <c r="AY887" s="0" t="n">
        <f aca="false">COUNTIF(DU887:EH887, "&lt;&gt;")</f>
        <v>0</v>
      </c>
      <c r="AZ887" s="0" t="n">
        <f aca="false">IF(EH887&lt;&gt;"",1,0)</f>
        <v>0</v>
      </c>
      <c r="BB887" s="0" t="s">
        <v>152</v>
      </c>
    </row>
    <row r="888" customFormat="false" ht="13.8" hidden="true" customHeight="false" outlineLevel="0" collapsed="false">
      <c r="A888" s="0" t="s">
        <v>4407</v>
      </c>
      <c r="B888" s="0" t="n">
        <v>78</v>
      </c>
      <c r="C888" s="0" t="n">
        <v>426029</v>
      </c>
      <c r="D888" s="0" t="s">
        <v>4408</v>
      </c>
      <c r="E888" s="0" t="s">
        <v>331</v>
      </c>
      <c r="F888" s="0" t="str">
        <f aca="false">CONCATENATE(D888," ",LEFT(H888,4),"T=",AU888,"D=",AV888,"R=",AW888,"M=",AX888,"L=",AY888,"B=",AZ888)</f>
        <v>TOBIAS T=2D=0R=0M=0L=0B=0</v>
      </c>
      <c r="G888" s="0" t="s">
        <v>379</v>
      </c>
      <c r="I888" s="0" t="s">
        <v>4409</v>
      </c>
      <c r="J888" s="0" t="s">
        <v>4410</v>
      </c>
      <c r="K888" s="0" t="s">
        <v>160</v>
      </c>
      <c r="M888" s="0" t="s">
        <v>4411</v>
      </c>
      <c r="N888" s="0" t="str">
        <f aca="false">RIGHT(M888,LEN(M888)-FIND(" ",M888))</f>
        <v>HOMEWOOD AVE SE</v>
      </c>
      <c r="P888" s="0" t="s">
        <v>145</v>
      </c>
      <c r="Q888" s="0" t="s">
        <v>146</v>
      </c>
      <c r="R888" s="0" t="n">
        <v>44483</v>
      </c>
      <c r="AD888" s="0" t="s">
        <v>147</v>
      </c>
      <c r="AE888" s="0" t="s">
        <v>148</v>
      </c>
      <c r="AF888" s="0" t="s">
        <v>149</v>
      </c>
      <c r="AH888" s="0" t="n">
        <v>14</v>
      </c>
      <c r="AI888" s="0" t="n">
        <v>11</v>
      </c>
      <c r="AN888" s="0" t="s">
        <v>145</v>
      </c>
      <c r="AO888" s="0" t="s">
        <v>150</v>
      </c>
      <c r="AP888" s="0" t="s">
        <v>151</v>
      </c>
      <c r="AQ888" s="0" t="n">
        <v>9</v>
      </c>
      <c r="AR888" s="0" t="n">
        <v>64</v>
      </c>
      <c r="AS888" s="0" t="n">
        <v>32</v>
      </c>
      <c r="AU888" s="0" t="n">
        <f aca="false">COUNTA($BA$77:$EH$77)</f>
        <v>2</v>
      </c>
      <c r="AV888" s="0" t="n">
        <f aca="false">COUNTIF($BA$77:$EH$77,"D")</f>
        <v>0</v>
      </c>
      <c r="AW888" s="0" t="n">
        <f aca="false">COUNTIF($BA$77:$EH$77,"R")</f>
        <v>0</v>
      </c>
      <c r="AX888" s="0" t="n">
        <f aca="false">IF(BN888="D",1,0)+IF(BO888="D",1,0)+IF(BT888="D",1,0)+IF(BU888="D",1,0)+IF(BW888="D",1,0)+IF(CC888="D",1,0)+IF(CD888="D",1,0)+IF(CE888="D",1,0)+IF(CF888="D",1,0)+IF(CL888="D",1,0)+IF(CM888="D",1,0)+IF(CQ888="D",1,0)+IF(CR888="D",1,0)+IF(CS888="D",1,0)+IF(CW888="D",1,0)+IF(CX888="D",1,0)+IF(DD888="D",1,0)+IF(DE888="D",1,0)+IF(DJ888="D",1,0)+IF(DK888="D",1,0)+IF(DO888="D",1,0)+IF(DP888="D",1,0)+IF(DQ888="D",1,0)+IF(DW888="D",1,0)+IF(DZ888="D",1,0)+IF(EH888="D",1,0)</f>
        <v>0</v>
      </c>
      <c r="AY888" s="0" t="n">
        <f aca="false">COUNTIF(DU888:EH888, "&lt;&gt;")</f>
        <v>0</v>
      </c>
      <c r="AZ888" s="0" t="n">
        <f aca="false">IF(EH888&lt;&gt;"",1,0)</f>
        <v>0</v>
      </c>
      <c r="BB888" s="0" t="s">
        <v>152</v>
      </c>
      <c r="DI888" s="0" t="s">
        <v>153</v>
      </c>
    </row>
    <row r="889" customFormat="false" ht="13.8" hidden="true" customHeight="false" outlineLevel="0" collapsed="false">
      <c r="A889" s="0" t="s">
        <v>4412</v>
      </c>
      <c r="B889" s="0" t="n">
        <v>78</v>
      </c>
      <c r="C889" s="0" t="n">
        <v>455489</v>
      </c>
      <c r="D889" s="0" t="s">
        <v>4413</v>
      </c>
      <c r="E889" s="0" t="s">
        <v>1781</v>
      </c>
      <c r="F889" s="0" t="str">
        <f aca="false">CONCATENATE(D889," ",LEFT(H889,4),"T=",AU889,"D=",AV889,"R=",AW889,"M=",AX889,"L=",AY889,"B=",AZ889)</f>
        <v>MYERS JRT=10D=1R=0M=0L=1B=0</v>
      </c>
      <c r="G889" s="0" t="s">
        <v>606</v>
      </c>
      <c r="H889" s="0" t="s">
        <v>314</v>
      </c>
      <c r="I889" s="0" t="s">
        <v>4414</v>
      </c>
      <c r="J889" s="0" t="s">
        <v>4415</v>
      </c>
      <c r="K889" s="0" t="s">
        <v>160</v>
      </c>
      <c r="M889" s="0" t="s">
        <v>4416</v>
      </c>
      <c r="N889" s="0" t="str">
        <f aca="false">RIGHT(M889,LEN(M889)-FIND(" ",M889))</f>
        <v>HOMEWOOD AVE SE</v>
      </c>
      <c r="P889" s="0" t="s">
        <v>145</v>
      </c>
      <c r="Q889" s="0" t="s">
        <v>146</v>
      </c>
      <c r="R889" s="0" t="n">
        <v>44483</v>
      </c>
      <c r="AD889" s="0" t="s">
        <v>147</v>
      </c>
      <c r="AE889" s="0" t="s">
        <v>148</v>
      </c>
      <c r="AF889" s="0" t="s">
        <v>149</v>
      </c>
      <c r="AH889" s="0" t="n">
        <v>14</v>
      </c>
      <c r="AI889" s="0" t="n">
        <v>11</v>
      </c>
      <c r="AN889" s="0" t="s">
        <v>145</v>
      </c>
      <c r="AO889" s="0" t="s">
        <v>150</v>
      </c>
      <c r="AP889" s="0" t="s">
        <v>151</v>
      </c>
      <c r="AQ889" s="0" t="n">
        <v>9</v>
      </c>
      <c r="AR889" s="0" t="n">
        <v>64</v>
      </c>
      <c r="AS889" s="0" t="n">
        <v>32</v>
      </c>
      <c r="AU889" s="0" t="n">
        <f aca="false">COUNTA($BA$470:$EH$470)</f>
        <v>10</v>
      </c>
      <c r="AV889" s="0" t="n">
        <f aca="false">COUNTIF($BA$470:$EH$470,"D")</f>
        <v>1</v>
      </c>
      <c r="AW889" s="0" t="n">
        <f aca="false">COUNTIF($BA$470:$EH$470,"R")</f>
        <v>0</v>
      </c>
      <c r="AX889" s="0" t="n">
        <f aca="false">IF(BN889="D",1,0)+IF(BO889="D",1,0)+IF(BT889="D",1,0)+IF(BU889="D",1,0)+IF(BW889="D",1,0)+IF(CC889="D",1,0)+IF(CD889="D",1,0)+IF(CE889="D",1,0)+IF(CF889="D",1,0)+IF(CL889="D",1,0)+IF(CM889="D",1,0)+IF(CQ889="D",1,0)+IF(CR889="D",1,0)+IF(CS889="D",1,0)+IF(CW889="D",1,0)+IF(CX889="D",1,0)+IF(DD889="D",1,0)+IF(DE889="D",1,0)+IF(DJ889="D",1,0)+IF(DK889="D",1,0)+IF(DO889="D",1,0)+IF(DP889="D",1,0)+IF(DQ889="D",1,0)+IF(DW889="D",1,0)+IF(DZ889="D",1,0)+IF(EH889="D",1,0)</f>
        <v>0</v>
      </c>
      <c r="AY889" s="0" t="n">
        <f aca="false">COUNTIF(DU889:EH889, "&lt;&gt;")</f>
        <v>1</v>
      </c>
      <c r="AZ889" s="0" t="n">
        <f aca="false">IF(EH889&lt;&gt;"",1,0)</f>
        <v>0</v>
      </c>
      <c r="BB889" s="0" t="s">
        <v>152</v>
      </c>
      <c r="BS889" s="0" t="s">
        <v>153</v>
      </c>
      <c r="BY889" s="0" t="s">
        <v>175</v>
      </c>
      <c r="CA889" s="0" t="s">
        <v>153</v>
      </c>
      <c r="CP889" s="0" t="s">
        <v>153</v>
      </c>
      <c r="EF889" s="0" t="s">
        <v>153</v>
      </c>
    </row>
    <row r="890" customFormat="false" ht="13.8" hidden="true" customHeight="false" outlineLevel="0" collapsed="false">
      <c r="A890" s="0" t="s">
        <v>4417</v>
      </c>
      <c r="B890" s="0" t="n">
        <v>78</v>
      </c>
      <c r="C890" s="0" t="n">
        <v>300571</v>
      </c>
      <c r="D890" s="0" t="s">
        <v>4413</v>
      </c>
      <c r="E890" s="0" t="s">
        <v>367</v>
      </c>
      <c r="F890" s="0" t="str">
        <f aca="false">CONCATENATE(D890," ",LEFT(H890,4),"T=",AU890,"D=",AV890,"R=",AW890,"M=",AX890,"L=",AY890,"B=",AZ890)</f>
        <v>MYERS T=5D=1R=0M=1L=1B=0</v>
      </c>
      <c r="G890" s="0" t="s">
        <v>267</v>
      </c>
      <c r="I890" s="0" t="s">
        <v>4418</v>
      </c>
      <c r="J890" s="0" t="s">
        <v>4419</v>
      </c>
      <c r="K890" s="0" t="s">
        <v>160</v>
      </c>
      <c r="M890" s="0" t="s">
        <v>4416</v>
      </c>
      <c r="N890" s="0" t="str">
        <f aca="false">RIGHT(M890,LEN(M890)-FIND(" ",M890))</f>
        <v>HOMEWOOD AVE SE</v>
      </c>
      <c r="P890" s="0" t="s">
        <v>145</v>
      </c>
      <c r="Q890" s="0" t="s">
        <v>146</v>
      </c>
      <c r="R890" s="0" t="n">
        <v>44483</v>
      </c>
      <c r="AD890" s="0" t="s">
        <v>147</v>
      </c>
      <c r="AE890" s="0" t="s">
        <v>148</v>
      </c>
      <c r="AF890" s="0" t="s">
        <v>149</v>
      </c>
      <c r="AH890" s="0" t="n">
        <v>14</v>
      </c>
      <c r="AI890" s="0" t="n">
        <v>11</v>
      </c>
      <c r="AN890" s="0" t="s">
        <v>145</v>
      </c>
      <c r="AO890" s="0" t="s">
        <v>150</v>
      </c>
      <c r="AP890" s="0" t="s">
        <v>151</v>
      </c>
      <c r="AQ890" s="0" t="n">
        <v>9</v>
      </c>
      <c r="AR890" s="0" t="n">
        <v>64</v>
      </c>
      <c r="AS890" s="0" t="n">
        <v>32</v>
      </c>
      <c r="AU890" s="0" t="n">
        <f aca="false">COUNTA($BA$1020:$EH$1020)</f>
        <v>5</v>
      </c>
      <c r="AV890" s="0" t="n">
        <f aca="false">COUNTIF($BA$1020:$EH$1020,"D")</f>
        <v>1</v>
      </c>
      <c r="AW890" s="0" t="n">
        <f aca="false">COUNTIF($BA$1020:$EH$1020,"R")</f>
        <v>0</v>
      </c>
      <c r="AX890" s="0" t="n">
        <f aca="false">IF(BN890="D",1,0)+IF(BO890="D",1,0)+IF(BT890="D",1,0)+IF(BU890="D",1,0)+IF(BW890="D",1,0)+IF(CC890="D",1,0)+IF(CD890="D",1,0)+IF(CE890="D",1,0)+IF(CF890="D",1,0)+IF(CL890="D",1,0)+IF(CM890="D",1,0)+IF(CQ890="D",1,0)+IF(CR890="D",1,0)+IF(CS890="D",1,0)+IF(CW890="D",1,0)+IF(CX890="D",1,0)+IF(DD890="D",1,0)+IF(DE890="D",1,0)+IF(DJ890="D",1,0)+IF(DK890="D",1,0)+IF(DO890="D",1,0)+IF(DP890="D",1,0)+IF(DQ890="D",1,0)+IF(DW890="D",1,0)+IF(DZ890="D",1,0)+IF(EH890="D",1,0)</f>
        <v>1</v>
      </c>
      <c r="AY890" s="0" t="n">
        <f aca="false">COUNTIF(DU890:EH890, "&lt;&gt;")</f>
        <v>1</v>
      </c>
      <c r="AZ890" s="0" t="n">
        <f aca="false">IF(EH890&lt;&gt;"",1,0)</f>
        <v>0</v>
      </c>
      <c r="BB890" s="0" t="s">
        <v>152</v>
      </c>
      <c r="BY890" s="0" t="s">
        <v>175</v>
      </c>
      <c r="CA890" s="0" t="s">
        <v>153</v>
      </c>
      <c r="CK890" s="0" t="s">
        <v>153</v>
      </c>
      <c r="CL890" s="0" t="s">
        <v>175</v>
      </c>
      <c r="CN890" s="0" t="s">
        <v>153</v>
      </c>
      <c r="CO890" s="0" t="s">
        <v>209</v>
      </c>
      <c r="CP890" s="0" t="s">
        <v>153</v>
      </c>
      <c r="CY890" s="0" t="s">
        <v>153</v>
      </c>
      <c r="DI890" s="0" t="s">
        <v>153</v>
      </c>
      <c r="EF890" s="0" t="s">
        <v>153</v>
      </c>
    </row>
    <row r="891" customFormat="false" ht="13.8" hidden="true" customHeight="false" outlineLevel="0" collapsed="false">
      <c r="A891" s="0" t="s">
        <v>4420</v>
      </c>
      <c r="B891" s="0" t="n">
        <v>78</v>
      </c>
      <c r="C891" s="0" t="n">
        <v>443111</v>
      </c>
      <c r="D891" s="0" t="s">
        <v>3193</v>
      </c>
      <c r="E891" s="0" t="s">
        <v>4421</v>
      </c>
      <c r="F891" s="0" t="str">
        <f aca="false">CONCATENATE(D891," ",LEFT(H891,4),"T=",AU891,"D=",AV891,"R=",AW891,"M=",AX891,"L=",AY891,"B=",AZ891)</f>
        <v>CARTER T=1D=0R=0M=0L=0B=0</v>
      </c>
      <c r="G891" s="0" t="s">
        <v>237</v>
      </c>
      <c r="I891" s="0" t="s">
        <v>4422</v>
      </c>
      <c r="J891" s="0" t="s">
        <v>4423</v>
      </c>
      <c r="K891" s="0" t="s">
        <v>160</v>
      </c>
      <c r="M891" s="0" t="s">
        <v>4424</v>
      </c>
      <c r="N891" s="0" t="str">
        <f aca="false">RIGHT(M891,LEN(M891)-FIND(" ",M891))</f>
        <v>HOMEWOOD AVE SE</v>
      </c>
      <c r="P891" s="0" t="s">
        <v>145</v>
      </c>
      <c r="Q891" s="0" t="s">
        <v>146</v>
      </c>
      <c r="R891" s="0" t="n">
        <v>44483</v>
      </c>
      <c r="AD891" s="0" t="s">
        <v>147</v>
      </c>
      <c r="AE891" s="0" t="s">
        <v>148</v>
      </c>
      <c r="AF891" s="0" t="s">
        <v>149</v>
      </c>
      <c r="AH891" s="0" t="n">
        <v>14</v>
      </c>
      <c r="AI891" s="0" t="n">
        <v>11</v>
      </c>
      <c r="AN891" s="0" t="s">
        <v>145</v>
      </c>
      <c r="AO891" s="0" t="s">
        <v>150</v>
      </c>
      <c r="AP891" s="0" t="s">
        <v>151</v>
      </c>
      <c r="AQ891" s="0" t="n">
        <v>9</v>
      </c>
      <c r="AR891" s="0" t="n">
        <v>64</v>
      </c>
      <c r="AS891" s="0" t="n">
        <v>32</v>
      </c>
      <c r="AU891" s="0" t="n">
        <f aca="false">COUNTA($BA$523:$EH$523)</f>
        <v>1</v>
      </c>
      <c r="AV891" s="0" t="n">
        <f aca="false">COUNTIF($BA$523:$EH$523,"D")</f>
        <v>0</v>
      </c>
      <c r="AW891" s="0" t="n">
        <f aca="false">COUNTIF($BA$523:$EH$523,"R")</f>
        <v>0</v>
      </c>
      <c r="AX891" s="0" t="n">
        <f aca="false">IF(BN891="D",1,0)+IF(BO891="D",1,0)+IF(BT891="D",1,0)+IF(BU891="D",1,0)+IF(BW891="D",1,0)+IF(CC891="D",1,0)+IF(CD891="D",1,0)+IF(CE891="D",1,0)+IF(CF891="D",1,0)+IF(CL891="D",1,0)+IF(CM891="D",1,0)+IF(CQ891="D",1,0)+IF(CR891="D",1,0)+IF(CS891="D",1,0)+IF(CW891="D",1,0)+IF(CX891="D",1,0)+IF(DD891="D",1,0)+IF(DE891="D",1,0)+IF(DJ891="D",1,0)+IF(DK891="D",1,0)+IF(DO891="D",1,0)+IF(DP891="D",1,0)+IF(DQ891="D",1,0)+IF(DW891="D",1,0)+IF(DZ891="D",1,0)+IF(EH891="D",1,0)</f>
        <v>0</v>
      </c>
      <c r="AY891" s="0" t="n">
        <f aca="false">COUNTIF(DU891:EH891, "&lt;&gt;")</f>
        <v>0</v>
      </c>
      <c r="AZ891" s="0" t="n">
        <f aca="false">IF(EH891&lt;&gt;"",1,0)</f>
        <v>0</v>
      </c>
      <c r="BB891" s="0" t="s">
        <v>152</v>
      </c>
    </row>
    <row r="892" customFormat="false" ht="13.8" hidden="false" customHeight="false" outlineLevel="0" collapsed="false">
      <c r="A892" s="0" t="s">
        <v>4425</v>
      </c>
      <c r="B892" s="0" t="n">
        <v>78</v>
      </c>
      <c r="C892" s="0" t="n">
        <v>254245</v>
      </c>
      <c r="D892" s="0" t="s">
        <v>1744</v>
      </c>
      <c r="E892" s="0" t="s">
        <v>719</v>
      </c>
      <c r="F892" s="0" t="str">
        <f aca="false">CONCATENATE(D892," ",LEFT(H892,4),"T=",AU892,"D=",AV892,"R=",AW892,"M=",AX892,"L=",AY892,"B=",AZ892)</f>
        <v>WALKER SRT=6D=0R=0M=2L=7B=1</v>
      </c>
      <c r="G892" s="0" t="s">
        <v>195</v>
      </c>
      <c r="H892" s="0" t="s">
        <v>216</v>
      </c>
      <c r="I892" s="0" t="s">
        <v>4426</v>
      </c>
      <c r="J892" s="0" t="s">
        <v>4427</v>
      </c>
      <c r="K892" s="0" t="s">
        <v>160</v>
      </c>
      <c r="L892" s="0" t="s">
        <v>175</v>
      </c>
      <c r="M892" s="0" t="s">
        <v>4428</v>
      </c>
      <c r="N892" s="0" t="str">
        <f aca="false">RIGHT(M892,LEN(M892)-FIND(" ",M892))</f>
        <v>HOMEWOOD AVE SE</v>
      </c>
      <c r="P892" s="0" t="s">
        <v>145</v>
      </c>
      <c r="Q892" s="0" t="s">
        <v>146</v>
      </c>
      <c r="R892" s="0" t="n">
        <v>44483</v>
      </c>
      <c r="S892" s="0" t="n">
        <v>6007</v>
      </c>
      <c r="AD892" s="0" t="s">
        <v>147</v>
      </c>
      <c r="AE892" s="0" t="s">
        <v>148</v>
      </c>
      <c r="AF892" s="0" t="s">
        <v>149</v>
      </c>
      <c r="AH892" s="0" t="n">
        <v>14</v>
      </c>
      <c r="AI892" s="0" t="n">
        <v>11</v>
      </c>
      <c r="AN892" s="0" t="s">
        <v>145</v>
      </c>
      <c r="AO892" s="0" t="s">
        <v>150</v>
      </c>
      <c r="AP892" s="0" t="s">
        <v>151</v>
      </c>
      <c r="AQ892" s="0" t="n">
        <v>9</v>
      </c>
      <c r="AR892" s="0" t="n">
        <v>64</v>
      </c>
      <c r="AS892" s="0" t="n">
        <v>32</v>
      </c>
      <c r="AU892" s="0" t="n">
        <f aca="false">COUNTA($BA$1012:$EH$1012)</f>
        <v>6</v>
      </c>
      <c r="AV892" s="0" t="n">
        <f aca="false">COUNTIF($BA$1012:$EH$1012,"D")</f>
        <v>0</v>
      </c>
      <c r="AW892" s="0" t="n">
        <f aca="false">COUNTIF($BA$1012:$EH$1012,"R")</f>
        <v>0</v>
      </c>
      <c r="AX892" s="0" t="n">
        <f aca="false">IF(BN892="D",1,0)+IF(BO892="D",1,0)+IF(BT892="D",1,0)+IF(BU892="D",1,0)+IF(BW892="D",1,0)+IF(CC892="D",1,0)+IF(CD892="D",1,0)+IF(CE892="D",1,0)+IF(CF892="D",1,0)+IF(CL892="D",1,0)+IF(CM892="D",1,0)+IF(CQ892="D",1,0)+IF(CR892="D",1,0)+IF(CS892="D",1,0)+IF(CW892="D",1,0)+IF(CX892="D",1,0)+IF(DD892="D",1,0)+IF(DE892="D",1,0)+IF(DJ892="D",1,0)+IF(DK892="D",1,0)+IF(DO892="D",1,0)+IF(DP892="D",1,0)+IF(DQ892="D",1,0)+IF(DW892="D",1,0)+IF(DZ892="D",1,0)+IF(EH892="D",1,0)</f>
        <v>2</v>
      </c>
      <c r="AY892" s="0" t="n">
        <f aca="false">COUNTIF(DU892:EH892, "&lt;&gt;")</f>
        <v>7</v>
      </c>
      <c r="AZ892" s="0" t="n">
        <f aca="false">IF(EH892&lt;&gt;"",1,0)</f>
        <v>1</v>
      </c>
      <c r="BB892" s="0" t="s">
        <v>152</v>
      </c>
      <c r="BC892" s="0" t="s">
        <v>153</v>
      </c>
      <c r="BD892" s="0" t="s">
        <v>153</v>
      </c>
      <c r="BH892" s="0" t="s">
        <v>153</v>
      </c>
      <c r="BJ892" s="0" t="s">
        <v>153</v>
      </c>
      <c r="BL892" s="0" t="s">
        <v>153</v>
      </c>
      <c r="BP892" s="0" t="s">
        <v>153</v>
      </c>
      <c r="BS892" s="0" t="s">
        <v>153</v>
      </c>
      <c r="BV892" s="0" t="s">
        <v>153</v>
      </c>
      <c r="BY892" s="0" t="s">
        <v>209</v>
      </c>
      <c r="CA892" s="0" t="s">
        <v>153</v>
      </c>
      <c r="CH892" s="0" t="s">
        <v>209</v>
      </c>
      <c r="CK892" s="0" t="s">
        <v>153</v>
      </c>
      <c r="CN892" s="0" t="s">
        <v>153</v>
      </c>
      <c r="CO892" s="0" t="s">
        <v>209</v>
      </c>
      <c r="CP892" s="0" t="s">
        <v>153</v>
      </c>
      <c r="CV892" s="0" t="s">
        <v>153</v>
      </c>
      <c r="CY892" s="0" t="s">
        <v>153</v>
      </c>
      <c r="CZ892" s="0" t="s">
        <v>209</v>
      </c>
      <c r="DC892" s="0" t="s">
        <v>153</v>
      </c>
      <c r="DF892" s="0" t="s">
        <v>153</v>
      </c>
      <c r="DI892" s="0" t="s">
        <v>153</v>
      </c>
      <c r="DL892" s="0" t="s">
        <v>153</v>
      </c>
      <c r="DN892" s="0" t="s">
        <v>153</v>
      </c>
      <c r="DR892" s="0" t="s">
        <v>153</v>
      </c>
      <c r="DU892" s="0" t="s">
        <v>153</v>
      </c>
      <c r="DW892" s="0" t="s">
        <v>175</v>
      </c>
      <c r="DX892" s="0" t="s">
        <v>153</v>
      </c>
      <c r="EA892" s="0" t="s">
        <v>153</v>
      </c>
      <c r="ED892" s="0" t="s">
        <v>209</v>
      </c>
      <c r="EF892" s="0" t="s">
        <v>153</v>
      </c>
      <c r="EH892" s="0" t="s">
        <v>175</v>
      </c>
    </row>
    <row r="893" customFormat="false" ht="13.8" hidden="true" customHeight="false" outlineLevel="0" collapsed="false">
      <c r="A893" s="0" t="s">
        <v>4429</v>
      </c>
      <c r="B893" s="0" t="n">
        <v>78</v>
      </c>
      <c r="C893" s="0" t="n">
        <v>304339</v>
      </c>
      <c r="D893" s="0" t="s">
        <v>4430</v>
      </c>
      <c r="E893" s="0" t="s">
        <v>208</v>
      </c>
      <c r="F893" s="0" t="str">
        <f aca="false">CONCATENATE(D893," ",LEFT(H893,4),"T=",AU893,"D=",AV893,"R=",AW893,"M=",AX893,"L=",AY893,"B=",AZ893)</f>
        <v>DURF T=5D=0R=0M=0L=1B=0</v>
      </c>
      <c r="G893" s="0" t="s">
        <v>171</v>
      </c>
      <c r="I893" s="0" t="s">
        <v>4431</v>
      </c>
      <c r="J893" s="0" t="s">
        <v>1489</v>
      </c>
      <c r="K893" s="0" t="s">
        <v>160</v>
      </c>
      <c r="M893" s="0" t="s">
        <v>4432</v>
      </c>
      <c r="N893" s="0" t="str">
        <f aca="false">RIGHT(M893,LEN(M893)-FIND(" ",M893))</f>
        <v>HOMEWOOD AVE SE</v>
      </c>
      <c r="P893" s="0" t="s">
        <v>145</v>
      </c>
      <c r="Q893" s="0" t="s">
        <v>146</v>
      </c>
      <c r="R893" s="0" t="n">
        <v>44483</v>
      </c>
      <c r="AD893" s="0" t="s">
        <v>147</v>
      </c>
      <c r="AE893" s="0" t="s">
        <v>148</v>
      </c>
      <c r="AF893" s="0" t="s">
        <v>149</v>
      </c>
      <c r="AH893" s="0" t="n">
        <v>14</v>
      </c>
      <c r="AI893" s="0" t="n">
        <v>11</v>
      </c>
      <c r="AN893" s="0" t="s">
        <v>145</v>
      </c>
      <c r="AO893" s="0" t="s">
        <v>150</v>
      </c>
      <c r="AP893" s="0" t="s">
        <v>151</v>
      </c>
      <c r="AQ893" s="0" t="n">
        <v>9</v>
      </c>
      <c r="AR893" s="0" t="n">
        <v>64</v>
      </c>
      <c r="AS893" s="0" t="n">
        <v>32</v>
      </c>
      <c r="AU893" s="0" t="n">
        <f aca="false">COUNTA($BA$243:$EH$243)</f>
        <v>5</v>
      </c>
      <c r="AV893" s="0" t="n">
        <f aca="false">COUNTIF($BA$243:$EH$243,"D")</f>
        <v>0</v>
      </c>
      <c r="AW893" s="0" t="n">
        <f aca="false">COUNTIF($BA$243:$EH$243,"R")</f>
        <v>0</v>
      </c>
      <c r="AX893" s="0" t="n">
        <f aca="false">IF(BN893="D",1,0)+IF(BO893="D",1,0)+IF(BT893="D",1,0)+IF(BU893="D",1,0)+IF(BW893="D",1,0)+IF(CC893="D",1,0)+IF(CD893="D",1,0)+IF(CE893="D",1,0)+IF(CF893="D",1,0)+IF(CL893="D",1,0)+IF(CM893="D",1,0)+IF(CQ893="D",1,0)+IF(CR893="D",1,0)+IF(CS893="D",1,0)+IF(CW893="D",1,0)+IF(CX893="D",1,0)+IF(DD893="D",1,0)+IF(DE893="D",1,0)+IF(DJ893="D",1,0)+IF(DK893="D",1,0)+IF(DO893="D",1,0)+IF(DP893="D",1,0)+IF(DQ893="D",1,0)+IF(DW893="D",1,0)+IF(DZ893="D",1,0)+IF(EH893="D",1,0)</f>
        <v>0</v>
      </c>
      <c r="AY893" s="0" t="n">
        <f aca="false">COUNTIF(DU893:EH893, "&lt;&gt;")</f>
        <v>1</v>
      </c>
      <c r="AZ893" s="0" t="n">
        <f aca="false">IF(EH893&lt;&gt;"",1,0)</f>
        <v>0</v>
      </c>
      <c r="BB893" s="0" t="s">
        <v>152</v>
      </c>
      <c r="BL893" s="0" t="s">
        <v>153</v>
      </c>
      <c r="CA893" s="0" t="s">
        <v>153</v>
      </c>
      <c r="CN893" s="0" t="s">
        <v>153</v>
      </c>
      <c r="CP893" s="0" t="s">
        <v>153</v>
      </c>
      <c r="DN893" s="0" t="s">
        <v>153</v>
      </c>
      <c r="EF893" s="0" t="s">
        <v>153</v>
      </c>
    </row>
    <row r="894" customFormat="false" ht="13.8" hidden="true" customHeight="false" outlineLevel="0" collapsed="false">
      <c r="A894" s="0" t="s">
        <v>4433</v>
      </c>
      <c r="B894" s="0" t="n">
        <v>78</v>
      </c>
      <c r="C894" s="0" t="n">
        <v>327259</v>
      </c>
      <c r="D894" s="0" t="s">
        <v>1997</v>
      </c>
      <c r="E894" s="0" t="s">
        <v>3404</v>
      </c>
      <c r="F894" s="0" t="str">
        <f aca="false">CONCATENATE(D894," ",LEFT(H894,4),"T=",AU894,"D=",AV894,"R=",AW894,"M=",AX894,"L=",AY894,"B=",AZ894)</f>
        <v>BARTLETT T=6D=0R=0M=0L=1B=0</v>
      </c>
      <c r="G894" s="0" t="s">
        <v>171</v>
      </c>
      <c r="I894" s="0" t="s">
        <v>4434</v>
      </c>
      <c r="J894" s="0" t="s">
        <v>1489</v>
      </c>
      <c r="K894" s="0" t="s">
        <v>160</v>
      </c>
      <c r="M894" s="0" t="s">
        <v>4432</v>
      </c>
      <c r="N894" s="0" t="str">
        <f aca="false">RIGHT(M894,LEN(M894)-FIND(" ",M894))</f>
        <v>HOMEWOOD AVE SE</v>
      </c>
      <c r="P894" s="0" t="s">
        <v>145</v>
      </c>
      <c r="Q894" s="0" t="s">
        <v>146</v>
      </c>
      <c r="R894" s="0" t="n">
        <v>44483</v>
      </c>
      <c r="AD894" s="0" t="s">
        <v>147</v>
      </c>
      <c r="AE894" s="0" t="s">
        <v>148</v>
      </c>
      <c r="AF894" s="0" t="s">
        <v>149</v>
      </c>
      <c r="AH894" s="0" t="n">
        <v>14</v>
      </c>
      <c r="AI894" s="0" t="n">
        <v>11</v>
      </c>
      <c r="AN894" s="0" t="s">
        <v>145</v>
      </c>
      <c r="AO894" s="0" t="s">
        <v>150</v>
      </c>
      <c r="AP894" s="0" t="s">
        <v>151</v>
      </c>
      <c r="AQ894" s="0" t="n">
        <v>9</v>
      </c>
      <c r="AR894" s="0" t="n">
        <v>64</v>
      </c>
      <c r="AS894" s="0" t="n">
        <v>32</v>
      </c>
      <c r="AU894" s="0" t="n">
        <f aca="false">COUNTA($BA$295:$EH$295)</f>
        <v>6</v>
      </c>
      <c r="AV894" s="0" t="n">
        <f aca="false">COUNTIF($BA$295:$EH$295,"D")</f>
        <v>0</v>
      </c>
      <c r="AW894" s="0" t="n">
        <f aca="false">COUNTIF($BA$295:$EH$295,"R")</f>
        <v>0</v>
      </c>
      <c r="AX894" s="0" t="n">
        <f aca="false">IF(BN894="D",1,0)+IF(BO894="D",1,0)+IF(BT894="D",1,0)+IF(BU894="D",1,0)+IF(BW894="D",1,0)+IF(CC894="D",1,0)+IF(CD894="D",1,0)+IF(CE894="D",1,0)+IF(CF894="D",1,0)+IF(CL894="D",1,0)+IF(CM894="D",1,0)+IF(CQ894="D",1,0)+IF(CR894="D",1,0)+IF(CS894="D",1,0)+IF(CW894="D",1,0)+IF(CX894="D",1,0)+IF(DD894="D",1,0)+IF(DE894="D",1,0)+IF(DJ894="D",1,0)+IF(DK894="D",1,0)+IF(DO894="D",1,0)+IF(DP894="D",1,0)+IF(DQ894="D",1,0)+IF(DW894="D",1,0)+IF(DZ894="D",1,0)+IF(EH894="D",1,0)</f>
        <v>0</v>
      </c>
      <c r="AY894" s="0" t="n">
        <f aca="false">COUNTIF(DU894:EH894, "&lt;&gt;")</f>
        <v>1</v>
      </c>
      <c r="AZ894" s="0" t="n">
        <f aca="false">IF(EH894&lt;&gt;"",1,0)</f>
        <v>0</v>
      </c>
      <c r="BB894" s="0" t="s">
        <v>152</v>
      </c>
      <c r="BL894" s="0" t="s">
        <v>153</v>
      </c>
      <c r="CA894" s="0" t="s">
        <v>153</v>
      </c>
      <c r="CN894" s="0" t="s">
        <v>153</v>
      </c>
      <c r="CP894" s="0" t="s">
        <v>153</v>
      </c>
      <c r="DN894" s="0" t="s">
        <v>153</v>
      </c>
      <c r="EF894" s="0" t="s">
        <v>153</v>
      </c>
    </row>
    <row r="895" customFormat="false" ht="13.8" hidden="true" customHeight="false" outlineLevel="0" collapsed="false">
      <c r="A895" s="0" t="s">
        <v>4435</v>
      </c>
      <c r="B895" s="0" t="n">
        <v>78</v>
      </c>
      <c r="C895" s="0" t="n">
        <v>408210</v>
      </c>
      <c r="D895" s="0" t="s">
        <v>2612</v>
      </c>
      <c r="E895" s="0" t="s">
        <v>2214</v>
      </c>
      <c r="F895" s="0" t="str">
        <f aca="false">CONCATENATE(D895," ",LEFT(H895,4),"T=",AU895,"D=",AV895,"R=",AW895,"M=",AX895,"L=",AY895,"B=",AZ895)</f>
        <v>SIMMONS T=1D=0R=0M=0L=0B=0</v>
      </c>
      <c r="G895" s="0" t="s">
        <v>171</v>
      </c>
      <c r="I895" s="0" t="s">
        <v>4436</v>
      </c>
      <c r="J895" s="0" t="s">
        <v>2132</v>
      </c>
      <c r="K895" s="0" t="s">
        <v>143</v>
      </c>
      <c r="M895" s="0" t="s">
        <v>4437</v>
      </c>
      <c r="N895" s="0" t="str">
        <f aca="false">RIGHT(M895,LEN(M895)-FIND(" ",M895))</f>
        <v>HOMEWOOD AVE SE</v>
      </c>
      <c r="P895" s="0" t="s">
        <v>145</v>
      </c>
      <c r="Q895" s="0" t="s">
        <v>146</v>
      </c>
      <c r="R895" s="0" t="n">
        <v>44483</v>
      </c>
      <c r="AD895" s="0" t="s">
        <v>147</v>
      </c>
      <c r="AE895" s="0" t="s">
        <v>148</v>
      </c>
      <c r="AF895" s="0" t="s">
        <v>149</v>
      </c>
      <c r="AH895" s="0" t="n">
        <v>14</v>
      </c>
      <c r="AI895" s="0" t="n">
        <v>11</v>
      </c>
      <c r="AN895" s="0" t="s">
        <v>145</v>
      </c>
      <c r="AO895" s="0" t="s">
        <v>150</v>
      </c>
      <c r="AP895" s="0" t="s">
        <v>151</v>
      </c>
      <c r="AQ895" s="0" t="n">
        <v>9</v>
      </c>
      <c r="AR895" s="0" t="n">
        <v>64</v>
      </c>
      <c r="AS895" s="0" t="n">
        <v>32</v>
      </c>
      <c r="AU895" s="0" t="n">
        <f aca="false">COUNTA($BA$293:$EH$293)</f>
        <v>1</v>
      </c>
      <c r="AV895" s="0" t="n">
        <f aca="false">COUNTIF($BA$293:$EH$293,"D")</f>
        <v>0</v>
      </c>
      <c r="AW895" s="0" t="n">
        <f aca="false">COUNTIF($BA$293:$EH$293,"R")</f>
        <v>0</v>
      </c>
      <c r="AX895" s="0" t="n">
        <f aca="false">IF(BN895="D",1,0)+IF(BO895="D",1,0)+IF(BT895="D",1,0)+IF(BU895="D",1,0)+IF(BW895="D",1,0)+IF(CC895="D",1,0)+IF(CD895="D",1,0)+IF(CE895="D",1,0)+IF(CF895="D",1,0)+IF(CL895="D",1,0)+IF(CM895="D",1,0)+IF(CQ895="D",1,0)+IF(CR895="D",1,0)+IF(CS895="D",1,0)+IF(CW895="D",1,0)+IF(CX895="D",1,0)+IF(DD895="D",1,0)+IF(DE895="D",1,0)+IF(DJ895="D",1,0)+IF(DK895="D",1,0)+IF(DO895="D",1,0)+IF(DP895="D",1,0)+IF(DQ895="D",1,0)+IF(DW895="D",1,0)+IF(DZ895="D",1,0)+IF(EH895="D",1,0)</f>
        <v>0</v>
      </c>
      <c r="AY895" s="0" t="n">
        <f aca="false">COUNTIF(DU895:EH895, "&lt;&gt;")</f>
        <v>0</v>
      </c>
      <c r="AZ895" s="0" t="n">
        <f aca="false">IF(EH895&lt;&gt;"",1,0)</f>
        <v>0</v>
      </c>
      <c r="BB895" s="0" t="s">
        <v>152</v>
      </c>
    </row>
    <row r="896" customFormat="false" ht="13.8" hidden="false" customHeight="false" outlineLevel="0" collapsed="false">
      <c r="A896" s="0" t="s">
        <v>4438</v>
      </c>
      <c r="B896" s="0" t="n">
        <v>78</v>
      </c>
      <c r="C896" s="0" t="n">
        <v>314214</v>
      </c>
      <c r="D896" s="0" t="s">
        <v>4439</v>
      </c>
      <c r="E896" s="0" t="s">
        <v>1902</v>
      </c>
      <c r="F896" s="0" t="str">
        <f aca="false">CONCATENATE(D896," ",LEFT(H896,4),"T=",AU896,"D=",AV896,"R=",AW896,"M=",AX896,"L=",AY896,"B=",AZ896)</f>
        <v>GOYZUETA T=1D=0R=0M=0L=3B=0</v>
      </c>
      <c r="G896" s="0" t="s">
        <v>171</v>
      </c>
      <c r="I896" s="0" t="s">
        <v>4440</v>
      </c>
      <c r="J896" s="0" t="s">
        <v>4441</v>
      </c>
      <c r="K896" s="0" t="s">
        <v>160</v>
      </c>
      <c r="M896" s="0" t="s">
        <v>4442</v>
      </c>
      <c r="N896" s="0" t="str">
        <f aca="false">RIGHT(M896,LEN(M896)-FIND(" ",M896))</f>
        <v>HOMEWOOD AVE SE</v>
      </c>
      <c r="P896" s="0" t="s">
        <v>145</v>
      </c>
      <c r="Q896" s="0" t="s">
        <v>146</v>
      </c>
      <c r="R896" s="0" t="n">
        <v>44483</v>
      </c>
      <c r="AD896" s="0" t="s">
        <v>147</v>
      </c>
      <c r="AE896" s="0" t="s">
        <v>148</v>
      </c>
      <c r="AF896" s="0" t="s">
        <v>149</v>
      </c>
      <c r="AH896" s="0" t="n">
        <v>14</v>
      </c>
      <c r="AI896" s="0" t="n">
        <v>11</v>
      </c>
      <c r="AN896" s="0" t="s">
        <v>145</v>
      </c>
      <c r="AO896" s="0" t="s">
        <v>150</v>
      </c>
      <c r="AP896" s="0" t="s">
        <v>151</v>
      </c>
      <c r="AQ896" s="0" t="n">
        <v>9</v>
      </c>
      <c r="AR896" s="0" t="n">
        <v>64</v>
      </c>
      <c r="AS896" s="0" t="n">
        <v>32</v>
      </c>
      <c r="AU896" s="0" t="n">
        <f aca="false">COUNTA($BA$202:$EH$202)</f>
        <v>1</v>
      </c>
      <c r="AV896" s="0" t="n">
        <f aca="false">COUNTIF($BA$202:$EH$202,"D")</f>
        <v>0</v>
      </c>
      <c r="AW896" s="0" t="n">
        <f aca="false">COUNTIF($BA$202:$EH$202,"R")</f>
        <v>0</v>
      </c>
      <c r="AX896" s="0" t="n">
        <f aca="false">IF(BN896="D",1,0)+IF(BO896="D",1,0)+IF(BT896="D",1,0)+IF(BU896="D",1,0)+IF(BW896="D",1,0)+IF(CC896="D",1,0)+IF(CD896="D",1,0)+IF(CE896="D",1,0)+IF(CF896="D",1,0)+IF(CL896="D",1,0)+IF(CM896="D",1,0)+IF(CQ896="D",1,0)+IF(CR896="D",1,0)+IF(CS896="D",1,0)+IF(CW896="D",1,0)+IF(CX896="D",1,0)+IF(DD896="D",1,0)+IF(DE896="D",1,0)+IF(DJ896="D",1,0)+IF(DK896="D",1,0)+IF(DO896="D",1,0)+IF(DP896="D",1,0)+IF(DQ896="D",1,0)+IF(DW896="D",1,0)+IF(DZ896="D",1,0)+IF(EH896="D",1,0)</f>
        <v>0</v>
      </c>
      <c r="AY896" s="0" t="n">
        <f aca="false">COUNTIF(DU896:EH896, "&lt;&gt;")</f>
        <v>3</v>
      </c>
      <c r="AZ896" s="0" t="n">
        <f aca="false">IF(EH896&lt;&gt;"",1,0)</f>
        <v>0</v>
      </c>
      <c r="BB896" s="0" t="s">
        <v>152</v>
      </c>
      <c r="BJ896" s="0" t="s">
        <v>153</v>
      </c>
      <c r="BL896" s="0" t="s">
        <v>153</v>
      </c>
      <c r="BY896" s="0" t="s">
        <v>175</v>
      </c>
      <c r="CA896" s="0" t="s">
        <v>153</v>
      </c>
      <c r="CP896" s="0" t="s">
        <v>153</v>
      </c>
      <c r="DC896" s="0" t="s">
        <v>153</v>
      </c>
      <c r="DI896" s="0" t="s">
        <v>153</v>
      </c>
      <c r="DN896" s="0" t="s">
        <v>153</v>
      </c>
      <c r="DU896" s="0" t="s">
        <v>153</v>
      </c>
      <c r="EA896" s="0" t="s">
        <v>153</v>
      </c>
      <c r="EF896" s="0" t="s">
        <v>153</v>
      </c>
    </row>
    <row r="897" customFormat="false" ht="13.8" hidden="false" customHeight="false" outlineLevel="0" collapsed="false">
      <c r="A897" s="0" t="s">
        <v>4443</v>
      </c>
      <c r="B897" s="0" t="n">
        <v>78</v>
      </c>
      <c r="C897" s="0" t="n">
        <v>314216</v>
      </c>
      <c r="D897" s="0" t="s">
        <v>4439</v>
      </c>
      <c r="E897" s="0" t="s">
        <v>4444</v>
      </c>
      <c r="F897" s="0" t="str">
        <f aca="false">CONCATENATE(D897," ",LEFT(H897,4),"T=",AU897,"D=",AV897,"R=",AW897,"M=",AX897,"L=",AY897,"B=",AZ897)</f>
        <v>GOYZUETA T=5D=0R=1M=0L=3B=0</v>
      </c>
      <c r="G897" s="0" t="s">
        <v>175</v>
      </c>
      <c r="I897" s="0" t="s">
        <v>4445</v>
      </c>
      <c r="J897" s="0" t="s">
        <v>4441</v>
      </c>
      <c r="K897" s="0" t="s">
        <v>160</v>
      </c>
      <c r="M897" s="0" t="s">
        <v>4442</v>
      </c>
      <c r="N897" s="0" t="str">
        <f aca="false">RIGHT(M897,LEN(M897)-FIND(" ",M897))</f>
        <v>HOMEWOOD AVE SE</v>
      </c>
      <c r="P897" s="0" t="s">
        <v>145</v>
      </c>
      <c r="Q897" s="0" t="s">
        <v>146</v>
      </c>
      <c r="R897" s="0" t="n">
        <v>44483</v>
      </c>
      <c r="AD897" s="0" t="s">
        <v>147</v>
      </c>
      <c r="AE897" s="0" t="s">
        <v>148</v>
      </c>
      <c r="AF897" s="0" t="s">
        <v>149</v>
      </c>
      <c r="AH897" s="0" t="n">
        <v>14</v>
      </c>
      <c r="AI897" s="0" t="n">
        <v>11</v>
      </c>
      <c r="AN897" s="0" t="s">
        <v>145</v>
      </c>
      <c r="AO897" s="0" t="s">
        <v>150</v>
      </c>
      <c r="AP897" s="0" t="s">
        <v>151</v>
      </c>
      <c r="AQ897" s="0" t="n">
        <v>9</v>
      </c>
      <c r="AR897" s="0" t="n">
        <v>64</v>
      </c>
      <c r="AS897" s="0" t="n">
        <v>32</v>
      </c>
      <c r="AU897" s="0" t="n">
        <f aca="false">COUNTA($BA$229:$EH$229)</f>
        <v>5</v>
      </c>
      <c r="AV897" s="0" t="n">
        <f aca="false">COUNTIF($BA$229:$EH$229,"D")</f>
        <v>0</v>
      </c>
      <c r="AW897" s="0" t="n">
        <f aca="false">COUNTIF($BA$229:$EH$229,"R")</f>
        <v>1</v>
      </c>
      <c r="AX897" s="0" t="n">
        <f aca="false">IF(BN897="D",1,0)+IF(BO897="D",1,0)+IF(BT897="D",1,0)+IF(BU897="D",1,0)+IF(BW897="D",1,0)+IF(CC897="D",1,0)+IF(CD897="D",1,0)+IF(CE897="D",1,0)+IF(CF897="D",1,0)+IF(CL897="D",1,0)+IF(CM897="D",1,0)+IF(CQ897="D",1,0)+IF(CR897="D",1,0)+IF(CS897="D",1,0)+IF(CW897="D",1,0)+IF(CX897="D",1,0)+IF(DD897="D",1,0)+IF(DE897="D",1,0)+IF(DJ897="D",1,0)+IF(DK897="D",1,0)+IF(DO897="D",1,0)+IF(DP897="D",1,0)+IF(DQ897="D",1,0)+IF(DW897="D",1,0)+IF(DZ897="D",1,0)+IF(EH897="D",1,0)</f>
        <v>0</v>
      </c>
      <c r="AY897" s="0" t="n">
        <f aca="false">COUNTIF(DU897:EH897, "&lt;&gt;")</f>
        <v>3</v>
      </c>
      <c r="AZ897" s="0" t="n">
        <f aca="false">IF(EH897&lt;&gt;"",1,0)</f>
        <v>0</v>
      </c>
      <c r="BB897" s="0" t="s">
        <v>152</v>
      </c>
      <c r="BJ897" s="0" t="s">
        <v>153</v>
      </c>
      <c r="BL897" s="0" t="s">
        <v>153</v>
      </c>
      <c r="BY897" s="0" t="s">
        <v>175</v>
      </c>
      <c r="CA897" s="0" t="s">
        <v>153</v>
      </c>
      <c r="CP897" s="0" t="s">
        <v>153</v>
      </c>
      <c r="DC897" s="0" t="s">
        <v>153</v>
      </c>
      <c r="DI897" s="0" t="s">
        <v>153</v>
      </c>
      <c r="DN897" s="0" t="s">
        <v>153</v>
      </c>
      <c r="DU897" s="0" t="s">
        <v>153</v>
      </c>
      <c r="EA897" s="0" t="s">
        <v>153</v>
      </c>
      <c r="EF897" s="0" t="s">
        <v>153</v>
      </c>
    </row>
    <row r="898" customFormat="false" ht="13.8" hidden="false" customHeight="false" outlineLevel="0" collapsed="false">
      <c r="A898" s="0" t="s">
        <v>4446</v>
      </c>
      <c r="B898" s="0" t="n">
        <v>78</v>
      </c>
      <c r="C898" s="0" t="n">
        <v>378565</v>
      </c>
      <c r="D898" s="0" t="s">
        <v>4447</v>
      </c>
      <c r="E898" s="0" t="s">
        <v>4448</v>
      </c>
      <c r="F898" s="0" t="str">
        <f aca="false">CONCATENATE(D898," ",LEFT(H898,4),"T=",AU898,"D=",AV898,"R=",AW898,"M=",AX898,"L=",AY898,"B=",AZ898)</f>
        <v>HILTY T=1D=0R=0M=0L=3B=0</v>
      </c>
      <c r="G898" s="0" t="s">
        <v>195</v>
      </c>
      <c r="I898" s="0" t="s">
        <v>4449</v>
      </c>
      <c r="J898" s="0" t="s">
        <v>4450</v>
      </c>
      <c r="K898" s="0" t="s">
        <v>160</v>
      </c>
      <c r="M898" s="0" t="s">
        <v>4451</v>
      </c>
      <c r="N898" s="0" t="str">
        <f aca="false">RIGHT(M898,LEN(M898)-FIND(" ",M898))</f>
        <v>HOMEWOOD AVE SE</v>
      </c>
      <c r="P898" s="0" t="s">
        <v>145</v>
      </c>
      <c r="Q898" s="0" t="s">
        <v>146</v>
      </c>
      <c r="R898" s="0" t="n">
        <v>44483</v>
      </c>
      <c r="AD898" s="0" t="s">
        <v>147</v>
      </c>
      <c r="AE898" s="0" t="s">
        <v>148</v>
      </c>
      <c r="AF898" s="0" t="s">
        <v>149</v>
      </c>
      <c r="AH898" s="0" t="n">
        <v>14</v>
      </c>
      <c r="AI898" s="0" t="n">
        <v>11</v>
      </c>
      <c r="AN898" s="0" t="s">
        <v>145</v>
      </c>
      <c r="AO898" s="0" t="s">
        <v>150</v>
      </c>
      <c r="AP898" s="0" t="s">
        <v>151</v>
      </c>
      <c r="AQ898" s="0" t="n">
        <v>9</v>
      </c>
      <c r="AR898" s="0" t="n">
        <v>64</v>
      </c>
      <c r="AS898" s="0" t="n">
        <v>32</v>
      </c>
      <c r="AU898" s="0" t="n">
        <f aca="false">COUNTA($BA$310:$EH$310)</f>
        <v>1</v>
      </c>
      <c r="AV898" s="0" t="n">
        <f aca="false">COUNTIF($BA$310:$EH$310,"D")</f>
        <v>0</v>
      </c>
      <c r="AW898" s="0" t="n">
        <f aca="false">COUNTIF($BA$310:$EH$310,"R")</f>
        <v>0</v>
      </c>
      <c r="AX898" s="0" t="n">
        <f aca="false">IF(BN898="D",1,0)+IF(BO898="D",1,0)+IF(BT898="D",1,0)+IF(BU898="D",1,0)+IF(BW898="D",1,0)+IF(CC898="D",1,0)+IF(CD898="D",1,0)+IF(CE898="D",1,0)+IF(CF898="D",1,0)+IF(CL898="D",1,0)+IF(CM898="D",1,0)+IF(CQ898="D",1,0)+IF(CR898="D",1,0)+IF(CS898="D",1,0)+IF(CW898="D",1,0)+IF(CX898="D",1,0)+IF(DD898="D",1,0)+IF(DE898="D",1,0)+IF(DJ898="D",1,0)+IF(DK898="D",1,0)+IF(DO898="D",1,0)+IF(DP898="D",1,0)+IF(DQ898="D",1,0)+IF(DW898="D",1,0)+IF(DZ898="D",1,0)+IF(EH898="D",1,0)</f>
        <v>0</v>
      </c>
      <c r="AY898" s="0" t="n">
        <f aca="false">COUNTIF(DU898:EH898, "&lt;&gt;")</f>
        <v>3</v>
      </c>
      <c r="AZ898" s="0" t="n">
        <f aca="false">IF(EH898&lt;&gt;"",1,0)</f>
        <v>0</v>
      </c>
      <c r="BB898" s="0" t="s">
        <v>152</v>
      </c>
      <c r="CN898" s="0" t="s">
        <v>153</v>
      </c>
      <c r="CP898" s="0" t="s">
        <v>153</v>
      </c>
      <c r="CV898" s="0" t="s">
        <v>153</v>
      </c>
      <c r="CY898" s="0" t="s">
        <v>153</v>
      </c>
      <c r="DC898" s="0" t="s">
        <v>153</v>
      </c>
      <c r="DI898" s="0" t="s">
        <v>153</v>
      </c>
      <c r="DN898" s="0" t="s">
        <v>153</v>
      </c>
      <c r="DU898" s="0" t="s">
        <v>153</v>
      </c>
      <c r="EA898" s="0" t="s">
        <v>153</v>
      </c>
      <c r="EF898" s="0" t="s">
        <v>153</v>
      </c>
    </row>
    <row r="899" customFormat="false" ht="13.8" hidden="true" customHeight="false" outlineLevel="0" collapsed="false">
      <c r="A899" s="0" t="s">
        <v>4452</v>
      </c>
      <c r="B899" s="0" t="n">
        <v>78</v>
      </c>
      <c r="C899" s="0" t="n">
        <v>440638</v>
      </c>
      <c r="D899" s="0" t="s">
        <v>4447</v>
      </c>
      <c r="E899" s="0" t="s">
        <v>3963</v>
      </c>
      <c r="F899" s="0" t="str">
        <f aca="false">CONCATENATE(D899," ",LEFT(H899,4),"T=",AU899,"D=",AV899,"R=",AW899,"M=",AX899,"L=",AY899,"B=",AZ899)</f>
        <v>HILTY T=17D=1R=3M=0L=0B=0</v>
      </c>
      <c r="G899" s="0" t="s">
        <v>1617</v>
      </c>
      <c r="I899" s="0" t="s">
        <v>4453</v>
      </c>
      <c r="J899" s="0" t="s">
        <v>2064</v>
      </c>
      <c r="K899" s="0" t="s">
        <v>143</v>
      </c>
      <c r="M899" s="0" t="s">
        <v>4451</v>
      </c>
      <c r="N899" s="0" t="str">
        <f aca="false">RIGHT(M899,LEN(M899)-FIND(" ",M899))</f>
        <v>HOMEWOOD AVE SE</v>
      </c>
      <c r="P899" s="0" t="s">
        <v>145</v>
      </c>
      <c r="Q899" s="0" t="s">
        <v>146</v>
      </c>
      <c r="R899" s="0" t="n">
        <v>44483</v>
      </c>
      <c r="AD899" s="0" t="s">
        <v>147</v>
      </c>
      <c r="AE899" s="0" t="s">
        <v>148</v>
      </c>
      <c r="AF899" s="0" t="s">
        <v>149</v>
      </c>
      <c r="AH899" s="0" t="n">
        <v>14</v>
      </c>
      <c r="AI899" s="0" t="n">
        <v>11</v>
      </c>
      <c r="AN899" s="0" t="s">
        <v>145</v>
      </c>
      <c r="AO899" s="0" t="s">
        <v>150</v>
      </c>
      <c r="AP899" s="0" t="s">
        <v>151</v>
      </c>
      <c r="AQ899" s="0" t="n">
        <v>9</v>
      </c>
      <c r="AR899" s="0" t="n">
        <v>64</v>
      </c>
      <c r="AS899" s="0" t="n">
        <v>32</v>
      </c>
      <c r="AU899" s="0" t="n">
        <f aca="false">COUNTA($BA$682:$EH$682)</f>
        <v>17</v>
      </c>
      <c r="AV899" s="0" t="n">
        <f aca="false">COUNTIF($BA$682:$EH$682,"D")</f>
        <v>1</v>
      </c>
      <c r="AW899" s="0" t="n">
        <f aca="false">COUNTIF($BA$682:$EH$682,"R")</f>
        <v>3</v>
      </c>
      <c r="AX899" s="0" t="n">
        <f aca="false">IF(BN899="D",1,0)+IF(BO899="D",1,0)+IF(BT899="D",1,0)+IF(BU899="D",1,0)+IF(BW899="D",1,0)+IF(CC899="D",1,0)+IF(CD899="D",1,0)+IF(CE899="D",1,0)+IF(CF899="D",1,0)+IF(CL899="D",1,0)+IF(CM899="D",1,0)+IF(CQ899="D",1,0)+IF(CR899="D",1,0)+IF(CS899="D",1,0)+IF(CW899="D",1,0)+IF(CX899="D",1,0)+IF(DD899="D",1,0)+IF(DE899="D",1,0)+IF(DJ899="D",1,0)+IF(DK899="D",1,0)+IF(DO899="D",1,0)+IF(DP899="D",1,0)+IF(DQ899="D",1,0)+IF(DW899="D",1,0)+IF(DZ899="D",1,0)+IF(EH899="D",1,0)</f>
        <v>0</v>
      </c>
      <c r="AY899" s="0" t="n">
        <f aca="false">COUNTIF(DU899:EH899, "&lt;&gt;")</f>
        <v>0</v>
      </c>
      <c r="AZ899" s="0" t="n">
        <f aca="false">IF(EH899&lt;&gt;"",1,0)</f>
        <v>0</v>
      </c>
      <c r="BB899" s="0" t="s">
        <v>152</v>
      </c>
    </row>
    <row r="900" customFormat="false" ht="13.8" hidden="false" customHeight="false" outlineLevel="0" collapsed="false">
      <c r="A900" s="0" t="s">
        <v>4454</v>
      </c>
      <c r="B900" s="0" t="n">
        <v>78</v>
      </c>
      <c r="C900" s="0" t="n">
        <v>350266</v>
      </c>
      <c r="D900" s="0" t="s">
        <v>4447</v>
      </c>
      <c r="E900" s="0" t="s">
        <v>958</v>
      </c>
      <c r="F900" s="0" t="str">
        <f aca="false">CONCATENATE(D900," ",LEFT(H900,4),"T=",AU900,"D=",AV900,"R=",AW900,"M=",AX900,"L=",AY900,"B=",AZ900)</f>
        <v>HILTY T=2D=0R=0M=0L=3B=0</v>
      </c>
      <c r="G900" s="0" t="s">
        <v>325</v>
      </c>
      <c r="I900" s="0" t="s">
        <v>4455</v>
      </c>
      <c r="J900" s="0" t="s">
        <v>4456</v>
      </c>
      <c r="K900" s="0" t="s">
        <v>160</v>
      </c>
      <c r="M900" s="0" t="s">
        <v>4451</v>
      </c>
      <c r="N900" s="0" t="str">
        <f aca="false">RIGHT(M900,LEN(M900)-FIND(" ",M900))</f>
        <v>HOMEWOOD AVE SE</v>
      </c>
      <c r="P900" s="0" t="s">
        <v>145</v>
      </c>
      <c r="Q900" s="0" t="s">
        <v>146</v>
      </c>
      <c r="R900" s="0" t="n">
        <v>44483</v>
      </c>
      <c r="AD900" s="0" t="s">
        <v>147</v>
      </c>
      <c r="AE900" s="0" t="s">
        <v>148</v>
      </c>
      <c r="AF900" s="0" t="s">
        <v>149</v>
      </c>
      <c r="AH900" s="0" t="n">
        <v>14</v>
      </c>
      <c r="AI900" s="0" t="n">
        <v>11</v>
      </c>
      <c r="AN900" s="0" t="s">
        <v>145</v>
      </c>
      <c r="AO900" s="0" t="s">
        <v>150</v>
      </c>
      <c r="AP900" s="0" t="s">
        <v>151</v>
      </c>
      <c r="AQ900" s="0" t="n">
        <v>9</v>
      </c>
      <c r="AR900" s="0" t="n">
        <v>64</v>
      </c>
      <c r="AS900" s="0" t="n">
        <v>32</v>
      </c>
      <c r="AU900" s="0" t="n">
        <f aca="false">COUNTA($BA$803:$EH$803)</f>
        <v>2</v>
      </c>
      <c r="AV900" s="0" t="n">
        <f aca="false">COUNTIF($BA$803:$EH$803,"D")</f>
        <v>0</v>
      </c>
      <c r="AW900" s="0" t="n">
        <f aca="false">COUNTIF($BA$803:$EH$803,"R")</f>
        <v>0</v>
      </c>
      <c r="AX900" s="0" t="n">
        <f aca="false">IF(BN900="D",1,0)+IF(BO900="D",1,0)+IF(BT900="D",1,0)+IF(BU900="D",1,0)+IF(BW900="D",1,0)+IF(CC900="D",1,0)+IF(CD900="D",1,0)+IF(CE900="D",1,0)+IF(CF900="D",1,0)+IF(CL900="D",1,0)+IF(CM900="D",1,0)+IF(CQ900="D",1,0)+IF(CR900="D",1,0)+IF(CS900="D",1,0)+IF(CW900="D",1,0)+IF(CX900="D",1,0)+IF(DD900="D",1,0)+IF(DE900="D",1,0)+IF(DJ900="D",1,0)+IF(DK900="D",1,0)+IF(DO900="D",1,0)+IF(DP900="D",1,0)+IF(DQ900="D",1,0)+IF(DW900="D",1,0)+IF(DZ900="D",1,0)+IF(EH900="D",1,0)</f>
        <v>0</v>
      </c>
      <c r="AY900" s="0" t="n">
        <f aca="false">COUNTIF(DU900:EH900, "&lt;&gt;")</f>
        <v>3</v>
      </c>
      <c r="AZ900" s="0" t="n">
        <f aca="false">IF(EH900&lt;&gt;"",1,0)</f>
        <v>0</v>
      </c>
      <c r="BB900" s="0" t="s">
        <v>152</v>
      </c>
      <c r="CA900" s="0" t="s">
        <v>153</v>
      </c>
      <c r="CG900" s="0" t="s">
        <v>153</v>
      </c>
      <c r="CK900" s="0" t="s">
        <v>153</v>
      </c>
      <c r="CN900" s="0" t="s">
        <v>153</v>
      </c>
      <c r="CP900" s="0" t="s">
        <v>153</v>
      </c>
      <c r="CV900" s="0" t="s">
        <v>153</v>
      </c>
      <c r="CY900" s="0" t="s">
        <v>153</v>
      </c>
      <c r="DC900" s="0" t="s">
        <v>153</v>
      </c>
      <c r="DI900" s="0" t="s">
        <v>153</v>
      </c>
      <c r="DN900" s="0" t="s">
        <v>153</v>
      </c>
      <c r="DU900" s="0" t="s">
        <v>153</v>
      </c>
      <c r="EA900" s="0" t="s">
        <v>153</v>
      </c>
      <c r="EF900" s="0" t="s">
        <v>153</v>
      </c>
    </row>
    <row r="901" customFormat="false" ht="13.8" hidden="true" customHeight="false" outlineLevel="0" collapsed="false">
      <c r="A901" s="0" t="s">
        <v>4457</v>
      </c>
      <c r="B901" s="0" t="n">
        <v>78</v>
      </c>
      <c r="C901" s="0" t="n">
        <v>272969</v>
      </c>
      <c r="D901" s="0" t="s">
        <v>4458</v>
      </c>
      <c r="E901" s="0" t="s">
        <v>2915</v>
      </c>
      <c r="F901" s="0" t="str">
        <f aca="false">CONCATENATE(D901," ",LEFT(H901,4),"T=",AU901,"D=",AV901,"R=",AW901,"M=",AX901,"L=",AY901,"B=",AZ901)</f>
        <v>KIMBEL T=2D=0R=0M=2L=0B=0</v>
      </c>
      <c r="G901" s="0" t="s">
        <v>1082</v>
      </c>
      <c r="I901" s="0" t="s">
        <v>4459</v>
      </c>
      <c r="J901" s="0" t="s">
        <v>4460</v>
      </c>
      <c r="K901" s="0" t="s">
        <v>143</v>
      </c>
      <c r="M901" s="0" t="s">
        <v>4461</v>
      </c>
      <c r="N901" s="0" t="str">
        <f aca="false">RIGHT(M901,LEN(M901)-FIND(" ",M901))</f>
        <v>HOMEWOOD AVE SE</v>
      </c>
      <c r="P901" s="0" t="s">
        <v>145</v>
      </c>
      <c r="Q901" s="0" t="s">
        <v>146</v>
      </c>
      <c r="R901" s="0" t="n">
        <v>44483</v>
      </c>
      <c r="AD901" s="0" t="s">
        <v>147</v>
      </c>
      <c r="AE901" s="0" t="s">
        <v>148</v>
      </c>
      <c r="AF901" s="0" t="s">
        <v>149</v>
      </c>
      <c r="AH901" s="0" t="n">
        <v>14</v>
      </c>
      <c r="AI901" s="0" t="n">
        <v>11</v>
      </c>
      <c r="AN901" s="0" t="s">
        <v>145</v>
      </c>
      <c r="AO901" s="0" t="s">
        <v>150</v>
      </c>
      <c r="AP901" s="0" t="s">
        <v>151</v>
      </c>
      <c r="AQ901" s="0" t="n">
        <v>9</v>
      </c>
      <c r="AR901" s="0" t="n">
        <v>64</v>
      </c>
      <c r="AS901" s="0" t="n">
        <v>32</v>
      </c>
      <c r="AU901" s="0" t="n">
        <f aca="false">COUNTA($BA$391:$EH$391)</f>
        <v>2</v>
      </c>
      <c r="AV901" s="0" t="n">
        <f aca="false">COUNTIF($BA$391:$EH$391,"D")</f>
        <v>0</v>
      </c>
      <c r="AW901" s="0" t="n">
        <f aca="false">COUNTIF($BA$391:$EH$391,"R")</f>
        <v>0</v>
      </c>
      <c r="AX901" s="0" t="n">
        <f aca="false">IF(BN901="D",1,0)+IF(BO901="D",1,0)+IF(BT901="D",1,0)+IF(BU901="D",1,0)+IF(BW901="D",1,0)+IF(CC901="D",1,0)+IF(CD901="D",1,0)+IF(CE901="D",1,0)+IF(CF901="D",1,0)+IF(CL901="D",1,0)+IF(CM901="D",1,0)+IF(CQ901="D",1,0)+IF(CR901="D",1,0)+IF(CS901="D",1,0)+IF(CW901="D",1,0)+IF(CX901="D",1,0)+IF(DD901="D",1,0)+IF(DE901="D",1,0)+IF(DJ901="D",1,0)+IF(DK901="D",1,0)+IF(DO901="D",1,0)+IF(DP901="D",1,0)+IF(DQ901="D",1,0)+IF(DW901="D",1,0)+IF(DZ901="D",1,0)+IF(EH901="D",1,0)</f>
        <v>2</v>
      </c>
      <c r="AY901" s="0" t="n">
        <f aca="false">COUNTIF(DU901:EH901, "&lt;&gt;")</f>
        <v>0</v>
      </c>
      <c r="AZ901" s="0" t="n">
        <f aca="false">IF(EH901&lt;&gt;"",1,0)</f>
        <v>0</v>
      </c>
      <c r="BB901" s="0" t="s">
        <v>152</v>
      </c>
      <c r="BD901" s="0" t="s">
        <v>153</v>
      </c>
      <c r="BE901" s="0" t="s">
        <v>153</v>
      </c>
      <c r="BF901" s="0" t="s">
        <v>153</v>
      </c>
      <c r="BG901" s="0" t="s">
        <v>153</v>
      </c>
      <c r="BH901" s="0" t="s">
        <v>153</v>
      </c>
      <c r="BI901" s="0" t="s">
        <v>153</v>
      </c>
      <c r="BJ901" s="0" t="s">
        <v>153</v>
      </c>
      <c r="BK901" s="0" t="s">
        <v>153</v>
      </c>
      <c r="BL901" s="0" t="s">
        <v>153</v>
      </c>
      <c r="BP901" s="0" t="s">
        <v>153</v>
      </c>
      <c r="BR901" s="0" t="s">
        <v>153</v>
      </c>
      <c r="BS901" s="0" t="s">
        <v>153</v>
      </c>
      <c r="BV901" s="0" t="s">
        <v>153</v>
      </c>
      <c r="BY901" s="0" t="s">
        <v>175</v>
      </c>
      <c r="CA901" s="0" t="s">
        <v>153</v>
      </c>
      <c r="CG901" s="0" t="s">
        <v>153</v>
      </c>
      <c r="CK901" s="0" t="s">
        <v>153</v>
      </c>
      <c r="CL901" s="0" t="s">
        <v>175</v>
      </c>
      <c r="CN901" s="0" t="s">
        <v>153</v>
      </c>
      <c r="CP901" s="0" t="s">
        <v>153</v>
      </c>
      <c r="CW901" s="0" t="s">
        <v>175</v>
      </c>
      <c r="CZ901" s="0" t="s">
        <v>175</v>
      </c>
      <c r="DC901" s="0" t="s">
        <v>153</v>
      </c>
    </row>
    <row r="902" customFormat="false" ht="13.8" hidden="true" customHeight="false" outlineLevel="0" collapsed="false">
      <c r="A902" s="0" t="s">
        <v>4462</v>
      </c>
      <c r="B902" s="0" t="n">
        <v>78</v>
      </c>
      <c r="C902" s="0" t="n">
        <v>452547</v>
      </c>
      <c r="D902" s="0" t="s">
        <v>4463</v>
      </c>
      <c r="E902" s="0" t="s">
        <v>4464</v>
      </c>
      <c r="F902" s="0" t="str">
        <f aca="false">CONCATENATE(D902," ",LEFT(H902,4),"T=",AU902,"D=",AV902,"R=",AW902,"M=",AX902,"L=",AY902,"B=",AZ902)</f>
        <v>BIRD T=2D=0R=0M=0L=1B=0</v>
      </c>
      <c r="I902" s="0" t="s">
        <v>4465</v>
      </c>
      <c r="J902" s="0" t="s">
        <v>903</v>
      </c>
      <c r="K902" s="0" t="s">
        <v>160</v>
      </c>
      <c r="M902" s="0" t="s">
        <v>4466</v>
      </c>
      <c r="N902" s="0" t="str">
        <f aca="false">RIGHT(M902,LEN(M902)-FIND(" ",M902))</f>
        <v>HOMEWOOD AVE SE</v>
      </c>
      <c r="P902" s="0" t="s">
        <v>145</v>
      </c>
      <c r="Q902" s="0" t="s">
        <v>146</v>
      </c>
      <c r="R902" s="0" t="n">
        <v>44483</v>
      </c>
      <c r="AD902" s="0" t="s">
        <v>147</v>
      </c>
      <c r="AE902" s="0" t="s">
        <v>148</v>
      </c>
      <c r="AF902" s="0" t="s">
        <v>149</v>
      </c>
      <c r="AH902" s="0" t="n">
        <v>14</v>
      </c>
      <c r="AI902" s="0" t="n">
        <v>11</v>
      </c>
      <c r="AN902" s="0" t="s">
        <v>145</v>
      </c>
      <c r="AO902" s="0" t="s">
        <v>150</v>
      </c>
      <c r="AP902" s="0" t="s">
        <v>151</v>
      </c>
      <c r="AQ902" s="0" t="n">
        <v>9</v>
      </c>
      <c r="AR902" s="0" t="n">
        <v>64</v>
      </c>
      <c r="AS902" s="0" t="n">
        <v>32</v>
      </c>
      <c r="AU902" s="0" t="n">
        <f aca="false">COUNTA($BA$392:$EH$392)</f>
        <v>2</v>
      </c>
      <c r="AV902" s="0" t="n">
        <f aca="false">COUNTIF($BA$392:$EH$392,"D")</f>
        <v>0</v>
      </c>
      <c r="AW902" s="0" t="n">
        <f aca="false">COUNTIF($BA$392:$EH$392,"R")</f>
        <v>0</v>
      </c>
      <c r="AX902" s="0" t="n">
        <f aca="false">IF(BN902="D",1,0)+IF(BO902="D",1,0)+IF(BT902="D",1,0)+IF(BU902="D",1,0)+IF(BW902="D",1,0)+IF(CC902="D",1,0)+IF(CD902="D",1,0)+IF(CE902="D",1,0)+IF(CF902="D",1,0)+IF(CL902="D",1,0)+IF(CM902="D",1,0)+IF(CQ902="D",1,0)+IF(CR902="D",1,0)+IF(CS902="D",1,0)+IF(CW902="D",1,0)+IF(CX902="D",1,0)+IF(DD902="D",1,0)+IF(DE902="D",1,0)+IF(DJ902="D",1,0)+IF(DK902="D",1,0)+IF(DO902="D",1,0)+IF(DP902="D",1,0)+IF(DQ902="D",1,0)+IF(DW902="D",1,0)+IF(DZ902="D",1,0)+IF(EH902="D",1,0)</f>
        <v>0</v>
      </c>
      <c r="AY902" s="0" t="n">
        <f aca="false">COUNTIF(DU902:EH902, "&lt;&gt;")</f>
        <v>1</v>
      </c>
      <c r="AZ902" s="0" t="n">
        <f aca="false">IF(EH902&lt;&gt;"",1,0)</f>
        <v>0</v>
      </c>
      <c r="BB902" s="0" t="s">
        <v>152</v>
      </c>
      <c r="EF902" s="0" t="s">
        <v>153</v>
      </c>
    </row>
    <row r="903" customFormat="false" ht="13.8" hidden="true" customHeight="false" outlineLevel="0" collapsed="false">
      <c r="A903" s="0" t="s">
        <v>4467</v>
      </c>
      <c r="B903" s="0" t="n">
        <v>78</v>
      </c>
      <c r="C903" s="0" t="n">
        <v>322425</v>
      </c>
      <c r="D903" s="0" t="s">
        <v>4468</v>
      </c>
      <c r="E903" s="0" t="s">
        <v>2597</v>
      </c>
      <c r="F903" s="0" t="str">
        <f aca="false">CONCATENATE(D903," ",LEFT(H903,4),"T=",AU903,"D=",AV903,"R=",AW903,"M=",AX903,"L=",AY903,"B=",AZ903)</f>
        <v>STROUD T=1D=0R=0M=0L=0B=0</v>
      </c>
      <c r="I903" s="0" t="s">
        <v>4469</v>
      </c>
      <c r="J903" s="0" t="s">
        <v>2984</v>
      </c>
      <c r="K903" s="0" t="s">
        <v>143</v>
      </c>
      <c r="M903" s="0" t="s">
        <v>4470</v>
      </c>
      <c r="N903" s="0" t="str">
        <f aca="false">RIGHT(M903,LEN(M903)-FIND(" ",M903))</f>
        <v>HOMEWOOD AVE SE</v>
      </c>
      <c r="P903" s="0" t="s">
        <v>145</v>
      </c>
      <c r="Q903" s="0" t="s">
        <v>146</v>
      </c>
      <c r="R903" s="0" t="n">
        <v>44483</v>
      </c>
      <c r="AD903" s="0" t="s">
        <v>147</v>
      </c>
      <c r="AE903" s="0" t="s">
        <v>148</v>
      </c>
      <c r="AF903" s="0" t="s">
        <v>149</v>
      </c>
      <c r="AH903" s="0" t="n">
        <v>14</v>
      </c>
      <c r="AI903" s="0" t="n">
        <v>11</v>
      </c>
      <c r="AN903" s="0" t="s">
        <v>145</v>
      </c>
      <c r="AO903" s="0" t="s">
        <v>150</v>
      </c>
      <c r="AP903" s="0" t="s">
        <v>151</v>
      </c>
      <c r="AQ903" s="0" t="n">
        <v>9</v>
      </c>
      <c r="AR903" s="0" t="n">
        <v>64</v>
      </c>
      <c r="AS903" s="0" t="n">
        <v>32</v>
      </c>
      <c r="AU903" s="0" t="n">
        <f aca="false">COUNTA($BA$390:$EH$390)</f>
        <v>1</v>
      </c>
      <c r="AV903" s="0" t="n">
        <f aca="false">COUNTIF($BA$390:$EH$390,"D")</f>
        <v>0</v>
      </c>
      <c r="AW903" s="0" t="n">
        <f aca="false">COUNTIF($BA$390:$EH$390,"R")</f>
        <v>0</v>
      </c>
      <c r="AX903" s="0" t="n">
        <f aca="false">IF(BN903="D",1,0)+IF(BO903="D",1,0)+IF(BT903="D",1,0)+IF(BU903="D",1,0)+IF(BW903="D",1,0)+IF(CC903="D",1,0)+IF(CD903="D",1,0)+IF(CE903="D",1,0)+IF(CF903="D",1,0)+IF(CL903="D",1,0)+IF(CM903="D",1,0)+IF(CQ903="D",1,0)+IF(CR903="D",1,0)+IF(CS903="D",1,0)+IF(CW903="D",1,0)+IF(CX903="D",1,0)+IF(DD903="D",1,0)+IF(DE903="D",1,0)+IF(DJ903="D",1,0)+IF(DK903="D",1,0)+IF(DO903="D",1,0)+IF(DP903="D",1,0)+IF(DQ903="D",1,0)+IF(DW903="D",1,0)+IF(DZ903="D",1,0)+IF(EH903="D",1,0)</f>
        <v>0</v>
      </c>
      <c r="AY903" s="0" t="n">
        <f aca="false">COUNTIF(DU903:EH903, "&lt;&gt;")</f>
        <v>0</v>
      </c>
      <c r="AZ903" s="0" t="n">
        <f aca="false">IF(EH903&lt;&gt;"",1,0)</f>
        <v>0</v>
      </c>
      <c r="BB903" s="0" t="s">
        <v>152</v>
      </c>
      <c r="CA903" s="0" t="s">
        <v>153</v>
      </c>
    </row>
    <row r="904" customFormat="false" ht="13.8" hidden="true" customHeight="false" outlineLevel="0" collapsed="false">
      <c r="A904" s="0" t="s">
        <v>4471</v>
      </c>
      <c r="B904" s="0" t="n">
        <v>78</v>
      </c>
      <c r="C904" s="0" t="n">
        <v>353594</v>
      </c>
      <c r="D904" s="0" t="s">
        <v>4472</v>
      </c>
      <c r="E904" s="0" t="s">
        <v>4473</v>
      </c>
      <c r="F904" s="0" t="str">
        <f aca="false">CONCATENATE(D904," ",LEFT(H904,4),"T=",AU904,"D=",AV904,"R=",AW904,"M=",AX904,"L=",AY904,"B=",AZ904)</f>
        <v>DUDLEY T=1D=0R=0M=0L=0B=0</v>
      </c>
      <c r="G904" s="0" t="s">
        <v>4474</v>
      </c>
      <c r="I904" s="0" t="s">
        <v>4475</v>
      </c>
      <c r="J904" s="0" t="s">
        <v>1038</v>
      </c>
      <c r="K904" s="0" t="s">
        <v>143</v>
      </c>
      <c r="M904" s="0" t="s">
        <v>4476</v>
      </c>
      <c r="N904" s="0" t="str">
        <f aca="false">RIGHT(M904,LEN(M904)-FIND(" ",M904))</f>
        <v>HOMEWOOD AVE SE</v>
      </c>
      <c r="P904" s="0" t="s">
        <v>145</v>
      </c>
      <c r="Q904" s="0" t="s">
        <v>146</v>
      </c>
      <c r="R904" s="0" t="n">
        <v>44483</v>
      </c>
      <c r="AD904" s="0" t="s">
        <v>147</v>
      </c>
      <c r="AE904" s="0" t="s">
        <v>148</v>
      </c>
      <c r="AF904" s="0" t="s">
        <v>149</v>
      </c>
      <c r="AH904" s="0" t="n">
        <v>14</v>
      </c>
      <c r="AI904" s="0" t="n">
        <v>11</v>
      </c>
      <c r="AN904" s="0" t="s">
        <v>145</v>
      </c>
      <c r="AO904" s="0" t="s">
        <v>150</v>
      </c>
      <c r="AP904" s="0" t="s">
        <v>151</v>
      </c>
      <c r="AQ904" s="0" t="n">
        <v>9</v>
      </c>
      <c r="AR904" s="0" t="n">
        <v>64</v>
      </c>
      <c r="AS904" s="0" t="n">
        <v>32</v>
      </c>
      <c r="AU904" s="0" t="n">
        <f aca="false">COUNTA($BA$331:$EH$331)</f>
        <v>1</v>
      </c>
      <c r="AV904" s="0" t="n">
        <f aca="false">COUNTIF($BA$331:$EH$331,"D")</f>
        <v>0</v>
      </c>
      <c r="AW904" s="0" t="n">
        <f aca="false">COUNTIF($BA$331:$EH$331,"R")</f>
        <v>0</v>
      </c>
      <c r="AX904" s="0" t="n">
        <f aca="false">IF(BN904="D",1,0)+IF(BO904="D",1,0)+IF(BT904="D",1,0)+IF(BU904="D",1,0)+IF(BW904="D",1,0)+IF(CC904="D",1,0)+IF(CD904="D",1,0)+IF(CE904="D",1,0)+IF(CF904="D",1,0)+IF(CL904="D",1,0)+IF(CM904="D",1,0)+IF(CQ904="D",1,0)+IF(CR904="D",1,0)+IF(CS904="D",1,0)+IF(CW904="D",1,0)+IF(CX904="D",1,0)+IF(DD904="D",1,0)+IF(DE904="D",1,0)+IF(DJ904="D",1,0)+IF(DK904="D",1,0)+IF(DO904="D",1,0)+IF(DP904="D",1,0)+IF(DQ904="D",1,0)+IF(DW904="D",1,0)+IF(DZ904="D",1,0)+IF(EH904="D",1,0)</f>
        <v>0</v>
      </c>
      <c r="AY904" s="0" t="n">
        <f aca="false">COUNTIF(DU904:EH904, "&lt;&gt;")</f>
        <v>0</v>
      </c>
      <c r="AZ904" s="0" t="n">
        <f aca="false">IF(EH904&lt;&gt;"",1,0)</f>
        <v>0</v>
      </c>
      <c r="BB904" s="0" t="s">
        <v>152</v>
      </c>
      <c r="CU904" s="0" t="s">
        <v>175</v>
      </c>
      <c r="CY904" s="0" t="s">
        <v>153</v>
      </c>
    </row>
    <row r="905" customFormat="false" ht="13.8" hidden="false" customHeight="false" outlineLevel="0" collapsed="false">
      <c r="A905" s="0" t="s">
        <v>4477</v>
      </c>
      <c r="B905" s="0" t="n">
        <v>78</v>
      </c>
      <c r="C905" s="0" t="n">
        <v>301274</v>
      </c>
      <c r="D905" s="0" t="s">
        <v>4478</v>
      </c>
      <c r="E905" s="0" t="s">
        <v>4479</v>
      </c>
      <c r="F905" s="0" t="str">
        <f aca="false">CONCATENATE(D905," ",LEFT(H905,4),"T=",AU905,"D=",AV905,"R=",AW905,"M=",AX905,"L=",AY905,"B=",AZ905)</f>
        <v>MOSS T=27D=8R=0M=1L=4B=0</v>
      </c>
      <c r="G905" s="0" t="s">
        <v>175</v>
      </c>
      <c r="I905" s="0" t="s">
        <v>4480</v>
      </c>
      <c r="J905" s="0" t="s">
        <v>1038</v>
      </c>
      <c r="K905" s="0" t="s">
        <v>160</v>
      </c>
      <c r="L905" s="0" t="s">
        <v>175</v>
      </c>
      <c r="M905" s="0" t="s">
        <v>4476</v>
      </c>
      <c r="N905" s="0" t="str">
        <f aca="false">RIGHT(M905,LEN(M905)-FIND(" ",M905))</f>
        <v>HOMEWOOD AVE SE</v>
      </c>
      <c r="P905" s="0" t="s">
        <v>145</v>
      </c>
      <c r="Q905" s="0" t="s">
        <v>146</v>
      </c>
      <c r="R905" s="0" t="n">
        <v>44483</v>
      </c>
      <c r="AD905" s="0" t="s">
        <v>147</v>
      </c>
      <c r="AE905" s="0" t="s">
        <v>148</v>
      </c>
      <c r="AF905" s="0" t="s">
        <v>149</v>
      </c>
      <c r="AH905" s="0" t="n">
        <v>14</v>
      </c>
      <c r="AI905" s="0" t="n">
        <v>11</v>
      </c>
      <c r="AN905" s="0" t="s">
        <v>145</v>
      </c>
      <c r="AO905" s="0" t="s">
        <v>150</v>
      </c>
      <c r="AP905" s="0" t="s">
        <v>151</v>
      </c>
      <c r="AQ905" s="0" t="n">
        <v>9</v>
      </c>
      <c r="AR905" s="0" t="n">
        <v>64</v>
      </c>
      <c r="AS905" s="0" t="n">
        <v>32</v>
      </c>
      <c r="AU905" s="0" t="n">
        <f aca="false">COUNTA($BA$448:$EH$448)</f>
        <v>27</v>
      </c>
      <c r="AV905" s="0" t="n">
        <f aca="false">COUNTIF($BA$448:$EH$448,"D")</f>
        <v>8</v>
      </c>
      <c r="AW905" s="0" t="n">
        <f aca="false">COUNTIF($BA$448:$EH$448,"R")</f>
        <v>0</v>
      </c>
      <c r="AX905" s="0" t="n">
        <f aca="false">IF(BN905="D",1,0)+IF(BO905="D",1,0)+IF(BT905="D",1,0)+IF(BU905="D",1,0)+IF(BW905="D",1,0)+IF(CC905="D",1,0)+IF(CD905="D",1,0)+IF(CE905="D",1,0)+IF(CF905="D",1,0)+IF(CL905="D",1,0)+IF(CM905="D",1,0)+IF(CQ905="D",1,0)+IF(CR905="D",1,0)+IF(CS905="D",1,0)+IF(CW905="D",1,0)+IF(CX905="D",1,0)+IF(DD905="D",1,0)+IF(DE905="D",1,0)+IF(DJ905="D",1,0)+IF(DK905="D",1,0)+IF(DO905="D",1,0)+IF(DP905="D",1,0)+IF(DQ905="D",1,0)+IF(DW905="D",1,0)+IF(DZ905="D",1,0)+IF(EH905="D",1,0)</f>
        <v>1</v>
      </c>
      <c r="AY905" s="0" t="n">
        <f aca="false">COUNTIF(DU905:EH905, "&lt;&gt;")</f>
        <v>4</v>
      </c>
      <c r="AZ905" s="0" t="n">
        <f aca="false">IF(EH905&lt;&gt;"",1,0)</f>
        <v>0</v>
      </c>
      <c r="BB905" s="0" t="s">
        <v>152</v>
      </c>
      <c r="CP905" s="0" t="s">
        <v>153</v>
      </c>
      <c r="CU905" s="0" t="s">
        <v>175</v>
      </c>
      <c r="CV905" s="0" t="s">
        <v>153</v>
      </c>
      <c r="CY905" s="0" t="s">
        <v>153</v>
      </c>
      <c r="DC905" s="0" t="s">
        <v>153</v>
      </c>
      <c r="DI905" s="0" t="s">
        <v>153</v>
      </c>
      <c r="DN905" s="0" t="s">
        <v>153</v>
      </c>
      <c r="DS905" s="0" t="s">
        <v>175</v>
      </c>
      <c r="DU905" s="0" t="s">
        <v>153</v>
      </c>
      <c r="DW905" s="0" t="s">
        <v>175</v>
      </c>
      <c r="DX905" s="0" t="s">
        <v>153</v>
      </c>
      <c r="EF905" s="0" t="s">
        <v>153</v>
      </c>
    </row>
    <row r="906" customFormat="false" ht="13.8" hidden="false" customHeight="false" outlineLevel="0" collapsed="false">
      <c r="A906" s="0" t="s">
        <v>4481</v>
      </c>
      <c r="B906" s="0" t="n">
        <v>78</v>
      </c>
      <c r="C906" s="0" t="n">
        <v>344987</v>
      </c>
      <c r="D906" s="0" t="s">
        <v>4482</v>
      </c>
      <c r="E906" s="0" t="s">
        <v>4483</v>
      </c>
      <c r="F906" s="0" t="str">
        <f aca="false">CONCATENATE(D906," ",LEFT(H906,4),"T=",AU906,"D=",AV906,"R=",AW906,"M=",AX906,"L=",AY906,"B=",AZ906)</f>
        <v>CURRAN T=1D=0R=0M=2L=3B=0</v>
      </c>
      <c r="G906" s="0" t="s">
        <v>175</v>
      </c>
      <c r="I906" s="0" t="s">
        <v>4484</v>
      </c>
      <c r="J906" s="0" t="s">
        <v>4485</v>
      </c>
      <c r="K906" s="0" t="s">
        <v>160</v>
      </c>
      <c r="L906" s="0" t="s">
        <v>175</v>
      </c>
      <c r="M906" s="0" t="s">
        <v>4486</v>
      </c>
      <c r="N906" s="0" t="str">
        <f aca="false">RIGHT(M906,LEN(M906)-FIND(" ",M906))</f>
        <v>HOMEWOOD AVE SE</v>
      </c>
      <c r="P906" s="0" t="s">
        <v>145</v>
      </c>
      <c r="Q906" s="0" t="s">
        <v>146</v>
      </c>
      <c r="R906" s="0" t="n">
        <v>44483</v>
      </c>
      <c r="AD906" s="0" t="s">
        <v>147</v>
      </c>
      <c r="AE906" s="0" t="s">
        <v>148</v>
      </c>
      <c r="AF906" s="0" t="s">
        <v>149</v>
      </c>
      <c r="AH906" s="0" t="n">
        <v>14</v>
      </c>
      <c r="AI906" s="0" t="n">
        <v>11</v>
      </c>
      <c r="AN906" s="0" t="s">
        <v>145</v>
      </c>
      <c r="AO906" s="0" t="s">
        <v>150</v>
      </c>
      <c r="AP906" s="0" t="s">
        <v>151</v>
      </c>
      <c r="AQ906" s="0" t="n">
        <v>9</v>
      </c>
      <c r="AR906" s="0" t="n">
        <v>64</v>
      </c>
      <c r="AS906" s="0" t="n">
        <v>32</v>
      </c>
      <c r="AU906" s="0" t="n">
        <f aca="false">COUNTA($BA$232:$EH$232)</f>
        <v>1</v>
      </c>
      <c r="AV906" s="0" t="n">
        <f aca="false">COUNTIF($BA$232:$EH$232,"D")</f>
        <v>0</v>
      </c>
      <c r="AW906" s="0" t="n">
        <f aca="false">COUNTIF($BA$232:$EH$232,"R")</f>
        <v>0</v>
      </c>
      <c r="AX906" s="0" t="n">
        <f aca="false">IF(BN906="D",1,0)+IF(BO906="D",1,0)+IF(BT906="D",1,0)+IF(BU906="D",1,0)+IF(BW906="D",1,0)+IF(CC906="D",1,0)+IF(CD906="D",1,0)+IF(CE906="D",1,0)+IF(CF906="D",1,0)+IF(CL906="D",1,0)+IF(CM906="D",1,0)+IF(CQ906="D",1,0)+IF(CR906="D",1,0)+IF(CS906="D",1,0)+IF(CW906="D",1,0)+IF(CX906="D",1,0)+IF(DD906="D",1,0)+IF(DE906="D",1,0)+IF(DJ906="D",1,0)+IF(DK906="D",1,0)+IF(DO906="D",1,0)+IF(DP906="D",1,0)+IF(DQ906="D",1,0)+IF(DW906="D",1,0)+IF(DZ906="D",1,0)+IF(EH906="D",1,0)</f>
        <v>2</v>
      </c>
      <c r="AY906" s="0" t="n">
        <f aca="false">COUNTIF(DU906:EH906, "&lt;&gt;")</f>
        <v>3</v>
      </c>
      <c r="AZ906" s="0" t="n">
        <f aca="false">IF(EH906&lt;&gt;"",1,0)</f>
        <v>0</v>
      </c>
      <c r="BB906" s="0" t="s">
        <v>152</v>
      </c>
      <c r="BS906" s="0" t="s">
        <v>153</v>
      </c>
      <c r="CL906" s="0" t="s">
        <v>175</v>
      </c>
      <c r="CO906" s="0" t="s">
        <v>175</v>
      </c>
      <c r="CP906" s="0" t="s">
        <v>153</v>
      </c>
      <c r="CV906" s="0" t="s">
        <v>153</v>
      </c>
      <c r="CY906" s="0" t="s">
        <v>153</v>
      </c>
      <c r="CZ906" s="0" t="s">
        <v>175</v>
      </c>
      <c r="DC906" s="0" t="s">
        <v>153</v>
      </c>
      <c r="DF906" s="0" t="s">
        <v>153</v>
      </c>
      <c r="DI906" s="0" t="s">
        <v>153</v>
      </c>
      <c r="DM906" s="0" t="s">
        <v>175</v>
      </c>
      <c r="DN906" s="0" t="s">
        <v>153</v>
      </c>
      <c r="DW906" s="0" t="s">
        <v>175</v>
      </c>
      <c r="EA906" s="0" t="s">
        <v>153</v>
      </c>
      <c r="EF906" s="0" t="s">
        <v>153</v>
      </c>
    </row>
    <row r="907" customFormat="false" ht="13.8" hidden="false" customHeight="false" outlineLevel="0" collapsed="false">
      <c r="A907" s="0" t="s">
        <v>4487</v>
      </c>
      <c r="B907" s="0" t="n">
        <v>78</v>
      </c>
      <c r="C907" s="0" t="n">
        <v>8306</v>
      </c>
      <c r="D907" s="0" t="s">
        <v>4482</v>
      </c>
      <c r="E907" s="0" t="s">
        <v>818</v>
      </c>
      <c r="F907" s="0" t="str">
        <f aca="false">CONCATENATE(D907," ",LEFT(H907,4),"T=",AU907,"D=",AV907,"R=",AW907,"M=",AX907,"L=",AY907,"B=",AZ907)</f>
        <v>CURRAN T=15D=4R=0M=2L=6B=0</v>
      </c>
      <c r="G907" s="0" t="s">
        <v>171</v>
      </c>
      <c r="I907" s="0" t="s">
        <v>4488</v>
      </c>
      <c r="J907" s="0" t="s">
        <v>4489</v>
      </c>
      <c r="K907" s="0" t="s">
        <v>160</v>
      </c>
      <c r="L907" s="0" t="s">
        <v>175</v>
      </c>
      <c r="M907" s="0" t="s">
        <v>4486</v>
      </c>
      <c r="N907" s="0" t="str">
        <f aca="false">RIGHT(M907,LEN(M907)-FIND(" ",M907))</f>
        <v>HOMEWOOD AVE SE</v>
      </c>
      <c r="P907" s="0" t="s">
        <v>145</v>
      </c>
      <c r="Q907" s="0" t="s">
        <v>146</v>
      </c>
      <c r="R907" s="0" t="n">
        <v>44483</v>
      </c>
      <c r="AD907" s="0" t="s">
        <v>147</v>
      </c>
      <c r="AE907" s="0" t="s">
        <v>148</v>
      </c>
      <c r="AF907" s="0" t="s">
        <v>149</v>
      </c>
      <c r="AH907" s="0" t="n">
        <v>14</v>
      </c>
      <c r="AI907" s="0" t="n">
        <v>11</v>
      </c>
      <c r="AN907" s="0" t="s">
        <v>145</v>
      </c>
      <c r="AO907" s="0" t="s">
        <v>150</v>
      </c>
      <c r="AP907" s="0" t="s">
        <v>151</v>
      </c>
      <c r="AQ907" s="0" t="n">
        <v>9</v>
      </c>
      <c r="AR907" s="0" t="n">
        <v>64</v>
      </c>
      <c r="AS907" s="0" t="n">
        <v>32</v>
      </c>
      <c r="AU907" s="0" t="n">
        <f aca="false">COUNTA($BA$836:$EH$836)</f>
        <v>15</v>
      </c>
      <c r="AV907" s="0" t="n">
        <f aca="false">COUNTIF($BA$836:$EH$836,"D")</f>
        <v>4</v>
      </c>
      <c r="AW907" s="0" t="n">
        <f aca="false">COUNTIF($BA$836:$EH$836,"R")</f>
        <v>0</v>
      </c>
      <c r="AX907" s="0" t="n">
        <f aca="false">IF(BN907="D",1,0)+IF(BO907="D",1,0)+IF(BT907="D",1,0)+IF(BU907="D",1,0)+IF(BW907="D",1,0)+IF(CC907="D",1,0)+IF(CD907="D",1,0)+IF(CE907="D",1,0)+IF(CF907="D",1,0)+IF(CL907="D",1,0)+IF(CM907="D",1,0)+IF(CQ907="D",1,0)+IF(CR907="D",1,0)+IF(CS907="D",1,0)+IF(CW907="D",1,0)+IF(CX907="D",1,0)+IF(DD907="D",1,0)+IF(DE907="D",1,0)+IF(DJ907="D",1,0)+IF(DK907="D",1,0)+IF(DO907="D",1,0)+IF(DP907="D",1,0)+IF(DQ907="D",1,0)+IF(DW907="D",1,0)+IF(DZ907="D",1,0)+IF(EH907="D",1,0)</f>
        <v>2</v>
      </c>
      <c r="AY907" s="0" t="n">
        <f aca="false">COUNTIF(DU907:EH907, "&lt;&gt;")</f>
        <v>6</v>
      </c>
      <c r="AZ907" s="0" t="n">
        <f aca="false">IF(EH907&lt;&gt;"",1,0)</f>
        <v>0</v>
      </c>
      <c r="BB907" s="0" t="s">
        <v>152</v>
      </c>
      <c r="BC907" s="0" t="s">
        <v>153</v>
      </c>
      <c r="BD907" s="0" t="s">
        <v>153</v>
      </c>
      <c r="BE907" s="0" t="s">
        <v>153</v>
      </c>
      <c r="BG907" s="0" t="s">
        <v>153</v>
      </c>
      <c r="BH907" s="0" t="s">
        <v>153</v>
      </c>
      <c r="BJ907" s="0" t="s">
        <v>153</v>
      </c>
      <c r="BK907" s="0" t="s">
        <v>153</v>
      </c>
      <c r="BL907" s="0" t="s">
        <v>153</v>
      </c>
      <c r="BP907" s="0" t="s">
        <v>153</v>
      </c>
      <c r="BR907" s="0" t="s">
        <v>153</v>
      </c>
      <c r="BS907" s="0" t="s">
        <v>153</v>
      </c>
      <c r="BT907" s="0" t="s">
        <v>153</v>
      </c>
      <c r="BV907" s="0" t="s">
        <v>153</v>
      </c>
      <c r="BY907" s="0" t="s">
        <v>175</v>
      </c>
      <c r="CA907" s="0" t="s">
        <v>153</v>
      </c>
      <c r="CG907" s="0" t="s">
        <v>153</v>
      </c>
      <c r="CH907" s="0" t="s">
        <v>175</v>
      </c>
      <c r="CK907" s="0" t="s">
        <v>153</v>
      </c>
      <c r="CL907" s="0" t="s">
        <v>175</v>
      </c>
      <c r="CN907" s="0" t="s">
        <v>153</v>
      </c>
      <c r="CO907" s="0" t="s">
        <v>175</v>
      </c>
      <c r="CP907" s="0" t="s">
        <v>153</v>
      </c>
      <c r="CV907" s="0" t="s">
        <v>153</v>
      </c>
      <c r="CY907" s="0" t="s">
        <v>153</v>
      </c>
      <c r="CZ907" s="0" t="s">
        <v>175</v>
      </c>
      <c r="DC907" s="0" t="s">
        <v>153</v>
      </c>
      <c r="DF907" s="0" t="s">
        <v>153</v>
      </c>
      <c r="DI907" s="0" t="s">
        <v>153</v>
      </c>
      <c r="DM907" s="0" t="s">
        <v>175</v>
      </c>
      <c r="DN907" s="0" t="s">
        <v>153</v>
      </c>
      <c r="DT907" s="0" t="s">
        <v>175</v>
      </c>
      <c r="DU907" s="0" t="s">
        <v>153</v>
      </c>
      <c r="DW907" s="0" t="s">
        <v>175</v>
      </c>
      <c r="DX907" s="0" t="s">
        <v>153</v>
      </c>
      <c r="EA907" s="0" t="s">
        <v>153</v>
      </c>
      <c r="ED907" s="0" t="s">
        <v>175</v>
      </c>
      <c r="EF907" s="0" t="s">
        <v>153</v>
      </c>
    </row>
    <row r="908" customFormat="false" ht="13.8" hidden="true" customHeight="false" outlineLevel="0" collapsed="false">
      <c r="A908" s="0" t="s">
        <v>4490</v>
      </c>
      <c r="B908" s="0" t="n">
        <v>78</v>
      </c>
      <c r="C908" s="0" t="n">
        <v>460971</v>
      </c>
      <c r="D908" s="0" t="s">
        <v>4491</v>
      </c>
      <c r="E908" s="0" t="s">
        <v>2847</v>
      </c>
      <c r="F908" s="0" t="str">
        <f aca="false">CONCATENATE(D908," ",LEFT(H908,4),"T=",AU908,"D=",AV908,"R=",AW908,"M=",AX908,"L=",AY908,"B=",AZ908)</f>
        <v>VELEZ VELEZ T=1D=0R=0M=0L=0B=0</v>
      </c>
      <c r="G908" s="0" t="s">
        <v>396</v>
      </c>
      <c r="I908" s="0" t="s">
        <v>4492</v>
      </c>
      <c r="J908" s="0" t="s">
        <v>4493</v>
      </c>
      <c r="K908" s="0" t="s">
        <v>143</v>
      </c>
      <c r="M908" s="0" t="s">
        <v>4494</v>
      </c>
      <c r="N908" s="0" t="str">
        <f aca="false">RIGHT(M908,LEN(M908)-FIND(" ",M908))</f>
        <v>HOMEWOOD AVE SE</v>
      </c>
      <c r="P908" s="0" t="s">
        <v>145</v>
      </c>
      <c r="Q908" s="0" t="s">
        <v>146</v>
      </c>
      <c r="R908" s="0" t="n">
        <v>44483</v>
      </c>
      <c r="AD908" s="0" t="s">
        <v>147</v>
      </c>
      <c r="AE908" s="0" t="s">
        <v>148</v>
      </c>
      <c r="AF908" s="0" t="s">
        <v>149</v>
      </c>
      <c r="AH908" s="0" t="n">
        <v>14</v>
      </c>
      <c r="AI908" s="0" t="n">
        <v>11</v>
      </c>
      <c r="AN908" s="0" t="s">
        <v>145</v>
      </c>
      <c r="AO908" s="0" t="s">
        <v>150</v>
      </c>
      <c r="AP908" s="0" t="s">
        <v>151</v>
      </c>
      <c r="AQ908" s="0" t="n">
        <v>9</v>
      </c>
      <c r="AR908" s="0" t="n">
        <v>64</v>
      </c>
      <c r="AS908" s="0" t="n">
        <v>32</v>
      </c>
      <c r="AU908" s="0" t="n">
        <f aca="false">COUNTA($BA$622:$EH$622)</f>
        <v>1</v>
      </c>
      <c r="AV908" s="0" t="n">
        <f aca="false">COUNTIF($BA$622:$EH$622,"D")</f>
        <v>0</v>
      </c>
      <c r="AW908" s="0" t="n">
        <f aca="false">COUNTIF($BA$622:$EH$622,"R")</f>
        <v>0</v>
      </c>
      <c r="AX908" s="0" t="n">
        <f aca="false">IF(BN908="D",1,0)+IF(BO908="D",1,0)+IF(BT908="D",1,0)+IF(BU908="D",1,0)+IF(BW908="D",1,0)+IF(CC908="D",1,0)+IF(CD908="D",1,0)+IF(CE908="D",1,0)+IF(CF908="D",1,0)+IF(CL908="D",1,0)+IF(CM908="D",1,0)+IF(CQ908="D",1,0)+IF(CR908="D",1,0)+IF(CS908="D",1,0)+IF(CW908="D",1,0)+IF(CX908="D",1,0)+IF(DD908="D",1,0)+IF(DE908="D",1,0)+IF(DJ908="D",1,0)+IF(DK908="D",1,0)+IF(DO908="D",1,0)+IF(DP908="D",1,0)+IF(DQ908="D",1,0)+IF(DW908="D",1,0)+IF(DZ908="D",1,0)+IF(EH908="D",1,0)</f>
        <v>0</v>
      </c>
      <c r="AY908" s="0" t="n">
        <f aca="false">COUNTIF(DU908:EH908, "&lt;&gt;")</f>
        <v>0</v>
      </c>
      <c r="AZ908" s="0" t="n">
        <f aca="false">IF(EH908&lt;&gt;"",1,0)</f>
        <v>0</v>
      </c>
      <c r="BB908" s="0" t="s">
        <v>152</v>
      </c>
    </row>
    <row r="909" customFormat="false" ht="13.8" hidden="true" customHeight="false" outlineLevel="0" collapsed="false">
      <c r="A909" s="0" t="s">
        <v>4495</v>
      </c>
      <c r="B909" s="0" t="n">
        <v>78</v>
      </c>
      <c r="C909" s="0" t="n">
        <v>411042</v>
      </c>
      <c r="D909" s="0" t="s">
        <v>1466</v>
      </c>
      <c r="E909" s="0" t="s">
        <v>4496</v>
      </c>
      <c r="F909" s="0" t="str">
        <f aca="false">CONCATENATE(D909," ",LEFT(H909,4),"T=",AU909,"D=",AV909,"R=",AW909,"M=",AX909,"L=",AY909,"B=",AZ909)</f>
        <v>JOHNSON T=4D=0R=0M=0L=0B=0</v>
      </c>
      <c r="G909" s="0" t="s">
        <v>175</v>
      </c>
      <c r="I909" s="0" t="s">
        <v>4497</v>
      </c>
      <c r="J909" s="0" t="s">
        <v>4498</v>
      </c>
      <c r="K909" s="0" t="s">
        <v>143</v>
      </c>
      <c r="M909" s="0" t="s">
        <v>4499</v>
      </c>
      <c r="N909" s="0" t="str">
        <f aca="false">RIGHT(M909,LEN(M909)-FIND(" ",M909))</f>
        <v>HOMEWOOD AVE SE</v>
      </c>
      <c r="P909" s="0" t="s">
        <v>145</v>
      </c>
      <c r="Q909" s="0" t="s">
        <v>146</v>
      </c>
      <c r="R909" s="0" t="n">
        <v>44483</v>
      </c>
      <c r="AD909" s="0" t="s">
        <v>147</v>
      </c>
      <c r="AE909" s="0" t="s">
        <v>148</v>
      </c>
      <c r="AF909" s="0" t="s">
        <v>149</v>
      </c>
      <c r="AH909" s="0" t="n">
        <v>14</v>
      </c>
      <c r="AI909" s="0" t="n">
        <v>11</v>
      </c>
      <c r="AN909" s="0" t="s">
        <v>145</v>
      </c>
      <c r="AO909" s="0" t="s">
        <v>150</v>
      </c>
      <c r="AP909" s="0" t="s">
        <v>151</v>
      </c>
      <c r="AQ909" s="0" t="n">
        <v>9</v>
      </c>
      <c r="AR909" s="0" t="n">
        <v>64</v>
      </c>
      <c r="AS909" s="0" t="n">
        <v>32</v>
      </c>
      <c r="AU909" s="0" t="n">
        <f aca="false">COUNTA($BA$878:$EH$878)</f>
        <v>4</v>
      </c>
      <c r="AV909" s="0" t="n">
        <f aca="false">COUNTIF($BA$878:$EH$878,"D")</f>
        <v>0</v>
      </c>
      <c r="AW909" s="0" t="n">
        <f aca="false">COUNTIF($BA$878:$EH$878,"R")</f>
        <v>0</v>
      </c>
      <c r="AX909" s="0" t="n">
        <f aca="false">IF(BN909="D",1,0)+IF(BO909="D",1,0)+IF(BT909="D",1,0)+IF(BU909="D",1,0)+IF(BW909="D",1,0)+IF(CC909="D",1,0)+IF(CD909="D",1,0)+IF(CE909="D",1,0)+IF(CF909="D",1,0)+IF(CL909="D",1,0)+IF(CM909="D",1,0)+IF(CQ909="D",1,0)+IF(CR909="D",1,0)+IF(CS909="D",1,0)+IF(CW909="D",1,0)+IF(CX909="D",1,0)+IF(DD909="D",1,0)+IF(DE909="D",1,0)+IF(DJ909="D",1,0)+IF(DK909="D",1,0)+IF(DO909="D",1,0)+IF(DP909="D",1,0)+IF(DQ909="D",1,0)+IF(DW909="D",1,0)+IF(DZ909="D",1,0)+IF(EH909="D",1,0)</f>
        <v>0</v>
      </c>
      <c r="AY909" s="0" t="n">
        <f aca="false">COUNTIF(DU909:EH909, "&lt;&gt;")</f>
        <v>0</v>
      </c>
      <c r="AZ909" s="0" t="n">
        <f aca="false">IF(EH909&lt;&gt;"",1,0)</f>
        <v>0</v>
      </c>
      <c r="BB909" s="0" t="s">
        <v>152</v>
      </c>
    </row>
    <row r="910" customFormat="false" ht="13.8" hidden="true" customHeight="false" outlineLevel="0" collapsed="false">
      <c r="A910" s="0" t="s">
        <v>4500</v>
      </c>
      <c r="B910" s="0" t="n">
        <v>78</v>
      </c>
      <c r="C910" s="0" t="n">
        <v>415250</v>
      </c>
      <c r="D910" s="0" t="s">
        <v>1466</v>
      </c>
      <c r="E910" s="0" t="s">
        <v>3178</v>
      </c>
      <c r="F910" s="0" t="str">
        <f aca="false">CONCATENATE(D910," ",LEFT(H910,4),"T=",AU910,"D=",AV910,"R=",AW910,"M=",AX910,"L=",AY910,"B=",AZ910)</f>
        <v>JOHNSON T=43D=12R=0M=0L=0B=0</v>
      </c>
      <c r="G910" s="0" t="s">
        <v>650</v>
      </c>
      <c r="I910" s="0" t="s">
        <v>4501</v>
      </c>
      <c r="J910" s="0" t="s">
        <v>4502</v>
      </c>
      <c r="K910" s="0" t="s">
        <v>143</v>
      </c>
      <c r="M910" s="0" t="s">
        <v>4499</v>
      </c>
      <c r="N910" s="0" t="str">
        <f aca="false">RIGHT(M910,LEN(M910)-FIND(" ",M910))</f>
        <v>HOMEWOOD AVE SE</v>
      </c>
      <c r="P910" s="0" t="s">
        <v>145</v>
      </c>
      <c r="Q910" s="0" t="s">
        <v>146</v>
      </c>
      <c r="R910" s="0" t="n">
        <v>44483</v>
      </c>
      <c r="AD910" s="0" t="s">
        <v>147</v>
      </c>
      <c r="AE910" s="0" t="s">
        <v>148</v>
      </c>
      <c r="AF910" s="0" t="s">
        <v>149</v>
      </c>
      <c r="AH910" s="0" t="n">
        <v>14</v>
      </c>
      <c r="AI910" s="0" t="n">
        <v>11</v>
      </c>
      <c r="AN910" s="0" t="s">
        <v>145</v>
      </c>
      <c r="AO910" s="0" t="s">
        <v>150</v>
      </c>
      <c r="AP910" s="0" t="s">
        <v>151</v>
      </c>
      <c r="AQ910" s="0" t="n">
        <v>9</v>
      </c>
      <c r="AR910" s="0" t="n">
        <v>64</v>
      </c>
      <c r="AS910" s="0" t="n">
        <v>32</v>
      </c>
      <c r="AU910" s="0" t="n">
        <f aca="false">COUNTA($BA$1004:$EH$1004)</f>
        <v>43</v>
      </c>
      <c r="AV910" s="0" t="n">
        <f aca="false">COUNTIF($BA$1004:$EH$1004,"D")</f>
        <v>12</v>
      </c>
      <c r="AW910" s="0" t="n">
        <f aca="false">COUNTIF($BA$1004:$EH$1004,"R")</f>
        <v>0</v>
      </c>
      <c r="AX910" s="0" t="n">
        <f aca="false">IF(BN910="D",1,0)+IF(BO910="D",1,0)+IF(BT910="D",1,0)+IF(BU910="D",1,0)+IF(BW910="D",1,0)+IF(CC910="D",1,0)+IF(CD910="D",1,0)+IF(CE910="D",1,0)+IF(CF910="D",1,0)+IF(CL910="D",1,0)+IF(CM910="D",1,0)+IF(CQ910="D",1,0)+IF(CR910="D",1,0)+IF(CS910="D",1,0)+IF(CW910="D",1,0)+IF(CX910="D",1,0)+IF(DD910="D",1,0)+IF(DE910="D",1,0)+IF(DJ910="D",1,0)+IF(DK910="D",1,0)+IF(DO910="D",1,0)+IF(DP910="D",1,0)+IF(DQ910="D",1,0)+IF(DW910="D",1,0)+IF(DZ910="D",1,0)+IF(EH910="D",1,0)</f>
        <v>0</v>
      </c>
      <c r="AY910" s="0" t="n">
        <f aca="false">COUNTIF(DU910:EH910, "&lt;&gt;")</f>
        <v>0</v>
      </c>
      <c r="AZ910" s="0" t="n">
        <f aca="false">IF(EH910&lt;&gt;"",1,0)</f>
        <v>0</v>
      </c>
      <c r="BB910" s="0" t="s">
        <v>152</v>
      </c>
    </row>
    <row r="911" customFormat="false" ht="13.8" hidden="true" customHeight="false" outlineLevel="0" collapsed="false">
      <c r="A911" s="0" t="s">
        <v>4503</v>
      </c>
      <c r="B911" s="0" t="n">
        <v>78</v>
      </c>
      <c r="C911" s="0" t="n">
        <v>386296</v>
      </c>
      <c r="D911" s="0" t="s">
        <v>4504</v>
      </c>
      <c r="E911" s="0" t="s">
        <v>719</v>
      </c>
      <c r="F911" s="0" t="str">
        <f aca="false">CONCATENATE(D911," ",LEFT(H911,4),"T=",AU911,"D=",AV911,"R=",AW911,"M=",AX911,"L=",AY911,"B=",AZ911)</f>
        <v>TRICE T=36D=9R=0M=0L=0B=0</v>
      </c>
      <c r="G911" s="0" t="s">
        <v>670</v>
      </c>
      <c r="I911" s="0" t="s">
        <v>4505</v>
      </c>
      <c r="J911" s="0" t="s">
        <v>399</v>
      </c>
      <c r="K911" s="0" t="s">
        <v>160</v>
      </c>
      <c r="M911" s="0" t="s">
        <v>4499</v>
      </c>
      <c r="N911" s="0" t="str">
        <f aca="false">RIGHT(M911,LEN(M911)-FIND(" ",M911))</f>
        <v>HOMEWOOD AVE SE</v>
      </c>
      <c r="P911" s="0" t="s">
        <v>145</v>
      </c>
      <c r="Q911" s="0" t="s">
        <v>146</v>
      </c>
      <c r="R911" s="0" t="n">
        <v>44483</v>
      </c>
      <c r="AD911" s="0" t="s">
        <v>147</v>
      </c>
      <c r="AE911" s="0" t="s">
        <v>148</v>
      </c>
      <c r="AF911" s="0" t="s">
        <v>149</v>
      </c>
      <c r="AH911" s="0" t="n">
        <v>14</v>
      </c>
      <c r="AI911" s="0" t="n">
        <v>11</v>
      </c>
      <c r="AN911" s="0" t="s">
        <v>145</v>
      </c>
      <c r="AO911" s="0" t="s">
        <v>150</v>
      </c>
      <c r="AP911" s="0" t="s">
        <v>151</v>
      </c>
      <c r="AQ911" s="0" t="n">
        <v>9</v>
      </c>
      <c r="AR911" s="0" t="n">
        <v>64</v>
      </c>
      <c r="AS911" s="0" t="n">
        <v>32</v>
      </c>
      <c r="AU911" s="0" t="n">
        <f aca="false">COUNTA($BA$1033:$EH$1033)</f>
        <v>36</v>
      </c>
      <c r="AV911" s="0" t="n">
        <f aca="false">COUNTIF($BA$1033:$EH$1033,"D")</f>
        <v>9</v>
      </c>
      <c r="AW911" s="0" t="n">
        <f aca="false">COUNTIF($BA$1033:$EH$1033,"R")</f>
        <v>0</v>
      </c>
      <c r="AX911" s="0" t="n">
        <f aca="false">IF(BN911="D",1,0)+IF(BO911="D",1,0)+IF(BT911="D",1,0)+IF(BU911="D",1,0)+IF(BW911="D",1,0)+IF(CC911="D",1,0)+IF(CD911="D",1,0)+IF(CE911="D",1,0)+IF(CF911="D",1,0)+IF(CL911="D",1,0)+IF(CM911="D",1,0)+IF(CQ911="D",1,0)+IF(CR911="D",1,0)+IF(CS911="D",1,0)+IF(CW911="D",1,0)+IF(CX911="D",1,0)+IF(DD911="D",1,0)+IF(DE911="D",1,0)+IF(DJ911="D",1,0)+IF(DK911="D",1,0)+IF(DO911="D",1,0)+IF(DP911="D",1,0)+IF(DQ911="D",1,0)+IF(DW911="D",1,0)+IF(DZ911="D",1,0)+IF(EH911="D",1,0)</f>
        <v>0</v>
      </c>
      <c r="AY911" s="0" t="n">
        <f aca="false">COUNTIF(DU911:EH911, "&lt;&gt;")</f>
        <v>0</v>
      </c>
      <c r="AZ911" s="0" t="n">
        <f aca="false">IF(EH911&lt;&gt;"",1,0)</f>
        <v>0</v>
      </c>
      <c r="BB911" s="0" t="s">
        <v>152</v>
      </c>
    </row>
    <row r="912" customFormat="false" ht="13.8" hidden="true" customHeight="false" outlineLevel="0" collapsed="false">
      <c r="A912" s="0" t="s">
        <v>4506</v>
      </c>
      <c r="B912" s="0" t="n">
        <v>78</v>
      </c>
      <c r="C912" s="0" t="n">
        <v>312614</v>
      </c>
      <c r="D912" s="0" t="s">
        <v>1041</v>
      </c>
      <c r="E912" s="0" t="s">
        <v>3167</v>
      </c>
      <c r="F912" s="0" t="str">
        <f aca="false">CONCATENATE(D912," ",LEFT(H912,4),"T=",AU912,"D=",AV912,"R=",AW912,"M=",AX912,"L=",AY912,"B=",AZ912)</f>
        <v>JONES T=1D=0R=0M=0L=0B=0</v>
      </c>
      <c r="G912" s="0" t="s">
        <v>987</v>
      </c>
      <c r="I912" s="0" t="s">
        <v>4507</v>
      </c>
      <c r="J912" s="0" t="s">
        <v>688</v>
      </c>
      <c r="K912" s="0" t="s">
        <v>160</v>
      </c>
      <c r="M912" s="0" t="s">
        <v>4508</v>
      </c>
      <c r="N912" s="0" t="str">
        <f aca="false">RIGHT(M912,LEN(M912)-FIND(" ",M912))</f>
        <v>HOMEWOOD AVE SE</v>
      </c>
      <c r="P912" s="0" t="s">
        <v>145</v>
      </c>
      <c r="Q912" s="0" t="s">
        <v>146</v>
      </c>
      <c r="R912" s="0" t="n">
        <v>44483</v>
      </c>
      <c r="AD912" s="0" t="s">
        <v>147</v>
      </c>
      <c r="AE912" s="0" t="s">
        <v>148</v>
      </c>
      <c r="AF912" s="0" t="s">
        <v>149</v>
      </c>
      <c r="AH912" s="0" t="n">
        <v>14</v>
      </c>
      <c r="AI912" s="0" t="n">
        <v>11</v>
      </c>
      <c r="AN912" s="0" t="s">
        <v>145</v>
      </c>
      <c r="AO912" s="0" t="s">
        <v>150</v>
      </c>
      <c r="AP912" s="0" t="s">
        <v>151</v>
      </c>
      <c r="AQ912" s="0" t="n">
        <v>9</v>
      </c>
      <c r="AR912" s="0" t="n">
        <v>64</v>
      </c>
      <c r="AS912" s="0" t="n">
        <v>32</v>
      </c>
      <c r="AU912" s="0" t="n">
        <f aca="false">COUNTA($BA$167:$EH$167)</f>
        <v>1</v>
      </c>
      <c r="AV912" s="0" t="n">
        <f aca="false">COUNTIF($BA$167:$EH$167,"D")</f>
        <v>0</v>
      </c>
      <c r="AW912" s="0" t="n">
        <f aca="false">COUNTIF($BA$167:$EH$167,"R")</f>
        <v>0</v>
      </c>
      <c r="AX912" s="0" t="n">
        <f aca="false">IF(BN912="D",1,0)+IF(BO912="D",1,0)+IF(BT912="D",1,0)+IF(BU912="D",1,0)+IF(BW912="D",1,0)+IF(CC912="D",1,0)+IF(CD912="D",1,0)+IF(CE912="D",1,0)+IF(CF912="D",1,0)+IF(CL912="D",1,0)+IF(CM912="D",1,0)+IF(CQ912="D",1,0)+IF(CR912="D",1,0)+IF(CS912="D",1,0)+IF(CW912="D",1,0)+IF(CX912="D",1,0)+IF(DD912="D",1,0)+IF(DE912="D",1,0)+IF(DJ912="D",1,0)+IF(DK912="D",1,0)+IF(DO912="D",1,0)+IF(DP912="D",1,0)+IF(DQ912="D",1,0)+IF(DW912="D",1,0)+IF(DZ912="D",1,0)+IF(EH912="D",1,0)</f>
        <v>0</v>
      </c>
      <c r="AY912" s="0" t="n">
        <f aca="false">COUNTIF(DU912:EH912, "&lt;&gt;")</f>
        <v>0</v>
      </c>
      <c r="AZ912" s="0" t="n">
        <f aca="false">IF(EH912&lt;&gt;"",1,0)</f>
        <v>0</v>
      </c>
      <c r="BB912" s="0" t="s">
        <v>152</v>
      </c>
      <c r="BY912" s="0" t="s">
        <v>175</v>
      </c>
      <c r="CA912" s="0" t="s">
        <v>153</v>
      </c>
      <c r="CP912" s="0" t="s">
        <v>153</v>
      </c>
      <c r="CY912" s="0" t="s">
        <v>153</v>
      </c>
      <c r="DC912" s="0" t="s">
        <v>153</v>
      </c>
      <c r="DI912" s="0" t="s">
        <v>153</v>
      </c>
      <c r="DN912" s="0" t="s">
        <v>153</v>
      </c>
    </row>
    <row r="913" customFormat="false" ht="13.8" hidden="true" customHeight="false" outlineLevel="0" collapsed="false">
      <c r="A913" s="0" t="s">
        <v>4509</v>
      </c>
      <c r="B913" s="0" t="n">
        <v>78</v>
      </c>
      <c r="C913" s="0" t="n">
        <v>388252</v>
      </c>
      <c r="D913" s="0" t="s">
        <v>4510</v>
      </c>
      <c r="E913" s="0" t="s">
        <v>1827</v>
      </c>
      <c r="F913" s="0" t="str">
        <f aca="false">CONCATENATE(D913," ",LEFT(H913,4),"T=",AU913,"D=",AV913,"R=",AW913,"M=",AX913,"L=",AY913,"B=",AZ913)</f>
        <v>SUDNIK T=1D=0R=0M=0L=0B=0</v>
      </c>
      <c r="G913" s="0" t="s">
        <v>209</v>
      </c>
      <c r="I913" s="0" t="s">
        <v>4511</v>
      </c>
      <c r="J913" s="0" t="s">
        <v>4512</v>
      </c>
      <c r="K913" s="0" t="s">
        <v>143</v>
      </c>
      <c r="M913" s="0" t="s">
        <v>4508</v>
      </c>
      <c r="N913" s="0" t="str">
        <f aca="false">RIGHT(M913,LEN(M913)-FIND(" ",M913))</f>
        <v>HOMEWOOD AVE SE</v>
      </c>
      <c r="P913" s="0" t="s">
        <v>145</v>
      </c>
      <c r="Q913" s="0" t="s">
        <v>146</v>
      </c>
      <c r="R913" s="0" t="n">
        <v>44483</v>
      </c>
      <c r="AD913" s="0" t="s">
        <v>147</v>
      </c>
      <c r="AE913" s="0" t="s">
        <v>148</v>
      </c>
      <c r="AF913" s="0" t="s">
        <v>149</v>
      </c>
      <c r="AH913" s="0" t="n">
        <v>14</v>
      </c>
      <c r="AI913" s="0" t="n">
        <v>11</v>
      </c>
      <c r="AN913" s="0" t="s">
        <v>145</v>
      </c>
      <c r="AO913" s="0" t="s">
        <v>150</v>
      </c>
      <c r="AP913" s="0" t="s">
        <v>151</v>
      </c>
      <c r="AQ913" s="0" t="n">
        <v>9</v>
      </c>
      <c r="AR913" s="0" t="n">
        <v>64</v>
      </c>
      <c r="AS913" s="0" t="n">
        <v>32</v>
      </c>
      <c r="AU913" s="0" t="n">
        <f aca="false">COUNTA($BA$565:$EH$565)</f>
        <v>1</v>
      </c>
      <c r="AV913" s="0" t="n">
        <f aca="false">COUNTIF($BA$565:$EH$565,"D")</f>
        <v>0</v>
      </c>
      <c r="AW913" s="0" t="n">
        <f aca="false">COUNTIF($BA$565:$EH$565,"R")</f>
        <v>0</v>
      </c>
      <c r="AX913" s="0" t="n">
        <f aca="false">IF(BN913="D",1,0)+IF(BO913="D",1,0)+IF(BT913="D",1,0)+IF(BU913="D",1,0)+IF(BW913="D",1,0)+IF(CC913="D",1,0)+IF(CD913="D",1,0)+IF(CE913="D",1,0)+IF(CF913="D",1,0)+IF(CL913="D",1,0)+IF(CM913="D",1,0)+IF(CQ913="D",1,0)+IF(CR913="D",1,0)+IF(CS913="D",1,0)+IF(CW913="D",1,0)+IF(CX913="D",1,0)+IF(DD913="D",1,0)+IF(DE913="D",1,0)+IF(DJ913="D",1,0)+IF(DK913="D",1,0)+IF(DO913="D",1,0)+IF(DP913="D",1,0)+IF(DQ913="D",1,0)+IF(DW913="D",1,0)+IF(DZ913="D",1,0)+IF(EH913="D",1,0)</f>
        <v>0</v>
      </c>
      <c r="AY913" s="0" t="n">
        <f aca="false">COUNTIF(DU913:EH913, "&lt;&gt;")</f>
        <v>0</v>
      </c>
      <c r="AZ913" s="0" t="n">
        <f aca="false">IF(EH913&lt;&gt;"",1,0)</f>
        <v>0</v>
      </c>
      <c r="BB913" s="0" t="s">
        <v>152</v>
      </c>
      <c r="BL913" s="0" t="s">
        <v>153</v>
      </c>
      <c r="BN913" s="0" t="s">
        <v>153</v>
      </c>
      <c r="CA913" s="0" t="s">
        <v>153</v>
      </c>
      <c r="CP913" s="0" t="s">
        <v>153</v>
      </c>
    </row>
    <row r="914" customFormat="false" ht="13.8" hidden="true" customHeight="false" outlineLevel="0" collapsed="false">
      <c r="A914" s="0" t="s">
        <v>4513</v>
      </c>
      <c r="B914" s="0" t="n">
        <v>78</v>
      </c>
      <c r="C914" s="0" t="n">
        <v>464918</v>
      </c>
      <c r="D914" s="0" t="s">
        <v>1867</v>
      </c>
      <c r="E914" s="0" t="s">
        <v>4514</v>
      </c>
      <c r="F914" s="0" t="str">
        <f aca="false">CONCATENATE(D914," ",LEFT(H914,4),"T=",AU914,"D=",AV914,"R=",AW914,"M=",AX914,"L=",AY914,"B=",AZ914)</f>
        <v>TAYLOR T=18D=3R=0M=0L=0B=0</v>
      </c>
      <c r="G914" s="0" t="s">
        <v>4515</v>
      </c>
      <c r="I914" s="0" t="s">
        <v>4516</v>
      </c>
      <c r="J914" s="0" t="s">
        <v>4517</v>
      </c>
      <c r="K914" s="0" t="s">
        <v>160</v>
      </c>
      <c r="M914" s="0" t="s">
        <v>4508</v>
      </c>
      <c r="N914" s="0" t="str">
        <f aca="false">RIGHT(M914,LEN(M914)-FIND(" ",M914))</f>
        <v>HOMEWOOD AVE SE</v>
      </c>
      <c r="P914" s="0" t="s">
        <v>145</v>
      </c>
      <c r="Q914" s="0" t="s">
        <v>146</v>
      </c>
      <c r="R914" s="0" t="n">
        <v>44483</v>
      </c>
      <c r="AD914" s="0" t="s">
        <v>147</v>
      </c>
      <c r="AE914" s="0" t="s">
        <v>148</v>
      </c>
      <c r="AF914" s="0" t="s">
        <v>149</v>
      </c>
      <c r="AH914" s="0" t="n">
        <v>14</v>
      </c>
      <c r="AI914" s="0" t="n">
        <v>11</v>
      </c>
      <c r="AN914" s="0" t="s">
        <v>145</v>
      </c>
      <c r="AO914" s="0" t="s">
        <v>150</v>
      </c>
      <c r="AP914" s="0" t="s">
        <v>151</v>
      </c>
      <c r="AQ914" s="0" t="n">
        <v>9</v>
      </c>
      <c r="AR914" s="0" t="n">
        <v>64</v>
      </c>
      <c r="AS914" s="0" t="n">
        <v>32</v>
      </c>
      <c r="AU914" s="0" t="n">
        <f aca="false">COUNTA($BA$571:$EH$571)</f>
        <v>18</v>
      </c>
      <c r="AV914" s="0" t="n">
        <f aca="false">COUNTIF($BA$571:$EH$571,"D")</f>
        <v>3</v>
      </c>
      <c r="AW914" s="0" t="n">
        <f aca="false">COUNTIF($BA$571:$EH$571,"R")</f>
        <v>0</v>
      </c>
      <c r="AX914" s="0" t="n">
        <f aca="false">IF(BN914="D",1,0)+IF(BO914="D",1,0)+IF(BT914="D",1,0)+IF(BU914="D",1,0)+IF(BW914="D",1,0)+IF(CC914="D",1,0)+IF(CD914="D",1,0)+IF(CE914="D",1,0)+IF(CF914="D",1,0)+IF(CL914="D",1,0)+IF(CM914="D",1,0)+IF(CQ914="D",1,0)+IF(CR914="D",1,0)+IF(CS914="D",1,0)+IF(CW914="D",1,0)+IF(CX914="D",1,0)+IF(DD914="D",1,0)+IF(DE914="D",1,0)+IF(DJ914="D",1,0)+IF(DK914="D",1,0)+IF(DO914="D",1,0)+IF(DP914="D",1,0)+IF(DQ914="D",1,0)+IF(DW914="D",1,0)+IF(DZ914="D",1,0)+IF(EH914="D",1,0)</f>
        <v>0</v>
      </c>
      <c r="AY914" s="0" t="n">
        <f aca="false">COUNTIF(DU914:EH914, "&lt;&gt;")</f>
        <v>0</v>
      </c>
      <c r="AZ914" s="0" t="n">
        <f aca="false">IF(EH914&lt;&gt;"",1,0)</f>
        <v>0</v>
      </c>
      <c r="BB914" s="0" t="s">
        <v>152</v>
      </c>
    </row>
    <row r="915" customFormat="false" ht="13.8" hidden="true" customHeight="false" outlineLevel="0" collapsed="false">
      <c r="A915" s="0" t="s">
        <v>4518</v>
      </c>
      <c r="B915" s="0" t="n">
        <v>78</v>
      </c>
      <c r="C915" s="0" t="n">
        <v>364365</v>
      </c>
      <c r="D915" s="0" t="s">
        <v>2233</v>
      </c>
      <c r="E915" s="0" t="s">
        <v>1322</v>
      </c>
      <c r="F915" s="0" t="str">
        <f aca="false">CONCATENATE(D915," ",LEFT(H915,4),"T=",AU915,"D=",AV915,"R=",AW915,"M=",AX915,"L=",AY915,"B=",AZ915)</f>
        <v>WATSON T=1D=0R=0M=0L=0B=0</v>
      </c>
      <c r="G915" s="0" t="s">
        <v>1128</v>
      </c>
      <c r="I915" s="0" t="s">
        <v>4519</v>
      </c>
      <c r="J915" s="0" t="s">
        <v>4520</v>
      </c>
      <c r="K915" s="0" t="s">
        <v>160</v>
      </c>
      <c r="M915" s="0" t="s">
        <v>4508</v>
      </c>
      <c r="N915" s="0" t="str">
        <f aca="false">RIGHT(M915,LEN(M915)-FIND(" ",M915))</f>
        <v>HOMEWOOD AVE SE</v>
      </c>
      <c r="P915" s="0" t="s">
        <v>145</v>
      </c>
      <c r="Q915" s="0" t="s">
        <v>146</v>
      </c>
      <c r="R915" s="0" t="n">
        <v>44483</v>
      </c>
      <c r="AD915" s="0" t="s">
        <v>147</v>
      </c>
      <c r="AE915" s="0" t="s">
        <v>148</v>
      </c>
      <c r="AF915" s="0" t="s">
        <v>149</v>
      </c>
      <c r="AH915" s="0" t="n">
        <v>14</v>
      </c>
      <c r="AI915" s="0" t="n">
        <v>11</v>
      </c>
      <c r="AN915" s="0" t="s">
        <v>145</v>
      </c>
      <c r="AO915" s="0" t="s">
        <v>150</v>
      </c>
      <c r="AP915" s="0" t="s">
        <v>151</v>
      </c>
      <c r="AQ915" s="0" t="n">
        <v>9</v>
      </c>
      <c r="AR915" s="0" t="n">
        <v>64</v>
      </c>
      <c r="AS915" s="0" t="n">
        <v>32</v>
      </c>
      <c r="AU915" s="0" t="n">
        <f aca="false">COUNTA($BA$976:$EH$976)</f>
        <v>1</v>
      </c>
      <c r="AV915" s="0" t="n">
        <f aca="false">COUNTIF($BA$976:$EH$976,"D")</f>
        <v>0</v>
      </c>
      <c r="AW915" s="0" t="n">
        <f aca="false">COUNTIF($BA$976:$EH$976,"R")</f>
        <v>0</v>
      </c>
      <c r="AX915" s="0" t="n">
        <f aca="false">IF(BN915="D",1,0)+IF(BO915="D",1,0)+IF(BT915="D",1,0)+IF(BU915="D",1,0)+IF(BW915="D",1,0)+IF(CC915="D",1,0)+IF(CD915="D",1,0)+IF(CE915="D",1,0)+IF(CF915="D",1,0)+IF(CL915="D",1,0)+IF(CM915="D",1,0)+IF(CQ915="D",1,0)+IF(CR915="D",1,0)+IF(CS915="D",1,0)+IF(CW915="D",1,0)+IF(CX915="D",1,0)+IF(DD915="D",1,0)+IF(DE915="D",1,0)+IF(DJ915="D",1,0)+IF(DK915="D",1,0)+IF(DO915="D",1,0)+IF(DP915="D",1,0)+IF(DQ915="D",1,0)+IF(DW915="D",1,0)+IF(DZ915="D",1,0)+IF(EH915="D",1,0)</f>
        <v>0</v>
      </c>
      <c r="AY915" s="0" t="n">
        <f aca="false">COUNTIF(DU915:EH915, "&lt;&gt;")</f>
        <v>0</v>
      </c>
      <c r="AZ915" s="0" t="n">
        <f aca="false">IF(EH915&lt;&gt;"",1,0)</f>
        <v>0</v>
      </c>
      <c r="BB915" s="0" t="s">
        <v>152</v>
      </c>
      <c r="CA915" s="0" t="s">
        <v>153</v>
      </c>
      <c r="CP915" s="0" t="s">
        <v>153</v>
      </c>
      <c r="CY915" s="0" t="s">
        <v>153</v>
      </c>
      <c r="DC915" s="0" t="s">
        <v>153</v>
      </c>
      <c r="DI915" s="0" t="s">
        <v>153</v>
      </c>
      <c r="DN915" s="0" t="s">
        <v>153</v>
      </c>
    </row>
    <row r="916" customFormat="false" ht="13.8" hidden="false" customHeight="false" outlineLevel="0" collapsed="false">
      <c r="A916" s="0" t="s">
        <v>4521</v>
      </c>
      <c r="B916" s="0" t="n">
        <v>78</v>
      </c>
      <c r="C916" s="0" t="n">
        <v>166646</v>
      </c>
      <c r="D916" s="0" t="s">
        <v>4522</v>
      </c>
      <c r="E916" s="0" t="s">
        <v>2049</v>
      </c>
      <c r="F916" s="0" t="str">
        <f aca="false">CONCATENATE(D916," ",LEFT(H916,4),"T=",AU916,"D=",AV916,"R=",AW916,"M=",AX916,"L=",AY916,"B=",AZ916)</f>
        <v>COLLIER T=1D=0R=0M=0L=5B=0</v>
      </c>
      <c r="G916" s="0" t="s">
        <v>202</v>
      </c>
      <c r="I916" s="0" t="s">
        <v>4523</v>
      </c>
      <c r="J916" s="0" t="s">
        <v>4524</v>
      </c>
      <c r="K916" s="0" t="s">
        <v>160</v>
      </c>
      <c r="L916" s="0" t="s">
        <v>209</v>
      </c>
      <c r="M916" s="0" t="s">
        <v>4525</v>
      </c>
      <c r="N916" s="0" t="str">
        <f aca="false">RIGHT(M916,LEN(M916)-FIND(" ",M916))</f>
        <v>HOMEWOOD AVE SE</v>
      </c>
      <c r="P916" s="0" t="s">
        <v>145</v>
      </c>
      <c r="Q916" s="0" t="s">
        <v>146</v>
      </c>
      <c r="R916" s="0" t="n">
        <v>44483</v>
      </c>
      <c r="AD916" s="0" t="s">
        <v>147</v>
      </c>
      <c r="AE916" s="0" t="s">
        <v>148</v>
      </c>
      <c r="AF916" s="0" t="s">
        <v>149</v>
      </c>
      <c r="AH916" s="0" t="n">
        <v>14</v>
      </c>
      <c r="AI916" s="0" t="n">
        <v>11</v>
      </c>
      <c r="AN916" s="0" t="s">
        <v>145</v>
      </c>
      <c r="AO916" s="0" t="s">
        <v>150</v>
      </c>
      <c r="AP916" s="0" t="s">
        <v>151</v>
      </c>
      <c r="AQ916" s="0" t="n">
        <v>9</v>
      </c>
      <c r="AR916" s="0" t="n">
        <v>64</v>
      </c>
      <c r="AS916" s="0" t="n">
        <v>32</v>
      </c>
      <c r="AU916" s="0" t="n">
        <f aca="false">COUNTA($BA$235:$EH$235)</f>
        <v>1</v>
      </c>
      <c r="AV916" s="0" t="n">
        <f aca="false">COUNTIF($BA$235:$EH$235,"D")</f>
        <v>0</v>
      </c>
      <c r="AW916" s="0" t="n">
        <f aca="false">COUNTIF($BA$235:$EH$235,"R")</f>
        <v>0</v>
      </c>
      <c r="AX916" s="0" t="n">
        <f aca="false">IF(BN916="D",1,0)+IF(BO916="D",1,0)+IF(BT916="D",1,0)+IF(BU916="D",1,0)+IF(BW916="D",1,0)+IF(CC916="D",1,0)+IF(CD916="D",1,0)+IF(CE916="D",1,0)+IF(CF916="D",1,0)+IF(CL916="D",1,0)+IF(CM916="D",1,0)+IF(CQ916="D",1,0)+IF(CR916="D",1,0)+IF(CS916="D",1,0)+IF(CW916="D",1,0)+IF(CX916="D",1,0)+IF(DD916="D",1,0)+IF(DE916="D",1,0)+IF(DJ916="D",1,0)+IF(DK916="D",1,0)+IF(DO916="D",1,0)+IF(DP916="D",1,0)+IF(DQ916="D",1,0)+IF(DW916="D",1,0)+IF(DZ916="D",1,0)+IF(EH916="D",1,0)</f>
        <v>0</v>
      </c>
      <c r="AY916" s="0" t="n">
        <f aca="false">COUNTIF(DU916:EH916, "&lt;&gt;")</f>
        <v>5</v>
      </c>
      <c r="AZ916" s="0" t="n">
        <f aca="false">IF(EH916&lt;&gt;"",1,0)</f>
        <v>0</v>
      </c>
      <c r="BB916" s="0" t="s">
        <v>152</v>
      </c>
      <c r="BD916" s="0" t="s">
        <v>153</v>
      </c>
      <c r="BE916" s="0" t="s">
        <v>153</v>
      </c>
      <c r="BF916" s="0" t="s">
        <v>153</v>
      </c>
      <c r="BH916" s="0" t="s">
        <v>153</v>
      </c>
      <c r="BJ916" s="0" t="s">
        <v>153</v>
      </c>
      <c r="BL916" s="0" t="s">
        <v>153</v>
      </c>
      <c r="BS916" s="0" t="s">
        <v>153</v>
      </c>
      <c r="BV916" s="0" t="s">
        <v>153</v>
      </c>
      <c r="BY916" s="0" t="s">
        <v>209</v>
      </c>
      <c r="CA916" s="0" t="s">
        <v>153</v>
      </c>
      <c r="CG916" s="0" t="s">
        <v>153</v>
      </c>
      <c r="CK916" s="0" t="s">
        <v>153</v>
      </c>
      <c r="CN916" s="0" t="s">
        <v>153</v>
      </c>
      <c r="CO916" s="0" t="s">
        <v>209</v>
      </c>
      <c r="CP916" s="0" t="s">
        <v>153</v>
      </c>
      <c r="CV916" s="0" t="s">
        <v>153</v>
      </c>
      <c r="CY916" s="0" t="s">
        <v>153</v>
      </c>
      <c r="CZ916" s="0" t="s">
        <v>209</v>
      </c>
      <c r="DC916" s="0" t="s">
        <v>153</v>
      </c>
      <c r="DI916" s="0" t="s">
        <v>153</v>
      </c>
      <c r="DN916" s="0" t="s">
        <v>153</v>
      </c>
      <c r="DU916" s="0" t="s">
        <v>153</v>
      </c>
      <c r="DX916" s="0" t="s">
        <v>153</v>
      </c>
      <c r="EA916" s="0" t="s">
        <v>153</v>
      </c>
      <c r="ED916" s="0" t="s">
        <v>209</v>
      </c>
      <c r="EF916" s="0" t="s">
        <v>153</v>
      </c>
    </row>
    <row r="917" customFormat="false" ht="13.8" hidden="false" customHeight="false" outlineLevel="0" collapsed="false">
      <c r="A917" s="0" t="s">
        <v>4526</v>
      </c>
      <c r="B917" s="0" t="n">
        <v>78</v>
      </c>
      <c r="C917" s="0" t="n">
        <v>199050</v>
      </c>
      <c r="D917" s="0" t="s">
        <v>4522</v>
      </c>
      <c r="E917" s="0" t="s">
        <v>4527</v>
      </c>
      <c r="F917" s="0" t="str">
        <f aca="false">CONCATENATE(D917," ",LEFT(H917,4),"T=",AU917,"D=",AV917,"R=",AW917,"M=",AX917,"L=",AY917,"B=",AZ917)</f>
        <v>COLLIER T=16D=4R=0M=0L=5B=0</v>
      </c>
      <c r="G917" s="0" t="s">
        <v>195</v>
      </c>
      <c r="I917" s="0" t="s">
        <v>4528</v>
      </c>
      <c r="J917" s="0" t="s">
        <v>4529</v>
      </c>
      <c r="K917" s="0" t="s">
        <v>160</v>
      </c>
      <c r="L917" s="0" t="s">
        <v>209</v>
      </c>
      <c r="M917" s="0" t="s">
        <v>4525</v>
      </c>
      <c r="N917" s="0" t="str">
        <f aca="false">RIGHT(M917,LEN(M917)-FIND(" ",M917))</f>
        <v>HOMEWOOD AVE SE</v>
      </c>
      <c r="P917" s="0" t="s">
        <v>145</v>
      </c>
      <c r="Q917" s="0" t="s">
        <v>146</v>
      </c>
      <c r="R917" s="0" t="n">
        <v>44483</v>
      </c>
      <c r="AD917" s="0" t="s">
        <v>147</v>
      </c>
      <c r="AE917" s="0" t="s">
        <v>148</v>
      </c>
      <c r="AF917" s="0" t="s">
        <v>149</v>
      </c>
      <c r="AH917" s="0" t="n">
        <v>14</v>
      </c>
      <c r="AI917" s="0" t="n">
        <v>11</v>
      </c>
      <c r="AN917" s="0" t="s">
        <v>145</v>
      </c>
      <c r="AO917" s="0" t="s">
        <v>150</v>
      </c>
      <c r="AP917" s="0" t="s">
        <v>151</v>
      </c>
      <c r="AQ917" s="0" t="n">
        <v>9</v>
      </c>
      <c r="AR917" s="0" t="n">
        <v>64</v>
      </c>
      <c r="AS917" s="0" t="n">
        <v>32</v>
      </c>
      <c r="AU917" s="0" t="n">
        <f aca="false">COUNTA($BA$806:$EH$806)</f>
        <v>16</v>
      </c>
      <c r="AV917" s="0" t="n">
        <f aca="false">COUNTIF($BA$806:$EH$806,"D")</f>
        <v>4</v>
      </c>
      <c r="AW917" s="0" t="n">
        <f aca="false">COUNTIF($BA$806:$EH$806,"R")</f>
        <v>0</v>
      </c>
      <c r="AX917" s="0" t="n">
        <f aca="false">IF(BN917="D",1,0)+IF(BO917="D",1,0)+IF(BT917="D",1,0)+IF(BU917="D",1,0)+IF(BW917="D",1,0)+IF(CC917="D",1,0)+IF(CD917="D",1,0)+IF(CE917="D",1,0)+IF(CF917="D",1,0)+IF(CL917="D",1,0)+IF(CM917="D",1,0)+IF(CQ917="D",1,0)+IF(CR917="D",1,0)+IF(CS917="D",1,0)+IF(CW917="D",1,0)+IF(CX917="D",1,0)+IF(DD917="D",1,0)+IF(DE917="D",1,0)+IF(DJ917="D",1,0)+IF(DK917="D",1,0)+IF(DO917="D",1,0)+IF(DP917="D",1,0)+IF(DQ917="D",1,0)+IF(DW917="D",1,0)+IF(DZ917="D",1,0)+IF(EH917="D",1,0)</f>
        <v>0</v>
      </c>
      <c r="AY917" s="0" t="n">
        <f aca="false">COUNTIF(DU917:EH917, "&lt;&gt;")</f>
        <v>5</v>
      </c>
      <c r="AZ917" s="0" t="n">
        <f aca="false">IF(EH917&lt;&gt;"",1,0)</f>
        <v>0</v>
      </c>
      <c r="BB917" s="0" t="s">
        <v>152</v>
      </c>
      <c r="BD917" s="0" t="s">
        <v>153</v>
      </c>
      <c r="BE917" s="0" t="s">
        <v>153</v>
      </c>
      <c r="BF917" s="0" t="s">
        <v>153</v>
      </c>
      <c r="BH917" s="0" t="s">
        <v>153</v>
      </c>
      <c r="BL917" s="0" t="s">
        <v>153</v>
      </c>
      <c r="BS917" s="0" t="s">
        <v>153</v>
      </c>
      <c r="BV917" s="0" t="s">
        <v>153</v>
      </c>
      <c r="BY917" s="0" t="s">
        <v>209</v>
      </c>
      <c r="CA917" s="0" t="s">
        <v>153</v>
      </c>
      <c r="CG917" s="0" t="s">
        <v>153</v>
      </c>
      <c r="CH917" s="0" t="s">
        <v>209</v>
      </c>
      <c r="CK917" s="0" t="s">
        <v>153</v>
      </c>
      <c r="CN917" s="0" t="s">
        <v>153</v>
      </c>
      <c r="CO917" s="0" t="s">
        <v>209</v>
      </c>
      <c r="CP917" s="0" t="s">
        <v>153</v>
      </c>
      <c r="CV917" s="0" t="s">
        <v>153</v>
      </c>
      <c r="CZ917" s="0" t="s">
        <v>209</v>
      </c>
      <c r="DC917" s="0" t="s">
        <v>153</v>
      </c>
      <c r="DI917" s="0" t="s">
        <v>153</v>
      </c>
      <c r="DN917" s="0" t="s">
        <v>153</v>
      </c>
      <c r="DU917" s="0" t="s">
        <v>153</v>
      </c>
      <c r="DX917" s="0" t="s">
        <v>153</v>
      </c>
      <c r="EA917" s="0" t="s">
        <v>153</v>
      </c>
      <c r="ED917" s="0" t="s">
        <v>209</v>
      </c>
      <c r="EF917" s="0" t="s">
        <v>153</v>
      </c>
    </row>
    <row r="918" customFormat="false" ht="13.8" hidden="false" customHeight="false" outlineLevel="0" collapsed="false">
      <c r="A918" s="0" t="s">
        <v>4530</v>
      </c>
      <c r="B918" s="0" t="n">
        <v>78</v>
      </c>
      <c r="C918" s="0" t="n">
        <v>341092</v>
      </c>
      <c r="D918" s="0" t="s">
        <v>4531</v>
      </c>
      <c r="E918" s="0" t="s">
        <v>4326</v>
      </c>
      <c r="F918" s="0" t="str">
        <f aca="false">CONCATENATE(D918," ",LEFT(H918,4),"T=",AU918,"D=",AV918,"R=",AW918,"M=",AX918,"L=",AY918,"B=",AZ918)</f>
        <v>KURIATNYK T=23D=5R=0M=0L=2B=0</v>
      </c>
      <c r="G918" s="0" t="s">
        <v>839</v>
      </c>
      <c r="I918" s="0" t="s">
        <v>3537</v>
      </c>
      <c r="J918" s="0" t="s">
        <v>4532</v>
      </c>
      <c r="K918" s="0" t="s">
        <v>160</v>
      </c>
      <c r="M918" s="0" t="s">
        <v>4533</v>
      </c>
      <c r="N918" s="0" t="str">
        <f aca="false">RIGHT(M918,LEN(M918)-FIND(" ",M918))</f>
        <v>HOMEWOOD AVE SE</v>
      </c>
      <c r="P918" s="0" t="s">
        <v>145</v>
      </c>
      <c r="Q918" s="0" t="s">
        <v>146</v>
      </c>
      <c r="R918" s="0" t="n">
        <v>44483</v>
      </c>
      <c r="AD918" s="0" t="s">
        <v>147</v>
      </c>
      <c r="AE918" s="0" t="s">
        <v>148</v>
      </c>
      <c r="AF918" s="0" t="s">
        <v>149</v>
      </c>
      <c r="AH918" s="0" t="n">
        <v>14</v>
      </c>
      <c r="AI918" s="0" t="n">
        <v>11</v>
      </c>
      <c r="AN918" s="0" t="s">
        <v>145</v>
      </c>
      <c r="AO918" s="0" t="s">
        <v>150</v>
      </c>
      <c r="AP918" s="0" t="s">
        <v>151</v>
      </c>
      <c r="AQ918" s="0" t="n">
        <v>9</v>
      </c>
      <c r="AR918" s="0" t="n">
        <v>64</v>
      </c>
      <c r="AS918" s="0" t="n">
        <v>32</v>
      </c>
      <c r="AU918" s="0" t="n">
        <f aca="false">COUNTA($BA$228:$EH$228)</f>
        <v>23</v>
      </c>
      <c r="AV918" s="0" t="n">
        <f aca="false">COUNTIF($BA$228:$EH$228,"D")</f>
        <v>5</v>
      </c>
      <c r="AW918" s="0" t="n">
        <f aca="false">COUNTIF($BA$228:$EH$228,"R")</f>
        <v>0</v>
      </c>
      <c r="AX918" s="0" t="n">
        <f aca="false">IF(BN918="D",1,0)+IF(BO918="D",1,0)+IF(BT918="D",1,0)+IF(BU918="D",1,0)+IF(BW918="D",1,0)+IF(CC918="D",1,0)+IF(CD918="D",1,0)+IF(CE918="D",1,0)+IF(CF918="D",1,0)+IF(CL918="D",1,0)+IF(CM918="D",1,0)+IF(CQ918="D",1,0)+IF(CR918="D",1,0)+IF(CS918="D",1,0)+IF(CW918="D",1,0)+IF(CX918="D",1,0)+IF(DD918="D",1,0)+IF(DE918="D",1,0)+IF(DJ918="D",1,0)+IF(DK918="D",1,0)+IF(DO918="D",1,0)+IF(DP918="D",1,0)+IF(DQ918="D",1,0)+IF(DW918="D",1,0)+IF(DZ918="D",1,0)+IF(EH918="D",1,0)</f>
        <v>0</v>
      </c>
      <c r="AY918" s="0" t="n">
        <f aca="false">COUNTIF(DU918:EH918, "&lt;&gt;")</f>
        <v>2</v>
      </c>
      <c r="AZ918" s="0" t="n">
        <f aca="false">IF(EH918&lt;&gt;"",1,0)</f>
        <v>0</v>
      </c>
      <c r="BB918" s="0" t="s">
        <v>152</v>
      </c>
      <c r="BP918" s="0" t="s">
        <v>153</v>
      </c>
      <c r="BY918" s="0" t="s">
        <v>175</v>
      </c>
      <c r="CA918" s="0" t="s">
        <v>153</v>
      </c>
      <c r="CN918" s="0" t="s">
        <v>153</v>
      </c>
      <c r="CP918" s="0" t="s">
        <v>153</v>
      </c>
      <c r="CY918" s="0" t="s">
        <v>153</v>
      </c>
      <c r="DC918" s="0" t="s">
        <v>153</v>
      </c>
      <c r="DN918" s="0" t="s">
        <v>153</v>
      </c>
      <c r="EA918" s="0" t="s">
        <v>153</v>
      </c>
      <c r="EF918" s="0" t="s">
        <v>153</v>
      </c>
    </row>
    <row r="919" customFormat="false" ht="13.8" hidden="true" customHeight="false" outlineLevel="0" collapsed="false">
      <c r="A919" s="0" t="s">
        <v>4534</v>
      </c>
      <c r="B919" s="0" t="n">
        <v>78</v>
      </c>
      <c r="C919" s="0" t="n">
        <v>445026</v>
      </c>
      <c r="D919" s="0" t="s">
        <v>4535</v>
      </c>
      <c r="E919" s="0" t="s">
        <v>4536</v>
      </c>
      <c r="F919" s="0" t="str">
        <f aca="false">CONCATENATE(D919," ",LEFT(H919,4),"T=",AU919,"D=",AV919,"R=",AW919,"M=",AX919,"L=",AY919,"B=",AZ919)</f>
        <v>THOMPSON T=1D=0R=0M=0L=0B=0</v>
      </c>
      <c r="G919" s="0" t="s">
        <v>195</v>
      </c>
      <c r="I919" s="0" t="s">
        <v>4537</v>
      </c>
      <c r="J919" s="0" t="s">
        <v>1324</v>
      </c>
      <c r="K919" s="0" t="s">
        <v>143</v>
      </c>
      <c r="M919" s="0" t="s">
        <v>4533</v>
      </c>
      <c r="N919" s="0" t="str">
        <f aca="false">RIGHT(M919,LEN(M919)-FIND(" ",M919))</f>
        <v>HOMEWOOD AVE SE</v>
      </c>
      <c r="P919" s="0" t="s">
        <v>145</v>
      </c>
      <c r="Q919" s="0" t="s">
        <v>146</v>
      </c>
      <c r="R919" s="0" t="n">
        <v>44483</v>
      </c>
      <c r="AD919" s="0" t="s">
        <v>147</v>
      </c>
      <c r="AE919" s="0" t="s">
        <v>148</v>
      </c>
      <c r="AF919" s="0" t="s">
        <v>149</v>
      </c>
      <c r="AH919" s="0" t="n">
        <v>14</v>
      </c>
      <c r="AI919" s="0" t="n">
        <v>11</v>
      </c>
      <c r="AN919" s="0" t="s">
        <v>145</v>
      </c>
      <c r="AO919" s="0" t="s">
        <v>150</v>
      </c>
      <c r="AP919" s="0" t="s">
        <v>151</v>
      </c>
      <c r="AQ919" s="0" t="n">
        <v>9</v>
      </c>
      <c r="AR919" s="0" t="n">
        <v>64</v>
      </c>
      <c r="AS919" s="0" t="n">
        <v>32</v>
      </c>
      <c r="AU919" s="0" t="n">
        <f aca="false">COUNTA($BA$518:$EH$518)</f>
        <v>1</v>
      </c>
      <c r="AV919" s="0" t="n">
        <f aca="false">COUNTIF($BA$518:$EH$518,"D")</f>
        <v>0</v>
      </c>
      <c r="AW919" s="0" t="n">
        <f aca="false">COUNTIF($BA$518:$EH$518,"R")</f>
        <v>0</v>
      </c>
      <c r="AX919" s="0" t="n">
        <f aca="false">IF(BN919="D",1,0)+IF(BO919="D",1,0)+IF(BT919="D",1,0)+IF(BU919="D",1,0)+IF(BW919="D",1,0)+IF(CC919="D",1,0)+IF(CD919="D",1,0)+IF(CE919="D",1,0)+IF(CF919="D",1,0)+IF(CL919="D",1,0)+IF(CM919="D",1,0)+IF(CQ919="D",1,0)+IF(CR919="D",1,0)+IF(CS919="D",1,0)+IF(CW919="D",1,0)+IF(CX919="D",1,0)+IF(DD919="D",1,0)+IF(DE919="D",1,0)+IF(DJ919="D",1,0)+IF(DK919="D",1,0)+IF(DO919="D",1,0)+IF(DP919="D",1,0)+IF(DQ919="D",1,0)+IF(DW919="D",1,0)+IF(DZ919="D",1,0)+IF(EH919="D",1,0)</f>
        <v>0</v>
      </c>
      <c r="AY919" s="0" t="n">
        <f aca="false">COUNTIF(DU919:EH919, "&lt;&gt;")</f>
        <v>0</v>
      </c>
      <c r="AZ919" s="0" t="n">
        <f aca="false">IF(EH919&lt;&gt;"",1,0)</f>
        <v>0</v>
      </c>
      <c r="BB919" s="0" t="s">
        <v>152</v>
      </c>
    </row>
    <row r="920" customFormat="false" ht="13.8" hidden="false" customHeight="false" outlineLevel="0" collapsed="false">
      <c r="A920" s="0" t="s">
        <v>4538</v>
      </c>
      <c r="B920" s="0" t="n">
        <v>78</v>
      </c>
      <c r="C920" s="0" t="n">
        <v>384105</v>
      </c>
      <c r="D920" s="0" t="s">
        <v>4539</v>
      </c>
      <c r="E920" s="0" t="s">
        <v>331</v>
      </c>
      <c r="F920" s="0" t="str">
        <f aca="false">CONCATENATE(D920," ",LEFT(H920,4),"T=",AU920,"D=",AV920,"R=",AW920,"M=",AX920,"L=",AY920,"B=",AZ920)</f>
        <v>KRESEN T=4D=1R=0M=0L=3B=0</v>
      </c>
      <c r="G920" s="0" t="s">
        <v>2428</v>
      </c>
      <c r="I920" s="0" t="s">
        <v>4540</v>
      </c>
      <c r="J920" s="0" t="s">
        <v>879</v>
      </c>
      <c r="K920" s="0" t="s">
        <v>160</v>
      </c>
      <c r="M920" s="0" t="s">
        <v>4533</v>
      </c>
      <c r="N920" s="0" t="str">
        <f aca="false">RIGHT(M920,LEN(M920)-FIND(" ",M920))</f>
        <v>HOMEWOOD AVE SE</v>
      </c>
      <c r="P920" s="0" t="s">
        <v>145</v>
      </c>
      <c r="Q920" s="0" t="s">
        <v>146</v>
      </c>
      <c r="R920" s="0" t="n">
        <v>44483</v>
      </c>
      <c r="AD920" s="0" t="s">
        <v>147</v>
      </c>
      <c r="AE920" s="0" t="s">
        <v>148</v>
      </c>
      <c r="AF920" s="0" t="s">
        <v>149</v>
      </c>
      <c r="AH920" s="0" t="n">
        <v>14</v>
      </c>
      <c r="AI920" s="0" t="n">
        <v>11</v>
      </c>
      <c r="AN920" s="0" t="s">
        <v>145</v>
      </c>
      <c r="AO920" s="0" t="s">
        <v>150</v>
      </c>
      <c r="AP920" s="0" t="s">
        <v>151</v>
      </c>
      <c r="AQ920" s="0" t="n">
        <v>9</v>
      </c>
      <c r="AR920" s="0" t="n">
        <v>64</v>
      </c>
      <c r="AS920" s="0" t="n">
        <v>32</v>
      </c>
      <c r="AU920" s="0" t="n">
        <f aca="false">COUNTA($BA$1068:$EH$1068)</f>
        <v>4</v>
      </c>
      <c r="AV920" s="0" t="n">
        <f aca="false">COUNTIF($BA$1068:$EH$1068,"D")</f>
        <v>1</v>
      </c>
      <c r="AW920" s="0" t="n">
        <f aca="false">COUNTIF($BA$1068:$EH$1068,"R")</f>
        <v>0</v>
      </c>
      <c r="AX920" s="0" t="n">
        <f aca="false">IF(BN920="D",1,0)+IF(BO920="D",1,0)+IF(BT920="D",1,0)+IF(BU920="D",1,0)+IF(BW920="D",1,0)+IF(CC920="D",1,0)+IF(CD920="D",1,0)+IF(CE920="D",1,0)+IF(CF920="D",1,0)+IF(CL920="D",1,0)+IF(CM920="D",1,0)+IF(CQ920="D",1,0)+IF(CR920="D",1,0)+IF(CS920="D",1,0)+IF(CW920="D",1,0)+IF(CX920="D",1,0)+IF(DD920="D",1,0)+IF(DE920="D",1,0)+IF(DJ920="D",1,0)+IF(DK920="D",1,0)+IF(DO920="D",1,0)+IF(DP920="D",1,0)+IF(DQ920="D",1,0)+IF(DW920="D",1,0)+IF(DZ920="D",1,0)+IF(EH920="D",1,0)</f>
        <v>0</v>
      </c>
      <c r="AY920" s="0" t="n">
        <f aca="false">COUNTIF(DU920:EH920, "&lt;&gt;")</f>
        <v>3</v>
      </c>
      <c r="AZ920" s="0" t="n">
        <f aca="false">IF(EH920&lt;&gt;"",1,0)</f>
        <v>0</v>
      </c>
      <c r="BB920" s="0" t="s">
        <v>152</v>
      </c>
      <c r="CP920" s="0" t="s">
        <v>153</v>
      </c>
      <c r="DC920" s="0" t="s">
        <v>153</v>
      </c>
      <c r="DN920" s="0" t="s">
        <v>153</v>
      </c>
      <c r="DU920" s="0" t="s">
        <v>153</v>
      </c>
      <c r="EA920" s="0" t="s">
        <v>153</v>
      </c>
      <c r="EF920" s="0" t="s">
        <v>153</v>
      </c>
    </row>
    <row r="921" customFormat="false" ht="13.8" hidden="true" customHeight="false" outlineLevel="0" collapsed="false">
      <c r="A921" s="0" t="s">
        <v>4541</v>
      </c>
      <c r="B921" s="0" t="n">
        <v>78</v>
      </c>
      <c r="C921" s="0" t="n">
        <v>390898</v>
      </c>
      <c r="D921" s="0" t="s">
        <v>1466</v>
      </c>
      <c r="E921" s="0" t="s">
        <v>517</v>
      </c>
      <c r="F921" s="0" t="str">
        <f aca="false">CONCATENATE(D921," ",LEFT(H921,4),"T=",AU921,"D=",AV921,"R=",AW921,"M=",AX921,"L=",AY921,"B=",AZ921)</f>
        <v>JOHNSON T=21D=1R=3M=0L=0B=0</v>
      </c>
      <c r="G921" s="0" t="s">
        <v>164</v>
      </c>
      <c r="I921" s="0" t="s">
        <v>4542</v>
      </c>
      <c r="J921" s="0" t="s">
        <v>4543</v>
      </c>
      <c r="K921" s="0" t="s">
        <v>160</v>
      </c>
      <c r="M921" s="0" t="s">
        <v>4544</v>
      </c>
      <c r="N921" s="0" t="str">
        <f aca="false">RIGHT(M921,LEN(M921)-FIND(" ",M921))</f>
        <v>HOMEWOOD AVE SE</v>
      </c>
      <c r="P921" s="0" t="s">
        <v>145</v>
      </c>
      <c r="Q921" s="0" t="s">
        <v>146</v>
      </c>
      <c r="R921" s="0" t="n">
        <v>44483</v>
      </c>
      <c r="AD921" s="0" t="s">
        <v>147</v>
      </c>
      <c r="AE921" s="0" t="s">
        <v>148</v>
      </c>
      <c r="AF921" s="0" t="s">
        <v>149</v>
      </c>
      <c r="AH921" s="0" t="n">
        <v>14</v>
      </c>
      <c r="AI921" s="0" t="n">
        <v>11</v>
      </c>
      <c r="AN921" s="0" t="s">
        <v>145</v>
      </c>
      <c r="AO921" s="0" t="s">
        <v>150</v>
      </c>
      <c r="AP921" s="0" t="s">
        <v>151</v>
      </c>
      <c r="AQ921" s="0" t="n">
        <v>9</v>
      </c>
      <c r="AR921" s="0" t="n">
        <v>64</v>
      </c>
      <c r="AS921" s="0" t="n">
        <v>32</v>
      </c>
      <c r="AU921" s="0" t="n">
        <f aca="false">COUNTA($BA$27:$EH$27)</f>
        <v>21</v>
      </c>
      <c r="AV921" s="0" t="n">
        <f aca="false">COUNTIF($BA$27:$EH$27,"D")</f>
        <v>1</v>
      </c>
      <c r="AW921" s="0" t="n">
        <f aca="false">COUNTIF($BA$27:$EH$27,"R")</f>
        <v>3</v>
      </c>
      <c r="AX921" s="0" t="n">
        <f aca="false">IF(BN921="D",1,0)+IF(BO921="D",1,0)+IF(BT921="D",1,0)+IF(BU921="D",1,0)+IF(BW921="D",1,0)+IF(CC921="D",1,0)+IF(CD921="D",1,0)+IF(CE921="D",1,0)+IF(CF921="D",1,0)+IF(CL921="D",1,0)+IF(CM921="D",1,0)+IF(CQ921="D",1,0)+IF(CR921="D",1,0)+IF(CS921="D",1,0)+IF(CW921="D",1,0)+IF(CX921="D",1,0)+IF(DD921="D",1,0)+IF(DE921="D",1,0)+IF(DJ921="D",1,0)+IF(DK921="D",1,0)+IF(DO921="D",1,0)+IF(DP921="D",1,0)+IF(DQ921="D",1,0)+IF(DW921="D",1,0)+IF(DZ921="D",1,0)+IF(EH921="D",1,0)</f>
        <v>0</v>
      </c>
      <c r="AY921" s="0" t="n">
        <f aca="false">COUNTIF(DU921:EH921, "&lt;&gt;")</f>
        <v>0</v>
      </c>
      <c r="AZ921" s="0" t="n">
        <f aca="false">IF(EH921&lt;&gt;"",1,0)</f>
        <v>0</v>
      </c>
      <c r="BB921" s="0" t="s">
        <v>152</v>
      </c>
      <c r="CP921" s="0" t="s">
        <v>153</v>
      </c>
    </row>
    <row r="922" customFormat="false" ht="13.8" hidden="true" customHeight="false" outlineLevel="0" collapsed="false">
      <c r="A922" s="0" t="s">
        <v>4545</v>
      </c>
      <c r="B922" s="0" t="n">
        <v>78</v>
      </c>
      <c r="C922" s="0" t="n">
        <v>417209</v>
      </c>
      <c r="D922" s="0" t="s">
        <v>4546</v>
      </c>
      <c r="E922" s="0" t="s">
        <v>1571</v>
      </c>
      <c r="F922" s="0" t="str">
        <f aca="false">CONCATENATE(D922," ",LEFT(H922,4),"T=",AU922,"D=",AV922,"R=",AW922,"M=",AX922,"L=",AY922,"B=",AZ922)</f>
        <v>GOINS T=6D=0R=0M=0L=0B=0</v>
      </c>
      <c r="G922" s="0" t="s">
        <v>522</v>
      </c>
      <c r="I922" s="0" t="s">
        <v>4547</v>
      </c>
      <c r="J922" s="0" t="s">
        <v>4548</v>
      </c>
      <c r="K922" s="0" t="s">
        <v>143</v>
      </c>
      <c r="M922" s="0" t="s">
        <v>4544</v>
      </c>
      <c r="N922" s="0" t="str">
        <f aca="false">RIGHT(M922,LEN(M922)-FIND(" ",M922))</f>
        <v>HOMEWOOD AVE SE</v>
      </c>
      <c r="P922" s="0" t="s">
        <v>145</v>
      </c>
      <c r="Q922" s="0" t="s">
        <v>146</v>
      </c>
      <c r="R922" s="0" t="n">
        <v>44483</v>
      </c>
      <c r="AD922" s="0" t="s">
        <v>147</v>
      </c>
      <c r="AE922" s="0" t="s">
        <v>148</v>
      </c>
      <c r="AF922" s="0" t="s">
        <v>149</v>
      </c>
      <c r="AH922" s="0" t="n">
        <v>14</v>
      </c>
      <c r="AI922" s="0" t="n">
        <v>11</v>
      </c>
      <c r="AN922" s="0" t="s">
        <v>145</v>
      </c>
      <c r="AO922" s="0" t="s">
        <v>150</v>
      </c>
      <c r="AP922" s="0" t="s">
        <v>151</v>
      </c>
      <c r="AQ922" s="0" t="n">
        <v>9</v>
      </c>
      <c r="AR922" s="0" t="n">
        <v>64</v>
      </c>
      <c r="AS922" s="0" t="n">
        <v>32</v>
      </c>
      <c r="AU922" s="0" t="n">
        <f aca="false">COUNTA($BA$281:$EH$281)</f>
        <v>6</v>
      </c>
      <c r="AV922" s="0" t="n">
        <f aca="false">COUNTIF($BA$281:$EH$281,"D")</f>
        <v>0</v>
      </c>
      <c r="AW922" s="0" t="n">
        <f aca="false">COUNTIF($BA$281:$EH$281,"R")</f>
        <v>0</v>
      </c>
      <c r="AX922" s="0" t="n">
        <f aca="false">IF(BN922="D",1,0)+IF(BO922="D",1,0)+IF(BT922="D",1,0)+IF(BU922="D",1,0)+IF(BW922="D",1,0)+IF(CC922="D",1,0)+IF(CD922="D",1,0)+IF(CE922="D",1,0)+IF(CF922="D",1,0)+IF(CL922="D",1,0)+IF(CM922="D",1,0)+IF(CQ922="D",1,0)+IF(CR922="D",1,0)+IF(CS922="D",1,0)+IF(CW922="D",1,0)+IF(CX922="D",1,0)+IF(DD922="D",1,0)+IF(DE922="D",1,0)+IF(DJ922="D",1,0)+IF(DK922="D",1,0)+IF(DO922="D",1,0)+IF(DP922="D",1,0)+IF(DQ922="D",1,0)+IF(DW922="D",1,0)+IF(DZ922="D",1,0)+IF(EH922="D",1,0)</f>
        <v>0</v>
      </c>
      <c r="AY922" s="0" t="n">
        <f aca="false">COUNTIF(DU922:EH922, "&lt;&gt;")</f>
        <v>0</v>
      </c>
      <c r="AZ922" s="0" t="n">
        <f aca="false">IF(EH922&lt;&gt;"",1,0)</f>
        <v>0</v>
      </c>
      <c r="BB922" s="0" t="s">
        <v>152</v>
      </c>
    </row>
    <row r="923" customFormat="false" ht="13.8" hidden="false" customHeight="false" outlineLevel="0" collapsed="false">
      <c r="A923" s="0" t="s">
        <v>4549</v>
      </c>
      <c r="B923" s="0" t="n">
        <v>78</v>
      </c>
      <c r="C923" s="0" t="n">
        <v>202835</v>
      </c>
      <c r="D923" s="0" t="s">
        <v>4550</v>
      </c>
      <c r="E923" s="0" t="s">
        <v>1361</v>
      </c>
      <c r="F923" s="0" t="str">
        <f aca="false">CONCATENATE(D923," ",LEFT(H923,4),"T=",AU923,"D=",AV923,"R=",AW923,"M=",AX923,"L=",AY923,"B=",AZ923)</f>
        <v>STOUFFER T=9D=1R=0M=2L=6B=1</v>
      </c>
      <c r="G923" s="0" t="s">
        <v>195</v>
      </c>
      <c r="I923" s="0" t="s">
        <v>4551</v>
      </c>
      <c r="J923" s="0" t="s">
        <v>4552</v>
      </c>
      <c r="K923" s="0" t="s">
        <v>160</v>
      </c>
      <c r="L923" s="0" t="s">
        <v>175</v>
      </c>
      <c r="M923" s="0" t="s">
        <v>4553</v>
      </c>
      <c r="N923" s="0" t="str">
        <f aca="false">RIGHT(M923,LEN(M923)-FIND(" ",M923))</f>
        <v>HOMEWOOD AVE SE</v>
      </c>
      <c r="P923" s="0" t="s">
        <v>145</v>
      </c>
      <c r="Q923" s="0" t="s">
        <v>146</v>
      </c>
      <c r="R923" s="0" t="n">
        <v>44483</v>
      </c>
      <c r="AD923" s="0" t="s">
        <v>147</v>
      </c>
      <c r="AE923" s="0" t="s">
        <v>148</v>
      </c>
      <c r="AF923" s="0" t="s">
        <v>149</v>
      </c>
      <c r="AH923" s="0" t="n">
        <v>14</v>
      </c>
      <c r="AI923" s="0" t="n">
        <v>11</v>
      </c>
      <c r="AN923" s="0" t="s">
        <v>145</v>
      </c>
      <c r="AO923" s="0" t="s">
        <v>150</v>
      </c>
      <c r="AP923" s="0" t="s">
        <v>151</v>
      </c>
      <c r="AQ923" s="0" t="n">
        <v>9</v>
      </c>
      <c r="AR923" s="0" t="n">
        <v>64</v>
      </c>
      <c r="AS923" s="0" t="n">
        <v>32</v>
      </c>
      <c r="AU923" s="0" t="n">
        <f aca="false">COUNTA($BA$219:$EH$219)</f>
        <v>9</v>
      </c>
      <c r="AV923" s="0" t="n">
        <f aca="false">COUNTIF($BA$219:$EH$219,"D")</f>
        <v>1</v>
      </c>
      <c r="AW923" s="0" t="n">
        <f aca="false">COUNTIF($BA$219:$EH$219,"R")</f>
        <v>0</v>
      </c>
      <c r="AX923" s="0" t="n">
        <f aca="false">IF(BN923="D",1,0)+IF(BO923="D",1,0)+IF(BT923="D",1,0)+IF(BU923="D",1,0)+IF(BW923="D",1,0)+IF(CC923="D",1,0)+IF(CD923="D",1,0)+IF(CE923="D",1,0)+IF(CF923="D",1,0)+IF(CL923="D",1,0)+IF(CM923="D",1,0)+IF(CQ923="D",1,0)+IF(CR923="D",1,0)+IF(CS923="D",1,0)+IF(CW923="D",1,0)+IF(CX923="D",1,0)+IF(DD923="D",1,0)+IF(DE923="D",1,0)+IF(DJ923="D",1,0)+IF(DK923="D",1,0)+IF(DO923="D",1,0)+IF(DP923="D",1,0)+IF(DQ923="D",1,0)+IF(DW923="D",1,0)+IF(DZ923="D",1,0)+IF(EH923="D",1,0)</f>
        <v>2</v>
      </c>
      <c r="AY923" s="0" t="n">
        <f aca="false">COUNTIF(DU923:EH923, "&lt;&gt;")</f>
        <v>6</v>
      </c>
      <c r="AZ923" s="0" t="n">
        <f aca="false">IF(EH923&lt;&gt;"",1,0)</f>
        <v>1</v>
      </c>
      <c r="BB923" s="0" t="s">
        <v>152</v>
      </c>
      <c r="BC923" s="0" t="s">
        <v>153</v>
      </c>
      <c r="BD923" s="0" t="s">
        <v>153</v>
      </c>
      <c r="BH923" s="0" t="s">
        <v>153</v>
      </c>
      <c r="BJ923" s="0" t="s">
        <v>153</v>
      </c>
      <c r="BK923" s="0" t="s">
        <v>153</v>
      </c>
      <c r="BL923" s="0" t="s">
        <v>153</v>
      </c>
      <c r="BP923" s="0" t="s">
        <v>153</v>
      </c>
      <c r="BR923" s="0" t="s">
        <v>153</v>
      </c>
      <c r="BS923" s="0" t="s">
        <v>153</v>
      </c>
      <c r="BV923" s="0" t="s">
        <v>153</v>
      </c>
      <c r="BY923" s="0" t="s">
        <v>175</v>
      </c>
      <c r="CA923" s="0" t="s">
        <v>153</v>
      </c>
      <c r="CG923" s="0" t="s">
        <v>153</v>
      </c>
      <c r="CH923" s="0" t="s">
        <v>175</v>
      </c>
      <c r="CK923" s="0" t="s">
        <v>153</v>
      </c>
      <c r="CL923" s="0" t="s">
        <v>175</v>
      </c>
      <c r="CN923" s="0" t="s">
        <v>153</v>
      </c>
      <c r="CP923" s="0" t="s">
        <v>153</v>
      </c>
      <c r="CV923" s="0" t="s">
        <v>153</v>
      </c>
      <c r="CY923" s="0" t="s">
        <v>153</v>
      </c>
      <c r="CZ923" s="0" t="s">
        <v>175</v>
      </c>
      <c r="DC923" s="0" t="s">
        <v>153</v>
      </c>
      <c r="DF923" s="0" t="s">
        <v>153</v>
      </c>
      <c r="DG923" s="0" t="s">
        <v>175</v>
      </c>
      <c r="DI923" s="0" t="s">
        <v>153</v>
      </c>
      <c r="DL923" s="0" t="s">
        <v>153</v>
      </c>
      <c r="DM923" s="0" t="s">
        <v>175</v>
      </c>
      <c r="DN923" s="0" t="s">
        <v>153</v>
      </c>
      <c r="DR923" s="0" t="s">
        <v>153</v>
      </c>
      <c r="DS923" s="0" t="s">
        <v>175</v>
      </c>
      <c r="DT923" s="0" t="s">
        <v>175</v>
      </c>
      <c r="DU923" s="0" t="s">
        <v>153</v>
      </c>
      <c r="DX923" s="0" t="s">
        <v>153</v>
      </c>
      <c r="EA923" s="0" t="s">
        <v>153</v>
      </c>
      <c r="ED923" s="0" t="s">
        <v>175</v>
      </c>
      <c r="EF923" s="0" t="s">
        <v>153</v>
      </c>
      <c r="EH923" s="0" t="s">
        <v>175</v>
      </c>
    </row>
    <row r="924" customFormat="false" ht="13.8" hidden="false" customHeight="false" outlineLevel="0" collapsed="false">
      <c r="A924" s="0" t="s">
        <v>4554</v>
      </c>
      <c r="B924" s="0" t="n">
        <v>78</v>
      </c>
      <c r="C924" s="0" t="n">
        <v>297992</v>
      </c>
      <c r="D924" s="0" t="s">
        <v>4550</v>
      </c>
      <c r="E924" s="0" t="s">
        <v>453</v>
      </c>
      <c r="F924" s="0" t="str">
        <f aca="false">CONCATENATE(D924," ",LEFT(H924,4),"T=",AU924,"D=",AV924,"R=",AW924,"M=",AX924,"L=",AY924,"B=",AZ924)</f>
        <v>STOUFFER JRT=6D=0R=0M=3L=7B=1</v>
      </c>
      <c r="G924" s="0" t="s">
        <v>685</v>
      </c>
      <c r="H924" s="0" t="s">
        <v>314</v>
      </c>
      <c r="I924" s="0" t="s">
        <v>4555</v>
      </c>
      <c r="J924" s="0" t="s">
        <v>4556</v>
      </c>
      <c r="K924" s="0" t="s">
        <v>160</v>
      </c>
      <c r="L924" s="0" t="s">
        <v>175</v>
      </c>
      <c r="M924" s="0" t="s">
        <v>4553</v>
      </c>
      <c r="N924" s="0" t="str">
        <f aca="false">RIGHT(M924,LEN(M924)-FIND(" ",M924))</f>
        <v>HOMEWOOD AVE SE</v>
      </c>
      <c r="P924" s="0" t="s">
        <v>145</v>
      </c>
      <c r="Q924" s="0" t="s">
        <v>146</v>
      </c>
      <c r="R924" s="0" t="n">
        <v>44483</v>
      </c>
      <c r="AD924" s="0" t="s">
        <v>147</v>
      </c>
      <c r="AE924" s="0" t="s">
        <v>148</v>
      </c>
      <c r="AF924" s="0" t="s">
        <v>149</v>
      </c>
      <c r="AH924" s="0" t="n">
        <v>14</v>
      </c>
      <c r="AI924" s="0" t="n">
        <v>11</v>
      </c>
      <c r="AN924" s="0" t="s">
        <v>145</v>
      </c>
      <c r="AO924" s="0" t="s">
        <v>150</v>
      </c>
      <c r="AP924" s="0" t="s">
        <v>151</v>
      </c>
      <c r="AQ924" s="0" t="n">
        <v>9</v>
      </c>
      <c r="AR924" s="0" t="n">
        <v>64</v>
      </c>
      <c r="AS924" s="0" t="n">
        <v>32</v>
      </c>
      <c r="AU924" s="0" t="n">
        <f aca="false">COUNTA($BA$808:$EH$808)</f>
        <v>6</v>
      </c>
      <c r="AV924" s="0" t="n">
        <f aca="false">COUNTIF($BA$808:$EH$808,"D")</f>
        <v>0</v>
      </c>
      <c r="AW924" s="0" t="n">
        <f aca="false">COUNTIF($BA$808:$EH$808,"R")</f>
        <v>0</v>
      </c>
      <c r="AX924" s="0" t="n">
        <f aca="false">IF(BN924="D",1,0)+IF(BO924="D",1,0)+IF(BT924="D",1,0)+IF(BU924="D",1,0)+IF(BW924="D",1,0)+IF(CC924="D",1,0)+IF(CD924="D",1,0)+IF(CE924="D",1,0)+IF(CF924="D",1,0)+IF(CL924="D",1,0)+IF(CM924="D",1,0)+IF(CQ924="D",1,0)+IF(CR924="D",1,0)+IF(CS924="D",1,0)+IF(CW924="D",1,0)+IF(CX924="D",1,0)+IF(DD924="D",1,0)+IF(DE924="D",1,0)+IF(DJ924="D",1,0)+IF(DK924="D",1,0)+IF(DO924="D",1,0)+IF(DP924="D",1,0)+IF(DQ924="D",1,0)+IF(DW924="D",1,0)+IF(DZ924="D",1,0)+IF(EH924="D",1,0)</f>
        <v>3</v>
      </c>
      <c r="AY924" s="0" t="n">
        <f aca="false">COUNTIF(DU924:EH924, "&lt;&gt;")</f>
        <v>7</v>
      </c>
      <c r="AZ924" s="0" t="n">
        <f aca="false">IF(EH924&lt;&gt;"",1,0)</f>
        <v>1</v>
      </c>
      <c r="BB924" s="0" t="s">
        <v>152</v>
      </c>
      <c r="BD924" s="0" t="s">
        <v>153</v>
      </c>
      <c r="BH924" s="0" t="s">
        <v>153</v>
      </c>
      <c r="BJ924" s="0" t="s">
        <v>153</v>
      </c>
      <c r="BK924" s="0" t="s">
        <v>153</v>
      </c>
      <c r="BL924" s="0" t="s">
        <v>153</v>
      </c>
      <c r="BP924" s="0" t="s">
        <v>153</v>
      </c>
      <c r="BY924" s="0" t="s">
        <v>175</v>
      </c>
      <c r="CA924" s="0" t="s">
        <v>153</v>
      </c>
      <c r="CH924" s="0" t="s">
        <v>175</v>
      </c>
      <c r="CK924" s="0" t="s">
        <v>153</v>
      </c>
      <c r="CL924" s="0" t="s">
        <v>175</v>
      </c>
      <c r="CN924" s="0" t="s">
        <v>153</v>
      </c>
      <c r="CP924" s="0" t="s">
        <v>153</v>
      </c>
      <c r="CV924" s="0" t="s">
        <v>153</v>
      </c>
      <c r="CZ924" s="0" t="s">
        <v>175</v>
      </c>
      <c r="DC924" s="0" t="s">
        <v>153</v>
      </c>
      <c r="DF924" s="0" t="s">
        <v>153</v>
      </c>
      <c r="DG924" s="0" t="s">
        <v>175</v>
      </c>
      <c r="DI924" s="0" t="s">
        <v>153</v>
      </c>
      <c r="DL924" s="0" t="s">
        <v>153</v>
      </c>
      <c r="DM924" s="0" t="s">
        <v>175</v>
      </c>
      <c r="DN924" s="0" t="s">
        <v>153</v>
      </c>
      <c r="DT924" s="0" t="s">
        <v>175</v>
      </c>
      <c r="DU924" s="0" t="s">
        <v>153</v>
      </c>
      <c r="DW924" s="0" t="s">
        <v>175</v>
      </c>
      <c r="DX924" s="0" t="s">
        <v>153</v>
      </c>
      <c r="EA924" s="0" t="s">
        <v>153</v>
      </c>
      <c r="ED924" s="0" t="s">
        <v>175</v>
      </c>
      <c r="EF924" s="0" t="s">
        <v>153</v>
      </c>
      <c r="EH924" s="0" t="s">
        <v>175</v>
      </c>
    </row>
    <row r="925" customFormat="false" ht="13.8" hidden="true" customHeight="false" outlineLevel="0" collapsed="false">
      <c r="A925" s="0" t="s">
        <v>4557</v>
      </c>
      <c r="B925" s="0" t="n">
        <v>78</v>
      </c>
      <c r="C925" s="0" t="n">
        <v>423936</v>
      </c>
      <c r="D925" s="0" t="s">
        <v>4558</v>
      </c>
      <c r="E925" s="0" t="s">
        <v>4559</v>
      </c>
      <c r="F925" s="0" t="str">
        <f aca="false">CONCATENATE(D925," ",LEFT(H925,4),"T=",AU925,"D=",AV925,"R=",AW925,"M=",AX925,"L=",AY925,"B=",AZ925)</f>
        <v>SUTLIFF T=3D=0R=0M=0L=0B=0</v>
      </c>
      <c r="G925" s="0" t="s">
        <v>4560</v>
      </c>
      <c r="I925" s="0" t="s">
        <v>4561</v>
      </c>
      <c r="J925" s="0" t="s">
        <v>4562</v>
      </c>
      <c r="K925" s="0" t="s">
        <v>143</v>
      </c>
      <c r="M925" s="0" t="s">
        <v>4563</v>
      </c>
      <c r="N925" s="0" t="str">
        <f aca="false">RIGHT(M925,LEN(M925)-FIND(" ",M925))</f>
        <v>HOMEWOOD AVE SE</v>
      </c>
      <c r="P925" s="0" t="s">
        <v>145</v>
      </c>
      <c r="Q925" s="0" t="s">
        <v>146</v>
      </c>
      <c r="R925" s="0" t="n">
        <v>44483</v>
      </c>
      <c r="AD925" s="0" t="s">
        <v>147</v>
      </c>
      <c r="AE925" s="0" t="s">
        <v>148</v>
      </c>
      <c r="AF925" s="0" t="s">
        <v>149</v>
      </c>
      <c r="AH925" s="0" t="n">
        <v>14</v>
      </c>
      <c r="AI925" s="0" t="n">
        <v>11</v>
      </c>
      <c r="AN925" s="0" t="s">
        <v>145</v>
      </c>
      <c r="AO925" s="0" t="s">
        <v>150</v>
      </c>
      <c r="AP925" s="0" t="s">
        <v>151</v>
      </c>
      <c r="AQ925" s="0" t="n">
        <v>9</v>
      </c>
      <c r="AR925" s="0" t="n">
        <v>64</v>
      </c>
      <c r="AS925" s="0" t="n">
        <v>32</v>
      </c>
      <c r="AU925" s="0" t="n">
        <f aca="false">COUNTA($BA$886:$EH$886)</f>
        <v>3</v>
      </c>
      <c r="AV925" s="0" t="n">
        <f aca="false">COUNTIF($BA$886:$EH$886,"D")</f>
        <v>0</v>
      </c>
      <c r="AW925" s="0" t="n">
        <f aca="false">COUNTIF($BA$886:$EH$886,"R")</f>
        <v>0</v>
      </c>
      <c r="AX925" s="0" t="n">
        <f aca="false">IF(BN925="D",1,0)+IF(BO925="D",1,0)+IF(BT925="D",1,0)+IF(BU925="D",1,0)+IF(BW925="D",1,0)+IF(CC925="D",1,0)+IF(CD925="D",1,0)+IF(CE925="D",1,0)+IF(CF925="D",1,0)+IF(CL925="D",1,0)+IF(CM925="D",1,0)+IF(CQ925="D",1,0)+IF(CR925="D",1,0)+IF(CS925="D",1,0)+IF(CW925="D",1,0)+IF(CX925="D",1,0)+IF(DD925="D",1,0)+IF(DE925="D",1,0)+IF(DJ925="D",1,0)+IF(DK925="D",1,0)+IF(DO925="D",1,0)+IF(DP925="D",1,0)+IF(DQ925="D",1,0)+IF(DW925="D",1,0)+IF(DZ925="D",1,0)+IF(EH925="D",1,0)</f>
        <v>0</v>
      </c>
      <c r="AY925" s="0" t="n">
        <f aca="false">COUNTIF(DU925:EH925, "&lt;&gt;")</f>
        <v>0</v>
      </c>
      <c r="AZ925" s="0" t="n">
        <f aca="false">IF(EH925&lt;&gt;"",1,0)</f>
        <v>0</v>
      </c>
      <c r="BB925" s="0" t="s">
        <v>152</v>
      </c>
    </row>
    <row r="926" customFormat="false" ht="13.8" hidden="true" customHeight="false" outlineLevel="0" collapsed="false">
      <c r="A926" s="0" t="s">
        <v>4564</v>
      </c>
      <c r="B926" s="0" t="n">
        <v>78</v>
      </c>
      <c r="C926" s="0" t="n">
        <v>463397</v>
      </c>
      <c r="D926" s="0" t="s">
        <v>1466</v>
      </c>
      <c r="E926" s="0" t="s">
        <v>3489</v>
      </c>
      <c r="F926" s="0" t="str">
        <f aca="false">CONCATENATE(D926," ",LEFT(H926,4),"T=",AU926,"D=",AV926,"R=",AW926,"M=",AX926,"L=",AY926,"B=",AZ926)</f>
        <v>JOHNSON T=31D=11R=0M=0L=0B=0</v>
      </c>
      <c r="G926" s="0" t="s">
        <v>4565</v>
      </c>
      <c r="I926" s="0" t="s">
        <v>4566</v>
      </c>
      <c r="J926" s="0" t="s">
        <v>4567</v>
      </c>
      <c r="K926" s="0" t="s">
        <v>160</v>
      </c>
      <c r="M926" s="0" t="s">
        <v>4568</v>
      </c>
      <c r="N926" s="0" t="str">
        <f aca="false">RIGHT(M926,LEN(M926)-FIND(" ",M926))</f>
        <v>HOMEWOOD AVE SE</v>
      </c>
      <c r="P926" s="0" t="s">
        <v>145</v>
      </c>
      <c r="Q926" s="0" t="s">
        <v>146</v>
      </c>
      <c r="R926" s="0" t="n">
        <v>44483</v>
      </c>
      <c r="AD926" s="0" t="s">
        <v>147</v>
      </c>
      <c r="AE926" s="0" t="s">
        <v>148</v>
      </c>
      <c r="AF926" s="0" t="s">
        <v>149</v>
      </c>
      <c r="AH926" s="0" t="n">
        <v>14</v>
      </c>
      <c r="AI926" s="0" t="n">
        <v>11</v>
      </c>
      <c r="AN926" s="0" t="s">
        <v>145</v>
      </c>
      <c r="AO926" s="0" t="s">
        <v>150</v>
      </c>
      <c r="AP926" s="0" t="s">
        <v>151</v>
      </c>
      <c r="AQ926" s="0" t="n">
        <v>9</v>
      </c>
      <c r="AR926" s="0" t="n">
        <v>64</v>
      </c>
      <c r="AS926" s="0" t="n">
        <v>32</v>
      </c>
      <c r="AU926" s="0" t="n">
        <f aca="false">COUNTA($BA$99:$EH$99)</f>
        <v>31</v>
      </c>
      <c r="AV926" s="0" t="n">
        <f aca="false">COUNTIF($BA$99:$EH$99,"D")</f>
        <v>11</v>
      </c>
      <c r="AW926" s="0" t="n">
        <f aca="false">COUNTIF($BA$99:$EH$99,"R")</f>
        <v>0</v>
      </c>
      <c r="AX926" s="0" t="n">
        <f aca="false">IF(BN926="D",1,0)+IF(BO926="D",1,0)+IF(BT926="D",1,0)+IF(BU926="D",1,0)+IF(BW926="D",1,0)+IF(CC926="D",1,0)+IF(CD926="D",1,0)+IF(CE926="D",1,0)+IF(CF926="D",1,0)+IF(CL926="D",1,0)+IF(CM926="D",1,0)+IF(CQ926="D",1,0)+IF(CR926="D",1,0)+IF(CS926="D",1,0)+IF(CW926="D",1,0)+IF(CX926="D",1,0)+IF(DD926="D",1,0)+IF(DE926="D",1,0)+IF(DJ926="D",1,0)+IF(DK926="D",1,0)+IF(DO926="D",1,0)+IF(DP926="D",1,0)+IF(DQ926="D",1,0)+IF(DW926="D",1,0)+IF(DZ926="D",1,0)+IF(EH926="D",1,0)</f>
        <v>0</v>
      </c>
      <c r="AY926" s="0" t="n">
        <f aca="false">COUNTIF(DU926:EH926, "&lt;&gt;")</f>
        <v>0</v>
      </c>
      <c r="AZ926" s="0" t="n">
        <f aca="false">IF(EH926&lt;&gt;"",1,0)</f>
        <v>0</v>
      </c>
      <c r="BB926" s="0" t="s">
        <v>152</v>
      </c>
    </row>
    <row r="927" customFormat="false" ht="13.8" hidden="false" customHeight="false" outlineLevel="0" collapsed="false">
      <c r="A927" s="0" t="s">
        <v>4569</v>
      </c>
      <c r="B927" s="0" t="n">
        <v>78</v>
      </c>
      <c r="C927" s="0" t="n">
        <v>334379</v>
      </c>
      <c r="D927" s="0" t="s">
        <v>1466</v>
      </c>
      <c r="E927" s="0" t="s">
        <v>4570</v>
      </c>
      <c r="F927" s="0" t="str">
        <f aca="false">CONCATENATE(D927," ",LEFT(H927,4),"T=",AU927,"D=",AV927,"R=",AW927,"M=",AX927,"L=",AY927,"B=",AZ927)</f>
        <v>JOHNSON T=2D=0R=0M=0L=4B=0</v>
      </c>
      <c r="G927" s="0" t="s">
        <v>691</v>
      </c>
      <c r="I927" s="0" t="s">
        <v>4571</v>
      </c>
      <c r="J927" s="0" t="s">
        <v>4572</v>
      </c>
      <c r="K927" s="0" t="s">
        <v>160</v>
      </c>
      <c r="M927" s="0" t="s">
        <v>4568</v>
      </c>
      <c r="N927" s="0" t="str">
        <f aca="false">RIGHT(M927,LEN(M927)-FIND(" ",M927))</f>
        <v>HOMEWOOD AVE SE</v>
      </c>
      <c r="P927" s="0" t="s">
        <v>145</v>
      </c>
      <c r="Q927" s="0" t="s">
        <v>146</v>
      </c>
      <c r="R927" s="0" t="n">
        <v>44483</v>
      </c>
      <c r="AD927" s="0" t="s">
        <v>147</v>
      </c>
      <c r="AE927" s="0" t="s">
        <v>148</v>
      </c>
      <c r="AF927" s="0" t="s">
        <v>149</v>
      </c>
      <c r="AH927" s="0" t="n">
        <v>14</v>
      </c>
      <c r="AI927" s="0" t="n">
        <v>11</v>
      </c>
      <c r="AN927" s="0" t="s">
        <v>145</v>
      </c>
      <c r="AO927" s="0" t="s">
        <v>150</v>
      </c>
      <c r="AP927" s="0" t="s">
        <v>151</v>
      </c>
      <c r="AQ927" s="0" t="n">
        <v>9</v>
      </c>
      <c r="AR927" s="0" t="n">
        <v>64</v>
      </c>
      <c r="AS927" s="0" t="n">
        <v>32</v>
      </c>
      <c r="AU927" s="0" t="n">
        <f aca="false">COUNTA($BA$488:$EH$488)</f>
        <v>2</v>
      </c>
      <c r="AV927" s="0" t="n">
        <f aca="false">COUNTIF($BA$488:$EH$488,"D")</f>
        <v>0</v>
      </c>
      <c r="AW927" s="0" t="n">
        <f aca="false">COUNTIF($BA$488:$EH$488,"R")</f>
        <v>0</v>
      </c>
      <c r="AX927" s="0" t="n">
        <f aca="false">IF(BN927="D",1,0)+IF(BO927="D",1,0)+IF(BT927="D",1,0)+IF(BU927="D",1,0)+IF(BW927="D",1,0)+IF(CC927="D",1,0)+IF(CD927="D",1,0)+IF(CE927="D",1,0)+IF(CF927="D",1,0)+IF(CL927="D",1,0)+IF(CM927="D",1,0)+IF(CQ927="D",1,0)+IF(CR927="D",1,0)+IF(CS927="D",1,0)+IF(CW927="D",1,0)+IF(CX927="D",1,0)+IF(DD927="D",1,0)+IF(DE927="D",1,0)+IF(DJ927="D",1,0)+IF(DK927="D",1,0)+IF(DO927="D",1,0)+IF(DP927="D",1,0)+IF(DQ927="D",1,0)+IF(DW927="D",1,0)+IF(DZ927="D",1,0)+IF(EH927="D",1,0)</f>
        <v>0</v>
      </c>
      <c r="AY927" s="0" t="n">
        <f aca="false">COUNTIF(DU927:EH927, "&lt;&gt;")</f>
        <v>4</v>
      </c>
      <c r="AZ927" s="0" t="n">
        <f aca="false">IF(EH927&lt;&gt;"",1,0)</f>
        <v>0</v>
      </c>
      <c r="BB927" s="0" t="s">
        <v>152</v>
      </c>
      <c r="BL927" s="0" t="s">
        <v>153</v>
      </c>
      <c r="CA927" s="0" t="s">
        <v>153</v>
      </c>
      <c r="CP927" s="0" t="s">
        <v>153</v>
      </c>
      <c r="CV927" s="0" t="s">
        <v>153</v>
      </c>
      <c r="CY927" s="0" t="s">
        <v>153</v>
      </c>
      <c r="CZ927" s="0" t="s">
        <v>175</v>
      </c>
      <c r="DC927" s="0" t="s">
        <v>153</v>
      </c>
      <c r="DI927" s="0" t="s">
        <v>153</v>
      </c>
      <c r="DN927" s="0" t="s">
        <v>153</v>
      </c>
      <c r="DU927" s="0" t="s">
        <v>153</v>
      </c>
      <c r="DX927" s="0" t="s">
        <v>153</v>
      </c>
      <c r="EA927" s="0" t="s">
        <v>153</v>
      </c>
      <c r="EF927" s="0" t="s">
        <v>153</v>
      </c>
    </row>
    <row r="928" customFormat="false" ht="13.8" hidden="false" customHeight="false" outlineLevel="0" collapsed="false">
      <c r="A928" s="0" t="s">
        <v>4573</v>
      </c>
      <c r="B928" s="0" t="n">
        <v>78</v>
      </c>
      <c r="C928" s="0" t="n">
        <v>162961</v>
      </c>
      <c r="D928" s="0" t="s">
        <v>4574</v>
      </c>
      <c r="E928" s="0" t="s">
        <v>4575</v>
      </c>
      <c r="F928" s="0" t="str">
        <f aca="false">CONCATENATE(D928," ",LEFT(H928,4),"T=",AU928,"D=",AV928,"R=",AW928,"M=",AX928,"L=",AY928,"B=",AZ928)</f>
        <v>ROWLAND T=7D=0R=0M=1L=4B=0</v>
      </c>
      <c r="G928" s="0" t="s">
        <v>171</v>
      </c>
      <c r="I928" s="0" t="s">
        <v>4576</v>
      </c>
      <c r="J928" s="0" t="s">
        <v>4577</v>
      </c>
      <c r="K928" s="0" t="s">
        <v>160</v>
      </c>
      <c r="L928" s="0" t="s">
        <v>175</v>
      </c>
      <c r="M928" s="0" t="s">
        <v>4578</v>
      </c>
      <c r="N928" s="0" t="str">
        <f aca="false">RIGHT(M928,LEN(M928)-FIND(" ",M928))</f>
        <v>HOMEWOOD AVE SE</v>
      </c>
      <c r="P928" s="0" t="s">
        <v>145</v>
      </c>
      <c r="Q928" s="0" t="s">
        <v>146</v>
      </c>
      <c r="R928" s="0" t="n">
        <v>44483</v>
      </c>
      <c r="AD928" s="0" t="s">
        <v>147</v>
      </c>
      <c r="AE928" s="0" t="s">
        <v>148</v>
      </c>
      <c r="AF928" s="0" t="s">
        <v>149</v>
      </c>
      <c r="AH928" s="0" t="n">
        <v>14</v>
      </c>
      <c r="AI928" s="0" t="n">
        <v>11</v>
      </c>
      <c r="AN928" s="0" t="s">
        <v>145</v>
      </c>
      <c r="AO928" s="0" t="s">
        <v>150</v>
      </c>
      <c r="AP928" s="0" t="s">
        <v>151</v>
      </c>
      <c r="AQ928" s="0" t="n">
        <v>9</v>
      </c>
      <c r="AR928" s="0" t="n">
        <v>64</v>
      </c>
      <c r="AS928" s="0" t="n">
        <v>32</v>
      </c>
      <c r="AU928" s="0" t="n">
        <f aca="false">COUNTA($BA$920:$EH$920)</f>
        <v>7</v>
      </c>
      <c r="AV928" s="0" t="n">
        <f aca="false">COUNTIF($BA$920:$EH$920,"D")</f>
        <v>0</v>
      </c>
      <c r="AW928" s="0" t="n">
        <f aca="false">COUNTIF($BA$920:$EH$920,"R")</f>
        <v>0</v>
      </c>
      <c r="AX928" s="0" t="n">
        <f aca="false">IF(BN928="D",1,0)+IF(BO928="D",1,0)+IF(BT928="D",1,0)+IF(BU928="D",1,0)+IF(BW928="D",1,0)+IF(CC928="D",1,0)+IF(CD928="D",1,0)+IF(CE928="D",1,0)+IF(CF928="D",1,0)+IF(CL928="D",1,0)+IF(CM928="D",1,0)+IF(CQ928="D",1,0)+IF(CR928="D",1,0)+IF(CS928="D",1,0)+IF(CW928="D",1,0)+IF(CX928="D",1,0)+IF(DD928="D",1,0)+IF(DE928="D",1,0)+IF(DJ928="D",1,0)+IF(DK928="D",1,0)+IF(DO928="D",1,0)+IF(DP928="D",1,0)+IF(DQ928="D",1,0)+IF(DW928="D",1,0)+IF(DZ928="D",1,0)+IF(EH928="D",1,0)</f>
        <v>1</v>
      </c>
      <c r="AY928" s="0" t="n">
        <f aca="false">COUNTIF(DU928:EH928, "&lt;&gt;")</f>
        <v>4</v>
      </c>
      <c r="AZ928" s="0" t="n">
        <f aca="false">IF(EH928&lt;&gt;"",1,0)</f>
        <v>0</v>
      </c>
      <c r="BB928" s="0" t="s">
        <v>152</v>
      </c>
      <c r="BD928" s="0" t="s">
        <v>153</v>
      </c>
      <c r="BH928" s="0" t="s">
        <v>153</v>
      </c>
      <c r="BL928" s="0" t="s">
        <v>153</v>
      </c>
      <c r="BR928" s="0" t="s">
        <v>153</v>
      </c>
      <c r="BS928" s="0" t="s">
        <v>153</v>
      </c>
      <c r="CA928" s="0" t="s">
        <v>153</v>
      </c>
      <c r="CK928" s="0" t="s">
        <v>153</v>
      </c>
      <c r="CN928" s="0" t="s">
        <v>153</v>
      </c>
      <c r="CP928" s="0" t="s">
        <v>153</v>
      </c>
      <c r="DC928" s="0" t="s">
        <v>153</v>
      </c>
      <c r="DI928" s="0" t="s">
        <v>153</v>
      </c>
      <c r="DL928" s="0" t="s">
        <v>153</v>
      </c>
      <c r="DN928" s="0" t="s">
        <v>153</v>
      </c>
      <c r="DU928" s="0" t="s">
        <v>153</v>
      </c>
      <c r="DW928" s="0" t="s">
        <v>175</v>
      </c>
      <c r="EA928" s="0" t="s">
        <v>153</v>
      </c>
      <c r="EF928" s="0" t="s">
        <v>153</v>
      </c>
    </row>
    <row r="929" customFormat="false" ht="13.8" hidden="true" customHeight="false" outlineLevel="0" collapsed="false">
      <c r="A929" s="0" t="s">
        <v>4579</v>
      </c>
      <c r="B929" s="0" t="n">
        <v>78</v>
      </c>
      <c r="C929" s="0" t="n">
        <v>371735</v>
      </c>
      <c r="D929" s="0" t="s">
        <v>4580</v>
      </c>
      <c r="E929" s="0" t="s">
        <v>4464</v>
      </c>
      <c r="F929" s="0" t="str">
        <f aca="false">CONCATENATE(D929," ",LEFT(H929,4),"T=",AU929,"D=",AV929,"R=",AW929,"M=",AX929,"L=",AY929,"B=",AZ929)</f>
        <v>PEMBERTON T=1D=0R=0M=0L=1B=0</v>
      </c>
      <c r="G929" s="0" t="s">
        <v>500</v>
      </c>
      <c r="I929" s="0" t="s">
        <v>4581</v>
      </c>
      <c r="J929" s="0" t="s">
        <v>866</v>
      </c>
      <c r="K929" s="0" t="s">
        <v>160</v>
      </c>
      <c r="M929" s="0" t="s">
        <v>4582</v>
      </c>
      <c r="N929" s="0" t="str">
        <f aca="false">RIGHT(M929,LEN(M929)-FIND(" ",M929))</f>
        <v>HOMEWOOD AVE SE</v>
      </c>
      <c r="P929" s="0" t="s">
        <v>145</v>
      </c>
      <c r="Q929" s="0" t="s">
        <v>146</v>
      </c>
      <c r="R929" s="0" t="n">
        <v>44483</v>
      </c>
      <c r="AD929" s="0" t="s">
        <v>147</v>
      </c>
      <c r="AE929" s="0" t="s">
        <v>148</v>
      </c>
      <c r="AF929" s="0" t="s">
        <v>149</v>
      </c>
      <c r="AH929" s="0" t="n">
        <v>14</v>
      </c>
      <c r="AI929" s="0" t="n">
        <v>11</v>
      </c>
      <c r="AN929" s="0" t="s">
        <v>145</v>
      </c>
      <c r="AO929" s="0" t="s">
        <v>150</v>
      </c>
      <c r="AP929" s="0" t="s">
        <v>151</v>
      </c>
      <c r="AQ929" s="0" t="n">
        <v>9</v>
      </c>
      <c r="AR929" s="0" t="n">
        <v>64</v>
      </c>
      <c r="AS929" s="0" t="n">
        <v>32</v>
      </c>
      <c r="AU929" s="0" t="n">
        <f aca="false">COUNTA($BA$6:$EH$6)</f>
        <v>1</v>
      </c>
      <c r="AV929" s="0" t="n">
        <f aca="false">COUNTIF($BA$6:$EH$6,"D")</f>
        <v>0</v>
      </c>
      <c r="AW929" s="0" t="n">
        <f aca="false">COUNTIF($BA$6:$EH$6,"R")</f>
        <v>0</v>
      </c>
      <c r="AX929" s="0" t="n">
        <f aca="false">IF(BN929="D",1,0)+IF(BO929="D",1,0)+IF(BT929="D",1,0)+IF(BU929="D",1,0)+IF(BW929="D",1,0)+IF(CC929="D",1,0)+IF(CD929="D",1,0)+IF(CE929="D",1,0)+IF(CF929="D",1,0)+IF(CL929="D",1,0)+IF(CM929="D",1,0)+IF(CQ929="D",1,0)+IF(CR929="D",1,0)+IF(CS929="D",1,0)+IF(CW929="D",1,0)+IF(CX929="D",1,0)+IF(DD929="D",1,0)+IF(DE929="D",1,0)+IF(DJ929="D",1,0)+IF(DK929="D",1,0)+IF(DO929="D",1,0)+IF(DP929="D",1,0)+IF(DQ929="D",1,0)+IF(DW929="D",1,0)+IF(DZ929="D",1,0)+IF(EH929="D",1,0)</f>
        <v>0</v>
      </c>
      <c r="AY929" s="0" t="n">
        <f aca="false">COUNTIF(DU929:EH929, "&lt;&gt;")</f>
        <v>1</v>
      </c>
      <c r="AZ929" s="0" t="n">
        <f aca="false">IF(EH929&lt;&gt;"",1,0)</f>
        <v>0</v>
      </c>
      <c r="BB929" s="0" t="s">
        <v>152</v>
      </c>
      <c r="DC929" s="0" t="s">
        <v>153</v>
      </c>
      <c r="DI929" s="0" t="s">
        <v>153</v>
      </c>
      <c r="DN929" s="0" t="s">
        <v>153</v>
      </c>
      <c r="EF929" s="0" t="s">
        <v>153</v>
      </c>
    </row>
    <row r="930" customFormat="false" ht="13.8" hidden="true" customHeight="false" outlineLevel="0" collapsed="false">
      <c r="A930" s="0" t="s">
        <v>4583</v>
      </c>
      <c r="B930" s="0" t="n">
        <v>78</v>
      </c>
      <c r="C930" s="0" t="n">
        <v>461914</v>
      </c>
      <c r="D930" s="0" t="s">
        <v>1504</v>
      </c>
      <c r="E930" s="0" t="s">
        <v>2904</v>
      </c>
      <c r="F930" s="0" t="str">
        <f aca="false">CONCATENATE(D930," ",LEFT(H930,4),"T=",AU930,"D=",AV930,"R=",AW930,"M=",AX930,"L=",AY930,"B=",AZ930)</f>
        <v>KING T=3D=0R=0M=0L=0B=0</v>
      </c>
      <c r="G930" s="0" t="s">
        <v>215</v>
      </c>
      <c r="I930" s="0" t="s">
        <v>4584</v>
      </c>
      <c r="J930" s="0" t="s">
        <v>4585</v>
      </c>
      <c r="K930" s="0" t="s">
        <v>143</v>
      </c>
      <c r="M930" s="0" t="s">
        <v>4586</v>
      </c>
      <c r="N930" s="0" t="str">
        <f aca="false">RIGHT(M930,LEN(M930)-FIND(" ",M930))</f>
        <v>HOMEWOOD AVE SE</v>
      </c>
      <c r="P930" s="0" t="s">
        <v>145</v>
      </c>
      <c r="Q930" s="0" t="s">
        <v>146</v>
      </c>
      <c r="R930" s="0" t="n">
        <v>44483</v>
      </c>
      <c r="AD930" s="0" t="s">
        <v>147</v>
      </c>
      <c r="AE930" s="0" t="s">
        <v>148</v>
      </c>
      <c r="AF930" s="0" t="s">
        <v>149</v>
      </c>
      <c r="AH930" s="0" t="n">
        <v>14</v>
      </c>
      <c r="AI930" s="0" t="n">
        <v>11</v>
      </c>
      <c r="AN930" s="0" t="s">
        <v>145</v>
      </c>
      <c r="AO930" s="0" t="s">
        <v>150</v>
      </c>
      <c r="AP930" s="0" t="s">
        <v>151</v>
      </c>
      <c r="AQ930" s="0" t="n">
        <v>9</v>
      </c>
      <c r="AR930" s="0" t="n">
        <v>64</v>
      </c>
      <c r="AS930" s="0" t="n">
        <v>32</v>
      </c>
      <c r="AU930" s="0" t="n">
        <f aca="false">COUNTA($BA$554:$EH$554)</f>
        <v>3</v>
      </c>
      <c r="AV930" s="0" t="n">
        <f aca="false">COUNTIF($BA$554:$EH$554,"D")</f>
        <v>0</v>
      </c>
      <c r="AW930" s="0" t="n">
        <f aca="false">COUNTIF($BA$554:$EH$554,"R")</f>
        <v>0</v>
      </c>
      <c r="AX930" s="0" t="n">
        <f aca="false">IF(BN930="D",1,0)+IF(BO930="D",1,0)+IF(BT930="D",1,0)+IF(BU930="D",1,0)+IF(BW930="D",1,0)+IF(CC930="D",1,0)+IF(CD930="D",1,0)+IF(CE930="D",1,0)+IF(CF930="D",1,0)+IF(CL930="D",1,0)+IF(CM930="D",1,0)+IF(CQ930="D",1,0)+IF(CR930="D",1,0)+IF(CS930="D",1,0)+IF(CW930="D",1,0)+IF(CX930="D",1,0)+IF(DD930="D",1,0)+IF(DE930="D",1,0)+IF(DJ930="D",1,0)+IF(DK930="D",1,0)+IF(DO930="D",1,0)+IF(DP930="D",1,0)+IF(DQ930="D",1,0)+IF(DW930="D",1,0)+IF(DZ930="D",1,0)+IF(EH930="D",1,0)</f>
        <v>0</v>
      </c>
      <c r="AY930" s="0" t="n">
        <f aca="false">COUNTIF(DU930:EH930, "&lt;&gt;")</f>
        <v>0</v>
      </c>
      <c r="AZ930" s="0" t="n">
        <f aca="false">IF(EH930&lt;&gt;"",1,0)</f>
        <v>0</v>
      </c>
      <c r="BB930" s="0" t="s">
        <v>152</v>
      </c>
      <c r="CA930" s="0" t="s">
        <v>153</v>
      </c>
      <c r="DN930" s="0" t="s">
        <v>153</v>
      </c>
    </row>
    <row r="931" customFormat="false" ht="13.8" hidden="true" customHeight="false" outlineLevel="0" collapsed="false">
      <c r="A931" s="0" t="s">
        <v>4587</v>
      </c>
      <c r="B931" s="0" t="n">
        <v>78</v>
      </c>
      <c r="C931" s="0" t="n">
        <v>374864</v>
      </c>
      <c r="D931" s="0" t="s">
        <v>4588</v>
      </c>
      <c r="E931" s="0" t="s">
        <v>4589</v>
      </c>
      <c r="F931" s="0" t="str">
        <f aca="false">CONCATENATE(D931," ",LEFT(H931,4),"T=",AU931,"D=",AV931,"R=",AW931,"M=",AX931,"L=",AY931,"B=",AZ931)</f>
        <v>HOBBS T=11D=0R=0M=0L=0B=0</v>
      </c>
      <c r="G931" s="0" t="s">
        <v>307</v>
      </c>
      <c r="I931" s="0" t="s">
        <v>4590</v>
      </c>
      <c r="J931" s="0" t="s">
        <v>4591</v>
      </c>
      <c r="K931" s="0" t="s">
        <v>160</v>
      </c>
      <c r="M931" s="0" t="s">
        <v>4592</v>
      </c>
      <c r="N931" s="0" t="str">
        <f aca="false">RIGHT(M931,LEN(M931)-FIND(" ",M931))</f>
        <v>HOMEWOOD AVE SE</v>
      </c>
      <c r="P931" s="0" t="s">
        <v>145</v>
      </c>
      <c r="Q931" s="0" t="s">
        <v>146</v>
      </c>
      <c r="R931" s="0" t="n">
        <v>44483</v>
      </c>
      <c r="AD931" s="0" t="s">
        <v>147</v>
      </c>
      <c r="AE931" s="0" t="s">
        <v>148</v>
      </c>
      <c r="AF931" s="0" t="s">
        <v>149</v>
      </c>
      <c r="AH931" s="0" t="n">
        <v>14</v>
      </c>
      <c r="AI931" s="0" t="n">
        <v>11</v>
      </c>
      <c r="AN931" s="0" t="s">
        <v>145</v>
      </c>
      <c r="AO931" s="0" t="s">
        <v>150</v>
      </c>
      <c r="AP931" s="0" t="s">
        <v>151</v>
      </c>
      <c r="AQ931" s="0" t="n">
        <v>9</v>
      </c>
      <c r="AR931" s="0" t="n">
        <v>64</v>
      </c>
      <c r="AS931" s="0" t="n">
        <v>32</v>
      </c>
      <c r="AU931" s="0" t="n">
        <f aca="false">COUNTA($BA$739:$EH$739)</f>
        <v>11</v>
      </c>
      <c r="AV931" s="0" t="n">
        <f aca="false">COUNTIF($BA$739:$EH$739,"D")</f>
        <v>0</v>
      </c>
      <c r="AW931" s="0" t="n">
        <f aca="false">COUNTIF($BA$739:$EH$739,"R")</f>
        <v>0</v>
      </c>
      <c r="AX931" s="0" t="n">
        <f aca="false">IF(BN931="D",1,0)+IF(BO931="D",1,0)+IF(BT931="D",1,0)+IF(BU931="D",1,0)+IF(BW931="D",1,0)+IF(CC931="D",1,0)+IF(CD931="D",1,0)+IF(CE931="D",1,0)+IF(CF931="D",1,0)+IF(CL931="D",1,0)+IF(CM931="D",1,0)+IF(CQ931="D",1,0)+IF(CR931="D",1,0)+IF(CS931="D",1,0)+IF(CW931="D",1,0)+IF(CX931="D",1,0)+IF(DD931="D",1,0)+IF(DE931="D",1,0)+IF(DJ931="D",1,0)+IF(DK931="D",1,0)+IF(DO931="D",1,0)+IF(DP931="D",1,0)+IF(DQ931="D",1,0)+IF(DW931="D",1,0)+IF(DZ931="D",1,0)+IF(EH931="D",1,0)</f>
        <v>0</v>
      </c>
      <c r="AY931" s="0" t="n">
        <f aca="false">COUNTIF(DU931:EH931, "&lt;&gt;")</f>
        <v>0</v>
      </c>
      <c r="AZ931" s="0" t="n">
        <f aca="false">IF(EH931&lt;&gt;"",1,0)</f>
        <v>0</v>
      </c>
      <c r="BB931" s="0" t="s">
        <v>152</v>
      </c>
      <c r="CA931" s="0" t="s">
        <v>153</v>
      </c>
      <c r="CP931" s="0" t="s">
        <v>153</v>
      </c>
      <c r="DC931" s="0" t="s">
        <v>153</v>
      </c>
    </row>
    <row r="932" customFormat="false" ht="13.8" hidden="false" customHeight="false" outlineLevel="0" collapsed="false">
      <c r="A932" s="0" t="s">
        <v>4593</v>
      </c>
      <c r="B932" s="0" t="n">
        <v>78</v>
      </c>
      <c r="C932" s="0" t="n">
        <v>443951</v>
      </c>
      <c r="D932" s="0" t="s">
        <v>1403</v>
      </c>
      <c r="E932" s="0" t="s">
        <v>4594</v>
      </c>
      <c r="F932" s="0" t="str">
        <f aca="false">CONCATENATE(D932," ",LEFT(H932,4),"T=",AU932,"D=",AV932,"R=",AW932,"M=",AX932,"L=",AY932,"B=",AZ932)</f>
        <v>FULLER T=9D=3R=0M=0L=3B=0</v>
      </c>
      <c r="G932" s="0" t="s">
        <v>2551</v>
      </c>
      <c r="I932" s="0" t="s">
        <v>4595</v>
      </c>
      <c r="J932" s="0" t="s">
        <v>3020</v>
      </c>
      <c r="K932" s="0" t="s">
        <v>160</v>
      </c>
      <c r="M932" s="0" t="s">
        <v>4596</v>
      </c>
      <c r="N932" s="0" t="str">
        <f aca="false">RIGHT(M932,LEN(M932)-FIND(" ",M932))</f>
        <v>HOMEWOOD AVE SE</v>
      </c>
      <c r="P932" s="0" t="s">
        <v>145</v>
      </c>
      <c r="Q932" s="0" t="s">
        <v>146</v>
      </c>
      <c r="R932" s="0" t="n">
        <v>44483</v>
      </c>
      <c r="AD932" s="0" t="s">
        <v>147</v>
      </c>
      <c r="AE932" s="0" t="s">
        <v>148</v>
      </c>
      <c r="AF932" s="0" t="s">
        <v>149</v>
      </c>
      <c r="AH932" s="0" t="n">
        <v>14</v>
      </c>
      <c r="AI932" s="0" t="n">
        <v>11</v>
      </c>
      <c r="AN932" s="0" t="s">
        <v>145</v>
      </c>
      <c r="AO932" s="0" t="s">
        <v>150</v>
      </c>
      <c r="AP932" s="0" t="s">
        <v>151</v>
      </c>
      <c r="AQ932" s="0" t="n">
        <v>9</v>
      </c>
      <c r="AR932" s="0" t="n">
        <v>64</v>
      </c>
      <c r="AS932" s="0" t="n">
        <v>32</v>
      </c>
      <c r="AU932" s="0" t="n">
        <f aca="false">COUNTA($BA$359:$EH$359)</f>
        <v>9</v>
      </c>
      <c r="AV932" s="0" t="n">
        <f aca="false">COUNTIF($BA$359:$EH$359,"D")</f>
        <v>3</v>
      </c>
      <c r="AW932" s="0" t="n">
        <f aca="false">COUNTIF($BA$359:$EH$359,"R")</f>
        <v>0</v>
      </c>
      <c r="AX932" s="0" t="n">
        <f aca="false">IF(BN932="D",1,0)+IF(BO932="D",1,0)+IF(BT932="D",1,0)+IF(BU932="D",1,0)+IF(BW932="D",1,0)+IF(CC932="D",1,0)+IF(CD932="D",1,0)+IF(CE932="D",1,0)+IF(CF932="D",1,0)+IF(CL932="D",1,0)+IF(CM932="D",1,0)+IF(CQ932="D",1,0)+IF(CR932="D",1,0)+IF(CS932="D",1,0)+IF(CW932="D",1,0)+IF(CX932="D",1,0)+IF(DD932="D",1,0)+IF(DE932="D",1,0)+IF(DJ932="D",1,0)+IF(DK932="D",1,0)+IF(DO932="D",1,0)+IF(DP932="D",1,0)+IF(DQ932="D",1,0)+IF(DW932="D",1,0)+IF(DZ932="D",1,0)+IF(EH932="D",1,0)</f>
        <v>0</v>
      </c>
      <c r="AY932" s="0" t="n">
        <f aca="false">COUNTIF(DU932:EH932, "&lt;&gt;")</f>
        <v>3</v>
      </c>
      <c r="AZ932" s="0" t="n">
        <f aca="false">IF(EH932&lt;&gt;"",1,0)</f>
        <v>0</v>
      </c>
      <c r="BB932" s="0" t="s">
        <v>152</v>
      </c>
      <c r="DX932" s="0" t="s">
        <v>153</v>
      </c>
      <c r="EA932" s="0" t="s">
        <v>153</v>
      </c>
      <c r="EF932" s="0" t="s">
        <v>153</v>
      </c>
    </row>
    <row r="933" customFormat="false" ht="13.8" hidden="true" customHeight="false" outlineLevel="0" collapsed="false">
      <c r="A933" s="0" t="s">
        <v>4597</v>
      </c>
      <c r="B933" s="0" t="n">
        <v>78</v>
      </c>
      <c r="C933" s="0" t="n">
        <v>416043</v>
      </c>
      <c r="D933" s="0" t="s">
        <v>4598</v>
      </c>
      <c r="E933" s="0" t="s">
        <v>4599</v>
      </c>
      <c r="F933" s="0" t="str">
        <f aca="false">CONCATENATE(D933," ",LEFT(H933,4),"T=",AU933,"D=",AV933,"R=",AW933,"M=",AX933,"L=",AY933,"B=",AZ933)</f>
        <v>STAPLETON T=20D=2R=0M=0L=0B=0</v>
      </c>
      <c r="G933" s="0" t="s">
        <v>164</v>
      </c>
      <c r="I933" s="0" t="s">
        <v>4600</v>
      </c>
      <c r="J933" s="0" t="s">
        <v>4601</v>
      </c>
      <c r="K933" s="0" t="s">
        <v>143</v>
      </c>
      <c r="M933" s="0" t="s">
        <v>4602</v>
      </c>
      <c r="N933" s="0" t="str">
        <f aca="false">RIGHT(M933,LEN(M933)-FIND(" ",M933))</f>
        <v>HOMEWOOD AVE SE</v>
      </c>
      <c r="P933" s="0" t="s">
        <v>145</v>
      </c>
      <c r="Q933" s="0" t="s">
        <v>146</v>
      </c>
      <c r="R933" s="0" t="n">
        <v>44483</v>
      </c>
      <c r="AD933" s="0" t="s">
        <v>147</v>
      </c>
      <c r="AE933" s="0" t="s">
        <v>148</v>
      </c>
      <c r="AF933" s="0" t="s">
        <v>149</v>
      </c>
      <c r="AH933" s="0" t="n">
        <v>14</v>
      </c>
      <c r="AI933" s="0" t="n">
        <v>11</v>
      </c>
      <c r="AN933" s="0" t="s">
        <v>145</v>
      </c>
      <c r="AO933" s="0" t="s">
        <v>150</v>
      </c>
      <c r="AP933" s="0" t="s">
        <v>151</v>
      </c>
      <c r="AQ933" s="0" t="n">
        <v>9</v>
      </c>
      <c r="AR933" s="0" t="n">
        <v>64</v>
      </c>
      <c r="AS933" s="0" t="n">
        <v>32</v>
      </c>
      <c r="AU933" s="0" t="n">
        <f aca="false">COUNTA($BA$373:$EH$373)</f>
        <v>20</v>
      </c>
      <c r="AV933" s="0" t="n">
        <f aca="false">COUNTIF($BA$373:$EH$373,"D")</f>
        <v>2</v>
      </c>
      <c r="AW933" s="0" t="n">
        <f aca="false">COUNTIF($BA$373:$EH$373,"R")</f>
        <v>0</v>
      </c>
      <c r="AX933" s="0" t="n">
        <f aca="false">IF(BN933="D",1,0)+IF(BO933="D",1,0)+IF(BT933="D",1,0)+IF(BU933="D",1,0)+IF(BW933="D",1,0)+IF(CC933="D",1,0)+IF(CD933="D",1,0)+IF(CE933="D",1,0)+IF(CF933="D",1,0)+IF(CL933="D",1,0)+IF(CM933="D",1,0)+IF(CQ933="D",1,0)+IF(CR933="D",1,0)+IF(CS933="D",1,0)+IF(CW933="D",1,0)+IF(CX933="D",1,0)+IF(DD933="D",1,0)+IF(DE933="D",1,0)+IF(DJ933="D",1,0)+IF(DK933="D",1,0)+IF(DO933="D",1,0)+IF(DP933="D",1,0)+IF(DQ933="D",1,0)+IF(DW933="D",1,0)+IF(DZ933="D",1,0)+IF(EH933="D",1,0)</f>
        <v>0</v>
      </c>
      <c r="AY933" s="0" t="n">
        <f aca="false">COUNTIF(DU933:EH933, "&lt;&gt;")</f>
        <v>0</v>
      </c>
      <c r="AZ933" s="0" t="n">
        <f aca="false">IF(EH933&lt;&gt;"",1,0)</f>
        <v>0</v>
      </c>
      <c r="BB933" s="0" t="s">
        <v>152</v>
      </c>
    </row>
    <row r="934" customFormat="false" ht="13.8" hidden="false" customHeight="false" outlineLevel="0" collapsed="false">
      <c r="A934" s="0" t="s">
        <v>4603</v>
      </c>
      <c r="B934" s="0" t="n">
        <v>78</v>
      </c>
      <c r="C934" s="0" t="n">
        <v>435983</v>
      </c>
      <c r="D934" s="0" t="s">
        <v>4604</v>
      </c>
      <c r="E934" s="0" t="s">
        <v>4605</v>
      </c>
      <c r="F934" s="0" t="str">
        <f aca="false">CONCATENATE(D934," ",LEFT(H934,4),"T=",AU934,"D=",AV934,"R=",AW934,"M=",AX934,"L=",AY934,"B=",AZ934)</f>
        <v>BOGGS T=6D=0R=0M=0L=3B=0</v>
      </c>
      <c r="G934" s="0" t="s">
        <v>4606</v>
      </c>
      <c r="I934" s="0" t="s">
        <v>4607</v>
      </c>
      <c r="J934" s="0" t="s">
        <v>2288</v>
      </c>
      <c r="K934" s="0" t="s">
        <v>160</v>
      </c>
      <c r="M934" s="0" t="s">
        <v>4602</v>
      </c>
      <c r="N934" s="0" t="str">
        <f aca="false">RIGHT(M934,LEN(M934)-FIND(" ",M934))</f>
        <v>HOMEWOOD AVE SE</v>
      </c>
      <c r="P934" s="0" t="s">
        <v>145</v>
      </c>
      <c r="Q934" s="0" t="s">
        <v>146</v>
      </c>
      <c r="R934" s="0" t="n">
        <v>44483</v>
      </c>
      <c r="AD934" s="0" t="s">
        <v>147</v>
      </c>
      <c r="AE934" s="0" t="s">
        <v>148</v>
      </c>
      <c r="AF934" s="0" t="s">
        <v>149</v>
      </c>
      <c r="AH934" s="0" t="n">
        <v>14</v>
      </c>
      <c r="AI934" s="0" t="n">
        <v>11</v>
      </c>
      <c r="AN934" s="0" t="s">
        <v>145</v>
      </c>
      <c r="AO934" s="0" t="s">
        <v>150</v>
      </c>
      <c r="AP934" s="0" t="s">
        <v>151</v>
      </c>
      <c r="AQ934" s="0" t="n">
        <v>9</v>
      </c>
      <c r="AR934" s="0" t="n">
        <v>64</v>
      </c>
      <c r="AS934" s="0" t="n">
        <v>32</v>
      </c>
      <c r="AU934" s="0" t="n">
        <f aca="false">COUNTA($BA$647:$EH$647)</f>
        <v>6</v>
      </c>
      <c r="AV934" s="0" t="n">
        <f aca="false">COUNTIF($BA$647:$EH$647,"D")</f>
        <v>0</v>
      </c>
      <c r="AW934" s="0" t="n">
        <f aca="false">COUNTIF($BA$647:$EH$647,"R")</f>
        <v>0</v>
      </c>
      <c r="AX934" s="0" t="n">
        <f aca="false">IF(BN934="D",1,0)+IF(BO934="D",1,0)+IF(BT934="D",1,0)+IF(BU934="D",1,0)+IF(BW934="D",1,0)+IF(CC934="D",1,0)+IF(CD934="D",1,0)+IF(CE934="D",1,0)+IF(CF934="D",1,0)+IF(CL934="D",1,0)+IF(CM934="D",1,0)+IF(CQ934="D",1,0)+IF(CR934="D",1,0)+IF(CS934="D",1,0)+IF(CW934="D",1,0)+IF(CX934="D",1,0)+IF(DD934="D",1,0)+IF(DE934="D",1,0)+IF(DJ934="D",1,0)+IF(DK934="D",1,0)+IF(DO934="D",1,0)+IF(DP934="D",1,0)+IF(DQ934="D",1,0)+IF(DW934="D",1,0)+IF(DZ934="D",1,0)+IF(EH934="D",1,0)</f>
        <v>0</v>
      </c>
      <c r="AY934" s="0" t="n">
        <f aca="false">COUNTIF(DU934:EH934, "&lt;&gt;")</f>
        <v>3</v>
      </c>
      <c r="AZ934" s="0" t="n">
        <f aca="false">IF(EH934&lt;&gt;"",1,0)</f>
        <v>0</v>
      </c>
      <c r="BB934" s="0" t="s">
        <v>152</v>
      </c>
      <c r="DI934" s="0" t="s">
        <v>153</v>
      </c>
      <c r="DN934" s="0" t="s">
        <v>153</v>
      </c>
      <c r="DX934" s="0" t="s">
        <v>153</v>
      </c>
      <c r="EA934" s="0" t="s">
        <v>153</v>
      </c>
      <c r="EF934" s="0" t="s">
        <v>153</v>
      </c>
    </row>
    <row r="935" customFormat="false" ht="13.8" hidden="false" customHeight="false" outlineLevel="0" collapsed="false">
      <c r="A935" s="0" t="s">
        <v>4608</v>
      </c>
      <c r="B935" s="0" t="n">
        <v>78</v>
      </c>
      <c r="C935" s="0" t="n">
        <v>307232</v>
      </c>
      <c r="D935" s="0" t="s">
        <v>4604</v>
      </c>
      <c r="E935" s="0" t="s">
        <v>1282</v>
      </c>
      <c r="F935" s="0" t="str">
        <f aca="false">CONCATENATE(D935," ",LEFT(H935,4),"T=",AU935,"D=",AV935,"R=",AW935,"M=",AX935,"L=",AY935,"B=",AZ935)</f>
        <v>BOGGS T=8D=0R=0M=0L=3B=0</v>
      </c>
      <c r="G935" s="0" t="s">
        <v>307</v>
      </c>
      <c r="I935" s="0" t="s">
        <v>4609</v>
      </c>
      <c r="J935" s="0" t="s">
        <v>2288</v>
      </c>
      <c r="K935" s="0" t="s">
        <v>160</v>
      </c>
      <c r="M935" s="0" t="s">
        <v>4602</v>
      </c>
      <c r="N935" s="0" t="str">
        <f aca="false">RIGHT(M935,LEN(M935)-FIND(" ",M935))</f>
        <v>HOMEWOOD AVE SE</v>
      </c>
      <c r="P935" s="0" t="s">
        <v>145</v>
      </c>
      <c r="Q935" s="0" t="s">
        <v>146</v>
      </c>
      <c r="R935" s="0" t="n">
        <v>44483</v>
      </c>
      <c r="AD935" s="0" t="s">
        <v>147</v>
      </c>
      <c r="AE935" s="0" t="s">
        <v>148</v>
      </c>
      <c r="AF935" s="0" t="s">
        <v>149</v>
      </c>
      <c r="AH935" s="0" t="n">
        <v>14</v>
      </c>
      <c r="AI935" s="0" t="n">
        <v>11</v>
      </c>
      <c r="AN935" s="0" t="s">
        <v>145</v>
      </c>
      <c r="AO935" s="0" t="s">
        <v>150</v>
      </c>
      <c r="AP935" s="0" t="s">
        <v>151</v>
      </c>
      <c r="AQ935" s="0" t="n">
        <v>9</v>
      </c>
      <c r="AR935" s="0" t="n">
        <v>64</v>
      </c>
      <c r="AS935" s="0" t="n">
        <v>32</v>
      </c>
      <c r="AU935" s="0" t="n">
        <f aca="false">COUNTA($BA$845:$EH$845)</f>
        <v>8</v>
      </c>
      <c r="AV935" s="0" t="n">
        <f aca="false">COUNTIF($BA$845:$EH$845,"D")</f>
        <v>0</v>
      </c>
      <c r="AW935" s="0" t="n">
        <f aca="false">COUNTIF($BA$845:$EH$845,"R")</f>
        <v>0</v>
      </c>
      <c r="AX935" s="0" t="n">
        <f aca="false">IF(BN935="D",1,0)+IF(BO935="D",1,0)+IF(BT935="D",1,0)+IF(BU935="D",1,0)+IF(BW935="D",1,0)+IF(CC935="D",1,0)+IF(CD935="D",1,0)+IF(CE935="D",1,0)+IF(CF935="D",1,0)+IF(CL935="D",1,0)+IF(CM935="D",1,0)+IF(CQ935="D",1,0)+IF(CR935="D",1,0)+IF(CS935="D",1,0)+IF(CW935="D",1,0)+IF(CX935="D",1,0)+IF(DD935="D",1,0)+IF(DE935="D",1,0)+IF(DJ935="D",1,0)+IF(DK935="D",1,0)+IF(DO935="D",1,0)+IF(DP935="D",1,0)+IF(DQ935="D",1,0)+IF(DW935="D",1,0)+IF(DZ935="D",1,0)+IF(EH935="D",1,0)</f>
        <v>0</v>
      </c>
      <c r="AY935" s="0" t="n">
        <f aca="false">COUNTIF(DU935:EH935, "&lt;&gt;")</f>
        <v>3</v>
      </c>
      <c r="AZ935" s="0" t="n">
        <f aca="false">IF(EH935&lt;&gt;"",1,0)</f>
        <v>0</v>
      </c>
      <c r="BB935" s="0" t="s">
        <v>152</v>
      </c>
      <c r="DI935" s="0" t="s">
        <v>153</v>
      </c>
      <c r="DN935" s="0" t="s">
        <v>153</v>
      </c>
      <c r="DX935" s="0" t="s">
        <v>153</v>
      </c>
      <c r="EA935" s="0" t="s">
        <v>153</v>
      </c>
      <c r="EF935" s="0" t="s">
        <v>153</v>
      </c>
    </row>
    <row r="936" customFormat="false" ht="13.8" hidden="false" customHeight="false" outlineLevel="0" collapsed="false">
      <c r="A936" s="0" t="s">
        <v>4610</v>
      </c>
      <c r="B936" s="0" t="n">
        <v>78</v>
      </c>
      <c r="C936" s="0" t="n">
        <v>454701</v>
      </c>
      <c r="D936" s="0" t="s">
        <v>4604</v>
      </c>
      <c r="E936" s="0" t="s">
        <v>4611</v>
      </c>
      <c r="F936" s="0" t="str">
        <f aca="false">CONCATENATE(D936," ",LEFT(H936,4),"T=",AU936,"D=",AV936,"R=",AW936,"M=",AX936,"L=",AY936,"B=",AZ936)</f>
        <v>BOGGS T=1D=0R=0M=0L=3B=0</v>
      </c>
      <c r="G936" s="0" t="s">
        <v>224</v>
      </c>
      <c r="I936" s="0" t="s">
        <v>4612</v>
      </c>
      <c r="J936" s="0" t="s">
        <v>478</v>
      </c>
      <c r="K936" s="0" t="s">
        <v>160</v>
      </c>
      <c r="M936" s="0" t="s">
        <v>4602</v>
      </c>
      <c r="N936" s="0" t="str">
        <f aca="false">RIGHT(M936,LEN(M936)-FIND(" ",M936))</f>
        <v>HOMEWOOD AVE SE</v>
      </c>
      <c r="P936" s="0" t="s">
        <v>145</v>
      </c>
      <c r="Q936" s="0" t="s">
        <v>146</v>
      </c>
      <c r="R936" s="0" t="n">
        <v>44483</v>
      </c>
      <c r="AD936" s="0" t="s">
        <v>147</v>
      </c>
      <c r="AE936" s="0" t="s">
        <v>148</v>
      </c>
      <c r="AF936" s="0" t="s">
        <v>149</v>
      </c>
      <c r="AH936" s="0" t="n">
        <v>14</v>
      </c>
      <c r="AI936" s="0" t="n">
        <v>11</v>
      </c>
      <c r="AN936" s="0" t="s">
        <v>145</v>
      </c>
      <c r="AO936" s="0" t="s">
        <v>150</v>
      </c>
      <c r="AP936" s="0" t="s">
        <v>151</v>
      </c>
      <c r="AQ936" s="0" t="n">
        <v>9</v>
      </c>
      <c r="AR936" s="0" t="n">
        <v>64</v>
      </c>
      <c r="AS936" s="0" t="n">
        <v>32</v>
      </c>
      <c r="AU936" s="0" t="n">
        <f aca="false">COUNTA($BA$977:$EH$977)</f>
        <v>1</v>
      </c>
      <c r="AV936" s="0" t="n">
        <f aca="false">COUNTIF($BA$977:$EH$977,"D")</f>
        <v>0</v>
      </c>
      <c r="AW936" s="0" t="n">
        <f aca="false">COUNTIF($BA$977:$EH$977,"R")</f>
        <v>0</v>
      </c>
      <c r="AX936" s="0" t="n">
        <f aca="false">IF(BN936="D",1,0)+IF(BO936="D",1,0)+IF(BT936="D",1,0)+IF(BU936="D",1,0)+IF(BW936="D",1,0)+IF(CC936="D",1,0)+IF(CD936="D",1,0)+IF(CE936="D",1,0)+IF(CF936="D",1,0)+IF(CL936="D",1,0)+IF(CM936="D",1,0)+IF(CQ936="D",1,0)+IF(CR936="D",1,0)+IF(CS936="D",1,0)+IF(CW936="D",1,0)+IF(CX936="D",1,0)+IF(DD936="D",1,0)+IF(DE936="D",1,0)+IF(DJ936="D",1,0)+IF(DK936="D",1,0)+IF(DO936="D",1,0)+IF(DP936="D",1,0)+IF(DQ936="D",1,0)+IF(DW936="D",1,0)+IF(DZ936="D",1,0)+IF(EH936="D",1,0)</f>
        <v>0</v>
      </c>
      <c r="AY936" s="0" t="n">
        <f aca="false">COUNTIF(DU936:EH936, "&lt;&gt;")</f>
        <v>3</v>
      </c>
      <c r="AZ936" s="0" t="n">
        <f aca="false">IF(EH936&lt;&gt;"",1,0)</f>
        <v>0</v>
      </c>
      <c r="BB936" s="0" t="s">
        <v>152</v>
      </c>
      <c r="DN936" s="0" t="s">
        <v>153</v>
      </c>
      <c r="DX936" s="0" t="s">
        <v>153</v>
      </c>
      <c r="EA936" s="0" t="s">
        <v>153</v>
      </c>
      <c r="EF936" s="0" t="s">
        <v>153</v>
      </c>
    </row>
    <row r="937" customFormat="false" ht="13.8" hidden="false" customHeight="false" outlineLevel="0" collapsed="false">
      <c r="A937" s="0" t="s">
        <v>4613</v>
      </c>
      <c r="B937" s="0" t="n">
        <v>78</v>
      </c>
      <c r="C937" s="0" t="n">
        <v>417180</v>
      </c>
      <c r="D937" s="0" t="s">
        <v>4614</v>
      </c>
      <c r="E937" s="0" t="s">
        <v>275</v>
      </c>
      <c r="F937" s="0" t="str">
        <f aca="false">CONCATENATE(D937," ",LEFT(H937,4),"T=",AU937,"D=",AV937,"R=",AW937,"M=",AX937,"L=",AY937,"B=",AZ937)</f>
        <v>KATONA T=37D=10R=0M=0L=3B=0</v>
      </c>
      <c r="G937" s="0" t="s">
        <v>170</v>
      </c>
      <c r="I937" s="0" t="s">
        <v>2198</v>
      </c>
      <c r="J937" s="0" t="s">
        <v>4615</v>
      </c>
      <c r="K937" s="0" t="s">
        <v>160</v>
      </c>
      <c r="M937" s="0" t="s">
        <v>4616</v>
      </c>
      <c r="N937" s="0" t="str">
        <f aca="false">RIGHT(M937,LEN(M937)-FIND(" ",M937))</f>
        <v>HOMEWOOD AVE SE</v>
      </c>
      <c r="P937" s="0" t="s">
        <v>145</v>
      </c>
      <c r="Q937" s="0" t="s">
        <v>146</v>
      </c>
      <c r="R937" s="0" t="n">
        <v>44484</v>
      </c>
      <c r="AD937" s="0" t="s">
        <v>147</v>
      </c>
      <c r="AE937" s="0" t="s">
        <v>148</v>
      </c>
      <c r="AF937" s="0" t="s">
        <v>149</v>
      </c>
      <c r="AH937" s="0" t="n">
        <v>14</v>
      </c>
      <c r="AI937" s="0" t="n">
        <v>11</v>
      </c>
      <c r="AN937" s="0" t="s">
        <v>145</v>
      </c>
      <c r="AO937" s="0" t="s">
        <v>150</v>
      </c>
      <c r="AP937" s="0" t="s">
        <v>151</v>
      </c>
      <c r="AQ937" s="0" t="n">
        <v>9</v>
      </c>
      <c r="AR937" s="0" t="n">
        <v>64</v>
      </c>
      <c r="AS937" s="0" t="n">
        <v>32</v>
      </c>
      <c r="AU937" s="0" t="n">
        <f aca="false">COUNTA($BA$146:$EH$146)</f>
        <v>37</v>
      </c>
      <c r="AV937" s="0" t="n">
        <f aca="false">COUNTIF($BA$146:$EH$146,"D")</f>
        <v>10</v>
      </c>
      <c r="AW937" s="0" t="n">
        <f aca="false">COUNTIF($BA$146:$EH$146,"R")</f>
        <v>0</v>
      </c>
      <c r="AX937" s="0" t="n">
        <f aca="false">IF(BN937="D",1,0)+IF(BO937="D",1,0)+IF(BT937="D",1,0)+IF(BU937="D",1,0)+IF(BW937="D",1,0)+IF(CC937="D",1,0)+IF(CD937="D",1,0)+IF(CE937="D",1,0)+IF(CF937="D",1,0)+IF(CL937="D",1,0)+IF(CM937="D",1,0)+IF(CQ937="D",1,0)+IF(CR937="D",1,0)+IF(CS937="D",1,0)+IF(CW937="D",1,0)+IF(CX937="D",1,0)+IF(DD937="D",1,0)+IF(DE937="D",1,0)+IF(DJ937="D",1,0)+IF(DK937="D",1,0)+IF(DO937="D",1,0)+IF(DP937="D",1,0)+IF(DQ937="D",1,0)+IF(DW937="D",1,0)+IF(DZ937="D",1,0)+IF(EH937="D",1,0)</f>
        <v>0</v>
      </c>
      <c r="AY937" s="0" t="n">
        <f aca="false">COUNTIF(DU937:EH937, "&lt;&gt;")</f>
        <v>3</v>
      </c>
      <c r="AZ937" s="0" t="n">
        <f aca="false">IF(EH937&lt;&gt;"",1,0)</f>
        <v>0</v>
      </c>
      <c r="BB937" s="0" t="s">
        <v>152</v>
      </c>
      <c r="DC937" s="0" t="s">
        <v>153</v>
      </c>
      <c r="DI937" s="0" t="s">
        <v>153</v>
      </c>
      <c r="DN937" s="0" t="s">
        <v>153</v>
      </c>
      <c r="DU937" s="0" t="s">
        <v>153</v>
      </c>
      <c r="EA937" s="0" t="s">
        <v>153</v>
      </c>
      <c r="EF937" s="0" t="s">
        <v>153</v>
      </c>
    </row>
    <row r="938" customFormat="false" ht="13.8" hidden="false" customHeight="false" outlineLevel="0" collapsed="false">
      <c r="A938" s="0" t="s">
        <v>4617</v>
      </c>
      <c r="B938" s="0" t="n">
        <v>78</v>
      </c>
      <c r="C938" s="0" t="n">
        <v>417181</v>
      </c>
      <c r="D938" s="0" t="s">
        <v>4614</v>
      </c>
      <c r="E938" s="0" t="s">
        <v>481</v>
      </c>
      <c r="F938" s="0" t="str">
        <f aca="false">CONCATENATE(D938," ",LEFT(H938,4),"T=",AU938,"D=",AV938,"R=",AW938,"M=",AX938,"L=",AY938,"B=",AZ938)</f>
        <v>KATONA T=2D=0R=0M=0L=3B=0</v>
      </c>
      <c r="G938" s="0" t="s">
        <v>190</v>
      </c>
      <c r="I938" s="0" t="s">
        <v>4232</v>
      </c>
      <c r="J938" s="0" t="s">
        <v>688</v>
      </c>
      <c r="K938" s="0" t="s">
        <v>160</v>
      </c>
      <c r="M938" s="0" t="s">
        <v>4616</v>
      </c>
      <c r="N938" s="0" t="str">
        <f aca="false">RIGHT(M938,LEN(M938)-FIND(" ",M938))</f>
        <v>HOMEWOOD AVE SE</v>
      </c>
      <c r="P938" s="0" t="s">
        <v>145</v>
      </c>
      <c r="Q938" s="0" t="s">
        <v>146</v>
      </c>
      <c r="R938" s="0" t="n">
        <v>44484</v>
      </c>
      <c r="AD938" s="0" t="s">
        <v>147</v>
      </c>
      <c r="AE938" s="0" t="s">
        <v>148</v>
      </c>
      <c r="AF938" s="0" t="s">
        <v>149</v>
      </c>
      <c r="AH938" s="0" t="n">
        <v>14</v>
      </c>
      <c r="AI938" s="0" t="n">
        <v>11</v>
      </c>
      <c r="AN938" s="0" t="s">
        <v>145</v>
      </c>
      <c r="AO938" s="0" t="s">
        <v>150</v>
      </c>
      <c r="AP938" s="0" t="s">
        <v>151</v>
      </c>
      <c r="AQ938" s="0" t="n">
        <v>9</v>
      </c>
      <c r="AR938" s="0" t="n">
        <v>64</v>
      </c>
      <c r="AS938" s="0" t="n">
        <v>32</v>
      </c>
      <c r="AU938" s="0" t="n">
        <f aca="false">COUNTA($BA$227:$EH$227)</f>
        <v>2</v>
      </c>
      <c r="AV938" s="0" t="n">
        <f aca="false">COUNTIF($BA$227:$EH$227,"D")</f>
        <v>0</v>
      </c>
      <c r="AW938" s="0" t="n">
        <f aca="false">COUNTIF($BA$227:$EH$227,"R")</f>
        <v>0</v>
      </c>
      <c r="AX938" s="0" t="n">
        <f aca="false">IF(BN938="D",1,0)+IF(BO938="D",1,0)+IF(BT938="D",1,0)+IF(BU938="D",1,0)+IF(BW938="D",1,0)+IF(CC938="D",1,0)+IF(CD938="D",1,0)+IF(CE938="D",1,0)+IF(CF938="D",1,0)+IF(CL938="D",1,0)+IF(CM938="D",1,0)+IF(CQ938="D",1,0)+IF(CR938="D",1,0)+IF(CS938="D",1,0)+IF(CW938="D",1,0)+IF(CX938="D",1,0)+IF(DD938="D",1,0)+IF(DE938="D",1,0)+IF(DJ938="D",1,0)+IF(DK938="D",1,0)+IF(DO938="D",1,0)+IF(DP938="D",1,0)+IF(DQ938="D",1,0)+IF(DW938="D",1,0)+IF(DZ938="D",1,0)+IF(EH938="D",1,0)</f>
        <v>0</v>
      </c>
      <c r="AY938" s="0" t="n">
        <f aca="false">COUNTIF(DU938:EH938, "&lt;&gt;")</f>
        <v>3</v>
      </c>
      <c r="AZ938" s="0" t="n">
        <f aca="false">IF(EH938&lt;&gt;"",1,0)</f>
        <v>0</v>
      </c>
      <c r="BB938" s="0" t="s">
        <v>152</v>
      </c>
      <c r="DC938" s="0" t="s">
        <v>153</v>
      </c>
      <c r="DI938" s="0" t="s">
        <v>153</v>
      </c>
      <c r="DN938" s="0" t="s">
        <v>153</v>
      </c>
      <c r="DU938" s="0" t="s">
        <v>153</v>
      </c>
      <c r="EA938" s="0" t="s">
        <v>153</v>
      </c>
      <c r="EF938" s="0" t="s">
        <v>153</v>
      </c>
    </row>
    <row r="939" customFormat="false" ht="13.8" hidden="true" customHeight="false" outlineLevel="0" collapsed="false">
      <c r="A939" s="0" t="s">
        <v>4618</v>
      </c>
      <c r="B939" s="0" t="n">
        <v>78</v>
      </c>
      <c r="C939" s="0" t="n">
        <v>495442</v>
      </c>
      <c r="D939" s="0" t="s">
        <v>4614</v>
      </c>
      <c r="E939" s="0" t="s">
        <v>275</v>
      </c>
      <c r="F939" s="0" t="str">
        <f aca="false">CONCATENATE(D939," ",LEFT(H939,4),"T=",AU939,"D=",AV939,"R=",AW939,"M=",AX939,"L=",AY939,"B=",AZ939)</f>
        <v>KATONA JRT=6D=0R=0M=0L=0B=0</v>
      </c>
      <c r="G939" s="0" t="s">
        <v>170</v>
      </c>
      <c r="H939" s="0" t="s">
        <v>314</v>
      </c>
      <c r="I939" s="0" t="s">
        <v>4619</v>
      </c>
      <c r="J939" s="0" t="s">
        <v>998</v>
      </c>
      <c r="K939" s="0" t="s">
        <v>160</v>
      </c>
      <c r="M939" s="0" t="s">
        <v>4616</v>
      </c>
      <c r="N939" s="0" t="str">
        <f aca="false">RIGHT(M939,LEN(M939)-FIND(" ",M939))</f>
        <v>HOMEWOOD AVE SE</v>
      </c>
      <c r="P939" s="0" t="s">
        <v>145</v>
      </c>
      <c r="Q939" s="0" t="s">
        <v>146</v>
      </c>
      <c r="R939" s="0" t="n">
        <v>44484</v>
      </c>
      <c r="AD939" s="0" t="s">
        <v>147</v>
      </c>
      <c r="AE939" s="0" t="s">
        <v>148</v>
      </c>
      <c r="AF939" s="0" t="s">
        <v>149</v>
      </c>
      <c r="AH939" s="0" t="n">
        <v>14</v>
      </c>
      <c r="AI939" s="0" t="n">
        <v>11</v>
      </c>
      <c r="AN939" s="0" t="s">
        <v>145</v>
      </c>
      <c r="AO939" s="0" t="s">
        <v>150</v>
      </c>
      <c r="AP939" s="0" t="s">
        <v>151</v>
      </c>
      <c r="AQ939" s="0" t="n">
        <v>9</v>
      </c>
      <c r="AR939" s="0" t="n">
        <v>64</v>
      </c>
      <c r="AS939" s="0" t="n">
        <v>32</v>
      </c>
      <c r="AU939" s="0" t="n">
        <f aca="false">COUNTA($BA$517:$EH$517)</f>
        <v>6</v>
      </c>
      <c r="AV939" s="0" t="n">
        <f aca="false">COUNTIF($BA$517:$EH$517,"D")</f>
        <v>0</v>
      </c>
      <c r="AW939" s="0" t="n">
        <f aca="false">COUNTIF($BA$517:$EH$517,"R")</f>
        <v>0</v>
      </c>
      <c r="AX939" s="0" t="n">
        <f aca="false">IF(BN939="D",1,0)+IF(BO939="D",1,0)+IF(BT939="D",1,0)+IF(BU939="D",1,0)+IF(BW939="D",1,0)+IF(CC939="D",1,0)+IF(CD939="D",1,0)+IF(CE939="D",1,0)+IF(CF939="D",1,0)+IF(CL939="D",1,0)+IF(CM939="D",1,0)+IF(CQ939="D",1,0)+IF(CR939="D",1,0)+IF(CS939="D",1,0)+IF(CW939="D",1,0)+IF(CX939="D",1,0)+IF(DD939="D",1,0)+IF(DE939="D",1,0)+IF(DJ939="D",1,0)+IF(DK939="D",1,0)+IF(DO939="D",1,0)+IF(DP939="D",1,0)+IF(DQ939="D",1,0)+IF(DW939="D",1,0)+IF(DZ939="D",1,0)+IF(EH939="D",1,0)</f>
        <v>0</v>
      </c>
      <c r="AY939" s="0" t="n">
        <f aca="false">COUNTIF(DU939:EH939, "&lt;&gt;")</f>
        <v>0</v>
      </c>
      <c r="AZ939" s="0" t="n">
        <f aca="false">IF(EH939&lt;&gt;"",1,0)</f>
        <v>0</v>
      </c>
      <c r="BB939" s="0" t="s">
        <v>152</v>
      </c>
    </row>
    <row r="940" customFormat="false" ht="13.8" hidden="true" customHeight="false" outlineLevel="0" collapsed="false">
      <c r="A940" s="0" t="s">
        <v>4620</v>
      </c>
      <c r="B940" s="0" t="n">
        <v>78</v>
      </c>
      <c r="C940" s="0" t="n">
        <v>441483</v>
      </c>
      <c r="D940" s="0" t="s">
        <v>4621</v>
      </c>
      <c r="E940" s="0" t="s">
        <v>1710</v>
      </c>
      <c r="F940" s="0" t="str">
        <f aca="false">CONCATENATE(D940," ",LEFT(H940,4),"T=",AU940,"D=",AV940,"R=",AW940,"M=",AX940,"L=",AY940,"B=",AZ940)</f>
        <v>LOUGH T=2D=0R=0M=0L=0B=0</v>
      </c>
      <c r="G940" s="0" t="s">
        <v>175</v>
      </c>
      <c r="I940" s="0" t="s">
        <v>4622</v>
      </c>
      <c r="J940" s="0" t="s">
        <v>3542</v>
      </c>
      <c r="K940" s="0" t="s">
        <v>143</v>
      </c>
      <c r="M940" s="0" t="s">
        <v>4616</v>
      </c>
      <c r="N940" s="0" t="str">
        <f aca="false">RIGHT(M940,LEN(M940)-FIND(" ",M940))</f>
        <v>HOMEWOOD AVE SE</v>
      </c>
      <c r="P940" s="0" t="s">
        <v>145</v>
      </c>
      <c r="Q940" s="0" t="s">
        <v>146</v>
      </c>
      <c r="R940" s="0" t="n">
        <v>44484</v>
      </c>
      <c r="AD940" s="0" t="s">
        <v>147</v>
      </c>
      <c r="AE940" s="0" t="s">
        <v>148</v>
      </c>
      <c r="AF940" s="0" t="s">
        <v>149</v>
      </c>
      <c r="AH940" s="0" t="n">
        <v>14</v>
      </c>
      <c r="AI940" s="0" t="n">
        <v>11</v>
      </c>
      <c r="AN940" s="0" t="s">
        <v>145</v>
      </c>
      <c r="AO940" s="0" t="s">
        <v>150</v>
      </c>
      <c r="AP940" s="0" t="s">
        <v>151</v>
      </c>
      <c r="AQ940" s="0" t="n">
        <v>9</v>
      </c>
      <c r="AR940" s="0" t="n">
        <v>64</v>
      </c>
      <c r="AS940" s="0" t="n">
        <v>32</v>
      </c>
      <c r="AU940" s="0" t="n">
        <f aca="false">COUNTA($BA$607:$EH$607)</f>
        <v>2</v>
      </c>
      <c r="AV940" s="0" t="n">
        <f aca="false">COUNTIF($BA$607:$EH$607,"D")</f>
        <v>0</v>
      </c>
      <c r="AW940" s="0" t="n">
        <f aca="false">COUNTIF($BA$607:$EH$607,"R")</f>
        <v>0</v>
      </c>
      <c r="AX940" s="0" t="n">
        <f aca="false">IF(BN940="D",1,0)+IF(BO940="D",1,0)+IF(BT940="D",1,0)+IF(BU940="D",1,0)+IF(BW940="D",1,0)+IF(CC940="D",1,0)+IF(CD940="D",1,0)+IF(CE940="D",1,0)+IF(CF940="D",1,0)+IF(CL940="D",1,0)+IF(CM940="D",1,0)+IF(CQ940="D",1,0)+IF(CR940="D",1,0)+IF(CS940="D",1,0)+IF(CW940="D",1,0)+IF(CX940="D",1,0)+IF(DD940="D",1,0)+IF(DE940="D",1,0)+IF(DJ940="D",1,0)+IF(DK940="D",1,0)+IF(DO940="D",1,0)+IF(DP940="D",1,0)+IF(DQ940="D",1,0)+IF(DW940="D",1,0)+IF(DZ940="D",1,0)+IF(EH940="D",1,0)</f>
        <v>0</v>
      </c>
      <c r="AY940" s="0" t="n">
        <f aca="false">COUNTIF(DU940:EH940, "&lt;&gt;")</f>
        <v>0</v>
      </c>
      <c r="AZ940" s="0" t="n">
        <f aca="false">IF(EH940&lt;&gt;"",1,0)</f>
        <v>0</v>
      </c>
      <c r="BB940" s="0" t="s">
        <v>152</v>
      </c>
      <c r="BD940" s="0" t="s">
        <v>153</v>
      </c>
      <c r="BG940" s="0" t="s">
        <v>153</v>
      </c>
      <c r="BH940" s="0" t="s">
        <v>153</v>
      </c>
      <c r="BI940" s="0" t="s">
        <v>153</v>
      </c>
      <c r="BJ940" s="0" t="s">
        <v>153</v>
      </c>
      <c r="BK940" s="0" t="s">
        <v>153</v>
      </c>
      <c r="BL940" s="0" t="s">
        <v>153</v>
      </c>
      <c r="BS940" s="0" t="s">
        <v>153</v>
      </c>
      <c r="CA940" s="0" t="s">
        <v>153</v>
      </c>
      <c r="DL940" s="0" t="s">
        <v>153</v>
      </c>
      <c r="DN940" s="0" t="s">
        <v>153</v>
      </c>
    </row>
    <row r="941" customFormat="false" ht="13.8" hidden="true" customHeight="false" outlineLevel="0" collapsed="false">
      <c r="A941" s="0" t="s">
        <v>4623</v>
      </c>
      <c r="B941" s="0" t="n">
        <v>78</v>
      </c>
      <c r="C941" s="0" t="n">
        <v>202610</v>
      </c>
      <c r="D941" s="0" t="s">
        <v>4624</v>
      </c>
      <c r="E941" s="0" t="s">
        <v>379</v>
      </c>
      <c r="F941" s="0" t="str">
        <f aca="false">CONCATENATE(D941," ",LEFT(H941,4),"T=",AU941,"D=",AV941,"R=",AW941,"M=",AX941,"L=",AY941,"B=",AZ941)</f>
        <v>EDGAR T=36D=1R=7M=0L=0B=0</v>
      </c>
      <c r="G941" s="0" t="s">
        <v>860</v>
      </c>
      <c r="I941" s="0" t="s">
        <v>4625</v>
      </c>
      <c r="J941" s="0" t="s">
        <v>4626</v>
      </c>
      <c r="K941" s="0" t="s">
        <v>160</v>
      </c>
      <c r="M941" s="0" t="s">
        <v>4627</v>
      </c>
      <c r="N941" s="0" t="str">
        <f aca="false">RIGHT(M941,LEN(M941)-FIND(" ",M941))</f>
        <v>HOMEWOOD AVE SE</v>
      </c>
      <c r="P941" s="0" t="s">
        <v>145</v>
      </c>
      <c r="Q941" s="0" t="s">
        <v>146</v>
      </c>
      <c r="R941" s="0" t="n">
        <v>44484</v>
      </c>
      <c r="AD941" s="0" t="s">
        <v>147</v>
      </c>
      <c r="AE941" s="0" t="s">
        <v>148</v>
      </c>
      <c r="AF941" s="0" t="s">
        <v>149</v>
      </c>
      <c r="AH941" s="0" t="n">
        <v>14</v>
      </c>
      <c r="AI941" s="0" t="n">
        <v>11</v>
      </c>
      <c r="AN941" s="0" t="s">
        <v>145</v>
      </c>
      <c r="AO941" s="0" t="s">
        <v>150</v>
      </c>
      <c r="AP941" s="0" t="s">
        <v>151</v>
      </c>
      <c r="AQ941" s="0" t="n">
        <v>9</v>
      </c>
      <c r="AR941" s="0" t="n">
        <v>64</v>
      </c>
      <c r="AS941" s="0" t="n">
        <v>32</v>
      </c>
      <c r="AU941" s="0" t="n">
        <f aca="false">COUNTA($BA$1049:$EH$1049)</f>
        <v>36</v>
      </c>
      <c r="AV941" s="0" t="n">
        <f aca="false">COUNTIF($BA$1049:$EH$1049,"D")</f>
        <v>1</v>
      </c>
      <c r="AW941" s="0" t="n">
        <f aca="false">COUNTIF($BA$1049:$EH$1049,"R")</f>
        <v>7</v>
      </c>
      <c r="AX941" s="0" t="n">
        <f aca="false">IF(BN941="D",1,0)+IF(BO941="D",1,0)+IF(BT941="D",1,0)+IF(BU941="D",1,0)+IF(BW941="D",1,0)+IF(CC941="D",1,0)+IF(CD941="D",1,0)+IF(CE941="D",1,0)+IF(CF941="D",1,0)+IF(CL941="D",1,0)+IF(CM941="D",1,0)+IF(CQ941="D",1,0)+IF(CR941="D",1,0)+IF(CS941="D",1,0)+IF(CW941="D",1,0)+IF(CX941="D",1,0)+IF(DD941="D",1,0)+IF(DE941="D",1,0)+IF(DJ941="D",1,0)+IF(DK941="D",1,0)+IF(DO941="D",1,0)+IF(DP941="D",1,0)+IF(DQ941="D",1,0)+IF(DW941="D",1,0)+IF(DZ941="D",1,0)+IF(EH941="D",1,0)</f>
        <v>0</v>
      </c>
      <c r="AY941" s="0" t="n">
        <f aca="false">COUNTIF(DU941:EH941, "&lt;&gt;")</f>
        <v>0</v>
      </c>
      <c r="AZ941" s="0" t="n">
        <f aca="false">IF(EH941&lt;&gt;"",1,0)</f>
        <v>0</v>
      </c>
      <c r="BB941" s="0" t="s">
        <v>152</v>
      </c>
      <c r="BD941" s="0" t="s">
        <v>153</v>
      </c>
      <c r="BS941" s="0" t="s">
        <v>153</v>
      </c>
      <c r="BY941" s="0" t="s">
        <v>175</v>
      </c>
      <c r="CA941" s="0" t="s">
        <v>153</v>
      </c>
    </row>
    <row r="942" customFormat="false" ht="13.8" hidden="true" customHeight="false" outlineLevel="0" collapsed="false">
      <c r="A942" s="0" t="s">
        <v>4628</v>
      </c>
      <c r="B942" s="0" t="n">
        <v>78</v>
      </c>
      <c r="C942" s="0" t="n">
        <v>484424</v>
      </c>
      <c r="D942" s="0" t="s">
        <v>434</v>
      </c>
      <c r="E942" s="0" t="s">
        <v>4629</v>
      </c>
      <c r="F942" s="0" t="str">
        <f aca="false">CONCATENATE(D942," ",LEFT(H942,4),"T=",AU942,"D=",AV942,"R=",AW942,"M=",AX942,"L=",AY942,"B=",AZ942)</f>
        <v>FOX IIIT=3D=0R=0M=0L=0B=0</v>
      </c>
      <c r="G942" s="0" t="s">
        <v>324</v>
      </c>
      <c r="H942" s="0" t="s">
        <v>1932</v>
      </c>
      <c r="I942" s="0" t="s">
        <v>4630</v>
      </c>
      <c r="J942" s="0" t="s">
        <v>4631</v>
      </c>
      <c r="K942" s="0" t="s">
        <v>160</v>
      </c>
      <c r="M942" s="0" t="s">
        <v>4632</v>
      </c>
      <c r="N942" s="0" t="str">
        <f aca="false">RIGHT(M942,LEN(M942)-FIND(" ",M942))</f>
        <v>HOMEWOOD AVE SE</v>
      </c>
      <c r="P942" s="0" t="s">
        <v>145</v>
      </c>
      <c r="Q942" s="0" t="s">
        <v>146</v>
      </c>
      <c r="R942" s="0" t="n">
        <v>44484</v>
      </c>
      <c r="AD942" s="0" t="s">
        <v>147</v>
      </c>
      <c r="AE942" s="0" t="s">
        <v>148</v>
      </c>
      <c r="AF942" s="0" t="s">
        <v>149</v>
      </c>
      <c r="AH942" s="0" t="n">
        <v>14</v>
      </c>
      <c r="AI942" s="0" t="n">
        <v>11</v>
      </c>
      <c r="AN942" s="0" t="s">
        <v>145</v>
      </c>
      <c r="AO942" s="0" t="s">
        <v>150</v>
      </c>
      <c r="AP942" s="0" t="s">
        <v>151</v>
      </c>
      <c r="AQ942" s="0" t="n">
        <v>9</v>
      </c>
      <c r="AR942" s="0" t="n">
        <v>64</v>
      </c>
      <c r="AS942" s="0" t="n">
        <v>32</v>
      </c>
      <c r="AU942" s="0" t="n">
        <f aca="false">COUNTA($BA$454:$EH$454)</f>
        <v>3</v>
      </c>
      <c r="AV942" s="0" t="n">
        <f aca="false">COUNTIF($BA$454:$EH$454,"D")</f>
        <v>0</v>
      </c>
      <c r="AW942" s="0" t="n">
        <f aca="false">COUNTIF($BA$454:$EH$454,"R")</f>
        <v>0</v>
      </c>
      <c r="AX942" s="0" t="n">
        <f aca="false">IF(BN942="D",1,0)+IF(BO942="D",1,0)+IF(BT942="D",1,0)+IF(BU942="D",1,0)+IF(BW942="D",1,0)+IF(CC942="D",1,0)+IF(CD942="D",1,0)+IF(CE942="D",1,0)+IF(CF942="D",1,0)+IF(CL942="D",1,0)+IF(CM942="D",1,0)+IF(CQ942="D",1,0)+IF(CR942="D",1,0)+IF(CS942="D",1,0)+IF(CW942="D",1,0)+IF(CX942="D",1,0)+IF(DD942="D",1,0)+IF(DE942="D",1,0)+IF(DJ942="D",1,0)+IF(DK942="D",1,0)+IF(DO942="D",1,0)+IF(DP942="D",1,0)+IF(DQ942="D",1,0)+IF(DW942="D",1,0)+IF(DZ942="D",1,0)+IF(EH942="D",1,0)</f>
        <v>0</v>
      </c>
      <c r="AY942" s="0" t="n">
        <f aca="false">COUNTIF(DU942:EH942, "&lt;&gt;")</f>
        <v>0</v>
      </c>
      <c r="AZ942" s="0" t="n">
        <f aca="false">IF(EH942&lt;&gt;"",1,0)</f>
        <v>0</v>
      </c>
      <c r="BB942" s="0" t="s">
        <v>152</v>
      </c>
    </row>
    <row r="943" customFormat="false" ht="13.8" hidden="true" customHeight="false" outlineLevel="0" collapsed="false">
      <c r="A943" s="0" t="s">
        <v>4633</v>
      </c>
      <c r="B943" s="0" t="n">
        <v>78</v>
      </c>
      <c r="C943" s="0" t="n">
        <v>484816</v>
      </c>
      <c r="D943" s="0" t="s">
        <v>4634</v>
      </c>
      <c r="E943" s="0" t="s">
        <v>551</v>
      </c>
      <c r="F943" s="0" t="str">
        <f aca="false">CONCATENATE(D943," ",LEFT(H943,4),"T=",AU943,"D=",AV943,"R=",AW943,"M=",AX943,"L=",AY943,"B=",AZ943)</f>
        <v>RAMSEY JRT=1D=0R=0M=0L=0B=0</v>
      </c>
      <c r="G943" s="0" t="s">
        <v>175</v>
      </c>
      <c r="H943" s="0" t="s">
        <v>314</v>
      </c>
      <c r="I943" s="0" t="s">
        <v>4635</v>
      </c>
      <c r="J943" s="0" t="s">
        <v>4636</v>
      </c>
      <c r="K943" s="0" t="s">
        <v>160</v>
      </c>
      <c r="M943" s="0" t="s">
        <v>4632</v>
      </c>
      <c r="N943" s="0" t="str">
        <f aca="false">RIGHT(M943,LEN(M943)-FIND(" ",M943))</f>
        <v>HOMEWOOD AVE SE</v>
      </c>
      <c r="P943" s="0" t="s">
        <v>145</v>
      </c>
      <c r="Q943" s="0" t="s">
        <v>146</v>
      </c>
      <c r="R943" s="0" t="n">
        <v>44484</v>
      </c>
      <c r="AD943" s="0" t="s">
        <v>147</v>
      </c>
      <c r="AE943" s="0" t="s">
        <v>148</v>
      </c>
      <c r="AF943" s="0" t="s">
        <v>149</v>
      </c>
      <c r="AH943" s="0" t="n">
        <v>14</v>
      </c>
      <c r="AI943" s="0" t="n">
        <v>11</v>
      </c>
      <c r="AN943" s="0" t="s">
        <v>145</v>
      </c>
      <c r="AO943" s="0" t="s">
        <v>150</v>
      </c>
      <c r="AP943" s="0" t="s">
        <v>151</v>
      </c>
      <c r="AQ943" s="0" t="n">
        <v>9</v>
      </c>
      <c r="AR943" s="0" t="n">
        <v>64</v>
      </c>
      <c r="AS943" s="0" t="n">
        <v>32</v>
      </c>
      <c r="AU943" s="0" t="n">
        <f aca="false">COUNTA($BA$575:$EH$575)</f>
        <v>1</v>
      </c>
      <c r="AV943" s="0" t="n">
        <f aca="false">COUNTIF($BA$575:$EH$575,"D")</f>
        <v>0</v>
      </c>
      <c r="AW943" s="0" t="n">
        <f aca="false">COUNTIF($BA$575:$EH$575,"R")</f>
        <v>0</v>
      </c>
      <c r="AX943" s="0" t="n">
        <f aca="false">IF(BN943="D",1,0)+IF(BO943="D",1,0)+IF(BT943="D",1,0)+IF(BU943="D",1,0)+IF(BW943="D",1,0)+IF(CC943="D",1,0)+IF(CD943="D",1,0)+IF(CE943="D",1,0)+IF(CF943="D",1,0)+IF(CL943="D",1,0)+IF(CM943="D",1,0)+IF(CQ943="D",1,0)+IF(CR943="D",1,0)+IF(CS943="D",1,0)+IF(CW943="D",1,0)+IF(CX943="D",1,0)+IF(DD943="D",1,0)+IF(DE943="D",1,0)+IF(DJ943="D",1,0)+IF(DK943="D",1,0)+IF(DO943="D",1,0)+IF(DP943="D",1,0)+IF(DQ943="D",1,0)+IF(DW943="D",1,0)+IF(DZ943="D",1,0)+IF(EH943="D",1,0)</f>
        <v>0</v>
      </c>
      <c r="AY943" s="0" t="n">
        <f aca="false">COUNTIF(DU943:EH943, "&lt;&gt;")</f>
        <v>0</v>
      </c>
      <c r="AZ943" s="0" t="n">
        <f aca="false">IF(EH943&lt;&gt;"",1,0)</f>
        <v>0</v>
      </c>
      <c r="BB943" s="0" t="s">
        <v>152</v>
      </c>
    </row>
    <row r="944" customFormat="false" ht="13.8" hidden="true" customHeight="false" outlineLevel="0" collapsed="false">
      <c r="A944" s="0" t="s">
        <v>4637</v>
      </c>
      <c r="B944" s="0" t="n">
        <v>78</v>
      </c>
      <c r="C944" s="0" t="n">
        <v>411727</v>
      </c>
      <c r="D944" s="0" t="s">
        <v>4638</v>
      </c>
      <c r="E944" s="0" t="s">
        <v>1335</v>
      </c>
      <c r="F944" s="0" t="str">
        <f aca="false">CONCATENATE(D944," ",LEFT(H944,4),"T=",AU944,"D=",AV944,"R=",AW944,"M=",AX944,"L=",AY944,"B=",AZ944)</f>
        <v>WORRELL T=7D=0R=0M=0L=0B=0</v>
      </c>
      <c r="G944" s="0" t="s">
        <v>4639</v>
      </c>
      <c r="I944" s="0" t="s">
        <v>997</v>
      </c>
      <c r="J944" s="0" t="s">
        <v>4640</v>
      </c>
      <c r="K944" s="0" t="s">
        <v>160</v>
      </c>
      <c r="M944" s="0" t="s">
        <v>4632</v>
      </c>
      <c r="N944" s="0" t="str">
        <f aca="false">RIGHT(M944,LEN(M944)-FIND(" ",M944))</f>
        <v>HOMEWOOD AVE SE</v>
      </c>
      <c r="P944" s="0" t="s">
        <v>145</v>
      </c>
      <c r="Q944" s="0" t="s">
        <v>146</v>
      </c>
      <c r="R944" s="0" t="n">
        <v>44484</v>
      </c>
      <c r="AD944" s="0" t="s">
        <v>147</v>
      </c>
      <c r="AE944" s="0" t="s">
        <v>148</v>
      </c>
      <c r="AF944" s="0" t="s">
        <v>149</v>
      </c>
      <c r="AH944" s="0" t="n">
        <v>14</v>
      </c>
      <c r="AI944" s="0" t="n">
        <v>11</v>
      </c>
      <c r="AN944" s="0" t="s">
        <v>145</v>
      </c>
      <c r="AO944" s="0" t="s">
        <v>150</v>
      </c>
      <c r="AP944" s="0" t="s">
        <v>151</v>
      </c>
      <c r="AQ944" s="0" t="n">
        <v>9</v>
      </c>
      <c r="AR944" s="0" t="n">
        <v>64</v>
      </c>
      <c r="AS944" s="0" t="n">
        <v>32</v>
      </c>
      <c r="AU944" s="0" t="n">
        <f aca="false">COUNTA($BA$1041:$EH$1041)</f>
        <v>7</v>
      </c>
      <c r="AV944" s="0" t="n">
        <f aca="false">COUNTIF($BA$1041:$EH$1041,"D")</f>
        <v>0</v>
      </c>
      <c r="AW944" s="0" t="n">
        <f aca="false">COUNTIF($BA$1041:$EH$1041,"R")</f>
        <v>0</v>
      </c>
      <c r="AX944" s="0" t="n">
        <f aca="false">IF(BN944="D",1,0)+IF(BO944="D",1,0)+IF(BT944="D",1,0)+IF(BU944="D",1,0)+IF(BW944="D",1,0)+IF(CC944="D",1,0)+IF(CD944="D",1,0)+IF(CE944="D",1,0)+IF(CF944="D",1,0)+IF(CL944="D",1,0)+IF(CM944="D",1,0)+IF(CQ944="D",1,0)+IF(CR944="D",1,0)+IF(CS944="D",1,0)+IF(CW944="D",1,0)+IF(CX944="D",1,0)+IF(DD944="D",1,0)+IF(DE944="D",1,0)+IF(DJ944="D",1,0)+IF(DK944="D",1,0)+IF(DO944="D",1,0)+IF(DP944="D",1,0)+IF(DQ944="D",1,0)+IF(DW944="D",1,0)+IF(DZ944="D",1,0)+IF(EH944="D",1,0)</f>
        <v>0</v>
      </c>
      <c r="AY944" s="0" t="n">
        <f aca="false">COUNTIF(DU944:EH944, "&lt;&gt;")</f>
        <v>0</v>
      </c>
      <c r="AZ944" s="0" t="n">
        <f aca="false">IF(EH944&lt;&gt;"",1,0)</f>
        <v>0</v>
      </c>
      <c r="BB944" s="0" t="s">
        <v>152</v>
      </c>
    </row>
    <row r="945" customFormat="false" ht="13.8" hidden="true" customHeight="false" outlineLevel="0" collapsed="false">
      <c r="A945" s="0" t="s">
        <v>4641</v>
      </c>
      <c r="B945" s="0" t="n">
        <v>78</v>
      </c>
      <c r="C945" s="0" t="n">
        <v>474037</v>
      </c>
      <c r="D945" s="0" t="s">
        <v>4642</v>
      </c>
      <c r="E945" s="0" t="s">
        <v>4643</v>
      </c>
      <c r="F945" s="0" t="str">
        <f aca="false">CONCATENATE(D945," ",LEFT(H945,4),"T=",AU945,"D=",AV945,"R=",AW945,"M=",AX945,"L=",AY945,"B=",AZ945)</f>
        <v>PAPASIN T=1D=0R=0M=0L=1B=0</v>
      </c>
      <c r="G945" s="0" t="s">
        <v>175</v>
      </c>
      <c r="I945" s="0" t="s">
        <v>4644</v>
      </c>
      <c r="J945" s="0" t="s">
        <v>3247</v>
      </c>
      <c r="K945" s="0" t="s">
        <v>160</v>
      </c>
      <c r="M945" s="0" t="s">
        <v>4645</v>
      </c>
      <c r="N945" s="0" t="str">
        <f aca="false">RIGHT(M945,LEN(M945)-FIND(" ",M945))</f>
        <v>HOMEWOOD AVE SE</v>
      </c>
      <c r="P945" s="0" t="s">
        <v>145</v>
      </c>
      <c r="Q945" s="0" t="s">
        <v>146</v>
      </c>
      <c r="R945" s="0" t="n">
        <v>44484</v>
      </c>
      <c r="AD945" s="0" t="s">
        <v>147</v>
      </c>
      <c r="AE945" s="0" t="s">
        <v>148</v>
      </c>
      <c r="AF945" s="0" t="s">
        <v>149</v>
      </c>
      <c r="AH945" s="0" t="n">
        <v>14</v>
      </c>
      <c r="AI945" s="0" t="n">
        <v>11</v>
      </c>
      <c r="AN945" s="0" t="s">
        <v>145</v>
      </c>
      <c r="AO945" s="0" t="s">
        <v>150</v>
      </c>
      <c r="AP945" s="0" t="s">
        <v>151</v>
      </c>
      <c r="AQ945" s="0" t="n">
        <v>9</v>
      </c>
      <c r="AR945" s="0" t="n">
        <v>64</v>
      </c>
      <c r="AS945" s="0" t="n">
        <v>32</v>
      </c>
      <c r="AU945" s="0" t="n">
        <f aca="false">COUNTA($BA$407:$EH$407)</f>
        <v>1</v>
      </c>
      <c r="AV945" s="0" t="n">
        <f aca="false">COUNTIF($BA$407:$EH$407,"D")</f>
        <v>0</v>
      </c>
      <c r="AW945" s="0" t="n">
        <f aca="false">COUNTIF($BA$407:$EH$407,"R")</f>
        <v>0</v>
      </c>
      <c r="AX945" s="0" t="n">
        <f aca="false">IF(BN945="D",1,0)+IF(BO945="D",1,0)+IF(BT945="D",1,0)+IF(BU945="D",1,0)+IF(BW945="D",1,0)+IF(CC945="D",1,0)+IF(CD945="D",1,0)+IF(CE945="D",1,0)+IF(CF945="D",1,0)+IF(CL945="D",1,0)+IF(CM945="D",1,0)+IF(CQ945="D",1,0)+IF(CR945="D",1,0)+IF(CS945="D",1,0)+IF(CW945="D",1,0)+IF(CX945="D",1,0)+IF(DD945="D",1,0)+IF(DE945="D",1,0)+IF(DJ945="D",1,0)+IF(DK945="D",1,0)+IF(DO945="D",1,0)+IF(DP945="D",1,0)+IF(DQ945="D",1,0)+IF(DW945="D",1,0)+IF(DZ945="D",1,0)+IF(EH945="D",1,0)</f>
        <v>0</v>
      </c>
      <c r="AY945" s="0" t="n">
        <f aca="false">COUNTIF(DU945:EH945, "&lt;&gt;")</f>
        <v>1</v>
      </c>
      <c r="AZ945" s="0" t="n">
        <f aca="false">IF(EH945&lt;&gt;"",1,0)</f>
        <v>0</v>
      </c>
      <c r="BB945" s="0" t="s">
        <v>152</v>
      </c>
      <c r="DN945" s="0" t="s">
        <v>153</v>
      </c>
      <c r="EF945" s="0" t="s">
        <v>153</v>
      </c>
    </row>
    <row r="946" customFormat="false" ht="13.8" hidden="true" customHeight="false" outlineLevel="0" collapsed="false">
      <c r="A946" s="0" t="s">
        <v>4646</v>
      </c>
      <c r="B946" s="0" t="n">
        <v>78</v>
      </c>
      <c r="C946" s="0" t="n">
        <v>280113</v>
      </c>
      <c r="D946" s="0" t="s">
        <v>4647</v>
      </c>
      <c r="E946" s="0" t="s">
        <v>4648</v>
      </c>
      <c r="F946" s="0" t="str">
        <f aca="false">CONCATENATE(D946," ",LEFT(H946,4),"T=",AU946,"D=",AV946,"R=",AW946,"M=",AX946,"L=",AY946,"B=",AZ946)</f>
        <v>ASKEW T=5D=0R=0M=1L=0B=0</v>
      </c>
      <c r="G946" s="0" t="s">
        <v>190</v>
      </c>
      <c r="I946" s="0" t="s">
        <v>4649</v>
      </c>
      <c r="J946" s="0" t="s">
        <v>4650</v>
      </c>
      <c r="K946" s="0" t="s">
        <v>160</v>
      </c>
      <c r="M946" s="0" t="s">
        <v>4651</v>
      </c>
      <c r="N946" s="0" t="str">
        <f aca="false">RIGHT(M946,LEN(M946)-FIND(" ",M946))</f>
        <v>HOMEWOOD AVE SE</v>
      </c>
      <c r="P946" s="0" t="s">
        <v>145</v>
      </c>
      <c r="Q946" s="0" t="s">
        <v>146</v>
      </c>
      <c r="R946" s="0" t="n">
        <v>44484</v>
      </c>
      <c r="AD946" s="0" t="s">
        <v>147</v>
      </c>
      <c r="AE946" s="0" t="s">
        <v>148</v>
      </c>
      <c r="AF946" s="0" t="s">
        <v>149</v>
      </c>
      <c r="AH946" s="0" t="n">
        <v>14</v>
      </c>
      <c r="AI946" s="0" t="n">
        <v>11</v>
      </c>
      <c r="AN946" s="0" t="s">
        <v>145</v>
      </c>
      <c r="AO946" s="0" t="s">
        <v>150</v>
      </c>
      <c r="AP946" s="0" t="s">
        <v>151</v>
      </c>
      <c r="AQ946" s="0" t="n">
        <v>9</v>
      </c>
      <c r="AR946" s="0" t="n">
        <v>64</v>
      </c>
      <c r="AS946" s="0" t="n">
        <v>32</v>
      </c>
      <c r="AU946" s="0" t="n">
        <f aca="false">COUNTA($BA$749:$EH$749)</f>
        <v>5</v>
      </c>
      <c r="AV946" s="0" t="n">
        <f aca="false">COUNTIF($BA$749:$EH$749,"D")</f>
        <v>0</v>
      </c>
      <c r="AW946" s="0" t="n">
        <f aca="false">COUNTIF($BA$749:$EH$749,"R")</f>
        <v>0</v>
      </c>
      <c r="AX946" s="0" t="n">
        <f aca="false">IF(BN946="D",1,0)+IF(BO946="D",1,0)+IF(BT946="D",1,0)+IF(BU946="D",1,0)+IF(BW946="D",1,0)+IF(CC946="D",1,0)+IF(CD946="D",1,0)+IF(CE946="D",1,0)+IF(CF946="D",1,0)+IF(CL946="D",1,0)+IF(CM946="D",1,0)+IF(CQ946="D",1,0)+IF(CR946="D",1,0)+IF(CS946="D",1,0)+IF(CW946="D",1,0)+IF(CX946="D",1,0)+IF(DD946="D",1,0)+IF(DE946="D",1,0)+IF(DJ946="D",1,0)+IF(DK946="D",1,0)+IF(DO946="D",1,0)+IF(DP946="D",1,0)+IF(DQ946="D",1,0)+IF(DW946="D",1,0)+IF(DZ946="D",1,0)+IF(EH946="D",1,0)</f>
        <v>1</v>
      </c>
      <c r="AY946" s="0" t="n">
        <f aca="false">COUNTIF(DU946:EH946, "&lt;&gt;")</f>
        <v>0</v>
      </c>
      <c r="AZ946" s="0" t="n">
        <f aca="false">IF(EH946&lt;&gt;"",1,0)</f>
        <v>0</v>
      </c>
      <c r="BB946" s="0" t="s">
        <v>152</v>
      </c>
      <c r="BH946" s="0" t="s">
        <v>153</v>
      </c>
      <c r="CA946" s="0" t="s">
        <v>153</v>
      </c>
      <c r="CP946" s="0" t="s">
        <v>153</v>
      </c>
      <c r="CQ946" s="0" t="s">
        <v>175</v>
      </c>
      <c r="DC946" s="0" t="s">
        <v>153</v>
      </c>
      <c r="DF946" s="0" t="s">
        <v>153</v>
      </c>
    </row>
    <row r="947" customFormat="false" ht="13.8" hidden="true" customHeight="false" outlineLevel="0" collapsed="false">
      <c r="A947" s="0" t="s">
        <v>4652</v>
      </c>
      <c r="B947" s="0" t="n">
        <v>78</v>
      </c>
      <c r="C947" s="0" t="n">
        <v>453655</v>
      </c>
      <c r="D947" s="0" t="s">
        <v>4647</v>
      </c>
      <c r="E947" s="0" t="s">
        <v>4653</v>
      </c>
      <c r="F947" s="0" t="str">
        <f aca="false">CONCATENATE(D947," ",LEFT(H947,4),"T=",AU947,"D=",AV947,"R=",AW947,"M=",AX947,"L=",AY947,"B=",AZ947)</f>
        <v>ASKEW T=43D=10R=0M=0L=0B=0</v>
      </c>
      <c r="G947" s="0" t="s">
        <v>4654</v>
      </c>
      <c r="I947" s="0" t="s">
        <v>4655</v>
      </c>
      <c r="J947" s="0" t="s">
        <v>2631</v>
      </c>
      <c r="K947" s="0" t="s">
        <v>143</v>
      </c>
      <c r="M947" s="0" t="s">
        <v>4651</v>
      </c>
      <c r="N947" s="0" t="str">
        <f aca="false">RIGHT(M947,LEN(M947)-FIND(" ",M947))</f>
        <v>HOMEWOOD AVE SE</v>
      </c>
      <c r="P947" s="0" t="s">
        <v>145</v>
      </c>
      <c r="Q947" s="0" t="s">
        <v>146</v>
      </c>
      <c r="R947" s="0" t="n">
        <v>44484</v>
      </c>
      <c r="AD947" s="0" t="s">
        <v>147</v>
      </c>
      <c r="AE947" s="0" t="s">
        <v>148</v>
      </c>
      <c r="AF947" s="0" t="s">
        <v>149</v>
      </c>
      <c r="AH947" s="0" t="n">
        <v>14</v>
      </c>
      <c r="AI947" s="0" t="n">
        <v>11</v>
      </c>
      <c r="AN947" s="0" t="s">
        <v>145</v>
      </c>
      <c r="AO947" s="0" t="s">
        <v>150</v>
      </c>
      <c r="AP947" s="0" t="s">
        <v>151</v>
      </c>
      <c r="AQ947" s="0" t="n">
        <v>9</v>
      </c>
      <c r="AR947" s="0" t="n">
        <v>64</v>
      </c>
      <c r="AS947" s="0" t="n">
        <v>32</v>
      </c>
      <c r="AU947" s="0" t="n">
        <f aca="false">COUNTA($BA$843:$EH$843)</f>
        <v>43</v>
      </c>
      <c r="AV947" s="0" t="n">
        <f aca="false">COUNTIF($BA$843:$EH$843,"D")</f>
        <v>10</v>
      </c>
      <c r="AW947" s="0" t="n">
        <f aca="false">COUNTIF($BA$843:$EH$843,"R")</f>
        <v>0</v>
      </c>
      <c r="AX947" s="0" t="n">
        <f aca="false">IF(BN947="D",1,0)+IF(BO947="D",1,0)+IF(BT947="D",1,0)+IF(BU947="D",1,0)+IF(BW947="D",1,0)+IF(CC947="D",1,0)+IF(CD947="D",1,0)+IF(CE947="D",1,0)+IF(CF947="D",1,0)+IF(CL947="D",1,0)+IF(CM947="D",1,0)+IF(CQ947="D",1,0)+IF(CR947="D",1,0)+IF(CS947="D",1,0)+IF(CW947="D",1,0)+IF(CX947="D",1,0)+IF(DD947="D",1,0)+IF(DE947="D",1,0)+IF(DJ947="D",1,0)+IF(DK947="D",1,0)+IF(DO947="D",1,0)+IF(DP947="D",1,0)+IF(DQ947="D",1,0)+IF(DW947="D",1,0)+IF(DZ947="D",1,0)+IF(EH947="D",1,0)</f>
        <v>0</v>
      </c>
      <c r="AY947" s="0" t="n">
        <f aca="false">COUNTIF(DU947:EH947, "&lt;&gt;")</f>
        <v>0</v>
      </c>
      <c r="AZ947" s="0" t="n">
        <f aca="false">IF(EH947&lt;&gt;"",1,0)</f>
        <v>0</v>
      </c>
      <c r="BB947" s="0" t="s">
        <v>152</v>
      </c>
    </row>
    <row r="948" customFormat="false" ht="13.8" hidden="true" customHeight="false" outlineLevel="0" collapsed="false">
      <c r="A948" s="0" t="s">
        <v>4656</v>
      </c>
      <c r="B948" s="0" t="n">
        <v>78</v>
      </c>
      <c r="C948" s="0" t="n">
        <v>469405</v>
      </c>
      <c r="D948" s="0" t="s">
        <v>4647</v>
      </c>
      <c r="E948" s="0" t="s">
        <v>4657</v>
      </c>
      <c r="F948" s="0" t="str">
        <f aca="false">CONCATENATE(D948," ",LEFT(H948,4),"T=",AU948,"D=",AV948,"R=",AW948,"M=",AX948,"L=",AY948,"B=",AZ948)</f>
        <v>ASKEW T=15D=1R=0M=0L=0B=0</v>
      </c>
      <c r="G948" s="0" t="s">
        <v>4658</v>
      </c>
      <c r="I948" s="0" t="s">
        <v>4659</v>
      </c>
      <c r="J948" s="0" t="s">
        <v>4233</v>
      </c>
      <c r="K948" s="0" t="s">
        <v>160</v>
      </c>
      <c r="M948" s="0" t="s">
        <v>4651</v>
      </c>
      <c r="N948" s="0" t="str">
        <f aca="false">RIGHT(M948,LEN(M948)-FIND(" ",M948))</f>
        <v>HOMEWOOD AVE SE</v>
      </c>
      <c r="P948" s="0" t="s">
        <v>145</v>
      </c>
      <c r="Q948" s="0" t="s">
        <v>146</v>
      </c>
      <c r="R948" s="0" t="n">
        <v>44484</v>
      </c>
      <c r="AD948" s="0" t="s">
        <v>147</v>
      </c>
      <c r="AE948" s="0" t="s">
        <v>148</v>
      </c>
      <c r="AF948" s="0" t="s">
        <v>149</v>
      </c>
      <c r="AH948" s="0" t="n">
        <v>14</v>
      </c>
      <c r="AI948" s="0" t="n">
        <v>11</v>
      </c>
      <c r="AN948" s="0" t="s">
        <v>145</v>
      </c>
      <c r="AO948" s="0" t="s">
        <v>150</v>
      </c>
      <c r="AP948" s="0" t="s">
        <v>151</v>
      </c>
      <c r="AQ948" s="0" t="n">
        <v>9</v>
      </c>
      <c r="AR948" s="0" t="n">
        <v>64</v>
      </c>
      <c r="AS948" s="0" t="n">
        <v>32</v>
      </c>
      <c r="AU948" s="0" t="n">
        <f aca="false">COUNTA($BA$1021:$EH$1021)</f>
        <v>15</v>
      </c>
      <c r="AV948" s="0" t="n">
        <f aca="false">COUNTIF($BA$1021:$EH$1021,"D")</f>
        <v>1</v>
      </c>
      <c r="AW948" s="0" t="n">
        <f aca="false">COUNTIF($BA$1021:$EH$1021,"R")</f>
        <v>0</v>
      </c>
      <c r="AX948" s="0" t="n">
        <f aca="false">IF(BN948="D",1,0)+IF(BO948="D",1,0)+IF(BT948="D",1,0)+IF(BU948="D",1,0)+IF(BW948="D",1,0)+IF(CC948="D",1,0)+IF(CD948="D",1,0)+IF(CE948="D",1,0)+IF(CF948="D",1,0)+IF(CL948="D",1,0)+IF(CM948="D",1,0)+IF(CQ948="D",1,0)+IF(CR948="D",1,0)+IF(CS948="D",1,0)+IF(CW948="D",1,0)+IF(CX948="D",1,0)+IF(DD948="D",1,0)+IF(DE948="D",1,0)+IF(DJ948="D",1,0)+IF(DK948="D",1,0)+IF(DO948="D",1,0)+IF(DP948="D",1,0)+IF(DQ948="D",1,0)+IF(DW948="D",1,0)+IF(DZ948="D",1,0)+IF(EH948="D",1,0)</f>
        <v>0</v>
      </c>
      <c r="AY948" s="0" t="n">
        <f aca="false">COUNTIF(DU948:EH948, "&lt;&gt;")</f>
        <v>0</v>
      </c>
      <c r="AZ948" s="0" t="n">
        <f aca="false">IF(EH948&lt;&gt;"",1,0)</f>
        <v>0</v>
      </c>
      <c r="BB948" s="0" t="s">
        <v>152</v>
      </c>
    </row>
    <row r="949" customFormat="false" ht="13.8" hidden="true" customHeight="false" outlineLevel="0" collapsed="false">
      <c r="A949" s="0" t="s">
        <v>4660</v>
      </c>
      <c r="B949" s="0" t="n">
        <v>78</v>
      </c>
      <c r="C949" s="0" t="n">
        <v>491748</v>
      </c>
      <c r="D949" s="0" t="s">
        <v>1661</v>
      </c>
      <c r="E949" s="0" t="s">
        <v>1208</v>
      </c>
      <c r="F949" s="0" t="str">
        <f aca="false">CONCATENATE(D949," ",LEFT(H949,4),"T=",AU949,"D=",AV949,"R=",AW949,"M=",AX949,"L=",AY949,"B=",AZ949)</f>
        <v>JACKSON T=6D=1R=0M=0L=1B=0</v>
      </c>
      <c r="G949" s="0" t="s">
        <v>1183</v>
      </c>
      <c r="I949" s="0" t="s">
        <v>4661</v>
      </c>
      <c r="J949" s="0" t="s">
        <v>404</v>
      </c>
      <c r="K949" s="0" t="s">
        <v>160</v>
      </c>
      <c r="M949" s="0" t="s">
        <v>4662</v>
      </c>
      <c r="N949" s="0" t="str">
        <f aca="false">RIGHT(M949,LEN(M949)-FIND(" ",M949))</f>
        <v>HOMEWOOD AVE SE</v>
      </c>
      <c r="P949" s="0" t="s">
        <v>145</v>
      </c>
      <c r="Q949" s="0" t="s">
        <v>146</v>
      </c>
      <c r="R949" s="0" t="n">
        <v>44484</v>
      </c>
      <c r="AD949" s="0" t="s">
        <v>147</v>
      </c>
      <c r="AE949" s="0" t="s">
        <v>148</v>
      </c>
      <c r="AF949" s="0" t="s">
        <v>149</v>
      </c>
      <c r="AH949" s="0" t="n">
        <v>14</v>
      </c>
      <c r="AI949" s="0" t="n">
        <v>11</v>
      </c>
      <c r="AN949" s="0" t="s">
        <v>145</v>
      </c>
      <c r="AO949" s="0" t="s">
        <v>150</v>
      </c>
      <c r="AP949" s="0" t="s">
        <v>151</v>
      </c>
      <c r="AQ949" s="0" t="n">
        <v>9</v>
      </c>
      <c r="AR949" s="0" t="n">
        <v>64</v>
      </c>
      <c r="AS949" s="0" t="n">
        <v>32</v>
      </c>
      <c r="AU949" s="0" t="n">
        <f aca="false">COUNTA($BA$507:$EH$507)</f>
        <v>6</v>
      </c>
      <c r="AV949" s="0" t="n">
        <f aca="false">COUNTIF($BA$507:$EH$507,"D")</f>
        <v>1</v>
      </c>
      <c r="AW949" s="0" t="n">
        <f aca="false">COUNTIF($BA$507:$EH$507,"R")</f>
        <v>0</v>
      </c>
      <c r="AX949" s="0" t="n">
        <f aca="false">IF(BN949="D",1,0)+IF(BO949="D",1,0)+IF(BT949="D",1,0)+IF(BU949="D",1,0)+IF(BW949="D",1,0)+IF(CC949="D",1,0)+IF(CD949="D",1,0)+IF(CE949="D",1,0)+IF(CF949="D",1,0)+IF(CL949="D",1,0)+IF(CM949="D",1,0)+IF(CQ949="D",1,0)+IF(CR949="D",1,0)+IF(CS949="D",1,0)+IF(CW949="D",1,0)+IF(CX949="D",1,0)+IF(DD949="D",1,0)+IF(DE949="D",1,0)+IF(DJ949="D",1,0)+IF(DK949="D",1,0)+IF(DO949="D",1,0)+IF(DP949="D",1,0)+IF(DQ949="D",1,0)+IF(DW949="D",1,0)+IF(DZ949="D",1,0)+IF(EH949="D",1,0)</f>
        <v>0</v>
      </c>
      <c r="AY949" s="0" t="n">
        <f aca="false">COUNTIF(DU949:EH949, "&lt;&gt;")</f>
        <v>1</v>
      </c>
      <c r="AZ949" s="0" t="n">
        <f aca="false">IF(EH949&lt;&gt;"",1,0)</f>
        <v>0</v>
      </c>
      <c r="BB949" s="0" t="s">
        <v>152</v>
      </c>
      <c r="BK949" s="0" t="s">
        <v>153</v>
      </c>
      <c r="BL949" s="0" t="s">
        <v>153</v>
      </c>
      <c r="CA949" s="0" t="s">
        <v>153</v>
      </c>
      <c r="CP949" s="0" t="s">
        <v>153</v>
      </c>
      <c r="CV949" s="0" t="s">
        <v>153</v>
      </c>
      <c r="DC949" s="0" t="s">
        <v>153</v>
      </c>
      <c r="DI949" s="0" t="s">
        <v>153</v>
      </c>
      <c r="DN949" s="0" t="s">
        <v>153</v>
      </c>
      <c r="EF949" s="0" t="s">
        <v>153</v>
      </c>
    </row>
    <row r="950" customFormat="false" ht="13.8" hidden="true" customHeight="false" outlineLevel="0" collapsed="false">
      <c r="A950" s="0" t="s">
        <v>4663</v>
      </c>
      <c r="B950" s="0" t="n">
        <v>78</v>
      </c>
      <c r="C950" s="0" t="n">
        <v>388547</v>
      </c>
      <c r="D950" s="0" t="s">
        <v>4664</v>
      </c>
      <c r="E950" s="0" t="s">
        <v>4665</v>
      </c>
      <c r="F950" s="0" t="str">
        <f aca="false">CONCATENATE(D950," ",LEFT(H950,4),"T=",AU950,"D=",AV950,"R=",AW950,"M=",AX950,"L=",AY950,"B=",AZ950)</f>
        <v>SHIPP T=2D=0R=0M=0L=0B=0</v>
      </c>
      <c r="G950" s="0" t="s">
        <v>175</v>
      </c>
      <c r="I950" s="0" t="s">
        <v>4666</v>
      </c>
      <c r="J950" s="0" t="s">
        <v>4667</v>
      </c>
      <c r="K950" s="0" t="s">
        <v>160</v>
      </c>
      <c r="M950" s="0" t="s">
        <v>4668</v>
      </c>
      <c r="N950" s="0" t="str">
        <f aca="false">RIGHT(M950,LEN(M950)-FIND(" ",M950))</f>
        <v>HOMEWOOD AVE SE</v>
      </c>
      <c r="P950" s="0" t="s">
        <v>145</v>
      </c>
      <c r="Q950" s="0" t="s">
        <v>146</v>
      </c>
      <c r="R950" s="0" t="n">
        <v>44484</v>
      </c>
      <c r="AD950" s="0" t="s">
        <v>147</v>
      </c>
      <c r="AE950" s="0" t="s">
        <v>148</v>
      </c>
      <c r="AF950" s="0" t="s">
        <v>149</v>
      </c>
      <c r="AH950" s="0" t="n">
        <v>14</v>
      </c>
      <c r="AI950" s="0" t="n">
        <v>11</v>
      </c>
      <c r="AN950" s="0" t="s">
        <v>145</v>
      </c>
      <c r="AO950" s="0" t="s">
        <v>150</v>
      </c>
      <c r="AP950" s="0" t="s">
        <v>151</v>
      </c>
      <c r="AQ950" s="0" t="n">
        <v>9</v>
      </c>
      <c r="AR950" s="0" t="n">
        <v>64</v>
      </c>
      <c r="AS950" s="0" t="n">
        <v>32</v>
      </c>
      <c r="AU950" s="0" t="n">
        <f aca="false">COUNTA($BA$302:$EH$302)</f>
        <v>2</v>
      </c>
      <c r="AV950" s="0" t="n">
        <f aca="false">COUNTIF($BA$302:$EH$302,"D")</f>
        <v>0</v>
      </c>
      <c r="AW950" s="0" t="n">
        <f aca="false">COUNTIF($BA$302:$EH$302,"R")</f>
        <v>0</v>
      </c>
      <c r="AX950" s="0" t="n">
        <f aca="false">IF(BN950="D",1,0)+IF(BO950="D",1,0)+IF(BT950="D",1,0)+IF(BU950="D",1,0)+IF(BW950="D",1,0)+IF(CC950="D",1,0)+IF(CD950="D",1,0)+IF(CE950="D",1,0)+IF(CF950="D",1,0)+IF(CL950="D",1,0)+IF(CM950="D",1,0)+IF(CQ950="D",1,0)+IF(CR950="D",1,0)+IF(CS950="D",1,0)+IF(CW950="D",1,0)+IF(CX950="D",1,0)+IF(DD950="D",1,0)+IF(DE950="D",1,0)+IF(DJ950="D",1,0)+IF(DK950="D",1,0)+IF(DO950="D",1,0)+IF(DP950="D",1,0)+IF(DQ950="D",1,0)+IF(DW950="D",1,0)+IF(DZ950="D",1,0)+IF(EH950="D",1,0)</f>
        <v>0</v>
      </c>
      <c r="AY950" s="0" t="n">
        <f aca="false">COUNTIF(DU950:EH950, "&lt;&gt;")</f>
        <v>0</v>
      </c>
      <c r="AZ950" s="0" t="n">
        <f aca="false">IF(EH950&lt;&gt;"",1,0)</f>
        <v>0</v>
      </c>
      <c r="BB950" s="0" t="s">
        <v>152</v>
      </c>
    </row>
    <row r="951" customFormat="false" ht="13.8" hidden="true" customHeight="false" outlineLevel="0" collapsed="false">
      <c r="A951" s="0" t="s">
        <v>4669</v>
      </c>
      <c r="B951" s="0" t="n">
        <v>78</v>
      </c>
      <c r="C951" s="0" t="n">
        <v>237521</v>
      </c>
      <c r="D951" s="0" t="s">
        <v>1764</v>
      </c>
      <c r="E951" s="0" t="s">
        <v>4670</v>
      </c>
      <c r="F951" s="0" t="str">
        <f aca="false">CONCATENATE(D951," ",LEFT(H951,4),"T=",AU951,"D=",AV951,"R=",AW951,"M=",AX951,"L=",AY951,"B=",AZ951)</f>
        <v>MOORE T=1D=0R=0M=0L=0B=0</v>
      </c>
      <c r="G951" s="0" t="s">
        <v>164</v>
      </c>
      <c r="I951" s="0" t="s">
        <v>4671</v>
      </c>
      <c r="J951" s="0" t="s">
        <v>4672</v>
      </c>
      <c r="K951" s="0" t="s">
        <v>143</v>
      </c>
      <c r="M951" s="0" t="s">
        <v>4668</v>
      </c>
      <c r="N951" s="0" t="str">
        <f aca="false">RIGHT(M951,LEN(M951)-FIND(" ",M951))</f>
        <v>HOMEWOOD AVE SE</v>
      </c>
      <c r="P951" s="0" t="s">
        <v>145</v>
      </c>
      <c r="Q951" s="0" t="s">
        <v>146</v>
      </c>
      <c r="R951" s="0" t="n">
        <v>44484</v>
      </c>
      <c r="AD951" s="0" t="s">
        <v>147</v>
      </c>
      <c r="AE951" s="0" t="s">
        <v>148</v>
      </c>
      <c r="AF951" s="0" t="s">
        <v>149</v>
      </c>
      <c r="AH951" s="0" t="n">
        <v>14</v>
      </c>
      <c r="AI951" s="0" t="n">
        <v>11</v>
      </c>
      <c r="AN951" s="0" t="s">
        <v>145</v>
      </c>
      <c r="AO951" s="0" t="s">
        <v>150</v>
      </c>
      <c r="AP951" s="0" t="s">
        <v>151</v>
      </c>
      <c r="AQ951" s="0" t="n">
        <v>9</v>
      </c>
      <c r="AR951" s="0" t="n">
        <v>64</v>
      </c>
      <c r="AS951" s="0" t="n">
        <v>32</v>
      </c>
      <c r="AU951" s="0" t="n">
        <f aca="false">COUNTA($BA$676:$EH$676)</f>
        <v>1</v>
      </c>
      <c r="AV951" s="0" t="n">
        <f aca="false">COUNTIF($BA$676:$EH$676,"D")</f>
        <v>0</v>
      </c>
      <c r="AW951" s="0" t="n">
        <f aca="false">COUNTIF($BA$676:$EH$676,"R")</f>
        <v>0</v>
      </c>
      <c r="AX951" s="0" t="n">
        <f aca="false">IF(BN951="D",1,0)+IF(BO951="D",1,0)+IF(BT951="D",1,0)+IF(BU951="D",1,0)+IF(BW951="D",1,0)+IF(CC951="D",1,0)+IF(CD951="D",1,0)+IF(CE951="D",1,0)+IF(CF951="D",1,0)+IF(CL951="D",1,0)+IF(CM951="D",1,0)+IF(CQ951="D",1,0)+IF(CR951="D",1,0)+IF(CS951="D",1,0)+IF(CW951="D",1,0)+IF(CX951="D",1,0)+IF(DD951="D",1,0)+IF(DE951="D",1,0)+IF(DJ951="D",1,0)+IF(DK951="D",1,0)+IF(DO951="D",1,0)+IF(DP951="D",1,0)+IF(DQ951="D",1,0)+IF(DW951="D",1,0)+IF(DZ951="D",1,0)+IF(EH951="D",1,0)</f>
        <v>0</v>
      </c>
      <c r="AY951" s="0" t="n">
        <f aca="false">COUNTIF(DU951:EH951, "&lt;&gt;")</f>
        <v>0</v>
      </c>
      <c r="AZ951" s="0" t="n">
        <f aca="false">IF(EH951&lt;&gt;"",1,0)</f>
        <v>0</v>
      </c>
      <c r="BB951" s="0" t="s">
        <v>152</v>
      </c>
      <c r="BL951" s="0" t="s">
        <v>153</v>
      </c>
      <c r="CA951" s="0" t="s">
        <v>153</v>
      </c>
    </row>
    <row r="952" customFormat="false" ht="13.8" hidden="true" customHeight="false" outlineLevel="0" collapsed="false">
      <c r="A952" s="0" t="s">
        <v>4673</v>
      </c>
      <c r="B952" s="0" t="n">
        <v>78</v>
      </c>
      <c r="C952" s="0" t="n">
        <v>428180</v>
      </c>
      <c r="D952" s="0" t="s">
        <v>4674</v>
      </c>
      <c r="E952" s="0" t="s">
        <v>248</v>
      </c>
      <c r="F952" s="0" t="str">
        <f aca="false">CONCATENATE(D952," ",LEFT(H952,4),"T=",AU952,"D=",AV952,"R=",AW952,"M=",AX952,"L=",AY952,"B=",AZ952)</f>
        <v>FIELDS T=9D=3R=0M=0L=0B=0</v>
      </c>
      <c r="G952" s="0" t="s">
        <v>770</v>
      </c>
      <c r="I952" s="0" t="s">
        <v>4675</v>
      </c>
      <c r="J952" s="0" t="s">
        <v>4676</v>
      </c>
      <c r="K952" s="0" t="s">
        <v>143</v>
      </c>
      <c r="M952" s="0" t="s">
        <v>4668</v>
      </c>
      <c r="N952" s="0" t="str">
        <f aca="false">RIGHT(M952,LEN(M952)-FIND(" ",M952))</f>
        <v>HOMEWOOD AVE SE</v>
      </c>
      <c r="P952" s="0" t="s">
        <v>145</v>
      </c>
      <c r="Q952" s="0" t="s">
        <v>146</v>
      </c>
      <c r="R952" s="0" t="n">
        <v>44484</v>
      </c>
      <c r="AD952" s="0" t="s">
        <v>147</v>
      </c>
      <c r="AE952" s="0" t="s">
        <v>148</v>
      </c>
      <c r="AF952" s="0" t="s">
        <v>149</v>
      </c>
      <c r="AH952" s="0" t="n">
        <v>14</v>
      </c>
      <c r="AI952" s="0" t="n">
        <v>11</v>
      </c>
      <c r="AN952" s="0" t="s">
        <v>145</v>
      </c>
      <c r="AO952" s="0" t="s">
        <v>150</v>
      </c>
      <c r="AP952" s="0" t="s">
        <v>151</v>
      </c>
      <c r="AQ952" s="0" t="n">
        <v>9</v>
      </c>
      <c r="AR952" s="0" t="n">
        <v>64</v>
      </c>
      <c r="AS952" s="0" t="n">
        <v>32</v>
      </c>
      <c r="AU952" s="0" t="n">
        <f aca="false">COUNTA($BA$798:$EH$798)</f>
        <v>9</v>
      </c>
      <c r="AV952" s="0" t="n">
        <f aca="false">COUNTIF($BA$798:$EH$798,"D")</f>
        <v>3</v>
      </c>
      <c r="AW952" s="0" t="n">
        <f aca="false">COUNTIF($BA$798:$EH$798,"R")</f>
        <v>0</v>
      </c>
      <c r="AX952" s="0" t="n">
        <f aca="false">IF(BN952="D",1,0)+IF(BO952="D",1,0)+IF(BT952="D",1,0)+IF(BU952="D",1,0)+IF(BW952="D",1,0)+IF(CC952="D",1,0)+IF(CD952="D",1,0)+IF(CE952="D",1,0)+IF(CF952="D",1,0)+IF(CL952="D",1,0)+IF(CM952="D",1,0)+IF(CQ952="D",1,0)+IF(CR952="D",1,0)+IF(CS952="D",1,0)+IF(CW952="D",1,0)+IF(CX952="D",1,0)+IF(DD952="D",1,0)+IF(DE952="D",1,0)+IF(DJ952="D",1,0)+IF(DK952="D",1,0)+IF(DO952="D",1,0)+IF(DP952="D",1,0)+IF(DQ952="D",1,0)+IF(DW952="D",1,0)+IF(DZ952="D",1,0)+IF(EH952="D",1,0)</f>
        <v>0</v>
      </c>
      <c r="AY952" s="0" t="n">
        <f aca="false">COUNTIF(DU952:EH952, "&lt;&gt;")</f>
        <v>0</v>
      </c>
      <c r="AZ952" s="0" t="n">
        <f aca="false">IF(EH952&lt;&gt;"",1,0)</f>
        <v>0</v>
      </c>
      <c r="BB952" s="0" t="s">
        <v>152</v>
      </c>
    </row>
    <row r="953" customFormat="false" ht="13.8" hidden="true" customHeight="false" outlineLevel="0" collapsed="false">
      <c r="A953" s="0" t="s">
        <v>4677</v>
      </c>
      <c r="B953" s="0" t="n">
        <v>78</v>
      </c>
      <c r="C953" s="0" t="n">
        <v>408030</v>
      </c>
      <c r="D953" s="0" t="s">
        <v>4678</v>
      </c>
      <c r="E953" s="0" t="s">
        <v>4679</v>
      </c>
      <c r="F953" s="0" t="str">
        <f aca="false">CONCATENATE(D953," ",LEFT(H953,4),"T=",AU953,"D=",AV953,"R=",AW953,"M=",AX953,"L=",AY953,"B=",AZ953)</f>
        <v>CREAN T=11D=1R=0M=0L=0B=0</v>
      </c>
      <c r="G953" s="0" t="s">
        <v>362</v>
      </c>
      <c r="I953" s="0" t="s">
        <v>4680</v>
      </c>
      <c r="J953" s="0" t="s">
        <v>4681</v>
      </c>
      <c r="K953" s="0" t="s">
        <v>143</v>
      </c>
      <c r="M953" s="0" t="s">
        <v>4682</v>
      </c>
      <c r="N953" s="0" t="str">
        <f aca="false">RIGHT(M953,LEN(M953)-FIND(" ",M953))</f>
        <v>HOMEWOOD AVE SE</v>
      </c>
      <c r="P953" s="0" t="s">
        <v>145</v>
      </c>
      <c r="Q953" s="0" t="s">
        <v>146</v>
      </c>
      <c r="R953" s="0" t="n">
        <v>44484</v>
      </c>
      <c r="AD953" s="0" t="s">
        <v>147</v>
      </c>
      <c r="AE953" s="0" t="s">
        <v>148</v>
      </c>
      <c r="AF953" s="0" t="s">
        <v>149</v>
      </c>
      <c r="AH953" s="0" t="n">
        <v>14</v>
      </c>
      <c r="AI953" s="0" t="n">
        <v>11</v>
      </c>
      <c r="AN953" s="0" t="s">
        <v>145</v>
      </c>
      <c r="AO953" s="0" t="s">
        <v>150</v>
      </c>
      <c r="AP953" s="0" t="s">
        <v>151</v>
      </c>
      <c r="AQ953" s="0" t="n">
        <v>9</v>
      </c>
      <c r="AR953" s="0" t="n">
        <v>64</v>
      </c>
      <c r="AS953" s="0" t="n">
        <v>32</v>
      </c>
      <c r="AU953" s="0" t="n">
        <f aca="false">COUNTA($BA$741:$EH$741)</f>
        <v>11</v>
      </c>
      <c r="AV953" s="0" t="n">
        <f aca="false">COUNTIF($BA$741:$EH$741,"D")</f>
        <v>1</v>
      </c>
      <c r="AW953" s="0" t="n">
        <f aca="false">COUNTIF($BA$741:$EH$741,"R")</f>
        <v>0</v>
      </c>
      <c r="AX953" s="0" t="n">
        <f aca="false">IF(BN953="D",1,0)+IF(BO953="D",1,0)+IF(BT953="D",1,0)+IF(BU953="D",1,0)+IF(BW953="D",1,0)+IF(CC953="D",1,0)+IF(CD953="D",1,0)+IF(CE953="D",1,0)+IF(CF953="D",1,0)+IF(CL953="D",1,0)+IF(CM953="D",1,0)+IF(CQ953="D",1,0)+IF(CR953="D",1,0)+IF(CS953="D",1,0)+IF(CW953="D",1,0)+IF(CX953="D",1,0)+IF(DD953="D",1,0)+IF(DE953="D",1,0)+IF(DJ953="D",1,0)+IF(DK953="D",1,0)+IF(DO953="D",1,0)+IF(DP953="D",1,0)+IF(DQ953="D",1,0)+IF(DW953="D",1,0)+IF(DZ953="D",1,0)+IF(EH953="D",1,0)</f>
        <v>0</v>
      </c>
      <c r="AY953" s="0" t="n">
        <f aca="false">COUNTIF(DU953:EH953, "&lt;&gt;")</f>
        <v>0</v>
      </c>
      <c r="AZ953" s="0" t="n">
        <f aca="false">IF(EH953&lt;&gt;"",1,0)</f>
        <v>0</v>
      </c>
      <c r="BB953" s="0" t="s">
        <v>152</v>
      </c>
    </row>
    <row r="954" customFormat="false" ht="13.8" hidden="true" customHeight="false" outlineLevel="0" collapsed="false">
      <c r="A954" s="0" t="s">
        <v>4683</v>
      </c>
      <c r="B954" s="0" t="n">
        <v>78</v>
      </c>
      <c r="C954" s="0" t="n">
        <v>448005</v>
      </c>
      <c r="D954" s="0" t="s">
        <v>4684</v>
      </c>
      <c r="E954" s="0" t="s">
        <v>237</v>
      </c>
      <c r="F954" s="0" t="str">
        <f aca="false">CONCATENATE(D954," ",LEFT(H954,4),"T=",AU954,"D=",AV954,"R=",AW954,"M=",AX954,"L=",AY954,"B=",AZ954)</f>
        <v>MCTHENY T=1D=0R=0M=0L=0B=0</v>
      </c>
      <c r="I954" s="0" t="s">
        <v>4685</v>
      </c>
      <c r="J954" s="0" t="s">
        <v>4686</v>
      </c>
      <c r="K954" s="0" t="s">
        <v>143</v>
      </c>
      <c r="M954" s="0" t="s">
        <v>4687</v>
      </c>
      <c r="N954" s="0" t="str">
        <f aca="false">RIGHT(M954,LEN(M954)-FIND(" ",M954))</f>
        <v>HOMEWOOD AVE SE</v>
      </c>
      <c r="P954" s="0" t="s">
        <v>145</v>
      </c>
      <c r="Q954" s="0" t="s">
        <v>146</v>
      </c>
      <c r="R954" s="0" t="n">
        <v>44484</v>
      </c>
      <c r="AD954" s="0" t="s">
        <v>147</v>
      </c>
      <c r="AE954" s="0" t="s">
        <v>148</v>
      </c>
      <c r="AF954" s="0" t="s">
        <v>149</v>
      </c>
      <c r="AH954" s="0" t="n">
        <v>14</v>
      </c>
      <c r="AI954" s="0" t="n">
        <v>11</v>
      </c>
      <c r="AN954" s="0" t="s">
        <v>145</v>
      </c>
      <c r="AO954" s="0" t="s">
        <v>150</v>
      </c>
      <c r="AP954" s="0" t="s">
        <v>151</v>
      </c>
      <c r="AQ954" s="0" t="n">
        <v>9</v>
      </c>
      <c r="AR954" s="0" t="n">
        <v>64</v>
      </c>
      <c r="AS954" s="0" t="n">
        <v>32</v>
      </c>
      <c r="AU954" s="0" t="n">
        <f aca="false">COUNTA($BA$24:$EH$24)</f>
        <v>1</v>
      </c>
      <c r="AV954" s="0" t="n">
        <f aca="false">COUNTIF($BA$24:$EH$24,"D")</f>
        <v>0</v>
      </c>
      <c r="AW954" s="0" t="n">
        <f aca="false">COUNTIF($BA$24:$EH$24,"R")</f>
        <v>0</v>
      </c>
      <c r="AX954" s="0" t="n">
        <f aca="false">IF(BN954="D",1,0)+IF(BO954="D",1,0)+IF(BT954="D",1,0)+IF(BU954="D",1,0)+IF(BW954="D",1,0)+IF(CC954="D",1,0)+IF(CD954="D",1,0)+IF(CE954="D",1,0)+IF(CF954="D",1,0)+IF(CL954="D",1,0)+IF(CM954="D",1,0)+IF(CQ954="D",1,0)+IF(CR954="D",1,0)+IF(CS954="D",1,0)+IF(CW954="D",1,0)+IF(CX954="D",1,0)+IF(DD954="D",1,0)+IF(DE954="D",1,0)+IF(DJ954="D",1,0)+IF(DK954="D",1,0)+IF(DO954="D",1,0)+IF(DP954="D",1,0)+IF(DQ954="D",1,0)+IF(DW954="D",1,0)+IF(DZ954="D",1,0)+IF(EH954="D",1,0)</f>
        <v>0</v>
      </c>
      <c r="AY954" s="0" t="n">
        <f aca="false">COUNTIF(DU954:EH954, "&lt;&gt;")</f>
        <v>0</v>
      </c>
      <c r="AZ954" s="0" t="n">
        <f aca="false">IF(EH954&lt;&gt;"",1,0)</f>
        <v>0</v>
      </c>
      <c r="BB954" s="0" t="s">
        <v>152</v>
      </c>
      <c r="DN954" s="0" t="s">
        <v>153</v>
      </c>
    </row>
    <row r="955" customFormat="false" ht="13.8" hidden="true" customHeight="false" outlineLevel="0" collapsed="false">
      <c r="A955" s="0" t="s">
        <v>4688</v>
      </c>
      <c r="B955" s="0" t="n">
        <v>78</v>
      </c>
      <c r="C955" s="0" t="n">
        <v>484363</v>
      </c>
      <c r="D955" s="0" t="s">
        <v>4684</v>
      </c>
      <c r="E955" s="0" t="s">
        <v>1229</v>
      </c>
      <c r="F955" s="0" t="str">
        <f aca="false">CONCATENATE(D955," ",LEFT(H955,4),"T=",AU955,"D=",AV955,"R=",AW955,"M=",AX955,"L=",AY955,"B=",AZ955)</f>
        <v>MCTHENY T=1D=0R=0M=0L=1B=0</v>
      </c>
      <c r="G955" s="0" t="s">
        <v>1710</v>
      </c>
      <c r="I955" s="0" t="s">
        <v>2703</v>
      </c>
      <c r="J955" s="0" t="s">
        <v>4689</v>
      </c>
      <c r="K955" s="0" t="s">
        <v>160</v>
      </c>
      <c r="M955" s="0" t="s">
        <v>4687</v>
      </c>
      <c r="N955" s="0" t="str">
        <f aca="false">RIGHT(M955,LEN(M955)-FIND(" ",M955))</f>
        <v>HOMEWOOD AVE SE</v>
      </c>
      <c r="P955" s="0" t="s">
        <v>145</v>
      </c>
      <c r="Q955" s="0" t="s">
        <v>146</v>
      </c>
      <c r="R955" s="0" t="n">
        <v>44484</v>
      </c>
      <c r="AD955" s="0" t="s">
        <v>147</v>
      </c>
      <c r="AE955" s="0" t="s">
        <v>148</v>
      </c>
      <c r="AF955" s="0" t="s">
        <v>149</v>
      </c>
      <c r="AH955" s="0" t="n">
        <v>14</v>
      </c>
      <c r="AI955" s="0" t="n">
        <v>11</v>
      </c>
      <c r="AN955" s="0" t="s">
        <v>145</v>
      </c>
      <c r="AO955" s="0" t="s">
        <v>150</v>
      </c>
      <c r="AP955" s="0" t="s">
        <v>151</v>
      </c>
      <c r="AQ955" s="0" t="n">
        <v>9</v>
      </c>
      <c r="AR955" s="0" t="n">
        <v>64</v>
      </c>
      <c r="AS955" s="0" t="n">
        <v>32</v>
      </c>
      <c r="AU955" s="0" t="n">
        <f aca="false">COUNTA($BA$292:$EH$292)</f>
        <v>1</v>
      </c>
      <c r="AV955" s="0" t="n">
        <f aca="false">COUNTIF($BA$292:$EH$292,"D")</f>
        <v>0</v>
      </c>
      <c r="AW955" s="0" t="n">
        <f aca="false">COUNTIF($BA$292:$EH$292,"R")</f>
        <v>0</v>
      </c>
      <c r="AX955" s="0" t="n">
        <f aca="false">IF(BN955="D",1,0)+IF(BO955="D",1,0)+IF(BT955="D",1,0)+IF(BU955="D",1,0)+IF(BW955="D",1,0)+IF(CC955="D",1,0)+IF(CD955="D",1,0)+IF(CE955="D",1,0)+IF(CF955="D",1,0)+IF(CL955="D",1,0)+IF(CM955="D",1,0)+IF(CQ955="D",1,0)+IF(CR955="D",1,0)+IF(CS955="D",1,0)+IF(CW955="D",1,0)+IF(CX955="D",1,0)+IF(DD955="D",1,0)+IF(DE955="D",1,0)+IF(DJ955="D",1,0)+IF(DK955="D",1,0)+IF(DO955="D",1,0)+IF(DP955="D",1,0)+IF(DQ955="D",1,0)+IF(DW955="D",1,0)+IF(DZ955="D",1,0)+IF(EH955="D",1,0)</f>
        <v>0</v>
      </c>
      <c r="AY955" s="0" t="n">
        <f aca="false">COUNTIF(DU955:EH955, "&lt;&gt;")</f>
        <v>1</v>
      </c>
      <c r="AZ955" s="0" t="n">
        <f aca="false">IF(EH955&lt;&gt;"",1,0)</f>
        <v>0</v>
      </c>
      <c r="BB955" s="0" t="s">
        <v>152</v>
      </c>
      <c r="EF955" s="0" t="s">
        <v>153</v>
      </c>
    </row>
    <row r="956" customFormat="false" ht="13.8" hidden="true" customHeight="false" outlineLevel="0" collapsed="false">
      <c r="A956" s="0" t="s">
        <v>4690</v>
      </c>
      <c r="B956" s="0" t="n">
        <v>78</v>
      </c>
      <c r="C956" s="0" t="n">
        <v>411544</v>
      </c>
      <c r="D956" s="0" t="s">
        <v>4691</v>
      </c>
      <c r="E956" s="0" t="s">
        <v>170</v>
      </c>
      <c r="F956" s="0" t="str">
        <f aca="false">CONCATENATE(D956," ",LEFT(H956,4),"T=",AU956,"D=",AV956,"R=",AW956,"M=",AX956,"L=",AY956,"B=",AZ956)</f>
        <v>GOMBOS T=16D=4R=2M=0L=1B=0</v>
      </c>
      <c r="G956" s="0" t="s">
        <v>195</v>
      </c>
      <c r="I956" s="0" t="s">
        <v>4692</v>
      </c>
      <c r="J956" s="0" t="s">
        <v>478</v>
      </c>
      <c r="K956" s="0" t="s">
        <v>160</v>
      </c>
      <c r="M956" s="0" t="s">
        <v>4693</v>
      </c>
      <c r="N956" s="0" t="str">
        <f aca="false">RIGHT(M956,LEN(M956)-FIND(" ",M956))</f>
        <v>HOMEWOOD AVE SE</v>
      </c>
      <c r="P956" s="0" t="s">
        <v>145</v>
      </c>
      <c r="Q956" s="0" t="s">
        <v>146</v>
      </c>
      <c r="R956" s="0" t="n">
        <v>44484</v>
      </c>
      <c r="AD956" s="0" t="s">
        <v>147</v>
      </c>
      <c r="AE956" s="0" t="s">
        <v>148</v>
      </c>
      <c r="AF956" s="0" t="s">
        <v>149</v>
      </c>
      <c r="AH956" s="0" t="n">
        <v>14</v>
      </c>
      <c r="AI956" s="0" t="n">
        <v>11</v>
      </c>
      <c r="AN956" s="0" t="s">
        <v>145</v>
      </c>
      <c r="AO956" s="0" t="s">
        <v>150</v>
      </c>
      <c r="AP956" s="0" t="s">
        <v>151</v>
      </c>
      <c r="AQ956" s="0" t="n">
        <v>9</v>
      </c>
      <c r="AR956" s="0" t="n">
        <v>64</v>
      </c>
      <c r="AS956" s="0" t="n">
        <v>32</v>
      </c>
      <c r="AU956" s="0" t="n">
        <f aca="false">COUNTA($BA$752:$EH$752)</f>
        <v>16</v>
      </c>
      <c r="AV956" s="0" t="n">
        <f aca="false">COUNTIF($BA$752:$EH$752,"D")</f>
        <v>4</v>
      </c>
      <c r="AW956" s="0" t="n">
        <f aca="false">COUNTIF($BA$752:$EH$752,"R")</f>
        <v>2</v>
      </c>
      <c r="AX956" s="0" t="n">
        <f aca="false">IF(BN956="D",1,0)+IF(BO956="D",1,0)+IF(BT956="D",1,0)+IF(BU956="D",1,0)+IF(BW956="D",1,0)+IF(CC956="D",1,0)+IF(CD956="D",1,0)+IF(CE956="D",1,0)+IF(CF956="D",1,0)+IF(CL956="D",1,0)+IF(CM956="D",1,0)+IF(CQ956="D",1,0)+IF(CR956="D",1,0)+IF(CS956="D",1,0)+IF(CW956="D",1,0)+IF(CX956="D",1,0)+IF(DD956="D",1,0)+IF(DE956="D",1,0)+IF(DJ956="D",1,0)+IF(DK956="D",1,0)+IF(DO956="D",1,0)+IF(DP956="D",1,0)+IF(DQ956="D",1,0)+IF(DW956="D",1,0)+IF(DZ956="D",1,0)+IF(EH956="D",1,0)</f>
        <v>0</v>
      </c>
      <c r="AY956" s="0" t="n">
        <f aca="false">COUNTIF(DU956:EH956, "&lt;&gt;")</f>
        <v>1</v>
      </c>
      <c r="AZ956" s="0" t="n">
        <f aca="false">IF(EH956&lt;&gt;"",1,0)</f>
        <v>0</v>
      </c>
      <c r="BB956" s="0" t="s">
        <v>152</v>
      </c>
      <c r="DN956" s="0" t="s">
        <v>153</v>
      </c>
      <c r="EF956" s="0" t="s">
        <v>153</v>
      </c>
    </row>
    <row r="957" customFormat="false" ht="13.8" hidden="true" customHeight="false" outlineLevel="0" collapsed="false">
      <c r="A957" s="0" t="s">
        <v>4694</v>
      </c>
      <c r="B957" s="0" t="n">
        <v>78</v>
      </c>
      <c r="C957" s="0" t="n">
        <v>392173</v>
      </c>
      <c r="D957" s="0" t="s">
        <v>4695</v>
      </c>
      <c r="E957" s="0" t="s">
        <v>3857</v>
      </c>
      <c r="F957" s="0" t="str">
        <f aca="false">CONCATENATE(D957," ",LEFT(H957,4),"T=",AU957,"D=",AV957,"R=",AW957,"M=",AX957,"L=",AY957,"B=",AZ957)</f>
        <v>CATING T=11D=2R=0M=0L=0B=0</v>
      </c>
      <c r="G957" s="0" t="s">
        <v>713</v>
      </c>
      <c r="I957" s="0" t="s">
        <v>4696</v>
      </c>
      <c r="J957" s="0" t="s">
        <v>693</v>
      </c>
      <c r="K957" s="0" t="s">
        <v>143</v>
      </c>
      <c r="M957" s="0" t="s">
        <v>4697</v>
      </c>
      <c r="N957" s="0" t="str">
        <f aca="false">RIGHT(M957,LEN(M957)-FIND(" ",M957))</f>
        <v>HOMEWOOD AVE SE</v>
      </c>
      <c r="P957" s="0" t="s">
        <v>145</v>
      </c>
      <c r="Q957" s="0" t="s">
        <v>146</v>
      </c>
      <c r="R957" s="0" t="n">
        <v>44484</v>
      </c>
      <c r="AD957" s="0" t="s">
        <v>147</v>
      </c>
      <c r="AE957" s="0" t="s">
        <v>148</v>
      </c>
      <c r="AF957" s="0" t="s">
        <v>149</v>
      </c>
      <c r="AH957" s="0" t="n">
        <v>14</v>
      </c>
      <c r="AI957" s="0" t="n">
        <v>11</v>
      </c>
      <c r="AN957" s="0" t="s">
        <v>145</v>
      </c>
      <c r="AO957" s="0" t="s">
        <v>150</v>
      </c>
      <c r="AP957" s="0" t="s">
        <v>151</v>
      </c>
      <c r="AQ957" s="0" t="n">
        <v>9</v>
      </c>
      <c r="AR957" s="0" t="n">
        <v>64</v>
      </c>
      <c r="AS957" s="0" t="n">
        <v>32</v>
      </c>
      <c r="AU957" s="0" t="n">
        <f aca="false">COUNTA($BA$451:$EH$451)</f>
        <v>11</v>
      </c>
      <c r="AV957" s="0" t="n">
        <f aca="false">COUNTIF($BA$451:$EH$451,"D")</f>
        <v>2</v>
      </c>
      <c r="AW957" s="0" t="n">
        <f aca="false">COUNTIF($BA$451:$EH$451,"R")</f>
        <v>0</v>
      </c>
      <c r="AX957" s="0" t="n">
        <f aca="false">IF(BN957="D",1,0)+IF(BO957="D",1,0)+IF(BT957="D",1,0)+IF(BU957="D",1,0)+IF(BW957="D",1,0)+IF(CC957="D",1,0)+IF(CD957="D",1,0)+IF(CE957="D",1,0)+IF(CF957="D",1,0)+IF(CL957="D",1,0)+IF(CM957="D",1,0)+IF(CQ957="D",1,0)+IF(CR957="D",1,0)+IF(CS957="D",1,0)+IF(CW957="D",1,0)+IF(CX957="D",1,0)+IF(DD957="D",1,0)+IF(DE957="D",1,0)+IF(DJ957="D",1,0)+IF(DK957="D",1,0)+IF(DO957="D",1,0)+IF(DP957="D",1,0)+IF(DQ957="D",1,0)+IF(DW957="D",1,0)+IF(DZ957="D",1,0)+IF(EH957="D",1,0)</f>
        <v>0</v>
      </c>
      <c r="AY957" s="0" t="n">
        <f aca="false">COUNTIF(DU957:EH957, "&lt;&gt;")</f>
        <v>0</v>
      </c>
      <c r="AZ957" s="0" t="n">
        <f aca="false">IF(EH957&lt;&gt;"",1,0)</f>
        <v>0</v>
      </c>
      <c r="BB957" s="0" t="s">
        <v>152</v>
      </c>
      <c r="BC957" s="0" t="s">
        <v>153</v>
      </c>
      <c r="BD957" s="0" t="s">
        <v>153</v>
      </c>
      <c r="BL957" s="0" t="s">
        <v>153</v>
      </c>
      <c r="CA957" s="0" t="s">
        <v>153</v>
      </c>
      <c r="CP957" s="0" t="s">
        <v>153</v>
      </c>
      <c r="DC957" s="0" t="s">
        <v>153</v>
      </c>
    </row>
    <row r="958" customFormat="false" ht="13.8" hidden="true" customHeight="false" outlineLevel="0" collapsed="false">
      <c r="A958" s="0" t="s">
        <v>4698</v>
      </c>
      <c r="B958" s="0" t="n">
        <v>78</v>
      </c>
      <c r="C958" s="0" t="n">
        <v>136366</v>
      </c>
      <c r="D958" s="0" t="s">
        <v>4695</v>
      </c>
      <c r="E958" s="0" t="s">
        <v>3017</v>
      </c>
      <c r="F958" s="0" t="str">
        <f aca="false">CONCATENATE(D958," ",LEFT(H958,4),"T=",AU958,"D=",AV958,"R=",AW958,"M=",AX958,"L=",AY958,"B=",AZ958)</f>
        <v>CATING T=32D=7R=0M=0L=0B=0</v>
      </c>
      <c r="G958" s="0" t="s">
        <v>1082</v>
      </c>
      <c r="I958" s="0" t="s">
        <v>4699</v>
      </c>
      <c r="J958" s="0" t="s">
        <v>693</v>
      </c>
      <c r="K958" s="0" t="s">
        <v>143</v>
      </c>
      <c r="M958" s="0" t="s">
        <v>4697</v>
      </c>
      <c r="N958" s="0" t="str">
        <f aca="false">RIGHT(M958,LEN(M958)-FIND(" ",M958))</f>
        <v>HOMEWOOD AVE SE</v>
      </c>
      <c r="P958" s="0" t="s">
        <v>145</v>
      </c>
      <c r="Q958" s="0" t="s">
        <v>146</v>
      </c>
      <c r="R958" s="0" t="n">
        <v>44484</v>
      </c>
      <c r="AD958" s="0" t="s">
        <v>147</v>
      </c>
      <c r="AE958" s="0" t="s">
        <v>148</v>
      </c>
      <c r="AF958" s="0" t="s">
        <v>149</v>
      </c>
      <c r="AH958" s="0" t="n">
        <v>14</v>
      </c>
      <c r="AI958" s="0" t="n">
        <v>11</v>
      </c>
      <c r="AN958" s="0" t="s">
        <v>145</v>
      </c>
      <c r="AO958" s="0" t="s">
        <v>150</v>
      </c>
      <c r="AP958" s="0" t="s">
        <v>151</v>
      </c>
      <c r="AQ958" s="0" t="n">
        <v>9</v>
      </c>
      <c r="AR958" s="0" t="n">
        <v>64</v>
      </c>
      <c r="AS958" s="0" t="n">
        <v>32</v>
      </c>
      <c r="AU958" s="0" t="n">
        <f aca="false">COUNTA($BA$452:$EH$452)</f>
        <v>32</v>
      </c>
      <c r="AV958" s="0" t="n">
        <f aca="false">COUNTIF($BA$452:$EH$452,"D")</f>
        <v>7</v>
      </c>
      <c r="AW958" s="0" t="n">
        <f aca="false">COUNTIF($BA$452:$EH$452,"R")</f>
        <v>0</v>
      </c>
      <c r="AX958" s="0" t="n">
        <f aca="false">IF(BN958="D",1,0)+IF(BO958="D",1,0)+IF(BT958="D",1,0)+IF(BU958="D",1,0)+IF(BW958="D",1,0)+IF(CC958="D",1,0)+IF(CD958="D",1,0)+IF(CE958="D",1,0)+IF(CF958="D",1,0)+IF(CL958="D",1,0)+IF(CM958="D",1,0)+IF(CQ958="D",1,0)+IF(CR958="D",1,0)+IF(CS958="D",1,0)+IF(CW958="D",1,0)+IF(CX958="D",1,0)+IF(DD958="D",1,0)+IF(DE958="D",1,0)+IF(DJ958="D",1,0)+IF(DK958="D",1,0)+IF(DO958="D",1,0)+IF(DP958="D",1,0)+IF(DQ958="D",1,0)+IF(DW958="D",1,0)+IF(DZ958="D",1,0)+IF(EH958="D",1,0)</f>
        <v>0</v>
      </c>
      <c r="AY958" s="0" t="n">
        <f aca="false">COUNTIF(DU958:EH958, "&lt;&gt;")</f>
        <v>0</v>
      </c>
      <c r="AZ958" s="0" t="n">
        <f aca="false">IF(EH958&lt;&gt;"",1,0)</f>
        <v>0</v>
      </c>
      <c r="BB958" s="0" t="s">
        <v>152</v>
      </c>
      <c r="BC958" s="0" t="s">
        <v>153</v>
      </c>
      <c r="BD958" s="0" t="s">
        <v>153</v>
      </c>
      <c r="BL958" s="0" t="s">
        <v>153</v>
      </c>
      <c r="CA958" s="0" t="s">
        <v>153</v>
      </c>
      <c r="CP958" s="0" t="s">
        <v>153</v>
      </c>
      <c r="DC958" s="0" t="s">
        <v>153</v>
      </c>
    </row>
    <row r="959" customFormat="false" ht="13.8" hidden="true" customHeight="false" outlineLevel="0" collapsed="false">
      <c r="A959" s="0" t="s">
        <v>4700</v>
      </c>
      <c r="B959" s="0" t="n">
        <v>78</v>
      </c>
      <c r="C959" s="0" t="n">
        <v>127848</v>
      </c>
      <c r="D959" s="0" t="s">
        <v>4701</v>
      </c>
      <c r="E959" s="0" t="s">
        <v>712</v>
      </c>
      <c r="F959" s="0" t="str">
        <f aca="false">CONCATENATE(D959," ",LEFT(H959,4),"T=",AU959,"D=",AV959,"R=",AW959,"M=",AX959,"L=",AY959,"B=",AZ959)</f>
        <v>YOUNGER T=20D=0R=3M=0L=1B=0</v>
      </c>
      <c r="G959" s="0" t="s">
        <v>307</v>
      </c>
      <c r="I959" s="0" t="s">
        <v>4702</v>
      </c>
      <c r="J959" s="0" t="s">
        <v>4703</v>
      </c>
      <c r="K959" s="0" t="s">
        <v>160</v>
      </c>
      <c r="M959" s="0" t="s">
        <v>4697</v>
      </c>
      <c r="N959" s="0" t="str">
        <f aca="false">RIGHT(M959,LEN(M959)-FIND(" ",M959))</f>
        <v>HOMEWOOD AVE SE</v>
      </c>
      <c r="P959" s="0" t="s">
        <v>145</v>
      </c>
      <c r="Q959" s="0" t="s">
        <v>146</v>
      </c>
      <c r="R959" s="0" t="n">
        <v>44484</v>
      </c>
      <c r="AD959" s="0" t="s">
        <v>147</v>
      </c>
      <c r="AE959" s="0" t="s">
        <v>148</v>
      </c>
      <c r="AF959" s="0" t="s">
        <v>149</v>
      </c>
      <c r="AH959" s="0" t="n">
        <v>14</v>
      </c>
      <c r="AI959" s="0" t="n">
        <v>11</v>
      </c>
      <c r="AN959" s="0" t="s">
        <v>145</v>
      </c>
      <c r="AO959" s="0" t="s">
        <v>150</v>
      </c>
      <c r="AP959" s="0" t="s">
        <v>151</v>
      </c>
      <c r="AQ959" s="0" t="n">
        <v>9</v>
      </c>
      <c r="AR959" s="0" t="n">
        <v>64</v>
      </c>
      <c r="AS959" s="0" t="n">
        <v>32</v>
      </c>
      <c r="AU959" s="0" t="n">
        <f aca="false">COUNTA($BA$1034:$EH$1034)</f>
        <v>20</v>
      </c>
      <c r="AV959" s="0" t="n">
        <f aca="false">COUNTIF($BA$1034:$EH$1034,"D")</f>
        <v>0</v>
      </c>
      <c r="AW959" s="0" t="n">
        <f aca="false">COUNTIF($BA$1034:$EH$1034,"R")</f>
        <v>3</v>
      </c>
      <c r="AX959" s="0" t="n">
        <f aca="false">IF(BN959="D",1,0)+IF(BO959="D",1,0)+IF(BT959="D",1,0)+IF(BU959="D",1,0)+IF(BW959="D",1,0)+IF(CC959="D",1,0)+IF(CD959="D",1,0)+IF(CE959="D",1,0)+IF(CF959="D",1,0)+IF(CL959="D",1,0)+IF(CM959="D",1,0)+IF(CQ959="D",1,0)+IF(CR959="D",1,0)+IF(CS959="D",1,0)+IF(CW959="D",1,0)+IF(CX959="D",1,0)+IF(DD959="D",1,0)+IF(DE959="D",1,0)+IF(DJ959="D",1,0)+IF(DK959="D",1,0)+IF(DO959="D",1,0)+IF(DP959="D",1,0)+IF(DQ959="D",1,0)+IF(DW959="D",1,0)+IF(DZ959="D",1,0)+IF(EH959="D",1,0)</f>
        <v>0</v>
      </c>
      <c r="AY959" s="0" t="n">
        <f aca="false">COUNTIF(DU959:EH959, "&lt;&gt;")</f>
        <v>1</v>
      </c>
      <c r="AZ959" s="0" t="n">
        <f aca="false">IF(EH959&lt;&gt;"",1,0)</f>
        <v>0</v>
      </c>
      <c r="BB959" s="0" t="s">
        <v>152</v>
      </c>
      <c r="BC959" s="0" t="s">
        <v>153</v>
      </c>
      <c r="BD959" s="0" t="s">
        <v>153</v>
      </c>
      <c r="BE959" s="0" t="s">
        <v>153</v>
      </c>
      <c r="BF959" s="0" t="s">
        <v>153</v>
      </c>
      <c r="BG959" s="0" t="s">
        <v>153</v>
      </c>
      <c r="BH959" s="0" t="s">
        <v>153</v>
      </c>
      <c r="BI959" s="0" t="s">
        <v>153</v>
      </c>
      <c r="BJ959" s="0" t="s">
        <v>153</v>
      </c>
      <c r="BL959" s="0" t="s">
        <v>153</v>
      </c>
      <c r="BP959" s="0" t="s">
        <v>153</v>
      </c>
      <c r="BR959" s="0" t="s">
        <v>153</v>
      </c>
      <c r="BS959" s="0" t="s">
        <v>153</v>
      </c>
      <c r="BV959" s="0" t="s">
        <v>153</v>
      </c>
      <c r="BY959" s="0" t="s">
        <v>175</v>
      </c>
      <c r="CA959" s="0" t="s">
        <v>153</v>
      </c>
      <c r="CN959" s="0" t="s">
        <v>153</v>
      </c>
      <c r="CP959" s="0" t="s">
        <v>153</v>
      </c>
      <c r="DC959" s="0" t="s">
        <v>153</v>
      </c>
      <c r="DN959" s="0" t="s">
        <v>153</v>
      </c>
      <c r="EF959" s="0" t="s">
        <v>153</v>
      </c>
    </row>
    <row r="960" customFormat="false" ht="13.8" hidden="true" customHeight="false" outlineLevel="0" collapsed="false">
      <c r="A960" s="0" t="s">
        <v>4704</v>
      </c>
      <c r="B960" s="0" t="n">
        <v>78</v>
      </c>
      <c r="C960" s="0" t="n">
        <v>464805</v>
      </c>
      <c r="D960" s="0" t="s">
        <v>4705</v>
      </c>
      <c r="E960" s="0" t="s">
        <v>2885</v>
      </c>
      <c r="F960" s="0" t="str">
        <f aca="false">CONCATENATE(D960," ",LEFT(H960,4),"T=",AU960,"D=",AV960,"R=",AW960,"M=",AX960,"L=",AY960,"B=",AZ960)</f>
        <v>STEPHENS T=3D=0R=0M=0L=0B=0</v>
      </c>
      <c r="G960" s="0" t="s">
        <v>839</v>
      </c>
      <c r="I960" s="0" t="s">
        <v>4706</v>
      </c>
      <c r="J960" s="0" t="s">
        <v>1214</v>
      </c>
      <c r="K960" s="0" t="s">
        <v>160</v>
      </c>
      <c r="M960" s="0" t="s">
        <v>4707</v>
      </c>
      <c r="N960" s="0" t="str">
        <f aca="false">RIGHT(M960,LEN(M960)-FIND(" ",M960))</f>
        <v>HOMEWOOD AVE SE</v>
      </c>
      <c r="P960" s="0" t="s">
        <v>145</v>
      </c>
      <c r="Q960" s="0" t="s">
        <v>146</v>
      </c>
      <c r="R960" s="0" t="n">
        <v>44484</v>
      </c>
      <c r="AD960" s="0" t="s">
        <v>147</v>
      </c>
      <c r="AE960" s="0" t="s">
        <v>148</v>
      </c>
      <c r="AF960" s="0" t="s">
        <v>149</v>
      </c>
      <c r="AH960" s="0" t="n">
        <v>14</v>
      </c>
      <c r="AI960" s="0" t="n">
        <v>11</v>
      </c>
      <c r="AN960" s="0" t="s">
        <v>145</v>
      </c>
      <c r="AO960" s="0" t="s">
        <v>150</v>
      </c>
      <c r="AP960" s="0" t="s">
        <v>151</v>
      </c>
      <c r="AQ960" s="0" t="n">
        <v>9</v>
      </c>
      <c r="AR960" s="0" t="n">
        <v>64</v>
      </c>
      <c r="AS960" s="0" t="n">
        <v>32</v>
      </c>
      <c r="AU960" s="0" t="n">
        <f aca="false">COUNTA($BA$156:$EH$156)</f>
        <v>3</v>
      </c>
      <c r="AV960" s="0" t="n">
        <f aca="false">COUNTIF($BA$156:$EH$156,"D")</f>
        <v>0</v>
      </c>
      <c r="AW960" s="0" t="n">
        <f aca="false">COUNTIF($BA$156:$EH$156,"R")</f>
        <v>0</v>
      </c>
      <c r="AX960" s="0" t="n">
        <f aca="false">IF(BN960="D",1,0)+IF(BO960="D",1,0)+IF(BT960="D",1,0)+IF(BU960="D",1,0)+IF(BW960="D",1,0)+IF(CC960="D",1,0)+IF(CD960="D",1,0)+IF(CE960="D",1,0)+IF(CF960="D",1,0)+IF(CL960="D",1,0)+IF(CM960="D",1,0)+IF(CQ960="D",1,0)+IF(CR960="D",1,0)+IF(CS960="D",1,0)+IF(CW960="D",1,0)+IF(CX960="D",1,0)+IF(DD960="D",1,0)+IF(DE960="D",1,0)+IF(DJ960="D",1,0)+IF(DK960="D",1,0)+IF(DO960="D",1,0)+IF(DP960="D",1,0)+IF(DQ960="D",1,0)+IF(DW960="D",1,0)+IF(DZ960="D",1,0)+IF(EH960="D",1,0)</f>
        <v>0</v>
      </c>
      <c r="AY960" s="0" t="n">
        <f aca="false">COUNTIF(DU960:EH960, "&lt;&gt;")</f>
        <v>0</v>
      </c>
      <c r="AZ960" s="0" t="n">
        <f aca="false">IF(EH960&lt;&gt;"",1,0)</f>
        <v>0</v>
      </c>
      <c r="BB960" s="0" t="s">
        <v>152</v>
      </c>
    </row>
    <row r="961" customFormat="false" ht="13.8" hidden="true" customHeight="false" outlineLevel="0" collapsed="false">
      <c r="A961" s="0" t="s">
        <v>4708</v>
      </c>
      <c r="B961" s="0" t="n">
        <v>78</v>
      </c>
      <c r="C961" s="0" t="n">
        <v>463590</v>
      </c>
      <c r="D961" s="0" t="s">
        <v>4709</v>
      </c>
      <c r="E961" s="0" t="s">
        <v>469</v>
      </c>
      <c r="F961" s="0" t="str">
        <f aca="false">CONCATENATE(D961," ",LEFT(H961,4),"T=",AU961,"D=",AV961,"R=",AW961,"M=",AX961,"L=",AY961,"B=",AZ961)</f>
        <v>HALLETT T=3D=0R=0M=0L=0B=0</v>
      </c>
      <c r="G961" s="0" t="s">
        <v>558</v>
      </c>
      <c r="I961" s="0" t="s">
        <v>4710</v>
      </c>
      <c r="J961" s="0" t="s">
        <v>4711</v>
      </c>
      <c r="K961" s="0" t="s">
        <v>160</v>
      </c>
      <c r="M961" s="0" t="s">
        <v>4712</v>
      </c>
      <c r="N961" s="0" t="str">
        <f aca="false">RIGHT(M961,LEN(M961)-FIND(" ",M961))</f>
        <v>HOMEWOOD AVE SE</v>
      </c>
      <c r="P961" s="0" t="s">
        <v>145</v>
      </c>
      <c r="Q961" s="0" t="s">
        <v>146</v>
      </c>
      <c r="R961" s="0" t="n">
        <v>44484</v>
      </c>
      <c r="AD961" s="0" t="s">
        <v>147</v>
      </c>
      <c r="AE961" s="0" t="s">
        <v>148</v>
      </c>
      <c r="AF961" s="0" t="s">
        <v>149</v>
      </c>
      <c r="AH961" s="0" t="n">
        <v>14</v>
      </c>
      <c r="AI961" s="0" t="n">
        <v>11</v>
      </c>
      <c r="AN961" s="0" t="s">
        <v>145</v>
      </c>
      <c r="AO961" s="0" t="s">
        <v>150</v>
      </c>
      <c r="AP961" s="0" t="s">
        <v>151</v>
      </c>
      <c r="AQ961" s="0" t="n">
        <v>9</v>
      </c>
      <c r="AR961" s="0" t="n">
        <v>64</v>
      </c>
      <c r="AS961" s="0" t="n">
        <v>32</v>
      </c>
      <c r="AU961" s="0" t="n">
        <f aca="false">COUNTA($BA$434:$EH$434)</f>
        <v>3</v>
      </c>
      <c r="AV961" s="0" t="n">
        <f aca="false">COUNTIF($BA$434:$EH$434,"D")</f>
        <v>0</v>
      </c>
      <c r="AW961" s="0" t="n">
        <f aca="false">COUNTIF($BA$434:$EH$434,"R")</f>
        <v>0</v>
      </c>
      <c r="AX961" s="0" t="n">
        <f aca="false">IF(BN961="D",1,0)+IF(BO961="D",1,0)+IF(BT961="D",1,0)+IF(BU961="D",1,0)+IF(BW961="D",1,0)+IF(CC961="D",1,0)+IF(CD961="D",1,0)+IF(CE961="D",1,0)+IF(CF961="D",1,0)+IF(CL961="D",1,0)+IF(CM961="D",1,0)+IF(CQ961="D",1,0)+IF(CR961="D",1,0)+IF(CS961="D",1,0)+IF(CW961="D",1,0)+IF(CX961="D",1,0)+IF(DD961="D",1,0)+IF(DE961="D",1,0)+IF(DJ961="D",1,0)+IF(DK961="D",1,0)+IF(DO961="D",1,0)+IF(DP961="D",1,0)+IF(DQ961="D",1,0)+IF(DW961="D",1,0)+IF(DZ961="D",1,0)+IF(EH961="D",1,0)</f>
        <v>0</v>
      </c>
      <c r="AY961" s="0" t="n">
        <f aca="false">COUNTIF(DU961:EH961, "&lt;&gt;")</f>
        <v>0</v>
      </c>
      <c r="AZ961" s="0" t="n">
        <f aca="false">IF(EH961&lt;&gt;"",1,0)</f>
        <v>0</v>
      </c>
      <c r="BB961" s="0" t="s">
        <v>152</v>
      </c>
    </row>
    <row r="962" customFormat="false" ht="13.8" hidden="true" customHeight="false" outlineLevel="0" collapsed="false">
      <c r="A962" s="0" t="s">
        <v>4713</v>
      </c>
      <c r="B962" s="0" t="n">
        <v>78</v>
      </c>
      <c r="C962" s="0" t="n">
        <v>438642</v>
      </c>
      <c r="D962" s="0" t="s">
        <v>4709</v>
      </c>
      <c r="E962" s="0" t="s">
        <v>2413</v>
      </c>
      <c r="F962" s="0" t="str">
        <f aca="false">CONCATENATE(D962," ",LEFT(H962,4),"T=",AU962,"D=",AV962,"R=",AW962,"M=",AX962,"L=",AY962,"B=",AZ962)</f>
        <v>HALLETT T=11D=0R=0M=0L=0B=0</v>
      </c>
      <c r="G962" s="0" t="s">
        <v>517</v>
      </c>
      <c r="I962" s="0" t="s">
        <v>4714</v>
      </c>
      <c r="J962" s="0" t="s">
        <v>4715</v>
      </c>
      <c r="K962" s="0" t="s">
        <v>143</v>
      </c>
      <c r="M962" s="0" t="s">
        <v>4712</v>
      </c>
      <c r="N962" s="0" t="str">
        <f aca="false">RIGHT(M962,LEN(M962)-FIND(" ",M962))</f>
        <v>HOMEWOOD AVE SE</v>
      </c>
      <c r="P962" s="0" t="s">
        <v>145</v>
      </c>
      <c r="Q962" s="0" t="s">
        <v>146</v>
      </c>
      <c r="R962" s="0" t="n">
        <v>44484</v>
      </c>
      <c r="AD962" s="0" t="s">
        <v>147</v>
      </c>
      <c r="AE962" s="0" t="s">
        <v>148</v>
      </c>
      <c r="AF962" s="0" t="s">
        <v>149</v>
      </c>
      <c r="AH962" s="0" t="n">
        <v>14</v>
      </c>
      <c r="AI962" s="0" t="n">
        <v>11</v>
      </c>
      <c r="AN962" s="0" t="s">
        <v>145</v>
      </c>
      <c r="AO962" s="0" t="s">
        <v>150</v>
      </c>
      <c r="AP962" s="0" t="s">
        <v>151</v>
      </c>
      <c r="AQ962" s="0" t="n">
        <v>9</v>
      </c>
      <c r="AR962" s="0" t="n">
        <v>64</v>
      </c>
      <c r="AS962" s="0" t="n">
        <v>32</v>
      </c>
      <c r="AU962" s="0" t="n">
        <f aca="false">COUNTA($BA$530:$EH$530)</f>
        <v>11</v>
      </c>
      <c r="AV962" s="0" t="n">
        <f aca="false">COUNTIF($BA$530:$EH$530,"D")</f>
        <v>0</v>
      </c>
      <c r="AW962" s="0" t="n">
        <f aca="false">COUNTIF($BA$530:$EH$530,"R")</f>
        <v>0</v>
      </c>
      <c r="AX962" s="0" t="n">
        <f aca="false">IF(BN962="D",1,0)+IF(BO962="D",1,0)+IF(BT962="D",1,0)+IF(BU962="D",1,0)+IF(BW962="D",1,0)+IF(CC962="D",1,0)+IF(CD962="D",1,0)+IF(CE962="D",1,0)+IF(CF962="D",1,0)+IF(CL962="D",1,0)+IF(CM962="D",1,0)+IF(CQ962="D",1,0)+IF(CR962="D",1,0)+IF(CS962="D",1,0)+IF(CW962="D",1,0)+IF(CX962="D",1,0)+IF(DD962="D",1,0)+IF(DE962="D",1,0)+IF(DJ962="D",1,0)+IF(DK962="D",1,0)+IF(DO962="D",1,0)+IF(DP962="D",1,0)+IF(DQ962="D",1,0)+IF(DW962="D",1,0)+IF(DZ962="D",1,0)+IF(EH962="D",1,0)</f>
        <v>0</v>
      </c>
      <c r="AY962" s="0" t="n">
        <f aca="false">COUNTIF(DU962:EH962, "&lt;&gt;")</f>
        <v>0</v>
      </c>
      <c r="AZ962" s="0" t="n">
        <f aca="false">IF(EH962&lt;&gt;"",1,0)</f>
        <v>0</v>
      </c>
      <c r="BB962" s="0" t="s">
        <v>152</v>
      </c>
      <c r="DN962" s="0" t="s">
        <v>153</v>
      </c>
    </row>
    <row r="963" customFormat="false" ht="13.8" hidden="false" customHeight="false" outlineLevel="0" collapsed="false">
      <c r="A963" s="0" t="s">
        <v>4716</v>
      </c>
      <c r="B963" s="0" t="n">
        <v>78</v>
      </c>
      <c r="C963" s="0" t="n">
        <v>280756</v>
      </c>
      <c r="D963" s="0" t="s">
        <v>4709</v>
      </c>
      <c r="E963" s="0" t="s">
        <v>905</v>
      </c>
      <c r="F963" s="0" t="str">
        <f aca="false">CONCATENATE(D963," ",LEFT(H963,4),"T=",AU963,"D=",AV963,"R=",AW963,"M=",AX963,"L=",AY963,"B=",AZ963)</f>
        <v>HALLETT T=1D=0R=0M=2L=4B=0</v>
      </c>
      <c r="G963" s="0" t="s">
        <v>195</v>
      </c>
      <c r="I963" s="0" t="s">
        <v>4717</v>
      </c>
      <c r="J963" s="0" t="s">
        <v>4718</v>
      </c>
      <c r="K963" s="0" t="s">
        <v>160</v>
      </c>
      <c r="M963" s="0" t="s">
        <v>4712</v>
      </c>
      <c r="N963" s="0" t="str">
        <f aca="false">RIGHT(M963,LEN(M963)-FIND(" ",M963))</f>
        <v>HOMEWOOD AVE SE</v>
      </c>
      <c r="P963" s="0" t="s">
        <v>145</v>
      </c>
      <c r="Q963" s="0" t="s">
        <v>146</v>
      </c>
      <c r="R963" s="0" t="n">
        <v>44484</v>
      </c>
      <c r="AD963" s="0" t="s">
        <v>147</v>
      </c>
      <c r="AE963" s="0" t="s">
        <v>148</v>
      </c>
      <c r="AF963" s="0" t="s">
        <v>149</v>
      </c>
      <c r="AH963" s="0" t="n">
        <v>14</v>
      </c>
      <c r="AI963" s="0" t="n">
        <v>11</v>
      </c>
      <c r="AN963" s="0" t="s">
        <v>145</v>
      </c>
      <c r="AO963" s="0" t="s">
        <v>150</v>
      </c>
      <c r="AP963" s="0" t="s">
        <v>151</v>
      </c>
      <c r="AQ963" s="0" t="n">
        <v>9</v>
      </c>
      <c r="AR963" s="0" t="n">
        <v>64</v>
      </c>
      <c r="AS963" s="0" t="n">
        <v>32</v>
      </c>
      <c r="AU963" s="0" t="n">
        <f aca="false">COUNTA($BA$914:$EH$914)</f>
        <v>1</v>
      </c>
      <c r="AV963" s="0" t="n">
        <f aca="false">COUNTIF($BA$914:$EH$914,"D")</f>
        <v>0</v>
      </c>
      <c r="AW963" s="0" t="n">
        <f aca="false">COUNTIF($BA$914:$EH$914,"R")</f>
        <v>0</v>
      </c>
      <c r="AX963" s="0" t="n">
        <f aca="false">IF(BN963="D",1,0)+IF(BO963="D",1,0)+IF(BT963="D",1,0)+IF(BU963="D",1,0)+IF(BW963="D",1,0)+IF(CC963="D",1,0)+IF(CD963="D",1,0)+IF(CE963="D",1,0)+IF(CF963="D",1,0)+IF(CL963="D",1,0)+IF(CM963="D",1,0)+IF(CQ963="D",1,0)+IF(CR963="D",1,0)+IF(CS963="D",1,0)+IF(CW963="D",1,0)+IF(CX963="D",1,0)+IF(DD963="D",1,0)+IF(DE963="D",1,0)+IF(DJ963="D",1,0)+IF(DK963="D",1,0)+IF(DO963="D",1,0)+IF(DP963="D",1,0)+IF(DQ963="D",1,0)+IF(DW963="D",1,0)+IF(DZ963="D",1,0)+IF(EH963="D",1,0)</f>
        <v>2</v>
      </c>
      <c r="AY963" s="0" t="n">
        <f aca="false">COUNTIF(DU963:EH963, "&lt;&gt;")</f>
        <v>4</v>
      </c>
      <c r="AZ963" s="0" t="n">
        <f aca="false">IF(EH963&lt;&gt;"",1,0)</f>
        <v>0</v>
      </c>
      <c r="BB963" s="0" t="s">
        <v>152</v>
      </c>
      <c r="BD963" s="0" t="s">
        <v>153</v>
      </c>
      <c r="BL963" s="0" t="s">
        <v>153</v>
      </c>
      <c r="BR963" s="0" t="s">
        <v>153</v>
      </c>
      <c r="BS963" s="0" t="s">
        <v>153</v>
      </c>
      <c r="BV963" s="0" t="s">
        <v>153</v>
      </c>
      <c r="CG963" s="0" t="s">
        <v>153</v>
      </c>
      <c r="CK963" s="0" t="s">
        <v>153</v>
      </c>
      <c r="CL963" s="0" t="s">
        <v>175</v>
      </c>
      <c r="CN963" s="0" t="s">
        <v>153</v>
      </c>
      <c r="CV963" s="0" t="s">
        <v>153</v>
      </c>
      <c r="CY963" s="0" t="s">
        <v>153</v>
      </c>
      <c r="CZ963" s="0" t="s">
        <v>209</v>
      </c>
      <c r="DC963" s="0" t="s">
        <v>153</v>
      </c>
      <c r="DF963" s="0" t="s">
        <v>153</v>
      </c>
      <c r="DI963" s="0" t="s">
        <v>153</v>
      </c>
      <c r="DJ963" s="0" t="s">
        <v>175</v>
      </c>
      <c r="DL963" s="0" t="s">
        <v>153</v>
      </c>
      <c r="DN963" s="0" t="s">
        <v>153</v>
      </c>
      <c r="DU963" s="0" t="s">
        <v>153</v>
      </c>
      <c r="DX963" s="0" t="s">
        <v>153</v>
      </c>
      <c r="EA963" s="0" t="s">
        <v>153</v>
      </c>
      <c r="EF963" s="0" t="s">
        <v>153</v>
      </c>
    </row>
    <row r="964" customFormat="false" ht="13.8" hidden="false" customHeight="false" outlineLevel="0" collapsed="false">
      <c r="A964" s="0" t="s">
        <v>4719</v>
      </c>
      <c r="B964" s="0" t="n">
        <v>78</v>
      </c>
      <c r="C964" s="0" t="n">
        <v>257330</v>
      </c>
      <c r="D964" s="0" t="s">
        <v>4709</v>
      </c>
      <c r="E964" s="0" t="s">
        <v>481</v>
      </c>
      <c r="F964" s="0" t="str">
        <f aca="false">CONCATENATE(D964," ",LEFT(H964,4),"T=",AU964,"D=",AV964,"R=",AW964,"M=",AX964,"L=",AY964,"B=",AZ964)</f>
        <v>HALLETT T=18D=1R=0M=1L=2B=0</v>
      </c>
      <c r="I964" s="0" t="s">
        <v>4720</v>
      </c>
      <c r="J964" s="0" t="s">
        <v>4721</v>
      </c>
      <c r="K964" s="0" t="s">
        <v>160</v>
      </c>
      <c r="M964" s="0" t="s">
        <v>4712</v>
      </c>
      <c r="N964" s="0" t="str">
        <f aca="false">RIGHT(M964,LEN(M964)-FIND(" ",M964))</f>
        <v>HOMEWOOD AVE SE</v>
      </c>
      <c r="P964" s="0" t="s">
        <v>145</v>
      </c>
      <c r="Q964" s="0" t="s">
        <v>146</v>
      </c>
      <c r="R964" s="0" t="n">
        <v>44484</v>
      </c>
      <c r="AD964" s="0" t="s">
        <v>147</v>
      </c>
      <c r="AE964" s="0" t="s">
        <v>148</v>
      </c>
      <c r="AF964" s="0" t="s">
        <v>149</v>
      </c>
      <c r="AH964" s="0" t="n">
        <v>14</v>
      </c>
      <c r="AI964" s="0" t="n">
        <v>11</v>
      </c>
      <c r="AN964" s="0" t="s">
        <v>145</v>
      </c>
      <c r="AO964" s="0" t="s">
        <v>150</v>
      </c>
      <c r="AP964" s="0" t="s">
        <v>151</v>
      </c>
      <c r="AQ964" s="0" t="n">
        <v>9</v>
      </c>
      <c r="AR964" s="0" t="n">
        <v>64</v>
      </c>
      <c r="AS964" s="0" t="n">
        <v>32</v>
      </c>
      <c r="AU964" s="0" t="n">
        <f aca="false">COUNTA($BA$928:$EH$928)</f>
        <v>18</v>
      </c>
      <c r="AV964" s="0" t="n">
        <f aca="false">COUNTIF($BA$928:$EH$928,"D")</f>
        <v>1</v>
      </c>
      <c r="AW964" s="0" t="n">
        <f aca="false">COUNTIF($BA$928:$EH$928,"R")</f>
        <v>0</v>
      </c>
      <c r="AX964" s="0" t="n">
        <f aca="false">IF(BN964="D",1,0)+IF(BO964="D",1,0)+IF(BT964="D",1,0)+IF(BU964="D",1,0)+IF(BW964="D",1,0)+IF(CC964="D",1,0)+IF(CD964="D",1,0)+IF(CE964="D",1,0)+IF(CF964="D",1,0)+IF(CL964="D",1,0)+IF(CM964="D",1,0)+IF(CQ964="D",1,0)+IF(CR964="D",1,0)+IF(CS964="D",1,0)+IF(CW964="D",1,0)+IF(CX964="D",1,0)+IF(DD964="D",1,0)+IF(DE964="D",1,0)+IF(DJ964="D",1,0)+IF(DK964="D",1,0)+IF(DO964="D",1,0)+IF(DP964="D",1,0)+IF(DQ964="D",1,0)+IF(DW964="D",1,0)+IF(DZ964="D",1,0)+IF(EH964="D",1,0)</f>
        <v>1</v>
      </c>
      <c r="AY964" s="0" t="n">
        <f aca="false">COUNTIF(DU964:EH964, "&lt;&gt;")</f>
        <v>2</v>
      </c>
      <c r="AZ964" s="0" t="n">
        <f aca="false">IF(EH964&lt;&gt;"",1,0)</f>
        <v>0</v>
      </c>
      <c r="BB964" s="0" t="s">
        <v>152</v>
      </c>
      <c r="BD964" s="0" t="s">
        <v>153</v>
      </c>
      <c r="BL964" s="0" t="s">
        <v>153</v>
      </c>
      <c r="BR964" s="0" t="s">
        <v>153</v>
      </c>
      <c r="BS964" s="0" t="s">
        <v>153</v>
      </c>
      <c r="BV964" s="0" t="s">
        <v>153</v>
      </c>
      <c r="CA964" s="0" t="s">
        <v>153</v>
      </c>
      <c r="CG964" s="0" t="s">
        <v>153</v>
      </c>
      <c r="CK964" s="0" t="s">
        <v>153</v>
      </c>
      <c r="CL964" s="0" t="s">
        <v>175</v>
      </c>
      <c r="CN964" s="0" t="s">
        <v>153</v>
      </c>
      <c r="CP964" s="0" t="s">
        <v>153</v>
      </c>
      <c r="DC964" s="0" t="s">
        <v>153</v>
      </c>
      <c r="DN964" s="0" t="s">
        <v>153</v>
      </c>
      <c r="EA964" s="0" t="s">
        <v>153</v>
      </c>
      <c r="EF964" s="0" t="s">
        <v>153</v>
      </c>
    </row>
    <row r="965" customFormat="false" ht="13.8" hidden="true" customHeight="false" outlineLevel="0" collapsed="false">
      <c r="A965" s="0" t="s">
        <v>4722</v>
      </c>
      <c r="B965" s="0" t="n">
        <v>78</v>
      </c>
      <c r="C965" s="0" t="n">
        <v>461620</v>
      </c>
      <c r="D965" s="0" t="s">
        <v>383</v>
      </c>
      <c r="E965" s="0" t="s">
        <v>4723</v>
      </c>
      <c r="F965" s="0" t="str">
        <f aca="false">CONCATENATE(D965," ",LEFT(H965,4),"T=",AU965,"D=",AV965,"R=",AW965,"M=",AX965,"L=",AY965,"B=",AZ965)</f>
        <v>GONZALEZ T=1D=0R=0M=0L=0B=0</v>
      </c>
      <c r="I965" s="0" t="s">
        <v>4724</v>
      </c>
      <c r="J965" s="0" t="s">
        <v>4725</v>
      </c>
      <c r="K965" s="0" t="s">
        <v>143</v>
      </c>
      <c r="M965" s="0" t="s">
        <v>4726</v>
      </c>
      <c r="N965" s="0" t="str">
        <f aca="false">RIGHT(M965,LEN(M965)-FIND(" ",M965))</f>
        <v>HOMEWOOD AVE SE</v>
      </c>
      <c r="P965" s="0" t="s">
        <v>145</v>
      </c>
      <c r="Q965" s="0" t="s">
        <v>146</v>
      </c>
      <c r="R965" s="0" t="n">
        <v>44484</v>
      </c>
      <c r="AD965" s="0" t="s">
        <v>147</v>
      </c>
      <c r="AE965" s="0" t="s">
        <v>148</v>
      </c>
      <c r="AF965" s="0" t="s">
        <v>149</v>
      </c>
      <c r="AH965" s="0" t="n">
        <v>14</v>
      </c>
      <c r="AI965" s="0" t="n">
        <v>11</v>
      </c>
      <c r="AN965" s="0" t="s">
        <v>145</v>
      </c>
      <c r="AO965" s="0" t="s">
        <v>150</v>
      </c>
      <c r="AP965" s="0" t="s">
        <v>151</v>
      </c>
      <c r="AQ965" s="0" t="n">
        <v>9</v>
      </c>
      <c r="AR965" s="0" t="n">
        <v>64</v>
      </c>
      <c r="AS965" s="0" t="n">
        <v>32</v>
      </c>
      <c r="AU965" s="0" t="n">
        <f aca="false">COUNTA($BA$566:$EH$566)</f>
        <v>1</v>
      </c>
      <c r="AV965" s="0" t="n">
        <f aca="false">COUNTIF($BA$566:$EH$566,"D")</f>
        <v>0</v>
      </c>
      <c r="AW965" s="0" t="n">
        <f aca="false">COUNTIF($BA$566:$EH$566,"R")</f>
        <v>0</v>
      </c>
      <c r="AX965" s="0" t="n">
        <f aca="false">IF(BN965="D",1,0)+IF(BO965="D",1,0)+IF(BT965="D",1,0)+IF(BU965="D",1,0)+IF(BW965="D",1,0)+IF(CC965="D",1,0)+IF(CD965="D",1,0)+IF(CE965="D",1,0)+IF(CF965="D",1,0)+IF(CL965="D",1,0)+IF(CM965="D",1,0)+IF(CQ965="D",1,0)+IF(CR965="D",1,0)+IF(CS965="D",1,0)+IF(CW965="D",1,0)+IF(CX965="D",1,0)+IF(DD965="D",1,0)+IF(DE965="D",1,0)+IF(DJ965="D",1,0)+IF(DK965="D",1,0)+IF(DO965="D",1,0)+IF(DP965="D",1,0)+IF(DQ965="D",1,0)+IF(DW965="D",1,0)+IF(DZ965="D",1,0)+IF(EH965="D",1,0)</f>
        <v>0</v>
      </c>
      <c r="AY965" s="0" t="n">
        <f aca="false">COUNTIF(DU965:EH965, "&lt;&gt;")</f>
        <v>0</v>
      </c>
      <c r="AZ965" s="0" t="n">
        <f aca="false">IF(EH965&lt;&gt;"",1,0)</f>
        <v>0</v>
      </c>
      <c r="BB965" s="0" t="s">
        <v>152</v>
      </c>
    </row>
    <row r="966" customFormat="false" ht="13.8" hidden="true" customHeight="false" outlineLevel="0" collapsed="false">
      <c r="A966" s="0" t="s">
        <v>4727</v>
      </c>
      <c r="B966" s="0" t="n">
        <v>78</v>
      </c>
      <c r="C966" s="0" t="n">
        <v>474887</v>
      </c>
      <c r="D966" s="0" t="s">
        <v>4728</v>
      </c>
      <c r="E966" s="0" t="s">
        <v>633</v>
      </c>
      <c r="F966" s="0" t="str">
        <f aca="false">CONCATENATE(D966," ",LEFT(H966,4),"T=",AU966,"D=",AV966,"R=",AW966,"M=",AX966,"L=",AY966,"B=",AZ966)</f>
        <v>DE JESUS T=1D=0R=0M=0L=1B=0</v>
      </c>
      <c r="G966" s="0" t="s">
        <v>1902</v>
      </c>
      <c r="I966" s="0" t="s">
        <v>1898</v>
      </c>
      <c r="J966" s="0" t="s">
        <v>4729</v>
      </c>
      <c r="K966" s="0" t="s">
        <v>160</v>
      </c>
      <c r="M966" s="0" t="s">
        <v>4730</v>
      </c>
      <c r="N966" s="0" t="str">
        <f aca="false">RIGHT(M966,LEN(M966)-FIND(" ",M966))</f>
        <v>HOMEWOOD AVE SE</v>
      </c>
      <c r="P966" s="0" t="s">
        <v>145</v>
      </c>
      <c r="Q966" s="0" t="s">
        <v>146</v>
      </c>
      <c r="R966" s="0" t="n">
        <v>44484</v>
      </c>
      <c r="AD966" s="0" t="s">
        <v>147</v>
      </c>
      <c r="AE966" s="0" t="s">
        <v>148</v>
      </c>
      <c r="AF966" s="0" t="s">
        <v>149</v>
      </c>
      <c r="AH966" s="0" t="n">
        <v>14</v>
      </c>
      <c r="AI966" s="0" t="n">
        <v>11</v>
      </c>
      <c r="AN966" s="0" t="s">
        <v>145</v>
      </c>
      <c r="AO966" s="0" t="s">
        <v>150</v>
      </c>
      <c r="AP966" s="0" t="s">
        <v>151</v>
      </c>
      <c r="AQ966" s="0" t="n">
        <v>9</v>
      </c>
      <c r="AR966" s="0" t="n">
        <v>64</v>
      </c>
      <c r="AS966" s="0" t="n">
        <v>32</v>
      </c>
      <c r="AU966" s="0" t="n">
        <f aca="false">COUNTA($BA$961:$EH$961)</f>
        <v>1</v>
      </c>
      <c r="AV966" s="0" t="n">
        <f aca="false">COUNTIF($BA$961:$EH$961,"D")</f>
        <v>0</v>
      </c>
      <c r="AW966" s="0" t="n">
        <f aca="false">COUNTIF($BA$961:$EH$961,"R")</f>
        <v>0</v>
      </c>
      <c r="AX966" s="0" t="n">
        <f aca="false">IF(BN966="D",1,0)+IF(BO966="D",1,0)+IF(BT966="D",1,0)+IF(BU966="D",1,0)+IF(BW966="D",1,0)+IF(CC966="D",1,0)+IF(CD966="D",1,0)+IF(CE966="D",1,0)+IF(CF966="D",1,0)+IF(CL966="D",1,0)+IF(CM966="D",1,0)+IF(CQ966="D",1,0)+IF(CR966="D",1,0)+IF(CS966="D",1,0)+IF(CW966="D",1,0)+IF(CX966="D",1,0)+IF(DD966="D",1,0)+IF(DE966="D",1,0)+IF(DJ966="D",1,0)+IF(DK966="D",1,0)+IF(DO966="D",1,0)+IF(DP966="D",1,0)+IF(DQ966="D",1,0)+IF(DW966="D",1,0)+IF(DZ966="D",1,0)+IF(EH966="D",1,0)</f>
        <v>0</v>
      </c>
      <c r="AY966" s="0" t="n">
        <f aca="false">COUNTIF(DU966:EH966, "&lt;&gt;")</f>
        <v>1</v>
      </c>
      <c r="AZ966" s="0" t="n">
        <f aca="false">IF(EH966&lt;&gt;"",1,0)</f>
        <v>0</v>
      </c>
      <c r="BB966" s="0" t="s">
        <v>152</v>
      </c>
      <c r="EF966" s="0" t="s">
        <v>153</v>
      </c>
    </row>
    <row r="967" customFormat="false" ht="13.8" hidden="true" customHeight="false" outlineLevel="0" collapsed="false">
      <c r="A967" s="0" t="s">
        <v>4731</v>
      </c>
      <c r="B967" s="0" t="n">
        <v>78</v>
      </c>
      <c r="C967" s="0" t="n">
        <v>429220</v>
      </c>
      <c r="D967" s="0" t="s">
        <v>1445</v>
      </c>
      <c r="E967" s="0" t="s">
        <v>224</v>
      </c>
      <c r="F967" s="0" t="str">
        <f aca="false">CONCATENATE(D967," ",LEFT(H967,4),"T=",AU967,"D=",AV967,"R=",AW967,"M=",AX967,"L=",AY967,"B=",AZ967)</f>
        <v>WILLIAMS T=36D=1R=7M=0L=0B=0</v>
      </c>
      <c r="G967" s="0" t="s">
        <v>325</v>
      </c>
      <c r="I967" s="0" t="s">
        <v>4732</v>
      </c>
      <c r="J967" s="0" t="s">
        <v>4733</v>
      </c>
      <c r="K967" s="0" t="s">
        <v>143</v>
      </c>
      <c r="M967" s="0" t="s">
        <v>4730</v>
      </c>
      <c r="N967" s="0" t="str">
        <f aca="false">RIGHT(M967,LEN(M967)-FIND(" ",M967))</f>
        <v>HOMEWOOD AVE SE</v>
      </c>
      <c r="P967" s="0" t="s">
        <v>145</v>
      </c>
      <c r="Q967" s="0" t="s">
        <v>146</v>
      </c>
      <c r="R967" s="0" t="n">
        <v>44484</v>
      </c>
      <c r="AD967" s="0" t="s">
        <v>147</v>
      </c>
      <c r="AE967" s="0" t="s">
        <v>148</v>
      </c>
      <c r="AF967" s="0" t="s">
        <v>149</v>
      </c>
      <c r="AH967" s="0" t="n">
        <v>14</v>
      </c>
      <c r="AI967" s="0" t="n">
        <v>11</v>
      </c>
      <c r="AN967" s="0" t="s">
        <v>145</v>
      </c>
      <c r="AO967" s="0" t="s">
        <v>150</v>
      </c>
      <c r="AP967" s="0" t="s">
        <v>151</v>
      </c>
      <c r="AQ967" s="0" t="n">
        <v>9</v>
      </c>
      <c r="AR967" s="0" t="n">
        <v>64</v>
      </c>
      <c r="AS967" s="0" t="n">
        <v>32</v>
      </c>
      <c r="AU967" s="0" t="n">
        <f aca="false">COUNTA($BA$1050:$EH$1050)</f>
        <v>36</v>
      </c>
      <c r="AV967" s="0" t="n">
        <f aca="false">COUNTIF($BA$1050:$EH$1050,"D")</f>
        <v>1</v>
      </c>
      <c r="AW967" s="0" t="n">
        <f aca="false">COUNTIF($BA$1050:$EH$1050,"R")</f>
        <v>7</v>
      </c>
      <c r="AX967" s="0" t="n">
        <f aca="false">IF(BN967="D",1,0)+IF(BO967="D",1,0)+IF(BT967="D",1,0)+IF(BU967="D",1,0)+IF(BW967="D",1,0)+IF(CC967="D",1,0)+IF(CD967="D",1,0)+IF(CE967="D",1,0)+IF(CF967="D",1,0)+IF(CL967="D",1,0)+IF(CM967="D",1,0)+IF(CQ967="D",1,0)+IF(CR967="D",1,0)+IF(CS967="D",1,0)+IF(CW967="D",1,0)+IF(CX967="D",1,0)+IF(DD967="D",1,0)+IF(DE967="D",1,0)+IF(DJ967="D",1,0)+IF(DK967="D",1,0)+IF(DO967="D",1,0)+IF(DP967="D",1,0)+IF(DQ967="D",1,0)+IF(DW967="D",1,0)+IF(DZ967="D",1,0)+IF(EH967="D",1,0)</f>
        <v>0</v>
      </c>
      <c r="AY967" s="0" t="n">
        <f aca="false">COUNTIF(DU967:EH967, "&lt;&gt;")</f>
        <v>0</v>
      </c>
      <c r="AZ967" s="0" t="n">
        <f aca="false">IF(EH967&lt;&gt;"",1,0)</f>
        <v>0</v>
      </c>
      <c r="BB967" s="0" t="s">
        <v>152</v>
      </c>
    </row>
    <row r="968" customFormat="false" ht="13.8" hidden="true" customHeight="false" outlineLevel="0" collapsed="false">
      <c r="A968" s="0" t="s">
        <v>4734</v>
      </c>
      <c r="B968" s="0" t="n">
        <v>78</v>
      </c>
      <c r="C968" s="0" t="n">
        <v>487139</v>
      </c>
      <c r="D968" s="0" t="s">
        <v>4735</v>
      </c>
      <c r="E968" s="0" t="s">
        <v>4736</v>
      </c>
      <c r="F968" s="0" t="str">
        <f aca="false">CONCATENATE(D968," ",LEFT(H968,4),"T=",AU968,"D=",AV968,"R=",AW968,"M=",AX968,"L=",AY968,"B=",AZ968)</f>
        <v>TALLEY T=2D=0R=0M=0L=0B=0</v>
      </c>
      <c r="G968" s="0" t="s">
        <v>190</v>
      </c>
      <c r="I968" s="0" t="s">
        <v>4737</v>
      </c>
      <c r="J968" s="0" t="s">
        <v>399</v>
      </c>
      <c r="K968" s="0" t="s">
        <v>143</v>
      </c>
      <c r="M968" s="0" t="s">
        <v>4738</v>
      </c>
      <c r="N968" s="0" t="str">
        <f aca="false">RIGHT(M968,LEN(M968)-FIND(" ",M968))</f>
        <v>HOMEWOOD AVE SE</v>
      </c>
      <c r="P968" s="0" t="s">
        <v>145</v>
      </c>
      <c r="Q968" s="0" t="s">
        <v>146</v>
      </c>
      <c r="R968" s="0" t="n">
        <v>44484</v>
      </c>
      <c r="AD968" s="0" t="s">
        <v>147</v>
      </c>
      <c r="AE968" s="0" t="s">
        <v>148</v>
      </c>
      <c r="AF968" s="0" t="s">
        <v>149</v>
      </c>
      <c r="AH968" s="0" t="n">
        <v>14</v>
      </c>
      <c r="AI968" s="0" t="n">
        <v>11</v>
      </c>
      <c r="AN968" s="0" t="s">
        <v>145</v>
      </c>
      <c r="AO968" s="0" t="s">
        <v>150</v>
      </c>
      <c r="AP968" s="0" t="s">
        <v>151</v>
      </c>
      <c r="AQ968" s="0" t="n">
        <v>9</v>
      </c>
      <c r="AR968" s="0" t="n">
        <v>64</v>
      </c>
      <c r="AS968" s="0" t="n">
        <v>32</v>
      </c>
      <c r="AU968" s="0" t="n">
        <f aca="false">COUNTA($BA$453:$EH$453)</f>
        <v>2</v>
      </c>
      <c r="AV968" s="0" t="n">
        <f aca="false">COUNTIF($BA$453:$EH$453,"D")</f>
        <v>0</v>
      </c>
      <c r="AW968" s="0" t="n">
        <f aca="false">COUNTIF($BA$453:$EH$453,"R")</f>
        <v>0</v>
      </c>
      <c r="AX968" s="0" t="n">
        <f aca="false">IF(BN968="D",1,0)+IF(BO968="D",1,0)+IF(BT968="D",1,0)+IF(BU968="D",1,0)+IF(BW968="D",1,0)+IF(CC968="D",1,0)+IF(CD968="D",1,0)+IF(CE968="D",1,0)+IF(CF968="D",1,0)+IF(CL968="D",1,0)+IF(CM968="D",1,0)+IF(CQ968="D",1,0)+IF(CR968="D",1,0)+IF(CS968="D",1,0)+IF(CW968="D",1,0)+IF(CX968="D",1,0)+IF(DD968="D",1,0)+IF(DE968="D",1,0)+IF(DJ968="D",1,0)+IF(DK968="D",1,0)+IF(DO968="D",1,0)+IF(DP968="D",1,0)+IF(DQ968="D",1,0)+IF(DW968="D",1,0)+IF(DZ968="D",1,0)+IF(EH968="D",1,0)</f>
        <v>0</v>
      </c>
      <c r="AY968" s="0" t="n">
        <f aca="false">COUNTIF(DU968:EH968, "&lt;&gt;")</f>
        <v>0</v>
      </c>
      <c r="AZ968" s="0" t="n">
        <f aca="false">IF(EH968&lt;&gt;"",1,0)</f>
        <v>0</v>
      </c>
      <c r="BB968" s="0" t="s">
        <v>152</v>
      </c>
    </row>
    <row r="969" customFormat="false" ht="13.8" hidden="false" customHeight="false" outlineLevel="0" collapsed="false">
      <c r="A969" s="0" t="s">
        <v>4739</v>
      </c>
      <c r="B969" s="0" t="n">
        <v>78</v>
      </c>
      <c r="C969" s="0" t="n">
        <v>341863</v>
      </c>
      <c r="D969" s="0" t="s">
        <v>4740</v>
      </c>
      <c r="E969" s="0" t="s">
        <v>1710</v>
      </c>
      <c r="F969" s="0" t="str">
        <f aca="false">CONCATENATE(D969," ",LEFT(H969,4),"T=",AU969,"D=",AV969,"R=",AW969,"M=",AX969,"L=",AY969,"B=",AZ969)</f>
        <v>LIMBECK T=37D=6R=1M=0L=2B=0</v>
      </c>
      <c r="G969" s="0" t="s">
        <v>164</v>
      </c>
      <c r="I969" s="0" t="s">
        <v>4741</v>
      </c>
      <c r="J969" s="0" t="s">
        <v>3020</v>
      </c>
      <c r="K969" s="0" t="s">
        <v>160</v>
      </c>
      <c r="M969" s="0" t="s">
        <v>4742</v>
      </c>
      <c r="N969" s="0" t="str">
        <f aca="false">RIGHT(M969,LEN(M969)-FIND(" ",M969))</f>
        <v>HOMEWOOD AVE SE</v>
      </c>
      <c r="P969" s="0" t="s">
        <v>145</v>
      </c>
      <c r="Q969" s="0" t="s">
        <v>146</v>
      </c>
      <c r="R969" s="0" t="n">
        <v>44484</v>
      </c>
      <c r="AD969" s="0" t="s">
        <v>147</v>
      </c>
      <c r="AE969" s="0" t="s">
        <v>148</v>
      </c>
      <c r="AF969" s="0" t="s">
        <v>149</v>
      </c>
      <c r="AH969" s="0" t="n">
        <v>14</v>
      </c>
      <c r="AI969" s="0" t="n">
        <v>11</v>
      </c>
      <c r="AN969" s="0" t="s">
        <v>145</v>
      </c>
      <c r="AO969" s="0" t="s">
        <v>150</v>
      </c>
      <c r="AP969" s="0" t="s">
        <v>151</v>
      </c>
      <c r="AQ969" s="0" t="n">
        <v>9</v>
      </c>
      <c r="AR969" s="0" t="n">
        <v>64</v>
      </c>
      <c r="AS969" s="0" t="n">
        <v>32</v>
      </c>
      <c r="AU969" s="0" t="n">
        <f aca="false">COUNTA($BA$182:$EH$182)</f>
        <v>37</v>
      </c>
      <c r="AV969" s="0" t="n">
        <f aca="false">COUNTIF($BA$182:$EH$182,"D")</f>
        <v>6</v>
      </c>
      <c r="AW969" s="0" t="n">
        <f aca="false">COUNTIF($BA$182:$EH$182,"R")</f>
        <v>1</v>
      </c>
      <c r="AX969" s="0" t="n">
        <f aca="false">IF(BN969="D",1,0)+IF(BO969="D",1,0)+IF(BT969="D",1,0)+IF(BU969="D",1,0)+IF(BW969="D",1,0)+IF(CC969="D",1,0)+IF(CD969="D",1,0)+IF(CE969="D",1,0)+IF(CF969="D",1,0)+IF(CL969="D",1,0)+IF(CM969="D",1,0)+IF(CQ969="D",1,0)+IF(CR969="D",1,0)+IF(CS969="D",1,0)+IF(CW969="D",1,0)+IF(CX969="D",1,0)+IF(DD969="D",1,0)+IF(DE969="D",1,0)+IF(DJ969="D",1,0)+IF(DK969="D",1,0)+IF(DO969="D",1,0)+IF(DP969="D",1,0)+IF(DQ969="D",1,0)+IF(DW969="D",1,0)+IF(DZ969="D",1,0)+IF(EH969="D",1,0)</f>
        <v>0</v>
      </c>
      <c r="AY969" s="0" t="n">
        <f aca="false">COUNTIF(DU969:EH969, "&lt;&gt;")</f>
        <v>2</v>
      </c>
      <c r="AZ969" s="0" t="n">
        <f aca="false">IF(EH969&lt;&gt;"",1,0)</f>
        <v>0</v>
      </c>
      <c r="BB969" s="0" t="s">
        <v>152</v>
      </c>
      <c r="CA969" s="0" t="s">
        <v>153</v>
      </c>
      <c r="CK969" s="0" t="s">
        <v>153</v>
      </c>
      <c r="CZ969" s="0" t="s">
        <v>209</v>
      </c>
      <c r="DC969" s="0" t="s">
        <v>153</v>
      </c>
      <c r="DG969" s="0" t="s">
        <v>209</v>
      </c>
      <c r="DI969" s="0" t="s">
        <v>153</v>
      </c>
      <c r="DL969" s="0" t="s">
        <v>153</v>
      </c>
      <c r="DN969" s="0" t="s">
        <v>153</v>
      </c>
      <c r="DU969" s="0" t="s">
        <v>153</v>
      </c>
      <c r="DX969" s="0" t="s">
        <v>153</v>
      </c>
    </row>
    <row r="970" customFormat="false" ht="13.8" hidden="false" customHeight="false" outlineLevel="0" collapsed="false">
      <c r="A970" s="0" t="s">
        <v>4743</v>
      </c>
      <c r="B970" s="0" t="n">
        <v>78</v>
      </c>
      <c r="C970" s="0" t="n">
        <v>1190</v>
      </c>
      <c r="D970" s="0" t="s">
        <v>4371</v>
      </c>
      <c r="E970" s="0" t="s">
        <v>3873</v>
      </c>
      <c r="F970" s="0" t="str">
        <f aca="false">CONCATENATE(D970," ",LEFT(H970,4),"T=",AU970,"D=",AV970,"R=",AW970,"M=",AX970,"L=",AY970,"B=",AZ970)</f>
        <v>BLOSE T=12D=1R=0M=1L=5B=0</v>
      </c>
      <c r="G970" s="0" t="s">
        <v>268</v>
      </c>
      <c r="I970" s="0" t="s">
        <v>4744</v>
      </c>
      <c r="J970" s="0" t="s">
        <v>4745</v>
      </c>
      <c r="K970" s="0" t="s">
        <v>160</v>
      </c>
      <c r="L970" s="0" t="s">
        <v>175</v>
      </c>
      <c r="M970" s="0" t="s">
        <v>4746</v>
      </c>
      <c r="N970" s="0" t="str">
        <f aca="false">RIGHT(M970,LEN(M970)-FIND(" ",M970))</f>
        <v>HOMEWOOD AVE SE</v>
      </c>
      <c r="P970" s="0" t="s">
        <v>145</v>
      </c>
      <c r="Q970" s="0" t="s">
        <v>146</v>
      </c>
      <c r="R970" s="0" t="n">
        <v>44484</v>
      </c>
      <c r="AD970" s="0" t="s">
        <v>147</v>
      </c>
      <c r="AE970" s="0" t="s">
        <v>148</v>
      </c>
      <c r="AF970" s="0" t="s">
        <v>149</v>
      </c>
      <c r="AH970" s="0" t="n">
        <v>14</v>
      </c>
      <c r="AI970" s="0" t="n">
        <v>11</v>
      </c>
      <c r="AN970" s="0" t="s">
        <v>145</v>
      </c>
      <c r="AO970" s="0" t="s">
        <v>150</v>
      </c>
      <c r="AP970" s="0" t="s">
        <v>151</v>
      </c>
      <c r="AQ970" s="0" t="n">
        <v>9</v>
      </c>
      <c r="AR970" s="0" t="n">
        <v>64</v>
      </c>
      <c r="AS970" s="0" t="n">
        <v>32</v>
      </c>
      <c r="AU970" s="0" t="n">
        <f aca="false">COUNTA($BA$897:$EH$897)</f>
        <v>12</v>
      </c>
      <c r="AV970" s="0" t="n">
        <f aca="false">COUNTIF($BA$897:$EH$897,"D")</f>
        <v>1</v>
      </c>
      <c r="AW970" s="0" t="n">
        <f aca="false">COUNTIF($BA$897:$EH$897,"R")</f>
        <v>0</v>
      </c>
      <c r="AX970" s="0" t="n">
        <f aca="false">IF(BN970="D",1,0)+IF(BO970="D",1,0)+IF(BT970="D",1,0)+IF(BU970="D",1,0)+IF(BW970="D",1,0)+IF(CC970="D",1,0)+IF(CD970="D",1,0)+IF(CE970="D",1,0)+IF(CF970="D",1,0)+IF(CL970="D",1,0)+IF(CM970="D",1,0)+IF(CQ970="D",1,0)+IF(CR970="D",1,0)+IF(CS970="D",1,0)+IF(CW970="D",1,0)+IF(CX970="D",1,0)+IF(DD970="D",1,0)+IF(DE970="D",1,0)+IF(DJ970="D",1,0)+IF(DK970="D",1,0)+IF(DO970="D",1,0)+IF(DP970="D",1,0)+IF(DQ970="D",1,0)+IF(DW970="D",1,0)+IF(DZ970="D",1,0)+IF(EH970="D",1,0)</f>
        <v>1</v>
      </c>
      <c r="AY970" s="0" t="n">
        <f aca="false">COUNTIF(DU970:EH970, "&lt;&gt;")</f>
        <v>5</v>
      </c>
      <c r="AZ970" s="0" t="n">
        <f aca="false">IF(EH970&lt;&gt;"",1,0)</f>
        <v>0</v>
      </c>
      <c r="BB970" s="0" t="s">
        <v>152</v>
      </c>
      <c r="BC970" s="0" t="s">
        <v>153</v>
      </c>
      <c r="BD970" s="0" t="s">
        <v>153</v>
      </c>
      <c r="BH970" s="0" t="s">
        <v>153</v>
      </c>
      <c r="BJ970" s="0" t="s">
        <v>153</v>
      </c>
      <c r="BK970" s="0" t="s">
        <v>153</v>
      </c>
      <c r="BL970" s="0" t="s">
        <v>153</v>
      </c>
      <c r="BP970" s="0" t="s">
        <v>153</v>
      </c>
      <c r="BS970" s="0" t="s">
        <v>153</v>
      </c>
      <c r="BV970" s="0" t="s">
        <v>153</v>
      </c>
      <c r="BY970" s="0" t="s">
        <v>175</v>
      </c>
      <c r="CA970" s="0" t="s">
        <v>153</v>
      </c>
      <c r="CG970" s="0" t="s">
        <v>153</v>
      </c>
      <c r="CK970" s="0" t="s">
        <v>153</v>
      </c>
      <c r="CP970" s="0" t="s">
        <v>153</v>
      </c>
      <c r="CY970" s="0" t="s">
        <v>153</v>
      </c>
      <c r="CZ970" s="0" t="s">
        <v>175</v>
      </c>
      <c r="DC970" s="0" t="s">
        <v>153</v>
      </c>
      <c r="DI970" s="0" t="s">
        <v>153</v>
      </c>
      <c r="DL970" s="0" t="s">
        <v>153</v>
      </c>
      <c r="DN970" s="0" t="s">
        <v>153</v>
      </c>
      <c r="DR970" s="0" t="s">
        <v>153</v>
      </c>
      <c r="DS970" s="0" t="s">
        <v>175</v>
      </c>
      <c r="DT970" s="0" t="s">
        <v>175</v>
      </c>
      <c r="DU970" s="0" t="s">
        <v>153</v>
      </c>
      <c r="DW970" s="0" t="s">
        <v>175</v>
      </c>
      <c r="DX970" s="0" t="s">
        <v>153</v>
      </c>
      <c r="EA970" s="0" t="s">
        <v>153</v>
      </c>
      <c r="EF970" s="0" t="s">
        <v>153</v>
      </c>
    </row>
    <row r="971" customFormat="false" ht="13.8" hidden="false" customHeight="false" outlineLevel="0" collapsed="false">
      <c r="A971" s="0" t="s">
        <v>4747</v>
      </c>
      <c r="B971" s="0" t="n">
        <v>78</v>
      </c>
      <c r="C971" s="0" t="n">
        <v>1189</v>
      </c>
      <c r="D971" s="0" t="s">
        <v>4371</v>
      </c>
      <c r="E971" s="0" t="s">
        <v>2049</v>
      </c>
      <c r="F971" s="0" t="str">
        <f aca="false">CONCATENATE(D971," ",LEFT(H971,4),"T=",AU971,"D=",AV971,"R=",AW971,"M=",AX971,"L=",AY971,"B=",AZ971)</f>
        <v>BLOSE T=3D=0R=0M=1L=4B=0</v>
      </c>
      <c r="G971" s="0" t="s">
        <v>171</v>
      </c>
      <c r="I971" s="0" t="s">
        <v>4748</v>
      </c>
      <c r="J971" s="0" t="s">
        <v>4745</v>
      </c>
      <c r="K971" s="0" t="s">
        <v>160</v>
      </c>
      <c r="L971" s="0" t="s">
        <v>175</v>
      </c>
      <c r="M971" s="0" t="s">
        <v>4746</v>
      </c>
      <c r="N971" s="0" t="str">
        <f aca="false">RIGHT(M971,LEN(M971)-FIND(" ",M971))</f>
        <v>HOMEWOOD AVE SE</v>
      </c>
      <c r="P971" s="0" t="s">
        <v>145</v>
      </c>
      <c r="Q971" s="0" t="s">
        <v>146</v>
      </c>
      <c r="R971" s="0" t="n">
        <v>44484</v>
      </c>
      <c r="AD971" s="0" t="s">
        <v>147</v>
      </c>
      <c r="AE971" s="0" t="s">
        <v>148</v>
      </c>
      <c r="AF971" s="0" t="s">
        <v>149</v>
      </c>
      <c r="AH971" s="0" t="n">
        <v>14</v>
      </c>
      <c r="AI971" s="0" t="n">
        <v>11</v>
      </c>
      <c r="AN971" s="0" t="s">
        <v>145</v>
      </c>
      <c r="AO971" s="0" t="s">
        <v>150</v>
      </c>
      <c r="AP971" s="0" t="s">
        <v>151</v>
      </c>
      <c r="AQ971" s="0" t="n">
        <v>9</v>
      </c>
      <c r="AR971" s="0" t="n">
        <v>64</v>
      </c>
      <c r="AS971" s="0" t="n">
        <v>32</v>
      </c>
      <c r="AU971" s="0" t="n">
        <f aca="false">COUNTA($BA$1029:$EH$1029)</f>
        <v>3</v>
      </c>
      <c r="AV971" s="0" t="n">
        <f aca="false">COUNTIF($BA$1029:$EH$1029,"D")</f>
        <v>0</v>
      </c>
      <c r="AW971" s="0" t="n">
        <f aca="false">COUNTIF($BA$1029:$EH$1029,"R")</f>
        <v>0</v>
      </c>
      <c r="AX971" s="0" t="n">
        <f aca="false">IF(BN971="D",1,0)+IF(BO971="D",1,0)+IF(BT971="D",1,0)+IF(BU971="D",1,0)+IF(BW971="D",1,0)+IF(CC971="D",1,0)+IF(CD971="D",1,0)+IF(CE971="D",1,0)+IF(CF971="D",1,0)+IF(CL971="D",1,0)+IF(CM971="D",1,0)+IF(CQ971="D",1,0)+IF(CR971="D",1,0)+IF(CS971="D",1,0)+IF(CW971="D",1,0)+IF(CX971="D",1,0)+IF(DD971="D",1,0)+IF(DE971="D",1,0)+IF(DJ971="D",1,0)+IF(DK971="D",1,0)+IF(DO971="D",1,0)+IF(DP971="D",1,0)+IF(DQ971="D",1,0)+IF(DW971="D",1,0)+IF(DZ971="D",1,0)+IF(EH971="D",1,0)</f>
        <v>1</v>
      </c>
      <c r="AY971" s="0" t="n">
        <f aca="false">COUNTIF(DU971:EH971, "&lt;&gt;")</f>
        <v>4</v>
      </c>
      <c r="AZ971" s="0" t="n">
        <f aca="false">IF(EH971&lt;&gt;"",1,0)</f>
        <v>0</v>
      </c>
      <c r="BB971" s="0" t="s">
        <v>152</v>
      </c>
      <c r="BC971" s="0" t="s">
        <v>153</v>
      </c>
      <c r="BD971" s="0" t="s">
        <v>153</v>
      </c>
      <c r="BH971" s="0" t="s">
        <v>153</v>
      </c>
      <c r="BI971" s="0" t="s">
        <v>153</v>
      </c>
      <c r="BJ971" s="0" t="s">
        <v>153</v>
      </c>
      <c r="BK971" s="0" t="s">
        <v>153</v>
      </c>
      <c r="BL971" s="0" t="s">
        <v>153</v>
      </c>
      <c r="BP971" s="0" t="s">
        <v>153</v>
      </c>
      <c r="BR971" s="0" t="s">
        <v>153</v>
      </c>
      <c r="BS971" s="0" t="s">
        <v>153</v>
      </c>
      <c r="BT971" s="0" t="s">
        <v>153</v>
      </c>
      <c r="BV971" s="0" t="s">
        <v>153</v>
      </c>
      <c r="BY971" s="0" t="s">
        <v>175</v>
      </c>
      <c r="CA971" s="0" t="s">
        <v>153</v>
      </c>
      <c r="CC971" s="0" t="s">
        <v>175</v>
      </c>
      <c r="CH971" s="0" t="s">
        <v>175</v>
      </c>
      <c r="CK971" s="0" t="s">
        <v>153</v>
      </c>
      <c r="CP971" s="0" t="s">
        <v>153</v>
      </c>
      <c r="CY971" s="0" t="s">
        <v>153</v>
      </c>
      <c r="CZ971" s="0" t="s">
        <v>175</v>
      </c>
      <c r="DC971" s="0" t="s">
        <v>153</v>
      </c>
      <c r="DF971" s="0" t="s">
        <v>153</v>
      </c>
      <c r="DI971" s="0" t="s">
        <v>153</v>
      </c>
      <c r="DL971" s="0" t="s">
        <v>153</v>
      </c>
      <c r="DN971" s="0" t="s">
        <v>153</v>
      </c>
      <c r="DR971" s="0" t="s">
        <v>153</v>
      </c>
      <c r="DT971" s="0" t="s">
        <v>175</v>
      </c>
      <c r="DU971" s="0" t="s">
        <v>153</v>
      </c>
      <c r="DX971" s="0" t="s">
        <v>153</v>
      </c>
      <c r="EA971" s="0" t="s">
        <v>153</v>
      </c>
      <c r="EF971" s="0" t="s">
        <v>153</v>
      </c>
    </row>
    <row r="972" customFormat="false" ht="13.8" hidden="true" customHeight="false" outlineLevel="0" collapsed="false">
      <c r="A972" s="0" t="s">
        <v>4749</v>
      </c>
      <c r="B972" s="0" t="n">
        <v>78</v>
      </c>
      <c r="C972" s="0" t="n">
        <v>358347</v>
      </c>
      <c r="D972" s="0" t="s">
        <v>3837</v>
      </c>
      <c r="E972" s="0" t="s">
        <v>4750</v>
      </c>
      <c r="F972" s="0" t="str">
        <f aca="false">CONCATENATE(D972," ",LEFT(H972,4),"T=",AU972,"D=",AV972,"R=",AW972,"M=",AX972,"L=",AY972,"B=",AZ972)</f>
        <v>ALLGOOD IIT=5D=0R=0M=0L=1B=0</v>
      </c>
      <c r="G972" s="0" t="s">
        <v>522</v>
      </c>
      <c r="H972" s="0" t="s">
        <v>476</v>
      </c>
      <c r="I972" s="0" t="s">
        <v>4751</v>
      </c>
      <c r="J972" s="0" t="s">
        <v>2007</v>
      </c>
      <c r="K972" s="0" t="s">
        <v>160</v>
      </c>
      <c r="M972" s="0" t="s">
        <v>4752</v>
      </c>
      <c r="N972" s="0" t="str">
        <f aca="false">RIGHT(M972,LEN(M972)-FIND(" ",M972))</f>
        <v>HOMEWOOD AVE SE</v>
      </c>
      <c r="P972" s="0" t="s">
        <v>145</v>
      </c>
      <c r="Q972" s="0" t="s">
        <v>146</v>
      </c>
      <c r="R972" s="0" t="n">
        <v>44484</v>
      </c>
      <c r="AD972" s="0" t="s">
        <v>147</v>
      </c>
      <c r="AE972" s="0" t="s">
        <v>148</v>
      </c>
      <c r="AF972" s="0" t="s">
        <v>149</v>
      </c>
      <c r="AH972" s="0" t="n">
        <v>14</v>
      </c>
      <c r="AI972" s="0" t="n">
        <v>11</v>
      </c>
      <c r="AN972" s="0" t="s">
        <v>145</v>
      </c>
      <c r="AO972" s="0" t="s">
        <v>150</v>
      </c>
      <c r="AP972" s="0" t="s">
        <v>151</v>
      </c>
      <c r="AQ972" s="0" t="n">
        <v>9</v>
      </c>
      <c r="AR972" s="0" t="n">
        <v>64</v>
      </c>
      <c r="AS972" s="0" t="n">
        <v>32</v>
      </c>
      <c r="AU972" s="0" t="n">
        <f aca="false">COUNTA($BA$455:$EH$455)</f>
        <v>5</v>
      </c>
      <c r="AV972" s="0" t="n">
        <f aca="false">COUNTIF($BA$455:$EH$455,"D")</f>
        <v>0</v>
      </c>
      <c r="AW972" s="0" t="n">
        <f aca="false">COUNTIF($BA$455:$EH$455,"R")</f>
        <v>0</v>
      </c>
      <c r="AX972" s="0" t="n">
        <f aca="false">IF(BN972="D",1,0)+IF(BO972="D",1,0)+IF(BT972="D",1,0)+IF(BU972="D",1,0)+IF(BW972="D",1,0)+IF(CC972="D",1,0)+IF(CD972="D",1,0)+IF(CE972="D",1,0)+IF(CF972="D",1,0)+IF(CL972="D",1,0)+IF(CM972="D",1,0)+IF(CQ972="D",1,0)+IF(CR972="D",1,0)+IF(CS972="D",1,0)+IF(CW972="D",1,0)+IF(CX972="D",1,0)+IF(DD972="D",1,0)+IF(DE972="D",1,0)+IF(DJ972="D",1,0)+IF(DK972="D",1,0)+IF(DO972="D",1,0)+IF(DP972="D",1,0)+IF(DQ972="D",1,0)+IF(DW972="D",1,0)+IF(DZ972="D",1,0)+IF(EH972="D",1,0)</f>
        <v>0</v>
      </c>
      <c r="AY972" s="0" t="n">
        <f aca="false">COUNTIF(DU972:EH972, "&lt;&gt;")</f>
        <v>1</v>
      </c>
      <c r="AZ972" s="0" t="n">
        <f aca="false">IF(EH972&lt;&gt;"",1,0)</f>
        <v>0</v>
      </c>
      <c r="BB972" s="0" t="s">
        <v>152</v>
      </c>
      <c r="CA972" s="0" t="s">
        <v>153</v>
      </c>
      <c r="CK972" s="0" t="s">
        <v>153</v>
      </c>
      <c r="CP972" s="0" t="s">
        <v>153</v>
      </c>
      <c r="CV972" s="0" t="s">
        <v>153</v>
      </c>
      <c r="DC972" s="0" t="s">
        <v>153</v>
      </c>
      <c r="DI972" s="0" t="s">
        <v>153</v>
      </c>
      <c r="EF972" s="0" t="s">
        <v>153</v>
      </c>
    </row>
    <row r="973" customFormat="false" ht="13.8" hidden="true" customHeight="false" outlineLevel="0" collapsed="false">
      <c r="A973" s="0" t="s">
        <v>4753</v>
      </c>
      <c r="B973" s="0" t="n">
        <v>78</v>
      </c>
      <c r="C973" s="0" t="n">
        <v>484308</v>
      </c>
      <c r="D973" s="0" t="s">
        <v>4754</v>
      </c>
      <c r="E973" s="0" t="s">
        <v>208</v>
      </c>
      <c r="F973" s="0" t="str">
        <f aca="false">CONCATENATE(D973," ",LEFT(H973,4),"T=",AU973,"D=",AV973,"R=",AW973,"M=",AX973,"L=",AY973,"B=",AZ973)</f>
        <v>CESSNA T=1D=0R=0M=0L=1B=0</v>
      </c>
      <c r="G973" s="0" t="s">
        <v>4755</v>
      </c>
      <c r="I973" s="0" t="s">
        <v>4756</v>
      </c>
      <c r="J973" s="0" t="s">
        <v>4757</v>
      </c>
      <c r="K973" s="0" t="s">
        <v>160</v>
      </c>
      <c r="M973" s="0" t="s">
        <v>4758</v>
      </c>
      <c r="N973" s="0" t="str">
        <f aca="false">RIGHT(M973,LEN(M973)-FIND(" ",M973))</f>
        <v>HOMEWOOD AVE SE</v>
      </c>
      <c r="P973" s="0" t="s">
        <v>145</v>
      </c>
      <c r="Q973" s="0" t="s">
        <v>146</v>
      </c>
      <c r="R973" s="0" t="n">
        <v>44484</v>
      </c>
      <c r="AD973" s="0" t="s">
        <v>147</v>
      </c>
      <c r="AE973" s="0" t="s">
        <v>148</v>
      </c>
      <c r="AF973" s="0" t="s">
        <v>149</v>
      </c>
      <c r="AH973" s="0" t="n">
        <v>14</v>
      </c>
      <c r="AI973" s="0" t="n">
        <v>11</v>
      </c>
      <c r="AN973" s="0" t="s">
        <v>145</v>
      </c>
      <c r="AO973" s="0" t="s">
        <v>150</v>
      </c>
      <c r="AP973" s="0" t="s">
        <v>151</v>
      </c>
      <c r="AQ973" s="0" t="n">
        <v>9</v>
      </c>
      <c r="AR973" s="0" t="n">
        <v>64</v>
      </c>
      <c r="AS973" s="0" t="n">
        <v>32</v>
      </c>
      <c r="AU973" s="0" t="n">
        <f aca="false">COUNTA($BA$576:$EH$576)</f>
        <v>1</v>
      </c>
      <c r="AV973" s="0" t="n">
        <f aca="false">COUNTIF($BA$576:$EH$576,"D")</f>
        <v>0</v>
      </c>
      <c r="AW973" s="0" t="n">
        <f aca="false">COUNTIF($BA$576:$EH$576,"R")</f>
        <v>0</v>
      </c>
      <c r="AX973" s="0" t="n">
        <f aca="false">IF(BN973="D",1,0)+IF(BO973="D",1,0)+IF(BT973="D",1,0)+IF(BU973="D",1,0)+IF(BW973="D",1,0)+IF(CC973="D",1,0)+IF(CD973="D",1,0)+IF(CE973="D",1,0)+IF(CF973="D",1,0)+IF(CL973="D",1,0)+IF(CM973="D",1,0)+IF(CQ973="D",1,0)+IF(CR973="D",1,0)+IF(CS973="D",1,0)+IF(CW973="D",1,0)+IF(CX973="D",1,0)+IF(DD973="D",1,0)+IF(DE973="D",1,0)+IF(DJ973="D",1,0)+IF(DK973="D",1,0)+IF(DO973="D",1,0)+IF(DP973="D",1,0)+IF(DQ973="D",1,0)+IF(DW973="D",1,0)+IF(DZ973="D",1,0)+IF(EH973="D",1,0)</f>
        <v>0</v>
      </c>
      <c r="AY973" s="0" t="n">
        <f aca="false">COUNTIF(DU973:EH973, "&lt;&gt;")</f>
        <v>1</v>
      </c>
      <c r="AZ973" s="0" t="n">
        <f aca="false">IF(EH973&lt;&gt;"",1,0)</f>
        <v>0</v>
      </c>
      <c r="BB973" s="0" t="s">
        <v>152</v>
      </c>
      <c r="BL973" s="0" t="s">
        <v>153</v>
      </c>
      <c r="CA973" s="0" t="s">
        <v>153</v>
      </c>
      <c r="EF973" s="0" t="s">
        <v>153</v>
      </c>
    </row>
    <row r="974" customFormat="false" ht="13.8" hidden="true" customHeight="false" outlineLevel="0" collapsed="false">
      <c r="A974" s="0" t="s">
        <v>4759</v>
      </c>
      <c r="B974" s="0" t="n">
        <v>78</v>
      </c>
      <c r="C974" s="0" t="n">
        <v>472451</v>
      </c>
      <c r="D974" s="0" t="s">
        <v>1818</v>
      </c>
      <c r="E974" s="0" t="s">
        <v>275</v>
      </c>
      <c r="F974" s="0" t="str">
        <f aca="false">CONCATENATE(D974," ",LEFT(H974,4),"T=",AU974,"D=",AV974,"R=",AW974,"M=",AX974,"L=",AY974,"B=",AZ974)</f>
        <v>LOPEZ T=21D=1R=0M=0L=0B=0</v>
      </c>
      <c r="G974" s="0" t="s">
        <v>379</v>
      </c>
      <c r="I974" s="0" t="s">
        <v>4760</v>
      </c>
      <c r="J974" s="0" t="s">
        <v>4761</v>
      </c>
      <c r="K974" s="0" t="s">
        <v>160</v>
      </c>
      <c r="M974" s="0" t="s">
        <v>4762</v>
      </c>
      <c r="N974" s="0" t="str">
        <f aca="false">RIGHT(M974,LEN(M974)-FIND(" ",M974))</f>
        <v>HOMEWOOD AVE SE</v>
      </c>
      <c r="P974" s="0" t="s">
        <v>145</v>
      </c>
      <c r="Q974" s="0" t="s">
        <v>146</v>
      </c>
      <c r="R974" s="0" t="n">
        <v>44484</v>
      </c>
      <c r="AD974" s="0" t="s">
        <v>147</v>
      </c>
      <c r="AE974" s="0" t="s">
        <v>148</v>
      </c>
      <c r="AF974" s="0" t="s">
        <v>149</v>
      </c>
      <c r="AH974" s="0" t="n">
        <v>14</v>
      </c>
      <c r="AI974" s="0" t="n">
        <v>11</v>
      </c>
      <c r="AN974" s="0" t="s">
        <v>145</v>
      </c>
      <c r="AO974" s="0" t="s">
        <v>150</v>
      </c>
      <c r="AP974" s="0" t="s">
        <v>151</v>
      </c>
      <c r="AQ974" s="0" t="n">
        <v>9</v>
      </c>
      <c r="AR974" s="0" t="n">
        <v>64</v>
      </c>
      <c r="AS974" s="0" t="n">
        <v>32</v>
      </c>
      <c r="AU974" s="0" t="n">
        <f aca="false">COUNTA($BA$959:$EH$959)</f>
        <v>21</v>
      </c>
      <c r="AV974" s="0" t="n">
        <f aca="false">COUNTIF($BA$959:$EH$959,"D")</f>
        <v>1</v>
      </c>
      <c r="AW974" s="0" t="n">
        <f aca="false">COUNTIF($BA$959:$EH$959,"R")</f>
        <v>0</v>
      </c>
      <c r="AX974" s="0" t="n">
        <f aca="false">IF(BN974="D",1,0)+IF(BO974="D",1,0)+IF(BT974="D",1,0)+IF(BU974="D",1,0)+IF(BW974="D",1,0)+IF(CC974="D",1,0)+IF(CD974="D",1,0)+IF(CE974="D",1,0)+IF(CF974="D",1,0)+IF(CL974="D",1,0)+IF(CM974="D",1,0)+IF(CQ974="D",1,0)+IF(CR974="D",1,0)+IF(CS974="D",1,0)+IF(CW974="D",1,0)+IF(CX974="D",1,0)+IF(DD974="D",1,0)+IF(DE974="D",1,0)+IF(DJ974="D",1,0)+IF(DK974="D",1,0)+IF(DO974="D",1,0)+IF(DP974="D",1,0)+IF(DQ974="D",1,0)+IF(DW974="D",1,0)+IF(DZ974="D",1,0)+IF(EH974="D",1,0)</f>
        <v>0</v>
      </c>
      <c r="AY974" s="0" t="n">
        <f aca="false">COUNTIF(DU974:EH974, "&lt;&gt;")</f>
        <v>0</v>
      </c>
      <c r="AZ974" s="0" t="n">
        <f aca="false">IF(EH974&lt;&gt;"",1,0)</f>
        <v>0</v>
      </c>
      <c r="BB974" s="0" t="s">
        <v>152</v>
      </c>
      <c r="CP974" s="0" t="s">
        <v>153</v>
      </c>
    </row>
    <row r="975" customFormat="false" ht="13.8" hidden="true" customHeight="false" outlineLevel="0" collapsed="false">
      <c r="A975" s="0" t="s">
        <v>4763</v>
      </c>
      <c r="B975" s="0" t="n">
        <v>78</v>
      </c>
      <c r="C975" s="0" t="n">
        <v>496474</v>
      </c>
      <c r="D975" s="0" t="s">
        <v>4764</v>
      </c>
      <c r="E975" s="0" t="s">
        <v>4765</v>
      </c>
      <c r="F975" s="0" t="str">
        <f aca="false">CONCATENATE(D975," ",LEFT(H975,4),"T=",AU975,"D=",AV975,"R=",AW975,"M=",AX975,"L=",AY975,"B=",AZ975)</f>
        <v>MCCORKLE T=12D=1R=0M=0L=0B=0</v>
      </c>
      <c r="G975" s="0" t="s">
        <v>600</v>
      </c>
      <c r="I975" s="0" t="s">
        <v>4766</v>
      </c>
      <c r="J975" s="0" t="s">
        <v>4767</v>
      </c>
      <c r="K975" s="0" t="s">
        <v>160</v>
      </c>
      <c r="M975" s="0" t="s">
        <v>4768</v>
      </c>
      <c r="N975" s="0" t="str">
        <f aca="false">RIGHT(M975,LEN(M975)-FIND(" ",M975))</f>
        <v>HOMEWOOD AVE SE</v>
      </c>
      <c r="P975" s="0" t="s">
        <v>145</v>
      </c>
      <c r="Q975" s="0" t="s">
        <v>146</v>
      </c>
      <c r="R975" s="0" t="n">
        <v>44484</v>
      </c>
      <c r="AD975" s="0" t="s">
        <v>147</v>
      </c>
      <c r="AE975" s="0" t="s">
        <v>148</v>
      </c>
      <c r="AF975" s="0" t="s">
        <v>149</v>
      </c>
      <c r="AH975" s="0" t="n">
        <v>14</v>
      </c>
      <c r="AI975" s="0" t="n">
        <v>11</v>
      </c>
      <c r="AN975" s="0" t="s">
        <v>145</v>
      </c>
      <c r="AO975" s="0" t="s">
        <v>233</v>
      </c>
      <c r="AP975" s="0" t="s">
        <v>234</v>
      </c>
      <c r="AQ975" s="0" t="n">
        <v>9</v>
      </c>
      <c r="AR975" s="0" t="n">
        <v>64</v>
      </c>
      <c r="AS975" s="0" t="n">
        <v>32</v>
      </c>
      <c r="AU975" s="0" t="n">
        <f aca="false">COUNTA($BA$2548:$EH$2548)</f>
        <v>12</v>
      </c>
      <c r="AV975" s="0" t="n">
        <f aca="false">COUNTIF($BA$2548:$EH$2548,"D")</f>
        <v>1</v>
      </c>
      <c r="AW975" s="0" t="n">
        <f aca="false">COUNTIF($BA$2548:$EH$2548,"R")</f>
        <v>0</v>
      </c>
      <c r="AX975" s="0" t="n">
        <f aca="false">IF(BN975="D",1,0)+IF(BO975="D",1,0)+IF(BT975="D",1,0)+IF(BU975="D",1,0)+IF(BW975="D",1,0)+IF(CC975="D",1,0)+IF(CD975="D",1,0)+IF(CE975="D",1,0)+IF(CF975="D",1,0)+IF(CL975="D",1,0)+IF(CM975="D",1,0)+IF(CQ975="D",1,0)+IF(CR975="D",1,0)+IF(CS975="D",1,0)+IF(CW975="D",1,0)+IF(CX975="D",1,0)+IF(DD975="D",1,0)+IF(DE975="D",1,0)+IF(DJ975="D",1,0)+IF(DK975="D",1,0)+IF(DO975="D",1,0)+IF(DP975="D",1,0)+IF(DQ975="D",1,0)+IF(DW975="D",1,0)+IF(DZ975="D",1,0)+IF(EH975="D",1,0)</f>
        <v>0</v>
      </c>
      <c r="AY975" s="0" t="n">
        <f aca="false">COUNTIF(DU975:EH975, "&lt;&gt;")</f>
        <v>0</v>
      </c>
      <c r="AZ975" s="0" t="n">
        <f aca="false">IF(EH975&lt;&gt;"",1,0)</f>
        <v>0</v>
      </c>
      <c r="BB975" s="0" t="s">
        <v>152</v>
      </c>
      <c r="BL975" s="0" t="s">
        <v>153</v>
      </c>
      <c r="CA975" s="0" t="s">
        <v>153</v>
      </c>
      <c r="CP975" s="0" t="s">
        <v>153</v>
      </c>
      <c r="DI975" s="0" t="s">
        <v>153</v>
      </c>
    </row>
    <row r="976" customFormat="false" ht="13.8" hidden="true" customHeight="false" outlineLevel="0" collapsed="false">
      <c r="A976" s="0" t="s">
        <v>4769</v>
      </c>
      <c r="B976" s="0" t="n">
        <v>78</v>
      </c>
      <c r="C976" s="0" t="n">
        <v>308902</v>
      </c>
      <c r="D976" s="0" t="s">
        <v>761</v>
      </c>
      <c r="E976" s="0" t="s">
        <v>4770</v>
      </c>
      <c r="F976" s="0" t="str">
        <f aca="false">CONCATENATE(D976," ",LEFT(H976,4),"T=",AU976,"D=",AV976,"R=",AW976,"M=",AX976,"L=",AY976,"B=",AZ976)</f>
        <v>BROWN T=2D=0R=0M=0L=0B=0</v>
      </c>
      <c r="G976" s="0" t="s">
        <v>756</v>
      </c>
      <c r="I976" s="0" t="s">
        <v>4771</v>
      </c>
      <c r="J976" s="0" t="s">
        <v>2560</v>
      </c>
      <c r="K976" s="0" t="s">
        <v>143</v>
      </c>
      <c r="M976" s="0" t="s">
        <v>4768</v>
      </c>
      <c r="N976" s="0" t="str">
        <f aca="false">RIGHT(M976,LEN(M976)-FIND(" ",M976))</f>
        <v>HOMEWOOD AVE SE</v>
      </c>
      <c r="P976" s="0" t="s">
        <v>145</v>
      </c>
      <c r="Q976" s="0" t="s">
        <v>146</v>
      </c>
      <c r="R976" s="0" t="n">
        <v>44484</v>
      </c>
      <c r="AD976" s="0" t="s">
        <v>147</v>
      </c>
      <c r="AE976" s="0" t="s">
        <v>148</v>
      </c>
      <c r="AF976" s="0" t="s">
        <v>149</v>
      </c>
      <c r="AH976" s="0" t="n">
        <v>14</v>
      </c>
      <c r="AI976" s="0" t="n">
        <v>11</v>
      </c>
      <c r="AN976" s="0" t="s">
        <v>145</v>
      </c>
      <c r="AO976" s="0" t="s">
        <v>233</v>
      </c>
      <c r="AP976" s="0" t="s">
        <v>234</v>
      </c>
      <c r="AQ976" s="0" t="n">
        <v>9</v>
      </c>
      <c r="AR976" s="0" t="n">
        <v>64</v>
      </c>
      <c r="AS976" s="0" t="n">
        <v>32</v>
      </c>
      <c r="AU976" s="0" t="n">
        <f aca="false">COUNTA($BA$2549:$EH$2549)</f>
        <v>2</v>
      </c>
      <c r="AV976" s="0" t="n">
        <f aca="false">COUNTIF($BA$2549:$EH$2549,"D")</f>
        <v>0</v>
      </c>
      <c r="AW976" s="0" t="n">
        <f aca="false">COUNTIF($BA$2549:$EH$2549,"R")</f>
        <v>0</v>
      </c>
      <c r="AX976" s="0" t="n">
        <f aca="false">IF(BN976="D",1,0)+IF(BO976="D",1,0)+IF(BT976="D",1,0)+IF(BU976="D",1,0)+IF(BW976="D",1,0)+IF(CC976="D",1,0)+IF(CD976="D",1,0)+IF(CE976="D",1,0)+IF(CF976="D",1,0)+IF(CL976="D",1,0)+IF(CM976="D",1,0)+IF(CQ976="D",1,0)+IF(CR976="D",1,0)+IF(CS976="D",1,0)+IF(CW976="D",1,0)+IF(CX976="D",1,0)+IF(DD976="D",1,0)+IF(DE976="D",1,0)+IF(DJ976="D",1,0)+IF(DK976="D",1,0)+IF(DO976="D",1,0)+IF(DP976="D",1,0)+IF(DQ976="D",1,0)+IF(DW976="D",1,0)+IF(DZ976="D",1,0)+IF(EH976="D",1,0)</f>
        <v>0</v>
      </c>
      <c r="AY976" s="0" t="n">
        <f aca="false">COUNTIF(DU976:EH976, "&lt;&gt;")</f>
        <v>0</v>
      </c>
      <c r="AZ976" s="0" t="n">
        <f aca="false">IF(EH976&lt;&gt;"",1,0)</f>
        <v>0</v>
      </c>
      <c r="BB976" s="0" t="s">
        <v>152</v>
      </c>
    </row>
    <row r="977" customFormat="false" ht="13.8" hidden="true" customHeight="false" outlineLevel="0" collapsed="false">
      <c r="A977" s="0" t="s">
        <v>4772</v>
      </c>
      <c r="B977" s="0" t="n">
        <v>78</v>
      </c>
      <c r="C977" s="0" t="n">
        <v>490308</v>
      </c>
      <c r="D977" s="0" t="s">
        <v>4773</v>
      </c>
      <c r="E977" s="0" t="s">
        <v>4774</v>
      </c>
      <c r="F977" s="0" t="str">
        <f aca="false">CONCATENATE(D977," ",LEFT(H977,4),"T=",AU977,"D=",AV977,"R=",AW977,"M=",AX977,"L=",AY977,"B=",AZ977)</f>
        <v>DIANA T=1D=0R=0M=0L=0B=0</v>
      </c>
      <c r="G977" s="0" t="s">
        <v>175</v>
      </c>
      <c r="I977" s="0" t="s">
        <v>4775</v>
      </c>
      <c r="J977" s="0" t="s">
        <v>1420</v>
      </c>
      <c r="K977" s="0" t="s">
        <v>160</v>
      </c>
      <c r="M977" s="0" t="s">
        <v>4776</v>
      </c>
      <c r="N977" s="0" t="str">
        <f aca="false">RIGHT(M977,LEN(M977)-FIND(" ",M977))</f>
        <v>HOMEWOOD AVE SE</v>
      </c>
      <c r="P977" s="0" t="s">
        <v>145</v>
      </c>
      <c r="Q977" s="0" t="s">
        <v>146</v>
      </c>
      <c r="R977" s="0" t="n">
        <v>44484</v>
      </c>
      <c r="AD977" s="0" t="s">
        <v>147</v>
      </c>
      <c r="AE977" s="0" t="s">
        <v>148</v>
      </c>
      <c r="AF977" s="0" t="s">
        <v>149</v>
      </c>
      <c r="AH977" s="0" t="n">
        <v>14</v>
      </c>
      <c r="AI977" s="0" t="n">
        <v>11</v>
      </c>
      <c r="AN977" s="0" t="s">
        <v>145</v>
      </c>
      <c r="AO977" s="0" t="s">
        <v>233</v>
      </c>
      <c r="AP977" s="0" t="s">
        <v>234</v>
      </c>
      <c r="AQ977" s="0" t="n">
        <v>9</v>
      </c>
      <c r="AR977" s="0" t="n">
        <v>64</v>
      </c>
      <c r="AS977" s="0" t="n">
        <v>32</v>
      </c>
      <c r="AU977" s="0" t="n">
        <f aca="false">COUNTA($BA$2082:$EH$2082)</f>
        <v>1</v>
      </c>
      <c r="AV977" s="0" t="n">
        <f aca="false">COUNTIF($BA$2082:$EH$2082,"D")</f>
        <v>0</v>
      </c>
      <c r="AW977" s="0" t="n">
        <f aca="false">COUNTIF($BA$2082:$EH$2082,"R")</f>
        <v>0</v>
      </c>
      <c r="AX977" s="0" t="n">
        <f aca="false">IF(BN977="D",1,0)+IF(BO977="D",1,0)+IF(BT977="D",1,0)+IF(BU977="D",1,0)+IF(BW977="D",1,0)+IF(CC977="D",1,0)+IF(CD977="D",1,0)+IF(CE977="D",1,0)+IF(CF977="D",1,0)+IF(CL977="D",1,0)+IF(CM977="D",1,0)+IF(CQ977="D",1,0)+IF(CR977="D",1,0)+IF(CS977="D",1,0)+IF(CW977="D",1,0)+IF(CX977="D",1,0)+IF(DD977="D",1,0)+IF(DE977="D",1,0)+IF(DJ977="D",1,0)+IF(DK977="D",1,0)+IF(DO977="D",1,0)+IF(DP977="D",1,0)+IF(DQ977="D",1,0)+IF(DW977="D",1,0)+IF(DZ977="D",1,0)+IF(EH977="D",1,0)</f>
        <v>0</v>
      </c>
      <c r="AY977" s="0" t="n">
        <f aca="false">COUNTIF(DU977:EH977, "&lt;&gt;")</f>
        <v>0</v>
      </c>
      <c r="AZ977" s="0" t="n">
        <f aca="false">IF(EH977&lt;&gt;"",1,0)</f>
        <v>0</v>
      </c>
      <c r="BB977" s="0" t="s">
        <v>152</v>
      </c>
    </row>
    <row r="978" customFormat="false" ht="13.8" hidden="false" customHeight="false" outlineLevel="0" collapsed="false">
      <c r="A978" s="0" t="s">
        <v>4777</v>
      </c>
      <c r="B978" s="0" t="n">
        <v>78</v>
      </c>
      <c r="C978" s="0" t="n">
        <v>163605</v>
      </c>
      <c r="D978" s="0" t="s">
        <v>4778</v>
      </c>
      <c r="E978" s="0" t="s">
        <v>3201</v>
      </c>
      <c r="F978" s="0" t="str">
        <f aca="false">CONCATENATE(D978," ",LEFT(H978,4),"T=",AU978,"D=",AV978,"R=",AW978,"M=",AX978,"L=",AY978,"B=",AZ978)</f>
        <v>SAMS T=18D=3R=0M=0L=6B=1</v>
      </c>
      <c r="G978" s="0" t="s">
        <v>195</v>
      </c>
      <c r="I978" s="0" t="s">
        <v>4779</v>
      </c>
      <c r="J978" s="0" t="s">
        <v>4780</v>
      </c>
      <c r="K978" s="0" t="s">
        <v>160</v>
      </c>
      <c r="L978" s="0" t="s">
        <v>209</v>
      </c>
      <c r="M978" s="0" t="s">
        <v>4776</v>
      </c>
      <c r="N978" s="0" t="str">
        <f aca="false">RIGHT(M978,LEN(M978)-FIND(" ",M978))</f>
        <v>HOMEWOOD AVE SE</v>
      </c>
      <c r="P978" s="0" t="s">
        <v>145</v>
      </c>
      <c r="Q978" s="0" t="s">
        <v>146</v>
      </c>
      <c r="R978" s="0" t="n">
        <v>44484</v>
      </c>
      <c r="AD978" s="0" t="s">
        <v>147</v>
      </c>
      <c r="AE978" s="0" t="s">
        <v>148</v>
      </c>
      <c r="AF978" s="0" t="s">
        <v>149</v>
      </c>
      <c r="AH978" s="0" t="n">
        <v>14</v>
      </c>
      <c r="AI978" s="0" t="n">
        <v>11</v>
      </c>
      <c r="AN978" s="0" t="s">
        <v>145</v>
      </c>
      <c r="AO978" s="0" t="s">
        <v>233</v>
      </c>
      <c r="AP978" s="0" t="s">
        <v>234</v>
      </c>
      <c r="AQ978" s="0" t="n">
        <v>9</v>
      </c>
      <c r="AR978" s="0" t="n">
        <v>64</v>
      </c>
      <c r="AS978" s="0" t="n">
        <v>32</v>
      </c>
      <c r="AU978" s="0" t="n">
        <f aca="false">COUNTA($BA$2344:$EH$2344)</f>
        <v>18</v>
      </c>
      <c r="AV978" s="0" t="n">
        <f aca="false">COUNTIF($BA$2344:$EH$2344,"D")</f>
        <v>3</v>
      </c>
      <c r="AW978" s="0" t="n">
        <f aca="false">COUNTIF($BA$2344:$EH$2344,"R")</f>
        <v>0</v>
      </c>
      <c r="AX978" s="0" t="n">
        <f aca="false">IF(BN978="D",1,0)+IF(BO978="D",1,0)+IF(BT978="D",1,0)+IF(BU978="D",1,0)+IF(BW978="D",1,0)+IF(CC978="D",1,0)+IF(CD978="D",1,0)+IF(CE978="D",1,0)+IF(CF978="D",1,0)+IF(CL978="D",1,0)+IF(CM978="D",1,0)+IF(CQ978="D",1,0)+IF(CR978="D",1,0)+IF(CS978="D",1,0)+IF(CW978="D",1,0)+IF(CX978="D",1,0)+IF(DD978="D",1,0)+IF(DE978="D",1,0)+IF(DJ978="D",1,0)+IF(DK978="D",1,0)+IF(DO978="D",1,0)+IF(DP978="D",1,0)+IF(DQ978="D",1,0)+IF(DW978="D",1,0)+IF(DZ978="D",1,0)+IF(EH978="D",1,0)</f>
        <v>0</v>
      </c>
      <c r="AY978" s="0" t="n">
        <f aca="false">COUNTIF(DU978:EH978, "&lt;&gt;")</f>
        <v>6</v>
      </c>
      <c r="AZ978" s="0" t="n">
        <f aca="false">IF(EH978&lt;&gt;"",1,0)</f>
        <v>1</v>
      </c>
      <c r="BB978" s="0" t="s">
        <v>152</v>
      </c>
      <c r="BC978" s="0" t="s">
        <v>153</v>
      </c>
      <c r="BD978" s="0" t="s">
        <v>153</v>
      </c>
      <c r="BF978" s="0" t="s">
        <v>153</v>
      </c>
      <c r="BH978" s="0" t="s">
        <v>153</v>
      </c>
      <c r="BJ978" s="0" t="s">
        <v>153</v>
      </c>
      <c r="BL978" s="0" t="s">
        <v>153</v>
      </c>
      <c r="BP978" s="0" t="s">
        <v>153</v>
      </c>
      <c r="BR978" s="0" t="s">
        <v>153</v>
      </c>
      <c r="BS978" s="0" t="s">
        <v>153</v>
      </c>
      <c r="BY978" s="0" t="s">
        <v>209</v>
      </c>
      <c r="CA978" s="0" t="s">
        <v>153</v>
      </c>
      <c r="CG978" s="0" t="s">
        <v>153</v>
      </c>
      <c r="CK978" s="0" t="s">
        <v>153</v>
      </c>
      <c r="CN978" s="0" t="s">
        <v>153</v>
      </c>
      <c r="CP978" s="0" t="s">
        <v>153</v>
      </c>
      <c r="CV978" s="0" t="s">
        <v>153</v>
      </c>
      <c r="CY978" s="0" t="s">
        <v>153</v>
      </c>
      <c r="CZ978" s="0" t="s">
        <v>209</v>
      </c>
      <c r="DC978" s="0" t="s">
        <v>153</v>
      </c>
      <c r="DF978" s="0" t="s">
        <v>153</v>
      </c>
      <c r="DG978" s="0" t="s">
        <v>209</v>
      </c>
      <c r="DI978" s="0" t="s">
        <v>153</v>
      </c>
      <c r="DM978" s="0" t="s">
        <v>209</v>
      </c>
      <c r="DN978" s="0" t="s">
        <v>153</v>
      </c>
      <c r="DS978" s="0" t="s">
        <v>209</v>
      </c>
      <c r="DT978" s="0" t="s">
        <v>209</v>
      </c>
      <c r="DU978" s="0" t="s">
        <v>153</v>
      </c>
      <c r="DX978" s="0" t="s">
        <v>153</v>
      </c>
      <c r="EA978" s="0" t="s">
        <v>153</v>
      </c>
      <c r="ED978" s="0" t="s">
        <v>209</v>
      </c>
      <c r="EF978" s="0" t="s">
        <v>153</v>
      </c>
      <c r="EH978" s="0" t="s">
        <v>153</v>
      </c>
    </row>
    <row r="979" customFormat="false" ht="13.8" hidden="false" customHeight="false" outlineLevel="0" collapsed="false">
      <c r="A979" s="0" t="s">
        <v>4781</v>
      </c>
      <c r="B979" s="0" t="n">
        <v>78</v>
      </c>
      <c r="C979" s="0" t="n">
        <v>87317</v>
      </c>
      <c r="D979" s="0" t="s">
        <v>4778</v>
      </c>
      <c r="E979" s="0" t="s">
        <v>224</v>
      </c>
      <c r="F979" s="0" t="str">
        <f aca="false">CONCATENATE(D979," ",LEFT(H979,4),"T=",AU979,"D=",AV979,"R=",AW979,"M=",AX979,"L=",AY979,"B=",AZ979)</f>
        <v>SAMS T=5D=0R=1M=0L=6B=1</v>
      </c>
      <c r="G979" s="0" t="s">
        <v>362</v>
      </c>
      <c r="I979" s="0" t="s">
        <v>4782</v>
      </c>
      <c r="J979" s="0" t="s">
        <v>4783</v>
      </c>
      <c r="K979" s="0" t="s">
        <v>160</v>
      </c>
      <c r="L979" s="0" t="s">
        <v>209</v>
      </c>
      <c r="M979" s="0" t="s">
        <v>4776</v>
      </c>
      <c r="N979" s="0" t="str">
        <f aca="false">RIGHT(M979,LEN(M979)-FIND(" ",M979))</f>
        <v>HOMEWOOD AVE SE</v>
      </c>
      <c r="P979" s="0" t="s">
        <v>145</v>
      </c>
      <c r="Q979" s="0" t="s">
        <v>146</v>
      </c>
      <c r="R979" s="0" t="n">
        <v>44484</v>
      </c>
      <c r="AD979" s="0" t="s">
        <v>147</v>
      </c>
      <c r="AE979" s="0" t="s">
        <v>148</v>
      </c>
      <c r="AF979" s="0" t="s">
        <v>149</v>
      </c>
      <c r="AH979" s="0" t="n">
        <v>14</v>
      </c>
      <c r="AI979" s="0" t="n">
        <v>11</v>
      </c>
      <c r="AN979" s="0" t="s">
        <v>145</v>
      </c>
      <c r="AO979" s="0" t="s">
        <v>233</v>
      </c>
      <c r="AP979" s="0" t="s">
        <v>234</v>
      </c>
      <c r="AQ979" s="0" t="n">
        <v>9</v>
      </c>
      <c r="AR979" s="0" t="n">
        <v>64</v>
      </c>
      <c r="AS979" s="0" t="n">
        <v>32</v>
      </c>
      <c r="AU979" s="0" t="n">
        <f aca="false">COUNTA($BA$2350:$EH$2350)</f>
        <v>5</v>
      </c>
      <c r="AV979" s="0" t="n">
        <f aca="false">COUNTIF($BA$2350:$EH$2350,"D")</f>
        <v>0</v>
      </c>
      <c r="AW979" s="0" t="n">
        <f aca="false">COUNTIF($BA$2350:$EH$2350,"R")</f>
        <v>1</v>
      </c>
      <c r="AX979" s="0" t="n">
        <f aca="false">IF(BN979="D",1,0)+IF(BO979="D",1,0)+IF(BT979="D",1,0)+IF(BU979="D",1,0)+IF(BW979="D",1,0)+IF(CC979="D",1,0)+IF(CD979="D",1,0)+IF(CE979="D",1,0)+IF(CF979="D",1,0)+IF(CL979="D",1,0)+IF(CM979="D",1,0)+IF(CQ979="D",1,0)+IF(CR979="D",1,0)+IF(CS979="D",1,0)+IF(CW979="D",1,0)+IF(CX979="D",1,0)+IF(DD979="D",1,0)+IF(DE979="D",1,0)+IF(DJ979="D",1,0)+IF(DK979="D",1,0)+IF(DO979="D",1,0)+IF(DP979="D",1,0)+IF(DQ979="D",1,0)+IF(DW979="D",1,0)+IF(DZ979="D",1,0)+IF(EH979="D",1,0)</f>
        <v>0</v>
      </c>
      <c r="AY979" s="0" t="n">
        <f aca="false">COUNTIF(DU979:EH979, "&lt;&gt;")</f>
        <v>6</v>
      </c>
      <c r="AZ979" s="0" t="n">
        <f aca="false">IF(EH979&lt;&gt;"",1,0)</f>
        <v>1</v>
      </c>
      <c r="BB979" s="0" t="s">
        <v>152</v>
      </c>
      <c r="BC979" s="0" t="s">
        <v>153</v>
      </c>
      <c r="BD979" s="0" t="s">
        <v>153</v>
      </c>
      <c r="BF979" s="0" t="s">
        <v>153</v>
      </c>
      <c r="BH979" s="0" t="s">
        <v>153</v>
      </c>
      <c r="BJ979" s="0" t="s">
        <v>153</v>
      </c>
      <c r="BL979" s="0" t="s">
        <v>153</v>
      </c>
      <c r="BP979" s="0" t="s">
        <v>153</v>
      </c>
      <c r="BR979" s="0" t="s">
        <v>153</v>
      </c>
      <c r="BS979" s="0" t="s">
        <v>153</v>
      </c>
      <c r="BY979" s="0" t="s">
        <v>209</v>
      </c>
      <c r="CA979" s="0" t="s">
        <v>153</v>
      </c>
      <c r="CG979" s="0" t="s">
        <v>153</v>
      </c>
      <c r="CK979" s="0" t="s">
        <v>153</v>
      </c>
      <c r="CN979" s="0" t="s">
        <v>153</v>
      </c>
      <c r="CP979" s="0" t="s">
        <v>153</v>
      </c>
      <c r="CV979" s="0" t="s">
        <v>153</v>
      </c>
      <c r="CY979" s="0" t="s">
        <v>153</v>
      </c>
      <c r="CZ979" s="0" t="s">
        <v>209</v>
      </c>
      <c r="DC979" s="0" t="s">
        <v>153</v>
      </c>
      <c r="DF979" s="0" t="s">
        <v>153</v>
      </c>
      <c r="DG979" s="0" t="s">
        <v>209</v>
      </c>
      <c r="DI979" s="0" t="s">
        <v>153</v>
      </c>
      <c r="DM979" s="0" t="s">
        <v>209</v>
      </c>
      <c r="DN979" s="0" t="s">
        <v>153</v>
      </c>
      <c r="DS979" s="0" t="s">
        <v>209</v>
      </c>
      <c r="DT979" s="0" t="s">
        <v>209</v>
      </c>
      <c r="DU979" s="0" t="s">
        <v>153</v>
      </c>
      <c r="DX979" s="0" t="s">
        <v>153</v>
      </c>
      <c r="EA979" s="0" t="s">
        <v>153</v>
      </c>
      <c r="ED979" s="0" t="s">
        <v>209</v>
      </c>
      <c r="EF979" s="0" t="s">
        <v>153</v>
      </c>
      <c r="EH979" s="0" t="s">
        <v>153</v>
      </c>
    </row>
    <row r="980" customFormat="false" ht="13.8" hidden="true" customHeight="false" outlineLevel="0" collapsed="false">
      <c r="A980" s="0" t="s">
        <v>4784</v>
      </c>
      <c r="B980" s="0" t="n">
        <v>78</v>
      </c>
      <c r="C980" s="0" t="n">
        <v>494713</v>
      </c>
      <c r="D980" s="0" t="s">
        <v>4785</v>
      </c>
      <c r="E980" s="0" t="s">
        <v>331</v>
      </c>
      <c r="F980" s="0" t="str">
        <f aca="false">CONCATENATE(D980," ",LEFT(H980,4),"T=",AU980,"D=",AV980,"R=",AW980,"M=",AX980,"L=",AY980,"B=",AZ980)</f>
        <v>GARRISON JRT=1D=0R=0M=0L=0B=0</v>
      </c>
      <c r="G980" s="0" t="s">
        <v>4786</v>
      </c>
      <c r="H980" s="0" t="s">
        <v>314</v>
      </c>
      <c r="I980" s="0" t="s">
        <v>4787</v>
      </c>
      <c r="J980" s="0" t="s">
        <v>4788</v>
      </c>
      <c r="K980" s="0" t="s">
        <v>160</v>
      </c>
      <c r="M980" s="0" t="s">
        <v>4789</v>
      </c>
      <c r="N980" s="0" t="str">
        <f aca="false">RIGHT(M980,LEN(M980)-FIND(" ",M980))</f>
        <v>HOMEWOOD AVE SE</v>
      </c>
      <c r="P980" s="0" t="s">
        <v>145</v>
      </c>
      <c r="Q980" s="0" t="s">
        <v>146</v>
      </c>
      <c r="R980" s="0" t="n">
        <v>44484</v>
      </c>
      <c r="AD980" s="0" t="s">
        <v>147</v>
      </c>
      <c r="AE980" s="0" t="s">
        <v>148</v>
      </c>
      <c r="AF980" s="0" t="s">
        <v>149</v>
      </c>
      <c r="AH980" s="0" t="n">
        <v>14</v>
      </c>
      <c r="AI980" s="0" t="n">
        <v>11</v>
      </c>
      <c r="AN980" s="0" t="s">
        <v>145</v>
      </c>
      <c r="AO980" s="0" t="s">
        <v>233</v>
      </c>
      <c r="AP980" s="0" t="s">
        <v>234</v>
      </c>
      <c r="AQ980" s="0" t="n">
        <v>9</v>
      </c>
      <c r="AR980" s="0" t="n">
        <v>64</v>
      </c>
      <c r="AS980" s="0" t="n">
        <v>32</v>
      </c>
      <c r="AU980" s="0" t="n">
        <f aca="false">COUNTA($BA$2165:$EH$2165)</f>
        <v>1</v>
      </c>
      <c r="AV980" s="0" t="n">
        <f aca="false">COUNTIF($BA$2165:$EH$2165,"D")</f>
        <v>0</v>
      </c>
      <c r="AW980" s="0" t="n">
        <f aca="false">COUNTIF($BA$2165:$EH$2165,"R")</f>
        <v>0</v>
      </c>
      <c r="AX980" s="0" t="n">
        <f aca="false">IF(BN980="D",1,0)+IF(BO980="D",1,0)+IF(BT980="D",1,0)+IF(BU980="D",1,0)+IF(BW980="D",1,0)+IF(CC980="D",1,0)+IF(CD980="D",1,0)+IF(CE980="D",1,0)+IF(CF980="D",1,0)+IF(CL980="D",1,0)+IF(CM980="D",1,0)+IF(CQ980="D",1,0)+IF(CR980="D",1,0)+IF(CS980="D",1,0)+IF(CW980="D",1,0)+IF(CX980="D",1,0)+IF(DD980="D",1,0)+IF(DE980="D",1,0)+IF(DJ980="D",1,0)+IF(DK980="D",1,0)+IF(DO980="D",1,0)+IF(DP980="D",1,0)+IF(DQ980="D",1,0)+IF(DW980="D",1,0)+IF(DZ980="D",1,0)+IF(EH980="D",1,0)</f>
        <v>0</v>
      </c>
      <c r="AY980" s="0" t="n">
        <f aca="false">COUNTIF(DU980:EH980, "&lt;&gt;")</f>
        <v>0</v>
      </c>
      <c r="AZ980" s="0" t="n">
        <f aca="false">IF(EH980&lt;&gt;"",1,0)</f>
        <v>0</v>
      </c>
      <c r="BB980" s="0" t="s">
        <v>152</v>
      </c>
    </row>
    <row r="981" customFormat="false" ht="13.8" hidden="true" customHeight="false" outlineLevel="0" collapsed="false">
      <c r="A981" s="0" t="s">
        <v>4790</v>
      </c>
      <c r="B981" s="0" t="n">
        <v>78</v>
      </c>
      <c r="C981" s="0" t="n">
        <v>152520</v>
      </c>
      <c r="D981" s="0" t="s">
        <v>4785</v>
      </c>
      <c r="E981" s="0" t="s">
        <v>331</v>
      </c>
      <c r="F981" s="0" t="str">
        <f aca="false">CONCATENATE(D981," ",LEFT(H981,4),"T=",AU981,"D=",AV981,"R=",AW981,"M=",AX981,"L=",AY981,"B=",AZ981)</f>
        <v>GARRISON T=2D=0R=0M=0L=1B=0</v>
      </c>
      <c r="G981" s="0" t="s">
        <v>164</v>
      </c>
      <c r="I981" s="0" t="s">
        <v>4791</v>
      </c>
      <c r="J981" s="0" t="s">
        <v>4792</v>
      </c>
      <c r="K981" s="0" t="s">
        <v>160</v>
      </c>
      <c r="M981" s="0" t="s">
        <v>4789</v>
      </c>
      <c r="N981" s="0" t="str">
        <f aca="false">RIGHT(M981,LEN(M981)-FIND(" ",M981))</f>
        <v>HOMEWOOD AVE SE</v>
      </c>
      <c r="P981" s="0" t="s">
        <v>145</v>
      </c>
      <c r="Q981" s="0" t="s">
        <v>146</v>
      </c>
      <c r="R981" s="0" t="n">
        <v>44484</v>
      </c>
      <c r="AD981" s="0" t="s">
        <v>147</v>
      </c>
      <c r="AE981" s="0" t="s">
        <v>148</v>
      </c>
      <c r="AF981" s="0" t="s">
        <v>149</v>
      </c>
      <c r="AH981" s="0" t="n">
        <v>14</v>
      </c>
      <c r="AI981" s="0" t="n">
        <v>11</v>
      </c>
      <c r="AN981" s="0" t="s">
        <v>145</v>
      </c>
      <c r="AO981" s="0" t="s">
        <v>233</v>
      </c>
      <c r="AP981" s="0" t="s">
        <v>234</v>
      </c>
      <c r="AQ981" s="0" t="n">
        <v>9</v>
      </c>
      <c r="AR981" s="0" t="n">
        <v>64</v>
      </c>
      <c r="AS981" s="0" t="n">
        <v>32</v>
      </c>
      <c r="AU981" s="0" t="n">
        <f aca="false">COUNTA($BA$2353:$EH$2353)</f>
        <v>2</v>
      </c>
      <c r="AV981" s="0" t="n">
        <f aca="false">COUNTIF($BA$2353:$EH$2353,"D")</f>
        <v>0</v>
      </c>
      <c r="AW981" s="0" t="n">
        <f aca="false">COUNTIF($BA$2353:$EH$2353,"R")</f>
        <v>0</v>
      </c>
      <c r="AX981" s="0" t="n">
        <f aca="false">IF(BN981="D",1,0)+IF(BO981="D",1,0)+IF(BT981="D",1,0)+IF(BU981="D",1,0)+IF(BW981="D",1,0)+IF(CC981="D",1,0)+IF(CD981="D",1,0)+IF(CE981="D",1,0)+IF(CF981="D",1,0)+IF(CL981="D",1,0)+IF(CM981="D",1,0)+IF(CQ981="D",1,0)+IF(CR981="D",1,0)+IF(CS981="D",1,0)+IF(CW981="D",1,0)+IF(CX981="D",1,0)+IF(DD981="D",1,0)+IF(DE981="D",1,0)+IF(DJ981="D",1,0)+IF(DK981="D",1,0)+IF(DO981="D",1,0)+IF(DP981="D",1,0)+IF(DQ981="D",1,0)+IF(DW981="D",1,0)+IF(DZ981="D",1,0)+IF(EH981="D",1,0)</f>
        <v>0</v>
      </c>
      <c r="AY981" s="0" t="n">
        <f aca="false">COUNTIF(DU981:EH981, "&lt;&gt;")</f>
        <v>1</v>
      </c>
      <c r="AZ981" s="0" t="n">
        <f aca="false">IF(EH981&lt;&gt;"",1,0)</f>
        <v>0</v>
      </c>
      <c r="BB981" s="0" t="s">
        <v>152</v>
      </c>
      <c r="BC981" s="0" t="s">
        <v>153</v>
      </c>
      <c r="BD981" s="0" t="s">
        <v>153</v>
      </c>
      <c r="BH981" s="0" t="s">
        <v>153</v>
      </c>
      <c r="BI981" s="0" t="s">
        <v>153</v>
      </c>
      <c r="BJ981" s="0" t="s">
        <v>153</v>
      </c>
      <c r="BK981" s="0" t="s">
        <v>153</v>
      </c>
      <c r="BL981" s="0" t="s">
        <v>153</v>
      </c>
      <c r="BS981" s="0" t="s">
        <v>153</v>
      </c>
      <c r="CA981" s="0" t="s">
        <v>153</v>
      </c>
      <c r="CG981" s="0" t="s">
        <v>153</v>
      </c>
      <c r="CK981" s="0" t="s">
        <v>153</v>
      </c>
      <c r="CN981" s="0" t="s">
        <v>153</v>
      </c>
      <c r="CP981" s="0" t="s">
        <v>153</v>
      </c>
      <c r="CV981" s="0" t="s">
        <v>153</v>
      </c>
      <c r="CY981" s="0" t="s">
        <v>153</v>
      </c>
      <c r="DC981" s="0" t="s">
        <v>153</v>
      </c>
      <c r="DI981" s="0" t="s">
        <v>153</v>
      </c>
      <c r="DN981" s="0" t="s">
        <v>153</v>
      </c>
      <c r="EF981" s="0" t="s">
        <v>153</v>
      </c>
    </row>
    <row r="982" customFormat="false" ht="13.8" hidden="true" customHeight="false" outlineLevel="0" collapsed="false">
      <c r="A982" s="0" t="s">
        <v>4793</v>
      </c>
      <c r="B982" s="0" t="n">
        <v>78</v>
      </c>
      <c r="C982" s="0" t="n">
        <v>459197</v>
      </c>
      <c r="D982" s="0" t="s">
        <v>4794</v>
      </c>
      <c r="E982" s="0" t="s">
        <v>3018</v>
      </c>
      <c r="F982" s="0" t="str">
        <f aca="false">CONCATENATE(D982," ",LEFT(H982,4),"T=",AU982,"D=",AV982,"R=",AW982,"M=",AX982,"L=",AY982,"B=",AZ982)</f>
        <v>BUTLER WALKER T=2D=0R=0M=0L=0B=0</v>
      </c>
      <c r="G982" s="0" t="s">
        <v>1031</v>
      </c>
      <c r="I982" s="0" t="s">
        <v>4795</v>
      </c>
      <c r="J982" s="0" t="s">
        <v>4796</v>
      </c>
      <c r="K982" s="0" t="s">
        <v>143</v>
      </c>
      <c r="M982" s="0" t="s">
        <v>4797</v>
      </c>
      <c r="N982" s="0" t="str">
        <f aca="false">RIGHT(M982,LEN(M982)-FIND(" ",M982))</f>
        <v>HOMEWOOD AVE SE</v>
      </c>
      <c r="P982" s="0" t="s">
        <v>145</v>
      </c>
      <c r="Q982" s="0" t="s">
        <v>146</v>
      </c>
      <c r="R982" s="0" t="n">
        <v>44484</v>
      </c>
      <c r="AD982" s="0" t="s">
        <v>147</v>
      </c>
      <c r="AE982" s="0" t="s">
        <v>148</v>
      </c>
      <c r="AF982" s="0" t="s">
        <v>149</v>
      </c>
      <c r="AH982" s="0" t="n">
        <v>14</v>
      </c>
      <c r="AI982" s="0" t="n">
        <v>11</v>
      </c>
      <c r="AN982" s="0" t="s">
        <v>145</v>
      </c>
      <c r="AO982" s="0" t="s">
        <v>233</v>
      </c>
      <c r="AP982" s="0" t="s">
        <v>234</v>
      </c>
      <c r="AQ982" s="0" t="n">
        <v>9</v>
      </c>
      <c r="AR982" s="0" t="n">
        <v>64</v>
      </c>
      <c r="AS982" s="0" t="n">
        <v>32</v>
      </c>
      <c r="AU982" s="0" t="n">
        <f aca="false">COUNTA($BA$2291:$EH$2291)</f>
        <v>2</v>
      </c>
      <c r="AV982" s="0" t="n">
        <f aca="false">COUNTIF($BA$2291:$EH$2291,"D")</f>
        <v>0</v>
      </c>
      <c r="AW982" s="0" t="n">
        <f aca="false">COUNTIF($BA$2291:$EH$2291,"R")</f>
        <v>0</v>
      </c>
      <c r="AX982" s="0" t="n">
        <f aca="false">IF(BN982="D",1,0)+IF(BO982="D",1,0)+IF(BT982="D",1,0)+IF(BU982="D",1,0)+IF(BW982="D",1,0)+IF(CC982="D",1,0)+IF(CD982="D",1,0)+IF(CE982="D",1,0)+IF(CF982="D",1,0)+IF(CL982="D",1,0)+IF(CM982="D",1,0)+IF(CQ982="D",1,0)+IF(CR982="D",1,0)+IF(CS982="D",1,0)+IF(CW982="D",1,0)+IF(CX982="D",1,0)+IF(DD982="D",1,0)+IF(DE982="D",1,0)+IF(DJ982="D",1,0)+IF(DK982="D",1,0)+IF(DO982="D",1,0)+IF(DP982="D",1,0)+IF(DQ982="D",1,0)+IF(DW982="D",1,0)+IF(DZ982="D",1,0)+IF(EH982="D",1,0)</f>
        <v>0</v>
      </c>
      <c r="AY982" s="0" t="n">
        <f aca="false">COUNTIF(DU982:EH982, "&lt;&gt;")</f>
        <v>0</v>
      </c>
      <c r="AZ982" s="0" t="n">
        <f aca="false">IF(EH982&lt;&gt;"",1,0)</f>
        <v>0</v>
      </c>
      <c r="BB982" s="0" t="s">
        <v>152</v>
      </c>
    </row>
    <row r="983" customFormat="false" ht="13.8" hidden="false" customHeight="false" outlineLevel="0" collapsed="false">
      <c r="A983" s="0" t="s">
        <v>4798</v>
      </c>
      <c r="B983" s="0" t="n">
        <v>78</v>
      </c>
      <c r="C983" s="0" t="n">
        <v>162758</v>
      </c>
      <c r="D983" s="0" t="s">
        <v>784</v>
      </c>
      <c r="E983" s="0" t="s">
        <v>818</v>
      </c>
      <c r="F983" s="0" t="str">
        <f aca="false">CONCATENATE(D983," ",LEFT(H983,4),"T=",AU983,"D=",AV983,"R=",AW983,"M=",AX983,"L=",AY983,"B=",AZ983)</f>
        <v>BUTLER T=14D=1R=0M=6L=3B=0</v>
      </c>
      <c r="G983" s="0" t="s">
        <v>164</v>
      </c>
      <c r="I983" s="0" t="s">
        <v>4799</v>
      </c>
      <c r="J983" s="0" t="s">
        <v>4800</v>
      </c>
      <c r="K983" s="0" t="s">
        <v>160</v>
      </c>
      <c r="L983" s="0" t="s">
        <v>175</v>
      </c>
      <c r="M983" s="0" t="s">
        <v>4797</v>
      </c>
      <c r="N983" s="0" t="str">
        <f aca="false">RIGHT(M983,LEN(M983)-FIND(" ",M983))</f>
        <v>HOMEWOOD AVE SE</v>
      </c>
      <c r="P983" s="0" t="s">
        <v>145</v>
      </c>
      <c r="Q983" s="0" t="s">
        <v>146</v>
      </c>
      <c r="R983" s="0" t="n">
        <v>44484</v>
      </c>
      <c r="AD983" s="0" t="s">
        <v>147</v>
      </c>
      <c r="AE983" s="0" t="s">
        <v>148</v>
      </c>
      <c r="AF983" s="0" t="s">
        <v>149</v>
      </c>
      <c r="AH983" s="0" t="n">
        <v>14</v>
      </c>
      <c r="AI983" s="0" t="n">
        <v>11</v>
      </c>
      <c r="AN983" s="0" t="s">
        <v>145</v>
      </c>
      <c r="AO983" s="0" t="s">
        <v>233</v>
      </c>
      <c r="AP983" s="0" t="s">
        <v>234</v>
      </c>
      <c r="AQ983" s="0" t="n">
        <v>9</v>
      </c>
      <c r="AR983" s="0" t="n">
        <v>64</v>
      </c>
      <c r="AS983" s="0" t="n">
        <v>32</v>
      </c>
      <c r="AU983" s="0" t="n">
        <f aca="false">COUNTA($BA$2347:$EH$2347)</f>
        <v>14</v>
      </c>
      <c r="AV983" s="0" t="n">
        <f aca="false">COUNTIF($BA$2347:$EH$2347,"D")</f>
        <v>1</v>
      </c>
      <c r="AW983" s="0" t="n">
        <f aca="false">COUNTIF($BA$2347:$EH$2347,"R")</f>
        <v>0</v>
      </c>
      <c r="AX983" s="0" t="n">
        <f aca="false">IF(BN983="D",1,0)+IF(BO983="D",1,0)+IF(BT983="D",1,0)+IF(BU983="D",1,0)+IF(BW983="D",1,0)+IF(CC983="D",1,0)+IF(CD983="D",1,0)+IF(CE983="D",1,0)+IF(CF983="D",1,0)+IF(CL983="D",1,0)+IF(CM983="D",1,0)+IF(CQ983="D",1,0)+IF(CR983="D",1,0)+IF(CS983="D",1,0)+IF(CW983="D",1,0)+IF(CX983="D",1,0)+IF(DD983="D",1,0)+IF(DE983="D",1,0)+IF(DJ983="D",1,0)+IF(DK983="D",1,0)+IF(DO983="D",1,0)+IF(DP983="D",1,0)+IF(DQ983="D",1,0)+IF(DW983="D",1,0)+IF(DZ983="D",1,0)+IF(EH983="D",1,0)</f>
        <v>6</v>
      </c>
      <c r="AY983" s="0" t="n">
        <f aca="false">COUNTIF(DU983:EH983, "&lt;&gt;")</f>
        <v>3</v>
      </c>
      <c r="AZ983" s="0" t="n">
        <f aca="false">IF(EH983&lt;&gt;"",1,0)</f>
        <v>0</v>
      </c>
      <c r="BB983" s="0" t="s">
        <v>152</v>
      </c>
      <c r="BD983" s="0" t="s">
        <v>153</v>
      </c>
      <c r="BE983" s="0" t="s">
        <v>153</v>
      </c>
      <c r="BF983" s="0" t="s">
        <v>153</v>
      </c>
      <c r="BG983" s="0" t="s">
        <v>153</v>
      </c>
      <c r="BH983" s="0" t="s">
        <v>153</v>
      </c>
      <c r="BI983" s="0" t="s">
        <v>153</v>
      </c>
      <c r="BJ983" s="0" t="s">
        <v>153</v>
      </c>
      <c r="BK983" s="0" t="s">
        <v>153</v>
      </c>
      <c r="BL983" s="0" t="s">
        <v>153</v>
      </c>
      <c r="BP983" s="0" t="s">
        <v>153</v>
      </c>
      <c r="BR983" s="0" t="s">
        <v>153</v>
      </c>
      <c r="BS983" s="0" t="s">
        <v>153</v>
      </c>
      <c r="BT983" s="0" t="s">
        <v>153</v>
      </c>
      <c r="BV983" s="0" t="s">
        <v>153</v>
      </c>
      <c r="BY983" s="0" t="s">
        <v>175</v>
      </c>
      <c r="CA983" s="0" t="s">
        <v>153</v>
      </c>
      <c r="CC983" s="0" t="s">
        <v>175</v>
      </c>
      <c r="CG983" s="0" t="s">
        <v>153</v>
      </c>
      <c r="CH983" s="0" t="s">
        <v>175</v>
      </c>
      <c r="CK983" s="0" t="s">
        <v>153</v>
      </c>
      <c r="CL983" s="0" t="s">
        <v>175</v>
      </c>
      <c r="CN983" s="0" t="s">
        <v>153</v>
      </c>
      <c r="CO983" s="0" t="s">
        <v>175</v>
      </c>
      <c r="CP983" s="0" t="s">
        <v>153</v>
      </c>
      <c r="CQ983" s="0" t="s">
        <v>175</v>
      </c>
      <c r="CT983" s="0" t="s">
        <v>153</v>
      </c>
      <c r="CU983" s="0" t="s">
        <v>175</v>
      </c>
      <c r="CV983" s="0" t="s">
        <v>153</v>
      </c>
      <c r="CW983" s="0" t="s">
        <v>175</v>
      </c>
      <c r="CY983" s="0" t="s">
        <v>153</v>
      </c>
      <c r="CZ983" s="0" t="s">
        <v>175</v>
      </c>
      <c r="DC983" s="0" t="s">
        <v>153</v>
      </c>
      <c r="DD983" s="0" t="s">
        <v>175</v>
      </c>
      <c r="DF983" s="0" t="s">
        <v>153</v>
      </c>
      <c r="DG983" s="0" t="s">
        <v>175</v>
      </c>
      <c r="DI983" s="0" t="s">
        <v>153</v>
      </c>
      <c r="DJ983" s="0" t="s">
        <v>175</v>
      </c>
      <c r="DL983" s="0" t="s">
        <v>153</v>
      </c>
      <c r="DM983" s="0" t="s">
        <v>175</v>
      </c>
      <c r="DN983" s="0" t="s">
        <v>153</v>
      </c>
      <c r="DR983" s="0" t="s">
        <v>153</v>
      </c>
      <c r="DS983" s="0" t="s">
        <v>175</v>
      </c>
      <c r="DU983" s="0" t="s">
        <v>153</v>
      </c>
      <c r="ED983" s="0" t="s">
        <v>175</v>
      </c>
      <c r="EF983" s="0" t="s">
        <v>153</v>
      </c>
    </row>
    <row r="984" customFormat="false" ht="13.8" hidden="true" customHeight="false" outlineLevel="0" collapsed="false">
      <c r="A984" s="0" t="s">
        <v>4801</v>
      </c>
      <c r="B984" s="0" t="n">
        <v>78</v>
      </c>
      <c r="C984" s="0" t="n">
        <v>442590</v>
      </c>
      <c r="D984" s="0" t="s">
        <v>4802</v>
      </c>
      <c r="E984" s="0" t="s">
        <v>3620</v>
      </c>
      <c r="F984" s="0" t="str">
        <f aca="false">CONCATENATE(D984," ",LEFT(H984,4),"T=",AU984,"D=",AV984,"R=",AW984,"M=",AX984,"L=",AY984,"B=",AZ984)</f>
        <v>MUNSON T=2D=0R=0M=0L=0B=0</v>
      </c>
      <c r="G984" s="0" t="s">
        <v>164</v>
      </c>
      <c r="I984" s="0" t="s">
        <v>4803</v>
      </c>
      <c r="J984" s="0" t="s">
        <v>4804</v>
      </c>
      <c r="K984" s="0" t="s">
        <v>143</v>
      </c>
      <c r="M984" s="0" t="s">
        <v>4805</v>
      </c>
      <c r="N984" s="0" t="str">
        <f aca="false">RIGHT(M984,LEN(M984)-FIND(" ",M984))</f>
        <v>HOMEWOOD AVE SE</v>
      </c>
      <c r="P984" s="0" t="s">
        <v>145</v>
      </c>
      <c r="Q984" s="0" t="s">
        <v>146</v>
      </c>
      <c r="R984" s="0" t="n">
        <v>44484</v>
      </c>
      <c r="AD984" s="0" t="s">
        <v>147</v>
      </c>
      <c r="AE984" s="0" t="s">
        <v>148</v>
      </c>
      <c r="AF984" s="0" t="s">
        <v>149</v>
      </c>
      <c r="AH984" s="0" t="n">
        <v>14</v>
      </c>
      <c r="AI984" s="0" t="n">
        <v>11</v>
      </c>
      <c r="AN984" s="0" t="s">
        <v>145</v>
      </c>
      <c r="AO984" s="0" t="s">
        <v>233</v>
      </c>
      <c r="AP984" s="0" t="s">
        <v>234</v>
      </c>
      <c r="AQ984" s="0" t="n">
        <v>9</v>
      </c>
      <c r="AR984" s="0" t="n">
        <v>64</v>
      </c>
      <c r="AS984" s="0" t="n">
        <v>32</v>
      </c>
      <c r="AU984" s="0" t="n">
        <f aca="false">COUNTA($BA$2545:$EH$2545)</f>
        <v>2</v>
      </c>
      <c r="AV984" s="0" t="n">
        <f aca="false">COUNTIF($BA$2545:$EH$2545,"D")</f>
        <v>0</v>
      </c>
      <c r="AW984" s="0" t="n">
        <f aca="false">COUNTIF($BA$2545:$EH$2545,"R")</f>
        <v>0</v>
      </c>
      <c r="AX984" s="0" t="n">
        <f aca="false">IF(BN984="D",1,0)+IF(BO984="D",1,0)+IF(BT984="D",1,0)+IF(BU984="D",1,0)+IF(BW984="D",1,0)+IF(CC984="D",1,0)+IF(CD984="D",1,0)+IF(CE984="D",1,0)+IF(CF984="D",1,0)+IF(CL984="D",1,0)+IF(CM984="D",1,0)+IF(CQ984="D",1,0)+IF(CR984="D",1,0)+IF(CS984="D",1,0)+IF(CW984="D",1,0)+IF(CX984="D",1,0)+IF(DD984="D",1,0)+IF(DE984="D",1,0)+IF(DJ984="D",1,0)+IF(DK984="D",1,0)+IF(DO984="D",1,0)+IF(DP984="D",1,0)+IF(DQ984="D",1,0)+IF(DW984="D",1,0)+IF(DZ984="D",1,0)+IF(EH984="D",1,0)</f>
        <v>0</v>
      </c>
      <c r="AY984" s="0" t="n">
        <f aca="false">COUNTIF(DU984:EH984, "&lt;&gt;")</f>
        <v>0</v>
      </c>
      <c r="AZ984" s="0" t="n">
        <f aca="false">IF(EH984&lt;&gt;"",1,0)</f>
        <v>0</v>
      </c>
      <c r="BB984" s="0" t="s">
        <v>152</v>
      </c>
    </row>
    <row r="985" customFormat="false" ht="13.8" hidden="true" customHeight="false" outlineLevel="0" collapsed="false">
      <c r="A985" s="0" t="s">
        <v>4806</v>
      </c>
      <c r="B985" s="0" t="n">
        <v>78</v>
      </c>
      <c r="C985" s="0" t="n">
        <v>393598</v>
      </c>
      <c r="D985" s="0" t="s">
        <v>4284</v>
      </c>
      <c r="E985" s="0" t="s">
        <v>4807</v>
      </c>
      <c r="F985" s="0" t="str">
        <f aca="false">CONCATENATE(D985," ",LEFT(H985,4),"T=",AU985,"D=",AV985,"R=",AW985,"M=",AX985,"L=",AY985,"B=",AZ985)</f>
        <v>REED T=16D=2R=0M=0L=0B=0</v>
      </c>
      <c r="G985" s="0" t="s">
        <v>175</v>
      </c>
      <c r="I985" s="0" t="s">
        <v>4808</v>
      </c>
      <c r="J985" s="0" t="s">
        <v>3951</v>
      </c>
      <c r="K985" s="0" t="s">
        <v>143</v>
      </c>
      <c r="M985" s="0" t="s">
        <v>4809</v>
      </c>
      <c r="N985" s="0" t="str">
        <f aca="false">RIGHT(M985,LEN(M985)-FIND(" ",M985))</f>
        <v>HOMEWOOD AVE SE</v>
      </c>
      <c r="P985" s="0" t="s">
        <v>145</v>
      </c>
      <c r="Q985" s="0" t="s">
        <v>146</v>
      </c>
      <c r="R985" s="0" t="n">
        <v>44484</v>
      </c>
      <c r="AD985" s="0" t="s">
        <v>147</v>
      </c>
      <c r="AE985" s="0" t="s">
        <v>148</v>
      </c>
      <c r="AF985" s="0" t="s">
        <v>149</v>
      </c>
      <c r="AH985" s="0" t="n">
        <v>14</v>
      </c>
      <c r="AI985" s="0" t="n">
        <v>11</v>
      </c>
      <c r="AN985" s="0" t="s">
        <v>145</v>
      </c>
      <c r="AO985" s="0" t="s">
        <v>233</v>
      </c>
      <c r="AP985" s="0" t="s">
        <v>234</v>
      </c>
      <c r="AQ985" s="0" t="n">
        <v>9</v>
      </c>
      <c r="AR985" s="0" t="n">
        <v>64</v>
      </c>
      <c r="AS985" s="0" t="n">
        <v>32</v>
      </c>
      <c r="AU985" s="0" t="n">
        <f aca="false">COUNTA($BA$2220:$EH$2220)</f>
        <v>16</v>
      </c>
      <c r="AV985" s="0" t="n">
        <f aca="false">COUNTIF($BA$2220:$EH$2220,"D")</f>
        <v>2</v>
      </c>
      <c r="AW985" s="0" t="n">
        <f aca="false">COUNTIF($BA$2220:$EH$2220,"R")</f>
        <v>0</v>
      </c>
      <c r="AX985" s="0" t="n">
        <f aca="false">IF(BN985="D",1,0)+IF(BO985="D",1,0)+IF(BT985="D",1,0)+IF(BU985="D",1,0)+IF(BW985="D",1,0)+IF(CC985="D",1,0)+IF(CD985="D",1,0)+IF(CE985="D",1,0)+IF(CF985="D",1,0)+IF(CL985="D",1,0)+IF(CM985="D",1,0)+IF(CQ985="D",1,0)+IF(CR985="D",1,0)+IF(CS985="D",1,0)+IF(CW985="D",1,0)+IF(CX985="D",1,0)+IF(DD985="D",1,0)+IF(DE985="D",1,0)+IF(DJ985="D",1,0)+IF(DK985="D",1,0)+IF(DO985="D",1,0)+IF(DP985="D",1,0)+IF(DQ985="D",1,0)+IF(DW985="D",1,0)+IF(DZ985="D",1,0)+IF(EH985="D",1,0)</f>
        <v>0</v>
      </c>
      <c r="AY985" s="0" t="n">
        <f aca="false">COUNTIF(DU985:EH985, "&lt;&gt;")</f>
        <v>0</v>
      </c>
      <c r="AZ985" s="0" t="n">
        <f aca="false">IF(EH985&lt;&gt;"",1,0)</f>
        <v>0</v>
      </c>
      <c r="BB985" s="0" t="s">
        <v>152</v>
      </c>
      <c r="CP985" s="0" t="s">
        <v>153</v>
      </c>
      <c r="DN985" s="0" t="s">
        <v>153</v>
      </c>
    </row>
    <row r="986" customFormat="false" ht="13.8" hidden="false" customHeight="false" outlineLevel="0" collapsed="false">
      <c r="A986" s="0" t="s">
        <v>4810</v>
      </c>
      <c r="B986" s="0" t="n">
        <v>78</v>
      </c>
      <c r="C986" s="0" t="n">
        <v>166722</v>
      </c>
      <c r="D986" s="0" t="s">
        <v>4811</v>
      </c>
      <c r="E986" s="0" t="s">
        <v>4812</v>
      </c>
      <c r="F986" s="0" t="str">
        <f aca="false">CONCATENATE(D986," ",LEFT(H986,4),"T=",AU986,"D=",AV986,"R=",AW986,"M=",AX986,"L=",AY986,"B=",AZ986)</f>
        <v>WASHINGTON REED T=13D=1R=2M=2L=3B=0</v>
      </c>
      <c r="G986" s="0" t="s">
        <v>209</v>
      </c>
      <c r="I986" s="0" t="s">
        <v>4813</v>
      </c>
      <c r="J986" s="0" t="s">
        <v>3678</v>
      </c>
      <c r="K986" s="0" t="s">
        <v>160</v>
      </c>
      <c r="L986" s="0" t="s">
        <v>175</v>
      </c>
      <c r="M986" s="0" t="s">
        <v>4809</v>
      </c>
      <c r="N986" s="0" t="str">
        <f aca="false">RIGHT(M986,LEN(M986)-FIND(" ",M986))</f>
        <v>HOMEWOOD AVE SE</v>
      </c>
      <c r="P986" s="0" t="s">
        <v>145</v>
      </c>
      <c r="Q986" s="0" t="s">
        <v>146</v>
      </c>
      <c r="R986" s="0" t="n">
        <v>44484</v>
      </c>
      <c r="AD986" s="0" t="s">
        <v>147</v>
      </c>
      <c r="AE986" s="0" t="s">
        <v>148</v>
      </c>
      <c r="AF986" s="0" t="s">
        <v>149</v>
      </c>
      <c r="AH986" s="0" t="n">
        <v>14</v>
      </c>
      <c r="AI986" s="0" t="n">
        <v>11</v>
      </c>
      <c r="AN986" s="0" t="s">
        <v>145</v>
      </c>
      <c r="AO986" s="0" t="s">
        <v>233</v>
      </c>
      <c r="AP986" s="0" t="s">
        <v>234</v>
      </c>
      <c r="AQ986" s="0" t="n">
        <v>9</v>
      </c>
      <c r="AR986" s="0" t="n">
        <v>64</v>
      </c>
      <c r="AS986" s="0" t="n">
        <v>32</v>
      </c>
      <c r="AU986" s="0" t="n">
        <f aca="false">COUNTA($BA$2349:$EH$2349)</f>
        <v>13</v>
      </c>
      <c r="AV986" s="0" t="n">
        <f aca="false">COUNTIF($BA$2349:$EH$2349,"D")</f>
        <v>1</v>
      </c>
      <c r="AW986" s="0" t="n">
        <f aca="false">COUNTIF($BA$2349:$EH$2349,"R")</f>
        <v>2</v>
      </c>
      <c r="AX986" s="0" t="n">
        <f aca="false">IF(BN986="D",1,0)+IF(BO986="D",1,0)+IF(BT986="D",1,0)+IF(BU986="D",1,0)+IF(BW986="D",1,0)+IF(CC986="D",1,0)+IF(CD986="D",1,0)+IF(CE986="D",1,0)+IF(CF986="D",1,0)+IF(CL986="D",1,0)+IF(CM986="D",1,0)+IF(CQ986="D",1,0)+IF(CR986="D",1,0)+IF(CS986="D",1,0)+IF(CW986="D",1,0)+IF(CX986="D",1,0)+IF(DD986="D",1,0)+IF(DE986="D",1,0)+IF(DJ986="D",1,0)+IF(DK986="D",1,0)+IF(DO986="D",1,0)+IF(DP986="D",1,0)+IF(DQ986="D",1,0)+IF(DW986="D",1,0)+IF(DZ986="D",1,0)+IF(EH986="D",1,0)</f>
        <v>2</v>
      </c>
      <c r="AY986" s="0" t="n">
        <f aca="false">COUNTIF(DU986:EH986, "&lt;&gt;")</f>
        <v>3</v>
      </c>
      <c r="AZ986" s="0" t="n">
        <f aca="false">IF(EH986&lt;&gt;"",1,0)</f>
        <v>0</v>
      </c>
      <c r="BB986" s="0" t="s">
        <v>152</v>
      </c>
      <c r="BD986" s="0" t="s">
        <v>153</v>
      </c>
      <c r="BJ986" s="0" t="s">
        <v>153</v>
      </c>
      <c r="BL986" s="0" t="s">
        <v>153</v>
      </c>
      <c r="BV986" s="0" t="s">
        <v>153</v>
      </c>
      <c r="BY986" s="0" t="s">
        <v>175</v>
      </c>
      <c r="CA986" s="0" t="s">
        <v>153</v>
      </c>
      <c r="CK986" s="0" t="s">
        <v>153</v>
      </c>
      <c r="CL986" s="0" t="s">
        <v>175</v>
      </c>
      <c r="CN986" s="0" t="s">
        <v>153</v>
      </c>
      <c r="CP986" s="0" t="s">
        <v>153</v>
      </c>
      <c r="CV986" s="0" t="s">
        <v>153</v>
      </c>
      <c r="CY986" s="0" t="s">
        <v>153</v>
      </c>
      <c r="CZ986" s="0" t="s">
        <v>175</v>
      </c>
      <c r="DC986" s="0" t="s">
        <v>153</v>
      </c>
      <c r="DF986" s="0" t="s">
        <v>153</v>
      </c>
      <c r="DI986" s="0" t="s">
        <v>153</v>
      </c>
      <c r="DL986" s="0" t="s">
        <v>153</v>
      </c>
      <c r="DN986" s="0" t="s">
        <v>153</v>
      </c>
      <c r="DU986" s="0" t="s">
        <v>153</v>
      </c>
      <c r="DW986" s="0" t="s">
        <v>175</v>
      </c>
      <c r="EF986" s="0" t="s">
        <v>153</v>
      </c>
    </row>
    <row r="987" customFormat="false" ht="13.8" hidden="true" customHeight="false" outlineLevel="0" collapsed="false">
      <c r="A987" s="0" t="s">
        <v>4814</v>
      </c>
      <c r="B987" s="0" t="n">
        <v>78</v>
      </c>
      <c r="C987" s="0" t="n">
        <v>409189</v>
      </c>
      <c r="D987" s="0" t="s">
        <v>4284</v>
      </c>
      <c r="E987" s="0" t="s">
        <v>4815</v>
      </c>
      <c r="F987" s="0" t="str">
        <f aca="false">CONCATENATE(D987," ",LEFT(H987,4),"T=",AU987,"D=",AV987,"R=",AW987,"M=",AX987,"L=",AY987,"B=",AZ987)</f>
        <v>REED T=1D=0R=0M=0L=0B=0</v>
      </c>
      <c r="G987" s="0" t="s">
        <v>164</v>
      </c>
      <c r="I987" s="0" t="s">
        <v>4816</v>
      </c>
      <c r="J987" s="0" t="s">
        <v>3678</v>
      </c>
      <c r="K987" s="0" t="s">
        <v>143</v>
      </c>
      <c r="M987" s="0" t="s">
        <v>4809</v>
      </c>
      <c r="N987" s="0" t="str">
        <f aca="false">RIGHT(M987,LEN(M987)-FIND(" ",M987))</f>
        <v>HOMEWOOD AVE SE</v>
      </c>
      <c r="P987" s="0" t="s">
        <v>145</v>
      </c>
      <c r="Q987" s="0" t="s">
        <v>146</v>
      </c>
      <c r="R987" s="0" t="n">
        <v>44484</v>
      </c>
      <c r="AD987" s="0" t="s">
        <v>147</v>
      </c>
      <c r="AE987" s="0" t="s">
        <v>148</v>
      </c>
      <c r="AF987" s="0" t="s">
        <v>149</v>
      </c>
      <c r="AH987" s="0" t="n">
        <v>14</v>
      </c>
      <c r="AI987" s="0" t="n">
        <v>11</v>
      </c>
      <c r="AN987" s="0" t="s">
        <v>145</v>
      </c>
      <c r="AO987" s="0" t="s">
        <v>233</v>
      </c>
      <c r="AP987" s="0" t="s">
        <v>234</v>
      </c>
      <c r="AQ987" s="0" t="n">
        <v>9</v>
      </c>
      <c r="AR987" s="0" t="n">
        <v>64</v>
      </c>
      <c r="AS987" s="0" t="n">
        <v>32</v>
      </c>
      <c r="AU987" s="0" t="n">
        <f aca="false">COUNTA($BA$2429:$EH$2429)</f>
        <v>1</v>
      </c>
      <c r="AV987" s="0" t="n">
        <f aca="false">COUNTIF($BA$2429:$EH$2429,"D")</f>
        <v>0</v>
      </c>
      <c r="AW987" s="0" t="n">
        <f aca="false">COUNTIF($BA$2429:$EH$2429,"R")</f>
        <v>0</v>
      </c>
      <c r="AX987" s="0" t="n">
        <f aca="false">IF(BN987="D",1,0)+IF(BO987="D",1,0)+IF(BT987="D",1,0)+IF(BU987="D",1,0)+IF(BW987="D",1,0)+IF(CC987="D",1,0)+IF(CD987="D",1,0)+IF(CE987="D",1,0)+IF(CF987="D",1,0)+IF(CL987="D",1,0)+IF(CM987="D",1,0)+IF(CQ987="D",1,0)+IF(CR987="D",1,0)+IF(CS987="D",1,0)+IF(CW987="D",1,0)+IF(CX987="D",1,0)+IF(DD987="D",1,0)+IF(DE987="D",1,0)+IF(DJ987="D",1,0)+IF(DK987="D",1,0)+IF(DO987="D",1,0)+IF(DP987="D",1,0)+IF(DQ987="D",1,0)+IF(DW987="D",1,0)+IF(DZ987="D",1,0)+IF(EH987="D",1,0)</f>
        <v>0</v>
      </c>
      <c r="AY987" s="0" t="n">
        <f aca="false">COUNTIF(DU987:EH987, "&lt;&gt;")</f>
        <v>0</v>
      </c>
      <c r="AZ987" s="0" t="n">
        <f aca="false">IF(EH987&lt;&gt;"",1,0)</f>
        <v>0</v>
      </c>
      <c r="BB987" s="0" t="s">
        <v>152</v>
      </c>
      <c r="CO987" s="0" t="s">
        <v>175</v>
      </c>
      <c r="CP987" s="0" t="s">
        <v>153</v>
      </c>
      <c r="CZ987" s="0" t="s">
        <v>175</v>
      </c>
      <c r="DC987" s="0" t="s">
        <v>153</v>
      </c>
      <c r="DN987" s="0" t="s">
        <v>153</v>
      </c>
    </row>
    <row r="988" customFormat="false" ht="13.8" hidden="true" customHeight="false" outlineLevel="0" collapsed="false">
      <c r="A988" s="0" t="s">
        <v>4817</v>
      </c>
      <c r="B988" s="0" t="n">
        <v>78</v>
      </c>
      <c r="C988" s="0" t="n">
        <v>439782</v>
      </c>
      <c r="D988" s="0" t="s">
        <v>4818</v>
      </c>
      <c r="E988" s="0" t="s">
        <v>648</v>
      </c>
      <c r="F988" s="0" t="str">
        <f aca="false">CONCATENATE(D988," ",LEFT(H988,4),"T=",AU988,"D=",AV988,"R=",AW988,"M=",AX988,"L=",AY988,"B=",AZ988)</f>
        <v>TRULY T=1D=0R=0M=0L=0B=0</v>
      </c>
      <c r="G988" s="0" t="s">
        <v>4819</v>
      </c>
      <c r="I988" s="0" t="s">
        <v>4820</v>
      </c>
      <c r="J988" s="0" t="s">
        <v>4821</v>
      </c>
      <c r="K988" s="0" t="s">
        <v>143</v>
      </c>
      <c r="M988" s="0" t="s">
        <v>4822</v>
      </c>
      <c r="N988" s="0" t="str">
        <f aca="false">RIGHT(M988,LEN(M988)-FIND(" ",M988))</f>
        <v>HOMEWOOD AVE SE</v>
      </c>
      <c r="P988" s="0" t="s">
        <v>145</v>
      </c>
      <c r="Q988" s="0" t="s">
        <v>146</v>
      </c>
      <c r="R988" s="0" t="n">
        <v>44484</v>
      </c>
      <c r="AD988" s="0" t="s">
        <v>147</v>
      </c>
      <c r="AE988" s="0" t="s">
        <v>148</v>
      </c>
      <c r="AF988" s="0" t="s">
        <v>149</v>
      </c>
      <c r="AH988" s="0" t="n">
        <v>14</v>
      </c>
      <c r="AI988" s="0" t="n">
        <v>11</v>
      </c>
      <c r="AN988" s="0" t="s">
        <v>145</v>
      </c>
      <c r="AO988" s="0" t="s">
        <v>233</v>
      </c>
      <c r="AP988" s="0" t="s">
        <v>234</v>
      </c>
      <c r="AQ988" s="0" t="n">
        <v>9</v>
      </c>
      <c r="AR988" s="0" t="n">
        <v>64</v>
      </c>
      <c r="AS988" s="0" t="n">
        <v>32</v>
      </c>
      <c r="AU988" s="0" t="n">
        <f aca="false">COUNTA($BA$2323:$EH$2323)</f>
        <v>1</v>
      </c>
      <c r="AV988" s="0" t="n">
        <f aca="false">COUNTIF($BA$2323:$EH$2323,"D")</f>
        <v>0</v>
      </c>
      <c r="AW988" s="0" t="n">
        <f aca="false">COUNTIF($BA$2323:$EH$2323,"R")</f>
        <v>0</v>
      </c>
      <c r="AX988" s="0" t="n">
        <f aca="false">IF(BN988="D",1,0)+IF(BO988="D",1,0)+IF(BT988="D",1,0)+IF(BU988="D",1,0)+IF(BW988="D",1,0)+IF(CC988="D",1,0)+IF(CD988="D",1,0)+IF(CE988="D",1,0)+IF(CF988="D",1,0)+IF(CL988="D",1,0)+IF(CM988="D",1,0)+IF(CQ988="D",1,0)+IF(CR988="D",1,0)+IF(CS988="D",1,0)+IF(CW988="D",1,0)+IF(CX988="D",1,0)+IF(DD988="D",1,0)+IF(DE988="D",1,0)+IF(DJ988="D",1,0)+IF(DK988="D",1,0)+IF(DO988="D",1,0)+IF(DP988="D",1,0)+IF(DQ988="D",1,0)+IF(DW988="D",1,0)+IF(DZ988="D",1,0)+IF(EH988="D",1,0)</f>
        <v>0</v>
      </c>
      <c r="AY988" s="0" t="n">
        <f aca="false">COUNTIF(DU988:EH988, "&lt;&gt;")</f>
        <v>0</v>
      </c>
      <c r="AZ988" s="0" t="n">
        <f aca="false">IF(EH988&lt;&gt;"",1,0)</f>
        <v>0</v>
      </c>
      <c r="BB988" s="0" t="s">
        <v>152</v>
      </c>
    </row>
    <row r="989" customFormat="false" ht="13.8" hidden="false" customHeight="false" outlineLevel="0" collapsed="false">
      <c r="A989" s="0" t="s">
        <v>4823</v>
      </c>
      <c r="B989" s="0" t="n">
        <v>78</v>
      </c>
      <c r="C989" s="0" t="n">
        <v>314050</v>
      </c>
      <c r="D989" s="0" t="s">
        <v>1744</v>
      </c>
      <c r="E989" s="0" t="s">
        <v>4824</v>
      </c>
      <c r="F989" s="0" t="str">
        <f aca="false">CONCATENATE(D989," ",LEFT(H989,4),"T=",AU989,"D=",AV989,"R=",AW989,"M=",AX989,"L=",AY989,"B=",AZ989)</f>
        <v>WALKER T=2D=0R=0M=0L=2B=0</v>
      </c>
      <c r="I989" s="0" t="s">
        <v>4825</v>
      </c>
      <c r="J989" s="0" t="s">
        <v>4826</v>
      </c>
      <c r="K989" s="0" t="s">
        <v>160</v>
      </c>
      <c r="M989" s="0" t="s">
        <v>4827</v>
      </c>
      <c r="N989" s="0" t="str">
        <f aca="false">RIGHT(M989,LEN(M989)-FIND(" ",M989))</f>
        <v>HOMEWOOD AVE SE</v>
      </c>
      <c r="P989" s="0" t="s">
        <v>145</v>
      </c>
      <c r="Q989" s="0" t="s">
        <v>146</v>
      </c>
      <c r="R989" s="0" t="n">
        <v>44484</v>
      </c>
      <c r="AD989" s="0" t="s">
        <v>147</v>
      </c>
      <c r="AE989" s="0" t="s">
        <v>148</v>
      </c>
      <c r="AF989" s="0" t="s">
        <v>149</v>
      </c>
      <c r="AH989" s="0" t="n">
        <v>14</v>
      </c>
      <c r="AI989" s="0" t="n">
        <v>11</v>
      </c>
      <c r="AN989" s="0" t="s">
        <v>145</v>
      </c>
      <c r="AO989" s="0" t="s">
        <v>233</v>
      </c>
      <c r="AP989" s="0" t="s">
        <v>234</v>
      </c>
      <c r="AQ989" s="0" t="n">
        <v>9</v>
      </c>
      <c r="AR989" s="0" t="n">
        <v>64</v>
      </c>
      <c r="AS989" s="0" t="n">
        <v>32</v>
      </c>
      <c r="AU989" s="0" t="n">
        <f aca="false">COUNTA($BA$2562:$EH$2562)</f>
        <v>2</v>
      </c>
      <c r="AV989" s="0" t="n">
        <f aca="false">COUNTIF($BA$2562:$EH$2562,"D")</f>
        <v>0</v>
      </c>
      <c r="AW989" s="0" t="n">
        <f aca="false">COUNTIF($BA$2562:$EH$2562,"R")</f>
        <v>0</v>
      </c>
      <c r="AX989" s="0" t="n">
        <f aca="false">IF(BN989="D",1,0)+IF(BO989="D",1,0)+IF(BT989="D",1,0)+IF(BU989="D",1,0)+IF(BW989="D",1,0)+IF(CC989="D",1,0)+IF(CD989="D",1,0)+IF(CE989="D",1,0)+IF(CF989="D",1,0)+IF(CL989="D",1,0)+IF(CM989="D",1,0)+IF(CQ989="D",1,0)+IF(CR989="D",1,0)+IF(CS989="D",1,0)+IF(CW989="D",1,0)+IF(CX989="D",1,0)+IF(DD989="D",1,0)+IF(DE989="D",1,0)+IF(DJ989="D",1,0)+IF(DK989="D",1,0)+IF(DO989="D",1,0)+IF(DP989="D",1,0)+IF(DQ989="D",1,0)+IF(DW989="D",1,0)+IF(DZ989="D",1,0)+IF(EH989="D",1,0)</f>
        <v>0</v>
      </c>
      <c r="AY989" s="0" t="n">
        <f aca="false">COUNTIF(DU989:EH989, "&lt;&gt;")</f>
        <v>2</v>
      </c>
      <c r="AZ989" s="0" t="n">
        <f aca="false">IF(EH989&lt;&gt;"",1,0)</f>
        <v>0</v>
      </c>
      <c r="BB989" s="0" t="s">
        <v>152</v>
      </c>
      <c r="BK989" s="0" t="s">
        <v>153</v>
      </c>
      <c r="BL989" s="0" t="s">
        <v>153</v>
      </c>
      <c r="BS989" s="0" t="s">
        <v>153</v>
      </c>
      <c r="BY989" s="0" t="s">
        <v>175</v>
      </c>
      <c r="CA989" s="0" t="s">
        <v>153</v>
      </c>
      <c r="CK989" s="0" t="s">
        <v>153</v>
      </c>
      <c r="CP989" s="0" t="s">
        <v>153</v>
      </c>
      <c r="CY989" s="0" t="s">
        <v>153</v>
      </c>
      <c r="DC989" s="0" t="s">
        <v>153</v>
      </c>
      <c r="DN989" s="0" t="s">
        <v>153</v>
      </c>
      <c r="DR989" s="0" t="s">
        <v>153</v>
      </c>
      <c r="EA989" s="0" t="s">
        <v>153</v>
      </c>
      <c r="EF989" s="0" t="s">
        <v>153</v>
      </c>
    </row>
    <row r="990" customFormat="false" ht="13.8" hidden="false" customHeight="false" outlineLevel="0" collapsed="false">
      <c r="A990" s="0" t="s">
        <v>4828</v>
      </c>
      <c r="B990" s="0" t="n">
        <v>78</v>
      </c>
      <c r="C990" s="0" t="n">
        <v>14366</v>
      </c>
      <c r="D990" s="0" t="s">
        <v>3819</v>
      </c>
      <c r="E990" s="0" t="s">
        <v>4829</v>
      </c>
      <c r="F990" s="0" t="str">
        <f aca="false">CONCATENATE(D990," ",LEFT(H990,4),"T=",AU990,"D=",AV990,"R=",AW990,"M=",AX990,"L=",AY990,"B=",AZ990)</f>
        <v>MARTIN T=9D=0R=0M=7L=7B=1</v>
      </c>
      <c r="I990" s="0" t="s">
        <v>4830</v>
      </c>
      <c r="J990" s="0" t="s">
        <v>4831</v>
      </c>
      <c r="K990" s="0" t="s">
        <v>160</v>
      </c>
      <c r="L990" s="0" t="s">
        <v>175</v>
      </c>
      <c r="M990" s="0" t="s">
        <v>4832</v>
      </c>
      <c r="N990" s="0" t="str">
        <f aca="false">RIGHT(M990,LEN(M990)-FIND(" ",M990))</f>
        <v>HOMEWOOD AVE SE</v>
      </c>
      <c r="P990" s="0" t="s">
        <v>145</v>
      </c>
      <c r="Q990" s="0" t="s">
        <v>146</v>
      </c>
      <c r="R990" s="0" t="n">
        <v>44484</v>
      </c>
      <c r="AD990" s="0" t="s">
        <v>147</v>
      </c>
      <c r="AE990" s="0" t="s">
        <v>148</v>
      </c>
      <c r="AF990" s="0" t="s">
        <v>149</v>
      </c>
      <c r="AH990" s="0" t="n">
        <v>14</v>
      </c>
      <c r="AI990" s="0" t="n">
        <v>11</v>
      </c>
      <c r="AN990" s="0" t="s">
        <v>145</v>
      </c>
      <c r="AO990" s="0" t="s">
        <v>233</v>
      </c>
      <c r="AP990" s="0" t="s">
        <v>234</v>
      </c>
      <c r="AQ990" s="0" t="n">
        <v>9</v>
      </c>
      <c r="AR990" s="0" t="n">
        <v>64</v>
      </c>
      <c r="AS990" s="0" t="n">
        <v>32</v>
      </c>
      <c r="AU990" s="0" t="n">
        <f aca="false">COUNTA($BA$2352:$EH$2352)</f>
        <v>9</v>
      </c>
      <c r="AV990" s="0" t="n">
        <f aca="false">COUNTIF($BA$2352:$EH$2352,"D")</f>
        <v>0</v>
      </c>
      <c r="AW990" s="0" t="n">
        <f aca="false">COUNTIF($BA$2352:$EH$2352,"R")</f>
        <v>0</v>
      </c>
      <c r="AX990" s="0" t="n">
        <f aca="false">IF(BN990="D",1,0)+IF(BO990="D",1,0)+IF(BT990="D",1,0)+IF(BU990="D",1,0)+IF(BW990="D",1,0)+IF(CC990="D",1,0)+IF(CD990="D",1,0)+IF(CE990="D",1,0)+IF(CF990="D",1,0)+IF(CL990="D",1,0)+IF(CM990="D",1,0)+IF(CQ990="D",1,0)+IF(CR990="D",1,0)+IF(CS990="D",1,0)+IF(CW990="D",1,0)+IF(CX990="D",1,0)+IF(DD990="D",1,0)+IF(DE990="D",1,0)+IF(DJ990="D",1,0)+IF(DK990="D",1,0)+IF(DO990="D",1,0)+IF(DP990="D",1,0)+IF(DQ990="D",1,0)+IF(DW990="D",1,0)+IF(DZ990="D",1,0)+IF(EH990="D",1,0)</f>
        <v>7</v>
      </c>
      <c r="AY990" s="0" t="n">
        <f aca="false">COUNTIF(DU990:EH990, "&lt;&gt;")</f>
        <v>7</v>
      </c>
      <c r="AZ990" s="0" t="n">
        <f aca="false">IF(EH990&lt;&gt;"",1,0)</f>
        <v>1</v>
      </c>
      <c r="BB990" s="0" t="s">
        <v>152</v>
      </c>
      <c r="BC990" s="0" t="s">
        <v>153</v>
      </c>
      <c r="BD990" s="0" t="s">
        <v>153</v>
      </c>
      <c r="BH990" s="0" t="s">
        <v>153</v>
      </c>
      <c r="BI990" s="0" t="s">
        <v>153</v>
      </c>
      <c r="BK990" s="0" t="s">
        <v>153</v>
      </c>
      <c r="BL990" s="0" t="s">
        <v>153</v>
      </c>
      <c r="BP990" s="0" t="s">
        <v>153</v>
      </c>
      <c r="BR990" s="0" t="s">
        <v>153</v>
      </c>
      <c r="BS990" s="0" t="s">
        <v>153</v>
      </c>
      <c r="BV990" s="0" t="s">
        <v>153</v>
      </c>
      <c r="BY990" s="0" t="s">
        <v>175</v>
      </c>
      <c r="CA990" s="0" t="s">
        <v>153</v>
      </c>
      <c r="CG990" s="0" t="s">
        <v>153</v>
      </c>
      <c r="CH990" s="0" t="s">
        <v>175</v>
      </c>
      <c r="CK990" s="0" t="s">
        <v>153</v>
      </c>
      <c r="CL990" s="0" t="s">
        <v>175</v>
      </c>
      <c r="CN990" s="0" t="s">
        <v>153</v>
      </c>
      <c r="CO990" s="0" t="s">
        <v>175</v>
      </c>
      <c r="CP990" s="0" t="s">
        <v>153</v>
      </c>
      <c r="CQ990" s="0" t="s">
        <v>175</v>
      </c>
      <c r="CT990" s="0" t="s">
        <v>153</v>
      </c>
      <c r="CU990" s="0" t="s">
        <v>175</v>
      </c>
      <c r="CV990" s="0" t="s">
        <v>153</v>
      </c>
      <c r="CW990" s="0" t="s">
        <v>175</v>
      </c>
      <c r="CY990" s="0" t="s">
        <v>153</v>
      </c>
      <c r="CZ990" s="0" t="s">
        <v>175</v>
      </c>
      <c r="DC990" s="0" t="s">
        <v>153</v>
      </c>
      <c r="DD990" s="0" t="s">
        <v>175</v>
      </c>
      <c r="DF990" s="0" t="s">
        <v>153</v>
      </c>
      <c r="DG990" s="0" t="s">
        <v>175</v>
      </c>
      <c r="DI990" s="0" t="s">
        <v>153</v>
      </c>
      <c r="DJ990" s="0" t="s">
        <v>175</v>
      </c>
      <c r="DL990" s="0" t="s">
        <v>153</v>
      </c>
      <c r="DM990" s="0" t="s">
        <v>175</v>
      </c>
      <c r="DN990" s="0" t="s">
        <v>153</v>
      </c>
      <c r="DR990" s="0" t="s">
        <v>153</v>
      </c>
      <c r="DS990" s="0" t="s">
        <v>175</v>
      </c>
      <c r="DT990" s="0" t="s">
        <v>175</v>
      </c>
      <c r="DU990" s="0" t="s">
        <v>153</v>
      </c>
      <c r="DW990" s="0" t="s">
        <v>175</v>
      </c>
      <c r="DX990" s="0" t="s">
        <v>153</v>
      </c>
      <c r="EA990" s="0" t="s">
        <v>153</v>
      </c>
      <c r="ED990" s="0" t="s">
        <v>175</v>
      </c>
      <c r="EF990" s="0" t="s">
        <v>153</v>
      </c>
      <c r="EH990" s="0" t="s">
        <v>175</v>
      </c>
    </row>
    <row r="991" customFormat="false" ht="13.8" hidden="true" customHeight="false" outlineLevel="0" collapsed="false">
      <c r="A991" s="0" t="s">
        <v>4833</v>
      </c>
      <c r="B991" s="0" t="n">
        <v>78</v>
      </c>
      <c r="C991" s="0" t="n">
        <v>487205</v>
      </c>
      <c r="D991" s="0" t="s">
        <v>1693</v>
      </c>
      <c r="E991" s="0" t="s">
        <v>4834</v>
      </c>
      <c r="F991" s="0" t="str">
        <f aca="false">CONCATENATE(D991," ",LEFT(H991,4),"T=",AU991,"D=",AV991,"R=",AW991,"M=",AX991,"L=",AY991,"B=",AZ991)</f>
        <v>WILLIAMSON T=12D=0R=1M=0L=0B=0</v>
      </c>
      <c r="G991" s="0" t="s">
        <v>195</v>
      </c>
      <c r="I991" s="0" t="s">
        <v>4835</v>
      </c>
      <c r="J991" s="0" t="s">
        <v>3340</v>
      </c>
      <c r="K991" s="0" t="s">
        <v>160</v>
      </c>
      <c r="M991" s="0" t="s">
        <v>4836</v>
      </c>
      <c r="N991" s="0" t="str">
        <f aca="false">RIGHT(M991,LEN(M991)-FIND(" ",M991))</f>
        <v>HOMEWOOD AVE SE</v>
      </c>
      <c r="P991" s="0" t="s">
        <v>145</v>
      </c>
      <c r="Q991" s="0" t="s">
        <v>146</v>
      </c>
      <c r="R991" s="0" t="n">
        <v>44484</v>
      </c>
      <c r="AD991" s="0" t="s">
        <v>147</v>
      </c>
      <c r="AE991" s="0" t="s">
        <v>148</v>
      </c>
      <c r="AF991" s="0" t="s">
        <v>149</v>
      </c>
      <c r="AH991" s="0" t="n">
        <v>14</v>
      </c>
      <c r="AI991" s="0" t="n">
        <v>11</v>
      </c>
      <c r="AN991" s="0" t="s">
        <v>145</v>
      </c>
      <c r="AO991" s="0" t="s">
        <v>233</v>
      </c>
      <c r="AP991" s="0" t="s">
        <v>234</v>
      </c>
      <c r="AQ991" s="0" t="n">
        <v>9</v>
      </c>
      <c r="AR991" s="0" t="n">
        <v>64</v>
      </c>
      <c r="AS991" s="0" t="n">
        <v>32</v>
      </c>
      <c r="AU991" s="0" t="n">
        <f aca="false">COUNTA($BA$2251:$EH$2251)</f>
        <v>12</v>
      </c>
      <c r="AV991" s="0" t="n">
        <f aca="false">COUNTIF($BA$2251:$EH$2251,"D")</f>
        <v>0</v>
      </c>
      <c r="AW991" s="0" t="n">
        <f aca="false">COUNTIF($BA$2251:$EH$2251,"R")</f>
        <v>1</v>
      </c>
      <c r="AX991" s="0" t="n">
        <f aca="false">IF(BN991="D",1,0)+IF(BO991="D",1,0)+IF(BT991="D",1,0)+IF(BU991="D",1,0)+IF(BW991="D",1,0)+IF(CC991="D",1,0)+IF(CD991="D",1,0)+IF(CE991="D",1,0)+IF(CF991="D",1,0)+IF(CL991="D",1,0)+IF(CM991="D",1,0)+IF(CQ991="D",1,0)+IF(CR991="D",1,0)+IF(CS991="D",1,0)+IF(CW991="D",1,0)+IF(CX991="D",1,0)+IF(DD991="D",1,0)+IF(DE991="D",1,0)+IF(DJ991="D",1,0)+IF(DK991="D",1,0)+IF(DO991="D",1,0)+IF(DP991="D",1,0)+IF(DQ991="D",1,0)+IF(DW991="D",1,0)+IF(DZ991="D",1,0)+IF(EH991="D",1,0)</f>
        <v>0</v>
      </c>
      <c r="AY991" s="0" t="n">
        <f aca="false">COUNTIF(DU991:EH991, "&lt;&gt;")</f>
        <v>0</v>
      </c>
      <c r="AZ991" s="0" t="n">
        <f aca="false">IF(EH991&lt;&gt;"",1,0)</f>
        <v>0</v>
      </c>
      <c r="BB991" s="0" t="s">
        <v>152</v>
      </c>
    </row>
    <row r="992" customFormat="false" ht="13.8" hidden="true" customHeight="false" outlineLevel="0" collapsed="false">
      <c r="A992" s="0" t="s">
        <v>4837</v>
      </c>
      <c r="B992" s="0" t="n">
        <v>78</v>
      </c>
      <c r="C992" s="0" t="n">
        <v>386030</v>
      </c>
      <c r="D992" s="0" t="s">
        <v>1661</v>
      </c>
      <c r="E992" s="0" t="s">
        <v>2261</v>
      </c>
      <c r="F992" s="0" t="str">
        <f aca="false">CONCATENATE(D992," ",LEFT(H992,4),"T=",AU992,"D=",AV992,"R=",AW992,"M=",AX992,"L=",AY992,"B=",AZ992)</f>
        <v>JACKSON T=5D=0R=0M=0L=0B=0</v>
      </c>
      <c r="G992" s="0" t="s">
        <v>190</v>
      </c>
      <c r="I992" s="0" t="s">
        <v>4838</v>
      </c>
      <c r="J992" s="0" t="s">
        <v>3340</v>
      </c>
      <c r="K992" s="0" t="s">
        <v>160</v>
      </c>
      <c r="M992" s="0" t="s">
        <v>4836</v>
      </c>
      <c r="N992" s="0" t="str">
        <f aca="false">RIGHT(M992,LEN(M992)-FIND(" ",M992))</f>
        <v>HOMEWOOD AVE SE</v>
      </c>
      <c r="P992" s="0" t="s">
        <v>145</v>
      </c>
      <c r="Q992" s="0" t="s">
        <v>146</v>
      </c>
      <c r="R992" s="0" t="n">
        <v>44484</v>
      </c>
      <c r="AD992" s="0" t="s">
        <v>147</v>
      </c>
      <c r="AE992" s="0" t="s">
        <v>148</v>
      </c>
      <c r="AF992" s="0" t="s">
        <v>149</v>
      </c>
      <c r="AH992" s="0" t="n">
        <v>14</v>
      </c>
      <c r="AI992" s="0" t="n">
        <v>11</v>
      </c>
      <c r="AN992" s="0" t="s">
        <v>145</v>
      </c>
      <c r="AO992" s="0" t="s">
        <v>233</v>
      </c>
      <c r="AP992" s="0" t="s">
        <v>234</v>
      </c>
      <c r="AQ992" s="0" t="n">
        <v>9</v>
      </c>
      <c r="AR992" s="0" t="n">
        <v>64</v>
      </c>
      <c r="AS992" s="0" t="n">
        <v>32</v>
      </c>
      <c r="AU992" s="0" t="n">
        <f aca="false">COUNTA($BA$2300:$EH$2300)</f>
        <v>5</v>
      </c>
      <c r="AV992" s="0" t="n">
        <f aca="false">COUNTIF($BA$2300:$EH$2300,"D")</f>
        <v>0</v>
      </c>
      <c r="AW992" s="0" t="n">
        <f aca="false">COUNTIF($BA$2300:$EH$2300,"R")</f>
        <v>0</v>
      </c>
      <c r="AX992" s="0" t="n">
        <f aca="false">IF(BN992="D",1,0)+IF(BO992="D",1,0)+IF(BT992="D",1,0)+IF(BU992="D",1,0)+IF(BW992="D",1,0)+IF(CC992="D",1,0)+IF(CD992="D",1,0)+IF(CE992="D",1,0)+IF(CF992="D",1,0)+IF(CL992="D",1,0)+IF(CM992="D",1,0)+IF(CQ992="D",1,0)+IF(CR992="D",1,0)+IF(CS992="D",1,0)+IF(CW992="D",1,0)+IF(CX992="D",1,0)+IF(DD992="D",1,0)+IF(DE992="D",1,0)+IF(DJ992="D",1,0)+IF(DK992="D",1,0)+IF(DO992="D",1,0)+IF(DP992="D",1,0)+IF(DQ992="D",1,0)+IF(DW992="D",1,0)+IF(DZ992="D",1,0)+IF(EH992="D",1,0)</f>
        <v>0</v>
      </c>
      <c r="AY992" s="0" t="n">
        <f aca="false">COUNTIF(DU992:EH992, "&lt;&gt;")</f>
        <v>0</v>
      </c>
      <c r="AZ992" s="0" t="n">
        <f aca="false">IF(EH992&lt;&gt;"",1,0)</f>
        <v>0</v>
      </c>
      <c r="BB992" s="0" t="s">
        <v>152</v>
      </c>
      <c r="CP992" s="0" t="s">
        <v>153</v>
      </c>
      <c r="CY992" s="0" t="s">
        <v>153</v>
      </c>
    </row>
    <row r="993" customFormat="false" ht="13.8" hidden="false" customHeight="false" outlineLevel="0" collapsed="false">
      <c r="A993" s="0" t="s">
        <v>4839</v>
      </c>
      <c r="B993" s="0" t="n">
        <v>78</v>
      </c>
      <c r="C993" s="0" t="n">
        <v>457712</v>
      </c>
      <c r="D993" s="0" t="s">
        <v>4840</v>
      </c>
      <c r="E993" s="0" t="s">
        <v>469</v>
      </c>
      <c r="F993" s="0" t="str">
        <f aca="false">CONCATENATE(D993," ",LEFT(H993,4),"T=",AU993,"D=",AV993,"R=",AW993,"M=",AX993,"L=",AY993,"B=",AZ993)</f>
        <v>JARRETT T=24D=0R=5M=2L=3B=0</v>
      </c>
      <c r="G993" s="0" t="s">
        <v>171</v>
      </c>
      <c r="I993" s="0" t="s">
        <v>4841</v>
      </c>
      <c r="J993" s="0" t="s">
        <v>404</v>
      </c>
      <c r="K993" s="0" t="s">
        <v>160</v>
      </c>
      <c r="L993" s="0" t="s">
        <v>175</v>
      </c>
      <c r="M993" s="0" t="s">
        <v>4842</v>
      </c>
      <c r="N993" s="0" t="str">
        <f aca="false">RIGHT(M993,LEN(M993)-FIND(" ",M993))</f>
        <v>HOMEWOOD AVE SE</v>
      </c>
      <c r="P993" s="0" t="s">
        <v>145</v>
      </c>
      <c r="Q993" s="0" t="s">
        <v>146</v>
      </c>
      <c r="R993" s="0" t="n">
        <v>44484</v>
      </c>
      <c r="AD993" s="0" t="s">
        <v>147</v>
      </c>
      <c r="AE993" s="0" t="s">
        <v>148</v>
      </c>
      <c r="AF993" s="0" t="s">
        <v>149</v>
      </c>
      <c r="AH993" s="0" t="n">
        <v>14</v>
      </c>
      <c r="AI993" s="0" t="n">
        <v>11</v>
      </c>
      <c r="AN993" s="0" t="s">
        <v>145</v>
      </c>
      <c r="AO993" s="0" t="s">
        <v>233</v>
      </c>
      <c r="AP993" s="0" t="s">
        <v>234</v>
      </c>
      <c r="AQ993" s="0" t="n">
        <v>9</v>
      </c>
      <c r="AR993" s="0" t="n">
        <v>64</v>
      </c>
      <c r="AS993" s="0" t="n">
        <v>32</v>
      </c>
      <c r="AU993" s="0" t="n">
        <f aca="false">COUNTA($BA$2100:$EH$2100)</f>
        <v>24</v>
      </c>
      <c r="AV993" s="0" t="n">
        <f aca="false">COUNTIF($BA$2100:$EH$2100,"D")</f>
        <v>0</v>
      </c>
      <c r="AW993" s="0" t="n">
        <f aca="false">COUNTIF($BA$2100:$EH$2100,"R")</f>
        <v>5</v>
      </c>
      <c r="AX993" s="0" t="n">
        <f aca="false">IF(BN993="D",1,0)+IF(BO993="D",1,0)+IF(BT993="D",1,0)+IF(BU993="D",1,0)+IF(BW993="D",1,0)+IF(CC993="D",1,0)+IF(CD993="D",1,0)+IF(CE993="D",1,0)+IF(CF993="D",1,0)+IF(CL993="D",1,0)+IF(CM993="D",1,0)+IF(CQ993="D",1,0)+IF(CR993="D",1,0)+IF(CS993="D",1,0)+IF(CW993="D",1,0)+IF(CX993="D",1,0)+IF(DD993="D",1,0)+IF(DE993="D",1,0)+IF(DJ993="D",1,0)+IF(DK993="D",1,0)+IF(DO993="D",1,0)+IF(DP993="D",1,0)+IF(DQ993="D",1,0)+IF(DW993="D",1,0)+IF(DZ993="D",1,0)+IF(EH993="D",1,0)</f>
        <v>2</v>
      </c>
      <c r="AY993" s="0" t="n">
        <f aca="false">COUNTIF(DU993:EH993, "&lt;&gt;")</f>
        <v>3</v>
      </c>
      <c r="AZ993" s="0" t="n">
        <f aca="false">IF(EH993&lt;&gt;"",1,0)</f>
        <v>0</v>
      </c>
      <c r="BB993" s="0" t="s">
        <v>152</v>
      </c>
      <c r="BP993" s="0" t="s">
        <v>153</v>
      </c>
      <c r="BY993" s="0" t="s">
        <v>175</v>
      </c>
      <c r="CA993" s="0" t="s">
        <v>153</v>
      </c>
      <c r="CG993" s="0" t="s">
        <v>153</v>
      </c>
      <c r="CK993" s="0" t="s">
        <v>153</v>
      </c>
      <c r="CL993" s="0" t="s">
        <v>175</v>
      </c>
      <c r="CN993" s="0" t="s">
        <v>153</v>
      </c>
      <c r="CP993" s="0" t="s">
        <v>153</v>
      </c>
      <c r="CT993" s="0" t="s">
        <v>153</v>
      </c>
      <c r="CV993" s="0" t="s">
        <v>153</v>
      </c>
      <c r="DI993" s="0" t="s">
        <v>153</v>
      </c>
      <c r="DU993" s="0" t="s">
        <v>153</v>
      </c>
      <c r="DW993" s="0" t="s">
        <v>175</v>
      </c>
      <c r="EF993" s="0" t="s">
        <v>153</v>
      </c>
    </row>
    <row r="994" customFormat="false" ht="13.8" hidden="true" customHeight="false" outlineLevel="0" collapsed="false">
      <c r="A994" s="0" t="s">
        <v>4843</v>
      </c>
      <c r="B994" s="0" t="n">
        <v>78</v>
      </c>
      <c r="C994" s="0" t="n">
        <v>431824</v>
      </c>
      <c r="D994" s="0" t="s">
        <v>193</v>
      </c>
      <c r="E994" s="0" t="s">
        <v>4844</v>
      </c>
      <c r="F994" s="0" t="str">
        <f aca="false">CONCATENATE(D994," ",LEFT(H994,4),"T=",AU994,"D=",AV994,"R=",AW994,"M=",AX994,"L=",AY994,"B=",AZ994)</f>
        <v>MORGAN T=52D=18R=0M=0L=0B=0</v>
      </c>
      <c r="G994" s="0" t="s">
        <v>164</v>
      </c>
      <c r="I994" s="0" t="s">
        <v>4845</v>
      </c>
      <c r="J994" s="0" t="s">
        <v>4846</v>
      </c>
      <c r="K994" s="0" t="s">
        <v>160</v>
      </c>
      <c r="M994" s="0" t="s">
        <v>4842</v>
      </c>
      <c r="N994" s="0" t="str">
        <f aca="false">RIGHT(M994,LEN(M994)-FIND(" ",M994))</f>
        <v>HOMEWOOD AVE SE</v>
      </c>
      <c r="P994" s="0" t="s">
        <v>145</v>
      </c>
      <c r="Q994" s="0" t="s">
        <v>146</v>
      </c>
      <c r="R994" s="0" t="n">
        <v>44484</v>
      </c>
      <c r="AD994" s="0" t="s">
        <v>147</v>
      </c>
      <c r="AE994" s="0" t="s">
        <v>148</v>
      </c>
      <c r="AF994" s="0" t="s">
        <v>149</v>
      </c>
      <c r="AH994" s="0" t="n">
        <v>14</v>
      </c>
      <c r="AI994" s="0" t="n">
        <v>11</v>
      </c>
      <c r="AN994" s="0" t="s">
        <v>145</v>
      </c>
      <c r="AO994" s="0" t="s">
        <v>233</v>
      </c>
      <c r="AP994" s="0" t="s">
        <v>234</v>
      </c>
      <c r="AQ994" s="0" t="n">
        <v>9</v>
      </c>
      <c r="AR994" s="0" t="n">
        <v>64</v>
      </c>
      <c r="AS994" s="0" t="n">
        <v>32</v>
      </c>
      <c r="AU994" s="0" t="n">
        <f aca="false">COUNTA($BA$2570:$EH$2570)</f>
        <v>52</v>
      </c>
      <c r="AV994" s="0" t="n">
        <f aca="false">COUNTIF($BA$2570:$EH$2570,"D")</f>
        <v>18</v>
      </c>
      <c r="AW994" s="0" t="n">
        <f aca="false">COUNTIF($BA$2570:$EH$2570,"R")</f>
        <v>0</v>
      </c>
      <c r="AX994" s="0" t="n">
        <f aca="false">IF(BN994="D",1,0)+IF(BO994="D",1,0)+IF(BT994="D",1,0)+IF(BU994="D",1,0)+IF(BW994="D",1,0)+IF(CC994="D",1,0)+IF(CD994="D",1,0)+IF(CE994="D",1,0)+IF(CF994="D",1,0)+IF(CL994="D",1,0)+IF(CM994="D",1,0)+IF(CQ994="D",1,0)+IF(CR994="D",1,0)+IF(CS994="D",1,0)+IF(CW994="D",1,0)+IF(CX994="D",1,0)+IF(DD994="D",1,0)+IF(DE994="D",1,0)+IF(DJ994="D",1,0)+IF(DK994="D",1,0)+IF(DO994="D",1,0)+IF(DP994="D",1,0)+IF(DQ994="D",1,0)+IF(DW994="D",1,0)+IF(DZ994="D",1,0)+IF(EH994="D",1,0)</f>
        <v>0</v>
      </c>
      <c r="AY994" s="0" t="n">
        <f aca="false">COUNTIF(DU994:EH994, "&lt;&gt;")</f>
        <v>0</v>
      </c>
      <c r="AZ994" s="0" t="n">
        <f aca="false">IF(EH994&lt;&gt;"",1,0)</f>
        <v>0</v>
      </c>
      <c r="BB994" s="0" t="s">
        <v>152</v>
      </c>
    </row>
    <row r="995" customFormat="false" ht="13.8" hidden="false" customHeight="false" outlineLevel="0" collapsed="false">
      <c r="A995" s="0" t="s">
        <v>4847</v>
      </c>
      <c r="B995" s="0" t="n">
        <v>78</v>
      </c>
      <c r="C995" s="0" t="n">
        <v>381256</v>
      </c>
      <c r="D995" s="0" t="s">
        <v>4848</v>
      </c>
      <c r="E995" s="0" t="s">
        <v>818</v>
      </c>
      <c r="F995" s="0" t="str">
        <f aca="false">CONCATENATE(D995," ",LEFT(H995,4),"T=",AU995,"D=",AV995,"R=",AW995,"M=",AX995,"L=",AY995,"B=",AZ995)</f>
        <v>GILLIAM T=2D=0R=0M=3L=5B=1</v>
      </c>
      <c r="G995" s="0" t="s">
        <v>175</v>
      </c>
      <c r="I995" s="0" t="s">
        <v>4849</v>
      </c>
      <c r="J995" s="0" t="s">
        <v>4310</v>
      </c>
      <c r="K995" s="0" t="s">
        <v>160</v>
      </c>
      <c r="L995" s="0" t="s">
        <v>175</v>
      </c>
      <c r="M995" s="0" t="s">
        <v>4850</v>
      </c>
      <c r="N995" s="0" t="str">
        <f aca="false">RIGHT(M995,LEN(M995)-FIND(" ",M995))</f>
        <v>HOMEWOOD AVE SE</v>
      </c>
      <c r="P995" s="0" t="s">
        <v>145</v>
      </c>
      <c r="Q995" s="0" t="s">
        <v>146</v>
      </c>
      <c r="R995" s="0" t="n">
        <v>44484</v>
      </c>
      <c r="AD995" s="0" t="s">
        <v>147</v>
      </c>
      <c r="AE995" s="0" t="s">
        <v>148</v>
      </c>
      <c r="AF995" s="0" t="s">
        <v>149</v>
      </c>
      <c r="AH995" s="0" t="n">
        <v>14</v>
      </c>
      <c r="AI995" s="0" t="n">
        <v>11</v>
      </c>
      <c r="AN995" s="0" t="s">
        <v>145</v>
      </c>
      <c r="AO995" s="0" t="s">
        <v>233</v>
      </c>
      <c r="AP995" s="0" t="s">
        <v>234</v>
      </c>
      <c r="AQ995" s="0" t="n">
        <v>9</v>
      </c>
      <c r="AR995" s="0" t="n">
        <v>64</v>
      </c>
      <c r="AS995" s="0" t="n">
        <v>32</v>
      </c>
      <c r="AU995" s="0" t="n">
        <f aca="false">COUNTA($BA$2456:$EH$2456)</f>
        <v>2</v>
      </c>
      <c r="AV995" s="0" t="n">
        <f aca="false">COUNTIF($BA$2456:$EH$2456,"D")</f>
        <v>0</v>
      </c>
      <c r="AW995" s="0" t="n">
        <f aca="false">COUNTIF($BA$2456:$EH$2456,"R")</f>
        <v>0</v>
      </c>
      <c r="AX995" s="0" t="n">
        <f aca="false">IF(BN995="D",1,0)+IF(BO995="D",1,0)+IF(BT995="D",1,0)+IF(BU995="D",1,0)+IF(BW995="D",1,0)+IF(CC995="D",1,0)+IF(CD995="D",1,0)+IF(CE995="D",1,0)+IF(CF995="D",1,0)+IF(CL995="D",1,0)+IF(CM995="D",1,0)+IF(CQ995="D",1,0)+IF(CR995="D",1,0)+IF(CS995="D",1,0)+IF(CW995="D",1,0)+IF(CX995="D",1,0)+IF(DD995="D",1,0)+IF(DE995="D",1,0)+IF(DJ995="D",1,0)+IF(DK995="D",1,0)+IF(DO995="D",1,0)+IF(DP995="D",1,0)+IF(DQ995="D",1,0)+IF(DW995="D",1,0)+IF(DZ995="D",1,0)+IF(EH995="D",1,0)</f>
        <v>3</v>
      </c>
      <c r="AY995" s="0" t="n">
        <f aca="false">COUNTIF(DU995:EH995, "&lt;&gt;")</f>
        <v>5</v>
      </c>
      <c r="AZ995" s="0" t="n">
        <f aca="false">IF(EH995&lt;&gt;"",1,0)</f>
        <v>1</v>
      </c>
      <c r="BB995" s="0" t="s">
        <v>152</v>
      </c>
      <c r="BC995" s="0" t="s">
        <v>153</v>
      </c>
      <c r="BD995" s="0" t="s">
        <v>153</v>
      </c>
      <c r="BF995" s="0" t="s">
        <v>153</v>
      </c>
      <c r="BG995" s="0" t="s">
        <v>153</v>
      </c>
      <c r="BI995" s="0" t="s">
        <v>153</v>
      </c>
      <c r="BJ995" s="0" t="s">
        <v>153</v>
      </c>
      <c r="BK995" s="0" t="s">
        <v>153</v>
      </c>
      <c r="BL995" s="0" t="s">
        <v>153</v>
      </c>
      <c r="BP995" s="0" t="s">
        <v>153</v>
      </c>
      <c r="BS995" s="0" t="s">
        <v>153</v>
      </c>
      <c r="BV995" s="0" t="s">
        <v>153</v>
      </c>
      <c r="BY995" s="0" t="s">
        <v>175</v>
      </c>
      <c r="CA995" s="0" t="s">
        <v>153</v>
      </c>
      <c r="CG995" s="0" t="s">
        <v>153</v>
      </c>
      <c r="CK995" s="0" t="s">
        <v>153</v>
      </c>
      <c r="CN995" s="0" t="s">
        <v>153</v>
      </c>
      <c r="CO995" s="0" t="s">
        <v>175</v>
      </c>
      <c r="CP995" s="0" t="s">
        <v>153</v>
      </c>
      <c r="CU995" s="0" t="s">
        <v>175</v>
      </c>
      <c r="CV995" s="0" t="s">
        <v>153</v>
      </c>
      <c r="CY995" s="0" t="s">
        <v>153</v>
      </c>
      <c r="CZ995" s="0" t="s">
        <v>175</v>
      </c>
      <c r="DC995" s="0" t="s">
        <v>153</v>
      </c>
      <c r="DD995" s="0" t="s">
        <v>175</v>
      </c>
      <c r="DI995" s="0" t="s">
        <v>153</v>
      </c>
      <c r="DL995" s="0" t="s">
        <v>153</v>
      </c>
      <c r="DN995" s="0" t="s">
        <v>153</v>
      </c>
      <c r="DR995" s="0" t="s">
        <v>153</v>
      </c>
      <c r="DS995" s="0" t="s">
        <v>175</v>
      </c>
      <c r="DU995" s="0" t="s">
        <v>153</v>
      </c>
      <c r="DW995" s="0" t="s">
        <v>175</v>
      </c>
      <c r="EA995" s="0" t="s">
        <v>153</v>
      </c>
      <c r="EF995" s="0" t="s">
        <v>153</v>
      </c>
      <c r="EH995" s="0" t="s">
        <v>175</v>
      </c>
    </row>
    <row r="996" customFormat="false" ht="13.8" hidden="false" customHeight="false" outlineLevel="0" collapsed="false">
      <c r="A996" s="0" t="s">
        <v>4851</v>
      </c>
      <c r="B996" s="0" t="n">
        <v>78</v>
      </c>
      <c r="C996" s="0" t="n">
        <v>429725</v>
      </c>
      <c r="D996" s="0" t="s">
        <v>4852</v>
      </c>
      <c r="E996" s="0" t="s">
        <v>4853</v>
      </c>
      <c r="F996" s="0" t="str">
        <f aca="false">CONCATENATE(D996," ",LEFT(H996,4),"T=",AU996,"D=",AV996,"R=",AW996,"M=",AX996,"L=",AY996,"B=",AZ996)</f>
        <v>WYNOT T=4D=0R=0M=0L=2B=0</v>
      </c>
      <c r="G996" s="0" t="s">
        <v>839</v>
      </c>
      <c r="I996" s="0" t="s">
        <v>4854</v>
      </c>
      <c r="J996" s="0" t="s">
        <v>4855</v>
      </c>
      <c r="K996" s="0" t="s">
        <v>160</v>
      </c>
      <c r="M996" s="0" t="s">
        <v>4856</v>
      </c>
      <c r="N996" s="0" t="str">
        <f aca="false">RIGHT(M996,LEN(M996)-FIND(" ",M996))</f>
        <v>IDDINGS AVE NE</v>
      </c>
      <c r="P996" s="0" t="s">
        <v>145</v>
      </c>
      <c r="Q996" s="0" t="s">
        <v>146</v>
      </c>
      <c r="R996" s="0" t="n">
        <v>44483</v>
      </c>
      <c r="AD996" s="0" t="s">
        <v>147</v>
      </c>
      <c r="AE996" s="0" t="s">
        <v>148</v>
      </c>
      <c r="AF996" s="0" t="s">
        <v>149</v>
      </c>
      <c r="AH996" s="0" t="n">
        <v>14</v>
      </c>
      <c r="AI996" s="0" t="n">
        <v>11</v>
      </c>
      <c r="AN996" s="0" t="s">
        <v>145</v>
      </c>
      <c r="AO996" s="0" t="s">
        <v>654</v>
      </c>
      <c r="AP996" s="0" t="s">
        <v>655</v>
      </c>
      <c r="AQ996" s="0" t="n">
        <v>9</v>
      </c>
      <c r="AR996" s="0" t="n">
        <v>64</v>
      </c>
      <c r="AS996" s="0" t="n">
        <v>32</v>
      </c>
      <c r="AU996" s="0" t="n">
        <f aca="false">COUNTA($BA$2018:$EH$2018)</f>
        <v>4</v>
      </c>
      <c r="AV996" s="0" t="n">
        <f aca="false">COUNTIF($BA$2018:$EH$2018,"D")</f>
        <v>0</v>
      </c>
      <c r="AW996" s="0" t="n">
        <f aca="false">COUNTIF($BA$2018:$EH$2018,"R")</f>
        <v>0</v>
      </c>
      <c r="AX996" s="0" t="n">
        <f aca="false">IF(BN996="D",1,0)+IF(BO996="D",1,0)+IF(BT996="D",1,0)+IF(BU996="D",1,0)+IF(BW996="D",1,0)+IF(CC996="D",1,0)+IF(CD996="D",1,0)+IF(CE996="D",1,0)+IF(CF996="D",1,0)+IF(CL996="D",1,0)+IF(CM996="D",1,0)+IF(CQ996="D",1,0)+IF(CR996="D",1,0)+IF(CS996="D",1,0)+IF(CW996="D",1,0)+IF(CX996="D",1,0)+IF(DD996="D",1,0)+IF(DE996="D",1,0)+IF(DJ996="D",1,0)+IF(DK996="D",1,0)+IF(DO996="D",1,0)+IF(DP996="D",1,0)+IF(DQ996="D",1,0)+IF(DW996="D",1,0)+IF(DZ996="D",1,0)+IF(EH996="D",1,0)</f>
        <v>0</v>
      </c>
      <c r="AY996" s="0" t="n">
        <f aca="false">COUNTIF(DU996:EH996, "&lt;&gt;")</f>
        <v>2</v>
      </c>
      <c r="AZ996" s="0" t="n">
        <f aca="false">IF(EH996&lt;&gt;"",1,0)</f>
        <v>0</v>
      </c>
      <c r="BB996" s="0" t="s">
        <v>152</v>
      </c>
      <c r="DC996" s="0" t="s">
        <v>153</v>
      </c>
      <c r="DN996" s="0" t="s">
        <v>153</v>
      </c>
      <c r="DU996" s="0" t="s">
        <v>153</v>
      </c>
      <c r="EF996" s="0" t="s">
        <v>153</v>
      </c>
    </row>
    <row r="997" customFormat="false" ht="13.8" hidden="false" customHeight="false" outlineLevel="0" collapsed="false">
      <c r="A997" s="0" t="s">
        <v>4857</v>
      </c>
      <c r="B997" s="0" t="n">
        <v>78</v>
      </c>
      <c r="C997" s="0" t="n">
        <v>145104</v>
      </c>
      <c r="D997" s="0" t="s">
        <v>4858</v>
      </c>
      <c r="E997" s="0" t="s">
        <v>357</v>
      </c>
      <c r="F997" s="0" t="str">
        <f aca="false">CONCATENATE(D997," ",LEFT(H997,4),"T=",AU997,"D=",AV997,"R=",AW997,"M=",AX997,"L=",AY997,"B=",AZ997)</f>
        <v>PEHANICH T=3D=0R=0M=3L=7B=1</v>
      </c>
      <c r="I997" s="0" t="s">
        <v>4859</v>
      </c>
      <c r="J997" s="0" t="s">
        <v>4860</v>
      </c>
      <c r="K997" s="0" t="s">
        <v>160</v>
      </c>
      <c r="L997" s="0" t="s">
        <v>175</v>
      </c>
      <c r="M997" s="0" t="s">
        <v>4861</v>
      </c>
      <c r="N997" s="0" t="str">
        <f aca="false">RIGHT(M997,LEN(M997)-FIND(" ",M997))</f>
        <v>IDDINGS AVE NE</v>
      </c>
      <c r="P997" s="0" t="s">
        <v>145</v>
      </c>
      <c r="Q997" s="0" t="s">
        <v>146</v>
      </c>
      <c r="R997" s="0" t="n">
        <v>44483</v>
      </c>
      <c r="AD997" s="0" t="s">
        <v>147</v>
      </c>
      <c r="AE997" s="0" t="s">
        <v>148</v>
      </c>
      <c r="AF997" s="0" t="s">
        <v>149</v>
      </c>
      <c r="AH997" s="0" t="n">
        <v>14</v>
      </c>
      <c r="AI997" s="0" t="n">
        <v>11</v>
      </c>
      <c r="AN997" s="0" t="s">
        <v>145</v>
      </c>
      <c r="AO997" s="0" t="s">
        <v>654</v>
      </c>
      <c r="AP997" s="0" t="s">
        <v>655</v>
      </c>
      <c r="AQ997" s="0" t="n">
        <v>9</v>
      </c>
      <c r="AR997" s="0" t="n">
        <v>64</v>
      </c>
      <c r="AS997" s="0" t="n">
        <v>32</v>
      </c>
      <c r="AU997" s="0" t="n">
        <f aca="false">COUNTA($BA$1910:$EH$1910)</f>
        <v>3</v>
      </c>
      <c r="AV997" s="0" t="n">
        <f aca="false">COUNTIF($BA$1910:$EH$1910,"D")</f>
        <v>0</v>
      </c>
      <c r="AW997" s="0" t="n">
        <f aca="false">COUNTIF($BA$1910:$EH$1910,"R")</f>
        <v>0</v>
      </c>
      <c r="AX997" s="0" t="n">
        <f aca="false">IF(BN997="D",1,0)+IF(BO997="D",1,0)+IF(BT997="D",1,0)+IF(BU997="D",1,0)+IF(BW997="D",1,0)+IF(CC997="D",1,0)+IF(CD997="D",1,0)+IF(CE997="D",1,0)+IF(CF997="D",1,0)+IF(CL997="D",1,0)+IF(CM997="D",1,0)+IF(CQ997="D",1,0)+IF(CR997="D",1,0)+IF(CS997="D",1,0)+IF(CW997="D",1,0)+IF(CX997="D",1,0)+IF(DD997="D",1,0)+IF(DE997="D",1,0)+IF(DJ997="D",1,0)+IF(DK997="D",1,0)+IF(DO997="D",1,0)+IF(DP997="D",1,0)+IF(DQ997="D",1,0)+IF(DW997="D",1,0)+IF(DZ997="D",1,0)+IF(EH997="D",1,0)</f>
        <v>3</v>
      </c>
      <c r="AY997" s="0" t="n">
        <f aca="false">COUNTIF(DU997:EH997, "&lt;&gt;")</f>
        <v>7</v>
      </c>
      <c r="AZ997" s="0" t="n">
        <f aca="false">IF(EH997&lt;&gt;"",1,0)</f>
        <v>1</v>
      </c>
      <c r="BB997" s="0" t="s">
        <v>152</v>
      </c>
      <c r="BD997" s="0" t="s">
        <v>153</v>
      </c>
      <c r="BE997" s="0" t="s">
        <v>153</v>
      </c>
      <c r="BL997" s="0" t="s">
        <v>153</v>
      </c>
      <c r="BY997" s="0" t="s">
        <v>175</v>
      </c>
      <c r="CA997" s="0" t="s">
        <v>153</v>
      </c>
      <c r="CP997" s="0" t="s">
        <v>153</v>
      </c>
      <c r="CZ997" s="0" t="s">
        <v>175</v>
      </c>
      <c r="DC997" s="0" t="s">
        <v>153</v>
      </c>
      <c r="DD997" s="0" t="s">
        <v>175</v>
      </c>
      <c r="DF997" s="0" t="s">
        <v>153</v>
      </c>
      <c r="DI997" s="0" t="s">
        <v>153</v>
      </c>
      <c r="DL997" s="0" t="s">
        <v>153</v>
      </c>
      <c r="DM997" s="0" t="s">
        <v>175</v>
      </c>
      <c r="DN997" s="0" t="s">
        <v>153</v>
      </c>
      <c r="DR997" s="0" t="s">
        <v>153</v>
      </c>
      <c r="DS997" s="0" t="s">
        <v>175</v>
      </c>
      <c r="DT997" s="0" t="s">
        <v>175</v>
      </c>
      <c r="DU997" s="0" t="s">
        <v>153</v>
      </c>
      <c r="DW997" s="0" t="s">
        <v>175</v>
      </c>
      <c r="DX997" s="0" t="s">
        <v>153</v>
      </c>
      <c r="EA997" s="0" t="s">
        <v>153</v>
      </c>
      <c r="ED997" s="0" t="s">
        <v>175</v>
      </c>
      <c r="EF997" s="0" t="s">
        <v>153</v>
      </c>
      <c r="EH997" s="0" t="s">
        <v>175</v>
      </c>
    </row>
    <row r="998" customFormat="false" ht="13.8" hidden="false" customHeight="false" outlineLevel="0" collapsed="false">
      <c r="A998" s="0" t="s">
        <v>4862</v>
      </c>
      <c r="B998" s="0" t="n">
        <v>78</v>
      </c>
      <c r="C998" s="0" t="n">
        <v>361226</v>
      </c>
      <c r="D998" s="0" t="s">
        <v>4858</v>
      </c>
      <c r="E998" s="0" t="s">
        <v>1409</v>
      </c>
      <c r="F998" s="0" t="str">
        <f aca="false">CONCATENATE(D998," ",LEFT(H998,4),"T=",AU998,"D=",AV998,"R=",AW998,"M=",AX998,"L=",AY998,"B=",AZ998)</f>
        <v>PEHANICH T=5D=0R=0M=3L=7B=1</v>
      </c>
      <c r="G998" s="0" t="s">
        <v>1128</v>
      </c>
      <c r="I998" s="0" t="s">
        <v>4863</v>
      </c>
      <c r="J998" s="0" t="s">
        <v>4864</v>
      </c>
      <c r="K998" s="0" t="s">
        <v>160</v>
      </c>
      <c r="L998" s="0" t="s">
        <v>175</v>
      </c>
      <c r="M998" s="0" t="s">
        <v>4861</v>
      </c>
      <c r="N998" s="0" t="str">
        <f aca="false">RIGHT(M998,LEN(M998)-FIND(" ",M998))</f>
        <v>IDDINGS AVE NE</v>
      </c>
      <c r="P998" s="0" t="s">
        <v>145</v>
      </c>
      <c r="Q998" s="0" t="s">
        <v>146</v>
      </c>
      <c r="R998" s="0" t="n">
        <v>44483</v>
      </c>
      <c r="AD998" s="0" t="s">
        <v>147</v>
      </c>
      <c r="AE998" s="0" t="s">
        <v>148</v>
      </c>
      <c r="AF998" s="0" t="s">
        <v>149</v>
      </c>
      <c r="AH998" s="0" t="n">
        <v>14</v>
      </c>
      <c r="AI998" s="0" t="n">
        <v>11</v>
      </c>
      <c r="AN998" s="0" t="s">
        <v>145</v>
      </c>
      <c r="AO998" s="0" t="s">
        <v>654</v>
      </c>
      <c r="AP998" s="0" t="s">
        <v>655</v>
      </c>
      <c r="AQ998" s="0" t="n">
        <v>9</v>
      </c>
      <c r="AR998" s="0" t="n">
        <v>64</v>
      </c>
      <c r="AS998" s="0" t="n">
        <v>32</v>
      </c>
      <c r="AU998" s="0" t="n">
        <f aca="false">COUNTA($BA$1915:$EH$1915)</f>
        <v>5</v>
      </c>
      <c r="AV998" s="0" t="n">
        <f aca="false">COUNTIF($BA$1915:$EH$1915,"D")</f>
        <v>0</v>
      </c>
      <c r="AW998" s="0" t="n">
        <f aca="false">COUNTIF($BA$1915:$EH$1915,"R")</f>
        <v>0</v>
      </c>
      <c r="AX998" s="0" t="n">
        <f aca="false">IF(BN998="D",1,0)+IF(BO998="D",1,0)+IF(BT998="D",1,0)+IF(BU998="D",1,0)+IF(BW998="D",1,0)+IF(CC998="D",1,0)+IF(CD998="D",1,0)+IF(CE998="D",1,0)+IF(CF998="D",1,0)+IF(CL998="D",1,0)+IF(CM998="D",1,0)+IF(CQ998="D",1,0)+IF(CR998="D",1,0)+IF(CS998="D",1,0)+IF(CW998="D",1,0)+IF(CX998="D",1,0)+IF(DD998="D",1,0)+IF(DE998="D",1,0)+IF(DJ998="D",1,0)+IF(DK998="D",1,0)+IF(DO998="D",1,0)+IF(DP998="D",1,0)+IF(DQ998="D",1,0)+IF(DW998="D",1,0)+IF(DZ998="D",1,0)+IF(EH998="D",1,0)</f>
        <v>3</v>
      </c>
      <c r="AY998" s="0" t="n">
        <f aca="false">COUNTIF(DU998:EH998, "&lt;&gt;")</f>
        <v>7</v>
      </c>
      <c r="AZ998" s="0" t="n">
        <f aca="false">IF(EH998&lt;&gt;"",1,0)</f>
        <v>1</v>
      </c>
      <c r="BB998" s="0" t="s">
        <v>152</v>
      </c>
      <c r="CA998" s="0" t="s">
        <v>153</v>
      </c>
      <c r="CP998" s="0" t="s">
        <v>153</v>
      </c>
      <c r="CZ998" s="0" t="s">
        <v>175</v>
      </c>
      <c r="DC998" s="0" t="s">
        <v>153</v>
      </c>
      <c r="DD998" s="0" t="s">
        <v>175</v>
      </c>
      <c r="DF998" s="0" t="s">
        <v>153</v>
      </c>
      <c r="DI998" s="0" t="s">
        <v>153</v>
      </c>
      <c r="DL998" s="0" t="s">
        <v>153</v>
      </c>
      <c r="DM998" s="0" t="s">
        <v>175</v>
      </c>
      <c r="DN998" s="0" t="s">
        <v>153</v>
      </c>
      <c r="DR998" s="0" t="s">
        <v>153</v>
      </c>
      <c r="DS998" s="0" t="s">
        <v>175</v>
      </c>
      <c r="DT998" s="0" t="s">
        <v>175</v>
      </c>
      <c r="DU998" s="0" t="s">
        <v>153</v>
      </c>
      <c r="DW998" s="0" t="s">
        <v>175</v>
      </c>
      <c r="DX998" s="0" t="s">
        <v>153</v>
      </c>
      <c r="EA998" s="0" t="s">
        <v>153</v>
      </c>
      <c r="ED998" s="0" t="s">
        <v>175</v>
      </c>
      <c r="EF998" s="0" t="s">
        <v>153</v>
      </c>
      <c r="EH998" s="0" t="s">
        <v>175</v>
      </c>
    </row>
    <row r="999" customFormat="false" ht="13.8" hidden="false" customHeight="false" outlineLevel="0" collapsed="false">
      <c r="A999" s="0" t="s">
        <v>4865</v>
      </c>
      <c r="B999" s="0" t="n">
        <v>78</v>
      </c>
      <c r="C999" s="0" t="n">
        <v>414085</v>
      </c>
      <c r="D999" s="0" t="s">
        <v>4858</v>
      </c>
      <c r="E999" s="0" t="s">
        <v>1014</v>
      </c>
      <c r="F999" s="0" t="str">
        <f aca="false">CONCATENATE(D999," ",LEFT(H999,4),"T=",AU999,"D=",AV999,"R=",AW999,"M=",AX999,"L=",AY999,"B=",AZ999)</f>
        <v>PEHANICH T=3D=0R=0M=2L=7B=1</v>
      </c>
      <c r="G999" s="0" t="s">
        <v>164</v>
      </c>
      <c r="I999" s="0" t="s">
        <v>4866</v>
      </c>
      <c r="J999" s="0" t="s">
        <v>2007</v>
      </c>
      <c r="K999" s="0" t="s">
        <v>160</v>
      </c>
      <c r="L999" s="0" t="s">
        <v>175</v>
      </c>
      <c r="M999" s="0" t="s">
        <v>4861</v>
      </c>
      <c r="N999" s="0" t="str">
        <f aca="false">RIGHT(M999,LEN(M999)-FIND(" ",M999))</f>
        <v>IDDINGS AVE NE</v>
      </c>
      <c r="P999" s="0" t="s">
        <v>145</v>
      </c>
      <c r="Q999" s="0" t="s">
        <v>146</v>
      </c>
      <c r="R999" s="0" t="n">
        <v>44483</v>
      </c>
      <c r="AD999" s="0" t="s">
        <v>147</v>
      </c>
      <c r="AE999" s="0" t="s">
        <v>148</v>
      </c>
      <c r="AF999" s="0" t="s">
        <v>149</v>
      </c>
      <c r="AH999" s="0" t="n">
        <v>14</v>
      </c>
      <c r="AI999" s="0" t="n">
        <v>11</v>
      </c>
      <c r="AN999" s="0" t="s">
        <v>145</v>
      </c>
      <c r="AO999" s="0" t="s">
        <v>654</v>
      </c>
      <c r="AP999" s="0" t="s">
        <v>655</v>
      </c>
      <c r="AQ999" s="0" t="n">
        <v>9</v>
      </c>
      <c r="AR999" s="0" t="n">
        <v>64</v>
      </c>
      <c r="AS999" s="0" t="n">
        <v>32</v>
      </c>
      <c r="AU999" s="0" t="n">
        <f aca="false">COUNTA($BA$2058:$EH$2058)</f>
        <v>3</v>
      </c>
      <c r="AV999" s="0" t="n">
        <f aca="false">COUNTIF($BA$2058:$EH$2058,"D")</f>
        <v>0</v>
      </c>
      <c r="AW999" s="0" t="n">
        <f aca="false">COUNTIF($BA$2058:$EH$2058,"R")</f>
        <v>0</v>
      </c>
      <c r="AX999" s="0" t="n">
        <f aca="false">IF(BN999="D",1,0)+IF(BO999="D",1,0)+IF(BT999="D",1,0)+IF(BU999="D",1,0)+IF(BW999="D",1,0)+IF(CC999="D",1,0)+IF(CD999="D",1,0)+IF(CE999="D",1,0)+IF(CF999="D",1,0)+IF(CL999="D",1,0)+IF(CM999="D",1,0)+IF(CQ999="D",1,0)+IF(CR999="D",1,0)+IF(CS999="D",1,0)+IF(CW999="D",1,0)+IF(CX999="D",1,0)+IF(DD999="D",1,0)+IF(DE999="D",1,0)+IF(DJ999="D",1,0)+IF(DK999="D",1,0)+IF(DO999="D",1,0)+IF(DP999="D",1,0)+IF(DQ999="D",1,0)+IF(DW999="D",1,0)+IF(DZ999="D",1,0)+IF(EH999="D",1,0)</f>
        <v>2</v>
      </c>
      <c r="AY999" s="0" t="n">
        <f aca="false">COUNTIF(DU999:EH999, "&lt;&gt;")</f>
        <v>7</v>
      </c>
      <c r="AZ999" s="0" t="n">
        <f aca="false">IF(EH999&lt;&gt;"",1,0)</f>
        <v>1</v>
      </c>
      <c r="BB999" s="0" t="s">
        <v>152</v>
      </c>
      <c r="CZ999" s="0" t="s">
        <v>175</v>
      </c>
      <c r="DC999" s="0" t="s">
        <v>153</v>
      </c>
      <c r="DI999" s="0" t="s">
        <v>153</v>
      </c>
      <c r="DL999" s="0" t="s">
        <v>153</v>
      </c>
      <c r="DM999" s="0" t="s">
        <v>175</v>
      </c>
      <c r="DN999" s="0" t="s">
        <v>153</v>
      </c>
      <c r="DS999" s="0" t="s">
        <v>175</v>
      </c>
      <c r="DT999" s="0" t="s">
        <v>175</v>
      </c>
      <c r="DU999" s="0" t="s">
        <v>153</v>
      </c>
      <c r="DW999" s="0" t="s">
        <v>175</v>
      </c>
      <c r="DX999" s="0" t="s">
        <v>153</v>
      </c>
      <c r="EA999" s="0" t="s">
        <v>153</v>
      </c>
      <c r="ED999" s="0" t="s">
        <v>175</v>
      </c>
      <c r="EF999" s="0" t="s">
        <v>153</v>
      </c>
      <c r="EH999" s="0" t="s">
        <v>175</v>
      </c>
    </row>
    <row r="1000" customFormat="false" ht="13.8" hidden="false" customHeight="false" outlineLevel="0" collapsed="false">
      <c r="A1000" s="0" t="s">
        <v>4867</v>
      </c>
      <c r="B1000" s="0" t="n">
        <v>78</v>
      </c>
      <c r="C1000" s="0" t="n">
        <v>372105</v>
      </c>
      <c r="D1000" s="0" t="s">
        <v>4858</v>
      </c>
      <c r="E1000" s="0" t="s">
        <v>4868</v>
      </c>
      <c r="F1000" s="0" t="str">
        <f aca="false">CONCATENATE(D1000," ",LEFT(H1000,4),"T=",AU1000,"D=",AV1000,"R=",AW1000,"M=",AX1000,"L=",AY1000,"B=",AZ1000)</f>
        <v>PEHANICH T=2D=0R=0M=0L=3B=0</v>
      </c>
      <c r="G1000" s="0" t="s">
        <v>4869</v>
      </c>
      <c r="I1000" s="0" t="s">
        <v>4870</v>
      </c>
      <c r="J1000" s="0" t="s">
        <v>4871</v>
      </c>
      <c r="K1000" s="0" t="s">
        <v>160</v>
      </c>
      <c r="M1000" s="0" t="s">
        <v>4872</v>
      </c>
      <c r="N1000" s="0" t="str">
        <f aca="false">RIGHT(M1000,LEN(M1000)-FIND(" ",M1000))</f>
        <v>IDDINGS AVE NE</v>
      </c>
      <c r="P1000" s="0" t="s">
        <v>145</v>
      </c>
      <c r="Q1000" s="0" t="s">
        <v>146</v>
      </c>
      <c r="R1000" s="0" t="n">
        <v>44483</v>
      </c>
      <c r="AD1000" s="0" t="s">
        <v>147</v>
      </c>
      <c r="AE1000" s="0" t="s">
        <v>148</v>
      </c>
      <c r="AF1000" s="0" t="s">
        <v>149</v>
      </c>
      <c r="AH1000" s="0" t="n">
        <v>14</v>
      </c>
      <c r="AI1000" s="0" t="n">
        <v>11</v>
      </c>
      <c r="AN1000" s="0" t="s">
        <v>145</v>
      </c>
      <c r="AO1000" s="0" t="s">
        <v>654</v>
      </c>
      <c r="AP1000" s="0" t="s">
        <v>655</v>
      </c>
      <c r="AQ1000" s="0" t="n">
        <v>9</v>
      </c>
      <c r="AR1000" s="0" t="n">
        <v>64</v>
      </c>
      <c r="AS1000" s="0" t="n">
        <v>32</v>
      </c>
      <c r="AU1000" s="0" t="n">
        <f aca="false">COUNTA($BA$1688:$EH$1688)</f>
        <v>2</v>
      </c>
      <c r="AV1000" s="0" t="n">
        <f aca="false">COUNTIF($BA$1688:$EH$1688,"D")</f>
        <v>0</v>
      </c>
      <c r="AW1000" s="0" t="n">
        <f aca="false">COUNTIF($BA$1688:$EH$1688,"R")</f>
        <v>0</v>
      </c>
      <c r="AX1000" s="0" t="n">
        <f aca="false">IF(BN1000="D",1,0)+IF(BO1000="D",1,0)+IF(BT1000="D",1,0)+IF(BU1000="D",1,0)+IF(BW1000="D",1,0)+IF(CC1000="D",1,0)+IF(CD1000="D",1,0)+IF(CE1000="D",1,0)+IF(CF1000="D",1,0)+IF(CL1000="D",1,0)+IF(CM1000="D",1,0)+IF(CQ1000="D",1,0)+IF(CR1000="D",1,0)+IF(CS1000="D",1,0)+IF(CW1000="D",1,0)+IF(CX1000="D",1,0)+IF(DD1000="D",1,0)+IF(DE1000="D",1,0)+IF(DJ1000="D",1,0)+IF(DK1000="D",1,0)+IF(DO1000="D",1,0)+IF(DP1000="D",1,0)+IF(DQ1000="D",1,0)+IF(DW1000="D",1,0)+IF(DZ1000="D",1,0)+IF(EH1000="D",1,0)</f>
        <v>0</v>
      </c>
      <c r="AY1000" s="0" t="n">
        <f aca="false">COUNTIF(DU1000:EH1000, "&lt;&gt;")</f>
        <v>3</v>
      </c>
      <c r="AZ1000" s="0" t="n">
        <f aca="false">IF(EH1000&lt;&gt;"",1,0)</f>
        <v>0</v>
      </c>
      <c r="BB1000" s="0" t="s">
        <v>152</v>
      </c>
      <c r="CP1000" s="0" t="s">
        <v>153</v>
      </c>
      <c r="CY1000" s="0" t="s">
        <v>153</v>
      </c>
      <c r="CZ1000" s="0" t="s">
        <v>175</v>
      </c>
      <c r="DC1000" s="0" t="s">
        <v>153</v>
      </c>
      <c r="DI1000" s="0" t="s">
        <v>153</v>
      </c>
      <c r="DN1000" s="0" t="s">
        <v>153</v>
      </c>
      <c r="DU1000" s="0" t="s">
        <v>153</v>
      </c>
      <c r="DX1000" s="0" t="s">
        <v>153</v>
      </c>
      <c r="EF1000" s="0" t="s">
        <v>153</v>
      </c>
    </row>
    <row r="1001" customFormat="false" ht="13.8" hidden="false" customHeight="false" outlineLevel="0" collapsed="false">
      <c r="A1001" s="0" t="s">
        <v>4873</v>
      </c>
      <c r="B1001" s="0" t="n">
        <v>78</v>
      </c>
      <c r="C1001" s="0" t="n">
        <v>393930</v>
      </c>
      <c r="D1001" s="0" t="s">
        <v>4858</v>
      </c>
      <c r="E1001" s="0" t="s">
        <v>2214</v>
      </c>
      <c r="F1001" s="0" t="str">
        <f aca="false">CONCATENATE(D1001," ",LEFT(H1001,4),"T=",AU1001,"D=",AV1001,"R=",AW1001,"M=",AX1001,"L=",AY1001,"B=",AZ1001)</f>
        <v>PEHANICH T=15D=2R=0M=0L=3B=0</v>
      </c>
      <c r="G1001" s="0" t="s">
        <v>357</v>
      </c>
      <c r="I1001" s="0" t="s">
        <v>4874</v>
      </c>
      <c r="J1001" s="0" t="s">
        <v>321</v>
      </c>
      <c r="K1001" s="0" t="s">
        <v>160</v>
      </c>
      <c r="M1001" s="0" t="s">
        <v>4872</v>
      </c>
      <c r="N1001" s="0" t="str">
        <f aca="false">RIGHT(M1001,LEN(M1001)-FIND(" ",M1001))</f>
        <v>IDDINGS AVE NE</v>
      </c>
      <c r="P1001" s="0" t="s">
        <v>145</v>
      </c>
      <c r="Q1001" s="0" t="s">
        <v>146</v>
      </c>
      <c r="R1001" s="0" t="n">
        <v>44483</v>
      </c>
      <c r="AD1001" s="0" t="s">
        <v>147</v>
      </c>
      <c r="AE1001" s="0" t="s">
        <v>148</v>
      </c>
      <c r="AF1001" s="0" t="s">
        <v>149</v>
      </c>
      <c r="AH1001" s="0" t="n">
        <v>14</v>
      </c>
      <c r="AI1001" s="0" t="n">
        <v>11</v>
      </c>
      <c r="AN1001" s="0" t="s">
        <v>145</v>
      </c>
      <c r="AO1001" s="0" t="s">
        <v>654</v>
      </c>
      <c r="AP1001" s="0" t="s">
        <v>655</v>
      </c>
      <c r="AQ1001" s="0" t="n">
        <v>9</v>
      </c>
      <c r="AR1001" s="0" t="n">
        <v>64</v>
      </c>
      <c r="AS1001" s="0" t="n">
        <v>32</v>
      </c>
      <c r="AU1001" s="0" t="n">
        <f aca="false">COUNTA($BA$1803:$EH$1803)</f>
        <v>15</v>
      </c>
      <c r="AV1001" s="0" t="n">
        <f aca="false">COUNTIF($BA$1803:$EH$1803,"D")</f>
        <v>2</v>
      </c>
      <c r="AW1001" s="0" t="n">
        <f aca="false">COUNTIF($BA$1803:$EH$1803,"R")</f>
        <v>0</v>
      </c>
      <c r="AX1001" s="0" t="n">
        <f aca="false">IF(BN1001="D",1,0)+IF(BO1001="D",1,0)+IF(BT1001="D",1,0)+IF(BU1001="D",1,0)+IF(BW1001="D",1,0)+IF(CC1001="D",1,0)+IF(CD1001="D",1,0)+IF(CE1001="D",1,0)+IF(CF1001="D",1,0)+IF(CL1001="D",1,0)+IF(CM1001="D",1,0)+IF(CQ1001="D",1,0)+IF(CR1001="D",1,0)+IF(CS1001="D",1,0)+IF(CW1001="D",1,0)+IF(CX1001="D",1,0)+IF(DD1001="D",1,0)+IF(DE1001="D",1,0)+IF(DJ1001="D",1,0)+IF(DK1001="D",1,0)+IF(DO1001="D",1,0)+IF(DP1001="D",1,0)+IF(DQ1001="D",1,0)+IF(DW1001="D",1,0)+IF(DZ1001="D",1,0)+IF(EH1001="D",1,0)</f>
        <v>0</v>
      </c>
      <c r="AY1001" s="0" t="n">
        <f aca="false">COUNTIF(DU1001:EH1001, "&lt;&gt;")</f>
        <v>3</v>
      </c>
      <c r="AZ1001" s="0" t="n">
        <f aca="false">IF(EH1001&lt;&gt;"",1,0)</f>
        <v>0</v>
      </c>
      <c r="BB1001" s="0" t="s">
        <v>152</v>
      </c>
      <c r="CZ1001" s="0" t="s">
        <v>209</v>
      </c>
      <c r="DC1001" s="0" t="s">
        <v>153</v>
      </c>
      <c r="DI1001" s="0" t="s">
        <v>153</v>
      </c>
      <c r="DN1001" s="0" t="s">
        <v>153</v>
      </c>
      <c r="DU1001" s="0" t="s">
        <v>153</v>
      </c>
      <c r="DX1001" s="0" t="s">
        <v>153</v>
      </c>
      <c r="EF1001" s="0" t="s">
        <v>153</v>
      </c>
    </row>
    <row r="1002" customFormat="false" ht="13.8" hidden="false" customHeight="false" outlineLevel="0" collapsed="false">
      <c r="A1002" s="0" t="s">
        <v>4875</v>
      </c>
      <c r="B1002" s="0" t="n">
        <v>78</v>
      </c>
      <c r="C1002" s="0" t="n">
        <v>464457</v>
      </c>
      <c r="D1002" s="0" t="s">
        <v>1390</v>
      </c>
      <c r="E1002" s="0" t="s">
        <v>4876</v>
      </c>
      <c r="F1002" s="0" t="str">
        <f aca="false">CONCATENATE(D1002," ",LEFT(H1002,4),"T=",AU1002,"D=",AV1002,"R=",AW1002,"M=",AX1002,"L=",AY1002,"B=",AZ1002)</f>
        <v>NEAL T=2D=0R=0M=1L=6B=0</v>
      </c>
      <c r="I1002" s="0" t="s">
        <v>4877</v>
      </c>
      <c r="J1002" s="0" t="s">
        <v>4878</v>
      </c>
      <c r="K1002" s="0" t="s">
        <v>160</v>
      </c>
      <c r="L1002" s="0" t="s">
        <v>175</v>
      </c>
      <c r="M1002" s="0" t="s">
        <v>4879</v>
      </c>
      <c r="N1002" s="0" t="str">
        <f aca="false">RIGHT(M1002,LEN(M1002)-FIND(" ",M1002))</f>
        <v>IDDINGS AVE NE</v>
      </c>
      <c r="P1002" s="0" t="s">
        <v>145</v>
      </c>
      <c r="Q1002" s="0" t="s">
        <v>146</v>
      </c>
      <c r="R1002" s="0" t="n">
        <v>44483</v>
      </c>
      <c r="AD1002" s="0" t="s">
        <v>147</v>
      </c>
      <c r="AE1002" s="0" t="s">
        <v>148</v>
      </c>
      <c r="AF1002" s="0" t="s">
        <v>149</v>
      </c>
      <c r="AH1002" s="0" t="n">
        <v>14</v>
      </c>
      <c r="AI1002" s="0" t="n">
        <v>11</v>
      </c>
      <c r="AN1002" s="0" t="s">
        <v>145</v>
      </c>
      <c r="AO1002" s="0" t="s">
        <v>654</v>
      </c>
      <c r="AP1002" s="0" t="s">
        <v>655</v>
      </c>
      <c r="AQ1002" s="0" t="n">
        <v>9</v>
      </c>
      <c r="AR1002" s="0" t="n">
        <v>64</v>
      </c>
      <c r="AS1002" s="0" t="n">
        <v>32</v>
      </c>
      <c r="AU1002" s="0" t="n">
        <f aca="false">COUNTA($BA$1487:$EH$1487)</f>
        <v>2</v>
      </c>
      <c r="AV1002" s="0" t="n">
        <f aca="false">COUNTIF($BA$1487:$EH$1487,"D")</f>
        <v>0</v>
      </c>
      <c r="AW1002" s="0" t="n">
        <f aca="false">COUNTIF($BA$1487:$EH$1487,"R")</f>
        <v>0</v>
      </c>
      <c r="AX1002" s="0" t="n">
        <f aca="false">IF(BN1002="D",1,0)+IF(BO1002="D",1,0)+IF(BT1002="D",1,0)+IF(BU1002="D",1,0)+IF(BW1002="D",1,0)+IF(CC1002="D",1,0)+IF(CD1002="D",1,0)+IF(CE1002="D",1,0)+IF(CF1002="D",1,0)+IF(CL1002="D",1,0)+IF(CM1002="D",1,0)+IF(CQ1002="D",1,0)+IF(CR1002="D",1,0)+IF(CS1002="D",1,0)+IF(CW1002="D",1,0)+IF(CX1002="D",1,0)+IF(DD1002="D",1,0)+IF(DE1002="D",1,0)+IF(DJ1002="D",1,0)+IF(DK1002="D",1,0)+IF(DO1002="D",1,0)+IF(DP1002="D",1,0)+IF(DQ1002="D",1,0)+IF(DW1002="D",1,0)+IF(DZ1002="D",1,0)+IF(EH1002="D",1,0)</f>
        <v>1</v>
      </c>
      <c r="AY1002" s="0" t="n">
        <f aca="false">COUNTIF(DU1002:EH1002, "&lt;&gt;")</f>
        <v>6</v>
      </c>
      <c r="AZ1002" s="0" t="n">
        <f aca="false">IF(EH1002&lt;&gt;"",1,0)</f>
        <v>0</v>
      </c>
      <c r="BB1002" s="0" t="s">
        <v>152</v>
      </c>
      <c r="DU1002" s="0" t="s">
        <v>153</v>
      </c>
      <c r="DW1002" s="0" t="s">
        <v>175</v>
      </c>
      <c r="DX1002" s="0" t="s">
        <v>153</v>
      </c>
      <c r="EA1002" s="0" t="s">
        <v>153</v>
      </c>
      <c r="ED1002" s="0" t="s">
        <v>175</v>
      </c>
      <c r="EF1002" s="0" t="s">
        <v>153</v>
      </c>
    </row>
    <row r="1003" customFormat="false" ht="13.8" hidden="false" customHeight="false" outlineLevel="0" collapsed="false">
      <c r="A1003" s="0" t="s">
        <v>4880</v>
      </c>
      <c r="B1003" s="0" t="n">
        <v>78</v>
      </c>
      <c r="C1003" s="0" t="n">
        <v>162888</v>
      </c>
      <c r="D1003" s="0" t="s">
        <v>1390</v>
      </c>
      <c r="E1003" s="0" t="s">
        <v>1431</v>
      </c>
      <c r="F1003" s="0" t="str">
        <f aca="false">CONCATENATE(D1003," ",LEFT(H1003,4),"T=",AU1003,"D=",AV1003,"R=",AW1003,"M=",AX1003,"L=",AY1003,"B=",AZ1003)</f>
        <v>NEAL T=8D=1R=0M=0L=4B=0</v>
      </c>
      <c r="I1003" s="0" t="s">
        <v>4881</v>
      </c>
      <c r="J1003" s="0" t="s">
        <v>879</v>
      </c>
      <c r="K1003" s="0" t="s">
        <v>160</v>
      </c>
      <c r="M1003" s="0" t="s">
        <v>4879</v>
      </c>
      <c r="N1003" s="0" t="str">
        <f aca="false">RIGHT(M1003,LEN(M1003)-FIND(" ",M1003))</f>
        <v>IDDINGS AVE NE</v>
      </c>
      <c r="P1003" s="0" t="s">
        <v>145</v>
      </c>
      <c r="Q1003" s="0" t="s">
        <v>146</v>
      </c>
      <c r="R1003" s="0" t="n">
        <v>44483</v>
      </c>
      <c r="AD1003" s="0" t="s">
        <v>147</v>
      </c>
      <c r="AE1003" s="0" t="s">
        <v>148</v>
      </c>
      <c r="AF1003" s="0" t="s">
        <v>149</v>
      </c>
      <c r="AH1003" s="0" t="n">
        <v>14</v>
      </c>
      <c r="AI1003" s="0" t="n">
        <v>11</v>
      </c>
      <c r="AN1003" s="0" t="s">
        <v>145</v>
      </c>
      <c r="AO1003" s="0" t="s">
        <v>654</v>
      </c>
      <c r="AP1003" s="0" t="s">
        <v>655</v>
      </c>
      <c r="AQ1003" s="0" t="n">
        <v>9</v>
      </c>
      <c r="AR1003" s="0" t="n">
        <v>64</v>
      </c>
      <c r="AS1003" s="0" t="n">
        <v>32</v>
      </c>
      <c r="AU1003" s="0" t="n">
        <f aca="false">COUNTA($BA$1884:$EH$1884)</f>
        <v>8</v>
      </c>
      <c r="AV1003" s="0" t="n">
        <f aca="false">COUNTIF($BA$1884:$EH$1884,"D")</f>
        <v>1</v>
      </c>
      <c r="AW1003" s="0" t="n">
        <f aca="false">COUNTIF($BA$1884:$EH$1884,"R")</f>
        <v>0</v>
      </c>
      <c r="AX1003" s="0" t="n">
        <f aca="false">IF(BN1003="D",1,0)+IF(BO1003="D",1,0)+IF(BT1003="D",1,0)+IF(BU1003="D",1,0)+IF(BW1003="D",1,0)+IF(CC1003="D",1,0)+IF(CD1003="D",1,0)+IF(CE1003="D",1,0)+IF(CF1003="D",1,0)+IF(CL1003="D",1,0)+IF(CM1003="D",1,0)+IF(CQ1003="D",1,0)+IF(CR1003="D",1,0)+IF(CS1003="D",1,0)+IF(CW1003="D",1,0)+IF(CX1003="D",1,0)+IF(DD1003="D",1,0)+IF(DE1003="D",1,0)+IF(DJ1003="D",1,0)+IF(DK1003="D",1,0)+IF(DO1003="D",1,0)+IF(DP1003="D",1,0)+IF(DQ1003="D",1,0)+IF(DW1003="D",1,0)+IF(DZ1003="D",1,0)+IF(EH1003="D",1,0)</f>
        <v>0</v>
      </c>
      <c r="AY1003" s="0" t="n">
        <f aca="false">COUNTIF(DU1003:EH1003, "&lt;&gt;")</f>
        <v>4</v>
      </c>
      <c r="AZ1003" s="0" t="n">
        <f aca="false">IF(EH1003&lt;&gt;"",1,0)</f>
        <v>0</v>
      </c>
      <c r="BB1003" s="0" t="s">
        <v>152</v>
      </c>
      <c r="BC1003" s="0" t="s">
        <v>153</v>
      </c>
      <c r="BD1003" s="0" t="s">
        <v>153</v>
      </c>
      <c r="BG1003" s="0" t="s">
        <v>153</v>
      </c>
      <c r="BH1003" s="0" t="s">
        <v>153</v>
      </c>
      <c r="BL1003" s="0" t="s">
        <v>153</v>
      </c>
      <c r="BY1003" s="0" t="s">
        <v>175</v>
      </c>
      <c r="CA1003" s="0" t="s">
        <v>153</v>
      </c>
      <c r="CK1003" s="0" t="s">
        <v>153</v>
      </c>
      <c r="CP1003" s="0" t="s">
        <v>153</v>
      </c>
      <c r="CY1003" s="0" t="s">
        <v>153</v>
      </c>
      <c r="DC1003" s="0" t="s">
        <v>153</v>
      </c>
      <c r="DI1003" s="0" t="s">
        <v>153</v>
      </c>
      <c r="DN1003" s="0" t="s">
        <v>153</v>
      </c>
      <c r="DU1003" s="0" t="s">
        <v>153</v>
      </c>
      <c r="DX1003" s="0" t="s">
        <v>153</v>
      </c>
      <c r="EA1003" s="0" t="s">
        <v>153</v>
      </c>
      <c r="EF1003" s="0" t="s">
        <v>153</v>
      </c>
    </row>
    <row r="1004" customFormat="false" ht="13.8" hidden="false" customHeight="false" outlineLevel="0" collapsed="false">
      <c r="A1004" s="0" t="s">
        <v>4882</v>
      </c>
      <c r="B1004" s="0" t="n">
        <v>78</v>
      </c>
      <c r="C1004" s="0" t="n">
        <v>168142</v>
      </c>
      <c r="D1004" s="0" t="s">
        <v>1390</v>
      </c>
      <c r="E1004" s="0" t="s">
        <v>943</v>
      </c>
      <c r="F1004" s="0" t="str">
        <f aca="false">CONCATENATE(D1004," ",LEFT(H1004,4),"T=",AU1004,"D=",AV1004,"R=",AW1004,"M=",AX1004,"L=",AY1004,"B=",AZ1004)</f>
        <v>NEAL T=1D=0R=0M=3L=6B=0</v>
      </c>
      <c r="G1004" s="0" t="s">
        <v>1557</v>
      </c>
      <c r="I1004" s="0" t="s">
        <v>4883</v>
      </c>
      <c r="J1004" s="0" t="s">
        <v>4884</v>
      </c>
      <c r="K1004" s="0" t="s">
        <v>160</v>
      </c>
      <c r="L1004" s="0" t="s">
        <v>175</v>
      </c>
      <c r="M1004" s="0" t="s">
        <v>4879</v>
      </c>
      <c r="N1004" s="0" t="str">
        <f aca="false">RIGHT(M1004,LEN(M1004)-FIND(" ",M1004))</f>
        <v>IDDINGS AVE NE</v>
      </c>
      <c r="P1004" s="0" t="s">
        <v>145</v>
      </c>
      <c r="Q1004" s="0" t="s">
        <v>146</v>
      </c>
      <c r="R1004" s="0" t="n">
        <v>44483</v>
      </c>
      <c r="AD1004" s="0" t="s">
        <v>147</v>
      </c>
      <c r="AE1004" s="0" t="s">
        <v>148</v>
      </c>
      <c r="AF1004" s="0" t="s">
        <v>149</v>
      </c>
      <c r="AH1004" s="0" t="n">
        <v>14</v>
      </c>
      <c r="AI1004" s="0" t="n">
        <v>11</v>
      </c>
      <c r="AN1004" s="0" t="s">
        <v>145</v>
      </c>
      <c r="AO1004" s="0" t="s">
        <v>654</v>
      </c>
      <c r="AP1004" s="0" t="s">
        <v>655</v>
      </c>
      <c r="AQ1004" s="0" t="n">
        <v>9</v>
      </c>
      <c r="AR1004" s="0" t="n">
        <v>64</v>
      </c>
      <c r="AS1004" s="0" t="n">
        <v>32</v>
      </c>
      <c r="AU1004" s="0" t="n">
        <f aca="false">COUNTA($BA$1886:$EH$1886)</f>
        <v>1</v>
      </c>
      <c r="AV1004" s="0" t="n">
        <f aca="false">COUNTIF($BA$1886:$EH$1886,"D")</f>
        <v>0</v>
      </c>
      <c r="AW1004" s="0" t="n">
        <f aca="false">COUNTIF($BA$1886:$EH$1886,"R")</f>
        <v>0</v>
      </c>
      <c r="AX1004" s="0" t="n">
        <f aca="false">IF(BN1004="D",1,0)+IF(BO1004="D",1,0)+IF(BT1004="D",1,0)+IF(BU1004="D",1,0)+IF(BW1004="D",1,0)+IF(CC1004="D",1,0)+IF(CD1004="D",1,0)+IF(CE1004="D",1,0)+IF(CF1004="D",1,0)+IF(CL1004="D",1,0)+IF(CM1004="D",1,0)+IF(CQ1004="D",1,0)+IF(CR1004="D",1,0)+IF(CS1004="D",1,0)+IF(CW1004="D",1,0)+IF(CX1004="D",1,0)+IF(DD1004="D",1,0)+IF(DE1004="D",1,0)+IF(DJ1004="D",1,0)+IF(DK1004="D",1,0)+IF(DO1004="D",1,0)+IF(DP1004="D",1,0)+IF(DQ1004="D",1,0)+IF(DW1004="D",1,0)+IF(DZ1004="D",1,0)+IF(EH1004="D",1,0)</f>
        <v>3</v>
      </c>
      <c r="AY1004" s="0" t="n">
        <f aca="false">COUNTIF(DU1004:EH1004, "&lt;&gt;")</f>
        <v>6</v>
      </c>
      <c r="AZ1004" s="0" t="n">
        <f aca="false">IF(EH1004&lt;&gt;"",1,0)</f>
        <v>0</v>
      </c>
      <c r="BB1004" s="0" t="s">
        <v>152</v>
      </c>
      <c r="BC1004" s="0" t="s">
        <v>153</v>
      </c>
      <c r="BD1004" s="0" t="s">
        <v>153</v>
      </c>
      <c r="BG1004" s="0" t="s">
        <v>153</v>
      </c>
      <c r="BH1004" s="0" t="s">
        <v>153</v>
      </c>
      <c r="BI1004" s="0" t="s">
        <v>153</v>
      </c>
      <c r="BJ1004" s="0" t="s">
        <v>153</v>
      </c>
      <c r="BK1004" s="0" t="s">
        <v>153</v>
      </c>
      <c r="BL1004" s="0" t="s">
        <v>153</v>
      </c>
      <c r="BP1004" s="0" t="s">
        <v>153</v>
      </c>
      <c r="BR1004" s="0" t="s">
        <v>153</v>
      </c>
      <c r="BS1004" s="0" t="s">
        <v>153</v>
      </c>
      <c r="BT1004" s="0" t="s">
        <v>153</v>
      </c>
      <c r="BY1004" s="0" t="s">
        <v>175</v>
      </c>
      <c r="CA1004" s="0" t="s">
        <v>153</v>
      </c>
      <c r="CG1004" s="0" t="s">
        <v>153</v>
      </c>
      <c r="CH1004" s="0" t="s">
        <v>175</v>
      </c>
      <c r="CK1004" s="0" t="s">
        <v>153</v>
      </c>
      <c r="CN1004" s="0" t="s">
        <v>153</v>
      </c>
      <c r="CO1004" s="0" t="s">
        <v>175</v>
      </c>
      <c r="CP1004" s="0" t="s">
        <v>153</v>
      </c>
      <c r="CQ1004" s="0" t="s">
        <v>175</v>
      </c>
      <c r="CT1004" s="0" t="s">
        <v>153</v>
      </c>
      <c r="CU1004" s="0" t="s">
        <v>175</v>
      </c>
      <c r="CV1004" s="0" t="s">
        <v>153</v>
      </c>
      <c r="CY1004" s="0" t="s">
        <v>153</v>
      </c>
      <c r="CZ1004" s="0" t="s">
        <v>175</v>
      </c>
      <c r="DC1004" s="0" t="s">
        <v>153</v>
      </c>
      <c r="DD1004" s="0" t="s">
        <v>175</v>
      </c>
      <c r="DF1004" s="0" t="s">
        <v>153</v>
      </c>
      <c r="DG1004" s="0" t="s">
        <v>175</v>
      </c>
      <c r="DI1004" s="0" t="s">
        <v>153</v>
      </c>
      <c r="DL1004" s="0" t="s">
        <v>153</v>
      </c>
      <c r="DN1004" s="0" t="s">
        <v>153</v>
      </c>
      <c r="DR1004" s="0" t="s">
        <v>153</v>
      </c>
      <c r="DS1004" s="0" t="s">
        <v>175</v>
      </c>
      <c r="DT1004" s="0" t="s">
        <v>175</v>
      </c>
      <c r="DU1004" s="0" t="s">
        <v>153</v>
      </c>
      <c r="DW1004" s="0" t="s">
        <v>175</v>
      </c>
      <c r="DX1004" s="0" t="s">
        <v>153</v>
      </c>
      <c r="EA1004" s="0" t="s">
        <v>153</v>
      </c>
      <c r="ED1004" s="0" t="s">
        <v>175</v>
      </c>
      <c r="EF1004" s="0" t="s">
        <v>153</v>
      </c>
    </row>
    <row r="1005" customFormat="false" ht="13.8" hidden="true" customHeight="false" outlineLevel="0" collapsed="false">
      <c r="A1005" s="0" t="s">
        <v>4885</v>
      </c>
      <c r="B1005" s="0" t="n">
        <v>78</v>
      </c>
      <c r="C1005" s="0" t="n">
        <v>489133</v>
      </c>
      <c r="D1005" s="0" t="s">
        <v>4886</v>
      </c>
      <c r="E1005" s="0" t="s">
        <v>4887</v>
      </c>
      <c r="F1005" s="0" t="str">
        <f aca="false">CONCATENATE(D1005," ",LEFT(H1005,4),"T=",AU1005,"D=",AV1005,"R=",AW1005,"M=",AX1005,"L=",AY1005,"B=",AZ1005)</f>
        <v>TRASK T=17D=1R=3M=0L=1B=0</v>
      </c>
      <c r="G1005" s="0" t="s">
        <v>195</v>
      </c>
      <c r="I1005" s="0" t="s">
        <v>4888</v>
      </c>
      <c r="J1005" s="0" t="s">
        <v>2061</v>
      </c>
      <c r="K1005" s="0" t="s">
        <v>160</v>
      </c>
      <c r="M1005" s="0" t="s">
        <v>4889</v>
      </c>
      <c r="N1005" s="0" t="str">
        <f aca="false">RIGHT(M1005,LEN(M1005)-FIND(" ",M1005))</f>
        <v>IDDINGS AVE NE</v>
      </c>
      <c r="P1005" s="0" t="s">
        <v>145</v>
      </c>
      <c r="Q1005" s="0" t="s">
        <v>146</v>
      </c>
      <c r="R1005" s="0" t="n">
        <v>44483</v>
      </c>
      <c r="AD1005" s="0" t="s">
        <v>147</v>
      </c>
      <c r="AE1005" s="0" t="s">
        <v>148</v>
      </c>
      <c r="AF1005" s="0" t="s">
        <v>149</v>
      </c>
      <c r="AH1005" s="0" t="n">
        <v>14</v>
      </c>
      <c r="AI1005" s="0" t="n">
        <v>11</v>
      </c>
      <c r="AN1005" s="0" t="s">
        <v>145</v>
      </c>
      <c r="AO1005" s="0" t="s">
        <v>654</v>
      </c>
      <c r="AP1005" s="0" t="s">
        <v>655</v>
      </c>
      <c r="AQ1005" s="0" t="n">
        <v>9</v>
      </c>
      <c r="AR1005" s="0" t="n">
        <v>64</v>
      </c>
      <c r="AS1005" s="0" t="n">
        <v>32</v>
      </c>
      <c r="AU1005" s="0" t="n">
        <f aca="false">COUNTA($BA$1455:$EH$1455)</f>
        <v>17</v>
      </c>
      <c r="AV1005" s="0" t="n">
        <f aca="false">COUNTIF($BA$1455:$EH$1455,"D")</f>
        <v>1</v>
      </c>
      <c r="AW1005" s="0" t="n">
        <f aca="false">COUNTIF($BA$1455:$EH$1455,"R")</f>
        <v>3</v>
      </c>
      <c r="AX1005" s="0" t="n">
        <f aca="false">IF(BN1005="D",1,0)+IF(BO1005="D",1,0)+IF(BT1005="D",1,0)+IF(BU1005="D",1,0)+IF(BW1005="D",1,0)+IF(CC1005="D",1,0)+IF(CD1005="D",1,0)+IF(CE1005="D",1,0)+IF(CF1005="D",1,0)+IF(CL1005="D",1,0)+IF(CM1005="D",1,0)+IF(CQ1005="D",1,0)+IF(CR1005="D",1,0)+IF(CS1005="D",1,0)+IF(CW1005="D",1,0)+IF(CX1005="D",1,0)+IF(DD1005="D",1,0)+IF(DE1005="D",1,0)+IF(DJ1005="D",1,0)+IF(DK1005="D",1,0)+IF(DO1005="D",1,0)+IF(DP1005="D",1,0)+IF(DQ1005="D",1,0)+IF(DW1005="D",1,0)+IF(DZ1005="D",1,0)+IF(EH1005="D",1,0)</f>
        <v>0</v>
      </c>
      <c r="AY1005" s="0" t="n">
        <f aca="false">COUNTIF(DU1005:EH1005, "&lt;&gt;")</f>
        <v>1</v>
      </c>
      <c r="AZ1005" s="0" t="n">
        <f aca="false">IF(EH1005&lt;&gt;"",1,0)</f>
        <v>0</v>
      </c>
      <c r="BB1005" s="0" t="s">
        <v>152</v>
      </c>
      <c r="BD1005" s="0" t="s">
        <v>153</v>
      </c>
      <c r="BL1005" s="0" t="s">
        <v>153</v>
      </c>
      <c r="EF1005" s="0" t="s">
        <v>153</v>
      </c>
    </row>
    <row r="1006" customFormat="false" ht="13.8" hidden="true" customHeight="false" outlineLevel="0" collapsed="false">
      <c r="A1006" s="0" t="s">
        <v>4890</v>
      </c>
      <c r="B1006" s="0" t="n">
        <v>78</v>
      </c>
      <c r="C1006" s="0" t="n">
        <v>490582</v>
      </c>
      <c r="D1006" s="0" t="s">
        <v>3193</v>
      </c>
      <c r="E1006" s="0" t="s">
        <v>292</v>
      </c>
      <c r="F1006" s="0" t="str">
        <f aca="false">CONCATENATE(D1006," ",LEFT(H1006,4),"T=",AU1006,"D=",AV1006,"R=",AW1006,"M=",AX1006,"L=",AY1006,"B=",AZ1006)</f>
        <v>CARTER T=11D=0R=0M=0L=1B=0</v>
      </c>
      <c r="G1006" s="0" t="s">
        <v>2157</v>
      </c>
      <c r="I1006" s="0" t="s">
        <v>4891</v>
      </c>
      <c r="J1006" s="0" t="s">
        <v>3728</v>
      </c>
      <c r="K1006" s="0" t="s">
        <v>160</v>
      </c>
      <c r="M1006" s="0" t="s">
        <v>4889</v>
      </c>
      <c r="N1006" s="0" t="str">
        <f aca="false">RIGHT(M1006,LEN(M1006)-FIND(" ",M1006))</f>
        <v>IDDINGS AVE NE</v>
      </c>
      <c r="P1006" s="0" t="s">
        <v>145</v>
      </c>
      <c r="Q1006" s="0" t="s">
        <v>146</v>
      </c>
      <c r="R1006" s="0" t="n">
        <v>44483</v>
      </c>
      <c r="AD1006" s="0" t="s">
        <v>147</v>
      </c>
      <c r="AE1006" s="0" t="s">
        <v>148</v>
      </c>
      <c r="AF1006" s="0" t="s">
        <v>149</v>
      </c>
      <c r="AH1006" s="0" t="n">
        <v>14</v>
      </c>
      <c r="AI1006" s="0" t="n">
        <v>11</v>
      </c>
      <c r="AN1006" s="0" t="s">
        <v>145</v>
      </c>
      <c r="AO1006" s="0" t="s">
        <v>654</v>
      </c>
      <c r="AP1006" s="0" t="s">
        <v>655</v>
      </c>
      <c r="AQ1006" s="0" t="n">
        <v>9</v>
      </c>
      <c r="AR1006" s="0" t="n">
        <v>64</v>
      </c>
      <c r="AS1006" s="0" t="n">
        <v>32</v>
      </c>
      <c r="AU1006" s="0" t="n">
        <f aca="false">COUNTA($BA$1570:$EH$1570)</f>
        <v>11</v>
      </c>
      <c r="AV1006" s="0" t="n">
        <f aca="false">COUNTIF($BA$1570:$EH$1570,"D")</f>
        <v>0</v>
      </c>
      <c r="AW1006" s="0" t="n">
        <f aca="false">COUNTIF($BA$1570:$EH$1570,"R")</f>
        <v>0</v>
      </c>
      <c r="AX1006" s="0" t="n">
        <f aca="false">IF(BN1006="D",1,0)+IF(BO1006="D",1,0)+IF(BT1006="D",1,0)+IF(BU1006="D",1,0)+IF(BW1006="D",1,0)+IF(CC1006="D",1,0)+IF(CD1006="D",1,0)+IF(CE1006="D",1,0)+IF(CF1006="D",1,0)+IF(CL1006="D",1,0)+IF(CM1006="D",1,0)+IF(CQ1006="D",1,0)+IF(CR1006="D",1,0)+IF(CS1006="D",1,0)+IF(CW1006="D",1,0)+IF(CX1006="D",1,0)+IF(DD1006="D",1,0)+IF(DE1006="D",1,0)+IF(DJ1006="D",1,0)+IF(DK1006="D",1,0)+IF(DO1006="D",1,0)+IF(DP1006="D",1,0)+IF(DQ1006="D",1,0)+IF(DW1006="D",1,0)+IF(DZ1006="D",1,0)+IF(EH1006="D",1,0)</f>
        <v>0</v>
      </c>
      <c r="AY1006" s="0" t="n">
        <f aca="false">COUNTIF(DU1006:EH1006, "&lt;&gt;")</f>
        <v>1</v>
      </c>
      <c r="AZ1006" s="0" t="n">
        <f aca="false">IF(EH1006&lt;&gt;"",1,0)</f>
        <v>0</v>
      </c>
      <c r="BB1006" s="0" t="s">
        <v>152</v>
      </c>
      <c r="EF1006" s="0" t="s">
        <v>153</v>
      </c>
    </row>
    <row r="1007" customFormat="false" ht="13.8" hidden="true" customHeight="false" outlineLevel="0" collapsed="false">
      <c r="A1007" s="0" t="s">
        <v>4892</v>
      </c>
      <c r="B1007" s="0" t="n">
        <v>78</v>
      </c>
      <c r="C1007" s="0" t="n">
        <v>423721</v>
      </c>
      <c r="D1007" s="0" t="s">
        <v>3193</v>
      </c>
      <c r="E1007" s="0" t="s">
        <v>658</v>
      </c>
      <c r="F1007" s="0" t="str">
        <f aca="false">CONCATENATE(D1007," ",LEFT(H1007,4),"T=",AU1007,"D=",AV1007,"R=",AW1007,"M=",AX1007,"L=",AY1007,"B=",AZ1007)</f>
        <v>CARTER T=1D=0R=0M=0L=0B=0</v>
      </c>
      <c r="G1007" s="0" t="s">
        <v>4893</v>
      </c>
      <c r="I1007" s="0" t="s">
        <v>4894</v>
      </c>
      <c r="J1007" s="0" t="s">
        <v>4895</v>
      </c>
      <c r="K1007" s="0" t="s">
        <v>143</v>
      </c>
      <c r="M1007" s="0" t="s">
        <v>4889</v>
      </c>
      <c r="N1007" s="0" t="str">
        <f aca="false">RIGHT(M1007,LEN(M1007)-FIND(" ",M1007))</f>
        <v>IDDINGS AVE NE</v>
      </c>
      <c r="P1007" s="0" t="s">
        <v>145</v>
      </c>
      <c r="Q1007" s="0" t="s">
        <v>146</v>
      </c>
      <c r="R1007" s="0" t="n">
        <v>44483</v>
      </c>
      <c r="AD1007" s="0" t="s">
        <v>147</v>
      </c>
      <c r="AE1007" s="0" t="s">
        <v>148</v>
      </c>
      <c r="AF1007" s="0" t="s">
        <v>149</v>
      </c>
      <c r="AH1007" s="0" t="n">
        <v>14</v>
      </c>
      <c r="AI1007" s="0" t="n">
        <v>11</v>
      </c>
      <c r="AN1007" s="0" t="s">
        <v>145</v>
      </c>
      <c r="AO1007" s="0" t="s">
        <v>654</v>
      </c>
      <c r="AP1007" s="0" t="s">
        <v>655</v>
      </c>
      <c r="AQ1007" s="0" t="n">
        <v>9</v>
      </c>
      <c r="AR1007" s="0" t="n">
        <v>64</v>
      </c>
      <c r="AS1007" s="0" t="n">
        <v>32</v>
      </c>
      <c r="AU1007" s="0" t="n">
        <f aca="false">COUNTA($BA$1752:$EH$1752)</f>
        <v>1</v>
      </c>
      <c r="AV1007" s="0" t="n">
        <f aca="false">COUNTIF($BA$1752:$EH$1752,"D")</f>
        <v>0</v>
      </c>
      <c r="AW1007" s="0" t="n">
        <f aca="false">COUNTIF($BA$1752:$EH$1752,"R")</f>
        <v>0</v>
      </c>
      <c r="AX1007" s="0" t="n">
        <f aca="false">IF(BN1007="D",1,0)+IF(BO1007="D",1,0)+IF(BT1007="D",1,0)+IF(BU1007="D",1,0)+IF(BW1007="D",1,0)+IF(CC1007="D",1,0)+IF(CD1007="D",1,0)+IF(CE1007="D",1,0)+IF(CF1007="D",1,0)+IF(CL1007="D",1,0)+IF(CM1007="D",1,0)+IF(CQ1007="D",1,0)+IF(CR1007="D",1,0)+IF(CS1007="D",1,0)+IF(CW1007="D",1,0)+IF(CX1007="D",1,0)+IF(DD1007="D",1,0)+IF(DE1007="D",1,0)+IF(DJ1007="D",1,0)+IF(DK1007="D",1,0)+IF(DO1007="D",1,0)+IF(DP1007="D",1,0)+IF(DQ1007="D",1,0)+IF(DW1007="D",1,0)+IF(DZ1007="D",1,0)+IF(EH1007="D",1,0)</f>
        <v>0</v>
      </c>
      <c r="AY1007" s="0" t="n">
        <f aca="false">COUNTIF(DU1007:EH1007, "&lt;&gt;")</f>
        <v>0</v>
      </c>
      <c r="AZ1007" s="0" t="n">
        <f aca="false">IF(EH1007&lt;&gt;"",1,0)</f>
        <v>0</v>
      </c>
      <c r="BB1007" s="0" t="s">
        <v>152</v>
      </c>
    </row>
    <row r="1008" customFormat="false" ht="13.8" hidden="false" customHeight="false" outlineLevel="0" collapsed="false">
      <c r="A1008" s="0" t="s">
        <v>4896</v>
      </c>
      <c r="B1008" s="0" t="n">
        <v>78</v>
      </c>
      <c r="C1008" s="0" t="n">
        <v>350773</v>
      </c>
      <c r="D1008" s="0" t="s">
        <v>4897</v>
      </c>
      <c r="E1008" s="0" t="s">
        <v>2088</v>
      </c>
      <c r="F1008" s="0" t="str">
        <f aca="false">CONCATENATE(D1008," ",LEFT(H1008,4),"T=",AU1008,"D=",AV1008,"R=",AW1008,"M=",AX1008,"L=",AY1008,"B=",AZ1008)</f>
        <v>MYRES T=38D=1R=7M=0L=2B=0</v>
      </c>
      <c r="G1008" s="0" t="s">
        <v>190</v>
      </c>
      <c r="I1008" s="0" t="s">
        <v>4898</v>
      </c>
      <c r="J1008" s="0" t="s">
        <v>4899</v>
      </c>
      <c r="K1008" s="0" t="s">
        <v>160</v>
      </c>
      <c r="M1008" s="0" t="s">
        <v>4889</v>
      </c>
      <c r="N1008" s="0" t="str">
        <f aca="false">RIGHT(M1008,LEN(M1008)-FIND(" ",M1008))</f>
        <v>IDDINGS AVE NE</v>
      </c>
      <c r="P1008" s="0" t="s">
        <v>145</v>
      </c>
      <c r="Q1008" s="0" t="s">
        <v>146</v>
      </c>
      <c r="R1008" s="0" t="n">
        <v>44483</v>
      </c>
      <c r="AD1008" s="0" t="s">
        <v>147</v>
      </c>
      <c r="AE1008" s="0" t="s">
        <v>148</v>
      </c>
      <c r="AF1008" s="0" t="s">
        <v>149</v>
      </c>
      <c r="AH1008" s="0" t="n">
        <v>14</v>
      </c>
      <c r="AI1008" s="0" t="n">
        <v>11</v>
      </c>
      <c r="AN1008" s="0" t="s">
        <v>145</v>
      </c>
      <c r="AO1008" s="0" t="s">
        <v>654</v>
      </c>
      <c r="AP1008" s="0" t="s">
        <v>655</v>
      </c>
      <c r="AQ1008" s="0" t="n">
        <v>9</v>
      </c>
      <c r="AR1008" s="0" t="n">
        <v>64</v>
      </c>
      <c r="AS1008" s="0" t="n">
        <v>32</v>
      </c>
      <c r="AU1008" s="0" t="n">
        <f aca="false">COUNTA($BA$1899:$EH$1899)</f>
        <v>38</v>
      </c>
      <c r="AV1008" s="0" t="n">
        <f aca="false">COUNTIF($BA$1899:$EH$1899,"D")</f>
        <v>1</v>
      </c>
      <c r="AW1008" s="0" t="n">
        <f aca="false">COUNTIF($BA$1899:$EH$1899,"R")</f>
        <v>7</v>
      </c>
      <c r="AX1008" s="0" t="n">
        <f aca="false">IF(BN1008="D",1,0)+IF(BO1008="D",1,0)+IF(BT1008="D",1,0)+IF(BU1008="D",1,0)+IF(BW1008="D",1,0)+IF(CC1008="D",1,0)+IF(CD1008="D",1,0)+IF(CE1008="D",1,0)+IF(CF1008="D",1,0)+IF(CL1008="D",1,0)+IF(CM1008="D",1,0)+IF(CQ1008="D",1,0)+IF(CR1008="D",1,0)+IF(CS1008="D",1,0)+IF(CW1008="D",1,0)+IF(CX1008="D",1,0)+IF(DD1008="D",1,0)+IF(DE1008="D",1,0)+IF(DJ1008="D",1,0)+IF(DK1008="D",1,0)+IF(DO1008="D",1,0)+IF(DP1008="D",1,0)+IF(DQ1008="D",1,0)+IF(DW1008="D",1,0)+IF(DZ1008="D",1,0)+IF(EH1008="D",1,0)</f>
        <v>0</v>
      </c>
      <c r="AY1008" s="0" t="n">
        <f aca="false">COUNTIF(DU1008:EH1008, "&lt;&gt;")</f>
        <v>2</v>
      </c>
      <c r="AZ1008" s="0" t="n">
        <f aca="false">IF(EH1008&lt;&gt;"",1,0)</f>
        <v>0</v>
      </c>
      <c r="BB1008" s="0" t="s">
        <v>152</v>
      </c>
      <c r="EA1008" s="0" t="s">
        <v>153</v>
      </c>
      <c r="EF1008" s="0" t="s">
        <v>153</v>
      </c>
    </row>
    <row r="1009" customFormat="false" ht="13.8" hidden="true" customHeight="false" outlineLevel="0" collapsed="false">
      <c r="A1009" s="0" t="s">
        <v>4900</v>
      </c>
      <c r="B1009" s="0" t="n">
        <v>78</v>
      </c>
      <c r="C1009" s="0" t="n">
        <v>393901</v>
      </c>
      <c r="D1009" s="0" t="s">
        <v>4901</v>
      </c>
      <c r="E1009" s="0" t="s">
        <v>1781</v>
      </c>
      <c r="F1009" s="0" t="str">
        <f aca="false">CONCATENATE(D1009," ",LEFT(H1009,4),"T=",AU1009,"D=",AV1009,"R=",AW1009,"M=",AX1009,"L=",AY1009,"B=",AZ1009)</f>
        <v>HOSEY T=4D=0R=0M=0L=0B=0</v>
      </c>
      <c r="G1009" s="0" t="s">
        <v>362</v>
      </c>
      <c r="I1009" s="0" t="s">
        <v>4902</v>
      </c>
      <c r="J1009" s="0" t="s">
        <v>4903</v>
      </c>
      <c r="K1009" s="0" t="s">
        <v>143</v>
      </c>
      <c r="M1009" s="0" t="s">
        <v>4889</v>
      </c>
      <c r="N1009" s="0" t="str">
        <f aca="false">RIGHT(M1009,LEN(M1009)-FIND(" ",M1009))</f>
        <v>IDDINGS AVE NE</v>
      </c>
      <c r="P1009" s="0" t="s">
        <v>145</v>
      </c>
      <c r="Q1009" s="0" t="s">
        <v>146</v>
      </c>
      <c r="R1009" s="0" t="n">
        <v>44483</v>
      </c>
      <c r="AD1009" s="0" t="s">
        <v>147</v>
      </c>
      <c r="AE1009" s="0" t="s">
        <v>148</v>
      </c>
      <c r="AF1009" s="0" t="s">
        <v>149</v>
      </c>
      <c r="AH1009" s="0" t="n">
        <v>14</v>
      </c>
      <c r="AI1009" s="0" t="n">
        <v>11</v>
      </c>
      <c r="AN1009" s="0" t="s">
        <v>145</v>
      </c>
      <c r="AO1009" s="0" t="s">
        <v>654</v>
      </c>
      <c r="AP1009" s="0" t="s">
        <v>655</v>
      </c>
      <c r="AQ1009" s="0" t="n">
        <v>9</v>
      </c>
      <c r="AR1009" s="0" t="n">
        <v>64</v>
      </c>
      <c r="AS1009" s="0" t="n">
        <v>32</v>
      </c>
      <c r="AU1009" s="0" t="n">
        <f aca="false">COUNTA($BA$1905:$EH$1905)</f>
        <v>4</v>
      </c>
      <c r="AV1009" s="0" t="n">
        <f aca="false">COUNTIF($BA$1905:$EH$1905,"D")</f>
        <v>0</v>
      </c>
      <c r="AW1009" s="0" t="n">
        <f aca="false">COUNTIF($BA$1905:$EH$1905,"R")</f>
        <v>0</v>
      </c>
      <c r="AX1009" s="0" t="n">
        <f aca="false">IF(BN1009="D",1,0)+IF(BO1009="D",1,0)+IF(BT1009="D",1,0)+IF(BU1009="D",1,0)+IF(BW1009="D",1,0)+IF(CC1009="D",1,0)+IF(CD1009="D",1,0)+IF(CE1009="D",1,0)+IF(CF1009="D",1,0)+IF(CL1009="D",1,0)+IF(CM1009="D",1,0)+IF(CQ1009="D",1,0)+IF(CR1009="D",1,0)+IF(CS1009="D",1,0)+IF(CW1009="D",1,0)+IF(CX1009="D",1,0)+IF(DD1009="D",1,0)+IF(DE1009="D",1,0)+IF(DJ1009="D",1,0)+IF(DK1009="D",1,0)+IF(DO1009="D",1,0)+IF(DP1009="D",1,0)+IF(DQ1009="D",1,0)+IF(DW1009="D",1,0)+IF(DZ1009="D",1,0)+IF(EH1009="D",1,0)</f>
        <v>0</v>
      </c>
      <c r="AY1009" s="0" t="n">
        <f aca="false">COUNTIF(DU1009:EH1009, "&lt;&gt;")</f>
        <v>0</v>
      </c>
      <c r="AZ1009" s="0" t="n">
        <f aca="false">IF(EH1009&lt;&gt;"",1,0)</f>
        <v>0</v>
      </c>
      <c r="BB1009" s="0" t="s">
        <v>152</v>
      </c>
    </row>
    <row r="1010" customFormat="false" ht="13.8" hidden="true" customHeight="false" outlineLevel="0" collapsed="false">
      <c r="A1010" s="0" t="s">
        <v>4904</v>
      </c>
      <c r="B1010" s="0" t="n">
        <v>78</v>
      </c>
      <c r="C1010" s="0" t="n">
        <v>487693</v>
      </c>
      <c r="D1010" s="0" t="s">
        <v>3193</v>
      </c>
      <c r="E1010" s="0" t="s">
        <v>1722</v>
      </c>
      <c r="F1010" s="0" t="str">
        <f aca="false">CONCATENATE(D1010," ",LEFT(H1010,4),"T=",AU1010,"D=",AV1010,"R=",AW1010,"M=",AX1010,"L=",AY1010,"B=",AZ1010)</f>
        <v>CARTER T=11D=1R=0M=0L=1B=0</v>
      </c>
      <c r="G1010" s="0" t="s">
        <v>697</v>
      </c>
      <c r="I1010" s="0" t="s">
        <v>4905</v>
      </c>
      <c r="J1010" s="0" t="s">
        <v>3518</v>
      </c>
      <c r="K1010" s="0" t="s">
        <v>160</v>
      </c>
      <c r="M1010" s="0" t="s">
        <v>4889</v>
      </c>
      <c r="N1010" s="0" t="str">
        <f aca="false">RIGHT(M1010,LEN(M1010)-FIND(" ",M1010))</f>
        <v>IDDINGS AVE NE</v>
      </c>
      <c r="P1010" s="0" t="s">
        <v>145</v>
      </c>
      <c r="Q1010" s="0" t="s">
        <v>146</v>
      </c>
      <c r="R1010" s="0" t="n">
        <v>44483</v>
      </c>
      <c r="AD1010" s="0" t="s">
        <v>147</v>
      </c>
      <c r="AE1010" s="0" t="s">
        <v>148</v>
      </c>
      <c r="AF1010" s="0" t="s">
        <v>149</v>
      </c>
      <c r="AH1010" s="0" t="n">
        <v>14</v>
      </c>
      <c r="AI1010" s="0" t="n">
        <v>11</v>
      </c>
      <c r="AN1010" s="0" t="s">
        <v>145</v>
      </c>
      <c r="AO1010" s="0" t="s">
        <v>654</v>
      </c>
      <c r="AP1010" s="0" t="s">
        <v>655</v>
      </c>
      <c r="AQ1010" s="0" t="n">
        <v>9</v>
      </c>
      <c r="AR1010" s="0" t="n">
        <v>64</v>
      </c>
      <c r="AS1010" s="0" t="n">
        <v>32</v>
      </c>
      <c r="AU1010" s="0" t="n">
        <f aca="false">COUNTA($BA$1944:$EH$1944)</f>
        <v>11</v>
      </c>
      <c r="AV1010" s="0" t="n">
        <f aca="false">COUNTIF($BA$1944:$EH$1944,"D")</f>
        <v>1</v>
      </c>
      <c r="AW1010" s="0" t="n">
        <f aca="false">COUNTIF($BA$1944:$EH$1944,"R")</f>
        <v>0</v>
      </c>
      <c r="AX1010" s="0" t="n">
        <f aca="false">IF(BN1010="D",1,0)+IF(BO1010="D",1,0)+IF(BT1010="D",1,0)+IF(BU1010="D",1,0)+IF(BW1010="D",1,0)+IF(CC1010="D",1,0)+IF(CD1010="D",1,0)+IF(CE1010="D",1,0)+IF(CF1010="D",1,0)+IF(CL1010="D",1,0)+IF(CM1010="D",1,0)+IF(CQ1010="D",1,0)+IF(CR1010="D",1,0)+IF(CS1010="D",1,0)+IF(CW1010="D",1,0)+IF(CX1010="D",1,0)+IF(DD1010="D",1,0)+IF(DE1010="D",1,0)+IF(DJ1010="D",1,0)+IF(DK1010="D",1,0)+IF(DO1010="D",1,0)+IF(DP1010="D",1,0)+IF(DQ1010="D",1,0)+IF(DW1010="D",1,0)+IF(DZ1010="D",1,0)+IF(EH1010="D",1,0)</f>
        <v>0</v>
      </c>
      <c r="AY1010" s="0" t="n">
        <f aca="false">COUNTIF(DU1010:EH1010, "&lt;&gt;")</f>
        <v>1</v>
      </c>
      <c r="AZ1010" s="0" t="n">
        <f aca="false">IF(EH1010&lt;&gt;"",1,0)</f>
        <v>0</v>
      </c>
      <c r="BB1010" s="0" t="s">
        <v>152</v>
      </c>
      <c r="EF1010" s="0" t="s">
        <v>153</v>
      </c>
    </row>
    <row r="1011" customFormat="false" ht="13.8" hidden="true" customHeight="false" outlineLevel="0" collapsed="false">
      <c r="A1011" s="0" t="s">
        <v>4906</v>
      </c>
      <c r="B1011" s="0" t="n">
        <v>78</v>
      </c>
      <c r="C1011" s="0" t="n">
        <v>410114</v>
      </c>
      <c r="D1011" s="0" t="s">
        <v>3399</v>
      </c>
      <c r="E1011" s="0" t="s">
        <v>324</v>
      </c>
      <c r="F1011" s="0" t="str">
        <f aca="false">CONCATENATE(D1011," ",LEFT(H1011,4),"T=",AU1011,"D=",AV1011,"R=",AW1011,"M=",AX1011,"L=",AY1011,"B=",AZ1011)</f>
        <v>COMANESCU T=2D=0R=0M=0L=1B=0</v>
      </c>
      <c r="G1011" s="0" t="s">
        <v>164</v>
      </c>
      <c r="I1011" s="0" t="s">
        <v>4907</v>
      </c>
      <c r="J1011" s="0" t="s">
        <v>4908</v>
      </c>
      <c r="K1011" s="0" t="s">
        <v>160</v>
      </c>
      <c r="M1011" s="0" t="s">
        <v>4909</v>
      </c>
      <c r="N1011" s="0" t="str">
        <f aca="false">RIGHT(M1011,LEN(M1011)-FIND(" ",M1011))</f>
        <v>IDDINGS AVE NE</v>
      </c>
      <c r="P1011" s="0" t="s">
        <v>145</v>
      </c>
      <c r="Q1011" s="0" t="s">
        <v>146</v>
      </c>
      <c r="R1011" s="0" t="n">
        <v>44483</v>
      </c>
      <c r="AD1011" s="0" t="s">
        <v>147</v>
      </c>
      <c r="AE1011" s="0" t="s">
        <v>148</v>
      </c>
      <c r="AF1011" s="0" t="s">
        <v>149</v>
      </c>
      <c r="AH1011" s="0" t="n">
        <v>14</v>
      </c>
      <c r="AI1011" s="0" t="n">
        <v>11</v>
      </c>
      <c r="AN1011" s="0" t="s">
        <v>145</v>
      </c>
      <c r="AO1011" s="0" t="s">
        <v>654</v>
      </c>
      <c r="AP1011" s="0" t="s">
        <v>655</v>
      </c>
      <c r="AQ1011" s="0" t="n">
        <v>9</v>
      </c>
      <c r="AR1011" s="0" t="n">
        <v>64</v>
      </c>
      <c r="AS1011" s="0" t="n">
        <v>32</v>
      </c>
      <c r="AU1011" s="0" t="n">
        <f aca="false">COUNTA($BA$1903:$EH$1903)</f>
        <v>2</v>
      </c>
      <c r="AV1011" s="0" t="n">
        <f aca="false">COUNTIF($BA$1903:$EH$1903,"D")</f>
        <v>0</v>
      </c>
      <c r="AW1011" s="0" t="n">
        <f aca="false">COUNTIF($BA$1903:$EH$1903,"R")</f>
        <v>0</v>
      </c>
      <c r="AX1011" s="0" t="n">
        <f aca="false">IF(BN1011="D",1,0)+IF(BO1011="D",1,0)+IF(BT1011="D",1,0)+IF(BU1011="D",1,0)+IF(BW1011="D",1,0)+IF(CC1011="D",1,0)+IF(CD1011="D",1,0)+IF(CE1011="D",1,0)+IF(CF1011="D",1,0)+IF(CL1011="D",1,0)+IF(CM1011="D",1,0)+IF(CQ1011="D",1,0)+IF(CR1011="D",1,0)+IF(CS1011="D",1,0)+IF(CW1011="D",1,0)+IF(CX1011="D",1,0)+IF(DD1011="D",1,0)+IF(DE1011="D",1,0)+IF(DJ1011="D",1,0)+IF(DK1011="D",1,0)+IF(DO1011="D",1,0)+IF(DP1011="D",1,0)+IF(DQ1011="D",1,0)+IF(DW1011="D",1,0)+IF(DZ1011="D",1,0)+IF(EH1011="D",1,0)</f>
        <v>0</v>
      </c>
      <c r="AY1011" s="0" t="n">
        <f aca="false">COUNTIF(DU1011:EH1011, "&lt;&gt;")</f>
        <v>1</v>
      </c>
      <c r="AZ1011" s="0" t="n">
        <f aca="false">IF(EH1011&lt;&gt;"",1,0)</f>
        <v>0</v>
      </c>
      <c r="BB1011" s="0" t="s">
        <v>152</v>
      </c>
      <c r="DC1011" s="0" t="s">
        <v>153</v>
      </c>
      <c r="DN1011" s="0" t="s">
        <v>153</v>
      </c>
      <c r="EF1011" s="0" t="s">
        <v>153</v>
      </c>
    </row>
    <row r="1012" customFormat="false" ht="13.8" hidden="true" customHeight="false" outlineLevel="0" collapsed="false">
      <c r="A1012" s="0" t="s">
        <v>4910</v>
      </c>
      <c r="B1012" s="0" t="n">
        <v>78</v>
      </c>
      <c r="C1012" s="0" t="n">
        <v>418127</v>
      </c>
      <c r="D1012" s="0" t="s">
        <v>3399</v>
      </c>
      <c r="E1012" s="0" t="s">
        <v>4082</v>
      </c>
      <c r="F1012" s="0" t="str">
        <f aca="false">CONCATENATE(D1012," ",LEFT(H1012,4),"T=",AU1012,"D=",AV1012,"R=",AW1012,"M=",AX1012,"L=",AY1012,"B=",AZ1012)</f>
        <v>COMANESCU T=1D=0R=0M=0L=1B=0</v>
      </c>
      <c r="G1012" s="0" t="s">
        <v>195</v>
      </c>
      <c r="I1012" s="0" t="s">
        <v>4911</v>
      </c>
      <c r="J1012" s="0" t="s">
        <v>4912</v>
      </c>
      <c r="K1012" s="0" t="s">
        <v>160</v>
      </c>
      <c r="M1012" s="0" t="s">
        <v>4909</v>
      </c>
      <c r="N1012" s="0" t="str">
        <f aca="false">RIGHT(M1012,LEN(M1012)-FIND(" ",M1012))</f>
        <v>IDDINGS AVE NE</v>
      </c>
      <c r="P1012" s="0" t="s">
        <v>145</v>
      </c>
      <c r="Q1012" s="0" t="s">
        <v>146</v>
      </c>
      <c r="R1012" s="0" t="n">
        <v>44483</v>
      </c>
      <c r="AD1012" s="0" t="s">
        <v>147</v>
      </c>
      <c r="AE1012" s="0" t="s">
        <v>148</v>
      </c>
      <c r="AF1012" s="0" t="s">
        <v>149</v>
      </c>
      <c r="AH1012" s="0" t="n">
        <v>14</v>
      </c>
      <c r="AI1012" s="0" t="n">
        <v>11</v>
      </c>
      <c r="AN1012" s="0" t="s">
        <v>145</v>
      </c>
      <c r="AO1012" s="0" t="s">
        <v>654</v>
      </c>
      <c r="AP1012" s="0" t="s">
        <v>655</v>
      </c>
      <c r="AQ1012" s="0" t="n">
        <v>9</v>
      </c>
      <c r="AR1012" s="0" t="n">
        <v>64</v>
      </c>
      <c r="AS1012" s="0" t="n">
        <v>32</v>
      </c>
      <c r="AU1012" s="0" t="n">
        <f aca="false">COUNTA($BA$2068:$EH$2068)</f>
        <v>1</v>
      </c>
      <c r="AV1012" s="0" t="n">
        <f aca="false">COUNTIF($BA$2068:$EH$2068,"D")</f>
        <v>0</v>
      </c>
      <c r="AW1012" s="0" t="n">
        <f aca="false">COUNTIF($BA$2068:$EH$2068,"R")</f>
        <v>0</v>
      </c>
      <c r="AX1012" s="0" t="n">
        <f aca="false">IF(BN1012="D",1,0)+IF(BO1012="D",1,0)+IF(BT1012="D",1,0)+IF(BU1012="D",1,0)+IF(BW1012="D",1,0)+IF(CC1012="D",1,0)+IF(CD1012="D",1,0)+IF(CE1012="D",1,0)+IF(CF1012="D",1,0)+IF(CL1012="D",1,0)+IF(CM1012="D",1,0)+IF(CQ1012="D",1,0)+IF(CR1012="D",1,0)+IF(CS1012="D",1,0)+IF(CW1012="D",1,0)+IF(CX1012="D",1,0)+IF(DD1012="D",1,0)+IF(DE1012="D",1,0)+IF(DJ1012="D",1,0)+IF(DK1012="D",1,0)+IF(DO1012="D",1,0)+IF(DP1012="D",1,0)+IF(DQ1012="D",1,0)+IF(DW1012="D",1,0)+IF(DZ1012="D",1,0)+IF(EH1012="D",1,0)</f>
        <v>0</v>
      </c>
      <c r="AY1012" s="0" t="n">
        <f aca="false">COUNTIF(DU1012:EH1012, "&lt;&gt;")</f>
        <v>1</v>
      </c>
      <c r="AZ1012" s="0" t="n">
        <f aca="false">IF(EH1012&lt;&gt;"",1,0)</f>
        <v>0</v>
      </c>
      <c r="BB1012" s="0" t="s">
        <v>152</v>
      </c>
      <c r="BD1012" s="0" t="s">
        <v>153</v>
      </c>
      <c r="CA1012" s="0" t="s">
        <v>153</v>
      </c>
      <c r="DC1012" s="0" t="s">
        <v>153</v>
      </c>
      <c r="DN1012" s="0" t="s">
        <v>153</v>
      </c>
      <c r="EF1012" s="0" t="s">
        <v>153</v>
      </c>
    </row>
    <row r="1013" customFormat="false" ht="13.8" hidden="true" customHeight="false" outlineLevel="0" collapsed="false">
      <c r="A1013" s="0" t="s">
        <v>4913</v>
      </c>
      <c r="B1013" s="0" t="n">
        <v>78</v>
      </c>
      <c r="C1013" s="0" t="n">
        <v>491582</v>
      </c>
      <c r="D1013" s="0" t="s">
        <v>3550</v>
      </c>
      <c r="E1013" s="0" t="s">
        <v>4773</v>
      </c>
      <c r="F1013" s="0" t="str">
        <f aca="false">CONCATENATE(D1013," ",LEFT(H1013,4),"T=",AU1013,"D=",AV1013,"R=",AW1013,"M=",AX1013,"L=",AY1013,"B=",AZ1013)</f>
        <v>BLACK T=3D=0R=0M=0L=1B=0</v>
      </c>
      <c r="G1013" s="0" t="s">
        <v>215</v>
      </c>
      <c r="I1013" s="0" t="s">
        <v>933</v>
      </c>
      <c r="J1013" s="0" t="s">
        <v>2090</v>
      </c>
      <c r="K1013" s="0" t="s">
        <v>160</v>
      </c>
      <c r="M1013" s="0" t="s">
        <v>4914</v>
      </c>
      <c r="N1013" s="0" t="str">
        <f aca="false">RIGHT(M1013,LEN(M1013)-FIND(" ",M1013))</f>
        <v>IDDINGS AVE NE</v>
      </c>
      <c r="P1013" s="0" t="s">
        <v>145</v>
      </c>
      <c r="Q1013" s="0" t="s">
        <v>146</v>
      </c>
      <c r="R1013" s="0" t="n">
        <v>44483</v>
      </c>
      <c r="AD1013" s="0" t="s">
        <v>147</v>
      </c>
      <c r="AE1013" s="0" t="s">
        <v>148</v>
      </c>
      <c r="AF1013" s="0" t="s">
        <v>149</v>
      </c>
      <c r="AH1013" s="0" t="n">
        <v>14</v>
      </c>
      <c r="AI1013" s="0" t="n">
        <v>11</v>
      </c>
      <c r="AN1013" s="0" t="s">
        <v>145</v>
      </c>
      <c r="AO1013" s="0" t="s">
        <v>654</v>
      </c>
      <c r="AP1013" s="0" t="s">
        <v>655</v>
      </c>
      <c r="AQ1013" s="0" t="n">
        <v>9</v>
      </c>
      <c r="AR1013" s="0" t="n">
        <v>64</v>
      </c>
      <c r="AS1013" s="0" t="n">
        <v>32</v>
      </c>
      <c r="AU1013" s="0" t="n">
        <f aca="false">COUNTA($BA$1609:$EH$1609)</f>
        <v>3</v>
      </c>
      <c r="AV1013" s="0" t="n">
        <f aca="false">COUNTIF($BA$1609:$EH$1609,"D")</f>
        <v>0</v>
      </c>
      <c r="AW1013" s="0" t="n">
        <f aca="false">COUNTIF($BA$1609:$EH$1609,"R")</f>
        <v>0</v>
      </c>
      <c r="AX1013" s="0" t="n">
        <f aca="false">IF(BN1013="D",1,0)+IF(BO1013="D",1,0)+IF(BT1013="D",1,0)+IF(BU1013="D",1,0)+IF(BW1013="D",1,0)+IF(CC1013="D",1,0)+IF(CD1013="D",1,0)+IF(CE1013="D",1,0)+IF(CF1013="D",1,0)+IF(CL1013="D",1,0)+IF(CM1013="D",1,0)+IF(CQ1013="D",1,0)+IF(CR1013="D",1,0)+IF(CS1013="D",1,0)+IF(CW1013="D",1,0)+IF(CX1013="D",1,0)+IF(DD1013="D",1,0)+IF(DE1013="D",1,0)+IF(DJ1013="D",1,0)+IF(DK1013="D",1,0)+IF(DO1013="D",1,0)+IF(DP1013="D",1,0)+IF(DQ1013="D",1,0)+IF(DW1013="D",1,0)+IF(DZ1013="D",1,0)+IF(EH1013="D",1,0)</f>
        <v>0</v>
      </c>
      <c r="AY1013" s="0" t="n">
        <f aca="false">COUNTIF(DU1013:EH1013, "&lt;&gt;")</f>
        <v>1</v>
      </c>
      <c r="AZ1013" s="0" t="n">
        <f aca="false">IF(EH1013&lt;&gt;"",1,0)</f>
        <v>0</v>
      </c>
      <c r="BB1013" s="0" t="s">
        <v>152</v>
      </c>
      <c r="EF1013" s="0" t="s">
        <v>153</v>
      </c>
    </row>
    <row r="1014" customFormat="false" ht="13.8" hidden="true" customHeight="false" outlineLevel="0" collapsed="false">
      <c r="A1014" s="0" t="s">
        <v>4915</v>
      </c>
      <c r="B1014" s="0" t="n">
        <v>78</v>
      </c>
      <c r="C1014" s="0" t="n">
        <v>260458</v>
      </c>
      <c r="D1014" s="0" t="s">
        <v>4916</v>
      </c>
      <c r="E1014" s="0" t="s">
        <v>4917</v>
      </c>
      <c r="F1014" s="0" t="str">
        <f aca="false">CONCATENATE(D1014," ",LEFT(H1014,4),"T=",AU1014,"D=",AV1014,"R=",AW1014,"M=",AX1014,"L=",AY1014,"B=",AZ1014)</f>
        <v>NETTLES T=1D=0R=0M=0L=0B=0</v>
      </c>
      <c r="G1014" s="0" t="s">
        <v>4918</v>
      </c>
      <c r="I1014" s="0" t="s">
        <v>4919</v>
      </c>
      <c r="J1014" s="0" t="s">
        <v>4920</v>
      </c>
      <c r="K1014" s="0" t="s">
        <v>160</v>
      </c>
      <c r="M1014" s="0" t="s">
        <v>4921</v>
      </c>
      <c r="N1014" s="0" t="str">
        <f aca="false">RIGHT(M1014,LEN(M1014)-FIND(" ",M1014))</f>
        <v>IDDINGS AVE SE</v>
      </c>
      <c r="P1014" s="0" t="s">
        <v>145</v>
      </c>
      <c r="Q1014" s="0" t="s">
        <v>146</v>
      </c>
      <c r="R1014" s="0" t="n">
        <v>44483</v>
      </c>
      <c r="AD1014" s="0" t="s">
        <v>147</v>
      </c>
      <c r="AE1014" s="0" t="s">
        <v>148</v>
      </c>
      <c r="AF1014" s="0" t="s">
        <v>149</v>
      </c>
      <c r="AH1014" s="0" t="n">
        <v>14</v>
      </c>
      <c r="AI1014" s="0" t="n">
        <v>11</v>
      </c>
      <c r="AN1014" s="0" t="s">
        <v>145</v>
      </c>
      <c r="AO1014" s="0" t="s">
        <v>150</v>
      </c>
      <c r="AP1014" s="0" t="s">
        <v>151</v>
      </c>
      <c r="AQ1014" s="0" t="n">
        <v>9</v>
      </c>
      <c r="AR1014" s="0" t="n">
        <v>64</v>
      </c>
      <c r="AS1014" s="0" t="n">
        <v>32</v>
      </c>
      <c r="AU1014" s="0" t="n">
        <f aca="false">COUNTA($BA$544:$EH$544)</f>
        <v>1</v>
      </c>
      <c r="AV1014" s="0" t="n">
        <f aca="false">COUNTIF($BA$544:$EH$544,"D")</f>
        <v>0</v>
      </c>
      <c r="AW1014" s="0" t="n">
        <f aca="false">COUNTIF($BA$544:$EH$544,"R")</f>
        <v>0</v>
      </c>
      <c r="AX1014" s="0" t="n">
        <f aca="false">IF(BN1014="D",1,0)+IF(BO1014="D",1,0)+IF(BT1014="D",1,0)+IF(BU1014="D",1,0)+IF(BW1014="D",1,0)+IF(CC1014="D",1,0)+IF(CD1014="D",1,0)+IF(CE1014="D",1,0)+IF(CF1014="D",1,0)+IF(CL1014="D",1,0)+IF(CM1014="D",1,0)+IF(CQ1014="D",1,0)+IF(CR1014="D",1,0)+IF(CS1014="D",1,0)+IF(CW1014="D",1,0)+IF(CX1014="D",1,0)+IF(DD1014="D",1,0)+IF(DE1014="D",1,0)+IF(DJ1014="D",1,0)+IF(DK1014="D",1,0)+IF(DO1014="D",1,0)+IF(DP1014="D",1,0)+IF(DQ1014="D",1,0)+IF(DW1014="D",1,0)+IF(DZ1014="D",1,0)+IF(EH1014="D",1,0)</f>
        <v>0</v>
      </c>
      <c r="AY1014" s="0" t="n">
        <f aca="false">COUNTIF(DU1014:EH1014, "&lt;&gt;")</f>
        <v>0</v>
      </c>
      <c r="AZ1014" s="0" t="n">
        <f aca="false">IF(EH1014&lt;&gt;"",1,0)</f>
        <v>0</v>
      </c>
      <c r="BB1014" s="0" t="s">
        <v>152</v>
      </c>
      <c r="BL1014" s="0" t="s">
        <v>153</v>
      </c>
      <c r="BS1014" s="0" t="s">
        <v>153</v>
      </c>
      <c r="CA1014" s="0" t="s">
        <v>153</v>
      </c>
      <c r="DC1014" s="0" t="s">
        <v>153</v>
      </c>
      <c r="DI1014" s="0" t="s">
        <v>153</v>
      </c>
      <c r="DN1014" s="0" t="s">
        <v>153</v>
      </c>
    </row>
    <row r="1015" customFormat="false" ht="13.8" hidden="false" customHeight="false" outlineLevel="0" collapsed="false">
      <c r="A1015" s="0" t="s">
        <v>4922</v>
      </c>
      <c r="B1015" s="0" t="n">
        <v>78</v>
      </c>
      <c r="C1015" s="0" t="n">
        <v>373421</v>
      </c>
      <c r="D1015" s="0" t="s">
        <v>4923</v>
      </c>
      <c r="E1015" s="0" t="s">
        <v>1295</v>
      </c>
      <c r="F1015" s="0" t="str">
        <f aca="false">CONCATENATE(D1015," ",LEFT(H1015,4),"T=",AU1015,"D=",AV1015,"R=",AW1015,"M=",AX1015,"L=",AY1015,"B=",AZ1015)</f>
        <v>CREE T=1D=0R=0M=0L=3B=0</v>
      </c>
      <c r="G1015" s="0" t="s">
        <v>785</v>
      </c>
      <c r="I1015" s="0" t="s">
        <v>4924</v>
      </c>
      <c r="J1015" s="0" t="s">
        <v>1433</v>
      </c>
      <c r="K1015" s="0" t="s">
        <v>160</v>
      </c>
      <c r="M1015" s="0" t="s">
        <v>4925</v>
      </c>
      <c r="N1015" s="0" t="str">
        <f aca="false">RIGHT(M1015,LEN(M1015)-FIND(" ",M1015))</f>
        <v>IDDINGS AVE SE</v>
      </c>
      <c r="P1015" s="0" t="s">
        <v>145</v>
      </c>
      <c r="Q1015" s="0" t="s">
        <v>146</v>
      </c>
      <c r="R1015" s="0" t="n">
        <v>44483</v>
      </c>
      <c r="AD1015" s="0" t="s">
        <v>147</v>
      </c>
      <c r="AE1015" s="0" t="s">
        <v>148</v>
      </c>
      <c r="AF1015" s="0" t="s">
        <v>149</v>
      </c>
      <c r="AH1015" s="0" t="n">
        <v>14</v>
      </c>
      <c r="AI1015" s="0" t="n">
        <v>11</v>
      </c>
      <c r="AN1015" s="0" t="s">
        <v>145</v>
      </c>
      <c r="AO1015" s="0" t="s">
        <v>150</v>
      </c>
      <c r="AP1015" s="0" t="s">
        <v>151</v>
      </c>
      <c r="AQ1015" s="0" t="n">
        <v>9</v>
      </c>
      <c r="AR1015" s="0" t="n">
        <v>64</v>
      </c>
      <c r="AS1015" s="0" t="n">
        <v>32</v>
      </c>
      <c r="AU1015" s="0" t="n">
        <f aca="false">COUNTA($BA$304:$EH$304)</f>
        <v>1</v>
      </c>
      <c r="AV1015" s="0" t="n">
        <f aca="false">COUNTIF($BA$304:$EH$304,"D")</f>
        <v>0</v>
      </c>
      <c r="AW1015" s="0" t="n">
        <f aca="false">COUNTIF($BA$304:$EH$304,"R")</f>
        <v>0</v>
      </c>
      <c r="AX1015" s="0" t="n">
        <f aca="false">IF(BN1015="D",1,0)+IF(BO1015="D",1,0)+IF(BT1015="D",1,0)+IF(BU1015="D",1,0)+IF(BW1015="D",1,0)+IF(CC1015="D",1,0)+IF(CD1015="D",1,0)+IF(CE1015="D",1,0)+IF(CF1015="D",1,0)+IF(CL1015="D",1,0)+IF(CM1015="D",1,0)+IF(CQ1015="D",1,0)+IF(CR1015="D",1,0)+IF(CS1015="D",1,0)+IF(CW1015="D",1,0)+IF(CX1015="D",1,0)+IF(DD1015="D",1,0)+IF(DE1015="D",1,0)+IF(DJ1015="D",1,0)+IF(DK1015="D",1,0)+IF(DO1015="D",1,0)+IF(DP1015="D",1,0)+IF(DQ1015="D",1,0)+IF(DW1015="D",1,0)+IF(DZ1015="D",1,0)+IF(EH1015="D",1,0)</f>
        <v>0</v>
      </c>
      <c r="AY1015" s="0" t="n">
        <f aca="false">COUNTIF(DU1015:EH1015, "&lt;&gt;")</f>
        <v>3</v>
      </c>
      <c r="AZ1015" s="0" t="n">
        <f aca="false">IF(EH1015&lt;&gt;"",1,0)</f>
        <v>0</v>
      </c>
      <c r="BB1015" s="0" t="s">
        <v>152</v>
      </c>
      <c r="CZ1015" s="0" t="s">
        <v>175</v>
      </c>
      <c r="DC1015" s="0" t="s">
        <v>153</v>
      </c>
      <c r="DN1015" s="0" t="s">
        <v>153</v>
      </c>
      <c r="DU1015" s="0" t="s">
        <v>153</v>
      </c>
      <c r="EA1015" s="0" t="s">
        <v>153</v>
      </c>
      <c r="EF1015" s="0" t="s">
        <v>153</v>
      </c>
    </row>
    <row r="1016" customFormat="false" ht="13.8" hidden="true" customHeight="false" outlineLevel="0" collapsed="false">
      <c r="A1016" s="0" t="s">
        <v>4926</v>
      </c>
      <c r="B1016" s="0" t="n">
        <v>78</v>
      </c>
      <c r="C1016" s="0" t="n">
        <v>318607</v>
      </c>
      <c r="D1016" s="0" t="s">
        <v>627</v>
      </c>
      <c r="E1016" s="0" t="s">
        <v>3485</v>
      </c>
      <c r="F1016" s="0" t="str">
        <f aca="false">CONCATENATE(D1016," ",LEFT(H1016,4),"T=",AU1016,"D=",AV1016,"R=",AW1016,"M=",AX1016,"L=",AY1016,"B=",AZ1016)</f>
        <v>NELSON T=25D=8R=1M=0L=0B=0</v>
      </c>
      <c r="G1016" s="0" t="s">
        <v>2214</v>
      </c>
      <c r="I1016" s="0" t="s">
        <v>4927</v>
      </c>
      <c r="J1016" s="0" t="s">
        <v>4928</v>
      </c>
      <c r="K1016" s="0" t="s">
        <v>160</v>
      </c>
      <c r="M1016" s="0" t="s">
        <v>4925</v>
      </c>
      <c r="N1016" s="0" t="str">
        <f aca="false">RIGHT(M1016,LEN(M1016)-FIND(" ",M1016))</f>
        <v>IDDINGS AVE SE</v>
      </c>
      <c r="P1016" s="0" t="s">
        <v>145</v>
      </c>
      <c r="Q1016" s="0" t="s">
        <v>146</v>
      </c>
      <c r="R1016" s="0" t="n">
        <v>44483</v>
      </c>
      <c r="AD1016" s="0" t="s">
        <v>147</v>
      </c>
      <c r="AE1016" s="0" t="s">
        <v>148</v>
      </c>
      <c r="AF1016" s="0" t="s">
        <v>149</v>
      </c>
      <c r="AH1016" s="0" t="n">
        <v>14</v>
      </c>
      <c r="AI1016" s="0" t="n">
        <v>11</v>
      </c>
      <c r="AN1016" s="0" t="s">
        <v>145</v>
      </c>
      <c r="AO1016" s="0" t="s">
        <v>150</v>
      </c>
      <c r="AP1016" s="0" t="s">
        <v>151</v>
      </c>
      <c r="AQ1016" s="0" t="n">
        <v>9</v>
      </c>
      <c r="AR1016" s="0" t="n">
        <v>64</v>
      </c>
      <c r="AS1016" s="0" t="n">
        <v>32</v>
      </c>
      <c r="AU1016" s="0" t="n">
        <f aca="false">COUNTA($BA$801:$EH$801)</f>
        <v>25</v>
      </c>
      <c r="AV1016" s="0" t="n">
        <f aca="false">COUNTIF($BA$801:$EH$801,"D")</f>
        <v>8</v>
      </c>
      <c r="AW1016" s="0" t="n">
        <f aca="false">COUNTIF($BA$801:$EH$801,"R")</f>
        <v>1</v>
      </c>
      <c r="AX1016" s="0" t="n">
        <f aca="false">IF(BN1016="D",1,0)+IF(BO1016="D",1,0)+IF(BT1016="D",1,0)+IF(BU1016="D",1,0)+IF(BW1016="D",1,0)+IF(CC1016="D",1,0)+IF(CD1016="D",1,0)+IF(CE1016="D",1,0)+IF(CF1016="D",1,0)+IF(CL1016="D",1,0)+IF(CM1016="D",1,0)+IF(CQ1016="D",1,0)+IF(CR1016="D",1,0)+IF(CS1016="D",1,0)+IF(CW1016="D",1,0)+IF(CX1016="D",1,0)+IF(DD1016="D",1,0)+IF(DE1016="D",1,0)+IF(DJ1016="D",1,0)+IF(DK1016="D",1,0)+IF(DO1016="D",1,0)+IF(DP1016="D",1,0)+IF(DQ1016="D",1,0)+IF(DW1016="D",1,0)+IF(DZ1016="D",1,0)+IF(EH1016="D",1,0)</f>
        <v>0</v>
      </c>
      <c r="AY1016" s="0" t="n">
        <f aca="false">COUNTIF(DU1016:EH1016, "&lt;&gt;")</f>
        <v>0</v>
      </c>
      <c r="AZ1016" s="0" t="n">
        <f aca="false">IF(EH1016&lt;&gt;"",1,0)</f>
        <v>0</v>
      </c>
      <c r="BB1016" s="0" t="s">
        <v>152</v>
      </c>
      <c r="CA1016" s="0" t="s">
        <v>153</v>
      </c>
      <c r="CY1016" s="0" t="s">
        <v>153</v>
      </c>
      <c r="DC1016" s="0" t="s">
        <v>153</v>
      </c>
    </row>
    <row r="1017" customFormat="false" ht="13.8" hidden="true" customHeight="false" outlineLevel="0" collapsed="false">
      <c r="A1017" s="0" t="s">
        <v>4929</v>
      </c>
      <c r="B1017" s="0" t="n">
        <v>78</v>
      </c>
      <c r="C1017" s="0" t="n">
        <v>454388</v>
      </c>
      <c r="D1017" s="0" t="s">
        <v>4930</v>
      </c>
      <c r="E1017" s="0" t="s">
        <v>615</v>
      </c>
      <c r="F1017" s="0" t="str">
        <f aca="false">CONCATENATE(D1017," ",LEFT(H1017,4),"T=",AU1017,"D=",AV1017,"R=",AW1017,"M=",AX1017,"L=",AY1017,"B=",AZ1017)</f>
        <v>DUKE T=3D=0R=0M=0L=0B=0</v>
      </c>
      <c r="G1017" s="0" t="s">
        <v>164</v>
      </c>
      <c r="I1017" s="0" t="s">
        <v>4931</v>
      </c>
      <c r="J1017" s="0" t="s">
        <v>478</v>
      </c>
      <c r="K1017" s="0" t="s">
        <v>143</v>
      </c>
      <c r="M1017" s="0" t="s">
        <v>4932</v>
      </c>
      <c r="N1017" s="0" t="str">
        <f aca="false">RIGHT(M1017,LEN(M1017)-FIND(" ",M1017))</f>
        <v>IDDINGS AVE SE</v>
      </c>
      <c r="P1017" s="0" t="s">
        <v>145</v>
      </c>
      <c r="Q1017" s="0" t="s">
        <v>146</v>
      </c>
      <c r="R1017" s="0" t="n">
        <v>44483</v>
      </c>
      <c r="AD1017" s="0" t="s">
        <v>147</v>
      </c>
      <c r="AE1017" s="0" t="s">
        <v>148</v>
      </c>
      <c r="AF1017" s="0" t="s">
        <v>149</v>
      </c>
      <c r="AH1017" s="0" t="n">
        <v>14</v>
      </c>
      <c r="AI1017" s="0" t="n">
        <v>11</v>
      </c>
      <c r="AN1017" s="0" t="s">
        <v>145</v>
      </c>
      <c r="AO1017" s="0" t="s">
        <v>150</v>
      </c>
      <c r="AP1017" s="0" t="s">
        <v>151</v>
      </c>
      <c r="AQ1017" s="0" t="n">
        <v>9</v>
      </c>
      <c r="AR1017" s="0" t="n">
        <v>64</v>
      </c>
      <c r="AS1017" s="0" t="n">
        <v>32</v>
      </c>
      <c r="AU1017" s="0" t="n">
        <f aca="false">COUNTA($BA$930:$EH$930)</f>
        <v>3</v>
      </c>
      <c r="AV1017" s="0" t="n">
        <f aca="false">COUNTIF($BA$930:$EH$930,"D")</f>
        <v>0</v>
      </c>
      <c r="AW1017" s="0" t="n">
        <f aca="false">COUNTIF($BA$930:$EH$930,"R")</f>
        <v>0</v>
      </c>
      <c r="AX1017" s="0" t="n">
        <f aca="false">IF(BN1017="D",1,0)+IF(BO1017="D",1,0)+IF(BT1017="D",1,0)+IF(BU1017="D",1,0)+IF(BW1017="D",1,0)+IF(CC1017="D",1,0)+IF(CD1017="D",1,0)+IF(CE1017="D",1,0)+IF(CF1017="D",1,0)+IF(CL1017="D",1,0)+IF(CM1017="D",1,0)+IF(CQ1017="D",1,0)+IF(CR1017="D",1,0)+IF(CS1017="D",1,0)+IF(CW1017="D",1,0)+IF(CX1017="D",1,0)+IF(DD1017="D",1,0)+IF(DE1017="D",1,0)+IF(DJ1017="D",1,0)+IF(DK1017="D",1,0)+IF(DO1017="D",1,0)+IF(DP1017="D",1,0)+IF(DQ1017="D",1,0)+IF(DW1017="D",1,0)+IF(DZ1017="D",1,0)+IF(EH1017="D",1,0)</f>
        <v>0</v>
      </c>
      <c r="AY1017" s="0" t="n">
        <f aca="false">COUNTIF(DU1017:EH1017, "&lt;&gt;")</f>
        <v>0</v>
      </c>
      <c r="AZ1017" s="0" t="n">
        <f aca="false">IF(EH1017&lt;&gt;"",1,0)</f>
        <v>0</v>
      </c>
      <c r="BB1017" s="0" t="s">
        <v>152</v>
      </c>
      <c r="DN1017" s="0" t="s">
        <v>153</v>
      </c>
    </row>
    <row r="1018" customFormat="false" ht="13.8" hidden="true" customHeight="false" outlineLevel="0" collapsed="false">
      <c r="A1018" s="0" t="s">
        <v>4933</v>
      </c>
      <c r="B1018" s="0" t="n">
        <v>78</v>
      </c>
      <c r="C1018" s="0" t="n">
        <v>449590</v>
      </c>
      <c r="D1018" s="0" t="s">
        <v>2023</v>
      </c>
      <c r="E1018" s="0" t="s">
        <v>4934</v>
      </c>
      <c r="F1018" s="0" t="str">
        <f aca="false">CONCATENATE(D1018," ",LEFT(H1018,4),"T=",AU1018,"D=",AV1018,"R=",AW1018,"M=",AX1018,"L=",AY1018,"B=",AZ1018)</f>
        <v>GILBERT T=3D=0R=0M=0L=0B=0</v>
      </c>
      <c r="G1018" s="0" t="s">
        <v>4935</v>
      </c>
      <c r="I1018" s="0" t="s">
        <v>4936</v>
      </c>
      <c r="J1018" s="0" t="s">
        <v>4937</v>
      </c>
      <c r="K1018" s="0" t="s">
        <v>143</v>
      </c>
      <c r="M1018" s="0" t="s">
        <v>4938</v>
      </c>
      <c r="N1018" s="0" t="str">
        <f aca="false">RIGHT(M1018,LEN(M1018)-FIND(" ",M1018))</f>
        <v>IDDINGS AVE SE</v>
      </c>
      <c r="P1018" s="0" t="s">
        <v>145</v>
      </c>
      <c r="Q1018" s="0" t="s">
        <v>146</v>
      </c>
      <c r="R1018" s="0" t="n">
        <v>44483</v>
      </c>
      <c r="AD1018" s="0" t="s">
        <v>147</v>
      </c>
      <c r="AE1018" s="0" t="s">
        <v>148</v>
      </c>
      <c r="AF1018" s="0" t="s">
        <v>149</v>
      </c>
      <c r="AH1018" s="0" t="n">
        <v>14</v>
      </c>
      <c r="AI1018" s="0" t="n">
        <v>11</v>
      </c>
      <c r="AN1018" s="0" t="s">
        <v>145</v>
      </c>
      <c r="AO1018" s="0" t="s">
        <v>150</v>
      </c>
      <c r="AP1018" s="0" t="s">
        <v>151</v>
      </c>
      <c r="AQ1018" s="0" t="n">
        <v>9</v>
      </c>
      <c r="AR1018" s="0" t="n">
        <v>64</v>
      </c>
      <c r="AS1018" s="0" t="n">
        <v>32</v>
      </c>
      <c r="AU1018" s="0" t="n">
        <f aca="false">COUNTA($BA$88:$EH$88)</f>
        <v>3</v>
      </c>
      <c r="AV1018" s="0" t="n">
        <f aca="false">COUNTIF($BA$88:$EH$88,"D")</f>
        <v>0</v>
      </c>
      <c r="AW1018" s="0" t="n">
        <f aca="false">COUNTIF($BA$88:$EH$88,"R")</f>
        <v>0</v>
      </c>
      <c r="AX1018" s="0" t="n">
        <f aca="false">IF(BN1018="D",1,0)+IF(BO1018="D",1,0)+IF(BT1018="D",1,0)+IF(BU1018="D",1,0)+IF(BW1018="D",1,0)+IF(CC1018="D",1,0)+IF(CD1018="D",1,0)+IF(CE1018="D",1,0)+IF(CF1018="D",1,0)+IF(CL1018="D",1,0)+IF(CM1018="D",1,0)+IF(CQ1018="D",1,0)+IF(CR1018="D",1,0)+IF(CS1018="D",1,0)+IF(CW1018="D",1,0)+IF(CX1018="D",1,0)+IF(DD1018="D",1,0)+IF(DE1018="D",1,0)+IF(DJ1018="D",1,0)+IF(DK1018="D",1,0)+IF(DO1018="D",1,0)+IF(DP1018="D",1,0)+IF(DQ1018="D",1,0)+IF(DW1018="D",1,0)+IF(DZ1018="D",1,0)+IF(EH1018="D",1,0)</f>
        <v>0</v>
      </c>
      <c r="AY1018" s="0" t="n">
        <f aca="false">COUNTIF(DU1018:EH1018, "&lt;&gt;")</f>
        <v>0</v>
      </c>
      <c r="AZ1018" s="0" t="n">
        <f aca="false">IF(EH1018&lt;&gt;"",1,0)</f>
        <v>0</v>
      </c>
      <c r="BB1018" s="0" t="s">
        <v>152</v>
      </c>
    </row>
    <row r="1019" customFormat="false" ht="13.8" hidden="false" customHeight="false" outlineLevel="0" collapsed="false">
      <c r="A1019" s="0" t="s">
        <v>4939</v>
      </c>
      <c r="B1019" s="0" t="n">
        <v>78</v>
      </c>
      <c r="C1019" s="0" t="n">
        <v>322253</v>
      </c>
      <c r="D1019" s="0" t="s">
        <v>1466</v>
      </c>
      <c r="E1019" s="0" t="s">
        <v>943</v>
      </c>
      <c r="F1019" s="0" t="str">
        <f aca="false">CONCATENATE(D1019," ",LEFT(H1019,4),"T=",AU1019,"D=",AV1019,"R=",AW1019,"M=",AX1019,"L=",AY1019,"B=",AZ1019)</f>
        <v>JOHNSON T=5D=0R=0M=1L=5B=0</v>
      </c>
      <c r="G1019" s="0" t="s">
        <v>362</v>
      </c>
      <c r="I1019" s="0" t="s">
        <v>4940</v>
      </c>
      <c r="J1019" s="0" t="s">
        <v>4941</v>
      </c>
      <c r="K1019" s="0" t="s">
        <v>160</v>
      </c>
      <c r="L1019" s="0" t="s">
        <v>209</v>
      </c>
      <c r="M1019" s="0" t="s">
        <v>4938</v>
      </c>
      <c r="N1019" s="0" t="str">
        <f aca="false">RIGHT(M1019,LEN(M1019)-FIND(" ",M1019))</f>
        <v>IDDINGS AVE SE</v>
      </c>
      <c r="P1019" s="0" t="s">
        <v>145</v>
      </c>
      <c r="Q1019" s="0" t="s">
        <v>146</v>
      </c>
      <c r="R1019" s="0" t="n">
        <v>44483</v>
      </c>
      <c r="AD1019" s="0" t="s">
        <v>147</v>
      </c>
      <c r="AE1019" s="0" t="s">
        <v>148</v>
      </c>
      <c r="AF1019" s="0" t="s">
        <v>149</v>
      </c>
      <c r="AH1019" s="0" t="n">
        <v>14</v>
      </c>
      <c r="AI1019" s="0" t="n">
        <v>11</v>
      </c>
      <c r="AN1019" s="0" t="s">
        <v>145</v>
      </c>
      <c r="AO1019" s="0" t="s">
        <v>150</v>
      </c>
      <c r="AP1019" s="0" t="s">
        <v>151</v>
      </c>
      <c r="AQ1019" s="0" t="n">
        <v>9</v>
      </c>
      <c r="AR1019" s="0" t="n">
        <v>64</v>
      </c>
      <c r="AS1019" s="0" t="n">
        <v>32</v>
      </c>
      <c r="AU1019" s="0" t="n">
        <f aca="false">COUNTA($BA$975:$EH$975)</f>
        <v>5</v>
      </c>
      <c r="AV1019" s="0" t="n">
        <f aca="false">COUNTIF($BA$975:$EH$975,"D")</f>
        <v>0</v>
      </c>
      <c r="AW1019" s="0" t="n">
        <f aca="false">COUNTIF($BA$975:$EH$975,"R")</f>
        <v>0</v>
      </c>
      <c r="AX1019" s="0" t="n">
        <f aca="false">IF(BN1019="D",1,0)+IF(BO1019="D",1,0)+IF(BT1019="D",1,0)+IF(BU1019="D",1,0)+IF(BW1019="D",1,0)+IF(CC1019="D",1,0)+IF(CD1019="D",1,0)+IF(CE1019="D",1,0)+IF(CF1019="D",1,0)+IF(CL1019="D",1,0)+IF(CM1019="D",1,0)+IF(CQ1019="D",1,0)+IF(CR1019="D",1,0)+IF(CS1019="D",1,0)+IF(CW1019="D",1,0)+IF(CX1019="D",1,0)+IF(DD1019="D",1,0)+IF(DE1019="D",1,0)+IF(DJ1019="D",1,0)+IF(DK1019="D",1,0)+IF(DO1019="D",1,0)+IF(DP1019="D",1,0)+IF(DQ1019="D",1,0)+IF(DW1019="D",1,0)+IF(DZ1019="D",1,0)+IF(EH1019="D",1,0)</f>
        <v>1</v>
      </c>
      <c r="AY1019" s="0" t="n">
        <f aca="false">COUNTIF(DU1019:EH1019, "&lt;&gt;")</f>
        <v>5</v>
      </c>
      <c r="AZ1019" s="0" t="n">
        <f aca="false">IF(EH1019&lt;&gt;"",1,0)</f>
        <v>0</v>
      </c>
      <c r="BB1019" s="0" t="s">
        <v>152</v>
      </c>
      <c r="CK1019" s="0" t="s">
        <v>153</v>
      </c>
      <c r="CP1019" s="0" t="s">
        <v>153</v>
      </c>
      <c r="CY1019" s="0" t="s">
        <v>153</v>
      </c>
      <c r="CZ1019" s="0" t="s">
        <v>209</v>
      </c>
      <c r="DC1019" s="0" t="s">
        <v>153</v>
      </c>
      <c r="DF1019" s="0" t="s">
        <v>153</v>
      </c>
      <c r="DI1019" s="0" t="s">
        <v>153</v>
      </c>
      <c r="DM1019" s="0" t="s">
        <v>209</v>
      </c>
      <c r="DN1019" s="0" t="s">
        <v>153</v>
      </c>
      <c r="DS1019" s="0" t="s">
        <v>209</v>
      </c>
      <c r="DU1019" s="0" t="s">
        <v>153</v>
      </c>
      <c r="DW1019" s="0" t="s">
        <v>175</v>
      </c>
      <c r="DX1019" s="0" t="s">
        <v>153</v>
      </c>
      <c r="ED1019" s="0" t="s">
        <v>209</v>
      </c>
      <c r="EF1019" s="0" t="s">
        <v>153</v>
      </c>
    </row>
    <row r="1020" customFormat="false" ht="13.8" hidden="false" customHeight="false" outlineLevel="0" collapsed="false">
      <c r="A1020" s="0" t="s">
        <v>4942</v>
      </c>
      <c r="B1020" s="0" t="n">
        <v>78</v>
      </c>
      <c r="C1020" s="0" t="n">
        <v>437975</v>
      </c>
      <c r="D1020" s="0" t="s">
        <v>4943</v>
      </c>
      <c r="E1020" s="0" t="s">
        <v>1710</v>
      </c>
      <c r="F1020" s="0" t="str">
        <f aca="false">CONCATENATE(D1020," ",LEFT(H1020,4),"T=",AU1020,"D=",AV1020,"R=",AW1020,"M=",AX1020,"L=",AY1020,"B=",AZ1020)</f>
        <v>COOK T=11D=1R=0M=0L=3B=0</v>
      </c>
      <c r="G1020" s="0" t="s">
        <v>170</v>
      </c>
      <c r="I1020" s="0" t="s">
        <v>4944</v>
      </c>
      <c r="J1020" s="0" t="s">
        <v>3698</v>
      </c>
      <c r="K1020" s="0" t="s">
        <v>160</v>
      </c>
      <c r="L1020" s="0" t="s">
        <v>175</v>
      </c>
      <c r="M1020" s="0" t="s">
        <v>4945</v>
      </c>
      <c r="N1020" s="0" t="str">
        <f aca="false">RIGHT(M1020,LEN(M1020)-FIND(" ",M1020))</f>
        <v>IDDINGS AVE SE</v>
      </c>
      <c r="P1020" s="0" t="s">
        <v>145</v>
      </c>
      <c r="Q1020" s="0" t="s">
        <v>146</v>
      </c>
      <c r="R1020" s="0" t="n">
        <v>44483</v>
      </c>
      <c r="AD1020" s="0" t="s">
        <v>147</v>
      </c>
      <c r="AE1020" s="0" t="s">
        <v>148</v>
      </c>
      <c r="AF1020" s="0" t="s">
        <v>149</v>
      </c>
      <c r="AH1020" s="0" t="n">
        <v>14</v>
      </c>
      <c r="AI1020" s="0" t="n">
        <v>11</v>
      </c>
      <c r="AN1020" s="0" t="s">
        <v>145</v>
      </c>
      <c r="AO1020" s="0" t="s">
        <v>150</v>
      </c>
      <c r="AP1020" s="0" t="s">
        <v>151</v>
      </c>
      <c r="AQ1020" s="0" t="n">
        <v>9</v>
      </c>
      <c r="AR1020" s="0" t="n">
        <v>64</v>
      </c>
      <c r="AS1020" s="0" t="n">
        <v>32</v>
      </c>
      <c r="AU1020" s="0" t="n">
        <f aca="false">COUNTA($BA$1065:$EH$1065)</f>
        <v>11</v>
      </c>
      <c r="AV1020" s="0" t="n">
        <f aca="false">COUNTIF($BA$1065:$EH$1065,"D")</f>
        <v>1</v>
      </c>
      <c r="AW1020" s="0" t="n">
        <f aca="false">COUNTIF($BA$1065:$EH$1065,"R")</f>
        <v>0</v>
      </c>
      <c r="AX1020" s="0" t="n">
        <f aca="false">IF(BN1020="D",1,0)+IF(BO1020="D",1,0)+IF(BT1020="D",1,0)+IF(BU1020="D",1,0)+IF(BW1020="D",1,0)+IF(CC1020="D",1,0)+IF(CD1020="D",1,0)+IF(CE1020="D",1,0)+IF(CF1020="D",1,0)+IF(CL1020="D",1,0)+IF(CM1020="D",1,0)+IF(CQ1020="D",1,0)+IF(CR1020="D",1,0)+IF(CS1020="D",1,0)+IF(CW1020="D",1,0)+IF(CX1020="D",1,0)+IF(DD1020="D",1,0)+IF(DE1020="D",1,0)+IF(DJ1020="D",1,0)+IF(DK1020="D",1,0)+IF(DO1020="D",1,0)+IF(DP1020="D",1,0)+IF(DQ1020="D",1,0)+IF(DW1020="D",1,0)+IF(DZ1020="D",1,0)+IF(EH1020="D",1,0)</f>
        <v>0</v>
      </c>
      <c r="AY1020" s="0" t="n">
        <f aca="false">COUNTIF(DU1020:EH1020, "&lt;&gt;")</f>
        <v>3</v>
      </c>
      <c r="AZ1020" s="0" t="n">
        <f aca="false">IF(EH1020&lt;&gt;"",1,0)</f>
        <v>0</v>
      </c>
      <c r="BB1020" s="0" t="s">
        <v>152</v>
      </c>
      <c r="DN1020" s="0" t="s">
        <v>153</v>
      </c>
      <c r="EA1020" s="0" t="s">
        <v>153</v>
      </c>
      <c r="ED1020" s="0" t="s">
        <v>175</v>
      </c>
      <c r="EF1020" s="0" t="s">
        <v>153</v>
      </c>
    </row>
    <row r="1021" customFormat="false" ht="13.8" hidden="false" customHeight="false" outlineLevel="0" collapsed="false">
      <c r="A1021" s="0" t="s">
        <v>4946</v>
      </c>
      <c r="B1021" s="0" t="n">
        <v>78</v>
      </c>
      <c r="C1021" s="0" t="n">
        <v>418930</v>
      </c>
      <c r="D1021" s="0" t="s">
        <v>4947</v>
      </c>
      <c r="E1021" s="0" t="s">
        <v>379</v>
      </c>
      <c r="F1021" s="0" t="str">
        <f aca="false">CONCATENATE(D1021," ",LEFT(H1021,4),"T=",AU1021,"D=",AV1021,"R=",AW1021,"M=",AX1021,"L=",AY1021,"B=",AZ1021)</f>
        <v>GAMLIN JRT=13D=3R=0M=0L=3B=0</v>
      </c>
      <c r="G1021" s="0" t="s">
        <v>209</v>
      </c>
      <c r="H1021" s="0" t="s">
        <v>314</v>
      </c>
      <c r="I1021" s="0" t="s">
        <v>4948</v>
      </c>
      <c r="J1021" s="0" t="s">
        <v>3698</v>
      </c>
      <c r="K1021" s="0" t="s">
        <v>160</v>
      </c>
      <c r="L1021" s="0" t="s">
        <v>175</v>
      </c>
      <c r="M1021" s="0" t="s">
        <v>4945</v>
      </c>
      <c r="N1021" s="0" t="str">
        <f aca="false">RIGHT(M1021,LEN(M1021)-FIND(" ",M1021))</f>
        <v>IDDINGS AVE SE</v>
      </c>
      <c r="P1021" s="0" t="s">
        <v>145</v>
      </c>
      <c r="Q1021" s="0" t="s">
        <v>146</v>
      </c>
      <c r="R1021" s="0" t="n">
        <v>44483</v>
      </c>
      <c r="AD1021" s="0" t="s">
        <v>147</v>
      </c>
      <c r="AE1021" s="0" t="s">
        <v>148</v>
      </c>
      <c r="AF1021" s="0" t="s">
        <v>149</v>
      </c>
      <c r="AH1021" s="0" t="n">
        <v>14</v>
      </c>
      <c r="AI1021" s="0" t="n">
        <v>11</v>
      </c>
      <c r="AN1021" s="0" t="s">
        <v>145</v>
      </c>
      <c r="AO1021" s="0" t="s">
        <v>150</v>
      </c>
      <c r="AP1021" s="0" t="s">
        <v>151</v>
      </c>
      <c r="AQ1021" s="0" t="n">
        <v>9</v>
      </c>
      <c r="AR1021" s="0" t="n">
        <v>64</v>
      </c>
      <c r="AS1021" s="0" t="n">
        <v>32</v>
      </c>
      <c r="AU1021" s="0" t="n">
        <f aca="false">COUNTA($BA$1075:$EH$1075)</f>
        <v>13</v>
      </c>
      <c r="AV1021" s="0" t="n">
        <f aca="false">COUNTIF($BA$1075:$EH$1075,"D")</f>
        <v>3</v>
      </c>
      <c r="AW1021" s="0" t="n">
        <f aca="false">COUNTIF($BA$1075:$EH$1075,"R")</f>
        <v>0</v>
      </c>
      <c r="AX1021" s="0" t="n">
        <f aca="false">IF(BN1021="D",1,0)+IF(BO1021="D",1,0)+IF(BT1021="D",1,0)+IF(BU1021="D",1,0)+IF(BW1021="D",1,0)+IF(CC1021="D",1,0)+IF(CD1021="D",1,0)+IF(CE1021="D",1,0)+IF(CF1021="D",1,0)+IF(CL1021="D",1,0)+IF(CM1021="D",1,0)+IF(CQ1021="D",1,0)+IF(CR1021="D",1,0)+IF(CS1021="D",1,0)+IF(CW1021="D",1,0)+IF(CX1021="D",1,0)+IF(DD1021="D",1,0)+IF(DE1021="D",1,0)+IF(DJ1021="D",1,0)+IF(DK1021="D",1,0)+IF(DO1021="D",1,0)+IF(DP1021="D",1,0)+IF(DQ1021="D",1,0)+IF(DW1021="D",1,0)+IF(DZ1021="D",1,0)+IF(EH1021="D",1,0)</f>
        <v>0</v>
      </c>
      <c r="AY1021" s="0" t="n">
        <f aca="false">COUNTIF(DU1021:EH1021, "&lt;&gt;")</f>
        <v>3</v>
      </c>
      <c r="AZ1021" s="0" t="n">
        <f aca="false">IF(EH1021&lt;&gt;"",1,0)</f>
        <v>0</v>
      </c>
      <c r="BB1021" s="0" t="s">
        <v>152</v>
      </c>
      <c r="BC1021" s="0" t="s">
        <v>153</v>
      </c>
      <c r="BD1021" s="0" t="s">
        <v>153</v>
      </c>
      <c r="BE1021" s="0" t="s">
        <v>153</v>
      </c>
      <c r="BK1021" s="0" t="s">
        <v>153</v>
      </c>
      <c r="BL1021" s="0" t="s">
        <v>153</v>
      </c>
      <c r="CG1021" s="0" t="s">
        <v>153</v>
      </c>
      <c r="CN1021" s="0" t="s">
        <v>153</v>
      </c>
      <c r="CP1021" s="0" t="s">
        <v>153</v>
      </c>
      <c r="CV1021" s="0" t="s">
        <v>153</v>
      </c>
      <c r="DC1021" s="0" t="s">
        <v>153</v>
      </c>
      <c r="DN1021" s="0" t="s">
        <v>153</v>
      </c>
      <c r="EA1021" s="0" t="s">
        <v>153</v>
      </c>
      <c r="ED1021" s="0" t="s">
        <v>175</v>
      </c>
      <c r="EF1021" s="0" t="s">
        <v>153</v>
      </c>
    </row>
    <row r="1022" customFormat="false" ht="13.8" hidden="true" customHeight="false" outlineLevel="0" collapsed="false">
      <c r="A1022" s="0" t="s">
        <v>4949</v>
      </c>
      <c r="B1022" s="0" t="n">
        <v>78</v>
      </c>
      <c r="C1022" s="0" t="n">
        <v>388898</v>
      </c>
      <c r="D1022" s="0" t="s">
        <v>4950</v>
      </c>
      <c r="E1022" s="0" t="s">
        <v>3266</v>
      </c>
      <c r="F1022" s="0" t="str">
        <f aca="false">CONCATENATE(D1022," ",LEFT(H1022,4),"T=",AU1022,"D=",AV1022,"R=",AW1022,"M=",AX1022,"L=",AY1022,"B=",AZ1022)</f>
        <v>NAMISH T=2D=0R=0M=0L=0B=0</v>
      </c>
      <c r="G1022" s="0" t="s">
        <v>500</v>
      </c>
      <c r="I1022" s="0" t="s">
        <v>4951</v>
      </c>
      <c r="J1022" s="0" t="s">
        <v>4952</v>
      </c>
      <c r="K1022" s="0" t="s">
        <v>143</v>
      </c>
      <c r="M1022" s="0" t="s">
        <v>4953</v>
      </c>
      <c r="N1022" s="0" t="str">
        <f aca="false">RIGHT(M1022,LEN(M1022)-FIND(" ",M1022))</f>
        <v>IDDINGS AVE SE</v>
      </c>
      <c r="P1022" s="0" t="s">
        <v>145</v>
      </c>
      <c r="Q1022" s="0" t="s">
        <v>146</v>
      </c>
      <c r="R1022" s="0" t="n">
        <v>44483</v>
      </c>
      <c r="AD1022" s="0" t="s">
        <v>147</v>
      </c>
      <c r="AE1022" s="0" t="s">
        <v>148</v>
      </c>
      <c r="AF1022" s="0" t="s">
        <v>149</v>
      </c>
      <c r="AH1022" s="0" t="n">
        <v>14</v>
      </c>
      <c r="AI1022" s="0" t="n">
        <v>11</v>
      </c>
      <c r="AN1022" s="0" t="s">
        <v>145</v>
      </c>
      <c r="AO1022" s="0" t="s">
        <v>150</v>
      </c>
      <c r="AP1022" s="0" t="s">
        <v>151</v>
      </c>
      <c r="AQ1022" s="0" t="n">
        <v>9</v>
      </c>
      <c r="AR1022" s="0" t="n">
        <v>64</v>
      </c>
      <c r="AS1022" s="0" t="n">
        <v>32</v>
      </c>
      <c r="AU1022" s="0" t="n">
        <f aca="false">COUNTA($BA$388:$EH$388)</f>
        <v>2</v>
      </c>
      <c r="AV1022" s="0" t="n">
        <f aca="false">COUNTIF($BA$388:$EH$388,"D")</f>
        <v>0</v>
      </c>
      <c r="AW1022" s="0" t="n">
        <f aca="false">COUNTIF($BA$388:$EH$388,"R")</f>
        <v>0</v>
      </c>
      <c r="AX1022" s="0" t="n">
        <f aca="false">IF(BN1022="D",1,0)+IF(BO1022="D",1,0)+IF(BT1022="D",1,0)+IF(BU1022="D",1,0)+IF(BW1022="D",1,0)+IF(CC1022="D",1,0)+IF(CD1022="D",1,0)+IF(CE1022="D",1,0)+IF(CF1022="D",1,0)+IF(CL1022="D",1,0)+IF(CM1022="D",1,0)+IF(CQ1022="D",1,0)+IF(CR1022="D",1,0)+IF(CS1022="D",1,0)+IF(CW1022="D",1,0)+IF(CX1022="D",1,0)+IF(DD1022="D",1,0)+IF(DE1022="D",1,0)+IF(DJ1022="D",1,0)+IF(DK1022="D",1,0)+IF(DO1022="D",1,0)+IF(DP1022="D",1,0)+IF(DQ1022="D",1,0)+IF(DW1022="D",1,0)+IF(DZ1022="D",1,0)+IF(EH1022="D",1,0)</f>
        <v>0</v>
      </c>
      <c r="AY1022" s="0" t="n">
        <f aca="false">COUNTIF(DU1022:EH1022, "&lt;&gt;")</f>
        <v>0</v>
      </c>
      <c r="AZ1022" s="0" t="n">
        <f aca="false">IF(EH1022&lt;&gt;"",1,0)</f>
        <v>0</v>
      </c>
      <c r="BB1022" s="0" t="s">
        <v>152</v>
      </c>
      <c r="CP1022" s="0" t="s">
        <v>153</v>
      </c>
    </row>
    <row r="1023" customFormat="false" ht="13.8" hidden="true" customHeight="false" outlineLevel="0" collapsed="false">
      <c r="A1023" s="0" t="s">
        <v>4954</v>
      </c>
      <c r="B1023" s="0" t="n">
        <v>78</v>
      </c>
      <c r="C1023" s="0" t="n">
        <v>364173</v>
      </c>
      <c r="D1023" s="0" t="s">
        <v>389</v>
      </c>
      <c r="E1023" s="0" t="s">
        <v>4955</v>
      </c>
      <c r="F1023" s="0" t="str">
        <f aca="false">CONCATENATE(D1023," ",LEFT(H1023,4),"T=",AU1023,"D=",AV1023,"R=",AW1023,"M=",AX1023,"L=",AY1023,"B=",AZ1023)</f>
        <v>RILEY T=1D=0R=0M=0L=0B=0</v>
      </c>
      <c r="G1023" s="0" t="s">
        <v>517</v>
      </c>
      <c r="I1023" s="0" t="s">
        <v>4956</v>
      </c>
      <c r="J1023" s="0" t="s">
        <v>4957</v>
      </c>
      <c r="K1023" s="0" t="s">
        <v>160</v>
      </c>
      <c r="M1023" s="0" t="s">
        <v>4958</v>
      </c>
      <c r="N1023" s="0" t="str">
        <f aca="false">RIGHT(M1023,LEN(M1023)-FIND(" ",M1023))</f>
        <v>IDDINGS AVE SE</v>
      </c>
      <c r="P1023" s="0" t="s">
        <v>145</v>
      </c>
      <c r="Q1023" s="0" t="s">
        <v>146</v>
      </c>
      <c r="R1023" s="0" t="n">
        <v>44483</v>
      </c>
      <c r="AD1023" s="0" t="s">
        <v>147</v>
      </c>
      <c r="AE1023" s="0" t="s">
        <v>148</v>
      </c>
      <c r="AF1023" s="0" t="s">
        <v>149</v>
      </c>
      <c r="AH1023" s="0" t="n">
        <v>14</v>
      </c>
      <c r="AI1023" s="0" t="n">
        <v>11</v>
      </c>
      <c r="AN1023" s="0" t="s">
        <v>145</v>
      </c>
      <c r="AO1023" s="0" t="s">
        <v>150</v>
      </c>
      <c r="AP1023" s="0" t="s">
        <v>151</v>
      </c>
      <c r="AQ1023" s="0" t="n">
        <v>9</v>
      </c>
      <c r="AR1023" s="0" t="n">
        <v>64</v>
      </c>
      <c r="AS1023" s="0" t="n">
        <v>32</v>
      </c>
      <c r="AU1023" s="0" t="n">
        <f aca="false">COUNTA($BA$415:$EH$415)</f>
        <v>1</v>
      </c>
      <c r="AV1023" s="0" t="n">
        <f aca="false">COUNTIF($BA$415:$EH$415,"D")</f>
        <v>0</v>
      </c>
      <c r="AW1023" s="0" t="n">
        <f aca="false">COUNTIF($BA$415:$EH$415,"R")</f>
        <v>0</v>
      </c>
      <c r="AX1023" s="0" t="n">
        <f aca="false">IF(BN1023="D",1,0)+IF(BO1023="D",1,0)+IF(BT1023="D",1,0)+IF(BU1023="D",1,0)+IF(BW1023="D",1,0)+IF(CC1023="D",1,0)+IF(CD1023="D",1,0)+IF(CE1023="D",1,0)+IF(CF1023="D",1,0)+IF(CL1023="D",1,0)+IF(CM1023="D",1,0)+IF(CQ1023="D",1,0)+IF(CR1023="D",1,0)+IF(CS1023="D",1,0)+IF(CW1023="D",1,0)+IF(CX1023="D",1,0)+IF(DD1023="D",1,0)+IF(DE1023="D",1,0)+IF(DJ1023="D",1,0)+IF(DK1023="D",1,0)+IF(DO1023="D",1,0)+IF(DP1023="D",1,0)+IF(DQ1023="D",1,0)+IF(DW1023="D",1,0)+IF(DZ1023="D",1,0)+IF(EH1023="D",1,0)</f>
        <v>0</v>
      </c>
      <c r="AY1023" s="0" t="n">
        <f aca="false">COUNTIF(DU1023:EH1023, "&lt;&gt;")</f>
        <v>0</v>
      </c>
      <c r="AZ1023" s="0" t="n">
        <f aca="false">IF(EH1023&lt;&gt;"",1,0)</f>
        <v>0</v>
      </c>
      <c r="BB1023" s="0" t="s">
        <v>152</v>
      </c>
    </row>
    <row r="1024" customFormat="false" ht="13.8" hidden="true" customHeight="false" outlineLevel="0" collapsed="false">
      <c r="A1024" s="0" t="s">
        <v>4959</v>
      </c>
      <c r="B1024" s="0" t="n">
        <v>78</v>
      </c>
      <c r="C1024" s="0" t="n">
        <v>362850</v>
      </c>
      <c r="D1024" s="0" t="s">
        <v>3759</v>
      </c>
      <c r="E1024" s="0" t="s">
        <v>242</v>
      </c>
      <c r="F1024" s="0" t="str">
        <f aca="false">CONCATENATE(D1024," ",LEFT(H1024,4),"T=",AU1024,"D=",AV1024,"R=",AW1024,"M=",AX1024,"L=",AY1024,"B=",AZ1024)</f>
        <v>CARMICHAEL T=2D=0R=0M=0L=1B=0</v>
      </c>
      <c r="G1024" s="0" t="s">
        <v>670</v>
      </c>
      <c r="I1024" s="0" t="s">
        <v>4960</v>
      </c>
      <c r="J1024" s="0" t="s">
        <v>1433</v>
      </c>
      <c r="K1024" s="0" t="s">
        <v>160</v>
      </c>
      <c r="M1024" s="0" t="s">
        <v>4961</v>
      </c>
      <c r="N1024" s="0" t="str">
        <f aca="false">RIGHT(M1024,LEN(M1024)-FIND(" ",M1024))</f>
        <v>IDDINGS AVE SE</v>
      </c>
      <c r="P1024" s="0" t="s">
        <v>145</v>
      </c>
      <c r="Q1024" s="0" t="s">
        <v>146</v>
      </c>
      <c r="R1024" s="0" t="n">
        <v>44483</v>
      </c>
      <c r="AD1024" s="0" t="s">
        <v>147</v>
      </c>
      <c r="AE1024" s="0" t="s">
        <v>148</v>
      </c>
      <c r="AF1024" s="0" t="s">
        <v>149</v>
      </c>
      <c r="AH1024" s="0" t="n">
        <v>14</v>
      </c>
      <c r="AI1024" s="0" t="n">
        <v>11</v>
      </c>
      <c r="AN1024" s="0" t="s">
        <v>145</v>
      </c>
      <c r="AO1024" s="0" t="s">
        <v>150</v>
      </c>
      <c r="AP1024" s="0" t="s">
        <v>151</v>
      </c>
      <c r="AQ1024" s="0" t="n">
        <v>9</v>
      </c>
      <c r="AR1024" s="0" t="n">
        <v>64</v>
      </c>
      <c r="AS1024" s="0" t="n">
        <v>32</v>
      </c>
      <c r="AU1024" s="0" t="n">
        <f aca="false">COUNTA($BA$696:$EH$696)</f>
        <v>2</v>
      </c>
      <c r="AV1024" s="0" t="n">
        <f aca="false">COUNTIF($BA$696:$EH$696,"D")</f>
        <v>0</v>
      </c>
      <c r="AW1024" s="0" t="n">
        <f aca="false">COUNTIF($BA$696:$EH$696,"R")</f>
        <v>0</v>
      </c>
      <c r="AX1024" s="0" t="n">
        <f aca="false">IF(BN1024="D",1,0)+IF(BO1024="D",1,0)+IF(BT1024="D",1,0)+IF(BU1024="D",1,0)+IF(BW1024="D",1,0)+IF(CC1024="D",1,0)+IF(CD1024="D",1,0)+IF(CE1024="D",1,0)+IF(CF1024="D",1,0)+IF(CL1024="D",1,0)+IF(CM1024="D",1,0)+IF(CQ1024="D",1,0)+IF(CR1024="D",1,0)+IF(CS1024="D",1,0)+IF(CW1024="D",1,0)+IF(CX1024="D",1,0)+IF(DD1024="D",1,0)+IF(DE1024="D",1,0)+IF(DJ1024="D",1,0)+IF(DK1024="D",1,0)+IF(DO1024="D",1,0)+IF(DP1024="D",1,0)+IF(DQ1024="D",1,0)+IF(DW1024="D",1,0)+IF(DZ1024="D",1,0)+IF(EH1024="D",1,0)</f>
        <v>0</v>
      </c>
      <c r="AY1024" s="0" t="n">
        <f aca="false">COUNTIF(DU1024:EH1024, "&lt;&gt;")</f>
        <v>1</v>
      </c>
      <c r="AZ1024" s="0" t="n">
        <f aca="false">IF(EH1024&lt;&gt;"",1,0)</f>
        <v>0</v>
      </c>
      <c r="BB1024" s="0" t="s">
        <v>152</v>
      </c>
      <c r="CA1024" s="0" t="s">
        <v>153</v>
      </c>
      <c r="CK1024" s="0" t="s">
        <v>153</v>
      </c>
      <c r="CP1024" s="0" t="s">
        <v>153</v>
      </c>
      <c r="DC1024" s="0" t="s">
        <v>153</v>
      </c>
      <c r="DF1024" s="0" t="s">
        <v>153</v>
      </c>
      <c r="DG1024" s="0" t="s">
        <v>175</v>
      </c>
      <c r="DI1024" s="0" t="s">
        <v>153</v>
      </c>
      <c r="DM1024" s="0" t="s">
        <v>175</v>
      </c>
      <c r="DN1024" s="0" t="s">
        <v>153</v>
      </c>
      <c r="DU1024" s="0" t="s">
        <v>153</v>
      </c>
    </row>
    <row r="1025" customFormat="false" ht="13.8" hidden="true" customHeight="false" outlineLevel="0" collapsed="false">
      <c r="A1025" s="0" t="s">
        <v>4962</v>
      </c>
      <c r="B1025" s="0" t="n">
        <v>78</v>
      </c>
      <c r="C1025" s="0" t="n">
        <v>457406</v>
      </c>
      <c r="D1025" s="0" t="s">
        <v>4963</v>
      </c>
      <c r="E1025" s="0" t="s">
        <v>1635</v>
      </c>
      <c r="F1025" s="0" t="str">
        <f aca="false">CONCATENATE(D1025," ",LEFT(H1025,4),"T=",AU1025,"D=",AV1025,"R=",AW1025,"M=",AX1025,"L=",AY1025,"B=",AZ1025)</f>
        <v>FRANTZ T=1D=0R=0M=0L=0B=0</v>
      </c>
      <c r="G1025" s="0" t="s">
        <v>209</v>
      </c>
      <c r="I1025" s="0" t="s">
        <v>4964</v>
      </c>
      <c r="J1025" s="0" t="s">
        <v>4965</v>
      </c>
      <c r="K1025" s="0" t="s">
        <v>143</v>
      </c>
      <c r="M1025" s="0" t="s">
        <v>4966</v>
      </c>
      <c r="N1025" s="0" t="str">
        <f aca="false">RIGHT(M1025,LEN(M1025)-FIND(" ",M1025))</f>
        <v>IDDINGS AVE SE</v>
      </c>
      <c r="P1025" s="0" t="s">
        <v>145</v>
      </c>
      <c r="Q1025" s="0" t="s">
        <v>146</v>
      </c>
      <c r="R1025" s="0" t="n">
        <v>44483</v>
      </c>
      <c r="AD1025" s="0" t="s">
        <v>147</v>
      </c>
      <c r="AE1025" s="0" t="s">
        <v>148</v>
      </c>
      <c r="AF1025" s="0" t="s">
        <v>149</v>
      </c>
      <c r="AH1025" s="0" t="n">
        <v>14</v>
      </c>
      <c r="AI1025" s="0" t="n">
        <v>11</v>
      </c>
      <c r="AN1025" s="0" t="s">
        <v>145</v>
      </c>
      <c r="AO1025" s="0" t="s">
        <v>150</v>
      </c>
      <c r="AP1025" s="0" t="s">
        <v>151</v>
      </c>
      <c r="AQ1025" s="0" t="n">
        <v>9</v>
      </c>
      <c r="AR1025" s="0" t="n">
        <v>64</v>
      </c>
      <c r="AS1025" s="0" t="n">
        <v>32</v>
      </c>
      <c r="AU1025" s="0" t="n">
        <f aca="false">COUNTA($BA$21:$EH$21)</f>
        <v>1</v>
      </c>
      <c r="AV1025" s="0" t="n">
        <f aca="false">COUNTIF($BA$21:$EH$21,"D")</f>
        <v>0</v>
      </c>
      <c r="AW1025" s="0" t="n">
        <f aca="false">COUNTIF($BA$21:$EH$21,"R")</f>
        <v>0</v>
      </c>
      <c r="AX1025" s="0" t="n">
        <f aca="false">IF(BN1025="D",1,0)+IF(BO1025="D",1,0)+IF(BT1025="D",1,0)+IF(BU1025="D",1,0)+IF(BW1025="D",1,0)+IF(CC1025="D",1,0)+IF(CD1025="D",1,0)+IF(CE1025="D",1,0)+IF(CF1025="D",1,0)+IF(CL1025="D",1,0)+IF(CM1025="D",1,0)+IF(CQ1025="D",1,0)+IF(CR1025="D",1,0)+IF(CS1025="D",1,0)+IF(CW1025="D",1,0)+IF(CX1025="D",1,0)+IF(DD1025="D",1,0)+IF(DE1025="D",1,0)+IF(DJ1025="D",1,0)+IF(DK1025="D",1,0)+IF(DO1025="D",1,0)+IF(DP1025="D",1,0)+IF(DQ1025="D",1,0)+IF(DW1025="D",1,0)+IF(DZ1025="D",1,0)+IF(EH1025="D",1,0)</f>
        <v>0</v>
      </c>
      <c r="AY1025" s="0" t="n">
        <f aca="false">COUNTIF(DU1025:EH1025, "&lt;&gt;")</f>
        <v>0</v>
      </c>
      <c r="AZ1025" s="0" t="n">
        <f aca="false">IF(EH1025&lt;&gt;"",1,0)</f>
        <v>0</v>
      </c>
      <c r="BB1025" s="0" t="s">
        <v>152</v>
      </c>
    </row>
    <row r="1026" customFormat="false" ht="13.8" hidden="true" customHeight="false" outlineLevel="0" collapsed="false">
      <c r="A1026" s="0" t="s">
        <v>4967</v>
      </c>
      <c r="B1026" s="0" t="n">
        <v>78</v>
      </c>
      <c r="C1026" s="0" t="n">
        <v>309580</v>
      </c>
      <c r="D1026" s="0" t="s">
        <v>3207</v>
      </c>
      <c r="E1026" s="0" t="s">
        <v>4968</v>
      </c>
      <c r="F1026" s="0" t="str">
        <f aca="false">CONCATENATE(D1026," ",LEFT(H1026,4),"T=",AU1026,"D=",AV1026,"R=",AW1026,"M=",AX1026,"L=",AY1026,"B=",AZ1026)</f>
        <v>CLINE T=1D=0R=0M=0L=0B=0</v>
      </c>
      <c r="G1026" s="0" t="s">
        <v>190</v>
      </c>
      <c r="I1026" s="0" t="s">
        <v>4969</v>
      </c>
      <c r="J1026" s="0" t="s">
        <v>4970</v>
      </c>
      <c r="K1026" s="0" t="s">
        <v>143</v>
      </c>
      <c r="M1026" s="0" t="s">
        <v>4966</v>
      </c>
      <c r="N1026" s="0" t="str">
        <f aca="false">RIGHT(M1026,LEN(M1026)-FIND(" ",M1026))</f>
        <v>IDDINGS AVE SE</v>
      </c>
      <c r="P1026" s="0" t="s">
        <v>145</v>
      </c>
      <c r="Q1026" s="0" t="s">
        <v>146</v>
      </c>
      <c r="R1026" s="0" t="n">
        <v>44483</v>
      </c>
      <c r="AD1026" s="0" t="s">
        <v>147</v>
      </c>
      <c r="AE1026" s="0" t="s">
        <v>148</v>
      </c>
      <c r="AF1026" s="0" t="s">
        <v>149</v>
      </c>
      <c r="AH1026" s="0" t="n">
        <v>14</v>
      </c>
      <c r="AI1026" s="0" t="n">
        <v>11</v>
      </c>
      <c r="AN1026" s="0" t="s">
        <v>145</v>
      </c>
      <c r="AO1026" s="0" t="s">
        <v>150</v>
      </c>
      <c r="AP1026" s="0" t="s">
        <v>151</v>
      </c>
      <c r="AQ1026" s="0" t="n">
        <v>9</v>
      </c>
      <c r="AR1026" s="0" t="n">
        <v>64</v>
      </c>
      <c r="AS1026" s="0" t="n">
        <v>32</v>
      </c>
      <c r="AU1026" s="0" t="n">
        <f aca="false">COUNTA($BA$887:$EH$887)</f>
        <v>1</v>
      </c>
      <c r="AV1026" s="0" t="n">
        <f aca="false">COUNTIF($BA$887:$EH$887,"D")</f>
        <v>0</v>
      </c>
      <c r="AW1026" s="0" t="n">
        <f aca="false">COUNTIF($BA$887:$EH$887,"R")</f>
        <v>0</v>
      </c>
      <c r="AX1026" s="0" t="n">
        <f aca="false">IF(BN1026="D",1,0)+IF(BO1026="D",1,0)+IF(BT1026="D",1,0)+IF(BU1026="D",1,0)+IF(BW1026="D",1,0)+IF(CC1026="D",1,0)+IF(CD1026="D",1,0)+IF(CE1026="D",1,0)+IF(CF1026="D",1,0)+IF(CL1026="D",1,0)+IF(CM1026="D",1,0)+IF(CQ1026="D",1,0)+IF(CR1026="D",1,0)+IF(CS1026="D",1,0)+IF(CW1026="D",1,0)+IF(CX1026="D",1,0)+IF(DD1026="D",1,0)+IF(DE1026="D",1,0)+IF(DJ1026="D",1,0)+IF(DK1026="D",1,0)+IF(DO1026="D",1,0)+IF(DP1026="D",1,0)+IF(DQ1026="D",1,0)+IF(DW1026="D",1,0)+IF(DZ1026="D",1,0)+IF(EH1026="D",1,0)</f>
        <v>0</v>
      </c>
      <c r="AY1026" s="0" t="n">
        <f aca="false">COUNTIF(DU1026:EH1026, "&lt;&gt;")</f>
        <v>0</v>
      </c>
      <c r="AZ1026" s="0" t="n">
        <f aca="false">IF(EH1026&lt;&gt;"",1,0)</f>
        <v>0</v>
      </c>
      <c r="BB1026" s="0" t="s">
        <v>152</v>
      </c>
    </row>
    <row r="1027" customFormat="false" ht="13.8" hidden="true" customHeight="false" outlineLevel="0" collapsed="false">
      <c r="A1027" s="0" t="s">
        <v>4971</v>
      </c>
      <c r="B1027" s="0" t="n">
        <v>78</v>
      </c>
      <c r="C1027" s="0" t="n">
        <v>474732</v>
      </c>
      <c r="D1027" s="0" t="s">
        <v>4972</v>
      </c>
      <c r="E1027" s="0" t="s">
        <v>4131</v>
      </c>
      <c r="F1027" s="0" t="str">
        <f aca="false">CONCATENATE(D1027," ",LEFT(H1027,4),"T=",AU1027,"D=",AV1027,"R=",AW1027,"M=",AX1027,"L=",AY1027,"B=",AZ1027)</f>
        <v>BURDICK T=2D=0R=0M=0L=1B=0</v>
      </c>
      <c r="G1027" s="0" t="s">
        <v>268</v>
      </c>
      <c r="I1027" s="0" t="s">
        <v>4973</v>
      </c>
      <c r="J1027" s="0" t="s">
        <v>4974</v>
      </c>
      <c r="K1027" s="0" t="s">
        <v>160</v>
      </c>
      <c r="M1027" s="0" t="s">
        <v>4975</v>
      </c>
      <c r="N1027" s="0" t="str">
        <f aca="false">RIGHT(M1027,LEN(M1027)-FIND(" ",M1027))</f>
        <v>IDDINGS AVE SE</v>
      </c>
      <c r="P1027" s="0" t="s">
        <v>145</v>
      </c>
      <c r="Q1027" s="0" t="s">
        <v>146</v>
      </c>
      <c r="R1027" s="0" t="n">
        <v>44483</v>
      </c>
      <c r="AD1027" s="0" t="s">
        <v>147</v>
      </c>
      <c r="AE1027" s="0" t="s">
        <v>148</v>
      </c>
      <c r="AF1027" s="0" t="s">
        <v>149</v>
      </c>
      <c r="AH1027" s="0" t="n">
        <v>14</v>
      </c>
      <c r="AI1027" s="0" t="n">
        <v>11</v>
      </c>
      <c r="AN1027" s="0" t="s">
        <v>145</v>
      </c>
      <c r="AO1027" s="0" t="s">
        <v>150</v>
      </c>
      <c r="AP1027" s="0" t="s">
        <v>151</v>
      </c>
      <c r="AQ1027" s="0" t="n">
        <v>9</v>
      </c>
      <c r="AR1027" s="0" t="n">
        <v>64</v>
      </c>
      <c r="AS1027" s="0" t="n">
        <v>32</v>
      </c>
      <c r="AU1027" s="0" t="n">
        <f aca="false">COUNTA($BA$261:$EH$261)</f>
        <v>2</v>
      </c>
      <c r="AV1027" s="0" t="n">
        <f aca="false">COUNTIF($BA$261:$EH$261,"D")</f>
        <v>0</v>
      </c>
      <c r="AW1027" s="0" t="n">
        <f aca="false">COUNTIF($BA$261:$EH$261,"R")</f>
        <v>0</v>
      </c>
      <c r="AX1027" s="0" t="n">
        <f aca="false">IF(BN1027="D",1,0)+IF(BO1027="D",1,0)+IF(BT1027="D",1,0)+IF(BU1027="D",1,0)+IF(BW1027="D",1,0)+IF(CC1027="D",1,0)+IF(CD1027="D",1,0)+IF(CE1027="D",1,0)+IF(CF1027="D",1,0)+IF(CL1027="D",1,0)+IF(CM1027="D",1,0)+IF(CQ1027="D",1,0)+IF(CR1027="D",1,0)+IF(CS1027="D",1,0)+IF(CW1027="D",1,0)+IF(CX1027="D",1,0)+IF(DD1027="D",1,0)+IF(DE1027="D",1,0)+IF(DJ1027="D",1,0)+IF(DK1027="D",1,0)+IF(DO1027="D",1,0)+IF(DP1027="D",1,0)+IF(DQ1027="D",1,0)+IF(DW1027="D",1,0)+IF(DZ1027="D",1,0)+IF(EH1027="D",1,0)</f>
        <v>0</v>
      </c>
      <c r="AY1027" s="0" t="n">
        <f aca="false">COUNTIF(DU1027:EH1027, "&lt;&gt;")</f>
        <v>1</v>
      </c>
      <c r="AZ1027" s="0" t="n">
        <f aca="false">IF(EH1027&lt;&gt;"",1,0)</f>
        <v>0</v>
      </c>
      <c r="BB1027" s="0" t="s">
        <v>152</v>
      </c>
      <c r="BD1027" s="0" t="s">
        <v>153</v>
      </c>
      <c r="BL1027" s="0" t="s">
        <v>153</v>
      </c>
      <c r="BS1027" s="0" t="s">
        <v>153</v>
      </c>
      <c r="BY1027" s="0" t="s">
        <v>175</v>
      </c>
      <c r="CA1027" s="0" t="s">
        <v>153</v>
      </c>
      <c r="CP1027" s="0" t="s">
        <v>153</v>
      </c>
      <c r="EF1027" s="0" t="s">
        <v>153</v>
      </c>
    </row>
    <row r="1028" customFormat="false" ht="13.8" hidden="true" customHeight="false" outlineLevel="0" collapsed="false">
      <c r="A1028" s="0" t="s">
        <v>4976</v>
      </c>
      <c r="B1028" s="0" t="n">
        <v>78</v>
      </c>
      <c r="C1028" s="0" t="n">
        <v>430654</v>
      </c>
      <c r="D1028" s="0" t="s">
        <v>224</v>
      </c>
      <c r="E1028" s="0" t="s">
        <v>4977</v>
      </c>
      <c r="F1028" s="0" t="str">
        <f aca="false">CONCATENATE(D1028," ",LEFT(H1028,4),"T=",AU1028,"D=",AV1028,"R=",AW1028,"M=",AX1028,"L=",AY1028,"B=",AZ1028)</f>
        <v>THOMAS T=1D=0R=0M=0L=0B=0</v>
      </c>
      <c r="G1028" s="0" t="s">
        <v>164</v>
      </c>
      <c r="I1028" s="0" t="s">
        <v>4978</v>
      </c>
      <c r="J1028" s="0" t="s">
        <v>4979</v>
      </c>
      <c r="K1028" s="0" t="s">
        <v>143</v>
      </c>
      <c r="M1028" s="0" t="s">
        <v>4980</v>
      </c>
      <c r="N1028" s="0" t="str">
        <f aca="false">RIGHT(M1028,LEN(M1028)-FIND(" ",M1028))</f>
        <v>IDDINGS AVE SE</v>
      </c>
      <c r="P1028" s="0" t="s">
        <v>145</v>
      </c>
      <c r="Q1028" s="0" t="s">
        <v>146</v>
      </c>
      <c r="R1028" s="0" t="n">
        <v>44483</v>
      </c>
      <c r="AD1028" s="0" t="s">
        <v>147</v>
      </c>
      <c r="AE1028" s="0" t="s">
        <v>148</v>
      </c>
      <c r="AF1028" s="0" t="s">
        <v>149</v>
      </c>
      <c r="AH1028" s="0" t="n">
        <v>14</v>
      </c>
      <c r="AI1028" s="0" t="n">
        <v>11</v>
      </c>
      <c r="AN1028" s="0" t="s">
        <v>145</v>
      </c>
      <c r="AO1028" s="0" t="s">
        <v>150</v>
      </c>
      <c r="AP1028" s="0" t="s">
        <v>151</v>
      </c>
      <c r="AQ1028" s="0" t="n">
        <v>9</v>
      </c>
      <c r="AR1028" s="0" t="n">
        <v>64</v>
      </c>
      <c r="AS1028" s="0" t="n">
        <v>32</v>
      </c>
      <c r="AU1028" s="0" t="n">
        <f aca="false">COUNTA($BA$108:$EH$108)</f>
        <v>1</v>
      </c>
      <c r="AV1028" s="0" t="n">
        <f aca="false">COUNTIF($BA$108:$EH$108,"D")</f>
        <v>0</v>
      </c>
      <c r="AW1028" s="0" t="n">
        <f aca="false">COUNTIF($BA$108:$EH$108,"R")</f>
        <v>0</v>
      </c>
      <c r="AX1028" s="0" t="n">
        <f aca="false">IF(BN1028="D",1,0)+IF(BO1028="D",1,0)+IF(BT1028="D",1,0)+IF(BU1028="D",1,0)+IF(BW1028="D",1,0)+IF(CC1028="D",1,0)+IF(CD1028="D",1,0)+IF(CE1028="D",1,0)+IF(CF1028="D",1,0)+IF(CL1028="D",1,0)+IF(CM1028="D",1,0)+IF(CQ1028="D",1,0)+IF(CR1028="D",1,0)+IF(CS1028="D",1,0)+IF(CW1028="D",1,0)+IF(CX1028="D",1,0)+IF(DD1028="D",1,0)+IF(DE1028="D",1,0)+IF(DJ1028="D",1,0)+IF(DK1028="D",1,0)+IF(DO1028="D",1,0)+IF(DP1028="D",1,0)+IF(DQ1028="D",1,0)+IF(DW1028="D",1,0)+IF(DZ1028="D",1,0)+IF(EH1028="D",1,0)</f>
        <v>0</v>
      </c>
      <c r="AY1028" s="0" t="n">
        <f aca="false">COUNTIF(DU1028:EH1028, "&lt;&gt;")</f>
        <v>0</v>
      </c>
      <c r="AZ1028" s="0" t="n">
        <f aca="false">IF(EH1028&lt;&gt;"",1,0)</f>
        <v>0</v>
      </c>
      <c r="BB1028" s="0" t="s">
        <v>152</v>
      </c>
    </row>
    <row r="1029" customFormat="false" ht="13.8" hidden="false" customHeight="false" outlineLevel="0" collapsed="false">
      <c r="A1029" s="0" t="s">
        <v>4981</v>
      </c>
      <c r="B1029" s="0" t="n">
        <v>78</v>
      </c>
      <c r="C1029" s="0" t="n">
        <v>470885</v>
      </c>
      <c r="D1029" s="0" t="s">
        <v>4982</v>
      </c>
      <c r="E1029" s="0" t="s">
        <v>4983</v>
      </c>
      <c r="F1029" s="0" t="str">
        <f aca="false">CONCATENATE(D1029," ",LEFT(H1029,4),"T=",AU1029,"D=",AV1029,"R=",AW1029,"M=",AX1029,"L=",AY1029,"B=",AZ1029)</f>
        <v>PITTRELL T=1D=0R=0M=0L=2B=0</v>
      </c>
      <c r="G1029" s="0" t="s">
        <v>307</v>
      </c>
      <c r="I1029" s="0" t="s">
        <v>4984</v>
      </c>
      <c r="J1029" s="0" t="s">
        <v>4985</v>
      </c>
      <c r="K1029" s="0" t="s">
        <v>160</v>
      </c>
      <c r="M1029" s="0" t="s">
        <v>4980</v>
      </c>
      <c r="N1029" s="0" t="str">
        <f aca="false">RIGHT(M1029,LEN(M1029)-FIND(" ",M1029))</f>
        <v>IDDINGS AVE SE</v>
      </c>
      <c r="P1029" s="0" t="s">
        <v>145</v>
      </c>
      <c r="Q1029" s="0" t="s">
        <v>146</v>
      </c>
      <c r="R1029" s="0" t="n">
        <v>44483</v>
      </c>
      <c r="AD1029" s="0" t="s">
        <v>147</v>
      </c>
      <c r="AE1029" s="0" t="s">
        <v>148</v>
      </c>
      <c r="AF1029" s="0" t="s">
        <v>149</v>
      </c>
      <c r="AH1029" s="0" t="n">
        <v>14</v>
      </c>
      <c r="AI1029" s="0" t="n">
        <v>11</v>
      </c>
      <c r="AN1029" s="0" t="s">
        <v>145</v>
      </c>
      <c r="AO1029" s="0" t="s">
        <v>150</v>
      </c>
      <c r="AP1029" s="0" t="s">
        <v>151</v>
      </c>
      <c r="AQ1029" s="0" t="n">
        <v>9</v>
      </c>
      <c r="AR1029" s="0" t="n">
        <v>64</v>
      </c>
      <c r="AS1029" s="0" t="n">
        <v>32</v>
      </c>
      <c r="AU1029" s="0" t="n">
        <f aca="false">COUNTA($BA$602:$EH$602)</f>
        <v>1</v>
      </c>
      <c r="AV1029" s="0" t="n">
        <f aca="false">COUNTIF($BA$602:$EH$602,"D")</f>
        <v>0</v>
      </c>
      <c r="AW1029" s="0" t="n">
        <f aca="false">COUNTIF($BA$602:$EH$602,"R")</f>
        <v>0</v>
      </c>
      <c r="AX1029" s="0" t="n">
        <f aca="false">IF(BN1029="D",1,0)+IF(BO1029="D",1,0)+IF(BT1029="D",1,0)+IF(BU1029="D",1,0)+IF(BW1029="D",1,0)+IF(CC1029="D",1,0)+IF(CD1029="D",1,0)+IF(CE1029="D",1,0)+IF(CF1029="D",1,0)+IF(CL1029="D",1,0)+IF(CM1029="D",1,0)+IF(CQ1029="D",1,0)+IF(CR1029="D",1,0)+IF(CS1029="D",1,0)+IF(CW1029="D",1,0)+IF(CX1029="D",1,0)+IF(DD1029="D",1,0)+IF(DE1029="D",1,0)+IF(DJ1029="D",1,0)+IF(DK1029="D",1,0)+IF(DO1029="D",1,0)+IF(DP1029="D",1,0)+IF(DQ1029="D",1,0)+IF(DW1029="D",1,0)+IF(DZ1029="D",1,0)+IF(EH1029="D",1,0)</f>
        <v>0</v>
      </c>
      <c r="AY1029" s="0" t="n">
        <f aca="false">COUNTIF(DU1029:EH1029, "&lt;&gt;")</f>
        <v>2</v>
      </c>
      <c r="AZ1029" s="0" t="n">
        <f aca="false">IF(EH1029&lt;&gt;"",1,0)</f>
        <v>0</v>
      </c>
      <c r="BB1029" s="0" t="s">
        <v>152</v>
      </c>
      <c r="EA1029" s="0" t="s">
        <v>153</v>
      </c>
      <c r="EF1029" s="0" t="s">
        <v>153</v>
      </c>
    </row>
    <row r="1030" customFormat="false" ht="13.8" hidden="true" customHeight="false" outlineLevel="0" collapsed="false">
      <c r="A1030" s="0" t="s">
        <v>4986</v>
      </c>
      <c r="B1030" s="0" t="n">
        <v>78</v>
      </c>
      <c r="C1030" s="0" t="n">
        <v>448566</v>
      </c>
      <c r="D1030" s="0" t="s">
        <v>4982</v>
      </c>
      <c r="E1030" s="0" t="s">
        <v>4987</v>
      </c>
      <c r="F1030" s="0" t="str">
        <f aca="false">CONCATENATE(D1030," ",LEFT(H1030,4),"T=",AU1030,"D=",AV1030,"R=",AW1030,"M=",AX1030,"L=",AY1030,"B=",AZ1030)</f>
        <v>PITTRELL T=2D=0R=0M=0L=0B=0</v>
      </c>
      <c r="G1030" s="0" t="s">
        <v>190</v>
      </c>
      <c r="I1030" s="0" t="s">
        <v>4988</v>
      </c>
      <c r="J1030" s="0" t="s">
        <v>4989</v>
      </c>
      <c r="K1030" s="0" t="s">
        <v>143</v>
      </c>
      <c r="M1030" s="0" t="s">
        <v>4980</v>
      </c>
      <c r="N1030" s="0" t="str">
        <f aca="false">RIGHT(M1030,LEN(M1030)-FIND(" ",M1030))</f>
        <v>IDDINGS AVE SE</v>
      </c>
      <c r="P1030" s="0" t="s">
        <v>145</v>
      </c>
      <c r="Q1030" s="0" t="s">
        <v>146</v>
      </c>
      <c r="R1030" s="0" t="n">
        <v>44483</v>
      </c>
      <c r="AD1030" s="0" t="s">
        <v>147</v>
      </c>
      <c r="AE1030" s="0" t="s">
        <v>148</v>
      </c>
      <c r="AF1030" s="0" t="s">
        <v>149</v>
      </c>
      <c r="AH1030" s="0" t="n">
        <v>14</v>
      </c>
      <c r="AI1030" s="0" t="n">
        <v>11</v>
      </c>
      <c r="AN1030" s="0" t="s">
        <v>145</v>
      </c>
      <c r="AO1030" s="0" t="s">
        <v>150</v>
      </c>
      <c r="AP1030" s="0" t="s">
        <v>151</v>
      </c>
      <c r="AQ1030" s="0" t="n">
        <v>9</v>
      </c>
      <c r="AR1030" s="0" t="n">
        <v>64</v>
      </c>
      <c r="AS1030" s="0" t="n">
        <v>32</v>
      </c>
      <c r="AU1030" s="0" t="n">
        <f aca="false">COUNTA($BA$691:$EH$691)</f>
        <v>2</v>
      </c>
      <c r="AV1030" s="0" t="n">
        <f aca="false">COUNTIF($BA$691:$EH$691,"D")</f>
        <v>0</v>
      </c>
      <c r="AW1030" s="0" t="n">
        <f aca="false">COUNTIF($BA$691:$EH$691,"R")</f>
        <v>0</v>
      </c>
      <c r="AX1030" s="0" t="n">
        <f aca="false">IF(BN1030="D",1,0)+IF(BO1030="D",1,0)+IF(BT1030="D",1,0)+IF(BU1030="D",1,0)+IF(BW1030="D",1,0)+IF(CC1030="D",1,0)+IF(CD1030="D",1,0)+IF(CE1030="D",1,0)+IF(CF1030="D",1,0)+IF(CL1030="D",1,0)+IF(CM1030="D",1,0)+IF(CQ1030="D",1,0)+IF(CR1030="D",1,0)+IF(CS1030="D",1,0)+IF(CW1030="D",1,0)+IF(CX1030="D",1,0)+IF(DD1030="D",1,0)+IF(DE1030="D",1,0)+IF(DJ1030="D",1,0)+IF(DK1030="D",1,0)+IF(DO1030="D",1,0)+IF(DP1030="D",1,0)+IF(DQ1030="D",1,0)+IF(DW1030="D",1,0)+IF(DZ1030="D",1,0)+IF(EH1030="D",1,0)</f>
        <v>0</v>
      </c>
      <c r="AY1030" s="0" t="n">
        <f aca="false">COUNTIF(DU1030:EH1030, "&lt;&gt;")</f>
        <v>0</v>
      </c>
      <c r="AZ1030" s="0" t="n">
        <f aca="false">IF(EH1030&lt;&gt;"",1,0)</f>
        <v>0</v>
      </c>
      <c r="BB1030" s="0" t="s">
        <v>152</v>
      </c>
    </row>
    <row r="1031" customFormat="false" ht="13.8" hidden="false" customHeight="false" outlineLevel="0" collapsed="false">
      <c r="A1031" s="0" t="s">
        <v>4990</v>
      </c>
      <c r="B1031" s="0" t="n">
        <v>78</v>
      </c>
      <c r="C1031" s="0" t="n">
        <v>390076</v>
      </c>
      <c r="D1031" s="0" t="s">
        <v>4991</v>
      </c>
      <c r="E1031" s="0" t="s">
        <v>4992</v>
      </c>
      <c r="F1031" s="0" t="str">
        <f aca="false">CONCATENATE(D1031," ",LEFT(H1031,4),"T=",AU1031,"D=",AV1031,"R=",AW1031,"M=",AX1031,"L=",AY1031,"B=",AZ1031)</f>
        <v>TROWERY T=5D=1R=0M=0L=3B=0</v>
      </c>
      <c r="G1031" s="0" t="s">
        <v>164</v>
      </c>
      <c r="I1031" s="0" t="s">
        <v>4993</v>
      </c>
      <c r="J1031" s="0" t="s">
        <v>1005</v>
      </c>
      <c r="K1031" s="0" t="s">
        <v>160</v>
      </c>
      <c r="M1031" s="0" t="s">
        <v>4980</v>
      </c>
      <c r="N1031" s="0" t="str">
        <f aca="false">RIGHT(M1031,LEN(M1031)-FIND(" ",M1031))</f>
        <v>IDDINGS AVE SE</v>
      </c>
      <c r="P1031" s="0" t="s">
        <v>145</v>
      </c>
      <c r="Q1031" s="0" t="s">
        <v>146</v>
      </c>
      <c r="R1031" s="0" t="n">
        <v>44483</v>
      </c>
      <c r="AD1031" s="0" t="s">
        <v>147</v>
      </c>
      <c r="AE1031" s="0" t="s">
        <v>148</v>
      </c>
      <c r="AF1031" s="0" t="s">
        <v>149</v>
      </c>
      <c r="AH1031" s="0" t="n">
        <v>14</v>
      </c>
      <c r="AI1031" s="0" t="n">
        <v>11</v>
      </c>
      <c r="AN1031" s="0" t="s">
        <v>145</v>
      </c>
      <c r="AO1031" s="0" t="s">
        <v>150</v>
      </c>
      <c r="AP1031" s="0" t="s">
        <v>151</v>
      </c>
      <c r="AQ1031" s="0" t="n">
        <v>9</v>
      </c>
      <c r="AR1031" s="0" t="n">
        <v>64</v>
      </c>
      <c r="AS1031" s="0" t="n">
        <v>32</v>
      </c>
      <c r="AU1031" s="0" t="n">
        <f aca="false">COUNTA($BA$941:$EH$941)</f>
        <v>5</v>
      </c>
      <c r="AV1031" s="0" t="n">
        <f aca="false">COUNTIF($BA$941:$EH$941,"D")</f>
        <v>1</v>
      </c>
      <c r="AW1031" s="0" t="n">
        <f aca="false">COUNTIF($BA$941:$EH$941,"R")</f>
        <v>0</v>
      </c>
      <c r="AX1031" s="0" t="n">
        <f aca="false">IF(BN1031="D",1,0)+IF(BO1031="D",1,0)+IF(BT1031="D",1,0)+IF(BU1031="D",1,0)+IF(BW1031="D",1,0)+IF(CC1031="D",1,0)+IF(CD1031="D",1,0)+IF(CE1031="D",1,0)+IF(CF1031="D",1,0)+IF(CL1031="D",1,0)+IF(CM1031="D",1,0)+IF(CQ1031="D",1,0)+IF(CR1031="D",1,0)+IF(CS1031="D",1,0)+IF(CW1031="D",1,0)+IF(CX1031="D",1,0)+IF(DD1031="D",1,0)+IF(DE1031="D",1,0)+IF(DJ1031="D",1,0)+IF(DK1031="D",1,0)+IF(DO1031="D",1,0)+IF(DP1031="D",1,0)+IF(DQ1031="D",1,0)+IF(DW1031="D",1,0)+IF(DZ1031="D",1,0)+IF(EH1031="D",1,0)</f>
        <v>0</v>
      </c>
      <c r="AY1031" s="0" t="n">
        <f aca="false">COUNTIF(DU1031:EH1031, "&lt;&gt;")</f>
        <v>3</v>
      </c>
      <c r="AZ1031" s="0" t="n">
        <f aca="false">IF(EH1031&lt;&gt;"",1,0)</f>
        <v>0</v>
      </c>
      <c r="BB1031" s="0" t="s">
        <v>152</v>
      </c>
      <c r="CP1031" s="0" t="s">
        <v>153</v>
      </c>
      <c r="CY1031" s="0" t="s">
        <v>153</v>
      </c>
      <c r="CZ1031" s="0" t="s">
        <v>175</v>
      </c>
      <c r="DC1031" s="0" t="s">
        <v>153</v>
      </c>
      <c r="DN1031" s="0" t="s">
        <v>153</v>
      </c>
      <c r="DU1031" s="0" t="s">
        <v>153</v>
      </c>
      <c r="DX1031" s="0" t="s">
        <v>153</v>
      </c>
      <c r="EF1031" s="0" t="s">
        <v>153</v>
      </c>
    </row>
    <row r="1032" customFormat="false" ht="13.8" hidden="true" customHeight="false" outlineLevel="0" collapsed="false">
      <c r="A1032" s="0" t="s">
        <v>4994</v>
      </c>
      <c r="B1032" s="0" t="n">
        <v>78</v>
      </c>
      <c r="C1032" s="0" t="n">
        <v>492684</v>
      </c>
      <c r="D1032" s="0" t="s">
        <v>770</v>
      </c>
      <c r="E1032" s="0" t="s">
        <v>1287</v>
      </c>
      <c r="F1032" s="0" t="str">
        <f aca="false">CONCATENATE(D1032," ",LEFT(H1032,4),"T=",AU1032,"D=",AV1032,"R=",AW1032,"M=",AX1032,"L=",AY1032,"B=",AZ1032)</f>
        <v>ALLEN IVT=2D=0R=0M=0L=0B=0</v>
      </c>
      <c r="G1032" s="0" t="s">
        <v>379</v>
      </c>
      <c r="H1032" s="0" t="s">
        <v>1165</v>
      </c>
      <c r="I1032" s="0" t="s">
        <v>4995</v>
      </c>
      <c r="J1032" s="0" t="s">
        <v>4996</v>
      </c>
      <c r="K1032" s="0" t="s">
        <v>160</v>
      </c>
      <c r="M1032" s="0" t="s">
        <v>4997</v>
      </c>
      <c r="N1032" s="0" t="str">
        <f aca="false">RIGHT(M1032,LEN(M1032)-FIND(" ",M1032))</f>
        <v>IDDINGS AVE SE</v>
      </c>
      <c r="P1032" s="0" t="s">
        <v>145</v>
      </c>
      <c r="Q1032" s="0" t="s">
        <v>146</v>
      </c>
      <c r="R1032" s="0" t="n">
        <v>44483</v>
      </c>
      <c r="AD1032" s="0" t="s">
        <v>147</v>
      </c>
      <c r="AE1032" s="0" t="s">
        <v>148</v>
      </c>
      <c r="AF1032" s="0" t="s">
        <v>149</v>
      </c>
      <c r="AH1032" s="0" t="n">
        <v>14</v>
      </c>
      <c r="AI1032" s="0" t="n">
        <v>11</v>
      </c>
      <c r="AN1032" s="0" t="s">
        <v>145</v>
      </c>
      <c r="AO1032" s="0" t="s">
        <v>150</v>
      </c>
      <c r="AP1032" s="0" t="s">
        <v>151</v>
      </c>
      <c r="AQ1032" s="0" t="n">
        <v>9</v>
      </c>
      <c r="AR1032" s="0" t="n">
        <v>64</v>
      </c>
      <c r="AS1032" s="0" t="n">
        <v>32</v>
      </c>
      <c r="AU1032" s="0" t="n">
        <f aca="false">COUNTA($BA$150:$EH$150)</f>
        <v>2</v>
      </c>
      <c r="AV1032" s="0" t="n">
        <f aca="false">COUNTIF($BA$150:$EH$150,"D")</f>
        <v>0</v>
      </c>
      <c r="AW1032" s="0" t="n">
        <f aca="false">COUNTIF($BA$150:$EH$150,"R")</f>
        <v>0</v>
      </c>
      <c r="AX1032" s="0" t="n">
        <f aca="false">IF(BN1032="D",1,0)+IF(BO1032="D",1,0)+IF(BT1032="D",1,0)+IF(BU1032="D",1,0)+IF(BW1032="D",1,0)+IF(CC1032="D",1,0)+IF(CD1032="D",1,0)+IF(CE1032="D",1,0)+IF(CF1032="D",1,0)+IF(CL1032="D",1,0)+IF(CM1032="D",1,0)+IF(CQ1032="D",1,0)+IF(CR1032="D",1,0)+IF(CS1032="D",1,0)+IF(CW1032="D",1,0)+IF(CX1032="D",1,0)+IF(DD1032="D",1,0)+IF(DE1032="D",1,0)+IF(DJ1032="D",1,0)+IF(DK1032="D",1,0)+IF(DO1032="D",1,0)+IF(DP1032="D",1,0)+IF(DQ1032="D",1,0)+IF(DW1032="D",1,0)+IF(DZ1032="D",1,0)+IF(EH1032="D",1,0)</f>
        <v>0</v>
      </c>
      <c r="AY1032" s="0" t="n">
        <f aca="false">COUNTIF(DU1032:EH1032, "&lt;&gt;")</f>
        <v>0</v>
      </c>
      <c r="AZ1032" s="0" t="n">
        <f aca="false">IF(EH1032&lt;&gt;"",1,0)</f>
        <v>0</v>
      </c>
      <c r="BB1032" s="0" t="s">
        <v>152</v>
      </c>
      <c r="CN1032" s="0" t="s">
        <v>153</v>
      </c>
      <c r="CO1032" s="0" t="s">
        <v>175</v>
      </c>
      <c r="CP1032" s="0" t="s">
        <v>153</v>
      </c>
    </row>
    <row r="1033" customFormat="false" ht="13.8" hidden="false" customHeight="false" outlineLevel="0" collapsed="false">
      <c r="A1033" s="0" t="s">
        <v>4998</v>
      </c>
      <c r="B1033" s="0" t="n">
        <v>78</v>
      </c>
      <c r="C1033" s="0" t="n">
        <v>135924</v>
      </c>
      <c r="D1033" s="0" t="s">
        <v>770</v>
      </c>
      <c r="E1033" s="0" t="s">
        <v>4999</v>
      </c>
      <c r="F1033" s="0" t="str">
        <f aca="false">CONCATENATE(D1033," ",LEFT(H1033,4),"T=",AU1033,"D=",AV1033,"R=",AW1033,"M=",AX1033,"L=",AY1033,"B=",AZ1033)</f>
        <v>ALLEN T=1D=0R=0M=3L=7B=1</v>
      </c>
      <c r="G1033" s="0" t="s">
        <v>164</v>
      </c>
      <c r="I1033" s="0" t="s">
        <v>5000</v>
      </c>
      <c r="J1033" s="0" t="s">
        <v>5001</v>
      </c>
      <c r="K1033" s="0" t="s">
        <v>160</v>
      </c>
      <c r="L1033" s="0" t="s">
        <v>175</v>
      </c>
      <c r="M1033" s="0" t="s">
        <v>4997</v>
      </c>
      <c r="N1033" s="0" t="str">
        <f aca="false">RIGHT(M1033,LEN(M1033)-FIND(" ",M1033))</f>
        <v>IDDINGS AVE SE</v>
      </c>
      <c r="P1033" s="0" t="s">
        <v>145</v>
      </c>
      <c r="Q1033" s="0" t="s">
        <v>146</v>
      </c>
      <c r="R1033" s="0" t="n">
        <v>44483</v>
      </c>
      <c r="AD1033" s="0" t="s">
        <v>147</v>
      </c>
      <c r="AE1033" s="0" t="s">
        <v>148</v>
      </c>
      <c r="AF1033" s="0" t="s">
        <v>149</v>
      </c>
      <c r="AH1033" s="0" t="n">
        <v>14</v>
      </c>
      <c r="AI1033" s="0" t="n">
        <v>11</v>
      </c>
      <c r="AN1033" s="0" t="s">
        <v>145</v>
      </c>
      <c r="AO1033" s="0" t="s">
        <v>150</v>
      </c>
      <c r="AP1033" s="0" t="s">
        <v>151</v>
      </c>
      <c r="AQ1033" s="0" t="n">
        <v>9</v>
      </c>
      <c r="AR1033" s="0" t="n">
        <v>64</v>
      </c>
      <c r="AS1033" s="0" t="n">
        <v>32</v>
      </c>
      <c r="AU1033" s="0" t="n">
        <f aca="false">COUNTA($BA$982:$EH$982)</f>
        <v>1</v>
      </c>
      <c r="AV1033" s="0" t="n">
        <f aca="false">COUNTIF($BA$982:$EH$982,"D")</f>
        <v>0</v>
      </c>
      <c r="AW1033" s="0" t="n">
        <f aca="false">COUNTIF($BA$982:$EH$982,"R")</f>
        <v>0</v>
      </c>
      <c r="AX1033" s="0" t="n">
        <f aca="false">IF(BN1033="D",1,0)+IF(BO1033="D",1,0)+IF(BT1033="D",1,0)+IF(BU1033="D",1,0)+IF(BW1033="D",1,0)+IF(CC1033="D",1,0)+IF(CD1033="D",1,0)+IF(CE1033="D",1,0)+IF(CF1033="D",1,0)+IF(CL1033="D",1,0)+IF(CM1033="D",1,0)+IF(CQ1033="D",1,0)+IF(CR1033="D",1,0)+IF(CS1033="D",1,0)+IF(CW1033="D",1,0)+IF(CX1033="D",1,0)+IF(DD1033="D",1,0)+IF(DE1033="D",1,0)+IF(DJ1033="D",1,0)+IF(DK1033="D",1,0)+IF(DO1033="D",1,0)+IF(DP1033="D",1,0)+IF(DQ1033="D",1,0)+IF(DW1033="D",1,0)+IF(DZ1033="D",1,0)+IF(EH1033="D",1,0)</f>
        <v>3</v>
      </c>
      <c r="AY1033" s="0" t="n">
        <f aca="false">COUNTIF(DU1033:EH1033, "&lt;&gt;")</f>
        <v>7</v>
      </c>
      <c r="AZ1033" s="0" t="n">
        <f aca="false">IF(EH1033&lt;&gt;"",1,0)</f>
        <v>1</v>
      </c>
      <c r="BB1033" s="0" t="s">
        <v>152</v>
      </c>
      <c r="BD1033" s="0" t="s">
        <v>153</v>
      </c>
      <c r="BE1033" s="0" t="s">
        <v>153</v>
      </c>
      <c r="BF1033" s="0" t="s">
        <v>153</v>
      </c>
      <c r="BH1033" s="0" t="s">
        <v>153</v>
      </c>
      <c r="BJ1033" s="0" t="s">
        <v>153</v>
      </c>
      <c r="BK1033" s="0" t="s">
        <v>153</v>
      </c>
      <c r="BL1033" s="0" t="s">
        <v>153</v>
      </c>
      <c r="BP1033" s="0" t="s">
        <v>153</v>
      </c>
      <c r="BS1033" s="0" t="s">
        <v>153</v>
      </c>
      <c r="BT1033" s="0" t="s">
        <v>153</v>
      </c>
      <c r="CA1033" s="0" t="s">
        <v>153</v>
      </c>
      <c r="CG1033" s="0" t="s">
        <v>153</v>
      </c>
      <c r="CH1033" s="0" t="s">
        <v>175</v>
      </c>
      <c r="CK1033" s="0" t="s">
        <v>153</v>
      </c>
      <c r="CN1033" s="0" t="s">
        <v>153</v>
      </c>
      <c r="CO1033" s="0" t="s">
        <v>175</v>
      </c>
      <c r="CP1033" s="0" t="s">
        <v>153</v>
      </c>
      <c r="CT1033" s="0" t="s">
        <v>153</v>
      </c>
      <c r="CV1033" s="0" t="s">
        <v>153</v>
      </c>
      <c r="CY1033" s="0" t="s">
        <v>153</v>
      </c>
      <c r="CZ1033" s="0" t="s">
        <v>175</v>
      </c>
      <c r="DC1033" s="0" t="s">
        <v>153</v>
      </c>
      <c r="DG1033" s="0" t="s">
        <v>175</v>
      </c>
      <c r="DI1033" s="0" t="s">
        <v>153</v>
      </c>
      <c r="DJ1033" s="0" t="s">
        <v>175</v>
      </c>
      <c r="DL1033" s="0" t="s">
        <v>153</v>
      </c>
      <c r="DM1033" s="0" t="s">
        <v>175</v>
      </c>
      <c r="DN1033" s="0" t="s">
        <v>153</v>
      </c>
      <c r="DU1033" s="0" t="s">
        <v>153</v>
      </c>
      <c r="DW1033" s="0" t="s">
        <v>175</v>
      </c>
      <c r="DX1033" s="0" t="s">
        <v>153</v>
      </c>
      <c r="EA1033" s="0" t="s">
        <v>153</v>
      </c>
      <c r="ED1033" s="0" t="s">
        <v>175</v>
      </c>
      <c r="EF1033" s="0" t="s">
        <v>153</v>
      </c>
      <c r="EH1033" s="0" t="s">
        <v>175</v>
      </c>
    </row>
    <row r="1034" customFormat="false" ht="13.8" hidden="false" customHeight="false" outlineLevel="0" collapsed="false">
      <c r="A1034" s="0" t="s">
        <v>5002</v>
      </c>
      <c r="B1034" s="0" t="n">
        <v>78</v>
      </c>
      <c r="C1034" s="0" t="n">
        <v>142293</v>
      </c>
      <c r="D1034" s="0" t="s">
        <v>5003</v>
      </c>
      <c r="E1034" s="0" t="s">
        <v>5004</v>
      </c>
      <c r="F1034" s="0" t="str">
        <f aca="false">CONCATENATE(D1034," ",LEFT(H1034,4),"T=",AU1034,"D=",AV1034,"R=",AW1034,"M=",AX1034,"L=",AY1034,"B=",AZ1034)</f>
        <v>OHARA T=1D=0R=0M=0L=3B=0</v>
      </c>
      <c r="G1034" s="0" t="s">
        <v>325</v>
      </c>
      <c r="I1034" s="0" t="s">
        <v>5005</v>
      </c>
      <c r="J1034" s="0" t="s">
        <v>5006</v>
      </c>
      <c r="K1034" s="0" t="s">
        <v>160</v>
      </c>
      <c r="M1034" s="0" t="s">
        <v>5007</v>
      </c>
      <c r="N1034" s="0" t="str">
        <f aca="false">RIGHT(M1034,LEN(M1034)-FIND(" ",M1034))</f>
        <v>IDDINGS AVE SE</v>
      </c>
      <c r="P1034" s="0" t="s">
        <v>145</v>
      </c>
      <c r="Q1034" s="0" t="s">
        <v>146</v>
      </c>
      <c r="R1034" s="0" t="n">
        <v>44483</v>
      </c>
      <c r="AD1034" s="0" t="s">
        <v>147</v>
      </c>
      <c r="AE1034" s="0" t="s">
        <v>148</v>
      </c>
      <c r="AF1034" s="0" t="s">
        <v>149</v>
      </c>
      <c r="AH1034" s="0" t="n">
        <v>14</v>
      </c>
      <c r="AI1034" s="0" t="n">
        <v>11</v>
      </c>
      <c r="AN1034" s="0" t="s">
        <v>145</v>
      </c>
      <c r="AO1034" s="0" t="s">
        <v>150</v>
      </c>
      <c r="AP1034" s="0" t="s">
        <v>151</v>
      </c>
      <c r="AQ1034" s="0" t="n">
        <v>9</v>
      </c>
      <c r="AR1034" s="0" t="n">
        <v>64</v>
      </c>
      <c r="AS1034" s="0" t="n">
        <v>32</v>
      </c>
      <c r="AU1034" s="0" t="n">
        <f aca="false">COUNTA($BA$980:$EH$980)</f>
        <v>1</v>
      </c>
      <c r="AV1034" s="0" t="n">
        <f aca="false">COUNTIF($BA$980:$EH$980,"D")</f>
        <v>0</v>
      </c>
      <c r="AW1034" s="0" t="n">
        <f aca="false">COUNTIF($BA$980:$EH$980,"R")</f>
        <v>0</v>
      </c>
      <c r="AX1034" s="0" t="n">
        <f aca="false">IF(BN1034="D",1,0)+IF(BO1034="D",1,0)+IF(BT1034="D",1,0)+IF(BU1034="D",1,0)+IF(BW1034="D",1,0)+IF(CC1034="D",1,0)+IF(CD1034="D",1,0)+IF(CE1034="D",1,0)+IF(CF1034="D",1,0)+IF(CL1034="D",1,0)+IF(CM1034="D",1,0)+IF(CQ1034="D",1,0)+IF(CR1034="D",1,0)+IF(CS1034="D",1,0)+IF(CW1034="D",1,0)+IF(CX1034="D",1,0)+IF(DD1034="D",1,0)+IF(DE1034="D",1,0)+IF(DJ1034="D",1,0)+IF(DK1034="D",1,0)+IF(DO1034="D",1,0)+IF(DP1034="D",1,0)+IF(DQ1034="D",1,0)+IF(DW1034="D",1,0)+IF(DZ1034="D",1,0)+IF(EH1034="D",1,0)</f>
        <v>0</v>
      </c>
      <c r="AY1034" s="0" t="n">
        <f aca="false">COUNTIF(DU1034:EH1034, "&lt;&gt;")</f>
        <v>3</v>
      </c>
      <c r="AZ1034" s="0" t="n">
        <f aca="false">IF(EH1034&lt;&gt;"",1,0)</f>
        <v>0</v>
      </c>
      <c r="BB1034" s="0" t="s">
        <v>152</v>
      </c>
      <c r="BD1034" s="0" t="s">
        <v>153</v>
      </c>
      <c r="BH1034" s="0" t="s">
        <v>153</v>
      </c>
      <c r="BK1034" s="0" t="s">
        <v>153</v>
      </c>
      <c r="BL1034" s="0" t="s">
        <v>153</v>
      </c>
      <c r="BP1034" s="0" t="s">
        <v>153</v>
      </c>
      <c r="BS1034" s="0" t="s">
        <v>153</v>
      </c>
      <c r="BY1034" s="0" t="s">
        <v>209</v>
      </c>
      <c r="CA1034" s="0" t="s">
        <v>153</v>
      </c>
      <c r="CG1034" s="0" t="s">
        <v>153</v>
      </c>
      <c r="CN1034" s="0" t="s">
        <v>153</v>
      </c>
      <c r="CP1034" s="0" t="s">
        <v>153</v>
      </c>
      <c r="CV1034" s="0" t="s">
        <v>153</v>
      </c>
      <c r="CZ1034" s="0" t="s">
        <v>209</v>
      </c>
      <c r="DC1034" s="0" t="s">
        <v>153</v>
      </c>
      <c r="DM1034" s="0" t="s">
        <v>209</v>
      </c>
      <c r="DN1034" s="0" t="s">
        <v>153</v>
      </c>
      <c r="DU1034" s="0" t="s">
        <v>153</v>
      </c>
      <c r="EA1034" s="0" t="s">
        <v>153</v>
      </c>
      <c r="EF1034" s="0" t="s">
        <v>153</v>
      </c>
    </row>
    <row r="1035" customFormat="false" ht="13.8" hidden="true" customHeight="false" outlineLevel="0" collapsed="false">
      <c r="A1035" s="0" t="s">
        <v>5008</v>
      </c>
      <c r="B1035" s="0" t="n">
        <v>78</v>
      </c>
      <c r="C1035" s="0" t="n">
        <v>474738</v>
      </c>
      <c r="D1035" s="0" t="s">
        <v>5009</v>
      </c>
      <c r="E1035" s="0" t="s">
        <v>5010</v>
      </c>
      <c r="F1035" s="0" t="str">
        <f aca="false">CONCATENATE(D1035," ",LEFT(H1035,4),"T=",AU1035,"D=",AV1035,"R=",AW1035,"M=",AX1035,"L=",AY1035,"B=",AZ1035)</f>
        <v>PECORELLI T=2D=0R=0M=0L=0B=0</v>
      </c>
      <c r="G1035" s="0" t="s">
        <v>5011</v>
      </c>
      <c r="I1035" s="0" t="s">
        <v>5012</v>
      </c>
      <c r="J1035" s="0" t="s">
        <v>5013</v>
      </c>
      <c r="K1035" s="0" t="s">
        <v>160</v>
      </c>
      <c r="M1035" s="0" t="s">
        <v>5014</v>
      </c>
      <c r="N1035" s="0" t="str">
        <f aca="false">RIGHT(M1035,LEN(M1035)-FIND(" ",M1035))</f>
        <v>IDDINGS AVE SE</v>
      </c>
      <c r="P1035" s="0" t="s">
        <v>145</v>
      </c>
      <c r="Q1035" s="0" t="s">
        <v>146</v>
      </c>
      <c r="R1035" s="0" t="n">
        <v>44483</v>
      </c>
      <c r="AD1035" s="0" t="s">
        <v>147</v>
      </c>
      <c r="AE1035" s="0" t="s">
        <v>148</v>
      </c>
      <c r="AF1035" s="0" t="s">
        <v>149</v>
      </c>
      <c r="AH1035" s="0" t="n">
        <v>14</v>
      </c>
      <c r="AI1035" s="0" t="n">
        <v>11</v>
      </c>
      <c r="AN1035" s="0" t="s">
        <v>145</v>
      </c>
      <c r="AO1035" s="0" t="s">
        <v>150</v>
      </c>
      <c r="AP1035" s="0" t="s">
        <v>151</v>
      </c>
      <c r="AQ1035" s="0" t="n">
        <v>9</v>
      </c>
      <c r="AR1035" s="0" t="n">
        <v>64</v>
      </c>
      <c r="AS1035" s="0" t="n">
        <v>32</v>
      </c>
      <c r="AU1035" s="0" t="n">
        <f aca="false">COUNTA($BA$309:$EH$309)</f>
        <v>2</v>
      </c>
      <c r="AV1035" s="0" t="n">
        <f aca="false">COUNTIF($BA$309:$EH$309,"D")</f>
        <v>0</v>
      </c>
      <c r="AW1035" s="0" t="n">
        <f aca="false">COUNTIF($BA$309:$EH$309,"R")</f>
        <v>0</v>
      </c>
      <c r="AX1035" s="0" t="n">
        <f aca="false">IF(BN1035="D",1,0)+IF(BO1035="D",1,0)+IF(BT1035="D",1,0)+IF(BU1035="D",1,0)+IF(BW1035="D",1,0)+IF(CC1035="D",1,0)+IF(CD1035="D",1,0)+IF(CE1035="D",1,0)+IF(CF1035="D",1,0)+IF(CL1035="D",1,0)+IF(CM1035="D",1,0)+IF(CQ1035="D",1,0)+IF(CR1035="D",1,0)+IF(CS1035="D",1,0)+IF(CW1035="D",1,0)+IF(CX1035="D",1,0)+IF(DD1035="D",1,0)+IF(DE1035="D",1,0)+IF(DJ1035="D",1,0)+IF(DK1035="D",1,0)+IF(DO1035="D",1,0)+IF(DP1035="D",1,0)+IF(DQ1035="D",1,0)+IF(DW1035="D",1,0)+IF(DZ1035="D",1,0)+IF(EH1035="D",1,0)</f>
        <v>0</v>
      </c>
      <c r="AY1035" s="0" t="n">
        <f aca="false">COUNTIF(DU1035:EH1035, "&lt;&gt;")</f>
        <v>0</v>
      </c>
      <c r="AZ1035" s="0" t="n">
        <f aca="false">IF(EH1035&lt;&gt;"",1,0)</f>
        <v>0</v>
      </c>
      <c r="BB1035" s="0" t="s">
        <v>152</v>
      </c>
    </row>
    <row r="1036" customFormat="false" ht="13.8" hidden="true" customHeight="false" outlineLevel="0" collapsed="false">
      <c r="A1036" s="0" t="s">
        <v>5015</v>
      </c>
      <c r="B1036" s="0" t="n">
        <v>78</v>
      </c>
      <c r="C1036" s="0" t="n">
        <v>164321</v>
      </c>
      <c r="D1036" s="0" t="s">
        <v>5009</v>
      </c>
      <c r="E1036" s="0" t="s">
        <v>4999</v>
      </c>
      <c r="F1036" s="0" t="str">
        <f aca="false">CONCATENATE(D1036," ",LEFT(H1036,4),"T=",AU1036,"D=",AV1036,"R=",AW1036,"M=",AX1036,"L=",AY1036,"B=",AZ1036)</f>
        <v>PECORELLI T=3D=0R=0M=0L=1B=0</v>
      </c>
      <c r="G1036" s="0" t="s">
        <v>325</v>
      </c>
      <c r="I1036" s="0" t="s">
        <v>5016</v>
      </c>
      <c r="J1036" s="0" t="s">
        <v>465</v>
      </c>
      <c r="K1036" s="0" t="s">
        <v>160</v>
      </c>
      <c r="M1036" s="0" t="s">
        <v>5014</v>
      </c>
      <c r="N1036" s="0" t="str">
        <f aca="false">RIGHT(M1036,LEN(M1036)-FIND(" ",M1036))</f>
        <v>IDDINGS AVE SE</v>
      </c>
      <c r="P1036" s="0" t="s">
        <v>145</v>
      </c>
      <c r="Q1036" s="0" t="s">
        <v>146</v>
      </c>
      <c r="R1036" s="0" t="n">
        <v>44483</v>
      </c>
      <c r="AD1036" s="0" t="s">
        <v>147</v>
      </c>
      <c r="AE1036" s="0" t="s">
        <v>148</v>
      </c>
      <c r="AF1036" s="0" t="s">
        <v>149</v>
      </c>
      <c r="AH1036" s="0" t="n">
        <v>14</v>
      </c>
      <c r="AI1036" s="0" t="n">
        <v>11</v>
      </c>
      <c r="AN1036" s="0" t="s">
        <v>145</v>
      </c>
      <c r="AO1036" s="0" t="s">
        <v>150</v>
      </c>
      <c r="AP1036" s="0" t="s">
        <v>151</v>
      </c>
      <c r="AQ1036" s="0" t="n">
        <v>9</v>
      </c>
      <c r="AR1036" s="0" t="n">
        <v>64</v>
      </c>
      <c r="AS1036" s="0" t="n">
        <v>32</v>
      </c>
      <c r="AU1036" s="0" t="n">
        <f aca="false">COUNTA($BA$985:$EH$985)</f>
        <v>3</v>
      </c>
      <c r="AV1036" s="0" t="n">
        <f aca="false">COUNTIF($BA$985:$EH$985,"D")</f>
        <v>0</v>
      </c>
      <c r="AW1036" s="0" t="n">
        <f aca="false">COUNTIF($BA$985:$EH$985,"R")</f>
        <v>0</v>
      </c>
      <c r="AX1036" s="0" t="n">
        <f aca="false">IF(BN1036="D",1,0)+IF(BO1036="D",1,0)+IF(BT1036="D",1,0)+IF(BU1036="D",1,0)+IF(BW1036="D",1,0)+IF(CC1036="D",1,0)+IF(CD1036="D",1,0)+IF(CE1036="D",1,0)+IF(CF1036="D",1,0)+IF(CL1036="D",1,0)+IF(CM1036="D",1,0)+IF(CQ1036="D",1,0)+IF(CR1036="D",1,0)+IF(CS1036="D",1,0)+IF(CW1036="D",1,0)+IF(CX1036="D",1,0)+IF(DD1036="D",1,0)+IF(DE1036="D",1,0)+IF(DJ1036="D",1,0)+IF(DK1036="D",1,0)+IF(DO1036="D",1,0)+IF(DP1036="D",1,0)+IF(DQ1036="D",1,0)+IF(DW1036="D",1,0)+IF(DZ1036="D",1,0)+IF(EH1036="D",1,0)</f>
        <v>0</v>
      </c>
      <c r="AY1036" s="0" t="n">
        <f aca="false">COUNTIF(DU1036:EH1036, "&lt;&gt;")</f>
        <v>1</v>
      </c>
      <c r="AZ1036" s="0" t="n">
        <f aca="false">IF(EH1036&lt;&gt;"",1,0)</f>
        <v>0</v>
      </c>
      <c r="BB1036" s="0" t="s">
        <v>152</v>
      </c>
      <c r="BC1036" s="0" t="s">
        <v>153</v>
      </c>
      <c r="BD1036" s="0" t="s">
        <v>153</v>
      </c>
      <c r="BF1036" s="0" t="s">
        <v>153</v>
      </c>
      <c r="BH1036" s="0" t="s">
        <v>153</v>
      </c>
      <c r="BI1036" s="0" t="s">
        <v>153</v>
      </c>
      <c r="BJ1036" s="0" t="s">
        <v>153</v>
      </c>
      <c r="BK1036" s="0" t="s">
        <v>153</v>
      </c>
      <c r="BL1036" s="0" t="s">
        <v>153</v>
      </c>
      <c r="BS1036" s="0" t="s">
        <v>153</v>
      </c>
      <c r="BY1036" s="0" t="s">
        <v>175</v>
      </c>
      <c r="CA1036" s="0" t="s">
        <v>153</v>
      </c>
      <c r="CN1036" s="0" t="s">
        <v>153</v>
      </c>
      <c r="CP1036" s="0" t="s">
        <v>153</v>
      </c>
      <c r="CV1036" s="0" t="s">
        <v>153</v>
      </c>
      <c r="CY1036" s="0" t="s">
        <v>153</v>
      </c>
      <c r="CZ1036" s="0" t="s">
        <v>175</v>
      </c>
      <c r="DC1036" s="0" t="s">
        <v>153</v>
      </c>
      <c r="DI1036" s="0" t="s">
        <v>153</v>
      </c>
      <c r="DM1036" s="0" t="s">
        <v>175</v>
      </c>
      <c r="DN1036" s="0" t="s">
        <v>153</v>
      </c>
      <c r="EF1036" s="0" t="s">
        <v>153</v>
      </c>
    </row>
    <row r="1037" customFormat="false" ht="13.8" hidden="true" customHeight="false" outlineLevel="0" collapsed="false">
      <c r="A1037" s="0" t="s">
        <v>5017</v>
      </c>
      <c r="B1037" s="0" t="n">
        <v>78</v>
      </c>
      <c r="C1037" s="0" t="n">
        <v>308882</v>
      </c>
      <c r="D1037" s="0" t="s">
        <v>5009</v>
      </c>
      <c r="E1037" s="0" t="s">
        <v>2859</v>
      </c>
      <c r="F1037" s="0" t="str">
        <f aca="false">CONCATENATE(D1037," ",LEFT(H1037,4),"T=",AU1037,"D=",AV1037,"R=",AW1037,"M=",AX1037,"L=",AY1037,"B=",AZ1037)</f>
        <v>PECORELLI T=46D=17R=0M=0L=1B=0</v>
      </c>
      <c r="G1037" s="0" t="s">
        <v>164</v>
      </c>
      <c r="I1037" s="0" t="s">
        <v>5018</v>
      </c>
      <c r="J1037" s="0" t="s">
        <v>5019</v>
      </c>
      <c r="K1037" s="0" t="s">
        <v>160</v>
      </c>
      <c r="M1037" s="0" t="s">
        <v>5014</v>
      </c>
      <c r="N1037" s="0" t="str">
        <f aca="false">RIGHT(M1037,LEN(M1037)-FIND(" ",M1037))</f>
        <v>IDDINGS AVE SE</v>
      </c>
      <c r="P1037" s="0" t="s">
        <v>145</v>
      </c>
      <c r="Q1037" s="0" t="s">
        <v>146</v>
      </c>
      <c r="R1037" s="0" t="n">
        <v>44483</v>
      </c>
      <c r="AD1037" s="0" t="s">
        <v>147</v>
      </c>
      <c r="AE1037" s="0" t="s">
        <v>148</v>
      </c>
      <c r="AF1037" s="0" t="s">
        <v>149</v>
      </c>
      <c r="AH1037" s="0" t="n">
        <v>14</v>
      </c>
      <c r="AI1037" s="0" t="n">
        <v>11</v>
      </c>
      <c r="AN1037" s="0" t="s">
        <v>145</v>
      </c>
      <c r="AO1037" s="0" t="s">
        <v>150</v>
      </c>
      <c r="AP1037" s="0" t="s">
        <v>151</v>
      </c>
      <c r="AQ1037" s="0" t="n">
        <v>9</v>
      </c>
      <c r="AR1037" s="0" t="n">
        <v>64</v>
      </c>
      <c r="AS1037" s="0" t="n">
        <v>32</v>
      </c>
      <c r="AU1037" s="0" t="n">
        <f aca="false">COUNTA($BA$990:$EH$990)</f>
        <v>46</v>
      </c>
      <c r="AV1037" s="0" t="n">
        <f aca="false">COUNTIF($BA$990:$EH$990,"D")</f>
        <v>17</v>
      </c>
      <c r="AW1037" s="0" t="n">
        <f aca="false">COUNTIF($BA$990:$EH$990,"R")</f>
        <v>0</v>
      </c>
      <c r="AX1037" s="0" t="n">
        <f aca="false">IF(BN1037="D",1,0)+IF(BO1037="D",1,0)+IF(BT1037="D",1,0)+IF(BU1037="D",1,0)+IF(BW1037="D",1,0)+IF(CC1037="D",1,0)+IF(CD1037="D",1,0)+IF(CE1037="D",1,0)+IF(CF1037="D",1,0)+IF(CL1037="D",1,0)+IF(CM1037="D",1,0)+IF(CQ1037="D",1,0)+IF(CR1037="D",1,0)+IF(CS1037="D",1,0)+IF(CW1037="D",1,0)+IF(CX1037="D",1,0)+IF(DD1037="D",1,0)+IF(DE1037="D",1,0)+IF(DJ1037="D",1,0)+IF(DK1037="D",1,0)+IF(DO1037="D",1,0)+IF(DP1037="D",1,0)+IF(DQ1037="D",1,0)+IF(DW1037="D",1,0)+IF(DZ1037="D",1,0)+IF(EH1037="D",1,0)</f>
        <v>0</v>
      </c>
      <c r="AY1037" s="0" t="n">
        <f aca="false">COUNTIF(DU1037:EH1037, "&lt;&gt;")</f>
        <v>1</v>
      </c>
      <c r="AZ1037" s="0" t="n">
        <f aca="false">IF(EH1037&lt;&gt;"",1,0)</f>
        <v>0</v>
      </c>
      <c r="BB1037" s="0" t="s">
        <v>152</v>
      </c>
      <c r="BH1037" s="0" t="s">
        <v>153</v>
      </c>
      <c r="BI1037" s="0" t="s">
        <v>153</v>
      </c>
      <c r="BJ1037" s="0" t="s">
        <v>153</v>
      </c>
      <c r="BK1037" s="0" t="s">
        <v>153</v>
      </c>
      <c r="BL1037" s="0" t="s">
        <v>153</v>
      </c>
      <c r="BS1037" s="0" t="s">
        <v>153</v>
      </c>
      <c r="BY1037" s="0" t="s">
        <v>175</v>
      </c>
      <c r="CA1037" s="0" t="s">
        <v>153</v>
      </c>
      <c r="CP1037" s="0" t="s">
        <v>153</v>
      </c>
      <c r="DI1037" s="0" t="s">
        <v>153</v>
      </c>
      <c r="DN1037" s="0" t="s">
        <v>153</v>
      </c>
      <c r="EF1037" s="0" t="s">
        <v>153</v>
      </c>
    </row>
    <row r="1038" customFormat="false" ht="13.8" hidden="true" customHeight="false" outlineLevel="0" collapsed="false">
      <c r="A1038" s="0" t="s">
        <v>5020</v>
      </c>
      <c r="B1038" s="0" t="n">
        <v>78</v>
      </c>
      <c r="C1038" s="0" t="n">
        <v>434008</v>
      </c>
      <c r="D1038" s="0" t="s">
        <v>1456</v>
      </c>
      <c r="E1038" s="0" t="s">
        <v>5021</v>
      </c>
      <c r="F1038" s="0" t="str">
        <f aca="false">CONCATENATE(D1038," ",LEFT(H1038,4),"T=",AU1038,"D=",AV1038,"R=",AW1038,"M=",AX1038,"L=",AY1038,"B=",AZ1038)</f>
        <v>BENNETT T=8D=1R=0M=0L=1B=0</v>
      </c>
      <c r="G1038" s="0" t="s">
        <v>215</v>
      </c>
      <c r="I1038" s="0" t="s">
        <v>5022</v>
      </c>
      <c r="J1038" s="0" t="s">
        <v>2317</v>
      </c>
      <c r="K1038" s="0" t="s">
        <v>160</v>
      </c>
      <c r="M1038" s="0" t="s">
        <v>5014</v>
      </c>
      <c r="N1038" s="0" t="str">
        <f aca="false">RIGHT(M1038,LEN(M1038)-FIND(" ",M1038))</f>
        <v>IDDINGS AVE SE</v>
      </c>
      <c r="P1038" s="0" t="s">
        <v>145</v>
      </c>
      <c r="Q1038" s="0" t="s">
        <v>146</v>
      </c>
      <c r="R1038" s="0" t="n">
        <v>44483</v>
      </c>
      <c r="AD1038" s="0" t="s">
        <v>147</v>
      </c>
      <c r="AE1038" s="0" t="s">
        <v>148</v>
      </c>
      <c r="AF1038" s="0" t="s">
        <v>149</v>
      </c>
      <c r="AH1038" s="0" t="n">
        <v>14</v>
      </c>
      <c r="AI1038" s="0" t="n">
        <v>11</v>
      </c>
      <c r="AN1038" s="0" t="s">
        <v>145</v>
      </c>
      <c r="AO1038" s="0" t="s">
        <v>150</v>
      </c>
      <c r="AP1038" s="0" t="s">
        <v>151</v>
      </c>
      <c r="AQ1038" s="0" t="n">
        <v>9</v>
      </c>
      <c r="AR1038" s="0" t="n">
        <v>64</v>
      </c>
      <c r="AS1038" s="0" t="n">
        <v>32</v>
      </c>
      <c r="AU1038" s="0" t="n">
        <f aca="false">COUNTA($BA$1027:$EH$1027)</f>
        <v>8</v>
      </c>
      <c r="AV1038" s="0" t="n">
        <f aca="false">COUNTIF($BA$1027:$EH$1027,"D")</f>
        <v>1</v>
      </c>
      <c r="AW1038" s="0" t="n">
        <f aca="false">COUNTIF($BA$1027:$EH$1027,"R")</f>
        <v>0</v>
      </c>
      <c r="AX1038" s="0" t="n">
        <f aca="false">IF(BN1038="D",1,0)+IF(BO1038="D",1,0)+IF(BT1038="D",1,0)+IF(BU1038="D",1,0)+IF(BW1038="D",1,0)+IF(CC1038="D",1,0)+IF(CD1038="D",1,0)+IF(CE1038="D",1,0)+IF(CF1038="D",1,0)+IF(CL1038="D",1,0)+IF(CM1038="D",1,0)+IF(CQ1038="D",1,0)+IF(CR1038="D",1,0)+IF(CS1038="D",1,0)+IF(CW1038="D",1,0)+IF(CX1038="D",1,0)+IF(DD1038="D",1,0)+IF(DE1038="D",1,0)+IF(DJ1038="D",1,0)+IF(DK1038="D",1,0)+IF(DO1038="D",1,0)+IF(DP1038="D",1,0)+IF(DQ1038="D",1,0)+IF(DW1038="D",1,0)+IF(DZ1038="D",1,0)+IF(EH1038="D",1,0)</f>
        <v>0</v>
      </c>
      <c r="AY1038" s="0" t="n">
        <f aca="false">COUNTIF(DU1038:EH1038, "&lt;&gt;")</f>
        <v>1</v>
      </c>
      <c r="AZ1038" s="0" t="n">
        <f aca="false">IF(EH1038&lt;&gt;"",1,0)</f>
        <v>0</v>
      </c>
      <c r="BB1038" s="0" t="s">
        <v>152</v>
      </c>
      <c r="EF1038" s="0" t="s">
        <v>153</v>
      </c>
    </row>
    <row r="1039" customFormat="false" ht="13.8" hidden="false" customHeight="false" outlineLevel="0" collapsed="false">
      <c r="A1039" s="0" t="s">
        <v>5023</v>
      </c>
      <c r="B1039" s="0" t="n">
        <v>78</v>
      </c>
      <c r="C1039" s="0" t="n">
        <v>344929</v>
      </c>
      <c r="D1039" s="0" t="s">
        <v>5024</v>
      </c>
      <c r="E1039" s="0" t="s">
        <v>1451</v>
      </c>
      <c r="F1039" s="0" t="str">
        <f aca="false">CONCATENATE(D1039," ",LEFT(H1039,4),"T=",AU1039,"D=",AV1039,"R=",AW1039,"M=",AX1039,"L=",AY1039,"B=",AZ1039)</f>
        <v>BEACHLER T=3D=0R=0M=2L=5B=1</v>
      </c>
      <c r="G1039" s="0" t="s">
        <v>190</v>
      </c>
      <c r="I1039" s="0" t="s">
        <v>5025</v>
      </c>
      <c r="J1039" s="0" t="s">
        <v>5026</v>
      </c>
      <c r="K1039" s="0" t="s">
        <v>160</v>
      </c>
      <c r="L1039" s="0" t="s">
        <v>175</v>
      </c>
      <c r="M1039" s="0" t="s">
        <v>5027</v>
      </c>
      <c r="N1039" s="0" t="str">
        <f aca="false">RIGHT(M1039,LEN(M1039)-FIND(" ",M1039))</f>
        <v>IDDINGS AVE SE</v>
      </c>
      <c r="P1039" s="0" t="s">
        <v>145</v>
      </c>
      <c r="Q1039" s="0" t="s">
        <v>146</v>
      </c>
      <c r="R1039" s="0" t="n">
        <v>44483</v>
      </c>
      <c r="AD1039" s="0" t="s">
        <v>147</v>
      </c>
      <c r="AE1039" s="0" t="s">
        <v>148</v>
      </c>
      <c r="AF1039" s="0" t="s">
        <v>149</v>
      </c>
      <c r="AH1039" s="0" t="n">
        <v>14</v>
      </c>
      <c r="AI1039" s="0" t="n">
        <v>11</v>
      </c>
      <c r="AN1039" s="0" t="s">
        <v>145</v>
      </c>
      <c r="AO1039" s="0" t="s">
        <v>150</v>
      </c>
      <c r="AP1039" s="0" t="s">
        <v>151</v>
      </c>
      <c r="AQ1039" s="0" t="n">
        <v>9</v>
      </c>
      <c r="AR1039" s="0" t="n">
        <v>64</v>
      </c>
      <c r="AS1039" s="0" t="n">
        <v>32</v>
      </c>
      <c r="AU1039" s="0" t="n">
        <f aca="false">COUNTA($BA$1081:$EH$1081)</f>
        <v>3</v>
      </c>
      <c r="AV1039" s="0" t="n">
        <f aca="false">COUNTIF($BA$1081:$EH$1081,"D")</f>
        <v>0</v>
      </c>
      <c r="AW1039" s="0" t="n">
        <f aca="false">COUNTIF($BA$1081:$EH$1081,"R")</f>
        <v>0</v>
      </c>
      <c r="AX1039" s="0" t="n">
        <f aca="false">IF(BN1039="D",1,0)+IF(BO1039="D",1,0)+IF(BT1039="D",1,0)+IF(BU1039="D",1,0)+IF(BW1039="D",1,0)+IF(CC1039="D",1,0)+IF(CD1039="D",1,0)+IF(CE1039="D",1,0)+IF(CF1039="D",1,0)+IF(CL1039="D",1,0)+IF(CM1039="D",1,0)+IF(CQ1039="D",1,0)+IF(CR1039="D",1,0)+IF(CS1039="D",1,0)+IF(CW1039="D",1,0)+IF(CX1039="D",1,0)+IF(DD1039="D",1,0)+IF(DE1039="D",1,0)+IF(DJ1039="D",1,0)+IF(DK1039="D",1,0)+IF(DO1039="D",1,0)+IF(DP1039="D",1,0)+IF(DQ1039="D",1,0)+IF(DW1039="D",1,0)+IF(DZ1039="D",1,0)+IF(EH1039="D",1,0)</f>
        <v>2</v>
      </c>
      <c r="AY1039" s="0" t="n">
        <f aca="false">COUNTIF(DU1039:EH1039, "&lt;&gt;")</f>
        <v>5</v>
      </c>
      <c r="AZ1039" s="0" t="n">
        <f aca="false">IF(EH1039&lt;&gt;"",1,0)</f>
        <v>1</v>
      </c>
      <c r="BB1039" s="0" t="s">
        <v>152</v>
      </c>
      <c r="DC1039" s="0" t="s">
        <v>153</v>
      </c>
      <c r="DN1039" s="0" t="s">
        <v>153</v>
      </c>
      <c r="DS1039" s="0" t="s">
        <v>209</v>
      </c>
      <c r="DW1039" s="0" t="s">
        <v>175</v>
      </c>
      <c r="EA1039" s="0" t="s">
        <v>153</v>
      </c>
      <c r="ED1039" s="0" t="s">
        <v>209</v>
      </c>
      <c r="EF1039" s="0" t="s">
        <v>153</v>
      </c>
      <c r="EH1039" s="0" t="s">
        <v>175</v>
      </c>
    </row>
    <row r="1040" customFormat="false" ht="13.8" hidden="true" customHeight="false" outlineLevel="0" collapsed="false">
      <c r="A1040" s="0" t="s">
        <v>5028</v>
      </c>
      <c r="B1040" s="0" t="n">
        <v>78</v>
      </c>
      <c r="C1040" s="0" t="n">
        <v>258077</v>
      </c>
      <c r="D1040" s="0" t="s">
        <v>5029</v>
      </c>
      <c r="E1040" s="0" t="s">
        <v>3620</v>
      </c>
      <c r="F1040" s="0" t="str">
        <f aca="false">CONCATENATE(D1040," ",LEFT(H1040,4),"T=",AU1040,"D=",AV1040,"R=",AW1040,"M=",AX1040,"L=",AY1040,"B=",AZ1040)</f>
        <v>ROPER T=1D=0R=0M=0L=0B=0</v>
      </c>
      <c r="G1040" s="0" t="s">
        <v>3018</v>
      </c>
      <c r="I1040" s="0" t="s">
        <v>5030</v>
      </c>
      <c r="J1040" s="0" t="s">
        <v>5031</v>
      </c>
      <c r="K1040" s="0" t="s">
        <v>160</v>
      </c>
      <c r="M1040" s="0" t="s">
        <v>5032</v>
      </c>
      <c r="N1040" s="0" t="str">
        <f aca="false">RIGHT(M1040,LEN(M1040)-FIND(" ",M1040))</f>
        <v>IDDINGS AVE SE</v>
      </c>
      <c r="P1040" s="0" t="s">
        <v>145</v>
      </c>
      <c r="Q1040" s="0" t="s">
        <v>146</v>
      </c>
      <c r="R1040" s="0" t="n">
        <v>44483</v>
      </c>
      <c r="AD1040" s="0" t="s">
        <v>147</v>
      </c>
      <c r="AE1040" s="0" t="s">
        <v>148</v>
      </c>
      <c r="AF1040" s="0" t="s">
        <v>149</v>
      </c>
      <c r="AH1040" s="0" t="n">
        <v>14</v>
      </c>
      <c r="AI1040" s="0" t="n">
        <v>11</v>
      </c>
      <c r="AN1040" s="0" t="s">
        <v>145</v>
      </c>
      <c r="AO1040" s="0" t="s">
        <v>150</v>
      </c>
      <c r="AP1040" s="0" t="s">
        <v>151</v>
      </c>
      <c r="AQ1040" s="0" t="n">
        <v>9</v>
      </c>
      <c r="AR1040" s="0" t="n">
        <v>64</v>
      </c>
      <c r="AS1040" s="0" t="n">
        <v>32</v>
      </c>
      <c r="AU1040" s="0" t="n">
        <f aca="false">COUNTA($BA$325:$EH$325)</f>
        <v>1</v>
      </c>
      <c r="AV1040" s="0" t="n">
        <f aca="false">COUNTIF($BA$325:$EH$325,"D")</f>
        <v>0</v>
      </c>
      <c r="AW1040" s="0" t="n">
        <f aca="false">COUNTIF($BA$325:$EH$325,"R")</f>
        <v>0</v>
      </c>
      <c r="AX1040" s="0" t="n">
        <f aca="false">IF(BN1040="D",1,0)+IF(BO1040="D",1,0)+IF(BT1040="D",1,0)+IF(BU1040="D",1,0)+IF(BW1040="D",1,0)+IF(CC1040="D",1,0)+IF(CD1040="D",1,0)+IF(CE1040="D",1,0)+IF(CF1040="D",1,0)+IF(CL1040="D",1,0)+IF(CM1040="D",1,0)+IF(CQ1040="D",1,0)+IF(CR1040="D",1,0)+IF(CS1040="D",1,0)+IF(CW1040="D",1,0)+IF(CX1040="D",1,0)+IF(DD1040="D",1,0)+IF(DE1040="D",1,0)+IF(DJ1040="D",1,0)+IF(DK1040="D",1,0)+IF(DO1040="D",1,0)+IF(DP1040="D",1,0)+IF(DQ1040="D",1,0)+IF(DW1040="D",1,0)+IF(DZ1040="D",1,0)+IF(EH1040="D",1,0)</f>
        <v>0</v>
      </c>
      <c r="AY1040" s="0" t="n">
        <f aca="false">COUNTIF(DU1040:EH1040, "&lt;&gt;")</f>
        <v>0</v>
      </c>
      <c r="AZ1040" s="0" t="n">
        <f aca="false">IF(EH1040&lt;&gt;"",1,0)</f>
        <v>0</v>
      </c>
      <c r="BB1040" s="0" t="s">
        <v>152</v>
      </c>
      <c r="BL1040" s="0" t="s">
        <v>153</v>
      </c>
      <c r="BS1040" s="0" t="s">
        <v>153</v>
      </c>
      <c r="BY1040" s="0" t="s">
        <v>175</v>
      </c>
      <c r="CA1040" s="0" t="s">
        <v>153</v>
      </c>
      <c r="CH1040" s="0" t="s">
        <v>175</v>
      </c>
      <c r="CP1040" s="0" t="s">
        <v>153</v>
      </c>
    </row>
    <row r="1041" customFormat="false" ht="13.8" hidden="false" customHeight="false" outlineLevel="0" collapsed="false">
      <c r="A1041" s="0" t="s">
        <v>5033</v>
      </c>
      <c r="B1041" s="0" t="n">
        <v>78</v>
      </c>
      <c r="C1041" s="0" t="n">
        <v>290193</v>
      </c>
      <c r="D1041" s="0" t="s">
        <v>5034</v>
      </c>
      <c r="E1041" s="0" t="s">
        <v>943</v>
      </c>
      <c r="F1041" s="0" t="str">
        <f aca="false">CONCATENATE(D1041," ",LEFT(H1041,4),"T=",AU1041,"D=",AV1041,"R=",AW1041,"M=",AX1041,"L=",AY1041,"B=",AZ1041)</f>
        <v>FANT T=1D=0R=0M=0L=2B=0</v>
      </c>
      <c r="I1041" s="0" t="s">
        <v>5035</v>
      </c>
      <c r="J1041" s="0" t="s">
        <v>1622</v>
      </c>
      <c r="K1041" s="0" t="s">
        <v>160</v>
      </c>
      <c r="M1041" s="0" t="s">
        <v>5036</v>
      </c>
      <c r="N1041" s="0" t="str">
        <f aca="false">RIGHT(M1041,LEN(M1041)-FIND(" ",M1041))</f>
        <v>IDDINGS AVE SE</v>
      </c>
      <c r="P1041" s="0" t="s">
        <v>145</v>
      </c>
      <c r="Q1041" s="0" t="s">
        <v>146</v>
      </c>
      <c r="R1041" s="0" t="n">
        <v>44483</v>
      </c>
      <c r="AD1041" s="0" t="s">
        <v>147</v>
      </c>
      <c r="AE1041" s="0" t="s">
        <v>148</v>
      </c>
      <c r="AF1041" s="0" t="s">
        <v>149</v>
      </c>
      <c r="AH1041" s="0" t="n">
        <v>14</v>
      </c>
      <c r="AI1041" s="0" t="n">
        <v>11</v>
      </c>
      <c r="AN1041" s="0" t="s">
        <v>145</v>
      </c>
      <c r="AO1041" s="0" t="s">
        <v>150</v>
      </c>
      <c r="AP1041" s="0" t="s">
        <v>151</v>
      </c>
      <c r="AQ1041" s="0" t="n">
        <v>9</v>
      </c>
      <c r="AR1041" s="0" t="n">
        <v>64</v>
      </c>
      <c r="AS1041" s="0" t="n">
        <v>32</v>
      </c>
      <c r="AU1041" s="0" t="n">
        <f aca="false">COUNTA($BA$514:$EH$514)</f>
        <v>1</v>
      </c>
      <c r="AV1041" s="0" t="n">
        <f aca="false">COUNTIF($BA$514:$EH$514,"D")</f>
        <v>0</v>
      </c>
      <c r="AW1041" s="0" t="n">
        <f aca="false">COUNTIF($BA$514:$EH$514,"R")</f>
        <v>0</v>
      </c>
      <c r="AX1041" s="0" t="n">
        <f aca="false">IF(BN1041="D",1,0)+IF(BO1041="D",1,0)+IF(BT1041="D",1,0)+IF(BU1041="D",1,0)+IF(BW1041="D",1,0)+IF(CC1041="D",1,0)+IF(CD1041="D",1,0)+IF(CE1041="D",1,0)+IF(CF1041="D",1,0)+IF(CL1041="D",1,0)+IF(CM1041="D",1,0)+IF(CQ1041="D",1,0)+IF(CR1041="D",1,0)+IF(CS1041="D",1,0)+IF(CW1041="D",1,0)+IF(CX1041="D",1,0)+IF(DD1041="D",1,0)+IF(DE1041="D",1,0)+IF(DJ1041="D",1,0)+IF(DK1041="D",1,0)+IF(DO1041="D",1,0)+IF(DP1041="D",1,0)+IF(DQ1041="D",1,0)+IF(DW1041="D",1,0)+IF(DZ1041="D",1,0)+IF(EH1041="D",1,0)</f>
        <v>0</v>
      </c>
      <c r="AY1041" s="0" t="n">
        <f aca="false">COUNTIF(DU1041:EH1041, "&lt;&gt;")</f>
        <v>2</v>
      </c>
      <c r="AZ1041" s="0" t="n">
        <f aca="false">IF(EH1041&lt;&gt;"",1,0)</f>
        <v>0</v>
      </c>
      <c r="BB1041" s="0" t="s">
        <v>152</v>
      </c>
      <c r="BL1041" s="0" t="s">
        <v>153</v>
      </c>
      <c r="CA1041" s="0" t="s">
        <v>153</v>
      </c>
      <c r="CP1041" s="0" t="s">
        <v>153</v>
      </c>
      <c r="DC1041" s="0" t="s">
        <v>153</v>
      </c>
      <c r="EA1041" s="0" t="s">
        <v>153</v>
      </c>
      <c r="EF1041" s="0" t="s">
        <v>153</v>
      </c>
    </row>
    <row r="1042" customFormat="false" ht="13.8" hidden="false" customHeight="false" outlineLevel="0" collapsed="false">
      <c r="A1042" s="0" t="s">
        <v>5037</v>
      </c>
      <c r="B1042" s="0" t="n">
        <v>78</v>
      </c>
      <c r="C1042" s="0" t="n">
        <v>271930</v>
      </c>
      <c r="D1042" s="0" t="s">
        <v>5038</v>
      </c>
      <c r="E1042" s="0" t="s">
        <v>140</v>
      </c>
      <c r="F1042" s="0" t="str">
        <f aca="false">CONCATENATE(D1042," ",LEFT(H1042,4),"T=",AU1042,"D=",AV1042,"R=",AW1042,"M=",AX1042,"L=",AY1042,"B=",AZ1042)</f>
        <v>KERNS T=4D=1R=0M=4L=7B=1</v>
      </c>
      <c r="G1042" s="0" t="s">
        <v>190</v>
      </c>
      <c r="I1042" s="0" t="s">
        <v>5039</v>
      </c>
      <c r="J1042" s="0" t="s">
        <v>5040</v>
      </c>
      <c r="K1042" s="0" t="s">
        <v>160</v>
      </c>
      <c r="L1042" s="0" t="s">
        <v>175</v>
      </c>
      <c r="M1042" s="0" t="s">
        <v>5041</v>
      </c>
      <c r="N1042" s="0" t="str">
        <f aca="false">RIGHT(M1042,LEN(M1042)-FIND(" ",M1042))</f>
        <v>IDDINGS AVE SE</v>
      </c>
      <c r="P1042" s="0" t="s">
        <v>145</v>
      </c>
      <c r="Q1042" s="0" t="s">
        <v>146</v>
      </c>
      <c r="R1042" s="0" t="n">
        <v>44483</v>
      </c>
      <c r="AD1042" s="0" t="s">
        <v>147</v>
      </c>
      <c r="AE1042" s="0" t="s">
        <v>148</v>
      </c>
      <c r="AF1042" s="0" t="s">
        <v>149</v>
      </c>
      <c r="AH1042" s="0" t="n">
        <v>14</v>
      </c>
      <c r="AI1042" s="0" t="n">
        <v>11</v>
      </c>
      <c r="AN1042" s="0" t="s">
        <v>145</v>
      </c>
      <c r="AO1042" s="0" t="s">
        <v>150</v>
      </c>
      <c r="AP1042" s="0" t="s">
        <v>151</v>
      </c>
      <c r="AQ1042" s="0" t="n">
        <v>9</v>
      </c>
      <c r="AR1042" s="0" t="n">
        <v>64</v>
      </c>
      <c r="AS1042" s="0" t="n">
        <v>32</v>
      </c>
      <c r="AU1042" s="0" t="n">
        <f aca="false">COUNTA($BA$515:$EH$515)</f>
        <v>4</v>
      </c>
      <c r="AV1042" s="0" t="n">
        <f aca="false">COUNTIF($BA$515:$EH$515,"D")</f>
        <v>1</v>
      </c>
      <c r="AW1042" s="0" t="n">
        <f aca="false">COUNTIF($BA$515:$EH$515,"R")</f>
        <v>0</v>
      </c>
      <c r="AX1042" s="0" t="n">
        <f aca="false">IF(BN1042="D",1,0)+IF(BO1042="D",1,0)+IF(BT1042="D",1,0)+IF(BU1042="D",1,0)+IF(BW1042="D",1,0)+IF(CC1042="D",1,0)+IF(CD1042="D",1,0)+IF(CE1042="D",1,0)+IF(CF1042="D",1,0)+IF(CL1042="D",1,0)+IF(CM1042="D",1,0)+IF(CQ1042="D",1,0)+IF(CR1042="D",1,0)+IF(CS1042="D",1,0)+IF(CW1042="D",1,0)+IF(CX1042="D",1,0)+IF(DD1042="D",1,0)+IF(DE1042="D",1,0)+IF(DJ1042="D",1,0)+IF(DK1042="D",1,0)+IF(DO1042="D",1,0)+IF(DP1042="D",1,0)+IF(DQ1042="D",1,0)+IF(DW1042="D",1,0)+IF(DZ1042="D",1,0)+IF(EH1042="D",1,0)</f>
        <v>4</v>
      </c>
      <c r="AY1042" s="0" t="n">
        <f aca="false">COUNTIF(DU1042:EH1042, "&lt;&gt;")</f>
        <v>7</v>
      </c>
      <c r="AZ1042" s="0" t="n">
        <f aca="false">IF(EH1042&lt;&gt;"",1,0)</f>
        <v>1</v>
      </c>
      <c r="BB1042" s="0" t="s">
        <v>152</v>
      </c>
      <c r="BC1042" s="0" t="s">
        <v>153</v>
      </c>
      <c r="BD1042" s="0" t="s">
        <v>153</v>
      </c>
      <c r="BE1042" s="0" t="s">
        <v>153</v>
      </c>
      <c r="BG1042" s="0" t="s">
        <v>153</v>
      </c>
      <c r="BH1042" s="0" t="s">
        <v>153</v>
      </c>
      <c r="BI1042" s="0" t="s">
        <v>153</v>
      </c>
      <c r="BJ1042" s="0" t="s">
        <v>153</v>
      </c>
      <c r="BL1042" s="0" t="s">
        <v>153</v>
      </c>
      <c r="BP1042" s="0" t="s">
        <v>153</v>
      </c>
      <c r="BS1042" s="0" t="s">
        <v>153</v>
      </c>
      <c r="BV1042" s="0" t="s">
        <v>153</v>
      </c>
      <c r="BY1042" s="0" t="s">
        <v>175</v>
      </c>
      <c r="CA1042" s="0" t="s">
        <v>153</v>
      </c>
      <c r="CG1042" s="0" t="s">
        <v>153</v>
      </c>
      <c r="CL1042" s="0" t="s">
        <v>175</v>
      </c>
      <c r="CN1042" s="0" t="s">
        <v>153</v>
      </c>
      <c r="CP1042" s="0" t="s">
        <v>153</v>
      </c>
      <c r="CQ1042" s="0" t="s">
        <v>175</v>
      </c>
      <c r="CU1042" s="0" t="s">
        <v>175</v>
      </c>
      <c r="CV1042" s="0" t="s">
        <v>153</v>
      </c>
      <c r="CY1042" s="0" t="s">
        <v>153</v>
      </c>
      <c r="CZ1042" s="0" t="s">
        <v>175</v>
      </c>
      <c r="DC1042" s="0" t="s">
        <v>153</v>
      </c>
      <c r="DI1042" s="0" t="s">
        <v>153</v>
      </c>
      <c r="DN1042" s="0" t="s">
        <v>153</v>
      </c>
      <c r="DU1042" s="0" t="s">
        <v>153</v>
      </c>
      <c r="DW1042" s="0" t="s">
        <v>175</v>
      </c>
      <c r="DX1042" s="0" t="s">
        <v>153</v>
      </c>
      <c r="EA1042" s="0" t="s">
        <v>153</v>
      </c>
      <c r="ED1042" s="0" t="s">
        <v>175</v>
      </c>
      <c r="EF1042" s="0" t="s">
        <v>153</v>
      </c>
      <c r="EH1042" s="0" t="s">
        <v>175</v>
      </c>
    </row>
    <row r="1043" customFormat="false" ht="13.8" hidden="false" customHeight="false" outlineLevel="0" collapsed="false">
      <c r="A1043" s="0" t="s">
        <v>5042</v>
      </c>
      <c r="B1043" s="0" t="n">
        <v>78</v>
      </c>
      <c r="C1043" s="0" t="n">
        <v>211186</v>
      </c>
      <c r="D1043" s="0" t="s">
        <v>5038</v>
      </c>
      <c r="E1043" s="0" t="s">
        <v>5043</v>
      </c>
      <c r="F1043" s="0" t="str">
        <f aca="false">CONCATENATE(D1043," ",LEFT(H1043,4),"T=",AU1043,"D=",AV1043,"R=",AW1043,"M=",AX1043,"L=",AY1043,"B=",AZ1043)</f>
        <v>KERNS T=22D=4R=0M=0L=6B=1</v>
      </c>
      <c r="G1043" s="0" t="s">
        <v>195</v>
      </c>
      <c r="I1043" s="0" t="s">
        <v>5044</v>
      </c>
      <c r="J1043" s="0" t="s">
        <v>5040</v>
      </c>
      <c r="K1043" s="0" t="s">
        <v>160</v>
      </c>
      <c r="L1043" s="0" t="s">
        <v>209</v>
      </c>
      <c r="M1043" s="0" t="s">
        <v>5041</v>
      </c>
      <c r="N1043" s="0" t="str">
        <f aca="false">RIGHT(M1043,LEN(M1043)-FIND(" ",M1043))</f>
        <v>IDDINGS AVE SE</v>
      </c>
      <c r="P1043" s="0" t="s">
        <v>145</v>
      </c>
      <c r="Q1043" s="0" t="s">
        <v>146</v>
      </c>
      <c r="R1043" s="0" t="n">
        <v>44483</v>
      </c>
      <c r="AD1043" s="0" t="s">
        <v>147</v>
      </c>
      <c r="AE1043" s="0" t="s">
        <v>148</v>
      </c>
      <c r="AF1043" s="0" t="s">
        <v>149</v>
      </c>
      <c r="AH1043" s="0" t="n">
        <v>14</v>
      </c>
      <c r="AI1043" s="0" t="n">
        <v>11</v>
      </c>
      <c r="AN1043" s="0" t="s">
        <v>145</v>
      </c>
      <c r="AO1043" s="0" t="s">
        <v>150</v>
      </c>
      <c r="AP1043" s="0" t="s">
        <v>151</v>
      </c>
      <c r="AQ1043" s="0" t="n">
        <v>9</v>
      </c>
      <c r="AR1043" s="0" t="n">
        <v>64</v>
      </c>
      <c r="AS1043" s="0" t="n">
        <v>32</v>
      </c>
      <c r="AU1043" s="0" t="n">
        <f aca="false">COUNTA($BA$986:$EH$986)</f>
        <v>22</v>
      </c>
      <c r="AV1043" s="0" t="n">
        <f aca="false">COUNTIF($BA$986:$EH$986,"D")</f>
        <v>4</v>
      </c>
      <c r="AW1043" s="0" t="n">
        <f aca="false">COUNTIF($BA$986:$EH$986,"R")</f>
        <v>0</v>
      </c>
      <c r="AX1043" s="0" t="n">
        <f aca="false">IF(BN1043="D",1,0)+IF(BO1043="D",1,0)+IF(BT1043="D",1,0)+IF(BU1043="D",1,0)+IF(BW1043="D",1,0)+IF(CC1043="D",1,0)+IF(CD1043="D",1,0)+IF(CE1043="D",1,0)+IF(CF1043="D",1,0)+IF(CL1043="D",1,0)+IF(CM1043="D",1,0)+IF(CQ1043="D",1,0)+IF(CR1043="D",1,0)+IF(CS1043="D",1,0)+IF(CW1043="D",1,0)+IF(CX1043="D",1,0)+IF(DD1043="D",1,0)+IF(DE1043="D",1,0)+IF(DJ1043="D",1,0)+IF(DK1043="D",1,0)+IF(DO1043="D",1,0)+IF(DP1043="D",1,0)+IF(DQ1043="D",1,0)+IF(DW1043="D",1,0)+IF(DZ1043="D",1,0)+IF(EH1043="D",1,0)</f>
        <v>0</v>
      </c>
      <c r="AY1043" s="0" t="n">
        <f aca="false">COUNTIF(DU1043:EH1043, "&lt;&gt;")</f>
        <v>6</v>
      </c>
      <c r="AZ1043" s="0" t="n">
        <f aca="false">IF(EH1043&lt;&gt;"",1,0)</f>
        <v>1</v>
      </c>
      <c r="BB1043" s="0" t="s">
        <v>152</v>
      </c>
      <c r="BC1043" s="0" t="s">
        <v>153</v>
      </c>
      <c r="BD1043" s="0" t="s">
        <v>153</v>
      </c>
      <c r="BE1043" s="0" t="s">
        <v>153</v>
      </c>
      <c r="BH1043" s="0" t="s">
        <v>153</v>
      </c>
      <c r="BJ1043" s="0" t="s">
        <v>153</v>
      </c>
      <c r="BL1043" s="0" t="s">
        <v>153</v>
      </c>
      <c r="BP1043" s="0" t="s">
        <v>153</v>
      </c>
      <c r="BS1043" s="0" t="s">
        <v>153</v>
      </c>
      <c r="BY1043" s="0" t="s">
        <v>209</v>
      </c>
      <c r="CA1043" s="0" t="s">
        <v>153</v>
      </c>
      <c r="CN1043" s="0" t="s">
        <v>153</v>
      </c>
      <c r="CP1043" s="0" t="s">
        <v>153</v>
      </c>
      <c r="CU1043" s="0" t="s">
        <v>209</v>
      </c>
      <c r="CV1043" s="0" t="s">
        <v>153</v>
      </c>
      <c r="CY1043" s="0" t="s">
        <v>153</v>
      </c>
      <c r="CZ1043" s="0" t="s">
        <v>209</v>
      </c>
      <c r="DC1043" s="0" t="s">
        <v>153</v>
      </c>
      <c r="DI1043" s="0" t="s">
        <v>153</v>
      </c>
      <c r="DN1043" s="0" t="s">
        <v>153</v>
      </c>
      <c r="DU1043" s="0" t="s">
        <v>153</v>
      </c>
      <c r="DX1043" s="0" t="s">
        <v>153</v>
      </c>
      <c r="EA1043" s="0" t="s">
        <v>153</v>
      </c>
      <c r="ED1043" s="0" t="s">
        <v>209</v>
      </c>
      <c r="EF1043" s="0" t="s">
        <v>153</v>
      </c>
      <c r="EH1043" s="0" t="s">
        <v>153</v>
      </c>
    </row>
    <row r="1044" customFormat="false" ht="13.8" hidden="false" customHeight="false" outlineLevel="0" collapsed="false">
      <c r="A1044" s="0" t="s">
        <v>5045</v>
      </c>
      <c r="B1044" s="0" t="n">
        <v>78</v>
      </c>
      <c r="C1044" s="0" t="n">
        <v>477169</v>
      </c>
      <c r="D1044" s="0" t="s">
        <v>5046</v>
      </c>
      <c r="E1044" s="0" t="s">
        <v>469</v>
      </c>
      <c r="F1044" s="0" t="str">
        <f aca="false">CONCATENATE(D1044," ",LEFT(H1044,4),"T=",AU1044,"D=",AV1044,"R=",AW1044,"M=",AX1044,"L=",AY1044,"B=",AZ1044)</f>
        <v>RICHARDSON T=3D=1R=0M=0L=2B=0</v>
      </c>
      <c r="G1044" s="0" t="s">
        <v>2179</v>
      </c>
      <c r="I1044" s="0" t="s">
        <v>5047</v>
      </c>
      <c r="J1044" s="0" t="s">
        <v>231</v>
      </c>
      <c r="K1044" s="0" t="s">
        <v>160</v>
      </c>
      <c r="M1044" s="0" t="s">
        <v>5048</v>
      </c>
      <c r="N1044" s="0" t="str">
        <f aca="false">RIGHT(M1044,LEN(M1044)-FIND(" ",M1044))</f>
        <v>IDDINGS AVE SE</v>
      </c>
      <c r="P1044" s="0" t="s">
        <v>145</v>
      </c>
      <c r="Q1044" s="0" t="s">
        <v>146</v>
      </c>
      <c r="R1044" s="0" t="n">
        <v>44483</v>
      </c>
      <c r="AD1044" s="0" t="s">
        <v>147</v>
      </c>
      <c r="AE1044" s="0" t="s">
        <v>148</v>
      </c>
      <c r="AF1044" s="0" t="s">
        <v>149</v>
      </c>
      <c r="AH1044" s="0" t="n">
        <v>14</v>
      </c>
      <c r="AI1044" s="0" t="n">
        <v>11</v>
      </c>
      <c r="AN1044" s="0" t="s">
        <v>145</v>
      </c>
      <c r="AO1044" s="0" t="s">
        <v>150</v>
      </c>
      <c r="AP1044" s="0" t="s">
        <v>151</v>
      </c>
      <c r="AQ1044" s="0" t="n">
        <v>9</v>
      </c>
      <c r="AR1044" s="0" t="n">
        <v>64</v>
      </c>
      <c r="AS1044" s="0" t="n">
        <v>32</v>
      </c>
      <c r="AU1044" s="0" t="n">
        <f aca="false">COUNTA($BA$233:$EH$233)</f>
        <v>3</v>
      </c>
      <c r="AV1044" s="0" t="n">
        <f aca="false">COUNTIF($BA$233:$EH$233,"D")</f>
        <v>1</v>
      </c>
      <c r="AW1044" s="0" t="n">
        <f aca="false">COUNTIF($BA$233:$EH$233,"R")</f>
        <v>0</v>
      </c>
      <c r="AX1044" s="0" t="n">
        <f aca="false">IF(BN1044="D",1,0)+IF(BO1044="D",1,0)+IF(BT1044="D",1,0)+IF(BU1044="D",1,0)+IF(BW1044="D",1,0)+IF(CC1044="D",1,0)+IF(CD1044="D",1,0)+IF(CE1044="D",1,0)+IF(CF1044="D",1,0)+IF(CL1044="D",1,0)+IF(CM1044="D",1,0)+IF(CQ1044="D",1,0)+IF(CR1044="D",1,0)+IF(CS1044="D",1,0)+IF(CW1044="D",1,0)+IF(CX1044="D",1,0)+IF(DD1044="D",1,0)+IF(DE1044="D",1,0)+IF(DJ1044="D",1,0)+IF(DK1044="D",1,0)+IF(DO1044="D",1,0)+IF(DP1044="D",1,0)+IF(DQ1044="D",1,0)+IF(DW1044="D",1,0)+IF(DZ1044="D",1,0)+IF(EH1044="D",1,0)</f>
        <v>0</v>
      </c>
      <c r="AY1044" s="0" t="n">
        <f aca="false">COUNTIF(DU1044:EH1044, "&lt;&gt;")</f>
        <v>2</v>
      </c>
      <c r="AZ1044" s="0" t="n">
        <f aca="false">IF(EH1044&lt;&gt;"",1,0)</f>
        <v>0</v>
      </c>
      <c r="BB1044" s="0" t="s">
        <v>152</v>
      </c>
      <c r="BD1044" s="0" t="s">
        <v>153</v>
      </c>
      <c r="BP1044" s="0" t="s">
        <v>153</v>
      </c>
      <c r="CA1044" s="0" t="s">
        <v>153</v>
      </c>
      <c r="CP1044" s="0" t="s">
        <v>153</v>
      </c>
      <c r="CV1044" s="0" t="s">
        <v>153</v>
      </c>
      <c r="CY1044" s="0" t="s">
        <v>153</v>
      </c>
      <c r="CZ1044" s="0" t="s">
        <v>209</v>
      </c>
      <c r="DI1044" s="0" t="s">
        <v>153</v>
      </c>
      <c r="DL1044" s="0" t="s">
        <v>153</v>
      </c>
      <c r="EA1044" s="0" t="s">
        <v>153</v>
      </c>
      <c r="EF1044" s="0" t="s">
        <v>153</v>
      </c>
    </row>
    <row r="1045" customFormat="false" ht="13.8" hidden="true" customHeight="false" outlineLevel="0" collapsed="false">
      <c r="A1045" s="0" t="s">
        <v>5049</v>
      </c>
      <c r="B1045" s="0" t="n">
        <v>78</v>
      </c>
      <c r="C1045" s="0" t="n">
        <v>428539</v>
      </c>
      <c r="D1045" s="0" t="s">
        <v>1243</v>
      </c>
      <c r="E1045" s="0" t="s">
        <v>2573</v>
      </c>
      <c r="F1045" s="0" t="str">
        <f aca="false">CONCATENATE(D1045," ",LEFT(H1045,4),"T=",AU1045,"D=",AV1045,"R=",AW1045,"M=",AX1045,"L=",AY1045,"B=",AZ1045)</f>
        <v>ALEXANDER T=2D=0R=0M=0L=0B=0</v>
      </c>
      <c r="G1045" s="0" t="s">
        <v>325</v>
      </c>
      <c r="I1045" s="0" t="s">
        <v>5050</v>
      </c>
      <c r="J1045" s="0" t="s">
        <v>5051</v>
      </c>
      <c r="K1045" s="0" t="s">
        <v>143</v>
      </c>
      <c r="M1045" s="0" t="s">
        <v>5048</v>
      </c>
      <c r="N1045" s="0" t="str">
        <f aca="false">RIGHT(M1045,LEN(M1045)-FIND(" ",M1045))</f>
        <v>IDDINGS AVE SE</v>
      </c>
      <c r="P1045" s="0" t="s">
        <v>145</v>
      </c>
      <c r="Q1045" s="0" t="s">
        <v>146</v>
      </c>
      <c r="R1045" s="0" t="n">
        <v>44483</v>
      </c>
      <c r="AD1045" s="0" t="s">
        <v>147</v>
      </c>
      <c r="AE1045" s="0" t="s">
        <v>148</v>
      </c>
      <c r="AF1045" s="0" t="s">
        <v>149</v>
      </c>
      <c r="AH1045" s="0" t="n">
        <v>14</v>
      </c>
      <c r="AI1045" s="0" t="n">
        <v>11</v>
      </c>
      <c r="AN1045" s="0" t="s">
        <v>145</v>
      </c>
      <c r="AO1045" s="0" t="s">
        <v>150</v>
      </c>
      <c r="AP1045" s="0" t="s">
        <v>151</v>
      </c>
      <c r="AQ1045" s="0" t="n">
        <v>9</v>
      </c>
      <c r="AR1045" s="0" t="n">
        <v>64</v>
      </c>
      <c r="AS1045" s="0" t="n">
        <v>32</v>
      </c>
      <c r="AU1045" s="0" t="n">
        <f aca="false">COUNTA($BA$535:$EH$535)</f>
        <v>2</v>
      </c>
      <c r="AV1045" s="0" t="n">
        <f aca="false">COUNTIF($BA$535:$EH$535,"D")</f>
        <v>0</v>
      </c>
      <c r="AW1045" s="0" t="n">
        <f aca="false">COUNTIF($BA$535:$EH$535,"R")</f>
        <v>0</v>
      </c>
      <c r="AX1045" s="0" t="n">
        <f aca="false">IF(BN1045="D",1,0)+IF(BO1045="D",1,0)+IF(BT1045="D",1,0)+IF(BU1045="D",1,0)+IF(BW1045="D",1,0)+IF(CC1045="D",1,0)+IF(CD1045="D",1,0)+IF(CE1045="D",1,0)+IF(CF1045="D",1,0)+IF(CL1045="D",1,0)+IF(CM1045="D",1,0)+IF(CQ1045="D",1,0)+IF(CR1045="D",1,0)+IF(CS1045="D",1,0)+IF(CW1045="D",1,0)+IF(CX1045="D",1,0)+IF(DD1045="D",1,0)+IF(DE1045="D",1,0)+IF(DJ1045="D",1,0)+IF(DK1045="D",1,0)+IF(DO1045="D",1,0)+IF(DP1045="D",1,0)+IF(DQ1045="D",1,0)+IF(DW1045="D",1,0)+IF(DZ1045="D",1,0)+IF(EH1045="D",1,0)</f>
        <v>0</v>
      </c>
      <c r="AY1045" s="0" t="n">
        <f aca="false">COUNTIF(DU1045:EH1045, "&lt;&gt;")</f>
        <v>0</v>
      </c>
      <c r="AZ1045" s="0" t="n">
        <f aca="false">IF(EH1045&lt;&gt;"",1,0)</f>
        <v>0</v>
      </c>
      <c r="BB1045" s="0" t="s">
        <v>152</v>
      </c>
    </row>
    <row r="1046" customFormat="false" ht="13.8" hidden="true" customHeight="false" outlineLevel="0" collapsed="false">
      <c r="A1046" s="0" t="s">
        <v>5052</v>
      </c>
      <c r="B1046" s="0" t="n">
        <v>78</v>
      </c>
      <c r="C1046" s="0" t="n">
        <v>475421</v>
      </c>
      <c r="D1046" s="0" t="s">
        <v>4066</v>
      </c>
      <c r="E1046" s="0" t="s">
        <v>237</v>
      </c>
      <c r="F1046" s="0" t="str">
        <f aca="false">CONCATENATE(D1046," ",LEFT(H1046,4),"T=",AU1046,"D=",AV1046,"R=",AW1046,"M=",AX1046,"L=",AY1046,"B=",AZ1046)</f>
        <v>PRIEST T=1D=0R=0M=0L=1B=0</v>
      </c>
      <c r="G1046" s="0" t="s">
        <v>190</v>
      </c>
      <c r="I1046" s="0" t="s">
        <v>5053</v>
      </c>
      <c r="J1046" s="0" t="s">
        <v>5054</v>
      </c>
      <c r="K1046" s="0" t="s">
        <v>160</v>
      </c>
      <c r="M1046" s="0" t="s">
        <v>5048</v>
      </c>
      <c r="N1046" s="0" t="str">
        <f aca="false">RIGHT(M1046,LEN(M1046)-FIND(" ",M1046))</f>
        <v>IDDINGS AVE SE</v>
      </c>
      <c r="P1046" s="0" t="s">
        <v>145</v>
      </c>
      <c r="Q1046" s="0" t="s">
        <v>146</v>
      </c>
      <c r="R1046" s="0" t="n">
        <v>44483</v>
      </c>
      <c r="AD1046" s="0" t="s">
        <v>147</v>
      </c>
      <c r="AE1046" s="0" t="s">
        <v>148</v>
      </c>
      <c r="AF1046" s="0" t="s">
        <v>149</v>
      </c>
      <c r="AH1046" s="0" t="n">
        <v>14</v>
      </c>
      <c r="AI1046" s="0" t="n">
        <v>11</v>
      </c>
      <c r="AN1046" s="0" t="s">
        <v>145</v>
      </c>
      <c r="AO1046" s="0" t="s">
        <v>150</v>
      </c>
      <c r="AP1046" s="0" t="s">
        <v>151</v>
      </c>
      <c r="AQ1046" s="0" t="n">
        <v>9</v>
      </c>
      <c r="AR1046" s="0" t="n">
        <v>64</v>
      </c>
      <c r="AS1046" s="0" t="n">
        <v>32</v>
      </c>
      <c r="AU1046" s="0" t="n">
        <f aca="false">COUNTA($BA$558:$EH$558)</f>
        <v>1</v>
      </c>
      <c r="AV1046" s="0" t="n">
        <f aca="false">COUNTIF($BA$558:$EH$558,"D")</f>
        <v>0</v>
      </c>
      <c r="AW1046" s="0" t="n">
        <f aca="false">COUNTIF($BA$558:$EH$558,"R")</f>
        <v>0</v>
      </c>
      <c r="AX1046" s="0" t="n">
        <f aca="false">IF(BN1046="D",1,0)+IF(BO1046="D",1,0)+IF(BT1046="D",1,0)+IF(BU1046="D",1,0)+IF(BW1046="D",1,0)+IF(CC1046="D",1,0)+IF(CD1046="D",1,0)+IF(CE1046="D",1,0)+IF(CF1046="D",1,0)+IF(CL1046="D",1,0)+IF(CM1046="D",1,0)+IF(CQ1046="D",1,0)+IF(CR1046="D",1,0)+IF(CS1046="D",1,0)+IF(CW1046="D",1,0)+IF(CX1046="D",1,0)+IF(DD1046="D",1,0)+IF(DE1046="D",1,0)+IF(DJ1046="D",1,0)+IF(DK1046="D",1,0)+IF(DO1046="D",1,0)+IF(DP1046="D",1,0)+IF(DQ1046="D",1,0)+IF(DW1046="D",1,0)+IF(DZ1046="D",1,0)+IF(EH1046="D",1,0)</f>
        <v>0</v>
      </c>
      <c r="AY1046" s="0" t="n">
        <f aca="false">COUNTIF(DU1046:EH1046, "&lt;&gt;")</f>
        <v>1</v>
      </c>
      <c r="AZ1046" s="0" t="n">
        <f aca="false">IF(EH1046&lt;&gt;"",1,0)</f>
        <v>0</v>
      </c>
      <c r="BB1046" s="0" t="s">
        <v>152</v>
      </c>
      <c r="EF1046" s="0" t="s">
        <v>153</v>
      </c>
    </row>
    <row r="1047" customFormat="false" ht="13.8" hidden="true" customHeight="false" outlineLevel="0" collapsed="false">
      <c r="A1047" s="0" t="s">
        <v>5055</v>
      </c>
      <c r="B1047" s="0" t="n">
        <v>78</v>
      </c>
      <c r="C1047" s="0" t="n">
        <v>478268</v>
      </c>
      <c r="D1047" s="0" t="s">
        <v>5056</v>
      </c>
      <c r="E1047" s="0" t="s">
        <v>5057</v>
      </c>
      <c r="F1047" s="0" t="str">
        <f aca="false">CONCATENATE(D1047," ",LEFT(H1047,4),"T=",AU1047,"D=",AV1047,"R=",AW1047,"M=",AX1047,"L=",AY1047,"B=",AZ1047)</f>
        <v>QUINN T=1D=0R=0M=0L=0B=0</v>
      </c>
      <c r="I1047" s="0" t="s">
        <v>5058</v>
      </c>
      <c r="J1047" s="0" t="s">
        <v>5059</v>
      </c>
      <c r="K1047" s="0" t="s">
        <v>160</v>
      </c>
      <c r="M1047" s="0" t="s">
        <v>5060</v>
      </c>
      <c r="N1047" s="0" t="str">
        <f aca="false">RIGHT(M1047,LEN(M1047)-FIND(" ",M1047))</f>
        <v>IDDINGS AVE SE</v>
      </c>
      <c r="P1047" s="0" t="s">
        <v>145</v>
      </c>
      <c r="Q1047" s="0" t="s">
        <v>146</v>
      </c>
      <c r="R1047" s="0" t="n">
        <v>44483</v>
      </c>
      <c r="AD1047" s="0" t="s">
        <v>147</v>
      </c>
      <c r="AE1047" s="0" t="s">
        <v>148</v>
      </c>
      <c r="AF1047" s="0" t="s">
        <v>149</v>
      </c>
      <c r="AH1047" s="0" t="n">
        <v>14</v>
      </c>
      <c r="AI1047" s="0" t="n">
        <v>11</v>
      </c>
      <c r="AN1047" s="0" t="s">
        <v>145</v>
      </c>
      <c r="AO1047" s="0" t="s">
        <v>150</v>
      </c>
      <c r="AP1047" s="0" t="s">
        <v>151</v>
      </c>
      <c r="AQ1047" s="0" t="n">
        <v>9</v>
      </c>
      <c r="AR1047" s="0" t="n">
        <v>64</v>
      </c>
      <c r="AS1047" s="0" t="n">
        <v>32</v>
      </c>
      <c r="AU1047" s="0" t="n">
        <f aca="false">COUNTA($BA$342:$EH$342)</f>
        <v>1</v>
      </c>
      <c r="AV1047" s="0" t="n">
        <f aca="false">COUNTIF($BA$342:$EH$342,"D")</f>
        <v>0</v>
      </c>
      <c r="AW1047" s="0" t="n">
        <f aca="false">COUNTIF($BA$342:$EH$342,"R")</f>
        <v>0</v>
      </c>
      <c r="AX1047" s="0" t="n">
        <f aca="false">IF(BN1047="D",1,0)+IF(BO1047="D",1,0)+IF(BT1047="D",1,0)+IF(BU1047="D",1,0)+IF(BW1047="D",1,0)+IF(CC1047="D",1,0)+IF(CD1047="D",1,0)+IF(CE1047="D",1,0)+IF(CF1047="D",1,0)+IF(CL1047="D",1,0)+IF(CM1047="D",1,0)+IF(CQ1047="D",1,0)+IF(CR1047="D",1,0)+IF(CS1047="D",1,0)+IF(CW1047="D",1,0)+IF(CX1047="D",1,0)+IF(DD1047="D",1,0)+IF(DE1047="D",1,0)+IF(DJ1047="D",1,0)+IF(DK1047="D",1,0)+IF(DO1047="D",1,0)+IF(DP1047="D",1,0)+IF(DQ1047="D",1,0)+IF(DW1047="D",1,0)+IF(DZ1047="D",1,0)+IF(EH1047="D",1,0)</f>
        <v>0</v>
      </c>
      <c r="AY1047" s="0" t="n">
        <f aca="false">COUNTIF(DU1047:EH1047, "&lt;&gt;")</f>
        <v>0</v>
      </c>
      <c r="AZ1047" s="0" t="n">
        <f aca="false">IF(EH1047&lt;&gt;"",1,0)</f>
        <v>0</v>
      </c>
      <c r="BB1047" s="0" t="s">
        <v>152</v>
      </c>
    </row>
    <row r="1048" customFormat="false" ht="13.8" hidden="true" customHeight="false" outlineLevel="0" collapsed="false">
      <c r="A1048" s="0" t="s">
        <v>5061</v>
      </c>
      <c r="B1048" s="0" t="n">
        <v>78</v>
      </c>
      <c r="C1048" s="0" t="n">
        <v>468206</v>
      </c>
      <c r="D1048" s="0" t="s">
        <v>5062</v>
      </c>
      <c r="E1048" s="0" t="s">
        <v>637</v>
      </c>
      <c r="F1048" s="0" t="str">
        <f aca="false">CONCATENATE(D1048," ",LEFT(H1048,4),"T=",AU1048,"D=",AV1048,"R=",AW1048,"M=",AX1048,"L=",AY1048,"B=",AZ1048)</f>
        <v>STANLEY T=1D=0R=0M=0L=0B=0</v>
      </c>
      <c r="G1048" s="0" t="s">
        <v>5063</v>
      </c>
      <c r="I1048" s="0" t="s">
        <v>5064</v>
      </c>
      <c r="J1048" s="0" t="s">
        <v>5065</v>
      </c>
      <c r="K1048" s="0" t="s">
        <v>160</v>
      </c>
      <c r="M1048" s="0" t="s">
        <v>5060</v>
      </c>
      <c r="N1048" s="0" t="str">
        <f aca="false">RIGHT(M1048,LEN(M1048)-FIND(" ",M1048))</f>
        <v>IDDINGS AVE SE</v>
      </c>
      <c r="P1048" s="0" t="s">
        <v>145</v>
      </c>
      <c r="Q1048" s="0" t="s">
        <v>146</v>
      </c>
      <c r="R1048" s="0" t="n">
        <v>44483</v>
      </c>
      <c r="AD1048" s="0" t="s">
        <v>147</v>
      </c>
      <c r="AE1048" s="0" t="s">
        <v>148</v>
      </c>
      <c r="AF1048" s="0" t="s">
        <v>149</v>
      </c>
      <c r="AH1048" s="0" t="n">
        <v>14</v>
      </c>
      <c r="AI1048" s="0" t="n">
        <v>11</v>
      </c>
      <c r="AN1048" s="0" t="s">
        <v>145</v>
      </c>
      <c r="AO1048" s="0" t="s">
        <v>150</v>
      </c>
      <c r="AP1048" s="0" t="s">
        <v>151</v>
      </c>
      <c r="AQ1048" s="0" t="n">
        <v>9</v>
      </c>
      <c r="AR1048" s="0" t="n">
        <v>64</v>
      </c>
      <c r="AS1048" s="0" t="n">
        <v>32</v>
      </c>
      <c r="AU1048" s="0" t="n">
        <f aca="false">COUNTA($BA$899:$EH$899)</f>
        <v>1</v>
      </c>
      <c r="AV1048" s="0" t="n">
        <f aca="false">COUNTIF($BA$899:$EH$899,"D")</f>
        <v>0</v>
      </c>
      <c r="AW1048" s="0" t="n">
        <f aca="false">COUNTIF($BA$899:$EH$899,"R")</f>
        <v>0</v>
      </c>
      <c r="AX1048" s="0" t="n">
        <f aca="false">IF(BN1048="D",1,0)+IF(BO1048="D",1,0)+IF(BT1048="D",1,0)+IF(BU1048="D",1,0)+IF(BW1048="D",1,0)+IF(CC1048="D",1,0)+IF(CD1048="D",1,0)+IF(CE1048="D",1,0)+IF(CF1048="D",1,0)+IF(CL1048="D",1,0)+IF(CM1048="D",1,0)+IF(CQ1048="D",1,0)+IF(CR1048="D",1,0)+IF(CS1048="D",1,0)+IF(CW1048="D",1,0)+IF(CX1048="D",1,0)+IF(DD1048="D",1,0)+IF(DE1048="D",1,0)+IF(DJ1048="D",1,0)+IF(DK1048="D",1,0)+IF(DO1048="D",1,0)+IF(DP1048="D",1,0)+IF(DQ1048="D",1,0)+IF(DW1048="D",1,0)+IF(DZ1048="D",1,0)+IF(EH1048="D",1,0)</f>
        <v>0</v>
      </c>
      <c r="AY1048" s="0" t="n">
        <f aca="false">COUNTIF(DU1048:EH1048, "&lt;&gt;")</f>
        <v>0</v>
      </c>
      <c r="AZ1048" s="0" t="n">
        <f aca="false">IF(EH1048&lt;&gt;"",1,0)</f>
        <v>0</v>
      </c>
      <c r="BB1048" s="0" t="s">
        <v>152</v>
      </c>
      <c r="DN1048" s="0" t="s">
        <v>153</v>
      </c>
    </row>
    <row r="1049" customFormat="false" ht="13.8" hidden="false" customHeight="false" outlineLevel="0" collapsed="false">
      <c r="A1049" s="0" t="s">
        <v>5066</v>
      </c>
      <c r="B1049" s="0" t="n">
        <v>78</v>
      </c>
      <c r="C1049" s="0" t="n">
        <v>13266</v>
      </c>
      <c r="D1049" s="0" t="s">
        <v>5067</v>
      </c>
      <c r="E1049" s="0" t="s">
        <v>5068</v>
      </c>
      <c r="F1049" s="0" t="str">
        <f aca="false">CONCATENATE(D1049," ",LEFT(H1049,4),"T=",AU1049,"D=",AV1049,"R=",AW1049,"M=",AX1049,"L=",AY1049,"B=",AZ1049)</f>
        <v>LYONS T=20D=0R=0M=1L=5B=0</v>
      </c>
      <c r="I1049" s="0" t="s">
        <v>5069</v>
      </c>
      <c r="J1049" s="0" t="s">
        <v>2614</v>
      </c>
      <c r="K1049" s="0" t="s">
        <v>160</v>
      </c>
      <c r="L1049" s="0" t="s">
        <v>209</v>
      </c>
      <c r="M1049" s="0" t="s">
        <v>5070</v>
      </c>
      <c r="N1049" s="0" t="str">
        <f aca="false">RIGHT(M1049,LEN(M1049)-FIND(" ",M1049))</f>
        <v>IDDINGS AVE SE</v>
      </c>
      <c r="P1049" s="0" t="s">
        <v>145</v>
      </c>
      <c r="Q1049" s="0" t="s">
        <v>146</v>
      </c>
      <c r="R1049" s="0" t="n">
        <v>44483</v>
      </c>
      <c r="AD1049" s="0" t="s">
        <v>147</v>
      </c>
      <c r="AE1049" s="0" t="s">
        <v>148</v>
      </c>
      <c r="AF1049" s="0" t="s">
        <v>149</v>
      </c>
      <c r="AH1049" s="0" t="n">
        <v>14</v>
      </c>
      <c r="AI1049" s="0" t="n">
        <v>11</v>
      </c>
      <c r="AN1049" s="0" t="s">
        <v>145</v>
      </c>
      <c r="AO1049" s="0" t="s">
        <v>150</v>
      </c>
      <c r="AP1049" s="0" t="s">
        <v>151</v>
      </c>
      <c r="AQ1049" s="0" t="n">
        <v>9</v>
      </c>
      <c r="AR1049" s="0" t="n">
        <v>64</v>
      </c>
      <c r="AS1049" s="0" t="n">
        <v>32</v>
      </c>
      <c r="AU1049" s="0" t="n">
        <f aca="false">COUNTA($BA$981:$EH$981)</f>
        <v>20</v>
      </c>
      <c r="AV1049" s="0" t="n">
        <f aca="false">COUNTIF($BA$981:$EH$981,"D")</f>
        <v>0</v>
      </c>
      <c r="AW1049" s="0" t="n">
        <f aca="false">COUNTIF($BA$981:$EH$981,"R")</f>
        <v>0</v>
      </c>
      <c r="AX1049" s="0" t="n">
        <f aca="false">IF(BN1049="D",1,0)+IF(BO1049="D",1,0)+IF(BT1049="D",1,0)+IF(BU1049="D",1,0)+IF(BW1049="D",1,0)+IF(CC1049="D",1,0)+IF(CD1049="D",1,0)+IF(CE1049="D",1,0)+IF(CF1049="D",1,0)+IF(CL1049="D",1,0)+IF(CM1049="D",1,0)+IF(CQ1049="D",1,0)+IF(CR1049="D",1,0)+IF(CS1049="D",1,0)+IF(CW1049="D",1,0)+IF(CX1049="D",1,0)+IF(DD1049="D",1,0)+IF(DE1049="D",1,0)+IF(DJ1049="D",1,0)+IF(DK1049="D",1,0)+IF(DO1049="D",1,0)+IF(DP1049="D",1,0)+IF(DQ1049="D",1,0)+IF(DW1049="D",1,0)+IF(DZ1049="D",1,0)+IF(EH1049="D",1,0)</f>
        <v>1</v>
      </c>
      <c r="AY1049" s="0" t="n">
        <f aca="false">COUNTIF(DU1049:EH1049, "&lt;&gt;")</f>
        <v>5</v>
      </c>
      <c r="AZ1049" s="0" t="n">
        <f aca="false">IF(EH1049&lt;&gt;"",1,0)</f>
        <v>0</v>
      </c>
      <c r="BB1049" s="0" t="s">
        <v>152</v>
      </c>
      <c r="BC1049" s="0" t="s">
        <v>153</v>
      </c>
      <c r="BD1049" s="0" t="s">
        <v>153</v>
      </c>
      <c r="BE1049" s="0" t="s">
        <v>153</v>
      </c>
      <c r="BH1049" s="0" t="s">
        <v>153</v>
      </c>
      <c r="BJ1049" s="0" t="s">
        <v>153</v>
      </c>
      <c r="BK1049" s="0" t="s">
        <v>153</v>
      </c>
      <c r="BL1049" s="0" t="s">
        <v>153</v>
      </c>
      <c r="BP1049" s="0" t="s">
        <v>153</v>
      </c>
      <c r="BR1049" s="0" t="s">
        <v>153</v>
      </c>
      <c r="BS1049" s="0" t="s">
        <v>153</v>
      </c>
      <c r="BV1049" s="0" t="s">
        <v>153</v>
      </c>
      <c r="CA1049" s="0" t="s">
        <v>153</v>
      </c>
      <c r="CG1049" s="0" t="s">
        <v>153</v>
      </c>
      <c r="CH1049" s="0" t="s">
        <v>209</v>
      </c>
      <c r="CK1049" s="0" t="s">
        <v>153</v>
      </c>
      <c r="CL1049" s="0" t="s">
        <v>175</v>
      </c>
      <c r="CN1049" s="0" t="s">
        <v>153</v>
      </c>
      <c r="CO1049" s="0" t="s">
        <v>209</v>
      </c>
      <c r="CP1049" s="0" t="s">
        <v>153</v>
      </c>
      <c r="CV1049" s="0" t="s">
        <v>153</v>
      </c>
      <c r="CY1049" s="0" t="s">
        <v>153</v>
      </c>
      <c r="CZ1049" s="0" t="s">
        <v>209</v>
      </c>
      <c r="DC1049" s="0" t="s">
        <v>153</v>
      </c>
      <c r="DF1049" s="0" t="s">
        <v>153</v>
      </c>
      <c r="DG1049" s="0" t="s">
        <v>209</v>
      </c>
      <c r="DI1049" s="0" t="s">
        <v>153</v>
      </c>
      <c r="DL1049" s="0" t="s">
        <v>153</v>
      </c>
      <c r="DM1049" s="0" t="s">
        <v>209</v>
      </c>
      <c r="DN1049" s="0" t="s">
        <v>153</v>
      </c>
      <c r="DS1049" s="0" t="s">
        <v>209</v>
      </c>
      <c r="DU1049" s="0" t="s">
        <v>153</v>
      </c>
      <c r="DX1049" s="0" t="s">
        <v>153</v>
      </c>
      <c r="EA1049" s="0" t="s">
        <v>153</v>
      </c>
      <c r="ED1049" s="0" t="s">
        <v>209</v>
      </c>
      <c r="EF1049" s="0" t="s">
        <v>153</v>
      </c>
    </row>
    <row r="1050" customFormat="false" ht="13.8" hidden="false" customHeight="false" outlineLevel="0" collapsed="false">
      <c r="A1050" s="0" t="s">
        <v>5071</v>
      </c>
      <c r="B1050" s="0" t="n">
        <v>78</v>
      </c>
      <c r="C1050" s="0" t="n">
        <v>13267</v>
      </c>
      <c r="D1050" s="0" t="s">
        <v>5067</v>
      </c>
      <c r="E1050" s="0" t="s">
        <v>628</v>
      </c>
      <c r="F1050" s="0" t="str">
        <f aca="false">CONCATENATE(D1050," ",LEFT(H1050,4),"T=",AU1050,"D=",AV1050,"R=",AW1050,"M=",AX1050,"L=",AY1050,"B=",AZ1050)</f>
        <v>LYONS T=14D=1R=0M=1L=5B=0</v>
      </c>
      <c r="G1050" s="0" t="s">
        <v>164</v>
      </c>
      <c r="I1050" s="0" t="s">
        <v>5072</v>
      </c>
      <c r="J1050" s="0" t="s">
        <v>5073</v>
      </c>
      <c r="K1050" s="0" t="s">
        <v>160</v>
      </c>
      <c r="L1050" s="0" t="s">
        <v>209</v>
      </c>
      <c r="M1050" s="0" t="s">
        <v>5070</v>
      </c>
      <c r="N1050" s="0" t="str">
        <f aca="false">RIGHT(M1050,LEN(M1050)-FIND(" ",M1050))</f>
        <v>IDDINGS AVE SE</v>
      </c>
      <c r="P1050" s="0" t="s">
        <v>145</v>
      </c>
      <c r="Q1050" s="0" t="s">
        <v>146</v>
      </c>
      <c r="R1050" s="0" t="n">
        <v>44483</v>
      </c>
      <c r="AD1050" s="0" t="s">
        <v>147</v>
      </c>
      <c r="AE1050" s="0" t="s">
        <v>148</v>
      </c>
      <c r="AF1050" s="0" t="s">
        <v>149</v>
      </c>
      <c r="AH1050" s="0" t="n">
        <v>14</v>
      </c>
      <c r="AI1050" s="0" t="n">
        <v>11</v>
      </c>
      <c r="AN1050" s="0" t="s">
        <v>145</v>
      </c>
      <c r="AO1050" s="0" t="s">
        <v>150</v>
      </c>
      <c r="AP1050" s="0" t="s">
        <v>151</v>
      </c>
      <c r="AQ1050" s="0" t="n">
        <v>9</v>
      </c>
      <c r="AR1050" s="0" t="n">
        <v>64</v>
      </c>
      <c r="AS1050" s="0" t="n">
        <v>32</v>
      </c>
      <c r="AU1050" s="0" t="n">
        <f aca="false">COUNTA($BA$989:$EH$989)</f>
        <v>14</v>
      </c>
      <c r="AV1050" s="0" t="n">
        <f aca="false">COUNTIF($BA$989:$EH$989,"D")</f>
        <v>1</v>
      </c>
      <c r="AW1050" s="0" t="n">
        <f aca="false">COUNTIF($BA$989:$EH$989,"R")</f>
        <v>0</v>
      </c>
      <c r="AX1050" s="0" t="n">
        <f aca="false">IF(BN1050="D",1,0)+IF(BO1050="D",1,0)+IF(BT1050="D",1,0)+IF(BU1050="D",1,0)+IF(BW1050="D",1,0)+IF(CC1050="D",1,0)+IF(CD1050="D",1,0)+IF(CE1050="D",1,0)+IF(CF1050="D",1,0)+IF(CL1050="D",1,0)+IF(CM1050="D",1,0)+IF(CQ1050="D",1,0)+IF(CR1050="D",1,0)+IF(CS1050="D",1,0)+IF(CW1050="D",1,0)+IF(CX1050="D",1,0)+IF(DD1050="D",1,0)+IF(DE1050="D",1,0)+IF(DJ1050="D",1,0)+IF(DK1050="D",1,0)+IF(DO1050="D",1,0)+IF(DP1050="D",1,0)+IF(DQ1050="D",1,0)+IF(DW1050="D",1,0)+IF(DZ1050="D",1,0)+IF(EH1050="D",1,0)</f>
        <v>1</v>
      </c>
      <c r="AY1050" s="0" t="n">
        <f aca="false">COUNTIF(DU1050:EH1050, "&lt;&gt;")</f>
        <v>5</v>
      </c>
      <c r="AZ1050" s="0" t="n">
        <f aca="false">IF(EH1050&lt;&gt;"",1,0)</f>
        <v>0</v>
      </c>
      <c r="BB1050" s="0" t="s">
        <v>152</v>
      </c>
      <c r="BC1050" s="0" t="s">
        <v>153</v>
      </c>
      <c r="BD1050" s="0" t="s">
        <v>153</v>
      </c>
      <c r="BE1050" s="0" t="s">
        <v>153</v>
      </c>
      <c r="BH1050" s="0" t="s">
        <v>153</v>
      </c>
      <c r="BJ1050" s="0" t="s">
        <v>153</v>
      </c>
      <c r="BK1050" s="0" t="s">
        <v>153</v>
      </c>
      <c r="BL1050" s="0" t="s">
        <v>153</v>
      </c>
      <c r="BP1050" s="0" t="s">
        <v>153</v>
      </c>
      <c r="BR1050" s="0" t="s">
        <v>153</v>
      </c>
      <c r="BS1050" s="0" t="s">
        <v>153</v>
      </c>
      <c r="BV1050" s="0" t="s">
        <v>153</v>
      </c>
      <c r="CA1050" s="0" t="s">
        <v>153</v>
      </c>
      <c r="CG1050" s="0" t="s">
        <v>153</v>
      </c>
      <c r="CH1050" s="0" t="s">
        <v>209</v>
      </c>
      <c r="CK1050" s="0" t="s">
        <v>153</v>
      </c>
      <c r="CL1050" s="0" t="s">
        <v>175</v>
      </c>
      <c r="CN1050" s="0" t="s">
        <v>153</v>
      </c>
      <c r="CO1050" s="0" t="s">
        <v>209</v>
      </c>
      <c r="CP1050" s="0" t="s">
        <v>153</v>
      </c>
      <c r="CV1050" s="0" t="s">
        <v>153</v>
      </c>
      <c r="CY1050" s="0" t="s">
        <v>153</v>
      </c>
      <c r="CZ1050" s="0" t="s">
        <v>209</v>
      </c>
      <c r="DC1050" s="0" t="s">
        <v>153</v>
      </c>
      <c r="DF1050" s="0" t="s">
        <v>153</v>
      </c>
      <c r="DG1050" s="0" t="s">
        <v>209</v>
      </c>
      <c r="DI1050" s="0" t="s">
        <v>153</v>
      </c>
      <c r="DL1050" s="0" t="s">
        <v>153</v>
      </c>
      <c r="DM1050" s="0" t="s">
        <v>209</v>
      </c>
      <c r="DN1050" s="0" t="s">
        <v>153</v>
      </c>
      <c r="DS1050" s="0" t="s">
        <v>209</v>
      </c>
      <c r="DU1050" s="0" t="s">
        <v>153</v>
      </c>
      <c r="DX1050" s="0" t="s">
        <v>153</v>
      </c>
      <c r="EA1050" s="0" t="s">
        <v>153</v>
      </c>
      <c r="ED1050" s="0" t="s">
        <v>209</v>
      </c>
      <c r="EF1050" s="0" t="s">
        <v>153</v>
      </c>
    </row>
    <row r="1051" customFormat="false" ht="13.8" hidden="true" customHeight="false" outlineLevel="0" collapsed="false">
      <c r="A1051" s="0" t="s">
        <v>5074</v>
      </c>
      <c r="B1051" s="0" t="n">
        <v>78</v>
      </c>
      <c r="C1051" s="0" t="n">
        <v>361027</v>
      </c>
      <c r="D1051" s="0" t="s">
        <v>4230</v>
      </c>
      <c r="E1051" s="0" t="s">
        <v>5075</v>
      </c>
      <c r="F1051" s="0" t="str">
        <f aca="false">CONCATENATE(D1051," ",LEFT(H1051,4),"T=",AU1051,"D=",AV1051,"R=",AW1051,"M=",AX1051,"L=",AY1051,"B=",AZ1051)</f>
        <v>CLAY T=10D=0R=0M=0L=0B=0</v>
      </c>
      <c r="G1051" s="0" t="s">
        <v>175</v>
      </c>
      <c r="I1051" s="0" t="s">
        <v>5076</v>
      </c>
      <c r="J1051" s="0" t="s">
        <v>5077</v>
      </c>
      <c r="K1051" s="0" t="s">
        <v>143</v>
      </c>
      <c r="M1051" s="0" t="s">
        <v>5078</v>
      </c>
      <c r="N1051" s="0" t="str">
        <f aca="false">RIGHT(M1051,LEN(M1051)-FIND(" ",M1051))</f>
        <v>IDDINGS AVE SE</v>
      </c>
      <c r="P1051" s="0" t="s">
        <v>145</v>
      </c>
      <c r="Q1051" s="0" t="s">
        <v>146</v>
      </c>
      <c r="R1051" s="0" t="n">
        <v>44483</v>
      </c>
      <c r="AD1051" s="0" t="s">
        <v>147</v>
      </c>
      <c r="AE1051" s="0" t="s">
        <v>148</v>
      </c>
      <c r="AF1051" s="0" t="s">
        <v>149</v>
      </c>
      <c r="AH1051" s="0" t="n">
        <v>14</v>
      </c>
      <c r="AI1051" s="0" t="n">
        <v>11</v>
      </c>
      <c r="AN1051" s="0" t="s">
        <v>145</v>
      </c>
      <c r="AO1051" s="0" t="s">
        <v>150</v>
      </c>
      <c r="AP1051" s="0" t="s">
        <v>151</v>
      </c>
      <c r="AQ1051" s="0" t="n">
        <v>9</v>
      </c>
      <c r="AR1051" s="0" t="n">
        <v>64</v>
      </c>
      <c r="AS1051" s="0" t="n">
        <v>32</v>
      </c>
      <c r="AU1051" s="0" t="n">
        <f aca="false">COUNTA($BA$329:$EH$329)</f>
        <v>10</v>
      </c>
      <c r="AV1051" s="0" t="n">
        <f aca="false">COUNTIF($BA$329:$EH$329,"D")</f>
        <v>0</v>
      </c>
      <c r="AW1051" s="0" t="n">
        <f aca="false">COUNTIF($BA$329:$EH$329,"R")</f>
        <v>0</v>
      </c>
      <c r="AX1051" s="0" t="n">
        <f aca="false">IF(BN1051="D",1,0)+IF(BO1051="D",1,0)+IF(BT1051="D",1,0)+IF(BU1051="D",1,0)+IF(BW1051="D",1,0)+IF(CC1051="D",1,0)+IF(CD1051="D",1,0)+IF(CE1051="D",1,0)+IF(CF1051="D",1,0)+IF(CL1051="D",1,0)+IF(CM1051="D",1,0)+IF(CQ1051="D",1,0)+IF(CR1051="D",1,0)+IF(CS1051="D",1,0)+IF(CW1051="D",1,0)+IF(CX1051="D",1,0)+IF(DD1051="D",1,0)+IF(DE1051="D",1,0)+IF(DJ1051="D",1,0)+IF(DK1051="D",1,0)+IF(DO1051="D",1,0)+IF(DP1051="D",1,0)+IF(DQ1051="D",1,0)+IF(DW1051="D",1,0)+IF(DZ1051="D",1,0)+IF(EH1051="D",1,0)</f>
        <v>0</v>
      </c>
      <c r="AY1051" s="0" t="n">
        <f aca="false">COUNTIF(DU1051:EH1051, "&lt;&gt;")</f>
        <v>0</v>
      </c>
      <c r="AZ1051" s="0" t="n">
        <f aca="false">IF(EH1051&lt;&gt;"",1,0)</f>
        <v>0</v>
      </c>
      <c r="BB1051" s="0" t="s">
        <v>152</v>
      </c>
      <c r="CZ1051" s="0" t="s">
        <v>175</v>
      </c>
      <c r="DI1051" s="0" t="s">
        <v>153</v>
      </c>
      <c r="DN1051" s="0" t="s">
        <v>153</v>
      </c>
    </row>
    <row r="1052" customFormat="false" ht="13.8" hidden="false" customHeight="false" outlineLevel="0" collapsed="false">
      <c r="A1052" s="0" t="s">
        <v>5079</v>
      </c>
      <c r="B1052" s="0" t="n">
        <v>78</v>
      </c>
      <c r="C1052" s="0" t="n">
        <v>384874</v>
      </c>
      <c r="D1052" s="0" t="s">
        <v>1764</v>
      </c>
      <c r="E1052" s="0" t="s">
        <v>2952</v>
      </c>
      <c r="F1052" s="0" t="str">
        <f aca="false">CONCATENATE(D1052," ",LEFT(H1052,4),"T=",AU1052,"D=",AV1052,"R=",AW1052,"M=",AX1052,"L=",AY1052,"B=",AZ1052)</f>
        <v>MOORE T=10D=0R=0M=0L=2B=0</v>
      </c>
      <c r="G1052" s="0" t="s">
        <v>1031</v>
      </c>
      <c r="I1052" s="0" t="s">
        <v>5080</v>
      </c>
      <c r="J1052" s="0" t="s">
        <v>5081</v>
      </c>
      <c r="K1052" s="0" t="s">
        <v>160</v>
      </c>
      <c r="M1052" s="0" t="s">
        <v>5082</v>
      </c>
      <c r="N1052" s="0" t="str">
        <f aca="false">RIGHT(M1052,LEN(M1052)-FIND(" ",M1052))</f>
        <v>IDDINGS AVE SE</v>
      </c>
      <c r="P1052" s="0" t="s">
        <v>145</v>
      </c>
      <c r="Q1052" s="0" t="s">
        <v>146</v>
      </c>
      <c r="R1052" s="0" t="n">
        <v>44483</v>
      </c>
      <c r="AD1052" s="0" t="s">
        <v>147</v>
      </c>
      <c r="AE1052" s="0" t="s">
        <v>148</v>
      </c>
      <c r="AF1052" s="0" t="s">
        <v>149</v>
      </c>
      <c r="AH1052" s="0" t="n">
        <v>14</v>
      </c>
      <c r="AI1052" s="0" t="n">
        <v>11</v>
      </c>
      <c r="AN1052" s="0" t="s">
        <v>145</v>
      </c>
      <c r="AO1052" s="0" t="s">
        <v>150</v>
      </c>
      <c r="AP1052" s="0" t="s">
        <v>151</v>
      </c>
      <c r="AQ1052" s="0" t="n">
        <v>9</v>
      </c>
      <c r="AR1052" s="0" t="n">
        <v>64</v>
      </c>
      <c r="AS1052" s="0" t="n">
        <v>32</v>
      </c>
      <c r="AU1052" s="0" t="n">
        <f aca="false">COUNTA($BA$347:$EH$347)</f>
        <v>10</v>
      </c>
      <c r="AV1052" s="0" t="n">
        <f aca="false">COUNTIF($BA$347:$EH$347,"D")</f>
        <v>0</v>
      </c>
      <c r="AW1052" s="0" t="n">
        <f aca="false">COUNTIF($BA$347:$EH$347,"R")</f>
        <v>0</v>
      </c>
      <c r="AX1052" s="0" t="n">
        <f aca="false">IF(BN1052="D",1,0)+IF(BO1052="D",1,0)+IF(BT1052="D",1,0)+IF(BU1052="D",1,0)+IF(BW1052="D",1,0)+IF(CC1052="D",1,0)+IF(CD1052="D",1,0)+IF(CE1052="D",1,0)+IF(CF1052="D",1,0)+IF(CL1052="D",1,0)+IF(CM1052="D",1,0)+IF(CQ1052="D",1,0)+IF(CR1052="D",1,0)+IF(CS1052="D",1,0)+IF(CW1052="D",1,0)+IF(CX1052="D",1,0)+IF(DD1052="D",1,0)+IF(DE1052="D",1,0)+IF(DJ1052="D",1,0)+IF(DK1052="D",1,0)+IF(DO1052="D",1,0)+IF(DP1052="D",1,0)+IF(DQ1052="D",1,0)+IF(DW1052="D",1,0)+IF(DZ1052="D",1,0)+IF(EH1052="D",1,0)</f>
        <v>0</v>
      </c>
      <c r="AY1052" s="0" t="n">
        <f aca="false">COUNTIF(DU1052:EH1052, "&lt;&gt;")</f>
        <v>2</v>
      </c>
      <c r="AZ1052" s="0" t="n">
        <f aca="false">IF(EH1052&lt;&gt;"",1,0)</f>
        <v>0</v>
      </c>
      <c r="BB1052" s="0" t="s">
        <v>152</v>
      </c>
      <c r="CP1052" s="0" t="s">
        <v>153</v>
      </c>
      <c r="DX1052" s="0" t="s">
        <v>153</v>
      </c>
      <c r="EA1052" s="0" t="s">
        <v>153</v>
      </c>
    </row>
    <row r="1053" customFormat="false" ht="13.8" hidden="true" customHeight="false" outlineLevel="0" collapsed="false">
      <c r="A1053" s="0" t="s">
        <v>5083</v>
      </c>
      <c r="B1053" s="0" t="n">
        <v>78</v>
      </c>
      <c r="C1053" s="0" t="n">
        <v>302190</v>
      </c>
      <c r="D1053" s="0" t="s">
        <v>1764</v>
      </c>
      <c r="E1053" s="0" t="s">
        <v>2736</v>
      </c>
      <c r="F1053" s="0" t="str">
        <f aca="false">CONCATENATE(D1053," ",LEFT(H1053,4),"T=",AU1053,"D=",AV1053,"R=",AW1053,"M=",AX1053,"L=",AY1053,"B=",AZ1053)</f>
        <v>MOORE T=41D=13R=0M=0L=0B=0</v>
      </c>
      <c r="G1053" s="0" t="s">
        <v>195</v>
      </c>
      <c r="I1053" s="0" t="s">
        <v>5084</v>
      </c>
      <c r="J1053" s="0" t="s">
        <v>5085</v>
      </c>
      <c r="K1053" s="0" t="s">
        <v>143</v>
      </c>
      <c r="M1053" s="0" t="s">
        <v>5082</v>
      </c>
      <c r="N1053" s="0" t="str">
        <f aca="false">RIGHT(M1053,LEN(M1053)-FIND(" ",M1053))</f>
        <v>IDDINGS AVE SE</v>
      </c>
      <c r="P1053" s="0" t="s">
        <v>145</v>
      </c>
      <c r="Q1053" s="0" t="s">
        <v>146</v>
      </c>
      <c r="R1053" s="0" t="n">
        <v>44483</v>
      </c>
      <c r="AD1053" s="0" t="s">
        <v>147</v>
      </c>
      <c r="AE1053" s="0" t="s">
        <v>148</v>
      </c>
      <c r="AF1053" s="0" t="s">
        <v>149</v>
      </c>
      <c r="AH1053" s="0" t="n">
        <v>14</v>
      </c>
      <c r="AI1053" s="0" t="n">
        <v>11</v>
      </c>
      <c r="AN1053" s="0" t="s">
        <v>145</v>
      </c>
      <c r="AO1053" s="0" t="s">
        <v>150</v>
      </c>
      <c r="AP1053" s="0" t="s">
        <v>151</v>
      </c>
      <c r="AQ1053" s="0" t="n">
        <v>9</v>
      </c>
      <c r="AR1053" s="0" t="n">
        <v>64</v>
      </c>
      <c r="AS1053" s="0" t="n">
        <v>32</v>
      </c>
      <c r="AU1053" s="0" t="n">
        <f aca="false">COUNTA($BA$824:$EH$824)</f>
        <v>41</v>
      </c>
      <c r="AV1053" s="0" t="n">
        <f aca="false">COUNTIF($BA$824:$EH$824,"D")</f>
        <v>13</v>
      </c>
      <c r="AW1053" s="0" t="n">
        <f aca="false">COUNTIF($BA$824:$EH$824,"R")</f>
        <v>0</v>
      </c>
      <c r="AX1053" s="0" t="n">
        <f aca="false">IF(BN1053="D",1,0)+IF(BO1053="D",1,0)+IF(BT1053="D",1,0)+IF(BU1053="D",1,0)+IF(BW1053="D",1,0)+IF(CC1053="D",1,0)+IF(CD1053="D",1,0)+IF(CE1053="D",1,0)+IF(CF1053="D",1,0)+IF(CL1053="D",1,0)+IF(CM1053="D",1,0)+IF(CQ1053="D",1,0)+IF(CR1053="D",1,0)+IF(CS1053="D",1,0)+IF(CW1053="D",1,0)+IF(CX1053="D",1,0)+IF(DD1053="D",1,0)+IF(DE1053="D",1,0)+IF(DJ1053="D",1,0)+IF(DK1053="D",1,0)+IF(DO1053="D",1,0)+IF(DP1053="D",1,0)+IF(DQ1053="D",1,0)+IF(DW1053="D",1,0)+IF(DZ1053="D",1,0)+IF(EH1053="D",1,0)</f>
        <v>0</v>
      </c>
      <c r="AY1053" s="0" t="n">
        <f aca="false">COUNTIF(DU1053:EH1053, "&lt;&gt;")</f>
        <v>0</v>
      </c>
      <c r="AZ1053" s="0" t="n">
        <f aca="false">IF(EH1053&lt;&gt;"",1,0)</f>
        <v>0</v>
      </c>
      <c r="BB1053" s="0" t="s">
        <v>152</v>
      </c>
      <c r="BL1053" s="0" t="s">
        <v>153</v>
      </c>
      <c r="CN1053" s="0" t="s">
        <v>153</v>
      </c>
      <c r="CP1053" s="0" t="s">
        <v>153</v>
      </c>
    </row>
    <row r="1054" customFormat="false" ht="13.8" hidden="false" customHeight="false" outlineLevel="0" collapsed="false">
      <c r="A1054" s="0" t="s">
        <v>5086</v>
      </c>
      <c r="B1054" s="0" t="n">
        <v>78</v>
      </c>
      <c r="C1054" s="0" t="n">
        <v>416221</v>
      </c>
      <c r="D1054" s="0" t="s">
        <v>5087</v>
      </c>
      <c r="E1054" s="0" t="s">
        <v>4191</v>
      </c>
      <c r="F1054" s="0" t="str">
        <f aca="false">CONCATENATE(D1054," ",LEFT(H1054,4),"T=",AU1054,"D=",AV1054,"R=",AW1054,"M=",AX1054,"L=",AY1054,"B=",AZ1054)</f>
        <v>MANBECK T=7D=2R=0M=0L=5B=0</v>
      </c>
      <c r="G1054" s="0" t="s">
        <v>175</v>
      </c>
      <c r="I1054" s="0" t="s">
        <v>1918</v>
      </c>
      <c r="J1054" s="0" t="s">
        <v>5088</v>
      </c>
      <c r="K1054" s="0" t="s">
        <v>160</v>
      </c>
      <c r="L1054" s="0" t="s">
        <v>209</v>
      </c>
      <c r="M1054" s="0" t="s">
        <v>5089</v>
      </c>
      <c r="N1054" s="0" t="str">
        <f aca="false">RIGHT(M1054,LEN(M1054)-FIND(" ",M1054))</f>
        <v>IDDINGS AVE SE</v>
      </c>
      <c r="P1054" s="0" t="s">
        <v>145</v>
      </c>
      <c r="Q1054" s="0" t="s">
        <v>146</v>
      </c>
      <c r="R1054" s="0" t="n">
        <v>44483</v>
      </c>
      <c r="AD1054" s="0" t="s">
        <v>147</v>
      </c>
      <c r="AE1054" s="0" t="s">
        <v>148</v>
      </c>
      <c r="AF1054" s="0" t="s">
        <v>149</v>
      </c>
      <c r="AH1054" s="0" t="n">
        <v>14</v>
      </c>
      <c r="AI1054" s="0" t="n">
        <v>11</v>
      </c>
      <c r="AN1054" s="0" t="s">
        <v>145</v>
      </c>
      <c r="AO1054" s="0" t="s">
        <v>150</v>
      </c>
      <c r="AP1054" s="0" t="s">
        <v>151</v>
      </c>
      <c r="AQ1054" s="0" t="n">
        <v>9</v>
      </c>
      <c r="AR1054" s="0" t="n">
        <v>64</v>
      </c>
      <c r="AS1054" s="0" t="n">
        <v>32</v>
      </c>
      <c r="AU1054" s="0" t="n">
        <f aca="false">COUNTA($BA$1040:$EH$1040)</f>
        <v>7</v>
      </c>
      <c r="AV1054" s="0" t="n">
        <f aca="false">COUNTIF($BA$1040:$EH$1040,"D")</f>
        <v>2</v>
      </c>
      <c r="AW1054" s="0" t="n">
        <f aca="false">COUNTIF($BA$1040:$EH$1040,"R")</f>
        <v>0</v>
      </c>
      <c r="AX1054" s="0" t="n">
        <f aca="false">IF(BN1054="D",1,0)+IF(BO1054="D",1,0)+IF(BT1054="D",1,0)+IF(BU1054="D",1,0)+IF(BW1054="D",1,0)+IF(CC1054="D",1,0)+IF(CD1054="D",1,0)+IF(CE1054="D",1,0)+IF(CF1054="D",1,0)+IF(CL1054="D",1,0)+IF(CM1054="D",1,0)+IF(CQ1054="D",1,0)+IF(CR1054="D",1,0)+IF(CS1054="D",1,0)+IF(CW1054="D",1,0)+IF(CX1054="D",1,0)+IF(DD1054="D",1,0)+IF(DE1054="D",1,0)+IF(DJ1054="D",1,0)+IF(DK1054="D",1,0)+IF(DO1054="D",1,0)+IF(DP1054="D",1,0)+IF(DQ1054="D",1,0)+IF(DW1054="D",1,0)+IF(DZ1054="D",1,0)+IF(EH1054="D",1,0)</f>
        <v>0</v>
      </c>
      <c r="AY1054" s="0" t="n">
        <f aca="false">COUNTIF(DU1054:EH1054, "&lt;&gt;")</f>
        <v>5</v>
      </c>
      <c r="AZ1054" s="0" t="n">
        <f aca="false">IF(EH1054&lt;&gt;"",1,0)</f>
        <v>0</v>
      </c>
      <c r="BB1054" s="0" t="s">
        <v>152</v>
      </c>
      <c r="BL1054" s="0" t="s">
        <v>153</v>
      </c>
      <c r="DC1054" s="0" t="s">
        <v>153</v>
      </c>
      <c r="DI1054" s="0" t="s">
        <v>153</v>
      </c>
      <c r="DN1054" s="0" t="s">
        <v>153</v>
      </c>
      <c r="DU1054" s="0" t="s">
        <v>153</v>
      </c>
      <c r="DX1054" s="0" t="s">
        <v>153</v>
      </c>
      <c r="EA1054" s="0" t="s">
        <v>153</v>
      </c>
      <c r="ED1054" s="0" t="s">
        <v>209</v>
      </c>
      <c r="EF1054" s="0" t="s">
        <v>153</v>
      </c>
    </row>
    <row r="1055" customFormat="false" ht="13.8" hidden="true" customHeight="false" outlineLevel="0" collapsed="false">
      <c r="A1055" s="0" t="s">
        <v>5090</v>
      </c>
      <c r="B1055" s="0" t="n">
        <v>78</v>
      </c>
      <c r="C1055" s="0" t="n">
        <v>446860</v>
      </c>
      <c r="D1055" s="0" t="s">
        <v>5091</v>
      </c>
      <c r="E1055" s="0" t="s">
        <v>5092</v>
      </c>
      <c r="F1055" s="0" t="str">
        <f aca="false">CONCATENATE(D1055," ",LEFT(H1055,4),"T=",AU1055,"D=",AV1055,"R=",AW1055,"M=",AX1055,"L=",AY1055,"B=",AZ1055)</f>
        <v>CROSTEN T=6D=2R=0M=0L=1B=0</v>
      </c>
      <c r="G1055" s="0" t="s">
        <v>839</v>
      </c>
      <c r="I1055" s="0" t="s">
        <v>5093</v>
      </c>
      <c r="J1055" s="0" t="s">
        <v>5094</v>
      </c>
      <c r="K1055" s="0" t="s">
        <v>160</v>
      </c>
      <c r="M1055" s="0" t="s">
        <v>5095</v>
      </c>
      <c r="N1055" s="0" t="str">
        <f aca="false">RIGHT(M1055,LEN(M1055)-FIND(" ",M1055))</f>
        <v>KENILWORTH AVE SE</v>
      </c>
      <c r="P1055" s="0" t="s">
        <v>145</v>
      </c>
      <c r="Q1055" s="0" t="s">
        <v>146</v>
      </c>
      <c r="R1055" s="0" t="n">
        <v>44484</v>
      </c>
      <c r="AD1055" s="0" t="s">
        <v>147</v>
      </c>
      <c r="AE1055" s="0" t="s">
        <v>148</v>
      </c>
      <c r="AF1055" s="0" t="s">
        <v>149</v>
      </c>
      <c r="AH1055" s="0" t="n">
        <v>14</v>
      </c>
      <c r="AI1055" s="0" t="n">
        <v>11</v>
      </c>
      <c r="AN1055" s="0" t="s">
        <v>145</v>
      </c>
      <c r="AO1055" s="0" t="s">
        <v>233</v>
      </c>
      <c r="AP1055" s="0" t="s">
        <v>234</v>
      </c>
      <c r="AQ1055" s="0" t="n">
        <v>9</v>
      </c>
      <c r="AR1055" s="0" t="n">
        <v>64</v>
      </c>
      <c r="AS1055" s="0" t="n">
        <v>32</v>
      </c>
      <c r="AU1055" s="0" t="n">
        <f aca="false">COUNTA($BA$2195:$EH$2195)</f>
        <v>6</v>
      </c>
      <c r="AV1055" s="0" t="n">
        <f aca="false">COUNTIF($BA$2195:$EH$2195,"D")</f>
        <v>2</v>
      </c>
      <c r="AW1055" s="0" t="n">
        <f aca="false">COUNTIF($BA$2195:$EH$2195,"R")</f>
        <v>0</v>
      </c>
      <c r="AX1055" s="0" t="n">
        <f aca="false">IF(BN1055="D",1,0)+IF(BO1055="D",1,0)+IF(BT1055="D",1,0)+IF(BU1055="D",1,0)+IF(BW1055="D",1,0)+IF(CC1055="D",1,0)+IF(CD1055="D",1,0)+IF(CE1055="D",1,0)+IF(CF1055="D",1,0)+IF(CL1055="D",1,0)+IF(CM1055="D",1,0)+IF(CQ1055="D",1,0)+IF(CR1055="D",1,0)+IF(CS1055="D",1,0)+IF(CW1055="D",1,0)+IF(CX1055="D",1,0)+IF(DD1055="D",1,0)+IF(DE1055="D",1,0)+IF(DJ1055="D",1,0)+IF(DK1055="D",1,0)+IF(DO1055="D",1,0)+IF(DP1055="D",1,0)+IF(DQ1055="D",1,0)+IF(DW1055="D",1,0)+IF(DZ1055="D",1,0)+IF(EH1055="D",1,0)</f>
        <v>0</v>
      </c>
      <c r="AY1055" s="0" t="n">
        <f aca="false">COUNTIF(DU1055:EH1055, "&lt;&gt;")</f>
        <v>1</v>
      </c>
      <c r="AZ1055" s="0" t="n">
        <f aca="false">IF(EH1055&lt;&gt;"",1,0)</f>
        <v>0</v>
      </c>
      <c r="BB1055" s="0" t="s">
        <v>152</v>
      </c>
      <c r="BC1055" s="0" t="s">
        <v>153</v>
      </c>
      <c r="BD1055" s="0" t="s">
        <v>153</v>
      </c>
      <c r="BL1055" s="0" t="s">
        <v>153</v>
      </c>
      <c r="CA1055" s="0" t="s">
        <v>153</v>
      </c>
      <c r="CP1055" s="0" t="s">
        <v>153</v>
      </c>
      <c r="DC1055" s="0" t="s">
        <v>153</v>
      </c>
      <c r="DN1055" s="0" t="s">
        <v>153</v>
      </c>
      <c r="EF1055" s="0" t="s">
        <v>153</v>
      </c>
    </row>
    <row r="1056" customFormat="false" ht="13.8" hidden="true" customHeight="false" outlineLevel="0" collapsed="false">
      <c r="A1056" s="0" t="s">
        <v>5096</v>
      </c>
      <c r="B1056" s="0" t="n">
        <v>78</v>
      </c>
      <c r="C1056" s="0" t="n">
        <v>445053</v>
      </c>
      <c r="D1056" s="0" t="s">
        <v>5097</v>
      </c>
      <c r="E1056" s="0" t="s">
        <v>958</v>
      </c>
      <c r="F1056" s="0" t="str">
        <f aca="false">CONCATENATE(D1056," ",LEFT(H1056,4),"T=",AU1056,"D=",AV1056,"R=",AW1056,"M=",AX1056,"L=",AY1056,"B=",AZ1056)</f>
        <v>GALYON T=1D=0R=0M=0L=1B=0</v>
      </c>
      <c r="G1056" s="0" t="s">
        <v>325</v>
      </c>
      <c r="I1056" s="0" t="s">
        <v>5098</v>
      </c>
      <c r="J1056" s="0" t="s">
        <v>5099</v>
      </c>
      <c r="K1056" s="0" t="s">
        <v>160</v>
      </c>
      <c r="M1056" s="0" t="s">
        <v>5095</v>
      </c>
      <c r="N1056" s="0" t="str">
        <f aca="false">RIGHT(M1056,LEN(M1056)-FIND(" ",M1056))</f>
        <v>KENILWORTH AVE SE</v>
      </c>
      <c r="P1056" s="0" t="s">
        <v>145</v>
      </c>
      <c r="Q1056" s="0" t="s">
        <v>146</v>
      </c>
      <c r="R1056" s="0" t="n">
        <v>44484</v>
      </c>
      <c r="AD1056" s="0" t="s">
        <v>147</v>
      </c>
      <c r="AE1056" s="0" t="s">
        <v>148</v>
      </c>
      <c r="AF1056" s="0" t="s">
        <v>149</v>
      </c>
      <c r="AH1056" s="0" t="n">
        <v>14</v>
      </c>
      <c r="AI1056" s="0" t="n">
        <v>11</v>
      </c>
      <c r="AN1056" s="0" t="s">
        <v>145</v>
      </c>
      <c r="AO1056" s="0" t="s">
        <v>233</v>
      </c>
      <c r="AP1056" s="0" t="s">
        <v>234</v>
      </c>
      <c r="AQ1056" s="0" t="n">
        <v>9</v>
      </c>
      <c r="AR1056" s="0" t="n">
        <v>64</v>
      </c>
      <c r="AS1056" s="0" t="n">
        <v>32</v>
      </c>
      <c r="AU1056" s="0" t="n">
        <f aca="false">COUNTA($BA$2680:$EH$2680)</f>
        <v>1</v>
      </c>
      <c r="AV1056" s="0" t="n">
        <f aca="false">COUNTIF($BA$2680:$EH$2680,"D")</f>
        <v>0</v>
      </c>
      <c r="AW1056" s="0" t="n">
        <f aca="false">COUNTIF($BA$2680:$EH$2680,"R")</f>
        <v>0</v>
      </c>
      <c r="AX1056" s="0" t="n">
        <f aca="false">IF(BN1056="D",1,0)+IF(BO1056="D",1,0)+IF(BT1056="D",1,0)+IF(BU1056="D",1,0)+IF(BW1056="D",1,0)+IF(CC1056="D",1,0)+IF(CD1056="D",1,0)+IF(CE1056="D",1,0)+IF(CF1056="D",1,0)+IF(CL1056="D",1,0)+IF(CM1056="D",1,0)+IF(CQ1056="D",1,0)+IF(CR1056="D",1,0)+IF(CS1056="D",1,0)+IF(CW1056="D",1,0)+IF(CX1056="D",1,0)+IF(DD1056="D",1,0)+IF(DE1056="D",1,0)+IF(DJ1056="D",1,0)+IF(DK1056="D",1,0)+IF(DO1056="D",1,0)+IF(DP1056="D",1,0)+IF(DQ1056="D",1,0)+IF(DW1056="D",1,0)+IF(DZ1056="D",1,0)+IF(EH1056="D",1,0)</f>
        <v>0</v>
      </c>
      <c r="AY1056" s="0" t="n">
        <f aca="false">COUNTIF(DU1056:EH1056, "&lt;&gt;")</f>
        <v>1</v>
      </c>
      <c r="AZ1056" s="0" t="n">
        <f aca="false">IF(EH1056&lt;&gt;"",1,0)</f>
        <v>0</v>
      </c>
      <c r="BB1056" s="0" t="s">
        <v>152</v>
      </c>
      <c r="CA1056" s="0" t="s">
        <v>153</v>
      </c>
      <c r="CP1056" s="0" t="s">
        <v>153</v>
      </c>
      <c r="DC1056" s="0" t="s">
        <v>153</v>
      </c>
      <c r="DN1056" s="0" t="s">
        <v>153</v>
      </c>
      <c r="EF1056" s="0" t="s">
        <v>153</v>
      </c>
    </row>
    <row r="1057" customFormat="false" ht="13.8" hidden="true" customHeight="false" outlineLevel="0" collapsed="false">
      <c r="A1057" s="0" t="s">
        <v>5100</v>
      </c>
      <c r="B1057" s="0" t="n">
        <v>78</v>
      </c>
      <c r="C1057" s="0" t="n">
        <v>380343</v>
      </c>
      <c r="D1057" s="0" t="s">
        <v>5101</v>
      </c>
      <c r="E1057" s="0" t="s">
        <v>5102</v>
      </c>
      <c r="F1057" s="0" t="str">
        <f aca="false">CONCATENATE(D1057," ",LEFT(H1057,4),"T=",AU1057,"D=",AV1057,"R=",AW1057,"M=",AX1057,"L=",AY1057,"B=",AZ1057)</f>
        <v>MALLORY T=2D=0R=0M=0L=0B=0</v>
      </c>
      <c r="G1057" s="0" t="s">
        <v>307</v>
      </c>
      <c r="I1057" s="0" t="s">
        <v>5103</v>
      </c>
      <c r="J1057" s="0" t="s">
        <v>187</v>
      </c>
      <c r="K1057" s="0" t="s">
        <v>143</v>
      </c>
      <c r="M1057" s="0" t="s">
        <v>5104</v>
      </c>
      <c r="N1057" s="0" t="str">
        <f aca="false">RIGHT(M1057,LEN(M1057)-FIND(" ",M1057))</f>
        <v>KENILWORTH AVE SE</v>
      </c>
      <c r="P1057" s="0" t="s">
        <v>145</v>
      </c>
      <c r="Q1057" s="0" t="s">
        <v>146</v>
      </c>
      <c r="R1057" s="0" t="n">
        <v>44484</v>
      </c>
      <c r="AD1057" s="0" t="s">
        <v>147</v>
      </c>
      <c r="AE1057" s="0" t="s">
        <v>148</v>
      </c>
      <c r="AF1057" s="0" t="s">
        <v>149</v>
      </c>
      <c r="AH1057" s="0" t="n">
        <v>14</v>
      </c>
      <c r="AI1057" s="0" t="n">
        <v>11</v>
      </c>
      <c r="AN1057" s="0" t="s">
        <v>145</v>
      </c>
      <c r="AO1057" s="0" t="s">
        <v>233</v>
      </c>
      <c r="AP1057" s="0" t="s">
        <v>234</v>
      </c>
      <c r="AQ1057" s="0" t="n">
        <v>9</v>
      </c>
      <c r="AR1057" s="0" t="n">
        <v>64</v>
      </c>
      <c r="AS1057" s="0" t="n">
        <v>32</v>
      </c>
      <c r="AU1057" s="0" t="n">
        <f aca="false">COUNTA($BA$2363:$EH$2363)</f>
        <v>2</v>
      </c>
      <c r="AV1057" s="0" t="n">
        <f aca="false">COUNTIF($BA$2363:$EH$2363,"D")</f>
        <v>0</v>
      </c>
      <c r="AW1057" s="0" t="n">
        <f aca="false">COUNTIF($BA$2363:$EH$2363,"R")</f>
        <v>0</v>
      </c>
      <c r="AX1057" s="0" t="n">
        <f aca="false">IF(BN1057="D",1,0)+IF(BO1057="D",1,0)+IF(BT1057="D",1,0)+IF(BU1057="D",1,0)+IF(BW1057="D",1,0)+IF(CC1057="D",1,0)+IF(CD1057="D",1,0)+IF(CE1057="D",1,0)+IF(CF1057="D",1,0)+IF(CL1057="D",1,0)+IF(CM1057="D",1,0)+IF(CQ1057="D",1,0)+IF(CR1057="D",1,0)+IF(CS1057="D",1,0)+IF(CW1057="D",1,0)+IF(CX1057="D",1,0)+IF(DD1057="D",1,0)+IF(DE1057="D",1,0)+IF(DJ1057="D",1,0)+IF(DK1057="D",1,0)+IF(DO1057="D",1,0)+IF(DP1057="D",1,0)+IF(DQ1057="D",1,0)+IF(DW1057="D",1,0)+IF(DZ1057="D",1,0)+IF(EH1057="D",1,0)</f>
        <v>0</v>
      </c>
      <c r="AY1057" s="0" t="n">
        <f aca="false">COUNTIF(DU1057:EH1057, "&lt;&gt;")</f>
        <v>0</v>
      </c>
      <c r="AZ1057" s="0" t="n">
        <f aca="false">IF(EH1057&lt;&gt;"",1,0)</f>
        <v>0</v>
      </c>
      <c r="BB1057" s="0" t="s">
        <v>152</v>
      </c>
      <c r="CP1057" s="0" t="s">
        <v>153</v>
      </c>
      <c r="CY1057" s="0" t="s">
        <v>153</v>
      </c>
      <c r="DC1057" s="0" t="s">
        <v>153</v>
      </c>
    </row>
    <row r="1058" customFormat="false" ht="13.8" hidden="false" customHeight="false" outlineLevel="0" collapsed="false">
      <c r="A1058" s="0" t="s">
        <v>5105</v>
      </c>
      <c r="B1058" s="0" t="n">
        <v>78</v>
      </c>
      <c r="C1058" s="0" t="n">
        <v>331422</v>
      </c>
      <c r="D1058" s="0" t="s">
        <v>4535</v>
      </c>
      <c r="E1058" s="0" t="s">
        <v>157</v>
      </c>
      <c r="F1058" s="0" t="str">
        <f aca="false">CONCATENATE(D1058," ",LEFT(H1058,4),"T=",AU1058,"D=",AV1058,"R=",AW1058,"M=",AX1058,"L=",AY1058,"B=",AZ1058)</f>
        <v>THOMPSON T=1D=0R=0M=0L=5B=0</v>
      </c>
      <c r="G1058" s="0" t="s">
        <v>670</v>
      </c>
      <c r="I1058" s="0" t="s">
        <v>5106</v>
      </c>
      <c r="J1058" s="0" t="s">
        <v>5107</v>
      </c>
      <c r="K1058" s="0" t="s">
        <v>160</v>
      </c>
      <c r="L1058" s="0" t="s">
        <v>175</v>
      </c>
      <c r="M1058" s="0" t="s">
        <v>5108</v>
      </c>
      <c r="N1058" s="0" t="str">
        <f aca="false">RIGHT(M1058,LEN(M1058)-FIND(" ",M1058))</f>
        <v>KENILWORTH AVE SE</v>
      </c>
      <c r="P1058" s="0" t="s">
        <v>145</v>
      </c>
      <c r="Q1058" s="0" t="s">
        <v>146</v>
      </c>
      <c r="R1058" s="0" t="n">
        <v>44484</v>
      </c>
      <c r="AD1058" s="0" t="s">
        <v>147</v>
      </c>
      <c r="AE1058" s="0" t="s">
        <v>148</v>
      </c>
      <c r="AF1058" s="0" t="s">
        <v>149</v>
      </c>
      <c r="AH1058" s="0" t="n">
        <v>14</v>
      </c>
      <c r="AI1058" s="0" t="n">
        <v>11</v>
      </c>
      <c r="AN1058" s="0" t="s">
        <v>145</v>
      </c>
      <c r="AO1058" s="0" t="s">
        <v>233</v>
      </c>
      <c r="AP1058" s="0" t="s">
        <v>234</v>
      </c>
      <c r="AQ1058" s="0" t="n">
        <v>9</v>
      </c>
      <c r="AR1058" s="0" t="n">
        <v>64</v>
      </c>
      <c r="AS1058" s="0" t="n">
        <v>32</v>
      </c>
      <c r="AU1058" s="0" t="n">
        <f aca="false">COUNTA($BA$2280:$EH$2280)</f>
        <v>1</v>
      </c>
      <c r="AV1058" s="0" t="n">
        <f aca="false">COUNTIF($BA$2280:$EH$2280,"D")</f>
        <v>0</v>
      </c>
      <c r="AW1058" s="0" t="n">
        <f aca="false">COUNTIF($BA$2280:$EH$2280,"R")</f>
        <v>0</v>
      </c>
      <c r="AX1058" s="0" t="n">
        <f aca="false">IF(BN1058="D",1,0)+IF(BO1058="D",1,0)+IF(BT1058="D",1,0)+IF(BU1058="D",1,0)+IF(BW1058="D",1,0)+IF(CC1058="D",1,0)+IF(CD1058="D",1,0)+IF(CE1058="D",1,0)+IF(CF1058="D",1,0)+IF(CL1058="D",1,0)+IF(CM1058="D",1,0)+IF(CQ1058="D",1,0)+IF(CR1058="D",1,0)+IF(CS1058="D",1,0)+IF(CW1058="D",1,0)+IF(CX1058="D",1,0)+IF(DD1058="D",1,0)+IF(DE1058="D",1,0)+IF(DJ1058="D",1,0)+IF(DK1058="D",1,0)+IF(DO1058="D",1,0)+IF(DP1058="D",1,0)+IF(DQ1058="D",1,0)+IF(DW1058="D",1,0)+IF(DZ1058="D",1,0)+IF(EH1058="D",1,0)</f>
        <v>0</v>
      </c>
      <c r="AY1058" s="0" t="n">
        <f aca="false">COUNTIF(DU1058:EH1058, "&lt;&gt;")</f>
        <v>5</v>
      </c>
      <c r="AZ1058" s="0" t="n">
        <f aca="false">IF(EH1058&lt;&gt;"",1,0)</f>
        <v>0</v>
      </c>
      <c r="BB1058" s="0" t="s">
        <v>152</v>
      </c>
      <c r="BL1058" s="0" t="s">
        <v>153</v>
      </c>
      <c r="BS1058" s="0" t="s">
        <v>153</v>
      </c>
      <c r="BY1058" s="0" t="s">
        <v>175</v>
      </c>
      <c r="CA1058" s="0" t="s">
        <v>153</v>
      </c>
      <c r="CN1058" s="0" t="s">
        <v>153</v>
      </c>
      <c r="CP1058" s="0" t="s">
        <v>153</v>
      </c>
      <c r="CV1058" s="0" t="s">
        <v>153</v>
      </c>
      <c r="CY1058" s="0" t="s">
        <v>153</v>
      </c>
      <c r="CZ1058" s="0" t="s">
        <v>175</v>
      </c>
      <c r="DC1058" s="0" t="s">
        <v>153</v>
      </c>
      <c r="DI1058" s="0" t="s">
        <v>153</v>
      </c>
      <c r="DN1058" s="0" t="s">
        <v>153</v>
      </c>
      <c r="DU1058" s="0" t="s">
        <v>153</v>
      </c>
      <c r="DX1058" s="0" t="s">
        <v>153</v>
      </c>
      <c r="EA1058" s="0" t="s">
        <v>153</v>
      </c>
      <c r="ED1058" s="0" t="s">
        <v>175</v>
      </c>
      <c r="EF1058" s="0" t="s">
        <v>153</v>
      </c>
    </row>
    <row r="1059" customFormat="false" ht="13.8" hidden="false" customHeight="false" outlineLevel="0" collapsed="false">
      <c r="A1059" s="0" t="s">
        <v>5109</v>
      </c>
      <c r="B1059" s="0" t="n">
        <v>78</v>
      </c>
      <c r="C1059" s="0" t="n">
        <v>470967</v>
      </c>
      <c r="D1059" s="0" t="s">
        <v>4079</v>
      </c>
      <c r="E1059" s="0" t="s">
        <v>3298</v>
      </c>
      <c r="F1059" s="0" t="str">
        <f aca="false">CONCATENATE(D1059," ",LEFT(H1059,4),"T=",AU1059,"D=",AV1059,"R=",AW1059,"M=",AX1059,"L=",AY1059,"B=",AZ1059)</f>
        <v>IRVING T=1D=0R=0M=0L=3B=0</v>
      </c>
      <c r="G1059" s="0" t="s">
        <v>190</v>
      </c>
      <c r="I1059" s="0" t="s">
        <v>5110</v>
      </c>
      <c r="J1059" s="0" t="s">
        <v>5111</v>
      </c>
      <c r="K1059" s="0" t="s">
        <v>160</v>
      </c>
      <c r="M1059" s="0" t="s">
        <v>5108</v>
      </c>
      <c r="N1059" s="0" t="str">
        <f aca="false">RIGHT(M1059,LEN(M1059)-FIND(" ",M1059))</f>
        <v>KENILWORTH AVE SE</v>
      </c>
      <c r="P1059" s="0" t="s">
        <v>145</v>
      </c>
      <c r="Q1059" s="0" t="s">
        <v>146</v>
      </c>
      <c r="R1059" s="0" t="n">
        <v>44484</v>
      </c>
      <c r="AD1059" s="0" t="s">
        <v>147</v>
      </c>
      <c r="AE1059" s="0" t="s">
        <v>148</v>
      </c>
      <c r="AF1059" s="0" t="s">
        <v>149</v>
      </c>
      <c r="AH1059" s="0" t="n">
        <v>14</v>
      </c>
      <c r="AI1059" s="0" t="n">
        <v>11</v>
      </c>
      <c r="AN1059" s="0" t="s">
        <v>145</v>
      </c>
      <c r="AO1059" s="0" t="s">
        <v>233</v>
      </c>
      <c r="AP1059" s="0" t="s">
        <v>234</v>
      </c>
      <c r="AQ1059" s="0" t="n">
        <v>9</v>
      </c>
      <c r="AR1059" s="0" t="n">
        <v>64</v>
      </c>
      <c r="AS1059" s="0" t="n">
        <v>32</v>
      </c>
      <c r="AU1059" s="0" t="n">
        <f aca="false">COUNTA($BA$2404:$EH$2404)</f>
        <v>1</v>
      </c>
      <c r="AV1059" s="0" t="n">
        <f aca="false">COUNTIF($BA$2404:$EH$2404,"D")</f>
        <v>0</v>
      </c>
      <c r="AW1059" s="0" t="n">
        <f aca="false">COUNTIF($BA$2404:$EH$2404,"R")</f>
        <v>0</v>
      </c>
      <c r="AX1059" s="0" t="n">
        <f aca="false">IF(BN1059="D",1,0)+IF(BO1059="D",1,0)+IF(BT1059="D",1,0)+IF(BU1059="D",1,0)+IF(BW1059="D",1,0)+IF(CC1059="D",1,0)+IF(CD1059="D",1,0)+IF(CE1059="D",1,0)+IF(CF1059="D",1,0)+IF(CL1059="D",1,0)+IF(CM1059="D",1,0)+IF(CQ1059="D",1,0)+IF(CR1059="D",1,0)+IF(CS1059="D",1,0)+IF(CW1059="D",1,0)+IF(CX1059="D",1,0)+IF(DD1059="D",1,0)+IF(DE1059="D",1,0)+IF(DJ1059="D",1,0)+IF(DK1059="D",1,0)+IF(DO1059="D",1,0)+IF(DP1059="D",1,0)+IF(DQ1059="D",1,0)+IF(DW1059="D",1,0)+IF(DZ1059="D",1,0)+IF(EH1059="D",1,0)</f>
        <v>0</v>
      </c>
      <c r="AY1059" s="0" t="n">
        <f aca="false">COUNTIF(DU1059:EH1059, "&lt;&gt;")</f>
        <v>3</v>
      </c>
      <c r="AZ1059" s="0" t="n">
        <f aca="false">IF(EH1059&lt;&gt;"",1,0)</f>
        <v>0</v>
      </c>
      <c r="BB1059" s="0" t="s">
        <v>152</v>
      </c>
      <c r="DX1059" s="0" t="s">
        <v>153</v>
      </c>
      <c r="EA1059" s="0" t="s">
        <v>153</v>
      </c>
      <c r="EF1059" s="0" t="s">
        <v>153</v>
      </c>
    </row>
    <row r="1060" customFormat="false" ht="13.8" hidden="true" customHeight="false" outlineLevel="0" collapsed="false">
      <c r="A1060" s="0" t="s">
        <v>5112</v>
      </c>
      <c r="B1060" s="0" t="n">
        <v>78</v>
      </c>
      <c r="C1060" s="0" t="n">
        <v>487192</v>
      </c>
      <c r="D1060" s="0" t="s">
        <v>224</v>
      </c>
      <c r="E1060" s="0" t="s">
        <v>5113</v>
      </c>
      <c r="F1060" s="0" t="str">
        <f aca="false">CONCATENATE(D1060," ",LEFT(H1060,4),"T=",AU1060,"D=",AV1060,"R=",AW1060,"M=",AX1060,"L=",AY1060,"B=",AZ1060)</f>
        <v>THOMAS T=4D=1R=0M=0L=0B=0</v>
      </c>
      <c r="G1060" s="0" t="s">
        <v>606</v>
      </c>
      <c r="I1060" s="0" t="s">
        <v>5114</v>
      </c>
      <c r="J1060" s="0" t="s">
        <v>639</v>
      </c>
      <c r="K1060" s="0" t="s">
        <v>160</v>
      </c>
      <c r="M1060" s="0" t="s">
        <v>5115</v>
      </c>
      <c r="N1060" s="0" t="str">
        <f aca="false">RIGHT(M1060,LEN(M1060)-FIND(" ",M1060))</f>
        <v>KENILWORTH AVE SE</v>
      </c>
      <c r="P1060" s="0" t="s">
        <v>145</v>
      </c>
      <c r="Q1060" s="0" t="s">
        <v>146</v>
      </c>
      <c r="R1060" s="0" t="n">
        <v>44484</v>
      </c>
      <c r="AD1060" s="0" t="s">
        <v>147</v>
      </c>
      <c r="AE1060" s="0" t="s">
        <v>148</v>
      </c>
      <c r="AF1060" s="0" t="s">
        <v>149</v>
      </c>
      <c r="AH1060" s="0" t="n">
        <v>14</v>
      </c>
      <c r="AI1060" s="0" t="n">
        <v>11</v>
      </c>
      <c r="AN1060" s="0" t="s">
        <v>145</v>
      </c>
      <c r="AO1060" s="0" t="s">
        <v>233</v>
      </c>
      <c r="AP1060" s="0" t="s">
        <v>234</v>
      </c>
      <c r="AQ1060" s="0" t="n">
        <v>9</v>
      </c>
      <c r="AR1060" s="0" t="n">
        <v>64</v>
      </c>
      <c r="AS1060" s="0" t="n">
        <v>32</v>
      </c>
      <c r="AU1060" s="0" t="n">
        <f aca="false">COUNTA($BA$2261:$EH$2261)</f>
        <v>4</v>
      </c>
      <c r="AV1060" s="0" t="n">
        <f aca="false">COUNTIF($BA$2261:$EH$2261,"D")</f>
        <v>1</v>
      </c>
      <c r="AW1060" s="0" t="n">
        <f aca="false">COUNTIF($BA$2261:$EH$2261,"R")</f>
        <v>0</v>
      </c>
      <c r="AX1060" s="0" t="n">
        <f aca="false">IF(BN1060="D",1,0)+IF(BO1060="D",1,0)+IF(BT1060="D",1,0)+IF(BU1060="D",1,0)+IF(BW1060="D",1,0)+IF(CC1060="D",1,0)+IF(CD1060="D",1,0)+IF(CE1060="D",1,0)+IF(CF1060="D",1,0)+IF(CL1060="D",1,0)+IF(CM1060="D",1,0)+IF(CQ1060="D",1,0)+IF(CR1060="D",1,0)+IF(CS1060="D",1,0)+IF(CW1060="D",1,0)+IF(CX1060="D",1,0)+IF(DD1060="D",1,0)+IF(DE1060="D",1,0)+IF(DJ1060="D",1,0)+IF(DK1060="D",1,0)+IF(DO1060="D",1,0)+IF(DP1060="D",1,0)+IF(DQ1060="D",1,0)+IF(DW1060="D",1,0)+IF(DZ1060="D",1,0)+IF(EH1060="D",1,0)</f>
        <v>0</v>
      </c>
      <c r="AY1060" s="0" t="n">
        <f aca="false">COUNTIF(DU1060:EH1060, "&lt;&gt;")</f>
        <v>0</v>
      </c>
      <c r="AZ1060" s="0" t="n">
        <f aca="false">IF(EH1060&lt;&gt;"",1,0)</f>
        <v>0</v>
      </c>
      <c r="BB1060" s="0" t="s">
        <v>152</v>
      </c>
    </row>
    <row r="1061" customFormat="false" ht="13.8" hidden="true" customHeight="false" outlineLevel="0" collapsed="false">
      <c r="A1061" s="0" t="s">
        <v>5116</v>
      </c>
      <c r="B1061" s="0" t="n">
        <v>78</v>
      </c>
      <c r="C1061" s="0" t="n">
        <v>391096</v>
      </c>
      <c r="D1061" s="0" t="s">
        <v>5117</v>
      </c>
      <c r="E1061" s="0" t="s">
        <v>1193</v>
      </c>
      <c r="F1061" s="0" t="str">
        <f aca="false">CONCATENATE(D1061," ",LEFT(H1061,4),"T=",AU1061,"D=",AV1061,"R=",AW1061,"M=",AX1061,"L=",AY1061,"B=",AZ1061)</f>
        <v>GRIGGS T=4D=0R=0M=0L=0B=0</v>
      </c>
      <c r="G1061" s="0" t="s">
        <v>255</v>
      </c>
      <c r="I1061" s="0" t="s">
        <v>5118</v>
      </c>
      <c r="J1061" s="0" t="s">
        <v>693</v>
      </c>
      <c r="K1061" s="0" t="s">
        <v>143</v>
      </c>
      <c r="M1061" s="0" t="s">
        <v>5115</v>
      </c>
      <c r="N1061" s="0" t="str">
        <f aca="false">RIGHT(M1061,LEN(M1061)-FIND(" ",M1061))</f>
        <v>KENILWORTH AVE SE</v>
      </c>
      <c r="P1061" s="0" t="s">
        <v>145</v>
      </c>
      <c r="Q1061" s="0" t="s">
        <v>146</v>
      </c>
      <c r="R1061" s="0" t="n">
        <v>44484</v>
      </c>
      <c r="AD1061" s="0" t="s">
        <v>147</v>
      </c>
      <c r="AE1061" s="0" t="s">
        <v>148</v>
      </c>
      <c r="AF1061" s="0" t="s">
        <v>149</v>
      </c>
      <c r="AH1061" s="0" t="n">
        <v>14</v>
      </c>
      <c r="AI1061" s="0" t="n">
        <v>11</v>
      </c>
      <c r="AN1061" s="0" t="s">
        <v>145</v>
      </c>
      <c r="AO1061" s="0" t="s">
        <v>233</v>
      </c>
      <c r="AP1061" s="0" t="s">
        <v>234</v>
      </c>
      <c r="AQ1061" s="0" t="n">
        <v>9</v>
      </c>
      <c r="AR1061" s="0" t="n">
        <v>64</v>
      </c>
      <c r="AS1061" s="0" t="n">
        <v>32</v>
      </c>
      <c r="AU1061" s="0" t="n">
        <f aca="false">COUNTA($BA$2532:$EH$2532)</f>
        <v>4</v>
      </c>
      <c r="AV1061" s="0" t="n">
        <f aca="false">COUNTIF($BA$2532:$EH$2532,"D")</f>
        <v>0</v>
      </c>
      <c r="AW1061" s="0" t="n">
        <f aca="false">COUNTIF($BA$2532:$EH$2532,"R")</f>
        <v>0</v>
      </c>
      <c r="AX1061" s="0" t="n">
        <f aca="false">IF(BN1061="D",1,0)+IF(BO1061="D",1,0)+IF(BT1061="D",1,0)+IF(BU1061="D",1,0)+IF(BW1061="D",1,0)+IF(CC1061="D",1,0)+IF(CD1061="D",1,0)+IF(CE1061="D",1,0)+IF(CF1061="D",1,0)+IF(CL1061="D",1,0)+IF(CM1061="D",1,0)+IF(CQ1061="D",1,0)+IF(CR1061="D",1,0)+IF(CS1061="D",1,0)+IF(CW1061="D",1,0)+IF(CX1061="D",1,0)+IF(DD1061="D",1,0)+IF(DE1061="D",1,0)+IF(DJ1061="D",1,0)+IF(DK1061="D",1,0)+IF(DO1061="D",1,0)+IF(DP1061="D",1,0)+IF(DQ1061="D",1,0)+IF(DW1061="D",1,0)+IF(DZ1061="D",1,0)+IF(EH1061="D",1,0)</f>
        <v>0</v>
      </c>
      <c r="AY1061" s="0" t="n">
        <f aca="false">COUNTIF(DU1061:EH1061, "&lt;&gt;")</f>
        <v>0</v>
      </c>
      <c r="AZ1061" s="0" t="n">
        <f aca="false">IF(EH1061&lt;&gt;"",1,0)</f>
        <v>0</v>
      </c>
      <c r="BB1061" s="0" t="s">
        <v>152</v>
      </c>
    </row>
    <row r="1062" customFormat="false" ht="13.8" hidden="true" customHeight="false" outlineLevel="0" collapsed="false">
      <c r="A1062" s="0" t="s">
        <v>5119</v>
      </c>
      <c r="B1062" s="0" t="n">
        <v>78</v>
      </c>
      <c r="C1062" s="0" t="n">
        <v>487204</v>
      </c>
      <c r="D1062" s="0" t="s">
        <v>5120</v>
      </c>
      <c r="E1062" s="0" t="s">
        <v>424</v>
      </c>
      <c r="F1062" s="0" t="str">
        <f aca="false">CONCATENATE(D1062," ",LEFT(H1062,4),"T=",AU1062,"D=",AV1062,"R=",AW1062,"M=",AX1062,"L=",AY1062,"B=",AZ1062)</f>
        <v>KARR T=4D=1R=0M=0L=0B=0</v>
      </c>
      <c r="G1062" s="0" t="s">
        <v>195</v>
      </c>
      <c r="I1062" s="0" t="s">
        <v>5121</v>
      </c>
      <c r="J1062" s="0" t="s">
        <v>3340</v>
      </c>
      <c r="K1062" s="0" t="s">
        <v>160</v>
      </c>
      <c r="M1062" s="0" t="s">
        <v>5122</v>
      </c>
      <c r="N1062" s="0" t="str">
        <f aca="false">RIGHT(M1062,LEN(M1062)-FIND(" ",M1062))</f>
        <v>KENILWORTH AVE SE</v>
      </c>
      <c r="P1062" s="0" t="s">
        <v>145</v>
      </c>
      <c r="Q1062" s="0" t="s">
        <v>146</v>
      </c>
      <c r="R1062" s="0" t="n">
        <v>44484</v>
      </c>
      <c r="AD1062" s="0" t="s">
        <v>147</v>
      </c>
      <c r="AE1062" s="0" t="s">
        <v>148</v>
      </c>
      <c r="AF1062" s="0" t="s">
        <v>149</v>
      </c>
      <c r="AH1062" s="0" t="n">
        <v>14</v>
      </c>
      <c r="AI1062" s="0" t="n">
        <v>11</v>
      </c>
      <c r="AN1062" s="0" t="s">
        <v>145</v>
      </c>
      <c r="AO1062" s="0" t="s">
        <v>233</v>
      </c>
      <c r="AP1062" s="0" t="s">
        <v>234</v>
      </c>
      <c r="AQ1062" s="0" t="n">
        <v>9</v>
      </c>
      <c r="AR1062" s="0" t="n">
        <v>64</v>
      </c>
      <c r="AS1062" s="0" t="n">
        <v>32</v>
      </c>
      <c r="AU1062" s="0" t="n">
        <f aca="false">COUNTA($BA$2252:$EH$2252)</f>
        <v>4</v>
      </c>
      <c r="AV1062" s="0" t="n">
        <f aca="false">COUNTIF($BA$2252:$EH$2252,"D")</f>
        <v>1</v>
      </c>
      <c r="AW1062" s="0" t="n">
        <f aca="false">COUNTIF($BA$2252:$EH$2252,"R")</f>
        <v>0</v>
      </c>
      <c r="AX1062" s="0" t="n">
        <f aca="false">IF(BN1062="D",1,0)+IF(BO1062="D",1,0)+IF(BT1062="D",1,0)+IF(BU1062="D",1,0)+IF(BW1062="D",1,0)+IF(CC1062="D",1,0)+IF(CD1062="D",1,0)+IF(CE1062="D",1,0)+IF(CF1062="D",1,0)+IF(CL1062="D",1,0)+IF(CM1062="D",1,0)+IF(CQ1062="D",1,0)+IF(CR1062="D",1,0)+IF(CS1062="D",1,0)+IF(CW1062="D",1,0)+IF(CX1062="D",1,0)+IF(DD1062="D",1,0)+IF(DE1062="D",1,0)+IF(DJ1062="D",1,0)+IF(DK1062="D",1,0)+IF(DO1062="D",1,0)+IF(DP1062="D",1,0)+IF(DQ1062="D",1,0)+IF(DW1062="D",1,0)+IF(DZ1062="D",1,0)+IF(EH1062="D",1,0)</f>
        <v>0</v>
      </c>
      <c r="AY1062" s="0" t="n">
        <f aca="false">COUNTIF(DU1062:EH1062, "&lt;&gt;")</f>
        <v>0</v>
      </c>
      <c r="AZ1062" s="0" t="n">
        <f aca="false">IF(EH1062&lt;&gt;"",1,0)</f>
        <v>0</v>
      </c>
      <c r="BB1062" s="0" t="s">
        <v>152</v>
      </c>
    </row>
    <row r="1063" customFormat="false" ht="13.8" hidden="true" customHeight="false" outlineLevel="0" collapsed="false">
      <c r="A1063" s="0" t="s">
        <v>5123</v>
      </c>
      <c r="B1063" s="0" t="n">
        <v>78</v>
      </c>
      <c r="C1063" s="0" t="n">
        <v>461263</v>
      </c>
      <c r="D1063" s="0" t="s">
        <v>3193</v>
      </c>
      <c r="E1063" s="0" t="s">
        <v>5124</v>
      </c>
      <c r="F1063" s="0" t="str">
        <f aca="false">CONCATENATE(D1063," ",LEFT(H1063,4),"T=",AU1063,"D=",AV1063,"R=",AW1063,"M=",AX1063,"L=",AY1063,"B=",AZ1063)</f>
        <v>CARTER T=2D=0R=0M=0L=0B=0</v>
      </c>
      <c r="G1063" s="0" t="s">
        <v>215</v>
      </c>
      <c r="I1063" s="0" t="s">
        <v>2229</v>
      </c>
      <c r="J1063" s="0" t="s">
        <v>5125</v>
      </c>
      <c r="K1063" s="0" t="s">
        <v>143</v>
      </c>
      <c r="M1063" s="0" t="s">
        <v>5122</v>
      </c>
      <c r="N1063" s="0" t="str">
        <f aca="false">RIGHT(M1063,LEN(M1063)-FIND(" ",M1063))</f>
        <v>KENILWORTH AVE SE</v>
      </c>
      <c r="P1063" s="0" t="s">
        <v>145</v>
      </c>
      <c r="Q1063" s="0" t="s">
        <v>146</v>
      </c>
      <c r="R1063" s="0" t="n">
        <v>44484</v>
      </c>
      <c r="AD1063" s="0" t="s">
        <v>147</v>
      </c>
      <c r="AE1063" s="0" t="s">
        <v>148</v>
      </c>
      <c r="AF1063" s="0" t="s">
        <v>149</v>
      </c>
      <c r="AH1063" s="0" t="n">
        <v>14</v>
      </c>
      <c r="AI1063" s="0" t="n">
        <v>11</v>
      </c>
      <c r="AN1063" s="0" t="s">
        <v>145</v>
      </c>
      <c r="AO1063" s="0" t="s">
        <v>233</v>
      </c>
      <c r="AP1063" s="0" t="s">
        <v>234</v>
      </c>
      <c r="AQ1063" s="0" t="n">
        <v>9</v>
      </c>
      <c r="AR1063" s="0" t="n">
        <v>64</v>
      </c>
      <c r="AS1063" s="0" t="n">
        <v>32</v>
      </c>
      <c r="AU1063" s="0" t="n">
        <f aca="false">COUNTA($BA$2498:$EH$2498)</f>
        <v>2</v>
      </c>
      <c r="AV1063" s="0" t="n">
        <f aca="false">COUNTIF($BA$2498:$EH$2498,"D")</f>
        <v>0</v>
      </c>
      <c r="AW1063" s="0" t="n">
        <f aca="false">COUNTIF($BA$2498:$EH$2498,"R")</f>
        <v>0</v>
      </c>
      <c r="AX1063" s="0" t="n">
        <f aca="false">IF(BN1063="D",1,0)+IF(BO1063="D",1,0)+IF(BT1063="D",1,0)+IF(BU1063="D",1,0)+IF(BW1063="D",1,0)+IF(CC1063="D",1,0)+IF(CD1063="D",1,0)+IF(CE1063="D",1,0)+IF(CF1063="D",1,0)+IF(CL1063="D",1,0)+IF(CM1063="D",1,0)+IF(CQ1063="D",1,0)+IF(CR1063="D",1,0)+IF(CS1063="D",1,0)+IF(CW1063="D",1,0)+IF(CX1063="D",1,0)+IF(DD1063="D",1,0)+IF(DE1063="D",1,0)+IF(DJ1063="D",1,0)+IF(DK1063="D",1,0)+IF(DO1063="D",1,0)+IF(DP1063="D",1,0)+IF(DQ1063="D",1,0)+IF(DW1063="D",1,0)+IF(DZ1063="D",1,0)+IF(EH1063="D",1,0)</f>
        <v>0</v>
      </c>
      <c r="AY1063" s="0" t="n">
        <f aca="false">COUNTIF(DU1063:EH1063, "&lt;&gt;")</f>
        <v>0</v>
      </c>
      <c r="AZ1063" s="0" t="n">
        <f aca="false">IF(EH1063&lt;&gt;"",1,0)</f>
        <v>0</v>
      </c>
      <c r="BB1063" s="0" t="s">
        <v>152</v>
      </c>
    </row>
    <row r="1064" customFormat="false" ht="13.8" hidden="true" customHeight="false" outlineLevel="0" collapsed="false">
      <c r="A1064" s="0" t="s">
        <v>5126</v>
      </c>
      <c r="B1064" s="0" t="n">
        <v>78</v>
      </c>
      <c r="C1064" s="0" t="n">
        <v>340084</v>
      </c>
      <c r="D1064" s="0" t="s">
        <v>527</v>
      </c>
      <c r="E1064" s="0" t="s">
        <v>5127</v>
      </c>
      <c r="F1064" s="0" t="str">
        <f aca="false">CONCATENATE(D1064," ",LEFT(H1064,4),"T=",AU1064,"D=",AV1064,"R=",AW1064,"M=",AX1064,"L=",AY1064,"B=",AZ1064)</f>
        <v>BAUGH T=31D=13R=0M=0L=0B=0</v>
      </c>
      <c r="G1064" s="0" t="s">
        <v>1128</v>
      </c>
      <c r="I1064" s="0" t="s">
        <v>5128</v>
      </c>
      <c r="J1064" s="0" t="s">
        <v>5129</v>
      </c>
      <c r="K1064" s="0" t="s">
        <v>160</v>
      </c>
      <c r="M1064" s="0" t="s">
        <v>5130</v>
      </c>
      <c r="N1064" s="0" t="str">
        <f aca="false">RIGHT(M1064,LEN(M1064)-FIND(" ",M1064))</f>
        <v>KENILWORTH AVE SE</v>
      </c>
      <c r="P1064" s="0" t="s">
        <v>145</v>
      </c>
      <c r="Q1064" s="0" t="s">
        <v>146</v>
      </c>
      <c r="R1064" s="0" t="n">
        <v>44484</v>
      </c>
      <c r="AD1064" s="0" t="s">
        <v>147</v>
      </c>
      <c r="AE1064" s="0" t="s">
        <v>148</v>
      </c>
      <c r="AF1064" s="0" t="s">
        <v>149</v>
      </c>
      <c r="AH1064" s="0" t="n">
        <v>14</v>
      </c>
      <c r="AI1064" s="0" t="n">
        <v>11</v>
      </c>
      <c r="AN1064" s="0" t="s">
        <v>145</v>
      </c>
      <c r="AO1064" s="0" t="s">
        <v>233</v>
      </c>
      <c r="AP1064" s="0" t="s">
        <v>234</v>
      </c>
      <c r="AQ1064" s="0" t="n">
        <v>9</v>
      </c>
      <c r="AR1064" s="0" t="n">
        <v>64</v>
      </c>
      <c r="AS1064" s="0" t="n">
        <v>32</v>
      </c>
      <c r="AU1064" s="0" t="n">
        <f aca="false">COUNTA($BA$2247:$EH$2247)</f>
        <v>31</v>
      </c>
      <c r="AV1064" s="0" t="n">
        <f aca="false">COUNTIF($BA$2247:$EH$2247,"D")</f>
        <v>13</v>
      </c>
      <c r="AW1064" s="0" t="n">
        <f aca="false">COUNTIF($BA$2247:$EH$2247,"R")</f>
        <v>0</v>
      </c>
      <c r="AX1064" s="0" t="n">
        <f aca="false">IF(BN1064="D",1,0)+IF(BO1064="D",1,0)+IF(BT1064="D",1,0)+IF(BU1064="D",1,0)+IF(BW1064="D",1,0)+IF(CC1064="D",1,0)+IF(CD1064="D",1,0)+IF(CE1064="D",1,0)+IF(CF1064="D",1,0)+IF(CL1064="D",1,0)+IF(CM1064="D",1,0)+IF(CQ1064="D",1,0)+IF(CR1064="D",1,0)+IF(CS1064="D",1,0)+IF(CW1064="D",1,0)+IF(CX1064="D",1,0)+IF(DD1064="D",1,0)+IF(DE1064="D",1,0)+IF(DJ1064="D",1,0)+IF(DK1064="D",1,0)+IF(DO1064="D",1,0)+IF(DP1064="D",1,0)+IF(DQ1064="D",1,0)+IF(DW1064="D",1,0)+IF(DZ1064="D",1,0)+IF(EH1064="D",1,0)</f>
        <v>0</v>
      </c>
      <c r="AY1064" s="0" t="n">
        <f aca="false">COUNTIF(DU1064:EH1064, "&lt;&gt;")</f>
        <v>0</v>
      </c>
      <c r="AZ1064" s="0" t="n">
        <f aca="false">IF(EH1064&lt;&gt;"",1,0)</f>
        <v>0</v>
      </c>
      <c r="BB1064" s="0" t="s">
        <v>152</v>
      </c>
      <c r="CA1064" s="0" t="s">
        <v>153</v>
      </c>
      <c r="CP1064" s="0" t="s">
        <v>153</v>
      </c>
      <c r="DC1064" s="0" t="s">
        <v>153</v>
      </c>
      <c r="DI1064" s="0" t="s">
        <v>153</v>
      </c>
    </row>
    <row r="1065" customFormat="false" ht="13.8" hidden="false" customHeight="false" outlineLevel="0" collapsed="false">
      <c r="A1065" s="0" t="s">
        <v>5131</v>
      </c>
      <c r="B1065" s="0" t="n">
        <v>78</v>
      </c>
      <c r="C1065" s="0" t="n">
        <v>408414</v>
      </c>
      <c r="D1065" s="0" t="s">
        <v>5132</v>
      </c>
      <c r="E1065" s="0" t="s">
        <v>5133</v>
      </c>
      <c r="F1065" s="0" t="str">
        <f aca="false">CONCATENATE(D1065," ",LEFT(H1065,4),"T=",AU1065,"D=",AV1065,"R=",AW1065,"M=",AX1065,"L=",AY1065,"B=",AZ1065)</f>
        <v>DUNEWOOD T=5D=0R=0M=0L=3B=0</v>
      </c>
      <c r="G1065" s="0" t="s">
        <v>1128</v>
      </c>
      <c r="I1065" s="0" t="s">
        <v>5134</v>
      </c>
      <c r="J1065" s="0" t="s">
        <v>5135</v>
      </c>
      <c r="K1065" s="0" t="s">
        <v>160</v>
      </c>
      <c r="L1065" s="0" t="s">
        <v>175</v>
      </c>
      <c r="M1065" s="0" t="s">
        <v>5136</v>
      </c>
      <c r="N1065" s="0" t="str">
        <f aca="false">RIGHT(M1065,LEN(M1065)-FIND(" ",M1065))</f>
        <v>KENILWORTH AVE SE</v>
      </c>
      <c r="P1065" s="0" t="s">
        <v>145</v>
      </c>
      <c r="Q1065" s="0" t="s">
        <v>146</v>
      </c>
      <c r="R1065" s="0" t="n">
        <v>44484</v>
      </c>
      <c r="AD1065" s="0" t="s">
        <v>147</v>
      </c>
      <c r="AE1065" s="0" t="s">
        <v>148</v>
      </c>
      <c r="AF1065" s="0" t="s">
        <v>149</v>
      </c>
      <c r="AH1065" s="0" t="n">
        <v>14</v>
      </c>
      <c r="AI1065" s="0" t="n">
        <v>11</v>
      </c>
      <c r="AN1065" s="0" t="s">
        <v>145</v>
      </c>
      <c r="AO1065" s="0" t="s">
        <v>233</v>
      </c>
      <c r="AP1065" s="0" t="s">
        <v>234</v>
      </c>
      <c r="AQ1065" s="0" t="n">
        <v>9</v>
      </c>
      <c r="AR1065" s="0" t="n">
        <v>64</v>
      </c>
      <c r="AS1065" s="0" t="n">
        <v>32</v>
      </c>
      <c r="AU1065" s="0" t="n">
        <f aca="false">COUNTA($BA$2303:$EH$2303)</f>
        <v>5</v>
      </c>
      <c r="AV1065" s="0" t="n">
        <f aca="false">COUNTIF($BA$2303:$EH$2303,"D")</f>
        <v>0</v>
      </c>
      <c r="AW1065" s="0" t="n">
        <f aca="false">COUNTIF($BA$2303:$EH$2303,"R")</f>
        <v>0</v>
      </c>
      <c r="AX1065" s="0" t="n">
        <f aca="false">IF(BN1065="D",1,0)+IF(BO1065="D",1,0)+IF(BT1065="D",1,0)+IF(BU1065="D",1,0)+IF(BW1065="D",1,0)+IF(CC1065="D",1,0)+IF(CD1065="D",1,0)+IF(CE1065="D",1,0)+IF(CF1065="D",1,0)+IF(CL1065="D",1,0)+IF(CM1065="D",1,0)+IF(CQ1065="D",1,0)+IF(CR1065="D",1,0)+IF(CS1065="D",1,0)+IF(CW1065="D",1,0)+IF(CX1065="D",1,0)+IF(DD1065="D",1,0)+IF(DE1065="D",1,0)+IF(DJ1065="D",1,0)+IF(DK1065="D",1,0)+IF(DO1065="D",1,0)+IF(DP1065="D",1,0)+IF(DQ1065="D",1,0)+IF(DW1065="D",1,0)+IF(DZ1065="D",1,0)+IF(EH1065="D",1,0)</f>
        <v>0</v>
      </c>
      <c r="AY1065" s="0" t="n">
        <f aca="false">COUNTIF(DU1065:EH1065, "&lt;&gt;")</f>
        <v>3</v>
      </c>
      <c r="AZ1065" s="0" t="n">
        <f aca="false">IF(EH1065&lt;&gt;"",1,0)</f>
        <v>0</v>
      </c>
      <c r="BB1065" s="0" t="s">
        <v>152</v>
      </c>
      <c r="BD1065" s="0" t="s">
        <v>153</v>
      </c>
      <c r="CY1065" s="0" t="s">
        <v>153</v>
      </c>
      <c r="DC1065" s="0" t="s">
        <v>153</v>
      </c>
      <c r="DI1065" s="0" t="s">
        <v>153</v>
      </c>
      <c r="DL1065" s="0" t="s">
        <v>153</v>
      </c>
      <c r="DN1065" s="0" t="s">
        <v>153</v>
      </c>
      <c r="DS1065" s="0" t="s">
        <v>175</v>
      </c>
      <c r="DU1065" s="0" t="s">
        <v>153</v>
      </c>
      <c r="DX1065" s="0" t="s">
        <v>153</v>
      </c>
      <c r="EA1065" s="0" t="s">
        <v>153</v>
      </c>
    </row>
    <row r="1066" customFormat="false" ht="13.8" hidden="true" customHeight="false" outlineLevel="0" collapsed="false">
      <c r="A1066" s="0" t="s">
        <v>5137</v>
      </c>
      <c r="B1066" s="0" t="n">
        <v>78</v>
      </c>
      <c r="C1066" s="0" t="n">
        <v>356530</v>
      </c>
      <c r="D1066" s="0" t="s">
        <v>3955</v>
      </c>
      <c r="E1066" s="0" t="s">
        <v>5138</v>
      </c>
      <c r="F1066" s="0" t="str">
        <f aca="false">CONCATENATE(D1066," ",LEFT(H1066,4),"T=",AU1066,"D=",AV1066,"R=",AW1066,"M=",AX1066,"L=",AY1066,"B=",AZ1066)</f>
        <v>MADISON T=4D=0R=0M=1L=0B=0</v>
      </c>
      <c r="G1066" s="0" t="s">
        <v>5139</v>
      </c>
      <c r="I1066" s="0" t="s">
        <v>5140</v>
      </c>
      <c r="J1066" s="0" t="s">
        <v>5141</v>
      </c>
      <c r="K1066" s="0" t="s">
        <v>143</v>
      </c>
      <c r="M1066" s="0" t="s">
        <v>5136</v>
      </c>
      <c r="N1066" s="0" t="str">
        <f aca="false">RIGHT(M1066,LEN(M1066)-FIND(" ",M1066))</f>
        <v>KENILWORTH AVE SE</v>
      </c>
      <c r="P1066" s="0" t="s">
        <v>145</v>
      </c>
      <c r="Q1066" s="0" t="s">
        <v>146</v>
      </c>
      <c r="R1066" s="0" t="n">
        <v>44484</v>
      </c>
      <c r="AD1066" s="0" t="s">
        <v>147</v>
      </c>
      <c r="AE1066" s="0" t="s">
        <v>148</v>
      </c>
      <c r="AF1066" s="0" t="s">
        <v>149</v>
      </c>
      <c r="AH1066" s="0" t="n">
        <v>14</v>
      </c>
      <c r="AI1066" s="0" t="n">
        <v>11</v>
      </c>
      <c r="AN1066" s="0" t="s">
        <v>145</v>
      </c>
      <c r="AO1066" s="0" t="s">
        <v>233</v>
      </c>
      <c r="AP1066" s="0" t="s">
        <v>234</v>
      </c>
      <c r="AQ1066" s="0" t="n">
        <v>9</v>
      </c>
      <c r="AR1066" s="0" t="n">
        <v>64</v>
      </c>
      <c r="AS1066" s="0" t="n">
        <v>32</v>
      </c>
      <c r="AU1066" s="0" t="n">
        <f aca="false">COUNTA($BA$2345:$EH$2345)</f>
        <v>4</v>
      </c>
      <c r="AV1066" s="0" t="n">
        <f aca="false">COUNTIF($BA$2345:$EH$2345,"D")</f>
        <v>0</v>
      </c>
      <c r="AW1066" s="0" t="n">
        <f aca="false">COUNTIF($BA$2345:$EH$2345,"R")</f>
        <v>0</v>
      </c>
      <c r="AX1066" s="0" t="n">
        <f aca="false">IF(BN1066="D",1,0)+IF(BO1066="D",1,0)+IF(BT1066="D",1,0)+IF(BU1066="D",1,0)+IF(BW1066="D",1,0)+IF(CC1066="D",1,0)+IF(CD1066="D",1,0)+IF(CE1066="D",1,0)+IF(CF1066="D",1,0)+IF(CL1066="D",1,0)+IF(CM1066="D",1,0)+IF(CQ1066="D",1,0)+IF(CR1066="D",1,0)+IF(CS1066="D",1,0)+IF(CW1066="D",1,0)+IF(CX1066="D",1,0)+IF(DD1066="D",1,0)+IF(DE1066="D",1,0)+IF(DJ1066="D",1,0)+IF(DK1066="D",1,0)+IF(DO1066="D",1,0)+IF(DP1066="D",1,0)+IF(DQ1066="D",1,0)+IF(DW1066="D",1,0)+IF(DZ1066="D",1,0)+IF(EH1066="D",1,0)</f>
        <v>1</v>
      </c>
      <c r="AY1066" s="0" t="n">
        <f aca="false">COUNTIF(DU1066:EH1066, "&lt;&gt;")</f>
        <v>0</v>
      </c>
      <c r="AZ1066" s="0" t="n">
        <f aca="false">IF(EH1066&lt;&gt;"",1,0)</f>
        <v>0</v>
      </c>
      <c r="BB1066" s="0" t="s">
        <v>152</v>
      </c>
      <c r="BL1066" s="0" t="s">
        <v>153</v>
      </c>
      <c r="CA1066" s="0" t="s">
        <v>153</v>
      </c>
      <c r="CL1066" s="0" t="s">
        <v>175</v>
      </c>
    </row>
    <row r="1067" customFormat="false" ht="13.8" hidden="false" customHeight="false" outlineLevel="0" collapsed="false">
      <c r="A1067" s="0" t="s">
        <v>5142</v>
      </c>
      <c r="B1067" s="0" t="n">
        <v>78</v>
      </c>
      <c r="C1067" s="0" t="n">
        <v>172389</v>
      </c>
      <c r="D1067" s="0" t="s">
        <v>3955</v>
      </c>
      <c r="E1067" s="0" t="s">
        <v>5143</v>
      </c>
      <c r="F1067" s="0" t="str">
        <f aca="false">CONCATENATE(D1067," ",LEFT(H1067,4),"T=",AU1067,"D=",AV1067,"R=",AW1067,"M=",AX1067,"L=",AY1067,"B=",AZ1067)</f>
        <v>MADISON T=1D=0R=0M=1L=4B=0</v>
      </c>
      <c r="G1067" s="0" t="s">
        <v>190</v>
      </c>
      <c r="I1067" s="0" t="s">
        <v>5144</v>
      </c>
      <c r="J1067" s="0" t="s">
        <v>5145</v>
      </c>
      <c r="K1067" s="0" t="s">
        <v>160</v>
      </c>
      <c r="L1067" s="0" t="s">
        <v>175</v>
      </c>
      <c r="M1067" s="0" t="s">
        <v>5136</v>
      </c>
      <c r="N1067" s="0" t="str">
        <f aca="false">RIGHT(M1067,LEN(M1067)-FIND(" ",M1067))</f>
        <v>KENILWORTH AVE SE</v>
      </c>
      <c r="P1067" s="0" t="s">
        <v>145</v>
      </c>
      <c r="Q1067" s="0" t="s">
        <v>146</v>
      </c>
      <c r="R1067" s="0" t="n">
        <v>44484</v>
      </c>
      <c r="V1067" s="0" t="s">
        <v>5146</v>
      </c>
      <c r="X1067" s="0" t="s">
        <v>145</v>
      </c>
      <c r="Y1067" s="0" t="s">
        <v>146</v>
      </c>
      <c r="Z1067" s="0" t="n">
        <v>44483</v>
      </c>
      <c r="AD1067" s="0" t="s">
        <v>147</v>
      </c>
      <c r="AE1067" s="0" t="s">
        <v>148</v>
      </c>
      <c r="AF1067" s="0" t="s">
        <v>149</v>
      </c>
      <c r="AH1067" s="0" t="n">
        <v>14</v>
      </c>
      <c r="AI1067" s="0" t="n">
        <v>11</v>
      </c>
      <c r="AN1067" s="0" t="s">
        <v>145</v>
      </c>
      <c r="AO1067" s="0" t="s">
        <v>233</v>
      </c>
      <c r="AP1067" s="0" t="s">
        <v>234</v>
      </c>
      <c r="AQ1067" s="0" t="n">
        <v>9</v>
      </c>
      <c r="AR1067" s="0" t="n">
        <v>64</v>
      </c>
      <c r="AS1067" s="0" t="n">
        <v>32</v>
      </c>
      <c r="AU1067" s="0" t="n">
        <f aca="false">COUNTA($BA$2482:$EH$2482)</f>
        <v>1</v>
      </c>
      <c r="AV1067" s="0" t="n">
        <f aca="false">COUNTIF($BA$2482:$EH$2482,"D")</f>
        <v>0</v>
      </c>
      <c r="AW1067" s="0" t="n">
        <f aca="false">COUNTIF($BA$2482:$EH$2482,"R")</f>
        <v>0</v>
      </c>
      <c r="AX1067" s="0" t="n">
        <f aca="false">IF(BN1067="D",1,0)+IF(BO1067="D",1,0)+IF(BT1067="D",1,0)+IF(BU1067="D",1,0)+IF(BW1067="D",1,0)+IF(CC1067="D",1,0)+IF(CD1067="D",1,0)+IF(CE1067="D",1,0)+IF(CF1067="D",1,0)+IF(CL1067="D",1,0)+IF(CM1067="D",1,0)+IF(CQ1067="D",1,0)+IF(CR1067="D",1,0)+IF(CS1067="D",1,0)+IF(CW1067="D",1,0)+IF(CX1067="D",1,0)+IF(DD1067="D",1,0)+IF(DE1067="D",1,0)+IF(DJ1067="D",1,0)+IF(DK1067="D",1,0)+IF(DO1067="D",1,0)+IF(DP1067="D",1,0)+IF(DQ1067="D",1,0)+IF(DW1067="D",1,0)+IF(DZ1067="D",1,0)+IF(EH1067="D",1,0)</f>
        <v>1</v>
      </c>
      <c r="AY1067" s="0" t="n">
        <f aca="false">COUNTIF(DU1067:EH1067, "&lt;&gt;")</f>
        <v>4</v>
      </c>
      <c r="AZ1067" s="0" t="n">
        <f aca="false">IF(EH1067&lt;&gt;"",1,0)</f>
        <v>0</v>
      </c>
      <c r="BB1067" s="0" t="s">
        <v>152</v>
      </c>
      <c r="BD1067" s="0" t="s">
        <v>153</v>
      </c>
      <c r="BL1067" s="0" t="s">
        <v>153</v>
      </c>
      <c r="BS1067" s="0" t="s">
        <v>153</v>
      </c>
      <c r="BY1067" s="0" t="s">
        <v>175</v>
      </c>
      <c r="CA1067" s="0" t="s">
        <v>153</v>
      </c>
      <c r="CG1067" s="0" t="s">
        <v>153</v>
      </c>
      <c r="CK1067" s="0" t="s">
        <v>153</v>
      </c>
      <c r="CL1067" s="0" t="s">
        <v>175</v>
      </c>
      <c r="CP1067" s="0" t="s">
        <v>153</v>
      </c>
      <c r="CY1067" s="0" t="s">
        <v>153</v>
      </c>
      <c r="CZ1067" s="0" t="s">
        <v>175</v>
      </c>
      <c r="DC1067" s="0" t="s">
        <v>153</v>
      </c>
      <c r="DF1067" s="0" t="s">
        <v>153</v>
      </c>
      <c r="DG1067" s="0" t="s">
        <v>175</v>
      </c>
      <c r="DI1067" s="0" t="s">
        <v>153</v>
      </c>
      <c r="DL1067" s="0" t="s">
        <v>153</v>
      </c>
      <c r="DS1067" s="0" t="s">
        <v>175</v>
      </c>
      <c r="DU1067" s="0" t="s">
        <v>153</v>
      </c>
      <c r="DX1067" s="0" t="s">
        <v>153</v>
      </c>
      <c r="EA1067" s="0" t="s">
        <v>153</v>
      </c>
      <c r="EF1067" s="0" t="s">
        <v>153</v>
      </c>
    </row>
    <row r="1068" customFormat="false" ht="13.8" hidden="true" customHeight="false" outlineLevel="0" collapsed="false">
      <c r="A1068" s="0" t="s">
        <v>5147</v>
      </c>
      <c r="B1068" s="0" t="n">
        <v>78</v>
      </c>
      <c r="C1068" s="0" t="n">
        <v>450643</v>
      </c>
      <c r="D1068" s="0" t="s">
        <v>5148</v>
      </c>
      <c r="E1068" s="0" t="s">
        <v>379</v>
      </c>
      <c r="F1068" s="0" t="str">
        <f aca="false">CONCATENATE(D1068," ",LEFT(H1068,4),"T=",AU1068,"D=",AV1068,"R=",AW1068,"M=",AX1068,"L=",AY1068,"B=",AZ1068)</f>
        <v>SIMPSON T=9D=0R=0M=0L=0B=0</v>
      </c>
      <c r="G1068" s="0" t="s">
        <v>175</v>
      </c>
      <c r="I1068" s="0" t="s">
        <v>5149</v>
      </c>
      <c r="J1068" s="0" t="s">
        <v>5150</v>
      </c>
      <c r="K1068" s="0" t="s">
        <v>160</v>
      </c>
      <c r="M1068" s="0" t="s">
        <v>5136</v>
      </c>
      <c r="N1068" s="0" t="str">
        <f aca="false">RIGHT(M1068,LEN(M1068)-FIND(" ",M1068))</f>
        <v>KENILWORTH AVE SE</v>
      </c>
      <c r="P1068" s="0" t="s">
        <v>145</v>
      </c>
      <c r="Q1068" s="0" t="s">
        <v>146</v>
      </c>
      <c r="R1068" s="0" t="n">
        <v>44484</v>
      </c>
      <c r="AD1068" s="0" t="s">
        <v>147</v>
      </c>
      <c r="AE1068" s="0" t="s">
        <v>148</v>
      </c>
      <c r="AF1068" s="0" t="s">
        <v>149</v>
      </c>
      <c r="AH1068" s="0" t="n">
        <v>14</v>
      </c>
      <c r="AI1068" s="0" t="n">
        <v>11</v>
      </c>
      <c r="AN1068" s="0" t="s">
        <v>145</v>
      </c>
      <c r="AO1068" s="0" t="s">
        <v>233</v>
      </c>
      <c r="AP1068" s="0" t="s">
        <v>234</v>
      </c>
      <c r="AQ1068" s="0" t="n">
        <v>9</v>
      </c>
      <c r="AR1068" s="0" t="n">
        <v>64</v>
      </c>
      <c r="AS1068" s="0" t="n">
        <v>32</v>
      </c>
      <c r="AU1068" s="0" t="n">
        <f aca="false">COUNTA($BA$2484:$EH$2484)</f>
        <v>9</v>
      </c>
      <c r="AV1068" s="0" t="n">
        <f aca="false">COUNTIF($BA$2484:$EH$2484,"D")</f>
        <v>0</v>
      </c>
      <c r="AW1068" s="0" t="n">
        <f aca="false">COUNTIF($BA$2484:$EH$2484,"R")</f>
        <v>0</v>
      </c>
      <c r="AX1068" s="0" t="n">
        <f aca="false">IF(BN1068="D",1,0)+IF(BO1068="D",1,0)+IF(BT1068="D",1,0)+IF(BU1068="D",1,0)+IF(BW1068="D",1,0)+IF(CC1068="D",1,0)+IF(CD1068="D",1,0)+IF(CE1068="D",1,0)+IF(CF1068="D",1,0)+IF(CL1068="D",1,0)+IF(CM1068="D",1,0)+IF(CQ1068="D",1,0)+IF(CR1068="D",1,0)+IF(CS1068="D",1,0)+IF(CW1068="D",1,0)+IF(CX1068="D",1,0)+IF(DD1068="D",1,0)+IF(DE1068="D",1,0)+IF(DJ1068="D",1,0)+IF(DK1068="D",1,0)+IF(DO1068="D",1,0)+IF(DP1068="D",1,0)+IF(DQ1068="D",1,0)+IF(DW1068="D",1,0)+IF(DZ1068="D",1,0)+IF(EH1068="D",1,0)</f>
        <v>0</v>
      </c>
      <c r="AY1068" s="0" t="n">
        <f aca="false">COUNTIF(DU1068:EH1068, "&lt;&gt;")</f>
        <v>0</v>
      </c>
      <c r="AZ1068" s="0" t="n">
        <f aca="false">IF(EH1068&lt;&gt;"",1,0)</f>
        <v>0</v>
      </c>
      <c r="BB1068" s="0" t="s">
        <v>152</v>
      </c>
      <c r="BL1068" s="0" t="s">
        <v>153</v>
      </c>
      <c r="BY1068" s="0" t="s">
        <v>175</v>
      </c>
      <c r="CA1068" s="0" t="s">
        <v>153</v>
      </c>
    </row>
    <row r="1069" customFormat="false" ht="13.8" hidden="true" customHeight="false" outlineLevel="0" collapsed="false">
      <c r="A1069" s="0" t="s">
        <v>5151</v>
      </c>
      <c r="B1069" s="0" t="n">
        <v>78</v>
      </c>
      <c r="C1069" s="0" t="n">
        <v>379832</v>
      </c>
      <c r="D1069" s="0" t="s">
        <v>1661</v>
      </c>
      <c r="E1069" s="0" t="s">
        <v>914</v>
      </c>
      <c r="F1069" s="0" t="str">
        <f aca="false">CONCATENATE(D1069," ",LEFT(H1069,4),"T=",AU1069,"D=",AV1069,"R=",AW1069,"M=",AX1069,"L=",AY1069,"B=",AZ1069)</f>
        <v>JACKSON T=33D=0R=9M=1L=0B=0</v>
      </c>
      <c r="G1069" s="0" t="s">
        <v>1059</v>
      </c>
      <c r="I1069" s="0" t="s">
        <v>5152</v>
      </c>
      <c r="J1069" s="0" t="s">
        <v>1050</v>
      </c>
      <c r="K1069" s="0" t="s">
        <v>160</v>
      </c>
      <c r="M1069" s="0" t="s">
        <v>5153</v>
      </c>
      <c r="N1069" s="0" t="str">
        <f aca="false">RIGHT(M1069,LEN(M1069)-FIND(" ",M1069))</f>
        <v>KENILWORTH AVE SE</v>
      </c>
      <c r="P1069" s="0" t="s">
        <v>145</v>
      </c>
      <c r="Q1069" s="0" t="s">
        <v>146</v>
      </c>
      <c r="R1069" s="0" t="n">
        <v>44484</v>
      </c>
      <c r="AD1069" s="0" t="s">
        <v>147</v>
      </c>
      <c r="AE1069" s="0" t="s">
        <v>148</v>
      </c>
      <c r="AF1069" s="0" t="s">
        <v>149</v>
      </c>
      <c r="AH1069" s="0" t="n">
        <v>14</v>
      </c>
      <c r="AI1069" s="0" t="n">
        <v>11</v>
      </c>
      <c r="AN1069" s="0" t="s">
        <v>145</v>
      </c>
      <c r="AO1069" s="0" t="s">
        <v>233</v>
      </c>
      <c r="AP1069" s="0" t="s">
        <v>234</v>
      </c>
      <c r="AQ1069" s="0" t="n">
        <v>9</v>
      </c>
      <c r="AR1069" s="0" t="n">
        <v>64</v>
      </c>
      <c r="AS1069" s="0" t="n">
        <v>32</v>
      </c>
      <c r="AU1069" s="0" t="n">
        <f aca="false">COUNTA($BA$2127:$EH$2127)</f>
        <v>33</v>
      </c>
      <c r="AV1069" s="0" t="n">
        <f aca="false">COUNTIF($BA$2127:$EH$2127,"D")</f>
        <v>0</v>
      </c>
      <c r="AW1069" s="0" t="n">
        <f aca="false">COUNTIF($BA$2127:$EH$2127,"R")</f>
        <v>9</v>
      </c>
      <c r="AX1069" s="0" t="n">
        <f aca="false">IF(BN1069="D",1,0)+IF(BO1069="D",1,0)+IF(BT1069="D",1,0)+IF(BU1069="D",1,0)+IF(BW1069="D",1,0)+IF(CC1069="D",1,0)+IF(CD1069="D",1,0)+IF(CE1069="D",1,0)+IF(CF1069="D",1,0)+IF(CL1069="D",1,0)+IF(CM1069="D",1,0)+IF(CQ1069="D",1,0)+IF(CR1069="D",1,0)+IF(CS1069="D",1,0)+IF(CW1069="D",1,0)+IF(CX1069="D",1,0)+IF(DD1069="D",1,0)+IF(DE1069="D",1,0)+IF(DJ1069="D",1,0)+IF(DK1069="D",1,0)+IF(DO1069="D",1,0)+IF(DP1069="D",1,0)+IF(DQ1069="D",1,0)+IF(DW1069="D",1,0)+IF(DZ1069="D",1,0)+IF(EH1069="D",1,0)</f>
        <v>1</v>
      </c>
      <c r="AY1069" s="0" t="n">
        <f aca="false">COUNTIF(DU1069:EH1069, "&lt;&gt;")</f>
        <v>0</v>
      </c>
      <c r="AZ1069" s="0" t="n">
        <f aca="false">IF(EH1069&lt;&gt;"",1,0)</f>
        <v>0</v>
      </c>
      <c r="BB1069" s="0" t="s">
        <v>152</v>
      </c>
      <c r="CL1069" s="0" t="s">
        <v>175</v>
      </c>
      <c r="CP1069" s="0" t="s">
        <v>153</v>
      </c>
      <c r="DC1069" s="0" t="s">
        <v>153</v>
      </c>
      <c r="DI1069" s="0" t="s">
        <v>153</v>
      </c>
      <c r="DN1069" s="0" t="s">
        <v>153</v>
      </c>
    </row>
    <row r="1070" customFormat="false" ht="13.8" hidden="true" customHeight="false" outlineLevel="0" collapsed="false">
      <c r="A1070" s="0" t="s">
        <v>5154</v>
      </c>
      <c r="B1070" s="0" t="n">
        <v>78</v>
      </c>
      <c r="C1070" s="0" t="n">
        <v>487502</v>
      </c>
      <c r="D1070" s="0" t="s">
        <v>1661</v>
      </c>
      <c r="E1070" s="0" t="s">
        <v>5155</v>
      </c>
      <c r="F1070" s="0" t="str">
        <f aca="false">CONCATENATE(D1070," ",LEFT(H1070,4),"T=",AU1070,"D=",AV1070,"R=",AW1070,"M=",AX1070,"L=",AY1070,"B=",AZ1070)</f>
        <v>JACKSON T=2D=0R=0M=0L=0B=0</v>
      </c>
      <c r="G1070" s="0" t="s">
        <v>325</v>
      </c>
      <c r="I1070" s="0" t="s">
        <v>5156</v>
      </c>
      <c r="J1070" s="0" t="s">
        <v>1050</v>
      </c>
      <c r="K1070" s="0" t="s">
        <v>160</v>
      </c>
      <c r="M1070" s="0" t="s">
        <v>5153</v>
      </c>
      <c r="N1070" s="0" t="str">
        <f aca="false">RIGHT(M1070,LEN(M1070)-FIND(" ",M1070))</f>
        <v>KENILWORTH AVE SE</v>
      </c>
      <c r="P1070" s="0" t="s">
        <v>145</v>
      </c>
      <c r="Q1070" s="0" t="s">
        <v>146</v>
      </c>
      <c r="R1070" s="0" t="n">
        <v>44484</v>
      </c>
      <c r="AD1070" s="0" t="s">
        <v>147</v>
      </c>
      <c r="AE1070" s="0" t="s">
        <v>148</v>
      </c>
      <c r="AF1070" s="0" t="s">
        <v>149</v>
      </c>
      <c r="AH1070" s="0" t="n">
        <v>14</v>
      </c>
      <c r="AI1070" s="0" t="n">
        <v>11</v>
      </c>
      <c r="AN1070" s="0" t="s">
        <v>145</v>
      </c>
      <c r="AO1070" s="0" t="s">
        <v>233</v>
      </c>
      <c r="AP1070" s="0" t="s">
        <v>234</v>
      </c>
      <c r="AQ1070" s="0" t="n">
        <v>9</v>
      </c>
      <c r="AR1070" s="0" t="n">
        <v>64</v>
      </c>
      <c r="AS1070" s="0" t="n">
        <v>32</v>
      </c>
      <c r="AU1070" s="0" t="n">
        <f aca="false">COUNTA($BA$2205:$EH$2205)</f>
        <v>2</v>
      </c>
      <c r="AV1070" s="0" t="n">
        <f aca="false">COUNTIF($BA$2205:$EH$2205,"D")</f>
        <v>0</v>
      </c>
      <c r="AW1070" s="0" t="n">
        <f aca="false">COUNTIF($BA$2205:$EH$2205,"R")</f>
        <v>0</v>
      </c>
      <c r="AX1070" s="0" t="n">
        <f aca="false">IF(BN1070="D",1,0)+IF(BO1070="D",1,0)+IF(BT1070="D",1,0)+IF(BU1070="D",1,0)+IF(BW1070="D",1,0)+IF(CC1070="D",1,0)+IF(CD1070="D",1,0)+IF(CE1070="D",1,0)+IF(CF1070="D",1,0)+IF(CL1070="D",1,0)+IF(CM1070="D",1,0)+IF(CQ1070="D",1,0)+IF(CR1070="D",1,0)+IF(CS1070="D",1,0)+IF(CW1070="D",1,0)+IF(CX1070="D",1,0)+IF(DD1070="D",1,0)+IF(DE1070="D",1,0)+IF(DJ1070="D",1,0)+IF(DK1070="D",1,0)+IF(DO1070="D",1,0)+IF(DP1070="D",1,0)+IF(DQ1070="D",1,0)+IF(DW1070="D",1,0)+IF(DZ1070="D",1,0)+IF(EH1070="D",1,0)</f>
        <v>0</v>
      </c>
      <c r="AY1070" s="0" t="n">
        <f aca="false">COUNTIF(DU1070:EH1070, "&lt;&gt;")</f>
        <v>0</v>
      </c>
      <c r="AZ1070" s="0" t="n">
        <f aca="false">IF(EH1070&lt;&gt;"",1,0)</f>
        <v>0</v>
      </c>
      <c r="BB1070" s="0" t="s">
        <v>152</v>
      </c>
      <c r="CP1070" s="0" t="s">
        <v>153</v>
      </c>
      <c r="CY1070" s="0" t="s">
        <v>153</v>
      </c>
    </row>
    <row r="1071" customFormat="false" ht="13.8" hidden="false" customHeight="false" outlineLevel="0" collapsed="false">
      <c r="A1071" s="0" t="s">
        <v>5157</v>
      </c>
      <c r="B1071" s="0" t="n">
        <v>78</v>
      </c>
      <c r="C1071" s="0" t="n">
        <v>22070</v>
      </c>
      <c r="D1071" s="0" t="s">
        <v>1661</v>
      </c>
      <c r="E1071" s="0" t="s">
        <v>1404</v>
      </c>
      <c r="F1071" s="0" t="str">
        <f aca="false">CONCATENATE(D1071," ",LEFT(H1071,4),"T=",AU1071,"D=",AV1071,"R=",AW1071,"M=",AX1071,"L=",AY1071,"B=",AZ1071)</f>
        <v>JACKSON T=4D=0R=0M=4L=7B=1</v>
      </c>
      <c r="G1071" s="0" t="s">
        <v>325</v>
      </c>
      <c r="I1071" s="0" t="s">
        <v>5158</v>
      </c>
      <c r="J1071" s="0" t="s">
        <v>1050</v>
      </c>
      <c r="K1071" s="0" t="s">
        <v>160</v>
      </c>
      <c r="L1071" s="0" t="s">
        <v>175</v>
      </c>
      <c r="M1071" s="0" t="s">
        <v>5153</v>
      </c>
      <c r="N1071" s="0" t="str">
        <f aca="false">RIGHT(M1071,LEN(M1071)-FIND(" ",M1071))</f>
        <v>KENILWORTH AVE SE</v>
      </c>
      <c r="P1071" s="0" t="s">
        <v>145</v>
      </c>
      <c r="Q1071" s="0" t="s">
        <v>146</v>
      </c>
      <c r="R1071" s="0" t="n">
        <v>44484</v>
      </c>
      <c r="AD1071" s="0" t="s">
        <v>147</v>
      </c>
      <c r="AE1071" s="0" t="s">
        <v>148</v>
      </c>
      <c r="AF1071" s="0" t="s">
        <v>149</v>
      </c>
      <c r="AH1071" s="0" t="n">
        <v>14</v>
      </c>
      <c r="AI1071" s="0" t="n">
        <v>11</v>
      </c>
      <c r="AN1071" s="0" t="s">
        <v>145</v>
      </c>
      <c r="AO1071" s="0" t="s">
        <v>233</v>
      </c>
      <c r="AP1071" s="0" t="s">
        <v>234</v>
      </c>
      <c r="AQ1071" s="0" t="n">
        <v>9</v>
      </c>
      <c r="AR1071" s="0" t="n">
        <v>64</v>
      </c>
      <c r="AS1071" s="0" t="n">
        <v>32</v>
      </c>
      <c r="AU1071" s="0" t="n">
        <f aca="false">COUNTA($BA$2292:$EH$2292)</f>
        <v>4</v>
      </c>
      <c r="AV1071" s="0" t="n">
        <f aca="false">COUNTIF($BA$2292:$EH$2292,"D")</f>
        <v>0</v>
      </c>
      <c r="AW1071" s="0" t="n">
        <f aca="false">COUNTIF($BA$2292:$EH$2292,"R")</f>
        <v>0</v>
      </c>
      <c r="AX1071" s="0" t="n">
        <f aca="false">IF(BN1071="D",1,0)+IF(BO1071="D",1,0)+IF(BT1071="D",1,0)+IF(BU1071="D",1,0)+IF(BW1071="D",1,0)+IF(CC1071="D",1,0)+IF(CD1071="D",1,0)+IF(CE1071="D",1,0)+IF(CF1071="D",1,0)+IF(CL1071="D",1,0)+IF(CM1071="D",1,0)+IF(CQ1071="D",1,0)+IF(CR1071="D",1,0)+IF(CS1071="D",1,0)+IF(CW1071="D",1,0)+IF(CX1071="D",1,0)+IF(DD1071="D",1,0)+IF(DE1071="D",1,0)+IF(DJ1071="D",1,0)+IF(DK1071="D",1,0)+IF(DO1071="D",1,0)+IF(DP1071="D",1,0)+IF(DQ1071="D",1,0)+IF(DW1071="D",1,0)+IF(DZ1071="D",1,0)+IF(EH1071="D",1,0)</f>
        <v>4</v>
      </c>
      <c r="AY1071" s="0" t="n">
        <f aca="false">COUNTIF(DU1071:EH1071, "&lt;&gt;")</f>
        <v>7</v>
      </c>
      <c r="AZ1071" s="0" t="n">
        <f aca="false">IF(EH1071&lt;&gt;"",1,0)</f>
        <v>1</v>
      </c>
      <c r="BB1071" s="0" t="s">
        <v>152</v>
      </c>
      <c r="BC1071" s="0" t="s">
        <v>153</v>
      </c>
      <c r="BD1071" s="0" t="s">
        <v>153</v>
      </c>
      <c r="BH1071" s="0" t="s">
        <v>153</v>
      </c>
      <c r="BI1071" s="0" t="s">
        <v>153</v>
      </c>
      <c r="BJ1071" s="0" t="s">
        <v>153</v>
      </c>
      <c r="BK1071" s="0" t="s">
        <v>153</v>
      </c>
      <c r="BL1071" s="0" t="s">
        <v>153</v>
      </c>
      <c r="BP1071" s="0" t="s">
        <v>153</v>
      </c>
      <c r="BR1071" s="0" t="s">
        <v>153</v>
      </c>
      <c r="BS1071" s="0" t="s">
        <v>153</v>
      </c>
      <c r="BY1071" s="0" t="s">
        <v>175</v>
      </c>
      <c r="CA1071" s="0" t="s">
        <v>153</v>
      </c>
      <c r="CG1071" s="0" t="s">
        <v>153</v>
      </c>
      <c r="CK1071" s="0" t="s">
        <v>153</v>
      </c>
      <c r="CL1071" s="0" t="s">
        <v>175</v>
      </c>
      <c r="CO1071" s="0" t="s">
        <v>175</v>
      </c>
      <c r="CP1071" s="0" t="s">
        <v>153</v>
      </c>
      <c r="CW1071" s="0" t="s">
        <v>175</v>
      </c>
      <c r="CY1071" s="0" t="s">
        <v>153</v>
      </c>
      <c r="DC1071" s="0" t="s">
        <v>153</v>
      </c>
      <c r="DF1071" s="0" t="s">
        <v>153</v>
      </c>
      <c r="DG1071" s="0" t="s">
        <v>175</v>
      </c>
      <c r="DI1071" s="0" t="s">
        <v>153</v>
      </c>
      <c r="DL1071" s="0" t="s">
        <v>153</v>
      </c>
      <c r="DM1071" s="0" t="s">
        <v>175</v>
      </c>
      <c r="DN1071" s="0" t="s">
        <v>153</v>
      </c>
      <c r="DS1071" s="0" t="s">
        <v>175</v>
      </c>
      <c r="DT1071" s="0" t="s">
        <v>175</v>
      </c>
      <c r="DU1071" s="0" t="s">
        <v>153</v>
      </c>
      <c r="DW1071" s="0" t="s">
        <v>175</v>
      </c>
      <c r="DX1071" s="0" t="s">
        <v>153</v>
      </c>
      <c r="EA1071" s="0" t="s">
        <v>153</v>
      </c>
      <c r="ED1071" s="0" t="s">
        <v>175</v>
      </c>
      <c r="EF1071" s="0" t="s">
        <v>153</v>
      </c>
      <c r="EH1071" s="0" t="s">
        <v>175</v>
      </c>
    </row>
    <row r="1072" customFormat="false" ht="13.8" hidden="true" customHeight="false" outlineLevel="0" collapsed="false">
      <c r="A1072" s="0" t="s">
        <v>5159</v>
      </c>
      <c r="B1072" s="0" t="n">
        <v>78</v>
      </c>
      <c r="C1072" s="0" t="n">
        <v>336991</v>
      </c>
      <c r="D1072" s="0" t="s">
        <v>5160</v>
      </c>
      <c r="E1072" s="0" t="s">
        <v>3245</v>
      </c>
      <c r="F1072" s="0" t="str">
        <f aca="false">CONCATENATE(D1072," ",LEFT(H1072,4),"T=",AU1072,"D=",AV1072,"R=",AW1072,"M=",AX1072,"L=",AY1072,"B=",AZ1072)</f>
        <v>BOHRER T=4D=0R=0M=0L=0B=0</v>
      </c>
      <c r="G1072" s="0" t="s">
        <v>307</v>
      </c>
      <c r="I1072" s="0" t="s">
        <v>5161</v>
      </c>
      <c r="J1072" s="0" t="s">
        <v>5162</v>
      </c>
      <c r="K1072" s="0" t="s">
        <v>143</v>
      </c>
      <c r="M1072" s="0" t="s">
        <v>5163</v>
      </c>
      <c r="N1072" s="0" t="str">
        <f aca="false">RIGHT(M1072,LEN(M1072)-FIND(" ",M1072))</f>
        <v>KENILWORTH AVE SE</v>
      </c>
      <c r="P1072" s="0" t="s">
        <v>145</v>
      </c>
      <c r="Q1072" s="0" t="s">
        <v>146</v>
      </c>
      <c r="R1072" s="0" t="n">
        <v>44484</v>
      </c>
      <c r="AD1072" s="0" t="s">
        <v>147</v>
      </c>
      <c r="AE1072" s="0" t="s">
        <v>148</v>
      </c>
      <c r="AF1072" s="0" t="s">
        <v>149</v>
      </c>
      <c r="AH1072" s="0" t="n">
        <v>14</v>
      </c>
      <c r="AI1072" s="0" t="n">
        <v>11</v>
      </c>
      <c r="AN1072" s="0" t="s">
        <v>145</v>
      </c>
      <c r="AO1072" s="0" t="s">
        <v>233</v>
      </c>
      <c r="AP1072" s="0" t="s">
        <v>234</v>
      </c>
      <c r="AQ1072" s="0" t="n">
        <v>9</v>
      </c>
      <c r="AR1072" s="0" t="n">
        <v>64</v>
      </c>
      <c r="AS1072" s="0" t="n">
        <v>32</v>
      </c>
      <c r="AU1072" s="0" t="n">
        <f aca="false">COUNTA($BA$2207:$EH$2207)</f>
        <v>4</v>
      </c>
      <c r="AV1072" s="0" t="n">
        <f aca="false">COUNTIF($BA$2207:$EH$2207,"D")</f>
        <v>0</v>
      </c>
      <c r="AW1072" s="0" t="n">
        <f aca="false">COUNTIF($BA$2207:$EH$2207,"R")</f>
        <v>0</v>
      </c>
      <c r="AX1072" s="0" t="n">
        <f aca="false">IF(BN1072="D",1,0)+IF(BO1072="D",1,0)+IF(BT1072="D",1,0)+IF(BU1072="D",1,0)+IF(BW1072="D",1,0)+IF(CC1072="D",1,0)+IF(CD1072="D",1,0)+IF(CE1072="D",1,0)+IF(CF1072="D",1,0)+IF(CL1072="D",1,0)+IF(CM1072="D",1,0)+IF(CQ1072="D",1,0)+IF(CR1072="D",1,0)+IF(CS1072="D",1,0)+IF(CW1072="D",1,0)+IF(CX1072="D",1,0)+IF(DD1072="D",1,0)+IF(DE1072="D",1,0)+IF(DJ1072="D",1,0)+IF(DK1072="D",1,0)+IF(DO1072="D",1,0)+IF(DP1072="D",1,0)+IF(DQ1072="D",1,0)+IF(DW1072="D",1,0)+IF(DZ1072="D",1,0)+IF(EH1072="D",1,0)</f>
        <v>0</v>
      </c>
      <c r="AY1072" s="0" t="n">
        <f aca="false">COUNTIF(DU1072:EH1072, "&lt;&gt;")</f>
        <v>0</v>
      </c>
      <c r="AZ1072" s="0" t="n">
        <f aca="false">IF(EH1072&lt;&gt;"",1,0)</f>
        <v>0</v>
      </c>
      <c r="BB1072" s="0" t="s">
        <v>152</v>
      </c>
      <c r="BP1072" s="0" t="s">
        <v>153</v>
      </c>
      <c r="BS1072" s="0" t="s">
        <v>153</v>
      </c>
      <c r="BY1072" s="0" t="s">
        <v>175</v>
      </c>
      <c r="CA1072" s="0" t="s">
        <v>153</v>
      </c>
      <c r="CG1072" s="0" t="s">
        <v>153</v>
      </c>
      <c r="CH1072" s="0" t="s">
        <v>209</v>
      </c>
      <c r="CP1072" s="0" t="s">
        <v>153</v>
      </c>
      <c r="CV1072" s="0" t="s">
        <v>153</v>
      </c>
      <c r="DN1072" s="0" t="s">
        <v>153</v>
      </c>
    </row>
    <row r="1073" customFormat="false" ht="13.8" hidden="true" customHeight="false" outlineLevel="0" collapsed="false">
      <c r="A1073" s="0" t="s">
        <v>5164</v>
      </c>
      <c r="B1073" s="0" t="n">
        <v>78</v>
      </c>
      <c r="C1073" s="0" t="n">
        <v>457667</v>
      </c>
      <c r="D1073" s="0" t="s">
        <v>5165</v>
      </c>
      <c r="E1073" s="0" t="s">
        <v>5166</v>
      </c>
      <c r="F1073" s="0" t="str">
        <f aca="false">CONCATENATE(D1073," ",LEFT(H1073,4),"T=",AU1073,"D=",AV1073,"R=",AW1073,"M=",AX1073,"L=",AY1073,"B=",AZ1073)</f>
        <v>PETRICH T=3D=0R=0M=0L=0B=0</v>
      </c>
      <c r="G1073" s="0" t="s">
        <v>209</v>
      </c>
      <c r="I1073" s="0" t="s">
        <v>5167</v>
      </c>
      <c r="J1073" s="0" t="s">
        <v>5168</v>
      </c>
      <c r="K1073" s="0" t="s">
        <v>143</v>
      </c>
      <c r="M1073" s="0" t="s">
        <v>5163</v>
      </c>
      <c r="N1073" s="0" t="str">
        <f aca="false">RIGHT(M1073,LEN(M1073)-FIND(" ",M1073))</f>
        <v>KENILWORTH AVE SE</v>
      </c>
      <c r="P1073" s="0" t="s">
        <v>145</v>
      </c>
      <c r="Q1073" s="0" t="s">
        <v>146</v>
      </c>
      <c r="R1073" s="0" t="n">
        <v>44484</v>
      </c>
      <c r="AD1073" s="0" t="s">
        <v>147</v>
      </c>
      <c r="AE1073" s="0" t="s">
        <v>148</v>
      </c>
      <c r="AF1073" s="0" t="s">
        <v>149</v>
      </c>
      <c r="AH1073" s="0" t="n">
        <v>14</v>
      </c>
      <c r="AI1073" s="0" t="n">
        <v>11</v>
      </c>
      <c r="AN1073" s="0" t="s">
        <v>145</v>
      </c>
      <c r="AO1073" s="0" t="s">
        <v>233</v>
      </c>
      <c r="AP1073" s="0" t="s">
        <v>234</v>
      </c>
      <c r="AQ1073" s="0" t="n">
        <v>9</v>
      </c>
      <c r="AR1073" s="0" t="n">
        <v>64</v>
      </c>
      <c r="AS1073" s="0" t="n">
        <v>32</v>
      </c>
      <c r="AU1073" s="0" t="n">
        <f aca="false">COUNTA($BA$2221:$EH$2221)</f>
        <v>3</v>
      </c>
      <c r="AV1073" s="0" t="n">
        <f aca="false">COUNTIF($BA$2221:$EH$2221,"D")</f>
        <v>0</v>
      </c>
      <c r="AW1073" s="0" t="n">
        <f aca="false">COUNTIF($BA$2221:$EH$2221,"R")</f>
        <v>0</v>
      </c>
      <c r="AX1073" s="0" t="n">
        <f aca="false">IF(BN1073="D",1,0)+IF(BO1073="D",1,0)+IF(BT1073="D",1,0)+IF(BU1073="D",1,0)+IF(BW1073="D",1,0)+IF(CC1073="D",1,0)+IF(CD1073="D",1,0)+IF(CE1073="D",1,0)+IF(CF1073="D",1,0)+IF(CL1073="D",1,0)+IF(CM1073="D",1,0)+IF(CQ1073="D",1,0)+IF(CR1073="D",1,0)+IF(CS1073="D",1,0)+IF(CW1073="D",1,0)+IF(CX1073="D",1,0)+IF(DD1073="D",1,0)+IF(DE1073="D",1,0)+IF(DJ1073="D",1,0)+IF(DK1073="D",1,0)+IF(DO1073="D",1,0)+IF(DP1073="D",1,0)+IF(DQ1073="D",1,0)+IF(DW1073="D",1,0)+IF(DZ1073="D",1,0)+IF(EH1073="D",1,0)</f>
        <v>0</v>
      </c>
      <c r="AY1073" s="0" t="n">
        <f aca="false">COUNTIF(DU1073:EH1073, "&lt;&gt;")</f>
        <v>0</v>
      </c>
      <c r="AZ1073" s="0" t="n">
        <f aca="false">IF(EH1073&lt;&gt;"",1,0)</f>
        <v>0</v>
      </c>
      <c r="BB1073" s="0" t="s">
        <v>152</v>
      </c>
      <c r="BY1073" s="0" t="s">
        <v>209</v>
      </c>
      <c r="CP1073" s="0" t="s">
        <v>153</v>
      </c>
      <c r="DC1073" s="0" t="s">
        <v>153</v>
      </c>
      <c r="DN1073" s="0" t="s">
        <v>153</v>
      </c>
    </row>
    <row r="1074" customFormat="false" ht="13.8" hidden="true" customHeight="false" outlineLevel="0" collapsed="false">
      <c r="A1074" s="0" t="s">
        <v>5169</v>
      </c>
      <c r="B1074" s="0" t="n">
        <v>78</v>
      </c>
      <c r="C1074" s="0" t="n">
        <v>466901</v>
      </c>
      <c r="D1074" s="0" t="s">
        <v>986</v>
      </c>
      <c r="E1074" s="0" t="s">
        <v>3315</v>
      </c>
      <c r="F1074" s="0" t="str">
        <f aca="false">CONCATENATE(D1074," ",LEFT(H1074,4),"T=",AU1074,"D=",AV1074,"R=",AW1074,"M=",AX1074,"L=",AY1074,"B=",AZ1074)</f>
        <v>YOUNG T=7D=0R=0M=0L=0B=0</v>
      </c>
      <c r="G1074" s="0" t="s">
        <v>325</v>
      </c>
      <c r="I1074" s="0" t="s">
        <v>5170</v>
      </c>
      <c r="J1074" s="0" t="s">
        <v>639</v>
      </c>
      <c r="K1074" s="0" t="s">
        <v>160</v>
      </c>
      <c r="M1074" s="0" t="s">
        <v>5163</v>
      </c>
      <c r="N1074" s="0" t="str">
        <f aca="false">RIGHT(M1074,LEN(M1074)-FIND(" ",M1074))</f>
        <v>KENILWORTH AVE SE</v>
      </c>
      <c r="P1074" s="0" t="s">
        <v>145</v>
      </c>
      <c r="Q1074" s="0" t="s">
        <v>146</v>
      </c>
      <c r="R1074" s="0" t="n">
        <v>44484</v>
      </c>
      <c r="AD1074" s="0" t="s">
        <v>147</v>
      </c>
      <c r="AE1074" s="0" t="s">
        <v>148</v>
      </c>
      <c r="AF1074" s="0" t="s">
        <v>149</v>
      </c>
      <c r="AH1074" s="0" t="n">
        <v>14</v>
      </c>
      <c r="AI1074" s="0" t="n">
        <v>11</v>
      </c>
      <c r="AN1074" s="0" t="s">
        <v>145</v>
      </c>
      <c r="AO1074" s="0" t="s">
        <v>233</v>
      </c>
      <c r="AP1074" s="0" t="s">
        <v>234</v>
      </c>
      <c r="AQ1074" s="0" t="n">
        <v>9</v>
      </c>
      <c r="AR1074" s="0" t="n">
        <v>64</v>
      </c>
      <c r="AS1074" s="0" t="n">
        <v>32</v>
      </c>
      <c r="AU1074" s="0" t="n">
        <f aca="false">COUNTA($BA$2272:$EH$2272)</f>
        <v>7</v>
      </c>
      <c r="AV1074" s="0" t="n">
        <f aca="false">COUNTIF($BA$2272:$EH$2272,"D")</f>
        <v>0</v>
      </c>
      <c r="AW1074" s="0" t="n">
        <f aca="false">COUNTIF($BA$2272:$EH$2272,"R")</f>
        <v>0</v>
      </c>
      <c r="AX1074" s="0" t="n">
        <f aca="false">IF(BN1074="D",1,0)+IF(BO1074="D",1,0)+IF(BT1074="D",1,0)+IF(BU1074="D",1,0)+IF(BW1074="D",1,0)+IF(CC1074="D",1,0)+IF(CD1074="D",1,0)+IF(CE1074="D",1,0)+IF(CF1074="D",1,0)+IF(CL1074="D",1,0)+IF(CM1074="D",1,0)+IF(CQ1074="D",1,0)+IF(CR1074="D",1,0)+IF(CS1074="D",1,0)+IF(CW1074="D",1,0)+IF(CX1074="D",1,0)+IF(DD1074="D",1,0)+IF(DE1074="D",1,0)+IF(DJ1074="D",1,0)+IF(DK1074="D",1,0)+IF(DO1074="D",1,0)+IF(DP1074="D",1,0)+IF(DQ1074="D",1,0)+IF(DW1074="D",1,0)+IF(DZ1074="D",1,0)+IF(EH1074="D",1,0)</f>
        <v>0</v>
      </c>
      <c r="AY1074" s="0" t="n">
        <f aca="false">COUNTIF(DU1074:EH1074, "&lt;&gt;")</f>
        <v>0</v>
      </c>
      <c r="AZ1074" s="0" t="n">
        <f aca="false">IF(EH1074&lt;&gt;"",1,0)</f>
        <v>0</v>
      </c>
      <c r="BB1074" s="0" t="s">
        <v>152</v>
      </c>
    </row>
    <row r="1075" customFormat="false" ht="13.8" hidden="true" customHeight="false" outlineLevel="0" collapsed="false">
      <c r="A1075" s="0" t="s">
        <v>5171</v>
      </c>
      <c r="B1075" s="0" t="n">
        <v>78</v>
      </c>
      <c r="C1075" s="0" t="n">
        <v>379680</v>
      </c>
      <c r="D1075" s="0" t="s">
        <v>4535</v>
      </c>
      <c r="E1075" s="0" t="s">
        <v>379</v>
      </c>
      <c r="F1075" s="0" t="str">
        <f aca="false">CONCATENATE(D1075," ",LEFT(H1075,4),"T=",AU1075,"D=",AV1075,"R=",AW1075,"M=",AX1075,"L=",AY1075,"B=",AZ1075)</f>
        <v>THOMPSON T=3D=0R=0M=1L=0B=0</v>
      </c>
      <c r="G1075" s="0" t="s">
        <v>5172</v>
      </c>
      <c r="I1075" s="0" t="s">
        <v>5173</v>
      </c>
      <c r="J1075" s="0" t="s">
        <v>5174</v>
      </c>
      <c r="K1075" s="0" t="s">
        <v>143</v>
      </c>
      <c r="M1075" s="0" t="s">
        <v>5175</v>
      </c>
      <c r="N1075" s="0" t="str">
        <f aca="false">RIGHT(M1075,LEN(M1075)-FIND(" ",M1075))</f>
        <v>KENILWORTH AVE SE</v>
      </c>
      <c r="P1075" s="0" t="s">
        <v>145</v>
      </c>
      <c r="Q1075" s="0" t="s">
        <v>146</v>
      </c>
      <c r="R1075" s="0" t="n">
        <v>44484</v>
      </c>
      <c r="AD1075" s="0" t="s">
        <v>147</v>
      </c>
      <c r="AE1075" s="0" t="s">
        <v>148</v>
      </c>
      <c r="AF1075" s="0" t="s">
        <v>149</v>
      </c>
      <c r="AH1075" s="0" t="n">
        <v>14</v>
      </c>
      <c r="AI1075" s="0" t="n">
        <v>11</v>
      </c>
      <c r="AN1075" s="0" t="s">
        <v>145</v>
      </c>
      <c r="AO1075" s="0" t="s">
        <v>233</v>
      </c>
      <c r="AP1075" s="0" t="s">
        <v>234</v>
      </c>
      <c r="AQ1075" s="0" t="n">
        <v>9</v>
      </c>
      <c r="AR1075" s="0" t="n">
        <v>64</v>
      </c>
      <c r="AS1075" s="0" t="n">
        <v>32</v>
      </c>
      <c r="AU1075" s="0" t="n">
        <f aca="false">COUNTA($BA$2359:$EH$2359)</f>
        <v>3</v>
      </c>
      <c r="AV1075" s="0" t="n">
        <f aca="false">COUNTIF($BA$2359:$EH$2359,"D")</f>
        <v>0</v>
      </c>
      <c r="AW1075" s="0" t="n">
        <f aca="false">COUNTIF($BA$2359:$EH$2359,"R")</f>
        <v>0</v>
      </c>
      <c r="AX1075" s="0" t="n">
        <f aca="false">IF(BN1075="D",1,0)+IF(BO1075="D",1,0)+IF(BT1075="D",1,0)+IF(BU1075="D",1,0)+IF(BW1075="D",1,0)+IF(CC1075="D",1,0)+IF(CD1075="D",1,0)+IF(CE1075="D",1,0)+IF(CF1075="D",1,0)+IF(CL1075="D",1,0)+IF(CM1075="D",1,0)+IF(CQ1075="D",1,0)+IF(CR1075="D",1,0)+IF(CS1075="D",1,0)+IF(CW1075="D",1,0)+IF(CX1075="D",1,0)+IF(DD1075="D",1,0)+IF(DE1075="D",1,0)+IF(DJ1075="D",1,0)+IF(DK1075="D",1,0)+IF(DO1075="D",1,0)+IF(DP1075="D",1,0)+IF(DQ1075="D",1,0)+IF(DW1075="D",1,0)+IF(DZ1075="D",1,0)+IF(EH1075="D",1,0)</f>
        <v>1</v>
      </c>
      <c r="AY1075" s="0" t="n">
        <f aca="false">COUNTIF(DU1075:EH1075, "&lt;&gt;")</f>
        <v>0</v>
      </c>
      <c r="AZ1075" s="0" t="n">
        <f aca="false">IF(EH1075&lt;&gt;"",1,0)</f>
        <v>0</v>
      </c>
      <c r="BB1075" s="0" t="s">
        <v>152</v>
      </c>
      <c r="CN1075" s="0" t="s">
        <v>153</v>
      </c>
      <c r="CP1075" s="0" t="s">
        <v>153</v>
      </c>
      <c r="CT1075" s="0" t="s">
        <v>153</v>
      </c>
      <c r="CV1075" s="0" t="s">
        <v>153</v>
      </c>
      <c r="CW1075" s="0" t="s">
        <v>175</v>
      </c>
      <c r="CY1075" s="0" t="s">
        <v>153</v>
      </c>
      <c r="CZ1075" s="0" t="s">
        <v>175</v>
      </c>
      <c r="DC1075" s="0" t="s">
        <v>153</v>
      </c>
      <c r="DF1075" s="0" t="s">
        <v>153</v>
      </c>
      <c r="DG1075" s="0" t="s">
        <v>175</v>
      </c>
      <c r="DI1075" s="0" t="s">
        <v>153</v>
      </c>
      <c r="DN1075" s="0" t="s">
        <v>153</v>
      </c>
    </row>
    <row r="1076" customFormat="false" ht="13.8" hidden="false" customHeight="false" outlineLevel="0" collapsed="false">
      <c r="A1076" s="0" t="s">
        <v>5176</v>
      </c>
      <c r="B1076" s="0" t="n">
        <v>78</v>
      </c>
      <c r="C1076" s="0" t="n">
        <v>326140</v>
      </c>
      <c r="D1076" s="0" t="s">
        <v>5177</v>
      </c>
      <c r="E1076" s="0" t="s">
        <v>2455</v>
      </c>
      <c r="F1076" s="0" t="str">
        <f aca="false">CONCATENATE(D1076," ",LEFT(H1076,4),"T=",AU1076,"D=",AV1076,"R=",AW1076,"M=",AX1076,"L=",AY1076,"B=",AZ1076)</f>
        <v>MCKINNEY T=14D=1R=0M=7L=7B=1</v>
      </c>
      <c r="I1076" s="0" t="s">
        <v>5178</v>
      </c>
      <c r="J1076" s="0" t="s">
        <v>5179</v>
      </c>
      <c r="K1076" s="0" t="s">
        <v>160</v>
      </c>
      <c r="L1076" s="0" t="s">
        <v>175</v>
      </c>
      <c r="M1076" s="0" t="s">
        <v>5180</v>
      </c>
      <c r="N1076" s="0" t="str">
        <f aca="false">RIGHT(M1076,LEN(M1076)-FIND(" ",M1076))</f>
        <v>KENILWORTH AVE SE</v>
      </c>
      <c r="P1076" s="0" t="s">
        <v>145</v>
      </c>
      <c r="Q1076" s="0" t="s">
        <v>146</v>
      </c>
      <c r="R1076" s="0" t="n">
        <v>44484</v>
      </c>
      <c r="AD1076" s="0" t="s">
        <v>147</v>
      </c>
      <c r="AE1076" s="0" t="s">
        <v>148</v>
      </c>
      <c r="AF1076" s="0" t="s">
        <v>149</v>
      </c>
      <c r="AH1076" s="0" t="n">
        <v>14</v>
      </c>
      <c r="AI1076" s="0" t="n">
        <v>11</v>
      </c>
      <c r="AN1076" s="0" t="s">
        <v>145</v>
      </c>
      <c r="AO1076" s="0" t="s">
        <v>233</v>
      </c>
      <c r="AP1076" s="0" t="s">
        <v>234</v>
      </c>
      <c r="AQ1076" s="0" t="n">
        <v>9</v>
      </c>
      <c r="AR1076" s="0" t="n">
        <v>64</v>
      </c>
      <c r="AS1076" s="0" t="n">
        <v>32</v>
      </c>
      <c r="AU1076" s="0" t="n">
        <f aca="false">COUNTA($BA$2155:$EH$2155)</f>
        <v>14</v>
      </c>
      <c r="AV1076" s="0" t="n">
        <f aca="false">COUNTIF($BA$2155:$EH$2155,"D")</f>
        <v>1</v>
      </c>
      <c r="AW1076" s="0" t="n">
        <f aca="false">COUNTIF($BA$2155:$EH$2155,"R")</f>
        <v>0</v>
      </c>
      <c r="AX1076" s="0" t="n">
        <f aca="false">IF(BN1076="D",1,0)+IF(BO1076="D",1,0)+IF(BT1076="D",1,0)+IF(BU1076="D",1,0)+IF(BW1076="D",1,0)+IF(CC1076="D",1,0)+IF(CD1076="D",1,0)+IF(CE1076="D",1,0)+IF(CF1076="D",1,0)+IF(CL1076="D",1,0)+IF(CM1076="D",1,0)+IF(CQ1076="D",1,0)+IF(CR1076="D",1,0)+IF(CS1076="D",1,0)+IF(CW1076="D",1,0)+IF(CX1076="D",1,0)+IF(DD1076="D",1,0)+IF(DE1076="D",1,0)+IF(DJ1076="D",1,0)+IF(DK1076="D",1,0)+IF(DO1076="D",1,0)+IF(DP1076="D",1,0)+IF(DQ1076="D",1,0)+IF(DW1076="D",1,0)+IF(DZ1076="D",1,0)+IF(EH1076="D",1,0)</f>
        <v>7</v>
      </c>
      <c r="AY1076" s="0" t="n">
        <f aca="false">COUNTIF(DU1076:EH1076, "&lt;&gt;")</f>
        <v>7</v>
      </c>
      <c r="AZ1076" s="0" t="n">
        <f aca="false">IF(EH1076&lt;&gt;"",1,0)</f>
        <v>1</v>
      </c>
      <c r="BB1076" s="0" t="s">
        <v>152</v>
      </c>
      <c r="BL1076" s="0" t="s">
        <v>153</v>
      </c>
      <c r="BS1076" s="0" t="s">
        <v>153</v>
      </c>
      <c r="BY1076" s="0" t="s">
        <v>175</v>
      </c>
      <c r="CA1076" s="0" t="s">
        <v>153</v>
      </c>
      <c r="CG1076" s="0" t="s">
        <v>153</v>
      </c>
      <c r="CH1076" s="0" t="s">
        <v>175</v>
      </c>
      <c r="CK1076" s="0" t="s">
        <v>153</v>
      </c>
      <c r="CL1076" s="0" t="s">
        <v>175</v>
      </c>
      <c r="CN1076" s="0" t="s">
        <v>153</v>
      </c>
      <c r="CO1076" s="0" t="s">
        <v>175</v>
      </c>
      <c r="CP1076" s="0" t="s">
        <v>153</v>
      </c>
      <c r="CQ1076" s="0" t="s">
        <v>175</v>
      </c>
      <c r="CT1076" s="0" t="s">
        <v>153</v>
      </c>
      <c r="CU1076" s="0" t="s">
        <v>175</v>
      </c>
      <c r="CV1076" s="0" t="s">
        <v>153</v>
      </c>
      <c r="CW1076" s="0" t="s">
        <v>175</v>
      </c>
      <c r="CY1076" s="0" t="s">
        <v>153</v>
      </c>
      <c r="CZ1076" s="0" t="s">
        <v>175</v>
      </c>
      <c r="DC1076" s="0" t="s">
        <v>153</v>
      </c>
      <c r="DD1076" s="0" t="s">
        <v>175</v>
      </c>
      <c r="DF1076" s="0" t="s">
        <v>153</v>
      </c>
      <c r="DG1076" s="0" t="s">
        <v>175</v>
      </c>
      <c r="DI1076" s="0" t="s">
        <v>153</v>
      </c>
      <c r="DJ1076" s="0" t="s">
        <v>175</v>
      </c>
      <c r="DL1076" s="0" t="s">
        <v>153</v>
      </c>
      <c r="DM1076" s="0" t="s">
        <v>175</v>
      </c>
      <c r="DN1076" s="0" t="s">
        <v>153</v>
      </c>
      <c r="DR1076" s="0" t="s">
        <v>153</v>
      </c>
      <c r="DS1076" s="0" t="s">
        <v>175</v>
      </c>
      <c r="DT1076" s="0" t="s">
        <v>175</v>
      </c>
      <c r="DU1076" s="0" t="s">
        <v>153</v>
      </c>
      <c r="DW1076" s="0" t="s">
        <v>175</v>
      </c>
      <c r="DX1076" s="0" t="s">
        <v>153</v>
      </c>
      <c r="EA1076" s="0" t="s">
        <v>153</v>
      </c>
      <c r="ED1076" s="0" t="s">
        <v>175</v>
      </c>
      <c r="EF1076" s="0" t="s">
        <v>153</v>
      </c>
      <c r="EH1076" s="0" t="s">
        <v>175</v>
      </c>
    </row>
    <row r="1077" customFormat="false" ht="13.8" hidden="false" customHeight="false" outlineLevel="0" collapsed="false">
      <c r="A1077" s="0" t="s">
        <v>5181</v>
      </c>
      <c r="B1077" s="0" t="n">
        <v>78</v>
      </c>
      <c r="C1077" s="0" t="n">
        <v>302806</v>
      </c>
      <c r="D1077" s="0" t="s">
        <v>1456</v>
      </c>
      <c r="E1077" s="0" t="s">
        <v>5182</v>
      </c>
      <c r="F1077" s="0" t="str">
        <f aca="false">CONCATENATE(D1077," ",LEFT(H1077,4),"T=",AU1077,"D=",AV1077,"R=",AW1077,"M=",AX1077,"L=",AY1077,"B=",AZ1077)</f>
        <v>BENNETT T=1D=0R=0M=3L=4B=0</v>
      </c>
      <c r="G1077" s="0" t="s">
        <v>175</v>
      </c>
      <c r="I1077" s="0" t="s">
        <v>1458</v>
      </c>
      <c r="J1077" s="0" t="s">
        <v>5183</v>
      </c>
      <c r="K1077" s="0" t="s">
        <v>160</v>
      </c>
      <c r="L1077" s="0" t="s">
        <v>175</v>
      </c>
      <c r="M1077" s="0" t="s">
        <v>5184</v>
      </c>
      <c r="N1077" s="0" t="str">
        <f aca="false">RIGHT(M1077,LEN(M1077)-FIND(" ",M1077))</f>
        <v>KENILWORTH AVE SE</v>
      </c>
      <c r="P1077" s="0" t="s">
        <v>145</v>
      </c>
      <c r="Q1077" s="0" t="s">
        <v>146</v>
      </c>
      <c r="R1077" s="0" t="n">
        <v>44484</v>
      </c>
      <c r="AD1077" s="0" t="s">
        <v>147</v>
      </c>
      <c r="AE1077" s="0" t="s">
        <v>148</v>
      </c>
      <c r="AF1077" s="0" t="s">
        <v>149</v>
      </c>
      <c r="AH1077" s="0" t="n">
        <v>14</v>
      </c>
      <c r="AI1077" s="0" t="n">
        <v>11</v>
      </c>
      <c r="AN1077" s="0" t="s">
        <v>145</v>
      </c>
      <c r="AO1077" s="0" t="s">
        <v>233</v>
      </c>
      <c r="AP1077" s="0" t="s">
        <v>234</v>
      </c>
      <c r="AQ1077" s="0" t="n">
        <v>9</v>
      </c>
      <c r="AR1077" s="0" t="n">
        <v>64</v>
      </c>
      <c r="AS1077" s="0" t="n">
        <v>32</v>
      </c>
      <c r="AU1077" s="0" t="n">
        <f aca="false">COUNTA($BA$2159:$EH$2159)</f>
        <v>1</v>
      </c>
      <c r="AV1077" s="0" t="n">
        <f aca="false">COUNTIF($BA$2159:$EH$2159,"D")</f>
        <v>0</v>
      </c>
      <c r="AW1077" s="0" t="n">
        <f aca="false">COUNTIF($BA$2159:$EH$2159,"R")</f>
        <v>0</v>
      </c>
      <c r="AX1077" s="0" t="n">
        <f aca="false">IF(BN1077="D",1,0)+IF(BO1077="D",1,0)+IF(BT1077="D",1,0)+IF(BU1077="D",1,0)+IF(BW1077="D",1,0)+IF(CC1077="D",1,0)+IF(CD1077="D",1,0)+IF(CE1077="D",1,0)+IF(CF1077="D",1,0)+IF(CL1077="D",1,0)+IF(CM1077="D",1,0)+IF(CQ1077="D",1,0)+IF(CR1077="D",1,0)+IF(CS1077="D",1,0)+IF(CW1077="D",1,0)+IF(CX1077="D",1,0)+IF(DD1077="D",1,0)+IF(DE1077="D",1,0)+IF(DJ1077="D",1,0)+IF(DK1077="D",1,0)+IF(DO1077="D",1,0)+IF(DP1077="D",1,0)+IF(DQ1077="D",1,0)+IF(DW1077="D",1,0)+IF(DZ1077="D",1,0)+IF(EH1077="D",1,0)</f>
        <v>3</v>
      </c>
      <c r="AY1077" s="0" t="n">
        <f aca="false">COUNTIF(DU1077:EH1077, "&lt;&gt;")</f>
        <v>4</v>
      </c>
      <c r="AZ1077" s="0" t="n">
        <f aca="false">IF(EH1077&lt;&gt;"",1,0)</f>
        <v>0</v>
      </c>
      <c r="BB1077" s="0" t="s">
        <v>152</v>
      </c>
      <c r="BL1077" s="0" t="s">
        <v>153</v>
      </c>
      <c r="CA1077" s="0" t="s">
        <v>153</v>
      </c>
      <c r="CL1077" s="0" t="s">
        <v>175</v>
      </c>
      <c r="CN1077" s="0" t="s">
        <v>153</v>
      </c>
      <c r="CP1077" s="0" t="s">
        <v>153</v>
      </c>
      <c r="CQ1077" s="0" t="s">
        <v>175</v>
      </c>
      <c r="CY1077" s="0" t="s">
        <v>153</v>
      </c>
      <c r="DC1077" s="0" t="s">
        <v>153</v>
      </c>
      <c r="DI1077" s="0" t="s">
        <v>153</v>
      </c>
      <c r="DL1077" s="0" t="s">
        <v>153</v>
      </c>
      <c r="DM1077" s="0" t="s">
        <v>175</v>
      </c>
      <c r="DN1077" s="0" t="s">
        <v>153</v>
      </c>
      <c r="DS1077" s="0" t="s">
        <v>175</v>
      </c>
      <c r="DU1077" s="0" t="s">
        <v>153</v>
      </c>
      <c r="DW1077" s="0" t="s">
        <v>175</v>
      </c>
      <c r="DX1077" s="0" t="s">
        <v>153</v>
      </c>
      <c r="EA1077" s="0" t="s">
        <v>153</v>
      </c>
    </row>
    <row r="1078" customFormat="false" ht="13.8" hidden="false" customHeight="false" outlineLevel="0" collapsed="false">
      <c r="A1078" s="0" t="s">
        <v>5185</v>
      </c>
      <c r="B1078" s="0" t="n">
        <v>78</v>
      </c>
      <c r="C1078" s="0" t="n">
        <v>14292</v>
      </c>
      <c r="D1078" s="0" t="s">
        <v>4054</v>
      </c>
      <c r="E1078" s="0" t="s">
        <v>5186</v>
      </c>
      <c r="F1078" s="0" t="str">
        <f aca="false">CONCATENATE(D1078," ",LEFT(H1078,4),"T=",AU1078,"D=",AV1078,"R=",AW1078,"M=",AX1078,"L=",AY1078,"B=",AZ1078)</f>
        <v>FRAZIER T=2D=0R=0M=5L=5B=0</v>
      </c>
      <c r="G1078" s="0" t="s">
        <v>175</v>
      </c>
      <c r="I1078" s="0" t="s">
        <v>3652</v>
      </c>
      <c r="J1078" s="0" t="s">
        <v>5187</v>
      </c>
      <c r="K1078" s="0" t="s">
        <v>160</v>
      </c>
      <c r="L1078" s="0" t="s">
        <v>175</v>
      </c>
      <c r="M1078" s="0" t="s">
        <v>5184</v>
      </c>
      <c r="N1078" s="0" t="str">
        <f aca="false">RIGHT(M1078,LEN(M1078)-FIND(" ",M1078))</f>
        <v>KENILWORTH AVE SE</v>
      </c>
      <c r="P1078" s="0" t="s">
        <v>145</v>
      </c>
      <c r="Q1078" s="0" t="s">
        <v>146</v>
      </c>
      <c r="R1078" s="0" t="n">
        <v>44484</v>
      </c>
      <c r="AD1078" s="0" t="s">
        <v>147</v>
      </c>
      <c r="AE1078" s="0" t="s">
        <v>148</v>
      </c>
      <c r="AF1078" s="0" t="s">
        <v>149</v>
      </c>
      <c r="AH1078" s="0" t="n">
        <v>14</v>
      </c>
      <c r="AI1078" s="0" t="n">
        <v>11</v>
      </c>
      <c r="AN1078" s="0" t="s">
        <v>145</v>
      </c>
      <c r="AO1078" s="0" t="s">
        <v>233</v>
      </c>
      <c r="AP1078" s="0" t="s">
        <v>234</v>
      </c>
      <c r="AQ1078" s="0" t="n">
        <v>9</v>
      </c>
      <c r="AR1078" s="0" t="n">
        <v>64</v>
      </c>
      <c r="AS1078" s="0" t="n">
        <v>32</v>
      </c>
      <c r="AU1078" s="0" t="n">
        <f aca="false">COUNTA($BA$2290:$EH$2290)</f>
        <v>2</v>
      </c>
      <c r="AV1078" s="0" t="n">
        <f aca="false">COUNTIF($BA$2290:$EH$2290,"D")</f>
        <v>0</v>
      </c>
      <c r="AW1078" s="0" t="n">
        <f aca="false">COUNTIF($BA$2290:$EH$2290,"R")</f>
        <v>0</v>
      </c>
      <c r="AX1078" s="0" t="n">
        <f aca="false">IF(BN1078="D",1,0)+IF(BO1078="D",1,0)+IF(BT1078="D",1,0)+IF(BU1078="D",1,0)+IF(BW1078="D",1,0)+IF(CC1078="D",1,0)+IF(CD1078="D",1,0)+IF(CE1078="D",1,0)+IF(CF1078="D",1,0)+IF(CL1078="D",1,0)+IF(CM1078="D",1,0)+IF(CQ1078="D",1,0)+IF(CR1078="D",1,0)+IF(CS1078="D",1,0)+IF(CW1078="D",1,0)+IF(CX1078="D",1,0)+IF(DD1078="D",1,0)+IF(DE1078="D",1,0)+IF(DJ1078="D",1,0)+IF(DK1078="D",1,0)+IF(DO1078="D",1,0)+IF(DP1078="D",1,0)+IF(DQ1078="D",1,0)+IF(DW1078="D",1,0)+IF(DZ1078="D",1,0)+IF(EH1078="D",1,0)</f>
        <v>5</v>
      </c>
      <c r="AY1078" s="0" t="n">
        <f aca="false">COUNTIF(DU1078:EH1078, "&lt;&gt;")</f>
        <v>5</v>
      </c>
      <c r="AZ1078" s="0" t="n">
        <f aca="false">IF(EH1078&lt;&gt;"",1,0)</f>
        <v>0</v>
      </c>
      <c r="BB1078" s="0" t="s">
        <v>152</v>
      </c>
      <c r="BC1078" s="0" t="s">
        <v>153</v>
      </c>
      <c r="BD1078" s="0" t="s">
        <v>153</v>
      </c>
      <c r="BE1078" s="0" t="s">
        <v>153</v>
      </c>
      <c r="BF1078" s="0" t="s">
        <v>153</v>
      </c>
      <c r="BG1078" s="0" t="s">
        <v>153</v>
      </c>
      <c r="BH1078" s="0" t="s">
        <v>153</v>
      </c>
      <c r="BI1078" s="0" t="s">
        <v>153</v>
      </c>
      <c r="BJ1078" s="0" t="s">
        <v>153</v>
      </c>
      <c r="BK1078" s="0" t="s">
        <v>153</v>
      </c>
      <c r="BL1078" s="0" t="s">
        <v>153</v>
      </c>
      <c r="BP1078" s="0" t="s">
        <v>153</v>
      </c>
      <c r="BR1078" s="0" t="s">
        <v>153</v>
      </c>
      <c r="BS1078" s="0" t="s">
        <v>153</v>
      </c>
      <c r="BT1078" s="0" t="s">
        <v>153</v>
      </c>
      <c r="BV1078" s="0" t="s">
        <v>153</v>
      </c>
      <c r="BY1078" s="0" t="s">
        <v>175</v>
      </c>
      <c r="CA1078" s="0" t="s">
        <v>153</v>
      </c>
      <c r="CG1078" s="0" t="s">
        <v>153</v>
      </c>
      <c r="CH1078" s="0" t="s">
        <v>175</v>
      </c>
      <c r="CK1078" s="0" t="s">
        <v>153</v>
      </c>
      <c r="CL1078" s="0" t="s">
        <v>175</v>
      </c>
      <c r="CN1078" s="0" t="s">
        <v>153</v>
      </c>
      <c r="CO1078" s="0" t="s">
        <v>175</v>
      </c>
      <c r="CP1078" s="0" t="s">
        <v>153</v>
      </c>
      <c r="CQ1078" s="0" t="s">
        <v>175</v>
      </c>
      <c r="CT1078" s="0" t="s">
        <v>153</v>
      </c>
      <c r="CU1078" s="0" t="s">
        <v>175</v>
      </c>
      <c r="CV1078" s="0" t="s">
        <v>153</v>
      </c>
      <c r="CW1078" s="0" t="s">
        <v>175</v>
      </c>
      <c r="CY1078" s="0" t="s">
        <v>153</v>
      </c>
      <c r="CZ1078" s="0" t="s">
        <v>175</v>
      </c>
      <c r="DC1078" s="0" t="s">
        <v>153</v>
      </c>
      <c r="DD1078" s="0" t="s">
        <v>175</v>
      </c>
      <c r="DF1078" s="0" t="s">
        <v>153</v>
      </c>
      <c r="DG1078" s="0" t="s">
        <v>175</v>
      </c>
      <c r="DI1078" s="0" t="s">
        <v>153</v>
      </c>
      <c r="DL1078" s="0" t="s">
        <v>153</v>
      </c>
      <c r="DM1078" s="0" t="s">
        <v>175</v>
      </c>
      <c r="DN1078" s="0" t="s">
        <v>153</v>
      </c>
      <c r="DU1078" s="0" t="s">
        <v>153</v>
      </c>
      <c r="DW1078" s="0" t="s">
        <v>175</v>
      </c>
      <c r="DX1078" s="0" t="s">
        <v>153</v>
      </c>
      <c r="EA1078" s="0" t="s">
        <v>153</v>
      </c>
      <c r="EF1078" s="0" t="s">
        <v>153</v>
      </c>
    </row>
    <row r="1079" customFormat="false" ht="13.8" hidden="false" customHeight="false" outlineLevel="0" collapsed="false">
      <c r="A1079" s="0" t="s">
        <v>5188</v>
      </c>
      <c r="B1079" s="0" t="n">
        <v>78</v>
      </c>
      <c r="C1079" s="0" t="n">
        <v>291987</v>
      </c>
      <c r="D1079" s="0" t="s">
        <v>1456</v>
      </c>
      <c r="E1079" s="0" t="s">
        <v>1276</v>
      </c>
      <c r="F1079" s="0" t="str">
        <f aca="false">CONCATENATE(D1079," ",LEFT(H1079,4),"T=",AU1079,"D=",AV1079,"R=",AW1079,"M=",AX1079,"L=",AY1079,"B=",AZ1079)</f>
        <v>BENNETT T=1D=0R=0M=4L=6B=0</v>
      </c>
      <c r="G1079" s="0" t="s">
        <v>268</v>
      </c>
      <c r="I1079" s="0" t="s">
        <v>5189</v>
      </c>
      <c r="J1079" s="0" t="s">
        <v>283</v>
      </c>
      <c r="K1079" s="0" t="s">
        <v>160</v>
      </c>
      <c r="L1079" s="0" t="s">
        <v>175</v>
      </c>
      <c r="M1079" s="0" t="s">
        <v>5184</v>
      </c>
      <c r="N1079" s="0" t="str">
        <f aca="false">RIGHT(M1079,LEN(M1079)-FIND(" ",M1079))</f>
        <v>KENILWORTH AVE SE</v>
      </c>
      <c r="P1079" s="0" t="s">
        <v>145</v>
      </c>
      <c r="Q1079" s="0" t="s">
        <v>146</v>
      </c>
      <c r="R1079" s="0" t="n">
        <v>44484</v>
      </c>
      <c r="AD1079" s="0" t="s">
        <v>147</v>
      </c>
      <c r="AE1079" s="0" t="s">
        <v>148</v>
      </c>
      <c r="AF1079" s="0" t="s">
        <v>149</v>
      </c>
      <c r="AH1079" s="0" t="n">
        <v>14</v>
      </c>
      <c r="AI1079" s="0" t="n">
        <v>11</v>
      </c>
      <c r="AN1079" s="0" t="s">
        <v>145</v>
      </c>
      <c r="AO1079" s="0" t="s">
        <v>233</v>
      </c>
      <c r="AP1079" s="0" t="s">
        <v>234</v>
      </c>
      <c r="AQ1079" s="0" t="n">
        <v>9</v>
      </c>
      <c r="AR1079" s="0" t="n">
        <v>64</v>
      </c>
      <c r="AS1079" s="0" t="n">
        <v>32</v>
      </c>
      <c r="AU1079" s="0" t="n">
        <f aca="false">COUNTA($BA$2321:$EH$2321)</f>
        <v>1</v>
      </c>
      <c r="AV1079" s="0" t="n">
        <f aca="false">COUNTIF($BA$2321:$EH$2321,"D")</f>
        <v>0</v>
      </c>
      <c r="AW1079" s="0" t="n">
        <f aca="false">COUNTIF($BA$2321:$EH$2321,"R")</f>
        <v>0</v>
      </c>
      <c r="AX1079" s="0" t="n">
        <f aca="false">IF(BN1079="D",1,0)+IF(BO1079="D",1,0)+IF(BT1079="D",1,0)+IF(BU1079="D",1,0)+IF(BW1079="D",1,0)+IF(CC1079="D",1,0)+IF(CD1079="D",1,0)+IF(CE1079="D",1,0)+IF(CF1079="D",1,0)+IF(CL1079="D",1,0)+IF(CM1079="D",1,0)+IF(CQ1079="D",1,0)+IF(CR1079="D",1,0)+IF(CS1079="D",1,0)+IF(CW1079="D",1,0)+IF(CX1079="D",1,0)+IF(DD1079="D",1,0)+IF(DE1079="D",1,0)+IF(DJ1079="D",1,0)+IF(DK1079="D",1,0)+IF(DO1079="D",1,0)+IF(DP1079="D",1,0)+IF(DQ1079="D",1,0)+IF(DW1079="D",1,0)+IF(DZ1079="D",1,0)+IF(EH1079="D",1,0)</f>
        <v>4</v>
      </c>
      <c r="AY1079" s="0" t="n">
        <f aca="false">COUNTIF(DU1079:EH1079, "&lt;&gt;")</f>
        <v>6</v>
      </c>
      <c r="AZ1079" s="0" t="n">
        <f aca="false">IF(EH1079&lt;&gt;"",1,0)</f>
        <v>0</v>
      </c>
      <c r="BB1079" s="0" t="s">
        <v>152</v>
      </c>
      <c r="BC1079" s="0" t="s">
        <v>153</v>
      </c>
      <c r="BD1079" s="0" t="s">
        <v>153</v>
      </c>
      <c r="BL1079" s="0" t="s">
        <v>153</v>
      </c>
      <c r="BY1079" s="0" t="s">
        <v>175</v>
      </c>
      <c r="CA1079" s="0" t="s">
        <v>153</v>
      </c>
      <c r="CK1079" s="0" t="s">
        <v>153</v>
      </c>
      <c r="CL1079" s="0" t="s">
        <v>175</v>
      </c>
      <c r="CN1079" s="0" t="s">
        <v>153</v>
      </c>
      <c r="CP1079" s="0" t="s">
        <v>153</v>
      </c>
      <c r="CW1079" s="0" t="s">
        <v>175</v>
      </c>
      <c r="CY1079" s="0" t="s">
        <v>153</v>
      </c>
      <c r="DC1079" s="0" t="s">
        <v>153</v>
      </c>
      <c r="DD1079" s="0" t="s">
        <v>175</v>
      </c>
      <c r="DG1079" s="0" t="s">
        <v>175</v>
      </c>
      <c r="DI1079" s="0" t="s">
        <v>153</v>
      </c>
      <c r="DL1079" s="0" t="s">
        <v>153</v>
      </c>
      <c r="DM1079" s="0" t="s">
        <v>175</v>
      </c>
      <c r="DN1079" s="0" t="s">
        <v>153</v>
      </c>
      <c r="DS1079" s="0" t="s">
        <v>175</v>
      </c>
      <c r="DU1079" s="0" t="s">
        <v>153</v>
      </c>
      <c r="DW1079" s="0" t="s">
        <v>175</v>
      </c>
      <c r="DX1079" s="0" t="s">
        <v>153</v>
      </c>
      <c r="EA1079" s="0" t="s">
        <v>153</v>
      </c>
      <c r="ED1079" s="0" t="s">
        <v>175</v>
      </c>
      <c r="EF1079" s="0" t="s">
        <v>153</v>
      </c>
    </row>
    <row r="1080" customFormat="false" ht="13.8" hidden="true" customHeight="false" outlineLevel="0" collapsed="false">
      <c r="A1080" s="0" t="s">
        <v>5190</v>
      </c>
      <c r="B1080" s="0" t="n">
        <v>78</v>
      </c>
      <c r="C1080" s="0" t="n">
        <v>360679</v>
      </c>
      <c r="D1080" s="0" t="s">
        <v>1456</v>
      </c>
      <c r="E1080" s="0" t="s">
        <v>1229</v>
      </c>
      <c r="F1080" s="0" t="str">
        <f aca="false">CONCATENATE(D1080," ",LEFT(H1080,4),"T=",AU1080,"D=",AV1080,"R=",AW1080,"M=",AX1080,"L=",AY1080,"B=",AZ1080)</f>
        <v>BENNETT T=1D=0R=0M=0L=0B=0</v>
      </c>
      <c r="G1080" s="0" t="s">
        <v>209</v>
      </c>
      <c r="I1080" s="0" t="s">
        <v>5191</v>
      </c>
      <c r="J1080" s="0" t="s">
        <v>5192</v>
      </c>
      <c r="K1080" s="0" t="s">
        <v>143</v>
      </c>
      <c r="M1080" s="0" t="s">
        <v>5184</v>
      </c>
      <c r="N1080" s="0" t="str">
        <f aca="false">RIGHT(M1080,LEN(M1080)-FIND(" ",M1080))</f>
        <v>KENILWORTH AVE SE</v>
      </c>
      <c r="P1080" s="0" t="s">
        <v>145</v>
      </c>
      <c r="Q1080" s="0" t="s">
        <v>146</v>
      </c>
      <c r="R1080" s="0" t="n">
        <v>44484</v>
      </c>
      <c r="AD1080" s="0" t="s">
        <v>147</v>
      </c>
      <c r="AE1080" s="0" t="s">
        <v>148</v>
      </c>
      <c r="AF1080" s="0" t="s">
        <v>149</v>
      </c>
      <c r="AH1080" s="0" t="n">
        <v>14</v>
      </c>
      <c r="AI1080" s="0" t="n">
        <v>11</v>
      </c>
      <c r="AN1080" s="0" t="s">
        <v>145</v>
      </c>
      <c r="AO1080" s="0" t="s">
        <v>233</v>
      </c>
      <c r="AP1080" s="0" t="s">
        <v>234</v>
      </c>
      <c r="AQ1080" s="0" t="n">
        <v>9</v>
      </c>
      <c r="AR1080" s="0" t="n">
        <v>64</v>
      </c>
      <c r="AS1080" s="0" t="n">
        <v>32</v>
      </c>
      <c r="AU1080" s="0" t="n">
        <f aca="false">COUNTA($BA$2354:$EH$2354)</f>
        <v>1</v>
      </c>
      <c r="AV1080" s="0" t="n">
        <f aca="false">COUNTIF($BA$2354:$EH$2354,"D")</f>
        <v>0</v>
      </c>
      <c r="AW1080" s="0" t="n">
        <f aca="false">COUNTIF($BA$2354:$EH$2354,"R")</f>
        <v>0</v>
      </c>
      <c r="AX1080" s="0" t="n">
        <f aca="false">IF(BN1080="D",1,0)+IF(BO1080="D",1,0)+IF(BT1080="D",1,0)+IF(BU1080="D",1,0)+IF(BW1080="D",1,0)+IF(CC1080="D",1,0)+IF(CD1080="D",1,0)+IF(CE1080="D",1,0)+IF(CF1080="D",1,0)+IF(CL1080="D",1,0)+IF(CM1080="D",1,0)+IF(CQ1080="D",1,0)+IF(CR1080="D",1,0)+IF(CS1080="D",1,0)+IF(CW1080="D",1,0)+IF(CX1080="D",1,0)+IF(DD1080="D",1,0)+IF(DE1080="D",1,0)+IF(DJ1080="D",1,0)+IF(DK1080="D",1,0)+IF(DO1080="D",1,0)+IF(DP1080="D",1,0)+IF(DQ1080="D",1,0)+IF(DW1080="D",1,0)+IF(DZ1080="D",1,0)+IF(EH1080="D",1,0)</f>
        <v>0</v>
      </c>
      <c r="AY1080" s="0" t="n">
        <f aca="false">COUNTIF(DU1080:EH1080, "&lt;&gt;")</f>
        <v>0</v>
      </c>
      <c r="AZ1080" s="0" t="n">
        <f aca="false">IF(EH1080&lt;&gt;"",1,0)</f>
        <v>0</v>
      </c>
      <c r="BB1080" s="0" t="s">
        <v>152</v>
      </c>
      <c r="CA1080" s="0" t="s">
        <v>153</v>
      </c>
      <c r="DN1080" s="0" t="s">
        <v>153</v>
      </c>
    </row>
    <row r="1081" customFormat="false" ht="13.8" hidden="true" customHeight="false" outlineLevel="0" collapsed="false">
      <c r="A1081" s="0" t="s">
        <v>5193</v>
      </c>
      <c r="B1081" s="0" t="n">
        <v>78</v>
      </c>
      <c r="C1081" s="0" t="n">
        <v>378684</v>
      </c>
      <c r="D1081" s="0" t="s">
        <v>5194</v>
      </c>
      <c r="E1081" s="0" t="s">
        <v>1152</v>
      </c>
      <c r="F1081" s="0" t="str">
        <f aca="false">CONCATENATE(D1081," ",LEFT(H1081,4),"T=",AU1081,"D=",AV1081,"R=",AW1081,"M=",AX1081,"L=",AY1081,"B=",AZ1081)</f>
        <v>ELLENS T=2D=0R=0M=0L=0B=0</v>
      </c>
      <c r="G1081" s="0" t="s">
        <v>686</v>
      </c>
      <c r="I1081" s="0" t="s">
        <v>5195</v>
      </c>
      <c r="J1081" s="0" t="s">
        <v>283</v>
      </c>
      <c r="K1081" s="0" t="s">
        <v>160</v>
      </c>
      <c r="M1081" s="0" t="s">
        <v>5184</v>
      </c>
      <c r="N1081" s="0" t="str">
        <f aca="false">RIGHT(M1081,LEN(M1081)-FIND(" ",M1081))</f>
        <v>KENILWORTH AVE SE</v>
      </c>
      <c r="P1081" s="0" t="s">
        <v>145</v>
      </c>
      <c r="Q1081" s="0" t="s">
        <v>146</v>
      </c>
      <c r="R1081" s="0" t="n">
        <v>44484</v>
      </c>
      <c r="AD1081" s="0" t="s">
        <v>147</v>
      </c>
      <c r="AE1081" s="0" t="s">
        <v>148</v>
      </c>
      <c r="AF1081" s="0" t="s">
        <v>149</v>
      </c>
      <c r="AH1081" s="0" t="n">
        <v>14</v>
      </c>
      <c r="AI1081" s="0" t="n">
        <v>11</v>
      </c>
      <c r="AN1081" s="0" t="s">
        <v>145</v>
      </c>
      <c r="AO1081" s="0" t="s">
        <v>233</v>
      </c>
      <c r="AP1081" s="0" t="s">
        <v>234</v>
      </c>
      <c r="AQ1081" s="0" t="n">
        <v>9</v>
      </c>
      <c r="AR1081" s="0" t="n">
        <v>64</v>
      </c>
      <c r="AS1081" s="0" t="n">
        <v>32</v>
      </c>
      <c r="AU1081" s="0" t="n">
        <f aca="false">COUNTA($BA$2595:$EH$2595)</f>
        <v>2</v>
      </c>
      <c r="AV1081" s="0" t="n">
        <f aca="false">COUNTIF($BA$2595:$EH$2595,"D")</f>
        <v>0</v>
      </c>
      <c r="AW1081" s="0" t="n">
        <f aca="false">COUNTIF($BA$2595:$EH$2595,"R")</f>
        <v>0</v>
      </c>
      <c r="AX1081" s="0" t="n">
        <f aca="false">IF(BN1081="D",1,0)+IF(BO1081="D",1,0)+IF(BT1081="D",1,0)+IF(BU1081="D",1,0)+IF(BW1081="D",1,0)+IF(CC1081="D",1,0)+IF(CD1081="D",1,0)+IF(CE1081="D",1,0)+IF(CF1081="D",1,0)+IF(CL1081="D",1,0)+IF(CM1081="D",1,0)+IF(CQ1081="D",1,0)+IF(CR1081="D",1,0)+IF(CS1081="D",1,0)+IF(CW1081="D",1,0)+IF(CX1081="D",1,0)+IF(DD1081="D",1,0)+IF(DE1081="D",1,0)+IF(DJ1081="D",1,0)+IF(DK1081="D",1,0)+IF(DO1081="D",1,0)+IF(DP1081="D",1,0)+IF(DQ1081="D",1,0)+IF(DW1081="D",1,0)+IF(DZ1081="D",1,0)+IF(EH1081="D",1,0)</f>
        <v>0</v>
      </c>
      <c r="AY1081" s="0" t="n">
        <f aca="false">COUNTIF(DU1081:EH1081, "&lt;&gt;")</f>
        <v>0</v>
      </c>
      <c r="AZ1081" s="0" t="n">
        <f aca="false">IF(EH1081&lt;&gt;"",1,0)</f>
        <v>0</v>
      </c>
      <c r="BB1081" s="0" t="s">
        <v>152</v>
      </c>
      <c r="CP1081" s="0" t="s">
        <v>153</v>
      </c>
      <c r="CY1081" s="0" t="s">
        <v>153</v>
      </c>
    </row>
    <row r="1082" customFormat="false" ht="13.8" hidden="false" customHeight="false" outlineLevel="0" collapsed="false">
      <c r="A1082" s="0" t="s">
        <v>5196</v>
      </c>
      <c r="B1082" s="0" t="n">
        <v>78</v>
      </c>
      <c r="C1082" s="0" t="n">
        <v>247419</v>
      </c>
      <c r="D1082" s="0" t="s">
        <v>5197</v>
      </c>
      <c r="E1082" s="0" t="s">
        <v>901</v>
      </c>
      <c r="F1082" s="0" t="str">
        <f aca="false">CONCATENATE(D1082," ",LEFT(H1082,4),"T=",AU1082,"D=",AV1082,"R=",AW1082,"M=",AX1082,"L=",AY1082,"B=",AZ1082)</f>
        <v>RONDINI T=10D=0R=0M=0L=2B=0</v>
      </c>
      <c r="G1082" s="0" t="s">
        <v>1001</v>
      </c>
      <c r="I1082" s="0" t="s">
        <v>5198</v>
      </c>
      <c r="J1082" s="0" t="s">
        <v>5199</v>
      </c>
      <c r="K1082" s="0" t="s">
        <v>160</v>
      </c>
      <c r="M1082" s="0" t="s">
        <v>5200</v>
      </c>
      <c r="N1082" s="0" t="str">
        <f aca="false">RIGHT(M1082,LEN(M1082)-FIND(" ",M1082))</f>
        <v>KENILWORTH AVE SE</v>
      </c>
      <c r="P1082" s="0" t="s">
        <v>145</v>
      </c>
      <c r="Q1082" s="0" t="s">
        <v>146</v>
      </c>
      <c r="R1082" s="0" t="n">
        <v>44484</v>
      </c>
      <c r="AD1082" s="0" t="s">
        <v>147</v>
      </c>
      <c r="AE1082" s="0" t="s">
        <v>148</v>
      </c>
      <c r="AF1082" s="0" t="s">
        <v>149</v>
      </c>
      <c r="AH1082" s="0" t="n">
        <v>14</v>
      </c>
      <c r="AI1082" s="0" t="n">
        <v>11</v>
      </c>
      <c r="AN1082" s="0" t="s">
        <v>145</v>
      </c>
      <c r="AO1082" s="0" t="s">
        <v>233</v>
      </c>
      <c r="AP1082" s="0" t="s">
        <v>234</v>
      </c>
      <c r="AQ1082" s="0" t="n">
        <v>9</v>
      </c>
      <c r="AR1082" s="0" t="n">
        <v>64</v>
      </c>
      <c r="AS1082" s="0" t="n">
        <v>32</v>
      </c>
      <c r="AU1082" s="0" t="n">
        <f aca="false">COUNTA($BA$2110:$EH$2110)</f>
        <v>10</v>
      </c>
      <c r="AV1082" s="0" t="n">
        <f aca="false">COUNTIF($BA$2110:$EH$2110,"D")</f>
        <v>0</v>
      </c>
      <c r="AW1082" s="0" t="n">
        <f aca="false">COUNTIF($BA$2110:$EH$2110,"R")</f>
        <v>0</v>
      </c>
      <c r="AX1082" s="0" t="n">
        <f aca="false">IF(BN1082="D",1,0)+IF(BO1082="D",1,0)+IF(BT1082="D",1,0)+IF(BU1082="D",1,0)+IF(BW1082="D",1,0)+IF(CC1082="D",1,0)+IF(CD1082="D",1,0)+IF(CE1082="D",1,0)+IF(CF1082="D",1,0)+IF(CL1082="D",1,0)+IF(CM1082="D",1,0)+IF(CQ1082="D",1,0)+IF(CR1082="D",1,0)+IF(CS1082="D",1,0)+IF(CW1082="D",1,0)+IF(CX1082="D",1,0)+IF(DD1082="D",1,0)+IF(DE1082="D",1,0)+IF(DJ1082="D",1,0)+IF(DK1082="D",1,0)+IF(DO1082="D",1,0)+IF(DP1082="D",1,0)+IF(DQ1082="D",1,0)+IF(DW1082="D",1,0)+IF(DZ1082="D",1,0)+IF(EH1082="D",1,0)</f>
        <v>0</v>
      </c>
      <c r="AY1082" s="0" t="n">
        <f aca="false">COUNTIF(DU1082:EH1082, "&lt;&gt;")</f>
        <v>2</v>
      </c>
      <c r="AZ1082" s="0" t="n">
        <f aca="false">IF(EH1082&lt;&gt;"",1,0)</f>
        <v>0</v>
      </c>
      <c r="BB1082" s="0" t="s">
        <v>152</v>
      </c>
      <c r="BC1082" s="0" t="s">
        <v>153</v>
      </c>
      <c r="BD1082" s="0" t="s">
        <v>153</v>
      </c>
      <c r="BK1082" s="0" t="s">
        <v>153</v>
      </c>
      <c r="BL1082" s="0" t="s">
        <v>153</v>
      </c>
      <c r="BP1082" s="0" t="s">
        <v>153</v>
      </c>
      <c r="BS1082" s="0" t="s">
        <v>153</v>
      </c>
      <c r="BT1082" s="0" t="s">
        <v>153</v>
      </c>
      <c r="BY1082" s="0" t="s">
        <v>175</v>
      </c>
      <c r="CA1082" s="0" t="s">
        <v>153</v>
      </c>
      <c r="CG1082" s="0" t="s">
        <v>153</v>
      </c>
      <c r="CH1082" s="0" t="s">
        <v>175</v>
      </c>
      <c r="CK1082" s="0" t="s">
        <v>153</v>
      </c>
      <c r="CN1082" s="0" t="s">
        <v>153</v>
      </c>
      <c r="CO1082" s="0" t="s">
        <v>175</v>
      </c>
      <c r="CP1082" s="0" t="s">
        <v>153</v>
      </c>
      <c r="CV1082" s="0" t="s">
        <v>153</v>
      </c>
      <c r="CY1082" s="0" t="s">
        <v>153</v>
      </c>
      <c r="CZ1082" s="0" t="s">
        <v>175</v>
      </c>
      <c r="DC1082" s="0" t="s">
        <v>153</v>
      </c>
      <c r="DF1082" s="0" t="s">
        <v>153</v>
      </c>
      <c r="DI1082" s="0" t="s">
        <v>153</v>
      </c>
      <c r="DN1082" s="0" t="s">
        <v>153</v>
      </c>
      <c r="EA1082" s="0" t="s">
        <v>153</v>
      </c>
      <c r="EF1082" s="0" t="s">
        <v>153</v>
      </c>
    </row>
    <row r="1083" customFormat="false" ht="13.8" hidden="true" customHeight="false" outlineLevel="0" collapsed="false">
      <c r="A1083" s="0" t="s">
        <v>5201</v>
      </c>
      <c r="B1083" s="0" t="n">
        <v>78</v>
      </c>
      <c r="C1083" s="0" t="n">
        <v>455168</v>
      </c>
      <c r="D1083" s="0" t="s">
        <v>5202</v>
      </c>
      <c r="E1083" s="0" t="s">
        <v>424</v>
      </c>
      <c r="F1083" s="0" t="str">
        <f aca="false">CONCATENATE(D1083," ",LEFT(H1083,4),"T=",AU1083,"D=",AV1083,"R=",AW1083,"M=",AX1083,"L=",AY1083,"B=",AZ1083)</f>
        <v>TRIMBLE T=4D=0R=0M=0L=0B=0</v>
      </c>
      <c r="G1083" s="0" t="s">
        <v>190</v>
      </c>
      <c r="I1083" s="0" t="s">
        <v>2316</v>
      </c>
      <c r="J1083" s="0" t="s">
        <v>159</v>
      </c>
      <c r="K1083" s="0" t="s">
        <v>143</v>
      </c>
      <c r="M1083" s="0" t="s">
        <v>5203</v>
      </c>
      <c r="N1083" s="0" t="str">
        <f aca="false">RIGHT(M1083,LEN(M1083)-FIND(" ",M1083))</f>
        <v>KENILWORTH AVE SE</v>
      </c>
      <c r="P1083" s="0" t="s">
        <v>145</v>
      </c>
      <c r="Q1083" s="0" t="s">
        <v>146</v>
      </c>
      <c r="R1083" s="0" t="n">
        <v>44484</v>
      </c>
      <c r="AD1083" s="0" t="s">
        <v>147</v>
      </c>
      <c r="AE1083" s="0" t="s">
        <v>148</v>
      </c>
      <c r="AF1083" s="0" t="s">
        <v>149</v>
      </c>
      <c r="AH1083" s="0" t="n">
        <v>14</v>
      </c>
      <c r="AI1083" s="0" t="n">
        <v>11</v>
      </c>
      <c r="AN1083" s="0" t="s">
        <v>145</v>
      </c>
      <c r="AO1083" s="0" t="s">
        <v>233</v>
      </c>
      <c r="AP1083" s="0" t="s">
        <v>234</v>
      </c>
      <c r="AQ1083" s="0" t="n">
        <v>9</v>
      </c>
      <c r="AR1083" s="0" t="n">
        <v>64</v>
      </c>
      <c r="AS1083" s="0" t="n">
        <v>32</v>
      </c>
      <c r="AU1083" s="0" t="n">
        <f aca="false">COUNTA($BA$2308:$EH$2308)</f>
        <v>4</v>
      </c>
      <c r="AV1083" s="0" t="n">
        <f aca="false">COUNTIF($BA$2308:$EH$2308,"D")</f>
        <v>0</v>
      </c>
      <c r="AW1083" s="0" t="n">
        <f aca="false">COUNTIF($BA$2308:$EH$2308,"R")</f>
        <v>0</v>
      </c>
      <c r="AX1083" s="0" t="n">
        <f aca="false">IF(BN1083="D",1,0)+IF(BO1083="D",1,0)+IF(BT1083="D",1,0)+IF(BU1083="D",1,0)+IF(BW1083="D",1,0)+IF(CC1083="D",1,0)+IF(CD1083="D",1,0)+IF(CE1083="D",1,0)+IF(CF1083="D",1,0)+IF(CL1083="D",1,0)+IF(CM1083="D",1,0)+IF(CQ1083="D",1,0)+IF(CR1083="D",1,0)+IF(CS1083="D",1,0)+IF(CW1083="D",1,0)+IF(CX1083="D",1,0)+IF(DD1083="D",1,0)+IF(DE1083="D",1,0)+IF(DJ1083="D",1,0)+IF(DK1083="D",1,0)+IF(DO1083="D",1,0)+IF(DP1083="D",1,0)+IF(DQ1083="D",1,0)+IF(DW1083="D",1,0)+IF(DZ1083="D",1,0)+IF(EH1083="D",1,0)</f>
        <v>0</v>
      </c>
      <c r="AY1083" s="0" t="n">
        <f aca="false">COUNTIF(DU1083:EH1083, "&lt;&gt;")</f>
        <v>0</v>
      </c>
      <c r="AZ1083" s="0" t="n">
        <f aca="false">IF(EH1083&lt;&gt;"",1,0)</f>
        <v>0</v>
      </c>
      <c r="BB1083" s="0" t="s">
        <v>152</v>
      </c>
      <c r="DN1083" s="0" t="s">
        <v>153</v>
      </c>
    </row>
    <row r="1084" customFormat="false" ht="13.8" hidden="true" customHeight="false" outlineLevel="0" collapsed="false">
      <c r="A1084" s="0" t="s">
        <v>5204</v>
      </c>
      <c r="B1084" s="0" t="n">
        <v>78</v>
      </c>
      <c r="C1084" s="0" t="n">
        <v>487050</v>
      </c>
      <c r="D1084" s="0" t="s">
        <v>690</v>
      </c>
      <c r="E1084" s="0" t="s">
        <v>2412</v>
      </c>
      <c r="F1084" s="0" t="str">
        <f aca="false">CONCATENATE(D1084," ",LEFT(H1084,4),"T=",AU1084,"D=",AV1084,"R=",AW1084,"M=",AX1084,"L=",AY1084,"B=",AZ1084)</f>
        <v>SMITH T=2D=0R=0M=0L=0B=0</v>
      </c>
      <c r="G1084" s="0" t="s">
        <v>175</v>
      </c>
      <c r="I1084" s="0" t="s">
        <v>5205</v>
      </c>
      <c r="J1084" s="0" t="s">
        <v>782</v>
      </c>
      <c r="K1084" s="0" t="s">
        <v>160</v>
      </c>
      <c r="M1084" s="0" t="s">
        <v>5203</v>
      </c>
      <c r="N1084" s="0" t="str">
        <f aca="false">RIGHT(M1084,LEN(M1084)-FIND(" ",M1084))</f>
        <v>KENILWORTH AVE SE</v>
      </c>
      <c r="P1084" s="0" t="s">
        <v>145</v>
      </c>
      <c r="Q1084" s="0" t="s">
        <v>146</v>
      </c>
      <c r="R1084" s="0" t="n">
        <v>44484</v>
      </c>
      <c r="AD1084" s="0" t="s">
        <v>147</v>
      </c>
      <c r="AE1084" s="0" t="s">
        <v>148</v>
      </c>
      <c r="AF1084" s="0" t="s">
        <v>149</v>
      </c>
      <c r="AH1084" s="0" t="n">
        <v>14</v>
      </c>
      <c r="AI1084" s="0" t="n">
        <v>11</v>
      </c>
      <c r="AN1084" s="0" t="s">
        <v>145</v>
      </c>
      <c r="AO1084" s="0" t="s">
        <v>233</v>
      </c>
      <c r="AP1084" s="0" t="s">
        <v>234</v>
      </c>
      <c r="AQ1084" s="0" t="n">
        <v>9</v>
      </c>
      <c r="AR1084" s="0" t="n">
        <v>64</v>
      </c>
      <c r="AS1084" s="0" t="n">
        <v>32</v>
      </c>
      <c r="AU1084" s="0" t="n">
        <f aca="false">COUNTA($BA$2544:$EH$2544)</f>
        <v>2</v>
      </c>
      <c r="AV1084" s="0" t="n">
        <f aca="false">COUNTIF($BA$2544:$EH$2544,"D")</f>
        <v>0</v>
      </c>
      <c r="AW1084" s="0" t="n">
        <f aca="false">COUNTIF($BA$2544:$EH$2544,"R")</f>
        <v>0</v>
      </c>
      <c r="AX1084" s="0" t="n">
        <f aca="false">IF(BN1084="D",1,0)+IF(BO1084="D",1,0)+IF(BT1084="D",1,0)+IF(BU1084="D",1,0)+IF(BW1084="D",1,0)+IF(CC1084="D",1,0)+IF(CD1084="D",1,0)+IF(CE1084="D",1,0)+IF(CF1084="D",1,0)+IF(CL1084="D",1,0)+IF(CM1084="D",1,0)+IF(CQ1084="D",1,0)+IF(CR1084="D",1,0)+IF(CS1084="D",1,0)+IF(CW1084="D",1,0)+IF(CX1084="D",1,0)+IF(DD1084="D",1,0)+IF(DE1084="D",1,0)+IF(DJ1084="D",1,0)+IF(DK1084="D",1,0)+IF(DO1084="D",1,0)+IF(DP1084="D",1,0)+IF(DQ1084="D",1,0)+IF(DW1084="D",1,0)+IF(DZ1084="D",1,0)+IF(EH1084="D",1,0)</f>
        <v>0</v>
      </c>
      <c r="AY1084" s="0" t="n">
        <f aca="false">COUNTIF(DU1084:EH1084, "&lt;&gt;")</f>
        <v>0</v>
      </c>
      <c r="AZ1084" s="0" t="n">
        <f aca="false">IF(EH1084&lt;&gt;"",1,0)</f>
        <v>0</v>
      </c>
      <c r="BB1084" s="0" t="s">
        <v>152</v>
      </c>
    </row>
    <row r="1085" customFormat="false" ht="13.8" hidden="true" customHeight="false" outlineLevel="0" collapsed="false">
      <c r="A1085" s="0" t="s">
        <v>5206</v>
      </c>
      <c r="B1085" s="0" t="n">
        <v>78</v>
      </c>
      <c r="C1085" s="0" t="n">
        <v>412471</v>
      </c>
      <c r="D1085" s="0" t="s">
        <v>853</v>
      </c>
      <c r="E1085" s="0" t="s">
        <v>795</v>
      </c>
      <c r="F1085" s="0" t="str">
        <f aca="false">CONCATENATE(D1085," ",LEFT(H1085,4),"T=",AU1085,"D=",AV1085,"R=",AW1085,"M=",AX1085,"L=",AY1085,"B=",AZ1085)</f>
        <v>CAMPANA T=19D=1R=2M=0L=0B=0</v>
      </c>
      <c r="G1085" s="0" t="s">
        <v>325</v>
      </c>
      <c r="I1085" s="0" t="s">
        <v>5207</v>
      </c>
      <c r="J1085" s="0" t="s">
        <v>5208</v>
      </c>
      <c r="K1085" s="0" t="s">
        <v>143</v>
      </c>
      <c r="M1085" s="0" t="s">
        <v>5203</v>
      </c>
      <c r="N1085" s="0" t="str">
        <f aca="false">RIGHT(M1085,LEN(M1085)-FIND(" ",M1085))</f>
        <v>KENILWORTH AVE SE</v>
      </c>
      <c r="P1085" s="0" t="s">
        <v>145</v>
      </c>
      <c r="Q1085" s="0" t="s">
        <v>146</v>
      </c>
      <c r="R1085" s="0" t="n">
        <v>44484</v>
      </c>
      <c r="AD1085" s="0" t="s">
        <v>147</v>
      </c>
      <c r="AE1085" s="0" t="s">
        <v>148</v>
      </c>
      <c r="AF1085" s="0" t="s">
        <v>149</v>
      </c>
      <c r="AH1085" s="0" t="n">
        <v>14</v>
      </c>
      <c r="AI1085" s="0" t="n">
        <v>11</v>
      </c>
      <c r="AN1085" s="0" t="s">
        <v>145</v>
      </c>
      <c r="AO1085" s="0" t="s">
        <v>233</v>
      </c>
      <c r="AP1085" s="0" t="s">
        <v>234</v>
      </c>
      <c r="AQ1085" s="0" t="n">
        <v>9</v>
      </c>
      <c r="AR1085" s="0" t="n">
        <v>64</v>
      </c>
      <c r="AS1085" s="0" t="n">
        <v>32</v>
      </c>
      <c r="AU1085" s="0" t="n">
        <f aca="false">COUNTA($BA$2646:$EH$2646)</f>
        <v>19</v>
      </c>
      <c r="AV1085" s="0" t="n">
        <f aca="false">COUNTIF($BA$2646:$EH$2646,"D")</f>
        <v>1</v>
      </c>
      <c r="AW1085" s="0" t="n">
        <f aca="false">COUNTIF($BA$2646:$EH$2646,"R")</f>
        <v>2</v>
      </c>
      <c r="AX1085" s="0" t="n">
        <f aca="false">IF(BN1085="D",1,0)+IF(BO1085="D",1,0)+IF(BT1085="D",1,0)+IF(BU1085="D",1,0)+IF(BW1085="D",1,0)+IF(CC1085="D",1,0)+IF(CD1085="D",1,0)+IF(CE1085="D",1,0)+IF(CF1085="D",1,0)+IF(CL1085="D",1,0)+IF(CM1085="D",1,0)+IF(CQ1085="D",1,0)+IF(CR1085="D",1,0)+IF(CS1085="D",1,0)+IF(CW1085="D",1,0)+IF(CX1085="D",1,0)+IF(DD1085="D",1,0)+IF(DE1085="D",1,0)+IF(DJ1085="D",1,0)+IF(DK1085="D",1,0)+IF(DO1085="D",1,0)+IF(DP1085="D",1,0)+IF(DQ1085="D",1,0)+IF(DW1085="D",1,0)+IF(DZ1085="D",1,0)+IF(EH1085="D",1,0)</f>
        <v>0</v>
      </c>
      <c r="AY1085" s="0" t="n">
        <f aca="false">COUNTIF(DU1085:EH1085, "&lt;&gt;")</f>
        <v>0</v>
      </c>
      <c r="AZ1085" s="0" t="n">
        <f aca="false">IF(EH1085&lt;&gt;"",1,0)</f>
        <v>0</v>
      </c>
      <c r="BB1085" s="0" t="s">
        <v>152</v>
      </c>
      <c r="CZ1085" s="0" t="s">
        <v>209</v>
      </c>
    </row>
    <row r="1086" customFormat="false" ht="13.8" hidden="true" customHeight="false" outlineLevel="0" collapsed="false">
      <c r="A1086" s="0" t="s">
        <v>5209</v>
      </c>
      <c r="B1086" s="0" t="n">
        <v>78</v>
      </c>
      <c r="C1086" s="0" t="n">
        <v>397630</v>
      </c>
      <c r="D1086" s="0" t="s">
        <v>5210</v>
      </c>
      <c r="E1086" s="0" t="s">
        <v>292</v>
      </c>
      <c r="F1086" s="0" t="str">
        <f aca="false">CONCATENATE(D1086," ",LEFT(H1086,4),"T=",AU1086,"D=",AV1086,"R=",AW1086,"M=",AX1086,"L=",AY1086,"B=",AZ1086)</f>
        <v>GWILT T=5D=0R=0M=0L=0B=0</v>
      </c>
      <c r="G1086" s="0" t="s">
        <v>325</v>
      </c>
      <c r="I1086" s="0" t="s">
        <v>5211</v>
      </c>
      <c r="J1086" s="0" t="s">
        <v>1038</v>
      </c>
      <c r="K1086" s="0" t="s">
        <v>143</v>
      </c>
      <c r="M1086" s="0" t="s">
        <v>5203</v>
      </c>
      <c r="N1086" s="0" t="str">
        <f aca="false">RIGHT(M1086,LEN(M1086)-FIND(" ",M1086))</f>
        <v>KENILWORTH AVE SE</v>
      </c>
      <c r="P1086" s="0" t="s">
        <v>145</v>
      </c>
      <c r="Q1086" s="0" t="s">
        <v>146</v>
      </c>
      <c r="R1086" s="0" t="n">
        <v>44484</v>
      </c>
      <c r="AD1086" s="0" t="s">
        <v>147</v>
      </c>
      <c r="AE1086" s="0" t="s">
        <v>148</v>
      </c>
      <c r="AF1086" s="0" t="s">
        <v>149</v>
      </c>
      <c r="AH1086" s="0" t="n">
        <v>14</v>
      </c>
      <c r="AI1086" s="0" t="n">
        <v>11</v>
      </c>
      <c r="AN1086" s="0" t="s">
        <v>145</v>
      </c>
      <c r="AO1086" s="0" t="s">
        <v>233</v>
      </c>
      <c r="AP1086" s="0" t="s">
        <v>234</v>
      </c>
      <c r="AQ1086" s="0" t="n">
        <v>9</v>
      </c>
      <c r="AR1086" s="0" t="n">
        <v>64</v>
      </c>
      <c r="AS1086" s="0" t="n">
        <v>32</v>
      </c>
      <c r="AU1086" s="0" t="n">
        <f aca="false">COUNTA($BA$2655:$EH$2655)</f>
        <v>5</v>
      </c>
      <c r="AV1086" s="0" t="n">
        <f aca="false">COUNTIF($BA$2655:$EH$2655,"D")</f>
        <v>0</v>
      </c>
      <c r="AW1086" s="0" t="n">
        <f aca="false">COUNTIF($BA$2655:$EH$2655,"R")</f>
        <v>0</v>
      </c>
      <c r="AX1086" s="0" t="n">
        <f aca="false">IF(BN1086="D",1,0)+IF(BO1086="D",1,0)+IF(BT1086="D",1,0)+IF(BU1086="D",1,0)+IF(BW1086="D",1,0)+IF(CC1086="D",1,0)+IF(CD1086="D",1,0)+IF(CE1086="D",1,0)+IF(CF1086="D",1,0)+IF(CL1086="D",1,0)+IF(CM1086="D",1,0)+IF(CQ1086="D",1,0)+IF(CR1086="D",1,0)+IF(CS1086="D",1,0)+IF(CW1086="D",1,0)+IF(CX1086="D",1,0)+IF(DD1086="D",1,0)+IF(DE1086="D",1,0)+IF(DJ1086="D",1,0)+IF(DK1086="D",1,0)+IF(DO1086="D",1,0)+IF(DP1086="D",1,0)+IF(DQ1086="D",1,0)+IF(DW1086="D",1,0)+IF(DZ1086="D",1,0)+IF(EH1086="D",1,0)</f>
        <v>0</v>
      </c>
      <c r="AY1086" s="0" t="n">
        <f aca="false">COUNTIF(DU1086:EH1086, "&lt;&gt;")</f>
        <v>0</v>
      </c>
      <c r="AZ1086" s="0" t="n">
        <f aca="false">IF(EH1086&lt;&gt;"",1,0)</f>
        <v>0</v>
      </c>
      <c r="BB1086" s="0" t="s">
        <v>152</v>
      </c>
    </row>
    <row r="1087" customFormat="false" ht="13.8" hidden="true" customHeight="false" outlineLevel="0" collapsed="false">
      <c r="A1087" s="0" t="s">
        <v>5212</v>
      </c>
      <c r="B1087" s="0" t="n">
        <v>78</v>
      </c>
      <c r="C1087" s="0" t="n">
        <v>357418</v>
      </c>
      <c r="D1087" s="0" t="s">
        <v>1041</v>
      </c>
      <c r="E1087" s="0" t="s">
        <v>1451</v>
      </c>
      <c r="F1087" s="0" t="str">
        <f aca="false">CONCATENATE(D1087," ",LEFT(H1087,4),"T=",AU1087,"D=",AV1087,"R=",AW1087,"M=",AX1087,"L=",AY1087,"B=",AZ1087)</f>
        <v>JONES SRT=1D=0R=0M=1L=1B=0</v>
      </c>
      <c r="G1087" s="0" t="s">
        <v>190</v>
      </c>
      <c r="H1087" s="0" t="s">
        <v>216</v>
      </c>
      <c r="I1087" s="0" t="s">
        <v>5213</v>
      </c>
      <c r="J1087" s="0" t="s">
        <v>5141</v>
      </c>
      <c r="K1087" s="0" t="s">
        <v>160</v>
      </c>
      <c r="M1087" s="0" t="s">
        <v>5214</v>
      </c>
      <c r="N1087" s="0" t="str">
        <f aca="false">RIGHT(M1087,LEN(M1087)-FIND(" ",M1087))</f>
        <v>KENILWORTH AVE SE</v>
      </c>
      <c r="P1087" s="0" t="s">
        <v>145</v>
      </c>
      <c r="Q1087" s="0" t="s">
        <v>146</v>
      </c>
      <c r="R1087" s="0" t="n">
        <v>44484</v>
      </c>
      <c r="AD1087" s="0" t="s">
        <v>147</v>
      </c>
      <c r="AE1087" s="0" t="s">
        <v>148</v>
      </c>
      <c r="AF1087" s="0" t="s">
        <v>149</v>
      </c>
      <c r="AH1087" s="0" t="n">
        <v>14</v>
      </c>
      <c r="AI1087" s="0" t="n">
        <v>11</v>
      </c>
      <c r="AN1087" s="0" t="s">
        <v>145</v>
      </c>
      <c r="AO1087" s="0" t="s">
        <v>233</v>
      </c>
      <c r="AP1087" s="0" t="s">
        <v>234</v>
      </c>
      <c r="AQ1087" s="0" t="n">
        <v>9</v>
      </c>
      <c r="AR1087" s="0" t="n">
        <v>64</v>
      </c>
      <c r="AS1087" s="0" t="n">
        <v>32</v>
      </c>
      <c r="AU1087" s="0" t="n">
        <f aca="false">COUNTA($BA$2105:$EH$2105)</f>
        <v>1</v>
      </c>
      <c r="AV1087" s="0" t="n">
        <f aca="false">COUNTIF($BA$2105:$EH$2105,"D")</f>
        <v>0</v>
      </c>
      <c r="AW1087" s="0" t="n">
        <f aca="false">COUNTIF($BA$2105:$EH$2105,"R")</f>
        <v>0</v>
      </c>
      <c r="AX1087" s="0" t="n">
        <f aca="false">IF(BN1087="D",1,0)+IF(BO1087="D",1,0)+IF(BT1087="D",1,0)+IF(BU1087="D",1,0)+IF(BW1087="D",1,0)+IF(CC1087="D",1,0)+IF(CD1087="D",1,0)+IF(CE1087="D",1,0)+IF(CF1087="D",1,0)+IF(CL1087="D",1,0)+IF(CM1087="D",1,0)+IF(CQ1087="D",1,0)+IF(CR1087="D",1,0)+IF(CS1087="D",1,0)+IF(CW1087="D",1,0)+IF(CX1087="D",1,0)+IF(DD1087="D",1,0)+IF(DE1087="D",1,0)+IF(DJ1087="D",1,0)+IF(DK1087="D",1,0)+IF(DO1087="D",1,0)+IF(DP1087="D",1,0)+IF(DQ1087="D",1,0)+IF(DW1087="D",1,0)+IF(DZ1087="D",1,0)+IF(EH1087="D",1,0)</f>
        <v>1</v>
      </c>
      <c r="AY1087" s="0" t="n">
        <f aca="false">COUNTIF(DU1087:EH1087, "&lt;&gt;")</f>
        <v>1</v>
      </c>
      <c r="AZ1087" s="0" t="n">
        <f aca="false">IF(EH1087&lt;&gt;"",1,0)</f>
        <v>0</v>
      </c>
      <c r="BB1087" s="0" t="s">
        <v>152</v>
      </c>
      <c r="CA1087" s="0" t="s">
        <v>153</v>
      </c>
      <c r="CK1087" s="0" t="s">
        <v>153</v>
      </c>
      <c r="CL1087" s="0" t="s">
        <v>175</v>
      </c>
      <c r="CP1087" s="0" t="s">
        <v>153</v>
      </c>
      <c r="CU1087" s="0" t="s">
        <v>175</v>
      </c>
      <c r="CY1087" s="0" t="s">
        <v>153</v>
      </c>
      <c r="CZ1087" s="0" t="s">
        <v>175</v>
      </c>
      <c r="DC1087" s="0" t="s">
        <v>153</v>
      </c>
      <c r="DI1087" s="0" t="s">
        <v>153</v>
      </c>
      <c r="DN1087" s="0" t="s">
        <v>153</v>
      </c>
      <c r="EF1087" s="0" t="s">
        <v>153</v>
      </c>
    </row>
    <row r="1088" customFormat="false" ht="13.8" hidden="true" customHeight="false" outlineLevel="0" collapsed="false">
      <c r="A1088" s="0" t="s">
        <v>5215</v>
      </c>
      <c r="B1088" s="0" t="n">
        <v>78</v>
      </c>
      <c r="C1088" s="0" t="n">
        <v>436760</v>
      </c>
      <c r="D1088" s="0" t="s">
        <v>1041</v>
      </c>
      <c r="E1088" s="0" t="s">
        <v>5216</v>
      </c>
      <c r="F1088" s="0" t="str">
        <f aca="false">CONCATENATE(D1088," ",LEFT(H1088,4),"T=",AU1088,"D=",AV1088,"R=",AW1088,"M=",AX1088,"L=",AY1088,"B=",AZ1088)</f>
        <v>JONES T=3D=0R=0M=0L=1B=0</v>
      </c>
      <c r="I1088" s="0" t="s">
        <v>5217</v>
      </c>
      <c r="J1088" s="0" t="s">
        <v>5218</v>
      </c>
      <c r="K1088" s="0" t="s">
        <v>160</v>
      </c>
      <c r="M1088" s="0" t="s">
        <v>5214</v>
      </c>
      <c r="N1088" s="0" t="str">
        <f aca="false">RIGHT(M1088,LEN(M1088)-FIND(" ",M1088))</f>
        <v>KENILWORTH AVE SE</v>
      </c>
      <c r="P1088" s="0" t="s">
        <v>145</v>
      </c>
      <c r="Q1088" s="0" t="s">
        <v>146</v>
      </c>
      <c r="R1088" s="0" t="n">
        <v>44484</v>
      </c>
      <c r="AD1088" s="0" t="s">
        <v>147</v>
      </c>
      <c r="AE1088" s="0" t="s">
        <v>148</v>
      </c>
      <c r="AF1088" s="0" t="s">
        <v>149</v>
      </c>
      <c r="AH1088" s="0" t="n">
        <v>14</v>
      </c>
      <c r="AI1088" s="0" t="n">
        <v>11</v>
      </c>
      <c r="AN1088" s="0" t="s">
        <v>145</v>
      </c>
      <c r="AO1088" s="0" t="s">
        <v>233</v>
      </c>
      <c r="AP1088" s="0" t="s">
        <v>234</v>
      </c>
      <c r="AQ1088" s="0" t="n">
        <v>9</v>
      </c>
      <c r="AR1088" s="0" t="n">
        <v>64</v>
      </c>
      <c r="AS1088" s="0" t="n">
        <v>32</v>
      </c>
      <c r="AU1088" s="0" t="n">
        <f aca="false">COUNTA($BA$2606:$EH$2606)</f>
        <v>3</v>
      </c>
      <c r="AV1088" s="0" t="n">
        <f aca="false">COUNTIF($BA$2606:$EH$2606,"D")</f>
        <v>0</v>
      </c>
      <c r="AW1088" s="0" t="n">
        <f aca="false">COUNTIF($BA$2606:$EH$2606,"R")</f>
        <v>0</v>
      </c>
      <c r="AX1088" s="0" t="n">
        <f aca="false">IF(BN1088="D",1,0)+IF(BO1088="D",1,0)+IF(BT1088="D",1,0)+IF(BU1088="D",1,0)+IF(BW1088="D",1,0)+IF(CC1088="D",1,0)+IF(CD1088="D",1,0)+IF(CE1088="D",1,0)+IF(CF1088="D",1,0)+IF(CL1088="D",1,0)+IF(CM1088="D",1,0)+IF(CQ1088="D",1,0)+IF(CR1088="D",1,0)+IF(CS1088="D",1,0)+IF(CW1088="D",1,0)+IF(CX1088="D",1,0)+IF(DD1088="D",1,0)+IF(DE1088="D",1,0)+IF(DJ1088="D",1,0)+IF(DK1088="D",1,0)+IF(DO1088="D",1,0)+IF(DP1088="D",1,0)+IF(DQ1088="D",1,0)+IF(DW1088="D",1,0)+IF(DZ1088="D",1,0)+IF(EH1088="D",1,0)</f>
        <v>0</v>
      </c>
      <c r="AY1088" s="0" t="n">
        <f aca="false">COUNTIF(DU1088:EH1088, "&lt;&gt;")</f>
        <v>1</v>
      </c>
      <c r="AZ1088" s="0" t="n">
        <f aca="false">IF(EH1088&lt;&gt;"",1,0)</f>
        <v>0</v>
      </c>
      <c r="BB1088" s="0" t="s">
        <v>152</v>
      </c>
      <c r="DN1088" s="0" t="s">
        <v>153</v>
      </c>
      <c r="EF1088" s="0" t="s">
        <v>153</v>
      </c>
    </row>
    <row r="1089" customFormat="false" ht="13.8" hidden="true" customHeight="false" outlineLevel="0" collapsed="false">
      <c r="A1089" s="0" t="s">
        <v>5219</v>
      </c>
      <c r="B1089" s="0" t="n">
        <v>78</v>
      </c>
      <c r="C1089" s="0" t="n">
        <v>268109</v>
      </c>
      <c r="D1089" s="0" t="s">
        <v>1041</v>
      </c>
      <c r="E1089" s="0" t="s">
        <v>5220</v>
      </c>
      <c r="F1089" s="0" t="str">
        <f aca="false">CONCATENATE(D1089," ",LEFT(H1089,4),"T=",AU1089,"D=",AV1089,"R=",AW1089,"M=",AX1089,"L=",AY1089,"B=",AZ1089)</f>
        <v>JONES T=5D=0R=0M=1L=1B=0</v>
      </c>
      <c r="G1089" s="0" t="s">
        <v>351</v>
      </c>
      <c r="I1089" s="0" t="s">
        <v>5221</v>
      </c>
      <c r="J1089" s="0" t="s">
        <v>3579</v>
      </c>
      <c r="K1089" s="0" t="s">
        <v>160</v>
      </c>
      <c r="M1089" s="0" t="s">
        <v>5214</v>
      </c>
      <c r="N1089" s="0" t="str">
        <f aca="false">RIGHT(M1089,LEN(M1089)-FIND(" ",M1089))</f>
        <v>KENILWORTH AVE SE</v>
      </c>
      <c r="P1089" s="0" t="s">
        <v>145</v>
      </c>
      <c r="Q1089" s="0" t="s">
        <v>146</v>
      </c>
      <c r="R1089" s="0" t="n">
        <v>44484</v>
      </c>
      <c r="AD1089" s="0" t="s">
        <v>147</v>
      </c>
      <c r="AE1089" s="0" t="s">
        <v>148</v>
      </c>
      <c r="AF1089" s="0" t="s">
        <v>149</v>
      </c>
      <c r="AH1089" s="0" t="n">
        <v>14</v>
      </c>
      <c r="AI1089" s="0" t="n">
        <v>11</v>
      </c>
      <c r="AN1089" s="0" t="s">
        <v>145</v>
      </c>
      <c r="AO1089" s="0" t="s">
        <v>233</v>
      </c>
      <c r="AP1089" s="0" t="s">
        <v>234</v>
      </c>
      <c r="AQ1089" s="0" t="n">
        <v>9</v>
      </c>
      <c r="AR1089" s="0" t="n">
        <v>64</v>
      </c>
      <c r="AS1089" s="0" t="n">
        <v>32</v>
      </c>
      <c r="AU1089" s="0" t="n">
        <f aca="false">COUNTA($BA$2649:$EH$2649)</f>
        <v>5</v>
      </c>
      <c r="AV1089" s="0" t="n">
        <f aca="false">COUNTIF($BA$2649:$EH$2649,"D")</f>
        <v>0</v>
      </c>
      <c r="AW1089" s="0" t="n">
        <f aca="false">COUNTIF($BA$2649:$EH$2649,"R")</f>
        <v>0</v>
      </c>
      <c r="AX1089" s="0" t="n">
        <f aca="false">IF(BN1089="D",1,0)+IF(BO1089="D",1,0)+IF(BT1089="D",1,0)+IF(BU1089="D",1,0)+IF(BW1089="D",1,0)+IF(CC1089="D",1,0)+IF(CD1089="D",1,0)+IF(CE1089="D",1,0)+IF(CF1089="D",1,0)+IF(CL1089="D",1,0)+IF(CM1089="D",1,0)+IF(CQ1089="D",1,0)+IF(CR1089="D",1,0)+IF(CS1089="D",1,0)+IF(CW1089="D",1,0)+IF(CX1089="D",1,0)+IF(DD1089="D",1,0)+IF(DE1089="D",1,0)+IF(DJ1089="D",1,0)+IF(DK1089="D",1,0)+IF(DO1089="D",1,0)+IF(DP1089="D",1,0)+IF(DQ1089="D",1,0)+IF(DW1089="D",1,0)+IF(DZ1089="D",1,0)+IF(EH1089="D",1,0)</f>
        <v>1</v>
      </c>
      <c r="AY1089" s="0" t="n">
        <f aca="false">COUNTIF(DU1089:EH1089, "&lt;&gt;")</f>
        <v>1</v>
      </c>
      <c r="AZ1089" s="0" t="n">
        <f aca="false">IF(EH1089&lt;&gt;"",1,0)</f>
        <v>0</v>
      </c>
      <c r="BB1089" s="0" t="s">
        <v>152</v>
      </c>
      <c r="BC1089" s="0" t="s">
        <v>153</v>
      </c>
      <c r="BD1089" s="0" t="s">
        <v>153</v>
      </c>
      <c r="BG1089" s="0" t="s">
        <v>153</v>
      </c>
      <c r="BH1089" s="0" t="s">
        <v>153</v>
      </c>
      <c r="BJ1089" s="0" t="s">
        <v>153</v>
      </c>
      <c r="BL1089" s="0" t="s">
        <v>153</v>
      </c>
      <c r="BS1089" s="0" t="s">
        <v>153</v>
      </c>
      <c r="BY1089" s="0" t="s">
        <v>175</v>
      </c>
      <c r="CA1089" s="0" t="s">
        <v>153</v>
      </c>
      <c r="CK1089" s="0" t="s">
        <v>153</v>
      </c>
      <c r="CL1089" s="0" t="s">
        <v>175</v>
      </c>
      <c r="CP1089" s="0" t="s">
        <v>153</v>
      </c>
      <c r="CY1089" s="0" t="s">
        <v>153</v>
      </c>
      <c r="DC1089" s="0" t="s">
        <v>153</v>
      </c>
      <c r="DI1089" s="0" t="s">
        <v>153</v>
      </c>
      <c r="DN1089" s="0" t="s">
        <v>153</v>
      </c>
      <c r="EF1089" s="0" t="s">
        <v>153</v>
      </c>
    </row>
    <row r="1090" customFormat="false" ht="13.8" hidden="true" customHeight="false" outlineLevel="0" collapsed="false">
      <c r="A1090" s="0" t="s">
        <v>5222</v>
      </c>
      <c r="B1090" s="0" t="n">
        <v>78</v>
      </c>
      <c r="C1090" s="0" t="n">
        <v>339949</v>
      </c>
      <c r="D1090" s="0" t="s">
        <v>5223</v>
      </c>
      <c r="E1090" s="0" t="s">
        <v>453</v>
      </c>
      <c r="F1090" s="0" t="str">
        <f aca="false">CONCATENATE(D1090," ",LEFT(H1090,4),"T=",AU1090,"D=",AV1090,"R=",AW1090,"M=",AX1090,"L=",AY1090,"B=",AZ1090)</f>
        <v>BAKER T=1D=0R=0M=0L=0B=0</v>
      </c>
      <c r="G1090" s="0" t="s">
        <v>195</v>
      </c>
      <c r="I1090" s="0" t="s">
        <v>5224</v>
      </c>
      <c r="J1090" s="0" t="s">
        <v>5225</v>
      </c>
      <c r="K1090" s="0" t="s">
        <v>160</v>
      </c>
      <c r="M1090" s="0" t="s">
        <v>5226</v>
      </c>
      <c r="N1090" s="0" t="str">
        <f aca="false">RIGHT(M1090,LEN(M1090)-FIND(" ",M1090))</f>
        <v>KENILWORTH AVE SE</v>
      </c>
      <c r="P1090" s="0" t="s">
        <v>145</v>
      </c>
      <c r="Q1090" s="0" t="s">
        <v>146</v>
      </c>
      <c r="R1090" s="0" t="n">
        <v>44484</v>
      </c>
      <c r="AD1090" s="0" t="s">
        <v>147</v>
      </c>
      <c r="AE1090" s="0" t="s">
        <v>148</v>
      </c>
      <c r="AF1090" s="0" t="s">
        <v>149</v>
      </c>
      <c r="AH1090" s="0" t="n">
        <v>14</v>
      </c>
      <c r="AI1090" s="0" t="n">
        <v>11</v>
      </c>
      <c r="AN1090" s="0" t="s">
        <v>145</v>
      </c>
      <c r="AO1090" s="0" t="s">
        <v>233</v>
      </c>
      <c r="AP1090" s="0" t="s">
        <v>234</v>
      </c>
      <c r="AQ1090" s="0" t="n">
        <v>9</v>
      </c>
      <c r="AR1090" s="0" t="n">
        <v>64</v>
      </c>
      <c r="AS1090" s="0" t="n">
        <v>32</v>
      </c>
      <c r="AU1090" s="0" t="n">
        <f aca="false">COUNTA($BA$2151:$EH$2151)</f>
        <v>1</v>
      </c>
      <c r="AV1090" s="0" t="n">
        <f aca="false">COUNTIF($BA$2151:$EH$2151,"D")</f>
        <v>0</v>
      </c>
      <c r="AW1090" s="0" t="n">
        <f aca="false">COUNTIF($BA$2151:$EH$2151,"R")</f>
        <v>0</v>
      </c>
      <c r="AX1090" s="0" t="n">
        <f aca="false">IF(BN1090="D",1,0)+IF(BO1090="D",1,0)+IF(BT1090="D",1,0)+IF(BU1090="D",1,0)+IF(BW1090="D",1,0)+IF(CC1090="D",1,0)+IF(CD1090="D",1,0)+IF(CE1090="D",1,0)+IF(CF1090="D",1,0)+IF(CL1090="D",1,0)+IF(CM1090="D",1,0)+IF(CQ1090="D",1,0)+IF(CR1090="D",1,0)+IF(CS1090="D",1,0)+IF(CW1090="D",1,0)+IF(CX1090="D",1,0)+IF(DD1090="D",1,0)+IF(DE1090="D",1,0)+IF(DJ1090="D",1,0)+IF(DK1090="D",1,0)+IF(DO1090="D",1,0)+IF(DP1090="D",1,0)+IF(DQ1090="D",1,0)+IF(DW1090="D",1,0)+IF(DZ1090="D",1,0)+IF(EH1090="D",1,0)</f>
        <v>0</v>
      </c>
      <c r="AY1090" s="0" t="n">
        <f aca="false">COUNTIF(DU1090:EH1090, "&lt;&gt;")</f>
        <v>0</v>
      </c>
      <c r="AZ1090" s="0" t="n">
        <f aca="false">IF(EH1090&lt;&gt;"",1,0)</f>
        <v>0</v>
      </c>
      <c r="BB1090" s="0" t="s">
        <v>152</v>
      </c>
      <c r="BP1090" s="0" t="s">
        <v>153</v>
      </c>
      <c r="BS1090" s="0" t="s">
        <v>153</v>
      </c>
      <c r="BY1090" s="0" t="s">
        <v>175</v>
      </c>
      <c r="CA1090" s="0" t="s">
        <v>153</v>
      </c>
      <c r="CG1090" s="0" t="s">
        <v>153</v>
      </c>
      <c r="CH1090" s="0" t="s">
        <v>175</v>
      </c>
      <c r="CK1090" s="0" t="s">
        <v>153</v>
      </c>
      <c r="CN1090" s="0" t="s">
        <v>153</v>
      </c>
      <c r="CO1090" s="0" t="s">
        <v>175</v>
      </c>
      <c r="CP1090" s="0" t="s">
        <v>153</v>
      </c>
      <c r="CY1090" s="0" t="s">
        <v>153</v>
      </c>
      <c r="CZ1090" s="0" t="s">
        <v>175</v>
      </c>
      <c r="DC1090" s="0" t="s">
        <v>153</v>
      </c>
      <c r="DF1090" s="0" t="s">
        <v>153</v>
      </c>
      <c r="DI1090" s="0" t="s">
        <v>153</v>
      </c>
      <c r="DN1090" s="0" t="s">
        <v>153</v>
      </c>
    </row>
    <row r="1091" customFormat="false" ht="13.8" hidden="false" customHeight="false" outlineLevel="0" collapsed="false">
      <c r="A1091" s="0" t="s">
        <v>5227</v>
      </c>
      <c r="B1091" s="0" t="n">
        <v>78</v>
      </c>
      <c r="C1091" s="0" t="n">
        <v>306390</v>
      </c>
      <c r="D1091" s="0" t="s">
        <v>4535</v>
      </c>
      <c r="E1091" s="0" t="s">
        <v>242</v>
      </c>
      <c r="F1091" s="0" t="str">
        <f aca="false">CONCATENATE(D1091," ",LEFT(H1091,4),"T=",AU1091,"D=",AV1091,"R=",AW1091,"M=",AX1091,"L=",AY1091,"B=",AZ1091)</f>
        <v>THOMPSON T=2D=0R=0M=0L=3B=0</v>
      </c>
      <c r="G1091" s="0" t="s">
        <v>164</v>
      </c>
      <c r="I1091" s="0" t="s">
        <v>5228</v>
      </c>
      <c r="J1091" s="0" t="s">
        <v>570</v>
      </c>
      <c r="K1091" s="0" t="s">
        <v>160</v>
      </c>
      <c r="M1091" s="0" t="s">
        <v>5229</v>
      </c>
      <c r="N1091" s="0" t="str">
        <f aca="false">RIGHT(M1091,LEN(M1091)-FIND(" ",M1091))</f>
        <v>KENILWORTH AVE SE</v>
      </c>
      <c r="P1091" s="0" t="s">
        <v>145</v>
      </c>
      <c r="Q1091" s="0" t="s">
        <v>146</v>
      </c>
      <c r="R1091" s="0" t="n">
        <v>44484</v>
      </c>
      <c r="AD1091" s="0" t="s">
        <v>147</v>
      </c>
      <c r="AE1091" s="0" t="s">
        <v>148</v>
      </c>
      <c r="AF1091" s="0" t="s">
        <v>149</v>
      </c>
      <c r="AH1091" s="0" t="n">
        <v>14</v>
      </c>
      <c r="AI1091" s="0" t="n">
        <v>11</v>
      </c>
      <c r="AN1091" s="0" t="s">
        <v>145</v>
      </c>
      <c r="AO1091" s="0" t="s">
        <v>233</v>
      </c>
      <c r="AP1091" s="0" t="s">
        <v>234</v>
      </c>
      <c r="AQ1091" s="0" t="n">
        <v>9</v>
      </c>
      <c r="AR1091" s="0" t="n">
        <v>64</v>
      </c>
      <c r="AS1091" s="0" t="n">
        <v>32</v>
      </c>
      <c r="AU1091" s="0" t="n">
        <f aca="false">COUNTA($BA$2253:$EH$2253)</f>
        <v>2</v>
      </c>
      <c r="AV1091" s="0" t="n">
        <f aca="false">COUNTIF($BA$2253:$EH$2253,"D")</f>
        <v>0</v>
      </c>
      <c r="AW1091" s="0" t="n">
        <f aca="false">COUNTIF($BA$2253:$EH$2253,"R")</f>
        <v>0</v>
      </c>
      <c r="AX1091" s="0" t="n">
        <f aca="false">IF(BN1091="D",1,0)+IF(BO1091="D",1,0)+IF(BT1091="D",1,0)+IF(BU1091="D",1,0)+IF(BW1091="D",1,0)+IF(CC1091="D",1,0)+IF(CD1091="D",1,0)+IF(CE1091="D",1,0)+IF(CF1091="D",1,0)+IF(CL1091="D",1,0)+IF(CM1091="D",1,0)+IF(CQ1091="D",1,0)+IF(CR1091="D",1,0)+IF(CS1091="D",1,0)+IF(CW1091="D",1,0)+IF(CX1091="D",1,0)+IF(DD1091="D",1,0)+IF(DE1091="D",1,0)+IF(DJ1091="D",1,0)+IF(DK1091="D",1,0)+IF(DO1091="D",1,0)+IF(DP1091="D",1,0)+IF(DQ1091="D",1,0)+IF(DW1091="D",1,0)+IF(DZ1091="D",1,0)+IF(EH1091="D",1,0)</f>
        <v>0</v>
      </c>
      <c r="AY1091" s="0" t="n">
        <f aca="false">COUNTIF(DU1091:EH1091, "&lt;&gt;")</f>
        <v>3</v>
      </c>
      <c r="AZ1091" s="0" t="n">
        <f aca="false">IF(EH1091&lt;&gt;"",1,0)</f>
        <v>0</v>
      </c>
      <c r="BB1091" s="0" t="s">
        <v>152</v>
      </c>
      <c r="BH1091" s="0" t="s">
        <v>153</v>
      </c>
      <c r="BY1091" s="0" t="s">
        <v>175</v>
      </c>
      <c r="CA1091" s="0" t="s">
        <v>153</v>
      </c>
      <c r="CN1091" s="0" t="s">
        <v>153</v>
      </c>
      <c r="CY1091" s="0" t="s">
        <v>153</v>
      </c>
      <c r="DC1091" s="0" t="s">
        <v>153</v>
      </c>
      <c r="DI1091" s="0" t="s">
        <v>153</v>
      </c>
      <c r="DN1091" s="0" t="s">
        <v>153</v>
      </c>
      <c r="DU1091" s="0" t="s">
        <v>153</v>
      </c>
      <c r="EA1091" s="0" t="s">
        <v>153</v>
      </c>
      <c r="EF1091" s="0" t="s">
        <v>153</v>
      </c>
    </row>
    <row r="1092" customFormat="false" ht="13.8" hidden="false" customHeight="false" outlineLevel="0" collapsed="false">
      <c r="A1092" s="0" t="s">
        <v>5230</v>
      </c>
      <c r="B1092" s="0" t="n">
        <v>78</v>
      </c>
      <c r="C1092" s="0" t="n">
        <v>415441</v>
      </c>
      <c r="D1092" s="0" t="s">
        <v>5231</v>
      </c>
      <c r="E1092" s="0" t="s">
        <v>3338</v>
      </c>
      <c r="F1092" s="0" t="str">
        <f aca="false">CONCATENATE(D1092," ",LEFT(H1092,4),"T=",AU1092,"D=",AV1092,"R=",AW1092,"M=",AX1092,"L=",AY1092,"B=",AZ1092)</f>
        <v>FREY T=4D=0R=0M=0L=2B=0</v>
      </c>
      <c r="G1092" s="0" t="s">
        <v>195</v>
      </c>
      <c r="I1092" s="0" t="s">
        <v>5232</v>
      </c>
      <c r="J1092" s="0" t="s">
        <v>3785</v>
      </c>
      <c r="K1092" s="0" t="s">
        <v>160</v>
      </c>
      <c r="M1092" s="0" t="s">
        <v>5229</v>
      </c>
      <c r="N1092" s="0" t="str">
        <f aca="false">RIGHT(M1092,LEN(M1092)-FIND(" ",M1092))</f>
        <v>KENILWORTH AVE SE</v>
      </c>
      <c r="P1092" s="0" t="s">
        <v>145</v>
      </c>
      <c r="Q1092" s="0" t="s">
        <v>146</v>
      </c>
      <c r="R1092" s="0" t="n">
        <v>44484</v>
      </c>
      <c r="AD1092" s="0" t="s">
        <v>147</v>
      </c>
      <c r="AE1092" s="0" t="s">
        <v>148</v>
      </c>
      <c r="AF1092" s="0" t="s">
        <v>149</v>
      </c>
      <c r="AH1092" s="0" t="n">
        <v>14</v>
      </c>
      <c r="AI1092" s="0" t="n">
        <v>11</v>
      </c>
      <c r="AN1092" s="0" t="s">
        <v>145</v>
      </c>
      <c r="AO1092" s="0" t="s">
        <v>233</v>
      </c>
      <c r="AP1092" s="0" t="s">
        <v>234</v>
      </c>
      <c r="AQ1092" s="0" t="n">
        <v>9</v>
      </c>
      <c r="AR1092" s="0" t="n">
        <v>64</v>
      </c>
      <c r="AS1092" s="0" t="n">
        <v>32</v>
      </c>
      <c r="AU1092" s="0" t="n">
        <f aca="false">COUNTA($BA$2469:$EH$2469)</f>
        <v>4</v>
      </c>
      <c r="AV1092" s="0" t="n">
        <f aca="false">COUNTIF($BA$2469:$EH$2469,"D")</f>
        <v>0</v>
      </c>
      <c r="AW1092" s="0" t="n">
        <f aca="false">COUNTIF($BA$2469:$EH$2469,"R")</f>
        <v>0</v>
      </c>
      <c r="AX1092" s="0" t="n">
        <f aca="false">IF(BN1092="D",1,0)+IF(BO1092="D",1,0)+IF(BT1092="D",1,0)+IF(BU1092="D",1,0)+IF(BW1092="D",1,0)+IF(CC1092="D",1,0)+IF(CD1092="D",1,0)+IF(CE1092="D",1,0)+IF(CF1092="D",1,0)+IF(CL1092="D",1,0)+IF(CM1092="D",1,0)+IF(CQ1092="D",1,0)+IF(CR1092="D",1,0)+IF(CS1092="D",1,0)+IF(CW1092="D",1,0)+IF(CX1092="D",1,0)+IF(DD1092="D",1,0)+IF(DE1092="D",1,0)+IF(DJ1092="D",1,0)+IF(DK1092="D",1,0)+IF(DO1092="D",1,0)+IF(DP1092="D",1,0)+IF(DQ1092="D",1,0)+IF(DW1092="D",1,0)+IF(DZ1092="D",1,0)+IF(EH1092="D",1,0)</f>
        <v>0</v>
      </c>
      <c r="AY1092" s="0" t="n">
        <f aca="false">COUNTIF(DU1092:EH1092, "&lt;&gt;")</f>
        <v>2</v>
      </c>
      <c r="AZ1092" s="0" t="n">
        <f aca="false">IF(EH1092&lt;&gt;"",1,0)</f>
        <v>0</v>
      </c>
      <c r="BB1092" s="0" t="s">
        <v>152</v>
      </c>
      <c r="BL1092" s="0" t="s">
        <v>153</v>
      </c>
      <c r="DC1092" s="0" t="s">
        <v>153</v>
      </c>
      <c r="DI1092" s="0" t="s">
        <v>153</v>
      </c>
      <c r="DN1092" s="0" t="s">
        <v>153</v>
      </c>
      <c r="EA1092" s="0" t="s">
        <v>153</v>
      </c>
      <c r="EF1092" s="0" t="s">
        <v>153</v>
      </c>
    </row>
    <row r="1093" customFormat="false" ht="13.8" hidden="false" customHeight="false" outlineLevel="0" collapsed="false">
      <c r="A1093" s="0" t="s">
        <v>5233</v>
      </c>
      <c r="B1093" s="0" t="n">
        <v>78</v>
      </c>
      <c r="C1093" s="0" t="n">
        <v>346908</v>
      </c>
      <c r="D1093" s="0" t="s">
        <v>5234</v>
      </c>
      <c r="E1093" s="0" t="s">
        <v>633</v>
      </c>
      <c r="F1093" s="0" t="str">
        <f aca="false">CONCATENATE(D1093," ",LEFT(H1093,4),"T=",AU1093,"D=",AV1093,"R=",AW1093,"M=",AX1093,"L=",AY1093,"B=",AZ1093)</f>
        <v>VINGLE T=14D=1R=0M=0L=2B=0</v>
      </c>
      <c r="G1093" s="0" t="s">
        <v>209</v>
      </c>
      <c r="I1093" s="0" t="s">
        <v>5235</v>
      </c>
      <c r="J1093" s="0" t="s">
        <v>455</v>
      </c>
      <c r="K1093" s="0" t="s">
        <v>160</v>
      </c>
      <c r="M1093" s="0" t="s">
        <v>5229</v>
      </c>
      <c r="N1093" s="0" t="str">
        <f aca="false">RIGHT(M1093,LEN(M1093)-FIND(" ",M1093))</f>
        <v>KENILWORTH AVE SE</v>
      </c>
      <c r="P1093" s="0" t="s">
        <v>145</v>
      </c>
      <c r="Q1093" s="0" t="s">
        <v>146</v>
      </c>
      <c r="R1093" s="0" t="n">
        <v>44484</v>
      </c>
      <c r="AD1093" s="0" t="s">
        <v>147</v>
      </c>
      <c r="AE1093" s="0" t="s">
        <v>148</v>
      </c>
      <c r="AF1093" s="0" t="s">
        <v>149</v>
      </c>
      <c r="AH1093" s="0" t="n">
        <v>14</v>
      </c>
      <c r="AI1093" s="0" t="n">
        <v>11</v>
      </c>
      <c r="AN1093" s="0" t="s">
        <v>145</v>
      </c>
      <c r="AO1093" s="0" t="s">
        <v>233</v>
      </c>
      <c r="AP1093" s="0" t="s">
        <v>234</v>
      </c>
      <c r="AQ1093" s="0" t="n">
        <v>9</v>
      </c>
      <c r="AR1093" s="0" t="n">
        <v>64</v>
      </c>
      <c r="AS1093" s="0" t="n">
        <v>32</v>
      </c>
      <c r="AU1093" s="0" t="n">
        <f aca="false">COUNTA($BA$2668:$EH$2668)</f>
        <v>14</v>
      </c>
      <c r="AV1093" s="0" t="n">
        <f aca="false">COUNTIF($BA$2668:$EH$2668,"D")</f>
        <v>1</v>
      </c>
      <c r="AW1093" s="0" t="n">
        <f aca="false">COUNTIF($BA$2668:$EH$2668,"R")</f>
        <v>0</v>
      </c>
      <c r="AX1093" s="0" t="n">
        <f aca="false">IF(BN1093="D",1,0)+IF(BO1093="D",1,0)+IF(BT1093="D",1,0)+IF(BU1093="D",1,0)+IF(BW1093="D",1,0)+IF(CC1093="D",1,0)+IF(CD1093="D",1,0)+IF(CE1093="D",1,0)+IF(CF1093="D",1,0)+IF(CL1093="D",1,0)+IF(CM1093="D",1,0)+IF(CQ1093="D",1,0)+IF(CR1093="D",1,0)+IF(CS1093="D",1,0)+IF(CW1093="D",1,0)+IF(CX1093="D",1,0)+IF(DD1093="D",1,0)+IF(DE1093="D",1,0)+IF(DJ1093="D",1,0)+IF(DK1093="D",1,0)+IF(DO1093="D",1,0)+IF(DP1093="D",1,0)+IF(DQ1093="D",1,0)+IF(DW1093="D",1,0)+IF(DZ1093="D",1,0)+IF(EH1093="D",1,0)</f>
        <v>0</v>
      </c>
      <c r="AY1093" s="0" t="n">
        <f aca="false">COUNTIF(DU1093:EH1093, "&lt;&gt;")</f>
        <v>2</v>
      </c>
      <c r="AZ1093" s="0" t="n">
        <f aca="false">IF(EH1093&lt;&gt;"",1,0)</f>
        <v>0</v>
      </c>
      <c r="BB1093" s="0" t="s">
        <v>152</v>
      </c>
      <c r="BS1093" s="0" t="s">
        <v>153</v>
      </c>
      <c r="CA1093" s="0" t="s">
        <v>153</v>
      </c>
      <c r="CG1093" s="0" t="s">
        <v>153</v>
      </c>
      <c r="CK1093" s="0" t="s">
        <v>153</v>
      </c>
      <c r="CN1093" s="0" t="s">
        <v>153</v>
      </c>
      <c r="CP1093" s="0" t="s">
        <v>153</v>
      </c>
      <c r="CV1093" s="0" t="s">
        <v>153</v>
      </c>
      <c r="CZ1093" s="0" t="s">
        <v>209</v>
      </c>
      <c r="DC1093" s="0" t="s">
        <v>153</v>
      </c>
      <c r="DI1093" s="0" t="s">
        <v>153</v>
      </c>
      <c r="DN1093" s="0" t="s">
        <v>153</v>
      </c>
      <c r="EA1093" s="0" t="s">
        <v>153</v>
      </c>
      <c r="EF1093" s="0" t="s">
        <v>153</v>
      </c>
    </row>
    <row r="1094" customFormat="false" ht="13.8" hidden="false" customHeight="false" outlineLevel="0" collapsed="false">
      <c r="A1094" s="0" t="s">
        <v>5236</v>
      </c>
      <c r="B1094" s="0" t="n">
        <v>78</v>
      </c>
      <c r="C1094" s="0" t="n">
        <v>372388</v>
      </c>
      <c r="D1094" s="0" t="s">
        <v>5237</v>
      </c>
      <c r="E1094" s="0" t="s">
        <v>274</v>
      </c>
      <c r="F1094" s="0" t="str">
        <f aca="false">CONCATENATE(D1094," ",LEFT(H1094,4),"T=",AU1094,"D=",AV1094,"R=",AW1094,"M=",AX1094,"L=",AY1094,"B=",AZ1094)</f>
        <v>ALESCI T=1D=0R=0M=0L=2B=0</v>
      </c>
      <c r="G1094" s="0" t="s">
        <v>190</v>
      </c>
      <c r="I1094" s="0" t="s">
        <v>5238</v>
      </c>
      <c r="J1094" s="0" t="s">
        <v>1971</v>
      </c>
      <c r="K1094" s="0" t="s">
        <v>160</v>
      </c>
      <c r="M1094" s="0" t="s">
        <v>5239</v>
      </c>
      <c r="N1094" s="0" t="str">
        <f aca="false">RIGHT(M1094,LEN(M1094)-FIND(" ",M1094))</f>
        <v>KENILWORTH AVE SE</v>
      </c>
      <c r="P1094" s="0" t="s">
        <v>145</v>
      </c>
      <c r="Q1094" s="0" t="s">
        <v>146</v>
      </c>
      <c r="R1094" s="0" t="n">
        <v>44484</v>
      </c>
      <c r="AD1094" s="0" t="s">
        <v>147</v>
      </c>
      <c r="AE1094" s="0" t="s">
        <v>148</v>
      </c>
      <c r="AF1094" s="0" t="s">
        <v>149</v>
      </c>
      <c r="AH1094" s="0" t="n">
        <v>14</v>
      </c>
      <c r="AI1094" s="0" t="n">
        <v>11</v>
      </c>
      <c r="AN1094" s="0" t="s">
        <v>145</v>
      </c>
      <c r="AO1094" s="0" t="s">
        <v>233</v>
      </c>
      <c r="AP1094" s="0" t="s">
        <v>234</v>
      </c>
      <c r="AQ1094" s="0" t="n">
        <v>9</v>
      </c>
      <c r="AR1094" s="0" t="n">
        <v>64</v>
      </c>
      <c r="AS1094" s="0" t="n">
        <v>32</v>
      </c>
      <c r="AU1094" s="0" t="n">
        <f aca="false">COUNTA($BA$2319:$EH$2319)</f>
        <v>1</v>
      </c>
      <c r="AV1094" s="0" t="n">
        <f aca="false">COUNTIF($BA$2319:$EH$2319,"D")</f>
        <v>0</v>
      </c>
      <c r="AW1094" s="0" t="n">
        <f aca="false">COUNTIF($BA$2319:$EH$2319,"R")</f>
        <v>0</v>
      </c>
      <c r="AX1094" s="0" t="n">
        <f aca="false">IF(BN1094="D",1,0)+IF(BO1094="D",1,0)+IF(BT1094="D",1,0)+IF(BU1094="D",1,0)+IF(BW1094="D",1,0)+IF(CC1094="D",1,0)+IF(CD1094="D",1,0)+IF(CE1094="D",1,0)+IF(CF1094="D",1,0)+IF(CL1094="D",1,0)+IF(CM1094="D",1,0)+IF(CQ1094="D",1,0)+IF(CR1094="D",1,0)+IF(CS1094="D",1,0)+IF(CW1094="D",1,0)+IF(CX1094="D",1,0)+IF(DD1094="D",1,0)+IF(DE1094="D",1,0)+IF(DJ1094="D",1,0)+IF(DK1094="D",1,0)+IF(DO1094="D",1,0)+IF(DP1094="D",1,0)+IF(DQ1094="D",1,0)+IF(DW1094="D",1,0)+IF(DZ1094="D",1,0)+IF(EH1094="D",1,0)</f>
        <v>0</v>
      </c>
      <c r="AY1094" s="0" t="n">
        <f aca="false">COUNTIF(DU1094:EH1094, "&lt;&gt;")</f>
        <v>2</v>
      </c>
      <c r="AZ1094" s="0" t="n">
        <f aca="false">IF(EH1094&lt;&gt;"",1,0)</f>
        <v>0</v>
      </c>
      <c r="BB1094" s="0" t="s">
        <v>152</v>
      </c>
      <c r="CP1094" s="0" t="s">
        <v>153</v>
      </c>
      <c r="DC1094" s="0" t="s">
        <v>153</v>
      </c>
      <c r="DN1094" s="0" t="s">
        <v>153</v>
      </c>
      <c r="DU1094" s="0" t="s">
        <v>153</v>
      </c>
      <c r="EF1094" s="0" t="s">
        <v>153</v>
      </c>
    </row>
    <row r="1095" customFormat="false" ht="13.8" hidden="true" customHeight="false" outlineLevel="0" collapsed="false">
      <c r="A1095" s="0" t="s">
        <v>5240</v>
      </c>
      <c r="B1095" s="0" t="n">
        <v>78</v>
      </c>
      <c r="C1095" s="0" t="n">
        <v>454581</v>
      </c>
      <c r="D1095" s="0" t="s">
        <v>5241</v>
      </c>
      <c r="E1095" s="0" t="s">
        <v>5242</v>
      </c>
      <c r="F1095" s="0" t="str">
        <f aca="false">CONCATENATE(D1095," ",LEFT(H1095,4),"T=",AU1095,"D=",AV1095,"R=",AW1095,"M=",AX1095,"L=",AY1095,"B=",AZ1095)</f>
        <v>SMIGUEL T=9D=3R=0M=0L=0B=0</v>
      </c>
      <c r="G1095" s="0" t="s">
        <v>190</v>
      </c>
      <c r="I1095" s="0" t="s">
        <v>5243</v>
      </c>
      <c r="J1095" s="0" t="s">
        <v>534</v>
      </c>
      <c r="K1095" s="0" t="s">
        <v>160</v>
      </c>
      <c r="M1095" s="0" t="s">
        <v>5239</v>
      </c>
      <c r="N1095" s="0" t="str">
        <f aca="false">RIGHT(M1095,LEN(M1095)-FIND(" ",M1095))</f>
        <v>KENILWORTH AVE SE</v>
      </c>
      <c r="P1095" s="0" t="s">
        <v>145</v>
      </c>
      <c r="Q1095" s="0" t="s">
        <v>146</v>
      </c>
      <c r="R1095" s="0" t="n">
        <v>44484</v>
      </c>
      <c r="AD1095" s="0" t="s">
        <v>147</v>
      </c>
      <c r="AE1095" s="0" t="s">
        <v>148</v>
      </c>
      <c r="AF1095" s="0" t="s">
        <v>149</v>
      </c>
      <c r="AH1095" s="0" t="n">
        <v>14</v>
      </c>
      <c r="AI1095" s="0" t="n">
        <v>11</v>
      </c>
      <c r="AN1095" s="0" t="s">
        <v>145</v>
      </c>
      <c r="AO1095" s="0" t="s">
        <v>233</v>
      </c>
      <c r="AP1095" s="0" t="s">
        <v>234</v>
      </c>
      <c r="AQ1095" s="0" t="n">
        <v>9</v>
      </c>
      <c r="AR1095" s="0" t="n">
        <v>64</v>
      </c>
      <c r="AS1095" s="0" t="n">
        <v>32</v>
      </c>
      <c r="AU1095" s="0" t="n">
        <f aca="false">COUNTA($BA$2378:$EH$2378)</f>
        <v>9</v>
      </c>
      <c r="AV1095" s="0" t="n">
        <f aca="false">COUNTIF($BA$2378:$EH$2378,"D")</f>
        <v>3</v>
      </c>
      <c r="AW1095" s="0" t="n">
        <f aca="false">COUNTIF($BA$2378:$EH$2378,"R")</f>
        <v>0</v>
      </c>
      <c r="AX1095" s="0" t="n">
        <f aca="false">IF(BN1095="D",1,0)+IF(BO1095="D",1,0)+IF(BT1095="D",1,0)+IF(BU1095="D",1,0)+IF(BW1095="D",1,0)+IF(CC1095="D",1,0)+IF(CD1095="D",1,0)+IF(CE1095="D",1,0)+IF(CF1095="D",1,0)+IF(CL1095="D",1,0)+IF(CM1095="D",1,0)+IF(CQ1095="D",1,0)+IF(CR1095="D",1,0)+IF(CS1095="D",1,0)+IF(CW1095="D",1,0)+IF(CX1095="D",1,0)+IF(DD1095="D",1,0)+IF(DE1095="D",1,0)+IF(DJ1095="D",1,0)+IF(DK1095="D",1,0)+IF(DO1095="D",1,0)+IF(DP1095="D",1,0)+IF(DQ1095="D",1,0)+IF(DW1095="D",1,0)+IF(DZ1095="D",1,0)+IF(EH1095="D",1,0)</f>
        <v>0</v>
      </c>
      <c r="AY1095" s="0" t="n">
        <f aca="false">COUNTIF(DU1095:EH1095, "&lt;&gt;")</f>
        <v>0</v>
      </c>
      <c r="AZ1095" s="0" t="n">
        <f aca="false">IF(EH1095&lt;&gt;"",1,0)</f>
        <v>0</v>
      </c>
      <c r="BB1095" s="0" t="s">
        <v>152</v>
      </c>
      <c r="DN1095" s="0" t="s">
        <v>153</v>
      </c>
    </row>
    <row r="1096" customFormat="false" ht="13.8" hidden="false" customHeight="false" outlineLevel="0" collapsed="false">
      <c r="A1096" s="0" t="s">
        <v>5244</v>
      </c>
      <c r="B1096" s="0" t="n">
        <v>78</v>
      </c>
      <c r="C1096" s="0" t="n">
        <v>366081</v>
      </c>
      <c r="D1096" s="0" t="s">
        <v>3711</v>
      </c>
      <c r="E1096" s="0" t="s">
        <v>5245</v>
      </c>
      <c r="F1096" s="0" t="str">
        <f aca="false">CONCATENATE(D1096," ",LEFT(H1096,4),"T=",AU1096,"D=",AV1096,"R=",AW1096,"M=",AX1096,"L=",AY1096,"B=",AZ1096)</f>
        <v>ROYSTER T=1D=0R=0M=1L=5B=0</v>
      </c>
      <c r="G1096" s="0" t="s">
        <v>190</v>
      </c>
      <c r="I1096" s="0" t="s">
        <v>5246</v>
      </c>
      <c r="J1096" s="0" t="s">
        <v>5247</v>
      </c>
      <c r="K1096" s="0" t="s">
        <v>160</v>
      </c>
      <c r="L1096" s="0" t="s">
        <v>175</v>
      </c>
      <c r="M1096" s="0" t="s">
        <v>5248</v>
      </c>
      <c r="N1096" s="0" t="str">
        <f aca="false">RIGHT(M1096,LEN(M1096)-FIND(" ",M1096))</f>
        <v>KENILWORTH AVE SE</v>
      </c>
      <c r="P1096" s="0" t="s">
        <v>145</v>
      </c>
      <c r="Q1096" s="0" t="s">
        <v>146</v>
      </c>
      <c r="R1096" s="0" t="n">
        <v>44484</v>
      </c>
      <c r="AD1096" s="0" t="s">
        <v>147</v>
      </c>
      <c r="AE1096" s="0" t="s">
        <v>148</v>
      </c>
      <c r="AF1096" s="0" t="s">
        <v>149</v>
      </c>
      <c r="AH1096" s="0" t="n">
        <v>14</v>
      </c>
      <c r="AI1096" s="0" t="n">
        <v>11</v>
      </c>
      <c r="AN1096" s="0" t="s">
        <v>145</v>
      </c>
      <c r="AO1096" s="0" t="s">
        <v>233</v>
      </c>
      <c r="AP1096" s="0" t="s">
        <v>234</v>
      </c>
      <c r="AQ1096" s="0" t="n">
        <v>9</v>
      </c>
      <c r="AR1096" s="0" t="n">
        <v>64</v>
      </c>
      <c r="AS1096" s="0" t="n">
        <v>32</v>
      </c>
      <c r="AU1096" s="0" t="n">
        <f aca="false">COUNTA($BA$2320:$EH$2320)</f>
        <v>1</v>
      </c>
      <c r="AV1096" s="0" t="n">
        <f aca="false">COUNTIF($BA$2320:$EH$2320,"D")</f>
        <v>0</v>
      </c>
      <c r="AW1096" s="0" t="n">
        <f aca="false">COUNTIF($BA$2320:$EH$2320,"R")</f>
        <v>0</v>
      </c>
      <c r="AX1096" s="0" t="n">
        <f aca="false">IF(BN1096="D",1,0)+IF(BO1096="D",1,0)+IF(BT1096="D",1,0)+IF(BU1096="D",1,0)+IF(BW1096="D",1,0)+IF(CC1096="D",1,0)+IF(CD1096="D",1,0)+IF(CE1096="D",1,0)+IF(CF1096="D",1,0)+IF(CL1096="D",1,0)+IF(CM1096="D",1,0)+IF(CQ1096="D",1,0)+IF(CR1096="D",1,0)+IF(CS1096="D",1,0)+IF(CW1096="D",1,0)+IF(CX1096="D",1,0)+IF(DD1096="D",1,0)+IF(DE1096="D",1,0)+IF(DJ1096="D",1,0)+IF(DK1096="D",1,0)+IF(DO1096="D",1,0)+IF(DP1096="D",1,0)+IF(DQ1096="D",1,0)+IF(DW1096="D",1,0)+IF(DZ1096="D",1,0)+IF(EH1096="D",1,0)</f>
        <v>1</v>
      </c>
      <c r="AY1096" s="0" t="n">
        <f aca="false">COUNTIF(DU1096:EH1096, "&lt;&gt;")</f>
        <v>5</v>
      </c>
      <c r="AZ1096" s="0" t="n">
        <f aca="false">IF(EH1096&lt;&gt;"",1,0)</f>
        <v>0</v>
      </c>
      <c r="BB1096" s="0" t="s">
        <v>152</v>
      </c>
      <c r="CA1096" s="0" t="s">
        <v>153</v>
      </c>
      <c r="CG1096" s="0" t="s">
        <v>153</v>
      </c>
      <c r="CH1096" s="0" t="s">
        <v>175</v>
      </c>
      <c r="CK1096" s="0" t="s">
        <v>153</v>
      </c>
      <c r="CN1096" s="0" t="s">
        <v>153</v>
      </c>
      <c r="CO1096" s="0" t="s">
        <v>175</v>
      </c>
      <c r="CP1096" s="0" t="s">
        <v>153</v>
      </c>
      <c r="CV1096" s="0" t="s">
        <v>153</v>
      </c>
      <c r="DC1096" s="0" t="s">
        <v>153</v>
      </c>
      <c r="DH1096" s="0" t="s">
        <v>153</v>
      </c>
      <c r="DI1096" s="0" t="s">
        <v>153</v>
      </c>
      <c r="DL1096" s="0" t="s">
        <v>153</v>
      </c>
      <c r="DM1096" s="0" t="s">
        <v>175</v>
      </c>
      <c r="DN1096" s="0" t="s">
        <v>153</v>
      </c>
      <c r="DR1096" s="0" t="s">
        <v>153</v>
      </c>
      <c r="DU1096" s="0" t="s">
        <v>153</v>
      </c>
      <c r="DW1096" s="0" t="s">
        <v>175</v>
      </c>
      <c r="DX1096" s="0" t="s">
        <v>153</v>
      </c>
      <c r="EA1096" s="0" t="s">
        <v>153</v>
      </c>
      <c r="EF1096" s="0" t="s">
        <v>153</v>
      </c>
    </row>
    <row r="1097" customFormat="false" ht="13.8" hidden="true" customHeight="false" outlineLevel="0" collapsed="false">
      <c r="A1097" s="0" t="s">
        <v>5249</v>
      </c>
      <c r="B1097" s="0" t="n">
        <v>78</v>
      </c>
      <c r="C1097" s="0" t="n">
        <v>405904</v>
      </c>
      <c r="D1097" s="0" t="s">
        <v>5250</v>
      </c>
      <c r="E1097" s="0" t="s">
        <v>274</v>
      </c>
      <c r="F1097" s="0" t="str">
        <f aca="false">CONCATENATE(D1097," ",LEFT(H1097,4),"T=",AU1097,"D=",AV1097,"R=",AW1097,"M=",AX1097,"L=",AY1097,"B=",AZ1097)</f>
        <v>LITZ T=33D=6R=1M=0L=0B=0</v>
      </c>
      <c r="G1097" s="0" t="s">
        <v>3101</v>
      </c>
      <c r="I1097" s="0" t="s">
        <v>5251</v>
      </c>
      <c r="J1097" s="0" t="s">
        <v>5252</v>
      </c>
      <c r="K1097" s="0" t="s">
        <v>160</v>
      </c>
      <c r="M1097" s="0" t="s">
        <v>5248</v>
      </c>
      <c r="N1097" s="0" t="str">
        <f aca="false">RIGHT(M1097,LEN(M1097)-FIND(" ",M1097))</f>
        <v>KENILWORTH AVE SE</v>
      </c>
      <c r="P1097" s="0" t="s">
        <v>145</v>
      </c>
      <c r="Q1097" s="0" t="s">
        <v>146</v>
      </c>
      <c r="R1097" s="0" t="n">
        <v>44484</v>
      </c>
      <c r="AD1097" s="0" t="s">
        <v>147</v>
      </c>
      <c r="AE1097" s="0" t="s">
        <v>148</v>
      </c>
      <c r="AF1097" s="0" t="s">
        <v>149</v>
      </c>
      <c r="AH1097" s="0" t="n">
        <v>14</v>
      </c>
      <c r="AI1097" s="0" t="n">
        <v>11</v>
      </c>
      <c r="AN1097" s="0" t="s">
        <v>145</v>
      </c>
      <c r="AO1097" s="0" t="s">
        <v>233</v>
      </c>
      <c r="AP1097" s="0" t="s">
        <v>234</v>
      </c>
      <c r="AQ1097" s="0" t="n">
        <v>9</v>
      </c>
      <c r="AR1097" s="0" t="n">
        <v>64</v>
      </c>
      <c r="AS1097" s="0" t="n">
        <v>32</v>
      </c>
      <c r="AU1097" s="0" t="n">
        <f aca="false">COUNTA($BA$2450:$EH$2450)</f>
        <v>33</v>
      </c>
      <c r="AV1097" s="0" t="n">
        <f aca="false">COUNTIF($BA$2450:$EH$2450,"D")</f>
        <v>6</v>
      </c>
      <c r="AW1097" s="0" t="n">
        <f aca="false">COUNTIF($BA$2450:$EH$2450,"R")</f>
        <v>1</v>
      </c>
      <c r="AX1097" s="0" t="n">
        <f aca="false">IF(BN1097="D",1,0)+IF(BO1097="D",1,0)+IF(BT1097="D",1,0)+IF(BU1097="D",1,0)+IF(BW1097="D",1,0)+IF(CC1097="D",1,0)+IF(CD1097="D",1,0)+IF(CE1097="D",1,0)+IF(CF1097="D",1,0)+IF(CL1097="D",1,0)+IF(CM1097="D",1,0)+IF(CQ1097="D",1,0)+IF(CR1097="D",1,0)+IF(CS1097="D",1,0)+IF(CW1097="D",1,0)+IF(CX1097="D",1,0)+IF(DD1097="D",1,0)+IF(DE1097="D",1,0)+IF(DJ1097="D",1,0)+IF(DK1097="D",1,0)+IF(DO1097="D",1,0)+IF(DP1097="D",1,0)+IF(DQ1097="D",1,0)+IF(DW1097="D",1,0)+IF(DZ1097="D",1,0)+IF(EH1097="D",1,0)</f>
        <v>0</v>
      </c>
      <c r="AY1097" s="0" t="n">
        <f aca="false">COUNTIF(DU1097:EH1097, "&lt;&gt;")</f>
        <v>0</v>
      </c>
      <c r="AZ1097" s="0" t="n">
        <f aca="false">IF(EH1097&lt;&gt;"",1,0)</f>
        <v>0</v>
      </c>
      <c r="BB1097" s="0" t="s">
        <v>152</v>
      </c>
    </row>
    <row r="1098" customFormat="false" ht="13.8" hidden="true" customHeight="false" outlineLevel="0" collapsed="false">
      <c r="A1098" s="0" t="s">
        <v>5253</v>
      </c>
      <c r="B1098" s="0" t="n">
        <v>78</v>
      </c>
      <c r="C1098" s="0" t="n">
        <v>378417</v>
      </c>
      <c r="D1098" s="0" t="s">
        <v>5254</v>
      </c>
      <c r="E1098" s="0" t="s">
        <v>1295</v>
      </c>
      <c r="F1098" s="0" t="str">
        <f aca="false">CONCATENATE(D1098," ",LEFT(H1098,4),"T=",AU1098,"D=",AV1098,"R=",AW1098,"M=",AX1098,"L=",AY1098,"B=",AZ1098)</f>
        <v>ENGSTROM T=14D=0R=2M=1L=0B=0</v>
      </c>
      <c r="G1098" s="0" t="s">
        <v>215</v>
      </c>
      <c r="I1098" s="0" t="s">
        <v>5255</v>
      </c>
      <c r="J1098" s="0" t="s">
        <v>5256</v>
      </c>
      <c r="K1098" s="0" t="s">
        <v>143</v>
      </c>
      <c r="M1098" s="0" t="s">
        <v>5257</v>
      </c>
      <c r="N1098" s="0" t="str">
        <f aca="false">RIGHT(M1098,LEN(M1098)-FIND(" ",M1098))</f>
        <v>KENILWORTH AVE SE</v>
      </c>
      <c r="P1098" s="0" t="s">
        <v>145</v>
      </c>
      <c r="Q1098" s="0" t="s">
        <v>146</v>
      </c>
      <c r="R1098" s="0" t="n">
        <v>44484</v>
      </c>
      <c r="AD1098" s="0" t="s">
        <v>147</v>
      </c>
      <c r="AE1098" s="0" t="s">
        <v>148</v>
      </c>
      <c r="AF1098" s="0" t="s">
        <v>149</v>
      </c>
      <c r="AH1098" s="0" t="n">
        <v>14</v>
      </c>
      <c r="AI1098" s="0" t="n">
        <v>11</v>
      </c>
      <c r="AN1098" s="0" t="s">
        <v>145</v>
      </c>
      <c r="AO1098" s="0" t="s">
        <v>233</v>
      </c>
      <c r="AP1098" s="0" t="s">
        <v>234</v>
      </c>
      <c r="AQ1098" s="0" t="n">
        <v>9</v>
      </c>
      <c r="AR1098" s="0" t="n">
        <v>64</v>
      </c>
      <c r="AS1098" s="0" t="n">
        <v>32</v>
      </c>
      <c r="AU1098" s="0" t="n">
        <f aca="false">COUNTA($BA$2448:$EH$2448)</f>
        <v>14</v>
      </c>
      <c r="AV1098" s="0" t="n">
        <f aca="false">COUNTIF($BA$2448:$EH$2448,"D")</f>
        <v>0</v>
      </c>
      <c r="AW1098" s="0" t="n">
        <f aca="false">COUNTIF($BA$2448:$EH$2448,"R")</f>
        <v>2</v>
      </c>
      <c r="AX1098" s="0" t="n">
        <f aca="false">IF(BN1098="D",1,0)+IF(BO1098="D",1,0)+IF(BT1098="D",1,0)+IF(BU1098="D",1,0)+IF(BW1098="D",1,0)+IF(CC1098="D",1,0)+IF(CD1098="D",1,0)+IF(CE1098="D",1,0)+IF(CF1098="D",1,0)+IF(CL1098="D",1,0)+IF(CM1098="D",1,0)+IF(CQ1098="D",1,0)+IF(CR1098="D",1,0)+IF(CS1098="D",1,0)+IF(CW1098="D",1,0)+IF(CX1098="D",1,0)+IF(DD1098="D",1,0)+IF(DE1098="D",1,0)+IF(DJ1098="D",1,0)+IF(DK1098="D",1,0)+IF(DO1098="D",1,0)+IF(DP1098="D",1,0)+IF(DQ1098="D",1,0)+IF(DW1098="D",1,0)+IF(DZ1098="D",1,0)+IF(EH1098="D",1,0)</f>
        <v>1</v>
      </c>
      <c r="AY1098" s="0" t="n">
        <f aca="false">COUNTIF(DU1098:EH1098, "&lt;&gt;")</f>
        <v>0</v>
      </c>
      <c r="AZ1098" s="0" t="n">
        <f aca="false">IF(EH1098&lt;&gt;"",1,0)</f>
        <v>0</v>
      </c>
      <c r="BB1098" s="0" t="s">
        <v>152</v>
      </c>
      <c r="CL1098" s="0" t="s">
        <v>175</v>
      </c>
      <c r="CP1098" s="0" t="s">
        <v>153</v>
      </c>
      <c r="CZ1098" s="0" t="s">
        <v>175</v>
      </c>
      <c r="DC1098" s="0" t="s">
        <v>153</v>
      </c>
    </row>
    <row r="1099" customFormat="false" ht="13.8" hidden="true" customHeight="false" outlineLevel="0" collapsed="false">
      <c r="A1099" s="0" t="s">
        <v>5258</v>
      </c>
      <c r="B1099" s="0" t="n">
        <v>78</v>
      </c>
      <c r="C1099" s="0" t="n">
        <v>445084</v>
      </c>
      <c r="D1099" s="0" t="s">
        <v>5259</v>
      </c>
      <c r="E1099" s="0" t="s">
        <v>4247</v>
      </c>
      <c r="F1099" s="0" t="str">
        <f aca="false">CONCATENATE(D1099," ",LEFT(H1099,4),"T=",AU1099,"D=",AV1099,"R=",AW1099,"M=",AX1099,"L=",AY1099,"B=",AZ1099)</f>
        <v>SHUMAN T=2D=0R=0M=0L=0B=0</v>
      </c>
      <c r="G1099" s="0" t="s">
        <v>209</v>
      </c>
      <c r="I1099" s="0" t="s">
        <v>5260</v>
      </c>
      <c r="J1099" s="0" t="s">
        <v>5261</v>
      </c>
      <c r="K1099" s="0" t="s">
        <v>143</v>
      </c>
      <c r="M1099" s="0" t="s">
        <v>5257</v>
      </c>
      <c r="N1099" s="0" t="str">
        <f aca="false">RIGHT(M1099,LEN(M1099)-FIND(" ",M1099))</f>
        <v>KENILWORTH AVE SE</v>
      </c>
      <c r="P1099" s="0" t="s">
        <v>145</v>
      </c>
      <c r="Q1099" s="0" t="s">
        <v>146</v>
      </c>
      <c r="R1099" s="0" t="n">
        <v>44484</v>
      </c>
      <c r="AD1099" s="0" t="s">
        <v>147</v>
      </c>
      <c r="AE1099" s="0" t="s">
        <v>148</v>
      </c>
      <c r="AF1099" s="0" t="s">
        <v>149</v>
      </c>
      <c r="AH1099" s="0" t="n">
        <v>14</v>
      </c>
      <c r="AI1099" s="0" t="n">
        <v>11</v>
      </c>
      <c r="AN1099" s="0" t="s">
        <v>145</v>
      </c>
      <c r="AO1099" s="0" t="s">
        <v>233</v>
      </c>
      <c r="AP1099" s="0" t="s">
        <v>234</v>
      </c>
      <c r="AQ1099" s="0" t="n">
        <v>9</v>
      </c>
      <c r="AR1099" s="0" t="n">
        <v>64</v>
      </c>
      <c r="AS1099" s="0" t="n">
        <v>32</v>
      </c>
      <c r="AU1099" s="0" t="n">
        <f aca="false">COUNTA($BA$2636:$EH$2636)</f>
        <v>2</v>
      </c>
      <c r="AV1099" s="0" t="n">
        <f aca="false">COUNTIF($BA$2636:$EH$2636,"D")</f>
        <v>0</v>
      </c>
      <c r="AW1099" s="0" t="n">
        <f aca="false">COUNTIF($BA$2636:$EH$2636,"R")</f>
        <v>0</v>
      </c>
      <c r="AX1099" s="0" t="n">
        <f aca="false">IF(BN1099="D",1,0)+IF(BO1099="D",1,0)+IF(BT1099="D",1,0)+IF(BU1099="D",1,0)+IF(BW1099="D",1,0)+IF(CC1099="D",1,0)+IF(CD1099="D",1,0)+IF(CE1099="D",1,0)+IF(CF1099="D",1,0)+IF(CL1099="D",1,0)+IF(CM1099="D",1,0)+IF(CQ1099="D",1,0)+IF(CR1099="D",1,0)+IF(CS1099="D",1,0)+IF(CW1099="D",1,0)+IF(CX1099="D",1,0)+IF(DD1099="D",1,0)+IF(DE1099="D",1,0)+IF(DJ1099="D",1,0)+IF(DK1099="D",1,0)+IF(DO1099="D",1,0)+IF(DP1099="D",1,0)+IF(DQ1099="D",1,0)+IF(DW1099="D",1,0)+IF(DZ1099="D",1,0)+IF(EH1099="D",1,0)</f>
        <v>0</v>
      </c>
      <c r="AY1099" s="0" t="n">
        <f aca="false">COUNTIF(DU1099:EH1099, "&lt;&gt;")</f>
        <v>0</v>
      </c>
      <c r="AZ1099" s="0" t="n">
        <f aca="false">IF(EH1099&lt;&gt;"",1,0)</f>
        <v>0</v>
      </c>
      <c r="BB1099" s="0" t="s">
        <v>152</v>
      </c>
    </row>
    <row r="1100" customFormat="false" ht="13.8" hidden="true" customHeight="false" outlineLevel="0" collapsed="false">
      <c r="A1100" s="0" t="s">
        <v>5262</v>
      </c>
      <c r="B1100" s="0" t="n">
        <v>78</v>
      </c>
      <c r="C1100" s="0" t="n">
        <v>446041</v>
      </c>
      <c r="D1100" s="0" t="s">
        <v>5263</v>
      </c>
      <c r="E1100" s="0" t="s">
        <v>2013</v>
      </c>
      <c r="F1100" s="0" t="str">
        <f aca="false">CONCATENATE(D1100," ",LEFT(H1100,4),"T=",AU1100,"D=",AV1100,"R=",AW1100,"M=",AX1100,"L=",AY1100,"B=",AZ1100)</f>
        <v>GEAR T=1D=0R=0M=0L=0B=0</v>
      </c>
      <c r="G1100" s="0" t="s">
        <v>2214</v>
      </c>
      <c r="I1100" s="0" t="s">
        <v>5264</v>
      </c>
      <c r="J1100" s="0" t="s">
        <v>5265</v>
      </c>
      <c r="K1100" s="0" t="s">
        <v>143</v>
      </c>
      <c r="M1100" s="0" t="s">
        <v>5257</v>
      </c>
      <c r="N1100" s="0" t="str">
        <f aca="false">RIGHT(M1100,LEN(M1100)-FIND(" ",M1100))</f>
        <v>KENILWORTH AVE SE</v>
      </c>
      <c r="P1100" s="0" t="s">
        <v>145</v>
      </c>
      <c r="Q1100" s="0" t="s">
        <v>146</v>
      </c>
      <c r="R1100" s="0" t="n">
        <v>44484</v>
      </c>
      <c r="AD1100" s="0" t="s">
        <v>147</v>
      </c>
      <c r="AE1100" s="0" t="s">
        <v>148</v>
      </c>
      <c r="AF1100" s="0" t="s">
        <v>149</v>
      </c>
      <c r="AH1100" s="0" t="n">
        <v>14</v>
      </c>
      <c r="AI1100" s="0" t="n">
        <v>11</v>
      </c>
      <c r="AN1100" s="0" t="s">
        <v>145</v>
      </c>
      <c r="AO1100" s="0" t="s">
        <v>233</v>
      </c>
      <c r="AP1100" s="0" t="s">
        <v>234</v>
      </c>
      <c r="AQ1100" s="0" t="n">
        <v>9</v>
      </c>
      <c r="AR1100" s="0" t="n">
        <v>64</v>
      </c>
      <c r="AS1100" s="0" t="n">
        <v>32</v>
      </c>
      <c r="AU1100" s="0" t="n">
        <f aca="false">COUNTA($BA$2639:$EH$2639)</f>
        <v>1</v>
      </c>
      <c r="AV1100" s="0" t="n">
        <f aca="false">COUNTIF($BA$2639:$EH$2639,"D")</f>
        <v>0</v>
      </c>
      <c r="AW1100" s="0" t="n">
        <f aca="false">COUNTIF($BA$2639:$EH$2639,"R")</f>
        <v>0</v>
      </c>
      <c r="AX1100" s="0" t="n">
        <f aca="false">IF(BN1100="D",1,0)+IF(BO1100="D",1,0)+IF(BT1100="D",1,0)+IF(BU1100="D",1,0)+IF(BW1100="D",1,0)+IF(CC1100="D",1,0)+IF(CD1100="D",1,0)+IF(CE1100="D",1,0)+IF(CF1100="D",1,0)+IF(CL1100="D",1,0)+IF(CM1100="D",1,0)+IF(CQ1100="D",1,0)+IF(CR1100="D",1,0)+IF(CS1100="D",1,0)+IF(CW1100="D",1,0)+IF(CX1100="D",1,0)+IF(DD1100="D",1,0)+IF(DE1100="D",1,0)+IF(DJ1100="D",1,0)+IF(DK1100="D",1,0)+IF(DO1100="D",1,0)+IF(DP1100="D",1,0)+IF(DQ1100="D",1,0)+IF(DW1100="D",1,0)+IF(DZ1100="D",1,0)+IF(EH1100="D",1,0)</f>
        <v>0</v>
      </c>
      <c r="AY1100" s="0" t="n">
        <f aca="false">COUNTIF(DU1100:EH1100, "&lt;&gt;")</f>
        <v>0</v>
      </c>
      <c r="AZ1100" s="0" t="n">
        <f aca="false">IF(EH1100&lt;&gt;"",1,0)</f>
        <v>0</v>
      </c>
      <c r="BB1100" s="0" t="s">
        <v>152</v>
      </c>
    </row>
    <row r="1101" customFormat="false" ht="13.8" hidden="true" customHeight="false" outlineLevel="0" collapsed="false">
      <c r="A1101" s="0" t="s">
        <v>5266</v>
      </c>
      <c r="B1101" s="0" t="n">
        <v>78</v>
      </c>
      <c r="C1101" s="0" t="n">
        <v>495337</v>
      </c>
      <c r="D1101" s="0" t="s">
        <v>1710</v>
      </c>
      <c r="E1101" s="0" t="s">
        <v>4774</v>
      </c>
      <c r="F1101" s="0" t="str">
        <f aca="false">CONCATENATE(D1101," ",LEFT(H1101,4),"T=",AU1101,"D=",AV1101,"R=",AW1101,"M=",AX1101,"L=",AY1101,"B=",AZ1101)</f>
        <v>DANIEL T=4D=0R=0M=0L=0B=0</v>
      </c>
      <c r="G1101" s="0" t="s">
        <v>275</v>
      </c>
      <c r="I1101" s="0" t="s">
        <v>5267</v>
      </c>
      <c r="J1101" s="0" t="s">
        <v>798</v>
      </c>
      <c r="K1101" s="0" t="s">
        <v>160</v>
      </c>
      <c r="M1101" s="0" t="s">
        <v>5268</v>
      </c>
      <c r="N1101" s="0" t="str">
        <f aca="false">RIGHT(M1101,LEN(M1101)-FIND(" ",M1101))</f>
        <v>KENILWORTH AVE SE</v>
      </c>
      <c r="P1101" s="0" t="s">
        <v>145</v>
      </c>
      <c r="Q1101" s="0" t="s">
        <v>146</v>
      </c>
      <c r="R1101" s="0" t="n">
        <v>44484</v>
      </c>
      <c r="AD1101" s="0" t="s">
        <v>147</v>
      </c>
      <c r="AE1101" s="0" t="s">
        <v>148</v>
      </c>
      <c r="AF1101" s="0" t="s">
        <v>149</v>
      </c>
      <c r="AH1101" s="0" t="n">
        <v>14</v>
      </c>
      <c r="AI1101" s="0" t="n">
        <v>11</v>
      </c>
      <c r="AN1101" s="0" t="s">
        <v>145</v>
      </c>
      <c r="AO1101" s="0" t="s">
        <v>233</v>
      </c>
      <c r="AP1101" s="0" t="s">
        <v>234</v>
      </c>
      <c r="AQ1101" s="0" t="n">
        <v>9</v>
      </c>
      <c r="AR1101" s="0" t="n">
        <v>64</v>
      </c>
      <c r="AS1101" s="0" t="n">
        <v>32</v>
      </c>
      <c r="AU1101" s="0" t="n">
        <f aca="false">COUNTA($BA$2119:$EH$2119)</f>
        <v>4</v>
      </c>
      <c r="AV1101" s="0" t="n">
        <f aca="false">COUNTIF($BA$2119:$EH$2119,"D")</f>
        <v>0</v>
      </c>
      <c r="AW1101" s="0" t="n">
        <f aca="false">COUNTIF($BA$2119:$EH$2119,"R")</f>
        <v>0</v>
      </c>
      <c r="AX1101" s="0" t="n">
        <f aca="false">IF(BN1101="D",1,0)+IF(BO1101="D",1,0)+IF(BT1101="D",1,0)+IF(BU1101="D",1,0)+IF(BW1101="D",1,0)+IF(CC1101="D",1,0)+IF(CD1101="D",1,0)+IF(CE1101="D",1,0)+IF(CF1101="D",1,0)+IF(CL1101="D",1,0)+IF(CM1101="D",1,0)+IF(CQ1101="D",1,0)+IF(CR1101="D",1,0)+IF(CS1101="D",1,0)+IF(CW1101="D",1,0)+IF(CX1101="D",1,0)+IF(DD1101="D",1,0)+IF(DE1101="D",1,0)+IF(DJ1101="D",1,0)+IF(DK1101="D",1,0)+IF(DO1101="D",1,0)+IF(DP1101="D",1,0)+IF(DQ1101="D",1,0)+IF(DW1101="D",1,0)+IF(DZ1101="D",1,0)+IF(EH1101="D",1,0)</f>
        <v>0</v>
      </c>
      <c r="AY1101" s="0" t="n">
        <f aca="false">COUNTIF(DU1101:EH1101, "&lt;&gt;")</f>
        <v>0</v>
      </c>
      <c r="AZ1101" s="0" t="n">
        <f aca="false">IF(EH1101&lt;&gt;"",1,0)</f>
        <v>0</v>
      </c>
      <c r="BB1101" s="0" t="s">
        <v>152</v>
      </c>
    </row>
    <row r="1102" customFormat="false" ht="13.8" hidden="true" customHeight="false" outlineLevel="0" collapsed="false">
      <c r="A1102" s="0" t="s">
        <v>5269</v>
      </c>
      <c r="B1102" s="0" t="n">
        <v>78</v>
      </c>
      <c r="C1102" s="0" t="n">
        <v>400846</v>
      </c>
      <c r="D1102" s="0" t="s">
        <v>5270</v>
      </c>
      <c r="E1102" s="0" t="s">
        <v>1229</v>
      </c>
      <c r="F1102" s="0" t="str">
        <f aca="false">CONCATENATE(D1102," ",LEFT(H1102,4),"T=",AU1102,"D=",AV1102,"R=",AW1102,"M=",AX1102,"L=",AY1102,"B=",AZ1102)</f>
        <v>DICKEY T=31D=1R=8M=0L=0B=0</v>
      </c>
      <c r="G1102" s="0" t="s">
        <v>164</v>
      </c>
      <c r="I1102" s="0" t="s">
        <v>5271</v>
      </c>
      <c r="J1102" s="0" t="s">
        <v>3508</v>
      </c>
      <c r="K1102" s="0" t="s">
        <v>160</v>
      </c>
      <c r="M1102" s="0" t="s">
        <v>5272</v>
      </c>
      <c r="N1102" s="0" t="str">
        <f aca="false">RIGHT(M1102,LEN(M1102)-FIND(" ",M1102))</f>
        <v>KENILWORTH AVE SE</v>
      </c>
      <c r="P1102" s="0" t="s">
        <v>145</v>
      </c>
      <c r="Q1102" s="0" t="s">
        <v>146</v>
      </c>
      <c r="R1102" s="0" t="n">
        <v>44484</v>
      </c>
      <c r="AD1102" s="0" t="s">
        <v>147</v>
      </c>
      <c r="AE1102" s="0" t="s">
        <v>148</v>
      </c>
      <c r="AF1102" s="0" t="s">
        <v>149</v>
      </c>
      <c r="AH1102" s="0" t="n">
        <v>14</v>
      </c>
      <c r="AI1102" s="0" t="n">
        <v>11</v>
      </c>
      <c r="AN1102" s="0" t="s">
        <v>145</v>
      </c>
      <c r="AO1102" s="0" t="s">
        <v>233</v>
      </c>
      <c r="AP1102" s="0" t="s">
        <v>234</v>
      </c>
      <c r="AQ1102" s="0" t="n">
        <v>9</v>
      </c>
      <c r="AR1102" s="0" t="n">
        <v>64</v>
      </c>
      <c r="AS1102" s="0" t="n">
        <v>32</v>
      </c>
      <c r="AU1102" s="0" t="n">
        <f aca="false">COUNTA($BA$2099:$EH$2099)</f>
        <v>31</v>
      </c>
      <c r="AV1102" s="0" t="n">
        <f aca="false">COUNTIF($BA$2099:$EH$2099,"D")</f>
        <v>1</v>
      </c>
      <c r="AW1102" s="0" t="n">
        <f aca="false">COUNTIF($BA$2099:$EH$2099,"R")</f>
        <v>8</v>
      </c>
      <c r="AX1102" s="0" t="n">
        <f aca="false">IF(BN1102="D",1,0)+IF(BO1102="D",1,0)+IF(BT1102="D",1,0)+IF(BU1102="D",1,0)+IF(BW1102="D",1,0)+IF(CC1102="D",1,0)+IF(CD1102="D",1,0)+IF(CE1102="D",1,0)+IF(CF1102="D",1,0)+IF(CL1102="D",1,0)+IF(CM1102="D",1,0)+IF(CQ1102="D",1,0)+IF(CR1102="D",1,0)+IF(CS1102="D",1,0)+IF(CW1102="D",1,0)+IF(CX1102="D",1,0)+IF(DD1102="D",1,0)+IF(DE1102="D",1,0)+IF(DJ1102="D",1,0)+IF(DK1102="D",1,0)+IF(DO1102="D",1,0)+IF(DP1102="D",1,0)+IF(DQ1102="D",1,0)+IF(DW1102="D",1,0)+IF(DZ1102="D",1,0)+IF(EH1102="D",1,0)</f>
        <v>0</v>
      </c>
      <c r="AY1102" s="0" t="n">
        <f aca="false">COUNTIF(DU1102:EH1102, "&lt;&gt;")</f>
        <v>0</v>
      </c>
      <c r="AZ1102" s="0" t="n">
        <f aca="false">IF(EH1102&lt;&gt;"",1,0)</f>
        <v>0</v>
      </c>
      <c r="BB1102" s="0" t="s">
        <v>152</v>
      </c>
    </row>
    <row r="1103" customFormat="false" ht="13.8" hidden="true" customHeight="false" outlineLevel="0" collapsed="false">
      <c r="A1103" s="0" t="s">
        <v>5273</v>
      </c>
      <c r="B1103" s="0" t="n">
        <v>78</v>
      </c>
      <c r="C1103" s="0" t="n">
        <v>367419</v>
      </c>
      <c r="D1103" s="0" t="s">
        <v>5270</v>
      </c>
      <c r="E1103" s="0" t="s">
        <v>829</v>
      </c>
      <c r="F1103" s="0" t="str">
        <f aca="false">CONCATENATE(D1103," ",LEFT(H1103,4),"T=",AU1103,"D=",AV1103,"R=",AW1103,"M=",AX1103,"L=",AY1103,"B=",AZ1103)</f>
        <v>DICKEY T=1D=0R=0M=0L=0B=0</v>
      </c>
      <c r="G1103" s="0" t="s">
        <v>839</v>
      </c>
      <c r="I1103" s="0" t="s">
        <v>5274</v>
      </c>
      <c r="J1103" s="0" t="s">
        <v>5094</v>
      </c>
      <c r="K1103" s="0" t="s">
        <v>160</v>
      </c>
      <c r="M1103" s="0" t="s">
        <v>5272</v>
      </c>
      <c r="N1103" s="0" t="str">
        <f aca="false">RIGHT(M1103,LEN(M1103)-FIND(" ",M1103))</f>
        <v>KENILWORTH AVE SE</v>
      </c>
      <c r="P1103" s="0" t="s">
        <v>145</v>
      </c>
      <c r="Q1103" s="0" t="s">
        <v>146</v>
      </c>
      <c r="R1103" s="0" t="n">
        <v>44484</v>
      </c>
      <c r="AD1103" s="0" t="s">
        <v>147</v>
      </c>
      <c r="AE1103" s="0" t="s">
        <v>148</v>
      </c>
      <c r="AF1103" s="0" t="s">
        <v>149</v>
      </c>
      <c r="AH1103" s="0" t="n">
        <v>14</v>
      </c>
      <c r="AI1103" s="0" t="n">
        <v>11</v>
      </c>
      <c r="AN1103" s="0" t="s">
        <v>145</v>
      </c>
      <c r="AO1103" s="0" t="s">
        <v>233</v>
      </c>
      <c r="AP1103" s="0" t="s">
        <v>234</v>
      </c>
      <c r="AQ1103" s="0" t="n">
        <v>9</v>
      </c>
      <c r="AR1103" s="0" t="n">
        <v>64</v>
      </c>
      <c r="AS1103" s="0" t="n">
        <v>32</v>
      </c>
      <c r="AU1103" s="0" t="n">
        <f aca="false">COUNTA($BA$2116:$EH$2116)</f>
        <v>1</v>
      </c>
      <c r="AV1103" s="0" t="n">
        <f aca="false">COUNTIF($BA$2116:$EH$2116,"D")</f>
        <v>0</v>
      </c>
      <c r="AW1103" s="0" t="n">
        <f aca="false">COUNTIF($BA$2116:$EH$2116,"R")</f>
        <v>0</v>
      </c>
      <c r="AX1103" s="0" t="n">
        <f aca="false">IF(BN1103="D",1,0)+IF(BO1103="D",1,0)+IF(BT1103="D",1,0)+IF(BU1103="D",1,0)+IF(BW1103="D",1,0)+IF(CC1103="D",1,0)+IF(CD1103="D",1,0)+IF(CE1103="D",1,0)+IF(CF1103="D",1,0)+IF(CL1103="D",1,0)+IF(CM1103="D",1,0)+IF(CQ1103="D",1,0)+IF(CR1103="D",1,0)+IF(CS1103="D",1,0)+IF(CW1103="D",1,0)+IF(CX1103="D",1,0)+IF(DD1103="D",1,0)+IF(DE1103="D",1,0)+IF(DJ1103="D",1,0)+IF(DK1103="D",1,0)+IF(DO1103="D",1,0)+IF(DP1103="D",1,0)+IF(DQ1103="D",1,0)+IF(DW1103="D",1,0)+IF(DZ1103="D",1,0)+IF(EH1103="D",1,0)</f>
        <v>0</v>
      </c>
      <c r="AY1103" s="0" t="n">
        <f aca="false">COUNTIF(DU1103:EH1103, "&lt;&gt;")</f>
        <v>0</v>
      </c>
      <c r="AZ1103" s="0" t="n">
        <f aca="false">IF(EH1103&lt;&gt;"",1,0)</f>
        <v>0</v>
      </c>
      <c r="BB1103" s="0" t="s">
        <v>152</v>
      </c>
      <c r="DN1103" s="0" t="s">
        <v>153</v>
      </c>
    </row>
    <row r="1104" customFormat="false" ht="13.8" hidden="true" customHeight="false" outlineLevel="0" collapsed="false">
      <c r="A1104" s="0" t="s">
        <v>5275</v>
      </c>
      <c r="B1104" s="0" t="n">
        <v>78</v>
      </c>
      <c r="C1104" s="0" t="n">
        <v>387920</v>
      </c>
      <c r="D1104" s="0" t="s">
        <v>3940</v>
      </c>
      <c r="E1104" s="0" t="s">
        <v>557</v>
      </c>
      <c r="F1104" s="0" t="str">
        <f aca="false">CONCATENATE(D1104," ",LEFT(H1104,4),"T=",AU1104,"D=",AV1104,"R=",AW1104,"M=",AX1104,"L=",AY1104,"B=",AZ1104)</f>
        <v>WILSON T=2D=0R=0M=0L=0B=0</v>
      </c>
      <c r="G1104" s="0" t="s">
        <v>839</v>
      </c>
      <c r="I1104" s="0" t="s">
        <v>5276</v>
      </c>
      <c r="J1104" s="0" t="s">
        <v>5277</v>
      </c>
      <c r="K1104" s="0" t="s">
        <v>160</v>
      </c>
      <c r="M1104" s="0" t="s">
        <v>5272</v>
      </c>
      <c r="N1104" s="0" t="str">
        <f aca="false">RIGHT(M1104,LEN(M1104)-FIND(" ",M1104))</f>
        <v>KENILWORTH AVE SE</v>
      </c>
      <c r="P1104" s="0" t="s">
        <v>145</v>
      </c>
      <c r="Q1104" s="0" t="s">
        <v>146</v>
      </c>
      <c r="R1104" s="0" t="n">
        <v>44484</v>
      </c>
      <c r="AD1104" s="0" t="s">
        <v>147</v>
      </c>
      <c r="AE1104" s="0" t="s">
        <v>148</v>
      </c>
      <c r="AF1104" s="0" t="s">
        <v>149</v>
      </c>
      <c r="AH1104" s="0" t="n">
        <v>14</v>
      </c>
      <c r="AI1104" s="0" t="n">
        <v>11</v>
      </c>
      <c r="AN1104" s="0" t="s">
        <v>145</v>
      </c>
      <c r="AO1104" s="0" t="s">
        <v>233</v>
      </c>
      <c r="AP1104" s="0" t="s">
        <v>234</v>
      </c>
      <c r="AQ1104" s="0" t="n">
        <v>9</v>
      </c>
      <c r="AR1104" s="0" t="n">
        <v>64</v>
      </c>
      <c r="AS1104" s="0" t="n">
        <v>32</v>
      </c>
      <c r="AU1104" s="0" t="n">
        <f aca="false">COUNTA($BA$2172:$EH$2172)</f>
        <v>2</v>
      </c>
      <c r="AV1104" s="0" t="n">
        <f aca="false">COUNTIF($BA$2172:$EH$2172,"D")</f>
        <v>0</v>
      </c>
      <c r="AW1104" s="0" t="n">
        <f aca="false">COUNTIF($BA$2172:$EH$2172,"R")</f>
        <v>0</v>
      </c>
      <c r="AX1104" s="0" t="n">
        <f aca="false">IF(BN1104="D",1,0)+IF(BO1104="D",1,0)+IF(BT1104="D",1,0)+IF(BU1104="D",1,0)+IF(BW1104="D",1,0)+IF(CC1104="D",1,0)+IF(CD1104="D",1,0)+IF(CE1104="D",1,0)+IF(CF1104="D",1,0)+IF(CL1104="D",1,0)+IF(CM1104="D",1,0)+IF(CQ1104="D",1,0)+IF(CR1104="D",1,0)+IF(CS1104="D",1,0)+IF(CW1104="D",1,0)+IF(CX1104="D",1,0)+IF(DD1104="D",1,0)+IF(DE1104="D",1,0)+IF(DJ1104="D",1,0)+IF(DK1104="D",1,0)+IF(DO1104="D",1,0)+IF(DP1104="D",1,0)+IF(DQ1104="D",1,0)+IF(DW1104="D",1,0)+IF(DZ1104="D",1,0)+IF(EH1104="D",1,0)</f>
        <v>0</v>
      </c>
      <c r="AY1104" s="0" t="n">
        <f aca="false">COUNTIF(DU1104:EH1104, "&lt;&gt;")</f>
        <v>0</v>
      </c>
      <c r="AZ1104" s="0" t="n">
        <f aca="false">IF(EH1104&lt;&gt;"",1,0)</f>
        <v>0</v>
      </c>
      <c r="BB1104" s="0" t="s">
        <v>152</v>
      </c>
      <c r="CP1104" s="0" t="s">
        <v>153</v>
      </c>
    </row>
    <row r="1105" customFormat="false" ht="13.8" hidden="false" customHeight="false" outlineLevel="0" collapsed="false">
      <c r="A1105" s="0" t="s">
        <v>5278</v>
      </c>
      <c r="B1105" s="0" t="n">
        <v>78</v>
      </c>
      <c r="C1105" s="0" t="n">
        <v>447603</v>
      </c>
      <c r="D1105" s="0" t="s">
        <v>5279</v>
      </c>
      <c r="E1105" s="0" t="s">
        <v>5280</v>
      </c>
      <c r="F1105" s="0" t="str">
        <f aca="false">CONCATENATE(D1105," ",LEFT(H1105,4),"T=",AU1105,"D=",AV1105,"R=",AW1105,"M=",AX1105,"L=",AY1105,"B=",AZ1105)</f>
        <v>MCQUEEN JRT=3D=0R=0M=0L=2B=0</v>
      </c>
      <c r="H1105" s="0" t="s">
        <v>314</v>
      </c>
      <c r="I1105" s="0" t="s">
        <v>5281</v>
      </c>
      <c r="J1105" s="0" t="s">
        <v>5282</v>
      </c>
      <c r="K1105" s="0" t="s">
        <v>160</v>
      </c>
      <c r="L1105" s="0" t="s">
        <v>209</v>
      </c>
      <c r="M1105" s="0" t="s">
        <v>5283</v>
      </c>
      <c r="N1105" s="0" t="str">
        <f aca="false">RIGHT(M1105,LEN(M1105)-FIND(" ",M1105))</f>
        <v>KENILWORTH AVE SE</v>
      </c>
      <c r="P1105" s="0" t="s">
        <v>145</v>
      </c>
      <c r="Q1105" s="0" t="s">
        <v>146</v>
      </c>
      <c r="R1105" s="0" t="n">
        <v>44483</v>
      </c>
      <c r="AD1105" s="0" t="s">
        <v>147</v>
      </c>
      <c r="AE1105" s="0" t="s">
        <v>148</v>
      </c>
      <c r="AF1105" s="0" t="s">
        <v>149</v>
      </c>
      <c r="AH1105" s="0" t="n">
        <v>14</v>
      </c>
      <c r="AI1105" s="0" t="n">
        <v>11</v>
      </c>
      <c r="AN1105" s="0" t="s">
        <v>145</v>
      </c>
      <c r="AO1105" s="0" t="s">
        <v>150</v>
      </c>
      <c r="AP1105" s="0" t="s">
        <v>151</v>
      </c>
      <c r="AQ1105" s="0" t="n">
        <v>9</v>
      </c>
      <c r="AR1105" s="0" t="n">
        <v>64</v>
      </c>
      <c r="AS1105" s="0" t="n">
        <v>32</v>
      </c>
      <c r="AU1105" s="0" t="n">
        <f aca="false">COUNTA($BA$149:$EH$149)</f>
        <v>3</v>
      </c>
      <c r="AV1105" s="0" t="n">
        <f aca="false">COUNTIF($BA$149:$EH$149,"D")</f>
        <v>0</v>
      </c>
      <c r="AW1105" s="0" t="n">
        <f aca="false">COUNTIF($BA$149:$EH$149,"R")</f>
        <v>0</v>
      </c>
      <c r="AX1105" s="0" t="n">
        <f aca="false">IF(BN1105="D",1,0)+IF(BO1105="D",1,0)+IF(BT1105="D",1,0)+IF(BU1105="D",1,0)+IF(BW1105="D",1,0)+IF(CC1105="D",1,0)+IF(CD1105="D",1,0)+IF(CE1105="D",1,0)+IF(CF1105="D",1,0)+IF(CL1105="D",1,0)+IF(CM1105="D",1,0)+IF(CQ1105="D",1,0)+IF(CR1105="D",1,0)+IF(CS1105="D",1,0)+IF(CW1105="D",1,0)+IF(CX1105="D",1,0)+IF(DD1105="D",1,0)+IF(DE1105="D",1,0)+IF(DJ1105="D",1,0)+IF(DK1105="D",1,0)+IF(DO1105="D",1,0)+IF(DP1105="D",1,0)+IF(DQ1105="D",1,0)+IF(DW1105="D",1,0)+IF(DZ1105="D",1,0)+IF(EH1105="D",1,0)</f>
        <v>0</v>
      </c>
      <c r="AY1105" s="0" t="n">
        <f aca="false">COUNTIF(DU1105:EH1105, "&lt;&gt;")</f>
        <v>2</v>
      </c>
      <c r="AZ1105" s="0" t="n">
        <f aca="false">IF(EH1105&lt;&gt;"",1,0)</f>
        <v>0</v>
      </c>
      <c r="BB1105" s="0" t="s">
        <v>152</v>
      </c>
      <c r="BD1105" s="0" t="s">
        <v>153</v>
      </c>
      <c r="BL1105" s="0" t="s">
        <v>153</v>
      </c>
      <c r="DN1105" s="0" t="s">
        <v>153</v>
      </c>
      <c r="ED1105" s="0" t="s">
        <v>209</v>
      </c>
      <c r="EF1105" s="0" t="s">
        <v>153</v>
      </c>
    </row>
    <row r="1106" customFormat="false" ht="13.8" hidden="true" customHeight="false" outlineLevel="0" collapsed="false">
      <c r="A1106" s="0" t="s">
        <v>5284</v>
      </c>
      <c r="B1106" s="0" t="n">
        <v>78</v>
      </c>
      <c r="C1106" s="0" t="n">
        <v>486968</v>
      </c>
      <c r="D1106" s="0" t="s">
        <v>5285</v>
      </c>
      <c r="E1106" s="0" t="s">
        <v>1431</v>
      </c>
      <c r="F1106" s="0" t="str">
        <f aca="false">CONCATENATE(D1106," ",LEFT(H1106,4),"T=",AU1106,"D=",AV1106,"R=",AW1106,"M=",AX1106,"L=",AY1106,"B=",AZ1106)</f>
        <v>MARCHMAN T=13D=0R=0M=0L=0B=0</v>
      </c>
      <c r="G1106" s="0" t="s">
        <v>268</v>
      </c>
      <c r="I1106" s="0" t="s">
        <v>5286</v>
      </c>
      <c r="J1106" s="0" t="s">
        <v>1050</v>
      </c>
      <c r="K1106" s="0" t="s">
        <v>160</v>
      </c>
      <c r="M1106" s="0" t="s">
        <v>5287</v>
      </c>
      <c r="N1106" s="0" t="str">
        <f aca="false">RIGHT(M1106,LEN(M1106)-FIND(" ",M1106))</f>
        <v>KENILWORTH AVE SE</v>
      </c>
      <c r="P1106" s="0" t="s">
        <v>145</v>
      </c>
      <c r="Q1106" s="0" t="s">
        <v>146</v>
      </c>
      <c r="R1106" s="0" t="n">
        <v>44484</v>
      </c>
      <c r="AD1106" s="0" t="s">
        <v>147</v>
      </c>
      <c r="AE1106" s="0" t="s">
        <v>148</v>
      </c>
      <c r="AF1106" s="0" t="s">
        <v>149</v>
      </c>
      <c r="AH1106" s="0" t="n">
        <v>14</v>
      </c>
      <c r="AI1106" s="0" t="n">
        <v>11</v>
      </c>
      <c r="AN1106" s="0" t="s">
        <v>145</v>
      </c>
      <c r="AO1106" s="0" t="s">
        <v>233</v>
      </c>
      <c r="AP1106" s="0" t="s">
        <v>234</v>
      </c>
      <c r="AQ1106" s="0" t="n">
        <v>9</v>
      </c>
      <c r="AR1106" s="0" t="n">
        <v>64</v>
      </c>
      <c r="AS1106" s="0" t="n">
        <v>32</v>
      </c>
      <c r="AU1106" s="0" t="n">
        <f aca="false">COUNTA($BA$2257:$EH$2257)</f>
        <v>13</v>
      </c>
      <c r="AV1106" s="0" t="n">
        <f aca="false">COUNTIF($BA$2257:$EH$2257,"D")</f>
        <v>0</v>
      </c>
      <c r="AW1106" s="0" t="n">
        <f aca="false">COUNTIF($BA$2257:$EH$2257,"R")</f>
        <v>0</v>
      </c>
      <c r="AX1106" s="0" t="n">
        <f aca="false">IF(BN1106="D",1,0)+IF(BO1106="D",1,0)+IF(BT1106="D",1,0)+IF(BU1106="D",1,0)+IF(BW1106="D",1,0)+IF(CC1106="D",1,0)+IF(CD1106="D",1,0)+IF(CE1106="D",1,0)+IF(CF1106="D",1,0)+IF(CL1106="D",1,0)+IF(CM1106="D",1,0)+IF(CQ1106="D",1,0)+IF(CR1106="D",1,0)+IF(CS1106="D",1,0)+IF(CW1106="D",1,0)+IF(CX1106="D",1,0)+IF(DD1106="D",1,0)+IF(DE1106="D",1,0)+IF(DJ1106="D",1,0)+IF(DK1106="D",1,0)+IF(DO1106="D",1,0)+IF(DP1106="D",1,0)+IF(DQ1106="D",1,0)+IF(DW1106="D",1,0)+IF(DZ1106="D",1,0)+IF(EH1106="D",1,0)</f>
        <v>0</v>
      </c>
      <c r="AY1106" s="0" t="n">
        <f aca="false">COUNTIF(DU1106:EH1106, "&lt;&gt;")</f>
        <v>0</v>
      </c>
      <c r="AZ1106" s="0" t="n">
        <f aca="false">IF(EH1106&lt;&gt;"",1,0)</f>
        <v>0</v>
      </c>
      <c r="BB1106" s="0" t="s">
        <v>152</v>
      </c>
    </row>
    <row r="1107" customFormat="false" ht="13.8" hidden="true" customHeight="false" outlineLevel="0" collapsed="false">
      <c r="A1107" s="0" t="s">
        <v>5288</v>
      </c>
      <c r="B1107" s="0" t="n">
        <v>78</v>
      </c>
      <c r="C1107" s="0" t="n">
        <v>408324</v>
      </c>
      <c r="D1107" s="0" t="s">
        <v>5289</v>
      </c>
      <c r="E1107" s="0" t="s">
        <v>2013</v>
      </c>
      <c r="F1107" s="0" t="str">
        <f aca="false">CONCATENATE(D1107," ",LEFT(H1107,4),"T=",AU1107,"D=",AV1107,"R=",AW1107,"M=",AX1107,"L=",AY1107,"B=",AZ1107)</f>
        <v>FAIRCHILD T=2D=0R=0M=0L=0B=0</v>
      </c>
      <c r="G1107" s="0" t="s">
        <v>268</v>
      </c>
      <c r="I1107" s="0" t="s">
        <v>5290</v>
      </c>
      <c r="J1107" s="0" t="s">
        <v>1050</v>
      </c>
      <c r="K1107" s="0" t="s">
        <v>160</v>
      </c>
      <c r="M1107" s="0" t="s">
        <v>5287</v>
      </c>
      <c r="N1107" s="0" t="str">
        <f aca="false">RIGHT(M1107,LEN(M1107)-FIND(" ",M1107))</f>
        <v>KENILWORTH AVE SE</v>
      </c>
      <c r="P1107" s="0" t="s">
        <v>145</v>
      </c>
      <c r="Q1107" s="0" t="s">
        <v>146</v>
      </c>
      <c r="R1107" s="0" t="n">
        <v>44484</v>
      </c>
      <c r="AD1107" s="0" t="s">
        <v>147</v>
      </c>
      <c r="AE1107" s="0" t="s">
        <v>148</v>
      </c>
      <c r="AF1107" s="0" t="s">
        <v>149</v>
      </c>
      <c r="AH1107" s="0" t="n">
        <v>14</v>
      </c>
      <c r="AI1107" s="0" t="n">
        <v>11</v>
      </c>
      <c r="AN1107" s="0" t="s">
        <v>145</v>
      </c>
      <c r="AO1107" s="0" t="s">
        <v>233</v>
      </c>
      <c r="AP1107" s="0" t="s">
        <v>234</v>
      </c>
      <c r="AQ1107" s="0" t="n">
        <v>9</v>
      </c>
      <c r="AR1107" s="0" t="n">
        <v>64</v>
      </c>
      <c r="AS1107" s="0" t="n">
        <v>32</v>
      </c>
      <c r="AU1107" s="0" t="n">
        <f aca="false">COUNTA($BA$2491:$EH$2491)</f>
        <v>2</v>
      </c>
      <c r="AV1107" s="0" t="n">
        <f aca="false">COUNTIF($BA$2491:$EH$2491,"D")</f>
        <v>0</v>
      </c>
      <c r="AW1107" s="0" t="n">
        <f aca="false">COUNTIF($BA$2491:$EH$2491,"R")</f>
        <v>0</v>
      </c>
      <c r="AX1107" s="0" t="n">
        <f aca="false">IF(BN1107="D",1,0)+IF(BO1107="D",1,0)+IF(BT1107="D",1,0)+IF(BU1107="D",1,0)+IF(BW1107="D",1,0)+IF(CC1107="D",1,0)+IF(CD1107="D",1,0)+IF(CE1107="D",1,0)+IF(CF1107="D",1,0)+IF(CL1107="D",1,0)+IF(CM1107="D",1,0)+IF(CQ1107="D",1,0)+IF(CR1107="D",1,0)+IF(CS1107="D",1,0)+IF(CW1107="D",1,0)+IF(CX1107="D",1,0)+IF(DD1107="D",1,0)+IF(DE1107="D",1,0)+IF(DJ1107="D",1,0)+IF(DK1107="D",1,0)+IF(DO1107="D",1,0)+IF(DP1107="D",1,0)+IF(DQ1107="D",1,0)+IF(DW1107="D",1,0)+IF(DZ1107="D",1,0)+IF(EH1107="D",1,0)</f>
        <v>0</v>
      </c>
      <c r="AY1107" s="0" t="n">
        <f aca="false">COUNTIF(DU1107:EH1107, "&lt;&gt;")</f>
        <v>0</v>
      </c>
      <c r="AZ1107" s="0" t="n">
        <f aca="false">IF(EH1107&lt;&gt;"",1,0)</f>
        <v>0</v>
      </c>
      <c r="BB1107" s="0" t="s">
        <v>152</v>
      </c>
    </row>
    <row r="1108" customFormat="false" ht="13.8" hidden="false" customHeight="false" outlineLevel="0" collapsed="false">
      <c r="A1108" s="0" t="s">
        <v>5291</v>
      </c>
      <c r="B1108" s="0" t="n">
        <v>78</v>
      </c>
      <c r="C1108" s="0" t="n">
        <v>466245</v>
      </c>
      <c r="D1108" s="0" t="s">
        <v>3975</v>
      </c>
      <c r="E1108" s="0" t="s">
        <v>1775</v>
      </c>
      <c r="F1108" s="0" t="str">
        <f aca="false">CONCATENATE(D1108," ",LEFT(H1108,4),"T=",AU1108,"D=",AV1108,"R=",AW1108,"M=",AX1108,"L=",AY1108,"B=",AZ1108)</f>
        <v>COPELAND T=5D=0R=0M=0L=2B=0</v>
      </c>
      <c r="G1108" s="0" t="s">
        <v>5292</v>
      </c>
      <c r="I1108" s="0" t="s">
        <v>5293</v>
      </c>
      <c r="J1108" s="0" t="s">
        <v>5294</v>
      </c>
      <c r="K1108" s="0" t="s">
        <v>160</v>
      </c>
      <c r="M1108" s="0" t="s">
        <v>5295</v>
      </c>
      <c r="N1108" s="0" t="str">
        <f aca="false">RIGHT(M1108,LEN(M1108)-FIND(" ",M1108))</f>
        <v>KENILWORTH AVE SE</v>
      </c>
      <c r="P1108" s="0" t="s">
        <v>145</v>
      </c>
      <c r="Q1108" s="0" t="s">
        <v>146</v>
      </c>
      <c r="R1108" s="0" t="n">
        <v>44483</v>
      </c>
      <c r="AD1108" s="0" t="s">
        <v>147</v>
      </c>
      <c r="AE1108" s="0" t="s">
        <v>148</v>
      </c>
      <c r="AF1108" s="0" t="s">
        <v>149</v>
      </c>
      <c r="AH1108" s="0" t="n">
        <v>14</v>
      </c>
      <c r="AI1108" s="0" t="n">
        <v>11</v>
      </c>
      <c r="AN1108" s="0" t="s">
        <v>145</v>
      </c>
      <c r="AO1108" s="0" t="s">
        <v>150</v>
      </c>
      <c r="AP1108" s="0" t="s">
        <v>151</v>
      </c>
      <c r="AQ1108" s="0" t="n">
        <v>9</v>
      </c>
      <c r="AR1108" s="0" t="n">
        <v>64</v>
      </c>
      <c r="AS1108" s="0" t="n">
        <v>32</v>
      </c>
      <c r="AU1108" s="0" t="n">
        <f aca="false">COUNTA($BA$160:$EH$160)</f>
        <v>5</v>
      </c>
      <c r="AV1108" s="0" t="n">
        <f aca="false">COUNTIF($BA$160:$EH$160,"D")</f>
        <v>0</v>
      </c>
      <c r="AW1108" s="0" t="n">
        <f aca="false">COUNTIF($BA$160:$EH$160,"R")</f>
        <v>0</v>
      </c>
      <c r="AX1108" s="0" t="n">
        <f aca="false">IF(BN1108="D",1,0)+IF(BO1108="D",1,0)+IF(BT1108="D",1,0)+IF(BU1108="D",1,0)+IF(BW1108="D",1,0)+IF(CC1108="D",1,0)+IF(CD1108="D",1,0)+IF(CE1108="D",1,0)+IF(CF1108="D",1,0)+IF(CL1108="D",1,0)+IF(CM1108="D",1,0)+IF(CQ1108="D",1,0)+IF(CR1108="D",1,0)+IF(CS1108="D",1,0)+IF(CW1108="D",1,0)+IF(CX1108="D",1,0)+IF(DD1108="D",1,0)+IF(DE1108="D",1,0)+IF(DJ1108="D",1,0)+IF(DK1108="D",1,0)+IF(DO1108="D",1,0)+IF(DP1108="D",1,0)+IF(DQ1108="D",1,0)+IF(DW1108="D",1,0)+IF(DZ1108="D",1,0)+IF(EH1108="D",1,0)</f>
        <v>0</v>
      </c>
      <c r="AY1108" s="0" t="n">
        <f aca="false">COUNTIF(DU1108:EH1108, "&lt;&gt;")</f>
        <v>2</v>
      </c>
      <c r="AZ1108" s="0" t="n">
        <f aca="false">IF(EH1108&lt;&gt;"",1,0)</f>
        <v>0</v>
      </c>
      <c r="BB1108" s="0" t="s">
        <v>152</v>
      </c>
      <c r="BD1108" s="0" t="s">
        <v>153</v>
      </c>
      <c r="BF1108" s="0" t="s">
        <v>153</v>
      </c>
      <c r="BL1108" s="0" t="s">
        <v>153</v>
      </c>
      <c r="BS1108" s="0" t="s">
        <v>153</v>
      </c>
      <c r="BV1108" s="0" t="s">
        <v>153</v>
      </c>
      <c r="BY1108" s="0" t="s">
        <v>175</v>
      </c>
      <c r="CA1108" s="0" t="s">
        <v>153</v>
      </c>
      <c r="CG1108" s="0" t="s">
        <v>153</v>
      </c>
      <c r="CK1108" s="0" t="s">
        <v>153</v>
      </c>
      <c r="CN1108" s="0" t="s">
        <v>153</v>
      </c>
      <c r="CP1108" s="0" t="s">
        <v>153</v>
      </c>
      <c r="CT1108" s="0" t="s">
        <v>153</v>
      </c>
      <c r="CZ1108" s="0" t="s">
        <v>175</v>
      </c>
      <c r="DC1108" s="0" t="s">
        <v>153</v>
      </c>
      <c r="DI1108" s="0" t="s">
        <v>153</v>
      </c>
      <c r="DM1108" s="0" t="s">
        <v>175</v>
      </c>
      <c r="DN1108" s="0" t="s">
        <v>153</v>
      </c>
      <c r="DR1108" s="0" t="s">
        <v>153</v>
      </c>
      <c r="EA1108" s="0" t="s">
        <v>153</v>
      </c>
      <c r="EF1108" s="0" t="s">
        <v>153</v>
      </c>
    </row>
    <row r="1109" customFormat="false" ht="13.8" hidden="true" customHeight="false" outlineLevel="0" collapsed="false">
      <c r="A1109" s="0" t="s">
        <v>5296</v>
      </c>
      <c r="B1109" s="0" t="n">
        <v>78</v>
      </c>
      <c r="C1109" s="0" t="n">
        <v>327181</v>
      </c>
      <c r="D1109" s="0" t="s">
        <v>1504</v>
      </c>
      <c r="E1109" s="0" t="s">
        <v>663</v>
      </c>
      <c r="F1109" s="0" t="str">
        <f aca="false">CONCATENATE(D1109," ",LEFT(H1109,4),"T=",AU1109,"D=",AV1109,"R=",AW1109,"M=",AX1109,"L=",AY1109,"B=",AZ1109)</f>
        <v>KING T=1D=0R=0M=1L=0B=0</v>
      </c>
      <c r="G1109" s="0" t="s">
        <v>1310</v>
      </c>
      <c r="I1109" s="0" t="s">
        <v>5297</v>
      </c>
      <c r="J1109" s="0" t="s">
        <v>5298</v>
      </c>
      <c r="K1109" s="0" t="s">
        <v>143</v>
      </c>
      <c r="M1109" s="0" t="s">
        <v>5299</v>
      </c>
      <c r="N1109" s="0" t="str">
        <f aca="false">RIGHT(M1109,LEN(M1109)-FIND(" ",M1109))</f>
        <v>KENILWORTH AVE SE</v>
      </c>
      <c r="P1109" s="0" t="s">
        <v>145</v>
      </c>
      <c r="Q1109" s="0" t="s">
        <v>146</v>
      </c>
      <c r="R1109" s="0" t="n">
        <v>44484</v>
      </c>
      <c r="AD1109" s="0" t="s">
        <v>147</v>
      </c>
      <c r="AE1109" s="0" t="s">
        <v>148</v>
      </c>
      <c r="AF1109" s="0" t="s">
        <v>149</v>
      </c>
      <c r="AH1109" s="0" t="n">
        <v>14</v>
      </c>
      <c r="AI1109" s="0" t="n">
        <v>11</v>
      </c>
      <c r="AN1109" s="0" t="s">
        <v>145</v>
      </c>
      <c r="AO1109" s="0" t="s">
        <v>233</v>
      </c>
      <c r="AP1109" s="0" t="s">
        <v>234</v>
      </c>
      <c r="AQ1109" s="0" t="n">
        <v>9</v>
      </c>
      <c r="AR1109" s="0" t="n">
        <v>64</v>
      </c>
      <c r="AS1109" s="0" t="n">
        <v>32</v>
      </c>
      <c r="AU1109" s="0" t="n">
        <f aca="false">COUNTA($BA$2351:$EH$2351)</f>
        <v>1</v>
      </c>
      <c r="AV1109" s="0" t="n">
        <f aca="false">COUNTIF($BA$2351:$EH$2351,"D")</f>
        <v>0</v>
      </c>
      <c r="AW1109" s="0" t="n">
        <f aca="false">COUNTIF($BA$2351:$EH$2351,"R")</f>
        <v>0</v>
      </c>
      <c r="AX1109" s="0" t="n">
        <f aca="false">IF(BN1109="D",1,0)+IF(BO1109="D",1,0)+IF(BT1109="D",1,0)+IF(BU1109="D",1,0)+IF(BW1109="D",1,0)+IF(CC1109="D",1,0)+IF(CD1109="D",1,0)+IF(CE1109="D",1,0)+IF(CF1109="D",1,0)+IF(CL1109="D",1,0)+IF(CM1109="D",1,0)+IF(CQ1109="D",1,0)+IF(CR1109="D",1,0)+IF(CS1109="D",1,0)+IF(CW1109="D",1,0)+IF(CX1109="D",1,0)+IF(DD1109="D",1,0)+IF(DE1109="D",1,0)+IF(DJ1109="D",1,0)+IF(DK1109="D",1,0)+IF(DO1109="D",1,0)+IF(DP1109="D",1,0)+IF(DQ1109="D",1,0)+IF(DW1109="D",1,0)+IF(DZ1109="D",1,0)+IF(EH1109="D",1,0)</f>
        <v>1</v>
      </c>
      <c r="AY1109" s="0" t="n">
        <f aca="false">COUNTIF(DU1109:EH1109, "&lt;&gt;")</f>
        <v>0</v>
      </c>
      <c r="AZ1109" s="0" t="n">
        <f aca="false">IF(EH1109&lt;&gt;"",1,0)</f>
        <v>0</v>
      </c>
      <c r="BB1109" s="0" t="s">
        <v>152</v>
      </c>
      <c r="BL1109" s="0" t="s">
        <v>153</v>
      </c>
      <c r="CA1109" s="0" t="s">
        <v>153</v>
      </c>
      <c r="CL1109" s="0" t="s">
        <v>175</v>
      </c>
      <c r="CN1109" s="0" t="s">
        <v>153</v>
      </c>
      <c r="CP1109" s="0" t="s">
        <v>153</v>
      </c>
      <c r="CY1109" s="0" t="s">
        <v>153</v>
      </c>
      <c r="CZ1109" s="0" t="s">
        <v>175</v>
      </c>
      <c r="DC1109" s="0" t="s">
        <v>153</v>
      </c>
    </row>
    <row r="1110" customFormat="false" ht="13.8" hidden="false" customHeight="false" outlineLevel="0" collapsed="false">
      <c r="A1110" s="0" t="s">
        <v>5300</v>
      </c>
      <c r="B1110" s="0" t="n">
        <v>78</v>
      </c>
      <c r="C1110" s="0" t="n">
        <v>429711</v>
      </c>
      <c r="D1110" s="0" t="s">
        <v>5301</v>
      </c>
      <c r="E1110" s="0" t="s">
        <v>350</v>
      </c>
      <c r="F1110" s="0" t="str">
        <f aca="false">CONCATENATE(D1110," ",LEFT(H1110,4),"T=",AU1110,"D=",AV1110,"R=",AW1110,"M=",AX1110,"L=",AY1110,"B=",AZ1110)</f>
        <v>NAGY T=3D=0R=0M=0L=3B=0</v>
      </c>
      <c r="G1110" s="0" t="s">
        <v>5302</v>
      </c>
      <c r="I1110" s="0" t="s">
        <v>5303</v>
      </c>
      <c r="J1110" s="0" t="s">
        <v>5304</v>
      </c>
      <c r="K1110" s="0" t="s">
        <v>160</v>
      </c>
      <c r="L1110" s="0" t="s">
        <v>209</v>
      </c>
      <c r="M1110" s="0" t="s">
        <v>5305</v>
      </c>
      <c r="N1110" s="0" t="str">
        <f aca="false">RIGHT(M1110,LEN(M1110)-FIND(" ",M1110))</f>
        <v>KENILWORTH AVE SE</v>
      </c>
      <c r="P1110" s="0" t="s">
        <v>145</v>
      </c>
      <c r="Q1110" s="0" t="s">
        <v>146</v>
      </c>
      <c r="R1110" s="0" t="n">
        <v>44483</v>
      </c>
      <c r="AD1110" s="0" t="s">
        <v>147</v>
      </c>
      <c r="AE1110" s="0" t="s">
        <v>148</v>
      </c>
      <c r="AF1110" s="0" t="s">
        <v>149</v>
      </c>
      <c r="AH1110" s="0" t="n">
        <v>14</v>
      </c>
      <c r="AI1110" s="0" t="n">
        <v>11</v>
      </c>
      <c r="AN1110" s="0" t="s">
        <v>145</v>
      </c>
      <c r="AO1110" s="0" t="s">
        <v>150</v>
      </c>
      <c r="AP1110" s="0" t="s">
        <v>151</v>
      </c>
      <c r="AQ1110" s="0" t="n">
        <v>9</v>
      </c>
      <c r="AR1110" s="0" t="n">
        <v>64</v>
      </c>
      <c r="AS1110" s="0" t="n">
        <v>32</v>
      </c>
      <c r="AU1110" s="0" t="n">
        <f aca="false">COUNTA($BA$180:$EH$180)</f>
        <v>3</v>
      </c>
      <c r="AV1110" s="0" t="n">
        <f aca="false">COUNTIF($BA$180:$EH$180,"D")</f>
        <v>0</v>
      </c>
      <c r="AW1110" s="0" t="n">
        <f aca="false">COUNTIF($BA$180:$EH$180,"R")</f>
        <v>0</v>
      </c>
      <c r="AX1110" s="0" t="n">
        <f aca="false">IF(BN1110="D",1,0)+IF(BO1110="D",1,0)+IF(BT1110="D",1,0)+IF(BU1110="D",1,0)+IF(BW1110="D",1,0)+IF(CC1110="D",1,0)+IF(CD1110="D",1,0)+IF(CE1110="D",1,0)+IF(CF1110="D",1,0)+IF(CL1110="D",1,0)+IF(CM1110="D",1,0)+IF(CQ1110="D",1,0)+IF(CR1110="D",1,0)+IF(CS1110="D",1,0)+IF(CW1110="D",1,0)+IF(CX1110="D",1,0)+IF(DD1110="D",1,0)+IF(DE1110="D",1,0)+IF(DJ1110="D",1,0)+IF(DK1110="D",1,0)+IF(DO1110="D",1,0)+IF(DP1110="D",1,0)+IF(DQ1110="D",1,0)+IF(DW1110="D",1,0)+IF(DZ1110="D",1,0)+IF(EH1110="D",1,0)</f>
        <v>0</v>
      </c>
      <c r="AY1110" s="0" t="n">
        <f aca="false">COUNTIF(DU1110:EH1110, "&lt;&gt;")</f>
        <v>3</v>
      </c>
      <c r="AZ1110" s="0" t="n">
        <f aca="false">IF(EH1110&lt;&gt;"",1,0)</f>
        <v>0</v>
      </c>
      <c r="BB1110" s="0" t="s">
        <v>152</v>
      </c>
      <c r="DG1110" s="0" t="s">
        <v>209</v>
      </c>
      <c r="DN1110" s="0" t="s">
        <v>153</v>
      </c>
      <c r="DT1110" s="0" t="s">
        <v>209</v>
      </c>
      <c r="DW1110" s="0" t="s">
        <v>153</v>
      </c>
      <c r="ED1110" s="0" t="s">
        <v>209</v>
      </c>
      <c r="EF1110" s="0" t="s">
        <v>153</v>
      </c>
    </row>
    <row r="1111" customFormat="false" ht="13.8" hidden="false" customHeight="false" outlineLevel="0" collapsed="false">
      <c r="A1111" s="0" t="s">
        <v>5306</v>
      </c>
      <c r="B1111" s="0" t="n">
        <v>78</v>
      </c>
      <c r="C1111" s="0" t="n">
        <v>232873</v>
      </c>
      <c r="D1111" s="0" t="s">
        <v>5307</v>
      </c>
      <c r="E1111" s="0" t="s">
        <v>5011</v>
      </c>
      <c r="F1111" s="0" t="str">
        <f aca="false">CONCATENATE(D1111," ",LEFT(H1111,4),"T=",AU1111,"D=",AV1111,"R=",AW1111,"M=",AX1111,"L=",AY1111,"B=",AZ1111)</f>
        <v>FRENCHKO T=3D=0R=0M=3L=5B=0</v>
      </c>
      <c r="G1111" s="0" t="s">
        <v>517</v>
      </c>
      <c r="I1111" s="0" t="s">
        <v>5308</v>
      </c>
      <c r="J1111" s="0" t="s">
        <v>5309</v>
      </c>
      <c r="K1111" s="0" t="s">
        <v>160</v>
      </c>
      <c r="L1111" s="0" t="s">
        <v>209</v>
      </c>
      <c r="M1111" s="0" t="s">
        <v>5305</v>
      </c>
      <c r="N1111" s="0" t="str">
        <f aca="false">RIGHT(M1111,LEN(M1111)-FIND(" ",M1111))</f>
        <v>KENILWORTH AVE SE</v>
      </c>
      <c r="P1111" s="0" t="s">
        <v>145</v>
      </c>
      <c r="Q1111" s="0" t="s">
        <v>146</v>
      </c>
      <c r="R1111" s="0" t="n">
        <v>44483</v>
      </c>
      <c r="AD1111" s="0" t="s">
        <v>147</v>
      </c>
      <c r="AE1111" s="0" t="s">
        <v>148</v>
      </c>
      <c r="AF1111" s="0" t="s">
        <v>149</v>
      </c>
      <c r="AH1111" s="0" t="n">
        <v>14</v>
      </c>
      <c r="AI1111" s="0" t="n">
        <v>11</v>
      </c>
      <c r="AN1111" s="0" t="s">
        <v>145</v>
      </c>
      <c r="AO1111" s="0" t="s">
        <v>150</v>
      </c>
      <c r="AP1111" s="0" t="s">
        <v>151</v>
      </c>
      <c r="AQ1111" s="0" t="n">
        <v>9</v>
      </c>
      <c r="AR1111" s="0" t="n">
        <v>64</v>
      </c>
      <c r="AS1111" s="0" t="n">
        <v>32</v>
      </c>
      <c r="AU1111" s="0" t="n">
        <f aca="false">COUNTA($BA$255:$EH$255)</f>
        <v>3</v>
      </c>
      <c r="AV1111" s="0" t="n">
        <f aca="false">COUNTIF($BA$255:$EH$255,"D")</f>
        <v>0</v>
      </c>
      <c r="AW1111" s="0" t="n">
        <f aca="false">COUNTIF($BA$255:$EH$255,"R")</f>
        <v>0</v>
      </c>
      <c r="AX1111" s="0" t="n">
        <f aca="false">IF(BN1111="D",1,0)+IF(BO1111="D",1,0)+IF(BT1111="D",1,0)+IF(BU1111="D",1,0)+IF(BW1111="D",1,0)+IF(CC1111="D",1,0)+IF(CD1111="D",1,0)+IF(CE1111="D",1,0)+IF(CF1111="D",1,0)+IF(CL1111="D",1,0)+IF(CM1111="D",1,0)+IF(CQ1111="D",1,0)+IF(CR1111="D",1,0)+IF(CS1111="D",1,0)+IF(CW1111="D",1,0)+IF(CX1111="D",1,0)+IF(DD1111="D",1,0)+IF(DE1111="D",1,0)+IF(DJ1111="D",1,0)+IF(DK1111="D",1,0)+IF(DO1111="D",1,0)+IF(DP1111="D",1,0)+IF(DQ1111="D",1,0)+IF(DW1111="D",1,0)+IF(DZ1111="D",1,0)+IF(EH1111="D",1,0)</f>
        <v>3</v>
      </c>
      <c r="AY1111" s="0" t="n">
        <f aca="false">COUNTIF(DU1111:EH1111, "&lt;&gt;")</f>
        <v>5</v>
      </c>
      <c r="AZ1111" s="0" t="n">
        <f aca="false">IF(EH1111&lt;&gt;"",1,0)</f>
        <v>0</v>
      </c>
      <c r="BB1111" s="0" t="s">
        <v>152</v>
      </c>
      <c r="BC1111" s="0" t="s">
        <v>153</v>
      </c>
      <c r="BD1111" s="0" t="s">
        <v>153</v>
      </c>
      <c r="BE1111" s="0" t="s">
        <v>153</v>
      </c>
      <c r="BF1111" s="0" t="s">
        <v>153</v>
      </c>
      <c r="BG1111" s="0" t="s">
        <v>153</v>
      </c>
      <c r="BH1111" s="0" t="s">
        <v>153</v>
      </c>
      <c r="BJ1111" s="0" t="s">
        <v>153</v>
      </c>
      <c r="BL1111" s="0" t="s">
        <v>153</v>
      </c>
      <c r="BP1111" s="0" t="s">
        <v>153</v>
      </c>
      <c r="BR1111" s="0" t="s">
        <v>153</v>
      </c>
      <c r="BS1111" s="0" t="s">
        <v>153</v>
      </c>
      <c r="BV1111" s="0" t="s">
        <v>153</v>
      </c>
      <c r="CA1111" s="0" t="s">
        <v>153</v>
      </c>
      <c r="CC1111" s="0" t="s">
        <v>175</v>
      </c>
      <c r="CK1111" s="0" t="s">
        <v>153</v>
      </c>
      <c r="CL1111" s="0" t="s">
        <v>175</v>
      </c>
      <c r="CN1111" s="0" t="s">
        <v>153</v>
      </c>
      <c r="CO1111" s="0" t="s">
        <v>209</v>
      </c>
      <c r="CP1111" s="0" t="s">
        <v>153</v>
      </c>
      <c r="CU1111" s="0" t="s">
        <v>175</v>
      </c>
      <c r="CV1111" s="0" t="s">
        <v>153</v>
      </c>
      <c r="CY1111" s="0" t="s">
        <v>153</v>
      </c>
      <c r="CZ1111" s="0" t="s">
        <v>175</v>
      </c>
      <c r="DC1111" s="0" t="s">
        <v>153</v>
      </c>
      <c r="DD1111" s="0" t="s">
        <v>175</v>
      </c>
      <c r="DF1111" s="0" t="s">
        <v>153</v>
      </c>
      <c r="DG1111" s="0" t="s">
        <v>153</v>
      </c>
      <c r="DI1111" s="0" t="s">
        <v>153</v>
      </c>
      <c r="DL1111" s="0" t="s">
        <v>153</v>
      </c>
      <c r="DM1111" s="0" t="s">
        <v>209</v>
      </c>
      <c r="DN1111" s="0" t="s">
        <v>153</v>
      </c>
      <c r="DR1111" s="0" t="s">
        <v>153</v>
      </c>
      <c r="DS1111" s="0" t="s">
        <v>209</v>
      </c>
      <c r="DT1111" s="0" t="s">
        <v>209</v>
      </c>
      <c r="DU1111" s="0" t="s">
        <v>153</v>
      </c>
      <c r="DW1111" s="0" t="s">
        <v>153</v>
      </c>
      <c r="EA1111" s="0" t="s">
        <v>153</v>
      </c>
      <c r="ED1111" s="0" t="s">
        <v>209</v>
      </c>
      <c r="EF1111" s="0" t="s">
        <v>153</v>
      </c>
    </row>
    <row r="1112" customFormat="false" ht="13.8" hidden="false" customHeight="false" outlineLevel="0" collapsed="false">
      <c r="A1112" s="0" t="s">
        <v>5310</v>
      </c>
      <c r="B1112" s="0" t="n">
        <v>78</v>
      </c>
      <c r="C1112" s="0" t="n">
        <v>402975</v>
      </c>
      <c r="D1112" s="0" t="s">
        <v>5301</v>
      </c>
      <c r="E1112" s="0" t="s">
        <v>5311</v>
      </c>
      <c r="F1112" s="0" t="str">
        <f aca="false">CONCATENATE(D1112," ",LEFT(H1112,4),"T=",AU1112,"D=",AV1112,"R=",AW1112,"M=",AX1112,"L=",AY1112,"B=",AZ1112)</f>
        <v>NAGY T=23D=2R=1M=0L=3B=0</v>
      </c>
      <c r="G1112" s="0" t="s">
        <v>202</v>
      </c>
      <c r="I1112" s="0" t="s">
        <v>5312</v>
      </c>
      <c r="J1112" s="0" t="s">
        <v>5313</v>
      </c>
      <c r="K1112" s="0" t="s">
        <v>160</v>
      </c>
      <c r="L1112" s="0" t="s">
        <v>209</v>
      </c>
      <c r="M1112" s="0" t="s">
        <v>5305</v>
      </c>
      <c r="N1112" s="0" t="str">
        <f aca="false">RIGHT(M1112,LEN(M1112)-FIND(" ",M1112))</f>
        <v>KENILWORTH AVE SE</v>
      </c>
      <c r="P1112" s="0" t="s">
        <v>145</v>
      </c>
      <c r="Q1112" s="0" t="s">
        <v>146</v>
      </c>
      <c r="R1112" s="0" t="n">
        <v>44483</v>
      </c>
      <c r="AD1112" s="0" t="s">
        <v>147</v>
      </c>
      <c r="AE1112" s="0" t="s">
        <v>148</v>
      </c>
      <c r="AF1112" s="0" t="s">
        <v>149</v>
      </c>
      <c r="AH1112" s="0" t="n">
        <v>14</v>
      </c>
      <c r="AI1112" s="0" t="n">
        <v>11</v>
      </c>
      <c r="AN1112" s="0" t="s">
        <v>145</v>
      </c>
      <c r="AO1112" s="0" t="s">
        <v>150</v>
      </c>
      <c r="AP1112" s="0" t="s">
        <v>151</v>
      </c>
      <c r="AQ1112" s="0" t="n">
        <v>9</v>
      </c>
      <c r="AR1112" s="0" t="n">
        <v>64</v>
      </c>
      <c r="AS1112" s="0" t="n">
        <v>32</v>
      </c>
      <c r="AU1112" s="0" t="n">
        <f aca="false">COUNTA($BA$963:$EH$963)</f>
        <v>23</v>
      </c>
      <c r="AV1112" s="0" t="n">
        <f aca="false">COUNTIF($BA$963:$EH$963,"D")</f>
        <v>2</v>
      </c>
      <c r="AW1112" s="0" t="n">
        <f aca="false">COUNTIF($BA$963:$EH$963,"R")</f>
        <v>1</v>
      </c>
      <c r="AX1112" s="0" t="n">
        <f aca="false">IF(BN1112="D",1,0)+IF(BO1112="D",1,0)+IF(BT1112="D",1,0)+IF(BU1112="D",1,0)+IF(BW1112="D",1,0)+IF(CC1112="D",1,0)+IF(CD1112="D",1,0)+IF(CE1112="D",1,0)+IF(CF1112="D",1,0)+IF(CL1112="D",1,0)+IF(CM1112="D",1,0)+IF(CQ1112="D",1,0)+IF(CR1112="D",1,0)+IF(CS1112="D",1,0)+IF(CW1112="D",1,0)+IF(CX1112="D",1,0)+IF(DD1112="D",1,0)+IF(DE1112="D",1,0)+IF(DJ1112="D",1,0)+IF(DK1112="D",1,0)+IF(DO1112="D",1,0)+IF(DP1112="D",1,0)+IF(DQ1112="D",1,0)+IF(DW1112="D",1,0)+IF(DZ1112="D",1,0)+IF(EH1112="D",1,0)</f>
        <v>0</v>
      </c>
      <c r="AY1112" s="0" t="n">
        <f aca="false">COUNTIF(DU1112:EH1112, "&lt;&gt;")</f>
        <v>3</v>
      </c>
      <c r="AZ1112" s="0" t="n">
        <f aca="false">IF(EH1112&lt;&gt;"",1,0)</f>
        <v>0</v>
      </c>
      <c r="BB1112" s="0" t="s">
        <v>152</v>
      </c>
      <c r="CY1112" s="0" t="s">
        <v>153</v>
      </c>
      <c r="CZ1112" s="0" t="s">
        <v>175</v>
      </c>
      <c r="DC1112" s="0" t="s">
        <v>153</v>
      </c>
      <c r="DI1112" s="0" t="s">
        <v>153</v>
      </c>
      <c r="DL1112" s="0" t="s">
        <v>153</v>
      </c>
      <c r="DM1112" s="0" t="s">
        <v>209</v>
      </c>
      <c r="DN1112" s="0" t="s">
        <v>153</v>
      </c>
      <c r="DS1112" s="0" t="s">
        <v>209</v>
      </c>
      <c r="DT1112" s="0" t="s">
        <v>209</v>
      </c>
      <c r="DU1112" s="0" t="s">
        <v>153</v>
      </c>
      <c r="ED1112" s="0" t="s">
        <v>209</v>
      </c>
      <c r="EF1112" s="0" t="s">
        <v>153</v>
      </c>
    </row>
    <row r="1113" customFormat="false" ht="13.8" hidden="false" customHeight="false" outlineLevel="0" collapsed="false">
      <c r="A1113" s="0" t="s">
        <v>5314</v>
      </c>
      <c r="B1113" s="0" t="n">
        <v>78</v>
      </c>
      <c r="C1113" s="0" t="n">
        <v>464992</v>
      </c>
      <c r="D1113" s="0" t="s">
        <v>5315</v>
      </c>
      <c r="E1113" s="0" t="s">
        <v>5316</v>
      </c>
      <c r="F1113" s="0" t="str">
        <f aca="false">CONCATENATE(D1113," ",LEFT(H1113,4),"T=",AU1113,"D=",AV1113,"R=",AW1113,"M=",AX1113,"L=",AY1113,"B=",AZ1113)</f>
        <v>FRENCHKO TRIPOULAS T=1D=0R=0M=1L=5B=0</v>
      </c>
      <c r="G1113" s="0" t="s">
        <v>5317</v>
      </c>
      <c r="I1113" s="0" t="s">
        <v>5318</v>
      </c>
      <c r="J1113" s="0" t="s">
        <v>5319</v>
      </c>
      <c r="K1113" s="0" t="s">
        <v>160</v>
      </c>
      <c r="L1113" s="0" t="s">
        <v>209</v>
      </c>
      <c r="M1113" s="0" t="s">
        <v>5305</v>
      </c>
      <c r="N1113" s="0" t="str">
        <f aca="false">RIGHT(M1113,LEN(M1113)-FIND(" ",M1113))</f>
        <v>KENILWORTH AVE SE</v>
      </c>
      <c r="P1113" s="0" t="s">
        <v>145</v>
      </c>
      <c r="Q1113" s="0" t="s">
        <v>146</v>
      </c>
      <c r="R1113" s="0" t="n">
        <v>44483</v>
      </c>
      <c r="AD1113" s="0" t="s">
        <v>147</v>
      </c>
      <c r="AE1113" s="0" t="s">
        <v>148</v>
      </c>
      <c r="AF1113" s="0" t="s">
        <v>149</v>
      </c>
      <c r="AH1113" s="0" t="n">
        <v>14</v>
      </c>
      <c r="AI1113" s="0" t="n">
        <v>11</v>
      </c>
      <c r="AN1113" s="0" t="s">
        <v>145</v>
      </c>
      <c r="AO1113" s="0" t="s">
        <v>150</v>
      </c>
      <c r="AP1113" s="0" t="s">
        <v>151</v>
      </c>
      <c r="AQ1113" s="0" t="n">
        <v>9</v>
      </c>
      <c r="AR1113" s="0" t="n">
        <v>64</v>
      </c>
      <c r="AS1113" s="0" t="n">
        <v>32</v>
      </c>
      <c r="AU1113" s="0" t="n">
        <f aca="false">COUNTA($BA$984:$EH$984)</f>
        <v>1</v>
      </c>
      <c r="AV1113" s="0" t="n">
        <f aca="false">COUNTIF($BA$984:$EH$984,"D")</f>
        <v>0</v>
      </c>
      <c r="AW1113" s="0" t="n">
        <f aca="false">COUNTIF($BA$984:$EH$984,"R")</f>
        <v>0</v>
      </c>
      <c r="AX1113" s="0" t="n">
        <f aca="false">IF(BN1113="D",1,0)+IF(BO1113="D",1,0)+IF(BT1113="D",1,0)+IF(BU1113="D",1,0)+IF(BW1113="D",1,0)+IF(CC1113="D",1,0)+IF(CD1113="D",1,0)+IF(CE1113="D",1,0)+IF(CF1113="D",1,0)+IF(CL1113="D",1,0)+IF(CM1113="D",1,0)+IF(CQ1113="D",1,0)+IF(CR1113="D",1,0)+IF(CS1113="D",1,0)+IF(CW1113="D",1,0)+IF(CX1113="D",1,0)+IF(DD1113="D",1,0)+IF(DE1113="D",1,0)+IF(DJ1113="D",1,0)+IF(DK1113="D",1,0)+IF(DO1113="D",1,0)+IF(DP1113="D",1,0)+IF(DQ1113="D",1,0)+IF(DW1113="D",1,0)+IF(DZ1113="D",1,0)+IF(EH1113="D",1,0)</f>
        <v>1</v>
      </c>
      <c r="AY1113" s="0" t="n">
        <f aca="false">COUNTIF(DU1113:EH1113, "&lt;&gt;")</f>
        <v>5</v>
      </c>
      <c r="AZ1113" s="0" t="n">
        <f aca="false">IF(EH1113&lt;&gt;"",1,0)</f>
        <v>0</v>
      </c>
      <c r="BB1113" s="0" t="s">
        <v>152</v>
      </c>
      <c r="DU1113" s="0" t="s">
        <v>153</v>
      </c>
      <c r="DW1113" s="0" t="s">
        <v>175</v>
      </c>
      <c r="EA1113" s="0" t="s">
        <v>153</v>
      </c>
      <c r="ED1113" s="0" t="s">
        <v>209</v>
      </c>
      <c r="EF1113" s="0" t="s">
        <v>153</v>
      </c>
    </row>
    <row r="1114" customFormat="false" ht="13.8" hidden="false" customHeight="false" outlineLevel="0" collapsed="false">
      <c r="A1114" s="0" t="s">
        <v>5320</v>
      </c>
      <c r="B1114" s="0" t="n">
        <v>78</v>
      </c>
      <c r="C1114" s="0" t="n">
        <v>129542</v>
      </c>
      <c r="D1114" s="0" t="s">
        <v>690</v>
      </c>
      <c r="E1114" s="0" t="s">
        <v>5321</v>
      </c>
      <c r="F1114" s="0" t="str">
        <f aca="false">CONCATENATE(D1114," ",LEFT(H1114,4),"T=",AU1114,"D=",AV1114,"R=",AW1114,"M=",AX1114,"L=",AY1114,"B=",AZ1114)</f>
        <v>SMITH T=11D=1R=0M=3L=4B=0</v>
      </c>
      <c r="G1114" s="0" t="s">
        <v>164</v>
      </c>
      <c r="I1114" s="0" t="s">
        <v>5322</v>
      </c>
      <c r="J1114" s="0" t="s">
        <v>5323</v>
      </c>
      <c r="K1114" s="0" t="s">
        <v>160</v>
      </c>
      <c r="L1114" s="0" t="s">
        <v>175</v>
      </c>
      <c r="M1114" s="0" t="s">
        <v>5324</v>
      </c>
      <c r="N1114" s="0" t="str">
        <f aca="false">RIGHT(M1114,LEN(M1114)-FIND(" ",M1114))</f>
        <v>KENILWORTH AVE SE</v>
      </c>
      <c r="P1114" s="0" t="s">
        <v>145</v>
      </c>
      <c r="Q1114" s="0" t="s">
        <v>146</v>
      </c>
      <c r="R1114" s="0" t="n">
        <v>44483</v>
      </c>
      <c r="AD1114" s="0" t="s">
        <v>147</v>
      </c>
      <c r="AE1114" s="0" t="s">
        <v>148</v>
      </c>
      <c r="AF1114" s="0" t="s">
        <v>149</v>
      </c>
      <c r="AH1114" s="0" t="n">
        <v>14</v>
      </c>
      <c r="AI1114" s="0" t="n">
        <v>11</v>
      </c>
      <c r="AN1114" s="0" t="s">
        <v>145</v>
      </c>
      <c r="AO1114" s="0" t="s">
        <v>150</v>
      </c>
      <c r="AP1114" s="0" t="s">
        <v>151</v>
      </c>
      <c r="AQ1114" s="0" t="n">
        <v>9</v>
      </c>
      <c r="AR1114" s="0" t="n">
        <v>64</v>
      </c>
      <c r="AS1114" s="0" t="n">
        <v>32</v>
      </c>
      <c r="AU1114" s="0" t="n">
        <f aca="false">COUNTA($BA$360:$EH$360)</f>
        <v>11</v>
      </c>
      <c r="AV1114" s="0" t="n">
        <f aca="false">COUNTIF($BA$360:$EH$360,"D")</f>
        <v>1</v>
      </c>
      <c r="AW1114" s="0" t="n">
        <f aca="false">COUNTIF($BA$360:$EH$360,"R")</f>
        <v>0</v>
      </c>
      <c r="AX1114" s="0" t="n">
        <f aca="false">IF(BN1114="D",1,0)+IF(BO1114="D",1,0)+IF(BT1114="D",1,0)+IF(BU1114="D",1,0)+IF(BW1114="D",1,0)+IF(CC1114="D",1,0)+IF(CD1114="D",1,0)+IF(CE1114="D",1,0)+IF(CF1114="D",1,0)+IF(CL1114="D",1,0)+IF(CM1114="D",1,0)+IF(CQ1114="D",1,0)+IF(CR1114="D",1,0)+IF(CS1114="D",1,0)+IF(CW1114="D",1,0)+IF(CX1114="D",1,0)+IF(DD1114="D",1,0)+IF(DE1114="D",1,0)+IF(DJ1114="D",1,0)+IF(DK1114="D",1,0)+IF(DO1114="D",1,0)+IF(DP1114="D",1,0)+IF(DQ1114="D",1,0)+IF(DW1114="D",1,0)+IF(DZ1114="D",1,0)+IF(EH1114="D",1,0)</f>
        <v>3</v>
      </c>
      <c r="AY1114" s="0" t="n">
        <f aca="false">COUNTIF(DU1114:EH1114, "&lt;&gt;")</f>
        <v>4</v>
      </c>
      <c r="AZ1114" s="0" t="n">
        <f aca="false">IF(EH1114&lt;&gt;"",1,0)</f>
        <v>0</v>
      </c>
      <c r="BB1114" s="0" t="s">
        <v>152</v>
      </c>
      <c r="BC1114" s="0" t="s">
        <v>153</v>
      </c>
      <c r="BD1114" s="0" t="s">
        <v>153</v>
      </c>
      <c r="BE1114" s="0" t="s">
        <v>153</v>
      </c>
      <c r="BF1114" s="0" t="s">
        <v>153</v>
      </c>
      <c r="BG1114" s="0" t="s">
        <v>153</v>
      </c>
      <c r="BH1114" s="0" t="s">
        <v>153</v>
      </c>
      <c r="BI1114" s="0" t="s">
        <v>153</v>
      </c>
      <c r="BJ1114" s="0" t="s">
        <v>153</v>
      </c>
      <c r="BK1114" s="0" t="s">
        <v>153</v>
      </c>
      <c r="BL1114" s="0" t="s">
        <v>153</v>
      </c>
      <c r="BP1114" s="0" t="s">
        <v>153</v>
      </c>
      <c r="BR1114" s="0" t="s">
        <v>153</v>
      </c>
      <c r="BS1114" s="0" t="s">
        <v>153</v>
      </c>
      <c r="BV1114" s="0" t="s">
        <v>153</v>
      </c>
      <c r="BY1114" s="0" t="s">
        <v>175</v>
      </c>
      <c r="CA1114" s="0" t="s">
        <v>153</v>
      </c>
      <c r="CC1114" s="0" t="s">
        <v>175</v>
      </c>
      <c r="CG1114" s="0" t="s">
        <v>153</v>
      </c>
      <c r="CH1114" s="0" t="s">
        <v>175</v>
      </c>
      <c r="CK1114" s="0" t="s">
        <v>153</v>
      </c>
      <c r="CL1114" s="0" t="s">
        <v>175</v>
      </c>
      <c r="CN1114" s="0" t="s">
        <v>153</v>
      </c>
      <c r="CO1114" s="0" t="s">
        <v>175</v>
      </c>
      <c r="CP1114" s="0" t="s">
        <v>153</v>
      </c>
      <c r="CT1114" s="0" t="s">
        <v>153</v>
      </c>
      <c r="CV1114" s="0" t="s">
        <v>153</v>
      </c>
      <c r="CW1114" s="0" t="s">
        <v>175</v>
      </c>
      <c r="CY1114" s="0" t="s">
        <v>153</v>
      </c>
      <c r="CZ1114" s="0" t="s">
        <v>175</v>
      </c>
      <c r="DC1114" s="0" t="s">
        <v>153</v>
      </c>
      <c r="DF1114" s="0" t="s">
        <v>153</v>
      </c>
      <c r="DG1114" s="0" t="s">
        <v>175</v>
      </c>
      <c r="DI1114" s="0" t="s">
        <v>153</v>
      </c>
      <c r="DL1114" s="0" t="s">
        <v>153</v>
      </c>
      <c r="DM1114" s="0" t="s">
        <v>175</v>
      </c>
      <c r="DN1114" s="0" t="s">
        <v>153</v>
      </c>
      <c r="DS1114" s="0" t="s">
        <v>175</v>
      </c>
      <c r="DT1114" s="0" t="s">
        <v>175</v>
      </c>
      <c r="DU1114" s="0" t="s">
        <v>153</v>
      </c>
      <c r="DX1114" s="0" t="s">
        <v>153</v>
      </c>
      <c r="EA1114" s="0" t="s">
        <v>153</v>
      </c>
      <c r="EF1114" s="0" t="s">
        <v>153</v>
      </c>
    </row>
    <row r="1115" customFormat="false" ht="13.8" hidden="false" customHeight="false" outlineLevel="0" collapsed="false">
      <c r="A1115" s="0" t="s">
        <v>5325</v>
      </c>
      <c r="B1115" s="0" t="n">
        <v>78</v>
      </c>
      <c r="C1115" s="0" t="n">
        <v>172380</v>
      </c>
      <c r="D1115" s="0" t="s">
        <v>690</v>
      </c>
      <c r="E1115" s="0" t="s">
        <v>3212</v>
      </c>
      <c r="F1115" s="0" t="str">
        <f aca="false">CONCATENATE(D1115," ",LEFT(H1115,4),"T=",AU1115,"D=",AV1115,"R=",AW1115,"M=",AX1115,"L=",AY1115,"B=",AZ1115)</f>
        <v>SMITH T=1D=0R=0M=2L=4B=0</v>
      </c>
      <c r="G1115" s="0" t="s">
        <v>195</v>
      </c>
      <c r="I1115" s="0" t="s">
        <v>5326</v>
      </c>
      <c r="J1115" s="0" t="s">
        <v>5327</v>
      </c>
      <c r="K1115" s="0" t="s">
        <v>160</v>
      </c>
      <c r="L1115" s="0" t="s">
        <v>175</v>
      </c>
      <c r="M1115" s="0" t="s">
        <v>5324</v>
      </c>
      <c r="N1115" s="0" t="str">
        <f aca="false">RIGHT(M1115,LEN(M1115)-FIND(" ",M1115))</f>
        <v>KENILWORTH AVE SE</v>
      </c>
      <c r="P1115" s="0" t="s">
        <v>145</v>
      </c>
      <c r="Q1115" s="0" t="s">
        <v>146</v>
      </c>
      <c r="R1115" s="0" t="n">
        <v>44483</v>
      </c>
      <c r="AD1115" s="0" t="s">
        <v>147</v>
      </c>
      <c r="AE1115" s="0" t="s">
        <v>148</v>
      </c>
      <c r="AF1115" s="0" t="s">
        <v>149</v>
      </c>
      <c r="AH1115" s="0" t="n">
        <v>14</v>
      </c>
      <c r="AI1115" s="0" t="n">
        <v>11</v>
      </c>
      <c r="AN1115" s="0" t="s">
        <v>145</v>
      </c>
      <c r="AO1115" s="0" t="s">
        <v>150</v>
      </c>
      <c r="AP1115" s="0" t="s">
        <v>151</v>
      </c>
      <c r="AQ1115" s="0" t="n">
        <v>9</v>
      </c>
      <c r="AR1115" s="0" t="n">
        <v>64</v>
      </c>
      <c r="AS1115" s="0" t="n">
        <v>32</v>
      </c>
      <c r="AU1115" s="0" t="n">
        <f aca="false">COUNTA($BA$370:$EH$370)</f>
        <v>1</v>
      </c>
      <c r="AV1115" s="0" t="n">
        <f aca="false">COUNTIF($BA$370:$EH$370,"D")</f>
        <v>0</v>
      </c>
      <c r="AW1115" s="0" t="n">
        <f aca="false">COUNTIF($BA$370:$EH$370,"R")</f>
        <v>0</v>
      </c>
      <c r="AX1115" s="0" t="n">
        <f aca="false">IF(BN1115="D",1,0)+IF(BO1115="D",1,0)+IF(BT1115="D",1,0)+IF(BU1115="D",1,0)+IF(BW1115="D",1,0)+IF(CC1115="D",1,0)+IF(CD1115="D",1,0)+IF(CE1115="D",1,0)+IF(CF1115="D",1,0)+IF(CL1115="D",1,0)+IF(CM1115="D",1,0)+IF(CQ1115="D",1,0)+IF(CR1115="D",1,0)+IF(CS1115="D",1,0)+IF(CW1115="D",1,0)+IF(CX1115="D",1,0)+IF(DD1115="D",1,0)+IF(DE1115="D",1,0)+IF(DJ1115="D",1,0)+IF(DK1115="D",1,0)+IF(DO1115="D",1,0)+IF(DP1115="D",1,0)+IF(DQ1115="D",1,0)+IF(DW1115="D",1,0)+IF(DZ1115="D",1,0)+IF(EH1115="D",1,0)</f>
        <v>2</v>
      </c>
      <c r="AY1115" s="0" t="n">
        <f aca="false">COUNTIF(DU1115:EH1115, "&lt;&gt;")</f>
        <v>4</v>
      </c>
      <c r="AZ1115" s="0" t="n">
        <f aca="false">IF(EH1115&lt;&gt;"",1,0)</f>
        <v>0</v>
      </c>
      <c r="BB1115" s="0" t="s">
        <v>152</v>
      </c>
      <c r="BC1115" s="0" t="s">
        <v>153</v>
      </c>
      <c r="BD1115" s="0" t="s">
        <v>153</v>
      </c>
      <c r="BE1115" s="0" t="s">
        <v>153</v>
      </c>
      <c r="BF1115" s="0" t="s">
        <v>153</v>
      </c>
      <c r="BH1115" s="0" t="s">
        <v>153</v>
      </c>
      <c r="BI1115" s="0" t="s">
        <v>153</v>
      </c>
      <c r="BJ1115" s="0" t="s">
        <v>153</v>
      </c>
      <c r="BK1115" s="0" t="s">
        <v>153</v>
      </c>
      <c r="BL1115" s="0" t="s">
        <v>153</v>
      </c>
      <c r="BP1115" s="0" t="s">
        <v>153</v>
      </c>
      <c r="BR1115" s="0" t="s">
        <v>153</v>
      </c>
      <c r="BS1115" s="0" t="s">
        <v>153</v>
      </c>
      <c r="BV1115" s="0" t="s">
        <v>153</v>
      </c>
      <c r="BY1115" s="0" t="s">
        <v>175</v>
      </c>
      <c r="CA1115" s="0" t="s">
        <v>153</v>
      </c>
      <c r="CG1115" s="0" t="s">
        <v>153</v>
      </c>
      <c r="CH1115" s="0" t="s">
        <v>175</v>
      </c>
      <c r="CK1115" s="0" t="s">
        <v>153</v>
      </c>
      <c r="CL1115" s="0" t="s">
        <v>175</v>
      </c>
      <c r="CN1115" s="0" t="s">
        <v>153</v>
      </c>
      <c r="CO1115" s="0" t="s">
        <v>175</v>
      </c>
      <c r="CP1115" s="0" t="s">
        <v>153</v>
      </c>
      <c r="CT1115" s="0" t="s">
        <v>153</v>
      </c>
      <c r="CW1115" s="0" t="s">
        <v>175</v>
      </c>
      <c r="CY1115" s="0" t="s">
        <v>153</v>
      </c>
      <c r="CZ1115" s="0" t="s">
        <v>175</v>
      </c>
      <c r="DC1115" s="0" t="s">
        <v>153</v>
      </c>
      <c r="DF1115" s="0" t="s">
        <v>153</v>
      </c>
      <c r="DG1115" s="0" t="s">
        <v>175</v>
      </c>
      <c r="DI1115" s="0" t="s">
        <v>153</v>
      </c>
      <c r="DL1115" s="0" t="s">
        <v>153</v>
      </c>
      <c r="DM1115" s="0" t="s">
        <v>175</v>
      </c>
      <c r="DN1115" s="0" t="s">
        <v>153</v>
      </c>
      <c r="DS1115" s="0" t="s">
        <v>175</v>
      </c>
      <c r="DT1115" s="0" t="s">
        <v>175</v>
      </c>
      <c r="DU1115" s="0" t="s">
        <v>153</v>
      </c>
      <c r="DX1115" s="0" t="s">
        <v>153</v>
      </c>
      <c r="EA1115" s="0" t="s">
        <v>153</v>
      </c>
      <c r="EF1115" s="0" t="s">
        <v>153</v>
      </c>
    </row>
    <row r="1116" customFormat="false" ht="13.8" hidden="false" customHeight="false" outlineLevel="0" collapsed="false">
      <c r="A1116" s="0" t="s">
        <v>5328</v>
      </c>
      <c r="B1116" s="0" t="n">
        <v>78</v>
      </c>
      <c r="C1116" s="0" t="n">
        <v>291697</v>
      </c>
      <c r="D1116" s="0" t="s">
        <v>5329</v>
      </c>
      <c r="E1116" s="0" t="s">
        <v>3404</v>
      </c>
      <c r="F1116" s="0" t="str">
        <f aca="false">CONCATENATE(D1116," ",LEFT(H1116,4),"T=",AU1116,"D=",AV1116,"R=",AW1116,"M=",AX1116,"L=",AY1116,"B=",AZ1116)</f>
        <v>SMITH MCGILL T=3D=0R=0M=1L=2B=0</v>
      </c>
      <c r="G1116" s="0" t="s">
        <v>255</v>
      </c>
      <c r="I1116" s="0" t="s">
        <v>5330</v>
      </c>
      <c r="J1116" s="0" t="s">
        <v>5331</v>
      </c>
      <c r="K1116" s="0" t="s">
        <v>160</v>
      </c>
      <c r="M1116" s="0" t="s">
        <v>5324</v>
      </c>
      <c r="N1116" s="0" t="str">
        <f aca="false">RIGHT(M1116,LEN(M1116)-FIND(" ",M1116))</f>
        <v>KENILWORTH AVE SE</v>
      </c>
      <c r="P1116" s="0" t="s">
        <v>145</v>
      </c>
      <c r="Q1116" s="0" t="s">
        <v>146</v>
      </c>
      <c r="R1116" s="0" t="n">
        <v>44483</v>
      </c>
      <c r="AD1116" s="0" t="s">
        <v>147</v>
      </c>
      <c r="AE1116" s="0" t="s">
        <v>148</v>
      </c>
      <c r="AF1116" s="0" t="s">
        <v>149</v>
      </c>
      <c r="AH1116" s="0" t="n">
        <v>14</v>
      </c>
      <c r="AI1116" s="0" t="n">
        <v>11</v>
      </c>
      <c r="AN1116" s="0" t="s">
        <v>145</v>
      </c>
      <c r="AO1116" s="0" t="s">
        <v>150</v>
      </c>
      <c r="AP1116" s="0" t="s">
        <v>151</v>
      </c>
      <c r="AQ1116" s="0" t="n">
        <v>9</v>
      </c>
      <c r="AR1116" s="0" t="n">
        <v>64</v>
      </c>
      <c r="AS1116" s="0" t="n">
        <v>32</v>
      </c>
      <c r="AU1116" s="0" t="n">
        <f aca="false">COUNTA($BA$372:$EH$372)</f>
        <v>3</v>
      </c>
      <c r="AV1116" s="0" t="n">
        <f aca="false">COUNTIF($BA$372:$EH$372,"D")</f>
        <v>0</v>
      </c>
      <c r="AW1116" s="0" t="n">
        <f aca="false">COUNTIF($BA$372:$EH$372,"R")</f>
        <v>0</v>
      </c>
      <c r="AX1116" s="0" t="n">
        <f aca="false">IF(BN1116="D",1,0)+IF(BO1116="D",1,0)+IF(BT1116="D",1,0)+IF(BU1116="D",1,0)+IF(BW1116="D",1,0)+IF(CC1116="D",1,0)+IF(CD1116="D",1,0)+IF(CE1116="D",1,0)+IF(CF1116="D",1,0)+IF(CL1116="D",1,0)+IF(CM1116="D",1,0)+IF(CQ1116="D",1,0)+IF(CR1116="D",1,0)+IF(CS1116="D",1,0)+IF(CW1116="D",1,0)+IF(CX1116="D",1,0)+IF(DD1116="D",1,0)+IF(DE1116="D",1,0)+IF(DJ1116="D",1,0)+IF(DK1116="D",1,0)+IF(DO1116="D",1,0)+IF(DP1116="D",1,0)+IF(DQ1116="D",1,0)+IF(DW1116="D",1,0)+IF(DZ1116="D",1,0)+IF(EH1116="D",1,0)</f>
        <v>1</v>
      </c>
      <c r="AY1116" s="0" t="n">
        <f aca="false">COUNTIF(DU1116:EH1116, "&lt;&gt;")</f>
        <v>2</v>
      </c>
      <c r="AZ1116" s="0" t="n">
        <f aca="false">IF(EH1116&lt;&gt;"",1,0)</f>
        <v>0</v>
      </c>
      <c r="BB1116" s="0" t="s">
        <v>152</v>
      </c>
      <c r="BC1116" s="0" t="s">
        <v>153</v>
      </c>
      <c r="BD1116" s="0" t="s">
        <v>153</v>
      </c>
      <c r="BI1116" s="0" t="s">
        <v>153</v>
      </c>
      <c r="BL1116" s="0" t="s">
        <v>153</v>
      </c>
      <c r="BS1116" s="0" t="s">
        <v>153</v>
      </c>
      <c r="CA1116" s="0" t="s">
        <v>153</v>
      </c>
      <c r="CP1116" s="0" t="s">
        <v>153</v>
      </c>
      <c r="CU1116" s="0" t="s">
        <v>175</v>
      </c>
      <c r="DD1116" s="0" t="s">
        <v>175</v>
      </c>
      <c r="EA1116" s="0" t="s">
        <v>153</v>
      </c>
      <c r="EF1116" s="0" t="s">
        <v>153</v>
      </c>
    </row>
    <row r="1117" customFormat="false" ht="13.8" hidden="false" customHeight="false" outlineLevel="0" collapsed="false">
      <c r="A1117" s="0" t="s">
        <v>5332</v>
      </c>
      <c r="B1117" s="0" t="n">
        <v>78</v>
      </c>
      <c r="C1117" s="0" t="n">
        <v>333310</v>
      </c>
      <c r="D1117" s="0" t="s">
        <v>3909</v>
      </c>
      <c r="E1117" s="0" t="s">
        <v>2049</v>
      </c>
      <c r="F1117" s="0" t="str">
        <f aca="false">CONCATENATE(D1117," ",LEFT(H1117,4),"T=",AU1117,"D=",AV1117,"R=",AW1117,"M=",AX1117,"L=",AY1117,"B=",AZ1117)</f>
        <v>COLLINS T=5D=0R=0M=0L=4B=0</v>
      </c>
      <c r="G1117" s="0" t="s">
        <v>190</v>
      </c>
      <c r="I1117" s="0" t="s">
        <v>5333</v>
      </c>
      <c r="J1117" s="0" t="s">
        <v>5334</v>
      </c>
      <c r="K1117" s="0" t="s">
        <v>160</v>
      </c>
      <c r="M1117" s="0" t="s">
        <v>5335</v>
      </c>
      <c r="N1117" s="0" t="str">
        <f aca="false">RIGHT(M1117,LEN(M1117)-FIND(" ",M1117))</f>
        <v>KENILWORTH AVE SE</v>
      </c>
      <c r="P1117" s="0" t="s">
        <v>145</v>
      </c>
      <c r="Q1117" s="0" t="s">
        <v>146</v>
      </c>
      <c r="R1117" s="0" t="n">
        <v>44483</v>
      </c>
      <c r="AD1117" s="0" t="s">
        <v>147</v>
      </c>
      <c r="AE1117" s="0" t="s">
        <v>148</v>
      </c>
      <c r="AF1117" s="0" t="s">
        <v>149</v>
      </c>
      <c r="AH1117" s="0" t="n">
        <v>14</v>
      </c>
      <c r="AI1117" s="0" t="n">
        <v>11</v>
      </c>
      <c r="AN1117" s="0" t="s">
        <v>145</v>
      </c>
      <c r="AO1117" s="0" t="s">
        <v>150</v>
      </c>
      <c r="AP1117" s="0" t="s">
        <v>151</v>
      </c>
      <c r="AQ1117" s="0" t="n">
        <v>9</v>
      </c>
      <c r="AR1117" s="0" t="n">
        <v>64</v>
      </c>
      <c r="AS1117" s="0" t="n">
        <v>32</v>
      </c>
      <c r="AU1117" s="0" t="n">
        <f aca="false">COUNTA($BA$765:$EH$765)</f>
        <v>5</v>
      </c>
      <c r="AV1117" s="0" t="n">
        <f aca="false">COUNTIF($BA$765:$EH$765,"D")</f>
        <v>0</v>
      </c>
      <c r="AW1117" s="0" t="n">
        <f aca="false">COUNTIF($BA$765:$EH$765,"R")</f>
        <v>0</v>
      </c>
      <c r="AX1117" s="0" t="n">
        <f aca="false">IF(BN1117="D",1,0)+IF(BO1117="D",1,0)+IF(BT1117="D",1,0)+IF(BU1117="D",1,0)+IF(BW1117="D",1,0)+IF(CC1117="D",1,0)+IF(CD1117="D",1,0)+IF(CE1117="D",1,0)+IF(CF1117="D",1,0)+IF(CL1117="D",1,0)+IF(CM1117="D",1,0)+IF(CQ1117="D",1,0)+IF(CR1117="D",1,0)+IF(CS1117="D",1,0)+IF(CW1117="D",1,0)+IF(CX1117="D",1,0)+IF(DD1117="D",1,0)+IF(DE1117="D",1,0)+IF(DJ1117="D",1,0)+IF(DK1117="D",1,0)+IF(DO1117="D",1,0)+IF(DP1117="D",1,0)+IF(DQ1117="D",1,0)+IF(DW1117="D",1,0)+IF(DZ1117="D",1,0)+IF(EH1117="D",1,0)</f>
        <v>0</v>
      </c>
      <c r="AY1117" s="0" t="n">
        <f aca="false">COUNTIF(DU1117:EH1117, "&lt;&gt;")</f>
        <v>4</v>
      </c>
      <c r="AZ1117" s="0" t="n">
        <f aca="false">IF(EH1117&lt;&gt;"",1,0)</f>
        <v>0</v>
      </c>
      <c r="BB1117" s="0" t="s">
        <v>152</v>
      </c>
      <c r="BL1117" s="0" t="s">
        <v>153</v>
      </c>
      <c r="BS1117" s="0" t="s">
        <v>153</v>
      </c>
      <c r="BY1117" s="0" t="s">
        <v>175</v>
      </c>
      <c r="CA1117" s="0" t="s">
        <v>153</v>
      </c>
      <c r="CG1117" s="0" t="s">
        <v>153</v>
      </c>
      <c r="CN1117" s="0" t="s">
        <v>153</v>
      </c>
      <c r="CP1117" s="0" t="s">
        <v>153</v>
      </c>
      <c r="CY1117" s="0" t="s">
        <v>153</v>
      </c>
      <c r="CZ1117" s="0" t="s">
        <v>175</v>
      </c>
      <c r="DC1117" s="0" t="s">
        <v>153</v>
      </c>
      <c r="DI1117" s="0" t="s">
        <v>153</v>
      </c>
      <c r="DL1117" s="0" t="s">
        <v>153</v>
      </c>
      <c r="DM1117" s="0" t="s">
        <v>175</v>
      </c>
      <c r="DN1117" s="0" t="s">
        <v>153</v>
      </c>
      <c r="DR1117" s="0" t="s">
        <v>153</v>
      </c>
      <c r="DU1117" s="0" t="s">
        <v>153</v>
      </c>
      <c r="DX1117" s="0" t="s">
        <v>153</v>
      </c>
      <c r="EA1117" s="0" t="s">
        <v>153</v>
      </c>
      <c r="EF1117" s="0" t="s">
        <v>153</v>
      </c>
    </row>
    <row r="1118" customFormat="false" ht="13.8" hidden="false" customHeight="false" outlineLevel="0" collapsed="false">
      <c r="A1118" s="0" t="s">
        <v>5336</v>
      </c>
      <c r="B1118" s="0" t="n">
        <v>78</v>
      </c>
      <c r="C1118" s="0" t="n">
        <v>330695</v>
      </c>
      <c r="D1118" s="0" t="s">
        <v>2233</v>
      </c>
      <c r="E1118" s="0" t="s">
        <v>3511</v>
      </c>
      <c r="F1118" s="0" t="str">
        <f aca="false">CONCATENATE(D1118," ",LEFT(H1118,4),"T=",AU1118,"D=",AV1118,"R=",AW1118,"M=",AX1118,"L=",AY1118,"B=",AZ1118)</f>
        <v>WATSON T=50D=16R=0M=0L=5B=0</v>
      </c>
      <c r="G1118" s="0" t="s">
        <v>190</v>
      </c>
      <c r="I1118" s="0" t="s">
        <v>5337</v>
      </c>
      <c r="J1118" s="0" t="s">
        <v>5338</v>
      </c>
      <c r="K1118" s="0" t="s">
        <v>160</v>
      </c>
      <c r="L1118" s="0" t="s">
        <v>175</v>
      </c>
      <c r="M1118" s="0" t="s">
        <v>5335</v>
      </c>
      <c r="N1118" s="0" t="str">
        <f aca="false">RIGHT(M1118,LEN(M1118)-FIND(" ",M1118))</f>
        <v>KENILWORTH AVE SE</v>
      </c>
      <c r="P1118" s="0" t="s">
        <v>145</v>
      </c>
      <c r="Q1118" s="0" t="s">
        <v>146</v>
      </c>
      <c r="R1118" s="0" t="n">
        <v>44483</v>
      </c>
      <c r="AD1118" s="0" t="s">
        <v>147</v>
      </c>
      <c r="AE1118" s="0" t="s">
        <v>148</v>
      </c>
      <c r="AF1118" s="0" t="s">
        <v>149</v>
      </c>
      <c r="AH1118" s="0" t="n">
        <v>14</v>
      </c>
      <c r="AI1118" s="0" t="n">
        <v>11</v>
      </c>
      <c r="AN1118" s="0" t="s">
        <v>145</v>
      </c>
      <c r="AO1118" s="0" t="s">
        <v>150</v>
      </c>
      <c r="AP1118" s="0" t="s">
        <v>151</v>
      </c>
      <c r="AQ1118" s="0" t="n">
        <v>9</v>
      </c>
      <c r="AR1118" s="0" t="n">
        <v>64</v>
      </c>
      <c r="AS1118" s="0" t="n">
        <v>32</v>
      </c>
      <c r="AU1118" s="0" t="n">
        <f aca="false">COUNTA($BA$834:$EH$834)</f>
        <v>50</v>
      </c>
      <c r="AV1118" s="0" t="n">
        <f aca="false">COUNTIF($BA$834:$EH$834,"D")</f>
        <v>16</v>
      </c>
      <c r="AW1118" s="0" t="n">
        <f aca="false">COUNTIF($BA$834:$EH$834,"R")</f>
        <v>0</v>
      </c>
      <c r="AX1118" s="0" t="n">
        <f aca="false">IF(BN1118="D",1,0)+IF(BO1118="D",1,0)+IF(BT1118="D",1,0)+IF(BU1118="D",1,0)+IF(BW1118="D",1,0)+IF(CC1118="D",1,0)+IF(CD1118="D",1,0)+IF(CE1118="D",1,0)+IF(CF1118="D",1,0)+IF(CL1118="D",1,0)+IF(CM1118="D",1,0)+IF(CQ1118="D",1,0)+IF(CR1118="D",1,0)+IF(CS1118="D",1,0)+IF(CW1118="D",1,0)+IF(CX1118="D",1,0)+IF(DD1118="D",1,0)+IF(DE1118="D",1,0)+IF(DJ1118="D",1,0)+IF(DK1118="D",1,0)+IF(DO1118="D",1,0)+IF(DP1118="D",1,0)+IF(DQ1118="D",1,0)+IF(DW1118="D",1,0)+IF(DZ1118="D",1,0)+IF(EH1118="D",1,0)</f>
        <v>0</v>
      </c>
      <c r="AY1118" s="0" t="n">
        <f aca="false">COUNTIF(DU1118:EH1118, "&lt;&gt;")</f>
        <v>5</v>
      </c>
      <c r="AZ1118" s="0" t="n">
        <f aca="false">IF(EH1118&lt;&gt;"",1,0)</f>
        <v>0</v>
      </c>
      <c r="BB1118" s="0" t="s">
        <v>152</v>
      </c>
      <c r="BL1118" s="0" t="s">
        <v>153</v>
      </c>
      <c r="BS1118" s="0" t="s">
        <v>153</v>
      </c>
      <c r="BY1118" s="0" t="s">
        <v>175</v>
      </c>
      <c r="CA1118" s="0" t="s">
        <v>153</v>
      </c>
      <c r="CG1118" s="0" t="s">
        <v>153</v>
      </c>
      <c r="CN1118" s="0" t="s">
        <v>153</v>
      </c>
      <c r="CP1118" s="0" t="s">
        <v>153</v>
      </c>
      <c r="CY1118" s="0" t="s">
        <v>153</v>
      </c>
      <c r="CZ1118" s="0" t="s">
        <v>175</v>
      </c>
      <c r="DC1118" s="0" t="s">
        <v>153</v>
      </c>
      <c r="DF1118" s="0" t="s">
        <v>153</v>
      </c>
      <c r="DI1118" s="0" t="s">
        <v>153</v>
      </c>
      <c r="DL1118" s="0" t="s">
        <v>153</v>
      </c>
      <c r="DM1118" s="0" t="s">
        <v>175</v>
      </c>
      <c r="DN1118" s="0" t="s">
        <v>153</v>
      </c>
      <c r="DR1118" s="0" t="s">
        <v>153</v>
      </c>
      <c r="DU1118" s="0" t="s">
        <v>153</v>
      </c>
      <c r="DX1118" s="0" t="s">
        <v>153</v>
      </c>
      <c r="EA1118" s="0" t="s">
        <v>153</v>
      </c>
      <c r="ED1118" s="0" t="s">
        <v>175</v>
      </c>
      <c r="EF1118" s="0" t="s">
        <v>153</v>
      </c>
    </row>
    <row r="1119" customFormat="false" ht="13.8" hidden="true" customHeight="false" outlineLevel="0" collapsed="false">
      <c r="A1119" s="0" t="s">
        <v>5339</v>
      </c>
      <c r="B1119" s="0" t="n">
        <v>78</v>
      </c>
      <c r="C1119" s="0" t="n">
        <v>449151</v>
      </c>
      <c r="D1119" s="0" t="s">
        <v>5340</v>
      </c>
      <c r="E1119" s="0" t="s">
        <v>2957</v>
      </c>
      <c r="F1119" s="0" t="str">
        <f aca="false">CONCATENATE(D1119," ",LEFT(H1119,4),"T=",AU1119,"D=",AV1119,"R=",AW1119,"M=",AX1119,"L=",AY1119,"B=",AZ1119)</f>
        <v>SANLO JRT=1D=0R=0M=0L=0B=0</v>
      </c>
      <c r="G1119" s="0" t="s">
        <v>215</v>
      </c>
      <c r="H1119" s="0" t="s">
        <v>314</v>
      </c>
      <c r="I1119" s="0" t="s">
        <v>5341</v>
      </c>
      <c r="J1119" s="0" t="s">
        <v>404</v>
      </c>
      <c r="K1119" s="0" t="s">
        <v>160</v>
      </c>
      <c r="M1119" s="0" t="s">
        <v>5342</v>
      </c>
      <c r="N1119" s="0" t="str">
        <f aca="false">RIGHT(M1119,LEN(M1119)-FIND(" ",M1119))</f>
        <v>KENILWORTH AVE SE</v>
      </c>
      <c r="P1119" s="0" t="s">
        <v>145</v>
      </c>
      <c r="Q1119" s="0" t="s">
        <v>146</v>
      </c>
      <c r="R1119" s="0" t="n">
        <v>44483</v>
      </c>
      <c r="AD1119" s="0" t="s">
        <v>147</v>
      </c>
      <c r="AE1119" s="0" t="s">
        <v>148</v>
      </c>
      <c r="AF1119" s="0" t="s">
        <v>149</v>
      </c>
      <c r="AH1119" s="0" t="n">
        <v>14</v>
      </c>
      <c r="AI1119" s="0" t="n">
        <v>11</v>
      </c>
      <c r="AN1119" s="0" t="s">
        <v>145</v>
      </c>
      <c r="AO1119" s="0" t="s">
        <v>150</v>
      </c>
      <c r="AP1119" s="0" t="s">
        <v>151</v>
      </c>
      <c r="AQ1119" s="0" t="n">
        <v>9</v>
      </c>
      <c r="AR1119" s="0" t="n">
        <v>64</v>
      </c>
      <c r="AS1119" s="0" t="n">
        <v>32</v>
      </c>
      <c r="AU1119" s="0" t="n">
        <f aca="false">COUNTA($BA$396:$EH$396)</f>
        <v>1</v>
      </c>
      <c r="AV1119" s="0" t="n">
        <f aca="false">COUNTIF($BA$396:$EH$396,"D")</f>
        <v>0</v>
      </c>
      <c r="AW1119" s="0" t="n">
        <f aca="false">COUNTIF($BA$396:$EH$396,"R")</f>
        <v>0</v>
      </c>
      <c r="AX1119" s="0" t="n">
        <f aca="false">IF(BN1119="D",1,0)+IF(BO1119="D",1,0)+IF(BT1119="D",1,0)+IF(BU1119="D",1,0)+IF(BW1119="D",1,0)+IF(CC1119="D",1,0)+IF(CD1119="D",1,0)+IF(CE1119="D",1,0)+IF(CF1119="D",1,0)+IF(CL1119="D",1,0)+IF(CM1119="D",1,0)+IF(CQ1119="D",1,0)+IF(CR1119="D",1,0)+IF(CS1119="D",1,0)+IF(CW1119="D",1,0)+IF(CX1119="D",1,0)+IF(DD1119="D",1,0)+IF(DE1119="D",1,0)+IF(DJ1119="D",1,0)+IF(DK1119="D",1,0)+IF(DO1119="D",1,0)+IF(DP1119="D",1,0)+IF(DQ1119="D",1,0)+IF(DW1119="D",1,0)+IF(DZ1119="D",1,0)+IF(EH1119="D",1,0)</f>
        <v>0</v>
      </c>
      <c r="AY1119" s="0" t="n">
        <f aca="false">COUNTIF(DU1119:EH1119, "&lt;&gt;")</f>
        <v>0</v>
      </c>
      <c r="AZ1119" s="0" t="n">
        <f aca="false">IF(EH1119&lt;&gt;"",1,0)</f>
        <v>0</v>
      </c>
      <c r="BB1119" s="0" t="s">
        <v>152</v>
      </c>
    </row>
    <row r="1120" customFormat="false" ht="13.8" hidden="true" customHeight="false" outlineLevel="0" collapsed="false">
      <c r="A1120" s="0" t="s">
        <v>5343</v>
      </c>
      <c r="B1120" s="0" t="n">
        <v>78</v>
      </c>
      <c r="C1120" s="0" t="n">
        <v>410745</v>
      </c>
      <c r="D1120" s="0" t="s">
        <v>5344</v>
      </c>
      <c r="E1120" s="0" t="s">
        <v>379</v>
      </c>
      <c r="F1120" s="0" t="str">
        <f aca="false">CONCATENATE(D1120," ",LEFT(H1120,4),"T=",AU1120,"D=",AV1120,"R=",AW1120,"M=",AX1120,"L=",AY1120,"B=",AZ1120)</f>
        <v>MURPHY T=2D=0R=0M=0L=1B=0</v>
      </c>
      <c r="G1120" s="0" t="s">
        <v>621</v>
      </c>
      <c r="I1120" s="0" t="s">
        <v>5345</v>
      </c>
      <c r="J1120" s="0" t="s">
        <v>2720</v>
      </c>
      <c r="K1120" s="0" t="s">
        <v>160</v>
      </c>
      <c r="M1120" s="0" t="s">
        <v>5346</v>
      </c>
      <c r="N1120" s="0" t="str">
        <f aca="false">RIGHT(M1120,LEN(M1120)-FIND(" ",M1120))</f>
        <v>KENILWORTH AVE SE</v>
      </c>
      <c r="P1120" s="0" t="s">
        <v>145</v>
      </c>
      <c r="Q1120" s="0" t="s">
        <v>146</v>
      </c>
      <c r="R1120" s="0" t="n">
        <v>44483</v>
      </c>
      <c r="AD1120" s="0" t="s">
        <v>147</v>
      </c>
      <c r="AE1120" s="0" t="s">
        <v>148</v>
      </c>
      <c r="AF1120" s="0" t="s">
        <v>149</v>
      </c>
      <c r="AH1120" s="0" t="n">
        <v>14</v>
      </c>
      <c r="AI1120" s="0" t="n">
        <v>11</v>
      </c>
      <c r="AN1120" s="0" t="s">
        <v>145</v>
      </c>
      <c r="AO1120" s="0" t="s">
        <v>150</v>
      </c>
      <c r="AP1120" s="0" t="s">
        <v>151</v>
      </c>
      <c r="AQ1120" s="0" t="n">
        <v>9</v>
      </c>
      <c r="AR1120" s="0" t="n">
        <v>64</v>
      </c>
      <c r="AS1120" s="0" t="n">
        <v>32</v>
      </c>
      <c r="AU1120" s="0" t="n">
        <f aca="false">COUNTA($BA$784:$EH$784)</f>
        <v>2</v>
      </c>
      <c r="AV1120" s="0" t="n">
        <f aca="false">COUNTIF($BA$784:$EH$784,"D")</f>
        <v>0</v>
      </c>
      <c r="AW1120" s="0" t="n">
        <f aca="false">COUNTIF($BA$784:$EH$784,"R")</f>
        <v>0</v>
      </c>
      <c r="AX1120" s="0" t="n">
        <f aca="false">IF(BN1120="D",1,0)+IF(BO1120="D",1,0)+IF(BT1120="D",1,0)+IF(BU1120="D",1,0)+IF(BW1120="D",1,0)+IF(CC1120="D",1,0)+IF(CD1120="D",1,0)+IF(CE1120="D",1,0)+IF(CF1120="D",1,0)+IF(CL1120="D",1,0)+IF(CM1120="D",1,0)+IF(CQ1120="D",1,0)+IF(CR1120="D",1,0)+IF(CS1120="D",1,0)+IF(CW1120="D",1,0)+IF(CX1120="D",1,0)+IF(DD1120="D",1,0)+IF(DE1120="D",1,0)+IF(DJ1120="D",1,0)+IF(DK1120="D",1,0)+IF(DO1120="D",1,0)+IF(DP1120="D",1,0)+IF(DQ1120="D",1,0)+IF(DW1120="D",1,0)+IF(DZ1120="D",1,0)+IF(EH1120="D",1,0)</f>
        <v>0</v>
      </c>
      <c r="AY1120" s="0" t="n">
        <f aca="false">COUNTIF(DU1120:EH1120, "&lt;&gt;")</f>
        <v>1</v>
      </c>
      <c r="AZ1120" s="0" t="n">
        <f aca="false">IF(EH1120&lt;&gt;"",1,0)</f>
        <v>0</v>
      </c>
      <c r="BB1120" s="0" t="s">
        <v>152</v>
      </c>
      <c r="BD1120" s="0" t="s">
        <v>153</v>
      </c>
      <c r="BL1120" s="0" t="s">
        <v>153</v>
      </c>
      <c r="BY1120" s="0" t="s">
        <v>175</v>
      </c>
      <c r="CA1120" s="0" t="s">
        <v>153</v>
      </c>
      <c r="CP1120" s="0" t="s">
        <v>153</v>
      </c>
      <c r="DC1120" s="0" t="s">
        <v>153</v>
      </c>
      <c r="DN1120" s="0" t="s">
        <v>153</v>
      </c>
      <c r="EF1120" s="0" t="s">
        <v>153</v>
      </c>
    </row>
    <row r="1121" customFormat="false" ht="13.8" hidden="true" customHeight="false" outlineLevel="0" collapsed="false">
      <c r="A1121" s="0" t="s">
        <v>5347</v>
      </c>
      <c r="B1121" s="0" t="n">
        <v>78</v>
      </c>
      <c r="C1121" s="0" t="n">
        <v>441571</v>
      </c>
      <c r="D1121" s="0" t="s">
        <v>2406</v>
      </c>
      <c r="E1121" s="0" t="s">
        <v>5348</v>
      </c>
      <c r="F1121" s="0" t="str">
        <f aca="false">CONCATENATE(D1121," ",LEFT(H1121,4),"T=",AU1121,"D=",AV1121,"R=",AW1121,"M=",AX1121,"L=",AY1121,"B=",AZ1121)</f>
        <v>WALTERS T=10D=2R=0M=0L=1B=0</v>
      </c>
      <c r="G1121" s="0" t="s">
        <v>274</v>
      </c>
      <c r="I1121" s="0" t="s">
        <v>5349</v>
      </c>
      <c r="J1121" s="0" t="s">
        <v>5350</v>
      </c>
      <c r="K1121" s="0" t="s">
        <v>160</v>
      </c>
      <c r="M1121" s="0" t="s">
        <v>5346</v>
      </c>
      <c r="N1121" s="0" t="str">
        <f aca="false">RIGHT(M1121,LEN(M1121)-FIND(" ",M1121))</f>
        <v>KENILWORTH AVE SE</v>
      </c>
      <c r="P1121" s="0" t="s">
        <v>145</v>
      </c>
      <c r="Q1121" s="0" t="s">
        <v>146</v>
      </c>
      <c r="R1121" s="0" t="n">
        <v>44483</v>
      </c>
      <c r="AD1121" s="0" t="s">
        <v>147</v>
      </c>
      <c r="AE1121" s="0" t="s">
        <v>148</v>
      </c>
      <c r="AF1121" s="0" t="s">
        <v>149</v>
      </c>
      <c r="AH1121" s="0" t="n">
        <v>14</v>
      </c>
      <c r="AI1121" s="0" t="n">
        <v>11</v>
      </c>
      <c r="AN1121" s="0" t="s">
        <v>145</v>
      </c>
      <c r="AO1121" s="0" t="s">
        <v>150</v>
      </c>
      <c r="AP1121" s="0" t="s">
        <v>151</v>
      </c>
      <c r="AQ1121" s="0" t="n">
        <v>9</v>
      </c>
      <c r="AR1121" s="0" t="n">
        <v>64</v>
      </c>
      <c r="AS1121" s="0" t="n">
        <v>32</v>
      </c>
      <c r="AU1121" s="0" t="n">
        <f aca="false">COUNTA($BA$865:$EH$865)</f>
        <v>10</v>
      </c>
      <c r="AV1121" s="0" t="n">
        <f aca="false">COUNTIF($BA$865:$EH$865,"D")</f>
        <v>2</v>
      </c>
      <c r="AW1121" s="0" t="n">
        <f aca="false">COUNTIF($BA$865:$EH$865,"R")</f>
        <v>0</v>
      </c>
      <c r="AX1121" s="0" t="n">
        <f aca="false">IF(BN1121="D",1,0)+IF(BO1121="D",1,0)+IF(BT1121="D",1,0)+IF(BU1121="D",1,0)+IF(BW1121="D",1,0)+IF(CC1121="D",1,0)+IF(CD1121="D",1,0)+IF(CE1121="D",1,0)+IF(CF1121="D",1,0)+IF(CL1121="D",1,0)+IF(CM1121="D",1,0)+IF(CQ1121="D",1,0)+IF(CR1121="D",1,0)+IF(CS1121="D",1,0)+IF(CW1121="D",1,0)+IF(CX1121="D",1,0)+IF(DD1121="D",1,0)+IF(DE1121="D",1,0)+IF(DJ1121="D",1,0)+IF(DK1121="D",1,0)+IF(DO1121="D",1,0)+IF(DP1121="D",1,0)+IF(DQ1121="D",1,0)+IF(DW1121="D",1,0)+IF(DZ1121="D",1,0)+IF(EH1121="D",1,0)</f>
        <v>0</v>
      </c>
      <c r="AY1121" s="0" t="n">
        <f aca="false">COUNTIF(DU1121:EH1121, "&lt;&gt;")</f>
        <v>1</v>
      </c>
      <c r="AZ1121" s="0" t="n">
        <f aca="false">IF(EH1121&lt;&gt;"",1,0)</f>
        <v>0</v>
      </c>
      <c r="BB1121" s="0" t="s">
        <v>152</v>
      </c>
      <c r="DN1121" s="0" t="s">
        <v>153</v>
      </c>
      <c r="EF1121" s="0" t="s">
        <v>153</v>
      </c>
    </row>
    <row r="1122" customFormat="false" ht="13.8" hidden="true" customHeight="false" outlineLevel="0" collapsed="false">
      <c r="A1122" s="0" t="s">
        <v>5351</v>
      </c>
      <c r="B1122" s="0" t="n">
        <v>78</v>
      </c>
      <c r="C1122" s="0" t="n">
        <v>396797</v>
      </c>
      <c r="D1122" s="0" t="s">
        <v>5352</v>
      </c>
      <c r="E1122" s="0" t="s">
        <v>1322</v>
      </c>
      <c r="F1122" s="0" t="str">
        <f aca="false">CONCATENATE(D1122," ",LEFT(H1122,4),"T=",AU1122,"D=",AV1122,"R=",AW1122,"M=",AX1122,"L=",AY1122,"B=",AZ1122)</f>
        <v>MATHESON T=1D=0R=0M=0L=0B=0</v>
      </c>
      <c r="G1122" s="0" t="s">
        <v>190</v>
      </c>
      <c r="I1122" s="0" t="s">
        <v>5353</v>
      </c>
      <c r="J1122" s="0" t="s">
        <v>5354</v>
      </c>
      <c r="K1122" s="0" t="s">
        <v>143</v>
      </c>
      <c r="M1122" s="0" t="s">
        <v>5355</v>
      </c>
      <c r="N1122" s="0" t="str">
        <f aca="false">RIGHT(M1122,LEN(M1122)-FIND(" ",M1122))</f>
        <v>KENILWORTH AVE SE</v>
      </c>
      <c r="P1122" s="0" t="s">
        <v>145</v>
      </c>
      <c r="Q1122" s="0" t="s">
        <v>146</v>
      </c>
      <c r="R1122" s="0" t="n">
        <v>44483</v>
      </c>
      <c r="AD1122" s="0" t="s">
        <v>147</v>
      </c>
      <c r="AE1122" s="0" t="s">
        <v>148</v>
      </c>
      <c r="AF1122" s="0" t="s">
        <v>149</v>
      </c>
      <c r="AH1122" s="0" t="n">
        <v>14</v>
      </c>
      <c r="AI1122" s="0" t="n">
        <v>11</v>
      </c>
      <c r="AN1122" s="0" t="s">
        <v>145</v>
      </c>
      <c r="AO1122" s="0" t="s">
        <v>150</v>
      </c>
      <c r="AP1122" s="0" t="s">
        <v>151</v>
      </c>
      <c r="AQ1122" s="0" t="n">
        <v>9</v>
      </c>
      <c r="AR1122" s="0" t="n">
        <v>64</v>
      </c>
      <c r="AS1122" s="0" t="n">
        <v>32</v>
      </c>
      <c r="AU1122" s="0" t="n">
        <f aca="false">COUNTA($BA$799:$EH$799)</f>
        <v>1</v>
      </c>
      <c r="AV1122" s="0" t="n">
        <f aca="false">COUNTIF($BA$799:$EH$799,"D")</f>
        <v>0</v>
      </c>
      <c r="AW1122" s="0" t="n">
        <f aca="false">COUNTIF($BA$799:$EH$799,"R")</f>
        <v>0</v>
      </c>
      <c r="AX1122" s="0" t="n">
        <f aca="false">IF(BN1122="D",1,0)+IF(BO1122="D",1,0)+IF(BT1122="D",1,0)+IF(BU1122="D",1,0)+IF(BW1122="D",1,0)+IF(CC1122="D",1,0)+IF(CD1122="D",1,0)+IF(CE1122="D",1,0)+IF(CF1122="D",1,0)+IF(CL1122="D",1,0)+IF(CM1122="D",1,0)+IF(CQ1122="D",1,0)+IF(CR1122="D",1,0)+IF(CS1122="D",1,0)+IF(CW1122="D",1,0)+IF(CX1122="D",1,0)+IF(DD1122="D",1,0)+IF(DE1122="D",1,0)+IF(DJ1122="D",1,0)+IF(DK1122="D",1,0)+IF(DO1122="D",1,0)+IF(DP1122="D",1,0)+IF(DQ1122="D",1,0)+IF(DW1122="D",1,0)+IF(DZ1122="D",1,0)+IF(EH1122="D",1,0)</f>
        <v>0</v>
      </c>
      <c r="AY1122" s="0" t="n">
        <f aca="false">COUNTIF(DU1122:EH1122, "&lt;&gt;")</f>
        <v>0</v>
      </c>
      <c r="AZ1122" s="0" t="n">
        <f aca="false">IF(EH1122&lt;&gt;"",1,0)</f>
        <v>0</v>
      </c>
      <c r="BB1122" s="0" t="s">
        <v>152</v>
      </c>
      <c r="CZ1122" s="0" t="s">
        <v>209</v>
      </c>
      <c r="DI1122" s="0" t="s">
        <v>153</v>
      </c>
      <c r="DL1122" s="0" t="s">
        <v>153</v>
      </c>
      <c r="DM1122" s="0" t="s">
        <v>175</v>
      </c>
      <c r="DN1122" s="0" t="s">
        <v>153</v>
      </c>
    </row>
    <row r="1123" customFormat="false" ht="13.8" hidden="false" customHeight="false" outlineLevel="0" collapsed="false">
      <c r="A1123" s="0" t="s">
        <v>5356</v>
      </c>
      <c r="B1123" s="0" t="n">
        <v>78</v>
      </c>
      <c r="C1123" s="0" t="n">
        <v>207872</v>
      </c>
      <c r="D1123" s="0" t="s">
        <v>5357</v>
      </c>
      <c r="E1123" s="0" t="s">
        <v>274</v>
      </c>
      <c r="F1123" s="0" t="str">
        <f aca="false">CONCATENATE(D1123," ",LEFT(H1123,4),"T=",AU1123,"D=",AV1123,"R=",AW1123,"M=",AX1123,"L=",AY1123,"B=",AZ1123)</f>
        <v>KELLAR T=10D=0R=0M=0L=4B=0</v>
      </c>
      <c r="G1123" s="0" t="s">
        <v>307</v>
      </c>
      <c r="I1123" s="0" t="s">
        <v>5358</v>
      </c>
      <c r="J1123" s="0" t="s">
        <v>507</v>
      </c>
      <c r="K1123" s="0" t="s">
        <v>160</v>
      </c>
      <c r="L1123" s="0" t="s">
        <v>209</v>
      </c>
      <c r="M1123" s="0" t="s">
        <v>5359</v>
      </c>
      <c r="N1123" s="0" t="str">
        <f aca="false">RIGHT(M1123,LEN(M1123)-FIND(" ",M1123))</f>
        <v>KENILWORTH AVE SE</v>
      </c>
      <c r="P1123" s="0" t="s">
        <v>145</v>
      </c>
      <c r="Q1123" s="0" t="s">
        <v>146</v>
      </c>
      <c r="R1123" s="0" t="n">
        <v>44483</v>
      </c>
      <c r="AD1123" s="0" t="s">
        <v>147</v>
      </c>
      <c r="AE1123" s="0" t="s">
        <v>148</v>
      </c>
      <c r="AF1123" s="0" t="s">
        <v>149</v>
      </c>
      <c r="AH1123" s="0" t="n">
        <v>14</v>
      </c>
      <c r="AI1123" s="0" t="n">
        <v>11</v>
      </c>
      <c r="AN1123" s="0" t="s">
        <v>145</v>
      </c>
      <c r="AO1123" s="0" t="s">
        <v>150</v>
      </c>
      <c r="AP1123" s="0" t="s">
        <v>151</v>
      </c>
      <c r="AQ1123" s="0" t="n">
        <v>9</v>
      </c>
      <c r="AR1123" s="0" t="n">
        <v>64</v>
      </c>
      <c r="AS1123" s="0" t="n">
        <v>32</v>
      </c>
      <c r="AU1123" s="0" t="n">
        <f aca="false">COUNTA($BA$265:$EH$265)</f>
        <v>10</v>
      </c>
      <c r="AV1123" s="0" t="n">
        <f aca="false">COUNTIF($BA$265:$EH$265,"D")</f>
        <v>0</v>
      </c>
      <c r="AW1123" s="0" t="n">
        <f aca="false">COUNTIF($BA$265:$EH$265,"R")</f>
        <v>0</v>
      </c>
      <c r="AX1123" s="0" t="n">
        <f aca="false">IF(BN1123="D",1,0)+IF(BO1123="D",1,0)+IF(BT1123="D",1,0)+IF(BU1123="D",1,0)+IF(BW1123="D",1,0)+IF(CC1123="D",1,0)+IF(CD1123="D",1,0)+IF(CE1123="D",1,0)+IF(CF1123="D",1,0)+IF(CL1123="D",1,0)+IF(CM1123="D",1,0)+IF(CQ1123="D",1,0)+IF(CR1123="D",1,0)+IF(CS1123="D",1,0)+IF(CW1123="D",1,0)+IF(CX1123="D",1,0)+IF(DD1123="D",1,0)+IF(DE1123="D",1,0)+IF(DJ1123="D",1,0)+IF(DK1123="D",1,0)+IF(DO1123="D",1,0)+IF(DP1123="D",1,0)+IF(DQ1123="D",1,0)+IF(DW1123="D",1,0)+IF(DZ1123="D",1,0)+IF(EH1123="D",1,0)</f>
        <v>0</v>
      </c>
      <c r="AY1123" s="0" t="n">
        <f aca="false">COUNTIF(DU1123:EH1123, "&lt;&gt;")</f>
        <v>4</v>
      </c>
      <c r="AZ1123" s="0" t="n">
        <f aca="false">IF(EH1123&lt;&gt;"",1,0)</f>
        <v>0</v>
      </c>
      <c r="BB1123" s="0" t="s">
        <v>152</v>
      </c>
      <c r="BC1123" s="0" t="s">
        <v>153</v>
      </c>
      <c r="BD1123" s="0" t="s">
        <v>153</v>
      </c>
      <c r="BF1123" s="0" t="s">
        <v>153</v>
      </c>
      <c r="BJ1123" s="0" t="s">
        <v>153</v>
      </c>
      <c r="BL1123" s="0" t="s">
        <v>153</v>
      </c>
      <c r="BR1123" s="0" t="s">
        <v>153</v>
      </c>
      <c r="BS1123" s="0" t="s">
        <v>153</v>
      </c>
      <c r="CA1123" s="0" t="s">
        <v>153</v>
      </c>
      <c r="CK1123" s="0" t="s">
        <v>153</v>
      </c>
      <c r="CP1123" s="0" t="s">
        <v>153</v>
      </c>
      <c r="DC1123" s="0" t="s">
        <v>153</v>
      </c>
      <c r="DI1123" s="0" t="s">
        <v>153</v>
      </c>
      <c r="DN1123" s="0" t="s">
        <v>153</v>
      </c>
      <c r="DU1123" s="0" t="s">
        <v>153</v>
      </c>
      <c r="DX1123" s="0" t="s">
        <v>153</v>
      </c>
      <c r="ED1123" s="0" t="s">
        <v>209</v>
      </c>
      <c r="EF1123" s="0" t="s">
        <v>153</v>
      </c>
    </row>
    <row r="1124" customFormat="false" ht="13.8" hidden="false" customHeight="false" outlineLevel="0" collapsed="false">
      <c r="A1124" s="0" t="s">
        <v>5360</v>
      </c>
      <c r="B1124" s="0" t="n">
        <v>78</v>
      </c>
      <c r="C1124" s="0" t="n">
        <v>203591</v>
      </c>
      <c r="D1124" s="0" t="s">
        <v>5357</v>
      </c>
      <c r="E1124" s="0" t="s">
        <v>1457</v>
      </c>
      <c r="F1124" s="0" t="str">
        <f aca="false">CONCATENATE(D1124," ",LEFT(H1124,4),"T=",AU1124,"D=",AV1124,"R=",AW1124,"M=",AX1124,"L=",AY1124,"B=",AZ1124)</f>
        <v>KELLAR T=30D=6R=0M=1L=5B=0</v>
      </c>
      <c r="G1124" s="0" t="s">
        <v>171</v>
      </c>
      <c r="I1124" s="0" t="s">
        <v>5361</v>
      </c>
      <c r="J1124" s="0" t="s">
        <v>727</v>
      </c>
      <c r="K1124" s="0" t="s">
        <v>160</v>
      </c>
      <c r="L1124" s="0" t="s">
        <v>175</v>
      </c>
      <c r="M1124" s="0" t="s">
        <v>5359</v>
      </c>
      <c r="N1124" s="0" t="str">
        <f aca="false">RIGHT(M1124,LEN(M1124)-FIND(" ",M1124))</f>
        <v>KENILWORTH AVE SE</v>
      </c>
      <c r="P1124" s="0" t="s">
        <v>145</v>
      </c>
      <c r="Q1124" s="0" t="s">
        <v>146</v>
      </c>
      <c r="R1124" s="0" t="n">
        <v>44483</v>
      </c>
      <c r="AD1124" s="0" t="s">
        <v>147</v>
      </c>
      <c r="AE1124" s="0" t="s">
        <v>148</v>
      </c>
      <c r="AF1124" s="0" t="s">
        <v>149</v>
      </c>
      <c r="AH1124" s="0" t="n">
        <v>14</v>
      </c>
      <c r="AI1124" s="0" t="n">
        <v>11</v>
      </c>
      <c r="AN1124" s="0" t="s">
        <v>145</v>
      </c>
      <c r="AO1124" s="0" t="s">
        <v>150</v>
      </c>
      <c r="AP1124" s="0" t="s">
        <v>151</v>
      </c>
      <c r="AQ1124" s="0" t="n">
        <v>9</v>
      </c>
      <c r="AR1124" s="0" t="n">
        <v>64</v>
      </c>
      <c r="AS1124" s="0" t="n">
        <v>32</v>
      </c>
      <c r="AU1124" s="0" t="n">
        <f aca="false">COUNTA($BA$363:$EH$363)</f>
        <v>30</v>
      </c>
      <c r="AV1124" s="0" t="n">
        <f aca="false">COUNTIF($BA$363:$EH$363,"D")</f>
        <v>6</v>
      </c>
      <c r="AW1124" s="0" t="n">
        <f aca="false">COUNTIF($BA$363:$EH$363,"R")</f>
        <v>0</v>
      </c>
      <c r="AX1124" s="0" t="n">
        <f aca="false">IF(BN1124="D",1,0)+IF(BO1124="D",1,0)+IF(BT1124="D",1,0)+IF(BU1124="D",1,0)+IF(BW1124="D",1,0)+IF(CC1124="D",1,0)+IF(CD1124="D",1,0)+IF(CE1124="D",1,0)+IF(CF1124="D",1,0)+IF(CL1124="D",1,0)+IF(CM1124="D",1,0)+IF(CQ1124="D",1,0)+IF(CR1124="D",1,0)+IF(CS1124="D",1,0)+IF(CW1124="D",1,0)+IF(CX1124="D",1,0)+IF(DD1124="D",1,0)+IF(DE1124="D",1,0)+IF(DJ1124="D",1,0)+IF(DK1124="D",1,0)+IF(DO1124="D",1,0)+IF(DP1124="D",1,0)+IF(DQ1124="D",1,0)+IF(DW1124="D",1,0)+IF(DZ1124="D",1,0)+IF(EH1124="D",1,0)</f>
        <v>1</v>
      </c>
      <c r="AY1124" s="0" t="n">
        <f aca="false">COUNTIF(DU1124:EH1124, "&lt;&gt;")</f>
        <v>5</v>
      </c>
      <c r="AZ1124" s="0" t="n">
        <f aca="false">IF(EH1124&lt;&gt;"",1,0)</f>
        <v>0</v>
      </c>
      <c r="BB1124" s="0" t="s">
        <v>152</v>
      </c>
      <c r="BC1124" s="0" t="s">
        <v>153</v>
      </c>
      <c r="BD1124" s="0" t="s">
        <v>153</v>
      </c>
      <c r="BF1124" s="0" t="s">
        <v>153</v>
      </c>
      <c r="BH1124" s="0" t="s">
        <v>153</v>
      </c>
      <c r="BJ1124" s="0" t="s">
        <v>153</v>
      </c>
      <c r="BL1124" s="0" t="s">
        <v>153</v>
      </c>
      <c r="BR1124" s="0" t="s">
        <v>153</v>
      </c>
      <c r="BS1124" s="0" t="s">
        <v>153</v>
      </c>
      <c r="CA1124" s="0" t="s">
        <v>153</v>
      </c>
      <c r="CG1124" s="0" t="s">
        <v>153</v>
      </c>
      <c r="CK1124" s="0" t="s">
        <v>153</v>
      </c>
      <c r="CP1124" s="0" t="s">
        <v>153</v>
      </c>
      <c r="CU1124" s="0" t="s">
        <v>209</v>
      </c>
      <c r="CY1124" s="0" t="s">
        <v>153</v>
      </c>
      <c r="DC1124" s="0" t="s">
        <v>153</v>
      </c>
      <c r="DI1124" s="0" t="s">
        <v>153</v>
      </c>
      <c r="DN1124" s="0" t="s">
        <v>153</v>
      </c>
      <c r="DU1124" s="0" t="s">
        <v>153</v>
      </c>
      <c r="DW1124" s="0" t="s">
        <v>175</v>
      </c>
      <c r="DX1124" s="0" t="s">
        <v>153</v>
      </c>
      <c r="ED1124" s="0" t="s">
        <v>175</v>
      </c>
      <c r="EF1124" s="0" t="s">
        <v>153</v>
      </c>
    </row>
    <row r="1125" customFormat="false" ht="13.8" hidden="false" customHeight="false" outlineLevel="0" collapsed="false">
      <c r="A1125" s="0" t="s">
        <v>5362</v>
      </c>
      <c r="B1125" s="0" t="n">
        <v>78</v>
      </c>
      <c r="C1125" s="0" t="n">
        <v>430625</v>
      </c>
      <c r="D1125" s="0" t="s">
        <v>5357</v>
      </c>
      <c r="E1125" s="0" t="s">
        <v>5363</v>
      </c>
      <c r="F1125" s="0" t="str">
        <f aca="false">CONCATENATE(D1125," ",LEFT(H1125,4),"T=",AU1125,"D=",AV1125,"R=",AW1125,"M=",AX1125,"L=",AY1125,"B=",AZ1125)</f>
        <v>KELLAR T=1D=0R=0M=1L=5B=0</v>
      </c>
      <c r="G1125" s="0" t="s">
        <v>215</v>
      </c>
      <c r="I1125" s="0" t="s">
        <v>5364</v>
      </c>
      <c r="J1125" s="0" t="s">
        <v>4979</v>
      </c>
      <c r="K1125" s="0" t="s">
        <v>160</v>
      </c>
      <c r="L1125" s="0" t="s">
        <v>175</v>
      </c>
      <c r="M1125" s="0" t="s">
        <v>5359</v>
      </c>
      <c r="N1125" s="0" t="str">
        <f aca="false">RIGHT(M1125,LEN(M1125)-FIND(" ",M1125))</f>
        <v>KENILWORTH AVE SE</v>
      </c>
      <c r="P1125" s="0" t="s">
        <v>145</v>
      </c>
      <c r="Q1125" s="0" t="s">
        <v>146</v>
      </c>
      <c r="R1125" s="0" t="n">
        <v>44483</v>
      </c>
      <c r="AD1125" s="0" t="s">
        <v>147</v>
      </c>
      <c r="AE1125" s="0" t="s">
        <v>148</v>
      </c>
      <c r="AF1125" s="0" t="s">
        <v>149</v>
      </c>
      <c r="AH1125" s="0" t="n">
        <v>14</v>
      </c>
      <c r="AI1125" s="0" t="n">
        <v>11</v>
      </c>
      <c r="AN1125" s="0" t="s">
        <v>145</v>
      </c>
      <c r="AO1125" s="0" t="s">
        <v>150</v>
      </c>
      <c r="AP1125" s="0" t="s">
        <v>151</v>
      </c>
      <c r="AQ1125" s="0" t="n">
        <v>9</v>
      </c>
      <c r="AR1125" s="0" t="n">
        <v>64</v>
      </c>
      <c r="AS1125" s="0" t="n">
        <v>32</v>
      </c>
      <c r="AU1125" s="0" t="n">
        <f aca="false">COUNTA($BA$398:$EH$398)</f>
        <v>1</v>
      </c>
      <c r="AV1125" s="0" t="n">
        <f aca="false">COUNTIF($BA$398:$EH$398,"D")</f>
        <v>0</v>
      </c>
      <c r="AW1125" s="0" t="n">
        <f aca="false">COUNTIF($BA$398:$EH$398,"R")</f>
        <v>0</v>
      </c>
      <c r="AX1125" s="0" t="n">
        <f aca="false">IF(BN1125="D",1,0)+IF(BO1125="D",1,0)+IF(BT1125="D",1,0)+IF(BU1125="D",1,0)+IF(BW1125="D",1,0)+IF(CC1125="D",1,0)+IF(CD1125="D",1,0)+IF(CE1125="D",1,0)+IF(CF1125="D",1,0)+IF(CL1125="D",1,0)+IF(CM1125="D",1,0)+IF(CQ1125="D",1,0)+IF(CR1125="D",1,0)+IF(CS1125="D",1,0)+IF(CW1125="D",1,0)+IF(CX1125="D",1,0)+IF(DD1125="D",1,0)+IF(DE1125="D",1,0)+IF(DJ1125="D",1,0)+IF(DK1125="D",1,0)+IF(DO1125="D",1,0)+IF(DP1125="D",1,0)+IF(DQ1125="D",1,0)+IF(DW1125="D",1,0)+IF(DZ1125="D",1,0)+IF(EH1125="D",1,0)</f>
        <v>1</v>
      </c>
      <c r="AY1125" s="0" t="n">
        <f aca="false">COUNTIF(DU1125:EH1125, "&lt;&gt;")</f>
        <v>5</v>
      </c>
      <c r="AZ1125" s="0" t="n">
        <f aca="false">IF(EH1125&lt;&gt;"",1,0)</f>
        <v>0</v>
      </c>
      <c r="BB1125" s="0" t="s">
        <v>152</v>
      </c>
      <c r="DI1125" s="0" t="s">
        <v>153</v>
      </c>
      <c r="DN1125" s="0" t="s">
        <v>153</v>
      </c>
      <c r="DU1125" s="0" t="s">
        <v>153</v>
      </c>
      <c r="DW1125" s="0" t="s">
        <v>175</v>
      </c>
      <c r="DX1125" s="0" t="s">
        <v>153</v>
      </c>
      <c r="EA1125" s="0" t="s">
        <v>153</v>
      </c>
      <c r="EF1125" s="0" t="s">
        <v>153</v>
      </c>
    </row>
    <row r="1126" customFormat="false" ht="13.8" hidden="true" customHeight="false" outlineLevel="0" collapsed="false">
      <c r="A1126" s="0" t="s">
        <v>5365</v>
      </c>
      <c r="B1126" s="0" t="n">
        <v>78</v>
      </c>
      <c r="C1126" s="0" t="n">
        <v>414887</v>
      </c>
      <c r="D1126" s="0" t="s">
        <v>5357</v>
      </c>
      <c r="E1126" s="0" t="s">
        <v>558</v>
      </c>
      <c r="F1126" s="0" t="str">
        <f aca="false">CONCATENATE(D1126," ",LEFT(H1126,4),"T=",AU1126,"D=",AV1126,"R=",AW1126,"M=",AX1126,"L=",AY1126,"B=",AZ1126)</f>
        <v>KELLAR T=10D=1R=0M=0L=0B=0</v>
      </c>
      <c r="G1126" s="0" t="s">
        <v>3676</v>
      </c>
      <c r="I1126" s="0" t="s">
        <v>5366</v>
      </c>
      <c r="J1126" s="0" t="s">
        <v>5367</v>
      </c>
      <c r="K1126" s="0" t="s">
        <v>143</v>
      </c>
      <c r="M1126" s="0" t="s">
        <v>5359</v>
      </c>
      <c r="N1126" s="0" t="str">
        <f aca="false">RIGHT(M1126,LEN(M1126)-FIND(" ",M1126))</f>
        <v>KENILWORTH AVE SE</v>
      </c>
      <c r="P1126" s="0" t="s">
        <v>145</v>
      </c>
      <c r="Q1126" s="0" t="s">
        <v>146</v>
      </c>
      <c r="R1126" s="0" t="n">
        <v>44483</v>
      </c>
      <c r="AD1126" s="0" t="s">
        <v>147</v>
      </c>
      <c r="AE1126" s="0" t="s">
        <v>148</v>
      </c>
      <c r="AF1126" s="0" t="s">
        <v>149</v>
      </c>
      <c r="AH1126" s="0" t="n">
        <v>14</v>
      </c>
      <c r="AI1126" s="0" t="n">
        <v>11</v>
      </c>
      <c r="AN1126" s="0" t="s">
        <v>145</v>
      </c>
      <c r="AO1126" s="0" t="s">
        <v>150</v>
      </c>
      <c r="AP1126" s="0" t="s">
        <v>151</v>
      </c>
      <c r="AQ1126" s="0" t="n">
        <v>9</v>
      </c>
      <c r="AR1126" s="0" t="n">
        <v>64</v>
      </c>
      <c r="AS1126" s="0" t="n">
        <v>32</v>
      </c>
      <c r="AU1126" s="0" t="n">
        <f aca="false">COUNTA($BA$461:$EH$461)</f>
        <v>10</v>
      </c>
      <c r="AV1126" s="0" t="n">
        <f aca="false">COUNTIF($BA$461:$EH$461,"D")</f>
        <v>1</v>
      </c>
      <c r="AW1126" s="0" t="n">
        <f aca="false">COUNTIF($BA$461:$EH$461,"R")</f>
        <v>0</v>
      </c>
      <c r="AX1126" s="0" t="n">
        <f aca="false">IF(BN1126="D",1,0)+IF(BO1126="D",1,0)+IF(BT1126="D",1,0)+IF(BU1126="D",1,0)+IF(BW1126="D",1,0)+IF(CC1126="D",1,0)+IF(CD1126="D",1,0)+IF(CE1126="D",1,0)+IF(CF1126="D",1,0)+IF(CL1126="D",1,0)+IF(CM1126="D",1,0)+IF(CQ1126="D",1,0)+IF(CR1126="D",1,0)+IF(CS1126="D",1,0)+IF(CW1126="D",1,0)+IF(CX1126="D",1,0)+IF(DD1126="D",1,0)+IF(DE1126="D",1,0)+IF(DJ1126="D",1,0)+IF(DK1126="D",1,0)+IF(DO1126="D",1,0)+IF(DP1126="D",1,0)+IF(DQ1126="D",1,0)+IF(DW1126="D",1,0)+IF(DZ1126="D",1,0)+IF(EH1126="D",1,0)</f>
        <v>0</v>
      </c>
      <c r="AY1126" s="0" t="n">
        <f aca="false">COUNTIF(DU1126:EH1126, "&lt;&gt;")</f>
        <v>0</v>
      </c>
      <c r="AZ1126" s="0" t="n">
        <f aca="false">IF(EH1126&lt;&gt;"",1,0)</f>
        <v>0</v>
      </c>
      <c r="BB1126" s="0" t="s">
        <v>152</v>
      </c>
      <c r="DC1126" s="0" t="s">
        <v>153</v>
      </c>
      <c r="DI1126" s="0" t="s">
        <v>153</v>
      </c>
    </row>
    <row r="1127" customFormat="false" ht="13.8" hidden="true" customHeight="false" outlineLevel="0" collapsed="false">
      <c r="A1127" s="0" t="s">
        <v>5368</v>
      </c>
      <c r="B1127" s="0" t="n">
        <v>78</v>
      </c>
      <c r="C1127" s="0" t="n">
        <v>470889</v>
      </c>
      <c r="D1127" s="0" t="s">
        <v>5357</v>
      </c>
      <c r="E1127" s="0" t="s">
        <v>5369</v>
      </c>
      <c r="F1127" s="0" t="str">
        <f aca="false">CONCATENATE(D1127," ",LEFT(H1127,4),"T=",AU1127,"D=",AV1127,"R=",AW1127,"M=",AX1127,"L=",AY1127,"B=",AZ1127)</f>
        <v>KELLAR T=2D=0R=0M=0L=0B=0</v>
      </c>
      <c r="G1127" s="0" t="s">
        <v>209</v>
      </c>
      <c r="I1127" s="0" t="s">
        <v>5370</v>
      </c>
      <c r="J1127" s="0" t="s">
        <v>5371</v>
      </c>
      <c r="K1127" s="0" t="s">
        <v>160</v>
      </c>
      <c r="M1127" s="0" t="s">
        <v>5359</v>
      </c>
      <c r="N1127" s="0" t="str">
        <f aca="false">RIGHT(M1127,LEN(M1127)-FIND(" ",M1127))</f>
        <v>KENILWORTH AVE SE</v>
      </c>
      <c r="P1127" s="0" t="s">
        <v>145</v>
      </c>
      <c r="Q1127" s="0" t="s">
        <v>146</v>
      </c>
      <c r="R1127" s="0" t="n">
        <v>44483</v>
      </c>
      <c r="AD1127" s="0" t="s">
        <v>147</v>
      </c>
      <c r="AE1127" s="0" t="s">
        <v>148</v>
      </c>
      <c r="AF1127" s="0" t="s">
        <v>149</v>
      </c>
      <c r="AH1127" s="0" t="n">
        <v>14</v>
      </c>
      <c r="AI1127" s="0" t="n">
        <v>11</v>
      </c>
      <c r="AN1127" s="0" t="s">
        <v>145</v>
      </c>
      <c r="AO1127" s="0" t="s">
        <v>150</v>
      </c>
      <c r="AP1127" s="0" t="s">
        <v>151</v>
      </c>
      <c r="AQ1127" s="0" t="n">
        <v>9</v>
      </c>
      <c r="AR1127" s="0" t="n">
        <v>64</v>
      </c>
      <c r="AS1127" s="0" t="n">
        <v>32</v>
      </c>
      <c r="AU1127" s="0" t="n">
        <f aca="false">COUNTA($BA$586:$EH$586)</f>
        <v>2</v>
      </c>
      <c r="AV1127" s="0" t="n">
        <f aca="false">COUNTIF($BA$586:$EH$586,"D")</f>
        <v>0</v>
      </c>
      <c r="AW1127" s="0" t="n">
        <f aca="false">COUNTIF($BA$586:$EH$586,"R")</f>
        <v>0</v>
      </c>
      <c r="AX1127" s="0" t="n">
        <f aca="false">IF(BN1127="D",1,0)+IF(BO1127="D",1,0)+IF(BT1127="D",1,0)+IF(BU1127="D",1,0)+IF(BW1127="D",1,0)+IF(CC1127="D",1,0)+IF(CD1127="D",1,0)+IF(CE1127="D",1,0)+IF(CF1127="D",1,0)+IF(CL1127="D",1,0)+IF(CM1127="D",1,0)+IF(CQ1127="D",1,0)+IF(CR1127="D",1,0)+IF(CS1127="D",1,0)+IF(CW1127="D",1,0)+IF(CX1127="D",1,0)+IF(DD1127="D",1,0)+IF(DE1127="D",1,0)+IF(DJ1127="D",1,0)+IF(DK1127="D",1,0)+IF(DO1127="D",1,0)+IF(DP1127="D",1,0)+IF(DQ1127="D",1,0)+IF(DW1127="D",1,0)+IF(DZ1127="D",1,0)+IF(EH1127="D",1,0)</f>
        <v>0</v>
      </c>
      <c r="AY1127" s="0" t="n">
        <f aca="false">COUNTIF(DU1127:EH1127, "&lt;&gt;")</f>
        <v>0</v>
      </c>
      <c r="AZ1127" s="0" t="n">
        <f aca="false">IF(EH1127&lt;&gt;"",1,0)</f>
        <v>0</v>
      </c>
      <c r="BB1127" s="0" t="s">
        <v>152</v>
      </c>
    </row>
    <row r="1128" customFormat="false" ht="13.8" hidden="false" customHeight="false" outlineLevel="0" collapsed="false">
      <c r="A1128" s="0" t="s">
        <v>5372</v>
      </c>
      <c r="B1128" s="0" t="n">
        <v>78</v>
      </c>
      <c r="C1128" s="0" t="n">
        <v>229371</v>
      </c>
      <c r="D1128" s="0" t="s">
        <v>5373</v>
      </c>
      <c r="E1128" s="0" t="s">
        <v>2214</v>
      </c>
      <c r="F1128" s="0" t="str">
        <f aca="false">CONCATENATE(D1128," ",LEFT(H1128,4),"T=",AU1128,"D=",AV1128,"R=",AW1128,"M=",AX1128,"L=",AY1128,"B=",AZ1128)</f>
        <v>DANDREA T=1D=0R=0M=0L=2B=0</v>
      </c>
      <c r="I1128" s="0" t="s">
        <v>5374</v>
      </c>
      <c r="J1128" s="0" t="s">
        <v>879</v>
      </c>
      <c r="K1128" s="0" t="s">
        <v>160</v>
      </c>
      <c r="M1128" s="0" t="s">
        <v>5375</v>
      </c>
      <c r="N1128" s="0" t="str">
        <f aca="false">RIGHT(M1128,LEN(M1128)-FIND(" ",M1128))</f>
        <v>KENILWORTH AVE SE</v>
      </c>
      <c r="P1128" s="0" t="s">
        <v>145</v>
      </c>
      <c r="Q1128" s="0" t="s">
        <v>146</v>
      </c>
      <c r="R1128" s="0" t="n">
        <v>44483</v>
      </c>
      <c r="AD1128" s="0" t="s">
        <v>147</v>
      </c>
      <c r="AE1128" s="0" t="s">
        <v>148</v>
      </c>
      <c r="AF1128" s="0" t="s">
        <v>149</v>
      </c>
      <c r="AH1128" s="0" t="n">
        <v>14</v>
      </c>
      <c r="AI1128" s="0" t="n">
        <v>11</v>
      </c>
      <c r="AN1128" s="0" t="s">
        <v>145</v>
      </c>
      <c r="AO1128" s="0" t="s">
        <v>150</v>
      </c>
      <c r="AP1128" s="0" t="s">
        <v>151</v>
      </c>
      <c r="AQ1128" s="0" t="n">
        <v>9</v>
      </c>
      <c r="AR1128" s="0" t="n">
        <v>64</v>
      </c>
      <c r="AS1128" s="0" t="n">
        <v>32</v>
      </c>
      <c r="AU1128" s="0" t="n">
        <f aca="false">COUNTA($BA$271:$EH$271)</f>
        <v>1</v>
      </c>
      <c r="AV1128" s="0" t="n">
        <f aca="false">COUNTIF($BA$271:$EH$271,"D")</f>
        <v>0</v>
      </c>
      <c r="AW1128" s="0" t="n">
        <f aca="false">COUNTIF($BA$271:$EH$271,"R")</f>
        <v>0</v>
      </c>
      <c r="AX1128" s="0" t="n">
        <f aca="false">IF(BN1128="D",1,0)+IF(BO1128="D",1,0)+IF(BT1128="D",1,0)+IF(BU1128="D",1,0)+IF(BW1128="D",1,0)+IF(CC1128="D",1,0)+IF(CD1128="D",1,0)+IF(CE1128="D",1,0)+IF(CF1128="D",1,0)+IF(CL1128="D",1,0)+IF(CM1128="D",1,0)+IF(CQ1128="D",1,0)+IF(CR1128="D",1,0)+IF(CS1128="D",1,0)+IF(CW1128="D",1,0)+IF(CX1128="D",1,0)+IF(DD1128="D",1,0)+IF(DE1128="D",1,0)+IF(DJ1128="D",1,0)+IF(DK1128="D",1,0)+IF(DO1128="D",1,0)+IF(DP1128="D",1,0)+IF(DQ1128="D",1,0)+IF(DW1128="D",1,0)+IF(DZ1128="D",1,0)+IF(EH1128="D",1,0)</f>
        <v>0</v>
      </c>
      <c r="AY1128" s="0" t="n">
        <f aca="false">COUNTIF(DU1128:EH1128, "&lt;&gt;")</f>
        <v>2</v>
      </c>
      <c r="AZ1128" s="0" t="n">
        <f aca="false">IF(EH1128&lt;&gt;"",1,0)</f>
        <v>0</v>
      </c>
      <c r="BB1128" s="0" t="s">
        <v>152</v>
      </c>
      <c r="BD1128" s="0" t="s">
        <v>153</v>
      </c>
      <c r="BL1128" s="0" t="s">
        <v>153</v>
      </c>
      <c r="BS1128" s="0" t="s">
        <v>153</v>
      </c>
      <c r="BY1128" s="0" t="s">
        <v>175</v>
      </c>
      <c r="CA1128" s="0" t="s">
        <v>153</v>
      </c>
      <c r="CG1128" s="0" t="s">
        <v>153</v>
      </c>
      <c r="CK1128" s="0" t="s">
        <v>153</v>
      </c>
      <c r="CN1128" s="0" t="s">
        <v>153</v>
      </c>
      <c r="CP1128" s="0" t="s">
        <v>153</v>
      </c>
      <c r="DC1128" s="0" t="s">
        <v>153</v>
      </c>
      <c r="DI1128" s="0" t="s">
        <v>153</v>
      </c>
      <c r="DN1128" s="0" t="s">
        <v>153</v>
      </c>
      <c r="DU1128" s="0" t="s">
        <v>153</v>
      </c>
      <c r="EF1128" s="0" t="s">
        <v>153</v>
      </c>
    </row>
    <row r="1129" customFormat="false" ht="13.8" hidden="true" customHeight="false" outlineLevel="0" collapsed="false">
      <c r="A1129" s="0" t="s">
        <v>5376</v>
      </c>
      <c r="B1129" s="0" t="n">
        <v>78</v>
      </c>
      <c r="C1129" s="0" t="n">
        <v>475514</v>
      </c>
      <c r="D1129" s="0" t="s">
        <v>5377</v>
      </c>
      <c r="E1129" s="0" t="s">
        <v>3555</v>
      </c>
      <c r="F1129" s="0" t="str">
        <f aca="false">CONCATENATE(D1129," ",LEFT(H1129,4),"T=",AU1129,"D=",AV1129,"R=",AW1129,"M=",AX1129,"L=",AY1129,"B=",AZ1129)</f>
        <v>WOMER T=2D=0R=0M=0L=1B=0</v>
      </c>
      <c r="G1129" s="0" t="s">
        <v>5378</v>
      </c>
      <c r="I1129" s="0" t="s">
        <v>5379</v>
      </c>
      <c r="J1129" s="0" t="s">
        <v>5380</v>
      </c>
      <c r="K1129" s="0" t="s">
        <v>160</v>
      </c>
      <c r="M1129" s="0" t="s">
        <v>5381</v>
      </c>
      <c r="N1129" s="0" t="str">
        <f aca="false">RIGHT(M1129,LEN(M1129)-FIND(" ",M1129))</f>
        <v>KENILWORTH AVE SE</v>
      </c>
      <c r="P1129" s="0" t="s">
        <v>145</v>
      </c>
      <c r="Q1129" s="0" t="s">
        <v>146</v>
      </c>
      <c r="R1129" s="0" t="n">
        <v>44483</v>
      </c>
      <c r="AD1129" s="0" t="s">
        <v>147</v>
      </c>
      <c r="AE1129" s="0" t="s">
        <v>148</v>
      </c>
      <c r="AF1129" s="0" t="s">
        <v>149</v>
      </c>
      <c r="AH1129" s="0" t="n">
        <v>14</v>
      </c>
      <c r="AI1129" s="0" t="n">
        <v>11</v>
      </c>
      <c r="AN1129" s="0" t="s">
        <v>145</v>
      </c>
      <c r="AO1129" s="0" t="s">
        <v>150</v>
      </c>
      <c r="AP1129" s="0" t="s">
        <v>151</v>
      </c>
      <c r="AQ1129" s="0" t="n">
        <v>9</v>
      </c>
      <c r="AR1129" s="0" t="n">
        <v>64</v>
      </c>
      <c r="AS1129" s="0" t="n">
        <v>32</v>
      </c>
      <c r="AU1129" s="0" t="n">
        <f aca="false">COUNTA($BA$284:$EH$284)</f>
        <v>2</v>
      </c>
      <c r="AV1129" s="0" t="n">
        <f aca="false">COUNTIF($BA$284:$EH$284,"D")</f>
        <v>0</v>
      </c>
      <c r="AW1129" s="0" t="n">
        <f aca="false">COUNTIF($BA$284:$EH$284,"R")</f>
        <v>0</v>
      </c>
      <c r="AX1129" s="0" t="n">
        <f aca="false">IF(BN1129="D",1,0)+IF(BO1129="D",1,0)+IF(BT1129="D",1,0)+IF(BU1129="D",1,0)+IF(BW1129="D",1,0)+IF(CC1129="D",1,0)+IF(CD1129="D",1,0)+IF(CE1129="D",1,0)+IF(CF1129="D",1,0)+IF(CL1129="D",1,0)+IF(CM1129="D",1,0)+IF(CQ1129="D",1,0)+IF(CR1129="D",1,0)+IF(CS1129="D",1,0)+IF(CW1129="D",1,0)+IF(CX1129="D",1,0)+IF(DD1129="D",1,0)+IF(DE1129="D",1,0)+IF(DJ1129="D",1,0)+IF(DK1129="D",1,0)+IF(DO1129="D",1,0)+IF(DP1129="D",1,0)+IF(DQ1129="D",1,0)+IF(DW1129="D",1,0)+IF(DZ1129="D",1,0)+IF(EH1129="D",1,0)</f>
        <v>0</v>
      </c>
      <c r="AY1129" s="0" t="n">
        <f aca="false">COUNTIF(DU1129:EH1129, "&lt;&gt;")</f>
        <v>1</v>
      </c>
      <c r="AZ1129" s="0" t="n">
        <f aca="false">IF(EH1129&lt;&gt;"",1,0)</f>
        <v>0</v>
      </c>
      <c r="BB1129" s="0" t="s">
        <v>152</v>
      </c>
      <c r="EF1129" s="0" t="s">
        <v>153</v>
      </c>
    </row>
    <row r="1130" customFormat="false" ht="13.8" hidden="true" customHeight="false" outlineLevel="0" collapsed="false">
      <c r="A1130" s="0" t="s">
        <v>5382</v>
      </c>
      <c r="B1130" s="0" t="n">
        <v>78</v>
      </c>
      <c r="C1130" s="0" t="n">
        <v>272888</v>
      </c>
      <c r="D1130" s="0" t="s">
        <v>5377</v>
      </c>
      <c r="E1130" s="0" t="s">
        <v>943</v>
      </c>
      <c r="F1130" s="0" t="str">
        <f aca="false">CONCATENATE(D1130," ",LEFT(H1130,4),"T=",AU1130,"D=",AV1130,"R=",AW1130,"M=",AX1130,"L=",AY1130,"B=",AZ1130)</f>
        <v>WOMER T=21D=2R=0M=0L=1B=0</v>
      </c>
      <c r="G1130" s="0" t="s">
        <v>670</v>
      </c>
      <c r="I1130" s="0" t="s">
        <v>5383</v>
      </c>
      <c r="J1130" s="0" t="s">
        <v>5099</v>
      </c>
      <c r="K1130" s="0" t="s">
        <v>160</v>
      </c>
      <c r="M1130" s="0" t="s">
        <v>5381</v>
      </c>
      <c r="N1130" s="0" t="str">
        <f aca="false">RIGHT(M1130,LEN(M1130)-FIND(" ",M1130))</f>
        <v>KENILWORTH AVE SE</v>
      </c>
      <c r="P1130" s="0" t="s">
        <v>145</v>
      </c>
      <c r="Q1130" s="0" t="s">
        <v>146</v>
      </c>
      <c r="R1130" s="0" t="n">
        <v>44483</v>
      </c>
      <c r="AD1130" s="0" t="s">
        <v>147</v>
      </c>
      <c r="AE1130" s="0" t="s">
        <v>148</v>
      </c>
      <c r="AF1130" s="0" t="s">
        <v>149</v>
      </c>
      <c r="AH1130" s="0" t="n">
        <v>14</v>
      </c>
      <c r="AI1130" s="0" t="n">
        <v>11</v>
      </c>
      <c r="AN1130" s="0" t="s">
        <v>145</v>
      </c>
      <c r="AO1130" s="0" t="s">
        <v>150</v>
      </c>
      <c r="AP1130" s="0" t="s">
        <v>151</v>
      </c>
      <c r="AQ1130" s="0" t="n">
        <v>9</v>
      </c>
      <c r="AR1130" s="0" t="n">
        <v>64</v>
      </c>
      <c r="AS1130" s="0" t="n">
        <v>32</v>
      </c>
      <c r="AU1130" s="0" t="n">
        <f aca="false">COUNTA($BA$480:$EH$480)</f>
        <v>21</v>
      </c>
      <c r="AV1130" s="0" t="n">
        <f aca="false">COUNTIF($BA$480:$EH$480,"D")</f>
        <v>2</v>
      </c>
      <c r="AW1130" s="0" t="n">
        <f aca="false">COUNTIF($BA$480:$EH$480,"R")</f>
        <v>0</v>
      </c>
      <c r="AX1130" s="0" t="n">
        <f aca="false">IF(BN1130="D",1,0)+IF(BO1130="D",1,0)+IF(BT1130="D",1,0)+IF(BU1130="D",1,0)+IF(BW1130="D",1,0)+IF(CC1130="D",1,0)+IF(CD1130="D",1,0)+IF(CE1130="D",1,0)+IF(CF1130="D",1,0)+IF(CL1130="D",1,0)+IF(CM1130="D",1,0)+IF(CQ1130="D",1,0)+IF(CR1130="D",1,0)+IF(CS1130="D",1,0)+IF(CW1130="D",1,0)+IF(CX1130="D",1,0)+IF(DD1130="D",1,0)+IF(DE1130="D",1,0)+IF(DJ1130="D",1,0)+IF(DK1130="D",1,0)+IF(DO1130="D",1,0)+IF(DP1130="D",1,0)+IF(DQ1130="D",1,0)+IF(DW1130="D",1,0)+IF(DZ1130="D",1,0)+IF(EH1130="D",1,0)</f>
        <v>0</v>
      </c>
      <c r="AY1130" s="0" t="n">
        <f aca="false">COUNTIF(DU1130:EH1130, "&lt;&gt;")</f>
        <v>1</v>
      </c>
      <c r="AZ1130" s="0" t="n">
        <f aca="false">IF(EH1130&lt;&gt;"",1,0)</f>
        <v>0</v>
      </c>
      <c r="BB1130" s="0" t="s">
        <v>152</v>
      </c>
      <c r="EF1130" s="0" t="s">
        <v>153</v>
      </c>
    </row>
    <row r="1131" customFormat="false" ht="13.8" hidden="true" customHeight="false" outlineLevel="0" collapsed="false">
      <c r="A1131" s="0" t="s">
        <v>5384</v>
      </c>
      <c r="B1131" s="0" t="n">
        <v>78</v>
      </c>
      <c r="C1131" s="0" t="n">
        <v>465188</v>
      </c>
      <c r="D1131" s="0" t="s">
        <v>3857</v>
      </c>
      <c r="E1131" s="0" t="s">
        <v>5385</v>
      </c>
      <c r="F1131" s="0" t="str">
        <f aca="false">CONCATENATE(D1131," ",LEFT(H1131,4),"T=",AU1131,"D=",AV1131,"R=",AW1131,"M=",AX1131,"L=",AY1131,"B=",AZ1131)</f>
        <v>LEWIS T=2D=0R=0M=0L=1B=0</v>
      </c>
      <c r="G1131" s="0" t="s">
        <v>209</v>
      </c>
      <c r="I1131" s="0" t="s">
        <v>5386</v>
      </c>
      <c r="J1131" s="0" t="s">
        <v>5387</v>
      </c>
      <c r="K1131" s="0" t="s">
        <v>160</v>
      </c>
      <c r="M1131" s="0" t="s">
        <v>5388</v>
      </c>
      <c r="N1131" s="0" t="str">
        <f aca="false">RIGHT(M1131,LEN(M1131)-FIND(" ",M1131))</f>
        <v>KENILWORTH AVE SE</v>
      </c>
      <c r="P1131" s="0" t="s">
        <v>145</v>
      </c>
      <c r="Q1131" s="0" t="s">
        <v>146</v>
      </c>
      <c r="R1131" s="0" t="n">
        <v>44483</v>
      </c>
      <c r="AD1131" s="0" t="s">
        <v>147</v>
      </c>
      <c r="AE1131" s="0" t="s">
        <v>148</v>
      </c>
      <c r="AF1131" s="0" t="s">
        <v>149</v>
      </c>
      <c r="AH1131" s="0" t="n">
        <v>14</v>
      </c>
      <c r="AI1131" s="0" t="n">
        <v>11</v>
      </c>
      <c r="AN1131" s="0" t="s">
        <v>145</v>
      </c>
      <c r="AO1131" s="0" t="s">
        <v>150</v>
      </c>
      <c r="AP1131" s="0" t="s">
        <v>151</v>
      </c>
      <c r="AQ1131" s="0" t="n">
        <v>9</v>
      </c>
      <c r="AR1131" s="0" t="n">
        <v>64</v>
      </c>
      <c r="AS1131" s="0" t="n">
        <v>32</v>
      </c>
      <c r="AU1131" s="0" t="n">
        <f aca="false">COUNTA($BA$110:$EH$110)</f>
        <v>2</v>
      </c>
      <c r="AV1131" s="0" t="n">
        <f aca="false">COUNTIF($BA$110:$EH$110,"D")</f>
        <v>0</v>
      </c>
      <c r="AW1131" s="0" t="n">
        <f aca="false">COUNTIF($BA$110:$EH$110,"R")</f>
        <v>0</v>
      </c>
      <c r="AX1131" s="0" t="n">
        <f aca="false">IF(BN1131="D",1,0)+IF(BO1131="D",1,0)+IF(BT1131="D",1,0)+IF(BU1131="D",1,0)+IF(BW1131="D",1,0)+IF(CC1131="D",1,0)+IF(CD1131="D",1,0)+IF(CE1131="D",1,0)+IF(CF1131="D",1,0)+IF(CL1131="D",1,0)+IF(CM1131="D",1,0)+IF(CQ1131="D",1,0)+IF(CR1131="D",1,0)+IF(CS1131="D",1,0)+IF(CW1131="D",1,0)+IF(CX1131="D",1,0)+IF(DD1131="D",1,0)+IF(DE1131="D",1,0)+IF(DJ1131="D",1,0)+IF(DK1131="D",1,0)+IF(DO1131="D",1,0)+IF(DP1131="D",1,0)+IF(DQ1131="D",1,0)+IF(DW1131="D",1,0)+IF(DZ1131="D",1,0)+IF(EH1131="D",1,0)</f>
        <v>0</v>
      </c>
      <c r="AY1131" s="0" t="n">
        <f aca="false">COUNTIF(DU1131:EH1131, "&lt;&gt;")</f>
        <v>1</v>
      </c>
      <c r="AZ1131" s="0" t="n">
        <f aca="false">IF(EH1131&lt;&gt;"",1,0)</f>
        <v>0</v>
      </c>
      <c r="BB1131" s="0" t="s">
        <v>152</v>
      </c>
      <c r="BF1131" s="0" t="s">
        <v>153</v>
      </c>
      <c r="BL1131" s="0" t="s">
        <v>153</v>
      </c>
      <c r="BY1131" s="0" t="s">
        <v>175</v>
      </c>
      <c r="CA1131" s="0" t="s">
        <v>153</v>
      </c>
      <c r="CN1131" s="0" t="s">
        <v>153</v>
      </c>
      <c r="CP1131" s="0" t="s">
        <v>153</v>
      </c>
      <c r="CZ1131" s="0" t="s">
        <v>175</v>
      </c>
      <c r="DC1131" s="0" t="s">
        <v>153</v>
      </c>
      <c r="DI1131" s="0" t="s">
        <v>153</v>
      </c>
      <c r="EF1131" s="0" t="s">
        <v>153</v>
      </c>
    </row>
    <row r="1132" customFormat="false" ht="13.8" hidden="true" customHeight="false" outlineLevel="0" collapsed="false">
      <c r="A1132" s="0" t="s">
        <v>5389</v>
      </c>
      <c r="B1132" s="0" t="n">
        <v>78</v>
      </c>
      <c r="C1132" s="0" t="n">
        <v>291016</v>
      </c>
      <c r="D1132" s="0" t="s">
        <v>3882</v>
      </c>
      <c r="E1132" s="0" t="s">
        <v>5390</v>
      </c>
      <c r="F1132" s="0" t="str">
        <f aca="false">CONCATENATE(D1132," ",LEFT(H1132,4),"T=",AU1132,"D=",AV1132,"R=",AW1132,"M=",AX1132,"L=",AY1132,"B=",AZ1132)</f>
        <v>LYNCH T=4D=0R=0M=0L=0B=0</v>
      </c>
      <c r="G1132" s="0" t="s">
        <v>175</v>
      </c>
      <c r="I1132" s="0" t="s">
        <v>5391</v>
      </c>
      <c r="J1132" s="0" t="s">
        <v>321</v>
      </c>
      <c r="K1132" s="0" t="s">
        <v>143</v>
      </c>
      <c r="M1132" s="0" t="s">
        <v>5388</v>
      </c>
      <c r="N1132" s="0" t="str">
        <f aca="false">RIGHT(M1132,LEN(M1132)-FIND(" ",M1132))</f>
        <v>KENILWORTH AVE SE</v>
      </c>
      <c r="P1132" s="0" t="s">
        <v>145</v>
      </c>
      <c r="Q1132" s="0" t="s">
        <v>146</v>
      </c>
      <c r="R1132" s="0" t="n">
        <v>44483</v>
      </c>
      <c r="AD1132" s="0" t="s">
        <v>147</v>
      </c>
      <c r="AE1132" s="0" t="s">
        <v>148</v>
      </c>
      <c r="AF1132" s="0" t="s">
        <v>149</v>
      </c>
      <c r="AH1132" s="0" t="n">
        <v>14</v>
      </c>
      <c r="AI1132" s="0" t="n">
        <v>11</v>
      </c>
      <c r="AN1132" s="0" t="s">
        <v>145</v>
      </c>
      <c r="AO1132" s="0" t="s">
        <v>150</v>
      </c>
      <c r="AP1132" s="0" t="s">
        <v>151</v>
      </c>
      <c r="AQ1132" s="0" t="n">
        <v>9</v>
      </c>
      <c r="AR1132" s="0" t="n">
        <v>64</v>
      </c>
      <c r="AS1132" s="0" t="n">
        <v>32</v>
      </c>
      <c r="AU1132" s="0" t="n">
        <f aca="false">COUNTA($BA$685:$EH$685)</f>
        <v>4</v>
      </c>
      <c r="AV1132" s="0" t="n">
        <f aca="false">COUNTIF($BA$685:$EH$685,"D")</f>
        <v>0</v>
      </c>
      <c r="AW1132" s="0" t="n">
        <f aca="false">COUNTIF($BA$685:$EH$685,"R")</f>
        <v>0</v>
      </c>
      <c r="AX1132" s="0" t="n">
        <f aca="false">IF(BN1132="D",1,0)+IF(BO1132="D",1,0)+IF(BT1132="D",1,0)+IF(BU1132="D",1,0)+IF(BW1132="D",1,0)+IF(CC1132="D",1,0)+IF(CD1132="D",1,0)+IF(CE1132="D",1,0)+IF(CF1132="D",1,0)+IF(CL1132="D",1,0)+IF(CM1132="D",1,0)+IF(CQ1132="D",1,0)+IF(CR1132="D",1,0)+IF(CS1132="D",1,0)+IF(CW1132="D",1,0)+IF(CX1132="D",1,0)+IF(DD1132="D",1,0)+IF(DE1132="D",1,0)+IF(DJ1132="D",1,0)+IF(DK1132="D",1,0)+IF(DO1132="D",1,0)+IF(DP1132="D",1,0)+IF(DQ1132="D",1,0)+IF(DW1132="D",1,0)+IF(DZ1132="D",1,0)+IF(EH1132="D",1,0)</f>
        <v>0</v>
      </c>
      <c r="AY1132" s="0" t="n">
        <f aca="false">COUNTIF(DU1132:EH1132, "&lt;&gt;")</f>
        <v>0</v>
      </c>
      <c r="AZ1132" s="0" t="n">
        <f aca="false">IF(EH1132&lt;&gt;"",1,0)</f>
        <v>0</v>
      </c>
      <c r="BB1132" s="0" t="s">
        <v>152</v>
      </c>
      <c r="BL1132" s="0" t="s">
        <v>153</v>
      </c>
      <c r="CV1132" s="0" t="s">
        <v>153</v>
      </c>
      <c r="CZ1132" s="0" t="s">
        <v>209</v>
      </c>
      <c r="DN1132" s="0" t="s">
        <v>153</v>
      </c>
    </row>
    <row r="1133" customFormat="false" ht="13.8" hidden="true" customHeight="false" outlineLevel="0" collapsed="false">
      <c r="A1133" s="0" t="s">
        <v>5392</v>
      </c>
      <c r="B1133" s="0" t="n">
        <v>78</v>
      </c>
      <c r="C1133" s="0" t="n">
        <v>447731</v>
      </c>
      <c r="D1133" s="0" t="s">
        <v>636</v>
      </c>
      <c r="E1133" s="0" t="s">
        <v>5393</v>
      </c>
      <c r="F1133" s="0" t="str">
        <f aca="false">CONCATENATE(D1133," ",LEFT(H1133,4),"T=",AU1133,"D=",AV1133,"R=",AW1133,"M=",AX1133,"L=",AY1133,"B=",AZ1133)</f>
        <v>ADAMS T=8D=3R=0M=0L=0B=0</v>
      </c>
      <c r="G1133" s="0" t="s">
        <v>4191</v>
      </c>
      <c r="I1133" s="0" t="s">
        <v>5394</v>
      </c>
      <c r="J1133" s="0" t="s">
        <v>5395</v>
      </c>
      <c r="K1133" s="0" t="s">
        <v>143</v>
      </c>
      <c r="M1133" s="0" t="s">
        <v>5388</v>
      </c>
      <c r="N1133" s="0" t="str">
        <f aca="false">RIGHT(M1133,LEN(M1133)-FIND(" ",M1133))</f>
        <v>KENILWORTH AVE SE</v>
      </c>
      <c r="P1133" s="0" t="s">
        <v>145</v>
      </c>
      <c r="Q1133" s="0" t="s">
        <v>146</v>
      </c>
      <c r="R1133" s="0" t="n">
        <v>44483</v>
      </c>
      <c r="V1133" s="0" t="s">
        <v>5396</v>
      </c>
      <c r="X1133" s="0" t="s">
        <v>5397</v>
      </c>
      <c r="Y1133" s="0" t="s">
        <v>5398</v>
      </c>
      <c r="Z1133" s="0" t="n">
        <v>8854</v>
      </c>
      <c r="AD1133" s="0" t="s">
        <v>147</v>
      </c>
      <c r="AE1133" s="0" t="s">
        <v>148</v>
      </c>
      <c r="AF1133" s="0" t="s">
        <v>149</v>
      </c>
      <c r="AH1133" s="0" t="n">
        <v>14</v>
      </c>
      <c r="AI1133" s="0" t="n">
        <v>11</v>
      </c>
      <c r="AN1133" s="0" t="s">
        <v>145</v>
      </c>
      <c r="AO1133" s="0" t="s">
        <v>150</v>
      </c>
      <c r="AP1133" s="0" t="s">
        <v>151</v>
      </c>
      <c r="AQ1133" s="0" t="n">
        <v>9</v>
      </c>
      <c r="AR1133" s="0" t="n">
        <v>64</v>
      </c>
      <c r="AS1133" s="0" t="n">
        <v>32</v>
      </c>
      <c r="AU1133" s="0" t="n">
        <f aca="false">COUNTA($BA$831:$EH$831)</f>
        <v>8</v>
      </c>
      <c r="AV1133" s="0" t="n">
        <f aca="false">COUNTIF($BA$831:$EH$831,"D")</f>
        <v>3</v>
      </c>
      <c r="AW1133" s="0" t="n">
        <f aca="false">COUNTIF($BA$831:$EH$831,"R")</f>
        <v>0</v>
      </c>
      <c r="AX1133" s="0" t="n">
        <f aca="false">IF(BN1133="D",1,0)+IF(BO1133="D",1,0)+IF(BT1133="D",1,0)+IF(BU1133="D",1,0)+IF(BW1133="D",1,0)+IF(CC1133="D",1,0)+IF(CD1133="D",1,0)+IF(CE1133="D",1,0)+IF(CF1133="D",1,0)+IF(CL1133="D",1,0)+IF(CM1133="D",1,0)+IF(CQ1133="D",1,0)+IF(CR1133="D",1,0)+IF(CS1133="D",1,0)+IF(CW1133="D",1,0)+IF(CX1133="D",1,0)+IF(DD1133="D",1,0)+IF(DE1133="D",1,0)+IF(DJ1133="D",1,0)+IF(DK1133="D",1,0)+IF(DO1133="D",1,0)+IF(DP1133="D",1,0)+IF(DQ1133="D",1,0)+IF(DW1133="D",1,0)+IF(DZ1133="D",1,0)+IF(EH1133="D",1,0)</f>
        <v>0</v>
      </c>
      <c r="AY1133" s="0" t="n">
        <f aca="false">COUNTIF(DU1133:EH1133, "&lt;&gt;")</f>
        <v>0</v>
      </c>
      <c r="AZ1133" s="0" t="n">
        <f aca="false">IF(EH1133&lt;&gt;"",1,0)</f>
        <v>0</v>
      </c>
      <c r="BB1133" s="0" t="s">
        <v>152</v>
      </c>
    </row>
    <row r="1134" customFormat="false" ht="13.8" hidden="false" customHeight="false" outlineLevel="0" collapsed="false">
      <c r="A1134" s="0" t="s">
        <v>5399</v>
      </c>
      <c r="B1134" s="0" t="n">
        <v>78</v>
      </c>
      <c r="C1134" s="0" t="n">
        <v>13737</v>
      </c>
      <c r="D1134" s="0" t="s">
        <v>5400</v>
      </c>
      <c r="E1134" s="0" t="s">
        <v>1198</v>
      </c>
      <c r="F1134" s="0" t="str">
        <f aca="false">CONCATENATE(D1134," ",LEFT(H1134,4),"T=",AU1134,"D=",AV1134,"R=",AW1134,"M=",AX1134,"L=",AY1134,"B=",AZ1134)</f>
        <v>SUMMITT T=4D=0R=0M=0L=2B=0</v>
      </c>
      <c r="G1134" s="0" t="s">
        <v>650</v>
      </c>
      <c r="I1134" s="0" t="s">
        <v>2235</v>
      </c>
      <c r="J1134" s="0" t="s">
        <v>5401</v>
      </c>
      <c r="K1134" s="0" t="s">
        <v>160</v>
      </c>
      <c r="M1134" s="0" t="s">
        <v>5402</v>
      </c>
      <c r="N1134" s="0" t="str">
        <f aca="false">RIGHT(M1134,LEN(M1134)-FIND(" ",M1134))</f>
        <v>KENILWORTH AVE SE</v>
      </c>
      <c r="P1134" s="0" t="s">
        <v>145</v>
      </c>
      <c r="Q1134" s="0" t="s">
        <v>146</v>
      </c>
      <c r="R1134" s="0" t="n">
        <v>44483</v>
      </c>
      <c r="AD1134" s="0" t="s">
        <v>147</v>
      </c>
      <c r="AE1134" s="0" t="s">
        <v>148</v>
      </c>
      <c r="AF1134" s="0" t="s">
        <v>149</v>
      </c>
      <c r="AH1134" s="0" t="n">
        <v>14</v>
      </c>
      <c r="AI1134" s="0" t="n">
        <v>11</v>
      </c>
      <c r="AN1134" s="0" t="s">
        <v>145</v>
      </c>
      <c r="AO1134" s="0" t="s">
        <v>150</v>
      </c>
      <c r="AP1134" s="0" t="s">
        <v>151</v>
      </c>
      <c r="AQ1134" s="0" t="n">
        <v>9</v>
      </c>
      <c r="AR1134" s="0" t="n">
        <v>64</v>
      </c>
      <c r="AS1134" s="0" t="n">
        <v>32</v>
      </c>
      <c r="AU1134" s="0" t="n">
        <f aca="false">COUNTA($BA$362:$EH$362)</f>
        <v>4</v>
      </c>
      <c r="AV1134" s="0" t="n">
        <f aca="false">COUNTIF($BA$362:$EH$362,"D")</f>
        <v>0</v>
      </c>
      <c r="AW1134" s="0" t="n">
        <f aca="false">COUNTIF($BA$362:$EH$362,"R")</f>
        <v>0</v>
      </c>
      <c r="AX1134" s="0" t="n">
        <f aca="false">IF(BN1134="D",1,0)+IF(BO1134="D",1,0)+IF(BT1134="D",1,0)+IF(BU1134="D",1,0)+IF(BW1134="D",1,0)+IF(CC1134="D",1,0)+IF(CD1134="D",1,0)+IF(CE1134="D",1,0)+IF(CF1134="D",1,0)+IF(CL1134="D",1,0)+IF(CM1134="D",1,0)+IF(CQ1134="D",1,0)+IF(CR1134="D",1,0)+IF(CS1134="D",1,0)+IF(CW1134="D",1,0)+IF(CX1134="D",1,0)+IF(DD1134="D",1,0)+IF(DE1134="D",1,0)+IF(DJ1134="D",1,0)+IF(DK1134="D",1,0)+IF(DO1134="D",1,0)+IF(DP1134="D",1,0)+IF(DQ1134="D",1,0)+IF(DW1134="D",1,0)+IF(DZ1134="D",1,0)+IF(EH1134="D",1,0)</f>
        <v>0</v>
      </c>
      <c r="AY1134" s="0" t="n">
        <f aca="false">COUNTIF(DU1134:EH1134, "&lt;&gt;")</f>
        <v>2</v>
      </c>
      <c r="AZ1134" s="0" t="n">
        <f aca="false">IF(EH1134&lt;&gt;"",1,0)</f>
        <v>0</v>
      </c>
      <c r="BB1134" s="0" t="s">
        <v>152</v>
      </c>
      <c r="BC1134" s="0" t="s">
        <v>153</v>
      </c>
      <c r="BD1134" s="0" t="s">
        <v>153</v>
      </c>
      <c r="BE1134" s="0" t="s">
        <v>153</v>
      </c>
      <c r="BF1134" s="0" t="s">
        <v>153</v>
      </c>
      <c r="BG1134" s="0" t="s">
        <v>153</v>
      </c>
      <c r="BH1134" s="0" t="s">
        <v>153</v>
      </c>
      <c r="BJ1134" s="0" t="s">
        <v>153</v>
      </c>
      <c r="BK1134" s="0" t="s">
        <v>153</v>
      </c>
      <c r="BL1134" s="0" t="s">
        <v>153</v>
      </c>
      <c r="BP1134" s="0" t="s">
        <v>153</v>
      </c>
      <c r="BS1134" s="0" t="s">
        <v>153</v>
      </c>
      <c r="BY1134" s="0" t="s">
        <v>175</v>
      </c>
      <c r="CA1134" s="0" t="s">
        <v>153</v>
      </c>
      <c r="CG1134" s="0" t="s">
        <v>153</v>
      </c>
      <c r="CH1134" s="0" t="s">
        <v>175</v>
      </c>
      <c r="CK1134" s="0" t="s">
        <v>153</v>
      </c>
      <c r="CN1134" s="0" t="s">
        <v>153</v>
      </c>
      <c r="CP1134" s="0" t="s">
        <v>153</v>
      </c>
      <c r="CU1134" s="0" t="s">
        <v>175</v>
      </c>
      <c r="CV1134" s="0" t="s">
        <v>153</v>
      </c>
      <c r="CY1134" s="0" t="s">
        <v>153</v>
      </c>
      <c r="DC1134" s="0" t="s">
        <v>153</v>
      </c>
      <c r="DG1134" s="0" t="s">
        <v>175</v>
      </c>
      <c r="DI1134" s="0" t="s">
        <v>153</v>
      </c>
      <c r="DL1134" s="0" t="s">
        <v>153</v>
      </c>
      <c r="DN1134" s="0" t="s">
        <v>153</v>
      </c>
      <c r="DU1134" s="0" t="s">
        <v>153</v>
      </c>
      <c r="EF1134" s="0" t="s">
        <v>153</v>
      </c>
    </row>
    <row r="1135" customFormat="false" ht="13.8" hidden="true" customHeight="false" outlineLevel="0" collapsed="false">
      <c r="A1135" s="0" t="s">
        <v>5403</v>
      </c>
      <c r="B1135" s="0" t="n">
        <v>78</v>
      </c>
      <c r="C1135" s="0" t="n">
        <v>490760</v>
      </c>
      <c r="D1135" s="0" t="s">
        <v>5400</v>
      </c>
      <c r="E1135" s="0" t="s">
        <v>292</v>
      </c>
      <c r="F1135" s="0" t="str">
        <f aca="false">CONCATENATE(D1135," ",LEFT(H1135,4),"T=",AU1135,"D=",AV1135,"R=",AW1135,"M=",AX1135,"L=",AY1135,"B=",AZ1135)</f>
        <v>SUMMITT T=10D=1R=0M=0L=1B=0</v>
      </c>
      <c r="G1135" s="0" t="s">
        <v>331</v>
      </c>
      <c r="I1135" s="0" t="s">
        <v>5404</v>
      </c>
      <c r="J1135" s="0" t="s">
        <v>4591</v>
      </c>
      <c r="K1135" s="0" t="s">
        <v>160</v>
      </c>
      <c r="M1135" s="0" t="s">
        <v>5402</v>
      </c>
      <c r="N1135" s="0" t="str">
        <f aca="false">RIGHT(M1135,LEN(M1135)-FIND(" ",M1135))</f>
        <v>KENILWORTH AVE SE</v>
      </c>
      <c r="P1135" s="0" t="s">
        <v>145</v>
      </c>
      <c r="Q1135" s="0" t="s">
        <v>146</v>
      </c>
      <c r="R1135" s="0" t="n">
        <v>44483</v>
      </c>
      <c r="AD1135" s="0" t="s">
        <v>147</v>
      </c>
      <c r="AE1135" s="0" t="s">
        <v>148</v>
      </c>
      <c r="AF1135" s="0" t="s">
        <v>149</v>
      </c>
      <c r="AH1135" s="0" t="n">
        <v>14</v>
      </c>
      <c r="AI1135" s="0" t="n">
        <v>11</v>
      </c>
      <c r="AN1135" s="0" t="s">
        <v>145</v>
      </c>
      <c r="AO1135" s="0" t="s">
        <v>150</v>
      </c>
      <c r="AP1135" s="0" t="s">
        <v>151</v>
      </c>
      <c r="AQ1135" s="0" t="n">
        <v>9</v>
      </c>
      <c r="AR1135" s="0" t="n">
        <v>64</v>
      </c>
      <c r="AS1135" s="0" t="n">
        <v>32</v>
      </c>
      <c r="AU1135" s="0" t="n">
        <f aca="false">COUNTA($BA$444:$EH$444)</f>
        <v>10</v>
      </c>
      <c r="AV1135" s="0" t="n">
        <f aca="false">COUNTIF($BA$444:$EH$444,"D")</f>
        <v>1</v>
      </c>
      <c r="AW1135" s="0" t="n">
        <f aca="false">COUNTIF($BA$444:$EH$444,"R")</f>
        <v>0</v>
      </c>
      <c r="AX1135" s="0" t="n">
        <f aca="false">IF(BN1135="D",1,0)+IF(BO1135="D",1,0)+IF(BT1135="D",1,0)+IF(BU1135="D",1,0)+IF(BW1135="D",1,0)+IF(CC1135="D",1,0)+IF(CD1135="D",1,0)+IF(CE1135="D",1,0)+IF(CF1135="D",1,0)+IF(CL1135="D",1,0)+IF(CM1135="D",1,0)+IF(CQ1135="D",1,0)+IF(CR1135="D",1,0)+IF(CS1135="D",1,0)+IF(CW1135="D",1,0)+IF(CX1135="D",1,0)+IF(DD1135="D",1,0)+IF(DE1135="D",1,0)+IF(DJ1135="D",1,0)+IF(DK1135="D",1,0)+IF(DO1135="D",1,0)+IF(DP1135="D",1,0)+IF(DQ1135="D",1,0)+IF(DW1135="D",1,0)+IF(DZ1135="D",1,0)+IF(EH1135="D",1,0)</f>
        <v>0</v>
      </c>
      <c r="AY1135" s="0" t="n">
        <f aca="false">COUNTIF(DU1135:EH1135, "&lt;&gt;")</f>
        <v>1</v>
      </c>
      <c r="AZ1135" s="0" t="n">
        <f aca="false">IF(EH1135&lt;&gt;"",1,0)</f>
        <v>0</v>
      </c>
      <c r="BB1135" s="0" t="s">
        <v>152</v>
      </c>
      <c r="CP1135" s="0" t="s">
        <v>153</v>
      </c>
      <c r="EF1135" s="0" t="s">
        <v>153</v>
      </c>
    </row>
    <row r="1136" customFormat="false" ht="13.8" hidden="true" customHeight="false" outlineLevel="0" collapsed="false">
      <c r="A1136" s="0" t="s">
        <v>5405</v>
      </c>
      <c r="B1136" s="0" t="n">
        <v>78</v>
      </c>
      <c r="C1136" s="0" t="n">
        <v>481027</v>
      </c>
      <c r="D1136" s="0" t="s">
        <v>5406</v>
      </c>
      <c r="E1136" s="0" t="s">
        <v>1451</v>
      </c>
      <c r="F1136" s="0" t="str">
        <f aca="false">CONCATENATE(D1136," ",LEFT(H1136,4),"T=",AU1136,"D=",AV1136,"R=",AW1136,"M=",AX1136,"L=",AY1136,"B=",AZ1136)</f>
        <v>BOYCE T=5D=0R=0M=0L=0B=0</v>
      </c>
      <c r="G1136" s="0" t="s">
        <v>331</v>
      </c>
      <c r="I1136" s="0" t="s">
        <v>5407</v>
      </c>
      <c r="J1136" s="0" t="s">
        <v>5408</v>
      </c>
      <c r="K1136" s="0" t="s">
        <v>160</v>
      </c>
      <c r="M1136" s="0" t="s">
        <v>5409</v>
      </c>
      <c r="N1136" s="0" t="str">
        <f aca="false">RIGHT(M1136,LEN(M1136)-FIND(" ",M1136))</f>
        <v>KENILWORTH AVE SE</v>
      </c>
      <c r="P1136" s="0" t="s">
        <v>145</v>
      </c>
      <c r="Q1136" s="0" t="s">
        <v>146</v>
      </c>
      <c r="R1136" s="0" t="n">
        <v>44483</v>
      </c>
      <c r="AD1136" s="0" t="s">
        <v>147</v>
      </c>
      <c r="AE1136" s="0" t="s">
        <v>148</v>
      </c>
      <c r="AF1136" s="0" t="s">
        <v>149</v>
      </c>
      <c r="AH1136" s="0" t="n">
        <v>14</v>
      </c>
      <c r="AI1136" s="0" t="n">
        <v>11</v>
      </c>
      <c r="AN1136" s="0" t="s">
        <v>145</v>
      </c>
      <c r="AO1136" s="0" t="s">
        <v>150</v>
      </c>
      <c r="AP1136" s="0" t="s">
        <v>151</v>
      </c>
      <c r="AQ1136" s="0" t="n">
        <v>9</v>
      </c>
      <c r="AR1136" s="0" t="n">
        <v>64</v>
      </c>
      <c r="AS1136" s="0" t="n">
        <v>32</v>
      </c>
      <c r="AU1136" s="0" t="n">
        <f aca="false">COUNTA($BA$493:$EH$493)</f>
        <v>5</v>
      </c>
      <c r="AV1136" s="0" t="n">
        <f aca="false">COUNTIF($BA$493:$EH$493,"D")</f>
        <v>0</v>
      </c>
      <c r="AW1136" s="0" t="n">
        <f aca="false">COUNTIF($BA$493:$EH$493,"R")</f>
        <v>0</v>
      </c>
      <c r="AX1136" s="0" t="n">
        <f aca="false">IF(BN1136="D",1,0)+IF(BO1136="D",1,0)+IF(BT1136="D",1,0)+IF(BU1136="D",1,0)+IF(BW1136="D",1,0)+IF(CC1136="D",1,0)+IF(CD1136="D",1,0)+IF(CE1136="D",1,0)+IF(CF1136="D",1,0)+IF(CL1136="D",1,0)+IF(CM1136="D",1,0)+IF(CQ1136="D",1,0)+IF(CR1136="D",1,0)+IF(CS1136="D",1,0)+IF(CW1136="D",1,0)+IF(CX1136="D",1,0)+IF(DD1136="D",1,0)+IF(DE1136="D",1,0)+IF(DJ1136="D",1,0)+IF(DK1136="D",1,0)+IF(DO1136="D",1,0)+IF(DP1136="D",1,0)+IF(DQ1136="D",1,0)+IF(DW1136="D",1,0)+IF(DZ1136="D",1,0)+IF(EH1136="D",1,0)</f>
        <v>0</v>
      </c>
      <c r="AY1136" s="0" t="n">
        <f aca="false">COUNTIF(DU1136:EH1136, "&lt;&gt;")</f>
        <v>0</v>
      </c>
      <c r="AZ1136" s="0" t="n">
        <f aca="false">IF(EH1136&lt;&gt;"",1,0)</f>
        <v>0</v>
      </c>
      <c r="BB1136" s="0" t="s">
        <v>152</v>
      </c>
    </row>
    <row r="1137" customFormat="false" ht="13.8" hidden="true" customHeight="false" outlineLevel="0" collapsed="false">
      <c r="A1137" s="0" t="s">
        <v>5410</v>
      </c>
      <c r="B1137" s="0" t="n">
        <v>78</v>
      </c>
      <c r="C1137" s="0" t="n">
        <v>478397</v>
      </c>
      <c r="D1137" s="0" t="s">
        <v>5411</v>
      </c>
      <c r="E1137" s="0" t="s">
        <v>517</v>
      </c>
      <c r="F1137" s="0" t="str">
        <f aca="false">CONCATENATE(D1137," ",LEFT(H1137,4),"T=",AU1137,"D=",AV1137,"R=",AW1137,"M=",AX1137,"L=",AY1137,"B=",AZ1137)</f>
        <v>MACHOR T=37D=3R=6M=0L=0B=0</v>
      </c>
      <c r="G1137" s="0" t="s">
        <v>5412</v>
      </c>
      <c r="I1137" s="0" t="s">
        <v>5413</v>
      </c>
      <c r="J1137" s="0" t="s">
        <v>5414</v>
      </c>
      <c r="K1137" s="0" t="s">
        <v>160</v>
      </c>
      <c r="M1137" s="0" t="s">
        <v>5409</v>
      </c>
      <c r="N1137" s="0" t="str">
        <f aca="false">RIGHT(M1137,LEN(M1137)-FIND(" ",M1137))</f>
        <v>KENILWORTH AVE SE</v>
      </c>
      <c r="P1137" s="0" t="s">
        <v>145</v>
      </c>
      <c r="Q1137" s="0" t="s">
        <v>146</v>
      </c>
      <c r="R1137" s="0" t="n">
        <v>44483</v>
      </c>
      <c r="AD1137" s="0" t="s">
        <v>147</v>
      </c>
      <c r="AE1137" s="0" t="s">
        <v>148</v>
      </c>
      <c r="AF1137" s="0" t="s">
        <v>149</v>
      </c>
      <c r="AH1137" s="0" t="n">
        <v>14</v>
      </c>
      <c r="AI1137" s="0" t="n">
        <v>11</v>
      </c>
      <c r="AN1137" s="0" t="s">
        <v>145</v>
      </c>
      <c r="AO1137" s="0" t="s">
        <v>150</v>
      </c>
      <c r="AP1137" s="0" t="s">
        <v>151</v>
      </c>
      <c r="AQ1137" s="0" t="n">
        <v>9</v>
      </c>
      <c r="AR1137" s="0" t="n">
        <v>64</v>
      </c>
      <c r="AS1137" s="0" t="n">
        <v>32</v>
      </c>
      <c r="AU1137" s="0" t="n">
        <f aca="false">COUNTA($BA$693:$EH$693)</f>
        <v>37</v>
      </c>
      <c r="AV1137" s="0" t="n">
        <f aca="false">COUNTIF($BA$693:$EH$693,"D")</f>
        <v>3</v>
      </c>
      <c r="AW1137" s="0" t="n">
        <f aca="false">COUNTIF($BA$693:$EH$693,"R")</f>
        <v>6</v>
      </c>
      <c r="AX1137" s="0" t="n">
        <f aca="false">IF(BN1137="D",1,0)+IF(BO1137="D",1,0)+IF(BT1137="D",1,0)+IF(BU1137="D",1,0)+IF(BW1137="D",1,0)+IF(CC1137="D",1,0)+IF(CD1137="D",1,0)+IF(CE1137="D",1,0)+IF(CF1137="D",1,0)+IF(CL1137="D",1,0)+IF(CM1137="D",1,0)+IF(CQ1137="D",1,0)+IF(CR1137="D",1,0)+IF(CS1137="D",1,0)+IF(CW1137="D",1,0)+IF(CX1137="D",1,0)+IF(DD1137="D",1,0)+IF(DE1137="D",1,0)+IF(DJ1137="D",1,0)+IF(DK1137="D",1,0)+IF(DO1137="D",1,0)+IF(DP1137="D",1,0)+IF(DQ1137="D",1,0)+IF(DW1137="D",1,0)+IF(DZ1137="D",1,0)+IF(EH1137="D",1,0)</f>
        <v>0</v>
      </c>
      <c r="AY1137" s="0" t="n">
        <f aca="false">COUNTIF(DU1137:EH1137, "&lt;&gt;")</f>
        <v>0</v>
      </c>
      <c r="AZ1137" s="0" t="n">
        <f aca="false">IF(EH1137&lt;&gt;"",1,0)</f>
        <v>0</v>
      </c>
      <c r="BB1137" s="0" t="s">
        <v>152</v>
      </c>
    </row>
    <row r="1138" customFormat="false" ht="13.8" hidden="true" customHeight="false" outlineLevel="0" collapsed="false">
      <c r="A1138" s="0" t="s">
        <v>5415</v>
      </c>
      <c r="B1138" s="0" t="n">
        <v>78</v>
      </c>
      <c r="C1138" s="0" t="n">
        <v>438603</v>
      </c>
      <c r="D1138" s="0" t="s">
        <v>761</v>
      </c>
      <c r="E1138" s="0" t="s">
        <v>5416</v>
      </c>
      <c r="F1138" s="0" t="str">
        <f aca="false">CONCATENATE(D1138," ",LEFT(H1138,4),"T=",AU1138,"D=",AV1138,"R=",AW1138,"M=",AX1138,"L=",AY1138,"B=",AZ1138)</f>
        <v>BROWN T=1D=0R=0M=0L=0B=0</v>
      </c>
      <c r="G1138" s="0" t="s">
        <v>164</v>
      </c>
      <c r="I1138" s="0" t="s">
        <v>5417</v>
      </c>
      <c r="J1138" s="0" t="s">
        <v>3340</v>
      </c>
      <c r="K1138" s="0" t="s">
        <v>160</v>
      </c>
      <c r="M1138" s="0" t="s">
        <v>5418</v>
      </c>
      <c r="N1138" s="0" t="str">
        <f aca="false">RIGHT(M1138,LEN(M1138)-FIND(" ",M1138))</f>
        <v>KENILWORTH AVE SE</v>
      </c>
      <c r="P1138" s="0" t="s">
        <v>145</v>
      </c>
      <c r="Q1138" s="0" t="s">
        <v>146</v>
      </c>
      <c r="R1138" s="0" t="n">
        <v>44483</v>
      </c>
      <c r="AD1138" s="0" t="s">
        <v>147</v>
      </c>
      <c r="AE1138" s="0" t="s">
        <v>148</v>
      </c>
      <c r="AF1138" s="0" t="s">
        <v>149</v>
      </c>
      <c r="AH1138" s="0" t="n">
        <v>14</v>
      </c>
      <c r="AI1138" s="0" t="n">
        <v>11</v>
      </c>
      <c r="AN1138" s="0" t="s">
        <v>145</v>
      </c>
      <c r="AO1138" s="0" t="s">
        <v>150</v>
      </c>
      <c r="AP1138" s="0" t="s">
        <v>151</v>
      </c>
      <c r="AQ1138" s="0" t="n">
        <v>9</v>
      </c>
      <c r="AR1138" s="0" t="n">
        <v>64</v>
      </c>
      <c r="AS1138" s="0" t="n">
        <v>32</v>
      </c>
      <c r="AU1138" s="0" t="n">
        <f aca="false">COUNTA($BA$122:$EH$122)</f>
        <v>1</v>
      </c>
      <c r="AV1138" s="0" t="n">
        <f aca="false">COUNTIF($BA$122:$EH$122,"D")</f>
        <v>0</v>
      </c>
      <c r="AW1138" s="0" t="n">
        <f aca="false">COUNTIF($BA$122:$EH$122,"R")</f>
        <v>0</v>
      </c>
      <c r="AX1138" s="0" t="n">
        <f aca="false">IF(BN1138="D",1,0)+IF(BO1138="D",1,0)+IF(BT1138="D",1,0)+IF(BU1138="D",1,0)+IF(BW1138="D",1,0)+IF(CC1138="D",1,0)+IF(CD1138="D",1,0)+IF(CE1138="D",1,0)+IF(CF1138="D",1,0)+IF(CL1138="D",1,0)+IF(CM1138="D",1,0)+IF(CQ1138="D",1,0)+IF(CR1138="D",1,0)+IF(CS1138="D",1,0)+IF(CW1138="D",1,0)+IF(CX1138="D",1,0)+IF(DD1138="D",1,0)+IF(DE1138="D",1,0)+IF(DJ1138="D",1,0)+IF(DK1138="D",1,0)+IF(DO1138="D",1,0)+IF(DP1138="D",1,0)+IF(DQ1138="D",1,0)+IF(DW1138="D",1,0)+IF(DZ1138="D",1,0)+IF(EH1138="D",1,0)</f>
        <v>0</v>
      </c>
      <c r="AY1138" s="0" t="n">
        <f aca="false">COUNTIF(DU1138:EH1138, "&lt;&gt;")</f>
        <v>0</v>
      </c>
      <c r="AZ1138" s="0" t="n">
        <f aca="false">IF(EH1138&lt;&gt;"",1,0)</f>
        <v>0</v>
      </c>
      <c r="BB1138" s="0" t="s">
        <v>152</v>
      </c>
    </row>
    <row r="1139" customFormat="false" ht="13.8" hidden="true" customHeight="false" outlineLevel="0" collapsed="false">
      <c r="A1139" s="0" t="s">
        <v>5419</v>
      </c>
      <c r="B1139" s="0" t="n">
        <v>78</v>
      </c>
      <c r="C1139" s="0" t="n">
        <v>481094</v>
      </c>
      <c r="D1139" s="0" t="s">
        <v>3212</v>
      </c>
      <c r="E1139" s="0" t="s">
        <v>5420</v>
      </c>
      <c r="F1139" s="0" t="str">
        <f aca="false">CONCATENATE(D1139," ",LEFT(H1139,4),"T=",AU1139,"D=",AV1139,"R=",AW1139,"M=",AX1139,"L=",AY1139,"B=",AZ1139)</f>
        <v>GREGORY T=24D=1R=0M=0L=0B=0</v>
      </c>
      <c r="G1139" s="0" t="s">
        <v>5421</v>
      </c>
      <c r="I1139" s="0" t="s">
        <v>5422</v>
      </c>
      <c r="J1139" s="0" t="s">
        <v>5423</v>
      </c>
      <c r="K1139" s="0" t="s">
        <v>160</v>
      </c>
      <c r="M1139" s="0" t="s">
        <v>5418</v>
      </c>
      <c r="N1139" s="0" t="str">
        <f aca="false">RIGHT(M1139,LEN(M1139)-FIND(" ",M1139))</f>
        <v>KENILWORTH AVE SE</v>
      </c>
      <c r="P1139" s="0" t="s">
        <v>145</v>
      </c>
      <c r="Q1139" s="0" t="s">
        <v>146</v>
      </c>
      <c r="R1139" s="0" t="n">
        <v>44483</v>
      </c>
      <c r="AD1139" s="0" t="s">
        <v>147</v>
      </c>
      <c r="AE1139" s="0" t="s">
        <v>148</v>
      </c>
      <c r="AF1139" s="0" t="s">
        <v>149</v>
      </c>
      <c r="AH1139" s="0" t="n">
        <v>14</v>
      </c>
      <c r="AI1139" s="0" t="n">
        <v>11</v>
      </c>
      <c r="AN1139" s="0" t="s">
        <v>145</v>
      </c>
      <c r="AO1139" s="0" t="s">
        <v>150</v>
      </c>
      <c r="AP1139" s="0" t="s">
        <v>151</v>
      </c>
      <c r="AQ1139" s="0" t="n">
        <v>9</v>
      </c>
      <c r="AR1139" s="0" t="n">
        <v>64</v>
      </c>
      <c r="AS1139" s="0" t="n">
        <v>32</v>
      </c>
      <c r="AU1139" s="0" t="n">
        <f aca="false">COUNTA($BA$639:$EH$639)</f>
        <v>24</v>
      </c>
      <c r="AV1139" s="0" t="n">
        <f aca="false">COUNTIF($BA$639:$EH$639,"D")</f>
        <v>1</v>
      </c>
      <c r="AW1139" s="0" t="n">
        <f aca="false">COUNTIF($BA$639:$EH$639,"R")</f>
        <v>0</v>
      </c>
      <c r="AX1139" s="0" t="n">
        <f aca="false">IF(BN1139="D",1,0)+IF(BO1139="D",1,0)+IF(BT1139="D",1,0)+IF(BU1139="D",1,0)+IF(BW1139="D",1,0)+IF(CC1139="D",1,0)+IF(CD1139="D",1,0)+IF(CE1139="D",1,0)+IF(CF1139="D",1,0)+IF(CL1139="D",1,0)+IF(CM1139="D",1,0)+IF(CQ1139="D",1,0)+IF(CR1139="D",1,0)+IF(CS1139="D",1,0)+IF(CW1139="D",1,0)+IF(CX1139="D",1,0)+IF(DD1139="D",1,0)+IF(DE1139="D",1,0)+IF(DJ1139="D",1,0)+IF(DK1139="D",1,0)+IF(DO1139="D",1,0)+IF(DP1139="D",1,0)+IF(DQ1139="D",1,0)+IF(DW1139="D",1,0)+IF(DZ1139="D",1,0)+IF(EH1139="D",1,0)</f>
        <v>0</v>
      </c>
      <c r="AY1139" s="0" t="n">
        <f aca="false">COUNTIF(DU1139:EH1139, "&lt;&gt;")</f>
        <v>0</v>
      </c>
      <c r="AZ1139" s="0" t="n">
        <f aca="false">IF(EH1139&lt;&gt;"",1,0)</f>
        <v>0</v>
      </c>
      <c r="BB1139" s="0" t="s">
        <v>152</v>
      </c>
    </row>
    <row r="1140" customFormat="false" ht="13.8" hidden="false" customHeight="false" outlineLevel="0" collapsed="false">
      <c r="A1140" s="0" t="s">
        <v>5424</v>
      </c>
      <c r="B1140" s="0" t="n">
        <v>78</v>
      </c>
      <c r="C1140" s="0" t="n">
        <v>354841</v>
      </c>
      <c r="D1140" s="0" t="s">
        <v>5425</v>
      </c>
      <c r="E1140" s="0" t="s">
        <v>4247</v>
      </c>
      <c r="F1140" s="0" t="str">
        <f aca="false">CONCATENATE(D1140," ",LEFT(H1140,4),"T=",AU1140,"D=",AV1140,"R=",AW1140,"M=",AX1140,"L=",AY1140,"B=",AZ1140)</f>
        <v>REEVES T=7D=1R=0M=0L=2B=0</v>
      </c>
      <c r="G1140" s="0" t="s">
        <v>1269</v>
      </c>
      <c r="I1140" s="0" t="s">
        <v>5426</v>
      </c>
      <c r="J1140" s="0" t="s">
        <v>5427</v>
      </c>
      <c r="K1140" s="0" t="s">
        <v>160</v>
      </c>
      <c r="M1140" s="0" t="s">
        <v>5428</v>
      </c>
      <c r="N1140" s="0" t="str">
        <f aca="false">RIGHT(M1140,LEN(M1140)-FIND(" ",M1140))</f>
        <v>KENILWORTH AVE SE</v>
      </c>
      <c r="P1140" s="0" t="s">
        <v>145</v>
      </c>
      <c r="Q1140" s="0" t="s">
        <v>146</v>
      </c>
      <c r="R1140" s="0" t="n">
        <v>44483</v>
      </c>
      <c r="AD1140" s="0" t="s">
        <v>147</v>
      </c>
      <c r="AE1140" s="0" t="s">
        <v>148</v>
      </c>
      <c r="AF1140" s="0" t="s">
        <v>149</v>
      </c>
      <c r="AH1140" s="0" t="n">
        <v>14</v>
      </c>
      <c r="AI1140" s="0" t="n">
        <v>11</v>
      </c>
      <c r="AN1140" s="0" t="s">
        <v>145</v>
      </c>
      <c r="AO1140" s="0" t="s">
        <v>150</v>
      </c>
      <c r="AP1140" s="0" t="s">
        <v>151</v>
      </c>
      <c r="AQ1140" s="0" t="n">
        <v>9</v>
      </c>
      <c r="AR1140" s="0" t="n">
        <v>64</v>
      </c>
      <c r="AS1140" s="0" t="n">
        <v>32</v>
      </c>
      <c r="AU1140" s="0" t="n">
        <f aca="false">COUNTA($BA$315:$EH$315)</f>
        <v>7</v>
      </c>
      <c r="AV1140" s="0" t="n">
        <f aca="false">COUNTIF($BA$315:$EH$315,"D")</f>
        <v>1</v>
      </c>
      <c r="AW1140" s="0" t="n">
        <f aca="false">COUNTIF($BA$315:$EH$315,"R")</f>
        <v>0</v>
      </c>
      <c r="AX1140" s="0" t="n">
        <f aca="false">IF(BN1140="D",1,0)+IF(BO1140="D",1,0)+IF(BT1140="D",1,0)+IF(BU1140="D",1,0)+IF(BW1140="D",1,0)+IF(CC1140="D",1,0)+IF(CD1140="D",1,0)+IF(CE1140="D",1,0)+IF(CF1140="D",1,0)+IF(CL1140="D",1,0)+IF(CM1140="D",1,0)+IF(CQ1140="D",1,0)+IF(CR1140="D",1,0)+IF(CS1140="D",1,0)+IF(CW1140="D",1,0)+IF(CX1140="D",1,0)+IF(DD1140="D",1,0)+IF(DE1140="D",1,0)+IF(DJ1140="D",1,0)+IF(DK1140="D",1,0)+IF(DO1140="D",1,0)+IF(DP1140="D",1,0)+IF(DQ1140="D",1,0)+IF(DW1140="D",1,0)+IF(DZ1140="D",1,0)+IF(EH1140="D",1,0)</f>
        <v>0</v>
      </c>
      <c r="AY1140" s="0" t="n">
        <f aca="false">COUNTIF(DU1140:EH1140, "&lt;&gt;")</f>
        <v>2</v>
      </c>
      <c r="AZ1140" s="0" t="n">
        <f aca="false">IF(EH1140&lt;&gt;"",1,0)</f>
        <v>0</v>
      </c>
      <c r="BB1140" s="0" t="s">
        <v>152</v>
      </c>
      <c r="BY1140" s="0" t="s">
        <v>175</v>
      </c>
      <c r="CA1140" s="0" t="s">
        <v>153</v>
      </c>
      <c r="CP1140" s="0" t="s">
        <v>153</v>
      </c>
      <c r="CY1140" s="0" t="s">
        <v>153</v>
      </c>
      <c r="DC1140" s="0" t="s">
        <v>153</v>
      </c>
      <c r="DI1140" s="0" t="s">
        <v>153</v>
      </c>
      <c r="DM1140" s="0" t="s">
        <v>175</v>
      </c>
      <c r="DN1140" s="0" t="s">
        <v>153</v>
      </c>
      <c r="EA1140" s="0" t="s">
        <v>153</v>
      </c>
      <c r="EF1140" s="0" t="s">
        <v>153</v>
      </c>
    </row>
    <row r="1141" customFormat="false" ht="13.8" hidden="true" customHeight="false" outlineLevel="0" collapsed="false">
      <c r="A1141" s="0" t="s">
        <v>5429</v>
      </c>
      <c r="B1141" s="0" t="n">
        <v>78</v>
      </c>
      <c r="C1141" s="0" t="n">
        <v>314844</v>
      </c>
      <c r="D1141" s="0" t="s">
        <v>5430</v>
      </c>
      <c r="E1141" s="0" t="s">
        <v>1322</v>
      </c>
      <c r="F1141" s="0" t="str">
        <f aca="false">CONCATENATE(D1141," ",LEFT(H1141,4),"T=",AU1141,"D=",AV1141,"R=",AW1141,"M=",AX1141,"L=",AY1141,"B=",AZ1141)</f>
        <v>SHAFER T=1D=0R=0M=0L=1B=0</v>
      </c>
      <c r="G1141" s="0" t="s">
        <v>3676</v>
      </c>
      <c r="I1141" s="0" t="s">
        <v>5431</v>
      </c>
      <c r="J1141" s="0" t="s">
        <v>5432</v>
      </c>
      <c r="K1141" s="0" t="s">
        <v>160</v>
      </c>
      <c r="M1141" s="0" t="s">
        <v>5428</v>
      </c>
      <c r="N1141" s="0" t="str">
        <f aca="false">RIGHT(M1141,LEN(M1141)-FIND(" ",M1141))</f>
        <v>KENILWORTH AVE SE</v>
      </c>
      <c r="P1141" s="0" t="s">
        <v>145</v>
      </c>
      <c r="Q1141" s="0" t="s">
        <v>146</v>
      </c>
      <c r="R1141" s="0" t="n">
        <v>44483</v>
      </c>
      <c r="AD1141" s="0" t="s">
        <v>147</v>
      </c>
      <c r="AE1141" s="0" t="s">
        <v>148</v>
      </c>
      <c r="AF1141" s="0" t="s">
        <v>149</v>
      </c>
      <c r="AH1141" s="0" t="n">
        <v>14</v>
      </c>
      <c r="AI1141" s="0" t="n">
        <v>11</v>
      </c>
      <c r="AN1141" s="0" t="s">
        <v>145</v>
      </c>
      <c r="AO1141" s="0" t="s">
        <v>150</v>
      </c>
      <c r="AP1141" s="0" t="s">
        <v>151</v>
      </c>
      <c r="AQ1141" s="0" t="n">
        <v>9</v>
      </c>
      <c r="AR1141" s="0" t="n">
        <v>64</v>
      </c>
      <c r="AS1141" s="0" t="n">
        <v>32</v>
      </c>
      <c r="AU1141" s="0" t="n">
        <f aca="false">COUNTA($BA$496:$EH$496)</f>
        <v>1</v>
      </c>
      <c r="AV1141" s="0" t="n">
        <f aca="false">COUNTIF($BA$496:$EH$496,"D")</f>
        <v>0</v>
      </c>
      <c r="AW1141" s="0" t="n">
        <f aca="false">COUNTIF($BA$496:$EH$496,"R")</f>
        <v>0</v>
      </c>
      <c r="AX1141" s="0" t="n">
        <f aca="false">IF(BN1141="D",1,0)+IF(BO1141="D",1,0)+IF(BT1141="D",1,0)+IF(BU1141="D",1,0)+IF(BW1141="D",1,0)+IF(CC1141="D",1,0)+IF(CD1141="D",1,0)+IF(CE1141="D",1,0)+IF(CF1141="D",1,0)+IF(CL1141="D",1,0)+IF(CM1141="D",1,0)+IF(CQ1141="D",1,0)+IF(CR1141="D",1,0)+IF(CS1141="D",1,0)+IF(CW1141="D",1,0)+IF(CX1141="D",1,0)+IF(DD1141="D",1,0)+IF(DE1141="D",1,0)+IF(DJ1141="D",1,0)+IF(DK1141="D",1,0)+IF(DO1141="D",1,0)+IF(DP1141="D",1,0)+IF(DQ1141="D",1,0)+IF(DW1141="D",1,0)+IF(DZ1141="D",1,0)+IF(EH1141="D",1,0)</f>
        <v>0</v>
      </c>
      <c r="AY1141" s="0" t="n">
        <f aca="false">COUNTIF(DU1141:EH1141, "&lt;&gt;")</f>
        <v>1</v>
      </c>
      <c r="AZ1141" s="0" t="n">
        <f aca="false">IF(EH1141&lt;&gt;"",1,0)</f>
        <v>0</v>
      </c>
      <c r="BB1141" s="0" t="s">
        <v>152</v>
      </c>
      <c r="BJ1141" s="0" t="s">
        <v>153</v>
      </c>
      <c r="BK1141" s="0" t="s">
        <v>153</v>
      </c>
      <c r="BL1141" s="0" t="s">
        <v>153</v>
      </c>
      <c r="BS1141" s="0" t="s">
        <v>153</v>
      </c>
      <c r="CA1141" s="0" t="s">
        <v>153</v>
      </c>
      <c r="CP1141" s="0" t="s">
        <v>153</v>
      </c>
      <c r="CY1141" s="0" t="s">
        <v>153</v>
      </c>
      <c r="DC1141" s="0" t="s">
        <v>153</v>
      </c>
      <c r="DI1141" s="0" t="s">
        <v>153</v>
      </c>
      <c r="DN1141" s="0" t="s">
        <v>153</v>
      </c>
      <c r="EF1141" s="0" t="s">
        <v>153</v>
      </c>
    </row>
    <row r="1142" customFormat="false" ht="13.8" hidden="true" customHeight="false" outlineLevel="0" collapsed="false">
      <c r="A1142" s="0" t="s">
        <v>5433</v>
      </c>
      <c r="B1142" s="0" t="n">
        <v>78</v>
      </c>
      <c r="C1142" s="0" t="n">
        <v>400590</v>
      </c>
      <c r="D1142" s="0" t="s">
        <v>5434</v>
      </c>
      <c r="E1142" s="0" t="s">
        <v>5435</v>
      </c>
      <c r="F1142" s="0" t="str">
        <f aca="false">CONCATENATE(D1142," ",LEFT(H1142,4),"T=",AU1142,"D=",AV1142,"R=",AW1142,"M=",AX1142,"L=",AY1142,"B=",AZ1142)</f>
        <v>MARIN T=11D=3R=0M=0L=0B=0</v>
      </c>
      <c r="G1142" s="0" t="s">
        <v>175</v>
      </c>
      <c r="I1142" s="0" t="s">
        <v>5436</v>
      </c>
      <c r="J1142" s="0" t="s">
        <v>5437</v>
      </c>
      <c r="K1142" s="0" t="s">
        <v>143</v>
      </c>
      <c r="M1142" s="0" t="s">
        <v>5438</v>
      </c>
      <c r="N1142" s="0" t="str">
        <f aca="false">RIGHT(M1142,LEN(M1142)-FIND(" ",M1142))</f>
        <v>KENILWORTH AVE SE</v>
      </c>
      <c r="P1142" s="0" t="s">
        <v>145</v>
      </c>
      <c r="Q1142" s="0" t="s">
        <v>146</v>
      </c>
      <c r="R1142" s="0" t="n">
        <v>44483</v>
      </c>
      <c r="AD1142" s="0" t="s">
        <v>147</v>
      </c>
      <c r="AE1142" s="0" t="s">
        <v>148</v>
      </c>
      <c r="AF1142" s="0" t="s">
        <v>149</v>
      </c>
      <c r="AH1142" s="0" t="n">
        <v>14</v>
      </c>
      <c r="AI1142" s="0" t="n">
        <v>11</v>
      </c>
      <c r="AN1142" s="0" t="s">
        <v>145</v>
      </c>
      <c r="AO1142" s="0" t="s">
        <v>150</v>
      </c>
      <c r="AP1142" s="0" t="s">
        <v>151</v>
      </c>
      <c r="AQ1142" s="0" t="n">
        <v>9</v>
      </c>
      <c r="AR1142" s="0" t="n">
        <v>64</v>
      </c>
      <c r="AS1142" s="0" t="n">
        <v>32</v>
      </c>
      <c r="AU1142" s="0" t="n">
        <f aca="false">COUNTA($BA$206:$EH$206)</f>
        <v>11</v>
      </c>
      <c r="AV1142" s="0" t="n">
        <f aca="false">COUNTIF($BA$206:$EH$206,"D")</f>
        <v>3</v>
      </c>
      <c r="AW1142" s="0" t="n">
        <f aca="false">COUNTIF($BA$206:$EH$206,"R")</f>
        <v>0</v>
      </c>
      <c r="AX1142" s="0" t="n">
        <f aca="false">IF(BN1142="D",1,0)+IF(BO1142="D",1,0)+IF(BT1142="D",1,0)+IF(BU1142="D",1,0)+IF(BW1142="D",1,0)+IF(CC1142="D",1,0)+IF(CD1142="D",1,0)+IF(CE1142="D",1,0)+IF(CF1142="D",1,0)+IF(CL1142="D",1,0)+IF(CM1142="D",1,0)+IF(CQ1142="D",1,0)+IF(CR1142="D",1,0)+IF(CS1142="D",1,0)+IF(CW1142="D",1,0)+IF(CX1142="D",1,0)+IF(DD1142="D",1,0)+IF(DE1142="D",1,0)+IF(DJ1142="D",1,0)+IF(DK1142="D",1,0)+IF(DO1142="D",1,0)+IF(DP1142="D",1,0)+IF(DQ1142="D",1,0)+IF(DW1142="D",1,0)+IF(DZ1142="D",1,0)+IF(EH1142="D",1,0)</f>
        <v>0</v>
      </c>
      <c r="AY1142" s="0" t="n">
        <f aca="false">COUNTIF(DU1142:EH1142, "&lt;&gt;")</f>
        <v>0</v>
      </c>
      <c r="AZ1142" s="0" t="n">
        <f aca="false">IF(EH1142&lt;&gt;"",1,0)</f>
        <v>0</v>
      </c>
      <c r="BB1142" s="0" t="s">
        <v>152</v>
      </c>
    </row>
    <row r="1143" customFormat="false" ht="13.8" hidden="true" customHeight="false" outlineLevel="0" collapsed="false">
      <c r="A1143" s="0" t="s">
        <v>5439</v>
      </c>
      <c r="B1143" s="0" t="n">
        <v>78</v>
      </c>
      <c r="C1143" s="0" t="n">
        <v>491243</v>
      </c>
      <c r="D1143" s="0" t="s">
        <v>5440</v>
      </c>
      <c r="E1143" s="0" t="s">
        <v>658</v>
      </c>
      <c r="F1143" s="0" t="str">
        <f aca="false">CONCATENATE(D1143," ",LEFT(H1143,4),"T=",AU1143,"D=",AV1143,"R=",AW1143,"M=",AX1143,"L=",AY1143,"B=",AZ1143)</f>
        <v>ADAMSON T=1D=0R=0M=0L=1B=0</v>
      </c>
      <c r="G1143" s="0" t="s">
        <v>190</v>
      </c>
      <c r="I1143" s="0" t="s">
        <v>5441</v>
      </c>
      <c r="J1143" s="0" t="s">
        <v>5442</v>
      </c>
      <c r="K1143" s="0" t="s">
        <v>160</v>
      </c>
      <c r="M1143" s="0" t="s">
        <v>5443</v>
      </c>
      <c r="N1143" s="0" t="str">
        <f aca="false">RIGHT(M1143,LEN(M1143)-FIND(" ",M1143))</f>
        <v>KENILWORTH AVE SE</v>
      </c>
      <c r="P1143" s="0" t="s">
        <v>145</v>
      </c>
      <c r="Q1143" s="0" t="s">
        <v>146</v>
      </c>
      <c r="R1143" s="0" t="n">
        <v>44483</v>
      </c>
      <c r="AD1143" s="0" t="s">
        <v>147</v>
      </c>
      <c r="AE1143" s="0" t="s">
        <v>148</v>
      </c>
      <c r="AF1143" s="0" t="s">
        <v>149</v>
      </c>
      <c r="AH1143" s="0" t="n">
        <v>14</v>
      </c>
      <c r="AI1143" s="0" t="n">
        <v>11</v>
      </c>
      <c r="AN1143" s="0" t="s">
        <v>145</v>
      </c>
      <c r="AO1143" s="0" t="s">
        <v>150</v>
      </c>
      <c r="AP1143" s="0" t="s">
        <v>151</v>
      </c>
      <c r="AQ1143" s="0" t="n">
        <v>9</v>
      </c>
      <c r="AR1143" s="0" t="n">
        <v>64</v>
      </c>
      <c r="AS1143" s="0" t="n">
        <v>32</v>
      </c>
      <c r="AU1143" s="0" t="n">
        <f aca="false">COUNTA($BA$381:$EH$381)</f>
        <v>1</v>
      </c>
      <c r="AV1143" s="0" t="n">
        <f aca="false">COUNTIF($BA$381:$EH$381,"D")</f>
        <v>0</v>
      </c>
      <c r="AW1143" s="0" t="n">
        <f aca="false">COUNTIF($BA$381:$EH$381,"R")</f>
        <v>0</v>
      </c>
      <c r="AX1143" s="0" t="n">
        <f aca="false">IF(BN1143="D",1,0)+IF(BO1143="D",1,0)+IF(BT1143="D",1,0)+IF(BU1143="D",1,0)+IF(BW1143="D",1,0)+IF(CC1143="D",1,0)+IF(CD1143="D",1,0)+IF(CE1143="D",1,0)+IF(CF1143="D",1,0)+IF(CL1143="D",1,0)+IF(CM1143="D",1,0)+IF(CQ1143="D",1,0)+IF(CR1143="D",1,0)+IF(CS1143="D",1,0)+IF(CW1143="D",1,0)+IF(CX1143="D",1,0)+IF(DD1143="D",1,0)+IF(DE1143="D",1,0)+IF(DJ1143="D",1,0)+IF(DK1143="D",1,0)+IF(DO1143="D",1,0)+IF(DP1143="D",1,0)+IF(DQ1143="D",1,0)+IF(DW1143="D",1,0)+IF(DZ1143="D",1,0)+IF(EH1143="D",1,0)</f>
        <v>0</v>
      </c>
      <c r="AY1143" s="0" t="n">
        <f aca="false">COUNTIF(DU1143:EH1143, "&lt;&gt;")</f>
        <v>1</v>
      </c>
      <c r="AZ1143" s="0" t="n">
        <f aca="false">IF(EH1143&lt;&gt;"",1,0)</f>
        <v>0</v>
      </c>
      <c r="BB1143" s="0" t="s">
        <v>152</v>
      </c>
      <c r="EF1143" s="0" t="s">
        <v>153</v>
      </c>
    </row>
    <row r="1144" customFormat="false" ht="13.8" hidden="false" customHeight="false" outlineLevel="0" collapsed="false">
      <c r="A1144" s="0" t="s">
        <v>5444</v>
      </c>
      <c r="B1144" s="0" t="n">
        <v>78</v>
      </c>
      <c r="C1144" s="0" t="n">
        <v>13574</v>
      </c>
      <c r="D1144" s="0" t="s">
        <v>5445</v>
      </c>
      <c r="E1144" s="0" t="s">
        <v>224</v>
      </c>
      <c r="F1144" s="0" t="str">
        <f aca="false">CONCATENATE(D1144," ",LEFT(H1144,4),"T=",AU1144,"D=",AV1144,"R=",AW1144,"M=",AX1144,"L=",AY1144,"B=",AZ1144)</f>
        <v>LODY T=6D=0R=0M=0L=3B=0</v>
      </c>
      <c r="G1144" s="0" t="s">
        <v>164</v>
      </c>
      <c r="I1144" s="0" t="s">
        <v>5446</v>
      </c>
      <c r="J1144" s="0" t="s">
        <v>3127</v>
      </c>
      <c r="K1144" s="0" t="s">
        <v>160</v>
      </c>
      <c r="M1144" s="0" t="s">
        <v>5447</v>
      </c>
      <c r="N1144" s="0" t="str">
        <f aca="false">RIGHT(M1144,LEN(M1144)-FIND(" ",M1144))</f>
        <v>KENILWORTH AVE SE</v>
      </c>
      <c r="P1144" s="0" t="s">
        <v>145</v>
      </c>
      <c r="Q1144" s="0" t="s">
        <v>146</v>
      </c>
      <c r="R1144" s="0" t="n">
        <v>44483</v>
      </c>
      <c r="AD1144" s="0" t="s">
        <v>147</v>
      </c>
      <c r="AE1144" s="0" t="s">
        <v>148</v>
      </c>
      <c r="AF1144" s="0" t="s">
        <v>149</v>
      </c>
      <c r="AH1144" s="0" t="n">
        <v>14</v>
      </c>
      <c r="AI1144" s="0" t="n">
        <v>11</v>
      </c>
      <c r="AN1144" s="0" t="s">
        <v>145</v>
      </c>
      <c r="AO1144" s="0" t="s">
        <v>150</v>
      </c>
      <c r="AP1144" s="0" t="s">
        <v>151</v>
      </c>
      <c r="AQ1144" s="0" t="n">
        <v>9</v>
      </c>
      <c r="AR1144" s="0" t="n">
        <v>64</v>
      </c>
      <c r="AS1144" s="0" t="n">
        <v>32</v>
      </c>
      <c r="AU1144" s="0" t="n">
        <f aca="false">COUNTA($BA$361:$EH$361)</f>
        <v>6</v>
      </c>
      <c r="AV1144" s="0" t="n">
        <f aca="false">COUNTIF($BA$361:$EH$361,"D")</f>
        <v>0</v>
      </c>
      <c r="AW1144" s="0" t="n">
        <f aca="false">COUNTIF($BA$361:$EH$361,"R")</f>
        <v>0</v>
      </c>
      <c r="AX1144" s="0" t="n">
        <f aca="false">IF(BN1144="D",1,0)+IF(BO1144="D",1,0)+IF(BT1144="D",1,0)+IF(BU1144="D",1,0)+IF(BW1144="D",1,0)+IF(CC1144="D",1,0)+IF(CD1144="D",1,0)+IF(CE1144="D",1,0)+IF(CF1144="D",1,0)+IF(CL1144="D",1,0)+IF(CM1144="D",1,0)+IF(CQ1144="D",1,0)+IF(CR1144="D",1,0)+IF(CS1144="D",1,0)+IF(CW1144="D",1,0)+IF(CX1144="D",1,0)+IF(DD1144="D",1,0)+IF(DE1144="D",1,0)+IF(DJ1144="D",1,0)+IF(DK1144="D",1,0)+IF(DO1144="D",1,0)+IF(DP1144="D",1,0)+IF(DQ1144="D",1,0)+IF(DW1144="D",1,0)+IF(DZ1144="D",1,0)+IF(EH1144="D",1,0)</f>
        <v>0</v>
      </c>
      <c r="AY1144" s="0" t="n">
        <f aca="false">COUNTIF(DU1144:EH1144, "&lt;&gt;")</f>
        <v>3</v>
      </c>
      <c r="AZ1144" s="0" t="n">
        <f aca="false">IF(EH1144&lt;&gt;"",1,0)</f>
        <v>0</v>
      </c>
      <c r="BB1144" s="0" t="s">
        <v>152</v>
      </c>
      <c r="BC1144" s="0" t="s">
        <v>153</v>
      </c>
      <c r="BD1144" s="0" t="s">
        <v>153</v>
      </c>
      <c r="BE1144" s="0" t="s">
        <v>153</v>
      </c>
      <c r="BF1144" s="0" t="s">
        <v>153</v>
      </c>
      <c r="BG1144" s="0" t="s">
        <v>153</v>
      </c>
      <c r="BH1144" s="0" t="s">
        <v>153</v>
      </c>
      <c r="BI1144" s="0" t="s">
        <v>153</v>
      </c>
      <c r="BJ1144" s="0" t="s">
        <v>153</v>
      </c>
      <c r="BL1144" s="0" t="s">
        <v>153</v>
      </c>
      <c r="BP1144" s="0" t="s">
        <v>153</v>
      </c>
      <c r="BR1144" s="0" t="s">
        <v>153</v>
      </c>
      <c r="BS1144" s="0" t="s">
        <v>153</v>
      </c>
      <c r="BT1144" s="0" t="s">
        <v>153</v>
      </c>
      <c r="BV1144" s="0" t="s">
        <v>153</v>
      </c>
      <c r="BY1144" s="0" t="s">
        <v>209</v>
      </c>
      <c r="CA1144" s="0" t="s">
        <v>153</v>
      </c>
      <c r="CG1144" s="0" t="s">
        <v>153</v>
      </c>
      <c r="CH1144" s="0" t="s">
        <v>209</v>
      </c>
      <c r="CK1144" s="0" t="s">
        <v>153</v>
      </c>
      <c r="CN1144" s="0" t="s">
        <v>153</v>
      </c>
      <c r="CO1144" s="0" t="s">
        <v>209</v>
      </c>
      <c r="CP1144" s="0" t="s">
        <v>153</v>
      </c>
      <c r="CT1144" s="0" t="s">
        <v>153</v>
      </c>
      <c r="CV1144" s="0" t="s">
        <v>153</v>
      </c>
      <c r="CY1144" s="0" t="s">
        <v>153</v>
      </c>
      <c r="CZ1144" s="0" t="s">
        <v>209</v>
      </c>
      <c r="DC1144" s="0" t="s">
        <v>153</v>
      </c>
      <c r="DG1144" s="0" t="s">
        <v>209</v>
      </c>
      <c r="DI1144" s="0" t="s">
        <v>153</v>
      </c>
      <c r="DL1144" s="0" t="s">
        <v>153</v>
      </c>
      <c r="DN1144" s="0" t="s">
        <v>153</v>
      </c>
      <c r="DR1144" s="0" t="s">
        <v>153</v>
      </c>
      <c r="DW1144" s="0" t="s">
        <v>153</v>
      </c>
      <c r="EA1144" s="0" t="s">
        <v>153</v>
      </c>
      <c r="ED1144" s="0" t="s">
        <v>153</v>
      </c>
    </row>
    <row r="1145" customFormat="false" ht="13.8" hidden="false" customHeight="false" outlineLevel="0" collapsed="false">
      <c r="A1145" s="0" t="s">
        <v>5448</v>
      </c>
      <c r="B1145" s="0" t="n">
        <v>78</v>
      </c>
      <c r="C1145" s="0" t="n">
        <v>13573</v>
      </c>
      <c r="D1145" s="0" t="s">
        <v>5445</v>
      </c>
      <c r="E1145" s="0" t="s">
        <v>747</v>
      </c>
      <c r="F1145" s="0" t="str">
        <f aca="false">CONCATENATE(D1145," ",LEFT(H1145,4),"T=",AU1145,"D=",AV1145,"R=",AW1145,"M=",AX1145,"L=",AY1145,"B=",AZ1145)</f>
        <v>LODY T=3D=0R=0M=0L=7B=1</v>
      </c>
      <c r="G1145" s="0" t="s">
        <v>190</v>
      </c>
      <c r="I1145" s="0" t="s">
        <v>5449</v>
      </c>
      <c r="J1145" s="0" t="s">
        <v>3127</v>
      </c>
      <c r="K1145" s="0" t="s">
        <v>160</v>
      </c>
      <c r="L1145" s="0" t="s">
        <v>209</v>
      </c>
      <c r="M1145" s="0" t="s">
        <v>5447</v>
      </c>
      <c r="N1145" s="0" t="str">
        <f aca="false">RIGHT(M1145,LEN(M1145)-FIND(" ",M1145))</f>
        <v>KENILWORTH AVE SE</v>
      </c>
      <c r="P1145" s="0" t="s">
        <v>145</v>
      </c>
      <c r="Q1145" s="0" t="s">
        <v>146</v>
      </c>
      <c r="R1145" s="0" t="n">
        <v>44483</v>
      </c>
      <c r="AD1145" s="0" t="s">
        <v>147</v>
      </c>
      <c r="AE1145" s="0" t="s">
        <v>148</v>
      </c>
      <c r="AF1145" s="0" t="s">
        <v>149</v>
      </c>
      <c r="AH1145" s="0" t="n">
        <v>14</v>
      </c>
      <c r="AI1145" s="0" t="n">
        <v>11</v>
      </c>
      <c r="AN1145" s="0" t="s">
        <v>145</v>
      </c>
      <c r="AO1145" s="0" t="s">
        <v>150</v>
      </c>
      <c r="AP1145" s="0" t="s">
        <v>151</v>
      </c>
      <c r="AQ1145" s="0" t="n">
        <v>9</v>
      </c>
      <c r="AR1145" s="0" t="n">
        <v>64</v>
      </c>
      <c r="AS1145" s="0" t="n">
        <v>32</v>
      </c>
      <c r="AU1145" s="0" t="n">
        <f aca="false">COUNTA($BA$367:$EH$367)</f>
        <v>3</v>
      </c>
      <c r="AV1145" s="0" t="n">
        <f aca="false">COUNTIF($BA$367:$EH$367,"D")</f>
        <v>0</v>
      </c>
      <c r="AW1145" s="0" t="n">
        <f aca="false">COUNTIF($BA$367:$EH$367,"R")</f>
        <v>0</v>
      </c>
      <c r="AX1145" s="0" t="n">
        <f aca="false">IF(BN1145="D",1,0)+IF(BO1145="D",1,0)+IF(BT1145="D",1,0)+IF(BU1145="D",1,0)+IF(BW1145="D",1,0)+IF(CC1145="D",1,0)+IF(CD1145="D",1,0)+IF(CE1145="D",1,0)+IF(CF1145="D",1,0)+IF(CL1145="D",1,0)+IF(CM1145="D",1,0)+IF(CQ1145="D",1,0)+IF(CR1145="D",1,0)+IF(CS1145="D",1,0)+IF(CW1145="D",1,0)+IF(CX1145="D",1,0)+IF(DD1145="D",1,0)+IF(DE1145="D",1,0)+IF(DJ1145="D",1,0)+IF(DK1145="D",1,0)+IF(DO1145="D",1,0)+IF(DP1145="D",1,0)+IF(DQ1145="D",1,0)+IF(DW1145="D",1,0)+IF(DZ1145="D",1,0)+IF(EH1145="D",1,0)</f>
        <v>0</v>
      </c>
      <c r="AY1145" s="0" t="n">
        <f aca="false">COUNTIF(DU1145:EH1145, "&lt;&gt;")</f>
        <v>7</v>
      </c>
      <c r="AZ1145" s="0" t="n">
        <f aca="false">IF(EH1145&lt;&gt;"",1,0)</f>
        <v>1</v>
      </c>
      <c r="BB1145" s="0" t="s">
        <v>152</v>
      </c>
      <c r="BC1145" s="0" t="s">
        <v>153</v>
      </c>
      <c r="BD1145" s="0" t="s">
        <v>153</v>
      </c>
      <c r="BE1145" s="0" t="s">
        <v>153</v>
      </c>
      <c r="BF1145" s="0" t="s">
        <v>153</v>
      </c>
      <c r="BG1145" s="0" t="s">
        <v>153</v>
      </c>
      <c r="BH1145" s="0" t="s">
        <v>153</v>
      </c>
      <c r="BI1145" s="0" t="s">
        <v>153</v>
      </c>
      <c r="BJ1145" s="0" t="s">
        <v>153</v>
      </c>
      <c r="BL1145" s="0" t="s">
        <v>153</v>
      </c>
      <c r="BP1145" s="0" t="s">
        <v>153</v>
      </c>
      <c r="BR1145" s="0" t="s">
        <v>153</v>
      </c>
      <c r="BS1145" s="0" t="s">
        <v>153</v>
      </c>
      <c r="BT1145" s="0" t="s">
        <v>153</v>
      </c>
      <c r="BV1145" s="0" t="s">
        <v>153</v>
      </c>
      <c r="BY1145" s="0" t="s">
        <v>209</v>
      </c>
      <c r="CA1145" s="0" t="s">
        <v>153</v>
      </c>
      <c r="CG1145" s="0" t="s">
        <v>153</v>
      </c>
      <c r="CH1145" s="0" t="s">
        <v>209</v>
      </c>
      <c r="CK1145" s="0" t="s">
        <v>153</v>
      </c>
      <c r="CN1145" s="0" t="s">
        <v>153</v>
      </c>
      <c r="CO1145" s="0" t="s">
        <v>209</v>
      </c>
      <c r="CP1145" s="0" t="s">
        <v>153</v>
      </c>
      <c r="CT1145" s="0" t="s">
        <v>153</v>
      </c>
      <c r="CV1145" s="0" t="s">
        <v>153</v>
      </c>
      <c r="CY1145" s="0" t="s">
        <v>153</v>
      </c>
      <c r="CZ1145" s="0" t="s">
        <v>209</v>
      </c>
      <c r="DC1145" s="0" t="s">
        <v>153</v>
      </c>
      <c r="DF1145" s="0" t="s">
        <v>153</v>
      </c>
      <c r="DG1145" s="0" t="s">
        <v>209</v>
      </c>
      <c r="DI1145" s="0" t="s">
        <v>153</v>
      </c>
      <c r="DL1145" s="0" t="s">
        <v>153</v>
      </c>
      <c r="DN1145" s="0" t="s">
        <v>153</v>
      </c>
      <c r="DR1145" s="0" t="s">
        <v>153</v>
      </c>
      <c r="DS1145" s="0" t="s">
        <v>209</v>
      </c>
      <c r="DT1145" s="0" t="s">
        <v>209</v>
      </c>
      <c r="DU1145" s="0" t="s">
        <v>153</v>
      </c>
      <c r="DW1145" s="0" t="s">
        <v>153</v>
      </c>
      <c r="DX1145" s="0" t="s">
        <v>153</v>
      </c>
      <c r="EA1145" s="0" t="s">
        <v>153</v>
      </c>
      <c r="ED1145" s="0" t="s">
        <v>209</v>
      </c>
      <c r="EF1145" s="0" t="s">
        <v>153</v>
      </c>
      <c r="EH1145" s="0" t="s">
        <v>153</v>
      </c>
    </row>
    <row r="1146" customFormat="false" ht="13.8" hidden="true" customHeight="false" outlineLevel="0" collapsed="false">
      <c r="A1146" s="0" t="s">
        <v>5450</v>
      </c>
      <c r="B1146" s="0" t="n">
        <v>78</v>
      </c>
      <c r="C1146" s="0" t="n">
        <v>396568</v>
      </c>
      <c r="D1146" s="0" t="s">
        <v>5451</v>
      </c>
      <c r="E1146" s="0" t="s">
        <v>5452</v>
      </c>
      <c r="F1146" s="0" t="str">
        <f aca="false">CONCATENATE(D1146," ",LEFT(H1146,4),"T=",AU1146,"D=",AV1146,"R=",AW1146,"M=",AX1146,"L=",AY1146,"B=",AZ1146)</f>
        <v>HULLIHEN T=16D=2R=0M=0L=1B=0</v>
      </c>
      <c r="G1146" s="0" t="s">
        <v>325</v>
      </c>
      <c r="I1146" s="0" t="s">
        <v>5453</v>
      </c>
      <c r="J1146" s="0" t="s">
        <v>1010</v>
      </c>
      <c r="K1146" s="0" t="s">
        <v>160</v>
      </c>
      <c r="M1146" s="0" t="s">
        <v>5454</v>
      </c>
      <c r="N1146" s="0" t="str">
        <f aca="false">RIGHT(M1146,LEN(M1146)-FIND(" ",M1146))</f>
        <v>KENILWORTH AVE SE</v>
      </c>
      <c r="P1146" s="0" t="s">
        <v>145</v>
      </c>
      <c r="Q1146" s="0" t="s">
        <v>146</v>
      </c>
      <c r="R1146" s="0" t="n">
        <v>44483</v>
      </c>
      <c r="AD1146" s="0" t="s">
        <v>147</v>
      </c>
      <c r="AE1146" s="0" t="s">
        <v>148</v>
      </c>
      <c r="AF1146" s="0" t="s">
        <v>149</v>
      </c>
      <c r="AH1146" s="0" t="n">
        <v>14</v>
      </c>
      <c r="AI1146" s="0" t="n">
        <v>11</v>
      </c>
      <c r="AN1146" s="0" t="s">
        <v>145</v>
      </c>
      <c r="AO1146" s="0" t="s">
        <v>150</v>
      </c>
      <c r="AP1146" s="0" t="s">
        <v>151</v>
      </c>
      <c r="AQ1146" s="0" t="n">
        <v>9</v>
      </c>
      <c r="AR1146" s="0" t="n">
        <v>64</v>
      </c>
      <c r="AS1146" s="0" t="n">
        <v>32</v>
      </c>
      <c r="AU1146" s="0" t="n">
        <f aca="false">COUNTA($BA$136:$EH$136)</f>
        <v>16</v>
      </c>
      <c r="AV1146" s="0" t="n">
        <f aca="false">COUNTIF($BA$136:$EH$136,"D")</f>
        <v>2</v>
      </c>
      <c r="AW1146" s="0" t="n">
        <f aca="false">COUNTIF($BA$136:$EH$136,"R")</f>
        <v>0</v>
      </c>
      <c r="AX1146" s="0" t="n">
        <f aca="false">IF(BN1146="D",1,0)+IF(BO1146="D",1,0)+IF(BT1146="D",1,0)+IF(BU1146="D",1,0)+IF(BW1146="D",1,0)+IF(CC1146="D",1,0)+IF(CD1146="D",1,0)+IF(CE1146="D",1,0)+IF(CF1146="D",1,0)+IF(CL1146="D",1,0)+IF(CM1146="D",1,0)+IF(CQ1146="D",1,0)+IF(CR1146="D",1,0)+IF(CS1146="D",1,0)+IF(CW1146="D",1,0)+IF(CX1146="D",1,0)+IF(DD1146="D",1,0)+IF(DE1146="D",1,0)+IF(DJ1146="D",1,0)+IF(DK1146="D",1,0)+IF(DO1146="D",1,0)+IF(DP1146="D",1,0)+IF(DQ1146="D",1,0)+IF(DW1146="D",1,0)+IF(DZ1146="D",1,0)+IF(EH1146="D",1,0)</f>
        <v>0</v>
      </c>
      <c r="AY1146" s="0" t="n">
        <f aca="false">COUNTIF(DU1146:EH1146, "&lt;&gt;")</f>
        <v>1</v>
      </c>
      <c r="AZ1146" s="0" t="n">
        <f aca="false">IF(EH1146&lt;&gt;"",1,0)</f>
        <v>0</v>
      </c>
      <c r="BB1146" s="0" t="s">
        <v>152</v>
      </c>
      <c r="DC1146" s="0" t="s">
        <v>153</v>
      </c>
      <c r="DI1146" s="0" t="s">
        <v>153</v>
      </c>
      <c r="DN1146" s="0" t="s">
        <v>153</v>
      </c>
      <c r="EF1146" s="0" t="s">
        <v>153</v>
      </c>
    </row>
    <row r="1147" customFormat="false" ht="13.8" hidden="true" customHeight="false" outlineLevel="0" collapsed="false">
      <c r="A1147" s="0" t="s">
        <v>5455</v>
      </c>
      <c r="B1147" s="0" t="n">
        <v>78</v>
      </c>
      <c r="C1147" s="0" t="n">
        <v>413314</v>
      </c>
      <c r="D1147" s="0" t="s">
        <v>3012</v>
      </c>
      <c r="E1147" s="0" t="s">
        <v>248</v>
      </c>
      <c r="F1147" s="0" t="str">
        <f aca="false">CONCATENATE(D1147," ",LEFT(H1147,4),"T=",AU1147,"D=",AV1147,"R=",AW1147,"M=",AX1147,"L=",AY1147,"B=",AZ1147)</f>
        <v>CHIN T=9D=1R=0M=0L=1B=0</v>
      </c>
      <c r="G1147" s="0" t="s">
        <v>164</v>
      </c>
      <c r="I1147" s="0" t="s">
        <v>5456</v>
      </c>
      <c r="J1147" s="0" t="s">
        <v>5457</v>
      </c>
      <c r="K1147" s="0" t="s">
        <v>160</v>
      </c>
      <c r="M1147" s="0" t="s">
        <v>5454</v>
      </c>
      <c r="N1147" s="0" t="str">
        <f aca="false">RIGHT(M1147,LEN(M1147)-FIND(" ",M1147))</f>
        <v>KENILWORTH AVE SE</v>
      </c>
      <c r="P1147" s="0" t="s">
        <v>145</v>
      </c>
      <c r="Q1147" s="0" t="s">
        <v>146</v>
      </c>
      <c r="R1147" s="0" t="n">
        <v>44483</v>
      </c>
      <c r="AD1147" s="0" t="s">
        <v>147</v>
      </c>
      <c r="AE1147" s="0" t="s">
        <v>148</v>
      </c>
      <c r="AF1147" s="0" t="s">
        <v>149</v>
      </c>
      <c r="AH1147" s="0" t="n">
        <v>14</v>
      </c>
      <c r="AI1147" s="0" t="n">
        <v>11</v>
      </c>
      <c r="AN1147" s="0" t="s">
        <v>145</v>
      </c>
      <c r="AO1147" s="0" t="s">
        <v>150</v>
      </c>
      <c r="AP1147" s="0" t="s">
        <v>151</v>
      </c>
      <c r="AQ1147" s="0" t="n">
        <v>9</v>
      </c>
      <c r="AR1147" s="0" t="n">
        <v>64</v>
      </c>
      <c r="AS1147" s="0" t="n">
        <v>32</v>
      </c>
      <c r="AU1147" s="0" t="n">
        <f aca="false">COUNTA($BA$862:$EH$862)</f>
        <v>9</v>
      </c>
      <c r="AV1147" s="0" t="n">
        <f aca="false">COUNTIF($BA$862:$EH$862,"D")</f>
        <v>1</v>
      </c>
      <c r="AW1147" s="0" t="n">
        <f aca="false">COUNTIF($BA$862:$EH$862,"R")</f>
        <v>0</v>
      </c>
      <c r="AX1147" s="0" t="n">
        <f aca="false">IF(BN1147="D",1,0)+IF(BO1147="D",1,0)+IF(BT1147="D",1,0)+IF(BU1147="D",1,0)+IF(BW1147="D",1,0)+IF(CC1147="D",1,0)+IF(CD1147="D",1,0)+IF(CE1147="D",1,0)+IF(CF1147="D",1,0)+IF(CL1147="D",1,0)+IF(CM1147="D",1,0)+IF(CQ1147="D",1,0)+IF(CR1147="D",1,0)+IF(CS1147="D",1,0)+IF(CW1147="D",1,0)+IF(CX1147="D",1,0)+IF(DD1147="D",1,0)+IF(DE1147="D",1,0)+IF(DJ1147="D",1,0)+IF(DK1147="D",1,0)+IF(DO1147="D",1,0)+IF(DP1147="D",1,0)+IF(DQ1147="D",1,0)+IF(DW1147="D",1,0)+IF(DZ1147="D",1,0)+IF(EH1147="D",1,0)</f>
        <v>0</v>
      </c>
      <c r="AY1147" s="0" t="n">
        <f aca="false">COUNTIF(DU1147:EH1147, "&lt;&gt;")</f>
        <v>1</v>
      </c>
      <c r="AZ1147" s="0" t="n">
        <f aca="false">IF(EH1147&lt;&gt;"",1,0)</f>
        <v>0</v>
      </c>
      <c r="BB1147" s="0" t="s">
        <v>152</v>
      </c>
      <c r="DI1147" s="0" t="s">
        <v>153</v>
      </c>
      <c r="EF1147" s="0" t="s">
        <v>153</v>
      </c>
    </row>
    <row r="1148" customFormat="false" ht="13.8" hidden="true" customHeight="false" outlineLevel="0" collapsed="false">
      <c r="A1148" s="0" t="s">
        <v>5458</v>
      </c>
      <c r="B1148" s="0" t="n">
        <v>78</v>
      </c>
      <c r="C1148" s="0" t="n">
        <v>415574</v>
      </c>
      <c r="D1148" s="0" t="s">
        <v>1764</v>
      </c>
      <c r="E1148" s="0" t="s">
        <v>756</v>
      </c>
      <c r="F1148" s="0" t="str">
        <f aca="false">CONCATENATE(D1148," ",LEFT(H1148,4),"T=",AU1148,"D=",AV1148,"R=",AW1148,"M=",AX1148,"L=",AY1148,"B=",AZ1148)</f>
        <v>MOORE T=1D=0R=0M=0L=0B=0</v>
      </c>
      <c r="G1148" s="0" t="s">
        <v>325</v>
      </c>
      <c r="I1148" s="0" t="s">
        <v>5459</v>
      </c>
      <c r="J1148" s="0" t="s">
        <v>5460</v>
      </c>
      <c r="K1148" s="0" t="s">
        <v>143</v>
      </c>
      <c r="M1148" s="0" t="s">
        <v>5461</v>
      </c>
      <c r="N1148" s="0" t="str">
        <f aca="false">RIGHT(M1148,LEN(M1148)-FIND(" ",M1148))</f>
        <v>KENILWORTH AVE SE</v>
      </c>
      <c r="P1148" s="0" t="s">
        <v>145</v>
      </c>
      <c r="Q1148" s="0" t="s">
        <v>146</v>
      </c>
      <c r="R1148" s="0" t="n">
        <v>44483</v>
      </c>
      <c r="AD1148" s="0" t="s">
        <v>147</v>
      </c>
      <c r="AE1148" s="0" t="s">
        <v>148</v>
      </c>
      <c r="AF1148" s="0" t="s">
        <v>149</v>
      </c>
      <c r="AH1148" s="0" t="n">
        <v>14</v>
      </c>
      <c r="AI1148" s="0" t="n">
        <v>11</v>
      </c>
      <c r="AN1148" s="0" t="s">
        <v>145</v>
      </c>
      <c r="AO1148" s="0" t="s">
        <v>150</v>
      </c>
      <c r="AP1148" s="0" t="s">
        <v>151</v>
      </c>
      <c r="AQ1148" s="0" t="n">
        <v>9</v>
      </c>
      <c r="AR1148" s="0" t="n">
        <v>64</v>
      </c>
      <c r="AS1148" s="0" t="n">
        <v>32</v>
      </c>
      <c r="AU1148" s="0" t="n">
        <f aca="false">COUNTA($BA$737:$EH$737)</f>
        <v>1</v>
      </c>
      <c r="AV1148" s="0" t="n">
        <f aca="false">COUNTIF($BA$737:$EH$737,"D")</f>
        <v>0</v>
      </c>
      <c r="AW1148" s="0" t="n">
        <f aca="false">COUNTIF($BA$737:$EH$737,"R")</f>
        <v>0</v>
      </c>
      <c r="AX1148" s="0" t="n">
        <f aca="false">IF(BN1148="D",1,0)+IF(BO1148="D",1,0)+IF(BT1148="D",1,0)+IF(BU1148="D",1,0)+IF(BW1148="D",1,0)+IF(CC1148="D",1,0)+IF(CD1148="D",1,0)+IF(CE1148="D",1,0)+IF(CF1148="D",1,0)+IF(CL1148="D",1,0)+IF(CM1148="D",1,0)+IF(CQ1148="D",1,0)+IF(CR1148="D",1,0)+IF(CS1148="D",1,0)+IF(CW1148="D",1,0)+IF(CX1148="D",1,0)+IF(DD1148="D",1,0)+IF(DE1148="D",1,0)+IF(DJ1148="D",1,0)+IF(DK1148="D",1,0)+IF(DO1148="D",1,0)+IF(DP1148="D",1,0)+IF(DQ1148="D",1,0)+IF(DW1148="D",1,0)+IF(DZ1148="D",1,0)+IF(EH1148="D",1,0)</f>
        <v>0</v>
      </c>
      <c r="AY1148" s="0" t="n">
        <f aca="false">COUNTIF(DU1148:EH1148, "&lt;&gt;")</f>
        <v>0</v>
      </c>
      <c r="AZ1148" s="0" t="n">
        <f aca="false">IF(EH1148&lt;&gt;"",1,0)</f>
        <v>0</v>
      </c>
      <c r="BB1148" s="0" t="s">
        <v>152</v>
      </c>
      <c r="BL1148" s="0" t="s">
        <v>153</v>
      </c>
    </row>
    <row r="1149" customFormat="false" ht="13.8" hidden="false" customHeight="false" outlineLevel="0" collapsed="false">
      <c r="A1149" s="0" t="s">
        <v>5462</v>
      </c>
      <c r="B1149" s="0" t="n">
        <v>78</v>
      </c>
      <c r="C1149" s="0" t="n">
        <v>223639</v>
      </c>
      <c r="D1149" s="0" t="s">
        <v>5463</v>
      </c>
      <c r="E1149" s="0" t="s">
        <v>2911</v>
      </c>
      <c r="F1149" s="0" t="str">
        <f aca="false">CONCATENATE(D1149," ",LEFT(H1149,4),"T=",AU1149,"D=",AV1149,"R=",AW1149,"M=",AX1149,"L=",AY1149,"B=",AZ1149)</f>
        <v>BANKS T=3D=0R=0M=0L=5B=0</v>
      </c>
      <c r="G1149" s="0" t="s">
        <v>209</v>
      </c>
      <c r="I1149" s="0" t="s">
        <v>5464</v>
      </c>
      <c r="J1149" s="0" t="s">
        <v>5465</v>
      </c>
      <c r="K1149" s="0" t="s">
        <v>160</v>
      </c>
      <c r="L1149" s="0" t="s">
        <v>209</v>
      </c>
      <c r="M1149" s="0" t="s">
        <v>5466</v>
      </c>
      <c r="N1149" s="0" t="str">
        <f aca="false">RIGHT(M1149,LEN(M1149)-FIND(" ",M1149))</f>
        <v>KENILWORTH AVE SE</v>
      </c>
      <c r="P1149" s="0" t="s">
        <v>145</v>
      </c>
      <c r="Q1149" s="0" t="s">
        <v>146</v>
      </c>
      <c r="R1149" s="0" t="n">
        <v>44483</v>
      </c>
      <c r="AD1149" s="0" t="s">
        <v>147</v>
      </c>
      <c r="AE1149" s="0" t="s">
        <v>148</v>
      </c>
      <c r="AF1149" s="0" t="s">
        <v>149</v>
      </c>
      <c r="AH1149" s="0" t="n">
        <v>14</v>
      </c>
      <c r="AI1149" s="0" t="n">
        <v>11</v>
      </c>
      <c r="AN1149" s="0" t="s">
        <v>145</v>
      </c>
      <c r="AO1149" s="0" t="s">
        <v>150</v>
      </c>
      <c r="AP1149" s="0" t="s">
        <v>151</v>
      </c>
      <c r="AQ1149" s="0" t="n">
        <v>9</v>
      </c>
      <c r="AR1149" s="0" t="n">
        <v>64</v>
      </c>
      <c r="AS1149" s="0" t="n">
        <v>32</v>
      </c>
      <c r="AU1149" s="0" t="n">
        <f aca="false">COUNTA($BA$882:$EH$882)</f>
        <v>3</v>
      </c>
      <c r="AV1149" s="0" t="n">
        <f aca="false">COUNTIF($BA$882:$EH$882,"D")</f>
        <v>0</v>
      </c>
      <c r="AW1149" s="0" t="n">
        <f aca="false">COUNTIF($BA$882:$EH$882,"R")</f>
        <v>0</v>
      </c>
      <c r="AX1149" s="0" t="n">
        <f aca="false">IF(BN1149="D",1,0)+IF(BO1149="D",1,0)+IF(BT1149="D",1,0)+IF(BU1149="D",1,0)+IF(BW1149="D",1,0)+IF(CC1149="D",1,0)+IF(CD1149="D",1,0)+IF(CE1149="D",1,0)+IF(CF1149="D",1,0)+IF(CL1149="D",1,0)+IF(CM1149="D",1,0)+IF(CQ1149="D",1,0)+IF(CR1149="D",1,0)+IF(CS1149="D",1,0)+IF(CW1149="D",1,0)+IF(CX1149="D",1,0)+IF(DD1149="D",1,0)+IF(DE1149="D",1,0)+IF(DJ1149="D",1,0)+IF(DK1149="D",1,0)+IF(DO1149="D",1,0)+IF(DP1149="D",1,0)+IF(DQ1149="D",1,0)+IF(DW1149="D",1,0)+IF(DZ1149="D",1,0)+IF(EH1149="D",1,0)</f>
        <v>0</v>
      </c>
      <c r="AY1149" s="0" t="n">
        <f aca="false">COUNTIF(DU1149:EH1149, "&lt;&gt;")</f>
        <v>5</v>
      </c>
      <c r="AZ1149" s="0" t="n">
        <f aca="false">IF(EH1149&lt;&gt;"",1,0)</f>
        <v>0</v>
      </c>
      <c r="BB1149" s="0" t="s">
        <v>152</v>
      </c>
      <c r="BD1149" s="0" t="s">
        <v>153</v>
      </c>
      <c r="BE1149" s="0" t="s">
        <v>153</v>
      </c>
      <c r="BF1149" s="0" t="s">
        <v>153</v>
      </c>
      <c r="BH1149" s="0" t="s">
        <v>153</v>
      </c>
      <c r="BJ1149" s="0" t="s">
        <v>153</v>
      </c>
      <c r="BK1149" s="0" t="s">
        <v>153</v>
      </c>
      <c r="BL1149" s="0" t="s">
        <v>153</v>
      </c>
      <c r="BP1149" s="0" t="s">
        <v>153</v>
      </c>
      <c r="BR1149" s="0" t="s">
        <v>153</v>
      </c>
      <c r="BS1149" s="0" t="s">
        <v>153</v>
      </c>
      <c r="BV1149" s="0" t="s">
        <v>153</v>
      </c>
      <c r="BY1149" s="0" t="s">
        <v>209</v>
      </c>
      <c r="CA1149" s="0" t="s">
        <v>153</v>
      </c>
      <c r="CK1149" s="0" t="s">
        <v>153</v>
      </c>
      <c r="CN1149" s="0" t="s">
        <v>153</v>
      </c>
      <c r="CP1149" s="0" t="s">
        <v>153</v>
      </c>
      <c r="CT1149" s="0" t="s">
        <v>153</v>
      </c>
      <c r="CY1149" s="0" t="s">
        <v>153</v>
      </c>
      <c r="CZ1149" s="0" t="s">
        <v>209</v>
      </c>
      <c r="DC1149" s="0" t="s">
        <v>153</v>
      </c>
      <c r="DF1149" s="0" t="s">
        <v>153</v>
      </c>
      <c r="DG1149" s="0" t="s">
        <v>209</v>
      </c>
      <c r="DN1149" s="0" t="s">
        <v>153</v>
      </c>
      <c r="DR1149" s="0" t="s">
        <v>153</v>
      </c>
      <c r="DU1149" s="0" t="s">
        <v>153</v>
      </c>
      <c r="DX1149" s="0" t="s">
        <v>153</v>
      </c>
      <c r="EA1149" s="0" t="s">
        <v>153</v>
      </c>
      <c r="ED1149" s="0" t="s">
        <v>209</v>
      </c>
      <c r="EF1149" s="0" t="s">
        <v>153</v>
      </c>
    </row>
    <row r="1150" customFormat="false" ht="13.8" hidden="true" customHeight="false" outlineLevel="0" collapsed="false">
      <c r="A1150" s="0" t="s">
        <v>5467</v>
      </c>
      <c r="B1150" s="0" t="n">
        <v>78</v>
      </c>
      <c r="C1150" s="0" t="n">
        <v>210043</v>
      </c>
      <c r="D1150" s="0" t="s">
        <v>5468</v>
      </c>
      <c r="E1150" s="0" t="s">
        <v>324</v>
      </c>
      <c r="F1150" s="0" t="str">
        <f aca="false">CONCATENATE(D1150," ",LEFT(H1150,4),"T=",AU1150,"D=",AV1150,"R=",AW1150,"M=",AX1150,"L=",AY1150,"B=",AZ1150)</f>
        <v>KLINGER T=1D=0R=0M=0L=1B=0</v>
      </c>
      <c r="G1150" s="0" t="s">
        <v>379</v>
      </c>
      <c r="I1150" s="0" t="s">
        <v>5469</v>
      </c>
      <c r="J1150" s="0" t="s">
        <v>3530</v>
      </c>
      <c r="K1150" s="0" t="s">
        <v>160</v>
      </c>
      <c r="M1150" s="0" t="s">
        <v>5470</v>
      </c>
      <c r="N1150" s="0" t="str">
        <f aca="false">RIGHT(M1150,LEN(M1150)-FIND(" ",M1150))</f>
        <v>KENILWORTH AVE SE</v>
      </c>
      <c r="P1150" s="0" t="s">
        <v>145</v>
      </c>
      <c r="Q1150" s="0" t="s">
        <v>146</v>
      </c>
      <c r="R1150" s="0" t="n">
        <v>44483</v>
      </c>
      <c r="AD1150" s="0" t="s">
        <v>147</v>
      </c>
      <c r="AE1150" s="0" t="s">
        <v>148</v>
      </c>
      <c r="AF1150" s="0" t="s">
        <v>149</v>
      </c>
      <c r="AH1150" s="0" t="n">
        <v>14</v>
      </c>
      <c r="AI1150" s="0" t="n">
        <v>11</v>
      </c>
      <c r="AN1150" s="0" t="s">
        <v>145</v>
      </c>
      <c r="AO1150" s="0" t="s">
        <v>150</v>
      </c>
      <c r="AP1150" s="0" t="s">
        <v>151</v>
      </c>
      <c r="AQ1150" s="0" t="n">
        <v>9</v>
      </c>
      <c r="AR1150" s="0" t="n">
        <v>64</v>
      </c>
      <c r="AS1150" s="0" t="n">
        <v>32</v>
      </c>
      <c r="AU1150" s="0" t="n">
        <f aca="false">COUNTA($BA$627:$EH$627)</f>
        <v>1</v>
      </c>
      <c r="AV1150" s="0" t="n">
        <f aca="false">COUNTIF($BA$627:$EH$627,"D")</f>
        <v>0</v>
      </c>
      <c r="AW1150" s="0" t="n">
        <f aca="false">COUNTIF($BA$627:$EH$627,"R")</f>
        <v>0</v>
      </c>
      <c r="AX1150" s="0" t="n">
        <f aca="false">IF(BN1150="D",1,0)+IF(BO1150="D",1,0)+IF(BT1150="D",1,0)+IF(BU1150="D",1,0)+IF(BW1150="D",1,0)+IF(CC1150="D",1,0)+IF(CD1150="D",1,0)+IF(CE1150="D",1,0)+IF(CF1150="D",1,0)+IF(CL1150="D",1,0)+IF(CM1150="D",1,0)+IF(CQ1150="D",1,0)+IF(CR1150="D",1,0)+IF(CS1150="D",1,0)+IF(CW1150="D",1,0)+IF(CX1150="D",1,0)+IF(DD1150="D",1,0)+IF(DE1150="D",1,0)+IF(DJ1150="D",1,0)+IF(DK1150="D",1,0)+IF(DO1150="D",1,0)+IF(DP1150="D",1,0)+IF(DQ1150="D",1,0)+IF(DW1150="D",1,0)+IF(DZ1150="D",1,0)+IF(EH1150="D",1,0)</f>
        <v>0</v>
      </c>
      <c r="AY1150" s="0" t="n">
        <f aca="false">COUNTIF(DU1150:EH1150, "&lt;&gt;")</f>
        <v>1</v>
      </c>
      <c r="AZ1150" s="0" t="n">
        <f aca="false">IF(EH1150&lt;&gt;"",1,0)</f>
        <v>0</v>
      </c>
      <c r="BB1150" s="0" t="s">
        <v>152</v>
      </c>
      <c r="BC1150" s="0" t="s">
        <v>153</v>
      </c>
      <c r="BD1150" s="0" t="s">
        <v>153</v>
      </c>
      <c r="BH1150" s="0" t="s">
        <v>153</v>
      </c>
      <c r="BK1150" s="0" t="s">
        <v>153</v>
      </c>
      <c r="BL1150" s="0" t="s">
        <v>153</v>
      </c>
      <c r="BR1150" s="0" t="s">
        <v>153</v>
      </c>
      <c r="BS1150" s="0" t="s">
        <v>153</v>
      </c>
      <c r="BY1150" s="0" t="s">
        <v>175</v>
      </c>
      <c r="CA1150" s="0" t="s">
        <v>153</v>
      </c>
      <c r="CG1150" s="0" t="s">
        <v>153</v>
      </c>
      <c r="CK1150" s="0" t="s">
        <v>153</v>
      </c>
      <c r="CN1150" s="0" t="s">
        <v>153</v>
      </c>
      <c r="CP1150" s="0" t="s">
        <v>153</v>
      </c>
      <c r="CV1150" s="0" t="s">
        <v>153</v>
      </c>
      <c r="CY1150" s="0" t="s">
        <v>153</v>
      </c>
      <c r="DC1150" s="0" t="s">
        <v>153</v>
      </c>
      <c r="DI1150" s="0" t="s">
        <v>153</v>
      </c>
      <c r="DL1150" s="0" t="s">
        <v>153</v>
      </c>
      <c r="DN1150" s="0" t="s">
        <v>153</v>
      </c>
      <c r="DU1150" s="0" t="s">
        <v>153</v>
      </c>
    </row>
    <row r="1151" customFormat="false" ht="13.8" hidden="true" customHeight="false" outlineLevel="0" collapsed="false">
      <c r="A1151" s="0" t="s">
        <v>5471</v>
      </c>
      <c r="B1151" s="0" t="n">
        <v>78</v>
      </c>
      <c r="C1151" s="0" t="n">
        <v>481162</v>
      </c>
      <c r="D1151" s="0" t="s">
        <v>3200</v>
      </c>
      <c r="E1151" s="0" t="s">
        <v>5472</v>
      </c>
      <c r="F1151" s="0" t="str">
        <f aca="false">CONCATENATE(D1151," ",LEFT(H1151,4),"T=",AU1151,"D=",AV1151,"R=",AW1151,"M=",AX1151,"L=",AY1151,"B=",AZ1151)</f>
        <v>BRAINARD T=2D=0R=0M=0L=1B=0</v>
      </c>
      <c r="G1151" s="0" t="s">
        <v>292</v>
      </c>
      <c r="I1151" s="0" t="s">
        <v>5473</v>
      </c>
      <c r="J1151" s="0" t="s">
        <v>5474</v>
      </c>
      <c r="K1151" s="0" t="s">
        <v>160</v>
      </c>
      <c r="M1151" s="0" t="s">
        <v>5475</v>
      </c>
      <c r="N1151" s="0" t="str">
        <f aca="false">RIGHT(M1151,LEN(M1151)-FIND(" ",M1151))</f>
        <v>KENILWORTH AVE SE</v>
      </c>
      <c r="P1151" s="0" t="s">
        <v>145</v>
      </c>
      <c r="Q1151" s="0" t="s">
        <v>146</v>
      </c>
      <c r="R1151" s="0" t="n">
        <v>44483</v>
      </c>
      <c r="AD1151" s="0" t="s">
        <v>147</v>
      </c>
      <c r="AE1151" s="0" t="s">
        <v>148</v>
      </c>
      <c r="AF1151" s="0" t="s">
        <v>149</v>
      </c>
      <c r="AH1151" s="0" t="n">
        <v>14</v>
      </c>
      <c r="AI1151" s="0" t="n">
        <v>11</v>
      </c>
      <c r="AN1151" s="0" t="s">
        <v>145</v>
      </c>
      <c r="AO1151" s="0" t="s">
        <v>150</v>
      </c>
      <c r="AP1151" s="0" t="s">
        <v>151</v>
      </c>
      <c r="AQ1151" s="0" t="n">
        <v>9</v>
      </c>
      <c r="AR1151" s="0" t="n">
        <v>64</v>
      </c>
      <c r="AS1151" s="0" t="n">
        <v>32</v>
      </c>
      <c r="AU1151" s="0" t="n">
        <f aca="false">COUNTA($BA$100:$EH$100)</f>
        <v>2</v>
      </c>
      <c r="AV1151" s="0" t="n">
        <f aca="false">COUNTIF($BA$100:$EH$100,"D")</f>
        <v>0</v>
      </c>
      <c r="AW1151" s="0" t="n">
        <f aca="false">COUNTIF($BA$100:$EH$100,"R")</f>
        <v>0</v>
      </c>
      <c r="AX1151" s="0" t="n">
        <f aca="false">IF(BN1151="D",1,0)+IF(BO1151="D",1,0)+IF(BT1151="D",1,0)+IF(BU1151="D",1,0)+IF(BW1151="D",1,0)+IF(CC1151="D",1,0)+IF(CD1151="D",1,0)+IF(CE1151="D",1,0)+IF(CF1151="D",1,0)+IF(CL1151="D",1,0)+IF(CM1151="D",1,0)+IF(CQ1151="D",1,0)+IF(CR1151="D",1,0)+IF(CS1151="D",1,0)+IF(CW1151="D",1,0)+IF(CX1151="D",1,0)+IF(DD1151="D",1,0)+IF(DE1151="D",1,0)+IF(DJ1151="D",1,0)+IF(DK1151="D",1,0)+IF(DO1151="D",1,0)+IF(DP1151="D",1,0)+IF(DQ1151="D",1,0)+IF(DW1151="D",1,0)+IF(DZ1151="D",1,0)+IF(EH1151="D",1,0)</f>
        <v>0</v>
      </c>
      <c r="AY1151" s="0" t="n">
        <f aca="false">COUNTIF(DU1151:EH1151, "&lt;&gt;")</f>
        <v>1</v>
      </c>
      <c r="AZ1151" s="0" t="n">
        <f aca="false">IF(EH1151&lt;&gt;"",1,0)</f>
        <v>0</v>
      </c>
      <c r="BB1151" s="0" t="s">
        <v>152</v>
      </c>
      <c r="EF1151" s="0" t="s">
        <v>153</v>
      </c>
    </row>
    <row r="1152" customFormat="false" ht="13.8" hidden="false" customHeight="false" outlineLevel="0" collapsed="false">
      <c r="A1152" s="0" t="s">
        <v>5476</v>
      </c>
      <c r="B1152" s="0" t="n">
        <v>78</v>
      </c>
      <c r="C1152" s="0" t="n">
        <v>407656</v>
      </c>
      <c r="D1152" s="0" t="s">
        <v>3200</v>
      </c>
      <c r="E1152" s="0" t="s">
        <v>292</v>
      </c>
      <c r="F1152" s="0" t="str">
        <f aca="false">CONCATENATE(D1152," ",LEFT(H1152,4),"T=",AU1152,"D=",AV1152,"R=",AW1152,"M=",AX1152,"L=",AY1152,"B=",AZ1152)</f>
        <v>BRAINARD T=1D=0R=0M=0L=4B=0</v>
      </c>
      <c r="G1152" s="0" t="s">
        <v>325</v>
      </c>
      <c r="I1152" s="0" t="s">
        <v>5477</v>
      </c>
      <c r="J1152" s="0" t="s">
        <v>2913</v>
      </c>
      <c r="K1152" s="0" t="s">
        <v>160</v>
      </c>
      <c r="L1152" s="0" t="s">
        <v>209</v>
      </c>
      <c r="M1152" s="0" t="s">
        <v>5475</v>
      </c>
      <c r="N1152" s="0" t="str">
        <f aca="false">RIGHT(M1152,LEN(M1152)-FIND(" ",M1152))</f>
        <v>KENILWORTH AVE SE</v>
      </c>
      <c r="P1152" s="0" t="s">
        <v>145</v>
      </c>
      <c r="Q1152" s="0" t="s">
        <v>146</v>
      </c>
      <c r="R1152" s="0" t="n">
        <v>44483</v>
      </c>
      <c r="AD1152" s="0" t="s">
        <v>147</v>
      </c>
      <c r="AE1152" s="0" t="s">
        <v>148</v>
      </c>
      <c r="AF1152" s="0" t="s">
        <v>149</v>
      </c>
      <c r="AH1152" s="0" t="n">
        <v>14</v>
      </c>
      <c r="AI1152" s="0" t="n">
        <v>11</v>
      </c>
      <c r="AN1152" s="0" t="s">
        <v>145</v>
      </c>
      <c r="AO1152" s="0" t="s">
        <v>150</v>
      </c>
      <c r="AP1152" s="0" t="s">
        <v>151</v>
      </c>
      <c r="AQ1152" s="0" t="n">
        <v>9</v>
      </c>
      <c r="AR1152" s="0" t="n">
        <v>64</v>
      </c>
      <c r="AS1152" s="0" t="n">
        <v>32</v>
      </c>
      <c r="AU1152" s="0" t="n">
        <f aca="false">COUNTA($BA$772:$EH$772)</f>
        <v>1</v>
      </c>
      <c r="AV1152" s="0" t="n">
        <f aca="false">COUNTIF($BA$772:$EH$772,"D")</f>
        <v>0</v>
      </c>
      <c r="AW1152" s="0" t="n">
        <f aca="false">COUNTIF($BA$772:$EH$772,"R")</f>
        <v>0</v>
      </c>
      <c r="AX1152" s="0" t="n">
        <f aca="false">IF(BN1152="D",1,0)+IF(BO1152="D",1,0)+IF(BT1152="D",1,0)+IF(BU1152="D",1,0)+IF(BW1152="D",1,0)+IF(CC1152="D",1,0)+IF(CD1152="D",1,0)+IF(CE1152="D",1,0)+IF(CF1152="D",1,0)+IF(CL1152="D",1,0)+IF(CM1152="D",1,0)+IF(CQ1152="D",1,0)+IF(CR1152="D",1,0)+IF(CS1152="D",1,0)+IF(CW1152="D",1,0)+IF(CX1152="D",1,0)+IF(DD1152="D",1,0)+IF(DE1152="D",1,0)+IF(DJ1152="D",1,0)+IF(DK1152="D",1,0)+IF(DO1152="D",1,0)+IF(DP1152="D",1,0)+IF(DQ1152="D",1,0)+IF(DW1152="D",1,0)+IF(DZ1152="D",1,0)+IF(EH1152="D",1,0)</f>
        <v>0</v>
      </c>
      <c r="AY1152" s="0" t="n">
        <f aca="false">COUNTIF(DU1152:EH1152, "&lt;&gt;")</f>
        <v>4</v>
      </c>
      <c r="AZ1152" s="0" t="n">
        <f aca="false">IF(EH1152&lt;&gt;"",1,0)</f>
        <v>0</v>
      </c>
      <c r="BB1152" s="0" t="s">
        <v>152</v>
      </c>
      <c r="CY1152" s="0" t="s">
        <v>153</v>
      </c>
      <c r="DC1152" s="0" t="s">
        <v>153</v>
      </c>
      <c r="DI1152" s="0" t="s">
        <v>153</v>
      </c>
      <c r="DL1152" s="0" t="s">
        <v>153</v>
      </c>
      <c r="DN1152" s="0" t="s">
        <v>153</v>
      </c>
      <c r="DX1152" s="0" t="s">
        <v>153</v>
      </c>
      <c r="EA1152" s="0" t="s">
        <v>153</v>
      </c>
      <c r="ED1152" s="0" t="s">
        <v>209</v>
      </c>
      <c r="EF1152" s="0" t="s">
        <v>153</v>
      </c>
    </row>
    <row r="1153" customFormat="false" ht="13.8" hidden="false" customHeight="false" outlineLevel="0" collapsed="false">
      <c r="A1153" s="0" t="s">
        <v>5478</v>
      </c>
      <c r="B1153" s="0" t="n">
        <v>78</v>
      </c>
      <c r="C1153" s="0" t="n">
        <v>286656</v>
      </c>
      <c r="D1153" s="0" t="s">
        <v>3200</v>
      </c>
      <c r="E1153" s="0" t="s">
        <v>839</v>
      </c>
      <c r="F1153" s="0" t="str">
        <f aca="false">CONCATENATE(D1153," ",LEFT(H1153,4),"T=",AU1153,"D=",AV1153,"R=",AW1153,"M=",AX1153,"L=",AY1153,"B=",AZ1153)</f>
        <v>BRAINARD T=1D=0R=0M=3L=6B=0</v>
      </c>
      <c r="G1153" s="0" t="s">
        <v>255</v>
      </c>
      <c r="I1153" s="0" t="s">
        <v>5479</v>
      </c>
      <c r="J1153" s="0" t="s">
        <v>5480</v>
      </c>
      <c r="K1153" s="0" t="s">
        <v>160</v>
      </c>
      <c r="L1153" s="0" t="s">
        <v>209</v>
      </c>
      <c r="M1153" s="0" t="s">
        <v>5475</v>
      </c>
      <c r="N1153" s="0" t="str">
        <f aca="false">RIGHT(M1153,LEN(M1153)-FIND(" ",M1153))</f>
        <v>KENILWORTH AVE SE</v>
      </c>
      <c r="P1153" s="0" t="s">
        <v>145</v>
      </c>
      <c r="Q1153" s="0" t="s">
        <v>146</v>
      </c>
      <c r="R1153" s="0" t="n">
        <v>44483</v>
      </c>
      <c r="AD1153" s="0" t="s">
        <v>147</v>
      </c>
      <c r="AE1153" s="0" t="s">
        <v>148</v>
      </c>
      <c r="AF1153" s="0" t="s">
        <v>149</v>
      </c>
      <c r="AH1153" s="0" t="n">
        <v>14</v>
      </c>
      <c r="AI1153" s="0" t="n">
        <v>11</v>
      </c>
      <c r="AN1153" s="0" t="s">
        <v>145</v>
      </c>
      <c r="AO1153" s="0" t="s">
        <v>150</v>
      </c>
      <c r="AP1153" s="0" t="s">
        <v>151</v>
      </c>
      <c r="AQ1153" s="0" t="n">
        <v>9</v>
      </c>
      <c r="AR1153" s="0" t="n">
        <v>64</v>
      </c>
      <c r="AS1153" s="0" t="n">
        <v>32</v>
      </c>
      <c r="AU1153" s="0" t="n">
        <f aca="false">COUNTA($BA$947:$EH$947)</f>
        <v>1</v>
      </c>
      <c r="AV1153" s="0" t="n">
        <f aca="false">COUNTIF($BA$947:$EH$947,"D")</f>
        <v>0</v>
      </c>
      <c r="AW1153" s="0" t="n">
        <f aca="false">COUNTIF($BA$947:$EH$947,"R")</f>
        <v>0</v>
      </c>
      <c r="AX1153" s="0" t="n">
        <f aca="false">IF(BN1153="D",1,0)+IF(BO1153="D",1,0)+IF(BT1153="D",1,0)+IF(BU1153="D",1,0)+IF(BW1153="D",1,0)+IF(CC1153="D",1,0)+IF(CD1153="D",1,0)+IF(CE1153="D",1,0)+IF(CF1153="D",1,0)+IF(CL1153="D",1,0)+IF(CM1153="D",1,0)+IF(CQ1153="D",1,0)+IF(CR1153="D",1,0)+IF(CS1153="D",1,0)+IF(CW1153="D",1,0)+IF(CX1153="D",1,0)+IF(DD1153="D",1,0)+IF(DE1153="D",1,0)+IF(DJ1153="D",1,0)+IF(DK1153="D",1,0)+IF(DO1153="D",1,0)+IF(DP1153="D",1,0)+IF(DQ1153="D",1,0)+IF(DW1153="D",1,0)+IF(DZ1153="D",1,0)+IF(EH1153="D",1,0)</f>
        <v>3</v>
      </c>
      <c r="AY1153" s="0" t="n">
        <f aca="false">COUNTIF(DU1153:EH1153, "&lt;&gt;")</f>
        <v>6</v>
      </c>
      <c r="AZ1153" s="0" t="n">
        <f aca="false">IF(EH1153&lt;&gt;"",1,0)</f>
        <v>0</v>
      </c>
      <c r="BB1153" s="0" t="s">
        <v>152</v>
      </c>
      <c r="BL1153" s="0" t="s">
        <v>153</v>
      </c>
      <c r="BY1153" s="0" t="s">
        <v>175</v>
      </c>
      <c r="CA1153" s="0" t="s">
        <v>153</v>
      </c>
      <c r="CC1153" s="0" t="s">
        <v>175</v>
      </c>
      <c r="CG1153" s="0" t="s">
        <v>153</v>
      </c>
      <c r="CK1153" s="0" t="s">
        <v>153</v>
      </c>
      <c r="CL1153" s="0" t="s">
        <v>175</v>
      </c>
      <c r="CN1153" s="0" t="s">
        <v>153</v>
      </c>
      <c r="CP1153" s="0" t="s">
        <v>153</v>
      </c>
      <c r="CT1153" s="0" t="s">
        <v>153</v>
      </c>
      <c r="CU1153" s="0" t="s">
        <v>175</v>
      </c>
      <c r="CV1153" s="0" t="s">
        <v>153</v>
      </c>
      <c r="CY1153" s="0" t="s">
        <v>153</v>
      </c>
      <c r="CZ1153" s="0" t="s">
        <v>175</v>
      </c>
      <c r="DC1153" s="0" t="s">
        <v>153</v>
      </c>
      <c r="DF1153" s="0" t="s">
        <v>153</v>
      </c>
      <c r="DG1153" s="0" t="s">
        <v>175</v>
      </c>
      <c r="DI1153" s="0" t="s">
        <v>153</v>
      </c>
      <c r="DL1153" s="0" t="s">
        <v>153</v>
      </c>
      <c r="DM1153" s="0" t="s">
        <v>175</v>
      </c>
      <c r="DN1153" s="0" t="s">
        <v>153</v>
      </c>
      <c r="DR1153" s="0" t="s">
        <v>153</v>
      </c>
      <c r="DS1153" s="0" t="s">
        <v>175</v>
      </c>
      <c r="DU1153" s="0" t="s">
        <v>153</v>
      </c>
      <c r="DW1153" s="0" t="s">
        <v>175</v>
      </c>
      <c r="DX1153" s="0" t="s">
        <v>153</v>
      </c>
      <c r="EA1153" s="0" t="s">
        <v>153</v>
      </c>
      <c r="ED1153" s="0" t="s">
        <v>209</v>
      </c>
      <c r="EF1153" s="0" t="s">
        <v>153</v>
      </c>
    </row>
    <row r="1154" customFormat="false" ht="13.8" hidden="true" customHeight="false" outlineLevel="0" collapsed="false">
      <c r="A1154" s="0" t="s">
        <v>5481</v>
      </c>
      <c r="B1154" s="0" t="n">
        <v>78</v>
      </c>
      <c r="C1154" s="0" t="n">
        <v>450908</v>
      </c>
      <c r="D1154" s="0" t="s">
        <v>5482</v>
      </c>
      <c r="E1154" s="0" t="s">
        <v>2040</v>
      </c>
      <c r="F1154" s="0" t="str">
        <f aca="false">CONCATENATE(D1154," ",LEFT(H1154,4),"T=",AU1154,"D=",AV1154,"R=",AW1154,"M=",AX1154,"L=",AY1154,"B=",AZ1154)</f>
        <v>KOON T=1D=0R=0M=0L=0B=0</v>
      </c>
      <c r="G1154" s="0" t="s">
        <v>1128</v>
      </c>
      <c r="I1154" s="0" t="s">
        <v>5483</v>
      </c>
      <c r="J1154" s="0" t="s">
        <v>2800</v>
      </c>
      <c r="K1154" s="0" t="s">
        <v>160</v>
      </c>
      <c r="M1154" s="0" t="s">
        <v>5484</v>
      </c>
      <c r="N1154" s="0" t="str">
        <f aca="false">RIGHT(M1154,LEN(M1154)-FIND(" ",M1154))</f>
        <v>KENILWORTH AVE SE</v>
      </c>
      <c r="P1154" s="0" t="s">
        <v>145</v>
      </c>
      <c r="Q1154" s="0" t="s">
        <v>146</v>
      </c>
      <c r="R1154" s="0" t="n">
        <v>44483</v>
      </c>
      <c r="AD1154" s="0" t="s">
        <v>147</v>
      </c>
      <c r="AE1154" s="0" t="s">
        <v>148</v>
      </c>
      <c r="AF1154" s="0" t="s">
        <v>149</v>
      </c>
      <c r="AH1154" s="0" t="n">
        <v>14</v>
      </c>
      <c r="AI1154" s="0" t="n">
        <v>11</v>
      </c>
      <c r="AN1154" s="0" t="s">
        <v>145</v>
      </c>
      <c r="AO1154" s="0" t="s">
        <v>150</v>
      </c>
      <c r="AP1154" s="0" t="s">
        <v>151</v>
      </c>
      <c r="AQ1154" s="0" t="n">
        <v>9</v>
      </c>
      <c r="AR1154" s="0" t="n">
        <v>64</v>
      </c>
      <c r="AS1154" s="0" t="n">
        <v>32</v>
      </c>
      <c r="AU1154" s="0" t="n">
        <f aca="false">COUNTA($BA$184:$EH$184)</f>
        <v>1</v>
      </c>
      <c r="AV1154" s="0" t="n">
        <f aca="false">COUNTIF($BA$184:$EH$184,"D")</f>
        <v>0</v>
      </c>
      <c r="AW1154" s="0" t="n">
        <f aca="false">COUNTIF($BA$184:$EH$184,"R")</f>
        <v>0</v>
      </c>
      <c r="AX1154" s="0" t="n">
        <f aca="false">IF(BN1154="D",1,0)+IF(BO1154="D",1,0)+IF(BT1154="D",1,0)+IF(BU1154="D",1,0)+IF(BW1154="D",1,0)+IF(CC1154="D",1,0)+IF(CD1154="D",1,0)+IF(CE1154="D",1,0)+IF(CF1154="D",1,0)+IF(CL1154="D",1,0)+IF(CM1154="D",1,0)+IF(CQ1154="D",1,0)+IF(CR1154="D",1,0)+IF(CS1154="D",1,0)+IF(CW1154="D",1,0)+IF(CX1154="D",1,0)+IF(DD1154="D",1,0)+IF(DE1154="D",1,0)+IF(DJ1154="D",1,0)+IF(DK1154="D",1,0)+IF(DO1154="D",1,0)+IF(DP1154="D",1,0)+IF(DQ1154="D",1,0)+IF(DW1154="D",1,0)+IF(DZ1154="D",1,0)+IF(EH1154="D",1,0)</f>
        <v>0</v>
      </c>
      <c r="AY1154" s="0" t="n">
        <f aca="false">COUNTIF(DU1154:EH1154, "&lt;&gt;")</f>
        <v>0</v>
      </c>
      <c r="AZ1154" s="0" t="n">
        <f aca="false">IF(EH1154&lt;&gt;"",1,0)</f>
        <v>0</v>
      </c>
      <c r="BB1154" s="0" t="s">
        <v>152</v>
      </c>
      <c r="DN1154" s="0" t="s">
        <v>153</v>
      </c>
    </row>
    <row r="1155" customFormat="false" ht="13.8" hidden="true" customHeight="false" outlineLevel="0" collapsed="false">
      <c r="A1155" s="0" t="s">
        <v>5485</v>
      </c>
      <c r="B1155" s="0" t="n">
        <v>78</v>
      </c>
      <c r="C1155" s="0" t="n">
        <v>464671</v>
      </c>
      <c r="D1155" s="0" t="s">
        <v>509</v>
      </c>
      <c r="E1155" s="0" t="s">
        <v>5486</v>
      </c>
      <c r="F1155" s="0" t="str">
        <f aca="false">CONCATENATE(D1155," ",LEFT(H1155,4),"T=",AU1155,"D=",AV1155,"R=",AW1155,"M=",AX1155,"L=",AY1155,"B=",AZ1155)</f>
        <v>PARKER T=5D=0R=0M=0L=0B=0</v>
      </c>
      <c r="G1155" s="0" t="s">
        <v>1128</v>
      </c>
      <c r="I1155" s="0" t="s">
        <v>5487</v>
      </c>
      <c r="J1155" s="0" t="s">
        <v>5488</v>
      </c>
      <c r="K1155" s="0" t="s">
        <v>160</v>
      </c>
      <c r="M1155" s="0" t="s">
        <v>5484</v>
      </c>
      <c r="N1155" s="0" t="str">
        <f aca="false">RIGHT(M1155,LEN(M1155)-FIND(" ",M1155))</f>
        <v>KENILWORTH AVE SE</v>
      </c>
      <c r="P1155" s="0" t="s">
        <v>145</v>
      </c>
      <c r="Q1155" s="0" t="s">
        <v>146</v>
      </c>
      <c r="R1155" s="0" t="n">
        <v>44483</v>
      </c>
      <c r="AD1155" s="0" t="s">
        <v>147</v>
      </c>
      <c r="AE1155" s="0" t="s">
        <v>148</v>
      </c>
      <c r="AF1155" s="0" t="s">
        <v>149</v>
      </c>
      <c r="AH1155" s="0" t="n">
        <v>14</v>
      </c>
      <c r="AI1155" s="0" t="n">
        <v>11</v>
      </c>
      <c r="AN1155" s="0" t="s">
        <v>145</v>
      </c>
      <c r="AO1155" s="0" t="s">
        <v>150</v>
      </c>
      <c r="AP1155" s="0" t="s">
        <v>151</v>
      </c>
      <c r="AQ1155" s="0" t="n">
        <v>9</v>
      </c>
      <c r="AR1155" s="0" t="n">
        <v>64</v>
      </c>
      <c r="AS1155" s="0" t="n">
        <v>32</v>
      </c>
      <c r="AU1155" s="0" t="n">
        <f aca="false">COUNTA($BA$449:$EH$449)</f>
        <v>5</v>
      </c>
      <c r="AV1155" s="0" t="n">
        <f aca="false">COUNTIF($BA$449:$EH$449,"D")</f>
        <v>0</v>
      </c>
      <c r="AW1155" s="0" t="n">
        <f aca="false">COUNTIF($BA$449:$EH$449,"R")</f>
        <v>0</v>
      </c>
      <c r="AX1155" s="0" t="n">
        <f aca="false">IF(BN1155="D",1,0)+IF(BO1155="D",1,0)+IF(BT1155="D",1,0)+IF(BU1155="D",1,0)+IF(BW1155="D",1,0)+IF(CC1155="D",1,0)+IF(CD1155="D",1,0)+IF(CE1155="D",1,0)+IF(CF1155="D",1,0)+IF(CL1155="D",1,0)+IF(CM1155="D",1,0)+IF(CQ1155="D",1,0)+IF(CR1155="D",1,0)+IF(CS1155="D",1,0)+IF(CW1155="D",1,0)+IF(CX1155="D",1,0)+IF(DD1155="D",1,0)+IF(DE1155="D",1,0)+IF(DJ1155="D",1,0)+IF(DK1155="D",1,0)+IF(DO1155="D",1,0)+IF(DP1155="D",1,0)+IF(DQ1155="D",1,0)+IF(DW1155="D",1,0)+IF(DZ1155="D",1,0)+IF(EH1155="D",1,0)</f>
        <v>0</v>
      </c>
      <c r="AY1155" s="0" t="n">
        <f aca="false">COUNTIF(DU1155:EH1155, "&lt;&gt;")</f>
        <v>0</v>
      </c>
      <c r="AZ1155" s="0" t="n">
        <f aca="false">IF(EH1155&lt;&gt;"",1,0)</f>
        <v>0</v>
      </c>
      <c r="BB1155" s="0" t="s">
        <v>152</v>
      </c>
    </row>
    <row r="1156" customFormat="false" ht="13.8" hidden="true" customHeight="false" outlineLevel="0" collapsed="false">
      <c r="A1156" s="0" t="s">
        <v>5489</v>
      </c>
      <c r="B1156" s="0" t="n">
        <v>78</v>
      </c>
      <c r="C1156" s="0" t="n">
        <v>455566</v>
      </c>
      <c r="D1156" s="0" t="s">
        <v>5490</v>
      </c>
      <c r="E1156" s="0" t="s">
        <v>1917</v>
      </c>
      <c r="F1156" s="0" t="str">
        <f aca="false">CONCATENATE(D1156," ",LEFT(H1156,4),"T=",AU1156,"D=",AV1156,"R=",AW1156,"M=",AX1156,"L=",AY1156,"B=",AZ1156)</f>
        <v>CROMARTIE T=1D=0R=0M=0L=0B=0</v>
      </c>
      <c r="I1156" s="0" t="s">
        <v>5491</v>
      </c>
      <c r="J1156" s="0" t="s">
        <v>2800</v>
      </c>
      <c r="K1156" s="0" t="s">
        <v>160</v>
      </c>
      <c r="M1156" s="0" t="s">
        <v>5484</v>
      </c>
      <c r="N1156" s="0" t="str">
        <f aca="false">RIGHT(M1156,LEN(M1156)-FIND(" ",M1156))</f>
        <v>KENILWORTH AVE SE</v>
      </c>
      <c r="P1156" s="0" t="s">
        <v>145</v>
      </c>
      <c r="Q1156" s="0" t="s">
        <v>146</v>
      </c>
      <c r="R1156" s="0" t="n">
        <v>44483</v>
      </c>
      <c r="AD1156" s="0" t="s">
        <v>147</v>
      </c>
      <c r="AE1156" s="0" t="s">
        <v>148</v>
      </c>
      <c r="AF1156" s="0" t="s">
        <v>149</v>
      </c>
      <c r="AH1156" s="0" t="n">
        <v>14</v>
      </c>
      <c r="AI1156" s="0" t="n">
        <v>11</v>
      </c>
      <c r="AN1156" s="0" t="s">
        <v>145</v>
      </c>
      <c r="AO1156" s="0" t="s">
        <v>150</v>
      </c>
      <c r="AP1156" s="0" t="s">
        <v>151</v>
      </c>
      <c r="AQ1156" s="0" t="n">
        <v>9</v>
      </c>
      <c r="AR1156" s="0" t="n">
        <v>64</v>
      </c>
      <c r="AS1156" s="0" t="n">
        <v>32</v>
      </c>
      <c r="AU1156" s="0" t="n">
        <f aca="false">COUNTA($BA$857:$EH$857)</f>
        <v>1</v>
      </c>
      <c r="AV1156" s="0" t="n">
        <f aca="false">COUNTIF($BA$857:$EH$857,"D")</f>
        <v>0</v>
      </c>
      <c r="AW1156" s="0" t="n">
        <f aca="false">COUNTIF($BA$857:$EH$857,"R")</f>
        <v>0</v>
      </c>
      <c r="AX1156" s="0" t="n">
        <f aca="false">IF(BN1156="D",1,0)+IF(BO1156="D",1,0)+IF(BT1156="D",1,0)+IF(BU1156="D",1,0)+IF(BW1156="D",1,0)+IF(CC1156="D",1,0)+IF(CD1156="D",1,0)+IF(CE1156="D",1,0)+IF(CF1156="D",1,0)+IF(CL1156="D",1,0)+IF(CM1156="D",1,0)+IF(CQ1156="D",1,0)+IF(CR1156="D",1,0)+IF(CS1156="D",1,0)+IF(CW1156="D",1,0)+IF(CX1156="D",1,0)+IF(DD1156="D",1,0)+IF(DE1156="D",1,0)+IF(DJ1156="D",1,0)+IF(DK1156="D",1,0)+IF(DO1156="D",1,0)+IF(DP1156="D",1,0)+IF(DQ1156="D",1,0)+IF(DW1156="D",1,0)+IF(DZ1156="D",1,0)+IF(EH1156="D",1,0)</f>
        <v>0</v>
      </c>
      <c r="AY1156" s="0" t="n">
        <f aca="false">COUNTIF(DU1156:EH1156, "&lt;&gt;")</f>
        <v>0</v>
      </c>
      <c r="AZ1156" s="0" t="n">
        <f aca="false">IF(EH1156&lt;&gt;"",1,0)</f>
        <v>0</v>
      </c>
      <c r="BB1156" s="0" t="s">
        <v>152</v>
      </c>
      <c r="BY1156" s="0" t="s">
        <v>175</v>
      </c>
      <c r="CA1156" s="0" t="s">
        <v>153</v>
      </c>
    </row>
    <row r="1157" customFormat="false" ht="13.8" hidden="false" customHeight="false" outlineLevel="0" collapsed="false">
      <c r="A1157" s="0" t="s">
        <v>5492</v>
      </c>
      <c r="B1157" s="0" t="n">
        <v>78</v>
      </c>
      <c r="C1157" s="0" t="n">
        <v>234335</v>
      </c>
      <c r="D1157" s="0" t="s">
        <v>5493</v>
      </c>
      <c r="E1157" s="0" t="s">
        <v>5494</v>
      </c>
      <c r="F1157" s="0" t="str">
        <f aca="false">CONCATENATE(D1157," ",LEFT(H1157,4),"T=",AU1157,"D=",AV1157,"R=",AW1157,"M=",AX1157,"L=",AY1157,"B=",AZ1157)</f>
        <v>HERSHBERGER T=2D=0R=0M=1L=7B=1</v>
      </c>
      <c r="G1157" s="0" t="s">
        <v>325</v>
      </c>
      <c r="I1157" s="0" t="s">
        <v>5495</v>
      </c>
      <c r="J1157" s="0" t="s">
        <v>5496</v>
      </c>
      <c r="K1157" s="0" t="s">
        <v>160</v>
      </c>
      <c r="L1157" s="0" t="s">
        <v>175</v>
      </c>
      <c r="M1157" s="0" t="s">
        <v>5497</v>
      </c>
      <c r="N1157" s="0" t="str">
        <f aca="false">RIGHT(M1157,LEN(M1157)-FIND(" ",M1157))</f>
        <v>KENILWORTH AVE SE</v>
      </c>
      <c r="P1157" s="0" t="s">
        <v>145</v>
      </c>
      <c r="Q1157" s="0" t="s">
        <v>146</v>
      </c>
      <c r="R1157" s="0" t="n">
        <v>44483</v>
      </c>
      <c r="AD1157" s="0" t="s">
        <v>147</v>
      </c>
      <c r="AE1157" s="0" t="s">
        <v>148</v>
      </c>
      <c r="AF1157" s="0" t="s">
        <v>149</v>
      </c>
      <c r="AH1157" s="0" t="n">
        <v>14</v>
      </c>
      <c r="AI1157" s="0" t="n">
        <v>11</v>
      </c>
      <c r="AN1157" s="0" t="s">
        <v>145</v>
      </c>
      <c r="AO1157" s="0" t="s">
        <v>150</v>
      </c>
      <c r="AP1157" s="0" t="s">
        <v>151</v>
      </c>
      <c r="AQ1157" s="0" t="n">
        <v>9</v>
      </c>
      <c r="AR1157" s="0" t="n">
        <v>64</v>
      </c>
      <c r="AS1157" s="0" t="n">
        <v>32</v>
      </c>
      <c r="AU1157" s="0" t="n">
        <f aca="false">COUNTA($BA$966:$EH$966)</f>
        <v>2</v>
      </c>
      <c r="AV1157" s="0" t="n">
        <f aca="false">COUNTIF($BA$966:$EH$966,"D")</f>
        <v>0</v>
      </c>
      <c r="AW1157" s="0" t="n">
        <f aca="false">COUNTIF($BA$966:$EH$966,"R")</f>
        <v>0</v>
      </c>
      <c r="AX1157" s="0" t="n">
        <f aca="false">IF(BN1157="D",1,0)+IF(BO1157="D",1,0)+IF(BT1157="D",1,0)+IF(BU1157="D",1,0)+IF(BW1157="D",1,0)+IF(CC1157="D",1,0)+IF(CD1157="D",1,0)+IF(CE1157="D",1,0)+IF(CF1157="D",1,0)+IF(CL1157="D",1,0)+IF(CM1157="D",1,0)+IF(CQ1157="D",1,0)+IF(CR1157="D",1,0)+IF(CS1157="D",1,0)+IF(CW1157="D",1,0)+IF(CX1157="D",1,0)+IF(DD1157="D",1,0)+IF(DE1157="D",1,0)+IF(DJ1157="D",1,0)+IF(DK1157="D",1,0)+IF(DO1157="D",1,0)+IF(DP1157="D",1,0)+IF(DQ1157="D",1,0)+IF(DW1157="D",1,0)+IF(DZ1157="D",1,0)+IF(EH1157="D",1,0)</f>
        <v>1</v>
      </c>
      <c r="AY1157" s="0" t="n">
        <f aca="false">COUNTIF(DU1157:EH1157, "&lt;&gt;")</f>
        <v>7</v>
      </c>
      <c r="AZ1157" s="0" t="n">
        <f aca="false">IF(EH1157&lt;&gt;"",1,0)</f>
        <v>1</v>
      </c>
      <c r="BB1157" s="0" t="s">
        <v>152</v>
      </c>
      <c r="BC1157" s="0" t="s">
        <v>153</v>
      </c>
      <c r="BD1157" s="0" t="s">
        <v>153</v>
      </c>
      <c r="BG1157" s="0" t="s">
        <v>153</v>
      </c>
      <c r="BH1157" s="0" t="s">
        <v>153</v>
      </c>
      <c r="BI1157" s="0" t="s">
        <v>153</v>
      </c>
      <c r="BJ1157" s="0" t="s">
        <v>153</v>
      </c>
      <c r="BK1157" s="0" t="s">
        <v>153</v>
      </c>
      <c r="BL1157" s="0" t="s">
        <v>153</v>
      </c>
      <c r="BP1157" s="0" t="s">
        <v>153</v>
      </c>
      <c r="BR1157" s="0" t="s">
        <v>153</v>
      </c>
      <c r="BS1157" s="0" t="s">
        <v>153</v>
      </c>
      <c r="BV1157" s="0" t="s">
        <v>153</v>
      </c>
      <c r="BY1157" s="0" t="s">
        <v>175</v>
      </c>
      <c r="CA1157" s="0" t="s">
        <v>153</v>
      </c>
      <c r="CG1157" s="0" t="s">
        <v>153</v>
      </c>
      <c r="CK1157" s="0" t="s">
        <v>153</v>
      </c>
      <c r="CN1157" s="0" t="s">
        <v>153</v>
      </c>
      <c r="CO1157" s="0" t="s">
        <v>153</v>
      </c>
      <c r="CP1157" s="0" t="s">
        <v>153</v>
      </c>
      <c r="CT1157" s="0" t="s">
        <v>153</v>
      </c>
      <c r="CV1157" s="0" t="s">
        <v>153</v>
      </c>
      <c r="CY1157" s="0" t="s">
        <v>153</v>
      </c>
      <c r="CZ1157" s="0" t="s">
        <v>175</v>
      </c>
      <c r="DC1157" s="0" t="s">
        <v>153</v>
      </c>
      <c r="DF1157" s="0" t="s">
        <v>153</v>
      </c>
      <c r="DG1157" s="0" t="s">
        <v>175</v>
      </c>
      <c r="DI1157" s="0" t="s">
        <v>153</v>
      </c>
      <c r="DJ1157" s="0" t="s">
        <v>175</v>
      </c>
      <c r="DL1157" s="0" t="s">
        <v>153</v>
      </c>
      <c r="DM1157" s="0" t="s">
        <v>175</v>
      </c>
      <c r="DN1157" s="0" t="s">
        <v>153</v>
      </c>
      <c r="DR1157" s="0" t="s">
        <v>153</v>
      </c>
      <c r="DS1157" s="0" t="s">
        <v>175</v>
      </c>
      <c r="DU1157" s="0" t="s">
        <v>153</v>
      </c>
      <c r="DW1157" s="0" t="s">
        <v>153</v>
      </c>
      <c r="DX1157" s="0" t="s">
        <v>153</v>
      </c>
      <c r="EA1157" s="0" t="s">
        <v>153</v>
      </c>
      <c r="ED1157" s="0" t="s">
        <v>153</v>
      </c>
      <c r="EF1157" s="0" t="s">
        <v>153</v>
      </c>
      <c r="EH1157" s="0" t="s">
        <v>153</v>
      </c>
    </row>
    <row r="1158" customFormat="false" ht="13.8" hidden="false" customHeight="false" outlineLevel="0" collapsed="false">
      <c r="A1158" s="0" t="s">
        <v>5498</v>
      </c>
      <c r="B1158" s="0" t="n">
        <v>78</v>
      </c>
      <c r="C1158" s="0" t="n">
        <v>208647</v>
      </c>
      <c r="D1158" s="0" t="s">
        <v>3536</v>
      </c>
      <c r="E1158" s="0" t="s">
        <v>1101</v>
      </c>
      <c r="F1158" s="0" t="str">
        <f aca="false">CONCATENATE(D1158," ",LEFT(H1158,4),"T=",AU1158,"D=",AV1158,"R=",AW1158,"M=",AX1158,"L=",AY1158,"B=",AZ1158)</f>
        <v>DONALD T=1D=0R=0M=1L=6B=0</v>
      </c>
      <c r="G1158" s="0" t="s">
        <v>195</v>
      </c>
      <c r="I1158" s="0" t="s">
        <v>5499</v>
      </c>
      <c r="J1158" s="0" t="s">
        <v>5500</v>
      </c>
      <c r="K1158" s="0" t="s">
        <v>160</v>
      </c>
      <c r="L1158" s="0" t="s">
        <v>175</v>
      </c>
      <c r="M1158" s="0" t="s">
        <v>5501</v>
      </c>
      <c r="N1158" s="0" t="str">
        <f aca="false">RIGHT(M1158,LEN(M1158)-FIND(" ",M1158))</f>
        <v>KENILWORTH AVE SE</v>
      </c>
      <c r="P1158" s="0" t="s">
        <v>145</v>
      </c>
      <c r="Q1158" s="0" t="s">
        <v>146</v>
      </c>
      <c r="R1158" s="0" t="n">
        <v>44483</v>
      </c>
      <c r="AD1158" s="0" t="s">
        <v>147</v>
      </c>
      <c r="AE1158" s="0" t="s">
        <v>148</v>
      </c>
      <c r="AF1158" s="0" t="s">
        <v>149</v>
      </c>
      <c r="AH1158" s="0" t="n">
        <v>14</v>
      </c>
      <c r="AI1158" s="0" t="n">
        <v>11</v>
      </c>
      <c r="AN1158" s="0" t="s">
        <v>145</v>
      </c>
      <c r="AO1158" s="0" t="s">
        <v>150</v>
      </c>
      <c r="AP1158" s="0" t="s">
        <v>151</v>
      </c>
      <c r="AQ1158" s="0" t="n">
        <v>9</v>
      </c>
      <c r="AR1158" s="0" t="n">
        <v>64</v>
      </c>
      <c r="AS1158" s="0" t="n">
        <v>32</v>
      </c>
      <c r="AU1158" s="0" t="n">
        <f aca="false">COUNTA($BA$655:$EH$655)</f>
        <v>1</v>
      </c>
      <c r="AV1158" s="0" t="n">
        <f aca="false">COUNTIF($BA$655:$EH$655,"D")</f>
        <v>0</v>
      </c>
      <c r="AW1158" s="0" t="n">
        <f aca="false">COUNTIF($BA$655:$EH$655,"R")</f>
        <v>0</v>
      </c>
      <c r="AX1158" s="0" t="n">
        <f aca="false">IF(BN1158="D",1,0)+IF(BO1158="D",1,0)+IF(BT1158="D",1,0)+IF(BU1158="D",1,0)+IF(BW1158="D",1,0)+IF(CC1158="D",1,0)+IF(CD1158="D",1,0)+IF(CE1158="D",1,0)+IF(CF1158="D",1,0)+IF(CL1158="D",1,0)+IF(CM1158="D",1,0)+IF(CQ1158="D",1,0)+IF(CR1158="D",1,0)+IF(CS1158="D",1,0)+IF(CW1158="D",1,0)+IF(CX1158="D",1,0)+IF(DD1158="D",1,0)+IF(DE1158="D",1,0)+IF(DJ1158="D",1,0)+IF(DK1158="D",1,0)+IF(DO1158="D",1,0)+IF(DP1158="D",1,0)+IF(DQ1158="D",1,0)+IF(DW1158="D",1,0)+IF(DZ1158="D",1,0)+IF(EH1158="D",1,0)</f>
        <v>1</v>
      </c>
      <c r="AY1158" s="0" t="n">
        <f aca="false">COUNTIF(DU1158:EH1158, "&lt;&gt;")</f>
        <v>6</v>
      </c>
      <c r="AZ1158" s="0" t="n">
        <f aca="false">IF(EH1158&lt;&gt;"",1,0)</f>
        <v>0</v>
      </c>
      <c r="BB1158" s="0" t="s">
        <v>152</v>
      </c>
      <c r="BC1158" s="0" t="s">
        <v>153</v>
      </c>
      <c r="BD1158" s="0" t="s">
        <v>153</v>
      </c>
      <c r="BG1158" s="0" t="s">
        <v>153</v>
      </c>
      <c r="BH1158" s="0" t="s">
        <v>153</v>
      </c>
      <c r="BJ1158" s="0" t="s">
        <v>153</v>
      </c>
      <c r="BL1158" s="0" t="s">
        <v>153</v>
      </c>
      <c r="BR1158" s="0" t="s">
        <v>153</v>
      </c>
      <c r="BS1158" s="0" t="s">
        <v>153</v>
      </c>
      <c r="BY1158" s="0" t="s">
        <v>175</v>
      </c>
      <c r="CA1158" s="0" t="s">
        <v>153</v>
      </c>
      <c r="CG1158" s="0" t="s">
        <v>153</v>
      </c>
      <c r="CK1158" s="0" t="s">
        <v>153</v>
      </c>
      <c r="CN1158" s="0" t="s">
        <v>153</v>
      </c>
      <c r="CO1158" s="0" t="s">
        <v>175</v>
      </c>
      <c r="CP1158" s="0" t="s">
        <v>153</v>
      </c>
      <c r="CT1158" s="0" t="s">
        <v>153</v>
      </c>
      <c r="CY1158" s="0" t="s">
        <v>153</v>
      </c>
      <c r="CZ1158" s="0" t="s">
        <v>175</v>
      </c>
      <c r="DC1158" s="0" t="s">
        <v>153</v>
      </c>
      <c r="DI1158" s="0" t="s">
        <v>153</v>
      </c>
      <c r="DL1158" s="0" t="s">
        <v>153</v>
      </c>
      <c r="DN1158" s="0" t="s">
        <v>153</v>
      </c>
      <c r="DT1158" s="0" t="s">
        <v>175</v>
      </c>
      <c r="DU1158" s="0" t="s">
        <v>153</v>
      </c>
      <c r="DW1158" s="0" t="s">
        <v>175</v>
      </c>
      <c r="DX1158" s="0" t="s">
        <v>153</v>
      </c>
      <c r="EA1158" s="0" t="s">
        <v>153</v>
      </c>
      <c r="ED1158" s="0" t="s">
        <v>175</v>
      </c>
      <c r="EF1158" s="0" t="s">
        <v>153</v>
      </c>
    </row>
    <row r="1159" customFormat="false" ht="13.8" hidden="false" customHeight="false" outlineLevel="0" collapsed="false">
      <c r="A1159" s="0" t="s">
        <v>5502</v>
      </c>
      <c r="B1159" s="0" t="n">
        <v>78</v>
      </c>
      <c r="C1159" s="0" t="n">
        <v>404138</v>
      </c>
      <c r="D1159" s="0" t="s">
        <v>3536</v>
      </c>
      <c r="E1159" s="0" t="s">
        <v>2413</v>
      </c>
      <c r="F1159" s="0" t="str">
        <f aca="false">CONCATENATE(D1159," ",LEFT(H1159,4),"T=",AU1159,"D=",AV1159,"R=",AW1159,"M=",AX1159,"L=",AY1159,"B=",AZ1159)</f>
        <v>DONALD T=16D=7R=0M=0L=2B=0</v>
      </c>
      <c r="G1159" s="0" t="s">
        <v>164</v>
      </c>
      <c r="I1159" s="0" t="s">
        <v>5503</v>
      </c>
      <c r="J1159" s="0" t="s">
        <v>2999</v>
      </c>
      <c r="K1159" s="0" t="s">
        <v>160</v>
      </c>
      <c r="M1159" s="0" t="s">
        <v>5501</v>
      </c>
      <c r="N1159" s="0" t="str">
        <f aca="false">RIGHT(M1159,LEN(M1159)-FIND(" ",M1159))</f>
        <v>KENILWORTH AVE SE</v>
      </c>
      <c r="P1159" s="0" t="s">
        <v>145</v>
      </c>
      <c r="Q1159" s="0" t="s">
        <v>146</v>
      </c>
      <c r="R1159" s="0" t="n">
        <v>44483</v>
      </c>
      <c r="AD1159" s="0" t="s">
        <v>147</v>
      </c>
      <c r="AE1159" s="0" t="s">
        <v>148</v>
      </c>
      <c r="AF1159" s="0" t="s">
        <v>149</v>
      </c>
      <c r="AH1159" s="0" t="n">
        <v>14</v>
      </c>
      <c r="AI1159" s="0" t="n">
        <v>11</v>
      </c>
      <c r="AN1159" s="0" t="s">
        <v>145</v>
      </c>
      <c r="AO1159" s="0" t="s">
        <v>150</v>
      </c>
      <c r="AP1159" s="0" t="s">
        <v>151</v>
      </c>
      <c r="AQ1159" s="0" t="n">
        <v>9</v>
      </c>
      <c r="AR1159" s="0" t="n">
        <v>64</v>
      </c>
      <c r="AS1159" s="0" t="n">
        <v>32</v>
      </c>
      <c r="AU1159" s="0" t="n">
        <f aca="false">COUNTA($BA$999:$EH$999)</f>
        <v>16</v>
      </c>
      <c r="AV1159" s="0" t="n">
        <f aca="false">COUNTIF($BA$999:$EH$999,"D")</f>
        <v>7</v>
      </c>
      <c r="AW1159" s="0" t="n">
        <f aca="false">COUNTIF($BA$999:$EH$999,"R")</f>
        <v>0</v>
      </c>
      <c r="AX1159" s="0" t="n">
        <f aca="false">IF(BN1159="D",1,0)+IF(BO1159="D",1,0)+IF(BT1159="D",1,0)+IF(BU1159="D",1,0)+IF(BW1159="D",1,0)+IF(CC1159="D",1,0)+IF(CD1159="D",1,0)+IF(CE1159="D",1,0)+IF(CF1159="D",1,0)+IF(CL1159="D",1,0)+IF(CM1159="D",1,0)+IF(CQ1159="D",1,0)+IF(CR1159="D",1,0)+IF(CS1159="D",1,0)+IF(CW1159="D",1,0)+IF(CX1159="D",1,0)+IF(DD1159="D",1,0)+IF(DE1159="D",1,0)+IF(DJ1159="D",1,0)+IF(DK1159="D",1,0)+IF(DO1159="D",1,0)+IF(DP1159="D",1,0)+IF(DQ1159="D",1,0)+IF(DW1159="D",1,0)+IF(DZ1159="D",1,0)+IF(EH1159="D",1,0)</f>
        <v>0</v>
      </c>
      <c r="AY1159" s="0" t="n">
        <f aca="false">COUNTIF(DU1159:EH1159, "&lt;&gt;")</f>
        <v>2</v>
      </c>
      <c r="AZ1159" s="0" t="n">
        <f aca="false">IF(EH1159&lt;&gt;"",1,0)</f>
        <v>0</v>
      </c>
      <c r="BB1159" s="0" t="s">
        <v>152</v>
      </c>
      <c r="CY1159" s="0" t="s">
        <v>153</v>
      </c>
      <c r="CZ1159" s="0" t="s">
        <v>175</v>
      </c>
      <c r="DC1159" s="0" t="s">
        <v>153</v>
      </c>
      <c r="DN1159" s="0" t="s">
        <v>153</v>
      </c>
      <c r="DU1159" s="0" t="s">
        <v>153</v>
      </c>
      <c r="EF1159" s="0" t="s">
        <v>153</v>
      </c>
    </row>
    <row r="1160" customFormat="false" ht="13.8" hidden="true" customHeight="false" outlineLevel="0" collapsed="false">
      <c r="A1160" s="0" t="s">
        <v>5504</v>
      </c>
      <c r="B1160" s="0" t="n">
        <v>78</v>
      </c>
      <c r="C1160" s="0" t="n">
        <v>448006</v>
      </c>
      <c r="D1160" s="0" t="s">
        <v>5505</v>
      </c>
      <c r="E1160" s="0" t="s">
        <v>2798</v>
      </c>
      <c r="F1160" s="0" t="str">
        <f aca="false">CONCATENATE(D1160," ",LEFT(H1160,4),"T=",AU1160,"D=",AV1160,"R=",AW1160,"M=",AX1160,"L=",AY1160,"B=",AZ1160)</f>
        <v>QUISENBERRY T=2D=0R=0M=0L=0B=0</v>
      </c>
      <c r="I1160" s="0" t="s">
        <v>5506</v>
      </c>
      <c r="J1160" s="0" t="s">
        <v>166</v>
      </c>
      <c r="K1160" s="0" t="s">
        <v>143</v>
      </c>
      <c r="M1160" s="0" t="s">
        <v>5507</v>
      </c>
      <c r="N1160" s="0" t="str">
        <f aca="false">RIGHT(M1160,LEN(M1160)-FIND(" ",M1160))</f>
        <v>KENILWORTH AVE SE</v>
      </c>
      <c r="P1160" s="0" t="s">
        <v>145</v>
      </c>
      <c r="Q1160" s="0" t="s">
        <v>146</v>
      </c>
      <c r="R1160" s="0" t="n">
        <v>44483</v>
      </c>
      <c r="AD1160" s="0" t="s">
        <v>147</v>
      </c>
      <c r="AE1160" s="0" t="s">
        <v>148</v>
      </c>
      <c r="AF1160" s="0" t="s">
        <v>149</v>
      </c>
      <c r="AH1160" s="0" t="n">
        <v>14</v>
      </c>
      <c r="AI1160" s="0" t="n">
        <v>11</v>
      </c>
      <c r="AN1160" s="0" t="s">
        <v>145</v>
      </c>
      <c r="AO1160" s="0" t="s">
        <v>150</v>
      </c>
      <c r="AP1160" s="0" t="s">
        <v>151</v>
      </c>
      <c r="AQ1160" s="0" t="n">
        <v>9</v>
      </c>
      <c r="AR1160" s="0" t="n">
        <v>64</v>
      </c>
      <c r="AS1160" s="0" t="n">
        <v>32</v>
      </c>
      <c r="AU1160" s="0" t="n">
        <f aca="false">COUNTA($BA$659:$EH$659)</f>
        <v>2</v>
      </c>
      <c r="AV1160" s="0" t="n">
        <f aca="false">COUNTIF($BA$659:$EH$659,"D")</f>
        <v>0</v>
      </c>
      <c r="AW1160" s="0" t="n">
        <f aca="false">COUNTIF($BA$659:$EH$659,"R")</f>
        <v>0</v>
      </c>
      <c r="AX1160" s="0" t="n">
        <f aca="false">IF(BN1160="D",1,0)+IF(BO1160="D",1,0)+IF(BT1160="D",1,0)+IF(BU1160="D",1,0)+IF(BW1160="D",1,0)+IF(CC1160="D",1,0)+IF(CD1160="D",1,0)+IF(CE1160="D",1,0)+IF(CF1160="D",1,0)+IF(CL1160="D",1,0)+IF(CM1160="D",1,0)+IF(CQ1160="D",1,0)+IF(CR1160="D",1,0)+IF(CS1160="D",1,0)+IF(CW1160="D",1,0)+IF(CX1160="D",1,0)+IF(DD1160="D",1,0)+IF(DE1160="D",1,0)+IF(DJ1160="D",1,0)+IF(DK1160="D",1,0)+IF(DO1160="D",1,0)+IF(DP1160="D",1,0)+IF(DQ1160="D",1,0)+IF(DW1160="D",1,0)+IF(DZ1160="D",1,0)+IF(EH1160="D",1,0)</f>
        <v>0</v>
      </c>
      <c r="AY1160" s="0" t="n">
        <f aca="false">COUNTIF(DU1160:EH1160, "&lt;&gt;")</f>
        <v>0</v>
      </c>
      <c r="AZ1160" s="0" t="n">
        <f aca="false">IF(EH1160&lt;&gt;"",1,0)</f>
        <v>0</v>
      </c>
      <c r="BB1160" s="0" t="s">
        <v>152</v>
      </c>
      <c r="DC1160" s="0" t="s">
        <v>153</v>
      </c>
    </row>
    <row r="1161" customFormat="false" ht="13.8" hidden="false" customHeight="false" outlineLevel="0" collapsed="false">
      <c r="A1161" s="0" t="s">
        <v>5508</v>
      </c>
      <c r="B1161" s="0" t="n">
        <v>78</v>
      </c>
      <c r="C1161" s="0" t="n">
        <v>313696</v>
      </c>
      <c r="D1161" s="0" t="s">
        <v>3212</v>
      </c>
      <c r="E1161" s="0" t="s">
        <v>5509</v>
      </c>
      <c r="F1161" s="0" t="str">
        <f aca="false">CONCATENATE(D1161," ",LEFT(H1161,4),"T=",AU1161,"D=",AV1161,"R=",AW1161,"M=",AX1161,"L=",AY1161,"B=",AZ1161)</f>
        <v>GREGORY T=28D=7R=0M=1L=3B=0</v>
      </c>
      <c r="I1161" s="0" t="s">
        <v>5510</v>
      </c>
      <c r="J1161" s="0" t="s">
        <v>376</v>
      </c>
      <c r="K1161" s="0" t="s">
        <v>160</v>
      </c>
      <c r="M1161" s="0" t="s">
        <v>5511</v>
      </c>
      <c r="N1161" s="0" t="str">
        <f aca="false">RIGHT(M1161,LEN(M1161)-FIND(" ",M1161))</f>
        <v>KENILWORTH AVE SE</v>
      </c>
      <c r="P1161" s="0" t="s">
        <v>145</v>
      </c>
      <c r="Q1161" s="0" t="s">
        <v>146</v>
      </c>
      <c r="R1161" s="0" t="n">
        <v>44483</v>
      </c>
      <c r="AD1161" s="0" t="s">
        <v>147</v>
      </c>
      <c r="AE1161" s="0" t="s">
        <v>148</v>
      </c>
      <c r="AF1161" s="0" t="s">
        <v>149</v>
      </c>
      <c r="AH1161" s="0" t="n">
        <v>14</v>
      </c>
      <c r="AI1161" s="0" t="n">
        <v>11</v>
      </c>
      <c r="AN1161" s="0" t="s">
        <v>145</v>
      </c>
      <c r="AO1161" s="0" t="s">
        <v>150</v>
      </c>
      <c r="AP1161" s="0" t="s">
        <v>151</v>
      </c>
      <c r="AQ1161" s="0" t="n">
        <v>9</v>
      </c>
      <c r="AR1161" s="0" t="n">
        <v>64</v>
      </c>
      <c r="AS1161" s="0" t="n">
        <v>32</v>
      </c>
      <c r="AU1161" s="0" t="n">
        <f aca="false">COUNTA($BA$748:$EH$748)</f>
        <v>28</v>
      </c>
      <c r="AV1161" s="0" t="n">
        <f aca="false">COUNTIF($BA$748:$EH$748,"D")</f>
        <v>7</v>
      </c>
      <c r="AW1161" s="0" t="n">
        <f aca="false">COUNTIF($BA$748:$EH$748,"R")</f>
        <v>0</v>
      </c>
      <c r="AX1161" s="0" t="n">
        <f aca="false">IF(BN1161="D",1,0)+IF(BO1161="D",1,0)+IF(BT1161="D",1,0)+IF(BU1161="D",1,0)+IF(BW1161="D",1,0)+IF(CC1161="D",1,0)+IF(CD1161="D",1,0)+IF(CE1161="D",1,0)+IF(CF1161="D",1,0)+IF(CL1161="D",1,0)+IF(CM1161="D",1,0)+IF(CQ1161="D",1,0)+IF(CR1161="D",1,0)+IF(CS1161="D",1,0)+IF(CW1161="D",1,0)+IF(CX1161="D",1,0)+IF(DD1161="D",1,0)+IF(DE1161="D",1,0)+IF(DJ1161="D",1,0)+IF(DK1161="D",1,0)+IF(DO1161="D",1,0)+IF(DP1161="D",1,0)+IF(DQ1161="D",1,0)+IF(DW1161="D",1,0)+IF(DZ1161="D",1,0)+IF(EH1161="D",1,0)</f>
        <v>1</v>
      </c>
      <c r="AY1161" s="0" t="n">
        <f aca="false">COUNTIF(DU1161:EH1161, "&lt;&gt;")</f>
        <v>3</v>
      </c>
      <c r="AZ1161" s="0" t="n">
        <f aca="false">IF(EH1161&lt;&gt;"",1,0)</f>
        <v>0</v>
      </c>
      <c r="BB1161" s="0" t="s">
        <v>152</v>
      </c>
      <c r="CN1161" s="0" t="s">
        <v>153</v>
      </c>
      <c r="CP1161" s="0" t="s">
        <v>153</v>
      </c>
      <c r="CW1161" s="0" t="s">
        <v>175</v>
      </c>
      <c r="CY1161" s="0" t="s">
        <v>153</v>
      </c>
      <c r="DC1161" s="0" t="s">
        <v>153</v>
      </c>
      <c r="DN1161" s="0" t="s">
        <v>153</v>
      </c>
      <c r="DR1161" s="0" t="s">
        <v>153</v>
      </c>
      <c r="DU1161" s="0" t="s">
        <v>153</v>
      </c>
      <c r="DX1161" s="0" t="s">
        <v>153</v>
      </c>
      <c r="EF1161" s="0" t="s">
        <v>153</v>
      </c>
    </row>
    <row r="1162" customFormat="false" ht="13.8" hidden="true" customHeight="false" outlineLevel="0" collapsed="false">
      <c r="A1162" s="0" t="s">
        <v>5512</v>
      </c>
      <c r="B1162" s="0" t="n">
        <v>78</v>
      </c>
      <c r="C1162" s="0" t="n">
        <v>404088</v>
      </c>
      <c r="D1162" s="0" t="s">
        <v>5513</v>
      </c>
      <c r="E1162" s="0" t="s">
        <v>3041</v>
      </c>
      <c r="F1162" s="0" t="str">
        <f aca="false">CONCATENATE(D1162," ",LEFT(H1162,4),"T=",AU1162,"D=",AV1162,"R=",AW1162,"M=",AX1162,"L=",AY1162,"B=",AZ1162)</f>
        <v>MCCUE T=2D=0R=0M=1L=0B=0</v>
      </c>
      <c r="G1162" s="0" t="s">
        <v>307</v>
      </c>
      <c r="I1162" s="0" t="s">
        <v>882</v>
      </c>
      <c r="J1162" s="0" t="s">
        <v>5514</v>
      </c>
      <c r="K1162" s="0" t="s">
        <v>143</v>
      </c>
      <c r="M1162" s="0" t="s">
        <v>5515</v>
      </c>
      <c r="N1162" s="0" t="str">
        <f aca="false">RIGHT(M1162,LEN(M1162)-FIND(" ",M1162))</f>
        <v>KENILWORTH AVE SE</v>
      </c>
      <c r="P1162" s="0" t="s">
        <v>145</v>
      </c>
      <c r="Q1162" s="0" t="s">
        <v>146</v>
      </c>
      <c r="R1162" s="0" t="n">
        <v>44483</v>
      </c>
      <c r="AD1162" s="0" t="s">
        <v>147</v>
      </c>
      <c r="AE1162" s="0" t="s">
        <v>148</v>
      </c>
      <c r="AF1162" s="0" t="s">
        <v>149</v>
      </c>
      <c r="AH1162" s="0" t="n">
        <v>14</v>
      </c>
      <c r="AI1162" s="0" t="n">
        <v>11</v>
      </c>
      <c r="AN1162" s="0" t="s">
        <v>145</v>
      </c>
      <c r="AO1162" s="0" t="s">
        <v>150</v>
      </c>
      <c r="AP1162" s="0" t="s">
        <v>151</v>
      </c>
      <c r="AQ1162" s="0" t="n">
        <v>9</v>
      </c>
      <c r="AR1162" s="0" t="n">
        <v>64</v>
      </c>
      <c r="AS1162" s="0" t="n">
        <v>32</v>
      </c>
      <c r="AU1162" s="0" t="n">
        <f aca="false">COUNTA($BA$536:$EH$536)</f>
        <v>2</v>
      </c>
      <c r="AV1162" s="0" t="n">
        <f aca="false">COUNTIF($BA$536:$EH$536,"D")</f>
        <v>0</v>
      </c>
      <c r="AW1162" s="0" t="n">
        <f aca="false">COUNTIF($BA$536:$EH$536,"R")</f>
        <v>0</v>
      </c>
      <c r="AX1162" s="0" t="n">
        <f aca="false">IF(BN1162="D",1,0)+IF(BO1162="D",1,0)+IF(BT1162="D",1,0)+IF(BU1162="D",1,0)+IF(BW1162="D",1,0)+IF(CC1162="D",1,0)+IF(CD1162="D",1,0)+IF(CE1162="D",1,0)+IF(CF1162="D",1,0)+IF(CL1162="D",1,0)+IF(CM1162="D",1,0)+IF(CQ1162="D",1,0)+IF(CR1162="D",1,0)+IF(CS1162="D",1,0)+IF(CW1162="D",1,0)+IF(CX1162="D",1,0)+IF(DD1162="D",1,0)+IF(DE1162="D",1,0)+IF(DJ1162="D",1,0)+IF(DK1162="D",1,0)+IF(DO1162="D",1,0)+IF(DP1162="D",1,0)+IF(DQ1162="D",1,0)+IF(DW1162="D",1,0)+IF(DZ1162="D",1,0)+IF(EH1162="D",1,0)</f>
        <v>1</v>
      </c>
      <c r="AY1162" s="0" t="n">
        <f aca="false">COUNTIF(DU1162:EH1162, "&lt;&gt;")</f>
        <v>0</v>
      </c>
      <c r="AZ1162" s="0" t="n">
        <f aca="false">IF(EH1162&lt;&gt;"",1,0)</f>
        <v>0</v>
      </c>
      <c r="BB1162" s="0" t="s">
        <v>152</v>
      </c>
      <c r="CV1162" s="0" t="s">
        <v>153</v>
      </c>
      <c r="CW1162" s="0" t="s">
        <v>175</v>
      </c>
      <c r="CZ1162" s="0" t="s">
        <v>175</v>
      </c>
      <c r="DC1162" s="0" t="s">
        <v>153</v>
      </c>
      <c r="DI1162" s="0" t="s">
        <v>153</v>
      </c>
      <c r="DM1162" s="0" t="s">
        <v>175</v>
      </c>
      <c r="DN1162" s="0" t="s">
        <v>153</v>
      </c>
    </row>
    <row r="1163" customFormat="false" ht="13.8" hidden="false" customHeight="false" outlineLevel="0" collapsed="false">
      <c r="A1163" s="0" t="s">
        <v>5516</v>
      </c>
      <c r="B1163" s="0" t="n">
        <v>78</v>
      </c>
      <c r="C1163" s="0" t="n">
        <v>223918</v>
      </c>
      <c r="D1163" s="0" t="s">
        <v>5513</v>
      </c>
      <c r="E1163" s="0" t="s">
        <v>943</v>
      </c>
      <c r="F1163" s="0" t="str">
        <f aca="false">CONCATENATE(D1163," ",LEFT(H1163,4),"T=",AU1163,"D=",AV1163,"R=",AW1163,"M=",AX1163,"L=",AY1163,"B=",AZ1163)</f>
        <v>MCCUE T=1D=0R=0M=1L=3B=0</v>
      </c>
      <c r="G1163" s="0" t="s">
        <v>164</v>
      </c>
      <c r="I1163" s="0" t="s">
        <v>5517</v>
      </c>
      <c r="J1163" s="0" t="s">
        <v>5518</v>
      </c>
      <c r="K1163" s="0" t="s">
        <v>160</v>
      </c>
      <c r="M1163" s="0" t="s">
        <v>5515</v>
      </c>
      <c r="N1163" s="0" t="str">
        <f aca="false">RIGHT(M1163,LEN(M1163)-FIND(" ",M1163))</f>
        <v>KENILWORTH AVE SE</v>
      </c>
      <c r="P1163" s="0" t="s">
        <v>145</v>
      </c>
      <c r="Q1163" s="0" t="s">
        <v>146</v>
      </c>
      <c r="R1163" s="0" t="n">
        <v>44483</v>
      </c>
      <c r="AD1163" s="0" t="s">
        <v>147</v>
      </c>
      <c r="AE1163" s="0" t="s">
        <v>148</v>
      </c>
      <c r="AF1163" s="0" t="s">
        <v>149</v>
      </c>
      <c r="AH1163" s="0" t="n">
        <v>14</v>
      </c>
      <c r="AI1163" s="0" t="n">
        <v>11</v>
      </c>
      <c r="AN1163" s="0" t="s">
        <v>145</v>
      </c>
      <c r="AO1163" s="0" t="s">
        <v>150</v>
      </c>
      <c r="AP1163" s="0" t="s">
        <v>151</v>
      </c>
      <c r="AQ1163" s="0" t="n">
        <v>9</v>
      </c>
      <c r="AR1163" s="0" t="n">
        <v>64</v>
      </c>
      <c r="AS1163" s="0" t="n">
        <v>32</v>
      </c>
      <c r="AU1163" s="0" t="n">
        <f aca="false">COUNTA($BA$950:$EH$950)</f>
        <v>1</v>
      </c>
      <c r="AV1163" s="0" t="n">
        <f aca="false">COUNTIF($BA$950:$EH$950,"D")</f>
        <v>0</v>
      </c>
      <c r="AW1163" s="0" t="n">
        <f aca="false">COUNTIF($BA$950:$EH$950,"R")</f>
        <v>0</v>
      </c>
      <c r="AX1163" s="0" t="n">
        <f aca="false">IF(BN1163="D",1,0)+IF(BO1163="D",1,0)+IF(BT1163="D",1,0)+IF(BU1163="D",1,0)+IF(BW1163="D",1,0)+IF(CC1163="D",1,0)+IF(CD1163="D",1,0)+IF(CE1163="D",1,0)+IF(CF1163="D",1,0)+IF(CL1163="D",1,0)+IF(CM1163="D",1,0)+IF(CQ1163="D",1,0)+IF(CR1163="D",1,0)+IF(CS1163="D",1,0)+IF(CW1163="D",1,0)+IF(CX1163="D",1,0)+IF(DD1163="D",1,0)+IF(DE1163="D",1,0)+IF(DJ1163="D",1,0)+IF(DK1163="D",1,0)+IF(DO1163="D",1,0)+IF(DP1163="D",1,0)+IF(DQ1163="D",1,0)+IF(DW1163="D",1,0)+IF(DZ1163="D",1,0)+IF(EH1163="D",1,0)</f>
        <v>1</v>
      </c>
      <c r="AY1163" s="0" t="n">
        <f aca="false">COUNTIF(DU1163:EH1163, "&lt;&gt;")</f>
        <v>3</v>
      </c>
      <c r="AZ1163" s="0" t="n">
        <f aca="false">IF(EH1163&lt;&gt;"",1,0)</f>
        <v>0</v>
      </c>
      <c r="BB1163" s="0" t="s">
        <v>152</v>
      </c>
      <c r="BD1163" s="0" t="s">
        <v>153</v>
      </c>
      <c r="BE1163" s="0" t="s">
        <v>153</v>
      </c>
      <c r="BH1163" s="0" t="s">
        <v>153</v>
      </c>
      <c r="BJ1163" s="0" t="s">
        <v>153</v>
      </c>
      <c r="BK1163" s="0" t="s">
        <v>153</v>
      </c>
      <c r="BL1163" s="0" t="s">
        <v>153</v>
      </c>
      <c r="BS1163" s="0" t="s">
        <v>153</v>
      </c>
      <c r="CA1163" s="0" t="s">
        <v>153</v>
      </c>
      <c r="CG1163" s="0" t="s">
        <v>153</v>
      </c>
      <c r="CH1163" s="0" t="s">
        <v>175</v>
      </c>
      <c r="CK1163" s="0" t="s">
        <v>153</v>
      </c>
      <c r="CP1163" s="0" t="s">
        <v>153</v>
      </c>
      <c r="CW1163" s="0" t="s">
        <v>175</v>
      </c>
      <c r="CY1163" s="0" t="s">
        <v>153</v>
      </c>
      <c r="DI1163" s="0" t="s">
        <v>153</v>
      </c>
      <c r="DN1163" s="0" t="s">
        <v>153</v>
      </c>
      <c r="DU1163" s="0" t="s">
        <v>153</v>
      </c>
      <c r="EA1163" s="0" t="s">
        <v>153</v>
      </c>
      <c r="EF1163" s="0" t="s">
        <v>153</v>
      </c>
    </row>
    <row r="1164" customFormat="false" ht="13.8" hidden="false" customHeight="false" outlineLevel="0" collapsed="false">
      <c r="A1164" s="0" t="s">
        <v>5519</v>
      </c>
      <c r="B1164" s="0" t="n">
        <v>78</v>
      </c>
      <c r="C1164" s="0" t="n">
        <v>210097</v>
      </c>
      <c r="D1164" s="0" t="s">
        <v>5513</v>
      </c>
      <c r="E1164" s="0" t="s">
        <v>487</v>
      </c>
      <c r="F1164" s="0" t="str">
        <f aca="false">CONCATENATE(D1164," ",LEFT(H1164,4),"T=",AU1164,"D=",AV1164,"R=",AW1164,"M=",AX1164,"L=",AY1164,"B=",AZ1164)</f>
        <v>MCCUE T=10D=1R=0M=1L=3B=0</v>
      </c>
      <c r="I1164" s="0" t="s">
        <v>5520</v>
      </c>
      <c r="J1164" s="0" t="s">
        <v>5521</v>
      </c>
      <c r="K1164" s="0" t="s">
        <v>160</v>
      </c>
      <c r="M1164" s="0" t="s">
        <v>5515</v>
      </c>
      <c r="N1164" s="0" t="str">
        <f aca="false">RIGHT(M1164,LEN(M1164)-FIND(" ",M1164))</f>
        <v>KENILWORTH AVE SE</v>
      </c>
      <c r="P1164" s="0" t="s">
        <v>145</v>
      </c>
      <c r="Q1164" s="0" t="s">
        <v>146</v>
      </c>
      <c r="R1164" s="0" t="n">
        <v>44483</v>
      </c>
      <c r="AD1164" s="0" t="s">
        <v>147</v>
      </c>
      <c r="AE1164" s="0" t="s">
        <v>148</v>
      </c>
      <c r="AF1164" s="0" t="s">
        <v>149</v>
      </c>
      <c r="AH1164" s="0" t="n">
        <v>14</v>
      </c>
      <c r="AI1164" s="0" t="n">
        <v>11</v>
      </c>
      <c r="AN1164" s="0" t="s">
        <v>145</v>
      </c>
      <c r="AO1164" s="0" t="s">
        <v>150</v>
      </c>
      <c r="AP1164" s="0" t="s">
        <v>151</v>
      </c>
      <c r="AQ1164" s="0" t="n">
        <v>9</v>
      </c>
      <c r="AR1164" s="0" t="n">
        <v>64</v>
      </c>
      <c r="AS1164" s="0" t="n">
        <v>32</v>
      </c>
      <c r="AU1164" s="0" t="n">
        <f aca="false">COUNTA($BA$1000:$EH$1000)</f>
        <v>10</v>
      </c>
      <c r="AV1164" s="0" t="n">
        <f aca="false">COUNTIF($BA$1000:$EH$1000,"D")</f>
        <v>1</v>
      </c>
      <c r="AW1164" s="0" t="n">
        <f aca="false">COUNTIF($BA$1000:$EH$1000,"R")</f>
        <v>0</v>
      </c>
      <c r="AX1164" s="0" t="n">
        <f aca="false">IF(BN1164="D",1,0)+IF(BO1164="D",1,0)+IF(BT1164="D",1,0)+IF(BU1164="D",1,0)+IF(BW1164="D",1,0)+IF(CC1164="D",1,0)+IF(CD1164="D",1,0)+IF(CE1164="D",1,0)+IF(CF1164="D",1,0)+IF(CL1164="D",1,0)+IF(CM1164="D",1,0)+IF(CQ1164="D",1,0)+IF(CR1164="D",1,0)+IF(CS1164="D",1,0)+IF(CW1164="D",1,0)+IF(CX1164="D",1,0)+IF(DD1164="D",1,0)+IF(DE1164="D",1,0)+IF(DJ1164="D",1,0)+IF(DK1164="D",1,0)+IF(DO1164="D",1,0)+IF(DP1164="D",1,0)+IF(DQ1164="D",1,0)+IF(DW1164="D",1,0)+IF(DZ1164="D",1,0)+IF(EH1164="D",1,0)</f>
        <v>1</v>
      </c>
      <c r="AY1164" s="0" t="n">
        <f aca="false">COUNTIF(DU1164:EH1164, "&lt;&gt;")</f>
        <v>3</v>
      </c>
      <c r="AZ1164" s="0" t="n">
        <f aca="false">IF(EH1164&lt;&gt;"",1,0)</f>
        <v>0</v>
      </c>
      <c r="BB1164" s="0" t="s">
        <v>152</v>
      </c>
      <c r="BC1164" s="0" t="s">
        <v>153</v>
      </c>
      <c r="BD1164" s="0" t="s">
        <v>153</v>
      </c>
      <c r="BE1164" s="0" t="s">
        <v>153</v>
      </c>
      <c r="BG1164" s="0" t="s">
        <v>153</v>
      </c>
      <c r="BH1164" s="0" t="s">
        <v>153</v>
      </c>
      <c r="BI1164" s="0" t="s">
        <v>153</v>
      </c>
      <c r="BJ1164" s="0" t="s">
        <v>153</v>
      </c>
      <c r="BK1164" s="0" t="s">
        <v>153</v>
      </c>
      <c r="BL1164" s="0" t="s">
        <v>153</v>
      </c>
      <c r="BP1164" s="0" t="s">
        <v>153</v>
      </c>
      <c r="BR1164" s="0" t="s">
        <v>153</v>
      </c>
      <c r="BS1164" s="0" t="s">
        <v>153</v>
      </c>
      <c r="BV1164" s="0" t="s">
        <v>153</v>
      </c>
      <c r="BY1164" s="0" t="s">
        <v>175</v>
      </c>
      <c r="CA1164" s="0" t="s">
        <v>153</v>
      </c>
      <c r="CG1164" s="0" t="s">
        <v>153</v>
      </c>
      <c r="CK1164" s="0" t="s">
        <v>153</v>
      </c>
      <c r="CN1164" s="0" t="s">
        <v>153</v>
      </c>
      <c r="CP1164" s="0" t="s">
        <v>153</v>
      </c>
      <c r="CV1164" s="0" t="s">
        <v>153</v>
      </c>
      <c r="CW1164" s="0" t="s">
        <v>175</v>
      </c>
      <c r="CY1164" s="0" t="s">
        <v>153</v>
      </c>
      <c r="DC1164" s="0" t="s">
        <v>153</v>
      </c>
      <c r="DI1164" s="0" t="s">
        <v>153</v>
      </c>
      <c r="DM1164" s="0" t="s">
        <v>175</v>
      </c>
      <c r="DN1164" s="0" t="s">
        <v>153</v>
      </c>
      <c r="DU1164" s="0" t="s">
        <v>153</v>
      </c>
      <c r="EA1164" s="0" t="s">
        <v>153</v>
      </c>
      <c r="EF1164" s="0" t="s">
        <v>153</v>
      </c>
    </row>
    <row r="1165" customFormat="false" ht="13.8" hidden="true" customHeight="false" outlineLevel="0" collapsed="false">
      <c r="A1165" s="0" t="s">
        <v>5522</v>
      </c>
      <c r="B1165" s="0" t="n">
        <v>78</v>
      </c>
      <c r="C1165" s="0" t="n">
        <v>415683</v>
      </c>
      <c r="D1165" s="0" t="s">
        <v>5523</v>
      </c>
      <c r="E1165" s="0" t="s">
        <v>275</v>
      </c>
      <c r="F1165" s="0" t="str">
        <f aca="false">CONCATENATE(D1165," ",LEFT(H1165,4),"T=",AU1165,"D=",AV1165,"R=",AW1165,"M=",AX1165,"L=",AY1165,"B=",AZ1165)</f>
        <v>OHANESSIAN T=1D=0R=0M=0L=0B=0</v>
      </c>
      <c r="G1165" s="0" t="s">
        <v>268</v>
      </c>
      <c r="I1165" s="0" t="s">
        <v>5524</v>
      </c>
      <c r="J1165" s="0" t="s">
        <v>5525</v>
      </c>
      <c r="K1165" s="0" t="s">
        <v>143</v>
      </c>
      <c r="M1165" s="0" t="s">
        <v>5526</v>
      </c>
      <c r="N1165" s="0" t="str">
        <f aca="false">RIGHT(M1165,LEN(M1165)-FIND(" ",M1165))</f>
        <v>KENILWORTH AVE SE</v>
      </c>
      <c r="P1165" s="0" t="s">
        <v>145</v>
      </c>
      <c r="Q1165" s="0" t="s">
        <v>146</v>
      </c>
      <c r="R1165" s="0" t="n">
        <v>44483</v>
      </c>
      <c r="AD1165" s="0" t="s">
        <v>147</v>
      </c>
      <c r="AE1165" s="0" t="s">
        <v>148</v>
      </c>
      <c r="AF1165" s="0" t="s">
        <v>149</v>
      </c>
      <c r="AH1165" s="0" t="n">
        <v>14</v>
      </c>
      <c r="AI1165" s="0" t="n">
        <v>11</v>
      </c>
      <c r="AN1165" s="0" t="s">
        <v>145</v>
      </c>
      <c r="AO1165" s="0" t="s">
        <v>150</v>
      </c>
      <c r="AP1165" s="0" t="s">
        <v>151</v>
      </c>
      <c r="AQ1165" s="0" t="n">
        <v>9</v>
      </c>
      <c r="AR1165" s="0" t="n">
        <v>64</v>
      </c>
      <c r="AS1165" s="0" t="n">
        <v>32</v>
      </c>
      <c r="AU1165" s="0" t="n">
        <f aca="false">COUNTA($BA$944:$EH$944)</f>
        <v>1</v>
      </c>
      <c r="AV1165" s="0" t="n">
        <f aca="false">COUNTIF($BA$944:$EH$944,"D")</f>
        <v>0</v>
      </c>
      <c r="AW1165" s="0" t="n">
        <f aca="false">COUNTIF($BA$944:$EH$944,"R")</f>
        <v>0</v>
      </c>
      <c r="AX1165" s="0" t="n">
        <f aca="false">IF(BN1165="D",1,0)+IF(BO1165="D",1,0)+IF(BT1165="D",1,0)+IF(BU1165="D",1,0)+IF(BW1165="D",1,0)+IF(CC1165="D",1,0)+IF(CD1165="D",1,0)+IF(CE1165="D",1,0)+IF(CF1165="D",1,0)+IF(CL1165="D",1,0)+IF(CM1165="D",1,0)+IF(CQ1165="D",1,0)+IF(CR1165="D",1,0)+IF(CS1165="D",1,0)+IF(CW1165="D",1,0)+IF(CX1165="D",1,0)+IF(DD1165="D",1,0)+IF(DE1165="D",1,0)+IF(DJ1165="D",1,0)+IF(DK1165="D",1,0)+IF(DO1165="D",1,0)+IF(DP1165="D",1,0)+IF(DQ1165="D",1,0)+IF(DW1165="D",1,0)+IF(DZ1165="D",1,0)+IF(EH1165="D",1,0)</f>
        <v>0</v>
      </c>
      <c r="AY1165" s="0" t="n">
        <f aca="false">COUNTIF(DU1165:EH1165, "&lt;&gt;")</f>
        <v>0</v>
      </c>
      <c r="AZ1165" s="0" t="n">
        <f aca="false">IF(EH1165&lt;&gt;"",1,0)</f>
        <v>0</v>
      </c>
      <c r="BB1165" s="0" t="s">
        <v>152</v>
      </c>
    </row>
    <row r="1166" customFormat="false" ht="13.8" hidden="false" customHeight="false" outlineLevel="0" collapsed="false">
      <c r="A1166" s="0" t="s">
        <v>5527</v>
      </c>
      <c r="B1166" s="0" t="n">
        <v>78</v>
      </c>
      <c r="C1166" s="0" t="n">
        <v>310472</v>
      </c>
      <c r="D1166" s="0" t="s">
        <v>5528</v>
      </c>
      <c r="E1166" s="0" t="s">
        <v>379</v>
      </c>
      <c r="F1166" s="0" t="str">
        <f aca="false">CONCATENATE(D1166," ",LEFT(H1166,4),"T=",AU1166,"D=",AV1166,"R=",AW1166,"M=",AX1166,"L=",AY1166,"B=",AZ1166)</f>
        <v>SWEET T=1D=0R=0M=7L=7B=1</v>
      </c>
      <c r="G1166" s="0" t="s">
        <v>209</v>
      </c>
      <c r="I1166" s="0" t="s">
        <v>5529</v>
      </c>
      <c r="J1166" s="0" t="s">
        <v>5530</v>
      </c>
      <c r="K1166" s="0" t="s">
        <v>160</v>
      </c>
      <c r="L1166" s="0" t="s">
        <v>175</v>
      </c>
      <c r="M1166" s="0" t="s">
        <v>5531</v>
      </c>
      <c r="N1166" s="0" t="str">
        <f aca="false">RIGHT(M1166,LEN(M1166)-FIND(" ",M1166))</f>
        <v>KENILWORTH AVE SE</v>
      </c>
      <c r="P1166" s="0" t="s">
        <v>145</v>
      </c>
      <c r="Q1166" s="0" t="s">
        <v>146</v>
      </c>
      <c r="R1166" s="0" t="n">
        <v>44483</v>
      </c>
      <c r="AD1166" s="0" t="s">
        <v>147</v>
      </c>
      <c r="AE1166" s="0" t="s">
        <v>148</v>
      </c>
      <c r="AF1166" s="0" t="s">
        <v>149</v>
      </c>
      <c r="AH1166" s="0" t="n">
        <v>14</v>
      </c>
      <c r="AI1166" s="0" t="n">
        <v>11</v>
      </c>
      <c r="AN1166" s="0" t="s">
        <v>145</v>
      </c>
      <c r="AO1166" s="0" t="s">
        <v>150</v>
      </c>
      <c r="AP1166" s="0" t="s">
        <v>151</v>
      </c>
      <c r="AQ1166" s="0" t="n">
        <v>9</v>
      </c>
      <c r="AR1166" s="0" t="n">
        <v>64</v>
      </c>
      <c r="AS1166" s="0" t="n">
        <v>32</v>
      </c>
      <c r="AU1166" s="0" t="n">
        <f aca="false">COUNTA($BA$244:$EH$244)</f>
        <v>1</v>
      </c>
      <c r="AV1166" s="0" t="n">
        <f aca="false">COUNTIF($BA$244:$EH$244,"D")</f>
        <v>0</v>
      </c>
      <c r="AW1166" s="0" t="n">
        <f aca="false">COUNTIF($BA$244:$EH$244,"R")</f>
        <v>0</v>
      </c>
      <c r="AX1166" s="0" t="n">
        <f aca="false">IF(BN1166="D",1,0)+IF(BO1166="D",1,0)+IF(BT1166="D",1,0)+IF(BU1166="D",1,0)+IF(BW1166="D",1,0)+IF(CC1166="D",1,0)+IF(CD1166="D",1,0)+IF(CE1166="D",1,0)+IF(CF1166="D",1,0)+IF(CL1166="D",1,0)+IF(CM1166="D",1,0)+IF(CQ1166="D",1,0)+IF(CR1166="D",1,0)+IF(CS1166="D",1,0)+IF(CW1166="D",1,0)+IF(CX1166="D",1,0)+IF(DD1166="D",1,0)+IF(DE1166="D",1,0)+IF(DJ1166="D",1,0)+IF(DK1166="D",1,0)+IF(DO1166="D",1,0)+IF(DP1166="D",1,0)+IF(DQ1166="D",1,0)+IF(DW1166="D",1,0)+IF(DZ1166="D",1,0)+IF(EH1166="D",1,0)</f>
        <v>7</v>
      </c>
      <c r="AY1166" s="0" t="n">
        <f aca="false">COUNTIF(DU1166:EH1166, "&lt;&gt;")</f>
        <v>7</v>
      </c>
      <c r="AZ1166" s="0" t="n">
        <f aca="false">IF(EH1166&lt;&gt;"",1,0)</f>
        <v>1</v>
      </c>
      <c r="BB1166" s="0" t="s">
        <v>152</v>
      </c>
      <c r="BH1166" s="0" t="s">
        <v>153</v>
      </c>
      <c r="BJ1166" s="0" t="s">
        <v>153</v>
      </c>
      <c r="BK1166" s="0" t="s">
        <v>153</v>
      </c>
      <c r="BL1166" s="0" t="s">
        <v>153</v>
      </c>
      <c r="BP1166" s="0" t="s">
        <v>153</v>
      </c>
      <c r="BR1166" s="0" t="s">
        <v>153</v>
      </c>
      <c r="BS1166" s="0" t="s">
        <v>153</v>
      </c>
      <c r="BT1166" s="0" t="s">
        <v>153</v>
      </c>
      <c r="BV1166" s="0" t="s">
        <v>153</v>
      </c>
      <c r="BY1166" s="0" t="s">
        <v>175</v>
      </c>
      <c r="CA1166" s="0" t="s">
        <v>153</v>
      </c>
      <c r="CK1166" s="0" t="s">
        <v>153</v>
      </c>
      <c r="CL1166" s="0" t="s">
        <v>175</v>
      </c>
      <c r="CN1166" s="0" t="s">
        <v>153</v>
      </c>
      <c r="CO1166" s="0" t="s">
        <v>175</v>
      </c>
      <c r="CP1166" s="0" t="s">
        <v>153</v>
      </c>
      <c r="CQ1166" s="0" t="s">
        <v>175</v>
      </c>
      <c r="CT1166" s="0" t="s">
        <v>153</v>
      </c>
      <c r="CU1166" s="0" t="s">
        <v>175</v>
      </c>
      <c r="CV1166" s="0" t="s">
        <v>153</v>
      </c>
      <c r="CW1166" s="0" t="s">
        <v>175</v>
      </c>
      <c r="CY1166" s="0" t="s">
        <v>153</v>
      </c>
      <c r="CZ1166" s="0" t="s">
        <v>175</v>
      </c>
      <c r="DC1166" s="0" t="s">
        <v>153</v>
      </c>
      <c r="DD1166" s="0" t="s">
        <v>175</v>
      </c>
      <c r="DF1166" s="0" t="s">
        <v>153</v>
      </c>
      <c r="DG1166" s="0" t="s">
        <v>175</v>
      </c>
      <c r="DI1166" s="0" t="s">
        <v>153</v>
      </c>
      <c r="DJ1166" s="0" t="s">
        <v>175</v>
      </c>
      <c r="DL1166" s="0" t="s">
        <v>153</v>
      </c>
      <c r="DM1166" s="0" t="s">
        <v>175</v>
      </c>
      <c r="DN1166" s="0" t="s">
        <v>153</v>
      </c>
      <c r="DR1166" s="0" t="s">
        <v>153</v>
      </c>
      <c r="DS1166" s="0" t="s">
        <v>175</v>
      </c>
      <c r="DT1166" s="0" t="s">
        <v>175</v>
      </c>
      <c r="DU1166" s="0" t="s">
        <v>153</v>
      </c>
      <c r="DW1166" s="0" t="s">
        <v>175</v>
      </c>
      <c r="DX1166" s="0" t="s">
        <v>153</v>
      </c>
      <c r="EA1166" s="0" t="s">
        <v>153</v>
      </c>
      <c r="ED1166" s="0" t="s">
        <v>175</v>
      </c>
      <c r="EF1166" s="0" t="s">
        <v>153</v>
      </c>
      <c r="EH1166" s="0" t="s">
        <v>175</v>
      </c>
    </row>
    <row r="1167" customFormat="false" ht="13.8" hidden="false" customHeight="false" outlineLevel="0" collapsed="false">
      <c r="A1167" s="0" t="s">
        <v>5532</v>
      </c>
      <c r="B1167" s="0" t="n">
        <v>78</v>
      </c>
      <c r="C1167" s="0" t="n">
        <v>129460</v>
      </c>
      <c r="D1167" s="0" t="s">
        <v>5528</v>
      </c>
      <c r="E1167" s="0" t="s">
        <v>267</v>
      </c>
      <c r="F1167" s="0" t="str">
        <f aca="false">CONCATENATE(D1167," ",LEFT(H1167,4),"T=",AU1167,"D=",AV1167,"R=",AW1167,"M=",AX1167,"L=",AY1167,"B=",AZ1167)</f>
        <v>SWEET T=1D=0R=0M=8L=7B=1</v>
      </c>
      <c r="G1167" s="0" t="s">
        <v>307</v>
      </c>
      <c r="I1167" s="0" t="s">
        <v>5533</v>
      </c>
      <c r="J1167" s="0" t="s">
        <v>5534</v>
      </c>
      <c r="K1167" s="0" t="s">
        <v>160</v>
      </c>
      <c r="L1167" s="0" t="s">
        <v>175</v>
      </c>
      <c r="M1167" s="0" t="s">
        <v>5531</v>
      </c>
      <c r="N1167" s="0" t="str">
        <f aca="false">RIGHT(M1167,LEN(M1167)-FIND(" ",M1167))</f>
        <v>KENILWORTH AVE SE</v>
      </c>
      <c r="P1167" s="0" t="s">
        <v>145</v>
      </c>
      <c r="Q1167" s="0" t="s">
        <v>146</v>
      </c>
      <c r="R1167" s="0" t="n">
        <v>44483</v>
      </c>
      <c r="AD1167" s="0" t="s">
        <v>147</v>
      </c>
      <c r="AE1167" s="0" t="s">
        <v>148</v>
      </c>
      <c r="AF1167" s="0" t="s">
        <v>149</v>
      </c>
      <c r="AH1167" s="0" t="n">
        <v>14</v>
      </c>
      <c r="AI1167" s="0" t="n">
        <v>11</v>
      </c>
      <c r="AN1167" s="0" t="s">
        <v>145</v>
      </c>
      <c r="AO1167" s="0" t="s">
        <v>150</v>
      </c>
      <c r="AP1167" s="0" t="s">
        <v>151</v>
      </c>
      <c r="AQ1167" s="0" t="n">
        <v>9</v>
      </c>
      <c r="AR1167" s="0" t="n">
        <v>64</v>
      </c>
      <c r="AS1167" s="0" t="n">
        <v>32</v>
      </c>
      <c r="AU1167" s="0" t="n">
        <f aca="false">COUNTA($BA$657:$EH$657)</f>
        <v>1</v>
      </c>
      <c r="AV1167" s="0" t="n">
        <f aca="false">COUNTIF($BA$657:$EH$657,"D")</f>
        <v>0</v>
      </c>
      <c r="AW1167" s="0" t="n">
        <f aca="false">COUNTIF($BA$657:$EH$657,"R")</f>
        <v>0</v>
      </c>
      <c r="AX1167" s="0" t="n">
        <f aca="false">IF(BN1167="D",1,0)+IF(BO1167="D",1,0)+IF(BT1167="D",1,0)+IF(BU1167="D",1,0)+IF(BW1167="D",1,0)+IF(CC1167="D",1,0)+IF(CD1167="D",1,0)+IF(CE1167="D",1,0)+IF(CF1167="D",1,0)+IF(CL1167="D",1,0)+IF(CM1167="D",1,0)+IF(CQ1167="D",1,0)+IF(CR1167="D",1,0)+IF(CS1167="D",1,0)+IF(CW1167="D",1,0)+IF(CX1167="D",1,0)+IF(DD1167="D",1,0)+IF(DE1167="D",1,0)+IF(DJ1167="D",1,0)+IF(DK1167="D",1,0)+IF(DO1167="D",1,0)+IF(DP1167="D",1,0)+IF(DQ1167="D",1,0)+IF(DW1167="D",1,0)+IF(DZ1167="D",1,0)+IF(EH1167="D",1,0)</f>
        <v>8</v>
      </c>
      <c r="AY1167" s="0" t="n">
        <f aca="false">COUNTIF(DU1167:EH1167, "&lt;&gt;")</f>
        <v>7</v>
      </c>
      <c r="AZ1167" s="0" t="n">
        <f aca="false">IF(EH1167&lt;&gt;"",1,0)</f>
        <v>1</v>
      </c>
      <c r="BB1167" s="0" t="s">
        <v>152</v>
      </c>
      <c r="BC1167" s="0" t="s">
        <v>153</v>
      </c>
      <c r="BD1167" s="0" t="s">
        <v>153</v>
      </c>
      <c r="BE1167" s="0" t="s">
        <v>153</v>
      </c>
      <c r="BF1167" s="0" t="s">
        <v>153</v>
      </c>
      <c r="BG1167" s="0" t="s">
        <v>153</v>
      </c>
      <c r="BH1167" s="0" t="s">
        <v>153</v>
      </c>
      <c r="BI1167" s="0" t="s">
        <v>153</v>
      </c>
      <c r="BJ1167" s="0" t="s">
        <v>153</v>
      </c>
      <c r="BK1167" s="0" t="s">
        <v>153</v>
      </c>
      <c r="BL1167" s="0" t="s">
        <v>153</v>
      </c>
      <c r="BP1167" s="0" t="s">
        <v>153</v>
      </c>
      <c r="BR1167" s="0" t="s">
        <v>153</v>
      </c>
      <c r="BS1167" s="0" t="s">
        <v>153</v>
      </c>
      <c r="BT1167" s="0" t="s">
        <v>153</v>
      </c>
      <c r="BV1167" s="0" t="s">
        <v>153</v>
      </c>
      <c r="BY1167" s="0" t="s">
        <v>175</v>
      </c>
      <c r="CA1167" s="0" t="s">
        <v>153</v>
      </c>
      <c r="CC1167" s="0" t="s">
        <v>175</v>
      </c>
      <c r="CG1167" s="0" t="s">
        <v>153</v>
      </c>
      <c r="CH1167" s="0" t="s">
        <v>175</v>
      </c>
      <c r="CK1167" s="0" t="s">
        <v>153</v>
      </c>
      <c r="CL1167" s="0" t="s">
        <v>175</v>
      </c>
      <c r="CN1167" s="0" t="s">
        <v>153</v>
      </c>
      <c r="CO1167" s="0" t="s">
        <v>175</v>
      </c>
      <c r="CP1167" s="0" t="s">
        <v>153</v>
      </c>
      <c r="CQ1167" s="0" t="s">
        <v>175</v>
      </c>
      <c r="CT1167" s="0" t="s">
        <v>153</v>
      </c>
      <c r="CU1167" s="0" t="s">
        <v>175</v>
      </c>
      <c r="CV1167" s="0" t="s">
        <v>153</v>
      </c>
      <c r="CW1167" s="0" t="s">
        <v>175</v>
      </c>
      <c r="CY1167" s="0" t="s">
        <v>153</v>
      </c>
      <c r="CZ1167" s="0" t="s">
        <v>175</v>
      </c>
      <c r="DC1167" s="0" t="s">
        <v>153</v>
      </c>
      <c r="DD1167" s="0" t="s">
        <v>175</v>
      </c>
      <c r="DF1167" s="0" t="s">
        <v>153</v>
      </c>
      <c r="DG1167" s="0" t="s">
        <v>175</v>
      </c>
      <c r="DI1167" s="0" t="s">
        <v>153</v>
      </c>
      <c r="DJ1167" s="0" t="s">
        <v>175</v>
      </c>
      <c r="DL1167" s="0" t="s">
        <v>153</v>
      </c>
      <c r="DM1167" s="0" t="s">
        <v>175</v>
      </c>
      <c r="DN1167" s="0" t="s">
        <v>153</v>
      </c>
      <c r="DR1167" s="0" t="s">
        <v>153</v>
      </c>
      <c r="DS1167" s="0" t="s">
        <v>175</v>
      </c>
      <c r="DT1167" s="0" t="s">
        <v>175</v>
      </c>
      <c r="DU1167" s="0" t="s">
        <v>153</v>
      </c>
      <c r="DW1167" s="0" t="s">
        <v>175</v>
      </c>
      <c r="DX1167" s="0" t="s">
        <v>153</v>
      </c>
      <c r="EA1167" s="0" t="s">
        <v>153</v>
      </c>
      <c r="ED1167" s="0" t="s">
        <v>175</v>
      </c>
      <c r="EF1167" s="0" t="s">
        <v>153</v>
      </c>
      <c r="EH1167" s="0" t="s">
        <v>175</v>
      </c>
    </row>
    <row r="1168" customFormat="false" ht="13.8" hidden="false" customHeight="false" outlineLevel="0" collapsed="false">
      <c r="A1168" s="0" t="s">
        <v>5535</v>
      </c>
      <c r="B1168" s="0" t="n">
        <v>78</v>
      </c>
      <c r="C1168" s="0" t="n">
        <v>91878</v>
      </c>
      <c r="D1168" s="0" t="s">
        <v>5528</v>
      </c>
      <c r="E1168" s="0" t="s">
        <v>379</v>
      </c>
      <c r="F1168" s="0" t="str">
        <f aca="false">CONCATENATE(D1168," ",LEFT(H1168,4),"T=",AU1168,"D=",AV1168,"R=",AW1168,"M=",AX1168,"L=",AY1168,"B=",AZ1168)</f>
        <v>SWEET T=1D=0R=0M=8L=7B=1</v>
      </c>
      <c r="G1168" s="0" t="s">
        <v>713</v>
      </c>
      <c r="I1168" s="0" t="s">
        <v>5536</v>
      </c>
      <c r="J1168" s="0" t="s">
        <v>5537</v>
      </c>
      <c r="K1168" s="0" t="s">
        <v>160</v>
      </c>
      <c r="L1168" s="0" t="s">
        <v>175</v>
      </c>
      <c r="M1168" s="0" t="s">
        <v>5531</v>
      </c>
      <c r="N1168" s="0" t="str">
        <f aca="false">RIGHT(M1168,LEN(M1168)-FIND(" ",M1168))</f>
        <v>KENILWORTH AVE SE</v>
      </c>
      <c r="P1168" s="0" t="s">
        <v>145</v>
      </c>
      <c r="Q1168" s="0" t="s">
        <v>146</v>
      </c>
      <c r="R1168" s="0" t="n">
        <v>44483</v>
      </c>
      <c r="AD1168" s="0" t="s">
        <v>147</v>
      </c>
      <c r="AE1168" s="0" t="s">
        <v>148</v>
      </c>
      <c r="AF1168" s="0" t="s">
        <v>149</v>
      </c>
      <c r="AH1168" s="0" t="n">
        <v>14</v>
      </c>
      <c r="AI1168" s="0" t="n">
        <v>11</v>
      </c>
      <c r="AN1168" s="0" t="s">
        <v>145</v>
      </c>
      <c r="AO1168" s="0" t="s">
        <v>150</v>
      </c>
      <c r="AP1168" s="0" t="s">
        <v>151</v>
      </c>
      <c r="AQ1168" s="0" t="n">
        <v>9</v>
      </c>
      <c r="AR1168" s="0" t="n">
        <v>64</v>
      </c>
      <c r="AS1168" s="0" t="n">
        <v>32</v>
      </c>
      <c r="AU1168" s="0" t="n">
        <f aca="false">COUNTA($BA$1009:$EH$1009)</f>
        <v>1</v>
      </c>
      <c r="AV1168" s="0" t="n">
        <f aca="false">COUNTIF($BA$1009:$EH$1009,"D")</f>
        <v>0</v>
      </c>
      <c r="AW1168" s="0" t="n">
        <f aca="false">COUNTIF($BA$1009:$EH$1009,"R")</f>
        <v>0</v>
      </c>
      <c r="AX1168" s="0" t="n">
        <f aca="false">IF(BN1168="D",1,0)+IF(BO1168="D",1,0)+IF(BT1168="D",1,0)+IF(BU1168="D",1,0)+IF(BW1168="D",1,0)+IF(CC1168="D",1,0)+IF(CD1168="D",1,0)+IF(CE1168="D",1,0)+IF(CF1168="D",1,0)+IF(CL1168="D",1,0)+IF(CM1168="D",1,0)+IF(CQ1168="D",1,0)+IF(CR1168="D",1,0)+IF(CS1168="D",1,0)+IF(CW1168="D",1,0)+IF(CX1168="D",1,0)+IF(DD1168="D",1,0)+IF(DE1168="D",1,0)+IF(DJ1168="D",1,0)+IF(DK1168="D",1,0)+IF(DO1168="D",1,0)+IF(DP1168="D",1,0)+IF(DQ1168="D",1,0)+IF(DW1168="D",1,0)+IF(DZ1168="D",1,0)+IF(EH1168="D",1,0)</f>
        <v>8</v>
      </c>
      <c r="AY1168" s="0" t="n">
        <f aca="false">COUNTIF(DU1168:EH1168, "&lt;&gt;")</f>
        <v>7</v>
      </c>
      <c r="AZ1168" s="0" t="n">
        <f aca="false">IF(EH1168&lt;&gt;"",1,0)</f>
        <v>1</v>
      </c>
      <c r="BB1168" s="0" t="s">
        <v>152</v>
      </c>
      <c r="BC1168" s="0" t="s">
        <v>153</v>
      </c>
      <c r="BD1168" s="0" t="s">
        <v>153</v>
      </c>
      <c r="BE1168" s="0" t="s">
        <v>153</v>
      </c>
      <c r="BF1168" s="0" t="s">
        <v>153</v>
      </c>
      <c r="BG1168" s="0" t="s">
        <v>153</v>
      </c>
      <c r="BH1168" s="0" t="s">
        <v>153</v>
      </c>
      <c r="BI1168" s="0" t="s">
        <v>153</v>
      </c>
      <c r="BJ1168" s="0" t="s">
        <v>153</v>
      </c>
      <c r="BK1168" s="0" t="s">
        <v>153</v>
      </c>
      <c r="BL1168" s="0" t="s">
        <v>153</v>
      </c>
      <c r="BP1168" s="0" t="s">
        <v>153</v>
      </c>
      <c r="BR1168" s="0" t="s">
        <v>153</v>
      </c>
      <c r="BS1168" s="0" t="s">
        <v>153</v>
      </c>
      <c r="BT1168" s="0" t="s">
        <v>153</v>
      </c>
      <c r="BV1168" s="0" t="s">
        <v>153</v>
      </c>
      <c r="BY1168" s="0" t="s">
        <v>175</v>
      </c>
      <c r="CA1168" s="0" t="s">
        <v>153</v>
      </c>
      <c r="CC1168" s="0" t="s">
        <v>175</v>
      </c>
      <c r="CG1168" s="0" t="s">
        <v>153</v>
      </c>
      <c r="CH1168" s="0" t="s">
        <v>175</v>
      </c>
      <c r="CK1168" s="0" t="s">
        <v>153</v>
      </c>
      <c r="CL1168" s="0" t="s">
        <v>175</v>
      </c>
      <c r="CN1168" s="0" t="s">
        <v>153</v>
      </c>
      <c r="CO1168" s="0" t="s">
        <v>175</v>
      </c>
      <c r="CP1168" s="0" t="s">
        <v>153</v>
      </c>
      <c r="CQ1168" s="0" t="s">
        <v>175</v>
      </c>
      <c r="CT1168" s="0" t="s">
        <v>153</v>
      </c>
      <c r="CU1168" s="0" t="s">
        <v>175</v>
      </c>
      <c r="CV1168" s="0" t="s">
        <v>153</v>
      </c>
      <c r="CW1168" s="0" t="s">
        <v>175</v>
      </c>
      <c r="CY1168" s="0" t="s">
        <v>153</v>
      </c>
      <c r="CZ1168" s="0" t="s">
        <v>175</v>
      </c>
      <c r="DC1168" s="0" t="s">
        <v>153</v>
      </c>
      <c r="DD1168" s="0" t="s">
        <v>175</v>
      </c>
      <c r="DF1168" s="0" t="s">
        <v>153</v>
      </c>
      <c r="DG1168" s="0" t="s">
        <v>175</v>
      </c>
      <c r="DI1168" s="0" t="s">
        <v>153</v>
      </c>
      <c r="DJ1168" s="0" t="s">
        <v>175</v>
      </c>
      <c r="DL1168" s="0" t="s">
        <v>153</v>
      </c>
      <c r="DM1168" s="0" t="s">
        <v>175</v>
      </c>
      <c r="DN1168" s="0" t="s">
        <v>153</v>
      </c>
      <c r="DR1168" s="0" t="s">
        <v>153</v>
      </c>
      <c r="DS1168" s="0" t="s">
        <v>175</v>
      </c>
      <c r="DT1168" s="0" t="s">
        <v>175</v>
      </c>
      <c r="DU1168" s="0" t="s">
        <v>153</v>
      </c>
      <c r="DW1168" s="0" t="s">
        <v>175</v>
      </c>
      <c r="DX1168" s="0" t="s">
        <v>153</v>
      </c>
      <c r="EA1168" s="0" t="s">
        <v>153</v>
      </c>
      <c r="ED1168" s="0" t="s">
        <v>175</v>
      </c>
      <c r="EF1168" s="0" t="s">
        <v>153</v>
      </c>
      <c r="EH1168" s="0" t="s">
        <v>175</v>
      </c>
    </row>
    <row r="1169" customFormat="false" ht="13.8" hidden="true" customHeight="false" outlineLevel="0" collapsed="false">
      <c r="A1169" s="0" t="s">
        <v>5538</v>
      </c>
      <c r="B1169" s="0" t="n">
        <v>78</v>
      </c>
      <c r="C1169" s="0" t="n">
        <v>421464</v>
      </c>
      <c r="D1169" s="0" t="s">
        <v>5539</v>
      </c>
      <c r="E1169" s="0" t="s">
        <v>5540</v>
      </c>
      <c r="F1169" s="0" t="str">
        <f aca="false">CONCATENATE(D1169," ",LEFT(H1169,4),"T=",AU1169,"D=",AV1169,"R=",AW1169,"M=",AX1169,"L=",AY1169,"B=",AZ1169)</f>
        <v>COY T=17D=0R=0M=0L=0B=0</v>
      </c>
      <c r="G1169" s="0" t="s">
        <v>190</v>
      </c>
      <c r="I1169" s="0" t="s">
        <v>5541</v>
      </c>
      <c r="J1169" s="0" t="s">
        <v>1641</v>
      </c>
      <c r="K1169" s="0" t="s">
        <v>143</v>
      </c>
      <c r="M1169" s="0" t="s">
        <v>5542</v>
      </c>
      <c r="N1169" s="0" t="str">
        <f aca="false">RIGHT(M1169,LEN(M1169)-FIND(" ",M1169))</f>
        <v>KENILWORTH AVE SE</v>
      </c>
      <c r="P1169" s="0" t="s">
        <v>145</v>
      </c>
      <c r="Q1169" s="0" t="s">
        <v>146</v>
      </c>
      <c r="R1169" s="0" t="n">
        <v>44483</v>
      </c>
      <c r="AD1169" s="0" t="s">
        <v>147</v>
      </c>
      <c r="AE1169" s="0" t="s">
        <v>148</v>
      </c>
      <c r="AF1169" s="0" t="s">
        <v>149</v>
      </c>
      <c r="AH1169" s="0" t="n">
        <v>14</v>
      </c>
      <c r="AI1169" s="0" t="n">
        <v>11</v>
      </c>
      <c r="AN1169" s="0" t="s">
        <v>145</v>
      </c>
      <c r="AO1169" s="0" t="s">
        <v>150</v>
      </c>
      <c r="AP1169" s="0" t="s">
        <v>151</v>
      </c>
      <c r="AQ1169" s="0" t="n">
        <v>9</v>
      </c>
      <c r="AR1169" s="0" t="n">
        <v>64</v>
      </c>
      <c r="AS1169" s="0" t="n">
        <v>32</v>
      </c>
      <c r="AU1169" s="0" t="n">
        <f aca="false">COUNTA($BA$193:$EH$193)</f>
        <v>17</v>
      </c>
      <c r="AV1169" s="0" t="n">
        <f aca="false">COUNTIF($BA$193:$EH$193,"D")</f>
        <v>0</v>
      </c>
      <c r="AW1169" s="0" t="n">
        <f aca="false">COUNTIF($BA$193:$EH$193,"R")</f>
        <v>0</v>
      </c>
      <c r="AX1169" s="0" t="n">
        <f aca="false">IF(BN1169="D",1,0)+IF(BO1169="D",1,0)+IF(BT1169="D",1,0)+IF(BU1169="D",1,0)+IF(BW1169="D",1,0)+IF(CC1169="D",1,0)+IF(CD1169="D",1,0)+IF(CE1169="D",1,0)+IF(CF1169="D",1,0)+IF(CL1169="D",1,0)+IF(CM1169="D",1,0)+IF(CQ1169="D",1,0)+IF(CR1169="D",1,0)+IF(CS1169="D",1,0)+IF(CW1169="D",1,0)+IF(CX1169="D",1,0)+IF(DD1169="D",1,0)+IF(DE1169="D",1,0)+IF(DJ1169="D",1,0)+IF(DK1169="D",1,0)+IF(DO1169="D",1,0)+IF(DP1169="D",1,0)+IF(DQ1169="D",1,0)+IF(DW1169="D",1,0)+IF(DZ1169="D",1,0)+IF(EH1169="D",1,0)</f>
        <v>0</v>
      </c>
      <c r="AY1169" s="0" t="n">
        <f aca="false">COUNTIF(DU1169:EH1169, "&lt;&gt;")</f>
        <v>0</v>
      </c>
      <c r="AZ1169" s="0" t="n">
        <f aca="false">IF(EH1169&lt;&gt;"",1,0)</f>
        <v>0</v>
      </c>
      <c r="BB1169" s="0" t="s">
        <v>152</v>
      </c>
      <c r="BD1169" s="0" t="s">
        <v>153</v>
      </c>
      <c r="BL1169" s="0" t="s">
        <v>153</v>
      </c>
      <c r="BY1169" s="0" t="s">
        <v>175</v>
      </c>
      <c r="CA1169" s="0" t="s">
        <v>153</v>
      </c>
      <c r="DC1169" s="0" t="s">
        <v>153</v>
      </c>
    </row>
    <row r="1170" customFormat="false" ht="13.8" hidden="false" customHeight="false" outlineLevel="0" collapsed="false">
      <c r="A1170" s="0" t="s">
        <v>5543</v>
      </c>
      <c r="B1170" s="0" t="n">
        <v>78</v>
      </c>
      <c r="C1170" s="0" t="n">
        <v>23118</v>
      </c>
      <c r="D1170" s="0" t="s">
        <v>3212</v>
      </c>
      <c r="E1170" s="0" t="s">
        <v>5062</v>
      </c>
      <c r="F1170" s="0" t="str">
        <f aca="false">CONCATENATE(D1170," ",LEFT(H1170,4),"T=",AU1170,"D=",AV1170,"R=",AW1170,"M=",AX1170,"L=",AY1170,"B=",AZ1170)</f>
        <v>GREGORY T=3D=1R=0M=3L=4B=0</v>
      </c>
      <c r="I1170" s="0" t="s">
        <v>5544</v>
      </c>
      <c r="J1170" s="0" t="s">
        <v>5545</v>
      </c>
      <c r="K1170" s="0" t="s">
        <v>160</v>
      </c>
      <c r="L1170" s="0" t="s">
        <v>175</v>
      </c>
      <c r="M1170" s="0" t="s">
        <v>5546</v>
      </c>
      <c r="N1170" s="0" t="str">
        <f aca="false">RIGHT(M1170,LEN(M1170)-FIND(" ",M1170))</f>
        <v>KENILWORTH AVE SE</v>
      </c>
      <c r="P1170" s="0" t="s">
        <v>145</v>
      </c>
      <c r="Q1170" s="0" t="s">
        <v>146</v>
      </c>
      <c r="R1170" s="0" t="n">
        <v>44483</v>
      </c>
      <c r="AD1170" s="0" t="s">
        <v>147</v>
      </c>
      <c r="AE1170" s="0" t="s">
        <v>148</v>
      </c>
      <c r="AF1170" s="0" t="s">
        <v>149</v>
      </c>
      <c r="AH1170" s="0" t="n">
        <v>14</v>
      </c>
      <c r="AI1170" s="0" t="n">
        <v>11</v>
      </c>
      <c r="AN1170" s="0" t="s">
        <v>145</v>
      </c>
      <c r="AO1170" s="0" t="s">
        <v>150</v>
      </c>
      <c r="AP1170" s="0" t="s">
        <v>151</v>
      </c>
      <c r="AQ1170" s="0" t="n">
        <v>9</v>
      </c>
      <c r="AR1170" s="0" t="n">
        <v>64</v>
      </c>
      <c r="AS1170" s="0" t="n">
        <v>32</v>
      </c>
      <c r="AU1170" s="0" t="n">
        <f aca="false">COUNTA($BA$873:$EH$873)</f>
        <v>3</v>
      </c>
      <c r="AV1170" s="0" t="n">
        <f aca="false">COUNTIF($BA$873:$EH$873,"D")</f>
        <v>1</v>
      </c>
      <c r="AW1170" s="0" t="n">
        <f aca="false">COUNTIF($BA$873:$EH$873,"R")</f>
        <v>0</v>
      </c>
      <c r="AX1170" s="0" t="n">
        <f aca="false">IF(BN1170="D",1,0)+IF(BO1170="D",1,0)+IF(BT1170="D",1,0)+IF(BU1170="D",1,0)+IF(BW1170="D",1,0)+IF(CC1170="D",1,0)+IF(CD1170="D",1,0)+IF(CE1170="D",1,0)+IF(CF1170="D",1,0)+IF(CL1170="D",1,0)+IF(CM1170="D",1,0)+IF(CQ1170="D",1,0)+IF(CR1170="D",1,0)+IF(CS1170="D",1,0)+IF(CW1170="D",1,0)+IF(CX1170="D",1,0)+IF(DD1170="D",1,0)+IF(DE1170="D",1,0)+IF(DJ1170="D",1,0)+IF(DK1170="D",1,0)+IF(DO1170="D",1,0)+IF(DP1170="D",1,0)+IF(DQ1170="D",1,0)+IF(DW1170="D",1,0)+IF(DZ1170="D",1,0)+IF(EH1170="D",1,0)</f>
        <v>3</v>
      </c>
      <c r="AY1170" s="0" t="n">
        <f aca="false">COUNTIF(DU1170:EH1170, "&lt;&gt;")</f>
        <v>4</v>
      </c>
      <c r="AZ1170" s="0" t="n">
        <f aca="false">IF(EH1170&lt;&gt;"",1,0)</f>
        <v>0</v>
      </c>
      <c r="BB1170" s="0" t="s">
        <v>152</v>
      </c>
      <c r="BC1170" s="0" t="s">
        <v>153</v>
      </c>
      <c r="BD1170" s="0" t="s">
        <v>153</v>
      </c>
      <c r="BF1170" s="0" t="s">
        <v>153</v>
      </c>
      <c r="BG1170" s="0" t="s">
        <v>153</v>
      </c>
      <c r="BH1170" s="0" t="s">
        <v>153</v>
      </c>
      <c r="BI1170" s="0" t="s">
        <v>153</v>
      </c>
      <c r="BJ1170" s="0" t="s">
        <v>153</v>
      </c>
      <c r="BK1170" s="0" t="s">
        <v>153</v>
      </c>
      <c r="BL1170" s="0" t="s">
        <v>153</v>
      </c>
      <c r="BP1170" s="0" t="s">
        <v>153</v>
      </c>
      <c r="BS1170" s="0" t="s">
        <v>153</v>
      </c>
      <c r="BT1170" s="0" t="s">
        <v>153</v>
      </c>
      <c r="BV1170" s="0" t="s">
        <v>153</v>
      </c>
      <c r="BY1170" s="0" t="s">
        <v>175</v>
      </c>
      <c r="CA1170" s="0" t="s">
        <v>153</v>
      </c>
      <c r="CG1170" s="0" t="s">
        <v>153</v>
      </c>
      <c r="CN1170" s="0" t="s">
        <v>153</v>
      </c>
      <c r="CO1170" s="0" t="s">
        <v>175</v>
      </c>
      <c r="CP1170" s="0" t="s">
        <v>153</v>
      </c>
      <c r="CT1170" s="0" t="s">
        <v>153</v>
      </c>
      <c r="CU1170" s="0" t="s">
        <v>175</v>
      </c>
      <c r="CW1170" s="0" t="s">
        <v>175</v>
      </c>
      <c r="CY1170" s="0" t="s">
        <v>153</v>
      </c>
      <c r="DC1170" s="0" t="s">
        <v>153</v>
      </c>
      <c r="DD1170" s="0" t="s">
        <v>175</v>
      </c>
      <c r="DI1170" s="0" t="s">
        <v>153</v>
      </c>
      <c r="DL1170" s="0" t="s">
        <v>153</v>
      </c>
      <c r="DM1170" s="0" t="s">
        <v>175</v>
      </c>
      <c r="DN1170" s="0" t="s">
        <v>153</v>
      </c>
      <c r="DU1170" s="0" t="s">
        <v>153</v>
      </c>
      <c r="DW1170" s="0" t="s">
        <v>175</v>
      </c>
      <c r="ED1170" s="0" t="s">
        <v>175</v>
      </c>
      <c r="EF1170" s="0" t="s">
        <v>153</v>
      </c>
    </row>
    <row r="1171" customFormat="false" ht="13.8" hidden="true" customHeight="false" outlineLevel="0" collapsed="false">
      <c r="A1171" s="0" t="s">
        <v>5547</v>
      </c>
      <c r="B1171" s="0" t="n">
        <v>78</v>
      </c>
      <c r="C1171" s="0" t="n">
        <v>491409</v>
      </c>
      <c r="D1171" s="0" t="s">
        <v>2171</v>
      </c>
      <c r="E1171" s="0" t="s">
        <v>5548</v>
      </c>
      <c r="F1171" s="0" t="str">
        <f aca="false">CONCATENATE(D1171," ",LEFT(H1171,4),"T=",AU1171,"D=",AV1171,"R=",AW1171,"M=",AX1171,"L=",AY1171,"B=",AZ1171)</f>
        <v>SULLIVAN T=4D=0R=0M=0L=1B=0</v>
      </c>
      <c r="G1171" s="0" t="s">
        <v>839</v>
      </c>
      <c r="I1171" s="0" t="s">
        <v>5549</v>
      </c>
      <c r="J1171" s="0" t="s">
        <v>404</v>
      </c>
      <c r="K1171" s="0" t="s">
        <v>160</v>
      </c>
      <c r="M1171" s="0" t="s">
        <v>5550</v>
      </c>
      <c r="N1171" s="0" t="str">
        <f aca="false">RIGHT(M1171,LEN(M1171)-FIND(" ",M1171))</f>
        <v>KENILWORTH AVE SE</v>
      </c>
      <c r="P1171" s="0" t="s">
        <v>145</v>
      </c>
      <c r="Q1171" s="0" t="s">
        <v>146</v>
      </c>
      <c r="R1171" s="0" t="n">
        <v>44483</v>
      </c>
      <c r="AD1171" s="0" t="s">
        <v>147</v>
      </c>
      <c r="AE1171" s="0" t="s">
        <v>148</v>
      </c>
      <c r="AF1171" s="0" t="s">
        <v>149</v>
      </c>
      <c r="AH1171" s="0" t="n">
        <v>14</v>
      </c>
      <c r="AI1171" s="0" t="n">
        <v>11</v>
      </c>
      <c r="AN1171" s="0" t="s">
        <v>145</v>
      </c>
      <c r="AO1171" s="0" t="s">
        <v>150</v>
      </c>
      <c r="AP1171" s="0" t="s">
        <v>151</v>
      </c>
      <c r="AQ1171" s="0" t="n">
        <v>9</v>
      </c>
      <c r="AR1171" s="0" t="n">
        <v>64</v>
      </c>
      <c r="AS1171" s="0" t="n">
        <v>32</v>
      </c>
      <c r="AU1171" s="0" t="n">
        <f aca="false">COUNTA($BA$155:$EH$155)</f>
        <v>4</v>
      </c>
      <c r="AV1171" s="0" t="n">
        <f aca="false">COUNTIF($BA$155:$EH$155,"D")</f>
        <v>0</v>
      </c>
      <c r="AW1171" s="0" t="n">
        <f aca="false">COUNTIF($BA$155:$EH$155,"R")</f>
        <v>0</v>
      </c>
      <c r="AX1171" s="0" t="n">
        <f aca="false">IF(BN1171="D",1,0)+IF(BO1171="D",1,0)+IF(BT1171="D",1,0)+IF(BU1171="D",1,0)+IF(BW1171="D",1,0)+IF(CC1171="D",1,0)+IF(CD1171="D",1,0)+IF(CE1171="D",1,0)+IF(CF1171="D",1,0)+IF(CL1171="D",1,0)+IF(CM1171="D",1,0)+IF(CQ1171="D",1,0)+IF(CR1171="D",1,0)+IF(CS1171="D",1,0)+IF(CW1171="D",1,0)+IF(CX1171="D",1,0)+IF(DD1171="D",1,0)+IF(DE1171="D",1,0)+IF(DJ1171="D",1,0)+IF(DK1171="D",1,0)+IF(DO1171="D",1,0)+IF(DP1171="D",1,0)+IF(DQ1171="D",1,0)+IF(DW1171="D",1,0)+IF(DZ1171="D",1,0)+IF(EH1171="D",1,0)</f>
        <v>0</v>
      </c>
      <c r="AY1171" s="0" t="n">
        <f aca="false">COUNTIF(DU1171:EH1171, "&lt;&gt;")</f>
        <v>1</v>
      </c>
      <c r="AZ1171" s="0" t="n">
        <f aca="false">IF(EH1171&lt;&gt;"",1,0)</f>
        <v>0</v>
      </c>
      <c r="BB1171" s="0" t="s">
        <v>152</v>
      </c>
      <c r="EF1171" s="0" t="s">
        <v>153</v>
      </c>
    </row>
    <row r="1172" customFormat="false" ht="13.8" hidden="false" customHeight="false" outlineLevel="0" collapsed="false">
      <c r="A1172" s="0" t="s">
        <v>5551</v>
      </c>
      <c r="B1172" s="0" t="n">
        <v>78</v>
      </c>
      <c r="C1172" s="0" t="n">
        <v>236553</v>
      </c>
      <c r="D1172" s="0" t="s">
        <v>5552</v>
      </c>
      <c r="E1172" s="0" t="s">
        <v>1193</v>
      </c>
      <c r="F1172" s="0" t="str">
        <f aca="false">CONCATENATE(D1172," ",LEFT(H1172,4),"T=",AU1172,"D=",AV1172,"R=",AW1172,"M=",AX1172,"L=",AY1172,"B=",AZ1172)</f>
        <v>MCGRATH T=7D=0R=0M=5L=4B=0</v>
      </c>
      <c r="G1172" s="0" t="s">
        <v>190</v>
      </c>
      <c r="I1172" s="0" t="s">
        <v>4779</v>
      </c>
      <c r="J1172" s="0" t="s">
        <v>5553</v>
      </c>
      <c r="K1172" s="0" t="s">
        <v>160</v>
      </c>
      <c r="L1172" s="0" t="s">
        <v>175</v>
      </c>
      <c r="M1172" s="0" t="s">
        <v>5550</v>
      </c>
      <c r="N1172" s="0" t="str">
        <f aca="false">RIGHT(M1172,LEN(M1172)-FIND(" ",M1172))</f>
        <v>KENILWORTH AVE SE</v>
      </c>
      <c r="P1172" s="0" t="s">
        <v>145</v>
      </c>
      <c r="Q1172" s="0" t="s">
        <v>146</v>
      </c>
      <c r="R1172" s="0" t="n">
        <v>44483</v>
      </c>
      <c r="AD1172" s="0" t="s">
        <v>147</v>
      </c>
      <c r="AE1172" s="0" t="s">
        <v>148</v>
      </c>
      <c r="AF1172" s="0" t="s">
        <v>149</v>
      </c>
      <c r="AH1172" s="0" t="n">
        <v>14</v>
      </c>
      <c r="AI1172" s="0" t="n">
        <v>11</v>
      </c>
      <c r="AN1172" s="0" t="s">
        <v>145</v>
      </c>
      <c r="AO1172" s="0" t="s">
        <v>150</v>
      </c>
      <c r="AP1172" s="0" t="s">
        <v>151</v>
      </c>
      <c r="AQ1172" s="0" t="n">
        <v>9</v>
      </c>
      <c r="AR1172" s="0" t="n">
        <v>64</v>
      </c>
      <c r="AS1172" s="0" t="n">
        <v>32</v>
      </c>
      <c r="AU1172" s="0" t="n">
        <f aca="false">COUNTA($BA$958:$EH$958)</f>
        <v>7</v>
      </c>
      <c r="AV1172" s="0" t="n">
        <f aca="false">COUNTIF($BA$958:$EH$958,"D")</f>
        <v>0</v>
      </c>
      <c r="AW1172" s="0" t="n">
        <f aca="false">COUNTIF($BA$958:$EH$958,"R")</f>
        <v>0</v>
      </c>
      <c r="AX1172" s="0" t="n">
        <f aca="false">IF(BN1172="D",1,0)+IF(BO1172="D",1,0)+IF(BT1172="D",1,0)+IF(BU1172="D",1,0)+IF(BW1172="D",1,0)+IF(CC1172="D",1,0)+IF(CD1172="D",1,0)+IF(CE1172="D",1,0)+IF(CF1172="D",1,0)+IF(CL1172="D",1,0)+IF(CM1172="D",1,0)+IF(CQ1172="D",1,0)+IF(CR1172="D",1,0)+IF(CS1172="D",1,0)+IF(CW1172="D",1,0)+IF(CX1172="D",1,0)+IF(DD1172="D",1,0)+IF(DE1172="D",1,0)+IF(DJ1172="D",1,0)+IF(DK1172="D",1,0)+IF(DO1172="D",1,0)+IF(DP1172="D",1,0)+IF(DQ1172="D",1,0)+IF(DW1172="D",1,0)+IF(DZ1172="D",1,0)+IF(EH1172="D",1,0)</f>
        <v>5</v>
      </c>
      <c r="AY1172" s="0" t="n">
        <f aca="false">COUNTIF(DU1172:EH1172, "&lt;&gt;")</f>
        <v>4</v>
      </c>
      <c r="AZ1172" s="0" t="n">
        <f aca="false">IF(EH1172&lt;&gt;"",1,0)</f>
        <v>0</v>
      </c>
      <c r="BB1172" s="0" t="s">
        <v>152</v>
      </c>
      <c r="BC1172" s="0" t="s">
        <v>153</v>
      </c>
      <c r="BD1172" s="0" t="s">
        <v>153</v>
      </c>
      <c r="BE1172" s="0" t="s">
        <v>153</v>
      </c>
      <c r="BG1172" s="0" t="s">
        <v>153</v>
      </c>
      <c r="BH1172" s="0" t="s">
        <v>153</v>
      </c>
      <c r="BI1172" s="0" t="s">
        <v>153</v>
      </c>
      <c r="BJ1172" s="0" t="s">
        <v>153</v>
      </c>
      <c r="BK1172" s="0" t="s">
        <v>153</v>
      </c>
      <c r="BL1172" s="0" t="s">
        <v>153</v>
      </c>
      <c r="BR1172" s="0" t="s">
        <v>153</v>
      </c>
      <c r="BS1172" s="0" t="s">
        <v>153</v>
      </c>
      <c r="BV1172" s="0" t="s">
        <v>153</v>
      </c>
      <c r="BY1172" s="0" t="s">
        <v>175</v>
      </c>
      <c r="CA1172" s="0" t="s">
        <v>153</v>
      </c>
      <c r="CG1172" s="0" t="s">
        <v>153</v>
      </c>
      <c r="CK1172" s="0" t="s">
        <v>153</v>
      </c>
      <c r="CL1172" s="0" t="s">
        <v>175</v>
      </c>
      <c r="CN1172" s="0" t="s">
        <v>153</v>
      </c>
      <c r="CO1172" s="0" t="s">
        <v>175</v>
      </c>
      <c r="CP1172" s="0" t="s">
        <v>153</v>
      </c>
      <c r="CQ1172" s="0" t="s">
        <v>175</v>
      </c>
      <c r="CT1172" s="0" t="s">
        <v>153</v>
      </c>
      <c r="CV1172" s="0" t="s">
        <v>153</v>
      </c>
      <c r="CW1172" s="0" t="s">
        <v>175</v>
      </c>
      <c r="CY1172" s="0" t="s">
        <v>153</v>
      </c>
      <c r="CZ1172" s="0" t="s">
        <v>175</v>
      </c>
      <c r="DC1172" s="0" t="s">
        <v>153</v>
      </c>
      <c r="DF1172" s="0" t="s">
        <v>153</v>
      </c>
      <c r="DG1172" s="0" t="s">
        <v>175</v>
      </c>
      <c r="DI1172" s="0" t="s">
        <v>153</v>
      </c>
      <c r="DJ1172" s="0" t="s">
        <v>175</v>
      </c>
      <c r="DL1172" s="0" t="s">
        <v>153</v>
      </c>
      <c r="DN1172" s="0" t="s">
        <v>153</v>
      </c>
      <c r="DS1172" s="0" t="s">
        <v>175</v>
      </c>
      <c r="DU1172" s="0" t="s">
        <v>153</v>
      </c>
      <c r="DW1172" s="0" t="s">
        <v>175</v>
      </c>
      <c r="DX1172" s="0" t="s">
        <v>153</v>
      </c>
      <c r="EF1172" s="0" t="s">
        <v>153</v>
      </c>
    </row>
    <row r="1173" customFormat="false" ht="13.8" hidden="false" customHeight="false" outlineLevel="0" collapsed="false">
      <c r="A1173" s="0" t="s">
        <v>5554</v>
      </c>
      <c r="B1173" s="0" t="n">
        <v>78</v>
      </c>
      <c r="C1173" s="0" t="n">
        <v>13756</v>
      </c>
      <c r="D1173" s="0" t="s">
        <v>5555</v>
      </c>
      <c r="E1173" s="0" t="s">
        <v>324</v>
      </c>
      <c r="F1173" s="0" t="str">
        <f aca="false">CONCATENATE(D1173," ",LEFT(H1173,4),"T=",AU1173,"D=",AV1173,"R=",AW1173,"M=",AX1173,"L=",AY1173,"B=",AZ1173)</f>
        <v>WERNER T=2D=0R=0M=0L=6B=1</v>
      </c>
      <c r="G1173" s="0" t="s">
        <v>164</v>
      </c>
      <c r="I1173" s="0" t="s">
        <v>5556</v>
      </c>
      <c r="J1173" s="0" t="s">
        <v>5557</v>
      </c>
      <c r="K1173" s="0" t="s">
        <v>160</v>
      </c>
      <c r="L1173" s="0" t="s">
        <v>209</v>
      </c>
      <c r="M1173" s="0" t="s">
        <v>5558</v>
      </c>
      <c r="N1173" s="0" t="str">
        <f aca="false">RIGHT(M1173,LEN(M1173)-FIND(" ",M1173))</f>
        <v>KENILWORTH AVE SE</v>
      </c>
      <c r="P1173" s="0" t="s">
        <v>145</v>
      </c>
      <c r="Q1173" s="0" t="s">
        <v>146</v>
      </c>
      <c r="R1173" s="0" t="n">
        <v>44483</v>
      </c>
      <c r="AD1173" s="0" t="s">
        <v>147</v>
      </c>
      <c r="AE1173" s="0" t="s">
        <v>148</v>
      </c>
      <c r="AF1173" s="0" t="s">
        <v>149</v>
      </c>
      <c r="AH1173" s="0" t="n">
        <v>14</v>
      </c>
      <c r="AI1173" s="0" t="n">
        <v>11</v>
      </c>
      <c r="AN1173" s="0" t="s">
        <v>145</v>
      </c>
      <c r="AO1173" s="0" t="s">
        <v>150</v>
      </c>
      <c r="AP1173" s="0" t="s">
        <v>151</v>
      </c>
      <c r="AQ1173" s="0" t="n">
        <v>9</v>
      </c>
      <c r="AR1173" s="0" t="n">
        <v>64</v>
      </c>
      <c r="AS1173" s="0" t="n">
        <v>32</v>
      </c>
      <c r="AU1173" s="0" t="n">
        <f aca="false">COUNTA($BA$630:$EH$630)</f>
        <v>2</v>
      </c>
      <c r="AV1173" s="0" t="n">
        <f aca="false">COUNTIF($BA$630:$EH$630,"D")</f>
        <v>0</v>
      </c>
      <c r="AW1173" s="0" t="n">
        <f aca="false">COUNTIF($BA$630:$EH$630,"R")</f>
        <v>0</v>
      </c>
      <c r="AX1173" s="0" t="n">
        <f aca="false">IF(BN1173="D",1,0)+IF(BO1173="D",1,0)+IF(BT1173="D",1,0)+IF(BU1173="D",1,0)+IF(BW1173="D",1,0)+IF(CC1173="D",1,0)+IF(CD1173="D",1,0)+IF(CE1173="D",1,0)+IF(CF1173="D",1,0)+IF(CL1173="D",1,0)+IF(CM1173="D",1,0)+IF(CQ1173="D",1,0)+IF(CR1173="D",1,0)+IF(CS1173="D",1,0)+IF(CW1173="D",1,0)+IF(CX1173="D",1,0)+IF(DD1173="D",1,0)+IF(DE1173="D",1,0)+IF(DJ1173="D",1,0)+IF(DK1173="D",1,0)+IF(DO1173="D",1,0)+IF(DP1173="D",1,0)+IF(DQ1173="D",1,0)+IF(DW1173="D",1,0)+IF(DZ1173="D",1,0)+IF(EH1173="D",1,0)</f>
        <v>0</v>
      </c>
      <c r="AY1173" s="0" t="n">
        <f aca="false">COUNTIF(DU1173:EH1173, "&lt;&gt;")</f>
        <v>6</v>
      </c>
      <c r="AZ1173" s="0" t="n">
        <f aca="false">IF(EH1173&lt;&gt;"",1,0)</f>
        <v>1</v>
      </c>
      <c r="BB1173" s="0" t="s">
        <v>152</v>
      </c>
      <c r="BC1173" s="0" t="s">
        <v>153</v>
      </c>
      <c r="BD1173" s="0" t="s">
        <v>153</v>
      </c>
      <c r="BE1173" s="0" t="s">
        <v>153</v>
      </c>
      <c r="BF1173" s="0" t="s">
        <v>153</v>
      </c>
      <c r="BJ1173" s="0" t="s">
        <v>153</v>
      </c>
      <c r="BL1173" s="0" t="s">
        <v>153</v>
      </c>
      <c r="BS1173" s="0" t="s">
        <v>153</v>
      </c>
      <c r="CA1173" s="0" t="s">
        <v>153</v>
      </c>
      <c r="CG1173" s="0" t="s">
        <v>153</v>
      </c>
      <c r="CK1173" s="0" t="s">
        <v>153</v>
      </c>
      <c r="CN1173" s="0" t="s">
        <v>153</v>
      </c>
      <c r="CO1173" s="0" t="s">
        <v>209</v>
      </c>
      <c r="CP1173" s="0" t="s">
        <v>153</v>
      </c>
      <c r="CV1173" s="0" t="s">
        <v>153</v>
      </c>
      <c r="CY1173" s="0" t="s">
        <v>153</v>
      </c>
      <c r="CZ1173" s="0" t="s">
        <v>209</v>
      </c>
      <c r="DC1173" s="0" t="s">
        <v>153</v>
      </c>
      <c r="DF1173" s="0" t="s">
        <v>153</v>
      </c>
      <c r="DI1173" s="0" t="s">
        <v>153</v>
      </c>
      <c r="DN1173" s="0" t="s">
        <v>153</v>
      </c>
      <c r="DS1173" s="0" t="s">
        <v>209</v>
      </c>
      <c r="DU1173" s="0" t="s">
        <v>153</v>
      </c>
      <c r="DX1173" s="0" t="s">
        <v>153</v>
      </c>
      <c r="EA1173" s="0" t="s">
        <v>153</v>
      </c>
      <c r="ED1173" s="0" t="s">
        <v>209</v>
      </c>
      <c r="EF1173" s="0" t="s">
        <v>153</v>
      </c>
      <c r="EH1173" s="0" t="s">
        <v>153</v>
      </c>
    </row>
    <row r="1174" customFormat="false" ht="13.8" hidden="true" customHeight="false" outlineLevel="0" collapsed="false">
      <c r="A1174" s="0" t="s">
        <v>5559</v>
      </c>
      <c r="B1174" s="0" t="n">
        <v>78</v>
      </c>
      <c r="C1174" s="0" t="n">
        <v>496337</v>
      </c>
      <c r="D1174" s="0" t="s">
        <v>5560</v>
      </c>
      <c r="E1174" s="0" t="s">
        <v>849</v>
      </c>
      <c r="F1174" s="0" t="str">
        <f aca="false">CONCATENATE(D1174," ",LEFT(H1174,4),"T=",AU1174,"D=",AV1174,"R=",AW1174,"M=",AX1174,"L=",AY1174,"B=",AZ1174)</f>
        <v>FOSTER T=52D=18R=0M=0L=0B=0</v>
      </c>
      <c r="G1174" s="0" t="s">
        <v>195</v>
      </c>
      <c r="I1174" s="0" t="s">
        <v>5561</v>
      </c>
      <c r="J1174" s="0" t="s">
        <v>5562</v>
      </c>
      <c r="K1174" s="0" t="s">
        <v>160</v>
      </c>
      <c r="M1174" s="0" t="s">
        <v>5563</v>
      </c>
      <c r="N1174" s="0" t="str">
        <f aca="false">RIGHT(M1174,LEN(M1174)-FIND(" ",M1174))</f>
        <v>KENILWORTH AVE SE</v>
      </c>
      <c r="P1174" s="0" t="s">
        <v>145</v>
      </c>
      <c r="Q1174" s="0" t="s">
        <v>146</v>
      </c>
      <c r="R1174" s="0" t="n">
        <v>44483</v>
      </c>
      <c r="AD1174" s="0" t="s">
        <v>147</v>
      </c>
      <c r="AE1174" s="0" t="s">
        <v>148</v>
      </c>
      <c r="AF1174" s="0" t="s">
        <v>149</v>
      </c>
      <c r="AH1174" s="0" t="n">
        <v>14</v>
      </c>
      <c r="AI1174" s="0" t="n">
        <v>11</v>
      </c>
      <c r="AN1174" s="0" t="s">
        <v>145</v>
      </c>
      <c r="AO1174" s="0" t="s">
        <v>150</v>
      </c>
      <c r="AP1174" s="0" t="s">
        <v>151</v>
      </c>
      <c r="AQ1174" s="0" t="n">
        <v>9</v>
      </c>
      <c r="AR1174" s="0" t="n">
        <v>64</v>
      </c>
      <c r="AS1174" s="0" t="n">
        <v>32</v>
      </c>
      <c r="AU1174" s="0" t="n">
        <f aca="false">COUNTA($BA$479:$EH$479)</f>
        <v>52</v>
      </c>
      <c r="AV1174" s="0" t="n">
        <f aca="false">COUNTIF($BA$479:$EH$479,"D")</f>
        <v>18</v>
      </c>
      <c r="AW1174" s="0" t="n">
        <f aca="false">COUNTIF($BA$479:$EH$479,"R")</f>
        <v>0</v>
      </c>
      <c r="AX1174" s="0" t="n">
        <f aca="false">IF(BN1174="D",1,0)+IF(BO1174="D",1,0)+IF(BT1174="D",1,0)+IF(BU1174="D",1,0)+IF(BW1174="D",1,0)+IF(CC1174="D",1,0)+IF(CD1174="D",1,0)+IF(CE1174="D",1,0)+IF(CF1174="D",1,0)+IF(CL1174="D",1,0)+IF(CM1174="D",1,0)+IF(CQ1174="D",1,0)+IF(CR1174="D",1,0)+IF(CS1174="D",1,0)+IF(CW1174="D",1,0)+IF(CX1174="D",1,0)+IF(DD1174="D",1,0)+IF(DE1174="D",1,0)+IF(DJ1174="D",1,0)+IF(DK1174="D",1,0)+IF(DO1174="D",1,0)+IF(DP1174="D",1,0)+IF(DQ1174="D",1,0)+IF(DW1174="D",1,0)+IF(DZ1174="D",1,0)+IF(EH1174="D",1,0)</f>
        <v>0</v>
      </c>
      <c r="AY1174" s="0" t="n">
        <f aca="false">COUNTIF(DU1174:EH1174, "&lt;&gt;")</f>
        <v>0</v>
      </c>
      <c r="AZ1174" s="0" t="n">
        <f aca="false">IF(EH1174&lt;&gt;"",1,0)</f>
        <v>0</v>
      </c>
      <c r="BB1174" s="0" t="s">
        <v>152</v>
      </c>
    </row>
    <row r="1175" customFormat="false" ht="13.8" hidden="true" customHeight="false" outlineLevel="0" collapsed="false">
      <c r="A1175" s="0" t="s">
        <v>5564</v>
      </c>
      <c r="B1175" s="0" t="n">
        <v>78</v>
      </c>
      <c r="C1175" s="0" t="n">
        <v>496338</v>
      </c>
      <c r="D1175" s="0" t="s">
        <v>5560</v>
      </c>
      <c r="E1175" s="0" t="s">
        <v>5565</v>
      </c>
      <c r="F1175" s="0" t="str">
        <f aca="false">CONCATENATE(D1175," ",LEFT(H1175,4),"T=",AU1175,"D=",AV1175,"R=",AW1175,"M=",AX1175,"L=",AY1175,"B=",AZ1175)</f>
        <v>FOSTER T=2D=0R=0M=0L=0B=0</v>
      </c>
      <c r="I1175" s="0" t="s">
        <v>5566</v>
      </c>
      <c r="J1175" s="0" t="s">
        <v>5562</v>
      </c>
      <c r="K1175" s="0" t="s">
        <v>160</v>
      </c>
      <c r="M1175" s="0" t="s">
        <v>5563</v>
      </c>
      <c r="N1175" s="0" t="str">
        <f aca="false">RIGHT(M1175,LEN(M1175)-FIND(" ",M1175))</f>
        <v>KENILWORTH AVE SE</v>
      </c>
      <c r="P1175" s="0" t="s">
        <v>145</v>
      </c>
      <c r="Q1175" s="0" t="s">
        <v>146</v>
      </c>
      <c r="R1175" s="0" t="n">
        <v>44483</v>
      </c>
      <c r="AD1175" s="0" t="s">
        <v>147</v>
      </c>
      <c r="AE1175" s="0" t="s">
        <v>148</v>
      </c>
      <c r="AF1175" s="0" t="s">
        <v>149</v>
      </c>
      <c r="AH1175" s="0" t="n">
        <v>14</v>
      </c>
      <c r="AI1175" s="0" t="n">
        <v>11</v>
      </c>
      <c r="AN1175" s="0" t="s">
        <v>145</v>
      </c>
      <c r="AO1175" s="0" t="s">
        <v>150</v>
      </c>
      <c r="AP1175" s="0" t="s">
        <v>151</v>
      </c>
      <c r="AQ1175" s="0" t="n">
        <v>9</v>
      </c>
      <c r="AR1175" s="0" t="n">
        <v>64</v>
      </c>
      <c r="AS1175" s="0" t="n">
        <v>32</v>
      </c>
      <c r="AU1175" s="0" t="n">
        <f aca="false">COUNTA($BA$485:$EH$485)</f>
        <v>2</v>
      </c>
      <c r="AV1175" s="0" t="n">
        <f aca="false">COUNTIF($BA$485:$EH$485,"D")</f>
        <v>0</v>
      </c>
      <c r="AW1175" s="0" t="n">
        <f aca="false">COUNTIF($BA$485:$EH$485,"R")</f>
        <v>0</v>
      </c>
      <c r="AX1175" s="0" t="n">
        <f aca="false">IF(BN1175="D",1,0)+IF(BO1175="D",1,0)+IF(BT1175="D",1,0)+IF(BU1175="D",1,0)+IF(BW1175="D",1,0)+IF(CC1175="D",1,0)+IF(CD1175="D",1,0)+IF(CE1175="D",1,0)+IF(CF1175="D",1,0)+IF(CL1175="D",1,0)+IF(CM1175="D",1,0)+IF(CQ1175="D",1,0)+IF(CR1175="D",1,0)+IF(CS1175="D",1,0)+IF(CW1175="D",1,0)+IF(CX1175="D",1,0)+IF(DD1175="D",1,0)+IF(DE1175="D",1,0)+IF(DJ1175="D",1,0)+IF(DK1175="D",1,0)+IF(DO1175="D",1,0)+IF(DP1175="D",1,0)+IF(DQ1175="D",1,0)+IF(DW1175="D",1,0)+IF(DZ1175="D",1,0)+IF(EH1175="D",1,0)</f>
        <v>0</v>
      </c>
      <c r="AY1175" s="0" t="n">
        <f aca="false">COUNTIF(DU1175:EH1175, "&lt;&gt;")</f>
        <v>0</v>
      </c>
      <c r="AZ1175" s="0" t="n">
        <f aca="false">IF(EH1175&lt;&gt;"",1,0)</f>
        <v>0</v>
      </c>
      <c r="BB1175" s="0" t="s">
        <v>152</v>
      </c>
    </row>
    <row r="1176" customFormat="false" ht="13.8" hidden="false" customHeight="false" outlineLevel="0" collapsed="false">
      <c r="A1176" s="0" t="s">
        <v>5567</v>
      </c>
      <c r="B1176" s="0" t="n">
        <v>78</v>
      </c>
      <c r="C1176" s="0" t="n">
        <v>322905</v>
      </c>
      <c r="D1176" s="0" t="s">
        <v>5568</v>
      </c>
      <c r="E1176" s="0" t="s">
        <v>5569</v>
      </c>
      <c r="F1176" s="0" t="str">
        <f aca="false">CONCATENATE(D1176," ",LEFT(H1176,4),"T=",AU1176,"D=",AV1176,"R=",AW1176,"M=",AX1176,"L=",AY1176,"B=",AZ1176)</f>
        <v>HENDERSON SPARKS T=2D=0R=0M=1L=2B=0</v>
      </c>
      <c r="G1176" s="0" t="s">
        <v>5570</v>
      </c>
      <c r="I1176" s="0" t="s">
        <v>5571</v>
      </c>
      <c r="J1176" s="0" t="s">
        <v>404</v>
      </c>
      <c r="K1176" s="0" t="s">
        <v>160</v>
      </c>
      <c r="M1176" s="0" t="s">
        <v>5572</v>
      </c>
      <c r="N1176" s="0" t="str">
        <f aca="false">RIGHT(M1176,LEN(M1176)-FIND(" ",M1176))</f>
        <v>KENILWORTH AVE SE</v>
      </c>
      <c r="P1176" s="0" t="s">
        <v>145</v>
      </c>
      <c r="Q1176" s="0" t="s">
        <v>146</v>
      </c>
      <c r="R1176" s="0" t="n">
        <v>44483</v>
      </c>
      <c r="AD1176" s="0" t="s">
        <v>147</v>
      </c>
      <c r="AE1176" s="0" t="s">
        <v>148</v>
      </c>
      <c r="AF1176" s="0" t="s">
        <v>149</v>
      </c>
      <c r="AH1176" s="0" t="n">
        <v>14</v>
      </c>
      <c r="AI1176" s="0" t="n">
        <v>11</v>
      </c>
      <c r="AN1176" s="0" t="s">
        <v>145</v>
      </c>
      <c r="AO1176" s="0" t="s">
        <v>150</v>
      </c>
      <c r="AP1176" s="0" t="s">
        <v>151</v>
      </c>
      <c r="AQ1176" s="0" t="n">
        <v>9</v>
      </c>
      <c r="AR1176" s="0" t="n">
        <v>64</v>
      </c>
      <c r="AS1176" s="0" t="n">
        <v>32</v>
      </c>
      <c r="AU1176" s="0" t="n">
        <f aca="false">COUNTA($BA$335:$EH$335)</f>
        <v>2</v>
      </c>
      <c r="AV1176" s="0" t="n">
        <f aca="false">COUNTIF($BA$335:$EH$335,"D")</f>
        <v>0</v>
      </c>
      <c r="AW1176" s="0" t="n">
        <f aca="false">COUNTIF($BA$335:$EH$335,"R")</f>
        <v>0</v>
      </c>
      <c r="AX1176" s="0" t="n">
        <f aca="false">IF(BN1176="D",1,0)+IF(BO1176="D",1,0)+IF(BT1176="D",1,0)+IF(BU1176="D",1,0)+IF(BW1176="D",1,0)+IF(CC1176="D",1,0)+IF(CD1176="D",1,0)+IF(CE1176="D",1,0)+IF(CF1176="D",1,0)+IF(CL1176="D",1,0)+IF(CM1176="D",1,0)+IF(CQ1176="D",1,0)+IF(CR1176="D",1,0)+IF(CS1176="D",1,0)+IF(CW1176="D",1,0)+IF(CX1176="D",1,0)+IF(DD1176="D",1,0)+IF(DE1176="D",1,0)+IF(DJ1176="D",1,0)+IF(DK1176="D",1,0)+IF(DO1176="D",1,0)+IF(DP1176="D",1,0)+IF(DQ1176="D",1,0)+IF(DW1176="D",1,0)+IF(DZ1176="D",1,0)+IF(EH1176="D",1,0)</f>
        <v>1</v>
      </c>
      <c r="AY1176" s="0" t="n">
        <f aca="false">COUNTIF(DU1176:EH1176, "&lt;&gt;")</f>
        <v>2</v>
      </c>
      <c r="AZ1176" s="0" t="n">
        <f aca="false">IF(EH1176&lt;&gt;"",1,0)</f>
        <v>0</v>
      </c>
      <c r="BB1176" s="0" t="s">
        <v>152</v>
      </c>
      <c r="BL1176" s="0" t="s">
        <v>153</v>
      </c>
      <c r="BS1176" s="0" t="s">
        <v>153</v>
      </c>
      <c r="CA1176" s="0" t="s">
        <v>153</v>
      </c>
      <c r="CK1176" s="0" t="s">
        <v>153</v>
      </c>
      <c r="CL1176" s="0" t="s">
        <v>175</v>
      </c>
      <c r="CN1176" s="0" t="s">
        <v>153</v>
      </c>
      <c r="CP1176" s="0" t="s">
        <v>153</v>
      </c>
      <c r="CY1176" s="0" t="s">
        <v>153</v>
      </c>
      <c r="DC1176" s="0" t="s">
        <v>153</v>
      </c>
      <c r="DI1176" s="0" t="s">
        <v>153</v>
      </c>
      <c r="DN1176" s="0" t="s">
        <v>153</v>
      </c>
      <c r="EA1176" s="0" t="s">
        <v>153</v>
      </c>
      <c r="EF1176" s="0" t="s">
        <v>153</v>
      </c>
    </row>
    <row r="1177" customFormat="false" ht="13.8" hidden="false" customHeight="false" outlineLevel="0" collapsed="false">
      <c r="A1177" s="0" t="s">
        <v>5573</v>
      </c>
      <c r="B1177" s="0" t="n">
        <v>78</v>
      </c>
      <c r="C1177" s="0" t="n">
        <v>359435</v>
      </c>
      <c r="D1177" s="0" t="s">
        <v>3314</v>
      </c>
      <c r="E1177" s="0" t="s">
        <v>2639</v>
      </c>
      <c r="F1177" s="0" t="str">
        <f aca="false">CONCATENATE(D1177," ",LEFT(H1177,4),"T=",AU1177,"D=",AV1177,"R=",AW1177,"M=",AX1177,"L=",AY1177,"B=",AZ1177)</f>
        <v>CARR T=1D=0R=0M=1L=3B=0</v>
      </c>
      <c r="G1177" s="0" t="s">
        <v>164</v>
      </c>
      <c r="I1177" s="0" t="s">
        <v>5574</v>
      </c>
      <c r="J1177" s="0" t="s">
        <v>5575</v>
      </c>
      <c r="K1177" s="0" t="s">
        <v>160</v>
      </c>
      <c r="M1177" s="0" t="s">
        <v>5572</v>
      </c>
      <c r="N1177" s="0" t="str">
        <f aca="false">RIGHT(M1177,LEN(M1177)-FIND(" ",M1177))</f>
        <v>KENILWORTH AVE SE</v>
      </c>
      <c r="P1177" s="0" t="s">
        <v>145</v>
      </c>
      <c r="Q1177" s="0" t="s">
        <v>146</v>
      </c>
      <c r="R1177" s="0" t="n">
        <v>44483</v>
      </c>
      <c r="AD1177" s="0" t="s">
        <v>147</v>
      </c>
      <c r="AE1177" s="0" t="s">
        <v>148</v>
      </c>
      <c r="AF1177" s="0" t="s">
        <v>149</v>
      </c>
      <c r="AH1177" s="0" t="n">
        <v>14</v>
      </c>
      <c r="AI1177" s="0" t="n">
        <v>11</v>
      </c>
      <c r="AN1177" s="0" t="s">
        <v>145</v>
      </c>
      <c r="AO1177" s="0" t="s">
        <v>150</v>
      </c>
      <c r="AP1177" s="0" t="s">
        <v>151</v>
      </c>
      <c r="AQ1177" s="0" t="n">
        <v>9</v>
      </c>
      <c r="AR1177" s="0" t="n">
        <v>64</v>
      </c>
      <c r="AS1177" s="0" t="n">
        <v>32</v>
      </c>
      <c r="AU1177" s="0" t="n">
        <f aca="false">COUNTA($BA$545:$EH$545)</f>
        <v>1</v>
      </c>
      <c r="AV1177" s="0" t="n">
        <f aca="false">COUNTIF($BA$545:$EH$545,"D")</f>
        <v>0</v>
      </c>
      <c r="AW1177" s="0" t="n">
        <f aca="false">COUNTIF($BA$545:$EH$545,"R")</f>
        <v>0</v>
      </c>
      <c r="AX1177" s="0" t="n">
        <f aca="false">IF(BN1177="D",1,0)+IF(BO1177="D",1,0)+IF(BT1177="D",1,0)+IF(BU1177="D",1,0)+IF(BW1177="D",1,0)+IF(CC1177="D",1,0)+IF(CD1177="D",1,0)+IF(CE1177="D",1,0)+IF(CF1177="D",1,0)+IF(CL1177="D",1,0)+IF(CM1177="D",1,0)+IF(CQ1177="D",1,0)+IF(CR1177="D",1,0)+IF(CS1177="D",1,0)+IF(CW1177="D",1,0)+IF(CX1177="D",1,0)+IF(DD1177="D",1,0)+IF(DE1177="D",1,0)+IF(DJ1177="D",1,0)+IF(DK1177="D",1,0)+IF(DO1177="D",1,0)+IF(DP1177="D",1,0)+IF(DQ1177="D",1,0)+IF(DW1177="D",1,0)+IF(DZ1177="D",1,0)+IF(EH1177="D",1,0)</f>
        <v>1</v>
      </c>
      <c r="AY1177" s="0" t="n">
        <f aca="false">COUNTIF(DU1177:EH1177, "&lt;&gt;")</f>
        <v>3</v>
      </c>
      <c r="AZ1177" s="0" t="n">
        <f aca="false">IF(EH1177&lt;&gt;"",1,0)</f>
        <v>0</v>
      </c>
      <c r="BB1177" s="0" t="s">
        <v>152</v>
      </c>
      <c r="CA1177" s="0" t="s">
        <v>153</v>
      </c>
      <c r="CL1177" s="0" t="s">
        <v>175</v>
      </c>
      <c r="CP1177" s="0" t="s">
        <v>153</v>
      </c>
      <c r="CY1177" s="0" t="s">
        <v>153</v>
      </c>
      <c r="CZ1177" s="0" t="s">
        <v>175</v>
      </c>
      <c r="DC1177" s="0" t="s">
        <v>153</v>
      </c>
      <c r="DI1177" s="0" t="s">
        <v>153</v>
      </c>
      <c r="DM1177" s="0" t="s">
        <v>175</v>
      </c>
      <c r="DN1177" s="0" t="s">
        <v>153</v>
      </c>
      <c r="DX1177" s="0" t="s">
        <v>153</v>
      </c>
      <c r="EA1177" s="0" t="s">
        <v>153</v>
      </c>
      <c r="EF1177" s="0" t="s">
        <v>153</v>
      </c>
    </row>
    <row r="1178" customFormat="false" ht="13.8" hidden="true" customHeight="false" outlineLevel="0" collapsed="false">
      <c r="A1178" s="0" t="s">
        <v>5576</v>
      </c>
      <c r="B1178" s="0" t="n">
        <v>78</v>
      </c>
      <c r="C1178" s="0" t="n">
        <v>485112</v>
      </c>
      <c r="D1178" s="0" t="s">
        <v>5577</v>
      </c>
      <c r="E1178" s="0" t="s">
        <v>5578</v>
      </c>
      <c r="F1178" s="0" t="str">
        <f aca="false">CONCATENATE(D1178," ",LEFT(H1178,4),"T=",AU1178,"D=",AV1178,"R=",AW1178,"M=",AX1178,"L=",AY1178,"B=",AZ1178)</f>
        <v>CHERRY T=19D=1R=0M=0L=0B=0</v>
      </c>
      <c r="G1178" s="0" t="s">
        <v>3018</v>
      </c>
      <c r="I1178" s="0" t="s">
        <v>5579</v>
      </c>
      <c r="J1178" s="0" t="s">
        <v>1341</v>
      </c>
      <c r="K1178" s="0" t="s">
        <v>160</v>
      </c>
      <c r="M1178" s="0" t="s">
        <v>5580</v>
      </c>
      <c r="N1178" s="0" t="str">
        <f aca="false">RIGHT(M1178,LEN(M1178)-FIND(" ",M1178))</f>
        <v>KENILWORTH AVE SE</v>
      </c>
      <c r="P1178" s="0" t="s">
        <v>145</v>
      </c>
      <c r="Q1178" s="0" t="s">
        <v>146</v>
      </c>
      <c r="R1178" s="0" t="n">
        <v>44483</v>
      </c>
      <c r="AD1178" s="0" t="s">
        <v>147</v>
      </c>
      <c r="AE1178" s="0" t="s">
        <v>148</v>
      </c>
      <c r="AF1178" s="0" t="s">
        <v>149</v>
      </c>
      <c r="AH1178" s="0" t="n">
        <v>14</v>
      </c>
      <c r="AI1178" s="0" t="n">
        <v>11</v>
      </c>
      <c r="AN1178" s="0" t="s">
        <v>145</v>
      </c>
      <c r="AO1178" s="0" t="s">
        <v>150</v>
      </c>
      <c r="AP1178" s="0" t="s">
        <v>151</v>
      </c>
      <c r="AQ1178" s="0" t="n">
        <v>9</v>
      </c>
      <c r="AR1178" s="0" t="n">
        <v>64</v>
      </c>
      <c r="AS1178" s="0" t="n">
        <v>32</v>
      </c>
      <c r="AU1178" s="0" t="n">
        <f aca="false">COUNTA($BA$49:$EH$49)</f>
        <v>19</v>
      </c>
      <c r="AV1178" s="0" t="n">
        <f aca="false">COUNTIF($BA$49:$EH$49,"D")</f>
        <v>1</v>
      </c>
      <c r="AW1178" s="0" t="n">
        <f aca="false">COUNTIF($BA$49:$EH$49,"R")</f>
        <v>0</v>
      </c>
      <c r="AX1178" s="0" t="n">
        <f aca="false">IF(BN1178="D",1,0)+IF(BO1178="D",1,0)+IF(BT1178="D",1,0)+IF(BU1178="D",1,0)+IF(BW1178="D",1,0)+IF(CC1178="D",1,0)+IF(CD1178="D",1,0)+IF(CE1178="D",1,0)+IF(CF1178="D",1,0)+IF(CL1178="D",1,0)+IF(CM1178="D",1,0)+IF(CQ1178="D",1,0)+IF(CR1178="D",1,0)+IF(CS1178="D",1,0)+IF(CW1178="D",1,0)+IF(CX1178="D",1,0)+IF(DD1178="D",1,0)+IF(DE1178="D",1,0)+IF(DJ1178="D",1,0)+IF(DK1178="D",1,0)+IF(DO1178="D",1,0)+IF(DP1178="D",1,0)+IF(DQ1178="D",1,0)+IF(DW1178="D",1,0)+IF(DZ1178="D",1,0)+IF(EH1178="D",1,0)</f>
        <v>0</v>
      </c>
      <c r="AY1178" s="0" t="n">
        <f aca="false">COUNTIF(DU1178:EH1178, "&lt;&gt;")</f>
        <v>0</v>
      </c>
      <c r="AZ1178" s="0" t="n">
        <f aca="false">IF(EH1178&lt;&gt;"",1,0)</f>
        <v>0</v>
      </c>
      <c r="BB1178" s="0" t="s">
        <v>152</v>
      </c>
    </row>
    <row r="1179" customFormat="false" ht="13.8" hidden="true" customHeight="false" outlineLevel="0" collapsed="false">
      <c r="A1179" s="0" t="s">
        <v>5581</v>
      </c>
      <c r="B1179" s="0" t="n">
        <v>78</v>
      </c>
      <c r="C1179" s="0" t="n">
        <v>378253</v>
      </c>
      <c r="D1179" s="0" t="s">
        <v>5582</v>
      </c>
      <c r="E1179" s="0" t="s">
        <v>267</v>
      </c>
      <c r="F1179" s="0" t="str">
        <f aca="false">CONCATENATE(D1179," ",LEFT(H1179,4),"T=",AU1179,"D=",AV1179,"R=",AW1179,"M=",AX1179,"L=",AY1179,"B=",AZ1179)</f>
        <v>NEWLOVE T=15D=3R=0M=0L=1B=0</v>
      </c>
      <c r="G1179" s="0" t="s">
        <v>325</v>
      </c>
      <c r="I1179" s="0" t="s">
        <v>5583</v>
      </c>
      <c r="J1179" s="0" t="s">
        <v>5584</v>
      </c>
      <c r="K1179" s="0" t="s">
        <v>160</v>
      </c>
      <c r="M1179" s="0" t="s">
        <v>5585</v>
      </c>
      <c r="N1179" s="0" t="str">
        <f aca="false">RIGHT(M1179,LEN(M1179)-FIND(" ",M1179))</f>
        <v>KENILWORTH AVE SE</v>
      </c>
      <c r="P1179" s="0" t="s">
        <v>145</v>
      </c>
      <c r="Q1179" s="0" t="s">
        <v>146</v>
      </c>
      <c r="R1179" s="0" t="n">
        <v>44483</v>
      </c>
      <c r="AD1179" s="0" t="s">
        <v>147</v>
      </c>
      <c r="AE1179" s="0" t="s">
        <v>148</v>
      </c>
      <c r="AF1179" s="0" t="s">
        <v>149</v>
      </c>
      <c r="AH1179" s="0" t="n">
        <v>14</v>
      </c>
      <c r="AI1179" s="0" t="n">
        <v>11</v>
      </c>
      <c r="AN1179" s="0" t="s">
        <v>145</v>
      </c>
      <c r="AO1179" s="0" t="s">
        <v>150</v>
      </c>
      <c r="AP1179" s="0" t="s">
        <v>151</v>
      </c>
      <c r="AQ1179" s="0" t="n">
        <v>9</v>
      </c>
      <c r="AR1179" s="0" t="n">
        <v>64</v>
      </c>
      <c r="AS1179" s="0" t="n">
        <v>32</v>
      </c>
      <c r="AU1179" s="0" t="n">
        <f aca="false">COUNTA($BA$245:$EH$245)</f>
        <v>15</v>
      </c>
      <c r="AV1179" s="0" t="n">
        <f aca="false">COUNTIF($BA$245:$EH$245,"D")</f>
        <v>3</v>
      </c>
      <c r="AW1179" s="0" t="n">
        <f aca="false">COUNTIF($BA$245:$EH$245,"R")</f>
        <v>0</v>
      </c>
      <c r="AX1179" s="0" t="n">
        <f aca="false">IF(BN1179="D",1,0)+IF(BO1179="D",1,0)+IF(BT1179="D",1,0)+IF(BU1179="D",1,0)+IF(BW1179="D",1,0)+IF(CC1179="D",1,0)+IF(CD1179="D",1,0)+IF(CE1179="D",1,0)+IF(CF1179="D",1,0)+IF(CL1179="D",1,0)+IF(CM1179="D",1,0)+IF(CQ1179="D",1,0)+IF(CR1179="D",1,0)+IF(CS1179="D",1,0)+IF(CW1179="D",1,0)+IF(CX1179="D",1,0)+IF(DD1179="D",1,0)+IF(DE1179="D",1,0)+IF(DJ1179="D",1,0)+IF(DK1179="D",1,0)+IF(DO1179="D",1,0)+IF(DP1179="D",1,0)+IF(DQ1179="D",1,0)+IF(DW1179="D",1,0)+IF(DZ1179="D",1,0)+IF(EH1179="D",1,0)</f>
        <v>0</v>
      </c>
      <c r="AY1179" s="0" t="n">
        <f aca="false">COUNTIF(DU1179:EH1179, "&lt;&gt;")</f>
        <v>1</v>
      </c>
      <c r="AZ1179" s="0" t="n">
        <f aca="false">IF(EH1179&lt;&gt;"",1,0)</f>
        <v>0</v>
      </c>
      <c r="BB1179" s="0" t="s">
        <v>152</v>
      </c>
      <c r="CP1179" s="0" t="s">
        <v>153</v>
      </c>
      <c r="DC1179" s="0" t="s">
        <v>153</v>
      </c>
      <c r="DI1179" s="0" t="s">
        <v>153</v>
      </c>
      <c r="DN1179" s="0" t="s">
        <v>153</v>
      </c>
      <c r="EF1179" s="0" t="s">
        <v>153</v>
      </c>
    </row>
    <row r="1180" customFormat="false" ht="13.8" hidden="false" customHeight="false" outlineLevel="0" collapsed="false">
      <c r="A1180" s="0" t="s">
        <v>5586</v>
      </c>
      <c r="B1180" s="0" t="n">
        <v>78</v>
      </c>
      <c r="C1180" s="0" t="n">
        <v>168501</v>
      </c>
      <c r="D1180" s="0" t="s">
        <v>5582</v>
      </c>
      <c r="E1180" s="0" t="s">
        <v>170</v>
      </c>
      <c r="F1180" s="0" t="str">
        <f aca="false">CONCATENATE(D1180," ",LEFT(H1180,4),"T=",AU1180,"D=",AV1180,"R=",AW1180,"M=",AX1180,"L=",AY1180,"B=",AZ1180)</f>
        <v>NEWLOVE T=7D=2R=0M=4L=6B=0</v>
      </c>
      <c r="G1180" s="0" t="s">
        <v>209</v>
      </c>
      <c r="I1180" s="0" t="s">
        <v>5587</v>
      </c>
      <c r="J1180" s="0" t="s">
        <v>4524</v>
      </c>
      <c r="K1180" s="0" t="s">
        <v>160</v>
      </c>
      <c r="L1180" s="0" t="s">
        <v>175</v>
      </c>
      <c r="M1180" s="0" t="s">
        <v>5585</v>
      </c>
      <c r="N1180" s="0" t="str">
        <f aca="false">RIGHT(M1180,LEN(M1180)-FIND(" ",M1180))</f>
        <v>KENILWORTH AVE SE</v>
      </c>
      <c r="P1180" s="0" t="s">
        <v>145</v>
      </c>
      <c r="Q1180" s="0" t="s">
        <v>146</v>
      </c>
      <c r="R1180" s="0" t="n">
        <v>44483</v>
      </c>
      <c r="AD1180" s="0" t="s">
        <v>147</v>
      </c>
      <c r="AE1180" s="0" t="s">
        <v>148</v>
      </c>
      <c r="AF1180" s="0" t="s">
        <v>149</v>
      </c>
      <c r="AH1180" s="0" t="n">
        <v>14</v>
      </c>
      <c r="AI1180" s="0" t="n">
        <v>11</v>
      </c>
      <c r="AN1180" s="0" t="s">
        <v>145</v>
      </c>
      <c r="AO1180" s="0" t="s">
        <v>150</v>
      </c>
      <c r="AP1180" s="0" t="s">
        <v>151</v>
      </c>
      <c r="AQ1180" s="0" t="n">
        <v>9</v>
      </c>
      <c r="AR1180" s="0" t="n">
        <v>64</v>
      </c>
      <c r="AS1180" s="0" t="n">
        <v>32</v>
      </c>
      <c r="AU1180" s="0" t="n">
        <f aca="false">COUNTA($BA$1002:$EH$1002)</f>
        <v>7</v>
      </c>
      <c r="AV1180" s="0" t="n">
        <f aca="false">COUNTIF($BA$1002:$EH$1002,"D")</f>
        <v>2</v>
      </c>
      <c r="AW1180" s="0" t="n">
        <f aca="false">COUNTIF($BA$1002:$EH$1002,"R")</f>
        <v>0</v>
      </c>
      <c r="AX1180" s="0" t="n">
        <f aca="false">IF(BN1180="D",1,0)+IF(BO1180="D",1,0)+IF(BT1180="D",1,0)+IF(BU1180="D",1,0)+IF(BW1180="D",1,0)+IF(CC1180="D",1,0)+IF(CD1180="D",1,0)+IF(CE1180="D",1,0)+IF(CF1180="D",1,0)+IF(CL1180="D",1,0)+IF(CM1180="D",1,0)+IF(CQ1180="D",1,0)+IF(CR1180="D",1,0)+IF(CS1180="D",1,0)+IF(CW1180="D",1,0)+IF(CX1180="D",1,0)+IF(DD1180="D",1,0)+IF(DE1180="D",1,0)+IF(DJ1180="D",1,0)+IF(DK1180="D",1,0)+IF(DO1180="D",1,0)+IF(DP1180="D",1,0)+IF(DQ1180="D",1,0)+IF(DW1180="D",1,0)+IF(DZ1180="D",1,0)+IF(EH1180="D",1,0)</f>
        <v>4</v>
      </c>
      <c r="AY1180" s="0" t="n">
        <f aca="false">COUNTIF(DU1180:EH1180, "&lt;&gt;")</f>
        <v>6</v>
      </c>
      <c r="AZ1180" s="0" t="n">
        <f aca="false">IF(EH1180&lt;&gt;"",1,0)</f>
        <v>0</v>
      </c>
      <c r="BB1180" s="0" t="s">
        <v>152</v>
      </c>
      <c r="BC1180" s="0" t="s">
        <v>153</v>
      </c>
      <c r="BD1180" s="0" t="s">
        <v>153</v>
      </c>
      <c r="BE1180" s="0" t="s">
        <v>153</v>
      </c>
      <c r="BF1180" s="0" t="s">
        <v>153</v>
      </c>
      <c r="BG1180" s="0" t="s">
        <v>153</v>
      </c>
      <c r="BH1180" s="0" t="s">
        <v>153</v>
      </c>
      <c r="BI1180" s="0" t="s">
        <v>153</v>
      </c>
      <c r="BJ1180" s="0" t="s">
        <v>153</v>
      </c>
      <c r="BK1180" s="0" t="s">
        <v>153</v>
      </c>
      <c r="BL1180" s="0" t="s">
        <v>153</v>
      </c>
      <c r="BP1180" s="0" t="s">
        <v>153</v>
      </c>
      <c r="BR1180" s="0" t="s">
        <v>153</v>
      </c>
      <c r="BS1180" s="0" t="s">
        <v>153</v>
      </c>
      <c r="BV1180" s="0" t="s">
        <v>153</v>
      </c>
      <c r="BY1180" s="0" t="s">
        <v>175</v>
      </c>
      <c r="CA1180" s="0" t="s">
        <v>153</v>
      </c>
      <c r="CG1180" s="0" t="s">
        <v>153</v>
      </c>
      <c r="CH1180" s="0" t="s">
        <v>175</v>
      </c>
      <c r="CK1180" s="0" t="s">
        <v>153</v>
      </c>
      <c r="CL1180" s="0" t="s">
        <v>175</v>
      </c>
      <c r="CN1180" s="0" t="s">
        <v>153</v>
      </c>
      <c r="CO1180" s="0" t="s">
        <v>175</v>
      </c>
      <c r="CP1180" s="0" t="s">
        <v>153</v>
      </c>
      <c r="CT1180" s="0" t="s">
        <v>153</v>
      </c>
      <c r="CU1180" s="0" t="s">
        <v>175</v>
      </c>
      <c r="CV1180" s="0" t="s">
        <v>153</v>
      </c>
      <c r="CW1180" s="0" t="s">
        <v>175</v>
      </c>
      <c r="CY1180" s="0" t="s">
        <v>153</v>
      </c>
      <c r="CZ1180" s="0" t="s">
        <v>175</v>
      </c>
      <c r="DC1180" s="0" t="s">
        <v>153</v>
      </c>
      <c r="DF1180" s="0" t="s">
        <v>153</v>
      </c>
      <c r="DG1180" s="0" t="s">
        <v>175</v>
      </c>
      <c r="DI1180" s="0" t="s">
        <v>153</v>
      </c>
      <c r="DJ1180" s="0" t="s">
        <v>175</v>
      </c>
      <c r="DL1180" s="0" t="s">
        <v>153</v>
      </c>
      <c r="DM1180" s="0" t="s">
        <v>175</v>
      </c>
      <c r="DN1180" s="0" t="s">
        <v>153</v>
      </c>
      <c r="DR1180" s="0" t="s">
        <v>153</v>
      </c>
      <c r="DS1180" s="0" t="s">
        <v>175</v>
      </c>
      <c r="DT1180" s="0" t="s">
        <v>175</v>
      </c>
      <c r="DU1180" s="0" t="s">
        <v>153</v>
      </c>
      <c r="DW1180" s="0" t="s">
        <v>175</v>
      </c>
      <c r="DX1180" s="0" t="s">
        <v>153</v>
      </c>
      <c r="EA1180" s="0" t="s">
        <v>153</v>
      </c>
      <c r="ED1180" s="0" t="s">
        <v>175</v>
      </c>
      <c r="EF1180" s="0" t="s">
        <v>153</v>
      </c>
    </row>
    <row r="1181" customFormat="false" ht="13.8" hidden="false" customHeight="false" outlineLevel="0" collapsed="false">
      <c r="A1181" s="0" t="s">
        <v>5588</v>
      </c>
      <c r="B1181" s="0" t="n">
        <v>78</v>
      </c>
      <c r="C1181" s="0" t="n">
        <v>158862</v>
      </c>
      <c r="D1181" s="0" t="s">
        <v>5589</v>
      </c>
      <c r="E1181" s="0" t="s">
        <v>807</v>
      </c>
      <c r="F1181" s="0" t="str">
        <f aca="false">CONCATENATE(D1181," ",LEFT(H1181,4),"T=",AU1181,"D=",AV1181,"R=",AW1181,"M=",AX1181,"L=",AY1181,"B=",AZ1181)</f>
        <v>PHYTHYON T=1D=0R=0M=5L=3B=0</v>
      </c>
      <c r="G1181" s="0" t="s">
        <v>839</v>
      </c>
      <c r="I1181" s="0" t="s">
        <v>5590</v>
      </c>
      <c r="J1181" s="0" t="s">
        <v>5591</v>
      </c>
      <c r="K1181" s="0" t="s">
        <v>160</v>
      </c>
      <c r="L1181" s="0" t="s">
        <v>175</v>
      </c>
      <c r="M1181" s="0" t="s">
        <v>5585</v>
      </c>
      <c r="N1181" s="0" t="str">
        <f aca="false">RIGHT(M1181,LEN(M1181)-FIND(" ",M1181))</f>
        <v>KENILWORTH AVE SE</v>
      </c>
      <c r="P1181" s="0" t="s">
        <v>145</v>
      </c>
      <c r="Q1181" s="0" t="s">
        <v>146</v>
      </c>
      <c r="R1181" s="0" t="n">
        <v>44483</v>
      </c>
      <c r="AD1181" s="0" t="s">
        <v>147</v>
      </c>
      <c r="AE1181" s="0" t="s">
        <v>148</v>
      </c>
      <c r="AF1181" s="0" t="s">
        <v>149</v>
      </c>
      <c r="AH1181" s="0" t="n">
        <v>14</v>
      </c>
      <c r="AI1181" s="0" t="n">
        <v>11</v>
      </c>
      <c r="AN1181" s="0" t="s">
        <v>145</v>
      </c>
      <c r="AO1181" s="0" t="s">
        <v>150</v>
      </c>
      <c r="AP1181" s="0" t="s">
        <v>151</v>
      </c>
      <c r="AQ1181" s="0" t="n">
        <v>9</v>
      </c>
      <c r="AR1181" s="0" t="n">
        <v>64</v>
      </c>
      <c r="AS1181" s="0" t="n">
        <v>32</v>
      </c>
      <c r="AU1181" s="0" t="n">
        <f aca="false">COUNTA($BA$1023:$EH$1023)</f>
        <v>1</v>
      </c>
      <c r="AV1181" s="0" t="n">
        <f aca="false">COUNTIF($BA$1023:$EH$1023,"D")</f>
        <v>0</v>
      </c>
      <c r="AW1181" s="0" t="n">
        <f aca="false">COUNTIF($BA$1023:$EH$1023,"R")</f>
        <v>0</v>
      </c>
      <c r="AX1181" s="0" t="n">
        <f aca="false">IF(BN1181="D",1,0)+IF(BO1181="D",1,0)+IF(BT1181="D",1,0)+IF(BU1181="D",1,0)+IF(BW1181="D",1,0)+IF(CC1181="D",1,0)+IF(CD1181="D",1,0)+IF(CE1181="D",1,0)+IF(CF1181="D",1,0)+IF(CL1181="D",1,0)+IF(CM1181="D",1,0)+IF(CQ1181="D",1,0)+IF(CR1181="D",1,0)+IF(CS1181="D",1,0)+IF(CW1181="D",1,0)+IF(CX1181="D",1,0)+IF(DD1181="D",1,0)+IF(DE1181="D",1,0)+IF(DJ1181="D",1,0)+IF(DK1181="D",1,0)+IF(DO1181="D",1,0)+IF(DP1181="D",1,0)+IF(DQ1181="D",1,0)+IF(DW1181="D",1,0)+IF(DZ1181="D",1,0)+IF(EH1181="D",1,0)</f>
        <v>5</v>
      </c>
      <c r="AY1181" s="0" t="n">
        <f aca="false">COUNTIF(DU1181:EH1181, "&lt;&gt;")</f>
        <v>3</v>
      </c>
      <c r="AZ1181" s="0" t="n">
        <f aca="false">IF(EH1181&lt;&gt;"",1,0)</f>
        <v>0</v>
      </c>
      <c r="BB1181" s="0" t="s">
        <v>152</v>
      </c>
      <c r="BC1181" s="0" t="s">
        <v>153</v>
      </c>
      <c r="BD1181" s="0" t="s">
        <v>153</v>
      </c>
      <c r="BF1181" s="0" t="s">
        <v>153</v>
      </c>
      <c r="BH1181" s="0" t="s">
        <v>153</v>
      </c>
      <c r="BI1181" s="0" t="s">
        <v>153</v>
      </c>
      <c r="BJ1181" s="0" t="s">
        <v>153</v>
      </c>
      <c r="BK1181" s="0" t="s">
        <v>153</v>
      </c>
      <c r="BL1181" s="0" t="s">
        <v>153</v>
      </c>
      <c r="BP1181" s="0" t="s">
        <v>153</v>
      </c>
      <c r="BR1181" s="0" t="s">
        <v>153</v>
      </c>
      <c r="BS1181" s="0" t="s">
        <v>153</v>
      </c>
      <c r="BV1181" s="0" t="s">
        <v>153</v>
      </c>
      <c r="BY1181" s="0" t="s">
        <v>175</v>
      </c>
      <c r="CA1181" s="0" t="s">
        <v>153</v>
      </c>
      <c r="CG1181" s="0" t="s">
        <v>153</v>
      </c>
      <c r="CH1181" s="0" t="s">
        <v>175</v>
      </c>
      <c r="CK1181" s="0" t="s">
        <v>153</v>
      </c>
      <c r="CL1181" s="0" t="s">
        <v>175</v>
      </c>
      <c r="CN1181" s="0" t="s">
        <v>153</v>
      </c>
      <c r="CO1181" s="0" t="s">
        <v>175</v>
      </c>
      <c r="CP1181" s="0" t="s">
        <v>153</v>
      </c>
      <c r="CT1181" s="0" t="s">
        <v>153</v>
      </c>
      <c r="CW1181" s="0" t="s">
        <v>175</v>
      </c>
      <c r="CY1181" s="0" t="s">
        <v>153</v>
      </c>
      <c r="CZ1181" s="0" t="s">
        <v>175</v>
      </c>
      <c r="DC1181" s="0" t="s">
        <v>153</v>
      </c>
      <c r="DD1181" s="0" t="s">
        <v>175</v>
      </c>
      <c r="DF1181" s="0" t="s">
        <v>153</v>
      </c>
      <c r="DI1181" s="0" t="s">
        <v>153</v>
      </c>
      <c r="DJ1181" s="0" t="s">
        <v>175</v>
      </c>
      <c r="DL1181" s="0" t="s">
        <v>153</v>
      </c>
      <c r="DM1181" s="0" t="s">
        <v>175</v>
      </c>
      <c r="DN1181" s="0" t="s">
        <v>153</v>
      </c>
      <c r="DR1181" s="0" t="s">
        <v>153</v>
      </c>
      <c r="DS1181" s="0" t="s">
        <v>175</v>
      </c>
      <c r="DT1181" s="0" t="s">
        <v>175</v>
      </c>
      <c r="DU1181" s="0" t="s">
        <v>153</v>
      </c>
      <c r="DW1181" s="0" t="s">
        <v>175</v>
      </c>
      <c r="EF1181" s="0" t="s">
        <v>153</v>
      </c>
    </row>
    <row r="1182" customFormat="false" ht="13.8" hidden="true" customHeight="false" outlineLevel="0" collapsed="false">
      <c r="A1182" s="0" t="s">
        <v>5592</v>
      </c>
      <c r="B1182" s="0" t="n">
        <v>78</v>
      </c>
      <c r="C1182" s="0" t="n">
        <v>458277</v>
      </c>
      <c r="D1182" s="0" t="s">
        <v>5593</v>
      </c>
      <c r="E1182" s="0" t="s">
        <v>3910</v>
      </c>
      <c r="F1182" s="0" t="str">
        <f aca="false">CONCATENATE(D1182," ",LEFT(H1182,4),"T=",AU1182,"D=",AV1182,"R=",AW1182,"M=",AX1182,"L=",AY1182,"B=",AZ1182)</f>
        <v>POPE T=9D=2R=2M=0L=0B=0</v>
      </c>
      <c r="G1182" s="0" t="s">
        <v>255</v>
      </c>
      <c r="I1182" s="0" t="s">
        <v>5594</v>
      </c>
      <c r="J1182" s="0" t="s">
        <v>5595</v>
      </c>
      <c r="K1182" s="0" t="s">
        <v>143</v>
      </c>
      <c r="M1182" s="0" t="s">
        <v>5596</v>
      </c>
      <c r="N1182" s="0" t="str">
        <f aca="false">RIGHT(M1182,LEN(M1182)-FIND(" ",M1182))</f>
        <v>KENILWORTH AVE SE</v>
      </c>
      <c r="P1182" s="0" t="s">
        <v>145</v>
      </c>
      <c r="Q1182" s="0" t="s">
        <v>146</v>
      </c>
      <c r="R1182" s="0" t="n">
        <v>44483</v>
      </c>
      <c r="AD1182" s="0" t="s">
        <v>147</v>
      </c>
      <c r="AE1182" s="0" t="s">
        <v>148</v>
      </c>
      <c r="AF1182" s="0" t="s">
        <v>149</v>
      </c>
      <c r="AH1182" s="0" t="n">
        <v>14</v>
      </c>
      <c r="AI1182" s="0" t="n">
        <v>11</v>
      </c>
      <c r="AN1182" s="0" t="s">
        <v>145</v>
      </c>
      <c r="AO1182" s="0" t="s">
        <v>150</v>
      </c>
      <c r="AP1182" s="0" t="s">
        <v>151</v>
      </c>
      <c r="AQ1182" s="0" t="n">
        <v>9</v>
      </c>
      <c r="AR1182" s="0" t="n">
        <v>64</v>
      </c>
      <c r="AS1182" s="0" t="n">
        <v>32</v>
      </c>
      <c r="AU1182" s="0" t="n">
        <f aca="false">COUNTA($BA$1039:$EH$1039)</f>
        <v>9</v>
      </c>
      <c r="AV1182" s="0" t="n">
        <f aca="false">COUNTIF($BA$1039:$EH$1039,"D")</f>
        <v>2</v>
      </c>
      <c r="AW1182" s="0" t="n">
        <f aca="false">COUNTIF($BA$1039:$EH$1039,"R")</f>
        <v>2</v>
      </c>
      <c r="AX1182" s="0" t="n">
        <f aca="false">IF(BN1182="D",1,0)+IF(BO1182="D",1,0)+IF(BT1182="D",1,0)+IF(BU1182="D",1,0)+IF(BW1182="D",1,0)+IF(CC1182="D",1,0)+IF(CD1182="D",1,0)+IF(CE1182="D",1,0)+IF(CF1182="D",1,0)+IF(CL1182="D",1,0)+IF(CM1182="D",1,0)+IF(CQ1182="D",1,0)+IF(CR1182="D",1,0)+IF(CS1182="D",1,0)+IF(CW1182="D",1,0)+IF(CX1182="D",1,0)+IF(DD1182="D",1,0)+IF(DE1182="D",1,0)+IF(DJ1182="D",1,0)+IF(DK1182="D",1,0)+IF(DO1182="D",1,0)+IF(DP1182="D",1,0)+IF(DQ1182="D",1,0)+IF(DW1182="D",1,0)+IF(DZ1182="D",1,0)+IF(EH1182="D",1,0)</f>
        <v>0</v>
      </c>
      <c r="AY1182" s="0" t="n">
        <f aca="false">COUNTIF(DU1182:EH1182, "&lt;&gt;")</f>
        <v>0</v>
      </c>
      <c r="AZ1182" s="0" t="n">
        <f aca="false">IF(EH1182&lt;&gt;"",1,0)</f>
        <v>0</v>
      </c>
      <c r="BB1182" s="0" t="s">
        <v>152</v>
      </c>
      <c r="CA1182" s="0" t="s">
        <v>153</v>
      </c>
    </row>
    <row r="1183" customFormat="false" ht="13.8" hidden="true" customHeight="false" outlineLevel="0" collapsed="false">
      <c r="A1183" s="0" t="s">
        <v>5597</v>
      </c>
      <c r="B1183" s="0" t="n">
        <v>78</v>
      </c>
      <c r="C1183" s="0" t="n">
        <v>464366</v>
      </c>
      <c r="D1183" s="0" t="s">
        <v>5598</v>
      </c>
      <c r="E1183" s="0" t="s">
        <v>5599</v>
      </c>
      <c r="F1183" s="0" t="str">
        <f aca="false">CONCATENATE(D1183," ",LEFT(H1183,4),"T=",AU1183,"D=",AV1183,"R=",AW1183,"M=",AX1183,"L=",AY1183,"B=",AZ1183)</f>
        <v>CLOUD T=45D=12R=0M=0L=0B=0</v>
      </c>
      <c r="G1183" s="0" t="s">
        <v>164</v>
      </c>
      <c r="I1183" s="0" t="s">
        <v>5600</v>
      </c>
      <c r="J1183" s="0" t="s">
        <v>5601</v>
      </c>
      <c r="K1183" s="0" t="s">
        <v>160</v>
      </c>
      <c r="M1183" s="0" t="s">
        <v>5596</v>
      </c>
      <c r="N1183" s="0" t="str">
        <f aca="false">RIGHT(M1183,LEN(M1183)-FIND(" ",M1183))</f>
        <v>KENILWORTH AVE SE</v>
      </c>
      <c r="P1183" s="0" t="s">
        <v>145</v>
      </c>
      <c r="Q1183" s="0" t="s">
        <v>146</v>
      </c>
      <c r="R1183" s="0" t="n">
        <v>44483</v>
      </c>
      <c r="AD1183" s="0" t="s">
        <v>147</v>
      </c>
      <c r="AE1183" s="0" t="s">
        <v>148</v>
      </c>
      <c r="AF1183" s="0" t="s">
        <v>149</v>
      </c>
      <c r="AH1183" s="0" t="n">
        <v>14</v>
      </c>
      <c r="AI1183" s="0" t="n">
        <v>11</v>
      </c>
      <c r="AN1183" s="0" t="s">
        <v>145</v>
      </c>
      <c r="AO1183" s="0" t="s">
        <v>150</v>
      </c>
      <c r="AP1183" s="0" t="s">
        <v>151</v>
      </c>
      <c r="AQ1183" s="0" t="n">
        <v>9</v>
      </c>
      <c r="AR1183" s="0" t="n">
        <v>64</v>
      </c>
      <c r="AS1183" s="0" t="n">
        <v>32</v>
      </c>
      <c r="AU1183" s="0" t="n">
        <f aca="false">COUNTA($BA$1078:$EH$1078)</f>
        <v>45</v>
      </c>
      <c r="AV1183" s="0" t="n">
        <f aca="false">COUNTIF($BA$1078:$EH$1078,"D")</f>
        <v>12</v>
      </c>
      <c r="AW1183" s="0" t="n">
        <f aca="false">COUNTIF($BA$1078:$EH$1078,"R")</f>
        <v>0</v>
      </c>
      <c r="AX1183" s="0" t="n">
        <f aca="false">IF(BN1183="D",1,0)+IF(BO1183="D",1,0)+IF(BT1183="D",1,0)+IF(BU1183="D",1,0)+IF(BW1183="D",1,0)+IF(CC1183="D",1,0)+IF(CD1183="D",1,0)+IF(CE1183="D",1,0)+IF(CF1183="D",1,0)+IF(CL1183="D",1,0)+IF(CM1183="D",1,0)+IF(CQ1183="D",1,0)+IF(CR1183="D",1,0)+IF(CS1183="D",1,0)+IF(CW1183="D",1,0)+IF(CX1183="D",1,0)+IF(DD1183="D",1,0)+IF(DE1183="D",1,0)+IF(DJ1183="D",1,0)+IF(DK1183="D",1,0)+IF(DO1183="D",1,0)+IF(DP1183="D",1,0)+IF(DQ1183="D",1,0)+IF(DW1183="D",1,0)+IF(DZ1183="D",1,0)+IF(EH1183="D",1,0)</f>
        <v>0</v>
      </c>
      <c r="AY1183" s="0" t="n">
        <f aca="false">COUNTIF(DU1183:EH1183, "&lt;&gt;")</f>
        <v>0</v>
      </c>
      <c r="AZ1183" s="0" t="n">
        <f aca="false">IF(EH1183&lt;&gt;"",1,0)</f>
        <v>0</v>
      </c>
      <c r="BB1183" s="0" t="s">
        <v>152</v>
      </c>
      <c r="BL1183" s="0" t="s">
        <v>153</v>
      </c>
      <c r="BS1183" s="0" t="s">
        <v>153</v>
      </c>
      <c r="BY1183" s="0" t="s">
        <v>175</v>
      </c>
      <c r="CA1183" s="0" t="s">
        <v>153</v>
      </c>
      <c r="CK1183" s="0" t="s">
        <v>153</v>
      </c>
      <c r="CN1183" s="0" t="s">
        <v>153</v>
      </c>
      <c r="CZ1183" s="0" t="s">
        <v>175</v>
      </c>
      <c r="DC1183" s="0" t="s">
        <v>153</v>
      </c>
      <c r="DI1183" s="0" t="s">
        <v>153</v>
      </c>
    </row>
    <row r="1184" customFormat="false" ht="13.8" hidden="false" customHeight="false" outlineLevel="0" collapsed="false">
      <c r="A1184" s="0" t="s">
        <v>5602</v>
      </c>
      <c r="B1184" s="0" t="n">
        <v>78</v>
      </c>
      <c r="C1184" s="0" t="n">
        <v>313805</v>
      </c>
      <c r="D1184" s="0" t="s">
        <v>5603</v>
      </c>
      <c r="E1184" s="0" t="s">
        <v>261</v>
      </c>
      <c r="F1184" s="0" t="str">
        <f aca="false">CONCATENATE(D1184," ",LEFT(H1184,4),"T=",AU1184,"D=",AV1184,"R=",AW1184,"M=",AX1184,"L=",AY1184,"B=",AZ1184)</f>
        <v>EBBEN IIIT=14D=0R=1M=1L=6B=1</v>
      </c>
      <c r="G1184" s="0" t="s">
        <v>307</v>
      </c>
      <c r="H1184" s="0" t="s">
        <v>1932</v>
      </c>
      <c r="I1184" s="0" t="s">
        <v>5604</v>
      </c>
      <c r="J1184" s="0" t="s">
        <v>5605</v>
      </c>
      <c r="K1184" s="0" t="s">
        <v>160</v>
      </c>
      <c r="L1184" s="0" t="s">
        <v>175</v>
      </c>
      <c r="M1184" s="0" t="s">
        <v>5606</v>
      </c>
      <c r="N1184" s="0" t="str">
        <f aca="false">RIGHT(M1184,LEN(M1184)-FIND(" ",M1184))</f>
        <v>KENILWORTH AVE SE</v>
      </c>
      <c r="P1184" s="0" t="s">
        <v>145</v>
      </c>
      <c r="Q1184" s="0" t="s">
        <v>146</v>
      </c>
      <c r="R1184" s="0" t="n">
        <v>44483</v>
      </c>
      <c r="AD1184" s="0" t="s">
        <v>147</v>
      </c>
      <c r="AE1184" s="0" t="s">
        <v>148</v>
      </c>
      <c r="AF1184" s="0" t="s">
        <v>149</v>
      </c>
      <c r="AH1184" s="0" t="n">
        <v>14</v>
      </c>
      <c r="AI1184" s="0" t="n">
        <v>11</v>
      </c>
      <c r="AN1184" s="0" t="s">
        <v>145</v>
      </c>
      <c r="AO1184" s="0" t="s">
        <v>150</v>
      </c>
      <c r="AP1184" s="0" t="s">
        <v>151</v>
      </c>
      <c r="AQ1184" s="0" t="n">
        <v>9</v>
      </c>
      <c r="AR1184" s="0" t="n">
        <v>64</v>
      </c>
      <c r="AS1184" s="0" t="n">
        <v>32</v>
      </c>
      <c r="AU1184" s="0" t="n">
        <f aca="false">COUNTA($BA$240:$EH$240)</f>
        <v>14</v>
      </c>
      <c r="AV1184" s="0" t="n">
        <f aca="false">COUNTIF($BA$240:$EH$240,"D")</f>
        <v>0</v>
      </c>
      <c r="AW1184" s="0" t="n">
        <f aca="false">COUNTIF($BA$240:$EH$240,"R")</f>
        <v>1</v>
      </c>
      <c r="AX1184" s="0" t="n">
        <f aca="false">IF(BN1184="D",1,0)+IF(BO1184="D",1,0)+IF(BT1184="D",1,0)+IF(BU1184="D",1,0)+IF(BW1184="D",1,0)+IF(CC1184="D",1,0)+IF(CD1184="D",1,0)+IF(CE1184="D",1,0)+IF(CF1184="D",1,0)+IF(CL1184="D",1,0)+IF(CM1184="D",1,0)+IF(CQ1184="D",1,0)+IF(CR1184="D",1,0)+IF(CS1184="D",1,0)+IF(CW1184="D",1,0)+IF(CX1184="D",1,0)+IF(DD1184="D",1,0)+IF(DE1184="D",1,0)+IF(DJ1184="D",1,0)+IF(DK1184="D",1,0)+IF(DO1184="D",1,0)+IF(DP1184="D",1,0)+IF(DQ1184="D",1,0)+IF(DW1184="D",1,0)+IF(DZ1184="D",1,0)+IF(EH1184="D",1,0)</f>
        <v>1</v>
      </c>
      <c r="AY1184" s="0" t="n">
        <f aca="false">COUNTIF(DU1184:EH1184, "&lt;&gt;")</f>
        <v>6</v>
      </c>
      <c r="AZ1184" s="0" t="n">
        <f aca="false">IF(EH1184&lt;&gt;"",1,0)</f>
        <v>1</v>
      </c>
      <c r="BB1184" s="0" t="s">
        <v>152</v>
      </c>
      <c r="BJ1184" s="0" t="s">
        <v>153</v>
      </c>
      <c r="BK1184" s="0" t="s">
        <v>153</v>
      </c>
      <c r="BL1184" s="0" t="s">
        <v>153</v>
      </c>
      <c r="BP1184" s="0" t="s">
        <v>153</v>
      </c>
      <c r="BR1184" s="0" t="s">
        <v>153</v>
      </c>
      <c r="BS1184" s="0" t="s">
        <v>153</v>
      </c>
      <c r="CA1184" s="0" t="s">
        <v>153</v>
      </c>
      <c r="CG1184" s="0" t="s">
        <v>153</v>
      </c>
      <c r="CH1184" s="0" t="s">
        <v>175</v>
      </c>
      <c r="CK1184" s="0" t="s">
        <v>153</v>
      </c>
      <c r="CN1184" s="0" t="s">
        <v>153</v>
      </c>
      <c r="CP1184" s="0" t="s">
        <v>153</v>
      </c>
      <c r="CU1184" s="0" t="s">
        <v>175</v>
      </c>
      <c r="CZ1184" s="0" t="s">
        <v>175</v>
      </c>
      <c r="DC1184" s="0" t="s">
        <v>153</v>
      </c>
      <c r="DF1184" s="0" t="s">
        <v>153</v>
      </c>
      <c r="DI1184" s="0" t="s">
        <v>153</v>
      </c>
      <c r="DL1184" s="0" t="s">
        <v>153</v>
      </c>
      <c r="DM1184" s="0" t="s">
        <v>175</v>
      </c>
      <c r="DN1184" s="0" t="s">
        <v>153</v>
      </c>
      <c r="DU1184" s="0" t="s">
        <v>153</v>
      </c>
      <c r="DX1184" s="0" t="s">
        <v>153</v>
      </c>
      <c r="EA1184" s="0" t="s">
        <v>153</v>
      </c>
      <c r="ED1184" s="0" t="s">
        <v>175</v>
      </c>
      <c r="EF1184" s="0" t="s">
        <v>153</v>
      </c>
      <c r="EH1184" s="0" t="s">
        <v>175</v>
      </c>
    </row>
    <row r="1185" customFormat="false" ht="13.8" hidden="true" customHeight="false" outlineLevel="0" collapsed="false">
      <c r="A1185" s="0" t="s">
        <v>5607</v>
      </c>
      <c r="B1185" s="0" t="n">
        <v>78</v>
      </c>
      <c r="C1185" s="0" t="n">
        <v>416903</v>
      </c>
      <c r="D1185" s="0" t="s">
        <v>4614</v>
      </c>
      <c r="E1185" s="0" t="s">
        <v>558</v>
      </c>
      <c r="F1185" s="0" t="str">
        <f aca="false">CONCATENATE(D1185," ",LEFT(H1185,4),"T=",AU1185,"D=",AV1185,"R=",AW1185,"M=",AX1185,"L=",AY1185,"B=",AZ1185)</f>
        <v>KATONA T=5D=1R=0M=0L=1B=0</v>
      </c>
      <c r="G1185" s="0" t="s">
        <v>325</v>
      </c>
      <c r="I1185" s="0" t="s">
        <v>5608</v>
      </c>
      <c r="J1185" s="0" t="s">
        <v>5609</v>
      </c>
      <c r="K1185" s="0" t="s">
        <v>160</v>
      </c>
      <c r="M1185" s="0" t="s">
        <v>5610</v>
      </c>
      <c r="N1185" s="0" t="str">
        <f aca="false">RIGHT(M1185,LEN(M1185)-FIND(" ",M1185))</f>
        <v>KENILWORTH AVE SE</v>
      </c>
      <c r="P1185" s="0" t="s">
        <v>145</v>
      </c>
      <c r="Q1185" s="0" t="s">
        <v>146</v>
      </c>
      <c r="R1185" s="0" t="n">
        <v>44483</v>
      </c>
      <c r="AD1185" s="0" t="s">
        <v>147</v>
      </c>
      <c r="AE1185" s="0" t="s">
        <v>148</v>
      </c>
      <c r="AF1185" s="0" t="s">
        <v>149</v>
      </c>
      <c r="AH1185" s="0" t="n">
        <v>14</v>
      </c>
      <c r="AI1185" s="0" t="n">
        <v>11</v>
      </c>
      <c r="AN1185" s="0" t="s">
        <v>145</v>
      </c>
      <c r="AO1185" s="0" t="s">
        <v>150</v>
      </c>
      <c r="AP1185" s="0" t="s">
        <v>151</v>
      </c>
      <c r="AQ1185" s="0" t="n">
        <v>9</v>
      </c>
      <c r="AR1185" s="0" t="n">
        <v>64</v>
      </c>
      <c r="AS1185" s="0" t="n">
        <v>32</v>
      </c>
      <c r="AU1185" s="0" t="n">
        <f aca="false">COUNTA($BA$251:$EH$251)</f>
        <v>5</v>
      </c>
      <c r="AV1185" s="0" t="n">
        <f aca="false">COUNTIF($BA$251:$EH$251,"D")</f>
        <v>1</v>
      </c>
      <c r="AW1185" s="0" t="n">
        <f aca="false">COUNTIF($BA$251:$EH$251,"R")</f>
        <v>0</v>
      </c>
      <c r="AX1185" s="0" t="n">
        <f aca="false">IF(BN1185="D",1,0)+IF(BO1185="D",1,0)+IF(BT1185="D",1,0)+IF(BU1185="D",1,0)+IF(BW1185="D",1,0)+IF(CC1185="D",1,0)+IF(CD1185="D",1,0)+IF(CE1185="D",1,0)+IF(CF1185="D",1,0)+IF(CL1185="D",1,0)+IF(CM1185="D",1,0)+IF(CQ1185="D",1,0)+IF(CR1185="D",1,0)+IF(CS1185="D",1,0)+IF(CW1185="D",1,0)+IF(CX1185="D",1,0)+IF(DD1185="D",1,0)+IF(DE1185="D",1,0)+IF(DJ1185="D",1,0)+IF(DK1185="D",1,0)+IF(DO1185="D",1,0)+IF(DP1185="D",1,0)+IF(DQ1185="D",1,0)+IF(DW1185="D",1,0)+IF(DZ1185="D",1,0)+IF(EH1185="D",1,0)</f>
        <v>0</v>
      </c>
      <c r="AY1185" s="0" t="n">
        <f aca="false">COUNTIF(DU1185:EH1185, "&lt;&gt;")</f>
        <v>1</v>
      </c>
      <c r="AZ1185" s="0" t="n">
        <f aca="false">IF(EH1185&lt;&gt;"",1,0)</f>
        <v>0</v>
      </c>
      <c r="BB1185" s="0" t="s">
        <v>152</v>
      </c>
      <c r="CA1185" s="0" t="s">
        <v>153</v>
      </c>
      <c r="DC1185" s="0" t="s">
        <v>153</v>
      </c>
      <c r="EF1185" s="0" t="s">
        <v>153</v>
      </c>
    </row>
    <row r="1186" customFormat="false" ht="13.8" hidden="true" customHeight="false" outlineLevel="0" collapsed="false">
      <c r="A1186" s="0" t="s">
        <v>5611</v>
      </c>
      <c r="B1186" s="0" t="n">
        <v>78</v>
      </c>
      <c r="C1186" s="0" t="n">
        <v>357432</v>
      </c>
      <c r="D1186" s="0" t="s">
        <v>784</v>
      </c>
      <c r="E1186" s="0" t="s">
        <v>958</v>
      </c>
      <c r="F1186" s="0" t="str">
        <f aca="false">CONCATENATE(D1186," ",LEFT(H1186,4),"T=",AU1186,"D=",AV1186,"R=",AW1186,"M=",AX1186,"L=",AY1186,"B=",AZ1186)</f>
        <v>BUTLER T=3D=0R=0M=0L=0B=0</v>
      </c>
      <c r="G1186" s="0" t="s">
        <v>2661</v>
      </c>
      <c r="I1186" s="0" t="s">
        <v>5612</v>
      </c>
      <c r="J1186" s="0" t="s">
        <v>5613</v>
      </c>
      <c r="K1186" s="0" t="s">
        <v>143</v>
      </c>
      <c r="M1186" s="0" t="s">
        <v>5614</v>
      </c>
      <c r="N1186" s="0" t="str">
        <f aca="false">RIGHT(M1186,LEN(M1186)-FIND(" ",M1186))</f>
        <v>KENILWORTH AVE SE</v>
      </c>
      <c r="P1186" s="0" t="s">
        <v>145</v>
      </c>
      <c r="Q1186" s="0" t="s">
        <v>146</v>
      </c>
      <c r="R1186" s="0" t="n">
        <v>44483</v>
      </c>
      <c r="AD1186" s="0" t="s">
        <v>147</v>
      </c>
      <c r="AE1186" s="0" t="s">
        <v>148</v>
      </c>
      <c r="AF1186" s="0" t="s">
        <v>149</v>
      </c>
      <c r="AH1186" s="0" t="n">
        <v>14</v>
      </c>
      <c r="AI1186" s="0" t="n">
        <v>11</v>
      </c>
      <c r="AN1186" s="0" t="s">
        <v>145</v>
      </c>
      <c r="AO1186" s="0" t="s">
        <v>150</v>
      </c>
      <c r="AP1186" s="0" t="s">
        <v>151</v>
      </c>
      <c r="AQ1186" s="0" t="n">
        <v>9</v>
      </c>
      <c r="AR1186" s="0" t="n">
        <v>64</v>
      </c>
      <c r="AS1186" s="0" t="n">
        <v>32</v>
      </c>
      <c r="AU1186" s="0" t="n">
        <f aca="false">COUNTA($BA$87:$EH$87)</f>
        <v>3</v>
      </c>
      <c r="AV1186" s="0" t="n">
        <f aca="false">COUNTIF($BA$87:$EH$87,"D")</f>
        <v>0</v>
      </c>
      <c r="AW1186" s="0" t="n">
        <f aca="false">COUNTIF($BA$87:$EH$87,"R")</f>
        <v>0</v>
      </c>
      <c r="AX1186" s="0" t="n">
        <f aca="false">IF(BN1186="D",1,0)+IF(BO1186="D",1,0)+IF(BT1186="D",1,0)+IF(BU1186="D",1,0)+IF(BW1186="D",1,0)+IF(CC1186="D",1,0)+IF(CD1186="D",1,0)+IF(CE1186="D",1,0)+IF(CF1186="D",1,0)+IF(CL1186="D",1,0)+IF(CM1186="D",1,0)+IF(CQ1186="D",1,0)+IF(CR1186="D",1,0)+IF(CS1186="D",1,0)+IF(CW1186="D",1,0)+IF(CX1186="D",1,0)+IF(DD1186="D",1,0)+IF(DE1186="D",1,0)+IF(DJ1186="D",1,0)+IF(DK1186="D",1,0)+IF(DO1186="D",1,0)+IF(DP1186="D",1,0)+IF(DQ1186="D",1,0)+IF(DW1186="D",1,0)+IF(DZ1186="D",1,0)+IF(EH1186="D",1,0)</f>
        <v>0</v>
      </c>
      <c r="AY1186" s="0" t="n">
        <f aca="false">COUNTIF(DU1186:EH1186, "&lt;&gt;")</f>
        <v>0</v>
      </c>
      <c r="AZ1186" s="0" t="n">
        <f aca="false">IF(EH1186&lt;&gt;"",1,0)</f>
        <v>0</v>
      </c>
      <c r="BB1186" s="0" t="s">
        <v>152</v>
      </c>
      <c r="CK1186" s="0" t="s">
        <v>153</v>
      </c>
      <c r="CP1186" s="0" t="s">
        <v>153</v>
      </c>
      <c r="DN1186" s="0" t="s">
        <v>153</v>
      </c>
    </row>
    <row r="1187" customFormat="false" ht="13.8" hidden="true" customHeight="false" outlineLevel="0" collapsed="false">
      <c r="A1187" s="0" t="s">
        <v>5615</v>
      </c>
      <c r="B1187" s="0" t="n">
        <v>78</v>
      </c>
      <c r="C1187" s="0" t="n">
        <v>323329</v>
      </c>
      <c r="D1187" s="0" t="s">
        <v>784</v>
      </c>
      <c r="E1187" s="0" t="s">
        <v>5616</v>
      </c>
      <c r="F1187" s="0" t="str">
        <f aca="false">CONCATENATE(D1187," ",LEFT(H1187,4),"T=",AU1187,"D=",AV1187,"R=",AW1187,"M=",AX1187,"L=",AY1187,"B=",AZ1187)</f>
        <v>BUTLER T=4D=0R=0M=0L=0B=0</v>
      </c>
      <c r="G1187" s="0" t="s">
        <v>164</v>
      </c>
      <c r="I1187" s="0" t="s">
        <v>5617</v>
      </c>
      <c r="J1187" s="0" t="s">
        <v>3884</v>
      </c>
      <c r="K1187" s="0" t="s">
        <v>160</v>
      </c>
      <c r="M1187" s="0" t="s">
        <v>5614</v>
      </c>
      <c r="N1187" s="0" t="str">
        <f aca="false">RIGHT(M1187,LEN(M1187)-FIND(" ",M1187))</f>
        <v>KENILWORTH AVE SE</v>
      </c>
      <c r="P1187" s="0" t="s">
        <v>145</v>
      </c>
      <c r="Q1187" s="0" t="s">
        <v>146</v>
      </c>
      <c r="R1187" s="0" t="n">
        <v>44483</v>
      </c>
      <c r="AD1187" s="0" t="s">
        <v>147</v>
      </c>
      <c r="AE1187" s="0" t="s">
        <v>148</v>
      </c>
      <c r="AF1187" s="0" t="s">
        <v>149</v>
      </c>
      <c r="AH1187" s="0" t="n">
        <v>14</v>
      </c>
      <c r="AI1187" s="0" t="n">
        <v>11</v>
      </c>
      <c r="AN1187" s="0" t="s">
        <v>145</v>
      </c>
      <c r="AO1187" s="0" t="s">
        <v>150</v>
      </c>
      <c r="AP1187" s="0" t="s">
        <v>151</v>
      </c>
      <c r="AQ1187" s="0" t="n">
        <v>9</v>
      </c>
      <c r="AR1187" s="0" t="n">
        <v>64</v>
      </c>
      <c r="AS1187" s="0" t="n">
        <v>32</v>
      </c>
      <c r="AU1187" s="0" t="n">
        <f aca="false">COUNTA($BA$788:$EH$788)</f>
        <v>4</v>
      </c>
      <c r="AV1187" s="0" t="n">
        <f aca="false">COUNTIF($BA$788:$EH$788,"D")</f>
        <v>0</v>
      </c>
      <c r="AW1187" s="0" t="n">
        <f aca="false">COUNTIF($BA$788:$EH$788,"R")</f>
        <v>0</v>
      </c>
      <c r="AX1187" s="0" t="n">
        <f aca="false">IF(BN1187="D",1,0)+IF(BO1187="D",1,0)+IF(BT1187="D",1,0)+IF(BU1187="D",1,0)+IF(BW1187="D",1,0)+IF(CC1187="D",1,0)+IF(CD1187="D",1,0)+IF(CE1187="D",1,0)+IF(CF1187="D",1,0)+IF(CL1187="D",1,0)+IF(CM1187="D",1,0)+IF(CQ1187="D",1,0)+IF(CR1187="D",1,0)+IF(CS1187="D",1,0)+IF(CW1187="D",1,0)+IF(CX1187="D",1,0)+IF(DD1187="D",1,0)+IF(DE1187="D",1,0)+IF(DJ1187="D",1,0)+IF(DK1187="D",1,0)+IF(DO1187="D",1,0)+IF(DP1187="D",1,0)+IF(DQ1187="D",1,0)+IF(DW1187="D",1,0)+IF(DZ1187="D",1,0)+IF(EH1187="D",1,0)</f>
        <v>0</v>
      </c>
      <c r="AY1187" s="0" t="n">
        <f aca="false">COUNTIF(DU1187:EH1187, "&lt;&gt;")</f>
        <v>0</v>
      </c>
      <c r="AZ1187" s="0" t="n">
        <f aca="false">IF(EH1187&lt;&gt;"",1,0)</f>
        <v>0</v>
      </c>
      <c r="BB1187" s="0" t="s">
        <v>152</v>
      </c>
      <c r="BY1187" s="0" t="s">
        <v>175</v>
      </c>
      <c r="CA1187" s="0" t="s">
        <v>153</v>
      </c>
      <c r="CK1187" s="0" t="s">
        <v>153</v>
      </c>
      <c r="CP1187" s="0" t="s">
        <v>153</v>
      </c>
      <c r="DC1187" s="0" t="s">
        <v>153</v>
      </c>
      <c r="DI1187" s="0" t="s">
        <v>153</v>
      </c>
      <c r="DN1187" s="0" t="s">
        <v>153</v>
      </c>
    </row>
    <row r="1188" customFormat="false" ht="13.8" hidden="true" customHeight="false" outlineLevel="0" collapsed="false">
      <c r="A1188" s="0" t="s">
        <v>5618</v>
      </c>
      <c r="B1188" s="0" t="n">
        <v>78</v>
      </c>
      <c r="C1188" s="0" t="n">
        <v>411839</v>
      </c>
      <c r="D1188" s="0" t="s">
        <v>5619</v>
      </c>
      <c r="E1188" s="0" t="s">
        <v>331</v>
      </c>
      <c r="F1188" s="0" t="str">
        <f aca="false">CONCATENATE(D1188," ",LEFT(H1188,4),"T=",AU1188,"D=",AV1188,"R=",AW1188,"M=",AX1188,"L=",AY1188,"B=",AZ1188)</f>
        <v>RUFENER T=18D=2R=0M=0L=0B=0</v>
      </c>
      <c r="G1188" s="0" t="s">
        <v>170</v>
      </c>
      <c r="I1188" s="0" t="s">
        <v>5620</v>
      </c>
      <c r="J1188" s="0" t="s">
        <v>5621</v>
      </c>
      <c r="K1188" s="0" t="s">
        <v>160</v>
      </c>
      <c r="M1188" s="0" t="s">
        <v>5622</v>
      </c>
      <c r="N1188" s="0" t="str">
        <f aca="false">RIGHT(M1188,LEN(M1188)-FIND(" ",M1188))</f>
        <v>KENILWORTH AVE SE</v>
      </c>
      <c r="P1188" s="0" t="s">
        <v>145</v>
      </c>
      <c r="Q1188" s="0" t="s">
        <v>146</v>
      </c>
      <c r="R1188" s="0" t="n">
        <v>44483</v>
      </c>
      <c r="AD1188" s="0" t="s">
        <v>147</v>
      </c>
      <c r="AE1188" s="0" t="s">
        <v>148</v>
      </c>
      <c r="AF1188" s="0" t="s">
        <v>149</v>
      </c>
      <c r="AH1188" s="0" t="n">
        <v>14</v>
      </c>
      <c r="AI1188" s="0" t="n">
        <v>11</v>
      </c>
      <c r="AN1188" s="0" t="s">
        <v>145</v>
      </c>
      <c r="AO1188" s="0" t="s">
        <v>150</v>
      </c>
      <c r="AP1188" s="0" t="s">
        <v>151</v>
      </c>
      <c r="AQ1188" s="0" t="n">
        <v>9</v>
      </c>
      <c r="AR1188" s="0" t="n">
        <v>64</v>
      </c>
      <c r="AS1188" s="0" t="n">
        <v>32</v>
      </c>
      <c r="AU1188" s="0" t="n">
        <f aca="false">COUNTA($BA$1089:$EH$1089)</f>
        <v>18</v>
      </c>
      <c r="AV1188" s="0" t="n">
        <f aca="false">COUNTIF($BA$1089:$EH$1089,"D")</f>
        <v>2</v>
      </c>
      <c r="AW1188" s="0" t="n">
        <f aca="false">COUNTIF($BA$1089:$EH$1089,"R")</f>
        <v>0</v>
      </c>
      <c r="AX1188" s="0" t="n">
        <f aca="false">IF(BN1188="D",1,0)+IF(BO1188="D",1,0)+IF(BT1188="D",1,0)+IF(BU1188="D",1,0)+IF(BW1188="D",1,0)+IF(CC1188="D",1,0)+IF(CD1188="D",1,0)+IF(CE1188="D",1,0)+IF(CF1188="D",1,0)+IF(CL1188="D",1,0)+IF(CM1188="D",1,0)+IF(CQ1188="D",1,0)+IF(CR1188="D",1,0)+IF(CS1188="D",1,0)+IF(CW1188="D",1,0)+IF(CX1188="D",1,0)+IF(DD1188="D",1,0)+IF(DE1188="D",1,0)+IF(DJ1188="D",1,0)+IF(DK1188="D",1,0)+IF(DO1188="D",1,0)+IF(DP1188="D",1,0)+IF(DQ1188="D",1,0)+IF(DW1188="D",1,0)+IF(DZ1188="D",1,0)+IF(EH1188="D",1,0)</f>
        <v>0</v>
      </c>
      <c r="AY1188" s="0" t="n">
        <f aca="false">COUNTIF(DU1188:EH1188, "&lt;&gt;")</f>
        <v>0</v>
      </c>
      <c r="AZ1188" s="0" t="n">
        <f aca="false">IF(EH1188&lt;&gt;"",1,0)</f>
        <v>0</v>
      </c>
      <c r="BB1188" s="0" t="s">
        <v>152</v>
      </c>
    </row>
    <row r="1189" customFormat="false" ht="13.8" hidden="true" customHeight="false" outlineLevel="0" collapsed="false">
      <c r="A1189" s="0" t="s">
        <v>5623</v>
      </c>
      <c r="B1189" s="0" t="n">
        <v>78</v>
      </c>
      <c r="C1189" s="0" t="n">
        <v>301519</v>
      </c>
      <c r="D1189" s="0" t="s">
        <v>824</v>
      </c>
      <c r="E1189" s="0" t="s">
        <v>184</v>
      </c>
      <c r="F1189" s="0" t="str">
        <f aca="false">CONCATENATE(D1189," ",LEFT(H1189,4),"T=",AU1189,"D=",AV1189,"R=",AW1189,"M=",AX1189,"L=",AY1189,"B=",AZ1189)</f>
        <v>SCOTT T=2D=0R=0M=1L=0B=0</v>
      </c>
      <c r="I1189" s="0" t="s">
        <v>5624</v>
      </c>
      <c r="J1189" s="0" t="s">
        <v>1539</v>
      </c>
      <c r="K1189" s="0" t="s">
        <v>143</v>
      </c>
      <c r="M1189" s="0" t="s">
        <v>5625</v>
      </c>
      <c r="N1189" s="0" t="str">
        <f aca="false">RIGHT(M1189,LEN(M1189)-FIND(" ",M1189))</f>
        <v>KENILWORTH AVE SE</v>
      </c>
      <c r="P1189" s="0" t="s">
        <v>145</v>
      </c>
      <c r="Q1189" s="0" t="s">
        <v>146</v>
      </c>
      <c r="R1189" s="0" t="n">
        <v>44483</v>
      </c>
      <c r="AD1189" s="0" t="s">
        <v>147</v>
      </c>
      <c r="AE1189" s="0" t="s">
        <v>148</v>
      </c>
      <c r="AF1189" s="0" t="s">
        <v>149</v>
      </c>
      <c r="AH1189" s="0" t="n">
        <v>14</v>
      </c>
      <c r="AI1189" s="0" t="n">
        <v>11</v>
      </c>
      <c r="AN1189" s="0" t="s">
        <v>145</v>
      </c>
      <c r="AO1189" s="0" t="s">
        <v>150</v>
      </c>
      <c r="AP1189" s="0" t="s">
        <v>151</v>
      </c>
      <c r="AQ1189" s="0" t="n">
        <v>9</v>
      </c>
      <c r="AR1189" s="0" t="n">
        <v>64</v>
      </c>
      <c r="AS1189" s="0" t="n">
        <v>32</v>
      </c>
      <c r="AU1189" s="0" t="n">
        <f aca="false">COUNTA($BA$115:$EH$115)</f>
        <v>2</v>
      </c>
      <c r="AV1189" s="0" t="n">
        <f aca="false">COUNTIF($BA$115:$EH$115,"D")</f>
        <v>0</v>
      </c>
      <c r="AW1189" s="0" t="n">
        <f aca="false">COUNTIF($BA$115:$EH$115,"R")</f>
        <v>0</v>
      </c>
      <c r="AX1189" s="0" t="n">
        <f aca="false">IF(BN1189="D",1,0)+IF(BO1189="D",1,0)+IF(BT1189="D",1,0)+IF(BU1189="D",1,0)+IF(BW1189="D",1,0)+IF(CC1189="D",1,0)+IF(CD1189="D",1,0)+IF(CE1189="D",1,0)+IF(CF1189="D",1,0)+IF(CL1189="D",1,0)+IF(CM1189="D",1,0)+IF(CQ1189="D",1,0)+IF(CR1189="D",1,0)+IF(CS1189="D",1,0)+IF(CW1189="D",1,0)+IF(CX1189="D",1,0)+IF(DD1189="D",1,0)+IF(DE1189="D",1,0)+IF(DJ1189="D",1,0)+IF(DK1189="D",1,0)+IF(DO1189="D",1,0)+IF(DP1189="D",1,0)+IF(DQ1189="D",1,0)+IF(DW1189="D",1,0)+IF(DZ1189="D",1,0)+IF(EH1189="D",1,0)</f>
        <v>1</v>
      </c>
      <c r="AY1189" s="0" t="n">
        <f aca="false">COUNTIF(DU1189:EH1189, "&lt;&gt;")</f>
        <v>0</v>
      </c>
      <c r="AZ1189" s="0" t="n">
        <f aca="false">IF(EH1189&lt;&gt;"",1,0)</f>
        <v>0</v>
      </c>
      <c r="BB1189" s="0" t="s">
        <v>152</v>
      </c>
      <c r="BL1189" s="0" t="s">
        <v>153</v>
      </c>
      <c r="BY1189" s="0" t="s">
        <v>175</v>
      </c>
      <c r="CA1189" s="0" t="s">
        <v>153</v>
      </c>
      <c r="CP1189" s="0" t="s">
        <v>153</v>
      </c>
      <c r="CY1189" s="0" t="s">
        <v>153</v>
      </c>
      <c r="DC1189" s="0" t="s">
        <v>153</v>
      </c>
      <c r="DJ1189" s="0" t="s">
        <v>175</v>
      </c>
      <c r="DN1189" s="0" t="s">
        <v>153</v>
      </c>
    </row>
    <row r="1190" customFormat="false" ht="13.8" hidden="true" customHeight="false" outlineLevel="0" collapsed="false">
      <c r="A1190" s="0" t="s">
        <v>5626</v>
      </c>
      <c r="B1190" s="0" t="n">
        <v>78</v>
      </c>
      <c r="C1190" s="0" t="n">
        <v>423647</v>
      </c>
      <c r="D1190" s="0" t="s">
        <v>3940</v>
      </c>
      <c r="E1190" s="0" t="s">
        <v>5627</v>
      </c>
      <c r="F1190" s="0" t="str">
        <f aca="false">CONCATENATE(D1190," ",LEFT(H1190,4),"T=",AU1190,"D=",AV1190,"R=",AW1190,"M=",AX1190,"L=",AY1190,"B=",AZ1190)</f>
        <v>WILSON T=1D=0R=0M=0L=0B=0</v>
      </c>
      <c r="G1190" s="0" t="s">
        <v>522</v>
      </c>
      <c r="I1190" s="0" t="s">
        <v>5628</v>
      </c>
      <c r="J1190" s="0" t="s">
        <v>5629</v>
      </c>
      <c r="K1190" s="0" t="s">
        <v>143</v>
      </c>
      <c r="M1190" s="0" t="s">
        <v>5630</v>
      </c>
      <c r="N1190" s="0" t="str">
        <f aca="false">RIGHT(M1190,LEN(M1190)-FIND(" ",M1190))</f>
        <v>KENILWORTH AVE SE</v>
      </c>
      <c r="P1190" s="0" t="s">
        <v>145</v>
      </c>
      <c r="Q1190" s="0" t="s">
        <v>146</v>
      </c>
      <c r="R1190" s="0" t="n">
        <v>44483</v>
      </c>
      <c r="AD1190" s="0" t="s">
        <v>147</v>
      </c>
      <c r="AE1190" s="0" t="s">
        <v>148</v>
      </c>
      <c r="AF1190" s="0" t="s">
        <v>149</v>
      </c>
      <c r="AH1190" s="0" t="n">
        <v>14</v>
      </c>
      <c r="AI1190" s="0" t="n">
        <v>11</v>
      </c>
      <c r="AN1190" s="0" t="s">
        <v>145</v>
      </c>
      <c r="AO1190" s="0" t="s">
        <v>150</v>
      </c>
      <c r="AP1190" s="0" t="s">
        <v>151</v>
      </c>
      <c r="AQ1190" s="0" t="n">
        <v>9</v>
      </c>
      <c r="AR1190" s="0" t="n">
        <v>64</v>
      </c>
      <c r="AS1190" s="0" t="n">
        <v>32</v>
      </c>
      <c r="AU1190" s="0" t="n">
        <f aca="false">COUNTA($BA$344:$EH$344)</f>
        <v>1</v>
      </c>
      <c r="AV1190" s="0" t="n">
        <f aca="false">COUNTIF($BA$344:$EH$344,"D")</f>
        <v>0</v>
      </c>
      <c r="AW1190" s="0" t="n">
        <f aca="false">COUNTIF($BA$344:$EH$344,"R")</f>
        <v>0</v>
      </c>
      <c r="AX1190" s="0" t="n">
        <f aca="false">IF(BN1190="D",1,0)+IF(BO1190="D",1,0)+IF(BT1190="D",1,0)+IF(BU1190="D",1,0)+IF(BW1190="D",1,0)+IF(CC1190="D",1,0)+IF(CD1190="D",1,0)+IF(CE1190="D",1,0)+IF(CF1190="D",1,0)+IF(CL1190="D",1,0)+IF(CM1190="D",1,0)+IF(CQ1190="D",1,0)+IF(CR1190="D",1,0)+IF(CS1190="D",1,0)+IF(CW1190="D",1,0)+IF(CX1190="D",1,0)+IF(DD1190="D",1,0)+IF(DE1190="D",1,0)+IF(DJ1190="D",1,0)+IF(DK1190="D",1,0)+IF(DO1190="D",1,0)+IF(DP1190="D",1,0)+IF(DQ1190="D",1,0)+IF(DW1190="D",1,0)+IF(DZ1190="D",1,0)+IF(EH1190="D",1,0)</f>
        <v>0</v>
      </c>
      <c r="AY1190" s="0" t="n">
        <f aca="false">COUNTIF(DU1190:EH1190, "&lt;&gt;")</f>
        <v>0</v>
      </c>
      <c r="AZ1190" s="0" t="n">
        <f aca="false">IF(EH1190&lt;&gt;"",1,0)</f>
        <v>0</v>
      </c>
      <c r="BB1190" s="0" t="s">
        <v>152</v>
      </c>
      <c r="BJ1190" s="0" t="s">
        <v>153</v>
      </c>
      <c r="BL1190" s="0" t="s">
        <v>153</v>
      </c>
      <c r="BS1190" s="0" t="s">
        <v>153</v>
      </c>
    </row>
    <row r="1191" customFormat="false" ht="13.8" hidden="true" customHeight="false" outlineLevel="0" collapsed="false">
      <c r="A1191" s="0" t="s">
        <v>5631</v>
      </c>
      <c r="B1191" s="0" t="n">
        <v>78</v>
      </c>
      <c r="C1191" s="0" t="n">
        <v>420883</v>
      </c>
      <c r="D1191" s="0" t="s">
        <v>3940</v>
      </c>
      <c r="E1191" s="0" t="s">
        <v>1775</v>
      </c>
      <c r="F1191" s="0" t="str">
        <f aca="false">CONCATENATE(D1191," ",LEFT(H1191,4),"T=",AU1191,"D=",AV1191,"R=",AW1191,"M=",AX1191,"L=",AY1191,"B=",AZ1191)</f>
        <v>WILSON T=44D=12R=0M=0L=0B=0</v>
      </c>
      <c r="G1191" s="0" t="s">
        <v>5632</v>
      </c>
      <c r="I1191" s="0" t="s">
        <v>5633</v>
      </c>
      <c r="J1191" s="0" t="s">
        <v>5634</v>
      </c>
      <c r="K1191" s="0" t="s">
        <v>143</v>
      </c>
      <c r="M1191" s="0" t="s">
        <v>5630</v>
      </c>
      <c r="N1191" s="0" t="str">
        <f aca="false">RIGHT(M1191,LEN(M1191)-FIND(" ",M1191))</f>
        <v>KENILWORTH AVE SE</v>
      </c>
      <c r="P1191" s="0" t="s">
        <v>145</v>
      </c>
      <c r="Q1191" s="0" t="s">
        <v>146</v>
      </c>
      <c r="R1191" s="0" t="n">
        <v>44483</v>
      </c>
      <c r="AD1191" s="0" t="s">
        <v>147</v>
      </c>
      <c r="AE1191" s="0" t="s">
        <v>148</v>
      </c>
      <c r="AF1191" s="0" t="s">
        <v>149</v>
      </c>
      <c r="AH1191" s="0" t="n">
        <v>14</v>
      </c>
      <c r="AI1191" s="0" t="n">
        <v>11</v>
      </c>
      <c r="AN1191" s="0" t="s">
        <v>145</v>
      </c>
      <c r="AO1191" s="0" t="s">
        <v>150</v>
      </c>
      <c r="AP1191" s="0" t="s">
        <v>151</v>
      </c>
      <c r="AQ1191" s="0" t="n">
        <v>9</v>
      </c>
      <c r="AR1191" s="0" t="n">
        <v>64</v>
      </c>
      <c r="AS1191" s="0" t="n">
        <v>32</v>
      </c>
      <c r="AU1191" s="0" t="n">
        <f aca="false">COUNTA($BA$709:$EH$709)</f>
        <v>44</v>
      </c>
      <c r="AV1191" s="0" t="n">
        <f aca="false">COUNTIF($BA$709:$EH$709,"D")</f>
        <v>12</v>
      </c>
      <c r="AW1191" s="0" t="n">
        <f aca="false">COUNTIF($BA$709:$EH$709,"R")</f>
        <v>0</v>
      </c>
      <c r="AX1191" s="0" t="n">
        <f aca="false">IF(BN1191="D",1,0)+IF(BO1191="D",1,0)+IF(BT1191="D",1,0)+IF(BU1191="D",1,0)+IF(BW1191="D",1,0)+IF(CC1191="D",1,0)+IF(CD1191="D",1,0)+IF(CE1191="D",1,0)+IF(CF1191="D",1,0)+IF(CL1191="D",1,0)+IF(CM1191="D",1,0)+IF(CQ1191="D",1,0)+IF(CR1191="D",1,0)+IF(CS1191="D",1,0)+IF(CW1191="D",1,0)+IF(CX1191="D",1,0)+IF(DD1191="D",1,0)+IF(DE1191="D",1,0)+IF(DJ1191="D",1,0)+IF(DK1191="D",1,0)+IF(DO1191="D",1,0)+IF(DP1191="D",1,0)+IF(DQ1191="D",1,0)+IF(DW1191="D",1,0)+IF(DZ1191="D",1,0)+IF(EH1191="D",1,0)</f>
        <v>0</v>
      </c>
      <c r="AY1191" s="0" t="n">
        <f aca="false">COUNTIF(DU1191:EH1191, "&lt;&gt;")</f>
        <v>0</v>
      </c>
      <c r="AZ1191" s="0" t="n">
        <f aca="false">IF(EH1191&lt;&gt;"",1,0)</f>
        <v>0</v>
      </c>
      <c r="BB1191" s="0" t="s">
        <v>152</v>
      </c>
      <c r="DC1191" s="0" t="s">
        <v>153</v>
      </c>
    </row>
    <row r="1192" customFormat="false" ht="13.8" hidden="true" customHeight="false" outlineLevel="0" collapsed="false">
      <c r="A1192" s="0" t="s">
        <v>5635</v>
      </c>
      <c r="B1192" s="0" t="n">
        <v>78</v>
      </c>
      <c r="C1192" s="0" t="n">
        <v>440586</v>
      </c>
      <c r="D1192" s="0" t="s">
        <v>5636</v>
      </c>
      <c r="E1192" s="0" t="s">
        <v>5637</v>
      </c>
      <c r="F1192" s="0" t="str">
        <f aca="false">CONCATENATE(D1192," ",LEFT(H1192,4),"T=",AU1192,"D=",AV1192,"R=",AW1192,"M=",AX1192,"L=",AY1192,"B=",AZ1192)</f>
        <v>KURDYLA T=5D=2R=0M=0L=0B=0</v>
      </c>
      <c r="G1192" s="0" t="s">
        <v>255</v>
      </c>
      <c r="I1192" s="0" t="s">
        <v>5638</v>
      </c>
      <c r="J1192" s="0" t="s">
        <v>5639</v>
      </c>
      <c r="K1192" s="0" t="s">
        <v>143</v>
      </c>
      <c r="M1192" s="0" t="s">
        <v>5640</v>
      </c>
      <c r="N1192" s="0" t="str">
        <f aca="false">RIGHT(M1192,LEN(M1192)-FIND(" ",M1192))</f>
        <v>KENILWORTH AVE SE</v>
      </c>
      <c r="P1192" s="0" t="s">
        <v>145</v>
      </c>
      <c r="Q1192" s="0" t="s">
        <v>146</v>
      </c>
      <c r="R1192" s="0" t="n">
        <v>44483</v>
      </c>
      <c r="S1192" s="0" t="n">
        <v>6017</v>
      </c>
      <c r="AD1192" s="0" t="s">
        <v>147</v>
      </c>
      <c r="AE1192" s="0" t="s">
        <v>148</v>
      </c>
      <c r="AF1192" s="0" t="s">
        <v>149</v>
      </c>
      <c r="AH1192" s="0" t="n">
        <v>14</v>
      </c>
      <c r="AI1192" s="0" t="n">
        <v>11</v>
      </c>
      <c r="AN1192" s="0" t="s">
        <v>145</v>
      </c>
      <c r="AO1192" s="0" t="s">
        <v>150</v>
      </c>
      <c r="AP1192" s="0" t="s">
        <v>151</v>
      </c>
      <c r="AQ1192" s="0" t="n">
        <v>9</v>
      </c>
      <c r="AR1192" s="0" t="n">
        <v>64</v>
      </c>
      <c r="AS1192" s="0" t="n">
        <v>32</v>
      </c>
      <c r="AU1192" s="0" t="n">
        <f aca="false">COUNTA($BA$264:$EH$264)</f>
        <v>5</v>
      </c>
      <c r="AV1192" s="0" t="n">
        <f aca="false">COUNTIF($BA$264:$EH$264,"D")</f>
        <v>2</v>
      </c>
      <c r="AW1192" s="0" t="n">
        <f aca="false">COUNTIF($BA$264:$EH$264,"R")</f>
        <v>0</v>
      </c>
      <c r="AX1192" s="0" t="n">
        <f aca="false">IF(BN1192="D",1,0)+IF(BO1192="D",1,0)+IF(BT1192="D",1,0)+IF(BU1192="D",1,0)+IF(BW1192="D",1,0)+IF(CC1192="D",1,0)+IF(CD1192="D",1,0)+IF(CE1192="D",1,0)+IF(CF1192="D",1,0)+IF(CL1192="D",1,0)+IF(CM1192="D",1,0)+IF(CQ1192="D",1,0)+IF(CR1192="D",1,0)+IF(CS1192="D",1,0)+IF(CW1192="D",1,0)+IF(CX1192="D",1,0)+IF(DD1192="D",1,0)+IF(DE1192="D",1,0)+IF(DJ1192="D",1,0)+IF(DK1192="D",1,0)+IF(DO1192="D",1,0)+IF(DP1192="D",1,0)+IF(DQ1192="D",1,0)+IF(DW1192="D",1,0)+IF(DZ1192="D",1,0)+IF(EH1192="D",1,0)</f>
        <v>0</v>
      </c>
      <c r="AY1192" s="0" t="n">
        <f aca="false">COUNTIF(DU1192:EH1192, "&lt;&gt;")</f>
        <v>0</v>
      </c>
      <c r="AZ1192" s="0" t="n">
        <f aca="false">IF(EH1192&lt;&gt;"",1,0)</f>
        <v>0</v>
      </c>
      <c r="BB1192" s="0" t="s">
        <v>152</v>
      </c>
      <c r="DN1192" s="0" t="s">
        <v>153</v>
      </c>
    </row>
    <row r="1193" customFormat="false" ht="13.8" hidden="true" customHeight="false" outlineLevel="0" collapsed="false">
      <c r="A1193" s="0" t="s">
        <v>5641</v>
      </c>
      <c r="B1193" s="0" t="n">
        <v>78</v>
      </c>
      <c r="C1193" s="0" t="n">
        <v>494894</v>
      </c>
      <c r="D1193" s="0" t="s">
        <v>5642</v>
      </c>
      <c r="E1193" s="0" t="s">
        <v>419</v>
      </c>
      <c r="F1193" s="0" t="str">
        <f aca="false">CONCATENATE(D1193," ",LEFT(H1193,4),"T=",AU1193,"D=",AV1193,"R=",AW1193,"M=",AX1193,"L=",AY1193,"B=",AZ1193)</f>
        <v>MCKNIGHT T=1D=0R=0M=0L=0B=0</v>
      </c>
      <c r="G1193" s="0" t="s">
        <v>255</v>
      </c>
      <c r="I1193" s="0" t="s">
        <v>5643</v>
      </c>
      <c r="J1193" s="0" t="s">
        <v>5644</v>
      </c>
      <c r="K1193" s="0" t="s">
        <v>160</v>
      </c>
      <c r="M1193" s="0" t="s">
        <v>5640</v>
      </c>
      <c r="N1193" s="0" t="str">
        <f aca="false">RIGHT(M1193,LEN(M1193)-FIND(" ",M1193))</f>
        <v>KENILWORTH AVE SE</v>
      </c>
      <c r="P1193" s="0" t="s">
        <v>145</v>
      </c>
      <c r="Q1193" s="0" t="s">
        <v>146</v>
      </c>
      <c r="R1193" s="0" t="n">
        <v>44483</v>
      </c>
      <c r="AD1193" s="0" t="s">
        <v>147</v>
      </c>
      <c r="AE1193" s="0" t="s">
        <v>148</v>
      </c>
      <c r="AF1193" s="0" t="s">
        <v>149</v>
      </c>
      <c r="AH1193" s="0" t="n">
        <v>14</v>
      </c>
      <c r="AI1193" s="0" t="n">
        <v>11</v>
      </c>
      <c r="AN1193" s="0" t="s">
        <v>145</v>
      </c>
      <c r="AO1193" s="0" t="s">
        <v>150</v>
      </c>
      <c r="AP1193" s="0" t="s">
        <v>151</v>
      </c>
      <c r="AQ1193" s="0" t="n">
        <v>9</v>
      </c>
      <c r="AR1193" s="0" t="n">
        <v>64</v>
      </c>
      <c r="AS1193" s="0" t="n">
        <v>32</v>
      </c>
      <c r="AU1193" s="0" t="n">
        <f aca="false">COUNTA($BA$771:$EH$771)</f>
        <v>1</v>
      </c>
      <c r="AV1193" s="0" t="n">
        <f aca="false">COUNTIF($BA$771:$EH$771,"D")</f>
        <v>0</v>
      </c>
      <c r="AW1193" s="0" t="n">
        <f aca="false">COUNTIF($BA$771:$EH$771,"R")</f>
        <v>0</v>
      </c>
      <c r="AX1193" s="0" t="n">
        <f aca="false">IF(BN1193="D",1,0)+IF(BO1193="D",1,0)+IF(BT1193="D",1,0)+IF(BU1193="D",1,0)+IF(BW1193="D",1,0)+IF(CC1193="D",1,0)+IF(CD1193="D",1,0)+IF(CE1193="D",1,0)+IF(CF1193="D",1,0)+IF(CL1193="D",1,0)+IF(CM1193="D",1,0)+IF(CQ1193="D",1,0)+IF(CR1193="D",1,0)+IF(CS1193="D",1,0)+IF(CW1193="D",1,0)+IF(CX1193="D",1,0)+IF(DD1193="D",1,0)+IF(DE1193="D",1,0)+IF(DJ1193="D",1,0)+IF(DK1193="D",1,0)+IF(DO1193="D",1,0)+IF(DP1193="D",1,0)+IF(DQ1193="D",1,0)+IF(DW1193="D",1,0)+IF(DZ1193="D",1,0)+IF(EH1193="D",1,0)</f>
        <v>0</v>
      </c>
      <c r="AY1193" s="0" t="n">
        <f aca="false">COUNTIF(DU1193:EH1193, "&lt;&gt;")</f>
        <v>0</v>
      </c>
      <c r="AZ1193" s="0" t="n">
        <f aca="false">IF(EH1193&lt;&gt;"",1,0)</f>
        <v>0</v>
      </c>
      <c r="BB1193" s="0" t="s">
        <v>152</v>
      </c>
    </row>
    <row r="1194" customFormat="false" ht="13.8" hidden="false" customHeight="false" outlineLevel="0" collapsed="false">
      <c r="A1194" s="0" t="s">
        <v>5645</v>
      </c>
      <c r="B1194" s="0" t="n">
        <v>78</v>
      </c>
      <c r="C1194" s="0" t="n">
        <v>308525</v>
      </c>
      <c r="D1194" s="0" t="s">
        <v>2130</v>
      </c>
      <c r="E1194" s="0" t="s">
        <v>5646</v>
      </c>
      <c r="F1194" s="0" t="str">
        <f aca="false">CONCATENATE(D1194," ",LEFT(H1194,4),"T=",AU1194,"D=",AV1194,"R=",AW1194,"M=",AX1194,"L=",AY1194,"B=",AZ1194)</f>
        <v>RAY T=51D=17R=0M=1L=5B=0</v>
      </c>
      <c r="G1194" s="0" t="s">
        <v>195</v>
      </c>
      <c r="I1194" s="0" t="s">
        <v>5647</v>
      </c>
      <c r="J1194" s="0" t="s">
        <v>5648</v>
      </c>
      <c r="K1194" s="0" t="s">
        <v>160</v>
      </c>
      <c r="L1194" s="0" t="s">
        <v>209</v>
      </c>
      <c r="M1194" s="0" t="s">
        <v>5649</v>
      </c>
      <c r="N1194" s="0" t="str">
        <f aca="false">RIGHT(M1194,LEN(M1194)-FIND(" ",M1194))</f>
        <v>KENILWORTH AVE SE</v>
      </c>
      <c r="P1194" s="0" t="s">
        <v>145</v>
      </c>
      <c r="Q1194" s="0" t="s">
        <v>146</v>
      </c>
      <c r="R1194" s="0" t="n">
        <v>44483</v>
      </c>
      <c r="AD1194" s="0" t="s">
        <v>147</v>
      </c>
      <c r="AE1194" s="0" t="s">
        <v>148</v>
      </c>
      <c r="AF1194" s="0" t="s">
        <v>149</v>
      </c>
      <c r="AH1194" s="0" t="n">
        <v>14</v>
      </c>
      <c r="AI1194" s="0" t="n">
        <v>11</v>
      </c>
      <c r="AN1194" s="0" t="s">
        <v>145</v>
      </c>
      <c r="AO1194" s="0" t="s">
        <v>150</v>
      </c>
      <c r="AP1194" s="0" t="s">
        <v>151</v>
      </c>
      <c r="AQ1194" s="0" t="n">
        <v>9</v>
      </c>
      <c r="AR1194" s="0" t="n">
        <v>64</v>
      </c>
      <c r="AS1194" s="0" t="n">
        <v>32</v>
      </c>
      <c r="AU1194" s="0" t="n">
        <f aca="false">COUNTA($BA$642:$EH$642)</f>
        <v>51</v>
      </c>
      <c r="AV1194" s="0" t="n">
        <f aca="false">COUNTIF($BA$642:$EH$642,"D")</f>
        <v>17</v>
      </c>
      <c r="AW1194" s="0" t="n">
        <f aca="false">COUNTIF($BA$642:$EH$642,"R")</f>
        <v>0</v>
      </c>
      <c r="AX1194" s="0" t="n">
        <f aca="false">IF(BN1194="D",1,0)+IF(BO1194="D",1,0)+IF(BT1194="D",1,0)+IF(BU1194="D",1,0)+IF(BW1194="D",1,0)+IF(CC1194="D",1,0)+IF(CD1194="D",1,0)+IF(CE1194="D",1,0)+IF(CF1194="D",1,0)+IF(CL1194="D",1,0)+IF(CM1194="D",1,0)+IF(CQ1194="D",1,0)+IF(CR1194="D",1,0)+IF(CS1194="D",1,0)+IF(CW1194="D",1,0)+IF(CX1194="D",1,0)+IF(DD1194="D",1,0)+IF(DE1194="D",1,0)+IF(DJ1194="D",1,0)+IF(DK1194="D",1,0)+IF(DO1194="D",1,0)+IF(DP1194="D",1,0)+IF(DQ1194="D",1,0)+IF(DW1194="D",1,0)+IF(DZ1194="D",1,0)+IF(EH1194="D",1,0)</f>
        <v>1</v>
      </c>
      <c r="AY1194" s="0" t="n">
        <f aca="false">COUNTIF(DU1194:EH1194, "&lt;&gt;")</f>
        <v>5</v>
      </c>
      <c r="AZ1194" s="0" t="n">
        <f aca="false">IF(EH1194&lt;&gt;"",1,0)</f>
        <v>0</v>
      </c>
      <c r="BB1194" s="0" t="s">
        <v>152</v>
      </c>
      <c r="BH1194" s="0" t="s">
        <v>153</v>
      </c>
      <c r="BJ1194" s="0" t="s">
        <v>153</v>
      </c>
      <c r="BL1194" s="0" t="s">
        <v>153</v>
      </c>
      <c r="BP1194" s="0" t="s">
        <v>153</v>
      </c>
      <c r="BR1194" s="0" t="s">
        <v>153</v>
      </c>
      <c r="BS1194" s="0" t="s">
        <v>153</v>
      </c>
      <c r="BY1194" s="0" t="s">
        <v>175</v>
      </c>
      <c r="CA1194" s="0" t="s">
        <v>153</v>
      </c>
      <c r="CK1194" s="0" t="s">
        <v>153</v>
      </c>
      <c r="CL1194" s="0" t="s">
        <v>175</v>
      </c>
      <c r="CN1194" s="0" t="s">
        <v>153</v>
      </c>
      <c r="CP1194" s="0" t="s">
        <v>153</v>
      </c>
      <c r="CV1194" s="0" t="s">
        <v>153</v>
      </c>
      <c r="CY1194" s="0" t="s">
        <v>153</v>
      </c>
      <c r="CZ1194" s="0" t="s">
        <v>209</v>
      </c>
      <c r="DC1194" s="0" t="s">
        <v>153</v>
      </c>
      <c r="DI1194" s="0" t="s">
        <v>153</v>
      </c>
      <c r="DL1194" s="0" t="s">
        <v>153</v>
      </c>
      <c r="DM1194" s="0" t="s">
        <v>209</v>
      </c>
      <c r="DN1194" s="0" t="s">
        <v>153</v>
      </c>
      <c r="DS1194" s="0" t="s">
        <v>209</v>
      </c>
      <c r="DU1194" s="0" t="s">
        <v>153</v>
      </c>
      <c r="DX1194" s="0" t="s">
        <v>153</v>
      </c>
      <c r="EA1194" s="0" t="s">
        <v>153</v>
      </c>
      <c r="ED1194" s="0" t="s">
        <v>209</v>
      </c>
      <c r="EF1194" s="0" t="s">
        <v>153</v>
      </c>
    </row>
    <row r="1195" customFormat="false" ht="13.8" hidden="false" customHeight="false" outlineLevel="0" collapsed="false">
      <c r="A1195" s="0" t="s">
        <v>5650</v>
      </c>
      <c r="B1195" s="0" t="n">
        <v>78</v>
      </c>
      <c r="C1195" s="0" t="n">
        <v>308537</v>
      </c>
      <c r="D1195" s="0" t="s">
        <v>2130</v>
      </c>
      <c r="E1195" s="0" t="s">
        <v>274</v>
      </c>
      <c r="F1195" s="0" t="str">
        <f aca="false">CONCATENATE(D1195," ",LEFT(H1195,4),"T=",AU1195,"D=",AV1195,"R=",AW1195,"M=",AX1195,"L=",AY1195,"B=",AZ1195)</f>
        <v>RAY T=6D=0R=0M=0L=4B=0</v>
      </c>
      <c r="G1195" s="0" t="s">
        <v>890</v>
      </c>
      <c r="I1195" s="0" t="s">
        <v>5651</v>
      </c>
      <c r="J1195" s="0" t="s">
        <v>5648</v>
      </c>
      <c r="K1195" s="0" t="s">
        <v>160</v>
      </c>
      <c r="L1195" s="0" t="s">
        <v>209</v>
      </c>
      <c r="M1195" s="0" t="s">
        <v>5649</v>
      </c>
      <c r="N1195" s="0" t="str">
        <f aca="false">RIGHT(M1195,LEN(M1195)-FIND(" ",M1195))</f>
        <v>KENILWORTH AVE SE</v>
      </c>
      <c r="P1195" s="0" t="s">
        <v>145</v>
      </c>
      <c r="Q1195" s="0" t="s">
        <v>146</v>
      </c>
      <c r="R1195" s="0" t="n">
        <v>44483</v>
      </c>
      <c r="AD1195" s="0" t="s">
        <v>147</v>
      </c>
      <c r="AE1195" s="0" t="s">
        <v>148</v>
      </c>
      <c r="AF1195" s="0" t="s">
        <v>149</v>
      </c>
      <c r="AH1195" s="0" t="n">
        <v>14</v>
      </c>
      <c r="AI1195" s="0" t="n">
        <v>11</v>
      </c>
      <c r="AN1195" s="0" t="s">
        <v>145</v>
      </c>
      <c r="AO1195" s="0" t="s">
        <v>150</v>
      </c>
      <c r="AP1195" s="0" t="s">
        <v>151</v>
      </c>
      <c r="AQ1195" s="0" t="n">
        <v>9</v>
      </c>
      <c r="AR1195" s="0" t="n">
        <v>64</v>
      </c>
      <c r="AS1195" s="0" t="n">
        <v>32</v>
      </c>
      <c r="AU1195" s="0" t="n">
        <f aca="false">COUNTA($BA$650:$EH$650)</f>
        <v>6</v>
      </c>
      <c r="AV1195" s="0" t="n">
        <f aca="false">COUNTIF($BA$650:$EH$650,"D")</f>
        <v>0</v>
      </c>
      <c r="AW1195" s="0" t="n">
        <f aca="false">COUNTIF($BA$650:$EH$650,"R")</f>
        <v>0</v>
      </c>
      <c r="AX1195" s="0" t="n">
        <f aca="false">IF(BN1195="D",1,0)+IF(BO1195="D",1,0)+IF(BT1195="D",1,0)+IF(BU1195="D",1,0)+IF(BW1195="D",1,0)+IF(CC1195="D",1,0)+IF(CD1195="D",1,0)+IF(CE1195="D",1,0)+IF(CF1195="D",1,0)+IF(CL1195="D",1,0)+IF(CM1195="D",1,0)+IF(CQ1195="D",1,0)+IF(CR1195="D",1,0)+IF(CS1195="D",1,0)+IF(CW1195="D",1,0)+IF(CX1195="D",1,0)+IF(DD1195="D",1,0)+IF(DE1195="D",1,0)+IF(DJ1195="D",1,0)+IF(DK1195="D",1,0)+IF(DO1195="D",1,0)+IF(DP1195="D",1,0)+IF(DQ1195="D",1,0)+IF(DW1195="D",1,0)+IF(DZ1195="D",1,0)+IF(EH1195="D",1,0)</f>
        <v>0</v>
      </c>
      <c r="AY1195" s="0" t="n">
        <f aca="false">COUNTIF(DU1195:EH1195, "&lt;&gt;")</f>
        <v>4</v>
      </c>
      <c r="AZ1195" s="0" t="n">
        <f aca="false">IF(EH1195&lt;&gt;"",1,0)</f>
        <v>0</v>
      </c>
      <c r="BB1195" s="0" t="s">
        <v>152</v>
      </c>
      <c r="BH1195" s="0" t="s">
        <v>153</v>
      </c>
      <c r="BJ1195" s="0" t="s">
        <v>153</v>
      </c>
      <c r="BL1195" s="0" t="s">
        <v>153</v>
      </c>
      <c r="BP1195" s="0" t="s">
        <v>153</v>
      </c>
      <c r="BR1195" s="0" t="s">
        <v>153</v>
      </c>
      <c r="BS1195" s="0" t="s">
        <v>153</v>
      </c>
      <c r="BY1195" s="0" t="s">
        <v>175</v>
      </c>
      <c r="CA1195" s="0" t="s">
        <v>153</v>
      </c>
      <c r="CH1195" s="0" t="s">
        <v>209</v>
      </c>
      <c r="CK1195" s="0" t="s">
        <v>153</v>
      </c>
      <c r="CN1195" s="0" t="s">
        <v>153</v>
      </c>
      <c r="CP1195" s="0" t="s">
        <v>153</v>
      </c>
      <c r="CV1195" s="0" t="s">
        <v>153</v>
      </c>
      <c r="CY1195" s="0" t="s">
        <v>153</v>
      </c>
      <c r="CZ1195" s="0" t="s">
        <v>209</v>
      </c>
      <c r="DC1195" s="0" t="s">
        <v>153</v>
      </c>
      <c r="DI1195" s="0" t="s">
        <v>153</v>
      </c>
      <c r="DL1195" s="0" t="s">
        <v>153</v>
      </c>
      <c r="DM1195" s="0" t="s">
        <v>209</v>
      </c>
      <c r="DN1195" s="0" t="s">
        <v>153</v>
      </c>
      <c r="DS1195" s="0" t="s">
        <v>209</v>
      </c>
      <c r="DU1195" s="0" t="s">
        <v>153</v>
      </c>
      <c r="EA1195" s="0" t="s">
        <v>153</v>
      </c>
      <c r="ED1195" s="0" t="s">
        <v>209</v>
      </c>
      <c r="EF1195" s="0" t="s">
        <v>153</v>
      </c>
    </row>
    <row r="1196" customFormat="false" ht="13.8" hidden="true" customHeight="false" outlineLevel="0" collapsed="false">
      <c r="A1196" s="0" t="s">
        <v>5652</v>
      </c>
      <c r="B1196" s="0" t="n">
        <v>78</v>
      </c>
      <c r="C1196" s="0" t="n">
        <v>483309</v>
      </c>
      <c r="D1196" s="0" t="s">
        <v>5653</v>
      </c>
      <c r="E1196" s="0" t="s">
        <v>275</v>
      </c>
      <c r="F1196" s="0" t="str">
        <f aca="false">CONCATENATE(D1196," ",LEFT(H1196,4),"T=",AU1196,"D=",AV1196,"R=",AW1196,"M=",AX1196,"L=",AY1196,"B=",AZ1196)</f>
        <v>KOVAROVIC T=48D=15R=0M=0L=0B=0</v>
      </c>
      <c r="G1196" s="0" t="s">
        <v>686</v>
      </c>
      <c r="I1196" s="0" t="s">
        <v>5654</v>
      </c>
      <c r="J1196" s="0" t="s">
        <v>5655</v>
      </c>
      <c r="K1196" s="0" t="s">
        <v>160</v>
      </c>
      <c r="M1196" s="0" t="s">
        <v>5656</v>
      </c>
      <c r="N1196" s="0" t="str">
        <f aca="false">RIGHT(M1196,LEN(M1196)-FIND(" ",M1196))</f>
        <v>KENILWORTH AVE SE</v>
      </c>
      <c r="P1196" s="0" t="s">
        <v>145</v>
      </c>
      <c r="Q1196" s="0" t="s">
        <v>146</v>
      </c>
      <c r="R1196" s="0" t="n">
        <v>44483</v>
      </c>
      <c r="AD1196" s="0" t="s">
        <v>147</v>
      </c>
      <c r="AE1196" s="0" t="s">
        <v>148</v>
      </c>
      <c r="AF1196" s="0" t="s">
        <v>149</v>
      </c>
      <c r="AH1196" s="0" t="n">
        <v>14</v>
      </c>
      <c r="AI1196" s="0" t="n">
        <v>11</v>
      </c>
      <c r="AN1196" s="0" t="s">
        <v>145</v>
      </c>
      <c r="AO1196" s="0" t="s">
        <v>150</v>
      </c>
      <c r="AP1196" s="0" t="s">
        <v>151</v>
      </c>
      <c r="AQ1196" s="0" t="n">
        <v>9</v>
      </c>
      <c r="AR1196" s="0" t="n">
        <v>64</v>
      </c>
      <c r="AS1196" s="0" t="n">
        <v>32</v>
      </c>
      <c r="AU1196" s="0" t="n">
        <f aca="false">COUNTA($BA$851:$EH$851)</f>
        <v>48</v>
      </c>
      <c r="AV1196" s="0" t="n">
        <f aca="false">COUNTIF($BA$851:$EH$851,"D")</f>
        <v>15</v>
      </c>
      <c r="AW1196" s="0" t="n">
        <f aca="false">COUNTIF($BA$851:$EH$851,"R")</f>
        <v>0</v>
      </c>
      <c r="AX1196" s="0" t="n">
        <f aca="false">IF(BN1196="D",1,0)+IF(BO1196="D",1,0)+IF(BT1196="D",1,0)+IF(BU1196="D",1,0)+IF(BW1196="D",1,0)+IF(CC1196="D",1,0)+IF(CD1196="D",1,0)+IF(CE1196="D",1,0)+IF(CF1196="D",1,0)+IF(CL1196="D",1,0)+IF(CM1196="D",1,0)+IF(CQ1196="D",1,0)+IF(CR1196="D",1,0)+IF(CS1196="D",1,0)+IF(CW1196="D",1,0)+IF(CX1196="D",1,0)+IF(DD1196="D",1,0)+IF(DE1196="D",1,0)+IF(DJ1196="D",1,0)+IF(DK1196="D",1,0)+IF(DO1196="D",1,0)+IF(DP1196="D",1,0)+IF(DQ1196="D",1,0)+IF(DW1196="D",1,0)+IF(DZ1196="D",1,0)+IF(EH1196="D",1,0)</f>
        <v>0</v>
      </c>
      <c r="AY1196" s="0" t="n">
        <f aca="false">COUNTIF(DU1196:EH1196, "&lt;&gt;")</f>
        <v>0</v>
      </c>
      <c r="AZ1196" s="0" t="n">
        <f aca="false">IF(EH1196&lt;&gt;"",1,0)</f>
        <v>0</v>
      </c>
      <c r="BB1196" s="0" t="s">
        <v>152</v>
      </c>
    </row>
    <row r="1197" customFormat="false" ht="13.8" hidden="true" customHeight="false" outlineLevel="0" collapsed="false">
      <c r="A1197" s="0" t="s">
        <v>5657</v>
      </c>
      <c r="B1197" s="0" t="n">
        <v>78</v>
      </c>
      <c r="C1197" s="0" t="n">
        <v>483404</v>
      </c>
      <c r="D1197" s="0" t="s">
        <v>2254</v>
      </c>
      <c r="E1197" s="0" t="s">
        <v>5658</v>
      </c>
      <c r="F1197" s="0" t="str">
        <f aca="false">CONCATENATE(D1197," ",LEFT(H1197,4),"T=",AU1197,"D=",AV1197,"R=",AW1197,"M=",AX1197,"L=",AY1197,"B=",AZ1197)</f>
        <v>CALDWELL T=24D=4R=0M=0L=0B=0</v>
      </c>
      <c r="G1197" s="0" t="s">
        <v>5659</v>
      </c>
      <c r="I1197" s="0" t="s">
        <v>5660</v>
      </c>
      <c r="J1197" s="0" t="s">
        <v>5474</v>
      </c>
      <c r="K1197" s="0" t="s">
        <v>160</v>
      </c>
      <c r="M1197" s="0" t="s">
        <v>5656</v>
      </c>
      <c r="N1197" s="0" t="str">
        <f aca="false">RIGHT(M1197,LEN(M1197)-FIND(" ",M1197))</f>
        <v>KENILWORTH AVE SE</v>
      </c>
      <c r="P1197" s="0" t="s">
        <v>145</v>
      </c>
      <c r="Q1197" s="0" t="s">
        <v>146</v>
      </c>
      <c r="R1197" s="0" t="n">
        <v>44483</v>
      </c>
      <c r="AD1197" s="0" t="s">
        <v>147</v>
      </c>
      <c r="AE1197" s="0" t="s">
        <v>148</v>
      </c>
      <c r="AF1197" s="0" t="s">
        <v>149</v>
      </c>
      <c r="AH1197" s="0" t="n">
        <v>14</v>
      </c>
      <c r="AI1197" s="0" t="n">
        <v>11</v>
      </c>
      <c r="AN1197" s="0" t="s">
        <v>145</v>
      </c>
      <c r="AO1197" s="0" t="s">
        <v>150</v>
      </c>
      <c r="AP1197" s="0" t="s">
        <v>151</v>
      </c>
      <c r="AQ1197" s="0" t="n">
        <v>9</v>
      </c>
      <c r="AR1197" s="0" t="n">
        <v>64</v>
      </c>
      <c r="AS1197" s="0" t="n">
        <v>32</v>
      </c>
      <c r="AU1197" s="0" t="n">
        <f aca="false">COUNTA($BA$901:$EH$901)</f>
        <v>24</v>
      </c>
      <c r="AV1197" s="0" t="n">
        <f aca="false">COUNTIF($BA$901:$EH$901,"D")</f>
        <v>4</v>
      </c>
      <c r="AW1197" s="0" t="n">
        <f aca="false">COUNTIF($BA$901:$EH$901,"R")</f>
        <v>0</v>
      </c>
      <c r="AX1197" s="0" t="n">
        <f aca="false">IF(BN1197="D",1,0)+IF(BO1197="D",1,0)+IF(BT1197="D",1,0)+IF(BU1197="D",1,0)+IF(BW1197="D",1,0)+IF(CC1197="D",1,0)+IF(CD1197="D",1,0)+IF(CE1197="D",1,0)+IF(CF1197="D",1,0)+IF(CL1197="D",1,0)+IF(CM1197="D",1,0)+IF(CQ1197="D",1,0)+IF(CR1197="D",1,0)+IF(CS1197="D",1,0)+IF(CW1197="D",1,0)+IF(CX1197="D",1,0)+IF(DD1197="D",1,0)+IF(DE1197="D",1,0)+IF(DJ1197="D",1,0)+IF(DK1197="D",1,0)+IF(DO1197="D",1,0)+IF(DP1197="D",1,0)+IF(DQ1197="D",1,0)+IF(DW1197="D",1,0)+IF(DZ1197="D",1,0)+IF(EH1197="D",1,0)</f>
        <v>0</v>
      </c>
      <c r="AY1197" s="0" t="n">
        <f aca="false">COUNTIF(DU1197:EH1197, "&lt;&gt;")</f>
        <v>0</v>
      </c>
      <c r="AZ1197" s="0" t="n">
        <f aca="false">IF(EH1197&lt;&gt;"",1,0)</f>
        <v>0</v>
      </c>
      <c r="BB1197" s="0" t="s">
        <v>152</v>
      </c>
    </row>
    <row r="1198" customFormat="false" ht="13.8" hidden="true" customHeight="false" outlineLevel="0" collapsed="false">
      <c r="A1198" s="0" t="s">
        <v>5661</v>
      </c>
      <c r="B1198" s="0" t="n">
        <v>78</v>
      </c>
      <c r="C1198" s="0" t="n">
        <v>487872</v>
      </c>
      <c r="D1198" s="0" t="s">
        <v>5653</v>
      </c>
      <c r="E1198" s="0" t="s">
        <v>3380</v>
      </c>
      <c r="F1198" s="0" t="str">
        <f aca="false">CONCATENATE(D1198," ",LEFT(H1198,4),"T=",AU1198,"D=",AV1198,"R=",AW1198,"M=",AX1198,"L=",AY1198,"B=",AZ1198)</f>
        <v>KOVAROVIC T=11D=1R=0M=0L=0B=0</v>
      </c>
      <c r="G1198" s="0" t="s">
        <v>190</v>
      </c>
      <c r="I1198" s="0" t="s">
        <v>5662</v>
      </c>
      <c r="J1198" s="0" t="s">
        <v>2230</v>
      </c>
      <c r="K1198" s="0" t="s">
        <v>160</v>
      </c>
      <c r="M1198" s="0" t="s">
        <v>5656</v>
      </c>
      <c r="N1198" s="0" t="str">
        <f aca="false">RIGHT(M1198,LEN(M1198)-FIND(" ",M1198))</f>
        <v>KENILWORTH AVE SE</v>
      </c>
      <c r="P1198" s="0" t="s">
        <v>145</v>
      </c>
      <c r="Q1198" s="0" t="s">
        <v>146</v>
      </c>
      <c r="R1198" s="0" t="n">
        <v>44483</v>
      </c>
      <c r="AD1198" s="0" t="s">
        <v>147</v>
      </c>
      <c r="AE1198" s="0" t="s">
        <v>148</v>
      </c>
      <c r="AF1198" s="0" t="s">
        <v>149</v>
      </c>
      <c r="AH1198" s="0" t="n">
        <v>14</v>
      </c>
      <c r="AI1198" s="0" t="n">
        <v>11</v>
      </c>
      <c r="AN1198" s="0" t="s">
        <v>145</v>
      </c>
      <c r="AO1198" s="0" t="s">
        <v>150</v>
      </c>
      <c r="AP1198" s="0" t="s">
        <v>151</v>
      </c>
      <c r="AQ1198" s="0" t="n">
        <v>9</v>
      </c>
      <c r="AR1198" s="0" t="n">
        <v>64</v>
      </c>
      <c r="AS1198" s="0" t="n">
        <v>32</v>
      </c>
      <c r="AU1198" s="0" t="n">
        <f aca="false">COUNTA($BA$918:$EH$918)</f>
        <v>11</v>
      </c>
      <c r="AV1198" s="0" t="n">
        <f aca="false">COUNTIF($BA$918:$EH$918,"D")</f>
        <v>1</v>
      </c>
      <c r="AW1198" s="0" t="n">
        <f aca="false">COUNTIF($BA$918:$EH$918,"R")</f>
        <v>0</v>
      </c>
      <c r="AX1198" s="0" t="n">
        <f aca="false">IF(BN1198="D",1,0)+IF(BO1198="D",1,0)+IF(BT1198="D",1,0)+IF(BU1198="D",1,0)+IF(BW1198="D",1,0)+IF(CC1198="D",1,0)+IF(CD1198="D",1,0)+IF(CE1198="D",1,0)+IF(CF1198="D",1,0)+IF(CL1198="D",1,0)+IF(CM1198="D",1,0)+IF(CQ1198="D",1,0)+IF(CR1198="D",1,0)+IF(CS1198="D",1,0)+IF(CW1198="D",1,0)+IF(CX1198="D",1,0)+IF(DD1198="D",1,0)+IF(DE1198="D",1,0)+IF(DJ1198="D",1,0)+IF(DK1198="D",1,0)+IF(DO1198="D",1,0)+IF(DP1198="D",1,0)+IF(DQ1198="D",1,0)+IF(DW1198="D",1,0)+IF(DZ1198="D",1,0)+IF(EH1198="D",1,0)</f>
        <v>0</v>
      </c>
      <c r="AY1198" s="0" t="n">
        <f aca="false">COUNTIF(DU1198:EH1198, "&lt;&gt;")</f>
        <v>0</v>
      </c>
      <c r="AZ1198" s="0" t="n">
        <f aca="false">IF(EH1198&lt;&gt;"",1,0)</f>
        <v>0</v>
      </c>
      <c r="BB1198" s="0" t="s">
        <v>152</v>
      </c>
    </row>
    <row r="1199" customFormat="false" ht="13.8" hidden="true" customHeight="false" outlineLevel="0" collapsed="false">
      <c r="A1199" s="0" t="s">
        <v>5663</v>
      </c>
      <c r="B1199" s="0" t="n">
        <v>78</v>
      </c>
      <c r="C1199" s="0" t="n">
        <v>327094</v>
      </c>
      <c r="D1199" s="0" t="s">
        <v>5664</v>
      </c>
      <c r="E1199" s="0" t="s">
        <v>140</v>
      </c>
      <c r="F1199" s="0" t="str">
        <f aca="false">CONCATENATE(D1199," ",LEFT(H1199,4),"T=",AU1199,"D=",AV1199,"R=",AW1199,"M=",AX1199,"L=",AY1199,"B=",AZ1199)</f>
        <v>BLUE T=10D=0R=0M=0L=1B=0</v>
      </c>
      <c r="G1199" s="0" t="s">
        <v>686</v>
      </c>
      <c r="I1199" s="0" t="s">
        <v>5665</v>
      </c>
      <c r="J1199" s="0" t="s">
        <v>727</v>
      </c>
      <c r="K1199" s="0" t="s">
        <v>160</v>
      </c>
      <c r="M1199" s="0" t="s">
        <v>5666</v>
      </c>
      <c r="N1199" s="0" t="str">
        <f aca="false">RIGHT(M1199,LEN(M1199)-FIND(" ",M1199))</f>
        <v>KENILWORTH AVE SE</v>
      </c>
      <c r="P1199" s="0" t="s">
        <v>145</v>
      </c>
      <c r="Q1199" s="0" t="s">
        <v>146</v>
      </c>
      <c r="R1199" s="0" t="n">
        <v>44483</v>
      </c>
      <c r="AD1199" s="0" t="s">
        <v>147</v>
      </c>
      <c r="AE1199" s="0" t="s">
        <v>148</v>
      </c>
      <c r="AF1199" s="0" t="s">
        <v>149</v>
      </c>
      <c r="AH1199" s="0" t="n">
        <v>14</v>
      </c>
      <c r="AI1199" s="0" t="n">
        <v>11</v>
      </c>
      <c r="AN1199" s="0" t="s">
        <v>145</v>
      </c>
      <c r="AO1199" s="0" t="s">
        <v>150</v>
      </c>
      <c r="AP1199" s="0" t="s">
        <v>151</v>
      </c>
      <c r="AQ1199" s="0" t="n">
        <v>9</v>
      </c>
      <c r="AR1199" s="0" t="n">
        <v>64</v>
      </c>
      <c r="AS1199" s="0" t="n">
        <v>32</v>
      </c>
      <c r="AU1199" s="0" t="n">
        <f aca="false">COUNTA($BA$93:$EH$93)</f>
        <v>10</v>
      </c>
      <c r="AV1199" s="0" t="n">
        <f aca="false">COUNTIF($BA$93:$EH$93,"D")</f>
        <v>0</v>
      </c>
      <c r="AW1199" s="0" t="n">
        <f aca="false">COUNTIF($BA$93:$EH$93,"R")</f>
        <v>0</v>
      </c>
      <c r="AX1199" s="0" t="n">
        <f aca="false">IF(BN1199="D",1,0)+IF(BO1199="D",1,0)+IF(BT1199="D",1,0)+IF(BU1199="D",1,0)+IF(BW1199="D",1,0)+IF(CC1199="D",1,0)+IF(CD1199="D",1,0)+IF(CE1199="D",1,0)+IF(CF1199="D",1,0)+IF(CL1199="D",1,0)+IF(CM1199="D",1,0)+IF(CQ1199="D",1,0)+IF(CR1199="D",1,0)+IF(CS1199="D",1,0)+IF(CW1199="D",1,0)+IF(CX1199="D",1,0)+IF(DD1199="D",1,0)+IF(DE1199="D",1,0)+IF(DJ1199="D",1,0)+IF(DK1199="D",1,0)+IF(DO1199="D",1,0)+IF(DP1199="D",1,0)+IF(DQ1199="D",1,0)+IF(DW1199="D",1,0)+IF(DZ1199="D",1,0)+IF(EH1199="D",1,0)</f>
        <v>0</v>
      </c>
      <c r="AY1199" s="0" t="n">
        <f aca="false">COUNTIF(DU1199:EH1199, "&lt;&gt;")</f>
        <v>1</v>
      </c>
      <c r="AZ1199" s="0" t="n">
        <f aca="false">IF(EH1199&lt;&gt;"",1,0)</f>
        <v>0</v>
      </c>
      <c r="BB1199" s="0" t="s">
        <v>152</v>
      </c>
      <c r="BL1199" s="0" t="s">
        <v>153</v>
      </c>
      <c r="CN1199" s="0" t="s">
        <v>153</v>
      </c>
      <c r="CP1199" s="0" t="s">
        <v>153</v>
      </c>
      <c r="DC1199" s="0" t="s">
        <v>153</v>
      </c>
      <c r="DI1199" s="0" t="s">
        <v>153</v>
      </c>
      <c r="DN1199" s="0" t="s">
        <v>153</v>
      </c>
      <c r="EF1199" s="0" t="s">
        <v>153</v>
      </c>
    </row>
    <row r="1200" customFormat="false" ht="13.8" hidden="true" customHeight="false" outlineLevel="0" collapsed="false">
      <c r="A1200" s="0" t="s">
        <v>5667</v>
      </c>
      <c r="B1200" s="0" t="n">
        <v>78</v>
      </c>
      <c r="C1200" s="0" t="n">
        <v>432082</v>
      </c>
      <c r="D1200" s="0" t="s">
        <v>446</v>
      </c>
      <c r="E1200" s="0" t="s">
        <v>4639</v>
      </c>
      <c r="F1200" s="0" t="str">
        <f aca="false">CONCATENATE(D1200," ",LEFT(H1200,4),"T=",AU1200,"D=",AV1200,"R=",AW1200,"M=",AX1200,"L=",AY1200,"B=",AZ1200)</f>
        <v>BRYANT T=1D=0R=0M=0L=0B=0</v>
      </c>
      <c r="G1200" s="0" t="s">
        <v>4658</v>
      </c>
      <c r="I1200" s="0" t="s">
        <v>5668</v>
      </c>
      <c r="J1200" s="0" t="s">
        <v>4715</v>
      </c>
      <c r="K1200" s="0" t="s">
        <v>143</v>
      </c>
      <c r="M1200" s="0" t="s">
        <v>5666</v>
      </c>
      <c r="N1200" s="0" t="str">
        <f aca="false">RIGHT(M1200,LEN(M1200)-FIND(" ",M1200))</f>
        <v>KENILWORTH AVE SE</v>
      </c>
      <c r="P1200" s="0" t="s">
        <v>145</v>
      </c>
      <c r="Q1200" s="0" t="s">
        <v>146</v>
      </c>
      <c r="R1200" s="0" t="n">
        <v>44483</v>
      </c>
      <c r="AD1200" s="0" t="s">
        <v>147</v>
      </c>
      <c r="AE1200" s="0" t="s">
        <v>148</v>
      </c>
      <c r="AF1200" s="0" t="s">
        <v>149</v>
      </c>
      <c r="AH1200" s="0" t="n">
        <v>14</v>
      </c>
      <c r="AI1200" s="0" t="n">
        <v>11</v>
      </c>
      <c r="AN1200" s="0" t="s">
        <v>145</v>
      </c>
      <c r="AO1200" s="0" t="s">
        <v>150</v>
      </c>
      <c r="AP1200" s="0" t="s">
        <v>151</v>
      </c>
      <c r="AQ1200" s="0" t="n">
        <v>9</v>
      </c>
      <c r="AR1200" s="0" t="n">
        <v>64</v>
      </c>
      <c r="AS1200" s="0" t="n">
        <v>32</v>
      </c>
      <c r="AU1200" s="0" t="n">
        <f aca="false">COUNTA($BA$129:$EH$129)</f>
        <v>1</v>
      </c>
      <c r="AV1200" s="0" t="n">
        <f aca="false">COUNTIF($BA$129:$EH$129,"D")</f>
        <v>0</v>
      </c>
      <c r="AW1200" s="0" t="n">
        <f aca="false">COUNTIF($BA$129:$EH$129,"R")</f>
        <v>0</v>
      </c>
      <c r="AX1200" s="0" t="n">
        <f aca="false">IF(BN1200="D",1,0)+IF(BO1200="D",1,0)+IF(BT1200="D",1,0)+IF(BU1200="D",1,0)+IF(BW1200="D",1,0)+IF(CC1200="D",1,0)+IF(CD1200="D",1,0)+IF(CE1200="D",1,0)+IF(CF1200="D",1,0)+IF(CL1200="D",1,0)+IF(CM1200="D",1,0)+IF(CQ1200="D",1,0)+IF(CR1200="D",1,0)+IF(CS1200="D",1,0)+IF(CW1200="D",1,0)+IF(CX1200="D",1,0)+IF(DD1200="D",1,0)+IF(DE1200="D",1,0)+IF(DJ1200="D",1,0)+IF(DK1200="D",1,0)+IF(DO1200="D",1,0)+IF(DP1200="D",1,0)+IF(DQ1200="D",1,0)+IF(DW1200="D",1,0)+IF(DZ1200="D",1,0)+IF(EH1200="D",1,0)</f>
        <v>0</v>
      </c>
      <c r="AY1200" s="0" t="n">
        <f aca="false">COUNTIF(DU1200:EH1200, "&lt;&gt;")</f>
        <v>0</v>
      </c>
      <c r="AZ1200" s="0" t="n">
        <f aca="false">IF(EH1200&lt;&gt;"",1,0)</f>
        <v>0</v>
      </c>
      <c r="BB1200" s="0" t="s">
        <v>152</v>
      </c>
    </row>
    <row r="1201" customFormat="false" ht="13.8" hidden="true" customHeight="false" outlineLevel="0" collapsed="false">
      <c r="A1201" s="0" t="s">
        <v>5669</v>
      </c>
      <c r="B1201" s="0" t="n">
        <v>78</v>
      </c>
      <c r="C1201" s="0" t="n">
        <v>451176</v>
      </c>
      <c r="D1201" s="0" t="s">
        <v>5670</v>
      </c>
      <c r="E1201" s="0" t="s">
        <v>5671</v>
      </c>
      <c r="F1201" s="0" t="str">
        <f aca="false">CONCATENATE(D1201," ",LEFT(H1201,4),"T=",AU1201,"D=",AV1201,"R=",AW1201,"M=",AX1201,"L=",AY1201,"B=",AZ1201)</f>
        <v>BINION T=4D=0R=0M=0L=0B=0</v>
      </c>
      <c r="G1201" s="0" t="s">
        <v>275</v>
      </c>
      <c r="I1201" s="0" t="s">
        <v>5672</v>
      </c>
      <c r="J1201" s="0" t="s">
        <v>270</v>
      </c>
      <c r="K1201" s="0" t="s">
        <v>143</v>
      </c>
      <c r="M1201" s="0" t="s">
        <v>5666</v>
      </c>
      <c r="N1201" s="0" t="str">
        <f aca="false">RIGHT(M1201,LEN(M1201)-FIND(" ",M1201))</f>
        <v>KENILWORTH AVE SE</v>
      </c>
      <c r="P1201" s="0" t="s">
        <v>145</v>
      </c>
      <c r="Q1201" s="0" t="s">
        <v>146</v>
      </c>
      <c r="R1201" s="0" t="n">
        <v>44483</v>
      </c>
      <c r="AD1201" s="0" t="s">
        <v>147</v>
      </c>
      <c r="AE1201" s="0" t="s">
        <v>148</v>
      </c>
      <c r="AF1201" s="0" t="s">
        <v>149</v>
      </c>
      <c r="AH1201" s="0" t="n">
        <v>14</v>
      </c>
      <c r="AI1201" s="0" t="n">
        <v>11</v>
      </c>
      <c r="AN1201" s="0" t="s">
        <v>145</v>
      </c>
      <c r="AO1201" s="0" t="s">
        <v>150</v>
      </c>
      <c r="AP1201" s="0" t="s">
        <v>151</v>
      </c>
      <c r="AQ1201" s="0" t="n">
        <v>9</v>
      </c>
      <c r="AR1201" s="0" t="n">
        <v>64</v>
      </c>
      <c r="AS1201" s="0" t="n">
        <v>32</v>
      </c>
      <c r="AU1201" s="0" t="n">
        <f aca="false">COUNTA($BA$973:$EH$973)</f>
        <v>4</v>
      </c>
      <c r="AV1201" s="0" t="n">
        <f aca="false">COUNTIF($BA$973:$EH$973,"D")</f>
        <v>0</v>
      </c>
      <c r="AW1201" s="0" t="n">
        <f aca="false">COUNTIF($BA$973:$EH$973,"R")</f>
        <v>0</v>
      </c>
      <c r="AX1201" s="0" t="n">
        <f aca="false">IF(BN1201="D",1,0)+IF(BO1201="D",1,0)+IF(BT1201="D",1,0)+IF(BU1201="D",1,0)+IF(BW1201="D",1,0)+IF(CC1201="D",1,0)+IF(CD1201="D",1,0)+IF(CE1201="D",1,0)+IF(CF1201="D",1,0)+IF(CL1201="D",1,0)+IF(CM1201="D",1,0)+IF(CQ1201="D",1,0)+IF(CR1201="D",1,0)+IF(CS1201="D",1,0)+IF(CW1201="D",1,0)+IF(CX1201="D",1,0)+IF(DD1201="D",1,0)+IF(DE1201="D",1,0)+IF(DJ1201="D",1,0)+IF(DK1201="D",1,0)+IF(DO1201="D",1,0)+IF(DP1201="D",1,0)+IF(DQ1201="D",1,0)+IF(DW1201="D",1,0)+IF(DZ1201="D",1,0)+IF(EH1201="D",1,0)</f>
        <v>0</v>
      </c>
      <c r="AY1201" s="0" t="n">
        <f aca="false">COUNTIF(DU1201:EH1201, "&lt;&gt;")</f>
        <v>0</v>
      </c>
      <c r="AZ1201" s="0" t="n">
        <f aca="false">IF(EH1201&lt;&gt;"",1,0)</f>
        <v>0</v>
      </c>
      <c r="BB1201" s="0" t="s">
        <v>152</v>
      </c>
    </row>
    <row r="1202" customFormat="false" ht="13.8" hidden="false" customHeight="false" outlineLevel="0" collapsed="false">
      <c r="A1202" s="0" t="s">
        <v>5673</v>
      </c>
      <c r="B1202" s="0" t="n">
        <v>78</v>
      </c>
      <c r="C1202" s="0" t="n">
        <v>317084</v>
      </c>
      <c r="D1202" s="0" t="s">
        <v>5664</v>
      </c>
      <c r="E1202" s="0" t="s">
        <v>5674</v>
      </c>
      <c r="F1202" s="0" t="str">
        <f aca="false">CONCATENATE(D1202," ",LEFT(H1202,4),"T=",AU1202,"D=",AV1202,"R=",AW1202,"M=",AX1202,"L=",AY1202,"B=",AZ1202)</f>
        <v>BLUE T=3D=0R=0M=1L=2B=0</v>
      </c>
      <c r="G1202" s="0" t="s">
        <v>202</v>
      </c>
      <c r="I1202" s="0" t="s">
        <v>5675</v>
      </c>
      <c r="J1202" s="0" t="s">
        <v>1433</v>
      </c>
      <c r="K1202" s="0" t="s">
        <v>160</v>
      </c>
      <c r="M1202" s="0" t="s">
        <v>5666</v>
      </c>
      <c r="N1202" s="0" t="str">
        <f aca="false">RIGHT(M1202,LEN(M1202)-FIND(" ",M1202))</f>
        <v>KENILWORTH AVE SE</v>
      </c>
      <c r="P1202" s="0" t="s">
        <v>145</v>
      </c>
      <c r="Q1202" s="0" t="s">
        <v>146</v>
      </c>
      <c r="R1202" s="0" t="n">
        <v>44483</v>
      </c>
      <c r="AD1202" s="0" t="s">
        <v>147</v>
      </c>
      <c r="AE1202" s="0" t="s">
        <v>148</v>
      </c>
      <c r="AF1202" s="0" t="s">
        <v>149</v>
      </c>
      <c r="AH1202" s="0" t="n">
        <v>14</v>
      </c>
      <c r="AI1202" s="0" t="n">
        <v>11</v>
      </c>
      <c r="AN1202" s="0" t="s">
        <v>145</v>
      </c>
      <c r="AO1202" s="0" t="s">
        <v>150</v>
      </c>
      <c r="AP1202" s="0" t="s">
        <v>151</v>
      </c>
      <c r="AQ1202" s="0" t="n">
        <v>9</v>
      </c>
      <c r="AR1202" s="0" t="n">
        <v>64</v>
      </c>
      <c r="AS1202" s="0" t="n">
        <v>32</v>
      </c>
      <c r="AU1202" s="0" t="n">
        <f aca="false">COUNTA($BA$1070:$EH$1070)</f>
        <v>3</v>
      </c>
      <c r="AV1202" s="0" t="n">
        <f aca="false">COUNTIF($BA$1070:$EH$1070,"D")</f>
        <v>0</v>
      </c>
      <c r="AW1202" s="0" t="n">
        <f aca="false">COUNTIF($BA$1070:$EH$1070,"R")</f>
        <v>0</v>
      </c>
      <c r="AX1202" s="0" t="n">
        <f aca="false">IF(BN1202="D",1,0)+IF(BO1202="D",1,0)+IF(BT1202="D",1,0)+IF(BU1202="D",1,0)+IF(BW1202="D",1,0)+IF(CC1202="D",1,0)+IF(CD1202="D",1,0)+IF(CE1202="D",1,0)+IF(CF1202="D",1,0)+IF(CL1202="D",1,0)+IF(CM1202="D",1,0)+IF(CQ1202="D",1,0)+IF(CR1202="D",1,0)+IF(CS1202="D",1,0)+IF(CW1202="D",1,0)+IF(CX1202="D",1,0)+IF(DD1202="D",1,0)+IF(DE1202="D",1,0)+IF(DJ1202="D",1,0)+IF(DK1202="D",1,0)+IF(DO1202="D",1,0)+IF(DP1202="D",1,0)+IF(DQ1202="D",1,0)+IF(DW1202="D",1,0)+IF(DZ1202="D",1,0)+IF(EH1202="D",1,0)</f>
        <v>1</v>
      </c>
      <c r="AY1202" s="0" t="n">
        <f aca="false">COUNTIF(DU1202:EH1202, "&lt;&gt;")</f>
        <v>2</v>
      </c>
      <c r="AZ1202" s="0" t="n">
        <f aca="false">IF(EH1202&lt;&gt;"",1,0)</f>
        <v>0</v>
      </c>
      <c r="BB1202" s="0" t="s">
        <v>152</v>
      </c>
      <c r="BL1202" s="0" t="s">
        <v>153</v>
      </c>
      <c r="BR1202" s="0" t="s">
        <v>153</v>
      </c>
      <c r="BS1202" s="0" t="s">
        <v>153</v>
      </c>
      <c r="BY1202" s="0" t="s">
        <v>175</v>
      </c>
      <c r="CA1202" s="0" t="s">
        <v>153</v>
      </c>
      <c r="CK1202" s="0" t="s">
        <v>153</v>
      </c>
      <c r="CL1202" s="0" t="s">
        <v>175</v>
      </c>
      <c r="CN1202" s="0" t="s">
        <v>153</v>
      </c>
      <c r="CP1202" s="0" t="s">
        <v>153</v>
      </c>
      <c r="CZ1202" s="0" t="s">
        <v>175</v>
      </c>
      <c r="DC1202" s="0" t="s">
        <v>153</v>
      </c>
      <c r="DI1202" s="0" t="s">
        <v>153</v>
      </c>
      <c r="DN1202" s="0" t="s">
        <v>153</v>
      </c>
      <c r="DU1202" s="0" t="s">
        <v>153</v>
      </c>
      <c r="EF1202" s="0" t="s">
        <v>153</v>
      </c>
    </row>
    <row r="1203" customFormat="false" ht="13.8" hidden="true" customHeight="false" outlineLevel="0" collapsed="false">
      <c r="A1203" s="0" t="s">
        <v>5676</v>
      </c>
      <c r="B1203" s="0" t="n">
        <v>78</v>
      </c>
      <c r="C1203" s="0" t="n">
        <v>408251</v>
      </c>
      <c r="D1203" s="0" t="s">
        <v>5677</v>
      </c>
      <c r="E1203" s="0" t="s">
        <v>5678</v>
      </c>
      <c r="F1203" s="0" t="str">
        <f aca="false">CONCATENATE(D1203," ",LEFT(H1203,4),"T=",AU1203,"D=",AV1203,"R=",AW1203,"M=",AX1203,"L=",AY1203,"B=",AZ1203)</f>
        <v>KNICELEY T=3D=0R=0M=0L=0B=0</v>
      </c>
      <c r="G1203" s="0" t="s">
        <v>164</v>
      </c>
      <c r="I1203" s="0" t="s">
        <v>5679</v>
      </c>
      <c r="J1203" s="0" t="s">
        <v>5680</v>
      </c>
      <c r="K1203" s="0" t="s">
        <v>143</v>
      </c>
      <c r="M1203" s="0" t="s">
        <v>5681</v>
      </c>
      <c r="N1203" s="0" t="str">
        <f aca="false">RIGHT(M1203,LEN(M1203)-FIND(" ",M1203))</f>
        <v>KENILWORTH AVE SE</v>
      </c>
      <c r="P1203" s="0" t="s">
        <v>145</v>
      </c>
      <c r="Q1203" s="0" t="s">
        <v>146</v>
      </c>
      <c r="R1203" s="0" t="n">
        <v>44483</v>
      </c>
      <c r="AD1203" s="0" t="s">
        <v>147</v>
      </c>
      <c r="AE1203" s="0" t="s">
        <v>148</v>
      </c>
      <c r="AF1203" s="0" t="s">
        <v>149</v>
      </c>
      <c r="AH1203" s="0" t="n">
        <v>14</v>
      </c>
      <c r="AI1203" s="0" t="n">
        <v>11</v>
      </c>
      <c r="AN1203" s="0" t="s">
        <v>145</v>
      </c>
      <c r="AO1203" s="0" t="s">
        <v>150</v>
      </c>
      <c r="AP1203" s="0" t="s">
        <v>151</v>
      </c>
      <c r="AQ1203" s="0" t="n">
        <v>9</v>
      </c>
      <c r="AR1203" s="0" t="n">
        <v>64</v>
      </c>
      <c r="AS1203" s="0" t="n">
        <v>32</v>
      </c>
      <c r="AU1203" s="0" t="n">
        <f aca="false">COUNTA($BA$738:$EH$738)</f>
        <v>3</v>
      </c>
      <c r="AV1203" s="0" t="n">
        <f aca="false">COUNTIF($BA$738:$EH$738,"D")</f>
        <v>0</v>
      </c>
      <c r="AW1203" s="0" t="n">
        <f aca="false">COUNTIF($BA$738:$EH$738,"R")</f>
        <v>0</v>
      </c>
      <c r="AX1203" s="0" t="n">
        <f aca="false">IF(BN1203="D",1,0)+IF(BO1203="D",1,0)+IF(BT1203="D",1,0)+IF(BU1203="D",1,0)+IF(BW1203="D",1,0)+IF(CC1203="D",1,0)+IF(CD1203="D",1,0)+IF(CE1203="D",1,0)+IF(CF1203="D",1,0)+IF(CL1203="D",1,0)+IF(CM1203="D",1,0)+IF(CQ1203="D",1,0)+IF(CR1203="D",1,0)+IF(CS1203="D",1,0)+IF(CW1203="D",1,0)+IF(CX1203="D",1,0)+IF(DD1203="D",1,0)+IF(DE1203="D",1,0)+IF(DJ1203="D",1,0)+IF(DK1203="D",1,0)+IF(DO1203="D",1,0)+IF(DP1203="D",1,0)+IF(DQ1203="D",1,0)+IF(DW1203="D",1,0)+IF(DZ1203="D",1,0)+IF(EH1203="D",1,0)</f>
        <v>0</v>
      </c>
      <c r="AY1203" s="0" t="n">
        <f aca="false">COUNTIF(DU1203:EH1203, "&lt;&gt;")</f>
        <v>0</v>
      </c>
      <c r="AZ1203" s="0" t="n">
        <f aca="false">IF(EH1203&lt;&gt;"",1,0)</f>
        <v>0</v>
      </c>
      <c r="BB1203" s="0" t="s">
        <v>152</v>
      </c>
    </row>
    <row r="1204" customFormat="false" ht="13.8" hidden="true" customHeight="false" outlineLevel="0" collapsed="false">
      <c r="A1204" s="0" t="s">
        <v>5682</v>
      </c>
      <c r="B1204" s="0" t="n">
        <v>78</v>
      </c>
      <c r="C1204" s="0" t="n">
        <v>384544</v>
      </c>
      <c r="D1204" s="0" t="s">
        <v>761</v>
      </c>
      <c r="E1204" s="0" t="s">
        <v>4654</v>
      </c>
      <c r="F1204" s="0" t="str">
        <f aca="false">CONCATENATE(D1204," ",LEFT(H1204,4),"T=",AU1204,"D=",AV1204,"R=",AW1204,"M=",AX1204,"L=",AY1204,"B=",AZ1204)</f>
        <v>BROWN T=7D=0R=0M=0L=0B=0</v>
      </c>
      <c r="G1204" s="0" t="s">
        <v>171</v>
      </c>
      <c r="I1204" s="0" t="s">
        <v>5683</v>
      </c>
      <c r="J1204" s="0" t="s">
        <v>5684</v>
      </c>
      <c r="K1204" s="0" t="s">
        <v>160</v>
      </c>
      <c r="M1204" s="0" t="s">
        <v>5685</v>
      </c>
      <c r="N1204" s="0" t="str">
        <f aca="false">RIGHT(M1204,LEN(M1204)-FIND(" ",M1204))</f>
        <v>KENILWORTH AVE SE</v>
      </c>
      <c r="P1204" s="0" t="s">
        <v>145</v>
      </c>
      <c r="Q1204" s="0" t="s">
        <v>146</v>
      </c>
      <c r="R1204" s="0" t="n">
        <v>44483</v>
      </c>
      <c r="AD1204" s="0" t="s">
        <v>147</v>
      </c>
      <c r="AE1204" s="0" t="s">
        <v>148</v>
      </c>
      <c r="AF1204" s="0" t="s">
        <v>149</v>
      </c>
      <c r="AH1204" s="0" t="n">
        <v>14</v>
      </c>
      <c r="AI1204" s="0" t="n">
        <v>11</v>
      </c>
      <c r="AN1204" s="0" t="s">
        <v>145</v>
      </c>
      <c r="AO1204" s="0" t="s">
        <v>150</v>
      </c>
      <c r="AP1204" s="0" t="s">
        <v>151</v>
      </c>
      <c r="AQ1204" s="0" t="n">
        <v>9</v>
      </c>
      <c r="AR1204" s="0" t="n">
        <v>64</v>
      </c>
      <c r="AS1204" s="0" t="n">
        <v>32</v>
      </c>
      <c r="AU1204" s="0" t="n">
        <f aca="false">COUNTA($BA$35:$EH$35)</f>
        <v>7</v>
      </c>
      <c r="AV1204" s="0" t="n">
        <f aca="false">COUNTIF($BA$35:$EH$35,"D")</f>
        <v>0</v>
      </c>
      <c r="AW1204" s="0" t="n">
        <f aca="false">COUNTIF($BA$35:$EH$35,"R")</f>
        <v>0</v>
      </c>
      <c r="AX1204" s="0" t="n">
        <f aca="false">IF(BN1204="D",1,0)+IF(BO1204="D",1,0)+IF(BT1204="D",1,0)+IF(BU1204="D",1,0)+IF(BW1204="D",1,0)+IF(CC1204="D",1,0)+IF(CD1204="D",1,0)+IF(CE1204="D",1,0)+IF(CF1204="D",1,0)+IF(CL1204="D",1,0)+IF(CM1204="D",1,0)+IF(CQ1204="D",1,0)+IF(CR1204="D",1,0)+IF(CS1204="D",1,0)+IF(CW1204="D",1,0)+IF(CX1204="D",1,0)+IF(DD1204="D",1,0)+IF(DE1204="D",1,0)+IF(DJ1204="D",1,0)+IF(DK1204="D",1,0)+IF(DO1204="D",1,0)+IF(DP1204="D",1,0)+IF(DQ1204="D",1,0)+IF(DW1204="D",1,0)+IF(DZ1204="D",1,0)+IF(EH1204="D",1,0)</f>
        <v>0</v>
      </c>
      <c r="AY1204" s="0" t="n">
        <f aca="false">COUNTIF(DU1204:EH1204, "&lt;&gt;")</f>
        <v>0</v>
      </c>
      <c r="AZ1204" s="0" t="n">
        <f aca="false">IF(EH1204&lt;&gt;"",1,0)</f>
        <v>0</v>
      </c>
      <c r="BB1204" s="0" t="s">
        <v>152</v>
      </c>
      <c r="DC1204" s="0" t="s">
        <v>153</v>
      </c>
      <c r="DI1204" s="0" t="s">
        <v>153</v>
      </c>
      <c r="DN1204" s="0" t="s">
        <v>153</v>
      </c>
    </row>
    <row r="1205" customFormat="false" ht="13.8" hidden="true" customHeight="false" outlineLevel="0" collapsed="false">
      <c r="A1205" s="0" t="s">
        <v>5686</v>
      </c>
      <c r="B1205" s="0" t="n">
        <v>78</v>
      </c>
      <c r="C1205" s="0" t="n">
        <v>394965</v>
      </c>
      <c r="D1205" s="0" t="s">
        <v>1661</v>
      </c>
      <c r="E1205" s="0" t="s">
        <v>5687</v>
      </c>
      <c r="F1205" s="0" t="str">
        <f aca="false">CONCATENATE(D1205," ",LEFT(H1205,4),"T=",AU1205,"D=",AV1205,"R=",AW1205,"M=",AX1205,"L=",AY1205,"B=",AZ1205)</f>
        <v>JACKSON T=20D=0R=2M=0L=0B=0</v>
      </c>
      <c r="G1205" s="0" t="s">
        <v>175</v>
      </c>
      <c r="I1205" s="0" t="s">
        <v>5688</v>
      </c>
      <c r="J1205" s="0" t="s">
        <v>386</v>
      </c>
      <c r="K1205" s="0" t="s">
        <v>160</v>
      </c>
      <c r="M1205" s="0" t="s">
        <v>5685</v>
      </c>
      <c r="N1205" s="0" t="str">
        <f aca="false">RIGHT(M1205,LEN(M1205)-FIND(" ",M1205))</f>
        <v>KENILWORTH AVE SE</v>
      </c>
      <c r="P1205" s="0" t="s">
        <v>145</v>
      </c>
      <c r="Q1205" s="0" t="s">
        <v>146</v>
      </c>
      <c r="R1205" s="0" t="n">
        <v>44483</v>
      </c>
      <c r="AD1205" s="0" t="s">
        <v>147</v>
      </c>
      <c r="AE1205" s="0" t="s">
        <v>148</v>
      </c>
      <c r="AF1205" s="0" t="s">
        <v>149</v>
      </c>
      <c r="AH1205" s="0" t="n">
        <v>14</v>
      </c>
      <c r="AI1205" s="0" t="n">
        <v>11</v>
      </c>
      <c r="AN1205" s="0" t="s">
        <v>145</v>
      </c>
      <c r="AO1205" s="0" t="s">
        <v>150</v>
      </c>
      <c r="AP1205" s="0" t="s">
        <v>151</v>
      </c>
      <c r="AQ1205" s="0" t="n">
        <v>9</v>
      </c>
      <c r="AR1205" s="0" t="n">
        <v>64</v>
      </c>
      <c r="AS1205" s="0" t="n">
        <v>32</v>
      </c>
      <c r="AU1205" s="0" t="n">
        <f aca="false">COUNTA($BA$123:$EH$123)</f>
        <v>20</v>
      </c>
      <c r="AV1205" s="0" t="n">
        <f aca="false">COUNTIF($BA$123:$EH$123,"D")</f>
        <v>0</v>
      </c>
      <c r="AW1205" s="0" t="n">
        <f aca="false">COUNTIF($BA$123:$EH$123,"R")</f>
        <v>2</v>
      </c>
      <c r="AX1205" s="0" t="n">
        <f aca="false">IF(BN1205="D",1,0)+IF(BO1205="D",1,0)+IF(BT1205="D",1,0)+IF(BU1205="D",1,0)+IF(BW1205="D",1,0)+IF(CC1205="D",1,0)+IF(CD1205="D",1,0)+IF(CE1205="D",1,0)+IF(CF1205="D",1,0)+IF(CL1205="D",1,0)+IF(CM1205="D",1,0)+IF(CQ1205="D",1,0)+IF(CR1205="D",1,0)+IF(CS1205="D",1,0)+IF(CW1205="D",1,0)+IF(CX1205="D",1,0)+IF(DD1205="D",1,0)+IF(DE1205="D",1,0)+IF(DJ1205="D",1,0)+IF(DK1205="D",1,0)+IF(DO1205="D",1,0)+IF(DP1205="D",1,0)+IF(DQ1205="D",1,0)+IF(DW1205="D",1,0)+IF(DZ1205="D",1,0)+IF(EH1205="D",1,0)</f>
        <v>0</v>
      </c>
      <c r="AY1205" s="0" t="n">
        <f aca="false">COUNTIF(DU1205:EH1205, "&lt;&gt;")</f>
        <v>0</v>
      </c>
      <c r="AZ1205" s="0" t="n">
        <f aca="false">IF(EH1205&lt;&gt;"",1,0)</f>
        <v>0</v>
      </c>
      <c r="BB1205" s="0" t="s">
        <v>152</v>
      </c>
    </row>
    <row r="1206" customFormat="false" ht="13.8" hidden="true" customHeight="false" outlineLevel="0" collapsed="false">
      <c r="A1206" s="0" t="s">
        <v>5689</v>
      </c>
      <c r="B1206" s="0" t="n">
        <v>78</v>
      </c>
      <c r="C1206" s="0" t="n">
        <v>296594</v>
      </c>
      <c r="D1206" s="0" t="s">
        <v>5690</v>
      </c>
      <c r="E1206" s="0" t="s">
        <v>5691</v>
      </c>
      <c r="F1206" s="0" t="str">
        <f aca="false">CONCATENATE(D1206," ",LEFT(H1206,4),"T=",AU1206,"D=",AV1206,"R=",AW1206,"M=",AX1206,"L=",AY1206,"B=",AZ1206)</f>
        <v>WALSH T=2D=0R=0M=0L=0B=0</v>
      </c>
      <c r="G1206" s="0" t="s">
        <v>307</v>
      </c>
      <c r="I1206" s="0" t="s">
        <v>5692</v>
      </c>
      <c r="J1206" s="0" t="s">
        <v>5693</v>
      </c>
      <c r="K1206" s="0" t="s">
        <v>143</v>
      </c>
      <c r="M1206" s="0" t="s">
        <v>5685</v>
      </c>
      <c r="N1206" s="0" t="str">
        <f aca="false">RIGHT(M1206,LEN(M1206)-FIND(" ",M1206))</f>
        <v>KENILWORTH AVE SE</v>
      </c>
      <c r="P1206" s="0" t="s">
        <v>145</v>
      </c>
      <c r="Q1206" s="0" t="s">
        <v>146</v>
      </c>
      <c r="R1206" s="0" t="n">
        <v>44483</v>
      </c>
      <c r="AD1206" s="0" t="s">
        <v>147</v>
      </c>
      <c r="AE1206" s="0" t="s">
        <v>148</v>
      </c>
      <c r="AF1206" s="0" t="s">
        <v>149</v>
      </c>
      <c r="AH1206" s="0" t="n">
        <v>14</v>
      </c>
      <c r="AI1206" s="0" t="n">
        <v>11</v>
      </c>
      <c r="AN1206" s="0" t="s">
        <v>145</v>
      </c>
      <c r="AO1206" s="0" t="s">
        <v>150</v>
      </c>
      <c r="AP1206" s="0" t="s">
        <v>151</v>
      </c>
      <c r="AQ1206" s="0" t="n">
        <v>9</v>
      </c>
      <c r="AR1206" s="0" t="n">
        <v>64</v>
      </c>
      <c r="AS1206" s="0" t="n">
        <v>32</v>
      </c>
      <c r="AU1206" s="0" t="n">
        <f aca="false">COUNTA($BA$380:$EH$380)</f>
        <v>2</v>
      </c>
      <c r="AV1206" s="0" t="n">
        <f aca="false">COUNTIF($BA$380:$EH$380,"D")</f>
        <v>0</v>
      </c>
      <c r="AW1206" s="0" t="n">
        <f aca="false">COUNTIF($BA$380:$EH$380,"R")</f>
        <v>0</v>
      </c>
      <c r="AX1206" s="0" t="n">
        <f aca="false">IF(BN1206="D",1,0)+IF(BO1206="D",1,0)+IF(BT1206="D",1,0)+IF(BU1206="D",1,0)+IF(BW1206="D",1,0)+IF(CC1206="D",1,0)+IF(CD1206="D",1,0)+IF(CE1206="D",1,0)+IF(CF1206="D",1,0)+IF(CL1206="D",1,0)+IF(CM1206="D",1,0)+IF(CQ1206="D",1,0)+IF(CR1206="D",1,0)+IF(CS1206="D",1,0)+IF(CW1206="D",1,0)+IF(CX1206="D",1,0)+IF(DD1206="D",1,0)+IF(DE1206="D",1,0)+IF(DJ1206="D",1,0)+IF(DK1206="D",1,0)+IF(DO1206="D",1,0)+IF(DP1206="D",1,0)+IF(DQ1206="D",1,0)+IF(DW1206="D",1,0)+IF(DZ1206="D",1,0)+IF(EH1206="D",1,0)</f>
        <v>0</v>
      </c>
      <c r="AY1206" s="0" t="n">
        <f aca="false">COUNTIF(DU1206:EH1206, "&lt;&gt;")</f>
        <v>0</v>
      </c>
      <c r="AZ1206" s="0" t="n">
        <f aca="false">IF(EH1206&lt;&gt;"",1,0)</f>
        <v>0</v>
      </c>
      <c r="BB1206" s="0" t="s">
        <v>152</v>
      </c>
      <c r="CA1206" s="0" t="s">
        <v>153</v>
      </c>
    </row>
    <row r="1207" customFormat="false" ht="13.8" hidden="true" customHeight="false" outlineLevel="0" collapsed="false">
      <c r="A1207" s="0" t="s">
        <v>5694</v>
      </c>
      <c r="B1207" s="0" t="n">
        <v>78</v>
      </c>
      <c r="C1207" s="0" t="n">
        <v>430979</v>
      </c>
      <c r="D1207" s="0" t="s">
        <v>1764</v>
      </c>
      <c r="E1207" s="0" t="s">
        <v>237</v>
      </c>
      <c r="F1207" s="0" t="str">
        <f aca="false">CONCATENATE(D1207," ",LEFT(H1207,4),"T=",AU1207,"D=",AV1207,"R=",AW1207,"M=",AX1207,"L=",AY1207,"B=",AZ1207)</f>
        <v>MOORE T=1D=0R=0M=0L=0B=0</v>
      </c>
      <c r="G1207" s="0" t="s">
        <v>164</v>
      </c>
      <c r="I1207" s="0" t="s">
        <v>5695</v>
      </c>
      <c r="J1207" s="0" t="s">
        <v>5696</v>
      </c>
      <c r="K1207" s="0" t="s">
        <v>143</v>
      </c>
      <c r="M1207" s="0" t="s">
        <v>5697</v>
      </c>
      <c r="N1207" s="0" t="str">
        <f aca="false">RIGHT(M1207,LEN(M1207)-FIND(" ",M1207))</f>
        <v>KENILWORTH AVE SE</v>
      </c>
      <c r="P1207" s="0" t="s">
        <v>145</v>
      </c>
      <c r="Q1207" s="0" t="s">
        <v>146</v>
      </c>
      <c r="R1207" s="0" t="n">
        <v>44483</v>
      </c>
      <c r="AD1207" s="0" t="s">
        <v>147</v>
      </c>
      <c r="AE1207" s="0" t="s">
        <v>148</v>
      </c>
      <c r="AF1207" s="0" t="s">
        <v>149</v>
      </c>
      <c r="AH1207" s="0" t="n">
        <v>14</v>
      </c>
      <c r="AI1207" s="0" t="n">
        <v>11</v>
      </c>
      <c r="AN1207" s="0" t="s">
        <v>145</v>
      </c>
      <c r="AO1207" s="0" t="s">
        <v>150</v>
      </c>
      <c r="AP1207" s="0" t="s">
        <v>151</v>
      </c>
      <c r="AQ1207" s="0" t="n">
        <v>9</v>
      </c>
      <c r="AR1207" s="0" t="n">
        <v>64</v>
      </c>
      <c r="AS1207" s="0" t="n">
        <v>32</v>
      </c>
      <c r="AU1207" s="0" t="n">
        <f aca="false">COUNTA($BA$125:$EH$125)</f>
        <v>1</v>
      </c>
      <c r="AV1207" s="0" t="n">
        <f aca="false">COUNTIF($BA$125:$EH$125,"D")</f>
        <v>0</v>
      </c>
      <c r="AW1207" s="0" t="n">
        <f aca="false">COUNTIF($BA$125:$EH$125,"R")</f>
        <v>0</v>
      </c>
      <c r="AX1207" s="0" t="n">
        <f aca="false">IF(BN1207="D",1,0)+IF(BO1207="D",1,0)+IF(BT1207="D",1,0)+IF(BU1207="D",1,0)+IF(BW1207="D",1,0)+IF(CC1207="D",1,0)+IF(CD1207="D",1,0)+IF(CE1207="D",1,0)+IF(CF1207="D",1,0)+IF(CL1207="D",1,0)+IF(CM1207="D",1,0)+IF(CQ1207="D",1,0)+IF(CR1207="D",1,0)+IF(CS1207="D",1,0)+IF(CW1207="D",1,0)+IF(CX1207="D",1,0)+IF(DD1207="D",1,0)+IF(DE1207="D",1,0)+IF(DJ1207="D",1,0)+IF(DK1207="D",1,0)+IF(DO1207="D",1,0)+IF(DP1207="D",1,0)+IF(DQ1207="D",1,0)+IF(DW1207="D",1,0)+IF(DZ1207="D",1,0)+IF(EH1207="D",1,0)</f>
        <v>0</v>
      </c>
      <c r="AY1207" s="0" t="n">
        <f aca="false">COUNTIF(DU1207:EH1207, "&lt;&gt;")</f>
        <v>0</v>
      </c>
      <c r="AZ1207" s="0" t="n">
        <f aca="false">IF(EH1207&lt;&gt;"",1,0)</f>
        <v>0</v>
      </c>
      <c r="BB1207" s="0" t="s">
        <v>152</v>
      </c>
    </row>
    <row r="1208" customFormat="false" ht="13.8" hidden="false" customHeight="false" outlineLevel="0" collapsed="false">
      <c r="A1208" s="0" t="s">
        <v>5698</v>
      </c>
      <c r="B1208" s="0" t="n">
        <v>78</v>
      </c>
      <c r="C1208" s="0" t="n">
        <v>342393</v>
      </c>
      <c r="D1208" s="0" t="s">
        <v>690</v>
      </c>
      <c r="E1208" s="0" t="s">
        <v>5699</v>
      </c>
      <c r="F1208" s="0" t="str">
        <f aca="false">CONCATENATE(D1208," ",LEFT(H1208,4),"T=",AU1208,"D=",AV1208,"R=",AW1208,"M=",AX1208,"L=",AY1208,"B=",AZ1208)</f>
        <v>SMITH T=8D=0R=0M=0L=5B=0</v>
      </c>
      <c r="G1208" s="0" t="s">
        <v>195</v>
      </c>
      <c r="I1208" s="0" t="s">
        <v>5700</v>
      </c>
      <c r="J1208" s="0" t="s">
        <v>2288</v>
      </c>
      <c r="K1208" s="0" t="s">
        <v>160</v>
      </c>
      <c r="L1208" s="0" t="s">
        <v>175</v>
      </c>
      <c r="M1208" s="0" t="s">
        <v>5697</v>
      </c>
      <c r="N1208" s="0" t="str">
        <f aca="false">RIGHT(M1208,LEN(M1208)-FIND(" ",M1208))</f>
        <v>KENILWORTH AVE SE</v>
      </c>
      <c r="P1208" s="0" t="s">
        <v>145</v>
      </c>
      <c r="Q1208" s="0" t="s">
        <v>146</v>
      </c>
      <c r="R1208" s="0" t="n">
        <v>44483</v>
      </c>
      <c r="AD1208" s="0" t="s">
        <v>147</v>
      </c>
      <c r="AE1208" s="0" t="s">
        <v>148</v>
      </c>
      <c r="AF1208" s="0" t="s">
        <v>149</v>
      </c>
      <c r="AH1208" s="0" t="n">
        <v>14</v>
      </c>
      <c r="AI1208" s="0" t="n">
        <v>11</v>
      </c>
      <c r="AN1208" s="0" t="s">
        <v>145</v>
      </c>
      <c r="AO1208" s="0" t="s">
        <v>150</v>
      </c>
      <c r="AP1208" s="0" t="s">
        <v>151</v>
      </c>
      <c r="AQ1208" s="0" t="n">
        <v>9</v>
      </c>
      <c r="AR1208" s="0" t="n">
        <v>64</v>
      </c>
      <c r="AS1208" s="0" t="n">
        <v>32</v>
      </c>
      <c r="AU1208" s="0" t="n">
        <f aca="false">COUNTA($BA$651:$EH$651)</f>
        <v>8</v>
      </c>
      <c r="AV1208" s="0" t="n">
        <f aca="false">COUNTIF($BA$651:$EH$651,"D")</f>
        <v>0</v>
      </c>
      <c r="AW1208" s="0" t="n">
        <f aca="false">COUNTIF($BA$651:$EH$651,"R")</f>
        <v>0</v>
      </c>
      <c r="AX1208" s="0" t="n">
        <f aca="false">IF(BN1208="D",1,0)+IF(BO1208="D",1,0)+IF(BT1208="D",1,0)+IF(BU1208="D",1,0)+IF(BW1208="D",1,0)+IF(CC1208="D",1,0)+IF(CD1208="D",1,0)+IF(CE1208="D",1,0)+IF(CF1208="D",1,0)+IF(CL1208="D",1,0)+IF(CM1208="D",1,0)+IF(CQ1208="D",1,0)+IF(CR1208="D",1,0)+IF(CS1208="D",1,0)+IF(CW1208="D",1,0)+IF(CX1208="D",1,0)+IF(DD1208="D",1,0)+IF(DE1208="D",1,0)+IF(DJ1208="D",1,0)+IF(DK1208="D",1,0)+IF(DO1208="D",1,0)+IF(DP1208="D",1,0)+IF(DQ1208="D",1,0)+IF(DW1208="D",1,0)+IF(DZ1208="D",1,0)+IF(EH1208="D",1,0)</f>
        <v>0</v>
      </c>
      <c r="AY1208" s="0" t="n">
        <f aca="false">COUNTIF(DU1208:EH1208, "&lt;&gt;")</f>
        <v>5</v>
      </c>
      <c r="AZ1208" s="0" t="n">
        <f aca="false">IF(EH1208&lt;&gt;"",1,0)</f>
        <v>0</v>
      </c>
      <c r="BB1208" s="0" t="s">
        <v>152</v>
      </c>
      <c r="CP1208" s="0" t="s">
        <v>153</v>
      </c>
      <c r="DN1208" s="0" t="s">
        <v>153</v>
      </c>
      <c r="DU1208" s="0" t="s">
        <v>153</v>
      </c>
      <c r="DX1208" s="0" t="s">
        <v>153</v>
      </c>
      <c r="EA1208" s="0" t="s">
        <v>153</v>
      </c>
      <c r="ED1208" s="0" t="s">
        <v>175</v>
      </c>
      <c r="EF1208" s="0" t="s">
        <v>153</v>
      </c>
    </row>
    <row r="1209" customFormat="false" ht="13.8" hidden="false" customHeight="false" outlineLevel="0" collapsed="false">
      <c r="A1209" s="0" t="s">
        <v>5701</v>
      </c>
      <c r="B1209" s="0" t="n">
        <v>78</v>
      </c>
      <c r="C1209" s="0" t="n">
        <v>127747</v>
      </c>
      <c r="D1209" s="0" t="s">
        <v>690</v>
      </c>
      <c r="E1209" s="0" t="s">
        <v>5702</v>
      </c>
      <c r="F1209" s="0" t="str">
        <f aca="false">CONCATENATE(D1209," ",LEFT(H1209,4),"T=",AU1209,"D=",AV1209,"R=",AW1209,"M=",AX1209,"L=",AY1209,"B=",AZ1209)</f>
        <v>SMITH T=1D=0R=0M=3L=5B=0</v>
      </c>
      <c r="G1209" s="0" t="s">
        <v>195</v>
      </c>
      <c r="I1209" s="0" t="s">
        <v>5703</v>
      </c>
      <c r="J1209" s="0" t="s">
        <v>5704</v>
      </c>
      <c r="K1209" s="0" t="s">
        <v>160</v>
      </c>
      <c r="L1209" s="0" t="s">
        <v>175</v>
      </c>
      <c r="M1209" s="0" t="s">
        <v>5705</v>
      </c>
      <c r="N1209" s="0" t="str">
        <f aca="false">RIGHT(M1209,LEN(M1209)-FIND(" ",M1209))</f>
        <v>KENILWORTH AVE SE</v>
      </c>
      <c r="P1209" s="0" t="s">
        <v>145</v>
      </c>
      <c r="Q1209" s="0" t="s">
        <v>146</v>
      </c>
      <c r="R1209" s="0" t="n">
        <v>44483</v>
      </c>
      <c r="AD1209" s="0" t="s">
        <v>147</v>
      </c>
      <c r="AE1209" s="0" t="s">
        <v>148</v>
      </c>
      <c r="AF1209" s="0" t="s">
        <v>149</v>
      </c>
      <c r="AH1209" s="0" t="n">
        <v>14</v>
      </c>
      <c r="AI1209" s="0" t="n">
        <v>11</v>
      </c>
      <c r="AN1209" s="0" t="s">
        <v>145</v>
      </c>
      <c r="AO1209" s="0" t="s">
        <v>150</v>
      </c>
      <c r="AP1209" s="0" t="s">
        <v>151</v>
      </c>
      <c r="AQ1209" s="0" t="n">
        <v>9</v>
      </c>
      <c r="AR1209" s="0" t="n">
        <v>64</v>
      </c>
      <c r="AS1209" s="0" t="n">
        <v>32</v>
      </c>
      <c r="AU1209" s="0" t="n">
        <f aca="false">COUNTA($BA$1084:$EH$1084)</f>
        <v>1</v>
      </c>
      <c r="AV1209" s="0" t="n">
        <f aca="false">COUNTIF($BA$1084:$EH$1084,"D")</f>
        <v>0</v>
      </c>
      <c r="AW1209" s="0" t="n">
        <f aca="false">COUNTIF($BA$1084:$EH$1084,"R")</f>
        <v>0</v>
      </c>
      <c r="AX1209" s="0" t="n">
        <f aca="false">IF(BN1209="D",1,0)+IF(BO1209="D",1,0)+IF(BT1209="D",1,0)+IF(BU1209="D",1,0)+IF(BW1209="D",1,0)+IF(CC1209="D",1,0)+IF(CD1209="D",1,0)+IF(CE1209="D",1,0)+IF(CF1209="D",1,0)+IF(CL1209="D",1,0)+IF(CM1209="D",1,0)+IF(CQ1209="D",1,0)+IF(CR1209="D",1,0)+IF(CS1209="D",1,0)+IF(CW1209="D",1,0)+IF(CX1209="D",1,0)+IF(DD1209="D",1,0)+IF(DE1209="D",1,0)+IF(DJ1209="D",1,0)+IF(DK1209="D",1,0)+IF(DO1209="D",1,0)+IF(DP1209="D",1,0)+IF(DQ1209="D",1,0)+IF(DW1209="D",1,0)+IF(DZ1209="D",1,0)+IF(EH1209="D",1,0)</f>
        <v>3</v>
      </c>
      <c r="AY1209" s="0" t="n">
        <f aca="false">COUNTIF(DU1209:EH1209, "&lt;&gt;")</f>
        <v>5</v>
      </c>
      <c r="AZ1209" s="0" t="n">
        <f aca="false">IF(EH1209&lt;&gt;"",1,0)</f>
        <v>0</v>
      </c>
      <c r="BB1209" s="0" t="s">
        <v>152</v>
      </c>
      <c r="BC1209" s="0" t="s">
        <v>153</v>
      </c>
      <c r="BD1209" s="0" t="s">
        <v>153</v>
      </c>
      <c r="BF1209" s="0" t="s">
        <v>153</v>
      </c>
      <c r="BG1209" s="0" t="s">
        <v>153</v>
      </c>
      <c r="BH1209" s="0" t="s">
        <v>153</v>
      </c>
      <c r="BK1209" s="0" t="s">
        <v>153</v>
      </c>
      <c r="BL1209" s="0" t="s">
        <v>153</v>
      </c>
      <c r="BS1209" s="0" t="s">
        <v>153</v>
      </c>
      <c r="BY1209" s="0" t="s">
        <v>175</v>
      </c>
      <c r="CA1209" s="0" t="s">
        <v>153</v>
      </c>
      <c r="CK1209" s="0" t="s">
        <v>153</v>
      </c>
      <c r="CL1209" s="0" t="s">
        <v>175</v>
      </c>
      <c r="CP1209" s="0" t="s">
        <v>153</v>
      </c>
      <c r="CV1209" s="0" t="s">
        <v>153</v>
      </c>
      <c r="CW1209" s="0" t="s">
        <v>175</v>
      </c>
      <c r="CY1209" s="0" t="s">
        <v>153</v>
      </c>
      <c r="CZ1209" s="0" t="s">
        <v>175</v>
      </c>
      <c r="DC1209" s="0" t="s">
        <v>153</v>
      </c>
      <c r="DF1209" s="0" t="s">
        <v>153</v>
      </c>
      <c r="DI1209" s="0" t="s">
        <v>153</v>
      </c>
      <c r="DL1209" s="0" t="s">
        <v>153</v>
      </c>
      <c r="DN1209" s="0" t="s">
        <v>153</v>
      </c>
      <c r="DR1209" s="0" t="s">
        <v>153</v>
      </c>
      <c r="DS1209" s="0" t="s">
        <v>175</v>
      </c>
      <c r="DU1209" s="0" t="s">
        <v>153</v>
      </c>
      <c r="DW1209" s="0" t="s">
        <v>175</v>
      </c>
      <c r="DX1209" s="0" t="s">
        <v>153</v>
      </c>
      <c r="EA1209" s="0" t="s">
        <v>153</v>
      </c>
      <c r="EF1209" s="0" t="s">
        <v>153</v>
      </c>
    </row>
    <row r="1210" customFormat="false" ht="13.8" hidden="true" customHeight="false" outlineLevel="0" collapsed="false">
      <c r="A1210" s="0" t="s">
        <v>5706</v>
      </c>
      <c r="B1210" s="0" t="n">
        <v>78</v>
      </c>
      <c r="C1210" s="0" t="n">
        <v>388857</v>
      </c>
      <c r="D1210" s="0" t="s">
        <v>5707</v>
      </c>
      <c r="E1210" s="0" t="s">
        <v>3620</v>
      </c>
      <c r="F1210" s="0" t="str">
        <f aca="false">CONCATENATE(D1210," ",LEFT(H1210,4),"T=",AU1210,"D=",AV1210,"R=",AW1210,"M=",AX1210,"L=",AY1210,"B=",AZ1210)</f>
        <v>CARLSON T=1D=0R=0M=0L=1B=0</v>
      </c>
      <c r="G1210" s="0" t="s">
        <v>164</v>
      </c>
      <c r="I1210" s="0" t="s">
        <v>5708</v>
      </c>
      <c r="J1210" s="0" t="s">
        <v>5709</v>
      </c>
      <c r="K1210" s="0" t="s">
        <v>160</v>
      </c>
      <c r="M1210" s="0" t="s">
        <v>5710</v>
      </c>
      <c r="N1210" s="0" t="str">
        <f aca="false">RIGHT(M1210,LEN(M1210)-FIND(" ",M1210))</f>
        <v>KENILWORTH AVE SE</v>
      </c>
      <c r="P1210" s="0" t="s">
        <v>145</v>
      </c>
      <c r="Q1210" s="0" t="s">
        <v>146</v>
      </c>
      <c r="R1210" s="0" t="n">
        <v>44483</v>
      </c>
      <c r="AD1210" s="0" t="s">
        <v>147</v>
      </c>
      <c r="AE1210" s="0" t="s">
        <v>148</v>
      </c>
      <c r="AF1210" s="0" t="s">
        <v>149</v>
      </c>
      <c r="AH1210" s="0" t="n">
        <v>14</v>
      </c>
      <c r="AI1210" s="0" t="n">
        <v>11</v>
      </c>
      <c r="AN1210" s="0" t="s">
        <v>145</v>
      </c>
      <c r="AO1210" s="0" t="s">
        <v>150</v>
      </c>
      <c r="AP1210" s="0" t="s">
        <v>151</v>
      </c>
      <c r="AQ1210" s="0" t="n">
        <v>9</v>
      </c>
      <c r="AR1210" s="0" t="n">
        <v>64</v>
      </c>
      <c r="AS1210" s="0" t="n">
        <v>32</v>
      </c>
      <c r="AU1210" s="0" t="n">
        <f aca="false">COUNTA($BA$340:$EH$340)</f>
        <v>1</v>
      </c>
      <c r="AV1210" s="0" t="n">
        <f aca="false">COUNTIF($BA$340:$EH$340,"D")</f>
        <v>0</v>
      </c>
      <c r="AW1210" s="0" t="n">
        <f aca="false">COUNTIF($BA$340:$EH$340,"R")</f>
        <v>0</v>
      </c>
      <c r="AX1210" s="0" t="n">
        <f aca="false">IF(BN1210="D",1,0)+IF(BO1210="D",1,0)+IF(BT1210="D",1,0)+IF(BU1210="D",1,0)+IF(BW1210="D",1,0)+IF(CC1210="D",1,0)+IF(CD1210="D",1,0)+IF(CE1210="D",1,0)+IF(CF1210="D",1,0)+IF(CL1210="D",1,0)+IF(CM1210="D",1,0)+IF(CQ1210="D",1,0)+IF(CR1210="D",1,0)+IF(CS1210="D",1,0)+IF(CW1210="D",1,0)+IF(CX1210="D",1,0)+IF(DD1210="D",1,0)+IF(DE1210="D",1,0)+IF(DJ1210="D",1,0)+IF(DK1210="D",1,0)+IF(DO1210="D",1,0)+IF(DP1210="D",1,0)+IF(DQ1210="D",1,0)+IF(DW1210="D",1,0)+IF(DZ1210="D",1,0)+IF(EH1210="D",1,0)</f>
        <v>0</v>
      </c>
      <c r="AY1210" s="0" t="n">
        <f aca="false">COUNTIF(DU1210:EH1210, "&lt;&gt;")</f>
        <v>1</v>
      </c>
      <c r="AZ1210" s="0" t="n">
        <f aca="false">IF(EH1210&lt;&gt;"",1,0)</f>
        <v>0</v>
      </c>
      <c r="BB1210" s="0" t="s">
        <v>152</v>
      </c>
      <c r="DC1210" s="0" t="s">
        <v>153</v>
      </c>
      <c r="DN1210" s="0" t="s">
        <v>153</v>
      </c>
      <c r="EF1210" s="0" t="s">
        <v>153</v>
      </c>
    </row>
    <row r="1211" customFormat="false" ht="13.8" hidden="true" customHeight="false" outlineLevel="0" collapsed="false">
      <c r="A1211" s="0" t="s">
        <v>5711</v>
      </c>
      <c r="B1211" s="0" t="n">
        <v>78</v>
      </c>
      <c r="C1211" s="0" t="n">
        <v>391972</v>
      </c>
      <c r="D1211" s="0" t="s">
        <v>5712</v>
      </c>
      <c r="E1211" s="0" t="s">
        <v>331</v>
      </c>
      <c r="F1211" s="0" t="str">
        <f aca="false">CONCATENATE(D1211," ",LEFT(H1211,4),"T=",AU1211,"D=",AV1211,"R=",AW1211,"M=",AX1211,"L=",AY1211,"B=",AZ1211)</f>
        <v>MONROE T=1D=0R=0M=0L=1B=0</v>
      </c>
      <c r="G1211" s="0" t="s">
        <v>362</v>
      </c>
      <c r="I1211" s="0" t="s">
        <v>5713</v>
      </c>
      <c r="J1211" s="0" t="s">
        <v>5714</v>
      </c>
      <c r="K1211" s="0" t="s">
        <v>160</v>
      </c>
      <c r="M1211" s="0" t="s">
        <v>5710</v>
      </c>
      <c r="N1211" s="0" t="str">
        <f aca="false">RIGHT(M1211,LEN(M1211)-FIND(" ",M1211))</f>
        <v>KENILWORTH AVE SE</v>
      </c>
      <c r="P1211" s="0" t="s">
        <v>145</v>
      </c>
      <c r="Q1211" s="0" t="s">
        <v>146</v>
      </c>
      <c r="R1211" s="0" t="n">
        <v>44483</v>
      </c>
      <c r="AD1211" s="0" t="s">
        <v>147</v>
      </c>
      <c r="AE1211" s="0" t="s">
        <v>148</v>
      </c>
      <c r="AF1211" s="0" t="s">
        <v>149</v>
      </c>
      <c r="AH1211" s="0" t="n">
        <v>14</v>
      </c>
      <c r="AI1211" s="0" t="n">
        <v>11</v>
      </c>
      <c r="AN1211" s="0" t="s">
        <v>145</v>
      </c>
      <c r="AO1211" s="0" t="s">
        <v>150</v>
      </c>
      <c r="AP1211" s="0" t="s">
        <v>151</v>
      </c>
      <c r="AQ1211" s="0" t="n">
        <v>9</v>
      </c>
      <c r="AR1211" s="0" t="n">
        <v>64</v>
      </c>
      <c r="AS1211" s="0" t="n">
        <v>32</v>
      </c>
      <c r="AU1211" s="0" t="n">
        <f aca="false">COUNTA($BA$868:$EH$868)</f>
        <v>1</v>
      </c>
      <c r="AV1211" s="0" t="n">
        <f aca="false">COUNTIF($BA$868:$EH$868,"D")</f>
        <v>0</v>
      </c>
      <c r="AW1211" s="0" t="n">
        <f aca="false">COUNTIF($BA$868:$EH$868,"R")</f>
        <v>0</v>
      </c>
      <c r="AX1211" s="0" t="n">
        <f aca="false">IF(BN1211="D",1,0)+IF(BO1211="D",1,0)+IF(BT1211="D",1,0)+IF(BU1211="D",1,0)+IF(BW1211="D",1,0)+IF(CC1211="D",1,0)+IF(CD1211="D",1,0)+IF(CE1211="D",1,0)+IF(CF1211="D",1,0)+IF(CL1211="D",1,0)+IF(CM1211="D",1,0)+IF(CQ1211="D",1,0)+IF(CR1211="D",1,0)+IF(CS1211="D",1,0)+IF(CW1211="D",1,0)+IF(CX1211="D",1,0)+IF(DD1211="D",1,0)+IF(DE1211="D",1,0)+IF(DJ1211="D",1,0)+IF(DK1211="D",1,0)+IF(DO1211="D",1,0)+IF(DP1211="D",1,0)+IF(DQ1211="D",1,0)+IF(DW1211="D",1,0)+IF(DZ1211="D",1,0)+IF(EH1211="D",1,0)</f>
        <v>0</v>
      </c>
      <c r="AY1211" s="0" t="n">
        <f aca="false">COUNTIF(DU1211:EH1211, "&lt;&gt;")</f>
        <v>1</v>
      </c>
      <c r="AZ1211" s="0" t="n">
        <f aca="false">IF(EH1211&lt;&gt;"",1,0)</f>
        <v>0</v>
      </c>
      <c r="BB1211" s="0" t="s">
        <v>152</v>
      </c>
      <c r="DN1211" s="0" t="s">
        <v>153</v>
      </c>
      <c r="EF1211" s="0" t="s">
        <v>153</v>
      </c>
    </row>
    <row r="1212" customFormat="false" ht="13.8" hidden="true" customHeight="false" outlineLevel="0" collapsed="false">
      <c r="A1212" s="0" t="s">
        <v>5715</v>
      </c>
      <c r="B1212" s="0" t="n">
        <v>78</v>
      </c>
      <c r="C1212" s="0" t="n">
        <v>408073</v>
      </c>
      <c r="D1212" s="0" t="s">
        <v>5560</v>
      </c>
      <c r="E1212" s="0" t="s">
        <v>5716</v>
      </c>
      <c r="F1212" s="0" t="str">
        <f aca="false">CONCATENATE(D1212," ",LEFT(H1212,4),"T=",AU1212,"D=",AV1212,"R=",AW1212,"M=",AX1212,"L=",AY1212,"B=",AZ1212)</f>
        <v>FOSTER T=1D=0R=0M=0L=0B=0</v>
      </c>
      <c r="G1212" s="0" t="s">
        <v>686</v>
      </c>
      <c r="I1212" s="0" t="s">
        <v>5717</v>
      </c>
      <c r="J1212" s="0" t="s">
        <v>4729</v>
      </c>
      <c r="K1212" s="0" t="s">
        <v>160</v>
      </c>
      <c r="M1212" s="0" t="s">
        <v>5718</v>
      </c>
      <c r="N1212" s="0" t="str">
        <f aca="false">RIGHT(M1212,LEN(M1212)-FIND(" ",M1212))</f>
        <v>KENILWORTH AVE SE</v>
      </c>
      <c r="P1212" s="0" t="s">
        <v>145</v>
      </c>
      <c r="Q1212" s="0" t="s">
        <v>146</v>
      </c>
      <c r="R1212" s="0" t="n">
        <v>44484</v>
      </c>
      <c r="AD1212" s="0" t="s">
        <v>147</v>
      </c>
      <c r="AE1212" s="0" t="s">
        <v>148</v>
      </c>
      <c r="AF1212" s="0" t="s">
        <v>149</v>
      </c>
      <c r="AH1212" s="0" t="n">
        <v>14</v>
      </c>
      <c r="AI1212" s="0" t="n">
        <v>11</v>
      </c>
      <c r="AN1212" s="0" t="s">
        <v>145</v>
      </c>
      <c r="AO1212" s="0" t="s">
        <v>150</v>
      </c>
      <c r="AP1212" s="0" t="s">
        <v>151</v>
      </c>
      <c r="AQ1212" s="0" t="n">
        <v>9</v>
      </c>
      <c r="AR1212" s="0" t="n">
        <v>64</v>
      </c>
      <c r="AS1212" s="0" t="n">
        <v>32</v>
      </c>
      <c r="AU1212" s="0" t="n">
        <f aca="false">COUNTA($BA$800:$EH$800)</f>
        <v>1</v>
      </c>
      <c r="AV1212" s="0" t="n">
        <f aca="false">COUNTIF($BA$800:$EH$800,"D")</f>
        <v>0</v>
      </c>
      <c r="AW1212" s="0" t="n">
        <f aca="false">COUNTIF($BA$800:$EH$800,"R")</f>
        <v>0</v>
      </c>
      <c r="AX1212" s="0" t="n">
        <f aca="false">IF(BN1212="D",1,0)+IF(BO1212="D",1,0)+IF(BT1212="D",1,0)+IF(BU1212="D",1,0)+IF(BW1212="D",1,0)+IF(CC1212="D",1,0)+IF(CD1212="D",1,0)+IF(CE1212="D",1,0)+IF(CF1212="D",1,0)+IF(CL1212="D",1,0)+IF(CM1212="D",1,0)+IF(CQ1212="D",1,0)+IF(CR1212="D",1,0)+IF(CS1212="D",1,0)+IF(CW1212="D",1,0)+IF(CX1212="D",1,0)+IF(DD1212="D",1,0)+IF(DE1212="D",1,0)+IF(DJ1212="D",1,0)+IF(DK1212="D",1,0)+IF(DO1212="D",1,0)+IF(DP1212="D",1,0)+IF(DQ1212="D",1,0)+IF(DW1212="D",1,0)+IF(DZ1212="D",1,0)+IF(EH1212="D",1,0)</f>
        <v>0</v>
      </c>
      <c r="AY1212" s="0" t="n">
        <f aca="false">COUNTIF(DU1212:EH1212, "&lt;&gt;")</f>
        <v>0</v>
      </c>
      <c r="AZ1212" s="0" t="n">
        <f aca="false">IF(EH1212&lt;&gt;"",1,0)</f>
        <v>0</v>
      </c>
      <c r="BB1212" s="0" t="s">
        <v>152</v>
      </c>
      <c r="DC1212" s="0" t="s">
        <v>153</v>
      </c>
      <c r="DN1212" s="0" t="s">
        <v>153</v>
      </c>
    </row>
    <row r="1213" customFormat="false" ht="13.8" hidden="false" customHeight="false" outlineLevel="0" collapsed="false">
      <c r="A1213" s="0" t="s">
        <v>5719</v>
      </c>
      <c r="B1213" s="0" t="n">
        <v>78</v>
      </c>
      <c r="C1213" s="0" t="n">
        <v>303065</v>
      </c>
      <c r="D1213" s="0" t="s">
        <v>5720</v>
      </c>
      <c r="E1213" s="0" t="s">
        <v>5721</v>
      </c>
      <c r="F1213" s="0" t="str">
        <f aca="false">CONCATENATE(D1213," ",LEFT(H1213,4),"T=",AU1213,"D=",AV1213,"R=",AW1213,"M=",AX1213,"L=",AY1213,"B=",AZ1213)</f>
        <v>GRIMES T=1D=0R=0M=1L=3B=0</v>
      </c>
      <c r="G1213" s="0" t="s">
        <v>190</v>
      </c>
      <c r="I1213" s="0" t="s">
        <v>5722</v>
      </c>
      <c r="J1213" s="0" t="s">
        <v>1433</v>
      </c>
      <c r="K1213" s="0" t="s">
        <v>160</v>
      </c>
      <c r="M1213" s="0" t="s">
        <v>5723</v>
      </c>
      <c r="N1213" s="0" t="str">
        <f aca="false">RIGHT(M1213,LEN(M1213)-FIND(" ",M1213))</f>
        <v>KENILWORTH AVE SE</v>
      </c>
      <c r="P1213" s="0" t="s">
        <v>145</v>
      </c>
      <c r="Q1213" s="0" t="s">
        <v>146</v>
      </c>
      <c r="R1213" s="0" t="n">
        <v>44484</v>
      </c>
      <c r="AD1213" s="0" t="s">
        <v>147</v>
      </c>
      <c r="AE1213" s="0" t="s">
        <v>148</v>
      </c>
      <c r="AF1213" s="0" t="s">
        <v>149</v>
      </c>
      <c r="AH1213" s="0" t="n">
        <v>14</v>
      </c>
      <c r="AI1213" s="0" t="n">
        <v>11</v>
      </c>
      <c r="AN1213" s="0" t="s">
        <v>145</v>
      </c>
      <c r="AO1213" s="0" t="s">
        <v>150</v>
      </c>
      <c r="AP1213" s="0" t="s">
        <v>151</v>
      </c>
      <c r="AQ1213" s="0" t="n">
        <v>9</v>
      </c>
      <c r="AR1213" s="0" t="n">
        <v>64</v>
      </c>
      <c r="AS1213" s="0" t="n">
        <v>32</v>
      </c>
      <c r="AU1213" s="0" t="n">
        <f aca="false">COUNTA($BA$960:$EH$960)</f>
        <v>1</v>
      </c>
      <c r="AV1213" s="0" t="n">
        <f aca="false">COUNTIF($BA$960:$EH$960,"D")</f>
        <v>0</v>
      </c>
      <c r="AW1213" s="0" t="n">
        <f aca="false">COUNTIF($BA$960:$EH$960,"R")</f>
        <v>0</v>
      </c>
      <c r="AX1213" s="0" t="n">
        <f aca="false">IF(BN1213="D",1,0)+IF(BO1213="D",1,0)+IF(BT1213="D",1,0)+IF(BU1213="D",1,0)+IF(BW1213="D",1,0)+IF(CC1213="D",1,0)+IF(CD1213="D",1,0)+IF(CE1213="D",1,0)+IF(CF1213="D",1,0)+IF(CL1213="D",1,0)+IF(CM1213="D",1,0)+IF(CQ1213="D",1,0)+IF(CR1213="D",1,0)+IF(CS1213="D",1,0)+IF(CW1213="D",1,0)+IF(CX1213="D",1,0)+IF(DD1213="D",1,0)+IF(DE1213="D",1,0)+IF(DJ1213="D",1,0)+IF(DK1213="D",1,0)+IF(DO1213="D",1,0)+IF(DP1213="D",1,0)+IF(DQ1213="D",1,0)+IF(DW1213="D",1,0)+IF(DZ1213="D",1,0)+IF(EH1213="D",1,0)</f>
        <v>1</v>
      </c>
      <c r="AY1213" s="0" t="n">
        <f aca="false">COUNTIF(DU1213:EH1213, "&lt;&gt;")</f>
        <v>3</v>
      </c>
      <c r="AZ1213" s="0" t="n">
        <f aca="false">IF(EH1213&lt;&gt;"",1,0)</f>
        <v>0</v>
      </c>
      <c r="BB1213" s="0" t="s">
        <v>152</v>
      </c>
      <c r="BJ1213" s="0" t="s">
        <v>153</v>
      </c>
      <c r="BL1213" s="0" t="s">
        <v>153</v>
      </c>
      <c r="CA1213" s="0" t="s">
        <v>153</v>
      </c>
      <c r="CP1213" s="0" t="s">
        <v>153</v>
      </c>
      <c r="DC1213" s="0" t="s">
        <v>153</v>
      </c>
      <c r="DJ1213" s="0" t="s">
        <v>175</v>
      </c>
      <c r="DN1213" s="0" t="s">
        <v>153</v>
      </c>
      <c r="DU1213" s="0" t="s">
        <v>153</v>
      </c>
      <c r="DX1213" s="0" t="s">
        <v>153</v>
      </c>
      <c r="EF1213" s="0" t="s">
        <v>153</v>
      </c>
    </row>
    <row r="1214" customFormat="false" ht="13.8" hidden="true" customHeight="false" outlineLevel="0" collapsed="false">
      <c r="A1214" s="0" t="s">
        <v>5724</v>
      </c>
      <c r="B1214" s="0" t="n">
        <v>78</v>
      </c>
      <c r="C1214" s="0" t="n">
        <v>448404</v>
      </c>
      <c r="D1214" s="0" t="s">
        <v>1655</v>
      </c>
      <c r="E1214" s="0" t="s">
        <v>5725</v>
      </c>
      <c r="F1214" s="0" t="str">
        <f aca="false">CONCATENATE(D1214," ",LEFT(H1214,4),"T=",AU1214,"D=",AV1214,"R=",AW1214,"M=",AX1214,"L=",AY1214,"B=",AZ1214)</f>
        <v>WESLEY T=6D=0R=1M=0L=1B=0</v>
      </c>
      <c r="G1214" s="0" t="s">
        <v>164</v>
      </c>
      <c r="I1214" s="0" t="s">
        <v>5726</v>
      </c>
      <c r="J1214" s="0" t="s">
        <v>5727</v>
      </c>
      <c r="K1214" s="0" t="s">
        <v>160</v>
      </c>
      <c r="M1214" s="0" t="s">
        <v>5728</v>
      </c>
      <c r="N1214" s="0" t="str">
        <f aca="false">RIGHT(M1214,LEN(M1214)-FIND(" ",M1214))</f>
        <v>KENILWORTH AVE SE</v>
      </c>
      <c r="P1214" s="0" t="s">
        <v>145</v>
      </c>
      <c r="Q1214" s="0" t="s">
        <v>146</v>
      </c>
      <c r="R1214" s="0" t="n">
        <v>44484</v>
      </c>
      <c r="AD1214" s="0" t="s">
        <v>147</v>
      </c>
      <c r="AE1214" s="0" t="s">
        <v>148</v>
      </c>
      <c r="AF1214" s="0" t="s">
        <v>149</v>
      </c>
      <c r="AH1214" s="0" t="n">
        <v>14</v>
      </c>
      <c r="AI1214" s="0" t="n">
        <v>11</v>
      </c>
      <c r="AN1214" s="0" t="s">
        <v>145</v>
      </c>
      <c r="AO1214" s="0" t="s">
        <v>150</v>
      </c>
      <c r="AP1214" s="0" t="s">
        <v>151</v>
      </c>
      <c r="AQ1214" s="0" t="n">
        <v>9</v>
      </c>
      <c r="AR1214" s="0" t="n">
        <v>64</v>
      </c>
      <c r="AS1214" s="0" t="n">
        <v>32</v>
      </c>
      <c r="AU1214" s="0" t="n">
        <f aca="false">COUNTA($BA$20:$EH$20)</f>
        <v>6</v>
      </c>
      <c r="AV1214" s="0" t="n">
        <f aca="false">COUNTIF($BA$20:$EH$20,"D")</f>
        <v>0</v>
      </c>
      <c r="AW1214" s="0" t="n">
        <f aca="false">COUNTIF($BA$20:$EH$20,"R")</f>
        <v>1</v>
      </c>
      <c r="AX1214" s="0" t="n">
        <f aca="false">IF(BN1214="D",1,0)+IF(BO1214="D",1,0)+IF(BT1214="D",1,0)+IF(BU1214="D",1,0)+IF(BW1214="D",1,0)+IF(CC1214="D",1,0)+IF(CD1214="D",1,0)+IF(CE1214="D",1,0)+IF(CF1214="D",1,0)+IF(CL1214="D",1,0)+IF(CM1214="D",1,0)+IF(CQ1214="D",1,0)+IF(CR1214="D",1,0)+IF(CS1214="D",1,0)+IF(CW1214="D",1,0)+IF(CX1214="D",1,0)+IF(DD1214="D",1,0)+IF(DE1214="D",1,0)+IF(DJ1214="D",1,0)+IF(DK1214="D",1,0)+IF(DO1214="D",1,0)+IF(DP1214="D",1,0)+IF(DQ1214="D",1,0)+IF(DW1214="D",1,0)+IF(DZ1214="D",1,0)+IF(EH1214="D",1,0)</f>
        <v>0</v>
      </c>
      <c r="AY1214" s="0" t="n">
        <f aca="false">COUNTIF(DU1214:EH1214, "&lt;&gt;")</f>
        <v>1</v>
      </c>
      <c r="AZ1214" s="0" t="n">
        <f aca="false">IF(EH1214&lt;&gt;"",1,0)</f>
        <v>0</v>
      </c>
      <c r="BB1214" s="0" t="s">
        <v>152</v>
      </c>
      <c r="DN1214" s="0" t="s">
        <v>153</v>
      </c>
      <c r="EF1214" s="0" t="s">
        <v>153</v>
      </c>
    </row>
    <row r="1215" customFormat="false" ht="13.8" hidden="false" customHeight="false" outlineLevel="0" collapsed="false">
      <c r="A1215" s="0" t="s">
        <v>5729</v>
      </c>
      <c r="B1215" s="0" t="n">
        <v>78</v>
      </c>
      <c r="C1215" s="0" t="n">
        <v>147518</v>
      </c>
      <c r="D1215" s="0" t="s">
        <v>5730</v>
      </c>
      <c r="E1215" s="0" t="s">
        <v>1814</v>
      </c>
      <c r="F1215" s="0" t="str">
        <f aca="false">CONCATENATE(D1215," ",LEFT(H1215,4),"T=",AU1215,"D=",AV1215,"R=",AW1215,"M=",AX1215,"L=",AY1215,"B=",AZ1215)</f>
        <v>COSTELLO T=21D=4R=0M=2L=6B=0</v>
      </c>
      <c r="I1215" s="0" t="s">
        <v>5731</v>
      </c>
      <c r="J1215" s="0" t="s">
        <v>5732</v>
      </c>
      <c r="K1215" s="0" t="s">
        <v>160</v>
      </c>
      <c r="L1215" s="0" t="s">
        <v>209</v>
      </c>
      <c r="M1215" s="0" t="s">
        <v>5733</v>
      </c>
      <c r="N1215" s="0" t="str">
        <f aca="false">RIGHT(M1215,LEN(M1215)-FIND(" ",M1215))</f>
        <v>KENILWORTH AVE SE</v>
      </c>
      <c r="P1215" s="0" t="s">
        <v>145</v>
      </c>
      <c r="Q1215" s="0" t="s">
        <v>146</v>
      </c>
      <c r="R1215" s="0" t="n">
        <v>44484</v>
      </c>
      <c r="AD1215" s="0" t="s">
        <v>147</v>
      </c>
      <c r="AE1215" s="0" t="s">
        <v>148</v>
      </c>
      <c r="AF1215" s="0" t="s">
        <v>149</v>
      </c>
      <c r="AH1215" s="0" t="n">
        <v>14</v>
      </c>
      <c r="AI1215" s="0" t="n">
        <v>11</v>
      </c>
      <c r="AN1215" s="0" t="s">
        <v>145</v>
      </c>
      <c r="AO1215" s="0" t="s">
        <v>150</v>
      </c>
      <c r="AP1215" s="0" t="s">
        <v>151</v>
      </c>
      <c r="AQ1215" s="0" t="n">
        <v>9</v>
      </c>
      <c r="AR1215" s="0" t="n">
        <v>64</v>
      </c>
      <c r="AS1215" s="0" t="n">
        <v>32</v>
      </c>
      <c r="AU1215" s="0" t="n">
        <f aca="false">COUNTA($BA$250:$EH$250)</f>
        <v>21</v>
      </c>
      <c r="AV1215" s="0" t="n">
        <f aca="false">COUNTIF($BA$250:$EH$250,"D")</f>
        <v>4</v>
      </c>
      <c r="AW1215" s="0" t="n">
        <f aca="false">COUNTIF($BA$250:$EH$250,"R")</f>
        <v>0</v>
      </c>
      <c r="AX1215" s="0" t="n">
        <f aca="false">IF(BN1215="D",1,0)+IF(BO1215="D",1,0)+IF(BT1215="D",1,0)+IF(BU1215="D",1,0)+IF(BW1215="D",1,0)+IF(CC1215="D",1,0)+IF(CD1215="D",1,0)+IF(CE1215="D",1,0)+IF(CF1215="D",1,0)+IF(CL1215="D",1,0)+IF(CM1215="D",1,0)+IF(CQ1215="D",1,0)+IF(CR1215="D",1,0)+IF(CS1215="D",1,0)+IF(CW1215="D",1,0)+IF(CX1215="D",1,0)+IF(DD1215="D",1,0)+IF(DE1215="D",1,0)+IF(DJ1215="D",1,0)+IF(DK1215="D",1,0)+IF(DO1215="D",1,0)+IF(DP1215="D",1,0)+IF(DQ1215="D",1,0)+IF(DW1215="D",1,0)+IF(DZ1215="D",1,0)+IF(EH1215="D",1,0)</f>
        <v>2</v>
      </c>
      <c r="AY1215" s="0" t="n">
        <f aca="false">COUNTIF(DU1215:EH1215, "&lt;&gt;")</f>
        <v>6</v>
      </c>
      <c r="AZ1215" s="0" t="n">
        <f aca="false">IF(EH1215&lt;&gt;"",1,0)</f>
        <v>0</v>
      </c>
      <c r="BB1215" s="0" t="s">
        <v>152</v>
      </c>
      <c r="BC1215" s="0" t="s">
        <v>153</v>
      </c>
      <c r="BD1215" s="0" t="s">
        <v>153</v>
      </c>
      <c r="BE1215" s="0" t="s">
        <v>153</v>
      </c>
      <c r="BF1215" s="0" t="s">
        <v>153</v>
      </c>
      <c r="BG1215" s="0" t="s">
        <v>153</v>
      </c>
      <c r="BH1215" s="0" t="s">
        <v>153</v>
      </c>
      <c r="BI1215" s="0" t="s">
        <v>153</v>
      </c>
      <c r="BJ1215" s="0" t="s">
        <v>153</v>
      </c>
      <c r="BK1215" s="0" t="s">
        <v>153</v>
      </c>
      <c r="BL1215" s="0" t="s">
        <v>153</v>
      </c>
      <c r="BR1215" s="0" t="s">
        <v>153</v>
      </c>
      <c r="BS1215" s="0" t="s">
        <v>153</v>
      </c>
      <c r="BY1215" s="0" t="s">
        <v>175</v>
      </c>
      <c r="CA1215" s="0" t="s">
        <v>153</v>
      </c>
      <c r="CK1215" s="0" t="s">
        <v>153</v>
      </c>
      <c r="CN1215" s="0" t="s">
        <v>153</v>
      </c>
      <c r="CP1215" s="0" t="s">
        <v>153</v>
      </c>
      <c r="CT1215" s="0" t="s">
        <v>153</v>
      </c>
      <c r="CU1215" s="0" t="s">
        <v>175</v>
      </c>
      <c r="CV1215" s="0" t="s">
        <v>153</v>
      </c>
      <c r="CY1215" s="0" t="s">
        <v>153</v>
      </c>
      <c r="CZ1215" s="0" t="s">
        <v>175</v>
      </c>
      <c r="DF1215" s="0" t="s">
        <v>153</v>
      </c>
      <c r="DG1215" s="0" t="s">
        <v>175</v>
      </c>
      <c r="DI1215" s="0" t="s">
        <v>153</v>
      </c>
      <c r="DJ1215" s="0" t="s">
        <v>175</v>
      </c>
      <c r="DL1215" s="0" t="s">
        <v>153</v>
      </c>
      <c r="DN1215" s="0" t="s">
        <v>153</v>
      </c>
      <c r="DR1215" s="0" t="s">
        <v>153</v>
      </c>
      <c r="DS1215" s="0" t="s">
        <v>175</v>
      </c>
      <c r="DU1215" s="0" t="s">
        <v>153</v>
      </c>
      <c r="DW1215" s="0" t="s">
        <v>175</v>
      </c>
      <c r="DX1215" s="0" t="s">
        <v>153</v>
      </c>
      <c r="EA1215" s="0" t="s">
        <v>153</v>
      </c>
      <c r="ED1215" s="0" t="s">
        <v>209</v>
      </c>
      <c r="EF1215" s="0" t="s">
        <v>153</v>
      </c>
    </row>
    <row r="1216" customFormat="false" ht="13.8" hidden="false" customHeight="false" outlineLevel="0" collapsed="false">
      <c r="A1216" s="0" t="s">
        <v>5734</v>
      </c>
      <c r="B1216" s="0" t="n">
        <v>78</v>
      </c>
      <c r="C1216" s="0" t="n">
        <v>395070</v>
      </c>
      <c r="D1216" s="0" t="s">
        <v>5735</v>
      </c>
      <c r="E1216" s="0" t="s">
        <v>379</v>
      </c>
      <c r="F1216" s="0" t="str">
        <f aca="false">CONCATENATE(D1216," ",LEFT(H1216,4),"T=",AU1216,"D=",AV1216,"R=",AW1216,"M=",AX1216,"L=",AY1216,"B=",AZ1216)</f>
        <v>LOGAN T=2D=1R=0M=0L=3B=0</v>
      </c>
      <c r="G1216" s="0" t="s">
        <v>362</v>
      </c>
      <c r="I1216" s="0" t="s">
        <v>5736</v>
      </c>
      <c r="J1216" s="0" t="s">
        <v>5737</v>
      </c>
      <c r="K1216" s="0" t="s">
        <v>160</v>
      </c>
      <c r="M1216" s="0" t="s">
        <v>5738</v>
      </c>
      <c r="N1216" s="0" t="str">
        <f aca="false">RIGHT(M1216,LEN(M1216)-FIND(" ",M1216))</f>
        <v>KENILWORTH AVE SE</v>
      </c>
      <c r="P1216" s="0" t="s">
        <v>145</v>
      </c>
      <c r="Q1216" s="0" t="s">
        <v>146</v>
      </c>
      <c r="R1216" s="0" t="n">
        <v>44484</v>
      </c>
      <c r="AD1216" s="0" t="s">
        <v>147</v>
      </c>
      <c r="AE1216" s="0" t="s">
        <v>148</v>
      </c>
      <c r="AF1216" s="0" t="s">
        <v>149</v>
      </c>
      <c r="AH1216" s="0" t="n">
        <v>14</v>
      </c>
      <c r="AI1216" s="0" t="n">
        <v>11</v>
      </c>
      <c r="AN1216" s="0" t="s">
        <v>145</v>
      </c>
      <c r="AO1216" s="0" t="s">
        <v>150</v>
      </c>
      <c r="AP1216" s="0" t="s">
        <v>151</v>
      </c>
      <c r="AQ1216" s="0" t="n">
        <v>9</v>
      </c>
      <c r="AR1216" s="0" t="n">
        <v>64</v>
      </c>
      <c r="AS1216" s="0" t="n">
        <v>32</v>
      </c>
      <c r="AU1216" s="0" t="n">
        <f aca="false">COUNTA($BA$89:$EH$89)</f>
        <v>2</v>
      </c>
      <c r="AV1216" s="0" t="n">
        <f aca="false">COUNTIF($BA$89:$EH$89,"D")</f>
        <v>1</v>
      </c>
      <c r="AW1216" s="0" t="n">
        <f aca="false">COUNTIF($BA$89:$EH$89,"R")</f>
        <v>0</v>
      </c>
      <c r="AX1216" s="0" t="n">
        <f aca="false">IF(BN1216="D",1,0)+IF(BO1216="D",1,0)+IF(BT1216="D",1,0)+IF(BU1216="D",1,0)+IF(BW1216="D",1,0)+IF(CC1216="D",1,0)+IF(CD1216="D",1,0)+IF(CE1216="D",1,0)+IF(CF1216="D",1,0)+IF(CL1216="D",1,0)+IF(CM1216="D",1,0)+IF(CQ1216="D",1,0)+IF(CR1216="D",1,0)+IF(CS1216="D",1,0)+IF(CW1216="D",1,0)+IF(CX1216="D",1,0)+IF(DD1216="D",1,0)+IF(DE1216="D",1,0)+IF(DJ1216="D",1,0)+IF(DK1216="D",1,0)+IF(DO1216="D",1,0)+IF(DP1216="D",1,0)+IF(DQ1216="D",1,0)+IF(DW1216="D",1,0)+IF(DZ1216="D",1,0)+IF(EH1216="D",1,0)</f>
        <v>0</v>
      </c>
      <c r="AY1216" s="0" t="n">
        <f aca="false">COUNTIF(DU1216:EH1216, "&lt;&gt;")</f>
        <v>3</v>
      </c>
      <c r="AZ1216" s="0" t="n">
        <f aca="false">IF(EH1216&lt;&gt;"",1,0)</f>
        <v>0</v>
      </c>
      <c r="BB1216" s="0" t="s">
        <v>152</v>
      </c>
      <c r="CY1216" s="0" t="s">
        <v>153</v>
      </c>
      <c r="DC1216" s="0" t="s">
        <v>153</v>
      </c>
      <c r="DI1216" s="0" t="s">
        <v>153</v>
      </c>
      <c r="DN1216" s="0" t="s">
        <v>153</v>
      </c>
      <c r="DU1216" s="0" t="s">
        <v>153</v>
      </c>
      <c r="EA1216" s="0" t="s">
        <v>153</v>
      </c>
      <c r="EF1216" s="0" t="s">
        <v>153</v>
      </c>
    </row>
    <row r="1217" customFormat="false" ht="13.8" hidden="false" customHeight="false" outlineLevel="0" collapsed="false">
      <c r="A1217" s="0" t="s">
        <v>5739</v>
      </c>
      <c r="B1217" s="0" t="n">
        <v>78</v>
      </c>
      <c r="C1217" s="0" t="n">
        <v>208347</v>
      </c>
      <c r="D1217" s="0" t="s">
        <v>5735</v>
      </c>
      <c r="E1217" s="0" t="s">
        <v>2114</v>
      </c>
      <c r="F1217" s="0" t="str">
        <f aca="false">CONCATENATE(D1217," ",LEFT(H1217,4),"T=",AU1217,"D=",AV1217,"R=",AW1217,"M=",AX1217,"L=",AY1217,"B=",AZ1217)</f>
        <v>LOGAN T=6D=1R=0M=0L=3B=0</v>
      </c>
      <c r="G1217" s="0" t="s">
        <v>2123</v>
      </c>
      <c r="I1217" s="0" t="s">
        <v>5740</v>
      </c>
      <c r="J1217" s="0" t="s">
        <v>5741</v>
      </c>
      <c r="K1217" s="0" t="s">
        <v>160</v>
      </c>
      <c r="M1217" s="0" t="s">
        <v>5738</v>
      </c>
      <c r="N1217" s="0" t="str">
        <f aca="false">RIGHT(M1217,LEN(M1217)-FIND(" ",M1217))</f>
        <v>KENILWORTH AVE SE</v>
      </c>
      <c r="P1217" s="0" t="s">
        <v>145</v>
      </c>
      <c r="Q1217" s="0" t="s">
        <v>146</v>
      </c>
      <c r="R1217" s="0" t="n">
        <v>44484</v>
      </c>
      <c r="AD1217" s="0" t="s">
        <v>147</v>
      </c>
      <c r="AE1217" s="0" t="s">
        <v>148</v>
      </c>
      <c r="AF1217" s="0" t="s">
        <v>149</v>
      </c>
      <c r="AH1217" s="0" t="n">
        <v>14</v>
      </c>
      <c r="AI1217" s="0" t="n">
        <v>11</v>
      </c>
      <c r="AN1217" s="0" t="s">
        <v>145</v>
      </c>
      <c r="AO1217" s="0" t="s">
        <v>150</v>
      </c>
      <c r="AP1217" s="0" t="s">
        <v>151</v>
      </c>
      <c r="AQ1217" s="0" t="n">
        <v>9</v>
      </c>
      <c r="AR1217" s="0" t="n">
        <v>64</v>
      </c>
      <c r="AS1217" s="0" t="n">
        <v>32</v>
      </c>
      <c r="AU1217" s="0" t="n">
        <f aca="false">COUNTA($BA$1069:$EH$1069)</f>
        <v>6</v>
      </c>
      <c r="AV1217" s="0" t="n">
        <f aca="false">COUNTIF($BA$1069:$EH$1069,"D")</f>
        <v>1</v>
      </c>
      <c r="AW1217" s="0" t="n">
        <f aca="false">COUNTIF($BA$1069:$EH$1069,"R")</f>
        <v>0</v>
      </c>
      <c r="AX1217" s="0" t="n">
        <f aca="false">IF(BN1217="D",1,0)+IF(BO1217="D",1,0)+IF(BT1217="D",1,0)+IF(BU1217="D",1,0)+IF(BW1217="D",1,0)+IF(CC1217="D",1,0)+IF(CD1217="D",1,0)+IF(CE1217="D",1,0)+IF(CF1217="D",1,0)+IF(CL1217="D",1,0)+IF(CM1217="D",1,0)+IF(CQ1217="D",1,0)+IF(CR1217="D",1,0)+IF(CS1217="D",1,0)+IF(CW1217="D",1,0)+IF(CX1217="D",1,0)+IF(DD1217="D",1,0)+IF(DE1217="D",1,0)+IF(DJ1217="D",1,0)+IF(DK1217="D",1,0)+IF(DO1217="D",1,0)+IF(DP1217="D",1,0)+IF(DQ1217="D",1,0)+IF(DW1217="D",1,0)+IF(DZ1217="D",1,0)+IF(EH1217="D",1,0)</f>
        <v>0</v>
      </c>
      <c r="AY1217" s="0" t="n">
        <f aca="false">COUNTIF(DU1217:EH1217, "&lt;&gt;")</f>
        <v>3</v>
      </c>
      <c r="AZ1217" s="0" t="n">
        <f aca="false">IF(EH1217&lt;&gt;"",1,0)</f>
        <v>0</v>
      </c>
      <c r="BB1217" s="0" t="s">
        <v>152</v>
      </c>
      <c r="BG1217" s="0" t="s">
        <v>153</v>
      </c>
      <c r="BL1217" s="0" t="s">
        <v>153</v>
      </c>
      <c r="BY1217" s="0" t="s">
        <v>175</v>
      </c>
      <c r="CA1217" s="0" t="s">
        <v>153</v>
      </c>
      <c r="CK1217" s="0" t="s">
        <v>153</v>
      </c>
      <c r="CN1217" s="0" t="s">
        <v>153</v>
      </c>
      <c r="CP1217" s="0" t="s">
        <v>153</v>
      </c>
      <c r="CY1217" s="0" t="s">
        <v>153</v>
      </c>
      <c r="CZ1217" s="0" t="s">
        <v>175</v>
      </c>
      <c r="DC1217" s="0" t="s">
        <v>153</v>
      </c>
      <c r="DI1217" s="0" t="s">
        <v>153</v>
      </c>
      <c r="DN1217" s="0" t="s">
        <v>153</v>
      </c>
      <c r="DU1217" s="0" t="s">
        <v>153</v>
      </c>
      <c r="EA1217" s="0" t="s">
        <v>153</v>
      </c>
      <c r="EF1217" s="0" t="s">
        <v>153</v>
      </c>
    </row>
    <row r="1218" customFormat="false" ht="13.8" hidden="true" customHeight="false" outlineLevel="0" collapsed="false">
      <c r="A1218" s="0" t="s">
        <v>5742</v>
      </c>
      <c r="B1218" s="0" t="n">
        <v>78</v>
      </c>
      <c r="C1218" s="0" t="n">
        <v>416378</v>
      </c>
      <c r="D1218" s="0" t="s">
        <v>2023</v>
      </c>
      <c r="E1218" s="0" t="s">
        <v>2859</v>
      </c>
      <c r="F1218" s="0" t="str">
        <f aca="false">CONCATENATE(D1218," ",LEFT(H1218,4),"T=",AU1218,"D=",AV1218,"R=",AW1218,"M=",AX1218,"L=",AY1218,"B=",AZ1218)</f>
        <v>GILBERT T=1D=0R=0M=0L=0B=0</v>
      </c>
      <c r="G1218" s="0" t="s">
        <v>325</v>
      </c>
      <c r="I1218" s="0" t="s">
        <v>5743</v>
      </c>
      <c r="J1218" s="0" t="s">
        <v>5744</v>
      </c>
      <c r="K1218" s="0" t="s">
        <v>160</v>
      </c>
      <c r="M1218" s="0" t="s">
        <v>5745</v>
      </c>
      <c r="N1218" s="0" t="str">
        <f aca="false">RIGHT(M1218,LEN(M1218)-FIND(" ",M1218))</f>
        <v>KENILWORTH AVE SE</v>
      </c>
      <c r="P1218" s="0" t="s">
        <v>145</v>
      </c>
      <c r="Q1218" s="0" t="s">
        <v>146</v>
      </c>
      <c r="R1218" s="0" t="n">
        <v>44484</v>
      </c>
      <c r="AD1218" s="0" t="s">
        <v>147</v>
      </c>
      <c r="AE1218" s="0" t="s">
        <v>148</v>
      </c>
      <c r="AF1218" s="0" t="s">
        <v>149</v>
      </c>
      <c r="AH1218" s="0" t="n">
        <v>14</v>
      </c>
      <c r="AI1218" s="0" t="n">
        <v>11</v>
      </c>
      <c r="AN1218" s="0" t="s">
        <v>145</v>
      </c>
      <c r="AO1218" s="0" t="s">
        <v>150</v>
      </c>
      <c r="AP1218" s="0" t="s">
        <v>151</v>
      </c>
      <c r="AQ1218" s="0" t="n">
        <v>9</v>
      </c>
      <c r="AR1218" s="0" t="n">
        <v>64</v>
      </c>
      <c r="AS1218" s="0" t="n">
        <v>32</v>
      </c>
      <c r="AU1218" s="0" t="n">
        <f aca="false">COUNTA($BA$751:$EH$751)</f>
        <v>1</v>
      </c>
      <c r="AV1218" s="0" t="n">
        <f aca="false">COUNTIF($BA$751:$EH$751,"D")</f>
        <v>0</v>
      </c>
      <c r="AW1218" s="0" t="n">
        <f aca="false">COUNTIF($BA$751:$EH$751,"R")</f>
        <v>0</v>
      </c>
      <c r="AX1218" s="0" t="n">
        <f aca="false">IF(BN1218="D",1,0)+IF(BO1218="D",1,0)+IF(BT1218="D",1,0)+IF(BU1218="D",1,0)+IF(BW1218="D",1,0)+IF(CC1218="D",1,0)+IF(CD1218="D",1,0)+IF(CE1218="D",1,0)+IF(CF1218="D",1,0)+IF(CL1218="D",1,0)+IF(CM1218="D",1,0)+IF(CQ1218="D",1,0)+IF(CR1218="D",1,0)+IF(CS1218="D",1,0)+IF(CW1218="D",1,0)+IF(CX1218="D",1,0)+IF(DD1218="D",1,0)+IF(DE1218="D",1,0)+IF(DJ1218="D",1,0)+IF(DK1218="D",1,0)+IF(DO1218="D",1,0)+IF(DP1218="D",1,0)+IF(DQ1218="D",1,0)+IF(DW1218="D",1,0)+IF(DZ1218="D",1,0)+IF(EH1218="D",1,0)</f>
        <v>0</v>
      </c>
      <c r="AY1218" s="0" t="n">
        <f aca="false">COUNTIF(DU1218:EH1218, "&lt;&gt;")</f>
        <v>0</v>
      </c>
      <c r="AZ1218" s="0" t="n">
        <f aca="false">IF(EH1218&lt;&gt;"",1,0)</f>
        <v>0</v>
      </c>
      <c r="BB1218" s="0" t="s">
        <v>152</v>
      </c>
      <c r="DC1218" s="0" t="s">
        <v>153</v>
      </c>
      <c r="DI1218" s="0" t="s">
        <v>153</v>
      </c>
      <c r="DN1218" s="0" t="s">
        <v>153</v>
      </c>
    </row>
    <row r="1219" customFormat="false" ht="13.8" hidden="true" customHeight="false" outlineLevel="0" collapsed="false">
      <c r="A1219" s="0" t="s">
        <v>5746</v>
      </c>
      <c r="B1219" s="0" t="n">
        <v>78</v>
      </c>
      <c r="C1219" s="0" t="n">
        <v>438137</v>
      </c>
      <c r="D1219" s="0" t="s">
        <v>5747</v>
      </c>
      <c r="E1219" s="0" t="s">
        <v>2563</v>
      </c>
      <c r="F1219" s="0" t="str">
        <f aca="false">CONCATENATE(D1219," ",LEFT(H1219,4),"T=",AU1219,"D=",AV1219,"R=",AW1219,"M=",AX1219,"L=",AY1219,"B=",AZ1219)</f>
        <v>SULECKI T=1D=0R=0M=0L=0B=0</v>
      </c>
      <c r="G1219" s="0" t="s">
        <v>839</v>
      </c>
      <c r="I1219" s="0" t="s">
        <v>5748</v>
      </c>
      <c r="J1219" s="0" t="s">
        <v>5749</v>
      </c>
      <c r="K1219" s="0" t="s">
        <v>143</v>
      </c>
      <c r="M1219" s="0" t="s">
        <v>5750</v>
      </c>
      <c r="N1219" s="0" t="str">
        <f aca="false">RIGHT(M1219,LEN(M1219)-FIND(" ",M1219))</f>
        <v>KENILWORTH AVE SE</v>
      </c>
      <c r="P1219" s="0" t="s">
        <v>145</v>
      </c>
      <c r="Q1219" s="0" t="s">
        <v>146</v>
      </c>
      <c r="R1219" s="0" t="n">
        <v>44484</v>
      </c>
      <c r="AD1219" s="0" t="s">
        <v>147</v>
      </c>
      <c r="AE1219" s="0" t="s">
        <v>148</v>
      </c>
      <c r="AF1219" s="0" t="s">
        <v>149</v>
      </c>
      <c r="AH1219" s="0" t="n">
        <v>14</v>
      </c>
      <c r="AI1219" s="0" t="n">
        <v>11</v>
      </c>
      <c r="AN1219" s="0" t="s">
        <v>145</v>
      </c>
      <c r="AO1219" s="0" t="s">
        <v>150</v>
      </c>
      <c r="AP1219" s="0" t="s">
        <v>151</v>
      </c>
      <c r="AQ1219" s="0" t="n">
        <v>9</v>
      </c>
      <c r="AR1219" s="0" t="n">
        <v>64</v>
      </c>
      <c r="AS1219" s="0" t="n">
        <v>32</v>
      </c>
      <c r="AU1219" s="0" t="n">
        <f aca="false">COUNTA($BA$151:$EH$151)</f>
        <v>1</v>
      </c>
      <c r="AV1219" s="0" t="n">
        <f aca="false">COUNTIF($BA$151:$EH$151,"D")</f>
        <v>0</v>
      </c>
      <c r="AW1219" s="0" t="n">
        <f aca="false">COUNTIF($BA$151:$EH$151,"R")</f>
        <v>0</v>
      </c>
      <c r="AX1219" s="0" t="n">
        <f aca="false">IF(BN1219="D",1,0)+IF(BO1219="D",1,0)+IF(BT1219="D",1,0)+IF(BU1219="D",1,0)+IF(BW1219="D",1,0)+IF(CC1219="D",1,0)+IF(CD1219="D",1,0)+IF(CE1219="D",1,0)+IF(CF1219="D",1,0)+IF(CL1219="D",1,0)+IF(CM1219="D",1,0)+IF(CQ1219="D",1,0)+IF(CR1219="D",1,0)+IF(CS1219="D",1,0)+IF(CW1219="D",1,0)+IF(CX1219="D",1,0)+IF(DD1219="D",1,0)+IF(DE1219="D",1,0)+IF(DJ1219="D",1,0)+IF(DK1219="D",1,0)+IF(DO1219="D",1,0)+IF(DP1219="D",1,0)+IF(DQ1219="D",1,0)+IF(DW1219="D",1,0)+IF(DZ1219="D",1,0)+IF(EH1219="D",1,0)</f>
        <v>0</v>
      </c>
      <c r="AY1219" s="0" t="n">
        <f aca="false">COUNTIF(DU1219:EH1219, "&lt;&gt;")</f>
        <v>0</v>
      </c>
      <c r="AZ1219" s="0" t="n">
        <f aca="false">IF(EH1219&lt;&gt;"",1,0)</f>
        <v>0</v>
      </c>
      <c r="BB1219" s="0" t="s">
        <v>152</v>
      </c>
      <c r="DN1219" s="0" t="s">
        <v>153</v>
      </c>
    </row>
    <row r="1220" customFormat="false" ht="13.8" hidden="true" customHeight="false" outlineLevel="0" collapsed="false">
      <c r="A1220" s="0" t="s">
        <v>5751</v>
      </c>
      <c r="B1220" s="0" t="n">
        <v>78</v>
      </c>
      <c r="C1220" s="0" t="n">
        <v>445619</v>
      </c>
      <c r="D1220" s="0" t="s">
        <v>5747</v>
      </c>
      <c r="E1220" s="0" t="s">
        <v>905</v>
      </c>
      <c r="F1220" s="0" t="str">
        <f aca="false">CONCATENATE(D1220," ",LEFT(H1220,4),"T=",AU1220,"D=",AV1220,"R=",AW1220,"M=",AX1220,"L=",AY1220,"B=",AZ1220)</f>
        <v>SULECKI T=6D=1R=0M=0L=0B=0</v>
      </c>
      <c r="G1220" s="0" t="s">
        <v>1355</v>
      </c>
      <c r="I1220" s="0" t="s">
        <v>5752</v>
      </c>
      <c r="J1220" s="0" t="s">
        <v>5753</v>
      </c>
      <c r="K1220" s="0" t="s">
        <v>143</v>
      </c>
      <c r="M1220" s="0" t="s">
        <v>5750</v>
      </c>
      <c r="N1220" s="0" t="str">
        <f aca="false">RIGHT(M1220,LEN(M1220)-FIND(" ",M1220))</f>
        <v>KENILWORTH AVE SE</v>
      </c>
      <c r="P1220" s="0" t="s">
        <v>145</v>
      </c>
      <c r="Q1220" s="0" t="s">
        <v>146</v>
      </c>
      <c r="R1220" s="0" t="n">
        <v>44484</v>
      </c>
      <c r="AD1220" s="0" t="s">
        <v>147</v>
      </c>
      <c r="AE1220" s="0" t="s">
        <v>148</v>
      </c>
      <c r="AF1220" s="0" t="s">
        <v>149</v>
      </c>
      <c r="AH1220" s="0" t="n">
        <v>14</v>
      </c>
      <c r="AI1220" s="0" t="n">
        <v>11</v>
      </c>
      <c r="AN1220" s="0" t="s">
        <v>145</v>
      </c>
      <c r="AO1220" s="0" t="s">
        <v>150</v>
      </c>
      <c r="AP1220" s="0" t="s">
        <v>151</v>
      </c>
      <c r="AQ1220" s="0" t="n">
        <v>9</v>
      </c>
      <c r="AR1220" s="0" t="n">
        <v>64</v>
      </c>
      <c r="AS1220" s="0" t="n">
        <v>32</v>
      </c>
      <c r="AU1220" s="0" t="n">
        <f aca="false">COUNTA($BA$289:$EH$289)</f>
        <v>6</v>
      </c>
      <c r="AV1220" s="0" t="n">
        <f aca="false">COUNTIF($BA$289:$EH$289,"D")</f>
        <v>1</v>
      </c>
      <c r="AW1220" s="0" t="n">
        <f aca="false">COUNTIF($BA$289:$EH$289,"R")</f>
        <v>0</v>
      </c>
      <c r="AX1220" s="0" t="n">
        <f aca="false">IF(BN1220="D",1,0)+IF(BO1220="D",1,0)+IF(BT1220="D",1,0)+IF(BU1220="D",1,0)+IF(BW1220="D",1,0)+IF(CC1220="D",1,0)+IF(CD1220="D",1,0)+IF(CE1220="D",1,0)+IF(CF1220="D",1,0)+IF(CL1220="D",1,0)+IF(CM1220="D",1,0)+IF(CQ1220="D",1,0)+IF(CR1220="D",1,0)+IF(CS1220="D",1,0)+IF(CW1220="D",1,0)+IF(CX1220="D",1,0)+IF(DD1220="D",1,0)+IF(DE1220="D",1,0)+IF(DJ1220="D",1,0)+IF(DK1220="D",1,0)+IF(DO1220="D",1,0)+IF(DP1220="D",1,0)+IF(DQ1220="D",1,0)+IF(DW1220="D",1,0)+IF(DZ1220="D",1,0)+IF(EH1220="D",1,0)</f>
        <v>0</v>
      </c>
      <c r="AY1220" s="0" t="n">
        <f aca="false">COUNTIF(DU1220:EH1220, "&lt;&gt;")</f>
        <v>0</v>
      </c>
      <c r="AZ1220" s="0" t="n">
        <f aca="false">IF(EH1220&lt;&gt;"",1,0)</f>
        <v>0</v>
      </c>
      <c r="BB1220" s="0" t="s">
        <v>152</v>
      </c>
      <c r="DN1220" s="0" t="s">
        <v>153</v>
      </c>
    </row>
    <row r="1221" customFormat="false" ht="13.8" hidden="true" customHeight="false" outlineLevel="0" collapsed="false">
      <c r="A1221" s="0" t="s">
        <v>5754</v>
      </c>
      <c r="B1221" s="0" t="n">
        <v>78</v>
      </c>
      <c r="C1221" s="0" t="n">
        <v>434979</v>
      </c>
      <c r="D1221" s="0" t="s">
        <v>5755</v>
      </c>
      <c r="E1221" s="0" t="s">
        <v>5756</v>
      </c>
      <c r="F1221" s="0" t="str">
        <f aca="false">CONCATENATE(D1221," ",LEFT(H1221,4),"T=",AU1221,"D=",AV1221,"R=",AW1221,"M=",AX1221,"L=",AY1221,"B=",AZ1221)</f>
        <v>GANTZ T=1D=0R=0M=0L=0B=0</v>
      </c>
      <c r="G1221" s="0" t="s">
        <v>171</v>
      </c>
      <c r="I1221" s="0" t="s">
        <v>5757</v>
      </c>
      <c r="J1221" s="0" t="s">
        <v>2334</v>
      </c>
      <c r="K1221" s="0" t="s">
        <v>143</v>
      </c>
      <c r="M1221" s="0" t="s">
        <v>5758</v>
      </c>
      <c r="N1221" s="0" t="str">
        <f aca="false">RIGHT(M1221,LEN(M1221)-FIND(" ",M1221))</f>
        <v>KENILWORTH AVE SE</v>
      </c>
      <c r="P1221" s="0" t="s">
        <v>145</v>
      </c>
      <c r="Q1221" s="0" t="s">
        <v>146</v>
      </c>
      <c r="R1221" s="0" t="n">
        <v>44484</v>
      </c>
      <c r="AD1221" s="0" t="s">
        <v>147</v>
      </c>
      <c r="AE1221" s="0" t="s">
        <v>148</v>
      </c>
      <c r="AF1221" s="0" t="s">
        <v>149</v>
      </c>
      <c r="AH1221" s="0" t="n">
        <v>14</v>
      </c>
      <c r="AI1221" s="0" t="n">
        <v>11</v>
      </c>
      <c r="AN1221" s="0" t="s">
        <v>145</v>
      </c>
      <c r="AO1221" s="0" t="s">
        <v>150</v>
      </c>
      <c r="AP1221" s="0" t="s">
        <v>151</v>
      </c>
      <c r="AQ1221" s="0" t="n">
        <v>9</v>
      </c>
      <c r="AR1221" s="0" t="n">
        <v>64</v>
      </c>
      <c r="AS1221" s="0" t="n">
        <v>32</v>
      </c>
      <c r="AU1221" s="0" t="n">
        <f aca="false">COUNTA($BA$65:$EH$65)</f>
        <v>1</v>
      </c>
      <c r="AV1221" s="0" t="n">
        <f aca="false">COUNTIF($BA$65:$EH$65,"D")</f>
        <v>0</v>
      </c>
      <c r="AW1221" s="0" t="n">
        <f aca="false">COUNTIF($BA$65:$EH$65,"R")</f>
        <v>0</v>
      </c>
      <c r="AX1221" s="0" t="n">
        <f aca="false">IF(BN1221="D",1,0)+IF(BO1221="D",1,0)+IF(BT1221="D",1,0)+IF(BU1221="D",1,0)+IF(BW1221="D",1,0)+IF(CC1221="D",1,0)+IF(CD1221="D",1,0)+IF(CE1221="D",1,0)+IF(CF1221="D",1,0)+IF(CL1221="D",1,0)+IF(CM1221="D",1,0)+IF(CQ1221="D",1,0)+IF(CR1221="D",1,0)+IF(CS1221="D",1,0)+IF(CW1221="D",1,0)+IF(CX1221="D",1,0)+IF(DD1221="D",1,0)+IF(DE1221="D",1,0)+IF(DJ1221="D",1,0)+IF(DK1221="D",1,0)+IF(DO1221="D",1,0)+IF(DP1221="D",1,0)+IF(DQ1221="D",1,0)+IF(DW1221="D",1,0)+IF(DZ1221="D",1,0)+IF(EH1221="D",1,0)</f>
        <v>0</v>
      </c>
      <c r="AY1221" s="0" t="n">
        <f aca="false">COUNTIF(DU1221:EH1221, "&lt;&gt;")</f>
        <v>0</v>
      </c>
      <c r="AZ1221" s="0" t="n">
        <f aca="false">IF(EH1221&lt;&gt;"",1,0)</f>
        <v>0</v>
      </c>
      <c r="BB1221" s="0" t="s">
        <v>152</v>
      </c>
    </row>
    <row r="1222" customFormat="false" ht="13.8" hidden="true" customHeight="false" outlineLevel="0" collapsed="false">
      <c r="A1222" s="0" t="s">
        <v>5759</v>
      </c>
      <c r="B1222" s="0" t="n">
        <v>78</v>
      </c>
      <c r="C1222" s="0" t="n">
        <v>438465</v>
      </c>
      <c r="D1222" s="0" t="s">
        <v>5755</v>
      </c>
      <c r="E1222" s="0" t="s">
        <v>5760</v>
      </c>
      <c r="F1222" s="0" t="str">
        <f aca="false">CONCATENATE(D1222," ",LEFT(H1222,4),"T=",AU1222,"D=",AV1222,"R=",AW1222,"M=",AX1222,"L=",AY1222,"B=",AZ1222)</f>
        <v>GANTZ T=3D=0R=0M=0L=0B=0</v>
      </c>
      <c r="G1222" s="0" t="s">
        <v>686</v>
      </c>
      <c r="I1222" s="0" t="s">
        <v>5761</v>
      </c>
      <c r="J1222" s="0" t="s">
        <v>1005</v>
      </c>
      <c r="K1222" s="0" t="s">
        <v>143</v>
      </c>
      <c r="M1222" s="0" t="s">
        <v>5758</v>
      </c>
      <c r="N1222" s="0" t="str">
        <f aca="false">RIGHT(M1222,LEN(M1222)-FIND(" ",M1222))</f>
        <v>KENILWORTH AVE SE</v>
      </c>
      <c r="O1222" s="0" t="s">
        <v>2211</v>
      </c>
      <c r="P1222" s="0" t="s">
        <v>145</v>
      </c>
      <c r="Q1222" s="0" t="s">
        <v>146</v>
      </c>
      <c r="R1222" s="0" t="n">
        <v>44484</v>
      </c>
      <c r="AD1222" s="0" t="s">
        <v>147</v>
      </c>
      <c r="AE1222" s="0" t="s">
        <v>148</v>
      </c>
      <c r="AF1222" s="0" t="s">
        <v>149</v>
      </c>
      <c r="AH1222" s="0" t="n">
        <v>14</v>
      </c>
      <c r="AI1222" s="0" t="n">
        <v>11</v>
      </c>
      <c r="AN1222" s="0" t="s">
        <v>145</v>
      </c>
      <c r="AO1222" s="0" t="s">
        <v>150</v>
      </c>
      <c r="AP1222" s="0" t="s">
        <v>151</v>
      </c>
      <c r="AQ1222" s="0" t="n">
        <v>9</v>
      </c>
      <c r="AR1222" s="0" t="n">
        <v>64</v>
      </c>
      <c r="AS1222" s="0" t="n">
        <v>32</v>
      </c>
      <c r="AU1222" s="0" t="n">
        <f aca="false">COUNTA($BA$83:$EH$83)</f>
        <v>3</v>
      </c>
      <c r="AV1222" s="0" t="n">
        <f aca="false">COUNTIF($BA$83:$EH$83,"D")</f>
        <v>0</v>
      </c>
      <c r="AW1222" s="0" t="n">
        <f aca="false">COUNTIF($BA$83:$EH$83,"R")</f>
        <v>0</v>
      </c>
      <c r="AX1222" s="0" t="n">
        <f aca="false">IF(BN1222="D",1,0)+IF(BO1222="D",1,0)+IF(BT1222="D",1,0)+IF(BU1222="D",1,0)+IF(BW1222="D",1,0)+IF(CC1222="D",1,0)+IF(CD1222="D",1,0)+IF(CE1222="D",1,0)+IF(CF1222="D",1,0)+IF(CL1222="D",1,0)+IF(CM1222="D",1,0)+IF(CQ1222="D",1,0)+IF(CR1222="D",1,0)+IF(CS1222="D",1,0)+IF(CW1222="D",1,0)+IF(CX1222="D",1,0)+IF(DD1222="D",1,0)+IF(DE1222="D",1,0)+IF(DJ1222="D",1,0)+IF(DK1222="D",1,0)+IF(DO1222="D",1,0)+IF(DP1222="D",1,0)+IF(DQ1222="D",1,0)+IF(DW1222="D",1,0)+IF(DZ1222="D",1,0)+IF(EH1222="D",1,0)</f>
        <v>0</v>
      </c>
      <c r="AY1222" s="0" t="n">
        <f aca="false">COUNTIF(DU1222:EH1222, "&lt;&gt;")</f>
        <v>0</v>
      </c>
      <c r="AZ1222" s="0" t="n">
        <f aca="false">IF(EH1222&lt;&gt;"",1,0)</f>
        <v>0</v>
      </c>
      <c r="BB1222" s="0" t="s">
        <v>152</v>
      </c>
    </row>
    <row r="1223" customFormat="false" ht="13.8" hidden="true" customHeight="false" outlineLevel="0" collapsed="false">
      <c r="A1223" s="0" t="s">
        <v>5762</v>
      </c>
      <c r="B1223" s="0" t="n">
        <v>78</v>
      </c>
      <c r="C1223" s="0" t="n">
        <v>451616</v>
      </c>
      <c r="D1223" s="0" t="s">
        <v>5763</v>
      </c>
      <c r="E1223" s="0" t="s">
        <v>3516</v>
      </c>
      <c r="F1223" s="0" t="str">
        <f aca="false">CONCATENATE(D1223," ",LEFT(H1223,4),"T=",AU1223,"D=",AV1223,"R=",AW1223,"M=",AX1223,"L=",AY1223,"B=",AZ1223)</f>
        <v>WORKMAN T=1D=0R=0M=0L=1B=0</v>
      </c>
      <c r="G1223" s="0" t="s">
        <v>5764</v>
      </c>
      <c r="I1223" s="0" t="s">
        <v>5765</v>
      </c>
      <c r="J1223" s="0" t="s">
        <v>5766</v>
      </c>
      <c r="K1223" s="0" t="s">
        <v>160</v>
      </c>
      <c r="M1223" s="0" t="s">
        <v>5758</v>
      </c>
      <c r="N1223" s="0" t="str">
        <f aca="false">RIGHT(M1223,LEN(M1223)-FIND(" ",M1223))</f>
        <v>KENILWORTH AVE SE</v>
      </c>
      <c r="P1223" s="0" t="s">
        <v>145</v>
      </c>
      <c r="Q1223" s="0" t="s">
        <v>146</v>
      </c>
      <c r="R1223" s="0" t="n">
        <v>44484</v>
      </c>
      <c r="AD1223" s="0" t="s">
        <v>147</v>
      </c>
      <c r="AE1223" s="0" t="s">
        <v>148</v>
      </c>
      <c r="AF1223" s="0" t="s">
        <v>149</v>
      </c>
      <c r="AH1223" s="0" t="n">
        <v>14</v>
      </c>
      <c r="AI1223" s="0" t="n">
        <v>11</v>
      </c>
      <c r="AN1223" s="0" t="s">
        <v>145</v>
      </c>
      <c r="AO1223" s="0" t="s">
        <v>150</v>
      </c>
      <c r="AP1223" s="0" t="s">
        <v>151</v>
      </c>
      <c r="AQ1223" s="0" t="n">
        <v>9</v>
      </c>
      <c r="AR1223" s="0" t="n">
        <v>64</v>
      </c>
      <c r="AS1223" s="0" t="n">
        <v>32</v>
      </c>
      <c r="AU1223" s="0" t="n">
        <f aca="false">COUNTA($BA$512:$EH$512)</f>
        <v>1</v>
      </c>
      <c r="AV1223" s="0" t="n">
        <f aca="false">COUNTIF($BA$512:$EH$512,"D")</f>
        <v>0</v>
      </c>
      <c r="AW1223" s="0" t="n">
        <f aca="false">COUNTIF($BA$512:$EH$512,"R")</f>
        <v>0</v>
      </c>
      <c r="AX1223" s="0" t="n">
        <f aca="false">IF(BN1223="D",1,0)+IF(BO1223="D",1,0)+IF(BT1223="D",1,0)+IF(BU1223="D",1,0)+IF(BW1223="D",1,0)+IF(CC1223="D",1,0)+IF(CD1223="D",1,0)+IF(CE1223="D",1,0)+IF(CF1223="D",1,0)+IF(CL1223="D",1,0)+IF(CM1223="D",1,0)+IF(CQ1223="D",1,0)+IF(CR1223="D",1,0)+IF(CS1223="D",1,0)+IF(CW1223="D",1,0)+IF(CX1223="D",1,0)+IF(DD1223="D",1,0)+IF(DE1223="D",1,0)+IF(DJ1223="D",1,0)+IF(DK1223="D",1,0)+IF(DO1223="D",1,0)+IF(DP1223="D",1,0)+IF(DQ1223="D",1,0)+IF(DW1223="D",1,0)+IF(DZ1223="D",1,0)+IF(EH1223="D",1,0)</f>
        <v>0</v>
      </c>
      <c r="AY1223" s="0" t="n">
        <f aca="false">COUNTIF(DU1223:EH1223, "&lt;&gt;")</f>
        <v>1</v>
      </c>
      <c r="AZ1223" s="0" t="n">
        <f aca="false">IF(EH1223&lt;&gt;"",1,0)</f>
        <v>0</v>
      </c>
      <c r="BB1223" s="0" t="s">
        <v>152</v>
      </c>
      <c r="DN1223" s="0" t="s">
        <v>153</v>
      </c>
      <c r="EF1223" s="0" t="s">
        <v>153</v>
      </c>
    </row>
    <row r="1224" customFormat="false" ht="13.8" hidden="false" customHeight="false" outlineLevel="0" collapsed="false">
      <c r="A1224" s="0" t="s">
        <v>5767</v>
      </c>
      <c r="B1224" s="0" t="n">
        <v>78</v>
      </c>
      <c r="C1224" s="0" t="n">
        <v>464896</v>
      </c>
      <c r="D1224" s="0" t="s">
        <v>5768</v>
      </c>
      <c r="E1224" s="0" t="s">
        <v>292</v>
      </c>
      <c r="F1224" s="0" t="str">
        <f aca="false">CONCATENATE(D1224," ",LEFT(H1224,4),"T=",AU1224,"D=",AV1224,"R=",AW1224,"M=",AX1224,"L=",AY1224,"B=",AZ1224)</f>
        <v>MCCRACKEN T=27D=0R=4M=0L=3B=0</v>
      </c>
      <c r="G1224" s="0" t="s">
        <v>5769</v>
      </c>
      <c r="I1224" s="0" t="s">
        <v>5770</v>
      </c>
      <c r="J1224" s="0" t="s">
        <v>5771</v>
      </c>
      <c r="K1224" s="0" t="s">
        <v>160</v>
      </c>
      <c r="M1224" s="0" t="s">
        <v>5772</v>
      </c>
      <c r="N1224" s="0" t="str">
        <f aca="false">RIGHT(M1224,LEN(M1224)-FIND(" ",M1224))</f>
        <v>KENILWORTH AVE SE</v>
      </c>
      <c r="P1224" s="0" t="s">
        <v>145</v>
      </c>
      <c r="Q1224" s="0" t="s">
        <v>146</v>
      </c>
      <c r="R1224" s="0" t="n">
        <v>44484</v>
      </c>
      <c r="AD1224" s="0" t="s">
        <v>147</v>
      </c>
      <c r="AE1224" s="0" t="s">
        <v>148</v>
      </c>
      <c r="AF1224" s="0" t="s">
        <v>149</v>
      </c>
      <c r="AH1224" s="0" t="n">
        <v>14</v>
      </c>
      <c r="AI1224" s="0" t="n">
        <v>11</v>
      </c>
      <c r="AN1224" s="0" t="s">
        <v>145</v>
      </c>
      <c r="AO1224" s="0" t="s">
        <v>150</v>
      </c>
      <c r="AP1224" s="0" t="s">
        <v>151</v>
      </c>
      <c r="AQ1224" s="0" t="n">
        <v>9</v>
      </c>
      <c r="AR1224" s="0" t="n">
        <v>64</v>
      </c>
      <c r="AS1224" s="0" t="n">
        <v>32</v>
      </c>
      <c r="AU1224" s="0" t="n">
        <f aca="false">COUNTA($BA$916:$EH$916)</f>
        <v>27</v>
      </c>
      <c r="AV1224" s="0" t="n">
        <f aca="false">COUNTIF($BA$916:$EH$916,"D")</f>
        <v>0</v>
      </c>
      <c r="AW1224" s="0" t="n">
        <f aca="false">COUNTIF($BA$916:$EH$916,"R")</f>
        <v>4</v>
      </c>
      <c r="AX1224" s="0" t="n">
        <f aca="false">IF(BN1224="D",1,0)+IF(BO1224="D",1,0)+IF(BT1224="D",1,0)+IF(BU1224="D",1,0)+IF(BW1224="D",1,0)+IF(CC1224="D",1,0)+IF(CD1224="D",1,0)+IF(CE1224="D",1,0)+IF(CF1224="D",1,0)+IF(CL1224="D",1,0)+IF(CM1224="D",1,0)+IF(CQ1224="D",1,0)+IF(CR1224="D",1,0)+IF(CS1224="D",1,0)+IF(CW1224="D",1,0)+IF(CX1224="D",1,0)+IF(DD1224="D",1,0)+IF(DE1224="D",1,0)+IF(DJ1224="D",1,0)+IF(DK1224="D",1,0)+IF(DO1224="D",1,0)+IF(DP1224="D",1,0)+IF(DQ1224="D",1,0)+IF(DW1224="D",1,0)+IF(DZ1224="D",1,0)+IF(EH1224="D",1,0)</f>
        <v>0</v>
      </c>
      <c r="AY1224" s="0" t="n">
        <f aca="false">COUNTIF(DU1224:EH1224, "&lt;&gt;")</f>
        <v>3</v>
      </c>
      <c r="AZ1224" s="0" t="n">
        <f aca="false">IF(EH1224&lt;&gt;"",1,0)</f>
        <v>0</v>
      </c>
      <c r="BB1224" s="0" t="s">
        <v>152</v>
      </c>
      <c r="BD1224" s="0" t="s">
        <v>153</v>
      </c>
      <c r="BE1224" s="0" t="s">
        <v>153</v>
      </c>
      <c r="BF1224" s="0" t="s">
        <v>153</v>
      </c>
      <c r="BH1224" s="0" t="s">
        <v>153</v>
      </c>
      <c r="BI1224" s="0" t="s">
        <v>153</v>
      </c>
      <c r="BL1224" s="0" t="s">
        <v>153</v>
      </c>
      <c r="BS1224" s="0" t="s">
        <v>153</v>
      </c>
      <c r="BV1224" s="0" t="s">
        <v>153</v>
      </c>
      <c r="CA1224" s="0" t="s">
        <v>153</v>
      </c>
      <c r="CK1224" s="0" t="s">
        <v>153</v>
      </c>
      <c r="CN1224" s="0" t="s">
        <v>153</v>
      </c>
      <c r="CP1224" s="0" t="s">
        <v>153</v>
      </c>
      <c r="CV1224" s="0" t="s">
        <v>153</v>
      </c>
      <c r="CY1224" s="0" t="s">
        <v>153</v>
      </c>
      <c r="DC1224" s="0" t="s">
        <v>153</v>
      </c>
      <c r="DI1224" s="0" t="s">
        <v>153</v>
      </c>
      <c r="DN1224" s="0" t="s">
        <v>153</v>
      </c>
      <c r="DU1224" s="0" t="s">
        <v>153</v>
      </c>
      <c r="DX1224" s="0" t="s">
        <v>153</v>
      </c>
      <c r="EF1224" s="0" t="s">
        <v>153</v>
      </c>
    </row>
    <row r="1225" customFormat="false" ht="13.8" hidden="true" customHeight="false" outlineLevel="0" collapsed="false">
      <c r="A1225" s="0" t="s">
        <v>5773</v>
      </c>
      <c r="B1225" s="0" t="n">
        <v>78</v>
      </c>
      <c r="C1225" s="0" t="n">
        <v>13915</v>
      </c>
      <c r="D1225" s="0" t="s">
        <v>5774</v>
      </c>
      <c r="E1225" s="0" t="s">
        <v>589</v>
      </c>
      <c r="F1225" s="0" t="str">
        <f aca="false">CONCATENATE(D1225," ",LEFT(H1225,4),"T=",AU1225,"D=",AV1225,"R=",AW1225,"M=",AX1225,"L=",AY1225,"B=",AZ1225)</f>
        <v>AUCHTER T=4D=0R=0M=0L=1B=0</v>
      </c>
      <c r="G1225" s="0" t="s">
        <v>325</v>
      </c>
      <c r="I1225" s="0" t="s">
        <v>5775</v>
      </c>
      <c r="J1225" s="0" t="s">
        <v>5776</v>
      </c>
      <c r="K1225" s="0" t="s">
        <v>160</v>
      </c>
      <c r="M1225" s="0" t="s">
        <v>5772</v>
      </c>
      <c r="N1225" s="0" t="str">
        <f aca="false">RIGHT(M1225,LEN(M1225)-FIND(" ",M1225))</f>
        <v>KENILWORTH AVE SE</v>
      </c>
      <c r="P1225" s="0" t="s">
        <v>145</v>
      </c>
      <c r="Q1225" s="0" t="s">
        <v>146</v>
      </c>
      <c r="R1225" s="0" t="n">
        <v>44484</v>
      </c>
      <c r="AD1225" s="0" t="s">
        <v>147</v>
      </c>
      <c r="AE1225" s="0" t="s">
        <v>148</v>
      </c>
      <c r="AF1225" s="0" t="s">
        <v>149</v>
      </c>
      <c r="AH1225" s="0" t="n">
        <v>14</v>
      </c>
      <c r="AI1225" s="0" t="n">
        <v>11</v>
      </c>
      <c r="AN1225" s="0" t="s">
        <v>145</v>
      </c>
      <c r="AO1225" s="0" t="s">
        <v>150</v>
      </c>
      <c r="AP1225" s="0" t="s">
        <v>151</v>
      </c>
      <c r="AQ1225" s="0" t="n">
        <v>9</v>
      </c>
      <c r="AR1225" s="0" t="n">
        <v>64</v>
      </c>
      <c r="AS1225" s="0" t="n">
        <v>32</v>
      </c>
      <c r="AU1225" s="0" t="n">
        <f aca="false">COUNTA($BA$1052:$EH$1052)</f>
        <v>4</v>
      </c>
      <c r="AV1225" s="0" t="n">
        <f aca="false">COUNTIF($BA$1052:$EH$1052,"D")</f>
        <v>0</v>
      </c>
      <c r="AW1225" s="0" t="n">
        <f aca="false">COUNTIF($BA$1052:$EH$1052,"R")</f>
        <v>0</v>
      </c>
      <c r="AX1225" s="0" t="n">
        <f aca="false">IF(BN1225="D",1,0)+IF(BO1225="D",1,0)+IF(BT1225="D",1,0)+IF(BU1225="D",1,0)+IF(BW1225="D",1,0)+IF(CC1225="D",1,0)+IF(CD1225="D",1,0)+IF(CE1225="D",1,0)+IF(CF1225="D",1,0)+IF(CL1225="D",1,0)+IF(CM1225="D",1,0)+IF(CQ1225="D",1,0)+IF(CR1225="D",1,0)+IF(CS1225="D",1,0)+IF(CW1225="D",1,0)+IF(CX1225="D",1,0)+IF(DD1225="D",1,0)+IF(DE1225="D",1,0)+IF(DJ1225="D",1,0)+IF(DK1225="D",1,0)+IF(DO1225="D",1,0)+IF(DP1225="D",1,0)+IF(DQ1225="D",1,0)+IF(DW1225="D",1,0)+IF(DZ1225="D",1,0)+IF(EH1225="D",1,0)</f>
        <v>0</v>
      </c>
      <c r="AY1225" s="0" t="n">
        <f aca="false">COUNTIF(DU1225:EH1225, "&lt;&gt;")</f>
        <v>1</v>
      </c>
      <c r="AZ1225" s="0" t="n">
        <f aca="false">IF(EH1225&lt;&gt;"",1,0)</f>
        <v>0</v>
      </c>
      <c r="BB1225" s="0" t="s">
        <v>152</v>
      </c>
      <c r="BC1225" s="0" t="s">
        <v>153</v>
      </c>
      <c r="BD1225" s="0" t="s">
        <v>153</v>
      </c>
      <c r="BE1225" s="0" t="s">
        <v>153</v>
      </c>
      <c r="BF1225" s="0" t="s">
        <v>153</v>
      </c>
      <c r="BJ1225" s="0" t="s">
        <v>153</v>
      </c>
      <c r="BK1225" s="0" t="s">
        <v>153</v>
      </c>
      <c r="BL1225" s="0" t="s">
        <v>153</v>
      </c>
      <c r="BP1225" s="0" t="s">
        <v>153</v>
      </c>
      <c r="BS1225" s="0" t="s">
        <v>153</v>
      </c>
      <c r="BV1225" s="0" t="s">
        <v>153</v>
      </c>
      <c r="BY1225" s="0" t="s">
        <v>209</v>
      </c>
      <c r="CA1225" s="0" t="s">
        <v>153</v>
      </c>
      <c r="CG1225" s="0" t="s">
        <v>153</v>
      </c>
      <c r="CH1225" s="0" t="s">
        <v>209</v>
      </c>
      <c r="CK1225" s="0" t="s">
        <v>153</v>
      </c>
      <c r="CP1225" s="0" t="s">
        <v>153</v>
      </c>
      <c r="CY1225" s="0" t="s">
        <v>153</v>
      </c>
      <c r="DC1225" s="0" t="s">
        <v>153</v>
      </c>
      <c r="DI1225" s="0" t="s">
        <v>153</v>
      </c>
      <c r="DL1225" s="0" t="s">
        <v>153</v>
      </c>
      <c r="DM1225" s="0" t="s">
        <v>209</v>
      </c>
      <c r="DN1225" s="0" t="s">
        <v>153</v>
      </c>
      <c r="DU1225" s="0" t="s">
        <v>153</v>
      </c>
    </row>
    <row r="1226" customFormat="false" ht="13.8" hidden="false" customHeight="false" outlineLevel="0" collapsed="false">
      <c r="A1226" s="0" t="s">
        <v>5777</v>
      </c>
      <c r="B1226" s="0" t="n">
        <v>78</v>
      </c>
      <c r="C1226" s="0" t="n">
        <v>364690</v>
      </c>
      <c r="D1226" s="0" t="s">
        <v>1721</v>
      </c>
      <c r="E1226" s="0" t="s">
        <v>1335</v>
      </c>
      <c r="F1226" s="0" t="str">
        <f aca="false">CONCATENATE(D1226," ",LEFT(H1226,4),"T=",AU1226,"D=",AV1226,"R=",AW1226,"M=",AX1226,"L=",AY1226,"B=",AZ1226)</f>
        <v>RUPLE T=1D=0R=0M=0L=2B=0</v>
      </c>
      <c r="G1226" s="0" t="s">
        <v>175</v>
      </c>
      <c r="I1226" s="0" t="s">
        <v>5778</v>
      </c>
      <c r="J1226" s="0" t="s">
        <v>3155</v>
      </c>
      <c r="K1226" s="0" t="s">
        <v>160</v>
      </c>
      <c r="M1226" s="0" t="s">
        <v>5779</v>
      </c>
      <c r="N1226" s="0" t="str">
        <f aca="false">RIGHT(M1226,LEN(M1226)-FIND(" ",M1226))</f>
        <v>KENILWORTH AVE SE</v>
      </c>
      <c r="P1226" s="0" t="s">
        <v>145</v>
      </c>
      <c r="Q1226" s="0" t="s">
        <v>146</v>
      </c>
      <c r="R1226" s="0" t="n">
        <v>44484</v>
      </c>
      <c r="AD1226" s="0" t="s">
        <v>147</v>
      </c>
      <c r="AE1226" s="0" t="s">
        <v>148</v>
      </c>
      <c r="AF1226" s="0" t="s">
        <v>149</v>
      </c>
      <c r="AH1226" s="0" t="n">
        <v>14</v>
      </c>
      <c r="AI1226" s="0" t="n">
        <v>11</v>
      </c>
      <c r="AN1226" s="0" t="s">
        <v>145</v>
      </c>
      <c r="AO1226" s="0" t="s">
        <v>150</v>
      </c>
      <c r="AP1226" s="0" t="s">
        <v>151</v>
      </c>
      <c r="AQ1226" s="0" t="n">
        <v>9</v>
      </c>
      <c r="AR1226" s="0" t="n">
        <v>64</v>
      </c>
      <c r="AS1226" s="0" t="n">
        <v>32</v>
      </c>
      <c r="AU1226" s="0" t="n">
        <f aca="false">COUNTA($BA$577:$EH$577)</f>
        <v>1</v>
      </c>
      <c r="AV1226" s="0" t="n">
        <f aca="false">COUNTIF($BA$577:$EH$577,"D")</f>
        <v>0</v>
      </c>
      <c r="AW1226" s="0" t="n">
        <f aca="false">COUNTIF($BA$577:$EH$577,"R")</f>
        <v>0</v>
      </c>
      <c r="AX1226" s="0" t="n">
        <f aca="false">IF(BN1226="D",1,0)+IF(BO1226="D",1,0)+IF(BT1226="D",1,0)+IF(BU1226="D",1,0)+IF(BW1226="D",1,0)+IF(CC1226="D",1,0)+IF(CD1226="D",1,0)+IF(CE1226="D",1,0)+IF(CF1226="D",1,0)+IF(CL1226="D",1,0)+IF(CM1226="D",1,0)+IF(CQ1226="D",1,0)+IF(CR1226="D",1,0)+IF(CS1226="D",1,0)+IF(CW1226="D",1,0)+IF(CX1226="D",1,0)+IF(DD1226="D",1,0)+IF(DE1226="D",1,0)+IF(DJ1226="D",1,0)+IF(DK1226="D",1,0)+IF(DO1226="D",1,0)+IF(DP1226="D",1,0)+IF(DQ1226="D",1,0)+IF(DW1226="D",1,0)+IF(DZ1226="D",1,0)+IF(EH1226="D",1,0)</f>
        <v>0</v>
      </c>
      <c r="AY1226" s="0" t="n">
        <f aca="false">COUNTIF(DU1226:EH1226, "&lt;&gt;")</f>
        <v>2</v>
      </c>
      <c r="AZ1226" s="0" t="n">
        <f aca="false">IF(EH1226&lt;&gt;"",1,0)</f>
        <v>0</v>
      </c>
      <c r="BB1226" s="0" t="s">
        <v>152</v>
      </c>
      <c r="CA1226" s="0" t="s">
        <v>153</v>
      </c>
      <c r="DX1226" s="0" t="s">
        <v>153</v>
      </c>
      <c r="EF1226" s="0" t="s">
        <v>153</v>
      </c>
    </row>
    <row r="1227" customFormat="false" ht="13.8" hidden="true" customHeight="false" outlineLevel="0" collapsed="false">
      <c r="A1227" s="0" t="s">
        <v>5780</v>
      </c>
      <c r="B1227" s="0" t="n">
        <v>78</v>
      </c>
      <c r="C1227" s="0" t="n">
        <v>488565</v>
      </c>
      <c r="D1227" s="0" t="s">
        <v>5781</v>
      </c>
      <c r="E1227" s="0" t="s">
        <v>3792</v>
      </c>
      <c r="F1227" s="0" t="str">
        <f aca="false">CONCATENATE(D1227," ",LEFT(H1227,4),"T=",AU1227,"D=",AV1227,"R=",AW1227,"M=",AX1227,"L=",AY1227,"B=",AZ1227)</f>
        <v>CONN T=30D=5R=0M=0L=1B=0</v>
      </c>
      <c r="G1227" s="0" t="s">
        <v>5782</v>
      </c>
      <c r="I1227" s="0" t="s">
        <v>5783</v>
      </c>
      <c r="J1227" s="0" t="s">
        <v>1859</v>
      </c>
      <c r="K1227" s="0" t="s">
        <v>160</v>
      </c>
      <c r="M1227" s="0" t="s">
        <v>5784</v>
      </c>
      <c r="N1227" s="0" t="str">
        <f aca="false">RIGHT(M1227,LEN(M1227)-FIND(" ",M1227))</f>
        <v>KENILWORTH AVE SE</v>
      </c>
      <c r="P1227" s="0" t="s">
        <v>145</v>
      </c>
      <c r="Q1227" s="0" t="s">
        <v>146</v>
      </c>
      <c r="R1227" s="0" t="n">
        <v>44484</v>
      </c>
      <c r="AD1227" s="0" t="s">
        <v>147</v>
      </c>
      <c r="AE1227" s="0" t="s">
        <v>148</v>
      </c>
      <c r="AF1227" s="0" t="s">
        <v>149</v>
      </c>
      <c r="AH1227" s="0" t="n">
        <v>14</v>
      </c>
      <c r="AI1227" s="0" t="n">
        <v>11</v>
      </c>
      <c r="AN1227" s="0" t="s">
        <v>145</v>
      </c>
      <c r="AO1227" s="0" t="s">
        <v>150</v>
      </c>
      <c r="AP1227" s="0" t="s">
        <v>151</v>
      </c>
      <c r="AQ1227" s="0" t="n">
        <v>9</v>
      </c>
      <c r="AR1227" s="0" t="n">
        <v>64</v>
      </c>
      <c r="AS1227" s="0" t="n">
        <v>32</v>
      </c>
      <c r="AU1227" s="0" t="n">
        <f aca="false">COUNTA($BA$456:$EH$456)</f>
        <v>30</v>
      </c>
      <c r="AV1227" s="0" t="n">
        <f aca="false">COUNTIF($BA$456:$EH$456,"D")</f>
        <v>5</v>
      </c>
      <c r="AW1227" s="0" t="n">
        <f aca="false">COUNTIF($BA$456:$EH$456,"R")</f>
        <v>0</v>
      </c>
      <c r="AX1227" s="0" t="n">
        <f aca="false">IF(BN1227="D",1,0)+IF(BO1227="D",1,0)+IF(BT1227="D",1,0)+IF(BU1227="D",1,0)+IF(BW1227="D",1,0)+IF(CC1227="D",1,0)+IF(CD1227="D",1,0)+IF(CE1227="D",1,0)+IF(CF1227="D",1,0)+IF(CL1227="D",1,0)+IF(CM1227="D",1,0)+IF(CQ1227="D",1,0)+IF(CR1227="D",1,0)+IF(CS1227="D",1,0)+IF(CW1227="D",1,0)+IF(CX1227="D",1,0)+IF(DD1227="D",1,0)+IF(DE1227="D",1,0)+IF(DJ1227="D",1,0)+IF(DK1227="D",1,0)+IF(DO1227="D",1,0)+IF(DP1227="D",1,0)+IF(DQ1227="D",1,0)+IF(DW1227="D",1,0)+IF(DZ1227="D",1,0)+IF(EH1227="D",1,0)</f>
        <v>0</v>
      </c>
      <c r="AY1227" s="0" t="n">
        <f aca="false">COUNTIF(DU1227:EH1227, "&lt;&gt;")</f>
        <v>1</v>
      </c>
      <c r="AZ1227" s="0" t="n">
        <f aca="false">IF(EH1227&lt;&gt;"",1,0)</f>
        <v>0</v>
      </c>
      <c r="BB1227" s="0" t="s">
        <v>152</v>
      </c>
      <c r="EF1227" s="0" t="s">
        <v>153</v>
      </c>
    </row>
    <row r="1228" customFormat="false" ht="13.8" hidden="true" customHeight="false" outlineLevel="0" collapsed="false">
      <c r="A1228" s="0" t="s">
        <v>5785</v>
      </c>
      <c r="B1228" s="0" t="n">
        <v>78</v>
      </c>
      <c r="C1228" s="0" t="n">
        <v>357356</v>
      </c>
      <c r="D1228" s="0" t="s">
        <v>5786</v>
      </c>
      <c r="E1228" s="0" t="s">
        <v>5787</v>
      </c>
      <c r="F1228" s="0" t="str">
        <f aca="false">CONCATENATE(D1228," ",LEFT(H1228,4),"T=",AU1228,"D=",AV1228,"R=",AW1228,"M=",AX1228,"L=",AY1228,"B=",AZ1228)</f>
        <v>BYRNE T=5D=0R=0M=0L=0B=0</v>
      </c>
      <c r="G1228" s="0" t="s">
        <v>839</v>
      </c>
      <c r="I1228" s="0" t="s">
        <v>5788</v>
      </c>
      <c r="J1228" s="0" t="s">
        <v>693</v>
      </c>
      <c r="K1228" s="0" t="s">
        <v>143</v>
      </c>
      <c r="M1228" s="0" t="s">
        <v>5789</v>
      </c>
      <c r="N1228" s="0" t="str">
        <f aca="false">RIGHT(M1228,LEN(M1228)-FIND(" ",M1228))</f>
        <v>KENILWORTH AVE SE</v>
      </c>
      <c r="P1228" s="0" t="s">
        <v>145</v>
      </c>
      <c r="Q1228" s="0" t="s">
        <v>146</v>
      </c>
      <c r="R1228" s="0" t="n">
        <v>44484</v>
      </c>
      <c r="AD1228" s="0" t="s">
        <v>147</v>
      </c>
      <c r="AE1228" s="0" t="s">
        <v>148</v>
      </c>
      <c r="AF1228" s="0" t="s">
        <v>149</v>
      </c>
      <c r="AH1228" s="0" t="n">
        <v>14</v>
      </c>
      <c r="AI1228" s="0" t="n">
        <v>11</v>
      </c>
      <c r="AN1228" s="0" t="s">
        <v>145</v>
      </c>
      <c r="AO1228" s="0" t="s">
        <v>150</v>
      </c>
      <c r="AP1228" s="0" t="s">
        <v>151</v>
      </c>
      <c r="AQ1228" s="0" t="n">
        <v>9</v>
      </c>
      <c r="AR1228" s="0" t="n">
        <v>64</v>
      </c>
      <c r="AS1228" s="0" t="n">
        <v>32</v>
      </c>
      <c r="AU1228" s="0" t="n">
        <f aca="false">COUNTA($BA$1064:$EH$1064)</f>
        <v>5</v>
      </c>
      <c r="AV1228" s="0" t="n">
        <f aca="false">COUNTIF($BA$1064:$EH$1064,"D")</f>
        <v>0</v>
      </c>
      <c r="AW1228" s="0" t="n">
        <f aca="false">COUNTIF($BA$1064:$EH$1064,"R")</f>
        <v>0</v>
      </c>
      <c r="AX1228" s="0" t="n">
        <f aca="false">IF(BN1228="D",1,0)+IF(BO1228="D",1,0)+IF(BT1228="D",1,0)+IF(BU1228="D",1,0)+IF(BW1228="D",1,0)+IF(CC1228="D",1,0)+IF(CD1228="D",1,0)+IF(CE1228="D",1,0)+IF(CF1228="D",1,0)+IF(CL1228="D",1,0)+IF(CM1228="D",1,0)+IF(CQ1228="D",1,0)+IF(CR1228="D",1,0)+IF(CS1228="D",1,0)+IF(CW1228="D",1,0)+IF(CX1228="D",1,0)+IF(DD1228="D",1,0)+IF(DE1228="D",1,0)+IF(DJ1228="D",1,0)+IF(DK1228="D",1,0)+IF(DO1228="D",1,0)+IF(DP1228="D",1,0)+IF(DQ1228="D",1,0)+IF(DW1228="D",1,0)+IF(DZ1228="D",1,0)+IF(EH1228="D",1,0)</f>
        <v>0</v>
      </c>
      <c r="AY1228" s="0" t="n">
        <f aca="false">COUNTIF(DU1228:EH1228, "&lt;&gt;")</f>
        <v>0</v>
      </c>
      <c r="AZ1228" s="0" t="n">
        <f aca="false">IF(EH1228&lt;&gt;"",1,0)</f>
        <v>0</v>
      </c>
      <c r="BB1228" s="0" t="s">
        <v>152</v>
      </c>
    </row>
    <row r="1229" customFormat="false" ht="13.8" hidden="false" customHeight="false" outlineLevel="0" collapsed="false">
      <c r="A1229" s="0" t="s">
        <v>5790</v>
      </c>
      <c r="B1229" s="0" t="n">
        <v>78</v>
      </c>
      <c r="C1229" s="0" t="n">
        <v>245620</v>
      </c>
      <c r="D1229" s="0" t="s">
        <v>5791</v>
      </c>
      <c r="E1229" s="0" t="s">
        <v>2271</v>
      </c>
      <c r="F1229" s="0" t="str">
        <f aca="false">CONCATENATE(D1229," ",LEFT(H1229,4),"T=",AU1229,"D=",AV1229,"R=",AW1229,"M=",AX1229,"L=",AY1229,"B=",AZ1229)</f>
        <v>LOVELAND T=16D=1R=4M=0L=4B=0</v>
      </c>
      <c r="G1229" s="0" t="s">
        <v>190</v>
      </c>
      <c r="I1229" s="0" t="s">
        <v>5792</v>
      </c>
      <c r="J1229" s="0" t="s">
        <v>5793</v>
      </c>
      <c r="K1229" s="0" t="s">
        <v>160</v>
      </c>
      <c r="L1229" s="0" t="s">
        <v>175</v>
      </c>
      <c r="M1229" s="0" t="s">
        <v>5794</v>
      </c>
      <c r="N1229" s="0" t="str">
        <f aca="false">RIGHT(M1229,LEN(M1229)-FIND(" ",M1229))</f>
        <v>KENILWORTH AVE SE</v>
      </c>
      <c r="P1229" s="0" t="s">
        <v>145</v>
      </c>
      <c r="Q1229" s="0" t="s">
        <v>146</v>
      </c>
      <c r="R1229" s="0" t="n">
        <v>44484</v>
      </c>
      <c r="AD1229" s="0" t="s">
        <v>147</v>
      </c>
      <c r="AE1229" s="0" t="s">
        <v>148</v>
      </c>
      <c r="AF1229" s="0" t="s">
        <v>149</v>
      </c>
      <c r="AH1229" s="0" t="n">
        <v>14</v>
      </c>
      <c r="AI1229" s="0" t="n">
        <v>11</v>
      </c>
      <c r="AN1229" s="0" t="s">
        <v>145</v>
      </c>
      <c r="AO1229" s="0" t="s">
        <v>150</v>
      </c>
      <c r="AP1229" s="0" t="s">
        <v>151</v>
      </c>
      <c r="AQ1229" s="0" t="n">
        <v>9</v>
      </c>
      <c r="AR1229" s="0" t="n">
        <v>64</v>
      </c>
      <c r="AS1229" s="0" t="n">
        <v>32</v>
      </c>
      <c r="AU1229" s="0" t="n">
        <f aca="false">COUNTA($BA$1019:$EH$1019)</f>
        <v>16</v>
      </c>
      <c r="AV1229" s="0" t="n">
        <f aca="false">COUNTIF($BA$1019:$EH$1019,"D")</f>
        <v>1</v>
      </c>
      <c r="AW1229" s="0" t="n">
        <f aca="false">COUNTIF($BA$1019:$EH$1019,"R")</f>
        <v>4</v>
      </c>
      <c r="AX1229" s="0" t="n">
        <f aca="false">IF(BN1229="D",1,0)+IF(BO1229="D",1,0)+IF(BT1229="D",1,0)+IF(BU1229="D",1,0)+IF(BW1229="D",1,0)+IF(CC1229="D",1,0)+IF(CD1229="D",1,0)+IF(CE1229="D",1,0)+IF(CF1229="D",1,0)+IF(CL1229="D",1,0)+IF(CM1229="D",1,0)+IF(CQ1229="D",1,0)+IF(CR1229="D",1,0)+IF(CS1229="D",1,0)+IF(CW1229="D",1,0)+IF(CX1229="D",1,0)+IF(DD1229="D",1,0)+IF(DE1229="D",1,0)+IF(DJ1229="D",1,0)+IF(DK1229="D",1,0)+IF(DO1229="D",1,0)+IF(DP1229="D",1,0)+IF(DQ1229="D",1,0)+IF(DW1229="D",1,0)+IF(DZ1229="D",1,0)+IF(EH1229="D",1,0)</f>
        <v>0</v>
      </c>
      <c r="AY1229" s="0" t="n">
        <f aca="false">COUNTIF(DU1229:EH1229, "&lt;&gt;")</f>
        <v>4</v>
      </c>
      <c r="AZ1229" s="0" t="n">
        <f aca="false">IF(EH1229&lt;&gt;"",1,0)</f>
        <v>0</v>
      </c>
      <c r="BB1229" s="0" t="s">
        <v>152</v>
      </c>
      <c r="BD1229" s="0" t="s">
        <v>153</v>
      </c>
      <c r="BH1229" s="0" t="s">
        <v>153</v>
      </c>
      <c r="BL1229" s="0" t="s">
        <v>153</v>
      </c>
      <c r="BY1229" s="0" t="s">
        <v>175</v>
      </c>
      <c r="CA1229" s="0" t="s">
        <v>153</v>
      </c>
      <c r="CK1229" s="0" t="s">
        <v>153</v>
      </c>
      <c r="CN1229" s="0" t="s">
        <v>153</v>
      </c>
      <c r="CP1229" s="0" t="s">
        <v>153</v>
      </c>
      <c r="CV1229" s="0" t="s">
        <v>153</v>
      </c>
      <c r="CY1229" s="0" t="s">
        <v>153</v>
      </c>
      <c r="CZ1229" s="0" t="s">
        <v>175</v>
      </c>
      <c r="DC1229" s="0" t="s">
        <v>153</v>
      </c>
      <c r="DF1229" s="0" t="s">
        <v>153</v>
      </c>
      <c r="DI1229" s="0" t="s">
        <v>153</v>
      </c>
      <c r="DN1229" s="0" t="s">
        <v>153</v>
      </c>
      <c r="DU1229" s="0" t="s">
        <v>153</v>
      </c>
      <c r="EA1229" s="0" t="s">
        <v>153</v>
      </c>
      <c r="ED1229" s="0" t="s">
        <v>175</v>
      </c>
      <c r="EF1229" s="0" t="s">
        <v>153</v>
      </c>
    </row>
    <row r="1230" customFormat="false" ht="13.8" hidden="false" customHeight="false" outlineLevel="0" collapsed="false">
      <c r="A1230" s="0" t="s">
        <v>5795</v>
      </c>
      <c r="B1230" s="0" t="n">
        <v>78</v>
      </c>
      <c r="C1230" s="0" t="n">
        <v>466882</v>
      </c>
      <c r="D1230" s="0" t="s">
        <v>5791</v>
      </c>
      <c r="E1230" s="0" t="s">
        <v>5796</v>
      </c>
      <c r="F1230" s="0" t="str">
        <f aca="false">CONCATENATE(D1230," ",LEFT(H1230,4),"T=",AU1230,"D=",AV1230,"R=",AW1230,"M=",AX1230,"L=",AY1230,"B=",AZ1230)</f>
        <v>LOVELAND T=12D=3R=0M=0L=2B=0</v>
      </c>
      <c r="G1230" s="0" t="s">
        <v>713</v>
      </c>
      <c r="I1230" s="0" t="s">
        <v>5797</v>
      </c>
      <c r="J1230" s="0" t="s">
        <v>5798</v>
      </c>
      <c r="K1230" s="0" t="s">
        <v>160</v>
      </c>
      <c r="L1230" s="0" t="s">
        <v>175</v>
      </c>
      <c r="M1230" s="0" t="s">
        <v>5794</v>
      </c>
      <c r="N1230" s="0" t="str">
        <f aca="false">RIGHT(M1230,LEN(M1230)-FIND(" ",M1230))</f>
        <v>KENILWORTH AVE SE</v>
      </c>
      <c r="P1230" s="0" t="s">
        <v>145</v>
      </c>
      <c r="Q1230" s="0" t="s">
        <v>146</v>
      </c>
      <c r="R1230" s="0" t="n">
        <v>44484</v>
      </c>
      <c r="AD1230" s="0" t="s">
        <v>147</v>
      </c>
      <c r="AE1230" s="0" t="s">
        <v>148</v>
      </c>
      <c r="AF1230" s="0" t="s">
        <v>149</v>
      </c>
      <c r="AH1230" s="0" t="n">
        <v>14</v>
      </c>
      <c r="AI1230" s="0" t="n">
        <v>11</v>
      </c>
      <c r="AN1230" s="0" t="s">
        <v>145</v>
      </c>
      <c r="AO1230" s="0" t="s">
        <v>150</v>
      </c>
      <c r="AP1230" s="0" t="s">
        <v>151</v>
      </c>
      <c r="AQ1230" s="0" t="n">
        <v>9</v>
      </c>
      <c r="AR1230" s="0" t="n">
        <v>64</v>
      </c>
      <c r="AS1230" s="0" t="n">
        <v>32</v>
      </c>
      <c r="AU1230" s="0" t="n">
        <f aca="false">COUNTA($BA$1087:$EH$1087)</f>
        <v>12</v>
      </c>
      <c r="AV1230" s="0" t="n">
        <f aca="false">COUNTIF($BA$1087:$EH$1087,"D")</f>
        <v>3</v>
      </c>
      <c r="AW1230" s="0" t="n">
        <f aca="false">COUNTIF($BA$1087:$EH$1087,"R")</f>
        <v>0</v>
      </c>
      <c r="AX1230" s="0" t="n">
        <f aca="false">IF(BN1230="D",1,0)+IF(BO1230="D",1,0)+IF(BT1230="D",1,0)+IF(BU1230="D",1,0)+IF(BW1230="D",1,0)+IF(CC1230="D",1,0)+IF(CD1230="D",1,0)+IF(CE1230="D",1,0)+IF(CF1230="D",1,0)+IF(CL1230="D",1,0)+IF(CM1230="D",1,0)+IF(CQ1230="D",1,0)+IF(CR1230="D",1,0)+IF(CS1230="D",1,0)+IF(CW1230="D",1,0)+IF(CX1230="D",1,0)+IF(DD1230="D",1,0)+IF(DE1230="D",1,0)+IF(DJ1230="D",1,0)+IF(DK1230="D",1,0)+IF(DO1230="D",1,0)+IF(DP1230="D",1,0)+IF(DQ1230="D",1,0)+IF(DW1230="D",1,0)+IF(DZ1230="D",1,0)+IF(EH1230="D",1,0)</f>
        <v>0</v>
      </c>
      <c r="AY1230" s="0" t="n">
        <f aca="false">COUNTIF(DU1230:EH1230, "&lt;&gt;")</f>
        <v>2</v>
      </c>
      <c r="AZ1230" s="0" t="n">
        <f aca="false">IF(EH1230&lt;&gt;"",1,0)</f>
        <v>0</v>
      </c>
      <c r="BB1230" s="0" t="s">
        <v>152</v>
      </c>
      <c r="ED1230" s="0" t="s">
        <v>175</v>
      </c>
      <c r="EF1230" s="0" t="s">
        <v>153</v>
      </c>
    </row>
    <row r="1231" customFormat="false" ht="13.8" hidden="true" customHeight="false" outlineLevel="0" collapsed="false">
      <c r="A1231" s="0" t="s">
        <v>5799</v>
      </c>
      <c r="B1231" s="0" t="n">
        <v>78</v>
      </c>
      <c r="C1231" s="0" t="n">
        <v>410919</v>
      </c>
      <c r="D1231" s="0" t="s">
        <v>5344</v>
      </c>
      <c r="E1231" s="0" t="s">
        <v>517</v>
      </c>
      <c r="F1231" s="0" t="str">
        <f aca="false">CONCATENATE(D1231," ",LEFT(H1231,4),"T=",AU1231,"D=",AV1231,"R=",AW1231,"M=",AX1231,"L=",AY1231,"B=",AZ1231)</f>
        <v>MURPHY T=10D=3R=0M=0L=0B=0</v>
      </c>
      <c r="G1231" s="0" t="s">
        <v>164</v>
      </c>
      <c r="I1231" s="0" t="s">
        <v>5800</v>
      </c>
      <c r="J1231" s="0" t="s">
        <v>2901</v>
      </c>
      <c r="K1231" s="0" t="s">
        <v>160</v>
      </c>
      <c r="M1231" s="0" t="s">
        <v>5801</v>
      </c>
      <c r="N1231" s="0" t="str">
        <f aca="false">RIGHT(M1231,LEN(M1231)-FIND(" ",M1231))</f>
        <v>KENILWORTH AVE SE</v>
      </c>
      <c r="P1231" s="0" t="s">
        <v>145</v>
      </c>
      <c r="Q1231" s="0" t="s">
        <v>146</v>
      </c>
      <c r="R1231" s="0" t="n">
        <v>44484</v>
      </c>
      <c r="AD1231" s="0" t="s">
        <v>147</v>
      </c>
      <c r="AE1231" s="0" t="s">
        <v>148</v>
      </c>
      <c r="AF1231" s="0" t="s">
        <v>149</v>
      </c>
      <c r="AH1231" s="0" t="n">
        <v>14</v>
      </c>
      <c r="AI1231" s="0" t="n">
        <v>11</v>
      </c>
      <c r="AN1231" s="0" t="s">
        <v>145</v>
      </c>
      <c r="AO1231" s="0" t="s">
        <v>150</v>
      </c>
      <c r="AP1231" s="0" t="s">
        <v>151</v>
      </c>
      <c r="AQ1231" s="0" t="n">
        <v>9</v>
      </c>
      <c r="AR1231" s="0" t="n">
        <v>64</v>
      </c>
      <c r="AS1231" s="0" t="n">
        <v>32</v>
      </c>
      <c r="AU1231" s="0" t="n">
        <f aca="false">COUNTA($BA$314:$EH$314)</f>
        <v>10</v>
      </c>
      <c r="AV1231" s="0" t="n">
        <f aca="false">COUNTIF($BA$314:$EH$314,"D")</f>
        <v>3</v>
      </c>
      <c r="AW1231" s="0" t="n">
        <f aca="false">COUNTIF($BA$314:$EH$314,"R")</f>
        <v>0</v>
      </c>
      <c r="AX1231" s="0" t="n">
        <f aca="false">IF(BN1231="D",1,0)+IF(BO1231="D",1,0)+IF(BT1231="D",1,0)+IF(BU1231="D",1,0)+IF(BW1231="D",1,0)+IF(CC1231="D",1,0)+IF(CD1231="D",1,0)+IF(CE1231="D",1,0)+IF(CF1231="D",1,0)+IF(CL1231="D",1,0)+IF(CM1231="D",1,0)+IF(CQ1231="D",1,0)+IF(CR1231="D",1,0)+IF(CS1231="D",1,0)+IF(CW1231="D",1,0)+IF(CX1231="D",1,0)+IF(DD1231="D",1,0)+IF(DE1231="D",1,0)+IF(DJ1231="D",1,0)+IF(DK1231="D",1,0)+IF(DO1231="D",1,0)+IF(DP1231="D",1,0)+IF(DQ1231="D",1,0)+IF(DW1231="D",1,0)+IF(DZ1231="D",1,0)+IF(EH1231="D",1,0)</f>
        <v>0</v>
      </c>
      <c r="AY1231" s="0" t="n">
        <f aca="false">COUNTIF(DU1231:EH1231, "&lt;&gt;")</f>
        <v>0</v>
      </c>
      <c r="AZ1231" s="0" t="n">
        <f aca="false">IF(EH1231&lt;&gt;"",1,0)</f>
        <v>0</v>
      </c>
      <c r="BB1231" s="0" t="s">
        <v>152</v>
      </c>
    </row>
    <row r="1232" customFormat="false" ht="13.8" hidden="true" customHeight="false" outlineLevel="0" collapsed="false">
      <c r="A1232" s="0" t="s">
        <v>5802</v>
      </c>
      <c r="B1232" s="0" t="n">
        <v>78</v>
      </c>
      <c r="C1232" s="0" t="n">
        <v>407946</v>
      </c>
      <c r="D1232" s="0" t="s">
        <v>5344</v>
      </c>
      <c r="E1232" s="0" t="s">
        <v>2045</v>
      </c>
      <c r="F1232" s="0" t="str">
        <f aca="false">CONCATENATE(D1232," ",LEFT(H1232,4),"T=",AU1232,"D=",AV1232,"R=",AW1232,"M=",AX1232,"L=",AY1232,"B=",AZ1232)</f>
        <v>MURPHY T=1D=0R=0M=0L=0B=0</v>
      </c>
      <c r="G1232" s="0" t="s">
        <v>713</v>
      </c>
      <c r="I1232" s="0" t="s">
        <v>5803</v>
      </c>
      <c r="J1232" s="0" t="s">
        <v>399</v>
      </c>
      <c r="K1232" s="0" t="s">
        <v>160</v>
      </c>
      <c r="M1232" s="0" t="s">
        <v>5801</v>
      </c>
      <c r="N1232" s="0" t="str">
        <f aca="false">RIGHT(M1232,LEN(M1232)-FIND(" ",M1232))</f>
        <v>KENILWORTH AVE SE</v>
      </c>
      <c r="P1232" s="0" t="s">
        <v>145</v>
      </c>
      <c r="Q1232" s="0" t="s">
        <v>146</v>
      </c>
      <c r="R1232" s="0" t="n">
        <v>44484</v>
      </c>
      <c r="AD1232" s="0" t="s">
        <v>147</v>
      </c>
      <c r="AE1232" s="0" t="s">
        <v>148</v>
      </c>
      <c r="AF1232" s="0" t="s">
        <v>149</v>
      </c>
      <c r="AH1232" s="0" t="n">
        <v>14</v>
      </c>
      <c r="AI1232" s="0" t="n">
        <v>11</v>
      </c>
      <c r="AN1232" s="0" t="s">
        <v>145</v>
      </c>
      <c r="AO1232" s="0" t="s">
        <v>150</v>
      </c>
      <c r="AP1232" s="0" t="s">
        <v>151</v>
      </c>
      <c r="AQ1232" s="0" t="n">
        <v>9</v>
      </c>
      <c r="AR1232" s="0" t="n">
        <v>64</v>
      </c>
      <c r="AS1232" s="0" t="n">
        <v>32</v>
      </c>
      <c r="AU1232" s="0" t="n">
        <f aca="false">COUNTA($BA$640:$EH$640)</f>
        <v>1</v>
      </c>
      <c r="AV1232" s="0" t="n">
        <f aca="false">COUNTIF($BA$640:$EH$640,"D")</f>
        <v>0</v>
      </c>
      <c r="AW1232" s="0" t="n">
        <f aca="false">COUNTIF($BA$640:$EH$640,"R")</f>
        <v>0</v>
      </c>
      <c r="AX1232" s="0" t="n">
        <f aca="false">IF(BN1232="D",1,0)+IF(BO1232="D",1,0)+IF(BT1232="D",1,0)+IF(BU1232="D",1,0)+IF(BW1232="D",1,0)+IF(CC1232="D",1,0)+IF(CD1232="D",1,0)+IF(CE1232="D",1,0)+IF(CF1232="D",1,0)+IF(CL1232="D",1,0)+IF(CM1232="D",1,0)+IF(CQ1232="D",1,0)+IF(CR1232="D",1,0)+IF(CS1232="D",1,0)+IF(CW1232="D",1,0)+IF(CX1232="D",1,0)+IF(DD1232="D",1,0)+IF(DE1232="D",1,0)+IF(DJ1232="D",1,0)+IF(DK1232="D",1,0)+IF(DO1232="D",1,0)+IF(DP1232="D",1,0)+IF(DQ1232="D",1,0)+IF(DW1232="D",1,0)+IF(DZ1232="D",1,0)+IF(EH1232="D",1,0)</f>
        <v>0</v>
      </c>
      <c r="AY1232" s="0" t="n">
        <f aca="false">COUNTIF(DU1232:EH1232, "&lt;&gt;")</f>
        <v>0</v>
      </c>
      <c r="AZ1232" s="0" t="n">
        <f aca="false">IF(EH1232&lt;&gt;"",1,0)</f>
        <v>0</v>
      </c>
      <c r="BB1232" s="0" t="s">
        <v>152</v>
      </c>
    </row>
    <row r="1233" customFormat="false" ht="13.8" hidden="true" customHeight="false" outlineLevel="0" collapsed="false">
      <c r="A1233" s="0" t="s">
        <v>5804</v>
      </c>
      <c r="B1233" s="0" t="n">
        <v>78</v>
      </c>
      <c r="C1233" s="0" t="n">
        <v>495138</v>
      </c>
      <c r="D1233" s="0" t="s">
        <v>5344</v>
      </c>
      <c r="E1233" s="0" t="s">
        <v>5805</v>
      </c>
      <c r="F1233" s="0" t="str">
        <f aca="false">CONCATENATE(D1233," ",LEFT(H1233,4),"T=",AU1233,"D=",AV1233,"R=",AW1233,"M=",AX1233,"L=",AY1233,"B=",AZ1233)</f>
        <v>MURPHY T=7D=0R=0M=0L=0B=0</v>
      </c>
      <c r="G1233" s="0" t="s">
        <v>1617</v>
      </c>
      <c r="I1233" s="0" t="s">
        <v>5806</v>
      </c>
      <c r="J1233" s="0" t="s">
        <v>5807</v>
      </c>
      <c r="K1233" s="0" t="s">
        <v>160</v>
      </c>
      <c r="M1233" s="0" t="s">
        <v>5801</v>
      </c>
      <c r="N1233" s="0" t="str">
        <f aca="false">RIGHT(M1233,LEN(M1233)-FIND(" ",M1233))</f>
        <v>KENILWORTH AVE SE</v>
      </c>
      <c r="P1233" s="0" t="s">
        <v>145</v>
      </c>
      <c r="Q1233" s="0" t="s">
        <v>146</v>
      </c>
      <c r="R1233" s="0" t="n">
        <v>44484</v>
      </c>
      <c r="AD1233" s="0" t="s">
        <v>147</v>
      </c>
      <c r="AE1233" s="0" t="s">
        <v>148</v>
      </c>
      <c r="AF1233" s="0" t="s">
        <v>149</v>
      </c>
      <c r="AH1233" s="0" t="n">
        <v>14</v>
      </c>
      <c r="AI1233" s="0" t="n">
        <v>11</v>
      </c>
      <c r="AN1233" s="0" t="s">
        <v>145</v>
      </c>
      <c r="AO1233" s="0" t="s">
        <v>150</v>
      </c>
      <c r="AP1233" s="0" t="s">
        <v>151</v>
      </c>
      <c r="AQ1233" s="0" t="n">
        <v>9</v>
      </c>
      <c r="AR1233" s="0" t="n">
        <v>64</v>
      </c>
      <c r="AS1233" s="0" t="n">
        <v>32</v>
      </c>
      <c r="AU1233" s="0" t="n">
        <f aca="false">COUNTA($BA$957:$EH$957)</f>
        <v>7</v>
      </c>
      <c r="AV1233" s="0" t="n">
        <f aca="false">COUNTIF($BA$957:$EH$957,"D")</f>
        <v>0</v>
      </c>
      <c r="AW1233" s="0" t="n">
        <f aca="false">COUNTIF($BA$957:$EH$957,"R")</f>
        <v>0</v>
      </c>
      <c r="AX1233" s="0" t="n">
        <f aca="false">IF(BN1233="D",1,0)+IF(BO1233="D",1,0)+IF(BT1233="D",1,0)+IF(BU1233="D",1,0)+IF(BW1233="D",1,0)+IF(CC1233="D",1,0)+IF(CD1233="D",1,0)+IF(CE1233="D",1,0)+IF(CF1233="D",1,0)+IF(CL1233="D",1,0)+IF(CM1233="D",1,0)+IF(CQ1233="D",1,0)+IF(CR1233="D",1,0)+IF(CS1233="D",1,0)+IF(CW1233="D",1,0)+IF(CX1233="D",1,0)+IF(DD1233="D",1,0)+IF(DE1233="D",1,0)+IF(DJ1233="D",1,0)+IF(DK1233="D",1,0)+IF(DO1233="D",1,0)+IF(DP1233="D",1,0)+IF(DQ1233="D",1,0)+IF(DW1233="D",1,0)+IF(DZ1233="D",1,0)+IF(EH1233="D",1,0)</f>
        <v>0</v>
      </c>
      <c r="AY1233" s="0" t="n">
        <f aca="false">COUNTIF(DU1233:EH1233, "&lt;&gt;")</f>
        <v>0</v>
      </c>
      <c r="AZ1233" s="0" t="n">
        <f aca="false">IF(EH1233&lt;&gt;"",1,0)</f>
        <v>0</v>
      </c>
      <c r="BB1233" s="0" t="s">
        <v>152</v>
      </c>
    </row>
    <row r="1234" customFormat="false" ht="13.8" hidden="false" customHeight="false" outlineLevel="0" collapsed="false">
      <c r="A1234" s="0" t="s">
        <v>5808</v>
      </c>
      <c r="B1234" s="0" t="n">
        <v>78</v>
      </c>
      <c r="C1234" s="0" t="n">
        <v>382222</v>
      </c>
      <c r="D1234" s="0" t="s">
        <v>2798</v>
      </c>
      <c r="E1234" s="0" t="s">
        <v>5809</v>
      </c>
      <c r="F1234" s="0" t="str">
        <f aca="false">CONCATENATE(D1234," ",LEFT(H1234,4),"T=",AU1234,"D=",AV1234,"R=",AW1234,"M=",AX1234,"L=",AY1234,"B=",AZ1234)</f>
        <v>AUSTIN T=26D=1R=3M=0L=4B=0</v>
      </c>
      <c r="G1234" s="0" t="s">
        <v>164</v>
      </c>
      <c r="I1234" s="0" t="s">
        <v>5810</v>
      </c>
      <c r="J1234" s="0" t="s">
        <v>5811</v>
      </c>
      <c r="K1234" s="0" t="s">
        <v>160</v>
      </c>
      <c r="M1234" s="0" t="s">
        <v>5812</v>
      </c>
      <c r="N1234" s="0" t="str">
        <f aca="false">RIGHT(M1234,LEN(M1234)-FIND(" ",M1234))</f>
        <v>KENILWORTH AVE SE</v>
      </c>
      <c r="P1234" s="0" t="s">
        <v>145</v>
      </c>
      <c r="Q1234" s="0" t="s">
        <v>146</v>
      </c>
      <c r="R1234" s="0" t="n">
        <v>44484</v>
      </c>
      <c r="AD1234" s="0" t="s">
        <v>147</v>
      </c>
      <c r="AE1234" s="0" t="s">
        <v>148</v>
      </c>
      <c r="AF1234" s="0" t="s">
        <v>149</v>
      </c>
      <c r="AH1234" s="0" t="n">
        <v>14</v>
      </c>
      <c r="AI1234" s="0" t="n">
        <v>11</v>
      </c>
      <c r="AN1234" s="0" t="s">
        <v>145</v>
      </c>
      <c r="AO1234" s="0" t="s">
        <v>150</v>
      </c>
      <c r="AP1234" s="0" t="s">
        <v>151</v>
      </c>
      <c r="AQ1234" s="0" t="n">
        <v>9</v>
      </c>
      <c r="AR1234" s="0" t="n">
        <v>64</v>
      </c>
      <c r="AS1234" s="0" t="n">
        <v>32</v>
      </c>
      <c r="AU1234" s="0" t="n">
        <f aca="false">COUNTA($BA$732:$EH$732)</f>
        <v>26</v>
      </c>
      <c r="AV1234" s="0" t="n">
        <f aca="false">COUNTIF($BA$732:$EH$732,"D")</f>
        <v>1</v>
      </c>
      <c r="AW1234" s="0" t="n">
        <f aca="false">COUNTIF($BA$732:$EH$732,"R")</f>
        <v>3</v>
      </c>
      <c r="AX1234" s="0" t="n">
        <f aca="false">IF(BN1234="D",1,0)+IF(BO1234="D",1,0)+IF(BT1234="D",1,0)+IF(BU1234="D",1,0)+IF(BW1234="D",1,0)+IF(CC1234="D",1,0)+IF(CD1234="D",1,0)+IF(CE1234="D",1,0)+IF(CF1234="D",1,0)+IF(CL1234="D",1,0)+IF(CM1234="D",1,0)+IF(CQ1234="D",1,0)+IF(CR1234="D",1,0)+IF(CS1234="D",1,0)+IF(CW1234="D",1,0)+IF(CX1234="D",1,0)+IF(DD1234="D",1,0)+IF(DE1234="D",1,0)+IF(DJ1234="D",1,0)+IF(DK1234="D",1,0)+IF(DO1234="D",1,0)+IF(DP1234="D",1,0)+IF(DQ1234="D",1,0)+IF(DW1234="D",1,0)+IF(DZ1234="D",1,0)+IF(EH1234="D",1,0)</f>
        <v>0</v>
      </c>
      <c r="AY1234" s="0" t="n">
        <f aca="false">COUNTIF(DU1234:EH1234, "&lt;&gt;")</f>
        <v>4</v>
      </c>
      <c r="AZ1234" s="0" t="n">
        <f aca="false">IF(EH1234&lt;&gt;"",1,0)</f>
        <v>0</v>
      </c>
      <c r="BB1234" s="0" t="s">
        <v>152</v>
      </c>
      <c r="CN1234" s="0" t="s">
        <v>153</v>
      </c>
      <c r="CP1234" s="0" t="s">
        <v>153</v>
      </c>
      <c r="CV1234" s="0" t="s">
        <v>153</v>
      </c>
      <c r="CZ1234" s="0" t="s">
        <v>175</v>
      </c>
      <c r="DC1234" s="0" t="s">
        <v>153</v>
      </c>
      <c r="DG1234" s="0" t="s">
        <v>175</v>
      </c>
      <c r="DI1234" s="0" t="s">
        <v>153</v>
      </c>
      <c r="DL1234" s="0" t="s">
        <v>153</v>
      </c>
      <c r="DN1234" s="0" t="s">
        <v>153</v>
      </c>
      <c r="DR1234" s="0" t="s">
        <v>153</v>
      </c>
      <c r="DU1234" s="0" t="s">
        <v>153</v>
      </c>
      <c r="DX1234" s="0" t="s">
        <v>153</v>
      </c>
      <c r="EA1234" s="0" t="s">
        <v>153</v>
      </c>
      <c r="EF1234" s="0" t="s">
        <v>153</v>
      </c>
    </row>
    <row r="1235" customFormat="false" ht="13.8" hidden="false" customHeight="false" outlineLevel="0" collapsed="false">
      <c r="A1235" s="0" t="s">
        <v>5813</v>
      </c>
      <c r="B1235" s="0" t="n">
        <v>78</v>
      </c>
      <c r="C1235" s="0" t="n">
        <v>259371</v>
      </c>
      <c r="D1235" s="0" t="s">
        <v>2798</v>
      </c>
      <c r="E1235" s="0" t="s">
        <v>763</v>
      </c>
      <c r="F1235" s="0" t="str">
        <f aca="false">CONCATENATE(D1235," ",LEFT(H1235,4),"T=",AU1235,"D=",AV1235,"R=",AW1235,"M=",AX1235,"L=",AY1235,"B=",AZ1235)</f>
        <v>AUSTIN T=10D=1R=0M=1L=3B=0</v>
      </c>
      <c r="I1235" s="0" t="s">
        <v>5814</v>
      </c>
      <c r="J1235" s="0" t="s">
        <v>5815</v>
      </c>
      <c r="K1235" s="0" t="s">
        <v>160</v>
      </c>
      <c r="M1235" s="0" t="s">
        <v>5812</v>
      </c>
      <c r="N1235" s="0" t="str">
        <f aca="false">RIGHT(M1235,LEN(M1235)-FIND(" ",M1235))</f>
        <v>KENILWORTH AVE SE</v>
      </c>
      <c r="P1235" s="0" t="s">
        <v>145</v>
      </c>
      <c r="Q1235" s="0" t="s">
        <v>146</v>
      </c>
      <c r="R1235" s="0" t="n">
        <v>44484</v>
      </c>
      <c r="AD1235" s="0" t="s">
        <v>147</v>
      </c>
      <c r="AE1235" s="0" t="s">
        <v>148</v>
      </c>
      <c r="AF1235" s="0" t="s">
        <v>149</v>
      </c>
      <c r="AH1235" s="0" t="n">
        <v>14</v>
      </c>
      <c r="AI1235" s="0" t="n">
        <v>11</v>
      </c>
      <c r="AN1235" s="0" t="s">
        <v>145</v>
      </c>
      <c r="AO1235" s="0" t="s">
        <v>150</v>
      </c>
      <c r="AP1235" s="0" t="s">
        <v>151</v>
      </c>
      <c r="AQ1235" s="0" t="n">
        <v>9</v>
      </c>
      <c r="AR1235" s="0" t="n">
        <v>64</v>
      </c>
      <c r="AS1235" s="0" t="n">
        <v>32</v>
      </c>
      <c r="AU1235" s="0" t="n">
        <f aca="false">COUNTA($BA$757:$EH$757)</f>
        <v>10</v>
      </c>
      <c r="AV1235" s="0" t="n">
        <f aca="false">COUNTIF($BA$757:$EH$757,"D")</f>
        <v>1</v>
      </c>
      <c r="AW1235" s="0" t="n">
        <f aca="false">COUNTIF($BA$757:$EH$757,"R")</f>
        <v>0</v>
      </c>
      <c r="AX1235" s="0" t="n">
        <f aca="false">IF(BN1235="D",1,0)+IF(BO1235="D",1,0)+IF(BT1235="D",1,0)+IF(BU1235="D",1,0)+IF(BW1235="D",1,0)+IF(CC1235="D",1,0)+IF(CD1235="D",1,0)+IF(CE1235="D",1,0)+IF(CF1235="D",1,0)+IF(CL1235="D",1,0)+IF(CM1235="D",1,0)+IF(CQ1235="D",1,0)+IF(CR1235="D",1,0)+IF(CS1235="D",1,0)+IF(CW1235="D",1,0)+IF(CX1235="D",1,0)+IF(DD1235="D",1,0)+IF(DE1235="D",1,0)+IF(DJ1235="D",1,0)+IF(DK1235="D",1,0)+IF(DO1235="D",1,0)+IF(DP1235="D",1,0)+IF(DQ1235="D",1,0)+IF(DW1235="D",1,0)+IF(DZ1235="D",1,0)+IF(EH1235="D",1,0)</f>
        <v>1</v>
      </c>
      <c r="AY1235" s="0" t="n">
        <f aca="false">COUNTIF(DU1235:EH1235, "&lt;&gt;")</f>
        <v>3</v>
      </c>
      <c r="AZ1235" s="0" t="n">
        <f aca="false">IF(EH1235&lt;&gt;"",1,0)</f>
        <v>0</v>
      </c>
      <c r="BB1235" s="0" t="s">
        <v>152</v>
      </c>
      <c r="BC1235" s="0" t="s">
        <v>153</v>
      </c>
      <c r="BD1235" s="0" t="s">
        <v>153</v>
      </c>
      <c r="BJ1235" s="0" t="s">
        <v>153</v>
      </c>
      <c r="BK1235" s="0" t="s">
        <v>153</v>
      </c>
      <c r="BL1235" s="0" t="s">
        <v>153</v>
      </c>
      <c r="BS1235" s="0" t="s">
        <v>153</v>
      </c>
      <c r="BY1235" s="0" t="s">
        <v>175</v>
      </c>
      <c r="CA1235" s="0" t="s">
        <v>153</v>
      </c>
      <c r="CL1235" s="0" t="s">
        <v>175</v>
      </c>
      <c r="CN1235" s="0" t="s">
        <v>153</v>
      </c>
      <c r="CP1235" s="0" t="s">
        <v>153</v>
      </c>
      <c r="CV1235" s="0" t="s">
        <v>153</v>
      </c>
      <c r="CY1235" s="0" t="s">
        <v>153</v>
      </c>
      <c r="CZ1235" s="0" t="s">
        <v>175</v>
      </c>
      <c r="DC1235" s="0" t="s">
        <v>153</v>
      </c>
      <c r="DF1235" s="0" t="s">
        <v>153</v>
      </c>
      <c r="DG1235" s="0" t="s">
        <v>175</v>
      </c>
      <c r="DI1235" s="0" t="s">
        <v>153</v>
      </c>
      <c r="DL1235" s="0" t="s">
        <v>153</v>
      </c>
      <c r="DN1235" s="0" t="s">
        <v>153</v>
      </c>
      <c r="DR1235" s="0" t="s">
        <v>153</v>
      </c>
      <c r="DU1235" s="0" t="s">
        <v>153</v>
      </c>
      <c r="EA1235" s="0" t="s">
        <v>153</v>
      </c>
      <c r="EF1235" s="0" t="s">
        <v>153</v>
      </c>
    </row>
    <row r="1236" customFormat="false" ht="13.8" hidden="true" customHeight="false" outlineLevel="0" collapsed="false">
      <c r="A1236" s="0" t="s">
        <v>5816</v>
      </c>
      <c r="B1236" s="0" t="n">
        <v>78</v>
      </c>
      <c r="C1236" s="0" t="n">
        <v>387562</v>
      </c>
      <c r="D1236" s="0" t="s">
        <v>761</v>
      </c>
      <c r="E1236" s="0" t="s">
        <v>5817</v>
      </c>
      <c r="F1236" s="0" t="str">
        <f aca="false">CONCATENATE(D1236," ",LEFT(H1236,4),"T=",AU1236,"D=",AV1236,"R=",AW1236,"M=",AX1236,"L=",AY1236,"B=",AZ1236)</f>
        <v>BROWN T=17D=7R=0M=0L=0B=0</v>
      </c>
      <c r="G1236" s="0" t="s">
        <v>670</v>
      </c>
      <c r="I1236" s="0" t="s">
        <v>5818</v>
      </c>
      <c r="J1236" s="0" t="s">
        <v>5819</v>
      </c>
      <c r="K1236" s="0" t="s">
        <v>143</v>
      </c>
      <c r="M1236" s="0" t="s">
        <v>5820</v>
      </c>
      <c r="N1236" s="0" t="str">
        <f aca="false">RIGHT(M1236,LEN(M1236)-FIND(" ",M1236))</f>
        <v>KENILWORTH AVE SE</v>
      </c>
      <c r="P1236" s="0" t="s">
        <v>145</v>
      </c>
      <c r="Q1236" s="0" t="s">
        <v>146</v>
      </c>
      <c r="R1236" s="0" t="n">
        <v>44484</v>
      </c>
      <c r="AD1236" s="0" t="s">
        <v>147</v>
      </c>
      <c r="AE1236" s="0" t="s">
        <v>148</v>
      </c>
      <c r="AF1236" s="0" t="s">
        <v>149</v>
      </c>
      <c r="AH1236" s="0" t="n">
        <v>14</v>
      </c>
      <c r="AI1236" s="0" t="n">
        <v>11</v>
      </c>
      <c r="AN1236" s="0" t="s">
        <v>145</v>
      </c>
      <c r="AO1236" s="0" t="s">
        <v>150</v>
      </c>
      <c r="AP1236" s="0" t="s">
        <v>151</v>
      </c>
      <c r="AQ1236" s="0" t="n">
        <v>9</v>
      </c>
      <c r="AR1236" s="0" t="n">
        <v>64</v>
      </c>
      <c r="AS1236" s="0" t="n">
        <v>32</v>
      </c>
      <c r="AU1236" s="0" t="n">
        <f aca="false">COUNTA($BA$661:$EH$661)</f>
        <v>17</v>
      </c>
      <c r="AV1236" s="0" t="n">
        <f aca="false">COUNTIF($BA$661:$EH$661,"D")</f>
        <v>7</v>
      </c>
      <c r="AW1236" s="0" t="n">
        <f aca="false">COUNTIF($BA$661:$EH$661,"R")</f>
        <v>0</v>
      </c>
      <c r="AX1236" s="0" t="n">
        <f aca="false">IF(BN1236="D",1,0)+IF(BO1236="D",1,0)+IF(BT1236="D",1,0)+IF(BU1236="D",1,0)+IF(BW1236="D",1,0)+IF(CC1236="D",1,0)+IF(CD1236="D",1,0)+IF(CE1236="D",1,0)+IF(CF1236="D",1,0)+IF(CL1236="D",1,0)+IF(CM1236="D",1,0)+IF(CQ1236="D",1,0)+IF(CR1236="D",1,0)+IF(CS1236="D",1,0)+IF(CW1236="D",1,0)+IF(CX1236="D",1,0)+IF(DD1236="D",1,0)+IF(DE1236="D",1,0)+IF(DJ1236="D",1,0)+IF(DK1236="D",1,0)+IF(DO1236="D",1,0)+IF(DP1236="D",1,0)+IF(DQ1236="D",1,0)+IF(DW1236="D",1,0)+IF(DZ1236="D",1,0)+IF(EH1236="D",1,0)</f>
        <v>0</v>
      </c>
      <c r="AY1236" s="0" t="n">
        <f aca="false">COUNTIF(DU1236:EH1236, "&lt;&gt;")</f>
        <v>0</v>
      </c>
      <c r="AZ1236" s="0" t="n">
        <f aca="false">IF(EH1236&lt;&gt;"",1,0)</f>
        <v>0</v>
      </c>
      <c r="BB1236" s="0" t="s">
        <v>152</v>
      </c>
    </row>
    <row r="1237" customFormat="false" ht="13.8" hidden="false" customHeight="false" outlineLevel="0" collapsed="false">
      <c r="A1237" s="0" t="s">
        <v>5821</v>
      </c>
      <c r="B1237" s="0" t="n">
        <v>78</v>
      </c>
      <c r="C1237" s="0" t="n">
        <v>447733</v>
      </c>
      <c r="D1237" s="0" t="s">
        <v>2406</v>
      </c>
      <c r="E1237" s="0" t="s">
        <v>5822</v>
      </c>
      <c r="F1237" s="0" t="str">
        <f aca="false">CONCATENATE(D1237," ",LEFT(H1237,4),"T=",AU1237,"D=",AV1237,"R=",AW1237,"M=",AX1237,"L=",AY1237,"B=",AZ1237)</f>
        <v>WALTERS T=4D=0R=0M=0L=2B=0</v>
      </c>
      <c r="G1237" s="0" t="s">
        <v>190</v>
      </c>
      <c r="I1237" s="0" t="s">
        <v>5823</v>
      </c>
      <c r="J1237" s="0" t="s">
        <v>5395</v>
      </c>
      <c r="K1237" s="0" t="s">
        <v>160</v>
      </c>
      <c r="M1237" s="0" t="s">
        <v>5820</v>
      </c>
      <c r="N1237" s="0" t="str">
        <f aca="false">RIGHT(M1237,LEN(M1237)-FIND(" ",M1237))</f>
        <v>KENILWORTH AVE SE</v>
      </c>
      <c r="P1237" s="0" t="s">
        <v>145</v>
      </c>
      <c r="Q1237" s="0" t="s">
        <v>146</v>
      </c>
      <c r="R1237" s="0" t="n">
        <v>44484</v>
      </c>
      <c r="AD1237" s="0" t="s">
        <v>147</v>
      </c>
      <c r="AE1237" s="0" t="s">
        <v>148</v>
      </c>
      <c r="AF1237" s="0" t="s">
        <v>149</v>
      </c>
      <c r="AH1237" s="0" t="n">
        <v>14</v>
      </c>
      <c r="AI1237" s="0" t="n">
        <v>11</v>
      </c>
      <c r="AN1237" s="0" t="s">
        <v>145</v>
      </c>
      <c r="AO1237" s="0" t="s">
        <v>150</v>
      </c>
      <c r="AP1237" s="0" t="s">
        <v>151</v>
      </c>
      <c r="AQ1237" s="0" t="n">
        <v>9</v>
      </c>
      <c r="AR1237" s="0" t="n">
        <v>64</v>
      </c>
      <c r="AS1237" s="0" t="n">
        <v>32</v>
      </c>
      <c r="AU1237" s="0" t="n">
        <f aca="false">COUNTA($BA$1059:$EH$1059)</f>
        <v>4</v>
      </c>
      <c r="AV1237" s="0" t="n">
        <f aca="false">COUNTIF($BA$1059:$EH$1059,"D")</f>
        <v>0</v>
      </c>
      <c r="AW1237" s="0" t="n">
        <f aca="false">COUNTIF($BA$1059:$EH$1059,"R")</f>
        <v>0</v>
      </c>
      <c r="AX1237" s="0" t="n">
        <f aca="false">IF(BN1237="D",1,0)+IF(BO1237="D",1,0)+IF(BT1237="D",1,0)+IF(BU1237="D",1,0)+IF(BW1237="D",1,0)+IF(CC1237="D",1,0)+IF(CD1237="D",1,0)+IF(CE1237="D",1,0)+IF(CF1237="D",1,0)+IF(CL1237="D",1,0)+IF(CM1237="D",1,0)+IF(CQ1237="D",1,0)+IF(CR1237="D",1,0)+IF(CS1237="D",1,0)+IF(CW1237="D",1,0)+IF(CX1237="D",1,0)+IF(DD1237="D",1,0)+IF(DE1237="D",1,0)+IF(DJ1237="D",1,0)+IF(DK1237="D",1,0)+IF(DO1237="D",1,0)+IF(DP1237="D",1,0)+IF(DQ1237="D",1,0)+IF(DW1237="D",1,0)+IF(DZ1237="D",1,0)+IF(EH1237="D",1,0)</f>
        <v>0</v>
      </c>
      <c r="AY1237" s="0" t="n">
        <f aca="false">COUNTIF(DU1237:EH1237, "&lt;&gt;")</f>
        <v>2</v>
      </c>
      <c r="AZ1237" s="0" t="n">
        <f aca="false">IF(EH1237&lt;&gt;"",1,0)</f>
        <v>0</v>
      </c>
      <c r="BB1237" s="0" t="s">
        <v>152</v>
      </c>
      <c r="BL1237" s="0" t="s">
        <v>153</v>
      </c>
      <c r="DN1237" s="0" t="s">
        <v>153</v>
      </c>
      <c r="DU1237" s="0" t="s">
        <v>153</v>
      </c>
      <c r="EF1237" s="0" t="s">
        <v>153</v>
      </c>
    </row>
    <row r="1238" customFormat="false" ht="13.8" hidden="true" customHeight="false" outlineLevel="0" collapsed="false">
      <c r="A1238" s="0" t="s">
        <v>5824</v>
      </c>
      <c r="B1238" s="0" t="n">
        <v>78</v>
      </c>
      <c r="C1238" s="0" t="n">
        <v>486944</v>
      </c>
      <c r="D1238" s="0" t="s">
        <v>1466</v>
      </c>
      <c r="E1238" s="0" t="s">
        <v>5825</v>
      </c>
      <c r="F1238" s="0" t="str">
        <f aca="false">CONCATENATE(D1238," ",LEFT(H1238,4),"T=",AU1238,"D=",AV1238,"R=",AW1238,"M=",AX1238,"L=",AY1238,"B=",AZ1238)</f>
        <v>JOHNSON T=36D=11R=0M=0L=0B=0</v>
      </c>
      <c r="G1238" s="0" t="s">
        <v>202</v>
      </c>
      <c r="I1238" s="0" t="s">
        <v>5826</v>
      </c>
      <c r="J1238" s="0" t="s">
        <v>399</v>
      </c>
      <c r="K1238" s="0" t="s">
        <v>160</v>
      </c>
      <c r="M1238" s="0" t="s">
        <v>5820</v>
      </c>
      <c r="N1238" s="0" t="str">
        <f aca="false">RIGHT(M1238,LEN(M1238)-FIND(" ",M1238))</f>
        <v>KENILWORTH AVE SE</v>
      </c>
      <c r="P1238" s="0" t="s">
        <v>145</v>
      </c>
      <c r="Q1238" s="0" t="s">
        <v>146</v>
      </c>
      <c r="R1238" s="0" t="n">
        <v>44484</v>
      </c>
      <c r="AD1238" s="0" t="s">
        <v>147</v>
      </c>
      <c r="AE1238" s="0" t="s">
        <v>148</v>
      </c>
      <c r="AF1238" s="0" t="s">
        <v>149</v>
      </c>
      <c r="AH1238" s="0" t="n">
        <v>14</v>
      </c>
      <c r="AI1238" s="0" t="n">
        <v>11</v>
      </c>
      <c r="AN1238" s="0" t="s">
        <v>145</v>
      </c>
      <c r="AO1238" s="0" t="s">
        <v>150</v>
      </c>
      <c r="AP1238" s="0" t="s">
        <v>151</v>
      </c>
      <c r="AQ1238" s="0" t="n">
        <v>9</v>
      </c>
      <c r="AR1238" s="0" t="n">
        <v>64</v>
      </c>
      <c r="AS1238" s="0" t="n">
        <v>32</v>
      </c>
      <c r="AU1238" s="0" t="n">
        <f aca="false">COUNTA($BA$1071:$EH$1071)</f>
        <v>36</v>
      </c>
      <c r="AV1238" s="0" t="n">
        <f aca="false">COUNTIF($BA$1071:$EH$1071,"D")</f>
        <v>11</v>
      </c>
      <c r="AW1238" s="0" t="n">
        <f aca="false">COUNTIF($BA$1071:$EH$1071,"R")</f>
        <v>0</v>
      </c>
      <c r="AX1238" s="0" t="n">
        <f aca="false">IF(BN1238="D",1,0)+IF(BO1238="D",1,0)+IF(BT1238="D",1,0)+IF(BU1238="D",1,0)+IF(BW1238="D",1,0)+IF(CC1238="D",1,0)+IF(CD1238="D",1,0)+IF(CE1238="D",1,0)+IF(CF1238="D",1,0)+IF(CL1238="D",1,0)+IF(CM1238="D",1,0)+IF(CQ1238="D",1,0)+IF(CR1238="D",1,0)+IF(CS1238="D",1,0)+IF(CW1238="D",1,0)+IF(CX1238="D",1,0)+IF(DD1238="D",1,0)+IF(DE1238="D",1,0)+IF(DJ1238="D",1,0)+IF(DK1238="D",1,0)+IF(DO1238="D",1,0)+IF(DP1238="D",1,0)+IF(DQ1238="D",1,0)+IF(DW1238="D",1,0)+IF(DZ1238="D",1,0)+IF(EH1238="D",1,0)</f>
        <v>0</v>
      </c>
      <c r="AY1238" s="0" t="n">
        <f aca="false">COUNTIF(DU1238:EH1238, "&lt;&gt;")</f>
        <v>0</v>
      </c>
      <c r="AZ1238" s="0" t="n">
        <f aca="false">IF(EH1238&lt;&gt;"",1,0)</f>
        <v>0</v>
      </c>
      <c r="BB1238" s="0" t="s">
        <v>152</v>
      </c>
    </row>
    <row r="1239" customFormat="false" ht="13.8" hidden="false" customHeight="false" outlineLevel="0" collapsed="false">
      <c r="A1239" s="0" t="s">
        <v>5827</v>
      </c>
      <c r="B1239" s="0" t="n">
        <v>78</v>
      </c>
      <c r="C1239" s="0" t="n">
        <v>466256</v>
      </c>
      <c r="D1239" s="0" t="s">
        <v>5828</v>
      </c>
      <c r="E1239" s="0" t="s">
        <v>3212</v>
      </c>
      <c r="F1239" s="0" t="str">
        <f aca="false">CONCATENATE(D1239," ",LEFT(H1239,4),"T=",AU1239,"D=",AV1239,"R=",AW1239,"M=",AX1239,"L=",AY1239,"B=",AZ1239)</f>
        <v>LENOX T=6D=0R=0M=1L=5B=0</v>
      </c>
      <c r="G1239" s="0" t="s">
        <v>307</v>
      </c>
      <c r="I1239" s="0" t="s">
        <v>5829</v>
      </c>
      <c r="J1239" s="0" t="s">
        <v>1724</v>
      </c>
      <c r="K1239" s="0" t="s">
        <v>160</v>
      </c>
      <c r="L1239" s="0" t="s">
        <v>175</v>
      </c>
      <c r="M1239" s="0" t="s">
        <v>5830</v>
      </c>
      <c r="N1239" s="0" t="str">
        <f aca="false">RIGHT(M1239,LEN(M1239)-FIND(" ",M1239))</f>
        <v>KENILWORTH AVE SE</v>
      </c>
      <c r="P1239" s="0" t="s">
        <v>145</v>
      </c>
      <c r="Q1239" s="0" t="s">
        <v>146</v>
      </c>
      <c r="R1239" s="0" t="n">
        <v>44484</v>
      </c>
      <c r="AD1239" s="0" t="s">
        <v>147</v>
      </c>
      <c r="AE1239" s="0" t="s">
        <v>148</v>
      </c>
      <c r="AF1239" s="0" t="s">
        <v>149</v>
      </c>
      <c r="AH1239" s="0" t="n">
        <v>14</v>
      </c>
      <c r="AI1239" s="0" t="n">
        <v>11</v>
      </c>
      <c r="AN1239" s="0" t="s">
        <v>145</v>
      </c>
      <c r="AO1239" s="0" t="s">
        <v>150</v>
      </c>
      <c r="AP1239" s="0" t="s">
        <v>151</v>
      </c>
      <c r="AQ1239" s="0" t="n">
        <v>9</v>
      </c>
      <c r="AR1239" s="0" t="n">
        <v>64</v>
      </c>
      <c r="AS1239" s="0" t="n">
        <v>32</v>
      </c>
      <c r="AU1239" s="0" t="n">
        <f aca="false">COUNTA($BA$201:$EH$201)</f>
        <v>6</v>
      </c>
      <c r="AV1239" s="0" t="n">
        <f aca="false">COUNTIF($BA$201:$EH$201,"D")</f>
        <v>0</v>
      </c>
      <c r="AW1239" s="0" t="n">
        <f aca="false">COUNTIF($BA$201:$EH$201,"R")</f>
        <v>0</v>
      </c>
      <c r="AX1239" s="0" t="n">
        <f aca="false">IF(BN1239="D",1,0)+IF(BO1239="D",1,0)+IF(BT1239="D",1,0)+IF(BU1239="D",1,0)+IF(BW1239="D",1,0)+IF(CC1239="D",1,0)+IF(CD1239="D",1,0)+IF(CE1239="D",1,0)+IF(CF1239="D",1,0)+IF(CL1239="D",1,0)+IF(CM1239="D",1,0)+IF(CQ1239="D",1,0)+IF(CR1239="D",1,0)+IF(CS1239="D",1,0)+IF(CW1239="D",1,0)+IF(CX1239="D",1,0)+IF(DD1239="D",1,0)+IF(DE1239="D",1,0)+IF(DJ1239="D",1,0)+IF(DK1239="D",1,0)+IF(DO1239="D",1,0)+IF(DP1239="D",1,0)+IF(DQ1239="D",1,0)+IF(DW1239="D",1,0)+IF(DZ1239="D",1,0)+IF(EH1239="D",1,0)</f>
        <v>1</v>
      </c>
      <c r="AY1239" s="0" t="n">
        <f aca="false">COUNTIF(DU1239:EH1239, "&lt;&gt;")</f>
        <v>5</v>
      </c>
      <c r="AZ1239" s="0" t="n">
        <f aca="false">IF(EH1239&lt;&gt;"",1,0)</f>
        <v>0</v>
      </c>
      <c r="BB1239" s="0" t="s">
        <v>152</v>
      </c>
      <c r="DC1239" s="0" t="s">
        <v>153</v>
      </c>
      <c r="DN1239" s="0" t="s">
        <v>153</v>
      </c>
      <c r="DU1239" s="0" t="s">
        <v>153</v>
      </c>
      <c r="DW1239" s="0" t="s">
        <v>175</v>
      </c>
      <c r="DX1239" s="0" t="s">
        <v>153</v>
      </c>
      <c r="EA1239" s="0" t="s">
        <v>153</v>
      </c>
      <c r="EF1239" s="0" t="s">
        <v>153</v>
      </c>
    </row>
    <row r="1240" customFormat="false" ht="13.8" hidden="true" customHeight="false" outlineLevel="0" collapsed="false">
      <c r="A1240" s="0" t="s">
        <v>5831</v>
      </c>
      <c r="B1240" s="0" t="n">
        <v>78</v>
      </c>
      <c r="C1240" s="0" t="n">
        <v>388108</v>
      </c>
      <c r="D1240" s="0" t="s">
        <v>5828</v>
      </c>
      <c r="E1240" s="0" t="s">
        <v>5832</v>
      </c>
      <c r="F1240" s="0" t="str">
        <f aca="false">CONCATENATE(D1240," ",LEFT(H1240,4),"T=",AU1240,"D=",AV1240,"R=",AW1240,"M=",AX1240,"L=",AY1240,"B=",AZ1240)</f>
        <v>LENOX T=3D=0R=0M=0L=1B=0</v>
      </c>
      <c r="G1240" s="0" t="s">
        <v>379</v>
      </c>
      <c r="I1240" s="0" t="s">
        <v>5833</v>
      </c>
      <c r="J1240" s="0" t="s">
        <v>5834</v>
      </c>
      <c r="K1240" s="0" t="s">
        <v>160</v>
      </c>
      <c r="M1240" s="0" t="s">
        <v>5830</v>
      </c>
      <c r="N1240" s="0" t="str">
        <f aca="false">RIGHT(M1240,LEN(M1240)-FIND(" ",M1240))</f>
        <v>KENILWORTH AVE SE</v>
      </c>
      <c r="P1240" s="0" t="s">
        <v>145</v>
      </c>
      <c r="Q1240" s="0" t="s">
        <v>146</v>
      </c>
      <c r="R1240" s="0" t="n">
        <v>44484</v>
      </c>
      <c r="AD1240" s="0" t="s">
        <v>147</v>
      </c>
      <c r="AE1240" s="0" t="s">
        <v>148</v>
      </c>
      <c r="AF1240" s="0" t="s">
        <v>149</v>
      </c>
      <c r="AH1240" s="0" t="n">
        <v>14</v>
      </c>
      <c r="AI1240" s="0" t="n">
        <v>11</v>
      </c>
      <c r="AN1240" s="0" t="s">
        <v>145</v>
      </c>
      <c r="AO1240" s="0" t="s">
        <v>150</v>
      </c>
      <c r="AP1240" s="0" t="s">
        <v>151</v>
      </c>
      <c r="AQ1240" s="0" t="n">
        <v>9</v>
      </c>
      <c r="AR1240" s="0" t="n">
        <v>64</v>
      </c>
      <c r="AS1240" s="0" t="n">
        <v>32</v>
      </c>
      <c r="AU1240" s="0" t="n">
        <f aca="false">COUNTA($BA$1080:$EH$1080)</f>
        <v>3</v>
      </c>
      <c r="AV1240" s="0" t="n">
        <f aca="false">COUNTIF($BA$1080:$EH$1080,"D")</f>
        <v>0</v>
      </c>
      <c r="AW1240" s="0" t="n">
        <f aca="false">COUNTIF($BA$1080:$EH$1080,"R")</f>
        <v>0</v>
      </c>
      <c r="AX1240" s="0" t="n">
        <f aca="false">IF(BN1240="D",1,0)+IF(BO1240="D",1,0)+IF(BT1240="D",1,0)+IF(BU1240="D",1,0)+IF(BW1240="D",1,0)+IF(CC1240="D",1,0)+IF(CD1240="D",1,0)+IF(CE1240="D",1,0)+IF(CF1240="D",1,0)+IF(CL1240="D",1,0)+IF(CM1240="D",1,0)+IF(CQ1240="D",1,0)+IF(CR1240="D",1,0)+IF(CS1240="D",1,0)+IF(CW1240="D",1,0)+IF(CX1240="D",1,0)+IF(DD1240="D",1,0)+IF(DE1240="D",1,0)+IF(DJ1240="D",1,0)+IF(DK1240="D",1,0)+IF(DO1240="D",1,0)+IF(DP1240="D",1,0)+IF(DQ1240="D",1,0)+IF(DW1240="D",1,0)+IF(DZ1240="D",1,0)+IF(EH1240="D",1,0)</f>
        <v>0</v>
      </c>
      <c r="AY1240" s="0" t="n">
        <f aca="false">COUNTIF(DU1240:EH1240, "&lt;&gt;")</f>
        <v>1</v>
      </c>
      <c r="AZ1240" s="0" t="n">
        <f aca="false">IF(EH1240&lt;&gt;"",1,0)</f>
        <v>0</v>
      </c>
      <c r="BB1240" s="0" t="s">
        <v>152</v>
      </c>
      <c r="CY1240" s="0" t="s">
        <v>153</v>
      </c>
      <c r="DC1240" s="0" t="s">
        <v>153</v>
      </c>
      <c r="DN1240" s="0" t="s">
        <v>153</v>
      </c>
      <c r="DU1240" s="0" t="s">
        <v>153</v>
      </c>
    </row>
    <row r="1241" customFormat="false" ht="13.8" hidden="true" customHeight="false" outlineLevel="0" collapsed="false">
      <c r="A1241" s="0" t="s">
        <v>5835</v>
      </c>
      <c r="B1241" s="0" t="n">
        <v>78</v>
      </c>
      <c r="C1241" s="0" t="n">
        <v>283733</v>
      </c>
      <c r="D1241" s="0" t="s">
        <v>1445</v>
      </c>
      <c r="E1241" s="0" t="s">
        <v>5836</v>
      </c>
      <c r="F1241" s="0" t="str">
        <f aca="false">CONCATENATE(D1241," ",LEFT(H1241,4),"T=",AU1241,"D=",AV1241,"R=",AW1241,"M=",AX1241,"L=",AY1241,"B=",AZ1241)</f>
        <v>WILLIAMS T=3D=0R=1M=0L=0B=0</v>
      </c>
      <c r="G1241" s="0" t="s">
        <v>175</v>
      </c>
      <c r="I1241" s="0" t="s">
        <v>5837</v>
      </c>
      <c r="J1241" s="0" t="s">
        <v>5838</v>
      </c>
      <c r="K1241" s="0" t="s">
        <v>143</v>
      </c>
      <c r="M1241" s="0" t="s">
        <v>5839</v>
      </c>
      <c r="N1241" s="0" t="str">
        <f aca="false">RIGHT(M1241,LEN(M1241)-FIND(" ",M1241))</f>
        <v>KENILWORTH AVE SE</v>
      </c>
      <c r="P1241" s="0" t="s">
        <v>145</v>
      </c>
      <c r="Q1241" s="0" t="s">
        <v>146</v>
      </c>
      <c r="R1241" s="0" t="n">
        <v>44484</v>
      </c>
      <c r="AD1241" s="0" t="s">
        <v>147</v>
      </c>
      <c r="AE1241" s="0" t="s">
        <v>148</v>
      </c>
      <c r="AF1241" s="0" t="s">
        <v>149</v>
      </c>
      <c r="AH1241" s="0" t="n">
        <v>14</v>
      </c>
      <c r="AI1241" s="0" t="n">
        <v>11</v>
      </c>
      <c r="AN1241" s="0" t="s">
        <v>145</v>
      </c>
      <c r="AO1241" s="0" t="s">
        <v>150</v>
      </c>
      <c r="AP1241" s="0" t="s">
        <v>151</v>
      </c>
      <c r="AQ1241" s="0" t="n">
        <v>9</v>
      </c>
      <c r="AR1241" s="0" t="n">
        <v>64</v>
      </c>
      <c r="AS1241" s="0" t="n">
        <v>32</v>
      </c>
      <c r="AU1241" s="0" t="n">
        <f aca="false">COUNTA($BA$665:$EH$665)</f>
        <v>3</v>
      </c>
      <c r="AV1241" s="0" t="n">
        <f aca="false">COUNTIF($BA$665:$EH$665,"D")</f>
        <v>0</v>
      </c>
      <c r="AW1241" s="0" t="n">
        <f aca="false">COUNTIF($BA$665:$EH$665,"R")</f>
        <v>1</v>
      </c>
      <c r="AX1241" s="0" t="n">
        <f aca="false">IF(BN1241="D",1,0)+IF(BO1241="D",1,0)+IF(BT1241="D",1,0)+IF(BU1241="D",1,0)+IF(BW1241="D",1,0)+IF(CC1241="D",1,0)+IF(CD1241="D",1,0)+IF(CE1241="D",1,0)+IF(CF1241="D",1,0)+IF(CL1241="D",1,0)+IF(CM1241="D",1,0)+IF(CQ1241="D",1,0)+IF(CR1241="D",1,0)+IF(CS1241="D",1,0)+IF(CW1241="D",1,0)+IF(CX1241="D",1,0)+IF(DD1241="D",1,0)+IF(DE1241="D",1,0)+IF(DJ1241="D",1,0)+IF(DK1241="D",1,0)+IF(DO1241="D",1,0)+IF(DP1241="D",1,0)+IF(DQ1241="D",1,0)+IF(DW1241="D",1,0)+IF(DZ1241="D",1,0)+IF(EH1241="D",1,0)</f>
        <v>0</v>
      </c>
      <c r="AY1241" s="0" t="n">
        <f aca="false">COUNTIF(DU1241:EH1241, "&lt;&gt;")</f>
        <v>0</v>
      </c>
      <c r="AZ1241" s="0" t="n">
        <f aca="false">IF(EH1241&lt;&gt;"",1,0)</f>
        <v>0</v>
      </c>
      <c r="BB1241" s="0" t="s">
        <v>152</v>
      </c>
      <c r="BL1241" s="0" t="s">
        <v>153</v>
      </c>
      <c r="BV1241" s="0" t="s">
        <v>153</v>
      </c>
      <c r="CA1241" s="0" t="s">
        <v>153</v>
      </c>
      <c r="CN1241" s="0" t="s">
        <v>153</v>
      </c>
      <c r="CP1241" s="0" t="s">
        <v>153</v>
      </c>
      <c r="CV1241" s="0" t="s">
        <v>153</v>
      </c>
      <c r="CY1241" s="0" t="s">
        <v>153</v>
      </c>
      <c r="CZ1241" s="0" t="s">
        <v>175</v>
      </c>
      <c r="DC1241" s="0" t="s">
        <v>153</v>
      </c>
      <c r="DI1241" s="0" t="s">
        <v>153</v>
      </c>
      <c r="DN1241" s="0" t="s">
        <v>153</v>
      </c>
    </row>
    <row r="1242" customFormat="false" ht="13.8" hidden="true" customHeight="false" outlineLevel="0" collapsed="false">
      <c r="A1242" s="0" t="s">
        <v>5840</v>
      </c>
      <c r="B1242" s="0" t="n">
        <v>78</v>
      </c>
      <c r="C1242" s="0" t="n">
        <v>263101</v>
      </c>
      <c r="D1242" s="0" t="s">
        <v>3550</v>
      </c>
      <c r="E1242" s="0" t="s">
        <v>610</v>
      </c>
      <c r="F1242" s="0" t="str">
        <f aca="false">CONCATENATE(D1242," ",LEFT(H1242,4),"T=",AU1242,"D=",AV1242,"R=",AW1242,"M=",AX1242,"L=",AY1242,"B=",AZ1242)</f>
        <v>BLACK T=12D=1R=0M=0L=1B=0</v>
      </c>
      <c r="G1242" s="0" t="s">
        <v>164</v>
      </c>
      <c r="I1242" s="0" t="s">
        <v>5841</v>
      </c>
      <c r="J1242" s="0" t="s">
        <v>2015</v>
      </c>
      <c r="K1242" s="0" t="s">
        <v>160</v>
      </c>
      <c r="M1242" s="0" t="s">
        <v>5842</v>
      </c>
      <c r="N1242" s="0" t="str">
        <f aca="false">RIGHT(M1242,LEN(M1242)-FIND(" ",M1242))</f>
        <v>KENILWORTH AVE SE</v>
      </c>
      <c r="P1242" s="0" t="s">
        <v>145</v>
      </c>
      <c r="Q1242" s="0" t="s">
        <v>146</v>
      </c>
      <c r="R1242" s="0" t="n">
        <v>44484</v>
      </c>
      <c r="AD1242" s="0" t="s">
        <v>147</v>
      </c>
      <c r="AE1242" s="0" t="s">
        <v>148</v>
      </c>
      <c r="AF1242" s="0" t="s">
        <v>149</v>
      </c>
      <c r="AH1242" s="0" t="n">
        <v>14</v>
      </c>
      <c r="AI1242" s="0" t="n">
        <v>11</v>
      </c>
      <c r="AN1242" s="0" t="s">
        <v>145</v>
      </c>
      <c r="AO1242" s="0" t="s">
        <v>150</v>
      </c>
      <c r="AP1242" s="0" t="s">
        <v>151</v>
      </c>
      <c r="AQ1242" s="0" t="n">
        <v>9</v>
      </c>
      <c r="AR1242" s="0" t="n">
        <v>64</v>
      </c>
      <c r="AS1242" s="0" t="n">
        <v>32</v>
      </c>
      <c r="AU1242" s="0" t="n">
        <f aca="false">COUNTA($BA$1091:$EH$1091)</f>
        <v>12</v>
      </c>
      <c r="AV1242" s="0" t="n">
        <f aca="false">COUNTIF($BA$1091:$EH$1091,"D")</f>
        <v>1</v>
      </c>
      <c r="AW1242" s="0" t="n">
        <f aca="false">COUNTIF($BA$1091:$EH$1091,"R")</f>
        <v>0</v>
      </c>
      <c r="AX1242" s="0" t="n">
        <f aca="false">IF(BN1242="D",1,0)+IF(BO1242="D",1,0)+IF(BT1242="D",1,0)+IF(BU1242="D",1,0)+IF(BW1242="D",1,0)+IF(CC1242="D",1,0)+IF(CD1242="D",1,0)+IF(CE1242="D",1,0)+IF(CF1242="D",1,0)+IF(CL1242="D",1,0)+IF(CM1242="D",1,0)+IF(CQ1242="D",1,0)+IF(CR1242="D",1,0)+IF(CS1242="D",1,0)+IF(CW1242="D",1,0)+IF(CX1242="D",1,0)+IF(DD1242="D",1,0)+IF(DE1242="D",1,0)+IF(DJ1242="D",1,0)+IF(DK1242="D",1,0)+IF(DO1242="D",1,0)+IF(DP1242="D",1,0)+IF(DQ1242="D",1,0)+IF(DW1242="D",1,0)+IF(DZ1242="D",1,0)+IF(EH1242="D",1,0)</f>
        <v>0</v>
      </c>
      <c r="AY1242" s="0" t="n">
        <f aca="false">COUNTIF(DU1242:EH1242, "&lt;&gt;")</f>
        <v>1</v>
      </c>
      <c r="AZ1242" s="0" t="n">
        <f aca="false">IF(EH1242&lt;&gt;"",1,0)</f>
        <v>0</v>
      </c>
      <c r="BB1242" s="0" t="s">
        <v>152</v>
      </c>
      <c r="BL1242" s="0" t="s">
        <v>153</v>
      </c>
      <c r="BS1242" s="0" t="s">
        <v>153</v>
      </c>
      <c r="BY1242" s="0" t="s">
        <v>175</v>
      </c>
      <c r="CA1242" s="0" t="s">
        <v>153</v>
      </c>
      <c r="CN1242" s="0" t="s">
        <v>153</v>
      </c>
      <c r="CP1242" s="0" t="s">
        <v>153</v>
      </c>
      <c r="CV1242" s="0" t="s">
        <v>153</v>
      </c>
      <c r="CY1242" s="0" t="s">
        <v>153</v>
      </c>
      <c r="CZ1242" s="0" t="s">
        <v>175</v>
      </c>
      <c r="DC1242" s="0" t="s">
        <v>153</v>
      </c>
      <c r="DG1242" s="0" t="s">
        <v>175</v>
      </c>
      <c r="DI1242" s="0" t="s">
        <v>153</v>
      </c>
      <c r="DN1242" s="0" t="s">
        <v>153</v>
      </c>
      <c r="EF1242" s="0" t="s">
        <v>153</v>
      </c>
    </row>
    <row r="1243" customFormat="false" ht="13.8" hidden="false" customHeight="false" outlineLevel="0" collapsed="false">
      <c r="A1243" s="0" t="s">
        <v>5843</v>
      </c>
      <c r="B1243" s="0" t="n">
        <v>78</v>
      </c>
      <c r="C1243" s="0" t="n">
        <v>443544</v>
      </c>
      <c r="D1243" s="0" t="s">
        <v>5844</v>
      </c>
      <c r="E1243" s="0" t="s">
        <v>621</v>
      </c>
      <c r="F1243" s="0" t="str">
        <f aca="false">CONCATENATE(D1243," ",LEFT(H1243,4),"T=",AU1243,"D=",AV1243,"R=",AW1243,"M=",AX1243,"L=",AY1243,"B=",AZ1243)</f>
        <v>WARRICK IIIT=3D=0R=0M=0L=2B=0</v>
      </c>
      <c r="G1243" s="0" t="s">
        <v>261</v>
      </c>
      <c r="H1243" s="0" t="s">
        <v>1932</v>
      </c>
      <c r="I1243" s="0" t="s">
        <v>5845</v>
      </c>
      <c r="J1243" s="0" t="s">
        <v>5846</v>
      </c>
      <c r="K1243" s="0" t="s">
        <v>160</v>
      </c>
      <c r="M1243" s="0" t="s">
        <v>5847</v>
      </c>
      <c r="N1243" s="0" t="str">
        <f aca="false">RIGHT(M1243,LEN(M1243)-FIND(" ",M1243))</f>
        <v>KENILWORTH AVE SE</v>
      </c>
      <c r="P1243" s="0" t="s">
        <v>145</v>
      </c>
      <c r="Q1243" s="0" t="s">
        <v>146</v>
      </c>
      <c r="R1243" s="0" t="n">
        <v>44484</v>
      </c>
      <c r="AD1243" s="0" t="s">
        <v>147</v>
      </c>
      <c r="AE1243" s="0" t="s">
        <v>148</v>
      </c>
      <c r="AF1243" s="0" t="s">
        <v>149</v>
      </c>
      <c r="AH1243" s="0" t="n">
        <v>14</v>
      </c>
      <c r="AI1243" s="0" t="n">
        <v>11</v>
      </c>
      <c r="AN1243" s="0" t="s">
        <v>145</v>
      </c>
      <c r="AO1243" s="0" t="s">
        <v>150</v>
      </c>
      <c r="AP1243" s="0" t="s">
        <v>151</v>
      </c>
      <c r="AQ1243" s="0" t="n">
        <v>9</v>
      </c>
      <c r="AR1243" s="0" t="n">
        <v>64</v>
      </c>
      <c r="AS1243" s="0" t="n">
        <v>32</v>
      </c>
      <c r="AU1243" s="0" t="n">
        <f aca="false">COUNTA($BA$131:$EH$131)</f>
        <v>3</v>
      </c>
      <c r="AV1243" s="0" t="n">
        <f aca="false">COUNTIF($BA$131:$EH$131,"D")</f>
        <v>0</v>
      </c>
      <c r="AW1243" s="0" t="n">
        <f aca="false">COUNTIF($BA$131:$EH$131,"R")</f>
        <v>0</v>
      </c>
      <c r="AX1243" s="0" t="n">
        <f aca="false">IF(BN1243="D",1,0)+IF(BO1243="D",1,0)+IF(BT1243="D",1,0)+IF(BU1243="D",1,0)+IF(BW1243="D",1,0)+IF(CC1243="D",1,0)+IF(CD1243="D",1,0)+IF(CE1243="D",1,0)+IF(CF1243="D",1,0)+IF(CL1243="D",1,0)+IF(CM1243="D",1,0)+IF(CQ1243="D",1,0)+IF(CR1243="D",1,0)+IF(CS1243="D",1,0)+IF(CW1243="D",1,0)+IF(CX1243="D",1,0)+IF(DD1243="D",1,0)+IF(DE1243="D",1,0)+IF(DJ1243="D",1,0)+IF(DK1243="D",1,0)+IF(DO1243="D",1,0)+IF(DP1243="D",1,0)+IF(DQ1243="D",1,0)+IF(DW1243="D",1,0)+IF(DZ1243="D",1,0)+IF(EH1243="D",1,0)</f>
        <v>0</v>
      </c>
      <c r="AY1243" s="0" t="n">
        <f aca="false">COUNTIF(DU1243:EH1243, "&lt;&gt;")</f>
        <v>2</v>
      </c>
      <c r="AZ1243" s="0" t="n">
        <f aca="false">IF(EH1243&lt;&gt;"",1,0)</f>
        <v>0</v>
      </c>
      <c r="BB1243" s="0" t="s">
        <v>152</v>
      </c>
      <c r="CP1243" s="0" t="s">
        <v>153</v>
      </c>
      <c r="CY1243" s="0" t="s">
        <v>153</v>
      </c>
      <c r="CZ1243" s="0" t="s">
        <v>175</v>
      </c>
      <c r="DC1243" s="0" t="s">
        <v>153</v>
      </c>
      <c r="DF1243" s="0" t="s">
        <v>153</v>
      </c>
      <c r="DI1243" s="0" t="s">
        <v>153</v>
      </c>
      <c r="DM1243" s="0" t="s">
        <v>175</v>
      </c>
      <c r="DN1243" s="0" t="s">
        <v>153</v>
      </c>
      <c r="DU1243" s="0" t="s">
        <v>153</v>
      </c>
      <c r="EF1243" s="0" t="s">
        <v>153</v>
      </c>
    </row>
    <row r="1244" customFormat="false" ht="13.8" hidden="true" customHeight="false" outlineLevel="0" collapsed="false">
      <c r="A1244" s="0" t="s">
        <v>5848</v>
      </c>
      <c r="B1244" s="0" t="n">
        <v>78</v>
      </c>
      <c r="C1244" s="0" t="n">
        <v>385865</v>
      </c>
      <c r="D1244" s="0" t="s">
        <v>5849</v>
      </c>
      <c r="E1244" s="0" t="s">
        <v>499</v>
      </c>
      <c r="F1244" s="0" t="str">
        <f aca="false">CONCATENATE(D1244," ",LEFT(H1244,4),"T=",AU1244,"D=",AV1244,"R=",AW1244,"M=",AX1244,"L=",AY1244,"B=",AZ1244)</f>
        <v>DURR T=7D=1R=0M=0L=0B=0</v>
      </c>
      <c r="G1244" s="0" t="s">
        <v>606</v>
      </c>
      <c r="I1244" s="0" t="s">
        <v>5850</v>
      </c>
      <c r="J1244" s="0" t="s">
        <v>1388</v>
      </c>
      <c r="K1244" s="0" t="s">
        <v>143</v>
      </c>
      <c r="M1244" s="0" t="s">
        <v>5851</v>
      </c>
      <c r="N1244" s="0" t="str">
        <f aca="false">RIGHT(M1244,LEN(M1244)-FIND(" ",M1244))</f>
        <v>KENILWORTH AVE SE</v>
      </c>
      <c r="P1244" s="0" t="s">
        <v>145</v>
      </c>
      <c r="Q1244" s="0" t="s">
        <v>146</v>
      </c>
      <c r="R1244" s="0" t="n">
        <v>44484</v>
      </c>
      <c r="AD1244" s="0" t="s">
        <v>147</v>
      </c>
      <c r="AE1244" s="0" t="s">
        <v>148</v>
      </c>
      <c r="AF1244" s="0" t="s">
        <v>149</v>
      </c>
      <c r="AH1244" s="0" t="n">
        <v>14</v>
      </c>
      <c r="AI1244" s="0" t="n">
        <v>11</v>
      </c>
      <c r="AN1244" s="0" t="s">
        <v>145</v>
      </c>
      <c r="AO1244" s="0" t="s">
        <v>150</v>
      </c>
      <c r="AP1244" s="0" t="s">
        <v>151</v>
      </c>
      <c r="AQ1244" s="0" t="n">
        <v>9</v>
      </c>
      <c r="AR1244" s="0" t="n">
        <v>64</v>
      </c>
      <c r="AS1244" s="0" t="n">
        <v>32</v>
      </c>
      <c r="AU1244" s="0" t="n">
        <f aca="false">COUNTA($BA$41:$EH$41)</f>
        <v>7</v>
      </c>
      <c r="AV1244" s="0" t="n">
        <f aca="false">COUNTIF($BA$41:$EH$41,"D")</f>
        <v>1</v>
      </c>
      <c r="AW1244" s="0" t="n">
        <f aca="false">COUNTIF($BA$41:$EH$41,"R")</f>
        <v>0</v>
      </c>
      <c r="AX1244" s="0" t="n">
        <f aca="false">IF(BN1244="D",1,0)+IF(BO1244="D",1,0)+IF(BT1244="D",1,0)+IF(BU1244="D",1,0)+IF(BW1244="D",1,0)+IF(CC1244="D",1,0)+IF(CD1244="D",1,0)+IF(CE1244="D",1,0)+IF(CF1244="D",1,0)+IF(CL1244="D",1,0)+IF(CM1244="D",1,0)+IF(CQ1244="D",1,0)+IF(CR1244="D",1,0)+IF(CS1244="D",1,0)+IF(CW1244="D",1,0)+IF(CX1244="D",1,0)+IF(DD1244="D",1,0)+IF(DE1244="D",1,0)+IF(DJ1244="D",1,0)+IF(DK1244="D",1,0)+IF(DO1244="D",1,0)+IF(DP1244="D",1,0)+IF(DQ1244="D",1,0)+IF(DW1244="D",1,0)+IF(DZ1244="D",1,0)+IF(EH1244="D",1,0)</f>
        <v>0</v>
      </c>
      <c r="AY1244" s="0" t="n">
        <f aca="false">COUNTIF(DU1244:EH1244, "&lt;&gt;")</f>
        <v>0</v>
      </c>
      <c r="AZ1244" s="0" t="n">
        <f aca="false">IF(EH1244&lt;&gt;"",1,0)</f>
        <v>0</v>
      </c>
      <c r="BB1244" s="0" t="s">
        <v>152</v>
      </c>
    </row>
    <row r="1245" customFormat="false" ht="13.8" hidden="true" customHeight="false" outlineLevel="0" collapsed="false">
      <c r="A1245" s="0" t="s">
        <v>5852</v>
      </c>
      <c r="B1245" s="0" t="n">
        <v>78</v>
      </c>
      <c r="C1245" s="0" t="n">
        <v>352129</v>
      </c>
      <c r="D1245" s="0" t="s">
        <v>5853</v>
      </c>
      <c r="E1245" s="0" t="s">
        <v>5854</v>
      </c>
      <c r="F1245" s="0" t="str">
        <f aca="false">CONCATENATE(D1245," ",LEFT(H1245,4),"T=",AU1245,"D=",AV1245,"R=",AW1245,"M=",AX1245,"L=",AY1245,"B=",AZ1245)</f>
        <v>ROSASCO T=2D=0R=0M=0L=0B=0</v>
      </c>
      <c r="I1245" s="0" t="s">
        <v>5855</v>
      </c>
      <c r="J1245" s="0" t="s">
        <v>3071</v>
      </c>
      <c r="K1245" s="0" t="s">
        <v>143</v>
      </c>
      <c r="M1245" s="0" t="s">
        <v>5851</v>
      </c>
      <c r="N1245" s="0" t="str">
        <f aca="false">RIGHT(M1245,LEN(M1245)-FIND(" ",M1245))</f>
        <v>KENILWORTH AVE SE</v>
      </c>
      <c r="P1245" s="0" t="s">
        <v>145</v>
      </c>
      <c r="Q1245" s="0" t="s">
        <v>146</v>
      </c>
      <c r="R1245" s="0" t="n">
        <v>44484</v>
      </c>
      <c r="AD1245" s="0" t="s">
        <v>147</v>
      </c>
      <c r="AE1245" s="0" t="s">
        <v>148</v>
      </c>
      <c r="AF1245" s="0" t="s">
        <v>149</v>
      </c>
      <c r="AH1245" s="0" t="n">
        <v>14</v>
      </c>
      <c r="AI1245" s="0" t="n">
        <v>11</v>
      </c>
      <c r="AN1245" s="0" t="s">
        <v>145</v>
      </c>
      <c r="AO1245" s="0" t="s">
        <v>150</v>
      </c>
      <c r="AP1245" s="0" t="s">
        <v>151</v>
      </c>
      <c r="AQ1245" s="0" t="n">
        <v>9</v>
      </c>
      <c r="AR1245" s="0" t="n">
        <v>64</v>
      </c>
      <c r="AS1245" s="0" t="n">
        <v>32</v>
      </c>
      <c r="AU1245" s="0" t="n">
        <f aca="false">COUNTA($BA$550:$EH$550)</f>
        <v>2</v>
      </c>
      <c r="AV1245" s="0" t="n">
        <f aca="false">COUNTIF($BA$550:$EH$550,"D")</f>
        <v>0</v>
      </c>
      <c r="AW1245" s="0" t="n">
        <f aca="false">COUNTIF($BA$550:$EH$550,"R")</f>
        <v>0</v>
      </c>
      <c r="AX1245" s="0" t="n">
        <f aca="false">IF(BN1245="D",1,0)+IF(BO1245="D",1,0)+IF(BT1245="D",1,0)+IF(BU1245="D",1,0)+IF(BW1245="D",1,0)+IF(CC1245="D",1,0)+IF(CD1245="D",1,0)+IF(CE1245="D",1,0)+IF(CF1245="D",1,0)+IF(CL1245="D",1,0)+IF(CM1245="D",1,0)+IF(CQ1245="D",1,0)+IF(CR1245="D",1,0)+IF(CS1245="D",1,0)+IF(CW1245="D",1,0)+IF(CX1245="D",1,0)+IF(DD1245="D",1,0)+IF(DE1245="D",1,0)+IF(DJ1245="D",1,0)+IF(DK1245="D",1,0)+IF(DO1245="D",1,0)+IF(DP1245="D",1,0)+IF(DQ1245="D",1,0)+IF(DW1245="D",1,0)+IF(DZ1245="D",1,0)+IF(EH1245="D",1,0)</f>
        <v>0</v>
      </c>
      <c r="AY1245" s="0" t="n">
        <f aca="false">COUNTIF(DU1245:EH1245, "&lt;&gt;")</f>
        <v>0</v>
      </c>
      <c r="AZ1245" s="0" t="n">
        <f aca="false">IF(EH1245&lt;&gt;"",1,0)</f>
        <v>0</v>
      </c>
      <c r="BB1245" s="0" t="s">
        <v>152</v>
      </c>
    </row>
    <row r="1246" customFormat="false" ht="13.8" hidden="true" customHeight="false" outlineLevel="0" collapsed="false">
      <c r="A1246" s="0" t="s">
        <v>5856</v>
      </c>
      <c r="B1246" s="0" t="n">
        <v>78</v>
      </c>
      <c r="C1246" s="0" t="n">
        <v>437297</v>
      </c>
      <c r="D1246" s="0" t="s">
        <v>5857</v>
      </c>
      <c r="E1246" s="0" t="s">
        <v>140</v>
      </c>
      <c r="F1246" s="0" t="str">
        <f aca="false">CONCATENATE(D1246," ",LEFT(H1246,4),"T=",AU1246,"D=",AV1246,"R=",AW1246,"M=",AX1246,"L=",AY1246,"B=",AZ1246)</f>
        <v>MOLLOHAN T=2D=0R=0M=0L=0B=0</v>
      </c>
      <c r="G1246" s="0" t="s">
        <v>175</v>
      </c>
      <c r="I1246" s="0" t="s">
        <v>5858</v>
      </c>
      <c r="J1246" s="0" t="s">
        <v>5859</v>
      </c>
      <c r="K1246" s="0" t="s">
        <v>160</v>
      </c>
      <c r="M1246" s="0" t="s">
        <v>5860</v>
      </c>
      <c r="N1246" s="0" t="str">
        <f aca="false">RIGHT(M1246,LEN(M1246)-FIND(" ",M1246))</f>
        <v>KENILWORTH AVE SE</v>
      </c>
      <c r="P1246" s="0" t="s">
        <v>145</v>
      </c>
      <c r="Q1246" s="0" t="s">
        <v>146</v>
      </c>
      <c r="R1246" s="0" t="n">
        <v>44484</v>
      </c>
      <c r="AD1246" s="0" t="s">
        <v>147</v>
      </c>
      <c r="AE1246" s="0" t="s">
        <v>148</v>
      </c>
      <c r="AF1246" s="0" t="s">
        <v>149</v>
      </c>
      <c r="AH1246" s="0" t="n">
        <v>14</v>
      </c>
      <c r="AI1246" s="0" t="n">
        <v>11</v>
      </c>
      <c r="AN1246" s="0" t="s">
        <v>145</v>
      </c>
      <c r="AO1246" s="0" t="s">
        <v>150</v>
      </c>
      <c r="AP1246" s="0" t="s">
        <v>151</v>
      </c>
      <c r="AQ1246" s="0" t="n">
        <v>9</v>
      </c>
      <c r="AR1246" s="0" t="n">
        <v>64</v>
      </c>
      <c r="AS1246" s="0" t="n">
        <v>32</v>
      </c>
      <c r="AU1246" s="0" t="n">
        <f aca="false">COUNTA($BA$3:$EH$3)</f>
        <v>2</v>
      </c>
      <c r="AV1246" s="0" t="n">
        <f aca="false">COUNTIF($BA$3:$EH$3,"D")</f>
        <v>0</v>
      </c>
      <c r="AW1246" s="0" t="n">
        <f aca="false">COUNTIF($BA$3:$EH$3,"R")</f>
        <v>0</v>
      </c>
      <c r="AX1246" s="0" t="n">
        <f aca="false">IF(BN1246="D",1,0)+IF(BO1246="D",1,0)+IF(BT1246="D",1,0)+IF(BU1246="D",1,0)+IF(BW1246="D",1,0)+IF(CC1246="D",1,0)+IF(CD1246="D",1,0)+IF(CE1246="D",1,0)+IF(CF1246="D",1,0)+IF(CL1246="D",1,0)+IF(CM1246="D",1,0)+IF(CQ1246="D",1,0)+IF(CR1246="D",1,0)+IF(CS1246="D",1,0)+IF(CW1246="D",1,0)+IF(CX1246="D",1,0)+IF(DD1246="D",1,0)+IF(DE1246="D",1,0)+IF(DJ1246="D",1,0)+IF(DK1246="D",1,0)+IF(DO1246="D",1,0)+IF(DP1246="D",1,0)+IF(DQ1246="D",1,0)+IF(DW1246="D",1,0)+IF(DZ1246="D",1,0)+IF(EH1246="D",1,0)</f>
        <v>0</v>
      </c>
      <c r="AY1246" s="0" t="n">
        <f aca="false">COUNTIF(DU1246:EH1246, "&lt;&gt;")</f>
        <v>0</v>
      </c>
      <c r="AZ1246" s="0" t="n">
        <f aca="false">IF(EH1246&lt;&gt;"",1,0)</f>
        <v>0</v>
      </c>
      <c r="BB1246" s="0" t="s">
        <v>152</v>
      </c>
      <c r="BY1246" s="0" t="s">
        <v>175</v>
      </c>
      <c r="CP1246" s="0" t="s">
        <v>153</v>
      </c>
      <c r="CY1246" s="0" t="s">
        <v>153</v>
      </c>
      <c r="DC1246" s="0" t="s">
        <v>153</v>
      </c>
    </row>
    <row r="1247" customFormat="false" ht="13.8" hidden="false" customHeight="false" outlineLevel="0" collapsed="false">
      <c r="A1247" s="0" t="s">
        <v>5861</v>
      </c>
      <c r="B1247" s="0" t="n">
        <v>78</v>
      </c>
      <c r="C1247" s="0" t="n">
        <v>423515</v>
      </c>
      <c r="D1247" s="0" t="s">
        <v>5862</v>
      </c>
      <c r="E1247" s="0" t="s">
        <v>719</v>
      </c>
      <c r="F1247" s="0" t="str">
        <f aca="false">CONCATENATE(D1247," ",LEFT(H1247,4),"T=",AU1247,"D=",AV1247,"R=",AW1247,"M=",AX1247,"L=",AY1247,"B=",AZ1247)</f>
        <v>SENA T=10D=1R=0M=0L=4B=0</v>
      </c>
      <c r="G1247" s="0" t="s">
        <v>195</v>
      </c>
      <c r="I1247" s="0" t="s">
        <v>5863</v>
      </c>
      <c r="J1247" s="0" t="s">
        <v>1464</v>
      </c>
      <c r="K1247" s="0" t="s">
        <v>160</v>
      </c>
      <c r="M1247" s="0" t="s">
        <v>5864</v>
      </c>
      <c r="N1247" s="0" t="str">
        <f aca="false">RIGHT(M1247,LEN(M1247)-FIND(" ",M1247))</f>
        <v>KENILWORTH AVE SE</v>
      </c>
      <c r="P1247" s="0" t="s">
        <v>145</v>
      </c>
      <c r="Q1247" s="0" t="s">
        <v>146</v>
      </c>
      <c r="R1247" s="0" t="n">
        <v>44484</v>
      </c>
      <c r="AD1247" s="0" t="s">
        <v>147</v>
      </c>
      <c r="AE1247" s="0" t="s">
        <v>148</v>
      </c>
      <c r="AF1247" s="0" t="s">
        <v>149</v>
      </c>
      <c r="AH1247" s="0" t="n">
        <v>14</v>
      </c>
      <c r="AI1247" s="0" t="n">
        <v>11</v>
      </c>
      <c r="AN1247" s="0" t="s">
        <v>145</v>
      </c>
      <c r="AO1247" s="0" t="s">
        <v>150</v>
      </c>
      <c r="AP1247" s="0" t="s">
        <v>151</v>
      </c>
      <c r="AQ1247" s="0" t="n">
        <v>9</v>
      </c>
      <c r="AR1247" s="0" t="n">
        <v>64</v>
      </c>
      <c r="AS1247" s="0" t="n">
        <v>32</v>
      </c>
      <c r="AU1247" s="0" t="n">
        <f aca="false">COUNTA($BA$874:$EH$874)</f>
        <v>10</v>
      </c>
      <c r="AV1247" s="0" t="n">
        <f aca="false">COUNTIF($BA$874:$EH$874,"D")</f>
        <v>1</v>
      </c>
      <c r="AW1247" s="0" t="n">
        <f aca="false">COUNTIF($BA$874:$EH$874,"R")</f>
        <v>0</v>
      </c>
      <c r="AX1247" s="0" t="n">
        <f aca="false">IF(BN1247="D",1,0)+IF(BO1247="D",1,0)+IF(BT1247="D",1,0)+IF(BU1247="D",1,0)+IF(BW1247="D",1,0)+IF(CC1247="D",1,0)+IF(CD1247="D",1,0)+IF(CE1247="D",1,0)+IF(CF1247="D",1,0)+IF(CL1247="D",1,0)+IF(CM1247="D",1,0)+IF(CQ1247="D",1,0)+IF(CR1247="D",1,0)+IF(CS1247="D",1,0)+IF(CW1247="D",1,0)+IF(CX1247="D",1,0)+IF(DD1247="D",1,0)+IF(DE1247="D",1,0)+IF(DJ1247="D",1,0)+IF(DK1247="D",1,0)+IF(DO1247="D",1,0)+IF(DP1247="D",1,0)+IF(DQ1247="D",1,0)+IF(DW1247="D",1,0)+IF(DZ1247="D",1,0)+IF(EH1247="D",1,0)</f>
        <v>0</v>
      </c>
      <c r="AY1247" s="0" t="n">
        <f aca="false">COUNTIF(DU1247:EH1247, "&lt;&gt;")</f>
        <v>4</v>
      </c>
      <c r="AZ1247" s="0" t="n">
        <f aca="false">IF(EH1247&lt;&gt;"",1,0)</f>
        <v>0</v>
      </c>
      <c r="BB1247" s="0" t="s">
        <v>152</v>
      </c>
      <c r="DI1247" s="0" t="s">
        <v>153</v>
      </c>
      <c r="DN1247" s="0" t="s">
        <v>153</v>
      </c>
      <c r="DU1247" s="0" t="s">
        <v>153</v>
      </c>
      <c r="DX1247" s="0" t="s">
        <v>153</v>
      </c>
      <c r="EA1247" s="0" t="s">
        <v>153</v>
      </c>
      <c r="EF1247" s="0" t="s">
        <v>153</v>
      </c>
    </row>
    <row r="1248" customFormat="false" ht="13.8" hidden="true" customHeight="false" outlineLevel="0" collapsed="false">
      <c r="A1248" s="0" t="s">
        <v>5865</v>
      </c>
      <c r="B1248" s="0" t="n">
        <v>78</v>
      </c>
      <c r="C1248" s="0" t="n">
        <v>487663</v>
      </c>
      <c r="D1248" s="0" t="s">
        <v>761</v>
      </c>
      <c r="E1248" s="0" t="s">
        <v>5866</v>
      </c>
      <c r="F1248" s="0" t="str">
        <f aca="false">CONCATENATE(D1248," ",LEFT(H1248,4),"T=",AU1248,"D=",AV1248,"R=",AW1248,"M=",AX1248,"L=",AY1248,"B=",AZ1248)</f>
        <v>BROWN JRT=4D=0R=0M=0L=0B=0</v>
      </c>
      <c r="G1248" s="0" t="s">
        <v>606</v>
      </c>
      <c r="H1248" s="0" t="s">
        <v>314</v>
      </c>
      <c r="I1248" s="0" t="s">
        <v>5867</v>
      </c>
      <c r="J1248" s="0" t="s">
        <v>1253</v>
      </c>
      <c r="K1248" s="0" t="s">
        <v>160</v>
      </c>
      <c r="M1248" s="0" t="s">
        <v>5868</v>
      </c>
      <c r="N1248" s="0" t="str">
        <f aca="false">RIGHT(M1248,LEN(M1248)-FIND(" ",M1248))</f>
        <v>KENILWORTH AVE SE</v>
      </c>
      <c r="P1248" s="0" t="s">
        <v>145</v>
      </c>
      <c r="Q1248" s="0" t="s">
        <v>146</v>
      </c>
      <c r="R1248" s="0" t="n">
        <v>44484</v>
      </c>
      <c r="AD1248" s="0" t="s">
        <v>147</v>
      </c>
      <c r="AE1248" s="0" t="s">
        <v>148</v>
      </c>
      <c r="AF1248" s="0" t="s">
        <v>149</v>
      </c>
      <c r="AH1248" s="0" t="n">
        <v>14</v>
      </c>
      <c r="AI1248" s="0" t="n">
        <v>11</v>
      </c>
      <c r="AN1248" s="0" t="s">
        <v>145</v>
      </c>
      <c r="AO1248" s="0" t="s">
        <v>150</v>
      </c>
      <c r="AP1248" s="0" t="s">
        <v>151</v>
      </c>
      <c r="AQ1248" s="0" t="n">
        <v>9</v>
      </c>
      <c r="AR1248" s="0" t="n">
        <v>64</v>
      </c>
      <c r="AS1248" s="0" t="n">
        <v>32</v>
      </c>
      <c r="AU1248" s="0" t="n">
        <f aca="false">COUNTA($BA$60:$EH$60)</f>
        <v>4</v>
      </c>
      <c r="AV1248" s="0" t="n">
        <f aca="false">COUNTIF($BA$60:$EH$60,"D")</f>
        <v>0</v>
      </c>
      <c r="AW1248" s="0" t="n">
        <f aca="false">COUNTIF($BA$60:$EH$60,"R")</f>
        <v>0</v>
      </c>
      <c r="AX1248" s="0" t="n">
        <f aca="false">IF(BN1248="D",1,0)+IF(BO1248="D",1,0)+IF(BT1248="D",1,0)+IF(BU1248="D",1,0)+IF(BW1248="D",1,0)+IF(CC1248="D",1,0)+IF(CD1248="D",1,0)+IF(CE1248="D",1,0)+IF(CF1248="D",1,0)+IF(CL1248="D",1,0)+IF(CM1248="D",1,0)+IF(CQ1248="D",1,0)+IF(CR1248="D",1,0)+IF(CS1248="D",1,0)+IF(CW1248="D",1,0)+IF(CX1248="D",1,0)+IF(DD1248="D",1,0)+IF(DE1248="D",1,0)+IF(DJ1248="D",1,0)+IF(DK1248="D",1,0)+IF(DO1248="D",1,0)+IF(DP1248="D",1,0)+IF(DQ1248="D",1,0)+IF(DW1248="D",1,0)+IF(DZ1248="D",1,0)+IF(EH1248="D",1,0)</f>
        <v>0</v>
      </c>
      <c r="AY1248" s="0" t="n">
        <f aca="false">COUNTIF(DU1248:EH1248, "&lt;&gt;")</f>
        <v>0</v>
      </c>
      <c r="AZ1248" s="0" t="n">
        <f aca="false">IF(EH1248&lt;&gt;"",1,0)</f>
        <v>0</v>
      </c>
      <c r="BB1248" s="0" t="s">
        <v>152</v>
      </c>
    </row>
    <row r="1249" customFormat="false" ht="13.8" hidden="true" customHeight="false" outlineLevel="0" collapsed="false">
      <c r="A1249" s="0" t="s">
        <v>5869</v>
      </c>
      <c r="B1249" s="0" t="n">
        <v>78</v>
      </c>
      <c r="C1249" s="0" t="n">
        <v>402333</v>
      </c>
      <c r="D1249" s="0" t="s">
        <v>1936</v>
      </c>
      <c r="E1249" s="0" t="s">
        <v>5870</v>
      </c>
      <c r="F1249" s="0" t="str">
        <f aca="false">CONCATENATE(D1249," ",LEFT(H1249,4),"T=",AU1249,"D=",AV1249,"R=",AW1249,"M=",AX1249,"L=",AY1249,"B=",AZ1249)</f>
        <v>CAMPBELL T=1D=0R=0M=0L=0B=0</v>
      </c>
      <c r="G1249" s="0" t="s">
        <v>890</v>
      </c>
      <c r="I1249" s="0" t="s">
        <v>3986</v>
      </c>
      <c r="J1249" s="0" t="s">
        <v>187</v>
      </c>
      <c r="K1249" s="0" t="s">
        <v>143</v>
      </c>
      <c r="M1249" s="0" t="s">
        <v>5868</v>
      </c>
      <c r="N1249" s="0" t="str">
        <f aca="false">RIGHT(M1249,LEN(M1249)-FIND(" ",M1249))</f>
        <v>KENILWORTH AVE SE</v>
      </c>
      <c r="P1249" s="0" t="s">
        <v>145</v>
      </c>
      <c r="Q1249" s="0" t="s">
        <v>146</v>
      </c>
      <c r="R1249" s="0" t="n">
        <v>44484</v>
      </c>
      <c r="AD1249" s="0" t="s">
        <v>147</v>
      </c>
      <c r="AE1249" s="0" t="s">
        <v>148</v>
      </c>
      <c r="AF1249" s="0" t="s">
        <v>149</v>
      </c>
      <c r="AH1249" s="0" t="n">
        <v>14</v>
      </c>
      <c r="AI1249" s="0" t="n">
        <v>11</v>
      </c>
      <c r="AN1249" s="0" t="s">
        <v>145</v>
      </c>
      <c r="AO1249" s="0" t="s">
        <v>150</v>
      </c>
      <c r="AP1249" s="0" t="s">
        <v>151</v>
      </c>
      <c r="AQ1249" s="0" t="n">
        <v>9</v>
      </c>
      <c r="AR1249" s="0" t="n">
        <v>64</v>
      </c>
      <c r="AS1249" s="0" t="n">
        <v>32</v>
      </c>
      <c r="AU1249" s="0" t="n">
        <f aca="false">COUNTA($BA$369:$EH$369)</f>
        <v>1</v>
      </c>
      <c r="AV1249" s="0" t="n">
        <f aca="false">COUNTIF($BA$369:$EH$369,"D")</f>
        <v>0</v>
      </c>
      <c r="AW1249" s="0" t="n">
        <f aca="false">COUNTIF($BA$369:$EH$369,"R")</f>
        <v>0</v>
      </c>
      <c r="AX1249" s="0" t="n">
        <f aca="false">IF(BN1249="D",1,0)+IF(BO1249="D",1,0)+IF(BT1249="D",1,0)+IF(BU1249="D",1,0)+IF(BW1249="D",1,0)+IF(CC1249="D",1,0)+IF(CD1249="D",1,0)+IF(CE1249="D",1,0)+IF(CF1249="D",1,0)+IF(CL1249="D",1,0)+IF(CM1249="D",1,0)+IF(CQ1249="D",1,0)+IF(CR1249="D",1,0)+IF(CS1249="D",1,0)+IF(CW1249="D",1,0)+IF(CX1249="D",1,0)+IF(DD1249="D",1,0)+IF(DE1249="D",1,0)+IF(DJ1249="D",1,0)+IF(DK1249="D",1,0)+IF(DO1249="D",1,0)+IF(DP1249="D",1,0)+IF(DQ1249="D",1,0)+IF(DW1249="D",1,0)+IF(DZ1249="D",1,0)+IF(EH1249="D",1,0)</f>
        <v>0</v>
      </c>
      <c r="AY1249" s="0" t="n">
        <f aca="false">COUNTIF(DU1249:EH1249, "&lt;&gt;")</f>
        <v>0</v>
      </c>
      <c r="AZ1249" s="0" t="n">
        <f aca="false">IF(EH1249&lt;&gt;"",1,0)</f>
        <v>0</v>
      </c>
      <c r="BB1249" s="0" t="s">
        <v>152</v>
      </c>
    </row>
    <row r="1250" customFormat="false" ht="13.8" hidden="true" customHeight="false" outlineLevel="0" collapsed="false">
      <c r="A1250" s="0" t="s">
        <v>5871</v>
      </c>
      <c r="B1250" s="0" t="n">
        <v>78</v>
      </c>
      <c r="C1250" s="0" t="n">
        <v>320959</v>
      </c>
      <c r="D1250" s="0" t="s">
        <v>5872</v>
      </c>
      <c r="E1250" s="0" t="s">
        <v>633</v>
      </c>
      <c r="F1250" s="0" t="str">
        <f aca="false">CONCATENATE(D1250," ",LEFT(H1250,4),"T=",AU1250,"D=",AV1250,"R=",AW1250,"M=",AX1250,"L=",AY1250,"B=",AZ1250)</f>
        <v>HERNON T=4D=0R=0M=1L=0B=0</v>
      </c>
      <c r="G1250" s="0" t="s">
        <v>164</v>
      </c>
      <c r="I1250" s="0" t="s">
        <v>5873</v>
      </c>
      <c r="J1250" s="0" t="s">
        <v>2548</v>
      </c>
      <c r="K1250" s="0" t="s">
        <v>143</v>
      </c>
      <c r="M1250" s="0" t="s">
        <v>5868</v>
      </c>
      <c r="N1250" s="0" t="str">
        <f aca="false">RIGHT(M1250,LEN(M1250)-FIND(" ",M1250))</f>
        <v>KENILWORTH AVE SE</v>
      </c>
      <c r="P1250" s="0" t="s">
        <v>145</v>
      </c>
      <c r="Q1250" s="0" t="s">
        <v>146</v>
      </c>
      <c r="R1250" s="0" t="n">
        <v>44484</v>
      </c>
      <c r="AD1250" s="0" t="s">
        <v>147</v>
      </c>
      <c r="AE1250" s="0" t="s">
        <v>148</v>
      </c>
      <c r="AF1250" s="0" t="s">
        <v>149</v>
      </c>
      <c r="AH1250" s="0" t="n">
        <v>14</v>
      </c>
      <c r="AI1250" s="0" t="n">
        <v>11</v>
      </c>
      <c r="AN1250" s="0" t="s">
        <v>145</v>
      </c>
      <c r="AO1250" s="0" t="s">
        <v>150</v>
      </c>
      <c r="AP1250" s="0" t="s">
        <v>151</v>
      </c>
      <c r="AQ1250" s="0" t="n">
        <v>9</v>
      </c>
      <c r="AR1250" s="0" t="n">
        <v>64</v>
      </c>
      <c r="AS1250" s="0" t="n">
        <v>32</v>
      </c>
      <c r="AU1250" s="0" t="n">
        <f aca="false">COUNTA($BA$501:$EH$501)</f>
        <v>4</v>
      </c>
      <c r="AV1250" s="0" t="n">
        <f aca="false">COUNTIF($BA$501:$EH$501,"D")</f>
        <v>0</v>
      </c>
      <c r="AW1250" s="0" t="n">
        <f aca="false">COUNTIF($BA$501:$EH$501,"R")</f>
        <v>0</v>
      </c>
      <c r="AX1250" s="0" t="n">
        <f aca="false">IF(BN1250="D",1,0)+IF(BO1250="D",1,0)+IF(BT1250="D",1,0)+IF(BU1250="D",1,0)+IF(BW1250="D",1,0)+IF(CC1250="D",1,0)+IF(CD1250="D",1,0)+IF(CE1250="D",1,0)+IF(CF1250="D",1,0)+IF(CL1250="D",1,0)+IF(CM1250="D",1,0)+IF(CQ1250="D",1,0)+IF(CR1250="D",1,0)+IF(CS1250="D",1,0)+IF(CW1250="D",1,0)+IF(CX1250="D",1,0)+IF(DD1250="D",1,0)+IF(DE1250="D",1,0)+IF(DJ1250="D",1,0)+IF(DK1250="D",1,0)+IF(DO1250="D",1,0)+IF(DP1250="D",1,0)+IF(DQ1250="D",1,0)+IF(DW1250="D",1,0)+IF(DZ1250="D",1,0)+IF(EH1250="D",1,0)</f>
        <v>1</v>
      </c>
      <c r="AY1250" s="0" t="n">
        <f aca="false">COUNTIF(DU1250:EH1250, "&lt;&gt;")</f>
        <v>0</v>
      </c>
      <c r="AZ1250" s="0" t="n">
        <f aca="false">IF(EH1250&lt;&gt;"",1,0)</f>
        <v>0</v>
      </c>
      <c r="BB1250" s="0" t="s">
        <v>152</v>
      </c>
      <c r="DD1250" s="0" t="s">
        <v>175</v>
      </c>
    </row>
    <row r="1251" customFormat="false" ht="13.8" hidden="true" customHeight="false" outlineLevel="0" collapsed="false">
      <c r="A1251" s="0" t="s">
        <v>5874</v>
      </c>
      <c r="B1251" s="0" t="n">
        <v>78</v>
      </c>
      <c r="C1251" s="0" t="n">
        <v>323248</v>
      </c>
      <c r="D1251" s="0" t="s">
        <v>5875</v>
      </c>
      <c r="E1251" s="0" t="s">
        <v>1101</v>
      </c>
      <c r="F1251" s="0" t="str">
        <f aca="false">CONCATENATE(D1251," ",LEFT(H1251,4),"T=",AU1251,"D=",AV1251,"R=",AW1251,"M=",AX1251,"L=",AY1251,"B=",AZ1251)</f>
        <v>MANN T=3D=0R=0M=0L=0B=0</v>
      </c>
      <c r="G1251" s="0" t="s">
        <v>195</v>
      </c>
      <c r="I1251" s="0" t="s">
        <v>5876</v>
      </c>
      <c r="J1251" s="0" t="s">
        <v>5877</v>
      </c>
      <c r="K1251" s="0" t="s">
        <v>143</v>
      </c>
      <c r="M1251" s="0" t="s">
        <v>5868</v>
      </c>
      <c r="N1251" s="0" t="str">
        <f aca="false">RIGHT(M1251,LEN(M1251)-FIND(" ",M1251))</f>
        <v>KENILWORTH AVE SE</v>
      </c>
      <c r="P1251" s="0" t="s">
        <v>145</v>
      </c>
      <c r="Q1251" s="0" t="s">
        <v>146</v>
      </c>
      <c r="R1251" s="0" t="n">
        <v>44484</v>
      </c>
      <c r="AD1251" s="0" t="s">
        <v>147</v>
      </c>
      <c r="AE1251" s="0" t="s">
        <v>148</v>
      </c>
      <c r="AF1251" s="0" t="s">
        <v>149</v>
      </c>
      <c r="AH1251" s="0" t="n">
        <v>14</v>
      </c>
      <c r="AI1251" s="0" t="n">
        <v>11</v>
      </c>
      <c r="AN1251" s="0" t="s">
        <v>145</v>
      </c>
      <c r="AO1251" s="0" t="s">
        <v>150</v>
      </c>
      <c r="AP1251" s="0" t="s">
        <v>151</v>
      </c>
      <c r="AQ1251" s="0" t="n">
        <v>9</v>
      </c>
      <c r="AR1251" s="0" t="n">
        <v>64</v>
      </c>
      <c r="AS1251" s="0" t="n">
        <v>32</v>
      </c>
      <c r="AU1251" s="0" t="n">
        <f aca="false">COUNTA($BA$840:$EH$840)</f>
        <v>3</v>
      </c>
      <c r="AV1251" s="0" t="n">
        <f aca="false">COUNTIF($BA$840:$EH$840,"D")</f>
        <v>0</v>
      </c>
      <c r="AW1251" s="0" t="n">
        <f aca="false">COUNTIF($BA$840:$EH$840,"R")</f>
        <v>0</v>
      </c>
      <c r="AX1251" s="0" t="n">
        <f aca="false">IF(BN1251="D",1,0)+IF(BO1251="D",1,0)+IF(BT1251="D",1,0)+IF(BU1251="D",1,0)+IF(BW1251="D",1,0)+IF(CC1251="D",1,0)+IF(CD1251="D",1,0)+IF(CE1251="D",1,0)+IF(CF1251="D",1,0)+IF(CL1251="D",1,0)+IF(CM1251="D",1,0)+IF(CQ1251="D",1,0)+IF(CR1251="D",1,0)+IF(CS1251="D",1,0)+IF(CW1251="D",1,0)+IF(CX1251="D",1,0)+IF(DD1251="D",1,0)+IF(DE1251="D",1,0)+IF(DJ1251="D",1,0)+IF(DK1251="D",1,0)+IF(DO1251="D",1,0)+IF(DP1251="D",1,0)+IF(DQ1251="D",1,0)+IF(DW1251="D",1,0)+IF(DZ1251="D",1,0)+IF(EH1251="D",1,0)</f>
        <v>0</v>
      </c>
      <c r="AY1251" s="0" t="n">
        <f aca="false">COUNTIF(DU1251:EH1251, "&lt;&gt;")</f>
        <v>0</v>
      </c>
      <c r="AZ1251" s="0" t="n">
        <f aca="false">IF(EH1251&lt;&gt;"",1,0)</f>
        <v>0</v>
      </c>
      <c r="BB1251" s="0" t="s">
        <v>152</v>
      </c>
    </row>
    <row r="1252" customFormat="false" ht="13.8" hidden="true" customHeight="false" outlineLevel="0" collapsed="false">
      <c r="A1252" s="0" t="s">
        <v>5878</v>
      </c>
      <c r="B1252" s="0" t="n">
        <v>78</v>
      </c>
      <c r="C1252" s="0" t="n">
        <v>487585</v>
      </c>
      <c r="D1252" s="0" t="s">
        <v>446</v>
      </c>
      <c r="E1252" s="0" t="s">
        <v>1886</v>
      </c>
      <c r="F1252" s="0" t="str">
        <f aca="false">CONCATENATE(D1252," ",LEFT(H1252,4),"T=",AU1252,"D=",AV1252,"R=",AW1252,"M=",AX1252,"L=",AY1252,"B=",AZ1252)</f>
        <v>BRYANT T=1D=0R=0M=0L=0B=0</v>
      </c>
      <c r="G1252" s="0" t="s">
        <v>202</v>
      </c>
      <c r="I1252" s="0" t="s">
        <v>5879</v>
      </c>
      <c r="J1252" s="0" t="s">
        <v>1253</v>
      </c>
      <c r="K1252" s="0" t="s">
        <v>160</v>
      </c>
      <c r="M1252" s="0" t="s">
        <v>5868</v>
      </c>
      <c r="N1252" s="0" t="str">
        <f aca="false">RIGHT(M1252,LEN(M1252)-FIND(" ",M1252))</f>
        <v>KENILWORTH AVE SE</v>
      </c>
      <c r="P1252" s="0" t="s">
        <v>145</v>
      </c>
      <c r="Q1252" s="0" t="s">
        <v>146</v>
      </c>
      <c r="R1252" s="0" t="n">
        <v>44484</v>
      </c>
      <c r="AD1252" s="0" t="s">
        <v>147</v>
      </c>
      <c r="AE1252" s="0" t="s">
        <v>148</v>
      </c>
      <c r="AF1252" s="0" t="s">
        <v>149</v>
      </c>
      <c r="AH1252" s="0" t="n">
        <v>14</v>
      </c>
      <c r="AI1252" s="0" t="n">
        <v>11</v>
      </c>
      <c r="AN1252" s="0" t="s">
        <v>145</v>
      </c>
      <c r="AO1252" s="0" t="s">
        <v>150</v>
      </c>
      <c r="AP1252" s="0" t="s">
        <v>151</v>
      </c>
      <c r="AQ1252" s="0" t="n">
        <v>9</v>
      </c>
      <c r="AR1252" s="0" t="n">
        <v>64</v>
      </c>
      <c r="AS1252" s="0" t="n">
        <v>32</v>
      </c>
      <c r="AU1252" s="0" t="n">
        <f aca="false">COUNTA($BA$909:$EH$909)</f>
        <v>1</v>
      </c>
      <c r="AV1252" s="0" t="n">
        <f aca="false">COUNTIF($BA$909:$EH$909,"D")</f>
        <v>0</v>
      </c>
      <c r="AW1252" s="0" t="n">
        <f aca="false">COUNTIF($BA$909:$EH$909,"R")</f>
        <v>0</v>
      </c>
      <c r="AX1252" s="0" t="n">
        <f aca="false">IF(BN1252="D",1,0)+IF(BO1252="D",1,0)+IF(BT1252="D",1,0)+IF(BU1252="D",1,0)+IF(BW1252="D",1,0)+IF(CC1252="D",1,0)+IF(CD1252="D",1,0)+IF(CE1252="D",1,0)+IF(CF1252="D",1,0)+IF(CL1252="D",1,0)+IF(CM1252="D",1,0)+IF(CQ1252="D",1,0)+IF(CR1252="D",1,0)+IF(CS1252="D",1,0)+IF(CW1252="D",1,0)+IF(CX1252="D",1,0)+IF(DD1252="D",1,0)+IF(DE1252="D",1,0)+IF(DJ1252="D",1,0)+IF(DK1252="D",1,0)+IF(DO1252="D",1,0)+IF(DP1252="D",1,0)+IF(DQ1252="D",1,0)+IF(DW1252="D",1,0)+IF(DZ1252="D",1,0)+IF(EH1252="D",1,0)</f>
        <v>0</v>
      </c>
      <c r="AY1252" s="0" t="n">
        <f aca="false">COUNTIF(DU1252:EH1252, "&lt;&gt;")</f>
        <v>0</v>
      </c>
      <c r="AZ1252" s="0" t="n">
        <f aca="false">IF(EH1252&lt;&gt;"",1,0)</f>
        <v>0</v>
      </c>
      <c r="BB1252" s="0" t="s">
        <v>152</v>
      </c>
    </row>
    <row r="1253" customFormat="false" ht="13.8" hidden="false" customHeight="false" outlineLevel="0" collapsed="false">
      <c r="A1253" s="0" t="s">
        <v>5880</v>
      </c>
      <c r="B1253" s="0" t="n">
        <v>78</v>
      </c>
      <c r="C1253" s="0" t="n">
        <v>354355</v>
      </c>
      <c r="D1253" s="0" t="s">
        <v>1001</v>
      </c>
      <c r="E1253" s="0" t="s">
        <v>5881</v>
      </c>
      <c r="F1253" s="0" t="str">
        <f aca="false">CONCATENATE(D1253," ",LEFT(H1253,4),"T=",AU1253,"D=",AV1253,"R=",AW1253,"M=",AX1253,"L=",AY1253,"B=",AZ1253)</f>
        <v>DAVIS JRT=10D=1R=0M=0L=4B=0</v>
      </c>
      <c r="G1253" s="0" t="s">
        <v>670</v>
      </c>
      <c r="H1253" s="0" t="s">
        <v>314</v>
      </c>
      <c r="I1253" s="0" t="s">
        <v>5882</v>
      </c>
      <c r="J1253" s="0" t="s">
        <v>5883</v>
      </c>
      <c r="K1253" s="0" t="s">
        <v>160</v>
      </c>
      <c r="L1253" s="0" t="s">
        <v>209</v>
      </c>
      <c r="M1253" s="0" t="s">
        <v>5884</v>
      </c>
      <c r="N1253" s="0" t="str">
        <f aca="false">RIGHT(M1253,LEN(M1253)-FIND(" ",M1253))</f>
        <v>KENILWORTH AVE SE</v>
      </c>
      <c r="P1253" s="0" t="s">
        <v>145</v>
      </c>
      <c r="Q1253" s="0" t="s">
        <v>146</v>
      </c>
      <c r="R1253" s="0" t="n">
        <v>44484</v>
      </c>
      <c r="AD1253" s="0" t="s">
        <v>147</v>
      </c>
      <c r="AE1253" s="0" t="s">
        <v>148</v>
      </c>
      <c r="AF1253" s="0" t="s">
        <v>149</v>
      </c>
      <c r="AH1253" s="0" t="n">
        <v>14</v>
      </c>
      <c r="AI1253" s="0" t="n">
        <v>11</v>
      </c>
      <c r="AN1253" s="0" t="s">
        <v>145</v>
      </c>
      <c r="AO1253" s="0" t="s">
        <v>150</v>
      </c>
      <c r="AP1253" s="0" t="s">
        <v>151</v>
      </c>
      <c r="AQ1253" s="0" t="n">
        <v>9</v>
      </c>
      <c r="AR1253" s="0" t="n">
        <v>64</v>
      </c>
      <c r="AS1253" s="0" t="n">
        <v>32</v>
      </c>
      <c r="AU1253" s="0" t="n">
        <f aca="false">COUNTA($BA$200:$EH$200)</f>
        <v>10</v>
      </c>
      <c r="AV1253" s="0" t="n">
        <f aca="false">COUNTIF($BA$200:$EH$200,"D")</f>
        <v>1</v>
      </c>
      <c r="AW1253" s="0" t="n">
        <f aca="false">COUNTIF($BA$200:$EH$200,"R")</f>
        <v>0</v>
      </c>
      <c r="AX1253" s="0" t="n">
        <f aca="false">IF(BN1253="D",1,0)+IF(BO1253="D",1,0)+IF(BT1253="D",1,0)+IF(BU1253="D",1,0)+IF(BW1253="D",1,0)+IF(CC1253="D",1,0)+IF(CD1253="D",1,0)+IF(CE1253="D",1,0)+IF(CF1253="D",1,0)+IF(CL1253="D",1,0)+IF(CM1253="D",1,0)+IF(CQ1253="D",1,0)+IF(CR1253="D",1,0)+IF(CS1253="D",1,0)+IF(CW1253="D",1,0)+IF(CX1253="D",1,0)+IF(DD1253="D",1,0)+IF(DE1253="D",1,0)+IF(DJ1253="D",1,0)+IF(DK1253="D",1,0)+IF(DO1253="D",1,0)+IF(DP1253="D",1,0)+IF(DQ1253="D",1,0)+IF(DW1253="D",1,0)+IF(DZ1253="D",1,0)+IF(EH1253="D",1,0)</f>
        <v>0</v>
      </c>
      <c r="AY1253" s="0" t="n">
        <f aca="false">COUNTIF(DU1253:EH1253, "&lt;&gt;")</f>
        <v>4</v>
      </c>
      <c r="AZ1253" s="0" t="n">
        <f aca="false">IF(EH1253&lt;&gt;"",1,0)</f>
        <v>0</v>
      </c>
      <c r="BB1253" s="0" t="s">
        <v>152</v>
      </c>
      <c r="BY1253" s="0" t="s">
        <v>175</v>
      </c>
      <c r="CK1253" s="0" t="s">
        <v>153</v>
      </c>
      <c r="CP1253" s="0" t="s">
        <v>153</v>
      </c>
      <c r="DC1253" s="0" t="s">
        <v>153</v>
      </c>
      <c r="DN1253" s="0" t="s">
        <v>153</v>
      </c>
      <c r="DU1253" s="0" t="s">
        <v>153</v>
      </c>
      <c r="EA1253" s="0" t="s">
        <v>153</v>
      </c>
      <c r="ED1253" s="0" t="s">
        <v>209</v>
      </c>
      <c r="EF1253" s="0" t="s">
        <v>153</v>
      </c>
    </row>
    <row r="1254" customFormat="false" ht="13.8" hidden="false" customHeight="false" outlineLevel="0" collapsed="false">
      <c r="A1254" s="0" t="s">
        <v>5885</v>
      </c>
      <c r="B1254" s="0" t="n">
        <v>78</v>
      </c>
      <c r="C1254" s="0" t="n">
        <v>354348</v>
      </c>
      <c r="D1254" s="0" t="s">
        <v>1001</v>
      </c>
      <c r="E1254" s="0" t="s">
        <v>610</v>
      </c>
      <c r="F1254" s="0" t="str">
        <f aca="false">CONCATENATE(D1254," ",LEFT(H1254,4),"T=",AU1254,"D=",AV1254,"R=",AW1254,"M=",AX1254,"L=",AY1254,"B=",AZ1254)</f>
        <v>DAVIS T=1D=0R=0M=0L=3B=0</v>
      </c>
      <c r="G1254" s="0" t="s">
        <v>5886</v>
      </c>
      <c r="I1254" s="0" t="s">
        <v>5887</v>
      </c>
      <c r="J1254" s="0" t="s">
        <v>5883</v>
      </c>
      <c r="K1254" s="0" t="s">
        <v>160</v>
      </c>
      <c r="M1254" s="0" t="s">
        <v>5884</v>
      </c>
      <c r="N1254" s="0" t="str">
        <f aca="false">RIGHT(M1254,LEN(M1254)-FIND(" ",M1254))</f>
        <v>KENILWORTH AVE SE</v>
      </c>
      <c r="P1254" s="0" t="s">
        <v>145</v>
      </c>
      <c r="Q1254" s="0" t="s">
        <v>146</v>
      </c>
      <c r="R1254" s="0" t="n">
        <v>44484</v>
      </c>
      <c r="AD1254" s="0" t="s">
        <v>147</v>
      </c>
      <c r="AE1254" s="0" t="s">
        <v>148</v>
      </c>
      <c r="AF1254" s="0" t="s">
        <v>149</v>
      </c>
      <c r="AH1254" s="0" t="n">
        <v>14</v>
      </c>
      <c r="AI1254" s="0" t="n">
        <v>11</v>
      </c>
      <c r="AN1254" s="0" t="s">
        <v>145</v>
      </c>
      <c r="AO1254" s="0" t="s">
        <v>150</v>
      </c>
      <c r="AP1254" s="0" t="s">
        <v>151</v>
      </c>
      <c r="AQ1254" s="0" t="n">
        <v>9</v>
      </c>
      <c r="AR1254" s="0" t="n">
        <v>64</v>
      </c>
      <c r="AS1254" s="0" t="n">
        <v>32</v>
      </c>
      <c r="AU1254" s="0" t="n">
        <f aca="false">COUNTA($BA$458:$EH$458)</f>
        <v>1</v>
      </c>
      <c r="AV1254" s="0" t="n">
        <f aca="false">COUNTIF($BA$458:$EH$458,"D")</f>
        <v>0</v>
      </c>
      <c r="AW1254" s="0" t="n">
        <f aca="false">COUNTIF($BA$458:$EH$458,"R")</f>
        <v>0</v>
      </c>
      <c r="AX1254" s="0" t="n">
        <f aca="false">IF(BN1254="D",1,0)+IF(BO1254="D",1,0)+IF(BT1254="D",1,0)+IF(BU1254="D",1,0)+IF(BW1254="D",1,0)+IF(CC1254="D",1,0)+IF(CD1254="D",1,0)+IF(CE1254="D",1,0)+IF(CF1254="D",1,0)+IF(CL1254="D",1,0)+IF(CM1254="D",1,0)+IF(CQ1254="D",1,0)+IF(CR1254="D",1,0)+IF(CS1254="D",1,0)+IF(CW1254="D",1,0)+IF(CX1254="D",1,0)+IF(DD1254="D",1,0)+IF(DE1254="D",1,0)+IF(DJ1254="D",1,0)+IF(DK1254="D",1,0)+IF(DO1254="D",1,0)+IF(DP1254="D",1,0)+IF(DQ1254="D",1,0)+IF(DW1254="D",1,0)+IF(DZ1254="D",1,0)+IF(EH1254="D",1,0)</f>
        <v>0</v>
      </c>
      <c r="AY1254" s="0" t="n">
        <f aca="false">COUNTIF(DU1254:EH1254, "&lt;&gt;")</f>
        <v>3</v>
      </c>
      <c r="AZ1254" s="0" t="n">
        <f aca="false">IF(EH1254&lt;&gt;"",1,0)</f>
        <v>0</v>
      </c>
      <c r="BB1254" s="0" t="s">
        <v>152</v>
      </c>
      <c r="BY1254" s="0" t="s">
        <v>175</v>
      </c>
      <c r="CA1254" s="0" t="s">
        <v>153</v>
      </c>
      <c r="CP1254" s="0" t="s">
        <v>153</v>
      </c>
      <c r="CY1254" s="0" t="s">
        <v>153</v>
      </c>
      <c r="DC1254" s="0" t="s">
        <v>153</v>
      </c>
      <c r="DN1254" s="0" t="s">
        <v>153</v>
      </c>
      <c r="DU1254" s="0" t="s">
        <v>153</v>
      </c>
      <c r="EA1254" s="0" t="s">
        <v>153</v>
      </c>
      <c r="EF1254" s="0" t="s">
        <v>153</v>
      </c>
    </row>
    <row r="1255" customFormat="false" ht="13.8" hidden="true" customHeight="false" outlineLevel="0" collapsed="false">
      <c r="A1255" s="0" t="s">
        <v>5888</v>
      </c>
      <c r="B1255" s="0" t="n">
        <v>78</v>
      </c>
      <c r="C1255" s="0" t="n">
        <v>448317</v>
      </c>
      <c r="D1255" s="0" t="s">
        <v>5889</v>
      </c>
      <c r="E1255" s="0" t="s">
        <v>5890</v>
      </c>
      <c r="F1255" s="0" t="str">
        <f aca="false">CONCATENATE(D1255," ",LEFT(H1255,4),"T=",AU1255,"D=",AV1255,"R=",AW1255,"M=",AX1255,"L=",AY1255,"B=",AZ1255)</f>
        <v>CYLAR T=46D=16R=0M=0L=0B=0</v>
      </c>
      <c r="G1255" s="0" t="s">
        <v>5891</v>
      </c>
      <c r="I1255" s="0" t="s">
        <v>5892</v>
      </c>
      <c r="J1255" s="0" t="s">
        <v>787</v>
      </c>
      <c r="K1255" s="0" t="s">
        <v>143</v>
      </c>
      <c r="M1255" s="0" t="s">
        <v>5893</v>
      </c>
      <c r="N1255" s="0" t="str">
        <f aca="false">RIGHT(M1255,LEN(M1255)-FIND(" ",M1255))</f>
        <v>KENILWORTH AVE SE</v>
      </c>
      <c r="P1255" s="0" t="s">
        <v>145</v>
      </c>
      <c r="Q1255" s="0" t="s">
        <v>146</v>
      </c>
      <c r="R1255" s="0" t="n">
        <v>44484</v>
      </c>
      <c r="AD1255" s="0" t="s">
        <v>147</v>
      </c>
      <c r="AE1255" s="0" t="s">
        <v>148</v>
      </c>
      <c r="AF1255" s="0" t="s">
        <v>149</v>
      </c>
      <c r="AH1255" s="0" t="n">
        <v>14</v>
      </c>
      <c r="AI1255" s="0" t="n">
        <v>11</v>
      </c>
      <c r="AN1255" s="0" t="s">
        <v>145</v>
      </c>
      <c r="AO1255" s="0" t="s">
        <v>150</v>
      </c>
      <c r="AP1255" s="0" t="s">
        <v>151</v>
      </c>
      <c r="AQ1255" s="0" t="n">
        <v>9</v>
      </c>
      <c r="AR1255" s="0" t="n">
        <v>64</v>
      </c>
      <c r="AS1255" s="0" t="n">
        <v>32</v>
      </c>
      <c r="AU1255" s="0" t="n">
        <f aca="false">COUNTA($BA$16:$EH$16)</f>
        <v>46</v>
      </c>
      <c r="AV1255" s="0" t="n">
        <f aca="false">COUNTIF($BA$16:$EH$16,"D")</f>
        <v>16</v>
      </c>
      <c r="AW1255" s="0" t="n">
        <f aca="false">COUNTIF($BA$16:$EH$16,"R")</f>
        <v>0</v>
      </c>
      <c r="AX1255" s="0" t="n">
        <f aca="false">IF(BN1255="D",1,0)+IF(BO1255="D",1,0)+IF(BT1255="D",1,0)+IF(BU1255="D",1,0)+IF(BW1255="D",1,0)+IF(CC1255="D",1,0)+IF(CD1255="D",1,0)+IF(CE1255="D",1,0)+IF(CF1255="D",1,0)+IF(CL1255="D",1,0)+IF(CM1255="D",1,0)+IF(CQ1255="D",1,0)+IF(CR1255="D",1,0)+IF(CS1255="D",1,0)+IF(CW1255="D",1,0)+IF(CX1255="D",1,0)+IF(DD1255="D",1,0)+IF(DE1255="D",1,0)+IF(DJ1255="D",1,0)+IF(DK1255="D",1,0)+IF(DO1255="D",1,0)+IF(DP1255="D",1,0)+IF(DQ1255="D",1,0)+IF(DW1255="D",1,0)+IF(DZ1255="D",1,0)+IF(EH1255="D",1,0)</f>
        <v>0</v>
      </c>
      <c r="AY1255" s="0" t="n">
        <f aca="false">COUNTIF(DU1255:EH1255, "&lt;&gt;")</f>
        <v>0</v>
      </c>
      <c r="AZ1255" s="0" t="n">
        <f aca="false">IF(EH1255&lt;&gt;"",1,0)</f>
        <v>0</v>
      </c>
      <c r="BB1255" s="0" t="s">
        <v>152</v>
      </c>
      <c r="DN1255" s="0" t="s">
        <v>153</v>
      </c>
    </row>
    <row r="1256" customFormat="false" ht="13.8" hidden="false" customHeight="false" outlineLevel="0" collapsed="false">
      <c r="A1256" s="0" t="s">
        <v>5894</v>
      </c>
      <c r="B1256" s="0" t="n">
        <v>78</v>
      </c>
      <c r="C1256" s="0" t="n">
        <v>316871</v>
      </c>
      <c r="D1256" s="0" t="s">
        <v>5895</v>
      </c>
      <c r="E1256" s="0" t="s">
        <v>5896</v>
      </c>
      <c r="F1256" s="0" t="str">
        <f aca="false">CONCATENATE(D1256," ",LEFT(H1256,4),"T=",AU1256,"D=",AV1256,"R=",AW1256,"M=",AX1256,"L=",AY1256,"B=",AZ1256)</f>
        <v>AMBROSE SRT=1D=0R=0M=2L=5B=1</v>
      </c>
      <c r="G1256" s="0" t="s">
        <v>325</v>
      </c>
      <c r="H1256" s="0" t="s">
        <v>216</v>
      </c>
      <c r="I1256" s="0" t="s">
        <v>5897</v>
      </c>
      <c r="J1256" s="0" t="s">
        <v>5898</v>
      </c>
      <c r="K1256" s="0" t="s">
        <v>160</v>
      </c>
      <c r="L1256" s="0" t="s">
        <v>175</v>
      </c>
      <c r="M1256" s="0" t="s">
        <v>5899</v>
      </c>
      <c r="N1256" s="0" t="str">
        <f aca="false">RIGHT(M1256,LEN(M1256)-FIND(" ",M1256))</f>
        <v>KENILWORTH AVE SE</v>
      </c>
      <c r="P1256" s="0" t="s">
        <v>145</v>
      </c>
      <c r="Q1256" s="0" t="s">
        <v>146</v>
      </c>
      <c r="R1256" s="0" t="n">
        <v>44484</v>
      </c>
      <c r="AD1256" s="0" t="s">
        <v>147</v>
      </c>
      <c r="AE1256" s="0" t="s">
        <v>148</v>
      </c>
      <c r="AF1256" s="0" t="s">
        <v>149</v>
      </c>
      <c r="AH1256" s="0" t="n">
        <v>14</v>
      </c>
      <c r="AI1256" s="0" t="n">
        <v>11</v>
      </c>
      <c r="AN1256" s="0" t="s">
        <v>145</v>
      </c>
      <c r="AO1256" s="0" t="s">
        <v>150</v>
      </c>
      <c r="AP1256" s="0" t="s">
        <v>151</v>
      </c>
      <c r="AQ1256" s="0" t="n">
        <v>9</v>
      </c>
      <c r="AR1256" s="0" t="n">
        <v>64</v>
      </c>
      <c r="AS1256" s="0" t="n">
        <v>32</v>
      </c>
      <c r="AU1256" s="0" t="n">
        <f aca="false">COUNTA($BA$654:$EH$654)</f>
        <v>1</v>
      </c>
      <c r="AV1256" s="0" t="n">
        <f aca="false">COUNTIF($BA$654:$EH$654,"D")</f>
        <v>0</v>
      </c>
      <c r="AW1256" s="0" t="n">
        <f aca="false">COUNTIF($BA$654:$EH$654,"R")</f>
        <v>0</v>
      </c>
      <c r="AX1256" s="0" t="n">
        <f aca="false">IF(BN1256="D",1,0)+IF(BO1256="D",1,0)+IF(BT1256="D",1,0)+IF(BU1256="D",1,0)+IF(BW1256="D",1,0)+IF(CC1256="D",1,0)+IF(CD1256="D",1,0)+IF(CE1256="D",1,0)+IF(CF1256="D",1,0)+IF(CL1256="D",1,0)+IF(CM1256="D",1,0)+IF(CQ1256="D",1,0)+IF(CR1256="D",1,0)+IF(CS1256="D",1,0)+IF(CW1256="D",1,0)+IF(CX1256="D",1,0)+IF(DD1256="D",1,0)+IF(DE1256="D",1,0)+IF(DJ1256="D",1,0)+IF(DK1256="D",1,0)+IF(DO1256="D",1,0)+IF(DP1256="D",1,0)+IF(DQ1256="D",1,0)+IF(DW1256="D",1,0)+IF(DZ1256="D",1,0)+IF(EH1256="D",1,0)</f>
        <v>2</v>
      </c>
      <c r="AY1256" s="0" t="n">
        <f aca="false">COUNTIF(DU1256:EH1256, "&lt;&gt;")</f>
        <v>5</v>
      </c>
      <c r="AZ1256" s="0" t="n">
        <f aca="false">IF(EH1256&lt;&gt;"",1,0)</f>
        <v>1</v>
      </c>
      <c r="BB1256" s="0" t="s">
        <v>152</v>
      </c>
      <c r="BJ1256" s="0" t="s">
        <v>153</v>
      </c>
      <c r="BK1256" s="0" t="s">
        <v>153</v>
      </c>
      <c r="BL1256" s="0" t="s">
        <v>153</v>
      </c>
      <c r="BY1256" s="0" t="s">
        <v>175</v>
      </c>
      <c r="CA1256" s="0" t="s">
        <v>153</v>
      </c>
      <c r="CN1256" s="0" t="s">
        <v>153</v>
      </c>
      <c r="CP1256" s="0" t="s">
        <v>153</v>
      </c>
      <c r="CY1256" s="0" t="s">
        <v>153</v>
      </c>
      <c r="CZ1256" s="0" t="s">
        <v>175</v>
      </c>
      <c r="DC1256" s="0" t="s">
        <v>153</v>
      </c>
      <c r="DF1256" s="0" t="s">
        <v>153</v>
      </c>
      <c r="DG1256" s="0" t="s">
        <v>175</v>
      </c>
      <c r="DI1256" s="0" t="s">
        <v>153</v>
      </c>
      <c r="DL1256" s="0" t="s">
        <v>153</v>
      </c>
      <c r="DN1256" s="0" t="s">
        <v>153</v>
      </c>
      <c r="DW1256" s="0" t="s">
        <v>175</v>
      </c>
      <c r="EA1256" s="0" t="s">
        <v>153</v>
      </c>
      <c r="ED1256" s="0" t="s">
        <v>175</v>
      </c>
      <c r="EF1256" s="0" t="s">
        <v>153</v>
      </c>
      <c r="EH1256" s="0" t="s">
        <v>175</v>
      </c>
    </row>
    <row r="1257" customFormat="false" ht="13.8" hidden="true" customHeight="false" outlineLevel="0" collapsed="false">
      <c r="A1257" s="0" t="s">
        <v>5900</v>
      </c>
      <c r="B1257" s="0" t="n">
        <v>78</v>
      </c>
      <c r="C1257" s="0" t="n">
        <v>393186</v>
      </c>
      <c r="D1257" s="0" t="s">
        <v>2206</v>
      </c>
      <c r="E1257" s="0" t="s">
        <v>5764</v>
      </c>
      <c r="F1257" s="0" t="str">
        <f aca="false">CONCATENATE(D1257," ",LEFT(H1257,4),"T=",AU1257,"D=",AV1257,"R=",AW1257,"M=",AX1257,"L=",AY1257,"B=",AZ1257)</f>
        <v>MARTINEZ T=1D=0R=0M=0L=0B=0</v>
      </c>
      <c r="G1257" s="0" t="s">
        <v>1143</v>
      </c>
      <c r="I1257" s="0" t="s">
        <v>5901</v>
      </c>
      <c r="J1257" s="0" t="s">
        <v>5902</v>
      </c>
      <c r="K1257" s="0" t="s">
        <v>143</v>
      </c>
      <c r="M1257" s="0" t="s">
        <v>5903</v>
      </c>
      <c r="N1257" s="0" t="str">
        <f aca="false">RIGHT(M1257,LEN(M1257)-FIND(" ",M1257))</f>
        <v>KENILWORTH AVE SE</v>
      </c>
      <c r="P1257" s="0" t="s">
        <v>145</v>
      </c>
      <c r="Q1257" s="0" t="s">
        <v>146</v>
      </c>
      <c r="R1257" s="0" t="n">
        <v>44484</v>
      </c>
      <c r="AD1257" s="0" t="s">
        <v>147</v>
      </c>
      <c r="AE1257" s="0" t="s">
        <v>148</v>
      </c>
      <c r="AF1257" s="0" t="s">
        <v>149</v>
      </c>
      <c r="AH1257" s="0" t="n">
        <v>14</v>
      </c>
      <c r="AI1257" s="0" t="n">
        <v>11</v>
      </c>
      <c r="AN1257" s="0" t="s">
        <v>145</v>
      </c>
      <c r="AO1257" s="0" t="s">
        <v>150</v>
      </c>
      <c r="AP1257" s="0" t="s">
        <v>151</v>
      </c>
      <c r="AQ1257" s="0" t="n">
        <v>9</v>
      </c>
      <c r="AR1257" s="0" t="n">
        <v>64</v>
      </c>
      <c r="AS1257" s="0" t="n">
        <v>32</v>
      </c>
      <c r="AU1257" s="0" t="n">
        <f aca="false">COUNTA($BA$170:$EH$170)</f>
        <v>1</v>
      </c>
      <c r="AV1257" s="0" t="n">
        <f aca="false">COUNTIF($BA$170:$EH$170,"D")</f>
        <v>0</v>
      </c>
      <c r="AW1257" s="0" t="n">
        <f aca="false">COUNTIF($BA$170:$EH$170,"R")</f>
        <v>0</v>
      </c>
      <c r="AX1257" s="0" t="n">
        <f aca="false">IF(BN1257="D",1,0)+IF(BO1257="D",1,0)+IF(BT1257="D",1,0)+IF(BU1257="D",1,0)+IF(BW1257="D",1,0)+IF(CC1257="D",1,0)+IF(CD1257="D",1,0)+IF(CE1257="D",1,0)+IF(CF1257="D",1,0)+IF(CL1257="D",1,0)+IF(CM1257="D",1,0)+IF(CQ1257="D",1,0)+IF(CR1257="D",1,0)+IF(CS1257="D",1,0)+IF(CW1257="D",1,0)+IF(CX1257="D",1,0)+IF(DD1257="D",1,0)+IF(DE1257="D",1,0)+IF(DJ1257="D",1,0)+IF(DK1257="D",1,0)+IF(DO1257="D",1,0)+IF(DP1257="D",1,0)+IF(DQ1257="D",1,0)+IF(DW1257="D",1,0)+IF(DZ1257="D",1,0)+IF(EH1257="D",1,0)</f>
        <v>0</v>
      </c>
      <c r="AY1257" s="0" t="n">
        <f aca="false">COUNTIF(DU1257:EH1257, "&lt;&gt;")</f>
        <v>0</v>
      </c>
      <c r="AZ1257" s="0" t="n">
        <f aca="false">IF(EH1257&lt;&gt;"",1,0)</f>
        <v>0</v>
      </c>
      <c r="BB1257" s="0" t="s">
        <v>152</v>
      </c>
    </row>
    <row r="1258" customFormat="false" ht="13.8" hidden="true" customHeight="false" outlineLevel="0" collapsed="false">
      <c r="A1258" s="0" t="s">
        <v>5904</v>
      </c>
      <c r="B1258" s="0" t="n">
        <v>78</v>
      </c>
      <c r="C1258" s="0" t="n">
        <v>450595</v>
      </c>
      <c r="D1258" s="0" t="s">
        <v>5905</v>
      </c>
      <c r="E1258" s="0" t="s">
        <v>344</v>
      </c>
      <c r="F1258" s="0" t="str">
        <f aca="false">CONCATENATE(D1258," ",LEFT(H1258,4),"T=",AU1258,"D=",AV1258,"R=",AW1258,"M=",AX1258,"L=",AY1258,"B=",AZ1258)</f>
        <v>BOWLES T=38D=7R=0M=0L=0B=0</v>
      </c>
      <c r="G1258" s="0" t="s">
        <v>175</v>
      </c>
      <c r="I1258" s="0" t="s">
        <v>5906</v>
      </c>
      <c r="J1258" s="0" t="s">
        <v>1341</v>
      </c>
      <c r="K1258" s="0" t="s">
        <v>160</v>
      </c>
      <c r="M1258" s="0" t="s">
        <v>5903</v>
      </c>
      <c r="N1258" s="0" t="str">
        <f aca="false">RIGHT(M1258,LEN(M1258)-FIND(" ",M1258))</f>
        <v>KENILWORTH AVE SE</v>
      </c>
      <c r="P1258" s="0" t="s">
        <v>145</v>
      </c>
      <c r="Q1258" s="0" t="s">
        <v>146</v>
      </c>
      <c r="R1258" s="0" t="n">
        <v>44484</v>
      </c>
      <c r="AD1258" s="0" t="s">
        <v>147</v>
      </c>
      <c r="AE1258" s="0" t="s">
        <v>148</v>
      </c>
      <c r="AF1258" s="0" t="s">
        <v>149</v>
      </c>
      <c r="AH1258" s="0" t="n">
        <v>14</v>
      </c>
      <c r="AI1258" s="0" t="n">
        <v>11</v>
      </c>
      <c r="AN1258" s="0" t="s">
        <v>145</v>
      </c>
      <c r="AO1258" s="0" t="s">
        <v>150</v>
      </c>
      <c r="AP1258" s="0" t="s">
        <v>151</v>
      </c>
      <c r="AQ1258" s="0" t="n">
        <v>9</v>
      </c>
      <c r="AR1258" s="0" t="n">
        <v>64</v>
      </c>
      <c r="AS1258" s="0" t="n">
        <v>32</v>
      </c>
      <c r="AU1258" s="0" t="n">
        <f aca="false">COUNTA($BA$467:$EH$467)</f>
        <v>38</v>
      </c>
      <c r="AV1258" s="0" t="n">
        <f aca="false">COUNTIF($BA$467:$EH$467,"D")</f>
        <v>7</v>
      </c>
      <c r="AW1258" s="0" t="n">
        <f aca="false">COUNTIF($BA$467:$EH$467,"R")</f>
        <v>0</v>
      </c>
      <c r="AX1258" s="0" t="n">
        <f aca="false">IF(BN1258="D",1,0)+IF(BO1258="D",1,0)+IF(BT1258="D",1,0)+IF(BU1258="D",1,0)+IF(BW1258="D",1,0)+IF(CC1258="D",1,0)+IF(CD1258="D",1,0)+IF(CE1258="D",1,0)+IF(CF1258="D",1,0)+IF(CL1258="D",1,0)+IF(CM1258="D",1,0)+IF(CQ1258="D",1,0)+IF(CR1258="D",1,0)+IF(CS1258="D",1,0)+IF(CW1258="D",1,0)+IF(CX1258="D",1,0)+IF(DD1258="D",1,0)+IF(DE1258="D",1,0)+IF(DJ1258="D",1,0)+IF(DK1258="D",1,0)+IF(DO1258="D",1,0)+IF(DP1258="D",1,0)+IF(DQ1258="D",1,0)+IF(DW1258="D",1,0)+IF(DZ1258="D",1,0)+IF(EH1258="D",1,0)</f>
        <v>0</v>
      </c>
      <c r="AY1258" s="0" t="n">
        <f aca="false">COUNTIF(DU1258:EH1258, "&lt;&gt;")</f>
        <v>0</v>
      </c>
      <c r="AZ1258" s="0" t="n">
        <f aca="false">IF(EH1258&lt;&gt;"",1,0)</f>
        <v>0</v>
      </c>
      <c r="BB1258" s="0" t="s">
        <v>152</v>
      </c>
      <c r="DN1258" s="0" t="s">
        <v>153</v>
      </c>
    </row>
    <row r="1259" customFormat="false" ht="13.8" hidden="true" customHeight="false" outlineLevel="0" collapsed="false">
      <c r="A1259" s="0" t="s">
        <v>5907</v>
      </c>
      <c r="B1259" s="0" t="n">
        <v>78</v>
      </c>
      <c r="C1259" s="0" t="n">
        <v>392604</v>
      </c>
      <c r="D1259" s="0" t="s">
        <v>636</v>
      </c>
      <c r="E1259" s="0" t="s">
        <v>2013</v>
      </c>
      <c r="F1259" s="0" t="str">
        <f aca="false">CONCATENATE(D1259," ",LEFT(H1259,4),"T=",AU1259,"D=",AV1259,"R=",AW1259,"M=",AX1259,"L=",AY1259,"B=",AZ1259)</f>
        <v>ADAMS T=2D=0R=0M=0L=0B=0</v>
      </c>
      <c r="G1259" s="0" t="s">
        <v>763</v>
      </c>
      <c r="I1259" s="0" t="s">
        <v>5908</v>
      </c>
      <c r="J1259" s="0" t="s">
        <v>560</v>
      </c>
      <c r="K1259" s="0" t="s">
        <v>160</v>
      </c>
      <c r="M1259" s="0" t="s">
        <v>5909</v>
      </c>
      <c r="N1259" s="0" t="str">
        <f aca="false">RIGHT(M1259,LEN(M1259)-FIND(" ",M1259))</f>
        <v>KENILWORTH AVE SE</v>
      </c>
      <c r="P1259" s="0" t="s">
        <v>145</v>
      </c>
      <c r="Q1259" s="0" t="s">
        <v>146</v>
      </c>
      <c r="R1259" s="0" t="n">
        <v>44484</v>
      </c>
      <c r="AD1259" s="0" t="s">
        <v>147</v>
      </c>
      <c r="AE1259" s="0" t="s">
        <v>148</v>
      </c>
      <c r="AF1259" s="0" t="s">
        <v>149</v>
      </c>
      <c r="AH1259" s="0" t="n">
        <v>14</v>
      </c>
      <c r="AI1259" s="0" t="n">
        <v>11</v>
      </c>
      <c r="AN1259" s="0" t="s">
        <v>145</v>
      </c>
      <c r="AO1259" s="0" t="s">
        <v>150</v>
      </c>
      <c r="AP1259" s="0" t="s">
        <v>151</v>
      </c>
      <c r="AQ1259" s="0" t="n">
        <v>9</v>
      </c>
      <c r="AR1259" s="0" t="n">
        <v>64</v>
      </c>
      <c r="AS1259" s="0" t="n">
        <v>32</v>
      </c>
      <c r="AU1259" s="0" t="n">
        <f aca="false">COUNTA($BA$221:$EH$221)</f>
        <v>2</v>
      </c>
      <c r="AV1259" s="0" t="n">
        <f aca="false">COUNTIF($BA$221:$EH$221,"D")</f>
        <v>0</v>
      </c>
      <c r="AW1259" s="0" t="n">
        <f aca="false">COUNTIF($BA$221:$EH$221,"R")</f>
        <v>0</v>
      </c>
      <c r="AX1259" s="0" t="n">
        <f aca="false">IF(BN1259="D",1,0)+IF(BO1259="D",1,0)+IF(BT1259="D",1,0)+IF(BU1259="D",1,0)+IF(BW1259="D",1,0)+IF(CC1259="D",1,0)+IF(CD1259="D",1,0)+IF(CE1259="D",1,0)+IF(CF1259="D",1,0)+IF(CL1259="D",1,0)+IF(CM1259="D",1,0)+IF(CQ1259="D",1,0)+IF(CR1259="D",1,0)+IF(CS1259="D",1,0)+IF(CW1259="D",1,0)+IF(CX1259="D",1,0)+IF(DD1259="D",1,0)+IF(DE1259="D",1,0)+IF(DJ1259="D",1,0)+IF(DK1259="D",1,0)+IF(DO1259="D",1,0)+IF(DP1259="D",1,0)+IF(DQ1259="D",1,0)+IF(DW1259="D",1,0)+IF(DZ1259="D",1,0)+IF(EH1259="D",1,0)</f>
        <v>0</v>
      </c>
      <c r="AY1259" s="0" t="n">
        <f aca="false">COUNTIF(DU1259:EH1259, "&lt;&gt;")</f>
        <v>0</v>
      </c>
      <c r="AZ1259" s="0" t="n">
        <f aca="false">IF(EH1259&lt;&gt;"",1,0)</f>
        <v>0</v>
      </c>
      <c r="BB1259" s="0" t="s">
        <v>152</v>
      </c>
      <c r="CP1259" s="0" t="s">
        <v>153</v>
      </c>
      <c r="DC1259" s="0" t="s">
        <v>153</v>
      </c>
    </row>
    <row r="1260" customFormat="false" ht="13.8" hidden="false" customHeight="false" outlineLevel="0" collapsed="false">
      <c r="A1260" s="0" t="s">
        <v>5910</v>
      </c>
      <c r="B1260" s="0" t="n">
        <v>78</v>
      </c>
      <c r="C1260" s="0" t="n">
        <v>439245</v>
      </c>
      <c r="D1260" s="0" t="s">
        <v>881</v>
      </c>
      <c r="E1260" s="0" t="s">
        <v>5911</v>
      </c>
      <c r="F1260" s="0" t="str">
        <f aca="false">CONCATENATE(D1260," ",LEFT(H1260,4),"T=",AU1260,"D=",AV1260,"R=",AW1260,"M=",AX1260,"L=",AY1260,"B=",AZ1260)</f>
        <v>SLATER T=12D=1R=0M=0L=2B=0</v>
      </c>
      <c r="G1260" s="0" t="s">
        <v>5912</v>
      </c>
      <c r="I1260" s="0" t="s">
        <v>5913</v>
      </c>
      <c r="J1260" s="0" t="s">
        <v>5914</v>
      </c>
      <c r="K1260" s="0" t="s">
        <v>160</v>
      </c>
      <c r="M1260" s="0" t="s">
        <v>5915</v>
      </c>
      <c r="N1260" s="0" t="str">
        <f aca="false">RIGHT(M1260,LEN(M1260)-FIND(" ",M1260))</f>
        <v>KENILWORTH AVE SE</v>
      </c>
      <c r="P1260" s="0" t="s">
        <v>145</v>
      </c>
      <c r="Q1260" s="0" t="s">
        <v>146</v>
      </c>
      <c r="R1260" s="0" t="n">
        <v>44484</v>
      </c>
      <c r="AD1260" s="0" t="s">
        <v>147</v>
      </c>
      <c r="AE1260" s="0" t="s">
        <v>148</v>
      </c>
      <c r="AF1260" s="0" t="s">
        <v>149</v>
      </c>
      <c r="AH1260" s="0" t="n">
        <v>14</v>
      </c>
      <c r="AI1260" s="0" t="n">
        <v>11</v>
      </c>
      <c r="AN1260" s="0" t="s">
        <v>145</v>
      </c>
      <c r="AO1260" s="0" t="s">
        <v>150</v>
      </c>
      <c r="AP1260" s="0" t="s">
        <v>151</v>
      </c>
      <c r="AQ1260" s="0" t="n">
        <v>9</v>
      </c>
      <c r="AR1260" s="0" t="n">
        <v>64</v>
      </c>
      <c r="AS1260" s="0" t="n">
        <v>32</v>
      </c>
      <c r="AU1260" s="0" t="n">
        <f aca="false">COUNTA($BA$185:$EH$185)</f>
        <v>12</v>
      </c>
      <c r="AV1260" s="0" t="n">
        <f aca="false">COUNTIF($BA$185:$EH$185,"D")</f>
        <v>1</v>
      </c>
      <c r="AW1260" s="0" t="n">
        <f aca="false">COUNTIF($BA$185:$EH$185,"R")</f>
        <v>0</v>
      </c>
      <c r="AX1260" s="0" t="n">
        <f aca="false">IF(BN1260="D",1,0)+IF(BO1260="D",1,0)+IF(BT1260="D",1,0)+IF(BU1260="D",1,0)+IF(BW1260="D",1,0)+IF(CC1260="D",1,0)+IF(CD1260="D",1,0)+IF(CE1260="D",1,0)+IF(CF1260="D",1,0)+IF(CL1260="D",1,0)+IF(CM1260="D",1,0)+IF(CQ1260="D",1,0)+IF(CR1260="D",1,0)+IF(CS1260="D",1,0)+IF(CW1260="D",1,0)+IF(CX1260="D",1,0)+IF(DD1260="D",1,0)+IF(DE1260="D",1,0)+IF(DJ1260="D",1,0)+IF(DK1260="D",1,0)+IF(DO1260="D",1,0)+IF(DP1260="D",1,0)+IF(DQ1260="D",1,0)+IF(DW1260="D",1,0)+IF(DZ1260="D",1,0)+IF(EH1260="D",1,0)</f>
        <v>0</v>
      </c>
      <c r="AY1260" s="0" t="n">
        <f aca="false">COUNTIF(DU1260:EH1260, "&lt;&gt;")</f>
        <v>2</v>
      </c>
      <c r="AZ1260" s="0" t="n">
        <f aca="false">IF(EH1260&lt;&gt;"",1,0)</f>
        <v>0</v>
      </c>
      <c r="BB1260" s="0" t="s">
        <v>152</v>
      </c>
      <c r="DC1260" s="0" t="s">
        <v>153</v>
      </c>
      <c r="DN1260" s="0" t="s">
        <v>153</v>
      </c>
      <c r="DU1260" s="0" t="s">
        <v>153</v>
      </c>
      <c r="EF1260" s="0" t="s">
        <v>153</v>
      </c>
    </row>
    <row r="1261" customFormat="false" ht="13.8" hidden="false" customHeight="false" outlineLevel="0" collapsed="false">
      <c r="A1261" s="0" t="s">
        <v>5916</v>
      </c>
      <c r="B1261" s="0" t="n">
        <v>78</v>
      </c>
      <c r="C1261" s="0" t="n">
        <v>447765</v>
      </c>
      <c r="D1261" s="0" t="s">
        <v>881</v>
      </c>
      <c r="E1261" s="0" t="s">
        <v>736</v>
      </c>
      <c r="F1261" s="0" t="str">
        <f aca="false">CONCATENATE(D1261," ",LEFT(H1261,4),"T=",AU1261,"D=",AV1261,"R=",AW1261,"M=",AX1261,"L=",AY1261,"B=",AZ1261)</f>
        <v>SLATER T=1D=0R=0M=0L=3B=0</v>
      </c>
      <c r="G1261" s="0" t="s">
        <v>215</v>
      </c>
      <c r="I1261" s="0" t="s">
        <v>5917</v>
      </c>
      <c r="J1261" s="0" t="s">
        <v>5918</v>
      </c>
      <c r="K1261" s="0" t="s">
        <v>160</v>
      </c>
      <c r="M1261" s="0" t="s">
        <v>5915</v>
      </c>
      <c r="N1261" s="0" t="str">
        <f aca="false">RIGHT(M1261,LEN(M1261)-FIND(" ",M1261))</f>
        <v>KENILWORTH AVE SE</v>
      </c>
      <c r="P1261" s="0" t="s">
        <v>145</v>
      </c>
      <c r="Q1261" s="0" t="s">
        <v>146</v>
      </c>
      <c r="R1261" s="0" t="n">
        <v>44484</v>
      </c>
      <c r="AD1261" s="0" t="s">
        <v>147</v>
      </c>
      <c r="AE1261" s="0" t="s">
        <v>148</v>
      </c>
      <c r="AF1261" s="0" t="s">
        <v>149</v>
      </c>
      <c r="AH1261" s="0" t="n">
        <v>14</v>
      </c>
      <c r="AI1261" s="0" t="n">
        <v>11</v>
      </c>
      <c r="AN1261" s="0" t="s">
        <v>145</v>
      </c>
      <c r="AO1261" s="0" t="s">
        <v>150</v>
      </c>
      <c r="AP1261" s="0" t="s">
        <v>151</v>
      </c>
      <c r="AQ1261" s="0" t="n">
        <v>9</v>
      </c>
      <c r="AR1261" s="0" t="n">
        <v>64</v>
      </c>
      <c r="AS1261" s="0" t="n">
        <v>32</v>
      </c>
      <c r="AU1261" s="0" t="n">
        <f aca="false">COUNTA($BA$604:$EH$604)</f>
        <v>1</v>
      </c>
      <c r="AV1261" s="0" t="n">
        <f aca="false">COUNTIF($BA$604:$EH$604,"D")</f>
        <v>0</v>
      </c>
      <c r="AW1261" s="0" t="n">
        <f aca="false">COUNTIF($BA$604:$EH$604,"R")</f>
        <v>0</v>
      </c>
      <c r="AX1261" s="0" t="n">
        <f aca="false">IF(BN1261="D",1,0)+IF(BO1261="D",1,0)+IF(BT1261="D",1,0)+IF(BU1261="D",1,0)+IF(BW1261="D",1,0)+IF(CC1261="D",1,0)+IF(CD1261="D",1,0)+IF(CE1261="D",1,0)+IF(CF1261="D",1,0)+IF(CL1261="D",1,0)+IF(CM1261="D",1,0)+IF(CQ1261="D",1,0)+IF(CR1261="D",1,0)+IF(CS1261="D",1,0)+IF(CW1261="D",1,0)+IF(CX1261="D",1,0)+IF(DD1261="D",1,0)+IF(DE1261="D",1,0)+IF(DJ1261="D",1,0)+IF(DK1261="D",1,0)+IF(DO1261="D",1,0)+IF(DP1261="D",1,0)+IF(DQ1261="D",1,0)+IF(DW1261="D",1,0)+IF(DZ1261="D",1,0)+IF(EH1261="D",1,0)</f>
        <v>0</v>
      </c>
      <c r="AY1261" s="0" t="n">
        <f aca="false">COUNTIF(DU1261:EH1261, "&lt;&gt;")</f>
        <v>3</v>
      </c>
      <c r="AZ1261" s="0" t="n">
        <f aca="false">IF(EH1261&lt;&gt;"",1,0)</f>
        <v>0</v>
      </c>
      <c r="BB1261" s="0" t="s">
        <v>152</v>
      </c>
      <c r="CP1261" s="0" t="s">
        <v>153</v>
      </c>
      <c r="DN1261" s="0" t="s">
        <v>153</v>
      </c>
      <c r="DU1261" s="0" t="s">
        <v>153</v>
      </c>
      <c r="EA1261" s="0" t="s">
        <v>153</v>
      </c>
      <c r="EF1261" s="0" t="s">
        <v>153</v>
      </c>
    </row>
    <row r="1262" customFormat="false" ht="13.8" hidden="false" customHeight="false" outlineLevel="0" collapsed="false">
      <c r="A1262" s="0" t="s">
        <v>5919</v>
      </c>
      <c r="B1262" s="0" t="n">
        <v>78</v>
      </c>
      <c r="C1262" s="0" t="n">
        <v>378985</v>
      </c>
      <c r="D1262" s="0" t="s">
        <v>2509</v>
      </c>
      <c r="E1262" s="0" t="s">
        <v>5920</v>
      </c>
      <c r="F1262" s="0" t="str">
        <f aca="false">CONCATENATE(D1262," ",LEFT(H1262,4),"T=",AU1262,"D=",AV1262,"R=",AW1262,"M=",AX1262,"L=",AY1262,"B=",AZ1262)</f>
        <v>ROBINSON T=31D=7R=2M=1L=4B=0</v>
      </c>
      <c r="G1262" s="0" t="s">
        <v>5921</v>
      </c>
      <c r="I1262" s="0" t="s">
        <v>5922</v>
      </c>
      <c r="J1262" s="0" t="s">
        <v>1433</v>
      </c>
      <c r="K1262" s="0" t="s">
        <v>160</v>
      </c>
      <c r="M1262" s="0" t="s">
        <v>5923</v>
      </c>
      <c r="N1262" s="0" t="str">
        <f aca="false">RIGHT(M1262,LEN(M1262)-FIND(" ",M1262))</f>
        <v>KENILWORTH AVE SE</v>
      </c>
      <c r="P1262" s="0" t="s">
        <v>145</v>
      </c>
      <c r="Q1262" s="0" t="s">
        <v>146</v>
      </c>
      <c r="R1262" s="0" t="n">
        <v>44484</v>
      </c>
      <c r="AD1262" s="0" t="s">
        <v>147</v>
      </c>
      <c r="AE1262" s="0" t="s">
        <v>148</v>
      </c>
      <c r="AF1262" s="0" t="s">
        <v>149</v>
      </c>
      <c r="AH1262" s="0" t="n">
        <v>14</v>
      </c>
      <c r="AI1262" s="0" t="n">
        <v>11</v>
      </c>
      <c r="AN1262" s="0" t="s">
        <v>145</v>
      </c>
      <c r="AO1262" s="0" t="s">
        <v>150</v>
      </c>
      <c r="AP1262" s="0" t="s">
        <v>151</v>
      </c>
      <c r="AQ1262" s="0" t="n">
        <v>9</v>
      </c>
      <c r="AR1262" s="0" t="n">
        <v>64</v>
      </c>
      <c r="AS1262" s="0" t="n">
        <v>32</v>
      </c>
      <c r="AU1262" s="0" t="n">
        <f aca="false">COUNTA($BA$688:$EH$688)</f>
        <v>31</v>
      </c>
      <c r="AV1262" s="0" t="n">
        <f aca="false">COUNTIF($BA$688:$EH$688,"D")</f>
        <v>7</v>
      </c>
      <c r="AW1262" s="0" t="n">
        <f aca="false">COUNTIF($BA$688:$EH$688,"R")</f>
        <v>2</v>
      </c>
      <c r="AX1262" s="0" t="n">
        <f aca="false">IF(BN1262="D",1,0)+IF(BO1262="D",1,0)+IF(BT1262="D",1,0)+IF(BU1262="D",1,0)+IF(BW1262="D",1,0)+IF(CC1262="D",1,0)+IF(CD1262="D",1,0)+IF(CE1262="D",1,0)+IF(CF1262="D",1,0)+IF(CL1262="D",1,0)+IF(CM1262="D",1,0)+IF(CQ1262="D",1,0)+IF(CR1262="D",1,0)+IF(CS1262="D",1,0)+IF(CW1262="D",1,0)+IF(CX1262="D",1,0)+IF(DD1262="D",1,0)+IF(DE1262="D",1,0)+IF(DJ1262="D",1,0)+IF(DK1262="D",1,0)+IF(DO1262="D",1,0)+IF(DP1262="D",1,0)+IF(DQ1262="D",1,0)+IF(DW1262="D",1,0)+IF(DZ1262="D",1,0)+IF(EH1262="D",1,0)</f>
        <v>1</v>
      </c>
      <c r="AY1262" s="0" t="n">
        <f aca="false">COUNTIF(DU1262:EH1262, "&lt;&gt;")</f>
        <v>4</v>
      </c>
      <c r="AZ1262" s="0" t="n">
        <f aca="false">IF(EH1262&lt;&gt;"",1,0)</f>
        <v>0</v>
      </c>
      <c r="BB1262" s="0" t="s">
        <v>152</v>
      </c>
      <c r="CN1262" s="0" t="s">
        <v>153</v>
      </c>
      <c r="CP1262" s="0" t="s">
        <v>153</v>
      </c>
      <c r="CW1262" s="0" t="s">
        <v>175</v>
      </c>
      <c r="CY1262" s="0" t="s">
        <v>153</v>
      </c>
      <c r="CZ1262" s="0" t="s">
        <v>175</v>
      </c>
      <c r="DC1262" s="0" t="s">
        <v>153</v>
      </c>
      <c r="DI1262" s="0" t="s">
        <v>153</v>
      </c>
      <c r="DN1262" s="0" t="s">
        <v>153</v>
      </c>
      <c r="DU1262" s="0" t="s">
        <v>153</v>
      </c>
      <c r="DX1262" s="0" t="s">
        <v>153</v>
      </c>
      <c r="EA1262" s="0" t="s">
        <v>153</v>
      </c>
      <c r="EF1262" s="0" t="s">
        <v>153</v>
      </c>
    </row>
    <row r="1263" customFormat="false" ht="13.8" hidden="true" customHeight="false" outlineLevel="0" collapsed="false">
      <c r="A1263" s="0" t="s">
        <v>5924</v>
      </c>
      <c r="B1263" s="0" t="n">
        <v>78</v>
      </c>
      <c r="C1263" s="0" t="n">
        <v>393505</v>
      </c>
      <c r="D1263" s="0" t="s">
        <v>1867</v>
      </c>
      <c r="E1263" s="0" t="s">
        <v>5925</v>
      </c>
      <c r="F1263" s="0" t="str">
        <f aca="false">CONCATENATE(D1263," ",LEFT(H1263,4),"T=",AU1263,"D=",AV1263,"R=",AW1263,"M=",AX1263,"L=",AY1263,"B=",AZ1263)</f>
        <v>TAYLOR T=1D=0R=0M=0L=1B=0</v>
      </c>
      <c r="G1263" s="0" t="s">
        <v>5926</v>
      </c>
      <c r="I1263" s="0" t="s">
        <v>5927</v>
      </c>
      <c r="J1263" s="0" t="s">
        <v>5928</v>
      </c>
      <c r="K1263" s="0" t="s">
        <v>160</v>
      </c>
      <c r="M1263" s="0" t="s">
        <v>5923</v>
      </c>
      <c r="N1263" s="0" t="str">
        <f aca="false">RIGHT(M1263,LEN(M1263)-FIND(" ",M1263))</f>
        <v>KENILWORTH AVE SE</v>
      </c>
      <c r="P1263" s="0" t="s">
        <v>145</v>
      </c>
      <c r="Q1263" s="0" t="s">
        <v>146</v>
      </c>
      <c r="R1263" s="0" t="n">
        <v>44484</v>
      </c>
      <c r="AD1263" s="0" t="s">
        <v>147</v>
      </c>
      <c r="AE1263" s="0" t="s">
        <v>148</v>
      </c>
      <c r="AF1263" s="0" t="s">
        <v>149</v>
      </c>
      <c r="AH1263" s="0" t="n">
        <v>14</v>
      </c>
      <c r="AI1263" s="0" t="n">
        <v>11</v>
      </c>
      <c r="AN1263" s="0" t="s">
        <v>145</v>
      </c>
      <c r="AO1263" s="0" t="s">
        <v>150</v>
      </c>
      <c r="AP1263" s="0" t="s">
        <v>151</v>
      </c>
      <c r="AQ1263" s="0" t="n">
        <v>9</v>
      </c>
      <c r="AR1263" s="0" t="n">
        <v>64</v>
      </c>
      <c r="AS1263" s="0" t="n">
        <v>32</v>
      </c>
      <c r="AU1263" s="0" t="n">
        <f aca="false">COUNTA($BA$1060:$EH$1060)</f>
        <v>1</v>
      </c>
      <c r="AV1263" s="0" t="n">
        <f aca="false">COUNTIF($BA$1060:$EH$1060,"D")</f>
        <v>0</v>
      </c>
      <c r="AW1263" s="0" t="n">
        <f aca="false">COUNTIF($BA$1060:$EH$1060,"R")</f>
        <v>0</v>
      </c>
      <c r="AX1263" s="0" t="n">
        <f aca="false">IF(BN1263="D",1,0)+IF(BO1263="D",1,0)+IF(BT1263="D",1,0)+IF(BU1263="D",1,0)+IF(BW1263="D",1,0)+IF(CC1263="D",1,0)+IF(CD1263="D",1,0)+IF(CE1263="D",1,0)+IF(CF1263="D",1,0)+IF(CL1263="D",1,0)+IF(CM1263="D",1,0)+IF(CQ1263="D",1,0)+IF(CR1263="D",1,0)+IF(CS1263="D",1,0)+IF(CW1263="D",1,0)+IF(CX1263="D",1,0)+IF(DD1263="D",1,0)+IF(DE1263="D",1,0)+IF(DJ1263="D",1,0)+IF(DK1263="D",1,0)+IF(DO1263="D",1,0)+IF(DP1263="D",1,0)+IF(DQ1263="D",1,0)+IF(DW1263="D",1,0)+IF(DZ1263="D",1,0)+IF(EH1263="D",1,0)</f>
        <v>0</v>
      </c>
      <c r="AY1263" s="0" t="n">
        <f aca="false">COUNTIF(DU1263:EH1263, "&lt;&gt;")</f>
        <v>1</v>
      </c>
      <c r="AZ1263" s="0" t="n">
        <f aca="false">IF(EH1263&lt;&gt;"",1,0)</f>
        <v>0</v>
      </c>
      <c r="BB1263" s="0" t="s">
        <v>152</v>
      </c>
      <c r="CA1263" s="0" t="s">
        <v>153</v>
      </c>
      <c r="CP1263" s="0" t="s">
        <v>153</v>
      </c>
      <c r="CY1263" s="0" t="s">
        <v>153</v>
      </c>
      <c r="CZ1263" s="0" t="s">
        <v>175</v>
      </c>
      <c r="DI1263" s="0" t="s">
        <v>153</v>
      </c>
      <c r="EA1263" s="0" t="s">
        <v>153</v>
      </c>
    </row>
    <row r="1264" customFormat="false" ht="13.8" hidden="true" customHeight="false" outlineLevel="0" collapsed="false">
      <c r="A1264" s="0" t="s">
        <v>5929</v>
      </c>
      <c r="B1264" s="0" t="n">
        <v>78</v>
      </c>
      <c r="C1264" s="0" t="n">
        <v>410841</v>
      </c>
      <c r="D1264" s="0" t="s">
        <v>5930</v>
      </c>
      <c r="E1264" s="0" t="s">
        <v>4515</v>
      </c>
      <c r="F1264" s="0" t="str">
        <f aca="false">CONCATENATE(D1264," ",LEFT(H1264,4),"T=",AU1264,"D=",AV1264,"R=",AW1264,"M=",AX1264,"L=",AY1264,"B=",AZ1264)</f>
        <v>HICKS T=3D=0R=0M=0L=0B=0</v>
      </c>
      <c r="G1264" s="0" t="s">
        <v>763</v>
      </c>
      <c r="I1264" s="0" t="s">
        <v>3537</v>
      </c>
      <c r="J1264" s="0" t="s">
        <v>502</v>
      </c>
      <c r="K1264" s="0" t="s">
        <v>160</v>
      </c>
      <c r="M1264" s="0" t="s">
        <v>5931</v>
      </c>
      <c r="N1264" s="0" t="str">
        <f aca="false">RIGHT(M1264,LEN(M1264)-FIND(" ",M1264))</f>
        <v>KENILWORTH AVE SE</v>
      </c>
      <c r="O1264" s="0" t="s">
        <v>868</v>
      </c>
      <c r="P1264" s="0" t="s">
        <v>145</v>
      </c>
      <c r="Q1264" s="0" t="s">
        <v>146</v>
      </c>
      <c r="R1264" s="0" t="n">
        <v>44484</v>
      </c>
      <c r="AD1264" s="0" t="s">
        <v>147</v>
      </c>
      <c r="AE1264" s="0" t="s">
        <v>148</v>
      </c>
      <c r="AF1264" s="0" t="s">
        <v>149</v>
      </c>
      <c r="AH1264" s="0" t="n">
        <v>14</v>
      </c>
      <c r="AI1264" s="0" t="n">
        <v>11</v>
      </c>
      <c r="AN1264" s="0" t="s">
        <v>145</v>
      </c>
      <c r="AO1264" s="0" t="s">
        <v>150</v>
      </c>
      <c r="AP1264" s="0" t="s">
        <v>151</v>
      </c>
      <c r="AQ1264" s="0" t="n">
        <v>9</v>
      </c>
      <c r="AR1264" s="0" t="n">
        <v>64</v>
      </c>
      <c r="AS1264" s="0" t="n">
        <v>32</v>
      </c>
      <c r="AU1264" s="0" t="n">
        <f aca="false">COUNTA($BA$56:$EH$56)</f>
        <v>3</v>
      </c>
      <c r="AV1264" s="0" t="n">
        <f aca="false">COUNTIF($BA$56:$EH$56,"D")</f>
        <v>0</v>
      </c>
      <c r="AW1264" s="0" t="n">
        <f aca="false">COUNTIF($BA$56:$EH$56,"R")</f>
        <v>0</v>
      </c>
      <c r="AX1264" s="0" t="n">
        <f aca="false">IF(BN1264="D",1,0)+IF(BO1264="D",1,0)+IF(BT1264="D",1,0)+IF(BU1264="D",1,0)+IF(BW1264="D",1,0)+IF(CC1264="D",1,0)+IF(CD1264="D",1,0)+IF(CE1264="D",1,0)+IF(CF1264="D",1,0)+IF(CL1264="D",1,0)+IF(CM1264="D",1,0)+IF(CQ1264="D",1,0)+IF(CR1264="D",1,0)+IF(CS1264="D",1,0)+IF(CW1264="D",1,0)+IF(CX1264="D",1,0)+IF(DD1264="D",1,0)+IF(DE1264="D",1,0)+IF(DJ1264="D",1,0)+IF(DK1264="D",1,0)+IF(DO1264="D",1,0)+IF(DP1264="D",1,0)+IF(DQ1264="D",1,0)+IF(DW1264="D",1,0)+IF(DZ1264="D",1,0)+IF(EH1264="D",1,0)</f>
        <v>0</v>
      </c>
      <c r="AY1264" s="0" t="n">
        <f aca="false">COUNTIF(DU1264:EH1264, "&lt;&gt;")</f>
        <v>0</v>
      </c>
      <c r="AZ1264" s="0" t="n">
        <f aca="false">IF(EH1264&lt;&gt;"",1,0)</f>
        <v>0</v>
      </c>
      <c r="BB1264" s="0" t="s">
        <v>152</v>
      </c>
      <c r="CY1264" s="0" t="s">
        <v>153</v>
      </c>
      <c r="DC1264" s="0" t="s">
        <v>153</v>
      </c>
    </row>
    <row r="1265" customFormat="false" ht="13.8" hidden="true" customHeight="false" outlineLevel="0" collapsed="false">
      <c r="A1265" s="0" t="s">
        <v>5932</v>
      </c>
      <c r="B1265" s="0" t="n">
        <v>78</v>
      </c>
      <c r="C1265" s="0" t="n">
        <v>476138</v>
      </c>
      <c r="D1265" s="0" t="s">
        <v>4230</v>
      </c>
      <c r="E1265" s="0" t="s">
        <v>3639</v>
      </c>
      <c r="F1265" s="0" t="str">
        <f aca="false">CONCATENATE(D1265," ",LEFT(H1265,4),"T=",AU1265,"D=",AV1265,"R=",AW1265,"M=",AX1265,"L=",AY1265,"B=",AZ1265)</f>
        <v>CLAY JRT=9D=2R=0M=0L=0B=0</v>
      </c>
      <c r="G1265" s="0" t="s">
        <v>685</v>
      </c>
      <c r="H1265" s="0" t="s">
        <v>314</v>
      </c>
      <c r="I1265" s="0" t="s">
        <v>5933</v>
      </c>
      <c r="J1265" s="0" t="s">
        <v>3698</v>
      </c>
      <c r="K1265" s="0" t="s">
        <v>160</v>
      </c>
      <c r="M1265" s="0" t="s">
        <v>5931</v>
      </c>
      <c r="N1265" s="0" t="str">
        <f aca="false">RIGHT(M1265,LEN(M1265)-FIND(" ",M1265))</f>
        <v>KENILWORTH AVE SE</v>
      </c>
      <c r="P1265" s="0" t="s">
        <v>145</v>
      </c>
      <c r="Q1265" s="0" t="s">
        <v>146</v>
      </c>
      <c r="R1265" s="0" t="n">
        <v>44484</v>
      </c>
      <c r="AD1265" s="0" t="s">
        <v>147</v>
      </c>
      <c r="AE1265" s="0" t="s">
        <v>148</v>
      </c>
      <c r="AF1265" s="0" t="s">
        <v>149</v>
      </c>
      <c r="AH1265" s="0" t="n">
        <v>14</v>
      </c>
      <c r="AI1265" s="0" t="n">
        <v>11</v>
      </c>
      <c r="AN1265" s="0" t="s">
        <v>145</v>
      </c>
      <c r="AO1265" s="0" t="s">
        <v>150</v>
      </c>
      <c r="AP1265" s="0" t="s">
        <v>151</v>
      </c>
      <c r="AQ1265" s="0" t="n">
        <v>9</v>
      </c>
      <c r="AR1265" s="0" t="n">
        <v>64</v>
      </c>
      <c r="AS1265" s="0" t="n">
        <v>32</v>
      </c>
      <c r="AU1265" s="0" t="n">
        <f aca="false">COUNTA($BA$286:$EH$286)</f>
        <v>9</v>
      </c>
      <c r="AV1265" s="0" t="n">
        <f aca="false">COUNTIF($BA$286:$EH$286,"D")</f>
        <v>2</v>
      </c>
      <c r="AW1265" s="0" t="n">
        <f aca="false">COUNTIF($BA$286:$EH$286,"R")</f>
        <v>0</v>
      </c>
      <c r="AX1265" s="0" t="n">
        <f aca="false">IF(BN1265="D",1,0)+IF(BO1265="D",1,0)+IF(BT1265="D",1,0)+IF(BU1265="D",1,0)+IF(BW1265="D",1,0)+IF(CC1265="D",1,0)+IF(CD1265="D",1,0)+IF(CE1265="D",1,0)+IF(CF1265="D",1,0)+IF(CL1265="D",1,0)+IF(CM1265="D",1,0)+IF(CQ1265="D",1,0)+IF(CR1265="D",1,0)+IF(CS1265="D",1,0)+IF(CW1265="D",1,0)+IF(CX1265="D",1,0)+IF(DD1265="D",1,0)+IF(DE1265="D",1,0)+IF(DJ1265="D",1,0)+IF(DK1265="D",1,0)+IF(DO1265="D",1,0)+IF(DP1265="D",1,0)+IF(DQ1265="D",1,0)+IF(DW1265="D",1,0)+IF(DZ1265="D",1,0)+IF(EH1265="D",1,0)</f>
        <v>0</v>
      </c>
      <c r="AY1265" s="0" t="n">
        <f aca="false">COUNTIF(DU1265:EH1265, "&lt;&gt;")</f>
        <v>0</v>
      </c>
      <c r="AZ1265" s="0" t="n">
        <f aca="false">IF(EH1265&lt;&gt;"",1,0)</f>
        <v>0</v>
      </c>
      <c r="BB1265" s="0" t="s">
        <v>152</v>
      </c>
    </row>
    <row r="1266" customFormat="false" ht="13.8" hidden="true" customHeight="false" outlineLevel="0" collapsed="false">
      <c r="A1266" s="0" t="s">
        <v>5934</v>
      </c>
      <c r="B1266" s="0" t="n">
        <v>78</v>
      </c>
      <c r="C1266" s="0" t="n">
        <v>417721</v>
      </c>
      <c r="D1266" s="0" t="s">
        <v>5935</v>
      </c>
      <c r="E1266" s="0" t="s">
        <v>3511</v>
      </c>
      <c r="F1266" s="0" t="str">
        <f aca="false">CONCATENATE(D1266," ",LEFT(H1266,4),"T=",AU1266,"D=",AV1266,"R=",AW1266,"M=",AX1266,"L=",AY1266,"B=",AZ1266)</f>
        <v>TUCKER T=2D=0R=0M=0L=0B=0</v>
      </c>
      <c r="G1266" s="0" t="s">
        <v>860</v>
      </c>
      <c r="I1266" s="0" t="s">
        <v>5936</v>
      </c>
      <c r="J1266" s="0" t="s">
        <v>5937</v>
      </c>
      <c r="K1266" s="0" t="s">
        <v>143</v>
      </c>
      <c r="M1266" s="0" t="s">
        <v>5931</v>
      </c>
      <c r="N1266" s="0" t="str">
        <f aca="false">RIGHT(M1266,LEN(M1266)-FIND(" ",M1266))</f>
        <v>KENILWORTH AVE SE</v>
      </c>
      <c r="O1266" s="0" t="s">
        <v>868</v>
      </c>
      <c r="P1266" s="0" t="s">
        <v>145</v>
      </c>
      <c r="Q1266" s="0" t="s">
        <v>146</v>
      </c>
      <c r="R1266" s="0" t="n">
        <v>44484</v>
      </c>
      <c r="AD1266" s="0" t="s">
        <v>147</v>
      </c>
      <c r="AE1266" s="0" t="s">
        <v>148</v>
      </c>
      <c r="AF1266" s="0" t="s">
        <v>149</v>
      </c>
      <c r="AH1266" s="0" t="n">
        <v>14</v>
      </c>
      <c r="AI1266" s="0" t="n">
        <v>11</v>
      </c>
      <c r="AN1266" s="0" t="s">
        <v>145</v>
      </c>
      <c r="AO1266" s="0" t="s">
        <v>150</v>
      </c>
      <c r="AP1266" s="0" t="s">
        <v>151</v>
      </c>
      <c r="AQ1266" s="0" t="n">
        <v>9</v>
      </c>
      <c r="AR1266" s="0" t="n">
        <v>64</v>
      </c>
      <c r="AS1266" s="0" t="n">
        <v>32</v>
      </c>
      <c r="AU1266" s="0" t="n">
        <f aca="false">COUNTA($BA$339:$EH$339)</f>
        <v>2</v>
      </c>
      <c r="AV1266" s="0" t="n">
        <f aca="false">COUNTIF($BA$339:$EH$339,"D")</f>
        <v>0</v>
      </c>
      <c r="AW1266" s="0" t="n">
        <f aca="false">COUNTIF($BA$339:$EH$339,"R")</f>
        <v>0</v>
      </c>
      <c r="AX1266" s="0" t="n">
        <f aca="false">IF(BN1266="D",1,0)+IF(BO1266="D",1,0)+IF(BT1266="D",1,0)+IF(BU1266="D",1,0)+IF(BW1266="D",1,0)+IF(CC1266="D",1,0)+IF(CD1266="D",1,0)+IF(CE1266="D",1,0)+IF(CF1266="D",1,0)+IF(CL1266="D",1,0)+IF(CM1266="D",1,0)+IF(CQ1266="D",1,0)+IF(CR1266="D",1,0)+IF(CS1266="D",1,0)+IF(CW1266="D",1,0)+IF(CX1266="D",1,0)+IF(DD1266="D",1,0)+IF(DE1266="D",1,0)+IF(DJ1266="D",1,0)+IF(DK1266="D",1,0)+IF(DO1266="D",1,0)+IF(DP1266="D",1,0)+IF(DQ1266="D",1,0)+IF(DW1266="D",1,0)+IF(DZ1266="D",1,0)+IF(EH1266="D",1,0)</f>
        <v>0</v>
      </c>
      <c r="AY1266" s="0" t="n">
        <f aca="false">COUNTIF(DU1266:EH1266, "&lt;&gt;")</f>
        <v>0</v>
      </c>
      <c r="AZ1266" s="0" t="n">
        <f aca="false">IF(EH1266&lt;&gt;"",1,0)</f>
        <v>0</v>
      </c>
      <c r="BB1266" s="0" t="s">
        <v>152</v>
      </c>
    </row>
    <row r="1267" customFormat="false" ht="13.8" hidden="true" customHeight="false" outlineLevel="0" collapsed="false">
      <c r="A1267" s="0" t="s">
        <v>5938</v>
      </c>
      <c r="B1267" s="0" t="n">
        <v>78</v>
      </c>
      <c r="C1267" s="0" t="n">
        <v>411769</v>
      </c>
      <c r="D1267" s="0" t="s">
        <v>5939</v>
      </c>
      <c r="E1267" s="0" t="s">
        <v>5940</v>
      </c>
      <c r="F1267" s="0" t="str">
        <f aca="false">CONCATENATE(D1267," ",LEFT(H1267,4),"T=",AU1267,"D=",AV1267,"R=",AW1267,"M=",AX1267,"L=",AY1267,"B=",AZ1267)</f>
        <v>MORT T=1D=0R=0M=0L=0B=0</v>
      </c>
      <c r="G1267" s="0" t="s">
        <v>1617</v>
      </c>
      <c r="I1267" s="0" t="s">
        <v>5941</v>
      </c>
      <c r="J1267" s="0" t="s">
        <v>5942</v>
      </c>
      <c r="K1267" s="0" t="s">
        <v>143</v>
      </c>
      <c r="M1267" s="0" t="s">
        <v>5931</v>
      </c>
      <c r="N1267" s="0" t="str">
        <f aca="false">RIGHT(M1267,LEN(M1267)-FIND(" ",M1267))</f>
        <v>KENILWORTH AVE SE</v>
      </c>
      <c r="O1267" s="0" t="s">
        <v>868</v>
      </c>
      <c r="P1267" s="0" t="s">
        <v>145</v>
      </c>
      <c r="Q1267" s="0" t="s">
        <v>146</v>
      </c>
      <c r="R1267" s="0" t="n">
        <v>44484</v>
      </c>
      <c r="AD1267" s="0" t="s">
        <v>147</v>
      </c>
      <c r="AE1267" s="0" t="s">
        <v>148</v>
      </c>
      <c r="AF1267" s="0" t="s">
        <v>149</v>
      </c>
      <c r="AH1267" s="0" t="n">
        <v>14</v>
      </c>
      <c r="AI1267" s="0" t="n">
        <v>11</v>
      </c>
      <c r="AN1267" s="0" t="s">
        <v>145</v>
      </c>
      <c r="AO1267" s="0" t="s">
        <v>150</v>
      </c>
      <c r="AP1267" s="0" t="s">
        <v>151</v>
      </c>
      <c r="AQ1267" s="0" t="n">
        <v>9</v>
      </c>
      <c r="AR1267" s="0" t="n">
        <v>64</v>
      </c>
      <c r="AS1267" s="0" t="n">
        <v>32</v>
      </c>
      <c r="AU1267" s="0" t="n">
        <f aca="false">COUNTA($BA$794:$EH$794)</f>
        <v>1</v>
      </c>
      <c r="AV1267" s="0" t="n">
        <f aca="false">COUNTIF($BA$794:$EH$794,"D")</f>
        <v>0</v>
      </c>
      <c r="AW1267" s="0" t="n">
        <f aca="false">COUNTIF($BA$794:$EH$794,"R")</f>
        <v>0</v>
      </c>
      <c r="AX1267" s="0" t="n">
        <f aca="false">IF(BN1267="D",1,0)+IF(BO1267="D",1,0)+IF(BT1267="D",1,0)+IF(BU1267="D",1,0)+IF(BW1267="D",1,0)+IF(CC1267="D",1,0)+IF(CD1267="D",1,0)+IF(CE1267="D",1,0)+IF(CF1267="D",1,0)+IF(CL1267="D",1,0)+IF(CM1267="D",1,0)+IF(CQ1267="D",1,0)+IF(CR1267="D",1,0)+IF(CS1267="D",1,0)+IF(CW1267="D",1,0)+IF(CX1267="D",1,0)+IF(DD1267="D",1,0)+IF(DE1267="D",1,0)+IF(DJ1267="D",1,0)+IF(DK1267="D",1,0)+IF(DO1267="D",1,0)+IF(DP1267="D",1,0)+IF(DQ1267="D",1,0)+IF(DW1267="D",1,0)+IF(DZ1267="D",1,0)+IF(EH1267="D",1,0)</f>
        <v>0</v>
      </c>
      <c r="AY1267" s="0" t="n">
        <f aca="false">COUNTIF(DU1267:EH1267, "&lt;&gt;")</f>
        <v>0</v>
      </c>
      <c r="AZ1267" s="0" t="n">
        <f aca="false">IF(EH1267&lt;&gt;"",1,0)</f>
        <v>0</v>
      </c>
      <c r="BB1267" s="0" t="s">
        <v>152</v>
      </c>
    </row>
    <row r="1268" customFormat="false" ht="13.8" hidden="true" customHeight="false" outlineLevel="0" collapsed="false">
      <c r="A1268" s="0" t="s">
        <v>5943</v>
      </c>
      <c r="B1268" s="0" t="n">
        <v>78</v>
      </c>
      <c r="C1268" s="0" t="n">
        <v>417070</v>
      </c>
      <c r="D1268" s="0" t="s">
        <v>5939</v>
      </c>
      <c r="E1268" s="0" t="s">
        <v>1709</v>
      </c>
      <c r="F1268" s="0" t="str">
        <f aca="false">CONCATENATE(D1268," ",LEFT(H1268,4),"T=",AU1268,"D=",AV1268,"R=",AW1268,"M=",AX1268,"L=",AY1268,"B=",AZ1268)</f>
        <v>MORT T=5D=0R=0M=0L=0B=0</v>
      </c>
      <c r="G1268" s="0" t="s">
        <v>325</v>
      </c>
      <c r="I1268" s="0" t="s">
        <v>5944</v>
      </c>
      <c r="J1268" s="0" t="s">
        <v>5942</v>
      </c>
      <c r="K1268" s="0" t="s">
        <v>143</v>
      </c>
      <c r="M1268" s="0" t="s">
        <v>5931</v>
      </c>
      <c r="N1268" s="0" t="str">
        <f aca="false">RIGHT(M1268,LEN(M1268)-FIND(" ",M1268))</f>
        <v>KENILWORTH AVE SE</v>
      </c>
      <c r="P1268" s="0" t="s">
        <v>145</v>
      </c>
      <c r="Q1268" s="0" t="s">
        <v>146</v>
      </c>
      <c r="R1268" s="0" t="n">
        <v>44484</v>
      </c>
      <c r="AD1268" s="0" t="s">
        <v>147</v>
      </c>
      <c r="AE1268" s="0" t="s">
        <v>148</v>
      </c>
      <c r="AF1268" s="0" t="s">
        <v>149</v>
      </c>
      <c r="AH1268" s="0" t="n">
        <v>14</v>
      </c>
      <c r="AI1268" s="0" t="n">
        <v>11</v>
      </c>
      <c r="AN1268" s="0" t="s">
        <v>145</v>
      </c>
      <c r="AO1268" s="0" t="s">
        <v>150</v>
      </c>
      <c r="AP1268" s="0" t="s">
        <v>151</v>
      </c>
      <c r="AQ1268" s="0" t="n">
        <v>9</v>
      </c>
      <c r="AR1268" s="0" t="n">
        <v>64</v>
      </c>
      <c r="AS1268" s="0" t="n">
        <v>32</v>
      </c>
      <c r="AU1268" s="0" t="n">
        <f aca="false">COUNTA($BA$996:$EH$996)</f>
        <v>5</v>
      </c>
      <c r="AV1268" s="0" t="n">
        <f aca="false">COUNTIF($BA$996:$EH$996,"D")</f>
        <v>0</v>
      </c>
      <c r="AW1268" s="0" t="n">
        <f aca="false">COUNTIF($BA$996:$EH$996,"R")</f>
        <v>0</v>
      </c>
      <c r="AX1268" s="0" t="n">
        <f aca="false">IF(BN1268="D",1,0)+IF(BO1268="D",1,0)+IF(BT1268="D",1,0)+IF(BU1268="D",1,0)+IF(BW1268="D",1,0)+IF(CC1268="D",1,0)+IF(CD1268="D",1,0)+IF(CE1268="D",1,0)+IF(CF1268="D",1,0)+IF(CL1268="D",1,0)+IF(CM1268="D",1,0)+IF(CQ1268="D",1,0)+IF(CR1268="D",1,0)+IF(CS1268="D",1,0)+IF(CW1268="D",1,0)+IF(CX1268="D",1,0)+IF(DD1268="D",1,0)+IF(DE1268="D",1,0)+IF(DJ1268="D",1,0)+IF(DK1268="D",1,0)+IF(DO1268="D",1,0)+IF(DP1268="D",1,0)+IF(DQ1268="D",1,0)+IF(DW1268="D",1,0)+IF(DZ1268="D",1,0)+IF(EH1268="D",1,0)</f>
        <v>0</v>
      </c>
      <c r="AY1268" s="0" t="n">
        <f aca="false">COUNTIF(DU1268:EH1268, "&lt;&gt;")</f>
        <v>0</v>
      </c>
      <c r="AZ1268" s="0" t="n">
        <f aca="false">IF(EH1268&lt;&gt;"",1,0)</f>
        <v>0</v>
      </c>
      <c r="BB1268" s="0" t="s">
        <v>152</v>
      </c>
    </row>
    <row r="1269" customFormat="false" ht="13.8" hidden="false" customHeight="false" outlineLevel="0" collapsed="false">
      <c r="A1269" s="0" t="s">
        <v>5945</v>
      </c>
      <c r="B1269" s="0" t="n">
        <v>78</v>
      </c>
      <c r="C1269" s="0" t="n">
        <v>14526</v>
      </c>
      <c r="D1269" s="0" t="s">
        <v>3550</v>
      </c>
      <c r="E1269" s="0" t="s">
        <v>5946</v>
      </c>
      <c r="F1269" s="0" t="str">
        <f aca="false">CONCATENATE(D1269," ",LEFT(H1269,4),"T=",AU1269,"D=",AV1269,"R=",AW1269,"M=",AX1269,"L=",AY1269,"B=",AZ1269)</f>
        <v>BLACK T=31D=2R=8M=1L=5B=1</v>
      </c>
      <c r="G1269" s="0" t="s">
        <v>164</v>
      </c>
      <c r="I1269" s="0" t="s">
        <v>5947</v>
      </c>
      <c r="J1269" s="0" t="s">
        <v>5948</v>
      </c>
      <c r="K1269" s="0" t="s">
        <v>160</v>
      </c>
      <c r="L1269" s="0" t="s">
        <v>175</v>
      </c>
      <c r="M1269" s="0" t="s">
        <v>5949</v>
      </c>
      <c r="N1269" s="0" t="str">
        <f aca="false">RIGHT(M1269,LEN(M1269)-FIND(" ",M1269))</f>
        <v>LAIRD AVE NE</v>
      </c>
      <c r="P1269" s="0" t="s">
        <v>145</v>
      </c>
      <c r="Q1269" s="0" t="s">
        <v>146</v>
      </c>
      <c r="R1269" s="0" t="n">
        <v>44483</v>
      </c>
      <c r="AD1269" s="0" t="s">
        <v>147</v>
      </c>
      <c r="AE1269" s="0" t="s">
        <v>148</v>
      </c>
      <c r="AF1269" s="0" t="s">
        <v>149</v>
      </c>
      <c r="AH1269" s="0" t="n">
        <v>14</v>
      </c>
      <c r="AI1269" s="0" t="n">
        <v>11</v>
      </c>
      <c r="AN1269" s="0" t="s">
        <v>145</v>
      </c>
      <c r="AO1269" s="0" t="s">
        <v>654</v>
      </c>
      <c r="AP1269" s="0" t="s">
        <v>655</v>
      </c>
      <c r="AQ1269" s="0" t="n">
        <v>9</v>
      </c>
      <c r="AR1269" s="0" t="n">
        <v>64</v>
      </c>
      <c r="AS1269" s="0" t="n">
        <v>32</v>
      </c>
      <c r="AU1269" s="0" t="n">
        <f aca="false">COUNTA($BA$1522:$EH$1522)</f>
        <v>31</v>
      </c>
      <c r="AV1269" s="0" t="n">
        <f aca="false">COUNTIF($BA$1522:$EH$1522,"D")</f>
        <v>2</v>
      </c>
      <c r="AW1269" s="0" t="n">
        <f aca="false">COUNTIF($BA$1522:$EH$1522,"R")</f>
        <v>8</v>
      </c>
      <c r="AX1269" s="0" t="n">
        <f aca="false">IF(BN1269="D",1,0)+IF(BO1269="D",1,0)+IF(BT1269="D",1,0)+IF(BU1269="D",1,0)+IF(BW1269="D",1,0)+IF(CC1269="D",1,0)+IF(CD1269="D",1,0)+IF(CE1269="D",1,0)+IF(CF1269="D",1,0)+IF(CL1269="D",1,0)+IF(CM1269="D",1,0)+IF(CQ1269="D",1,0)+IF(CR1269="D",1,0)+IF(CS1269="D",1,0)+IF(CW1269="D",1,0)+IF(CX1269="D",1,0)+IF(DD1269="D",1,0)+IF(DE1269="D",1,0)+IF(DJ1269="D",1,0)+IF(DK1269="D",1,0)+IF(DO1269="D",1,0)+IF(DP1269="D",1,0)+IF(DQ1269="D",1,0)+IF(DW1269="D",1,0)+IF(DZ1269="D",1,0)+IF(EH1269="D",1,0)</f>
        <v>1</v>
      </c>
      <c r="AY1269" s="0" t="n">
        <f aca="false">COUNTIF(DU1269:EH1269, "&lt;&gt;")</f>
        <v>5</v>
      </c>
      <c r="AZ1269" s="0" t="n">
        <f aca="false">IF(EH1269&lt;&gt;"",1,0)</f>
        <v>1</v>
      </c>
      <c r="BB1269" s="0" t="s">
        <v>152</v>
      </c>
      <c r="BD1269" s="0" t="s">
        <v>153</v>
      </c>
      <c r="BE1269" s="0" t="s">
        <v>153</v>
      </c>
      <c r="BF1269" s="0" t="s">
        <v>153</v>
      </c>
      <c r="BG1269" s="0" t="s">
        <v>153</v>
      </c>
      <c r="BH1269" s="0" t="s">
        <v>153</v>
      </c>
      <c r="BJ1269" s="0" t="s">
        <v>153</v>
      </c>
      <c r="BK1269" s="0" t="s">
        <v>153</v>
      </c>
      <c r="BL1269" s="0" t="s">
        <v>153</v>
      </c>
      <c r="BP1269" s="0" t="s">
        <v>153</v>
      </c>
      <c r="BR1269" s="0" t="s">
        <v>153</v>
      </c>
      <c r="BS1269" s="0" t="s">
        <v>153</v>
      </c>
      <c r="BY1269" s="0" t="s">
        <v>209</v>
      </c>
      <c r="CA1269" s="0" t="s">
        <v>153</v>
      </c>
      <c r="CG1269" s="0" t="s">
        <v>153</v>
      </c>
      <c r="CH1269" s="0" t="s">
        <v>209</v>
      </c>
      <c r="CK1269" s="0" t="s">
        <v>153</v>
      </c>
      <c r="CN1269" s="0" t="s">
        <v>153</v>
      </c>
      <c r="CO1269" s="0" t="s">
        <v>209</v>
      </c>
      <c r="CP1269" s="0" t="s">
        <v>153</v>
      </c>
      <c r="CT1269" s="0" t="s">
        <v>153</v>
      </c>
      <c r="CU1269" s="0" t="s">
        <v>209</v>
      </c>
      <c r="CV1269" s="0" t="s">
        <v>153</v>
      </c>
      <c r="CY1269" s="0" t="s">
        <v>153</v>
      </c>
      <c r="CZ1269" s="0" t="s">
        <v>209</v>
      </c>
      <c r="DC1269" s="0" t="s">
        <v>153</v>
      </c>
      <c r="DF1269" s="0" t="s">
        <v>153</v>
      </c>
      <c r="DI1269" s="0" t="s">
        <v>153</v>
      </c>
      <c r="DL1269" s="0" t="s">
        <v>153</v>
      </c>
      <c r="DM1269" s="0" t="s">
        <v>209</v>
      </c>
      <c r="DN1269" s="0" t="s">
        <v>153</v>
      </c>
      <c r="DU1269" s="0" t="s">
        <v>153</v>
      </c>
      <c r="DX1269" s="0" t="s">
        <v>153</v>
      </c>
      <c r="EA1269" s="0" t="s">
        <v>153</v>
      </c>
      <c r="EF1269" s="0" t="s">
        <v>153</v>
      </c>
      <c r="EH1269" s="0" t="s">
        <v>175</v>
      </c>
    </row>
    <row r="1270" customFormat="false" ht="13.8" hidden="false" customHeight="false" outlineLevel="0" collapsed="false">
      <c r="A1270" s="0" t="s">
        <v>5950</v>
      </c>
      <c r="B1270" s="0" t="n">
        <v>78</v>
      </c>
      <c r="C1270" s="0" t="n">
        <v>14527</v>
      </c>
      <c r="D1270" s="0" t="s">
        <v>3550</v>
      </c>
      <c r="E1270" s="0" t="s">
        <v>719</v>
      </c>
      <c r="F1270" s="0" t="str">
        <f aca="false">CONCATENATE(D1270," ",LEFT(H1270,4),"T=",AU1270,"D=",AV1270,"R=",AW1270,"M=",AX1270,"L=",AY1270,"B=",AZ1270)</f>
        <v>BLACK T=4D=0R=0M=1L=5B=1</v>
      </c>
      <c r="G1270" s="0" t="s">
        <v>209</v>
      </c>
      <c r="I1270" s="0" t="s">
        <v>5951</v>
      </c>
      <c r="J1270" s="0" t="s">
        <v>5948</v>
      </c>
      <c r="K1270" s="0" t="s">
        <v>160</v>
      </c>
      <c r="L1270" s="0" t="s">
        <v>175</v>
      </c>
      <c r="M1270" s="0" t="s">
        <v>5949</v>
      </c>
      <c r="N1270" s="0" t="str">
        <f aca="false">RIGHT(M1270,LEN(M1270)-FIND(" ",M1270))</f>
        <v>LAIRD AVE NE</v>
      </c>
      <c r="P1270" s="0" t="s">
        <v>145</v>
      </c>
      <c r="Q1270" s="0" t="s">
        <v>146</v>
      </c>
      <c r="R1270" s="0" t="n">
        <v>44483</v>
      </c>
      <c r="AD1270" s="0" t="s">
        <v>147</v>
      </c>
      <c r="AE1270" s="0" t="s">
        <v>148</v>
      </c>
      <c r="AF1270" s="0" t="s">
        <v>149</v>
      </c>
      <c r="AH1270" s="0" t="n">
        <v>14</v>
      </c>
      <c r="AI1270" s="0" t="n">
        <v>11</v>
      </c>
      <c r="AN1270" s="0" t="s">
        <v>145</v>
      </c>
      <c r="AO1270" s="0" t="s">
        <v>654</v>
      </c>
      <c r="AP1270" s="0" t="s">
        <v>655</v>
      </c>
      <c r="AQ1270" s="0" t="n">
        <v>9</v>
      </c>
      <c r="AR1270" s="0" t="n">
        <v>64</v>
      </c>
      <c r="AS1270" s="0" t="n">
        <v>32</v>
      </c>
      <c r="AU1270" s="0" t="n">
        <f aca="false">COUNTA($BA$1524:$EH$1524)</f>
        <v>4</v>
      </c>
      <c r="AV1270" s="0" t="n">
        <f aca="false">COUNTIF($BA$1524:$EH$1524,"D")</f>
        <v>0</v>
      </c>
      <c r="AW1270" s="0" t="n">
        <f aca="false">COUNTIF($BA$1524:$EH$1524,"R")</f>
        <v>0</v>
      </c>
      <c r="AX1270" s="0" t="n">
        <f aca="false">IF(BN1270="D",1,0)+IF(BO1270="D",1,0)+IF(BT1270="D",1,0)+IF(BU1270="D",1,0)+IF(BW1270="D",1,0)+IF(CC1270="D",1,0)+IF(CD1270="D",1,0)+IF(CE1270="D",1,0)+IF(CF1270="D",1,0)+IF(CL1270="D",1,0)+IF(CM1270="D",1,0)+IF(CQ1270="D",1,0)+IF(CR1270="D",1,0)+IF(CS1270="D",1,0)+IF(CW1270="D",1,0)+IF(CX1270="D",1,0)+IF(DD1270="D",1,0)+IF(DE1270="D",1,0)+IF(DJ1270="D",1,0)+IF(DK1270="D",1,0)+IF(DO1270="D",1,0)+IF(DP1270="D",1,0)+IF(DQ1270="D",1,0)+IF(DW1270="D",1,0)+IF(DZ1270="D",1,0)+IF(EH1270="D",1,0)</f>
        <v>1</v>
      </c>
      <c r="AY1270" s="0" t="n">
        <f aca="false">COUNTIF(DU1270:EH1270, "&lt;&gt;")</f>
        <v>5</v>
      </c>
      <c r="AZ1270" s="0" t="n">
        <f aca="false">IF(EH1270&lt;&gt;"",1,0)</f>
        <v>1</v>
      </c>
      <c r="BB1270" s="0" t="s">
        <v>152</v>
      </c>
      <c r="BC1270" s="0" t="s">
        <v>153</v>
      </c>
      <c r="BD1270" s="0" t="s">
        <v>153</v>
      </c>
      <c r="BE1270" s="0" t="s">
        <v>153</v>
      </c>
      <c r="BF1270" s="0" t="s">
        <v>153</v>
      </c>
      <c r="BG1270" s="0" t="s">
        <v>153</v>
      </c>
      <c r="BH1270" s="0" t="s">
        <v>153</v>
      </c>
      <c r="BI1270" s="0" t="s">
        <v>153</v>
      </c>
      <c r="BJ1270" s="0" t="s">
        <v>153</v>
      </c>
      <c r="BK1270" s="0" t="s">
        <v>153</v>
      </c>
      <c r="BL1270" s="0" t="s">
        <v>153</v>
      </c>
      <c r="BP1270" s="0" t="s">
        <v>153</v>
      </c>
      <c r="BR1270" s="0" t="s">
        <v>153</v>
      </c>
      <c r="BS1270" s="0" t="s">
        <v>153</v>
      </c>
      <c r="BV1270" s="0" t="s">
        <v>153</v>
      </c>
      <c r="BY1270" s="0" t="s">
        <v>209</v>
      </c>
      <c r="CA1270" s="0" t="s">
        <v>153</v>
      </c>
      <c r="CG1270" s="0" t="s">
        <v>153</v>
      </c>
      <c r="CH1270" s="0" t="s">
        <v>209</v>
      </c>
      <c r="CK1270" s="0" t="s">
        <v>153</v>
      </c>
      <c r="CN1270" s="0" t="s">
        <v>153</v>
      </c>
      <c r="CO1270" s="0" t="s">
        <v>209</v>
      </c>
      <c r="CP1270" s="0" t="s">
        <v>153</v>
      </c>
      <c r="CT1270" s="0" t="s">
        <v>153</v>
      </c>
      <c r="CU1270" s="0" t="s">
        <v>209</v>
      </c>
      <c r="CV1270" s="0" t="s">
        <v>153</v>
      </c>
      <c r="CY1270" s="0" t="s">
        <v>153</v>
      </c>
      <c r="CZ1270" s="0" t="s">
        <v>209</v>
      </c>
      <c r="DC1270" s="0" t="s">
        <v>153</v>
      </c>
      <c r="DG1270" s="0" t="s">
        <v>209</v>
      </c>
      <c r="DI1270" s="0" t="s">
        <v>153</v>
      </c>
      <c r="DL1270" s="0" t="s">
        <v>153</v>
      </c>
      <c r="DM1270" s="0" t="s">
        <v>209</v>
      </c>
      <c r="DN1270" s="0" t="s">
        <v>153</v>
      </c>
      <c r="DU1270" s="0" t="s">
        <v>153</v>
      </c>
      <c r="DX1270" s="0" t="s">
        <v>153</v>
      </c>
      <c r="EA1270" s="0" t="s">
        <v>153</v>
      </c>
      <c r="EF1270" s="0" t="s">
        <v>153</v>
      </c>
      <c r="EH1270" s="0" t="s">
        <v>175</v>
      </c>
    </row>
    <row r="1271" customFormat="false" ht="13.8" hidden="true" customHeight="false" outlineLevel="0" collapsed="false">
      <c r="A1271" s="0" t="s">
        <v>5952</v>
      </c>
      <c r="B1271" s="0" t="n">
        <v>78</v>
      </c>
      <c r="C1271" s="0" t="n">
        <v>444492</v>
      </c>
      <c r="D1271" s="0" t="s">
        <v>2412</v>
      </c>
      <c r="E1271" s="0" t="s">
        <v>789</v>
      </c>
      <c r="F1271" s="0" t="str">
        <f aca="false">CONCATENATE(D1271," ",LEFT(H1271,4),"T=",AU1271,"D=",AV1271,"R=",AW1271,"M=",AX1271,"L=",AY1271,"B=",AZ1271)</f>
        <v>NORMAN T=1D=0R=0M=0L=0B=0</v>
      </c>
      <c r="G1271" s="0" t="s">
        <v>164</v>
      </c>
      <c r="I1271" s="0" t="s">
        <v>5953</v>
      </c>
      <c r="J1271" s="0" t="s">
        <v>4672</v>
      </c>
      <c r="K1271" s="0" t="s">
        <v>143</v>
      </c>
      <c r="M1271" s="0" t="s">
        <v>5954</v>
      </c>
      <c r="N1271" s="0" t="str">
        <f aca="false">RIGHT(M1271,LEN(M1271)-FIND(" ",M1271))</f>
        <v>LAIRD AVE NE</v>
      </c>
      <c r="P1271" s="0" t="s">
        <v>145</v>
      </c>
      <c r="Q1271" s="0" t="s">
        <v>146</v>
      </c>
      <c r="R1271" s="0" t="n">
        <v>44483</v>
      </c>
      <c r="AD1271" s="0" t="s">
        <v>147</v>
      </c>
      <c r="AE1271" s="0" t="s">
        <v>148</v>
      </c>
      <c r="AF1271" s="0" t="s">
        <v>149</v>
      </c>
      <c r="AH1271" s="0" t="n">
        <v>14</v>
      </c>
      <c r="AI1271" s="0" t="n">
        <v>11</v>
      </c>
      <c r="AN1271" s="0" t="s">
        <v>145</v>
      </c>
      <c r="AO1271" s="0" t="s">
        <v>654</v>
      </c>
      <c r="AP1271" s="0" t="s">
        <v>655</v>
      </c>
      <c r="AQ1271" s="0" t="n">
        <v>9</v>
      </c>
      <c r="AR1271" s="0" t="n">
        <v>64</v>
      </c>
      <c r="AS1271" s="0" t="n">
        <v>32</v>
      </c>
      <c r="AU1271" s="0" t="n">
        <f aca="false">COUNTA($BA$1405:$EH$1405)</f>
        <v>1</v>
      </c>
      <c r="AV1271" s="0" t="n">
        <f aca="false">COUNTIF($BA$1405:$EH$1405,"D")</f>
        <v>0</v>
      </c>
      <c r="AW1271" s="0" t="n">
        <f aca="false">COUNTIF($BA$1405:$EH$1405,"R")</f>
        <v>0</v>
      </c>
      <c r="AX1271" s="0" t="n">
        <f aca="false">IF(BN1271="D",1,0)+IF(BO1271="D",1,0)+IF(BT1271="D",1,0)+IF(BU1271="D",1,0)+IF(BW1271="D",1,0)+IF(CC1271="D",1,0)+IF(CD1271="D",1,0)+IF(CE1271="D",1,0)+IF(CF1271="D",1,0)+IF(CL1271="D",1,0)+IF(CM1271="D",1,0)+IF(CQ1271="D",1,0)+IF(CR1271="D",1,0)+IF(CS1271="D",1,0)+IF(CW1271="D",1,0)+IF(CX1271="D",1,0)+IF(DD1271="D",1,0)+IF(DE1271="D",1,0)+IF(DJ1271="D",1,0)+IF(DK1271="D",1,0)+IF(DO1271="D",1,0)+IF(DP1271="D",1,0)+IF(DQ1271="D",1,0)+IF(DW1271="D",1,0)+IF(DZ1271="D",1,0)+IF(EH1271="D",1,0)</f>
        <v>0</v>
      </c>
      <c r="AY1271" s="0" t="n">
        <f aca="false">COUNTIF(DU1271:EH1271, "&lt;&gt;")</f>
        <v>0</v>
      </c>
      <c r="AZ1271" s="0" t="n">
        <f aca="false">IF(EH1271&lt;&gt;"",1,0)</f>
        <v>0</v>
      </c>
      <c r="BB1271" s="0" t="s">
        <v>152</v>
      </c>
      <c r="BK1271" s="0" t="s">
        <v>209</v>
      </c>
      <c r="BL1271" s="0" t="s">
        <v>153</v>
      </c>
      <c r="BM1271" s="0" t="s">
        <v>153</v>
      </c>
      <c r="BN1271" s="0" t="s">
        <v>153</v>
      </c>
      <c r="BP1271" s="0" t="s">
        <v>153</v>
      </c>
      <c r="BR1271" s="0" t="s">
        <v>209</v>
      </c>
      <c r="BS1271" s="0" t="s">
        <v>153</v>
      </c>
      <c r="BT1271" s="0" t="s">
        <v>153</v>
      </c>
      <c r="BV1271" s="0" t="s">
        <v>153</v>
      </c>
      <c r="CA1271" s="0" t="s">
        <v>153</v>
      </c>
      <c r="CG1271" s="0" t="s">
        <v>153</v>
      </c>
      <c r="CH1271" s="0" t="s">
        <v>209</v>
      </c>
      <c r="CK1271" s="0" t="s">
        <v>153</v>
      </c>
      <c r="CL1271" s="0" t="s">
        <v>209</v>
      </c>
      <c r="CN1271" s="0" t="s">
        <v>153</v>
      </c>
      <c r="CP1271" s="0" t="s">
        <v>153</v>
      </c>
      <c r="CV1271" s="0" t="s">
        <v>153</v>
      </c>
      <c r="CY1271" s="0" t="s">
        <v>153</v>
      </c>
      <c r="CZ1271" s="0" t="s">
        <v>209</v>
      </c>
      <c r="DC1271" s="0" t="s">
        <v>153</v>
      </c>
    </row>
    <row r="1272" customFormat="false" ht="13.8" hidden="true" customHeight="false" outlineLevel="0" collapsed="false">
      <c r="A1272" s="0" t="s">
        <v>5955</v>
      </c>
      <c r="B1272" s="0" t="n">
        <v>78</v>
      </c>
      <c r="C1272" s="0" t="n">
        <v>443304</v>
      </c>
      <c r="D1272" s="0" t="s">
        <v>2412</v>
      </c>
      <c r="E1272" s="0" t="s">
        <v>5956</v>
      </c>
      <c r="F1272" s="0" t="str">
        <f aca="false">CONCATENATE(D1272," ",LEFT(H1272,4),"T=",AU1272,"D=",AV1272,"R=",AW1272,"M=",AX1272,"L=",AY1272,"B=",AZ1272)</f>
        <v>NORMAN T=1D=0R=0M=0L=0B=0</v>
      </c>
      <c r="G1272" s="0" t="s">
        <v>5957</v>
      </c>
      <c r="I1272" s="0" t="s">
        <v>5958</v>
      </c>
      <c r="J1272" s="0" t="s">
        <v>5959</v>
      </c>
      <c r="K1272" s="0" t="s">
        <v>143</v>
      </c>
      <c r="M1272" s="0" t="s">
        <v>5954</v>
      </c>
      <c r="N1272" s="0" t="str">
        <f aca="false">RIGHT(M1272,LEN(M1272)-FIND(" ",M1272))</f>
        <v>LAIRD AVE NE</v>
      </c>
      <c r="P1272" s="0" t="s">
        <v>145</v>
      </c>
      <c r="Q1272" s="0" t="s">
        <v>146</v>
      </c>
      <c r="R1272" s="0" t="n">
        <v>44483</v>
      </c>
      <c r="AD1272" s="0" t="s">
        <v>147</v>
      </c>
      <c r="AE1272" s="0" t="s">
        <v>148</v>
      </c>
      <c r="AF1272" s="0" t="s">
        <v>149</v>
      </c>
      <c r="AH1272" s="0" t="n">
        <v>14</v>
      </c>
      <c r="AI1272" s="0" t="n">
        <v>11</v>
      </c>
      <c r="AN1272" s="0" t="s">
        <v>145</v>
      </c>
      <c r="AO1272" s="0" t="s">
        <v>654</v>
      </c>
      <c r="AP1272" s="0" t="s">
        <v>655</v>
      </c>
      <c r="AQ1272" s="0" t="n">
        <v>9</v>
      </c>
      <c r="AR1272" s="0" t="n">
        <v>64</v>
      </c>
      <c r="AS1272" s="0" t="n">
        <v>32</v>
      </c>
      <c r="AU1272" s="0" t="n">
        <f aca="false">COUNTA($BA$1464:$EH$1464)</f>
        <v>1</v>
      </c>
      <c r="AV1272" s="0" t="n">
        <f aca="false">COUNTIF($BA$1464:$EH$1464,"D")</f>
        <v>0</v>
      </c>
      <c r="AW1272" s="0" t="n">
        <f aca="false">COUNTIF($BA$1464:$EH$1464,"R")</f>
        <v>0</v>
      </c>
      <c r="AX1272" s="0" t="n">
        <f aca="false">IF(BN1272="D",1,0)+IF(BO1272="D",1,0)+IF(BT1272="D",1,0)+IF(BU1272="D",1,0)+IF(BW1272="D",1,0)+IF(CC1272="D",1,0)+IF(CD1272="D",1,0)+IF(CE1272="D",1,0)+IF(CF1272="D",1,0)+IF(CL1272="D",1,0)+IF(CM1272="D",1,0)+IF(CQ1272="D",1,0)+IF(CR1272="D",1,0)+IF(CS1272="D",1,0)+IF(CW1272="D",1,0)+IF(CX1272="D",1,0)+IF(DD1272="D",1,0)+IF(DE1272="D",1,0)+IF(DJ1272="D",1,0)+IF(DK1272="D",1,0)+IF(DO1272="D",1,0)+IF(DP1272="D",1,0)+IF(DQ1272="D",1,0)+IF(DW1272="D",1,0)+IF(DZ1272="D",1,0)+IF(EH1272="D",1,0)</f>
        <v>0</v>
      </c>
      <c r="AY1272" s="0" t="n">
        <f aca="false">COUNTIF(DU1272:EH1272, "&lt;&gt;")</f>
        <v>0</v>
      </c>
      <c r="AZ1272" s="0" t="n">
        <f aca="false">IF(EH1272&lt;&gt;"",1,0)</f>
        <v>0</v>
      </c>
      <c r="BB1272" s="0" t="s">
        <v>152</v>
      </c>
      <c r="CZ1272" s="0" t="s">
        <v>175</v>
      </c>
      <c r="DI1272" s="0" t="s">
        <v>153</v>
      </c>
    </row>
    <row r="1273" customFormat="false" ht="13.8" hidden="true" customHeight="false" outlineLevel="0" collapsed="false">
      <c r="A1273" s="0" t="s">
        <v>5960</v>
      </c>
      <c r="B1273" s="0" t="n">
        <v>78</v>
      </c>
      <c r="C1273" s="0" t="n">
        <v>326726</v>
      </c>
      <c r="D1273" s="0" t="s">
        <v>5961</v>
      </c>
      <c r="E1273" s="0" t="s">
        <v>1964</v>
      </c>
      <c r="F1273" s="0" t="str">
        <f aca="false">CONCATENATE(D1273," ",LEFT(H1273,4),"T=",AU1273,"D=",AV1273,"R=",AW1273,"M=",AX1273,"L=",AY1273,"B=",AZ1273)</f>
        <v>GRICE T=9D=1R=2M=0L=0B=0</v>
      </c>
      <c r="G1273" s="0" t="s">
        <v>5962</v>
      </c>
      <c r="I1273" s="0" t="s">
        <v>3906</v>
      </c>
      <c r="J1273" s="0" t="s">
        <v>5963</v>
      </c>
      <c r="K1273" s="0" t="s">
        <v>160</v>
      </c>
      <c r="M1273" s="0" t="s">
        <v>5954</v>
      </c>
      <c r="N1273" s="0" t="str">
        <f aca="false">RIGHT(M1273,LEN(M1273)-FIND(" ",M1273))</f>
        <v>LAIRD AVE NE</v>
      </c>
      <c r="P1273" s="0" t="s">
        <v>145</v>
      </c>
      <c r="Q1273" s="0" t="s">
        <v>146</v>
      </c>
      <c r="R1273" s="0" t="n">
        <v>44483</v>
      </c>
      <c r="AD1273" s="0" t="s">
        <v>147</v>
      </c>
      <c r="AE1273" s="0" t="s">
        <v>148</v>
      </c>
      <c r="AF1273" s="0" t="s">
        <v>149</v>
      </c>
      <c r="AH1273" s="0" t="n">
        <v>14</v>
      </c>
      <c r="AI1273" s="0" t="n">
        <v>11</v>
      </c>
      <c r="AN1273" s="0" t="s">
        <v>145</v>
      </c>
      <c r="AO1273" s="0" t="s">
        <v>654</v>
      </c>
      <c r="AP1273" s="0" t="s">
        <v>655</v>
      </c>
      <c r="AQ1273" s="0" t="n">
        <v>9</v>
      </c>
      <c r="AR1273" s="0" t="n">
        <v>64</v>
      </c>
      <c r="AS1273" s="0" t="n">
        <v>32</v>
      </c>
      <c r="AU1273" s="0" t="n">
        <f aca="false">COUNTA($BA$1582:$EH$1582)</f>
        <v>9</v>
      </c>
      <c r="AV1273" s="0" t="n">
        <f aca="false">COUNTIF($BA$1582:$EH$1582,"D")</f>
        <v>1</v>
      </c>
      <c r="AW1273" s="0" t="n">
        <f aca="false">COUNTIF($BA$1582:$EH$1582,"R")</f>
        <v>2</v>
      </c>
      <c r="AX1273" s="0" t="n">
        <f aca="false">IF(BN1273="D",1,0)+IF(BO1273="D",1,0)+IF(BT1273="D",1,0)+IF(BU1273="D",1,0)+IF(BW1273="D",1,0)+IF(CC1273="D",1,0)+IF(CD1273="D",1,0)+IF(CE1273="D",1,0)+IF(CF1273="D",1,0)+IF(CL1273="D",1,0)+IF(CM1273="D",1,0)+IF(CQ1273="D",1,0)+IF(CR1273="D",1,0)+IF(CS1273="D",1,0)+IF(CW1273="D",1,0)+IF(CX1273="D",1,0)+IF(DD1273="D",1,0)+IF(DE1273="D",1,0)+IF(DJ1273="D",1,0)+IF(DK1273="D",1,0)+IF(DO1273="D",1,0)+IF(DP1273="D",1,0)+IF(DQ1273="D",1,0)+IF(DW1273="D",1,0)+IF(DZ1273="D",1,0)+IF(EH1273="D",1,0)</f>
        <v>0</v>
      </c>
      <c r="AY1273" s="0" t="n">
        <f aca="false">COUNTIF(DU1273:EH1273, "&lt;&gt;")</f>
        <v>0</v>
      </c>
      <c r="AZ1273" s="0" t="n">
        <f aca="false">IF(EH1273&lt;&gt;"",1,0)</f>
        <v>0</v>
      </c>
      <c r="BB1273" s="0" t="s">
        <v>152</v>
      </c>
      <c r="CA1273" s="0" t="s">
        <v>153</v>
      </c>
      <c r="DN1273" s="0" t="s">
        <v>153</v>
      </c>
    </row>
    <row r="1274" customFormat="false" ht="13.8" hidden="true" customHeight="false" outlineLevel="0" collapsed="false">
      <c r="A1274" s="0" t="s">
        <v>5964</v>
      </c>
      <c r="B1274" s="0" t="n">
        <v>78</v>
      </c>
      <c r="C1274" s="0" t="n">
        <v>423437</v>
      </c>
      <c r="D1274" s="0" t="s">
        <v>5965</v>
      </c>
      <c r="E1274" s="0" t="s">
        <v>5966</v>
      </c>
      <c r="F1274" s="0" t="str">
        <f aca="false">CONCATENATE(D1274," ",LEFT(H1274,4),"T=",AU1274,"D=",AV1274,"R=",AW1274,"M=",AX1274,"L=",AY1274,"B=",AZ1274)</f>
        <v>WALLER HARRIS T=1D=0R=0M=0L=0B=0</v>
      </c>
      <c r="G1274" s="0" t="s">
        <v>164</v>
      </c>
      <c r="I1274" s="0" t="s">
        <v>5967</v>
      </c>
      <c r="J1274" s="0" t="s">
        <v>2258</v>
      </c>
      <c r="K1274" s="0" t="s">
        <v>160</v>
      </c>
      <c r="M1274" s="0" t="s">
        <v>5968</v>
      </c>
      <c r="N1274" s="0" t="str">
        <f aca="false">RIGHT(M1274,LEN(M1274)-FIND(" ",M1274))</f>
        <v>LAIRD AVE NE</v>
      </c>
      <c r="P1274" s="0" t="s">
        <v>145</v>
      </c>
      <c r="Q1274" s="0" t="s">
        <v>146</v>
      </c>
      <c r="R1274" s="0" t="n">
        <v>44483</v>
      </c>
      <c r="AD1274" s="0" t="s">
        <v>147</v>
      </c>
      <c r="AE1274" s="0" t="s">
        <v>148</v>
      </c>
      <c r="AF1274" s="0" t="s">
        <v>149</v>
      </c>
      <c r="AH1274" s="0" t="n">
        <v>14</v>
      </c>
      <c r="AI1274" s="0" t="n">
        <v>11</v>
      </c>
      <c r="AN1274" s="0" t="s">
        <v>145</v>
      </c>
      <c r="AO1274" s="0" t="s">
        <v>654</v>
      </c>
      <c r="AP1274" s="0" t="s">
        <v>655</v>
      </c>
      <c r="AQ1274" s="0" t="n">
        <v>9</v>
      </c>
      <c r="AR1274" s="0" t="n">
        <v>64</v>
      </c>
      <c r="AS1274" s="0" t="n">
        <v>32</v>
      </c>
      <c r="AU1274" s="0" t="n">
        <f aca="false">COUNTA($BA$1658:$EH$1658)</f>
        <v>1</v>
      </c>
      <c r="AV1274" s="0" t="n">
        <f aca="false">COUNTIF($BA$1658:$EH$1658,"D")</f>
        <v>0</v>
      </c>
      <c r="AW1274" s="0" t="n">
        <f aca="false">COUNTIF($BA$1658:$EH$1658,"R")</f>
        <v>0</v>
      </c>
      <c r="AX1274" s="0" t="n">
        <f aca="false">IF(BN1274="D",1,0)+IF(BO1274="D",1,0)+IF(BT1274="D",1,0)+IF(BU1274="D",1,0)+IF(BW1274="D",1,0)+IF(CC1274="D",1,0)+IF(CD1274="D",1,0)+IF(CE1274="D",1,0)+IF(CF1274="D",1,0)+IF(CL1274="D",1,0)+IF(CM1274="D",1,0)+IF(CQ1274="D",1,0)+IF(CR1274="D",1,0)+IF(CS1274="D",1,0)+IF(CW1274="D",1,0)+IF(CX1274="D",1,0)+IF(DD1274="D",1,0)+IF(DE1274="D",1,0)+IF(DJ1274="D",1,0)+IF(DK1274="D",1,0)+IF(DO1274="D",1,0)+IF(DP1274="D",1,0)+IF(DQ1274="D",1,0)+IF(DW1274="D",1,0)+IF(DZ1274="D",1,0)+IF(EH1274="D",1,0)</f>
        <v>0</v>
      </c>
      <c r="AY1274" s="0" t="n">
        <f aca="false">COUNTIF(DU1274:EH1274, "&lt;&gt;")</f>
        <v>0</v>
      </c>
      <c r="AZ1274" s="0" t="n">
        <f aca="false">IF(EH1274&lt;&gt;"",1,0)</f>
        <v>0</v>
      </c>
      <c r="BB1274" s="0" t="s">
        <v>152</v>
      </c>
      <c r="CP1274" s="0" t="s">
        <v>153</v>
      </c>
    </row>
    <row r="1275" customFormat="false" ht="13.8" hidden="true" customHeight="false" outlineLevel="0" collapsed="false">
      <c r="A1275" s="0" t="s">
        <v>5969</v>
      </c>
      <c r="B1275" s="0" t="n">
        <v>78</v>
      </c>
      <c r="C1275" s="0" t="n">
        <v>356259</v>
      </c>
      <c r="D1275" s="0" t="s">
        <v>5970</v>
      </c>
      <c r="E1275" s="0" t="s">
        <v>719</v>
      </c>
      <c r="F1275" s="0" t="str">
        <f aca="false">CONCATENATE(D1275," ",LEFT(H1275,4),"T=",AU1275,"D=",AV1275,"R=",AW1275,"M=",AX1275,"L=",AY1275,"B=",AZ1275)</f>
        <v>BABCOCK T=14D=0R=0M=0L=0B=0</v>
      </c>
      <c r="G1275" s="0" t="s">
        <v>2045</v>
      </c>
      <c r="I1275" s="0" t="s">
        <v>5971</v>
      </c>
      <c r="J1275" s="0" t="s">
        <v>1038</v>
      </c>
      <c r="K1275" s="0" t="s">
        <v>143</v>
      </c>
      <c r="M1275" s="0" t="s">
        <v>5968</v>
      </c>
      <c r="N1275" s="0" t="str">
        <f aca="false">RIGHT(M1275,LEN(M1275)-FIND(" ",M1275))</f>
        <v>LAIRD AVE NE</v>
      </c>
      <c r="P1275" s="0" t="s">
        <v>145</v>
      </c>
      <c r="Q1275" s="0" t="s">
        <v>146</v>
      </c>
      <c r="R1275" s="0" t="n">
        <v>44483</v>
      </c>
      <c r="AD1275" s="0" t="s">
        <v>147</v>
      </c>
      <c r="AE1275" s="0" t="s">
        <v>148</v>
      </c>
      <c r="AF1275" s="0" t="s">
        <v>149</v>
      </c>
      <c r="AH1275" s="0" t="n">
        <v>14</v>
      </c>
      <c r="AI1275" s="0" t="n">
        <v>11</v>
      </c>
      <c r="AN1275" s="0" t="s">
        <v>145</v>
      </c>
      <c r="AO1275" s="0" t="s">
        <v>654</v>
      </c>
      <c r="AP1275" s="0" t="s">
        <v>655</v>
      </c>
      <c r="AQ1275" s="0" t="n">
        <v>9</v>
      </c>
      <c r="AR1275" s="0" t="n">
        <v>64</v>
      </c>
      <c r="AS1275" s="0" t="n">
        <v>32</v>
      </c>
      <c r="AU1275" s="0" t="n">
        <f aca="false">COUNTA($BA$2059:$EH$2059)</f>
        <v>14</v>
      </c>
      <c r="AV1275" s="0" t="n">
        <f aca="false">COUNTIF($BA$2059:$EH$2059,"D")</f>
        <v>0</v>
      </c>
      <c r="AW1275" s="0" t="n">
        <f aca="false">COUNTIF($BA$2059:$EH$2059,"R")</f>
        <v>0</v>
      </c>
      <c r="AX1275" s="0" t="n">
        <f aca="false">IF(BN1275="D",1,0)+IF(BO1275="D",1,0)+IF(BT1275="D",1,0)+IF(BU1275="D",1,0)+IF(BW1275="D",1,0)+IF(CC1275="D",1,0)+IF(CD1275="D",1,0)+IF(CE1275="D",1,0)+IF(CF1275="D",1,0)+IF(CL1275="D",1,0)+IF(CM1275="D",1,0)+IF(CQ1275="D",1,0)+IF(CR1275="D",1,0)+IF(CS1275="D",1,0)+IF(CW1275="D",1,0)+IF(CX1275="D",1,0)+IF(DD1275="D",1,0)+IF(DE1275="D",1,0)+IF(DJ1275="D",1,0)+IF(DK1275="D",1,0)+IF(DO1275="D",1,0)+IF(DP1275="D",1,0)+IF(DQ1275="D",1,0)+IF(DW1275="D",1,0)+IF(DZ1275="D",1,0)+IF(EH1275="D",1,0)</f>
        <v>0</v>
      </c>
      <c r="AY1275" s="0" t="n">
        <f aca="false">COUNTIF(DU1275:EH1275, "&lt;&gt;")</f>
        <v>0</v>
      </c>
      <c r="AZ1275" s="0" t="n">
        <f aca="false">IF(EH1275&lt;&gt;"",1,0)</f>
        <v>0</v>
      </c>
      <c r="BB1275" s="0" t="s">
        <v>152</v>
      </c>
      <c r="CA1275" s="0" t="s">
        <v>153</v>
      </c>
      <c r="CP1275" s="0" t="s">
        <v>153</v>
      </c>
      <c r="CY1275" s="0" t="s">
        <v>153</v>
      </c>
    </row>
    <row r="1276" customFormat="false" ht="13.8" hidden="true" customHeight="false" outlineLevel="0" collapsed="false">
      <c r="A1276" s="0" t="s">
        <v>5972</v>
      </c>
      <c r="B1276" s="0" t="n">
        <v>78</v>
      </c>
      <c r="C1276" s="0" t="n">
        <v>308766</v>
      </c>
      <c r="D1276" s="0" t="s">
        <v>4770</v>
      </c>
      <c r="E1276" s="0" t="s">
        <v>5973</v>
      </c>
      <c r="F1276" s="0" t="str">
        <f aca="false">CONCATENATE(D1276," ",LEFT(H1276,4),"T=",AU1276,"D=",AV1276,"R=",AW1276,"M=",AX1276,"L=",AY1276,"B=",AZ1276)</f>
        <v>MITCHELL T=7D=0R=0M=0L=0B=0</v>
      </c>
      <c r="G1276" s="0" t="s">
        <v>5974</v>
      </c>
      <c r="I1276" s="0" t="s">
        <v>5975</v>
      </c>
      <c r="J1276" s="0" t="s">
        <v>2521</v>
      </c>
      <c r="K1276" s="0" t="s">
        <v>160</v>
      </c>
      <c r="M1276" s="0" t="s">
        <v>5976</v>
      </c>
      <c r="N1276" s="0" t="str">
        <f aca="false">RIGHT(M1276,LEN(M1276)-FIND(" ",M1276))</f>
        <v>LAIRD AVE NE</v>
      </c>
      <c r="P1276" s="0" t="s">
        <v>145</v>
      </c>
      <c r="Q1276" s="0" t="s">
        <v>146</v>
      </c>
      <c r="R1276" s="0" t="n">
        <v>44483</v>
      </c>
      <c r="AD1276" s="0" t="s">
        <v>147</v>
      </c>
      <c r="AE1276" s="0" t="s">
        <v>148</v>
      </c>
      <c r="AF1276" s="0" t="s">
        <v>149</v>
      </c>
      <c r="AH1276" s="0" t="n">
        <v>14</v>
      </c>
      <c r="AI1276" s="0" t="n">
        <v>11</v>
      </c>
      <c r="AN1276" s="0" t="s">
        <v>145</v>
      </c>
      <c r="AO1276" s="0" t="s">
        <v>654</v>
      </c>
      <c r="AP1276" s="0" t="s">
        <v>655</v>
      </c>
      <c r="AQ1276" s="0" t="n">
        <v>9</v>
      </c>
      <c r="AR1276" s="0" t="n">
        <v>64</v>
      </c>
      <c r="AS1276" s="0" t="n">
        <v>32</v>
      </c>
      <c r="AU1276" s="0" t="n">
        <f aca="false">COUNTA($BA$1864:$EH$1864)</f>
        <v>7</v>
      </c>
      <c r="AV1276" s="0" t="n">
        <f aca="false">COUNTIF($BA$1864:$EH$1864,"D")</f>
        <v>0</v>
      </c>
      <c r="AW1276" s="0" t="n">
        <f aca="false">COUNTIF($BA$1864:$EH$1864,"R")</f>
        <v>0</v>
      </c>
      <c r="AX1276" s="0" t="n">
        <f aca="false">IF(BN1276="D",1,0)+IF(BO1276="D",1,0)+IF(BT1276="D",1,0)+IF(BU1276="D",1,0)+IF(BW1276="D",1,0)+IF(CC1276="D",1,0)+IF(CD1276="D",1,0)+IF(CE1276="D",1,0)+IF(CF1276="D",1,0)+IF(CL1276="D",1,0)+IF(CM1276="D",1,0)+IF(CQ1276="D",1,0)+IF(CR1276="D",1,0)+IF(CS1276="D",1,0)+IF(CW1276="D",1,0)+IF(CX1276="D",1,0)+IF(DD1276="D",1,0)+IF(DE1276="D",1,0)+IF(DJ1276="D",1,0)+IF(DK1276="D",1,0)+IF(DO1276="D",1,0)+IF(DP1276="D",1,0)+IF(DQ1276="D",1,0)+IF(DW1276="D",1,0)+IF(DZ1276="D",1,0)+IF(EH1276="D",1,0)</f>
        <v>0</v>
      </c>
      <c r="AY1276" s="0" t="n">
        <f aca="false">COUNTIF(DU1276:EH1276, "&lt;&gt;")</f>
        <v>0</v>
      </c>
      <c r="AZ1276" s="0" t="n">
        <f aca="false">IF(EH1276&lt;&gt;"",1,0)</f>
        <v>0</v>
      </c>
      <c r="BB1276" s="0" t="s">
        <v>152</v>
      </c>
      <c r="BL1276" s="0" t="s">
        <v>153</v>
      </c>
      <c r="CA1276" s="0" t="s">
        <v>153</v>
      </c>
      <c r="CP1276" s="0" t="s">
        <v>153</v>
      </c>
      <c r="DC1276" s="0" t="s">
        <v>153</v>
      </c>
      <c r="DI1276" s="0" t="s">
        <v>153</v>
      </c>
      <c r="DN1276" s="0" t="s">
        <v>153</v>
      </c>
    </row>
    <row r="1277" customFormat="false" ht="13.8" hidden="true" customHeight="false" outlineLevel="0" collapsed="false">
      <c r="A1277" s="0" t="s">
        <v>5977</v>
      </c>
      <c r="B1277" s="0" t="n">
        <v>78</v>
      </c>
      <c r="C1277" s="0" t="n">
        <v>383835</v>
      </c>
      <c r="D1277" s="0" t="s">
        <v>5978</v>
      </c>
      <c r="E1277" s="0" t="s">
        <v>1651</v>
      </c>
      <c r="F1277" s="0" t="str">
        <f aca="false">CONCATENATE(D1277," ",LEFT(H1277,4),"T=",AU1277,"D=",AV1277,"R=",AW1277,"M=",AX1277,"L=",AY1277,"B=",AZ1277)</f>
        <v>BRATHWAITE T=40D=12R=0M=0L=0B=0</v>
      </c>
      <c r="G1277" s="0" t="s">
        <v>325</v>
      </c>
      <c r="I1277" s="0" t="s">
        <v>5979</v>
      </c>
      <c r="J1277" s="0" t="s">
        <v>3059</v>
      </c>
      <c r="K1277" s="0" t="s">
        <v>143</v>
      </c>
      <c r="M1277" s="0" t="s">
        <v>5980</v>
      </c>
      <c r="N1277" s="0" t="str">
        <f aca="false">RIGHT(M1277,LEN(M1277)-FIND(" ",M1277))</f>
        <v>LAIRD AVE NE</v>
      </c>
      <c r="P1277" s="0" t="s">
        <v>145</v>
      </c>
      <c r="Q1277" s="0" t="s">
        <v>146</v>
      </c>
      <c r="R1277" s="0" t="n">
        <v>44483</v>
      </c>
      <c r="AD1277" s="0" t="s">
        <v>147</v>
      </c>
      <c r="AE1277" s="0" t="s">
        <v>148</v>
      </c>
      <c r="AF1277" s="0" t="s">
        <v>149</v>
      </c>
      <c r="AH1277" s="0" t="n">
        <v>14</v>
      </c>
      <c r="AI1277" s="0" t="n">
        <v>11</v>
      </c>
      <c r="AN1277" s="0" t="s">
        <v>145</v>
      </c>
      <c r="AO1277" s="0" t="s">
        <v>654</v>
      </c>
      <c r="AP1277" s="0" t="s">
        <v>655</v>
      </c>
      <c r="AQ1277" s="0" t="n">
        <v>9</v>
      </c>
      <c r="AR1277" s="0" t="n">
        <v>64</v>
      </c>
      <c r="AS1277" s="0" t="n">
        <v>32</v>
      </c>
      <c r="AU1277" s="0" t="n">
        <f aca="false">COUNTA($BA$1181:$EH$1181)</f>
        <v>40</v>
      </c>
      <c r="AV1277" s="0" t="n">
        <f aca="false">COUNTIF($BA$1181:$EH$1181,"D")</f>
        <v>12</v>
      </c>
      <c r="AW1277" s="0" t="n">
        <f aca="false">COUNTIF($BA$1181:$EH$1181,"R")</f>
        <v>0</v>
      </c>
      <c r="AX1277" s="0" t="n">
        <f aca="false">IF(BN1277="D",1,0)+IF(BO1277="D",1,0)+IF(BT1277="D",1,0)+IF(BU1277="D",1,0)+IF(BW1277="D",1,0)+IF(CC1277="D",1,0)+IF(CD1277="D",1,0)+IF(CE1277="D",1,0)+IF(CF1277="D",1,0)+IF(CL1277="D",1,0)+IF(CM1277="D",1,0)+IF(CQ1277="D",1,0)+IF(CR1277="D",1,0)+IF(CS1277="D",1,0)+IF(CW1277="D",1,0)+IF(CX1277="D",1,0)+IF(DD1277="D",1,0)+IF(DE1277="D",1,0)+IF(DJ1277="D",1,0)+IF(DK1277="D",1,0)+IF(DO1277="D",1,0)+IF(DP1277="D",1,0)+IF(DQ1277="D",1,0)+IF(DW1277="D",1,0)+IF(DZ1277="D",1,0)+IF(EH1277="D",1,0)</f>
        <v>0</v>
      </c>
      <c r="AY1277" s="0" t="n">
        <f aca="false">COUNTIF(DU1277:EH1277, "&lt;&gt;")</f>
        <v>0</v>
      </c>
      <c r="AZ1277" s="0" t="n">
        <f aca="false">IF(EH1277&lt;&gt;"",1,0)</f>
        <v>0</v>
      </c>
      <c r="BB1277" s="0" t="s">
        <v>152</v>
      </c>
      <c r="BL1277" s="0" t="s">
        <v>153</v>
      </c>
      <c r="CP1277" s="0" t="s">
        <v>153</v>
      </c>
      <c r="DC1277" s="0" t="s">
        <v>153</v>
      </c>
    </row>
    <row r="1278" customFormat="false" ht="13.8" hidden="true" customHeight="false" outlineLevel="0" collapsed="false">
      <c r="A1278" s="0" t="s">
        <v>5981</v>
      </c>
      <c r="B1278" s="0" t="n">
        <v>78</v>
      </c>
      <c r="C1278" s="0" t="n">
        <v>387495</v>
      </c>
      <c r="D1278" s="0" t="s">
        <v>5982</v>
      </c>
      <c r="E1278" s="0" t="s">
        <v>5983</v>
      </c>
      <c r="F1278" s="0" t="str">
        <f aca="false">CONCATENATE(D1278," ",LEFT(H1278,4),"T=",AU1278,"D=",AV1278,"R=",AW1278,"M=",AX1278,"L=",AY1278,"B=",AZ1278)</f>
        <v>GIBSON SRT=2D=0R=0M=0L=0B=0</v>
      </c>
      <c r="G1278" s="0" t="s">
        <v>164</v>
      </c>
      <c r="H1278" s="0" t="s">
        <v>216</v>
      </c>
      <c r="I1278" s="0" t="s">
        <v>5984</v>
      </c>
      <c r="J1278" s="0" t="s">
        <v>5985</v>
      </c>
      <c r="K1278" s="0" t="s">
        <v>143</v>
      </c>
      <c r="M1278" s="0" t="s">
        <v>5980</v>
      </c>
      <c r="N1278" s="0" t="str">
        <f aca="false">RIGHT(M1278,LEN(M1278)-FIND(" ",M1278))</f>
        <v>LAIRD AVE NE</v>
      </c>
      <c r="P1278" s="0" t="s">
        <v>145</v>
      </c>
      <c r="Q1278" s="0" t="s">
        <v>146</v>
      </c>
      <c r="R1278" s="0" t="n">
        <v>44483</v>
      </c>
      <c r="AD1278" s="0" t="s">
        <v>147</v>
      </c>
      <c r="AE1278" s="0" t="s">
        <v>148</v>
      </c>
      <c r="AF1278" s="0" t="s">
        <v>149</v>
      </c>
      <c r="AH1278" s="0" t="n">
        <v>14</v>
      </c>
      <c r="AI1278" s="0" t="n">
        <v>11</v>
      </c>
      <c r="AN1278" s="0" t="s">
        <v>145</v>
      </c>
      <c r="AO1278" s="0" t="s">
        <v>654</v>
      </c>
      <c r="AP1278" s="0" t="s">
        <v>655</v>
      </c>
      <c r="AQ1278" s="0" t="n">
        <v>9</v>
      </c>
      <c r="AR1278" s="0" t="n">
        <v>64</v>
      </c>
      <c r="AS1278" s="0" t="n">
        <v>32</v>
      </c>
      <c r="AU1278" s="0" t="n">
        <f aca="false">COUNTA($BA$1851:$EH$1851)</f>
        <v>2</v>
      </c>
      <c r="AV1278" s="0" t="n">
        <f aca="false">COUNTIF($BA$1851:$EH$1851,"D")</f>
        <v>0</v>
      </c>
      <c r="AW1278" s="0" t="n">
        <f aca="false">COUNTIF($BA$1851:$EH$1851,"R")</f>
        <v>0</v>
      </c>
      <c r="AX1278" s="0" t="n">
        <f aca="false">IF(BN1278="D",1,0)+IF(BO1278="D",1,0)+IF(BT1278="D",1,0)+IF(BU1278="D",1,0)+IF(BW1278="D",1,0)+IF(CC1278="D",1,0)+IF(CD1278="D",1,0)+IF(CE1278="D",1,0)+IF(CF1278="D",1,0)+IF(CL1278="D",1,0)+IF(CM1278="D",1,0)+IF(CQ1278="D",1,0)+IF(CR1278="D",1,0)+IF(CS1278="D",1,0)+IF(CW1278="D",1,0)+IF(CX1278="D",1,0)+IF(DD1278="D",1,0)+IF(DE1278="D",1,0)+IF(DJ1278="D",1,0)+IF(DK1278="D",1,0)+IF(DO1278="D",1,0)+IF(DP1278="D",1,0)+IF(DQ1278="D",1,0)+IF(DW1278="D",1,0)+IF(DZ1278="D",1,0)+IF(EH1278="D",1,0)</f>
        <v>0</v>
      </c>
      <c r="AY1278" s="0" t="n">
        <f aca="false">COUNTIF(DU1278:EH1278, "&lt;&gt;")</f>
        <v>0</v>
      </c>
      <c r="AZ1278" s="0" t="n">
        <f aca="false">IF(EH1278&lt;&gt;"",1,0)</f>
        <v>0</v>
      </c>
      <c r="BB1278" s="0" t="s">
        <v>152</v>
      </c>
    </row>
    <row r="1279" customFormat="false" ht="13.8" hidden="true" customHeight="false" outlineLevel="0" collapsed="false">
      <c r="A1279" s="0" t="s">
        <v>5986</v>
      </c>
      <c r="B1279" s="0" t="n">
        <v>78</v>
      </c>
      <c r="C1279" s="0" t="n">
        <v>392945</v>
      </c>
      <c r="D1279" s="0" t="s">
        <v>690</v>
      </c>
      <c r="E1279" s="0" t="s">
        <v>4999</v>
      </c>
      <c r="F1279" s="0" t="str">
        <f aca="false">CONCATENATE(D1279," ",LEFT(H1279,4),"T=",AU1279,"D=",AV1279,"R=",AW1279,"M=",AX1279,"L=",AY1279,"B=",AZ1279)</f>
        <v>SMITH T=3D=0R=0M=0L=0B=0</v>
      </c>
      <c r="I1279" s="0" t="s">
        <v>5987</v>
      </c>
      <c r="J1279" s="0" t="s">
        <v>5988</v>
      </c>
      <c r="K1279" s="0" t="s">
        <v>143</v>
      </c>
      <c r="M1279" s="0" t="s">
        <v>5989</v>
      </c>
      <c r="N1279" s="0" t="str">
        <f aca="false">RIGHT(M1279,LEN(M1279)-FIND(" ",M1279))</f>
        <v>LAIRD AVE NE</v>
      </c>
      <c r="P1279" s="0" t="s">
        <v>145</v>
      </c>
      <c r="Q1279" s="0" t="s">
        <v>146</v>
      </c>
      <c r="R1279" s="0" t="n">
        <v>44483</v>
      </c>
      <c r="AD1279" s="0" t="s">
        <v>147</v>
      </c>
      <c r="AE1279" s="0" t="s">
        <v>148</v>
      </c>
      <c r="AF1279" s="0" t="s">
        <v>149</v>
      </c>
      <c r="AH1279" s="0" t="n">
        <v>14</v>
      </c>
      <c r="AI1279" s="0" t="n">
        <v>11</v>
      </c>
      <c r="AN1279" s="0" t="s">
        <v>145</v>
      </c>
      <c r="AO1279" s="0" t="s">
        <v>654</v>
      </c>
      <c r="AP1279" s="0" t="s">
        <v>655</v>
      </c>
      <c r="AQ1279" s="0" t="n">
        <v>9</v>
      </c>
      <c r="AR1279" s="0" t="n">
        <v>64</v>
      </c>
      <c r="AS1279" s="0" t="n">
        <v>32</v>
      </c>
      <c r="AU1279" s="0" t="n">
        <f aca="false">COUNTA($BA$1717:$EH$1717)</f>
        <v>3</v>
      </c>
      <c r="AV1279" s="0" t="n">
        <f aca="false">COUNTIF($BA$1717:$EH$1717,"D")</f>
        <v>0</v>
      </c>
      <c r="AW1279" s="0" t="n">
        <f aca="false">COUNTIF($BA$1717:$EH$1717,"R")</f>
        <v>0</v>
      </c>
      <c r="AX1279" s="0" t="n">
        <f aca="false">IF(BN1279="D",1,0)+IF(BO1279="D",1,0)+IF(BT1279="D",1,0)+IF(BU1279="D",1,0)+IF(BW1279="D",1,0)+IF(CC1279="D",1,0)+IF(CD1279="D",1,0)+IF(CE1279="D",1,0)+IF(CF1279="D",1,0)+IF(CL1279="D",1,0)+IF(CM1279="D",1,0)+IF(CQ1279="D",1,0)+IF(CR1279="D",1,0)+IF(CS1279="D",1,0)+IF(CW1279="D",1,0)+IF(CX1279="D",1,0)+IF(DD1279="D",1,0)+IF(DE1279="D",1,0)+IF(DJ1279="D",1,0)+IF(DK1279="D",1,0)+IF(DO1279="D",1,0)+IF(DP1279="D",1,0)+IF(DQ1279="D",1,0)+IF(DW1279="D",1,0)+IF(DZ1279="D",1,0)+IF(EH1279="D",1,0)</f>
        <v>0</v>
      </c>
      <c r="AY1279" s="0" t="n">
        <f aca="false">COUNTIF(DU1279:EH1279, "&lt;&gt;")</f>
        <v>0</v>
      </c>
      <c r="AZ1279" s="0" t="n">
        <f aca="false">IF(EH1279&lt;&gt;"",1,0)</f>
        <v>0</v>
      </c>
      <c r="BB1279" s="0" t="s">
        <v>152</v>
      </c>
      <c r="CP1279" s="0" t="s">
        <v>153</v>
      </c>
    </row>
    <row r="1280" customFormat="false" ht="13.8" hidden="false" customHeight="false" outlineLevel="0" collapsed="false">
      <c r="A1280" s="0" t="s">
        <v>5990</v>
      </c>
      <c r="B1280" s="0" t="n">
        <v>78</v>
      </c>
      <c r="C1280" s="0" t="n">
        <v>322008</v>
      </c>
      <c r="D1280" s="0" t="s">
        <v>5991</v>
      </c>
      <c r="E1280" s="0" t="s">
        <v>5992</v>
      </c>
      <c r="F1280" s="0" t="str">
        <f aca="false">CONCATENATE(D1280," ",LEFT(H1280,4),"T=",AU1280,"D=",AV1280,"R=",AW1280,"M=",AX1280,"L=",AY1280,"B=",AZ1280)</f>
        <v>CALBERT T=15D=2R=0M=0L=2B=0</v>
      </c>
      <c r="G1280" s="0" t="s">
        <v>3018</v>
      </c>
      <c r="I1280" s="0" t="s">
        <v>5993</v>
      </c>
      <c r="J1280" s="0" t="s">
        <v>5994</v>
      </c>
      <c r="K1280" s="0" t="s">
        <v>160</v>
      </c>
      <c r="M1280" s="0" t="s">
        <v>5989</v>
      </c>
      <c r="N1280" s="0" t="str">
        <f aca="false">RIGHT(M1280,LEN(M1280)-FIND(" ",M1280))</f>
        <v>LAIRD AVE NE</v>
      </c>
      <c r="P1280" s="0" t="s">
        <v>145</v>
      </c>
      <c r="Q1280" s="0" t="s">
        <v>146</v>
      </c>
      <c r="R1280" s="0" t="n">
        <v>44483</v>
      </c>
      <c r="AD1280" s="0" t="s">
        <v>147</v>
      </c>
      <c r="AE1280" s="0" t="s">
        <v>148</v>
      </c>
      <c r="AF1280" s="0" t="s">
        <v>149</v>
      </c>
      <c r="AH1280" s="0" t="n">
        <v>14</v>
      </c>
      <c r="AI1280" s="0" t="n">
        <v>11</v>
      </c>
      <c r="AN1280" s="0" t="s">
        <v>145</v>
      </c>
      <c r="AO1280" s="0" t="s">
        <v>654</v>
      </c>
      <c r="AP1280" s="0" t="s">
        <v>655</v>
      </c>
      <c r="AQ1280" s="0" t="n">
        <v>9</v>
      </c>
      <c r="AR1280" s="0" t="n">
        <v>64</v>
      </c>
      <c r="AS1280" s="0" t="n">
        <v>32</v>
      </c>
      <c r="AU1280" s="0" t="n">
        <f aca="false">COUNTA($BA$1863:$EH$1863)</f>
        <v>15</v>
      </c>
      <c r="AV1280" s="0" t="n">
        <f aca="false">COUNTIF($BA$1863:$EH$1863,"D")</f>
        <v>2</v>
      </c>
      <c r="AW1280" s="0" t="n">
        <f aca="false">COUNTIF($BA$1863:$EH$1863,"R")</f>
        <v>0</v>
      </c>
      <c r="AX1280" s="0" t="n">
        <f aca="false">IF(BN1280="D",1,0)+IF(BO1280="D",1,0)+IF(BT1280="D",1,0)+IF(BU1280="D",1,0)+IF(BW1280="D",1,0)+IF(CC1280="D",1,0)+IF(CD1280="D",1,0)+IF(CE1280="D",1,0)+IF(CF1280="D",1,0)+IF(CL1280="D",1,0)+IF(CM1280="D",1,0)+IF(CQ1280="D",1,0)+IF(CR1280="D",1,0)+IF(CS1280="D",1,0)+IF(CW1280="D",1,0)+IF(CX1280="D",1,0)+IF(DD1280="D",1,0)+IF(DE1280="D",1,0)+IF(DJ1280="D",1,0)+IF(DK1280="D",1,0)+IF(DO1280="D",1,0)+IF(DP1280="D",1,0)+IF(DQ1280="D",1,0)+IF(DW1280="D",1,0)+IF(DZ1280="D",1,0)+IF(EH1280="D",1,0)</f>
        <v>0</v>
      </c>
      <c r="AY1280" s="0" t="n">
        <f aca="false">COUNTIF(DU1280:EH1280, "&lt;&gt;")</f>
        <v>2</v>
      </c>
      <c r="AZ1280" s="0" t="n">
        <f aca="false">IF(EH1280&lt;&gt;"",1,0)</f>
        <v>0</v>
      </c>
      <c r="BB1280" s="0" t="s">
        <v>152</v>
      </c>
      <c r="CA1280" s="0" t="s">
        <v>153</v>
      </c>
      <c r="CN1280" s="0" t="s">
        <v>153</v>
      </c>
      <c r="CP1280" s="0" t="s">
        <v>153</v>
      </c>
      <c r="CY1280" s="0" t="s">
        <v>153</v>
      </c>
      <c r="CZ1280" s="0" t="s">
        <v>606</v>
      </c>
      <c r="DC1280" s="0" t="s">
        <v>153</v>
      </c>
      <c r="DN1280" s="0" t="s">
        <v>153</v>
      </c>
      <c r="EA1280" s="0" t="s">
        <v>153</v>
      </c>
      <c r="EF1280" s="0" t="s">
        <v>153</v>
      </c>
    </row>
    <row r="1281" customFormat="false" ht="13.8" hidden="false" customHeight="false" outlineLevel="0" collapsed="false">
      <c r="A1281" s="0" t="s">
        <v>5995</v>
      </c>
      <c r="B1281" s="0" t="n">
        <v>78</v>
      </c>
      <c r="C1281" s="0" t="n">
        <v>229446</v>
      </c>
      <c r="D1281" s="0" t="s">
        <v>5996</v>
      </c>
      <c r="E1281" s="0" t="s">
        <v>2142</v>
      </c>
      <c r="F1281" s="0" t="str">
        <f aca="false">CONCATENATE(D1281," ",LEFT(H1281,4),"T=",AU1281,"D=",AV1281,"R=",AW1281,"M=",AX1281,"L=",AY1281,"B=",AZ1281)</f>
        <v>PANTELOUKAS T=1D=0R=0M=1L=2B=0</v>
      </c>
      <c r="I1281" s="0" t="s">
        <v>5997</v>
      </c>
      <c r="J1281" s="0" t="s">
        <v>5998</v>
      </c>
      <c r="K1281" s="0" t="s">
        <v>160</v>
      </c>
      <c r="M1281" s="0" t="s">
        <v>5999</v>
      </c>
      <c r="N1281" s="0" t="str">
        <f aca="false">RIGHT(M1281,LEN(M1281)-FIND(" ",M1281))</f>
        <v>LAIRD AVE NE</v>
      </c>
      <c r="P1281" s="0" t="s">
        <v>145</v>
      </c>
      <c r="Q1281" s="0" t="s">
        <v>146</v>
      </c>
      <c r="R1281" s="0" t="n">
        <v>44483</v>
      </c>
      <c r="AD1281" s="0" t="s">
        <v>147</v>
      </c>
      <c r="AE1281" s="0" t="s">
        <v>148</v>
      </c>
      <c r="AF1281" s="0" t="s">
        <v>149</v>
      </c>
      <c r="AH1281" s="0" t="n">
        <v>14</v>
      </c>
      <c r="AI1281" s="0" t="n">
        <v>11</v>
      </c>
      <c r="AN1281" s="0" t="s">
        <v>145</v>
      </c>
      <c r="AO1281" s="0" t="s">
        <v>654</v>
      </c>
      <c r="AP1281" s="0" t="s">
        <v>655</v>
      </c>
      <c r="AQ1281" s="0" t="n">
        <v>9</v>
      </c>
      <c r="AR1281" s="0" t="n">
        <v>64</v>
      </c>
      <c r="AS1281" s="0" t="n">
        <v>32</v>
      </c>
      <c r="AU1281" s="0" t="n">
        <f aca="false">COUNTA($BA$1768:$EH$1768)</f>
        <v>1</v>
      </c>
      <c r="AV1281" s="0" t="n">
        <f aca="false">COUNTIF($BA$1768:$EH$1768,"D")</f>
        <v>0</v>
      </c>
      <c r="AW1281" s="0" t="n">
        <f aca="false">COUNTIF($BA$1768:$EH$1768,"R")</f>
        <v>0</v>
      </c>
      <c r="AX1281" s="0" t="n">
        <f aca="false">IF(BN1281="D",1,0)+IF(BO1281="D",1,0)+IF(BT1281="D",1,0)+IF(BU1281="D",1,0)+IF(BW1281="D",1,0)+IF(CC1281="D",1,0)+IF(CD1281="D",1,0)+IF(CE1281="D",1,0)+IF(CF1281="D",1,0)+IF(CL1281="D",1,0)+IF(CM1281="D",1,0)+IF(CQ1281="D",1,0)+IF(CR1281="D",1,0)+IF(CS1281="D",1,0)+IF(CW1281="D",1,0)+IF(CX1281="D",1,0)+IF(DD1281="D",1,0)+IF(DE1281="D",1,0)+IF(DJ1281="D",1,0)+IF(DK1281="D",1,0)+IF(DO1281="D",1,0)+IF(DP1281="D",1,0)+IF(DQ1281="D",1,0)+IF(DW1281="D",1,0)+IF(DZ1281="D",1,0)+IF(EH1281="D",1,0)</f>
        <v>1</v>
      </c>
      <c r="AY1281" s="0" t="n">
        <f aca="false">COUNTIF(DU1281:EH1281, "&lt;&gt;")</f>
        <v>2</v>
      </c>
      <c r="AZ1281" s="0" t="n">
        <f aca="false">IF(EH1281&lt;&gt;"",1,0)</f>
        <v>0</v>
      </c>
      <c r="BB1281" s="0" t="s">
        <v>152</v>
      </c>
      <c r="BC1281" s="0" t="s">
        <v>153</v>
      </c>
      <c r="BD1281" s="0" t="s">
        <v>153</v>
      </c>
      <c r="BH1281" s="0" t="s">
        <v>153</v>
      </c>
      <c r="BI1281" s="0" t="s">
        <v>153</v>
      </c>
      <c r="BJ1281" s="0" t="s">
        <v>153</v>
      </c>
      <c r="BL1281" s="0" t="s">
        <v>153</v>
      </c>
      <c r="BS1281" s="0" t="s">
        <v>153</v>
      </c>
      <c r="BY1281" s="0" t="s">
        <v>175</v>
      </c>
      <c r="CA1281" s="0" t="s">
        <v>153</v>
      </c>
      <c r="CK1281" s="0" t="s">
        <v>153</v>
      </c>
      <c r="CL1281" s="0" t="s">
        <v>175</v>
      </c>
      <c r="CO1281" s="0" t="s">
        <v>175</v>
      </c>
      <c r="CP1281" s="0" t="s">
        <v>153</v>
      </c>
      <c r="CV1281" s="0" t="s">
        <v>153</v>
      </c>
      <c r="CY1281" s="0" t="s">
        <v>153</v>
      </c>
      <c r="CZ1281" s="0" t="s">
        <v>175</v>
      </c>
      <c r="DC1281" s="0" t="s">
        <v>153</v>
      </c>
      <c r="DI1281" s="0" t="s">
        <v>153</v>
      </c>
      <c r="DN1281" s="0" t="s">
        <v>153</v>
      </c>
      <c r="DU1281" s="0" t="s">
        <v>153</v>
      </c>
      <c r="EF1281" s="0" t="s">
        <v>153</v>
      </c>
    </row>
    <row r="1282" customFormat="false" ht="13.8" hidden="true" customHeight="false" outlineLevel="0" collapsed="false">
      <c r="A1282" s="0" t="s">
        <v>6000</v>
      </c>
      <c r="B1282" s="0" t="n">
        <v>78</v>
      </c>
      <c r="C1282" s="0" t="n">
        <v>359995</v>
      </c>
      <c r="D1282" s="0" t="s">
        <v>6001</v>
      </c>
      <c r="E1282" s="0" t="s">
        <v>6002</v>
      </c>
      <c r="F1282" s="0" t="str">
        <f aca="false">CONCATENATE(D1282," ",LEFT(H1282,4),"T=",AU1282,"D=",AV1282,"R=",AW1282,"M=",AX1282,"L=",AY1282,"B=",AZ1282)</f>
        <v>YACOUB T=3D=1R=0M=0L=1B=0</v>
      </c>
      <c r="G1282" s="0" t="s">
        <v>164</v>
      </c>
      <c r="I1282" s="0" t="s">
        <v>6003</v>
      </c>
      <c r="J1282" s="0" t="s">
        <v>3426</v>
      </c>
      <c r="K1282" s="0" t="s">
        <v>160</v>
      </c>
      <c r="M1282" s="0" t="s">
        <v>6004</v>
      </c>
      <c r="N1282" s="0" t="str">
        <f aca="false">RIGHT(M1282,LEN(M1282)-FIND(" ",M1282))</f>
        <v>LAIRD AVE NE</v>
      </c>
      <c r="P1282" s="0" t="s">
        <v>145</v>
      </c>
      <c r="Q1282" s="0" t="s">
        <v>146</v>
      </c>
      <c r="R1282" s="0" t="n">
        <v>44483</v>
      </c>
      <c r="AD1282" s="0" t="s">
        <v>147</v>
      </c>
      <c r="AE1282" s="0" t="s">
        <v>148</v>
      </c>
      <c r="AF1282" s="0" t="s">
        <v>149</v>
      </c>
      <c r="AH1282" s="0" t="n">
        <v>14</v>
      </c>
      <c r="AI1282" s="0" t="n">
        <v>11</v>
      </c>
      <c r="AN1282" s="0" t="s">
        <v>145</v>
      </c>
      <c r="AO1282" s="0" t="s">
        <v>654</v>
      </c>
      <c r="AP1282" s="0" t="s">
        <v>655</v>
      </c>
      <c r="AQ1282" s="0" t="n">
        <v>9</v>
      </c>
      <c r="AR1282" s="0" t="n">
        <v>64</v>
      </c>
      <c r="AS1282" s="0" t="n">
        <v>32</v>
      </c>
      <c r="AU1282" s="0" t="n">
        <f aca="false">COUNTA($BA$1230:$EH$1230)</f>
        <v>3</v>
      </c>
      <c r="AV1282" s="0" t="n">
        <f aca="false">COUNTIF($BA$1230:$EH$1230,"D")</f>
        <v>1</v>
      </c>
      <c r="AW1282" s="0" t="n">
        <f aca="false">COUNTIF($BA$1230:$EH$1230,"R")</f>
        <v>0</v>
      </c>
      <c r="AX1282" s="0" t="n">
        <f aca="false">IF(BN1282="D",1,0)+IF(BO1282="D",1,0)+IF(BT1282="D",1,0)+IF(BU1282="D",1,0)+IF(BW1282="D",1,0)+IF(CC1282="D",1,0)+IF(CD1282="D",1,0)+IF(CE1282="D",1,0)+IF(CF1282="D",1,0)+IF(CL1282="D",1,0)+IF(CM1282="D",1,0)+IF(CQ1282="D",1,0)+IF(CR1282="D",1,0)+IF(CS1282="D",1,0)+IF(CW1282="D",1,0)+IF(CX1282="D",1,0)+IF(DD1282="D",1,0)+IF(DE1282="D",1,0)+IF(DJ1282="D",1,0)+IF(DK1282="D",1,0)+IF(DO1282="D",1,0)+IF(DP1282="D",1,0)+IF(DQ1282="D",1,0)+IF(DW1282="D",1,0)+IF(DZ1282="D",1,0)+IF(EH1282="D",1,0)</f>
        <v>0</v>
      </c>
      <c r="AY1282" s="0" t="n">
        <f aca="false">COUNTIF(DU1282:EH1282, "&lt;&gt;")</f>
        <v>1</v>
      </c>
      <c r="AZ1282" s="0" t="n">
        <f aca="false">IF(EH1282&lt;&gt;"",1,0)</f>
        <v>0</v>
      </c>
      <c r="BB1282" s="0" t="s">
        <v>152</v>
      </c>
      <c r="CA1282" s="0" t="s">
        <v>153</v>
      </c>
      <c r="CN1282" s="0" t="s">
        <v>153</v>
      </c>
      <c r="CP1282" s="0" t="s">
        <v>153</v>
      </c>
      <c r="DC1282" s="0" t="s">
        <v>153</v>
      </c>
      <c r="DI1282" s="0" t="s">
        <v>153</v>
      </c>
      <c r="DN1282" s="0" t="s">
        <v>153</v>
      </c>
      <c r="EF1282" s="0" t="s">
        <v>153</v>
      </c>
    </row>
    <row r="1283" customFormat="false" ht="13.8" hidden="true" customHeight="false" outlineLevel="0" collapsed="false">
      <c r="A1283" s="0" t="s">
        <v>6005</v>
      </c>
      <c r="B1283" s="0" t="n">
        <v>78</v>
      </c>
      <c r="C1283" s="0" t="n">
        <v>431859</v>
      </c>
      <c r="D1283" s="0" t="s">
        <v>6001</v>
      </c>
      <c r="E1283" s="0" t="s">
        <v>6006</v>
      </c>
      <c r="F1283" s="0" t="str">
        <f aca="false">CONCATENATE(D1283," ",LEFT(H1283,4),"T=",AU1283,"D=",AV1283,"R=",AW1283,"M=",AX1283,"L=",AY1283,"B=",AZ1283)</f>
        <v>YACOUB T=33D=0R=8M=0L=1B=0</v>
      </c>
      <c r="G1283" s="0" t="s">
        <v>6007</v>
      </c>
      <c r="I1283" s="0" t="s">
        <v>6008</v>
      </c>
      <c r="J1283" s="0" t="s">
        <v>6009</v>
      </c>
      <c r="K1283" s="0" t="s">
        <v>160</v>
      </c>
      <c r="M1283" s="0" t="s">
        <v>6004</v>
      </c>
      <c r="N1283" s="0" t="str">
        <f aca="false">RIGHT(M1283,LEN(M1283)-FIND(" ",M1283))</f>
        <v>LAIRD AVE NE</v>
      </c>
      <c r="P1283" s="0" t="s">
        <v>145</v>
      </c>
      <c r="Q1283" s="0" t="s">
        <v>146</v>
      </c>
      <c r="R1283" s="0" t="n">
        <v>44483</v>
      </c>
      <c r="AD1283" s="0" t="s">
        <v>147</v>
      </c>
      <c r="AE1283" s="0" t="s">
        <v>148</v>
      </c>
      <c r="AF1283" s="0" t="s">
        <v>149</v>
      </c>
      <c r="AH1283" s="0" t="n">
        <v>14</v>
      </c>
      <c r="AI1283" s="0" t="n">
        <v>11</v>
      </c>
      <c r="AN1283" s="0" t="s">
        <v>145</v>
      </c>
      <c r="AO1283" s="0" t="s">
        <v>654</v>
      </c>
      <c r="AP1283" s="0" t="s">
        <v>655</v>
      </c>
      <c r="AQ1283" s="0" t="n">
        <v>9</v>
      </c>
      <c r="AR1283" s="0" t="n">
        <v>64</v>
      </c>
      <c r="AS1283" s="0" t="n">
        <v>32</v>
      </c>
      <c r="AU1283" s="0" t="n">
        <f aca="false">COUNTA($BA$2012:$EH$2012)</f>
        <v>33</v>
      </c>
      <c r="AV1283" s="0" t="n">
        <f aca="false">COUNTIF($BA$2012:$EH$2012,"D")</f>
        <v>0</v>
      </c>
      <c r="AW1283" s="0" t="n">
        <f aca="false">COUNTIF($BA$2012:$EH$2012,"R")</f>
        <v>8</v>
      </c>
      <c r="AX1283" s="0" t="n">
        <f aca="false">IF(BN1283="D",1,0)+IF(BO1283="D",1,0)+IF(BT1283="D",1,0)+IF(BU1283="D",1,0)+IF(BW1283="D",1,0)+IF(CC1283="D",1,0)+IF(CD1283="D",1,0)+IF(CE1283="D",1,0)+IF(CF1283="D",1,0)+IF(CL1283="D",1,0)+IF(CM1283="D",1,0)+IF(CQ1283="D",1,0)+IF(CR1283="D",1,0)+IF(CS1283="D",1,0)+IF(CW1283="D",1,0)+IF(CX1283="D",1,0)+IF(DD1283="D",1,0)+IF(DE1283="D",1,0)+IF(DJ1283="D",1,0)+IF(DK1283="D",1,0)+IF(DO1283="D",1,0)+IF(DP1283="D",1,0)+IF(DQ1283="D",1,0)+IF(DW1283="D",1,0)+IF(DZ1283="D",1,0)+IF(EH1283="D",1,0)</f>
        <v>0</v>
      </c>
      <c r="AY1283" s="0" t="n">
        <f aca="false">COUNTIF(DU1283:EH1283, "&lt;&gt;")</f>
        <v>1</v>
      </c>
      <c r="AZ1283" s="0" t="n">
        <f aca="false">IF(EH1283&lt;&gt;"",1,0)</f>
        <v>0</v>
      </c>
      <c r="BB1283" s="0" t="s">
        <v>152</v>
      </c>
      <c r="EF1283" s="0" t="s">
        <v>153</v>
      </c>
    </row>
    <row r="1284" customFormat="false" ht="13.8" hidden="false" customHeight="false" outlineLevel="0" collapsed="false">
      <c r="A1284" s="0" t="s">
        <v>6010</v>
      </c>
      <c r="B1284" s="0" t="n">
        <v>78</v>
      </c>
      <c r="C1284" s="0" t="n">
        <v>192173</v>
      </c>
      <c r="D1284" s="0" t="s">
        <v>6011</v>
      </c>
      <c r="E1284" s="0" t="s">
        <v>2826</v>
      </c>
      <c r="F1284" s="0" t="str">
        <f aca="false">CONCATENATE(D1284," ",LEFT(H1284,4),"T=",AU1284,"D=",AV1284,"R=",AW1284,"M=",AX1284,"L=",AY1284,"B=",AZ1284)</f>
        <v>NELL T=15D=0R=3M=4L=7B=1</v>
      </c>
      <c r="G1284" s="0" t="s">
        <v>670</v>
      </c>
      <c r="I1284" s="0" t="s">
        <v>6012</v>
      </c>
      <c r="J1284" s="0" t="s">
        <v>6013</v>
      </c>
      <c r="K1284" s="0" t="s">
        <v>160</v>
      </c>
      <c r="L1284" s="0" t="s">
        <v>175</v>
      </c>
      <c r="M1284" s="0" t="s">
        <v>6014</v>
      </c>
      <c r="N1284" s="0" t="str">
        <f aca="false">RIGHT(M1284,LEN(M1284)-FIND(" ",M1284))</f>
        <v>LAIRD AVE NE</v>
      </c>
      <c r="P1284" s="0" t="s">
        <v>145</v>
      </c>
      <c r="Q1284" s="0" t="s">
        <v>146</v>
      </c>
      <c r="R1284" s="0" t="n">
        <v>44483</v>
      </c>
      <c r="AD1284" s="0" t="s">
        <v>147</v>
      </c>
      <c r="AE1284" s="0" t="s">
        <v>148</v>
      </c>
      <c r="AF1284" s="0" t="s">
        <v>149</v>
      </c>
      <c r="AH1284" s="0" t="n">
        <v>14</v>
      </c>
      <c r="AI1284" s="0" t="n">
        <v>11</v>
      </c>
      <c r="AN1284" s="0" t="s">
        <v>145</v>
      </c>
      <c r="AO1284" s="0" t="s">
        <v>654</v>
      </c>
      <c r="AP1284" s="0" t="s">
        <v>655</v>
      </c>
      <c r="AQ1284" s="0" t="n">
        <v>9</v>
      </c>
      <c r="AR1284" s="0" t="n">
        <v>64</v>
      </c>
      <c r="AS1284" s="0" t="n">
        <v>32</v>
      </c>
      <c r="AU1284" s="0" t="n">
        <f aca="false">COUNTA($BA$1780:$EH$1780)</f>
        <v>15</v>
      </c>
      <c r="AV1284" s="0" t="n">
        <f aca="false">COUNTIF($BA$1780:$EH$1780,"D")</f>
        <v>0</v>
      </c>
      <c r="AW1284" s="0" t="n">
        <f aca="false">COUNTIF($BA$1780:$EH$1780,"R")</f>
        <v>3</v>
      </c>
      <c r="AX1284" s="0" t="n">
        <f aca="false">IF(BN1284="D",1,0)+IF(BO1284="D",1,0)+IF(BT1284="D",1,0)+IF(BU1284="D",1,0)+IF(BW1284="D",1,0)+IF(CC1284="D",1,0)+IF(CD1284="D",1,0)+IF(CE1284="D",1,0)+IF(CF1284="D",1,0)+IF(CL1284="D",1,0)+IF(CM1284="D",1,0)+IF(CQ1284="D",1,0)+IF(CR1284="D",1,0)+IF(CS1284="D",1,0)+IF(CW1284="D",1,0)+IF(CX1284="D",1,0)+IF(DD1284="D",1,0)+IF(DE1284="D",1,0)+IF(DJ1284="D",1,0)+IF(DK1284="D",1,0)+IF(DO1284="D",1,0)+IF(DP1284="D",1,0)+IF(DQ1284="D",1,0)+IF(DW1284="D",1,0)+IF(DZ1284="D",1,0)+IF(EH1284="D",1,0)</f>
        <v>4</v>
      </c>
      <c r="AY1284" s="0" t="n">
        <f aca="false">COUNTIF(DU1284:EH1284, "&lt;&gt;")</f>
        <v>7</v>
      </c>
      <c r="AZ1284" s="0" t="n">
        <f aca="false">IF(EH1284&lt;&gt;"",1,0)</f>
        <v>1</v>
      </c>
      <c r="BB1284" s="0" t="s">
        <v>152</v>
      </c>
      <c r="BC1284" s="0" t="s">
        <v>153</v>
      </c>
      <c r="BD1284" s="0" t="s">
        <v>153</v>
      </c>
      <c r="BE1284" s="0" t="s">
        <v>153</v>
      </c>
      <c r="BF1284" s="0" t="s">
        <v>153</v>
      </c>
      <c r="BG1284" s="0" t="s">
        <v>153</v>
      </c>
      <c r="BH1284" s="0" t="s">
        <v>153</v>
      </c>
      <c r="BI1284" s="0" t="s">
        <v>153</v>
      </c>
      <c r="BJ1284" s="0" t="s">
        <v>153</v>
      </c>
      <c r="BK1284" s="0" t="s">
        <v>153</v>
      </c>
      <c r="BL1284" s="0" t="s">
        <v>153</v>
      </c>
      <c r="BP1284" s="0" t="s">
        <v>153</v>
      </c>
      <c r="BR1284" s="0" t="s">
        <v>153</v>
      </c>
      <c r="BS1284" s="0" t="s">
        <v>153</v>
      </c>
      <c r="BT1284" s="0" t="s">
        <v>153</v>
      </c>
      <c r="BV1284" s="0" t="s">
        <v>153</v>
      </c>
      <c r="BY1284" s="0" t="s">
        <v>175</v>
      </c>
      <c r="CA1284" s="0" t="s">
        <v>153</v>
      </c>
      <c r="CG1284" s="0" t="s">
        <v>153</v>
      </c>
      <c r="CH1284" s="0" t="s">
        <v>175</v>
      </c>
      <c r="CK1284" s="0" t="s">
        <v>153</v>
      </c>
      <c r="CL1284" s="0" t="s">
        <v>175</v>
      </c>
      <c r="CN1284" s="0" t="s">
        <v>153</v>
      </c>
      <c r="CO1284" s="0" t="s">
        <v>175</v>
      </c>
      <c r="CP1284" s="0" t="s">
        <v>153</v>
      </c>
      <c r="CU1284" s="0" t="s">
        <v>175</v>
      </c>
      <c r="CV1284" s="0" t="s">
        <v>153</v>
      </c>
      <c r="CY1284" s="0" t="s">
        <v>153</v>
      </c>
      <c r="CZ1284" s="0" t="s">
        <v>175</v>
      </c>
      <c r="DC1284" s="0" t="s">
        <v>153</v>
      </c>
      <c r="DF1284" s="0" t="s">
        <v>153</v>
      </c>
      <c r="DG1284" s="0" t="s">
        <v>175</v>
      </c>
      <c r="DI1284" s="0" t="s">
        <v>153</v>
      </c>
      <c r="DJ1284" s="0" t="s">
        <v>175</v>
      </c>
      <c r="DL1284" s="0" t="s">
        <v>153</v>
      </c>
      <c r="DN1284" s="0" t="s">
        <v>153</v>
      </c>
      <c r="DU1284" s="0" t="s">
        <v>153</v>
      </c>
      <c r="DW1284" s="0" t="s">
        <v>175</v>
      </c>
      <c r="DX1284" s="0" t="s">
        <v>153</v>
      </c>
      <c r="EA1284" s="0" t="s">
        <v>153</v>
      </c>
      <c r="ED1284" s="0" t="s">
        <v>175</v>
      </c>
      <c r="EF1284" s="0" t="s">
        <v>153</v>
      </c>
      <c r="EH1284" s="0" t="s">
        <v>175</v>
      </c>
    </row>
    <row r="1285" customFormat="false" ht="13.8" hidden="true" customHeight="false" outlineLevel="0" collapsed="false">
      <c r="A1285" s="0" t="s">
        <v>6015</v>
      </c>
      <c r="B1285" s="0" t="n">
        <v>78</v>
      </c>
      <c r="C1285" s="0" t="n">
        <v>305767</v>
      </c>
      <c r="D1285" s="0" t="s">
        <v>6016</v>
      </c>
      <c r="E1285" s="0" t="s">
        <v>3041</v>
      </c>
      <c r="F1285" s="0" t="str">
        <f aca="false">CONCATENATE(D1285," ",LEFT(H1285,4),"T=",AU1285,"D=",AV1285,"R=",AW1285,"M=",AX1285,"L=",AY1285,"B=",AZ1285)</f>
        <v>FOREBACK T=19D=4R=0M=0L=0B=0</v>
      </c>
      <c r="G1285" s="0" t="s">
        <v>670</v>
      </c>
      <c r="I1285" s="0" t="s">
        <v>6017</v>
      </c>
      <c r="J1285" s="0" t="s">
        <v>6018</v>
      </c>
      <c r="K1285" s="0" t="s">
        <v>160</v>
      </c>
      <c r="M1285" s="0" t="s">
        <v>6019</v>
      </c>
      <c r="N1285" s="0" t="str">
        <f aca="false">RIGHT(M1285,LEN(M1285)-FIND(" ",M1285))</f>
        <v>LAIRD AVE NE</v>
      </c>
      <c r="P1285" s="0" t="s">
        <v>145</v>
      </c>
      <c r="Q1285" s="0" t="s">
        <v>146</v>
      </c>
      <c r="R1285" s="0" t="n">
        <v>44483</v>
      </c>
      <c r="AD1285" s="0" t="s">
        <v>147</v>
      </c>
      <c r="AE1285" s="0" t="s">
        <v>148</v>
      </c>
      <c r="AF1285" s="0" t="s">
        <v>149</v>
      </c>
      <c r="AH1285" s="0" t="n">
        <v>14</v>
      </c>
      <c r="AI1285" s="0" t="n">
        <v>11</v>
      </c>
      <c r="AN1285" s="0" t="s">
        <v>145</v>
      </c>
      <c r="AO1285" s="0" t="s">
        <v>654</v>
      </c>
      <c r="AP1285" s="0" t="s">
        <v>655</v>
      </c>
      <c r="AQ1285" s="0" t="n">
        <v>9</v>
      </c>
      <c r="AR1285" s="0" t="n">
        <v>64</v>
      </c>
      <c r="AS1285" s="0" t="n">
        <v>32</v>
      </c>
      <c r="AU1285" s="0" t="n">
        <f aca="false">COUNTA($BA$2043:$EH$2043)</f>
        <v>19</v>
      </c>
      <c r="AV1285" s="0" t="n">
        <f aca="false">COUNTIF($BA$2043:$EH$2043,"D")</f>
        <v>4</v>
      </c>
      <c r="AW1285" s="0" t="n">
        <f aca="false">COUNTIF($BA$2043:$EH$2043,"R")</f>
        <v>0</v>
      </c>
      <c r="AX1285" s="0" t="n">
        <f aca="false">IF(BN1285="D",1,0)+IF(BO1285="D",1,0)+IF(BT1285="D",1,0)+IF(BU1285="D",1,0)+IF(BW1285="D",1,0)+IF(CC1285="D",1,0)+IF(CD1285="D",1,0)+IF(CE1285="D",1,0)+IF(CF1285="D",1,0)+IF(CL1285="D",1,0)+IF(CM1285="D",1,0)+IF(CQ1285="D",1,0)+IF(CR1285="D",1,0)+IF(CS1285="D",1,0)+IF(CW1285="D",1,0)+IF(CX1285="D",1,0)+IF(DD1285="D",1,0)+IF(DE1285="D",1,0)+IF(DJ1285="D",1,0)+IF(DK1285="D",1,0)+IF(DO1285="D",1,0)+IF(DP1285="D",1,0)+IF(DQ1285="D",1,0)+IF(DW1285="D",1,0)+IF(DZ1285="D",1,0)+IF(EH1285="D",1,0)</f>
        <v>0</v>
      </c>
      <c r="AY1285" s="0" t="n">
        <f aca="false">COUNTIF(DU1285:EH1285, "&lt;&gt;")</f>
        <v>0</v>
      </c>
      <c r="AZ1285" s="0" t="n">
        <f aca="false">IF(EH1285&lt;&gt;"",1,0)</f>
        <v>0</v>
      </c>
      <c r="BB1285" s="0" t="s">
        <v>152</v>
      </c>
      <c r="BL1285" s="0" t="s">
        <v>153</v>
      </c>
      <c r="BR1285" s="0" t="s">
        <v>153</v>
      </c>
      <c r="BV1285" s="0" t="s">
        <v>153</v>
      </c>
      <c r="CA1285" s="0" t="s">
        <v>153</v>
      </c>
      <c r="CP1285" s="0" t="s">
        <v>153</v>
      </c>
      <c r="DI1285" s="0" t="s">
        <v>153</v>
      </c>
      <c r="DL1285" s="0" t="s">
        <v>153</v>
      </c>
      <c r="DN1285" s="0" t="s">
        <v>153</v>
      </c>
    </row>
    <row r="1286" customFormat="false" ht="13.8" hidden="true" customHeight="false" outlineLevel="0" collapsed="false">
      <c r="A1286" s="0" t="s">
        <v>6020</v>
      </c>
      <c r="B1286" s="0" t="n">
        <v>78</v>
      </c>
      <c r="C1286" s="0" t="n">
        <v>466779</v>
      </c>
      <c r="D1286" s="0" t="s">
        <v>6021</v>
      </c>
      <c r="E1286" s="0" t="s">
        <v>3380</v>
      </c>
      <c r="F1286" s="0" t="str">
        <f aca="false">CONCATENATE(D1286," ",LEFT(H1286,4),"T=",AU1286,"D=",AV1286,"R=",AW1286,"M=",AX1286,"L=",AY1286,"B=",AZ1286)</f>
        <v>GARLOCK T=12D=1R=0M=0L=0B=0</v>
      </c>
      <c r="G1286" s="0" t="s">
        <v>6022</v>
      </c>
      <c r="I1286" s="0" t="s">
        <v>6023</v>
      </c>
      <c r="J1286" s="0" t="s">
        <v>6024</v>
      </c>
      <c r="K1286" s="0" t="s">
        <v>160</v>
      </c>
      <c r="M1286" s="0" t="s">
        <v>6025</v>
      </c>
      <c r="N1286" s="0" t="str">
        <f aca="false">RIGHT(M1286,LEN(M1286)-FIND(" ",M1286))</f>
        <v>LAIRD AVE NE</v>
      </c>
      <c r="O1286" s="0" t="s">
        <v>297</v>
      </c>
      <c r="P1286" s="0" t="s">
        <v>145</v>
      </c>
      <c r="Q1286" s="0" t="s">
        <v>146</v>
      </c>
      <c r="R1286" s="0" t="n">
        <v>44483</v>
      </c>
      <c r="AD1286" s="0" t="s">
        <v>147</v>
      </c>
      <c r="AE1286" s="0" t="s">
        <v>148</v>
      </c>
      <c r="AF1286" s="0" t="s">
        <v>149</v>
      </c>
      <c r="AH1286" s="0" t="n">
        <v>14</v>
      </c>
      <c r="AI1286" s="0" t="n">
        <v>11</v>
      </c>
      <c r="AN1286" s="0" t="s">
        <v>145</v>
      </c>
      <c r="AO1286" s="0" t="s">
        <v>654</v>
      </c>
      <c r="AP1286" s="0" t="s">
        <v>655</v>
      </c>
      <c r="AQ1286" s="0" t="n">
        <v>9</v>
      </c>
      <c r="AR1286" s="0" t="n">
        <v>64</v>
      </c>
      <c r="AS1286" s="0" t="n">
        <v>32</v>
      </c>
      <c r="AU1286" s="0" t="n">
        <f aca="false">COUNTA($BA$1646:$EH$1646)</f>
        <v>12</v>
      </c>
      <c r="AV1286" s="0" t="n">
        <f aca="false">COUNTIF($BA$1646:$EH$1646,"D")</f>
        <v>1</v>
      </c>
      <c r="AW1286" s="0" t="n">
        <f aca="false">COUNTIF($BA$1646:$EH$1646,"R")</f>
        <v>0</v>
      </c>
      <c r="AX1286" s="0" t="n">
        <f aca="false">IF(BN1286="D",1,0)+IF(BO1286="D",1,0)+IF(BT1286="D",1,0)+IF(BU1286="D",1,0)+IF(BW1286="D",1,0)+IF(CC1286="D",1,0)+IF(CD1286="D",1,0)+IF(CE1286="D",1,0)+IF(CF1286="D",1,0)+IF(CL1286="D",1,0)+IF(CM1286="D",1,0)+IF(CQ1286="D",1,0)+IF(CR1286="D",1,0)+IF(CS1286="D",1,0)+IF(CW1286="D",1,0)+IF(CX1286="D",1,0)+IF(DD1286="D",1,0)+IF(DE1286="D",1,0)+IF(DJ1286="D",1,0)+IF(DK1286="D",1,0)+IF(DO1286="D",1,0)+IF(DP1286="D",1,0)+IF(DQ1286="D",1,0)+IF(DW1286="D",1,0)+IF(DZ1286="D",1,0)+IF(EH1286="D",1,0)</f>
        <v>0</v>
      </c>
      <c r="AY1286" s="0" t="n">
        <f aca="false">COUNTIF(DU1286:EH1286, "&lt;&gt;")</f>
        <v>0</v>
      </c>
      <c r="AZ1286" s="0" t="n">
        <f aca="false">IF(EH1286&lt;&gt;"",1,0)</f>
        <v>0</v>
      </c>
      <c r="BB1286" s="0" t="s">
        <v>152</v>
      </c>
    </row>
    <row r="1287" customFormat="false" ht="13.8" hidden="true" customHeight="false" outlineLevel="0" collapsed="false">
      <c r="A1287" s="0" t="s">
        <v>6026</v>
      </c>
      <c r="B1287" s="0" t="n">
        <v>78</v>
      </c>
      <c r="C1287" s="0" t="n">
        <v>342096</v>
      </c>
      <c r="D1287" s="0" t="s">
        <v>2233</v>
      </c>
      <c r="E1287" s="0" t="s">
        <v>563</v>
      </c>
      <c r="F1287" s="0" t="str">
        <f aca="false">CONCATENATE(D1287," ",LEFT(H1287,4),"T=",AU1287,"D=",AV1287,"R=",AW1287,"M=",AX1287,"L=",AY1287,"B=",AZ1287)</f>
        <v>WATSON T=3D=0R=0M=0L=0B=0</v>
      </c>
      <c r="G1287" s="0" t="s">
        <v>164</v>
      </c>
      <c r="I1287" s="0" t="s">
        <v>6027</v>
      </c>
      <c r="J1287" s="0" t="s">
        <v>6028</v>
      </c>
      <c r="K1287" s="0" t="s">
        <v>143</v>
      </c>
      <c r="M1287" s="0" t="s">
        <v>6025</v>
      </c>
      <c r="N1287" s="0" t="str">
        <f aca="false">RIGHT(M1287,LEN(M1287)-FIND(" ",M1287))</f>
        <v>LAIRD AVE NE</v>
      </c>
      <c r="P1287" s="0" t="s">
        <v>145</v>
      </c>
      <c r="Q1287" s="0" t="s">
        <v>146</v>
      </c>
      <c r="R1287" s="0" t="n">
        <v>44483</v>
      </c>
      <c r="AD1287" s="0" t="s">
        <v>147</v>
      </c>
      <c r="AE1287" s="0" t="s">
        <v>148</v>
      </c>
      <c r="AF1287" s="0" t="s">
        <v>149</v>
      </c>
      <c r="AH1287" s="0" t="n">
        <v>14</v>
      </c>
      <c r="AI1287" s="0" t="n">
        <v>11</v>
      </c>
      <c r="AN1287" s="0" t="s">
        <v>145</v>
      </c>
      <c r="AO1287" s="0" t="s">
        <v>654</v>
      </c>
      <c r="AP1287" s="0" t="s">
        <v>655</v>
      </c>
      <c r="AQ1287" s="0" t="n">
        <v>9</v>
      </c>
      <c r="AR1287" s="0" t="n">
        <v>64</v>
      </c>
      <c r="AS1287" s="0" t="n">
        <v>32</v>
      </c>
      <c r="AU1287" s="0" t="n">
        <f aca="false">COUNTA($BA$2055:$EH$2055)</f>
        <v>3</v>
      </c>
      <c r="AV1287" s="0" t="n">
        <f aca="false">COUNTIF($BA$2055:$EH$2055,"D")</f>
        <v>0</v>
      </c>
      <c r="AW1287" s="0" t="n">
        <f aca="false">COUNTIF($BA$2055:$EH$2055,"R")</f>
        <v>0</v>
      </c>
      <c r="AX1287" s="0" t="n">
        <f aca="false">IF(BN1287="D",1,0)+IF(BO1287="D",1,0)+IF(BT1287="D",1,0)+IF(BU1287="D",1,0)+IF(BW1287="D",1,0)+IF(CC1287="D",1,0)+IF(CD1287="D",1,0)+IF(CE1287="D",1,0)+IF(CF1287="D",1,0)+IF(CL1287="D",1,0)+IF(CM1287="D",1,0)+IF(CQ1287="D",1,0)+IF(CR1287="D",1,0)+IF(CS1287="D",1,0)+IF(CW1287="D",1,0)+IF(CX1287="D",1,0)+IF(DD1287="D",1,0)+IF(DE1287="D",1,0)+IF(DJ1287="D",1,0)+IF(DK1287="D",1,0)+IF(DO1287="D",1,0)+IF(DP1287="D",1,0)+IF(DQ1287="D",1,0)+IF(DW1287="D",1,0)+IF(DZ1287="D",1,0)+IF(EH1287="D",1,0)</f>
        <v>0</v>
      </c>
      <c r="AY1287" s="0" t="n">
        <f aca="false">COUNTIF(DU1287:EH1287, "&lt;&gt;")</f>
        <v>0</v>
      </c>
      <c r="AZ1287" s="0" t="n">
        <f aca="false">IF(EH1287&lt;&gt;"",1,0)</f>
        <v>0</v>
      </c>
      <c r="BB1287" s="0" t="s">
        <v>152</v>
      </c>
      <c r="CA1287" s="0" t="s">
        <v>153</v>
      </c>
      <c r="CK1287" s="0" t="s">
        <v>153</v>
      </c>
      <c r="CP1287" s="0" t="s">
        <v>153</v>
      </c>
    </row>
    <row r="1288" customFormat="false" ht="13.8" hidden="true" customHeight="false" outlineLevel="0" collapsed="false">
      <c r="A1288" s="0" t="s">
        <v>6029</v>
      </c>
      <c r="B1288" s="0" t="n">
        <v>78</v>
      </c>
      <c r="C1288" s="0" t="n">
        <v>286906</v>
      </c>
      <c r="D1288" s="0" t="s">
        <v>6030</v>
      </c>
      <c r="E1288" s="0" t="s">
        <v>6031</v>
      </c>
      <c r="F1288" s="0" t="str">
        <f aca="false">CONCATENATE(D1288," ",LEFT(H1288,4),"T=",AU1288,"D=",AV1288,"R=",AW1288,"M=",AX1288,"L=",AY1288,"B=",AZ1288)</f>
        <v>MALLAS T=7D=0R=1M=2L=0B=0</v>
      </c>
      <c r="I1288" s="0" t="s">
        <v>6032</v>
      </c>
      <c r="J1288" s="0" t="s">
        <v>6033</v>
      </c>
      <c r="K1288" s="0" t="s">
        <v>143</v>
      </c>
      <c r="M1288" s="0" t="s">
        <v>6034</v>
      </c>
      <c r="N1288" s="0" t="str">
        <f aca="false">RIGHT(M1288,LEN(M1288)-FIND(" ",M1288))</f>
        <v>LAIRD AVE NE</v>
      </c>
      <c r="P1288" s="0" t="s">
        <v>145</v>
      </c>
      <c r="Q1288" s="0" t="s">
        <v>146</v>
      </c>
      <c r="R1288" s="0" t="n">
        <v>44483</v>
      </c>
      <c r="AD1288" s="0" t="s">
        <v>147</v>
      </c>
      <c r="AE1288" s="0" t="s">
        <v>148</v>
      </c>
      <c r="AF1288" s="0" t="s">
        <v>149</v>
      </c>
      <c r="AH1288" s="0" t="n">
        <v>14</v>
      </c>
      <c r="AI1288" s="0" t="n">
        <v>11</v>
      </c>
      <c r="AN1288" s="0" t="s">
        <v>145</v>
      </c>
      <c r="AO1288" s="0" t="s">
        <v>654</v>
      </c>
      <c r="AP1288" s="0" t="s">
        <v>655</v>
      </c>
      <c r="AQ1288" s="0" t="n">
        <v>9</v>
      </c>
      <c r="AR1288" s="0" t="n">
        <v>64</v>
      </c>
      <c r="AS1288" s="0" t="n">
        <v>32</v>
      </c>
      <c r="AU1288" s="0" t="n">
        <f aca="false">COUNTA($BA$1346:$EH$1346)</f>
        <v>7</v>
      </c>
      <c r="AV1288" s="0" t="n">
        <f aca="false">COUNTIF($BA$1346:$EH$1346,"D")</f>
        <v>0</v>
      </c>
      <c r="AW1288" s="0" t="n">
        <f aca="false">COUNTIF($BA$1346:$EH$1346,"R")</f>
        <v>1</v>
      </c>
      <c r="AX1288" s="0" t="n">
        <f aca="false">IF(BN1288="D",1,0)+IF(BO1288="D",1,0)+IF(BT1288="D",1,0)+IF(BU1288="D",1,0)+IF(BW1288="D",1,0)+IF(CC1288="D",1,0)+IF(CD1288="D",1,0)+IF(CE1288="D",1,0)+IF(CF1288="D",1,0)+IF(CL1288="D",1,0)+IF(CM1288="D",1,0)+IF(CQ1288="D",1,0)+IF(CR1288="D",1,0)+IF(CS1288="D",1,0)+IF(CW1288="D",1,0)+IF(CX1288="D",1,0)+IF(DD1288="D",1,0)+IF(DE1288="D",1,0)+IF(DJ1288="D",1,0)+IF(DK1288="D",1,0)+IF(DO1288="D",1,0)+IF(DP1288="D",1,0)+IF(DQ1288="D",1,0)+IF(DW1288="D",1,0)+IF(DZ1288="D",1,0)+IF(EH1288="D",1,0)</f>
        <v>2</v>
      </c>
      <c r="AY1288" s="0" t="n">
        <f aca="false">COUNTIF(DU1288:EH1288, "&lt;&gt;")</f>
        <v>0</v>
      </c>
      <c r="AZ1288" s="0" t="n">
        <f aca="false">IF(EH1288&lt;&gt;"",1,0)</f>
        <v>0</v>
      </c>
      <c r="BB1288" s="0" t="s">
        <v>152</v>
      </c>
      <c r="BC1288" s="0" t="s">
        <v>153</v>
      </c>
      <c r="BD1288" s="0" t="s">
        <v>153</v>
      </c>
      <c r="BI1288" s="0" t="s">
        <v>153</v>
      </c>
      <c r="BL1288" s="0" t="s">
        <v>153</v>
      </c>
      <c r="BY1288" s="0" t="s">
        <v>175</v>
      </c>
      <c r="CA1288" s="0" t="s">
        <v>153</v>
      </c>
      <c r="CK1288" s="0" t="s">
        <v>153</v>
      </c>
      <c r="CL1288" s="0" t="s">
        <v>175</v>
      </c>
      <c r="CP1288" s="0" t="s">
        <v>153</v>
      </c>
      <c r="CQ1288" s="0" t="s">
        <v>175</v>
      </c>
      <c r="CY1288" s="0" t="s">
        <v>153</v>
      </c>
      <c r="DC1288" s="0" t="s">
        <v>153</v>
      </c>
      <c r="DI1288" s="0" t="s">
        <v>153</v>
      </c>
      <c r="DN1288" s="0" t="s">
        <v>153</v>
      </c>
    </row>
    <row r="1289" customFormat="false" ht="13.8" hidden="true" customHeight="false" outlineLevel="0" collapsed="false">
      <c r="A1289" s="0" t="s">
        <v>6035</v>
      </c>
      <c r="B1289" s="0" t="n">
        <v>78</v>
      </c>
      <c r="C1289" s="0" t="n">
        <v>350643</v>
      </c>
      <c r="D1289" s="0" t="s">
        <v>6036</v>
      </c>
      <c r="E1289" s="0" t="s">
        <v>1710</v>
      </c>
      <c r="F1289" s="0" t="str">
        <f aca="false">CONCATENATE(D1289," ",LEFT(H1289,4),"T=",AU1289,"D=",AV1289,"R=",AW1289,"M=",AX1289,"L=",AY1289,"B=",AZ1289)</f>
        <v>CASTLE T=1D=0R=0M=0L=1B=0</v>
      </c>
      <c r="G1289" s="0" t="s">
        <v>379</v>
      </c>
      <c r="I1289" s="0" t="s">
        <v>6037</v>
      </c>
      <c r="J1289" s="0" t="s">
        <v>6038</v>
      </c>
      <c r="K1289" s="0" t="s">
        <v>160</v>
      </c>
      <c r="M1289" s="0" t="s">
        <v>6039</v>
      </c>
      <c r="N1289" s="0" t="str">
        <f aca="false">RIGHT(M1289,LEN(M1289)-FIND(" ",M1289))</f>
        <v>LAIRD AVE NE</v>
      </c>
      <c r="P1289" s="0" t="s">
        <v>145</v>
      </c>
      <c r="Q1289" s="0" t="s">
        <v>146</v>
      </c>
      <c r="R1289" s="0" t="n">
        <v>44483</v>
      </c>
      <c r="AD1289" s="0" t="s">
        <v>147</v>
      </c>
      <c r="AE1289" s="0" t="s">
        <v>148</v>
      </c>
      <c r="AF1289" s="0" t="s">
        <v>149</v>
      </c>
      <c r="AH1289" s="0" t="n">
        <v>14</v>
      </c>
      <c r="AI1289" s="0" t="n">
        <v>11</v>
      </c>
      <c r="AN1289" s="0" t="s">
        <v>145</v>
      </c>
      <c r="AO1289" s="0" t="s">
        <v>654</v>
      </c>
      <c r="AP1289" s="0" t="s">
        <v>655</v>
      </c>
      <c r="AQ1289" s="0" t="n">
        <v>9</v>
      </c>
      <c r="AR1289" s="0" t="n">
        <v>64</v>
      </c>
      <c r="AS1289" s="0" t="n">
        <v>32</v>
      </c>
      <c r="AU1289" s="0" t="n">
        <f aca="false">COUNTA($BA$1932:$EH$1932)</f>
        <v>1</v>
      </c>
      <c r="AV1289" s="0" t="n">
        <f aca="false">COUNTIF($BA$1932:$EH$1932,"D")</f>
        <v>0</v>
      </c>
      <c r="AW1289" s="0" t="n">
        <f aca="false">COUNTIF($BA$1932:$EH$1932,"R")</f>
        <v>0</v>
      </c>
      <c r="AX1289" s="0" t="n">
        <f aca="false">IF(BN1289="D",1,0)+IF(BO1289="D",1,0)+IF(BT1289="D",1,0)+IF(BU1289="D",1,0)+IF(BW1289="D",1,0)+IF(CC1289="D",1,0)+IF(CD1289="D",1,0)+IF(CE1289="D",1,0)+IF(CF1289="D",1,0)+IF(CL1289="D",1,0)+IF(CM1289="D",1,0)+IF(CQ1289="D",1,0)+IF(CR1289="D",1,0)+IF(CS1289="D",1,0)+IF(CW1289="D",1,0)+IF(CX1289="D",1,0)+IF(DD1289="D",1,0)+IF(DE1289="D",1,0)+IF(DJ1289="D",1,0)+IF(DK1289="D",1,0)+IF(DO1289="D",1,0)+IF(DP1289="D",1,0)+IF(DQ1289="D",1,0)+IF(DW1289="D",1,0)+IF(DZ1289="D",1,0)+IF(EH1289="D",1,0)</f>
        <v>0</v>
      </c>
      <c r="AY1289" s="0" t="n">
        <f aca="false">COUNTIF(DU1289:EH1289, "&lt;&gt;")</f>
        <v>1</v>
      </c>
      <c r="AZ1289" s="0" t="n">
        <f aca="false">IF(EH1289&lt;&gt;"",1,0)</f>
        <v>0</v>
      </c>
      <c r="BB1289" s="0" t="s">
        <v>152</v>
      </c>
      <c r="DN1289" s="0" t="s">
        <v>153</v>
      </c>
      <c r="EF1289" s="0" t="s">
        <v>153</v>
      </c>
    </row>
    <row r="1290" customFormat="false" ht="13.8" hidden="true" customHeight="false" outlineLevel="0" collapsed="false">
      <c r="A1290" s="0" t="s">
        <v>6040</v>
      </c>
      <c r="B1290" s="0" t="n">
        <v>78</v>
      </c>
      <c r="C1290" s="0" t="n">
        <v>375913</v>
      </c>
      <c r="D1290" s="0" t="s">
        <v>6036</v>
      </c>
      <c r="E1290" s="0" t="s">
        <v>6041</v>
      </c>
      <c r="F1290" s="0" t="str">
        <f aca="false">CONCATENATE(D1290," ",LEFT(H1290,4),"T=",AU1290,"D=",AV1290,"R=",AW1290,"M=",AX1290,"L=",AY1290,"B=",AZ1290)</f>
        <v>CASTLE T=2D=0R=0M=0L=1B=0</v>
      </c>
      <c r="G1290" s="0" t="s">
        <v>2586</v>
      </c>
      <c r="I1290" s="0" t="s">
        <v>548</v>
      </c>
      <c r="J1290" s="0" t="s">
        <v>6042</v>
      </c>
      <c r="K1290" s="0" t="s">
        <v>160</v>
      </c>
      <c r="M1290" s="0" t="s">
        <v>6039</v>
      </c>
      <c r="N1290" s="0" t="str">
        <f aca="false">RIGHT(M1290,LEN(M1290)-FIND(" ",M1290))</f>
        <v>LAIRD AVE NE</v>
      </c>
      <c r="P1290" s="0" t="s">
        <v>145</v>
      </c>
      <c r="Q1290" s="0" t="s">
        <v>146</v>
      </c>
      <c r="R1290" s="0" t="n">
        <v>44483</v>
      </c>
      <c r="AD1290" s="0" t="s">
        <v>147</v>
      </c>
      <c r="AE1290" s="0" t="s">
        <v>148</v>
      </c>
      <c r="AF1290" s="0" t="s">
        <v>149</v>
      </c>
      <c r="AH1290" s="0" t="n">
        <v>14</v>
      </c>
      <c r="AI1290" s="0" t="n">
        <v>11</v>
      </c>
      <c r="AN1290" s="0" t="s">
        <v>145</v>
      </c>
      <c r="AO1290" s="0" t="s">
        <v>654</v>
      </c>
      <c r="AP1290" s="0" t="s">
        <v>655</v>
      </c>
      <c r="AQ1290" s="0" t="n">
        <v>9</v>
      </c>
      <c r="AR1290" s="0" t="n">
        <v>64</v>
      </c>
      <c r="AS1290" s="0" t="n">
        <v>32</v>
      </c>
      <c r="AU1290" s="0" t="n">
        <f aca="false">COUNTA($BA$2008:$EH$2008)</f>
        <v>2</v>
      </c>
      <c r="AV1290" s="0" t="n">
        <f aca="false">COUNTIF($BA$2008:$EH$2008,"D")</f>
        <v>0</v>
      </c>
      <c r="AW1290" s="0" t="n">
        <f aca="false">COUNTIF($BA$2008:$EH$2008,"R")</f>
        <v>0</v>
      </c>
      <c r="AX1290" s="0" t="n">
        <f aca="false">IF(BN1290="D",1,0)+IF(BO1290="D",1,0)+IF(BT1290="D",1,0)+IF(BU1290="D",1,0)+IF(BW1290="D",1,0)+IF(CC1290="D",1,0)+IF(CD1290="D",1,0)+IF(CE1290="D",1,0)+IF(CF1290="D",1,0)+IF(CL1290="D",1,0)+IF(CM1290="D",1,0)+IF(CQ1290="D",1,0)+IF(CR1290="D",1,0)+IF(CS1290="D",1,0)+IF(CW1290="D",1,0)+IF(CX1290="D",1,0)+IF(DD1290="D",1,0)+IF(DE1290="D",1,0)+IF(DJ1290="D",1,0)+IF(DK1290="D",1,0)+IF(DO1290="D",1,0)+IF(DP1290="D",1,0)+IF(DQ1290="D",1,0)+IF(DW1290="D",1,0)+IF(DZ1290="D",1,0)+IF(EH1290="D",1,0)</f>
        <v>0</v>
      </c>
      <c r="AY1290" s="0" t="n">
        <f aca="false">COUNTIF(DU1290:EH1290, "&lt;&gt;")</f>
        <v>1</v>
      </c>
      <c r="AZ1290" s="0" t="n">
        <f aca="false">IF(EH1290&lt;&gt;"",1,0)</f>
        <v>0</v>
      </c>
      <c r="BB1290" s="0" t="s">
        <v>152</v>
      </c>
      <c r="CN1290" s="0" t="s">
        <v>153</v>
      </c>
      <c r="CP1290" s="0" t="s">
        <v>153</v>
      </c>
      <c r="DC1290" s="0" t="s">
        <v>153</v>
      </c>
      <c r="DI1290" s="0" t="s">
        <v>153</v>
      </c>
      <c r="DL1290" s="0" t="s">
        <v>153</v>
      </c>
      <c r="DN1290" s="0" t="s">
        <v>153</v>
      </c>
      <c r="EF1290" s="0" t="s">
        <v>153</v>
      </c>
    </row>
    <row r="1291" customFormat="false" ht="13.8" hidden="true" customHeight="false" outlineLevel="0" collapsed="false">
      <c r="A1291" s="0" t="s">
        <v>6043</v>
      </c>
      <c r="B1291" s="0" t="n">
        <v>78</v>
      </c>
      <c r="C1291" s="0" t="n">
        <v>488825</v>
      </c>
      <c r="D1291" s="0" t="s">
        <v>6044</v>
      </c>
      <c r="E1291" s="0" t="s">
        <v>1917</v>
      </c>
      <c r="F1291" s="0" t="str">
        <f aca="false">CONCATENATE(D1291," ",LEFT(H1291,4),"T=",AU1291,"D=",AV1291,"R=",AW1291,"M=",AX1291,"L=",AY1291,"B=",AZ1291)</f>
        <v>DELOACH T=2D=0R=0M=0L=1B=0</v>
      </c>
      <c r="I1291" s="0" t="s">
        <v>6045</v>
      </c>
      <c r="J1291" s="0" t="s">
        <v>3322</v>
      </c>
      <c r="K1291" s="0" t="s">
        <v>160</v>
      </c>
      <c r="M1291" s="0" t="s">
        <v>6046</v>
      </c>
      <c r="N1291" s="0" t="str">
        <f aca="false">RIGHT(M1291,LEN(M1291)-FIND(" ",M1291))</f>
        <v>LAIRD AVE NE</v>
      </c>
      <c r="P1291" s="0" t="s">
        <v>145</v>
      </c>
      <c r="Q1291" s="0" t="s">
        <v>146</v>
      </c>
      <c r="R1291" s="0" t="n">
        <v>44483</v>
      </c>
      <c r="AD1291" s="0" t="s">
        <v>147</v>
      </c>
      <c r="AE1291" s="0" t="s">
        <v>148</v>
      </c>
      <c r="AF1291" s="0" t="s">
        <v>149</v>
      </c>
      <c r="AH1291" s="0" t="n">
        <v>14</v>
      </c>
      <c r="AI1291" s="0" t="n">
        <v>11</v>
      </c>
      <c r="AN1291" s="0" t="s">
        <v>145</v>
      </c>
      <c r="AO1291" s="0" t="s">
        <v>654</v>
      </c>
      <c r="AP1291" s="0" t="s">
        <v>655</v>
      </c>
      <c r="AQ1291" s="0" t="n">
        <v>9</v>
      </c>
      <c r="AR1291" s="0" t="n">
        <v>64</v>
      </c>
      <c r="AS1291" s="0" t="n">
        <v>32</v>
      </c>
      <c r="AU1291" s="0" t="n">
        <f aca="false">COUNTA($BA$1655:$EH$1655)</f>
        <v>2</v>
      </c>
      <c r="AV1291" s="0" t="n">
        <f aca="false">COUNTIF($BA$1655:$EH$1655,"D")</f>
        <v>0</v>
      </c>
      <c r="AW1291" s="0" t="n">
        <f aca="false">COUNTIF($BA$1655:$EH$1655,"R")</f>
        <v>0</v>
      </c>
      <c r="AX1291" s="0" t="n">
        <f aca="false">IF(BN1291="D",1,0)+IF(BO1291="D",1,0)+IF(BT1291="D",1,0)+IF(BU1291="D",1,0)+IF(BW1291="D",1,0)+IF(CC1291="D",1,0)+IF(CD1291="D",1,0)+IF(CE1291="D",1,0)+IF(CF1291="D",1,0)+IF(CL1291="D",1,0)+IF(CM1291="D",1,0)+IF(CQ1291="D",1,0)+IF(CR1291="D",1,0)+IF(CS1291="D",1,0)+IF(CW1291="D",1,0)+IF(CX1291="D",1,0)+IF(DD1291="D",1,0)+IF(DE1291="D",1,0)+IF(DJ1291="D",1,0)+IF(DK1291="D",1,0)+IF(DO1291="D",1,0)+IF(DP1291="D",1,0)+IF(DQ1291="D",1,0)+IF(DW1291="D",1,0)+IF(DZ1291="D",1,0)+IF(EH1291="D",1,0)</f>
        <v>0</v>
      </c>
      <c r="AY1291" s="0" t="n">
        <f aca="false">COUNTIF(DU1291:EH1291, "&lt;&gt;")</f>
        <v>1</v>
      </c>
      <c r="AZ1291" s="0" t="n">
        <f aca="false">IF(EH1291&lt;&gt;"",1,0)</f>
        <v>0</v>
      </c>
      <c r="BB1291" s="0" t="s">
        <v>152</v>
      </c>
      <c r="CA1291" s="0" t="s">
        <v>153</v>
      </c>
      <c r="EF1291" s="0" t="s">
        <v>153</v>
      </c>
    </row>
    <row r="1292" customFormat="false" ht="13.8" hidden="true" customHeight="false" outlineLevel="0" collapsed="false">
      <c r="A1292" s="0" t="s">
        <v>6047</v>
      </c>
      <c r="B1292" s="0" t="n">
        <v>78</v>
      </c>
      <c r="C1292" s="0" t="n">
        <v>305749</v>
      </c>
      <c r="D1292" s="0" t="s">
        <v>2602</v>
      </c>
      <c r="E1292" s="0" t="s">
        <v>2172</v>
      </c>
      <c r="F1292" s="0" t="str">
        <f aca="false">CONCATENATE(D1292," ",LEFT(H1292,4),"T=",AU1292,"D=",AV1292,"R=",AW1292,"M=",AX1292,"L=",AY1292,"B=",AZ1292)</f>
        <v>CRAWFORD T=2D=0R=0M=0L=1B=0</v>
      </c>
      <c r="G1292" s="0" t="s">
        <v>890</v>
      </c>
      <c r="I1292" s="0" t="s">
        <v>6048</v>
      </c>
      <c r="J1292" s="0" t="s">
        <v>6049</v>
      </c>
      <c r="K1292" s="0" t="s">
        <v>160</v>
      </c>
      <c r="M1292" s="0" t="s">
        <v>6046</v>
      </c>
      <c r="N1292" s="0" t="str">
        <f aca="false">RIGHT(M1292,LEN(M1292)-FIND(" ",M1292))</f>
        <v>LAIRD AVE NE</v>
      </c>
      <c r="P1292" s="0" t="s">
        <v>145</v>
      </c>
      <c r="Q1292" s="0" t="s">
        <v>146</v>
      </c>
      <c r="R1292" s="0" t="n">
        <v>44483</v>
      </c>
      <c r="AD1292" s="0" t="s">
        <v>147</v>
      </c>
      <c r="AE1292" s="0" t="s">
        <v>148</v>
      </c>
      <c r="AF1292" s="0" t="s">
        <v>149</v>
      </c>
      <c r="AH1292" s="0" t="n">
        <v>14</v>
      </c>
      <c r="AI1292" s="0" t="n">
        <v>11</v>
      </c>
      <c r="AN1292" s="0" t="s">
        <v>145</v>
      </c>
      <c r="AO1292" s="0" t="s">
        <v>654</v>
      </c>
      <c r="AP1292" s="0" t="s">
        <v>655</v>
      </c>
      <c r="AQ1292" s="0" t="n">
        <v>9</v>
      </c>
      <c r="AR1292" s="0" t="n">
        <v>64</v>
      </c>
      <c r="AS1292" s="0" t="n">
        <v>32</v>
      </c>
      <c r="AU1292" s="0" t="n">
        <f aca="false">COUNTA($BA$2062:$EH$2062)</f>
        <v>2</v>
      </c>
      <c r="AV1292" s="0" t="n">
        <f aca="false">COUNTIF($BA$2062:$EH$2062,"D")</f>
        <v>0</v>
      </c>
      <c r="AW1292" s="0" t="n">
        <f aca="false">COUNTIF($BA$2062:$EH$2062,"R")</f>
        <v>0</v>
      </c>
      <c r="AX1292" s="0" t="n">
        <f aca="false">IF(BN1292="D",1,0)+IF(BO1292="D",1,0)+IF(BT1292="D",1,0)+IF(BU1292="D",1,0)+IF(BW1292="D",1,0)+IF(CC1292="D",1,0)+IF(CD1292="D",1,0)+IF(CE1292="D",1,0)+IF(CF1292="D",1,0)+IF(CL1292="D",1,0)+IF(CM1292="D",1,0)+IF(CQ1292="D",1,0)+IF(CR1292="D",1,0)+IF(CS1292="D",1,0)+IF(CW1292="D",1,0)+IF(CX1292="D",1,0)+IF(DD1292="D",1,0)+IF(DE1292="D",1,0)+IF(DJ1292="D",1,0)+IF(DK1292="D",1,0)+IF(DO1292="D",1,0)+IF(DP1292="D",1,0)+IF(DQ1292="D",1,0)+IF(DW1292="D",1,0)+IF(DZ1292="D",1,0)+IF(EH1292="D",1,0)</f>
        <v>0</v>
      </c>
      <c r="AY1292" s="0" t="n">
        <f aca="false">COUNTIF(DU1292:EH1292, "&lt;&gt;")</f>
        <v>1</v>
      </c>
      <c r="AZ1292" s="0" t="n">
        <f aca="false">IF(EH1292&lt;&gt;"",1,0)</f>
        <v>0</v>
      </c>
      <c r="BB1292" s="0" t="s">
        <v>152</v>
      </c>
      <c r="DC1292" s="0" t="s">
        <v>153</v>
      </c>
      <c r="EF1292" s="0" t="s">
        <v>153</v>
      </c>
    </row>
    <row r="1293" customFormat="false" ht="13.8" hidden="false" customHeight="false" outlineLevel="0" collapsed="false">
      <c r="A1293" s="0" t="s">
        <v>6050</v>
      </c>
      <c r="B1293" s="0" t="n">
        <v>78</v>
      </c>
      <c r="C1293" s="0" t="n">
        <v>326223</v>
      </c>
      <c r="D1293" s="0" t="s">
        <v>4943</v>
      </c>
      <c r="E1293" s="0" t="s">
        <v>958</v>
      </c>
      <c r="F1293" s="0" t="str">
        <f aca="false">CONCATENATE(D1293," ",LEFT(H1293,4),"T=",AU1293,"D=",AV1293,"R=",AW1293,"M=",AX1293,"L=",AY1293,"B=",AZ1293)</f>
        <v>COOK T=4D=0R=0M=2L=6B=0</v>
      </c>
      <c r="G1293" s="0" t="s">
        <v>209</v>
      </c>
      <c r="I1293" s="0" t="s">
        <v>6051</v>
      </c>
      <c r="J1293" s="0" t="s">
        <v>6052</v>
      </c>
      <c r="K1293" s="0" t="s">
        <v>160</v>
      </c>
      <c r="L1293" s="0" t="s">
        <v>175</v>
      </c>
      <c r="M1293" s="0" t="s">
        <v>6053</v>
      </c>
      <c r="N1293" s="0" t="str">
        <f aca="false">RIGHT(M1293,LEN(M1293)-FIND(" ",M1293))</f>
        <v>LAIRD AVE NE</v>
      </c>
      <c r="P1293" s="0" t="s">
        <v>145</v>
      </c>
      <c r="Q1293" s="0" t="s">
        <v>146</v>
      </c>
      <c r="R1293" s="0" t="n">
        <v>44483</v>
      </c>
      <c r="AD1293" s="0" t="s">
        <v>147</v>
      </c>
      <c r="AE1293" s="0" t="s">
        <v>148</v>
      </c>
      <c r="AF1293" s="0" t="s">
        <v>149</v>
      </c>
      <c r="AH1293" s="0" t="n">
        <v>14</v>
      </c>
      <c r="AI1293" s="0" t="n">
        <v>11</v>
      </c>
      <c r="AN1293" s="0" t="s">
        <v>145</v>
      </c>
      <c r="AO1293" s="0" t="s">
        <v>654</v>
      </c>
      <c r="AP1293" s="0" t="s">
        <v>655</v>
      </c>
      <c r="AQ1293" s="0" t="n">
        <v>9</v>
      </c>
      <c r="AR1293" s="0" t="n">
        <v>64</v>
      </c>
      <c r="AS1293" s="0" t="n">
        <v>32</v>
      </c>
      <c r="AU1293" s="0" t="n">
        <f aca="false">COUNTA($BA$1652:$EH$1652)</f>
        <v>4</v>
      </c>
      <c r="AV1293" s="0" t="n">
        <f aca="false">COUNTIF($BA$1652:$EH$1652,"D")</f>
        <v>0</v>
      </c>
      <c r="AW1293" s="0" t="n">
        <f aca="false">COUNTIF($BA$1652:$EH$1652,"R")</f>
        <v>0</v>
      </c>
      <c r="AX1293" s="0" t="n">
        <f aca="false">IF(BN1293="D",1,0)+IF(BO1293="D",1,0)+IF(BT1293="D",1,0)+IF(BU1293="D",1,0)+IF(BW1293="D",1,0)+IF(CC1293="D",1,0)+IF(CD1293="D",1,0)+IF(CE1293="D",1,0)+IF(CF1293="D",1,0)+IF(CL1293="D",1,0)+IF(CM1293="D",1,0)+IF(CQ1293="D",1,0)+IF(CR1293="D",1,0)+IF(CS1293="D",1,0)+IF(CW1293="D",1,0)+IF(CX1293="D",1,0)+IF(DD1293="D",1,0)+IF(DE1293="D",1,0)+IF(DJ1293="D",1,0)+IF(DK1293="D",1,0)+IF(DO1293="D",1,0)+IF(DP1293="D",1,0)+IF(DQ1293="D",1,0)+IF(DW1293="D",1,0)+IF(DZ1293="D",1,0)+IF(EH1293="D",1,0)</f>
        <v>2</v>
      </c>
      <c r="AY1293" s="0" t="n">
        <f aca="false">COUNTIF(DU1293:EH1293, "&lt;&gt;")</f>
        <v>6</v>
      </c>
      <c r="AZ1293" s="0" t="n">
        <f aca="false">IF(EH1293&lt;&gt;"",1,0)</f>
        <v>0</v>
      </c>
      <c r="BB1293" s="0" t="s">
        <v>152</v>
      </c>
      <c r="BL1293" s="0" t="s">
        <v>153</v>
      </c>
      <c r="BP1293" s="0" t="s">
        <v>153</v>
      </c>
      <c r="BR1293" s="0" t="s">
        <v>153</v>
      </c>
      <c r="BS1293" s="0" t="s">
        <v>153</v>
      </c>
      <c r="BY1293" s="0" t="s">
        <v>175</v>
      </c>
      <c r="CA1293" s="0" t="s">
        <v>153</v>
      </c>
      <c r="CG1293" s="0" t="s">
        <v>153</v>
      </c>
      <c r="CH1293" s="0" t="s">
        <v>175</v>
      </c>
      <c r="CK1293" s="0" t="s">
        <v>153</v>
      </c>
      <c r="CL1293" s="0" t="s">
        <v>175</v>
      </c>
      <c r="CN1293" s="0" t="s">
        <v>153</v>
      </c>
      <c r="CP1293" s="0" t="s">
        <v>153</v>
      </c>
      <c r="CV1293" s="0" t="s">
        <v>153</v>
      </c>
      <c r="DC1293" s="0" t="s">
        <v>153</v>
      </c>
      <c r="DI1293" s="0" t="s">
        <v>153</v>
      </c>
      <c r="DM1293" s="0" t="s">
        <v>175</v>
      </c>
      <c r="DU1293" s="0" t="s">
        <v>153</v>
      </c>
      <c r="DW1293" s="0" t="s">
        <v>175</v>
      </c>
      <c r="DX1293" s="0" t="s">
        <v>153</v>
      </c>
      <c r="EA1293" s="0" t="s">
        <v>153</v>
      </c>
      <c r="ED1293" s="0" t="s">
        <v>175</v>
      </c>
      <c r="EF1293" s="0" t="s">
        <v>153</v>
      </c>
    </row>
    <row r="1294" customFormat="false" ht="13.8" hidden="false" customHeight="false" outlineLevel="0" collapsed="false">
      <c r="A1294" s="0" t="s">
        <v>6054</v>
      </c>
      <c r="B1294" s="0" t="n">
        <v>78</v>
      </c>
      <c r="C1294" s="0" t="n">
        <v>242122</v>
      </c>
      <c r="D1294" s="0" t="s">
        <v>6055</v>
      </c>
      <c r="E1294" s="0" t="s">
        <v>2214</v>
      </c>
      <c r="F1294" s="0" t="str">
        <f aca="false">CONCATENATE(D1294," ",LEFT(H1294,4),"T=",AU1294,"D=",AV1294,"R=",AW1294,"M=",AX1294,"L=",AY1294,"B=",AZ1294)</f>
        <v>CARBY T=6D=1R=0M=0L=4B=0</v>
      </c>
      <c r="G1294" s="0" t="s">
        <v>325</v>
      </c>
      <c r="I1294" s="0" t="s">
        <v>6056</v>
      </c>
      <c r="J1294" s="0" t="s">
        <v>6057</v>
      </c>
      <c r="K1294" s="0" t="s">
        <v>160</v>
      </c>
      <c r="L1294" s="0" t="s">
        <v>175</v>
      </c>
      <c r="M1294" s="0" t="s">
        <v>6058</v>
      </c>
      <c r="N1294" s="0" t="str">
        <f aca="false">RIGHT(M1294,LEN(M1294)-FIND(" ",M1294))</f>
        <v>LAIRD AVE NE</v>
      </c>
      <c r="P1294" s="0" t="s">
        <v>145</v>
      </c>
      <c r="Q1294" s="0" t="s">
        <v>146</v>
      </c>
      <c r="R1294" s="0" t="n">
        <v>44483</v>
      </c>
      <c r="AD1294" s="0" t="s">
        <v>147</v>
      </c>
      <c r="AE1294" s="0" t="s">
        <v>148</v>
      </c>
      <c r="AF1294" s="0" t="s">
        <v>149</v>
      </c>
      <c r="AH1294" s="0" t="n">
        <v>14</v>
      </c>
      <c r="AI1294" s="0" t="n">
        <v>11</v>
      </c>
      <c r="AN1294" s="0" t="s">
        <v>145</v>
      </c>
      <c r="AO1294" s="0" t="s">
        <v>654</v>
      </c>
      <c r="AP1294" s="0" t="s">
        <v>655</v>
      </c>
      <c r="AQ1294" s="0" t="n">
        <v>9</v>
      </c>
      <c r="AR1294" s="0" t="n">
        <v>64</v>
      </c>
      <c r="AS1294" s="0" t="n">
        <v>32</v>
      </c>
      <c r="AU1294" s="0" t="n">
        <f aca="false">COUNTA($BA$1654:$EH$1654)</f>
        <v>6</v>
      </c>
      <c r="AV1294" s="0" t="n">
        <f aca="false">COUNTIF($BA$1654:$EH$1654,"D")</f>
        <v>1</v>
      </c>
      <c r="AW1294" s="0" t="n">
        <f aca="false">COUNTIF($BA$1654:$EH$1654,"R")</f>
        <v>0</v>
      </c>
      <c r="AX1294" s="0" t="n">
        <f aca="false">IF(BN1294="D",1,0)+IF(BO1294="D",1,0)+IF(BT1294="D",1,0)+IF(BU1294="D",1,0)+IF(BW1294="D",1,0)+IF(CC1294="D",1,0)+IF(CD1294="D",1,0)+IF(CE1294="D",1,0)+IF(CF1294="D",1,0)+IF(CL1294="D",1,0)+IF(CM1294="D",1,0)+IF(CQ1294="D",1,0)+IF(CR1294="D",1,0)+IF(CS1294="D",1,0)+IF(CW1294="D",1,0)+IF(CX1294="D",1,0)+IF(DD1294="D",1,0)+IF(DE1294="D",1,0)+IF(DJ1294="D",1,0)+IF(DK1294="D",1,0)+IF(DO1294="D",1,0)+IF(DP1294="D",1,0)+IF(DQ1294="D",1,0)+IF(DW1294="D",1,0)+IF(DZ1294="D",1,0)+IF(EH1294="D",1,0)</f>
        <v>0</v>
      </c>
      <c r="AY1294" s="0" t="n">
        <f aca="false">COUNTIF(DU1294:EH1294, "&lt;&gt;")</f>
        <v>4</v>
      </c>
      <c r="AZ1294" s="0" t="n">
        <f aca="false">IF(EH1294&lt;&gt;"",1,0)</f>
        <v>0</v>
      </c>
      <c r="BB1294" s="0" t="s">
        <v>152</v>
      </c>
      <c r="BC1294" s="0" t="s">
        <v>153</v>
      </c>
      <c r="BD1294" s="0" t="s">
        <v>153</v>
      </c>
      <c r="BH1294" s="0" t="s">
        <v>153</v>
      </c>
      <c r="BJ1294" s="0" t="s">
        <v>153</v>
      </c>
      <c r="BK1294" s="0" t="s">
        <v>153</v>
      </c>
      <c r="BL1294" s="0" t="s">
        <v>153</v>
      </c>
      <c r="BS1294" s="0" t="s">
        <v>153</v>
      </c>
      <c r="BY1294" s="0" t="s">
        <v>175</v>
      </c>
      <c r="CA1294" s="0" t="s">
        <v>153</v>
      </c>
      <c r="CN1294" s="0" t="s">
        <v>153</v>
      </c>
      <c r="CP1294" s="0" t="s">
        <v>153</v>
      </c>
      <c r="DC1294" s="0" t="s">
        <v>153</v>
      </c>
      <c r="DI1294" s="0" t="s">
        <v>153</v>
      </c>
      <c r="DN1294" s="0" t="s">
        <v>153</v>
      </c>
      <c r="DS1294" s="0" t="s">
        <v>175</v>
      </c>
      <c r="DT1294" s="0" t="s">
        <v>175</v>
      </c>
      <c r="DU1294" s="0" t="s">
        <v>153</v>
      </c>
      <c r="DX1294" s="0" t="s">
        <v>153</v>
      </c>
      <c r="EA1294" s="0" t="s">
        <v>153</v>
      </c>
      <c r="EF1294" s="0" t="s">
        <v>153</v>
      </c>
    </row>
    <row r="1295" customFormat="false" ht="13.8" hidden="true" customHeight="false" outlineLevel="0" collapsed="false">
      <c r="A1295" s="0" t="s">
        <v>6059</v>
      </c>
      <c r="B1295" s="0" t="n">
        <v>78</v>
      </c>
      <c r="C1295" s="0" t="n">
        <v>420485</v>
      </c>
      <c r="D1295" s="0" t="s">
        <v>6060</v>
      </c>
      <c r="E1295" s="0" t="s">
        <v>669</v>
      </c>
      <c r="F1295" s="0" t="str">
        <f aca="false">CONCATENATE(D1295," ",LEFT(H1295,4),"T=",AU1295,"D=",AV1295,"R=",AW1295,"M=",AX1295,"L=",AY1295,"B=",AZ1295)</f>
        <v>CUMMINGS T=11D=1R=0M=0L=0B=0</v>
      </c>
      <c r="G1295" s="0" t="s">
        <v>190</v>
      </c>
      <c r="I1295" s="0" t="s">
        <v>6061</v>
      </c>
      <c r="J1295" s="0" t="s">
        <v>6062</v>
      </c>
      <c r="K1295" s="0" t="s">
        <v>160</v>
      </c>
      <c r="M1295" s="0" t="s">
        <v>6063</v>
      </c>
      <c r="N1295" s="0" t="str">
        <f aca="false">RIGHT(M1295,LEN(M1295)-FIND(" ",M1295))</f>
        <v>LAIRD AVE SE</v>
      </c>
      <c r="P1295" s="0" t="s">
        <v>145</v>
      </c>
      <c r="Q1295" s="0" t="s">
        <v>146</v>
      </c>
      <c r="R1295" s="0" t="n">
        <v>44483</v>
      </c>
      <c r="AD1295" s="0" t="s">
        <v>147</v>
      </c>
      <c r="AE1295" s="0" t="s">
        <v>148</v>
      </c>
      <c r="AF1295" s="0" t="s">
        <v>149</v>
      </c>
      <c r="AH1295" s="0" t="n">
        <v>14</v>
      </c>
      <c r="AI1295" s="0" t="n">
        <v>11</v>
      </c>
      <c r="AN1295" s="0" t="s">
        <v>145</v>
      </c>
      <c r="AO1295" s="0" t="s">
        <v>150</v>
      </c>
      <c r="AP1295" s="0" t="s">
        <v>151</v>
      </c>
      <c r="AQ1295" s="0" t="n">
        <v>9</v>
      </c>
      <c r="AR1295" s="0" t="n">
        <v>64</v>
      </c>
      <c r="AS1295" s="0" t="n">
        <v>32</v>
      </c>
      <c r="AU1295" s="0" t="n">
        <f aca="false">COUNTA($BA$298:$EH$298)</f>
        <v>11</v>
      </c>
      <c r="AV1295" s="0" t="n">
        <f aca="false">COUNTIF($BA$298:$EH$298,"D")</f>
        <v>1</v>
      </c>
      <c r="AW1295" s="0" t="n">
        <f aca="false">COUNTIF($BA$298:$EH$298,"R")</f>
        <v>0</v>
      </c>
      <c r="AX1295" s="0" t="n">
        <f aca="false">IF(BN1295="D",1,0)+IF(BO1295="D",1,0)+IF(BT1295="D",1,0)+IF(BU1295="D",1,0)+IF(BW1295="D",1,0)+IF(CC1295="D",1,0)+IF(CD1295="D",1,0)+IF(CE1295="D",1,0)+IF(CF1295="D",1,0)+IF(CL1295="D",1,0)+IF(CM1295="D",1,0)+IF(CQ1295="D",1,0)+IF(CR1295="D",1,0)+IF(CS1295="D",1,0)+IF(CW1295="D",1,0)+IF(CX1295="D",1,0)+IF(DD1295="D",1,0)+IF(DE1295="D",1,0)+IF(DJ1295="D",1,0)+IF(DK1295="D",1,0)+IF(DO1295="D",1,0)+IF(DP1295="D",1,0)+IF(DQ1295="D",1,0)+IF(DW1295="D",1,0)+IF(DZ1295="D",1,0)+IF(EH1295="D",1,0)</f>
        <v>0</v>
      </c>
      <c r="AY1295" s="0" t="n">
        <f aca="false">COUNTIF(DU1295:EH1295, "&lt;&gt;")</f>
        <v>0</v>
      </c>
      <c r="AZ1295" s="0" t="n">
        <f aca="false">IF(EH1295&lt;&gt;"",1,0)</f>
        <v>0</v>
      </c>
      <c r="BB1295" s="0" t="s">
        <v>152</v>
      </c>
      <c r="DC1295" s="0" t="s">
        <v>153</v>
      </c>
    </row>
    <row r="1296" customFormat="false" ht="13.8" hidden="true" customHeight="false" outlineLevel="0" collapsed="false">
      <c r="A1296" s="0" t="s">
        <v>6064</v>
      </c>
      <c r="B1296" s="0" t="n">
        <v>78</v>
      </c>
      <c r="C1296" s="0" t="n">
        <v>488205</v>
      </c>
      <c r="D1296" s="0" t="s">
        <v>6065</v>
      </c>
      <c r="E1296" s="0" t="s">
        <v>6066</v>
      </c>
      <c r="F1296" s="0" t="str">
        <f aca="false">CONCATENATE(D1296," ",LEFT(H1296,4),"T=",AU1296,"D=",AV1296,"R=",AW1296,"M=",AX1296,"L=",AY1296,"B=",AZ1296)</f>
        <v>ALLISON T=26D=5R=0M=0L=0B=0</v>
      </c>
      <c r="G1296" s="0" t="s">
        <v>890</v>
      </c>
      <c r="I1296" s="0" t="s">
        <v>6067</v>
      </c>
      <c r="J1296" s="0" t="s">
        <v>386</v>
      </c>
      <c r="K1296" s="0" t="s">
        <v>160</v>
      </c>
      <c r="M1296" s="0" t="s">
        <v>6063</v>
      </c>
      <c r="N1296" s="0" t="str">
        <f aca="false">RIGHT(M1296,LEN(M1296)-FIND(" ",M1296))</f>
        <v>LAIRD AVE SE</v>
      </c>
      <c r="P1296" s="0" t="s">
        <v>145</v>
      </c>
      <c r="Q1296" s="0" t="s">
        <v>146</v>
      </c>
      <c r="R1296" s="0" t="n">
        <v>44483</v>
      </c>
      <c r="AD1296" s="0" t="s">
        <v>147</v>
      </c>
      <c r="AE1296" s="0" t="s">
        <v>148</v>
      </c>
      <c r="AF1296" s="0" t="s">
        <v>149</v>
      </c>
      <c r="AH1296" s="0" t="n">
        <v>14</v>
      </c>
      <c r="AI1296" s="0" t="n">
        <v>11</v>
      </c>
      <c r="AN1296" s="0" t="s">
        <v>145</v>
      </c>
      <c r="AO1296" s="0" t="s">
        <v>150</v>
      </c>
      <c r="AP1296" s="0" t="s">
        <v>151</v>
      </c>
      <c r="AQ1296" s="0" t="n">
        <v>9</v>
      </c>
      <c r="AR1296" s="0" t="n">
        <v>64</v>
      </c>
      <c r="AS1296" s="0" t="n">
        <v>32</v>
      </c>
      <c r="AU1296" s="0" t="n">
        <f aca="false">COUNTA($BA$668:$EH$668)</f>
        <v>26</v>
      </c>
      <c r="AV1296" s="0" t="n">
        <f aca="false">COUNTIF($BA$668:$EH$668,"D")</f>
        <v>5</v>
      </c>
      <c r="AW1296" s="0" t="n">
        <f aca="false">COUNTIF($BA$668:$EH$668,"R")</f>
        <v>0</v>
      </c>
      <c r="AX1296" s="0" t="n">
        <f aca="false">IF(BN1296="D",1,0)+IF(BO1296="D",1,0)+IF(BT1296="D",1,0)+IF(BU1296="D",1,0)+IF(BW1296="D",1,0)+IF(CC1296="D",1,0)+IF(CD1296="D",1,0)+IF(CE1296="D",1,0)+IF(CF1296="D",1,0)+IF(CL1296="D",1,0)+IF(CM1296="D",1,0)+IF(CQ1296="D",1,0)+IF(CR1296="D",1,0)+IF(CS1296="D",1,0)+IF(CW1296="D",1,0)+IF(CX1296="D",1,0)+IF(DD1296="D",1,0)+IF(DE1296="D",1,0)+IF(DJ1296="D",1,0)+IF(DK1296="D",1,0)+IF(DO1296="D",1,0)+IF(DP1296="D",1,0)+IF(DQ1296="D",1,0)+IF(DW1296="D",1,0)+IF(DZ1296="D",1,0)+IF(EH1296="D",1,0)</f>
        <v>0</v>
      </c>
      <c r="AY1296" s="0" t="n">
        <f aca="false">COUNTIF(DU1296:EH1296, "&lt;&gt;")</f>
        <v>0</v>
      </c>
      <c r="AZ1296" s="0" t="n">
        <f aca="false">IF(EH1296&lt;&gt;"",1,0)</f>
        <v>0</v>
      </c>
      <c r="BB1296" s="0" t="s">
        <v>152</v>
      </c>
    </row>
    <row r="1297" customFormat="false" ht="13.8" hidden="true" customHeight="false" outlineLevel="0" collapsed="false">
      <c r="A1297" s="0" t="s">
        <v>6068</v>
      </c>
      <c r="B1297" s="0" t="n">
        <v>78</v>
      </c>
      <c r="C1297" s="0" t="n">
        <v>459259</v>
      </c>
      <c r="D1297" s="0" t="s">
        <v>6069</v>
      </c>
      <c r="E1297" s="0" t="s">
        <v>658</v>
      </c>
      <c r="F1297" s="0" t="str">
        <f aca="false">CONCATENATE(D1297," ",LEFT(H1297,4),"T=",AU1297,"D=",AV1297,"R=",AW1297,"M=",AX1297,"L=",AY1297,"B=",AZ1297)</f>
        <v>MENDEZ T=26D=0R=4M=0L=0B=0</v>
      </c>
      <c r="G1297" s="0" t="s">
        <v>6070</v>
      </c>
      <c r="I1297" s="0" t="s">
        <v>6071</v>
      </c>
      <c r="J1297" s="0" t="s">
        <v>6072</v>
      </c>
      <c r="K1297" s="0" t="s">
        <v>143</v>
      </c>
      <c r="M1297" s="0" t="s">
        <v>6063</v>
      </c>
      <c r="N1297" s="0" t="str">
        <f aca="false">RIGHT(M1297,LEN(M1297)-FIND(" ",M1297))</f>
        <v>LAIRD AVE SE</v>
      </c>
      <c r="P1297" s="0" t="s">
        <v>145</v>
      </c>
      <c r="Q1297" s="0" t="s">
        <v>146</v>
      </c>
      <c r="R1297" s="0" t="n">
        <v>44483</v>
      </c>
      <c r="AD1297" s="0" t="s">
        <v>147</v>
      </c>
      <c r="AE1297" s="0" t="s">
        <v>148</v>
      </c>
      <c r="AF1297" s="0" t="s">
        <v>149</v>
      </c>
      <c r="AH1297" s="0" t="n">
        <v>14</v>
      </c>
      <c r="AI1297" s="0" t="n">
        <v>11</v>
      </c>
      <c r="AN1297" s="0" t="s">
        <v>145</v>
      </c>
      <c r="AO1297" s="0" t="s">
        <v>150</v>
      </c>
      <c r="AP1297" s="0" t="s">
        <v>151</v>
      </c>
      <c r="AQ1297" s="0" t="n">
        <v>9</v>
      </c>
      <c r="AR1297" s="0" t="n">
        <v>64</v>
      </c>
      <c r="AS1297" s="0" t="n">
        <v>32</v>
      </c>
      <c r="AU1297" s="0" t="n">
        <f aca="false">COUNTA($BA$1043:$EH$1043)</f>
        <v>26</v>
      </c>
      <c r="AV1297" s="0" t="n">
        <f aca="false">COUNTIF($BA$1043:$EH$1043,"D")</f>
        <v>0</v>
      </c>
      <c r="AW1297" s="0" t="n">
        <f aca="false">COUNTIF($BA$1043:$EH$1043,"R")</f>
        <v>4</v>
      </c>
      <c r="AX1297" s="0" t="n">
        <f aca="false">IF(BN1297="D",1,0)+IF(BO1297="D",1,0)+IF(BT1297="D",1,0)+IF(BU1297="D",1,0)+IF(BW1297="D",1,0)+IF(CC1297="D",1,0)+IF(CD1297="D",1,0)+IF(CE1297="D",1,0)+IF(CF1297="D",1,0)+IF(CL1297="D",1,0)+IF(CM1297="D",1,0)+IF(CQ1297="D",1,0)+IF(CR1297="D",1,0)+IF(CS1297="D",1,0)+IF(CW1297="D",1,0)+IF(CX1297="D",1,0)+IF(DD1297="D",1,0)+IF(DE1297="D",1,0)+IF(DJ1297="D",1,0)+IF(DK1297="D",1,0)+IF(DO1297="D",1,0)+IF(DP1297="D",1,0)+IF(DQ1297="D",1,0)+IF(DW1297="D",1,0)+IF(DZ1297="D",1,0)+IF(EH1297="D",1,0)</f>
        <v>0</v>
      </c>
      <c r="AY1297" s="0" t="n">
        <f aca="false">COUNTIF(DU1297:EH1297, "&lt;&gt;")</f>
        <v>0</v>
      </c>
      <c r="AZ1297" s="0" t="n">
        <f aca="false">IF(EH1297&lt;&gt;"",1,0)</f>
        <v>0</v>
      </c>
      <c r="BB1297" s="0" t="s">
        <v>152</v>
      </c>
    </row>
    <row r="1298" customFormat="false" ht="13.8" hidden="false" customHeight="false" outlineLevel="0" collapsed="false">
      <c r="A1298" s="0" t="s">
        <v>6073</v>
      </c>
      <c r="B1298" s="0" t="n">
        <v>78</v>
      </c>
      <c r="C1298" s="0" t="n">
        <v>423897</v>
      </c>
      <c r="D1298" s="0" t="s">
        <v>6074</v>
      </c>
      <c r="E1298" s="0" t="s">
        <v>4257</v>
      </c>
      <c r="F1298" s="0" t="str">
        <f aca="false">CONCATENATE(D1298," ",LEFT(H1298,4),"T=",AU1298,"D=",AV1298,"R=",AW1298,"M=",AX1298,"L=",AY1298,"B=",AZ1298)</f>
        <v>BAYNES IIT=12D=2R=0M=0L=2B=0</v>
      </c>
      <c r="G1298" s="0" t="s">
        <v>209</v>
      </c>
      <c r="H1298" s="0" t="s">
        <v>476</v>
      </c>
      <c r="I1298" s="0" t="s">
        <v>6075</v>
      </c>
      <c r="J1298" s="0" t="s">
        <v>6076</v>
      </c>
      <c r="K1298" s="0" t="s">
        <v>160</v>
      </c>
      <c r="M1298" s="0" t="s">
        <v>6077</v>
      </c>
      <c r="N1298" s="0" t="str">
        <f aca="false">RIGHT(M1298,LEN(M1298)-FIND(" ",M1298))</f>
        <v>LAIRD AVE SE</v>
      </c>
      <c r="P1298" s="0" t="s">
        <v>145</v>
      </c>
      <c r="Q1298" s="0" t="s">
        <v>146</v>
      </c>
      <c r="R1298" s="0" t="n">
        <v>44483</v>
      </c>
      <c r="AD1298" s="0" t="s">
        <v>147</v>
      </c>
      <c r="AE1298" s="0" t="s">
        <v>148</v>
      </c>
      <c r="AF1298" s="0" t="s">
        <v>149</v>
      </c>
      <c r="AH1298" s="0" t="n">
        <v>14</v>
      </c>
      <c r="AI1298" s="0" t="n">
        <v>11</v>
      </c>
      <c r="AN1298" s="0" t="s">
        <v>145</v>
      </c>
      <c r="AO1298" s="0" t="s">
        <v>150</v>
      </c>
      <c r="AP1298" s="0" t="s">
        <v>151</v>
      </c>
      <c r="AQ1298" s="0" t="n">
        <v>9</v>
      </c>
      <c r="AR1298" s="0" t="n">
        <v>64</v>
      </c>
      <c r="AS1298" s="0" t="n">
        <v>32</v>
      </c>
      <c r="AU1298" s="0" t="n">
        <f aca="false">COUNTA($BA$70:$EH$70)</f>
        <v>12</v>
      </c>
      <c r="AV1298" s="0" t="n">
        <f aca="false">COUNTIF($BA$70:$EH$70,"D")</f>
        <v>2</v>
      </c>
      <c r="AW1298" s="0" t="n">
        <f aca="false">COUNTIF($BA$70:$EH$70,"R")</f>
        <v>0</v>
      </c>
      <c r="AX1298" s="0" t="n">
        <f aca="false">IF(BN1298="D",1,0)+IF(BO1298="D",1,0)+IF(BT1298="D",1,0)+IF(BU1298="D",1,0)+IF(BW1298="D",1,0)+IF(CC1298="D",1,0)+IF(CD1298="D",1,0)+IF(CE1298="D",1,0)+IF(CF1298="D",1,0)+IF(CL1298="D",1,0)+IF(CM1298="D",1,0)+IF(CQ1298="D",1,0)+IF(CR1298="D",1,0)+IF(CS1298="D",1,0)+IF(CW1298="D",1,0)+IF(CX1298="D",1,0)+IF(DD1298="D",1,0)+IF(DE1298="D",1,0)+IF(DJ1298="D",1,0)+IF(DK1298="D",1,0)+IF(DO1298="D",1,0)+IF(DP1298="D",1,0)+IF(DQ1298="D",1,0)+IF(DW1298="D",1,0)+IF(DZ1298="D",1,0)+IF(EH1298="D",1,0)</f>
        <v>0</v>
      </c>
      <c r="AY1298" s="0" t="n">
        <f aca="false">COUNTIF(DU1298:EH1298, "&lt;&gt;")</f>
        <v>2</v>
      </c>
      <c r="AZ1298" s="0" t="n">
        <f aca="false">IF(EH1298&lt;&gt;"",1,0)</f>
        <v>0</v>
      </c>
      <c r="BB1298" s="0" t="s">
        <v>152</v>
      </c>
      <c r="DI1298" s="0" t="s">
        <v>153</v>
      </c>
      <c r="DN1298" s="0" t="s">
        <v>153</v>
      </c>
      <c r="DR1298" s="0" t="s">
        <v>153</v>
      </c>
      <c r="DU1298" s="0" t="s">
        <v>153</v>
      </c>
      <c r="EF1298" s="0" t="s">
        <v>153</v>
      </c>
    </row>
    <row r="1299" customFormat="false" ht="13.8" hidden="true" customHeight="false" outlineLevel="0" collapsed="false">
      <c r="A1299" s="0" t="s">
        <v>6078</v>
      </c>
      <c r="B1299" s="0" t="n">
        <v>78</v>
      </c>
      <c r="C1299" s="0" t="n">
        <v>325382</v>
      </c>
      <c r="D1299" s="0" t="s">
        <v>2171</v>
      </c>
      <c r="E1299" s="0" t="s">
        <v>6079</v>
      </c>
      <c r="F1299" s="0" t="str">
        <f aca="false">CONCATENATE(D1299," ",LEFT(H1299,4),"T=",AU1299,"D=",AV1299,"R=",AW1299,"M=",AX1299,"L=",AY1299,"B=",AZ1299)</f>
        <v>SULLIVAN T=7D=1R=0M=0L=0B=0</v>
      </c>
      <c r="G1299" s="0" t="s">
        <v>195</v>
      </c>
      <c r="I1299" s="0" t="s">
        <v>6080</v>
      </c>
      <c r="J1299" s="0" t="s">
        <v>6081</v>
      </c>
      <c r="K1299" s="0" t="s">
        <v>143</v>
      </c>
      <c r="M1299" s="0" t="s">
        <v>6077</v>
      </c>
      <c r="N1299" s="0" t="str">
        <f aca="false">RIGHT(M1299,LEN(M1299)-FIND(" ",M1299))</f>
        <v>LAIRD AVE SE</v>
      </c>
      <c r="P1299" s="0" t="s">
        <v>145</v>
      </c>
      <c r="Q1299" s="0" t="s">
        <v>146</v>
      </c>
      <c r="R1299" s="0" t="n">
        <v>44483</v>
      </c>
      <c r="AD1299" s="0" t="s">
        <v>147</v>
      </c>
      <c r="AE1299" s="0" t="s">
        <v>148</v>
      </c>
      <c r="AF1299" s="0" t="s">
        <v>149</v>
      </c>
      <c r="AH1299" s="0" t="n">
        <v>14</v>
      </c>
      <c r="AI1299" s="0" t="n">
        <v>11</v>
      </c>
      <c r="AN1299" s="0" t="s">
        <v>145</v>
      </c>
      <c r="AO1299" s="0" t="s">
        <v>150</v>
      </c>
      <c r="AP1299" s="0" t="s">
        <v>151</v>
      </c>
      <c r="AQ1299" s="0" t="n">
        <v>9</v>
      </c>
      <c r="AR1299" s="0" t="n">
        <v>64</v>
      </c>
      <c r="AS1299" s="0" t="n">
        <v>32</v>
      </c>
      <c r="AU1299" s="0" t="n">
        <f aca="false">COUNTA($BA$946:$EH$946)</f>
        <v>7</v>
      </c>
      <c r="AV1299" s="0" t="n">
        <f aca="false">COUNTIF($BA$946:$EH$946,"D")</f>
        <v>1</v>
      </c>
      <c r="AW1299" s="0" t="n">
        <f aca="false">COUNTIF($BA$946:$EH$946,"R")</f>
        <v>0</v>
      </c>
      <c r="AX1299" s="0" t="n">
        <f aca="false">IF(BN1299="D",1,0)+IF(BO1299="D",1,0)+IF(BT1299="D",1,0)+IF(BU1299="D",1,0)+IF(BW1299="D",1,0)+IF(CC1299="D",1,0)+IF(CD1299="D",1,0)+IF(CE1299="D",1,0)+IF(CF1299="D",1,0)+IF(CL1299="D",1,0)+IF(CM1299="D",1,0)+IF(CQ1299="D",1,0)+IF(CR1299="D",1,0)+IF(CS1299="D",1,0)+IF(CW1299="D",1,0)+IF(CX1299="D",1,0)+IF(DD1299="D",1,0)+IF(DE1299="D",1,0)+IF(DJ1299="D",1,0)+IF(DK1299="D",1,0)+IF(DO1299="D",1,0)+IF(DP1299="D",1,0)+IF(DQ1299="D",1,0)+IF(DW1299="D",1,0)+IF(DZ1299="D",1,0)+IF(EH1299="D",1,0)</f>
        <v>0</v>
      </c>
      <c r="AY1299" s="0" t="n">
        <f aca="false">COUNTIF(DU1299:EH1299, "&lt;&gt;")</f>
        <v>0</v>
      </c>
      <c r="AZ1299" s="0" t="n">
        <f aca="false">IF(EH1299&lt;&gt;"",1,0)</f>
        <v>0</v>
      </c>
      <c r="BB1299" s="0" t="s">
        <v>152</v>
      </c>
      <c r="BL1299" s="0" t="s">
        <v>153</v>
      </c>
      <c r="CA1299" s="0" t="s">
        <v>153</v>
      </c>
      <c r="CP1299" s="0" t="s">
        <v>153</v>
      </c>
      <c r="DC1299" s="0" t="s">
        <v>153</v>
      </c>
    </row>
    <row r="1300" customFormat="false" ht="13.8" hidden="true" customHeight="false" outlineLevel="0" collapsed="false">
      <c r="A1300" s="0" t="s">
        <v>6082</v>
      </c>
      <c r="B1300" s="0" t="n">
        <v>78</v>
      </c>
      <c r="C1300" s="0" t="n">
        <v>308602</v>
      </c>
      <c r="D1300" s="0" t="s">
        <v>6083</v>
      </c>
      <c r="E1300" s="0" t="s">
        <v>344</v>
      </c>
      <c r="F1300" s="0" t="str">
        <f aca="false">CONCATENATE(D1300," ",LEFT(H1300,4),"T=",AU1300,"D=",AV1300,"R=",AW1300,"M=",AX1300,"L=",AY1300,"B=",AZ1300)</f>
        <v>TIPTON T=1D=0R=0M=0L=0B=0</v>
      </c>
      <c r="G1300" s="0" t="s">
        <v>209</v>
      </c>
      <c r="I1300" s="0" t="s">
        <v>6084</v>
      </c>
      <c r="J1300" s="0" t="s">
        <v>1447</v>
      </c>
      <c r="K1300" s="0" t="s">
        <v>143</v>
      </c>
      <c r="M1300" s="0" t="s">
        <v>6085</v>
      </c>
      <c r="N1300" s="0" t="str">
        <f aca="false">RIGHT(M1300,LEN(M1300)-FIND(" ",M1300))</f>
        <v>LAIRD AVE SE</v>
      </c>
      <c r="P1300" s="0" t="s">
        <v>145</v>
      </c>
      <c r="Q1300" s="0" t="s">
        <v>146</v>
      </c>
      <c r="R1300" s="0" t="n">
        <v>44483</v>
      </c>
      <c r="AD1300" s="0" t="s">
        <v>147</v>
      </c>
      <c r="AE1300" s="0" t="s">
        <v>148</v>
      </c>
      <c r="AF1300" s="0" t="s">
        <v>149</v>
      </c>
      <c r="AH1300" s="0" t="n">
        <v>14</v>
      </c>
      <c r="AI1300" s="0" t="n">
        <v>11</v>
      </c>
      <c r="AN1300" s="0" t="s">
        <v>145</v>
      </c>
      <c r="AO1300" s="0" t="s">
        <v>150</v>
      </c>
      <c r="AP1300" s="0" t="s">
        <v>151</v>
      </c>
      <c r="AQ1300" s="0" t="n">
        <v>9</v>
      </c>
      <c r="AR1300" s="0" t="n">
        <v>64</v>
      </c>
      <c r="AS1300" s="0" t="n">
        <v>32</v>
      </c>
      <c r="AU1300" s="0" t="n">
        <f aca="false">COUNTA($BA$66:$EH$66)</f>
        <v>1</v>
      </c>
      <c r="AV1300" s="0" t="n">
        <f aca="false">COUNTIF($BA$66:$EH$66,"D")</f>
        <v>0</v>
      </c>
      <c r="AW1300" s="0" t="n">
        <f aca="false">COUNTIF($BA$66:$EH$66,"R")</f>
        <v>0</v>
      </c>
      <c r="AX1300" s="0" t="n">
        <f aca="false">IF(BN1300="D",1,0)+IF(BO1300="D",1,0)+IF(BT1300="D",1,0)+IF(BU1300="D",1,0)+IF(BW1300="D",1,0)+IF(CC1300="D",1,0)+IF(CD1300="D",1,0)+IF(CE1300="D",1,0)+IF(CF1300="D",1,0)+IF(CL1300="D",1,0)+IF(CM1300="D",1,0)+IF(CQ1300="D",1,0)+IF(CR1300="D",1,0)+IF(CS1300="D",1,0)+IF(CW1300="D",1,0)+IF(CX1300="D",1,0)+IF(DD1300="D",1,0)+IF(DE1300="D",1,0)+IF(DJ1300="D",1,0)+IF(DK1300="D",1,0)+IF(DO1300="D",1,0)+IF(DP1300="D",1,0)+IF(DQ1300="D",1,0)+IF(DW1300="D",1,0)+IF(DZ1300="D",1,0)+IF(EH1300="D",1,0)</f>
        <v>0</v>
      </c>
      <c r="AY1300" s="0" t="n">
        <f aca="false">COUNTIF(DU1300:EH1300, "&lt;&gt;")</f>
        <v>0</v>
      </c>
      <c r="AZ1300" s="0" t="n">
        <f aca="false">IF(EH1300&lt;&gt;"",1,0)</f>
        <v>0</v>
      </c>
      <c r="BB1300" s="0" t="s">
        <v>152</v>
      </c>
      <c r="BK1300" s="0" t="s">
        <v>153</v>
      </c>
      <c r="BL1300" s="0" t="s">
        <v>153</v>
      </c>
      <c r="BY1300" s="0" t="s">
        <v>175</v>
      </c>
      <c r="CA1300" s="0" t="s">
        <v>153</v>
      </c>
      <c r="CG1300" s="0" t="s">
        <v>153</v>
      </c>
      <c r="CH1300" s="0" t="s">
        <v>175</v>
      </c>
      <c r="CK1300" s="0" t="s">
        <v>153</v>
      </c>
      <c r="CP1300" s="0" t="s">
        <v>153</v>
      </c>
      <c r="CV1300" s="0" t="s">
        <v>153</v>
      </c>
      <c r="DC1300" s="0" t="s">
        <v>153</v>
      </c>
    </row>
    <row r="1301" customFormat="false" ht="13.8" hidden="true" customHeight="false" outlineLevel="0" collapsed="false">
      <c r="A1301" s="0" t="s">
        <v>6086</v>
      </c>
      <c r="B1301" s="0" t="n">
        <v>78</v>
      </c>
      <c r="C1301" s="0" t="n">
        <v>487194</v>
      </c>
      <c r="D1301" s="0" t="s">
        <v>838</v>
      </c>
      <c r="E1301" s="0" t="s">
        <v>756</v>
      </c>
      <c r="F1301" s="0" t="str">
        <f aca="false">CONCATENATE(D1301," ",LEFT(H1301,4),"T=",AU1301,"D=",AV1301,"R=",AW1301,"M=",AX1301,"L=",AY1301,"B=",AZ1301)</f>
        <v>BOWERS JRT=2D=0R=1M=0L=0B=0</v>
      </c>
      <c r="G1301" s="0" t="s">
        <v>190</v>
      </c>
      <c r="H1301" s="0" t="s">
        <v>314</v>
      </c>
      <c r="I1301" s="0" t="s">
        <v>2354</v>
      </c>
      <c r="J1301" s="0" t="s">
        <v>782</v>
      </c>
      <c r="K1301" s="0" t="s">
        <v>160</v>
      </c>
      <c r="M1301" s="0" t="s">
        <v>6087</v>
      </c>
      <c r="N1301" s="0" t="str">
        <f aca="false">RIGHT(M1301,LEN(M1301)-FIND(" ",M1301))</f>
        <v>LAIRD AVE SE</v>
      </c>
      <c r="P1301" s="0" t="s">
        <v>145</v>
      </c>
      <c r="Q1301" s="0" t="s">
        <v>146</v>
      </c>
      <c r="R1301" s="0" t="n">
        <v>44483</v>
      </c>
      <c r="AD1301" s="0" t="s">
        <v>147</v>
      </c>
      <c r="AE1301" s="0" t="s">
        <v>148</v>
      </c>
      <c r="AF1301" s="0" t="s">
        <v>149</v>
      </c>
      <c r="AH1301" s="0" t="n">
        <v>14</v>
      </c>
      <c r="AI1301" s="0" t="n">
        <v>11</v>
      </c>
      <c r="AN1301" s="0" t="s">
        <v>145</v>
      </c>
      <c r="AO1301" s="0" t="s">
        <v>150</v>
      </c>
      <c r="AP1301" s="0" t="s">
        <v>151</v>
      </c>
      <c r="AQ1301" s="0" t="n">
        <v>9</v>
      </c>
      <c r="AR1301" s="0" t="n">
        <v>64</v>
      </c>
      <c r="AS1301" s="0" t="n">
        <v>32</v>
      </c>
      <c r="AU1301" s="0" t="n">
        <f aca="false">COUNTA($BA$624:$EH$624)</f>
        <v>2</v>
      </c>
      <c r="AV1301" s="0" t="n">
        <f aca="false">COUNTIF($BA$624:$EH$624,"D")</f>
        <v>0</v>
      </c>
      <c r="AW1301" s="0" t="n">
        <f aca="false">COUNTIF($BA$624:$EH$624,"R")</f>
        <v>1</v>
      </c>
      <c r="AX1301" s="0" t="n">
        <f aca="false">IF(BN1301="D",1,0)+IF(BO1301="D",1,0)+IF(BT1301="D",1,0)+IF(BU1301="D",1,0)+IF(BW1301="D",1,0)+IF(CC1301="D",1,0)+IF(CD1301="D",1,0)+IF(CE1301="D",1,0)+IF(CF1301="D",1,0)+IF(CL1301="D",1,0)+IF(CM1301="D",1,0)+IF(CQ1301="D",1,0)+IF(CR1301="D",1,0)+IF(CS1301="D",1,0)+IF(CW1301="D",1,0)+IF(CX1301="D",1,0)+IF(DD1301="D",1,0)+IF(DE1301="D",1,0)+IF(DJ1301="D",1,0)+IF(DK1301="D",1,0)+IF(DO1301="D",1,0)+IF(DP1301="D",1,0)+IF(DQ1301="D",1,0)+IF(DW1301="D",1,0)+IF(DZ1301="D",1,0)+IF(EH1301="D",1,0)</f>
        <v>0</v>
      </c>
      <c r="AY1301" s="0" t="n">
        <f aca="false">COUNTIF(DU1301:EH1301, "&lt;&gt;")</f>
        <v>0</v>
      </c>
      <c r="AZ1301" s="0" t="n">
        <f aca="false">IF(EH1301&lt;&gt;"",1,0)</f>
        <v>0</v>
      </c>
      <c r="BB1301" s="0" t="s">
        <v>152</v>
      </c>
      <c r="CP1301" s="0" t="s">
        <v>153</v>
      </c>
    </row>
    <row r="1302" customFormat="false" ht="13.8" hidden="true" customHeight="false" outlineLevel="0" collapsed="false">
      <c r="A1302" s="0" t="s">
        <v>6088</v>
      </c>
      <c r="B1302" s="0" t="n">
        <v>78</v>
      </c>
      <c r="C1302" s="0" t="n">
        <v>347081</v>
      </c>
      <c r="D1302" s="0" t="s">
        <v>3212</v>
      </c>
      <c r="E1302" s="0" t="s">
        <v>6089</v>
      </c>
      <c r="F1302" s="0" t="str">
        <f aca="false">CONCATENATE(D1302," ",LEFT(H1302,4),"T=",AU1302,"D=",AV1302,"R=",AW1302,"M=",AX1302,"L=",AY1302,"B=",AZ1302)</f>
        <v>GREGORY T=30D=5R=0M=0L=0B=0</v>
      </c>
      <c r="G1302" s="0" t="s">
        <v>175</v>
      </c>
      <c r="I1302" s="0" t="s">
        <v>6090</v>
      </c>
      <c r="J1302" s="0" t="s">
        <v>6091</v>
      </c>
      <c r="K1302" s="0" t="s">
        <v>160</v>
      </c>
      <c r="M1302" s="0" t="s">
        <v>6092</v>
      </c>
      <c r="N1302" s="0" t="str">
        <f aca="false">RIGHT(M1302,LEN(M1302)-FIND(" ",M1302))</f>
        <v>LAIRD AVE SE</v>
      </c>
      <c r="P1302" s="0" t="s">
        <v>145</v>
      </c>
      <c r="Q1302" s="0" t="s">
        <v>146</v>
      </c>
      <c r="R1302" s="0" t="n">
        <v>44483</v>
      </c>
      <c r="AD1302" s="0" t="s">
        <v>147</v>
      </c>
      <c r="AE1302" s="0" t="s">
        <v>148</v>
      </c>
      <c r="AF1302" s="0" t="s">
        <v>149</v>
      </c>
      <c r="AH1302" s="0" t="n">
        <v>14</v>
      </c>
      <c r="AI1302" s="0" t="n">
        <v>11</v>
      </c>
      <c r="AN1302" s="0" t="s">
        <v>145</v>
      </c>
      <c r="AO1302" s="0" t="s">
        <v>150</v>
      </c>
      <c r="AP1302" s="0" t="s">
        <v>151</v>
      </c>
      <c r="AQ1302" s="0" t="n">
        <v>9</v>
      </c>
      <c r="AR1302" s="0" t="n">
        <v>64</v>
      </c>
      <c r="AS1302" s="0" t="n">
        <v>32</v>
      </c>
      <c r="AU1302" s="0" t="n">
        <f aca="false">COUNTA($BA$763:$EH$763)</f>
        <v>30</v>
      </c>
      <c r="AV1302" s="0" t="n">
        <f aca="false">COUNTIF($BA$763:$EH$763,"D")</f>
        <v>5</v>
      </c>
      <c r="AW1302" s="0" t="n">
        <f aca="false">COUNTIF($BA$763:$EH$763,"R")</f>
        <v>0</v>
      </c>
      <c r="AX1302" s="0" t="n">
        <f aca="false">IF(BN1302="D",1,0)+IF(BO1302="D",1,0)+IF(BT1302="D",1,0)+IF(BU1302="D",1,0)+IF(BW1302="D",1,0)+IF(CC1302="D",1,0)+IF(CD1302="D",1,0)+IF(CE1302="D",1,0)+IF(CF1302="D",1,0)+IF(CL1302="D",1,0)+IF(CM1302="D",1,0)+IF(CQ1302="D",1,0)+IF(CR1302="D",1,0)+IF(CS1302="D",1,0)+IF(CW1302="D",1,0)+IF(CX1302="D",1,0)+IF(DD1302="D",1,0)+IF(DE1302="D",1,0)+IF(DJ1302="D",1,0)+IF(DK1302="D",1,0)+IF(DO1302="D",1,0)+IF(DP1302="D",1,0)+IF(DQ1302="D",1,0)+IF(DW1302="D",1,0)+IF(DZ1302="D",1,0)+IF(EH1302="D",1,0)</f>
        <v>0</v>
      </c>
      <c r="AY1302" s="0" t="n">
        <f aca="false">COUNTIF(DU1302:EH1302, "&lt;&gt;")</f>
        <v>0</v>
      </c>
      <c r="AZ1302" s="0" t="n">
        <f aca="false">IF(EH1302&lt;&gt;"",1,0)</f>
        <v>0</v>
      </c>
      <c r="BB1302" s="0" t="s">
        <v>152</v>
      </c>
    </row>
    <row r="1303" customFormat="false" ht="13.8" hidden="true" customHeight="false" outlineLevel="0" collapsed="false">
      <c r="A1303" s="0" t="s">
        <v>6093</v>
      </c>
      <c r="B1303" s="0" t="n">
        <v>78</v>
      </c>
      <c r="C1303" s="0" t="n">
        <v>385254</v>
      </c>
      <c r="D1303" s="0" t="s">
        <v>6094</v>
      </c>
      <c r="E1303" s="0" t="s">
        <v>3212</v>
      </c>
      <c r="F1303" s="0" t="str">
        <f aca="false">CONCATENATE(D1303," ",LEFT(H1303,4),"T=",AU1303,"D=",AV1303,"R=",AW1303,"M=",AX1303,"L=",AY1303,"B=",AZ1303)</f>
        <v>GEARIN T=14D=6R=0M=0L=0B=0</v>
      </c>
      <c r="G1303" s="0" t="s">
        <v>268</v>
      </c>
      <c r="I1303" s="0" t="s">
        <v>6095</v>
      </c>
      <c r="J1303" s="0" t="s">
        <v>6096</v>
      </c>
      <c r="K1303" s="0" t="s">
        <v>143</v>
      </c>
      <c r="M1303" s="0" t="s">
        <v>6097</v>
      </c>
      <c r="N1303" s="0" t="str">
        <f aca="false">RIGHT(M1303,LEN(M1303)-FIND(" ",M1303))</f>
        <v>LAIRD AVE SE</v>
      </c>
      <c r="P1303" s="0" t="s">
        <v>145</v>
      </c>
      <c r="Q1303" s="0" t="s">
        <v>146</v>
      </c>
      <c r="R1303" s="0" t="n">
        <v>44483</v>
      </c>
      <c r="AD1303" s="0" t="s">
        <v>147</v>
      </c>
      <c r="AE1303" s="0" t="s">
        <v>148</v>
      </c>
      <c r="AF1303" s="0" t="s">
        <v>149</v>
      </c>
      <c r="AH1303" s="0" t="n">
        <v>14</v>
      </c>
      <c r="AI1303" s="0" t="n">
        <v>11</v>
      </c>
      <c r="AN1303" s="0" t="s">
        <v>145</v>
      </c>
      <c r="AO1303" s="0" t="s">
        <v>150</v>
      </c>
      <c r="AP1303" s="0" t="s">
        <v>151</v>
      </c>
      <c r="AQ1303" s="0" t="n">
        <v>9</v>
      </c>
      <c r="AR1303" s="0" t="n">
        <v>64</v>
      </c>
      <c r="AS1303" s="0" t="n">
        <v>32</v>
      </c>
      <c r="AU1303" s="0" t="n">
        <f aca="false">COUNTA($BA$144:$EH$144)</f>
        <v>14</v>
      </c>
      <c r="AV1303" s="0" t="n">
        <f aca="false">COUNTIF($BA$144:$EH$144,"D")</f>
        <v>6</v>
      </c>
      <c r="AW1303" s="0" t="n">
        <f aca="false">COUNTIF($BA$144:$EH$144,"R")</f>
        <v>0</v>
      </c>
      <c r="AX1303" s="0" t="n">
        <f aca="false">IF(BN1303="D",1,0)+IF(BO1303="D",1,0)+IF(BT1303="D",1,0)+IF(BU1303="D",1,0)+IF(BW1303="D",1,0)+IF(CC1303="D",1,0)+IF(CD1303="D",1,0)+IF(CE1303="D",1,0)+IF(CF1303="D",1,0)+IF(CL1303="D",1,0)+IF(CM1303="D",1,0)+IF(CQ1303="D",1,0)+IF(CR1303="D",1,0)+IF(CS1303="D",1,0)+IF(CW1303="D",1,0)+IF(CX1303="D",1,0)+IF(DD1303="D",1,0)+IF(DE1303="D",1,0)+IF(DJ1303="D",1,0)+IF(DK1303="D",1,0)+IF(DO1303="D",1,0)+IF(DP1303="D",1,0)+IF(DQ1303="D",1,0)+IF(DW1303="D",1,0)+IF(DZ1303="D",1,0)+IF(EH1303="D",1,0)</f>
        <v>0</v>
      </c>
      <c r="AY1303" s="0" t="n">
        <f aca="false">COUNTIF(DU1303:EH1303, "&lt;&gt;")</f>
        <v>0</v>
      </c>
      <c r="AZ1303" s="0" t="n">
        <f aca="false">IF(EH1303&lt;&gt;"",1,0)</f>
        <v>0</v>
      </c>
      <c r="BB1303" s="0" t="s">
        <v>152</v>
      </c>
      <c r="CP1303" s="0" t="s">
        <v>153</v>
      </c>
    </row>
    <row r="1304" customFormat="false" ht="13.8" hidden="true" customHeight="false" outlineLevel="0" collapsed="false">
      <c r="A1304" s="0" t="s">
        <v>6098</v>
      </c>
      <c r="B1304" s="0" t="n">
        <v>78</v>
      </c>
      <c r="C1304" s="0" t="n">
        <v>415810</v>
      </c>
      <c r="D1304" s="0" t="s">
        <v>5875</v>
      </c>
      <c r="E1304" s="0" t="s">
        <v>435</v>
      </c>
      <c r="F1304" s="0" t="str">
        <f aca="false">CONCATENATE(D1304," ",LEFT(H1304,4),"T=",AU1304,"D=",AV1304,"R=",AW1304,"M=",AX1304,"L=",AY1304,"B=",AZ1304)</f>
        <v>MANN T=20D=4R=0M=0L=0B=0</v>
      </c>
      <c r="G1304" s="0" t="s">
        <v>1445</v>
      </c>
      <c r="I1304" s="0" t="s">
        <v>6099</v>
      </c>
      <c r="J1304" s="0" t="s">
        <v>6100</v>
      </c>
      <c r="K1304" s="0" t="s">
        <v>143</v>
      </c>
      <c r="M1304" s="0" t="s">
        <v>6097</v>
      </c>
      <c r="N1304" s="0" t="str">
        <f aca="false">RIGHT(M1304,LEN(M1304)-FIND(" ",M1304))</f>
        <v>LAIRD AVE SE</v>
      </c>
      <c r="P1304" s="0" t="s">
        <v>145</v>
      </c>
      <c r="Q1304" s="0" t="s">
        <v>146</v>
      </c>
      <c r="R1304" s="0" t="n">
        <v>44483</v>
      </c>
      <c r="AD1304" s="0" t="s">
        <v>147</v>
      </c>
      <c r="AE1304" s="0" t="s">
        <v>148</v>
      </c>
      <c r="AF1304" s="0" t="s">
        <v>149</v>
      </c>
      <c r="AH1304" s="0" t="n">
        <v>14</v>
      </c>
      <c r="AI1304" s="0" t="n">
        <v>11</v>
      </c>
      <c r="AN1304" s="0" t="s">
        <v>145</v>
      </c>
      <c r="AO1304" s="0" t="s">
        <v>150</v>
      </c>
      <c r="AP1304" s="0" t="s">
        <v>151</v>
      </c>
      <c r="AQ1304" s="0" t="n">
        <v>9</v>
      </c>
      <c r="AR1304" s="0" t="n">
        <v>64</v>
      </c>
      <c r="AS1304" s="0" t="n">
        <v>32</v>
      </c>
      <c r="AU1304" s="0" t="n">
        <f aca="false">COUNTA($BA$365:$EH$365)</f>
        <v>20</v>
      </c>
      <c r="AV1304" s="0" t="n">
        <f aca="false">COUNTIF($BA$365:$EH$365,"D")</f>
        <v>4</v>
      </c>
      <c r="AW1304" s="0" t="n">
        <f aca="false">COUNTIF($BA$365:$EH$365,"R")</f>
        <v>0</v>
      </c>
      <c r="AX1304" s="0" t="n">
        <f aca="false">IF(BN1304="D",1,0)+IF(BO1304="D",1,0)+IF(BT1304="D",1,0)+IF(BU1304="D",1,0)+IF(BW1304="D",1,0)+IF(CC1304="D",1,0)+IF(CD1304="D",1,0)+IF(CE1304="D",1,0)+IF(CF1304="D",1,0)+IF(CL1304="D",1,0)+IF(CM1304="D",1,0)+IF(CQ1304="D",1,0)+IF(CR1304="D",1,0)+IF(CS1304="D",1,0)+IF(CW1304="D",1,0)+IF(CX1304="D",1,0)+IF(DD1304="D",1,0)+IF(DE1304="D",1,0)+IF(DJ1304="D",1,0)+IF(DK1304="D",1,0)+IF(DO1304="D",1,0)+IF(DP1304="D",1,0)+IF(DQ1304="D",1,0)+IF(DW1304="D",1,0)+IF(DZ1304="D",1,0)+IF(EH1304="D",1,0)</f>
        <v>0</v>
      </c>
      <c r="AY1304" s="0" t="n">
        <f aca="false">COUNTIF(DU1304:EH1304, "&lt;&gt;")</f>
        <v>0</v>
      </c>
      <c r="AZ1304" s="0" t="n">
        <f aca="false">IF(EH1304&lt;&gt;"",1,0)</f>
        <v>0</v>
      </c>
      <c r="BB1304" s="0" t="s">
        <v>152</v>
      </c>
    </row>
    <row r="1305" customFormat="false" ht="13.8" hidden="true" customHeight="false" outlineLevel="0" collapsed="false">
      <c r="A1305" s="0" t="s">
        <v>6101</v>
      </c>
      <c r="B1305" s="0" t="n">
        <v>78</v>
      </c>
      <c r="C1305" s="0" t="n">
        <v>476490</v>
      </c>
      <c r="D1305" s="0" t="s">
        <v>1974</v>
      </c>
      <c r="E1305" s="0" t="s">
        <v>324</v>
      </c>
      <c r="F1305" s="0" t="str">
        <f aca="false">CONCATENATE(D1305," ",LEFT(H1305,4),"T=",AU1305,"D=",AV1305,"R=",AW1305,"M=",AX1305,"L=",AY1305,"B=",AZ1305)</f>
        <v>GRAHAM T=2D=0R=0M=0L=1B=0</v>
      </c>
      <c r="G1305" s="0" t="s">
        <v>175</v>
      </c>
      <c r="I1305" s="0" t="s">
        <v>6102</v>
      </c>
      <c r="J1305" s="0" t="s">
        <v>6103</v>
      </c>
      <c r="K1305" s="0" t="s">
        <v>160</v>
      </c>
      <c r="M1305" s="0" t="s">
        <v>6104</v>
      </c>
      <c r="N1305" s="0" t="str">
        <f aca="false">RIGHT(M1305,LEN(M1305)-FIND(" ",M1305))</f>
        <v>LAIRD AVE SE</v>
      </c>
      <c r="P1305" s="0" t="s">
        <v>145</v>
      </c>
      <c r="Q1305" s="0" t="s">
        <v>146</v>
      </c>
      <c r="R1305" s="0" t="n">
        <v>44483</v>
      </c>
      <c r="AD1305" s="0" t="s">
        <v>147</v>
      </c>
      <c r="AE1305" s="0" t="s">
        <v>148</v>
      </c>
      <c r="AF1305" s="0" t="s">
        <v>149</v>
      </c>
      <c r="AH1305" s="0" t="n">
        <v>14</v>
      </c>
      <c r="AI1305" s="0" t="n">
        <v>11</v>
      </c>
      <c r="AN1305" s="0" t="s">
        <v>145</v>
      </c>
      <c r="AO1305" s="0" t="s">
        <v>150</v>
      </c>
      <c r="AP1305" s="0" t="s">
        <v>151</v>
      </c>
      <c r="AQ1305" s="0" t="n">
        <v>9</v>
      </c>
      <c r="AR1305" s="0" t="n">
        <v>64</v>
      </c>
      <c r="AS1305" s="0" t="n">
        <v>32</v>
      </c>
      <c r="AU1305" s="0" t="n">
        <f aca="false">COUNTA($BA$643:$EH$643)</f>
        <v>2</v>
      </c>
      <c r="AV1305" s="0" t="n">
        <f aca="false">COUNTIF($BA$643:$EH$643,"D")</f>
        <v>0</v>
      </c>
      <c r="AW1305" s="0" t="n">
        <f aca="false">COUNTIF($BA$643:$EH$643,"R")</f>
        <v>0</v>
      </c>
      <c r="AX1305" s="0" t="n">
        <f aca="false">IF(BN1305="D",1,0)+IF(BO1305="D",1,0)+IF(BT1305="D",1,0)+IF(BU1305="D",1,0)+IF(BW1305="D",1,0)+IF(CC1305="D",1,0)+IF(CD1305="D",1,0)+IF(CE1305="D",1,0)+IF(CF1305="D",1,0)+IF(CL1305="D",1,0)+IF(CM1305="D",1,0)+IF(CQ1305="D",1,0)+IF(CR1305="D",1,0)+IF(CS1305="D",1,0)+IF(CW1305="D",1,0)+IF(CX1305="D",1,0)+IF(DD1305="D",1,0)+IF(DE1305="D",1,0)+IF(DJ1305="D",1,0)+IF(DK1305="D",1,0)+IF(DO1305="D",1,0)+IF(DP1305="D",1,0)+IF(DQ1305="D",1,0)+IF(DW1305="D",1,0)+IF(DZ1305="D",1,0)+IF(EH1305="D",1,0)</f>
        <v>0</v>
      </c>
      <c r="AY1305" s="0" t="n">
        <f aca="false">COUNTIF(DU1305:EH1305, "&lt;&gt;")</f>
        <v>1</v>
      </c>
      <c r="AZ1305" s="0" t="n">
        <f aca="false">IF(EH1305&lt;&gt;"",1,0)</f>
        <v>0</v>
      </c>
      <c r="BB1305" s="0" t="s">
        <v>152</v>
      </c>
      <c r="EA1305" s="0" t="s">
        <v>153</v>
      </c>
    </row>
    <row r="1306" customFormat="false" ht="13.8" hidden="true" customHeight="false" outlineLevel="0" collapsed="false">
      <c r="A1306" s="0" t="s">
        <v>6105</v>
      </c>
      <c r="B1306" s="0" t="n">
        <v>78</v>
      </c>
      <c r="C1306" s="0" t="n">
        <v>495737</v>
      </c>
      <c r="D1306" s="0" t="s">
        <v>6106</v>
      </c>
      <c r="E1306" s="0" t="s">
        <v>184</v>
      </c>
      <c r="F1306" s="0" t="str">
        <f aca="false">CONCATENATE(D1306," ",LEFT(H1306,4),"T=",AU1306,"D=",AV1306,"R=",AW1306,"M=",AX1306,"L=",AY1306,"B=",AZ1306)</f>
        <v>SHREVE T=11D=2R=0M=0L=0B=0</v>
      </c>
      <c r="G1306" s="0" t="s">
        <v>275</v>
      </c>
      <c r="I1306" s="0" t="s">
        <v>6107</v>
      </c>
      <c r="J1306" s="0" t="s">
        <v>6108</v>
      </c>
      <c r="K1306" s="0" t="s">
        <v>160</v>
      </c>
      <c r="M1306" s="0" t="s">
        <v>6104</v>
      </c>
      <c r="N1306" s="0" t="str">
        <f aca="false">RIGHT(M1306,LEN(M1306)-FIND(" ",M1306))</f>
        <v>LAIRD AVE SE</v>
      </c>
      <c r="P1306" s="0" t="s">
        <v>145</v>
      </c>
      <c r="Q1306" s="0" t="s">
        <v>146</v>
      </c>
      <c r="R1306" s="0" t="n">
        <v>44483</v>
      </c>
      <c r="AD1306" s="0" t="s">
        <v>147</v>
      </c>
      <c r="AE1306" s="0" t="s">
        <v>148</v>
      </c>
      <c r="AF1306" s="0" t="s">
        <v>149</v>
      </c>
      <c r="AH1306" s="0" t="n">
        <v>14</v>
      </c>
      <c r="AI1306" s="0" t="n">
        <v>11</v>
      </c>
      <c r="AN1306" s="0" t="s">
        <v>145</v>
      </c>
      <c r="AO1306" s="0" t="s">
        <v>150</v>
      </c>
      <c r="AP1306" s="0" t="s">
        <v>151</v>
      </c>
      <c r="AQ1306" s="0" t="n">
        <v>9</v>
      </c>
      <c r="AR1306" s="0" t="n">
        <v>64</v>
      </c>
      <c r="AS1306" s="0" t="n">
        <v>32</v>
      </c>
      <c r="AU1306" s="0" t="n">
        <f aca="false">COUNTA($BA$1024:$EH$1024)</f>
        <v>11</v>
      </c>
      <c r="AV1306" s="0" t="n">
        <f aca="false">COUNTIF($BA$1024:$EH$1024,"D")</f>
        <v>2</v>
      </c>
      <c r="AW1306" s="0" t="n">
        <f aca="false">COUNTIF($BA$1024:$EH$1024,"R")</f>
        <v>0</v>
      </c>
      <c r="AX1306" s="0" t="n">
        <f aca="false">IF(BN1306="D",1,0)+IF(BO1306="D",1,0)+IF(BT1306="D",1,0)+IF(BU1306="D",1,0)+IF(BW1306="D",1,0)+IF(CC1306="D",1,0)+IF(CD1306="D",1,0)+IF(CE1306="D",1,0)+IF(CF1306="D",1,0)+IF(CL1306="D",1,0)+IF(CM1306="D",1,0)+IF(CQ1306="D",1,0)+IF(CR1306="D",1,0)+IF(CS1306="D",1,0)+IF(CW1306="D",1,0)+IF(CX1306="D",1,0)+IF(DD1306="D",1,0)+IF(DE1306="D",1,0)+IF(DJ1306="D",1,0)+IF(DK1306="D",1,0)+IF(DO1306="D",1,0)+IF(DP1306="D",1,0)+IF(DQ1306="D",1,0)+IF(DW1306="D",1,0)+IF(DZ1306="D",1,0)+IF(EH1306="D",1,0)</f>
        <v>0</v>
      </c>
      <c r="AY1306" s="0" t="n">
        <f aca="false">COUNTIF(DU1306:EH1306, "&lt;&gt;")</f>
        <v>0</v>
      </c>
      <c r="AZ1306" s="0" t="n">
        <f aca="false">IF(EH1306&lt;&gt;"",1,0)</f>
        <v>0</v>
      </c>
      <c r="BB1306" s="0" t="s">
        <v>152</v>
      </c>
    </row>
    <row r="1307" customFormat="false" ht="13.8" hidden="false" customHeight="false" outlineLevel="0" collapsed="false">
      <c r="A1307" s="0" t="s">
        <v>6109</v>
      </c>
      <c r="B1307" s="0" t="n">
        <v>78</v>
      </c>
      <c r="C1307" s="0" t="n">
        <v>452208</v>
      </c>
      <c r="D1307" s="0" t="s">
        <v>6110</v>
      </c>
      <c r="E1307" s="0" t="s">
        <v>576</v>
      </c>
      <c r="F1307" s="0" t="str">
        <f aca="false">CONCATENATE(D1307," ",LEFT(H1307,4),"T=",AU1307,"D=",AV1307,"R=",AW1307,"M=",AX1307,"L=",AY1307,"B=",AZ1307)</f>
        <v>KOPCZINSKY T=42D=11R=0M=0L=4B=0</v>
      </c>
      <c r="G1307" s="0" t="s">
        <v>3847</v>
      </c>
      <c r="I1307" s="0" t="s">
        <v>6111</v>
      </c>
      <c r="J1307" s="0" t="s">
        <v>264</v>
      </c>
      <c r="K1307" s="0" t="s">
        <v>160</v>
      </c>
      <c r="M1307" s="0" t="s">
        <v>6112</v>
      </c>
      <c r="N1307" s="0" t="str">
        <f aca="false">RIGHT(M1307,LEN(M1307)-FIND(" ",M1307))</f>
        <v>LAIRD AVE SE</v>
      </c>
      <c r="P1307" s="0" t="s">
        <v>145</v>
      </c>
      <c r="Q1307" s="0" t="s">
        <v>146</v>
      </c>
      <c r="R1307" s="0" t="n">
        <v>44483</v>
      </c>
      <c r="AD1307" s="0" t="s">
        <v>147</v>
      </c>
      <c r="AE1307" s="0" t="s">
        <v>148</v>
      </c>
      <c r="AF1307" s="0" t="s">
        <v>149</v>
      </c>
      <c r="AH1307" s="0" t="n">
        <v>14</v>
      </c>
      <c r="AI1307" s="0" t="n">
        <v>11</v>
      </c>
      <c r="AN1307" s="0" t="s">
        <v>145</v>
      </c>
      <c r="AO1307" s="0" t="s">
        <v>150</v>
      </c>
      <c r="AP1307" s="0" t="s">
        <v>151</v>
      </c>
      <c r="AQ1307" s="0" t="n">
        <v>9</v>
      </c>
      <c r="AR1307" s="0" t="n">
        <v>64</v>
      </c>
      <c r="AS1307" s="0" t="n">
        <v>32</v>
      </c>
      <c r="AU1307" s="0" t="n">
        <f aca="false">COUNTA($BA$120:$EH$120)</f>
        <v>42</v>
      </c>
      <c r="AV1307" s="0" t="n">
        <f aca="false">COUNTIF($BA$120:$EH$120,"D")</f>
        <v>11</v>
      </c>
      <c r="AW1307" s="0" t="n">
        <f aca="false">COUNTIF($BA$120:$EH$120,"R")</f>
        <v>0</v>
      </c>
      <c r="AX1307" s="0" t="n">
        <f aca="false">IF(BN1307="D",1,0)+IF(BO1307="D",1,0)+IF(BT1307="D",1,0)+IF(BU1307="D",1,0)+IF(BW1307="D",1,0)+IF(CC1307="D",1,0)+IF(CD1307="D",1,0)+IF(CE1307="D",1,0)+IF(CF1307="D",1,0)+IF(CL1307="D",1,0)+IF(CM1307="D",1,0)+IF(CQ1307="D",1,0)+IF(CR1307="D",1,0)+IF(CS1307="D",1,0)+IF(CW1307="D",1,0)+IF(CX1307="D",1,0)+IF(DD1307="D",1,0)+IF(DE1307="D",1,0)+IF(DJ1307="D",1,0)+IF(DK1307="D",1,0)+IF(DO1307="D",1,0)+IF(DP1307="D",1,0)+IF(DQ1307="D",1,0)+IF(DW1307="D",1,0)+IF(DZ1307="D",1,0)+IF(EH1307="D",1,0)</f>
        <v>0</v>
      </c>
      <c r="AY1307" s="0" t="n">
        <f aca="false">COUNTIF(DU1307:EH1307, "&lt;&gt;")</f>
        <v>4</v>
      </c>
      <c r="AZ1307" s="0" t="n">
        <f aca="false">IF(EH1307&lt;&gt;"",1,0)</f>
        <v>0</v>
      </c>
      <c r="BB1307" s="0" t="s">
        <v>152</v>
      </c>
      <c r="DN1307" s="0" t="s">
        <v>153</v>
      </c>
      <c r="DU1307" s="0" t="s">
        <v>153</v>
      </c>
      <c r="DX1307" s="0" t="s">
        <v>153</v>
      </c>
      <c r="EA1307" s="0" t="s">
        <v>153</v>
      </c>
      <c r="EF1307" s="0" t="s">
        <v>153</v>
      </c>
    </row>
    <row r="1308" customFormat="false" ht="13.8" hidden="false" customHeight="false" outlineLevel="0" collapsed="false">
      <c r="A1308" s="0" t="s">
        <v>6113</v>
      </c>
      <c r="B1308" s="0" t="n">
        <v>78</v>
      </c>
      <c r="C1308" s="0" t="n">
        <v>214909</v>
      </c>
      <c r="D1308" s="0" t="s">
        <v>740</v>
      </c>
      <c r="E1308" s="0" t="s">
        <v>1710</v>
      </c>
      <c r="F1308" s="0" t="str">
        <f aca="false">CONCATENATE(D1308," ",LEFT(H1308,4),"T=",AU1308,"D=",AV1308,"R=",AW1308,"M=",AX1308,"L=",AY1308,"B=",AZ1308)</f>
        <v>PATTERSON T=2D=0R=0M=1L=5B=0</v>
      </c>
      <c r="G1308" s="0" t="s">
        <v>6114</v>
      </c>
      <c r="I1308" s="0" t="s">
        <v>6115</v>
      </c>
      <c r="J1308" s="0" t="s">
        <v>6116</v>
      </c>
      <c r="K1308" s="0" t="s">
        <v>160</v>
      </c>
      <c r="L1308" s="0" t="s">
        <v>175</v>
      </c>
      <c r="M1308" s="0" t="s">
        <v>6112</v>
      </c>
      <c r="N1308" s="0" t="str">
        <f aca="false">RIGHT(M1308,LEN(M1308)-FIND(" ",M1308))</f>
        <v>LAIRD AVE SE</v>
      </c>
      <c r="P1308" s="0" t="s">
        <v>145</v>
      </c>
      <c r="Q1308" s="0" t="s">
        <v>146</v>
      </c>
      <c r="R1308" s="0" t="n">
        <v>44483</v>
      </c>
      <c r="AD1308" s="0" t="s">
        <v>147</v>
      </c>
      <c r="AE1308" s="0" t="s">
        <v>148</v>
      </c>
      <c r="AF1308" s="0" t="s">
        <v>149</v>
      </c>
      <c r="AH1308" s="0" t="n">
        <v>14</v>
      </c>
      <c r="AI1308" s="0" t="n">
        <v>11</v>
      </c>
      <c r="AN1308" s="0" t="s">
        <v>145</v>
      </c>
      <c r="AO1308" s="0" t="s">
        <v>150</v>
      </c>
      <c r="AP1308" s="0" t="s">
        <v>151</v>
      </c>
      <c r="AQ1308" s="0" t="n">
        <v>9</v>
      </c>
      <c r="AR1308" s="0" t="n">
        <v>64</v>
      </c>
      <c r="AS1308" s="0" t="n">
        <v>32</v>
      </c>
      <c r="AU1308" s="0" t="n">
        <f aca="false">COUNTA($BA$866:$EH$866)</f>
        <v>2</v>
      </c>
      <c r="AV1308" s="0" t="n">
        <f aca="false">COUNTIF($BA$866:$EH$866,"D")</f>
        <v>0</v>
      </c>
      <c r="AW1308" s="0" t="n">
        <f aca="false">COUNTIF($BA$866:$EH$866,"R")</f>
        <v>0</v>
      </c>
      <c r="AX1308" s="0" t="n">
        <f aca="false">IF(BN1308="D",1,0)+IF(BO1308="D",1,0)+IF(BT1308="D",1,0)+IF(BU1308="D",1,0)+IF(BW1308="D",1,0)+IF(CC1308="D",1,0)+IF(CD1308="D",1,0)+IF(CE1308="D",1,0)+IF(CF1308="D",1,0)+IF(CL1308="D",1,0)+IF(CM1308="D",1,0)+IF(CQ1308="D",1,0)+IF(CR1308="D",1,0)+IF(CS1308="D",1,0)+IF(CW1308="D",1,0)+IF(CX1308="D",1,0)+IF(DD1308="D",1,0)+IF(DE1308="D",1,0)+IF(DJ1308="D",1,0)+IF(DK1308="D",1,0)+IF(DO1308="D",1,0)+IF(DP1308="D",1,0)+IF(DQ1308="D",1,0)+IF(DW1308="D",1,0)+IF(DZ1308="D",1,0)+IF(EH1308="D",1,0)</f>
        <v>1</v>
      </c>
      <c r="AY1308" s="0" t="n">
        <f aca="false">COUNTIF(DU1308:EH1308, "&lt;&gt;")</f>
        <v>5</v>
      </c>
      <c r="AZ1308" s="0" t="n">
        <f aca="false">IF(EH1308&lt;&gt;"",1,0)</f>
        <v>0</v>
      </c>
      <c r="BB1308" s="0" t="s">
        <v>152</v>
      </c>
      <c r="BD1308" s="0" t="s">
        <v>153</v>
      </c>
      <c r="BL1308" s="0" t="s">
        <v>153</v>
      </c>
      <c r="CA1308" s="0" t="s">
        <v>153</v>
      </c>
      <c r="CK1308" s="0" t="s">
        <v>153</v>
      </c>
      <c r="CP1308" s="0" t="s">
        <v>153</v>
      </c>
      <c r="DC1308" s="0" t="s">
        <v>153</v>
      </c>
      <c r="DM1308" s="0" t="s">
        <v>175</v>
      </c>
      <c r="DN1308" s="0" t="s">
        <v>153</v>
      </c>
      <c r="DU1308" s="0" t="s">
        <v>153</v>
      </c>
      <c r="DW1308" s="0" t="s">
        <v>175</v>
      </c>
      <c r="DX1308" s="0" t="s">
        <v>153</v>
      </c>
      <c r="EA1308" s="0" t="s">
        <v>153</v>
      </c>
      <c r="EF1308" s="0" t="s">
        <v>153</v>
      </c>
    </row>
    <row r="1309" customFormat="false" ht="13.8" hidden="false" customHeight="false" outlineLevel="0" collapsed="false">
      <c r="A1309" s="0" t="s">
        <v>6117</v>
      </c>
      <c r="B1309" s="0" t="n">
        <v>78</v>
      </c>
      <c r="C1309" s="0" t="n">
        <v>409665</v>
      </c>
      <c r="D1309" s="0" t="s">
        <v>740</v>
      </c>
      <c r="E1309" s="0" t="s">
        <v>1635</v>
      </c>
      <c r="F1309" s="0" t="str">
        <f aca="false">CONCATENATE(D1309," ",LEFT(H1309,4),"T=",AU1309,"D=",AV1309,"R=",AW1309,"M=",AX1309,"L=",AY1309,"B=",AZ1309)</f>
        <v>PATTERSON T=10D=0R=0M=1L=5B=0</v>
      </c>
      <c r="G1309" s="0" t="s">
        <v>2613</v>
      </c>
      <c r="I1309" s="0" t="s">
        <v>6118</v>
      </c>
      <c r="J1309" s="0" t="s">
        <v>6119</v>
      </c>
      <c r="K1309" s="0" t="s">
        <v>160</v>
      </c>
      <c r="L1309" s="0" t="s">
        <v>175</v>
      </c>
      <c r="M1309" s="0" t="s">
        <v>6112</v>
      </c>
      <c r="N1309" s="0" t="str">
        <f aca="false">RIGHT(M1309,LEN(M1309)-FIND(" ",M1309))</f>
        <v>LAIRD AVE SE</v>
      </c>
      <c r="P1309" s="0" t="s">
        <v>145</v>
      </c>
      <c r="Q1309" s="0" t="s">
        <v>146</v>
      </c>
      <c r="R1309" s="0" t="n">
        <v>44483</v>
      </c>
      <c r="AD1309" s="0" t="s">
        <v>147</v>
      </c>
      <c r="AE1309" s="0" t="s">
        <v>148</v>
      </c>
      <c r="AF1309" s="0" t="s">
        <v>149</v>
      </c>
      <c r="AH1309" s="0" t="n">
        <v>14</v>
      </c>
      <c r="AI1309" s="0" t="n">
        <v>11</v>
      </c>
      <c r="AN1309" s="0" t="s">
        <v>145</v>
      </c>
      <c r="AO1309" s="0" t="s">
        <v>150</v>
      </c>
      <c r="AP1309" s="0" t="s">
        <v>151</v>
      </c>
      <c r="AQ1309" s="0" t="n">
        <v>9</v>
      </c>
      <c r="AR1309" s="0" t="n">
        <v>64</v>
      </c>
      <c r="AS1309" s="0" t="n">
        <v>32</v>
      </c>
      <c r="AU1309" s="0" t="n">
        <f aca="false">COUNTA($BA$949:$EH$949)</f>
        <v>10</v>
      </c>
      <c r="AV1309" s="0" t="n">
        <f aca="false">COUNTIF($BA$949:$EH$949,"D")</f>
        <v>0</v>
      </c>
      <c r="AW1309" s="0" t="n">
        <f aca="false">COUNTIF($BA$949:$EH$949,"R")</f>
        <v>0</v>
      </c>
      <c r="AX1309" s="0" t="n">
        <f aca="false">IF(BN1309="D",1,0)+IF(BO1309="D",1,0)+IF(BT1309="D",1,0)+IF(BU1309="D",1,0)+IF(BW1309="D",1,0)+IF(CC1309="D",1,0)+IF(CD1309="D",1,0)+IF(CE1309="D",1,0)+IF(CF1309="D",1,0)+IF(CL1309="D",1,0)+IF(CM1309="D",1,0)+IF(CQ1309="D",1,0)+IF(CR1309="D",1,0)+IF(CS1309="D",1,0)+IF(CW1309="D",1,0)+IF(CX1309="D",1,0)+IF(DD1309="D",1,0)+IF(DE1309="D",1,0)+IF(DJ1309="D",1,0)+IF(DK1309="D",1,0)+IF(DO1309="D",1,0)+IF(DP1309="D",1,0)+IF(DQ1309="D",1,0)+IF(DW1309="D",1,0)+IF(DZ1309="D",1,0)+IF(EH1309="D",1,0)</f>
        <v>1</v>
      </c>
      <c r="AY1309" s="0" t="n">
        <f aca="false">COUNTIF(DU1309:EH1309, "&lt;&gt;")</f>
        <v>5</v>
      </c>
      <c r="AZ1309" s="0" t="n">
        <f aca="false">IF(EH1309&lt;&gt;"",1,0)</f>
        <v>0</v>
      </c>
      <c r="BB1309" s="0" t="s">
        <v>152</v>
      </c>
      <c r="BL1309" s="0" t="s">
        <v>153</v>
      </c>
      <c r="BY1309" s="0" t="s">
        <v>175</v>
      </c>
      <c r="CA1309" s="0" t="s">
        <v>153</v>
      </c>
      <c r="CH1309" s="0" t="s">
        <v>153</v>
      </c>
      <c r="CK1309" s="0" t="s">
        <v>153</v>
      </c>
      <c r="CP1309" s="0" t="s">
        <v>153</v>
      </c>
      <c r="DC1309" s="0" t="s">
        <v>153</v>
      </c>
      <c r="DM1309" s="0" t="s">
        <v>175</v>
      </c>
      <c r="DN1309" s="0" t="s">
        <v>153</v>
      </c>
      <c r="DU1309" s="0" t="s">
        <v>153</v>
      </c>
      <c r="DW1309" s="0" t="s">
        <v>175</v>
      </c>
      <c r="DX1309" s="0" t="s">
        <v>153</v>
      </c>
      <c r="EA1309" s="0" t="s">
        <v>153</v>
      </c>
      <c r="EF1309" s="0" t="s">
        <v>153</v>
      </c>
    </row>
    <row r="1310" customFormat="false" ht="13.8" hidden="true" customHeight="false" outlineLevel="0" collapsed="false">
      <c r="A1310" s="0" t="s">
        <v>6120</v>
      </c>
      <c r="B1310" s="0" t="n">
        <v>78</v>
      </c>
      <c r="C1310" s="0" t="n">
        <v>382731</v>
      </c>
      <c r="D1310" s="0" t="s">
        <v>6121</v>
      </c>
      <c r="E1310" s="0" t="s">
        <v>517</v>
      </c>
      <c r="F1310" s="0" t="str">
        <f aca="false">CONCATENATE(D1310," ",LEFT(H1310,4),"T=",AU1310,"D=",AV1310,"R=",AW1310,"M=",AX1310,"L=",AY1310,"B=",AZ1310)</f>
        <v>BARR T=7D=0R=1M=0L=0B=0</v>
      </c>
      <c r="G1310" s="0" t="s">
        <v>164</v>
      </c>
      <c r="I1310" s="0" t="s">
        <v>6122</v>
      </c>
      <c r="J1310" s="0" t="s">
        <v>6123</v>
      </c>
      <c r="K1310" s="0" t="s">
        <v>143</v>
      </c>
      <c r="M1310" s="0" t="s">
        <v>6124</v>
      </c>
      <c r="N1310" s="0" t="str">
        <f aca="false">RIGHT(M1310,LEN(M1310)-FIND(" ",M1310))</f>
        <v>LAIRD AVE SE</v>
      </c>
      <c r="P1310" s="0" t="s">
        <v>145</v>
      </c>
      <c r="Q1310" s="0" t="s">
        <v>146</v>
      </c>
      <c r="R1310" s="0" t="n">
        <v>44483</v>
      </c>
      <c r="AD1310" s="0" t="s">
        <v>147</v>
      </c>
      <c r="AE1310" s="0" t="s">
        <v>148</v>
      </c>
      <c r="AF1310" s="0" t="s">
        <v>149</v>
      </c>
      <c r="AH1310" s="0" t="n">
        <v>14</v>
      </c>
      <c r="AI1310" s="0" t="n">
        <v>11</v>
      </c>
      <c r="AN1310" s="0" t="s">
        <v>145</v>
      </c>
      <c r="AO1310" s="0" t="s">
        <v>150</v>
      </c>
      <c r="AP1310" s="0" t="s">
        <v>151</v>
      </c>
      <c r="AQ1310" s="0" t="n">
        <v>9</v>
      </c>
      <c r="AR1310" s="0" t="n">
        <v>64</v>
      </c>
      <c r="AS1310" s="0" t="n">
        <v>32</v>
      </c>
      <c r="AU1310" s="0" t="n">
        <f aca="false">COUNTA($BA$419:$EH$419)</f>
        <v>7</v>
      </c>
      <c r="AV1310" s="0" t="n">
        <f aca="false">COUNTIF($BA$419:$EH$419,"D")</f>
        <v>0</v>
      </c>
      <c r="AW1310" s="0" t="n">
        <f aca="false">COUNTIF($BA$419:$EH$419,"R")</f>
        <v>1</v>
      </c>
      <c r="AX1310" s="0" t="n">
        <f aca="false">IF(BN1310="D",1,0)+IF(BO1310="D",1,0)+IF(BT1310="D",1,0)+IF(BU1310="D",1,0)+IF(BW1310="D",1,0)+IF(CC1310="D",1,0)+IF(CD1310="D",1,0)+IF(CE1310="D",1,0)+IF(CF1310="D",1,0)+IF(CL1310="D",1,0)+IF(CM1310="D",1,0)+IF(CQ1310="D",1,0)+IF(CR1310="D",1,0)+IF(CS1310="D",1,0)+IF(CW1310="D",1,0)+IF(CX1310="D",1,0)+IF(DD1310="D",1,0)+IF(DE1310="D",1,0)+IF(DJ1310="D",1,0)+IF(DK1310="D",1,0)+IF(DO1310="D",1,0)+IF(DP1310="D",1,0)+IF(DQ1310="D",1,0)+IF(DW1310="D",1,0)+IF(DZ1310="D",1,0)+IF(EH1310="D",1,0)</f>
        <v>0</v>
      </c>
      <c r="AY1310" s="0" t="n">
        <f aca="false">COUNTIF(DU1310:EH1310, "&lt;&gt;")</f>
        <v>0</v>
      </c>
      <c r="AZ1310" s="0" t="n">
        <f aca="false">IF(EH1310&lt;&gt;"",1,0)</f>
        <v>0</v>
      </c>
      <c r="BB1310" s="0" t="s">
        <v>152</v>
      </c>
      <c r="CP1310" s="0" t="s">
        <v>153</v>
      </c>
      <c r="CT1310" s="0" t="s">
        <v>153</v>
      </c>
      <c r="DC1310" s="0" t="s">
        <v>153</v>
      </c>
    </row>
    <row r="1311" customFormat="false" ht="13.8" hidden="true" customHeight="false" outlineLevel="0" collapsed="false">
      <c r="A1311" s="0" t="s">
        <v>6125</v>
      </c>
      <c r="B1311" s="0" t="n">
        <v>78</v>
      </c>
      <c r="C1311" s="0" t="n">
        <v>477667</v>
      </c>
      <c r="D1311" s="0" t="s">
        <v>6126</v>
      </c>
      <c r="E1311" s="0" t="s">
        <v>2005</v>
      </c>
      <c r="F1311" s="0" t="str">
        <f aca="false">CONCATENATE(D1311," ",LEFT(H1311,4),"T=",AU1311,"D=",AV1311,"R=",AW1311,"M=",AX1311,"L=",AY1311,"B=",AZ1311)</f>
        <v>HAUN T=19D=8R=0M=0L=0B=0</v>
      </c>
      <c r="G1311" s="0" t="s">
        <v>190</v>
      </c>
      <c r="I1311" s="0" t="s">
        <v>6127</v>
      </c>
      <c r="J1311" s="0" t="s">
        <v>231</v>
      </c>
      <c r="K1311" s="0" t="s">
        <v>160</v>
      </c>
      <c r="M1311" s="0" t="s">
        <v>6124</v>
      </c>
      <c r="N1311" s="0" t="str">
        <f aca="false">RIGHT(M1311,LEN(M1311)-FIND(" ",M1311))</f>
        <v>LAIRD AVE SE</v>
      </c>
      <c r="P1311" s="0" t="s">
        <v>145</v>
      </c>
      <c r="Q1311" s="0" t="s">
        <v>146</v>
      </c>
      <c r="R1311" s="0" t="n">
        <v>44483</v>
      </c>
      <c r="AD1311" s="0" t="s">
        <v>147</v>
      </c>
      <c r="AE1311" s="0" t="s">
        <v>148</v>
      </c>
      <c r="AF1311" s="0" t="s">
        <v>149</v>
      </c>
      <c r="AH1311" s="0" t="n">
        <v>14</v>
      </c>
      <c r="AI1311" s="0" t="n">
        <v>11</v>
      </c>
      <c r="AN1311" s="0" t="s">
        <v>145</v>
      </c>
      <c r="AO1311" s="0" t="s">
        <v>150</v>
      </c>
      <c r="AP1311" s="0" t="s">
        <v>151</v>
      </c>
      <c r="AQ1311" s="0" t="n">
        <v>9</v>
      </c>
      <c r="AR1311" s="0" t="n">
        <v>64</v>
      </c>
      <c r="AS1311" s="0" t="n">
        <v>32</v>
      </c>
      <c r="AU1311" s="0" t="n">
        <f aca="false">COUNTA($BA$474:$EH$474)</f>
        <v>19</v>
      </c>
      <c r="AV1311" s="0" t="n">
        <f aca="false">COUNTIF($BA$474:$EH$474,"D")</f>
        <v>8</v>
      </c>
      <c r="AW1311" s="0" t="n">
        <f aca="false">COUNTIF($BA$474:$EH$474,"R")</f>
        <v>0</v>
      </c>
      <c r="AX1311" s="0" t="n">
        <f aca="false">IF(BN1311="D",1,0)+IF(BO1311="D",1,0)+IF(BT1311="D",1,0)+IF(BU1311="D",1,0)+IF(BW1311="D",1,0)+IF(CC1311="D",1,0)+IF(CD1311="D",1,0)+IF(CE1311="D",1,0)+IF(CF1311="D",1,0)+IF(CL1311="D",1,0)+IF(CM1311="D",1,0)+IF(CQ1311="D",1,0)+IF(CR1311="D",1,0)+IF(CS1311="D",1,0)+IF(CW1311="D",1,0)+IF(CX1311="D",1,0)+IF(DD1311="D",1,0)+IF(DE1311="D",1,0)+IF(DJ1311="D",1,0)+IF(DK1311="D",1,0)+IF(DO1311="D",1,0)+IF(DP1311="D",1,0)+IF(DQ1311="D",1,0)+IF(DW1311="D",1,0)+IF(DZ1311="D",1,0)+IF(EH1311="D",1,0)</f>
        <v>0</v>
      </c>
      <c r="AY1311" s="0" t="n">
        <f aca="false">COUNTIF(DU1311:EH1311, "&lt;&gt;")</f>
        <v>0</v>
      </c>
      <c r="AZ1311" s="0" t="n">
        <f aca="false">IF(EH1311&lt;&gt;"",1,0)</f>
        <v>0</v>
      </c>
      <c r="BB1311" s="0" t="s">
        <v>152</v>
      </c>
    </row>
    <row r="1312" customFormat="false" ht="13.8" hidden="true" customHeight="false" outlineLevel="0" collapsed="false">
      <c r="A1312" s="0" t="s">
        <v>6128</v>
      </c>
      <c r="B1312" s="0" t="n">
        <v>78</v>
      </c>
      <c r="C1312" s="0" t="n">
        <v>452618</v>
      </c>
      <c r="D1312" s="0" t="s">
        <v>6129</v>
      </c>
      <c r="E1312" s="0" t="s">
        <v>6130</v>
      </c>
      <c r="F1312" s="0" t="str">
        <f aca="false">CONCATENATE(D1312," ",LEFT(H1312,4),"T=",AU1312,"D=",AV1312,"R=",AW1312,"M=",AX1312,"L=",AY1312,"B=",AZ1312)</f>
        <v>BRITO T=6D=1R=0M=0L=0B=0</v>
      </c>
      <c r="G1312" s="0" t="s">
        <v>670</v>
      </c>
      <c r="I1312" s="0" t="s">
        <v>6131</v>
      </c>
      <c r="J1312" s="0" t="s">
        <v>903</v>
      </c>
      <c r="K1312" s="0" t="s">
        <v>143</v>
      </c>
      <c r="M1312" s="0" t="s">
        <v>6124</v>
      </c>
      <c r="N1312" s="0" t="str">
        <f aca="false">RIGHT(M1312,LEN(M1312)-FIND(" ",M1312))</f>
        <v>LAIRD AVE SE</v>
      </c>
      <c r="P1312" s="0" t="s">
        <v>145</v>
      </c>
      <c r="Q1312" s="0" t="s">
        <v>146</v>
      </c>
      <c r="R1312" s="0" t="n">
        <v>44483</v>
      </c>
      <c r="V1312" s="0" t="s">
        <v>3387</v>
      </c>
      <c r="X1312" s="0" t="s">
        <v>145</v>
      </c>
      <c r="Y1312" s="0" t="s">
        <v>146</v>
      </c>
      <c r="Z1312" s="0" t="n">
        <v>44483</v>
      </c>
      <c r="AD1312" s="0" t="s">
        <v>147</v>
      </c>
      <c r="AE1312" s="0" t="s">
        <v>148</v>
      </c>
      <c r="AF1312" s="0" t="s">
        <v>149</v>
      </c>
      <c r="AH1312" s="0" t="n">
        <v>14</v>
      </c>
      <c r="AI1312" s="0" t="n">
        <v>11</v>
      </c>
      <c r="AN1312" s="0" t="s">
        <v>145</v>
      </c>
      <c r="AO1312" s="0" t="s">
        <v>150</v>
      </c>
      <c r="AP1312" s="0" t="s">
        <v>151</v>
      </c>
      <c r="AQ1312" s="0" t="n">
        <v>9</v>
      </c>
      <c r="AR1312" s="0" t="n">
        <v>64</v>
      </c>
      <c r="AS1312" s="0" t="n">
        <v>32</v>
      </c>
      <c r="AU1312" s="0" t="n">
        <f aca="false">COUNTA($BA$889:$EH$889)</f>
        <v>6</v>
      </c>
      <c r="AV1312" s="0" t="n">
        <f aca="false">COUNTIF($BA$889:$EH$889,"D")</f>
        <v>1</v>
      </c>
      <c r="AW1312" s="0" t="n">
        <f aca="false">COUNTIF($BA$889:$EH$889,"R")</f>
        <v>0</v>
      </c>
      <c r="AX1312" s="0" t="n">
        <f aca="false">IF(BN1312="D",1,0)+IF(BO1312="D",1,0)+IF(BT1312="D",1,0)+IF(BU1312="D",1,0)+IF(BW1312="D",1,0)+IF(CC1312="D",1,0)+IF(CD1312="D",1,0)+IF(CE1312="D",1,0)+IF(CF1312="D",1,0)+IF(CL1312="D",1,0)+IF(CM1312="D",1,0)+IF(CQ1312="D",1,0)+IF(CR1312="D",1,0)+IF(CS1312="D",1,0)+IF(CW1312="D",1,0)+IF(CX1312="D",1,0)+IF(DD1312="D",1,0)+IF(DE1312="D",1,0)+IF(DJ1312="D",1,0)+IF(DK1312="D",1,0)+IF(DO1312="D",1,0)+IF(DP1312="D",1,0)+IF(DQ1312="D",1,0)+IF(DW1312="D",1,0)+IF(DZ1312="D",1,0)+IF(EH1312="D",1,0)</f>
        <v>0</v>
      </c>
      <c r="AY1312" s="0" t="n">
        <f aca="false">COUNTIF(DU1312:EH1312, "&lt;&gt;")</f>
        <v>0</v>
      </c>
      <c r="AZ1312" s="0" t="n">
        <f aca="false">IF(EH1312&lt;&gt;"",1,0)</f>
        <v>0</v>
      </c>
      <c r="BB1312" s="0" t="s">
        <v>152</v>
      </c>
    </row>
    <row r="1313" customFormat="false" ht="13.8" hidden="false" customHeight="false" outlineLevel="0" collapsed="false">
      <c r="A1313" s="0" t="s">
        <v>6132</v>
      </c>
      <c r="B1313" s="0" t="n">
        <v>78</v>
      </c>
      <c r="C1313" s="0" t="n">
        <v>304707</v>
      </c>
      <c r="D1313" s="0" t="s">
        <v>770</v>
      </c>
      <c r="E1313" s="0" t="s">
        <v>2001</v>
      </c>
      <c r="F1313" s="0" t="str">
        <f aca="false">CONCATENATE(D1313," ",LEFT(H1313,4),"T=",AU1313,"D=",AV1313,"R=",AW1313,"M=",AX1313,"L=",AY1313,"B=",AZ1313)</f>
        <v>ALLEN T=1D=0R=0M=2L=2B=0</v>
      </c>
      <c r="G1313" s="0" t="s">
        <v>209</v>
      </c>
      <c r="I1313" s="0" t="s">
        <v>6133</v>
      </c>
      <c r="J1313" s="0" t="s">
        <v>4706</v>
      </c>
      <c r="K1313" s="0" t="s">
        <v>160</v>
      </c>
      <c r="M1313" s="0" t="s">
        <v>6134</v>
      </c>
      <c r="N1313" s="0" t="str">
        <f aca="false">RIGHT(M1313,LEN(M1313)-FIND(" ",M1313))</f>
        <v>LAIRD AVE SE</v>
      </c>
      <c r="P1313" s="0" t="s">
        <v>145</v>
      </c>
      <c r="Q1313" s="0" t="s">
        <v>146</v>
      </c>
      <c r="R1313" s="0" t="n">
        <v>44483</v>
      </c>
      <c r="AD1313" s="0" t="s">
        <v>147</v>
      </c>
      <c r="AE1313" s="0" t="s">
        <v>148</v>
      </c>
      <c r="AF1313" s="0" t="s">
        <v>149</v>
      </c>
      <c r="AH1313" s="0" t="n">
        <v>14</v>
      </c>
      <c r="AI1313" s="0" t="n">
        <v>11</v>
      </c>
      <c r="AN1313" s="0" t="s">
        <v>145</v>
      </c>
      <c r="AO1313" s="0" t="s">
        <v>150</v>
      </c>
      <c r="AP1313" s="0" t="s">
        <v>151</v>
      </c>
      <c r="AQ1313" s="0" t="n">
        <v>9</v>
      </c>
      <c r="AR1313" s="0" t="n">
        <v>64</v>
      </c>
      <c r="AS1313" s="0" t="n">
        <v>32</v>
      </c>
      <c r="AU1313" s="0" t="n">
        <f aca="false">COUNTA($BA$308:$EH$308)</f>
        <v>1</v>
      </c>
      <c r="AV1313" s="0" t="n">
        <f aca="false">COUNTIF($BA$308:$EH$308,"D")</f>
        <v>0</v>
      </c>
      <c r="AW1313" s="0" t="n">
        <f aca="false">COUNTIF($BA$308:$EH$308,"R")</f>
        <v>0</v>
      </c>
      <c r="AX1313" s="0" t="n">
        <f aca="false">IF(BN1313="D",1,0)+IF(BO1313="D",1,0)+IF(BT1313="D",1,0)+IF(BU1313="D",1,0)+IF(BW1313="D",1,0)+IF(CC1313="D",1,0)+IF(CD1313="D",1,0)+IF(CE1313="D",1,0)+IF(CF1313="D",1,0)+IF(CL1313="D",1,0)+IF(CM1313="D",1,0)+IF(CQ1313="D",1,0)+IF(CR1313="D",1,0)+IF(CS1313="D",1,0)+IF(CW1313="D",1,0)+IF(CX1313="D",1,0)+IF(DD1313="D",1,0)+IF(DE1313="D",1,0)+IF(DJ1313="D",1,0)+IF(DK1313="D",1,0)+IF(DO1313="D",1,0)+IF(DP1313="D",1,0)+IF(DQ1313="D",1,0)+IF(DW1313="D",1,0)+IF(DZ1313="D",1,0)+IF(EH1313="D",1,0)</f>
        <v>2</v>
      </c>
      <c r="AY1313" s="0" t="n">
        <f aca="false">COUNTIF(DU1313:EH1313, "&lt;&gt;")</f>
        <v>2</v>
      </c>
      <c r="AZ1313" s="0" t="n">
        <f aca="false">IF(EH1313&lt;&gt;"",1,0)</f>
        <v>0</v>
      </c>
      <c r="BB1313" s="0" t="s">
        <v>152</v>
      </c>
      <c r="BH1313" s="0" t="s">
        <v>153</v>
      </c>
      <c r="BL1313" s="0" t="s">
        <v>153</v>
      </c>
      <c r="BY1313" s="0" t="s">
        <v>175</v>
      </c>
      <c r="CA1313" s="0" t="s">
        <v>153</v>
      </c>
      <c r="CK1313" s="0" t="s">
        <v>153</v>
      </c>
      <c r="CL1313" s="0" t="s">
        <v>175</v>
      </c>
      <c r="CN1313" s="0" t="s">
        <v>153</v>
      </c>
      <c r="CP1313" s="0" t="s">
        <v>153</v>
      </c>
      <c r="CQ1313" s="0" t="s">
        <v>175</v>
      </c>
      <c r="CV1313" s="0" t="s">
        <v>153</v>
      </c>
      <c r="CZ1313" s="0" t="s">
        <v>175</v>
      </c>
      <c r="DC1313" s="0" t="s">
        <v>153</v>
      </c>
      <c r="DN1313" s="0" t="s">
        <v>153</v>
      </c>
      <c r="EA1313" s="0" t="s">
        <v>153</v>
      </c>
      <c r="EF1313" s="0" t="s">
        <v>153</v>
      </c>
    </row>
    <row r="1314" customFormat="false" ht="13.8" hidden="true" customHeight="false" outlineLevel="0" collapsed="false">
      <c r="A1314" s="0" t="s">
        <v>6135</v>
      </c>
      <c r="B1314" s="0" t="n">
        <v>78</v>
      </c>
      <c r="C1314" s="0" t="n">
        <v>454997</v>
      </c>
      <c r="D1314" s="0" t="s">
        <v>770</v>
      </c>
      <c r="E1314" s="0" t="s">
        <v>6136</v>
      </c>
      <c r="F1314" s="0" t="str">
        <f aca="false">CONCATENATE(D1314," ",LEFT(H1314,4),"T=",AU1314,"D=",AV1314,"R=",AW1314,"M=",AX1314,"L=",AY1314,"B=",AZ1314)</f>
        <v>ALLEN T=17D=4R=0M=0L=0B=0</v>
      </c>
      <c r="G1314" s="0" t="s">
        <v>1651</v>
      </c>
      <c r="I1314" s="0" t="s">
        <v>6137</v>
      </c>
      <c r="J1314" s="0" t="s">
        <v>159</v>
      </c>
      <c r="K1314" s="0" t="s">
        <v>143</v>
      </c>
      <c r="M1314" s="0" t="s">
        <v>6134</v>
      </c>
      <c r="N1314" s="0" t="str">
        <f aca="false">RIGHT(M1314,LEN(M1314)-FIND(" ",M1314))</f>
        <v>LAIRD AVE SE</v>
      </c>
      <c r="P1314" s="0" t="s">
        <v>145</v>
      </c>
      <c r="Q1314" s="0" t="s">
        <v>146</v>
      </c>
      <c r="R1314" s="0" t="n">
        <v>44483</v>
      </c>
      <c r="AD1314" s="0" t="s">
        <v>147</v>
      </c>
      <c r="AE1314" s="0" t="s">
        <v>148</v>
      </c>
      <c r="AF1314" s="0" t="s">
        <v>149</v>
      </c>
      <c r="AH1314" s="0" t="n">
        <v>14</v>
      </c>
      <c r="AI1314" s="0" t="n">
        <v>11</v>
      </c>
      <c r="AN1314" s="0" t="s">
        <v>145</v>
      </c>
      <c r="AO1314" s="0" t="s">
        <v>150</v>
      </c>
      <c r="AP1314" s="0" t="s">
        <v>151</v>
      </c>
      <c r="AQ1314" s="0" t="n">
        <v>9</v>
      </c>
      <c r="AR1314" s="0" t="n">
        <v>64</v>
      </c>
      <c r="AS1314" s="0" t="n">
        <v>32</v>
      </c>
      <c r="AU1314" s="0" t="n">
        <f aca="false">COUNTA($BA$400:$EH$400)</f>
        <v>17</v>
      </c>
      <c r="AV1314" s="0" t="n">
        <f aca="false">COUNTIF($BA$400:$EH$400,"D")</f>
        <v>4</v>
      </c>
      <c r="AW1314" s="0" t="n">
        <f aca="false">COUNTIF($BA$400:$EH$400,"R")</f>
        <v>0</v>
      </c>
      <c r="AX1314" s="0" t="n">
        <f aca="false">IF(BN1314="D",1,0)+IF(BO1314="D",1,0)+IF(BT1314="D",1,0)+IF(BU1314="D",1,0)+IF(BW1314="D",1,0)+IF(CC1314="D",1,0)+IF(CD1314="D",1,0)+IF(CE1314="D",1,0)+IF(CF1314="D",1,0)+IF(CL1314="D",1,0)+IF(CM1314="D",1,0)+IF(CQ1314="D",1,0)+IF(CR1314="D",1,0)+IF(CS1314="D",1,0)+IF(CW1314="D",1,0)+IF(CX1314="D",1,0)+IF(DD1314="D",1,0)+IF(DE1314="D",1,0)+IF(DJ1314="D",1,0)+IF(DK1314="D",1,0)+IF(DO1314="D",1,0)+IF(DP1314="D",1,0)+IF(DQ1314="D",1,0)+IF(DW1314="D",1,0)+IF(DZ1314="D",1,0)+IF(EH1314="D",1,0)</f>
        <v>0</v>
      </c>
      <c r="AY1314" s="0" t="n">
        <f aca="false">COUNTIF(DU1314:EH1314, "&lt;&gt;")</f>
        <v>0</v>
      </c>
      <c r="AZ1314" s="0" t="n">
        <f aca="false">IF(EH1314&lt;&gt;"",1,0)</f>
        <v>0</v>
      </c>
      <c r="BB1314" s="0" t="s">
        <v>152</v>
      </c>
      <c r="DN1314" s="0" t="s">
        <v>153</v>
      </c>
    </row>
    <row r="1315" customFormat="false" ht="13.8" hidden="true" customHeight="false" outlineLevel="0" collapsed="false">
      <c r="A1315" s="0" t="s">
        <v>6138</v>
      </c>
      <c r="B1315" s="0" t="n">
        <v>78</v>
      </c>
      <c r="C1315" s="0" t="n">
        <v>405378</v>
      </c>
      <c r="D1315" s="0" t="s">
        <v>770</v>
      </c>
      <c r="E1315" s="0" t="s">
        <v>6139</v>
      </c>
      <c r="F1315" s="0" t="str">
        <f aca="false">CONCATENATE(D1315," ",LEFT(H1315,4),"T=",AU1315,"D=",AV1315,"R=",AW1315,"M=",AX1315,"L=",AY1315,"B=",AZ1315)</f>
        <v>ALLEN T=12D=1R=0M=0L=0B=0</v>
      </c>
      <c r="G1315" s="0" t="s">
        <v>175</v>
      </c>
      <c r="I1315" s="0" t="s">
        <v>6140</v>
      </c>
      <c r="J1315" s="0" t="s">
        <v>3452</v>
      </c>
      <c r="K1315" s="0" t="s">
        <v>143</v>
      </c>
      <c r="M1315" s="0" t="s">
        <v>6134</v>
      </c>
      <c r="N1315" s="0" t="str">
        <f aca="false">RIGHT(M1315,LEN(M1315)-FIND(" ",M1315))</f>
        <v>LAIRD AVE SE</v>
      </c>
      <c r="P1315" s="0" t="s">
        <v>145</v>
      </c>
      <c r="Q1315" s="0" t="s">
        <v>146</v>
      </c>
      <c r="R1315" s="0" t="n">
        <v>44483</v>
      </c>
      <c r="AD1315" s="0" t="s">
        <v>147</v>
      </c>
      <c r="AE1315" s="0" t="s">
        <v>148</v>
      </c>
      <c r="AF1315" s="0" t="s">
        <v>149</v>
      </c>
      <c r="AH1315" s="0" t="n">
        <v>14</v>
      </c>
      <c r="AI1315" s="0" t="n">
        <v>11</v>
      </c>
      <c r="AN1315" s="0" t="s">
        <v>145</v>
      </c>
      <c r="AO1315" s="0" t="s">
        <v>150</v>
      </c>
      <c r="AP1315" s="0" t="s">
        <v>151</v>
      </c>
      <c r="AQ1315" s="0" t="n">
        <v>9</v>
      </c>
      <c r="AR1315" s="0" t="n">
        <v>64</v>
      </c>
      <c r="AS1315" s="0" t="n">
        <v>32</v>
      </c>
      <c r="AU1315" s="0" t="n">
        <f aca="false">COUNTA($BA$896:$EH$896)</f>
        <v>12</v>
      </c>
      <c r="AV1315" s="0" t="n">
        <f aca="false">COUNTIF($BA$896:$EH$896,"D")</f>
        <v>1</v>
      </c>
      <c r="AW1315" s="0" t="n">
        <f aca="false">COUNTIF($BA$896:$EH$896,"R")</f>
        <v>0</v>
      </c>
      <c r="AX1315" s="0" t="n">
        <f aca="false">IF(BN1315="D",1,0)+IF(BO1315="D",1,0)+IF(BT1315="D",1,0)+IF(BU1315="D",1,0)+IF(BW1315="D",1,0)+IF(CC1315="D",1,0)+IF(CD1315="D",1,0)+IF(CE1315="D",1,0)+IF(CF1315="D",1,0)+IF(CL1315="D",1,0)+IF(CM1315="D",1,0)+IF(CQ1315="D",1,0)+IF(CR1315="D",1,0)+IF(CS1315="D",1,0)+IF(CW1315="D",1,0)+IF(CX1315="D",1,0)+IF(DD1315="D",1,0)+IF(DE1315="D",1,0)+IF(DJ1315="D",1,0)+IF(DK1315="D",1,0)+IF(DO1315="D",1,0)+IF(DP1315="D",1,0)+IF(DQ1315="D",1,0)+IF(DW1315="D",1,0)+IF(DZ1315="D",1,0)+IF(EH1315="D",1,0)</f>
        <v>0</v>
      </c>
      <c r="AY1315" s="0" t="n">
        <f aca="false">COUNTIF(DU1315:EH1315, "&lt;&gt;")</f>
        <v>0</v>
      </c>
      <c r="AZ1315" s="0" t="n">
        <f aca="false">IF(EH1315&lt;&gt;"",1,0)</f>
        <v>0</v>
      </c>
      <c r="BB1315" s="0" t="s">
        <v>152</v>
      </c>
      <c r="CY1315" s="0" t="s">
        <v>153</v>
      </c>
      <c r="DI1315" s="0" t="s">
        <v>153</v>
      </c>
    </row>
    <row r="1316" customFormat="false" ht="13.8" hidden="true" customHeight="false" outlineLevel="0" collapsed="false">
      <c r="A1316" s="0" t="s">
        <v>6141</v>
      </c>
      <c r="B1316" s="0" t="n">
        <v>78</v>
      </c>
      <c r="C1316" s="0" t="n">
        <v>474158</v>
      </c>
      <c r="D1316" s="0" t="s">
        <v>1001</v>
      </c>
      <c r="E1316" s="0" t="s">
        <v>6142</v>
      </c>
      <c r="F1316" s="0" t="str">
        <f aca="false">CONCATENATE(D1316," ",LEFT(H1316,4),"T=",AU1316,"D=",AV1316,"R=",AW1316,"M=",AX1316,"L=",AY1316,"B=",AZ1316)</f>
        <v>DAVIS T=4D=0R=0M=0L=0B=0</v>
      </c>
      <c r="G1316" s="0" t="s">
        <v>2141</v>
      </c>
      <c r="I1316" s="0" t="s">
        <v>6143</v>
      </c>
      <c r="J1316" s="0" t="s">
        <v>386</v>
      </c>
      <c r="K1316" s="0" t="s">
        <v>160</v>
      </c>
      <c r="M1316" s="0" t="s">
        <v>6144</v>
      </c>
      <c r="N1316" s="0" t="str">
        <f aca="false">RIGHT(M1316,LEN(M1316)-FIND(" ",M1316))</f>
        <v>LAIRD AVE SE</v>
      </c>
      <c r="P1316" s="0" t="s">
        <v>145</v>
      </c>
      <c r="Q1316" s="0" t="s">
        <v>146</v>
      </c>
      <c r="R1316" s="0" t="n">
        <v>44483</v>
      </c>
      <c r="AD1316" s="0" t="s">
        <v>147</v>
      </c>
      <c r="AE1316" s="0" t="s">
        <v>148</v>
      </c>
      <c r="AF1316" s="0" t="s">
        <v>149</v>
      </c>
      <c r="AH1316" s="0" t="n">
        <v>14</v>
      </c>
      <c r="AI1316" s="0" t="n">
        <v>11</v>
      </c>
      <c r="AN1316" s="0" t="s">
        <v>145</v>
      </c>
      <c r="AO1316" s="0" t="s">
        <v>150</v>
      </c>
      <c r="AP1316" s="0" t="s">
        <v>151</v>
      </c>
      <c r="AQ1316" s="0" t="n">
        <v>9</v>
      </c>
      <c r="AR1316" s="0" t="n">
        <v>64</v>
      </c>
      <c r="AS1316" s="0" t="n">
        <v>32</v>
      </c>
      <c r="AU1316" s="0" t="n">
        <f aca="false">COUNTA($BA$133:$EH$133)</f>
        <v>4</v>
      </c>
      <c r="AV1316" s="0" t="n">
        <f aca="false">COUNTIF($BA$133:$EH$133,"D")</f>
        <v>0</v>
      </c>
      <c r="AW1316" s="0" t="n">
        <f aca="false">COUNTIF($BA$133:$EH$133,"R")</f>
        <v>0</v>
      </c>
      <c r="AX1316" s="0" t="n">
        <f aca="false">IF(BN1316="D",1,0)+IF(BO1316="D",1,0)+IF(BT1316="D",1,0)+IF(BU1316="D",1,0)+IF(BW1316="D",1,0)+IF(CC1316="D",1,0)+IF(CD1316="D",1,0)+IF(CE1316="D",1,0)+IF(CF1316="D",1,0)+IF(CL1316="D",1,0)+IF(CM1316="D",1,0)+IF(CQ1316="D",1,0)+IF(CR1316="D",1,0)+IF(CS1316="D",1,0)+IF(CW1316="D",1,0)+IF(CX1316="D",1,0)+IF(DD1316="D",1,0)+IF(DE1316="D",1,0)+IF(DJ1316="D",1,0)+IF(DK1316="D",1,0)+IF(DO1316="D",1,0)+IF(DP1316="D",1,0)+IF(DQ1316="D",1,0)+IF(DW1316="D",1,0)+IF(DZ1316="D",1,0)+IF(EH1316="D",1,0)</f>
        <v>0</v>
      </c>
      <c r="AY1316" s="0" t="n">
        <f aca="false">COUNTIF(DU1316:EH1316, "&lt;&gt;")</f>
        <v>0</v>
      </c>
      <c r="AZ1316" s="0" t="n">
        <f aca="false">IF(EH1316&lt;&gt;"",1,0)</f>
        <v>0</v>
      </c>
      <c r="BB1316" s="0" t="s">
        <v>152</v>
      </c>
    </row>
    <row r="1317" customFormat="false" ht="13.8" hidden="true" customHeight="false" outlineLevel="0" collapsed="false">
      <c r="A1317" s="0" t="s">
        <v>6145</v>
      </c>
      <c r="B1317" s="0" t="n">
        <v>78</v>
      </c>
      <c r="C1317" s="0" t="n">
        <v>494996</v>
      </c>
      <c r="D1317" s="0" t="s">
        <v>3935</v>
      </c>
      <c r="E1317" s="0" t="s">
        <v>379</v>
      </c>
      <c r="F1317" s="0" t="str">
        <f aca="false">CONCATENATE(D1317," ",LEFT(H1317,4),"T=",AU1317,"D=",AV1317,"R=",AW1317,"M=",AX1317,"L=",AY1317,"B=",AZ1317)</f>
        <v>PETERSON T=1D=0R=0M=0L=0B=0</v>
      </c>
      <c r="G1317" s="0" t="s">
        <v>770</v>
      </c>
      <c r="I1317" s="0" t="s">
        <v>6146</v>
      </c>
      <c r="J1317" s="0" t="s">
        <v>6147</v>
      </c>
      <c r="K1317" s="0" t="s">
        <v>160</v>
      </c>
      <c r="M1317" s="0" t="s">
        <v>6144</v>
      </c>
      <c r="N1317" s="0" t="str">
        <f aca="false">RIGHT(M1317,LEN(M1317)-FIND(" ",M1317))</f>
        <v>LAIRD AVE SE</v>
      </c>
      <c r="P1317" s="0" t="s">
        <v>145</v>
      </c>
      <c r="Q1317" s="0" t="s">
        <v>146</v>
      </c>
      <c r="R1317" s="0" t="n">
        <v>44483</v>
      </c>
      <c r="AD1317" s="0" t="s">
        <v>147</v>
      </c>
      <c r="AE1317" s="0" t="s">
        <v>148</v>
      </c>
      <c r="AF1317" s="0" t="s">
        <v>149</v>
      </c>
      <c r="AH1317" s="0" t="n">
        <v>14</v>
      </c>
      <c r="AI1317" s="0" t="n">
        <v>11</v>
      </c>
      <c r="AN1317" s="0" t="s">
        <v>145</v>
      </c>
      <c r="AO1317" s="0" t="s">
        <v>150</v>
      </c>
      <c r="AP1317" s="0" t="s">
        <v>151</v>
      </c>
      <c r="AQ1317" s="0" t="n">
        <v>9</v>
      </c>
      <c r="AR1317" s="0" t="n">
        <v>64</v>
      </c>
      <c r="AS1317" s="0" t="n">
        <v>32</v>
      </c>
      <c r="AU1317" s="0" t="n">
        <f aca="false">COUNTA($BA$211:$EH$211)</f>
        <v>1</v>
      </c>
      <c r="AV1317" s="0" t="n">
        <f aca="false">COUNTIF($BA$211:$EH$211,"D")</f>
        <v>0</v>
      </c>
      <c r="AW1317" s="0" t="n">
        <f aca="false">COUNTIF($BA$211:$EH$211,"R")</f>
        <v>0</v>
      </c>
      <c r="AX1317" s="0" t="n">
        <f aca="false">IF(BN1317="D",1,0)+IF(BO1317="D",1,0)+IF(BT1317="D",1,0)+IF(BU1317="D",1,0)+IF(BW1317="D",1,0)+IF(CC1317="D",1,0)+IF(CD1317="D",1,0)+IF(CE1317="D",1,0)+IF(CF1317="D",1,0)+IF(CL1317="D",1,0)+IF(CM1317="D",1,0)+IF(CQ1317="D",1,0)+IF(CR1317="D",1,0)+IF(CS1317="D",1,0)+IF(CW1317="D",1,0)+IF(CX1317="D",1,0)+IF(DD1317="D",1,0)+IF(DE1317="D",1,0)+IF(DJ1317="D",1,0)+IF(DK1317="D",1,0)+IF(DO1317="D",1,0)+IF(DP1317="D",1,0)+IF(DQ1317="D",1,0)+IF(DW1317="D",1,0)+IF(DZ1317="D",1,0)+IF(EH1317="D",1,0)</f>
        <v>0</v>
      </c>
      <c r="AY1317" s="0" t="n">
        <f aca="false">COUNTIF(DU1317:EH1317, "&lt;&gt;")</f>
        <v>0</v>
      </c>
      <c r="AZ1317" s="0" t="n">
        <f aca="false">IF(EH1317&lt;&gt;"",1,0)</f>
        <v>0</v>
      </c>
      <c r="BB1317" s="0" t="s">
        <v>152</v>
      </c>
    </row>
    <row r="1318" customFormat="false" ht="13.8" hidden="true" customHeight="false" outlineLevel="0" collapsed="false">
      <c r="A1318" s="0" t="s">
        <v>6148</v>
      </c>
      <c r="B1318" s="0" t="n">
        <v>78</v>
      </c>
      <c r="C1318" s="0" t="n">
        <v>495641</v>
      </c>
      <c r="D1318" s="0" t="s">
        <v>3935</v>
      </c>
      <c r="E1318" s="0" t="s">
        <v>367</v>
      </c>
      <c r="F1318" s="0" t="str">
        <f aca="false">CONCATENATE(D1318," ",LEFT(H1318,4),"T=",AU1318,"D=",AV1318,"R=",AW1318,"M=",AX1318,"L=",AY1318,"B=",AZ1318)</f>
        <v>PETERSON T=1D=0R=0M=0L=0B=0</v>
      </c>
      <c r="G1318" s="0" t="s">
        <v>4448</v>
      </c>
      <c r="I1318" s="0" t="s">
        <v>6149</v>
      </c>
      <c r="J1318" s="0" t="s">
        <v>6150</v>
      </c>
      <c r="K1318" s="0" t="s">
        <v>160</v>
      </c>
      <c r="M1318" s="0" t="s">
        <v>6144</v>
      </c>
      <c r="N1318" s="0" t="str">
        <f aca="false">RIGHT(M1318,LEN(M1318)-FIND(" ",M1318))</f>
        <v>LAIRD AVE SE</v>
      </c>
      <c r="P1318" s="0" t="s">
        <v>145</v>
      </c>
      <c r="Q1318" s="0" t="s">
        <v>146</v>
      </c>
      <c r="R1318" s="0" t="n">
        <v>44483</v>
      </c>
      <c r="AD1318" s="0" t="s">
        <v>147</v>
      </c>
      <c r="AE1318" s="0" t="s">
        <v>148</v>
      </c>
      <c r="AF1318" s="0" t="s">
        <v>149</v>
      </c>
      <c r="AH1318" s="0" t="n">
        <v>14</v>
      </c>
      <c r="AI1318" s="0" t="n">
        <v>11</v>
      </c>
      <c r="AN1318" s="0" t="s">
        <v>145</v>
      </c>
      <c r="AO1318" s="0" t="s">
        <v>150</v>
      </c>
      <c r="AP1318" s="0" t="s">
        <v>151</v>
      </c>
      <c r="AQ1318" s="0" t="n">
        <v>9</v>
      </c>
      <c r="AR1318" s="0" t="n">
        <v>64</v>
      </c>
      <c r="AS1318" s="0" t="n">
        <v>32</v>
      </c>
      <c r="AU1318" s="0" t="n">
        <f aca="false">COUNTA($BA$506:$EH$506)</f>
        <v>1</v>
      </c>
      <c r="AV1318" s="0" t="n">
        <f aca="false">COUNTIF($BA$506:$EH$506,"D")</f>
        <v>0</v>
      </c>
      <c r="AW1318" s="0" t="n">
        <f aca="false">COUNTIF($BA$506:$EH$506,"R")</f>
        <v>0</v>
      </c>
      <c r="AX1318" s="0" t="n">
        <f aca="false">IF(BN1318="D",1,0)+IF(BO1318="D",1,0)+IF(BT1318="D",1,0)+IF(BU1318="D",1,0)+IF(BW1318="D",1,0)+IF(CC1318="D",1,0)+IF(CD1318="D",1,0)+IF(CE1318="D",1,0)+IF(CF1318="D",1,0)+IF(CL1318="D",1,0)+IF(CM1318="D",1,0)+IF(CQ1318="D",1,0)+IF(CR1318="D",1,0)+IF(CS1318="D",1,0)+IF(CW1318="D",1,0)+IF(CX1318="D",1,0)+IF(DD1318="D",1,0)+IF(DE1318="D",1,0)+IF(DJ1318="D",1,0)+IF(DK1318="D",1,0)+IF(DO1318="D",1,0)+IF(DP1318="D",1,0)+IF(DQ1318="D",1,0)+IF(DW1318="D",1,0)+IF(DZ1318="D",1,0)+IF(EH1318="D",1,0)</f>
        <v>0</v>
      </c>
      <c r="AY1318" s="0" t="n">
        <f aca="false">COUNTIF(DU1318:EH1318, "&lt;&gt;")</f>
        <v>0</v>
      </c>
      <c r="AZ1318" s="0" t="n">
        <f aca="false">IF(EH1318&lt;&gt;"",1,0)</f>
        <v>0</v>
      </c>
      <c r="BB1318" s="0" t="s">
        <v>152</v>
      </c>
    </row>
    <row r="1319" customFormat="false" ht="13.8" hidden="true" customHeight="false" outlineLevel="0" collapsed="false">
      <c r="A1319" s="0" t="s">
        <v>6151</v>
      </c>
      <c r="B1319" s="0" t="n">
        <v>78</v>
      </c>
      <c r="C1319" s="0" t="n">
        <v>440058</v>
      </c>
      <c r="D1319" s="0" t="s">
        <v>330</v>
      </c>
      <c r="E1319" s="0" t="s">
        <v>248</v>
      </c>
      <c r="F1319" s="0" t="str">
        <f aca="false">CONCATENATE(D1319," ",LEFT(H1319,4),"T=",AU1319,"D=",AV1319,"R=",AW1319,"M=",AX1319,"L=",AY1319,"B=",AZ1319)</f>
        <v>GILMORE T=1D=0R=0M=0L=0B=0</v>
      </c>
      <c r="G1319" s="0" t="s">
        <v>6152</v>
      </c>
      <c r="I1319" s="0" t="s">
        <v>6153</v>
      </c>
      <c r="J1319" s="0" t="s">
        <v>386</v>
      </c>
      <c r="K1319" s="0" t="s">
        <v>160</v>
      </c>
      <c r="M1319" s="0" t="s">
        <v>6144</v>
      </c>
      <c r="N1319" s="0" t="str">
        <f aca="false">RIGHT(M1319,LEN(M1319)-FIND(" ",M1319))</f>
        <v>LAIRD AVE SE</v>
      </c>
      <c r="P1319" s="0" t="s">
        <v>145</v>
      </c>
      <c r="Q1319" s="0" t="s">
        <v>146</v>
      </c>
      <c r="R1319" s="0" t="n">
        <v>44483</v>
      </c>
      <c r="AD1319" s="0" t="s">
        <v>147</v>
      </c>
      <c r="AE1319" s="0" t="s">
        <v>148</v>
      </c>
      <c r="AF1319" s="0" t="s">
        <v>149</v>
      </c>
      <c r="AH1319" s="0" t="n">
        <v>14</v>
      </c>
      <c r="AI1319" s="0" t="n">
        <v>11</v>
      </c>
      <c r="AN1319" s="0" t="s">
        <v>145</v>
      </c>
      <c r="AO1319" s="0" t="s">
        <v>150</v>
      </c>
      <c r="AP1319" s="0" t="s">
        <v>151</v>
      </c>
      <c r="AQ1319" s="0" t="n">
        <v>9</v>
      </c>
      <c r="AR1319" s="0" t="n">
        <v>64</v>
      </c>
      <c r="AS1319" s="0" t="n">
        <v>32</v>
      </c>
      <c r="AU1319" s="0" t="n">
        <f aca="false">COUNTA($BA$891:$EH$891)</f>
        <v>1</v>
      </c>
      <c r="AV1319" s="0" t="n">
        <f aca="false">COUNTIF($BA$891:$EH$891,"D")</f>
        <v>0</v>
      </c>
      <c r="AW1319" s="0" t="n">
        <f aca="false">COUNTIF($BA$891:$EH$891,"R")</f>
        <v>0</v>
      </c>
      <c r="AX1319" s="0" t="n">
        <f aca="false">IF(BN1319="D",1,0)+IF(BO1319="D",1,0)+IF(BT1319="D",1,0)+IF(BU1319="D",1,0)+IF(BW1319="D",1,0)+IF(CC1319="D",1,0)+IF(CD1319="D",1,0)+IF(CE1319="D",1,0)+IF(CF1319="D",1,0)+IF(CL1319="D",1,0)+IF(CM1319="D",1,0)+IF(CQ1319="D",1,0)+IF(CR1319="D",1,0)+IF(CS1319="D",1,0)+IF(CW1319="D",1,0)+IF(CX1319="D",1,0)+IF(DD1319="D",1,0)+IF(DE1319="D",1,0)+IF(DJ1319="D",1,0)+IF(DK1319="D",1,0)+IF(DO1319="D",1,0)+IF(DP1319="D",1,0)+IF(DQ1319="D",1,0)+IF(DW1319="D",1,0)+IF(DZ1319="D",1,0)+IF(EH1319="D",1,0)</f>
        <v>0</v>
      </c>
      <c r="AY1319" s="0" t="n">
        <f aca="false">COUNTIF(DU1319:EH1319, "&lt;&gt;")</f>
        <v>0</v>
      </c>
      <c r="AZ1319" s="0" t="n">
        <f aca="false">IF(EH1319&lt;&gt;"",1,0)</f>
        <v>0</v>
      </c>
      <c r="BB1319" s="0" t="s">
        <v>152</v>
      </c>
    </row>
    <row r="1320" customFormat="false" ht="13.8" hidden="true" customHeight="false" outlineLevel="0" collapsed="false">
      <c r="A1320" s="0" t="s">
        <v>6154</v>
      </c>
      <c r="B1320" s="0" t="n">
        <v>78</v>
      </c>
      <c r="C1320" s="0" t="n">
        <v>475893</v>
      </c>
      <c r="D1320" s="0" t="s">
        <v>6155</v>
      </c>
      <c r="E1320" s="0" t="s">
        <v>1282</v>
      </c>
      <c r="F1320" s="0" t="str">
        <f aca="false">CONCATENATE(D1320," ",LEFT(H1320,4),"T=",AU1320,"D=",AV1320,"R=",AW1320,"M=",AX1320,"L=",AY1320,"B=",AZ1320)</f>
        <v>EPSTEIN T=9D=1R=0M=0L=0B=0</v>
      </c>
      <c r="G1320" s="0" t="s">
        <v>6156</v>
      </c>
      <c r="I1320" s="0" t="s">
        <v>6157</v>
      </c>
      <c r="J1320" s="0" t="s">
        <v>6158</v>
      </c>
      <c r="K1320" s="0" t="s">
        <v>160</v>
      </c>
      <c r="M1320" s="0" t="s">
        <v>6144</v>
      </c>
      <c r="N1320" s="0" t="str">
        <f aca="false">RIGHT(M1320,LEN(M1320)-FIND(" ",M1320))</f>
        <v>LAIRD AVE SE</v>
      </c>
      <c r="P1320" s="0" t="s">
        <v>145</v>
      </c>
      <c r="Q1320" s="0" t="s">
        <v>146</v>
      </c>
      <c r="R1320" s="0" t="n">
        <v>44483</v>
      </c>
      <c r="AD1320" s="0" t="s">
        <v>147</v>
      </c>
      <c r="AE1320" s="0" t="s">
        <v>148</v>
      </c>
      <c r="AF1320" s="0" t="s">
        <v>149</v>
      </c>
      <c r="AH1320" s="0" t="n">
        <v>14</v>
      </c>
      <c r="AI1320" s="0" t="n">
        <v>11</v>
      </c>
      <c r="AN1320" s="0" t="s">
        <v>145</v>
      </c>
      <c r="AO1320" s="0" t="s">
        <v>150</v>
      </c>
      <c r="AP1320" s="0" t="s">
        <v>151</v>
      </c>
      <c r="AQ1320" s="0" t="n">
        <v>9</v>
      </c>
      <c r="AR1320" s="0" t="n">
        <v>64</v>
      </c>
      <c r="AS1320" s="0" t="n">
        <v>32</v>
      </c>
      <c r="AU1320" s="0" t="n">
        <f aca="false">COUNTA($BA$1031:$EH$1031)</f>
        <v>9</v>
      </c>
      <c r="AV1320" s="0" t="n">
        <f aca="false">COUNTIF($BA$1031:$EH$1031,"D")</f>
        <v>1</v>
      </c>
      <c r="AW1320" s="0" t="n">
        <f aca="false">COUNTIF($BA$1031:$EH$1031,"R")</f>
        <v>0</v>
      </c>
      <c r="AX1320" s="0" t="n">
        <f aca="false">IF(BN1320="D",1,0)+IF(BO1320="D",1,0)+IF(BT1320="D",1,0)+IF(BU1320="D",1,0)+IF(BW1320="D",1,0)+IF(CC1320="D",1,0)+IF(CD1320="D",1,0)+IF(CE1320="D",1,0)+IF(CF1320="D",1,0)+IF(CL1320="D",1,0)+IF(CM1320="D",1,0)+IF(CQ1320="D",1,0)+IF(CR1320="D",1,0)+IF(CS1320="D",1,0)+IF(CW1320="D",1,0)+IF(CX1320="D",1,0)+IF(DD1320="D",1,0)+IF(DE1320="D",1,0)+IF(DJ1320="D",1,0)+IF(DK1320="D",1,0)+IF(DO1320="D",1,0)+IF(DP1320="D",1,0)+IF(DQ1320="D",1,0)+IF(DW1320="D",1,0)+IF(DZ1320="D",1,0)+IF(EH1320="D",1,0)</f>
        <v>0</v>
      </c>
      <c r="AY1320" s="0" t="n">
        <f aca="false">COUNTIF(DU1320:EH1320, "&lt;&gt;")</f>
        <v>0</v>
      </c>
      <c r="AZ1320" s="0" t="n">
        <f aca="false">IF(EH1320&lt;&gt;"",1,0)</f>
        <v>0</v>
      </c>
      <c r="BB1320" s="0" t="s">
        <v>152</v>
      </c>
    </row>
    <row r="1321" customFormat="false" ht="13.8" hidden="true" customHeight="false" outlineLevel="0" collapsed="false">
      <c r="A1321" s="0" t="s">
        <v>6159</v>
      </c>
      <c r="B1321" s="0" t="n">
        <v>78</v>
      </c>
      <c r="C1321" s="0" t="n">
        <v>489745</v>
      </c>
      <c r="D1321" s="0" t="s">
        <v>6160</v>
      </c>
      <c r="E1321" s="0" t="s">
        <v>6161</v>
      </c>
      <c r="F1321" s="0" t="str">
        <f aca="false">CONCATENATE(D1321," ",LEFT(H1321,4),"T=",AU1321,"D=",AV1321,"R=",AW1321,"M=",AX1321,"L=",AY1321,"B=",AZ1321)</f>
        <v>HAMRICK T=1D=0R=0M=0L=1B=0</v>
      </c>
      <c r="G1321" s="0" t="s">
        <v>6162</v>
      </c>
      <c r="I1321" s="0" t="s">
        <v>6163</v>
      </c>
      <c r="J1321" s="0" t="s">
        <v>5387</v>
      </c>
      <c r="K1321" s="0" t="s">
        <v>160</v>
      </c>
      <c r="M1321" s="0" t="s">
        <v>6164</v>
      </c>
      <c r="N1321" s="0" t="str">
        <f aca="false">RIGHT(M1321,LEN(M1321)-FIND(" ",M1321))</f>
        <v>LAIRD AVE SE</v>
      </c>
      <c r="P1321" s="0" t="s">
        <v>145</v>
      </c>
      <c r="Q1321" s="0" t="s">
        <v>146</v>
      </c>
      <c r="R1321" s="0" t="n">
        <v>44483</v>
      </c>
      <c r="AD1321" s="0" t="s">
        <v>147</v>
      </c>
      <c r="AE1321" s="0" t="s">
        <v>148</v>
      </c>
      <c r="AF1321" s="0" t="s">
        <v>149</v>
      </c>
      <c r="AH1321" s="0" t="n">
        <v>14</v>
      </c>
      <c r="AI1321" s="0" t="n">
        <v>11</v>
      </c>
      <c r="AN1321" s="0" t="s">
        <v>145</v>
      </c>
      <c r="AO1321" s="0" t="s">
        <v>150</v>
      </c>
      <c r="AP1321" s="0" t="s">
        <v>151</v>
      </c>
      <c r="AQ1321" s="0" t="n">
        <v>9</v>
      </c>
      <c r="AR1321" s="0" t="n">
        <v>64</v>
      </c>
      <c r="AS1321" s="0" t="n">
        <v>32</v>
      </c>
      <c r="AU1321" s="0" t="n">
        <f aca="false">COUNTA($BA$382:$EH$382)</f>
        <v>1</v>
      </c>
      <c r="AV1321" s="0" t="n">
        <f aca="false">COUNTIF($BA$382:$EH$382,"D")</f>
        <v>0</v>
      </c>
      <c r="AW1321" s="0" t="n">
        <f aca="false">COUNTIF($BA$382:$EH$382,"R")</f>
        <v>0</v>
      </c>
      <c r="AX1321" s="0" t="n">
        <f aca="false">IF(BN1321="D",1,0)+IF(BO1321="D",1,0)+IF(BT1321="D",1,0)+IF(BU1321="D",1,0)+IF(BW1321="D",1,0)+IF(CC1321="D",1,0)+IF(CD1321="D",1,0)+IF(CE1321="D",1,0)+IF(CF1321="D",1,0)+IF(CL1321="D",1,0)+IF(CM1321="D",1,0)+IF(CQ1321="D",1,0)+IF(CR1321="D",1,0)+IF(CS1321="D",1,0)+IF(CW1321="D",1,0)+IF(CX1321="D",1,0)+IF(DD1321="D",1,0)+IF(DE1321="D",1,0)+IF(DJ1321="D",1,0)+IF(DK1321="D",1,0)+IF(DO1321="D",1,0)+IF(DP1321="D",1,0)+IF(DQ1321="D",1,0)+IF(DW1321="D",1,0)+IF(DZ1321="D",1,0)+IF(EH1321="D",1,0)</f>
        <v>0</v>
      </c>
      <c r="AY1321" s="0" t="n">
        <f aca="false">COUNTIF(DU1321:EH1321, "&lt;&gt;")</f>
        <v>1</v>
      </c>
      <c r="AZ1321" s="0" t="n">
        <f aca="false">IF(EH1321&lt;&gt;"",1,0)</f>
        <v>0</v>
      </c>
      <c r="BB1321" s="0" t="s">
        <v>152</v>
      </c>
      <c r="EF1321" s="0" t="s">
        <v>153</v>
      </c>
    </row>
    <row r="1322" customFormat="false" ht="13.8" hidden="false" customHeight="false" outlineLevel="0" collapsed="false">
      <c r="A1322" s="0" t="s">
        <v>6165</v>
      </c>
      <c r="B1322" s="0" t="n">
        <v>78</v>
      </c>
      <c r="C1322" s="0" t="n">
        <v>411005</v>
      </c>
      <c r="D1322" s="0" t="s">
        <v>6160</v>
      </c>
      <c r="E1322" s="0" t="s">
        <v>379</v>
      </c>
      <c r="F1322" s="0" t="str">
        <f aca="false">CONCATENATE(D1322," ",LEFT(H1322,4),"T=",AU1322,"D=",AV1322,"R=",AW1322,"M=",AX1322,"L=",AY1322,"B=",AZ1322)</f>
        <v>HAMRICK T=26D=3R=0M=0L=4B=0</v>
      </c>
      <c r="G1322" s="0" t="s">
        <v>190</v>
      </c>
      <c r="I1322" s="0" t="s">
        <v>6166</v>
      </c>
      <c r="J1322" s="0" t="s">
        <v>6167</v>
      </c>
      <c r="K1322" s="0" t="s">
        <v>160</v>
      </c>
      <c r="L1322" s="0" t="s">
        <v>209</v>
      </c>
      <c r="M1322" s="0" t="s">
        <v>6164</v>
      </c>
      <c r="N1322" s="0" t="str">
        <f aca="false">RIGHT(M1322,LEN(M1322)-FIND(" ",M1322))</f>
        <v>LAIRD AVE SE</v>
      </c>
      <c r="P1322" s="0" t="s">
        <v>145</v>
      </c>
      <c r="Q1322" s="0" t="s">
        <v>146</v>
      </c>
      <c r="R1322" s="0" t="n">
        <v>44483</v>
      </c>
      <c r="AD1322" s="0" t="s">
        <v>147</v>
      </c>
      <c r="AE1322" s="0" t="s">
        <v>148</v>
      </c>
      <c r="AF1322" s="0" t="s">
        <v>149</v>
      </c>
      <c r="AH1322" s="0" t="n">
        <v>14</v>
      </c>
      <c r="AI1322" s="0" t="n">
        <v>11</v>
      </c>
      <c r="AN1322" s="0" t="s">
        <v>145</v>
      </c>
      <c r="AO1322" s="0" t="s">
        <v>150</v>
      </c>
      <c r="AP1322" s="0" t="s">
        <v>151</v>
      </c>
      <c r="AQ1322" s="0" t="n">
        <v>9</v>
      </c>
      <c r="AR1322" s="0" t="n">
        <v>64</v>
      </c>
      <c r="AS1322" s="0" t="n">
        <v>32</v>
      </c>
      <c r="AU1322" s="0" t="n">
        <f aca="false">COUNTA($BA$505:$EH$505)</f>
        <v>26</v>
      </c>
      <c r="AV1322" s="0" t="n">
        <f aca="false">COUNTIF($BA$505:$EH$505,"D")</f>
        <v>3</v>
      </c>
      <c r="AW1322" s="0" t="n">
        <f aca="false">COUNTIF($BA$505:$EH$505,"R")</f>
        <v>0</v>
      </c>
      <c r="AX1322" s="0" t="n">
        <f aca="false">IF(BN1322="D",1,0)+IF(BO1322="D",1,0)+IF(BT1322="D",1,0)+IF(BU1322="D",1,0)+IF(BW1322="D",1,0)+IF(CC1322="D",1,0)+IF(CD1322="D",1,0)+IF(CE1322="D",1,0)+IF(CF1322="D",1,0)+IF(CL1322="D",1,0)+IF(CM1322="D",1,0)+IF(CQ1322="D",1,0)+IF(CR1322="D",1,0)+IF(CS1322="D",1,0)+IF(CW1322="D",1,0)+IF(CX1322="D",1,0)+IF(DD1322="D",1,0)+IF(DE1322="D",1,0)+IF(DJ1322="D",1,0)+IF(DK1322="D",1,0)+IF(DO1322="D",1,0)+IF(DP1322="D",1,0)+IF(DQ1322="D",1,0)+IF(DW1322="D",1,0)+IF(DZ1322="D",1,0)+IF(EH1322="D",1,0)</f>
        <v>0</v>
      </c>
      <c r="AY1322" s="0" t="n">
        <f aca="false">COUNTIF(DU1322:EH1322, "&lt;&gt;")</f>
        <v>4</v>
      </c>
      <c r="AZ1322" s="0" t="n">
        <f aca="false">IF(EH1322&lt;&gt;"",1,0)</f>
        <v>0</v>
      </c>
      <c r="BB1322" s="0" t="s">
        <v>152</v>
      </c>
      <c r="CY1322" s="0" t="s">
        <v>153</v>
      </c>
      <c r="DC1322" s="0" t="s">
        <v>153</v>
      </c>
      <c r="DI1322" s="0" t="s">
        <v>153</v>
      </c>
      <c r="DN1322" s="0" t="s">
        <v>153</v>
      </c>
      <c r="DR1322" s="0" t="s">
        <v>153</v>
      </c>
      <c r="DS1322" s="0" t="s">
        <v>209</v>
      </c>
      <c r="DU1322" s="0" t="s">
        <v>153</v>
      </c>
      <c r="DX1322" s="0" t="s">
        <v>153</v>
      </c>
      <c r="EA1322" s="0" t="s">
        <v>153</v>
      </c>
      <c r="EF1322" s="0" t="s">
        <v>153</v>
      </c>
    </row>
    <row r="1323" customFormat="false" ht="13.8" hidden="false" customHeight="false" outlineLevel="0" collapsed="false">
      <c r="A1323" s="0" t="s">
        <v>6168</v>
      </c>
      <c r="B1323" s="0" t="n">
        <v>78</v>
      </c>
      <c r="C1323" s="0" t="n">
        <v>304623</v>
      </c>
      <c r="D1323" s="0" t="s">
        <v>6169</v>
      </c>
      <c r="E1323" s="0" t="s">
        <v>6170</v>
      </c>
      <c r="F1323" s="0" t="str">
        <f aca="false">CONCATENATE(D1323," ",LEFT(H1323,4),"T=",AU1323,"D=",AV1323,"R=",AW1323,"M=",AX1323,"L=",AY1323,"B=",AZ1323)</f>
        <v>ZURBUCHEN T=3D=0R=0M=0L=4B=0</v>
      </c>
      <c r="G1323" s="0" t="s">
        <v>164</v>
      </c>
      <c r="I1323" s="0" t="s">
        <v>6171</v>
      </c>
      <c r="J1323" s="0" t="s">
        <v>6172</v>
      </c>
      <c r="K1323" s="0" t="s">
        <v>160</v>
      </c>
      <c r="M1323" s="0" t="s">
        <v>6164</v>
      </c>
      <c r="N1323" s="0" t="str">
        <f aca="false">RIGHT(M1323,LEN(M1323)-FIND(" ",M1323))</f>
        <v>LAIRD AVE SE</v>
      </c>
      <c r="P1323" s="0" t="s">
        <v>145</v>
      </c>
      <c r="Q1323" s="0" t="s">
        <v>146</v>
      </c>
      <c r="R1323" s="0" t="n">
        <v>44483</v>
      </c>
      <c r="AD1323" s="0" t="s">
        <v>147</v>
      </c>
      <c r="AE1323" s="0" t="s">
        <v>148</v>
      </c>
      <c r="AF1323" s="0" t="s">
        <v>149</v>
      </c>
      <c r="AH1323" s="0" t="n">
        <v>14</v>
      </c>
      <c r="AI1323" s="0" t="n">
        <v>11</v>
      </c>
      <c r="AN1323" s="0" t="s">
        <v>145</v>
      </c>
      <c r="AO1323" s="0" t="s">
        <v>150</v>
      </c>
      <c r="AP1323" s="0" t="s">
        <v>151</v>
      </c>
      <c r="AQ1323" s="0" t="n">
        <v>9</v>
      </c>
      <c r="AR1323" s="0" t="n">
        <v>64</v>
      </c>
      <c r="AS1323" s="0" t="n">
        <v>32</v>
      </c>
      <c r="AU1323" s="0" t="n">
        <f aca="false">COUNTA($BA$863:$EH$863)</f>
        <v>3</v>
      </c>
      <c r="AV1323" s="0" t="n">
        <f aca="false">COUNTIF($BA$863:$EH$863,"D")</f>
        <v>0</v>
      </c>
      <c r="AW1323" s="0" t="n">
        <f aca="false">COUNTIF($BA$863:$EH$863,"R")</f>
        <v>0</v>
      </c>
      <c r="AX1323" s="0" t="n">
        <f aca="false">IF(BN1323="D",1,0)+IF(BO1323="D",1,0)+IF(BT1323="D",1,0)+IF(BU1323="D",1,0)+IF(BW1323="D",1,0)+IF(CC1323="D",1,0)+IF(CD1323="D",1,0)+IF(CE1323="D",1,0)+IF(CF1323="D",1,0)+IF(CL1323="D",1,0)+IF(CM1323="D",1,0)+IF(CQ1323="D",1,0)+IF(CR1323="D",1,0)+IF(CS1323="D",1,0)+IF(CW1323="D",1,0)+IF(CX1323="D",1,0)+IF(DD1323="D",1,0)+IF(DE1323="D",1,0)+IF(DJ1323="D",1,0)+IF(DK1323="D",1,0)+IF(DO1323="D",1,0)+IF(DP1323="D",1,0)+IF(DQ1323="D",1,0)+IF(DW1323="D",1,0)+IF(DZ1323="D",1,0)+IF(EH1323="D",1,0)</f>
        <v>0</v>
      </c>
      <c r="AY1323" s="0" t="n">
        <f aca="false">COUNTIF(DU1323:EH1323, "&lt;&gt;")</f>
        <v>4</v>
      </c>
      <c r="AZ1323" s="0" t="n">
        <f aca="false">IF(EH1323&lt;&gt;"",1,0)</f>
        <v>0</v>
      </c>
      <c r="BB1323" s="0" t="s">
        <v>152</v>
      </c>
      <c r="BH1323" s="0" t="s">
        <v>153</v>
      </c>
      <c r="BL1323" s="0" t="s">
        <v>153</v>
      </c>
      <c r="BP1323" s="0" t="s">
        <v>153</v>
      </c>
      <c r="BS1323" s="0" t="s">
        <v>153</v>
      </c>
      <c r="BY1323" s="0" t="s">
        <v>175</v>
      </c>
      <c r="CA1323" s="0" t="s">
        <v>153</v>
      </c>
      <c r="CK1323" s="0" t="s">
        <v>153</v>
      </c>
      <c r="CN1323" s="0" t="s">
        <v>153</v>
      </c>
      <c r="CP1323" s="0" t="s">
        <v>153</v>
      </c>
      <c r="CT1323" s="0" t="s">
        <v>153</v>
      </c>
      <c r="CY1323" s="0" t="s">
        <v>153</v>
      </c>
      <c r="CZ1323" s="0" t="s">
        <v>209</v>
      </c>
      <c r="DC1323" s="0" t="s">
        <v>153</v>
      </c>
      <c r="DU1323" s="0" t="s">
        <v>153</v>
      </c>
      <c r="DX1323" s="0" t="s">
        <v>153</v>
      </c>
      <c r="EA1323" s="0" t="s">
        <v>153</v>
      </c>
      <c r="EF1323" s="0" t="s">
        <v>153</v>
      </c>
    </row>
    <row r="1324" customFormat="false" ht="13.8" hidden="true" customHeight="false" outlineLevel="0" collapsed="false">
      <c r="A1324" s="0" t="s">
        <v>6173</v>
      </c>
      <c r="B1324" s="0" t="n">
        <v>78</v>
      </c>
      <c r="C1324" s="0" t="n">
        <v>495164</v>
      </c>
      <c r="D1324" s="0" t="s">
        <v>6174</v>
      </c>
      <c r="E1324" s="0" t="s">
        <v>6175</v>
      </c>
      <c r="F1324" s="0" t="str">
        <f aca="false">CONCATENATE(D1324," ",LEFT(H1324,4),"T=",AU1324,"D=",AV1324,"R=",AW1324,"M=",AX1324,"L=",AY1324,"B=",AZ1324)</f>
        <v>DAILEY T=5D=0R=0M=0L=0B=0</v>
      </c>
      <c r="G1324" s="0" t="s">
        <v>6176</v>
      </c>
      <c r="I1324" s="0" t="s">
        <v>6177</v>
      </c>
      <c r="J1324" s="0" t="s">
        <v>6178</v>
      </c>
      <c r="K1324" s="0" t="s">
        <v>160</v>
      </c>
      <c r="M1324" s="0" t="s">
        <v>6179</v>
      </c>
      <c r="N1324" s="0" t="str">
        <f aca="false">RIGHT(M1324,LEN(M1324)-FIND(" ",M1324))</f>
        <v>LAIRD AVE SE</v>
      </c>
      <c r="P1324" s="0" t="s">
        <v>145</v>
      </c>
      <c r="Q1324" s="0" t="s">
        <v>146</v>
      </c>
      <c r="R1324" s="0" t="n">
        <v>44483</v>
      </c>
      <c r="AD1324" s="0" t="s">
        <v>147</v>
      </c>
      <c r="AE1324" s="0" t="s">
        <v>148</v>
      </c>
      <c r="AF1324" s="0" t="s">
        <v>149</v>
      </c>
      <c r="AH1324" s="0" t="n">
        <v>14</v>
      </c>
      <c r="AI1324" s="0" t="n">
        <v>11</v>
      </c>
      <c r="AN1324" s="0" t="s">
        <v>145</v>
      </c>
      <c r="AO1324" s="0" t="s">
        <v>150</v>
      </c>
      <c r="AP1324" s="0" t="s">
        <v>151</v>
      </c>
      <c r="AQ1324" s="0" t="n">
        <v>9</v>
      </c>
      <c r="AR1324" s="0" t="n">
        <v>64</v>
      </c>
      <c r="AS1324" s="0" t="n">
        <v>32</v>
      </c>
      <c r="AU1324" s="0" t="n">
        <f aca="false">COUNTA($BA$473:$EH$473)</f>
        <v>5</v>
      </c>
      <c r="AV1324" s="0" t="n">
        <f aca="false">COUNTIF($BA$473:$EH$473,"D")</f>
        <v>0</v>
      </c>
      <c r="AW1324" s="0" t="n">
        <f aca="false">COUNTIF($BA$473:$EH$473,"R")</f>
        <v>0</v>
      </c>
      <c r="AX1324" s="0" t="n">
        <f aca="false">IF(BN1324="D",1,0)+IF(BO1324="D",1,0)+IF(BT1324="D",1,0)+IF(BU1324="D",1,0)+IF(BW1324="D",1,0)+IF(CC1324="D",1,0)+IF(CD1324="D",1,0)+IF(CE1324="D",1,0)+IF(CF1324="D",1,0)+IF(CL1324="D",1,0)+IF(CM1324="D",1,0)+IF(CQ1324="D",1,0)+IF(CR1324="D",1,0)+IF(CS1324="D",1,0)+IF(CW1324="D",1,0)+IF(CX1324="D",1,0)+IF(DD1324="D",1,0)+IF(DE1324="D",1,0)+IF(DJ1324="D",1,0)+IF(DK1324="D",1,0)+IF(DO1324="D",1,0)+IF(DP1324="D",1,0)+IF(DQ1324="D",1,0)+IF(DW1324="D",1,0)+IF(DZ1324="D",1,0)+IF(EH1324="D",1,0)</f>
        <v>0</v>
      </c>
      <c r="AY1324" s="0" t="n">
        <f aca="false">COUNTIF(DU1324:EH1324, "&lt;&gt;")</f>
        <v>0</v>
      </c>
      <c r="AZ1324" s="0" t="n">
        <f aca="false">IF(EH1324&lt;&gt;"",1,0)</f>
        <v>0</v>
      </c>
      <c r="BB1324" s="0" t="s">
        <v>152</v>
      </c>
    </row>
    <row r="1325" customFormat="false" ht="13.8" hidden="true" customHeight="false" outlineLevel="0" collapsed="false">
      <c r="A1325" s="0" t="s">
        <v>6180</v>
      </c>
      <c r="B1325" s="0" t="n">
        <v>78</v>
      </c>
      <c r="C1325" s="0" t="n">
        <v>420941</v>
      </c>
      <c r="D1325" s="0" t="s">
        <v>6174</v>
      </c>
      <c r="E1325" s="0" t="s">
        <v>6181</v>
      </c>
      <c r="F1325" s="0" t="str">
        <f aca="false">CONCATENATE(D1325," ",LEFT(H1325,4),"T=",AU1325,"D=",AV1325,"R=",AW1325,"M=",AX1325,"L=",AY1325,"B=",AZ1325)</f>
        <v>DAILEY T=1D=0R=0M=0L=0B=0</v>
      </c>
      <c r="G1325" s="0" t="s">
        <v>6182</v>
      </c>
      <c r="I1325" s="0" t="s">
        <v>6183</v>
      </c>
      <c r="J1325" s="0" t="s">
        <v>6184</v>
      </c>
      <c r="K1325" s="0" t="s">
        <v>160</v>
      </c>
      <c r="M1325" s="0" t="s">
        <v>6179</v>
      </c>
      <c r="N1325" s="0" t="str">
        <f aca="false">RIGHT(M1325,LEN(M1325)-FIND(" ",M1325))</f>
        <v>LAIRD AVE SE</v>
      </c>
      <c r="P1325" s="0" t="s">
        <v>145</v>
      </c>
      <c r="Q1325" s="0" t="s">
        <v>146</v>
      </c>
      <c r="R1325" s="0" t="n">
        <v>44483</v>
      </c>
      <c r="AD1325" s="0" t="s">
        <v>147</v>
      </c>
      <c r="AE1325" s="0" t="s">
        <v>148</v>
      </c>
      <c r="AF1325" s="0" t="s">
        <v>149</v>
      </c>
      <c r="AH1325" s="0" t="n">
        <v>14</v>
      </c>
      <c r="AI1325" s="0" t="n">
        <v>11</v>
      </c>
      <c r="AN1325" s="0" t="s">
        <v>145</v>
      </c>
      <c r="AO1325" s="0" t="s">
        <v>150</v>
      </c>
      <c r="AP1325" s="0" t="s">
        <v>151</v>
      </c>
      <c r="AQ1325" s="0" t="n">
        <v>9</v>
      </c>
      <c r="AR1325" s="0" t="n">
        <v>64</v>
      </c>
      <c r="AS1325" s="0" t="n">
        <v>32</v>
      </c>
      <c r="AU1325" s="0" t="n">
        <f aca="false">COUNTA($BA$563:$EH$563)</f>
        <v>1</v>
      </c>
      <c r="AV1325" s="0" t="n">
        <f aca="false">COUNTIF($BA$563:$EH$563,"D")</f>
        <v>0</v>
      </c>
      <c r="AW1325" s="0" t="n">
        <f aca="false">COUNTIF($BA$563:$EH$563,"R")</f>
        <v>0</v>
      </c>
      <c r="AX1325" s="0" t="n">
        <f aca="false">IF(BN1325="D",1,0)+IF(BO1325="D",1,0)+IF(BT1325="D",1,0)+IF(BU1325="D",1,0)+IF(BW1325="D",1,0)+IF(CC1325="D",1,0)+IF(CD1325="D",1,0)+IF(CE1325="D",1,0)+IF(CF1325="D",1,0)+IF(CL1325="D",1,0)+IF(CM1325="D",1,0)+IF(CQ1325="D",1,0)+IF(CR1325="D",1,0)+IF(CS1325="D",1,0)+IF(CW1325="D",1,0)+IF(CX1325="D",1,0)+IF(DD1325="D",1,0)+IF(DE1325="D",1,0)+IF(DJ1325="D",1,0)+IF(DK1325="D",1,0)+IF(DO1325="D",1,0)+IF(DP1325="D",1,0)+IF(DQ1325="D",1,0)+IF(DW1325="D",1,0)+IF(DZ1325="D",1,0)+IF(EH1325="D",1,0)</f>
        <v>0</v>
      </c>
      <c r="AY1325" s="0" t="n">
        <f aca="false">COUNTIF(DU1325:EH1325, "&lt;&gt;")</f>
        <v>0</v>
      </c>
      <c r="AZ1325" s="0" t="n">
        <f aca="false">IF(EH1325&lt;&gt;"",1,0)</f>
        <v>0</v>
      </c>
      <c r="BB1325" s="0" t="s">
        <v>152</v>
      </c>
      <c r="DC1325" s="0" t="s">
        <v>153</v>
      </c>
    </row>
    <row r="1326" customFormat="false" ht="13.8" hidden="true" customHeight="false" outlineLevel="0" collapsed="false">
      <c r="A1326" s="0" t="s">
        <v>6185</v>
      </c>
      <c r="B1326" s="0" t="n">
        <v>78</v>
      </c>
      <c r="C1326" s="0" t="n">
        <v>359472</v>
      </c>
      <c r="D1326" s="0" t="s">
        <v>6186</v>
      </c>
      <c r="E1326" s="0" t="s">
        <v>1152</v>
      </c>
      <c r="F1326" s="0" t="str">
        <f aca="false">CONCATENATE(D1326," ",LEFT(H1326,4),"T=",AU1326,"D=",AV1326,"R=",AW1326,"M=",AX1326,"L=",AY1326,"B=",AZ1326)</f>
        <v>BUGNONE T=4D=0R=0M=0L=0B=0</v>
      </c>
      <c r="G1326" s="0" t="s">
        <v>325</v>
      </c>
      <c r="I1326" s="0" t="s">
        <v>6187</v>
      </c>
      <c r="J1326" s="0" t="s">
        <v>6188</v>
      </c>
      <c r="K1326" s="0" t="s">
        <v>143</v>
      </c>
      <c r="M1326" s="0" t="s">
        <v>6179</v>
      </c>
      <c r="N1326" s="0" t="str">
        <f aca="false">RIGHT(M1326,LEN(M1326)-FIND(" ",M1326))</f>
        <v>LAIRD AVE SE</v>
      </c>
      <c r="P1326" s="0" t="s">
        <v>145</v>
      </c>
      <c r="Q1326" s="0" t="s">
        <v>146</v>
      </c>
      <c r="R1326" s="0" t="n">
        <v>44483</v>
      </c>
      <c r="AD1326" s="0" t="s">
        <v>147</v>
      </c>
      <c r="AE1326" s="0" t="s">
        <v>148</v>
      </c>
      <c r="AF1326" s="0" t="s">
        <v>149</v>
      </c>
      <c r="AH1326" s="0" t="n">
        <v>14</v>
      </c>
      <c r="AI1326" s="0" t="n">
        <v>11</v>
      </c>
      <c r="AN1326" s="0" t="s">
        <v>145</v>
      </c>
      <c r="AO1326" s="0" t="s">
        <v>150</v>
      </c>
      <c r="AP1326" s="0" t="s">
        <v>151</v>
      </c>
      <c r="AQ1326" s="0" t="n">
        <v>9</v>
      </c>
      <c r="AR1326" s="0" t="n">
        <v>64</v>
      </c>
      <c r="AS1326" s="0" t="n">
        <v>32</v>
      </c>
      <c r="AU1326" s="0" t="n">
        <f aca="false">COUNTA($BA$932:$EH$932)</f>
        <v>4</v>
      </c>
      <c r="AV1326" s="0" t="n">
        <f aca="false">COUNTIF($BA$932:$EH$932,"D")</f>
        <v>0</v>
      </c>
      <c r="AW1326" s="0" t="n">
        <f aca="false">COUNTIF($BA$932:$EH$932,"R")</f>
        <v>0</v>
      </c>
      <c r="AX1326" s="0" t="n">
        <f aca="false">IF(BN1326="D",1,0)+IF(BO1326="D",1,0)+IF(BT1326="D",1,0)+IF(BU1326="D",1,0)+IF(BW1326="D",1,0)+IF(CC1326="D",1,0)+IF(CD1326="D",1,0)+IF(CE1326="D",1,0)+IF(CF1326="D",1,0)+IF(CL1326="D",1,0)+IF(CM1326="D",1,0)+IF(CQ1326="D",1,0)+IF(CR1326="D",1,0)+IF(CS1326="D",1,0)+IF(CW1326="D",1,0)+IF(CX1326="D",1,0)+IF(DD1326="D",1,0)+IF(DE1326="D",1,0)+IF(DJ1326="D",1,0)+IF(DK1326="D",1,0)+IF(DO1326="D",1,0)+IF(DP1326="D",1,0)+IF(DQ1326="D",1,0)+IF(DW1326="D",1,0)+IF(DZ1326="D",1,0)+IF(EH1326="D",1,0)</f>
        <v>0</v>
      </c>
      <c r="AY1326" s="0" t="n">
        <f aca="false">COUNTIF(DU1326:EH1326, "&lt;&gt;")</f>
        <v>0</v>
      </c>
      <c r="AZ1326" s="0" t="n">
        <f aca="false">IF(EH1326&lt;&gt;"",1,0)</f>
        <v>0</v>
      </c>
      <c r="BB1326" s="0" t="s">
        <v>152</v>
      </c>
      <c r="CA1326" s="0" t="s">
        <v>153</v>
      </c>
      <c r="CG1326" s="0" t="s">
        <v>153</v>
      </c>
      <c r="CP1326" s="0" t="s">
        <v>153</v>
      </c>
      <c r="DN1326" s="0" t="s">
        <v>153</v>
      </c>
    </row>
    <row r="1327" customFormat="false" ht="13.8" hidden="true" customHeight="false" outlineLevel="0" collapsed="false">
      <c r="A1327" s="0" t="s">
        <v>6189</v>
      </c>
      <c r="B1327" s="0" t="n">
        <v>78</v>
      </c>
      <c r="C1327" s="0" t="n">
        <v>387810</v>
      </c>
      <c r="D1327" s="0" t="s">
        <v>761</v>
      </c>
      <c r="E1327" s="0" t="s">
        <v>6190</v>
      </c>
      <c r="F1327" s="0" t="str">
        <f aca="false">CONCATENATE(D1327," ",LEFT(H1327,4),"T=",AU1327,"D=",AV1327,"R=",AW1327,"M=",AX1327,"L=",AY1327,"B=",AZ1327)</f>
        <v>BROWN T=3D=0R=0M=0L=0B=0</v>
      </c>
      <c r="G1327" s="0" t="s">
        <v>268</v>
      </c>
      <c r="I1327" s="0" t="s">
        <v>6191</v>
      </c>
      <c r="J1327" s="0" t="s">
        <v>6192</v>
      </c>
      <c r="K1327" s="0" t="s">
        <v>160</v>
      </c>
      <c r="M1327" s="0" t="s">
        <v>6179</v>
      </c>
      <c r="N1327" s="0" t="str">
        <f aca="false">RIGHT(M1327,LEN(M1327)-FIND(" ",M1327))</f>
        <v>LAIRD AVE SE</v>
      </c>
      <c r="P1327" s="0" t="s">
        <v>145</v>
      </c>
      <c r="Q1327" s="0" t="s">
        <v>146</v>
      </c>
      <c r="R1327" s="0" t="n">
        <v>44483</v>
      </c>
      <c r="AD1327" s="0" t="s">
        <v>147</v>
      </c>
      <c r="AE1327" s="0" t="s">
        <v>148</v>
      </c>
      <c r="AF1327" s="0" t="s">
        <v>149</v>
      </c>
      <c r="AH1327" s="0" t="n">
        <v>14</v>
      </c>
      <c r="AI1327" s="0" t="n">
        <v>11</v>
      </c>
      <c r="AN1327" s="0" t="s">
        <v>145</v>
      </c>
      <c r="AO1327" s="0" t="s">
        <v>150</v>
      </c>
      <c r="AP1327" s="0" t="s">
        <v>151</v>
      </c>
      <c r="AQ1327" s="0" t="n">
        <v>9</v>
      </c>
      <c r="AR1327" s="0" t="n">
        <v>64</v>
      </c>
      <c r="AS1327" s="0" t="n">
        <v>32</v>
      </c>
      <c r="AU1327" s="0" t="n">
        <f aca="false">COUNTA($BA$1008:$EH$1008)</f>
        <v>3</v>
      </c>
      <c r="AV1327" s="0" t="n">
        <f aca="false">COUNTIF($BA$1008:$EH$1008,"D")</f>
        <v>0</v>
      </c>
      <c r="AW1327" s="0" t="n">
        <f aca="false">COUNTIF($BA$1008:$EH$1008,"R")</f>
        <v>0</v>
      </c>
      <c r="AX1327" s="0" t="n">
        <f aca="false">IF(BN1327="D",1,0)+IF(BO1327="D",1,0)+IF(BT1327="D",1,0)+IF(BU1327="D",1,0)+IF(BW1327="D",1,0)+IF(CC1327="D",1,0)+IF(CD1327="D",1,0)+IF(CE1327="D",1,0)+IF(CF1327="D",1,0)+IF(CL1327="D",1,0)+IF(CM1327="D",1,0)+IF(CQ1327="D",1,0)+IF(CR1327="D",1,0)+IF(CS1327="D",1,0)+IF(CW1327="D",1,0)+IF(CX1327="D",1,0)+IF(DD1327="D",1,0)+IF(DE1327="D",1,0)+IF(DJ1327="D",1,0)+IF(DK1327="D",1,0)+IF(DO1327="D",1,0)+IF(DP1327="D",1,0)+IF(DQ1327="D",1,0)+IF(DW1327="D",1,0)+IF(DZ1327="D",1,0)+IF(EH1327="D",1,0)</f>
        <v>0</v>
      </c>
      <c r="AY1327" s="0" t="n">
        <f aca="false">COUNTIF(DU1327:EH1327, "&lt;&gt;")</f>
        <v>0</v>
      </c>
      <c r="AZ1327" s="0" t="n">
        <f aca="false">IF(EH1327&lt;&gt;"",1,0)</f>
        <v>0</v>
      </c>
      <c r="BB1327" s="0" t="s">
        <v>152</v>
      </c>
      <c r="CK1327" s="0" t="s">
        <v>153</v>
      </c>
      <c r="CP1327" s="0" t="s">
        <v>153</v>
      </c>
      <c r="DC1327" s="0" t="s">
        <v>153</v>
      </c>
    </row>
    <row r="1328" customFormat="false" ht="13.8" hidden="true" customHeight="false" outlineLevel="0" collapsed="false">
      <c r="A1328" s="0" t="s">
        <v>6193</v>
      </c>
      <c r="B1328" s="0" t="n">
        <v>78</v>
      </c>
      <c r="C1328" s="0" t="n">
        <v>399130</v>
      </c>
      <c r="D1328" s="0" t="s">
        <v>6194</v>
      </c>
      <c r="E1328" s="0" t="s">
        <v>6195</v>
      </c>
      <c r="F1328" s="0" t="str">
        <f aca="false">CONCATENATE(D1328," ",LEFT(H1328,4),"T=",AU1328,"D=",AV1328,"R=",AW1328,"M=",AX1328,"L=",AY1328,"B=",AZ1328)</f>
        <v>MCRAE T=17D=2R=0M=0L=0B=0</v>
      </c>
      <c r="G1328" s="0" t="s">
        <v>517</v>
      </c>
      <c r="I1328" s="0" t="s">
        <v>6196</v>
      </c>
      <c r="J1328" s="0" t="s">
        <v>6167</v>
      </c>
      <c r="K1328" s="0" t="s">
        <v>143</v>
      </c>
      <c r="M1328" s="0" t="s">
        <v>6197</v>
      </c>
      <c r="N1328" s="0" t="str">
        <f aca="false">RIGHT(M1328,LEN(M1328)-FIND(" ",M1328))</f>
        <v>LAIRD AVE SE</v>
      </c>
      <c r="P1328" s="0" t="s">
        <v>145</v>
      </c>
      <c r="Q1328" s="0" t="s">
        <v>146</v>
      </c>
      <c r="R1328" s="0" t="n">
        <v>44483</v>
      </c>
      <c r="AD1328" s="0" t="s">
        <v>147</v>
      </c>
      <c r="AE1328" s="0" t="s">
        <v>148</v>
      </c>
      <c r="AF1328" s="0" t="s">
        <v>149</v>
      </c>
      <c r="AH1328" s="0" t="n">
        <v>14</v>
      </c>
      <c r="AI1328" s="0" t="n">
        <v>11</v>
      </c>
      <c r="AN1328" s="0" t="s">
        <v>145</v>
      </c>
      <c r="AO1328" s="0" t="s">
        <v>150</v>
      </c>
      <c r="AP1328" s="0" t="s">
        <v>151</v>
      </c>
      <c r="AQ1328" s="0" t="n">
        <v>9</v>
      </c>
      <c r="AR1328" s="0" t="n">
        <v>64</v>
      </c>
      <c r="AS1328" s="0" t="n">
        <v>32</v>
      </c>
      <c r="AU1328" s="0" t="n">
        <f aca="false">COUNTA($BA$72:$EH$72)</f>
        <v>17</v>
      </c>
      <c r="AV1328" s="0" t="n">
        <f aca="false">COUNTIF($BA$72:$EH$72,"D")</f>
        <v>2</v>
      </c>
      <c r="AW1328" s="0" t="n">
        <f aca="false">COUNTIF($BA$72:$EH$72,"R")</f>
        <v>0</v>
      </c>
      <c r="AX1328" s="0" t="n">
        <f aca="false">IF(BN1328="D",1,0)+IF(BO1328="D",1,0)+IF(BT1328="D",1,0)+IF(BU1328="D",1,0)+IF(BW1328="D",1,0)+IF(CC1328="D",1,0)+IF(CD1328="D",1,0)+IF(CE1328="D",1,0)+IF(CF1328="D",1,0)+IF(CL1328="D",1,0)+IF(CM1328="D",1,0)+IF(CQ1328="D",1,0)+IF(CR1328="D",1,0)+IF(CS1328="D",1,0)+IF(CW1328="D",1,0)+IF(CX1328="D",1,0)+IF(DD1328="D",1,0)+IF(DE1328="D",1,0)+IF(DJ1328="D",1,0)+IF(DK1328="D",1,0)+IF(DO1328="D",1,0)+IF(DP1328="D",1,0)+IF(DQ1328="D",1,0)+IF(DW1328="D",1,0)+IF(DZ1328="D",1,0)+IF(EH1328="D",1,0)</f>
        <v>0</v>
      </c>
      <c r="AY1328" s="0" t="n">
        <f aca="false">COUNTIF(DU1328:EH1328, "&lt;&gt;")</f>
        <v>0</v>
      </c>
      <c r="AZ1328" s="0" t="n">
        <f aca="false">IF(EH1328&lt;&gt;"",1,0)</f>
        <v>0</v>
      </c>
      <c r="BB1328" s="0" t="s">
        <v>152</v>
      </c>
      <c r="CP1328" s="0" t="s">
        <v>153</v>
      </c>
      <c r="CY1328" s="0" t="s">
        <v>153</v>
      </c>
    </row>
    <row r="1329" customFormat="false" ht="13.8" hidden="true" customHeight="false" outlineLevel="0" collapsed="false">
      <c r="A1329" s="0" t="s">
        <v>6198</v>
      </c>
      <c r="B1329" s="0" t="n">
        <v>78</v>
      </c>
      <c r="C1329" s="0" t="n">
        <v>411341</v>
      </c>
      <c r="D1329" s="0" t="s">
        <v>6199</v>
      </c>
      <c r="E1329" s="0" t="s">
        <v>2661</v>
      </c>
      <c r="F1329" s="0" t="str">
        <f aca="false">CONCATENATE(D1329," ",LEFT(H1329,4),"T=",AU1329,"D=",AV1329,"R=",AW1329,"M=",AX1329,"L=",AY1329,"B=",AZ1329)</f>
        <v>WAGNER T=1D=0R=0M=0L=0B=0</v>
      </c>
      <c r="G1329" s="0" t="s">
        <v>175</v>
      </c>
      <c r="I1329" s="0" t="s">
        <v>6200</v>
      </c>
      <c r="J1329" s="0" t="s">
        <v>6167</v>
      </c>
      <c r="K1329" s="0" t="s">
        <v>143</v>
      </c>
      <c r="M1329" s="0" t="s">
        <v>6197</v>
      </c>
      <c r="N1329" s="0" t="str">
        <f aca="false">RIGHT(M1329,LEN(M1329)-FIND(" ",M1329))</f>
        <v>LAIRD AVE SE</v>
      </c>
      <c r="P1329" s="0" t="s">
        <v>145</v>
      </c>
      <c r="Q1329" s="0" t="s">
        <v>146</v>
      </c>
      <c r="R1329" s="0" t="n">
        <v>44483</v>
      </c>
      <c r="AD1329" s="0" t="s">
        <v>147</v>
      </c>
      <c r="AE1329" s="0" t="s">
        <v>148</v>
      </c>
      <c r="AF1329" s="0" t="s">
        <v>149</v>
      </c>
      <c r="AH1329" s="0" t="n">
        <v>14</v>
      </c>
      <c r="AI1329" s="0" t="n">
        <v>11</v>
      </c>
      <c r="AN1329" s="0" t="s">
        <v>145</v>
      </c>
      <c r="AO1329" s="0" t="s">
        <v>150</v>
      </c>
      <c r="AP1329" s="0" t="s">
        <v>151</v>
      </c>
      <c r="AQ1329" s="0" t="n">
        <v>9</v>
      </c>
      <c r="AR1329" s="0" t="n">
        <v>64</v>
      </c>
      <c r="AS1329" s="0" t="n">
        <v>32</v>
      </c>
      <c r="AU1329" s="0" t="n">
        <f aca="false">COUNTA($BA$603:$EH$603)</f>
        <v>1</v>
      </c>
      <c r="AV1329" s="0" t="n">
        <f aca="false">COUNTIF($BA$603:$EH$603,"D")</f>
        <v>0</v>
      </c>
      <c r="AW1329" s="0" t="n">
        <f aca="false">COUNTIF($BA$603:$EH$603,"R")</f>
        <v>0</v>
      </c>
      <c r="AX1329" s="0" t="n">
        <f aca="false">IF(BN1329="D",1,0)+IF(BO1329="D",1,0)+IF(BT1329="D",1,0)+IF(BU1329="D",1,0)+IF(BW1329="D",1,0)+IF(CC1329="D",1,0)+IF(CD1329="D",1,0)+IF(CE1329="D",1,0)+IF(CF1329="D",1,0)+IF(CL1329="D",1,0)+IF(CM1329="D",1,0)+IF(CQ1329="D",1,0)+IF(CR1329="D",1,0)+IF(CS1329="D",1,0)+IF(CW1329="D",1,0)+IF(CX1329="D",1,0)+IF(DD1329="D",1,0)+IF(DE1329="D",1,0)+IF(DJ1329="D",1,0)+IF(DK1329="D",1,0)+IF(DO1329="D",1,0)+IF(DP1329="D",1,0)+IF(DQ1329="D",1,0)+IF(DW1329="D",1,0)+IF(DZ1329="D",1,0)+IF(EH1329="D",1,0)</f>
        <v>0</v>
      </c>
      <c r="AY1329" s="0" t="n">
        <f aca="false">COUNTIF(DU1329:EH1329, "&lt;&gt;")</f>
        <v>0</v>
      </c>
      <c r="AZ1329" s="0" t="n">
        <f aca="false">IF(EH1329&lt;&gt;"",1,0)</f>
        <v>0</v>
      </c>
      <c r="BB1329" s="0" t="s">
        <v>152</v>
      </c>
      <c r="CA1329" s="0" t="s">
        <v>153</v>
      </c>
      <c r="CP1329" s="0" t="s">
        <v>153</v>
      </c>
      <c r="CY1329" s="0" t="s">
        <v>153</v>
      </c>
    </row>
    <row r="1330" customFormat="false" ht="13.8" hidden="true" customHeight="false" outlineLevel="0" collapsed="false">
      <c r="A1330" s="0" t="s">
        <v>6201</v>
      </c>
      <c r="B1330" s="0" t="n">
        <v>78</v>
      </c>
      <c r="C1330" s="0" t="n">
        <v>487134</v>
      </c>
      <c r="D1330" s="0" t="s">
        <v>6202</v>
      </c>
      <c r="E1330" s="0" t="s">
        <v>6203</v>
      </c>
      <c r="F1330" s="0" t="str">
        <f aca="false">CONCATENATE(D1330," ",LEFT(H1330,4),"T=",AU1330,"D=",AV1330,"R=",AW1330,"M=",AX1330,"L=",AY1330,"B=",AZ1330)</f>
        <v>FUDGE SRT=11D=0R=0M=0L=0B=0</v>
      </c>
      <c r="G1330" s="0" t="s">
        <v>670</v>
      </c>
      <c r="H1330" s="0" t="s">
        <v>216</v>
      </c>
      <c r="I1330" s="0" t="s">
        <v>6204</v>
      </c>
      <c r="J1330" s="0" t="s">
        <v>399</v>
      </c>
      <c r="K1330" s="0" t="s">
        <v>160</v>
      </c>
      <c r="M1330" s="0" t="s">
        <v>6205</v>
      </c>
      <c r="N1330" s="0" t="str">
        <f aca="false">RIGHT(M1330,LEN(M1330)-FIND(" ",M1330))</f>
        <v>LAIRD AVE SE</v>
      </c>
      <c r="P1330" s="0" t="s">
        <v>145</v>
      </c>
      <c r="Q1330" s="0" t="s">
        <v>146</v>
      </c>
      <c r="R1330" s="0" t="n">
        <v>44483</v>
      </c>
      <c r="AD1330" s="0" t="s">
        <v>147</v>
      </c>
      <c r="AE1330" s="0" t="s">
        <v>148</v>
      </c>
      <c r="AF1330" s="0" t="s">
        <v>149</v>
      </c>
      <c r="AH1330" s="0" t="n">
        <v>14</v>
      </c>
      <c r="AI1330" s="0" t="n">
        <v>11</v>
      </c>
      <c r="AN1330" s="0" t="s">
        <v>145</v>
      </c>
      <c r="AO1330" s="0" t="s">
        <v>150</v>
      </c>
      <c r="AP1330" s="0" t="s">
        <v>151</v>
      </c>
      <c r="AQ1330" s="0" t="n">
        <v>9</v>
      </c>
      <c r="AR1330" s="0" t="n">
        <v>64</v>
      </c>
      <c r="AS1330" s="0" t="n">
        <v>32</v>
      </c>
      <c r="AU1330" s="0" t="n">
        <f aca="false">COUNTA($BA$176:$EH$176)</f>
        <v>11</v>
      </c>
      <c r="AV1330" s="0" t="n">
        <f aca="false">COUNTIF($BA$176:$EH$176,"D")</f>
        <v>0</v>
      </c>
      <c r="AW1330" s="0" t="n">
        <f aca="false">COUNTIF($BA$176:$EH$176,"R")</f>
        <v>0</v>
      </c>
      <c r="AX1330" s="0" t="n">
        <f aca="false">IF(BN1330="D",1,0)+IF(BO1330="D",1,0)+IF(BT1330="D",1,0)+IF(BU1330="D",1,0)+IF(BW1330="D",1,0)+IF(CC1330="D",1,0)+IF(CD1330="D",1,0)+IF(CE1330="D",1,0)+IF(CF1330="D",1,0)+IF(CL1330="D",1,0)+IF(CM1330="D",1,0)+IF(CQ1330="D",1,0)+IF(CR1330="D",1,0)+IF(CS1330="D",1,0)+IF(CW1330="D",1,0)+IF(CX1330="D",1,0)+IF(DD1330="D",1,0)+IF(DE1330="D",1,0)+IF(DJ1330="D",1,0)+IF(DK1330="D",1,0)+IF(DO1330="D",1,0)+IF(DP1330="D",1,0)+IF(DQ1330="D",1,0)+IF(DW1330="D",1,0)+IF(DZ1330="D",1,0)+IF(EH1330="D",1,0)</f>
        <v>0</v>
      </c>
      <c r="AY1330" s="0" t="n">
        <f aca="false">COUNTIF(DU1330:EH1330, "&lt;&gt;")</f>
        <v>0</v>
      </c>
      <c r="AZ1330" s="0" t="n">
        <f aca="false">IF(EH1330&lt;&gt;"",1,0)</f>
        <v>0</v>
      </c>
      <c r="BB1330" s="0" t="s">
        <v>152</v>
      </c>
    </row>
    <row r="1331" customFormat="false" ht="13.8" hidden="false" customHeight="false" outlineLevel="0" collapsed="false">
      <c r="A1331" s="0" t="s">
        <v>6206</v>
      </c>
      <c r="B1331" s="0" t="n">
        <v>78</v>
      </c>
      <c r="C1331" s="0" t="n">
        <v>268674</v>
      </c>
      <c r="D1331" s="0" t="s">
        <v>6207</v>
      </c>
      <c r="E1331" s="0" t="s">
        <v>6208</v>
      </c>
      <c r="F1331" s="0" t="str">
        <f aca="false">CONCATENATE(D1331," ",LEFT(H1331,4),"T=",AU1331,"D=",AV1331,"R=",AW1331,"M=",AX1331,"L=",AY1331,"B=",AZ1331)</f>
        <v>MUSOLF T=9D=1R=0M=2L=4B=0</v>
      </c>
      <c r="G1331" s="0" t="s">
        <v>824</v>
      </c>
      <c r="I1331" s="0" t="s">
        <v>6209</v>
      </c>
      <c r="J1331" s="0" t="s">
        <v>6210</v>
      </c>
      <c r="K1331" s="0" t="s">
        <v>160</v>
      </c>
      <c r="L1331" s="0" t="s">
        <v>175</v>
      </c>
      <c r="M1331" s="0" t="s">
        <v>6211</v>
      </c>
      <c r="N1331" s="0" t="str">
        <f aca="false">RIGHT(M1331,LEN(M1331)-FIND(" ",M1331))</f>
        <v>LAIRD AVE SE</v>
      </c>
      <c r="P1331" s="0" t="s">
        <v>145</v>
      </c>
      <c r="Q1331" s="0" t="s">
        <v>146</v>
      </c>
      <c r="R1331" s="0" t="n">
        <v>44483</v>
      </c>
      <c r="AD1331" s="0" t="s">
        <v>147</v>
      </c>
      <c r="AE1331" s="0" t="s">
        <v>148</v>
      </c>
      <c r="AF1331" s="0" t="s">
        <v>149</v>
      </c>
      <c r="AH1331" s="0" t="n">
        <v>14</v>
      </c>
      <c r="AI1331" s="0" t="n">
        <v>11</v>
      </c>
      <c r="AN1331" s="0" t="s">
        <v>145</v>
      </c>
      <c r="AO1331" s="0" t="s">
        <v>150</v>
      </c>
      <c r="AP1331" s="0" t="s">
        <v>151</v>
      </c>
      <c r="AQ1331" s="0" t="n">
        <v>9</v>
      </c>
      <c r="AR1331" s="0" t="n">
        <v>64</v>
      </c>
      <c r="AS1331" s="0" t="n">
        <v>32</v>
      </c>
      <c r="AU1331" s="0" t="n">
        <f aca="false">COUNTA($BA$858:$EH$858)</f>
        <v>9</v>
      </c>
      <c r="AV1331" s="0" t="n">
        <f aca="false">COUNTIF($BA$858:$EH$858,"D")</f>
        <v>1</v>
      </c>
      <c r="AW1331" s="0" t="n">
        <f aca="false">COUNTIF($BA$858:$EH$858,"R")</f>
        <v>0</v>
      </c>
      <c r="AX1331" s="0" t="n">
        <f aca="false">IF(BN1331="D",1,0)+IF(BO1331="D",1,0)+IF(BT1331="D",1,0)+IF(BU1331="D",1,0)+IF(BW1331="D",1,0)+IF(CC1331="D",1,0)+IF(CD1331="D",1,0)+IF(CE1331="D",1,0)+IF(CF1331="D",1,0)+IF(CL1331="D",1,0)+IF(CM1331="D",1,0)+IF(CQ1331="D",1,0)+IF(CR1331="D",1,0)+IF(CS1331="D",1,0)+IF(CW1331="D",1,0)+IF(CX1331="D",1,0)+IF(DD1331="D",1,0)+IF(DE1331="D",1,0)+IF(DJ1331="D",1,0)+IF(DK1331="D",1,0)+IF(DO1331="D",1,0)+IF(DP1331="D",1,0)+IF(DQ1331="D",1,0)+IF(DW1331="D",1,0)+IF(DZ1331="D",1,0)+IF(EH1331="D",1,0)</f>
        <v>2</v>
      </c>
      <c r="AY1331" s="0" t="n">
        <f aca="false">COUNTIF(DU1331:EH1331, "&lt;&gt;")</f>
        <v>4</v>
      </c>
      <c r="AZ1331" s="0" t="n">
        <f aca="false">IF(EH1331&lt;&gt;"",1,0)</f>
        <v>0</v>
      </c>
      <c r="BB1331" s="0" t="s">
        <v>152</v>
      </c>
      <c r="BD1331" s="0" t="s">
        <v>153</v>
      </c>
      <c r="BY1331" s="0" t="s">
        <v>175</v>
      </c>
      <c r="CA1331" s="0" t="s">
        <v>153</v>
      </c>
      <c r="CK1331" s="0" t="s">
        <v>153</v>
      </c>
      <c r="CN1331" s="0" t="s">
        <v>153</v>
      </c>
      <c r="CY1331" s="0" t="s">
        <v>153</v>
      </c>
      <c r="CZ1331" s="0" t="s">
        <v>175</v>
      </c>
      <c r="DC1331" s="0" t="s">
        <v>153</v>
      </c>
      <c r="DI1331" s="0" t="s">
        <v>153</v>
      </c>
      <c r="DJ1331" s="0" t="s">
        <v>175</v>
      </c>
      <c r="DL1331" s="0" t="s">
        <v>153</v>
      </c>
      <c r="DN1331" s="0" t="s">
        <v>153</v>
      </c>
      <c r="DU1331" s="0" t="s">
        <v>153</v>
      </c>
      <c r="DW1331" s="0" t="s">
        <v>175</v>
      </c>
      <c r="EA1331" s="0" t="s">
        <v>153</v>
      </c>
      <c r="EF1331" s="0" t="s">
        <v>153</v>
      </c>
    </row>
    <row r="1332" customFormat="false" ht="13.8" hidden="false" customHeight="false" outlineLevel="0" collapsed="false">
      <c r="A1332" s="0" t="s">
        <v>6212</v>
      </c>
      <c r="B1332" s="0" t="n">
        <v>78</v>
      </c>
      <c r="C1332" s="0" t="n">
        <v>273395</v>
      </c>
      <c r="D1332" s="0" t="s">
        <v>6213</v>
      </c>
      <c r="E1332" s="0" t="s">
        <v>481</v>
      </c>
      <c r="F1332" s="0" t="str">
        <f aca="false">CONCATENATE(D1332," ",LEFT(H1332,4),"T=",AU1332,"D=",AV1332,"R=",AW1332,"M=",AX1332,"L=",AY1332,"B=",AZ1332)</f>
        <v>GREATHOUSE T=1D=0R=0M=3L=7B=1</v>
      </c>
      <c r="I1332" s="0" t="s">
        <v>6214</v>
      </c>
      <c r="J1332" s="0" t="s">
        <v>6210</v>
      </c>
      <c r="K1332" s="0" t="s">
        <v>160</v>
      </c>
      <c r="L1332" s="0" t="s">
        <v>175</v>
      </c>
      <c r="M1332" s="0" t="s">
        <v>6211</v>
      </c>
      <c r="N1332" s="0" t="str">
        <f aca="false">RIGHT(M1332,LEN(M1332)-FIND(" ",M1332))</f>
        <v>LAIRD AVE SE</v>
      </c>
      <c r="P1332" s="0" t="s">
        <v>145</v>
      </c>
      <c r="Q1332" s="0" t="s">
        <v>146</v>
      </c>
      <c r="R1332" s="0" t="n">
        <v>44483</v>
      </c>
      <c r="AD1332" s="0" t="s">
        <v>147</v>
      </c>
      <c r="AE1332" s="0" t="s">
        <v>148</v>
      </c>
      <c r="AF1332" s="0" t="s">
        <v>149</v>
      </c>
      <c r="AH1332" s="0" t="n">
        <v>14</v>
      </c>
      <c r="AI1332" s="0" t="n">
        <v>11</v>
      </c>
      <c r="AN1332" s="0" t="s">
        <v>145</v>
      </c>
      <c r="AO1332" s="0" t="s">
        <v>150</v>
      </c>
      <c r="AP1332" s="0" t="s">
        <v>151</v>
      </c>
      <c r="AQ1332" s="0" t="n">
        <v>9</v>
      </c>
      <c r="AR1332" s="0" t="n">
        <v>64</v>
      </c>
      <c r="AS1332" s="0" t="n">
        <v>32</v>
      </c>
      <c r="AU1332" s="0" t="n">
        <f aca="false">COUNTA($BA$876:$EH$876)</f>
        <v>1</v>
      </c>
      <c r="AV1332" s="0" t="n">
        <f aca="false">COUNTIF($BA$876:$EH$876,"D")</f>
        <v>0</v>
      </c>
      <c r="AW1332" s="0" t="n">
        <f aca="false">COUNTIF($BA$876:$EH$876,"R")</f>
        <v>0</v>
      </c>
      <c r="AX1332" s="0" t="n">
        <f aca="false">IF(BN1332="D",1,0)+IF(BO1332="D",1,0)+IF(BT1332="D",1,0)+IF(BU1332="D",1,0)+IF(BW1332="D",1,0)+IF(CC1332="D",1,0)+IF(CD1332="D",1,0)+IF(CE1332="D",1,0)+IF(CF1332="D",1,0)+IF(CL1332="D",1,0)+IF(CM1332="D",1,0)+IF(CQ1332="D",1,0)+IF(CR1332="D",1,0)+IF(CS1332="D",1,0)+IF(CW1332="D",1,0)+IF(CX1332="D",1,0)+IF(DD1332="D",1,0)+IF(DE1332="D",1,0)+IF(DJ1332="D",1,0)+IF(DK1332="D",1,0)+IF(DO1332="D",1,0)+IF(DP1332="D",1,0)+IF(DQ1332="D",1,0)+IF(DW1332="D",1,0)+IF(DZ1332="D",1,0)+IF(EH1332="D",1,0)</f>
        <v>3</v>
      </c>
      <c r="AY1332" s="0" t="n">
        <f aca="false">COUNTIF(DU1332:EH1332, "&lt;&gt;")</f>
        <v>7</v>
      </c>
      <c r="AZ1332" s="0" t="n">
        <f aca="false">IF(EH1332&lt;&gt;"",1,0)</f>
        <v>1</v>
      </c>
      <c r="BB1332" s="0" t="s">
        <v>152</v>
      </c>
      <c r="BC1332" s="0" t="s">
        <v>153</v>
      </c>
      <c r="BD1332" s="0" t="s">
        <v>153</v>
      </c>
      <c r="BH1332" s="0" t="s">
        <v>153</v>
      </c>
      <c r="BJ1332" s="0" t="s">
        <v>153</v>
      </c>
      <c r="BK1332" s="0" t="s">
        <v>153</v>
      </c>
      <c r="BL1332" s="0" t="s">
        <v>153</v>
      </c>
      <c r="BP1332" s="0" t="s">
        <v>153</v>
      </c>
      <c r="BS1332" s="0" t="s">
        <v>153</v>
      </c>
      <c r="BY1332" s="0" t="s">
        <v>175</v>
      </c>
      <c r="CA1332" s="0" t="s">
        <v>153</v>
      </c>
      <c r="CK1332" s="0" t="s">
        <v>153</v>
      </c>
      <c r="CN1332" s="0" t="s">
        <v>153</v>
      </c>
      <c r="CP1332" s="0" t="s">
        <v>153</v>
      </c>
      <c r="CV1332" s="0" t="s">
        <v>153</v>
      </c>
      <c r="CY1332" s="0" t="s">
        <v>153</v>
      </c>
      <c r="CZ1332" s="0" t="s">
        <v>175</v>
      </c>
      <c r="DC1332" s="0" t="s">
        <v>153</v>
      </c>
      <c r="DI1332" s="0" t="s">
        <v>153</v>
      </c>
      <c r="DJ1332" s="0" t="s">
        <v>175</v>
      </c>
      <c r="DL1332" s="0" t="s">
        <v>153</v>
      </c>
      <c r="DN1332" s="0" t="s">
        <v>153</v>
      </c>
      <c r="DU1332" s="0" t="s">
        <v>153</v>
      </c>
      <c r="DW1332" s="0" t="s">
        <v>175</v>
      </c>
      <c r="DX1332" s="0" t="s">
        <v>153</v>
      </c>
      <c r="EA1332" s="0" t="s">
        <v>153</v>
      </c>
      <c r="ED1332" s="0" t="s">
        <v>175</v>
      </c>
      <c r="EF1332" s="0" t="s">
        <v>153</v>
      </c>
      <c r="EH1332" s="0" t="s">
        <v>175</v>
      </c>
    </row>
    <row r="1333" customFormat="false" ht="13.8" hidden="true" customHeight="false" outlineLevel="0" collapsed="false">
      <c r="A1333" s="0" t="s">
        <v>6215</v>
      </c>
      <c r="B1333" s="0" t="n">
        <v>78</v>
      </c>
      <c r="C1333" s="0" t="n">
        <v>379656</v>
      </c>
      <c r="D1333" s="0" t="s">
        <v>761</v>
      </c>
      <c r="E1333" s="0" t="s">
        <v>6216</v>
      </c>
      <c r="F1333" s="0" t="str">
        <f aca="false">CONCATENATE(D1333," ",LEFT(H1333,4),"T=",AU1333,"D=",AV1333,"R=",AW1333,"M=",AX1333,"L=",AY1333,"B=",AZ1333)</f>
        <v>BROWN T=18D=4R=1M=0L=0B=0</v>
      </c>
      <c r="G1333" s="0" t="s">
        <v>307</v>
      </c>
      <c r="I1333" s="0" t="s">
        <v>6217</v>
      </c>
      <c r="J1333" s="0" t="s">
        <v>1139</v>
      </c>
      <c r="K1333" s="0" t="s">
        <v>143</v>
      </c>
      <c r="M1333" s="0" t="s">
        <v>6218</v>
      </c>
      <c r="N1333" s="0" t="str">
        <f aca="false">RIGHT(M1333,LEN(M1333)-FIND(" ",M1333))</f>
        <v>LAIRD AVE SE</v>
      </c>
      <c r="P1333" s="0" t="s">
        <v>145</v>
      </c>
      <c r="Q1333" s="0" t="s">
        <v>146</v>
      </c>
      <c r="R1333" s="0" t="n">
        <v>44483</v>
      </c>
      <c r="AD1333" s="0" t="s">
        <v>147</v>
      </c>
      <c r="AE1333" s="0" t="s">
        <v>148</v>
      </c>
      <c r="AF1333" s="0" t="s">
        <v>149</v>
      </c>
      <c r="AH1333" s="0" t="n">
        <v>14</v>
      </c>
      <c r="AI1333" s="0" t="n">
        <v>11</v>
      </c>
      <c r="AN1333" s="0" t="s">
        <v>145</v>
      </c>
      <c r="AO1333" s="0" t="s">
        <v>150</v>
      </c>
      <c r="AP1333" s="0" t="s">
        <v>151</v>
      </c>
      <c r="AQ1333" s="0" t="n">
        <v>9</v>
      </c>
      <c r="AR1333" s="0" t="n">
        <v>64</v>
      </c>
      <c r="AS1333" s="0" t="n">
        <v>32</v>
      </c>
      <c r="AU1333" s="0" t="n">
        <f aca="false">COUNTA($BA$762:$EH$762)</f>
        <v>18</v>
      </c>
      <c r="AV1333" s="0" t="n">
        <f aca="false">COUNTIF($BA$762:$EH$762,"D")</f>
        <v>4</v>
      </c>
      <c r="AW1333" s="0" t="n">
        <f aca="false">COUNTIF($BA$762:$EH$762,"R")</f>
        <v>1</v>
      </c>
      <c r="AX1333" s="0" t="n">
        <f aca="false">IF(BN1333="D",1,0)+IF(BO1333="D",1,0)+IF(BT1333="D",1,0)+IF(BU1333="D",1,0)+IF(BW1333="D",1,0)+IF(CC1333="D",1,0)+IF(CD1333="D",1,0)+IF(CE1333="D",1,0)+IF(CF1333="D",1,0)+IF(CL1333="D",1,0)+IF(CM1333="D",1,0)+IF(CQ1333="D",1,0)+IF(CR1333="D",1,0)+IF(CS1333="D",1,0)+IF(CW1333="D",1,0)+IF(CX1333="D",1,0)+IF(DD1333="D",1,0)+IF(DE1333="D",1,0)+IF(DJ1333="D",1,0)+IF(DK1333="D",1,0)+IF(DO1333="D",1,0)+IF(DP1333="D",1,0)+IF(DQ1333="D",1,0)+IF(DW1333="D",1,0)+IF(DZ1333="D",1,0)+IF(EH1333="D",1,0)</f>
        <v>0</v>
      </c>
      <c r="AY1333" s="0" t="n">
        <f aca="false">COUNTIF(DU1333:EH1333, "&lt;&gt;")</f>
        <v>0</v>
      </c>
      <c r="AZ1333" s="0" t="n">
        <f aca="false">IF(EH1333&lt;&gt;"",1,0)</f>
        <v>0</v>
      </c>
      <c r="BB1333" s="0" t="s">
        <v>152</v>
      </c>
      <c r="CN1333" s="0" t="s">
        <v>153</v>
      </c>
      <c r="CP1333" s="0" t="s">
        <v>153</v>
      </c>
      <c r="CZ1333" s="0" t="s">
        <v>175</v>
      </c>
      <c r="DC1333" s="0" t="s">
        <v>153</v>
      </c>
      <c r="DN1333" s="0" t="s">
        <v>153</v>
      </c>
    </row>
    <row r="1334" customFormat="false" ht="13.8" hidden="true" customHeight="false" outlineLevel="0" collapsed="false">
      <c r="A1334" s="0" t="s">
        <v>6219</v>
      </c>
      <c r="B1334" s="0" t="n">
        <v>78</v>
      </c>
      <c r="C1334" s="0" t="n">
        <v>484507</v>
      </c>
      <c r="D1334" s="0" t="s">
        <v>3193</v>
      </c>
      <c r="E1334" s="0" t="s">
        <v>1451</v>
      </c>
      <c r="F1334" s="0" t="str">
        <f aca="false">CONCATENATE(D1334," ",LEFT(H1334,4),"T=",AU1334,"D=",AV1334,"R=",AW1334,"M=",AX1334,"L=",AY1334,"B=",AZ1334)</f>
        <v>CARTER IIIT=4D=0R=0M=0L=1B=0</v>
      </c>
      <c r="G1334" s="0" t="s">
        <v>190</v>
      </c>
      <c r="H1334" s="0" t="s">
        <v>1932</v>
      </c>
      <c r="I1334" s="0" t="s">
        <v>6220</v>
      </c>
      <c r="J1334" s="0" t="s">
        <v>6221</v>
      </c>
      <c r="K1334" s="0" t="s">
        <v>160</v>
      </c>
      <c r="M1334" s="0" t="s">
        <v>6222</v>
      </c>
      <c r="N1334" s="0" t="str">
        <f aca="false">RIGHT(M1334,LEN(M1334)-FIND(" ",M1334))</f>
        <v>LAIRD AVE SE</v>
      </c>
      <c r="O1334" s="0" t="s">
        <v>220</v>
      </c>
      <c r="P1334" s="0" t="s">
        <v>145</v>
      </c>
      <c r="Q1334" s="0" t="s">
        <v>146</v>
      </c>
      <c r="R1334" s="0" t="n">
        <v>44483</v>
      </c>
      <c r="S1334" s="0" t="n">
        <v>6062</v>
      </c>
      <c r="AD1334" s="0" t="s">
        <v>147</v>
      </c>
      <c r="AE1334" s="0" t="s">
        <v>148</v>
      </c>
      <c r="AF1334" s="0" t="s">
        <v>149</v>
      </c>
      <c r="AH1334" s="0" t="n">
        <v>14</v>
      </c>
      <c r="AI1334" s="0" t="n">
        <v>11</v>
      </c>
      <c r="AN1334" s="0" t="s">
        <v>145</v>
      </c>
      <c r="AO1334" s="0" t="s">
        <v>150</v>
      </c>
      <c r="AP1334" s="0" t="s">
        <v>151</v>
      </c>
      <c r="AQ1334" s="0" t="n">
        <v>9</v>
      </c>
      <c r="AR1334" s="0" t="n">
        <v>64</v>
      </c>
      <c r="AS1334" s="0" t="n">
        <v>32</v>
      </c>
      <c r="AU1334" s="0" t="n">
        <f aca="false">COUNTA($BA$175:$EH$175)</f>
        <v>4</v>
      </c>
      <c r="AV1334" s="0" t="n">
        <f aca="false">COUNTIF($BA$175:$EH$175,"D")</f>
        <v>0</v>
      </c>
      <c r="AW1334" s="0" t="n">
        <f aca="false">COUNTIF($BA$175:$EH$175,"R")</f>
        <v>0</v>
      </c>
      <c r="AX1334" s="0" t="n">
        <f aca="false">IF(BN1334="D",1,0)+IF(BO1334="D",1,0)+IF(BT1334="D",1,0)+IF(BU1334="D",1,0)+IF(BW1334="D",1,0)+IF(CC1334="D",1,0)+IF(CD1334="D",1,0)+IF(CE1334="D",1,0)+IF(CF1334="D",1,0)+IF(CL1334="D",1,0)+IF(CM1334="D",1,0)+IF(CQ1334="D",1,0)+IF(CR1334="D",1,0)+IF(CS1334="D",1,0)+IF(CW1334="D",1,0)+IF(CX1334="D",1,0)+IF(DD1334="D",1,0)+IF(DE1334="D",1,0)+IF(DJ1334="D",1,0)+IF(DK1334="D",1,0)+IF(DO1334="D",1,0)+IF(DP1334="D",1,0)+IF(DQ1334="D",1,0)+IF(DW1334="D",1,0)+IF(DZ1334="D",1,0)+IF(EH1334="D",1,0)</f>
        <v>0</v>
      </c>
      <c r="AY1334" s="0" t="n">
        <f aca="false">COUNTIF(DU1334:EH1334, "&lt;&gt;")</f>
        <v>1</v>
      </c>
      <c r="AZ1334" s="0" t="n">
        <f aca="false">IF(EH1334&lt;&gt;"",1,0)</f>
        <v>0</v>
      </c>
      <c r="BB1334" s="0" t="s">
        <v>152</v>
      </c>
      <c r="EF1334" s="0" t="s">
        <v>153</v>
      </c>
    </row>
    <row r="1335" customFormat="false" ht="13.8" hidden="true" customHeight="false" outlineLevel="0" collapsed="false">
      <c r="A1335" s="0" t="s">
        <v>6223</v>
      </c>
      <c r="B1335" s="0" t="n">
        <v>78</v>
      </c>
      <c r="C1335" s="0" t="n">
        <v>424230</v>
      </c>
      <c r="D1335" s="0" t="s">
        <v>2233</v>
      </c>
      <c r="E1335" s="0" t="s">
        <v>1699</v>
      </c>
      <c r="F1335" s="0" t="str">
        <f aca="false">CONCATENATE(D1335," ",LEFT(H1335,4),"T=",AU1335,"D=",AV1335,"R=",AW1335,"M=",AX1335,"L=",AY1335,"B=",AZ1335)</f>
        <v>WATSON T=22D=6R=0M=0L=0B=0</v>
      </c>
      <c r="G1335" s="0" t="s">
        <v>275</v>
      </c>
      <c r="I1335" s="0" t="s">
        <v>6224</v>
      </c>
      <c r="J1335" s="0" t="s">
        <v>4591</v>
      </c>
      <c r="K1335" s="0" t="s">
        <v>160</v>
      </c>
      <c r="M1335" s="0" t="s">
        <v>6222</v>
      </c>
      <c r="N1335" s="0" t="str">
        <f aca="false">RIGHT(M1335,LEN(M1335)-FIND(" ",M1335))</f>
        <v>LAIRD AVE SE</v>
      </c>
      <c r="O1335" s="0" t="s">
        <v>6225</v>
      </c>
      <c r="P1335" s="0" t="s">
        <v>145</v>
      </c>
      <c r="Q1335" s="0" t="s">
        <v>146</v>
      </c>
      <c r="R1335" s="0" t="n">
        <v>44483</v>
      </c>
      <c r="AD1335" s="0" t="s">
        <v>147</v>
      </c>
      <c r="AE1335" s="0" t="s">
        <v>148</v>
      </c>
      <c r="AF1335" s="0" t="s">
        <v>149</v>
      </c>
      <c r="AH1335" s="0" t="n">
        <v>14</v>
      </c>
      <c r="AI1335" s="0" t="n">
        <v>11</v>
      </c>
      <c r="AN1335" s="0" t="s">
        <v>145</v>
      </c>
      <c r="AO1335" s="0" t="s">
        <v>150</v>
      </c>
      <c r="AP1335" s="0" t="s">
        <v>151</v>
      </c>
      <c r="AQ1335" s="0" t="n">
        <v>9</v>
      </c>
      <c r="AR1335" s="0" t="n">
        <v>64</v>
      </c>
      <c r="AS1335" s="0" t="n">
        <v>32</v>
      </c>
      <c r="AU1335" s="0" t="n">
        <f aca="false">COUNTA($BA$252:$EH$252)</f>
        <v>22</v>
      </c>
      <c r="AV1335" s="0" t="n">
        <f aca="false">COUNTIF($BA$252:$EH$252,"D")</f>
        <v>6</v>
      </c>
      <c r="AW1335" s="0" t="n">
        <f aca="false">COUNTIF($BA$252:$EH$252,"R")</f>
        <v>0</v>
      </c>
      <c r="AX1335" s="0" t="n">
        <f aca="false">IF(BN1335="D",1,0)+IF(BO1335="D",1,0)+IF(BT1335="D",1,0)+IF(BU1335="D",1,0)+IF(BW1335="D",1,0)+IF(CC1335="D",1,0)+IF(CD1335="D",1,0)+IF(CE1335="D",1,0)+IF(CF1335="D",1,0)+IF(CL1335="D",1,0)+IF(CM1335="D",1,0)+IF(CQ1335="D",1,0)+IF(CR1335="D",1,0)+IF(CS1335="D",1,0)+IF(CW1335="D",1,0)+IF(CX1335="D",1,0)+IF(DD1335="D",1,0)+IF(DE1335="D",1,0)+IF(DJ1335="D",1,0)+IF(DK1335="D",1,0)+IF(DO1335="D",1,0)+IF(DP1335="D",1,0)+IF(DQ1335="D",1,0)+IF(DW1335="D",1,0)+IF(DZ1335="D",1,0)+IF(EH1335="D",1,0)</f>
        <v>0</v>
      </c>
      <c r="AY1335" s="0" t="n">
        <f aca="false">COUNTIF(DU1335:EH1335, "&lt;&gt;")</f>
        <v>0</v>
      </c>
      <c r="AZ1335" s="0" t="n">
        <f aca="false">IF(EH1335&lt;&gt;"",1,0)</f>
        <v>0</v>
      </c>
      <c r="BB1335" s="0" t="s">
        <v>152</v>
      </c>
    </row>
    <row r="1336" customFormat="false" ht="13.8" hidden="true" customHeight="false" outlineLevel="0" collapsed="false">
      <c r="A1336" s="0" t="s">
        <v>6226</v>
      </c>
      <c r="B1336" s="0" t="n">
        <v>78</v>
      </c>
      <c r="C1336" s="0" t="n">
        <v>316557</v>
      </c>
      <c r="D1336" s="0" t="s">
        <v>718</v>
      </c>
      <c r="E1336" s="0" t="s">
        <v>1335</v>
      </c>
      <c r="F1336" s="0" t="str">
        <f aca="false">CONCATENATE(D1336," ",LEFT(H1336,4),"T=",AU1336,"D=",AV1336,"R=",AW1336,"M=",AX1336,"L=",AY1336,"B=",AZ1336)</f>
        <v>WHITE T=1D=0R=0M=0L=1B=0</v>
      </c>
      <c r="G1336" s="0" t="s">
        <v>4479</v>
      </c>
      <c r="I1336" s="0" t="s">
        <v>6227</v>
      </c>
      <c r="J1336" s="0" t="s">
        <v>404</v>
      </c>
      <c r="K1336" s="0" t="s">
        <v>160</v>
      </c>
      <c r="M1336" s="0" t="s">
        <v>6228</v>
      </c>
      <c r="N1336" s="0" t="str">
        <f aca="false">RIGHT(M1336,LEN(M1336)-FIND(" ",M1336))</f>
        <v>LAIRD AVE SE</v>
      </c>
      <c r="P1336" s="0" t="s">
        <v>145</v>
      </c>
      <c r="Q1336" s="0" t="s">
        <v>146</v>
      </c>
      <c r="R1336" s="0" t="n">
        <v>44483</v>
      </c>
      <c r="AD1336" s="0" t="s">
        <v>147</v>
      </c>
      <c r="AE1336" s="0" t="s">
        <v>148</v>
      </c>
      <c r="AF1336" s="0" t="s">
        <v>149</v>
      </c>
      <c r="AH1336" s="0" t="n">
        <v>14</v>
      </c>
      <c r="AI1336" s="0" t="n">
        <v>11</v>
      </c>
      <c r="AN1336" s="0" t="s">
        <v>145</v>
      </c>
      <c r="AO1336" s="0" t="s">
        <v>150</v>
      </c>
      <c r="AP1336" s="0" t="s">
        <v>151</v>
      </c>
      <c r="AQ1336" s="0" t="n">
        <v>9</v>
      </c>
      <c r="AR1336" s="0" t="n">
        <v>64</v>
      </c>
      <c r="AS1336" s="0" t="n">
        <v>32</v>
      </c>
      <c r="AU1336" s="0" t="n">
        <f aca="false">COUNTA($BA$567:$EH$567)</f>
        <v>1</v>
      </c>
      <c r="AV1336" s="0" t="n">
        <f aca="false">COUNTIF($BA$567:$EH$567,"D")</f>
        <v>0</v>
      </c>
      <c r="AW1336" s="0" t="n">
        <f aca="false">COUNTIF($BA$567:$EH$567,"R")</f>
        <v>0</v>
      </c>
      <c r="AX1336" s="0" t="n">
        <f aca="false">IF(BN1336="D",1,0)+IF(BO1336="D",1,0)+IF(BT1336="D",1,0)+IF(BU1336="D",1,0)+IF(BW1336="D",1,0)+IF(CC1336="D",1,0)+IF(CD1336="D",1,0)+IF(CE1336="D",1,0)+IF(CF1336="D",1,0)+IF(CL1336="D",1,0)+IF(CM1336="D",1,0)+IF(CQ1336="D",1,0)+IF(CR1336="D",1,0)+IF(CS1336="D",1,0)+IF(CW1336="D",1,0)+IF(CX1336="D",1,0)+IF(DD1336="D",1,0)+IF(DE1336="D",1,0)+IF(DJ1336="D",1,0)+IF(DK1336="D",1,0)+IF(DO1336="D",1,0)+IF(DP1336="D",1,0)+IF(DQ1336="D",1,0)+IF(DW1336="D",1,0)+IF(DZ1336="D",1,0)+IF(EH1336="D",1,0)</f>
        <v>0</v>
      </c>
      <c r="AY1336" s="0" t="n">
        <f aca="false">COUNTIF(DU1336:EH1336, "&lt;&gt;")</f>
        <v>1</v>
      </c>
      <c r="AZ1336" s="0" t="n">
        <f aca="false">IF(EH1336&lt;&gt;"",1,0)</f>
        <v>0</v>
      </c>
      <c r="BB1336" s="0" t="s">
        <v>152</v>
      </c>
      <c r="BL1336" s="0" t="s">
        <v>153</v>
      </c>
      <c r="CA1336" s="0" t="s">
        <v>153</v>
      </c>
      <c r="EF1336" s="0" t="s">
        <v>153</v>
      </c>
    </row>
    <row r="1337" customFormat="false" ht="13.8" hidden="true" customHeight="false" outlineLevel="0" collapsed="false">
      <c r="A1337" s="0" t="s">
        <v>6229</v>
      </c>
      <c r="B1337" s="0" t="n">
        <v>78</v>
      </c>
      <c r="C1337" s="0" t="n">
        <v>437290</v>
      </c>
      <c r="D1337" s="0" t="s">
        <v>6230</v>
      </c>
      <c r="E1337" s="0" t="s">
        <v>517</v>
      </c>
      <c r="F1337" s="0" t="str">
        <f aca="false">CONCATENATE(D1337," ",LEFT(H1337,4),"T=",AU1337,"D=",AV1337,"R=",AW1337,"M=",AX1337,"L=",AY1337,"B=",AZ1337)</f>
        <v>RAFFERTY T=1D=0R=0M=0L=0B=0</v>
      </c>
      <c r="G1337" s="0" t="s">
        <v>209</v>
      </c>
      <c r="I1337" s="0" t="s">
        <v>6231</v>
      </c>
      <c r="J1337" s="0" t="s">
        <v>6232</v>
      </c>
      <c r="K1337" s="0" t="s">
        <v>160</v>
      </c>
      <c r="M1337" s="0" t="s">
        <v>6233</v>
      </c>
      <c r="N1337" s="0" t="str">
        <f aca="false">RIGHT(M1337,LEN(M1337)-FIND(" ",M1337))</f>
        <v>LAIRD AVE SE</v>
      </c>
      <c r="P1337" s="0" t="s">
        <v>145</v>
      </c>
      <c r="Q1337" s="0" t="s">
        <v>146</v>
      </c>
      <c r="R1337" s="0" t="n">
        <v>44484</v>
      </c>
      <c r="AD1337" s="0" t="s">
        <v>147</v>
      </c>
      <c r="AE1337" s="0" t="s">
        <v>148</v>
      </c>
      <c r="AF1337" s="0" t="s">
        <v>149</v>
      </c>
      <c r="AH1337" s="0" t="n">
        <v>14</v>
      </c>
      <c r="AI1337" s="0" t="n">
        <v>11</v>
      </c>
      <c r="AN1337" s="0" t="s">
        <v>145</v>
      </c>
      <c r="AO1337" s="0" t="s">
        <v>150</v>
      </c>
      <c r="AP1337" s="0" t="s">
        <v>151</v>
      </c>
      <c r="AQ1337" s="0" t="n">
        <v>9</v>
      </c>
      <c r="AR1337" s="0" t="n">
        <v>64</v>
      </c>
      <c r="AS1337" s="0" t="n">
        <v>32</v>
      </c>
      <c r="AU1337" s="0" t="n">
        <f aca="false">COUNTA($BA$53:$EH$53)</f>
        <v>1</v>
      </c>
      <c r="AV1337" s="0" t="n">
        <f aca="false">COUNTIF($BA$53:$EH$53,"D")</f>
        <v>0</v>
      </c>
      <c r="AW1337" s="0" t="n">
        <f aca="false">COUNTIF($BA$53:$EH$53,"R")</f>
        <v>0</v>
      </c>
      <c r="AX1337" s="0" t="n">
        <f aca="false">IF(BN1337="D",1,0)+IF(BO1337="D",1,0)+IF(BT1337="D",1,0)+IF(BU1337="D",1,0)+IF(BW1337="D",1,0)+IF(CC1337="D",1,0)+IF(CD1337="D",1,0)+IF(CE1337="D",1,0)+IF(CF1337="D",1,0)+IF(CL1337="D",1,0)+IF(CM1337="D",1,0)+IF(CQ1337="D",1,0)+IF(CR1337="D",1,0)+IF(CS1337="D",1,0)+IF(CW1337="D",1,0)+IF(CX1337="D",1,0)+IF(DD1337="D",1,0)+IF(DE1337="D",1,0)+IF(DJ1337="D",1,0)+IF(DK1337="D",1,0)+IF(DO1337="D",1,0)+IF(DP1337="D",1,0)+IF(DQ1337="D",1,0)+IF(DW1337="D",1,0)+IF(DZ1337="D",1,0)+IF(EH1337="D",1,0)</f>
        <v>0</v>
      </c>
      <c r="AY1337" s="0" t="n">
        <f aca="false">COUNTIF(DU1337:EH1337, "&lt;&gt;")</f>
        <v>0</v>
      </c>
      <c r="AZ1337" s="0" t="n">
        <f aca="false">IF(EH1337&lt;&gt;"",1,0)</f>
        <v>0</v>
      </c>
      <c r="BB1337" s="0" t="s">
        <v>152</v>
      </c>
    </row>
    <row r="1338" customFormat="false" ht="13.8" hidden="false" customHeight="false" outlineLevel="0" collapsed="false">
      <c r="A1338" s="0" t="s">
        <v>6234</v>
      </c>
      <c r="B1338" s="0" t="n">
        <v>78</v>
      </c>
      <c r="C1338" s="0" t="n">
        <v>440186</v>
      </c>
      <c r="D1338" s="0" t="s">
        <v>6235</v>
      </c>
      <c r="E1338" s="0" t="s">
        <v>958</v>
      </c>
      <c r="F1338" s="0" t="str">
        <f aca="false">CONCATENATE(D1338," ",LEFT(H1338,4),"T=",AU1338,"D=",AV1338,"R=",AW1338,"M=",AX1338,"L=",AY1338,"B=",AZ1338)</f>
        <v>SPITZER T=5D=0R=0M=0L=4B=0</v>
      </c>
      <c r="G1338" s="0" t="s">
        <v>140</v>
      </c>
      <c r="I1338" s="0" t="s">
        <v>6236</v>
      </c>
      <c r="J1338" s="0" t="s">
        <v>6237</v>
      </c>
      <c r="K1338" s="0" t="s">
        <v>160</v>
      </c>
      <c r="M1338" s="0" t="s">
        <v>6233</v>
      </c>
      <c r="N1338" s="0" t="str">
        <f aca="false">RIGHT(M1338,LEN(M1338)-FIND(" ",M1338))</f>
        <v>LAIRD AVE SE</v>
      </c>
      <c r="P1338" s="0" t="s">
        <v>145</v>
      </c>
      <c r="Q1338" s="0" t="s">
        <v>146</v>
      </c>
      <c r="R1338" s="0" t="n">
        <v>44484</v>
      </c>
      <c r="AD1338" s="0" t="s">
        <v>147</v>
      </c>
      <c r="AE1338" s="0" t="s">
        <v>148</v>
      </c>
      <c r="AF1338" s="0" t="s">
        <v>149</v>
      </c>
      <c r="AH1338" s="0" t="n">
        <v>14</v>
      </c>
      <c r="AI1338" s="0" t="n">
        <v>11</v>
      </c>
      <c r="AN1338" s="0" t="s">
        <v>145</v>
      </c>
      <c r="AO1338" s="0" t="s">
        <v>150</v>
      </c>
      <c r="AP1338" s="0" t="s">
        <v>151</v>
      </c>
      <c r="AQ1338" s="0" t="n">
        <v>9</v>
      </c>
      <c r="AR1338" s="0" t="n">
        <v>64</v>
      </c>
      <c r="AS1338" s="0" t="n">
        <v>32</v>
      </c>
      <c r="AU1338" s="0" t="n">
        <f aca="false">COUNTA($BA$181:$EH$181)</f>
        <v>5</v>
      </c>
      <c r="AV1338" s="0" t="n">
        <f aca="false">COUNTIF($BA$181:$EH$181,"D")</f>
        <v>0</v>
      </c>
      <c r="AW1338" s="0" t="n">
        <f aca="false">COUNTIF($BA$181:$EH$181,"R")</f>
        <v>0</v>
      </c>
      <c r="AX1338" s="0" t="n">
        <f aca="false">IF(BN1338="D",1,0)+IF(BO1338="D",1,0)+IF(BT1338="D",1,0)+IF(BU1338="D",1,0)+IF(BW1338="D",1,0)+IF(CC1338="D",1,0)+IF(CD1338="D",1,0)+IF(CE1338="D",1,0)+IF(CF1338="D",1,0)+IF(CL1338="D",1,0)+IF(CM1338="D",1,0)+IF(CQ1338="D",1,0)+IF(CR1338="D",1,0)+IF(CS1338="D",1,0)+IF(CW1338="D",1,0)+IF(CX1338="D",1,0)+IF(DD1338="D",1,0)+IF(DE1338="D",1,0)+IF(DJ1338="D",1,0)+IF(DK1338="D",1,0)+IF(DO1338="D",1,0)+IF(DP1338="D",1,0)+IF(DQ1338="D",1,0)+IF(DW1338="D",1,0)+IF(DZ1338="D",1,0)+IF(EH1338="D",1,0)</f>
        <v>0</v>
      </c>
      <c r="AY1338" s="0" t="n">
        <f aca="false">COUNTIF(DU1338:EH1338, "&lt;&gt;")</f>
        <v>4</v>
      </c>
      <c r="AZ1338" s="0" t="n">
        <f aca="false">IF(EH1338&lt;&gt;"",1,0)</f>
        <v>0</v>
      </c>
      <c r="BB1338" s="0" t="s">
        <v>152</v>
      </c>
      <c r="BS1338" s="0" t="s">
        <v>153</v>
      </c>
      <c r="DN1338" s="0" t="s">
        <v>153</v>
      </c>
      <c r="DU1338" s="0" t="s">
        <v>153</v>
      </c>
      <c r="DX1338" s="0" t="s">
        <v>153</v>
      </c>
      <c r="EA1338" s="0" t="s">
        <v>153</v>
      </c>
      <c r="EF1338" s="0" t="s">
        <v>153</v>
      </c>
    </row>
    <row r="1339" customFormat="false" ht="13.8" hidden="true" customHeight="false" outlineLevel="0" collapsed="false">
      <c r="A1339" s="0" t="s">
        <v>6238</v>
      </c>
      <c r="B1339" s="0" t="n">
        <v>78</v>
      </c>
      <c r="C1339" s="0" t="n">
        <v>487149</v>
      </c>
      <c r="D1339" s="0" t="s">
        <v>6230</v>
      </c>
      <c r="E1339" s="0" t="s">
        <v>424</v>
      </c>
      <c r="F1339" s="0" t="str">
        <f aca="false">CONCATENATE(D1339," ",LEFT(H1339,4),"T=",AU1339,"D=",AV1339,"R=",AW1339,"M=",AX1339,"L=",AY1339,"B=",AZ1339)</f>
        <v>RAFFERTY T=1D=0R=0M=0L=0B=0</v>
      </c>
      <c r="G1339" s="0" t="s">
        <v>164</v>
      </c>
      <c r="I1339" s="0" t="s">
        <v>6239</v>
      </c>
      <c r="J1339" s="0" t="s">
        <v>639</v>
      </c>
      <c r="K1339" s="0" t="s">
        <v>160</v>
      </c>
      <c r="M1339" s="0" t="s">
        <v>6233</v>
      </c>
      <c r="N1339" s="0" t="str">
        <f aca="false">RIGHT(M1339,LEN(M1339)-FIND(" ",M1339))</f>
        <v>LAIRD AVE SE</v>
      </c>
      <c r="P1339" s="0" t="s">
        <v>145</v>
      </c>
      <c r="Q1339" s="0" t="s">
        <v>146</v>
      </c>
      <c r="R1339" s="0" t="n">
        <v>44484</v>
      </c>
      <c r="AD1339" s="0" t="s">
        <v>147</v>
      </c>
      <c r="AE1339" s="0" t="s">
        <v>148</v>
      </c>
      <c r="AF1339" s="0" t="s">
        <v>149</v>
      </c>
      <c r="AH1339" s="0" t="n">
        <v>14</v>
      </c>
      <c r="AI1339" s="0" t="n">
        <v>11</v>
      </c>
      <c r="AN1339" s="0" t="s">
        <v>145</v>
      </c>
      <c r="AO1339" s="0" t="s">
        <v>150</v>
      </c>
      <c r="AP1339" s="0" t="s">
        <v>151</v>
      </c>
      <c r="AQ1339" s="0" t="n">
        <v>9</v>
      </c>
      <c r="AR1339" s="0" t="n">
        <v>64</v>
      </c>
      <c r="AS1339" s="0" t="n">
        <v>32</v>
      </c>
      <c r="AU1339" s="0" t="n">
        <f aca="false">COUNTA($BA$299:$EH$299)</f>
        <v>1</v>
      </c>
      <c r="AV1339" s="0" t="n">
        <f aca="false">COUNTIF($BA$299:$EH$299,"D")</f>
        <v>0</v>
      </c>
      <c r="AW1339" s="0" t="n">
        <f aca="false">COUNTIF($BA$299:$EH$299,"R")</f>
        <v>0</v>
      </c>
      <c r="AX1339" s="0" t="n">
        <f aca="false">IF(BN1339="D",1,0)+IF(BO1339="D",1,0)+IF(BT1339="D",1,0)+IF(BU1339="D",1,0)+IF(BW1339="D",1,0)+IF(CC1339="D",1,0)+IF(CD1339="D",1,0)+IF(CE1339="D",1,0)+IF(CF1339="D",1,0)+IF(CL1339="D",1,0)+IF(CM1339="D",1,0)+IF(CQ1339="D",1,0)+IF(CR1339="D",1,0)+IF(CS1339="D",1,0)+IF(CW1339="D",1,0)+IF(CX1339="D",1,0)+IF(DD1339="D",1,0)+IF(DE1339="D",1,0)+IF(DJ1339="D",1,0)+IF(DK1339="D",1,0)+IF(DO1339="D",1,0)+IF(DP1339="D",1,0)+IF(DQ1339="D",1,0)+IF(DW1339="D",1,0)+IF(DZ1339="D",1,0)+IF(EH1339="D",1,0)</f>
        <v>0</v>
      </c>
      <c r="AY1339" s="0" t="n">
        <f aca="false">COUNTIF(DU1339:EH1339, "&lt;&gt;")</f>
        <v>0</v>
      </c>
      <c r="AZ1339" s="0" t="n">
        <f aca="false">IF(EH1339&lt;&gt;"",1,0)</f>
        <v>0</v>
      </c>
      <c r="BB1339" s="0" t="s">
        <v>152</v>
      </c>
    </row>
    <row r="1340" customFormat="false" ht="13.8" hidden="true" customHeight="false" outlineLevel="0" collapsed="false">
      <c r="A1340" s="0" t="s">
        <v>6240</v>
      </c>
      <c r="B1340" s="0" t="n">
        <v>78</v>
      </c>
      <c r="C1340" s="0" t="n">
        <v>414870</v>
      </c>
      <c r="D1340" s="0" t="s">
        <v>6241</v>
      </c>
      <c r="E1340" s="0" t="s">
        <v>6242</v>
      </c>
      <c r="F1340" s="0" t="str">
        <f aca="false">CONCATENATE(D1340," ",LEFT(H1340,4),"T=",AU1340,"D=",AV1340,"R=",AW1340,"M=",AX1340,"L=",AY1340,"B=",AZ1340)</f>
        <v>EDMONDS SRT=1D=0R=0M=0L=0B=0</v>
      </c>
      <c r="G1340" s="0" t="s">
        <v>325</v>
      </c>
      <c r="H1340" s="0" t="s">
        <v>216</v>
      </c>
      <c r="I1340" s="0" t="s">
        <v>6243</v>
      </c>
      <c r="J1340" s="0" t="s">
        <v>6244</v>
      </c>
      <c r="K1340" s="0" t="s">
        <v>143</v>
      </c>
      <c r="M1340" s="0" t="s">
        <v>6233</v>
      </c>
      <c r="N1340" s="0" t="str">
        <f aca="false">RIGHT(M1340,LEN(M1340)-FIND(" ",M1340))</f>
        <v>LAIRD AVE SE</v>
      </c>
      <c r="P1340" s="0" t="s">
        <v>145</v>
      </c>
      <c r="Q1340" s="0" t="s">
        <v>146</v>
      </c>
      <c r="R1340" s="0" t="n">
        <v>44484</v>
      </c>
      <c r="AD1340" s="0" t="s">
        <v>147</v>
      </c>
      <c r="AE1340" s="0" t="s">
        <v>148</v>
      </c>
      <c r="AF1340" s="0" t="s">
        <v>149</v>
      </c>
      <c r="AH1340" s="0" t="n">
        <v>14</v>
      </c>
      <c r="AI1340" s="0" t="n">
        <v>11</v>
      </c>
      <c r="AN1340" s="0" t="s">
        <v>145</v>
      </c>
      <c r="AO1340" s="0" t="s">
        <v>150</v>
      </c>
      <c r="AP1340" s="0" t="s">
        <v>151</v>
      </c>
      <c r="AQ1340" s="0" t="n">
        <v>9</v>
      </c>
      <c r="AR1340" s="0" t="n">
        <v>64</v>
      </c>
      <c r="AS1340" s="0" t="n">
        <v>32</v>
      </c>
      <c r="AU1340" s="0" t="n">
        <f aca="false">COUNTA($BA$417:$EH$417)</f>
        <v>1</v>
      </c>
      <c r="AV1340" s="0" t="n">
        <f aca="false">COUNTIF($BA$417:$EH$417,"D")</f>
        <v>0</v>
      </c>
      <c r="AW1340" s="0" t="n">
        <f aca="false">COUNTIF($BA$417:$EH$417,"R")</f>
        <v>0</v>
      </c>
      <c r="AX1340" s="0" t="n">
        <f aca="false">IF(BN1340="D",1,0)+IF(BO1340="D",1,0)+IF(BT1340="D",1,0)+IF(BU1340="D",1,0)+IF(BW1340="D",1,0)+IF(CC1340="D",1,0)+IF(CD1340="D",1,0)+IF(CE1340="D",1,0)+IF(CF1340="D",1,0)+IF(CL1340="D",1,0)+IF(CM1340="D",1,0)+IF(CQ1340="D",1,0)+IF(CR1340="D",1,0)+IF(CS1340="D",1,0)+IF(CW1340="D",1,0)+IF(CX1340="D",1,0)+IF(DD1340="D",1,0)+IF(DE1340="D",1,0)+IF(DJ1340="D",1,0)+IF(DK1340="D",1,0)+IF(DO1340="D",1,0)+IF(DP1340="D",1,0)+IF(DQ1340="D",1,0)+IF(DW1340="D",1,0)+IF(DZ1340="D",1,0)+IF(EH1340="D",1,0)</f>
        <v>0</v>
      </c>
      <c r="AY1340" s="0" t="n">
        <f aca="false">COUNTIF(DU1340:EH1340, "&lt;&gt;")</f>
        <v>0</v>
      </c>
      <c r="AZ1340" s="0" t="n">
        <f aca="false">IF(EH1340&lt;&gt;"",1,0)</f>
        <v>0</v>
      </c>
      <c r="BB1340" s="0" t="s">
        <v>152</v>
      </c>
    </row>
    <row r="1341" customFormat="false" ht="13.8" hidden="false" customHeight="false" outlineLevel="0" collapsed="false">
      <c r="A1341" s="0" t="s">
        <v>6245</v>
      </c>
      <c r="B1341" s="0" t="n">
        <v>78</v>
      </c>
      <c r="C1341" s="0" t="n">
        <v>472088</v>
      </c>
      <c r="D1341" s="0" t="s">
        <v>6235</v>
      </c>
      <c r="E1341" s="0" t="s">
        <v>3434</v>
      </c>
      <c r="F1341" s="0" t="str">
        <f aca="false">CONCATENATE(D1341," ",LEFT(H1341,4),"T=",AU1341,"D=",AV1341,"R=",AW1341,"M=",AX1341,"L=",AY1341,"B=",AZ1341)</f>
        <v>SPITZER T=2D=0R=0M=0L=2B=0</v>
      </c>
      <c r="G1341" s="0" t="s">
        <v>140</v>
      </c>
      <c r="I1341" s="0" t="s">
        <v>6246</v>
      </c>
      <c r="J1341" s="0" t="s">
        <v>4920</v>
      </c>
      <c r="K1341" s="0" t="s">
        <v>160</v>
      </c>
      <c r="M1341" s="0" t="s">
        <v>6233</v>
      </c>
      <c r="N1341" s="0" t="str">
        <f aca="false">RIGHT(M1341,LEN(M1341)-FIND(" ",M1341))</f>
        <v>LAIRD AVE SE</v>
      </c>
      <c r="P1341" s="0" t="s">
        <v>145</v>
      </c>
      <c r="Q1341" s="0" t="s">
        <v>146</v>
      </c>
      <c r="R1341" s="0" t="n">
        <v>44484</v>
      </c>
      <c r="AD1341" s="0" t="s">
        <v>147</v>
      </c>
      <c r="AE1341" s="0" t="s">
        <v>148</v>
      </c>
      <c r="AF1341" s="0" t="s">
        <v>149</v>
      </c>
      <c r="AH1341" s="0" t="n">
        <v>14</v>
      </c>
      <c r="AI1341" s="0" t="n">
        <v>11</v>
      </c>
      <c r="AN1341" s="0" t="s">
        <v>145</v>
      </c>
      <c r="AO1341" s="0" t="s">
        <v>150</v>
      </c>
      <c r="AP1341" s="0" t="s">
        <v>151</v>
      </c>
      <c r="AQ1341" s="0" t="n">
        <v>9</v>
      </c>
      <c r="AR1341" s="0" t="n">
        <v>64</v>
      </c>
      <c r="AS1341" s="0" t="n">
        <v>32</v>
      </c>
      <c r="AU1341" s="0" t="n">
        <f aca="false">COUNTA($BA$1017:$EH$1017)</f>
        <v>2</v>
      </c>
      <c r="AV1341" s="0" t="n">
        <f aca="false">COUNTIF($BA$1017:$EH$1017,"D")</f>
        <v>0</v>
      </c>
      <c r="AW1341" s="0" t="n">
        <f aca="false">COUNTIF($BA$1017:$EH$1017,"R")</f>
        <v>0</v>
      </c>
      <c r="AX1341" s="0" t="n">
        <f aca="false">IF(BN1341="D",1,0)+IF(BO1341="D",1,0)+IF(BT1341="D",1,0)+IF(BU1341="D",1,0)+IF(BW1341="D",1,0)+IF(CC1341="D",1,0)+IF(CD1341="D",1,0)+IF(CE1341="D",1,0)+IF(CF1341="D",1,0)+IF(CL1341="D",1,0)+IF(CM1341="D",1,0)+IF(CQ1341="D",1,0)+IF(CR1341="D",1,0)+IF(CS1341="D",1,0)+IF(CW1341="D",1,0)+IF(CX1341="D",1,0)+IF(DD1341="D",1,0)+IF(DE1341="D",1,0)+IF(DJ1341="D",1,0)+IF(DK1341="D",1,0)+IF(DO1341="D",1,0)+IF(DP1341="D",1,0)+IF(DQ1341="D",1,0)+IF(DW1341="D",1,0)+IF(DZ1341="D",1,0)+IF(EH1341="D",1,0)</f>
        <v>0</v>
      </c>
      <c r="AY1341" s="0" t="n">
        <f aca="false">COUNTIF(DU1341:EH1341, "&lt;&gt;")</f>
        <v>2</v>
      </c>
      <c r="AZ1341" s="0" t="n">
        <f aca="false">IF(EH1341&lt;&gt;"",1,0)</f>
        <v>0</v>
      </c>
      <c r="BB1341" s="0" t="s">
        <v>152</v>
      </c>
      <c r="EA1341" s="0" t="s">
        <v>153</v>
      </c>
      <c r="EF1341" s="0" t="s">
        <v>153</v>
      </c>
    </row>
    <row r="1342" customFormat="false" ht="13.8" hidden="true" customHeight="false" outlineLevel="0" collapsed="false">
      <c r="A1342" s="0" t="s">
        <v>6247</v>
      </c>
      <c r="B1342" s="0" t="n">
        <v>78</v>
      </c>
      <c r="C1342" s="0" t="n">
        <v>441757</v>
      </c>
      <c r="D1342" s="0" t="s">
        <v>2171</v>
      </c>
      <c r="E1342" s="0" t="s">
        <v>6248</v>
      </c>
      <c r="F1342" s="0" t="str">
        <f aca="false">CONCATENATE(D1342," ",LEFT(H1342,4),"T=",AU1342,"D=",AV1342,"R=",AW1342,"M=",AX1342,"L=",AY1342,"B=",AZ1342)</f>
        <v>SULLIVAN T=3D=0R=0M=0L=0B=0</v>
      </c>
      <c r="G1342" s="0" t="s">
        <v>209</v>
      </c>
      <c r="I1342" s="0" t="s">
        <v>6249</v>
      </c>
      <c r="J1342" s="0" t="s">
        <v>6250</v>
      </c>
      <c r="K1342" s="0" t="s">
        <v>160</v>
      </c>
      <c r="M1342" s="0" t="s">
        <v>6251</v>
      </c>
      <c r="N1342" s="0" t="str">
        <f aca="false">RIGHT(M1342,LEN(M1342)-FIND(" ",M1342))</f>
        <v>LAIRD AVE SE</v>
      </c>
      <c r="P1342" s="0" t="s">
        <v>145</v>
      </c>
      <c r="Q1342" s="0" t="s">
        <v>146</v>
      </c>
      <c r="R1342" s="0" t="n">
        <v>44484</v>
      </c>
      <c r="AD1342" s="0" t="s">
        <v>147</v>
      </c>
      <c r="AE1342" s="0" t="s">
        <v>148</v>
      </c>
      <c r="AF1342" s="0" t="s">
        <v>149</v>
      </c>
      <c r="AH1342" s="0" t="n">
        <v>14</v>
      </c>
      <c r="AI1342" s="0" t="n">
        <v>11</v>
      </c>
      <c r="AN1342" s="0" t="s">
        <v>145</v>
      </c>
      <c r="AO1342" s="0" t="s">
        <v>150</v>
      </c>
      <c r="AP1342" s="0" t="s">
        <v>151</v>
      </c>
      <c r="AQ1342" s="0" t="n">
        <v>9</v>
      </c>
      <c r="AR1342" s="0" t="n">
        <v>64</v>
      </c>
      <c r="AS1342" s="0" t="n">
        <v>32</v>
      </c>
      <c r="AU1342" s="0" t="n">
        <f aca="false">COUNTA($BA$497:$EH$497)</f>
        <v>3</v>
      </c>
      <c r="AV1342" s="0" t="n">
        <f aca="false">COUNTIF($BA$497:$EH$497,"D")</f>
        <v>0</v>
      </c>
      <c r="AW1342" s="0" t="n">
        <f aca="false">COUNTIF($BA$497:$EH$497,"R")</f>
        <v>0</v>
      </c>
      <c r="AX1342" s="0" t="n">
        <f aca="false">IF(BN1342="D",1,0)+IF(BO1342="D",1,0)+IF(BT1342="D",1,0)+IF(BU1342="D",1,0)+IF(BW1342="D",1,0)+IF(CC1342="D",1,0)+IF(CD1342="D",1,0)+IF(CE1342="D",1,0)+IF(CF1342="D",1,0)+IF(CL1342="D",1,0)+IF(CM1342="D",1,0)+IF(CQ1342="D",1,0)+IF(CR1342="D",1,0)+IF(CS1342="D",1,0)+IF(CW1342="D",1,0)+IF(CX1342="D",1,0)+IF(DD1342="D",1,0)+IF(DE1342="D",1,0)+IF(DJ1342="D",1,0)+IF(DK1342="D",1,0)+IF(DO1342="D",1,0)+IF(DP1342="D",1,0)+IF(DQ1342="D",1,0)+IF(DW1342="D",1,0)+IF(DZ1342="D",1,0)+IF(EH1342="D",1,0)</f>
        <v>0</v>
      </c>
      <c r="AY1342" s="0" t="n">
        <f aca="false">COUNTIF(DU1342:EH1342, "&lt;&gt;")</f>
        <v>0</v>
      </c>
      <c r="AZ1342" s="0" t="n">
        <f aca="false">IF(EH1342&lt;&gt;"",1,0)</f>
        <v>0</v>
      </c>
      <c r="BB1342" s="0" t="s">
        <v>152</v>
      </c>
    </row>
    <row r="1343" customFormat="false" ht="13.8" hidden="false" customHeight="false" outlineLevel="0" collapsed="false">
      <c r="A1343" s="0" t="s">
        <v>6252</v>
      </c>
      <c r="B1343" s="0" t="n">
        <v>78</v>
      </c>
      <c r="C1343" s="0" t="n">
        <v>463714</v>
      </c>
      <c r="D1343" s="0" t="s">
        <v>6253</v>
      </c>
      <c r="E1343" s="0" t="s">
        <v>6254</v>
      </c>
      <c r="F1343" s="0" t="str">
        <f aca="false">CONCATENATE(D1343," ",LEFT(H1343,4),"T=",AU1343,"D=",AV1343,"R=",AW1343,"M=",AX1343,"L=",AY1343,"B=",AZ1343)</f>
        <v>SEARS T=9D=2R=0M=0L=3B=0</v>
      </c>
      <c r="G1343" s="0" t="s">
        <v>5011</v>
      </c>
      <c r="I1343" s="0" t="s">
        <v>6255</v>
      </c>
      <c r="J1343" s="0" t="s">
        <v>6256</v>
      </c>
      <c r="K1343" s="0" t="s">
        <v>160</v>
      </c>
      <c r="M1343" s="0" t="s">
        <v>6257</v>
      </c>
      <c r="N1343" s="0" t="str">
        <f aca="false">RIGHT(M1343,LEN(M1343)-FIND(" ",M1343))</f>
        <v>LAIRD AVE SE</v>
      </c>
      <c r="P1343" s="0" t="s">
        <v>145</v>
      </c>
      <c r="Q1343" s="0" t="s">
        <v>146</v>
      </c>
      <c r="R1343" s="0" t="n">
        <v>44484</v>
      </c>
      <c r="AD1343" s="0" t="s">
        <v>147</v>
      </c>
      <c r="AE1343" s="0" t="s">
        <v>148</v>
      </c>
      <c r="AF1343" s="0" t="s">
        <v>149</v>
      </c>
      <c r="AH1343" s="0" t="n">
        <v>14</v>
      </c>
      <c r="AI1343" s="0" t="n">
        <v>11</v>
      </c>
      <c r="AN1343" s="0" t="s">
        <v>145</v>
      </c>
      <c r="AO1343" s="0" t="s">
        <v>150</v>
      </c>
      <c r="AP1343" s="0" t="s">
        <v>151</v>
      </c>
      <c r="AQ1343" s="0" t="n">
        <v>9</v>
      </c>
      <c r="AR1343" s="0" t="n">
        <v>64</v>
      </c>
      <c r="AS1343" s="0" t="n">
        <v>32</v>
      </c>
      <c r="AU1343" s="0" t="n">
        <f aca="false">COUNTA($BA$475:$EH$475)</f>
        <v>9</v>
      </c>
      <c r="AV1343" s="0" t="n">
        <f aca="false">COUNTIF($BA$475:$EH$475,"D")</f>
        <v>2</v>
      </c>
      <c r="AW1343" s="0" t="n">
        <f aca="false">COUNTIF($BA$475:$EH$475,"R")</f>
        <v>0</v>
      </c>
      <c r="AX1343" s="0" t="n">
        <f aca="false">IF(BN1343="D",1,0)+IF(BO1343="D",1,0)+IF(BT1343="D",1,0)+IF(BU1343="D",1,0)+IF(BW1343="D",1,0)+IF(CC1343="D",1,0)+IF(CD1343="D",1,0)+IF(CE1343="D",1,0)+IF(CF1343="D",1,0)+IF(CL1343="D",1,0)+IF(CM1343="D",1,0)+IF(CQ1343="D",1,0)+IF(CR1343="D",1,0)+IF(CS1343="D",1,0)+IF(CW1343="D",1,0)+IF(CX1343="D",1,0)+IF(DD1343="D",1,0)+IF(DE1343="D",1,0)+IF(DJ1343="D",1,0)+IF(DK1343="D",1,0)+IF(DO1343="D",1,0)+IF(DP1343="D",1,0)+IF(DQ1343="D",1,0)+IF(DW1343="D",1,0)+IF(DZ1343="D",1,0)+IF(EH1343="D",1,0)</f>
        <v>0</v>
      </c>
      <c r="AY1343" s="0" t="n">
        <f aca="false">COUNTIF(DU1343:EH1343, "&lt;&gt;")</f>
        <v>3</v>
      </c>
      <c r="AZ1343" s="0" t="n">
        <f aca="false">IF(EH1343&lt;&gt;"",1,0)</f>
        <v>0</v>
      </c>
      <c r="BB1343" s="0" t="s">
        <v>152</v>
      </c>
      <c r="DU1343" s="0" t="s">
        <v>153</v>
      </c>
      <c r="EA1343" s="0" t="s">
        <v>153</v>
      </c>
      <c r="EF1343" s="0" t="s">
        <v>153</v>
      </c>
    </row>
    <row r="1344" customFormat="false" ht="13.8" hidden="true" customHeight="false" outlineLevel="0" collapsed="false">
      <c r="A1344" s="0" t="s">
        <v>6258</v>
      </c>
      <c r="B1344" s="0" t="n">
        <v>78</v>
      </c>
      <c r="C1344" s="0" t="n">
        <v>347801</v>
      </c>
      <c r="D1344" s="0" t="s">
        <v>1264</v>
      </c>
      <c r="E1344" s="0" t="s">
        <v>475</v>
      </c>
      <c r="F1344" s="0" t="str">
        <f aca="false">CONCATENATE(D1344," ",LEFT(H1344,4),"T=",AU1344,"D=",AV1344,"R=",AW1344,"M=",AX1344,"L=",AY1344,"B=",AZ1344)</f>
        <v>BROWNING T=7D=0R=0M=0L=0B=0</v>
      </c>
      <c r="G1344" s="0" t="s">
        <v>890</v>
      </c>
      <c r="I1344" s="0" t="s">
        <v>2073</v>
      </c>
      <c r="J1344" s="0" t="s">
        <v>6259</v>
      </c>
      <c r="K1344" s="0" t="s">
        <v>143</v>
      </c>
      <c r="M1344" s="0" t="s">
        <v>6260</v>
      </c>
      <c r="N1344" s="0" t="str">
        <f aca="false">RIGHT(M1344,LEN(M1344)-FIND(" ",M1344))</f>
        <v>LAIRD AVE SE</v>
      </c>
      <c r="P1344" s="0" t="s">
        <v>145</v>
      </c>
      <c r="Q1344" s="0" t="s">
        <v>146</v>
      </c>
      <c r="R1344" s="0" t="n">
        <v>44484</v>
      </c>
      <c r="AD1344" s="0" t="s">
        <v>147</v>
      </c>
      <c r="AE1344" s="0" t="s">
        <v>148</v>
      </c>
      <c r="AF1344" s="0" t="s">
        <v>149</v>
      </c>
      <c r="AH1344" s="0" t="n">
        <v>14</v>
      </c>
      <c r="AI1344" s="0" t="n">
        <v>11</v>
      </c>
      <c r="AN1344" s="0" t="s">
        <v>145</v>
      </c>
      <c r="AO1344" s="0" t="s">
        <v>150</v>
      </c>
      <c r="AP1344" s="0" t="s">
        <v>151</v>
      </c>
      <c r="AQ1344" s="0" t="n">
        <v>9</v>
      </c>
      <c r="AR1344" s="0" t="n">
        <v>64</v>
      </c>
      <c r="AS1344" s="0" t="n">
        <v>32</v>
      </c>
      <c r="AU1344" s="0" t="n">
        <f aca="false">COUNTA($BA$937:$EH$937)</f>
        <v>7</v>
      </c>
      <c r="AV1344" s="0" t="n">
        <f aca="false">COUNTIF($BA$937:$EH$937,"D")</f>
        <v>0</v>
      </c>
      <c r="AW1344" s="0" t="n">
        <f aca="false">COUNTIF($BA$937:$EH$937,"R")</f>
        <v>0</v>
      </c>
      <c r="AX1344" s="0" t="n">
        <f aca="false">IF(BN1344="D",1,0)+IF(BO1344="D",1,0)+IF(BT1344="D",1,0)+IF(BU1344="D",1,0)+IF(BW1344="D",1,0)+IF(CC1344="D",1,0)+IF(CD1344="D",1,0)+IF(CE1344="D",1,0)+IF(CF1344="D",1,0)+IF(CL1344="D",1,0)+IF(CM1344="D",1,0)+IF(CQ1344="D",1,0)+IF(CR1344="D",1,0)+IF(CS1344="D",1,0)+IF(CW1344="D",1,0)+IF(CX1344="D",1,0)+IF(DD1344="D",1,0)+IF(DE1344="D",1,0)+IF(DJ1344="D",1,0)+IF(DK1344="D",1,0)+IF(DO1344="D",1,0)+IF(DP1344="D",1,0)+IF(DQ1344="D",1,0)+IF(DW1344="D",1,0)+IF(DZ1344="D",1,0)+IF(EH1344="D",1,0)</f>
        <v>0</v>
      </c>
      <c r="AY1344" s="0" t="n">
        <f aca="false">COUNTIF(DU1344:EH1344, "&lt;&gt;")</f>
        <v>0</v>
      </c>
      <c r="AZ1344" s="0" t="n">
        <f aca="false">IF(EH1344&lt;&gt;"",1,0)</f>
        <v>0</v>
      </c>
      <c r="BB1344" s="0" t="s">
        <v>152</v>
      </c>
    </row>
    <row r="1345" customFormat="false" ht="13.8" hidden="false" customHeight="false" outlineLevel="0" collapsed="false">
      <c r="A1345" s="0" t="s">
        <v>6261</v>
      </c>
      <c r="B1345" s="0" t="n">
        <v>78</v>
      </c>
      <c r="C1345" s="0" t="n">
        <v>415746</v>
      </c>
      <c r="D1345" s="0" t="s">
        <v>6262</v>
      </c>
      <c r="E1345" s="0" t="s">
        <v>3075</v>
      </c>
      <c r="F1345" s="0" t="str">
        <f aca="false">CONCATENATE(D1345," ",LEFT(H1345,4),"T=",AU1345,"D=",AV1345,"R=",AW1345,"M=",AX1345,"L=",AY1345,"B=",AZ1345)</f>
        <v>RHODE T=1D=0R=0M=0L=2B=0</v>
      </c>
      <c r="G1345" s="0" t="s">
        <v>190</v>
      </c>
      <c r="I1345" s="0" t="s">
        <v>4363</v>
      </c>
      <c r="J1345" s="0" t="s">
        <v>321</v>
      </c>
      <c r="K1345" s="0" t="s">
        <v>160</v>
      </c>
      <c r="M1345" s="0" t="s">
        <v>6263</v>
      </c>
      <c r="N1345" s="0" t="str">
        <f aca="false">RIGHT(M1345,LEN(M1345)-FIND(" ",M1345))</f>
        <v>LAIRD AVE SE</v>
      </c>
      <c r="P1345" s="0" t="s">
        <v>145</v>
      </c>
      <c r="Q1345" s="0" t="s">
        <v>146</v>
      </c>
      <c r="R1345" s="0" t="n">
        <v>44484</v>
      </c>
      <c r="AD1345" s="0" t="s">
        <v>147</v>
      </c>
      <c r="AE1345" s="0" t="s">
        <v>148</v>
      </c>
      <c r="AF1345" s="0" t="s">
        <v>149</v>
      </c>
      <c r="AH1345" s="0" t="n">
        <v>14</v>
      </c>
      <c r="AI1345" s="0" t="n">
        <v>11</v>
      </c>
      <c r="AN1345" s="0" t="s">
        <v>145</v>
      </c>
      <c r="AO1345" s="0" t="s">
        <v>150</v>
      </c>
      <c r="AP1345" s="0" t="s">
        <v>151</v>
      </c>
      <c r="AQ1345" s="0" t="n">
        <v>9</v>
      </c>
      <c r="AR1345" s="0" t="n">
        <v>64</v>
      </c>
      <c r="AS1345" s="0" t="n">
        <v>32</v>
      </c>
      <c r="AU1345" s="0" t="n">
        <f aca="false">COUNTA($BA$421:$EH$421)</f>
        <v>1</v>
      </c>
      <c r="AV1345" s="0" t="n">
        <f aca="false">COUNTIF($BA$421:$EH$421,"D")</f>
        <v>0</v>
      </c>
      <c r="AW1345" s="0" t="n">
        <f aca="false">COUNTIF($BA$421:$EH$421,"R")</f>
        <v>0</v>
      </c>
      <c r="AX1345" s="0" t="n">
        <f aca="false">IF(BN1345="D",1,0)+IF(BO1345="D",1,0)+IF(BT1345="D",1,0)+IF(BU1345="D",1,0)+IF(BW1345="D",1,0)+IF(CC1345="D",1,0)+IF(CD1345="D",1,0)+IF(CE1345="D",1,0)+IF(CF1345="D",1,0)+IF(CL1345="D",1,0)+IF(CM1345="D",1,0)+IF(CQ1345="D",1,0)+IF(CR1345="D",1,0)+IF(CS1345="D",1,0)+IF(CW1345="D",1,0)+IF(CX1345="D",1,0)+IF(DD1345="D",1,0)+IF(DE1345="D",1,0)+IF(DJ1345="D",1,0)+IF(DK1345="D",1,0)+IF(DO1345="D",1,0)+IF(DP1345="D",1,0)+IF(DQ1345="D",1,0)+IF(DW1345="D",1,0)+IF(DZ1345="D",1,0)+IF(EH1345="D",1,0)</f>
        <v>0</v>
      </c>
      <c r="AY1345" s="0" t="n">
        <f aca="false">COUNTIF(DU1345:EH1345, "&lt;&gt;")</f>
        <v>2</v>
      </c>
      <c r="AZ1345" s="0" t="n">
        <f aca="false">IF(EH1345&lt;&gt;"",1,0)</f>
        <v>0</v>
      </c>
      <c r="BB1345" s="0" t="s">
        <v>152</v>
      </c>
      <c r="DC1345" s="0" t="s">
        <v>153</v>
      </c>
      <c r="DF1345" s="0" t="s">
        <v>153</v>
      </c>
      <c r="DG1345" s="0" t="s">
        <v>175</v>
      </c>
      <c r="DI1345" s="0" t="s">
        <v>153</v>
      </c>
      <c r="DN1345" s="0" t="s">
        <v>153</v>
      </c>
      <c r="EA1345" s="0" t="s">
        <v>153</v>
      </c>
      <c r="EF1345" s="0" t="s">
        <v>153</v>
      </c>
    </row>
    <row r="1346" customFormat="false" ht="13.8" hidden="false" customHeight="false" outlineLevel="0" collapsed="false">
      <c r="A1346" s="0" t="s">
        <v>6264</v>
      </c>
      <c r="B1346" s="0" t="n">
        <v>78</v>
      </c>
      <c r="C1346" s="0" t="n">
        <v>387029</v>
      </c>
      <c r="D1346" s="0" t="s">
        <v>5875</v>
      </c>
      <c r="E1346" s="0" t="s">
        <v>4629</v>
      </c>
      <c r="F1346" s="0" t="str">
        <f aca="false">CONCATENATE(D1346," ",LEFT(H1346,4),"T=",AU1346,"D=",AV1346,"R=",AW1346,"M=",AX1346,"L=",AY1346,"B=",AZ1346)</f>
        <v>MANN JRT=4D=0R=0M=0L=2B=0</v>
      </c>
      <c r="G1346" s="0" t="s">
        <v>2774</v>
      </c>
      <c r="H1346" s="0" t="s">
        <v>314</v>
      </c>
      <c r="I1346" s="0" t="s">
        <v>6265</v>
      </c>
      <c r="J1346" s="0" t="s">
        <v>2174</v>
      </c>
      <c r="K1346" s="0" t="s">
        <v>160</v>
      </c>
      <c r="M1346" s="0" t="s">
        <v>6263</v>
      </c>
      <c r="N1346" s="0" t="str">
        <f aca="false">RIGHT(M1346,LEN(M1346)-FIND(" ",M1346))</f>
        <v>LAIRD AVE SE</v>
      </c>
      <c r="P1346" s="0" t="s">
        <v>145</v>
      </c>
      <c r="Q1346" s="0" t="s">
        <v>146</v>
      </c>
      <c r="R1346" s="0" t="n">
        <v>44484</v>
      </c>
      <c r="AD1346" s="0" t="s">
        <v>147</v>
      </c>
      <c r="AE1346" s="0" t="s">
        <v>148</v>
      </c>
      <c r="AF1346" s="0" t="s">
        <v>149</v>
      </c>
      <c r="AH1346" s="0" t="n">
        <v>14</v>
      </c>
      <c r="AI1346" s="0" t="n">
        <v>11</v>
      </c>
      <c r="AN1346" s="0" t="s">
        <v>145</v>
      </c>
      <c r="AO1346" s="0" t="s">
        <v>150</v>
      </c>
      <c r="AP1346" s="0" t="s">
        <v>151</v>
      </c>
      <c r="AQ1346" s="0" t="n">
        <v>9</v>
      </c>
      <c r="AR1346" s="0" t="n">
        <v>64</v>
      </c>
      <c r="AS1346" s="0" t="n">
        <v>32</v>
      </c>
      <c r="AU1346" s="0" t="n">
        <f aca="false">COUNTA($BA$1005:$EH$1005)</f>
        <v>4</v>
      </c>
      <c r="AV1346" s="0" t="n">
        <f aca="false">COUNTIF($BA$1005:$EH$1005,"D")</f>
        <v>0</v>
      </c>
      <c r="AW1346" s="0" t="n">
        <f aca="false">COUNTIF($BA$1005:$EH$1005,"R")</f>
        <v>0</v>
      </c>
      <c r="AX1346" s="0" t="n">
        <f aca="false">IF(BN1346="D",1,0)+IF(BO1346="D",1,0)+IF(BT1346="D",1,0)+IF(BU1346="D",1,0)+IF(BW1346="D",1,0)+IF(CC1346="D",1,0)+IF(CD1346="D",1,0)+IF(CE1346="D",1,0)+IF(CF1346="D",1,0)+IF(CL1346="D",1,0)+IF(CM1346="D",1,0)+IF(CQ1346="D",1,0)+IF(CR1346="D",1,0)+IF(CS1346="D",1,0)+IF(CW1346="D",1,0)+IF(CX1346="D",1,0)+IF(DD1346="D",1,0)+IF(DE1346="D",1,0)+IF(DJ1346="D",1,0)+IF(DK1346="D",1,0)+IF(DO1346="D",1,0)+IF(DP1346="D",1,0)+IF(DQ1346="D",1,0)+IF(DW1346="D",1,0)+IF(DZ1346="D",1,0)+IF(EH1346="D",1,0)</f>
        <v>0</v>
      </c>
      <c r="AY1346" s="0" t="n">
        <f aca="false">COUNTIF(DU1346:EH1346, "&lt;&gt;")</f>
        <v>2</v>
      </c>
      <c r="AZ1346" s="0" t="n">
        <f aca="false">IF(EH1346&lt;&gt;"",1,0)</f>
        <v>0</v>
      </c>
      <c r="BB1346" s="0" t="s">
        <v>152</v>
      </c>
      <c r="DC1346" s="0" t="s">
        <v>153</v>
      </c>
      <c r="DG1346" s="0" t="s">
        <v>209</v>
      </c>
      <c r="DI1346" s="0" t="s">
        <v>153</v>
      </c>
      <c r="DN1346" s="0" t="s">
        <v>153</v>
      </c>
      <c r="EA1346" s="0" t="s">
        <v>153</v>
      </c>
      <c r="EF1346" s="0" t="s">
        <v>153</v>
      </c>
    </row>
    <row r="1347" customFormat="false" ht="13.8" hidden="true" customHeight="false" outlineLevel="0" collapsed="false">
      <c r="A1347" s="0" t="s">
        <v>6266</v>
      </c>
      <c r="B1347" s="0" t="n">
        <v>78</v>
      </c>
      <c r="C1347" s="0" t="n">
        <v>495544</v>
      </c>
      <c r="D1347" s="0" t="s">
        <v>6267</v>
      </c>
      <c r="E1347" s="0" t="s">
        <v>6268</v>
      </c>
      <c r="F1347" s="0" t="str">
        <f aca="false">CONCATENATE(D1347," ",LEFT(H1347,4),"T=",AU1347,"D=",AV1347,"R=",AW1347,"M=",AX1347,"L=",AY1347,"B=",AZ1347)</f>
        <v>CARFAGNO RHODE T=17D=4R=0M=0L=0B=0</v>
      </c>
      <c r="G1347" s="0" t="s">
        <v>2982</v>
      </c>
      <c r="I1347" s="0" t="s">
        <v>6269</v>
      </c>
      <c r="J1347" s="0" t="s">
        <v>6270</v>
      </c>
      <c r="K1347" s="0" t="s">
        <v>143</v>
      </c>
      <c r="M1347" s="0" t="s">
        <v>6263</v>
      </c>
      <c r="N1347" s="0" t="str">
        <f aca="false">RIGHT(M1347,LEN(M1347)-FIND(" ",M1347))</f>
        <v>LAIRD AVE SE</v>
      </c>
      <c r="P1347" s="0" t="s">
        <v>145</v>
      </c>
      <c r="Q1347" s="0" t="s">
        <v>146</v>
      </c>
      <c r="R1347" s="0" t="n">
        <v>44484</v>
      </c>
      <c r="AD1347" s="0" t="s">
        <v>147</v>
      </c>
      <c r="AE1347" s="0" t="s">
        <v>148</v>
      </c>
      <c r="AF1347" s="0" t="s">
        <v>149</v>
      </c>
      <c r="AH1347" s="0" t="n">
        <v>14</v>
      </c>
      <c r="AI1347" s="0" t="n">
        <v>11</v>
      </c>
      <c r="AN1347" s="0" t="s">
        <v>145</v>
      </c>
      <c r="AO1347" s="0" t="s">
        <v>150</v>
      </c>
      <c r="AP1347" s="0" t="s">
        <v>151</v>
      </c>
      <c r="AQ1347" s="0" t="n">
        <v>9</v>
      </c>
      <c r="AR1347" s="0" t="n">
        <v>64</v>
      </c>
      <c r="AS1347" s="0" t="n">
        <v>32</v>
      </c>
      <c r="AU1347" s="0" t="n">
        <f aca="false">COUNTA($BA$1090:$EH$1090)</f>
        <v>17</v>
      </c>
      <c r="AV1347" s="0" t="n">
        <f aca="false">COUNTIF($BA$1090:$EH$1090,"D")</f>
        <v>4</v>
      </c>
      <c r="AW1347" s="0" t="n">
        <f aca="false">COUNTIF($BA$1090:$EH$1090,"R")</f>
        <v>0</v>
      </c>
      <c r="AX1347" s="0" t="n">
        <f aca="false">IF(BN1347="D",1,0)+IF(BO1347="D",1,0)+IF(BT1347="D",1,0)+IF(BU1347="D",1,0)+IF(BW1347="D",1,0)+IF(CC1347="D",1,0)+IF(CD1347="D",1,0)+IF(CE1347="D",1,0)+IF(CF1347="D",1,0)+IF(CL1347="D",1,0)+IF(CM1347="D",1,0)+IF(CQ1347="D",1,0)+IF(CR1347="D",1,0)+IF(CS1347="D",1,0)+IF(CW1347="D",1,0)+IF(CX1347="D",1,0)+IF(DD1347="D",1,0)+IF(DE1347="D",1,0)+IF(DJ1347="D",1,0)+IF(DK1347="D",1,0)+IF(DO1347="D",1,0)+IF(DP1347="D",1,0)+IF(DQ1347="D",1,0)+IF(DW1347="D",1,0)+IF(DZ1347="D",1,0)+IF(EH1347="D",1,0)</f>
        <v>0</v>
      </c>
      <c r="AY1347" s="0" t="n">
        <f aca="false">COUNTIF(DU1347:EH1347, "&lt;&gt;")</f>
        <v>0</v>
      </c>
      <c r="AZ1347" s="0" t="n">
        <f aca="false">IF(EH1347&lt;&gt;"",1,0)</f>
        <v>0</v>
      </c>
      <c r="BB1347" s="0" t="s">
        <v>152</v>
      </c>
    </row>
    <row r="1348" customFormat="false" ht="13.8" hidden="true" customHeight="false" outlineLevel="0" collapsed="false">
      <c r="A1348" s="0" t="s">
        <v>6271</v>
      </c>
      <c r="B1348" s="0" t="n">
        <v>78</v>
      </c>
      <c r="C1348" s="0" t="n">
        <v>443444</v>
      </c>
      <c r="D1348" s="0" t="s">
        <v>3872</v>
      </c>
      <c r="E1348" s="0" t="s">
        <v>6272</v>
      </c>
      <c r="F1348" s="0" t="str">
        <f aca="false">CONCATENATE(D1348," ",LEFT(H1348,4),"T=",AU1348,"D=",AV1348,"R=",AW1348,"M=",AX1348,"L=",AY1348,"B=",AZ1348)</f>
        <v>SPENCER T=15D=6R=0M=0L=0B=0</v>
      </c>
      <c r="I1348" s="0" t="s">
        <v>6273</v>
      </c>
      <c r="J1348" s="0" t="s">
        <v>6274</v>
      </c>
      <c r="K1348" s="0" t="s">
        <v>160</v>
      </c>
      <c r="M1348" s="0" t="s">
        <v>6275</v>
      </c>
      <c r="N1348" s="0" t="str">
        <f aca="false">RIGHT(M1348,LEN(M1348)-FIND(" ",M1348))</f>
        <v>LAIRD AVE SE</v>
      </c>
      <c r="P1348" s="0" t="s">
        <v>145</v>
      </c>
      <c r="Q1348" s="0" t="s">
        <v>146</v>
      </c>
      <c r="R1348" s="0" t="n">
        <v>44484</v>
      </c>
      <c r="AD1348" s="0" t="s">
        <v>147</v>
      </c>
      <c r="AE1348" s="0" t="s">
        <v>148</v>
      </c>
      <c r="AF1348" s="0" t="s">
        <v>149</v>
      </c>
      <c r="AH1348" s="0" t="n">
        <v>14</v>
      </c>
      <c r="AI1348" s="0" t="n">
        <v>11</v>
      </c>
      <c r="AN1348" s="0" t="s">
        <v>145</v>
      </c>
      <c r="AO1348" s="0" t="s">
        <v>150</v>
      </c>
      <c r="AP1348" s="0" t="s">
        <v>151</v>
      </c>
      <c r="AQ1348" s="0" t="n">
        <v>9</v>
      </c>
      <c r="AR1348" s="0" t="n">
        <v>64</v>
      </c>
      <c r="AS1348" s="0" t="n">
        <v>32</v>
      </c>
      <c r="AU1348" s="0" t="n">
        <f aca="false">COUNTA($BA$39:$EH$39)</f>
        <v>15</v>
      </c>
      <c r="AV1348" s="0" t="n">
        <f aca="false">COUNTIF($BA$39:$EH$39,"D")</f>
        <v>6</v>
      </c>
      <c r="AW1348" s="0" t="n">
        <f aca="false">COUNTIF($BA$39:$EH$39,"R")</f>
        <v>0</v>
      </c>
      <c r="AX1348" s="0" t="n">
        <f aca="false">IF(BN1348="D",1,0)+IF(BO1348="D",1,0)+IF(BT1348="D",1,0)+IF(BU1348="D",1,0)+IF(BW1348="D",1,0)+IF(CC1348="D",1,0)+IF(CD1348="D",1,0)+IF(CE1348="D",1,0)+IF(CF1348="D",1,0)+IF(CL1348="D",1,0)+IF(CM1348="D",1,0)+IF(CQ1348="D",1,0)+IF(CR1348="D",1,0)+IF(CS1348="D",1,0)+IF(CW1348="D",1,0)+IF(CX1348="D",1,0)+IF(DD1348="D",1,0)+IF(DE1348="D",1,0)+IF(DJ1348="D",1,0)+IF(DK1348="D",1,0)+IF(DO1348="D",1,0)+IF(DP1348="D",1,0)+IF(DQ1348="D",1,0)+IF(DW1348="D",1,0)+IF(DZ1348="D",1,0)+IF(EH1348="D",1,0)</f>
        <v>0</v>
      </c>
      <c r="AY1348" s="0" t="n">
        <f aca="false">COUNTIF(DU1348:EH1348, "&lt;&gt;")</f>
        <v>0</v>
      </c>
      <c r="AZ1348" s="0" t="n">
        <f aca="false">IF(EH1348&lt;&gt;"",1,0)</f>
        <v>0</v>
      </c>
      <c r="BB1348" s="0" t="s">
        <v>152</v>
      </c>
      <c r="DM1348" s="0" t="s">
        <v>175</v>
      </c>
    </row>
    <row r="1349" customFormat="false" ht="13.8" hidden="true" customHeight="false" outlineLevel="0" collapsed="false">
      <c r="A1349" s="0" t="s">
        <v>6276</v>
      </c>
      <c r="B1349" s="0" t="n">
        <v>78</v>
      </c>
      <c r="C1349" s="0" t="n">
        <v>492183</v>
      </c>
      <c r="D1349" s="0" t="s">
        <v>3829</v>
      </c>
      <c r="E1349" s="0" t="s">
        <v>6277</v>
      </c>
      <c r="F1349" s="0" t="str">
        <f aca="false">CONCATENATE(D1349," ",LEFT(H1349,4),"T=",AU1349,"D=",AV1349,"R=",AW1349,"M=",AX1349,"L=",AY1349,"B=",AZ1349)</f>
        <v>PENNY T=8D=0R=0M=0L=0B=0</v>
      </c>
      <c r="G1349" s="0" t="s">
        <v>6278</v>
      </c>
      <c r="I1349" s="0" t="s">
        <v>6279</v>
      </c>
      <c r="J1349" s="0" t="s">
        <v>6280</v>
      </c>
      <c r="K1349" s="0" t="s">
        <v>160</v>
      </c>
      <c r="M1349" s="0" t="s">
        <v>6275</v>
      </c>
      <c r="N1349" s="0" t="str">
        <f aca="false">RIGHT(M1349,LEN(M1349)-FIND(" ",M1349))</f>
        <v>LAIRD AVE SE</v>
      </c>
      <c r="P1349" s="0" t="s">
        <v>145</v>
      </c>
      <c r="Q1349" s="0" t="s">
        <v>146</v>
      </c>
      <c r="R1349" s="0" t="n">
        <v>44484</v>
      </c>
      <c r="AD1349" s="0" t="s">
        <v>147</v>
      </c>
      <c r="AE1349" s="0" t="s">
        <v>148</v>
      </c>
      <c r="AF1349" s="0" t="s">
        <v>149</v>
      </c>
      <c r="AH1349" s="0" t="n">
        <v>14</v>
      </c>
      <c r="AI1349" s="0" t="n">
        <v>11</v>
      </c>
      <c r="AN1349" s="0" t="s">
        <v>145</v>
      </c>
      <c r="AO1349" s="0" t="s">
        <v>150</v>
      </c>
      <c r="AP1349" s="0" t="s">
        <v>151</v>
      </c>
      <c r="AQ1349" s="0" t="n">
        <v>9</v>
      </c>
      <c r="AR1349" s="0" t="n">
        <v>64</v>
      </c>
      <c r="AS1349" s="0" t="n">
        <v>32</v>
      </c>
      <c r="AU1349" s="0" t="n">
        <f aca="false">COUNTA($BA$972:$EH$972)</f>
        <v>8</v>
      </c>
      <c r="AV1349" s="0" t="n">
        <f aca="false">COUNTIF($BA$972:$EH$972,"D")</f>
        <v>0</v>
      </c>
      <c r="AW1349" s="0" t="n">
        <f aca="false">COUNTIF($BA$972:$EH$972,"R")</f>
        <v>0</v>
      </c>
      <c r="AX1349" s="0" t="n">
        <f aca="false">IF(BN1349="D",1,0)+IF(BO1349="D",1,0)+IF(BT1349="D",1,0)+IF(BU1349="D",1,0)+IF(BW1349="D",1,0)+IF(CC1349="D",1,0)+IF(CD1349="D",1,0)+IF(CE1349="D",1,0)+IF(CF1349="D",1,0)+IF(CL1349="D",1,0)+IF(CM1349="D",1,0)+IF(CQ1349="D",1,0)+IF(CR1349="D",1,0)+IF(CS1349="D",1,0)+IF(CW1349="D",1,0)+IF(CX1349="D",1,0)+IF(DD1349="D",1,0)+IF(DE1349="D",1,0)+IF(DJ1349="D",1,0)+IF(DK1349="D",1,0)+IF(DO1349="D",1,0)+IF(DP1349="D",1,0)+IF(DQ1349="D",1,0)+IF(DW1349="D",1,0)+IF(DZ1349="D",1,0)+IF(EH1349="D",1,0)</f>
        <v>0</v>
      </c>
      <c r="AY1349" s="0" t="n">
        <f aca="false">COUNTIF(DU1349:EH1349, "&lt;&gt;")</f>
        <v>0</v>
      </c>
      <c r="AZ1349" s="0" t="n">
        <f aca="false">IF(EH1349&lt;&gt;"",1,0)</f>
        <v>0</v>
      </c>
      <c r="BB1349" s="0" t="s">
        <v>152</v>
      </c>
      <c r="DI1349" s="0" t="s">
        <v>153</v>
      </c>
    </row>
    <row r="1350" customFormat="false" ht="13.8" hidden="false" customHeight="false" outlineLevel="0" collapsed="false">
      <c r="A1350" s="0" t="s">
        <v>6281</v>
      </c>
      <c r="B1350" s="0" t="n">
        <v>78</v>
      </c>
      <c r="C1350" s="0" t="n">
        <v>92932</v>
      </c>
      <c r="D1350" s="0" t="s">
        <v>413</v>
      </c>
      <c r="E1350" s="0" t="s">
        <v>6282</v>
      </c>
      <c r="F1350" s="0" t="str">
        <f aca="false">CONCATENATE(D1350," ",LEFT(H1350,4),"T=",AU1350,"D=",AV1350,"R=",AW1350,"M=",AX1350,"L=",AY1350,"B=",AZ1350)</f>
        <v>BELL T=6D=2R=0M=3L=3B=0</v>
      </c>
      <c r="G1350" s="0" t="s">
        <v>268</v>
      </c>
      <c r="I1350" s="0" t="s">
        <v>4799</v>
      </c>
      <c r="J1350" s="0" t="s">
        <v>6283</v>
      </c>
      <c r="K1350" s="0" t="s">
        <v>160</v>
      </c>
      <c r="M1350" s="0" t="s">
        <v>6275</v>
      </c>
      <c r="N1350" s="0" t="str">
        <f aca="false">RIGHT(M1350,LEN(M1350)-FIND(" ",M1350))</f>
        <v>LAIRD AVE SE</v>
      </c>
      <c r="P1350" s="0" t="s">
        <v>145</v>
      </c>
      <c r="Q1350" s="0" t="s">
        <v>146</v>
      </c>
      <c r="R1350" s="0" t="n">
        <v>44484</v>
      </c>
      <c r="AD1350" s="0" t="s">
        <v>147</v>
      </c>
      <c r="AE1350" s="0" t="s">
        <v>148</v>
      </c>
      <c r="AF1350" s="0" t="s">
        <v>149</v>
      </c>
      <c r="AH1350" s="0" t="n">
        <v>14</v>
      </c>
      <c r="AI1350" s="0" t="n">
        <v>11</v>
      </c>
      <c r="AN1350" s="0" t="s">
        <v>145</v>
      </c>
      <c r="AO1350" s="0" t="s">
        <v>150</v>
      </c>
      <c r="AP1350" s="0" t="s">
        <v>151</v>
      </c>
      <c r="AQ1350" s="0" t="n">
        <v>9</v>
      </c>
      <c r="AR1350" s="0" t="n">
        <v>64</v>
      </c>
      <c r="AS1350" s="0" t="n">
        <v>32</v>
      </c>
      <c r="AU1350" s="0" t="n">
        <f aca="false">COUNTA($BA$987:$EH$987)</f>
        <v>6</v>
      </c>
      <c r="AV1350" s="0" t="n">
        <f aca="false">COUNTIF($BA$987:$EH$987,"D")</f>
        <v>2</v>
      </c>
      <c r="AW1350" s="0" t="n">
        <f aca="false">COUNTIF($BA$987:$EH$987,"R")</f>
        <v>0</v>
      </c>
      <c r="AX1350" s="0" t="n">
        <f aca="false">IF(BN1350="D",1,0)+IF(BO1350="D",1,0)+IF(BT1350="D",1,0)+IF(BU1350="D",1,0)+IF(BW1350="D",1,0)+IF(CC1350="D",1,0)+IF(CD1350="D",1,0)+IF(CE1350="D",1,0)+IF(CF1350="D",1,0)+IF(CL1350="D",1,0)+IF(CM1350="D",1,0)+IF(CQ1350="D",1,0)+IF(CR1350="D",1,0)+IF(CS1350="D",1,0)+IF(CW1350="D",1,0)+IF(CX1350="D",1,0)+IF(DD1350="D",1,0)+IF(DE1350="D",1,0)+IF(DJ1350="D",1,0)+IF(DK1350="D",1,0)+IF(DO1350="D",1,0)+IF(DP1350="D",1,0)+IF(DQ1350="D",1,0)+IF(DW1350="D",1,0)+IF(DZ1350="D",1,0)+IF(EH1350="D",1,0)</f>
        <v>3</v>
      </c>
      <c r="AY1350" s="0" t="n">
        <f aca="false">COUNTIF(DU1350:EH1350, "&lt;&gt;")</f>
        <v>3</v>
      </c>
      <c r="AZ1350" s="0" t="n">
        <f aca="false">IF(EH1350&lt;&gt;"",1,0)</f>
        <v>0</v>
      </c>
      <c r="BB1350" s="0" t="s">
        <v>152</v>
      </c>
      <c r="BC1350" s="0" t="s">
        <v>153</v>
      </c>
      <c r="BD1350" s="0" t="s">
        <v>153</v>
      </c>
      <c r="BE1350" s="0" t="s">
        <v>153</v>
      </c>
      <c r="BG1350" s="0" t="s">
        <v>153</v>
      </c>
      <c r="BH1350" s="0" t="s">
        <v>153</v>
      </c>
      <c r="BK1350" s="0" t="s">
        <v>153</v>
      </c>
      <c r="BL1350" s="0" t="s">
        <v>153</v>
      </c>
      <c r="BP1350" s="0" t="s">
        <v>153</v>
      </c>
      <c r="BR1350" s="0" t="s">
        <v>153</v>
      </c>
      <c r="BS1350" s="0" t="s">
        <v>153</v>
      </c>
      <c r="BY1350" s="0" t="s">
        <v>175</v>
      </c>
      <c r="CA1350" s="0" t="s">
        <v>153</v>
      </c>
      <c r="CG1350" s="0" t="s">
        <v>153</v>
      </c>
      <c r="CH1350" s="0" t="s">
        <v>175</v>
      </c>
      <c r="CK1350" s="0" t="s">
        <v>153</v>
      </c>
      <c r="CL1350" s="0" t="s">
        <v>175</v>
      </c>
      <c r="CN1350" s="0" t="s">
        <v>153</v>
      </c>
      <c r="CO1350" s="0" t="s">
        <v>175</v>
      </c>
      <c r="CP1350" s="0" t="s">
        <v>153</v>
      </c>
      <c r="CQ1350" s="0" t="s">
        <v>175</v>
      </c>
      <c r="CT1350" s="0" t="s">
        <v>153</v>
      </c>
      <c r="CU1350" s="0" t="s">
        <v>175</v>
      </c>
      <c r="CV1350" s="0" t="s">
        <v>153</v>
      </c>
      <c r="CY1350" s="0" t="s">
        <v>153</v>
      </c>
      <c r="CZ1350" s="0" t="s">
        <v>175</v>
      </c>
      <c r="DC1350" s="0" t="s">
        <v>153</v>
      </c>
      <c r="DF1350" s="0" t="s">
        <v>153</v>
      </c>
      <c r="DG1350" s="0" t="s">
        <v>175</v>
      </c>
      <c r="DI1350" s="0" t="s">
        <v>153</v>
      </c>
      <c r="DJ1350" s="0" t="s">
        <v>175</v>
      </c>
      <c r="DL1350" s="0" t="s">
        <v>153</v>
      </c>
      <c r="DM1350" s="0" t="s">
        <v>175</v>
      </c>
      <c r="DN1350" s="0" t="s">
        <v>153</v>
      </c>
      <c r="DU1350" s="0" t="s">
        <v>153</v>
      </c>
      <c r="DX1350" s="0" t="s">
        <v>153</v>
      </c>
      <c r="EF1350" s="0" t="s">
        <v>153</v>
      </c>
    </row>
    <row r="1351" customFormat="false" ht="13.8" hidden="true" customHeight="false" outlineLevel="0" collapsed="false">
      <c r="A1351" s="0" t="s">
        <v>6284</v>
      </c>
      <c r="B1351" s="0" t="n">
        <v>78</v>
      </c>
      <c r="C1351" s="0" t="n">
        <v>296499</v>
      </c>
      <c r="D1351" s="0" t="s">
        <v>6285</v>
      </c>
      <c r="E1351" s="0" t="s">
        <v>6286</v>
      </c>
      <c r="F1351" s="0" t="str">
        <f aca="false">CONCATENATE(D1351," ",LEFT(H1351,4),"T=",AU1351,"D=",AV1351,"R=",AW1351,"M=",AX1351,"L=",AY1351,"B=",AZ1351)</f>
        <v>SLOAN T=1D=0R=0M=0L=0B=0</v>
      </c>
      <c r="G1351" s="0" t="s">
        <v>6287</v>
      </c>
      <c r="I1351" s="0" t="s">
        <v>1032</v>
      </c>
      <c r="J1351" s="0" t="s">
        <v>6288</v>
      </c>
      <c r="K1351" s="0" t="s">
        <v>160</v>
      </c>
      <c r="M1351" s="0" t="s">
        <v>6289</v>
      </c>
      <c r="N1351" s="0" t="str">
        <f aca="false">RIGHT(M1351,LEN(M1351)-FIND(" ",M1351))</f>
        <v>LAIRD AVE SE</v>
      </c>
      <c r="P1351" s="0" t="s">
        <v>145</v>
      </c>
      <c r="Q1351" s="0" t="s">
        <v>146</v>
      </c>
      <c r="R1351" s="0" t="n">
        <v>44484</v>
      </c>
      <c r="AD1351" s="0" t="s">
        <v>147</v>
      </c>
      <c r="AE1351" s="0" t="s">
        <v>148</v>
      </c>
      <c r="AF1351" s="0" t="s">
        <v>149</v>
      </c>
      <c r="AH1351" s="0" t="n">
        <v>14</v>
      </c>
      <c r="AI1351" s="0" t="n">
        <v>11</v>
      </c>
      <c r="AN1351" s="0" t="s">
        <v>145</v>
      </c>
      <c r="AO1351" s="0" t="s">
        <v>150</v>
      </c>
      <c r="AP1351" s="0" t="s">
        <v>151</v>
      </c>
      <c r="AQ1351" s="0" t="n">
        <v>9</v>
      </c>
      <c r="AR1351" s="0" t="n">
        <v>64</v>
      </c>
      <c r="AS1351" s="0" t="n">
        <v>32</v>
      </c>
      <c r="AU1351" s="0" t="n">
        <f aca="false">COUNTA($BA$413:$EH$413)</f>
        <v>1</v>
      </c>
      <c r="AV1351" s="0" t="n">
        <f aca="false">COUNTIF($BA$413:$EH$413,"D")</f>
        <v>0</v>
      </c>
      <c r="AW1351" s="0" t="n">
        <f aca="false">COUNTIF($BA$413:$EH$413,"R")</f>
        <v>0</v>
      </c>
      <c r="AX1351" s="0" t="n">
        <f aca="false">IF(BN1351="D",1,0)+IF(BO1351="D",1,0)+IF(BT1351="D",1,0)+IF(BU1351="D",1,0)+IF(BW1351="D",1,0)+IF(CC1351="D",1,0)+IF(CD1351="D",1,0)+IF(CE1351="D",1,0)+IF(CF1351="D",1,0)+IF(CL1351="D",1,0)+IF(CM1351="D",1,0)+IF(CQ1351="D",1,0)+IF(CR1351="D",1,0)+IF(CS1351="D",1,0)+IF(CW1351="D",1,0)+IF(CX1351="D",1,0)+IF(DD1351="D",1,0)+IF(DE1351="D",1,0)+IF(DJ1351="D",1,0)+IF(DK1351="D",1,0)+IF(DO1351="D",1,0)+IF(DP1351="D",1,0)+IF(DQ1351="D",1,0)+IF(DW1351="D",1,0)+IF(DZ1351="D",1,0)+IF(EH1351="D",1,0)</f>
        <v>0</v>
      </c>
      <c r="AY1351" s="0" t="n">
        <f aca="false">COUNTIF(DU1351:EH1351, "&lt;&gt;")</f>
        <v>0</v>
      </c>
      <c r="AZ1351" s="0" t="n">
        <f aca="false">IF(EH1351&lt;&gt;"",1,0)</f>
        <v>0</v>
      </c>
      <c r="BB1351" s="0" t="s">
        <v>152</v>
      </c>
      <c r="BR1351" s="0" t="s">
        <v>153</v>
      </c>
      <c r="BY1351" s="0" t="s">
        <v>175</v>
      </c>
    </row>
    <row r="1352" customFormat="false" ht="13.8" hidden="true" customHeight="false" outlineLevel="0" collapsed="false">
      <c r="A1352" s="0" t="s">
        <v>6290</v>
      </c>
      <c r="B1352" s="0" t="n">
        <v>78</v>
      </c>
      <c r="C1352" s="0" t="n">
        <v>431143</v>
      </c>
      <c r="D1352" s="0" t="s">
        <v>2920</v>
      </c>
      <c r="E1352" s="0" t="s">
        <v>1710</v>
      </c>
      <c r="F1352" s="0" t="str">
        <f aca="false">CONCATENATE(D1352," ",LEFT(H1352,4),"T=",AU1352,"D=",AV1352,"R=",AW1352,"M=",AX1352,"L=",AY1352,"B=",AZ1352)</f>
        <v>FRANCIS T=28D=7R=2M=0L=0B=0</v>
      </c>
      <c r="G1352" s="0" t="s">
        <v>209</v>
      </c>
      <c r="I1352" s="0" t="s">
        <v>6291</v>
      </c>
      <c r="J1352" s="0" t="s">
        <v>6292</v>
      </c>
      <c r="K1352" s="0" t="s">
        <v>143</v>
      </c>
      <c r="M1352" s="0" t="s">
        <v>6293</v>
      </c>
      <c r="N1352" s="0" t="str">
        <f aca="false">RIGHT(M1352,LEN(M1352)-FIND(" ",M1352))</f>
        <v>LAIRD AVE SE</v>
      </c>
      <c r="P1352" s="0" t="s">
        <v>145</v>
      </c>
      <c r="Q1352" s="0" t="s">
        <v>146</v>
      </c>
      <c r="R1352" s="0" t="n">
        <v>44484</v>
      </c>
      <c r="AD1352" s="0" t="s">
        <v>147</v>
      </c>
      <c r="AE1352" s="0" t="s">
        <v>148</v>
      </c>
      <c r="AF1352" s="0" t="s">
        <v>149</v>
      </c>
      <c r="AH1352" s="0" t="n">
        <v>14</v>
      </c>
      <c r="AI1352" s="0" t="n">
        <v>11</v>
      </c>
      <c r="AN1352" s="0" t="s">
        <v>145</v>
      </c>
      <c r="AO1352" s="0" t="s">
        <v>150</v>
      </c>
      <c r="AP1352" s="0" t="s">
        <v>151</v>
      </c>
      <c r="AQ1352" s="0" t="n">
        <v>9</v>
      </c>
      <c r="AR1352" s="0" t="n">
        <v>64</v>
      </c>
      <c r="AS1352" s="0" t="n">
        <v>32</v>
      </c>
      <c r="AU1352" s="0" t="n">
        <f aca="false">COUNTA($BA$619:$EH$619)</f>
        <v>28</v>
      </c>
      <c r="AV1352" s="0" t="n">
        <f aca="false">COUNTIF($BA$619:$EH$619,"D")</f>
        <v>7</v>
      </c>
      <c r="AW1352" s="0" t="n">
        <f aca="false">COUNTIF($BA$619:$EH$619,"R")</f>
        <v>2</v>
      </c>
      <c r="AX1352" s="0" t="n">
        <f aca="false">IF(BN1352="D",1,0)+IF(BO1352="D",1,0)+IF(BT1352="D",1,0)+IF(BU1352="D",1,0)+IF(BW1352="D",1,0)+IF(CC1352="D",1,0)+IF(CD1352="D",1,0)+IF(CE1352="D",1,0)+IF(CF1352="D",1,0)+IF(CL1352="D",1,0)+IF(CM1352="D",1,0)+IF(CQ1352="D",1,0)+IF(CR1352="D",1,0)+IF(CS1352="D",1,0)+IF(CW1352="D",1,0)+IF(CX1352="D",1,0)+IF(DD1352="D",1,0)+IF(DE1352="D",1,0)+IF(DJ1352="D",1,0)+IF(DK1352="D",1,0)+IF(DO1352="D",1,0)+IF(DP1352="D",1,0)+IF(DQ1352="D",1,0)+IF(DW1352="D",1,0)+IF(DZ1352="D",1,0)+IF(EH1352="D",1,0)</f>
        <v>0</v>
      </c>
      <c r="AY1352" s="0" t="n">
        <f aca="false">COUNTIF(DU1352:EH1352, "&lt;&gt;")</f>
        <v>0</v>
      </c>
      <c r="AZ1352" s="0" t="n">
        <f aca="false">IF(EH1352&lt;&gt;"",1,0)</f>
        <v>0</v>
      </c>
      <c r="BB1352" s="0" t="s">
        <v>152</v>
      </c>
      <c r="DC1352" s="0" t="s">
        <v>153</v>
      </c>
      <c r="DG1352" s="0" t="s">
        <v>209</v>
      </c>
      <c r="DI1352" s="0" t="s">
        <v>153</v>
      </c>
    </row>
    <row r="1353" customFormat="false" ht="13.8" hidden="true" customHeight="false" outlineLevel="0" collapsed="false">
      <c r="A1353" s="0" t="s">
        <v>6294</v>
      </c>
      <c r="B1353" s="0" t="n">
        <v>78</v>
      </c>
      <c r="C1353" s="0" t="n">
        <v>435500</v>
      </c>
      <c r="D1353" s="0" t="s">
        <v>6295</v>
      </c>
      <c r="E1353" s="0" t="s">
        <v>2783</v>
      </c>
      <c r="F1353" s="0" t="str">
        <f aca="false">CONCATENATE(D1353," ",LEFT(H1353,4),"T=",AU1353,"D=",AV1353,"R=",AW1353,"M=",AX1353,"L=",AY1353,"B=",AZ1353)</f>
        <v>COLE T=1D=0R=0M=0L=0B=0</v>
      </c>
      <c r="G1353" s="0" t="s">
        <v>362</v>
      </c>
      <c r="I1353" s="0" t="s">
        <v>6296</v>
      </c>
      <c r="J1353" s="0" t="s">
        <v>3417</v>
      </c>
      <c r="K1353" s="0" t="s">
        <v>143</v>
      </c>
      <c r="M1353" s="0" t="s">
        <v>6293</v>
      </c>
      <c r="N1353" s="0" t="str">
        <f aca="false">RIGHT(M1353,LEN(M1353)-FIND(" ",M1353))</f>
        <v>LAIRD AVE SE</v>
      </c>
      <c r="P1353" s="0" t="s">
        <v>145</v>
      </c>
      <c r="Q1353" s="0" t="s">
        <v>146</v>
      </c>
      <c r="R1353" s="0" t="n">
        <v>44484</v>
      </c>
      <c r="AD1353" s="0" t="s">
        <v>147</v>
      </c>
      <c r="AE1353" s="0" t="s">
        <v>148</v>
      </c>
      <c r="AF1353" s="0" t="s">
        <v>149</v>
      </c>
      <c r="AH1353" s="0" t="n">
        <v>14</v>
      </c>
      <c r="AI1353" s="0" t="n">
        <v>11</v>
      </c>
      <c r="AN1353" s="0" t="s">
        <v>145</v>
      </c>
      <c r="AO1353" s="0" t="s">
        <v>150</v>
      </c>
      <c r="AP1353" s="0" t="s">
        <v>151</v>
      </c>
      <c r="AQ1353" s="0" t="n">
        <v>9</v>
      </c>
      <c r="AR1353" s="0" t="n">
        <v>64</v>
      </c>
      <c r="AS1353" s="0" t="n">
        <v>32</v>
      </c>
      <c r="AU1353" s="0" t="n">
        <f aca="false">COUNTA($BA$671:$EH$671)</f>
        <v>1</v>
      </c>
      <c r="AV1353" s="0" t="n">
        <f aca="false">COUNTIF($BA$671:$EH$671,"D")</f>
        <v>0</v>
      </c>
      <c r="AW1353" s="0" t="n">
        <f aca="false">COUNTIF($BA$671:$EH$671,"R")</f>
        <v>0</v>
      </c>
      <c r="AX1353" s="0" t="n">
        <f aca="false">IF(BN1353="D",1,0)+IF(BO1353="D",1,0)+IF(BT1353="D",1,0)+IF(BU1353="D",1,0)+IF(BW1353="D",1,0)+IF(CC1353="D",1,0)+IF(CD1353="D",1,0)+IF(CE1353="D",1,0)+IF(CF1353="D",1,0)+IF(CL1353="D",1,0)+IF(CM1353="D",1,0)+IF(CQ1353="D",1,0)+IF(CR1353="D",1,0)+IF(CS1353="D",1,0)+IF(CW1353="D",1,0)+IF(CX1353="D",1,0)+IF(DD1353="D",1,0)+IF(DE1353="D",1,0)+IF(DJ1353="D",1,0)+IF(DK1353="D",1,0)+IF(DO1353="D",1,0)+IF(DP1353="D",1,0)+IF(DQ1353="D",1,0)+IF(DW1353="D",1,0)+IF(DZ1353="D",1,0)+IF(EH1353="D",1,0)</f>
        <v>0</v>
      </c>
      <c r="AY1353" s="0" t="n">
        <f aca="false">COUNTIF(DU1353:EH1353, "&lt;&gt;")</f>
        <v>0</v>
      </c>
      <c r="AZ1353" s="0" t="n">
        <f aca="false">IF(EH1353&lt;&gt;"",1,0)</f>
        <v>0</v>
      </c>
      <c r="BB1353" s="0" t="s">
        <v>152</v>
      </c>
    </row>
    <row r="1354" customFormat="false" ht="13.8" hidden="true" customHeight="false" outlineLevel="0" collapsed="false">
      <c r="A1354" s="0" t="s">
        <v>6297</v>
      </c>
      <c r="B1354" s="0" t="n">
        <v>78</v>
      </c>
      <c r="C1354" s="0" t="n">
        <v>338688</v>
      </c>
      <c r="D1354" s="0" t="s">
        <v>6295</v>
      </c>
      <c r="E1354" s="0" t="s">
        <v>6298</v>
      </c>
      <c r="F1354" s="0" t="str">
        <f aca="false">CONCATENATE(D1354," ",LEFT(H1354,4),"T=",AU1354,"D=",AV1354,"R=",AW1354,"M=",AX1354,"L=",AY1354,"B=",AZ1354)</f>
        <v>COLE T=1D=0R=0M=0L=0B=0</v>
      </c>
      <c r="G1354" s="0" t="s">
        <v>164</v>
      </c>
      <c r="I1354" s="0" t="s">
        <v>6299</v>
      </c>
      <c r="J1354" s="0" t="s">
        <v>6300</v>
      </c>
      <c r="K1354" s="0" t="s">
        <v>160</v>
      </c>
      <c r="M1354" s="0" t="s">
        <v>6293</v>
      </c>
      <c r="N1354" s="0" t="str">
        <f aca="false">RIGHT(M1354,LEN(M1354)-FIND(" ",M1354))</f>
        <v>LAIRD AVE SE</v>
      </c>
      <c r="P1354" s="0" t="s">
        <v>145</v>
      </c>
      <c r="Q1354" s="0" t="s">
        <v>146</v>
      </c>
      <c r="R1354" s="0" t="n">
        <v>44484</v>
      </c>
      <c r="AD1354" s="0" t="s">
        <v>147</v>
      </c>
      <c r="AE1354" s="0" t="s">
        <v>148</v>
      </c>
      <c r="AF1354" s="0" t="s">
        <v>149</v>
      </c>
      <c r="AH1354" s="0" t="n">
        <v>14</v>
      </c>
      <c r="AI1354" s="0" t="n">
        <v>11</v>
      </c>
      <c r="AN1354" s="0" t="s">
        <v>145</v>
      </c>
      <c r="AO1354" s="0" t="s">
        <v>150</v>
      </c>
      <c r="AP1354" s="0" t="s">
        <v>151</v>
      </c>
      <c r="AQ1354" s="0" t="n">
        <v>9</v>
      </c>
      <c r="AR1354" s="0" t="n">
        <v>64</v>
      </c>
      <c r="AS1354" s="0" t="n">
        <v>32</v>
      </c>
      <c r="AU1354" s="0" t="n">
        <f aca="false">COUNTA($BA$911:$EH$911)</f>
        <v>1</v>
      </c>
      <c r="AV1354" s="0" t="n">
        <f aca="false">COUNTIF($BA$911:$EH$911,"D")</f>
        <v>0</v>
      </c>
      <c r="AW1354" s="0" t="n">
        <f aca="false">COUNTIF($BA$911:$EH$911,"R")</f>
        <v>0</v>
      </c>
      <c r="AX1354" s="0" t="n">
        <f aca="false">IF(BN1354="D",1,0)+IF(BO1354="D",1,0)+IF(BT1354="D",1,0)+IF(BU1354="D",1,0)+IF(BW1354="D",1,0)+IF(CC1354="D",1,0)+IF(CD1354="D",1,0)+IF(CE1354="D",1,0)+IF(CF1354="D",1,0)+IF(CL1354="D",1,0)+IF(CM1354="D",1,0)+IF(CQ1354="D",1,0)+IF(CR1354="D",1,0)+IF(CS1354="D",1,0)+IF(CW1354="D",1,0)+IF(CX1354="D",1,0)+IF(DD1354="D",1,0)+IF(DE1354="D",1,0)+IF(DJ1354="D",1,0)+IF(DK1354="D",1,0)+IF(DO1354="D",1,0)+IF(DP1354="D",1,0)+IF(DQ1354="D",1,0)+IF(DW1354="D",1,0)+IF(DZ1354="D",1,0)+IF(EH1354="D",1,0)</f>
        <v>0</v>
      </c>
      <c r="AY1354" s="0" t="n">
        <f aca="false">COUNTIF(DU1354:EH1354, "&lt;&gt;")</f>
        <v>0</v>
      </c>
      <c r="AZ1354" s="0" t="n">
        <f aca="false">IF(EH1354&lt;&gt;"",1,0)</f>
        <v>0</v>
      </c>
      <c r="BB1354" s="0" t="s">
        <v>152</v>
      </c>
    </row>
    <row r="1355" customFormat="false" ht="13.8" hidden="true" customHeight="false" outlineLevel="0" collapsed="false">
      <c r="A1355" s="0" t="s">
        <v>6301</v>
      </c>
      <c r="B1355" s="0" t="n">
        <v>78</v>
      </c>
      <c r="C1355" s="0" t="n">
        <v>334383</v>
      </c>
      <c r="D1355" s="0" t="s">
        <v>2920</v>
      </c>
      <c r="E1355" s="0" t="s">
        <v>6302</v>
      </c>
      <c r="F1355" s="0" t="str">
        <f aca="false">CONCATENATE(D1355," ",LEFT(H1355,4),"T=",AU1355,"D=",AV1355,"R=",AW1355,"M=",AX1355,"L=",AY1355,"B=",AZ1355)</f>
        <v>FRANCIS T=1D=0R=0M=0L=0B=0</v>
      </c>
      <c r="G1355" s="0" t="s">
        <v>209</v>
      </c>
      <c r="I1355" s="0" t="s">
        <v>6303</v>
      </c>
      <c r="J1355" s="0" t="s">
        <v>879</v>
      </c>
      <c r="K1355" s="0" t="s">
        <v>143</v>
      </c>
      <c r="M1355" s="0" t="s">
        <v>6293</v>
      </c>
      <c r="N1355" s="0" t="str">
        <f aca="false">RIGHT(M1355,LEN(M1355)-FIND(" ",M1355))</f>
        <v>LAIRD AVE SE</v>
      </c>
      <c r="P1355" s="0" t="s">
        <v>145</v>
      </c>
      <c r="Q1355" s="0" t="s">
        <v>146</v>
      </c>
      <c r="R1355" s="0" t="n">
        <v>44484</v>
      </c>
      <c r="AD1355" s="0" t="s">
        <v>147</v>
      </c>
      <c r="AE1355" s="0" t="s">
        <v>148</v>
      </c>
      <c r="AF1355" s="0" t="s">
        <v>149</v>
      </c>
      <c r="AH1355" s="0" t="n">
        <v>14</v>
      </c>
      <c r="AI1355" s="0" t="n">
        <v>11</v>
      </c>
      <c r="AN1355" s="0" t="s">
        <v>145</v>
      </c>
      <c r="AO1355" s="0" t="s">
        <v>150</v>
      </c>
      <c r="AP1355" s="0" t="s">
        <v>151</v>
      </c>
      <c r="AQ1355" s="0" t="n">
        <v>9</v>
      </c>
      <c r="AR1355" s="0" t="n">
        <v>64</v>
      </c>
      <c r="AS1355" s="0" t="n">
        <v>32</v>
      </c>
      <c r="AU1355" s="0" t="n">
        <f aca="false">COUNTA($BA$939:$EH$939)</f>
        <v>1</v>
      </c>
      <c r="AV1355" s="0" t="n">
        <f aca="false">COUNTIF($BA$939:$EH$939,"D")</f>
        <v>0</v>
      </c>
      <c r="AW1355" s="0" t="n">
        <f aca="false">COUNTIF($BA$939:$EH$939,"R")</f>
        <v>0</v>
      </c>
      <c r="AX1355" s="0" t="n">
        <f aca="false">IF(BN1355="D",1,0)+IF(BO1355="D",1,0)+IF(BT1355="D",1,0)+IF(BU1355="D",1,0)+IF(BW1355="D",1,0)+IF(CC1355="D",1,0)+IF(CD1355="D",1,0)+IF(CE1355="D",1,0)+IF(CF1355="D",1,0)+IF(CL1355="D",1,0)+IF(CM1355="D",1,0)+IF(CQ1355="D",1,0)+IF(CR1355="D",1,0)+IF(CS1355="D",1,0)+IF(CW1355="D",1,0)+IF(CX1355="D",1,0)+IF(DD1355="D",1,0)+IF(DE1355="D",1,0)+IF(DJ1355="D",1,0)+IF(DK1355="D",1,0)+IF(DO1355="D",1,0)+IF(DP1355="D",1,0)+IF(DQ1355="D",1,0)+IF(DW1355="D",1,0)+IF(DZ1355="D",1,0)+IF(EH1355="D",1,0)</f>
        <v>0</v>
      </c>
      <c r="AY1355" s="0" t="n">
        <f aca="false">COUNTIF(DU1355:EH1355, "&lt;&gt;")</f>
        <v>0</v>
      </c>
      <c r="AZ1355" s="0" t="n">
        <f aca="false">IF(EH1355&lt;&gt;"",1,0)</f>
        <v>0</v>
      </c>
      <c r="BB1355" s="0" t="s">
        <v>152</v>
      </c>
    </row>
    <row r="1356" customFormat="false" ht="13.8" hidden="true" customHeight="false" outlineLevel="0" collapsed="false">
      <c r="A1356" s="0" t="s">
        <v>6304</v>
      </c>
      <c r="B1356" s="0" t="n">
        <v>78</v>
      </c>
      <c r="C1356" s="0" t="n">
        <v>476423</v>
      </c>
      <c r="D1356" s="0" t="s">
        <v>6295</v>
      </c>
      <c r="E1356" s="0" t="s">
        <v>6305</v>
      </c>
      <c r="F1356" s="0" t="str">
        <f aca="false">CONCATENATE(D1356," ",LEFT(H1356,4),"T=",AU1356,"D=",AV1356,"R=",AW1356,"M=",AX1356,"L=",AY1356,"B=",AZ1356)</f>
        <v>COLE T=33D=0R=7M=0L=0B=0</v>
      </c>
      <c r="G1356" s="0" t="s">
        <v>171</v>
      </c>
      <c r="I1356" s="0" t="s">
        <v>337</v>
      </c>
      <c r="J1356" s="0" t="s">
        <v>4985</v>
      </c>
      <c r="K1356" s="0" t="s">
        <v>143</v>
      </c>
      <c r="M1356" s="0" t="s">
        <v>6293</v>
      </c>
      <c r="N1356" s="0" t="str">
        <f aca="false">RIGHT(M1356,LEN(M1356)-FIND(" ",M1356))</f>
        <v>LAIRD AVE SE</v>
      </c>
      <c r="P1356" s="0" t="s">
        <v>145</v>
      </c>
      <c r="Q1356" s="0" t="s">
        <v>146</v>
      </c>
      <c r="R1356" s="0" t="n">
        <v>44484</v>
      </c>
      <c r="AD1356" s="0" t="s">
        <v>147</v>
      </c>
      <c r="AE1356" s="0" t="s">
        <v>148</v>
      </c>
      <c r="AF1356" s="0" t="s">
        <v>149</v>
      </c>
      <c r="AH1356" s="0" t="n">
        <v>14</v>
      </c>
      <c r="AI1356" s="0" t="n">
        <v>11</v>
      </c>
      <c r="AN1356" s="0" t="s">
        <v>145</v>
      </c>
      <c r="AO1356" s="0" t="s">
        <v>150</v>
      </c>
      <c r="AP1356" s="0" t="s">
        <v>151</v>
      </c>
      <c r="AQ1356" s="0" t="n">
        <v>9</v>
      </c>
      <c r="AR1356" s="0" t="n">
        <v>64</v>
      </c>
      <c r="AS1356" s="0" t="n">
        <v>32</v>
      </c>
      <c r="AU1356" s="0" t="n">
        <f aca="false">COUNTA($BA$978:$EH$978)</f>
        <v>33</v>
      </c>
      <c r="AV1356" s="0" t="n">
        <f aca="false">COUNTIF($BA$978:$EH$978,"D")</f>
        <v>0</v>
      </c>
      <c r="AW1356" s="0" t="n">
        <f aca="false">COUNTIF($BA$978:$EH$978,"R")</f>
        <v>7</v>
      </c>
      <c r="AX1356" s="0" t="n">
        <f aca="false">IF(BN1356="D",1,0)+IF(BO1356="D",1,0)+IF(BT1356="D",1,0)+IF(BU1356="D",1,0)+IF(BW1356="D",1,0)+IF(CC1356="D",1,0)+IF(CD1356="D",1,0)+IF(CE1356="D",1,0)+IF(CF1356="D",1,0)+IF(CL1356="D",1,0)+IF(CM1356="D",1,0)+IF(CQ1356="D",1,0)+IF(CR1356="D",1,0)+IF(CS1356="D",1,0)+IF(CW1356="D",1,0)+IF(CX1356="D",1,0)+IF(DD1356="D",1,0)+IF(DE1356="D",1,0)+IF(DJ1356="D",1,0)+IF(DK1356="D",1,0)+IF(DO1356="D",1,0)+IF(DP1356="D",1,0)+IF(DQ1356="D",1,0)+IF(DW1356="D",1,0)+IF(DZ1356="D",1,0)+IF(EH1356="D",1,0)</f>
        <v>0</v>
      </c>
      <c r="AY1356" s="0" t="n">
        <f aca="false">COUNTIF(DU1356:EH1356, "&lt;&gt;")</f>
        <v>0</v>
      </c>
      <c r="AZ1356" s="0" t="n">
        <f aca="false">IF(EH1356&lt;&gt;"",1,0)</f>
        <v>0</v>
      </c>
      <c r="BB1356" s="0" t="s">
        <v>152</v>
      </c>
    </row>
    <row r="1357" customFormat="false" ht="13.8" hidden="true" customHeight="false" outlineLevel="0" collapsed="false">
      <c r="A1357" s="0" t="s">
        <v>6306</v>
      </c>
      <c r="B1357" s="0" t="n">
        <v>78</v>
      </c>
      <c r="C1357" s="0" t="n">
        <v>304343</v>
      </c>
      <c r="D1357" s="0" t="s">
        <v>6307</v>
      </c>
      <c r="E1357" s="0" t="s">
        <v>6308</v>
      </c>
      <c r="F1357" s="0" t="str">
        <f aca="false">CONCATENATE(D1357," ",LEFT(H1357,4),"T=",AU1357,"D=",AV1357,"R=",AW1357,"M=",AX1357,"L=",AY1357,"B=",AZ1357)</f>
        <v>HOCKMAN T=3D=0R=0M=0L=0B=0</v>
      </c>
      <c r="G1357" s="0" t="s">
        <v>202</v>
      </c>
      <c r="I1357" s="0" t="s">
        <v>6309</v>
      </c>
      <c r="J1357" s="0" t="s">
        <v>6310</v>
      </c>
      <c r="K1357" s="0" t="s">
        <v>143</v>
      </c>
      <c r="M1357" s="0" t="s">
        <v>6311</v>
      </c>
      <c r="N1357" s="0" t="str">
        <f aca="false">RIGHT(M1357,LEN(M1357)-FIND(" ",M1357))</f>
        <v>LAMPHIER PL NE</v>
      </c>
      <c r="P1357" s="0" t="s">
        <v>145</v>
      </c>
      <c r="Q1357" s="0" t="s">
        <v>146</v>
      </c>
      <c r="R1357" s="0" t="n">
        <v>44483</v>
      </c>
      <c r="AD1357" s="0" t="s">
        <v>147</v>
      </c>
      <c r="AE1357" s="0" t="s">
        <v>148</v>
      </c>
      <c r="AF1357" s="0" t="s">
        <v>149</v>
      </c>
      <c r="AH1357" s="0" t="n">
        <v>14</v>
      </c>
      <c r="AI1357" s="0" t="n">
        <v>11</v>
      </c>
      <c r="AN1357" s="0" t="s">
        <v>145</v>
      </c>
      <c r="AO1357" s="0" t="s">
        <v>654</v>
      </c>
      <c r="AP1357" s="0" t="s">
        <v>655</v>
      </c>
      <c r="AQ1357" s="0" t="n">
        <v>9</v>
      </c>
      <c r="AR1357" s="0" t="n">
        <v>64</v>
      </c>
      <c r="AS1357" s="0" t="n">
        <v>32</v>
      </c>
      <c r="AU1357" s="0" t="n">
        <f aca="false">COUNTA($BA$1214:$EH$1214)</f>
        <v>3</v>
      </c>
      <c r="AV1357" s="0" t="n">
        <f aca="false">COUNTIF($BA$1214:$EH$1214,"D")</f>
        <v>0</v>
      </c>
      <c r="AW1357" s="0" t="n">
        <f aca="false">COUNTIF($BA$1214:$EH$1214,"R")</f>
        <v>0</v>
      </c>
      <c r="AX1357" s="0" t="n">
        <f aca="false">IF(BN1357="D",1,0)+IF(BO1357="D",1,0)+IF(BT1357="D",1,0)+IF(BU1357="D",1,0)+IF(BW1357="D",1,0)+IF(CC1357="D",1,0)+IF(CD1357="D",1,0)+IF(CE1357="D",1,0)+IF(CF1357="D",1,0)+IF(CL1357="D",1,0)+IF(CM1357="D",1,0)+IF(CQ1357="D",1,0)+IF(CR1357="D",1,0)+IF(CS1357="D",1,0)+IF(CW1357="D",1,0)+IF(CX1357="D",1,0)+IF(DD1357="D",1,0)+IF(DE1357="D",1,0)+IF(DJ1357="D",1,0)+IF(DK1357="D",1,0)+IF(DO1357="D",1,0)+IF(DP1357="D",1,0)+IF(DQ1357="D",1,0)+IF(DW1357="D",1,0)+IF(DZ1357="D",1,0)+IF(EH1357="D",1,0)</f>
        <v>0</v>
      </c>
      <c r="AY1357" s="0" t="n">
        <f aca="false">COUNTIF(DU1357:EH1357, "&lt;&gt;")</f>
        <v>0</v>
      </c>
      <c r="AZ1357" s="0" t="n">
        <f aca="false">IF(EH1357&lt;&gt;"",1,0)</f>
        <v>0</v>
      </c>
      <c r="BB1357" s="0" t="s">
        <v>152</v>
      </c>
      <c r="CA1357" s="0" t="s">
        <v>153</v>
      </c>
      <c r="DC1357" s="0" t="s">
        <v>153</v>
      </c>
      <c r="DN1357" s="0" t="s">
        <v>153</v>
      </c>
    </row>
    <row r="1358" customFormat="false" ht="13.8" hidden="true" customHeight="false" outlineLevel="0" collapsed="false">
      <c r="A1358" s="0" t="s">
        <v>6312</v>
      </c>
      <c r="B1358" s="0" t="n">
        <v>78</v>
      </c>
      <c r="C1358" s="0" t="n">
        <v>484272</v>
      </c>
      <c r="D1358" s="0" t="s">
        <v>6307</v>
      </c>
      <c r="E1358" s="0" t="s">
        <v>6313</v>
      </c>
      <c r="F1358" s="0" t="str">
        <f aca="false">CONCATENATE(D1358," ",LEFT(H1358,4),"T=",AU1358,"D=",AV1358,"R=",AW1358,"M=",AX1358,"L=",AY1358,"B=",AZ1358)</f>
        <v>HOCKMAN T=1D=0R=0M=0L=0B=0</v>
      </c>
      <c r="G1358" s="0" t="s">
        <v>5764</v>
      </c>
      <c r="I1358" s="0" t="s">
        <v>6314</v>
      </c>
      <c r="J1358" s="0" t="s">
        <v>6315</v>
      </c>
      <c r="K1358" s="0" t="s">
        <v>160</v>
      </c>
      <c r="M1358" s="0" t="s">
        <v>6311</v>
      </c>
      <c r="N1358" s="0" t="str">
        <f aca="false">RIGHT(M1358,LEN(M1358)-FIND(" ",M1358))</f>
        <v>LAMPHIER PL NE</v>
      </c>
      <c r="P1358" s="0" t="s">
        <v>145</v>
      </c>
      <c r="Q1358" s="0" t="s">
        <v>146</v>
      </c>
      <c r="R1358" s="0" t="n">
        <v>44483</v>
      </c>
      <c r="S1358" s="0" t="n">
        <v>5010</v>
      </c>
      <c r="AD1358" s="0" t="s">
        <v>147</v>
      </c>
      <c r="AE1358" s="0" t="s">
        <v>148</v>
      </c>
      <c r="AF1358" s="0" t="s">
        <v>149</v>
      </c>
      <c r="AH1358" s="0" t="n">
        <v>14</v>
      </c>
      <c r="AI1358" s="0" t="n">
        <v>11</v>
      </c>
      <c r="AN1358" s="0" t="s">
        <v>145</v>
      </c>
      <c r="AO1358" s="0" t="s">
        <v>654</v>
      </c>
      <c r="AP1358" s="0" t="s">
        <v>655</v>
      </c>
      <c r="AQ1358" s="0" t="n">
        <v>9</v>
      </c>
      <c r="AR1358" s="0" t="n">
        <v>64</v>
      </c>
      <c r="AS1358" s="0" t="n">
        <v>32</v>
      </c>
      <c r="AU1358" s="0" t="n">
        <f aca="false">COUNTA($BA$1514:$EH$1514)</f>
        <v>1</v>
      </c>
      <c r="AV1358" s="0" t="n">
        <f aca="false">COUNTIF($BA$1514:$EH$1514,"D")</f>
        <v>0</v>
      </c>
      <c r="AW1358" s="0" t="n">
        <f aca="false">COUNTIF($BA$1514:$EH$1514,"R")</f>
        <v>0</v>
      </c>
      <c r="AX1358" s="0" t="n">
        <f aca="false">IF(BN1358="D",1,0)+IF(BO1358="D",1,0)+IF(BT1358="D",1,0)+IF(BU1358="D",1,0)+IF(BW1358="D",1,0)+IF(CC1358="D",1,0)+IF(CD1358="D",1,0)+IF(CE1358="D",1,0)+IF(CF1358="D",1,0)+IF(CL1358="D",1,0)+IF(CM1358="D",1,0)+IF(CQ1358="D",1,0)+IF(CR1358="D",1,0)+IF(CS1358="D",1,0)+IF(CW1358="D",1,0)+IF(CX1358="D",1,0)+IF(DD1358="D",1,0)+IF(DE1358="D",1,0)+IF(DJ1358="D",1,0)+IF(DK1358="D",1,0)+IF(DO1358="D",1,0)+IF(DP1358="D",1,0)+IF(DQ1358="D",1,0)+IF(DW1358="D",1,0)+IF(DZ1358="D",1,0)+IF(EH1358="D",1,0)</f>
        <v>0</v>
      </c>
      <c r="AY1358" s="0" t="n">
        <f aca="false">COUNTIF(DU1358:EH1358, "&lt;&gt;")</f>
        <v>0</v>
      </c>
      <c r="AZ1358" s="0" t="n">
        <f aca="false">IF(EH1358&lt;&gt;"",1,0)</f>
        <v>0</v>
      </c>
      <c r="BB1358" s="0" t="s">
        <v>152</v>
      </c>
    </row>
    <row r="1359" customFormat="false" ht="13.8" hidden="true" customHeight="false" outlineLevel="0" collapsed="false">
      <c r="A1359" s="0" t="s">
        <v>6316</v>
      </c>
      <c r="B1359" s="0" t="n">
        <v>78</v>
      </c>
      <c r="C1359" s="0" t="n">
        <v>360597</v>
      </c>
      <c r="D1359" s="0" t="s">
        <v>6307</v>
      </c>
      <c r="E1359" s="0" t="s">
        <v>469</v>
      </c>
      <c r="F1359" s="0" t="str">
        <f aca="false">CONCATENATE(D1359," ",LEFT(H1359,4),"T=",AU1359,"D=",AV1359,"R=",AW1359,"M=",AX1359,"L=",AY1359,"B=",AZ1359)</f>
        <v>HOCKMAN T=5D=0R=0M=0L=0B=0</v>
      </c>
      <c r="G1359" s="0" t="s">
        <v>839</v>
      </c>
      <c r="I1359" s="0" t="s">
        <v>6317</v>
      </c>
      <c r="J1359" s="0" t="s">
        <v>6318</v>
      </c>
      <c r="K1359" s="0" t="s">
        <v>160</v>
      </c>
      <c r="M1359" s="0" t="s">
        <v>6311</v>
      </c>
      <c r="N1359" s="0" t="str">
        <f aca="false">RIGHT(M1359,LEN(M1359)-FIND(" ",M1359))</f>
        <v>LAMPHIER PL NE</v>
      </c>
      <c r="P1359" s="0" t="s">
        <v>145</v>
      </c>
      <c r="Q1359" s="0" t="s">
        <v>146</v>
      </c>
      <c r="R1359" s="0" t="n">
        <v>44483</v>
      </c>
      <c r="AD1359" s="0" t="s">
        <v>147</v>
      </c>
      <c r="AE1359" s="0" t="s">
        <v>148</v>
      </c>
      <c r="AF1359" s="0" t="s">
        <v>149</v>
      </c>
      <c r="AH1359" s="0" t="n">
        <v>14</v>
      </c>
      <c r="AI1359" s="0" t="n">
        <v>11</v>
      </c>
      <c r="AN1359" s="0" t="s">
        <v>145</v>
      </c>
      <c r="AO1359" s="0" t="s">
        <v>654</v>
      </c>
      <c r="AP1359" s="0" t="s">
        <v>655</v>
      </c>
      <c r="AQ1359" s="0" t="n">
        <v>9</v>
      </c>
      <c r="AR1359" s="0" t="n">
        <v>64</v>
      </c>
      <c r="AS1359" s="0" t="n">
        <v>32</v>
      </c>
      <c r="AU1359" s="0" t="n">
        <f aca="false">COUNTA($BA$1952:$EH$1952)</f>
        <v>5</v>
      </c>
      <c r="AV1359" s="0" t="n">
        <f aca="false">COUNTIF($BA$1952:$EH$1952,"D")</f>
        <v>0</v>
      </c>
      <c r="AW1359" s="0" t="n">
        <f aca="false">COUNTIF($BA$1952:$EH$1952,"R")</f>
        <v>0</v>
      </c>
      <c r="AX1359" s="0" t="n">
        <f aca="false">IF(BN1359="D",1,0)+IF(BO1359="D",1,0)+IF(BT1359="D",1,0)+IF(BU1359="D",1,0)+IF(BW1359="D",1,0)+IF(CC1359="D",1,0)+IF(CD1359="D",1,0)+IF(CE1359="D",1,0)+IF(CF1359="D",1,0)+IF(CL1359="D",1,0)+IF(CM1359="D",1,0)+IF(CQ1359="D",1,0)+IF(CR1359="D",1,0)+IF(CS1359="D",1,0)+IF(CW1359="D",1,0)+IF(CX1359="D",1,0)+IF(DD1359="D",1,0)+IF(DE1359="D",1,0)+IF(DJ1359="D",1,0)+IF(DK1359="D",1,0)+IF(DO1359="D",1,0)+IF(DP1359="D",1,0)+IF(DQ1359="D",1,0)+IF(DW1359="D",1,0)+IF(DZ1359="D",1,0)+IF(EH1359="D",1,0)</f>
        <v>0</v>
      </c>
      <c r="AY1359" s="0" t="n">
        <f aca="false">COUNTIF(DU1359:EH1359, "&lt;&gt;")</f>
        <v>0</v>
      </c>
      <c r="AZ1359" s="0" t="n">
        <f aca="false">IF(EH1359&lt;&gt;"",1,0)</f>
        <v>0</v>
      </c>
      <c r="BB1359" s="0" t="s">
        <v>152</v>
      </c>
      <c r="CA1359" s="0" t="s">
        <v>153</v>
      </c>
      <c r="CP1359" s="0" t="s">
        <v>153</v>
      </c>
      <c r="CY1359" s="0" t="s">
        <v>153</v>
      </c>
      <c r="DC1359" s="0" t="s">
        <v>153</v>
      </c>
    </row>
    <row r="1360" customFormat="false" ht="13.8" hidden="false" customHeight="false" outlineLevel="0" collapsed="false">
      <c r="A1360" s="0" t="s">
        <v>6319</v>
      </c>
      <c r="B1360" s="0" t="n">
        <v>78</v>
      </c>
      <c r="C1360" s="0" t="n">
        <v>385492</v>
      </c>
      <c r="D1360" s="0" t="s">
        <v>6320</v>
      </c>
      <c r="E1360" s="0" t="s">
        <v>1350</v>
      </c>
      <c r="F1360" s="0" t="str">
        <f aca="false">CONCATENATE(D1360," ",LEFT(H1360,4),"T=",AU1360,"D=",AV1360,"R=",AW1360,"M=",AX1360,"L=",AY1360,"B=",AZ1360)</f>
        <v>CONLEY T=1D=0R=0M=0L=2B=0</v>
      </c>
      <c r="G1360" s="0" t="s">
        <v>268</v>
      </c>
      <c r="I1360" s="0" t="s">
        <v>6321</v>
      </c>
      <c r="J1360" s="0" t="s">
        <v>5081</v>
      </c>
      <c r="K1360" s="0" t="s">
        <v>160</v>
      </c>
      <c r="M1360" s="0" t="s">
        <v>6311</v>
      </c>
      <c r="N1360" s="0" t="str">
        <f aca="false">RIGHT(M1360,LEN(M1360)-FIND(" ",M1360))</f>
        <v>LAMPHIER PL NE</v>
      </c>
      <c r="P1360" s="0" t="s">
        <v>145</v>
      </c>
      <c r="Q1360" s="0" t="s">
        <v>146</v>
      </c>
      <c r="R1360" s="0" t="n">
        <v>44483</v>
      </c>
      <c r="AD1360" s="0" t="s">
        <v>147</v>
      </c>
      <c r="AE1360" s="0" t="s">
        <v>148</v>
      </c>
      <c r="AF1360" s="0" t="s">
        <v>149</v>
      </c>
      <c r="AH1360" s="0" t="n">
        <v>14</v>
      </c>
      <c r="AI1360" s="0" t="n">
        <v>11</v>
      </c>
      <c r="AN1360" s="0" t="s">
        <v>145</v>
      </c>
      <c r="AO1360" s="0" t="s">
        <v>654</v>
      </c>
      <c r="AP1360" s="0" t="s">
        <v>655</v>
      </c>
      <c r="AQ1360" s="0" t="n">
        <v>9</v>
      </c>
      <c r="AR1360" s="0" t="n">
        <v>64</v>
      </c>
      <c r="AS1360" s="0" t="n">
        <v>32</v>
      </c>
      <c r="AU1360" s="0" t="n">
        <f aca="false">COUNTA($BA$2054:$EH$2054)</f>
        <v>1</v>
      </c>
      <c r="AV1360" s="0" t="n">
        <f aca="false">COUNTIF($BA$2054:$EH$2054,"D")</f>
        <v>0</v>
      </c>
      <c r="AW1360" s="0" t="n">
        <f aca="false">COUNTIF($BA$2054:$EH$2054,"R")</f>
        <v>0</v>
      </c>
      <c r="AX1360" s="0" t="n">
        <f aca="false">IF(BN1360="D",1,0)+IF(BO1360="D",1,0)+IF(BT1360="D",1,0)+IF(BU1360="D",1,0)+IF(BW1360="D",1,0)+IF(CC1360="D",1,0)+IF(CD1360="D",1,0)+IF(CE1360="D",1,0)+IF(CF1360="D",1,0)+IF(CL1360="D",1,0)+IF(CM1360="D",1,0)+IF(CQ1360="D",1,0)+IF(CR1360="D",1,0)+IF(CS1360="D",1,0)+IF(CW1360="D",1,0)+IF(CX1360="D",1,0)+IF(DD1360="D",1,0)+IF(DE1360="D",1,0)+IF(DJ1360="D",1,0)+IF(DK1360="D",1,0)+IF(DO1360="D",1,0)+IF(DP1360="D",1,0)+IF(DQ1360="D",1,0)+IF(DW1360="D",1,0)+IF(DZ1360="D",1,0)+IF(EH1360="D",1,0)</f>
        <v>0</v>
      </c>
      <c r="AY1360" s="0" t="n">
        <f aca="false">COUNTIF(DU1360:EH1360, "&lt;&gt;")</f>
        <v>2</v>
      </c>
      <c r="AZ1360" s="0" t="n">
        <f aca="false">IF(EH1360&lt;&gt;"",1,0)</f>
        <v>0</v>
      </c>
      <c r="BB1360" s="0" t="s">
        <v>152</v>
      </c>
      <c r="CP1360" s="0" t="s">
        <v>153</v>
      </c>
      <c r="DC1360" s="0" t="s">
        <v>153</v>
      </c>
      <c r="DI1360" s="0" t="s">
        <v>153</v>
      </c>
      <c r="DN1360" s="0" t="s">
        <v>153</v>
      </c>
      <c r="DX1360" s="0" t="s">
        <v>153</v>
      </c>
      <c r="EF1360" s="0" t="s">
        <v>153</v>
      </c>
    </row>
    <row r="1361" customFormat="false" ht="13.8" hidden="true" customHeight="false" outlineLevel="0" collapsed="false">
      <c r="A1361" s="0" t="s">
        <v>6322</v>
      </c>
      <c r="B1361" s="0" t="n">
        <v>78</v>
      </c>
      <c r="C1361" s="0" t="n">
        <v>437246</v>
      </c>
      <c r="D1361" s="0" t="s">
        <v>6323</v>
      </c>
      <c r="E1361" s="0" t="s">
        <v>6324</v>
      </c>
      <c r="F1361" s="0" t="str">
        <f aca="false">CONCATENATE(D1361," ",LEFT(H1361,4),"T=",AU1361,"D=",AV1361,"R=",AW1361,"M=",AX1361,"L=",AY1361,"B=",AZ1361)</f>
        <v>WORTHY CURRIE T=1D=0R=0M=0L=0B=0</v>
      </c>
      <c r="G1361" s="0" t="s">
        <v>3018</v>
      </c>
      <c r="I1361" s="0" t="s">
        <v>6325</v>
      </c>
      <c r="J1361" s="0" t="s">
        <v>6326</v>
      </c>
      <c r="K1361" s="0" t="s">
        <v>143</v>
      </c>
      <c r="M1361" s="0" t="s">
        <v>6327</v>
      </c>
      <c r="N1361" s="0" t="str">
        <f aca="false">RIGHT(M1361,LEN(M1361)-FIND(" ",M1361))</f>
        <v>LAMPHIER PL NE</v>
      </c>
      <c r="P1361" s="0" t="s">
        <v>145</v>
      </c>
      <c r="Q1361" s="0" t="s">
        <v>146</v>
      </c>
      <c r="R1361" s="0" t="n">
        <v>44483</v>
      </c>
      <c r="AD1361" s="0" t="s">
        <v>147</v>
      </c>
      <c r="AE1361" s="0" t="s">
        <v>148</v>
      </c>
      <c r="AF1361" s="0" t="s">
        <v>149</v>
      </c>
      <c r="AH1361" s="0" t="n">
        <v>14</v>
      </c>
      <c r="AI1361" s="0" t="n">
        <v>11</v>
      </c>
      <c r="AN1361" s="0" t="s">
        <v>145</v>
      </c>
      <c r="AO1361" s="0" t="s">
        <v>654</v>
      </c>
      <c r="AP1361" s="0" t="s">
        <v>655</v>
      </c>
      <c r="AQ1361" s="0" t="n">
        <v>9</v>
      </c>
      <c r="AR1361" s="0" t="n">
        <v>64</v>
      </c>
      <c r="AS1361" s="0" t="n">
        <v>32</v>
      </c>
      <c r="AU1361" s="0" t="n">
        <f aca="false">COUNTA($BA$1466:$EH$1466)</f>
        <v>1</v>
      </c>
      <c r="AV1361" s="0" t="n">
        <f aca="false">COUNTIF($BA$1466:$EH$1466,"D")</f>
        <v>0</v>
      </c>
      <c r="AW1361" s="0" t="n">
        <f aca="false">COUNTIF($BA$1466:$EH$1466,"R")</f>
        <v>0</v>
      </c>
      <c r="AX1361" s="0" t="n">
        <f aca="false">IF(BN1361="D",1,0)+IF(BO1361="D",1,0)+IF(BT1361="D",1,0)+IF(BU1361="D",1,0)+IF(BW1361="D",1,0)+IF(CC1361="D",1,0)+IF(CD1361="D",1,0)+IF(CE1361="D",1,0)+IF(CF1361="D",1,0)+IF(CL1361="D",1,0)+IF(CM1361="D",1,0)+IF(CQ1361="D",1,0)+IF(CR1361="D",1,0)+IF(CS1361="D",1,0)+IF(CW1361="D",1,0)+IF(CX1361="D",1,0)+IF(DD1361="D",1,0)+IF(DE1361="D",1,0)+IF(DJ1361="D",1,0)+IF(DK1361="D",1,0)+IF(DO1361="D",1,0)+IF(DP1361="D",1,0)+IF(DQ1361="D",1,0)+IF(DW1361="D",1,0)+IF(DZ1361="D",1,0)+IF(EH1361="D",1,0)</f>
        <v>0</v>
      </c>
      <c r="AY1361" s="0" t="n">
        <f aca="false">COUNTIF(DU1361:EH1361, "&lt;&gt;")</f>
        <v>0</v>
      </c>
      <c r="AZ1361" s="0" t="n">
        <f aca="false">IF(EH1361&lt;&gt;"",1,0)</f>
        <v>0</v>
      </c>
      <c r="BB1361" s="0" t="s">
        <v>152</v>
      </c>
    </row>
    <row r="1362" customFormat="false" ht="13.8" hidden="true" customHeight="false" outlineLevel="0" collapsed="false">
      <c r="A1362" s="0" t="s">
        <v>6328</v>
      </c>
      <c r="B1362" s="0" t="n">
        <v>78</v>
      </c>
      <c r="C1362" s="0" t="n">
        <v>443568</v>
      </c>
      <c r="D1362" s="0" t="s">
        <v>3129</v>
      </c>
      <c r="E1362" s="0" t="s">
        <v>6329</v>
      </c>
      <c r="F1362" s="0" t="str">
        <f aca="false">CONCATENATE(D1362," ",LEFT(H1362,4),"T=",AU1362,"D=",AV1362,"R=",AW1362,"M=",AX1362,"L=",AY1362,"B=",AZ1362)</f>
        <v>HUDSON T=6D=1R=0M=0L=0B=0</v>
      </c>
      <c r="G1362" s="0" t="s">
        <v>1533</v>
      </c>
      <c r="I1362" s="0" t="s">
        <v>6330</v>
      </c>
      <c r="J1362" s="0" t="s">
        <v>4170</v>
      </c>
      <c r="K1362" s="0" t="s">
        <v>143</v>
      </c>
      <c r="M1362" s="0" t="s">
        <v>6327</v>
      </c>
      <c r="N1362" s="0" t="str">
        <f aca="false">RIGHT(M1362,LEN(M1362)-FIND(" ",M1362))</f>
        <v>LAMPHIER PL NE</v>
      </c>
      <c r="P1362" s="0" t="s">
        <v>145</v>
      </c>
      <c r="Q1362" s="0" t="s">
        <v>146</v>
      </c>
      <c r="R1362" s="0" t="n">
        <v>44483</v>
      </c>
      <c r="AD1362" s="0" t="s">
        <v>147</v>
      </c>
      <c r="AE1362" s="0" t="s">
        <v>148</v>
      </c>
      <c r="AF1362" s="0" t="s">
        <v>149</v>
      </c>
      <c r="AH1362" s="0" t="n">
        <v>14</v>
      </c>
      <c r="AI1362" s="0" t="n">
        <v>11</v>
      </c>
      <c r="AN1362" s="0" t="s">
        <v>145</v>
      </c>
      <c r="AO1362" s="0" t="s">
        <v>654</v>
      </c>
      <c r="AP1362" s="0" t="s">
        <v>655</v>
      </c>
      <c r="AQ1362" s="0" t="n">
        <v>9</v>
      </c>
      <c r="AR1362" s="0" t="n">
        <v>64</v>
      </c>
      <c r="AS1362" s="0" t="n">
        <v>32</v>
      </c>
      <c r="AU1362" s="0" t="n">
        <f aca="false">COUNTA($BA$1594:$EH$1594)</f>
        <v>6</v>
      </c>
      <c r="AV1362" s="0" t="n">
        <f aca="false">COUNTIF($BA$1594:$EH$1594,"D")</f>
        <v>1</v>
      </c>
      <c r="AW1362" s="0" t="n">
        <f aca="false">COUNTIF($BA$1594:$EH$1594,"R")</f>
        <v>0</v>
      </c>
      <c r="AX1362" s="0" t="n">
        <f aca="false">IF(BN1362="D",1,0)+IF(BO1362="D",1,0)+IF(BT1362="D",1,0)+IF(BU1362="D",1,0)+IF(BW1362="D",1,0)+IF(CC1362="D",1,0)+IF(CD1362="D",1,0)+IF(CE1362="D",1,0)+IF(CF1362="D",1,0)+IF(CL1362="D",1,0)+IF(CM1362="D",1,0)+IF(CQ1362="D",1,0)+IF(CR1362="D",1,0)+IF(CS1362="D",1,0)+IF(CW1362="D",1,0)+IF(CX1362="D",1,0)+IF(DD1362="D",1,0)+IF(DE1362="D",1,0)+IF(DJ1362="D",1,0)+IF(DK1362="D",1,0)+IF(DO1362="D",1,0)+IF(DP1362="D",1,0)+IF(DQ1362="D",1,0)+IF(DW1362="D",1,0)+IF(DZ1362="D",1,0)+IF(EH1362="D",1,0)</f>
        <v>0</v>
      </c>
      <c r="AY1362" s="0" t="n">
        <f aca="false">COUNTIF(DU1362:EH1362, "&lt;&gt;")</f>
        <v>0</v>
      </c>
      <c r="AZ1362" s="0" t="n">
        <f aca="false">IF(EH1362&lt;&gt;"",1,0)</f>
        <v>0</v>
      </c>
      <c r="BB1362" s="0" t="s">
        <v>152</v>
      </c>
    </row>
    <row r="1363" customFormat="false" ht="13.8" hidden="true" customHeight="false" outlineLevel="0" collapsed="false">
      <c r="A1363" s="0" t="s">
        <v>6331</v>
      </c>
      <c r="B1363" s="0" t="n">
        <v>78</v>
      </c>
      <c r="C1363" s="0" t="n">
        <v>323270</v>
      </c>
      <c r="D1363" s="0" t="s">
        <v>6332</v>
      </c>
      <c r="E1363" s="0" t="s">
        <v>5599</v>
      </c>
      <c r="F1363" s="0" t="str">
        <f aca="false">CONCATENATE(D1363," ",LEFT(H1363,4),"T=",AU1363,"D=",AV1363,"R=",AW1363,"M=",AX1363,"L=",AY1363,"B=",AZ1363)</f>
        <v>JOYE T=2D=0R=0M=0L=1B=0</v>
      </c>
      <c r="G1363" s="0" t="s">
        <v>325</v>
      </c>
      <c r="I1363" s="0" t="s">
        <v>6333</v>
      </c>
      <c r="J1363" s="0" t="s">
        <v>2120</v>
      </c>
      <c r="K1363" s="0" t="s">
        <v>160</v>
      </c>
      <c r="M1363" s="0" t="s">
        <v>6327</v>
      </c>
      <c r="N1363" s="0" t="str">
        <f aca="false">RIGHT(M1363,LEN(M1363)-FIND(" ",M1363))</f>
        <v>LAMPHIER PL NE</v>
      </c>
      <c r="P1363" s="0" t="s">
        <v>145</v>
      </c>
      <c r="Q1363" s="0" t="s">
        <v>146</v>
      </c>
      <c r="R1363" s="0" t="n">
        <v>44483</v>
      </c>
      <c r="AD1363" s="0" t="s">
        <v>147</v>
      </c>
      <c r="AE1363" s="0" t="s">
        <v>148</v>
      </c>
      <c r="AF1363" s="0" t="s">
        <v>149</v>
      </c>
      <c r="AH1363" s="0" t="n">
        <v>14</v>
      </c>
      <c r="AI1363" s="0" t="n">
        <v>11</v>
      </c>
      <c r="AN1363" s="0" t="s">
        <v>145</v>
      </c>
      <c r="AO1363" s="0" t="s">
        <v>654</v>
      </c>
      <c r="AP1363" s="0" t="s">
        <v>655</v>
      </c>
      <c r="AQ1363" s="0" t="n">
        <v>9</v>
      </c>
      <c r="AR1363" s="0" t="n">
        <v>64</v>
      </c>
      <c r="AS1363" s="0" t="n">
        <v>32</v>
      </c>
      <c r="AU1363" s="0" t="n">
        <f aca="false">COUNTA($BA$1615:$EH$1615)</f>
        <v>2</v>
      </c>
      <c r="AV1363" s="0" t="n">
        <f aca="false">COUNTIF($BA$1615:$EH$1615,"D")</f>
        <v>0</v>
      </c>
      <c r="AW1363" s="0" t="n">
        <f aca="false">COUNTIF($BA$1615:$EH$1615,"R")</f>
        <v>0</v>
      </c>
      <c r="AX1363" s="0" t="n">
        <f aca="false">IF(BN1363="D",1,0)+IF(BO1363="D",1,0)+IF(BT1363="D",1,0)+IF(BU1363="D",1,0)+IF(BW1363="D",1,0)+IF(CC1363="D",1,0)+IF(CD1363="D",1,0)+IF(CE1363="D",1,0)+IF(CF1363="D",1,0)+IF(CL1363="D",1,0)+IF(CM1363="D",1,0)+IF(CQ1363="D",1,0)+IF(CR1363="D",1,0)+IF(CS1363="D",1,0)+IF(CW1363="D",1,0)+IF(CX1363="D",1,0)+IF(DD1363="D",1,0)+IF(DE1363="D",1,0)+IF(DJ1363="D",1,0)+IF(DK1363="D",1,0)+IF(DO1363="D",1,0)+IF(DP1363="D",1,0)+IF(DQ1363="D",1,0)+IF(DW1363="D",1,0)+IF(DZ1363="D",1,0)+IF(EH1363="D",1,0)</f>
        <v>0</v>
      </c>
      <c r="AY1363" s="0" t="n">
        <f aca="false">COUNTIF(DU1363:EH1363, "&lt;&gt;")</f>
        <v>1</v>
      </c>
      <c r="AZ1363" s="0" t="n">
        <f aca="false">IF(EH1363&lt;&gt;"",1,0)</f>
        <v>0</v>
      </c>
      <c r="BB1363" s="0" t="s">
        <v>152</v>
      </c>
      <c r="BL1363" s="0" t="s">
        <v>153</v>
      </c>
      <c r="BY1363" s="0" t="s">
        <v>175</v>
      </c>
      <c r="CA1363" s="0" t="s">
        <v>153</v>
      </c>
      <c r="EF1363" s="0" t="s">
        <v>153</v>
      </c>
    </row>
    <row r="1364" customFormat="false" ht="13.8" hidden="false" customHeight="false" outlineLevel="0" collapsed="false">
      <c r="A1364" s="0" t="s">
        <v>6334</v>
      </c>
      <c r="B1364" s="0" t="n">
        <v>78</v>
      </c>
      <c r="C1364" s="0" t="n">
        <v>182828</v>
      </c>
      <c r="D1364" s="0" t="s">
        <v>6335</v>
      </c>
      <c r="E1364" s="0" t="s">
        <v>2024</v>
      </c>
      <c r="F1364" s="0" t="str">
        <f aca="false">CONCATENATE(D1364," ",LEFT(H1364,4),"T=",AU1364,"D=",AV1364,"R=",AW1364,"M=",AX1364,"L=",AY1364,"B=",AZ1364)</f>
        <v>DZIEDZIC T=5D=0R=0M=0L=3B=0</v>
      </c>
      <c r="G1364" s="0" t="s">
        <v>670</v>
      </c>
      <c r="I1364" s="0" t="s">
        <v>6336</v>
      </c>
      <c r="J1364" s="0" t="s">
        <v>6337</v>
      </c>
      <c r="K1364" s="0" t="s">
        <v>160</v>
      </c>
      <c r="L1364" s="0" t="s">
        <v>209</v>
      </c>
      <c r="M1364" s="0" t="s">
        <v>6338</v>
      </c>
      <c r="N1364" s="0" t="str">
        <f aca="false">RIGHT(M1364,LEN(M1364)-FIND(" ",M1364))</f>
        <v>LAMPHIER PL NE</v>
      </c>
      <c r="P1364" s="0" t="s">
        <v>145</v>
      </c>
      <c r="Q1364" s="0" t="s">
        <v>146</v>
      </c>
      <c r="R1364" s="0" t="n">
        <v>44483</v>
      </c>
      <c r="AD1364" s="0" t="s">
        <v>147</v>
      </c>
      <c r="AE1364" s="0" t="s">
        <v>148</v>
      </c>
      <c r="AF1364" s="0" t="s">
        <v>149</v>
      </c>
      <c r="AH1364" s="0" t="n">
        <v>14</v>
      </c>
      <c r="AI1364" s="0" t="n">
        <v>11</v>
      </c>
      <c r="AN1364" s="0" t="s">
        <v>145</v>
      </c>
      <c r="AO1364" s="0" t="s">
        <v>654</v>
      </c>
      <c r="AP1364" s="0" t="s">
        <v>655</v>
      </c>
      <c r="AQ1364" s="0" t="n">
        <v>9</v>
      </c>
      <c r="AR1364" s="0" t="n">
        <v>64</v>
      </c>
      <c r="AS1364" s="0" t="n">
        <v>32</v>
      </c>
      <c r="AU1364" s="0" t="n">
        <f aca="false">COUNTA($BA$1946:$EH$1946)</f>
        <v>5</v>
      </c>
      <c r="AV1364" s="0" t="n">
        <f aca="false">COUNTIF($BA$1946:$EH$1946,"D")</f>
        <v>0</v>
      </c>
      <c r="AW1364" s="0" t="n">
        <f aca="false">COUNTIF($BA$1946:$EH$1946,"R")</f>
        <v>0</v>
      </c>
      <c r="AX1364" s="0" t="n">
        <f aca="false">IF(BN1364="D",1,0)+IF(BO1364="D",1,0)+IF(BT1364="D",1,0)+IF(BU1364="D",1,0)+IF(BW1364="D",1,0)+IF(CC1364="D",1,0)+IF(CD1364="D",1,0)+IF(CE1364="D",1,0)+IF(CF1364="D",1,0)+IF(CL1364="D",1,0)+IF(CM1364="D",1,0)+IF(CQ1364="D",1,0)+IF(CR1364="D",1,0)+IF(CS1364="D",1,0)+IF(CW1364="D",1,0)+IF(CX1364="D",1,0)+IF(DD1364="D",1,0)+IF(DE1364="D",1,0)+IF(DJ1364="D",1,0)+IF(DK1364="D",1,0)+IF(DO1364="D",1,0)+IF(DP1364="D",1,0)+IF(DQ1364="D",1,0)+IF(DW1364="D",1,0)+IF(DZ1364="D",1,0)+IF(EH1364="D",1,0)</f>
        <v>0</v>
      </c>
      <c r="AY1364" s="0" t="n">
        <f aca="false">COUNTIF(DU1364:EH1364, "&lt;&gt;")</f>
        <v>3</v>
      </c>
      <c r="AZ1364" s="0" t="n">
        <f aca="false">IF(EH1364&lt;&gt;"",1,0)</f>
        <v>0</v>
      </c>
      <c r="BB1364" s="0" t="s">
        <v>152</v>
      </c>
      <c r="BC1364" s="0" t="s">
        <v>153</v>
      </c>
      <c r="BD1364" s="0" t="s">
        <v>153</v>
      </c>
      <c r="BH1364" s="0" t="s">
        <v>153</v>
      </c>
      <c r="BL1364" s="0" t="s">
        <v>153</v>
      </c>
      <c r="CA1364" s="0" t="s">
        <v>153</v>
      </c>
      <c r="CG1364" s="0" t="s">
        <v>153</v>
      </c>
      <c r="DC1364" s="0" t="s">
        <v>153</v>
      </c>
      <c r="DI1364" s="0" t="s">
        <v>153</v>
      </c>
      <c r="DN1364" s="0" t="s">
        <v>153</v>
      </c>
      <c r="DS1364" s="0" t="s">
        <v>209</v>
      </c>
      <c r="DU1364" s="0" t="s">
        <v>153</v>
      </c>
      <c r="EA1364" s="0" t="s">
        <v>153</v>
      </c>
      <c r="EF1364" s="0" t="s">
        <v>153</v>
      </c>
    </row>
    <row r="1365" customFormat="false" ht="13.8" hidden="true" customHeight="false" outlineLevel="0" collapsed="false">
      <c r="A1365" s="0" t="s">
        <v>6339</v>
      </c>
      <c r="B1365" s="0" t="n">
        <v>78</v>
      </c>
      <c r="C1365" s="0" t="n">
        <v>404652</v>
      </c>
      <c r="D1365" s="0" t="s">
        <v>4705</v>
      </c>
      <c r="E1365" s="0" t="s">
        <v>1616</v>
      </c>
      <c r="F1365" s="0" t="str">
        <f aca="false">CONCATENATE(D1365," ",LEFT(H1365,4),"T=",AU1365,"D=",AV1365,"R=",AW1365,"M=",AX1365,"L=",AY1365,"B=",AZ1365)</f>
        <v>STEPHENS T=8D=1R=0M=0L=1B=0</v>
      </c>
      <c r="G1365" s="0" t="s">
        <v>6340</v>
      </c>
      <c r="I1365" s="0" t="s">
        <v>6341</v>
      </c>
      <c r="J1365" s="0" t="s">
        <v>6342</v>
      </c>
      <c r="K1365" s="0" t="s">
        <v>160</v>
      </c>
      <c r="M1365" s="0" t="s">
        <v>6343</v>
      </c>
      <c r="N1365" s="0" t="str">
        <f aca="false">RIGHT(M1365,LEN(M1365)-FIND(" ",M1365))</f>
        <v>LAMPHIER PL NE</v>
      </c>
      <c r="P1365" s="0" t="s">
        <v>145</v>
      </c>
      <c r="Q1365" s="0" t="s">
        <v>146</v>
      </c>
      <c r="R1365" s="0" t="n">
        <v>44483</v>
      </c>
      <c r="AD1365" s="0" t="s">
        <v>147</v>
      </c>
      <c r="AE1365" s="0" t="s">
        <v>148</v>
      </c>
      <c r="AF1365" s="0" t="s">
        <v>149</v>
      </c>
      <c r="AH1365" s="0" t="n">
        <v>14</v>
      </c>
      <c r="AI1365" s="0" t="n">
        <v>11</v>
      </c>
      <c r="AN1365" s="0" t="s">
        <v>145</v>
      </c>
      <c r="AO1365" s="0" t="s">
        <v>654</v>
      </c>
      <c r="AP1365" s="0" t="s">
        <v>655</v>
      </c>
      <c r="AQ1365" s="0" t="n">
        <v>9</v>
      </c>
      <c r="AR1365" s="0" t="n">
        <v>64</v>
      </c>
      <c r="AS1365" s="0" t="n">
        <v>32</v>
      </c>
      <c r="AU1365" s="0" t="n">
        <f aca="false">COUNTA($BA$1611:$EH$1611)</f>
        <v>8</v>
      </c>
      <c r="AV1365" s="0" t="n">
        <f aca="false">COUNTIF($BA$1611:$EH$1611,"D")</f>
        <v>1</v>
      </c>
      <c r="AW1365" s="0" t="n">
        <f aca="false">COUNTIF($BA$1611:$EH$1611,"R")</f>
        <v>0</v>
      </c>
      <c r="AX1365" s="0" t="n">
        <f aca="false">IF(BN1365="D",1,0)+IF(BO1365="D",1,0)+IF(BT1365="D",1,0)+IF(BU1365="D",1,0)+IF(BW1365="D",1,0)+IF(CC1365="D",1,0)+IF(CD1365="D",1,0)+IF(CE1365="D",1,0)+IF(CF1365="D",1,0)+IF(CL1365="D",1,0)+IF(CM1365="D",1,0)+IF(CQ1365="D",1,0)+IF(CR1365="D",1,0)+IF(CS1365="D",1,0)+IF(CW1365="D",1,0)+IF(CX1365="D",1,0)+IF(DD1365="D",1,0)+IF(DE1365="D",1,0)+IF(DJ1365="D",1,0)+IF(DK1365="D",1,0)+IF(DO1365="D",1,0)+IF(DP1365="D",1,0)+IF(DQ1365="D",1,0)+IF(DW1365="D",1,0)+IF(DZ1365="D",1,0)+IF(EH1365="D",1,0)</f>
        <v>0</v>
      </c>
      <c r="AY1365" s="0" t="n">
        <f aca="false">COUNTIF(DU1365:EH1365, "&lt;&gt;")</f>
        <v>1</v>
      </c>
      <c r="AZ1365" s="0" t="n">
        <f aca="false">IF(EH1365&lt;&gt;"",1,0)</f>
        <v>0</v>
      </c>
      <c r="BB1365" s="0" t="s">
        <v>152</v>
      </c>
      <c r="CV1365" s="0" t="s">
        <v>153</v>
      </c>
      <c r="CZ1365" s="0" t="s">
        <v>209</v>
      </c>
      <c r="DC1365" s="0" t="s">
        <v>153</v>
      </c>
      <c r="DI1365" s="0" t="s">
        <v>153</v>
      </c>
      <c r="DN1365" s="0" t="s">
        <v>153</v>
      </c>
      <c r="DU1365" s="0" t="s">
        <v>153</v>
      </c>
    </row>
    <row r="1366" customFormat="false" ht="13.8" hidden="false" customHeight="false" outlineLevel="0" collapsed="false">
      <c r="A1366" s="0" t="s">
        <v>6344</v>
      </c>
      <c r="B1366" s="0" t="n">
        <v>78</v>
      </c>
      <c r="C1366" s="0" t="n">
        <v>241813</v>
      </c>
      <c r="D1366" s="0" t="s">
        <v>4705</v>
      </c>
      <c r="E1366" s="0" t="s">
        <v>1852</v>
      </c>
      <c r="F1366" s="0" t="str">
        <f aca="false">CONCATENATE(D1366," ",LEFT(H1366,4),"T=",AU1366,"D=",AV1366,"R=",AW1366,"M=",AX1366,"L=",AY1366,"B=",AZ1366)</f>
        <v>STEPHENS T=1D=0R=0M=1L=2B=0</v>
      </c>
      <c r="G1366" s="0" t="s">
        <v>190</v>
      </c>
      <c r="I1366" s="0" t="s">
        <v>6345</v>
      </c>
      <c r="J1366" s="0" t="s">
        <v>6346</v>
      </c>
      <c r="K1366" s="0" t="s">
        <v>160</v>
      </c>
      <c r="M1366" s="0" t="s">
        <v>6343</v>
      </c>
      <c r="N1366" s="0" t="str">
        <f aca="false">RIGHT(M1366,LEN(M1366)-FIND(" ",M1366))</f>
        <v>LAMPHIER PL NE</v>
      </c>
      <c r="P1366" s="0" t="s">
        <v>145</v>
      </c>
      <c r="Q1366" s="0" t="s">
        <v>146</v>
      </c>
      <c r="R1366" s="0" t="n">
        <v>44483</v>
      </c>
      <c r="AD1366" s="0" t="s">
        <v>147</v>
      </c>
      <c r="AE1366" s="0" t="s">
        <v>148</v>
      </c>
      <c r="AF1366" s="0" t="s">
        <v>149</v>
      </c>
      <c r="AH1366" s="0" t="n">
        <v>14</v>
      </c>
      <c r="AI1366" s="0" t="n">
        <v>11</v>
      </c>
      <c r="AN1366" s="0" t="s">
        <v>145</v>
      </c>
      <c r="AO1366" s="0" t="s">
        <v>654</v>
      </c>
      <c r="AP1366" s="0" t="s">
        <v>655</v>
      </c>
      <c r="AQ1366" s="0" t="n">
        <v>9</v>
      </c>
      <c r="AR1366" s="0" t="n">
        <v>64</v>
      </c>
      <c r="AS1366" s="0" t="n">
        <v>32</v>
      </c>
      <c r="AU1366" s="0" t="n">
        <f aca="false">COUNTA($BA$1951:$EH$1951)</f>
        <v>1</v>
      </c>
      <c r="AV1366" s="0" t="n">
        <f aca="false">COUNTIF($BA$1951:$EH$1951,"D")</f>
        <v>0</v>
      </c>
      <c r="AW1366" s="0" t="n">
        <f aca="false">COUNTIF($BA$1951:$EH$1951,"R")</f>
        <v>0</v>
      </c>
      <c r="AX1366" s="0" t="n">
        <f aca="false">IF(BN1366="D",1,0)+IF(BO1366="D",1,0)+IF(BT1366="D",1,0)+IF(BU1366="D",1,0)+IF(BW1366="D",1,0)+IF(CC1366="D",1,0)+IF(CD1366="D",1,0)+IF(CE1366="D",1,0)+IF(CF1366="D",1,0)+IF(CL1366="D",1,0)+IF(CM1366="D",1,0)+IF(CQ1366="D",1,0)+IF(CR1366="D",1,0)+IF(CS1366="D",1,0)+IF(CW1366="D",1,0)+IF(CX1366="D",1,0)+IF(DD1366="D",1,0)+IF(DE1366="D",1,0)+IF(DJ1366="D",1,0)+IF(DK1366="D",1,0)+IF(DO1366="D",1,0)+IF(DP1366="D",1,0)+IF(DQ1366="D",1,0)+IF(DW1366="D",1,0)+IF(DZ1366="D",1,0)+IF(EH1366="D",1,0)</f>
        <v>1</v>
      </c>
      <c r="AY1366" s="0" t="n">
        <f aca="false">COUNTIF(DU1366:EH1366, "&lt;&gt;")</f>
        <v>2</v>
      </c>
      <c r="AZ1366" s="0" t="n">
        <f aca="false">IF(EH1366&lt;&gt;"",1,0)</f>
        <v>0</v>
      </c>
      <c r="BB1366" s="0" t="s">
        <v>152</v>
      </c>
      <c r="BD1366" s="0" t="s">
        <v>153</v>
      </c>
      <c r="BH1366" s="0" t="s">
        <v>153</v>
      </c>
      <c r="BI1366" s="0" t="s">
        <v>153</v>
      </c>
      <c r="BL1366" s="0" t="s">
        <v>153</v>
      </c>
      <c r="BR1366" s="0" t="s">
        <v>153</v>
      </c>
      <c r="BS1366" s="0" t="s">
        <v>153</v>
      </c>
      <c r="CA1366" s="0" t="s">
        <v>153</v>
      </c>
      <c r="CL1366" s="0" t="s">
        <v>175</v>
      </c>
      <c r="CO1366" s="0" t="s">
        <v>209</v>
      </c>
      <c r="CP1366" s="0" t="s">
        <v>153</v>
      </c>
      <c r="CV1366" s="0" t="s">
        <v>153</v>
      </c>
      <c r="CY1366" s="0" t="s">
        <v>153</v>
      </c>
      <c r="CZ1366" s="0" t="s">
        <v>209</v>
      </c>
      <c r="DC1366" s="0" t="s">
        <v>153</v>
      </c>
      <c r="DI1366" s="0" t="s">
        <v>153</v>
      </c>
      <c r="DL1366" s="0" t="s">
        <v>153</v>
      </c>
      <c r="DN1366" s="0" t="s">
        <v>153</v>
      </c>
      <c r="DU1366" s="0" t="s">
        <v>153</v>
      </c>
      <c r="EA1366" s="0" t="s">
        <v>153</v>
      </c>
    </row>
    <row r="1367" customFormat="false" ht="13.8" hidden="true" customHeight="false" outlineLevel="0" collapsed="false">
      <c r="A1367" s="0" t="s">
        <v>6347</v>
      </c>
      <c r="B1367" s="0" t="n">
        <v>78</v>
      </c>
      <c r="C1367" s="0" t="n">
        <v>399712</v>
      </c>
      <c r="D1367" s="0" t="s">
        <v>6348</v>
      </c>
      <c r="E1367" s="0" t="s">
        <v>6349</v>
      </c>
      <c r="F1367" s="0" t="str">
        <f aca="false">CONCATENATE(D1367," ",LEFT(H1367,4),"T=",AU1367,"D=",AV1367,"R=",AW1367,"M=",AX1367,"L=",AY1367,"B=",AZ1367)</f>
        <v>SHERMAN T=3D=0R=0M=0L=0B=0</v>
      </c>
      <c r="G1367" s="0" t="s">
        <v>190</v>
      </c>
      <c r="I1367" s="0" t="s">
        <v>6350</v>
      </c>
      <c r="J1367" s="0" t="s">
        <v>6351</v>
      </c>
      <c r="K1367" s="0" t="s">
        <v>143</v>
      </c>
      <c r="M1367" s="0" t="s">
        <v>6352</v>
      </c>
      <c r="N1367" s="0" t="str">
        <f aca="false">RIGHT(M1367,LEN(M1367)-FIND(" ",M1367))</f>
        <v>LAWRENCE AVE NE</v>
      </c>
      <c r="P1367" s="0" t="s">
        <v>145</v>
      </c>
      <c r="Q1367" s="0" t="s">
        <v>146</v>
      </c>
      <c r="R1367" s="0" t="n">
        <v>44483</v>
      </c>
      <c r="AD1367" s="0" t="s">
        <v>147</v>
      </c>
      <c r="AE1367" s="0" t="s">
        <v>148</v>
      </c>
      <c r="AF1367" s="0" t="s">
        <v>149</v>
      </c>
      <c r="AH1367" s="0" t="n">
        <v>14</v>
      </c>
      <c r="AI1367" s="0" t="n">
        <v>11</v>
      </c>
      <c r="AN1367" s="0" t="s">
        <v>145</v>
      </c>
      <c r="AO1367" s="0" t="s">
        <v>654</v>
      </c>
      <c r="AP1367" s="0" t="s">
        <v>655</v>
      </c>
      <c r="AQ1367" s="0" t="n">
        <v>9</v>
      </c>
      <c r="AR1367" s="0" t="n">
        <v>64</v>
      </c>
      <c r="AS1367" s="0" t="n">
        <v>32</v>
      </c>
      <c r="AU1367" s="0" t="n">
        <f aca="false">COUNTA($BA$1341:$EH$1341)</f>
        <v>3</v>
      </c>
      <c r="AV1367" s="0" t="n">
        <f aca="false">COUNTIF($BA$1341:$EH$1341,"D")</f>
        <v>0</v>
      </c>
      <c r="AW1367" s="0" t="n">
        <f aca="false">COUNTIF($BA$1341:$EH$1341,"R")</f>
        <v>0</v>
      </c>
      <c r="AX1367" s="0" t="n">
        <f aca="false">IF(BN1367="D",1,0)+IF(BO1367="D",1,0)+IF(BT1367="D",1,0)+IF(BU1367="D",1,0)+IF(BW1367="D",1,0)+IF(CC1367="D",1,0)+IF(CD1367="D",1,0)+IF(CE1367="D",1,0)+IF(CF1367="D",1,0)+IF(CL1367="D",1,0)+IF(CM1367="D",1,0)+IF(CQ1367="D",1,0)+IF(CR1367="D",1,0)+IF(CS1367="D",1,0)+IF(CW1367="D",1,0)+IF(CX1367="D",1,0)+IF(DD1367="D",1,0)+IF(DE1367="D",1,0)+IF(DJ1367="D",1,0)+IF(DK1367="D",1,0)+IF(DO1367="D",1,0)+IF(DP1367="D",1,0)+IF(DQ1367="D",1,0)+IF(DW1367="D",1,0)+IF(DZ1367="D",1,0)+IF(EH1367="D",1,0)</f>
        <v>0</v>
      </c>
      <c r="AY1367" s="0" t="n">
        <f aca="false">COUNTIF(DU1367:EH1367, "&lt;&gt;")</f>
        <v>0</v>
      </c>
      <c r="AZ1367" s="0" t="n">
        <f aca="false">IF(EH1367&lt;&gt;"",1,0)</f>
        <v>0</v>
      </c>
      <c r="BB1367" s="0" t="s">
        <v>152</v>
      </c>
    </row>
    <row r="1368" customFormat="false" ht="13.8" hidden="true" customHeight="false" outlineLevel="0" collapsed="false">
      <c r="A1368" s="0" t="s">
        <v>6353</v>
      </c>
      <c r="B1368" s="0" t="n">
        <v>78</v>
      </c>
      <c r="C1368" s="0" t="n">
        <v>377271</v>
      </c>
      <c r="D1368" s="0" t="s">
        <v>6348</v>
      </c>
      <c r="E1368" s="0" t="s">
        <v>4115</v>
      </c>
      <c r="F1368" s="0" t="str">
        <f aca="false">CONCATENATE(D1368," ",LEFT(H1368,4),"T=",AU1368,"D=",AV1368,"R=",AW1368,"M=",AX1368,"L=",AY1368,"B=",AZ1368)</f>
        <v>SHERMAN T=1D=0R=0M=0L=0B=0</v>
      </c>
      <c r="G1368" s="0" t="s">
        <v>1128</v>
      </c>
      <c r="I1368" s="0" t="s">
        <v>6354</v>
      </c>
      <c r="J1368" s="0" t="s">
        <v>6355</v>
      </c>
      <c r="K1368" s="0" t="s">
        <v>143</v>
      </c>
      <c r="M1368" s="0" t="s">
        <v>6352</v>
      </c>
      <c r="N1368" s="0" t="str">
        <f aca="false">RIGHT(M1368,LEN(M1368)-FIND(" ",M1368))</f>
        <v>LAWRENCE AVE NE</v>
      </c>
      <c r="P1368" s="0" t="s">
        <v>145</v>
      </c>
      <c r="Q1368" s="0" t="s">
        <v>146</v>
      </c>
      <c r="R1368" s="0" t="n">
        <v>44483</v>
      </c>
      <c r="AD1368" s="0" t="s">
        <v>147</v>
      </c>
      <c r="AE1368" s="0" t="s">
        <v>148</v>
      </c>
      <c r="AF1368" s="0" t="s">
        <v>149</v>
      </c>
      <c r="AH1368" s="0" t="n">
        <v>14</v>
      </c>
      <c r="AI1368" s="0" t="n">
        <v>11</v>
      </c>
      <c r="AN1368" s="0" t="s">
        <v>145</v>
      </c>
      <c r="AO1368" s="0" t="s">
        <v>654</v>
      </c>
      <c r="AP1368" s="0" t="s">
        <v>655</v>
      </c>
      <c r="AQ1368" s="0" t="n">
        <v>9</v>
      </c>
      <c r="AR1368" s="0" t="n">
        <v>64</v>
      </c>
      <c r="AS1368" s="0" t="n">
        <v>32</v>
      </c>
      <c r="AU1368" s="0" t="n">
        <f aca="false">COUNTA($BA$2031:$EH$2031)</f>
        <v>1</v>
      </c>
      <c r="AV1368" s="0" t="n">
        <f aca="false">COUNTIF($BA$2031:$EH$2031,"D")</f>
        <v>0</v>
      </c>
      <c r="AW1368" s="0" t="n">
        <f aca="false">COUNTIF($BA$2031:$EH$2031,"R")</f>
        <v>0</v>
      </c>
      <c r="AX1368" s="0" t="n">
        <f aca="false">IF(BN1368="D",1,0)+IF(BO1368="D",1,0)+IF(BT1368="D",1,0)+IF(BU1368="D",1,0)+IF(BW1368="D",1,0)+IF(CC1368="D",1,0)+IF(CD1368="D",1,0)+IF(CE1368="D",1,0)+IF(CF1368="D",1,0)+IF(CL1368="D",1,0)+IF(CM1368="D",1,0)+IF(CQ1368="D",1,0)+IF(CR1368="D",1,0)+IF(CS1368="D",1,0)+IF(CW1368="D",1,0)+IF(CX1368="D",1,0)+IF(DD1368="D",1,0)+IF(DE1368="D",1,0)+IF(DJ1368="D",1,0)+IF(DK1368="D",1,0)+IF(DO1368="D",1,0)+IF(DP1368="D",1,0)+IF(DQ1368="D",1,0)+IF(DW1368="D",1,0)+IF(DZ1368="D",1,0)+IF(EH1368="D",1,0)</f>
        <v>0</v>
      </c>
      <c r="AY1368" s="0" t="n">
        <f aca="false">COUNTIF(DU1368:EH1368, "&lt;&gt;")</f>
        <v>0</v>
      </c>
      <c r="AZ1368" s="0" t="n">
        <f aca="false">IF(EH1368&lt;&gt;"",1,0)</f>
        <v>0</v>
      </c>
      <c r="BB1368" s="0" t="s">
        <v>152</v>
      </c>
    </row>
    <row r="1369" customFormat="false" ht="13.8" hidden="false" customHeight="false" outlineLevel="0" collapsed="false">
      <c r="A1369" s="0" t="s">
        <v>6356</v>
      </c>
      <c r="B1369" s="0" t="n">
        <v>78</v>
      </c>
      <c r="C1369" s="0" t="n">
        <v>460785</v>
      </c>
      <c r="D1369" s="0" t="s">
        <v>1744</v>
      </c>
      <c r="E1369" s="0" t="s">
        <v>6357</v>
      </c>
      <c r="F1369" s="0" t="str">
        <f aca="false">CONCATENATE(D1369," ",LEFT(H1369,4),"T=",AU1369,"D=",AV1369,"R=",AW1369,"M=",AX1369,"L=",AY1369,"B=",AZ1369)</f>
        <v>WALKER T=11D=2R=0M=0L=2B=0</v>
      </c>
      <c r="G1369" s="0" t="s">
        <v>325</v>
      </c>
      <c r="I1369" s="0" t="s">
        <v>6358</v>
      </c>
      <c r="J1369" s="0" t="s">
        <v>1545</v>
      </c>
      <c r="K1369" s="0" t="s">
        <v>160</v>
      </c>
      <c r="M1369" s="0" t="s">
        <v>6359</v>
      </c>
      <c r="N1369" s="0" t="str">
        <f aca="false">RIGHT(M1369,LEN(M1369)-FIND(" ",M1369))</f>
        <v>LAWRENCE AVE NE</v>
      </c>
      <c r="P1369" s="0" t="s">
        <v>145</v>
      </c>
      <c r="Q1369" s="0" t="s">
        <v>146</v>
      </c>
      <c r="R1369" s="0" t="n">
        <v>44483</v>
      </c>
      <c r="AD1369" s="0" t="s">
        <v>147</v>
      </c>
      <c r="AE1369" s="0" t="s">
        <v>148</v>
      </c>
      <c r="AF1369" s="0" t="s">
        <v>149</v>
      </c>
      <c r="AH1369" s="0" t="n">
        <v>14</v>
      </c>
      <c r="AI1369" s="0" t="n">
        <v>11</v>
      </c>
      <c r="AN1369" s="0" t="s">
        <v>145</v>
      </c>
      <c r="AO1369" s="0" t="s">
        <v>654</v>
      </c>
      <c r="AP1369" s="0" t="s">
        <v>655</v>
      </c>
      <c r="AQ1369" s="0" t="n">
        <v>9</v>
      </c>
      <c r="AR1369" s="0" t="n">
        <v>64</v>
      </c>
      <c r="AS1369" s="0" t="n">
        <v>32</v>
      </c>
      <c r="AU1369" s="0" t="n">
        <f aca="false">COUNTA($BA$1131:$EH$1131)</f>
        <v>11</v>
      </c>
      <c r="AV1369" s="0" t="n">
        <f aca="false">COUNTIF($BA$1131:$EH$1131,"D")</f>
        <v>2</v>
      </c>
      <c r="AW1369" s="0" t="n">
        <f aca="false">COUNTIF($BA$1131:$EH$1131,"R")</f>
        <v>0</v>
      </c>
      <c r="AX1369" s="0" t="n">
        <f aca="false">IF(BN1369="D",1,0)+IF(BO1369="D",1,0)+IF(BT1369="D",1,0)+IF(BU1369="D",1,0)+IF(BW1369="D",1,0)+IF(CC1369="D",1,0)+IF(CD1369="D",1,0)+IF(CE1369="D",1,0)+IF(CF1369="D",1,0)+IF(CL1369="D",1,0)+IF(CM1369="D",1,0)+IF(CQ1369="D",1,0)+IF(CR1369="D",1,0)+IF(CS1369="D",1,0)+IF(CW1369="D",1,0)+IF(CX1369="D",1,0)+IF(DD1369="D",1,0)+IF(DE1369="D",1,0)+IF(DJ1369="D",1,0)+IF(DK1369="D",1,0)+IF(DO1369="D",1,0)+IF(DP1369="D",1,0)+IF(DQ1369="D",1,0)+IF(DW1369="D",1,0)+IF(DZ1369="D",1,0)+IF(EH1369="D",1,0)</f>
        <v>0</v>
      </c>
      <c r="AY1369" s="0" t="n">
        <f aca="false">COUNTIF(DU1369:EH1369, "&lt;&gt;")</f>
        <v>2</v>
      </c>
      <c r="AZ1369" s="0" t="n">
        <f aca="false">IF(EH1369&lt;&gt;"",1,0)</f>
        <v>0</v>
      </c>
      <c r="BB1369" s="0" t="s">
        <v>152</v>
      </c>
      <c r="EA1369" s="0" t="s">
        <v>153</v>
      </c>
      <c r="EF1369" s="0" t="s">
        <v>153</v>
      </c>
    </row>
    <row r="1370" customFormat="false" ht="13.8" hidden="false" customHeight="false" outlineLevel="0" collapsed="false">
      <c r="A1370" s="0" t="s">
        <v>6360</v>
      </c>
      <c r="B1370" s="0" t="n">
        <v>78</v>
      </c>
      <c r="C1370" s="0" t="n">
        <v>287941</v>
      </c>
      <c r="D1370" s="0" t="s">
        <v>1744</v>
      </c>
      <c r="E1370" s="0" t="s">
        <v>6361</v>
      </c>
      <c r="F1370" s="0" t="str">
        <f aca="false">CONCATENATE(D1370," ",LEFT(H1370,4),"T=",AU1370,"D=",AV1370,"R=",AW1370,"M=",AX1370,"L=",AY1370,"B=",AZ1370)</f>
        <v>WALKER T=2D=0R=0M=0L=2B=0</v>
      </c>
      <c r="G1370" s="0" t="s">
        <v>164</v>
      </c>
      <c r="I1370" s="0" t="s">
        <v>6362</v>
      </c>
      <c r="J1370" s="0" t="s">
        <v>688</v>
      </c>
      <c r="K1370" s="0" t="s">
        <v>160</v>
      </c>
      <c r="L1370" s="0" t="s">
        <v>175</v>
      </c>
      <c r="M1370" s="0" t="s">
        <v>6359</v>
      </c>
      <c r="N1370" s="0" t="str">
        <f aca="false">RIGHT(M1370,LEN(M1370)-FIND(" ",M1370))</f>
        <v>LAWRENCE AVE NE</v>
      </c>
      <c r="P1370" s="0" t="s">
        <v>145</v>
      </c>
      <c r="Q1370" s="0" t="s">
        <v>146</v>
      </c>
      <c r="R1370" s="0" t="n">
        <v>44483</v>
      </c>
      <c r="AD1370" s="0" t="s">
        <v>147</v>
      </c>
      <c r="AE1370" s="0" t="s">
        <v>148</v>
      </c>
      <c r="AF1370" s="0" t="s">
        <v>149</v>
      </c>
      <c r="AH1370" s="0" t="n">
        <v>14</v>
      </c>
      <c r="AI1370" s="0" t="n">
        <v>11</v>
      </c>
      <c r="AN1370" s="0" t="s">
        <v>145</v>
      </c>
      <c r="AO1370" s="0" t="s">
        <v>654</v>
      </c>
      <c r="AP1370" s="0" t="s">
        <v>655</v>
      </c>
      <c r="AQ1370" s="0" t="n">
        <v>9</v>
      </c>
      <c r="AR1370" s="0" t="n">
        <v>64</v>
      </c>
      <c r="AS1370" s="0" t="n">
        <v>32</v>
      </c>
      <c r="AU1370" s="0" t="n">
        <f aca="false">COUNTA($BA$1490:$EH$1490)</f>
        <v>2</v>
      </c>
      <c r="AV1370" s="0" t="n">
        <f aca="false">COUNTIF($BA$1490:$EH$1490,"D")</f>
        <v>0</v>
      </c>
      <c r="AW1370" s="0" t="n">
        <f aca="false">COUNTIF($BA$1490:$EH$1490,"R")</f>
        <v>0</v>
      </c>
      <c r="AX1370" s="0" t="n">
        <f aca="false">IF(BN1370="D",1,0)+IF(BO1370="D",1,0)+IF(BT1370="D",1,0)+IF(BU1370="D",1,0)+IF(BW1370="D",1,0)+IF(CC1370="D",1,0)+IF(CD1370="D",1,0)+IF(CE1370="D",1,0)+IF(CF1370="D",1,0)+IF(CL1370="D",1,0)+IF(CM1370="D",1,0)+IF(CQ1370="D",1,0)+IF(CR1370="D",1,0)+IF(CS1370="D",1,0)+IF(CW1370="D",1,0)+IF(CX1370="D",1,0)+IF(DD1370="D",1,0)+IF(DE1370="D",1,0)+IF(DJ1370="D",1,0)+IF(DK1370="D",1,0)+IF(DO1370="D",1,0)+IF(DP1370="D",1,0)+IF(DQ1370="D",1,0)+IF(DW1370="D",1,0)+IF(DZ1370="D",1,0)+IF(EH1370="D",1,0)</f>
        <v>0</v>
      </c>
      <c r="AY1370" s="0" t="n">
        <f aca="false">COUNTIF(DU1370:EH1370, "&lt;&gt;")</f>
        <v>2</v>
      </c>
      <c r="AZ1370" s="0" t="n">
        <f aca="false">IF(EH1370&lt;&gt;"",1,0)</f>
        <v>0</v>
      </c>
      <c r="BB1370" s="0" t="s">
        <v>152</v>
      </c>
      <c r="BH1370" s="0" t="s">
        <v>153</v>
      </c>
      <c r="BL1370" s="0" t="s">
        <v>153</v>
      </c>
      <c r="BP1370" s="0" t="s">
        <v>153</v>
      </c>
      <c r="BS1370" s="0" t="s">
        <v>153</v>
      </c>
      <c r="CA1370" s="0" t="s">
        <v>153</v>
      </c>
      <c r="CK1370" s="0" t="s">
        <v>153</v>
      </c>
      <c r="CP1370" s="0" t="s">
        <v>153</v>
      </c>
      <c r="CV1370" s="0" t="s">
        <v>153</v>
      </c>
      <c r="CY1370" s="0" t="s">
        <v>153</v>
      </c>
      <c r="CZ1370" s="0" t="s">
        <v>175</v>
      </c>
      <c r="DC1370" s="0" t="s">
        <v>153</v>
      </c>
      <c r="DF1370" s="0" t="s">
        <v>153</v>
      </c>
      <c r="DI1370" s="0" t="s">
        <v>153</v>
      </c>
      <c r="DL1370" s="0" t="s">
        <v>153</v>
      </c>
      <c r="DN1370" s="0" t="s">
        <v>153</v>
      </c>
      <c r="DT1370" s="0" t="s">
        <v>175</v>
      </c>
      <c r="EA1370" s="0" t="s">
        <v>153</v>
      </c>
      <c r="EF1370" s="0" t="s">
        <v>153</v>
      </c>
    </row>
    <row r="1371" customFormat="false" ht="13.8" hidden="true" customHeight="false" outlineLevel="0" collapsed="false">
      <c r="A1371" s="0" t="s">
        <v>6363</v>
      </c>
      <c r="B1371" s="0" t="n">
        <v>78</v>
      </c>
      <c r="C1371" s="0" t="n">
        <v>487170</v>
      </c>
      <c r="D1371" s="0" t="s">
        <v>1744</v>
      </c>
      <c r="E1371" s="0" t="s">
        <v>6364</v>
      </c>
      <c r="F1371" s="0" t="str">
        <f aca="false">CONCATENATE(D1371," ",LEFT(H1371,4),"T=",AU1371,"D=",AV1371,"R=",AW1371,"M=",AX1371,"L=",AY1371,"B=",AZ1371)</f>
        <v>WALKER T=1D=0R=0M=0L=0B=0</v>
      </c>
      <c r="G1371" s="0" t="s">
        <v>6365</v>
      </c>
      <c r="I1371" s="0" t="s">
        <v>6366</v>
      </c>
      <c r="J1371" s="0" t="s">
        <v>399</v>
      </c>
      <c r="K1371" s="0" t="s">
        <v>160</v>
      </c>
      <c r="M1371" s="0" t="s">
        <v>6359</v>
      </c>
      <c r="N1371" s="0" t="str">
        <f aca="false">RIGHT(M1371,LEN(M1371)-FIND(" ",M1371))</f>
        <v>LAWRENCE AVE NE</v>
      </c>
      <c r="P1371" s="0" t="s">
        <v>145</v>
      </c>
      <c r="Q1371" s="0" t="s">
        <v>146</v>
      </c>
      <c r="R1371" s="0" t="n">
        <v>44483</v>
      </c>
      <c r="AD1371" s="0" t="s">
        <v>147</v>
      </c>
      <c r="AE1371" s="0" t="s">
        <v>148</v>
      </c>
      <c r="AF1371" s="0" t="s">
        <v>149</v>
      </c>
      <c r="AH1371" s="0" t="n">
        <v>14</v>
      </c>
      <c r="AI1371" s="0" t="n">
        <v>11</v>
      </c>
      <c r="AN1371" s="0" t="s">
        <v>145</v>
      </c>
      <c r="AO1371" s="0" t="s">
        <v>654</v>
      </c>
      <c r="AP1371" s="0" t="s">
        <v>655</v>
      </c>
      <c r="AQ1371" s="0" t="n">
        <v>9</v>
      </c>
      <c r="AR1371" s="0" t="n">
        <v>64</v>
      </c>
      <c r="AS1371" s="0" t="n">
        <v>32</v>
      </c>
      <c r="AU1371" s="0" t="n">
        <f aca="false">COUNTA($BA$1534:$EH$1534)</f>
        <v>1</v>
      </c>
      <c r="AV1371" s="0" t="n">
        <f aca="false">COUNTIF($BA$1534:$EH$1534,"D")</f>
        <v>0</v>
      </c>
      <c r="AW1371" s="0" t="n">
        <f aca="false">COUNTIF($BA$1534:$EH$1534,"R")</f>
        <v>0</v>
      </c>
      <c r="AX1371" s="0" t="n">
        <f aca="false">IF(BN1371="D",1,0)+IF(BO1371="D",1,0)+IF(BT1371="D",1,0)+IF(BU1371="D",1,0)+IF(BW1371="D",1,0)+IF(CC1371="D",1,0)+IF(CD1371="D",1,0)+IF(CE1371="D",1,0)+IF(CF1371="D",1,0)+IF(CL1371="D",1,0)+IF(CM1371="D",1,0)+IF(CQ1371="D",1,0)+IF(CR1371="D",1,0)+IF(CS1371="D",1,0)+IF(CW1371="D",1,0)+IF(CX1371="D",1,0)+IF(DD1371="D",1,0)+IF(DE1371="D",1,0)+IF(DJ1371="D",1,0)+IF(DK1371="D",1,0)+IF(DO1371="D",1,0)+IF(DP1371="D",1,0)+IF(DQ1371="D",1,0)+IF(DW1371="D",1,0)+IF(DZ1371="D",1,0)+IF(EH1371="D",1,0)</f>
        <v>0</v>
      </c>
      <c r="AY1371" s="0" t="n">
        <f aca="false">COUNTIF(DU1371:EH1371, "&lt;&gt;")</f>
        <v>0</v>
      </c>
      <c r="AZ1371" s="0" t="n">
        <f aca="false">IF(EH1371&lt;&gt;"",1,0)</f>
        <v>0</v>
      </c>
      <c r="BB1371" s="0" t="s">
        <v>152</v>
      </c>
    </row>
    <row r="1372" customFormat="false" ht="13.8" hidden="false" customHeight="false" outlineLevel="0" collapsed="false">
      <c r="A1372" s="0" t="s">
        <v>6367</v>
      </c>
      <c r="B1372" s="0" t="n">
        <v>78</v>
      </c>
      <c r="C1372" s="0" t="n">
        <v>459302</v>
      </c>
      <c r="D1372" s="0" t="s">
        <v>6368</v>
      </c>
      <c r="E1372" s="0" t="s">
        <v>829</v>
      </c>
      <c r="F1372" s="0" t="str">
        <f aca="false">CONCATENATE(D1372," ",LEFT(H1372,4),"T=",AU1372,"D=",AV1372,"R=",AW1372,"M=",AX1372,"L=",AY1372,"B=",AZ1372)</f>
        <v>BESWICK T=7D=2R=0M=0L=2B=0</v>
      </c>
      <c r="G1372" s="0" t="s">
        <v>3984</v>
      </c>
      <c r="I1372" s="0" t="s">
        <v>6369</v>
      </c>
      <c r="J1372" s="0" t="s">
        <v>386</v>
      </c>
      <c r="K1372" s="0" t="s">
        <v>160</v>
      </c>
      <c r="M1372" s="0" t="s">
        <v>6370</v>
      </c>
      <c r="N1372" s="0" t="str">
        <f aca="false">RIGHT(M1372,LEN(M1372)-FIND(" ",M1372))</f>
        <v>LAWRENCE AVE NE</v>
      </c>
      <c r="P1372" s="0" t="s">
        <v>145</v>
      </c>
      <c r="Q1372" s="0" t="s">
        <v>146</v>
      </c>
      <c r="R1372" s="0" t="n">
        <v>44483</v>
      </c>
      <c r="AD1372" s="0" t="s">
        <v>147</v>
      </c>
      <c r="AE1372" s="0" t="s">
        <v>148</v>
      </c>
      <c r="AF1372" s="0" t="s">
        <v>149</v>
      </c>
      <c r="AH1372" s="0" t="n">
        <v>14</v>
      </c>
      <c r="AI1372" s="0" t="n">
        <v>11</v>
      </c>
      <c r="AN1372" s="0" t="s">
        <v>145</v>
      </c>
      <c r="AO1372" s="0" t="s">
        <v>654</v>
      </c>
      <c r="AP1372" s="0" t="s">
        <v>655</v>
      </c>
      <c r="AQ1372" s="0" t="n">
        <v>9</v>
      </c>
      <c r="AR1372" s="0" t="n">
        <v>64</v>
      </c>
      <c r="AS1372" s="0" t="n">
        <v>32</v>
      </c>
      <c r="AU1372" s="0" t="n">
        <f aca="false">COUNTA($BA$1488:$EH$1488)</f>
        <v>7</v>
      </c>
      <c r="AV1372" s="0" t="n">
        <f aca="false">COUNTIF($BA$1488:$EH$1488,"D")</f>
        <v>2</v>
      </c>
      <c r="AW1372" s="0" t="n">
        <f aca="false">COUNTIF($BA$1488:$EH$1488,"R")</f>
        <v>0</v>
      </c>
      <c r="AX1372" s="0" t="n">
        <f aca="false">IF(BN1372="D",1,0)+IF(BO1372="D",1,0)+IF(BT1372="D",1,0)+IF(BU1372="D",1,0)+IF(BW1372="D",1,0)+IF(CC1372="D",1,0)+IF(CD1372="D",1,0)+IF(CE1372="D",1,0)+IF(CF1372="D",1,0)+IF(CL1372="D",1,0)+IF(CM1372="D",1,0)+IF(CQ1372="D",1,0)+IF(CR1372="D",1,0)+IF(CS1372="D",1,0)+IF(CW1372="D",1,0)+IF(CX1372="D",1,0)+IF(DD1372="D",1,0)+IF(DE1372="D",1,0)+IF(DJ1372="D",1,0)+IF(DK1372="D",1,0)+IF(DO1372="D",1,0)+IF(DP1372="D",1,0)+IF(DQ1372="D",1,0)+IF(DW1372="D",1,0)+IF(DZ1372="D",1,0)+IF(EH1372="D",1,0)</f>
        <v>0</v>
      </c>
      <c r="AY1372" s="0" t="n">
        <f aca="false">COUNTIF(DU1372:EH1372, "&lt;&gt;")</f>
        <v>2</v>
      </c>
      <c r="AZ1372" s="0" t="n">
        <f aca="false">IF(EH1372&lt;&gt;"",1,0)</f>
        <v>0</v>
      </c>
      <c r="BB1372" s="0" t="s">
        <v>152</v>
      </c>
      <c r="DR1372" s="0" t="s">
        <v>153</v>
      </c>
      <c r="EA1372" s="0" t="s">
        <v>153</v>
      </c>
      <c r="EF1372" s="0" t="s">
        <v>153</v>
      </c>
    </row>
    <row r="1373" customFormat="false" ht="13.8" hidden="true" customHeight="false" outlineLevel="0" collapsed="false">
      <c r="A1373" s="0" t="s">
        <v>6371</v>
      </c>
      <c r="B1373" s="0" t="n">
        <v>78</v>
      </c>
      <c r="C1373" s="0" t="n">
        <v>494635</v>
      </c>
      <c r="D1373" s="0" t="s">
        <v>6372</v>
      </c>
      <c r="E1373" s="0" t="s">
        <v>6373</v>
      </c>
      <c r="F1373" s="0" t="str">
        <f aca="false">CONCATENATE(D1373," ",LEFT(H1373,4),"T=",AU1373,"D=",AV1373,"R=",AW1373,"M=",AX1373,"L=",AY1373,"B=",AZ1373)</f>
        <v>CLENDENIN MUSSER T=1D=0R=0M=0L=0B=0</v>
      </c>
      <c r="G1373" s="0" t="s">
        <v>274</v>
      </c>
      <c r="I1373" s="0" t="s">
        <v>6374</v>
      </c>
      <c r="J1373" s="0" t="s">
        <v>6375</v>
      </c>
      <c r="K1373" s="0" t="s">
        <v>160</v>
      </c>
      <c r="M1373" s="0" t="s">
        <v>6370</v>
      </c>
      <c r="N1373" s="0" t="str">
        <f aca="false">RIGHT(M1373,LEN(M1373)-FIND(" ",M1373))</f>
        <v>LAWRENCE AVE NE</v>
      </c>
      <c r="P1373" s="0" t="s">
        <v>145</v>
      </c>
      <c r="Q1373" s="0" t="s">
        <v>146</v>
      </c>
      <c r="R1373" s="0" t="n">
        <v>44483</v>
      </c>
      <c r="AD1373" s="0" t="s">
        <v>147</v>
      </c>
      <c r="AE1373" s="0" t="s">
        <v>148</v>
      </c>
      <c r="AF1373" s="0" t="s">
        <v>149</v>
      </c>
      <c r="AH1373" s="0" t="n">
        <v>14</v>
      </c>
      <c r="AI1373" s="0" t="n">
        <v>11</v>
      </c>
      <c r="AN1373" s="0" t="s">
        <v>145</v>
      </c>
      <c r="AO1373" s="0" t="s">
        <v>654</v>
      </c>
      <c r="AP1373" s="0" t="s">
        <v>655</v>
      </c>
      <c r="AQ1373" s="0" t="n">
        <v>9</v>
      </c>
      <c r="AR1373" s="0" t="n">
        <v>64</v>
      </c>
      <c r="AS1373" s="0" t="n">
        <v>32</v>
      </c>
      <c r="AU1373" s="0" t="n">
        <f aca="false">COUNTA($BA$1996:$EH$1996)</f>
        <v>1</v>
      </c>
      <c r="AV1373" s="0" t="n">
        <f aca="false">COUNTIF($BA$1996:$EH$1996,"D")</f>
        <v>0</v>
      </c>
      <c r="AW1373" s="0" t="n">
        <f aca="false">COUNTIF($BA$1996:$EH$1996,"R")</f>
        <v>0</v>
      </c>
      <c r="AX1373" s="0" t="n">
        <f aca="false">IF(BN1373="D",1,0)+IF(BO1373="D",1,0)+IF(BT1373="D",1,0)+IF(BU1373="D",1,0)+IF(BW1373="D",1,0)+IF(CC1373="D",1,0)+IF(CD1373="D",1,0)+IF(CE1373="D",1,0)+IF(CF1373="D",1,0)+IF(CL1373="D",1,0)+IF(CM1373="D",1,0)+IF(CQ1373="D",1,0)+IF(CR1373="D",1,0)+IF(CS1373="D",1,0)+IF(CW1373="D",1,0)+IF(CX1373="D",1,0)+IF(DD1373="D",1,0)+IF(DE1373="D",1,0)+IF(DJ1373="D",1,0)+IF(DK1373="D",1,0)+IF(DO1373="D",1,0)+IF(DP1373="D",1,0)+IF(DQ1373="D",1,0)+IF(DW1373="D",1,0)+IF(DZ1373="D",1,0)+IF(EH1373="D",1,0)</f>
        <v>0</v>
      </c>
      <c r="AY1373" s="0" t="n">
        <f aca="false">COUNTIF(DU1373:EH1373, "&lt;&gt;")</f>
        <v>0</v>
      </c>
      <c r="AZ1373" s="0" t="n">
        <f aca="false">IF(EH1373&lt;&gt;"",1,0)</f>
        <v>0</v>
      </c>
      <c r="BB1373" s="0" t="s">
        <v>152</v>
      </c>
    </row>
    <row r="1374" customFormat="false" ht="13.8" hidden="false" customHeight="false" outlineLevel="0" collapsed="false">
      <c r="A1374" s="0" t="s">
        <v>6376</v>
      </c>
      <c r="B1374" s="0" t="n">
        <v>78</v>
      </c>
      <c r="C1374" s="0" t="n">
        <v>13063</v>
      </c>
      <c r="D1374" s="0" t="s">
        <v>6377</v>
      </c>
      <c r="E1374" s="0" t="s">
        <v>901</v>
      </c>
      <c r="F1374" s="0" t="str">
        <f aca="false">CONCATENATE(D1374," ",LEFT(H1374,4),"T=",AU1374,"D=",AV1374,"R=",AW1374,"M=",AX1374,"L=",AY1374,"B=",AZ1374)</f>
        <v>REIBOLD T=14D=3R=0M=6L=6B=0</v>
      </c>
      <c r="G1374" s="0" t="s">
        <v>522</v>
      </c>
      <c r="I1374" s="0" t="s">
        <v>6378</v>
      </c>
      <c r="J1374" s="0" t="s">
        <v>5557</v>
      </c>
      <c r="K1374" s="0" t="s">
        <v>160</v>
      </c>
      <c r="L1374" s="0" t="s">
        <v>175</v>
      </c>
      <c r="M1374" s="0" t="s">
        <v>6379</v>
      </c>
      <c r="N1374" s="0" t="str">
        <f aca="false">RIGHT(M1374,LEN(M1374)-FIND(" ",M1374))</f>
        <v>LAWRENCE AVE NE</v>
      </c>
      <c r="P1374" s="0" t="s">
        <v>145</v>
      </c>
      <c r="Q1374" s="0" t="s">
        <v>146</v>
      </c>
      <c r="R1374" s="0" t="n">
        <v>44483</v>
      </c>
      <c r="AD1374" s="0" t="s">
        <v>147</v>
      </c>
      <c r="AE1374" s="0" t="s">
        <v>148</v>
      </c>
      <c r="AF1374" s="0" t="s">
        <v>149</v>
      </c>
      <c r="AH1374" s="0" t="n">
        <v>14</v>
      </c>
      <c r="AI1374" s="0" t="n">
        <v>11</v>
      </c>
      <c r="AN1374" s="0" t="s">
        <v>145</v>
      </c>
      <c r="AO1374" s="0" t="s">
        <v>654</v>
      </c>
      <c r="AP1374" s="0" t="s">
        <v>655</v>
      </c>
      <c r="AQ1374" s="0" t="n">
        <v>9</v>
      </c>
      <c r="AR1374" s="0" t="n">
        <v>64</v>
      </c>
      <c r="AS1374" s="0" t="n">
        <v>32</v>
      </c>
      <c r="AU1374" s="0" t="n">
        <f aca="false">COUNTA($BA$1776:$EH$1776)</f>
        <v>14</v>
      </c>
      <c r="AV1374" s="0" t="n">
        <f aca="false">COUNTIF($BA$1776:$EH$1776,"D")</f>
        <v>3</v>
      </c>
      <c r="AW1374" s="0" t="n">
        <f aca="false">COUNTIF($BA$1776:$EH$1776,"R")</f>
        <v>0</v>
      </c>
      <c r="AX1374" s="0" t="n">
        <f aca="false">IF(BN1374="D",1,0)+IF(BO1374="D",1,0)+IF(BT1374="D",1,0)+IF(BU1374="D",1,0)+IF(BW1374="D",1,0)+IF(CC1374="D",1,0)+IF(CD1374="D",1,0)+IF(CE1374="D",1,0)+IF(CF1374="D",1,0)+IF(CL1374="D",1,0)+IF(CM1374="D",1,0)+IF(CQ1374="D",1,0)+IF(CR1374="D",1,0)+IF(CS1374="D",1,0)+IF(CW1374="D",1,0)+IF(CX1374="D",1,0)+IF(DD1374="D",1,0)+IF(DE1374="D",1,0)+IF(DJ1374="D",1,0)+IF(DK1374="D",1,0)+IF(DO1374="D",1,0)+IF(DP1374="D",1,0)+IF(DQ1374="D",1,0)+IF(DW1374="D",1,0)+IF(DZ1374="D",1,0)+IF(EH1374="D",1,0)</f>
        <v>6</v>
      </c>
      <c r="AY1374" s="0" t="n">
        <f aca="false">COUNTIF(DU1374:EH1374, "&lt;&gt;")</f>
        <v>6</v>
      </c>
      <c r="AZ1374" s="0" t="n">
        <f aca="false">IF(EH1374&lt;&gt;"",1,0)</f>
        <v>0</v>
      </c>
      <c r="BB1374" s="0" t="s">
        <v>152</v>
      </c>
      <c r="BC1374" s="0" t="s">
        <v>153</v>
      </c>
      <c r="BD1374" s="0" t="s">
        <v>153</v>
      </c>
      <c r="BE1374" s="0" t="s">
        <v>153</v>
      </c>
      <c r="BF1374" s="0" t="s">
        <v>153</v>
      </c>
      <c r="BG1374" s="0" t="s">
        <v>153</v>
      </c>
      <c r="BH1374" s="0" t="s">
        <v>153</v>
      </c>
      <c r="BI1374" s="0" t="s">
        <v>153</v>
      </c>
      <c r="BJ1374" s="0" t="s">
        <v>153</v>
      </c>
      <c r="BL1374" s="0" t="s">
        <v>153</v>
      </c>
      <c r="BP1374" s="0" t="s">
        <v>153</v>
      </c>
      <c r="BR1374" s="0" t="s">
        <v>153</v>
      </c>
      <c r="BS1374" s="0" t="s">
        <v>153</v>
      </c>
      <c r="BT1374" s="0" t="s">
        <v>153</v>
      </c>
      <c r="BV1374" s="0" t="s">
        <v>153</v>
      </c>
      <c r="BY1374" s="0" t="s">
        <v>175</v>
      </c>
      <c r="CA1374" s="0" t="s">
        <v>153</v>
      </c>
      <c r="CC1374" s="0" t="s">
        <v>175</v>
      </c>
      <c r="CG1374" s="0" t="s">
        <v>153</v>
      </c>
      <c r="CH1374" s="0" t="s">
        <v>175</v>
      </c>
      <c r="CK1374" s="0" t="s">
        <v>153</v>
      </c>
      <c r="CL1374" s="0" t="s">
        <v>175</v>
      </c>
      <c r="CN1374" s="0" t="s">
        <v>153</v>
      </c>
      <c r="CO1374" s="0" t="s">
        <v>175</v>
      </c>
      <c r="CP1374" s="0" t="s">
        <v>153</v>
      </c>
      <c r="CQ1374" s="0" t="s">
        <v>175</v>
      </c>
      <c r="CT1374" s="0" t="s">
        <v>153</v>
      </c>
      <c r="CU1374" s="0" t="s">
        <v>175</v>
      </c>
      <c r="CV1374" s="0" t="s">
        <v>153</v>
      </c>
      <c r="CW1374" s="0" t="s">
        <v>175</v>
      </c>
      <c r="CY1374" s="0" t="s">
        <v>153</v>
      </c>
      <c r="CZ1374" s="0" t="s">
        <v>209</v>
      </c>
      <c r="DC1374" s="0" t="s">
        <v>153</v>
      </c>
      <c r="DF1374" s="0" t="s">
        <v>153</v>
      </c>
      <c r="DG1374" s="0" t="s">
        <v>209</v>
      </c>
      <c r="DI1374" s="0" t="s">
        <v>153</v>
      </c>
      <c r="DJ1374" s="0" t="s">
        <v>175</v>
      </c>
      <c r="DL1374" s="0" t="s">
        <v>153</v>
      </c>
      <c r="DM1374" s="0" t="s">
        <v>175</v>
      </c>
      <c r="DN1374" s="0" t="s">
        <v>153</v>
      </c>
      <c r="DS1374" s="0" t="s">
        <v>175</v>
      </c>
      <c r="DT1374" s="0" t="s">
        <v>175</v>
      </c>
      <c r="DU1374" s="0" t="s">
        <v>153</v>
      </c>
      <c r="DW1374" s="0" t="s">
        <v>175</v>
      </c>
      <c r="DX1374" s="0" t="s">
        <v>153</v>
      </c>
      <c r="EA1374" s="0" t="s">
        <v>153</v>
      </c>
      <c r="ED1374" s="0" t="s">
        <v>175</v>
      </c>
      <c r="EF1374" s="0" t="s">
        <v>153</v>
      </c>
    </row>
    <row r="1375" customFormat="false" ht="13.8" hidden="true" customHeight="false" outlineLevel="0" collapsed="false">
      <c r="A1375" s="0" t="s">
        <v>6380</v>
      </c>
      <c r="B1375" s="0" t="n">
        <v>78</v>
      </c>
      <c r="C1375" s="0" t="n">
        <v>297151</v>
      </c>
      <c r="D1375" s="0" t="s">
        <v>4943</v>
      </c>
      <c r="E1375" s="0" t="s">
        <v>6381</v>
      </c>
      <c r="F1375" s="0" t="str">
        <f aca="false">CONCATENATE(D1375," ",LEFT(H1375,4),"T=",AU1375,"D=",AV1375,"R=",AW1375,"M=",AX1375,"L=",AY1375,"B=",AZ1375)</f>
        <v>COOK T=7D=0R=3M=0L=0B=0</v>
      </c>
      <c r="G1375" s="0" t="s">
        <v>164</v>
      </c>
      <c r="I1375" s="0" t="s">
        <v>6382</v>
      </c>
      <c r="J1375" s="0" t="s">
        <v>6383</v>
      </c>
      <c r="K1375" s="0" t="s">
        <v>143</v>
      </c>
      <c r="M1375" s="0" t="s">
        <v>6384</v>
      </c>
      <c r="N1375" s="0" t="str">
        <f aca="false">RIGHT(M1375,LEN(M1375)-FIND(" ",M1375))</f>
        <v>LAWRENCE AVE NE</v>
      </c>
      <c r="P1375" s="0" t="s">
        <v>145</v>
      </c>
      <c r="Q1375" s="0" t="s">
        <v>146</v>
      </c>
      <c r="R1375" s="0" t="n">
        <v>44483</v>
      </c>
      <c r="AD1375" s="0" t="s">
        <v>147</v>
      </c>
      <c r="AE1375" s="0" t="s">
        <v>148</v>
      </c>
      <c r="AF1375" s="0" t="s">
        <v>149</v>
      </c>
      <c r="AH1375" s="0" t="n">
        <v>14</v>
      </c>
      <c r="AI1375" s="0" t="n">
        <v>11</v>
      </c>
      <c r="AN1375" s="0" t="s">
        <v>145</v>
      </c>
      <c r="AO1375" s="0" t="s">
        <v>654</v>
      </c>
      <c r="AP1375" s="0" t="s">
        <v>655</v>
      </c>
      <c r="AQ1375" s="0" t="n">
        <v>9</v>
      </c>
      <c r="AR1375" s="0" t="n">
        <v>64</v>
      </c>
      <c r="AS1375" s="0" t="n">
        <v>32</v>
      </c>
      <c r="AU1375" s="0" t="n">
        <f aca="false">COUNTA($BA$1110:$EH$1110)</f>
        <v>7</v>
      </c>
      <c r="AV1375" s="0" t="n">
        <f aca="false">COUNTIF($BA$1110:$EH$1110,"D")</f>
        <v>0</v>
      </c>
      <c r="AW1375" s="0" t="n">
        <f aca="false">COUNTIF($BA$1110:$EH$1110,"R")</f>
        <v>3</v>
      </c>
      <c r="AX1375" s="0" t="n">
        <f aca="false">IF(BN1375="D",1,0)+IF(BO1375="D",1,0)+IF(BT1375="D",1,0)+IF(BU1375="D",1,0)+IF(BW1375="D",1,0)+IF(CC1375="D",1,0)+IF(CD1375="D",1,0)+IF(CE1375="D",1,0)+IF(CF1375="D",1,0)+IF(CL1375="D",1,0)+IF(CM1375="D",1,0)+IF(CQ1375="D",1,0)+IF(CR1375="D",1,0)+IF(CS1375="D",1,0)+IF(CW1375="D",1,0)+IF(CX1375="D",1,0)+IF(DD1375="D",1,0)+IF(DE1375="D",1,0)+IF(DJ1375="D",1,0)+IF(DK1375="D",1,0)+IF(DO1375="D",1,0)+IF(DP1375="D",1,0)+IF(DQ1375="D",1,0)+IF(DW1375="D",1,0)+IF(DZ1375="D",1,0)+IF(EH1375="D",1,0)</f>
        <v>0</v>
      </c>
      <c r="AY1375" s="0" t="n">
        <f aca="false">COUNTIF(DU1375:EH1375, "&lt;&gt;")</f>
        <v>0</v>
      </c>
      <c r="AZ1375" s="0" t="n">
        <f aca="false">IF(EH1375&lt;&gt;"",1,0)</f>
        <v>0</v>
      </c>
      <c r="BB1375" s="0" t="s">
        <v>152</v>
      </c>
      <c r="BD1375" s="0" t="s">
        <v>153</v>
      </c>
      <c r="BK1375" s="0" t="s">
        <v>153</v>
      </c>
      <c r="BL1375" s="0" t="s">
        <v>153</v>
      </c>
      <c r="BP1375" s="0" t="s">
        <v>153</v>
      </c>
      <c r="BS1375" s="0" t="s">
        <v>153</v>
      </c>
      <c r="BY1375" s="0" t="s">
        <v>175</v>
      </c>
      <c r="CA1375" s="0" t="s">
        <v>153</v>
      </c>
      <c r="CP1375" s="0" t="s">
        <v>153</v>
      </c>
      <c r="CT1375" s="0" t="s">
        <v>153</v>
      </c>
      <c r="DC1375" s="0" t="s">
        <v>153</v>
      </c>
      <c r="DI1375" s="0" t="s">
        <v>153</v>
      </c>
    </row>
    <row r="1376" customFormat="false" ht="13.8" hidden="true" customHeight="false" outlineLevel="0" collapsed="false">
      <c r="A1376" s="0" t="s">
        <v>6385</v>
      </c>
      <c r="B1376" s="0" t="n">
        <v>78</v>
      </c>
      <c r="C1376" s="0" t="n">
        <v>290966</v>
      </c>
      <c r="D1376" s="0" t="s">
        <v>4943</v>
      </c>
      <c r="E1376" s="0" t="s">
        <v>6386</v>
      </c>
      <c r="F1376" s="0" t="str">
        <f aca="false">CONCATENATE(D1376," ",LEFT(H1376,4),"T=",AU1376,"D=",AV1376,"R=",AW1376,"M=",AX1376,"L=",AY1376,"B=",AZ1376)</f>
        <v>COOK T=16D=3R=1M=0L=1B=0</v>
      </c>
      <c r="G1376" s="0" t="s">
        <v>325</v>
      </c>
      <c r="I1376" s="0" t="s">
        <v>6387</v>
      </c>
      <c r="J1376" s="0" t="s">
        <v>6388</v>
      </c>
      <c r="K1376" s="0" t="s">
        <v>160</v>
      </c>
      <c r="M1376" s="0" t="s">
        <v>6384</v>
      </c>
      <c r="N1376" s="0" t="str">
        <f aca="false">RIGHT(M1376,LEN(M1376)-FIND(" ",M1376))</f>
        <v>LAWRENCE AVE NE</v>
      </c>
      <c r="P1376" s="0" t="s">
        <v>145</v>
      </c>
      <c r="Q1376" s="0" t="s">
        <v>146</v>
      </c>
      <c r="R1376" s="0" t="n">
        <v>44483</v>
      </c>
      <c r="AD1376" s="0" t="s">
        <v>147</v>
      </c>
      <c r="AE1376" s="0" t="s">
        <v>148</v>
      </c>
      <c r="AF1376" s="0" t="s">
        <v>149</v>
      </c>
      <c r="AH1376" s="0" t="n">
        <v>14</v>
      </c>
      <c r="AI1376" s="0" t="n">
        <v>11</v>
      </c>
      <c r="AN1376" s="0" t="s">
        <v>145</v>
      </c>
      <c r="AO1376" s="0" t="s">
        <v>654</v>
      </c>
      <c r="AP1376" s="0" t="s">
        <v>655</v>
      </c>
      <c r="AQ1376" s="0" t="n">
        <v>9</v>
      </c>
      <c r="AR1376" s="0" t="n">
        <v>64</v>
      </c>
      <c r="AS1376" s="0" t="n">
        <v>32</v>
      </c>
      <c r="AU1376" s="0" t="n">
        <f aca="false">COUNTA($BA$1842:$EH$1842)</f>
        <v>16</v>
      </c>
      <c r="AV1376" s="0" t="n">
        <f aca="false">COUNTIF($BA$1842:$EH$1842,"D")</f>
        <v>3</v>
      </c>
      <c r="AW1376" s="0" t="n">
        <f aca="false">COUNTIF($BA$1842:$EH$1842,"R")</f>
        <v>1</v>
      </c>
      <c r="AX1376" s="0" t="n">
        <f aca="false">IF(BN1376="D",1,0)+IF(BO1376="D",1,0)+IF(BT1376="D",1,0)+IF(BU1376="D",1,0)+IF(BW1376="D",1,0)+IF(CC1376="D",1,0)+IF(CD1376="D",1,0)+IF(CE1376="D",1,0)+IF(CF1376="D",1,0)+IF(CL1376="D",1,0)+IF(CM1376="D",1,0)+IF(CQ1376="D",1,0)+IF(CR1376="D",1,0)+IF(CS1376="D",1,0)+IF(CW1376="D",1,0)+IF(CX1376="D",1,0)+IF(DD1376="D",1,0)+IF(DE1376="D",1,0)+IF(DJ1376="D",1,0)+IF(DK1376="D",1,0)+IF(DO1376="D",1,0)+IF(DP1376="D",1,0)+IF(DQ1376="D",1,0)+IF(DW1376="D",1,0)+IF(DZ1376="D",1,0)+IF(EH1376="D",1,0)</f>
        <v>0</v>
      </c>
      <c r="AY1376" s="0" t="n">
        <f aca="false">COUNTIF(DU1376:EH1376, "&lt;&gt;")</f>
        <v>1</v>
      </c>
      <c r="AZ1376" s="0" t="n">
        <f aca="false">IF(EH1376&lt;&gt;"",1,0)</f>
        <v>0</v>
      </c>
      <c r="BB1376" s="0" t="s">
        <v>152</v>
      </c>
      <c r="BD1376" s="0" t="s">
        <v>153</v>
      </c>
      <c r="BK1376" s="0" t="s">
        <v>153</v>
      </c>
      <c r="BL1376" s="0" t="s">
        <v>153</v>
      </c>
      <c r="BP1376" s="0" t="s">
        <v>153</v>
      </c>
      <c r="BS1376" s="0" t="s">
        <v>153</v>
      </c>
      <c r="BV1376" s="0" t="s">
        <v>153</v>
      </c>
      <c r="BY1376" s="0" t="s">
        <v>175</v>
      </c>
      <c r="CA1376" s="0" t="s">
        <v>153</v>
      </c>
      <c r="CG1376" s="0" t="s">
        <v>153</v>
      </c>
      <c r="CP1376" s="0" t="s">
        <v>153</v>
      </c>
      <c r="CT1376" s="0" t="s">
        <v>153</v>
      </c>
      <c r="CZ1376" s="0" t="s">
        <v>175</v>
      </c>
      <c r="DC1376" s="0" t="s">
        <v>153</v>
      </c>
      <c r="DG1376" s="0" t="s">
        <v>209</v>
      </c>
      <c r="DI1376" s="0" t="s">
        <v>153</v>
      </c>
      <c r="DN1376" s="0" t="s">
        <v>153</v>
      </c>
      <c r="EF1376" s="0" t="s">
        <v>153</v>
      </c>
    </row>
    <row r="1377" customFormat="false" ht="13.8" hidden="true" customHeight="false" outlineLevel="0" collapsed="false">
      <c r="A1377" s="0" t="s">
        <v>6389</v>
      </c>
      <c r="B1377" s="0" t="n">
        <v>78</v>
      </c>
      <c r="C1377" s="0" t="n">
        <v>384093</v>
      </c>
      <c r="D1377" s="0" t="s">
        <v>6390</v>
      </c>
      <c r="E1377" s="0" t="s">
        <v>248</v>
      </c>
      <c r="F1377" s="0" t="str">
        <f aca="false">CONCATENATE(D1377," ",LEFT(H1377,4),"T=",AU1377,"D=",AV1377,"R=",AW1377,"M=",AX1377,"L=",AY1377,"B=",AZ1377)</f>
        <v>DAFFRON T=1D=0R=0M=0L=0B=0</v>
      </c>
      <c r="G1377" s="0" t="s">
        <v>209</v>
      </c>
      <c r="I1377" s="0" t="s">
        <v>6391</v>
      </c>
      <c r="J1377" s="0" t="s">
        <v>688</v>
      </c>
      <c r="K1377" s="0" t="s">
        <v>143</v>
      </c>
      <c r="M1377" s="0" t="s">
        <v>6384</v>
      </c>
      <c r="N1377" s="0" t="str">
        <f aca="false">RIGHT(M1377,LEN(M1377)-FIND(" ",M1377))</f>
        <v>LAWRENCE AVE NE</v>
      </c>
      <c r="P1377" s="0" t="s">
        <v>145</v>
      </c>
      <c r="Q1377" s="0" t="s">
        <v>146</v>
      </c>
      <c r="R1377" s="0" t="n">
        <v>44483</v>
      </c>
      <c r="AD1377" s="0" t="s">
        <v>147</v>
      </c>
      <c r="AE1377" s="0" t="s">
        <v>148</v>
      </c>
      <c r="AF1377" s="0" t="s">
        <v>149</v>
      </c>
      <c r="AH1377" s="0" t="n">
        <v>14</v>
      </c>
      <c r="AI1377" s="0" t="n">
        <v>11</v>
      </c>
      <c r="AN1377" s="0" t="s">
        <v>145</v>
      </c>
      <c r="AO1377" s="0" t="s">
        <v>654</v>
      </c>
      <c r="AP1377" s="0" t="s">
        <v>655</v>
      </c>
      <c r="AQ1377" s="0" t="n">
        <v>9</v>
      </c>
      <c r="AR1377" s="0" t="n">
        <v>64</v>
      </c>
      <c r="AS1377" s="0" t="n">
        <v>32</v>
      </c>
      <c r="AU1377" s="0" t="n">
        <f aca="false">COUNTA($BA$1882:$EH$1882)</f>
        <v>1</v>
      </c>
      <c r="AV1377" s="0" t="n">
        <f aca="false">COUNTIF($BA$1882:$EH$1882,"D")</f>
        <v>0</v>
      </c>
      <c r="AW1377" s="0" t="n">
        <f aca="false">COUNTIF($BA$1882:$EH$1882,"R")</f>
        <v>0</v>
      </c>
      <c r="AX1377" s="0" t="n">
        <f aca="false">IF(BN1377="D",1,0)+IF(BO1377="D",1,0)+IF(BT1377="D",1,0)+IF(BU1377="D",1,0)+IF(BW1377="D",1,0)+IF(CC1377="D",1,0)+IF(CD1377="D",1,0)+IF(CE1377="D",1,0)+IF(CF1377="D",1,0)+IF(CL1377="D",1,0)+IF(CM1377="D",1,0)+IF(CQ1377="D",1,0)+IF(CR1377="D",1,0)+IF(CS1377="D",1,0)+IF(CW1377="D",1,0)+IF(CX1377="D",1,0)+IF(DD1377="D",1,0)+IF(DE1377="D",1,0)+IF(DJ1377="D",1,0)+IF(DK1377="D",1,0)+IF(DO1377="D",1,0)+IF(DP1377="D",1,0)+IF(DQ1377="D",1,0)+IF(DW1377="D",1,0)+IF(DZ1377="D",1,0)+IF(EH1377="D",1,0)</f>
        <v>0</v>
      </c>
      <c r="AY1377" s="0" t="n">
        <f aca="false">COUNTIF(DU1377:EH1377, "&lt;&gt;")</f>
        <v>0</v>
      </c>
      <c r="AZ1377" s="0" t="n">
        <f aca="false">IF(EH1377&lt;&gt;"",1,0)</f>
        <v>0</v>
      </c>
      <c r="BB1377" s="0" t="s">
        <v>152</v>
      </c>
      <c r="CP1377" s="0" t="s">
        <v>153</v>
      </c>
      <c r="DN1377" s="0" t="s">
        <v>153</v>
      </c>
    </row>
    <row r="1378" customFormat="false" ht="13.8" hidden="true" customHeight="false" outlineLevel="0" collapsed="false">
      <c r="A1378" s="0" t="s">
        <v>6392</v>
      </c>
      <c r="B1378" s="0" t="n">
        <v>78</v>
      </c>
      <c r="C1378" s="0" t="n">
        <v>474512</v>
      </c>
      <c r="D1378" s="0" t="s">
        <v>6393</v>
      </c>
      <c r="E1378" s="0" t="s">
        <v>6394</v>
      </c>
      <c r="F1378" s="0" t="str">
        <f aca="false">CONCATENATE(D1378," ",LEFT(H1378,4),"T=",AU1378,"D=",AV1378,"R=",AW1378,"M=",AX1378,"L=",AY1378,"B=",AZ1378)</f>
        <v>SOUSA T=2D=0R=0M=0L=0B=0</v>
      </c>
      <c r="G1378" s="0" t="s">
        <v>164</v>
      </c>
      <c r="I1378" s="0" t="s">
        <v>6395</v>
      </c>
      <c r="J1378" s="0" t="s">
        <v>6396</v>
      </c>
      <c r="K1378" s="0" t="s">
        <v>160</v>
      </c>
      <c r="M1378" s="0" t="s">
        <v>6397</v>
      </c>
      <c r="N1378" s="0" t="str">
        <f aca="false">RIGHT(M1378,LEN(M1378)-FIND(" ",M1378))</f>
        <v>LAWRENCE AVE NE</v>
      </c>
      <c r="P1378" s="0" t="s">
        <v>145</v>
      </c>
      <c r="Q1378" s="0" t="s">
        <v>146</v>
      </c>
      <c r="R1378" s="0" t="n">
        <v>44483</v>
      </c>
      <c r="AD1378" s="0" t="s">
        <v>147</v>
      </c>
      <c r="AE1378" s="0" t="s">
        <v>148</v>
      </c>
      <c r="AF1378" s="0" t="s">
        <v>149</v>
      </c>
      <c r="AH1378" s="0" t="n">
        <v>14</v>
      </c>
      <c r="AI1378" s="0" t="n">
        <v>11</v>
      </c>
      <c r="AN1378" s="0" t="s">
        <v>145</v>
      </c>
      <c r="AO1378" s="0" t="s">
        <v>654</v>
      </c>
      <c r="AP1378" s="0" t="s">
        <v>655</v>
      </c>
      <c r="AQ1378" s="0" t="n">
        <v>9</v>
      </c>
      <c r="AR1378" s="0" t="n">
        <v>64</v>
      </c>
      <c r="AS1378" s="0" t="n">
        <v>32</v>
      </c>
      <c r="AU1378" s="0" t="n">
        <f aca="false">COUNTA($BA$1436:$EH$1436)</f>
        <v>2</v>
      </c>
      <c r="AV1378" s="0" t="n">
        <f aca="false">COUNTIF($BA$1436:$EH$1436,"D")</f>
        <v>0</v>
      </c>
      <c r="AW1378" s="0" t="n">
        <f aca="false">COUNTIF($BA$1436:$EH$1436,"R")</f>
        <v>0</v>
      </c>
      <c r="AX1378" s="0" t="n">
        <f aca="false">IF(BN1378="D",1,0)+IF(BO1378="D",1,0)+IF(BT1378="D",1,0)+IF(BU1378="D",1,0)+IF(BW1378="D",1,0)+IF(CC1378="D",1,0)+IF(CD1378="D",1,0)+IF(CE1378="D",1,0)+IF(CF1378="D",1,0)+IF(CL1378="D",1,0)+IF(CM1378="D",1,0)+IF(CQ1378="D",1,0)+IF(CR1378="D",1,0)+IF(CS1378="D",1,0)+IF(CW1378="D",1,0)+IF(CX1378="D",1,0)+IF(DD1378="D",1,0)+IF(DE1378="D",1,0)+IF(DJ1378="D",1,0)+IF(DK1378="D",1,0)+IF(DO1378="D",1,0)+IF(DP1378="D",1,0)+IF(DQ1378="D",1,0)+IF(DW1378="D",1,0)+IF(DZ1378="D",1,0)+IF(EH1378="D",1,0)</f>
        <v>0</v>
      </c>
      <c r="AY1378" s="0" t="n">
        <f aca="false">COUNTIF(DU1378:EH1378, "&lt;&gt;")</f>
        <v>0</v>
      </c>
      <c r="AZ1378" s="0" t="n">
        <f aca="false">IF(EH1378&lt;&gt;"",1,0)</f>
        <v>0</v>
      </c>
      <c r="BB1378" s="0" t="s">
        <v>152</v>
      </c>
    </row>
    <row r="1379" customFormat="false" ht="13.8" hidden="false" customHeight="false" outlineLevel="0" collapsed="false">
      <c r="A1379" s="0" t="s">
        <v>6398</v>
      </c>
      <c r="B1379" s="0" t="n">
        <v>78</v>
      </c>
      <c r="C1379" s="0" t="n">
        <v>353833</v>
      </c>
      <c r="D1379" s="0" t="s">
        <v>6399</v>
      </c>
      <c r="E1379" s="0" t="s">
        <v>6400</v>
      </c>
      <c r="F1379" s="0" t="str">
        <f aca="false">CONCATENATE(D1379," ",LEFT(H1379,4),"T=",AU1379,"D=",AV1379,"R=",AW1379,"M=",AX1379,"L=",AY1379,"B=",AZ1379)</f>
        <v>GUIDO T=2D=0R=0M=0L=3B=0</v>
      </c>
      <c r="G1379" s="0" t="s">
        <v>500</v>
      </c>
      <c r="I1379" s="0" t="s">
        <v>6401</v>
      </c>
      <c r="J1379" s="0" t="s">
        <v>2394</v>
      </c>
      <c r="K1379" s="0" t="s">
        <v>160</v>
      </c>
      <c r="M1379" s="0" t="s">
        <v>6402</v>
      </c>
      <c r="N1379" s="0" t="str">
        <f aca="false">RIGHT(M1379,LEN(M1379)-FIND(" ",M1379))</f>
        <v>LAWRENCE AVE NE</v>
      </c>
      <c r="P1379" s="0" t="s">
        <v>145</v>
      </c>
      <c r="Q1379" s="0" t="s">
        <v>146</v>
      </c>
      <c r="R1379" s="0" t="n">
        <v>44483</v>
      </c>
      <c r="AD1379" s="0" t="s">
        <v>147</v>
      </c>
      <c r="AE1379" s="0" t="s">
        <v>148</v>
      </c>
      <c r="AF1379" s="0" t="s">
        <v>149</v>
      </c>
      <c r="AH1379" s="0" t="n">
        <v>14</v>
      </c>
      <c r="AI1379" s="0" t="n">
        <v>11</v>
      </c>
      <c r="AN1379" s="0" t="s">
        <v>145</v>
      </c>
      <c r="AO1379" s="0" t="s">
        <v>654</v>
      </c>
      <c r="AP1379" s="0" t="s">
        <v>655</v>
      </c>
      <c r="AQ1379" s="0" t="n">
        <v>9</v>
      </c>
      <c r="AR1379" s="0" t="n">
        <v>64</v>
      </c>
      <c r="AS1379" s="0" t="n">
        <v>32</v>
      </c>
      <c r="AU1379" s="0" t="n">
        <f aca="false">COUNTA($BA$1787:$EH$1787)</f>
        <v>2</v>
      </c>
      <c r="AV1379" s="0" t="n">
        <f aca="false">COUNTIF($BA$1787:$EH$1787,"D")</f>
        <v>0</v>
      </c>
      <c r="AW1379" s="0" t="n">
        <f aca="false">COUNTIF($BA$1787:$EH$1787,"R")</f>
        <v>0</v>
      </c>
      <c r="AX1379" s="0" t="n">
        <f aca="false">IF(BN1379="D",1,0)+IF(BO1379="D",1,0)+IF(BT1379="D",1,0)+IF(BU1379="D",1,0)+IF(BW1379="D",1,0)+IF(CC1379="D",1,0)+IF(CD1379="D",1,0)+IF(CE1379="D",1,0)+IF(CF1379="D",1,0)+IF(CL1379="D",1,0)+IF(CM1379="D",1,0)+IF(CQ1379="D",1,0)+IF(CR1379="D",1,0)+IF(CS1379="D",1,0)+IF(CW1379="D",1,0)+IF(CX1379="D",1,0)+IF(DD1379="D",1,0)+IF(DE1379="D",1,0)+IF(DJ1379="D",1,0)+IF(DK1379="D",1,0)+IF(DO1379="D",1,0)+IF(DP1379="D",1,0)+IF(DQ1379="D",1,0)+IF(DW1379="D",1,0)+IF(DZ1379="D",1,0)+IF(EH1379="D",1,0)</f>
        <v>0</v>
      </c>
      <c r="AY1379" s="0" t="n">
        <f aca="false">COUNTIF(DU1379:EH1379, "&lt;&gt;")</f>
        <v>3</v>
      </c>
      <c r="AZ1379" s="0" t="n">
        <f aca="false">IF(EH1379&lt;&gt;"",1,0)</f>
        <v>0</v>
      </c>
      <c r="BB1379" s="0" t="s">
        <v>152</v>
      </c>
      <c r="CA1379" s="0" t="s">
        <v>153</v>
      </c>
      <c r="CP1379" s="0" t="s">
        <v>153</v>
      </c>
      <c r="CY1379" s="0" t="s">
        <v>153</v>
      </c>
      <c r="CZ1379" s="0" t="s">
        <v>175</v>
      </c>
      <c r="DI1379" s="0" t="s">
        <v>153</v>
      </c>
      <c r="DN1379" s="0" t="s">
        <v>153</v>
      </c>
      <c r="DU1379" s="0" t="s">
        <v>153</v>
      </c>
      <c r="EA1379" s="0" t="s">
        <v>153</v>
      </c>
      <c r="EF1379" s="0" t="s">
        <v>153</v>
      </c>
    </row>
    <row r="1380" customFormat="false" ht="13.8" hidden="false" customHeight="false" outlineLevel="0" collapsed="false">
      <c r="A1380" s="0" t="s">
        <v>6403</v>
      </c>
      <c r="B1380" s="0" t="n">
        <v>78</v>
      </c>
      <c r="C1380" s="0" t="n">
        <v>322470</v>
      </c>
      <c r="D1380" s="0" t="s">
        <v>6404</v>
      </c>
      <c r="E1380" s="0" t="s">
        <v>379</v>
      </c>
      <c r="F1380" s="0" t="str">
        <f aca="false">CONCATENATE(D1380," ",LEFT(H1380,4),"T=",AU1380,"D=",AV1380,"R=",AW1380,"M=",AX1380,"L=",AY1380,"B=",AZ1380)</f>
        <v>DAY T=1D=0R=0M=0L=3B=0</v>
      </c>
      <c r="G1380" s="0" t="s">
        <v>190</v>
      </c>
      <c r="I1380" s="0" t="s">
        <v>6405</v>
      </c>
      <c r="J1380" s="0" t="s">
        <v>688</v>
      </c>
      <c r="K1380" s="0" t="s">
        <v>160</v>
      </c>
      <c r="M1380" s="0" t="s">
        <v>6402</v>
      </c>
      <c r="N1380" s="0" t="str">
        <f aca="false">RIGHT(M1380,LEN(M1380)-FIND(" ",M1380))</f>
        <v>LAWRENCE AVE NE</v>
      </c>
      <c r="P1380" s="0" t="s">
        <v>145</v>
      </c>
      <c r="Q1380" s="0" t="s">
        <v>146</v>
      </c>
      <c r="R1380" s="0" t="n">
        <v>44483</v>
      </c>
      <c r="AD1380" s="0" t="s">
        <v>147</v>
      </c>
      <c r="AE1380" s="0" t="s">
        <v>148</v>
      </c>
      <c r="AF1380" s="0" t="s">
        <v>149</v>
      </c>
      <c r="AH1380" s="0" t="n">
        <v>14</v>
      </c>
      <c r="AI1380" s="0" t="n">
        <v>11</v>
      </c>
      <c r="AN1380" s="0" t="s">
        <v>145</v>
      </c>
      <c r="AO1380" s="0" t="s">
        <v>654</v>
      </c>
      <c r="AP1380" s="0" t="s">
        <v>655</v>
      </c>
      <c r="AQ1380" s="0" t="n">
        <v>9</v>
      </c>
      <c r="AR1380" s="0" t="n">
        <v>64</v>
      </c>
      <c r="AS1380" s="0" t="n">
        <v>32</v>
      </c>
      <c r="AU1380" s="0" t="n">
        <f aca="false">COUNTA($BA$2064:$EH$2064)</f>
        <v>1</v>
      </c>
      <c r="AV1380" s="0" t="n">
        <f aca="false">COUNTIF($BA$2064:$EH$2064,"D")</f>
        <v>0</v>
      </c>
      <c r="AW1380" s="0" t="n">
        <f aca="false">COUNTIF($BA$2064:$EH$2064,"R")</f>
        <v>0</v>
      </c>
      <c r="AX1380" s="0" t="n">
        <f aca="false">IF(BN1380="D",1,0)+IF(BO1380="D",1,0)+IF(BT1380="D",1,0)+IF(BU1380="D",1,0)+IF(BW1380="D",1,0)+IF(CC1380="D",1,0)+IF(CD1380="D",1,0)+IF(CE1380="D",1,0)+IF(CF1380="D",1,0)+IF(CL1380="D",1,0)+IF(CM1380="D",1,0)+IF(CQ1380="D",1,0)+IF(CR1380="D",1,0)+IF(CS1380="D",1,0)+IF(CW1380="D",1,0)+IF(CX1380="D",1,0)+IF(DD1380="D",1,0)+IF(DE1380="D",1,0)+IF(DJ1380="D",1,0)+IF(DK1380="D",1,0)+IF(DO1380="D",1,0)+IF(DP1380="D",1,0)+IF(DQ1380="D",1,0)+IF(DW1380="D",1,0)+IF(DZ1380="D",1,0)+IF(EH1380="D",1,0)</f>
        <v>0</v>
      </c>
      <c r="AY1380" s="0" t="n">
        <f aca="false">COUNTIF(DU1380:EH1380, "&lt;&gt;")</f>
        <v>3</v>
      </c>
      <c r="AZ1380" s="0" t="n">
        <f aca="false">IF(EH1380&lt;&gt;"",1,0)</f>
        <v>0</v>
      </c>
      <c r="BB1380" s="0" t="s">
        <v>152</v>
      </c>
      <c r="BL1380" s="0" t="s">
        <v>153</v>
      </c>
      <c r="CA1380" s="0" t="s">
        <v>153</v>
      </c>
      <c r="CG1380" s="0" t="s">
        <v>153</v>
      </c>
      <c r="CP1380" s="0" t="s">
        <v>153</v>
      </c>
      <c r="CV1380" s="0" t="s">
        <v>153</v>
      </c>
      <c r="DC1380" s="0" t="s">
        <v>153</v>
      </c>
      <c r="DN1380" s="0" t="s">
        <v>153</v>
      </c>
      <c r="DU1380" s="0" t="s">
        <v>153</v>
      </c>
      <c r="EA1380" s="0" t="s">
        <v>153</v>
      </c>
      <c r="EF1380" s="0" t="s">
        <v>153</v>
      </c>
    </row>
    <row r="1381" customFormat="false" ht="13.8" hidden="true" customHeight="false" outlineLevel="0" collapsed="false">
      <c r="A1381" s="0" t="s">
        <v>6406</v>
      </c>
      <c r="B1381" s="0" t="n">
        <v>78</v>
      </c>
      <c r="C1381" s="0" t="n">
        <v>445636</v>
      </c>
      <c r="D1381" s="0" t="s">
        <v>6407</v>
      </c>
      <c r="E1381" s="0" t="s">
        <v>274</v>
      </c>
      <c r="F1381" s="0" t="str">
        <f aca="false">CONCATENATE(D1381," ",LEFT(H1381,4),"T=",AU1381,"D=",AV1381,"R=",AW1381,"M=",AX1381,"L=",AY1381,"B=",AZ1381)</f>
        <v>TICE SRT=7D=0R=0M=0L=0B=0</v>
      </c>
      <c r="G1381" s="0" t="s">
        <v>307</v>
      </c>
      <c r="H1381" s="0" t="s">
        <v>216</v>
      </c>
      <c r="I1381" s="0" t="s">
        <v>6408</v>
      </c>
      <c r="J1381" s="0" t="s">
        <v>386</v>
      </c>
      <c r="K1381" s="0" t="s">
        <v>160</v>
      </c>
      <c r="M1381" s="0" t="s">
        <v>6409</v>
      </c>
      <c r="N1381" s="0" t="str">
        <f aca="false">RIGHT(M1381,LEN(M1381)-FIND(" ",M1381))</f>
        <v>LAWRENCE AVE NE</v>
      </c>
      <c r="P1381" s="0" t="s">
        <v>145</v>
      </c>
      <c r="Q1381" s="0" t="s">
        <v>146</v>
      </c>
      <c r="R1381" s="0" t="n">
        <v>44483</v>
      </c>
      <c r="AD1381" s="0" t="s">
        <v>147</v>
      </c>
      <c r="AE1381" s="0" t="s">
        <v>148</v>
      </c>
      <c r="AF1381" s="0" t="s">
        <v>149</v>
      </c>
      <c r="AH1381" s="0" t="n">
        <v>14</v>
      </c>
      <c r="AI1381" s="0" t="n">
        <v>11</v>
      </c>
      <c r="AN1381" s="0" t="s">
        <v>145</v>
      </c>
      <c r="AO1381" s="0" t="s">
        <v>654</v>
      </c>
      <c r="AP1381" s="0" t="s">
        <v>655</v>
      </c>
      <c r="AQ1381" s="0" t="n">
        <v>9</v>
      </c>
      <c r="AR1381" s="0" t="n">
        <v>64</v>
      </c>
      <c r="AS1381" s="0" t="n">
        <v>32</v>
      </c>
      <c r="AU1381" s="0" t="n">
        <f aca="false">COUNTA($BA$1338:$EH$1338)</f>
        <v>7</v>
      </c>
      <c r="AV1381" s="0" t="n">
        <f aca="false">COUNTIF($BA$1338:$EH$1338,"D")</f>
        <v>0</v>
      </c>
      <c r="AW1381" s="0" t="n">
        <f aca="false">COUNTIF($BA$1338:$EH$1338,"R")</f>
        <v>0</v>
      </c>
      <c r="AX1381" s="0" t="n">
        <f aca="false">IF(BN1381="D",1,0)+IF(BO1381="D",1,0)+IF(BT1381="D",1,0)+IF(BU1381="D",1,0)+IF(BW1381="D",1,0)+IF(CC1381="D",1,0)+IF(CD1381="D",1,0)+IF(CE1381="D",1,0)+IF(CF1381="D",1,0)+IF(CL1381="D",1,0)+IF(CM1381="D",1,0)+IF(CQ1381="D",1,0)+IF(CR1381="D",1,0)+IF(CS1381="D",1,0)+IF(CW1381="D",1,0)+IF(CX1381="D",1,0)+IF(DD1381="D",1,0)+IF(DE1381="D",1,0)+IF(DJ1381="D",1,0)+IF(DK1381="D",1,0)+IF(DO1381="D",1,0)+IF(DP1381="D",1,0)+IF(DQ1381="D",1,0)+IF(DW1381="D",1,0)+IF(DZ1381="D",1,0)+IF(EH1381="D",1,0)</f>
        <v>0</v>
      </c>
      <c r="AY1381" s="0" t="n">
        <f aca="false">COUNTIF(DU1381:EH1381, "&lt;&gt;")</f>
        <v>0</v>
      </c>
      <c r="AZ1381" s="0" t="n">
        <f aca="false">IF(EH1381&lt;&gt;"",1,0)</f>
        <v>0</v>
      </c>
      <c r="BB1381" s="0" t="s">
        <v>152</v>
      </c>
      <c r="BL1381" s="0" t="s">
        <v>153</v>
      </c>
      <c r="BR1381" s="0" t="s">
        <v>175</v>
      </c>
      <c r="BS1381" s="0" t="s">
        <v>153</v>
      </c>
      <c r="CN1381" s="0" t="s">
        <v>153</v>
      </c>
      <c r="CO1381" s="0" t="s">
        <v>209</v>
      </c>
      <c r="CP1381" s="0" t="s">
        <v>153</v>
      </c>
      <c r="CQ1381" s="0" t="s">
        <v>153</v>
      </c>
      <c r="CY1381" s="0" t="s">
        <v>153</v>
      </c>
      <c r="CZ1381" s="0" t="s">
        <v>175</v>
      </c>
      <c r="DC1381" s="0" t="s">
        <v>153</v>
      </c>
      <c r="DI1381" s="0" t="s">
        <v>153</v>
      </c>
      <c r="DN1381" s="0" t="s">
        <v>153</v>
      </c>
    </row>
    <row r="1382" customFormat="false" ht="13.8" hidden="false" customHeight="false" outlineLevel="0" collapsed="false">
      <c r="A1382" s="0" t="s">
        <v>6410</v>
      </c>
      <c r="B1382" s="0" t="n">
        <v>78</v>
      </c>
      <c r="C1382" s="0" t="n">
        <v>401181</v>
      </c>
      <c r="D1382" s="0" t="s">
        <v>690</v>
      </c>
      <c r="E1382" s="0" t="s">
        <v>4448</v>
      </c>
      <c r="F1382" s="0" t="str">
        <f aca="false">CONCATENATE(D1382," ",LEFT(H1382,4),"T=",AU1382,"D=",AV1382,"R=",AW1382,"M=",AX1382,"L=",AY1382,"B=",AZ1382)</f>
        <v>SMITH T=11D=1R=0M=0L=4B=0</v>
      </c>
      <c r="G1382" s="0" t="s">
        <v>325</v>
      </c>
      <c r="I1382" s="0" t="s">
        <v>6411</v>
      </c>
      <c r="J1382" s="0" t="s">
        <v>6412</v>
      </c>
      <c r="K1382" s="0" t="s">
        <v>160</v>
      </c>
      <c r="L1382" s="0" t="s">
        <v>175</v>
      </c>
      <c r="M1382" s="0" t="s">
        <v>6413</v>
      </c>
      <c r="N1382" s="0" t="str">
        <f aca="false">RIGHT(M1382,LEN(M1382)-FIND(" ",M1382))</f>
        <v>LINDEN AVE NE</v>
      </c>
      <c r="O1382" s="0" t="s">
        <v>2211</v>
      </c>
      <c r="P1382" s="0" t="s">
        <v>145</v>
      </c>
      <c r="Q1382" s="0" t="s">
        <v>146</v>
      </c>
      <c r="R1382" s="0" t="n">
        <v>44483</v>
      </c>
      <c r="AD1382" s="0" t="s">
        <v>147</v>
      </c>
      <c r="AE1382" s="0" t="s">
        <v>148</v>
      </c>
      <c r="AF1382" s="0" t="s">
        <v>149</v>
      </c>
      <c r="AH1382" s="0" t="n">
        <v>14</v>
      </c>
      <c r="AI1382" s="0" t="n">
        <v>11</v>
      </c>
      <c r="AN1382" s="0" t="s">
        <v>145</v>
      </c>
      <c r="AO1382" s="0" t="s">
        <v>654</v>
      </c>
      <c r="AP1382" s="0" t="s">
        <v>655</v>
      </c>
      <c r="AQ1382" s="0" t="n">
        <v>9</v>
      </c>
      <c r="AR1382" s="0" t="n">
        <v>64</v>
      </c>
      <c r="AS1382" s="0" t="n">
        <v>32</v>
      </c>
      <c r="AU1382" s="0" t="n">
        <f aca="false">COUNTA($BA$1580:$EH$1580)</f>
        <v>11</v>
      </c>
      <c r="AV1382" s="0" t="n">
        <f aca="false">COUNTIF($BA$1580:$EH$1580,"D")</f>
        <v>1</v>
      </c>
      <c r="AW1382" s="0" t="n">
        <f aca="false">COUNTIF($BA$1580:$EH$1580,"R")</f>
        <v>0</v>
      </c>
      <c r="AX1382" s="0" t="n">
        <f aca="false">IF(BN1382="D",1,0)+IF(BO1382="D",1,0)+IF(BT1382="D",1,0)+IF(BU1382="D",1,0)+IF(BW1382="D",1,0)+IF(CC1382="D",1,0)+IF(CD1382="D",1,0)+IF(CE1382="D",1,0)+IF(CF1382="D",1,0)+IF(CL1382="D",1,0)+IF(CM1382="D",1,0)+IF(CQ1382="D",1,0)+IF(CR1382="D",1,0)+IF(CS1382="D",1,0)+IF(CW1382="D",1,0)+IF(CX1382="D",1,0)+IF(DD1382="D",1,0)+IF(DE1382="D",1,0)+IF(DJ1382="D",1,0)+IF(DK1382="D",1,0)+IF(DO1382="D",1,0)+IF(DP1382="D",1,0)+IF(DQ1382="D",1,0)+IF(DW1382="D",1,0)+IF(DZ1382="D",1,0)+IF(EH1382="D",1,0)</f>
        <v>0</v>
      </c>
      <c r="AY1382" s="0" t="n">
        <f aca="false">COUNTIF(DU1382:EH1382, "&lt;&gt;")</f>
        <v>4</v>
      </c>
      <c r="AZ1382" s="0" t="n">
        <f aca="false">IF(EH1382&lt;&gt;"",1,0)</f>
        <v>0</v>
      </c>
      <c r="BB1382" s="0" t="s">
        <v>152</v>
      </c>
      <c r="CU1382" s="0" t="s">
        <v>175</v>
      </c>
      <c r="CV1382" s="0" t="s">
        <v>153</v>
      </c>
      <c r="CY1382" s="0" t="s">
        <v>153</v>
      </c>
      <c r="CZ1382" s="0" t="s">
        <v>175</v>
      </c>
      <c r="DC1382" s="0" t="s">
        <v>153</v>
      </c>
      <c r="DF1382" s="0" t="s">
        <v>153</v>
      </c>
      <c r="DG1382" s="0" t="s">
        <v>175</v>
      </c>
      <c r="DX1382" s="0" t="s">
        <v>153</v>
      </c>
      <c r="EA1382" s="0" t="s">
        <v>153</v>
      </c>
      <c r="ED1382" s="0" t="s">
        <v>175</v>
      </c>
      <c r="EF1382" s="0" t="s">
        <v>153</v>
      </c>
    </row>
    <row r="1383" customFormat="false" ht="13.8" hidden="false" customHeight="false" outlineLevel="0" collapsed="false">
      <c r="A1383" s="0" t="s">
        <v>6414</v>
      </c>
      <c r="B1383" s="0" t="n">
        <v>78</v>
      </c>
      <c r="C1383" s="0" t="n">
        <v>421173</v>
      </c>
      <c r="D1383" s="0" t="s">
        <v>6415</v>
      </c>
      <c r="E1383" s="0" t="s">
        <v>6416</v>
      </c>
      <c r="F1383" s="0" t="str">
        <f aca="false">CONCATENATE(D1383," ",LEFT(H1383,4),"T=",AU1383,"D=",AV1383,"R=",AW1383,"M=",AX1383,"L=",AY1383,"B=",AZ1383)</f>
        <v>FITZGERALD T=17D=3R=0M=0L=4B=0</v>
      </c>
      <c r="G1383" s="0" t="s">
        <v>4918</v>
      </c>
      <c r="I1383" s="0" t="s">
        <v>6417</v>
      </c>
      <c r="J1383" s="0" t="s">
        <v>1658</v>
      </c>
      <c r="K1383" s="0" t="s">
        <v>160</v>
      </c>
      <c r="M1383" s="0" t="s">
        <v>6413</v>
      </c>
      <c r="N1383" s="0" t="str">
        <f aca="false">RIGHT(M1383,LEN(M1383)-FIND(" ",M1383))</f>
        <v>LINDEN AVE NE</v>
      </c>
      <c r="O1383" s="0" t="s">
        <v>2211</v>
      </c>
      <c r="P1383" s="0" t="s">
        <v>145</v>
      </c>
      <c r="Q1383" s="0" t="s">
        <v>146</v>
      </c>
      <c r="R1383" s="0" t="n">
        <v>44483</v>
      </c>
      <c r="AD1383" s="0" t="s">
        <v>147</v>
      </c>
      <c r="AE1383" s="0" t="s">
        <v>148</v>
      </c>
      <c r="AF1383" s="0" t="s">
        <v>149</v>
      </c>
      <c r="AH1383" s="0" t="n">
        <v>14</v>
      </c>
      <c r="AI1383" s="0" t="n">
        <v>11</v>
      </c>
      <c r="AN1383" s="0" t="s">
        <v>145</v>
      </c>
      <c r="AO1383" s="0" t="s">
        <v>654</v>
      </c>
      <c r="AP1383" s="0" t="s">
        <v>655</v>
      </c>
      <c r="AQ1383" s="0" t="n">
        <v>9</v>
      </c>
      <c r="AR1383" s="0" t="n">
        <v>64</v>
      </c>
      <c r="AS1383" s="0" t="n">
        <v>32</v>
      </c>
      <c r="AU1383" s="0" t="n">
        <f aca="false">COUNTA($BA$1775:$EH$1775)</f>
        <v>17</v>
      </c>
      <c r="AV1383" s="0" t="n">
        <f aca="false">COUNTIF($BA$1775:$EH$1775,"D")</f>
        <v>3</v>
      </c>
      <c r="AW1383" s="0" t="n">
        <f aca="false">COUNTIF($BA$1775:$EH$1775,"R")</f>
        <v>0</v>
      </c>
      <c r="AX1383" s="0" t="n">
        <f aca="false">IF(BN1383="D",1,0)+IF(BO1383="D",1,0)+IF(BT1383="D",1,0)+IF(BU1383="D",1,0)+IF(BW1383="D",1,0)+IF(CC1383="D",1,0)+IF(CD1383="D",1,0)+IF(CE1383="D",1,0)+IF(CF1383="D",1,0)+IF(CL1383="D",1,0)+IF(CM1383="D",1,0)+IF(CQ1383="D",1,0)+IF(CR1383="D",1,0)+IF(CS1383="D",1,0)+IF(CW1383="D",1,0)+IF(CX1383="D",1,0)+IF(DD1383="D",1,0)+IF(DE1383="D",1,0)+IF(DJ1383="D",1,0)+IF(DK1383="D",1,0)+IF(DO1383="D",1,0)+IF(DP1383="D",1,0)+IF(DQ1383="D",1,0)+IF(DW1383="D",1,0)+IF(DZ1383="D",1,0)+IF(EH1383="D",1,0)</f>
        <v>0</v>
      </c>
      <c r="AY1383" s="0" t="n">
        <f aca="false">COUNTIF(DU1383:EH1383, "&lt;&gt;")</f>
        <v>4</v>
      </c>
      <c r="AZ1383" s="0" t="n">
        <f aca="false">IF(EH1383&lt;&gt;"",1,0)</f>
        <v>0</v>
      </c>
      <c r="BB1383" s="0" t="s">
        <v>152</v>
      </c>
      <c r="CG1383" s="0" t="s">
        <v>153</v>
      </c>
      <c r="CK1383" s="0" t="s">
        <v>153</v>
      </c>
      <c r="CN1383" s="0" t="s">
        <v>153</v>
      </c>
      <c r="CP1383" s="0" t="s">
        <v>153</v>
      </c>
      <c r="CY1383" s="0" t="s">
        <v>153</v>
      </c>
      <c r="CZ1383" s="0" t="s">
        <v>175</v>
      </c>
      <c r="DC1383" s="0" t="s">
        <v>153</v>
      </c>
      <c r="DU1383" s="0" t="s">
        <v>153</v>
      </c>
      <c r="DX1383" s="0" t="s">
        <v>153</v>
      </c>
      <c r="EA1383" s="0" t="s">
        <v>153</v>
      </c>
      <c r="EF1383" s="0" t="s">
        <v>153</v>
      </c>
    </row>
    <row r="1384" customFormat="false" ht="13.8" hidden="true" customHeight="false" outlineLevel="0" collapsed="false">
      <c r="A1384" s="0" t="s">
        <v>6418</v>
      </c>
      <c r="B1384" s="0" t="n">
        <v>78</v>
      </c>
      <c r="C1384" s="0" t="n">
        <v>476762</v>
      </c>
      <c r="D1384" s="0" t="s">
        <v>927</v>
      </c>
      <c r="E1384" s="0" t="s">
        <v>6419</v>
      </c>
      <c r="F1384" s="0" t="str">
        <f aca="false">CONCATENATE(D1384," ",LEFT(H1384,4),"T=",AU1384,"D=",AV1384,"R=",AW1384,"M=",AX1384,"L=",AY1384,"B=",AZ1384)</f>
        <v>FLOYD T=12D=0R=0M=0L=0B=0</v>
      </c>
      <c r="G1384" s="0" t="s">
        <v>6420</v>
      </c>
      <c r="I1384" s="0" t="s">
        <v>6421</v>
      </c>
      <c r="J1384" s="0" t="s">
        <v>2677</v>
      </c>
      <c r="K1384" s="0" t="s">
        <v>160</v>
      </c>
      <c r="M1384" s="0" t="s">
        <v>6422</v>
      </c>
      <c r="N1384" s="0" t="str">
        <f aca="false">RIGHT(M1384,LEN(M1384)-FIND(" ",M1384))</f>
        <v>LINDEN AVE NE</v>
      </c>
      <c r="P1384" s="0" t="s">
        <v>145</v>
      </c>
      <c r="Q1384" s="0" t="s">
        <v>146</v>
      </c>
      <c r="R1384" s="0" t="n">
        <v>44483</v>
      </c>
      <c r="AD1384" s="0" t="s">
        <v>147</v>
      </c>
      <c r="AE1384" s="0" t="s">
        <v>148</v>
      </c>
      <c r="AF1384" s="0" t="s">
        <v>149</v>
      </c>
      <c r="AH1384" s="0" t="n">
        <v>14</v>
      </c>
      <c r="AI1384" s="0" t="n">
        <v>11</v>
      </c>
      <c r="AN1384" s="0" t="s">
        <v>145</v>
      </c>
      <c r="AO1384" s="0" t="s">
        <v>654</v>
      </c>
      <c r="AP1384" s="0" t="s">
        <v>655</v>
      </c>
      <c r="AQ1384" s="0" t="n">
        <v>9</v>
      </c>
      <c r="AR1384" s="0" t="n">
        <v>64</v>
      </c>
      <c r="AS1384" s="0" t="n">
        <v>32</v>
      </c>
      <c r="AU1384" s="0" t="n">
        <f aca="false">COUNTA($BA$1392:$EH$1392)</f>
        <v>12</v>
      </c>
      <c r="AV1384" s="0" t="n">
        <f aca="false">COUNTIF($BA$1392:$EH$1392,"D")</f>
        <v>0</v>
      </c>
      <c r="AW1384" s="0" t="n">
        <f aca="false">COUNTIF($BA$1392:$EH$1392,"R")</f>
        <v>0</v>
      </c>
      <c r="AX1384" s="0" t="n">
        <f aca="false">IF(BN1384="D",1,0)+IF(BO1384="D",1,0)+IF(BT1384="D",1,0)+IF(BU1384="D",1,0)+IF(BW1384="D",1,0)+IF(CC1384="D",1,0)+IF(CD1384="D",1,0)+IF(CE1384="D",1,0)+IF(CF1384="D",1,0)+IF(CL1384="D",1,0)+IF(CM1384="D",1,0)+IF(CQ1384="D",1,0)+IF(CR1384="D",1,0)+IF(CS1384="D",1,0)+IF(CW1384="D",1,0)+IF(CX1384="D",1,0)+IF(DD1384="D",1,0)+IF(DE1384="D",1,0)+IF(DJ1384="D",1,0)+IF(DK1384="D",1,0)+IF(DO1384="D",1,0)+IF(DP1384="D",1,0)+IF(DQ1384="D",1,0)+IF(DW1384="D",1,0)+IF(DZ1384="D",1,0)+IF(EH1384="D",1,0)</f>
        <v>0</v>
      </c>
      <c r="AY1384" s="0" t="n">
        <f aca="false">COUNTIF(DU1384:EH1384, "&lt;&gt;")</f>
        <v>0</v>
      </c>
      <c r="AZ1384" s="0" t="n">
        <f aca="false">IF(EH1384&lt;&gt;"",1,0)</f>
        <v>0</v>
      </c>
      <c r="BB1384" s="0" t="s">
        <v>152</v>
      </c>
    </row>
    <row r="1385" customFormat="false" ht="13.8" hidden="true" customHeight="false" outlineLevel="0" collapsed="false">
      <c r="A1385" s="0" t="s">
        <v>6423</v>
      </c>
      <c r="B1385" s="0" t="n">
        <v>78</v>
      </c>
      <c r="C1385" s="0" t="n">
        <v>408437</v>
      </c>
      <c r="D1385" s="0" t="s">
        <v>6424</v>
      </c>
      <c r="E1385" s="0" t="s">
        <v>6425</v>
      </c>
      <c r="F1385" s="0" t="str">
        <f aca="false">CONCATENATE(D1385," ",LEFT(H1385,4),"T=",AU1385,"D=",AV1385,"R=",AW1385,"M=",AX1385,"L=",AY1385,"B=",AZ1385)</f>
        <v>SUGAR T=2D=0R=0M=0L=0B=0</v>
      </c>
      <c r="G1385" s="0" t="s">
        <v>351</v>
      </c>
      <c r="I1385" s="0" t="s">
        <v>6426</v>
      </c>
      <c r="J1385" s="0" t="s">
        <v>6427</v>
      </c>
      <c r="K1385" s="0" t="s">
        <v>160</v>
      </c>
      <c r="M1385" s="0" t="s">
        <v>6422</v>
      </c>
      <c r="N1385" s="0" t="str">
        <f aca="false">RIGHT(M1385,LEN(M1385)-FIND(" ",M1385))</f>
        <v>LINDEN AVE NE</v>
      </c>
      <c r="P1385" s="0" t="s">
        <v>145</v>
      </c>
      <c r="Q1385" s="0" t="s">
        <v>146</v>
      </c>
      <c r="R1385" s="0" t="n">
        <v>44483</v>
      </c>
      <c r="AD1385" s="0" t="s">
        <v>147</v>
      </c>
      <c r="AE1385" s="0" t="s">
        <v>148</v>
      </c>
      <c r="AF1385" s="0" t="s">
        <v>149</v>
      </c>
      <c r="AH1385" s="0" t="n">
        <v>14</v>
      </c>
      <c r="AI1385" s="0" t="n">
        <v>11</v>
      </c>
      <c r="AN1385" s="0" t="s">
        <v>145</v>
      </c>
      <c r="AO1385" s="0" t="s">
        <v>654</v>
      </c>
      <c r="AP1385" s="0" t="s">
        <v>655</v>
      </c>
      <c r="AQ1385" s="0" t="n">
        <v>9</v>
      </c>
      <c r="AR1385" s="0" t="n">
        <v>64</v>
      </c>
      <c r="AS1385" s="0" t="n">
        <v>32</v>
      </c>
      <c r="AU1385" s="0" t="n">
        <f aca="false">COUNTA($BA$1925:$EH$1925)</f>
        <v>2</v>
      </c>
      <c r="AV1385" s="0" t="n">
        <f aca="false">COUNTIF($BA$1925:$EH$1925,"D")</f>
        <v>0</v>
      </c>
      <c r="AW1385" s="0" t="n">
        <f aca="false">COUNTIF($BA$1925:$EH$1925,"R")</f>
        <v>0</v>
      </c>
      <c r="AX1385" s="0" t="n">
        <f aca="false">IF(BN1385="D",1,0)+IF(BO1385="D",1,0)+IF(BT1385="D",1,0)+IF(BU1385="D",1,0)+IF(BW1385="D",1,0)+IF(CC1385="D",1,0)+IF(CD1385="D",1,0)+IF(CE1385="D",1,0)+IF(CF1385="D",1,0)+IF(CL1385="D",1,0)+IF(CM1385="D",1,0)+IF(CQ1385="D",1,0)+IF(CR1385="D",1,0)+IF(CS1385="D",1,0)+IF(CW1385="D",1,0)+IF(CX1385="D",1,0)+IF(DD1385="D",1,0)+IF(DE1385="D",1,0)+IF(DJ1385="D",1,0)+IF(DK1385="D",1,0)+IF(DO1385="D",1,0)+IF(DP1385="D",1,0)+IF(DQ1385="D",1,0)+IF(DW1385="D",1,0)+IF(DZ1385="D",1,0)+IF(EH1385="D",1,0)</f>
        <v>0</v>
      </c>
      <c r="AY1385" s="0" t="n">
        <f aca="false">COUNTIF(DU1385:EH1385, "&lt;&gt;")</f>
        <v>0</v>
      </c>
      <c r="AZ1385" s="0" t="n">
        <f aca="false">IF(EH1385&lt;&gt;"",1,0)</f>
        <v>0</v>
      </c>
      <c r="BB1385" s="0" t="s">
        <v>152</v>
      </c>
    </row>
    <row r="1386" customFormat="false" ht="13.8" hidden="false" customHeight="false" outlineLevel="0" collapsed="false">
      <c r="A1386" s="0" t="s">
        <v>6428</v>
      </c>
      <c r="B1386" s="0" t="n">
        <v>78</v>
      </c>
      <c r="C1386" s="0" t="n">
        <v>495308</v>
      </c>
      <c r="D1386" s="0" t="s">
        <v>2357</v>
      </c>
      <c r="E1386" s="0" t="s">
        <v>6429</v>
      </c>
      <c r="F1386" s="0" t="str">
        <f aca="false">CONCATENATE(D1386," ",LEFT(H1386,4),"T=",AU1386,"D=",AV1386,"R=",AW1386,"M=",AX1386,"L=",AY1386,"B=",AZ1386)</f>
        <v>DAVIDSON T=16D=4R=0M=0L=2B=0</v>
      </c>
      <c r="G1386" s="0" t="s">
        <v>6430</v>
      </c>
      <c r="I1386" s="0" t="s">
        <v>6431</v>
      </c>
      <c r="J1386" s="0" t="s">
        <v>6432</v>
      </c>
      <c r="K1386" s="0" t="s">
        <v>160</v>
      </c>
      <c r="M1386" s="0" t="s">
        <v>6433</v>
      </c>
      <c r="N1386" s="0" t="str">
        <f aca="false">RIGHT(M1386,LEN(M1386)-FIND(" ",M1386))</f>
        <v>LINDEN AVE NE</v>
      </c>
      <c r="P1386" s="0" t="s">
        <v>145</v>
      </c>
      <c r="Q1386" s="0" t="s">
        <v>146</v>
      </c>
      <c r="R1386" s="0" t="n">
        <v>44483</v>
      </c>
      <c r="AD1386" s="0" t="s">
        <v>147</v>
      </c>
      <c r="AE1386" s="0" t="s">
        <v>148</v>
      </c>
      <c r="AF1386" s="0" t="s">
        <v>149</v>
      </c>
      <c r="AH1386" s="0" t="n">
        <v>14</v>
      </c>
      <c r="AI1386" s="0" t="n">
        <v>11</v>
      </c>
      <c r="AN1386" s="0" t="s">
        <v>145</v>
      </c>
      <c r="AO1386" s="0" t="s">
        <v>654</v>
      </c>
      <c r="AP1386" s="0" t="s">
        <v>655</v>
      </c>
      <c r="AQ1386" s="0" t="n">
        <v>9</v>
      </c>
      <c r="AR1386" s="0" t="n">
        <v>64</v>
      </c>
      <c r="AS1386" s="0" t="n">
        <v>32</v>
      </c>
      <c r="AU1386" s="0" t="n">
        <f aca="false">COUNTA($BA$1313:$EH$1313)</f>
        <v>16</v>
      </c>
      <c r="AV1386" s="0" t="n">
        <f aca="false">COUNTIF($BA$1313:$EH$1313,"D")</f>
        <v>4</v>
      </c>
      <c r="AW1386" s="0" t="n">
        <f aca="false">COUNTIF($BA$1313:$EH$1313,"R")</f>
        <v>0</v>
      </c>
      <c r="AX1386" s="0" t="n">
        <f aca="false">IF(BN1386="D",1,0)+IF(BO1386="D",1,0)+IF(BT1386="D",1,0)+IF(BU1386="D",1,0)+IF(BW1386="D",1,0)+IF(CC1386="D",1,0)+IF(CD1386="D",1,0)+IF(CE1386="D",1,0)+IF(CF1386="D",1,0)+IF(CL1386="D",1,0)+IF(CM1386="D",1,0)+IF(CQ1386="D",1,0)+IF(CR1386="D",1,0)+IF(CS1386="D",1,0)+IF(CW1386="D",1,0)+IF(CX1386="D",1,0)+IF(DD1386="D",1,0)+IF(DE1386="D",1,0)+IF(DJ1386="D",1,0)+IF(DK1386="D",1,0)+IF(DO1386="D",1,0)+IF(DP1386="D",1,0)+IF(DQ1386="D",1,0)+IF(DW1386="D",1,0)+IF(DZ1386="D",1,0)+IF(EH1386="D",1,0)</f>
        <v>0</v>
      </c>
      <c r="AY1386" s="0" t="n">
        <f aca="false">COUNTIF(DU1386:EH1386, "&lt;&gt;")</f>
        <v>2</v>
      </c>
      <c r="AZ1386" s="0" t="n">
        <f aca="false">IF(EH1386&lt;&gt;"",1,0)</f>
        <v>0</v>
      </c>
      <c r="BB1386" s="0" t="s">
        <v>152</v>
      </c>
      <c r="EA1386" s="0" t="s">
        <v>153</v>
      </c>
      <c r="EF1386" s="0" t="s">
        <v>153</v>
      </c>
    </row>
    <row r="1387" customFormat="false" ht="13.8" hidden="true" customHeight="false" outlineLevel="0" collapsed="false">
      <c r="A1387" s="0" t="s">
        <v>6434</v>
      </c>
      <c r="B1387" s="0" t="n">
        <v>78</v>
      </c>
      <c r="C1387" s="0" t="n">
        <v>458225</v>
      </c>
      <c r="D1387" s="0" t="s">
        <v>6435</v>
      </c>
      <c r="E1387" s="0" t="s">
        <v>829</v>
      </c>
      <c r="F1387" s="0" t="str">
        <f aca="false">CONCATENATE(D1387," ",LEFT(H1387,4),"T=",AU1387,"D=",AV1387,"R=",AW1387,"M=",AX1387,"L=",AY1387,"B=",AZ1387)</f>
        <v>STIFFLER T=2D=0R=0M=0L=0B=0</v>
      </c>
      <c r="G1387" s="0" t="s">
        <v>670</v>
      </c>
      <c r="I1387" s="0" t="s">
        <v>6436</v>
      </c>
      <c r="J1387" s="0" t="s">
        <v>6437</v>
      </c>
      <c r="K1387" s="0" t="s">
        <v>143</v>
      </c>
      <c r="M1387" s="0" t="s">
        <v>6433</v>
      </c>
      <c r="N1387" s="0" t="str">
        <f aca="false">RIGHT(M1387,LEN(M1387)-FIND(" ",M1387))</f>
        <v>LINDEN AVE NE</v>
      </c>
      <c r="P1387" s="0" t="s">
        <v>145</v>
      </c>
      <c r="Q1387" s="0" t="s">
        <v>146</v>
      </c>
      <c r="R1387" s="0" t="n">
        <v>44483</v>
      </c>
      <c r="AD1387" s="0" t="s">
        <v>147</v>
      </c>
      <c r="AE1387" s="0" t="s">
        <v>148</v>
      </c>
      <c r="AF1387" s="0" t="s">
        <v>149</v>
      </c>
      <c r="AH1387" s="0" t="n">
        <v>14</v>
      </c>
      <c r="AI1387" s="0" t="n">
        <v>11</v>
      </c>
      <c r="AN1387" s="0" t="s">
        <v>145</v>
      </c>
      <c r="AO1387" s="0" t="s">
        <v>654</v>
      </c>
      <c r="AP1387" s="0" t="s">
        <v>655</v>
      </c>
      <c r="AQ1387" s="0" t="n">
        <v>9</v>
      </c>
      <c r="AR1387" s="0" t="n">
        <v>64</v>
      </c>
      <c r="AS1387" s="0" t="n">
        <v>32</v>
      </c>
      <c r="AU1387" s="0" t="n">
        <f aca="false">COUNTA($BA$1599:$EH$1599)</f>
        <v>2</v>
      </c>
      <c r="AV1387" s="0" t="n">
        <f aca="false">COUNTIF($BA$1599:$EH$1599,"D")</f>
        <v>0</v>
      </c>
      <c r="AW1387" s="0" t="n">
        <f aca="false">COUNTIF($BA$1599:$EH$1599,"R")</f>
        <v>0</v>
      </c>
      <c r="AX1387" s="0" t="n">
        <f aca="false">IF(BN1387="D",1,0)+IF(BO1387="D",1,0)+IF(BT1387="D",1,0)+IF(BU1387="D",1,0)+IF(BW1387="D",1,0)+IF(CC1387="D",1,0)+IF(CD1387="D",1,0)+IF(CE1387="D",1,0)+IF(CF1387="D",1,0)+IF(CL1387="D",1,0)+IF(CM1387="D",1,0)+IF(CQ1387="D",1,0)+IF(CR1387="D",1,0)+IF(CS1387="D",1,0)+IF(CW1387="D",1,0)+IF(CX1387="D",1,0)+IF(DD1387="D",1,0)+IF(DE1387="D",1,0)+IF(DJ1387="D",1,0)+IF(DK1387="D",1,0)+IF(DO1387="D",1,0)+IF(DP1387="D",1,0)+IF(DQ1387="D",1,0)+IF(DW1387="D",1,0)+IF(DZ1387="D",1,0)+IF(EH1387="D",1,0)</f>
        <v>0</v>
      </c>
      <c r="AY1387" s="0" t="n">
        <f aca="false">COUNTIF(DU1387:EH1387, "&lt;&gt;")</f>
        <v>0</v>
      </c>
      <c r="AZ1387" s="0" t="n">
        <f aca="false">IF(EH1387&lt;&gt;"",1,0)</f>
        <v>0</v>
      </c>
      <c r="BB1387" s="0" t="s">
        <v>152</v>
      </c>
      <c r="CA1387" s="0" t="s">
        <v>153</v>
      </c>
    </row>
    <row r="1388" customFormat="false" ht="13.8" hidden="true" customHeight="false" outlineLevel="0" collapsed="false">
      <c r="A1388" s="0" t="s">
        <v>6438</v>
      </c>
      <c r="B1388" s="0" t="n">
        <v>78</v>
      </c>
      <c r="C1388" s="0" t="n">
        <v>311446</v>
      </c>
      <c r="D1388" s="0" t="s">
        <v>6439</v>
      </c>
      <c r="E1388" s="0" t="s">
        <v>2827</v>
      </c>
      <c r="F1388" s="0" t="str">
        <f aca="false">CONCATENATE(D1388," ",LEFT(H1388,4),"T=",AU1388,"D=",AV1388,"R=",AW1388,"M=",AX1388,"L=",AY1388,"B=",AZ1388)</f>
        <v>BAUMGARTNER T=11D=0R=1M=0L=0B=0</v>
      </c>
      <c r="G1388" s="0" t="s">
        <v>325</v>
      </c>
      <c r="I1388" s="0" t="s">
        <v>1138</v>
      </c>
      <c r="J1388" s="0" t="s">
        <v>460</v>
      </c>
      <c r="K1388" s="0" t="s">
        <v>160</v>
      </c>
      <c r="M1388" s="0" t="s">
        <v>6440</v>
      </c>
      <c r="N1388" s="0" t="str">
        <f aca="false">RIGHT(M1388,LEN(M1388)-FIND(" ",M1388))</f>
        <v>LINDEN AVE NE</v>
      </c>
      <c r="P1388" s="0" t="s">
        <v>145</v>
      </c>
      <c r="Q1388" s="0" t="s">
        <v>146</v>
      </c>
      <c r="R1388" s="0" t="n">
        <v>44483</v>
      </c>
      <c r="AD1388" s="0" t="s">
        <v>147</v>
      </c>
      <c r="AE1388" s="0" t="s">
        <v>148</v>
      </c>
      <c r="AF1388" s="0" t="s">
        <v>149</v>
      </c>
      <c r="AH1388" s="0" t="n">
        <v>14</v>
      </c>
      <c r="AI1388" s="0" t="n">
        <v>11</v>
      </c>
      <c r="AN1388" s="0" t="s">
        <v>145</v>
      </c>
      <c r="AO1388" s="0" t="s">
        <v>654</v>
      </c>
      <c r="AP1388" s="0" t="s">
        <v>655</v>
      </c>
      <c r="AQ1388" s="0" t="n">
        <v>9</v>
      </c>
      <c r="AR1388" s="0" t="n">
        <v>64</v>
      </c>
      <c r="AS1388" s="0" t="n">
        <v>32</v>
      </c>
      <c r="AU1388" s="0" t="n">
        <f aca="false">COUNTA($BA$1322:$EH$1322)</f>
        <v>11</v>
      </c>
      <c r="AV1388" s="0" t="n">
        <f aca="false">COUNTIF($BA$1322:$EH$1322,"D")</f>
        <v>0</v>
      </c>
      <c r="AW1388" s="0" t="n">
        <f aca="false">COUNTIF($BA$1322:$EH$1322,"R")</f>
        <v>1</v>
      </c>
      <c r="AX1388" s="0" t="n">
        <f aca="false">IF(BN1388="D",1,0)+IF(BO1388="D",1,0)+IF(BT1388="D",1,0)+IF(BU1388="D",1,0)+IF(BW1388="D",1,0)+IF(CC1388="D",1,0)+IF(CD1388="D",1,0)+IF(CE1388="D",1,0)+IF(CF1388="D",1,0)+IF(CL1388="D",1,0)+IF(CM1388="D",1,0)+IF(CQ1388="D",1,0)+IF(CR1388="D",1,0)+IF(CS1388="D",1,0)+IF(CW1388="D",1,0)+IF(CX1388="D",1,0)+IF(DD1388="D",1,0)+IF(DE1388="D",1,0)+IF(DJ1388="D",1,0)+IF(DK1388="D",1,0)+IF(DO1388="D",1,0)+IF(DP1388="D",1,0)+IF(DQ1388="D",1,0)+IF(DW1388="D",1,0)+IF(DZ1388="D",1,0)+IF(EH1388="D",1,0)</f>
        <v>0</v>
      </c>
      <c r="AY1388" s="0" t="n">
        <f aca="false">COUNTIF(DU1388:EH1388, "&lt;&gt;")</f>
        <v>0</v>
      </c>
      <c r="AZ1388" s="0" t="n">
        <f aca="false">IF(EH1388&lt;&gt;"",1,0)</f>
        <v>0</v>
      </c>
      <c r="BB1388" s="0" t="s">
        <v>152</v>
      </c>
      <c r="BH1388" s="0" t="s">
        <v>153</v>
      </c>
      <c r="BL1388" s="0" t="s">
        <v>153</v>
      </c>
      <c r="CV1388" s="0" t="s">
        <v>153</v>
      </c>
    </row>
    <row r="1389" customFormat="false" ht="13.8" hidden="false" customHeight="false" outlineLevel="0" collapsed="false">
      <c r="A1389" s="0" t="s">
        <v>6441</v>
      </c>
      <c r="B1389" s="0" t="n">
        <v>78</v>
      </c>
      <c r="C1389" s="0" t="n">
        <v>380985</v>
      </c>
      <c r="D1389" s="0" t="s">
        <v>690</v>
      </c>
      <c r="E1389" s="0" t="s">
        <v>6442</v>
      </c>
      <c r="F1389" s="0" t="str">
        <f aca="false">CONCATENATE(D1389," ",LEFT(H1389,4),"T=",AU1389,"D=",AV1389,"R=",AW1389,"M=",AX1389,"L=",AY1389,"B=",AZ1389)</f>
        <v>SMITH T=9D=0R=0M=0L=3B=0</v>
      </c>
      <c r="G1389" s="0" t="s">
        <v>190</v>
      </c>
      <c r="I1389" s="0" t="s">
        <v>6443</v>
      </c>
      <c r="J1389" s="0" t="s">
        <v>6444</v>
      </c>
      <c r="K1389" s="0" t="s">
        <v>160</v>
      </c>
      <c r="M1389" s="0" t="s">
        <v>6445</v>
      </c>
      <c r="N1389" s="0" t="str">
        <f aca="false">RIGHT(M1389,LEN(M1389)-FIND(" ",M1389))</f>
        <v>LINDEN AVE NE</v>
      </c>
      <c r="P1389" s="0" t="s">
        <v>145</v>
      </c>
      <c r="Q1389" s="0" t="s">
        <v>146</v>
      </c>
      <c r="R1389" s="0" t="n">
        <v>44483</v>
      </c>
      <c r="AD1389" s="0" t="s">
        <v>147</v>
      </c>
      <c r="AE1389" s="0" t="s">
        <v>148</v>
      </c>
      <c r="AF1389" s="0" t="s">
        <v>149</v>
      </c>
      <c r="AH1389" s="0" t="n">
        <v>14</v>
      </c>
      <c r="AI1389" s="0" t="n">
        <v>11</v>
      </c>
      <c r="AN1389" s="0" t="s">
        <v>145</v>
      </c>
      <c r="AO1389" s="0" t="s">
        <v>654</v>
      </c>
      <c r="AP1389" s="0" t="s">
        <v>655</v>
      </c>
      <c r="AQ1389" s="0" t="n">
        <v>9</v>
      </c>
      <c r="AR1389" s="0" t="n">
        <v>64</v>
      </c>
      <c r="AS1389" s="0" t="n">
        <v>32</v>
      </c>
      <c r="AU1389" s="0" t="n">
        <f aca="false">COUNTA($BA$1459:$EH$1459)</f>
        <v>9</v>
      </c>
      <c r="AV1389" s="0" t="n">
        <f aca="false">COUNTIF($BA$1459:$EH$1459,"D")</f>
        <v>0</v>
      </c>
      <c r="AW1389" s="0" t="n">
        <f aca="false">COUNTIF($BA$1459:$EH$1459,"R")</f>
        <v>0</v>
      </c>
      <c r="AX1389" s="0" t="n">
        <f aca="false">IF(BN1389="D",1,0)+IF(BO1389="D",1,0)+IF(BT1389="D",1,0)+IF(BU1389="D",1,0)+IF(BW1389="D",1,0)+IF(CC1389="D",1,0)+IF(CD1389="D",1,0)+IF(CE1389="D",1,0)+IF(CF1389="D",1,0)+IF(CL1389="D",1,0)+IF(CM1389="D",1,0)+IF(CQ1389="D",1,0)+IF(CR1389="D",1,0)+IF(CS1389="D",1,0)+IF(CW1389="D",1,0)+IF(CX1389="D",1,0)+IF(DD1389="D",1,0)+IF(DE1389="D",1,0)+IF(DJ1389="D",1,0)+IF(DK1389="D",1,0)+IF(DO1389="D",1,0)+IF(DP1389="D",1,0)+IF(DQ1389="D",1,0)+IF(DW1389="D",1,0)+IF(DZ1389="D",1,0)+IF(EH1389="D",1,0)</f>
        <v>0</v>
      </c>
      <c r="AY1389" s="0" t="n">
        <f aca="false">COUNTIF(DU1389:EH1389, "&lt;&gt;")</f>
        <v>3</v>
      </c>
      <c r="AZ1389" s="0" t="n">
        <f aca="false">IF(EH1389&lt;&gt;"",1,0)</f>
        <v>0</v>
      </c>
      <c r="BB1389" s="0" t="s">
        <v>152</v>
      </c>
      <c r="CP1389" s="0" t="s">
        <v>153</v>
      </c>
      <c r="CZ1389" s="0" t="s">
        <v>209</v>
      </c>
      <c r="DC1389" s="0" t="s">
        <v>153</v>
      </c>
      <c r="DN1389" s="0" t="s">
        <v>153</v>
      </c>
      <c r="DU1389" s="0" t="s">
        <v>153</v>
      </c>
      <c r="EA1389" s="0" t="s">
        <v>153</v>
      </c>
      <c r="EF1389" s="0" t="s">
        <v>153</v>
      </c>
    </row>
    <row r="1390" customFormat="false" ht="13.8" hidden="true" customHeight="false" outlineLevel="0" collapsed="false">
      <c r="A1390" s="0" t="s">
        <v>6446</v>
      </c>
      <c r="B1390" s="0" t="n">
        <v>78</v>
      </c>
      <c r="C1390" s="0" t="n">
        <v>419819</v>
      </c>
      <c r="D1390" s="0" t="s">
        <v>6121</v>
      </c>
      <c r="E1390" s="0" t="s">
        <v>621</v>
      </c>
      <c r="F1390" s="0" t="str">
        <f aca="false">CONCATENATE(D1390," ",LEFT(H1390,4),"T=",AU1390,"D=",AV1390,"R=",AW1390,"M=",AX1390,"L=",AY1390,"B=",AZ1390)</f>
        <v>BARR T=1D=0R=0M=0L=0B=0</v>
      </c>
      <c r="G1390" s="0" t="s">
        <v>195</v>
      </c>
      <c r="I1390" s="0" t="s">
        <v>6447</v>
      </c>
      <c r="J1390" s="0" t="s">
        <v>6448</v>
      </c>
      <c r="K1390" s="0" t="s">
        <v>143</v>
      </c>
      <c r="M1390" s="0" t="s">
        <v>6449</v>
      </c>
      <c r="N1390" s="0" t="str">
        <f aca="false">RIGHT(M1390,LEN(M1390)-FIND(" ",M1390))</f>
        <v>LINDEN AVE NE</v>
      </c>
      <c r="P1390" s="0" t="s">
        <v>145</v>
      </c>
      <c r="Q1390" s="0" t="s">
        <v>146</v>
      </c>
      <c r="R1390" s="0" t="n">
        <v>44483</v>
      </c>
      <c r="AD1390" s="0" t="s">
        <v>147</v>
      </c>
      <c r="AE1390" s="0" t="s">
        <v>148</v>
      </c>
      <c r="AF1390" s="0" t="s">
        <v>149</v>
      </c>
      <c r="AH1390" s="0" t="n">
        <v>14</v>
      </c>
      <c r="AI1390" s="0" t="n">
        <v>11</v>
      </c>
      <c r="AN1390" s="0" t="s">
        <v>145</v>
      </c>
      <c r="AO1390" s="0" t="s">
        <v>654</v>
      </c>
      <c r="AP1390" s="0" t="s">
        <v>655</v>
      </c>
      <c r="AQ1390" s="0" t="n">
        <v>9</v>
      </c>
      <c r="AR1390" s="0" t="n">
        <v>64</v>
      </c>
      <c r="AS1390" s="0" t="n">
        <v>32</v>
      </c>
      <c r="AU1390" s="0" t="n">
        <f aca="false">COUNTA($BA$1595:$EH$1595)</f>
        <v>1</v>
      </c>
      <c r="AV1390" s="0" t="n">
        <f aca="false">COUNTIF($BA$1595:$EH$1595,"D")</f>
        <v>0</v>
      </c>
      <c r="AW1390" s="0" t="n">
        <f aca="false">COUNTIF($BA$1595:$EH$1595,"R")</f>
        <v>0</v>
      </c>
      <c r="AX1390" s="0" t="n">
        <f aca="false">IF(BN1390="D",1,0)+IF(BO1390="D",1,0)+IF(BT1390="D",1,0)+IF(BU1390="D",1,0)+IF(BW1390="D",1,0)+IF(CC1390="D",1,0)+IF(CD1390="D",1,0)+IF(CE1390="D",1,0)+IF(CF1390="D",1,0)+IF(CL1390="D",1,0)+IF(CM1390="D",1,0)+IF(CQ1390="D",1,0)+IF(CR1390="D",1,0)+IF(CS1390="D",1,0)+IF(CW1390="D",1,0)+IF(CX1390="D",1,0)+IF(DD1390="D",1,0)+IF(DE1390="D",1,0)+IF(DJ1390="D",1,0)+IF(DK1390="D",1,0)+IF(DO1390="D",1,0)+IF(DP1390="D",1,0)+IF(DQ1390="D",1,0)+IF(DW1390="D",1,0)+IF(DZ1390="D",1,0)+IF(EH1390="D",1,0)</f>
        <v>0</v>
      </c>
      <c r="AY1390" s="0" t="n">
        <f aca="false">COUNTIF(DU1390:EH1390, "&lt;&gt;")</f>
        <v>0</v>
      </c>
      <c r="AZ1390" s="0" t="n">
        <f aca="false">IF(EH1390&lt;&gt;"",1,0)</f>
        <v>0</v>
      </c>
      <c r="BB1390" s="0" t="s">
        <v>152</v>
      </c>
    </row>
    <row r="1391" customFormat="false" ht="13.8" hidden="true" customHeight="false" outlineLevel="0" collapsed="false">
      <c r="A1391" s="0" t="s">
        <v>6450</v>
      </c>
      <c r="B1391" s="0" t="n">
        <v>78</v>
      </c>
      <c r="C1391" s="0" t="n">
        <v>430524</v>
      </c>
      <c r="D1391" s="0" t="s">
        <v>6451</v>
      </c>
      <c r="E1391" s="0" t="s">
        <v>2798</v>
      </c>
      <c r="F1391" s="0" t="str">
        <f aca="false">CONCATENATE(D1391," ",LEFT(H1391,4),"T=",AU1391,"D=",AV1391,"R=",AW1391,"M=",AX1391,"L=",AY1391,"B=",AZ1391)</f>
        <v>STEWART T=1D=0R=0M=0L=0B=0</v>
      </c>
      <c r="G1391" s="0" t="s">
        <v>686</v>
      </c>
      <c r="I1391" s="0" t="s">
        <v>5506</v>
      </c>
      <c r="J1391" s="0" t="s">
        <v>6452</v>
      </c>
      <c r="K1391" s="0" t="s">
        <v>143</v>
      </c>
      <c r="M1391" s="0" t="s">
        <v>6453</v>
      </c>
      <c r="N1391" s="0" t="str">
        <f aca="false">RIGHT(M1391,LEN(M1391)-FIND(" ",M1391))</f>
        <v>LINDEN AVE NE</v>
      </c>
      <c r="P1391" s="0" t="s">
        <v>145</v>
      </c>
      <c r="Q1391" s="0" t="s">
        <v>146</v>
      </c>
      <c r="R1391" s="0" t="n">
        <v>44483</v>
      </c>
      <c r="AD1391" s="0" t="s">
        <v>147</v>
      </c>
      <c r="AE1391" s="0" t="s">
        <v>148</v>
      </c>
      <c r="AF1391" s="0" t="s">
        <v>149</v>
      </c>
      <c r="AH1391" s="0" t="n">
        <v>14</v>
      </c>
      <c r="AI1391" s="0" t="n">
        <v>11</v>
      </c>
      <c r="AN1391" s="0" t="s">
        <v>145</v>
      </c>
      <c r="AO1391" s="0" t="s">
        <v>654</v>
      </c>
      <c r="AP1391" s="0" t="s">
        <v>655</v>
      </c>
      <c r="AQ1391" s="0" t="n">
        <v>9</v>
      </c>
      <c r="AR1391" s="0" t="n">
        <v>64</v>
      </c>
      <c r="AS1391" s="0" t="n">
        <v>32</v>
      </c>
      <c r="AU1391" s="0" t="n">
        <f aca="false">COUNTA($BA$1385:$EH$1385)</f>
        <v>1</v>
      </c>
      <c r="AV1391" s="0" t="n">
        <f aca="false">COUNTIF($BA$1385:$EH$1385,"D")</f>
        <v>0</v>
      </c>
      <c r="AW1391" s="0" t="n">
        <f aca="false">COUNTIF($BA$1385:$EH$1385,"R")</f>
        <v>0</v>
      </c>
      <c r="AX1391" s="0" t="n">
        <f aca="false">IF(BN1391="D",1,0)+IF(BO1391="D",1,0)+IF(BT1391="D",1,0)+IF(BU1391="D",1,0)+IF(BW1391="D",1,0)+IF(CC1391="D",1,0)+IF(CD1391="D",1,0)+IF(CE1391="D",1,0)+IF(CF1391="D",1,0)+IF(CL1391="D",1,0)+IF(CM1391="D",1,0)+IF(CQ1391="D",1,0)+IF(CR1391="D",1,0)+IF(CS1391="D",1,0)+IF(CW1391="D",1,0)+IF(CX1391="D",1,0)+IF(DD1391="D",1,0)+IF(DE1391="D",1,0)+IF(DJ1391="D",1,0)+IF(DK1391="D",1,0)+IF(DO1391="D",1,0)+IF(DP1391="D",1,0)+IF(DQ1391="D",1,0)+IF(DW1391="D",1,0)+IF(DZ1391="D",1,0)+IF(EH1391="D",1,0)</f>
        <v>0</v>
      </c>
      <c r="AY1391" s="0" t="n">
        <f aca="false">COUNTIF(DU1391:EH1391, "&lt;&gt;")</f>
        <v>0</v>
      </c>
      <c r="AZ1391" s="0" t="n">
        <f aca="false">IF(EH1391&lt;&gt;"",1,0)</f>
        <v>0</v>
      </c>
      <c r="BB1391" s="0" t="s">
        <v>152</v>
      </c>
    </row>
    <row r="1392" customFormat="false" ht="13.8" hidden="false" customHeight="false" outlineLevel="0" collapsed="false">
      <c r="A1392" s="0" t="s">
        <v>6454</v>
      </c>
      <c r="B1392" s="0" t="n">
        <v>78</v>
      </c>
      <c r="C1392" s="0" t="n">
        <v>314594</v>
      </c>
      <c r="D1392" s="0" t="s">
        <v>2623</v>
      </c>
      <c r="E1392" s="0" t="s">
        <v>6455</v>
      </c>
      <c r="F1392" s="0" t="str">
        <f aca="false">CONCATENATE(D1392," ",LEFT(H1392,4),"T=",AU1392,"D=",AV1392,"R=",AW1392,"M=",AX1392,"L=",AY1392,"B=",AZ1392)</f>
        <v>MCMILLIAN T=1D=0R=0M=0L=2B=0</v>
      </c>
      <c r="G1392" s="0" t="s">
        <v>175</v>
      </c>
      <c r="I1392" s="0" t="s">
        <v>6456</v>
      </c>
      <c r="J1392" s="0" t="s">
        <v>3214</v>
      </c>
      <c r="K1392" s="0" t="s">
        <v>160</v>
      </c>
      <c r="M1392" s="0" t="s">
        <v>6453</v>
      </c>
      <c r="N1392" s="0" t="str">
        <f aca="false">RIGHT(M1392,LEN(M1392)-FIND(" ",M1392))</f>
        <v>LINDEN AVE NE</v>
      </c>
      <c r="P1392" s="0" t="s">
        <v>145</v>
      </c>
      <c r="Q1392" s="0" t="s">
        <v>146</v>
      </c>
      <c r="R1392" s="0" t="n">
        <v>44483</v>
      </c>
      <c r="AD1392" s="0" t="s">
        <v>147</v>
      </c>
      <c r="AE1392" s="0" t="s">
        <v>148</v>
      </c>
      <c r="AF1392" s="0" t="s">
        <v>149</v>
      </c>
      <c r="AH1392" s="0" t="n">
        <v>14</v>
      </c>
      <c r="AI1392" s="0" t="n">
        <v>11</v>
      </c>
      <c r="AN1392" s="0" t="s">
        <v>145</v>
      </c>
      <c r="AO1392" s="0" t="s">
        <v>654</v>
      </c>
      <c r="AP1392" s="0" t="s">
        <v>655</v>
      </c>
      <c r="AQ1392" s="0" t="n">
        <v>9</v>
      </c>
      <c r="AR1392" s="0" t="n">
        <v>64</v>
      </c>
      <c r="AS1392" s="0" t="n">
        <v>32</v>
      </c>
      <c r="AU1392" s="0" t="n">
        <f aca="false">COUNTA($BA$1412:$EH$1412)</f>
        <v>1</v>
      </c>
      <c r="AV1392" s="0" t="n">
        <f aca="false">COUNTIF($BA$1412:$EH$1412,"D")</f>
        <v>0</v>
      </c>
      <c r="AW1392" s="0" t="n">
        <f aca="false">COUNTIF($BA$1412:$EH$1412,"R")</f>
        <v>0</v>
      </c>
      <c r="AX1392" s="0" t="n">
        <f aca="false">IF(BN1392="D",1,0)+IF(BO1392="D",1,0)+IF(BT1392="D",1,0)+IF(BU1392="D",1,0)+IF(BW1392="D",1,0)+IF(CC1392="D",1,0)+IF(CD1392="D",1,0)+IF(CE1392="D",1,0)+IF(CF1392="D",1,0)+IF(CL1392="D",1,0)+IF(CM1392="D",1,0)+IF(CQ1392="D",1,0)+IF(CR1392="D",1,0)+IF(CS1392="D",1,0)+IF(CW1392="D",1,0)+IF(CX1392="D",1,0)+IF(DD1392="D",1,0)+IF(DE1392="D",1,0)+IF(DJ1392="D",1,0)+IF(DK1392="D",1,0)+IF(DO1392="D",1,0)+IF(DP1392="D",1,0)+IF(DQ1392="D",1,0)+IF(DW1392="D",1,0)+IF(DZ1392="D",1,0)+IF(EH1392="D",1,0)</f>
        <v>0</v>
      </c>
      <c r="AY1392" s="0" t="n">
        <f aca="false">COUNTIF(DU1392:EH1392, "&lt;&gt;")</f>
        <v>2</v>
      </c>
      <c r="AZ1392" s="0" t="n">
        <f aca="false">IF(EH1392&lt;&gt;"",1,0)</f>
        <v>0</v>
      </c>
      <c r="BB1392" s="0" t="s">
        <v>152</v>
      </c>
      <c r="BK1392" s="0" t="s">
        <v>153</v>
      </c>
      <c r="BL1392" s="0" t="s">
        <v>153</v>
      </c>
      <c r="BP1392" s="0" t="s">
        <v>153</v>
      </c>
      <c r="CK1392" s="0" t="s">
        <v>153</v>
      </c>
      <c r="CN1392" s="0" t="s">
        <v>153</v>
      </c>
      <c r="CP1392" s="0" t="s">
        <v>153</v>
      </c>
      <c r="DC1392" s="0" t="s">
        <v>153</v>
      </c>
      <c r="DI1392" s="0" t="s">
        <v>153</v>
      </c>
      <c r="DN1392" s="0" t="s">
        <v>153</v>
      </c>
      <c r="DU1392" s="0" t="s">
        <v>153</v>
      </c>
      <c r="EF1392" s="0" t="s">
        <v>153</v>
      </c>
    </row>
    <row r="1393" customFormat="false" ht="13.8" hidden="true" customHeight="false" outlineLevel="0" collapsed="false">
      <c r="A1393" s="0" t="s">
        <v>6457</v>
      </c>
      <c r="B1393" s="0" t="n">
        <v>78</v>
      </c>
      <c r="C1393" s="0" t="n">
        <v>467968</v>
      </c>
      <c r="D1393" s="0" t="s">
        <v>6458</v>
      </c>
      <c r="E1393" s="0" t="s">
        <v>6459</v>
      </c>
      <c r="F1393" s="0" t="str">
        <f aca="false">CONCATENATE(D1393," ",LEFT(H1393,4),"T=",AU1393,"D=",AV1393,"R=",AW1393,"M=",AX1393,"L=",AY1393,"B=",AZ1393)</f>
        <v>ROGERS T=1D=0R=0M=0L=0B=0</v>
      </c>
      <c r="G1393" s="0" t="s">
        <v>914</v>
      </c>
      <c r="I1393" s="0" t="s">
        <v>6460</v>
      </c>
      <c r="J1393" s="0" t="s">
        <v>6461</v>
      </c>
      <c r="K1393" s="0" t="s">
        <v>160</v>
      </c>
      <c r="M1393" s="0" t="s">
        <v>6453</v>
      </c>
      <c r="N1393" s="0" t="str">
        <f aca="false">RIGHT(M1393,LEN(M1393)-FIND(" ",M1393))</f>
        <v>LINDEN AVE NE</v>
      </c>
      <c r="P1393" s="0" t="s">
        <v>145</v>
      </c>
      <c r="Q1393" s="0" t="s">
        <v>146</v>
      </c>
      <c r="R1393" s="0" t="n">
        <v>44483</v>
      </c>
      <c r="AD1393" s="0" t="s">
        <v>147</v>
      </c>
      <c r="AE1393" s="0" t="s">
        <v>148</v>
      </c>
      <c r="AF1393" s="0" t="s">
        <v>149</v>
      </c>
      <c r="AH1393" s="0" t="n">
        <v>14</v>
      </c>
      <c r="AI1393" s="0" t="n">
        <v>11</v>
      </c>
      <c r="AN1393" s="0" t="s">
        <v>145</v>
      </c>
      <c r="AO1393" s="0" t="s">
        <v>654</v>
      </c>
      <c r="AP1393" s="0" t="s">
        <v>655</v>
      </c>
      <c r="AQ1393" s="0" t="n">
        <v>9</v>
      </c>
      <c r="AR1393" s="0" t="n">
        <v>64</v>
      </c>
      <c r="AS1393" s="0" t="n">
        <v>32</v>
      </c>
      <c r="AU1393" s="0" t="n">
        <f aca="false">COUNTA($BA$1795:$EH$1795)</f>
        <v>1</v>
      </c>
      <c r="AV1393" s="0" t="n">
        <f aca="false">COUNTIF($BA$1795:$EH$1795,"D")</f>
        <v>0</v>
      </c>
      <c r="AW1393" s="0" t="n">
        <f aca="false">COUNTIF($BA$1795:$EH$1795,"R")</f>
        <v>0</v>
      </c>
      <c r="AX1393" s="0" t="n">
        <f aca="false">IF(BN1393="D",1,0)+IF(BO1393="D",1,0)+IF(BT1393="D",1,0)+IF(BU1393="D",1,0)+IF(BW1393="D",1,0)+IF(CC1393="D",1,0)+IF(CD1393="D",1,0)+IF(CE1393="D",1,0)+IF(CF1393="D",1,0)+IF(CL1393="D",1,0)+IF(CM1393="D",1,0)+IF(CQ1393="D",1,0)+IF(CR1393="D",1,0)+IF(CS1393="D",1,0)+IF(CW1393="D",1,0)+IF(CX1393="D",1,0)+IF(DD1393="D",1,0)+IF(DE1393="D",1,0)+IF(DJ1393="D",1,0)+IF(DK1393="D",1,0)+IF(DO1393="D",1,0)+IF(DP1393="D",1,0)+IF(DQ1393="D",1,0)+IF(DW1393="D",1,0)+IF(DZ1393="D",1,0)+IF(EH1393="D",1,0)</f>
        <v>0</v>
      </c>
      <c r="AY1393" s="0" t="n">
        <f aca="false">COUNTIF(DU1393:EH1393, "&lt;&gt;")</f>
        <v>0</v>
      </c>
      <c r="AZ1393" s="0" t="n">
        <f aca="false">IF(EH1393&lt;&gt;"",1,0)</f>
        <v>0</v>
      </c>
      <c r="BB1393" s="0" t="s">
        <v>152</v>
      </c>
    </row>
    <row r="1394" customFormat="false" ht="13.8" hidden="false" customHeight="false" outlineLevel="0" collapsed="false">
      <c r="A1394" s="0" t="s">
        <v>6462</v>
      </c>
      <c r="B1394" s="0" t="n">
        <v>78</v>
      </c>
      <c r="C1394" s="0" t="n">
        <v>350695</v>
      </c>
      <c r="D1394" s="0" t="s">
        <v>3819</v>
      </c>
      <c r="E1394" s="0" t="s">
        <v>255</v>
      </c>
      <c r="F1394" s="0" t="str">
        <f aca="false">CONCATENATE(D1394," ",LEFT(H1394,4),"T=",AU1394,"D=",AV1394,"R=",AW1394,"M=",AX1394,"L=",AY1394,"B=",AZ1394)</f>
        <v>MARTIN T=6D=0R=0M=1L=6B=0</v>
      </c>
      <c r="G1394" s="0" t="s">
        <v>171</v>
      </c>
      <c r="I1394" s="0" t="s">
        <v>6463</v>
      </c>
      <c r="J1394" s="0" t="s">
        <v>3728</v>
      </c>
      <c r="K1394" s="0" t="s">
        <v>160</v>
      </c>
      <c r="L1394" s="0" t="s">
        <v>175</v>
      </c>
      <c r="M1394" s="0" t="s">
        <v>6464</v>
      </c>
      <c r="N1394" s="0" t="str">
        <f aca="false">RIGHT(M1394,LEN(M1394)-FIND(" ",M1394))</f>
        <v>LINDEN AVE SE</v>
      </c>
      <c r="P1394" s="0" t="s">
        <v>145</v>
      </c>
      <c r="Q1394" s="0" t="s">
        <v>146</v>
      </c>
      <c r="R1394" s="0" t="n">
        <v>44483</v>
      </c>
      <c r="AD1394" s="0" t="s">
        <v>147</v>
      </c>
      <c r="AE1394" s="0" t="s">
        <v>148</v>
      </c>
      <c r="AF1394" s="0" t="s">
        <v>149</v>
      </c>
      <c r="AH1394" s="0" t="n">
        <v>14</v>
      </c>
      <c r="AI1394" s="0" t="n">
        <v>11</v>
      </c>
      <c r="AN1394" s="0" t="s">
        <v>145</v>
      </c>
      <c r="AO1394" s="0" t="s">
        <v>654</v>
      </c>
      <c r="AP1394" s="0" t="s">
        <v>655</v>
      </c>
      <c r="AQ1394" s="0" t="n">
        <v>9</v>
      </c>
      <c r="AR1394" s="0" t="n">
        <v>64</v>
      </c>
      <c r="AS1394" s="0" t="n">
        <v>32</v>
      </c>
      <c r="AU1394" s="0" t="n">
        <f aca="false">COUNTA($BA$1715:$EH$1715)</f>
        <v>6</v>
      </c>
      <c r="AV1394" s="0" t="n">
        <f aca="false">COUNTIF($BA$1715:$EH$1715,"D")</f>
        <v>0</v>
      </c>
      <c r="AW1394" s="0" t="n">
        <f aca="false">COUNTIF($BA$1715:$EH$1715,"R")</f>
        <v>0</v>
      </c>
      <c r="AX1394" s="0" t="n">
        <f aca="false">IF(BN1394="D",1,0)+IF(BO1394="D",1,0)+IF(BT1394="D",1,0)+IF(BU1394="D",1,0)+IF(BW1394="D",1,0)+IF(CC1394="D",1,0)+IF(CD1394="D",1,0)+IF(CE1394="D",1,0)+IF(CF1394="D",1,0)+IF(CL1394="D",1,0)+IF(CM1394="D",1,0)+IF(CQ1394="D",1,0)+IF(CR1394="D",1,0)+IF(CS1394="D",1,0)+IF(CW1394="D",1,0)+IF(CX1394="D",1,0)+IF(DD1394="D",1,0)+IF(DE1394="D",1,0)+IF(DJ1394="D",1,0)+IF(DK1394="D",1,0)+IF(DO1394="D",1,0)+IF(DP1394="D",1,0)+IF(DQ1394="D",1,0)+IF(DW1394="D",1,0)+IF(DZ1394="D",1,0)+IF(EH1394="D",1,0)</f>
        <v>1</v>
      </c>
      <c r="AY1394" s="0" t="n">
        <f aca="false">COUNTIF(DU1394:EH1394, "&lt;&gt;")</f>
        <v>6</v>
      </c>
      <c r="AZ1394" s="0" t="n">
        <f aca="false">IF(EH1394&lt;&gt;"",1,0)</f>
        <v>0</v>
      </c>
      <c r="BB1394" s="0" t="s">
        <v>152</v>
      </c>
      <c r="CU1394" s="0" t="s">
        <v>175</v>
      </c>
      <c r="CY1394" s="0" t="s">
        <v>153</v>
      </c>
      <c r="CZ1394" s="0" t="s">
        <v>175</v>
      </c>
      <c r="DC1394" s="0" t="s">
        <v>153</v>
      </c>
      <c r="DN1394" s="0" t="s">
        <v>153</v>
      </c>
      <c r="DU1394" s="0" t="s">
        <v>153</v>
      </c>
      <c r="DW1394" s="0" t="s">
        <v>175</v>
      </c>
      <c r="DX1394" s="0" t="s">
        <v>153</v>
      </c>
      <c r="EA1394" s="0" t="s">
        <v>153</v>
      </c>
      <c r="ED1394" s="0" t="s">
        <v>175</v>
      </c>
      <c r="EF1394" s="0" t="s">
        <v>153</v>
      </c>
    </row>
    <row r="1395" customFormat="false" ht="13.8" hidden="true" customHeight="false" outlineLevel="0" collapsed="false">
      <c r="A1395" s="0" t="s">
        <v>6465</v>
      </c>
      <c r="B1395" s="0" t="n">
        <v>78</v>
      </c>
      <c r="C1395" s="0" t="n">
        <v>418548</v>
      </c>
      <c r="D1395" s="0" t="s">
        <v>6466</v>
      </c>
      <c r="E1395" s="0" t="s">
        <v>2952</v>
      </c>
      <c r="F1395" s="0" t="str">
        <f aca="false">CONCATENATE(D1395," ",LEFT(H1395,4),"T=",AU1395,"D=",AV1395,"R=",AW1395,"M=",AX1395,"L=",AY1395,"B=",AZ1395)</f>
        <v>ATKINSON T=3D=0R=0M=0L=0B=0</v>
      </c>
      <c r="G1395" s="0" t="s">
        <v>1128</v>
      </c>
      <c r="I1395" s="0" t="s">
        <v>6467</v>
      </c>
      <c r="J1395" s="0" t="s">
        <v>6468</v>
      </c>
      <c r="K1395" s="0" t="s">
        <v>143</v>
      </c>
      <c r="M1395" s="0" t="s">
        <v>6469</v>
      </c>
      <c r="N1395" s="0" t="str">
        <f aca="false">RIGHT(M1395,LEN(M1395)-FIND(" ",M1395))</f>
        <v>LINDEN AVE SE</v>
      </c>
      <c r="P1395" s="0" t="s">
        <v>145</v>
      </c>
      <c r="Q1395" s="0" t="s">
        <v>146</v>
      </c>
      <c r="R1395" s="0" t="n">
        <v>44483</v>
      </c>
      <c r="AD1395" s="0" t="s">
        <v>147</v>
      </c>
      <c r="AE1395" s="0" t="s">
        <v>148</v>
      </c>
      <c r="AF1395" s="0" t="s">
        <v>149</v>
      </c>
      <c r="AH1395" s="0" t="n">
        <v>14</v>
      </c>
      <c r="AI1395" s="0" t="n">
        <v>11</v>
      </c>
      <c r="AN1395" s="0" t="s">
        <v>145</v>
      </c>
      <c r="AO1395" s="0" t="s">
        <v>654</v>
      </c>
      <c r="AP1395" s="0" t="s">
        <v>655</v>
      </c>
      <c r="AQ1395" s="0" t="n">
        <v>9</v>
      </c>
      <c r="AR1395" s="0" t="n">
        <v>64</v>
      </c>
      <c r="AS1395" s="0" t="n">
        <v>32</v>
      </c>
      <c r="AU1395" s="0" t="n">
        <f aca="false">COUNTA($BA$1273:$EH$1273)</f>
        <v>3</v>
      </c>
      <c r="AV1395" s="0" t="n">
        <f aca="false">COUNTIF($BA$1273:$EH$1273,"D")</f>
        <v>0</v>
      </c>
      <c r="AW1395" s="0" t="n">
        <f aca="false">COUNTIF($BA$1273:$EH$1273,"R")</f>
        <v>0</v>
      </c>
      <c r="AX1395" s="0" t="n">
        <f aca="false">IF(BN1395="D",1,0)+IF(BO1395="D",1,0)+IF(BT1395="D",1,0)+IF(BU1395="D",1,0)+IF(BW1395="D",1,0)+IF(CC1395="D",1,0)+IF(CD1395="D",1,0)+IF(CE1395="D",1,0)+IF(CF1395="D",1,0)+IF(CL1395="D",1,0)+IF(CM1395="D",1,0)+IF(CQ1395="D",1,0)+IF(CR1395="D",1,0)+IF(CS1395="D",1,0)+IF(CW1395="D",1,0)+IF(CX1395="D",1,0)+IF(DD1395="D",1,0)+IF(DE1395="D",1,0)+IF(DJ1395="D",1,0)+IF(DK1395="D",1,0)+IF(DO1395="D",1,0)+IF(DP1395="D",1,0)+IF(DQ1395="D",1,0)+IF(DW1395="D",1,0)+IF(DZ1395="D",1,0)+IF(EH1395="D",1,0)</f>
        <v>0</v>
      </c>
      <c r="AY1395" s="0" t="n">
        <f aca="false">COUNTIF(DU1395:EH1395, "&lt;&gt;")</f>
        <v>0</v>
      </c>
      <c r="AZ1395" s="0" t="n">
        <f aca="false">IF(EH1395&lt;&gt;"",1,0)</f>
        <v>0</v>
      </c>
      <c r="BB1395" s="0" t="s">
        <v>152</v>
      </c>
      <c r="DC1395" s="0" t="s">
        <v>153</v>
      </c>
    </row>
    <row r="1396" customFormat="false" ht="13.8" hidden="true" customHeight="false" outlineLevel="0" collapsed="false">
      <c r="A1396" s="0" t="s">
        <v>6470</v>
      </c>
      <c r="B1396" s="0" t="n">
        <v>78</v>
      </c>
      <c r="C1396" s="0" t="n">
        <v>381005</v>
      </c>
      <c r="D1396" s="0" t="s">
        <v>6466</v>
      </c>
      <c r="E1396" s="0" t="s">
        <v>2551</v>
      </c>
      <c r="F1396" s="0" t="str">
        <f aca="false">CONCATENATE(D1396," ",LEFT(H1396,4),"T=",AU1396,"D=",AV1396,"R=",AW1396,"M=",AX1396,"L=",AY1396,"B=",AZ1396)</f>
        <v>ATKINSON T=1D=0R=0M=0L=0B=0</v>
      </c>
      <c r="G1396" s="0" t="s">
        <v>268</v>
      </c>
      <c r="I1396" s="0" t="s">
        <v>6471</v>
      </c>
      <c r="J1396" s="0" t="s">
        <v>693</v>
      </c>
      <c r="K1396" s="0" t="s">
        <v>143</v>
      </c>
      <c r="M1396" s="0" t="s">
        <v>6469</v>
      </c>
      <c r="N1396" s="0" t="str">
        <f aca="false">RIGHT(M1396,LEN(M1396)-FIND(" ",M1396))</f>
        <v>LINDEN AVE SE</v>
      </c>
      <c r="P1396" s="0" t="s">
        <v>145</v>
      </c>
      <c r="Q1396" s="0" t="s">
        <v>146</v>
      </c>
      <c r="R1396" s="0" t="n">
        <v>44483</v>
      </c>
      <c r="AD1396" s="0" t="s">
        <v>147</v>
      </c>
      <c r="AE1396" s="0" t="s">
        <v>148</v>
      </c>
      <c r="AF1396" s="0" t="s">
        <v>149</v>
      </c>
      <c r="AH1396" s="0" t="n">
        <v>14</v>
      </c>
      <c r="AI1396" s="0" t="n">
        <v>11</v>
      </c>
      <c r="AN1396" s="0" t="s">
        <v>145</v>
      </c>
      <c r="AO1396" s="0" t="s">
        <v>654</v>
      </c>
      <c r="AP1396" s="0" t="s">
        <v>655</v>
      </c>
      <c r="AQ1396" s="0" t="n">
        <v>9</v>
      </c>
      <c r="AR1396" s="0" t="n">
        <v>64</v>
      </c>
      <c r="AS1396" s="0" t="n">
        <v>32</v>
      </c>
      <c r="AU1396" s="0" t="n">
        <f aca="false">COUNTA($BA$1520:$EH$1520)</f>
        <v>1</v>
      </c>
      <c r="AV1396" s="0" t="n">
        <f aca="false">COUNTIF($BA$1520:$EH$1520,"D")</f>
        <v>0</v>
      </c>
      <c r="AW1396" s="0" t="n">
        <f aca="false">COUNTIF($BA$1520:$EH$1520,"R")</f>
        <v>0</v>
      </c>
      <c r="AX1396" s="0" t="n">
        <f aca="false">IF(BN1396="D",1,0)+IF(BO1396="D",1,0)+IF(BT1396="D",1,0)+IF(BU1396="D",1,0)+IF(BW1396="D",1,0)+IF(CC1396="D",1,0)+IF(CD1396="D",1,0)+IF(CE1396="D",1,0)+IF(CF1396="D",1,0)+IF(CL1396="D",1,0)+IF(CM1396="D",1,0)+IF(CQ1396="D",1,0)+IF(CR1396="D",1,0)+IF(CS1396="D",1,0)+IF(CW1396="D",1,0)+IF(CX1396="D",1,0)+IF(DD1396="D",1,0)+IF(DE1396="D",1,0)+IF(DJ1396="D",1,0)+IF(DK1396="D",1,0)+IF(DO1396="D",1,0)+IF(DP1396="D",1,0)+IF(DQ1396="D",1,0)+IF(DW1396="D",1,0)+IF(DZ1396="D",1,0)+IF(EH1396="D",1,0)</f>
        <v>0</v>
      </c>
      <c r="AY1396" s="0" t="n">
        <f aca="false">COUNTIF(DU1396:EH1396, "&lt;&gt;")</f>
        <v>0</v>
      </c>
      <c r="AZ1396" s="0" t="n">
        <f aca="false">IF(EH1396&lt;&gt;"",1,0)</f>
        <v>0</v>
      </c>
      <c r="BB1396" s="0" t="s">
        <v>152</v>
      </c>
    </row>
    <row r="1397" customFormat="false" ht="13.8" hidden="false" customHeight="false" outlineLevel="0" collapsed="false">
      <c r="A1397" s="0" t="s">
        <v>6472</v>
      </c>
      <c r="B1397" s="0" t="n">
        <v>78</v>
      </c>
      <c r="C1397" s="0" t="n">
        <v>426769</v>
      </c>
      <c r="D1397" s="0" t="s">
        <v>215</v>
      </c>
      <c r="E1397" s="0" t="s">
        <v>6473</v>
      </c>
      <c r="F1397" s="0" t="str">
        <f aca="false">CONCATENATE(D1397," ",LEFT(H1397,4),"T=",AU1397,"D=",AV1397,"R=",AW1397,"M=",AX1397,"L=",AY1397,"B=",AZ1397)</f>
        <v>LEE T=3D=0R=0M=0L=2B=1</v>
      </c>
      <c r="G1397" s="0" t="s">
        <v>6474</v>
      </c>
      <c r="I1397" s="0" t="s">
        <v>3447</v>
      </c>
      <c r="J1397" s="0" t="s">
        <v>4591</v>
      </c>
      <c r="K1397" s="0" t="s">
        <v>160</v>
      </c>
      <c r="M1397" s="0" t="s">
        <v>6475</v>
      </c>
      <c r="N1397" s="0" t="str">
        <f aca="false">RIGHT(M1397,LEN(M1397)-FIND(" ",M1397))</f>
        <v>LINDEN AVE SE</v>
      </c>
      <c r="P1397" s="0" t="s">
        <v>145</v>
      </c>
      <c r="Q1397" s="0" t="s">
        <v>146</v>
      </c>
      <c r="R1397" s="0" t="n">
        <v>44483</v>
      </c>
      <c r="AD1397" s="0" t="s">
        <v>147</v>
      </c>
      <c r="AE1397" s="0" t="s">
        <v>148</v>
      </c>
      <c r="AF1397" s="0" t="s">
        <v>149</v>
      </c>
      <c r="AH1397" s="0" t="n">
        <v>14</v>
      </c>
      <c r="AI1397" s="0" t="n">
        <v>11</v>
      </c>
      <c r="AN1397" s="0" t="s">
        <v>145</v>
      </c>
      <c r="AO1397" s="0" t="s">
        <v>654</v>
      </c>
      <c r="AP1397" s="0" t="s">
        <v>655</v>
      </c>
      <c r="AQ1397" s="0" t="n">
        <v>9</v>
      </c>
      <c r="AR1397" s="0" t="n">
        <v>64</v>
      </c>
      <c r="AS1397" s="0" t="n">
        <v>32</v>
      </c>
      <c r="AU1397" s="0" t="n">
        <f aca="false">COUNTA($BA$1664:$EH$1664)</f>
        <v>3</v>
      </c>
      <c r="AV1397" s="0" t="n">
        <f aca="false">COUNTIF($BA$1664:$EH$1664,"D")</f>
        <v>0</v>
      </c>
      <c r="AW1397" s="0" t="n">
        <f aca="false">COUNTIF($BA$1664:$EH$1664,"R")</f>
        <v>0</v>
      </c>
      <c r="AX1397" s="0" t="n">
        <f aca="false">IF(BN1397="D",1,0)+IF(BO1397="D",1,0)+IF(BT1397="D",1,0)+IF(BU1397="D",1,0)+IF(BW1397="D",1,0)+IF(CC1397="D",1,0)+IF(CD1397="D",1,0)+IF(CE1397="D",1,0)+IF(CF1397="D",1,0)+IF(CL1397="D",1,0)+IF(CM1397="D",1,0)+IF(CQ1397="D",1,0)+IF(CR1397="D",1,0)+IF(CS1397="D",1,0)+IF(CW1397="D",1,0)+IF(CX1397="D",1,0)+IF(DD1397="D",1,0)+IF(DE1397="D",1,0)+IF(DJ1397="D",1,0)+IF(DK1397="D",1,0)+IF(DO1397="D",1,0)+IF(DP1397="D",1,0)+IF(DQ1397="D",1,0)+IF(DW1397="D",1,0)+IF(DZ1397="D",1,0)+IF(EH1397="D",1,0)</f>
        <v>0</v>
      </c>
      <c r="AY1397" s="0" t="n">
        <f aca="false">COUNTIF(DU1397:EH1397, "&lt;&gt;")</f>
        <v>2</v>
      </c>
      <c r="AZ1397" s="0" t="n">
        <f aca="false">IF(EH1397&lt;&gt;"",1,0)</f>
        <v>1</v>
      </c>
      <c r="BB1397" s="0" t="s">
        <v>152</v>
      </c>
      <c r="DN1397" s="0" t="s">
        <v>153</v>
      </c>
      <c r="EF1397" s="0" t="s">
        <v>153</v>
      </c>
      <c r="EH1397" s="0" t="s">
        <v>153</v>
      </c>
    </row>
    <row r="1398" customFormat="false" ht="13.8" hidden="false" customHeight="false" outlineLevel="0" collapsed="false">
      <c r="A1398" s="0" t="s">
        <v>6476</v>
      </c>
      <c r="B1398" s="0" t="n">
        <v>78</v>
      </c>
      <c r="C1398" s="0" t="n">
        <v>295375</v>
      </c>
      <c r="D1398" s="0" t="s">
        <v>6474</v>
      </c>
      <c r="E1398" s="0" t="s">
        <v>6477</v>
      </c>
      <c r="F1398" s="0" t="str">
        <f aca="false">CONCATENATE(D1398," ",LEFT(H1398,4),"T=",AU1398,"D=",AV1398,"R=",AW1398,"M=",AX1398,"L=",AY1398,"B=",AZ1398)</f>
        <v>FASULO T=9D=1R=1M=2L=7B=1</v>
      </c>
      <c r="G1398" s="0" t="s">
        <v>325</v>
      </c>
      <c r="I1398" s="0" t="s">
        <v>6478</v>
      </c>
      <c r="J1398" s="0" t="s">
        <v>6479</v>
      </c>
      <c r="K1398" s="0" t="s">
        <v>160</v>
      </c>
      <c r="L1398" s="0" t="s">
        <v>175</v>
      </c>
      <c r="M1398" s="0" t="s">
        <v>6475</v>
      </c>
      <c r="N1398" s="0" t="str">
        <f aca="false">RIGHT(M1398,LEN(M1398)-FIND(" ",M1398))</f>
        <v>LINDEN AVE SE</v>
      </c>
      <c r="P1398" s="0" t="s">
        <v>145</v>
      </c>
      <c r="Q1398" s="0" t="s">
        <v>146</v>
      </c>
      <c r="R1398" s="0" t="n">
        <v>44483</v>
      </c>
      <c r="AD1398" s="0" t="s">
        <v>147</v>
      </c>
      <c r="AE1398" s="0" t="s">
        <v>148</v>
      </c>
      <c r="AF1398" s="0" t="s">
        <v>149</v>
      </c>
      <c r="AH1398" s="0" t="n">
        <v>14</v>
      </c>
      <c r="AI1398" s="0" t="n">
        <v>11</v>
      </c>
      <c r="AN1398" s="0" t="s">
        <v>145</v>
      </c>
      <c r="AO1398" s="0" t="s">
        <v>654</v>
      </c>
      <c r="AP1398" s="0" t="s">
        <v>655</v>
      </c>
      <c r="AQ1398" s="0" t="n">
        <v>9</v>
      </c>
      <c r="AR1398" s="0" t="n">
        <v>64</v>
      </c>
      <c r="AS1398" s="0" t="n">
        <v>32</v>
      </c>
      <c r="AU1398" s="0" t="n">
        <f aca="false">COUNTA($BA$1676:$EH$1676)</f>
        <v>9</v>
      </c>
      <c r="AV1398" s="0" t="n">
        <f aca="false">COUNTIF($BA$1676:$EH$1676,"D")</f>
        <v>1</v>
      </c>
      <c r="AW1398" s="0" t="n">
        <f aca="false">COUNTIF($BA$1676:$EH$1676,"R")</f>
        <v>1</v>
      </c>
      <c r="AX1398" s="0" t="n">
        <f aca="false">IF(BN1398="D",1,0)+IF(BO1398="D",1,0)+IF(BT1398="D",1,0)+IF(BU1398="D",1,0)+IF(BW1398="D",1,0)+IF(CC1398="D",1,0)+IF(CD1398="D",1,0)+IF(CE1398="D",1,0)+IF(CF1398="D",1,0)+IF(CL1398="D",1,0)+IF(CM1398="D",1,0)+IF(CQ1398="D",1,0)+IF(CR1398="D",1,0)+IF(CS1398="D",1,0)+IF(CW1398="D",1,0)+IF(CX1398="D",1,0)+IF(DD1398="D",1,0)+IF(DE1398="D",1,0)+IF(DJ1398="D",1,0)+IF(DK1398="D",1,0)+IF(DO1398="D",1,0)+IF(DP1398="D",1,0)+IF(DQ1398="D",1,0)+IF(DW1398="D",1,0)+IF(DZ1398="D",1,0)+IF(EH1398="D",1,0)</f>
        <v>2</v>
      </c>
      <c r="AY1398" s="0" t="n">
        <f aca="false">COUNTIF(DU1398:EH1398, "&lt;&gt;")</f>
        <v>7</v>
      </c>
      <c r="AZ1398" s="0" t="n">
        <f aca="false">IF(EH1398&lt;&gt;"",1,0)</f>
        <v>1</v>
      </c>
      <c r="BB1398" s="0" t="s">
        <v>152</v>
      </c>
      <c r="BD1398" s="0" t="s">
        <v>153</v>
      </c>
      <c r="BE1398" s="0" t="s">
        <v>153</v>
      </c>
      <c r="BH1398" s="0" t="s">
        <v>153</v>
      </c>
      <c r="BJ1398" s="0" t="s">
        <v>153</v>
      </c>
      <c r="BK1398" s="0" t="s">
        <v>153</v>
      </c>
      <c r="BL1398" s="0" t="s">
        <v>153</v>
      </c>
      <c r="BR1398" s="0" t="s">
        <v>153</v>
      </c>
      <c r="BS1398" s="0" t="s">
        <v>153</v>
      </c>
      <c r="BY1398" s="0" t="s">
        <v>175</v>
      </c>
      <c r="CA1398" s="0" t="s">
        <v>153</v>
      </c>
      <c r="CG1398" s="0" t="s">
        <v>153</v>
      </c>
      <c r="CH1398" s="0" t="s">
        <v>175</v>
      </c>
      <c r="CK1398" s="0" t="s">
        <v>153</v>
      </c>
      <c r="CN1398" s="0" t="s">
        <v>153</v>
      </c>
      <c r="CP1398" s="0" t="s">
        <v>153</v>
      </c>
      <c r="CU1398" s="0" t="s">
        <v>175</v>
      </c>
      <c r="CV1398" s="0" t="s">
        <v>153</v>
      </c>
      <c r="CY1398" s="0" t="s">
        <v>153</v>
      </c>
      <c r="CZ1398" s="0" t="s">
        <v>175</v>
      </c>
      <c r="DC1398" s="0" t="s">
        <v>153</v>
      </c>
      <c r="DI1398" s="0" t="s">
        <v>153</v>
      </c>
      <c r="DN1398" s="0" t="s">
        <v>153</v>
      </c>
      <c r="DS1398" s="0" t="s">
        <v>175</v>
      </c>
      <c r="DT1398" s="0" t="s">
        <v>175</v>
      </c>
      <c r="DU1398" s="0" t="s">
        <v>153</v>
      </c>
      <c r="DW1398" s="0" t="s">
        <v>175</v>
      </c>
      <c r="DX1398" s="0" t="s">
        <v>153</v>
      </c>
      <c r="EA1398" s="0" t="s">
        <v>153</v>
      </c>
      <c r="ED1398" s="0" t="s">
        <v>175</v>
      </c>
      <c r="EF1398" s="0" t="s">
        <v>153</v>
      </c>
      <c r="EH1398" s="0" t="s">
        <v>175</v>
      </c>
    </row>
    <row r="1399" customFormat="false" ht="13.8" hidden="true" customHeight="false" outlineLevel="0" collapsed="false">
      <c r="A1399" s="0" t="s">
        <v>6480</v>
      </c>
      <c r="B1399" s="0" t="n">
        <v>78</v>
      </c>
      <c r="C1399" s="0" t="n">
        <v>477961</v>
      </c>
      <c r="D1399" s="0" t="s">
        <v>6481</v>
      </c>
      <c r="E1399" s="0" t="s">
        <v>2049</v>
      </c>
      <c r="F1399" s="0" t="str">
        <f aca="false">CONCATENATE(D1399," ",LEFT(H1399,4),"T=",AU1399,"D=",AV1399,"R=",AW1399,"M=",AX1399,"L=",AY1399,"B=",AZ1399)</f>
        <v>JARVIS IIT=2D=0R=0M=0L=0B=0</v>
      </c>
      <c r="G1399" s="0" t="s">
        <v>170</v>
      </c>
      <c r="H1399" s="0" t="s">
        <v>476</v>
      </c>
      <c r="I1399" s="0" t="s">
        <v>6482</v>
      </c>
      <c r="J1399" s="0" t="s">
        <v>6483</v>
      </c>
      <c r="K1399" s="0" t="s">
        <v>160</v>
      </c>
      <c r="M1399" s="0" t="s">
        <v>6484</v>
      </c>
      <c r="N1399" s="0" t="str">
        <f aca="false">RIGHT(M1399,LEN(M1399)-FIND(" ",M1399))</f>
        <v>LINDEN AVE SE</v>
      </c>
      <c r="P1399" s="0" t="s">
        <v>145</v>
      </c>
      <c r="Q1399" s="0" t="s">
        <v>146</v>
      </c>
      <c r="R1399" s="0" t="n">
        <v>44483</v>
      </c>
      <c r="AD1399" s="0" t="s">
        <v>147</v>
      </c>
      <c r="AE1399" s="0" t="s">
        <v>148</v>
      </c>
      <c r="AF1399" s="0" t="s">
        <v>149</v>
      </c>
      <c r="AH1399" s="0" t="n">
        <v>14</v>
      </c>
      <c r="AI1399" s="0" t="n">
        <v>11</v>
      </c>
      <c r="AN1399" s="0" t="s">
        <v>145</v>
      </c>
      <c r="AO1399" s="0" t="s">
        <v>654</v>
      </c>
      <c r="AP1399" s="0" t="s">
        <v>655</v>
      </c>
      <c r="AQ1399" s="0" t="n">
        <v>9</v>
      </c>
      <c r="AR1399" s="0" t="n">
        <v>64</v>
      </c>
      <c r="AS1399" s="0" t="n">
        <v>32</v>
      </c>
      <c r="AU1399" s="0" t="n">
        <f aca="false">COUNTA($BA$1468:$EH$1468)</f>
        <v>2</v>
      </c>
      <c r="AV1399" s="0" t="n">
        <f aca="false">COUNTIF($BA$1468:$EH$1468,"D")</f>
        <v>0</v>
      </c>
      <c r="AW1399" s="0" t="n">
        <f aca="false">COUNTIF($BA$1468:$EH$1468,"R")</f>
        <v>0</v>
      </c>
      <c r="AX1399" s="0" t="n">
        <f aca="false">IF(BN1399="D",1,0)+IF(BO1399="D",1,0)+IF(BT1399="D",1,0)+IF(BU1399="D",1,0)+IF(BW1399="D",1,0)+IF(CC1399="D",1,0)+IF(CD1399="D",1,0)+IF(CE1399="D",1,0)+IF(CF1399="D",1,0)+IF(CL1399="D",1,0)+IF(CM1399="D",1,0)+IF(CQ1399="D",1,0)+IF(CR1399="D",1,0)+IF(CS1399="D",1,0)+IF(CW1399="D",1,0)+IF(CX1399="D",1,0)+IF(DD1399="D",1,0)+IF(DE1399="D",1,0)+IF(DJ1399="D",1,0)+IF(DK1399="D",1,0)+IF(DO1399="D",1,0)+IF(DP1399="D",1,0)+IF(DQ1399="D",1,0)+IF(DW1399="D",1,0)+IF(DZ1399="D",1,0)+IF(EH1399="D",1,0)</f>
        <v>0</v>
      </c>
      <c r="AY1399" s="0" t="n">
        <f aca="false">COUNTIF(DU1399:EH1399, "&lt;&gt;")</f>
        <v>0</v>
      </c>
      <c r="AZ1399" s="0" t="n">
        <f aca="false">IF(EH1399&lt;&gt;"",1,0)</f>
        <v>0</v>
      </c>
      <c r="BB1399" s="0" t="s">
        <v>152</v>
      </c>
    </row>
    <row r="1400" customFormat="false" ht="13.8" hidden="true" customHeight="false" outlineLevel="0" collapsed="false">
      <c r="A1400" s="0" t="s">
        <v>6485</v>
      </c>
      <c r="B1400" s="0" t="n">
        <v>78</v>
      </c>
      <c r="C1400" s="0" t="n">
        <v>490334</v>
      </c>
      <c r="D1400" s="0" t="s">
        <v>2100</v>
      </c>
      <c r="E1400" s="0" t="s">
        <v>6486</v>
      </c>
      <c r="F1400" s="0" t="str">
        <f aca="false">CONCATENATE(D1400," ",LEFT(H1400,4),"T=",AU1400,"D=",AV1400,"R=",AW1400,"M=",AX1400,"L=",AY1400,"B=",AZ1400)</f>
        <v>OGLETREE T=32D=8R=0M=0L=1B=0</v>
      </c>
      <c r="G1400" s="0" t="s">
        <v>307</v>
      </c>
      <c r="I1400" s="0" t="s">
        <v>6487</v>
      </c>
      <c r="J1400" s="0" t="s">
        <v>6488</v>
      </c>
      <c r="K1400" s="0" t="s">
        <v>160</v>
      </c>
      <c r="M1400" s="0" t="s">
        <v>6489</v>
      </c>
      <c r="N1400" s="0" t="str">
        <f aca="false">RIGHT(M1400,LEN(M1400)-FIND(" ",M1400))</f>
        <v>LINDEN AVE SE</v>
      </c>
      <c r="P1400" s="0" t="s">
        <v>145</v>
      </c>
      <c r="Q1400" s="0" t="s">
        <v>146</v>
      </c>
      <c r="R1400" s="0" t="n">
        <v>44483</v>
      </c>
      <c r="AD1400" s="0" t="s">
        <v>147</v>
      </c>
      <c r="AE1400" s="0" t="s">
        <v>148</v>
      </c>
      <c r="AF1400" s="0" t="s">
        <v>149</v>
      </c>
      <c r="AH1400" s="0" t="n">
        <v>14</v>
      </c>
      <c r="AI1400" s="0" t="n">
        <v>11</v>
      </c>
      <c r="AN1400" s="0" t="s">
        <v>145</v>
      </c>
      <c r="AO1400" s="0" t="s">
        <v>654</v>
      </c>
      <c r="AP1400" s="0" t="s">
        <v>655</v>
      </c>
      <c r="AQ1400" s="0" t="n">
        <v>9</v>
      </c>
      <c r="AR1400" s="0" t="n">
        <v>64</v>
      </c>
      <c r="AS1400" s="0" t="n">
        <v>32</v>
      </c>
      <c r="AU1400" s="0" t="n">
        <f aca="false">COUNTA($BA$1575:$EH$1575)</f>
        <v>32</v>
      </c>
      <c r="AV1400" s="0" t="n">
        <f aca="false">COUNTIF($BA$1575:$EH$1575,"D")</f>
        <v>8</v>
      </c>
      <c r="AW1400" s="0" t="n">
        <f aca="false">COUNTIF($BA$1575:$EH$1575,"R")</f>
        <v>0</v>
      </c>
      <c r="AX1400" s="0" t="n">
        <f aca="false">IF(BN1400="D",1,0)+IF(BO1400="D",1,0)+IF(BT1400="D",1,0)+IF(BU1400="D",1,0)+IF(BW1400="D",1,0)+IF(CC1400="D",1,0)+IF(CD1400="D",1,0)+IF(CE1400="D",1,0)+IF(CF1400="D",1,0)+IF(CL1400="D",1,0)+IF(CM1400="D",1,0)+IF(CQ1400="D",1,0)+IF(CR1400="D",1,0)+IF(CS1400="D",1,0)+IF(CW1400="D",1,0)+IF(CX1400="D",1,0)+IF(DD1400="D",1,0)+IF(DE1400="D",1,0)+IF(DJ1400="D",1,0)+IF(DK1400="D",1,0)+IF(DO1400="D",1,0)+IF(DP1400="D",1,0)+IF(DQ1400="D",1,0)+IF(DW1400="D",1,0)+IF(DZ1400="D",1,0)+IF(EH1400="D",1,0)</f>
        <v>0</v>
      </c>
      <c r="AY1400" s="0" t="n">
        <f aca="false">COUNTIF(DU1400:EH1400, "&lt;&gt;")</f>
        <v>1</v>
      </c>
      <c r="AZ1400" s="0" t="n">
        <f aca="false">IF(EH1400&lt;&gt;"",1,0)</f>
        <v>0</v>
      </c>
      <c r="BB1400" s="0" t="s">
        <v>152</v>
      </c>
      <c r="EF1400" s="0" t="s">
        <v>153</v>
      </c>
    </row>
    <row r="1401" customFormat="false" ht="13.8" hidden="true" customHeight="false" outlineLevel="0" collapsed="false">
      <c r="A1401" s="0" t="s">
        <v>6490</v>
      </c>
      <c r="B1401" s="0" t="n">
        <v>78</v>
      </c>
      <c r="C1401" s="0" t="n">
        <v>422884</v>
      </c>
      <c r="D1401" s="0" t="s">
        <v>6491</v>
      </c>
      <c r="E1401" s="0" t="s">
        <v>6492</v>
      </c>
      <c r="F1401" s="0" t="str">
        <f aca="false">CONCATENATE(D1401," ",LEFT(H1401,4),"T=",AU1401,"D=",AV1401,"R=",AW1401,"M=",AX1401,"L=",AY1401,"B=",AZ1401)</f>
        <v>MORRIS T=2D=1R=0M=0L=1B=0</v>
      </c>
      <c r="G1401" s="0" t="s">
        <v>255</v>
      </c>
      <c r="I1401" s="0" t="s">
        <v>6493</v>
      </c>
      <c r="J1401" s="0" t="s">
        <v>6494</v>
      </c>
      <c r="K1401" s="0" t="s">
        <v>160</v>
      </c>
      <c r="M1401" s="0" t="s">
        <v>6489</v>
      </c>
      <c r="N1401" s="0" t="str">
        <f aca="false">RIGHT(M1401,LEN(M1401)-FIND(" ",M1401))</f>
        <v>LINDEN AVE SE</v>
      </c>
      <c r="P1401" s="0" t="s">
        <v>145</v>
      </c>
      <c r="Q1401" s="0" t="s">
        <v>146</v>
      </c>
      <c r="R1401" s="0" t="n">
        <v>44483</v>
      </c>
      <c r="AD1401" s="0" t="s">
        <v>147</v>
      </c>
      <c r="AE1401" s="0" t="s">
        <v>148</v>
      </c>
      <c r="AF1401" s="0" t="s">
        <v>149</v>
      </c>
      <c r="AH1401" s="0" t="n">
        <v>14</v>
      </c>
      <c r="AI1401" s="0" t="n">
        <v>11</v>
      </c>
      <c r="AN1401" s="0" t="s">
        <v>145</v>
      </c>
      <c r="AO1401" s="0" t="s">
        <v>654</v>
      </c>
      <c r="AP1401" s="0" t="s">
        <v>655</v>
      </c>
      <c r="AQ1401" s="0" t="n">
        <v>9</v>
      </c>
      <c r="AR1401" s="0" t="n">
        <v>64</v>
      </c>
      <c r="AS1401" s="0" t="n">
        <v>32</v>
      </c>
      <c r="AU1401" s="0" t="n">
        <f aca="false">COUNTA($BA$1712:$EH$1712)</f>
        <v>2</v>
      </c>
      <c r="AV1401" s="0" t="n">
        <f aca="false">COUNTIF($BA$1712:$EH$1712,"D")</f>
        <v>1</v>
      </c>
      <c r="AW1401" s="0" t="n">
        <f aca="false">COUNTIF($BA$1712:$EH$1712,"R")</f>
        <v>0</v>
      </c>
      <c r="AX1401" s="0" t="n">
        <f aca="false">IF(BN1401="D",1,0)+IF(BO1401="D",1,0)+IF(BT1401="D",1,0)+IF(BU1401="D",1,0)+IF(BW1401="D",1,0)+IF(CC1401="D",1,0)+IF(CD1401="D",1,0)+IF(CE1401="D",1,0)+IF(CF1401="D",1,0)+IF(CL1401="D",1,0)+IF(CM1401="D",1,0)+IF(CQ1401="D",1,0)+IF(CR1401="D",1,0)+IF(CS1401="D",1,0)+IF(CW1401="D",1,0)+IF(CX1401="D",1,0)+IF(DD1401="D",1,0)+IF(DE1401="D",1,0)+IF(DJ1401="D",1,0)+IF(DK1401="D",1,0)+IF(DO1401="D",1,0)+IF(DP1401="D",1,0)+IF(DQ1401="D",1,0)+IF(DW1401="D",1,0)+IF(DZ1401="D",1,0)+IF(EH1401="D",1,0)</f>
        <v>0</v>
      </c>
      <c r="AY1401" s="0" t="n">
        <f aca="false">COUNTIF(DU1401:EH1401, "&lt;&gt;")</f>
        <v>1</v>
      </c>
      <c r="AZ1401" s="0" t="n">
        <f aca="false">IF(EH1401&lt;&gt;"",1,0)</f>
        <v>0</v>
      </c>
      <c r="BB1401" s="0" t="s">
        <v>152</v>
      </c>
      <c r="BL1401" s="0" t="s">
        <v>153</v>
      </c>
      <c r="BY1401" s="0" t="s">
        <v>175</v>
      </c>
      <c r="CA1401" s="0" t="s">
        <v>153</v>
      </c>
      <c r="CG1401" s="0" t="s">
        <v>153</v>
      </c>
      <c r="CK1401" s="0" t="s">
        <v>153</v>
      </c>
      <c r="CP1401" s="0" t="s">
        <v>153</v>
      </c>
      <c r="CV1401" s="0" t="s">
        <v>153</v>
      </c>
      <c r="CY1401" s="0" t="s">
        <v>153</v>
      </c>
      <c r="CZ1401" s="0" t="s">
        <v>175</v>
      </c>
      <c r="DC1401" s="0" t="s">
        <v>153</v>
      </c>
      <c r="DL1401" s="0" t="s">
        <v>153</v>
      </c>
      <c r="DN1401" s="0" t="s">
        <v>153</v>
      </c>
      <c r="DX1401" s="0" t="s">
        <v>153</v>
      </c>
    </row>
    <row r="1402" customFormat="false" ht="13.8" hidden="true" customHeight="false" outlineLevel="0" collapsed="false">
      <c r="A1402" s="0" t="s">
        <v>6495</v>
      </c>
      <c r="B1402" s="0" t="n">
        <v>78</v>
      </c>
      <c r="C1402" s="0" t="n">
        <v>366868</v>
      </c>
      <c r="D1402" s="0" t="s">
        <v>6496</v>
      </c>
      <c r="E1402" s="0" t="s">
        <v>6497</v>
      </c>
      <c r="F1402" s="0" t="str">
        <f aca="false">CONCATENATE(D1402," ",LEFT(H1402,4),"T=",AU1402,"D=",AV1402,"R=",AW1402,"M=",AX1402,"L=",AY1402,"B=",AZ1402)</f>
        <v>ROEBUCK T=14D=1R=0M=1L=0B=0</v>
      </c>
      <c r="G1402" s="0" t="s">
        <v>164</v>
      </c>
      <c r="I1402" s="0" t="s">
        <v>2715</v>
      </c>
      <c r="J1402" s="0" t="s">
        <v>1641</v>
      </c>
      <c r="K1402" s="0" t="s">
        <v>160</v>
      </c>
      <c r="M1402" s="0" t="s">
        <v>6498</v>
      </c>
      <c r="N1402" s="0" t="str">
        <f aca="false">RIGHT(M1402,LEN(M1402)-FIND(" ",M1402))</f>
        <v>LINDEN AVE SE</v>
      </c>
      <c r="P1402" s="0" t="s">
        <v>145</v>
      </c>
      <c r="Q1402" s="0" t="s">
        <v>146</v>
      </c>
      <c r="R1402" s="0" t="n">
        <v>44483</v>
      </c>
      <c r="AD1402" s="0" t="s">
        <v>147</v>
      </c>
      <c r="AE1402" s="0" t="s">
        <v>148</v>
      </c>
      <c r="AF1402" s="0" t="s">
        <v>149</v>
      </c>
      <c r="AH1402" s="0" t="n">
        <v>14</v>
      </c>
      <c r="AI1402" s="0" t="n">
        <v>11</v>
      </c>
      <c r="AN1402" s="0" t="s">
        <v>145</v>
      </c>
      <c r="AO1402" s="0" t="s">
        <v>654</v>
      </c>
      <c r="AP1402" s="0" t="s">
        <v>655</v>
      </c>
      <c r="AQ1402" s="0" t="n">
        <v>9</v>
      </c>
      <c r="AR1402" s="0" t="n">
        <v>64</v>
      </c>
      <c r="AS1402" s="0" t="n">
        <v>32</v>
      </c>
      <c r="AU1402" s="0" t="n">
        <f aca="false">COUNTA($BA$1875:$EH$1875)</f>
        <v>14</v>
      </c>
      <c r="AV1402" s="0" t="n">
        <f aca="false">COUNTIF($BA$1875:$EH$1875,"D")</f>
        <v>1</v>
      </c>
      <c r="AW1402" s="0" t="n">
        <f aca="false">COUNTIF($BA$1875:$EH$1875,"R")</f>
        <v>0</v>
      </c>
      <c r="AX1402" s="0" t="n">
        <f aca="false">IF(BN1402="D",1,0)+IF(BO1402="D",1,0)+IF(BT1402="D",1,0)+IF(BU1402="D",1,0)+IF(BW1402="D",1,0)+IF(CC1402="D",1,0)+IF(CD1402="D",1,0)+IF(CE1402="D",1,0)+IF(CF1402="D",1,0)+IF(CL1402="D",1,0)+IF(CM1402="D",1,0)+IF(CQ1402="D",1,0)+IF(CR1402="D",1,0)+IF(CS1402="D",1,0)+IF(CW1402="D",1,0)+IF(CX1402="D",1,0)+IF(DD1402="D",1,0)+IF(DE1402="D",1,0)+IF(DJ1402="D",1,0)+IF(DK1402="D",1,0)+IF(DO1402="D",1,0)+IF(DP1402="D",1,0)+IF(DQ1402="D",1,0)+IF(DW1402="D",1,0)+IF(DZ1402="D",1,0)+IF(EH1402="D",1,0)</f>
        <v>1</v>
      </c>
      <c r="AY1402" s="0" t="n">
        <f aca="false">COUNTIF(DU1402:EH1402, "&lt;&gt;")</f>
        <v>0</v>
      </c>
      <c r="AZ1402" s="0" t="n">
        <f aca="false">IF(EH1402&lt;&gt;"",1,0)</f>
        <v>0</v>
      </c>
      <c r="BB1402" s="0" t="s">
        <v>152</v>
      </c>
      <c r="CW1402" s="0" t="s">
        <v>175</v>
      </c>
    </row>
    <row r="1403" customFormat="false" ht="13.8" hidden="true" customHeight="false" outlineLevel="0" collapsed="false">
      <c r="A1403" s="0" t="s">
        <v>6499</v>
      </c>
      <c r="B1403" s="0" t="n">
        <v>78</v>
      </c>
      <c r="C1403" s="0" t="n">
        <v>380366</v>
      </c>
      <c r="D1403" s="0" t="s">
        <v>6500</v>
      </c>
      <c r="E1403" s="0" t="s">
        <v>6501</v>
      </c>
      <c r="F1403" s="0" t="str">
        <f aca="false">CONCATENATE(D1403," ",LEFT(H1403,4),"T=",AU1403,"D=",AV1403,"R=",AW1403,"M=",AX1403,"L=",AY1403,"B=",AZ1403)</f>
        <v>DAHL T=30D=13R=0M=0L=0B=0</v>
      </c>
      <c r="G1403" s="0" t="s">
        <v>164</v>
      </c>
      <c r="I1403" s="0" t="s">
        <v>6502</v>
      </c>
      <c r="J1403" s="0" t="s">
        <v>3678</v>
      </c>
      <c r="K1403" s="0" t="s">
        <v>143</v>
      </c>
      <c r="M1403" s="0" t="s">
        <v>6503</v>
      </c>
      <c r="N1403" s="0" t="str">
        <f aca="false">RIGHT(M1403,LEN(M1403)-FIND(" ",M1403))</f>
        <v>LINDEN AVE SE</v>
      </c>
      <c r="P1403" s="0" t="s">
        <v>145</v>
      </c>
      <c r="Q1403" s="0" t="s">
        <v>146</v>
      </c>
      <c r="R1403" s="0" t="n">
        <v>44483</v>
      </c>
      <c r="AD1403" s="0" t="s">
        <v>147</v>
      </c>
      <c r="AE1403" s="0" t="s">
        <v>148</v>
      </c>
      <c r="AF1403" s="0" t="s">
        <v>149</v>
      </c>
      <c r="AH1403" s="0" t="n">
        <v>14</v>
      </c>
      <c r="AI1403" s="0" t="n">
        <v>11</v>
      </c>
      <c r="AN1403" s="0" t="s">
        <v>145</v>
      </c>
      <c r="AO1403" s="0" t="s">
        <v>654</v>
      </c>
      <c r="AP1403" s="0" t="s">
        <v>655</v>
      </c>
      <c r="AQ1403" s="0" t="n">
        <v>9</v>
      </c>
      <c r="AR1403" s="0" t="n">
        <v>64</v>
      </c>
      <c r="AS1403" s="0" t="n">
        <v>32</v>
      </c>
      <c r="AU1403" s="0" t="n">
        <f aca="false">COUNTA($BA$1612:$EH$1612)</f>
        <v>30</v>
      </c>
      <c r="AV1403" s="0" t="n">
        <f aca="false">COUNTIF($BA$1612:$EH$1612,"D")</f>
        <v>13</v>
      </c>
      <c r="AW1403" s="0" t="n">
        <f aca="false">COUNTIF($BA$1612:$EH$1612,"R")</f>
        <v>0</v>
      </c>
      <c r="AX1403" s="0" t="n">
        <f aca="false">IF(BN1403="D",1,0)+IF(BO1403="D",1,0)+IF(BT1403="D",1,0)+IF(BU1403="D",1,0)+IF(BW1403="D",1,0)+IF(CC1403="D",1,0)+IF(CD1403="D",1,0)+IF(CE1403="D",1,0)+IF(CF1403="D",1,0)+IF(CL1403="D",1,0)+IF(CM1403="D",1,0)+IF(CQ1403="D",1,0)+IF(CR1403="D",1,0)+IF(CS1403="D",1,0)+IF(CW1403="D",1,0)+IF(CX1403="D",1,0)+IF(DD1403="D",1,0)+IF(DE1403="D",1,0)+IF(DJ1403="D",1,0)+IF(DK1403="D",1,0)+IF(DO1403="D",1,0)+IF(DP1403="D",1,0)+IF(DQ1403="D",1,0)+IF(DW1403="D",1,0)+IF(DZ1403="D",1,0)+IF(EH1403="D",1,0)</f>
        <v>0</v>
      </c>
      <c r="AY1403" s="0" t="n">
        <f aca="false">COUNTIF(DU1403:EH1403, "&lt;&gt;")</f>
        <v>0</v>
      </c>
      <c r="AZ1403" s="0" t="n">
        <f aca="false">IF(EH1403&lt;&gt;"",1,0)</f>
        <v>0</v>
      </c>
      <c r="BB1403" s="0" t="s">
        <v>152</v>
      </c>
      <c r="CP1403" s="0" t="s">
        <v>153</v>
      </c>
    </row>
    <row r="1404" customFormat="false" ht="13.8" hidden="true" customHeight="false" outlineLevel="0" collapsed="false">
      <c r="A1404" s="0" t="s">
        <v>6504</v>
      </c>
      <c r="B1404" s="0" t="n">
        <v>78</v>
      </c>
      <c r="C1404" s="0" t="n">
        <v>431557</v>
      </c>
      <c r="D1404" s="0" t="s">
        <v>6505</v>
      </c>
      <c r="E1404" s="0" t="s">
        <v>6286</v>
      </c>
      <c r="F1404" s="0" t="str">
        <f aca="false">CONCATENATE(D1404," ",LEFT(H1404,4),"T=",AU1404,"D=",AV1404,"R=",AW1404,"M=",AX1404,"L=",AY1404,"B=",AZ1404)</f>
        <v>MOBLEY T=1D=0R=0M=0L=0B=0</v>
      </c>
      <c r="G1404" s="0" t="s">
        <v>6287</v>
      </c>
      <c r="I1404" s="0" t="s">
        <v>6506</v>
      </c>
      <c r="J1404" s="0" t="s">
        <v>6507</v>
      </c>
      <c r="K1404" s="0" t="s">
        <v>143</v>
      </c>
      <c r="M1404" s="0" t="s">
        <v>6508</v>
      </c>
      <c r="N1404" s="0" t="str">
        <f aca="false">RIGHT(M1404,LEN(M1404)-FIND(" ",M1404))</f>
        <v>LINDEN AVE SE</v>
      </c>
      <c r="P1404" s="0" t="s">
        <v>145</v>
      </c>
      <c r="Q1404" s="0" t="s">
        <v>146</v>
      </c>
      <c r="R1404" s="0" t="n">
        <v>44483</v>
      </c>
      <c r="AD1404" s="0" t="s">
        <v>147</v>
      </c>
      <c r="AE1404" s="0" t="s">
        <v>148</v>
      </c>
      <c r="AF1404" s="0" t="s">
        <v>149</v>
      </c>
      <c r="AH1404" s="0" t="n">
        <v>14</v>
      </c>
      <c r="AI1404" s="0" t="n">
        <v>11</v>
      </c>
      <c r="AN1404" s="0" t="s">
        <v>145</v>
      </c>
      <c r="AO1404" s="0" t="s">
        <v>654</v>
      </c>
      <c r="AP1404" s="0" t="s">
        <v>655</v>
      </c>
      <c r="AQ1404" s="0" t="n">
        <v>9</v>
      </c>
      <c r="AR1404" s="0" t="n">
        <v>64</v>
      </c>
      <c r="AS1404" s="0" t="n">
        <v>32</v>
      </c>
      <c r="AU1404" s="0" t="n">
        <f aca="false">COUNTA($BA$1203:$EH$1203)</f>
        <v>1</v>
      </c>
      <c r="AV1404" s="0" t="n">
        <f aca="false">COUNTIF($BA$1203:$EH$1203,"D")</f>
        <v>0</v>
      </c>
      <c r="AW1404" s="0" t="n">
        <f aca="false">COUNTIF($BA$1203:$EH$1203,"R")</f>
        <v>0</v>
      </c>
      <c r="AX1404" s="0" t="n">
        <f aca="false">IF(BN1404="D",1,0)+IF(BO1404="D",1,0)+IF(BT1404="D",1,0)+IF(BU1404="D",1,0)+IF(BW1404="D",1,0)+IF(CC1404="D",1,0)+IF(CD1404="D",1,0)+IF(CE1404="D",1,0)+IF(CF1404="D",1,0)+IF(CL1404="D",1,0)+IF(CM1404="D",1,0)+IF(CQ1404="D",1,0)+IF(CR1404="D",1,0)+IF(CS1404="D",1,0)+IF(CW1404="D",1,0)+IF(CX1404="D",1,0)+IF(DD1404="D",1,0)+IF(DE1404="D",1,0)+IF(DJ1404="D",1,0)+IF(DK1404="D",1,0)+IF(DO1404="D",1,0)+IF(DP1404="D",1,0)+IF(DQ1404="D",1,0)+IF(DW1404="D",1,0)+IF(DZ1404="D",1,0)+IF(EH1404="D",1,0)</f>
        <v>0</v>
      </c>
      <c r="AY1404" s="0" t="n">
        <f aca="false">COUNTIF(DU1404:EH1404, "&lt;&gt;")</f>
        <v>0</v>
      </c>
      <c r="AZ1404" s="0" t="n">
        <f aca="false">IF(EH1404&lt;&gt;"",1,0)</f>
        <v>0</v>
      </c>
      <c r="BB1404" s="0" t="s">
        <v>152</v>
      </c>
    </row>
    <row r="1405" customFormat="false" ht="13.8" hidden="true" customHeight="false" outlineLevel="0" collapsed="false">
      <c r="A1405" s="0" t="s">
        <v>6509</v>
      </c>
      <c r="B1405" s="0" t="n">
        <v>78</v>
      </c>
      <c r="C1405" s="0" t="n">
        <v>370024</v>
      </c>
      <c r="D1405" s="0" t="s">
        <v>6510</v>
      </c>
      <c r="E1405" s="0" t="s">
        <v>4308</v>
      </c>
      <c r="F1405" s="0" t="str">
        <f aca="false">CONCATENATE(D1405," ",LEFT(H1405,4),"T=",AU1405,"D=",AV1405,"R=",AW1405,"M=",AX1405,"L=",AY1405,"B=",AZ1405)</f>
        <v>HARTMAN T=10D=2R=0M=0L=0B=0</v>
      </c>
      <c r="G1405" s="0" t="s">
        <v>190</v>
      </c>
      <c r="I1405" s="0" t="s">
        <v>6511</v>
      </c>
      <c r="J1405" s="0" t="s">
        <v>386</v>
      </c>
      <c r="K1405" s="0" t="s">
        <v>160</v>
      </c>
      <c r="M1405" s="0" t="s">
        <v>6512</v>
      </c>
      <c r="N1405" s="0" t="str">
        <f aca="false">RIGHT(M1405,LEN(M1405)-FIND(" ",M1405))</f>
        <v>LINDEN AVE SE</v>
      </c>
      <c r="P1405" s="0" t="s">
        <v>145</v>
      </c>
      <c r="Q1405" s="0" t="s">
        <v>146</v>
      </c>
      <c r="R1405" s="0" t="n">
        <v>44483</v>
      </c>
      <c r="AD1405" s="0" t="s">
        <v>147</v>
      </c>
      <c r="AE1405" s="0" t="s">
        <v>148</v>
      </c>
      <c r="AF1405" s="0" t="s">
        <v>149</v>
      </c>
      <c r="AH1405" s="0" t="n">
        <v>14</v>
      </c>
      <c r="AI1405" s="0" t="n">
        <v>11</v>
      </c>
      <c r="AN1405" s="0" t="s">
        <v>145</v>
      </c>
      <c r="AO1405" s="0" t="s">
        <v>654</v>
      </c>
      <c r="AP1405" s="0" t="s">
        <v>655</v>
      </c>
      <c r="AQ1405" s="0" t="n">
        <v>9</v>
      </c>
      <c r="AR1405" s="0" t="n">
        <v>64</v>
      </c>
      <c r="AS1405" s="0" t="n">
        <v>32</v>
      </c>
      <c r="AU1405" s="0" t="n">
        <f aca="false">COUNTA($BA$1183:$EH$1183)</f>
        <v>10</v>
      </c>
      <c r="AV1405" s="0" t="n">
        <f aca="false">COUNTIF($BA$1183:$EH$1183,"D")</f>
        <v>2</v>
      </c>
      <c r="AW1405" s="0" t="n">
        <f aca="false">COUNTIF($BA$1183:$EH$1183,"R")</f>
        <v>0</v>
      </c>
      <c r="AX1405" s="0" t="n">
        <f aca="false">IF(BN1405="D",1,0)+IF(BO1405="D",1,0)+IF(BT1405="D",1,0)+IF(BU1405="D",1,0)+IF(BW1405="D",1,0)+IF(CC1405="D",1,0)+IF(CD1405="D",1,0)+IF(CE1405="D",1,0)+IF(CF1405="D",1,0)+IF(CL1405="D",1,0)+IF(CM1405="D",1,0)+IF(CQ1405="D",1,0)+IF(CR1405="D",1,0)+IF(CS1405="D",1,0)+IF(CW1405="D",1,0)+IF(CX1405="D",1,0)+IF(DD1405="D",1,0)+IF(DE1405="D",1,0)+IF(DJ1405="D",1,0)+IF(DK1405="D",1,0)+IF(DO1405="D",1,0)+IF(DP1405="D",1,0)+IF(DQ1405="D",1,0)+IF(DW1405="D",1,0)+IF(DZ1405="D",1,0)+IF(EH1405="D",1,0)</f>
        <v>0</v>
      </c>
      <c r="AY1405" s="0" t="n">
        <f aca="false">COUNTIF(DU1405:EH1405, "&lt;&gt;")</f>
        <v>0</v>
      </c>
      <c r="AZ1405" s="0" t="n">
        <f aca="false">IF(EH1405&lt;&gt;"",1,0)</f>
        <v>0</v>
      </c>
      <c r="BB1405" s="0" t="s">
        <v>152</v>
      </c>
    </row>
    <row r="1406" customFormat="false" ht="13.8" hidden="true" customHeight="false" outlineLevel="0" collapsed="false">
      <c r="A1406" s="0" t="s">
        <v>6513</v>
      </c>
      <c r="B1406" s="0" t="n">
        <v>78</v>
      </c>
      <c r="C1406" s="0" t="n">
        <v>324049</v>
      </c>
      <c r="D1406" s="0" t="s">
        <v>6514</v>
      </c>
      <c r="E1406" s="0" t="s">
        <v>517</v>
      </c>
      <c r="F1406" s="0" t="str">
        <f aca="false">CONCATENATE(D1406," ",LEFT(H1406,4),"T=",AU1406,"D=",AV1406,"R=",AW1406,"M=",AX1406,"L=",AY1406,"B=",AZ1406)</f>
        <v>BAYLEY T=3D=0R=0M=0L=0B=0</v>
      </c>
      <c r="I1406" s="0" t="s">
        <v>6515</v>
      </c>
      <c r="J1406" s="0" t="s">
        <v>386</v>
      </c>
      <c r="K1406" s="0" t="s">
        <v>160</v>
      </c>
      <c r="M1406" s="0" t="s">
        <v>6512</v>
      </c>
      <c r="N1406" s="0" t="str">
        <f aca="false">RIGHT(M1406,LEN(M1406)-FIND(" ",M1406))</f>
        <v>LINDEN AVE SE</v>
      </c>
      <c r="P1406" s="0" t="s">
        <v>145</v>
      </c>
      <c r="Q1406" s="0" t="s">
        <v>146</v>
      </c>
      <c r="R1406" s="0" t="n">
        <v>44483</v>
      </c>
      <c r="AD1406" s="0" t="s">
        <v>147</v>
      </c>
      <c r="AE1406" s="0" t="s">
        <v>148</v>
      </c>
      <c r="AF1406" s="0" t="s">
        <v>149</v>
      </c>
      <c r="AH1406" s="0" t="n">
        <v>14</v>
      </c>
      <c r="AI1406" s="0" t="n">
        <v>11</v>
      </c>
      <c r="AN1406" s="0" t="s">
        <v>145</v>
      </c>
      <c r="AO1406" s="0" t="s">
        <v>654</v>
      </c>
      <c r="AP1406" s="0" t="s">
        <v>655</v>
      </c>
      <c r="AQ1406" s="0" t="n">
        <v>9</v>
      </c>
      <c r="AR1406" s="0" t="n">
        <v>64</v>
      </c>
      <c r="AS1406" s="0" t="n">
        <v>32</v>
      </c>
      <c r="AU1406" s="0" t="n">
        <f aca="false">COUNTA($BA$1212:$EH$1212)</f>
        <v>3</v>
      </c>
      <c r="AV1406" s="0" t="n">
        <f aca="false">COUNTIF($BA$1212:$EH$1212,"D")</f>
        <v>0</v>
      </c>
      <c r="AW1406" s="0" t="n">
        <f aca="false">COUNTIF($BA$1212:$EH$1212,"R")</f>
        <v>0</v>
      </c>
      <c r="AX1406" s="0" t="n">
        <f aca="false">IF(BN1406="D",1,0)+IF(BO1406="D",1,0)+IF(BT1406="D",1,0)+IF(BU1406="D",1,0)+IF(BW1406="D",1,0)+IF(CC1406="D",1,0)+IF(CD1406="D",1,0)+IF(CE1406="D",1,0)+IF(CF1406="D",1,0)+IF(CL1406="D",1,0)+IF(CM1406="D",1,0)+IF(CQ1406="D",1,0)+IF(CR1406="D",1,0)+IF(CS1406="D",1,0)+IF(CW1406="D",1,0)+IF(CX1406="D",1,0)+IF(DD1406="D",1,0)+IF(DE1406="D",1,0)+IF(DJ1406="D",1,0)+IF(DK1406="D",1,0)+IF(DO1406="D",1,0)+IF(DP1406="D",1,0)+IF(DQ1406="D",1,0)+IF(DW1406="D",1,0)+IF(DZ1406="D",1,0)+IF(EH1406="D",1,0)</f>
        <v>0</v>
      </c>
      <c r="AY1406" s="0" t="n">
        <f aca="false">COUNTIF(DU1406:EH1406, "&lt;&gt;")</f>
        <v>0</v>
      </c>
      <c r="AZ1406" s="0" t="n">
        <f aca="false">IF(EH1406&lt;&gt;"",1,0)</f>
        <v>0</v>
      </c>
      <c r="BB1406" s="0" t="s">
        <v>152</v>
      </c>
      <c r="BL1406" s="0" t="s">
        <v>153</v>
      </c>
      <c r="BY1406" s="0" t="s">
        <v>175</v>
      </c>
    </row>
    <row r="1407" customFormat="false" ht="13.8" hidden="false" customHeight="false" outlineLevel="0" collapsed="false">
      <c r="A1407" s="0" t="s">
        <v>6516</v>
      </c>
      <c r="B1407" s="0" t="n">
        <v>78</v>
      </c>
      <c r="C1407" s="0" t="n">
        <v>80660</v>
      </c>
      <c r="D1407" s="0" t="s">
        <v>6285</v>
      </c>
      <c r="E1407" s="0" t="s">
        <v>379</v>
      </c>
      <c r="F1407" s="0" t="str">
        <f aca="false">CONCATENATE(D1407," ",LEFT(H1407,4),"T=",AU1407,"D=",AV1407,"R=",AW1407,"M=",AX1407,"L=",AY1407,"B=",AZ1407)</f>
        <v>SLOAN T=3D=0R=0M=1L=3B=0</v>
      </c>
      <c r="G1407" s="0" t="s">
        <v>190</v>
      </c>
      <c r="I1407" s="0" t="s">
        <v>6517</v>
      </c>
      <c r="J1407" s="0" t="s">
        <v>688</v>
      </c>
      <c r="K1407" s="0" t="s">
        <v>160</v>
      </c>
      <c r="M1407" s="0" t="s">
        <v>6518</v>
      </c>
      <c r="N1407" s="0" t="str">
        <f aca="false">RIGHT(M1407,LEN(M1407)-FIND(" ",M1407))</f>
        <v>LINDEN AVE SE</v>
      </c>
      <c r="P1407" s="0" t="s">
        <v>145</v>
      </c>
      <c r="Q1407" s="0" t="s">
        <v>146</v>
      </c>
      <c r="R1407" s="0" t="n">
        <v>44483</v>
      </c>
      <c r="AD1407" s="0" t="s">
        <v>147</v>
      </c>
      <c r="AE1407" s="0" t="s">
        <v>148</v>
      </c>
      <c r="AF1407" s="0" t="s">
        <v>149</v>
      </c>
      <c r="AH1407" s="0" t="n">
        <v>14</v>
      </c>
      <c r="AI1407" s="0" t="n">
        <v>11</v>
      </c>
      <c r="AN1407" s="0" t="s">
        <v>145</v>
      </c>
      <c r="AO1407" s="0" t="s">
        <v>654</v>
      </c>
      <c r="AP1407" s="0" t="s">
        <v>655</v>
      </c>
      <c r="AQ1407" s="0" t="n">
        <v>9</v>
      </c>
      <c r="AR1407" s="0" t="n">
        <v>64</v>
      </c>
      <c r="AS1407" s="0" t="n">
        <v>32</v>
      </c>
      <c r="AU1407" s="0" t="n">
        <f aca="false">COUNTA($BA$1677:$EH$1677)</f>
        <v>3</v>
      </c>
      <c r="AV1407" s="0" t="n">
        <f aca="false">COUNTIF($BA$1677:$EH$1677,"D")</f>
        <v>0</v>
      </c>
      <c r="AW1407" s="0" t="n">
        <f aca="false">COUNTIF($BA$1677:$EH$1677,"R")</f>
        <v>0</v>
      </c>
      <c r="AX1407" s="0" t="n">
        <f aca="false">IF(BN1407="D",1,0)+IF(BO1407="D",1,0)+IF(BT1407="D",1,0)+IF(BU1407="D",1,0)+IF(BW1407="D",1,0)+IF(CC1407="D",1,0)+IF(CD1407="D",1,0)+IF(CE1407="D",1,0)+IF(CF1407="D",1,0)+IF(CL1407="D",1,0)+IF(CM1407="D",1,0)+IF(CQ1407="D",1,0)+IF(CR1407="D",1,0)+IF(CS1407="D",1,0)+IF(CW1407="D",1,0)+IF(CX1407="D",1,0)+IF(DD1407="D",1,0)+IF(DE1407="D",1,0)+IF(DJ1407="D",1,0)+IF(DK1407="D",1,0)+IF(DO1407="D",1,0)+IF(DP1407="D",1,0)+IF(DQ1407="D",1,0)+IF(DW1407="D",1,0)+IF(DZ1407="D",1,0)+IF(EH1407="D",1,0)</f>
        <v>1</v>
      </c>
      <c r="AY1407" s="0" t="n">
        <f aca="false">COUNTIF(DU1407:EH1407, "&lt;&gt;")</f>
        <v>3</v>
      </c>
      <c r="AZ1407" s="0" t="n">
        <f aca="false">IF(EH1407&lt;&gt;"",1,0)</f>
        <v>0</v>
      </c>
      <c r="BB1407" s="0" t="s">
        <v>152</v>
      </c>
      <c r="BC1407" s="0" t="s">
        <v>153</v>
      </c>
      <c r="BD1407" s="0" t="s">
        <v>153</v>
      </c>
      <c r="BE1407" s="0" t="s">
        <v>153</v>
      </c>
      <c r="BG1407" s="0" t="s">
        <v>153</v>
      </c>
      <c r="BH1407" s="0" t="s">
        <v>153</v>
      </c>
      <c r="BI1407" s="0" t="s">
        <v>153</v>
      </c>
      <c r="BJ1407" s="0" t="s">
        <v>153</v>
      </c>
      <c r="BK1407" s="0" t="s">
        <v>153</v>
      </c>
      <c r="BL1407" s="0" t="s">
        <v>153</v>
      </c>
      <c r="BP1407" s="0" t="s">
        <v>153</v>
      </c>
      <c r="BR1407" s="0" t="s">
        <v>153</v>
      </c>
      <c r="BS1407" s="0" t="s">
        <v>153</v>
      </c>
      <c r="BY1407" s="0" t="s">
        <v>175</v>
      </c>
      <c r="CA1407" s="0" t="s">
        <v>153</v>
      </c>
      <c r="CG1407" s="0" t="s">
        <v>153</v>
      </c>
      <c r="CH1407" s="0" t="s">
        <v>175</v>
      </c>
      <c r="CK1407" s="0" t="s">
        <v>153</v>
      </c>
      <c r="CL1407" s="0" t="s">
        <v>175</v>
      </c>
      <c r="CN1407" s="0" t="s">
        <v>153</v>
      </c>
      <c r="CP1407" s="0" t="s">
        <v>153</v>
      </c>
      <c r="CV1407" s="0" t="s">
        <v>153</v>
      </c>
      <c r="CY1407" s="0" t="s">
        <v>153</v>
      </c>
      <c r="CZ1407" s="0" t="s">
        <v>209</v>
      </c>
      <c r="DC1407" s="0" t="s">
        <v>153</v>
      </c>
      <c r="DG1407" s="0" t="s">
        <v>175</v>
      </c>
      <c r="DI1407" s="0" t="s">
        <v>153</v>
      </c>
      <c r="DL1407" s="0" t="s">
        <v>153</v>
      </c>
      <c r="DN1407" s="0" t="s">
        <v>153</v>
      </c>
      <c r="DU1407" s="0" t="s">
        <v>153</v>
      </c>
      <c r="EA1407" s="0" t="s">
        <v>153</v>
      </c>
      <c r="EF1407" s="0" t="s">
        <v>153</v>
      </c>
    </row>
    <row r="1408" customFormat="false" ht="13.8" hidden="false" customHeight="false" outlineLevel="0" collapsed="false">
      <c r="A1408" s="0" t="s">
        <v>6519</v>
      </c>
      <c r="B1408" s="0" t="n">
        <v>78</v>
      </c>
      <c r="C1408" s="0" t="n">
        <v>261659</v>
      </c>
      <c r="D1408" s="0" t="s">
        <v>6285</v>
      </c>
      <c r="E1408" s="0" t="s">
        <v>818</v>
      </c>
      <c r="F1408" s="0" t="str">
        <f aca="false">CONCATENATE(D1408," ",LEFT(H1408,4),"T=",AU1408,"D=",AV1408,"R=",AW1408,"M=",AX1408,"L=",AY1408,"B=",AZ1408)</f>
        <v>SLOAN T=6D=0R=0M=3L=7B=1</v>
      </c>
      <c r="G1408" s="0" t="s">
        <v>3809</v>
      </c>
      <c r="I1408" s="0" t="s">
        <v>6520</v>
      </c>
      <c r="J1408" s="0" t="s">
        <v>2245</v>
      </c>
      <c r="K1408" s="0" t="s">
        <v>160</v>
      </c>
      <c r="L1408" s="0" t="s">
        <v>175</v>
      </c>
      <c r="M1408" s="0" t="s">
        <v>6518</v>
      </c>
      <c r="N1408" s="0" t="str">
        <f aca="false">RIGHT(M1408,LEN(M1408)-FIND(" ",M1408))</f>
        <v>LINDEN AVE SE</v>
      </c>
      <c r="P1408" s="0" t="s">
        <v>145</v>
      </c>
      <c r="Q1408" s="0" t="s">
        <v>146</v>
      </c>
      <c r="R1408" s="0" t="n">
        <v>44483</v>
      </c>
      <c r="AD1408" s="0" t="s">
        <v>147</v>
      </c>
      <c r="AE1408" s="0" t="s">
        <v>148</v>
      </c>
      <c r="AF1408" s="0" t="s">
        <v>149</v>
      </c>
      <c r="AH1408" s="0" t="n">
        <v>14</v>
      </c>
      <c r="AI1408" s="0" t="n">
        <v>11</v>
      </c>
      <c r="AN1408" s="0" t="s">
        <v>145</v>
      </c>
      <c r="AO1408" s="0" t="s">
        <v>654</v>
      </c>
      <c r="AP1408" s="0" t="s">
        <v>655</v>
      </c>
      <c r="AQ1408" s="0" t="n">
        <v>9</v>
      </c>
      <c r="AR1408" s="0" t="n">
        <v>64</v>
      </c>
      <c r="AS1408" s="0" t="n">
        <v>32</v>
      </c>
      <c r="AU1408" s="0" t="n">
        <f aca="false">COUNTA($BA$1684:$EH$1684)</f>
        <v>6</v>
      </c>
      <c r="AV1408" s="0" t="n">
        <f aca="false">COUNTIF($BA$1684:$EH$1684,"D")</f>
        <v>0</v>
      </c>
      <c r="AW1408" s="0" t="n">
        <f aca="false">COUNTIF($BA$1684:$EH$1684,"R")</f>
        <v>0</v>
      </c>
      <c r="AX1408" s="0" t="n">
        <f aca="false">IF(BN1408="D",1,0)+IF(BO1408="D",1,0)+IF(BT1408="D",1,0)+IF(BU1408="D",1,0)+IF(BW1408="D",1,0)+IF(CC1408="D",1,0)+IF(CD1408="D",1,0)+IF(CE1408="D",1,0)+IF(CF1408="D",1,0)+IF(CL1408="D",1,0)+IF(CM1408="D",1,0)+IF(CQ1408="D",1,0)+IF(CR1408="D",1,0)+IF(CS1408="D",1,0)+IF(CW1408="D",1,0)+IF(CX1408="D",1,0)+IF(DD1408="D",1,0)+IF(DE1408="D",1,0)+IF(DJ1408="D",1,0)+IF(DK1408="D",1,0)+IF(DO1408="D",1,0)+IF(DP1408="D",1,0)+IF(DQ1408="D",1,0)+IF(DW1408="D",1,0)+IF(DZ1408="D",1,0)+IF(EH1408="D",1,0)</f>
        <v>3</v>
      </c>
      <c r="AY1408" s="0" t="n">
        <f aca="false">COUNTIF(DU1408:EH1408, "&lt;&gt;")</f>
        <v>7</v>
      </c>
      <c r="AZ1408" s="0" t="n">
        <f aca="false">IF(EH1408&lt;&gt;"",1,0)</f>
        <v>1</v>
      </c>
      <c r="BB1408" s="0" t="s">
        <v>152</v>
      </c>
      <c r="BC1408" s="0" t="s">
        <v>153</v>
      </c>
      <c r="BE1408" s="0" t="s">
        <v>153</v>
      </c>
      <c r="BF1408" s="0" t="s">
        <v>153</v>
      </c>
      <c r="BJ1408" s="0" t="s">
        <v>153</v>
      </c>
      <c r="BL1408" s="0" t="s">
        <v>153</v>
      </c>
      <c r="BP1408" s="0" t="s">
        <v>153</v>
      </c>
      <c r="BR1408" s="0" t="s">
        <v>153</v>
      </c>
      <c r="BS1408" s="0" t="s">
        <v>153</v>
      </c>
      <c r="BV1408" s="0" t="s">
        <v>153</v>
      </c>
      <c r="BY1408" s="0" t="s">
        <v>175</v>
      </c>
      <c r="CA1408" s="0" t="s">
        <v>153</v>
      </c>
      <c r="CG1408" s="0" t="s">
        <v>153</v>
      </c>
      <c r="CK1408" s="0" t="s">
        <v>153</v>
      </c>
      <c r="CL1408" s="0" t="s">
        <v>175</v>
      </c>
      <c r="CN1408" s="0" t="s">
        <v>153</v>
      </c>
      <c r="CO1408" s="0" t="s">
        <v>175</v>
      </c>
      <c r="CP1408" s="0" t="s">
        <v>153</v>
      </c>
      <c r="CV1408" s="0" t="s">
        <v>153</v>
      </c>
      <c r="CY1408" s="0" t="s">
        <v>153</v>
      </c>
      <c r="CZ1408" s="0" t="s">
        <v>175</v>
      </c>
      <c r="DC1408" s="0" t="s">
        <v>153</v>
      </c>
      <c r="DG1408" s="0" t="s">
        <v>175</v>
      </c>
      <c r="DI1408" s="0" t="s">
        <v>153</v>
      </c>
      <c r="DM1408" s="0" t="s">
        <v>175</v>
      </c>
      <c r="DN1408" s="0" t="s">
        <v>153</v>
      </c>
      <c r="DT1408" s="0" t="s">
        <v>175</v>
      </c>
      <c r="DU1408" s="0" t="s">
        <v>153</v>
      </c>
      <c r="DW1408" s="0" t="s">
        <v>175</v>
      </c>
      <c r="DX1408" s="0" t="s">
        <v>153</v>
      </c>
      <c r="EA1408" s="0" t="s">
        <v>153</v>
      </c>
      <c r="ED1408" s="0" t="s">
        <v>175</v>
      </c>
      <c r="EF1408" s="0" t="s">
        <v>153</v>
      </c>
      <c r="EH1408" s="0" t="s">
        <v>175</v>
      </c>
    </row>
    <row r="1409" customFormat="false" ht="13.8" hidden="true" customHeight="false" outlineLevel="0" collapsed="false">
      <c r="A1409" s="0" t="s">
        <v>6521</v>
      </c>
      <c r="B1409" s="0" t="n">
        <v>78</v>
      </c>
      <c r="C1409" s="0" t="n">
        <v>488827</v>
      </c>
      <c r="D1409" s="0" t="s">
        <v>6522</v>
      </c>
      <c r="E1409" s="0" t="s">
        <v>633</v>
      </c>
      <c r="F1409" s="0" t="str">
        <f aca="false">CONCATENATE(D1409," ",LEFT(H1409,4),"T=",AU1409,"D=",AV1409,"R=",AW1409,"M=",AX1409,"L=",AY1409,"B=",AZ1409)</f>
        <v>HUEY T=2D=0R=0M=0L=0B=0</v>
      </c>
      <c r="G1409" s="0" t="s">
        <v>1867</v>
      </c>
      <c r="I1409" s="0" t="s">
        <v>6523</v>
      </c>
      <c r="J1409" s="0" t="s">
        <v>1859</v>
      </c>
      <c r="K1409" s="0" t="s">
        <v>160</v>
      </c>
      <c r="M1409" s="0" t="s">
        <v>6524</v>
      </c>
      <c r="N1409" s="0" t="str">
        <f aca="false">RIGHT(M1409,LEN(M1409)-FIND(" ",M1409))</f>
        <v>LINDEN AVE SE</v>
      </c>
      <c r="P1409" s="0" t="s">
        <v>145</v>
      </c>
      <c r="Q1409" s="0" t="s">
        <v>146</v>
      </c>
      <c r="R1409" s="0" t="n">
        <v>44483</v>
      </c>
      <c r="AD1409" s="0" t="s">
        <v>147</v>
      </c>
      <c r="AE1409" s="0" t="s">
        <v>148</v>
      </c>
      <c r="AF1409" s="0" t="s">
        <v>149</v>
      </c>
      <c r="AH1409" s="0" t="n">
        <v>14</v>
      </c>
      <c r="AI1409" s="0" t="n">
        <v>11</v>
      </c>
      <c r="AN1409" s="0" t="s">
        <v>145</v>
      </c>
      <c r="AO1409" s="0" t="s">
        <v>654</v>
      </c>
      <c r="AP1409" s="0" t="s">
        <v>655</v>
      </c>
      <c r="AQ1409" s="0" t="n">
        <v>9</v>
      </c>
      <c r="AR1409" s="0" t="n">
        <v>64</v>
      </c>
      <c r="AS1409" s="0" t="n">
        <v>32</v>
      </c>
      <c r="AU1409" s="0" t="n">
        <f aca="false">COUNTA($BA$1656:$EH$1656)</f>
        <v>2</v>
      </c>
      <c r="AV1409" s="0" t="n">
        <f aca="false">COUNTIF($BA$1656:$EH$1656,"D")</f>
        <v>0</v>
      </c>
      <c r="AW1409" s="0" t="n">
        <f aca="false">COUNTIF($BA$1656:$EH$1656,"R")</f>
        <v>0</v>
      </c>
      <c r="AX1409" s="0" t="n">
        <f aca="false">IF(BN1409="D",1,0)+IF(BO1409="D",1,0)+IF(BT1409="D",1,0)+IF(BU1409="D",1,0)+IF(BW1409="D",1,0)+IF(CC1409="D",1,0)+IF(CD1409="D",1,0)+IF(CE1409="D",1,0)+IF(CF1409="D",1,0)+IF(CL1409="D",1,0)+IF(CM1409="D",1,0)+IF(CQ1409="D",1,0)+IF(CR1409="D",1,0)+IF(CS1409="D",1,0)+IF(CW1409="D",1,0)+IF(CX1409="D",1,0)+IF(DD1409="D",1,0)+IF(DE1409="D",1,0)+IF(DJ1409="D",1,0)+IF(DK1409="D",1,0)+IF(DO1409="D",1,0)+IF(DP1409="D",1,0)+IF(DQ1409="D",1,0)+IF(DW1409="D",1,0)+IF(DZ1409="D",1,0)+IF(EH1409="D",1,0)</f>
        <v>0</v>
      </c>
      <c r="AY1409" s="0" t="n">
        <f aca="false">COUNTIF(DU1409:EH1409, "&lt;&gt;")</f>
        <v>0</v>
      </c>
      <c r="AZ1409" s="0" t="n">
        <f aca="false">IF(EH1409&lt;&gt;"",1,0)</f>
        <v>0</v>
      </c>
      <c r="BB1409" s="0" t="s">
        <v>152</v>
      </c>
    </row>
    <row r="1410" customFormat="false" ht="13.8" hidden="true" customHeight="false" outlineLevel="0" collapsed="false">
      <c r="A1410" s="0" t="s">
        <v>6525</v>
      </c>
      <c r="B1410" s="0" t="n">
        <v>78</v>
      </c>
      <c r="C1410" s="0" t="n">
        <v>417210</v>
      </c>
      <c r="D1410" s="0" t="s">
        <v>6526</v>
      </c>
      <c r="E1410" s="0" t="s">
        <v>447</v>
      </c>
      <c r="F1410" s="0" t="str">
        <f aca="false">CONCATENATE(D1410," ",LEFT(H1410,4),"T=",AU1410,"D=",AV1410,"R=",AW1410,"M=",AX1410,"L=",AY1410,"B=",AZ1410)</f>
        <v>LAMB T=1D=0R=0M=0L=0B=0</v>
      </c>
      <c r="G1410" s="0" t="s">
        <v>670</v>
      </c>
      <c r="I1410" s="0" t="s">
        <v>6527</v>
      </c>
      <c r="J1410" s="0" t="s">
        <v>4548</v>
      </c>
      <c r="K1410" s="0" t="s">
        <v>143</v>
      </c>
      <c r="M1410" s="0" t="s">
        <v>6524</v>
      </c>
      <c r="N1410" s="0" t="str">
        <f aca="false">RIGHT(M1410,LEN(M1410)-FIND(" ",M1410))</f>
        <v>LINDEN AVE SE</v>
      </c>
      <c r="P1410" s="0" t="s">
        <v>145</v>
      </c>
      <c r="Q1410" s="0" t="s">
        <v>146</v>
      </c>
      <c r="R1410" s="0" t="n">
        <v>44483</v>
      </c>
      <c r="AD1410" s="0" t="s">
        <v>147</v>
      </c>
      <c r="AE1410" s="0" t="s">
        <v>148</v>
      </c>
      <c r="AF1410" s="0" t="s">
        <v>149</v>
      </c>
      <c r="AH1410" s="0" t="n">
        <v>14</v>
      </c>
      <c r="AI1410" s="0" t="n">
        <v>11</v>
      </c>
      <c r="AN1410" s="0" t="s">
        <v>145</v>
      </c>
      <c r="AO1410" s="0" t="s">
        <v>654</v>
      </c>
      <c r="AP1410" s="0" t="s">
        <v>655</v>
      </c>
      <c r="AQ1410" s="0" t="n">
        <v>9</v>
      </c>
      <c r="AR1410" s="0" t="n">
        <v>64</v>
      </c>
      <c r="AS1410" s="0" t="n">
        <v>32</v>
      </c>
      <c r="AU1410" s="0" t="n">
        <f aca="false">COUNTA($BA$1866:$EH$1866)</f>
        <v>1</v>
      </c>
      <c r="AV1410" s="0" t="n">
        <f aca="false">COUNTIF($BA$1866:$EH$1866,"D")</f>
        <v>0</v>
      </c>
      <c r="AW1410" s="0" t="n">
        <f aca="false">COUNTIF($BA$1866:$EH$1866,"R")</f>
        <v>0</v>
      </c>
      <c r="AX1410" s="0" t="n">
        <f aca="false">IF(BN1410="D",1,0)+IF(BO1410="D",1,0)+IF(BT1410="D",1,0)+IF(BU1410="D",1,0)+IF(BW1410="D",1,0)+IF(CC1410="D",1,0)+IF(CD1410="D",1,0)+IF(CE1410="D",1,0)+IF(CF1410="D",1,0)+IF(CL1410="D",1,0)+IF(CM1410="D",1,0)+IF(CQ1410="D",1,0)+IF(CR1410="D",1,0)+IF(CS1410="D",1,0)+IF(CW1410="D",1,0)+IF(CX1410="D",1,0)+IF(DD1410="D",1,0)+IF(DE1410="D",1,0)+IF(DJ1410="D",1,0)+IF(DK1410="D",1,0)+IF(DO1410="D",1,0)+IF(DP1410="D",1,0)+IF(DQ1410="D",1,0)+IF(DW1410="D",1,0)+IF(DZ1410="D",1,0)+IF(EH1410="D",1,0)</f>
        <v>0</v>
      </c>
      <c r="AY1410" s="0" t="n">
        <f aca="false">COUNTIF(DU1410:EH1410, "&lt;&gt;")</f>
        <v>0</v>
      </c>
      <c r="AZ1410" s="0" t="n">
        <f aca="false">IF(EH1410&lt;&gt;"",1,0)</f>
        <v>0</v>
      </c>
      <c r="BB1410" s="0" t="s">
        <v>152</v>
      </c>
    </row>
    <row r="1411" customFormat="false" ht="13.8" hidden="true" customHeight="false" outlineLevel="0" collapsed="false">
      <c r="A1411" s="0" t="s">
        <v>6528</v>
      </c>
      <c r="B1411" s="0" t="n">
        <v>78</v>
      </c>
      <c r="C1411" s="0" t="n">
        <v>341849</v>
      </c>
      <c r="D1411" s="0" t="s">
        <v>4313</v>
      </c>
      <c r="E1411" s="0" t="s">
        <v>1193</v>
      </c>
      <c r="F1411" s="0" t="str">
        <f aca="false">CONCATENATE(D1411," ",LEFT(H1411,4),"T=",AU1411,"D=",AV1411,"R=",AW1411,"M=",AX1411,"L=",AY1411,"B=",AZ1411)</f>
        <v>WALTON T=1D=0R=0M=0L=0B=0</v>
      </c>
      <c r="G1411" s="0" t="s">
        <v>1082</v>
      </c>
      <c r="I1411" s="0" t="s">
        <v>6529</v>
      </c>
      <c r="J1411" s="0" t="s">
        <v>6530</v>
      </c>
      <c r="K1411" s="0" t="s">
        <v>143</v>
      </c>
      <c r="M1411" s="0" t="s">
        <v>6531</v>
      </c>
      <c r="N1411" s="0" t="str">
        <f aca="false">RIGHT(M1411,LEN(M1411)-FIND(" ",M1411))</f>
        <v>LINDEN AVE SE</v>
      </c>
      <c r="P1411" s="0" t="s">
        <v>145</v>
      </c>
      <c r="Q1411" s="0" t="s">
        <v>146</v>
      </c>
      <c r="R1411" s="0" t="n">
        <v>44483</v>
      </c>
      <c r="AD1411" s="0" t="s">
        <v>147</v>
      </c>
      <c r="AE1411" s="0" t="s">
        <v>148</v>
      </c>
      <c r="AF1411" s="0" t="s">
        <v>149</v>
      </c>
      <c r="AH1411" s="0" t="n">
        <v>14</v>
      </c>
      <c r="AI1411" s="0" t="n">
        <v>11</v>
      </c>
      <c r="AN1411" s="0" t="s">
        <v>145</v>
      </c>
      <c r="AO1411" s="0" t="s">
        <v>654</v>
      </c>
      <c r="AP1411" s="0" t="s">
        <v>655</v>
      </c>
      <c r="AQ1411" s="0" t="n">
        <v>9</v>
      </c>
      <c r="AR1411" s="0" t="n">
        <v>64</v>
      </c>
      <c r="AS1411" s="0" t="n">
        <v>32</v>
      </c>
      <c r="AU1411" s="0" t="n">
        <f aca="false">COUNTA($BA$1620:$EH$1620)</f>
        <v>1</v>
      </c>
      <c r="AV1411" s="0" t="n">
        <f aca="false">COUNTIF($BA$1620:$EH$1620,"D")</f>
        <v>0</v>
      </c>
      <c r="AW1411" s="0" t="n">
        <f aca="false">COUNTIF($BA$1620:$EH$1620,"R")</f>
        <v>0</v>
      </c>
      <c r="AX1411" s="0" t="n">
        <f aca="false">IF(BN1411="D",1,0)+IF(BO1411="D",1,0)+IF(BT1411="D",1,0)+IF(BU1411="D",1,0)+IF(BW1411="D",1,0)+IF(CC1411="D",1,0)+IF(CD1411="D",1,0)+IF(CE1411="D",1,0)+IF(CF1411="D",1,0)+IF(CL1411="D",1,0)+IF(CM1411="D",1,0)+IF(CQ1411="D",1,0)+IF(CR1411="D",1,0)+IF(CS1411="D",1,0)+IF(CW1411="D",1,0)+IF(CX1411="D",1,0)+IF(DD1411="D",1,0)+IF(DE1411="D",1,0)+IF(DJ1411="D",1,0)+IF(DK1411="D",1,0)+IF(DO1411="D",1,0)+IF(DP1411="D",1,0)+IF(DQ1411="D",1,0)+IF(DW1411="D",1,0)+IF(DZ1411="D",1,0)+IF(EH1411="D",1,0)</f>
        <v>0</v>
      </c>
      <c r="AY1411" s="0" t="n">
        <f aca="false">COUNTIF(DU1411:EH1411, "&lt;&gt;")</f>
        <v>0</v>
      </c>
      <c r="AZ1411" s="0" t="n">
        <f aca="false">IF(EH1411&lt;&gt;"",1,0)</f>
        <v>0</v>
      </c>
      <c r="BB1411" s="0" t="s">
        <v>152</v>
      </c>
      <c r="CA1411" s="0" t="s">
        <v>153</v>
      </c>
      <c r="CY1411" s="0" t="s">
        <v>153</v>
      </c>
      <c r="DC1411" s="0" t="s">
        <v>153</v>
      </c>
    </row>
    <row r="1412" customFormat="false" ht="13.8" hidden="true" customHeight="false" outlineLevel="0" collapsed="false">
      <c r="A1412" s="0" t="s">
        <v>6532</v>
      </c>
      <c r="B1412" s="0" t="n">
        <v>78</v>
      </c>
      <c r="C1412" s="0" t="n">
        <v>439148</v>
      </c>
      <c r="D1412" s="0" t="s">
        <v>6533</v>
      </c>
      <c r="E1412" s="0" t="s">
        <v>6534</v>
      </c>
      <c r="F1412" s="0" t="str">
        <f aca="false">CONCATENATE(D1412," ",LEFT(H1412,4),"T=",AU1412,"D=",AV1412,"R=",AW1412,"M=",AX1412,"L=",AY1412,"B=",AZ1412)</f>
        <v>RIGGS T=1D=0R=0M=0L=0B=0</v>
      </c>
      <c r="G1412" s="0" t="s">
        <v>255</v>
      </c>
      <c r="I1412" s="0" t="s">
        <v>6535</v>
      </c>
      <c r="J1412" s="0" t="s">
        <v>6536</v>
      </c>
      <c r="K1412" s="0" t="s">
        <v>143</v>
      </c>
      <c r="M1412" s="0" t="s">
        <v>6537</v>
      </c>
      <c r="N1412" s="0" t="str">
        <f aca="false">RIGHT(M1412,LEN(M1412)-FIND(" ",M1412))</f>
        <v>LINDEN AVE SE</v>
      </c>
      <c r="P1412" s="0" t="s">
        <v>145</v>
      </c>
      <c r="Q1412" s="0" t="s">
        <v>146</v>
      </c>
      <c r="R1412" s="0" t="n">
        <v>44483</v>
      </c>
      <c r="AD1412" s="0" t="s">
        <v>147</v>
      </c>
      <c r="AE1412" s="0" t="s">
        <v>148</v>
      </c>
      <c r="AF1412" s="0" t="s">
        <v>149</v>
      </c>
      <c r="AH1412" s="0" t="n">
        <v>14</v>
      </c>
      <c r="AI1412" s="0" t="n">
        <v>11</v>
      </c>
      <c r="AN1412" s="0" t="s">
        <v>145</v>
      </c>
      <c r="AO1412" s="0" t="s">
        <v>654</v>
      </c>
      <c r="AP1412" s="0" t="s">
        <v>655</v>
      </c>
      <c r="AQ1412" s="0" t="n">
        <v>9</v>
      </c>
      <c r="AR1412" s="0" t="n">
        <v>64</v>
      </c>
      <c r="AS1412" s="0" t="n">
        <v>32</v>
      </c>
      <c r="AU1412" s="0" t="n">
        <f aca="false">COUNTA($BA$1617:$EH$1617)</f>
        <v>1</v>
      </c>
      <c r="AV1412" s="0" t="n">
        <f aca="false">COUNTIF($BA$1617:$EH$1617,"D")</f>
        <v>0</v>
      </c>
      <c r="AW1412" s="0" t="n">
        <f aca="false">COUNTIF($BA$1617:$EH$1617,"R")</f>
        <v>0</v>
      </c>
      <c r="AX1412" s="0" t="n">
        <f aca="false">IF(BN1412="D",1,0)+IF(BO1412="D",1,0)+IF(BT1412="D",1,0)+IF(BU1412="D",1,0)+IF(BW1412="D",1,0)+IF(CC1412="D",1,0)+IF(CD1412="D",1,0)+IF(CE1412="D",1,0)+IF(CF1412="D",1,0)+IF(CL1412="D",1,0)+IF(CM1412="D",1,0)+IF(CQ1412="D",1,0)+IF(CR1412="D",1,0)+IF(CS1412="D",1,0)+IF(CW1412="D",1,0)+IF(CX1412="D",1,0)+IF(DD1412="D",1,0)+IF(DE1412="D",1,0)+IF(DJ1412="D",1,0)+IF(DK1412="D",1,0)+IF(DO1412="D",1,0)+IF(DP1412="D",1,0)+IF(DQ1412="D",1,0)+IF(DW1412="D",1,0)+IF(DZ1412="D",1,0)+IF(EH1412="D",1,0)</f>
        <v>0</v>
      </c>
      <c r="AY1412" s="0" t="n">
        <f aca="false">COUNTIF(DU1412:EH1412, "&lt;&gt;")</f>
        <v>0</v>
      </c>
      <c r="AZ1412" s="0" t="n">
        <f aca="false">IF(EH1412&lt;&gt;"",1,0)</f>
        <v>0</v>
      </c>
      <c r="BB1412" s="0" t="s">
        <v>152</v>
      </c>
    </row>
    <row r="1413" customFormat="false" ht="13.8" hidden="true" customHeight="false" outlineLevel="0" collapsed="false">
      <c r="A1413" s="0" t="s">
        <v>6538</v>
      </c>
      <c r="B1413" s="0" t="n">
        <v>78</v>
      </c>
      <c r="C1413" s="0" t="n">
        <v>494510</v>
      </c>
      <c r="D1413" s="0" t="s">
        <v>6539</v>
      </c>
      <c r="E1413" s="0" t="s">
        <v>1710</v>
      </c>
      <c r="F1413" s="0" t="str">
        <f aca="false">CONCATENATE(D1413," ",LEFT(H1413,4),"T=",AU1413,"D=",AV1413,"R=",AW1413,"M=",AX1413,"L=",AY1413,"B=",AZ1413)</f>
        <v>GWINN T=10D=1R=1M=0L=0B=0</v>
      </c>
      <c r="G1413" s="0" t="s">
        <v>914</v>
      </c>
      <c r="I1413" s="0" t="s">
        <v>6540</v>
      </c>
      <c r="J1413" s="0" t="s">
        <v>2078</v>
      </c>
      <c r="K1413" s="0" t="s">
        <v>160</v>
      </c>
      <c r="M1413" s="0" t="s">
        <v>6541</v>
      </c>
      <c r="N1413" s="0" t="str">
        <f aca="false">RIGHT(M1413,LEN(M1413)-FIND(" ",M1413))</f>
        <v>LINDEN AVE SE</v>
      </c>
      <c r="P1413" s="0" t="s">
        <v>145</v>
      </c>
      <c r="Q1413" s="0" t="s">
        <v>146</v>
      </c>
      <c r="R1413" s="0" t="n">
        <v>44483</v>
      </c>
      <c r="AD1413" s="0" t="s">
        <v>147</v>
      </c>
      <c r="AE1413" s="0" t="s">
        <v>148</v>
      </c>
      <c r="AF1413" s="0" t="s">
        <v>149</v>
      </c>
      <c r="AH1413" s="0" t="n">
        <v>14</v>
      </c>
      <c r="AI1413" s="0" t="n">
        <v>11</v>
      </c>
      <c r="AN1413" s="0" t="s">
        <v>145</v>
      </c>
      <c r="AO1413" s="0" t="s">
        <v>654</v>
      </c>
      <c r="AP1413" s="0" t="s">
        <v>655</v>
      </c>
      <c r="AQ1413" s="0" t="n">
        <v>9</v>
      </c>
      <c r="AR1413" s="0" t="n">
        <v>64</v>
      </c>
      <c r="AS1413" s="0" t="n">
        <v>32</v>
      </c>
      <c r="AU1413" s="0" t="n">
        <f aca="false">COUNTA($BA$1253:$EH$1253)</f>
        <v>10</v>
      </c>
      <c r="AV1413" s="0" t="n">
        <f aca="false">COUNTIF($BA$1253:$EH$1253,"D")</f>
        <v>1</v>
      </c>
      <c r="AW1413" s="0" t="n">
        <f aca="false">COUNTIF($BA$1253:$EH$1253,"R")</f>
        <v>1</v>
      </c>
      <c r="AX1413" s="0" t="n">
        <f aca="false">IF(BN1413="D",1,0)+IF(BO1413="D",1,0)+IF(BT1413="D",1,0)+IF(BU1413="D",1,0)+IF(BW1413="D",1,0)+IF(CC1413="D",1,0)+IF(CD1413="D",1,0)+IF(CE1413="D",1,0)+IF(CF1413="D",1,0)+IF(CL1413="D",1,0)+IF(CM1413="D",1,0)+IF(CQ1413="D",1,0)+IF(CR1413="D",1,0)+IF(CS1413="D",1,0)+IF(CW1413="D",1,0)+IF(CX1413="D",1,0)+IF(DD1413="D",1,0)+IF(DE1413="D",1,0)+IF(DJ1413="D",1,0)+IF(DK1413="D",1,0)+IF(DO1413="D",1,0)+IF(DP1413="D",1,0)+IF(DQ1413="D",1,0)+IF(DW1413="D",1,0)+IF(DZ1413="D",1,0)+IF(EH1413="D",1,0)</f>
        <v>0</v>
      </c>
      <c r="AY1413" s="0" t="n">
        <f aca="false">COUNTIF(DU1413:EH1413, "&lt;&gt;")</f>
        <v>0</v>
      </c>
      <c r="AZ1413" s="0" t="n">
        <f aca="false">IF(EH1413&lt;&gt;"",1,0)</f>
        <v>0</v>
      </c>
      <c r="BB1413" s="0" t="s">
        <v>152</v>
      </c>
    </row>
    <row r="1414" customFormat="false" ht="13.8" hidden="true" customHeight="false" outlineLevel="0" collapsed="false">
      <c r="A1414" s="0" t="s">
        <v>6542</v>
      </c>
      <c r="B1414" s="0" t="n">
        <v>78</v>
      </c>
      <c r="C1414" s="0" t="n">
        <v>490499</v>
      </c>
      <c r="D1414" s="0" t="s">
        <v>1661</v>
      </c>
      <c r="E1414" s="0" t="s">
        <v>752</v>
      </c>
      <c r="F1414" s="0" t="str">
        <f aca="false">CONCATENATE(D1414," ",LEFT(H1414,4),"T=",AU1414,"D=",AV1414,"R=",AW1414,"M=",AX1414,"L=",AY1414,"B=",AZ1414)</f>
        <v>JACKSON T=13D=2R=1M=0L=1B=0</v>
      </c>
      <c r="G1414" s="0" t="s">
        <v>650</v>
      </c>
      <c r="I1414" s="0" t="s">
        <v>6543</v>
      </c>
      <c r="J1414" s="0" t="s">
        <v>4591</v>
      </c>
      <c r="K1414" s="0" t="s">
        <v>160</v>
      </c>
      <c r="M1414" s="0" t="s">
        <v>6541</v>
      </c>
      <c r="N1414" s="0" t="str">
        <f aca="false">RIGHT(M1414,LEN(M1414)-FIND(" ",M1414))</f>
        <v>LINDEN AVE SE</v>
      </c>
      <c r="P1414" s="0" t="s">
        <v>145</v>
      </c>
      <c r="Q1414" s="0" t="s">
        <v>146</v>
      </c>
      <c r="R1414" s="0" t="n">
        <v>44483</v>
      </c>
      <c r="AD1414" s="0" t="s">
        <v>147</v>
      </c>
      <c r="AE1414" s="0" t="s">
        <v>148</v>
      </c>
      <c r="AF1414" s="0" t="s">
        <v>149</v>
      </c>
      <c r="AH1414" s="0" t="n">
        <v>14</v>
      </c>
      <c r="AI1414" s="0" t="n">
        <v>11</v>
      </c>
      <c r="AN1414" s="0" t="s">
        <v>145</v>
      </c>
      <c r="AO1414" s="0" t="s">
        <v>654</v>
      </c>
      <c r="AP1414" s="0" t="s">
        <v>655</v>
      </c>
      <c r="AQ1414" s="0" t="n">
        <v>9</v>
      </c>
      <c r="AR1414" s="0" t="n">
        <v>64</v>
      </c>
      <c r="AS1414" s="0" t="n">
        <v>32</v>
      </c>
      <c r="AU1414" s="0" t="n">
        <f aca="false">COUNTA($BA$1381:$EH$1381)</f>
        <v>13</v>
      </c>
      <c r="AV1414" s="0" t="n">
        <f aca="false">COUNTIF($BA$1381:$EH$1381,"D")</f>
        <v>2</v>
      </c>
      <c r="AW1414" s="0" t="n">
        <f aca="false">COUNTIF($BA$1381:$EH$1381,"R")</f>
        <v>1</v>
      </c>
      <c r="AX1414" s="0" t="n">
        <f aca="false">IF(BN1414="D",1,0)+IF(BO1414="D",1,0)+IF(BT1414="D",1,0)+IF(BU1414="D",1,0)+IF(BW1414="D",1,0)+IF(CC1414="D",1,0)+IF(CD1414="D",1,0)+IF(CE1414="D",1,0)+IF(CF1414="D",1,0)+IF(CL1414="D",1,0)+IF(CM1414="D",1,0)+IF(CQ1414="D",1,0)+IF(CR1414="D",1,0)+IF(CS1414="D",1,0)+IF(CW1414="D",1,0)+IF(CX1414="D",1,0)+IF(DD1414="D",1,0)+IF(DE1414="D",1,0)+IF(DJ1414="D",1,0)+IF(DK1414="D",1,0)+IF(DO1414="D",1,0)+IF(DP1414="D",1,0)+IF(DQ1414="D",1,0)+IF(DW1414="D",1,0)+IF(DZ1414="D",1,0)+IF(EH1414="D",1,0)</f>
        <v>0</v>
      </c>
      <c r="AY1414" s="0" t="n">
        <f aca="false">COUNTIF(DU1414:EH1414, "&lt;&gt;")</f>
        <v>1</v>
      </c>
      <c r="AZ1414" s="0" t="n">
        <f aca="false">IF(EH1414&lt;&gt;"",1,0)</f>
        <v>0</v>
      </c>
      <c r="BB1414" s="0" t="s">
        <v>152</v>
      </c>
      <c r="DC1414" s="0" t="s">
        <v>153</v>
      </c>
      <c r="EF1414" s="0" t="s">
        <v>153</v>
      </c>
    </row>
    <row r="1415" customFormat="false" ht="13.8" hidden="false" customHeight="false" outlineLevel="0" collapsed="false">
      <c r="A1415" s="0" t="s">
        <v>6544</v>
      </c>
      <c r="B1415" s="0" t="n">
        <v>78</v>
      </c>
      <c r="C1415" s="0" t="n">
        <v>223802</v>
      </c>
      <c r="D1415" s="0" t="s">
        <v>4535</v>
      </c>
      <c r="E1415" s="0" t="s">
        <v>2475</v>
      </c>
      <c r="F1415" s="0" t="str">
        <f aca="false">CONCATENATE(D1415," ",LEFT(H1415,4),"T=",AU1415,"D=",AV1415,"R=",AW1415,"M=",AX1415,"L=",AY1415,"B=",AZ1415)</f>
        <v>THOMPSON T=8D=0R=0M=0L=2B=0</v>
      </c>
      <c r="G1415" s="0" t="s">
        <v>171</v>
      </c>
      <c r="I1415" s="0" t="s">
        <v>6545</v>
      </c>
      <c r="J1415" s="0" t="s">
        <v>6546</v>
      </c>
      <c r="K1415" s="0" t="s">
        <v>160</v>
      </c>
      <c r="L1415" s="0" t="s">
        <v>175</v>
      </c>
      <c r="M1415" s="0" t="s">
        <v>6547</v>
      </c>
      <c r="N1415" s="0" t="str">
        <f aca="false">RIGHT(M1415,LEN(M1415)-FIND(" ",M1415))</f>
        <v>LOGAN AVE NE</v>
      </c>
      <c r="O1415" s="0" t="s">
        <v>220</v>
      </c>
      <c r="P1415" s="0" t="s">
        <v>145</v>
      </c>
      <c r="Q1415" s="0" t="s">
        <v>146</v>
      </c>
      <c r="R1415" s="0" t="n">
        <v>44483</v>
      </c>
      <c r="AD1415" s="0" t="s">
        <v>147</v>
      </c>
      <c r="AE1415" s="0" t="s">
        <v>148</v>
      </c>
      <c r="AF1415" s="0" t="s">
        <v>149</v>
      </c>
      <c r="AH1415" s="0" t="n">
        <v>14</v>
      </c>
      <c r="AI1415" s="0" t="n">
        <v>11</v>
      </c>
      <c r="AN1415" s="0" t="s">
        <v>145</v>
      </c>
      <c r="AO1415" s="0" t="s">
        <v>654</v>
      </c>
      <c r="AP1415" s="0" t="s">
        <v>655</v>
      </c>
      <c r="AQ1415" s="0" t="n">
        <v>9</v>
      </c>
      <c r="AR1415" s="0" t="n">
        <v>64</v>
      </c>
      <c r="AS1415" s="0" t="n">
        <v>32</v>
      </c>
      <c r="AU1415" s="0" t="n">
        <f aca="false">COUNTA($BA$1216:$EH$1216)</f>
        <v>8</v>
      </c>
      <c r="AV1415" s="0" t="n">
        <f aca="false">COUNTIF($BA$1216:$EH$1216,"D")</f>
        <v>0</v>
      </c>
      <c r="AW1415" s="0" t="n">
        <f aca="false">COUNTIF($BA$1216:$EH$1216,"R")</f>
        <v>0</v>
      </c>
      <c r="AX1415" s="0" t="n">
        <f aca="false">IF(BN1415="D",1,0)+IF(BO1415="D",1,0)+IF(BT1415="D",1,0)+IF(BU1415="D",1,0)+IF(BW1415="D",1,0)+IF(CC1415="D",1,0)+IF(CD1415="D",1,0)+IF(CE1415="D",1,0)+IF(CF1415="D",1,0)+IF(CL1415="D",1,0)+IF(CM1415="D",1,0)+IF(CQ1415="D",1,0)+IF(CR1415="D",1,0)+IF(CS1415="D",1,0)+IF(CW1415="D",1,0)+IF(CX1415="D",1,0)+IF(DD1415="D",1,0)+IF(DE1415="D",1,0)+IF(DJ1415="D",1,0)+IF(DK1415="D",1,0)+IF(DO1415="D",1,0)+IF(DP1415="D",1,0)+IF(DQ1415="D",1,0)+IF(DW1415="D",1,0)+IF(DZ1415="D",1,0)+IF(EH1415="D",1,0)</f>
        <v>0</v>
      </c>
      <c r="AY1415" s="0" t="n">
        <f aca="false">COUNTIF(DU1415:EH1415, "&lt;&gt;")</f>
        <v>2</v>
      </c>
      <c r="AZ1415" s="0" t="n">
        <f aca="false">IF(EH1415&lt;&gt;"",1,0)</f>
        <v>0</v>
      </c>
      <c r="BB1415" s="0" t="s">
        <v>152</v>
      </c>
      <c r="BD1415" s="0" t="s">
        <v>153</v>
      </c>
      <c r="BH1415" s="0" t="s">
        <v>153</v>
      </c>
      <c r="BL1415" s="0" t="s">
        <v>153</v>
      </c>
      <c r="BS1415" s="0" t="s">
        <v>153</v>
      </c>
      <c r="BT1415" s="0" t="s">
        <v>153</v>
      </c>
      <c r="CA1415" s="0" t="s">
        <v>153</v>
      </c>
      <c r="CG1415" s="0" t="s">
        <v>153</v>
      </c>
      <c r="CP1415" s="0" t="s">
        <v>153</v>
      </c>
      <c r="CV1415" s="0" t="s">
        <v>153</v>
      </c>
      <c r="DC1415" s="0" t="s">
        <v>153</v>
      </c>
      <c r="DH1415" s="0" t="s">
        <v>153</v>
      </c>
      <c r="DI1415" s="0" t="s">
        <v>153</v>
      </c>
      <c r="DM1415" s="0" t="s">
        <v>175</v>
      </c>
      <c r="DN1415" s="0" t="s">
        <v>153</v>
      </c>
      <c r="DS1415" s="0" t="s">
        <v>175</v>
      </c>
      <c r="DT1415" s="0" t="s">
        <v>175</v>
      </c>
      <c r="DU1415" s="0" t="s">
        <v>153</v>
      </c>
      <c r="EF1415" s="0" t="s">
        <v>153</v>
      </c>
    </row>
    <row r="1416" customFormat="false" ht="13.8" hidden="true" customHeight="false" outlineLevel="0" collapsed="false">
      <c r="A1416" s="0" t="s">
        <v>6548</v>
      </c>
      <c r="B1416" s="0" t="n">
        <v>78</v>
      </c>
      <c r="C1416" s="0" t="n">
        <v>438797</v>
      </c>
      <c r="D1416" s="0" t="s">
        <v>6549</v>
      </c>
      <c r="E1416" s="0" t="s">
        <v>274</v>
      </c>
      <c r="F1416" s="0" t="str">
        <f aca="false">CONCATENATE(D1416," ",LEFT(H1416,4),"T=",AU1416,"D=",AV1416,"R=",AW1416,"M=",AX1416,"L=",AY1416,"B=",AZ1416)</f>
        <v>MERREL JRT=2D=0R=0M=0L=0B=0</v>
      </c>
      <c r="G1416" s="0" t="s">
        <v>324</v>
      </c>
      <c r="H1416" s="0" t="s">
        <v>314</v>
      </c>
      <c r="I1416" s="0" t="s">
        <v>6550</v>
      </c>
      <c r="J1416" s="0" t="s">
        <v>6551</v>
      </c>
      <c r="K1416" s="0" t="s">
        <v>160</v>
      </c>
      <c r="M1416" s="0" t="s">
        <v>6547</v>
      </c>
      <c r="N1416" s="0" t="str">
        <f aca="false">RIGHT(M1416,LEN(M1416)-FIND(" ",M1416))</f>
        <v>LOGAN AVE NE</v>
      </c>
      <c r="P1416" s="0" t="s">
        <v>145</v>
      </c>
      <c r="Q1416" s="0" t="s">
        <v>146</v>
      </c>
      <c r="R1416" s="0" t="n">
        <v>44483</v>
      </c>
      <c r="AD1416" s="0" t="s">
        <v>147</v>
      </c>
      <c r="AE1416" s="0" t="s">
        <v>148</v>
      </c>
      <c r="AF1416" s="0" t="s">
        <v>149</v>
      </c>
      <c r="AH1416" s="0" t="n">
        <v>14</v>
      </c>
      <c r="AI1416" s="0" t="n">
        <v>11</v>
      </c>
      <c r="AN1416" s="0" t="s">
        <v>145</v>
      </c>
      <c r="AO1416" s="0" t="s">
        <v>654</v>
      </c>
      <c r="AP1416" s="0" t="s">
        <v>655</v>
      </c>
      <c r="AQ1416" s="0" t="n">
        <v>9</v>
      </c>
      <c r="AR1416" s="0" t="n">
        <v>64</v>
      </c>
      <c r="AS1416" s="0" t="n">
        <v>32</v>
      </c>
      <c r="AU1416" s="0" t="n">
        <f aca="false">COUNTA($BA$1227:$EH$1227)</f>
        <v>2</v>
      </c>
      <c r="AV1416" s="0" t="n">
        <f aca="false">COUNTIF($BA$1227:$EH$1227,"D")</f>
        <v>0</v>
      </c>
      <c r="AW1416" s="0" t="n">
        <f aca="false">COUNTIF($BA$1227:$EH$1227,"R")</f>
        <v>0</v>
      </c>
      <c r="AX1416" s="0" t="n">
        <f aca="false">IF(BN1416="D",1,0)+IF(BO1416="D",1,0)+IF(BT1416="D",1,0)+IF(BU1416="D",1,0)+IF(BW1416="D",1,0)+IF(CC1416="D",1,0)+IF(CD1416="D",1,0)+IF(CE1416="D",1,0)+IF(CF1416="D",1,0)+IF(CL1416="D",1,0)+IF(CM1416="D",1,0)+IF(CQ1416="D",1,0)+IF(CR1416="D",1,0)+IF(CS1416="D",1,0)+IF(CW1416="D",1,0)+IF(CX1416="D",1,0)+IF(DD1416="D",1,0)+IF(DE1416="D",1,0)+IF(DJ1416="D",1,0)+IF(DK1416="D",1,0)+IF(DO1416="D",1,0)+IF(DP1416="D",1,0)+IF(DQ1416="D",1,0)+IF(DW1416="D",1,0)+IF(DZ1416="D",1,0)+IF(EH1416="D",1,0)</f>
        <v>0</v>
      </c>
      <c r="AY1416" s="0" t="n">
        <f aca="false">COUNTIF(DU1416:EH1416, "&lt;&gt;")</f>
        <v>0</v>
      </c>
      <c r="AZ1416" s="0" t="n">
        <f aca="false">IF(EH1416&lt;&gt;"",1,0)</f>
        <v>0</v>
      </c>
      <c r="BB1416" s="0" t="s">
        <v>152</v>
      </c>
    </row>
    <row r="1417" customFormat="false" ht="13.8" hidden="true" customHeight="false" outlineLevel="0" collapsed="false">
      <c r="A1417" s="0" t="s">
        <v>6552</v>
      </c>
      <c r="B1417" s="0" t="n">
        <v>78</v>
      </c>
      <c r="C1417" s="0" t="n">
        <v>429409</v>
      </c>
      <c r="D1417" s="0" t="s">
        <v>1243</v>
      </c>
      <c r="E1417" s="0" t="s">
        <v>3620</v>
      </c>
      <c r="F1417" s="0" t="str">
        <f aca="false">CONCATENATE(D1417," ",LEFT(H1417,4),"T=",AU1417,"D=",AV1417,"R=",AW1417,"M=",AX1417,"L=",AY1417,"B=",AZ1417)</f>
        <v>ALEXANDER T=3D=0R=0M=0L=0B=0</v>
      </c>
      <c r="G1417" s="0" t="s">
        <v>5011</v>
      </c>
      <c r="I1417" s="0" t="s">
        <v>6553</v>
      </c>
      <c r="J1417" s="0" t="s">
        <v>6554</v>
      </c>
      <c r="K1417" s="0" t="s">
        <v>143</v>
      </c>
      <c r="M1417" s="0" t="s">
        <v>6547</v>
      </c>
      <c r="N1417" s="0" t="str">
        <f aca="false">RIGHT(M1417,LEN(M1417)-FIND(" ",M1417))</f>
        <v>LOGAN AVE NE</v>
      </c>
      <c r="O1417" s="0" t="s">
        <v>297</v>
      </c>
      <c r="P1417" s="0" t="s">
        <v>145</v>
      </c>
      <c r="Q1417" s="0" t="s">
        <v>146</v>
      </c>
      <c r="R1417" s="0" t="n">
        <v>44483</v>
      </c>
      <c r="AD1417" s="0" t="s">
        <v>147</v>
      </c>
      <c r="AE1417" s="0" t="s">
        <v>148</v>
      </c>
      <c r="AF1417" s="0" t="s">
        <v>149</v>
      </c>
      <c r="AH1417" s="0" t="n">
        <v>14</v>
      </c>
      <c r="AI1417" s="0" t="n">
        <v>11</v>
      </c>
      <c r="AN1417" s="0" t="s">
        <v>145</v>
      </c>
      <c r="AO1417" s="0" t="s">
        <v>654</v>
      </c>
      <c r="AP1417" s="0" t="s">
        <v>655</v>
      </c>
      <c r="AQ1417" s="0" t="n">
        <v>9</v>
      </c>
      <c r="AR1417" s="0" t="n">
        <v>64</v>
      </c>
      <c r="AS1417" s="0" t="n">
        <v>32</v>
      </c>
      <c r="AU1417" s="0" t="n">
        <f aca="false">COUNTA($BA$1414:$EH$1414)</f>
        <v>3</v>
      </c>
      <c r="AV1417" s="0" t="n">
        <f aca="false">COUNTIF($BA$1414:$EH$1414,"D")</f>
        <v>0</v>
      </c>
      <c r="AW1417" s="0" t="n">
        <f aca="false">COUNTIF($BA$1414:$EH$1414,"R")</f>
        <v>0</v>
      </c>
      <c r="AX1417" s="0" t="n">
        <f aca="false">IF(BN1417="D",1,0)+IF(BO1417="D",1,0)+IF(BT1417="D",1,0)+IF(BU1417="D",1,0)+IF(BW1417="D",1,0)+IF(CC1417="D",1,0)+IF(CD1417="D",1,0)+IF(CE1417="D",1,0)+IF(CF1417="D",1,0)+IF(CL1417="D",1,0)+IF(CM1417="D",1,0)+IF(CQ1417="D",1,0)+IF(CR1417="D",1,0)+IF(CS1417="D",1,0)+IF(CW1417="D",1,0)+IF(CX1417="D",1,0)+IF(DD1417="D",1,0)+IF(DE1417="D",1,0)+IF(DJ1417="D",1,0)+IF(DK1417="D",1,0)+IF(DO1417="D",1,0)+IF(DP1417="D",1,0)+IF(DQ1417="D",1,0)+IF(DW1417="D",1,0)+IF(DZ1417="D",1,0)+IF(EH1417="D",1,0)</f>
        <v>0</v>
      </c>
      <c r="AY1417" s="0" t="n">
        <f aca="false">COUNTIF(DU1417:EH1417, "&lt;&gt;")</f>
        <v>0</v>
      </c>
      <c r="AZ1417" s="0" t="n">
        <f aca="false">IF(EH1417&lt;&gt;"",1,0)</f>
        <v>0</v>
      </c>
      <c r="BB1417" s="0" t="s">
        <v>152</v>
      </c>
      <c r="DC1417" s="0" t="s">
        <v>153</v>
      </c>
    </row>
    <row r="1418" customFormat="false" ht="13.8" hidden="true" customHeight="false" outlineLevel="0" collapsed="false">
      <c r="A1418" s="0" t="s">
        <v>6555</v>
      </c>
      <c r="B1418" s="0" t="n">
        <v>78</v>
      </c>
      <c r="C1418" s="0" t="n">
        <v>463876</v>
      </c>
      <c r="D1418" s="0" t="s">
        <v>6556</v>
      </c>
      <c r="E1418" s="0" t="s">
        <v>1282</v>
      </c>
      <c r="F1418" s="0" t="str">
        <f aca="false">CONCATENATE(D1418," ",LEFT(H1418,4),"T=",AU1418,"D=",AV1418,"R=",AW1418,"M=",AX1418,"L=",AY1418,"B=",AZ1418)</f>
        <v>PENWELL T=18D=4R=0M=0L=0B=0</v>
      </c>
      <c r="G1418" s="0" t="s">
        <v>255</v>
      </c>
      <c r="I1418" s="0" t="s">
        <v>6557</v>
      </c>
      <c r="J1418" s="0" t="s">
        <v>6558</v>
      </c>
      <c r="K1418" s="0" t="s">
        <v>160</v>
      </c>
      <c r="M1418" s="0" t="s">
        <v>6547</v>
      </c>
      <c r="N1418" s="0" t="str">
        <f aca="false">RIGHT(M1418,LEN(M1418)-FIND(" ",M1418))</f>
        <v>LOGAN AVE NE</v>
      </c>
      <c r="P1418" s="0" t="s">
        <v>145</v>
      </c>
      <c r="Q1418" s="0" t="s">
        <v>146</v>
      </c>
      <c r="R1418" s="0" t="n">
        <v>44483</v>
      </c>
      <c r="AD1418" s="0" t="s">
        <v>147</v>
      </c>
      <c r="AE1418" s="0" t="s">
        <v>148</v>
      </c>
      <c r="AF1418" s="0" t="s">
        <v>149</v>
      </c>
      <c r="AH1418" s="0" t="n">
        <v>14</v>
      </c>
      <c r="AI1418" s="0" t="n">
        <v>11</v>
      </c>
      <c r="AN1418" s="0" t="s">
        <v>145</v>
      </c>
      <c r="AO1418" s="0" t="s">
        <v>654</v>
      </c>
      <c r="AP1418" s="0" t="s">
        <v>655</v>
      </c>
      <c r="AQ1418" s="0" t="n">
        <v>9</v>
      </c>
      <c r="AR1418" s="0" t="n">
        <v>64</v>
      </c>
      <c r="AS1418" s="0" t="n">
        <v>32</v>
      </c>
      <c r="AU1418" s="0" t="n">
        <f aca="false">COUNTA($BA$1663:$EH$1663)</f>
        <v>18</v>
      </c>
      <c r="AV1418" s="0" t="n">
        <f aca="false">COUNTIF($BA$1663:$EH$1663,"D")</f>
        <v>4</v>
      </c>
      <c r="AW1418" s="0" t="n">
        <f aca="false">COUNTIF($BA$1663:$EH$1663,"R")</f>
        <v>0</v>
      </c>
      <c r="AX1418" s="0" t="n">
        <f aca="false">IF(BN1418="D",1,0)+IF(BO1418="D",1,0)+IF(BT1418="D",1,0)+IF(BU1418="D",1,0)+IF(BW1418="D",1,0)+IF(CC1418="D",1,0)+IF(CD1418="D",1,0)+IF(CE1418="D",1,0)+IF(CF1418="D",1,0)+IF(CL1418="D",1,0)+IF(CM1418="D",1,0)+IF(CQ1418="D",1,0)+IF(CR1418="D",1,0)+IF(CS1418="D",1,0)+IF(CW1418="D",1,0)+IF(CX1418="D",1,0)+IF(DD1418="D",1,0)+IF(DE1418="D",1,0)+IF(DJ1418="D",1,0)+IF(DK1418="D",1,0)+IF(DO1418="D",1,0)+IF(DP1418="D",1,0)+IF(DQ1418="D",1,0)+IF(DW1418="D",1,0)+IF(DZ1418="D",1,0)+IF(EH1418="D",1,0)</f>
        <v>0</v>
      </c>
      <c r="AY1418" s="0" t="n">
        <f aca="false">COUNTIF(DU1418:EH1418, "&lt;&gt;")</f>
        <v>0</v>
      </c>
      <c r="AZ1418" s="0" t="n">
        <f aca="false">IF(EH1418&lt;&gt;"",1,0)</f>
        <v>0</v>
      </c>
      <c r="BB1418" s="0" t="s">
        <v>152</v>
      </c>
    </row>
    <row r="1419" customFormat="false" ht="13.8" hidden="true" customHeight="false" outlineLevel="0" collapsed="false">
      <c r="A1419" s="0" t="s">
        <v>6559</v>
      </c>
      <c r="B1419" s="0" t="n">
        <v>78</v>
      </c>
      <c r="C1419" s="0" t="n">
        <v>204978</v>
      </c>
      <c r="D1419" s="0" t="s">
        <v>6560</v>
      </c>
      <c r="E1419" s="0" t="s">
        <v>1404</v>
      </c>
      <c r="F1419" s="0" t="str">
        <f aca="false">CONCATENATE(D1419," ",LEFT(H1419,4),"T=",AU1419,"D=",AV1419,"R=",AW1419,"M=",AX1419,"L=",AY1419,"B=",AZ1419)</f>
        <v>SOLES T=29D=3R=2M=0L=1B=0</v>
      </c>
      <c r="G1419" s="0" t="s">
        <v>171</v>
      </c>
      <c r="I1419" s="0" t="s">
        <v>6561</v>
      </c>
      <c r="J1419" s="0" t="s">
        <v>6562</v>
      </c>
      <c r="K1419" s="0" t="s">
        <v>160</v>
      </c>
      <c r="M1419" s="0" t="s">
        <v>6547</v>
      </c>
      <c r="N1419" s="0" t="str">
        <f aca="false">RIGHT(M1419,LEN(M1419)-FIND(" ",M1419))</f>
        <v>LOGAN AVE NE</v>
      </c>
      <c r="O1419" s="0" t="s">
        <v>220</v>
      </c>
      <c r="P1419" s="0" t="s">
        <v>145</v>
      </c>
      <c r="Q1419" s="0" t="s">
        <v>146</v>
      </c>
      <c r="R1419" s="0" t="n">
        <v>44483</v>
      </c>
      <c r="AD1419" s="0" t="s">
        <v>147</v>
      </c>
      <c r="AE1419" s="0" t="s">
        <v>148</v>
      </c>
      <c r="AF1419" s="0" t="s">
        <v>149</v>
      </c>
      <c r="AH1419" s="0" t="n">
        <v>14</v>
      </c>
      <c r="AI1419" s="0" t="n">
        <v>11</v>
      </c>
      <c r="AN1419" s="0" t="s">
        <v>145</v>
      </c>
      <c r="AO1419" s="0" t="s">
        <v>654</v>
      </c>
      <c r="AP1419" s="0" t="s">
        <v>655</v>
      </c>
      <c r="AQ1419" s="0" t="n">
        <v>9</v>
      </c>
      <c r="AR1419" s="0" t="n">
        <v>64</v>
      </c>
      <c r="AS1419" s="0" t="n">
        <v>32</v>
      </c>
      <c r="AU1419" s="0" t="n">
        <f aca="false">COUNTA($BA$1762:$EH$1762)</f>
        <v>29</v>
      </c>
      <c r="AV1419" s="0" t="n">
        <f aca="false">COUNTIF($BA$1762:$EH$1762,"D")</f>
        <v>3</v>
      </c>
      <c r="AW1419" s="0" t="n">
        <f aca="false">COUNTIF($BA$1762:$EH$1762,"R")</f>
        <v>2</v>
      </c>
      <c r="AX1419" s="0" t="n">
        <f aca="false">IF(BN1419="D",1,0)+IF(BO1419="D",1,0)+IF(BT1419="D",1,0)+IF(BU1419="D",1,0)+IF(BW1419="D",1,0)+IF(CC1419="D",1,0)+IF(CD1419="D",1,0)+IF(CE1419="D",1,0)+IF(CF1419="D",1,0)+IF(CL1419="D",1,0)+IF(CM1419="D",1,0)+IF(CQ1419="D",1,0)+IF(CR1419="D",1,0)+IF(CS1419="D",1,0)+IF(CW1419="D",1,0)+IF(CX1419="D",1,0)+IF(DD1419="D",1,0)+IF(DE1419="D",1,0)+IF(DJ1419="D",1,0)+IF(DK1419="D",1,0)+IF(DO1419="D",1,0)+IF(DP1419="D",1,0)+IF(DQ1419="D",1,0)+IF(DW1419="D",1,0)+IF(DZ1419="D",1,0)+IF(EH1419="D",1,0)</f>
        <v>0</v>
      </c>
      <c r="AY1419" s="0" t="n">
        <f aca="false">COUNTIF(DU1419:EH1419, "&lt;&gt;")</f>
        <v>1</v>
      </c>
      <c r="AZ1419" s="0" t="n">
        <f aca="false">IF(EH1419&lt;&gt;"",1,0)</f>
        <v>0</v>
      </c>
      <c r="BB1419" s="0" t="s">
        <v>152</v>
      </c>
      <c r="BC1419" s="0" t="s">
        <v>153</v>
      </c>
      <c r="BD1419" s="0" t="s">
        <v>153</v>
      </c>
      <c r="BF1419" s="0" t="s">
        <v>153</v>
      </c>
      <c r="BG1419" s="0" t="s">
        <v>153</v>
      </c>
      <c r="BH1419" s="0" t="s">
        <v>153</v>
      </c>
      <c r="BK1419" s="0" t="s">
        <v>153</v>
      </c>
      <c r="BL1419" s="0" t="s">
        <v>153</v>
      </c>
      <c r="BP1419" s="0" t="s">
        <v>153</v>
      </c>
      <c r="BV1419" s="0" t="s">
        <v>153</v>
      </c>
      <c r="BY1419" s="0" t="s">
        <v>175</v>
      </c>
      <c r="CA1419" s="0" t="s">
        <v>153</v>
      </c>
      <c r="CH1419" s="0" t="s">
        <v>175</v>
      </c>
      <c r="CK1419" s="0" t="s">
        <v>153</v>
      </c>
      <c r="DC1419" s="0" t="s">
        <v>153</v>
      </c>
      <c r="EF1419" s="0" t="s">
        <v>153</v>
      </c>
    </row>
    <row r="1420" customFormat="false" ht="13.8" hidden="true" customHeight="false" outlineLevel="0" collapsed="false">
      <c r="A1420" s="0" t="s">
        <v>6563</v>
      </c>
      <c r="B1420" s="0" t="n">
        <v>78</v>
      </c>
      <c r="C1420" s="0" t="n">
        <v>459258</v>
      </c>
      <c r="D1420" s="0" t="s">
        <v>6564</v>
      </c>
      <c r="E1420" s="0" t="s">
        <v>6565</v>
      </c>
      <c r="F1420" s="0" t="str">
        <f aca="false">CONCATENATE(D1420," ",LEFT(H1420,4),"T=",AU1420,"D=",AV1420,"R=",AW1420,"M=",AX1420,"L=",AY1420,"B=",AZ1420)</f>
        <v>BECKSTINE T=2D=0R=0M=0L=1B=0</v>
      </c>
      <c r="G1420" s="0" t="s">
        <v>4362</v>
      </c>
      <c r="I1420" s="0" t="s">
        <v>6566</v>
      </c>
      <c r="J1420" s="0" t="s">
        <v>6567</v>
      </c>
      <c r="K1420" s="0" t="s">
        <v>160</v>
      </c>
      <c r="M1420" s="0" t="s">
        <v>6547</v>
      </c>
      <c r="N1420" s="0" t="str">
        <f aca="false">RIGHT(M1420,LEN(M1420)-FIND(" ",M1420))</f>
        <v>LOGAN AVE NE</v>
      </c>
      <c r="O1420" s="0" t="s">
        <v>220</v>
      </c>
      <c r="P1420" s="0" t="s">
        <v>145</v>
      </c>
      <c r="Q1420" s="0" t="s">
        <v>146</v>
      </c>
      <c r="R1420" s="0" t="n">
        <v>44483</v>
      </c>
      <c r="AD1420" s="0" t="s">
        <v>147</v>
      </c>
      <c r="AE1420" s="0" t="s">
        <v>148</v>
      </c>
      <c r="AF1420" s="0" t="s">
        <v>149</v>
      </c>
      <c r="AH1420" s="0" t="n">
        <v>14</v>
      </c>
      <c r="AI1420" s="0" t="n">
        <v>11</v>
      </c>
      <c r="AN1420" s="0" t="s">
        <v>145</v>
      </c>
      <c r="AO1420" s="0" t="s">
        <v>654</v>
      </c>
      <c r="AP1420" s="0" t="s">
        <v>655</v>
      </c>
      <c r="AQ1420" s="0" t="n">
        <v>9</v>
      </c>
      <c r="AR1420" s="0" t="n">
        <v>64</v>
      </c>
      <c r="AS1420" s="0" t="n">
        <v>32</v>
      </c>
      <c r="AU1420" s="0" t="n">
        <f aca="false">COUNTA($BA$1792:$EH$1792)</f>
        <v>2</v>
      </c>
      <c r="AV1420" s="0" t="n">
        <f aca="false">COUNTIF($BA$1792:$EH$1792,"D")</f>
        <v>0</v>
      </c>
      <c r="AW1420" s="0" t="n">
        <f aca="false">COUNTIF($BA$1792:$EH$1792,"R")</f>
        <v>0</v>
      </c>
      <c r="AX1420" s="0" t="n">
        <f aca="false">IF(BN1420="D",1,0)+IF(BO1420="D",1,0)+IF(BT1420="D",1,0)+IF(BU1420="D",1,0)+IF(BW1420="D",1,0)+IF(CC1420="D",1,0)+IF(CD1420="D",1,0)+IF(CE1420="D",1,0)+IF(CF1420="D",1,0)+IF(CL1420="D",1,0)+IF(CM1420="D",1,0)+IF(CQ1420="D",1,0)+IF(CR1420="D",1,0)+IF(CS1420="D",1,0)+IF(CW1420="D",1,0)+IF(CX1420="D",1,0)+IF(DD1420="D",1,0)+IF(DE1420="D",1,0)+IF(DJ1420="D",1,0)+IF(DK1420="D",1,0)+IF(DO1420="D",1,0)+IF(DP1420="D",1,0)+IF(DQ1420="D",1,0)+IF(DW1420="D",1,0)+IF(DZ1420="D",1,0)+IF(EH1420="D",1,0)</f>
        <v>0</v>
      </c>
      <c r="AY1420" s="0" t="n">
        <f aca="false">COUNTIF(DU1420:EH1420, "&lt;&gt;")</f>
        <v>1</v>
      </c>
      <c r="AZ1420" s="0" t="n">
        <f aca="false">IF(EH1420&lt;&gt;"",1,0)</f>
        <v>0</v>
      </c>
      <c r="BB1420" s="0" t="s">
        <v>152</v>
      </c>
      <c r="EF1420" s="0" t="s">
        <v>153</v>
      </c>
    </row>
    <row r="1421" customFormat="false" ht="13.8" hidden="true" customHeight="false" outlineLevel="0" collapsed="false">
      <c r="A1421" s="0" t="s">
        <v>6568</v>
      </c>
      <c r="B1421" s="0" t="n">
        <v>78</v>
      </c>
      <c r="C1421" s="0" t="n">
        <v>322153</v>
      </c>
      <c r="D1421" s="0" t="s">
        <v>224</v>
      </c>
      <c r="E1421" s="0" t="s">
        <v>2826</v>
      </c>
      <c r="F1421" s="0" t="str">
        <f aca="false">CONCATENATE(D1421," ",LEFT(H1421,4),"T=",AU1421,"D=",AV1421,"R=",AW1421,"M=",AX1421,"L=",AY1421,"B=",AZ1421)</f>
        <v>THOMAS T=21D=1R=2M=0L=0B=0</v>
      </c>
      <c r="G1421" s="0" t="s">
        <v>522</v>
      </c>
      <c r="I1421" s="0" t="s">
        <v>6569</v>
      </c>
      <c r="J1421" s="0" t="s">
        <v>6570</v>
      </c>
      <c r="K1421" s="0" t="s">
        <v>143</v>
      </c>
      <c r="M1421" s="0" t="s">
        <v>6547</v>
      </c>
      <c r="N1421" s="0" t="str">
        <f aca="false">RIGHT(M1421,LEN(M1421)-FIND(" ",M1421))</f>
        <v>LOGAN AVE NE</v>
      </c>
      <c r="O1421" s="0" t="s">
        <v>297</v>
      </c>
      <c r="P1421" s="0" t="s">
        <v>145</v>
      </c>
      <c r="Q1421" s="0" t="s">
        <v>146</v>
      </c>
      <c r="R1421" s="0" t="n">
        <v>44483</v>
      </c>
      <c r="AD1421" s="0" t="s">
        <v>147</v>
      </c>
      <c r="AE1421" s="0" t="s">
        <v>148</v>
      </c>
      <c r="AF1421" s="0" t="s">
        <v>149</v>
      </c>
      <c r="AH1421" s="0" t="n">
        <v>14</v>
      </c>
      <c r="AI1421" s="0" t="n">
        <v>11</v>
      </c>
      <c r="AN1421" s="0" t="s">
        <v>145</v>
      </c>
      <c r="AO1421" s="0" t="s">
        <v>654</v>
      </c>
      <c r="AP1421" s="0" t="s">
        <v>655</v>
      </c>
      <c r="AQ1421" s="0" t="n">
        <v>9</v>
      </c>
      <c r="AR1421" s="0" t="n">
        <v>64</v>
      </c>
      <c r="AS1421" s="0" t="n">
        <v>32</v>
      </c>
      <c r="AU1421" s="0" t="n">
        <f aca="false">COUNTA($BA$2071:$EH$2071)</f>
        <v>21</v>
      </c>
      <c r="AV1421" s="0" t="n">
        <f aca="false">COUNTIF($BA$2071:$EH$2071,"D")</f>
        <v>1</v>
      </c>
      <c r="AW1421" s="0" t="n">
        <f aca="false">COUNTIF($BA$2071:$EH$2071,"R")</f>
        <v>2</v>
      </c>
      <c r="AX1421" s="0" t="n">
        <f aca="false">IF(BN1421="D",1,0)+IF(BO1421="D",1,0)+IF(BT1421="D",1,0)+IF(BU1421="D",1,0)+IF(BW1421="D",1,0)+IF(CC1421="D",1,0)+IF(CD1421="D",1,0)+IF(CE1421="D",1,0)+IF(CF1421="D",1,0)+IF(CL1421="D",1,0)+IF(CM1421="D",1,0)+IF(CQ1421="D",1,0)+IF(CR1421="D",1,0)+IF(CS1421="D",1,0)+IF(CW1421="D",1,0)+IF(CX1421="D",1,0)+IF(DD1421="D",1,0)+IF(DE1421="D",1,0)+IF(DJ1421="D",1,0)+IF(DK1421="D",1,0)+IF(DO1421="D",1,0)+IF(DP1421="D",1,0)+IF(DQ1421="D",1,0)+IF(DW1421="D",1,0)+IF(DZ1421="D",1,0)+IF(EH1421="D",1,0)</f>
        <v>0</v>
      </c>
      <c r="AY1421" s="0" t="n">
        <f aca="false">COUNTIF(DU1421:EH1421, "&lt;&gt;")</f>
        <v>0</v>
      </c>
      <c r="AZ1421" s="0" t="n">
        <f aca="false">IF(EH1421&lt;&gt;"",1,0)</f>
        <v>0</v>
      </c>
      <c r="BB1421" s="0" t="s">
        <v>152</v>
      </c>
      <c r="BL1421" s="0" t="s">
        <v>153</v>
      </c>
    </row>
    <row r="1422" customFormat="false" ht="13.8" hidden="false" customHeight="false" outlineLevel="0" collapsed="false">
      <c r="A1422" s="0" t="s">
        <v>6571</v>
      </c>
      <c r="B1422" s="0" t="n">
        <v>78</v>
      </c>
      <c r="C1422" s="0" t="n">
        <v>381166</v>
      </c>
      <c r="D1422" s="0" t="s">
        <v>6572</v>
      </c>
      <c r="E1422" s="0" t="s">
        <v>170</v>
      </c>
      <c r="F1422" s="0" t="str">
        <f aca="false">CONCATENATE(D1422," ",LEFT(H1422,4),"T=",AU1422,"D=",AV1422,"R=",AW1422,"M=",AX1422,"L=",AY1422,"B=",AZ1422)</f>
        <v>NIEMI T=1D=0R=0M=0L=2B=0</v>
      </c>
      <c r="G1422" s="0" t="s">
        <v>209</v>
      </c>
      <c r="I1422" s="0" t="s">
        <v>6573</v>
      </c>
      <c r="J1422" s="0" t="s">
        <v>6574</v>
      </c>
      <c r="K1422" s="0" t="s">
        <v>160</v>
      </c>
      <c r="M1422" s="0" t="s">
        <v>6575</v>
      </c>
      <c r="N1422" s="0" t="str">
        <f aca="false">RIGHT(M1422,LEN(M1422)-FIND(" ",M1422))</f>
        <v>LOGAN AVE NE</v>
      </c>
      <c r="P1422" s="0" t="s">
        <v>145</v>
      </c>
      <c r="Q1422" s="0" t="s">
        <v>146</v>
      </c>
      <c r="R1422" s="0" t="n">
        <v>44483</v>
      </c>
      <c r="AD1422" s="0" t="s">
        <v>147</v>
      </c>
      <c r="AE1422" s="0" t="s">
        <v>148</v>
      </c>
      <c r="AF1422" s="0" t="s">
        <v>149</v>
      </c>
      <c r="AH1422" s="0" t="n">
        <v>14</v>
      </c>
      <c r="AI1422" s="0" t="n">
        <v>11</v>
      </c>
      <c r="AN1422" s="0" t="s">
        <v>145</v>
      </c>
      <c r="AO1422" s="0" t="s">
        <v>654</v>
      </c>
      <c r="AP1422" s="0" t="s">
        <v>655</v>
      </c>
      <c r="AQ1422" s="0" t="n">
        <v>9</v>
      </c>
      <c r="AR1422" s="0" t="n">
        <v>64</v>
      </c>
      <c r="AS1422" s="0" t="n">
        <v>32</v>
      </c>
      <c r="AU1422" s="0" t="n">
        <f aca="false">COUNTA($BA$1672:$EH$1672)</f>
        <v>1</v>
      </c>
      <c r="AV1422" s="0" t="n">
        <f aca="false">COUNTIF($BA$1672:$EH$1672,"D")</f>
        <v>0</v>
      </c>
      <c r="AW1422" s="0" t="n">
        <f aca="false">COUNTIF($BA$1672:$EH$1672,"R")</f>
        <v>0</v>
      </c>
      <c r="AX1422" s="0" t="n">
        <f aca="false">IF(BN1422="D",1,0)+IF(BO1422="D",1,0)+IF(BT1422="D",1,0)+IF(BU1422="D",1,0)+IF(BW1422="D",1,0)+IF(CC1422="D",1,0)+IF(CD1422="D",1,0)+IF(CE1422="D",1,0)+IF(CF1422="D",1,0)+IF(CL1422="D",1,0)+IF(CM1422="D",1,0)+IF(CQ1422="D",1,0)+IF(CR1422="D",1,0)+IF(CS1422="D",1,0)+IF(CW1422="D",1,0)+IF(CX1422="D",1,0)+IF(DD1422="D",1,0)+IF(DE1422="D",1,0)+IF(DJ1422="D",1,0)+IF(DK1422="D",1,0)+IF(DO1422="D",1,0)+IF(DP1422="D",1,0)+IF(DQ1422="D",1,0)+IF(DW1422="D",1,0)+IF(DZ1422="D",1,0)+IF(EH1422="D",1,0)</f>
        <v>0</v>
      </c>
      <c r="AY1422" s="0" t="n">
        <f aca="false">COUNTIF(DU1422:EH1422, "&lt;&gt;")</f>
        <v>2</v>
      </c>
      <c r="AZ1422" s="0" t="n">
        <f aca="false">IF(EH1422&lt;&gt;"",1,0)</f>
        <v>0</v>
      </c>
      <c r="BB1422" s="0" t="s">
        <v>152</v>
      </c>
      <c r="DI1422" s="0" t="s">
        <v>153</v>
      </c>
      <c r="DU1422" s="0" t="s">
        <v>153</v>
      </c>
      <c r="EF1422" s="0" t="s">
        <v>153</v>
      </c>
    </row>
    <row r="1423" customFormat="false" ht="13.8" hidden="false" customHeight="false" outlineLevel="0" collapsed="false">
      <c r="A1423" s="0" t="s">
        <v>6576</v>
      </c>
      <c r="B1423" s="0" t="n">
        <v>78</v>
      </c>
      <c r="C1423" s="0" t="n">
        <v>203973</v>
      </c>
      <c r="D1423" s="0" t="s">
        <v>6572</v>
      </c>
      <c r="E1423" s="0" t="s">
        <v>5678</v>
      </c>
      <c r="F1423" s="0" t="str">
        <f aca="false">CONCATENATE(D1423," ",LEFT(H1423,4),"T=",AU1423,"D=",AV1423,"R=",AW1423,"M=",AX1423,"L=",AY1423,"B=",AZ1423)</f>
        <v>NIEMI T=3D=0R=0M=2L=5B=0</v>
      </c>
      <c r="G1423" s="0" t="s">
        <v>268</v>
      </c>
      <c r="I1423" s="0" t="s">
        <v>6577</v>
      </c>
      <c r="J1423" s="0" t="s">
        <v>6578</v>
      </c>
      <c r="K1423" s="0" t="s">
        <v>160</v>
      </c>
      <c r="L1423" s="0" t="s">
        <v>175</v>
      </c>
      <c r="M1423" s="0" t="s">
        <v>6575</v>
      </c>
      <c r="N1423" s="0" t="str">
        <f aca="false">RIGHT(M1423,LEN(M1423)-FIND(" ",M1423))</f>
        <v>LOGAN AVE NE</v>
      </c>
      <c r="P1423" s="0" t="s">
        <v>145</v>
      </c>
      <c r="Q1423" s="0" t="s">
        <v>146</v>
      </c>
      <c r="R1423" s="0" t="n">
        <v>44483</v>
      </c>
      <c r="AD1423" s="0" t="s">
        <v>147</v>
      </c>
      <c r="AE1423" s="0" t="s">
        <v>148</v>
      </c>
      <c r="AF1423" s="0" t="s">
        <v>149</v>
      </c>
      <c r="AH1423" s="0" t="n">
        <v>14</v>
      </c>
      <c r="AI1423" s="0" t="n">
        <v>11</v>
      </c>
      <c r="AN1423" s="0" t="s">
        <v>145</v>
      </c>
      <c r="AO1423" s="0" t="s">
        <v>654</v>
      </c>
      <c r="AP1423" s="0" t="s">
        <v>655</v>
      </c>
      <c r="AQ1423" s="0" t="n">
        <v>9</v>
      </c>
      <c r="AR1423" s="0" t="n">
        <v>64</v>
      </c>
      <c r="AS1423" s="0" t="n">
        <v>32</v>
      </c>
      <c r="AU1423" s="0" t="n">
        <f aca="false">COUNTA($BA$1673:$EH$1673)</f>
        <v>3</v>
      </c>
      <c r="AV1423" s="0" t="n">
        <f aca="false">COUNTIF($BA$1673:$EH$1673,"D")</f>
        <v>0</v>
      </c>
      <c r="AW1423" s="0" t="n">
        <f aca="false">COUNTIF($BA$1673:$EH$1673,"R")</f>
        <v>0</v>
      </c>
      <c r="AX1423" s="0" t="n">
        <f aca="false">IF(BN1423="D",1,0)+IF(BO1423="D",1,0)+IF(BT1423="D",1,0)+IF(BU1423="D",1,0)+IF(BW1423="D",1,0)+IF(CC1423="D",1,0)+IF(CD1423="D",1,0)+IF(CE1423="D",1,0)+IF(CF1423="D",1,0)+IF(CL1423="D",1,0)+IF(CM1423="D",1,0)+IF(CQ1423="D",1,0)+IF(CR1423="D",1,0)+IF(CS1423="D",1,0)+IF(CW1423="D",1,0)+IF(CX1423="D",1,0)+IF(DD1423="D",1,0)+IF(DE1423="D",1,0)+IF(DJ1423="D",1,0)+IF(DK1423="D",1,0)+IF(DO1423="D",1,0)+IF(DP1423="D",1,0)+IF(DQ1423="D",1,0)+IF(DW1423="D",1,0)+IF(DZ1423="D",1,0)+IF(EH1423="D",1,0)</f>
        <v>2</v>
      </c>
      <c r="AY1423" s="0" t="n">
        <f aca="false">COUNTIF(DU1423:EH1423, "&lt;&gt;")</f>
        <v>5</v>
      </c>
      <c r="AZ1423" s="0" t="n">
        <f aca="false">IF(EH1423&lt;&gt;"",1,0)</f>
        <v>0</v>
      </c>
      <c r="BB1423" s="0" t="s">
        <v>152</v>
      </c>
      <c r="BD1423" s="0" t="s">
        <v>153</v>
      </c>
      <c r="BF1423" s="0" t="s">
        <v>153</v>
      </c>
      <c r="BG1423" s="0" t="s">
        <v>153</v>
      </c>
      <c r="BH1423" s="0" t="s">
        <v>153</v>
      </c>
      <c r="BI1423" s="0" t="s">
        <v>153</v>
      </c>
      <c r="BJ1423" s="0" t="s">
        <v>153</v>
      </c>
      <c r="BK1423" s="0" t="s">
        <v>153</v>
      </c>
      <c r="BL1423" s="0" t="s">
        <v>153</v>
      </c>
      <c r="BP1423" s="0" t="s">
        <v>153</v>
      </c>
      <c r="BR1423" s="0" t="s">
        <v>153</v>
      </c>
      <c r="BS1423" s="0" t="s">
        <v>153</v>
      </c>
      <c r="BV1423" s="0" t="s">
        <v>153</v>
      </c>
      <c r="BY1423" s="0" t="s">
        <v>175</v>
      </c>
      <c r="CA1423" s="0" t="s">
        <v>153</v>
      </c>
      <c r="CC1423" s="0" t="s">
        <v>175</v>
      </c>
      <c r="CG1423" s="0" t="s">
        <v>153</v>
      </c>
      <c r="CK1423" s="0" t="s">
        <v>153</v>
      </c>
      <c r="CN1423" s="0" t="s">
        <v>153</v>
      </c>
      <c r="CO1423" s="0" t="s">
        <v>175</v>
      </c>
      <c r="CP1423" s="0" t="s">
        <v>153</v>
      </c>
      <c r="CT1423" s="0" t="s">
        <v>153</v>
      </c>
      <c r="CY1423" s="0" t="s">
        <v>153</v>
      </c>
      <c r="CZ1423" s="0" t="s">
        <v>175</v>
      </c>
      <c r="DC1423" s="0" t="s">
        <v>153</v>
      </c>
      <c r="DF1423" s="0" t="s">
        <v>153</v>
      </c>
      <c r="DG1423" s="0" t="s">
        <v>175</v>
      </c>
      <c r="DI1423" s="0" t="s">
        <v>153</v>
      </c>
      <c r="DJ1423" s="0" t="s">
        <v>175</v>
      </c>
      <c r="DL1423" s="0" t="s">
        <v>153</v>
      </c>
      <c r="DN1423" s="0" t="s">
        <v>153</v>
      </c>
      <c r="DS1423" s="0" t="s">
        <v>175</v>
      </c>
      <c r="DU1423" s="0" t="s">
        <v>153</v>
      </c>
      <c r="DX1423" s="0" t="s">
        <v>153</v>
      </c>
      <c r="EA1423" s="0" t="s">
        <v>153</v>
      </c>
      <c r="ED1423" s="0" t="s">
        <v>175</v>
      </c>
      <c r="EF1423" s="0" t="s">
        <v>153</v>
      </c>
    </row>
    <row r="1424" customFormat="false" ht="13.8" hidden="true" customHeight="false" outlineLevel="0" collapsed="false">
      <c r="A1424" s="0" t="s">
        <v>6579</v>
      </c>
      <c r="B1424" s="0" t="n">
        <v>78</v>
      </c>
      <c r="C1424" s="0" t="n">
        <v>488746</v>
      </c>
      <c r="D1424" s="0" t="s">
        <v>224</v>
      </c>
      <c r="E1424" s="0" t="s">
        <v>6580</v>
      </c>
      <c r="F1424" s="0" t="str">
        <f aca="false">CONCATENATE(D1424," ",LEFT(H1424,4),"T=",AU1424,"D=",AV1424,"R=",AW1424,"M=",AX1424,"L=",AY1424,"B=",AZ1424)</f>
        <v>THOMAS T=1D=0R=0M=0L=1B=0</v>
      </c>
      <c r="G1424" s="0" t="s">
        <v>255</v>
      </c>
      <c r="I1424" s="0" t="s">
        <v>6581</v>
      </c>
      <c r="J1424" s="0" t="s">
        <v>3831</v>
      </c>
      <c r="K1424" s="0" t="s">
        <v>160</v>
      </c>
      <c r="M1424" s="0" t="s">
        <v>6582</v>
      </c>
      <c r="N1424" s="0" t="str">
        <f aca="false">RIGHT(M1424,LEN(M1424)-FIND(" ",M1424))</f>
        <v>LOGAN AVE NE</v>
      </c>
      <c r="P1424" s="0" t="s">
        <v>145</v>
      </c>
      <c r="Q1424" s="0" t="s">
        <v>146</v>
      </c>
      <c r="R1424" s="0" t="n">
        <v>44483</v>
      </c>
      <c r="AD1424" s="0" t="s">
        <v>147</v>
      </c>
      <c r="AE1424" s="0" t="s">
        <v>148</v>
      </c>
      <c r="AF1424" s="0" t="s">
        <v>149</v>
      </c>
      <c r="AH1424" s="0" t="n">
        <v>14</v>
      </c>
      <c r="AI1424" s="0" t="n">
        <v>11</v>
      </c>
      <c r="AN1424" s="0" t="s">
        <v>145</v>
      </c>
      <c r="AO1424" s="0" t="s">
        <v>654</v>
      </c>
      <c r="AP1424" s="0" t="s">
        <v>655</v>
      </c>
      <c r="AQ1424" s="0" t="n">
        <v>9</v>
      </c>
      <c r="AR1424" s="0" t="n">
        <v>64</v>
      </c>
      <c r="AS1424" s="0" t="n">
        <v>32</v>
      </c>
      <c r="AU1424" s="0" t="n">
        <f aca="false">COUNTA($BA$1200:$EH$1200)</f>
        <v>1</v>
      </c>
      <c r="AV1424" s="0" t="n">
        <f aca="false">COUNTIF($BA$1200:$EH$1200,"D")</f>
        <v>0</v>
      </c>
      <c r="AW1424" s="0" t="n">
        <f aca="false">COUNTIF($BA$1200:$EH$1200,"R")</f>
        <v>0</v>
      </c>
      <c r="AX1424" s="0" t="n">
        <f aca="false">IF(BN1424="D",1,0)+IF(BO1424="D",1,0)+IF(BT1424="D",1,0)+IF(BU1424="D",1,0)+IF(BW1424="D",1,0)+IF(CC1424="D",1,0)+IF(CD1424="D",1,0)+IF(CE1424="D",1,0)+IF(CF1424="D",1,0)+IF(CL1424="D",1,0)+IF(CM1424="D",1,0)+IF(CQ1424="D",1,0)+IF(CR1424="D",1,0)+IF(CS1424="D",1,0)+IF(CW1424="D",1,0)+IF(CX1424="D",1,0)+IF(DD1424="D",1,0)+IF(DE1424="D",1,0)+IF(DJ1424="D",1,0)+IF(DK1424="D",1,0)+IF(DO1424="D",1,0)+IF(DP1424="D",1,0)+IF(DQ1424="D",1,0)+IF(DW1424="D",1,0)+IF(DZ1424="D",1,0)+IF(EH1424="D",1,0)</f>
        <v>0</v>
      </c>
      <c r="AY1424" s="0" t="n">
        <f aca="false">COUNTIF(DU1424:EH1424, "&lt;&gt;")</f>
        <v>1</v>
      </c>
      <c r="AZ1424" s="0" t="n">
        <f aca="false">IF(EH1424&lt;&gt;"",1,0)</f>
        <v>0</v>
      </c>
      <c r="BB1424" s="0" t="s">
        <v>152</v>
      </c>
      <c r="DN1424" s="0" t="s">
        <v>153</v>
      </c>
      <c r="EF1424" s="0" t="s">
        <v>153</v>
      </c>
    </row>
    <row r="1425" customFormat="false" ht="13.8" hidden="true" customHeight="false" outlineLevel="0" collapsed="false">
      <c r="A1425" s="0" t="s">
        <v>6583</v>
      </c>
      <c r="B1425" s="0" t="n">
        <v>78</v>
      </c>
      <c r="C1425" s="0" t="n">
        <v>490178</v>
      </c>
      <c r="D1425" s="0" t="s">
        <v>6584</v>
      </c>
      <c r="E1425" s="0" t="s">
        <v>905</v>
      </c>
      <c r="F1425" s="0" t="str">
        <f aca="false">CONCATENATE(D1425," ",LEFT(H1425,4),"T=",AU1425,"D=",AV1425,"R=",AW1425,"M=",AX1425,"L=",AY1425,"B=",AZ1425)</f>
        <v>BURGER T=2D=0R=0M=0L=1B=0</v>
      </c>
      <c r="G1425" s="0" t="s">
        <v>6585</v>
      </c>
      <c r="I1425" s="0" t="s">
        <v>6586</v>
      </c>
      <c r="J1425" s="0" t="s">
        <v>218</v>
      </c>
      <c r="K1425" s="0" t="s">
        <v>160</v>
      </c>
      <c r="M1425" s="0" t="s">
        <v>6587</v>
      </c>
      <c r="N1425" s="0" t="str">
        <f aca="false">RIGHT(M1425,LEN(M1425)-FIND(" ",M1425))</f>
        <v>LOGAN AVE NE</v>
      </c>
      <c r="P1425" s="0" t="s">
        <v>145</v>
      </c>
      <c r="Q1425" s="0" t="s">
        <v>146</v>
      </c>
      <c r="R1425" s="0" t="n">
        <v>44483</v>
      </c>
      <c r="AD1425" s="0" t="s">
        <v>147</v>
      </c>
      <c r="AE1425" s="0" t="s">
        <v>148</v>
      </c>
      <c r="AF1425" s="0" t="s">
        <v>149</v>
      </c>
      <c r="AH1425" s="0" t="n">
        <v>14</v>
      </c>
      <c r="AI1425" s="0" t="n">
        <v>11</v>
      </c>
      <c r="AN1425" s="0" t="s">
        <v>145</v>
      </c>
      <c r="AO1425" s="0" t="s">
        <v>654</v>
      </c>
      <c r="AP1425" s="0" t="s">
        <v>655</v>
      </c>
      <c r="AQ1425" s="0" t="n">
        <v>9</v>
      </c>
      <c r="AR1425" s="0" t="n">
        <v>64</v>
      </c>
      <c r="AS1425" s="0" t="n">
        <v>32</v>
      </c>
      <c r="AU1425" s="0" t="n">
        <f aca="false">COUNTA($BA$1830:$EH$1830)</f>
        <v>2</v>
      </c>
      <c r="AV1425" s="0" t="n">
        <f aca="false">COUNTIF($BA$1830:$EH$1830,"D")</f>
        <v>0</v>
      </c>
      <c r="AW1425" s="0" t="n">
        <f aca="false">COUNTIF($BA$1830:$EH$1830,"R")</f>
        <v>0</v>
      </c>
      <c r="AX1425" s="0" t="n">
        <f aca="false">IF(BN1425="D",1,0)+IF(BO1425="D",1,0)+IF(BT1425="D",1,0)+IF(BU1425="D",1,0)+IF(BW1425="D",1,0)+IF(CC1425="D",1,0)+IF(CD1425="D",1,0)+IF(CE1425="D",1,0)+IF(CF1425="D",1,0)+IF(CL1425="D",1,0)+IF(CM1425="D",1,0)+IF(CQ1425="D",1,0)+IF(CR1425="D",1,0)+IF(CS1425="D",1,0)+IF(CW1425="D",1,0)+IF(CX1425="D",1,0)+IF(DD1425="D",1,0)+IF(DE1425="D",1,0)+IF(DJ1425="D",1,0)+IF(DK1425="D",1,0)+IF(DO1425="D",1,0)+IF(DP1425="D",1,0)+IF(DQ1425="D",1,0)+IF(DW1425="D",1,0)+IF(DZ1425="D",1,0)+IF(EH1425="D",1,0)</f>
        <v>0</v>
      </c>
      <c r="AY1425" s="0" t="n">
        <f aca="false">COUNTIF(DU1425:EH1425, "&lt;&gt;")</f>
        <v>1</v>
      </c>
      <c r="AZ1425" s="0" t="n">
        <f aca="false">IF(EH1425&lt;&gt;"",1,0)</f>
        <v>0</v>
      </c>
      <c r="BB1425" s="0" t="s">
        <v>152</v>
      </c>
      <c r="BD1425" s="0" t="s">
        <v>153</v>
      </c>
      <c r="BL1425" s="0" t="s">
        <v>153</v>
      </c>
      <c r="EF1425" s="0" t="s">
        <v>153</v>
      </c>
    </row>
    <row r="1426" customFormat="false" ht="13.8" hidden="true" customHeight="false" outlineLevel="0" collapsed="false">
      <c r="A1426" s="0" t="s">
        <v>6588</v>
      </c>
      <c r="B1426" s="0" t="n">
        <v>78</v>
      </c>
      <c r="C1426" s="0" t="n">
        <v>485061</v>
      </c>
      <c r="D1426" s="0" t="s">
        <v>6589</v>
      </c>
      <c r="E1426" s="0" t="s">
        <v>208</v>
      </c>
      <c r="F1426" s="0" t="str">
        <f aca="false">CONCATENATE(D1426," ",LEFT(H1426,4),"T=",AU1426,"D=",AV1426,"R=",AW1426,"M=",AX1426,"L=",AY1426,"B=",AZ1426)</f>
        <v>YINGLING JRT=19D=3R=0M=0L=0B=0</v>
      </c>
      <c r="G1426" s="0" t="s">
        <v>6590</v>
      </c>
      <c r="H1426" s="0" t="s">
        <v>314</v>
      </c>
      <c r="I1426" s="0" t="s">
        <v>6591</v>
      </c>
      <c r="J1426" s="0" t="s">
        <v>6592</v>
      </c>
      <c r="K1426" s="0" t="s">
        <v>160</v>
      </c>
      <c r="M1426" s="0" t="s">
        <v>6593</v>
      </c>
      <c r="N1426" s="0" t="str">
        <f aca="false">RIGHT(M1426,LEN(M1426)-FIND(" ",M1426))</f>
        <v>LOGAN AVE NE</v>
      </c>
      <c r="P1426" s="0" t="s">
        <v>145</v>
      </c>
      <c r="Q1426" s="0" t="s">
        <v>146</v>
      </c>
      <c r="R1426" s="0" t="n">
        <v>44483</v>
      </c>
      <c r="AD1426" s="0" t="s">
        <v>147</v>
      </c>
      <c r="AE1426" s="0" t="s">
        <v>148</v>
      </c>
      <c r="AF1426" s="0" t="s">
        <v>149</v>
      </c>
      <c r="AH1426" s="0" t="n">
        <v>14</v>
      </c>
      <c r="AI1426" s="0" t="n">
        <v>11</v>
      </c>
      <c r="AN1426" s="0" t="s">
        <v>145</v>
      </c>
      <c r="AO1426" s="0" t="s">
        <v>654</v>
      </c>
      <c r="AP1426" s="0" t="s">
        <v>655</v>
      </c>
      <c r="AQ1426" s="0" t="n">
        <v>9</v>
      </c>
      <c r="AR1426" s="0" t="n">
        <v>64</v>
      </c>
      <c r="AS1426" s="0" t="n">
        <v>32</v>
      </c>
      <c r="AU1426" s="0" t="n">
        <f aca="false">COUNTA($BA$1689:$EH$1689)</f>
        <v>19</v>
      </c>
      <c r="AV1426" s="0" t="n">
        <f aca="false">COUNTIF($BA$1689:$EH$1689,"D")</f>
        <v>3</v>
      </c>
      <c r="AW1426" s="0" t="n">
        <f aca="false">COUNTIF($BA$1689:$EH$1689,"R")</f>
        <v>0</v>
      </c>
      <c r="AX1426" s="0" t="n">
        <f aca="false">IF(BN1426="D",1,0)+IF(BO1426="D",1,0)+IF(BT1426="D",1,0)+IF(BU1426="D",1,0)+IF(BW1426="D",1,0)+IF(CC1426="D",1,0)+IF(CD1426="D",1,0)+IF(CE1426="D",1,0)+IF(CF1426="D",1,0)+IF(CL1426="D",1,0)+IF(CM1426="D",1,0)+IF(CQ1426="D",1,0)+IF(CR1426="D",1,0)+IF(CS1426="D",1,0)+IF(CW1426="D",1,0)+IF(CX1426="D",1,0)+IF(DD1426="D",1,0)+IF(DE1426="D",1,0)+IF(DJ1426="D",1,0)+IF(DK1426="D",1,0)+IF(DO1426="D",1,0)+IF(DP1426="D",1,0)+IF(DQ1426="D",1,0)+IF(DW1426="D",1,0)+IF(DZ1426="D",1,0)+IF(EH1426="D",1,0)</f>
        <v>0</v>
      </c>
      <c r="AY1426" s="0" t="n">
        <f aca="false">COUNTIF(DU1426:EH1426, "&lt;&gt;")</f>
        <v>0</v>
      </c>
      <c r="AZ1426" s="0" t="n">
        <f aca="false">IF(EH1426&lt;&gt;"",1,0)</f>
        <v>0</v>
      </c>
      <c r="BB1426" s="0" t="s">
        <v>152</v>
      </c>
    </row>
    <row r="1427" customFormat="false" ht="13.8" hidden="true" customHeight="false" outlineLevel="0" collapsed="false">
      <c r="A1427" s="0" t="s">
        <v>6594</v>
      </c>
      <c r="B1427" s="0" t="n">
        <v>78</v>
      </c>
      <c r="C1427" s="0" t="n">
        <v>494905</v>
      </c>
      <c r="D1427" s="0" t="s">
        <v>6595</v>
      </c>
      <c r="E1427" s="0" t="s">
        <v>274</v>
      </c>
      <c r="F1427" s="0" t="str">
        <f aca="false">CONCATENATE(D1427," ",LEFT(H1427,4),"T=",AU1427,"D=",AV1427,"R=",AW1427,"M=",AX1427,"L=",AY1427,"B=",AZ1427)</f>
        <v>MEALY T=2D=0R=0M=0L=0B=0</v>
      </c>
      <c r="G1427" s="0" t="s">
        <v>1912</v>
      </c>
      <c r="I1427" s="0" t="s">
        <v>6596</v>
      </c>
      <c r="J1427" s="0" t="s">
        <v>6597</v>
      </c>
      <c r="K1427" s="0" t="s">
        <v>160</v>
      </c>
      <c r="M1427" s="0" t="s">
        <v>6598</v>
      </c>
      <c r="N1427" s="0" t="str">
        <f aca="false">RIGHT(M1427,LEN(M1427)-FIND(" ",M1427))</f>
        <v>LOGAN AVE NE</v>
      </c>
      <c r="P1427" s="0" t="s">
        <v>145</v>
      </c>
      <c r="Q1427" s="0" t="s">
        <v>146</v>
      </c>
      <c r="R1427" s="0" t="n">
        <v>44483</v>
      </c>
      <c r="AD1427" s="0" t="s">
        <v>147</v>
      </c>
      <c r="AE1427" s="0" t="s">
        <v>148</v>
      </c>
      <c r="AF1427" s="0" t="s">
        <v>149</v>
      </c>
      <c r="AH1427" s="0" t="n">
        <v>14</v>
      </c>
      <c r="AI1427" s="0" t="n">
        <v>11</v>
      </c>
      <c r="AN1427" s="0" t="s">
        <v>145</v>
      </c>
      <c r="AO1427" s="0" t="s">
        <v>654</v>
      </c>
      <c r="AP1427" s="0" t="s">
        <v>655</v>
      </c>
      <c r="AQ1427" s="0" t="n">
        <v>9</v>
      </c>
      <c r="AR1427" s="0" t="n">
        <v>64</v>
      </c>
      <c r="AS1427" s="0" t="n">
        <v>32</v>
      </c>
      <c r="AU1427" s="0" t="n">
        <f aca="false">COUNTA($BA$1301:$EH$1301)</f>
        <v>2</v>
      </c>
      <c r="AV1427" s="0" t="n">
        <f aca="false">COUNTIF($BA$1301:$EH$1301,"D")</f>
        <v>0</v>
      </c>
      <c r="AW1427" s="0" t="n">
        <f aca="false">COUNTIF($BA$1301:$EH$1301,"R")</f>
        <v>0</v>
      </c>
      <c r="AX1427" s="0" t="n">
        <f aca="false">IF(BN1427="D",1,0)+IF(BO1427="D",1,0)+IF(BT1427="D",1,0)+IF(BU1427="D",1,0)+IF(BW1427="D",1,0)+IF(CC1427="D",1,0)+IF(CD1427="D",1,0)+IF(CE1427="D",1,0)+IF(CF1427="D",1,0)+IF(CL1427="D",1,0)+IF(CM1427="D",1,0)+IF(CQ1427="D",1,0)+IF(CR1427="D",1,0)+IF(CS1427="D",1,0)+IF(CW1427="D",1,0)+IF(CX1427="D",1,0)+IF(DD1427="D",1,0)+IF(DE1427="D",1,0)+IF(DJ1427="D",1,0)+IF(DK1427="D",1,0)+IF(DO1427="D",1,0)+IF(DP1427="D",1,0)+IF(DQ1427="D",1,0)+IF(DW1427="D",1,0)+IF(DZ1427="D",1,0)+IF(EH1427="D",1,0)</f>
        <v>0</v>
      </c>
      <c r="AY1427" s="0" t="n">
        <f aca="false">COUNTIF(DU1427:EH1427, "&lt;&gt;")</f>
        <v>0</v>
      </c>
      <c r="AZ1427" s="0" t="n">
        <f aca="false">IF(EH1427&lt;&gt;"",1,0)</f>
        <v>0</v>
      </c>
      <c r="BB1427" s="0" t="s">
        <v>152</v>
      </c>
    </row>
    <row r="1428" customFormat="false" ht="13.8" hidden="true" customHeight="false" outlineLevel="0" collapsed="false">
      <c r="A1428" s="0" t="s">
        <v>6599</v>
      </c>
      <c r="B1428" s="0" t="n">
        <v>78</v>
      </c>
      <c r="C1428" s="0" t="n">
        <v>417970</v>
      </c>
      <c r="D1428" s="0" t="s">
        <v>6595</v>
      </c>
      <c r="E1428" s="0" t="s">
        <v>3809</v>
      </c>
      <c r="F1428" s="0" t="str">
        <f aca="false">CONCATENATE(D1428," ",LEFT(H1428,4),"T=",AU1428,"D=",AV1428,"R=",AW1428,"M=",AX1428,"L=",AY1428,"B=",AZ1428)</f>
        <v>MEALY T=7D=0R=0M=0L=0B=0</v>
      </c>
      <c r="G1428" s="0" t="s">
        <v>164</v>
      </c>
      <c r="I1428" s="0" t="s">
        <v>6600</v>
      </c>
      <c r="J1428" s="0" t="s">
        <v>4676</v>
      </c>
      <c r="K1428" s="0" t="s">
        <v>143</v>
      </c>
      <c r="M1428" s="0" t="s">
        <v>6598</v>
      </c>
      <c r="N1428" s="0" t="str">
        <f aca="false">RIGHT(M1428,LEN(M1428)-FIND(" ",M1428))</f>
        <v>LOGAN AVE NE</v>
      </c>
      <c r="P1428" s="0" t="s">
        <v>145</v>
      </c>
      <c r="Q1428" s="0" t="s">
        <v>146</v>
      </c>
      <c r="R1428" s="0" t="n">
        <v>44483</v>
      </c>
      <c r="AD1428" s="0" t="s">
        <v>147</v>
      </c>
      <c r="AE1428" s="0" t="s">
        <v>148</v>
      </c>
      <c r="AF1428" s="0" t="s">
        <v>149</v>
      </c>
      <c r="AH1428" s="0" t="n">
        <v>14</v>
      </c>
      <c r="AI1428" s="0" t="n">
        <v>11</v>
      </c>
      <c r="AN1428" s="0" t="s">
        <v>145</v>
      </c>
      <c r="AO1428" s="0" t="s">
        <v>654</v>
      </c>
      <c r="AP1428" s="0" t="s">
        <v>655</v>
      </c>
      <c r="AQ1428" s="0" t="n">
        <v>9</v>
      </c>
      <c r="AR1428" s="0" t="n">
        <v>64</v>
      </c>
      <c r="AS1428" s="0" t="n">
        <v>32</v>
      </c>
      <c r="AU1428" s="0" t="n">
        <f aca="false">COUNTA($BA$1441:$EH$1441)</f>
        <v>7</v>
      </c>
      <c r="AV1428" s="0" t="n">
        <f aca="false">COUNTIF($BA$1441:$EH$1441,"D")</f>
        <v>0</v>
      </c>
      <c r="AW1428" s="0" t="n">
        <f aca="false">COUNTIF($BA$1441:$EH$1441,"R")</f>
        <v>0</v>
      </c>
      <c r="AX1428" s="0" t="n">
        <f aca="false">IF(BN1428="D",1,0)+IF(BO1428="D",1,0)+IF(BT1428="D",1,0)+IF(BU1428="D",1,0)+IF(BW1428="D",1,0)+IF(CC1428="D",1,0)+IF(CD1428="D",1,0)+IF(CE1428="D",1,0)+IF(CF1428="D",1,0)+IF(CL1428="D",1,0)+IF(CM1428="D",1,0)+IF(CQ1428="D",1,0)+IF(CR1428="D",1,0)+IF(CS1428="D",1,0)+IF(CW1428="D",1,0)+IF(CX1428="D",1,0)+IF(DD1428="D",1,0)+IF(DE1428="D",1,0)+IF(DJ1428="D",1,0)+IF(DK1428="D",1,0)+IF(DO1428="D",1,0)+IF(DP1428="D",1,0)+IF(DQ1428="D",1,0)+IF(DW1428="D",1,0)+IF(DZ1428="D",1,0)+IF(EH1428="D",1,0)</f>
        <v>0</v>
      </c>
      <c r="AY1428" s="0" t="n">
        <f aca="false">COUNTIF(DU1428:EH1428, "&lt;&gt;")</f>
        <v>0</v>
      </c>
      <c r="AZ1428" s="0" t="n">
        <f aca="false">IF(EH1428&lt;&gt;"",1,0)</f>
        <v>0</v>
      </c>
      <c r="BB1428" s="0" t="s">
        <v>152</v>
      </c>
      <c r="BG1428" s="0" t="s">
        <v>209</v>
      </c>
      <c r="BH1428" s="0" t="s">
        <v>153</v>
      </c>
      <c r="BI1428" s="0" t="s">
        <v>153</v>
      </c>
      <c r="BJ1428" s="0" t="s">
        <v>153</v>
      </c>
      <c r="BL1428" s="0" t="s">
        <v>153</v>
      </c>
      <c r="BN1428" s="0" t="s">
        <v>153</v>
      </c>
      <c r="BP1428" s="0" t="s">
        <v>153</v>
      </c>
      <c r="DC1428" s="0" t="s">
        <v>153</v>
      </c>
      <c r="DI1428" s="0" t="s">
        <v>153</v>
      </c>
      <c r="DN1428" s="0" t="s">
        <v>153</v>
      </c>
    </row>
    <row r="1429" customFormat="false" ht="13.8" hidden="true" customHeight="false" outlineLevel="0" collapsed="false">
      <c r="A1429" s="0" t="s">
        <v>6601</v>
      </c>
      <c r="B1429" s="0" t="n">
        <v>78</v>
      </c>
      <c r="C1429" s="0" t="n">
        <v>373238</v>
      </c>
      <c r="D1429" s="0" t="s">
        <v>3940</v>
      </c>
      <c r="E1429" s="0" t="s">
        <v>3873</v>
      </c>
      <c r="F1429" s="0" t="str">
        <f aca="false">CONCATENATE(D1429," ",LEFT(H1429,4),"T=",AU1429,"D=",AV1429,"R=",AW1429,"M=",AX1429,"L=",AY1429,"B=",AZ1429)</f>
        <v>WILSON T=38D=10R=0M=0L=0B=0</v>
      </c>
      <c r="G1429" s="0" t="s">
        <v>209</v>
      </c>
      <c r="I1429" s="0" t="s">
        <v>6602</v>
      </c>
      <c r="J1429" s="0" t="s">
        <v>3155</v>
      </c>
      <c r="K1429" s="0" t="s">
        <v>143</v>
      </c>
      <c r="M1429" s="0" t="s">
        <v>6598</v>
      </c>
      <c r="N1429" s="0" t="str">
        <f aca="false">RIGHT(M1429,LEN(M1429)-FIND(" ",M1429))</f>
        <v>LOGAN AVE NE</v>
      </c>
      <c r="P1429" s="0" t="s">
        <v>145</v>
      </c>
      <c r="Q1429" s="0" t="s">
        <v>146</v>
      </c>
      <c r="R1429" s="0" t="n">
        <v>44483</v>
      </c>
      <c r="AD1429" s="0" t="s">
        <v>147</v>
      </c>
      <c r="AE1429" s="0" t="s">
        <v>148</v>
      </c>
      <c r="AF1429" s="0" t="s">
        <v>149</v>
      </c>
      <c r="AH1429" s="0" t="n">
        <v>14</v>
      </c>
      <c r="AI1429" s="0" t="n">
        <v>11</v>
      </c>
      <c r="AN1429" s="0" t="s">
        <v>145</v>
      </c>
      <c r="AO1429" s="0" t="s">
        <v>654</v>
      </c>
      <c r="AP1429" s="0" t="s">
        <v>655</v>
      </c>
      <c r="AQ1429" s="0" t="n">
        <v>9</v>
      </c>
      <c r="AR1429" s="0" t="n">
        <v>64</v>
      </c>
      <c r="AS1429" s="0" t="n">
        <v>32</v>
      </c>
      <c r="AU1429" s="0" t="n">
        <f aca="false">COUNTA($BA$1731:$EH$1731)</f>
        <v>38</v>
      </c>
      <c r="AV1429" s="0" t="n">
        <f aca="false">COUNTIF($BA$1731:$EH$1731,"D")</f>
        <v>10</v>
      </c>
      <c r="AW1429" s="0" t="n">
        <f aca="false">COUNTIF($BA$1731:$EH$1731,"R")</f>
        <v>0</v>
      </c>
      <c r="AX1429" s="0" t="n">
        <f aca="false">IF(BN1429="D",1,0)+IF(BO1429="D",1,0)+IF(BT1429="D",1,0)+IF(BU1429="D",1,0)+IF(BW1429="D",1,0)+IF(CC1429="D",1,0)+IF(CD1429="D",1,0)+IF(CE1429="D",1,0)+IF(CF1429="D",1,0)+IF(CL1429="D",1,0)+IF(CM1429="D",1,0)+IF(CQ1429="D",1,0)+IF(CR1429="D",1,0)+IF(CS1429="D",1,0)+IF(CW1429="D",1,0)+IF(CX1429="D",1,0)+IF(DD1429="D",1,0)+IF(DE1429="D",1,0)+IF(DJ1429="D",1,0)+IF(DK1429="D",1,0)+IF(DO1429="D",1,0)+IF(DP1429="D",1,0)+IF(DQ1429="D",1,0)+IF(DW1429="D",1,0)+IF(DZ1429="D",1,0)+IF(EH1429="D",1,0)</f>
        <v>0</v>
      </c>
      <c r="AY1429" s="0" t="n">
        <f aca="false">COUNTIF(DU1429:EH1429, "&lt;&gt;")</f>
        <v>0</v>
      </c>
      <c r="AZ1429" s="0" t="n">
        <f aca="false">IF(EH1429&lt;&gt;"",1,0)</f>
        <v>0</v>
      </c>
      <c r="BB1429" s="0" t="s">
        <v>152</v>
      </c>
      <c r="BS1429" s="0" t="s">
        <v>153</v>
      </c>
    </row>
    <row r="1430" customFormat="false" ht="13.8" hidden="true" customHeight="false" outlineLevel="0" collapsed="false">
      <c r="A1430" s="0" t="s">
        <v>6603</v>
      </c>
      <c r="B1430" s="0" t="n">
        <v>78</v>
      </c>
      <c r="C1430" s="0" t="n">
        <v>444286</v>
      </c>
      <c r="D1430" s="0" t="s">
        <v>6595</v>
      </c>
      <c r="E1430" s="0" t="s">
        <v>274</v>
      </c>
      <c r="F1430" s="0" t="str">
        <f aca="false">CONCATENATE(D1430," ",LEFT(H1430,4),"T=",AU1430,"D=",AV1430,"R=",AW1430,"M=",AX1430,"L=",AY1430,"B=",AZ1430)</f>
        <v>MEALY T=1D=0R=0M=0L=1B=0</v>
      </c>
      <c r="G1430" s="0" t="s">
        <v>195</v>
      </c>
      <c r="I1430" s="0" t="s">
        <v>6604</v>
      </c>
      <c r="J1430" s="0" t="s">
        <v>231</v>
      </c>
      <c r="K1430" s="0" t="s">
        <v>160</v>
      </c>
      <c r="M1430" s="0" t="s">
        <v>6598</v>
      </c>
      <c r="N1430" s="0" t="str">
        <f aca="false">RIGHT(M1430,LEN(M1430)-FIND(" ",M1430))</f>
        <v>LOGAN AVE NE</v>
      </c>
      <c r="P1430" s="0" t="s">
        <v>145</v>
      </c>
      <c r="Q1430" s="0" t="s">
        <v>146</v>
      </c>
      <c r="R1430" s="0" t="n">
        <v>44483</v>
      </c>
      <c r="AD1430" s="0" t="s">
        <v>147</v>
      </c>
      <c r="AE1430" s="0" t="s">
        <v>148</v>
      </c>
      <c r="AF1430" s="0" t="s">
        <v>149</v>
      </c>
      <c r="AH1430" s="0" t="n">
        <v>14</v>
      </c>
      <c r="AI1430" s="0" t="n">
        <v>11</v>
      </c>
      <c r="AN1430" s="0" t="s">
        <v>145</v>
      </c>
      <c r="AO1430" s="0" t="s">
        <v>654</v>
      </c>
      <c r="AP1430" s="0" t="s">
        <v>655</v>
      </c>
      <c r="AQ1430" s="0" t="n">
        <v>9</v>
      </c>
      <c r="AR1430" s="0" t="n">
        <v>64</v>
      </c>
      <c r="AS1430" s="0" t="n">
        <v>32</v>
      </c>
      <c r="AU1430" s="0" t="n">
        <f aca="false">COUNTA($BA$1973:$EH$1973)</f>
        <v>1</v>
      </c>
      <c r="AV1430" s="0" t="n">
        <f aca="false">COUNTIF($BA$1973:$EH$1973,"D")</f>
        <v>0</v>
      </c>
      <c r="AW1430" s="0" t="n">
        <f aca="false">COUNTIF($BA$1973:$EH$1973,"R")</f>
        <v>0</v>
      </c>
      <c r="AX1430" s="0" t="n">
        <f aca="false">IF(BN1430="D",1,0)+IF(BO1430="D",1,0)+IF(BT1430="D",1,0)+IF(BU1430="D",1,0)+IF(BW1430="D",1,0)+IF(CC1430="D",1,0)+IF(CD1430="D",1,0)+IF(CE1430="D",1,0)+IF(CF1430="D",1,0)+IF(CL1430="D",1,0)+IF(CM1430="D",1,0)+IF(CQ1430="D",1,0)+IF(CR1430="D",1,0)+IF(CS1430="D",1,0)+IF(CW1430="D",1,0)+IF(CX1430="D",1,0)+IF(DD1430="D",1,0)+IF(DE1430="D",1,0)+IF(DJ1430="D",1,0)+IF(DK1430="D",1,0)+IF(DO1430="D",1,0)+IF(DP1430="D",1,0)+IF(DQ1430="D",1,0)+IF(DW1430="D",1,0)+IF(DZ1430="D",1,0)+IF(EH1430="D",1,0)</f>
        <v>0</v>
      </c>
      <c r="AY1430" s="0" t="n">
        <f aca="false">COUNTIF(DU1430:EH1430, "&lt;&gt;")</f>
        <v>1</v>
      </c>
      <c r="AZ1430" s="0" t="n">
        <f aca="false">IF(EH1430&lt;&gt;"",1,0)</f>
        <v>0</v>
      </c>
      <c r="BB1430" s="0" t="s">
        <v>152</v>
      </c>
      <c r="DN1430" s="0" t="s">
        <v>153</v>
      </c>
      <c r="EF1430" s="0" t="s">
        <v>153</v>
      </c>
    </row>
    <row r="1431" customFormat="false" ht="13.8" hidden="false" customHeight="false" outlineLevel="0" collapsed="false">
      <c r="A1431" s="0" t="s">
        <v>6605</v>
      </c>
      <c r="B1431" s="0" t="n">
        <v>78</v>
      </c>
      <c r="C1431" s="0" t="n">
        <v>211685</v>
      </c>
      <c r="D1431" s="0" t="s">
        <v>6606</v>
      </c>
      <c r="E1431" s="0" t="s">
        <v>2401</v>
      </c>
      <c r="F1431" s="0" t="str">
        <f aca="false">CONCATENATE(D1431," ",LEFT(H1431,4),"T=",AU1431,"D=",AV1431,"R=",AW1431,"M=",AX1431,"L=",AY1431,"B=",AZ1431)</f>
        <v>BUCCI T=1D=0R=0M=0L=3B=0</v>
      </c>
      <c r="I1431" s="0" t="s">
        <v>6607</v>
      </c>
      <c r="J1431" s="0" t="s">
        <v>217</v>
      </c>
      <c r="K1431" s="0" t="s">
        <v>160</v>
      </c>
      <c r="M1431" s="0" t="s">
        <v>6608</v>
      </c>
      <c r="N1431" s="0" t="str">
        <f aca="false">RIGHT(M1431,LEN(M1431)-FIND(" ",M1431))</f>
        <v>LOGAN AVE NE</v>
      </c>
      <c r="P1431" s="0" t="s">
        <v>145</v>
      </c>
      <c r="Q1431" s="0" t="s">
        <v>146</v>
      </c>
      <c r="R1431" s="0" t="n">
        <v>44483</v>
      </c>
      <c r="AD1431" s="0" t="s">
        <v>147</v>
      </c>
      <c r="AE1431" s="0" t="s">
        <v>148</v>
      </c>
      <c r="AF1431" s="0" t="s">
        <v>149</v>
      </c>
      <c r="AH1431" s="0" t="n">
        <v>14</v>
      </c>
      <c r="AI1431" s="0" t="n">
        <v>11</v>
      </c>
      <c r="AN1431" s="0" t="s">
        <v>145</v>
      </c>
      <c r="AO1431" s="0" t="s">
        <v>654</v>
      </c>
      <c r="AP1431" s="0" t="s">
        <v>655</v>
      </c>
      <c r="AQ1431" s="0" t="n">
        <v>9</v>
      </c>
      <c r="AR1431" s="0" t="n">
        <v>64</v>
      </c>
      <c r="AS1431" s="0" t="n">
        <v>32</v>
      </c>
      <c r="AU1431" s="0" t="n">
        <f aca="false">COUNTA($BA$1648:$EH$1648)</f>
        <v>1</v>
      </c>
      <c r="AV1431" s="0" t="n">
        <f aca="false">COUNTIF($BA$1648:$EH$1648,"D")</f>
        <v>0</v>
      </c>
      <c r="AW1431" s="0" t="n">
        <f aca="false">COUNTIF($BA$1648:$EH$1648,"R")</f>
        <v>0</v>
      </c>
      <c r="AX1431" s="0" t="n">
        <f aca="false">IF(BN1431="D",1,0)+IF(BO1431="D",1,0)+IF(BT1431="D",1,0)+IF(BU1431="D",1,0)+IF(BW1431="D",1,0)+IF(CC1431="D",1,0)+IF(CD1431="D",1,0)+IF(CE1431="D",1,0)+IF(CF1431="D",1,0)+IF(CL1431="D",1,0)+IF(CM1431="D",1,0)+IF(CQ1431="D",1,0)+IF(CR1431="D",1,0)+IF(CS1431="D",1,0)+IF(CW1431="D",1,0)+IF(CX1431="D",1,0)+IF(DD1431="D",1,0)+IF(DE1431="D",1,0)+IF(DJ1431="D",1,0)+IF(DK1431="D",1,0)+IF(DO1431="D",1,0)+IF(DP1431="D",1,0)+IF(DQ1431="D",1,0)+IF(DW1431="D",1,0)+IF(DZ1431="D",1,0)+IF(EH1431="D",1,0)</f>
        <v>0</v>
      </c>
      <c r="AY1431" s="0" t="n">
        <f aca="false">COUNTIF(DU1431:EH1431, "&lt;&gt;")</f>
        <v>3</v>
      </c>
      <c r="AZ1431" s="0" t="n">
        <f aca="false">IF(EH1431&lt;&gt;"",1,0)</f>
        <v>0</v>
      </c>
      <c r="BB1431" s="0" t="s">
        <v>152</v>
      </c>
      <c r="BD1431" s="0" t="s">
        <v>153</v>
      </c>
      <c r="BG1431" s="0" t="s">
        <v>153</v>
      </c>
      <c r="BH1431" s="0" t="s">
        <v>153</v>
      </c>
      <c r="BL1431" s="0" t="s">
        <v>153</v>
      </c>
      <c r="BY1431" s="0" t="s">
        <v>175</v>
      </c>
      <c r="CA1431" s="0" t="s">
        <v>153</v>
      </c>
      <c r="CP1431" s="0" t="s">
        <v>153</v>
      </c>
      <c r="CY1431" s="0" t="s">
        <v>153</v>
      </c>
      <c r="DC1431" s="0" t="s">
        <v>153</v>
      </c>
      <c r="DF1431" s="0" t="s">
        <v>153</v>
      </c>
      <c r="DI1431" s="0" t="s">
        <v>153</v>
      </c>
      <c r="DN1431" s="0" t="s">
        <v>153</v>
      </c>
      <c r="DU1431" s="0" t="s">
        <v>153</v>
      </c>
      <c r="EA1431" s="0" t="s">
        <v>153</v>
      </c>
      <c r="EF1431" s="0" t="s">
        <v>153</v>
      </c>
    </row>
    <row r="1432" customFormat="false" ht="13.8" hidden="false" customHeight="false" outlineLevel="0" collapsed="false">
      <c r="A1432" s="0" t="s">
        <v>6609</v>
      </c>
      <c r="B1432" s="0" t="n">
        <v>78</v>
      </c>
      <c r="C1432" s="0" t="n">
        <v>392773</v>
      </c>
      <c r="D1432" s="0" t="s">
        <v>6606</v>
      </c>
      <c r="E1432" s="0" t="s">
        <v>658</v>
      </c>
      <c r="F1432" s="0" t="str">
        <f aca="false">CONCATENATE(D1432," ",LEFT(H1432,4),"T=",AU1432,"D=",AV1432,"R=",AW1432,"M=",AX1432,"L=",AY1432,"B=",AZ1432)</f>
        <v>BUCCI T=12D=3R=0M=0L=2B=0</v>
      </c>
      <c r="I1432" s="0" t="s">
        <v>6610</v>
      </c>
      <c r="J1432" s="0" t="s">
        <v>998</v>
      </c>
      <c r="K1432" s="0" t="s">
        <v>160</v>
      </c>
      <c r="M1432" s="0" t="s">
        <v>6611</v>
      </c>
      <c r="N1432" s="0" t="str">
        <f aca="false">RIGHT(M1432,LEN(M1432)-FIND(" ",M1432))</f>
        <v>LOGAN AVE NE</v>
      </c>
      <c r="P1432" s="0" t="s">
        <v>145</v>
      </c>
      <c r="Q1432" s="0" t="s">
        <v>146</v>
      </c>
      <c r="R1432" s="0" t="n">
        <v>44483</v>
      </c>
      <c r="AD1432" s="0" t="s">
        <v>147</v>
      </c>
      <c r="AE1432" s="0" t="s">
        <v>148</v>
      </c>
      <c r="AF1432" s="0" t="s">
        <v>149</v>
      </c>
      <c r="AH1432" s="0" t="n">
        <v>14</v>
      </c>
      <c r="AI1432" s="0" t="n">
        <v>11</v>
      </c>
      <c r="AN1432" s="0" t="s">
        <v>145</v>
      </c>
      <c r="AO1432" s="0" t="s">
        <v>654</v>
      </c>
      <c r="AP1432" s="0" t="s">
        <v>655</v>
      </c>
      <c r="AQ1432" s="0" t="n">
        <v>9</v>
      </c>
      <c r="AR1432" s="0" t="n">
        <v>64</v>
      </c>
      <c r="AS1432" s="0" t="n">
        <v>32</v>
      </c>
      <c r="AU1432" s="0" t="n">
        <f aca="false">COUNTA($BA$1761:$EH$1761)</f>
        <v>12</v>
      </c>
      <c r="AV1432" s="0" t="n">
        <f aca="false">COUNTIF($BA$1761:$EH$1761,"D")</f>
        <v>3</v>
      </c>
      <c r="AW1432" s="0" t="n">
        <f aca="false">COUNTIF($BA$1761:$EH$1761,"R")</f>
        <v>0</v>
      </c>
      <c r="AX1432" s="0" t="n">
        <f aca="false">IF(BN1432="D",1,0)+IF(BO1432="D",1,0)+IF(BT1432="D",1,0)+IF(BU1432="D",1,0)+IF(BW1432="D",1,0)+IF(CC1432="D",1,0)+IF(CD1432="D",1,0)+IF(CE1432="D",1,0)+IF(CF1432="D",1,0)+IF(CL1432="D",1,0)+IF(CM1432="D",1,0)+IF(CQ1432="D",1,0)+IF(CR1432="D",1,0)+IF(CS1432="D",1,0)+IF(CW1432="D",1,0)+IF(CX1432="D",1,0)+IF(DD1432="D",1,0)+IF(DE1432="D",1,0)+IF(DJ1432="D",1,0)+IF(DK1432="D",1,0)+IF(DO1432="D",1,0)+IF(DP1432="D",1,0)+IF(DQ1432="D",1,0)+IF(DW1432="D",1,0)+IF(DZ1432="D",1,0)+IF(EH1432="D",1,0)</f>
        <v>0</v>
      </c>
      <c r="AY1432" s="0" t="n">
        <f aca="false">COUNTIF(DU1432:EH1432, "&lt;&gt;")</f>
        <v>2</v>
      </c>
      <c r="AZ1432" s="0" t="n">
        <f aca="false">IF(EH1432&lt;&gt;"",1,0)</f>
        <v>0</v>
      </c>
      <c r="BB1432" s="0" t="s">
        <v>152</v>
      </c>
      <c r="CP1432" s="0" t="s">
        <v>153</v>
      </c>
      <c r="DX1432" s="0" t="s">
        <v>153</v>
      </c>
      <c r="EF1432" s="0" t="s">
        <v>153</v>
      </c>
    </row>
    <row r="1433" customFormat="false" ht="13.8" hidden="true" customHeight="false" outlineLevel="0" collapsed="false">
      <c r="A1433" s="0" t="s">
        <v>6612</v>
      </c>
      <c r="B1433" s="0" t="n">
        <v>78</v>
      </c>
      <c r="C1433" s="0" t="n">
        <v>365441</v>
      </c>
      <c r="D1433" s="0" t="s">
        <v>6613</v>
      </c>
      <c r="E1433" s="0" t="s">
        <v>736</v>
      </c>
      <c r="F1433" s="0" t="str">
        <f aca="false">CONCATENATE(D1433," ",LEFT(H1433,4),"T=",AU1433,"D=",AV1433,"R=",AW1433,"M=",AX1433,"L=",AY1433,"B=",AZ1433)</f>
        <v>REDMOND T=1D=0R=0M=0L=0B=0</v>
      </c>
      <c r="G1433" s="0" t="s">
        <v>2586</v>
      </c>
      <c r="I1433" s="0" t="s">
        <v>6614</v>
      </c>
      <c r="J1433" s="0" t="s">
        <v>6615</v>
      </c>
      <c r="K1433" s="0" t="s">
        <v>143</v>
      </c>
      <c r="M1433" s="0" t="s">
        <v>6616</v>
      </c>
      <c r="N1433" s="0" t="str">
        <f aca="false">RIGHT(M1433,LEN(M1433)-FIND(" ",M1433))</f>
        <v>LOGAN AVE NE</v>
      </c>
      <c r="P1433" s="0" t="s">
        <v>145</v>
      </c>
      <c r="Q1433" s="0" t="s">
        <v>146</v>
      </c>
      <c r="R1433" s="0" t="n">
        <v>44483</v>
      </c>
      <c r="AD1433" s="0" t="s">
        <v>147</v>
      </c>
      <c r="AE1433" s="0" t="s">
        <v>148</v>
      </c>
      <c r="AF1433" s="0" t="s">
        <v>149</v>
      </c>
      <c r="AH1433" s="0" t="n">
        <v>14</v>
      </c>
      <c r="AI1433" s="0" t="n">
        <v>11</v>
      </c>
      <c r="AN1433" s="0" t="s">
        <v>145</v>
      </c>
      <c r="AO1433" s="0" t="s">
        <v>654</v>
      </c>
      <c r="AP1433" s="0" t="s">
        <v>655</v>
      </c>
      <c r="AQ1433" s="0" t="n">
        <v>9</v>
      </c>
      <c r="AR1433" s="0" t="n">
        <v>64</v>
      </c>
      <c r="AS1433" s="0" t="n">
        <v>32</v>
      </c>
      <c r="AU1433" s="0" t="n">
        <f aca="false">COUNTA($BA$1354:$EH$1354)</f>
        <v>1</v>
      </c>
      <c r="AV1433" s="0" t="n">
        <f aca="false">COUNTIF($BA$1354:$EH$1354,"D")</f>
        <v>0</v>
      </c>
      <c r="AW1433" s="0" t="n">
        <f aca="false">COUNTIF($BA$1354:$EH$1354,"R")</f>
        <v>0</v>
      </c>
      <c r="AX1433" s="0" t="n">
        <f aca="false">IF(BN1433="D",1,0)+IF(BO1433="D",1,0)+IF(BT1433="D",1,0)+IF(BU1433="D",1,0)+IF(BW1433="D",1,0)+IF(CC1433="D",1,0)+IF(CD1433="D",1,0)+IF(CE1433="D",1,0)+IF(CF1433="D",1,0)+IF(CL1433="D",1,0)+IF(CM1433="D",1,0)+IF(CQ1433="D",1,0)+IF(CR1433="D",1,0)+IF(CS1433="D",1,0)+IF(CW1433="D",1,0)+IF(CX1433="D",1,0)+IF(DD1433="D",1,0)+IF(DE1433="D",1,0)+IF(DJ1433="D",1,0)+IF(DK1433="D",1,0)+IF(DO1433="D",1,0)+IF(DP1433="D",1,0)+IF(DQ1433="D",1,0)+IF(DW1433="D",1,0)+IF(DZ1433="D",1,0)+IF(EH1433="D",1,0)</f>
        <v>0</v>
      </c>
      <c r="AY1433" s="0" t="n">
        <f aca="false">COUNTIF(DU1433:EH1433, "&lt;&gt;")</f>
        <v>0</v>
      </c>
      <c r="AZ1433" s="0" t="n">
        <f aca="false">IF(EH1433&lt;&gt;"",1,0)</f>
        <v>0</v>
      </c>
      <c r="BB1433" s="0" t="s">
        <v>152</v>
      </c>
    </row>
    <row r="1434" customFormat="false" ht="13.8" hidden="true" customHeight="false" outlineLevel="0" collapsed="false">
      <c r="A1434" s="0" t="s">
        <v>6617</v>
      </c>
      <c r="B1434" s="0" t="n">
        <v>78</v>
      </c>
      <c r="C1434" s="0" t="n">
        <v>443061</v>
      </c>
      <c r="D1434" s="0" t="s">
        <v>6126</v>
      </c>
      <c r="E1434" s="0" t="s">
        <v>6618</v>
      </c>
      <c r="F1434" s="0" t="str">
        <f aca="false">CONCATENATE(D1434," ",LEFT(H1434,4),"T=",AU1434,"D=",AV1434,"R=",AW1434,"M=",AX1434,"L=",AY1434,"B=",AZ1434)</f>
        <v>HAUN T=1D=0R=0M=0L=0B=0</v>
      </c>
      <c r="G1434" s="0" t="s">
        <v>517</v>
      </c>
      <c r="I1434" s="0" t="s">
        <v>6619</v>
      </c>
      <c r="J1434" s="0" t="s">
        <v>3960</v>
      </c>
      <c r="K1434" s="0" t="s">
        <v>143</v>
      </c>
      <c r="M1434" s="0" t="s">
        <v>6616</v>
      </c>
      <c r="N1434" s="0" t="str">
        <f aca="false">RIGHT(M1434,LEN(M1434)-FIND(" ",M1434))</f>
        <v>LOGAN AVE NE</v>
      </c>
      <c r="P1434" s="0" t="s">
        <v>145</v>
      </c>
      <c r="Q1434" s="0" t="s">
        <v>146</v>
      </c>
      <c r="R1434" s="0" t="n">
        <v>44483</v>
      </c>
      <c r="AD1434" s="0" t="s">
        <v>147</v>
      </c>
      <c r="AE1434" s="0" t="s">
        <v>148</v>
      </c>
      <c r="AF1434" s="0" t="s">
        <v>149</v>
      </c>
      <c r="AH1434" s="0" t="n">
        <v>14</v>
      </c>
      <c r="AI1434" s="0" t="n">
        <v>11</v>
      </c>
      <c r="AN1434" s="0" t="s">
        <v>145</v>
      </c>
      <c r="AO1434" s="0" t="s">
        <v>654</v>
      </c>
      <c r="AP1434" s="0" t="s">
        <v>655</v>
      </c>
      <c r="AQ1434" s="0" t="n">
        <v>9</v>
      </c>
      <c r="AR1434" s="0" t="n">
        <v>64</v>
      </c>
      <c r="AS1434" s="0" t="n">
        <v>32</v>
      </c>
      <c r="AU1434" s="0" t="n">
        <f aca="false">COUNTA($BA$1763:$EH$1763)</f>
        <v>1</v>
      </c>
      <c r="AV1434" s="0" t="n">
        <f aca="false">COUNTIF($BA$1763:$EH$1763,"D")</f>
        <v>0</v>
      </c>
      <c r="AW1434" s="0" t="n">
        <f aca="false">COUNTIF($BA$1763:$EH$1763,"R")</f>
        <v>0</v>
      </c>
      <c r="AX1434" s="0" t="n">
        <f aca="false">IF(BN1434="D",1,0)+IF(BO1434="D",1,0)+IF(BT1434="D",1,0)+IF(BU1434="D",1,0)+IF(BW1434="D",1,0)+IF(CC1434="D",1,0)+IF(CD1434="D",1,0)+IF(CE1434="D",1,0)+IF(CF1434="D",1,0)+IF(CL1434="D",1,0)+IF(CM1434="D",1,0)+IF(CQ1434="D",1,0)+IF(CR1434="D",1,0)+IF(CS1434="D",1,0)+IF(CW1434="D",1,0)+IF(CX1434="D",1,0)+IF(DD1434="D",1,0)+IF(DE1434="D",1,0)+IF(DJ1434="D",1,0)+IF(DK1434="D",1,0)+IF(DO1434="D",1,0)+IF(DP1434="D",1,0)+IF(DQ1434="D",1,0)+IF(DW1434="D",1,0)+IF(DZ1434="D",1,0)+IF(EH1434="D",1,0)</f>
        <v>0</v>
      </c>
      <c r="AY1434" s="0" t="n">
        <f aca="false">COUNTIF(DU1434:EH1434, "&lt;&gt;")</f>
        <v>0</v>
      </c>
      <c r="AZ1434" s="0" t="n">
        <f aca="false">IF(EH1434&lt;&gt;"",1,0)</f>
        <v>0</v>
      </c>
      <c r="BB1434" s="0" t="s">
        <v>152</v>
      </c>
    </row>
    <row r="1435" customFormat="false" ht="13.8" hidden="true" customHeight="false" outlineLevel="0" collapsed="false">
      <c r="A1435" s="0" t="s">
        <v>6620</v>
      </c>
      <c r="B1435" s="0" t="n">
        <v>78</v>
      </c>
      <c r="C1435" s="0" t="n">
        <v>491614</v>
      </c>
      <c r="D1435" s="0" t="s">
        <v>6621</v>
      </c>
      <c r="E1435" s="0" t="s">
        <v>6622</v>
      </c>
      <c r="F1435" s="0" t="str">
        <f aca="false">CONCATENATE(D1435," ",LEFT(H1435,4),"T=",AU1435,"D=",AV1435,"R=",AW1435,"M=",AX1435,"L=",AY1435,"B=",AZ1435)</f>
        <v>KIRBY T=6D=1R=0M=0L=1B=0</v>
      </c>
      <c r="G1435" s="0" t="s">
        <v>839</v>
      </c>
      <c r="I1435" s="0" t="s">
        <v>6623</v>
      </c>
      <c r="J1435" s="0" t="s">
        <v>1971</v>
      </c>
      <c r="K1435" s="0" t="s">
        <v>160</v>
      </c>
      <c r="M1435" s="0" t="s">
        <v>6624</v>
      </c>
      <c r="N1435" s="0" t="str">
        <f aca="false">RIGHT(M1435,LEN(M1435)-FIND(" ",M1435))</f>
        <v>LOGAN AVE NE</v>
      </c>
      <c r="P1435" s="0" t="s">
        <v>145</v>
      </c>
      <c r="Q1435" s="0" t="s">
        <v>146</v>
      </c>
      <c r="R1435" s="0" t="n">
        <v>44483</v>
      </c>
      <c r="AD1435" s="0" t="s">
        <v>147</v>
      </c>
      <c r="AE1435" s="0" t="s">
        <v>148</v>
      </c>
      <c r="AF1435" s="0" t="s">
        <v>149</v>
      </c>
      <c r="AH1435" s="0" t="n">
        <v>14</v>
      </c>
      <c r="AI1435" s="0" t="n">
        <v>11</v>
      </c>
      <c r="AN1435" s="0" t="s">
        <v>145</v>
      </c>
      <c r="AO1435" s="0" t="s">
        <v>654</v>
      </c>
      <c r="AP1435" s="0" t="s">
        <v>655</v>
      </c>
      <c r="AQ1435" s="0" t="n">
        <v>9</v>
      </c>
      <c r="AR1435" s="0" t="n">
        <v>64</v>
      </c>
      <c r="AS1435" s="0" t="n">
        <v>32</v>
      </c>
      <c r="AU1435" s="0" t="n">
        <f aca="false">COUNTA($BA$1565:$EH$1565)</f>
        <v>6</v>
      </c>
      <c r="AV1435" s="0" t="n">
        <f aca="false">COUNTIF($BA$1565:$EH$1565,"D")</f>
        <v>1</v>
      </c>
      <c r="AW1435" s="0" t="n">
        <f aca="false">COUNTIF($BA$1565:$EH$1565,"R")</f>
        <v>0</v>
      </c>
      <c r="AX1435" s="0" t="n">
        <f aca="false">IF(BN1435="D",1,0)+IF(BO1435="D",1,0)+IF(BT1435="D",1,0)+IF(BU1435="D",1,0)+IF(BW1435="D",1,0)+IF(CC1435="D",1,0)+IF(CD1435="D",1,0)+IF(CE1435="D",1,0)+IF(CF1435="D",1,0)+IF(CL1435="D",1,0)+IF(CM1435="D",1,0)+IF(CQ1435="D",1,0)+IF(CR1435="D",1,0)+IF(CS1435="D",1,0)+IF(CW1435="D",1,0)+IF(CX1435="D",1,0)+IF(DD1435="D",1,0)+IF(DE1435="D",1,0)+IF(DJ1435="D",1,0)+IF(DK1435="D",1,0)+IF(DO1435="D",1,0)+IF(DP1435="D",1,0)+IF(DQ1435="D",1,0)+IF(DW1435="D",1,0)+IF(DZ1435="D",1,0)+IF(EH1435="D",1,0)</f>
        <v>0</v>
      </c>
      <c r="AY1435" s="0" t="n">
        <f aca="false">COUNTIF(DU1435:EH1435, "&lt;&gt;")</f>
        <v>1</v>
      </c>
      <c r="AZ1435" s="0" t="n">
        <f aca="false">IF(EH1435&lt;&gt;"",1,0)</f>
        <v>0</v>
      </c>
      <c r="BB1435" s="0" t="s">
        <v>152</v>
      </c>
      <c r="EF1435" s="0" t="s">
        <v>153</v>
      </c>
    </row>
    <row r="1436" customFormat="false" ht="13.8" hidden="true" customHeight="false" outlineLevel="0" collapsed="false">
      <c r="A1436" s="0" t="s">
        <v>6625</v>
      </c>
      <c r="B1436" s="0" t="n">
        <v>78</v>
      </c>
      <c r="C1436" s="0" t="n">
        <v>491612</v>
      </c>
      <c r="D1436" s="0" t="s">
        <v>6621</v>
      </c>
      <c r="E1436" s="0" t="s">
        <v>3304</v>
      </c>
      <c r="F1436" s="0" t="str">
        <f aca="false">CONCATENATE(D1436," ",LEFT(H1436,4),"T=",AU1436,"D=",AV1436,"R=",AW1436,"M=",AX1436,"L=",AY1436,"B=",AZ1436)</f>
        <v>KIRBY T=14D=1R=0M=0L=1B=0</v>
      </c>
      <c r="G1436" s="0" t="s">
        <v>697</v>
      </c>
      <c r="I1436" s="0" t="s">
        <v>1283</v>
      </c>
      <c r="J1436" s="0" t="s">
        <v>1971</v>
      </c>
      <c r="K1436" s="0" t="s">
        <v>160</v>
      </c>
      <c r="M1436" s="0" t="s">
        <v>6624</v>
      </c>
      <c r="N1436" s="0" t="str">
        <f aca="false">RIGHT(M1436,LEN(M1436)-FIND(" ",M1436))</f>
        <v>LOGAN AVE NE</v>
      </c>
      <c r="P1436" s="0" t="s">
        <v>145</v>
      </c>
      <c r="Q1436" s="0" t="s">
        <v>146</v>
      </c>
      <c r="R1436" s="0" t="n">
        <v>44483</v>
      </c>
      <c r="AD1436" s="0" t="s">
        <v>147</v>
      </c>
      <c r="AE1436" s="0" t="s">
        <v>148</v>
      </c>
      <c r="AF1436" s="0" t="s">
        <v>149</v>
      </c>
      <c r="AH1436" s="0" t="n">
        <v>14</v>
      </c>
      <c r="AI1436" s="0" t="n">
        <v>11</v>
      </c>
      <c r="AN1436" s="0" t="s">
        <v>145</v>
      </c>
      <c r="AO1436" s="0" t="s">
        <v>654</v>
      </c>
      <c r="AP1436" s="0" t="s">
        <v>655</v>
      </c>
      <c r="AQ1436" s="0" t="n">
        <v>9</v>
      </c>
      <c r="AR1436" s="0" t="n">
        <v>64</v>
      </c>
      <c r="AS1436" s="0" t="n">
        <v>32</v>
      </c>
      <c r="AU1436" s="0" t="n">
        <f aca="false">COUNTA($BA$1566:$EH$1566)</f>
        <v>14</v>
      </c>
      <c r="AV1436" s="0" t="n">
        <f aca="false">COUNTIF($BA$1566:$EH$1566,"D")</f>
        <v>1</v>
      </c>
      <c r="AW1436" s="0" t="n">
        <f aca="false">COUNTIF($BA$1566:$EH$1566,"R")</f>
        <v>0</v>
      </c>
      <c r="AX1436" s="0" t="n">
        <f aca="false">IF(BN1436="D",1,0)+IF(BO1436="D",1,0)+IF(BT1436="D",1,0)+IF(BU1436="D",1,0)+IF(BW1436="D",1,0)+IF(CC1436="D",1,0)+IF(CD1436="D",1,0)+IF(CE1436="D",1,0)+IF(CF1436="D",1,0)+IF(CL1436="D",1,0)+IF(CM1436="D",1,0)+IF(CQ1436="D",1,0)+IF(CR1436="D",1,0)+IF(CS1436="D",1,0)+IF(CW1436="D",1,0)+IF(CX1436="D",1,0)+IF(DD1436="D",1,0)+IF(DE1436="D",1,0)+IF(DJ1436="D",1,0)+IF(DK1436="D",1,0)+IF(DO1436="D",1,0)+IF(DP1436="D",1,0)+IF(DQ1436="D",1,0)+IF(DW1436="D",1,0)+IF(DZ1436="D",1,0)+IF(EH1436="D",1,0)</f>
        <v>0</v>
      </c>
      <c r="AY1436" s="0" t="n">
        <f aca="false">COUNTIF(DU1436:EH1436, "&lt;&gt;")</f>
        <v>1</v>
      </c>
      <c r="AZ1436" s="0" t="n">
        <f aca="false">IF(EH1436&lt;&gt;"",1,0)</f>
        <v>0</v>
      </c>
      <c r="BB1436" s="0" t="s">
        <v>152</v>
      </c>
      <c r="EF1436" s="0" t="s">
        <v>153</v>
      </c>
    </row>
    <row r="1437" customFormat="false" ht="13.8" hidden="false" customHeight="false" outlineLevel="0" collapsed="false">
      <c r="A1437" s="0" t="s">
        <v>6626</v>
      </c>
      <c r="B1437" s="0" t="n">
        <v>78</v>
      </c>
      <c r="C1437" s="0" t="n">
        <v>429090</v>
      </c>
      <c r="D1437" s="0" t="s">
        <v>6451</v>
      </c>
      <c r="E1437" s="0" t="s">
        <v>6627</v>
      </c>
      <c r="F1437" s="0" t="str">
        <f aca="false">CONCATENATE(D1437," ",LEFT(H1437,4),"T=",AU1437,"D=",AV1437,"R=",AW1437,"M=",AX1437,"L=",AY1437,"B=",AZ1437)</f>
        <v>STEWART IIIT=1D=0R=0M=1L=5B=0</v>
      </c>
      <c r="G1437" s="0" t="s">
        <v>209</v>
      </c>
      <c r="H1437" s="0" t="s">
        <v>1932</v>
      </c>
      <c r="I1437" s="0" t="s">
        <v>6628</v>
      </c>
      <c r="J1437" s="0" t="s">
        <v>2058</v>
      </c>
      <c r="K1437" s="0" t="s">
        <v>160</v>
      </c>
      <c r="L1437" s="0" t="s">
        <v>175</v>
      </c>
      <c r="M1437" s="0" t="s">
        <v>6629</v>
      </c>
      <c r="N1437" s="0" t="str">
        <f aca="false">RIGHT(M1437,LEN(M1437)-FIND(" ",M1437))</f>
        <v>LOGAN AVE NE</v>
      </c>
      <c r="P1437" s="0" t="s">
        <v>145</v>
      </c>
      <c r="Q1437" s="0" t="s">
        <v>146</v>
      </c>
      <c r="R1437" s="0" t="n">
        <v>44483</v>
      </c>
      <c r="AD1437" s="0" t="s">
        <v>147</v>
      </c>
      <c r="AE1437" s="0" t="s">
        <v>148</v>
      </c>
      <c r="AF1437" s="0" t="s">
        <v>149</v>
      </c>
      <c r="AH1437" s="0" t="n">
        <v>14</v>
      </c>
      <c r="AI1437" s="0" t="n">
        <v>11</v>
      </c>
      <c r="AN1437" s="0" t="s">
        <v>145</v>
      </c>
      <c r="AO1437" s="0" t="s">
        <v>654</v>
      </c>
      <c r="AP1437" s="0" t="s">
        <v>655</v>
      </c>
      <c r="AQ1437" s="0" t="n">
        <v>9</v>
      </c>
      <c r="AR1437" s="0" t="n">
        <v>64</v>
      </c>
      <c r="AS1437" s="0" t="n">
        <v>32</v>
      </c>
      <c r="AU1437" s="0" t="n">
        <f aca="false">COUNTA($BA$1178:$EH$1178)</f>
        <v>1</v>
      </c>
      <c r="AV1437" s="0" t="n">
        <f aca="false">COUNTIF($BA$1178:$EH$1178,"D")</f>
        <v>0</v>
      </c>
      <c r="AW1437" s="0" t="n">
        <f aca="false">COUNTIF($BA$1178:$EH$1178,"R")</f>
        <v>0</v>
      </c>
      <c r="AX1437" s="0" t="n">
        <f aca="false">IF(BN1437="D",1,0)+IF(BO1437="D",1,0)+IF(BT1437="D",1,0)+IF(BU1437="D",1,0)+IF(BW1437="D",1,0)+IF(CC1437="D",1,0)+IF(CD1437="D",1,0)+IF(CE1437="D",1,0)+IF(CF1437="D",1,0)+IF(CL1437="D",1,0)+IF(CM1437="D",1,0)+IF(CQ1437="D",1,0)+IF(CR1437="D",1,0)+IF(CS1437="D",1,0)+IF(CW1437="D",1,0)+IF(CX1437="D",1,0)+IF(DD1437="D",1,0)+IF(DE1437="D",1,0)+IF(DJ1437="D",1,0)+IF(DK1437="D",1,0)+IF(DO1437="D",1,0)+IF(DP1437="D",1,0)+IF(DQ1437="D",1,0)+IF(DW1437="D",1,0)+IF(DZ1437="D",1,0)+IF(EH1437="D",1,0)</f>
        <v>1</v>
      </c>
      <c r="AY1437" s="0" t="n">
        <f aca="false">COUNTIF(DU1437:EH1437, "&lt;&gt;")</f>
        <v>5</v>
      </c>
      <c r="AZ1437" s="0" t="n">
        <f aca="false">IF(EH1437&lt;&gt;"",1,0)</f>
        <v>0</v>
      </c>
      <c r="BB1437" s="0" t="s">
        <v>152</v>
      </c>
      <c r="BL1437" s="0" t="s">
        <v>153</v>
      </c>
      <c r="BR1437" s="0" t="s">
        <v>175</v>
      </c>
      <c r="BS1437" s="0" t="s">
        <v>153</v>
      </c>
      <c r="BY1437" s="0" t="s">
        <v>175</v>
      </c>
      <c r="CA1437" s="0" t="s">
        <v>153</v>
      </c>
      <c r="CG1437" s="0" t="s">
        <v>153</v>
      </c>
      <c r="CH1437" s="0" t="s">
        <v>175</v>
      </c>
      <c r="CN1437" s="0" t="s">
        <v>153</v>
      </c>
      <c r="CT1437" s="0" t="s">
        <v>153</v>
      </c>
      <c r="CV1437" s="0" t="s">
        <v>153</v>
      </c>
      <c r="CY1437" s="0" t="s">
        <v>153</v>
      </c>
      <c r="CZ1437" s="0" t="s">
        <v>175</v>
      </c>
      <c r="DC1437" s="0" t="s">
        <v>153</v>
      </c>
      <c r="DI1437" s="0" t="s">
        <v>153</v>
      </c>
      <c r="DL1437" s="0" t="s">
        <v>153</v>
      </c>
      <c r="DM1437" s="0" t="s">
        <v>175</v>
      </c>
      <c r="DN1437" s="0" t="s">
        <v>153</v>
      </c>
      <c r="DR1437" s="0" t="s">
        <v>153</v>
      </c>
      <c r="DU1437" s="0" t="s">
        <v>153</v>
      </c>
      <c r="DW1437" s="0" t="s">
        <v>175</v>
      </c>
      <c r="DX1437" s="0" t="s">
        <v>153</v>
      </c>
      <c r="EA1437" s="0" t="s">
        <v>153</v>
      </c>
      <c r="EF1437" s="0" t="s">
        <v>153</v>
      </c>
    </row>
    <row r="1438" customFormat="false" ht="13.8" hidden="true" customHeight="false" outlineLevel="0" collapsed="false">
      <c r="A1438" s="0" t="s">
        <v>6630</v>
      </c>
      <c r="B1438" s="0" t="n">
        <v>78</v>
      </c>
      <c r="C1438" s="0" t="n">
        <v>473824</v>
      </c>
      <c r="D1438" s="0" t="s">
        <v>6631</v>
      </c>
      <c r="E1438" s="0" t="s">
        <v>248</v>
      </c>
      <c r="F1438" s="0" t="str">
        <f aca="false">CONCATENATE(D1438," ",LEFT(H1438,4),"T=",AU1438,"D=",AV1438,"R=",AW1438,"M=",AX1438,"L=",AY1438,"B=",AZ1438)</f>
        <v>KEEN T=1D=0R=0M=0L=0B=0</v>
      </c>
      <c r="G1438" s="0" t="s">
        <v>268</v>
      </c>
      <c r="I1438" s="0" t="s">
        <v>6632</v>
      </c>
      <c r="J1438" s="0" t="s">
        <v>3436</v>
      </c>
      <c r="K1438" s="0" t="s">
        <v>160</v>
      </c>
      <c r="M1438" s="0" t="s">
        <v>6629</v>
      </c>
      <c r="N1438" s="0" t="str">
        <f aca="false">RIGHT(M1438,LEN(M1438)-FIND(" ",M1438))</f>
        <v>LOGAN AVE NE</v>
      </c>
      <c r="P1438" s="0" t="s">
        <v>145</v>
      </c>
      <c r="Q1438" s="0" t="s">
        <v>146</v>
      </c>
      <c r="R1438" s="0" t="n">
        <v>44483</v>
      </c>
      <c r="AD1438" s="0" t="s">
        <v>147</v>
      </c>
      <c r="AE1438" s="0" t="s">
        <v>148</v>
      </c>
      <c r="AF1438" s="0" t="s">
        <v>149</v>
      </c>
      <c r="AH1438" s="0" t="n">
        <v>14</v>
      </c>
      <c r="AI1438" s="0" t="n">
        <v>11</v>
      </c>
      <c r="AN1438" s="0" t="s">
        <v>145</v>
      </c>
      <c r="AO1438" s="0" t="s">
        <v>654</v>
      </c>
      <c r="AP1438" s="0" t="s">
        <v>655</v>
      </c>
      <c r="AQ1438" s="0" t="n">
        <v>9</v>
      </c>
      <c r="AR1438" s="0" t="n">
        <v>64</v>
      </c>
      <c r="AS1438" s="0" t="n">
        <v>32</v>
      </c>
      <c r="AU1438" s="0" t="n">
        <f aca="false">COUNTA($BA$1207:$EH$1207)</f>
        <v>1</v>
      </c>
      <c r="AV1438" s="0" t="n">
        <f aca="false">COUNTIF($BA$1207:$EH$1207,"D")</f>
        <v>0</v>
      </c>
      <c r="AW1438" s="0" t="n">
        <f aca="false">COUNTIF($BA$1207:$EH$1207,"R")</f>
        <v>0</v>
      </c>
      <c r="AX1438" s="0" t="n">
        <f aca="false">IF(BN1438="D",1,0)+IF(BO1438="D",1,0)+IF(BT1438="D",1,0)+IF(BU1438="D",1,0)+IF(BW1438="D",1,0)+IF(CC1438="D",1,0)+IF(CD1438="D",1,0)+IF(CE1438="D",1,0)+IF(CF1438="D",1,0)+IF(CL1438="D",1,0)+IF(CM1438="D",1,0)+IF(CQ1438="D",1,0)+IF(CR1438="D",1,0)+IF(CS1438="D",1,0)+IF(CW1438="D",1,0)+IF(CX1438="D",1,0)+IF(DD1438="D",1,0)+IF(DE1438="D",1,0)+IF(DJ1438="D",1,0)+IF(DK1438="D",1,0)+IF(DO1438="D",1,0)+IF(DP1438="D",1,0)+IF(DQ1438="D",1,0)+IF(DW1438="D",1,0)+IF(DZ1438="D",1,0)+IF(EH1438="D",1,0)</f>
        <v>0</v>
      </c>
      <c r="AY1438" s="0" t="n">
        <f aca="false">COUNTIF(DU1438:EH1438, "&lt;&gt;")</f>
        <v>0</v>
      </c>
      <c r="AZ1438" s="0" t="n">
        <f aca="false">IF(EH1438&lt;&gt;"",1,0)</f>
        <v>0</v>
      </c>
      <c r="BB1438" s="0" t="s">
        <v>152</v>
      </c>
    </row>
    <row r="1439" customFormat="false" ht="13.8" hidden="false" customHeight="false" outlineLevel="0" collapsed="false">
      <c r="A1439" s="0" t="s">
        <v>6633</v>
      </c>
      <c r="B1439" s="0" t="n">
        <v>78</v>
      </c>
      <c r="C1439" s="0" t="n">
        <v>355529</v>
      </c>
      <c r="D1439" s="0" t="s">
        <v>6631</v>
      </c>
      <c r="E1439" s="0" t="s">
        <v>6634</v>
      </c>
      <c r="F1439" s="0" t="str">
        <f aca="false">CONCATENATE(D1439," ",LEFT(H1439,4),"T=",AU1439,"D=",AV1439,"R=",AW1439,"M=",AX1439,"L=",AY1439,"B=",AZ1439)</f>
        <v>KEEN T=2D=0R=0M=0L=2B=0</v>
      </c>
      <c r="G1439" s="0" t="s">
        <v>195</v>
      </c>
      <c r="I1439" s="0" t="s">
        <v>5979</v>
      </c>
      <c r="J1439" s="0" t="s">
        <v>6635</v>
      </c>
      <c r="K1439" s="0" t="s">
        <v>160</v>
      </c>
      <c r="M1439" s="0" t="s">
        <v>6629</v>
      </c>
      <c r="N1439" s="0" t="str">
        <f aca="false">RIGHT(M1439,LEN(M1439)-FIND(" ",M1439))</f>
        <v>LOGAN AVE NE</v>
      </c>
      <c r="P1439" s="0" t="s">
        <v>145</v>
      </c>
      <c r="Q1439" s="0" t="s">
        <v>146</v>
      </c>
      <c r="R1439" s="0" t="n">
        <v>44483</v>
      </c>
      <c r="AD1439" s="0" t="s">
        <v>147</v>
      </c>
      <c r="AE1439" s="0" t="s">
        <v>148</v>
      </c>
      <c r="AF1439" s="0" t="s">
        <v>149</v>
      </c>
      <c r="AH1439" s="0" t="n">
        <v>14</v>
      </c>
      <c r="AI1439" s="0" t="n">
        <v>11</v>
      </c>
      <c r="AN1439" s="0" t="s">
        <v>145</v>
      </c>
      <c r="AO1439" s="0" t="s">
        <v>654</v>
      </c>
      <c r="AP1439" s="0" t="s">
        <v>655</v>
      </c>
      <c r="AQ1439" s="0" t="n">
        <v>9</v>
      </c>
      <c r="AR1439" s="0" t="n">
        <v>64</v>
      </c>
      <c r="AS1439" s="0" t="n">
        <v>32</v>
      </c>
      <c r="AU1439" s="0" t="n">
        <f aca="false">COUNTA($BA$1544:$EH$1544)</f>
        <v>2</v>
      </c>
      <c r="AV1439" s="0" t="n">
        <f aca="false">COUNTIF($BA$1544:$EH$1544,"D")</f>
        <v>0</v>
      </c>
      <c r="AW1439" s="0" t="n">
        <f aca="false">COUNTIF($BA$1544:$EH$1544,"R")</f>
        <v>0</v>
      </c>
      <c r="AX1439" s="0" t="n">
        <f aca="false">IF(BN1439="D",1,0)+IF(BO1439="D",1,0)+IF(BT1439="D",1,0)+IF(BU1439="D",1,0)+IF(BW1439="D",1,0)+IF(CC1439="D",1,0)+IF(CD1439="D",1,0)+IF(CE1439="D",1,0)+IF(CF1439="D",1,0)+IF(CL1439="D",1,0)+IF(CM1439="D",1,0)+IF(CQ1439="D",1,0)+IF(CR1439="D",1,0)+IF(CS1439="D",1,0)+IF(CW1439="D",1,0)+IF(CX1439="D",1,0)+IF(DD1439="D",1,0)+IF(DE1439="D",1,0)+IF(DJ1439="D",1,0)+IF(DK1439="D",1,0)+IF(DO1439="D",1,0)+IF(DP1439="D",1,0)+IF(DQ1439="D",1,0)+IF(DW1439="D",1,0)+IF(DZ1439="D",1,0)+IF(EH1439="D",1,0)</f>
        <v>0</v>
      </c>
      <c r="AY1439" s="0" t="n">
        <f aca="false">COUNTIF(DU1439:EH1439, "&lt;&gt;")</f>
        <v>2</v>
      </c>
      <c r="AZ1439" s="0" t="n">
        <f aca="false">IF(EH1439&lt;&gt;"",1,0)</f>
        <v>0</v>
      </c>
      <c r="BB1439" s="0" t="s">
        <v>152</v>
      </c>
      <c r="CA1439" s="0" t="s">
        <v>153</v>
      </c>
      <c r="DC1439" s="0" t="s">
        <v>153</v>
      </c>
      <c r="DN1439" s="0" t="s">
        <v>153</v>
      </c>
      <c r="DU1439" s="0" t="s">
        <v>153</v>
      </c>
      <c r="EF1439" s="0" t="s">
        <v>153</v>
      </c>
    </row>
    <row r="1440" customFormat="false" ht="13.8" hidden="true" customHeight="false" outlineLevel="0" collapsed="false">
      <c r="A1440" s="0" t="s">
        <v>6636</v>
      </c>
      <c r="B1440" s="0" t="n">
        <v>78</v>
      </c>
      <c r="C1440" s="0" t="n">
        <v>355524</v>
      </c>
      <c r="D1440" s="0" t="s">
        <v>6631</v>
      </c>
      <c r="E1440" s="0" t="s">
        <v>1722</v>
      </c>
      <c r="F1440" s="0" t="str">
        <f aca="false">CONCATENATE(D1440," ",LEFT(H1440,4),"T=",AU1440,"D=",AV1440,"R=",AW1440,"M=",AX1440,"L=",AY1440,"B=",AZ1440)</f>
        <v>KEEN T=2D=0R=0M=0L=0B=0</v>
      </c>
      <c r="G1440" s="0" t="s">
        <v>209</v>
      </c>
      <c r="I1440" s="0" t="s">
        <v>6637</v>
      </c>
      <c r="J1440" s="0" t="s">
        <v>6638</v>
      </c>
      <c r="K1440" s="0" t="s">
        <v>143</v>
      </c>
      <c r="M1440" s="0" t="s">
        <v>6629</v>
      </c>
      <c r="N1440" s="0" t="str">
        <f aca="false">RIGHT(M1440,LEN(M1440)-FIND(" ",M1440))</f>
        <v>LOGAN AVE NE</v>
      </c>
      <c r="P1440" s="0" t="s">
        <v>145</v>
      </c>
      <c r="Q1440" s="0" t="s">
        <v>146</v>
      </c>
      <c r="R1440" s="0" t="n">
        <v>44483</v>
      </c>
      <c r="AD1440" s="0" t="s">
        <v>147</v>
      </c>
      <c r="AE1440" s="0" t="s">
        <v>148</v>
      </c>
      <c r="AF1440" s="0" t="s">
        <v>149</v>
      </c>
      <c r="AH1440" s="0" t="n">
        <v>14</v>
      </c>
      <c r="AI1440" s="0" t="n">
        <v>11</v>
      </c>
      <c r="AN1440" s="0" t="s">
        <v>145</v>
      </c>
      <c r="AO1440" s="0" t="s">
        <v>654</v>
      </c>
      <c r="AP1440" s="0" t="s">
        <v>655</v>
      </c>
      <c r="AQ1440" s="0" t="n">
        <v>9</v>
      </c>
      <c r="AR1440" s="0" t="n">
        <v>64</v>
      </c>
      <c r="AS1440" s="0" t="n">
        <v>32</v>
      </c>
      <c r="AU1440" s="0" t="n">
        <f aca="false">COUNTA($BA$1798:$EH$1798)</f>
        <v>2</v>
      </c>
      <c r="AV1440" s="0" t="n">
        <f aca="false">COUNTIF($BA$1798:$EH$1798,"D")</f>
        <v>0</v>
      </c>
      <c r="AW1440" s="0" t="n">
        <f aca="false">COUNTIF($BA$1798:$EH$1798,"R")</f>
        <v>0</v>
      </c>
      <c r="AX1440" s="0" t="n">
        <f aca="false">IF(BN1440="D",1,0)+IF(BO1440="D",1,0)+IF(BT1440="D",1,0)+IF(BU1440="D",1,0)+IF(BW1440="D",1,0)+IF(CC1440="D",1,0)+IF(CD1440="D",1,0)+IF(CE1440="D",1,0)+IF(CF1440="D",1,0)+IF(CL1440="D",1,0)+IF(CM1440="D",1,0)+IF(CQ1440="D",1,0)+IF(CR1440="D",1,0)+IF(CS1440="D",1,0)+IF(CW1440="D",1,0)+IF(CX1440="D",1,0)+IF(DD1440="D",1,0)+IF(DE1440="D",1,0)+IF(DJ1440="D",1,0)+IF(DK1440="D",1,0)+IF(DO1440="D",1,0)+IF(DP1440="D",1,0)+IF(DQ1440="D",1,0)+IF(DW1440="D",1,0)+IF(DZ1440="D",1,0)+IF(EH1440="D",1,0)</f>
        <v>0</v>
      </c>
      <c r="AY1440" s="0" t="n">
        <f aca="false">COUNTIF(DU1440:EH1440, "&lt;&gt;")</f>
        <v>0</v>
      </c>
      <c r="AZ1440" s="0" t="n">
        <f aca="false">IF(EH1440&lt;&gt;"",1,0)</f>
        <v>0</v>
      </c>
      <c r="BB1440" s="0" t="s">
        <v>152</v>
      </c>
    </row>
    <row r="1441" customFormat="false" ht="13.8" hidden="true" customHeight="false" outlineLevel="0" collapsed="false">
      <c r="A1441" s="0" t="s">
        <v>6639</v>
      </c>
      <c r="B1441" s="0" t="n">
        <v>78</v>
      </c>
      <c r="C1441" s="0" t="n">
        <v>337239</v>
      </c>
      <c r="D1441" s="0" t="s">
        <v>6451</v>
      </c>
      <c r="E1441" s="0" t="s">
        <v>6640</v>
      </c>
      <c r="F1441" s="0" t="str">
        <f aca="false">CONCATENATE(D1441," ",LEFT(H1441,4),"T=",AU1441,"D=",AV1441,"R=",AW1441,"M=",AX1441,"L=",AY1441,"B=",AZ1441)</f>
        <v>STEWART T=4D=0R=0M=0L=0B=0</v>
      </c>
      <c r="I1441" s="0" t="s">
        <v>6641</v>
      </c>
      <c r="J1441" s="0" t="s">
        <v>727</v>
      </c>
      <c r="K1441" s="0" t="s">
        <v>160</v>
      </c>
      <c r="M1441" s="0" t="s">
        <v>6629</v>
      </c>
      <c r="N1441" s="0" t="str">
        <f aca="false">RIGHT(M1441,LEN(M1441)-FIND(" ",M1441))</f>
        <v>LOGAN AVE NE</v>
      </c>
      <c r="P1441" s="0" t="s">
        <v>145</v>
      </c>
      <c r="Q1441" s="0" t="s">
        <v>146</v>
      </c>
      <c r="R1441" s="0" t="n">
        <v>44483</v>
      </c>
      <c r="AD1441" s="0" t="s">
        <v>147</v>
      </c>
      <c r="AE1441" s="0" t="s">
        <v>148</v>
      </c>
      <c r="AF1441" s="0" t="s">
        <v>149</v>
      </c>
      <c r="AH1441" s="0" t="n">
        <v>14</v>
      </c>
      <c r="AI1441" s="0" t="n">
        <v>11</v>
      </c>
      <c r="AN1441" s="0" t="s">
        <v>145</v>
      </c>
      <c r="AO1441" s="0" t="s">
        <v>654</v>
      </c>
      <c r="AP1441" s="0" t="s">
        <v>655</v>
      </c>
      <c r="AQ1441" s="0" t="n">
        <v>9</v>
      </c>
      <c r="AR1441" s="0" t="n">
        <v>64</v>
      </c>
      <c r="AS1441" s="0" t="n">
        <v>32</v>
      </c>
      <c r="AU1441" s="0" t="n">
        <f aca="false">COUNTA($BA$2046:$EH$2046)</f>
        <v>4</v>
      </c>
      <c r="AV1441" s="0" t="n">
        <f aca="false">COUNTIF($BA$2046:$EH$2046,"D")</f>
        <v>0</v>
      </c>
      <c r="AW1441" s="0" t="n">
        <f aca="false">COUNTIF($BA$2046:$EH$2046,"R")</f>
        <v>0</v>
      </c>
      <c r="AX1441" s="0" t="n">
        <f aca="false">IF(BN1441="D",1,0)+IF(BO1441="D",1,0)+IF(BT1441="D",1,0)+IF(BU1441="D",1,0)+IF(BW1441="D",1,0)+IF(CC1441="D",1,0)+IF(CD1441="D",1,0)+IF(CE1441="D",1,0)+IF(CF1441="D",1,0)+IF(CL1441="D",1,0)+IF(CM1441="D",1,0)+IF(CQ1441="D",1,0)+IF(CR1441="D",1,0)+IF(CS1441="D",1,0)+IF(CW1441="D",1,0)+IF(CX1441="D",1,0)+IF(DD1441="D",1,0)+IF(DE1441="D",1,0)+IF(DJ1441="D",1,0)+IF(DK1441="D",1,0)+IF(DO1441="D",1,0)+IF(DP1441="D",1,0)+IF(DQ1441="D",1,0)+IF(DW1441="D",1,0)+IF(DZ1441="D",1,0)+IF(EH1441="D",1,0)</f>
        <v>0</v>
      </c>
      <c r="AY1441" s="0" t="n">
        <f aca="false">COUNTIF(DU1441:EH1441, "&lt;&gt;")</f>
        <v>0</v>
      </c>
      <c r="AZ1441" s="0" t="n">
        <f aca="false">IF(EH1441&lt;&gt;"",1,0)</f>
        <v>0</v>
      </c>
      <c r="BB1441" s="0" t="s">
        <v>152</v>
      </c>
      <c r="BS1441" s="0" t="s">
        <v>153</v>
      </c>
      <c r="CA1441" s="0" t="s">
        <v>153</v>
      </c>
      <c r="CP1441" s="0" t="s">
        <v>153</v>
      </c>
      <c r="CV1441" s="0" t="s">
        <v>153</v>
      </c>
      <c r="DC1441" s="0" t="s">
        <v>153</v>
      </c>
      <c r="DN1441" s="0" t="s">
        <v>153</v>
      </c>
    </row>
    <row r="1442" customFormat="false" ht="13.8" hidden="true" customHeight="false" outlineLevel="0" collapsed="false">
      <c r="A1442" s="0" t="s">
        <v>6642</v>
      </c>
      <c r="B1442" s="0" t="n">
        <v>78</v>
      </c>
      <c r="C1442" s="0" t="n">
        <v>212047</v>
      </c>
      <c r="D1442" s="0" t="s">
        <v>6643</v>
      </c>
      <c r="E1442" s="0" t="s">
        <v>6644</v>
      </c>
      <c r="F1442" s="0" t="str">
        <f aca="false">CONCATENATE(D1442," ",LEFT(H1442,4),"T=",AU1442,"D=",AV1442,"R=",AW1442,"M=",AX1442,"L=",AY1442,"B=",AZ1442)</f>
        <v>ZIMMERMAN T=1D=0R=0M=0L=1B=0</v>
      </c>
      <c r="I1442" s="0" t="s">
        <v>6645</v>
      </c>
      <c r="J1442" s="0" t="s">
        <v>217</v>
      </c>
      <c r="K1442" s="0" t="s">
        <v>160</v>
      </c>
      <c r="M1442" s="0" t="s">
        <v>6646</v>
      </c>
      <c r="N1442" s="0" t="str">
        <f aca="false">RIGHT(M1442,LEN(M1442)-FIND(" ",M1442))</f>
        <v>LOGAN AVE NE</v>
      </c>
      <c r="P1442" s="0" t="s">
        <v>145</v>
      </c>
      <c r="Q1442" s="0" t="s">
        <v>146</v>
      </c>
      <c r="R1442" s="0" t="n">
        <v>44483</v>
      </c>
      <c r="AD1442" s="0" t="s">
        <v>147</v>
      </c>
      <c r="AE1442" s="0" t="s">
        <v>148</v>
      </c>
      <c r="AF1442" s="0" t="s">
        <v>149</v>
      </c>
      <c r="AH1442" s="0" t="n">
        <v>14</v>
      </c>
      <c r="AI1442" s="0" t="n">
        <v>11</v>
      </c>
      <c r="AN1442" s="0" t="s">
        <v>145</v>
      </c>
      <c r="AO1442" s="0" t="s">
        <v>654</v>
      </c>
      <c r="AP1442" s="0" t="s">
        <v>655</v>
      </c>
      <c r="AQ1442" s="0" t="n">
        <v>9</v>
      </c>
      <c r="AR1442" s="0" t="n">
        <v>64</v>
      </c>
      <c r="AS1442" s="0" t="n">
        <v>32</v>
      </c>
      <c r="AU1442" s="0" t="n">
        <f aca="false">COUNTA($BA$1668:$EH$1668)</f>
        <v>1</v>
      </c>
      <c r="AV1442" s="0" t="n">
        <f aca="false">COUNTIF($BA$1668:$EH$1668,"D")</f>
        <v>0</v>
      </c>
      <c r="AW1442" s="0" t="n">
        <f aca="false">COUNTIF($BA$1668:$EH$1668,"R")</f>
        <v>0</v>
      </c>
      <c r="AX1442" s="0" t="n">
        <f aca="false">IF(BN1442="D",1,0)+IF(BO1442="D",1,0)+IF(BT1442="D",1,0)+IF(BU1442="D",1,0)+IF(BW1442="D",1,0)+IF(CC1442="D",1,0)+IF(CD1442="D",1,0)+IF(CE1442="D",1,0)+IF(CF1442="D",1,0)+IF(CL1442="D",1,0)+IF(CM1442="D",1,0)+IF(CQ1442="D",1,0)+IF(CR1442="D",1,0)+IF(CS1442="D",1,0)+IF(CW1442="D",1,0)+IF(CX1442="D",1,0)+IF(DD1442="D",1,0)+IF(DE1442="D",1,0)+IF(DJ1442="D",1,0)+IF(DK1442="D",1,0)+IF(DO1442="D",1,0)+IF(DP1442="D",1,0)+IF(DQ1442="D",1,0)+IF(DW1442="D",1,0)+IF(DZ1442="D",1,0)+IF(EH1442="D",1,0)</f>
        <v>0</v>
      </c>
      <c r="AY1442" s="0" t="n">
        <f aca="false">COUNTIF(DU1442:EH1442, "&lt;&gt;")</f>
        <v>1</v>
      </c>
      <c r="AZ1442" s="0" t="n">
        <f aca="false">IF(EH1442&lt;&gt;"",1,0)</f>
        <v>0</v>
      </c>
      <c r="BB1442" s="0" t="s">
        <v>152</v>
      </c>
      <c r="BD1442" s="0" t="s">
        <v>153</v>
      </c>
      <c r="BF1442" s="0" t="s">
        <v>153</v>
      </c>
      <c r="BH1442" s="0" t="s">
        <v>153</v>
      </c>
      <c r="BI1442" s="0" t="s">
        <v>153</v>
      </c>
      <c r="BL1442" s="0" t="s">
        <v>153</v>
      </c>
      <c r="BS1442" s="0" t="s">
        <v>153</v>
      </c>
      <c r="BY1442" s="0" t="s">
        <v>175</v>
      </c>
      <c r="CA1442" s="0" t="s">
        <v>153</v>
      </c>
      <c r="CG1442" s="0" t="s">
        <v>153</v>
      </c>
      <c r="CN1442" s="0" t="s">
        <v>153</v>
      </c>
      <c r="CP1442" s="0" t="s">
        <v>153</v>
      </c>
      <c r="CY1442" s="0" t="s">
        <v>153</v>
      </c>
      <c r="DC1442" s="0" t="s">
        <v>153</v>
      </c>
      <c r="DI1442" s="0" t="s">
        <v>153</v>
      </c>
      <c r="DN1442" s="0" t="s">
        <v>153</v>
      </c>
      <c r="EF1442" s="0" t="s">
        <v>153</v>
      </c>
    </row>
    <row r="1443" customFormat="false" ht="13.8" hidden="true" customHeight="false" outlineLevel="0" collapsed="false">
      <c r="A1443" s="0" t="s">
        <v>6647</v>
      </c>
      <c r="B1443" s="0" t="n">
        <v>78</v>
      </c>
      <c r="C1443" s="0" t="n">
        <v>415621</v>
      </c>
      <c r="D1443" s="0" t="s">
        <v>6643</v>
      </c>
      <c r="E1443" s="0" t="s">
        <v>4536</v>
      </c>
      <c r="F1443" s="0" t="str">
        <f aca="false">CONCATENATE(D1443," ",LEFT(H1443,4),"T=",AU1443,"D=",AV1443,"R=",AW1443,"M=",AX1443,"L=",AY1443,"B=",AZ1443)</f>
        <v>ZIMMERMAN T=26D=6R=0M=0L=1B=0</v>
      </c>
      <c r="G1443" s="0" t="s">
        <v>2130</v>
      </c>
      <c r="I1443" s="0" t="s">
        <v>6648</v>
      </c>
      <c r="J1443" s="0" t="s">
        <v>455</v>
      </c>
      <c r="K1443" s="0" t="s">
        <v>160</v>
      </c>
      <c r="M1443" s="0" t="s">
        <v>6646</v>
      </c>
      <c r="N1443" s="0" t="str">
        <f aca="false">RIGHT(M1443,LEN(M1443)-FIND(" ",M1443))</f>
        <v>LOGAN AVE NE</v>
      </c>
      <c r="P1443" s="0" t="s">
        <v>145</v>
      </c>
      <c r="Q1443" s="0" t="s">
        <v>146</v>
      </c>
      <c r="R1443" s="0" t="n">
        <v>44483</v>
      </c>
      <c r="AD1443" s="0" t="s">
        <v>147</v>
      </c>
      <c r="AE1443" s="0" t="s">
        <v>148</v>
      </c>
      <c r="AF1443" s="0" t="s">
        <v>149</v>
      </c>
      <c r="AH1443" s="0" t="n">
        <v>14</v>
      </c>
      <c r="AI1443" s="0" t="n">
        <v>11</v>
      </c>
      <c r="AN1443" s="0" t="s">
        <v>145</v>
      </c>
      <c r="AO1443" s="0" t="s">
        <v>654</v>
      </c>
      <c r="AP1443" s="0" t="s">
        <v>655</v>
      </c>
      <c r="AQ1443" s="0" t="n">
        <v>9</v>
      </c>
      <c r="AR1443" s="0" t="n">
        <v>64</v>
      </c>
      <c r="AS1443" s="0" t="n">
        <v>32</v>
      </c>
      <c r="AU1443" s="0" t="n">
        <f aca="false">COUNTA($BA$1923:$EH$1923)</f>
        <v>26</v>
      </c>
      <c r="AV1443" s="0" t="n">
        <f aca="false">COUNTIF($BA$1923:$EH$1923,"D")</f>
        <v>6</v>
      </c>
      <c r="AW1443" s="0" t="n">
        <f aca="false">COUNTIF($BA$1923:$EH$1923,"R")</f>
        <v>0</v>
      </c>
      <c r="AX1443" s="0" t="n">
        <f aca="false">IF(BN1443="D",1,0)+IF(BO1443="D",1,0)+IF(BT1443="D",1,0)+IF(BU1443="D",1,0)+IF(BW1443="D",1,0)+IF(CC1443="D",1,0)+IF(CD1443="D",1,0)+IF(CE1443="D",1,0)+IF(CF1443="D",1,0)+IF(CL1443="D",1,0)+IF(CM1443="D",1,0)+IF(CQ1443="D",1,0)+IF(CR1443="D",1,0)+IF(CS1443="D",1,0)+IF(CW1443="D",1,0)+IF(CX1443="D",1,0)+IF(DD1443="D",1,0)+IF(DE1443="D",1,0)+IF(DJ1443="D",1,0)+IF(DK1443="D",1,0)+IF(DO1443="D",1,0)+IF(DP1443="D",1,0)+IF(DQ1443="D",1,0)+IF(DW1443="D",1,0)+IF(DZ1443="D",1,0)+IF(EH1443="D",1,0)</f>
        <v>0</v>
      </c>
      <c r="AY1443" s="0" t="n">
        <f aca="false">COUNTIF(DU1443:EH1443, "&lt;&gt;")</f>
        <v>1</v>
      </c>
      <c r="AZ1443" s="0" t="n">
        <f aca="false">IF(EH1443&lt;&gt;"",1,0)</f>
        <v>0</v>
      </c>
      <c r="BB1443" s="0" t="s">
        <v>152</v>
      </c>
      <c r="DN1443" s="0" t="s">
        <v>153</v>
      </c>
      <c r="EF1443" s="0" t="s">
        <v>153</v>
      </c>
    </row>
    <row r="1444" customFormat="false" ht="13.8" hidden="true" customHeight="false" outlineLevel="0" collapsed="false">
      <c r="A1444" s="0" t="s">
        <v>6649</v>
      </c>
      <c r="B1444" s="0" t="n">
        <v>78</v>
      </c>
      <c r="C1444" s="0" t="n">
        <v>386377</v>
      </c>
      <c r="D1444" s="0" t="s">
        <v>5463</v>
      </c>
      <c r="E1444" s="0" t="s">
        <v>350</v>
      </c>
      <c r="F1444" s="0" t="str">
        <f aca="false">CONCATENATE(D1444," ",LEFT(H1444,4),"T=",AU1444,"D=",AV1444,"R=",AW1444,"M=",AX1444,"L=",AY1444,"B=",AZ1444)</f>
        <v>BANKS T=1D=0R=0M=0L=0B=0</v>
      </c>
      <c r="G1444" s="0" t="s">
        <v>839</v>
      </c>
      <c r="I1444" s="0" t="s">
        <v>6650</v>
      </c>
      <c r="J1444" s="0" t="s">
        <v>3155</v>
      </c>
      <c r="K1444" s="0" t="s">
        <v>143</v>
      </c>
      <c r="M1444" s="0" t="s">
        <v>6651</v>
      </c>
      <c r="N1444" s="0" t="str">
        <f aca="false">RIGHT(M1444,LEN(M1444)-FIND(" ",M1444))</f>
        <v>LOGAN AVE NE</v>
      </c>
      <c r="P1444" s="0" t="s">
        <v>145</v>
      </c>
      <c r="Q1444" s="0" t="s">
        <v>146</v>
      </c>
      <c r="R1444" s="0" t="n">
        <v>44483</v>
      </c>
      <c r="AD1444" s="0" t="s">
        <v>147</v>
      </c>
      <c r="AE1444" s="0" t="s">
        <v>148</v>
      </c>
      <c r="AF1444" s="0" t="s">
        <v>149</v>
      </c>
      <c r="AH1444" s="0" t="n">
        <v>14</v>
      </c>
      <c r="AI1444" s="0" t="n">
        <v>11</v>
      </c>
      <c r="AN1444" s="0" t="s">
        <v>145</v>
      </c>
      <c r="AO1444" s="0" t="s">
        <v>654</v>
      </c>
      <c r="AP1444" s="0" t="s">
        <v>655</v>
      </c>
      <c r="AQ1444" s="0" t="n">
        <v>9</v>
      </c>
      <c r="AR1444" s="0" t="n">
        <v>64</v>
      </c>
      <c r="AS1444" s="0" t="n">
        <v>32</v>
      </c>
      <c r="AU1444" s="0" t="n">
        <f aca="false">COUNTA($BA$1728:$EH$1728)</f>
        <v>1</v>
      </c>
      <c r="AV1444" s="0" t="n">
        <f aca="false">COUNTIF($BA$1728:$EH$1728,"D")</f>
        <v>0</v>
      </c>
      <c r="AW1444" s="0" t="n">
        <f aca="false">COUNTIF($BA$1728:$EH$1728,"R")</f>
        <v>0</v>
      </c>
      <c r="AX1444" s="0" t="n">
        <f aca="false">IF(BN1444="D",1,0)+IF(BO1444="D",1,0)+IF(BT1444="D",1,0)+IF(BU1444="D",1,0)+IF(BW1444="D",1,0)+IF(CC1444="D",1,0)+IF(CD1444="D",1,0)+IF(CE1444="D",1,0)+IF(CF1444="D",1,0)+IF(CL1444="D",1,0)+IF(CM1444="D",1,0)+IF(CQ1444="D",1,0)+IF(CR1444="D",1,0)+IF(CS1444="D",1,0)+IF(CW1444="D",1,0)+IF(CX1444="D",1,0)+IF(DD1444="D",1,0)+IF(DE1444="D",1,0)+IF(DJ1444="D",1,0)+IF(DK1444="D",1,0)+IF(DO1444="D",1,0)+IF(DP1444="D",1,0)+IF(DQ1444="D",1,0)+IF(DW1444="D",1,0)+IF(DZ1444="D",1,0)+IF(EH1444="D",1,0)</f>
        <v>0</v>
      </c>
      <c r="AY1444" s="0" t="n">
        <f aca="false">COUNTIF(DU1444:EH1444, "&lt;&gt;")</f>
        <v>0</v>
      </c>
      <c r="AZ1444" s="0" t="n">
        <f aca="false">IF(EH1444&lt;&gt;"",1,0)</f>
        <v>0</v>
      </c>
      <c r="BB1444" s="0" t="s">
        <v>152</v>
      </c>
    </row>
    <row r="1445" customFormat="false" ht="13.8" hidden="true" customHeight="false" outlineLevel="0" collapsed="false">
      <c r="A1445" s="0" t="s">
        <v>6652</v>
      </c>
      <c r="B1445" s="0" t="n">
        <v>78</v>
      </c>
      <c r="C1445" s="0" t="n">
        <v>305515</v>
      </c>
      <c r="D1445" s="0" t="s">
        <v>6653</v>
      </c>
      <c r="E1445" s="0" t="s">
        <v>351</v>
      </c>
      <c r="F1445" s="0" t="str">
        <f aca="false">CONCATENATE(D1445," ",LEFT(H1445,4),"T=",AU1445,"D=",AV1445,"R=",AW1445,"M=",AX1445,"L=",AY1445,"B=",AZ1445)</f>
        <v>ASBURY T=35D=12R=0M=0L=1B=0</v>
      </c>
      <c r="G1445" s="0" t="s">
        <v>1467</v>
      </c>
      <c r="I1445" s="0" t="s">
        <v>6654</v>
      </c>
      <c r="J1445" s="0" t="s">
        <v>6655</v>
      </c>
      <c r="K1445" s="0" t="s">
        <v>160</v>
      </c>
      <c r="M1445" s="0" t="s">
        <v>6656</v>
      </c>
      <c r="N1445" s="0" t="str">
        <f aca="false">RIGHT(M1445,LEN(M1445)-FIND(" ",M1445))</f>
        <v>LOGAN AVE NE</v>
      </c>
      <c r="P1445" s="0" t="s">
        <v>145</v>
      </c>
      <c r="Q1445" s="0" t="s">
        <v>146</v>
      </c>
      <c r="R1445" s="0" t="n">
        <v>44483</v>
      </c>
      <c r="AD1445" s="0" t="s">
        <v>147</v>
      </c>
      <c r="AE1445" s="0" t="s">
        <v>148</v>
      </c>
      <c r="AF1445" s="0" t="s">
        <v>149</v>
      </c>
      <c r="AH1445" s="0" t="n">
        <v>14</v>
      </c>
      <c r="AI1445" s="0" t="n">
        <v>11</v>
      </c>
      <c r="AN1445" s="0" t="s">
        <v>145</v>
      </c>
      <c r="AO1445" s="0" t="s">
        <v>654</v>
      </c>
      <c r="AP1445" s="0" t="s">
        <v>655</v>
      </c>
      <c r="AQ1445" s="0" t="n">
        <v>9</v>
      </c>
      <c r="AR1445" s="0" t="n">
        <v>64</v>
      </c>
      <c r="AS1445" s="0" t="n">
        <v>32</v>
      </c>
      <c r="AU1445" s="0" t="n">
        <f aca="false">COUNTA($BA$1670:$EH$1670)</f>
        <v>35</v>
      </c>
      <c r="AV1445" s="0" t="n">
        <f aca="false">COUNTIF($BA$1670:$EH$1670,"D")</f>
        <v>12</v>
      </c>
      <c r="AW1445" s="0" t="n">
        <f aca="false">COUNTIF($BA$1670:$EH$1670,"R")</f>
        <v>0</v>
      </c>
      <c r="AX1445" s="0" t="n">
        <f aca="false">IF(BN1445="D",1,0)+IF(BO1445="D",1,0)+IF(BT1445="D",1,0)+IF(BU1445="D",1,0)+IF(BW1445="D",1,0)+IF(CC1445="D",1,0)+IF(CD1445="D",1,0)+IF(CE1445="D",1,0)+IF(CF1445="D",1,0)+IF(CL1445="D",1,0)+IF(CM1445="D",1,0)+IF(CQ1445="D",1,0)+IF(CR1445="D",1,0)+IF(CS1445="D",1,0)+IF(CW1445="D",1,0)+IF(CX1445="D",1,0)+IF(DD1445="D",1,0)+IF(DE1445="D",1,0)+IF(DJ1445="D",1,0)+IF(DK1445="D",1,0)+IF(DO1445="D",1,0)+IF(DP1445="D",1,0)+IF(DQ1445="D",1,0)+IF(DW1445="D",1,0)+IF(DZ1445="D",1,0)+IF(EH1445="D",1,0)</f>
        <v>0</v>
      </c>
      <c r="AY1445" s="0" t="n">
        <f aca="false">COUNTIF(DU1445:EH1445, "&lt;&gt;")</f>
        <v>1</v>
      </c>
      <c r="AZ1445" s="0" t="n">
        <f aca="false">IF(EH1445&lt;&gt;"",1,0)</f>
        <v>0</v>
      </c>
      <c r="BB1445" s="0" t="s">
        <v>152</v>
      </c>
      <c r="BL1445" s="0" t="s">
        <v>153</v>
      </c>
      <c r="BY1445" s="0" t="s">
        <v>175</v>
      </c>
      <c r="CA1445" s="0" t="s">
        <v>153</v>
      </c>
      <c r="CP1445" s="0" t="s">
        <v>153</v>
      </c>
      <c r="CZ1445" s="0" t="s">
        <v>175</v>
      </c>
      <c r="DC1445" s="0" t="s">
        <v>153</v>
      </c>
      <c r="DN1445" s="0" t="s">
        <v>153</v>
      </c>
      <c r="EF1445" s="0" t="s">
        <v>153</v>
      </c>
    </row>
    <row r="1446" customFormat="false" ht="13.8" hidden="true" customHeight="false" outlineLevel="0" collapsed="false">
      <c r="A1446" s="0" t="s">
        <v>6657</v>
      </c>
      <c r="B1446" s="0" t="n">
        <v>78</v>
      </c>
      <c r="C1446" s="0" t="n">
        <v>398555</v>
      </c>
      <c r="D1446" s="0" t="s">
        <v>1901</v>
      </c>
      <c r="E1446" s="0" t="s">
        <v>6658</v>
      </c>
      <c r="F1446" s="0" t="str">
        <f aca="false">CONCATENATE(D1446," ",LEFT(H1446,4),"T=",AU1446,"D=",AV1446,"R=",AW1446,"M=",AX1446,"L=",AY1446,"B=",AZ1446)</f>
        <v>RIVERA T=10D=0R=0M=0L=0B=0</v>
      </c>
      <c r="G1446" s="0" t="s">
        <v>6659</v>
      </c>
      <c r="I1446" s="0" t="s">
        <v>6660</v>
      </c>
      <c r="J1446" s="0" t="s">
        <v>2752</v>
      </c>
      <c r="K1446" s="0" t="s">
        <v>160</v>
      </c>
      <c r="M1446" s="0" t="s">
        <v>6656</v>
      </c>
      <c r="N1446" s="0" t="str">
        <f aca="false">RIGHT(M1446,LEN(M1446)-FIND(" ",M1446))</f>
        <v>LOGAN AVE NE</v>
      </c>
      <c r="P1446" s="0" t="s">
        <v>145</v>
      </c>
      <c r="Q1446" s="0" t="s">
        <v>146</v>
      </c>
      <c r="R1446" s="0" t="n">
        <v>44483</v>
      </c>
      <c r="AD1446" s="0" t="s">
        <v>147</v>
      </c>
      <c r="AE1446" s="0" t="s">
        <v>148</v>
      </c>
      <c r="AF1446" s="0" t="s">
        <v>149</v>
      </c>
      <c r="AH1446" s="0" t="n">
        <v>14</v>
      </c>
      <c r="AI1446" s="0" t="n">
        <v>11</v>
      </c>
      <c r="AN1446" s="0" t="s">
        <v>145</v>
      </c>
      <c r="AO1446" s="0" t="s">
        <v>654</v>
      </c>
      <c r="AP1446" s="0" t="s">
        <v>655</v>
      </c>
      <c r="AQ1446" s="0" t="n">
        <v>9</v>
      </c>
      <c r="AR1446" s="0" t="n">
        <v>64</v>
      </c>
      <c r="AS1446" s="0" t="n">
        <v>32</v>
      </c>
      <c r="AU1446" s="0" t="n">
        <f aca="false">COUNTA($BA$1927:$EH$1927)</f>
        <v>10</v>
      </c>
      <c r="AV1446" s="0" t="n">
        <f aca="false">COUNTIF($BA$1927:$EH$1927,"D")</f>
        <v>0</v>
      </c>
      <c r="AW1446" s="0" t="n">
        <f aca="false">COUNTIF($BA$1927:$EH$1927,"R")</f>
        <v>0</v>
      </c>
      <c r="AX1446" s="0" t="n">
        <f aca="false">IF(BN1446="D",1,0)+IF(BO1446="D",1,0)+IF(BT1446="D",1,0)+IF(BU1446="D",1,0)+IF(BW1446="D",1,0)+IF(CC1446="D",1,0)+IF(CD1446="D",1,0)+IF(CE1446="D",1,0)+IF(CF1446="D",1,0)+IF(CL1446="D",1,0)+IF(CM1446="D",1,0)+IF(CQ1446="D",1,0)+IF(CR1446="D",1,0)+IF(CS1446="D",1,0)+IF(CW1446="D",1,0)+IF(CX1446="D",1,0)+IF(DD1446="D",1,0)+IF(DE1446="D",1,0)+IF(DJ1446="D",1,0)+IF(DK1446="D",1,0)+IF(DO1446="D",1,0)+IF(DP1446="D",1,0)+IF(DQ1446="D",1,0)+IF(DW1446="D",1,0)+IF(DZ1446="D",1,0)+IF(EH1446="D",1,0)</f>
        <v>0</v>
      </c>
      <c r="AY1446" s="0" t="n">
        <f aca="false">COUNTIF(DU1446:EH1446, "&lt;&gt;")</f>
        <v>0</v>
      </c>
      <c r="AZ1446" s="0" t="n">
        <f aca="false">IF(EH1446&lt;&gt;"",1,0)</f>
        <v>0</v>
      </c>
      <c r="BB1446" s="0" t="s">
        <v>152</v>
      </c>
    </row>
    <row r="1447" customFormat="false" ht="13.8" hidden="true" customHeight="false" outlineLevel="0" collapsed="false">
      <c r="A1447" s="0" t="s">
        <v>6661</v>
      </c>
      <c r="B1447" s="0" t="n">
        <v>78</v>
      </c>
      <c r="C1447" s="0" t="n">
        <v>345508</v>
      </c>
      <c r="D1447" s="0" t="s">
        <v>1041</v>
      </c>
      <c r="E1447" s="0" t="s">
        <v>3162</v>
      </c>
      <c r="F1447" s="0" t="str">
        <f aca="false">CONCATENATE(D1447," ",LEFT(H1447,4),"T=",AU1447,"D=",AV1447,"R=",AW1447,"M=",AX1447,"L=",AY1447,"B=",AZ1447)</f>
        <v>JONES T=1D=0R=0M=0L=0B=0</v>
      </c>
      <c r="G1447" s="0" t="s">
        <v>175</v>
      </c>
      <c r="I1447" s="0" t="s">
        <v>6662</v>
      </c>
      <c r="J1447" s="0" t="s">
        <v>2901</v>
      </c>
      <c r="K1447" s="0" t="s">
        <v>160</v>
      </c>
      <c r="M1447" s="0" t="s">
        <v>6663</v>
      </c>
      <c r="N1447" s="0" t="str">
        <f aca="false">RIGHT(M1447,LEN(M1447)-FIND(" ",M1447))</f>
        <v>LOGAN AVE NE</v>
      </c>
      <c r="P1447" s="0" t="s">
        <v>145</v>
      </c>
      <c r="Q1447" s="0" t="s">
        <v>146</v>
      </c>
      <c r="R1447" s="0" t="n">
        <v>44483</v>
      </c>
      <c r="AD1447" s="0" t="s">
        <v>147</v>
      </c>
      <c r="AE1447" s="0" t="s">
        <v>148</v>
      </c>
      <c r="AF1447" s="0" t="s">
        <v>149</v>
      </c>
      <c r="AH1447" s="0" t="n">
        <v>14</v>
      </c>
      <c r="AI1447" s="0" t="n">
        <v>11</v>
      </c>
      <c r="AN1447" s="0" t="s">
        <v>145</v>
      </c>
      <c r="AO1447" s="0" t="s">
        <v>654</v>
      </c>
      <c r="AP1447" s="0" t="s">
        <v>655</v>
      </c>
      <c r="AQ1447" s="0" t="n">
        <v>9</v>
      </c>
      <c r="AR1447" s="0" t="n">
        <v>64</v>
      </c>
      <c r="AS1447" s="0" t="n">
        <v>32</v>
      </c>
      <c r="AU1447" s="0" t="n">
        <f aca="false">COUNTA($BA$1433:$EH$1433)</f>
        <v>1</v>
      </c>
      <c r="AV1447" s="0" t="n">
        <f aca="false">COUNTIF($BA$1433:$EH$1433,"D")</f>
        <v>0</v>
      </c>
      <c r="AW1447" s="0" t="n">
        <f aca="false">COUNTIF($BA$1433:$EH$1433,"R")</f>
        <v>0</v>
      </c>
      <c r="AX1447" s="0" t="n">
        <f aca="false">IF(BN1447="D",1,0)+IF(BO1447="D",1,0)+IF(BT1447="D",1,0)+IF(BU1447="D",1,0)+IF(BW1447="D",1,0)+IF(CC1447="D",1,0)+IF(CD1447="D",1,0)+IF(CE1447="D",1,0)+IF(CF1447="D",1,0)+IF(CL1447="D",1,0)+IF(CM1447="D",1,0)+IF(CQ1447="D",1,0)+IF(CR1447="D",1,0)+IF(CS1447="D",1,0)+IF(CW1447="D",1,0)+IF(CX1447="D",1,0)+IF(DD1447="D",1,0)+IF(DE1447="D",1,0)+IF(DJ1447="D",1,0)+IF(DK1447="D",1,0)+IF(DO1447="D",1,0)+IF(DP1447="D",1,0)+IF(DQ1447="D",1,0)+IF(DW1447="D",1,0)+IF(DZ1447="D",1,0)+IF(EH1447="D",1,0)</f>
        <v>0</v>
      </c>
      <c r="AY1447" s="0" t="n">
        <f aca="false">COUNTIF(DU1447:EH1447, "&lt;&gt;")</f>
        <v>0</v>
      </c>
      <c r="AZ1447" s="0" t="n">
        <f aca="false">IF(EH1447&lt;&gt;"",1,0)</f>
        <v>0</v>
      </c>
      <c r="BB1447" s="0" t="s">
        <v>152</v>
      </c>
    </row>
    <row r="1448" customFormat="false" ht="13.8" hidden="false" customHeight="false" outlineLevel="0" collapsed="false">
      <c r="A1448" s="0" t="s">
        <v>6664</v>
      </c>
      <c r="B1448" s="0" t="n">
        <v>78</v>
      </c>
      <c r="C1448" s="0" t="n">
        <v>199516</v>
      </c>
      <c r="D1448" s="0" t="s">
        <v>6665</v>
      </c>
      <c r="E1448" s="0" t="s">
        <v>275</v>
      </c>
      <c r="F1448" s="0" t="str">
        <f aca="false">CONCATENATE(D1448," ",LEFT(H1448,4),"T=",AU1448,"D=",AV1448,"R=",AW1448,"M=",AX1448,"L=",AY1448,"B=",AZ1448)</f>
        <v>ESAU T=14D=2R=1M=0L=4B=0</v>
      </c>
      <c r="G1448" s="0" t="s">
        <v>713</v>
      </c>
      <c r="I1448" s="0" t="s">
        <v>6666</v>
      </c>
      <c r="J1448" s="0" t="s">
        <v>6667</v>
      </c>
      <c r="K1448" s="0" t="s">
        <v>160</v>
      </c>
      <c r="L1448" s="0" t="s">
        <v>209</v>
      </c>
      <c r="M1448" s="0" t="s">
        <v>6663</v>
      </c>
      <c r="N1448" s="0" t="str">
        <f aca="false">RIGHT(M1448,LEN(M1448)-FIND(" ",M1448))</f>
        <v>LOGAN AVE NE</v>
      </c>
      <c r="P1448" s="0" t="s">
        <v>145</v>
      </c>
      <c r="Q1448" s="0" t="s">
        <v>146</v>
      </c>
      <c r="R1448" s="0" t="n">
        <v>44483</v>
      </c>
      <c r="AD1448" s="0" t="s">
        <v>147</v>
      </c>
      <c r="AE1448" s="0" t="s">
        <v>148</v>
      </c>
      <c r="AF1448" s="0" t="s">
        <v>149</v>
      </c>
      <c r="AH1448" s="0" t="n">
        <v>14</v>
      </c>
      <c r="AI1448" s="0" t="n">
        <v>11</v>
      </c>
      <c r="AN1448" s="0" t="s">
        <v>145</v>
      </c>
      <c r="AO1448" s="0" t="s">
        <v>654</v>
      </c>
      <c r="AP1448" s="0" t="s">
        <v>655</v>
      </c>
      <c r="AQ1448" s="0" t="n">
        <v>9</v>
      </c>
      <c r="AR1448" s="0" t="n">
        <v>64</v>
      </c>
      <c r="AS1448" s="0" t="n">
        <v>32</v>
      </c>
      <c r="AU1448" s="0" t="n">
        <f aca="false">COUNTA($BA$1824:$EH$1824)</f>
        <v>14</v>
      </c>
      <c r="AV1448" s="0" t="n">
        <f aca="false">COUNTIF($BA$1824:$EH$1824,"D")</f>
        <v>2</v>
      </c>
      <c r="AW1448" s="0" t="n">
        <f aca="false">COUNTIF($BA$1824:$EH$1824,"R")</f>
        <v>1</v>
      </c>
      <c r="AX1448" s="0" t="n">
        <f aca="false">IF(BN1448="D",1,0)+IF(BO1448="D",1,0)+IF(BT1448="D",1,0)+IF(BU1448="D",1,0)+IF(BW1448="D",1,0)+IF(CC1448="D",1,0)+IF(CD1448="D",1,0)+IF(CE1448="D",1,0)+IF(CF1448="D",1,0)+IF(CL1448="D",1,0)+IF(CM1448="D",1,0)+IF(CQ1448="D",1,0)+IF(CR1448="D",1,0)+IF(CS1448="D",1,0)+IF(CW1448="D",1,0)+IF(CX1448="D",1,0)+IF(DD1448="D",1,0)+IF(DE1448="D",1,0)+IF(DJ1448="D",1,0)+IF(DK1448="D",1,0)+IF(DO1448="D",1,0)+IF(DP1448="D",1,0)+IF(DQ1448="D",1,0)+IF(DW1448="D",1,0)+IF(DZ1448="D",1,0)+IF(EH1448="D",1,0)</f>
        <v>0</v>
      </c>
      <c r="AY1448" s="0" t="n">
        <f aca="false">COUNTIF(DU1448:EH1448, "&lt;&gt;")</f>
        <v>4</v>
      </c>
      <c r="AZ1448" s="0" t="n">
        <f aca="false">IF(EH1448&lt;&gt;"",1,0)</f>
        <v>0</v>
      </c>
      <c r="BB1448" s="0" t="s">
        <v>152</v>
      </c>
      <c r="BC1448" s="0" t="s">
        <v>153</v>
      </c>
      <c r="BD1448" s="0" t="s">
        <v>153</v>
      </c>
      <c r="BE1448" s="0" t="s">
        <v>153</v>
      </c>
      <c r="BF1448" s="0" t="s">
        <v>153</v>
      </c>
      <c r="BH1448" s="0" t="s">
        <v>153</v>
      </c>
      <c r="BI1448" s="0" t="s">
        <v>153</v>
      </c>
      <c r="BK1448" s="0" t="s">
        <v>153</v>
      </c>
      <c r="BL1448" s="0" t="s">
        <v>153</v>
      </c>
      <c r="BS1448" s="0" t="s">
        <v>153</v>
      </c>
      <c r="BY1448" s="0" t="s">
        <v>175</v>
      </c>
      <c r="CA1448" s="0" t="s">
        <v>153</v>
      </c>
      <c r="CN1448" s="0" t="s">
        <v>153</v>
      </c>
      <c r="CO1448" s="0" t="s">
        <v>175</v>
      </c>
      <c r="CP1448" s="0" t="s">
        <v>153</v>
      </c>
      <c r="CY1448" s="0" t="s">
        <v>153</v>
      </c>
      <c r="DC1448" s="0" t="s">
        <v>153</v>
      </c>
      <c r="DI1448" s="0" t="s">
        <v>153</v>
      </c>
      <c r="DL1448" s="0" t="s">
        <v>153</v>
      </c>
      <c r="DM1448" s="0" t="s">
        <v>209</v>
      </c>
      <c r="DN1448" s="0" t="s">
        <v>153</v>
      </c>
      <c r="DS1448" s="0" t="s">
        <v>209</v>
      </c>
      <c r="DU1448" s="0" t="s">
        <v>153</v>
      </c>
      <c r="EA1448" s="0" t="s">
        <v>153</v>
      </c>
      <c r="ED1448" s="0" t="s">
        <v>209</v>
      </c>
      <c r="EF1448" s="0" t="s">
        <v>153</v>
      </c>
    </row>
    <row r="1449" customFormat="false" ht="13.8" hidden="true" customHeight="false" outlineLevel="0" collapsed="false">
      <c r="A1449" s="0" t="s">
        <v>6668</v>
      </c>
      <c r="B1449" s="0" t="n">
        <v>78</v>
      </c>
      <c r="C1449" s="0" t="n">
        <v>370007</v>
      </c>
      <c r="D1449" s="0" t="s">
        <v>986</v>
      </c>
      <c r="E1449" s="0" t="s">
        <v>1409</v>
      </c>
      <c r="F1449" s="0" t="str">
        <f aca="false">CONCATENATE(D1449," ",LEFT(H1449,4),"T=",AU1449,"D=",AV1449,"R=",AW1449,"M=",AX1449,"L=",AY1449,"B=",AZ1449)</f>
        <v>YOUNG T=47D=15R=1M=0L=0B=0</v>
      </c>
      <c r="G1449" s="0" t="s">
        <v>190</v>
      </c>
      <c r="I1449" s="0" t="s">
        <v>6669</v>
      </c>
      <c r="J1449" s="0" t="s">
        <v>6670</v>
      </c>
      <c r="K1449" s="0" t="s">
        <v>143</v>
      </c>
      <c r="M1449" s="0" t="s">
        <v>6671</v>
      </c>
      <c r="N1449" s="0" t="str">
        <f aca="false">RIGHT(M1449,LEN(M1449)-FIND(" ",M1449))</f>
        <v>LOGAN AVE NE</v>
      </c>
      <c r="P1449" s="0" t="s">
        <v>145</v>
      </c>
      <c r="Q1449" s="0" t="s">
        <v>146</v>
      </c>
      <c r="R1449" s="0" t="n">
        <v>44483</v>
      </c>
      <c r="AD1449" s="0" t="s">
        <v>147</v>
      </c>
      <c r="AE1449" s="0" t="s">
        <v>148</v>
      </c>
      <c r="AF1449" s="0" t="s">
        <v>149</v>
      </c>
      <c r="AH1449" s="0" t="n">
        <v>14</v>
      </c>
      <c r="AI1449" s="0" t="n">
        <v>11</v>
      </c>
      <c r="AN1449" s="0" t="s">
        <v>145</v>
      </c>
      <c r="AO1449" s="0" t="s">
        <v>654</v>
      </c>
      <c r="AP1449" s="0" t="s">
        <v>655</v>
      </c>
      <c r="AQ1449" s="0" t="n">
        <v>9</v>
      </c>
      <c r="AR1449" s="0" t="n">
        <v>64</v>
      </c>
      <c r="AS1449" s="0" t="n">
        <v>32</v>
      </c>
      <c r="AU1449" s="0" t="n">
        <f aca="false">COUNTA($BA$1604:$EH$1604)</f>
        <v>47</v>
      </c>
      <c r="AV1449" s="0" t="n">
        <f aca="false">COUNTIF($BA$1604:$EH$1604,"D")</f>
        <v>15</v>
      </c>
      <c r="AW1449" s="0" t="n">
        <f aca="false">COUNTIF($BA$1604:$EH$1604,"R")</f>
        <v>1</v>
      </c>
      <c r="AX1449" s="0" t="n">
        <f aca="false">IF(BN1449="D",1,0)+IF(BO1449="D",1,0)+IF(BT1449="D",1,0)+IF(BU1449="D",1,0)+IF(BW1449="D",1,0)+IF(CC1449="D",1,0)+IF(CD1449="D",1,0)+IF(CE1449="D",1,0)+IF(CF1449="D",1,0)+IF(CL1449="D",1,0)+IF(CM1449="D",1,0)+IF(CQ1449="D",1,0)+IF(CR1449="D",1,0)+IF(CS1449="D",1,0)+IF(CW1449="D",1,0)+IF(CX1449="D",1,0)+IF(DD1449="D",1,0)+IF(DE1449="D",1,0)+IF(DJ1449="D",1,0)+IF(DK1449="D",1,0)+IF(DO1449="D",1,0)+IF(DP1449="D",1,0)+IF(DQ1449="D",1,0)+IF(DW1449="D",1,0)+IF(DZ1449="D",1,0)+IF(EH1449="D",1,0)</f>
        <v>0</v>
      </c>
      <c r="AY1449" s="0" t="n">
        <f aca="false">COUNTIF(DU1449:EH1449, "&lt;&gt;")</f>
        <v>0</v>
      </c>
      <c r="AZ1449" s="0" t="n">
        <f aca="false">IF(EH1449&lt;&gt;"",1,0)</f>
        <v>0</v>
      </c>
      <c r="BB1449" s="0" t="s">
        <v>152</v>
      </c>
    </row>
    <row r="1450" customFormat="false" ht="13.8" hidden="true" customHeight="false" outlineLevel="0" collapsed="false">
      <c r="A1450" s="0" t="s">
        <v>6672</v>
      </c>
      <c r="B1450" s="0" t="n">
        <v>78</v>
      </c>
      <c r="C1450" s="0" t="n">
        <v>439781</v>
      </c>
      <c r="D1450" s="0" t="s">
        <v>6673</v>
      </c>
      <c r="E1450" s="0" t="s">
        <v>633</v>
      </c>
      <c r="F1450" s="0" t="str">
        <f aca="false">CONCATENATE(D1450," ",LEFT(H1450,4),"T=",AU1450,"D=",AV1450,"R=",AW1450,"M=",AX1450,"L=",AY1450,"B=",AZ1450)</f>
        <v>ALBANI T=42D=12R=0M=0L=0B=0</v>
      </c>
      <c r="G1450" s="0" t="s">
        <v>164</v>
      </c>
      <c r="I1450" s="0" t="s">
        <v>6674</v>
      </c>
      <c r="J1450" s="0" t="s">
        <v>4821</v>
      </c>
      <c r="K1450" s="0" t="s">
        <v>143</v>
      </c>
      <c r="M1450" s="0" t="s">
        <v>6675</v>
      </c>
      <c r="N1450" s="0" t="str">
        <f aca="false">RIGHT(M1450,LEN(M1450)-FIND(" ",M1450))</f>
        <v>LOGAN AVE NE</v>
      </c>
      <c r="P1450" s="0" t="s">
        <v>145</v>
      </c>
      <c r="Q1450" s="0" t="s">
        <v>146</v>
      </c>
      <c r="R1450" s="0" t="n">
        <v>44483</v>
      </c>
      <c r="AD1450" s="0" t="s">
        <v>147</v>
      </c>
      <c r="AE1450" s="0" t="s">
        <v>148</v>
      </c>
      <c r="AF1450" s="0" t="s">
        <v>149</v>
      </c>
      <c r="AH1450" s="0" t="n">
        <v>14</v>
      </c>
      <c r="AI1450" s="0" t="n">
        <v>11</v>
      </c>
      <c r="AN1450" s="0" t="s">
        <v>145</v>
      </c>
      <c r="AO1450" s="0" t="s">
        <v>654</v>
      </c>
      <c r="AP1450" s="0" t="s">
        <v>655</v>
      </c>
      <c r="AQ1450" s="0" t="n">
        <v>9</v>
      </c>
      <c r="AR1450" s="0" t="n">
        <v>64</v>
      </c>
      <c r="AS1450" s="0" t="n">
        <v>32</v>
      </c>
      <c r="AU1450" s="0" t="n">
        <f aca="false">COUNTA($BA$1714:$EH$1714)</f>
        <v>42</v>
      </c>
      <c r="AV1450" s="0" t="n">
        <f aca="false">COUNTIF($BA$1714:$EH$1714,"D")</f>
        <v>12</v>
      </c>
      <c r="AW1450" s="0" t="n">
        <f aca="false">COUNTIF($BA$1714:$EH$1714,"R")</f>
        <v>0</v>
      </c>
      <c r="AX1450" s="0" t="n">
        <f aca="false">IF(BN1450="D",1,0)+IF(BO1450="D",1,0)+IF(BT1450="D",1,0)+IF(BU1450="D",1,0)+IF(BW1450="D",1,0)+IF(CC1450="D",1,0)+IF(CD1450="D",1,0)+IF(CE1450="D",1,0)+IF(CF1450="D",1,0)+IF(CL1450="D",1,0)+IF(CM1450="D",1,0)+IF(CQ1450="D",1,0)+IF(CR1450="D",1,0)+IF(CS1450="D",1,0)+IF(CW1450="D",1,0)+IF(CX1450="D",1,0)+IF(DD1450="D",1,0)+IF(DE1450="D",1,0)+IF(DJ1450="D",1,0)+IF(DK1450="D",1,0)+IF(DO1450="D",1,0)+IF(DP1450="D",1,0)+IF(DQ1450="D",1,0)+IF(DW1450="D",1,0)+IF(DZ1450="D",1,0)+IF(EH1450="D",1,0)</f>
        <v>0</v>
      </c>
      <c r="AY1450" s="0" t="n">
        <f aca="false">COUNTIF(DU1450:EH1450, "&lt;&gt;")</f>
        <v>0</v>
      </c>
      <c r="AZ1450" s="0" t="n">
        <f aca="false">IF(EH1450&lt;&gt;"",1,0)</f>
        <v>0</v>
      </c>
      <c r="BB1450" s="0" t="s">
        <v>152</v>
      </c>
      <c r="BL1450" s="0" t="s">
        <v>153</v>
      </c>
    </row>
    <row r="1451" customFormat="false" ht="13.8" hidden="false" customHeight="false" outlineLevel="0" collapsed="false">
      <c r="A1451" s="0" t="s">
        <v>6676</v>
      </c>
      <c r="B1451" s="0" t="n">
        <v>78</v>
      </c>
      <c r="C1451" s="0" t="n">
        <v>450293</v>
      </c>
      <c r="D1451" s="0" t="s">
        <v>6677</v>
      </c>
      <c r="E1451" s="0" t="s">
        <v>275</v>
      </c>
      <c r="F1451" s="0" t="str">
        <f aca="false">CONCATENATE(D1451," ",LEFT(H1451,4),"T=",AU1451,"D=",AV1451,"R=",AW1451,"M=",AX1451,"L=",AY1451,"B=",AZ1451)</f>
        <v>TREHARN T=1D=0R=0M=1L=3B=0</v>
      </c>
      <c r="G1451" s="0" t="s">
        <v>3101</v>
      </c>
      <c r="I1451" s="0" t="s">
        <v>6678</v>
      </c>
      <c r="J1451" s="0" t="s">
        <v>270</v>
      </c>
      <c r="K1451" s="0" t="s">
        <v>160</v>
      </c>
      <c r="L1451" s="0" t="s">
        <v>175</v>
      </c>
      <c r="M1451" s="0" t="s">
        <v>6679</v>
      </c>
      <c r="N1451" s="0" t="str">
        <f aca="false">RIGHT(M1451,LEN(M1451)-FIND(" ",M1451))</f>
        <v>LOGAN AVE NE</v>
      </c>
      <c r="P1451" s="0" t="s">
        <v>145</v>
      </c>
      <c r="Q1451" s="0" t="s">
        <v>146</v>
      </c>
      <c r="R1451" s="0" t="n">
        <v>44483</v>
      </c>
      <c r="AD1451" s="0" t="s">
        <v>147</v>
      </c>
      <c r="AE1451" s="0" t="s">
        <v>148</v>
      </c>
      <c r="AF1451" s="0" t="s">
        <v>149</v>
      </c>
      <c r="AH1451" s="0" t="n">
        <v>14</v>
      </c>
      <c r="AI1451" s="0" t="n">
        <v>11</v>
      </c>
      <c r="AN1451" s="0" t="s">
        <v>145</v>
      </c>
      <c r="AO1451" s="0" t="s">
        <v>654</v>
      </c>
      <c r="AP1451" s="0" t="s">
        <v>655</v>
      </c>
      <c r="AQ1451" s="0" t="n">
        <v>9</v>
      </c>
      <c r="AR1451" s="0" t="n">
        <v>64</v>
      </c>
      <c r="AS1451" s="0" t="n">
        <v>32</v>
      </c>
      <c r="AU1451" s="0" t="n">
        <f aca="false">COUNTA($BA$2074:$EH$2074)</f>
        <v>1</v>
      </c>
      <c r="AV1451" s="0" t="n">
        <f aca="false">COUNTIF($BA$2074:$EH$2074,"D")</f>
        <v>0</v>
      </c>
      <c r="AW1451" s="0" t="n">
        <f aca="false">COUNTIF($BA$2074:$EH$2074,"R")</f>
        <v>0</v>
      </c>
      <c r="AX1451" s="0" t="n">
        <f aca="false">IF(BN1451="D",1,0)+IF(BO1451="D",1,0)+IF(BT1451="D",1,0)+IF(BU1451="D",1,0)+IF(BW1451="D",1,0)+IF(CC1451="D",1,0)+IF(CD1451="D",1,0)+IF(CE1451="D",1,0)+IF(CF1451="D",1,0)+IF(CL1451="D",1,0)+IF(CM1451="D",1,0)+IF(CQ1451="D",1,0)+IF(CR1451="D",1,0)+IF(CS1451="D",1,0)+IF(CW1451="D",1,0)+IF(CX1451="D",1,0)+IF(DD1451="D",1,0)+IF(DE1451="D",1,0)+IF(DJ1451="D",1,0)+IF(DK1451="D",1,0)+IF(DO1451="D",1,0)+IF(DP1451="D",1,0)+IF(DQ1451="D",1,0)+IF(DW1451="D",1,0)+IF(DZ1451="D",1,0)+IF(EH1451="D",1,0)</f>
        <v>1</v>
      </c>
      <c r="AY1451" s="0" t="n">
        <f aca="false">COUNTIF(DU1451:EH1451, "&lt;&gt;")</f>
        <v>3</v>
      </c>
      <c r="AZ1451" s="0" t="n">
        <f aca="false">IF(EH1451&lt;&gt;"",1,0)</f>
        <v>0</v>
      </c>
      <c r="BB1451" s="0" t="s">
        <v>152</v>
      </c>
      <c r="DN1451" s="0" t="s">
        <v>153</v>
      </c>
      <c r="DU1451" s="0" t="s">
        <v>153</v>
      </c>
      <c r="DW1451" s="0" t="s">
        <v>175</v>
      </c>
      <c r="EF1451" s="0" t="s">
        <v>153</v>
      </c>
    </row>
    <row r="1452" customFormat="false" ht="13.8" hidden="true" customHeight="false" outlineLevel="0" collapsed="false">
      <c r="A1452" s="0" t="s">
        <v>6680</v>
      </c>
      <c r="B1452" s="0" t="n">
        <v>78</v>
      </c>
      <c r="C1452" s="0" t="n">
        <v>492963</v>
      </c>
      <c r="D1452" s="0" t="s">
        <v>6681</v>
      </c>
      <c r="E1452" s="0" t="s">
        <v>5348</v>
      </c>
      <c r="F1452" s="0" t="str">
        <f aca="false">CONCATENATE(D1452," ",LEFT(H1452,4),"T=",AU1452,"D=",AV1452,"R=",AW1452,"M=",AX1452,"L=",AY1452,"B=",AZ1452)</f>
        <v>BILL T=3D=1R=0M=0L=0B=0</v>
      </c>
      <c r="G1452" s="0" t="s">
        <v>1867</v>
      </c>
      <c r="I1452" s="0" t="s">
        <v>6682</v>
      </c>
      <c r="J1452" s="0" t="s">
        <v>6683</v>
      </c>
      <c r="K1452" s="0" t="s">
        <v>160</v>
      </c>
      <c r="M1452" s="0" t="s">
        <v>6684</v>
      </c>
      <c r="N1452" s="0" t="str">
        <f aca="false">RIGHT(M1452,LEN(M1452)-FIND(" ",M1452))</f>
        <v>LOGAN AVE NE</v>
      </c>
      <c r="P1452" s="0" t="s">
        <v>145</v>
      </c>
      <c r="Q1452" s="0" t="s">
        <v>146</v>
      </c>
      <c r="R1452" s="0" t="n">
        <v>44483</v>
      </c>
      <c r="AD1452" s="0" t="s">
        <v>147</v>
      </c>
      <c r="AE1452" s="0" t="s">
        <v>148</v>
      </c>
      <c r="AF1452" s="0" t="s">
        <v>149</v>
      </c>
      <c r="AH1452" s="0" t="n">
        <v>14</v>
      </c>
      <c r="AI1452" s="0" t="n">
        <v>11</v>
      </c>
      <c r="AN1452" s="0" t="s">
        <v>145</v>
      </c>
      <c r="AO1452" s="0" t="s">
        <v>654</v>
      </c>
      <c r="AP1452" s="0" t="s">
        <v>655</v>
      </c>
      <c r="AQ1452" s="0" t="n">
        <v>9</v>
      </c>
      <c r="AR1452" s="0" t="n">
        <v>64</v>
      </c>
      <c r="AS1452" s="0" t="n">
        <v>32</v>
      </c>
      <c r="AU1452" s="0" t="n">
        <f aca="false">COUNTA($BA$1489:$EH$1489)</f>
        <v>3</v>
      </c>
      <c r="AV1452" s="0" t="n">
        <f aca="false">COUNTIF($BA$1489:$EH$1489,"D")</f>
        <v>1</v>
      </c>
      <c r="AW1452" s="0" t="n">
        <f aca="false">COUNTIF($BA$1489:$EH$1489,"R")</f>
        <v>0</v>
      </c>
      <c r="AX1452" s="0" t="n">
        <f aca="false">IF(BN1452="D",1,0)+IF(BO1452="D",1,0)+IF(BT1452="D",1,0)+IF(BU1452="D",1,0)+IF(BW1452="D",1,0)+IF(CC1452="D",1,0)+IF(CD1452="D",1,0)+IF(CE1452="D",1,0)+IF(CF1452="D",1,0)+IF(CL1452="D",1,0)+IF(CM1452="D",1,0)+IF(CQ1452="D",1,0)+IF(CR1452="D",1,0)+IF(CS1452="D",1,0)+IF(CW1452="D",1,0)+IF(CX1452="D",1,0)+IF(DD1452="D",1,0)+IF(DE1452="D",1,0)+IF(DJ1452="D",1,0)+IF(DK1452="D",1,0)+IF(DO1452="D",1,0)+IF(DP1452="D",1,0)+IF(DQ1452="D",1,0)+IF(DW1452="D",1,0)+IF(DZ1452="D",1,0)+IF(EH1452="D",1,0)</f>
        <v>0</v>
      </c>
      <c r="AY1452" s="0" t="n">
        <f aca="false">COUNTIF(DU1452:EH1452, "&lt;&gt;")</f>
        <v>0</v>
      </c>
      <c r="AZ1452" s="0" t="n">
        <f aca="false">IF(EH1452&lt;&gt;"",1,0)</f>
        <v>0</v>
      </c>
      <c r="BB1452" s="0" t="s">
        <v>152</v>
      </c>
    </row>
    <row r="1453" customFormat="false" ht="13.8" hidden="true" customHeight="false" outlineLevel="0" collapsed="false">
      <c r="A1453" s="0" t="s">
        <v>6685</v>
      </c>
      <c r="B1453" s="0" t="n">
        <v>78</v>
      </c>
      <c r="C1453" s="0" t="n">
        <v>417492</v>
      </c>
      <c r="D1453" s="0" t="s">
        <v>3706</v>
      </c>
      <c r="E1453" s="0" t="s">
        <v>2904</v>
      </c>
      <c r="F1453" s="0" t="str">
        <f aca="false">CONCATENATE(D1453," ",LEFT(H1453,4),"T=",AU1453,"D=",AV1453,"R=",AW1453,"M=",AX1453,"L=",AY1453,"B=",AZ1453)</f>
        <v>ARMSTRONG T=47D=14R=0M=0L=0B=0</v>
      </c>
      <c r="G1453" s="0" t="s">
        <v>379</v>
      </c>
      <c r="I1453" s="0" t="s">
        <v>6686</v>
      </c>
      <c r="J1453" s="0" t="s">
        <v>386</v>
      </c>
      <c r="K1453" s="0" t="s">
        <v>160</v>
      </c>
      <c r="M1453" s="0" t="s">
        <v>6687</v>
      </c>
      <c r="N1453" s="0" t="str">
        <f aca="false">RIGHT(M1453,LEN(M1453)-FIND(" ",M1453))</f>
        <v>LOGAN AVE NE</v>
      </c>
      <c r="P1453" s="0" t="s">
        <v>145</v>
      </c>
      <c r="Q1453" s="0" t="s">
        <v>146</v>
      </c>
      <c r="R1453" s="0" t="n">
        <v>44483</v>
      </c>
      <c r="AD1453" s="0" t="s">
        <v>147</v>
      </c>
      <c r="AE1453" s="0" t="s">
        <v>148</v>
      </c>
      <c r="AF1453" s="0" t="s">
        <v>149</v>
      </c>
      <c r="AH1453" s="0" t="n">
        <v>14</v>
      </c>
      <c r="AI1453" s="0" t="n">
        <v>11</v>
      </c>
      <c r="AN1453" s="0" t="s">
        <v>145</v>
      </c>
      <c r="AO1453" s="0" t="s">
        <v>654</v>
      </c>
      <c r="AP1453" s="0" t="s">
        <v>655</v>
      </c>
      <c r="AQ1453" s="0" t="n">
        <v>9</v>
      </c>
      <c r="AR1453" s="0" t="n">
        <v>64</v>
      </c>
      <c r="AS1453" s="0" t="n">
        <v>32</v>
      </c>
      <c r="AU1453" s="0" t="n">
        <f aca="false">COUNTA($BA$1180:$EH$1180)</f>
        <v>47</v>
      </c>
      <c r="AV1453" s="0" t="n">
        <f aca="false">COUNTIF($BA$1180:$EH$1180,"D")</f>
        <v>14</v>
      </c>
      <c r="AW1453" s="0" t="n">
        <f aca="false">COUNTIF($BA$1180:$EH$1180,"R")</f>
        <v>0</v>
      </c>
      <c r="AX1453" s="0" t="n">
        <f aca="false">IF(BN1453="D",1,0)+IF(BO1453="D",1,0)+IF(BT1453="D",1,0)+IF(BU1453="D",1,0)+IF(BW1453="D",1,0)+IF(CC1453="D",1,0)+IF(CD1453="D",1,0)+IF(CE1453="D",1,0)+IF(CF1453="D",1,0)+IF(CL1453="D",1,0)+IF(CM1453="D",1,0)+IF(CQ1453="D",1,0)+IF(CR1453="D",1,0)+IF(CS1453="D",1,0)+IF(CW1453="D",1,0)+IF(CX1453="D",1,0)+IF(DD1453="D",1,0)+IF(DE1453="D",1,0)+IF(DJ1453="D",1,0)+IF(DK1453="D",1,0)+IF(DO1453="D",1,0)+IF(DP1453="D",1,0)+IF(DQ1453="D",1,0)+IF(DW1453="D",1,0)+IF(DZ1453="D",1,0)+IF(EH1453="D",1,0)</f>
        <v>0</v>
      </c>
      <c r="AY1453" s="0" t="n">
        <f aca="false">COUNTIF(DU1453:EH1453, "&lt;&gt;")</f>
        <v>0</v>
      </c>
      <c r="AZ1453" s="0" t="n">
        <f aca="false">IF(EH1453&lt;&gt;"",1,0)</f>
        <v>0</v>
      </c>
      <c r="BB1453" s="0" t="s">
        <v>152</v>
      </c>
      <c r="DN1453" s="0" t="s">
        <v>153</v>
      </c>
    </row>
    <row r="1454" customFormat="false" ht="13.8" hidden="true" customHeight="false" outlineLevel="0" collapsed="false">
      <c r="A1454" s="0" t="s">
        <v>6688</v>
      </c>
      <c r="B1454" s="0" t="n">
        <v>78</v>
      </c>
      <c r="C1454" s="0" t="n">
        <v>442652</v>
      </c>
      <c r="D1454" s="0" t="s">
        <v>6689</v>
      </c>
      <c r="E1454" s="0" t="s">
        <v>719</v>
      </c>
      <c r="F1454" s="0" t="str">
        <f aca="false">CONCATENATE(D1454," ",LEFT(H1454,4),"T=",AU1454,"D=",AV1454,"R=",AW1454,"M=",AX1454,"L=",AY1454,"B=",AZ1454)</f>
        <v>KERCHOFER T=40D=5R=6M=0L=0B=0</v>
      </c>
      <c r="G1454" s="0" t="s">
        <v>686</v>
      </c>
      <c r="I1454" s="0" t="s">
        <v>6690</v>
      </c>
      <c r="J1454" s="0" t="s">
        <v>6691</v>
      </c>
      <c r="K1454" s="0" t="s">
        <v>143</v>
      </c>
      <c r="M1454" s="0" t="s">
        <v>6692</v>
      </c>
      <c r="N1454" s="0" t="str">
        <f aca="false">RIGHT(M1454,LEN(M1454)-FIND(" ",M1454))</f>
        <v>LOGAN AVE SE</v>
      </c>
      <c r="P1454" s="0" t="s">
        <v>145</v>
      </c>
      <c r="Q1454" s="0" t="s">
        <v>146</v>
      </c>
      <c r="R1454" s="0" t="n">
        <v>44483</v>
      </c>
      <c r="AD1454" s="0" t="s">
        <v>147</v>
      </c>
      <c r="AE1454" s="0" t="s">
        <v>148</v>
      </c>
      <c r="AF1454" s="0" t="s">
        <v>149</v>
      </c>
      <c r="AH1454" s="0" t="n">
        <v>14</v>
      </c>
      <c r="AI1454" s="0" t="n">
        <v>11</v>
      </c>
      <c r="AN1454" s="0" t="s">
        <v>145</v>
      </c>
      <c r="AO1454" s="0" t="s">
        <v>150</v>
      </c>
      <c r="AP1454" s="0" t="s">
        <v>151</v>
      </c>
      <c r="AQ1454" s="0" t="n">
        <v>9</v>
      </c>
      <c r="AR1454" s="0" t="n">
        <v>64</v>
      </c>
      <c r="AS1454" s="0" t="n">
        <v>32</v>
      </c>
      <c r="AU1454" s="0" t="n">
        <f aca="false">COUNTA($BA$64:$EH$64)</f>
        <v>40</v>
      </c>
      <c r="AV1454" s="0" t="n">
        <f aca="false">COUNTIF($BA$64:$EH$64,"D")</f>
        <v>5</v>
      </c>
      <c r="AW1454" s="0" t="n">
        <f aca="false">COUNTIF($BA$64:$EH$64,"R")</f>
        <v>6</v>
      </c>
      <c r="AX1454" s="0" t="n">
        <f aca="false">IF(BN1454="D",1,0)+IF(BO1454="D",1,0)+IF(BT1454="D",1,0)+IF(BU1454="D",1,0)+IF(BW1454="D",1,0)+IF(CC1454="D",1,0)+IF(CD1454="D",1,0)+IF(CE1454="D",1,0)+IF(CF1454="D",1,0)+IF(CL1454="D",1,0)+IF(CM1454="D",1,0)+IF(CQ1454="D",1,0)+IF(CR1454="D",1,0)+IF(CS1454="D",1,0)+IF(CW1454="D",1,0)+IF(CX1454="D",1,0)+IF(DD1454="D",1,0)+IF(DE1454="D",1,0)+IF(DJ1454="D",1,0)+IF(DK1454="D",1,0)+IF(DO1454="D",1,0)+IF(DP1454="D",1,0)+IF(DQ1454="D",1,0)+IF(DW1454="D",1,0)+IF(DZ1454="D",1,0)+IF(EH1454="D",1,0)</f>
        <v>0</v>
      </c>
      <c r="AY1454" s="0" t="n">
        <f aca="false">COUNTIF(DU1454:EH1454, "&lt;&gt;")</f>
        <v>0</v>
      </c>
      <c r="AZ1454" s="0" t="n">
        <f aca="false">IF(EH1454&lt;&gt;"",1,0)</f>
        <v>0</v>
      </c>
      <c r="BB1454" s="0" t="s">
        <v>152</v>
      </c>
      <c r="DN1454" s="0" t="s">
        <v>153</v>
      </c>
    </row>
    <row r="1455" customFormat="false" ht="13.8" hidden="false" customHeight="false" outlineLevel="0" collapsed="false">
      <c r="A1455" s="0" t="s">
        <v>6693</v>
      </c>
      <c r="B1455" s="0" t="n">
        <v>78</v>
      </c>
      <c r="C1455" s="0" t="n">
        <v>311706</v>
      </c>
      <c r="D1455" s="0" t="s">
        <v>6694</v>
      </c>
      <c r="E1455" s="0" t="s">
        <v>6695</v>
      </c>
      <c r="F1455" s="0" t="str">
        <f aca="false">CONCATENATE(D1455," ",LEFT(H1455,4),"T=",AU1455,"D=",AV1455,"R=",AW1455,"M=",AX1455,"L=",AY1455,"B=",AZ1455)</f>
        <v>WAYBRIGHT T=21D=2R=0M=0L=4B=0</v>
      </c>
      <c r="G1455" s="0" t="s">
        <v>325</v>
      </c>
      <c r="I1455" s="0" t="s">
        <v>6696</v>
      </c>
      <c r="J1455" s="0" t="s">
        <v>570</v>
      </c>
      <c r="K1455" s="0" t="s">
        <v>160</v>
      </c>
      <c r="L1455" s="0" t="s">
        <v>209</v>
      </c>
      <c r="M1455" s="0" t="s">
        <v>6697</v>
      </c>
      <c r="N1455" s="0" t="str">
        <f aca="false">RIGHT(M1455,LEN(M1455)-FIND(" ",M1455))</f>
        <v>LOGAN AVE SE</v>
      </c>
      <c r="P1455" s="0" t="s">
        <v>145</v>
      </c>
      <c r="Q1455" s="0" t="s">
        <v>146</v>
      </c>
      <c r="R1455" s="0" t="n">
        <v>44483</v>
      </c>
      <c r="AD1455" s="0" t="s">
        <v>147</v>
      </c>
      <c r="AE1455" s="0" t="s">
        <v>148</v>
      </c>
      <c r="AF1455" s="0" t="s">
        <v>149</v>
      </c>
      <c r="AH1455" s="0" t="n">
        <v>14</v>
      </c>
      <c r="AI1455" s="0" t="n">
        <v>11</v>
      </c>
      <c r="AN1455" s="0" t="s">
        <v>145</v>
      </c>
      <c r="AO1455" s="0" t="s">
        <v>150</v>
      </c>
      <c r="AP1455" s="0" t="s">
        <v>151</v>
      </c>
      <c r="AQ1455" s="0" t="n">
        <v>9</v>
      </c>
      <c r="AR1455" s="0" t="n">
        <v>64</v>
      </c>
      <c r="AS1455" s="0" t="n">
        <v>32</v>
      </c>
      <c r="AU1455" s="0" t="n">
        <f aca="false">COUNTA($BA$481:$EH$481)</f>
        <v>21</v>
      </c>
      <c r="AV1455" s="0" t="n">
        <f aca="false">COUNTIF($BA$481:$EH$481,"D")</f>
        <v>2</v>
      </c>
      <c r="AW1455" s="0" t="n">
        <f aca="false">COUNTIF($BA$481:$EH$481,"R")</f>
        <v>0</v>
      </c>
      <c r="AX1455" s="0" t="n">
        <f aca="false">IF(BN1455="D",1,0)+IF(BO1455="D",1,0)+IF(BT1455="D",1,0)+IF(BU1455="D",1,0)+IF(BW1455="D",1,0)+IF(CC1455="D",1,0)+IF(CD1455="D",1,0)+IF(CE1455="D",1,0)+IF(CF1455="D",1,0)+IF(CL1455="D",1,0)+IF(CM1455="D",1,0)+IF(CQ1455="D",1,0)+IF(CR1455="D",1,0)+IF(CS1455="D",1,0)+IF(CW1455="D",1,0)+IF(CX1455="D",1,0)+IF(DD1455="D",1,0)+IF(DE1455="D",1,0)+IF(DJ1455="D",1,0)+IF(DK1455="D",1,0)+IF(DO1455="D",1,0)+IF(DP1455="D",1,0)+IF(DQ1455="D",1,0)+IF(DW1455="D",1,0)+IF(DZ1455="D",1,0)+IF(EH1455="D",1,0)</f>
        <v>0</v>
      </c>
      <c r="AY1455" s="0" t="n">
        <f aca="false">COUNTIF(DU1455:EH1455, "&lt;&gt;")</f>
        <v>4</v>
      </c>
      <c r="AZ1455" s="0" t="n">
        <f aca="false">IF(EH1455&lt;&gt;"",1,0)</f>
        <v>0</v>
      </c>
      <c r="BB1455" s="0" t="s">
        <v>152</v>
      </c>
      <c r="BL1455" s="0" t="s">
        <v>153</v>
      </c>
      <c r="BP1455" s="0" t="s">
        <v>153</v>
      </c>
      <c r="BV1455" s="0" t="s">
        <v>153</v>
      </c>
      <c r="CA1455" s="0" t="s">
        <v>153</v>
      </c>
      <c r="CK1455" s="0" t="s">
        <v>153</v>
      </c>
      <c r="CO1455" s="0" t="s">
        <v>175</v>
      </c>
      <c r="CY1455" s="0" t="s">
        <v>153</v>
      </c>
      <c r="CZ1455" s="0" t="s">
        <v>209</v>
      </c>
      <c r="DC1455" s="0" t="s">
        <v>153</v>
      </c>
      <c r="DI1455" s="0" t="s">
        <v>153</v>
      </c>
      <c r="DN1455" s="0" t="s">
        <v>153</v>
      </c>
      <c r="DT1455" s="0" t="s">
        <v>209</v>
      </c>
      <c r="DU1455" s="0" t="s">
        <v>153</v>
      </c>
      <c r="EA1455" s="0" t="s">
        <v>153</v>
      </c>
      <c r="ED1455" s="0" t="s">
        <v>209</v>
      </c>
      <c r="EF1455" s="0" t="s">
        <v>153</v>
      </c>
    </row>
    <row r="1456" customFormat="false" ht="13.8" hidden="true" customHeight="false" outlineLevel="0" collapsed="false">
      <c r="A1456" s="0" t="s">
        <v>6698</v>
      </c>
      <c r="B1456" s="0" t="n">
        <v>78</v>
      </c>
      <c r="C1456" s="0" t="n">
        <v>442823</v>
      </c>
      <c r="D1456" s="0" t="s">
        <v>6699</v>
      </c>
      <c r="E1456" s="0" t="s">
        <v>2847</v>
      </c>
      <c r="F1456" s="0" t="str">
        <f aca="false">CONCATENATE(D1456," ",LEFT(H1456,4),"T=",AU1456,"D=",AV1456,"R=",AW1456,"M=",AX1456,"L=",AY1456,"B=",AZ1456)</f>
        <v>CONWAY T=16D=1R=0M=0L=0B=0</v>
      </c>
      <c r="G1456" s="0" t="s">
        <v>275</v>
      </c>
      <c r="I1456" s="0" t="s">
        <v>6700</v>
      </c>
      <c r="J1456" s="0" t="s">
        <v>6701</v>
      </c>
      <c r="K1456" s="0" t="s">
        <v>143</v>
      </c>
      <c r="M1456" s="0" t="s">
        <v>6702</v>
      </c>
      <c r="N1456" s="0" t="str">
        <f aca="false">RIGHT(M1456,LEN(M1456)-FIND(" ",M1456))</f>
        <v>LOGAN AVE SE</v>
      </c>
      <c r="P1456" s="0" t="s">
        <v>145</v>
      </c>
      <c r="Q1456" s="0" t="s">
        <v>146</v>
      </c>
      <c r="R1456" s="0" t="n">
        <v>44483</v>
      </c>
      <c r="AD1456" s="0" t="s">
        <v>147</v>
      </c>
      <c r="AE1456" s="0" t="s">
        <v>148</v>
      </c>
      <c r="AF1456" s="0" t="s">
        <v>149</v>
      </c>
      <c r="AH1456" s="0" t="n">
        <v>14</v>
      </c>
      <c r="AI1456" s="0" t="n">
        <v>11</v>
      </c>
      <c r="AN1456" s="0" t="s">
        <v>145</v>
      </c>
      <c r="AO1456" s="0" t="s">
        <v>150</v>
      </c>
      <c r="AP1456" s="0" t="s">
        <v>151</v>
      </c>
      <c r="AQ1456" s="0" t="n">
        <v>9</v>
      </c>
      <c r="AR1456" s="0" t="n">
        <v>64</v>
      </c>
      <c r="AS1456" s="0" t="n">
        <v>32</v>
      </c>
      <c r="AU1456" s="0" t="n">
        <f aca="false">COUNTA($BA$964:$EH$964)</f>
        <v>16</v>
      </c>
      <c r="AV1456" s="0" t="n">
        <f aca="false">COUNTIF($BA$964:$EH$964,"D")</f>
        <v>1</v>
      </c>
      <c r="AW1456" s="0" t="n">
        <f aca="false">COUNTIF($BA$964:$EH$964,"R")</f>
        <v>0</v>
      </c>
      <c r="AX1456" s="0" t="n">
        <f aca="false">IF(BN1456="D",1,0)+IF(BO1456="D",1,0)+IF(BT1456="D",1,0)+IF(BU1456="D",1,0)+IF(BW1456="D",1,0)+IF(CC1456="D",1,0)+IF(CD1456="D",1,0)+IF(CE1456="D",1,0)+IF(CF1456="D",1,0)+IF(CL1456="D",1,0)+IF(CM1456="D",1,0)+IF(CQ1456="D",1,0)+IF(CR1456="D",1,0)+IF(CS1456="D",1,0)+IF(CW1456="D",1,0)+IF(CX1456="D",1,0)+IF(DD1456="D",1,0)+IF(DE1456="D",1,0)+IF(DJ1456="D",1,0)+IF(DK1456="D",1,0)+IF(DO1456="D",1,0)+IF(DP1456="D",1,0)+IF(DQ1456="D",1,0)+IF(DW1456="D",1,0)+IF(DZ1456="D",1,0)+IF(EH1456="D",1,0)</f>
        <v>0</v>
      </c>
      <c r="AY1456" s="0" t="n">
        <f aca="false">COUNTIF(DU1456:EH1456, "&lt;&gt;")</f>
        <v>0</v>
      </c>
      <c r="AZ1456" s="0" t="n">
        <f aca="false">IF(EH1456&lt;&gt;"",1,0)</f>
        <v>0</v>
      </c>
      <c r="BB1456" s="0" t="s">
        <v>152</v>
      </c>
    </row>
    <row r="1457" customFormat="false" ht="13.8" hidden="true" customHeight="false" outlineLevel="0" collapsed="false">
      <c r="A1457" s="0" t="s">
        <v>6703</v>
      </c>
      <c r="B1457" s="0" t="n">
        <v>78</v>
      </c>
      <c r="C1457" s="0" t="n">
        <v>409963</v>
      </c>
      <c r="D1457" s="0" t="s">
        <v>4604</v>
      </c>
      <c r="E1457" s="0" t="s">
        <v>2129</v>
      </c>
      <c r="F1457" s="0" t="str">
        <f aca="false">CONCATENATE(D1457," ",LEFT(H1457,4),"T=",AU1457,"D=",AV1457,"R=",AW1457,"M=",AX1457,"L=",AY1457,"B=",AZ1457)</f>
        <v>BOGGS T=1D=0R=0M=0L=1B=0</v>
      </c>
      <c r="G1457" s="0" t="s">
        <v>325</v>
      </c>
      <c r="I1457" s="0" t="s">
        <v>4112</v>
      </c>
      <c r="J1457" s="0" t="s">
        <v>727</v>
      </c>
      <c r="K1457" s="0" t="s">
        <v>160</v>
      </c>
      <c r="M1457" s="0" t="s">
        <v>6704</v>
      </c>
      <c r="N1457" s="0" t="str">
        <f aca="false">RIGHT(M1457,LEN(M1457)-FIND(" ",M1457))</f>
        <v>LOGAN AVE SE</v>
      </c>
      <c r="P1457" s="0" t="s">
        <v>145</v>
      </c>
      <c r="Q1457" s="0" t="s">
        <v>146</v>
      </c>
      <c r="R1457" s="0" t="n">
        <v>44483</v>
      </c>
      <c r="AD1457" s="0" t="s">
        <v>147</v>
      </c>
      <c r="AE1457" s="0" t="s">
        <v>148</v>
      </c>
      <c r="AF1457" s="0" t="s">
        <v>149</v>
      </c>
      <c r="AH1457" s="0" t="n">
        <v>14</v>
      </c>
      <c r="AI1457" s="0" t="n">
        <v>11</v>
      </c>
      <c r="AN1457" s="0" t="s">
        <v>145</v>
      </c>
      <c r="AO1457" s="0" t="s">
        <v>150</v>
      </c>
      <c r="AP1457" s="0" t="s">
        <v>151</v>
      </c>
      <c r="AQ1457" s="0" t="n">
        <v>9</v>
      </c>
      <c r="AR1457" s="0" t="n">
        <v>64</v>
      </c>
      <c r="AS1457" s="0" t="n">
        <v>32</v>
      </c>
      <c r="AU1457" s="0" t="n">
        <f aca="false">COUNTA($BA$76:$EH$76)</f>
        <v>1</v>
      </c>
      <c r="AV1457" s="0" t="n">
        <f aca="false">COUNTIF($BA$76:$EH$76,"D")</f>
        <v>0</v>
      </c>
      <c r="AW1457" s="0" t="n">
        <f aca="false">COUNTIF($BA$76:$EH$76,"R")</f>
        <v>0</v>
      </c>
      <c r="AX1457" s="0" t="n">
        <f aca="false">IF(BN1457="D",1,0)+IF(BO1457="D",1,0)+IF(BT1457="D",1,0)+IF(BU1457="D",1,0)+IF(BW1457="D",1,0)+IF(CC1457="D",1,0)+IF(CD1457="D",1,0)+IF(CE1457="D",1,0)+IF(CF1457="D",1,0)+IF(CL1457="D",1,0)+IF(CM1457="D",1,0)+IF(CQ1457="D",1,0)+IF(CR1457="D",1,0)+IF(CS1457="D",1,0)+IF(CW1457="D",1,0)+IF(CX1457="D",1,0)+IF(DD1457="D",1,0)+IF(DE1457="D",1,0)+IF(DJ1457="D",1,0)+IF(DK1457="D",1,0)+IF(DO1457="D",1,0)+IF(DP1457="D",1,0)+IF(DQ1457="D",1,0)+IF(DW1457="D",1,0)+IF(DZ1457="D",1,0)+IF(EH1457="D",1,0)</f>
        <v>0</v>
      </c>
      <c r="AY1457" s="0" t="n">
        <f aca="false">COUNTIF(DU1457:EH1457, "&lt;&gt;")</f>
        <v>1</v>
      </c>
      <c r="AZ1457" s="0" t="n">
        <f aca="false">IF(EH1457&lt;&gt;"",1,0)</f>
        <v>0</v>
      </c>
      <c r="BB1457" s="0" t="s">
        <v>152</v>
      </c>
      <c r="CY1457" s="0" t="s">
        <v>153</v>
      </c>
      <c r="DC1457" s="0" t="s">
        <v>153</v>
      </c>
      <c r="EF1457" s="0" t="s">
        <v>153</v>
      </c>
    </row>
    <row r="1458" customFormat="false" ht="13.8" hidden="true" customHeight="false" outlineLevel="0" collapsed="false">
      <c r="A1458" s="0" t="s">
        <v>6705</v>
      </c>
      <c r="B1458" s="0" t="n">
        <v>78</v>
      </c>
      <c r="C1458" s="0" t="n">
        <v>359238</v>
      </c>
      <c r="D1458" s="0" t="s">
        <v>6706</v>
      </c>
      <c r="E1458" s="0" t="s">
        <v>5735</v>
      </c>
      <c r="F1458" s="0" t="str">
        <f aca="false">CONCATENATE(D1458," ",LEFT(H1458,4),"T=",AU1458,"D=",AV1458,"R=",AW1458,"M=",AX1458,"L=",AY1458,"B=",AZ1458)</f>
        <v>SHETTERLY T=1D=0R=0M=0L=1B=0</v>
      </c>
      <c r="G1458" s="0" t="s">
        <v>275</v>
      </c>
      <c r="I1458" s="0" t="s">
        <v>6707</v>
      </c>
      <c r="J1458" s="0" t="s">
        <v>6708</v>
      </c>
      <c r="K1458" s="0" t="s">
        <v>160</v>
      </c>
      <c r="M1458" s="0" t="s">
        <v>6709</v>
      </c>
      <c r="N1458" s="0" t="str">
        <f aca="false">RIGHT(M1458,LEN(M1458)-FIND(" ",M1458))</f>
        <v>LOGAN AVE SE</v>
      </c>
      <c r="P1458" s="0" t="s">
        <v>145</v>
      </c>
      <c r="Q1458" s="0" t="s">
        <v>146</v>
      </c>
      <c r="R1458" s="0" t="n">
        <v>44483</v>
      </c>
      <c r="AD1458" s="0" t="s">
        <v>147</v>
      </c>
      <c r="AE1458" s="0" t="s">
        <v>148</v>
      </c>
      <c r="AF1458" s="0" t="s">
        <v>149</v>
      </c>
      <c r="AH1458" s="0" t="n">
        <v>14</v>
      </c>
      <c r="AI1458" s="0" t="n">
        <v>11</v>
      </c>
      <c r="AN1458" s="0" t="s">
        <v>145</v>
      </c>
      <c r="AO1458" s="0" t="s">
        <v>150</v>
      </c>
      <c r="AP1458" s="0" t="s">
        <v>151</v>
      </c>
      <c r="AQ1458" s="0" t="n">
        <v>9</v>
      </c>
      <c r="AR1458" s="0" t="n">
        <v>64</v>
      </c>
      <c r="AS1458" s="0" t="n">
        <v>32</v>
      </c>
      <c r="AU1458" s="0" t="n">
        <f aca="false">COUNTA($BA$631:$EH$631)</f>
        <v>1</v>
      </c>
      <c r="AV1458" s="0" t="n">
        <f aca="false">COUNTIF($BA$631:$EH$631,"D")</f>
        <v>0</v>
      </c>
      <c r="AW1458" s="0" t="n">
        <f aca="false">COUNTIF($BA$631:$EH$631,"R")</f>
        <v>0</v>
      </c>
      <c r="AX1458" s="0" t="n">
        <f aca="false">IF(BN1458="D",1,0)+IF(BO1458="D",1,0)+IF(BT1458="D",1,0)+IF(BU1458="D",1,0)+IF(BW1458="D",1,0)+IF(CC1458="D",1,0)+IF(CD1458="D",1,0)+IF(CE1458="D",1,0)+IF(CF1458="D",1,0)+IF(CL1458="D",1,0)+IF(CM1458="D",1,0)+IF(CQ1458="D",1,0)+IF(CR1458="D",1,0)+IF(CS1458="D",1,0)+IF(CW1458="D",1,0)+IF(CX1458="D",1,0)+IF(DD1458="D",1,0)+IF(DE1458="D",1,0)+IF(DJ1458="D",1,0)+IF(DK1458="D",1,0)+IF(DO1458="D",1,0)+IF(DP1458="D",1,0)+IF(DQ1458="D",1,0)+IF(DW1458="D",1,0)+IF(DZ1458="D",1,0)+IF(EH1458="D",1,0)</f>
        <v>0</v>
      </c>
      <c r="AY1458" s="0" t="n">
        <f aca="false">COUNTIF(DU1458:EH1458, "&lt;&gt;")</f>
        <v>1</v>
      </c>
      <c r="AZ1458" s="0" t="n">
        <f aca="false">IF(EH1458&lt;&gt;"",1,0)</f>
        <v>0</v>
      </c>
      <c r="BB1458" s="0" t="s">
        <v>152</v>
      </c>
      <c r="CA1458" s="0" t="s">
        <v>153</v>
      </c>
      <c r="CG1458" s="0" t="s">
        <v>153</v>
      </c>
      <c r="DC1458" s="0" t="s">
        <v>153</v>
      </c>
      <c r="EF1458" s="0" t="s">
        <v>153</v>
      </c>
    </row>
    <row r="1459" customFormat="false" ht="13.8" hidden="true" customHeight="false" outlineLevel="0" collapsed="false">
      <c r="A1459" s="0" t="s">
        <v>6710</v>
      </c>
      <c r="B1459" s="0" t="n">
        <v>78</v>
      </c>
      <c r="C1459" s="0" t="n">
        <v>165776</v>
      </c>
      <c r="D1459" s="0" t="s">
        <v>6706</v>
      </c>
      <c r="E1459" s="0" t="s">
        <v>589</v>
      </c>
      <c r="F1459" s="0" t="str">
        <f aca="false">CONCATENATE(D1459," ",LEFT(H1459,4),"T=",AU1459,"D=",AV1459,"R=",AW1459,"M=",AX1459,"L=",AY1459,"B=",AZ1459)</f>
        <v>SHETTERLY T=1D=0R=0M=0L=0B=0</v>
      </c>
      <c r="G1459" s="0" t="s">
        <v>164</v>
      </c>
      <c r="I1459" s="0" t="s">
        <v>6711</v>
      </c>
      <c r="J1459" s="0" t="s">
        <v>6712</v>
      </c>
      <c r="K1459" s="0" t="s">
        <v>160</v>
      </c>
      <c r="M1459" s="0" t="s">
        <v>6709</v>
      </c>
      <c r="N1459" s="0" t="str">
        <f aca="false">RIGHT(M1459,LEN(M1459)-FIND(" ",M1459))</f>
        <v>LOGAN AVE SE</v>
      </c>
      <c r="P1459" s="0" t="s">
        <v>145</v>
      </c>
      <c r="Q1459" s="0" t="s">
        <v>146</v>
      </c>
      <c r="R1459" s="0" t="n">
        <v>44483</v>
      </c>
      <c r="AD1459" s="0" t="s">
        <v>147</v>
      </c>
      <c r="AE1459" s="0" t="s">
        <v>148</v>
      </c>
      <c r="AF1459" s="0" t="s">
        <v>149</v>
      </c>
      <c r="AH1459" s="0" t="n">
        <v>14</v>
      </c>
      <c r="AI1459" s="0" t="n">
        <v>11</v>
      </c>
      <c r="AN1459" s="0" t="s">
        <v>145</v>
      </c>
      <c r="AO1459" s="0" t="s">
        <v>150</v>
      </c>
      <c r="AP1459" s="0" t="s">
        <v>151</v>
      </c>
      <c r="AQ1459" s="0" t="n">
        <v>9</v>
      </c>
      <c r="AR1459" s="0" t="n">
        <v>64</v>
      </c>
      <c r="AS1459" s="0" t="n">
        <v>32</v>
      </c>
      <c r="AU1459" s="0" t="n">
        <f aca="false">COUNTA($BA$864:$EH$864)</f>
        <v>1</v>
      </c>
      <c r="AV1459" s="0" t="n">
        <f aca="false">COUNTIF($BA$864:$EH$864,"D")</f>
        <v>0</v>
      </c>
      <c r="AW1459" s="0" t="n">
        <f aca="false">COUNTIF($BA$864:$EH$864,"R")</f>
        <v>0</v>
      </c>
      <c r="AX1459" s="0" t="n">
        <f aca="false">IF(BN1459="D",1,0)+IF(BO1459="D",1,0)+IF(BT1459="D",1,0)+IF(BU1459="D",1,0)+IF(BW1459="D",1,0)+IF(CC1459="D",1,0)+IF(CD1459="D",1,0)+IF(CE1459="D",1,0)+IF(CF1459="D",1,0)+IF(CL1459="D",1,0)+IF(CM1459="D",1,0)+IF(CQ1459="D",1,0)+IF(CR1459="D",1,0)+IF(CS1459="D",1,0)+IF(CW1459="D",1,0)+IF(CX1459="D",1,0)+IF(DD1459="D",1,0)+IF(DE1459="D",1,0)+IF(DJ1459="D",1,0)+IF(DK1459="D",1,0)+IF(DO1459="D",1,0)+IF(DP1459="D",1,0)+IF(DQ1459="D",1,0)+IF(DW1459="D",1,0)+IF(DZ1459="D",1,0)+IF(EH1459="D",1,0)</f>
        <v>0</v>
      </c>
      <c r="AY1459" s="0" t="n">
        <f aca="false">COUNTIF(DU1459:EH1459, "&lt;&gt;")</f>
        <v>0</v>
      </c>
      <c r="AZ1459" s="0" t="n">
        <f aca="false">IF(EH1459&lt;&gt;"",1,0)</f>
        <v>0</v>
      </c>
      <c r="BB1459" s="0" t="s">
        <v>152</v>
      </c>
      <c r="BC1459" s="0" t="s">
        <v>153</v>
      </c>
      <c r="BD1459" s="0" t="s">
        <v>153</v>
      </c>
      <c r="BL1459" s="0" t="s">
        <v>153</v>
      </c>
      <c r="BS1459" s="0" t="s">
        <v>153</v>
      </c>
      <c r="CA1459" s="0" t="s">
        <v>153</v>
      </c>
      <c r="CG1459" s="0" t="s">
        <v>153</v>
      </c>
      <c r="DC1459" s="0" t="s">
        <v>153</v>
      </c>
      <c r="DN1459" s="0" t="s">
        <v>153</v>
      </c>
    </row>
    <row r="1460" customFormat="false" ht="13.8" hidden="true" customHeight="false" outlineLevel="0" collapsed="false">
      <c r="A1460" s="0" t="s">
        <v>6713</v>
      </c>
      <c r="B1460" s="0" t="n">
        <v>78</v>
      </c>
      <c r="C1460" s="0" t="n">
        <v>414873</v>
      </c>
      <c r="D1460" s="0" t="s">
        <v>690</v>
      </c>
      <c r="E1460" s="0" t="s">
        <v>1722</v>
      </c>
      <c r="F1460" s="0" t="str">
        <f aca="false">CONCATENATE(D1460," ",LEFT(H1460,4),"T=",AU1460,"D=",AV1460,"R=",AW1460,"M=",AX1460,"L=",AY1460,"B=",AZ1460)</f>
        <v>SMITH T=18D=0R=1M=0L=0B=0</v>
      </c>
      <c r="G1460" s="0" t="s">
        <v>325</v>
      </c>
      <c r="I1460" s="0" t="s">
        <v>6714</v>
      </c>
      <c r="J1460" s="0" t="s">
        <v>6244</v>
      </c>
      <c r="K1460" s="0" t="s">
        <v>143</v>
      </c>
      <c r="M1460" s="0" t="s">
        <v>6715</v>
      </c>
      <c r="N1460" s="0" t="str">
        <f aca="false">RIGHT(M1460,LEN(M1460)-FIND(" ",M1460))</f>
        <v>LOGAN AVE SE</v>
      </c>
      <c r="P1460" s="0" t="s">
        <v>145</v>
      </c>
      <c r="Q1460" s="0" t="s">
        <v>146</v>
      </c>
      <c r="R1460" s="0" t="n">
        <v>44483</v>
      </c>
      <c r="AD1460" s="0" t="s">
        <v>147</v>
      </c>
      <c r="AE1460" s="0" t="s">
        <v>148</v>
      </c>
      <c r="AF1460" s="0" t="s">
        <v>149</v>
      </c>
      <c r="AH1460" s="0" t="n">
        <v>14</v>
      </c>
      <c r="AI1460" s="0" t="n">
        <v>11</v>
      </c>
      <c r="AN1460" s="0" t="s">
        <v>145</v>
      </c>
      <c r="AO1460" s="0" t="s">
        <v>654</v>
      </c>
      <c r="AP1460" s="0" t="s">
        <v>655</v>
      </c>
      <c r="AQ1460" s="0" t="n">
        <v>9</v>
      </c>
      <c r="AR1460" s="0" t="n">
        <v>64</v>
      </c>
      <c r="AS1460" s="0" t="n">
        <v>32</v>
      </c>
      <c r="AU1460" s="0" t="n">
        <f aca="false">COUNTA($BA$1123:$EH$1123)</f>
        <v>18</v>
      </c>
      <c r="AV1460" s="0" t="n">
        <f aca="false">COUNTIF($BA$1123:$EH$1123,"D")</f>
        <v>0</v>
      </c>
      <c r="AW1460" s="0" t="n">
        <f aca="false">COUNTIF($BA$1123:$EH$1123,"R")</f>
        <v>1</v>
      </c>
      <c r="AX1460" s="0" t="n">
        <f aca="false">IF(BN1460="D",1,0)+IF(BO1460="D",1,0)+IF(BT1460="D",1,0)+IF(BU1460="D",1,0)+IF(BW1460="D",1,0)+IF(CC1460="D",1,0)+IF(CD1460="D",1,0)+IF(CE1460="D",1,0)+IF(CF1460="D",1,0)+IF(CL1460="D",1,0)+IF(CM1460="D",1,0)+IF(CQ1460="D",1,0)+IF(CR1460="D",1,0)+IF(CS1460="D",1,0)+IF(CW1460="D",1,0)+IF(CX1460="D",1,0)+IF(DD1460="D",1,0)+IF(DE1460="D",1,0)+IF(DJ1460="D",1,0)+IF(DK1460="D",1,0)+IF(DO1460="D",1,0)+IF(DP1460="D",1,0)+IF(DQ1460="D",1,0)+IF(DW1460="D",1,0)+IF(DZ1460="D",1,0)+IF(EH1460="D",1,0)</f>
        <v>0</v>
      </c>
      <c r="AY1460" s="0" t="n">
        <f aca="false">COUNTIF(DU1460:EH1460, "&lt;&gt;")</f>
        <v>0</v>
      </c>
      <c r="AZ1460" s="0" t="n">
        <f aca="false">IF(EH1460&lt;&gt;"",1,0)</f>
        <v>0</v>
      </c>
      <c r="BB1460" s="0" t="s">
        <v>152</v>
      </c>
    </row>
    <row r="1461" customFormat="false" ht="13.8" hidden="true" customHeight="false" outlineLevel="0" collapsed="false">
      <c r="A1461" s="0" t="s">
        <v>6716</v>
      </c>
      <c r="B1461" s="0" t="n">
        <v>78</v>
      </c>
      <c r="C1461" s="0" t="n">
        <v>435395</v>
      </c>
      <c r="D1461" s="0" t="s">
        <v>6717</v>
      </c>
      <c r="E1461" s="0" t="s">
        <v>3329</v>
      </c>
      <c r="F1461" s="0" t="str">
        <f aca="false">CONCATENATE(D1461," ",LEFT(H1461,4),"T=",AU1461,"D=",AV1461,"R=",AW1461,"M=",AX1461,"L=",AY1461,"B=",AZ1461)</f>
        <v>KOBLE T=1D=0R=0M=0L=0B=0</v>
      </c>
      <c r="G1461" s="0" t="s">
        <v>190</v>
      </c>
      <c r="I1461" s="0" t="s">
        <v>6718</v>
      </c>
      <c r="J1461" s="0" t="s">
        <v>6719</v>
      </c>
      <c r="K1461" s="0" t="s">
        <v>143</v>
      </c>
      <c r="M1461" s="0" t="s">
        <v>6715</v>
      </c>
      <c r="N1461" s="0" t="str">
        <f aca="false">RIGHT(M1461,LEN(M1461)-FIND(" ",M1461))</f>
        <v>LOGAN AVE SE</v>
      </c>
      <c r="P1461" s="0" t="s">
        <v>145</v>
      </c>
      <c r="Q1461" s="0" t="s">
        <v>146</v>
      </c>
      <c r="R1461" s="0" t="n">
        <v>44483</v>
      </c>
      <c r="AD1461" s="0" t="s">
        <v>147</v>
      </c>
      <c r="AE1461" s="0" t="s">
        <v>148</v>
      </c>
      <c r="AF1461" s="0" t="s">
        <v>149</v>
      </c>
      <c r="AH1461" s="0" t="n">
        <v>14</v>
      </c>
      <c r="AI1461" s="0" t="n">
        <v>11</v>
      </c>
      <c r="AN1461" s="0" t="s">
        <v>145</v>
      </c>
      <c r="AO1461" s="0" t="s">
        <v>654</v>
      </c>
      <c r="AP1461" s="0" t="s">
        <v>655</v>
      </c>
      <c r="AQ1461" s="0" t="n">
        <v>9</v>
      </c>
      <c r="AR1461" s="0" t="n">
        <v>64</v>
      </c>
      <c r="AS1461" s="0" t="n">
        <v>32</v>
      </c>
      <c r="AU1461" s="0" t="n">
        <f aca="false">COUNTA($BA$1456:$EH$1456)</f>
        <v>1</v>
      </c>
      <c r="AV1461" s="0" t="n">
        <f aca="false">COUNTIF($BA$1456:$EH$1456,"D")</f>
        <v>0</v>
      </c>
      <c r="AW1461" s="0" t="n">
        <f aca="false">COUNTIF($BA$1456:$EH$1456,"R")</f>
        <v>0</v>
      </c>
      <c r="AX1461" s="0" t="n">
        <f aca="false">IF(BN1461="D",1,0)+IF(BO1461="D",1,0)+IF(BT1461="D",1,0)+IF(BU1461="D",1,0)+IF(BW1461="D",1,0)+IF(CC1461="D",1,0)+IF(CD1461="D",1,0)+IF(CE1461="D",1,0)+IF(CF1461="D",1,0)+IF(CL1461="D",1,0)+IF(CM1461="D",1,0)+IF(CQ1461="D",1,0)+IF(CR1461="D",1,0)+IF(CS1461="D",1,0)+IF(CW1461="D",1,0)+IF(CX1461="D",1,0)+IF(DD1461="D",1,0)+IF(DE1461="D",1,0)+IF(DJ1461="D",1,0)+IF(DK1461="D",1,0)+IF(DO1461="D",1,0)+IF(DP1461="D",1,0)+IF(DQ1461="D",1,0)+IF(DW1461="D",1,0)+IF(DZ1461="D",1,0)+IF(EH1461="D",1,0)</f>
        <v>0</v>
      </c>
      <c r="AY1461" s="0" t="n">
        <f aca="false">COUNTIF(DU1461:EH1461, "&lt;&gt;")</f>
        <v>0</v>
      </c>
      <c r="AZ1461" s="0" t="n">
        <f aca="false">IF(EH1461&lt;&gt;"",1,0)</f>
        <v>0</v>
      </c>
      <c r="BB1461" s="0" t="s">
        <v>152</v>
      </c>
    </row>
    <row r="1462" customFormat="false" ht="13.8" hidden="true" customHeight="false" outlineLevel="0" collapsed="false">
      <c r="A1462" s="0" t="s">
        <v>6720</v>
      </c>
      <c r="B1462" s="0" t="n">
        <v>78</v>
      </c>
      <c r="C1462" s="0" t="n">
        <v>245992</v>
      </c>
      <c r="D1462" s="0" t="s">
        <v>6721</v>
      </c>
      <c r="E1462" s="0" t="s">
        <v>3873</v>
      </c>
      <c r="F1462" s="0" t="str">
        <f aca="false">CONCATENATE(D1462," ",LEFT(H1462,4),"T=",AU1462,"D=",AV1462,"R=",AW1462,"M=",AX1462,"L=",AY1462,"B=",AZ1462)</f>
        <v>NICHOLL T=1D=0R=0M=0L=1B=0</v>
      </c>
      <c r="G1462" s="0" t="s">
        <v>209</v>
      </c>
      <c r="I1462" s="0" t="s">
        <v>6722</v>
      </c>
      <c r="J1462" s="0" t="s">
        <v>6723</v>
      </c>
      <c r="K1462" s="0" t="s">
        <v>160</v>
      </c>
      <c r="M1462" s="0" t="s">
        <v>6724</v>
      </c>
      <c r="N1462" s="0" t="str">
        <f aca="false">RIGHT(M1462,LEN(M1462)-FIND(" ",M1462))</f>
        <v>LOGAN AVE SE</v>
      </c>
      <c r="P1462" s="0" t="s">
        <v>145</v>
      </c>
      <c r="Q1462" s="0" t="s">
        <v>146</v>
      </c>
      <c r="R1462" s="0" t="n">
        <v>44483</v>
      </c>
      <c r="AD1462" s="0" t="s">
        <v>147</v>
      </c>
      <c r="AE1462" s="0" t="s">
        <v>148</v>
      </c>
      <c r="AF1462" s="0" t="s">
        <v>149</v>
      </c>
      <c r="AH1462" s="0" t="n">
        <v>14</v>
      </c>
      <c r="AI1462" s="0" t="n">
        <v>11</v>
      </c>
      <c r="AN1462" s="0" t="s">
        <v>145</v>
      </c>
      <c r="AO1462" s="0" t="s">
        <v>150</v>
      </c>
      <c r="AP1462" s="0" t="s">
        <v>151</v>
      </c>
      <c r="AQ1462" s="0" t="n">
        <v>9</v>
      </c>
      <c r="AR1462" s="0" t="n">
        <v>64</v>
      </c>
      <c r="AS1462" s="0" t="n">
        <v>32</v>
      </c>
      <c r="AU1462" s="0" t="n">
        <f aca="false">COUNTA($BA$589:$EH$589)</f>
        <v>1</v>
      </c>
      <c r="AV1462" s="0" t="n">
        <f aca="false">COUNTIF($BA$589:$EH$589,"D")</f>
        <v>0</v>
      </c>
      <c r="AW1462" s="0" t="n">
        <f aca="false">COUNTIF($BA$589:$EH$589,"R")</f>
        <v>0</v>
      </c>
      <c r="AX1462" s="0" t="n">
        <f aca="false">IF(BN1462="D",1,0)+IF(BO1462="D",1,0)+IF(BT1462="D",1,0)+IF(BU1462="D",1,0)+IF(BW1462="D",1,0)+IF(CC1462="D",1,0)+IF(CD1462="D",1,0)+IF(CE1462="D",1,0)+IF(CF1462="D",1,0)+IF(CL1462="D",1,0)+IF(CM1462="D",1,0)+IF(CQ1462="D",1,0)+IF(CR1462="D",1,0)+IF(CS1462="D",1,0)+IF(CW1462="D",1,0)+IF(CX1462="D",1,0)+IF(DD1462="D",1,0)+IF(DE1462="D",1,0)+IF(DJ1462="D",1,0)+IF(DK1462="D",1,0)+IF(DO1462="D",1,0)+IF(DP1462="D",1,0)+IF(DQ1462="D",1,0)+IF(DW1462="D",1,0)+IF(DZ1462="D",1,0)+IF(EH1462="D",1,0)</f>
        <v>0</v>
      </c>
      <c r="AY1462" s="0" t="n">
        <f aca="false">COUNTIF(DU1462:EH1462, "&lt;&gt;")</f>
        <v>1</v>
      </c>
      <c r="AZ1462" s="0" t="n">
        <f aca="false">IF(EH1462&lt;&gt;"",1,0)</f>
        <v>0</v>
      </c>
      <c r="BB1462" s="0" t="s">
        <v>152</v>
      </c>
      <c r="BD1462" s="0" t="s">
        <v>153</v>
      </c>
      <c r="BL1462" s="0" t="s">
        <v>153</v>
      </c>
      <c r="BY1462" s="0" t="s">
        <v>175</v>
      </c>
      <c r="CA1462" s="0" t="s">
        <v>153</v>
      </c>
      <c r="CP1462" s="0" t="s">
        <v>153</v>
      </c>
      <c r="DC1462" s="0" t="s">
        <v>153</v>
      </c>
      <c r="DI1462" s="0" t="s">
        <v>153</v>
      </c>
      <c r="DN1462" s="0" t="s">
        <v>153</v>
      </c>
      <c r="EF1462" s="0" t="s">
        <v>153</v>
      </c>
    </row>
    <row r="1463" customFormat="false" ht="13.8" hidden="true" customHeight="false" outlineLevel="0" collapsed="false">
      <c r="A1463" s="0" t="s">
        <v>6725</v>
      </c>
      <c r="B1463" s="0" t="n">
        <v>78</v>
      </c>
      <c r="C1463" s="0" t="n">
        <v>401191</v>
      </c>
      <c r="D1463" s="0" t="s">
        <v>2171</v>
      </c>
      <c r="E1463" s="0" t="s">
        <v>184</v>
      </c>
      <c r="F1463" s="0" t="str">
        <f aca="false">CONCATENATE(D1463," ",LEFT(H1463,4),"T=",AU1463,"D=",AV1463,"R=",AW1463,"M=",AX1463,"L=",AY1463,"B=",AZ1463)</f>
        <v>SULLIVAN T=1D=0R=0M=0L=0B=0</v>
      </c>
      <c r="G1463" s="0" t="s">
        <v>2049</v>
      </c>
      <c r="I1463" s="0" t="s">
        <v>6726</v>
      </c>
      <c r="J1463" s="0" t="s">
        <v>6727</v>
      </c>
      <c r="K1463" s="0" t="s">
        <v>143</v>
      </c>
      <c r="M1463" s="0" t="s">
        <v>6724</v>
      </c>
      <c r="N1463" s="0" t="str">
        <f aca="false">RIGHT(M1463,LEN(M1463)-FIND(" ",M1463))</f>
        <v>LOGAN AVE SE</v>
      </c>
      <c r="P1463" s="0" t="s">
        <v>145</v>
      </c>
      <c r="Q1463" s="0" t="s">
        <v>146</v>
      </c>
      <c r="R1463" s="0" t="n">
        <v>44483</v>
      </c>
      <c r="AD1463" s="0" t="s">
        <v>147</v>
      </c>
      <c r="AE1463" s="0" t="s">
        <v>148</v>
      </c>
      <c r="AF1463" s="0" t="s">
        <v>149</v>
      </c>
      <c r="AH1463" s="0" t="n">
        <v>14</v>
      </c>
      <c r="AI1463" s="0" t="n">
        <v>11</v>
      </c>
      <c r="AN1463" s="0" t="s">
        <v>145</v>
      </c>
      <c r="AO1463" s="0" t="s">
        <v>150</v>
      </c>
      <c r="AP1463" s="0" t="s">
        <v>151</v>
      </c>
      <c r="AQ1463" s="0" t="n">
        <v>9</v>
      </c>
      <c r="AR1463" s="0" t="n">
        <v>64</v>
      </c>
      <c r="AS1463" s="0" t="n">
        <v>32</v>
      </c>
      <c r="AU1463" s="0" t="n">
        <f aca="false">COUNTA($BA$729:$EH$729)</f>
        <v>1</v>
      </c>
      <c r="AV1463" s="0" t="n">
        <f aca="false">COUNTIF($BA$729:$EH$729,"D")</f>
        <v>0</v>
      </c>
      <c r="AW1463" s="0" t="n">
        <f aca="false">COUNTIF($BA$729:$EH$729,"R")</f>
        <v>0</v>
      </c>
      <c r="AX1463" s="0" t="n">
        <f aca="false">IF(BN1463="D",1,0)+IF(BO1463="D",1,0)+IF(BT1463="D",1,0)+IF(BU1463="D",1,0)+IF(BW1463="D",1,0)+IF(CC1463="D",1,0)+IF(CD1463="D",1,0)+IF(CE1463="D",1,0)+IF(CF1463="D",1,0)+IF(CL1463="D",1,0)+IF(CM1463="D",1,0)+IF(CQ1463="D",1,0)+IF(CR1463="D",1,0)+IF(CS1463="D",1,0)+IF(CW1463="D",1,0)+IF(CX1463="D",1,0)+IF(DD1463="D",1,0)+IF(DE1463="D",1,0)+IF(DJ1463="D",1,0)+IF(DK1463="D",1,0)+IF(DO1463="D",1,0)+IF(DP1463="D",1,0)+IF(DQ1463="D",1,0)+IF(DW1463="D",1,0)+IF(DZ1463="D",1,0)+IF(EH1463="D",1,0)</f>
        <v>0</v>
      </c>
      <c r="AY1463" s="0" t="n">
        <f aca="false">COUNTIF(DU1463:EH1463, "&lt;&gt;")</f>
        <v>0</v>
      </c>
      <c r="AZ1463" s="0" t="n">
        <f aca="false">IF(EH1463&lt;&gt;"",1,0)</f>
        <v>0</v>
      </c>
      <c r="BB1463" s="0" t="s">
        <v>152</v>
      </c>
      <c r="DC1463" s="0" t="s">
        <v>153</v>
      </c>
    </row>
    <row r="1464" customFormat="false" ht="13.8" hidden="true" customHeight="false" outlineLevel="0" collapsed="false">
      <c r="A1464" s="0" t="s">
        <v>6728</v>
      </c>
      <c r="B1464" s="0" t="n">
        <v>78</v>
      </c>
      <c r="C1464" s="0" t="n">
        <v>406632</v>
      </c>
      <c r="D1464" s="0" t="s">
        <v>6729</v>
      </c>
      <c r="E1464" s="0" t="s">
        <v>140</v>
      </c>
      <c r="F1464" s="0" t="str">
        <f aca="false">CONCATENATE(D1464," ",LEFT(H1464,4),"T=",AU1464,"D=",AV1464,"R=",AW1464,"M=",AX1464,"L=",AY1464,"B=",AZ1464)</f>
        <v>DICKENS JRT=1D=0R=0M=0L=0B=0</v>
      </c>
      <c r="G1464" s="0" t="s">
        <v>171</v>
      </c>
      <c r="H1464" s="0" t="s">
        <v>314</v>
      </c>
      <c r="I1464" s="0" t="s">
        <v>6730</v>
      </c>
      <c r="J1464" s="0" t="s">
        <v>6731</v>
      </c>
      <c r="K1464" s="0" t="s">
        <v>160</v>
      </c>
      <c r="M1464" s="0" t="s">
        <v>6732</v>
      </c>
      <c r="N1464" s="0" t="str">
        <f aca="false">RIGHT(M1464,LEN(M1464)-FIND(" ",M1464))</f>
        <v>LOGAN AVE SE</v>
      </c>
      <c r="P1464" s="0" t="s">
        <v>145</v>
      </c>
      <c r="Q1464" s="0" t="s">
        <v>146</v>
      </c>
      <c r="R1464" s="0" t="n">
        <v>44483</v>
      </c>
      <c r="AD1464" s="0" t="s">
        <v>147</v>
      </c>
      <c r="AE1464" s="0" t="s">
        <v>148</v>
      </c>
      <c r="AF1464" s="0" t="s">
        <v>149</v>
      </c>
      <c r="AH1464" s="0" t="n">
        <v>14</v>
      </c>
      <c r="AI1464" s="0" t="n">
        <v>11</v>
      </c>
      <c r="AN1464" s="0" t="s">
        <v>145</v>
      </c>
      <c r="AO1464" s="0" t="s">
        <v>654</v>
      </c>
      <c r="AP1464" s="0" t="s">
        <v>655</v>
      </c>
      <c r="AQ1464" s="0" t="n">
        <v>9</v>
      </c>
      <c r="AR1464" s="0" t="n">
        <v>64</v>
      </c>
      <c r="AS1464" s="0" t="n">
        <v>32</v>
      </c>
      <c r="AU1464" s="0" t="n">
        <f aca="false">COUNTA($BA$1133:$EH$1133)</f>
        <v>1</v>
      </c>
      <c r="AV1464" s="0" t="n">
        <f aca="false">COUNTIF($BA$1133:$EH$1133,"D")</f>
        <v>0</v>
      </c>
      <c r="AW1464" s="0" t="n">
        <f aca="false">COUNTIF($BA$1133:$EH$1133,"R")</f>
        <v>0</v>
      </c>
      <c r="AX1464" s="0" t="n">
        <f aca="false">IF(BN1464="D",1,0)+IF(BO1464="D",1,0)+IF(BT1464="D",1,0)+IF(BU1464="D",1,0)+IF(BW1464="D",1,0)+IF(CC1464="D",1,0)+IF(CD1464="D",1,0)+IF(CE1464="D",1,0)+IF(CF1464="D",1,0)+IF(CL1464="D",1,0)+IF(CM1464="D",1,0)+IF(CQ1464="D",1,0)+IF(CR1464="D",1,0)+IF(CS1464="D",1,0)+IF(CW1464="D",1,0)+IF(CX1464="D",1,0)+IF(DD1464="D",1,0)+IF(DE1464="D",1,0)+IF(DJ1464="D",1,0)+IF(DK1464="D",1,0)+IF(DO1464="D",1,0)+IF(DP1464="D",1,0)+IF(DQ1464="D",1,0)+IF(DW1464="D",1,0)+IF(DZ1464="D",1,0)+IF(EH1464="D",1,0)</f>
        <v>0</v>
      </c>
      <c r="AY1464" s="0" t="n">
        <f aca="false">COUNTIF(DU1464:EH1464, "&lt;&gt;")</f>
        <v>0</v>
      </c>
      <c r="AZ1464" s="0" t="n">
        <f aca="false">IF(EH1464&lt;&gt;"",1,0)</f>
        <v>0</v>
      </c>
      <c r="BB1464" s="0" t="s">
        <v>152</v>
      </c>
    </row>
    <row r="1465" customFormat="false" ht="13.8" hidden="true" customHeight="false" outlineLevel="0" collapsed="false">
      <c r="A1465" s="0" t="s">
        <v>6733</v>
      </c>
      <c r="B1465" s="0" t="n">
        <v>78</v>
      </c>
      <c r="C1465" s="0" t="n">
        <v>410132</v>
      </c>
      <c r="D1465" s="0" t="s">
        <v>6734</v>
      </c>
      <c r="E1465" s="0" t="s">
        <v>2045</v>
      </c>
      <c r="F1465" s="0" t="str">
        <f aca="false">CONCATENATE(D1465," ",LEFT(H1465,4),"T=",AU1465,"D=",AV1465,"R=",AW1465,"M=",AX1465,"L=",AY1465,"B=",AZ1465)</f>
        <v>COX T=4D=0R=1M=0L=0B=0</v>
      </c>
      <c r="G1465" s="0" t="s">
        <v>325</v>
      </c>
      <c r="I1465" s="0" t="s">
        <v>6735</v>
      </c>
      <c r="J1465" s="0" t="s">
        <v>283</v>
      </c>
      <c r="K1465" s="0" t="s">
        <v>160</v>
      </c>
      <c r="M1465" s="0" t="s">
        <v>6736</v>
      </c>
      <c r="N1465" s="0" t="str">
        <f aca="false">RIGHT(M1465,LEN(M1465)-FIND(" ",M1465))</f>
        <v>LOGAN AVE SE</v>
      </c>
      <c r="P1465" s="0" t="s">
        <v>145</v>
      </c>
      <c r="Q1465" s="0" t="s">
        <v>146</v>
      </c>
      <c r="R1465" s="0" t="n">
        <v>44483</v>
      </c>
      <c r="AD1465" s="0" t="s">
        <v>147</v>
      </c>
      <c r="AE1465" s="0" t="s">
        <v>148</v>
      </c>
      <c r="AF1465" s="0" t="s">
        <v>149</v>
      </c>
      <c r="AH1465" s="0" t="n">
        <v>14</v>
      </c>
      <c r="AI1465" s="0" t="n">
        <v>11</v>
      </c>
      <c r="AN1465" s="0" t="s">
        <v>145</v>
      </c>
      <c r="AO1465" s="0" t="s">
        <v>654</v>
      </c>
      <c r="AP1465" s="0" t="s">
        <v>655</v>
      </c>
      <c r="AQ1465" s="0" t="n">
        <v>9</v>
      </c>
      <c r="AR1465" s="0" t="n">
        <v>64</v>
      </c>
      <c r="AS1465" s="0" t="n">
        <v>32</v>
      </c>
      <c r="AU1465" s="0" t="n">
        <f aca="false">COUNTA($BA$1624:$EH$1624)</f>
        <v>4</v>
      </c>
      <c r="AV1465" s="0" t="n">
        <f aca="false">COUNTIF($BA$1624:$EH$1624,"D")</f>
        <v>0</v>
      </c>
      <c r="AW1465" s="0" t="n">
        <f aca="false">COUNTIF($BA$1624:$EH$1624,"R")</f>
        <v>1</v>
      </c>
      <c r="AX1465" s="0" t="n">
        <f aca="false">IF(BN1465="D",1,0)+IF(BO1465="D",1,0)+IF(BT1465="D",1,0)+IF(BU1465="D",1,0)+IF(BW1465="D",1,0)+IF(CC1465="D",1,0)+IF(CD1465="D",1,0)+IF(CE1465="D",1,0)+IF(CF1465="D",1,0)+IF(CL1465="D",1,0)+IF(CM1465="D",1,0)+IF(CQ1465="D",1,0)+IF(CR1465="D",1,0)+IF(CS1465="D",1,0)+IF(CW1465="D",1,0)+IF(CX1465="D",1,0)+IF(DD1465="D",1,0)+IF(DE1465="D",1,0)+IF(DJ1465="D",1,0)+IF(DK1465="D",1,0)+IF(DO1465="D",1,0)+IF(DP1465="D",1,0)+IF(DQ1465="D",1,0)+IF(DW1465="D",1,0)+IF(DZ1465="D",1,0)+IF(EH1465="D",1,0)</f>
        <v>0</v>
      </c>
      <c r="AY1465" s="0" t="n">
        <f aca="false">COUNTIF(DU1465:EH1465, "&lt;&gt;")</f>
        <v>0</v>
      </c>
      <c r="AZ1465" s="0" t="n">
        <f aca="false">IF(EH1465&lt;&gt;"",1,0)</f>
        <v>0</v>
      </c>
      <c r="BB1465" s="0" t="s">
        <v>152</v>
      </c>
    </row>
    <row r="1466" customFormat="false" ht="13.8" hidden="true" customHeight="false" outlineLevel="0" collapsed="false">
      <c r="A1466" s="0" t="s">
        <v>6737</v>
      </c>
      <c r="B1466" s="0" t="n">
        <v>78</v>
      </c>
      <c r="C1466" s="0" t="n">
        <v>403624</v>
      </c>
      <c r="D1466" s="0" t="s">
        <v>6734</v>
      </c>
      <c r="E1466" s="0" t="s">
        <v>5166</v>
      </c>
      <c r="F1466" s="0" t="str">
        <f aca="false">CONCATENATE(D1466," ",LEFT(H1466,4),"T=",AU1466,"D=",AV1466,"R=",AW1466,"M=",AX1466,"L=",AY1466,"B=",AZ1466)</f>
        <v>COX T=7D=2R=0M=0L=0B=0</v>
      </c>
      <c r="G1466" s="0" t="s">
        <v>2214</v>
      </c>
      <c r="I1466" s="0" t="s">
        <v>6738</v>
      </c>
      <c r="J1466" s="0" t="s">
        <v>6739</v>
      </c>
      <c r="K1466" s="0" t="s">
        <v>143</v>
      </c>
      <c r="M1466" s="0" t="s">
        <v>6740</v>
      </c>
      <c r="N1466" s="0" t="str">
        <f aca="false">RIGHT(M1466,LEN(M1466)-FIND(" ",M1466))</f>
        <v>LOGAN AVE SE</v>
      </c>
      <c r="P1466" s="0" t="s">
        <v>145</v>
      </c>
      <c r="Q1466" s="0" t="s">
        <v>146</v>
      </c>
      <c r="R1466" s="0" t="n">
        <v>44483</v>
      </c>
      <c r="AD1466" s="0" t="s">
        <v>147</v>
      </c>
      <c r="AE1466" s="0" t="s">
        <v>148</v>
      </c>
      <c r="AF1466" s="0" t="s">
        <v>149</v>
      </c>
      <c r="AH1466" s="0" t="n">
        <v>14</v>
      </c>
      <c r="AI1466" s="0" t="n">
        <v>11</v>
      </c>
      <c r="AN1466" s="0" t="s">
        <v>145</v>
      </c>
      <c r="AO1466" s="0" t="s">
        <v>654</v>
      </c>
      <c r="AP1466" s="0" t="s">
        <v>655</v>
      </c>
      <c r="AQ1466" s="0" t="n">
        <v>9</v>
      </c>
      <c r="AR1466" s="0" t="n">
        <v>64</v>
      </c>
      <c r="AS1466" s="0" t="n">
        <v>32</v>
      </c>
      <c r="AU1466" s="0" t="n">
        <f aca="false">COUNTA($BA$2075:$EH$2075)</f>
        <v>7</v>
      </c>
      <c r="AV1466" s="0" t="n">
        <f aca="false">COUNTIF($BA$2075:$EH$2075,"D")</f>
        <v>2</v>
      </c>
      <c r="AW1466" s="0" t="n">
        <f aca="false">COUNTIF($BA$2075:$EH$2075,"R")</f>
        <v>0</v>
      </c>
      <c r="AX1466" s="0" t="n">
        <f aca="false">IF(BN1466="D",1,0)+IF(BO1466="D",1,0)+IF(BT1466="D",1,0)+IF(BU1466="D",1,0)+IF(BW1466="D",1,0)+IF(CC1466="D",1,0)+IF(CD1466="D",1,0)+IF(CE1466="D",1,0)+IF(CF1466="D",1,0)+IF(CL1466="D",1,0)+IF(CM1466="D",1,0)+IF(CQ1466="D",1,0)+IF(CR1466="D",1,0)+IF(CS1466="D",1,0)+IF(CW1466="D",1,0)+IF(CX1466="D",1,0)+IF(DD1466="D",1,0)+IF(DE1466="D",1,0)+IF(DJ1466="D",1,0)+IF(DK1466="D",1,0)+IF(DO1466="D",1,0)+IF(DP1466="D",1,0)+IF(DQ1466="D",1,0)+IF(DW1466="D",1,0)+IF(DZ1466="D",1,0)+IF(EH1466="D",1,0)</f>
        <v>0</v>
      </c>
      <c r="AY1466" s="0" t="n">
        <f aca="false">COUNTIF(DU1466:EH1466, "&lt;&gt;")</f>
        <v>0</v>
      </c>
      <c r="AZ1466" s="0" t="n">
        <f aca="false">IF(EH1466&lt;&gt;"",1,0)</f>
        <v>0</v>
      </c>
      <c r="BB1466" s="0" t="s">
        <v>152</v>
      </c>
    </row>
    <row r="1467" customFormat="false" ht="13.8" hidden="true" customHeight="false" outlineLevel="0" collapsed="false">
      <c r="A1467" s="0" t="s">
        <v>6741</v>
      </c>
      <c r="B1467" s="0" t="n">
        <v>78</v>
      </c>
      <c r="C1467" s="0" t="n">
        <v>369258</v>
      </c>
      <c r="D1467" s="0" t="s">
        <v>6742</v>
      </c>
      <c r="E1467" s="0" t="s">
        <v>2214</v>
      </c>
      <c r="F1467" s="0" t="str">
        <f aca="false">CONCATENATE(D1467," ",LEFT(H1467,4),"T=",AU1467,"D=",AV1467,"R=",AW1467,"M=",AX1467,"L=",AY1467,"B=",AZ1467)</f>
        <v>SPEARE JRT=2D=0R=0M=0L=0B=0</v>
      </c>
      <c r="G1467" s="0" t="s">
        <v>860</v>
      </c>
      <c r="H1467" s="0" t="s">
        <v>314</v>
      </c>
      <c r="I1467" s="0" t="s">
        <v>6743</v>
      </c>
      <c r="J1467" s="0" t="s">
        <v>1038</v>
      </c>
      <c r="K1467" s="0" t="s">
        <v>143</v>
      </c>
      <c r="M1467" s="0" t="s">
        <v>6744</v>
      </c>
      <c r="N1467" s="0" t="str">
        <f aca="false">RIGHT(M1467,LEN(M1467)-FIND(" ",M1467))</f>
        <v>LOGAN AVE SE</v>
      </c>
      <c r="P1467" s="0" t="s">
        <v>145</v>
      </c>
      <c r="Q1467" s="0" t="s">
        <v>146</v>
      </c>
      <c r="R1467" s="0" t="n">
        <v>44483</v>
      </c>
      <c r="AD1467" s="0" t="s">
        <v>147</v>
      </c>
      <c r="AE1467" s="0" t="s">
        <v>148</v>
      </c>
      <c r="AF1467" s="0" t="s">
        <v>149</v>
      </c>
      <c r="AH1467" s="0" t="n">
        <v>14</v>
      </c>
      <c r="AI1467" s="0" t="n">
        <v>11</v>
      </c>
      <c r="AN1467" s="0" t="s">
        <v>145</v>
      </c>
      <c r="AO1467" s="0" t="s">
        <v>150</v>
      </c>
      <c r="AP1467" s="0" t="s">
        <v>151</v>
      </c>
      <c r="AQ1467" s="0" t="n">
        <v>9</v>
      </c>
      <c r="AR1467" s="0" t="n">
        <v>64</v>
      </c>
      <c r="AS1467" s="0" t="n">
        <v>32</v>
      </c>
      <c r="AU1467" s="0" t="n">
        <f aca="false">COUNTA($BA$274:$EH$274)</f>
        <v>2</v>
      </c>
      <c r="AV1467" s="0" t="n">
        <f aca="false">COUNTIF($BA$274:$EH$274,"D")</f>
        <v>0</v>
      </c>
      <c r="AW1467" s="0" t="n">
        <f aca="false">COUNTIF($BA$274:$EH$274,"R")</f>
        <v>0</v>
      </c>
      <c r="AX1467" s="0" t="n">
        <f aca="false">IF(BN1467="D",1,0)+IF(BO1467="D",1,0)+IF(BT1467="D",1,0)+IF(BU1467="D",1,0)+IF(BW1467="D",1,0)+IF(CC1467="D",1,0)+IF(CD1467="D",1,0)+IF(CE1467="D",1,0)+IF(CF1467="D",1,0)+IF(CL1467="D",1,0)+IF(CM1467="D",1,0)+IF(CQ1467="D",1,0)+IF(CR1467="D",1,0)+IF(CS1467="D",1,0)+IF(CW1467="D",1,0)+IF(CX1467="D",1,0)+IF(DD1467="D",1,0)+IF(DE1467="D",1,0)+IF(DJ1467="D",1,0)+IF(DK1467="D",1,0)+IF(DO1467="D",1,0)+IF(DP1467="D",1,0)+IF(DQ1467="D",1,0)+IF(DW1467="D",1,0)+IF(DZ1467="D",1,0)+IF(EH1467="D",1,0)</f>
        <v>0</v>
      </c>
      <c r="AY1467" s="0" t="n">
        <f aca="false">COUNTIF(DU1467:EH1467, "&lt;&gt;")</f>
        <v>0</v>
      </c>
      <c r="AZ1467" s="0" t="n">
        <f aca="false">IF(EH1467&lt;&gt;"",1,0)</f>
        <v>0</v>
      </c>
      <c r="BB1467" s="0" t="s">
        <v>152</v>
      </c>
    </row>
    <row r="1468" customFormat="false" ht="13.8" hidden="true" customHeight="false" outlineLevel="0" collapsed="false">
      <c r="A1468" s="0" t="s">
        <v>6745</v>
      </c>
      <c r="B1468" s="0" t="n">
        <v>78</v>
      </c>
      <c r="C1468" s="0" t="n">
        <v>362369</v>
      </c>
      <c r="D1468" s="0" t="s">
        <v>6746</v>
      </c>
      <c r="E1468" s="0" t="s">
        <v>184</v>
      </c>
      <c r="F1468" s="0" t="str">
        <f aca="false">CONCATENATE(D1468," ",LEFT(H1468,4),"T=",AU1468,"D=",AV1468,"R=",AW1468,"M=",AX1468,"L=",AY1468,"B=",AZ1468)</f>
        <v>CASTERLINE T=6D=0R=0M=0L=0B=0</v>
      </c>
      <c r="G1468" s="0" t="s">
        <v>195</v>
      </c>
      <c r="I1468" s="0" t="s">
        <v>6747</v>
      </c>
      <c r="J1468" s="0" t="s">
        <v>6748</v>
      </c>
      <c r="K1468" s="0" t="s">
        <v>160</v>
      </c>
      <c r="M1468" s="0" t="s">
        <v>6744</v>
      </c>
      <c r="N1468" s="0" t="str">
        <f aca="false">RIGHT(M1468,LEN(M1468)-FIND(" ",M1468))</f>
        <v>LOGAN AVE SE</v>
      </c>
      <c r="P1468" s="0" t="s">
        <v>145</v>
      </c>
      <c r="Q1468" s="0" t="s">
        <v>146</v>
      </c>
      <c r="R1468" s="0" t="n">
        <v>44483</v>
      </c>
      <c r="AD1468" s="0" t="s">
        <v>147</v>
      </c>
      <c r="AE1468" s="0" t="s">
        <v>148</v>
      </c>
      <c r="AF1468" s="0" t="s">
        <v>149</v>
      </c>
      <c r="AH1468" s="0" t="n">
        <v>14</v>
      </c>
      <c r="AI1468" s="0" t="n">
        <v>11</v>
      </c>
      <c r="AN1468" s="0" t="s">
        <v>145</v>
      </c>
      <c r="AO1468" s="0" t="s">
        <v>150</v>
      </c>
      <c r="AP1468" s="0" t="s">
        <v>151</v>
      </c>
      <c r="AQ1468" s="0" t="n">
        <v>9</v>
      </c>
      <c r="AR1468" s="0" t="n">
        <v>64</v>
      </c>
      <c r="AS1468" s="0" t="n">
        <v>32</v>
      </c>
      <c r="AU1468" s="0" t="n">
        <f aca="false">COUNTA($BA$590:$EH$590)</f>
        <v>6</v>
      </c>
      <c r="AV1468" s="0" t="n">
        <f aca="false">COUNTIF($BA$590:$EH$590,"D")</f>
        <v>0</v>
      </c>
      <c r="AW1468" s="0" t="n">
        <f aca="false">COUNTIF($BA$590:$EH$590,"R")</f>
        <v>0</v>
      </c>
      <c r="AX1468" s="0" t="n">
        <f aca="false">IF(BN1468="D",1,0)+IF(BO1468="D",1,0)+IF(BT1468="D",1,0)+IF(BU1468="D",1,0)+IF(BW1468="D",1,0)+IF(CC1468="D",1,0)+IF(CD1468="D",1,0)+IF(CE1468="D",1,0)+IF(CF1468="D",1,0)+IF(CL1468="D",1,0)+IF(CM1468="D",1,0)+IF(CQ1468="D",1,0)+IF(CR1468="D",1,0)+IF(CS1468="D",1,0)+IF(CW1468="D",1,0)+IF(CX1468="D",1,0)+IF(DD1468="D",1,0)+IF(DE1468="D",1,0)+IF(DJ1468="D",1,0)+IF(DK1468="D",1,0)+IF(DO1468="D",1,0)+IF(DP1468="D",1,0)+IF(DQ1468="D",1,0)+IF(DW1468="D",1,0)+IF(DZ1468="D",1,0)+IF(EH1468="D",1,0)</f>
        <v>0</v>
      </c>
      <c r="AY1468" s="0" t="n">
        <f aca="false">COUNTIF(DU1468:EH1468, "&lt;&gt;")</f>
        <v>0</v>
      </c>
      <c r="AZ1468" s="0" t="n">
        <f aca="false">IF(EH1468&lt;&gt;"",1,0)</f>
        <v>0</v>
      </c>
      <c r="BB1468" s="0" t="s">
        <v>152</v>
      </c>
      <c r="BL1468" s="0" t="s">
        <v>153</v>
      </c>
    </row>
    <row r="1469" customFormat="false" ht="13.8" hidden="true" customHeight="false" outlineLevel="0" collapsed="false">
      <c r="A1469" s="0" t="s">
        <v>6749</v>
      </c>
      <c r="B1469" s="0" t="n">
        <v>78</v>
      </c>
      <c r="C1469" s="0" t="n">
        <v>402941</v>
      </c>
      <c r="D1469" s="0" t="s">
        <v>6746</v>
      </c>
      <c r="E1469" s="0" t="s">
        <v>4629</v>
      </c>
      <c r="F1469" s="0" t="str">
        <f aca="false">CONCATENATE(D1469," ",LEFT(H1469,4),"T=",AU1469,"D=",AV1469,"R=",AW1469,"M=",AX1469,"L=",AY1469,"B=",AZ1469)</f>
        <v>CASTERLINE T=1D=0R=0M=0L=0B=0</v>
      </c>
      <c r="G1469" s="0" t="s">
        <v>325</v>
      </c>
      <c r="I1469" s="0" t="s">
        <v>6750</v>
      </c>
      <c r="J1469" s="0" t="s">
        <v>6751</v>
      </c>
      <c r="K1469" s="0" t="s">
        <v>143</v>
      </c>
      <c r="M1469" s="0" t="s">
        <v>6744</v>
      </c>
      <c r="N1469" s="0" t="str">
        <f aca="false">RIGHT(M1469,LEN(M1469)-FIND(" ",M1469))</f>
        <v>LOGAN AVE SE</v>
      </c>
      <c r="P1469" s="0" t="s">
        <v>145</v>
      </c>
      <c r="Q1469" s="0" t="s">
        <v>146</v>
      </c>
      <c r="R1469" s="0" t="n">
        <v>44483</v>
      </c>
      <c r="AD1469" s="0" t="s">
        <v>147</v>
      </c>
      <c r="AE1469" s="0" t="s">
        <v>148</v>
      </c>
      <c r="AF1469" s="0" t="s">
        <v>149</v>
      </c>
      <c r="AH1469" s="0" t="n">
        <v>14</v>
      </c>
      <c r="AI1469" s="0" t="n">
        <v>11</v>
      </c>
      <c r="AN1469" s="0" t="s">
        <v>145</v>
      </c>
      <c r="AO1469" s="0" t="s">
        <v>150</v>
      </c>
      <c r="AP1469" s="0" t="s">
        <v>151</v>
      </c>
      <c r="AQ1469" s="0" t="n">
        <v>9</v>
      </c>
      <c r="AR1469" s="0" t="n">
        <v>64</v>
      </c>
      <c r="AS1469" s="0" t="n">
        <v>32</v>
      </c>
      <c r="AU1469" s="0" t="n">
        <f aca="false">COUNTA($BA$638:$EH$638)</f>
        <v>1</v>
      </c>
      <c r="AV1469" s="0" t="n">
        <f aca="false">COUNTIF($BA$638:$EH$638,"D")</f>
        <v>0</v>
      </c>
      <c r="AW1469" s="0" t="n">
        <f aca="false">COUNTIF($BA$638:$EH$638,"R")</f>
        <v>0</v>
      </c>
      <c r="AX1469" s="0" t="n">
        <f aca="false">IF(BN1469="D",1,0)+IF(BO1469="D",1,0)+IF(BT1469="D",1,0)+IF(BU1469="D",1,0)+IF(BW1469="D",1,0)+IF(CC1469="D",1,0)+IF(CD1469="D",1,0)+IF(CE1469="D",1,0)+IF(CF1469="D",1,0)+IF(CL1469="D",1,0)+IF(CM1469="D",1,0)+IF(CQ1469="D",1,0)+IF(CR1469="D",1,0)+IF(CS1469="D",1,0)+IF(CW1469="D",1,0)+IF(CX1469="D",1,0)+IF(DD1469="D",1,0)+IF(DE1469="D",1,0)+IF(DJ1469="D",1,0)+IF(DK1469="D",1,0)+IF(DO1469="D",1,0)+IF(DP1469="D",1,0)+IF(DQ1469="D",1,0)+IF(DW1469="D",1,0)+IF(DZ1469="D",1,0)+IF(EH1469="D",1,0)</f>
        <v>0</v>
      </c>
      <c r="AY1469" s="0" t="n">
        <f aca="false">COUNTIF(DU1469:EH1469, "&lt;&gt;")</f>
        <v>0</v>
      </c>
      <c r="AZ1469" s="0" t="n">
        <f aca="false">IF(EH1469&lt;&gt;"",1,0)</f>
        <v>0</v>
      </c>
      <c r="BB1469" s="0" t="s">
        <v>152</v>
      </c>
      <c r="BP1469" s="0" t="s">
        <v>153</v>
      </c>
    </row>
    <row r="1470" customFormat="false" ht="13.8" hidden="false" customHeight="false" outlineLevel="0" collapsed="false">
      <c r="A1470" s="0" t="s">
        <v>6752</v>
      </c>
      <c r="B1470" s="0" t="n">
        <v>78</v>
      </c>
      <c r="C1470" s="0" t="n">
        <v>294430</v>
      </c>
      <c r="D1470" s="0" t="s">
        <v>6742</v>
      </c>
      <c r="E1470" s="0" t="s">
        <v>2214</v>
      </c>
      <c r="F1470" s="0" t="str">
        <f aca="false">CONCATENATE(D1470," ",LEFT(H1470,4),"T=",AU1470,"D=",AV1470,"R=",AW1470,"M=",AX1470,"L=",AY1470,"B=",AZ1470)</f>
        <v>SPEARE SRT=7D=1R=0M=0L=3B=0</v>
      </c>
      <c r="G1470" s="0" t="s">
        <v>860</v>
      </c>
      <c r="H1470" s="0" t="s">
        <v>216</v>
      </c>
      <c r="I1470" s="0" t="s">
        <v>6753</v>
      </c>
      <c r="J1470" s="0" t="s">
        <v>6754</v>
      </c>
      <c r="K1470" s="0" t="s">
        <v>160</v>
      </c>
      <c r="L1470" s="0" t="s">
        <v>209</v>
      </c>
      <c r="M1470" s="0" t="s">
        <v>6744</v>
      </c>
      <c r="N1470" s="0" t="str">
        <f aca="false">RIGHT(M1470,LEN(M1470)-FIND(" ",M1470))</f>
        <v>LOGAN AVE SE</v>
      </c>
      <c r="P1470" s="0" t="s">
        <v>145</v>
      </c>
      <c r="Q1470" s="0" t="s">
        <v>146</v>
      </c>
      <c r="R1470" s="0" t="n">
        <v>44483</v>
      </c>
      <c r="AD1470" s="0" t="s">
        <v>147</v>
      </c>
      <c r="AE1470" s="0" t="s">
        <v>148</v>
      </c>
      <c r="AF1470" s="0" t="s">
        <v>149</v>
      </c>
      <c r="AH1470" s="0" t="n">
        <v>14</v>
      </c>
      <c r="AI1470" s="0" t="n">
        <v>11</v>
      </c>
      <c r="AN1470" s="0" t="s">
        <v>145</v>
      </c>
      <c r="AO1470" s="0" t="s">
        <v>150</v>
      </c>
      <c r="AP1470" s="0" t="s">
        <v>151</v>
      </c>
      <c r="AQ1470" s="0" t="n">
        <v>9</v>
      </c>
      <c r="AR1470" s="0" t="n">
        <v>64</v>
      </c>
      <c r="AS1470" s="0" t="n">
        <v>32</v>
      </c>
      <c r="AU1470" s="0" t="n">
        <f aca="false">COUNTA($BA$776:$EH$776)</f>
        <v>7</v>
      </c>
      <c r="AV1470" s="0" t="n">
        <f aca="false">COUNTIF($BA$776:$EH$776,"D")</f>
        <v>1</v>
      </c>
      <c r="AW1470" s="0" t="n">
        <f aca="false">COUNTIF($BA$776:$EH$776,"R")</f>
        <v>0</v>
      </c>
      <c r="AX1470" s="0" t="n">
        <f aca="false">IF(BN1470="D",1,0)+IF(BO1470="D",1,0)+IF(BT1470="D",1,0)+IF(BU1470="D",1,0)+IF(BW1470="D",1,0)+IF(CC1470="D",1,0)+IF(CD1470="D",1,0)+IF(CE1470="D",1,0)+IF(CF1470="D",1,0)+IF(CL1470="D",1,0)+IF(CM1470="D",1,0)+IF(CQ1470="D",1,0)+IF(CR1470="D",1,0)+IF(CS1470="D",1,0)+IF(CW1470="D",1,0)+IF(CX1470="D",1,0)+IF(DD1470="D",1,0)+IF(DE1470="D",1,0)+IF(DJ1470="D",1,0)+IF(DK1470="D",1,0)+IF(DO1470="D",1,0)+IF(DP1470="D",1,0)+IF(DQ1470="D",1,0)+IF(DW1470="D",1,0)+IF(DZ1470="D",1,0)+IF(EH1470="D",1,0)</f>
        <v>0</v>
      </c>
      <c r="AY1470" s="0" t="n">
        <f aca="false">COUNTIF(DU1470:EH1470, "&lt;&gt;")</f>
        <v>3</v>
      </c>
      <c r="AZ1470" s="0" t="n">
        <f aca="false">IF(EH1470&lt;&gt;"",1,0)</f>
        <v>0</v>
      </c>
      <c r="BB1470" s="0" t="s">
        <v>152</v>
      </c>
      <c r="BD1470" s="0" t="s">
        <v>153</v>
      </c>
      <c r="BE1470" s="0" t="s">
        <v>153</v>
      </c>
      <c r="BF1470" s="0" t="s">
        <v>153</v>
      </c>
      <c r="BG1470" s="0" t="s">
        <v>153</v>
      </c>
      <c r="BH1470" s="0" t="s">
        <v>153</v>
      </c>
      <c r="BJ1470" s="0" t="s">
        <v>153</v>
      </c>
      <c r="BK1470" s="0" t="s">
        <v>153</v>
      </c>
      <c r="BL1470" s="0" t="s">
        <v>153</v>
      </c>
      <c r="BP1470" s="0" t="s">
        <v>153</v>
      </c>
      <c r="BR1470" s="0" t="s">
        <v>153</v>
      </c>
      <c r="BS1470" s="0" t="s">
        <v>153</v>
      </c>
      <c r="BY1470" s="0" t="s">
        <v>209</v>
      </c>
      <c r="CA1470" s="0" t="s">
        <v>153</v>
      </c>
      <c r="CK1470" s="0" t="s">
        <v>153</v>
      </c>
      <c r="CN1470" s="0" t="s">
        <v>153</v>
      </c>
      <c r="CP1470" s="0" t="s">
        <v>153</v>
      </c>
      <c r="CT1470" s="0" t="s">
        <v>153</v>
      </c>
      <c r="CV1470" s="0" t="s">
        <v>153</v>
      </c>
      <c r="CY1470" s="0" t="s">
        <v>153</v>
      </c>
      <c r="CZ1470" s="0" t="s">
        <v>209</v>
      </c>
      <c r="DC1470" s="0" t="s">
        <v>153</v>
      </c>
      <c r="DI1470" s="0" t="s">
        <v>153</v>
      </c>
      <c r="DM1470" s="0" t="s">
        <v>209</v>
      </c>
      <c r="DN1470" s="0" t="s">
        <v>153</v>
      </c>
      <c r="DS1470" s="0" t="s">
        <v>209</v>
      </c>
      <c r="DU1470" s="0" t="s">
        <v>153</v>
      </c>
      <c r="EA1470" s="0" t="s">
        <v>153</v>
      </c>
      <c r="EF1470" s="0" t="s">
        <v>153</v>
      </c>
    </row>
    <row r="1471" customFormat="false" ht="13.8" hidden="false" customHeight="false" outlineLevel="0" collapsed="false">
      <c r="A1471" s="0" t="s">
        <v>6755</v>
      </c>
      <c r="B1471" s="0" t="n">
        <v>78</v>
      </c>
      <c r="C1471" s="0" t="n">
        <v>273688</v>
      </c>
      <c r="D1471" s="0" t="s">
        <v>6742</v>
      </c>
      <c r="E1471" s="0" t="s">
        <v>1431</v>
      </c>
      <c r="F1471" s="0" t="str">
        <f aca="false">CONCATENATE(D1471," ",LEFT(H1471,4),"T=",AU1471,"D=",AV1471,"R=",AW1471,"M=",AX1471,"L=",AY1471,"B=",AZ1471)</f>
        <v>SPEARE T=14D=0R=0M=1L=3B=0</v>
      </c>
      <c r="G1471" s="0" t="s">
        <v>268</v>
      </c>
      <c r="I1471" s="0" t="s">
        <v>6756</v>
      </c>
      <c r="J1471" s="0" t="s">
        <v>6757</v>
      </c>
      <c r="K1471" s="0" t="s">
        <v>160</v>
      </c>
      <c r="L1471" s="0" t="s">
        <v>209</v>
      </c>
      <c r="M1471" s="0" t="s">
        <v>6744</v>
      </c>
      <c r="N1471" s="0" t="str">
        <f aca="false">RIGHT(M1471,LEN(M1471)-FIND(" ",M1471))</f>
        <v>LOGAN AVE SE</v>
      </c>
      <c r="P1471" s="0" t="s">
        <v>145</v>
      </c>
      <c r="Q1471" s="0" t="s">
        <v>146</v>
      </c>
      <c r="R1471" s="0" t="n">
        <v>44483</v>
      </c>
      <c r="AD1471" s="0" t="s">
        <v>147</v>
      </c>
      <c r="AE1471" s="0" t="s">
        <v>148</v>
      </c>
      <c r="AF1471" s="0" t="s">
        <v>149</v>
      </c>
      <c r="AH1471" s="0" t="n">
        <v>14</v>
      </c>
      <c r="AI1471" s="0" t="n">
        <v>11</v>
      </c>
      <c r="AN1471" s="0" t="s">
        <v>145</v>
      </c>
      <c r="AO1471" s="0" t="s">
        <v>150</v>
      </c>
      <c r="AP1471" s="0" t="s">
        <v>151</v>
      </c>
      <c r="AQ1471" s="0" t="n">
        <v>9</v>
      </c>
      <c r="AR1471" s="0" t="n">
        <v>64</v>
      </c>
      <c r="AS1471" s="0" t="n">
        <v>32</v>
      </c>
      <c r="AU1471" s="0" t="n">
        <f aca="false">COUNTA($BA$900:$EH$900)</f>
        <v>14</v>
      </c>
      <c r="AV1471" s="0" t="n">
        <f aca="false">COUNTIF($BA$900:$EH$900,"D")</f>
        <v>0</v>
      </c>
      <c r="AW1471" s="0" t="n">
        <f aca="false">COUNTIF($BA$900:$EH$900,"R")</f>
        <v>0</v>
      </c>
      <c r="AX1471" s="0" t="n">
        <f aca="false">IF(BN1471="D",1,0)+IF(BO1471="D",1,0)+IF(BT1471="D",1,0)+IF(BU1471="D",1,0)+IF(BW1471="D",1,0)+IF(CC1471="D",1,0)+IF(CD1471="D",1,0)+IF(CE1471="D",1,0)+IF(CF1471="D",1,0)+IF(CL1471="D",1,0)+IF(CM1471="D",1,0)+IF(CQ1471="D",1,0)+IF(CR1471="D",1,0)+IF(CS1471="D",1,0)+IF(CW1471="D",1,0)+IF(CX1471="D",1,0)+IF(DD1471="D",1,0)+IF(DE1471="D",1,0)+IF(DJ1471="D",1,0)+IF(DK1471="D",1,0)+IF(DO1471="D",1,0)+IF(DP1471="D",1,0)+IF(DQ1471="D",1,0)+IF(DW1471="D",1,0)+IF(DZ1471="D",1,0)+IF(EH1471="D",1,0)</f>
        <v>1</v>
      </c>
      <c r="AY1471" s="0" t="n">
        <f aca="false">COUNTIF(DU1471:EH1471, "&lt;&gt;")</f>
        <v>3</v>
      </c>
      <c r="AZ1471" s="0" t="n">
        <f aca="false">IF(EH1471&lt;&gt;"",1,0)</f>
        <v>0</v>
      </c>
      <c r="BB1471" s="0" t="s">
        <v>152</v>
      </c>
      <c r="BC1471" s="0" t="s">
        <v>153</v>
      </c>
      <c r="BD1471" s="0" t="s">
        <v>153</v>
      </c>
      <c r="BE1471" s="0" t="s">
        <v>153</v>
      </c>
      <c r="BF1471" s="0" t="s">
        <v>153</v>
      </c>
      <c r="BG1471" s="0" t="s">
        <v>153</v>
      </c>
      <c r="BH1471" s="0" t="s">
        <v>153</v>
      </c>
      <c r="BI1471" s="0" t="s">
        <v>153</v>
      </c>
      <c r="BJ1471" s="0" t="s">
        <v>153</v>
      </c>
      <c r="BK1471" s="0" t="s">
        <v>153</v>
      </c>
      <c r="BL1471" s="0" t="s">
        <v>153</v>
      </c>
      <c r="BP1471" s="0" t="s">
        <v>153</v>
      </c>
      <c r="BR1471" s="0" t="s">
        <v>153</v>
      </c>
      <c r="BS1471" s="0" t="s">
        <v>153</v>
      </c>
      <c r="BY1471" s="0" t="s">
        <v>209</v>
      </c>
      <c r="CA1471" s="0" t="s">
        <v>153</v>
      </c>
      <c r="CK1471" s="0" t="s">
        <v>153</v>
      </c>
      <c r="CL1471" s="0" t="s">
        <v>175</v>
      </c>
      <c r="CN1471" s="0" t="s">
        <v>153</v>
      </c>
      <c r="CP1471" s="0" t="s">
        <v>153</v>
      </c>
      <c r="CT1471" s="0" t="s">
        <v>153</v>
      </c>
      <c r="CV1471" s="0" t="s">
        <v>153</v>
      </c>
      <c r="CY1471" s="0" t="s">
        <v>153</v>
      </c>
      <c r="CZ1471" s="0" t="s">
        <v>209</v>
      </c>
      <c r="DC1471" s="0" t="s">
        <v>153</v>
      </c>
      <c r="DI1471" s="0" t="s">
        <v>153</v>
      </c>
      <c r="DM1471" s="0" t="s">
        <v>209</v>
      </c>
      <c r="DN1471" s="0" t="s">
        <v>153</v>
      </c>
      <c r="DS1471" s="0" t="s">
        <v>209</v>
      </c>
      <c r="DU1471" s="0" t="s">
        <v>153</v>
      </c>
      <c r="EA1471" s="0" t="s">
        <v>153</v>
      </c>
      <c r="EF1471" s="0" t="s">
        <v>153</v>
      </c>
    </row>
    <row r="1472" customFormat="false" ht="13.8" hidden="true" customHeight="false" outlineLevel="0" collapsed="false">
      <c r="A1472" s="0" t="s">
        <v>6758</v>
      </c>
      <c r="B1472" s="0" t="n">
        <v>78</v>
      </c>
      <c r="C1472" s="0" t="n">
        <v>424648</v>
      </c>
      <c r="D1472" s="0" t="s">
        <v>1041</v>
      </c>
      <c r="E1472" s="0" t="s">
        <v>6759</v>
      </c>
      <c r="F1472" s="0" t="str">
        <f aca="false">CONCATENATE(D1472," ",LEFT(H1472,4),"T=",AU1472,"D=",AV1472,"R=",AW1472,"M=",AX1472,"L=",AY1472,"B=",AZ1472)</f>
        <v>JONES T=3D=0R=0M=0L=0B=0</v>
      </c>
      <c r="G1472" s="0" t="s">
        <v>522</v>
      </c>
      <c r="I1472" s="0" t="s">
        <v>6760</v>
      </c>
      <c r="J1472" s="0" t="s">
        <v>6761</v>
      </c>
      <c r="K1472" s="0" t="s">
        <v>143</v>
      </c>
      <c r="M1472" s="0" t="s">
        <v>6762</v>
      </c>
      <c r="N1472" s="0" t="str">
        <f aca="false">RIGHT(M1472,LEN(M1472)-FIND(" ",M1472))</f>
        <v>LOGAN AVE SE</v>
      </c>
      <c r="P1472" s="0" t="s">
        <v>145</v>
      </c>
      <c r="Q1472" s="0" t="s">
        <v>146</v>
      </c>
      <c r="R1472" s="0" t="n">
        <v>44483</v>
      </c>
      <c r="AD1472" s="0" t="s">
        <v>147</v>
      </c>
      <c r="AE1472" s="0" t="s">
        <v>148</v>
      </c>
      <c r="AF1472" s="0" t="s">
        <v>149</v>
      </c>
      <c r="AH1472" s="0" t="n">
        <v>14</v>
      </c>
      <c r="AI1472" s="0" t="n">
        <v>11</v>
      </c>
      <c r="AN1472" s="0" t="s">
        <v>145</v>
      </c>
      <c r="AO1472" s="0" t="s">
        <v>150</v>
      </c>
      <c r="AP1472" s="0" t="s">
        <v>151</v>
      </c>
      <c r="AQ1472" s="0" t="n">
        <v>9</v>
      </c>
      <c r="AR1472" s="0" t="n">
        <v>64</v>
      </c>
      <c r="AS1472" s="0" t="n">
        <v>32</v>
      </c>
      <c r="AU1472" s="0" t="n">
        <f aca="false">COUNTA($BA$686:$EH$686)</f>
        <v>3</v>
      </c>
      <c r="AV1472" s="0" t="n">
        <f aca="false">COUNTIF($BA$686:$EH$686,"D")</f>
        <v>0</v>
      </c>
      <c r="AW1472" s="0" t="n">
        <f aca="false">COUNTIF($BA$686:$EH$686,"R")</f>
        <v>0</v>
      </c>
      <c r="AX1472" s="0" t="n">
        <f aca="false">IF(BN1472="D",1,0)+IF(BO1472="D",1,0)+IF(BT1472="D",1,0)+IF(BU1472="D",1,0)+IF(BW1472="D",1,0)+IF(CC1472="D",1,0)+IF(CD1472="D",1,0)+IF(CE1472="D",1,0)+IF(CF1472="D",1,0)+IF(CL1472="D",1,0)+IF(CM1472="D",1,0)+IF(CQ1472="D",1,0)+IF(CR1472="D",1,0)+IF(CS1472="D",1,0)+IF(CW1472="D",1,0)+IF(CX1472="D",1,0)+IF(DD1472="D",1,0)+IF(DE1472="D",1,0)+IF(DJ1472="D",1,0)+IF(DK1472="D",1,0)+IF(DO1472="D",1,0)+IF(DP1472="D",1,0)+IF(DQ1472="D",1,0)+IF(DW1472="D",1,0)+IF(DZ1472="D",1,0)+IF(EH1472="D",1,0)</f>
        <v>0</v>
      </c>
      <c r="AY1472" s="0" t="n">
        <f aca="false">COUNTIF(DU1472:EH1472, "&lt;&gt;")</f>
        <v>0</v>
      </c>
      <c r="AZ1472" s="0" t="n">
        <f aca="false">IF(EH1472&lt;&gt;"",1,0)</f>
        <v>0</v>
      </c>
      <c r="BB1472" s="0" t="s">
        <v>152</v>
      </c>
    </row>
    <row r="1473" customFormat="false" ht="13.8" hidden="false" customHeight="false" outlineLevel="0" collapsed="false">
      <c r="A1473" s="0" t="s">
        <v>6763</v>
      </c>
      <c r="B1473" s="0" t="n">
        <v>78</v>
      </c>
      <c r="C1473" s="0" t="n">
        <v>14095</v>
      </c>
      <c r="D1473" s="0" t="s">
        <v>1041</v>
      </c>
      <c r="E1473" s="0" t="s">
        <v>1519</v>
      </c>
      <c r="F1473" s="0" t="str">
        <f aca="false">CONCATENATE(D1473," ",LEFT(H1473,4),"T=",AU1473,"D=",AV1473,"R=",AW1473,"M=",AX1473,"L=",AY1473,"B=",AZ1473)</f>
        <v>JONES T=2D=0R=0M=1L=5B=0</v>
      </c>
      <c r="G1473" s="0" t="s">
        <v>209</v>
      </c>
      <c r="I1473" s="0" t="s">
        <v>6764</v>
      </c>
      <c r="J1473" s="0" t="s">
        <v>6765</v>
      </c>
      <c r="K1473" s="0" t="s">
        <v>160</v>
      </c>
      <c r="L1473" s="0" t="s">
        <v>209</v>
      </c>
      <c r="M1473" s="0" t="s">
        <v>6762</v>
      </c>
      <c r="N1473" s="0" t="str">
        <f aca="false">RIGHT(M1473,LEN(M1473)-FIND(" ",M1473))</f>
        <v>LOGAN AVE SE</v>
      </c>
      <c r="P1473" s="0" t="s">
        <v>145</v>
      </c>
      <c r="Q1473" s="0" t="s">
        <v>146</v>
      </c>
      <c r="R1473" s="0" t="n">
        <v>44483</v>
      </c>
      <c r="AD1473" s="0" t="s">
        <v>147</v>
      </c>
      <c r="AE1473" s="0" t="s">
        <v>148</v>
      </c>
      <c r="AF1473" s="0" t="s">
        <v>149</v>
      </c>
      <c r="AH1473" s="0" t="n">
        <v>14</v>
      </c>
      <c r="AI1473" s="0" t="n">
        <v>11</v>
      </c>
      <c r="AN1473" s="0" t="s">
        <v>145</v>
      </c>
      <c r="AO1473" s="0" t="s">
        <v>150</v>
      </c>
      <c r="AP1473" s="0" t="s">
        <v>151</v>
      </c>
      <c r="AQ1473" s="0" t="n">
        <v>9</v>
      </c>
      <c r="AR1473" s="0" t="n">
        <v>64</v>
      </c>
      <c r="AS1473" s="0" t="n">
        <v>32</v>
      </c>
      <c r="AU1473" s="0" t="n">
        <f aca="false">COUNTA($BA$698:$EH$698)</f>
        <v>2</v>
      </c>
      <c r="AV1473" s="0" t="n">
        <f aca="false">COUNTIF($BA$698:$EH$698,"D")</f>
        <v>0</v>
      </c>
      <c r="AW1473" s="0" t="n">
        <f aca="false">COUNTIF($BA$698:$EH$698,"R")</f>
        <v>0</v>
      </c>
      <c r="AX1473" s="0" t="n">
        <f aca="false">IF(BN1473="D",1,0)+IF(BO1473="D",1,0)+IF(BT1473="D",1,0)+IF(BU1473="D",1,0)+IF(BW1473="D",1,0)+IF(CC1473="D",1,0)+IF(CD1473="D",1,0)+IF(CE1473="D",1,0)+IF(CF1473="D",1,0)+IF(CL1473="D",1,0)+IF(CM1473="D",1,0)+IF(CQ1473="D",1,0)+IF(CR1473="D",1,0)+IF(CS1473="D",1,0)+IF(CW1473="D",1,0)+IF(CX1473="D",1,0)+IF(DD1473="D",1,0)+IF(DE1473="D",1,0)+IF(DJ1473="D",1,0)+IF(DK1473="D",1,0)+IF(DO1473="D",1,0)+IF(DP1473="D",1,0)+IF(DQ1473="D",1,0)+IF(DW1473="D",1,0)+IF(DZ1473="D",1,0)+IF(EH1473="D",1,0)</f>
        <v>1</v>
      </c>
      <c r="AY1473" s="0" t="n">
        <f aca="false">COUNTIF(DU1473:EH1473, "&lt;&gt;")</f>
        <v>5</v>
      </c>
      <c r="AZ1473" s="0" t="n">
        <f aca="false">IF(EH1473&lt;&gt;"",1,0)</f>
        <v>0</v>
      </c>
      <c r="BB1473" s="0" t="s">
        <v>152</v>
      </c>
      <c r="BC1473" s="0" t="s">
        <v>153</v>
      </c>
      <c r="BD1473" s="0" t="s">
        <v>153</v>
      </c>
      <c r="BF1473" s="0" t="s">
        <v>153</v>
      </c>
      <c r="BH1473" s="0" t="s">
        <v>153</v>
      </c>
      <c r="BJ1473" s="0" t="s">
        <v>153</v>
      </c>
      <c r="BL1473" s="0" t="s">
        <v>153</v>
      </c>
      <c r="BP1473" s="0" t="s">
        <v>153</v>
      </c>
      <c r="BR1473" s="0" t="s">
        <v>153</v>
      </c>
      <c r="BS1473" s="0" t="s">
        <v>153</v>
      </c>
      <c r="BY1473" s="0" t="s">
        <v>209</v>
      </c>
      <c r="CA1473" s="0" t="s">
        <v>153</v>
      </c>
      <c r="CH1473" s="0" t="s">
        <v>209</v>
      </c>
      <c r="CK1473" s="0" t="s">
        <v>153</v>
      </c>
      <c r="CL1473" s="0" t="s">
        <v>175</v>
      </c>
      <c r="CN1473" s="0" t="s">
        <v>153</v>
      </c>
      <c r="CO1473" s="0" t="s">
        <v>209</v>
      </c>
      <c r="CP1473" s="0" t="s">
        <v>153</v>
      </c>
      <c r="CU1473" s="0" t="s">
        <v>209</v>
      </c>
      <c r="CZ1473" s="0" t="s">
        <v>209</v>
      </c>
      <c r="DC1473" s="0" t="s">
        <v>153</v>
      </c>
      <c r="DI1473" s="0" t="s">
        <v>153</v>
      </c>
      <c r="DN1473" s="0" t="s">
        <v>153</v>
      </c>
      <c r="DR1473" s="0" t="s">
        <v>153</v>
      </c>
      <c r="DS1473" s="0" t="s">
        <v>209</v>
      </c>
      <c r="DT1473" s="0" t="s">
        <v>209</v>
      </c>
      <c r="DU1473" s="0" t="s">
        <v>153</v>
      </c>
      <c r="DX1473" s="0" t="s">
        <v>153</v>
      </c>
      <c r="EA1473" s="0" t="s">
        <v>153</v>
      </c>
      <c r="ED1473" s="0" t="s">
        <v>209</v>
      </c>
      <c r="EF1473" s="0" t="s">
        <v>153</v>
      </c>
    </row>
    <row r="1474" customFormat="false" ht="13.8" hidden="true" customHeight="false" outlineLevel="0" collapsed="false">
      <c r="A1474" s="0" t="s">
        <v>6766</v>
      </c>
      <c r="B1474" s="0" t="n">
        <v>78</v>
      </c>
      <c r="C1474" s="0" t="n">
        <v>403876</v>
      </c>
      <c r="D1474" s="0" t="s">
        <v>6767</v>
      </c>
      <c r="E1474" s="0" t="s">
        <v>2695</v>
      </c>
      <c r="F1474" s="0" t="str">
        <f aca="false">CONCATENATE(D1474," ",LEFT(H1474,4),"T=",AU1474,"D=",AV1474,"R=",AW1474,"M=",AX1474,"L=",AY1474,"B=",AZ1474)</f>
        <v>MACKELLAR T=20D=1R=0M=0L=0B=0</v>
      </c>
      <c r="G1474" s="0" t="s">
        <v>670</v>
      </c>
      <c r="I1474" s="0" t="s">
        <v>6768</v>
      </c>
      <c r="J1474" s="0" t="s">
        <v>3575</v>
      </c>
      <c r="K1474" s="0" t="s">
        <v>160</v>
      </c>
      <c r="M1474" s="0" t="s">
        <v>6769</v>
      </c>
      <c r="N1474" s="0" t="str">
        <f aca="false">RIGHT(M1474,LEN(M1474)-FIND(" ",M1474))</f>
        <v>LOGAN AVE SE</v>
      </c>
      <c r="P1474" s="0" t="s">
        <v>145</v>
      </c>
      <c r="Q1474" s="0" t="s">
        <v>146</v>
      </c>
      <c r="R1474" s="0" t="n">
        <v>44483</v>
      </c>
      <c r="AD1474" s="0" t="s">
        <v>147</v>
      </c>
      <c r="AE1474" s="0" t="s">
        <v>148</v>
      </c>
      <c r="AF1474" s="0" t="s">
        <v>149</v>
      </c>
      <c r="AH1474" s="0" t="n">
        <v>14</v>
      </c>
      <c r="AI1474" s="0" t="n">
        <v>11</v>
      </c>
      <c r="AN1474" s="0" t="s">
        <v>145</v>
      </c>
      <c r="AO1474" s="0" t="s">
        <v>654</v>
      </c>
      <c r="AP1474" s="0" t="s">
        <v>655</v>
      </c>
      <c r="AQ1474" s="0" t="n">
        <v>9</v>
      </c>
      <c r="AR1474" s="0" t="n">
        <v>64</v>
      </c>
      <c r="AS1474" s="0" t="n">
        <v>32</v>
      </c>
      <c r="AU1474" s="0" t="n">
        <f aca="false">COUNTA($BA$1649:$EH$1649)</f>
        <v>20</v>
      </c>
      <c r="AV1474" s="0" t="n">
        <f aca="false">COUNTIF($BA$1649:$EH$1649,"D")</f>
        <v>1</v>
      </c>
      <c r="AW1474" s="0" t="n">
        <f aca="false">COUNTIF($BA$1649:$EH$1649,"R")</f>
        <v>0</v>
      </c>
      <c r="AX1474" s="0" t="n">
        <f aca="false">IF(BN1474="D",1,0)+IF(BO1474="D",1,0)+IF(BT1474="D",1,0)+IF(BU1474="D",1,0)+IF(BW1474="D",1,0)+IF(CC1474="D",1,0)+IF(CD1474="D",1,0)+IF(CE1474="D",1,0)+IF(CF1474="D",1,0)+IF(CL1474="D",1,0)+IF(CM1474="D",1,0)+IF(CQ1474="D",1,0)+IF(CR1474="D",1,0)+IF(CS1474="D",1,0)+IF(CW1474="D",1,0)+IF(CX1474="D",1,0)+IF(DD1474="D",1,0)+IF(DE1474="D",1,0)+IF(DJ1474="D",1,0)+IF(DK1474="D",1,0)+IF(DO1474="D",1,0)+IF(DP1474="D",1,0)+IF(DQ1474="D",1,0)+IF(DW1474="D",1,0)+IF(DZ1474="D",1,0)+IF(EH1474="D",1,0)</f>
        <v>0</v>
      </c>
      <c r="AY1474" s="0" t="n">
        <f aca="false">COUNTIF(DU1474:EH1474, "&lt;&gt;")</f>
        <v>0</v>
      </c>
      <c r="AZ1474" s="0" t="n">
        <f aca="false">IF(EH1474&lt;&gt;"",1,0)</f>
        <v>0</v>
      </c>
      <c r="BB1474" s="0" t="s">
        <v>152</v>
      </c>
    </row>
    <row r="1475" customFormat="false" ht="13.8" hidden="false" customHeight="false" outlineLevel="0" collapsed="false">
      <c r="A1475" s="0" t="s">
        <v>6770</v>
      </c>
      <c r="B1475" s="0" t="n">
        <v>78</v>
      </c>
      <c r="C1475" s="0" t="n">
        <v>419722</v>
      </c>
      <c r="D1475" s="0" t="s">
        <v>6771</v>
      </c>
      <c r="E1475" s="0" t="s">
        <v>2401</v>
      </c>
      <c r="F1475" s="0" t="str">
        <f aca="false">CONCATENATE(D1475," ",LEFT(H1475,4),"T=",AU1475,"D=",AV1475,"R=",AW1475,"M=",AX1475,"L=",AY1475,"B=",AZ1475)</f>
        <v>DEVALL T=31D=13R=0M=3L=7B=1</v>
      </c>
      <c r="G1475" s="0" t="s">
        <v>1128</v>
      </c>
      <c r="I1475" s="0" t="s">
        <v>6772</v>
      </c>
      <c r="J1475" s="0" t="s">
        <v>3143</v>
      </c>
      <c r="K1475" s="0" t="s">
        <v>160</v>
      </c>
      <c r="L1475" s="0" t="s">
        <v>175</v>
      </c>
      <c r="M1475" s="0" t="s">
        <v>6773</v>
      </c>
      <c r="N1475" s="0" t="str">
        <f aca="false">RIGHT(M1475,LEN(M1475)-FIND(" ",M1475))</f>
        <v>LOGAN AVE SE</v>
      </c>
      <c r="P1475" s="0" t="s">
        <v>145</v>
      </c>
      <c r="Q1475" s="0" t="s">
        <v>146</v>
      </c>
      <c r="R1475" s="0" t="n">
        <v>44483</v>
      </c>
      <c r="AD1475" s="0" t="s">
        <v>147</v>
      </c>
      <c r="AE1475" s="0" t="s">
        <v>148</v>
      </c>
      <c r="AF1475" s="0" t="s">
        <v>149</v>
      </c>
      <c r="AH1475" s="0" t="n">
        <v>14</v>
      </c>
      <c r="AI1475" s="0" t="n">
        <v>11</v>
      </c>
      <c r="AN1475" s="0" t="s">
        <v>145</v>
      </c>
      <c r="AO1475" s="0" t="s">
        <v>150</v>
      </c>
      <c r="AP1475" s="0" t="s">
        <v>151</v>
      </c>
      <c r="AQ1475" s="0" t="n">
        <v>9</v>
      </c>
      <c r="AR1475" s="0" t="n">
        <v>64</v>
      </c>
      <c r="AS1475" s="0" t="n">
        <v>32</v>
      </c>
      <c r="AU1475" s="0" t="n">
        <f aca="false">COUNTA($BA$679:$EH$679)</f>
        <v>31</v>
      </c>
      <c r="AV1475" s="0" t="n">
        <f aca="false">COUNTIF($BA$679:$EH$679,"D")</f>
        <v>13</v>
      </c>
      <c r="AW1475" s="0" t="n">
        <f aca="false">COUNTIF($BA$679:$EH$679,"R")</f>
        <v>0</v>
      </c>
      <c r="AX1475" s="0" t="n">
        <f aca="false">IF(BN1475="D",1,0)+IF(BO1475="D",1,0)+IF(BT1475="D",1,0)+IF(BU1475="D",1,0)+IF(BW1475="D",1,0)+IF(CC1475="D",1,0)+IF(CD1475="D",1,0)+IF(CE1475="D",1,0)+IF(CF1475="D",1,0)+IF(CL1475="D",1,0)+IF(CM1475="D",1,0)+IF(CQ1475="D",1,0)+IF(CR1475="D",1,0)+IF(CS1475="D",1,0)+IF(CW1475="D",1,0)+IF(CX1475="D",1,0)+IF(DD1475="D",1,0)+IF(DE1475="D",1,0)+IF(DJ1475="D",1,0)+IF(DK1475="D",1,0)+IF(DO1475="D",1,0)+IF(DP1475="D",1,0)+IF(DQ1475="D",1,0)+IF(DW1475="D",1,0)+IF(DZ1475="D",1,0)+IF(EH1475="D",1,0)</f>
        <v>3</v>
      </c>
      <c r="AY1475" s="0" t="n">
        <f aca="false">COUNTIF(DU1475:EH1475, "&lt;&gt;")</f>
        <v>7</v>
      </c>
      <c r="AZ1475" s="0" t="n">
        <f aca="false">IF(EH1475&lt;&gt;"",1,0)</f>
        <v>1</v>
      </c>
      <c r="BB1475" s="0" t="s">
        <v>152</v>
      </c>
      <c r="DC1475" s="0" t="s">
        <v>153</v>
      </c>
      <c r="DG1475" s="0" t="s">
        <v>175</v>
      </c>
      <c r="DI1475" s="0" t="s">
        <v>153</v>
      </c>
      <c r="DJ1475" s="0" t="s">
        <v>175</v>
      </c>
      <c r="DL1475" s="0" t="s">
        <v>153</v>
      </c>
      <c r="DM1475" s="0" t="s">
        <v>175</v>
      </c>
      <c r="DN1475" s="0" t="s">
        <v>153</v>
      </c>
      <c r="DS1475" s="0" t="s">
        <v>175</v>
      </c>
      <c r="DT1475" s="0" t="s">
        <v>175</v>
      </c>
      <c r="DU1475" s="0" t="s">
        <v>153</v>
      </c>
      <c r="DW1475" s="0" t="s">
        <v>175</v>
      </c>
      <c r="DX1475" s="0" t="s">
        <v>153</v>
      </c>
      <c r="EA1475" s="0" t="s">
        <v>153</v>
      </c>
      <c r="ED1475" s="0" t="s">
        <v>175</v>
      </c>
      <c r="EF1475" s="0" t="s">
        <v>153</v>
      </c>
      <c r="EH1475" s="0" t="s">
        <v>175</v>
      </c>
    </row>
    <row r="1476" customFormat="false" ht="13.8" hidden="false" customHeight="false" outlineLevel="0" collapsed="false">
      <c r="A1476" s="0" t="s">
        <v>6774</v>
      </c>
      <c r="B1476" s="0" t="n">
        <v>78</v>
      </c>
      <c r="C1476" s="0" t="n">
        <v>339806</v>
      </c>
      <c r="D1476" s="0" t="s">
        <v>6775</v>
      </c>
      <c r="E1476" s="0" t="s">
        <v>6776</v>
      </c>
      <c r="F1476" s="0" t="str">
        <f aca="false">CONCATENATE(D1476," ",LEFT(H1476,4),"T=",AU1476,"D=",AV1476,"R=",AW1476,"M=",AX1476,"L=",AY1476,"B=",AZ1476)</f>
        <v>COWGER T=2D=0R=0M=2L=7B=1</v>
      </c>
      <c r="I1476" s="0" t="s">
        <v>6777</v>
      </c>
      <c r="J1476" s="0" t="s">
        <v>3995</v>
      </c>
      <c r="K1476" s="0" t="s">
        <v>160</v>
      </c>
      <c r="L1476" s="0" t="s">
        <v>175</v>
      </c>
      <c r="M1476" s="0" t="s">
        <v>6773</v>
      </c>
      <c r="N1476" s="0" t="str">
        <f aca="false">RIGHT(M1476,LEN(M1476)-FIND(" ",M1476))</f>
        <v>LOGAN AVE SE</v>
      </c>
      <c r="P1476" s="0" t="s">
        <v>145</v>
      </c>
      <c r="Q1476" s="0" t="s">
        <v>146</v>
      </c>
      <c r="R1476" s="0" t="n">
        <v>44483</v>
      </c>
      <c r="AD1476" s="0" t="s">
        <v>147</v>
      </c>
      <c r="AE1476" s="0" t="s">
        <v>148</v>
      </c>
      <c r="AF1476" s="0" t="s">
        <v>149</v>
      </c>
      <c r="AH1476" s="0" t="n">
        <v>14</v>
      </c>
      <c r="AI1476" s="0" t="n">
        <v>11</v>
      </c>
      <c r="AN1476" s="0" t="s">
        <v>145</v>
      </c>
      <c r="AO1476" s="0" t="s">
        <v>150</v>
      </c>
      <c r="AP1476" s="0" t="s">
        <v>151</v>
      </c>
      <c r="AQ1476" s="0" t="n">
        <v>9</v>
      </c>
      <c r="AR1476" s="0" t="n">
        <v>64</v>
      </c>
      <c r="AS1476" s="0" t="n">
        <v>32</v>
      </c>
      <c r="AU1476" s="0" t="n">
        <f aca="false">COUNTA($BA$809:$EH$809)</f>
        <v>2</v>
      </c>
      <c r="AV1476" s="0" t="n">
        <f aca="false">COUNTIF($BA$809:$EH$809,"D")</f>
        <v>0</v>
      </c>
      <c r="AW1476" s="0" t="n">
        <f aca="false">COUNTIF($BA$809:$EH$809,"R")</f>
        <v>0</v>
      </c>
      <c r="AX1476" s="0" t="n">
        <f aca="false">IF(BN1476="D",1,0)+IF(BO1476="D",1,0)+IF(BT1476="D",1,0)+IF(BU1476="D",1,0)+IF(BW1476="D",1,0)+IF(CC1476="D",1,0)+IF(CD1476="D",1,0)+IF(CE1476="D",1,0)+IF(CF1476="D",1,0)+IF(CL1476="D",1,0)+IF(CM1476="D",1,0)+IF(CQ1476="D",1,0)+IF(CR1476="D",1,0)+IF(CS1476="D",1,0)+IF(CW1476="D",1,0)+IF(CX1476="D",1,0)+IF(DD1476="D",1,0)+IF(DE1476="D",1,0)+IF(DJ1476="D",1,0)+IF(DK1476="D",1,0)+IF(DO1476="D",1,0)+IF(DP1476="D",1,0)+IF(DQ1476="D",1,0)+IF(DW1476="D",1,0)+IF(DZ1476="D",1,0)+IF(EH1476="D",1,0)</f>
        <v>2</v>
      </c>
      <c r="AY1476" s="0" t="n">
        <f aca="false">COUNTIF(DU1476:EH1476, "&lt;&gt;")</f>
        <v>7</v>
      </c>
      <c r="AZ1476" s="0" t="n">
        <f aca="false">IF(EH1476&lt;&gt;"",1,0)</f>
        <v>1</v>
      </c>
      <c r="BB1476" s="0" t="s">
        <v>152</v>
      </c>
      <c r="BS1476" s="0" t="s">
        <v>153</v>
      </c>
      <c r="BY1476" s="0" t="s">
        <v>175</v>
      </c>
      <c r="CA1476" s="0" t="s">
        <v>153</v>
      </c>
      <c r="CK1476" s="0" t="s">
        <v>153</v>
      </c>
      <c r="CV1476" s="0" t="s">
        <v>153</v>
      </c>
      <c r="DC1476" s="0" t="s">
        <v>153</v>
      </c>
      <c r="DI1476" s="0" t="s">
        <v>153</v>
      </c>
      <c r="DM1476" s="0" t="s">
        <v>175</v>
      </c>
      <c r="DN1476" s="0" t="s">
        <v>153</v>
      </c>
      <c r="DS1476" s="0" t="s">
        <v>175</v>
      </c>
      <c r="DU1476" s="0" t="s">
        <v>153</v>
      </c>
      <c r="DW1476" s="0" t="s">
        <v>175</v>
      </c>
      <c r="DX1476" s="0" t="s">
        <v>153</v>
      </c>
      <c r="EA1476" s="0" t="s">
        <v>153</v>
      </c>
      <c r="ED1476" s="0" t="s">
        <v>175</v>
      </c>
      <c r="EF1476" s="0" t="s">
        <v>153</v>
      </c>
      <c r="EH1476" s="0" t="s">
        <v>175</v>
      </c>
    </row>
    <row r="1477" customFormat="false" ht="13.8" hidden="true" customHeight="false" outlineLevel="0" collapsed="false">
      <c r="A1477" s="0" t="s">
        <v>6778</v>
      </c>
      <c r="B1477" s="0" t="n">
        <v>78</v>
      </c>
      <c r="C1477" s="0" t="n">
        <v>405908</v>
      </c>
      <c r="D1477" s="0" t="s">
        <v>6779</v>
      </c>
      <c r="E1477" s="0" t="s">
        <v>795</v>
      </c>
      <c r="F1477" s="0" t="str">
        <f aca="false">CONCATENATE(D1477," ",LEFT(H1477,4),"T=",AU1477,"D=",AV1477,"R=",AW1477,"M=",AX1477,"L=",AY1477,"B=",AZ1477)</f>
        <v>AIKINS T=4D=0R=0M=0L=0B=0</v>
      </c>
      <c r="G1477" s="0" t="s">
        <v>4770</v>
      </c>
      <c r="I1477" s="0" t="s">
        <v>6780</v>
      </c>
      <c r="J1477" s="0" t="s">
        <v>1420</v>
      </c>
      <c r="K1477" s="0" t="s">
        <v>160</v>
      </c>
      <c r="M1477" s="0" t="s">
        <v>6773</v>
      </c>
      <c r="N1477" s="0" t="str">
        <f aca="false">RIGHT(M1477,LEN(M1477)-FIND(" ",M1477))</f>
        <v>LOGAN AVE SE</v>
      </c>
      <c r="P1477" s="0" t="s">
        <v>145</v>
      </c>
      <c r="Q1477" s="0" t="s">
        <v>146</v>
      </c>
      <c r="R1477" s="0" t="n">
        <v>44483</v>
      </c>
      <c r="AD1477" s="0" t="s">
        <v>147</v>
      </c>
      <c r="AE1477" s="0" t="s">
        <v>148</v>
      </c>
      <c r="AF1477" s="0" t="s">
        <v>149</v>
      </c>
      <c r="AH1477" s="0" t="n">
        <v>14</v>
      </c>
      <c r="AI1477" s="0" t="n">
        <v>11</v>
      </c>
      <c r="AN1477" s="0" t="s">
        <v>145</v>
      </c>
      <c r="AO1477" s="0" t="s">
        <v>150</v>
      </c>
      <c r="AP1477" s="0" t="s">
        <v>151</v>
      </c>
      <c r="AQ1477" s="0" t="n">
        <v>9</v>
      </c>
      <c r="AR1477" s="0" t="n">
        <v>64</v>
      </c>
      <c r="AS1477" s="0" t="n">
        <v>32</v>
      </c>
      <c r="AU1477" s="0" t="n">
        <f aca="false">COUNTA($BA$826:$EH$826)</f>
        <v>4</v>
      </c>
      <c r="AV1477" s="0" t="n">
        <f aca="false">COUNTIF($BA$826:$EH$826,"D")</f>
        <v>0</v>
      </c>
      <c r="AW1477" s="0" t="n">
        <f aca="false">COUNTIF($BA$826:$EH$826,"R")</f>
        <v>0</v>
      </c>
      <c r="AX1477" s="0" t="n">
        <f aca="false">IF(BN1477="D",1,0)+IF(BO1477="D",1,0)+IF(BT1477="D",1,0)+IF(BU1477="D",1,0)+IF(BW1477="D",1,0)+IF(CC1477="D",1,0)+IF(CD1477="D",1,0)+IF(CE1477="D",1,0)+IF(CF1477="D",1,0)+IF(CL1477="D",1,0)+IF(CM1477="D",1,0)+IF(CQ1477="D",1,0)+IF(CR1477="D",1,0)+IF(CS1477="D",1,0)+IF(CW1477="D",1,0)+IF(CX1477="D",1,0)+IF(DD1477="D",1,0)+IF(DE1477="D",1,0)+IF(DJ1477="D",1,0)+IF(DK1477="D",1,0)+IF(DO1477="D",1,0)+IF(DP1477="D",1,0)+IF(DQ1477="D",1,0)+IF(DW1477="D",1,0)+IF(DZ1477="D",1,0)+IF(EH1477="D",1,0)</f>
        <v>0</v>
      </c>
      <c r="AY1477" s="0" t="n">
        <f aca="false">COUNTIF(DU1477:EH1477, "&lt;&gt;")</f>
        <v>0</v>
      </c>
      <c r="AZ1477" s="0" t="n">
        <f aca="false">IF(EH1477&lt;&gt;"",1,0)</f>
        <v>0</v>
      </c>
      <c r="BB1477" s="0" t="s">
        <v>152</v>
      </c>
      <c r="CY1477" s="0" t="s">
        <v>153</v>
      </c>
      <c r="DC1477" s="0" t="s">
        <v>153</v>
      </c>
    </row>
    <row r="1478" customFormat="false" ht="13.8" hidden="true" customHeight="false" outlineLevel="0" collapsed="false">
      <c r="A1478" s="0" t="s">
        <v>6781</v>
      </c>
      <c r="B1478" s="0" t="n">
        <v>78</v>
      </c>
      <c r="C1478" s="0" t="n">
        <v>385318</v>
      </c>
      <c r="D1478" s="0" t="s">
        <v>6782</v>
      </c>
      <c r="E1478" s="0" t="s">
        <v>6783</v>
      </c>
      <c r="F1478" s="0" t="str">
        <f aca="false">CONCATENATE(D1478," ",LEFT(H1478,4),"T=",AU1478,"D=",AV1478,"R=",AW1478,"M=",AX1478,"L=",AY1478,"B=",AZ1478)</f>
        <v>ENGLISH T=4D=0R=0M=0L=0B=0</v>
      </c>
      <c r="G1478" s="0" t="s">
        <v>164</v>
      </c>
      <c r="I1478" s="0" t="s">
        <v>6784</v>
      </c>
      <c r="J1478" s="0" t="s">
        <v>4032</v>
      </c>
      <c r="K1478" s="0" t="s">
        <v>160</v>
      </c>
      <c r="M1478" s="0" t="s">
        <v>6785</v>
      </c>
      <c r="N1478" s="0" t="str">
        <f aca="false">RIGHT(M1478,LEN(M1478)-FIND(" ",M1478))</f>
        <v>LOGAN AVE SE</v>
      </c>
      <c r="P1478" s="0" t="s">
        <v>145</v>
      </c>
      <c r="Q1478" s="0" t="s">
        <v>146</v>
      </c>
      <c r="R1478" s="0" t="n">
        <v>44483</v>
      </c>
      <c r="AD1478" s="0" t="s">
        <v>147</v>
      </c>
      <c r="AE1478" s="0" t="s">
        <v>148</v>
      </c>
      <c r="AF1478" s="0" t="s">
        <v>149</v>
      </c>
      <c r="AH1478" s="0" t="n">
        <v>14</v>
      </c>
      <c r="AI1478" s="0" t="n">
        <v>11</v>
      </c>
      <c r="AN1478" s="0" t="s">
        <v>145</v>
      </c>
      <c r="AO1478" s="0" t="s">
        <v>654</v>
      </c>
      <c r="AP1478" s="0" t="s">
        <v>655</v>
      </c>
      <c r="AQ1478" s="0" t="n">
        <v>9</v>
      </c>
      <c r="AR1478" s="0" t="n">
        <v>64</v>
      </c>
      <c r="AS1478" s="0" t="n">
        <v>32</v>
      </c>
      <c r="AU1478" s="0" t="n">
        <f aca="false">COUNTA($BA$1683:$EH$1683)</f>
        <v>4</v>
      </c>
      <c r="AV1478" s="0" t="n">
        <f aca="false">COUNTIF($BA$1683:$EH$1683,"D")</f>
        <v>0</v>
      </c>
      <c r="AW1478" s="0" t="n">
        <f aca="false">COUNTIF($BA$1683:$EH$1683,"R")</f>
        <v>0</v>
      </c>
      <c r="AX1478" s="0" t="n">
        <f aca="false">IF(BN1478="D",1,0)+IF(BO1478="D",1,0)+IF(BT1478="D",1,0)+IF(BU1478="D",1,0)+IF(BW1478="D",1,0)+IF(CC1478="D",1,0)+IF(CD1478="D",1,0)+IF(CE1478="D",1,0)+IF(CF1478="D",1,0)+IF(CL1478="D",1,0)+IF(CM1478="D",1,0)+IF(CQ1478="D",1,0)+IF(CR1478="D",1,0)+IF(CS1478="D",1,0)+IF(CW1478="D",1,0)+IF(CX1478="D",1,0)+IF(DD1478="D",1,0)+IF(DE1478="D",1,0)+IF(DJ1478="D",1,0)+IF(DK1478="D",1,0)+IF(DO1478="D",1,0)+IF(DP1478="D",1,0)+IF(DQ1478="D",1,0)+IF(DW1478="D",1,0)+IF(DZ1478="D",1,0)+IF(EH1478="D",1,0)</f>
        <v>0</v>
      </c>
      <c r="AY1478" s="0" t="n">
        <f aca="false">COUNTIF(DU1478:EH1478, "&lt;&gt;")</f>
        <v>0</v>
      </c>
      <c r="AZ1478" s="0" t="n">
        <f aca="false">IF(EH1478&lt;&gt;"",1,0)</f>
        <v>0</v>
      </c>
      <c r="BB1478" s="0" t="s">
        <v>152</v>
      </c>
    </row>
    <row r="1479" customFormat="false" ht="13.8" hidden="true" customHeight="false" outlineLevel="0" collapsed="false">
      <c r="A1479" s="0" t="s">
        <v>6786</v>
      </c>
      <c r="B1479" s="0" t="n">
        <v>78</v>
      </c>
      <c r="C1479" s="0" t="n">
        <v>366177</v>
      </c>
      <c r="D1479" s="0" t="s">
        <v>6787</v>
      </c>
      <c r="E1479" s="0" t="s">
        <v>943</v>
      </c>
      <c r="F1479" s="0" t="str">
        <f aca="false">CONCATENATE(D1479," ",LEFT(H1479,4),"T=",AU1479,"D=",AV1479,"R=",AW1479,"M=",AX1479,"L=",AY1479,"B=",AZ1479)</f>
        <v>HAUGHT T=12D=0R=0M=0L=0B=0</v>
      </c>
      <c r="G1479" s="0" t="s">
        <v>670</v>
      </c>
      <c r="I1479" s="0" t="s">
        <v>850</v>
      </c>
      <c r="J1479" s="0" t="s">
        <v>6788</v>
      </c>
      <c r="K1479" s="0" t="s">
        <v>143</v>
      </c>
      <c r="M1479" s="0" t="s">
        <v>6789</v>
      </c>
      <c r="N1479" s="0" t="str">
        <f aca="false">RIGHT(M1479,LEN(M1479)-FIND(" ",M1479))</f>
        <v>LOGAN AVE SE</v>
      </c>
      <c r="P1479" s="0" t="s">
        <v>145</v>
      </c>
      <c r="Q1479" s="0" t="s">
        <v>146</v>
      </c>
      <c r="R1479" s="0" t="n">
        <v>44483</v>
      </c>
      <c r="AD1479" s="0" t="s">
        <v>147</v>
      </c>
      <c r="AE1479" s="0" t="s">
        <v>148</v>
      </c>
      <c r="AF1479" s="0" t="s">
        <v>149</v>
      </c>
      <c r="AH1479" s="0" t="n">
        <v>14</v>
      </c>
      <c r="AI1479" s="0" t="n">
        <v>11</v>
      </c>
      <c r="AN1479" s="0" t="s">
        <v>145</v>
      </c>
      <c r="AO1479" s="0" t="s">
        <v>150</v>
      </c>
      <c r="AP1479" s="0" t="s">
        <v>151</v>
      </c>
      <c r="AQ1479" s="0" t="n">
        <v>9</v>
      </c>
      <c r="AR1479" s="0" t="n">
        <v>64</v>
      </c>
      <c r="AS1479" s="0" t="n">
        <v>32</v>
      </c>
      <c r="AU1479" s="0" t="n">
        <f aca="false">COUNTA($BA$635:$EH$635)</f>
        <v>12</v>
      </c>
      <c r="AV1479" s="0" t="n">
        <f aca="false">COUNTIF($BA$635:$EH$635,"D")</f>
        <v>0</v>
      </c>
      <c r="AW1479" s="0" t="n">
        <f aca="false">COUNTIF($BA$635:$EH$635,"R")</f>
        <v>0</v>
      </c>
      <c r="AX1479" s="0" t="n">
        <f aca="false">IF(BN1479="D",1,0)+IF(BO1479="D",1,0)+IF(BT1479="D",1,0)+IF(BU1479="D",1,0)+IF(BW1479="D",1,0)+IF(CC1479="D",1,0)+IF(CD1479="D",1,0)+IF(CE1479="D",1,0)+IF(CF1479="D",1,0)+IF(CL1479="D",1,0)+IF(CM1479="D",1,0)+IF(CQ1479="D",1,0)+IF(CR1479="D",1,0)+IF(CS1479="D",1,0)+IF(CW1479="D",1,0)+IF(CX1479="D",1,0)+IF(DD1479="D",1,0)+IF(DE1479="D",1,0)+IF(DJ1479="D",1,0)+IF(DK1479="D",1,0)+IF(DO1479="D",1,0)+IF(DP1479="D",1,0)+IF(DQ1479="D",1,0)+IF(DW1479="D",1,0)+IF(DZ1479="D",1,0)+IF(EH1479="D",1,0)</f>
        <v>0</v>
      </c>
      <c r="AY1479" s="0" t="n">
        <f aca="false">COUNTIF(DU1479:EH1479, "&lt;&gt;")</f>
        <v>0</v>
      </c>
      <c r="AZ1479" s="0" t="n">
        <f aca="false">IF(EH1479&lt;&gt;"",1,0)</f>
        <v>0</v>
      </c>
      <c r="BB1479" s="0" t="s">
        <v>152</v>
      </c>
    </row>
    <row r="1480" customFormat="false" ht="13.8" hidden="false" customHeight="false" outlineLevel="0" collapsed="false">
      <c r="A1480" s="0" t="s">
        <v>6790</v>
      </c>
      <c r="B1480" s="0" t="n">
        <v>78</v>
      </c>
      <c r="C1480" s="0" t="n">
        <v>358996</v>
      </c>
      <c r="D1480" s="0" t="s">
        <v>6787</v>
      </c>
      <c r="E1480" s="0" t="s">
        <v>3404</v>
      </c>
      <c r="F1480" s="0" t="str">
        <f aca="false">CONCATENATE(D1480," ",LEFT(H1480,4),"T=",AU1480,"D=",AV1480,"R=",AW1480,"M=",AX1480,"L=",AY1480,"B=",AZ1480)</f>
        <v>HAUGHT T=2D=0R=0M=0L=4B=0</v>
      </c>
      <c r="G1480" s="0" t="s">
        <v>1128</v>
      </c>
      <c r="I1480" s="0" t="s">
        <v>6791</v>
      </c>
      <c r="J1480" s="0" t="s">
        <v>6788</v>
      </c>
      <c r="K1480" s="0" t="s">
        <v>160</v>
      </c>
      <c r="M1480" s="0" t="s">
        <v>6789</v>
      </c>
      <c r="N1480" s="0" t="str">
        <f aca="false">RIGHT(M1480,LEN(M1480)-FIND(" ",M1480))</f>
        <v>LOGAN AVE SE</v>
      </c>
      <c r="P1480" s="0" t="s">
        <v>145</v>
      </c>
      <c r="Q1480" s="0" t="s">
        <v>146</v>
      </c>
      <c r="R1480" s="0" t="n">
        <v>44483</v>
      </c>
      <c r="AD1480" s="0" t="s">
        <v>147</v>
      </c>
      <c r="AE1480" s="0" t="s">
        <v>148</v>
      </c>
      <c r="AF1480" s="0" t="s">
        <v>149</v>
      </c>
      <c r="AH1480" s="0" t="n">
        <v>14</v>
      </c>
      <c r="AI1480" s="0" t="n">
        <v>11</v>
      </c>
      <c r="AN1480" s="0" t="s">
        <v>145</v>
      </c>
      <c r="AO1480" s="0" t="s">
        <v>150</v>
      </c>
      <c r="AP1480" s="0" t="s">
        <v>151</v>
      </c>
      <c r="AQ1480" s="0" t="n">
        <v>9</v>
      </c>
      <c r="AR1480" s="0" t="n">
        <v>64</v>
      </c>
      <c r="AS1480" s="0" t="n">
        <v>32</v>
      </c>
      <c r="AU1480" s="0" t="n">
        <f aca="false">COUNTA($BA$954:$EH$954)</f>
        <v>2</v>
      </c>
      <c r="AV1480" s="0" t="n">
        <f aca="false">COUNTIF($BA$954:$EH$954,"D")</f>
        <v>0</v>
      </c>
      <c r="AW1480" s="0" t="n">
        <f aca="false">COUNTIF($BA$954:$EH$954,"R")</f>
        <v>0</v>
      </c>
      <c r="AX1480" s="0" t="n">
        <f aca="false">IF(BN1480="D",1,0)+IF(BO1480="D",1,0)+IF(BT1480="D",1,0)+IF(BU1480="D",1,0)+IF(BW1480="D",1,0)+IF(CC1480="D",1,0)+IF(CD1480="D",1,0)+IF(CE1480="D",1,0)+IF(CF1480="D",1,0)+IF(CL1480="D",1,0)+IF(CM1480="D",1,0)+IF(CQ1480="D",1,0)+IF(CR1480="D",1,0)+IF(CS1480="D",1,0)+IF(CW1480="D",1,0)+IF(CX1480="D",1,0)+IF(DD1480="D",1,0)+IF(DE1480="D",1,0)+IF(DJ1480="D",1,0)+IF(DK1480="D",1,0)+IF(DO1480="D",1,0)+IF(DP1480="D",1,0)+IF(DQ1480="D",1,0)+IF(DW1480="D",1,0)+IF(DZ1480="D",1,0)+IF(EH1480="D",1,0)</f>
        <v>0</v>
      </c>
      <c r="AY1480" s="0" t="n">
        <f aca="false">COUNTIF(DU1480:EH1480, "&lt;&gt;")</f>
        <v>4</v>
      </c>
      <c r="AZ1480" s="0" t="n">
        <f aca="false">IF(EH1480&lt;&gt;"",1,0)</f>
        <v>0</v>
      </c>
      <c r="BB1480" s="0" t="s">
        <v>152</v>
      </c>
      <c r="DN1480" s="0" t="s">
        <v>153</v>
      </c>
      <c r="DU1480" s="0" t="s">
        <v>153</v>
      </c>
      <c r="DX1480" s="0" t="s">
        <v>153</v>
      </c>
      <c r="EA1480" s="0" t="s">
        <v>153</v>
      </c>
      <c r="EF1480" s="0" t="s">
        <v>153</v>
      </c>
    </row>
    <row r="1481" customFormat="false" ht="13.8" hidden="false" customHeight="false" outlineLevel="0" collapsed="false">
      <c r="A1481" s="0" t="s">
        <v>6792</v>
      </c>
      <c r="B1481" s="0" t="n">
        <v>78</v>
      </c>
      <c r="C1481" s="0" t="n">
        <v>14077</v>
      </c>
      <c r="D1481" s="0" t="s">
        <v>6793</v>
      </c>
      <c r="E1481" s="0" t="s">
        <v>274</v>
      </c>
      <c r="F1481" s="0" t="str">
        <f aca="false">CONCATENATE(D1481," ",LEFT(H1481,4),"T=",AU1481,"D=",AV1481,"R=",AW1481,"M=",AX1481,"L=",AY1481,"B=",AZ1481)</f>
        <v>GILL T=6D=0R=0M=7L=6B=0</v>
      </c>
      <c r="G1481" s="0" t="s">
        <v>307</v>
      </c>
      <c r="I1481" s="0" t="s">
        <v>6794</v>
      </c>
      <c r="J1481" s="0" t="s">
        <v>6795</v>
      </c>
      <c r="K1481" s="0" t="s">
        <v>160</v>
      </c>
      <c r="L1481" s="0" t="s">
        <v>175</v>
      </c>
      <c r="M1481" s="0" t="s">
        <v>6796</v>
      </c>
      <c r="N1481" s="0" t="str">
        <f aca="false">RIGHT(M1481,LEN(M1481)-FIND(" ",M1481))</f>
        <v>LOGAN AVE SE</v>
      </c>
      <c r="P1481" s="0" t="s">
        <v>145</v>
      </c>
      <c r="Q1481" s="0" t="s">
        <v>146</v>
      </c>
      <c r="R1481" s="0" t="n">
        <v>44483</v>
      </c>
      <c r="AD1481" s="0" t="s">
        <v>147</v>
      </c>
      <c r="AE1481" s="0" t="s">
        <v>148</v>
      </c>
      <c r="AF1481" s="0" t="s">
        <v>149</v>
      </c>
      <c r="AH1481" s="0" t="n">
        <v>14</v>
      </c>
      <c r="AI1481" s="0" t="n">
        <v>11</v>
      </c>
      <c r="AN1481" s="0" t="s">
        <v>145</v>
      </c>
      <c r="AO1481" s="0" t="s">
        <v>150</v>
      </c>
      <c r="AP1481" s="0" t="s">
        <v>151</v>
      </c>
      <c r="AQ1481" s="0" t="n">
        <v>9</v>
      </c>
      <c r="AR1481" s="0" t="n">
        <v>64</v>
      </c>
      <c r="AS1481" s="0" t="n">
        <v>32</v>
      </c>
      <c r="AU1481" s="0" t="n">
        <f aca="false">COUNTA($BA$804:$EH$804)</f>
        <v>6</v>
      </c>
      <c r="AV1481" s="0" t="n">
        <f aca="false">COUNTIF($BA$804:$EH$804,"D")</f>
        <v>0</v>
      </c>
      <c r="AW1481" s="0" t="n">
        <f aca="false">COUNTIF($BA$804:$EH$804,"R")</f>
        <v>0</v>
      </c>
      <c r="AX1481" s="0" t="n">
        <f aca="false">IF(BN1481="D",1,0)+IF(BO1481="D",1,0)+IF(BT1481="D",1,0)+IF(BU1481="D",1,0)+IF(BW1481="D",1,0)+IF(CC1481="D",1,0)+IF(CD1481="D",1,0)+IF(CE1481="D",1,0)+IF(CF1481="D",1,0)+IF(CL1481="D",1,0)+IF(CM1481="D",1,0)+IF(CQ1481="D",1,0)+IF(CR1481="D",1,0)+IF(CS1481="D",1,0)+IF(CW1481="D",1,0)+IF(CX1481="D",1,0)+IF(DD1481="D",1,0)+IF(DE1481="D",1,0)+IF(DJ1481="D",1,0)+IF(DK1481="D",1,0)+IF(DO1481="D",1,0)+IF(DP1481="D",1,0)+IF(DQ1481="D",1,0)+IF(DW1481="D",1,0)+IF(DZ1481="D",1,0)+IF(EH1481="D",1,0)</f>
        <v>7</v>
      </c>
      <c r="AY1481" s="0" t="n">
        <f aca="false">COUNTIF(DU1481:EH1481, "&lt;&gt;")</f>
        <v>6</v>
      </c>
      <c r="AZ1481" s="0" t="n">
        <f aca="false">IF(EH1481&lt;&gt;"",1,0)</f>
        <v>0</v>
      </c>
      <c r="BB1481" s="0" t="s">
        <v>152</v>
      </c>
      <c r="BC1481" s="0" t="s">
        <v>153</v>
      </c>
      <c r="BD1481" s="0" t="s">
        <v>153</v>
      </c>
      <c r="BE1481" s="0" t="s">
        <v>153</v>
      </c>
      <c r="BF1481" s="0" t="s">
        <v>153</v>
      </c>
      <c r="BG1481" s="0" t="s">
        <v>153</v>
      </c>
      <c r="BH1481" s="0" t="s">
        <v>153</v>
      </c>
      <c r="BI1481" s="0" t="s">
        <v>153</v>
      </c>
      <c r="BJ1481" s="0" t="s">
        <v>153</v>
      </c>
      <c r="BK1481" s="0" t="s">
        <v>153</v>
      </c>
      <c r="BL1481" s="0" t="s">
        <v>153</v>
      </c>
      <c r="BR1481" s="0" t="s">
        <v>153</v>
      </c>
      <c r="BS1481" s="0" t="s">
        <v>153</v>
      </c>
      <c r="BT1481" s="0" t="s">
        <v>153</v>
      </c>
      <c r="BV1481" s="0" t="s">
        <v>153</v>
      </c>
      <c r="BY1481" s="0" t="s">
        <v>175</v>
      </c>
      <c r="CA1481" s="0" t="s">
        <v>153</v>
      </c>
      <c r="CC1481" s="0" t="s">
        <v>175</v>
      </c>
      <c r="CG1481" s="0" t="s">
        <v>153</v>
      </c>
      <c r="CH1481" s="0" t="s">
        <v>175</v>
      </c>
      <c r="CK1481" s="0" t="s">
        <v>153</v>
      </c>
      <c r="CL1481" s="0" t="s">
        <v>175</v>
      </c>
      <c r="CN1481" s="0" t="s">
        <v>153</v>
      </c>
      <c r="CO1481" s="0" t="s">
        <v>175</v>
      </c>
      <c r="CP1481" s="0" t="s">
        <v>153</v>
      </c>
      <c r="CQ1481" s="0" t="s">
        <v>175</v>
      </c>
      <c r="CT1481" s="0" t="s">
        <v>153</v>
      </c>
      <c r="CU1481" s="0" t="s">
        <v>175</v>
      </c>
      <c r="CV1481" s="0" t="s">
        <v>153</v>
      </c>
      <c r="CW1481" s="0" t="s">
        <v>175</v>
      </c>
      <c r="CY1481" s="0" t="s">
        <v>153</v>
      </c>
      <c r="CZ1481" s="0" t="s">
        <v>175</v>
      </c>
      <c r="DC1481" s="0" t="s">
        <v>153</v>
      </c>
      <c r="DD1481" s="0" t="s">
        <v>175</v>
      </c>
      <c r="DF1481" s="0" t="s">
        <v>153</v>
      </c>
      <c r="DG1481" s="0" t="s">
        <v>175</v>
      </c>
      <c r="DI1481" s="0" t="s">
        <v>153</v>
      </c>
      <c r="DJ1481" s="0" t="s">
        <v>175</v>
      </c>
      <c r="DL1481" s="0" t="s">
        <v>153</v>
      </c>
      <c r="DM1481" s="0" t="s">
        <v>175</v>
      </c>
      <c r="DN1481" s="0" t="s">
        <v>153</v>
      </c>
      <c r="DR1481" s="0" t="s">
        <v>153</v>
      </c>
      <c r="DS1481" s="0" t="s">
        <v>175</v>
      </c>
      <c r="DT1481" s="0" t="s">
        <v>175</v>
      </c>
      <c r="DU1481" s="0" t="s">
        <v>153</v>
      </c>
      <c r="DW1481" s="0" t="s">
        <v>175</v>
      </c>
      <c r="DX1481" s="0" t="s">
        <v>153</v>
      </c>
      <c r="EA1481" s="0" t="s">
        <v>153</v>
      </c>
      <c r="ED1481" s="0" t="s">
        <v>175</v>
      </c>
      <c r="EF1481" s="0" t="s">
        <v>153</v>
      </c>
    </row>
    <row r="1482" customFormat="false" ht="13.8" hidden="false" customHeight="false" outlineLevel="0" collapsed="false">
      <c r="A1482" s="0" t="s">
        <v>6797</v>
      </c>
      <c r="B1482" s="0" t="n">
        <v>78</v>
      </c>
      <c r="C1482" s="0" t="n">
        <v>14078</v>
      </c>
      <c r="D1482" s="0" t="s">
        <v>6793</v>
      </c>
      <c r="E1482" s="0" t="s">
        <v>628</v>
      </c>
      <c r="F1482" s="0" t="str">
        <f aca="false">CONCATENATE(D1482," ",LEFT(H1482,4),"T=",AU1482,"D=",AV1482,"R=",AW1482,"M=",AX1482,"L=",AY1482,"B=",AZ1482)</f>
        <v>GILL T=1D=0R=0M=7L=6B=0</v>
      </c>
      <c r="I1482" s="0" t="s">
        <v>6798</v>
      </c>
      <c r="J1482" s="0" t="s">
        <v>6799</v>
      </c>
      <c r="K1482" s="0" t="s">
        <v>160</v>
      </c>
      <c r="L1482" s="0" t="s">
        <v>175</v>
      </c>
      <c r="M1482" s="0" t="s">
        <v>6796</v>
      </c>
      <c r="N1482" s="0" t="str">
        <f aca="false">RIGHT(M1482,LEN(M1482)-FIND(" ",M1482))</f>
        <v>LOGAN AVE SE</v>
      </c>
      <c r="P1482" s="0" t="s">
        <v>145</v>
      </c>
      <c r="Q1482" s="0" t="s">
        <v>146</v>
      </c>
      <c r="R1482" s="0" t="n">
        <v>44483</v>
      </c>
      <c r="AD1482" s="0" t="s">
        <v>147</v>
      </c>
      <c r="AE1482" s="0" t="s">
        <v>148</v>
      </c>
      <c r="AF1482" s="0" t="s">
        <v>149</v>
      </c>
      <c r="AH1482" s="0" t="n">
        <v>14</v>
      </c>
      <c r="AI1482" s="0" t="n">
        <v>11</v>
      </c>
      <c r="AN1482" s="0" t="s">
        <v>145</v>
      </c>
      <c r="AO1482" s="0" t="s">
        <v>150</v>
      </c>
      <c r="AP1482" s="0" t="s">
        <v>151</v>
      </c>
      <c r="AQ1482" s="0" t="n">
        <v>9</v>
      </c>
      <c r="AR1482" s="0" t="n">
        <v>64</v>
      </c>
      <c r="AS1482" s="0" t="n">
        <v>32</v>
      </c>
      <c r="AU1482" s="0" t="n">
        <f aca="false">COUNTA($BA$810:$EH$810)</f>
        <v>1</v>
      </c>
      <c r="AV1482" s="0" t="n">
        <f aca="false">COUNTIF($BA$810:$EH$810,"D")</f>
        <v>0</v>
      </c>
      <c r="AW1482" s="0" t="n">
        <f aca="false">COUNTIF($BA$810:$EH$810,"R")</f>
        <v>0</v>
      </c>
      <c r="AX1482" s="0" t="n">
        <f aca="false">IF(BN1482="D",1,0)+IF(BO1482="D",1,0)+IF(BT1482="D",1,0)+IF(BU1482="D",1,0)+IF(BW1482="D",1,0)+IF(CC1482="D",1,0)+IF(CD1482="D",1,0)+IF(CE1482="D",1,0)+IF(CF1482="D",1,0)+IF(CL1482="D",1,0)+IF(CM1482="D",1,0)+IF(CQ1482="D",1,0)+IF(CR1482="D",1,0)+IF(CS1482="D",1,0)+IF(CW1482="D",1,0)+IF(CX1482="D",1,0)+IF(DD1482="D",1,0)+IF(DE1482="D",1,0)+IF(DJ1482="D",1,0)+IF(DK1482="D",1,0)+IF(DO1482="D",1,0)+IF(DP1482="D",1,0)+IF(DQ1482="D",1,0)+IF(DW1482="D",1,0)+IF(DZ1482="D",1,0)+IF(EH1482="D",1,0)</f>
        <v>7</v>
      </c>
      <c r="AY1482" s="0" t="n">
        <f aca="false">COUNTIF(DU1482:EH1482, "&lt;&gt;")</f>
        <v>6</v>
      </c>
      <c r="AZ1482" s="0" t="n">
        <f aca="false">IF(EH1482&lt;&gt;"",1,0)</f>
        <v>0</v>
      </c>
      <c r="BB1482" s="0" t="s">
        <v>152</v>
      </c>
      <c r="BC1482" s="0" t="s">
        <v>153</v>
      </c>
      <c r="BD1482" s="0" t="s">
        <v>153</v>
      </c>
      <c r="BE1482" s="0" t="s">
        <v>153</v>
      </c>
      <c r="BF1482" s="0" t="s">
        <v>153</v>
      </c>
      <c r="BG1482" s="0" t="s">
        <v>153</v>
      </c>
      <c r="BH1482" s="0" t="s">
        <v>153</v>
      </c>
      <c r="BI1482" s="0" t="s">
        <v>153</v>
      </c>
      <c r="BJ1482" s="0" t="s">
        <v>153</v>
      </c>
      <c r="BK1482" s="0" t="s">
        <v>153</v>
      </c>
      <c r="BL1482" s="0" t="s">
        <v>153</v>
      </c>
      <c r="BP1482" s="0" t="s">
        <v>153</v>
      </c>
      <c r="BR1482" s="0" t="s">
        <v>153</v>
      </c>
      <c r="BS1482" s="0" t="s">
        <v>153</v>
      </c>
      <c r="BT1482" s="0" t="s">
        <v>153</v>
      </c>
      <c r="BV1482" s="0" t="s">
        <v>153</v>
      </c>
      <c r="BY1482" s="0" t="s">
        <v>175</v>
      </c>
      <c r="CA1482" s="0" t="s">
        <v>153</v>
      </c>
      <c r="CC1482" s="0" t="s">
        <v>175</v>
      </c>
      <c r="CG1482" s="0" t="s">
        <v>153</v>
      </c>
      <c r="CH1482" s="0" t="s">
        <v>175</v>
      </c>
      <c r="CK1482" s="0" t="s">
        <v>153</v>
      </c>
      <c r="CL1482" s="0" t="s">
        <v>175</v>
      </c>
      <c r="CN1482" s="0" t="s">
        <v>153</v>
      </c>
      <c r="CO1482" s="0" t="s">
        <v>175</v>
      </c>
      <c r="CP1482" s="0" t="s">
        <v>153</v>
      </c>
      <c r="CQ1482" s="0" t="s">
        <v>175</v>
      </c>
      <c r="CT1482" s="0" t="s">
        <v>153</v>
      </c>
      <c r="CU1482" s="0" t="s">
        <v>175</v>
      </c>
      <c r="CV1482" s="0" t="s">
        <v>153</v>
      </c>
      <c r="CW1482" s="0" t="s">
        <v>175</v>
      </c>
      <c r="CY1482" s="0" t="s">
        <v>153</v>
      </c>
      <c r="CZ1482" s="0" t="s">
        <v>175</v>
      </c>
      <c r="DC1482" s="0" t="s">
        <v>153</v>
      </c>
      <c r="DD1482" s="0" t="s">
        <v>175</v>
      </c>
      <c r="DF1482" s="0" t="s">
        <v>153</v>
      </c>
      <c r="DG1482" s="0" t="s">
        <v>175</v>
      </c>
      <c r="DI1482" s="0" t="s">
        <v>153</v>
      </c>
      <c r="DJ1482" s="0" t="s">
        <v>175</v>
      </c>
      <c r="DL1482" s="0" t="s">
        <v>153</v>
      </c>
      <c r="DM1482" s="0" t="s">
        <v>175</v>
      </c>
      <c r="DN1482" s="0" t="s">
        <v>153</v>
      </c>
      <c r="DR1482" s="0" t="s">
        <v>153</v>
      </c>
      <c r="DS1482" s="0" t="s">
        <v>175</v>
      </c>
      <c r="DT1482" s="0" t="s">
        <v>175</v>
      </c>
      <c r="DU1482" s="0" t="s">
        <v>153</v>
      </c>
      <c r="DW1482" s="0" t="s">
        <v>175</v>
      </c>
      <c r="DX1482" s="0" t="s">
        <v>153</v>
      </c>
      <c r="EA1482" s="0" t="s">
        <v>153</v>
      </c>
      <c r="ED1482" s="0" t="s">
        <v>175</v>
      </c>
      <c r="EF1482" s="0" t="s">
        <v>153</v>
      </c>
    </row>
    <row r="1483" customFormat="false" ht="13.8" hidden="true" customHeight="false" outlineLevel="0" collapsed="false">
      <c r="A1483" s="0" t="s">
        <v>6800</v>
      </c>
      <c r="B1483" s="0" t="n">
        <v>78</v>
      </c>
      <c r="C1483" s="0" t="n">
        <v>423979</v>
      </c>
      <c r="D1483" s="0" t="s">
        <v>6801</v>
      </c>
      <c r="E1483" s="0" t="s">
        <v>4191</v>
      </c>
      <c r="F1483" s="0" t="str">
        <f aca="false">CONCATENATE(D1483," ",LEFT(H1483,4),"T=",AU1483,"D=",AV1483,"R=",AW1483,"M=",AX1483,"L=",AY1483,"B=",AZ1483)</f>
        <v>MITTELSTADT T=3D=1R=0M=0L=0B=0</v>
      </c>
      <c r="G1483" s="0" t="s">
        <v>3212</v>
      </c>
      <c r="I1483" s="0" t="s">
        <v>6802</v>
      </c>
      <c r="J1483" s="0" t="s">
        <v>6803</v>
      </c>
      <c r="K1483" s="0" t="s">
        <v>143</v>
      </c>
      <c r="M1483" s="0" t="s">
        <v>6804</v>
      </c>
      <c r="N1483" s="0" t="str">
        <f aca="false">RIGHT(M1483,LEN(M1483)-FIND(" ",M1483))</f>
        <v>LOGAN AVE SE</v>
      </c>
      <c r="P1483" s="0" t="s">
        <v>145</v>
      </c>
      <c r="Q1483" s="0" t="s">
        <v>146</v>
      </c>
      <c r="R1483" s="0" t="n">
        <v>44483</v>
      </c>
      <c r="AD1483" s="0" t="s">
        <v>147</v>
      </c>
      <c r="AE1483" s="0" t="s">
        <v>148</v>
      </c>
      <c r="AF1483" s="0" t="s">
        <v>149</v>
      </c>
      <c r="AH1483" s="0" t="n">
        <v>14</v>
      </c>
      <c r="AI1483" s="0" t="n">
        <v>11</v>
      </c>
      <c r="AN1483" s="0" t="s">
        <v>145</v>
      </c>
      <c r="AO1483" s="0" t="s">
        <v>654</v>
      </c>
      <c r="AP1483" s="0" t="s">
        <v>655</v>
      </c>
      <c r="AQ1483" s="0" t="n">
        <v>9</v>
      </c>
      <c r="AR1483" s="0" t="n">
        <v>64</v>
      </c>
      <c r="AS1483" s="0" t="n">
        <v>32</v>
      </c>
      <c r="AU1483" s="0" t="n">
        <f aca="false">COUNTA($BA$1779:$EH$1779)</f>
        <v>3</v>
      </c>
      <c r="AV1483" s="0" t="n">
        <f aca="false">COUNTIF($BA$1779:$EH$1779,"D")</f>
        <v>1</v>
      </c>
      <c r="AW1483" s="0" t="n">
        <f aca="false">COUNTIF($BA$1779:$EH$1779,"R")</f>
        <v>0</v>
      </c>
      <c r="AX1483" s="0" t="n">
        <f aca="false">IF(BN1483="D",1,0)+IF(BO1483="D",1,0)+IF(BT1483="D",1,0)+IF(BU1483="D",1,0)+IF(BW1483="D",1,0)+IF(CC1483="D",1,0)+IF(CD1483="D",1,0)+IF(CE1483="D",1,0)+IF(CF1483="D",1,0)+IF(CL1483="D",1,0)+IF(CM1483="D",1,0)+IF(CQ1483="D",1,0)+IF(CR1483="D",1,0)+IF(CS1483="D",1,0)+IF(CW1483="D",1,0)+IF(CX1483="D",1,0)+IF(DD1483="D",1,0)+IF(DE1483="D",1,0)+IF(DJ1483="D",1,0)+IF(DK1483="D",1,0)+IF(DO1483="D",1,0)+IF(DP1483="D",1,0)+IF(DQ1483="D",1,0)+IF(DW1483="D",1,0)+IF(DZ1483="D",1,0)+IF(EH1483="D",1,0)</f>
        <v>0</v>
      </c>
      <c r="AY1483" s="0" t="n">
        <f aca="false">COUNTIF(DU1483:EH1483, "&lt;&gt;")</f>
        <v>0</v>
      </c>
      <c r="AZ1483" s="0" t="n">
        <f aca="false">IF(EH1483&lt;&gt;"",1,0)</f>
        <v>0</v>
      </c>
      <c r="BB1483" s="0" t="s">
        <v>152</v>
      </c>
    </row>
    <row r="1484" customFormat="false" ht="13.8" hidden="false" customHeight="false" outlineLevel="0" collapsed="false">
      <c r="A1484" s="0" t="s">
        <v>6805</v>
      </c>
      <c r="B1484" s="0" t="n">
        <v>78</v>
      </c>
      <c r="C1484" s="0" t="n">
        <v>256609</v>
      </c>
      <c r="D1484" s="0" t="s">
        <v>6806</v>
      </c>
      <c r="E1484" s="0" t="s">
        <v>3017</v>
      </c>
      <c r="F1484" s="0" t="str">
        <f aca="false">CONCATENATE(D1484," ",LEFT(H1484,4),"T=",AU1484,"D=",AV1484,"R=",AW1484,"M=",AX1484,"L=",AY1484,"B=",AZ1484)</f>
        <v>STARKEY T=10D=2R=0M=2L=4B=0</v>
      </c>
      <c r="G1484" s="0" t="s">
        <v>325</v>
      </c>
      <c r="I1484" s="0" t="s">
        <v>6807</v>
      </c>
      <c r="J1484" s="0" t="s">
        <v>4721</v>
      </c>
      <c r="K1484" s="0" t="s">
        <v>160</v>
      </c>
      <c r="M1484" s="0" t="s">
        <v>6804</v>
      </c>
      <c r="N1484" s="0" t="str">
        <f aca="false">RIGHT(M1484,LEN(M1484)-FIND(" ",M1484))</f>
        <v>LOGAN AVE SE</v>
      </c>
      <c r="P1484" s="0" t="s">
        <v>145</v>
      </c>
      <c r="Q1484" s="0" t="s">
        <v>146</v>
      </c>
      <c r="R1484" s="0" t="n">
        <v>44483</v>
      </c>
      <c r="AD1484" s="0" t="s">
        <v>147</v>
      </c>
      <c r="AE1484" s="0" t="s">
        <v>148</v>
      </c>
      <c r="AF1484" s="0" t="s">
        <v>149</v>
      </c>
      <c r="AH1484" s="0" t="n">
        <v>14</v>
      </c>
      <c r="AI1484" s="0" t="n">
        <v>11</v>
      </c>
      <c r="AN1484" s="0" t="s">
        <v>145</v>
      </c>
      <c r="AO1484" s="0" t="s">
        <v>654</v>
      </c>
      <c r="AP1484" s="0" t="s">
        <v>655</v>
      </c>
      <c r="AQ1484" s="0" t="n">
        <v>9</v>
      </c>
      <c r="AR1484" s="0" t="n">
        <v>64</v>
      </c>
      <c r="AS1484" s="0" t="n">
        <v>32</v>
      </c>
      <c r="AU1484" s="0" t="n">
        <f aca="false">COUNTA($BA$2014:$EH$2014)</f>
        <v>10</v>
      </c>
      <c r="AV1484" s="0" t="n">
        <f aca="false">COUNTIF($BA$2014:$EH$2014,"D")</f>
        <v>2</v>
      </c>
      <c r="AW1484" s="0" t="n">
        <f aca="false">COUNTIF($BA$2014:$EH$2014,"R")</f>
        <v>0</v>
      </c>
      <c r="AX1484" s="0" t="n">
        <f aca="false">IF(BN1484="D",1,0)+IF(BO1484="D",1,0)+IF(BT1484="D",1,0)+IF(BU1484="D",1,0)+IF(BW1484="D",1,0)+IF(CC1484="D",1,0)+IF(CD1484="D",1,0)+IF(CE1484="D",1,0)+IF(CF1484="D",1,0)+IF(CL1484="D",1,0)+IF(CM1484="D",1,0)+IF(CQ1484="D",1,0)+IF(CR1484="D",1,0)+IF(CS1484="D",1,0)+IF(CW1484="D",1,0)+IF(CX1484="D",1,0)+IF(DD1484="D",1,0)+IF(DE1484="D",1,0)+IF(DJ1484="D",1,0)+IF(DK1484="D",1,0)+IF(DO1484="D",1,0)+IF(DP1484="D",1,0)+IF(DQ1484="D",1,0)+IF(DW1484="D",1,0)+IF(DZ1484="D",1,0)+IF(EH1484="D",1,0)</f>
        <v>2</v>
      </c>
      <c r="AY1484" s="0" t="n">
        <f aca="false">COUNTIF(DU1484:EH1484, "&lt;&gt;")</f>
        <v>4</v>
      </c>
      <c r="AZ1484" s="0" t="n">
        <f aca="false">IF(EH1484&lt;&gt;"",1,0)</f>
        <v>0</v>
      </c>
      <c r="BB1484" s="0" t="s">
        <v>152</v>
      </c>
      <c r="BC1484" s="0" t="s">
        <v>153</v>
      </c>
      <c r="BD1484" s="0" t="s">
        <v>153</v>
      </c>
      <c r="BE1484" s="0" t="s">
        <v>153</v>
      </c>
      <c r="BH1484" s="0" t="s">
        <v>153</v>
      </c>
      <c r="BI1484" s="0" t="s">
        <v>153</v>
      </c>
      <c r="BJ1484" s="0" t="s">
        <v>153</v>
      </c>
      <c r="BK1484" s="0" t="s">
        <v>153</v>
      </c>
      <c r="BL1484" s="0" t="s">
        <v>153</v>
      </c>
      <c r="BP1484" s="0" t="s">
        <v>153</v>
      </c>
      <c r="BS1484" s="0" t="s">
        <v>153</v>
      </c>
      <c r="BV1484" s="0" t="s">
        <v>153</v>
      </c>
      <c r="BY1484" s="0" t="s">
        <v>175</v>
      </c>
      <c r="CA1484" s="0" t="s">
        <v>153</v>
      </c>
      <c r="CC1484" s="0" t="s">
        <v>175</v>
      </c>
      <c r="CG1484" s="0" t="s">
        <v>153</v>
      </c>
      <c r="CH1484" s="0" t="s">
        <v>175</v>
      </c>
      <c r="CK1484" s="0" t="s">
        <v>153</v>
      </c>
      <c r="CL1484" s="0" t="s">
        <v>175</v>
      </c>
      <c r="CN1484" s="0" t="s">
        <v>153</v>
      </c>
      <c r="CO1484" s="0" t="s">
        <v>175</v>
      </c>
      <c r="CP1484" s="0" t="s">
        <v>153</v>
      </c>
      <c r="CT1484" s="0" t="s">
        <v>153</v>
      </c>
      <c r="CU1484" s="0" t="s">
        <v>175</v>
      </c>
      <c r="CV1484" s="0" t="s">
        <v>153</v>
      </c>
      <c r="CY1484" s="0" t="s">
        <v>153</v>
      </c>
      <c r="CZ1484" s="0" t="s">
        <v>175</v>
      </c>
      <c r="DC1484" s="0" t="s">
        <v>153</v>
      </c>
      <c r="DF1484" s="0" t="s">
        <v>153</v>
      </c>
      <c r="DG1484" s="0" t="s">
        <v>175</v>
      </c>
      <c r="DI1484" s="0" t="s">
        <v>153</v>
      </c>
      <c r="DN1484" s="0" t="s">
        <v>153</v>
      </c>
      <c r="DU1484" s="0" t="s">
        <v>153</v>
      </c>
      <c r="DX1484" s="0" t="s">
        <v>153</v>
      </c>
      <c r="EA1484" s="0" t="s">
        <v>153</v>
      </c>
      <c r="EF1484" s="0" t="s">
        <v>153</v>
      </c>
    </row>
    <row r="1485" customFormat="false" ht="13.8" hidden="true" customHeight="false" outlineLevel="0" collapsed="false">
      <c r="A1485" s="0" t="s">
        <v>6808</v>
      </c>
      <c r="B1485" s="0" t="n">
        <v>78</v>
      </c>
      <c r="C1485" s="0" t="n">
        <v>424672</v>
      </c>
      <c r="D1485" s="0" t="s">
        <v>6809</v>
      </c>
      <c r="E1485" s="0" t="s">
        <v>5166</v>
      </c>
      <c r="F1485" s="0" t="str">
        <f aca="false">CONCATENATE(D1485," ",LEFT(H1485,4),"T=",AU1485,"D=",AV1485,"R=",AW1485,"M=",AX1485,"L=",AY1485,"B=",AZ1485)</f>
        <v>BEE T=3D=0R=0M=0L=0B=0</v>
      </c>
      <c r="G1485" s="0" t="s">
        <v>175</v>
      </c>
      <c r="I1485" s="0" t="s">
        <v>6810</v>
      </c>
      <c r="J1485" s="0" t="s">
        <v>386</v>
      </c>
      <c r="K1485" s="0" t="s">
        <v>160</v>
      </c>
      <c r="M1485" s="0" t="s">
        <v>6811</v>
      </c>
      <c r="N1485" s="0" t="str">
        <f aca="false">RIGHT(M1485,LEN(M1485)-FIND(" ",M1485))</f>
        <v>LOGAN AVE SE</v>
      </c>
      <c r="P1485" s="0" t="s">
        <v>145</v>
      </c>
      <c r="Q1485" s="0" t="s">
        <v>146</v>
      </c>
      <c r="R1485" s="0" t="n">
        <v>44483</v>
      </c>
      <c r="AD1485" s="0" t="s">
        <v>147</v>
      </c>
      <c r="AE1485" s="0" t="s">
        <v>148</v>
      </c>
      <c r="AF1485" s="0" t="s">
        <v>149</v>
      </c>
      <c r="AH1485" s="0" t="n">
        <v>14</v>
      </c>
      <c r="AI1485" s="0" t="n">
        <v>11</v>
      </c>
      <c r="AN1485" s="0" t="s">
        <v>145</v>
      </c>
      <c r="AO1485" s="0" t="s">
        <v>150</v>
      </c>
      <c r="AP1485" s="0" t="s">
        <v>151</v>
      </c>
      <c r="AQ1485" s="0" t="n">
        <v>9</v>
      </c>
      <c r="AR1485" s="0" t="n">
        <v>64</v>
      </c>
      <c r="AS1485" s="0" t="n">
        <v>32</v>
      </c>
      <c r="AU1485" s="0" t="n">
        <f aca="false">COUNTA($BA$334:$EH$334)</f>
        <v>3</v>
      </c>
      <c r="AV1485" s="0" t="n">
        <f aca="false">COUNTIF($BA$334:$EH$334,"D")</f>
        <v>0</v>
      </c>
      <c r="AW1485" s="0" t="n">
        <f aca="false">COUNTIF($BA$334:$EH$334,"R")</f>
        <v>0</v>
      </c>
      <c r="AX1485" s="0" t="n">
        <f aca="false">IF(BN1485="D",1,0)+IF(BO1485="D",1,0)+IF(BT1485="D",1,0)+IF(BU1485="D",1,0)+IF(BW1485="D",1,0)+IF(CC1485="D",1,0)+IF(CD1485="D",1,0)+IF(CE1485="D",1,0)+IF(CF1485="D",1,0)+IF(CL1485="D",1,0)+IF(CM1485="D",1,0)+IF(CQ1485="D",1,0)+IF(CR1485="D",1,0)+IF(CS1485="D",1,0)+IF(CW1485="D",1,0)+IF(CX1485="D",1,0)+IF(DD1485="D",1,0)+IF(DE1485="D",1,0)+IF(DJ1485="D",1,0)+IF(DK1485="D",1,0)+IF(DO1485="D",1,0)+IF(DP1485="D",1,0)+IF(DQ1485="D",1,0)+IF(DW1485="D",1,0)+IF(DZ1485="D",1,0)+IF(EH1485="D",1,0)</f>
        <v>0</v>
      </c>
      <c r="AY1485" s="0" t="n">
        <f aca="false">COUNTIF(DU1485:EH1485, "&lt;&gt;")</f>
        <v>0</v>
      </c>
      <c r="AZ1485" s="0" t="n">
        <f aca="false">IF(EH1485&lt;&gt;"",1,0)</f>
        <v>0</v>
      </c>
      <c r="BB1485" s="0" t="s">
        <v>152</v>
      </c>
      <c r="DI1485" s="0" t="s">
        <v>153</v>
      </c>
      <c r="DN1485" s="0" t="s">
        <v>153</v>
      </c>
    </row>
    <row r="1486" customFormat="false" ht="13.8" hidden="true" customHeight="false" outlineLevel="0" collapsed="false">
      <c r="A1486" s="0" t="s">
        <v>6812</v>
      </c>
      <c r="B1486" s="0" t="n">
        <v>78</v>
      </c>
      <c r="C1486" s="0" t="n">
        <v>339829</v>
      </c>
      <c r="D1486" s="0" t="s">
        <v>6809</v>
      </c>
      <c r="E1486" s="0" t="s">
        <v>6813</v>
      </c>
      <c r="F1486" s="0" t="str">
        <f aca="false">CONCATENATE(D1486," ",LEFT(H1486,4),"T=",AU1486,"D=",AV1486,"R=",AW1486,"M=",AX1486,"L=",AY1486,"B=",AZ1486)</f>
        <v>BEE T=6D=1R=0M=0L=0B=0</v>
      </c>
      <c r="G1486" s="0" t="s">
        <v>175</v>
      </c>
      <c r="I1486" s="0" t="s">
        <v>6814</v>
      </c>
      <c r="J1486" s="0" t="s">
        <v>386</v>
      </c>
      <c r="K1486" s="0" t="s">
        <v>160</v>
      </c>
      <c r="M1486" s="0" t="s">
        <v>6811</v>
      </c>
      <c r="N1486" s="0" t="str">
        <f aca="false">RIGHT(M1486,LEN(M1486)-FIND(" ",M1486))</f>
        <v>LOGAN AVE SE</v>
      </c>
      <c r="P1486" s="0" t="s">
        <v>145</v>
      </c>
      <c r="Q1486" s="0" t="s">
        <v>146</v>
      </c>
      <c r="R1486" s="0" t="n">
        <v>44483</v>
      </c>
      <c r="AD1486" s="0" t="s">
        <v>147</v>
      </c>
      <c r="AE1486" s="0" t="s">
        <v>148</v>
      </c>
      <c r="AF1486" s="0" t="s">
        <v>149</v>
      </c>
      <c r="AH1486" s="0" t="n">
        <v>14</v>
      </c>
      <c r="AI1486" s="0" t="n">
        <v>11</v>
      </c>
      <c r="AN1486" s="0" t="s">
        <v>145</v>
      </c>
      <c r="AO1486" s="0" t="s">
        <v>150</v>
      </c>
      <c r="AP1486" s="0" t="s">
        <v>151</v>
      </c>
      <c r="AQ1486" s="0" t="n">
        <v>9</v>
      </c>
      <c r="AR1486" s="0" t="n">
        <v>64</v>
      </c>
      <c r="AS1486" s="0" t="n">
        <v>32</v>
      </c>
      <c r="AU1486" s="0" t="n">
        <f aca="false">COUNTA($BA$814:$EH$814)</f>
        <v>6</v>
      </c>
      <c r="AV1486" s="0" t="n">
        <f aca="false">COUNTIF($BA$814:$EH$814,"D")</f>
        <v>1</v>
      </c>
      <c r="AW1486" s="0" t="n">
        <f aca="false">COUNTIF($BA$814:$EH$814,"R")</f>
        <v>0</v>
      </c>
      <c r="AX1486" s="0" t="n">
        <f aca="false">IF(BN1486="D",1,0)+IF(BO1486="D",1,0)+IF(BT1486="D",1,0)+IF(BU1486="D",1,0)+IF(BW1486="D",1,0)+IF(CC1486="D",1,0)+IF(CD1486="D",1,0)+IF(CE1486="D",1,0)+IF(CF1486="D",1,0)+IF(CL1486="D",1,0)+IF(CM1486="D",1,0)+IF(CQ1486="D",1,0)+IF(CR1486="D",1,0)+IF(CS1486="D",1,0)+IF(CW1486="D",1,0)+IF(CX1486="D",1,0)+IF(DD1486="D",1,0)+IF(DE1486="D",1,0)+IF(DJ1486="D",1,0)+IF(DK1486="D",1,0)+IF(DO1486="D",1,0)+IF(DP1486="D",1,0)+IF(DQ1486="D",1,0)+IF(DW1486="D",1,0)+IF(DZ1486="D",1,0)+IF(EH1486="D",1,0)</f>
        <v>0</v>
      </c>
      <c r="AY1486" s="0" t="n">
        <f aca="false">COUNTIF(DU1486:EH1486, "&lt;&gt;")</f>
        <v>0</v>
      </c>
      <c r="AZ1486" s="0" t="n">
        <f aca="false">IF(EH1486&lt;&gt;"",1,0)</f>
        <v>0</v>
      </c>
      <c r="BB1486" s="0" t="s">
        <v>152</v>
      </c>
      <c r="CA1486" s="0" t="s">
        <v>153</v>
      </c>
      <c r="CP1486" s="0" t="s">
        <v>153</v>
      </c>
      <c r="CY1486" s="0" t="s">
        <v>153</v>
      </c>
      <c r="DC1486" s="0" t="s">
        <v>153</v>
      </c>
      <c r="DI1486" s="0" t="s">
        <v>153</v>
      </c>
      <c r="DN1486" s="0" t="s">
        <v>153</v>
      </c>
    </row>
    <row r="1487" customFormat="false" ht="13.8" hidden="true" customHeight="false" outlineLevel="0" collapsed="false">
      <c r="A1487" s="0" t="s">
        <v>6815</v>
      </c>
      <c r="B1487" s="0" t="n">
        <v>78</v>
      </c>
      <c r="C1487" s="0" t="n">
        <v>443787</v>
      </c>
      <c r="D1487" s="0" t="s">
        <v>6816</v>
      </c>
      <c r="E1487" s="0" t="s">
        <v>1208</v>
      </c>
      <c r="F1487" s="0" t="str">
        <f aca="false">CONCATENATE(D1487," ",LEFT(H1487,4),"T=",AU1487,"D=",AV1487,"R=",AW1487,"M=",AX1487,"L=",AY1487,"B=",AZ1487)</f>
        <v>WILLRICH T=10D=0R=0M=0L=0B=0</v>
      </c>
      <c r="G1487" s="0" t="s">
        <v>6817</v>
      </c>
      <c r="I1487" s="0" t="s">
        <v>6818</v>
      </c>
      <c r="J1487" s="0" t="s">
        <v>6819</v>
      </c>
      <c r="K1487" s="0" t="s">
        <v>160</v>
      </c>
      <c r="M1487" s="0" t="s">
        <v>6820</v>
      </c>
      <c r="N1487" s="0" t="str">
        <f aca="false">RIGHT(M1487,LEN(M1487)-FIND(" ",M1487))</f>
        <v>LOGAN AVE SE</v>
      </c>
      <c r="P1487" s="0" t="s">
        <v>145</v>
      </c>
      <c r="Q1487" s="0" t="s">
        <v>146</v>
      </c>
      <c r="R1487" s="0" t="n">
        <v>44483</v>
      </c>
      <c r="AD1487" s="0" t="s">
        <v>147</v>
      </c>
      <c r="AE1487" s="0" t="s">
        <v>148</v>
      </c>
      <c r="AF1487" s="0" t="s">
        <v>149</v>
      </c>
      <c r="AH1487" s="0" t="n">
        <v>14</v>
      </c>
      <c r="AI1487" s="0" t="n">
        <v>11</v>
      </c>
      <c r="AN1487" s="0" t="s">
        <v>145</v>
      </c>
      <c r="AO1487" s="0" t="s">
        <v>654</v>
      </c>
      <c r="AP1487" s="0" t="s">
        <v>655</v>
      </c>
      <c r="AQ1487" s="0" t="n">
        <v>9</v>
      </c>
      <c r="AR1487" s="0" t="n">
        <v>64</v>
      </c>
      <c r="AS1487" s="0" t="n">
        <v>32</v>
      </c>
      <c r="AU1487" s="0" t="n">
        <f aca="false">COUNTA($BA$1280:$EH$1280)</f>
        <v>10</v>
      </c>
      <c r="AV1487" s="0" t="n">
        <f aca="false">COUNTIF($BA$1280:$EH$1280,"D")</f>
        <v>0</v>
      </c>
      <c r="AW1487" s="0" t="n">
        <f aca="false">COUNTIF($BA$1280:$EH$1280,"R")</f>
        <v>0</v>
      </c>
      <c r="AX1487" s="0" t="n">
        <f aca="false">IF(BN1487="D",1,0)+IF(BO1487="D",1,0)+IF(BT1487="D",1,0)+IF(BU1487="D",1,0)+IF(BW1487="D",1,0)+IF(CC1487="D",1,0)+IF(CD1487="D",1,0)+IF(CE1487="D",1,0)+IF(CF1487="D",1,0)+IF(CL1487="D",1,0)+IF(CM1487="D",1,0)+IF(CQ1487="D",1,0)+IF(CR1487="D",1,0)+IF(CS1487="D",1,0)+IF(CW1487="D",1,0)+IF(CX1487="D",1,0)+IF(DD1487="D",1,0)+IF(DE1487="D",1,0)+IF(DJ1487="D",1,0)+IF(DK1487="D",1,0)+IF(DO1487="D",1,0)+IF(DP1487="D",1,0)+IF(DQ1487="D",1,0)+IF(DW1487="D",1,0)+IF(DZ1487="D",1,0)+IF(EH1487="D",1,0)</f>
        <v>0</v>
      </c>
      <c r="AY1487" s="0" t="n">
        <f aca="false">COUNTIF(DU1487:EH1487, "&lt;&gt;")</f>
        <v>0</v>
      </c>
      <c r="AZ1487" s="0" t="n">
        <f aca="false">IF(EH1487&lt;&gt;"",1,0)</f>
        <v>0</v>
      </c>
      <c r="BB1487" s="0" t="s">
        <v>152</v>
      </c>
      <c r="DN1487" s="0" t="s">
        <v>153</v>
      </c>
    </row>
    <row r="1488" customFormat="false" ht="13.8" hidden="true" customHeight="false" outlineLevel="0" collapsed="false">
      <c r="A1488" s="0" t="s">
        <v>6821</v>
      </c>
      <c r="B1488" s="0" t="n">
        <v>78</v>
      </c>
      <c r="C1488" s="0" t="n">
        <v>325851</v>
      </c>
      <c r="D1488" s="0" t="s">
        <v>6822</v>
      </c>
      <c r="E1488" s="0" t="s">
        <v>379</v>
      </c>
      <c r="F1488" s="0" t="str">
        <f aca="false">CONCATENATE(D1488," ",LEFT(H1488,4),"T=",AU1488,"D=",AV1488,"R=",AW1488,"M=",AX1488,"L=",AY1488,"B=",AZ1488)</f>
        <v>ADOVASIO T=25D=3R=3M=1L=0B=0</v>
      </c>
      <c r="G1488" s="0" t="s">
        <v>171</v>
      </c>
      <c r="I1488" s="0" t="s">
        <v>6823</v>
      </c>
      <c r="J1488" s="0" t="s">
        <v>6824</v>
      </c>
      <c r="K1488" s="0" t="s">
        <v>160</v>
      </c>
      <c r="M1488" s="0" t="s">
        <v>6820</v>
      </c>
      <c r="N1488" s="0" t="str">
        <f aca="false">RIGHT(M1488,LEN(M1488)-FIND(" ",M1488))</f>
        <v>LOGAN AVE SE</v>
      </c>
      <c r="P1488" s="0" t="s">
        <v>145</v>
      </c>
      <c r="Q1488" s="0" t="s">
        <v>146</v>
      </c>
      <c r="R1488" s="0" t="n">
        <v>44483</v>
      </c>
      <c r="AD1488" s="0" t="s">
        <v>147</v>
      </c>
      <c r="AE1488" s="0" t="s">
        <v>148</v>
      </c>
      <c r="AF1488" s="0" t="s">
        <v>149</v>
      </c>
      <c r="AH1488" s="0" t="n">
        <v>14</v>
      </c>
      <c r="AI1488" s="0" t="n">
        <v>11</v>
      </c>
      <c r="AN1488" s="0" t="s">
        <v>145</v>
      </c>
      <c r="AO1488" s="0" t="s">
        <v>654</v>
      </c>
      <c r="AP1488" s="0" t="s">
        <v>655</v>
      </c>
      <c r="AQ1488" s="0" t="n">
        <v>9</v>
      </c>
      <c r="AR1488" s="0" t="n">
        <v>64</v>
      </c>
      <c r="AS1488" s="0" t="n">
        <v>32</v>
      </c>
      <c r="AU1488" s="0" t="n">
        <f aca="false">COUNTA($BA$1530:$EH$1530)</f>
        <v>25</v>
      </c>
      <c r="AV1488" s="0" t="n">
        <f aca="false">COUNTIF($BA$1530:$EH$1530,"D")</f>
        <v>3</v>
      </c>
      <c r="AW1488" s="0" t="n">
        <f aca="false">COUNTIF($BA$1530:$EH$1530,"R")</f>
        <v>3</v>
      </c>
      <c r="AX1488" s="0" t="n">
        <f aca="false">IF(BN1488="D",1,0)+IF(BO1488="D",1,0)+IF(BT1488="D",1,0)+IF(BU1488="D",1,0)+IF(BW1488="D",1,0)+IF(CC1488="D",1,0)+IF(CD1488="D",1,0)+IF(CE1488="D",1,0)+IF(CF1488="D",1,0)+IF(CL1488="D",1,0)+IF(CM1488="D",1,0)+IF(CQ1488="D",1,0)+IF(CR1488="D",1,0)+IF(CS1488="D",1,0)+IF(CW1488="D",1,0)+IF(CX1488="D",1,0)+IF(DD1488="D",1,0)+IF(DE1488="D",1,0)+IF(DJ1488="D",1,0)+IF(DK1488="D",1,0)+IF(DO1488="D",1,0)+IF(DP1488="D",1,0)+IF(DQ1488="D",1,0)+IF(DW1488="D",1,0)+IF(DZ1488="D",1,0)+IF(EH1488="D",1,0)</f>
        <v>1</v>
      </c>
      <c r="AY1488" s="0" t="n">
        <f aca="false">COUNTIF(DU1488:EH1488, "&lt;&gt;")</f>
        <v>0</v>
      </c>
      <c r="AZ1488" s="0" t="n">
        <f aca="false">IF(EH1488&lt;&gt;"",1,0)</f>
        <v>0</v>
      </c>
      <c r="BB1488" s="0" t="s">
        <v>152</v>
      </c>
      <c r="BL1488" s="0" t="s">
        <v>153</v>
      </c>
      <c r="CK1488" s="0" t="s">
        <v>153</v>
      </c>
      <c r="CL1488" s="0" t="s">
        <v>175</v>
      </c>
      <c r="CN1488" s="0" t="s">
        <v>153</v>
      </c>
      <c r="CZ1488" s="0" t="s">
        <v>175</v>
      </c>
      <c r="DC1488" s="0" t="s">
        <v>153</v>
      </c>
    </row>
    <row r="1489" customFormat="false" ht="13.8" hidden="true" customHeight="false" outlineLevel="0" collapsed="false">
      <c r="A1489" s="0" t="s">
        <v>6825</v>
      </c>
      <c r="B1489" s="0" t="n">
        <v>78</v>
      </c>
      <c r="C1489" s="0" t="n">
        <v>322244</v>
      </c>
      <c r="D1489" s="0" t="s">
        <v>6826</v>
      </c>
      <c r="E1489" s="0" t="s">
        <v>6827</v>
      </c>
      <c r="F1489" s="0" t="str">
        <f aca="false">CONCATENATE(D1489," ",LEFT(H1489,4),"T=",AU1489,"D=",AV1489,"R=",AW1489,"M=",AX1489,"L=",AY1489,"B=",AZ1489)</f>
        <v>DIXON JRT=18D=0R=0M=0L=0B=0</v>
      </c>
      <c r="G1489" s="0" t="s">
        <v>209</v>
      </c>
      <c r="H1489" s="0" t="s">
        <v>314</v>
      </c>
      <c r="I1489" s="0" t="s">
        <v>6828</v>
      </c>
      <c r="J1489" s="0" t="s">
        <v>1038</v>
      </c>
      <c r="K1489" s="0" t="s">
        <v>143</v>
      </c>
      <c r="M1489" s="0" t="s">
        <v>6820</v>
      </c>
      <c r="N1489" s="0" t="str">
        <f aca="false">RIGHT(M1489,LEN(M1489)-FIND(" ",M1489))</f>
        <v>LOGAN AVE SE</v>
      </c>
      <c r="P1489" s="0" t="s">
        <v>145</v>
      </c>
      <c r="Q1489" s="0" t="s">
        <v>146</v>
      </c>
      <c r="R1489" s="0" t="n">
        <v>44483</v>
      </c>
      <c r="AD1489" s="0" t="s">
        <v>147</v>
      </c>
      <c r="AE1489" s="0" t="s">
        <v>148</v>
      </c>
      <c r="AF1489" s="0" t="s">
        <v>149</v>
      </c>
      <c r="AH1489" s="0" t="n">
        <v>14</v>
      </c>
      <c r="AI1489" s="0" t="n">
        <v>11</v>
      </c>
      <c r="AN1489" s="0" t="s">
        <v>145</v>
      </c>
      <c r="AO1489" s="0" t="s">
        <v>654</v>
      </c>
      <c r="AP1489" s="0" t="s">
        <v>655</v>
      </c>
      <c r="AQ1489" s="0" t="n">
        <v>9</v>
      </c>
      <c r="AR1489" s="0" t="n">
        <v>64</v>
      </c>
      <c r="AS1489" s="0" t="n">
        <v>32</v>
      </c>
      <c r="AU1489" s="0" t="n">
        <f aca="false">COUNTA($BA$1744:$EH$1744)</f>
        <v>18</v>
      </c>
      <c r="AV1489" s="0" t="n">
        <f aca="false">COUNTIF($BA$1744:$EH$1744,"D")</f>
        <v>0</v>
      </c>
      <c r="AW1489" s="0" t="n">
        <f aca="false">COUNTIF($BA$1744:$EH$1744,"R")</f>
        <v>0</v>
      </c>
      <c r="AX1489" s="0" t="n">
        <f aca="false">IF(BN1489="D",1,0)+IF(BO1489="D",1,0)+IF(BT1489="D",1,0)+IF(BU1489="D",1,0)+IF(BW1489="D",1,0)+IF(CC1489="D",1,0)+IF(CD1489="D",1,0)+IF(CE1489="D",1,0)+IF(CF1489="D",1,0)+IF(CL1489="D",1,0)+IF(CM1489="D",1,0)+IF(CQ1489="D",1,0)+IF(CR1489="D",1,0)+IF(CS1489="D",1,0)+IF(CW1489="D",1,0)+IF(CX1489="D",1,0)+IF(DD1489="D",1,0)+IF(DE1489="D",1,0)+IF(DJ1489="D",1,0)+IF(DK1489="D",1,0)+IF(DO1489="D",1,0)+IF(DP1489="D",1,0)+IF(DQ1489="D",1,0)+IF(DW1489="D",1,0)+IF(DZ1489="D",1,0)+IF(EH1489="D",1,0)</f>
        <v>0</v>
      </c>
      <c r="AY1489" s="0" t="n">
        <f aca="false">COUNTIF(DU1489:EH1489, "&lt;&gt;")</f>
        <v>0</v>
      </c>
      <c r="AZ1489" s="0" t="n">
        <f aca="false">IF(EH1489&lt;&gt;"",1,0)</f>
        <v>0</v>
      </c>
      <c r="BB1489" s="0" t="s">
        <v>152</v>
      </c>
      <c r="BL1489" s="0" t="s">
        <v>153</v>
      </c>
      <c r="BY1489" s="0" t="s">
        <v>175</v>
      </c>
    </row>
    <row r="1490" customFormat="false" ht="13.8" hidden="true" customHeight="false" outlineLevel="0" collapsed="false">
      <c r="A1490" s="0" t="s">
        <v>6829</v>
      </c>
      <c r="B1490" s="0" t="n">
        <v>78</v>
      </c>
      <c r="C1490" s="0" t="n">
        <v>441539</v>
      </c>
      <c r="D1490" s="0" t="s">
        <v>6830</v>
      </c>
      <c r="E1490" s="0" t="s">
        <v>6831</v>
      </c>
      <c r="F1490" s="0" t="str">
        <f aca="false">CONCATENATE(D1490," ",LEFT(H1490,4),"T=",AU1490,"D=",AV1490,"R=",AW1490,"M=",AX1490,"L=",AY1490,"B=",AZ1490)</f>
        <v>TAYALA T=4D=1R=0M=0L=0B=0</v>
      </c>
      <c r="I1490" s="0" t="s">
        <v>6832</v>
      </c>
      <c r="J1490" s="0" t="s">
        <v>386</v>
      </c>
      <c r="K1490" s="0" t="s">
        <v>160</v>
      </c>
      <c r="M1490" s="0" t="s">
        <v>6833</v>
      </c>
      <c r="N1490" s="0" t="str">
        <f aca="false">RIGHT(M1490,LEN(M1490)-FIND(" ",M1490))</f>
        <v>LOGAN AVE SE</v>
      </c>
      <c r="P1490" s="0" t="s">
        <v>145</v>
      </c>
      <c r="Q1490" s="0" t="s">
        <v>146</v>
      </c>
      <c r="R1490" s="0" t="n">
        <v>44483</v>
      </c>
      <c r="AD1490" s="0" t="s">
        <v>147</v>
      </c>
      <c r="AE1490" s="0" t="s">
        <v>148</v>
      </c>
      <c r="AF1490" s="0" t="s">
        <v>149</v>
      </c>
      <c r="AH1490" s="0" t="n">
        <v>14</v>
      </c>
      <c r="AI1490" s="0" t="n">
        <v>11</v>
      </c>
      <c r="AN1490" s="0" t="s">
        <v>145</v>
      </c>
      <c r="AO1490" s="0" t="s">
        <v>150</v>
      </c>
      <c r="AP1490" s="0" t="s">
        <v>151</v>
      </c>
      <c r="AQ1490" s="0" t="n">
        <v>9</v>
      </c>
      <c r="AR1490" s="0" t="n">
        <v>64</v>
      </c>
      <c r="AS1490" s="0" t="n">
        <v>32</v>
      </c>
      <c r="AU1490" s="0" t="n">
        <f aca="false">COUNTA($BA$1066:$EH$1066)</f>
        <v>4</v>
      </c>
      <c r="AV1490" s="0" t="n">
        <f aca="false">COUNTIF($BA$1066:$EH$1066,"D")</f>
        <v>1</v>
      </c>
      <c r="AW1490" s="0" t="n">
        <f aca="false">COUNTIF($BA$1066:$EH$1066,"R")</f>
        <v>0</v>
      </c>
      <c r="AX1490" s="0" t="n">
        <f aca="false">IF(BN1490="D",1,0)+IF(BO1490="D",1,0)+IF(BT1490="D",1,0)+IF(BU1490="D",1,0)+IF(BW1490="D",1,0)+IF(CC1490="D",1,0)+IF(CD1490="D",1,0)+IF(CE1490="D",1,0)+IF(CF1490="D",1,0)+IF(CL1490="D",1,0)+IF(CM1490="D",1,0)+IF(CQ1490="D",1,0)+IF(CR1490="D",1,0)+IF(CS1490="D",1,0)+IF(CW1490="D",1,0)+IF(CX1490="D",1,0)+IF(DD1490="D",1,0)+IF(DE1490="D",1,0)+IF(DJ1490="D",1,0)+IF(DK1490="D",1,0)+IF(DO1490="D",1,0)+IF(DP1490="D",1,0)+IF(DQ1490="D",1,0)+IF(DW1490="D",1,0)+IF(DZ1490="D",1,0)+IF(EH1490="D",1,0)</f>
        <v>0</v>
      </c>
      <c r="AY1490" s="0" t="n">
        <f aca="false">COUNTIF(DU1490:EH1490, "&lt;&gt;")</f>
        <v>0</v>
      </c>
      <c r="AZ1490" s="0" t="n">
        <f aca="false">IF(EH1490&lt;&gt;"",1,0)</f>
        <v>0</v>
      </c>
      <c r="BB1490" s="0" t="s">
        <v>152</v>
      </c>
      <c r="CP1490" s="0" t="s">
        <v>153</v>
      </c>
    </row>
    <row r="1491" customFormat="false" ht="13.8" hidden="true" customHeight="false" outlineLevel="0" collapsed="false">
      <c r="A1491" s="0" t="s">
        <v>6834</v>
      </c>
      <c r="B1491" s="0" t="n">
        <v>78</v>
      </c>
      <c r="C1491" s="0" t="n">
        <v>420637</v>
      </c>
      <c r="D1491" s="0" t="s">
        <v>6835</v>
      </c>
      <c r="E1491" s="0" t="s">
        <v>237</v>
      </c>
      <c r="F1491" s="0" t="str">
        <f aca="false">CONCATENATE(D1491," ",LEFT(H1491,4),"T=",AU1491,"D=",AV1491,"R=",AW1491,"M=",AX1491,"L=",AY1491,"B=",AZ1491)</f>
        <v>HERNANDEZ T=32D=2R=5M=0L=0B=0</v>
      </c>
      <c r="G1491" s="0" t="s">
        <v>517</v>
      </c>
      <c r="I1491" s="0" t="s">
        <v>6836</v>
      </c>
      <c r="J1491" s="0" t="s">
        <v>6837</v>
      </c>
      <c r="K1491" s="0" t="s">
        <v>160</v>
      </c>
      <c r="M1491" s="0" t="s">
        <v>6838</v>
      </c>
      <c r="N1491" s="0" t="str">
        <f aca="false">RIGHT(M1491,LEN(M1491)-FIND(" ",M1491))</f>
        <v>LOGAN AVE SE</v>
      </c>
      <c r="P1491" s="0" t="s">
        <v>145</v>
      </c>
      <c r="Q1491" s="0" t="s">
        <v>146</v>
      </c>
      <c r="R1491" s="0" t="n">
        <v>44483</v>
      </c>
      <c r="AD1491" s="0" t="s">
        <v>147</v>
      </c>
      <c r="AE1491" s="0" t="s">
        <v>148</v>
      </c>
      <c r="AF1491" s="0" t="s">
        <v>149</v>
      </c>
      <c r="AH1491" s="0" t="n">
        <v>14</v>
      </c>
      <c r="AI1491" s="0" t="n">
        <v>11</v>
      </c>
      <c r="AN1491" s="0" t="s">
        <v>145</v>
      </c>
      <c r="AO1491" s="0" t="s">
        <v>150</v>
      </c>
      <c r="AP1491" s="0" t="s">
        <v>151</v>
      </c>
      <c r="AQ1491" s="0" t="n">
        <v>9</v>
      </c>
      <c r="AR1491" s="0" t="n">
        <v>64</v>
      </c>
      <c r="AS1491" s="0" t="n">
        <v>32</v>
      </c>
      <c r="AU1491" s="0" t="n">
        <f aca="false">COUNTA($BA$892:$EH$892)</f>
        <v>32</v>
      </c>
      <c r="AV1491" s="0" t="n">
        <f aca="false">COUNTIF($BA$892:$EH$892,"D")</f>
        <v>2</v>
      </c>
      <c r="AW1491" s="0" t="n">
        <f aca="false">COUNTIF($BA$892:$EH$892,"R")</f>
        <v>5</v>
      </c>
      <c r="AX1491" s="0" t="n">
        <f aca="false">IF(BN1491="D",1,0)+IF(BO1491="D",1,0)+IF(BT1491="D",1,0)+IF(BU1491="D",1,0)+IF(BW1491="D",1,0)+IF(CC1491="D",1,0)+IF(CD1491="D",1,0)+IF(CE1491="D",1,0)+IF(CF1491="D",1,0)+IF(CL1491="D",1,0)+IF(CM1491="D",1,0)+IF(CQ1491="D",1,0)+IF(CR1491="D",1,0)+IF(CS1491="D",1,0)+IF(CW1491="D",1,0)+IF(CX1491="D",1,0)+IF(DD1491="D",1,0)+IF(DE1491="D",1,0)+IF(DJ1491="D",1,0)+IF(DK1491="D",1,0)+IF(DO1491="D",1,0)+IF(DP1491="D",1,0)+IF(DQ1491="D",1,0)+IF(DW1491="D",1,0)+IF(DZ1491="D",1,0)+IF(EH1491="D",1,0)</f>
        <v>0</v>
      </c>
      <c r="AY1491" s="0" t="n">
        <f aca="false">COUNTIF(DU1491:EH1491, "&lt;&gt;")</f>
        <v>0</v>
      </c>
      <c r="AZ1491" s="0" t="n">
        <f aca="false">IF(EH1491&lt;&gt;"",1,0)</f>
        <v>0</v>
      </c>
      <c r="BB1491" s="0" t="s">
        <v>152</v>
      </c>
    </row>
    <row r="1492" customFormat="false" ht="13.8" hidden="true" customHeight="false" outlineLevel="0" collapsed="false">
      <c r="A1492" s="0" t="s">
        <v>6839</v>
      </c>
      <c r="B1492" s="0" t="n">
        <v>78</v>
      </c>
      <c r="C1492" s="0" t="n">
        <v>439320</v>
      </c>
      <c r="D1492" s="0" t="s">
        <v>457</v>
      </c>
      <c r="E1492" s="0" t="s">
        <v>6840</v>
      </c>
      <c r="F1492" s="0" t="str">
        <f aca="false">CONCATENATE(D1492," ",LEFT(H1492,4),"T=",AU1492,"D=",AV1492,"R=",AW1492,"M=",AX1492,"L=",AY1492,"B=",AZ1492)</f>
        <v>WRIGHT T=3D=0R=0M=0L=0B=0</v>
      </c>
      <c r="G1492" s="0" t="s">
        <v>255</v>
      </c>
      <c r="I1492" s="0" t="s">
        <v>6841</v>
      </c>
      <c r="J1492" s="0" t="s">
        <v>6842</v>
      </c>
      <c r="K1492" s="0" t="s">
        <v>160</v>
      </c>
      <c r="M1492" s="0" t="s">
        <v>6843</v>
      </c>
      <c r="N1492" s="0" t="str">
        <f aca="false">RIGHT(M1492,LEN(M1492)-FIND(" ",M1492))</f>
        <v>LOWELL AVE NE</v>
      </c>
      <c r="P1492" s="0" t="s">
        <v>145</v>
      </c>
      <c r="Q1492" s="0" t="s">
        <v>146</v>
      </c>
      <c r="R1492" s="0" t="n">
        <v>44483</v>
      </c>
      <c r="AD1492" s="0" t="s">
        <v>147</v>
      </c>
      <c r="AE1492" s="0" t="s">
        <v>148</v>
      </c>
      <c r="AF1492" s="0" t="s">
        <v>149</v>
      </c>
      <c r="AH1492" s="0" t="n">
        <v>14</v>
      </c>
      <c r="AI1492" s="0" t="n">
        <v>11</v>
      </c>
      <c r="AN1492" s="0" t="s">
        <v>145</v>
      </c>
      <c r="AO1492" s="0" t="s">
        <v>654</v>
      </c>
      <c r="AP1492" s="0" t="s">
        <v>655</v>
      </c>
      <c r="AQ1492" s="0" t="n">
        <v>9</v>
      </c>
      <c r="AR1492" s="0" t="n">
        <v>64</v>
      </c>
      <c r="AS1492" s="0" t="n">
        <v>32</v>
      </c>
      <c r="AU1492" s="0" t="n">
        <f aca="false">COUNTA($BA$2077:$EH$2077)</f>
        <v>3</v>
      </c>
      <c r="AV1492" s="0" t="n">
        <f aca="false">COUNTIF($BA$2077:$EH$2077,"D")</f>
        <v>0</v>
      </c>
      <c r="AW1492" s="0" t="n">
        <f aca="false">COUNTIF($BA$2077:$EH$2077,"R")</f>
        <v>0</v>
      </c>
      <c r="AX1492" s="0" t="n">
        <f aca="false">IF(BN1492="D",1,0)+IF(BO1492="D",1,0)+IF(BT1492="D",1,0)+IF(BU1492="D",1,0)+IF(BW1492="D",1,0)+IF(CC1492="D",1,0)+IF(CD1492="D",1,0)+IF(CE1492="D",1,0)+IF(CF1492="D",1,0)+IF(CL1492="D",1,0)+IF(CM1492="D",1,0)+IF(CQ1492="D",1,0)+IF(CR1492="D",1,0)+IF(CS1492="D",1,0)+IF(CW1492="D",1,0)+IF(CX1492="D",1,0)+IF(DD1492="D",1,0)+IF(DE1492="D",1,0)+IF(DJ1492="D",1,0)+IF(DK1492="D",1,0)+IF(DO1492="D",1,0)+IF(DP1492="D",1,0)+IF(DQ1492="D",1,0)+IF(DW1492="D",1,0)+IF(DZ1492="D",1,0)+IF(EH1492="D",1,0)</f>
        <v>0</v>
      </c>
      <c r="AY1492" s="0" t="n">
        <f aca="false">COUNTIF(DU1492:EH1492, "&lt;&gt;")</f>
        <v>0</v>
      </c>
      <c r="AZ1492" s="0" t="n">
        <f aca="false">IF(EH1492&lt;&gt;"",1,0)</f>
        <v>0</v>
      </c>
      <c r="BB1492" s="0" t="s">
        <v>152</v>
      </c>
      <c r="DN1492" s="0" t="s">
        <v>153</v>
      </c>
    </row>
    <row r="1493" customFormat="false" ht="13.8" hidden="false" customHeight="false" outlineLevel="0" collapsed="false">
      <c r="A1493" s="0" t="s">
        <v>6844</v>
      </c>
      <c r="B1493" s="0" t="n">
        <v>78</v>
      </c>
      <c r="C1493" s="0" t="n">
        <v>268377</v>
      </c>
      <c r="D1493" s="0" t="s">
        <v>895</v>
      </c>
      <c r="E1493" s="0" t="s">
        <v>275</v>
      </c>
      <c r="F1493" s="0" t="str">
        <f aca="false">CONCATENATE(D1493," ",LEFT(H1493,4),"T=",AU1493,"D=",AV1493,"R=",AW1493,"M=",AX1493,"L=",AY1493,"B=",AZ1493)</f>
        <v>NICHOLAS T=3D=0R=0M=0L=2B=0</v>
      </c>
      <c r="G1493" s="0" t="s">
        <v>164</v>
      </c>
      <c r="I1493" s="0" t="s">
        <v>6845</v>
      </c>
      <c r="J1493" s="0" t="s">
        <v>6846</v>
      </c>
      <c r="K1493" s="0" t="s">
        <v>160</v>
      </c>
      <c r="M1493" s="0" t="s">
        <v>6847</v>
      </c>
      <c r="N1493" s="0" t="str">
        <f aca="false">RIGHT(M1493,LEN(M1493)-FIND(" ",M1493))</f>
        <v>LOWELL AVE NE</v>
      </c>
      <c r="P1493" s="0" t="s">
        <v>145</v>
      </c>
      <c r="Q1493" s="0" t="s">
        <v>146</v>
      </c>
      <c r="R1493" s="0" t="n">
        <v>44483</v>
      </c>
      <c r="AD1493" s="0" t="s">
        <v>147</v>
      </c>
      <c r="AE1493" s="0" t="s">
        <v>148</v>
      </c>
      <c r="AF1493" s="0" t="s">
        <v>149</v>
      </c>
      <c r="AH1493" s="0" t="n">
        <v>14</v>
      </c>
      <c r="AI1493" s="0" t="n">
        <v>11</v>
      </c>
      <c r="AN1493" s="0" t="s">
        <v>145</v>
      </c>
      <c r="AO1493" s="0" t="s">
        <v>654</v>
      </c>
      <c r="AP1493" s="0" t="s">
        <v>655</v>
      </c>
      <c r="AQ1493" s="0" t="n">
        <v>9</v>
      </c>
      <c r="AR1493" s="0" t="n">
        <v>64</v>
      </c>
      <c r="AS1493" s="0" t="n">
        <v>32</v>
      </c>
      <c r="AU1493" s="0" t="n">
        <f aca="false">COUNTA($BA$1614:$EH$1614)</f>
        <v>3</v>
      </c>
      <c r="AV1493" s="0" t="n">
        <f aca="false">COUNTIF($BA$1614:$EH$1614,"D")</f>
        <v>0</v>
      </c>
      <c r="AW1493" s="0" t="n">
        <f aca="false">COUNTIF($BA$1614:$EH$1614,"R")</f>
        <v>0</v>
      </c>
      <c r="AX1493" s="0" t="n">
        <f aca="false">IF(BN1493="D",1,0)+IF(BO1493="D",1,0)+IF(BT1493="D",1,0)+IF(BU1493="D",1,0)+IF(BW1493="D",1,0)+IF(CC1493="D",1,0)+IF(CD1493="D",1,0)+IF(CE1493="D",1,0)+IF(CF1493="D",1,0)+IF(CL1493="D",1,0)+IF(CM1493="D",1,0)+IF(CQ1493="D",1,0)+IF(CR1493="D",1,0)+IF(CS1493="D",1,0)+IF(CW1493="D",1,0)+IF(CX1493="D",1,0)+IF(DD1493="D",1,0)+IF(DE1493="D",1,0)+IF(DJ1493="D",1,0)+IF(DK1493="D",1,0)+IF(DO1493="D",1,0)+IF(DP1493="D",1,0)+IF(DQ1493="D",1,0)+IF(DW1493="D",1,0)+IF(DZ1493="D",1,0)+IF(EH1493="D",1,0)</f>
        <v>0</v>
      </c>
      <c r="AY1493" s="0" t="n">
        <f aca="false">COUNTIF(DU1493:EH1493, "&lt;&gt;")</f>
        <v>2</v>
      </c>
      <c r="AZ1493" s="0" t="n">
        <f aca="false">IF(EH1493&lt;&gt;"",1,0)</f>
        <v>0</v>
      </c>
      <c r="BB1493" s="0" t="s">
        <v>152</v>
      </c>
      <c r="CK1493" s="0" t="s">
        <v>153</v>
      </c>
      <c r="CP1493" s="0" t="s">
        <v>153</v>
      </c>
      <c r="DC1493" s="0" t="s">
        <v>153</v>
      </c>
      <c r="DI1493" s="0" t="s">
        <v>153</v>
      </c>
      <c r="DN1493" s="0" t="s">
        <v>153</v>
      </c>
      <c r="DU1493" s="0" t="s">
        <v>153</v>
      </c>
      <c r="EF1493" s="0" t="s">
        <v>153</v>
      </c>
    </row>
    <row r="1494" customFormat="false" ht="13.8" hidden="true" customHeight="false" outlineLevel="0" collapsed="false">
      <c r="A1494" s="0" t="s">
        <v>6848</v>
      </c>
      <c r="B1494" s="0" t="n">
        <v>78</v>
      </c>
      <c r="C1494" s="0" t="n">
        <v>343991</v>
      </c>
      <c r="D1494" s="0" t="s">
        <v>6849</v>
      </c>
      <c r="E1494" s="0" t="s">
        <v>267</v>
      </c>
      <c r="F1494" s="0" t="str">
        <f aca="false">CONCATENATE(D1494," ",LEFT(H1494,4),"T=",AU1494,"D=",AV1494,"R=",AW1494,"M=",AX1494,"L=",AY1494,"B=",AZ1494)</f>
        <v>FOOS MERWIN T=24D=2R=0M=0L=0B=0</v>
      </c>
      <c r="I1494" s="0" t="s">
        <v>6850</v>
      </c>
      <c r="J1494" s="0" t="s">
        <v>6851</v>
      </c>
      <c r="K1494" s="0" t="s">
        <v>160</v>
      </c>
      <c r="M1494" s="0" t="s">
        <v>6852</v>
      </c>
      <c r="N1494" s="0" t="str">
        <f aca="false">RIGHT(M1494,LEN(M1494)-FIND(" ",M1494))</f>
        <v>LOWELL AVE NE</v>
      </c>
      <c r="P1494" s="0" t="s">
        <v>145</v>
      </c>
      <c r="Q1494" s="0" t="s">
        <v>146</v>
      </c>
      <c r="R1494" s="0" t="n">
        <v>44483</v>
      </c>
      <c r="AD1494" s="0" t="s">
        <v>147</v>
      </c>
      <c r="AE1494" s="0" t="s">
        <v>148</v>
      </c>
      <c r="AF1494" s="0" t="s">
        <v>149</v>
      </c>
      <c r="AH1494" s="0" t="n">
        <v>14</v>
      </c>
      <c r="AI1494" s="0" t="n">
        <v>11</v>
      </c>
      <c r="AN1494" s="0" t="s">
        <v>145</v>
      </c>
      <c r="AO1494" s="0" t="s">
        <v>654</v>
      </c>
      <c r="AP1494" s="0" t="s">
        <v>655</v>
      </c>
      <c r="AQ1494" s="0" t="n">
        <v>9</v>
      </c>
      <c r="AR1494" s="0" t="n">
        <v>64</v>
      </c>
      <c r="AS1494" s="0" t="n">
        <v>32</v>
      </c>
      <c r="AU1494" s="0" t="n">
        <f aca="false">COUNTA($BA$1877:$EH$1877)</f>
        <v>24</v>
      </c>
      <c r="AV1494" s="0" t="n">
        <f aca="false">COUNTIF($BA$1877:$EH$1877,"D")</f>
        <v>2</v>
      </c>
      <c r="AW1494" s="0" t="n">
        <f aca="false">COUNTIF($BA$1877:$EH$1877,"R")</f>
        <v>0</v>
      </c>
      <c r="AX1494" s="0" t="n">
        <f aca="false">IF(BN1494="D",1,0)+IF(BO1494="D",1,0)+IF(BT1494="D",1,0)+IF(BU1494="D",1,0)+IF(BW1494="D",1,0)+IF(CC1494="D",1,0)+IF(CD1494="D",1,0)+IF(CE1494="D",1,0)+IF(CF1494="D",1,0)+IF(CL1494="D",1,0)+IF(CM1494="D",1,0)+IF(CQ1494="D",1,0)+IF(CR1494="D",1,0)+IF(CS1494="D",1,0)+IF(CW1494="D",1,0)+IF(CX1494="D",1,0)+IF(DD1494="D",1,0)+IF(DE1494="D",1,0)+IF(DJ1494="D",1,0)+IF(DK1494="D",1,0)+IF(DO1494="D",1,0)+IF(DP1494="D",1,0)+IF(DQ1494="D",1,0)+IF(DW1494="D",1,0)+IF(DZ1494="D",1,0)+IF(EH1494="D",1,0)</f>
        <v>0</v>
      </c>
      <c r="AY1494" s="0" t="n">
        <f aca="false">COUNTIF(DU1494:EH1494, "&lt;&gt;")</f>
        <v>0</v>
      </c>
      <c r="AZ1494" s="0" t="n">
        <f aca="false">IF(EH1494&lt;&gt;"",1,0)</f>
        <v>0</v>
      </c>
      <c r="BB1494" s="0" t="s">
        <v>152</v>
      </c>
    </row>
    <row r="1495" customFormat="false" ht="13.8" hidden="true" customHeight="false" outlineLevel="0" collapsed="false">
      <c r="A1495" s="0" t="s">
        <v>6853</v>
      </c>
      <c r="B1495" s="0" t="n">
        <v>78</v>
      </c>
      <c r="C1495" s="0" t="n">
        <v>487233</v>
      </c>
      <c r="D1495" s="0" t="s">
        <v>6854</v>
      </c>
      <c r="E1495" s="0" t="s">
        <v>6855</v>
      </c>
      <c r="F1495" s="0" t="str">
        <f aca="false">CONCATENATE(D1495," ",LEFT(H1495,4),"T=",AU1495,"D=",AV1495,"R=",AW1495,"M=",AX1495,"L=",AY1495,"B=",AZ1495)</f>
        <v>VAUGHT T=1D=0R=0M=0L=1B=0</v>
      </c>
      <c r="G1495" s="0" t="s">
        <v>325</v>
      </c>
      <c r="I1495" s="0" t="s">
        <v>6856</v>
      </c>
      <c r="J1495" s="0" t="s">
        <v>782</v>
      </c>
      <c r="K1495" s="0" t="s">
        <v>160</v>
      </c>
      <c r="M1495" s="0" t="s">
        <v>6857</v>
      </c>
      <c r="N1495" s="0" t="str">
        <f aca="false">RIGHT(M1495,LEN(M1495)-FIND(" ",M1495))</f>
        <v>LOWELL AVE NE</v>
      </c>
      <c r="P1495" s="0" t="s">
        <v>145</v>
      </c>
      <c r="Q1495" s="0" t="s">
        <v>146</v>
      </c>
      <c r="R1495" s="0" t="n">
        <v>44483</v>
      </c>
      <c r="AD1495" s="0" t="s">
        <v>147</v>
      </c>
      <c r="AE1495" s="0" t="s">
        <v>148</v>
      </c>
      <c r="AF1495" s="0" t="s">
        <v>149</v>
      </c>
      <c r="AH1495" s="0" t="n">
        <v>14</v>
      </c>
      <c r="AI1495" s="0" t="n">
        <v>11</v>
      </c>
      <c r="AN1495" s="0" t="s">
        <v>145</v>
      </c>
      <c r="AO1495" s="0" t="s">
        <v>654</v>
      </c>
      <c r="AP1495" s="0" t="s">
        <v>655</v>
      </c>
      <c r="AQ1495" s="0" t="n">
        <v>9</v>
      </c>
      <c r="AR1495" s="0" t="n">
        <v>64</v>
      </c>
      <c r="AS1495" s="0" t="n">
        <v>32</v>
      </c>
      <c r="AU1495" s="0" t="n">
        <f aca="false">COUNTA($BA$1101:$EH$1101)</f>
        <v>1</v>
      </c>
      <c r="AV1495" s="0" t="n">
        <f aca="false">COUNTIF($BA$1101:$EH$1101,"D")</f>
        <v>0</v>
      </c>
      <c r="AW1495" s="0" t="n">
        <f aca="false">COUNTIF($BA$1101:$EH$1101,"R")</f>
        <v>0</v>
      </c>
      <c r="AX1495" s="0" t="n">
        <f aca="false">IF(BN1495="D",1,0)+IF(BO1495="D",1,0)+IF(BT1495="D",1,0)+IF(BU1495="D",1,0)+IF(BW1495="D",1,0)+IF(CC1495="D",1,0)+IF(CD1495="D",1,0)+IF(CE1495="D",1,0)+IF(CF1495="D",1,0)+IF(CL1495="D",1,0)+IF(CM1495="D",1,0)+IF(CQ1495="D",1,0)+IF(CR1495="D",1,0)+IF(CS1495="D",1,0)+IF(CW1495="D",1,0)+IF(CX1495="D",1,0)+IF(DD1495="D",1,0)+IF(DE1495="D",1,0)+IF(DJ1495="D",1,0)+IF(DK1495="D",1,0)+IF(DO1495="D",1,0)+IF(DP1495="D",1,0)+IF(DQ1495="D",1,0)+IF(DW1495="D",1,0)+IF(DZ1495="D",1,0)+IF(EH1495="D",1,0)</f>
        <v>0</v>
      </c>
      <c r="AY1495" s="0" t="n">
        <f aca="false">COUNTIF(DU1495:EH1495, "&lt;&gt;")</f>
        <v>1</v>
      </c>
      <c r="AZ1495" s="0" t="n">
        <f aca="false">IF(EH1495&lt;&gt;"",1,0)</f>
        <v>0</v>
      </c>
      <c r="BB1495" s="0" t="s">
        <v>152</v>
      </c>
      <c r="BD1495" s="0" t="s">
        <v>153</v>
      </c>
      <c r="BL1495" s="0" t="s">
        <v>153</v>
      </c>
      <c r="BP1495" s="0" t="s">
        <v>153</v>
      </c>
      <c r="BS1495" s="0" t="s">
        <v>153</v>
      </c>
      <c r="CA1495" s="0" t="s">
        <v>153</v>
      </c>
      <c r="CK1495" s="0" t="s">
        <v>153</v>
      </c>
      <c r="CP1495" s="0" t="s">
        <v>153</v>
      </c>
      <c r="DC1495" s="0" t="s">
        <v>153</v>
      </c>
      <c r="DN1495" s="0" t="s">
        <v>153</v>
      </c>
      <c r="EF1495" s="0" t="s">
        <v>153</v>
      </c>
    </row>
    <row r="1496" customFormat="false" ht="13.8" hidden="true" customHeight="false" outlineLevel="0" collapsed="false">
      <c r="A1496" s="0" t="s">
        <v>6858</v>
      </c>
      <c r="B1496" s="0" t="n">
        <v>78</v>
      </c>
      <c r="C1496" s="0" t="n">
        <v>393726</v>
      </c>
      <c r="D1496" s="0" t="s">
        <v>5177</v>
      </c>
      <c r="E1496" s="0" t="s">
        <v>469</v>
      </c>
      <c r="F1496" s="0" t="str">
        <f aca="false">CONCATENATE(D1496," ",LEFT(H1496,4),"T=",AU1496,"D=",AV1496,"R=",AW1496,"M=",AX1496,"L=",AY1496,"B=",AZ1496)</f>
        <v>MCKINNEY T=2D=0R=0M=0L=1B=0</v>
      </c>
      <c r="G1496" s="0" t="s">
        <v>2179</v>
      </c>
      <c r="I1496" s="0" t="s">
        <v>6859</v>
      </c>
      <c r="J1496" s="0" t="s">
        <v>6860</v>
      </c>
      <c r="K1496" s="0" t="s">
        <v>160</v>
      </c>
      <c r="M1496" s="0" t="s">
        <v>6857</v>
      </c>
      <c r="N1496" s="0" t="str">
        <f aca="false">RIGHT(M1496,LEN(M1496)-FIND(" ",M1496))</f>
        <v>LOWELL AVE NE</v>
      </c>
      <c r="P1496" s="0" t="s">
        <v>145</v>
      </c>
      <c r="Q1496" s="0" t="s">
        <v>146</v>
      </c>
      <c r="R1496" s="0" t="n">
        <v>44483</v>
      </c>
      <c r="AD1496" s="0" t="s">
        <v>147</v>
      </c>
      <c r="AE1496" s="0" t="s">
        <v>148</v>
      </c>
      <c r="AF1496" s="0" t="s">
        <v>149</v>
      </c>
      <c r="AH1496" s="0" t="n">
        <v>14</v>
      </c>
      <c r="AI1496" s="0" t="n">
        <v>11</v>
      </c>
      <c r="AN1496" s="0" t="s">
        <v>145</v>
      </c>
      <c r="AO1496" s="0" t="s">
        <v>654</v>
      </c>
      <c r="AP1496" s="0" t="s">
        <v>655</v>
      </c>
      <c r="AQ1496" s="0" t="n">
        <v>9</v>
      </c>
      <c r="AR1496" s="0" t="n">
        <v>64</v>
      </c>
      <c r="AS1496" s="0" t="n">
        <v>32</v>
      </c>
      <c r="AU1496" s="0" t="n">
        <f aca="false">COUNTA($BA$1703:$EH$1703)</f>
        <v>2</v>
      </c>
      <c r="AV1496" s="0" t="n">
        <f aca="false">COUNTIF($BA$1703:$EH$1703,"D")</f>
        <v>0</v>
      </c>
      <c r="AW1496" s="0" t="n">
        <f aca="false">COUNTIF($BA$1703:$EH$1703,"R")</f>
        <v>0</v>
      </c>
      <c r="AX1496" s="0" t="n">
        <f aca="false">IF(BN1496="D",1,0)+IF(BO1496="D",1,0)+IF(BT1496="D",1,0)+IF(BU1496="D",1,0)+IF(BW1496="D",1,0)+IF(CC1496="D",1,0)+IF(CD1496="D",1,0)+IF(CE1496="D",1,0)+IF(CF1496="D",1,0)+IF(CL1496="D",1,0)+IF(CM1496="D",1,0)+IF(CQ1496="D",1,0)+IF(CR1496="D",1,0)+IF(CS1496="D",1,0)+IF(CW1496="D",1,0)+IF(CX1496="D",1,0)+IF(DD1496="D",1,0)+IF(DE1496="D",1,0)+IF(DJ1496="D",1,0)+IF(DK1496="D",1,0)+IF(DO1496="D",1,0)+IF(DP1496="D",1,0)+IF(DQ1496="D",1,0)+IF(DW1496="D",1,0)+IF(DZ1496="D",1,0)+IF(EH1496="D",1,0)</f>
        <v>0</v>
      </c>
      <c r="AY1496" s="0" t="n">
        <f aca="false">COUNTIF(DU1496:EH1496, "&lt;&gt;")</f>
        <v>1</v>
      </c>
      <c r="AZ1496" s="0" t="n">
        <f aca="false">IF(EH1496&lt;&gt;"",1,0)</f>
        <v>0</v>
      </c>
      <c r="BB1496" s="0" t="s">
        <v>152</v>
      </c>
      <c r="BL1496" s="0" t="s">
        <v>153</v>
      </c>
      <c r="CA1496" s="0" t="s">
        <v>153</v>
      </c>
      <c r="DC1496" s="0" t="s">
        <v>153</v>
      </c>
      <c r="DN1496" s="0" t="s">
        <v>153</v>
      </c>
      <c r="EF1496" s="0" t="s">
        <v>153</v>
      </c>
    </row>
    <row r="1497" customFormat="false" ht="13.8" hidden="true" customHeight="false" outlineLevel="0" collapsed="false">
      <c r="A1497" s="0" t="s">
        <v>6861</v>
      </c>
      <c r="B1497" s="0" t="n">
        <v>78</v>
      </c>
      <c r="C1497" s="0" t="n">
        <v>407478</v>
      </c>
      <c r="D1497" s="0" t="s">
        <v>1487</v>
      </c>
      <c r="E1497" s="0" t="s">
        <v>6862</v>
      </c>
      <c r="F1497" s="0" t="str">
        <f aca="false">CONCATENATE(D1497," ",LEFT(H1497,4),"T=",AU1497,"D=",AV1497,"R=",AW1497,"M=",AX1497,"L=",AY1497,"B=",AZ1497)</f>
        <v>SIMS T=29D=6R=0M=0L=0B=0</v>
      </c>
      <c r="G1497" s="0" t="s">
        <v>362</v>
      </c>
      <c r="I1497" s="0" t="s">
        <v>6863</v>
      </c>
      <c r="J1497" s="0" t="s">
        <v>6864</v>
      </c>
      <c r="K1497" s="0" t="s">
        <v>143</v>
      </c>
      <c r="M1497" s="0" t="s">
        <v>6857</v>
      </c>
      <c r="N1497" s="0" t="str">
        <f aca="false">RIGHT(M1497,LEN(M1497)-FIND(" ",M1497))</f>
        <v>LOWELL AVE NE</v>
      </c>
      <c r="P1497" s="0" t="s">
        <v>145</v>
      </c>
      <c r="Q1497" s="0" t="s">
        <v>146</v>
      </c>
      <c r="R1497" s="0" t="n">
        <v>44483</v>
      </c>
      <c r="AD1497" s="0" t="s">
        <v>147</v>
      </c>
      <c r="AE1497" s="0" t="s">
        <v>148</v>
      </c>
      <c r="AF1497" s="0" t="s">
        <v>149</v>
      </c>
      <c r="AH1497" s="0" t="n">
        <v>14</v>
      </c>
      <c r="AI1497" s="0" t="n">
        <v>11</v>
      </c>
      <c r="AN1497" s="0" t="s">
        <v>145</v>
      </c>
      <c r="AO1497" s="0" t="s">
        <v>654</v>
      </c>
      <c r="AP1497" s="0" t="s">
        <v>655</v>
      </c>
      <c r="AQ1497" s="0" t="n">
        <v>9</v>
      </c>
      <c r="AR1497" s="0" t="n">
        <v>64</v>
      </c>
      <c r="AS1497" s="0" t="n">
        <v>32</v>
      </c>
      <c r="AU1497" s="0" t="n">
        <f aca="false">COUNTA($BA$1781:$EH$1781)</f>
        <v>29</v>
      </c>
      <c r="AV1497" s="0" t="n">
        <f aca="false">COUNTIF($BA$1781:$EH$1781,"D")</f>
        <v>6</v>
      </c>
      <c r="AW1497" s="0" t="n">
        <f aca="false">COUNTIF($BA$1781:$EH$1781,"R")</f>
        <v>0</v>
      </c>
      <c r="AX1497" s="0" t="n">
        <f aca="false">IF(BN1497="D",1,0)+IF(BO1497="D",1,0)+IF(BT1497="D",1,0)+IF(BU1497="D",1,0)+IF(BW1497="D",1,0)+IF(CC1497="D",1,0)+IF(CD1497="D",1,0)+IF(CE1497="D",1,0)+IF(CF1497="D",1,0)+IF(CL1497="D",1,0)+IF(CM1497="D",1,0)+IF(CQ1497="D",1,0)+IF(CR1497="D",1,0)+IF(CS1497="D",1,0)+IF(CW1497="D",1,0)+IF(CX1497="D",1,0)+IF(DD1497="D",1,0)+IF(DE1497="D",1,0)+IF(DJ1497="D",1,0)+IF(DK1497="D",1,0)+IF(DO1497="D",1,0)+IF(DP1497="D",1,0)+IF(DQ1497="D",1,0)+IF(DW1497="D",1,0)+IF(DZ1497="D",1,0)+IF(EH1497="D",1,0)</f>
        <v>0</v>
      </c>
      <c r="AY1497" s="0" t="n">
        <f aca="false">COUNTIF(DU1497:EH1497, "&lt;&gt;")</f>
        <v>0</v>
      </c>
      <c r="AZ1497" s="0" t="n">
        <f aca="false">IF(EH1497&lt;&gt;"",1,0)</f>
        <v>0</v>
      </c>
      <c r="BB1497" s="0" t="s">
        <v>152</v>
      </c>
      <c r="DC1497" s="0" t="s">
        <v>153</v>
      </c>
    </row>
    <row r="1498" customFormat="false" ht="13.8" hidden="true" customHeight="false" outlineLevel="0" collapsed="false">
      <c r="A1498" s="0" t="s">
        <v>6865</v>
      </c>
      <c r="B1498" s="0" t="n">
        <v>78</v>
      </c>
      <c r="C1498" s="0" t="n">
        <v>388800</v>
      </c>
      <c r="D1498" s="0" t="s">
        <v>5177</v>
      </c>
      <c r="E1498" s="0" t="s">
        <v>2680</v>
      </c>
      <c r="F1498" s="0" t="str">
        <f aca="false">CONCATENATE(D1498," ",LEFT(H1498,4),"T=",AU1498,"D=",AV1498,"R=",AW1498,"M=",AX1498,"L=",AY1498,"B=",AZ1498)</f>
        <v>MCKINNEY T=1D=0R=0M=0L=1B=0</v>
      </c>
      <c r="G1498" s="0" t="s">
        <v>175</v>
      </c>
      <c r="I1498" s="0" t="s">
        <v>6866</v>
      </c>
      <c r="J1498" s="0" t="s">
        <v>6867</v>
      </c>
      <c r="K1498" s="0" t="s">
        <v>160</v>
      </c>
      <c r="M1498" s="0" t="s">
        <v>6857</v>
      </c>
      <c r="N1498" s="0" t="str">
        <f aca="false">RIGHT(M1498,LEN(M1498)-FIND(" ",M1498))</f>
        <v>LOWELL AVE NE</v>
      </c>
      <c r="P1498" s="0" t="s">
        <v>145</v>
      </c>
      <c r="Q1498" s="0" t="s">
        <v>146</v>
      </c>
      <c r="R1498" s="0" t="n">
        <v>44483</v>
      </c>
      <c r="AD1498" s="0" t="s">
        <v>147</v>
      </c>
      <c r="AE1498" s="0" t="s">
        <v>148</v>
      </c>
      <c r="AF1498" s="0" t="s">
        <v>149</v>
      </c>
      <c r="AH1498" s="0" t="n">
        <v>14</v>
      </c>
      <c r="AI1498" s="0" t="n">
        <v>11</v>
      </c>
      <c r="AN1498" s="0" t="s">
        <v>145</v>
      </c>
      <c r="AO1498" s="0" t="s">
        <v>654</v>
      </c>
      <c r="AP1498" s="0" t="s">
        <v>655</v>
      </c>
      <c r="AQ1498" s="0" t="n">
        <v>9</v>
      </c>
      <c r="AR1498" s="0" t="n">
        <v>64</v>
      </c>
      <c r="AS1498" s="0" t="n">
        <v>32</v>
      </c>
      <c r="AU1498" s="0" t="n">
        <f aca="false">COUNTA($BA$2047:$EH$2047)</f>
        <v>1</v>
      </c>
      <c r="AV1498" s="0" t="n">
        <f aca="false">COUNTIF($BA$2047:$EH$2047,"D")</f>
        <v>0</v>
      </c>
      <c r="AW1498" s="0" t="n">
        <f aca="false">COUNTIF($BA$2047:$EH$2047,"R")</f>
        <v>0</v>
      </c>
      <c r="AX1498" s="0" t="n">
        <f aca="false">IF(BN1498="D",1,0)+IF(BO1498="D",1,0)+IF(BT1498="D",1,0)+IF(BU1498="D",1,0)+IF(BW1498="D",1,0)+IF(CC1498="D",1,0)+IF(CD1498="D",1,0)+IF(CE1498="D",1,0)+IF(CF1498="D",1,0)+IF(CL1498="D",1,0)+IF(CM1498="D",1,0)+IF(CQ1498="D",1,0)+IF(CR1498="D",1,0)+IF(CS1498="D",1,0)+IF(CW1498="D",1,0)+IF(CX1498="D",1,0)+IF(DD1498="D",1,0)+IF(DE1498="D",1,0)+IF(DJ1498="D",1,0)+IF(DK1498="D",1,0)+IF(DO1498="D",1,0)+IF(DP1498="D",1,0)+IF(DQ1498="D",1,0)+IF(DW1498="D",1,0)+IF(DZ1498="D",1,0)+IF(EH1498="D",1,0)</f>
        <v>0</v>
      </c>
      <c r="AY1498" s="0" t="n">
        <f aca="false">COUNTIF(DU1498:EH1498, "&lt;&gt;")</f>
        <v>1</v>
      </c>
      <c r="AZ1498" s="0" t="n">
        <f aca="false">IF(EH1498&lt;&gt;"",1,0)</f>
        <v>0</v>
      </c>
      <c r="BB1498" s="0" t="s">
        <v>152</v>
      </c>
      <c r="BH1498" s="0" t="s">
        <v>153</v>
      </c>
      <c r="CA1498" s="0" t="s">
        <v>153</v>
      </c>
      <c r="CP1498" s="0" t="s">
        <v>153</v>
      </c>
      <c r="DC1498" s="0" t="s">
        <v>153</v>
      </c>
      <c r="DN1498" s="0" t="s">
        <v>153</v>
      </c>
      <c r="EF1498" s="0" t="s">
        <v>153</v>
      </c>
    </row>
    <row r="1499" customFormat="false" ht="13.8" hidden="true" customHeight="false" outlineLevel="0" collapsed="false">
      <c r="A1499" s="0" t="s">
        <v>6868</v>
      </c>
      <c r="B1499" s="0" t="n">
        <v>78</v>
      </c>
      <c r="C1499" s="0" t="n">
        <v>484087</v>
      </c>
      <c r="D1499" s="0" t="s">
        <v>6869</v>
      </c>
      <c r="E1499" s="0" t="s">
        <v>237</v>
      </c>
      <c r="F1499" s="0" t="str">
        <f aca="false">CONCATENATE(D1499," ",LEFT(H1499,4),"T=",AU1499,"D=",AV1499,"R=",AW1499,"M=",AX1499,"L=",AY1499,"B=",AZ1499)</f>
        <v>STOCKETT T=2D=0R=0M=0L=0B=0</v>
      </c>
      <c r="G1499" s="0" t="s">
        <v>184</v>
      </c>
      <c r="I1499" s="0" t="s">
        <v>3326</v>
      </c>
      <c r="J1499" s="0" t="s">
        <v>6870</v>
      </c>
      <c r="K1499" s="0" t="s">
        <v>143</v>
      </c>
      <c r="M1499" s="0" t="s">
        <v>6871</v>
      </c>
      <c r="N1499" s="0" t="str">
        <f aca="false">RIGHT(M1499,LEN(M1499)-FIND(" ",M1499))</f>
        <v>LOWELL AVE NE</v>
      </c>
      <c r="P1499" s="0" t="s">
        <v>145</v>
      </c>
      <c r="Q1499" s="0" t="s">
        <v>146</v>
      </c>
      <c r="R1499" s="0" t="n">
        <v>44483</v>
      </c>
      <c r="AD1499" s="0" t="s">
        <v>147</v>
      </c>
      <c r="AE1499" s="0" t="s">
        <v>148</v>
      </c>
      <c r="AF1499" s="0" t="s">
        <v>149</v>
      </c>
      <c r="AH1499" s="0" t="n">
        <v>14</v>
      </c>
      <c r="AI1499" s="0" t="n">
        <v>11</v>
      </c>
      <c r="AN1499" s="0" t="s">
        <v>145</v>
      </c>
      <c r="AO1499" s="0" t="s">
        <v>654</v>
      </c>
      <c r="AP1499" s="0" t="s">
        <v>655</v>
      </c>
      <c r="AQ1499" s="0" t="n">
        <v>9</v>
      </c>
      <c r="AR1499" s="0" t="n">
        <v>64</v>
      </c>
      <c r="AS1499" s="0" t="n">
        <v>32</v>
      </c>
      <c r="AU1499" s="0" t="n">
        <f aca="false">COUNTA($BA$1802:$EH$1802)</f>
        <v>2</v>
      </c>
      <c r="AV1499" s="0" t="n">
        <f aca="false">COUNTIF($BA$1802:$EH$1802,"D")</f>
        <v>0</v>
      </c>
      <c r="AW1499" s="0" t="n">
        <f aca="false">COUNTIF($BA$1802:$EH$1802,"R")</f>
        <v>0</v>
      </c>
      <c r="AX1499" s="0" t="n">
        <f aca="false">IF(BN1499="D",1,0)+IF(BO1499="D",1,0)+IF(BT1499="D",1,0)+IF(BU1499="D",1,0)+IF(BW1499="D",1,0)+IF(CC1499="D",1,0)+IF(CD1499="D",1,0)+IF(CE1499="D",1,0)+IF(CF1499="D",1,0)+IF(CL1499="D",1,0)+IF(CM1499="D",1,0)+IF(CQ1499="D",1,0)+IF(CR1499="D",1,0)+IF(CS1499="D",1,0)+IF(CW1499="D",1,0)+IF(CX1499="D",1,0)+IF(DD1499="D",1,0)+IF(DE1499="D",1,0)+IF(DJ1499="D",1,0)+IF(DK1499="D",1,0)+IF(DO1499="D",1,0)+IF(DP1499="D",1,0)+IF(DQ1499="D",1,0)+IF(DW1499="D",1,0)+IF(DZ1499="D",1,0)+IF(EH1499="D",1,0)</f>
        <v>0</v>
      </c>
      <c r="AY1499" s="0" t="n">
        <f aca="false">COUNTIF(DU1499:EH1499, "&lt;&gt;")</f>
        <v>0</v>
      </c>
      <c r="AZ1499" s="0" t="n">
        <f aca="false">IF(EH1499&lt;&gt;"",1,0)</f>
        <v>0</v>
      </c>
      <c r="BB1499" s="0" t="s">
        <v>152</v>
      </c>
    </row>
    <row r="1500" customFormat="false" ht="13.8" hidden="false" customHeight="false" outlineLevel="0" collapsed="false">
      <c r="A1500" s="0" t="s">
        <v>6872</v>
      </c>
      <c r="B1500" s="0" t="n">
        <v>78</v>
      </c>
      <c r="C1500" s="0" t="n">
        <v>14709</v>
      </c>
      <c r="D1500" s="0" t="s">
        <v>6873</v>
      </c>
      <c r="E1500" s="0" t="s">
        <v>6874</v>
      </c>
      <c r="F1500" s="0" t="str">
        <f aca="false">CONCATENATE(D1500," ",LEFT(H1500,4),"T=",AU1500,"D=",AV1500,"R=",AW1500,"M=",AX1500,"L=",AY1500,"B=",AZ1500)</f>
        <v>ROSENTHAL T=1D=0R=0M=2L=5B=0</v>
      </c>
      <c r="G1500" s="0" t="s">
        <v>195</v>
      </c>
      <c r="I1500" s="0" t="s">
        <v>6875</v>
      </c>
      <c r="J1500" s="0" t="s">
        <v>6876</v>
      </c>
      <c r="K1500" s="0" t="s">
        <v>160</v>
      </c>
      <c r="L1500" s="0" t="s">
        <v>175</v>
      </c>
      <c r="M1500" s="0" t="s">
        <v>6877</v>
      </c>
      <c r="N1500" s="0" t="str">
        <f aca="false">RIGHT(M1500,LEN(M1500)-FIND(" ",M1500))</f>
        <v>LOWELL AVE NE</v>
      </c>
      <c r="P1500" s="0" t="s">
        <v>145</v>
      </c>
      <c r="Q1500" s="0" t="s">
        <v>146</v>
      </c>
      <c r="R1500" s="0" t="n">
        <v>44483</v>
      </c>
      <c r="AD1500" s="0" t="s">
        <v>147</v>
      </c>
      <c r="AE1500" s="0" t="s">
        <v>148</v>
      </c>
      <c r="AF1500" s="0" t="s">
        <v>149</v>
      </c>
      <c r="AH1500" s="0" t="n">
        <v>14</v>
      </c>
      <c r="AI1500" s="0" t="n">
        <v>11</v>
      </c>
      <c r="AN1500" s="0" t="s">
        <v>145</v>
      </c>
      <c r="AO1500" s="0" t="s">
        <v>654</v>
      </c>
      <c r="AP1500" s="0" t="s">
        <v>655</v>
      </c>
      <c r="AQ1500" s="0" t="n">
        <v>9</v>
      </c>
      <c r="AR1500" s="0" t="n">
        <v>64</v>
      </c>
      <c r="AS1500" s="0" t="n">
        <v>32</v>
      </c>
      <c r="AU1500" s="0" t="n">
        <f aca="false">COUNTA($BA$1957:$EH$1957)</f>
        <v>1</v>
      </c>
      <c r="AV1500" s="0" t="n">
        <f aca="false">COUNTIF($BA$1957:$EH$1957,"D")</f>
        <v>0</v>
      </c>
      <c r="AW1500" s="0" t="n">
        <f aca="false">COUNTIF($BA$1957:$EH$1957,"R")</f>
        <v>0</v>
      </c>
      <c r="AX1500" s="0" t="n">
        <f aca="false">IF(BN1500="D",1,0)+IF(BO1500="D",1,0)+IF(BT1500="D",1,0)+IF(BU1500="D",1,0)+IF(BW1500="D",1,0)+IF(CC1500="D",1,0)+IF(CD1500="D",1,0)+IF(CE1500="D",1,0)+IF(CF1500="D",1,0)+IF(CL1500="D",1,0)+IF(CM1500="D",1,0)+IF(CQ1500="D",1,0)+IF(CR1500="D",1,0)+IF(CS1500="D",1,0)+IF(CW1500="D",1,0)+IF(CX1500="D",1,0)+IF(DD1500="D",1,0)+IF(DE1500="D",1,0)+IF(DJ1500="D",1,0)+IF(DK1500="D",1,0)+IF(DO1500="D",1,0)+IF(DP1500="D",1,0)+IF(DQ1500="D",1,0)+IF(DW1500="D",1,0)+IF(DZ1500="D",1,0)+IF(EH1500="D",1,0)</f>
        <v>2</v>
      </c>
      <c r="AY1500" s="0" t="n">
        <f aca="false">COUNTIF(DU1500:EH1500, "&lt;&gt;")</f>
        <v>5</v>
      </c>
      <c r="AZ1500" s="0" t="n">
        <f aca="false">IF(EH1500&lt;&gt;"",1,0)</f>
        <v>0</v>
      </c>
      <c r="BB1500" s="0" t="s">
        <v>152</v>
      </c>
      <c r="BJ1500" s="0" t="s">
        <v>153</v>
      </c>
      <c r="BL1500" s="0" t="s">
        <v>153</v>
      </c>
      <c r="BP1500" s="0" t="s">
        <v>153</v>
      </c>
      <c r="BR1500" s="0" t="s">
        <v>153</v>
      </c>
      <c r="BS1500" s="0" t="s">
        <v>153</v>
      </c>
      <c r="BT1500" s="0" t="s">
        <v>153</v>
      </c>
      <c r="BV1500" s="0" t="s">
        <v>153</v>
      </c>
      <c r="BY1500" s="0" t="s">
        <v>175</v>
      </c>
      <c r="CA1500" s="0" t="s">
        <v>153</v>
      </c>
      <c r="CG1500" s="0" t="s">
        <v>153</v>
      </c>
      <c r="CK1500" s="0" t="s">
        <v>153</v>
      </c>
      <c r="CN1500" s="0" t="s">
        <v>153</v>
      </c>
      <c r="CO1500" s="0" t="s">
        <v>175</v>
      </c>
      <c r="CP1500" s="0" t="s">
        <v>153</v>
      </c>
      <c r="CT1500" s="0" t="s">
        <v>153</v>
      </c>
      <c r="CU1500" s="0" t="s">
        <v>175</v>
      </c>
      <c r="CV1500" s="0" t="s">
        <v>153</v>
      </c>
      <c r="CY1500" s="0" t="s">
        <v>153</v>
      </c>
      <c r="CZ1500" s="0" t="s">
        <v>175</v>
      </c>
      <c r="DC1500" s="0" t="s">
        <v>153</v>
      </c>
      <c r="DD1500" s="0" t="s">
        <v>175</v>
      </c>
      <c r="DF1500" s="0" t="s">
        <v>153</v>
      </c>
      <c r="DG1500" s="0" t="s">
        <v>175</v>
      </c>
      <c r="DI1500" s="0" t="s">
        <v>153</v>
      </c>
      <c r="DJ1500" s="0" t="s">
        <v>175</v>
      </c>
      <c r="DL1500" s="0" t="s">
        <v>153</v>
      </c>
      <c r="DM1500" s="0" t="s">
        <v>175</v>
      </c>
      <c r="DN1500" s="0" t="s">
        <v>153</v>
      </c>
      <c r="DR1500" s="0" t="s">
        <v>153</v>
      </c>
      <c r="DS1500" s="0" t="s">
        <v>175</v>
      </c>
      <c r="DU1500" s="0" t="s">
        <v>153</v>
      </c>
      <c r="DX1500" s="0" t="s">
        <v>153</v>
      </c>
      <c r="EA1500" s="0" t="s">
        <v>153</v>
      </c>
      <c r="ED1500" s="0" t="s">
        <v>175</v>
      </c>
      <c r="EF1500" s="0" t="s">
        <v>153</v>
      </c>
    </row>
    <row r="1501" customFormat="false" ht="13.8" hidden="false" customHeight="false" outlineLevel="0" collapsed="false">
      <c r="A1501" s="0" t="s">
        <v>6878</v>
      </c>
      <c r="B1501" s="0" t="n">
        <v>78</v>
      </c>
      <c r="C1501" s="0" t="n">
        <v>14747</v>
      </c>
      <c r="D1501" s="0" t="s">
        <v>224</v>
      </c>
      <c r="E1501" s="0" t="s">
        <v>2689</v>
      </c>
      <c r="F1501" s="0" t="str">
        <f aca="false">CONCATENATE(D1501," ",LEFT(H1501,4),"T=",AU1501,"D=",AV1501,"R=",AW1501,"M=",AX1501,"L=",AY1501,"B=",AZ1501)</f>
        <v>THOMAS T=1D=0R=0M=4L=7B=1</v>
      </c>
      <c r="G1501" s="0" t="s">
        <v>6879</v>
      </c>
      <c r="I1501" s="0" t="s">
        <v>6880</v>
      </c>
      <c r="J1501" s="0" t="s">
        <v>6881</v>
      </c>
      <c r="K1501" s="0" t="s">
        <v>160</v>
      </c>
      <c r="L1501" s="0" t="s">
        <v>175</v>
      </c>
      <c r="M1501" s="0" t="s">
        <v>6882</v>
      </c>
      <c r="N1501" s="0" t="str">
        <f aca="false">RIGHT(M1501,LEN(M1501)-FIND(" ",M1501))</f>
        <v>LOWELL AVE NE</v>
      </c>
      <c r="P1501" s="0" t="s">
        <v>145</v>
      </c>
      <c r="Q1501" s="0" t="s">
        <v>146</v>
      </c>
      <c r="R1501" s="0" t="n">
        <v>44483</v>
      </c>
      <c r="AD1501" s="0" t="s">
        <v>147</v>
      </c>
      <c r="AE1501" s="0" t="s">
        <v>148</v>
      </c>
      <c r="AF1501" s="0" t="s">
        <v>149</v>
      </c>
      <c r="AH1501" s="0" t="n">
        <v>14</v>
      </c>
      <c r="AI1501" s="0" t="n">
        <v>11</v>
      </c>
      <c r="AN1501" s="0" t="s">
        <v>145</v>
      </c>
      <c r="AO1501" s="0" t="s">
        <v>654</v>
      </c>
      <c r="AP1501" s="0" t="s">
        <v>655</v>
      </c>
      <c r="AQ1501" s="0" t="n">
        <v>9</v>
      </c>
      <c r="AR1501" s="0" t="n">
        <v>64</v>
      </c>
      <c r="AS1501" s="0" t="n">
        <v>32</v>
      </c>
      <c r="AU1501" s="0" t="n">
        <f aca="false">COUNTA($BA$1874:$EH$1874)</f>
        <v>1</v>
      </c>
      <c r="AV1501" s="0" t="n">
        <f aca="false">COUNTIF($BA$1874:$EH$1874,"D")</f>
        <v>0</v>
      </c>
      <c r="AW1501" s="0" t="n">
        <f aca="false">COUNTIF($BA$1874:$EH$1874,"R")</f>
        <v>0</v>
      </c>
      <c r="AX1501" s="0" t="n">
        <f aca="false">IF(BN1501="D",1,0)+IF(BO1501="D",1,0)+IF(BT1501="D",1,0)+IF(BU1501="D",1,0)+IF(BW1501="D",1,0)+IF(CC1501="D",1,0)+IF(CD1501="D",1,0)+IF(CE1501="D",1,0)+IF(CF1501="D",1,0)+IF(CL1501="D",1,0)+IF(CM1501="D",1,0)+IF(CQ1501="D",1,0)+IF(CR1501="D",1,0)+IF(CS1501="D",1,0)+IF(CW1501="D",1,0)+IF(CX1501="D",1,0)+IF(DD1501="D",1,0)+IF(DE1501="D",1,0)+IF(DJ1501="D",1,0)+IF(DK1501="D",1,0)+IF(DO1501="D",1,0)+IF(DP1501="D",1,0)+IF(DQ1501="D",1,0)+IF(DW1501="D",1,0)+IF(DZ1501="D",1,0)+IF(EH1501="D",1,0)</f>
        <v>4</v>
      </c>
      <c r="AY1501" s="0" t="n">
        <f aca="false">COUNTIF(DU1501:EH1501, "&lt;&gt;")</f>
        <v>7</v>
      </c>
      <c r="AZ1501" s="0" t="n">
        <f aca="false">IF(EH1501&lt;&gt;"",1,0)</f>
        <v>1</v>
      </c>
      <c r="BB1501" s="0" t="s">
        <v>152</v>
      </c>
      <c r="BC1501" s="0" t="s">
        <v>153</v>
      </c>
      <c r="BD1501" s="0" t="s">
        <v>153</v>
      </c>
      <c r="BE1501" s="0" t="s">
        <v>153</v>
      </c>
      <c r="BF1501" s="0" t="s">
        <v>153</v>
      </c>
      <c r="BG1501" s="0" t="s">
        <v>153</v>
      </c>
      <c r="BH1501" s="0" t="s">
        <v>153</v>
      </c>
      <c r="BI1501" s="0" t="s">
        <v>153</v>
      </c>
      <c r="BJ1501" s="0" t="s">
        <v>153</v>
      </c>
      <c r="BK1501" s="0" t="s">
        <v>153</v>
      </c>
      <c r="BL1501" s="0" t="s">
        <v>153</v>
      </c>
      <c r="BP1501" s="0" t="s">
        <v>153</v>
      </c>
      <c r="BR1501" s="0" t="s">
        <v>153</v>
      </c>
      <c r="BS1501" s="0" t="s">
        <v>153</v>
      </c>
      <c r="BT1501" s="0" t="s">
        <v>153</v>
      </c>
      <c r="BV1501" s="0" t="s">
        <v>153</v>
      </c>
      <c r="BY1501" s="0" t="s">
        <v>175</v>
      </c>
      <c r="CA1501" s="0" t="s">
        <v>153</v>
      </c>
      <c r="CG1501" s="0" t="s">
        <v>153</v>
      </c>
      <c r="CH1501" s="0" t="s">
        <v>175</v>
      </c>
      <c r="CK1501" s="0" t="s">
        <v>153</v>
      </c>
      <c r="CL1501" s="0" t="s">
        <v>175</v>
      </c>
      <c r="CN1501" s="0" t="s">
        <v>153</v>
      </c>
      <c r="CO1501" s="0" t="s">
        <v>175</v>
      </c>
      <c r="CP1501" s="0" t="s">
        <v>153</v>
      </c>
      <c r="CQ1501" s="0" t="s">
        <v>175</v>
      </c>
      <c r="CT1501" s="0" t="s">
        <v>153</v>
      </c>
      <c r="CV1501" s="0" t="s">
        <v>153</v>
      </c>
      <c r="CY1501" s="0" t="s">
        <v>153</v>
      </c>
      <c r="CZ1501" s="0" t="s">
        <v>175</v>
      </c>
      <c r="DC1501" s="0" t="s">
        <v>153</v>
      </c>
      <c r="DF1501" s="0" t="s">
        <v>153</v>
      </c>
      <c r="DI1501" s="0" t="s">
        <v>153</v>
      </c>
      <c r="DJ1501" s="0" t="s">
        <v>175</v>
      </c>
      <c r="DL1501" s="0" t="s">
        <v>153</v>
      </c>
      <c r="DM1501" s="0" t="s">
        <v>175</v>
      </c>
      <c r="DN1501" s="0" t="s">
        <v>153</v>
      </c>
      <c r="DS1501" s="0" t="s">
        <v>209</v>
      </c>
      <c r="DU1501" s="0" t="s">
        <v>153</v>
      </c>
      <c r="DW1501" s="0" t="s">
        <v>153</v>
      </c>
      <c r="DX1501" s="0" t="s">
        <v>153</v>
      </c>
      <c r="EA1501" s="0" t="s">
        <v>153</v>
      </c>
      <c r="ED1501" s="0" t="s">
        <v>209</v>
      </c>
      <c r="EF1501" s="0" t="s">
        <v>153</v>
      </c>
      <c r="EH1501" s="0" t="s">
        <v>175</v>
      </c>
    </row>
    <row r="1502" customFormat="false" ht="13.8" hidden="false" customHeight="false" outlineLevel="0" collapsed="false">
      <c r="A1502" s="0" t="s">
        <v>6883</v>
      </c>
      <c r="B1502" s="0" t="n">
        <v>78</v>
      </c>
      <c r="C1502" s="0" t="n">
        <v>352131</v>
      </c>
      <c r="D1502" s="0" t="s">
        <v>6884</v>
      </c>
      <c r="E1502" s="0" t="s">
        <v>275</v>
      </c>
      <c r="F1502" s="0" t="str">
        <f aca="false">CONCATENATE(D1502," ",LEFT(H1502,4),"T=",AU1502,"D=",AV1502,"R=",AW1502,"M=",AX1502,"L=",AY1502,"B=",AZ1502)</f>
        <v>VAUGHN T=51D=17R=0M=1L=6B=0</v>
      </c>
      <c r="G1502" s="0" t="s">
        <v>209</v>
      </c>
      <c r="I1502" s="0" t="s">
        <v>6885</v>
      </c>
      <c r="J1502" s="0" t="s">
        <v>6886</v>
      </c>
      <c r="K1502" s="0" t="s">
        <v>160</v>
      </c>
      <c r="L1502" s="0" t="s">
        <v>209</v>
      </c>
      <c r="M1502" s="0" t="s">
        <v>6887</v>
      </c>
      <c r="N1502" s="0" t="str">
        <f aca="false">RIGHT(M1502,LEN(M1502)-FIND(" ",M1502))</f>
        <v>LOWELL AVE NE</v>
      </c>
      <c r="P1502" s="0" t="s">
        <v>145</v>
      </c>
      <c r="Q1502" s="0" t="s">
        <v>146</v>
      </c>
      <c r="R1502" s="0" t="n">
        <v>44483</v>
      </c>
      <c r="AD1502" s="0" t="s">
        <v>147</v>
      </c>
      <c r="AE1502" s="0" t="s">
        <v>148</v>
      </c>
      <c r="AF1502" s="0" t="s">
        <v>149</v>
      </c>
      <c r="AH1502" s="0" t="n">
        <v>14</v>
      </c>
      <c r="AI1502" s="0" t="n">
        <v>11</v>
      </c>
      <c r="AN1502" s="0" t="s">
        <v>145</v>
      </c>
      <c r="AO1502" s="0" t="s">
        <v>654</v>
      </c>
      <c r="AP1502" s="0" t="s">
        <v>655</v>
      </c>
      <c r="AQ1502" s="0" t="n">
        <v>9</v>
      </c>
      <c r="AR1502" s="0" t="n">
        <v>64</v>
      </c>
      <c r="AS1502" s="0" t="n">
        <v>32</v>
      </c>
      <c r="AU1502" s="0" t="n">
        <f aca="false">COUNTA($BA$1482:$EH$1482)</f>
        <v>51</v>
      </c>
      <c r="AV1502" s="0" t="n">
        <f aca="false">COUNTIF($BA$1482:$EH$1482,"D")</f>
        <v>17</v>
      </c>
      <c r="AW1502" s="0" t="n">
        <f aca="false">COUNTIF($BA$1482:$EH$1482,"R")</f>
        <v>0</v>
      </c>
      <c r="AX1502" s="0" t="n">
        <f aca="false">IF(BN1502="D",1,0)+IF(BO1502="D",1,0)+IF(BT1502="D",1,0)+IF(BU1502="D",1,0)+IF(BW1502="D",1,0)+IF(CC1502="D",1,0)+IF(CD1502="D",1,0)+IF(CE1502="D",1,0)+IF(CF1502="D",1,0)+IF(CL1502="D",1,0)+IF(CM1502="D",1,0)+IF(CQ1502="D",1,0)+IF(CR1502="D",1,0)+IF(CS1502="D",1,0)+IF(CW1502="D",1,0)+IF(CX1502="D",1,0)+IF(DD1502="D",1,0)+IF(DE1502="D",1,0)+IF(DJ1502="D",1,0)+IF(DK1502="D",1,0)+IF(DO1502="D",1,0)+IF(DP1502="D",1,0)+IF(DQ1502="D",1,0)+IF(DW1502="D",1,0)+IF(DZ1502="D",1,0)+IF(EH1502="D",1,0)</f>
        <v>1</v>
      </c>
      <c r="AY1502" s="0" t="n">
        <f aca="false">COUNTIF(DU1502:EH1502, "&lt;&gt;")</f>
        <v>6</v>
      </c>
      <c r="AZ1502" s="0" t="n">
        <f aca="false">IF(EH1502&lt;&gt;"",1,0)</f>
        <v>0</v>
      </c>
      <c r="BB1502" s="0" t="s">
        <v>152</v>
      </c>
      <c r="CT1502" s="0" t="s">
        <v>153</v>
      </c>
      <c r="DN1502" s="0" t="s">
        <v>153</v>
      </c>
      <c r="DU1502" s="0" t="s">
        <v>153</v>
      </c>
      <c r="DW1502" s="0" t="s">
        <v>175</v>
      </c>
      <c r="DX1502" s="0" t="s">
        <v>153</v>
      </c>
      <c r="EA1502" s="0" t="s">
        <v>153</v>
      </c>
      <c r="ED1502" s="0" t="s">
        <v>209</v>
      </c>
      <c r="EF1502" s="0" t="s">
        <v>153</v>
      </c>
    </row>
    <row r="1503" customFormat="false" ht="13.8" hidden="true" customHeight="false" outlineLevel="0" collapsed="false">
      <c r="A1503" s="0" t="s">
        <v>6888</v>
      </c>
      <c r="B1503" s="0" t="n">
        <v>78</v>
      </c>
      <c r="C1503" s="0" t="n">
        <v>407415</v>
      </c>
      <c r="D1503" s="0" t="s">
        <v>6884</v>
      </c>
      <c r="E1503" s="0" t="s">
        <v>6889</v>
      </c>
      <c r="F1503" s="0" t="str">
        <f aca="false">CONCATENATE(D1503," ",LEFT(H1503,4),"T=",AU1503,"D=",AV1503,"R=",AW1503,"M=",AX1503,"L=",AY1503,"B=",AZ1503)</f>
        <v>VAUGHN T=3D=0R=0M=0L=0B=0</v>
      </c>
      <c r="G1503" s="0" t="s">
        <v>175</v>
      </c>
      <c r="I1503" s="0" t="s">
        <v>6866</v>
      </c>
      <c r="J1503" s="0" t="s">
        <v>6890</v>
      </c>
      <c r="K1503" s="0" t="s">
        <v>160</v>
      </c>
      <c r="M1503" s="0" t="s">
        <v>6887</v>
      </c>
      <c r="N1503" s="0" t="str">
        <f aca="false">RIGHT(M1503,LEN(M1503)-FIND(" ",M1503))</f>
        <v>LOWELL AVE NE</v>
      </c>
      <c r="P1503" s="0" t="s">
        <v>145</v>
      </c>
      <c r="Q1503" s="0" t="s">
        <v>146</v>
      </c>
      <c r="R1503" s="0" t="n">
        <v>44483</v>
      </c>
      <c r="AD1503" s="0" t="s">
        <v>147</v>
      </c>
      <c r="AE1503" s="0" t="s">
        <v>148</v>
      </c>
      <c r="AF1503" s="0" t="s">
        <v>149</v>
      </c>
      <c r="AH1503" s="0" t="n">
        <v>14</v>
      </c>
      <c r="AI1503" s="0" t="n">
        <v>11</v>
      </c>
      <c r="AN1503" s="0" t="s">
        <v>145</v>
      </c>
      <c r="AO1503" s="0" t="s">
        <v>654</v>
      </c>
      <c r="AP1503" s="0" t="s">
        <v>655</v>
      </c>
      <c r="AQ1503" s="0" t="n">
        <v>9</v>
      </c>
      <c r="AR1503" s="0" t="n">
        <v>64</v>
      </c>
      <c r="AS1503" s="0" t="n">
        <v>32</v>
      </c>
      <c r="AU1503" s="0" t="n">
        <f aca="false">COUNTA($BA$2016:$EH$2016)</f>
        <v>3</v>
      </c>
      <c r="AV1503" s="0" t="n">
        <f aca="false">COUNTIF($BA$2016:$EH$2016,"D")</f>
        <v>0</v>
      </c>
      <c r="AW1503" s="0" t="n">
        <f aca="false">COUNTIF($BA$2016:$EH$2016,"R")</f>
        <v>0</v>
      </c>
      <c r="AX1503" s="0" t="n">
        <f aca="false">IF(BN1503="D",1,0)+IF(BO1503="D",1,0)+IF(BT1503="D",1,0)+IF(BU1503="D",1,0)+IF(BW1503="D",1,0)+IF(CC1503="D",1,0)+IF(CD1503="D",1,0)+IF(CE1503="D",1,0)+IF(CF1503="D",1,0)+IF(CL1503="D",1,0)+IF(CM1503="D",1,0)+IF(CQ1503="D",1,0)+IF(CR1503="D",1,0)+IF(CS1503="D",1,0)+IF(CW1503="D",1,0)+IF(CX1503="D",1,0)+IF(DD1503="D",1,0)+IF(DE1503="D",1,0)+IF(DJ1503="D",1,0)+IF(DK1503="D",1,0)+IF(DO1503="D",1,0)+IF(DP1503="D",1,0)+IF(DQ1503="D",1,0)+IF(DW1503="D",1,0)+IF(DZ1503="D",1,0)+IF(EH1503="D",1,0)</f>
        <v>0</v>
      </c>
      <c r="AY1503" s="0" t="n">
        <f aca="false">COUNTIF(DU1503:EH1503, "&lt;&gt;")</f>
        <v>0</v>
      </c>
      <c r="AZ1503" s="0" t="n">
        <f aca="false">IF(EH1503&lt;&gt;"",1,0)</f>
        <v>0</v>
      </c>
      <c r="BB1503" s="0" t="s">
        <v>152</v>
      </c>
    </row>
    <row r="1504" customFormat="false" ht="13.8" hidden="true" customHeight="false" outlineLevel="0" collapsed="false">
      <c r="A1504" s="0" t="s">
        <v>6891</v>
      </c>
      <c r="B1504" s="0" t="n">
        <v>78</v>
      </c>
      <c r="C1504" s="0" t="n">
        <v>343874</v>
      </c>
      <c r="D1504" s="0" t="s">
        <v>6892</v>
      </c>
      <c r="E1504" s="0" t="s">
        <v>3511</v>
      </c>
      <c r="F1504" s="0" t="str">
        <f aca="false">CONCATENATE(D1504," ",LEFT(H1504,4),"T=",AU1504,"D=",AV1504,"R=",AW1504,"M=",AX1504,"L=",AY1504,"B=",AZ1504)</f>
        <v>HUFFMAN T=11D=2R=0M=0L=1B=0</v>
      </c>
      <c r="G1504" s="0" t="s">
        <v>307</v>
      </c>
      <c r="I1504" s="0" t="s">
        <v>6893</v>
      </c>
      <c r="J1504" s="0" t="s">
        <v>1539</v>
      </c>
      <c r="K1504" s="0" t="s">
        <v>160</v>
      </c>
      <c r="M1504" s="0" t="s">
        <v>6894</v>
      </c>
      <c r="N1504" s="0" t="str">
        <f aca="false">RIGHT(M1504,LEN(M1504)-FIND(" ",M1504))</f>
        <v>LOWELL AVE NE</v>
      </c>
      <c r="P1504" s="0" t="s">
        <v>145</v>
      </c>
      <c r="Q1504" s="0" t="s">
        <v>146</v>
      </c>
      <c r="R1504" s="0" t="n">
        <v>44483</v>
      </c>
      <c r="AD1504" s="0" t="s">
        <v>147</v>
      </c>
      <c r="AE1504" s="0" t="s">
        <v>148</v>
      </c>
      <c r="AF1504" s="0" t="s">
        <v>149</v>
      </c>
      <c r="AH1504" s="0" t="n">
        <v>14</v>
      </c>
      <c r="AI1504" s="0" t="n">
        <v>11</v>
      </c>
      <c r="AN1504" s="0" t="s">
        <v>145</v>
      </c>
      <c r="AO1504" s="0" t="s">
        <v>654</v>
      </c>
      <c r="AP1504" s="0" t="s">
        <v>655</v>
      </c>
      <c r="AQ1504" s="0" t="n">
        <v>9</v>
      </c>
      <c r="AR1504" s="0" t="n">
        <v>64</v>
      </c>
      <c r="AS1504" s="0" t="n">
        <v>32</v>
      </c>
      <c r="AU1504" s="0" t="n">
        <f aca="false">COUNTA($BA$1243:$EH$1243)</f>
        <v>11</v>
      </c>
      <c r="AV1504" s="0" t="n">
        <f aca="false">COUNTIF($BA$1243:$EH$1243,"D")</f>
        <v>2</v>
      </c>
      <c r="AW1504" s="0" t="n">
        <f aca="false">COUNTIF($BA$1243:$EH$1243,"R")</f>
        <v>0</v>
      </c>
      <c r="AX1504" s="0" t="n">
        <f aca="false">IF(BN1504="D",1,0)+IF(BO1504="D",1,0)+IF(BT1504="D",1,0)+IF(BU1504="D",1,0)+IF(BW1504="D",1,0)+IF(CC1504="D",1,0)+IF(CD1504="D",1,0)+IF(CE1504="D",1,0)+IF(CF1504="D",1,0)+IF(CL1504="D",1,0)+IF(CM1504="D",1,0)+IF(CQ1504="D",1,0)+IF(CR1504="D",1,0)+IF(CS1504="D",1,0)+IF(CW1504="D",1,0)+IF(CX1504="D",1,0)+IF(DD1504="D",1,0)+IF(DE1504="D",1,0)+IF(DJ1504="D",1,0)+IF(DK1504="D",1,0)+IF(DO1504="D",1,0)+IF(DP1504="D",1,0)+IF(DQ1504="D",1,0)+IF(DW1504="D",1,0)+IF(DZ1504="D",1,0)+IF(EH1504="D",1,0)</f>
        <v>0</v>
      </c>
      <c r="AY1504" s="0" t="n">
        <f aca="false">COUNTIF(DU1504:EH1504, "&lt;&gt;")</f>
        <v>1</v>
      </c>
      <c r="AZ1504" s="0" t="n">
        <f aca="false">IF(EH1504&lt;&gt;"",1,0)</f>
        <v>0</v>
      </c>
      <c r="BB1504" s="0" t="s">
        <v>152</v>
      </c>
      <c r="BS1504" s="0" t="s">
        <v>153</v>
      </c>
      <c r="CA1504" s="0" t="s">
        <v>153</v>
      </c>
      <c r="CG1504" s="0" t="s">
        <v>153</v>
      </c>
      <c r="CP1504" s="0" t="s">
        <v>153</v>
      </c>
      <c r="DC1504" s="0" t="s">
        <v>153</v>
      </c>
      <c r="DN1504" s="0" t="s">
        <v>153</v>
      </c>
      <c r="EF1504" s="0" t="s">
        <v>153</v>
      </c>
    </row>
    <row r="1505" customFormat="false" ht="13.8" hidden="true" customHeight="false" outlineLevel="0" collapsed="false">
      <c r="A1505" s="0" t="s">
        <v>6895</v>
      </c>
      <c r="B1505" s="0" t="n">
        <v>78</v>
      </c>
      <c r="C1505" s="0" t="n">
        <v>369487</v>
      </c>
      <c r="D1505" s="0" t="s">
        <v>6892</v>
      </c>
      <c r="E1505" s="0" t="s">
        <v>563</v>
      </c>
      <c r="F1505" s="0" t="str">
        <f aca="false">CONCATENATE(D1505," ",LEFT(H1505,4),"T=",AU1505,"D=",AV1505,"R=",AW1505,"M=",AX1505,"L=",AY1505,"B=",AZ1505)</f>
        <v>HUFFMAN T=1D=0R=0M=0L=1B=0</v>
      </c>
      <c r="G1505" s="0" t="s">
        <v>195</v>
      </c>
      <c r="I1505" s="0" t="s">
        <v>6896</v>
      </c>
      <c r="J1505" s="0" t="s">
        <v>6897</v>
      </c>
      <c r="K1505" s="0" t="s">
        <v>160</v>
      </c>
      <c r="M1505" s="0" t="s">
        <v>6894</v>
      </c>
      <c r="N1505" s="0" t="str">
        <f aca="false">RIGHT(M1505,LEN(M1505)-FIND(" ",M1505))</f>
        <v>LOWELL AVE NE</v>
      </c>
      <c r="P1505" s="0" t="s">
        <v>145</v>
      </c>
      <c r="Q1505" s="0" t="s">
        <v>146</v>
      </c>
      <c r="R1505" s="0" t="n">
        <v>44483</v>
      </c>
      <c r="AD1505" s="0" t="s">
        <v>147</v>
      </c>
      <c r="AE1505" s="0" t="s">
        <v>148</v>
      </c>
      <c r="AF1505" s="0" t="s">
        <v>149</v>
      </c>
      <c r="AH1505" s="0" t="n">
        <v>14</v>
      </c>
      <c r="AI1505" s="0" t="n">
        <v>11</v>
      </c>
      <c r="AN1505" s="0" t="s">
        <v>145</v>
      </c>
      <c r="AO1505" s="0" t="s">
        <v>654</v>
      </c>
      <c r="AP1505" s="0" t="s">
        <v>655</v>
      </c>
      <c r="AQ1505" s="0" t="n">
        <v>9</v>
      </c>
      <c r="AR1505" s="0" t="n">
        <v>64</v>
      </c>
      <c r="AS1505" s="0" t="n">
        <v>32</v>
      </c>
      <c r="AU1505" s="0" t="n">
        <f aca="false">COUNTA($BA$1920:$EH$1920)</f>
        <v>1</v>
      </c>
      <c r="AV1505" s="0" t="n">
        <f aca="false">COUNTIF($BA$1920:$EH$1920,"D")</f>
        <v>0</v>
      </c>
      <c r="AW1505" s="0" t="n">
        <f aca="false">COUNTIF($BA$1920:$EH$1920,"R")</f>
        <v>0</v>
      </c>
      <c r="AX1505" s="0" t="n">
        <f aca="false">IF(BN1505="D",1,0)+IF(BO1505="D",1,0)+IF(BT1505="D",1,0)+IF(BU1505="D",1,0)+IF(BW1505="D",1,0)+IF(CC1505="D",1,0)+IF(CD1505="D",1,0)+IF(CE1505="D",1,0)+IF(CF1505="D",1,0)+IF(CL1505="D",1,0)+IF(CM1505="D",1,0)+IF(CQ1505="D",1,0)+IF(CR1505="D",1,0)+IF(CS1505="D",1,0)+IF(CW1505="D",1,0)+IF(CX1505="D",1,0)+IF(DD1505="D",1,0)+IF(DE1505="D",1,0)+IF(DJ1505="D",1,0)+IF(DK1505="D",1,0)+IF(DO1505="D",1,0)+IF(DP1505="D",1,0)+IF(DQ1505="D",1,0)+IF(DW1505="D",1,0)+IF(DZ1505="D",1,0)+IF(EH1505="D",1,0)</f>
        <v>0</v>
      </c>
      <c r="AY1505" s="0" t="n">
        <f aca="false">COUNTIF(DU1505:EH1505, "&lt;&gt;")</f>
        <v>1</v>
      </c>
      <c r="AZ1505" s="0" t="n">
        <f aca="false">IF(EH1505&lt;&gt;"",1,0)</f>
        <v>0</v>
      </c>
      <c r="BB1505" s="0" t="s">
        <v>152</v>
      </c>
      <c r="BS1505" s="0" t="s">
        <v>153</v>
      </c>
      <c r="CP1505" s="0" t="s">
        <v>153</v>
      </c>
      <c r="CT1505" s="0" t="s">
        <v>153</v>
      </c>
      <c r="DC1505" s="0" t="s">
        <v>153</v>
      </c>
      <c r="DN1505" s="0" t="s">
        <v>153</v>
      </c>
      <c r="EF1505" s="0" t="s">
        <v>153</v>
      </c>
    </row>
    <row r="1506" customFormat="false" ht="13.8" hidden="true" customHeight="false" outlineLevel="0" collapsed="false">
      <c r="A1506" s="0" t="s">
        <v>6898</v>
      </c>
      <c r="B1506" s="0" t="n">
        <v>78</v>
      </c>
      <c r="C1506" s="0" t="n">
        <v>405247</v>
      </c>
      <c r="D1506" s="0" t="s">
        <v>1128</v>
      </c>
      <c r="E1506" s="0" t="s">
        <v>6899</v>
      </c>
      <c r="F1506" s="0" t="str">
        <f aca="false">CONCATENATE(D1506," ",LEFT(H1506,4),"T=",AU1506,"D=",AV1506,"R=",AW1506,"M=",AX1506,"L=",AY1506,"B=",AZ1506)</f>
        <v>LYNN T=37D=10R=0M=0L=0B=0</v>
      </c>
      <c r="G1506" s="0" t="s">
        <v>164</v>
      </c>
      <c r="I1506" s="0" t="s">
        <v>6900</v>
      </c>
      <c r="J1506" s="0" t="s">
        <v>6901</v>
      </c>
      <c r="K1506" s="0" t="s">
        <v>160</v>
      </c>
      <c r="M1506" s="0" t="s">
        <v>6902</v>
      </c>
      <c r="N1506" s="0" t="str">
        <f aca="false">RIGHT(M1506,LEN(M1506)-FIND(" ",M1506))</f>
        <v>LOWELL AVE NE</v>
      </c>
      <c r="P1506" s="0" t="s">
        <v>145</v>
      </c>
      <c r="Q1506" s="0" t="s">
        <v>146</v>
      </c>
      <c r="R1506" s="0" t="n">
        <v>44483</v>
      </c>
      <c r="AD1506" s="0" t="s">
        <v>147</v>
      </c>
      <c r="AE1506" s="0" t="s">
        <v>148</v>
      </c>
      <c r="AF1506" s="0" t="s">
        <v>149</v>
      </c>
      <c r="AH1506" s="0" t="n">
        <v>14</v>
      </c>
      <c r="AI1506" s="0" t="n">
        <v>11</v>
      </c>
      <c r="AN1506" s="0" t="s">
        <v>145</v>
      </c>
      <c r="AO1506" s="0" t="s">
        <v>654</v>
      </c>
      <c r="AP1506" s="0" t="s">
        <v>655</v>
      </c>
      <c r="AQ1506" s="0" t="n">
        <v>9</v>
      </c>
      <c r="AR1506" s="0" t="n">
        <v>64</v>
      </c>
      <c r="AS1506" s="0" t="n">
        <v>32</v>
      </c>
      <c r="AU1506" s="0" t="n">
        <f aca="false">COUNTA($BA$1350:$EH$1350)</f>
        <v>37</v>
      </c>
      <c r="AV1506" s="0" t="n">
        <f aca="false">COUNTIF($BA$1350:$EH$1350,"D")</f>
        <v>10</v>
      </c>
      <c r="AW1506" s="0" t="n">
        <f aca="false">COUNTIF($BA$1350:$EH$1350,"R")</f>
        <v>0</v>
      </c>
      <c r="AX1506" s="0" t="n">
        <f aca="false">IF(BN1506="D",1,0)+IF(BO1506="D",1,0)+IF(BT1506="D",1,0)+IF(BU1506="D",1,0)+IF(BW1506="D",1,0)+IF(CC1506="D",1,0)+IF(CD1506="D",1,0)+IF(CE1506="D",1,0)+IF(CF1506="D",1,0)+IF(CL1506="D",1,0)+IF(CM1506="D",1,0)+IF(CQ1506="D",1,0)+IF(CR1506="D",1,0)+IF(CS1506="D",1,0)+IF(CW1506="D",1,0)+IF(CX1506="D",1,0)+IF(DD1506="D",1,0)+IF(DE1506="D",1,0)+IF(DJ1506="D",1,0)+IF(DK1506="D",1,0)+IF(DO1506="D",1,0)+IF(DP1506="D",1,0)+IF(DQ1506="D",1,0)+IF(DW1506="D",1,0)+IF(DZ1506="D",1,0)+IF(EH1506="D",1,0)</f>
        <v>0</v>
      </c>
      <c r="AY1506" s="0" t="n">
        <f aca="false">COUNTIF(DU1506:EH1506, "&lt;&gt;")</f>
        <v>0</v>
      </c>
      <c r="AZ1506" s="0" t="n">
        <f aca="false">IF(EH1506&lt;&gt;"",1,0)</f>
        <v>0</v>
      </c>
      <c r="BB1506" s="0" t="s">
        <v>152</v>
      </c>
      <c r="BL1506" s="0" t="s">
        <v>153</v>
      </c>
      <c r="CA1506" s="0" t="s">
        <v>153</v>
      </c>
      <c r="CY1506" s="0" t="s">
        <v>153</v>
      </c>
    </row>
    <row r="1507" customFormat="false" ht="13.8" hidden="true" customHeight="false" outlineLevel="0" collapsed="false">
      <c r="A1507" s="0" t="s">
        <v>6903</v>
      </c>
      <c r="B1507" s="0" t="n">
        <v>78</v>
      </c>
      <c r="C1507" s="0" t="n">
        <v>440872</v>
      </c>
      <c r="D1507" s="0" t="s">
        <v>261</v>
      </c>
      <c r="E1507" s="0" t="s">
        <v>6904</v>
      </c>
      <c r="F1507" s="0" t="str">
        <f aca="false">CONCATENATE(D1507," ",LEFT(H1507,4),"T=",AU1507,"D=",AV1507,"R=",AW1507,"M=",AX1507,"L=",AY1507,"B=",AZ1507)</f>
        <v>HENRY T=1D=0R=0M=0L=0B=0</v>
      </c>
      <c r="G1507" s="0" t="s">
        <v>2214</v>
      </c>
      <c r="I1507" s="0" t="s">
        <v>6905</v>
      </c>
      <c r="J1507" s="0" t="s">
        <v>1341</v>
      </c>
      <c r="K1507" s="0" t="s">
        <v>160</v>
      </c>
      <c r="M1507" s="0" t="s">
        <v>6902</v>
      </c>
      <c r="N1507" s="0" t="str">
        <f aca="false">RIGHT(M1507,LEN(M1507)-FIND(" ",M1507))</f>
        <v>LOWELL AVE NE</v>
      </c>
      <c r="P1507" s="0" t="s">
        <v>145</v>
      </c>
      <c r="Q1507" s="0" t="s">
        <v>146</v>
      </c>
      <c r="R1507" s="0" t="n">
        <v>44483</v>
      </c>
      <c r="AD1507" s="0" t="s">
        <v>147</v>
      </c>
      <c r="AE1507" s="0" t="s">
        <v>148</v>
      </c>
      <c r="AF1507" s="0" t="s">
        <v>149</v>
      </c>
      <c r="AH1507" s="0" t="n">
        <v>14</v>
      </c>
      <c r="AI1507" s="0" t="n">
        <v>11</v>
      </c>
      <c r="AN1507" s="0" t="s">
        <v>145</v>
      </c>
      <c r="AO1507" s="0" t="s">
        <v>654</v>
      </c>
      <c r="AP1507" s="0" t="s">
        <v>655</v>
      </c>
      <c r="AQ1507" s="0" t="n">
        <v>9</v>
      </c>
      <c r="AR1507" s="0" t="n">
        <v>64</v>
      </c>
      <c r="AS1507" s="0" t="n">
        <v>32</v>
      </c>
      <c r="AU1507" s="0" t="n">
        <f aca="false">COUNTA($BA$1542:$EH$1542)</f>
        <v>1</v>
      </c>
      <c r="AV1507" s="0" t="n">
        <f aca="false">COUNTIF($BA$1542:$EH$1542,"D")</f>
        <v>0</v>
      </c>
      <c r="AW1507" s="0" t="n">
        <f aca="false">COUNTIF($BA$1542:$EH$1542,"R")</f>
        <v>0</v>
      </c>
      <c r="AX1507" s="0" t="n">
        <f aca="false">IF(BN1507="D",1,0)+IF(BO1507="D",1,0)+IF(BT1507="D",1,0)+IF(BU1507="D",1,0)+IF(BW1507="D",1,0)+IF(CC1507="D",1,0)+IF(CD1507="D",1,0)+IF(CE1507="D",1,0)+IF(CF1507="D",1,0)+IF(CL1507="D",1,0)+IF(CM1507="D",1,0)+IF(CQ1507="D",1,0)+IF(CR1507="D",1,0)+IF(CS1507="D",1,0)+IF(CW1507="D",1,0)+IF(CX1507="D",1,0)+IF(DD1507="D",1,0)+IF(DE1507="D",1,0)+IF(DJ1507="D",1,0)+IF(DK1507="D",1,0)+IF(DO1507="D",1,0)+IF(DP1507="D",1,0)+IF(DQ1507="D",1,0)+IF(DW1507="D",1,0)+IF(DZ1507="D",1,0)+IF(EH1507="D",1,0)</f>
        <v>0</v>
      </c>
      <c r="AY1507" s="0" t="n">
        <f aca="false">COUNTIF(DU1507:EH1507, "&lt;&gt;")</f>
        <v>0</v>
      </c>
      <c r="AZ1507" s="0" t="n">
        <f aca="false">IF(EH1507&lt;&gt;"",1,0)</f>
        <v>0</v>
      </c>
      <c r="BB1507" s="0" t="s">
        <v>152</v>
      </c>
    </row>
    <row r="1508" customFormat="false" ht="13.8" hidden="true" customHeight="false" outlineLevel="0" collapsed="false">
      <c r="A1508" s="0" t="s">
        <v>6906</v>
      </c>
      <c r="B1508" s="0" t="n">
        <v>78</v>
      </c>
      <c r="C1508" s="0" t="n">
        <v>457278</v>
      </c>
      <c r="D1508" s="0" t="s">
        <v>6907</v>
      </c>
      <c r="E1508" s="0" t="s">
        <v>5127</v>
      </c>
      <c r="F1508" s="0" t="str">
        <f aca="false">CONCATENATE(D1508," ",LEFT(H1508,4),"T=",AU1508,"D=",AV1508,"R=",AW1508,"M=",AX1508,"L=",AY1508,"B=",AZ1508)</f>
        <v>LOATMAN T=1D=0R=0M=0L=1B=0</v>
      </c>
      <c r="G1508" s="0" t="s">
        <v>164</v>
      </c>
      <c r="I1508" s="0" t="s">
        <v>6908</v>
      </c>
      <c r="J1508" s="0" t="s">
        <v>6909</v>
      </c>
      <c r="K1508" s="0" t="s">
        <v>160</v>
      </c>
      <c r="M1508" s="0" t="s">
        <v>6910</v>
      </c>
      <c r="N1508" s="0" t="str">
        <f aca="false">RIGHT(M1508,LEN(M1508)-FIND(" ",M1508))</f>
        <v>LOWELL AVE NE</v>
      </c>
      <c r="P1508" s="0" t="s">
        <v>145</v>
      </c>
      <c r="Q1508" s="0" t="s">
        <v>146</v>
      </c>
      <c r="R1508" s="0" t="n">
        <v>44483</v>
      </c>
      <c r="AD1508" s="0" t="s">
        <v>147</v>
      </c>
      <c r="AE1508" s="0" t="s">
        <v>148</v>
      </c>
      <c r="AF1508" s="0" t="s">
        <v>149</v>
      </c>
      <c r="AH1508" s="0" t="n">
        <v>14</v>
      </c>
      <c r="AI1508" s="0" t="n">
        <v>11</v>
      </c>
      <c r="AN1508" s="0" t="s">
        <v>145</v>
      </c>
      <c r="AO1508" s="0" t="s">
        <v>654</v>
      </c>
      <c r="AP1508" s="0" t="s">
        <v>655</v>
      </c>
      <c r="AQ1508" s="0" t="n">
        <v>9</v>
      </c>
      <c r="AR1508" s="0" t="n">
        <v>64</v>
      </c>
      <c r="AS1508" s="0" t="n">
        <v>32</v>
      </c>
      <c r="AU1508" s="0" t="n">
        <f aca="false">COUNTA($BA$1139:$EH$1139)</f>
        <v>1</v>
      </c>
      <c r="AV1508" s="0" t="n">
        <f aca="false">COUNTIF($BA$1139:$EH$1139,"D")</f>
        <v>0</v>
      </c>
      <c r="AW1508" s="0" t="n">
        <f aca="false">COUNTIF($BA$1139:$EH$1139,"R")</f>
        <v>0</v>
      </c>
      <c r="AX1508" s="0" t="n">
        <f aca="false">IF(BN1508="D",1,0)+IF(BO1508="D",1,0)+IF(BT1508="D",1,0)+IF(BU1508="D",1,0)+IF(BW1508="D",1,0)+IF(CC1508="D",1,0)+IF(CD1508="D",1,0)+IF(CE1508="D",1,0)+IF(CF1508="D",1,0)+IF(CL1508="D",1,0)+IF(CM1508="D",1,0)+IF(CQ1508="D",1,0)+IF(CR1508="D",1,0)+IF(CS1508="D",1,0)+IF(CW1508="D",1,0)+IF(CX1508="D",1,0)+IF(DD1508="D",1,0)+IF(DE1508="D",1,0)+IF(DJ1508="D",1,0)+IF(DK1508="D",1,0)+IF(DO1508="D",1,0)+IF(DP1508="D",1,0)+IF(DQ1508="D",1,0)+IF(DW1508="D",1,0)+IF(DZ1508="D",1,0)+IF(EH1508="D",1,0)</f>
        <v>0</v>
      </c>
      <c r="AY1508" s="0" t="n">
        <f aca="false">COUNTIF(DU1508:EH1508, "&lt;&gt;")</f>
        <v>1</v>
      </c>
      <c r="AZ1508" s="0" t="n">
        <f aca="false">IF(EH1508&lt;&gt;"",1,0)</f>
        <v>0</v>
      </c>
      <c r="BB1508" s="0" t="s">
        <v>152</v>
      </c>
      <c r="DX1508" s="0" t="s">
        <v>153</v>
      </c>
    </row>
    <row r="1509" customFormat="false" ht="13.8" hidden="true" customHeight="false" outlineLevel="0" collapsed="false">
      <c r="A1509" s="0" t="s">
        <v>6911</v>
      </c>
      <c r="B1509" s="0" t="n">
        <v>78</v>
      </c>
      <c r="C1509" s="0" t="n">
        <v>474077</v>
      </c>
      <c r="D1509" s="0" t="s">
        <v>6907</v>
      </c>
      <c r="E1509" s="0" t="s">
        <v>2582</v>
      </c>
      <c r="F1509" s="0" t="str">
        <f aca="false">CONCATENATE(D1509," ",LEFT(H1509,4),"T=",AU1509,"D=",AV1509,"R=",AW1509,"M=",AX1509,"L=",AY1509,"B=",AZ1509)</f>
        <v>LOATMAN T=2D=0R=0M=0L=0B=0</v>
      </c>
      <c r="G1509" s="0" t="s">
        <v>6912</v>
      </c>
      <c r="I1509" s="0" t="s">
        <v>6913</v>
      </c>
      <c r="J1509" s="0" t="s">
        <v>6914</v>
      </c>
      <c r="K1509" s="0" t="s">
        <v>160</v>
      </c>
      <c r="M1509" s="0" t="s">
        <v>6910</v>
      </c>
      <c r="N1509" s="0" t="str">
        <f aca="false">RIGHT(M1509,LEN(M1509)-FIND(" ",M1509))</f>
        <v>LOWELL AVE NE</v>
      </c>
      <c r="P1509" s="0" t="s">
        <v>145</v>
      </c>
      <c r="Q1509" s="0" t="s">
        <v>146</v>
      </c>
      <c r="R1509" s="0" t="n">
        <v>44483</v>
      </c>
      <c r="AD1509" s="0" t="s">
        <v>147</v>
      </c>
      <c r="AE1509" s="0" t="s">
        <v>148</v>
      </c>
      <c r="AF1509" s="0" t="s">
        <v>149</v>
      </c>
      <c r="AH1509" s="0" t="n">
        <v>14</v>
      </c>
      <c r="AI1509" s="0" t="n">
        <v>11</v>
      </c>
      <c r="AN1509" s="0" t="s">
        <v>145</v>
      </c>
      <c r="AO1509" s="0" t="s">
        <v>654</v>
      </c>
      <c r="AP1509" s="0" t="s">
        <v>655</v>
      </c>
      <c r="AQ1509" s="0" t="n">
        <v>9</v>
      </c>
      <c r="AR1509" s="0" t="n">
        <v>64</v>
      </c>
      <c r="AS1509" s="0" t="n">
        <v>32</v>
      </c>
      <c r="AU1509" s="0" t="n">
        <f aca="false">COUNTA($BA$1182:$EH$1182)</f>
        <v>2</v>
      </c>
      <c r="AV1509" s="0" t="n">
        <f aca="false">COUNTIF($BA$1182:$EH$1182,"D")</f>
        <v>0</v>
      </c>
      <c r="AW1509" s="0" t="n">
        <f aca="false">COUNTIF($BA$1182:$EH$1182,"R")</f>
        <v>0</v>
      </c>
      <c r="AX1509" s="0" t="n">
        <f aca="false">IF(BN1509="D",1,0)+IF(BO1509="D",1,0)+IF(BT1509="D",1,0)+IF(BU1509="D",1,0)+IF(BW1509="D",1,0)+IF(CC1509="D",1,0)+IF(CD1509="D",1,0)+IF(CE1509="D",1,0)+IF(CF1509="D",1,0)+IF(CL1509="D",1,0)+IF(CM1509="D",1,0)+IF(CQ1509="D",1,0)+IF(CR1509="D",1,0)+IF(CS1509="D",1,0)+IF(CW1509="D",1,0)+IF(CX1509="D",1,0)+IF(DD1509="D",1,0)+IF(DE1509="D",1,0)+IF(DJ1509="D",1,0)+IF(DK1509="D",1,0)+IF(DO1509="D",1,0)+IF(DP1509="D",1,0)+IF(DQ1509="D",1,0)+IF(DW1509="D",1,0)+IF(DZ1509="D",1,0)+IF(EH1509="D",1,0)</f>
        <v>0</v>
      </c>
      <c r="AY1509" s="0" t="n">
        <f aca="false">COUNTIF(DU1509:EH1509, "&lt;&gt;")</f>
        <v>0</v>
      </c>
      <c r="AZ1509" s="0" t="n">
        <f aca="false">IF(EH1509&lt;&gt;"",1,0)</f>
        <v>0</v>
      </c>
      <c r="BB1509" s="0" t="s">
        <v>152</v>
      </c>
    </row>
    <row r="1510" customFormat="false" ht="13.8" hidden="true" customHeight="false" outlineLevel="0" collapsed="false">
      <c r="A1510" s="0" t="s">
        <v>6915</v>
      </c>
      <c r="B1510" s="0" t="n">
        <v>78</v>
      </c>
      <c r="C1510" s="0" t="n">
        <v>472339</v>
      </c>
      <c r="D1510" s="0" t="s">
        <v>6916</v>
      </c>
      <c r="E1510" s="0" t="s">
        <v>6917</v>
      </c>
      <c r="F1510" s="0" t="str">
        <f aca="false">CONCATENATE(D1510," ",LEFT(H1510,4),"T=",AU1510,"D=",AV1510,"R=",AW1510,"M=",AX1510,"L=",AY1510,"B=",AZ1510)</f>
        <v>FERRER T=1D=0R=0M=0L=0B=0</v>
      </c>
      <c r="G1510" s="0" t="s">
        <v>5712</v>
      </c>
      <c r="I1510" s="0" t="s">
        <v>6918</v>
      </c>
      <c r="J1510" s="0" t="s">
        <v>6919</v>
      </c>
      <c r="K1510" s="0" t="s">
        <v>160</v>
      </c>
      <c r="M1510" s="0" t="s">
        <v>6910</v>
      </c>
      <c r="N1510" s="0" t="str">
        <f aca="false">RIGHT(M1510,LEN(M1510)-FIND(" ",M1510))</f>
        <v>LOWELL AVE NE</v>
      </c>
      <c r="P1510" s="0" t="s">
        <v>145</v>
      </c>
      <c r="Q1510" s="0" t="s">
        <v>146</v>
      </c>
      <c r="R1510" s="0" t="n">
        <v>44483</v>
      </c>
      <c r="AD1510" s="0" t="s">
        <v>147</v>
      </c>
      <c r="AE1510" s="0" t="s">
        <v>148</v>
      </c>
      <c r="AF1510" s="0" t="s">
        <v>149</v>
      </c>
      <c r="AH1510" s="0" t="n">
        <v>14</v>
      </c>
      <c r="AI1510" s="0" t="n">
        <v>11</v>
      </c>
      <c r="AN1510" s="0" t="s">
        <v>145</v>
      </c>
      <c r="AO1510" s="0" t="s">
        <v>654</v>
      </c>
      <c r="AP1510" s="0" t="s">
        <v>655</v>
      </c>
      <c r="AQ1510" s="0" t="n">
        <v>9</v>
      </c>
      <c r="AR1510" s="0" t="n">
        <v>64</v>
      </c>
      <c r="AS1510" s="0" t="n">
        <v>32</v>
      </c>
      <c r="AU1510" s="0" t="n">
        <f aca="false">COUNTA($BA$1644:$EH$1644)</f>
        <v>1</v>
      </c>
      <c r="AV1510" s="0" t="n">
        <f aca="false">COUNTIF($BA$1644:$EH$1644,"D")</f>
        <v>0</v>
      </c>
      <c r="AW1510" s="0" t="n">
        <f aca="false">COUNTIF($BA$1644:$EH$1644,"R")</f>
        <v>0</v>
      </c>
      <c r="AX1510" s="0" t="n">
        <f aca="false">IF(BN1510="D",1,0)+IF(BO1510="D",1,0)+IF(BT1510="D",1,0)+IF(BU1510="D",1,0)+IF(BW1510="D",1,0)+IF(CC1510="D",1,0)+IF(CD1510="D",1,0)+IF(CE1510="D",1,0)+IF(CF1510="D",1,0)+IF(CL1510="D",1,0)+IF(CM1510="D",1,0)+IF(CQ1510="D",1,0)+IF(CR1510="D",1,0)+IF(CS1510="D",1,0)+IF(CW1510="D",1,0)+IF(CX1510="D",1,0)+IF(DD1510="D",1,0)+IF(DE1510="D",1,0)+IF(DJ1510="D",1,0)+IF(DK1510="D",1,0)+IF(DO1510="D",1,0)+IF(DP1510="D",1,0)+IF(DQ1510="D",1,0)+IF(DW1510="D",1,0)+IF(DZ1510="D",1,0)+IF(EH1510="D",1,0)</f>
        <v>0</v>
      </c>
      <c r="AY1510" s="0" t="n">
        <f aca="false">COUNTIF(DU1510:EH1510, "&lt;&gt;")</f>
        <v>0</v>
      </c>
      <c r="AZ1510" s="0" t="n">
        <f aca="false">IF(EH1510&lt;&gt;"",1,0)</f>
        <v>0</v>
      </c>
      <c r="BB1510" s="0" t="s">
        <v>152</v>
      </c>
    </row>
    <row r="1511" customFormat="false" ht="13.8" hidden="true" customHeight="false" outlineLevel="0" collapsed="false">
      <c r="A1511" s="0" t="s">
        <v>6920</v>
      </c>
      <c r="B1511" s="0" t="n">
        <v>78</v>
      </c>
      <c r="C1511" s="0" t="n">
        <v>463236</v>
      </c>
      <c r="D1511" s="0" t="s">
        <v>3177</v>
      </c>
      <c r="E1511" s="0" t="s">
        <v>2444</v>
      </c>
      <c r="F1511" s="0" t="str">
        <f aca="false">CONCATENATE(D1511," ",LEFT(H1511,4),"T=",AU1511,"D=",AV1511,"R=",AW1511,"M=",AX1511,"L=",AY1511,"B=",AZ1511)</f>
        <v>MURRAY T=15D=1R=0M=0L=0B=0</v>
      </c>
      <c r="G1511" s="0" t="s">
        <v>209</v>
      </c>
      <c r="I1511" s="0" t="s">
        <v>6921</v>
      </c>
      <c r="J1511" s="0" t="s">
        <v>3810</v>
      </c>
      <c r="K1511" s="0" t="s">
        <v>160</v>
      </c>
      <c r="M1511" s="0" t="s">
        <v>6910</v>
      </c>
      <c r="N1511" s="0" t="str">
        <f aca="false">RIGHT(M1511,LEN(M1511)-FIND(" ",M1511))</f>
        <v>LOWELL AVE NE</v>
      </c>
      <c r="P1511" s="0" t="s">
        <v>145</v>
      </c>
      <c r="Q1511" s="0" t="s">
        <v>146</v>
      </c>
      <c r="R1511" s="0" t="n">
        <v>44483</v>
      </c>
      <c r="AD1511" s="0" t="s">
        <v>147</v>
      </c>
      <c r="AE1511" s="0" t="s">
        <v>148</v>
      </c>
      <c r="AF1511" s="0" t="s">
        <v>149</v>
      </c>
      <c r="AH1511" s="0" t="n">
        <v>14</v>
      </c>
      <c r="AI1511" s="0" t="n">
        <v>11</v>
      </c>
      <c r="AN1511" s="0" t="s">
        <v>145</v>
      </c>
      <c r="AO1511" s="0" t="s">
        <v>654</v>
      </c>
      <c r="AP1511" s="0" t="s">
        <v>655</v>
      </c>
      <c r="AQ1511" s="0" t="n">
        <v>9</v>
      </c>
      <c r="AR1511" s="0" t="n">
        <v>64</v>
      </c>
      <c r="AS1511" s="0" t="n">
        <v>32</v>
      </c>
      <c r="AU1511" s="0" t="n">
        <f aca="false">COUNTA($BA$1666:$EH$1666)</f>
        <v>15</v>
      </c>
      <c r="AV1511" s="0" t="n">
        <f aca="false">COUNTIF($BA$1666:$EH$1666,"D")</f>
        <v>1</v>
      </c>
      <c r="AW1511" s="0" t="n">
        <f aca="false">COUNTIF($BA$1666:$EH$1666,"R")</f>
        <v>0</v>
      </c>
      <c r="AX1511" s="0" t="n">
        <f aca="false">IF(BN1511="D",1,0)+IF(BO1511="D",1,0)+IF(BT1511="D",1,0)+IF(BU1511="D",1,0)+IF(BW1511="D",1,0)+IF(CC1511="D",1,0)+IF(CD1511="D",1,0)+IF(CE1511="D",1,0)+IF(CF1511="D",1,0)+IF(CL1511="D",1,0)+IF(CM1511="D",1,0)+IF(CQ1511="D",1,0)+IF(CR1511="D",1,0)+IF(CS1511="D",1,0)+IF(CW1511="D",1,0)+IF(CX1511="D",1,0)+IF(DD1511="D",1,0)+IF(DE1511="D",1,0)+IF(DJ1511="D",1,0)+IF(DK1511="D",1,0)+IF(DO1511="D",1,0)+IF(DP1511="D",1,0)+IF(DQ1511="D",1,0)+IF(DW1511="D",1,0)+IF(DZ1511="D",1,0)+IF(EH1511="D",1,0)</f>
        <v>0</v>
      </c>
      <c r="AY1511" s="0" t="n">
        <f aca="false">COUNTIF(DU1511:EH1511, "&lt;&gt;")</f>
        <v>0</v>
      </c>
      <c r="AZ1511" s="0" t="n">
        <f aca="false">IF(EH1511&lt;&gt;"",1,0)</f>
        <v>0</v>
      </c>
      <c r="BB1511" s="0" t="s">
        <v>152</v>
      </c>
    </row>
    <row r="1512" customFormat="false" ht="13.8" hidden="true" customHeight="false" outlineLevel="0" collapsed="false">
      <c r="A1512" s="0" t="s">
        <v>6922</v>
      </c>
      <c r="B1512" s="0" t="n">
        <v>78</v>
      </c>
      <c r="C1512" s="0" t="n">
        <v>368563</v>
      </c>
      <c r="D1512" s="0" t="s">
        <v>6923</v>
      </c>
      <c r="E1512" s="0" t="s">
        <v>6287</v>
      </c>
      <c r="F1512" s="0" t="str">
        <f aca="false">CONCATENATE(D1512," ",LEFT(H1512,4),"T=",AU1512,"D=",AV1512,"R=",AW1512,"M=",AX1512,"L=",AY1512,"B=",AZ1512)</f>
        <v>LEPOLA T=5D=0R=0M=0L=0B=0</v>
      </c>
      <c r="G1512" s="0" t="s">
        <v>839</v>
      </c>
      <c r="I1512" s="0" t="s">
        <v>6924</v>
      </c>
      <c r="J1512" s="0" t="s">
        <v>6925</v>
      </c>
      <c r="K1512" s="0" t="s">
        <v>143</v>
      </c>
      <c r="M1512" s="0" t="s">
        <v>6926</v>
      </c>
      <c r="N1512" s="0" t="str">
        <f aca="false">RIGHT(M1512,LEN(M1512)-FIND(" ",M1512))</f>
        <v>LOWELL AVE NE</v>
      </c>
      <c r="P1512" s="0" t="s">
        <v>145</v>
      </c>
      <c r="Q1512" s="0" t="s">
        <v>146</v>
      </c>
      <c r="R1512" s="0" t="n">
        <v>44483</v>
      </c>
      <c r="AD1512" s="0" t="s">
        <v>147</v>
      </c>
      <c r="AE1512" s="0" t="s">
        <v>148</v>
      </c>
      <c r="AF1512" s="0" t="s">
        <v>149</v>
      </c>
      <c r="AH1512" s="0" t="n">
        <v>14</v>
      </c>
      <c r="AI1512" s="0" t="n">
        <v>11</v>
      </c>
      <c r="AN1512" s="0" t="s">
        <v>145</v>
      </c>
      <c r="AO1512" s="0" t="s">
        <v>654</v>
      </c>
      <c r="AP1512" s="0" t="s">
        <v>655</v>
      </c>
      <c r="AQ1512" s="0" t="n">
        <v>9</v>
      </c>
      <c r="AR1512" s="0" t="n">
        <v>64</v>
      </c>
      <c r="AS1512" s="0" t="n">
        <v>32</v>
      </c>
      <c r="AU1512" s="0" t="n">
        <f aca="false">COUNTA($BA$1606:$EH$1606)</f>
        <v>5</v>
      </c>
      <c r="AV1512" s="0" t="n">
        <f aca="false">COUNTIF($BA$1606:$EH$1606,"D")</f>
        <v>0</v>
      </c>
      <c r="AW1512" s="0" t="n">
        <f aca="false">COUNTIF($BA$1606:$EH$1606,"R")</f>
        <v>0</v>
      </c>
      <c r="AX1512" s="0" t="n">
        <f aca="false">IF(BN1512="D",1,0)+IF(BO1512="D",1,0)+IF(BT1512="D",1,0)+IF(BU1512="D",1,0)+IF(BW1512="D",1,0)+IF(CC1512="D",1,0)+IF(CD1512="D",1,0)+IF(CE1512="D",1,0)+IF(CF1512="D",1,0)+IF(CL1512="D",1,0)+IF(CM1512="D",1,0)+IF(CQ1512="D",1,0)+IF(CR1512="D",1,0)+IF(CS1512="D",1,0)+IF(CW1512="D",1,0)+IF(CX1512="D",1,0)+IF(DD1512="D",1,0)+IF(DE1512="D",1,0)+IF(DJ1512="D",1,0)+IF(DK1512="D",1,0)+IF(DO1512="D",1,0)+IF(DP1512="D",1,0)+IF(DQ1512="D",1,0)+IF(DW1512="D",1,0)+IF(DZ1512="D",1,0)+IF(EH1512="D",1,0)</f>
        <v>0</v>
      </c>
      <c r="AY1512" s="0" t="n">
        <f aca="false">COUNTIF(DU1512:EH1512, "&lt;&gt;")</f>
        <v>0</v>
      </c>
      <c r="AZ1512" s="0" t="n">
        <f aca="false">IF(EH1512&lt;&gt;"",1,0)</f>
        <v>0</v>
      </c>
      <c r="BB1512" s="0" t="s">
        <v>152</v>
      </c>
    </row>
    <row r="1513" customFormat="false" ht="13.8" hidden="false" customHeight="false" outlineLevel="0" collapsed="false">
      <c r="A1513" s="0" t="s">
        <v>6927</v>
      </c>
      <c r="B1513" s="0" t="n">
        <v>78</v>
      </c>
      <c r="C1513" s="0" t="n">
        <v>259603</v>
      </c>
      <c r="D1513" s="0" t="s">
        <v>532</v>
      </c>
      <c r="E1513" s="0" t="s">
        <v>3018</v>
      </c>
      <c r="F1513" s="0" t="str">
        <f aca="false">CONCATENATE(D1513," ",LEFT(H1513,4),"T=",AU1513,"D=",AV1513,"R=",AW1513,"M=",AX1513,"L=",AY1513,"B=",AZ1513)</f>
        <v>MEADE T=33D=4R=1M=0L=2B=0</v>
      </c>
      <c r="I1513" s="0" t="s">
        <v>6928</v>
      </c>
      <c r="J1513" s="0" t="s">
        <v>6929</v>
      </c>
      <c r="K1513" s="0" t="s">
        <v>160</v>
      </c>
      <c r="M1513" s="0" t="s">
        <v>6930</v>
      </c>
      <c r="N1513" s="0" t="str">
        <f aca="false">RIGHT(M1513,LEN(M1513)-FIND(" ",M1513))</f>
        <v>LOWELL AVE NE</v>
      </c>
      <c r="P1513" s="0" t="s">
        <v>145</v>
      </c>
      <c r="Q1513" s="0" t="s">
        <v>146</v>
      </c>
      <c r="R1513" s="0" t="n">
        <v>44483</v>
      </c>
      <c r="AD1513" s="0" t="s">
        <v>147</v>
      </c>
      <c r="AE1513" s="0" t="s">
        <v>148</v>
      </c>
      <c r="AF1513" s="0" t="s">
        <v>149</v>
      </c>
      <c r="AH1513" s="0" t="n">
        <v>14</v>
      </c>
      <c r="AI1513" s="0" t="n">
        <v>11</v>
      </c>
      <c r="AN1513" s="0" t="s">
        <v>145</v>
      </c>
      <c r="AO1513" s="0" t="s">
        <v>654</v>
      </c>
      <c r="AP1513" s="0" t="s">
        <v>655</v>
      </c>
      <c r="AQ1513" s="0" t="n">
        <v>9</v>
      </c>
      <c r="AR1513" s="0" t="n">
        <v>64</v>
      </c>
      <c r="AS1513" s="0" t="n">
        <v>32</v>
      </c>
      <c r="AU1513" s="0" t="n">
        <f aca="false">COUNTA($BA$1876:$EH$1876)</f>
        <v>33</v>
      </c>
      <c r="AV1513" s="0" t="n">
        <f aca="false">COUNTIF($BA$1876:$EH$1876,"D")</f>
        <v>4</v>
      </c>
      <c r="AW1513" s="0" t="n">
        <f aca="false">COUNTIF($BA$1876:$EH$1876,"R")</f>
        <v>1</v>
      </c>
      <c r="AX1513" s="0" t="n">
        <f aca="false">IF(BN1513="D",1,0)+IF(BO1513="D",1,0)+IF(BT1513="D",1,0)+IF(BU1513="D",1,0)+IF(BW1513="D",1,0)+IF(CC1513="D",1,0)+IF(CD1513="D",1,0)+IF(CE1513="D",1,0)+IF(CF1513="D",1,0)+IF(CL1513="D",1,0)+IF(CM1513="D",1,0)+IF(CQ1513="D",1,0)+IF(CR1513="D",1,0)+IF(CS1513="D",1,0)+IF(CW1513="D",1,0)+IF(CX1513="D",1,0)+IF(DD1513="D",1,0)+IF(DE1513="D",1,0)+IF(DJ1513="D",1,0)+IF(DK1513="D",1,0)+IF(DO1513="D",1,0)+IF(DP1513="D",1,0)+IF(DQ1513="D",1,0)+IF(DW1513="D",1,0)+IF(DZ1513="D",1,0)+IF(EH1513="D",1,0)</f>
        <v>0</v>
      </c>
      <c r="AY1513" s="0" t="n">
        <f aca="false">COUNTIF(DU1513:EH1513, "&lt;&gt;")</f>
        <v>2</v>
      </c>
      <c r="AZ1513" s="0" t="n">
        <f aca="false">IF(EH1513&lt;&gt;"",1,0)</f>
        <v>0</v>
      </c>
      <c r="BB1513" s="0" t="s">
        <v>152</v>
      </c>
      <c r="BC1513" s="0" t="s">
        <v>153</v>
      </c>
      <c r="BD1513" s="0" t="s">
        <v>153</v>
      </c>
      <c r="BG1513" s="0" t="s">
        <v>153</v>
      </c>
      <c r="BH1513" s="0" t="s">
        <v>153</v>
      </c>
      <c r="BJ1513" s="0" t="s">
        <v>153</v>
      </c>
      <c r="BL1513" s="0" t="s">
        <v>153</v>
      </c>
      <c r="BP1513" s="0" t="s">
        <v>153</v>
      </c>
      <c r="BS1513" s="0" t="s">
        <v>153</v>
      </c>
      <c r="BV1513" s="0" t="s">
        <v>153</v>
      </c>
      <c r="CA1513" s="0" t="s">
        <v>153</v>
      </c>
      <c r="CG1513" s="0" t="s">
        <v>153</v>
      </c>
      <c r="CH1513" s="0" t="s">
        <v>209</v>
      </c>
      <c r="CK1513" s="0" t="s">
        <v>153</v>
      </c>
      <c r="CN1513" s="0" t="s">
        <v>153</v>
      </c>
      <c r="CO1513" s="0" t="s">
        <v>209</v>
      </c>
      <c r="CP1513" s="0" t="s">
        <v>153</v>
      </c>
      <c r="CV1513" s="0" t="s">
        <v>153</v>
      </c>
      <c r="CY1513" s="0" t="s">
        <v>153</v>
      </c>
      <c r="CZ1513" s="0" t="s">
        <v>209</v>
      </c>
      <c r="DC1513" s="0" t="s">
        <v>153</v>
      </c>
      <c r="DI1513" s="0" t="s">
        <v>153</v>
      </c>
      <c r="DN1513" s="0" t="s">
        <v>153</v>
      </c>
      <c r="DU1513" s="0" t="s">
        <v>153</v>
      </c>
      <c r="EF1513" s="0" t="s">
        <v>153</v>
      </c>
    </row>
    <row r="1514" customFormat="false" ht="13.8" hidden="true" customHeight="false" outlineLevel="0" collapsed="false">
      <c r="A1514" s="0" t="s">
        <v>6931</v>
      </c>
      <c r="B1514" s="0" t="n">
        <v>78</v>
      </c>
      <c r="C1514" s="0" t="n">
        <v>435167</v>
      </c>
      <c r="D1514" s="0" t="s">
        <v>532</v>
      </c>
      <c r="E1514" s="0" t="s">
        <v>2555</v>
      </c>
      <c r="F1514" s="0" t="str">
        <f aca="false">CONCATENATE(D1514," ",LEFT(H1514,4),"T=",AU1514,"D=",AV1514,"R=",AW1514,"M=",AX1514,"L=",AY1514,"B=",AZ1514)</f>
        <v>MEADE T=5D=1R=0M=0L=0B=0</v>
      </c>
      <c r="G1514" s="0" t="s">
        <v>1617</v>
      </c>
      <c r="I1514" s="0" t="s">
        <v>6932</v>
      </c>
      <c r="J1514" s="0" t="s">
        <v>6933</v>
      </c>
      <c r="K1514" s="0" t="s">
        <v>143</v>
      </c>
      <c r="M1514" s="0" t="s">
        <v>6930</v>
      </c>
      <c r="N1514" s="0" t="str">
        <f aca="false">RIGHT(M1514,LEN(M1514)-FIND(" ",M1514))</f>
        <v>LOWELL AVE NE</v>
      </c>
      <c r="P1514" s="0" t="s">
        <v>145</v>
      </c>
      <c r="Q1514" s="0" t="s">
        <v>146</v>
      </c>
      <c r="R1514" s="0" t="n">
        <v>44483</v>
      </c>
      <c r="AD1514" s="0" t="s">
        <v>147</v>
      </c>
      <c r="AE1514" s="0" t="s">
        <v>148</v>
      </c>
      <c r="AF1514" s="0" t="s">
        <v>149</v>
      </c>
      <c r="AH1514" s="0" t="n">
        <v>14</v>
      </c>
      <c r="AI1514" s="0" t="n">
        <v>11</v>
      </c>
      <c r="AN1514" s="0" t="s">
        <v>145</v>
      </c>
      <c r="AO1514" s="0" t="s">
        <v>654</v>
      </c>
      <c r="AP1514" s="0" t="s">
        <v>655</v>
      </c>
      <c r="AQ1514" s="0" t="n">
        <v>9</v>
      </c>
      <c r="AR1514" s="0" t="n">
        <v>64</v>
      </c>
      <c r="AS1514" s="0" t="n">
        <v>32</v>
      </c>
      <c r="AU1514" s="0" t="n">
        <f aca="false">COUNTA($BA$1914:$EH$1914)</f>
        <v>5</v>
      </c>
      <c r="AV1514" s="0" t="n">
        <f aca="false">COUNTIF($BA$1914:$EH$1914,"D")</f>
        <v>1</v>
      </c>
      <c r="AW1514" s="0" t="n">
        <f aca="false">COUNTIF($BA$1914:$EH$1914,"R")</f>
        <v>0</v>
      </c>
      <c r="AX1514" s="0" t="n">
        <f aca="false">IF(BN1514="D",1,0)+IF(BO1514="D",1,0)+IF(BT1514="D",1,0)+IF(BU1514="D",1,0)+IF(BW1514="D",1,0)+IF(CC1514="D",1,0)+IF(CD1514="D",1,0)+IF(CE1514="D",1,0)+IF(CF1514="D",1,0)+IF(CL1514="D",1,0)+IF(CM1514="D",1,0)+IF(CQ1514="D",1,0)+IF(CR1514="D",1,0)+IF(CS1514="D",1,0)+IF(CW1514="D",1,0)+IF(CX1514="D",1,0)+IF(DD1514="D",1,0)+IF(DE1514="D",1,0)+IF(DJ1514="D",1,0)+IF(DK1514="D",1,0)+IF(DO1514="D",1,0)+IF(DP1514="D",1,0)+IF(DQ1514="D",1,0)+IF(DW1514="D",1,0)+IF(DZ1514="D",1,0)+IF(EH1514="D",1,0)</f>
        <v>0</v>
      </c>
      <c r="AY1514" s="0" t="n">
        <f aca="false">COUNTIF(DU1514:EH1514, "&lt;&gt;")</f>
        <v>0</v>
      </c>
      <c r="AZ1514" s="0" t="n">
        <f aca="false">IF(EH1514&lt;&gt;"",1,0)</f>
        <v>0</v>
      </c>
      <c r="BB1514" s="0" t="s">
        <v>152</v>
      </c>
    </row>
    <row r="1515" customFormat="false" ht="13.8" hidden="false" customHeight="false" outlineLevel="0" collapsed="false">
      <c r="A1515" s="0" t="s">
        <v>6934</v>
      </c>
      <c r="B1515" s="0" t="n">
        <v>78</v>
      </c>
      <c r="C1515" s="0" t="n">
        <v>279527</v>
      </c>
      <c r="D1515" s="0" t="s">
        <v>532</v>
      </c>
      <c r="E1515" s="0" t="s">
        <v>943</v>
      </c>
      <c r="F1515" s="0" t="str">
        <f aca="false">CONCATENATE(D1515," ",LEFT(H1515,4),"T=",AU1515,"D=",AV1515,"R=",AW1515,"M=",AX1515,"L=",AY1515,"B=",AZ1515)</f>
        <v>MEADE T=40D=7R=0M=0L=2B=0</v>
      </c>
      <c r="I1515" s="0" t="s">
        <v>6935</v>
      </c>
      <c r="J1515" s="0" t="s">
        <v>6936</v>
      </c>
      <c r="K1515" s="0" t="s">
        <v>160</v>
      </c>
      <c r="M1515" s="0" t="s">
        <v>6930</v>
      </c>
      <c r="N1515" s="0" t="str">
        <f aca="false">RIGHT(M1515,LEN(M1515)-FIND(" ",M1515))</f>
        <v>LOWELL AVE NE</v>
      </c>
      <c r="P1515" s="0" t="s">
        <v>145</v>
      </c>
      <c r="Q1515" s="0" t="s">
        <v>146</v>
      </c>
      <c r="R1515" s="0" t="n">
        <v>44483</v>
      </c>
      <c r="AD1515" s="0" t="s">
        <v>147</v>
      </c>
      <c r="AE1515" s="0" t="s">
        <v>148</v>
      </c>
      <c r="AF1515" s="0" t="s">
        <v>149</v>
      </c>
      <c r="AH1515" s="0" t="n">
        <v>14</v>
      </c>
      <c r="AI1515" s="0" t="n">
        <v>11</v>
      </c>
      <c r="AN1515" s="0" t="s">
        <v>145</v>
      </c>
      <c r="AO1515" s="0" t="s">
        <v>654</v>
      </c>
      <c r="AP1515" s="0" t="s">
        <v>655</v>
      </c>
      <c r="AQ1515" s="0" t="n">
        <v>9</v>
      </c>
      <c r="AR1515" s="0" t="n">
        <v>64</v>
      </c>
      <c r="AS1515" s="0" t="n">
        <v>32</v>
      </c>
      <c r="AU1515" s="0" t="n">
        <f aca="false">COUNTA($BA$1956:$EH$1956)</f>
        <v>40</v>
      </c>
      <c r="AV1515" s="0" t="n">
        <f aca="false">COUNTIF($BA$1956:$EH$1956,"D")</f>
        <v>7</v>
      </c>
      <c r="AW1515" s="0" t="n">
        <f aca="false">COUNTIF($BA$1956:$EH$1956,"R")</f>
        <v>0</v>
      </c>
      <c r="AX1515" s="0" t="n">
        <f aca="false">IF(BN1515="D",1,0)+IF(BO1515="D",1,0)+IF(BT1515="D",1,0)+IF(BU1515="D",1,0)+IF(BW1515="D",1,0)+IF(CC1515="D",1,0)+IF(CD1515="D",1,0)+IF(CE1515="D",1,0)+IF(CF1515="D",1,0)+IF(CL1515="D",1,0)+IF(CM1515="D",1,0)+IF(CQ1515="D",1,0)+IF(CR1515="D",1,0)+IF(CS1515="D",1,0)+IF(CW1515="D",1,0)+IF(CX1515="D",1,0)+IF(DD1515="D",1,0)+IF(DE1515="D",1,0)+IF(DJ1515="D",1,0)+IF(DK1515="D",1,0)+IF(DO1515="D",1,0)+IF(DP1515="D",1,0)+IF(DQ1515="D",1,0)+IF(DW1515="D",1,0)+IF(DZ1515="D",1,0)+IF(EH1515="D",1,0)</f>
        <v>0</v>
      </c>
      <c r="AY1515" s="0" t="n">
        <f aca="false">COUNTIF(DU1515:EH1515, "&lt;&gt;")</f>
        <v>2</v>
      </c>
      <c r="AZ1515" s="0" t="n">
        <f aca="false">IF(EH1515&lt;&gt;"",1,0)</f>
        <v>0</v>
      </c>
      <c r="BB1515" s="0" t="s">
        <v>152</v>
      </c>
      <c r="BC1515" s="0" t="s">
        <v>153</v>
      </c>
      <c r="BD1515" s="0" t="s">
        <v>153</v>
      </c>
      <c r="BL1515" s="0" t="s">
        <v>153</v>
      </c>
      <c r="BS1515" s="0" t="s">
        <v>153</v>
      </c>
      <c r="BV1515" s="0" t="s">
        <v>153</v>
      </c>
      <c r="CA1515" s="0" t="s">
        <v>153</v>
      </c>
      <c r="CG1515" s="0" t="s">
        <v>153</v>
      </c>
      <c r="CH1515" s="0" t="s">
        <v>209</v>
      </c>
      <c r="CK1515" s="0" t="s">
        <v>153</v>
      </c>
      <c r="CN1515" s="0" t="s">
        <v>153</v>
      </c>
      <c r="CO1515" s="0" t="s">
        <v>209</v>
      </c>
      <c r="CP1515" s="0" t="s">
        <v>153</v>
      </c>
      <c r="CV1515" s="0" t="s">
        <v>153</v>
      </c>
      <c r="CY1515" s="0" t="s">
        <v>153</v>
      </c>
      <c r="CZ1515" s="0" t="s">
        <v>209</v>
      </c>
      <c r="DC1515" s="0" t="s">
        <v>153</v>
      </c>
      <c r="DI1515" s="0" t="s">
        <v>153</v>
      </c>
      <c r="DN1515" s="0" t="s">
        <v>153</v>
      </c>
      <c r="DU1515" s="0" t="s">
        <v>153</v>
      </c>
      <c r="EF1515" s="0" t="s">
        <v>153</v>
      </c>
    </row>
    <row r="1516" customFormat="false" ht="13.8" hidden="true" customHeight="false" outlineLevel="0" collapsed="false">
      <c r="A1516" s="0" t="s">
        <v>6937</v>
      </c>
      <c r="B1516" s="0" t="n">
        <v>78</v>
      </c>
      <c r="C1516" s="0" t="n">
        <v>411643</v>
      </c>
      <c r="D1516" s="0" t="s">
        <v>6938</v>
      </c>
      <c r="E1516" s="0" t="s">
        <v>1143</v>
      </c>
      <c r="F1516" s="0" t="str">
        <f aca="false">CONCATENATE(D1516," ",LEFT(H1516,4),"T=",AU1516,"D=",AV1516,"R=",AW1516,"M=",AX1516,"L=",AY1516,"B=",AZ1516)</f>
        <v>BOWER T=7D=0R=0M=0L=0B=0</v>
      </c>
      <c r="G1516" s="0" t="s">
        <v>255</v>
      </c>
      <c r="I1516" s="0" t="s">
        <v>6939</v>
      </c>
      <c r="J1516" s="0" t="s">
        <v>6940</v>
      </c>
      <c r="K1516" s="0" t="s">
        <v>160</v>
      </c>
      <c r="M1516" s="0" t="s">
        <v>6930</v>
      </c>
      <c r="N1516" s="0" t="str">
        <f aca="false">RIGHT(M1516,LEN(M1516)-FIND(" ",M1516))</f>
        <v>LOWELL AVE NE</v>
      </c>
      <c r="P1516" s="0" t="s">
        <v>145</v>
      </c>
      <c r="Q1516" s="0" t="s">
        <v>146</v>
      </c>
      <c r="R1516" s="0" t="n">
        <v>44483</v>
      </c>
      <c r="AD1516" s="0" t="s">
        <v>147</v>
      </c>
      <c r="AE1516" s="0" t="s">
        <v>148</v>
      </c>
      <c r="AF1516" s="0" t="s">
        <v>149</v>
      </c>
      <c r="AH1516" s="0" t="n">
        <v>14</v>
      </c>
      <c r="AI1516" s="0" t="n">
        <v>11</v>
      </c>
      <c r="AN1516" s="0" t="s">
        <v>145</v>
      </c>
      <c r="AO1516" s="0" t="s">
        <v>654</v>
      </c>
      <c r="AP1516" s="0" t="s">
        <v>655</v>
      </c>
      <c r="AQ1516" s="0" t="n">
        <v>9</v>
      </c>
      <c r="AR1516" s="0" t="n">
        <v>64</v>
      </c>
      <c r="AS1516" s="0" t="n">
        <v>32</v>
      </c>
      <c r="AU1516" s="0" t="n">
        <f aca="false">COUNTA($BA$2033:$EH$2033)</f>
        <v>7</v>
      </c>
      <c r="AV1516" s="0" t="n">
        <f aca="false">COUNTIF($BA$2033:$EH$2033,"D")</f>
        <v>0</v>
      </c>
      <c r="AW1516" s="0" t="n">
        <f aca="false">COUNTIF($BA$2033:$EH$2033,"R")</f>
        <v>0</v>
      </c>
      <c r="AX1516" s="0" t="n">
        <f aca="false">IF(BN1516="D",1,0)+IF(BO1516="D",1,0)+IF(BT1516="D",1,0)+IF(BU1516="D",1,0)+IF(BW1516="D",1,0)+IF(CC1516="D",1,0)+IF(CD1516="D",1,0)+IF(CE1516="D",1,0)+IF(CF1516="D",1,0)+IF(CL1516="D",1,0)+IF(CM1516="D",1,0)+IF(CQ1516="D",1,0)+IF(CR1516="D",1,0)+IF(CS1516="D",1,0)+IF(CW1516="D",1,0)+IF(CX1516="D",1,0)+IF(DD1516="D",1,0)+IF(DE1516="D",1,0)+IF(DJ1516="D",1,0)+IF(DK1516="D",1,0)+IF(DO1516="D",1,0)+IF(DP1516="D",1,0)+IF(DQ1516="D",1,0)+IF(DW1516="D",1,0)+IF(DZ1516="D",1,0)+IF(EH1516="D",1,0)</f>
        <v>0</v>
      </c>
      <c r="AY1516" s="0" t="n">
        <f aca="false">COUNTIF(DU1516:EH1516, "&lt;&gt;")</f>
        <v>0</v>
      </c>
      <c r="AZ1516" s="0" t="n">
        <f aca="false">IF(EH1516&lt;&gt;"",1,0)</f>
        <v>0</v>
      </c>
      <c r="BB1516" s="0" t="s">
        <v>152</v>
      </c>
      <c r="DC1516" s="0" t="s">
        <v>153</v>
      </c>
    </row>
    <row r="1517" customFormat="false" ht="13.8" hidden="true" customHeight="false" outlineLevel="0" collapsed="false">
      <c r="A1517" s="0" t="s">
        <v>6941</v>
      </c>
      <c r="B1517" s="0" t="n">
        <v>78</v>
      </c>
      <c r="C1517" s="0" t="n">
        <v>418608</v>
      </c>
      <c r="D1517" s="0" t="s">
        <v>4574</v>
      </c>
      <c r="E1517" s="0" t="s">
        <v>215</v>
      </c>
      <c r="F1517" s="0" t="str">
        <f aca="false">CONCATENATE(D1517," ",LEFT(H1517,4),"T=",AU1517,"D=",AV1517,"R=",AW1517,"M=",AX1517,"L=",AY1517,"B=",AZ1517)</f>
        <v>ROWLAND T=1D=0R=0M=0L=0B=0</v>
      </c>
      <c r="G1517" s="0" t="s">
        <v>275</v>
      </c>
      <c r="I1517" s="0" t="s">
        <v>6942</v>
      </c>
      <c r="J1517" s="0" t="s">
        <v>6943</v>
      </c>
      <c r="K1517" s="0" t="s">
        <v>160</v>
      </c>
      <c r="M1517" s="0" t="s">
        <v>6944</v>
      </c>
      <c r="N1517" s="0" t="str">
        <f aca="false">RIGHT(M1517,LEN(M1517)-FIND(" ",M1517))</f>
        <v>MAHONING AVE NW</v>
      </c>
      <c r="P1517" s="0" t="s">
        <v>145</v>
      </c>
      <c r="Q1517" s="0" t="s">
        <v>146</v>
      </c>
      <c r="R1517" s="0" t="n">
        <v>44483</v>
      </c>
      <c r="AD1517" s="0" t="s">
        <v>147</v>
      </c>
      <c r="AE1517" s="0" t="s">
        <v>148</v>
      </c>
      <c r="AF1517" s="0" t="s">
        <v>149</v>
      </c>
      <c r="AH1517" s="0" t="n">
        <v>14</v>
      </c>
      <c r="AI1517" s="0" t="n">
        <v>11</v>
      </c>
      <c r="AN1517" s="0" t="s">
        <v>145</v>
      </c>
      <c r="AO1517" s="0" t="s">
        <v>654</v>
      </c>
      <c r="AP1517" s="0" t="s">
        <v>655</v>
      </c>
      <c r="AQ1517" s="0" t="n">
        <v>9</v>
      </c>
      <c r="AR1517" s="0" t="n">
        <v>64</v>
      </c>
      <c r="AS1517" s="0" t="n">
        <v>32</v>
      </c>
      <c r="AU1517" s="0" t="n">
        <f aca="false">COUNTA($BA$1106:$EH$1106)</f>
        <v>1</v>
      </c>
      <c r="AV1517" s="0" t="n">
        <f aca="false">COUNTIF($BA$1106:$EH$1106,"D")</f>
        <v>0</v>
      </c>
      <c r="AW1517" s="0" t="n">
        <f aca="false">COUNTIF($BA$1106:$EH$1106,"R")</f>
        <v>0</v>
      </c>
      <c r="AX1517" s="0" t="n">
        <f aca="false">IF(BN1517="D",1,0)+IF(BO1517="D",1,0)+IF(BT1517="D",1,0)+IF(BU1517="D",1,0)+IF(BW1517="D",1,0)+IF(CC1517="D",1,0)+IF(CD1517="D",1,0)+IF(CE1517="D",1,0)+IF(CF1517="D",1,0)+IF(CL1517="D",1,0)+IF(CM1517="D",1,0)+IF(CQ1517="D",1,0)+IF(CR1517="D",1,0)+IF(CS1517="D",1,0)+IF(CW1517="D",1,0)+IF(CX1517="D",1,0)+IF(DD1517="D",1,0)+IF(DE1517="D",1,0)+IF(DJ1517="D",1,0)+IF(DK1517="D",1,0)+IF(DO1517="D",1,0)+IF(DP1517="D",1,0)+IF(DQ1517="D",1,0)+IF(DW1517="D",1,0)+IF(DZ1517="D",1,0)+IF(EH1517="D",1,0)</f>
        <v>0</v>
      </c>
      <c r="AY1517" s="0" t="n">
        <f aca="false">COUNTIF(DU1517:EH1517, "&lt;&gt;")</f>
        <v>0</v>
      </c>
      <c r="AZ1517" s="0" t="n">
        <f aca="false">IF(EH1517&lt;&gt;"",1,0)</f>
        <v>0</v>
      </c>
      <c r="BB1517" s="0" t="s">
        <v>152</v>
      </c>
    </row>
    <row r="1518" customFormat="false" ht="13.8" hidden="true" customHeight="false" outlineLevel="0" collapsed="false">
      <c r="A1518" s="0" t="s">
        <v>6945</v>
      </c>
      <c r="B1518" s="0" t="n">
        <v>78</v>
      </c>
      <c r="C1518" s="0" t="n">
        <v>422957</v>
      </c>
      <c r="D1518" s="0" t="s">
        <v>4972</v>
      </c>
      <c r="E1518" s="0" t="s">
        <v>237</v>
      </c>
      <c r="F1518" s="0" t="str">
        <f aca="false">CONCATENATE(D1518," ",LEFT(H1518,4),"T=",AU1518,"D=",AV1518,"R=",AW1518,"M=",AX1518,"L=",AY1518,"B=",AZ1518)</f>
        <v>BURDICK T=1D=0R=0M=0L=0B=0</v>
      </c>
      <c r="G1518" s="0" t="s">
        <v>1031</v>
      </c>
      <c r="I1518" s="0" t="s">
        <v>6946</v>
      </c>
      <c r="J1518" s="0" t="s">
        <v>6947</v>
      </c>
      <c r="K1518" s="0" t="s">
        <v>143</v>
      </c>
      <c r="M1518" s="0" t="s">
        <v>6944</v>
      </c>
      <c r="N1518" s="0" t="str">
        <f aca="false">RIGHT(M1518,LEN(M1518)-FIND(" ",M1518))</f>
        <v>MAHONING AVE NW</v>
      </c>
      <c r="O1518" s="0" t="s">
        <v>6948</v>
      </c>
      <c r="P1518" s="0" t="s">
        <v>145</v>
      </c>
      <c r="Q1518" s="0" t="s">
        <v>146</v>
      </c>
      <c r="R1518" s="0" t="n">
        <v>44483</v>
      </c>
      <c r="AD1518" s="0" t="s">
        <v>147</v>
      </c>
      <c r="AE1518" s="0" t="s">
        <v>148</v>
      </c>
      <c r="AF1518" s="0" t="s">
        <v>149</v>
      </c>
      <c r="AH1518" s="0" t="n">
        <v>14</v>
      </c>
      <c r="AI1518" s="0" t="n">
        <v>11</v>
      </c>
      <c r="AN1518" s="0" t="s">
        <v>145</v>
      </c>
      <c r="AO1518" s="0" t="s">
        <v>654</v>
      </c>
      <c r="AP1518" s="0" t="s">
        <v>655</v>
      </c>
      <c r="AQ1518" s="0" t="n">
        <v>9</v>
      </c>
      <c r="AR1518" s="0" t="n">
        <v>64</v>
      </c>
      <c r="AS1518" s="0" t="n">
        <v>32</v>
      </c>
      <c r="AU1518" s="0" t="n">
        <f aca="false">COUNTA($BA$1137:$EH$1137)</f>
        <v>1</v>
      </c>
      <c r="AV1518" s="0" t="n">
        <f aca="false">COUNTIF($BA$1137:$EH$1137,"D")</f>
        <v>0</v>
      </c>
      <c r="AW1518" s="0" t="n">
        <f aca="false">COUNTIF($BA$1137:$EH$1137,"R")</f>
        <v>0</v>
      </c>
      <c r="AX1518" s="0" t="n">
        <f aca="false">IF(BN1518="D",1,0)+IF(BO1518="D",1,0)+IF(BT1518="D",1,0)+IF(BU1518="D",1,0)+IF(BW1518="D",1,0)+IF(CC1518="D",1,0)+IF(CD1518="D",1,0)+IF(CE1518="D",1,0)+IF(CF1518="D",1,0)+IF(CL1518="D",1,0)+IF(CM1518="D",1,0)+IF(CQ1518="D",1,0)+IF(CR1518="D",1,0)+IF(CS1518="D",1,0)+IF(CW1518="D",1,0)+IF(CX1518="D",1,0)+IF(DD1518="D",1,0)+IF(DE1518="D",1,0)+IF(DJ1518="D",1,0)+IF(DK1518="D",1,0)+IF(DO1518="D",1,0)+IF(DP1518="D",1,0)+IF(DQ1518="D",1,0)+IF(DW1518="D",1,0)+IF(DZ1518="D",1,0)+IF(EH1518="D",1,0)</f>
        <v>0</v>
      </c>
      <c r="AY1518" s="0" t="n">
        <f aca="false">COUNTIF(DU1518:EH1518, "&lt;&gt;")</f>
        <v>0</v>
      </c>
      <c r="AZ1518" s="0" t="n">
        <f aca="false">IF(EH1518&lt;&gt;"",1,0)</f>
        <v>0</v>
      </c>
      <c r="BB1518" s="0" t="s">
        <v>152</v>
      </c>
      <c r="BS1518" s="0" t="s">
        <v>153</v>
      </c>
      <c r="BY1518" s="0" t="s">
        <v>175</v>
      </c>
      <c r="CA1518" s="0" t="s">
        <v>153</v>
      </c>
      <c r="CP1518" s="0" t="s">
        <v>153</v>
      </c>
      <c r="CY1518" s="0" t="s">
        <v>153</v>
      </c>
    </row>
    <row r="1519" customFormat="false" ht="13.8" hidden="true" customHeight="false" outlineLevel="0" collapsed="false">
      <c r="A1519" s="0" t="s">
        <v>6949</v>
      </c>
      <c r="B1519" s="0" t="n">
        <v>78</v>
      </c>
      <c r="C1519" s="0" t="n">
        <v>377259</v>
      </c>
      <c r="D1519" s="0" t="s">
        <v>6950</v>
      </c>
      <c r="E1519" s="0" t="s">
        <v>6951</v>
      </c>
      <c r="F1519" s="0" t="str">
        <f aca="false">CONCATENATE(D1519," ",LEFT(H1519,4),"T=",AU1519,"D=",AV1519,"R=",AW1519,"M=",AX1519,"L=",AY1519,"B=",AZ1519)</f>
        <v>TURSACK T=1D=0R=0M=0L=1B=0</v>
      </c>
      <c r="G1519" s="0" t="s">
        <v>6952</v>
      </c>
      <c r="I1519" s="0" t="s">
        <v>6953</v>
      </c>
      <c r="J1519" s="0" t="s">
        <v>6954</v>
      </c>
      <c r="K1519" s="0" t="s">
        <v>160</v>
      </c>
      <c r="M1519" s="0" t="s">
        <v>6944</v>
      </c>
      <c r="N1519" s="0" t="str">
        <f aca="false">RIGHT(M1519,LEN(M1519)-FIND(" ",M1519))</f>
        <v>MAHONING AVE NW</v>
      </c>
      <c r="O1519" s="0" t="s">
        <v>6955</v>
      </c>
      <c r="P1519" s="0" t="s">
        <v>145</v>
      </c>
      <c r="Q1519" s="0" t="s">
        <v>146</v>
      </c>
      <c r="R1519" s="0" t="n">
        <v>44483</v>
      </c>
      <c r="AD1519" s="0" t="s">
        <v>147</v>
      </c>
      <c r="AE1519" s="0" t="s">
        <v>148</v>
      </c>
      <c r="AF1519" s="0" t="s">
        <v>149</v>
      </c>
      <c r="AH1519" s="0" t="n">
        <v>14</v>
      </c>
      <c r="AI1519" s="0" t="n">
        <v>11</v>
      </c>
      <c r="AN1519" s="0" t="s">
        <v>145</v>
      </c>
      <c r="AO1519" s="0" t="s">
        <v>654</v>
      </c>
      <c r="AP1519" s="0" t="s">
        <v>655</v>
      </c>
      <c r="AQ1519" s="0" t="n">
        <v>9</v>
      </c>
      <c r="AR1519" s="0" t="n">
        <v>64</v>
      </c>
      <c r="AS1519" s="0" t="n">
        <v>32</v>
      </c>
      <c r="AU1519" s="0" t="n">
        <f aca="false">COUNTA($BA$1591:$EH$1591)</f>
        <v>1</v>
      </c>
      <c r="AV1519" s="0" t="n">
        <f aca="false">COUNTIF($BA$1591:$EH$1591,"D")</f>
        <v>0</v>
      </c>
      <c r="AW1519" s="0" t="n">
        <f aca="false">COUNTIF($BA$1591:$EH$1591,"R")</f>
        <v>0</v>
      </c>
      <c r="AX1519" s="0" t="n">
        <f aca="false">IF(BN1519="D",1,0)+IF(BO1519="D",1,0)+IF(BT1519="D",1,0)+IF(BU1519="D",1,0)+IF(BW1519="D",1,0)+IF(CC1519="D",1,0)+IF(CD1519="D",1,0)+IF(CE1519="D",1,0)+IF(CF1519="D",1,0)+IF(CL1519="D",1,0)+IF(CM1519="D",1,0)+IF(CQ1519="D",1,0)+IF(CR1519="D",1,0)+IF(CS1519="D",1,0)+IF(CW1519="D",1,0)+IF(CX1519="D",1,0)+IF(DD1519="D",1,0)+IF(DE1519="D",1,0)+IF(DJ1519="D",1,0)+IF(DK1519="D",1,0)+IF(DO1519="D",1,0)+IF(DP1519="D",1,0)+IF(DQ1519="D",1,0)+IF(DW1519="D",1,0)+IF(DZ1519="D",1,0)+IF(EH1519="D",1,0)</f>
        <v>0</v>
      </c>
      <c r="AY1519" s="0" t="n">
        <f aca="false">COUNTIF(DU1519:EH1519, "&lt;&gt;")</f>
        <v>1</v>
      </c>
      <c r="AZ1519" s="0" t="n">
        <f aca="false">IF(EH1519&lt;&gt;"",1,0)</f>
        <v>0</v>
      </c>
      <c r="BB1519" s="0" t="s">
        <v>152</v>
      </c>
      <c r="CP1519" s="0" t="s">
        <v>153</v>
      </c>
      <c r="CZ1519" s="0" t="s">
        <v>175</v>
      </c>
      <c r="DC1519" s="0" t="s">
        <v>153</v>
      </c>
      <c r="EF1519" s="0" t="s">
        <v>153</v>
      </c>
    </row>
    <row r="1520" customFormat="false" ht="13.8" hidden="true" customHeight="false" outlineLevel="0" collapsed="false">
      <c r="A1520" s="0" t="s">
        <v>6956</v>
      </c>
      <c r="B1520" s="0" t="n">
        <v>78</v>
      </c>
      <c r="C1520" s="0" t="n">
        <v>412135</v>
      </c>
      <c r="D1520" s="0" t="s">
        <v>6957</v>
      </c>
      <c r="E1520" s="0" t="s">
        <v>6958</v>
      </c>
      <c r="F1520" s="0" t="str">
        <f aca="false">CONCATENATE(D1520," ",LEFT(H1520,4),"T=",AU1520,"D=",AV1520,"R=",AW1520,"M=",AX1520,"L=",AY1520,"B=",AZ1520)</f>
        <v>FINEGAN T=10D=3R=0M=0L=0B=0</v>
      </c>
      <c r="G1520" s="0" t="s">
        <v>6959</v>
      </c>
      <c r="I1520" s="0" t="s">
        <v>6960</v>
      </c>
      <c r="J1520" s="0" t="s">
        <v>6961</v>
      </c>
      <c r="K1520" s="0" t="s">
        <v>143</v>
      </c>
      <c r="M1520" s="0" t="s">
        <v>6944</v>
      </c>
      <c r="N1520" s="0" t="str">
        <f aca="false">RIGHT(M1520,LEN(M1520)-FIND(" ",M1520))</f>
        <v>MAHONING AVE NW</v>
      </c>
      <c r="O1520" s="0" t="s">
        <v>6948</v>
      </c>
      <c r="P1520" s="0" t="s">
        <v>145</v>
      </c>
      <c r="Q1520" s="0" t="s">
        <v>146</v>
      </c>
      <c r="R1520" s="0" t="n">
        <v>44483</v>
      </c>
      <c r="AD1520" s="0" t="s">
        <v>147</v>
      </c>
      <c r="AE1520" s="0" t="s">
        <v>148</v>
      </c>
      <c r="AF1520" s="0" t="s">
        <v>149</v>
      </c>
      <c r="AH1520" s="0" t="n">
        <v>14</v>
      </c>
      <c r="AI1520" s="0" t="n">
        <v>11</v>
      </c>
      <c r="AN1520" s="0" t="s">
        <v>145</v>
      </c>
      <c r="AO1520" s="0" t="s">
        <v>654</v>
      </c>
      <c r="AP1520" s="0" t="s">
        <v>655</v>
      </c>
      <c r="AQ1520" s="0" t="n">
        <v>9</v>
      </c>
      <c r="AR1520" s="0" t="n">
        <v>64</v>
      </c>
      <c r="AS1520" s="0" t="n">
        <v>32</v>
      </c>
      <c r="AU1520" s="0" t="n">
        <f aca="false">COUNTA($BA$1908:$EH$1908)</f>
        <v>10</v>
      </c>
      <c r="AV1520" s="0" t="n">
        <f aca="false">COUNTIF($BA$1908:$EH$1908,"D")</f>
        <v>3</v>
      </c>
      <c r="AW1520" s="0" t="n">
        <f aca="false">COUNTIF($BA$1908:$EH$1908,"R")</f>
        <v>0</v>
      </c>
      <c r="AX1520" s="0" t="n">
        <f aca="false">IF(BN1520="D",1,0)+IF(BO1520="D",1,0)+IF(BT1520="D",1,0)+IF(BU1520="D",1,0)+IF(BW1520="D",1,0)+IF(CC1520="D",1,0)+IF(CD1520="D",1,0)+IF(CE1520="D",1,0)+IF(CF1520="D",1,0)+IF(CL1520="D",1,0)+IF(CM1520="D",1,0)+IF(CQ1520="D",1,0)+IF(CR1520="D",1,0)+IF(CS1520="D",1,0)+IF(CW1520="D",1,0)+IF(CX1520="D",1,0)+IF(DD1520="D",1,0)+IF(DE1520="D",1,0)+IF(DJ1520="D",1,0)+IF(DK1520="D",1,0)+IF(DO1520="D",1,0)+IF(DP1520="D",1,0)+IF(DQ1520="D",1,0)+IF(DW1520="D",1,0)+IF(DZ1520="D",1,0)+IF(EH1520="D",1,0)</f>
        <v>0</v>
      </c>
      <c r="AY1520" s="0" t="n">
        <f aca="false">COUNTIF(DU1520:EH1520, "&lt;&gt;")</f>
        <v>0</v>
      </c>
      <c r="AZ1520" s="0" t="n">
        <f aca="false">IF(EH1520&lt;&gt;"",1,0)</f>
        <v>0</v>
      </c>
      <c r="BB1520" s="0" t="s">
        <v>152</v>
      </c>
    </row>
    <row r="1521" customFormat="false" ht="13.8" hidden="false" customHeight="false" outlineLevel="0" collapsed="false">
      <c r="A1521" s="0" t="s">
        <v>6962</v>
      </c>
      <c r="B1521" s="0" t="n">
        <v>78</v>
      </c>
      <c r="C1521" s="0" t="n">
        <v>1006</v>
      </c>
      <c r="D1521" s="0" t="s">
        <v>621</v>
      </c>
      <c r="E1521" s="0" t="s">
        <v>6963</v>
      </c>
      <c r="F1521" s="0" t="str">
        <f aca="false">CONCATENATE(D1521," ",LEFT(H1521,4),"T=",AU1521,"D=",AV1521,"R=",AW1521,"M=",AX1521,"L=",AY1521,"B=",AZ1521)</f>
        <v>FREDERICK T=1D=0R=0M=5L=5B=1</v>
      </c>
      <c r="G1521" s="0" t="s">
        <v>190</v>
      </c>
      <c r="I1521" s="0" t="s">
        <v>6964</v>
      </c>
      <c r="J1521" s="0" t="s">
        <v>6965</v>
      </c>
      <c r="K1521" s="0" t="s">
        <v>160</v>
      </c>
      <c r="L1521" s="0" t="s">
        <v>175</v>
      </c>
      <c r="M1521" s="0" t="s">
        <v>6966</v>
      </c>
      <c r="N1521" s="0" t="str">
        <f aca="false">RIGHT(M1521,LEN(M1521)-FIND(" ",M1521))</f>
        <v>MAHONING AVE NW</v>
      </c>
      <c r="P1521" s="0" t="s">
        <v>145</v>
      </c>
      <c r="Q1521" s="0" t="s">
        <v>146</v>
      </c>
      <c r="R1521" s="0" t="n">
        <v>44483</v>
      </c>
      <c r="AD1521" s="0" t="s">
        <v>147</v>
      </c>
      <c r="AE1521" s="0" t="s">
        <v>148</v>
      </c>
      <c r="AF1521" s="0" t="s">
        <v>149</v>
      </c>
      <c r="AH1521" s="0" t="n">
        <v>14</v>
      </c>
      <c r="AI1521" s="0" t="n">
        <v>11</v>
      </c>
      <c r="AN1521" s="0" t="s">
        <v>145</v>
      </c>
      <c r="AO1521" s="0" t="s">
        <v>654</v>
      </c>
      <c r="AP1521" s="0" t="s">
        <v>655</v>
      </c>
      <c r="AQ1521" s="0" t="n">
        <v>9</v>
      </c>
      <c r="AR1521" s="0" t="n">
        <v>64</v>
      </c>
      <c r="AS1521" s="0" t="n">
        <v>32</v>
      </c>
      <c r="AU1521" s="0" t="n">
        <f aca="false">COUNTA($BA$1994:$EH$1994)</f>
        <v>1</v>
      </c>
      <c r="AV1521" s="0" t="n">
        <f aca="false">COUNTIF($BA$1994:$EH$1994,"D")</f>
        <v>0</v>
      </c>
      <c r="AW1521" s="0" t="n">
        <f aca="false">COUNTIF($BA$1994:$EH$1994,"R")</f>
        <v>0</v>
      </c>
      <c r="AX1521" s="0" t="n">
        <f aca="false">IF(BN1521="D",1,0)+IF(BO1521="D",1,0)+IF(BT1521="D",1,0)+IF(BU1521="D",1,0)+IF(BW1521="D",1,0)+IF(CC1521="D",1,0)+IF(CD1521="D",1,0)+IF(CE1521="D",1,0)+IF(CF1521="D",1,0)+IF(CL1521="D",1,0)+IF(CM1521="D",1,0)+IF(CQ1521="D",1,0)+IF(CR1521="D",1,0)+IF(CS1521="D",1,0)+IF(CW1521="D",1,0)+IF(CX1521="D",1,0)+IF(DD1521="D",1,0)+IF(DE1521="D",1,0)+IF(DJ1521="D",1,0)+IF(DK1521="D",1,0)+IF(DO1521="D",1,0)+IF(DP1521="D",1,0)+IF(DQ1521="D",1,0)+IF(DW1521="D",1,0)+IF(DZ1521="D",1,0)+IF(EH1521="D",1,0)</f>
        <v>5</v>
      </c>
      <c r="AY1521" s="0" t="n">
        <f aca="false">COUNTIF(DU1521:EH1521, "&lt;&gt;")</f>
        <v>5</v>
      </c>
      <c r="AZ1521" s="0" t="n">
        <f aca="false">IF(EH1521&lt;&gt;"",1,0)</f>
        <v>1</v>
      </c>
      <c r="BB1521" s="0" t="s">
        <v>152</v>
      </c>
      <c r="BC1521" s="0" t="s">
        <v>153</v>
      </c>
      <c r="BD1521" s="0" t="s">
        <v>153</v>
      </c>
      <c r="BE1521" s="0" t="s">
        <v>153</v>
      </c>
      <c r="BF1521" s="0" t="s">
        <v>153</v>
      </c>
      <c r="BG1521" s="0" t="s">
        <v>153</v>
      </c>
      <c r="BH1521" s="0" t="s">
        <v>153</v>
      </c>
      <c r="BI1521" s="0" t="s">
        <v>153</v>
      </c>
      <c r="BJ1521" s="0" t="s">
        <v>153</v>
      </c>
      <c r="BK1521" s="0" t="s">
        <v>153</v>
      </c>
      <c r="BL1521" s="0" t="s">
        <v>153</v>
      </c>
      <c r="BP1521" s="0" t="s">
        <v>153</v>
      </c>
      <c r="BR1521" s="0" t="s">
        <v>153</v>
      </c>
      <c r="BS1521" s="0" t="s">
        <v>153</v>
      </c>
      <c r="BT1521" s="0" t="s">
        <v>153</v>
      </c>
      <c r="BV1521" s="0" t="s">
        <v>153</v>
      </c>
      <c r="BY1521" s="0" t="s">
        <v>175</v>
      </c>
      <c r="CA1521" s="0" t="s">
        <v>153</v>
      </c>
      <c r="CG1521" s="0" t="s">
        <v>153</v>
      </c>
      <c r="CH1521" s="0" t="s">
        <v>175</v>
      </c>
      <c r="CK1521" s="0" t="s">
        <v>153</v>
      </c>
      <c r="CL1521" s="0" t="s">
        <v>175</v>
      </c>
      <c r="CN1521" s="0" t="s">
        <v>153</v>
      </c>
      <c r="CO1521" s="0" t="s">
        <v>175</v>
      </c>
      <c r="CP1521" s="0" t="s">
        <v>153</v>
      </c>
      <c r="CT1521" s="0" t="s">
        <v>153</v>
      </c>
      <c r="CU1521" s="0" t="s">
        <v>175</v>
      </c>
      <c r="CV1521" s="0" t="s">
        <v>153</v>
      </c>
      <c r="CW1521" s="0" t="s">
        <v>175</v>
      </c>
      <c r="CY1521" s="0" t="s">
        <v>153</v>
      </c>
      <c r="CZ1521" s="0" t="s">
        <v>175</v>
      </c>
      <c r="DC1521" s="0" t="s">
        <v>153</v>
      </c>
      <c r="DD1521" s="0" t="s">
        <v>175</v>
      </c>
      <c r="DF1521" s="0" t="s">
        <v>153</v>
      </c>
      <c r="DG1521" s="0" t="s">
        <v>175</v>
      </c>
      <c r="DI1521" s="0" t="s">
        <v>153</v>
      </c>
      <c r="DJ1521" s="0" t="s">
        <v>175</v>
      </c>
      <c r="DL1521" s="0" t="s">
        <v>153</v>
      </c>
      <c r="DM1521" s="0" t="s">
        <v>175</v>
      </c>
      <c r="DN1521" s="0" t="s">
        <v>153</v>
      </c>
      <c r="DR1521" s="0" t="s">
        <v>153</v>
      </c>
      <c r="DS1521" s="0" t="s">
        <v>175</v>
      </c>
      <c r="DU1521" s="0" t="s">
        <v>153</v>
      </c>
      <c r="DX1521" s="0" t="s">
        <v>153</v>
      </c>
      <c r="EA1521" s="0" t="s">
        <v>153</v>
      </c>
      <c r="EF1521" s="0" t="s">
        <v>153</v>
      </c>
      <c r="EH1521" s="0" t="s">
        <v>175</v>
      </c>
    </row>
    <row r="1522" customFormat="false" ht="13.8" hidden="false" customHeight="false" outlineLevel="0" collapsed="false">
      <c r="A1522" s="0" t="s">
        <v>6967</v>
      </c>
      <c r="B1522" s="0" t="n">
        <v>78</v>
      </c>
      <c r="C1522" s="0" t="n">
        <v>351626</v>
      </c>
      <c r="D1522" s="0" t="s">
        <v>6968</v>
      </c>
      <c r="E1522" s="0" t="s">
        <v>331</v>
      </c>
      <c r="F1522" s="0" t="str">
        <f aca="false">CONCATENATE(D1522," ",LEFT(H1522,4),"T=",AU1522,"D=",AV1522,"R=",AW1522,"M=",AX1522,"L=",AY1522,"B=",AZ1522)</f>
        <v>TREMSYN T=3D=0R=0M=0L=5B=0</v>
      </c>
      <c r="G1522" s="0" t="s">
        <v>362</v>
      </c>
      <c r="I1522" s="0" t="s">
        <v>6969</v>
      </c>
      <c r="J1522" s="0" t="s">
        <v>6970</v>
      </c>
      <c r="K1522" s="0" t="s">
        <v>160</v>
      </c>
      <c r="L1522" s="0" t="s">
        <v>209</v>
      </c>
      <c r="M1522" s="0" t="s">
        <v>6971</v>
      </c>
      <c r="N1522" s="0" t="str">
        <f aca="false">RIGHT(M1522,LEN(M1522)-FIND(" ",M1522))</f>
        <v>MAHONING AVE NW</v>
      </c>
      <c r="P1522" s="0" t="s">
        <v>145</v>
      </c>
      <c r="Q1522" s="0" t="s">
        <v>146</v>
      </c>
      <c r="R1522" s="0" t="n">
        <v>44483</v>
      </c>
      <c r="AD1522" s="0" t="s">
        <v>147</v>
      </c>
      <c r="AE1522" s="0" t="s">
        <v>148</v>
      </c>
      <c r="AF1522" s="0" t="s">
        <v>149</v>
      </c>
      <c r="AH1522" s="0" t="n">
        <v>14</v>
      </c>
      <c r="AI1522" s="0" t="n">
        <v>11</v>
      </c>
      <c r="AN1522" s="0" t="s">
        <v>145</v>
      </c>
      <c r="AO1522" s="0" t="s">
        <v>654</v>
      </c>
      <c r="AP1522" s="0" t="s">
        <v>655</v>
      </c>
      <c r="AQ1522" s="0" t="n">
        <v>9</v>
      </c>
      <c r="AR1522" s="0" t="n">
        <v>64</v>
      </c>
      <c r="AS1522" s="0" t="n">
        <v>32</v>
      </c>
      <c r="AU1522" s="0" t="n">
        <f aca="false">COUNTA($BA$1991:$EH$1991)</f>
        <v>3</v>
      </c>
      <c r="AV1522" s="0" t="n">
        <f aca="false">COUNTIF($BA$1991:$EH$1991,"D")</f>
        <v>0</v>
      </c>
      <c r="AW1522" s="0" t="n">
        <f aca="false">COUNTIF($BA$1991:$EH$1991,"R")</f>
        <v>0</v>
      </c>
      <c r="AX1522" s="0" t="n">
        <f aca="false">IF(BN1522="D",1,0)+IF(BO1522="D",1,0)+IF(BT1522="D",1,0)+IF(BU1522="D",1,0)+IF(BW1522="D",1,0)+IF(CC1522="D",1,0)+IF(CD1522="D",1,0)+IF(CE1522="D",1,0)+IF(CF1522="D",1,0)+IF(CL1522="D",1,0)+IF(CM1522="D",1,0)+IF(CQ1522="D",1,0)+IF(CR1522="D",1,0)+IF(CS1522="D",1,0)+IF(CW1522="D",1,0)+IF(CX1522="D",1,0)+IF(DD1522="D",1,0)+IF(DE1522="D",1,0)+IF(DJ1522="D",1,0)+IF(DK1522="D",1,0)+IF(DO1522="D",1,0)+IF(DP1522="D",1,0)+IF(DQ1522="D",1,0)+IF(DW1522="D",1,0)+IF(DZ1522="D",1,0)+IF(EH1522="D",1,0)</f>
        <v>0</v>
      </c>
      <c r="AY1522" s="0" t="n">
        <f aca="false">COUNTIF(DU1522:EH1522, "&lt;&gt;")</f>
        <v>5</v>
      </c>
      <c r="AZ1522" s="0" t="n">
        <f aca="false">IF(EH1522&lt;&gt;"",1,0)</f>
        <v>0</v>
      </c>
      <c r="BB1522" s="0" t="s">
        <v>152</v>
      </c>
      <c r="BF1522" s="0" t="s">
        <v>153</v>
      </c>
      <c r="BH1522" s="0" t="s">
        <v>153</v>
      </c>
      <c r="BL1522" s="0" t="s">
        <v>153</v>
      </c>
      <c r="BR1522" s="0" t="s">
        <v>209</v>
      </c>
      <c r="BS1522" s="0" t="s">
        <v>153</v>
      </c>
      <c r="BY1522" s="0" t="s">
        <v>175</v>
      </c>
      <c r="CA1522" s="0" t="s">
        <v>153</v>
      </c>
      <c r="CG1522" s="0" t="s">
        <v>153</v>
      </c>
      <c r="CH1522" s="0" t="s">
        <v>209</v>
      </c>
      <c r="CK1522" s="0" t="s">
        <v>153</v>
      </c>
      <c r="CN1522" s="0" t="s">
        <v>153</v>
      </c>
      <c r="CO1522" s="0" t="s">
        <v>209</v>
      </c>
      <c r="CP1522" s="0" t="s">
        <v>153</v>
      </c>
      <c r="CU1522" s="0" t="s">
        <v>175</v>
      </c>
      <c r="CV1522" s="0" t="s">
        <v>153</v>
      </c>
      <c r="CY1522" s="0" t="s">
        <v>153</v>
      </c>
      <c r="CZ1522" s="0" t="s">
        <v>209</v>
      </c>
      <c r="DC1522" s="0" t="s">
        <v>153</v>
      </c>
      <c r="DF1522" s="0" t="s">
        <v>153</v>
      </c>
      <c r="DG1522" s="0" t="s">
        <v>209</v>
      </c>
      <c r="DI1522" s="0" t="s">
        <v>153</v>
      </c>
      <c r="DL1522" s="0" t="s">
        <v>153</v>
      </c>
      <c r="DN1522" s="0" t="s">
        <v>153</v>
      </c>
      <c r="DS1522" s="0" t="s">
        <v>209</v>
      </c>
      <c r="DT1522" s="0" t="s">
        <v>209</v>
      </c>
      <c r="DU1522" s="0" t="s">
        <v>153</v>
      </c>
      <c r="DX1522" s="0" t="s">
        <v>153</v>
      </c>
      <c r="EA1522" s="0" t="s">
        <v>153</v>
      </c>
      <c r="ED1522" s="0" t="s">
        <v>209</v>
      </c>
      <c r="EF1522" s="0" t="s">
        <v>153</v>
      </c>
    </row>
    <row r="1523" customFormat="false" ht="13.8" hidden="true" customHeight="false" outlineLevel="0" collapsed="false">
      <c r="A1523" s="0" t="s">
        <v>6972</v>
      </c>
      <c r="B1523" s="0" t="n">
        <v>78</v>
      </c>
      <c r="C1523" s="0" t="n">
        <v>402011</v>
      </c>
      <c r="D1523" s="0" t="s">
        <v>6973</v>
      </c>
      <c r="E1523" s="0" t="s">
        <v>1361</v>
      </c>
      <c r="F1523" s="0" t="str">
        <f aca="false">CONCATENATE(D1523," ",LEFT(H1523,4),"T=",AU1523,"D=",AV1523,"R=",AW1523,"M=",AX1523,"L=",AY1523,"B=",AZ1523)</f>
        <v>SEARLES T=5D=0R=0M=0L=1B=0</v>
      </c>
      <c r="G1523" s="0" t="s">
        <v>1128</v>
      </c>
      <c r="I1523" s="0" t="s">
        <v>6974</v>
      </c>
      <c r="J1523" s="0" t="s">
        <v>6975</v>
      </c>
      <c r="K1523" s="0" t="s">
        <v>160</v>
      </c>
      <c r="M1523" s="0" t="s">
        <v>6976</v>
      </c>
      <c r="N1523" s="0" t="str">
        <f aca="false">RIGHT(M1523,LEN(M1523)-FIND(" ",M1523))</f>
        <v>MAHONING CT NW</v>
      </c>
      <c r="P1523" s="0" t="s">
        <v>145</v>
      </c>
      <c r="Q1523" s="0" t="s">
        <v>146</v>
      </c>
      <c r="R1523" s="0" t="n">
        <v>44483</v>
      </c>
      <c r="AD1523" s="0" t="s">
        <v>147</v>
      </c>
      <c r="AE1523" s="0" t="s">
        <v>148</v>
      </c>
      <c r="AF1523" s="0" t="s">
        <v>149</v>
      </c>
      <c r="AH1523" s="0" t="n">
        <v>14</v>
      </c>
      <c r="AI1523" s="0" t="n">
        <v>11</v>
      </c>
      <c r="AN1523" s="0" t="s">
        <v>145</v>
      </c>
      <c r="AO1523" s="0" t="s">
        <v>654</v>
      </c>
      <c r="AP1523" s="0" t="s">
        <v>655</v>
      </c>
      <c r="AQ1523" s="0" t="n">
        <v>9</v>
      </c>
      <c r="AR1523" s="0" t="n">
        <v>64</v>
      </c>
      <c r="AS1523" s="0" t="n">
        <v>32</v>
      </c>
      <c r="AU1523" s="0" t="n">
        <f aca="false">COUNTA($BA$1853:$EH$1853)</f>
        <v>5</v>
      </c>
      <c r="AV1523" s="0" t="n">
        <f aca="false">COUNTIF($BA$1853:$EH$1853,"D")</f>
        <v>0</v>
      </c>
      <c r="AW1523" s="0" t="n">
        <f aca="false">COUNTIF($BA$1853:$EH$1853,"R")</f>
        <v>0</v>
      </c>
      <c r="AX1523" s="0" t="n">
        <f aca="false">IF(BN1523="D",1,0)+IF(BO1523="D",1,0)+IF(BT1523="D",1,0)+IF(BU1523="D",1,0)+IF(BW1523="D",1,0)+IF(CC1523="D",1,0)+IF(CD1523="D",1,0)+IF(CE1523="D",1,0)+IF(CF1523="D",1,0)+IF(CL1523="D",1,0)+IF(CM1523="D",1,0)+IF(CQ1523="D",1,0)+IF(CR1523="D",1,0)+IF(CS1523="D",1,0)+IF(CW1523="D",1,0)+IF(CX1523="D",1,0)+IF(DD1523="D",1,0)+IF(DE1523="D",1,0)+IF(DJ1523="D",1,0)+IF(DK1523="D",1,0)+IF(DO1523="D",1,0)+IF(DP1523="D",1,0)+IF(DQ1523="D",1,0)+IF(DW1523="D",1,0)+IF(DZ1523="D",1,0)+IF(EH1523="D",1,0)</f>
        <v>0</v>
      </c>
      <c r="AY1523" s="0" t="n">
        <f aca="false">COUNTIF(DU1523:EH1523, "&lt;&gt;")</f>
        <v>1</v>
      </c>
      <c r="AZ1523" s="0" t="n">
        <f aca="false">IF(EH1523&lt;&gt;"",1,0)</f>
        <v>0</v>
      </c>
      <c r="BB1523" s="0" t="s">
        <v>152</v>
      </c>
      <c r="DN1523" s="0" t="s">
        <v>153</v>
      </c>
      <c r="EF1523" s="0" t="s">
        <v>153</v>
      </c>
    </row>
    <row r="1524" customFormat="false" ht="13.8" hidden="false" customHeight="false" outlineLevel="0" collapsed="false">
      <c r="A1524" s="0" t="s">
        <v>6977</v>
      </c>
      <c r="B1524" s="0" t="n">
        <v>78</v>
      </c>
      <c r="C1524" s="0" t="n">
        <v>451852</v>
      </c>
      <c r="D1524" s="0" t="s">
        <v>6973</v>
      </c>
      <c r="E1524" s="0" t="s">
        <v>3639</v>
      </c>
      <c r="F1524" s="0" t="str">
        <f aca="false">CONCATENATE(D1524," ",LEFT(H1524,4),"T=",AU1524,"D=",AV1524,"R=",AW1524,"M=",AX1524,"L=",AY1524,"B=",AZ1524)</f>
        <v>SEARLES T=1D=0R=0M=0L=2B=0</v>
      </c>
      <c r="G1524" s="0" t="s">
        <v>6978</v>
      </c>
      <c r="I1524" s="0" t="s">
        <v>6979</v>
      </c>
      <c r="J1524" s="0" t="s">
        <v>1005</v>
      </c>
      <c r="K1524" s="0" t="s">
        <v>160</v>
      </c>
      <c r="M1524" s="0" t="s">
        <v>6976</v>
      </c>
      <c r="N1524" s="0" t="str">
        <f aca="false">RIGHT(M1524,LEN(M1524)-FIND(" ",M1524))</f>
        <v>MAHONING CT NW</v>
      </c>
      <c r="P1524" s="0" t="s">
        <v>145</v>
      </c>
      <c r="Q1524" s="0" t="s">
        <v>146</v>
      </c>
      <c r="R1524" s="0" t="n">
        <v>44483</v>
      </c>
      <c r="AD1524" s="0" t="s">
        <v>147</v>
      </c>
      <c r="AE1524" s="0" t="s">
        <v>148</v>
      </c>
      <c r="AF1524" s="0" t="s">
        <v>149</v>
      </c>
      <c r="AH1524" s="0" t="n">
        <v>14</v>
      </c>
      <c r="AI1524" s="0" t="n">
        <v>11</v>
      </c>
      <c r="AN1524" s="0" t="s">
        <v>145</v>
      </c>
      <c r="AO1524" s="0" t="s">
        <v>654</v>
      </c>
      <c r="AP1524" s="0" t="s">
        <v>655</v>
      </c>
      <c r="AQ1524" s="0" t="n">
        <v>9</v>
      </c>
      <c r="AR1524" s="0" t="n">
        <v>64</v>
      </c>
      <c r="AS1524" s="0" t="n">
        <v>32</v>
      </c>
      <c r="AU1524" s="0" t="n">
        <f aca="false">COUNTA($BA$1972:$EH$1972)</f>
        <v>1</v>
      </c>
      <c r="AV1524" s="0" t="n">
        <f aca="false">COUNTIF($BA$1972:$EH$1972,"D")</f>
        <v>0</v>
      </c>
      <c r="AW1524" s="0" t="n">
        <f aca="false">COUNTIF($BA$1972:$EH$1972,"R")</f>
        <v>0</v>
      </c>
      <c r="AX1524" s="0" t="n">
        <f aca="false">IF(BN1524="D",1,0)+IF(BO1524="D",1,0)+IF(BT1524="D",1,0)+IF(BU1524="D",1,0)+IF(BW1524="D",1,0)+IF(CC1524="D",1,0)+IF(CD1524="D",1,0)+IF(CE1524="D",1,0)+IF(CF1524="D",1,0)+IF(CL1524="D",1,0)+IF(CM1524="D",1,0)+IF(CQ1524="D",1,0)+IF(CR1524="D",1,0)+IF(CS1524="D",1,0)+IF(CW1524="D",1,0)+IF(CX1524="D",1,0)+IF(DD1524="D",1,0)+IF(DE1524="D",1,0)+IF(DJ1524="D",1,0)+IF(DK1524="D",1,0)+IF(DO1524="D",1,0)+IF(DP1524="D",1,0)+IF(DQ1524="D",1,0)+IF(DW1524="D",1,0)+IF(DZ1524="D",1,0)+IF(EH1524="D",1,0)</f>
        <v>0</v>
      </c>
      <c r="AY1524" s="0" t="n">
        <f aca="false">COUNTIF(DU1524:EH1524, "&lt;&gt;")</f>
        <v>2</v>
      </c>
      <c r="AZ1524" s="0" t="n">
        <f aca="false">IF(EH1524&lt;&gt;"",1,0)</f>
        <v>0</v>
      </c>
      <c r="BB1524" s="0" t="s">
        <v>152</v>
      </c>
      <c r="DN1524" s="0" t="s">
        <v>153</v>
      </c>
      <c r="DU1524" s="0" t="s">
        <v>153</v>
      </c>
      <c r="EF1524" s="0" t="s">
        <v>153</v>
      </c>
    </row>
    <row r="1525" customFormat="false" ht="13.8" hidden="true" customHeight="false" outlineLevel="0" collapsed="false">
      <c r="A1525" s="0" t="s">
        <v>6980</v>
      </c>
      <c r="B1525" s="0" t="n">
        <v>78</v>
      </c>
      <c r="C1525" s="0" t="n">
        <v>453124</v>
      </c>
      <c r="D1525" s="0" t="s">
        <v>6981</v>
      </c>
      <c r="E1525" s="0" t="s">
        <v>6982</v>
      </c>
      <c r="F1525" s="0" t="str">
        <f aca="false">CONCATENATE(D1525," ",LEFT(H1525,4),"T=",AU1525,"D=",AV1525,"R=",AW1525,"M=",AX1525,"L=",AY1525,"B=",AZ1525)</f>
        <v>WREN T=1D=0R=0M=0L=0B=0</v>
      </c>
      <c r="G1525" s="0" t="s">
        <v>1128</v>
      </c>
      <c r="I1525" s="0" t="s">
        <v>6983</v>
      </c>
      <c r="J1525" s="0" t="s">
        <v>2263</v>
      </c>
      <c r="K1525" s="0" t="s">
        <v>143</v>
      </c>
      <c r="M1525" s="0" t="s">
        <v>6984</v>
      </c>
      <c r="N1525" s="0" t="str">
        <f aca="false">RIGHT(M1525,LEN(M1525)-FIND(" ",M1525))</f>
        <v>MCKINLEY ST NE</v>
      </c>
      <c r="P1525" s="0" t="s">
        <v>145</v>
      </c>
      <c r="Q1525" s="0" t="s">
        <v>146</v>
      </c>
      <c r="R1525" s="0" t="n">
        <v>44483</v>
      </c>
      <c r="AD1525" s="0" t="s">
        <v>147</v>
      </c>
      <c r="AE1525" s="0" t="s">
        <v>148</v>
      </c>
      <c r="AF1525" s="0" t="s">
        <v>149</v>
      </c>
      <c r="AH1525" s="0" t="n">
        <v>14</v>
      </c>
      <c r="AI1525" s="0" t="n">
        <v>11</v>
      </c>
      <c r="AN1525" s="0" t="s">
        <v>145</v>
      </c>
      <c r="AO1525" s="0" t="s">
        <v>654</v>
      </c>
      <c r="AP1525" s="0" t="s">
        <v>655</v>
      </c>
      <c r="AQ1525" s="0" t="n">
        <v>9</v>
      </c>
      <c r="AR1525" s="0" t="n">
        <v>64</v>
      </c>
      <c r="AS1525" s="0" t="n">
        <v>32</v>
      </c>
      <c r="AU1525" s="0" t="n">
        <f aca="false">COUNTA($BA$1201:$EH$1201)</f>
        <v>1</v>
      </c>
      <c r="AV1525" s="0" t="n">
        <f aca="false">COUNTIF($BA$1201:$EH$1201,"D")</f>
        <v>0</v>
      </c>
      <c r="AW1525" s="0" t="n">
        <f aca="false">COUNTIF($BA$1201:$EH$1201,"R")</f>
        <v>0</v>
      </c>
      <c r="AX1525" s="0" t="n">
        <f aca="false">IF(BN1525="D",1,0)+IF(BO1525="D",1,0)+IF(BT1525="D",1,0)+IF(BU1525="D",1,0)+IF(BW1525="D",1,0)+IF(CC1525="D",1,0)+IF(CD1525="D",1,0)+IF(CE1525="D",1,0)+IF(CF1525="D",1,0)+IF(CL1525="D",1,0)+IF(CM1525="D",1,0)+IF(CQ1525="D",1,0)+IF(CR1525="D",1,0)+IF(CS1525="D",1,0)+IF(CW1525="D",1,0)+IF(CX1525="D",1,0)+IF(DD1525="D",1,0)+IF(DE1525="D",1,0)+IF(DJ1525="D",1,0)+IF(DK1525="D",1,0)+IF(DO1525="D",1,0)+IF(DP1525="D",1,0)+IF(DQ1525="D",1,0)+IF(DW1525="D",1,0)+IF(DZ1525="D",1,0)+IF(EH1525="D",1,0)</f>
        <v>0</v>
      </c>
      <c r="AY1525" s="0" t="n">
        <f aca="false">COUNTIF(DU1525:EH1525, "&lt;&gt;")</f>
        <v>0</v>
      </c>
      <c r="AZ1525" s="0" t="n">
        <f aca="false">IF(EH1525&lt;&gt;"",1,0)</f>
        <v>0</v>
      </c>
      <c r="BB1525" s="0" t="s">
        <v>152</v>
      </c>
    </row>
    <row r="1526" customFormat="false" ht="13.8" hidden="true" customHeight="false" outlineLevel="0" collapsed="false">
      <c r="A1526" s="0" t="s">
        <v>6985</v>
      </c>
      <c r="B1526" s="0" t="n">
        <v>78</v>
      </c>
      <c r="C1526" s="0" t="n">
        <v>461247</v>
      </c>
      <c r="D1526" s="0" t="s">
        <v>6986</v>
      </c>
      <c r="E1526" s="0" t="s">
        <v>2214</v>
      </c>
      <c r="F1526" s="0" t="str">
        <f aca="false">CONCATENATE(D1526," ",LEFT(H1526,4),"T=",AU1526,"D=",AV1526,"R=",AW1526,"M=",AX1526,"L=",AY1526,"B=",AZ1526)</f>
        <v>BAUM IIIT=27D=0R=3M=0L=1B=0</v>
      </c>
      <c r="G1526" s="0" t="s">
        <v>331</v>
      </c>
      <c r="H1526" s="0" t="s">
        <v>1932</v>
      </c>
      <c r="I1526" s="0" t="s">
        <v>6987</v>
      </c>
      <c r="J1526" s="0" t="s">
        <v>6988</v>
      </c>
      <c r="K1526" s="0" t="s">
        <v>160</v>
      </c>
      <c r="M1526" s="0" t="s">
        <v>6984</v>
      </c>
      <c r="N1526" s="0" t="str">
        <f aca="false">RIGHT(M1526,LEN(M1526)-FIND(" ",M1526))</f>
        <v>MCKINLEY ST NE</v>
      </c>
      <c r="P1526" s="0" t="s">
        <v>145</v>
      </c>
      <c r="Q1526" s="0" t="s">
        <v>146</v>
      </c>
      <c r="R1526" s="0" t="n">
        <v>44483</v>
      </c>
      <c r="AD1526" s="0" t="s">
        <v>147</v>
      </c>
      <c r="AE1526" s="0" t="s">
        <v>148</v>
      </c>
      <c r="AF1526" s="0" t="s">
        <v>149</v>
      </c>
      <c r="AH1526" s="0" t="n">
        <v>14</v>
      </c>
      <c r="AI1526" s="0" t="n">
        <v>11</v>
      </c>
      <c r="AN1526" s="0" t="s">
        <v>145</v>
      </c>
      <c r="AO1526" s="0" t="s">
        <v>654</v>
      </c>
      <c r="AP1526" s="0" t="s">
        <v>655</v>
      </c>
      <c r="AQ1526" s="0" t="n">
        <v>9</v>
      </c>
      <c r="AR1526" s="0" t="n">
        <v>64</v>
      </c>
      <c r="AS1526" s="0" t="n">
        <v>32</v>
      </c>
      <c r="AU1526" s="0" t="n">
        <f aca="false">COUNTA($BA$1860:$EH$1860)</f>
        <v>27</v>
      </c>
      <c r="AV1526" s="0" t="n">
        <f aca="false">COUNTIF($BA$1860:$EH$1860,"D")</f>
        <v>0</v>
      </c>
      <c r="AW1526" s="0" t="n">
        <f aca="false">COUNTIF($BA$1860:$EH$1860,"R")</f>
        <v>3</v>
      </c>
      <c r="AX1526" s="0" t="n">
        <f aca="false">IF(BN1526="D",1,0)+IF(BO1526="D",1,0)+IF(BT1526="D",1,0)+IF(BU1526="D",1,0)+IF(BW1526="D",1,0)+IF(CC1526="D",1,0)+IF(CD1526="D",1,0)+IF(CE1526="D",1,0)+IF(CF1526="D",1,0)+IF(CL1526="D",1,0)+IF(CM1526="D",1,0)+IF(CQ1526="D",1,0)+IF(CR1526="D",1,0)+IF(CS1526="D",1,0)+IF(CW1526="D",1,0)+IF(CX1526="D",1,0)+IF(DD1526="D",1,0)+IF(DE1526="D",1,0)+IF(DJ1526="D",1,0)+IF(DK1526="D",1,0)+IF(DO1526="D",1,0)+IF(DP1526="D",1,0)+IF(DQ1526="D",1,0)+IF(DW1526="D",1,0)+IF(DZ1526="D",1,0)+IF(EH1526="D",1,0)</f>
        <v>0</v>
      </c>
      <c r="AY1526" s="0" t="n">
        <f aca="false">COUNTIF(DU1526:EH1526, "&lt;&gt;")</f>
        <v>1</v>
      </c>
      <c r="AZ1526" s="0" t="n">
        <f aca="false">IF(EH1526&lt;&gt;"",1,0)</f>
        <v>0</v>
      </c>
      <c r="BB1526" s="0" t="s">
        <v>152</v>
      </c>
      <c r="BD1526" s="0" t="s">
        <v>153</v>
      </c>
      <c r="CG1526" s="0" t="s">
        <v>153</v>
      </c>
      <c r="DN1526" s="0" t="s">
        <v>153</v>
      </c>
      <c r="DU1526" s="0" t="s">
        <v>153</v>
      </c>
    </row>
    <row r="1527" customFormat="false" ht="13.8" hidden="true" customHeight="false" outlineLevel="0" collapsed="false">
      <c r="A1527" s="0" t="s">
        <v>6989</v>
      </c>
      <c r="B1527" s="0" t="n">
        <v>78</v>
      </c>
      <c r="C1527" s="0" t="n">
        <v>422011</v>
      </c>
      <c r="D1527" s="0" t="s">
        <v>6990</v>
      </c>
      <c r="E1527" s="0" t="s">
        <v>637</v>
      </c>
      <c r="F1527" s="0" t="str">
        <f aca="false">CONCATENATE(D1527," ",LEFT(H1527,4),"T=",AU1527,"D=",AV1527,"R=",AW1527,"M=",AX1527,"L=",AY1527,"B=",AZ1527)</f>
        <v>ROUNDS T=1D=0R=0M=0L=1B=0</v>
      </c>
      <c r="G1527" s="0" t="s">
        <v>1704</v>
      </c>
      <c r="I1527" s="0" t="s">
        <v>6991</v>
      </c>
      <c r="J1527" s="0" t="s">
        <v>6992</v>
      </c>
      <c r="K1527" s="0" t="s">
        <v>160</v>
      </c>
      <c r="M1527" s="0" t="s">
        <v>6984</v>
      </c>
      <c r="N1527" s="0" t="str">
        <f aca="false">RIGHT(M1527,LEN(M1527)-FIND(" ",M1527))</f>
        <v>MCKINLEY ST NE</v>
      </c>
      <c r="P1527" s="0" t="s">
        <v>145</v>
      </c>
      <c r="Q1527" s="0" t="s">
        <v>146</v>
      </c>
      <c r="R1527" s="0" t="n">
        <v>44483</v>
      </c>
      <c r="AD1527" s="0" t="s">
        <v>147</v>
      </c>
      <c r="AE1527" s="0" t="s">
        <v>148</v>
      </c>
      <c r="AF1527" s="0" t="s">
        <v>149</v>
      </c>
      <c r="AH1527" s="0" t="n">
        <v>14</v>
      </c>
      <c r="AI1527" s="0" t="n">
        <v>11</v>
      </c>
      <c r="AN1527" s="0" t="s">
        <v>145</v>
      </c>
      <c r="AO1527" s="0" t="s">
        <v>654</v>
      </c>
      <c r="AP1527" s="0" t="s">
        <v>655</v>
      </c>
      <c r="AQ1527" s="0" t="n">
        <v>9</v>
      </c>
      <c r="AR1527" s="0" t="n">
        <v>64</v>
      </c>
      <c r="AS1527" s="0" t="n">
        <v>32</v>
      </c>
      <c r="AU1527" s="0" t="n">
        <f aca="false">COUNTA($BA$1887:$EH$1887)</f>
        <v>1</v>
      </c>
      <c r="AV1527" s="0" t="n">
        <f aca="false">COUNTIF($BA$1887:$EH$1887,"D")</f>
        <v>0</v>
      </c>
      <c r="AW1527" s="0" t="n">
        <f aca="false">COUNTIF($BA$1887:$EH$1887,"R")</f>
        <v>0</v>
      </c>
      <c r="AX1527" s="0" t="n">
        <f aca="false">IF(BN1527="D",1,0)+IF(BO1527="D",1,0)+IF(BT1527="D",1,0)+IF(BU1527="D",1,0)+IF(BW1527="D",1,0)+IF(CC1527="D",1,0)+IF(CD1527="D",1,0)+IF(CE1527="D",1,0)+IF(CF1527="D",1,0)+IF(CL1527="D",1,0)+IF(CM1527="D",1,0)+IF(CQ1527="D",1,0)+IF(CR1527="D",1,0)+IF(CS1527="D",1,0)+IF(CW1527="D",1,0)+IF(CX1527="D",1,0)+IF(DD1527="D",1,0)+IF(DE1527="D",1,0)+IF(DJ1527="D",1,0)+IF(DK1527="D",1,0)+IF(DO1527="D",1,0)+IF(DP1527="D",1,0)+IF(DQ1527="D",1,0)+IF(DW1527="D",1,0)+IF(DZ1527="D",1,0)+IF(EH1527="D",1,0)</f>
        <v>0</v>
      </c>
      <c r="AY1527" s="0" t="n">
        <f aca="false">COUNTIF(DU1527:EH1527, "&lt;&gt;")</f>
        <v>1</v>
      </c>
      <c r="AZ1527" s="0" t="n">
        <f aca="false">IF(EH1527&lt;&gt;"",1,0)</f>
        <v>0</v>
      </c>
      <c r="BB1527" s="0" t="s">
        <v>152</v>
      </c>
      <c r="DC1527" s="0" t="s">
        <v>153</v>
      </c>
      <c r="EF1527" s="0" t="s">
        <v>153</v>
      </c>
    </row>
    <row r="1528" customFormat="false" ht="13.8" hidden="true" customHeight="false" outlineLevel="0" collapsed="false">
      <c r="A1528" s="0" t="s">
        <v>6993</v>
      </c>
      <c r="B1528" s="0" t="n">
        <v>78</v>
      </c>
      <c r="C1528" s="0" t="n">
        <v>396515</v>
      </c>
      <c r="D1528" s="0" t="s">
        <v>1466</v>
      </c>
      <c r="E1528" s="0" t="s">
        <v>1335</v>
      </c>
      <c r="F1528" s="0" t="str">
        <f aca="false">CONCATENATE(D1528," ",LEFT(H1528,4),"T=",AU1528,"D=",AV1528,"R=",AW1528,"M=",AX1528,"L=",AY1528,"B=",AZ1528)</f>
        <v>JOHNSON T=9D=2R=0M=0L=1B=0</v>
      </c>
      <c r="G1528" s="0" t="s">
        <v>268</v>
      </c>
      <c r="I1528" s="0" t="s">
        <v>6994</v>
      </c>
      <c r="J1528" s="0" t="s">
        <v>6995</v>
      </c>
      <c r="K1528" s="0" t="s">
        <v>160</v>
      </c>
      <c r="M1528" s="0" t="s">
        <v>6996</v>
      </c>
      <c r="N1528" s="0" t="str">
        <f aca="false">RIGHT(M1528,LEN(M1528)-FIND(" ",M1528))</f>
        <v>MCKINLEY ST NE</v>
      </c>
      <c r="P1528" s="0" t="s">
        <v>145</v>
      </c>
      <c r="Q1528" s="0" t="s">
        <v>146</v>
      </c>
      <c r="R1528" s="0" t="n">
        <v>44483</v>
      </c>
      <c r="AD1528" s="0" t="s">
        <v>147</v>
      </c>
      <c r="AE1528" s="0" t="s">
        <v>148</v>
      </c>
      <c r="AF1528" s="0" t="s">
        <v>149</v>
      </c>
      <c r="AH1528" s="0" t="n">
        <v>14</v>
      </c>
      <c r="AI1528" s="0" t="n">
        <v>11</v>
      </c>
      <c r="AN1528" s="0" t="s">
        <v>145</v>
      </c>
      <c r="AO1528" s="0" t="s">
        <v>654</v>
      </c>
      <c r="AP1528" s="0" t="s">
        <v>655</v>
      </c>
      <c r="AQ1528" s="0" t="n">
        <v>9</v>
      </c>
      <c r="AR1528" s="0" t="n">
        <v>64</v>
      </c>
      <c r="AS1528" s="0" t="n">
        <v>32</v>
      </c>
      <c r="AU1528" s="0" t="n">
        <f aca="false">COUNTA($BA$1445:$EH$1445)</f>
        <v>9</v>
      </c>
      <c r="AV1528" s="0" t="n">
        <f aca="false">COUNTIF($BA$1445:$EH$1445,"D")</f>
        <v>2</v>
      </c>
      <c r="AW1528" s="0" t="n">
        <f aca="false">COUNTIF($BA$1445:$EH$1445,"R")</f>
        <v>0</v>
      </c>
      <c r="AX1528" s="0" t="n">
        <f aca="false">IF(BN1528="D",1,0)+IF(BO1528="D",1,0)+IF(BT1528="D",1,0)+IF(BU1528="D",1,0)+IF(BW1528="D",1,0)+IF(CC1528="D",1,0)+IF(CD1528="D",1,0)+IF(CE1528="D",1,0)+IF(CF1528="D",1,0)+IF(CL1528="D",1,0)+IF(CM1528="D",1,0)+IF(CQ1528="D",1,0)+IF(CR1528="D",1,0)+IF(CS1528="D",1,0)+IF(CW1528="D",1,0)+IF(CX1528="D",1,0)+IF(DD1528="D",1,0)+IF(DE1528="D",1,0)+IF(DJ1528="D",1,0)+IF(DK1528="D",1,0)+IF(DO1528="D",1,0)+IF(DP1528="D",1,0)+IF(DQ1528="D",1,0)+IF(DW1528="D",1,0)+IF(DZ1528="D",1,0)+IF(EH1528="D",1,0)</f>
        <v>0</v>
      </c>
      <c r="AY1528" s="0" t="n">
        <f aca="false">COUNTIF(DU1528:EH1528, "&lt;&gt;")</f>
        <v>1</v>
      </c>
      <c r="AZ1528" s="0" t="n">
        <f aca="false">IF(EH1528&lt;&gt;"",1,0)</f>
        <v>0</v>
      </c>
      <c r="BB1528" s="0" t="s">
        <v>152</v>
      </c>
      <c r="DN1528" s="0" t="s">
        <v>153</v>
      </c>
      <c r="EF1528" s="0" t="s">
        <v>153</v>
      </c>
    </row>
    <row r="1529" customFormat="false" ht="13.8" hidden="false" customHeight="false" outlineLevel="0" collapsed="false">
      <c r="A1529" s="0" t="s">
        <v>6997</v>
      </c>
      <c r="B1529" s="0" t="n">
        <v>78</v>
      </c>
      <c r="C1529" s="0" t="n">
        <v>303232</v>
      </c>
      <c r="D1529" s="0" t="s">
        <v>6998</v>
      </c>
      <c r="E1529" s="0" t="s">
        <v>1276</v>
      </c>
      <c r="F1529" s="0" t="str">
        <f aca="false">CONCATENATE(D1529," ",LEFT(H1529,4),"T=",AU1529,"D=",AV1529,"R=",AW1529,"M=",AX1529,"L=",AY1529,"B=",AZ1529)</f>
        <v>WAJDA T=2D=0R=0M=0L=5B=0</v>
      </c>
      <c r="G1529" s="0" t="s">
        <v>195</v>
      </c>
      <c r="I1529" s="0" t="s">
        <v>6999</v>
      </c>
      <c r="J1529" s="0" t="s">
        <v>7000</v>
      </c>
      <c r="K1529" s="0" t="s">
        <v>160</v>
      </c>
      <c r="L1529" s="0" t="s">
        <v>175</v>
      </c>
      <c r="M1529" s="0" t="s">
        <v>7001</v>
      </c>
      <c r="N1529" s="0" t="str">
        <f aca="false">RIGHT(M1529,LEN(M1529)-FIND(" ",M1529))</f>
        <v>MCKINLEY ST NE</v>
      </c>
      <c r="P1529" s="0" t="s">
        <v>145</v>
      </c>
      <c r="Q1529" s="0" t="s">
        <v>146</v>
      </c>
      <c r="R1529" s="0" t="n">
        <v>44483</v>
      </c>
      <c r="AD1529" s="0" t="s">
        <v>147</v>
      </c>
      <c r="AE1529" s="0" t="s">
        <v>148</v>
      </c>
      <c r="AF1529" s="0" t="s">
        <v>149</v>
      </c>
      <c r="AH1529" s="0" t="n">
        <v>14</v>
      </c>
      <c r="AI1529" s="0" t="n">
        <v>11</v>
      </c>
      <c r="AN1529" s="0" t="s">
        <v>145</v>
      </c>
      <c r="AO1529" s="0" t="s">
        <v>654</v>
      </c>
      <c r="AP1529" s="0" t="s">
        <v>655</v>
      </c>
      <c r="AQ1529" s="0" t="n">
        <v>9</v>
      </c>
      <c r="AR1529" s="0" t="n">
        <v>64</v>
      </c>
      <c r="AS1529" s="0" t="n">
        <v>32</v>
      </c>
      <c r="AU1529" s="0" t="n">
        <f aca="false">COUNTA($BA$1314:$EH$1314)</f>
        <v>2</v>
      </c>
      <c r="AV1529" s="0" t="n">
        <f aca="false">COUNTIF($BA$1314:$EH$1314,"D")</f>
        <v>0</v>
      </c>
      <c r="AW1529" s="0" t="n">
        <f aca="false">COUNTIF($BA$1314:$EH$1314,"R")</f>
        <v>0</v>
      </c>
      <c r="AX1529" s="0" t="n">
        <f aca="false">IF(BN1529="D",1,0)+IF(BO1529="D",1,0)+IF(BT1529="D",1,0)+IF(BU1529="D",1,0)+IF(BW1529="D",1,0)+IF(CC1529="D",1,0)+IF(CD1529="D",1,0)+IF(CE1529="D",1,0)+IF(CF1529="D",1,0)+IF(CL1529="D",1,0)+IF(CM1529="D",1,0)+IF(CQ1529="D",1,0)+IF(CR1529="D",1,0)+IF(CS1529="D",1,0)+IF(CW1529="D",1,0)+IF(CX1529="D",1,0)+IF(DD1529="D",1,0)+IF(DE1529="D",1,0)+IF(DJ1529="D",1,0)+IF(DK1529="D",1,0)+IF(DO1529="D",1,0)+IF(DP1529="D",1,0)+IF(DQ1529="D",1,0)+IF(DW1529="D",1,0)+IF(DZ1529="D",1,0)+IF(EH1529="D",1,0)</f>
        <v>0</v>
      </c>
      <c r="AY1529" s="0" t="n">
        <f aca="false">COUNTIF(DU1529:EH1529, "&lt;&gt;")</f>
        <v>5</v>
      </c>
      <c r="AZ1529" s="0" t="n">
        <f aca="false">IF(EH1529&lt;&gt;"",1,0)</f>
        <v>0</v>
      </c>
      <c r="BB1529" s="0" t="s">
        <v>152</v>
      </c>
      <c r="BL1529" s="0" t="s">
        <v>153</v>
      </c>
      <c r="BY1529" s="0" t="s">
        <v>175</v>
      </c>
      <c r="CA1529" s="0" t="s">
        <v>153</v>
      </c>
      <c r="CK1529" s="0" t="s">
        <v>153</v>
      </c>
      <c r="CN1529" s="0" t="s">
        <v>153</v>
      </c>
      <c r="CP1529" s="0" t="s">
        <v>153</v>
      </c>
      <c r="CT1529" s="0" t="s">
        <v>153</v>
      </c>
      <c r="CY1529" s="0" t="s">
        <v>153</v>
      </c>
      <c r="DC1529" s="0" t="s">
        <v>153</v>
      </c>
      <c r="DG1529" s="0" t="s">
        <v>175</v>
      </c>
      <c r="DI1529" s="0" t="s">
        <v>153</v>
      </c>
      <c r="DL1529" s="0" t="s">
        <v>153</v>
      </c>
      <c r="DN1529" s="0" t="s">
        <v>153</v>
      </c>
      <c r="DU1529" s="0" t="s">
        <v>153</v>
      </c>
      <c r="DX1529" s="0" t="s">
        <v>153</v>
      </c>
      <c r="EA1529" s="0" t="s">
        <v>153</v>
      </c>
      <c r="ED1529" s="0" t="s">
        <v>175</v>
      </c>
      <c r="EF1529" s="0" t="s">
        <v>153</v>
      </c>
    </row>
    <row r="1530" customFormat="false" ht="13.8" hidden="false" customHeight="false" outlineLevel="0" collapsed="false">
      <c r="A1530" s="0" t="s">
        <v>7002</v>
      </c>
      <c r="B1530" s="0" t="n">
        <v>78</v>
      </c>
      <c r="C1530" s="0" t="n">
        <v>303104</v>
      </c>
      <c r="D1530" s="0" t="s">
        <v>6998</v>
      </c>
      <c r="E1530" s="0" t="s">
        <v>7003</v>
      </c>
      <c r="F1530" s="0" t="str">
        <f aca="false">CONCATENATE(D1530," ",LEFT(H1530,4),"T=",AU1530,"D=",AV1530,"R=",AW1530,"M=",AX1530,"L=",AY1530,"B=",AZ1530)</f>
        <v>WAJDA JRT=3D=0R=0M=1L=5B=0</v>
      </c>
      <c r="G1530" s="0" t="s">
        <v>175</v>
      </c>
      <c r="H1530" s="0" t="s">
        <v>314</v>
      </c>
      <c r="I1530" s="0" t="s">
        <v>7004</v>
      </c>
      <c r="J1530" s="0" t="s">
        <v>7005</v>
      </c>
      <c r="K1530" s="0" t="s">
        <v>160</v>
      </c>
      <c r="L1530" s="0" t="s">
        <v>209</v>
      </c>
      <c r="M1530" s="0" t="s">
        <v>7001</v>
      </c>
      <c r="N1530" s="0" t="str">
        <f aca="false">RIGHT(M1530,LEN(M1530)-FIND(" ",M1530))</f>
        <v>MCKINLEY ST NE</v>
      </c>
      <c r="P1530" s="0" t="s">
        <v>145</v>
      </c>
      <c r="Q1530" s="0" t="s">
        <v>146</v>
      </c>
      <c r="R1530" s="0" t="n">
        <v>44483</v>
      </c>
      <c r="AD1530" s="0" t="s">
        <v>147</v>
      </c>
      <c r="AE1530" s="0" t="s">
        <v>148</v>
      </c>
      <c r="AF1530" s="0" t="s">
        <v>149</v>
      </c>
      <c r="AH1530" s="0" t="n">
        <v>14</v>
      </c>
      <c r="AI1530" s="0" t="n">
        <v>11</v>
      </c>
      <c r="AN1530" s="0" t="s">
        <v>145</v>
      </c>
      <c r="AO1530" s="0" t="s">
        <v>654</v>
      </c>
      <c r="AP1530" s="0" t="s">
        <v>655</v>
      </c>
      <c r="AQ1530" s="0" t="n">
        <v>9</v>
      </c>
      <c r="AR1530" s="0" t="n">
        <v>64</v>
      </c>
      <c r="AS1530" s="0" t="n">
        <v>32</v>
      </c>
      <c r="AU1530" s="0" t="n">
        <f aca="false">COUNTA($BA$1315:$EH$1315)</f>
        <v>3</v>
      </c>
      <c r="AV1530" s="0" t="n">
        <f aca="false">COUNTIF($BA$1315:$EH$1315,"D")</f>
        <v>0</v>
      </c>
      <c r="AW1530" s="0" t="n">
        <f aca="false">COUNTIF($BA$1315:$EH$1315,"R")</f>
        <v>0</v>
      </c>
      <c r="AX1530" s="0" t="n">
        <f aca="false">IF(BN1530="D",1,0)+IF(BO1530="D",1,0)+IF(BT1530="D",1,0)+IF(BU1530="D",1,0)+IF(BW1530="D",1,0)+IF(CC1530="D",1,0)+IF(CD1530="D",1,0)+IF(CE1530="D",1,0)+IF(CF1530="D",1,0)+IF(CL1530="D",1,0)+IF(CM1530="D",1,0)+IF(CQ1530="D",1,0)+IF(CR1530="D",1,0)+IF(CS1530="D",1,0)+IF(CW1530="D",1,0)+IF(CX1530="D",1,0)+IF(DD1530="D",1,0)+IF(DE1530="D",1,0)+IF(DJ1530="D",1,0)+IF(DK1530="D",1,0)+IF(DO1530="D",1,0)+IF(DP1530="D",1,0)+IF(DQ1530="D",1,0)+IF(DW1530="D",1,0)+IF(DZ1530="D",1,0)+IF(EH1530="D",1,0)</f>
        <v>1</v>
      </c>
      <c r="AY1530" s="0" t="n">
        <f aca="false">COUNTIF(DU1530:EH1530, "&lt;&gt;")</f>
        <v>5</v>
      </c>
      <c r="AZ1530" s="0" t="n">
        <f aca="false">IF(EH1530&lt;&gt;"",1,0)</f>
        <v>0</v>
      </c>
      <c r="BB1530" s="0" t="s">
        <v>152</v>
      </c>
      <c r="BL1530" s="0" t="s">
        <v>153</v>
      </c>
      <c r="BS1530" s="0" t="s">
        <v>153</v>
      </c>
      <c r="BY1530" s="0" t="s">
        <v>175</v>
      </c>
      <c r="CA1530" s="0" t="s">
        <v>153</v>
      </c>
      <c r="CG1530" s="0" t="s">
        <v>153</v>
      </c>
      <c r="CH1530" s="0" t="s">
        <v>175</v>
      </c>
      <c r="CK1530" s="0" t="s">
        <v>153</v>
      </c>
      <c r="CL1530" s="0" t="s">
        <v>175</v>
      </c>
      <c r="CN1530" s="0" t="s">
        <v>153</v>
      </c>
      <c r="CP1530" s="0" t="s">
        <v>153</v>
      </c>
      <c r="CT1530" s="0" t="s">
        <v>153</v>
      </c>
      <c r="CV1530" s="0" t="s">
        <v>153</v>
      </c>
      <c r="CY1530" s="0" t="s">
        <v>153</v>
      </c>
      <c r="CZ1530" s="0" t="s">
        <v>209</v>
      </c>
      <c r="DC1530" s="0" t="s">
        <v>153</v>
      </c>
      <c r="DG1530" s="0" t="s">
        <v>209</v>
      </c>
      <c r="DI1530" s="0" t="s">
        <v>153</v>
      </c>
      <c r="DL1530" s="0" t="s">
        <v>153</v>
      </c>
      <c r="DN1530" s="0" t="s">
        <v>153</v>
      </c>
      <c r="DU1530" s="0" t="s">
        <v>153</v>
      </c>
      <c r="DX1530" s="0" t="s">
        <v>153</v>
      </c>
      <c r="EA1530" s="0" t="s">
        <v>153</v>
      </c>
      <c r="ED1530" s="0" t="s">
        <v>209</v>
      </c>
      <c r="EF1530" s="0" t="s">
        <v>153</v>
      </c>
    </row>
    <row r="1531" customFormat="false" ht="13.8" hidden="false" customHeight="false" outlineLevel="0" collapsed="false">
      <c r="A1531" s="0" t="s">
        <v>7006</v>
      </c>
      <c r="B1531" s="0" t="n">
        <v>78</v>
      </c>
      <c r="C1531" s="0" t="n">
        <v>323299</v>
      </c>
      <c r="D1531" s="0" t="s">
        <v>711</v>
      </c>
      <c r="E1531" s="0" t="s">
        <v>1790</v>
      </c>
      <c r="F1531" s="0" t="str">
        <f aca="false">CONCATENATE(D1531," ",LEFT(H1531,4),"T=",AU1531,"D=",AV1531,"R=",AW1531,"M=",AX1531,"L=",AY1531,"B=",AZ1531)</f>
        <v>FISHER T=3D=0R=0M=0L=4B=0</v>
      </c>
      <c r="G1531" s="0" t="s">
        <v>195</v>
      </c>
      <c r="I1531" s="0" t="s">
        <v>7007</v>
      </c>
      <c r="J1531" s="0" t="s">
        <v>4106</v>
      </c>
      <c r="K1531" s="0" t="s">
        <v>160</v>
      </c>
      <c r="L1531" s="0" t="s">
        <v>175</v>
      </c>
      <c r="M1531" s="0" t="s">
        <v>7008</v>
      </c>
      <c r="N1531" s="0" t="str">
        <f aca="false">RIGHT(M1531,LEN(M1531)-FIND(" ",M1531))</f>
        <v>MCKINLEY ST NE</v>
      </c>
      <c r="P1531" s="0" t="s">
        <v>145</v>
      </c>
      <c r="Q1531" s="0" t="s">
        <v>146</v>
      </c>
      <c r="R1531" s="0" t="n">
        <v>44483</v>
      </c>
      <c r="AD1531" s="0" t="s">
        <v>147</v>
      </c>
      <c r="AE1531" s="0" t="s">
        <v>148</v>
      </c>
      <c r="AF1531" s="0" t="s">
        <v>149</v>
      </c>
      <c r="AH1531" s="0" t="n">
        <v>14</v>
      </c>
      <c r="AI1531" s="0" t="n">
        <v>11</v>
      </c>
      <c r="AN1531" s="0" t="s">
        <v>145</v>
      </c>
      <c r="AO1531" s="0" t="s">
        <v>654</v>
      </c>
      <c r="AP1531" s="0" t="s">
        <v>655</v>
      </c>
      <c r="AQ1531" s="0" t="n">
        <v>9</v>
      </c>
      <c r="AR1531" s="0" t="n">
        <v>64</v>
      </c>
      <c r="AS1531" s="0" t="n">
        <v>32</v>
      </c>
      <c r="AU1531" s="0" t="n">
        <f aca="false">COUNTA($BA$1264:$EH$1264)</f>
        <v>3</v>
      </c>
      <c r="AV1531" s="0" t="n">
        <f aca="false">COUNTIF($BA$1264:$EH$1264,"D")</f>
        <v>0</v>
      </c>
      <c r="AW1531" s="0" t="n">
        <f aca="false">COUNTIF($BA$1264:$EH$1264,"R")</f>
        <v>0</v>
      </c>
      <c r="AX1531" s="0" t="n">
        <f aca="false">IF(BN1531="D",1,0)+IF(BO1531="D",1,0)+IF(BT1531="D",1,0)+IF(BU1531="D",1,0)+IF(BW1531="D",1,0)+IF(CC1531="D",1,0)+IF(CD1531="D",1,0)+IF(CE1531="D",1,0)+IF(CF1531="D",1,0)+IF(CL1531="D",1,0)+IF(CM1531="D",1,0)+IF(CQ1531="D",1,0)+IF(CR1531="D",1,0)+IF(CS1531="D",1,0)+IF(CW1531="D",1,0)+IF(CX1531="D",1,0)+IF(DD1531="D",1,0)+IF(DE1531="D",1,0)+IF(DJ1531="D",1,0)+IF(DK1531="D",1,0)+IF(DO1531="D",1,0)+IF(DP1531="D",1,0)+IF(DQ1531="D",1,0)+IF(DW1531="D",1,0)+IF(DZ1531="D",1,0)+IF(EH1531="D",1,0)</f>
        <v>0</v>
      </c>
      <c r="AY1531" s="0" t="n">
        <f aca="false">COUNTIF(DU1531:EH1531, "&lt;&gt;")</f>
        <v>4</v>
      </c>
      <c r="AZ1531" s="0" t="n">
        <f aca="false">IF(EH1531&lt;&gt;"",1,0)</f>
        <v>0</v>
      </c>
      <c r="BB1531" s="0" t="s">
        <v>152</v>
      </c>
      <c r="BL1531" s="0" t="s">
        <v>153</v>
      </c>
      <c r="BY1531" s="0" t="s">
        <v>175</v>
      </c>
      <c r="CA1531" s="0" t="s">
        <v>153</v>
      </c>
      <c r="CN1531" s="0" t="s">
        <v>153</v>
      </c>
      <c r="CP1531" s="0" t="s">
        <v>153</v>
      </c>
      <c r="CT1531" s="0" t="s">
        <v>153</v>
      </c>
      <c r="DC1531" s="0" t="s">
        <v>153</v>
      </c>
      <c r="DI1531" s="0" t="s">
        <v>153</v>
      </c>
      <c r="DN1531" s="0" t="s">
        <v>153</v>
      </c>
      <c r="DR1531" s="0" t="s">
        <v>153</v>
      </c>
      <c r="DU1531" s="0" t="s">
        <v>153</v>
      </c>
      <c r="EA1531" s="0" t="s">
        <v>153</v>
      </c>
      <c r="ED1531" s="0" t="s">
        <v>175</v>
      </c>
      <c r="EF1531" s="0" t="s">
        <v>153</v>
      </c>
    </row>
    <row r="1532" customFormat="false" ht="13.8" hidden="true" customHeight="false" outlineLevel="0" collapsed="false">
      <c r="A1532" s="0" t="s">
        <v>7009</v>
      </c>
      <c r="B1532" s="0" t="n">
        <v>78</v>
      </c>
      <c r="C1532" s="0" t="n">
        <v>421651</v>
      </c>
      <c r="D1532" s="0" t="s">
        <v>711</v>
      </c>
      <c r="E1532" s="0" t="s">
        <v>2261</v>
      </c>
      <c r="F1532" s="0" t="str">
        <f aca="false">CONCATENATE(D1532," ",LEFT(H1532,4),"T=",AU1532,"D=",AV1532,"R=",AW1532,"M=",AX1532,"L=",AY1532,"B=",AZ1532)</f>
        <v>FISHER T=1D=0R=0M=0L=0B=0</v>
      </c>
      <c r="I1532" s="0" t="s">
        <v>1124</v>
      </c>
      <c r="J1532" s="0" t="s">
        <v>404</v>
      </c>
      <c r="K1532" s="0" t="s">
        <v>160</v>
      </c>
      <c r="M1532" s="0" t="s">
        <v>7008</v>
      </c>
      <c r="N1532" s="0" t="str">
        <f aca="false">RIGHT(M1532,LEN(M1532)-FIND(" ",M1532))</f>
        <v>MCKINLEY ST NE</v>
      </c>
      <c r="P1532" s="0" t="s">
        <v>145</v>
      </c>
      <c r="Q1532" s="0" t="s">
        <v>146</v>
      </c>
      <c r="R1532" s="0" t="n">
        <v>44483</v>
      </c>
      <c r="AD1532" s="0" t="s">
        <v>147</v>
      </c>
      <c r="AE1532" s="0" t="s">
        <v>148</v>
      </c>
      <c r="AF1532" s="0" t="s">
        <v>149</v>
      </c>
      <c r="AH1532" s="0" t="n">
        <v>14</v>
      </c>
      <c r="AI1532" s="0" t="n">
        <v>11</v>
      </c>
      <c r="AN1532" s="0" t="s">
        <v>145</v>
      </c>
      <c r="AO1532" s="0" t="s">
        <v>654</v>
      </c>
      <c r="AP1532" s="0" t="s">
        <v>655</v>
      </c>
      <c r="AQ1532" s="0" t="n">
        <v>9</v>
      </c>
      <c r="AR1532" s="0" t="n">
        <v>64</v>
      </c>
      <c r="AS1532" s="0" t="n">
        <v>32</v>
      </c>
      <c r="AU1532" s="0" t="n">
        <f aca="false">COUNTA($BA$1941:$EH$1941)</f>
        <v>1</v>
      </c>
      <c r="AV1532" s="0" t="n">
        <f aca="false">COUNTIF($BA$1941:$EH$1941,"D")</f>
        <v>0</v>
      </c>
      <c r="AW1532" s="0" t="n">
        <f aca="false">COUNTIF($BA$1941:$EH$1941,"R")</f>
        <v>0</v>
      </c>
      <c r="AX1532" s="0" t="n">
        <f aca="false">IF(BN1532="D",1,0)+IF(BO1532="D",1,0)+IF(BT1532="D",1,0)+IF(BU1532="D",1,0)+IF(BW1532="D",1,0)+IF(CC1532="D",1,0)+IF(CD1532="D",1,0)+IF(CE1532="D",1,0)+IF(CF1532="D",1,0)+IF(CL1532="D",1,0)+IF(CM1532="D",1,0)+IF(CQ1532="D",1,0)+IF(CR1532="D",1,0)+IF(CS1532="D",1,0)+IF(CW1532="D",1,0)+IF(CX1532="D",1,0)+IF(DD1532="D",1,0)+IF(DE1532="D",1,0)+IF(DJ1532="D",1,0)+IF(DK1532="D",1,0)+IF(DO1532="D",1,0)+IF(DP1532="D",1,0)+IF(DQ1532="D",1,0)+IF(DW1532="D",1,0)+IF(DZ1532="D",1,0)+IF(EH1532="D",1,0)</f>
        <v>0</v>
      </c>
      <c r="AY1532" s="0" t="n">
        <f aca="false">COUNTIF(DU1532:EH1532, "&lt;&gt;")</f>
        <v>0</v>
      </c>
      <c r="AZ1532" s="0" t="n">
        <f aca="false">IF(EH1532&lt;&gt;"",1,0)</f>
        <v>0</v>
      </c>
      <c r="BB1532" s="0" t="s">
        <v>152</v>
      </c>
      <c r="DC1532" s="0" t="s">
        <v>153</v>
      </c>
      <c r="DN1532" s="0" t="s">
        <v>153</v>
      </c>
    </row>
    <row r="1533" customFormat="false" ht="13.8" hidden="true" customHeight="false" outlineLevel="0" collapsed="false">
      <c r="A1533" s="0" t="s">
        <v>7010</v>
      </c>
      <c r="B1533" s="0" t="n">
        <v>78</v>
      </c>
      <c r="C1533" s="0" t="n">
        <v>495551</v>
      </c>
      <c r="D1533" s="0" t="s">
        <v>7011</v>
      </c>
      <c r="E1533" s="0" t="s">
        <v>1722</v>
      </c>
      <c r="F1533" s="0" t="str">
        <f aca="false">CONCATENATE(D1533," ",LEFT(H1533,4),"T=",AU1533,"D=",AV1533,"R=",AW1533,"M=",AX1533,"L=",AY1533,"B=",AZ1533)</f>
        <v>HAVRILESKO T=18D=1R=1M=0L=0B=0</v>
      </c>
      <c r="G1533" s="0" t="s">
        <v>7012</v>
      </c>
      <c r="I1533" s="0" t="s">
        <v>3275</v>
      </c>
      <c r="J1533" s="0" t="s">
        <v>7013</v>
      </c>
      <c r="K1533" s="0" t="s">
        <v>160</v>
      </c>
      <c r="M1533" s="0" t="s">
        <v>7014</v>
      </c>
      <c r="N1533" s="0" t="str">
        <f aca="false">RIGHT(M1533,LEN(M1533)-FIND(" ",M1533))</f>
        <v>MCKINLEY ST NE</v>
      </c>
      <c r="P1533" s="0" t="s">
        <v>145</v>
      </c>
      <c r="Q1533" s="0" t="s">
        <v>146</v>
      </c>
      <c r="R1533" s="0" t="n">
        <v>44483</v>
      </c>
      <c r="AD1533" s="0" t="s">
        <v>147</v>
      </c>
      <c r="AE1533" s="0" t="s">
        <v>148</v>
      </c>
      <c r="AF1533" s="0" t="s">
        <v>149</v>
      </c>
      <c r="AH1533" s="0" t="n">
        <v>14</v>
      </c>
      <c r="AI1533" s="0" t="n">
        <v>11</v>
      </c>
      <c r="AN1533" s="0" t="s">
        <v>145</v>
      </c>
      <c r="AO1533" s="0" t="s">
        <v>654</v>
      </c>
      <c r="AP1533" s="0" t="s">
        <v>655</v>
      </c>
      <c r="AQ1533" s="0" t="n">
        <v>9</v>
      </c>
      <c r="AR1533" s="0" t="n">
        <v>64</v>
      </c>
      <c r="AS1533" s="0" t="n">
        <v>32</v>
      </c>
      <c r="AU1533" s="0" t="n">
        <f aca="false">COUNTA($BA$1323:$EH$1323)</f>
        <v>18</v>
      </c>
      <c r="AV1533" s="0" t="n">
        <f aca="false">COUNTIF($BA$1323:$EH$1323,"D")</f>
        <v>1</v>
      </c>
      <c r="AW1533" s="0" t="n">
        <f aca="false">COUNTIF($BA$1323:$EH$1323,"R")</f>
        <v>1</v>
      </c>
      <c r="AX1533" s="0" t="n">
        <f aca="false">IF(BN1533="D",1,0)+IF(BO1533="D",1,0)+IF(BT1533="D",1,0)+IF(BU1533="D",1,0)+IF(BW1533="D",1,0)+IF(CC1533="D",1,0)+IF(CD1533="D",1,0)+IF(CE1533="D",1,0)+IF(CF1533="D",1,0)+IF(CL1533="D",1,0)+IF(CM1533="D",1,0)+IF(CQ1533="D",1,0)+IF(CR1533="D",1,0)+IF(CS1533="D",1,0)+IF(CW1533="D",1,0)+IF(CX1533="D",1,0)+IF(DD1533="D",1,0)+IF(DE1533="D",1,0)+IF(DJ1533="D",1,0)+IF(DK1533="D",1,0)+IF(DO1533="D",1,0)+IF(DP1533="D",1,0)+IF(DQ1533="D",1,0)+IF(DW1533="D",1,0)+IF(DZ1533="D",1,0)+IF(EH1533="D",1,0)</f>
        <v>0</v>
      </c>
      <c r="AY1533" s="0" t="n">
        <f aca="false">COUNTIF(DU1533:EH1533, "&lt;&gt;")</f>
        <v>0</v>
      </c>
      <c r="AZ1533" s="0" t="n">
        <f aca="false">IF(EH1533&lt;&gt;"",1,0)</f>
        <v>0</v>
      </c>
      <c r="BB1533" s="0" t="s">
        <v>152</v>
      </c>
    </row>
    <row r="1534" customFormat="false" ht="13.8" hidden="true" customHeight="false" outlineLevel="0" collapsed="false">
      <c r="A1534" s="0" t="s">
        <v>7015</v>
      </c>
      <c r="B1534" s="0" t="n">
        <v>78</v>
      </c>
      <c r="C1534" s="0" t="n">
        <v>495552</v>
      </c>
      <c r="D1534" s="0" t="s">
        <v>7011</v>
      </c>
      <c r="E1534" s="0" t="s">
        <v>1300</v>
      </c>
      <c r="F1534" s="0" t="str">
        <f aca="false">CONCATENATE(D1534," ",LEFT(H1534,4),"T=",AU1534,"D=",AV1534,"R=",AW1534,"M=",AX1534,"L=",AY1534,"B=",AZ1534)</f>
        <v>HAVRILESKO T=1D=0R=0M=0L=0B=0</v>
      </c>
      <c r="G1534" s="0" t="s">
        <v>325</v>
      </c>
      <c r="I1534" s="0" t="s">
        <v>7016</v>
      </c>
      <c r="J1534" s="0" t="s">
        <v>7013</v>
      </c>
      <c r="K1534" s="0" t="s">
        <v>160</v>
      </c>
      <c r="M1534" s="0" t="s">
        <v>7014</v>
      </c>
      <c r="N1534" s="0" t="str">
        <f aca="false">RIGHT(M1534,LEN(M1534)-FIND(" ",M1534))</f>
        <v>MCKINLEY ST NE</v>
      </c>
      <c r="P1534" s="0" t="s">
        <v>145</v>
      </c>
      <c r="Q1534" s="0" t="s">
        <v>146</v>
      </c>
      <c r="R1534" s="0" t="n">
        <v>44483</v>
      </c>
      <c r="AD1534" s="0" t="s">
        <v>147</v>
      </c>
      <c r="AE1534" s="0" t="s">
        <v>148</v>
      </c>
      <c r="AF1534" s="0" t="s">
        <v>149</v>
      </c>
      <c r="AH1534" s="0" t="n">
        <v>14</v>
      </c>
      <c r="AI1534" s="0" t="n">
        <v>11</v>
      </c>
      <c r="AN1534" s="0" t="s">
        <v>145</v>
      </c>
      <c r="AO1534" s="0" t="s">
        <v>654</v>
      </c>
      <c r="AP1534" s="0" t="s">
        <v>655</v>
      </c>
      <c r="AQ1534" s="0" t="n">
        <v>9</v>
      </c>
      <c r="AR1534" s="0" t="n">
        <v>64</v>
      </c>
      <c r="AS1534" s="0" t="n">
        <v>32</v>
      </c>
      <c r="AU1534" s="0" t="n">
        <f aca="false">COUNTA($BA$1324:$EH$1324)</f>
        <v>1</v>
      </c>
      <c r="AV1534" s="0" t="n">
        <f aca="false">COUNTIF($BA$1324:$EH$1324,"D")</f>
        <v>0</v>
      </c>
      <c r="AW1534" s="0" t="n">
        <f aca="false">COUNTIF($BA$1324:$EH$1324,"R")</f>
        <v>0</v>
      </c>
      <c r="AX1534" s="0" t="n">
        <f aca="false">IF(BN1534="D",1,0)+IF(BO1534="D",1,0)+IF(BT1534="D",1,0)+IF(BU1534="D",1,0)+IF(BW1534="D",1,0)+IF(CC1534="D",1,0)+IF(CD1534="D",1,0)+IF(CE1534="D",1,0)+IF(CF1534="D",1,0)+IF(CL1534="D",1,0)+IF(CM1534="D",1,0)+IF(CQ1534="D",1,0)+IF(CR1534="D",1,0)+IF(CS1534="D",1,0)+IF(CW1534="D",1,0)+IF(CX1534="D",1,0)+IF(DD1534="D",1,0)+IF(DE1534="D",1,0)+IF(DJ1534="D",1,0)+IF(DK1534="D",1,0)+IF(DO1534="D",1,0)+IF(DP1534="D",1,0)+IF(DQ1534="D",1,0)+IF(DW1534="D",1,0)+IF(DZ1534="D",1,0)+IF(EH1534="D",1,0)</f>
        <v>0</v>
      </c>
      <c r="AY1534" s="0" t="n">
        <f aca="false">COUNTIF(DU1534:EH1534, "&lt;&gt;")</f>
        <v>0</v>
      </c>
      <c r="AZ1534" s="0" t="n">
        <f aca="false">IF(EH1534&lt;&gt;"",1,0)</f>
        <v>0</v>
      </c>
      <c r="BB1534" s="0" t="s">
        <v>152</v>
      </c>
    </row>
    <row r="1535" customFormat="false" ht="13.8" hidden="true" customHeight="false" outlineLevel="0" collapsed="false">
      <c r="A1535" s="0" t="s">
        <v>7017</v>
      </c>
      <c r="B1535" s="0" t="n">
        <v>78</v>
      </c>
      <c r="C1535" s="0" t="n">
        <v>356382</v>
      </c>
      <c r="D1535" s="0" t="s">
        <v>7018</v>
      </c>
      <c r="E1535" s="0" t="s">
        <v>7019</v>
      </c>
      <c r="F1535" s="0" t="str">
        <f aca="false">CONCATENATE(D1535," ",LEFT(H1535,4),"T=",AU1535,"D=",AV1535,"R=",AW1535,"M=",AX1535,"L=",AY1535,"B=",AZ1535)</f>
        <v>MULHALL T=1D=0R=0M=0L=0B=0</v>
      </c>
      <c r="G1535" s="0" t="s">
        <v>670</v>
      </c>
      <c r="I1535" s="0" t="s">
        <v>7020</v>
      </c>
      <c r="J1535" s="0" t="s">
        <v>7021</v>
      </c>
      <c r="K1535" s="0" t="s">
        <v>143</v>
      </c>
      <c r="M1535" s="0" t="s">
        <v>7014</v>
      </c>
      <c r="N1535" s="0" t="str">
        <f aca="false">RIGHT(M1535,LEN(M1535)-FIND(" ",M1535))</f>
        <v>MCKINLEY ST NE</v>
      </c>
      <c r="P1535" s="0" t="s">
        <v>145</v>
      </c>
      <c r="Q1535" s="0" t="s">
        <v>146</v>
      </c>
      <c r="R1535" s="0" t="n">
        <v>44483</v>
      </c>
      <c r="AD1535" s="0" t="s">
        <v>147</v>
      </c>
      <c r="AE1535" s="0" t="s">
        <v>148</v>
      </c>
      <c r="AF1535" s="0" t="s">
        <v>149</v>
      </c>
      <c r="AH1535" s="0" t="n">
        <v>14</v>
      </c>
      <c r="AI1535" s="0" t="n">
        <v>11</v>
      </c>
      <c r="AN1535" s="0" t="s">
        <v>145</v>
      </c>
      <c r="AO1535" s="0" t="s">
        <v>654</v>
      </c>
      <c r="AP1535" s="0" t="s">
        <v>655</v>
      </c>
      <c r="AQ1535" s="0" t="n">
        <v>9</v>
      </c>
      <c r="AR1535" s="0" t="n">
        <v>64</v>
      </c>
      <c r="AS1535" s="0" t="n">
        <v>32</v>
      </c>
      <c r="AU1535" s="0" t="n">
        <f aca="false">COUNTA($BA$1940:$EH$1940)</f>
        <v>1</v>
      </c>
      <c r="AV1535" s="0" t="n">
        <f aca="false">COUNTIF($BA$1940:$EH$1940,"D")</f>
        <v>0</v>
      </c>
      <c r="AW1535" s="0" t="n">
        <f aca="false">COUNTIF($BA$1940:$EH$1940,"R")</f>
        <v>0</v>
      </c>
      <c r="AX1535" s="0" t="n">
        <f aca="false">IF(BN1535="D",1,0)+IF(BO1535="D",1,0)+IF(BT1535="D",1,0)+IF(BU1535="D",1,0)+IF(BW1535="D",1,0)+IF(CC1535="D",1,0)+IF(CD1535="D",1,0)+IF(CE1535="D",1,0)+IF(CF1535="D",1,0)+IF(CL1535="D",1,0)+IF(CM1535="D",1,0)+IF(CQ1535="D",1,0)+IF(CR1535="D",1,0)+IF(CS1535="D",1,0)+IF(CW1535="D",1,0)+IF(CX1535="D",1,0)+IF(DD1535="D",1,0)+IF(DE1535="D",1,0)+IF(DJ1535="D",1,0)+IF(DK1535="D",1,0)+IF(DO1535="D",1,0)+IF(DP1535="D",1,0)+IF(DQ1535="D",1,0)+IF(DW1535="D",1,0)+IF(DZ1535="D",1,0)+IF(EH1535="D",1,0)</f>
        <v>0</v>
      </c>
      <c r="AY1535" s="0" t="n">
        <f aca="false">COUNTIF(DU1535:EH1535, "&lt;&gt;")</f>
        <v>0</v>
      </c>
      <c r="AZ1535" s="0" t="n">
        <f aca="false">IF(EH1535&lt;&gt;"",1,0)</f>
        <v>0</v>
      </c>
      <c r="BB1535" s="0" t="s">
        <v>152</v>
      </c>
      <c r="CK1535" s="0" t="s">
        <v>153</v>
      </c>
    </row>
    <row r="1536" customFormat="false" ht="13.8" hidden="false" customHeight="false" outlineLevel="0" collapsed="false">
      <c r="A1536" s="0" t="s">
        <v>7022</v>
      </c>
      <c r="B1536" s="0" t="n">
        <v>78</v>
      </c>
      <c r="C1536" s="0" t="n">
        <v>199538</v>
      </c>
      <c r="D1536" s="0" t="s">
        <v>4054</v>
      </c>
      <c r="E1536" s="0" t="s">
        <v>1152</v>
      </c>
      <c r="F1536" s="0" t="str">
        <f aca="false">CONCATENATE(D1536," ",LEFT(H1536,4),"T=",AU1536,"D=",AV1536,"R=",AW1536,"M=",AX1536,"L=",AY1536,"B=",AZ1536)</f>
        <v>FRAZIER T=6D=1R=0M=2L=3B=0</v>
      </c>
      <c r="G1536" s="0" t="s">
        <v>164</v>
      </c>
      <c r="I1536" s="0" t="s">
        <v>7023</v>
      </c>
      <c r="J1536" s="0" t="s">
        <v>7024</v>
      </c>
      <c r="K1536" s="0" t="s">
        <v>160</v>
      </c>
      <c r="M1536" s="0" t="s">
        <v>7025</v>
      </c>
      <c r="N1536" s="0" t="str">
        <f aca="false">RIGHT(M1536,LEN(M1536)-FIND(" ",M1536))</f>
        <v>MCKINLEY ST NE</v>
      </c>
      <c r="P1536" s="0" t="s">
        <v>145</v>
      </c>
      <c r="Q1536" s="0" t="s">
        <v>146</v>
      </c>
      <c r="R1536" s="0" t="n">
        <v>44483</v>
      </c>
      <c r="AD1536" s="0" t="s">
        <v>147</v>
      </c>
      <c r="AE1536" s="0" t="s">
        <v>148</v>
      </c>
      <c r="AF1536" s="0" t="s">
        <v>149</v>
      </c>
      <c r="AH1536" s="0" t="n">
        <v>14</v>
      </c>
      <c r="AI1536" s="0" t="n">
        <v>11</v>
      </c>
      <c r="AN1536" s="0" t="s">
        <v>145</v>
      </c>
      <c r="AO1536" s="0" t="s">
        <v>654</v>
      </c>
      <c r="AP1536" s="0" t="s">
        <v>655</v>
      </c>
      <c r="AQ1536" s="0" t="n">
        <v>9</v>
      </c>
      <c r="AR1536" s="0" t="n">
        <v>64</v>
      </c>
      <c r="AS1536" s="0" t="n">
        <v>32</v>
      </c>
      <c r="AU1536" s="0" t="n">
        <f aca="false">COUNTA($BA$1333:$EH$1333)</f>
        <v>6</v>
      </c>
      <c r="AV1536" s="0" t="n">
        <f aca="false">COUNTIF($BA$1333:$EH$1333,"D")</f>
        <v>1</v>
      </c>
      <c r="AW1536" s="0" t="n">
        <f aca="false">COUNTIF($BA$1333:$EH$1333,"R")</f>
        <v>0</v>
      </c>
      <c r="AX1536" s="0" t="n">
        <f aca="false">IF(BN1536="D",1,0)+IF(BO1536="D",1,0)+IF(BT1536="D",1,0)+IF(BU1536="D",1,0)+IF(BW1536="D",1,0)+IF(CC1536="D",1,0)+IF(CD1536="D",1,0)+IF(CE1536="D",1,0)+IF(CF1536="D",1,0)+IF(CL1536="D",1,0)+IF(CM1536="D",1,0)+IF(CQ1536="D",1,0)+IF(CR1536="D",1,0)+IF(CS1536="D",1,0)+IF(CW1536="D",1,0)+IF(CX1536="D",1,0)+IF(DD1536="D",1,0)+IF(DE1536="D",1,0)+IF(DJ1536="D",1,0)+IF(DK1536="D",1,0)+IF(DO1536="D",1,0)+IF(DP1536="D",1,0)+IF(DQ1536="D",1,0)+IF(DW1536="D",1,0)+IF(DZ1536="D",1,0)+IF(EH1536="D",1,0)</f>
        <v>2</v>
      </c>
      <c r="AY1536" s="0" t="n">
        <f aca="false">COUNTIF(DU1536:EH1536, "&lt;&gt;")</f>
        <v>3</v>
      </c>
      <c r="AZ1536" s="0" t="n">
        <f aca="false">IF(EH1536&lt;&gt;"",1,0)</f>
        <v>0</v>
      </c>
      <c r="BB1536" s="0" t="s">
        <v>152</v>
      </c>
      <c r="BD1536" s="0" t="s">
        <v>153</v>
      </c>
      <c r="BI1536" s="0" t="s">
        <v>153</v>
      </c>
      <c r="BJ1536" s="0" t="s">
        <v>153</v>
      </c>
      <c r="BL1536" s="0" t="s">
        <v>153</v>
      </c>
      <c r="BP1536" s="0" t="s">
        <v>153</v>
      </c>
      <c r="BS1536" s="0" t="s">
        <v>153</v>
      </c>
      <c r="BY1536" s="0" t="s">
        <v>175</v>
      </c>
      <c r="CA1536" s="0" t="s">
        <v>153</v>
      </c>
      <c r="CG1536" s="0" t="s">
        <v>153</v>
      </c>
      <c r="CK1536" s="0" t="s">
        <v>153</v>
      </c>
      <c r="CL1536" s="0" t="s">
        <v>175</v>
      </c>
      <c r="CN1536" s="0" t="s">
        <v>153</v>
      </c>
      <c r="CP1536" s="0" t="s">
        <v>153</v>
      </c>
      <c r="CY1536" s="0" t="s">
        <v>153</v>
      </c>
      <c r="DC1536" s="0" t="s">
        <v>153</v>
      </c>
      <c r="DD1536" s="0" t="s">
        <v>175</v>
      </c>
      <c r="DI1536" s="0" t="s">
        <v>153</v>
      </c>
      <c r="DN1536" s="0" t="s">
        <v>153</v>
      </c>
      <c r="DU1536" s="0" t="s">
        <v>153</v>
      </c>
      <c r="DX1536" s="0" t="s">
        <v>153</v>
      </c>
      <c r="EF1536" s="0" t="s">
        <v>153</v>
      </c>
    </row>
    <row r="1537" customFormat="false" ht="13.8" hidden="true" customHeight="false" outlineLevel="0" collapsed="false">
      <c r="A1537" s="0" t="s">
        <v>7026</v>
      </c>
      <c r="B1537" s="0" t="n">
        <v>78</v>
      </c>
      <c r="C1537" s="0" t="n">
        <v>434748</v>
      </c>
      <c r="D1537" s="0" t="s">
        <v>4054</v>
      </c>
      <c r="E1537" s="0" t="s">
        <v>184</v>
      </c>
      <c r="F1537" s="0" t="str">
        <f aca="false">CONCATENATE(D1537," ",LEFT(H1537,4),"T=",AU1537,"D=",AV1537,"R=",AW1537,"M=",AX1537,"L=",AY1537,"B=",AZ1537)</f>
        <v>FRAZIER T=2D=0R=0M=0L=0B=0</v>
      </c>
      <c r="G1537" s="0" t="s">
        <v>7027</v>
      </c>
      <c r="I1537" s="0" t="s">
        <v>7028</v>
      </c>
      <c r="J1537" s="0" t="s">
        <v>7029</v>
      </c>
      <c r="K1537" s="0" t="s">
        <v>143</v>
      </c>
      <c r="M1537" s="0" t="s">
        <v>7025</v>
      </c>
      <c r="N1537" s="0" t="str">
        <f aca="false">RIGHT(M1537,LEN(M1537)-FIND(" ",M1537))</f>
        <v>MCKINLEY ST NE</v>
      </c>
      <c r="P1537" s="0" t="s">
        <v>145</v>
      </c>
      <c r="Q1537" s="0" t="s">
        <v>146</v>
      </c>
      <c r="R1537" s="0" t="n">
        <v>44483</v>
      </c>
      <c r="AD1537" s="0" t="s">
        <v>147</v>
      </c>
      <c r="AE1537" s="0" t="s">
        <v>148</v>
      </c>
      <c r="AF1537" s="0" t="s">
        <v>149</v>
      </c>
      <c r="AH1537" s="0" t="n">
        <v>14</v>
      </c>
      <c r="AI1537" s="0" t="n">
        <v>11</v>
      </c>
      <c r="AN1537" s="0" t="s">
        <v>145</v>
      </c>
      <c r="AO1537" s="0" t="s">
        <v>654</v>
      </c>
      <c r="AP1537" s="0" t="s">
        <v>655</v>
      </c>
      <c r="AQ1537" s="0" t="n">
        <v>9</v>
      </c>
      <c r="AR1537" s="0" t="n">
        <v>64</v>
      </c>
      <c r="AS1537" s="0" t="n">
        <v>32</v>
      </c>
      <c r="AU1537" s="0" t="n">
        <f aca="false">COUNTA($BA$1574:$EH$1574)</f>
        <v>2</v>
      </c>
      <c r="AV1537" s="0" t="n">
        <f aca="false">COUNTIF($BA$1574:$EH$1574,"D")</f>
        <v>0</v>
      </c>
      <c r="AW1537" s="0" t="n">
        <f aca="false">COUNTIF($BA$1574:$EH$1574,"R")</f>
        <v>0</v>
      </c>
      <c r="AX1537" s="0" t="n">
        <f aca="false">IF(BN1537="D",1,0)+IF(BO1537="D",1,0)+IF(BT1537="D",1,0)+IF(BU1537="D",1,0)+IF(BW1537="D",1,0)+IF(CC1537="D",1,0)+IF(CD1537="D",1,0)+IF(CE1537="D",1,0)+IF(CF1537="D",1,0)+IF(CL1537="D",1,0)+IF(CM1537="D",1,0)+IF(CQ1537="D",1,0)+IF(CR1537="D",1,0)+IF(CS1537="D",1,0)+IF(CW1537="D",1,0)+IF(CX1537="D",1,0)+IF(DD1537="D",1,0)+IF(DE1537="D",1,0)+IF(DJ1537="D",1,0)+IF(DK1537="D",1,0)+IF(DO1537="D",1,0)+IF(DP1537="D",1,0)+IF(DQ1537="D",1,0)+IF(DW1537="D",1,0)+IF(DZ1537="D",1,0)+IF(EH1537="D",1,0)</f>
        <v>0</v>
      </c>
      <c r="AY1537" s="0" t="n">
        <f aca="false">COUNTIF(DU1537:EH1537, "&lt;&gt;")</f>
        <v>0</v>
      </c>
      <c r="AZ1537" s="0" t="n">
        <f aca="false">IF(EH1537&lt;&gt;"",1,0)</f>
        <v>0</v>
      </c>
      <c r="BB1537" s="0" t="s">
        <v>152</v>
      </c>
      <c r="DI1537" s="0" t="s">
        <v>153</v>
      </c>
      <c r="DN1537" s="0" t="s">
        <v>153</v>
      </c>
    </row>
    <row r="1538" customFormat="false" ht="13.8" hidden="true" customHeight="false" outlineLevel="0" collapsed="false">
      <c r="A1538" s="0" t="s">
        <v>7030</v>
      </c>
      <c r="B1538" s="0" t="n">
        <v>78</v>
      </c>
      <c r="C1538" s="0" t="n">
        <v>314030</v>
      </c>
      <c r="D1538" s="0" t="s">
        <v>1998</v>
      </c>
      <c r="E1538" s="0" t="s">
        <v>7031</v>
      </c>
      <c r="F1538" s="0" t="str">
        <f aca="false">CONCATENATE(D1538," ",LEFT(H1538,4),"T=",AU1538,"D=",AV1538,"R=",AW1538,"M=",AX1538,"L=",AY1538,"B=",AZ1538)</f>
        <v>SIMON T=6D=0R=0M=0L=0B=0</v>
      </c>
      <c r="G1538" s="0" t="s">
        <v>255</v>
      </c>
      <c r="I1538" s="0" t="s">
        <v>7032</v>
      </c>
      <c r="J1538" s="0" t="s">
        <v>3345</v>
      </c>
      <c r="K1538" s="0" t="s">
        <v>160</v>
      </c>
      <c r="M1538" s="0" t="s">
        <v>7033</v>
      </c>
      <c r="N1538" s="0" t="str">
        <f aca="false">RIGHT(M1538,LEN(M1538)-FIND(" ",M1538))</f>
        <v>MCKINLEY ST NE</v>
      </c>
      <c r="P1538" s="0" t="s">
        <v>145</v>
      </c>
      <c r="Q1538" s="0" t="s">
        <v>146</v>
      </c>
      <c r="R1538" s="0" t="n">
        <v>44483</v>
      </c>
      <c r="AD1538" s="0" t="s">
        <v>147</v>
      </c>
      <c r="AE1538" s="0" t="s">
        <v>148</v>
      </c>
      <c r="AF1538" s="0" t="s">
        <v>149</v>
      </c>
      <c r="AH1538" s="0" t="n">
        <v>14</v>
      </c>
      <c r="AI1538" s="0" t="n">
        <v>11</v>
      </c>
      <c r="AN1538" s="0" t="s">
        <v>145</v>
      </c>
      <c r="AO1538" s="0" t="s">
        <v>654</v>
      </c>
      <c r="AP1538" s="0" t="s">
        <v>655</v>
      </c>
      <c r="AQ1538" s="0" t="n">
        <v>9</v>
      </c>
      <c r="AR1538" s="0" t="n">
        <v>64</v>
      </c>
      <c r="AS1538" s="0" t="n">
        <v>32</v>
      </c>
      <c r="AU1538" s="0" t="n">
        <f aca="false">COUNTA($BA$1179:$EH$1179)</f>
        <v>6</v>
      </c>
      <c r="AV1538" s="0" t="n">
        <f aca="false">COUNTIF($BA$1179:$EH$1179,"D")</f>
        <v>0</v>
      </c>
      <c r="AW1538" s="0" t="n">
        <f aca="false">COUNTIF($BA$1179:$EH$1179,"R")</f>
        <v>0</v>
      </c>
      <c r="AX1538" s="0" t="n">
        <f aca="false">IF(BN1538="D",1,0)+IF(BO1538="D",1,0)+IF(BT1538="D",1,0)+IF(BU1538="D",1,0)+IF(BW1538="D",1,0)+IF(CC1538="D",1,0)+IF(CD1538="D",1,0)+IF(CE1538="D",1,0)+IF(CF1538="D",1,0)+IF(CL1538="D",1,0)+IF(CM1538="D",1,0)+IF(CQ1538="D",1,0)+IF(CR1538="D",1,0)+IF(CS1538="D",1,0)+IF(CW1538="D",1,0)+IF(CX1538="D",1,0)+IF(DD1538="D",1,0)+IF(DE1538="D",1,0)+IF(DJ1538="D",1,0)+IF(DK1538="D",1,0)+IF(DO1538="D",1,0)+IF(DP1538="D",1,0)+IF(DQ1538="D",1,0)+IF(DW1538="D",1,0)+IF(DZ1538="D",1,0)+IF(EH1538="D",1,0)</f>
        <v>0</v>
      </c>
      <c r="AY1538" s="0" t="n">
        <f aca="false">COUNTIF(DU1538:EH1538, "&lt;&gt;")</f>
        <v>0</v>
      </c>
      <c r="AZ1538" s="0" t="n">
        <f aca="false">IF(EH1538&lt;&gt;"",1,0)</f>
        <v>0</v>
      </c>
      <c r="BB1538" s="0" t="s">
        <v>152</v>
      </c>
      <c r="BI1538" s="0" t="s">
        <v>153</v>
      </c>
      <c r="BK1538" s="0" t="s">
        <v>153</v>
      </c>
      <c r="BL1538" s="0" t="s">
        <v>153</v>
      </c>
      <c r="BP1538" s="0" t="s">
        <v>153</v>
      </c>
      <c r="BR1538" s="0" t="s">
        <v>153</v>
      </c>
      <c r="CP1538" s="0" t="s">
        <v>153</v>
      </c>
      <c r="DC1538" s="0" t="s">
        <v>153</v>
      </c>
      <c r="DF1538" s="0" t="s">
        <v>153</v>
      </c>
      <c r="DG1538" s="0" t="s">
        <v>175</v>
      </c>
    </row>
    <row r="1539" customFormat="false" ht="13.8" hidden="true" customHeight="false" outlineLevel="0" collapsed="false">
      <c r="A1539" s="0" t="s">
        <v>7034</v>
      </c>
      <c r="B1539" s="0" t="n">
        <v>78</v>
      </c>
      <c r="C1539" s="0" t="n">
        <v>388803</v>
      </c>
      <c r="D1539" s="0" t="s">
        <v>7035</v>
      </c>
      <c r="E1539" s="0" t="s">
        <v>2486</v>
      </c>
      <c r="F1539" s="0" t="str">
        <f aca="false">CONCATENATE(D1539," ",LEFT(H1539,4),"T=",AU1539,"D=",AV1539,"R=",AW1539,"M=",AX1539,"L=",AY1539,"B=",AZ1539)</f>
        <v>DURDA JRT=5D=1R=0M=0L=0B=0</v>
      </c>
      <c r="G1539" s="0" t="s">
        <v>268</v>
      </c>
      <c r="H1539" s="0" t="s">
        <v>314</v>
      </c>
      <c r="I1539" s="0" t="s">
        <v>7036</v>
      </c>
      <c r="J1539" s="0" t="s">
        <v>7037</v>
      </c>
      <c r="K1539" s="0" t="s">
        <v>143</v>
      </c>
      <c r="M1539" s="0" t="s">
        <v>7033</v>
      </c>
      <c r="N1539" s="0" t="str">
        <f aca="false">RIGHT(M1539,LEN(M1539)-FIND(" ",M1539))</f>
        <v>MCKINLEY ST NE</v>
      </c>
      <c r="P1539" s="0" t="s">
        <v>145</v>
      </c>
      <c r="Q1539" s="0" t="s">
        <v>146</v>
      </c>
      <c r="R1539" s="0" t="n">
        <v>44483</v>
      </c>
      <c r="AD1539" s="0" t="s">
        <v>147</v>
      </c>
      <c r="AE1539" s="0" t="s">
        <v>148</v>
      </c>
      <c r="AF1539" s="0" t="s">
        <v>149</v>
      </c>
      <c r="AH1539" s="0" t="n">
        <v>14</v>
      </c>
      <c r="AI1539" s="0" t="n">
        <v>11</v>
      </c>
      <c r="AN1539" s="0" t="s">
        <v>145</v>
      </c>
      <c r="AO1539" s="0" t="s">
        <v>654</v>
      </c>
      <c r="AP1539" s="0" t="s">
        <v>655</v>
      </c>
      <c r="AQ1539" s="0" t="n">
        <v>9</v>
      </c>
      <c r="AR1539" s="0" t="n">
        <v>64</v>
      </c>
      <c r="AS1539" s="0" t="n">
        <v>32</v>
      </c>
      <c r="AU1539" s="0" t="n">
        <f aca="false">COUNTA($BA$1519:$EH$1519)</f>
        <v>5</v>
      </c>
      <c r="AV1539" s="0" t="n">
        <f aca="false">COUNTIF($BA$1519:$EH$1519,"D")</f>
        <v>1</v>
      </c>
      <c r="AW1539" s="0" t="n">
        <f aca="false">COUNTIF($BA$1519:$EH$1519,"R")</f>
        <v>0</v>
      </c>
      <c r="AX1539" s="0" t="n">
        <f aca="false">IF(BN1539="D",1,0)+IF(BO1539="D",1,0)+IF(BT1539="D",1,0)+IF(BU1539="D",1,0)+IF(BW1539="D",1,0)+IF(CC1539="D",1,0)+IF(CD1539="D",1,0)+IF(CE1539="D",1,0)+IF(CF1539="D",1,0)+IF(CL1539="D",1,0)+IF(CM1539="D",1,0)+IF(CQ1539="D",1,0)+IF(CR1539="D",1,0)+IF(CS1539="D",1,0)+IF(CW1539="D",1,0)+IF(CX1539="D",1,0)+IF(DD1539="D",1,0)+IF(DE1539="D",1,0)+IF(DJ1539="D",1,0)+IF(DK1539="D",1,0)+IF(DO1539="D",1,0)+IF(DP1539="D",1,0)+IF(DQ1539="D",1,0)+IF(DW1539="D",1,0)+IF(DZ1539="D",1,0)+IF(EH1539="D",1,0)</f>
        <v>0</v>
      </c>
      <c r="AY1539" s="0" t="n">
        <f aca="false">COUNTIF(DU1539:EH1539, "&lt;&gt;")</f>
        <v>0</v>
      </c>
      <c r="AZ1539" s="0" t="n">
        <f aca="false">IF(EH1539&lt;&gt;"",1,0)</f>
        <v>0</v>
      </c>
      <c r="BB1539" s="0" t="s">
        <v>152</v>
      </c>
      <c r="CY1539" s="0" t="s">
        <v>153</v>
      </c>
    </row>
    <row r="1540" customFormat="false" ht="13.8" hidden="true" customHeight="false" outlineLevel="0" collapsed="false">
      <c r="A1540" s="0" t="s">
        <v>7038</v>
      </c>
      <c r="B1540" s="0" t="n">
        <v>78</v>
      </c>
      <c r="C1540" s="0" t="n">
        <v>494104</v>
      </c>
      <c r="D1540" s="0" t="s">
        <v>7039</v>
      </c>
      <c r="E1540" s="0" t="s">
        <v>7040</v>
      </c>
      <c r="F1540" s="0" t="str">
        <f aca="false">CONCATENATE(D1540," ",LEFT(H1540,4),"T=",AU1540,"D=",AV1540,"R=",AW1540,"M=",AX1540,"L=",AY1540,"B=",AZ1540)</f>
        <v>POLING T=9D=1R=0M=0L=0B=0</v>
      </c>
      <c r="G1540" s="0" t="s">
        <v>7041</v>
      </c>
      <c r="I1540" s="0" t="s">
        <v>7042</v>
      </c>
      <c r="J1540" s="0" t="s">
        <v>7043</v>
      </c>
      <c r="K1540" s="0" t="s">
        <v>160</v>
      </c>
      <c r="M1540" s="0" t="s">
        <v>7044</v>
      </c>
      <c r="N1540" s="0" t="str">
        <f aca="false">RIGHT(M1540,LEN(M1540)-FIND(" ",M1540))</f>
        <v>MCKINLEY ST NE</v>
      </c>
      <c r="P1540" s="0" t="s">
        <v>145</v>
      </c>
      <c r="Q1540" s="0" t="s">
        <v>146</v>
      </c>
      <c r="R1540" s="0" t="n">
        <v>44483</v>
      </c>
      <c r="AD1540" s="0" t="s">
        <v>147</v>
      </c>
      <c r="AE1540" s="0" t="s">
        <v>148</v>
      </c>
      <c r="AF1540" s="0" t="s">
        <v>149</v>
      </c>
      <c r="AH1540" s="0" t="n">
        <v>14</v>
      </c>
      <c r="AI1540" s="0" t="n">
        <v>11</v>
      </c>
      <c r="AN1540" s="0" t="s">
        <v>145</v>
      </c>
      <c r="AO1540" s="0" t="s">
        <v>654</v>
      </c>
      <c r="AP1540" s="0" t="s">
        <v>655</v>
      </c>
      <c r="AQ1540" s="0" t="n">
        <v>9</v>
      </c>
      <c r="AR1540" s="0" t="n">
        <v>64</v>
      </c>
      <c r="AS1540" s="0" t="n">
        <v>32</v>
      </c>
      <c r="AU1540" s="0" t="n">
        <f aca="false">COUNTA($BA$1555:$EH$1555)</f>
        <v>9</v>
      </c>
      <c r="AV1540" s="0" t="n">
        <f aca="false">COUNTIF($BA$1555:$EH$1555,"D")</f>
        <v>1</v>
      </c>
      <c r="AW1540" s="0" t="n">
        <f aca="false">COUNTIF($BA$1555:$EH$1555,"R")</f>
        <v>0</v>
      </c>
      <c r="AX1540" s="0" t="n">
        <f aca="false">IF(BN1540="D",1,0)+IF(BO1540="D",1,0)+IF(BT1540="D",1,0)+IF(BU1540="D",1,0)+IF(BW1540="D",1,0)+IF(CC1540="D",1,0)+IF(CD1540="D",1,0)+IF(CE1540="D",1,0)+IF(CF1540="D",1,0)+IF(CL1540="D",1,0)+IF(CM1540="D",1,0)+IF(CQ1540="D",1,0)+IF(CR1540="D",1,0)+IF(CS1540="D",1,0)+IF(CW1540="D",1,0)+IF(CX1540="D",1,0)+IF(DD1540="D",1,0)+IF(DE1540="D",1,0)+IF(DJ1540="D",1,0)+IF(DK1540="D",1,0)+IF(DO1540="D",1,0)+IF(DP1540="D",1,0)+IF(DQ1540="D",1,0)+IF(DW1540="D",1,0)+IF(DZ1540="D",1,0)+IF(EH1540="D",1,0)</f>
        <v>0</v>
      </c>
      <c r="AY1540" s="0" t="n">
        <f aca="false">COUNTIF(DU1540:EH1540, "&lt;&gt;")</f>
        <v>0</v>
      </c>
      <c r="AZ1540" s="0" t="n">
        <f aca="false">IF(EH1540&lt;&gt;"",1,0)</f>
        <v>0</v>
      </c>
      <c r="BB1540" s="0" t="s">
        <v>152</v>
      </c>
    </row>
    <row r="1541" customFormat="false" ht="13.8" hidden="false" customHeight="false" outlineLevel="0" collapsed="false">
      <c r="A1541" s="0" t="s">
        <v>7045</v>
      </c>
      <c r="B1541" s="0" t="n">
        <v>78</v>
      </c>
      <c r="C1541" s="0" t="n">
        <v>398290</v>
      </c>
      <c r="D1541" s="0" t="s">
        <v>7046</v>
      </c>
      <c r="E1541" s="0" t="s">
        <v>7047</v>
      </c>
      <c r="F1541" s="0" t="str">
        <f aca="false">CONCATENATE(D1541," ",LEFT(H1541,4),"T=",AU1541,"D=",AV1541,"R=",AW1541,"M=",AX1541,"L=",AY1541,"B=",AZ1541)</f>
        <v>KNIGHT T=8D=0R=0M=2L=6B=0</v>
      </c>
      <c r="G1541" s="0" t="s">
        <v>606</v>
      </c>
      <c r="I1541" s="0" t="s">
        <v>7048</v>
      </c>
      <c r="J1541" s="0" t="s">
        <v>7049</v>
      </c>
      <c r="K1541" s="0" t="s">
        <v>160</v>
      </c>
      <c r="L1541" s="0" t="s">
        <v>209</v>
      </c>
      <c r="M1541" s="0" t="s">
        <v>7050</v>
      </c>
      <c r="N1541" s="0" t="str">
        <f aca="false">RIGHT(M1541,LEN(M1541)-FIND(" ",M1541))</f>
        <v>MCKINLEY ST NE</v>
      </c>
      <c r="P1541" s="0" t="s">
        <v>145</v>
      </c>
      <c r="Q1541" s="0" t="s">
        <v>146</v>
      </c>
      <c r="R1541" s="0" t="n">
        <v>44483</v>
      </c>
      <c r="AD1541" s="0" t="s">
        <v>147</v>
      </c>
      <c r="AE1541" s="0" t="s">
        <v>148</v>
      </c>
      <c r="AF1541" s="0" t="s">
        <v>149</v>
      </c>
      <c r="AH1541" s="0" t="n">
        <v>14</v>
      </c>
      <c r="AI1541" s="0" t="n">
        <v>11</v>
      </c>
      <c r="AN1541" s="0" t="s">
        <v>145</v>
      </c>
      <c r="AO1541" s="0" t="s">
        <v>654</v>
      </c>
      <c r="AP1541" s="0" t="s">
        <v>655</v>
      </c>
      <c r="AQ1541" s="0" t="n">
        <v>9</v>
      </c>
      <c r="AR1541" s="0" t="n">
        <v>64</v>
      </c>
      <c r="AS1541" s="0" t="n">
        <v>32</v>
      </c>
      <c r="AU1541" s="0" t="n">
        <f aca="false">COUNTA($BA$1826:$EH$1826)</f>
        <v>8</v>
      </c>
      <c r="AV1541" s="0" t="n">
        <f aca="false">COUNTIF($BA$1826:$EH$1826,"D")</f>
        <v>0</v>
      </c>
      <c r="AW1541" s="0" t="n">
        <f aca="false">COUNTIF($BA$1826:$EH$1826,"R")</f>
        <v>0</v>
      </c>
      <c r="AX1541" s="0" t="n">
        <f aca="false">IF(BN1541="D",1,0)+IF(BO1541="D",1,0)+IF(BT1541="D",1,0)+IF(BU1541="D",1,0)+IF(BW1541="D",1,0)+IF(CC1541="D",1,0)+IF(CD1541="D",1,0)+IF(CE1541="D",1,0)+IF(CF1541="D",1,0)+IF(CL1541="D",1,0)+IF(CM1541="D",1,0)+IF(CQ1541="D",1,0)+IF(CR1541="D",1,0)+IF(CS1541="D",1,0)+IF(CW1541="D",1,0)+IF(CX1541="D",1,0)+IF(DD1541="D",1,0)+IF(DE1541="D",1,0)+IF(DJ1541="D",1,0)+IF(DK1541="D",1,0)+IF(DO1541="D",1,0)+IF(DP1541="D",1,0)+IF(DQ1541="D",1,0)+IF(DW1541="D",1,0)+IF(DZ1541="D",1,0)+IF(EH1541="D",1,0)</f>
        <v>2</v>
      </c>
      <c r="AY1541" s="0" t="n">
        <f aca="false">COUNTIF(DU1541:EH1541, "&lt;&gt;")</f>
        <v>6</v>
      </c>
      <c r="AZ1541" s="0" t="n">
        <f aca="false">IF(EH1541&lt;&gt;"",1,0)</f>
        <v>0</v>
      </c>
      <c r="BB1541" s="0" t="s">
        <v>152</v>
      </c>
      <c r="CT1541" s="0" t="s">
        <v>153</v>
      </c>
      <c r="CU1541" s="0" t="s">
        <v>175</v>
      </c>
      <c r="CV1541" s="0" t="s">
        <v>153</v>
      </c>
      <c r="CY1541" s="0" t="s">
        <v>153</v>
      </c>
      <c r="CZ1541" s="0" t="s">
        <v>175</v>
      </c>
      <c r="DC1541" s="0" t="s">
        <v>153</v>
      </c>
      <c r="DD1541" s="0" t="s">
        <v>175</v>
      </c>
      <c r="DF1541" s="0" t="s">
        <v>153</v>
      </c>
      <c r="DG1541" s="0" t="s">
        <v>175</v>
      </c>
      <c r="DI1541" s="0" t="s">
        <v>153</v>
      </c>
      <c r="DL1541" s="0" t="s">
        <v>153</v>
      </c>
      <c r="DM1541" s="0" t="s">
        <v>175</v>
      </c>
      <c r="DN1541" s="0" t="s">
        <v>153</v>
      </c>
      <c r="DS1541" s="0" t="s">
        <v>209</v>
      </c>
      <c r="DU1541" s="0" t="s">
        <v>153</v>
      </c>
      <c r="DW1541" s="0" t="s">
        <v>175</v>
      </c>
      <c r="DX1541" s="0" t="s">
        <v>153</v>
      </c>
      <c r="EA1541" s="0" t="s">
        <v>153</v>
      </c>
      <c r="ED1541" s="0" t="s">
        <v>209</v>
      </c>
      <c r="EF1541" s="0" t="s">
        <v>153</v>
      </c>
    </row>
    <row r="1542" customFormat="false" ht="13.8" hidden="true" customHeight="false" outlineLevel="0" collapsed="false">
      <c r="A1542" s="0" t="s">
        <v>7051</v>
      </c>
      <c r="B1542" s="0" t="n">
        <v>78</v>
      </c>
      <c r="C1542" s="0" t="n">
        <v>462018</v>
      </c>
      <c r="D1542" s="0" t="s">
        <v>7052</v>
      </c>
      <c r="E1542" s="0" t="s">
        <v>1171</v>
      </c>
      <c r="F1542" s="0" t="str">
        <f aca="false">CONCATENATE(D1542," ",LEFT(H1542,4),"T=",AU1542,"D=",AV1542,"R=",AW1542,"M=",AX1542,"L=",AY1542,"B=",AZ1542)</f>
        <v>HILL T=8D=1R=0M=0L=0B=0</v>
      </c>
      <c r="G1542" s="0" t="s">
        <v>1269</v>
      </c>
      <c r="I1542" s="0" t="s">
        <v>7053</v>
      </c>
      <c r="J1542" s="0" t="s">
        <v>7054</v>
      </c>
      <c r="K1542" s="0" t="s">
        <v>143</v>
      </c>
      <c r="M1542" s="0" t="s">
        <v>7055</v>
      </c>
      <c r="N1542" s="0" t="str">
        <f aca="false">RIGHT(M1542,LEN(M1542)-FIND(" ",M1542))</f>
        <v>MCKINLEY ST NE</v>
      </c>
      <c r="P1542" s="0" t="s">
        <v>145</v>
      </c>
      <c r="Q1542" s="0" t="s">
        <v>146</v>
      </c>
      <c r="R1542" s="0" t="n">
        <v>44483</v>
      </c>
      <c r="AD1542" s="0" t="s">
        <v>147</v>
      </c>
      <c r="AE1542" s="0" t="s">
        <v>148</v>
      </c>
      <c r="AF1542" s="0" t="s">
        <v>149</v>
      </c>
      <c r="AH1542" s="0" t="n">
        <v>14</v>
      </c>
      <c r="AI1542" s="0" t="n">
        <v>11</v>
      </c>
      <c r="AN1542" s="0" t="s">
        <v>145</v>
      </c>
      <c r="AO1542" s="0" t="s">
        <v>654</v>
      </c>
      <c r="AP1542" s="0" t="s">
        <v>655</v>
      </c>
      <c r="AQ1542" s="0" t="n">
        <v>9</v>
      </c>
      <c r="AR1542" s="0" t="n">
        <v>64</v>
      </c>
      <c r="AS1542" s="0" t="n">
        <v>32</v>
      </c>
      <c r="AU1542" s="0" t="n">
        <f aca="false">COUNTA($BA$1687:$EH$1687)</f>
        <v>8</v>
      </c>
      <c r="AV1542" s="0" t="n">
        <f aca="false">COUNTIF($BA$1687:$EH$1687,"D")</f>
        <v>1</v>
      </c>
      <c r="AW1542" s="0" t="n">
        <f aca="false">COUNTIF($BA$1687:$EH$1687,"R")</f>
        <v>0</v>
      </c>
      <c r="AX1542" s="0" t="n">
        <f aca="false">IF(BN1542="D",1,0)+IF(BO1542="D",1,0)+IF(BT1542="D",1,0)+IF(BU1542="D",1,0)+IF(BW1542="D",1,0)+IF(CC1542="D",1,0)+IF(CD1542="D",1,0)+IF(CE1542="D",1,0)+IF(CF1542="D",1,0)+IF(CL1542="D",1,0)+IF(CM1542="D",1,0)+IF(CQ1542="D",1,0)+IF(CR1542="D",1,0)+IF(CS1542="D",1,0)+IF(CW1542="D",1,0)+IF(CX1542="D",1,0)+IF(DD1542="D",1,0)+IF(DE1542="D",1,0)+IF(DJ1542="D",1,0)+IF(DK1542="D",1,0)+IF(DO1542="D",1,0)+IF(DP1542="D",1,0)+IF(DQ1542="D",1,0)+IF(DW1542="D",1,0)+IF(DZ1542="D",1,0)+IF(EH1542="D",1,0)</f>
        <v>0</v>
      </c>
      <c r="AY1542" s="0" t="n">
        <f aca="false">COUNTIF(DU1542:EH1542, "&lt;&gt;")</f>
        <v>0</v>
      </c>
      <c r="AZ1542" s="0" t="n">
        <f aca="false">IF(EH1542&lt;&gt;"",1,0)</f>
        <v>0</v>
      </c>
      <c r="BB1542" s="0" t="s">
        <v>152</v>
      </c>
    </row>
    <row r="1543" customFormat="false" ht="13.8" hidden="false" customHeight="false" outlineLevel="0" collapsed="false">
      <c r="A1543" s="0" t="s">
        <v>7056</v>
      </c>
      <c r="B1543" s="0" t="n">
        <v>78</v>
      </c>
      <c r="C1543" s="0" t="n">
        <v>338671</v>
      </c>
      <c r="D1543" s="0" t="s">
        <v>7057</v>
      </c>
      <c r="E1543" s="0" t="s">
        <v>1276</v>
      </c>
      <c r="F1543" s="0" t="str">
        <f aca="false">CONCATENATE(D1543," ",LEFT(H1543,4),"T=",AU1543,"D=",AV1543,"R=",AW1543,"M=",AX1543,"L=",AY1543,"B=",AZ1543)</f>
        <v>PERRETT T=5D=0R=0M=0L=5B=0</v>
      </c>
      <c r="G1543" s="0" t="s">
        <v>175</v>
      </c>
      <c r="I1543" s="0" t="s">
        <v>7058</v>
      </c>
      <c r="J1543" s="0" t="s">
        <v>879</v>
      </c>
      <c r="K1543" s="0" t="s">
        <v>160</v>
      </c>
      <c r="L1543" s="0" t="s">
        <v>209</v>
      </c>
      <c r="M1543" s="0" t="s">
        <v>7059</v>
      </c>
      <c r="N1543" s="0" t="str">
        <f aca="false">RIGHT(M1543,LEN(M1543)-FIND(" ",M1543))</f>
        <v>MCKINLEY ST NE</v>
      </c>
      <c r="P1543" s="0" t="s">
        <v>145</v>
      </c>
      <c r="Q1543" s="0" t="s">
        <v>146</v>
      </c>
      <c r="R1543" s="0" t="n">
        <v>44483</v>
      </c>
      <c r="AD1543" s="0" t="s">
        <v>147</v>
      </c>
      <c r="AE1543" s="0" t="s">
        <v>148</v>
      </c>
      <c r="AF1543" s="0" t="s">
        <v>149</v>
      </c>
      <c r="AH1543" s="0" t="n">
        <v>14</v>
      </c>
      <c r="AI1543" s="0" t="n">
        <v>11</v>
      </c>
      <c r="AN1543" s="0" t="s">
        <v>145</v>
      </c>
      <c r="AO1543" s="0" t="s">
        <v>654</v>
      </c>
      <c r="AP1543" s="0" t="s">
        <v>655</v>
      </c>
      <c r="AQ1543" s="0" t="n">
        <v>9</v>
      </c>
      <c r="AR1543" s="0" t="n">
        <v>64</v>
      </c>
      <c r="AS1543" s="0" t="n">
        <v>32</v>
      </c>
      <c r="AU1543" s="0" t="n">
        <f aca="false">COUNTA($BA$1260:$EH$1260)</f>
        <v>5</v>
      </c>
      <c r="AV1543" s="0" t="n">
        <f aca="false">COUNTIF($BA$1260:$EH$1260,"D")</f>
        <v>0</v>
      </c>
      <c r="AW1543" s="0" t="n">
        <f aca="false">COUNTIF($BA$1260:$EH$1260,"R")</f>
        <v>0</v>
      </c>
      <c r="AX1543" s="0" t="n">
        <f aca="false">IF(BN1543="D",1,0)+IF(BO1543="D",1,0)+IF(BT1543="D",1,0)+IF(BU1543="D",1,0)+IF(BW1543="D",1,0)+IF(CC1543="D",1,0)+IF(CD1543="D",1,0)+IF(CE1543="D",1,0)+IF(CF1543="D",1,0)+IF(CL1543="D",1,0)+IF(CM1543="D",1,0)+IF(CQ1543="D",1,0)+IF(CR1543="D",1,0)+IF(CS1543="D",1,0)+IF(CW1543="D",1,0)+IF(CX1543="D",1,0)+IF(DD1543="D",1,0)+IF(DE1543="D",1,0)+IF(DJ1543="D",1,0)+IF(DK1543="D",1,0)+IF(DO1543="D",1,0)+IF(DP1543="D",1,0)+IF(DQ1543="D",1,0)+IF(DW1543="D",1,0)+IF(DZ1543="D",1,0)+IF(EH1543="D",1,0)</f>
        <v>0</v>
      </c>
      <c r="AY1543" s="0" t="n">
        <f aca="false">COUNTIF(DU1543:EH1543, "&lt;&gt;")</f>
        <v>5</v>
      </c>
      <c r="AZ1543" s="0" t="n">
        <f aca="false">IF(EH1543&lt;&gt;"",1,0)</f>
        <v>0</v>
      </c>
      <c r="BB1543" s="0" t="s">
        <v>152</v>
      </c>
      <c r="CK1543" s="0" t="s">
        <v>153</v>
      </c>
      <c r="CN1543" s="0" t="s">
        <v>153</v>
      </c>
      <c r="CP1543" s="0" t="s">
        <v>153</v>
      </c>
      <c r="CY1543" s="0" t="s">
        <v>153</v>
      </c>
      <c r="DC1543" s="0" t="s">
        <v>153</v>
      </c>
      <c r="DF1543" s="0" t="s">
        <v>153</v>
      </c>
      <c r="DI1543" s="0" t="s">
        <v>153</v>
      </c>
      <c r="DN1543" s="0" t="s">
        <v>153</v>
      </c>
      <c r="DS1543" s="0" t="s">
        <v>209</v>
      </c>
      <c r="DU1543" s="0" t="s">
        <v>153</v>
      </c>
      <c r="DX1543" s="0" t="s">
        <v>153</v>
      </c>
      <c r="EA1543" s="0" t="s">
        <v>153</v>
      </c>
      <c r="ED1543" s="0" t="s">
        <v>209</v>
      </c>
      <c r="EF1543" s="0" t="s">
        <v>153</v>
      </c>
    </row>
    <row r="1544" customFormat="false" ht="13.8" hidden="true" customHeight="false" outlineLevel="0" collapsed="false">
      <c r="A1544" s="0" t="s">
        <v>7060</v>
      </c>
      <c r="B1544" s="0" t="n">
        <v>78</v>
      </c>
      <c r="C1544" s="0" t="n">
        <v>369700</v>
      </c>
      <c r="D1544" s="0" t="s">
        <v>3088</v>
      </c>
      <c r="E1544" s="0" t="s">
        <v>712</v>
      </c>
      <c r="F1544" s="0" t="str">
        <f aca="false">CONCATENATE(D1544," ",LEFT(H1544,4),"T=",AU1544,"D=",AV1544,"R=",AW1544,"M=",AX1544,"L=",AY1544,"B=",AZ1544)</f>
        <v>BARNETT T=1D=0R=0M=0L=0B=0</v>
      </c>
      <c r="G1544" s="0" t="s">
        <v>325</v>
      </c>
      <c r="I1544" s="0" t="s">
        <v>7061</v>
      </c>
      <c r="J1544" s="0" t="s">
        <v>7062</v>
      </c>
      <c r="K1544" s="0" t="s">
        <v>160</v>
      </c>
      <c r="M1544" s="0" t="s">
        <v>7063</v>
      </c>
      <c r="N1544" s="0" t="str">
        <f aca="false">RIGHT(M1544,LEN(M1544)-FIND(" ",M1544))</f>
        <v>MCKINLEY ST NE</v>
      </c>
      <c r="P1544" s="0" t="s">
        <v>145</v>
      </c>
      <c r="Q1544" s="0" t="s">
        <v>146</v>
      </c>
      <c r="R1544" s="0" t="n">
        <v>44483</v>
      </c>
      <c r="AD1544" s="0" t="s">
        <v>147</v>
      </c>
      <c r="AE1544" s="0" t="s">
        <v>148</v>
      </c>
      <c r="AF1544" s="0" t="s">
        <v>149</v>
      </c>
      <c r="AH1544" s="0" t="n">
        <v>14</v>
      </c>
      <c r="AI1544" s="0" t="n">
        <v>11</v>
      </c>
      <c r="AN1544" s="0" t="s">
        <v>145</v>
      </c>
      <c r="AO1544" s="0" t="s">
        <v>654</v>
      </c>
      <c r="AP1544" s="0" t="s">
        <v>655</v>
      </c>
      <c r="AQ1544" s="0" t="n">
        <v>9</v>
      </c>
      <c r="AR1544" s="0" t="n">
        <v>64</v>
      </c>
      <c r="AS1544" s="0" t="n">
        <v>32</v>
      </c>
      <c r="AU1544" s="0" t="n">
        <f aca="false">COUNTA($BA$1619:$EH$1619)</f>
        <v>1</v>
      </c>
      <c r="AV1544" s="0" t="n">
        <f aca="false">COUNTIF($BA$1619:$EH$1619,"D")</f>
        <v>0</v>
      </c>
      <c r="AW1544" s="0" t="n">
        <f aca="false">COUNTIF($BA$1619:$EH$1619,"R")</f>
        <v>0</v>
      </c>
      <c r="AX1544" s="0" t="n">
        <f aca="false">IF(BN1544="D",1,0)+IF(BO1544="D",1,0)+IF(BT1544="D",1,0)+IF(BU1544="D",1,0)+IF(BW1544="D",1,0)+IF(CC1544="D",1,0)+IF(CD1544="D",1,0)+IF(CE1544="D",1,0)+IF(CF1544="D",1,0)+IF(CL1544="D",1,0)+IF(CM1544="D",1,0)+IF(CQ1544="D",1,0)+IF(CR1544="D",1,0)+IF(CS1544="D",1,0)+IF(CW1544="D",1,0)+IF(CX1544="D",1,0)+IF(DD1544="D",1,0)+IF(DE1544="D",1,0)+IF(DJ1544="D",1,0)+IF(DK1544="D",1,0)+IF(DO1544="D",1,0)+IF(DP1544="D",1,0)+IF(DQ1544="D",1,0)+IF(DW1544="D",1,0)+IF(DZ1544="D",1,0)+IF(EH1544="D",1,0)</f>
        <v>0</v>
      </c>
      <c r="AY1544" s="0" t="n">
        <f aca="false">COUNTIF(DU1544:EH1544, "&lt;&gt;")</f>
        <v>0</v>
      </c>
      <c r="AZ1544" s="0" t="n">
        <f aca="false">IF(EH1544&lt;&gt;"",1,0)</f>
        <v>0</v>
      </c>
      <c r="BB1544" s="0" t="s">
        <v>152</v>
      </c>
      <c r="DC1544" s="0" t="s">
        <v>153</v>
      </c>
    </row>
    <row r="1545" customFormat="false" ht="13.8" hidden="true" customHeight="false" outlineLevel="0" collapsed="false">
      <c r="A1545" s="0" t="s">
        <v>7064</v>
      </c>
      <c r="B1545" s="0" t="n">
        <v>78</v>
      </c>
      <c r="C1545" s="0" t="n">
        <v>388316</v>
      </c>
      <c r="D1545" s="0" t="s">
        <v>3088</v>
      </c>
      <c r="E1545" s="0" t="s">
        <v>2859</v>
      </c>
      <c r="F1545" s="0" t="str">
        <f aca="false">CONCATENATE(D1545," ",LEFT(H1545,4),"T=",AU1545,"D=",AV1545,"R=",AW1545,"M=",AX1545,"L=",AY1545,"B=",AZ1545)</f>
        <v>BARNETT T=11D=2R=0M=0L=0B=0</v>
      </c>
      <c r="G1545" s="0" t="s">
        <v>6287</v>
      </c>
      <c r="I1545" s="0" t="s">
        <v>7065</v>
      </c>
      <c r="J1545" s="0" t="s">
        <v>3155</v>
      </c>
      <c r="K1545" s="0" t="s">
        <v>160</v>
      </c>
      <c r="M1545" s="0" t="s">
        <v>7063</v>
      </c>
      <c r="N1545" s="0" t="str">
        <f aca="false">RIGHT(M1545,LEN(M1545)-FIND(" ",M1545))</f>
        <v>MCKINLEY ST NE</v>
      </c>
      <c r="P1545" s="0" t="s">
        <v>145</v>
      </c>
      <c r="Q1545" s="0" t="s">
        <v>146</v>
      </c>
      <c r="R1545" s="0" t="n">
        <v>44483</v>
      </c>
      <c r="AD1545" s="0" t="s">
        <v>147</v>
      </c>
      <c r="AE1545" s="0" t="s">
        <v>148</v>
      </c>
      <c r="AF1545" s="0" t="s">
        <v>149</v>
      </c>
      <c r="AH1545" s="0" t="n">
        <v>14</v>
      </c>
      <c r="AI1545" s="0" t="n">
        <v>11</v>
      </c>
      <c r="AN1545" s="0" t="s">
        <v>145</v>
      </c>
      <c r="AO1545" s="0" t="s">
        <v>654</v>
      </c>
      <c r="AP1545" s="0" t="s">
        <v>655</v>
      </c>
      <c r="AQ1545" s="0" t="n">
        <v>9</v>
      </c>
      <c r="AR1545" s="0" t="n">
        <v>64</v>
      </c>
      <c r="AS1545" s="0" t="n">
        <v>32</v>
      </c>
      <c r="AU1545" s="0" t="n">
        <f aca="false">COUNTA($BA$1965:$EH$1965)</f>
        <v>11</v>
      </c>
      <c r="AV1545" s="0" t="n">
        <f aca="false">COUNTIF($BA$1965:$EH$1965,"D")</f>
        <v>2</v>
      </c>
      <c r="AW1545" s="0" t="n">
        <f aca="false">COUNTIF($BA$1965:$EH$1965,"R")</f>
        <v>0</v>
      </c>
      <c r="AX1545" s="0" t="n">
        <f aca="false">IF(BN1545="D",1,0)+IF(BO1545="D",1,0)+IF(BT1545="D",1,0)+IF(BU1545="D",1,0)+IF(BW1545="D",1,0)+IF(CC1545="D",1,0)+IF(CD1545="D",1,0)+IF(CE1545="D",1,0)+IF(CF1545="D",1,0)+IF(CL1545="D",1,0)+IF(CM1545="D",1,0)+IF(CQ1545="D",1,0)+IF(CR1545="D",1,0)+IF(CS1545="D",1,0)+IF(CW1545="D",1,0)+IF(CX1545="D",1,0)+IF(DD1545="D",1,0)+IF(DE1545="D",1,0)+IF(DJ1545="D",1,0)+IF(DK1545="D",1,0)+IF(DO1545="D",1,0)+IF(DP1545="D",1,0)+IF(DQ1545="D",1,0)+IF(DW1545="D",1,0)+IF(DZ1545="D",1,0)+IF(EH1545="D",1,0)</f>
        <v>0</v>
      </c>
      <c r="AY1545" s="0" t="n">
        <f aca="false">COUNTIF(DU1545:EH1545, "&lt;&gt;")</f>
        <v>0</v>
      </c>
      <c r="AZ1545" s="0" t="n">
        <f aca="false">IF(EH1545&lt;&gt;"",1,0)</f>
        <v>0</v>
      </c>
      <c r="BB1545" s="0" t="s">
        <v>152</v>
      </c>
    </row>
    <row r="1546" customFormat="false" ht="13.8" hidden="false" customHeight="false" outlineLevel="0" collapsed="false">
      <c r="A1546" s="0" t="s">
        <v>7066</v>
      </c>
      <c r="B1546" s="0" t="n">
        <v>78</v>
      </c>
      <c r="C1546" s="0" t="n">
        <v>349549</v>
      </c>
      <c r="D1546" s="0" t="s">
        <v>7067</v>
      </c>
      <c r="E1546" s="0" t="s">
        <v>2049</v>
      </c>
      <c r="F1546" s="0" t="str">
        <f aca="false">CONCATENATE(D1546," ",LEFT(H1546,4),"T=",AU1546,"D=",AV1546,"R=",AW1546,"M=",AX1546,"L=",AY1546,"B=",AZ1546)</f>
        <v>WILCOX T=8D=0R=0M=8L=7B=1</v>
      </c>
      <c r="G1546" s="0" t="s">
        <v>195</v>
      </c>
      <c r="I1546" s="0" t="s">
        <v>7068</v>
      </c>
      <c r="J1546" s="0" t="s">
        <v>7069</v>
      </c>
      <c r="K1546" s="0" t="s">
        <v>160</v>
      </c>
      <c r="L1546" s="0" t="s">
        <v>175</v>
      </c>
      <c r="M1546" s="0" t="s">
        <v>7070</v>
      </c>
      <c r="N1546" s="0" t="str">
        <f aca="false">RIGHT(M1546,LEN(M1546)-FIND(" ",M1546))</f>
        <v>MCKINLEY ST NE</v>
      </c>
      <c r="P1546" s="0" t="s">
        <v>145</v>
      </c>
      <c r="Q1546" s="0" t="s">
        <v>146</v>
      </c>
      <c r="R1546" s="0" t="n">
        <v>44483</v>
      </c>
      <c r="AD1546" s="0" t="s">
        <v>147</v>
      </c>
      <c r="AE1546" s="0" t="s">
        <v>148</v>
      </c>
      <c r="AF1546" s="0" t="s">
        <v>149</v>
      </c>
      <c r="AH1546" s="0" t="n">
        <v>14</v>
      </c>
      <c r="AI1546" s="0" t="n">
        <v>11</v>
      </c>
      <c r="AN1546" s="0" t="s">
        <v>145</v>
      </c>
      <c r="AO1546" s="0" t="s">
        <v>654</v>
      </c>
      <c r="AP1546" s="0" t="s">
        <v>655</v>
      </c>
      <c r="AQ1546" s="0" t="n">
        <v>9</v>
      </c>
      <c r="AR1546" s="0" t="n">
        <v>64</v>
      </c>
      <c r="AS1546" s="0" t="n">
        <v>32</v>
      </c>
      <c r="AU1546" s="0" t="n">
        <f aca="false">COUNTA($BA$1290:$EH$1290)</f>
        <v>8</v>
      </c>
      <c r="AV1546" s="0" t="n">
        <f aca="false">COUNTIF($BA$1290:$EH$1290,"D")</f>
        <v>0</v>
      </c>
      <c r="AW1546" s="0" t="n">
        <f aca="false">COUNTIF($BA$1290:$EH$1290,"R")</f>
        <v>0</v>
      </c>
      <c r="AX1546" s="0" t="n">
        <f aca="false">IF(BN1546="D",1,0)+IF(BO1546="D",1,0)+IF(BT1546="D",1,0)+IF(BU1546="D",1,0)+IF(BW1546="D",1,0)+IF(CC1546="D",1,0)+IF(CD1546="D",1,0)+IF(CE1546="D",1,0)+IF(CF1546="D",1,0)+IF(CL1546="D",1,0)+IF(CM1546="D",1,0)+IF(CQ1546="D",1,0)+IF(CR1546="D",1,0)+IF(CS1546="D",1,0)+IF(CW1546="D",1,0)+IF(CX1546="D",1,0)+IF(DD1546="D",1,0)+IF(DE1546="D",1,0)+IF(DJ1546="D",1,0)+IF(DK1546="D",1,0)+IF(DO1546="D",1,0)+IF(DP1546="D",1,0)+IF(DQ1546="D",1,0)+IF(DW1546="D",1,0)+IF(DZ1546="D",1,0)+IF(EH1546="D",1,0)</f>
        <v>8</v>
      </c>
      <c r="AY1546" s="0" t="n">
        <f aca="false">COUNTIF(DU1546:EH1546, "&lt;&gt;")</f>
        <v>7</v>
      </c>
      <c r="AZ1546" s="0" t="n">
        <f aca="false">IF(EH1546&lt;&gt;"",1,0)</f>
        <v>1</v>
      </c>
      <c r="BB1546" s="0" t="s">
        <v>152</v>
      </c>
      <c r="BD1546" s="0" t="s">
        <v>153</v>
      </c>
      <c r="BF1546" s="0" t="s">
        <v>153</v>
      </c>
      <c r="BG1546" s="0" t="s">
        <v>175</v>
      </c>
      <c r="BH1546" s="0" t="s">
        <v>153</v>
      </c>
      <c r="BJ1546" s="0" t="s">
        <v>153</v>
      </c>
      <c r="BL1546" s="0" t="s">
        <v>153</v>
      </c>
      <c r="BV1546" s="0" t="s">
        <v>153</v>
      </c>
      <c r="BY1546" s="0" t="s">
        <v>175</v>
      </c>
      <c r="CA1546" s="0" t="s">
        <v>153</v>
      </c>
      <c r="CC1546" s="0" t="s">
        <v>175</v>
      </c>
      <c r="CG1546" s="0" t="s">
        <v>153</v>
      </c>
      <c r="CH1546" s="0" t="s">
        <v>175</v>
      </c>
      <c r="CK1546" s="0" t="s">
        <v>153</v>
      </c>
      <c r="CL1546" s="0" t="s">
        <v>175</v>
      </c>
      <c r="CN1546" s="0" t="s">
        <v>153</v>
      </c>
      <c r="CO1546" s="0" t="s">
        <v>175</v>
      </c>
      <c r="CP1546" s="0" t="s">
        <v>153</v>
      </c>
      <c r="CQ1546" s="0" t="s">
        <v>175</v>
      </c>
      <c r="CT1546" s="0" t="s">
        <v>153</v>
      </c>
      <c r="CU1546" s="0" t="s">
        <v>175</v>
      </c>
      <c r="CV1546" s="0" t="s">
        <v>153</v>
      </c>
      <c r="CW1546" s="0" t="s">
        <v>175</v>
      </c>
      <c r="CY1546" s="0" t="s">
        <v>153</v>
      </c>
      <c r="CZ1546" s="0" t="s">
        <v>175</v>
      </c>
      <c r="DC1546" s="0" t="s">
        <v>153</v>
      </c>
      <c r="DD1546" s="0" t="s">
        <v>175</v>
      </c>
      <c r="DF1546" s="0" t="s">
        <v>153</v>
      </c>
      <c r="DG1546" s="0" t="s">
        <v>175</v>
      </c>
      <c r="DI1546" s="0" t="s">
        <v>153</v>
      </c>
      <c r="DJ1546" s="0" t="s">
        <v>175</v>
      </c>
      <c r="DL1546" s="0" t="s">
        <v>153</v>
      </c>
      <c r="DN1546" s="0" t="s">
        <v>153</v>
      </c>
      <c r="DR1546" s="0" t="s">
        <v>153</v>
      </c>
      <c r="DS1546" s="0" t="s">
        <v>175</v>
      </c>
      <c r="DT1546" s="0" t="s">
        <v>175</v>
      </c>
      <c r="DU1546" s="0" t="s">
        <v>153</v>
      </c>
      <c r="DW1546" s="0" t="s">
        <v>175</v>
      </c>
      <c r="DX1546" s="0" t="s">
        <v>153</v>
      </c>
      <c r="EA1546" s="0" t="s">
        <v>153</v>
      </c>
      <c r="ED1546" s="0" t="s">
        <v>175</v>
      </c>
      <c r="EF1546" s="0" t="s">
        <v>153</v>
      </c>
      <c r="EH1546" s="0" t="s">
        <v>175</v>
      </c>
    </row>
    <row r="1547" customFormat="false" ht="13.8" hidden="true" customHeight="false" outlineLevel="0" collapsed="false">
      <c r="A1547" s="0" t="s">
        <v>7071</v>
      </c>
      <c r="B1547" s="0" t="n">
        <v>78</v>
      </c>
      <c r="C1547" s="0" t="n">
        <v>496004</v>
      </c>
      <c r="D1547" s="0" t="s">
        <v>7067</v>
      </c>
      <c r="E1547" s="0" t="s">
        <v>2885</v>
      </c>
      <c r="F1547" s="0" t="str">
        <f aca="false">CONCATENATE(D1547," ",LEFT(H1547,4),"T=",AU1547,"D=",AV1547,"R=",AW1547,"M=",AX1547,"L=",AY1547,"B=",AZ1547)</f>
        <v>WILCOX T=2D=0R=0M=0L=0B=0</v>
      </c>
      <c r="G1547" s="0" t="s">
        <v>872</v>
      </c>
      <c r="I1547" s="0" t="s">
        <v>7072</v>
      </c>
      <c r="J1547" s="0" t="s">
        <v>7073</v>
      </c>
      <c r="K1547" s="0" t="s">
        <v>160</v>
      </c>
      <c r="M1547" s="0" t="s">
        <v>7070</v>
      </c>
      <c r="N1547" s="0" t="str">
        <f aca="false">RIGHT(M1547,LEN(M1547)-FIND(" ",M1547))</f>
        <v>MCKINLEY ST NE</v>
      </c>
      <c r="P1547" s="0" t="s">
        <v>145</v>
      </c>
      <c r="Q1547" s="0" t="s">
        <v>146</v>
      </c>
      <c r="R1547" s="0" t="n">
        <v>44483</v>
      </c>
      <c r="AD1547" s="0" t="s">
        <v>147</v>
      </c>
      <c r="AE1547" s="0" t="s">
        <v>148</v>
      </c>
      <c r="AF1547" s="0" t="s">
        <v>149</v>
      </c>
      <c r="AH1547" s="0" t="n">
        <v>14</v>
      </c>
      <c r="AI1547" s="0" t="n">
        <v>11</v>
      </c>
      <c r="AN1547" s="0" t="s">
        <v>145</v>
      </c>
      <c r="AO1547" s="0" t="s">
        <v>654</v>
      </c>
      <c r="AP1547" s="0" t="s">
        <v>655</v>
      </c>
      <c r="AQ1547" s="0" t="n">
        <v>9</v>
      </c>
      <c r="AR1547" s="0" t="n">
        <v>64</v>
      </c>
      <c r="AS1547" s="0" t="n">
        <v>32</v>
      </c>
      <c r="AU1547" s="0" t="n">
        <f aca="false">COUNTA($BA$1295:$EH$1295)</f>
        <v>2</v>
      </c>
      <c r="AV1547" s="0" t="n">
        <f aca="false">COUNTIF($BA$1295:$EH$1295,"D")</f>
        <v>0</v>
      </c>
      <c r="AW1547" s="0" t="n">
        <f aca="false">COUNTIF($BA$1295:$EH$1295,"R")</f>
        <v>0</v>
      </c>
      <c r="AX1547" s="0" t="n">
        <f aca="false">IF(BN1547="D",1,0)+IF(BO1547="D",1,0)+IF(BT1547="D",1,0)+IF(BU1547="D",1,0)+IF(BW1547="D",1,0)+IF(CC1547="D",1,0)+IF(CD1547="D",1,0)+IF(CE1547="D",1,0)+IF(CF1547="D",1,0)+IF(CL1547="D",1,0)+IF(CM1547="D",1,0)+IF(CQ1547="D",1,0)+IF(CR1547="D",1,0)+IF(CS1547="D",1,0)+IF(CW1547="D",1,0)+IF(CX1547="D",1,0)+IF(DD1547="D",1,0)+IF(DE1547="D",1,0)+IF(DJ1547="D",1,0)+IF(DK1547="D",1,0)+IF(DO1547="D",1,0)+IF(DP1547="D",1,0)+IF(DQ1547="D",1,0)+IF(DW1547="D",1,0)+IF(DZ1547="D",1,0)+IF(EH1547="D",1,0)</f>
        <v>0</v>
      </c>
      <c r="AY1547" s="0" t="n">
        <f aca="false">COUNTIF(DU1547:EH1547, "&lt;&gt;")</f>
        <v>0</v>
      </c>
      <c r="AZ1547" s="0" t="n">
        <f aca="false">IF(EH1547&lt;&gt;"",1,0)</f>
        <v>0</v>
      </c>
      <c r="BB1547" s="0" t="s">
        <v>152</v>
      </c>
    </row>
    <row r="1548" customFormat="false" ht="13.8" hidden="false" customHeight="false" outlineLevel="0" collapsed="false">
      <c r="A1548" s="0" t="s">
        <v>7074</v>
      </c>
      <c r="B1548" s="0" t="n">
        <v>78</v>
      </c>
      <c r="C1548" s="0" t="n">
        <v>252338</v>
      </c>
      <c r="D1548" s="0" t="s">
        <v>7067</v>
      </c>
      <c r="E1548" s="0" t="s">
        <v>1031</v>
      </c>
      <c r="F1548" s="0" t="str">
        <f aca="false">CONCATENATE(D1548," ",LEFT(H1548,4),"T=",AU1548,"D=",AV1548,"R=",AW1548,"M=",AX1548,"L=",AY1548,"B=",AZ1548)</f>
        <v>WILCOX T=2D=1R=0M=8L=7B=1</v>
      </c>
      <c r="G1548" s="0" t="s">
        <v>442</v>
      </c>
      <c r="I1548" s="0" t="s">
        <v>7075</v>
      </c>
      <c r="J1548" s="0" t="s">
        <v>7069</v>
      </c>
      <c r="K1548" s="0" t="s">
        <v>160</v>
      </c>
      <c r="L1548" s="0" t="s">
        <v>175</v>
      </c>
      <c r="M1548" s="0" t="s">
        <v>7070</v>
      </c>
      <c r="N1548" s="0" t="str">
        <f aca="false">RIGHT(M1548,LEN(M1548)-FIND(" ",M1548))</f>
        <v>MCKINLEY ST NE</v>
      </c>
      <c r="P1548" s="0" t="s">
        <v>145</v>
      </c>
      <c r="Q1548" s="0" t="s">
        <v>146</v>
      </c>
      <c r="R1548" s="0" t="n">
        <v>44483</v>
      </c>
      <c r="AD1548" s="0" t="s">
        <v>147</v>
      </c>
      <c r="AE1548" s="0" t="s">
        <v>148</v>
      </c>
      <c r="AF1548" s="0" t="s">
        <v>149</v>
      </c>
      <c r="AH1548" s="0" t="n">
        <v>14</v>
      </c>
      <c r="AI1548" s="0" t="n">
        <v>11</v>
      </c>
      <c r="AN1548" s="0" t="s">
        <v>145</v>
      </c>
      <c r="AO1548" s="0" t="s">
        <v>654</v>
      </c>
      <c r="AP1548" s="0" t="s">
        <v>655</v>
      </c>
      <c r="AQ1548" s="0" t="n">
        <v>9</v>
      </c>
      <c r="AR1548" s="0" t="n">
        <v>64</v>
      </c>
      <c r="AS1548" s="0" t="n">
        <v>32</v>
      </c>
      <c r="AU1548" s="0" t="n">
        <f aca="false">COUNTA($BA$1402:$EH$1402)</f>
        <v>2</v>
      </c>
      <c r="AV1548" s="0" t="n">
        <f aca="false">COUNTIF($BA$1402:$EH$1402,"D")</f>
        <v>1</v>
      </c>
      <c r="AW1548" s="0" t="n">
        <f aca="false">COUNTIF($BA$1402:$EH$1402,"R")</f>
        <v>0</v>
      </c>
      <c r="AX1548" s="0" t="n">
        <f aca="false">IF(BN1548="D",1,0)+IF(BO1548="D",1,0)+IF(BT1548="D",1,0)+IF(BU1548="D",1,0)+IF(BW1548="D",1,0)+IF(CC1548="D",1,0)+IF(CD1548="D",1,0)+IF(CE1548="D",1,0)+IF(CF1548="D",1,0)+IF(CL1548="D",1,0)+IF(CM1548="D",1,0)+IF(CQ1548="D",1,0)+IF(CR1548="D",1,0)+IF(CS1548="D",1,0)+IF(CW1548="D",1,0)+IF(CX1548="D",1,0)+IF(DD1548="D",1,0)+IF(DE1548="D",1,0)+IF(DJ1548="D",1,0)+IF(DK1548="D",1,0)+IF(DO1548="D",1,0)+IF(DP1548="D",1,0)+IF(DQ1548="D",1,0)+IF(DW1548="D",1,0)+IF(DZ1548="D",1,0)+IF(EH1548="D",1,0)</f>
        <v>8</v>
      </c>
      <c r="AY1548" s="0" t="n">
        <f aca="false">COUNTIF(DU1548:EH1548, "&lt;&gt;")</f>
        <v>7</v>
      </c>
      <c r="AZ1548" s="0" t="n">
        <f aca="false">IF(EH1548&lt;&gt;"",1,0)</f>
        <v>1</v>
      </c>
      <c r="BB1548" s="0" t="s">
        <v>152</v>
      </c>
      <c r="BC1548" s="0" t="s">
        <v>153</v>
      </c>
      <c r="BD1548" s="0" t="s">
        <v>153</v>
      </c>
      <c r="BE1548" s="0" t="s">
        <v>153</v>
      </c>
      <c r="BF1548" s="0" t="s">
        <v>153</v>
      </c>
      <c r="BG1548" s="0" t="s">
        <v>153</v>
      </c>
      <c r="BH1548" s="0" t="s">
        <v>153</v>
      </c>
      <c r="BI1548" s="0" t="s">
        <v>153</v>
      </c>
      <c r="BJ1548" s="0" t="s">
        <v>153</v>
      </c>
      <c r="BK1548" s="0" t="s">
        <v>153</v>
      </c>
      <c r="BL1548" s="0" t="s">
        <v>153</v>
      </c>
      <c r="BP1548" s="0" t="s">
        <v>153</v>
      </c>
      <c r="BR1548" s="0" t="s">
        <v>153</v>
      </c>
      <c r="BS1548" s="0" t="s">
        <v>153</v>
      </c>
      <c r="BT1548" s="0" t="s">
        <v>153</v>
      </c>
      <c r="BV1548" s="0" t="s">
        <v>153</v>
      </c>
      <c r="BY1548" s="0" t="s">
        <v>175</v>
      </c>
      <c r="CA1548" s="0" t="s">
        <v>153</v>
      </c>
      <c r="CC1548" s="0" t="s">
        <v>175</v>
      </c>
      <c r="CG1548" s="0" t="s">
        <v>153</v>
      </c>
      <c r="CH1548" s="0" t="s">
        <v>175</v>
      </c>
      <c r="CK1548" s="0" t="s">
        <v>153</v>
      </c>
      <c r="CL1548" s="0" t="s">
        <v>175</v>
      </c>
      <c r="CN1548" s="0" t="s">
        <v>153</v>
      </c>
      <c r="CO1548" s="0" t="s">
        <v>175</v>
      </c>
      <c r="CP1548" s="0" t="s">
        <v>153</v>
      </c>
      <c r="CQ1548" s="0" t="s">
        <v>175</v>
      </c>
      <c r="CT1548" s="0" t="s">
        <v>153</v>
      </c>
      <c r="CU1548" s="0" t="s">
        <v>175</v>
      </c>
      <c r="CV1548" s="0" t="s">
        <v>153</v>
      </c>
      <c r="CW1548" s="0" t="s">
        <v>175</v>
      </c>
      <c r="CY1548" s="0" t="s">
        <v>153</v>
      </c>
      <c r="CZ1548" s="0" t="s">
        <v>175</v>
      </c>
      <c r="DC1548" s="0" t="s">
        <v>153</v>
      </c>
      <c r="DD1548" s="0" t="s">
        <v>175</v>
      </c>
      <c r="DF1548" s="0" t="s">
        <v>153</v>
      </c>
      <c r="DG1548" s="0" t="s">
        <v>175</v>
      </c>
      <c r="DI1548" s="0" t="s">
        <v>153</v>
      </c>
      <c r="DJ1548" s="0" t="s">
        <v>175</v>
      </c>
      <c r="DL1548" s="0" t="s">
        <v>153</v>
      </c>
      <c r="DM1548" s="0" t="s">
        <v>175</v>
      </c>
      <c r="DN1548" s="0" t="s">
        <v>153</v>
      </c>
      <c r="DR1548" s="0" t="s">
        <v>153</v>
      </c>
      <c r="DS1548" s="0" t="s">
        <v>175</v>
      </c>
      <c r="DU1548" s="0" t="s">
        <v>153</v>
      </c>
      <c r="DW1548" s="0" t="s">
        <v>175</v>
      </c>
      <c r="DX1548" s="0" t="s">
        <v>153</v>
      </c>
      <c r="EA1548" s="0" t="s">
        <v>153</v>
      </c>
      <c r="ED1548" s="0" t="s">
        <v>175</v>
      </c>
      <c r="EF1548" s="0" t="s">
        <v>153</v>
      </c>
      <c r="EH1548" s="0" t="s">
        <v>175</v>
      </c>
    </row>
    <row r="1549" customFormat="false" ht="13.8" hidden="true" customHeight="false" outlineLevel="0" collapsed="false">
      <c r="A1549" s="0" t="s">
        <v>7076</v>
      </c>
      <c r="B1549" s="0" t="n">
        <v>78</v>
      </c>
      <c r="C1549" s="0" t="n">
        <v>431907</v>
      </c>
      <c r="D1549" s="0" t="s">
        <v>7077</v>
      </c>
      <c r="E1549" s="0" t="s">
        <v>7078</v>
      </c>
      <c r="F1549" s="0" t="str">
        <f aca="false">CONCATENATE(D1549," ",LEFT(H1549,4),"T=",AU1549,"D=",AV1549,"R=",AW1549,"M=",AX1549,"L=",AY1549,"B=",AZ1549)</f>
        <v>WHITMORE T=5D=0R=0M=0L=0B=0</v>
      </c>
      <c r="I1549" s="0" t="s">
        <v>7079</v>
      </c>
      <c r="J1549" s="0" t="s">
        <v>471</v>
      </c>
      <c r="K1549" s="0" t="s">
        <v>143</v>
      </c>
      <c r="M1549" s="0" t="s">
        <v>7080</v>
      </c>
      <c r="N1549" s="0" t="str">
        <f aca="false">RIGHT(M1549,LEN(M1549)-FIND(" ",M1549))</f>
        <v>MCKINLEY ST NE</v>
      </c>
      <c r="P1549" s="0" t="s">
        <v>145</v>
      </c>
      <c r="Q1549" s="0" t="s">
        <v>146</v>
      </c>
      <c r="R1549" s="0" t="n">
        <v>44483</v>
      </c>
      <c r="AD1549" s="0" t="s">
        <v>147</v>
      </c>
      <c r="AE1549" s="0" t="s">
        <v>148</v>
      </c>
      <c r="AF1549" s="0" t="s">
        <v>149</v>
      </c>
      <c r="AH1549" s="0" t="n">
        <v>14</v>
      </c>
      <c r="AI1549" s="0" t="n">
        <v>11</v>
      </c>
      <c r="AN1549" s="0" t="s">
        <v>145</v>
      </c>
      <c r="AO1549" s="0" t="s">
        <v>654</v>
      </c>
      <c r="AP1549" s="0" t="s">
        <v>655</v>
      </c>
      <c r="AQ1549" s="0" t="n">
        <v>9</v>
      </c>
      <c r="AR1549" s="0" t="n">
        <v>64</v>
      </c>
      <c r="AS1549" s="0" t="n">
        <v>32</v>
      </c>
      <c r="AU1549" s="0" t="n">
        <f aca="false">COUNTA($BA$1686:$EH$1686)</f>
        <v>5</v>
      </c>
      <c r="AV1549" s="0" t="n">
        <f aca="false">COUNTIF($BA$1686:$EH$1686,"D")</f>
        <v>0</v>
      </c>
      <c r="AW1549" s="0" t="n">
        <f aca="false">COUNTIF($BA$1686:$EH$1686,"R")</f>
        <v>0</v>
      </c>
      <c r="AX1549" s="0" t="n">
        <f aca="false">IF(BN1549="D",1,0)+IF(BO1549="D",1,0)+IF(BT1549="D",1,0)+IF(BU1549="D",1,0)+IF(BW1549="D",1,0)+IF(CC1549="D",1,0)+IF(CD1549="D",1,0)+IF(CE1549="D",1,0)+IF(CF1549="D",1,0)+IF(CL1549="D",1,0)+IF(CM1549="D",1,0)+IF(CQ1549="D",1,0)+IF(CR1549="D",1,0)+IF(CS1549="D",1,0)+IF(CW1549="D",1,0)+IF(CX1549="D",1,0)+IF(DD1549="D",1,0)+IF(DE1549="D",1,0)+IF(DJ1549="D",1,0)+IF(DK1549="D",1,0)+IF(DO1549="D",1,0)+IF(DP1549="D",1,0)+IF(DQ1549="D",1,0)+IF(DW1549="D",1,0)+IF(DZ1549="D",1,0)+IF(EH1549="D",1,0)</f>
        <v>0</v>
      </c>
      <c r="AY1549" s="0" t="n">
        <f aca="false">COUNTIF(DU1549:EH1549, "&lt;&gt;")</f>
        <v>0</v>
      </c>
      <c r="AZ1549" s="0" t="n">
        <f aca="false">IF(EH1549&lt;&gt;"",1,0)</f>
        <v>0</v>
      </c>
      <c r="BB1549" s="0" t="s">
        <v>152</v>
      </c>
    </row>
    <row r="1550" customFormat="false" ht="13.8" hidden="false" customHeight="false" outlineLevel="0" collapsed="false">
      <c r="A1550" s="0" t="s">
        <v>7081</v>
      </c>
      <c r="B1550" s="0" t="n">
        <v>78</v>
      </c>
      <c r="C1550" s="0" t="n">
        <v>169198</v>
      </c>
      <c r="D1550" s="0" t="s">
        <v>7082</v>
      </c>
      <c r="E1550" s="0" t="s">
        <v>487</v>
      </c>
      <c r="F1550" s="0" t="str">
        <f aca="false">CONCATENATE(D1550," ",LEFT(H1550,4),"T=",AU1550,"D=",AV1550,"R=",AW1550,"M=",AX1550,"L=",AY1550,"B=",AZ1550)</f>
        <v>CHALKER T=1D=0R=0M=3L=4B=1</v>
      </c>
      <c r="G1550" s="0" t="s">
        <v>164</v>
      </c>
      <c r="I1550" s="0" t="s">
        <v>7083</v>
      </c>
      <c r="J1550" s="0" t="s">
        <v>3441</v>
      </c>
      <c r="K1550" s="0" t="s">
        <v>160</v>
      </c>
      <c r="L1550" s="0" t="s">
        <v>209</v>
      </c>
      <c r="M1550" s="0" t="s">
        <v>7084</v>
      </c>
      <c r="N1550" s="0" t="str">
        <f aca="false">RIGHT(M1550,LEN(M1550)-FIND(" ",M1550))</f>
        <v>MCKINLEY ST NE</v>
      </c>
      <c r="P1550" s="0" t="s">
        <v>145</v>
      </c>
      <c r="Q1550" s="0" t="s">
        <v>146</v>
      </c>
      <c r="R1550" s="0" t="n">
        <v>44483</v>
      </c>
      <c r="AD1550" s="0" t="s">
        <v>147</v>
      </c>
      <c r="AE1550" s="0" t="s">
        <v>148</v>
      </c>
      <c r="AF1550" s="0" t="s">
        <v>149</v>
      </c>
      <c r="AH1550" s="0" t="n">
        <v>14</v>
      </c>
      <c r="AI1550" s="0" t="n">
        <v>11</v>
      </c>
      <c r="AN1550" s="0" t="s">
        <v>145</v>
      </c>
      <c r="AO1550" s="0" t="s">
        <v>654</v>
      </c>
      <c r="AP1550" s="0" t="s">
        <v>655</v>
      </c>
      <c r="AQ1550" s="0" t="n">
        <v>9</v>
      </c>
      <c r="AR1550" s="0" t="n">
        <v>64</v>
      </c>
      <c r="AS1550" s="0" t="n">
        <v>32</v>
      </c>
      <c r="AU1550" s="0" t="n">
        <f aca="false">COUNTA($BA$1391:$EH$1391)</f>
        <v>1</v>
      </c>
      <c r="AV1550" s="0" t="n">
        <f aca="false">COUNTIF($BA$1391:$EH$1391,"D")</f>
        <v>0</v>
      </c>
      <c r="AW1550" s="0" t="n">
        <f aca="false">COUNTIF($BA$1391:$EH$1391,"R")</f>
        <v>0</v>
      </c>
      <c r="AX1550" s="0" t="n">
        <f aca="false">IF(BN1550="D",1,0)+IF(BO1550="D",1,0)+IF(BT1550="D",1,0)+IF(BU1550="D",1,0)+IF(BW1550="D",1,0)+IF(CC1550="D",1,0)+IF(CD1550="D",1,0)+IF(CE1550="D",1,0)+IF(CF1550="D",1,0)+IF(CL1550="D",1,0)+IF(CM1550="D",1,0)+IF(CQ1550="D",1,0)+IF(CR1550="D",1,0)+IF(CS1550="D",1,0)+IF(CW1550="D",1,0)+IF(CX1550="D",1,0)+IF(DD1550="D",1,0)+IF(DE1550="D",1,0)+IF(DJ1550="D",1,0)+IF(DK1550="D",1,0)+IF(DO1550="D",1,0)+IF(DP1550="D",1,0)+IF(DQ1550="D",1,0)+IF(DW1550="D",1,0)+IF(DZ1550="D",1,0)+IF(EH1550="D",1,0)</f>
        <v>3</v>
      </c>
      <c r="AY1550" s="0" t="n">
        <f aca="false">COUNTIF(DU1550:EH1550, "&lt;&gt;")</f>
        <v>4</v>
      </c>
      <c r="AZ1550" s="0" t="n">
        <f aca="false">IF(EH1550&lt;&gt;"",1,0)</f>
        <v>1</v>
      </c>
      <c r="BB1550" s="0" t="s">
        <v>152</v>
      </c>
      <c r="BC1550" s="0" t="s">
        <v>153</v>
      </c>
      <c r="BD1550" s="0" t="s">
        <v>153</v>
      </c>
      <c r="BE1550" s="0" t="s">
        <v>153</v>
      </c>
      <c r="BG1550" s="0" t="s">
        <v>153</v>
      </c>
      <c r="BH1550" s="0" t="s">
        <v>153</v>
      </c>
      <c r="BI1550" s="0" t="s">
        <v>153</v>
      </c>
      <c r="BL1550" s="0" t="s">
        <v>153</v>
      </c>
      <c r="BP1550" s="0" t="s">
        <v>153</v>
      </c>
      <c r="BR1550" s="0" t="s">
        <v>153</v>
      </c>
      <c r="BS1550" s="0" t="s">
        <v>153</v>
      </c>
      <c r="CA1550" s="0" t="s">
        <v>153</v>
      </c>
      <c r="CC1550" s="0" t="s">
        <v>175</v>
      </c>
      <c r="CG1550" s="0" t="s">
        <v>153</v>
      </c>
      <c r="CK1550" s="0" t="s">
        <v>153</v>
      </c>
      <c r="CV1550" s="0" t="s">
        <v>153</v>
      </c>
      <c r="CW1550" s="0" t="s">
        <v>175</v>
      </c>
      <c r="CY1550" s="0" t="s">
        <v>153</v>
      </c>
      <c r="CZ1550" s="0" t="s">
        <v>175</v>
      </c>
      <c r="DC1550" s="0" t="s">
        <v>153</v>
      </c>
      <c r="DD1550" s="0" t="s">
        <v>175</v>
      </c>
      <c r="DI1550" s="0" t="s">
        <v>153</v>
      </c>
      <c r="DN1550" s="0" t="s">
        <v>153</v>
      </c>
      <c r="DU1550" s="0" t="s">
        <v>153</v>
      </c>
      <c r="ED1550" s="0" t="s">
        <v>209</v>
      </c>
      <c r="EF1550" s="0" t="s">
        <v>153</v>
      </c>
      <c r="EH1550" s="0" t="s">
        <v>153</v>
      </c>
    </row>
    <row r="1551" customFormat="false" ht="13.8" hidden="false" customHeight="false" outlineLevel="0" collapsed="false">
      <c r="A1551" s="0" t="s">
        <v>7085</v>
      </c>
      <c r="B1551" s="0" t="n">
        <v>78</v>
      </c>
      <c r="C1551" s="0" t="n">
        <v>156913</v>
      </c>
      <c r="D1551" s="0" t="s">
        <v>7086</v>
      </c>
      <c r="E1551" s="0" t="s">
        <v>7087</v>
      </c>
      <c r="F1551" s="0" t="str">
        <f aca="false">CONCATENATE(D1551," ",LEFT(H1551,4),"T=",AU1551,"D=",AV1551,"R=",AW1551,"M=",AX1551,"L=",AY1551,"B=",AZ1551)</f>
        <v>TAMBURES T=2D=0R=0M=4L=6B=0</v>
      </c>
      <c r="G1551" s="0" t="s">
        <v>307</v>
      </c>
      <c r="I1551" s="0" t="s">
        <v>7088</v>
      </c>
      <c r="J1551" s="0" t="s">
        <v>688</v>
      </c>
      <c r="K1551" s="0" t="s">
        <v>160</v>
      </c>
      <c r="L1551" s="0" t="s">
        <v>209</v>
      </c>
      <c r="M1551" s="0" t="s">
        <v>7084</v>
      </c>
      <c r="N1551" s="0" t="str">
        <f aca="false">RIGHT(M1551,LEN(M1551)-FIND(" ",M1551))</f>
        <v>MCKINLEY ST NE</v>
      </c>
      <c r="P1551" s="0" t="s">
        <v>145</v>
      </c>
      <c r="Q1551" s="0" t="s">
        <v>146</v>
      </c>
      <c r="R1551" s="0" t="n">
        <v>44483</v>
      </c>
      <c r="AD1551" s="0" t="s">
        <v>147</v>
      </c>
      <c r="AE1551" s="0" t="s">
        <v>148</v>
      </c>
      <c r="AF1551" s="0" t="s">
        <v>149</v>
      </c>
      <c r="AH1551" s="0" t="n">
        <v>14</v>
      </c>
      <c r="AI1551" s="0" t="n">
        <v>11</v>
      </c>
      <c r="AN1551" s="0" t="s">
        <v>145</v>
      </c>
      <c r="AO1551" s="0" t="s">
        <v>654</v>
      </c>
      <c r="AP1551" s="0" t="s">
        <v>655</v>
      </c>
      <c r="AQ1551" s="0" t="n">
        <v>9</v>
      </c>
      <c r="AR1551" s="0" t="n">
        <v>64</v>
      </c>
      <c r="AS1551" s="0" t="n">
        <v>32</v>
      </c>
      <c r="AU1551" s="0" t="n">
        <f aca="false">COUNTA($BA$1417:$EH$1417)</f>
        <v>2</v>
      </c>
      <c r="AV1551" s="0" t="n">
        <f aca="false">COUNTIF($BA$1417:$EH$1417,"D")</f>
        <v>0</v>
      </c>
      <c r="AW1551" s="0" t="n">
        <f aca="false">COUNTIF($BA$1417:$EH$1417,"R")</f>
        <v>0</v>
      </c>
      <c r="AX1551" s="0" t="n">
        <f aca="false">IF(BN1551="D",1,0)+IF(BO1551="D",1,0)+IF(BT1551="D",1,0)+IF(BU1551="D",1,0)+IF(BW1551="D",1,0)+IF(CC1551="D",1,0)+IF(CD1551="D",1,0)+IF(CE1551="D",1,0)+IF(CF1551="D",1,0)+IF(CL1551="D",1,0)+IF(CM1551="D",1,0)+IF(CQ1551="D",1,0)+IF(CR1551="D",1,0)+IF(CS1551="D",1,0)+IF(CW1551="D",1,0)+IF(CX1551="D",1,0)+IF(DD1551="D",1,0)+IF(DE1551="D",1,0)+IF(DJ1551="D",1,0)+IF(DK1551="D",1,0)+IF(DO1551="D",1,0)+IF(DP1551="D",1,0)+IF(DQ1551="D",1,0)+IF(DW1551="D",1,0)+IF(DZ1551="D",1,0)+IF(EH1551="D",1,0)</f>
        <v>4</v>
      </c>
      <c r="AY1551" s="0" t="n">
        <f aca="false">COUNTIF(DU1551:EH1551, "&lt;&gt;")</f>
        <v>6</v>
      </c>
      <c r="AZ1551" s="0" t="n">
        <f aca="false">IF(EH1551&lt;&gt;"",1,0)</f>
        <v>0</v>
      </c>
      <c r="BB1551" s="0" t="s">
        <v>152</v>
      </c>
      <c r="BC1551" s="0" t="s">
        <v>153</v>
      </c>
      <c r="BD1551" s="0" t="s">
        <v>153</v>
      </c>
      <c r="BE1551" s="0" t="s">
        <v>153</v>
      </c>
      <c r="BG1551" s="0" t="s">
        <v>153</v>
      </c>
      <c r="BH1551" s="0" t="s">
        <v>153</v>
      </c>
      <c r="BI1551" s="0" t="s">
        <v>153</v>
      </c>
      <c r="BL1551" s="0" t="s">
        <v>153</v>
      </c>
      <c r="BP1551" s="0" t="s">
        <v>153</v>
      </c>
      <c r="CA1551" s="0" t="s">
        <v>153</v>
      </c>
      <c r="CK1551" s="0" t="s">
        <v>153</v>
      </c>
      <c r="CP1551" s="0" t="s">
        <v>153</v>
      </c>
      <c r="CU1551" s="0" t="s">
        <v>175</v>
      </c>
      <c r="CV1551" s="0" t="s">
        <v>153</v>
      </c>
      <c r="CW1551" s="0" t="s">
        <v>175</v>
      </c>
      <c r="CY1551" s="0" t="s">
        <v>153</v>
      </c>
      <c r="CZ1551" s="0" t="s">
        <v>175</v>
      </c>
      <c r="DC1551" s="0" t="s">
        <v>153</v>
      </c>
      <c r="DD1551" s="0" t="s">
        <v>175</v>
      </c>
      <c r="DI1551" s="0" t="s">
        <v>153</v>
      </c>
      <c r="DJ1551" s="0" t="s">
        <v>175</v>
      </c>
      <c r="DN1551" s="0" t="s">
        <v>153</v>
      </c>
      <c r="DR1551" s="0" t="s">
        <v>153</v>
      </c>
      <c r="DS1551" s="0" t="s">
        <v>209</v>
      </c>
      <c r="DU1551" s="0" t="s">
        <v>153</v>
      </c>
      <c r="DW1551" s="0" t="s">
        <v>175</v>
      </c>
      <c r="DX1551" s="0" t="s">
        <v>153</v>
      </c>
      <c r="EA1551" s="0" t="s">
        <v>153</v>
      </c>
      <c r="ED1551" s="0" t="s">
        <v>209</v>
      </c>
      <c r="EF1551" s="0" t="s">
        <v>153</v>
      </c>
    </row>
    <row r="1552" customFormat="false" ht="13.8" hidden="true" customHeight="false" outlineLevel="0" collapsed="false">
      <c r="A1552" s="0" t="s">
        <v>7089</v>
      </c>
      <c r="B1552" s="0" t="n">
        <v>78</v>
      </c>
      <c r="C1552" s="0" t="n">
        <v>427836</v>
      </c>
      <c r="D1552" s="0" t="s">
        <v>7090</v>
      </c>
      <c r="E1552" s="0" t="s">
        <v>2013</v>
      </c>
      <c r="F1552" s="0" t="str">
        <f aca="false">CONCATENATE(D1552," ",LEFT(H1552,4),"T=",AU1552,"D=",AV1552,"R=",AW1552,"M=",AX1552,"L=",AY1552,"B=",AZ1552)</f>
        <v>COAR T=20D=3R=0M=0L=0B=0</v>
      </c>
      <c r="G1552" s="0" t="s">
        <v>1366</v>
      </c>
      <c r="I1552" s="0" t="s">
        <v>7091</v>
      </c>
      <c r="J1552" s="0" t="s">
        <v>3288</v>
      </c>
      <c r="K1552" s="0" t="s">
        <v>143</v>
      </c>
      <c r="M1552" s="0" t="s">
        <v>7092</v>
      </c>
      <c r="N1552" s="0" t="str">
        <f aca="false">RIGHT(M1552,LEN(M1552)-FIND(" ",M1552))</f>
        <v>MCKINLEY ST NE</v>
      </c>
      <c r="P1552" s="0" t="s">
        <v>145</v>
      </c>
      <c r="Q1552" s="0" t="s">
        <v>146</v>
      </c>
      <c r="R1552" s="0" t="n">
        <v>44483</v>
      </c>
      <c r="AD1552" s="0" t="s">
        <v>147</v>
      </c>
      <c r="AE1552" s="0" t="s">
        <v>148</v>
      </c>
      <c r="AF1552" s="0" t="s">
        <v>149</v>
      </c>
      <c r="AH1552" s="0" t="n">
        <v>14</v>
      </c>
      <c r="AI1552" s="0" t="n">
        <v>11</v>
      </c>
      <c r="AN1552" s="0" t="s">
        <v>145</v>
      </c>
      <c r="AO1552" s="0" t="s">
        <v>654</v>
      </c>
      <c r="AP1552" s="0" t="s">
        <v>655</v>
      </c>
      <c r="AQ1552" s="0" t="n">
        <v>9</v>
      </c>
      <c r="AR1552" s="0" t="n">
        <v>64</v>
      </c>
      <c r="AS1552" s="0" t="n">
        <v>32</v>
      </c>
      <c r="AU1552" s="0" t="n">
        <f aca="false">COUNTA($BA$1117:$EH$1117)</f>
        <v>20</v>
      </c>
      <c r="AV1552" s="0" t="n">
        <f aca="false">COUNTIF($BA$1117:$EH$1117,"D")</f>
        <v>3</v>
      </c>
      <c r="AW1552" s="0" t="n">
        <f aca="false">COUNTIF($BA$1117:$EH$1117,"R")</f>
        <v>0</v>
      </c>
      <c r="AX1552" s="0" t="n">
        <f aca="false">IF(BN1552="D",1,0)+IF(BO1552="D",1,0)+IF(BT1552="D",1,0)+IF(BU1552="D",1,0)+IF(BW1552="D",1,0)+IF(CC1552="D",1,0)+IF(CD1552="D",1,0)+IF(CE1552="D",1,0)+IF(CF1552="D",1,0)+IF(CL1552="D",1,0)+IF(CM1552="D",1,0)+IF(CQ1552="D",1,0)+IF(CR1552="D",1,0)+IF(CS1552="D",1,0)+IF(CW1552="D",1,0)+IF(CX1552="D",1,0)+IF(DD1552="D",1,0)+IF(DE1552="D",1,0)+IF(DJ1552="D",1,0)+IF(DK1552="D",1,0)+IF(DO1552="D",1,0)+IF(DP1552="D",1,0)+IF(DQ1552="D",1,0)+IF(DW1552="D",1,0)+IF(DZ1552="D",1,0)+IF(EH1552="D",1,0)</f>
        <v>0</v>
      </c>
      <c r="AY1552" s="0" t="n">
        <f aca="false">COUNTIF(DU1552:EH1552, "&lt;&gt;")</f>
        <v>0</v>
      </c>
      <c r="AZ1552" s="0" t="n">
        <f aca="false">IF(EH1552&lt;&gt;"",1,0)</f>
        <v>0</v>
      </c>
      <c r="BB1552" s="0" t="s">
        <v>152</v>
      </c>
    </row>
    <row r="1553" customFormat="false" ht="13.8" hidden="true" customHeight="false" outlineLevel="0" collapsed="false">
      <c r="A1553" s="0" t="s">
        <v>7093</v>
      </c>
      <c r="B1553" s="0" t="n">
        <v>78</v>
      </c>
      <c r="C1553" s="0" t="n">
        <v>462514</v>
      </c>
      <c r="D1553" s="0" t="s">
        <v>6458</v>
      </c>
      <c r="E1553" s="0" t="s">
        <v>795</v>
      </c>
      <c r="F1553" s="0" t="str">
        <f aca="false">CONCATENATE(D1553," ",LEFT(H1553,4),"T=",AU1553,"D=",AV1553,"R=",AW1553,"M=",AX1553,"L=",AY1553,"B=",AZ1553)</f>
        <v>ROGERS T=29D=4R=0M=0L=0B=0</v>
      </c>
      <c r="G1553" s="0" t="s">
        <v>202</v>
      </c>
      <c r="I1553" s="0" t="s">
        <v>7094</v>
      </c>
      <c r="J1553" s="0" t="s">
        <v>7095</v>
      </c>
      <c r="K1553" s="0" t="s">
        <v>160</v>
      </c>
      <c r="M1553" s="0" t="s">
        <v>7092</v>
      </c>
      <c r="N1553" s="0" t="str">
        <f aca="false">RIGHT(M1553,LEN(M1553)-FIND(" ",M1553))</f>
        <v>MCKINLEY ST NE</v>
      </c>
      <c r="P1553" s="0" t="s">
        <v>145</v>
      </c>
      <c r="Q1553" s="0" t="s">
        <v>146</v>
      </c>
      <c r="R1553" s="0" t="n">
        <v>44483</v>
      </c>
      <c r="AD1553" s="0" t="s">
        <v>147</v>
      </c>
      <c r="AE1553" s="0" t="s">
        <v>148</v>
      </c>
      <c r="AF1553" s="0" t="s">
        <v>149</v>
      </c>
      <c r="AH1553" s="0" t="n">
        <v>14</v>
      </c>
      <c r="AI1553" s="0" t="n">
        <v>11</v>
      </c>
      <c r="AN1553" s="0" t="s">
        <v>145</v>
      </c>
      <c r="AO1553" s="0" t="s">
        <v>654</v>
      </c>
      <c r="AP1553" s="0" t="s">
        <v>655</v>
      </c>
      <c r="AQ1553" s="0" t="n">
        <v>9</v>
      </c>
      <c r="AR1553" s="0" t="n">
        <v>64</v>
      </c>
      <c r="AS1553" s="0" t="n">
        <v>32</v>
      </c>
      <c r="AU1553" s="0" t="n">
        <f aca="false">COUNTA($BA$1134:$EH$1134)</f>
        <v>29</v>
      </c>
      <c r="AV1553" s="0" t="n">
        <f aca="false">COUNTIF($BA$1134:$EH$1134,"D")</f>
        <v>4</v>
      </c>
      <c r="AW1553" s="0" t="n">
        <f aca="false">COUNTIF($BA$1134:$EH$1134,"R")</f>
        <v>0</v>
      </c>
      <c r="AX1553" s="0" t="n">
        <f aca="false">IF(BN1553="D",1,0)+IF(BO1553="D",1,0)+IF(BT1553="D",1,0)+IF(BU1553="D",1,0)+IF(BW1553="D",1,0)+IF(CC1553="D",1,0)+IF(CD1553="D",1,0)+IF(CE1553="D",1,0)+IF(CF1553="D",1,0)+IF(CL1553="D",1,0)+IF(CM1553="D",1,0)+IF(CQ1553="D",1,0)+IF(CR1553="D",1,0)+IF(CS1553="D",1,0)+IF(CW1553="D",1,0)+IF(CX1553="D",1,0)+IF(DD1553="D",1,0)+IF(DE1553="D",1,0)+IF(DJ1553="D",1,0)+IF(DK1553="D",1,0)+IF(DO1553="D",1,0)+IF(DP1553="D",1,0)+IF(DQ1553="D",1,0)+IF(DW1553="D",1,0)+IF(DZ1553="D",1,0)+IF(EH1553="D",1,0)</f>
        <v>0</v>
      </c>
      <c r="AY1553" s="0" t="n">
        <f aca="false">COUNTIF(DU1553:EH1553, "&lt;&gt;")</f>
        <v>0</v>
      </c>
      <c r="AZ1553" s="0" t="n">
        <f aca="false">IF(EH1553&lt;&gt;"",1,0)</f>
        <v>0</v>
      </c>
      <c r="BB1553" s="0" t="s">
        <v>152</v>
      </c>
    </row>
    <row r="1554" customFormat="false" ht="13.8" hidden="true" customHeight="false" outlineLevel="0" collapsed="false">
      <c r="A1554" s="0" t="s">
        <v>7096</v>
      </c>
      <c r="B1554" s="0" t="n">
        <v>78</v>
      </c>
      <c r="C1554" s="0" t="n">
        <v>406462</v>
      </c>
      <c r="D1554" s="0" t="s">
        <v>3129</v>
      </c>
      <c r="E1554" s="0" t="s">
        <v>7097</v>
      </c>
      <c r="F1554" s="0" t="str">
        <f aca="false">CONCATENATE(D1554," ",LEFT(H1554,4),"T=",AU1554,"D=",AV1554,"R=",AW1554,"M=",AX1554,"L=",AY1554,"B=",AZ1554)</f>
        <v>HUDSON T=12D=1R=0M=0L=0B=0</v>
      </c>
      <c r="G1554" s="0" t="s">
        <v>164</v>
      </c>
      <c r="I1554" s="0" t="s">
        <v>6648</v>
      </c>
      <c r="J1554" s="0" t="s">
        <v>7098</v>
      </c>
      <c r="K1554" s="0" t="s">
        <v>160</v>
      </c>
      <c r="M1554" s="0" t="s">
        <v>7099</v>
      </c>
      <c r="N1554" s="0" t="str">
        <f aca="false">RIGHT(M1554,LEN(M1554)-FIND(" ",M1554))</f>
        <v>MCKINLEY ST NE</v>
      </c>
      <c r="P1554" s="0" t="s">
        <v>145</v>
      </c>
      <c r="Q1554" s="0" t="s">
        <v>146</v>
      </c>
      <c r="R1554" s="0" t="n">
        <v>44483</v>
      </c>
      <c r="AD1554" s="0" t="s">
        <v>147</v>
      </c>
      <c r="AE1554" s="0" t="s">
        <v>148</v>
      </c>
      <c r="AF1554" s="0" t="s">
        <v>149</v>
      </c>
      <c r="AH1554" s="0" t="n">
        <v>14</v>
      </c>
      <c r="AI1554" s="0" t="n">
        <v>11</v>
      </c>
      <c r="AN1554" s="0" t="s">
        <v>145</v>
      </c>
      <c r="AO1554" s="0" t="s">
        <v>654</v>
      </c>
      <c r="AP1554" s="0" t="s">
        <v>655</v>
      </c>
      <c r="AQ1554" s="0" t="n">
        <v>9</v>
      </c>
      <c r="AR1554" s="0" t="n">
        <v>64</v>
      </c>
      <c r="AS1554" s="0" t="n">
        <v>32</v>
      </c>
      <c r="AU1554" s="0" t="n">
        <f aca="false">COUNTA($BA$1375:$EH$1375)</f>
        <v>12</v>
      </c>
      <c r="AV1554" s="0" t="n">
        <f aca="false">COUNTIF($BA$1375:$EH$1375,"D")</f>
        <v>1</v>
      </c>
      <c r="AW1554" s="0" t="n">
        <f aca="false">COUNTIF($BA$1375:$EH$1375,"R")</f>
        <v>0</v>
      </c>
      <c r="AX1554" s="0" t="n">
        <f aca="false">IF(BN1554="D",1,0)+IF(BO1554="D",1,0)+IF(BT1554="D",1,0)+IF(BU1554="D",1,0)+IF(BW1554="D",1,0)+IF(CC1554="D",1,0)+IF(CD1554="D",1,0)+IF(CE1554="D",1,0)+IF(CF1554="D",1,0)+IF(CL1554="D",1,0)+IF(CM1554="D",1,0)+IF(CQ1554="D",1,0)+IF(CR1554="D",1,0)+IF(CS1554="D",1,0)+IF(CW1554="D",1,0)+IF(CX1554="D",1,0)+IF(DD1554="D",1,0)+IF(DE1554="D",1,0)+IF(DJ1554="D",1,0)+IF(DK1554="D",1,0)+IF(DO1554="D",1,0)+IF(DP1554="D",1,0)+IF(DQ1554="D",1,0)+IF(DW1554="D",1,0)+IF(DZ1554="D",1,0)+IF(EH1554="D",1,0)</f>
        <v>0</v>
      </c>
      <c r="AY1554" s="0" t="n">
        <f aca="false">COUNTIF(DU1554:EH1554, "&lt;&gt;")</f>
        <v>0</v>
      </c>
      <c r="AZ1554" s="0" t="n">
        <f aca="false">IF(EH1554&lt;&gt;"",1,0)</f>
        <v>0</v>
      </c>
      <c r="BB1554" s="0" t="s">
        <v>152</v>
      </c>
      <c r="CY1554" s="0" t="s">
        <v>153</v>
      </c>
    </row>
    <row r="1555" customFormat="false" ht="13.8" hidden="false" customHeight="false" outlineLevel="0" collapsed="false">
      <c r="A1555" s="0" t="s">
        <v>7100</v>
      </c>
      <c r="B1555" s="0" t="n">
        <v>78</v>
      </c>
      <c r="C1555" s="0" t="n">
        <v>368935</v>
      </c>
      <c r="D1555" s="0" t="s">
        <v>657</v>
      </c>
      <c r="E1555" s="0" t="s">
        <v>1519</v>
      </c>
      <c r="F1555" s="0" t="str">
        <f aca="false">CONCATENATE(D1555," ",LEFT(H1555,4),"T=",AU1555,"D=",AV1555,"R=",AW1555,"M=",AX1555,"L=",AY1555,"B=",AZ1555)</f>
        <v>HALL T=6D=2R=0M=1L=3B=0</v>
      </c>
      <c r="G1555" s="0" t="s">
        <v>164</v>
      </c>
      <c r="I1555" s="0" t="s">
        <v>7101</v>
      </c>
      <c r="J1555" s="0" t="s">
        <v>7102</v>
      </c>
      <c r="K1555" s="0" t="s">
        <v>160</v>
      </c>
      <c r="L1555" s="0" t="s">
        <v>175</v>
      </c>
      <c r="M1555" s="0" t="s">
        <v>7103</v>
      </c>
      <c r="N1555" s="0" t="str">
        <f aca="false">RIGHT(M1555,LEN(M1555)-FIND(" ",M1555))</f>
        <v>MCKINLEY ST NE</v>
      </c>
      <c r="P1555" s="0" t="s">
        <v>145</v>
      </c>
      <c r="Q1555" s="0" t="s">
        <v>146</v>
      </c>
      <c r="R1555" s="0" t="n">
        <v>44483</v>
      </c>
      <c r="AD1555" s="0" t="s">
        <v>147</v>
      </c>
      <c r="AE1555" s="0" t="s">
        <v>148</v>
      </c>
      <c r="AF1555" s="0" t="s">
        <v>149</v>
      </c>
      <c r="AH1555" s="0" t="n">
        <v>14</v>
      </c>
      <c r="AI1555" s="0" t="n">
        <v>11</v>
      </c>
      <c r="AN1555" s="0" t="s">
        <v>145</v>
      </c>
      <c r="AO1555" s="0" t="s">
        <v>654</v>
      </c>
      <c r="AP1555" s="0" t="s">
        <v>655</v>
      </c>
      <c r="AQ1555" s="0" t="n">
        <v>9</v>
      </c>
      <c r="AR1555" s="0" t="n">
        <v>64</v>
      </c>
      <c r="AS1555" s="0" t="n">
        <v>32</v>
      </c>
      <c r="AU1555" s="0" t="n">
        <f aca="false">COUNTA($BA$1835:$EH$1835)</f>
        <v>6</v>
      </c>
      <c r="AV1555" s="0" t="n">
        <f aca="false">COUNTIF($BA$1835:$EH$1835,"D")</f>
        <v>2</v>
      </c>
      <c r="AW1555" s="0" t="n">
        <f aca="false">COUNTIF($BA$1835:$EH$1835,"R")</f>
        <v>0</v>
      </c>
      <c r="AX1555" s="0" t="n">
        <f aca="false">IF(BN1555="D",1,0)+IF(BO1555="D",1,0)+IF(BT1555="D",1,0)+IF(BU1555="D",1,0)+IF(BW1555="D",1,0)+IF(CC1555="D",1,0)+IF(CD1555="D",1,0)+IF(CE1555="D",1,0)+IF(CF1555="D",1,0)+IF(CL1555="D",1,0)+IF(CM1555="D",1,0)+IF(CQ1555="D",1,0)+IF(CR1555="D",1,0)+IF(CS1555="D",1,0)+IF(CW1555="D",1,0)+IF(CX1555="D",1,0)+IF(DD1555="D",1,0)+IF(DE1555="D",1,0)+IF(DJ1555="D",1,0)+IF(DK1555="D",1,0)+IF(DO1555="D",1,0)+IF(DP1555="D",1,0)+IF(DQ1555="D",1,0)+IF(DW1555="D",1,0)+IF(DZ1555="D",1,0)+IF(EH1555="D",1,0)</f>
        <v>1</v>
      </c>
      <c r="AY1555" s="0" t="n">
        <f aca="false">COUNTIF(DU1555:EH1555, "&lt;&gt;")</f>
        <v>3</v>
      </c>
      <c r="AZ1555" s="0" t="n">
        <f aca="false">IF(EH1555&lt;&gt;"",1,0)</f>
        <v>0</v>
      </c>
      <c r="BB1555" s="0" t="s">
        <v>152</v>
      </c>
      <c r="CP1555" s="0" t="s">
        <v>153</v>
      </c>
      <c r="CY1555" s="0" t="s">
        <v>153</v>
      </c>
      <c r="DC1555" s="0" t="s">
        <v>153</v>
      </c>
      <c r="DI1555" s="0" t="s">
        <v>153</v>
      </c>
      <c r="DN1555" s="0" t="s">
        <v>153</v>
      </c>
      <c r="DU1555" s="0" t="s">
        <v>153</v>
      </c>
      <c r="DW1555" s="0" t="s">
        <v>175</v>
      </c>
      <c r="EF1555" s="0" t="s">
        <v>153</v>
      </c>
    </row>
    <row r="1556" customFormat="false" ht="13.8" hidden="false" customHeight="false" outlineLevel="0" collapsed="false">
      <c r="A1556" s="0" t="s">
        <v>7104</v>
      </c>
      <c r="B1556" s="0" t="n">
        <v>78</v>
      </c>
      <c r="C1556" s="0" t="n">
        <v>166092</v>
      </c>
      <c r="D1556" s="0" t="s">
        <v>657</v>
      </c>
      <c r="E1556" s="0" t="s">
        <v>2455</v>
      </c>
      <c r="F1556" s="0" t="str">
        <f aca="false">CONCATENATE(D1556," ",LEFT(H1556,4),"T=",AU1556,"D=",AV1556,"R=",AW1556,"M=",AX1556,"L=",AY1556,"B=",AZ1556)</f>
        <v>HALL T=3D=0R=0M=1L=3B=0</v>
      </c>
      <c r="I1556" s="0" t="s">
        <v>7105</v>
      </c>
      <c r="J1556" s="0" t="s">
        <v>7102</v>
      </c>
      <c r="K1556" s="0" t="s">
        <v>160</v>
      </c>
      <c r="L1556" s="0" t="s">
        <v>175</v>
      </c>
      <c r="M1556" s="0" t="s">
        <v>7103</v>
      </c>
      <c r="N1556" s="0" t="str">
        <f aca="false">RIGHT(M1556,LEN(M1556)-FIND(" ",M1556))</f>
        <v>MCKINLEY ST NE</v>
      </c>
      <c r="P1556" s="0" t="s">
        <v>145</v>
      </c>
      <c r="Q1556" s="0" t="s">
        <v>146</v>
      </c>
      <c r="R1556" s="0" t="n">
        <v>44483</v>
      </c>
      <c r="AD1556" s="0" t="s">
        <v>147</v>
      </c>
      <c r="AE1556" s="0" t="s">
        <v>148</v>
      </c>
      <c r="AF1556" s="0" t="s">
        <v>149</v>
      </c>
      <c r="AH1556" s="0" t="n">
        <v>14</v>
      </c>
      <c r="AI1556" s="0" t="n">
        <v>11</v>
      </c>
      <c r="AN1556" s="0" t="s">
        <v>145</v>
      </c>
      <c r="AO1556" s="0" t="s">
        <v>654</v>
      </c>
      <c r="AP1556" s="0" t="s">
        <v>655</v>
      </c>
      <c r="AQ1556" s="0" t="n">
        <v>9</v>
      </c>
      <c r="AR1556" s="0" t="n">
        <v>64</v>
      </c>
      <c r="AS1556" s="0" t="n">
        <v>32</v>
      </c>
      <c r="AU1556" s="0" t="n">
        <f aca="false">COUNTA($BA$2007:$EH$2007)</f>
        <v>3</v>
      </c>
      <c r="AV1556" s="0" t="n">
        <f aca="false">COUNTIF($BA$2007:$EH$2007,"D")</f>
        <v>0</v>
      </c>
      <c r="AW1556" s="0" t="n">
        <f aca="false">COUNTIF($BA$2007:$EH$2007,"R")</f>
        <v>0</v>
      </c>
      <c r="AX1556" s="0" t="n">
        <f aca="false">IF(BN1556="D",1,0)+IF(BO1556="D",1,0)+IF(BT1556="D",1,0)+IF(BU1556="D",1,0)+IF(BW1556="D",1,0)+IF(CC1556="D",1,0)+IF(CD1556="D",1,0)+IF(CE1556="D",1,0)+IF(CF1556="D",1,0)+IF(CL1556="D",1,0)+IF(CM1556="D",1,0)+IF(CQ1556="D",1,0)+IF(CR1556="D",1,0)+IF(CS1556="D",1,0)+IF(CW1556="D",1,0)+IF(CX1556="D",1,0)+IF(DD1556="D",1,0)+IF(DE1556="D",1,0)+IF(DJ1556="D",1,0)+IF(DK1556="D",1,0)+IF(DO1556="D",1,0)+IF(DP1556="D",1,0)+IF(DQ1556="D",1,0)+IF(DW1556="D",1,0)+IF(DZ1556="D",1,0)+IF(EH1556="D",1,0)</f>
        <v>1</v>
      </c>
      <c r="AY1556" s="0" t="n">
        <f aca="false">COUNTIF(DU1556:EH1556, "&lt;&gt;")</f>
        <v>3</v>
      </c>
      <c r="AZ1556" s="0" t="n">
        <f aca="false">IF(EH1556&lt;&gt;"",1,0)</f>
        <v>0</v>
      </c>
      <c r="BB1556" s="0" t="s">
        <v>152</v>
      </c>
      <c r="BD1556" s="0" t="s">
        <v>153</v>
      </c>
      <c r="BL1556" s="0" t="s">
        <v>153</v>
      </c>
      <c r="CA1556" s="0" t="s">
        <v>153</v>
      </c>
      <c r="CP1556" s="0" t="s">
        <v>153</v>
      </c>
      <c r="CV1556" s="0" t="s">
        <v>153</v>
      </c>
      <c r="CY1556" s="0" t="s">
        <v>153</v>
      </c>
      <c r="CZ1556" s="0" t="s">
        <v>175</v>
      </c>
      <c r="DC1556" s="0" t="s">
        <v>153</v>
      </c>
      <c r="DI1556" s="0" t="s">
        <v>153</v>
      </c>
      <c r="DN1556" s="0" t="s">
        <v>153</v>
      </c>
      <c r="DU1556" s="0" t="s">
        <v>153</v>
      </c>
      <c r="DW1556" s="0" t="s">
        <v>175</v>
      </c>
      <c r="EF1556" s="0" t="s">
        <v>153</v>
      </c>
    </row>
    <row r="1557" customFormat="false" ht="13.8" hidden="false" customHeight="false" outlineLevel="0" collapsed="false">
      <c r="A1557" s="0" t="s">
        <v>7106</v>
      </c>
      <c r="B1557" s="0" t="n">
        <v>78</v>
      </c>
      <c r="C1557" s="0" t="n">
        <v>300119</v>
      </c>
      <c r="D1557" s="0" t="s">
        <v>7107</v>
      </c>
      <c r="E1557" s="0" t="s">
        <v>325</v>
      </c>
      <c r="F1557" s="0" t="str">
        <f aca="false">CONCATENATE(D1557," ",LEFT(H1557,4),"T=",AU1557,"D=",AV1557,"R=",AW1557,"M=",AX1557,"L=",AY1557,"B=",AZ1557)</f>
        <v>LAUGHNER JRT=4D=0R=0M=2L=4B=0</v>
      </c>
      <c r="G1557" s="0" t="s">
        <v>171</v>
      </c>
      <c r="H1557" s="0" t="s">
        <v>314</v>
      </c>
      <c r="I1557" s="0" t="s">
        <v>7108</v>
      </c>
      <c r="J1557" s="0" t="s">
        <v>1306</v>
      </c>
      <c r="K1557" s="0" t="s">
        <v>160</v>
      </c>
      <c r="M1557" s="0" t="s">
        <v>7109</v>
      </c>
      <c r="N1557" s="0" t="str">
        <f aca="false">RIGHT(M1557,LEN(M1557)-FIND(" ",M1557))</f>
        <v>MCKINLEY ST NE</v>
      </c>
      <c r="P1557" s="0" t="s">
        <v>145</v>
      </c>
      <c r="Q1557" s="0" t="s">
        <v>146</v>
      </c>
      <c r="R1557" s="0" t="n">
        <v>44483</v>
      </c>
      <c r="AD1557" s="0" t="s">
        <v>147</v>
      </c>
      <c r="AE1557" s="0" t="s">
        <v>148</v>
      </c>
      <c r="AF1557" s="0" t="s">
        <v>149</v>
      </c>
      <c r="AH1557" s="0" t="n">
        <v>14</v>
      </c>
      <c r="AI1557" s="0" t="n">
        <v>11</v>
      </c>
      <c r="AN1557" s="0" t="s">
        <v>145</v>
      </c>
      <c r="AO1557" s="0" t="s">
        <v>654</v>
      </c>
      <c r="AP1557" s="0" t="s">
        <v>655</v>
      </c>
      <c r="AQ1557" s="0" t="n">
        <v>9</v>
      </c>
      <c r="AR1557" s="0" t="n">
        <v>64</v>
      </c>
      <c r="AS1557" s="0" t="n">
        <v>32</v>
      </c>
      <c r="AU1557" s="0" t="n">
        <f aca="false">COUNTA($BA$1397:$EH$1397)</f>
        <v>4</v>
      </c>
      <c r="AV1557" s="0" t="n">
        <f aca="false">COUNTIF($BA$1397:$EH$1397,"D")</f>
        <v>0</v>
      </c>
      <c r="AW1557" s="0" t="n">
        <f aca="false">COUNTIF($BA$1397:$EH$1397,"R")</f>
        <v>0</v>
      </c>
      <c r="AX1557" s="0" t="n">
        <f aca="false">IF(BN1557="D",1,0)+IF(BO1557="D",1,0)+IF(BT1557="D",1,0)+IF(BU1557="D",1,0)+IF(BW1557="D",1,0)+IF(CC1557="D",1,0)+IF(CD1557="D",1,0)+IF(CE1557="D",1,0)+IF(CF1557="D",1,0)+IF(CL1557="D",1,0)+IF(CM1557="D",1,0)+IF(CQ1557="D",1,0)+IF(CR1557="D",1,0)+IF(CS1557="D",1,0)+IF(CW1557="D",1,0)+IF(CX1557="D",1,0)+IF(DD1557="D",1,0)+IF(DE1557="D",1,0)+IF(DJ1557="D",1,0)+IF(DK1557="D",1,0)+IF(DO1557="D",1,0)+IF(DP1557="D",1,0)+IF(DQ1557="D",1,0)+IF(DW1557="D",1,0)+IF(DZ1557="D",1,0)+IF(EH1557="D",1,0)</f>
        <v>2</v>
      </c>
      <c r="AY1557" s="0" t="n">
        <f aca="false">COUNTIF(DU1557:EH1557, "&lt;&gt;")</f>
        <v>4</v>
      </c>
      <c r="AZ1557" s="0" t="n">
        <f aca="false">IF(EH1557&lt;&gt;"",1,0)</f>
        <v>0</v>
      </c>
      <c r="BB1557" s="0" t="s">
        <v>152</v>
      </c>
      <c r="BD1557" s="0" t="s">
        <v>153</v>
      </c>
      <c r="BG1557" s="0" t="s">
        <v>153</v>
      </c>
      <c r="BH1557" s="0" t="s">
        <v>153</v>
      </c>
      <c r="BI1557" s="0" t="s">
        <v>153</v>
      </c>
      <c r="BJ1557" s="0" t="s">
        <v>153</v>
      </c>
      <c r="BK1557" s="0" t="s">
        <v>153</v>
      </c>
      <c r="BL1557" s="0" t="s">
        <v>153</v>
      </c>
      <c r="BP1557" s="0" t="s">
        <v>153</v>
      </c>
      <c r="BR1557" s="0" t="s">
        <v>153</v>
      </c>
      <c r="BS1557" s="0" t="s">
        <v>153</v>
      </c>
      <c r="BV1557" s="0" t="s">
        <v>153</v>
      </c>
      <c r="BY1557" s="0" t="s">
        <v>175</v>
      </c>
      <c r="CA1557" s="0" t="s">
        <v>153</v>
      </c>
      <c r="CG1557" s="0" t="s">
        <v>153</v>
      </c>
      <c r="CK1557" s="0" t="s">
        <v>153</v>
      </c>
      <c r="CL1557" s="0" t="s">
        <v>175</v>
      </c>
      <c r="CN1557" s="0" t="s">
        <v>153</v>
      </c>
      <c r="CP1557" s="0" t="s">
        <v>153</v>
      </c>
      <c r="CU1557" s="0" t="s">
        <v>175</v>
      </c>
      <c r="CV1557" s="0" t="s">
        <v>153</v>
      </c>
      <c r="CW1557" s="0" t="s">
        <v>175</v>
      </c>
      <c r="CY1557" s="0" t="s">
        <v>153</v>
      </c>
      <c r="DC1557" s="0" t="s">
        <v>153</v>
      </c>
      <c r="DF1557" s="0" t="s">
        <v>153</v>
      </c>
      <c r="DI1557" s="0" t="s">
        <v>153</v>
      </c>
      <c r="DL1557" s="0" t="s">
        <v>153</v>
      </c>
      <c r="DM1557" s="0" t="s">
        <v>175</v>
      </c>
      <c r="DN1557" s="0" t="s">
        <v>153</v>
      </c>
      <c r="DU1557" s="0" t="s">
        <v>153</v>
      </c>
      <c r="DX1557" s="0" t="s">
        <v>153</v>
      </c>
      <c r="EA1557" s="0" t="s">
        <v>153</v>
      </c>
      <c r="EF1557" s="0" t="s">
        <v>153</v>
      </c>
    </row>
    <row r="1558" customFormat="false" ht="13.8" hidden="false" customHeight="false" outlineLevel="0" collapsed="false">
      <c r="A1558" s="0" t="s">
        <v>7110</v>
      </c>
      <c r="B1558" s="0" t="n">
        <v>78</v>
      </c>
      <c r="C1558" s="0" t="n">
        <v>13110</v>
      </c>
      <c r="D1558" s="0" t="s">
        <v>7107</v>
      </c>
      <c r="E1558" s="0" t="s">
        <v>1842</v>
      </c>
      <c r="F1558" s="0" t="str">
        <f aca="false">CONCATENATE(D1558," ",LEFT(H1558,4),"T=",AU1558,"D=",AV1558,"R=",AW1558,"M=",AX1558,"L=",AY1558,"B=",AZ1558)</f>
        <v>LAUGHNER T=1D=0R=0M=2L=4B=0</v>
      </c>
      <c r="G1558" s="0" t="s">
        <v>268</v>
      </c>
      <c r="I1558" s="0" t="s">
        <v>7111</v>
      </c>
      <c r="J1558" s="0" t="s">
        <v>7112</v>
      </c>
      <c r="K1558" s="0" t="s">
        <v>160</v>
      </c>
      <c r="M1558" s="0" t="s">
        <v>7109</v>
      </c>
      <c r="N1558" s="0" t="str">
        <f aca="false">RIGHT(M1558,LEN(M1558)-FIND(" ",M1558))</f>
        <v>MCKINLEY ST NE</v>
      </c>
      <c r="P1558" s="0" t="s">
        <v>145</v>
      </c>
      <c r="Q1558" s="0" t="s">
        <v>146</v>
      </c>
      <c r="R1558" s="0" t="n">
        <v>44483</v>
      </c>
      <c r="AD1558" s="0" t="s">
        <v>147</v>
      </c>
      <c r="AE1558" s="0" t="s">
        <v>148</v>
      </c>
      <c r="AF1558" s="0" t="s">
        <v>149</v>
      </c>
      <c r="AH1558" s="0" t="n">
        <v>14</v>
      </c>
      <c r="AI1558" s="0" t="n">
        <v>11</v>
      </c>
      <c r="AN1558" s="0" t="s">
        <v>145</v>
      </c>
      <c r="AO1558" s="0" t="s">
        <v>654</v>
      </c>
      <c r="AP1558" s="0" t="s">
        <v>655</v>
      </c>
      <c r="AQ1558" s="0" t="n">
        <v>9</v>
      </c>
      <c r="AR1558" s="0" t="n">
        <v>64</v>
      </c>
      <c r="AS1558" s="0" t="n">
        <v>32</v>
      </c>
      <c r="AU1558" s="0" t="n">
        <f aca="false">COUNTA($BA$1426:$EH$1426)</f>
        <v>1</v>
      </c>
      <c r="AV1558" s="0" t="n">
        <f aca="false">COUNTIF($BA$1426:$EH$1426,"D")</f>
        <v>0</v>
      </c>
      <c r="AW1558" s="0" t="n">
        <f aca="false">COUNTIF($BA$1426:$EH$1426,"R")</f>
        <v>0</v>
      </c>
      <c r="AX1558" s="0" t="n">
        <f aca="false">IF(BN1558="D",1,0)+IF(BO1558="D",1,0)+IF(BT1558="D",1,0)+IF(BU1558="D",1,0)+IF(BW1558="D",1,0)+IF(CC1558="D",1,0)+IF(CD1558="D",1,0)+IF(CE1558="D",1,0)+IF(CF1558="D",1,0)+IF(CL1558="D",1,0)+IF(CM1558="D",1,0)+IF(CQ1558="D",1,0)+IF(CR1558="D",1,0)+IF(CS1558="D",1,0)+IF(CW1558="D",1,0)+IF(CX1558="D",1,0)+IF(DD1558="D",1,0)+IF(DE1558="D",1,0)+IF(DJ1558="D",1,0)+IF(DK1558="D",1,0)+IF(DO1558="D",1,0)+IF(DP1558="D",1,0)+IF(DQ1558="D",1,0)+IF(DW1558="D",1,0)+IF(DZ1558="D",1,0)+IF(EH1558="D",1,0)</f>
        <v>2</v>
      </c>
      <c r="AY1558" s="0" t="n">
        <f aca="false">COUNTIF(DU1558:EH1558, "&lt;&gt;")</f>
        <v>4</v>
      </c>
      <c r="AZ1558" s="0" t="n">
        <f aca="false">IF(EH1558&lt;&gt;"",1,0)</f>
        <v>0</v>
      </c>
      <c r="BB1558" s="0" t="s">
        <v>152</v>
      </c>
      <c r="BC1558" s="0" t="s">
        <v>153</v>
      </c>
      <c r="BD1558" s="0" t="s">
        <v>153</v>
      </c>
      <c r="BG1558" s="0" t="s">
        <v>153</v>
      </c>
      <c r="BH1558" s="0" t="s">
        <v>153</v>
      </c>
      <c r="BI1558" s="0" t="s">
        <v>153</v>
      </c>
      <c r="BJ1558" s="0" t="s">
        <v>153</v>
      </c>
      <c r="BK1558" s="0" t="s">
        <v>153</v>
      </c>
      <c r="BL1558" s="0" t="s">
        <v>153</v>
      </c>
      <c r="BP1558" s="0" t="s">
        <v>153</v>
      </c>
      <c r="BR1558" s="0" t="s">
        <v>153</v>
      </c>
      <c r="BS1558" s="0" t="s">
        <v>153</v>
      </c>
      <c r="BV1558" s="0" t="s">
        <v>153</v>
      </c>
      <c r="BY1558" s="0" t="s">
        <v>175</v>
      </c>
      <c r="CA1558" s="0" t="s">
        <v>153</v>
      </c>
      <c r="CG1558" s="0" t="s">
        <v>153</v>
      </c>
      <c r="CK1558" s="0" t="s">
        <v>153</v>
      </c>
      <c r="CL1558" s="0" t="s">
        <v>175</v>
      </c>
      <c r="CN1558" s="0" t="s">
        <v>153</v>
      </c>
      <c r="CP1558" s="0" t="s">
        <v>153</v>
      </c>
      <c r="CT1558" s="0" t="s">
        <v>153</v>
      </c>
      <c r="CU1558" s="0" t="s">
        <v>175</v>
      </c>
      <c r="CV1558" s="0" t="s">
        <v>153</v>
      </c>
      <c r="CW1558" s="0" t="s">
        <v>175</v>
      </c>
      <c r="CY1558" s="0" t="s">
        <v>153</v>
      </c>
      <c r="DC1558" s="0" t="s">
        <v>153</v>
      </c>
      <c r="DF1558" s="0" t="s">
        <v>153</v>
      </c>
      <c r="DG1558" s="0" t="s">
        <v>175</v>
      </c>
      <c r="DI1558" s="0" t="s">
        <v>153</v>
      </c>
      <c r="DL1558" s="0" t="s">
        <v>153</v>
      </c>
      <c r="DM1558" s="0" t="s">
        <v>175</v>
      </c>
      <c r="DN1558" s="0" t="s">
        <v>153</v>
      </c>
      <c r="DU1558" s="0" t="s">
        <v>153</v>
      </c>
      <c r="DX1558" s="0" t="s">
        <v>153</v>
      </c>
      <c r="EA1558" s="0" t="s">
        <v>153</v>
      </c>
      <c r="EF1558" s="0" t="s">
        <v>153</v>
      </c>
    </row>
    <row r="1559" customFormat="false" ht="13.8" hidden="true" customHeight="false" outlineLevel="0" collapsed="false">
      <c r="A1559" s="0" t="s">
        <v>7113</v>
      </c>
      <c r="B1559" s="0" t="n">
        <v>78</v>
      </c>
      <c r="C1559" s="0" t="n">
        <v>399060</v>
      </c>
      <c r="D1559" s="0" t="s">
        <v>7114</v>
      </c>
      <c r="E1559" s="0" t="s">
        <v>3018</v>
      </c>
      <c r="F1559" s="0" t="str">
        <f aca="false">CONCATENATE(D1559," ",LEFT(H1559,4),"T=",AU1559,"D=",AV1559,"R=",AW1559,"M=",AX1559,"L=",AY1559,"B=",AZ1559)</f>
        <v>ZACKERY T=2D=0R=0M=0L=0B=0</v>
      </c>
      <c r="G1559" s="0" t="s">
        <v>255</v>
      </c>
      <c r="I1559" s="0" t="s">
        <v>7115</v>
      </c>
      <c r="J1559" s="0" t="s">
        <v>7116</v>
      </c>
      <c r="K1559" s="0" t="s">
        <v>143</v>
      </c>
      <c r="M1559" s="0" t="s">
        <v>7117</v>
      </c>
      <c r="N1559" s="0" t="str">
        <f aca="false">RIGHT(M1559,LEN(M1559)-FIND(" ",M1559))</f>
        <v>MCKINLEY ST NE</v>
      </c>
      <c r="P1559" s="0" t="s">
        <v>145</v>
      </c>
      <c r="Q1559" s="0" t="s">
        <v>146</v>
      </c>
      <c r="R1559" s="0" t="n">
        <v>44483</v>
      </c>
      <c r="AD1559" s="0" t="s">
        <v>147</v>
      </c>
      <c r="AE1559" s="0" t="s">
        <v>148</v>
      </c>
      <c r="AF1559" s="0" t="s">
        <v>149</v>
      </c>
      <c r="AH1559" s="0" t="n">
        <v>14</v>
      </c>
      <c r="AI1559" s="0" t="n">
        <v>11</v>
      </c>
      <c r="AN1559" s="0" t="s">
        <v>145</v>
      </c>
      <c r="AO1559" s="0" t="s">
        <v>654</v>
      </c>
      <c r="AP1559" s="0" t="s">
        <v>655</v>
      </c>
      <c r="AQ1559" s="0" t="n">
        <v>9</v>
      </c>
      <c r="AR1559" s="0" t="n">
        <v>64</v>
      </c>
      <c r="AS1559" s="0" t="n">
        <v>32</v>
      </c>
      <c r="AU1559" s="0" t="n">
        <f aca="false">COUNTA($BA$1727:$EH$1727)</f>
        <v>2</v>
      </c>
      <c r="AV1559" s="0" t="n">
        <f aca="false">COUNTIF($BA$1727:$EH$1727,"D")</f>
        <v>0</v>
      </c>
      <c r="AW1559" s="0" t="n">
        <f aca="false">COUNTIF($BA$1727:$EH$1727,"R")</f>
        <v>0</v>
      </c>
      <c r="AX1559" s="0" t="n">
        <f aca="false">IF(BN1559="D",1,0)+IF(BO1559="D",1,0)+IF(BT1559="D",1,0)+IF(BU1559="D",1,0)+IF(BW1559="D",1,0)+IF(CC1559="D",1,0)+IF(CD1559="D",1,0)+IF(CE1559="D",1,0)+IF(CF1559="D",1,0)+IF(CL1559="D",1,0)+IF(CM1559="D",1,0)+IF(CQ1559="D",1,0)+IF(CR1559="D",1,0)+IF(CS1559="D",1,0)+IF(CW1559="D",1,0)+IF(CX1559="D",1,0)+IF(DD1559="D",1,0)+IF(DE1559="D",1,0)+IF(DJ1559="D",1,0)+IF(DK1559="D",1,0)+IF(DO1559="D",1,0)+IF(DP1559="D",1,0)+IF(DQ1559="D",1,0)+IF(DW1559="D",1,0)+IF(DZ1559="D",1,0)+IF(EH1559="D",1,0)</f>
        <v>0</v>
      </c>
      <c r="AY1559" s="0" t="n">
        <f aca="false">COUNTIF(DU1559:EH1559, "&lt;&gt;")</f>
        <v>0</v>
      </c>
      <c r="AZ1559" s="0" t="n">
        <f aca="false">IF(EH1559&lt;&gt;"",1,0)</f>
        <v>0</v>
      </c>
      <c r="BB1559" s="0" t="s">
        <v>152</v>
      </c>
      <c r="BL1559" s="0" t="s">
        <v>153</v>
      </c>
      <c r="CA1559" s="0" t="s">
        <v>153</v>
      </c>
      <c r="CK1559" s="0" t="s">
        <v>153</v>
      </c>
      <c r="CP1559" s="0" t="s">
        <v>153</v>
      </c>
    </row>
    <row r="1560" customFormat="false" ht="13.8" hidden="true" customHeight="false" outlineLevel="0" collapsed="false">
      <c r="A1560" s="0" t="s">
        <v>7118</v>
      </c>
      <c r="B1560" s="0" t="n">
        <v>78</v>
      </c>
      <c r="C1560" s="0" t="n">
        <v>291795</v>
      </c>
      <c r="D1560" s="0" t="s">
        <v>1445</v>
      </c>
      <c r="E1560" s="0" t="s">
        <v>943</v>
      </c>
      <c r="F1560" s="0" t="str">
        <f aca="false">CONCATENATE(D1560," ",LEFT(H1560,4),"T=",AU1560,"D=",AV1560,"R=",AW1560,"M=",AX1560,"L=",AY1560,"B=",AZ1560)</f>
        <v>WILLIAMS T=4D=0R=0M=0L=0B=0</v>
      </c>
      <c r="G1560" s="0" t="s">
        <v>195</v>
      </c>
      <c r="I1560" s="0" t="s">
        <v>4692</v>
      </c>
      <c r="J1560" s="0" t="s">
        <v>4069</v>
      </c>
      <c r="K1560" s="0" t="s">
        <v>160</v>
      </c>
      <c r="M1560" s="0" t="s">
        <v>7119</v>
      </c>
      <c r="N1560" s="0" t="str">
        <f aca="false">RIGHT(M1560,LEN(M1560)-FIND(" ",M1560))</f>
        <v>MCKINLEY ST NE</v>
      </c>
      <c r="P1560" s="0" t="s">
        <v>145</v>
      </c>
      <c r="Q1560" s="0" t="s">
        <v>146</v>
      </c>
      <c r="R1560" s="0" t="n">
        <v>44483</v>
      </c>
      <c r="AD1560" s="0" t="s">
        <v>147</v>
      </c>
      <c r="AE1560" s="0" t="s">
        <v>148</v>
      </c>
      <c r="AF1560" s="0" t="s">
        <v>149</v>
      </c>
      <c r="AH1560" s="0" t="n">
        <v>14</v>
      </c>
      <c r="AI1560" s="0" t="n">
        <v>11</v>
      </c>
      <c r="AN1560" s="0" t="s">
        <v>145</v>
      </c>
      <c r="AO1560" s="0" t="s">
        <v>654</v>
      </c>
      <c r="AP1560" s="0" t="s">
        <v>655</v>
      </c>
      <c r="AQ1560" s="0" t="n">
        <v>9</v>
      </c>
      <c r="AR1560" s="0" t="n">
        <v>64</v>
      </c>
      <c r="AS1560" s="0" t="n">
        <v>32</v>
      </c>
      <c r="AU1560" s="0" t="n">
        <f aca="false">COUNTA($BA$2034:$EH$2034)</f>
        <v>4</v>
      </c>
      <c r="AV1560" s="0" t="n">
        <f aca="false">COUNTIF($BA$2034:$EH$2034,"D")</f>
        <v>0</v>
      </c>
      <c r="AW1560" s="0" t="n">
        <f aca="false">COUNTIF($BA$2034:$EH$2034,"R")</f>
        <v>0</v>
      </c>
      <c r="AX1560" s="0" t="n">
        <f aca="false">IF(BN1560="D",1,0)+IF(BO1560="D",1,0)+IF(BT1560="D",1,0)+IF(BU1560="D",1,0)+IF(BW1560="D",1,0)+IF(CC1560="D",1,0)+IF(CD1560="D",1,0)+IF(CE1560="D",1,0)+IF(CF1560="D",1,0)+IF(CL1560="D",1,0)+IF(CM1560="D",1,0)+IF(CQ1560="D",1,0)+IF(CR1560="D",1,0)+IF(CS1560="D",1,0)+IF(CW1560="D",1,0)+IF(CX1560="D",1,0)+IF(DD1560="D",1,0)+IF(DE1560="D",1,0)+IF(DJ1560="D",1,0)+IF(DK1560="D",1,0)+IF(DO1560="D",1,0)+IF(DP1560="D",1,0)+IF(DQ1560="D",1,0)+IF(DW1560="D",1,0)+IF(DZ1560="D",1,0)+IF(EH1560="D",1,0)</f>
        <v>0</v>
      </c>
      <c r="AY1560" s="0" t="n">
        <f aca="false">COUNTIF(DU1560:EH1560, "&lt;&gt;")</f>
        <v>0</v>
      </c>
      <c r="AZ1560" s="0" t="n">
        <f aca="false">IF(EH1560&lt;&gt;"",1,0)</f>
        <v>0</v>
      </c>
      <c r="BB1560" s="0" t="s">
        <v>152</v>
      </c>
      <c r="BD1560" s="0" t="s">
        <v>153</v>
      </c>
      <c r="BL1560" s="0" t="s">
        <v>153</v>
      </c>
      <c r="BY1560" s="0" t="s">
        <v>175</v>
      </c>
      <c r="CA1560" s="0" t="s">
        <v>153</v>
      </c>
    </row>
    <row r="1561" customFormat="false" ht="13.8" hidden="true" customHeight="false" outlineLevel="0" collapsed="false">
      <c r="A1561" s="0" t="s">
        <v>7120</v>
      </c>
      <c r="B1561" s="0" t="n">
        <v>78</v>
      </c>
      <c r="C1561" s="0" t="n">
        <v>320279</v>
      </c>
      <c r="D1561" s="0" t="s">
        <v>1001</v>
      </c>
      <c r="E1561" s="0" t="s">
        <v>7121</v>
      </c>
      <c r="F1561" s="0" t="str">
        <f aca="false">CONCATENATE(D1561," ",LEFT(H1561,4),"T=",AU1561,"D=",AV1561,"R=",AW1561,"M=",AX1561,"L=",AY1561,"B=",AZ1561)</f>
        <v>DAVIS T=2D=0R=0M=0L=0B=0</v>
      </c>
      <c r="G1561" s="0" t="s">
        <v>164</v>
      </c>
      <c r="I1561" s="0" t="s">
        <v>7122</v>
      </c>
      <c r="J1561" s="0" t="s">
        <v>7123</v>
      </c>
      <c r="K1561" s="0" t="s">
        <v>160</v>
      </c>
      <c r="M1561" s="0" t="s">
        <v>7124</v>
      </c>
      <c r="N1561" s="0" t="str">
        <f aca="false">RIGHT(M1561,LEN(M1561)-FIND(" ",M1561))</f>
        <v>MCKINLEY ST NE</v>
      </c>
      <c r="P1561" s="0" t="s">
        <v>145</v>
      </c>
      <c r="Q1561" s="0" t="s">
        <v>146</v>
      </c>
      <c r="R1561" s="0" t="n">
        <v>44483</v>
      </c>
      <c r="AD1561" s="0" t="s">
        <v>147</v>
      </c>
      <c r="AE1561" s="0" t="s">
        <v>148</v>
      </c>
      <c r="AF1561" s="0" t="s">
        <v>149</v>
      </c>
      <c r="AH1561" s="0" t="n">
        <v>14</v>
      </c>
      <c r="AI1561" s="0" t="n">
        <v>11</v>
      </c>
      <c r="AN1561" s="0" t="s">
        <v>145</v>
      </c>
      <c r="AO1561" s="0" t="s">
        <v>654</v>
      </c>
      <c r="AP1561" s="0" t="s">
        <v>655</v>
      </c>
      <c r="AQ1561" s="0" t="n">
        <v>9</v>
      </c>
      <c r="AR1561" s="0" t="n">
        <v>64</v>
      </c>
      <c r="AS1561" s="0" t="n">
        <v>32</v>
      </c>
      <c r="AU1561" s="0" t="n">
        <f aca="false">COUNTA($BA$1998:$EH$1998)</f>
        <v>2</v>
      </c>
      <c r="AV1561" s="0" t="n">
        <f aca="false">COUNTIF($BA$1998:$EH$1998,"D")</f>
        <v>0</v>
      </c>
      <c r="AW1561" s="0" t="n">
        <f aca="false">COUNTIF($BA$1998:$EH$1998,"R")</f>
        <v>0</v>
      </c>
      <c r="AX1561" s="0" t="n">
        <f aca="false">IF(BN1561="D",1,0)+IF(BO1561="D",1,0)+IF(BT1561="D",1,0)+IF(BU1561="D",1,0)+IF(BW1561="D",1,0)+IF(CC1561="D",1,0)+IF(CD1561="D",1,0)+IF(CE1561="D",1,0)+IF(CF1561="D",1,0)+IF(CL1561="D",1,0)+IF(CM1561="D",1,0)+IF(CQ1561="D",1,0)+IF(CR1561="D",1,0)+IF(CS1561="D",1,0)+IF(CW1561="D",1,0)+IF(CX1561="D",1,0)+IF(DD1561="D",1,0)+IF(DE1561="D",1,0)+IF(DJ1561="D",1,0)+IF(DK1561="D",1,0)+IF(DO1561="D",1,0)+IF(DP1561="D",1,0)+IF(DQ1561="D",1,0)+IF(DW1561="D",1,0)+IF(DZ1561="D",1,0)+IF(EH1561="D",1,0)</f>
        <v>0</v>
      </c>
      <c r="AY1561" s="0" t="n">
        <f aca="false">COUNTIF(DU1561:EH1561, "&lt;&gt;")</f>
        <v>0</v>
      </c>
      <c r="AZ1561" s="0" t="n">
        <f aca="false">IF(EH1561&lt;&gt;"",1,0)</f>
        <v>0</v>
      </c>
      <c r="BB1561" s="0" t="s">
        <v>152</v>
      </c>
    </row>
    <row r="1562" customFormat="false" ht="13.8" hidden="true" customHeight="false" outlineLevel="0" collapsed="false">
      <c r="A1562" s="0" t="s">
        <v>7125</v>
      </c>
      <c r="B1562" s="0" t="n">
        <v>78</v>
      </c>
      <c r="C1562" s="0" t="n">
        <v>485466</v>
      </c>
      <c r="D1562" s="0" t="s">
        <v>5067</v>
      </c>
      <c r="E1562" s="0" t="s">
        <v>7126</v>
      </c>
      <c r="F1562" s="0" t="str">
        <f aca="false">CONCATENATE(D1562," ",LEFT(H1562,4),"T=",AU1562,"D=",AV1562,"R=",AW1562,"M=",AX1562,"L=",AY1562,"B=",AZ1562)</f>
        <v>LYONS T=43D=11R=0M=0L=1B=0</v>
      </c>
      <c r="G1562" s="0" t="s">
        <v>3809</v>
      </c>
      <c r="I1562" s="0" t="s">
        <v>7127</v>
      </c>
      <c r="J1562" s="0" t="s">
        <v>7128</v>
      </c>
      <c r="K1562" s="0" t="s">
        <v>160</v>
      </c>
      <c r="M1562" s="0" t="s">
        <v>7129</v>
      </c>
      <c r="N1562" s="0" t="str">
        <f aca="false">RIGHT(M1562,LEN(M1562)-FIND(" ",M1562))</f>
        <v>MCKINLEY ST NE</v>
      </c>
      <c r="P1562" s="0" t="s">
        <v>145</v>
      </c>
      <c r="Q1562" s="0" t="s">
        <v>146</v>
      </c>
      <c r="R1562" s="0" t="n">
        <v>44483</v>
      </c>
      <c r="AD1562" s="0" t="s">
        <v>147</v>
      </c>
      <c r="AE1562" s="0" t="s">
        <v>148</v>
      </c>
      <c r="AF1562" s="0" t="s">
        <v>149</v>
      </c>
      <c r="AH1562" s="0" t="n">
        <v>14</v>
      </c>
      <c r="AI1562" s="0" t="n">
        <v>11</v>
      </c>
      <c r="AN1562" s="0" t="s">
        <v>145</v>
      </c>
      <c r="AO1562" s="0" t="s">
        <v>654</v>
      </c>
      <c r="AP1562" s="0" t="s">
        <v>655</v>
      </c>
      <c r="AQ1562" s="0" t="n">
        <v>9</v>
      </c>
      <c r="AR1562" s="0" t="n">
        <v>64</v>
      </c>
      <c r="AS1562" s="0" t="n">
        <v>32</v>
      </c>
      <c r="AU1562" s="0" t="n">
        <f aca="false">COUNTA($BA$1114:$EH$1114)</f>
        <v>43</v>
      </c>
      <c r="AV1562" s="0" t="n">
        <f aca="false">COUNTIF($BA$1114:$EH$1114,"D")</f>
        <v>11</v>
      </c>
      <c r="AW1562" s="0" t="n">
        <f aca="false">COUNTIF($BA$1114:$EH$1114,"R")</f>
        <v>0</v>
      </c>
      <c r="AX1562" s="0" t="n">
        <f aca="false">IF(BN1562="D",1,0)+IF(BO1562="D",1,0)+IF(BT1562="D",1,0)+IF(BU1562="D",1,0)+IF(BW1562="D",1,0)+IF(CC1562="D",1,0)+IF(CD1562="D",1,0)+IF(CE1562="D",1,0)+IF(CF1562="D",1,0)+IF(CL1562="D",1,0)+IF(CM1562="D",1,0)+IF(CQ1562="D",1,0)+IF(CR1562="D",1,0)+IF(CS1562="D",1,0)+IF(CW1562="D",1,0)+IF(CX1562="D",1,0)+IF(DD1562="D",1,0)+IF(DE1562="D",1,0)+IF(DJ1562="D",1,0)+IF(DK1562="D",1,0)+IF(DO1562="D",1,0)+IF(DP1562="D",1,0)+IF(DQ1562="D",1,0)+IF(DW1562="D",1,0)+IF(DZ1562="D",1,0)+IF(EH1562="D",1,0)</f>
        <v>0</v>
      </c>
      <c r="AY1562" s="0" t="n">
        <f aca="false">COUNTIF(DU1562:EH1562, "&lt;&gt;")</f>
        <v>1</v>
      </c>
      <c r="AZ1562" s="0" t="n">
        <f aca="false">IF(EH1562&lt;&gt;"",1,0)</f>
        <v>0</v>
      </c>
      <c r="BB1562" s="0" t="s">
        <v>152</v>
      </c>
      <c r="EF1562" s="0" t="s">
        <v>153</v>
      </c>
    </row>
    <row r="1563" customFormat="false" ht="13.8" hidden="true" customHeight="false" outlineLevel="0" collapsed="false">
      <c r="A1563" s="0" t="s">
        <v>7130</v>
      </c>
      <c r="B1563" s="0" t="n">
        <v>78</v>
      </c>
      <c r="C1563" s="0" t="n">
        <v>485351</v>
      </c>
      <c r="D1563" s="0" t="s">
        <v>5067</v>
      </c>
      <c r="E1563" s="0" t="s">
        <v>719</v>
      </c>
      <c r="F1563" s="0" t="str">
        <f aca="false">CONCATENATE(D1563," ",LEFT(H1563,4),"T=",AU1563,"D=",AV1563,"R=",AW1563,"M=",AX1563,"L=",AY1563,"B=",AZ1563)</f>
        <v>LYONS T=3D=0R=0M=0L=1B=0</v>
      </c>
      <c r="G1563" s="0" t="s">
        <v>6827</v>
      </c>
      <c r="I1563" s="0" t="s">
        <v>7131</v>
      </c>
      <c r="J1563" s="0" t="s">
        <v>7132</v>
      </c>
      <c r="K1563" s="0" t="s">
        <v>160</v>
      </c>
      <c r="M1563" s="0" t="s">
        <v>7129</v>
      </c>
      <c r="N1563" s="0" t="str">
        <f aca="false">RIGHT(M1563,LEN(M1563)-FIND(" ",M1563))</f>
        <v>MCKINLEY ST NE</v>
      </c>
      <c r="P1563" s="0" t="s">
        <v>145</v>
      </c>
      <c r="Q1563" s="0" t="s">
        <v>146</v>
      </c>
      <c r="R1563" s="0" t="n">
        <v>44483</v>
      </c>
      <c r="AD1563" s="0" t="s">
        <v>147</v>
      </c>
      <c r="AE1563" s="0" t="s">
        <v>148</v>
      </c>
      <c r="AF1563" s="0" t="s">
        <v>149</v>
      </c>
      <c r="AH1563" s="0" t="n">
        <v>14</v>
      </c>
      <c r="AI1563" s="0" t="n">
        <v>11</v>
      </c>
      <c r="AN1563" s="0" t="s">
        <v>145</v>
      </c>
      <c r="AO1563" s="0" t="s">
        <v>654</v>
      </c>
      <c r="AP1563" s="0" t="s">
        <v>655</v>
      </c>
      <c r="AQ1563" s="0" t="n">
        <v>9</v>
      </c>
      <c r="AR1563" s="0" t="n">
        <v>64</v>
      </c>
      <c r="AS1563" s="0" t="n">
        <v>32</v>
      </c>
      <c r="AU1563" s="0" t="n">
        <f aca="false">COUNTA($BA$1898:$EH$1898)</f>
        <v>3</v>
      </c>
      <c r="AV1563" s="0" t="n">
        <f aca="false">COUNTIF($BA$1898:$EH$1898,"D")</f>
        <v>0</v>
      </c>
      <c r="AW1563" s="0" t="n">
        <f aca="false">COUNTIF($BA$1898:$EH$1898,"R")</f>
        <v>0</v>
      </c>
      <c r="AX1563" s="0" t="n">
        <f aca="false">IF(BN1563="D",1,0)+IF(BO1563="D",1,0)+IF(BT1563="D",1,0)+IF(BU1563="D",1,0)+IF(BW1563="D",1,0)+IF(CC1563="D",1,0)+IF(CD1563="D",1,0)+IF(CE1563="D",1,0)+IF(CF1563="D",1,0)+IF(CL1563="D",1,0)+IF(CM1563="D",1,0)+IF(CQ1563="D",1,0)+IF(CR1563="D",1,0)+IF(CS1563="D",1,0)+IF(CW1563="D",1,0)+IF(CX1563="D",1,0)+IF(DD1563="D",1,0)+IF(DE1563="D",1,0)+IF(DJ1563="D",1,0)+IF(DK1563="D",1,0)+IF(DO1563="D",1,0)+IF(DP1563="D",1,0)+IF(DQ1563="D",1,0)+IF(DW1563="D",1,0)+IF(DZ1563="D",1,0)+IF(EH1563="D",1,0)</f>
        <v>0</v>
      </c>
      <c r="AY1563" s="0" t="n">
        <f aca="false">COUNTIF(DU1563:EH1563, "&lt;&gt;")</f>
        <v>1</v>
      </c>
      <c r="AZ1563" s="0" t="n">
        <f aca="false">IF(EH1563&lt;&gt;"",1,0)</f>
        <v>0</v>
      </c>
      <c r="BB1563" s="0" t="s">
        <v>152</v>
      </c>
      <c r="EF1563" s="0" t="s">
        <v>153</v>
      </c>
    </row>
    <row r="1564" customFormat="false" ht="13.8" hidden="false" customHeight="false" outlineLevel="0" collapsed="false">
      <c r="A1564" s="0" t="s">
        <v>7133</v>
      </c>
      <c r="B1564" s="0" t="n">
        <v>78</v>
      </c>
      <c r="C1564" s="0" t="n">
        <v>420120</v>
      </c>
      <c r="D1564" s="0" t="s">
        <v>452</v>
      </c>
      <c r="E1564" s="0" t="s">
        <v>7134</v>
      </c>
      <c r="F1564" s="0" t="str">
        <f aca="false">CONCATENATE(D1564," ",LEFT(H1564,4),"T=",AU1564,"D=",AV1564,"R=",AW1564,"M=",AX1564,"L=",AY1564,"B=",AZ1564)</f>
        <v>HOWARD T=1D=0R=0M=0L=2B=0</v>
      </c>
      <c r="G1564" s="0" t="s">
        <v>4165</v>
      </c>
      <c r="I1564" s="0" t="s">
        <v>7135</v>
      </c>
      <c r="J1564" s="0" t="s">
        <v>7136</v>
      </c>
      <c r="K1564" s="0" t="s">
        <v>160</v>
      </c>
      <c r="M1564" s="0" t="s">
        <v>7137</v>
      </c>
      <c r="N1564" s="0" t="str">
        <f aca="false">RIGHT(M1564,LEN(M1564)-FIND(" ",M1564))</f>
        <v>MCKINLEY ST NE</v>
      </c>
      <c r="P1564" s="0" t="s">
        <v>145</v>
      </c>
      <c r="Q1564" s="0" t="s">
        <v>146</v>
      </c>
      <c r="R1564" s="0" t="n">
        <v>44483</v>
      </c>
      <c r="AD1564" s="0" t="s">
        <v>147</v>
      </c>
      <c r="AE1564" s="0" t="s">
        <v>148</v>
      </c>
      <c r="AF1564" s="0" t="s">
        <v>149</v>
      </c>
      <c r="AH1564" s="0" t="n">
        <v>14</v>
      </c>
      <c r="AI1564" s="0" t="n">
        <v>11</v>
      </c>
      <c r="AN1564" s="0" t="s">
        <v>145</v>
      </c>
      <c r="AO1564" s="0" t="s">
        <v>654</v>
      </c>
      <c r="AP1564" s="0" t="s">
        <v>655</v>
      </c>
      <c r="AQ1564" s="0" t="n">
        <v>9</v>
      </c>
      <c r="AR1564" s="0" t="n">
        <v>64</v>
      </c>
      <c r="AS1564" s="0" t="n">
        <v>32</v>
      </c>
      <c r="AU1564" s="0" t="n">
        <f aca="false">COUNTA($BA$1249:$EH$1249)</f>
        <v>1</v>
      </c>
      <c r="AV1564" s="0" t="n">
        <f aca="false">COUNTIF($BA$1249:$EH$1249,"D")</f>
        <v>0</v>
      </c>
      <c r="AW1564" s="0" t="n">
        <f aca="false">COUNTIF($BA$1249:$EH$1249,"R")</f>
        <v>0</v>
      </c>
      <c r="AX1564" s="0" t="n">
        <f aca="false">IF(BN1564="D",1,0)+IF(BO1564="D",1,0)+IF(BT1564="D",1,0)+IF(BU1564="D",1,0)+IF(BW1564="D",1,0)+IF(CC1564="D",1,0)+IF(CD1564="D",1,0)+IF(CE1564="D",1,0)+IF(CF1564="D",1,0)+IF(CL1564="D",1,0)+IF(CM1564="D",1,0)+IF(CQ1564="D",1,0)+IF(CR1564="D",1,0)+IF(CS1564="D",1,0)+IF(CW1564="D",1,0)+IF(CX1564="D",1,0)+IF(DD1564="D",1,0)+IF(DE1564="D",1,0)+IF(DJ1564="D",1,0)+IF(DK1564="D",1,0)+IF(DO1564="D",1,0)+IF(DP1564="D",1,0)+IF(DQ1564="D",1,0)+IF(DW1564="D",1,0)+IF(DZ1564="D",1,0)+IF(EH1564="D",1,0)</f>
        <v>0</v>
      </c>
      <c r="AY1564" s="0" t="n">
        <f aca="false">COUNTIF(DU1564:EH1564, "&lt;&gt;")</f>
        <v>2</v>
      </c>
      <c r="AZ1564" s="0" t="n">
        <f aca="false">IF(EH1564&lt;&gt;"",1,0)</f>
        <v>0</v>
      </c>
      <c r="BB1564" s="0" t="s">
        <v>152</v>
      </c>
      <c r="BL1564" s="0" t="s">
        <v>153</v>
      </c>
      <c r="CP1564" s="0" t="s">
        <v>153</v>
      </c>
      <c r="DC1564" s="0" t="s">
        <v>153</v>
      </c>
      <c r="EA1564" s="0" t="s">
        <v>153</v>
      </c>
      <c r="EF1564" s="0" t="s">
        <v>153</v>
      </c>
    </row>
    <row r="1565" customFormat="false" ht="13.8" hidden="true" customHeight="false" outlineLevel="0" collapsed="false">
      <c r="A1565" s="0" t="s">
        <v>7138</v>
      </c>
      <c r="B1565" s="0" t="n">
        <v>78</v>
      </c>
      <c r="C1565" s="0" t="n">
        <v>337832</v>
      </c>
      <c r="D1565" s="0" t="s">
        <v>4192</v>
      </c>
      <c r="E1565" s="0" t="s">
        <v>7139</v>
      </c>
      <c r="F1565" s="0" t="str">
        <f aca="false">CONCATENATE(D1565," ",LEFT(H1565,4),"T=",AU1565,"D=",AV1565,"R=",AW1565,"M=",AX1565,"L=",AY1565,"B=",AZ1565)</f>
        <v>HARVEY T=1D=0R=0M=0L=1B=0</v>
      </c>
      <c r="G1565" s="0" t="s">
        <v>606</v>
      </c>
      <c r="I1565" s="0" t="s">
        <v>7140</v>
      </c>
      <c r="J1565" s="0" t="s">
        <v>7141</v>
      </c>
      <c r="K1565" s="0" t="s">
        <v>160</v>
      </c>
      <c r="M1565" s="0" t="s">
        <v>7137</v>
      </c>
      <c r="N1565" s="0" t="str">
        <f aca="false">RIGHT(M1565,LEN(M1565)-FIND(" ",M1565))</f>
        <v>MCKINLEY ST NE</v>
      </c>
      <c r="P1565" s="0" t="s">
        <v>145</v>
      </c>
      <c r="Q1565" s="0" t="s">
        <v>146</v>
      </c>
      <c r="R1565" s="0" t="n">
        <v>44483</v>
      </c>
      <c r="AD1565" s="0" t="s">
        <v>147</v>
      </c>
      <c r="AE1565" s="0" t="s">
        <v>148</v>
      </c>
      <c r="AF1565" s="0" t="s">
        <v>149</v>
      </c>
      <c r="AH1565" s="0" t="n">
        <v>14</v>
      </c>
      <c r="AI1565" s="0" t="n">
        <v>11</v>
      </c>
      <c r="AN1565" s="0" t="s">
        <v>145</v>
      </c>
      <c r="AO1565" s="0" t="s">
        <v>654</v>
      </c>
      <c r="AP1565" s="0" t="s">
        <v>655</v>
      </c>
      <c r="AQ1565" s="0" t="n">
        <v>9</v>
      </c>
      <c r="AR1565" s="0" t="n">
        <v>64</v>
      </c>
      <c r="AS1565" s="0" t="n">
        <v>32</v>
      </c>
      <c r="AU1565" s="0" t="n">
        <f aca="false">COUNTA($BA$1378:$EH$1378)</f>
        <v>1</v>
      </c>
      <c r="AV1565" s="0" t="n">
        <f aca="false">COUNTIF($BA$1378:$EH$1378,"D")</f>
        <v>0</v>
      </c>
      <c r="AW1565" s="0" t="n">
        <f aca="false">COUNTIF($BA$1378:$EH$1378,"R")</f>
        <v>0</v>
      </c>
      <c r="AX1565" s="0" t="n">
        <f aca="false">IF(BN1565="D",1,0)+IF(BO1565="D",1,0)+IF(BT1565="D",1,0)+IF(BU1565="D",1,0)+IF(BW1565="D",1,0)+IF(CC1565="D",1,0)+IF(CD1565="D",1,0)+IF(CE1565="D",1,0)+IF(CF1565="D",1,0)+IF(CL1565="D",1,0)+IF(CM1565="D",1,0)+IF(CQ1565="D",1,0)+IF(CR1565="D",1,0)+IF(CS1565="D",1,0)+IF(CW1565="D",1,0)+IF(CX1565="D",1,0)+IF(DD1565="D",1,0)+IF(DE1565="D",1,0)+IF(DJ1565="D",1,0)+IF(DK1565="D",1,0)+IF(DO1565="D",1,0)+IF(DP1565="D",1,0)+IF(DQ1565="D",1,0)+IF(DW1565="D",1,0)+IF(DZ1565="D",1,0)+IF(EH1565="D",1,0)</f>
        <v>0</v>
      </c>
      <c r="AY1565" s="0" t="n">
        <f aca="false">COUNTIF(DU1565:EH1565, "&lt;&gt;")</f>
        <v>1</v>
      </c>
      <c r="AZ1565" s="0" t="n">
        <f aca="false">IF(EH1565&lt;&gt;"",1,0)</f>
        <v>0</v>
      </c>
      <c r="BB1565" s="0" t="s">
        <v>152</v>
      </c>
      <c r="CP1565" s="0" t="s">
        <v>153</v>
      </c>
      <c r="CZ1565" s="0" t="s">
        <v>175</v>
      </c>
      <c r="DC1565" s="0" t="s">
        <v>153</v>
      </c>
      <c r="DI1565" s="0" t="s">
        <v>153</v>
      </c>
      <c r="EF1565" s="0" t="s">
        <v>153</v>
      </c>
    </row>
    <row r="1566" customFormat="false" ht="13.8" hidden="false" customHeight="false" outlineLevel="0" collapsed="false">
      <c r="A1566" s="0" t="s">
        <v>7142</v>
      </c>
      <c r="B1566" s="0" t="n">
        <v>78</v>
      </c>
      <c r="C1566" s="0" t="n">
        <v>229811</v>
      </c>
      <c r="D1566" s="0" t="s">
        <v>452</v>
      </c>
      <c r="E1566" s="0" t="s">
        <v>2765</v>
      </c>
      <c r="F1566" s="0" t="str">
        <f aca="false">CONCATENATE(D1566," ",LEFT(H1566,4),"T=",AU1566,"D=",AV1566,"R=",AW1566,"M=",AX1566,"L=",AY1566,"B=",AZ1566)</f>
        <v>HOWARD T=1D=0R=0M=1L=2B=0</v>
      </c>
      <c r="G1566" s="0" t="s">
        <v>195</v>
      </c>
      <c r="I1566" s="0" t="s">
        <v>7143</v>
      </c>
      <c r="J1566" s="0" t="s">
        <v>7144</v>
      </c>
      <c r="K1566" s="0" t="s">
        <v>160</v>
      </c>
      <c r="M1566" s="0" t="s">
        <v>7137</v>
      </c>
      <c r="N1566" s="0" t="str">
        <f aca="false">RIGHT(M1566,LEN(M1566)-FIND(" ",M1566))</f>
        <v>MCKINLEY ST NE</v>
      </c>
      <c r="P1566" s="0" t="s">
        <v>145</v>
      </c>
      <c r="Q1566" s="0" t="s">
        <v>146</v>
      </c>
      <c r="R1566" s="0" t="n">
        <v>44483</v>
      </c>
      <c r="AD1566" s="0" t="s">
        <v>147</v>
      </c>
      <c r="AE1566" s="0" t="s">
        <v>148</v>
      </c>
      <c r="AF1566" s="0" t="s">
        <v>149</v>
      </c>
      <c r="AH1566" s="0" t="n">
        <v>14</v>
      </c>
      <c r="AI1566" s="0" t="n">
        <v>11</v>
      </c>
      <c r="AN1566" s="0" t="s">
        <v>145</v>
      </c>
      <c r="AO1566" s="0" t="s">
        <v>654</v>
      </c>
      <c r="AP1566" s="0" t="s">
        <v>655</v>
      </c>
      <c r="AQ1566" s="0" t="n">
        <v>9</v>
      </c>
      <c r="AR1566" s="0" t="n">
        <v>64</v>
      </c>
      <c r="AS1566" s="0" t="n">
        <v>32</v>
      </c>
      <c r="AU1566" s="0" t="n">
        <f aca="false">COUNTA($BA$1393:$EH$1393)</f>
        <v>1</v>
      </c>
      <c r="AV1566" s="0" t="n">
        <f aca="false">COUNTIF($BA$1393:$EH$1393,"D")</f>
        <v>0</v>
      </c>
      <c r="AW1566" s="0" t="n">
        <f aca="false">COUNTIF($BA$1393:$EH$1393,"R")</f>
        <v>0</v>
      </c>
      <c r="AX1566" s="0" t="n">
        <f aca="false">IF(BN1566="D",1,0)+IF(BO1566="D",1,0)+IF(BT1566="D",1,0)+IF(BU1566="D",1,0)+IF(BW1566="D",1,0)+IF(CC1566="D",1,0)+IF(CD1566="D",1,0)+IF(CE1566="D",1,0)+IF(CF1566="D",1,0)+IF(CL1566="D",1,0)+IF(CM1566="D",1,0)+IF(CQ1566="D",1,0)+IF(CR1566="D",1,0)+IF(CS1566="D",1,0)+IF(CW1566="D",1,0)+IF(CX1566="D",1,0)+IF(DD1566="D",1,0)+IF(DE1566="D",1,0)+IF(DJ1566="D",1,0)+IF(DK1566="D",1,0)+IF(DO1566="D",1,0)+IF(DP1566="D",1,0)+IF(DQ1566="D",1,0)+IF(DW1566="D",1,0)+IF(DZ1566="D",1,0)+IF(EH1566="D",1,0)</f>
        <v>1</v>
      </c>
      <c r="AY1566" s="0" t="n">
        <f aca="false">COUNTIF(DU1566:EH1566, "&lt;&gt;")</f>
        <v>2</v>
      </c>
      <c r="AZ1566" s="0" t="n">
        <f aca="false">IF(EH1566&lt;&gt;"",1,0)</f>
        <v>0</v>
      </c>
      <c r="BB1566" s="0" t="s">
        <v>152</v>
      </c>
      <c r="BD1566" s="0" t="s">
        <v>153</v>
      </c>
      <c r="BF1566" s="0" t="s">
        <v>153</v>
      </c>
      <c r="BH1566" s="0" t="s">
        <v>153</v>
      </c>
      <c r="BL1566" s="0" t="s">
        <v>153</v>
      </c>
      <c r="CA1566" s="0" t="s">
        <v>153</v>
      </c>
      <c r="CK1566" s="0" t="s">
        <v>153</v>
      </c>
      <c r="CN1566" s="0" t="s">
        <v>153</v>
      </c>
      <c r="CP1566" s="0" t="s">
        <v>153</v>
      </c>
      <c r="CW1566" s="0" t="s">
        <v>175</v>
      </c>
      <c r="CY1566" s="0" t="s">
        <v>153</v>
      </c>
      <c r="DC1566" s="0" t="s">
        <v>153</v>
      </c>
      <c r="EA1566" s="0" t="s">
        <v>153</v>
      </c>
      <c r="EF1566" s="0" t="s">
        <v>153</v>
      </c>
    </row>
    <row r="1567" customFormat="false" ht="13.8" hidden="false" customHeight="false" outlineLevel="0" collapsed="false">
      <c r="A1567" s="0" t="s">
        <v>7145</v>
      </c>
      <c r="B1567" s="0" t="n">
        <v>78</v>
      </c>
      <c r="C1567" s="0" t="n">
        <v>14683</v>
      </c>
      <c r="D1567" s="0" t="s">
        <v>7146</v>
      </c>
      <c r="E1567" s="0" t="s">
        <v>331</v>
      </c>
      <c r="F1567" s="0" t="str">
        <f aca="false">CONCATENATE(D1567," ",LEFT(H1567,4),"T=",AU1567,"D=",AV1567,"R=",AW1567,"M=",AX1567,"L=",AY1567,"B=",AZ1567)</f>
        <v>PIPPENGER T=5D=0R=0M=3L=6B=0</v>
      </c>
      <c r="G1567" s="0" t="s">
        <v>987</v>
      </c>
      <c r="I1567" s="0" t="s">
        <v>7147</v>
      </c>
      <c r="J1567" s="0" t="s">
        <v>7148</v>
      </c>
      <c r="K1567" s="0" t="s">
        <v>160</v>
      </c>
      <c r="L1567" s="0" t="s">
        <v>209</v>
      </c>
      <c r="M1567" s="0" t="s">
        <v>7149</v>
      </c>
      <c r="N1567" s="0" t="str">
        <f aca="false">RIGHT(M1567,LEN(M1567)-FIND(" ",M1567))</f>
        <v>MCKINLEY ST NE</v>
      </c>
      <c r="P1567" s="0" t="s">
        <v>145</v>
      </c>
      <c r="Q1567" s="0" t="s">
        <v>146</v>
      </c>
      <c r="R1567" s="0" t="n">
        <v>44483</v>
      </c>
      <c r="S1567" s="0" t="n">
        <v>5140</v>
      </c>
      <c r="V1567" s="0" t="s">
        <v>7150</v>
      </c>
      <c r="X1567" s="0" t="s">
        <v>145</v>
      </c>
      <c r="Y1567" s="0" t="s">
        <v>146</v>
      </c>
      <c r="Z1567" s="0" t="n">
        <v>44482</v>
      </c>
      <c r="AD1567" s="0" t="s">
        <v>147</v>
      </c>
      <c r="AE1567" s="0" t="s">
        <v>148</v>
      </c>
      <c r="AF1567" s="0" t="s">
        <v>149</v>
      </c>
      <c r="AH1567" s="0" t="n">
        <v>14</v>
      </c>
      <c r="AI1567" s="0" t="n">
        <v>11</v>
      </c>
      <c r="AN1567" s="0" t="s">
        <v>145</v>
      </c>
      <c r="AO1567" s="0" t="s">
        <v>654</v>
      </c>
      <c r="AP1567" s="0" t="s">
        <v>655</v>
      </c>
      <c r="AQ1567" s="0" t="n">
        <v>9</v>
      </c>
      <c r="AR1567" s="0" t="n">
        <v>64</v>
      </c>
      <c r="AS1567" s="0" t="n">
        <v>32</v>
      </c>
      <c r="AU1567" s="0" t="n">
        <f aca="false">COUNTA($BA$1806:$EH$1806)</f>
        <v>5</v>
      </c>
      <c r="AV1567" s="0" t="n">
        <f aca="false">COUNTIF($BA$1806:$EH$1806,"D")</f>
        <v>0</v>
      </c>
      <c r="AW1567" s="0" t="n">
        <f aca="false">COUNTIF($BA$1806:$EH$1806,"R")</f>
        <v>0</v>
      </c>
      <c r="AX1567" s="0" t="n">
        <f aca="false">IF(BN1567="D",1,0)+IF(BO1567="D",1,0)+IF(BT1567="D",1,0)+IF(BU1567="D",1,0)+IF(BW1567="D",1,0)+IF(CC1567="D",1,0)+IF(CD1567="D",1,0)+IF(CE1567="D",1,0)+IF(CF1567="D",1,0)+IF(CL1567="D",1,0)+IF(CM1567="D",1,0)+IF(CQ1567="D",1,0)+IF(CR1567="D",1,0)+IF(CS1567="D",1,0)+IF(CW1567="D",1,0)+IF(CX1567="D",1,0)+IF(DD1567="D",1,0)+IF(DE1567="D",1,0)+IF(DJ1567="D",1,0)+IF(DK1567="D",1,0)+IF(DO1567="D",1,0)+IF(DP1567="D",1,0)+IF(DQ1567="D",1,0)+IF(DW1567="D",1,0)+IF(DZ1567="D",1,0)+IF(EH1567="D",1,0)</f>
        <v>3</v>
      </c>
      <c r="AY1567" s="0" t="n">
        <f aca="false">COUNTIF(DU1567:EH1567, "&lt;&gt;")</f>
        <v>6</v>
      </c>
      <c r="AZ1567" s="0" t="n">
        <f aca="false">IF(EH1567&lt;&gt;"",1,0)</f>
        <v>0</v>
      </c>
      <c r="BB1567" s="0" t="s">
        <v>152</v>
      </c>
      <c r="BC1567" s="0" t="s">
        <v>153</v>
      </c>
      <c r="BD1567" s="0" t="s">
        <v>153</v>
      </c>
      <c r="BE1567" s="0" t="s">
        <v>153</v>
      </c>
      <c r="BF1567" s="0" t="s">
        <v>153</v>
      </c>
      <c r="BG1567" s="0" t="s">
        <v>153</v>
      </c>
      <c r="BH1567" s="0" t="s">
        <v>153</v>
      </c>
      <c r="BI1567" s="0" t="s">
        <v>153</v>
      </c>
      <c r="BJ1567" s="0" t="s">
        <v>153</v>
      </c>
      <c r="BK1567" s="0" t="s">
        <v>153</v>
      </c>
      <c r="BL1567" s="0" t="s">
        <v>153</v>
      </c>
      <c r="BP1567" s="0" t="s">
        <v>153</v>
      </c>
      <c r="BR1567" s="0" t="s">
        <v>153</v>
      </c>
      <c r="BS1567" s="0" t="s">
        <v>153</v>
      </c>
      <c r="BT1567" s="0" t="s">
        <v>153</v>
      </c>
      <c r="BY1567" s="0" t="s">
        <v>209</v>
      </c>
      <c r="CA1567" s="0" t="s">
        <v>153</v>
      </c>
      <c r="CG1567" s="0" t="s">
        <v>153</v>
      </c>
      <c r="CH1567" s="0" t="s">
        <v>209</v>
      </c>
      <c r="CK1567" s="0" t="s">
        <v>153</v>
      </c>
      <c r="CN1567" s="0" t="s">
        <v>153</v>
      </c>
      <c r="CO1567" s="0" t="s">
        <v>209</v>
      </c>
      <c r="CP1567" s="0" t="s">
        <v>153</v>
      </c>
      <c r="CQ1567" s="0" t="s">
        <v>153</v>
      </c>
      <c r="CU1567" s="0" t="s">
        <v>175</v>
      </c>
      <c r="CV1567" s="0" t="s">
        <v>153</v>
      </c>
      <c r="CW1567" s="0" t="s">
        <v>175</v>
      </c>
      <c r="CY1567" s="0" t="s">
        <v>153</v>
      </c>
      <c r="CZ1567" s="0" t="s">
        <v>209</v>
      </c>
      <c r="DF1567" s="0" t="s">
        <v>153</v>
      </c>
      <c r="DG1567" s="0" t="s">
        <v>175</v>
      </c>
      <c r="DI1567" s="0" t="s">
        <v>153</v>
      </c>
      <c r="DJ1567" s="0" t="s">
        <v>175</v>
      </c>
      <c r="DN1567" s="0" t="s">
        <v>153</v>
      </c>
      <c r="DR1567" s="0" t="s">
        <v>153</v>
      </c>
      <c r="DS1567" s="0" t="s">
        <v>209</v>
      </c>
      <c r="DU1567" s="0" t="s">
        <v>153</v>
      </c>
      <c r="DW1567" s="0" t="s">
        <v>175</v>
      </c>
      <c r="DX1567" s="0" t="s">
        <v>153</v>
      </c>
      <c r="EA1567" s="0" t="s">
        <v>153</v>
      </c>
      <c r="ED1567" s="0" t="s">
        <v>209</v>
      </c>
      <c r="EF1567" s="0" t="s">
        <v>153</v>
      </c>
    </row>
    <row r="1568" customFormat="false" ht="13.8" hidden="true" customHeight="false" outlineLevel="0" collapsed="false">
      <c r="A1568" s="0" t="s">
        <v>7151</v>
      </c>
      <c r="B1568" s="0" t="n">
        <v>78</v>
      </c>
      <c r="C1568" s="0" t="n">
        <v>472443</v>
      </c>
      <c r="D1568" s="0" t="s">
        <v>7152</v>
      </c>
      <c r="E1568" s="0" t="s">
        <v>697</v>
      </c>
      <c r="F1568" s="0" t="str">
        <f aca="false">CONCATENATE(D1568," ",LEFT(H1568,4),"T=",AU1568,"D=",AV1568,"R=",AW1568,"M=",AX1568,"L=",AY1568,"B=",AZ1568)</f>
        <v>MOORHEAD T=14D=0R=1M=0L=0B=0</v>
      </c>
      <c r="G1568" s="0" t="s">
        <v>2214</v>
      </c>
      <c r="I1568" s="0" t="s">
        <v>7153</v>
      </c>
      <c r="J1568" s="0" t="s">
        <v>404</v>
      </c>
      <c r="K1568" s="0" t="s">
        <v>160</v>
      </c>
      <c r="M1568" s="0" t="s">
        <v>7154</v>
      </c>
      <c r="N1568" s="0" t="str">
        <f aca="false">RIGHT(M1568,LEN(M1568)-FIND(" ",M1568))</f>
        <v>MCKINLEY ST NE</v>
      </c>
      <c r="P1568" s="0" t="s">
        <v>145</v>
      </c>
      <c r="Q1568" s="0" t="s">
        <v>146</v>
      </c>
      <c r="R1568" s="0" t="n">
        <v>44483</v>
      </c>
      <c r="AD1568" s="0" t="s">
        <v>147</v>
      </c>
      <c r="AE1568" s="0" t="s">
        <v>148</v>
      </c>
      <c r="AF1568" s="0" t="s">
        <v>149</v>
      </c>
      <c r="AH1568" s="0" t="n">
        <v>14</v>
      </c>
      <c r="AI1568" s="0" t="n">
        <v>11</v>
      </c>
      <c r="AN1568" s="0" t="s">
        <v>145</v>
      </c>
      <c r="AO1568" s="0" t="s">
        <v>654</v>
      </c>
      <c r="AP1568" s="0" t="s">
        <v>655</v>
      </c>
      <c r="AQ1568" s="0" t="n">
        <v>9</v>
      </c>
      <c r="AR1568" s="0" t="n">
        <v>64</v>
      </c>
      <c r="AS1568" s="0" t="n">
        <v>32</v>
      </c>
      <c r="AU1568" s="0" t="n">
        <f aca="false">COUNTA($BA$1364:$EH$1364)</f>
        <v>14</v>
      </c>
      <c r="AV1568" s="0" t="n">
        <f aca="false">COUNTIF($BA$1364:$EH$1364,"D")</f>
        <v>0</v>
      </c>
      <c r="AW1568" s="0" t="n">
        <f aca="false">COUNTIF($BA$1364:$EH$1364,"R")</f>
        <v>1</v>
      </c>
      <c r="AX1568" s="0" t="n">
        <f aca="false">IF(BN1568="D",1,0)+IF(BO1568="D",1,0)+IF(BT1568="D",1,0)+IF(BU1568="D",1,0)+IF(BW1568="D",1,0)+IF(CC1568="D",1,0)+IF(CD1568="D",1,0)+IF(CE1568="D",1,0)+IF(CF1568="D",1,0)+IF(CL1568="D",1,0)+IF(CM1568="D",1,0)+IF(CQ1568="D",1,0)+IF(CR1568="D",1,0)+IF(CS1568="D",1,0)+IF(CW1568="D",1,0)+IF(CX1568="D",1,0)+IF(DD1568="D",1,0)+IF(DE1568="D",1,0)+IF(DJ1568="D",1,0)+IF(DK1568="D",1,0)+IF(DO1568="D",1,0)+IF(DP1568="D",1,0)+IF(DQ1568="D",1,0)+IF(DW1568="D",1,0)+IF(DZ1568="D",1,0)+IF(EH1568="D",1,0)</f>
        <v>0</v>
      </c>
      <c r="AY1568" s="0" t="n">
        <f aca="false">COUNTIF(DU1568:EH1568, "&lt;&gt;")</f>
        <v>0</v>
      </c>
      <c r="AZ1568" s="0" t="n">
        <f aca="false">IF(EH1568&lt;&gt;"",1,0)</f>
        <v>0</v>
      </c>
      <c r="BB1568" s="0" t="s">
        <v>152</v>
      </c>
    </row>
    <row r="1569" customFormat="false" ht="13.8" hidden="true" customHeight="false" outlineLevel="0" collapsed="false">
      <c r="A1569" s="0" t="s">
        <v>7155</v>
      </c>
      <c r="B1569" s="0" t="n">
        <v>78</v>
      </c>
      <c r="C1569" s="0" t="n">
        <v>222232</v>
      </c>
      <c r="D1569" s="0" t="s">
        <v>7156</v>
      </c>
      <c r="E1569" s="0" t="s">
        <v>1183</v>
      </c>
      <c r="F1569" s="0" t="str">
        <f aca="false">CONCATENATE(D1569," ",LEFT(H1569,4),"T=",AU1569,"D=",AV1569,"R=",AW1569,"M=",AX1569,"L=",AY1569,"B=",AZ1569)</f>
        <v>KASZOWSKI T=6D=1R=1M=0L=0B=0</v>
      </c>
      <c r="I1569" s="0" t="s">
        <v>7157</v>
      </c>
      <c r="J1569" s="0" t="s">
        <v>3452</v>
      </c>
      <c r="K1569" s="0" t="s">
        <v>143</v>
      </c>
      <c r="M1569" s="0" t="s">
        <v>7158</v>
      </c>
      <c r="N1569" s="0" t="str">
        <f aca="false">RIGHT(M1569,LEN(M1569)-FIND(" ",M1569))</f>
        <v>MCKINLEY ST NE</v>
      </c>
      <c r="P1569" s="0" t="s">
        <v>145</v>
      </c>
      <c r="Q1569" s="0" t="s">
        <v>146</v>
      </c>
      <c r="R1569" s="0" t="n">
        <v>44483</v>
      </c>
      <c r="AD1569" s="0" t="s">
        <v>147</v>
      </c>
      <c r="AE1569" s="0" t="s">
        <v>148</v>
      </c>
      <c r="AF1569" s="0" t="s">
        <v>149</v>
      </c>
      <c r="AH1569" s="0" t="n">
        <v>14</v>
      </c>
      <c r="AI1569" s="0" t="n">
        <v>11</v>
      </c>
      <c r="AN1569" s="0" t="s">
        <v>145</v>
      </c>
      <c r="AO1569" s="0" t="s">
        <v>654</v>
      </c>
      <c r="AP1569" s="0" t="s">
        <v>655</v>
      </c>
      <c r="AQ1569" s="0" t="n">
        <v>9</v>
      </c>
      <c r="AR1569" s="0" t="n">
        <v>64</v>
      </c>
      <c r="AS1569" s="0" t="n">
        <v>32</v>
      </c>
      <c r="AU1569" s="0" t="n">
        <f aca="false">COUNTA($BA$1113:$EH$1113)</f>
        <v>6</v>
      </c>
      <c r="AV1569" s="0" t="n">
        <f aca="false">COUNTIF($BA$1113:$EH$1113,"D")</f>
        <v>1</v>
      </c>
      <c r="AW1569" s="0" t="n">
        <f aca="false">COUNTIF($BA$1113:$EH$1113,"R")</f>
        <v>1</v>
      </c>
      <c r="AX1569" s="0" t="n">
        <f aca="false">IF(BN1569="D",1,0)+IF(BO1569="D",1,0)+IF(BT1569="D",1,0)+IF(BU1569="D",1,0)+IF(BW1569="D",1,0)+IF(CC1569="D",1,0)+IF(CD1569="D",1,0)+IF(CE1569="D",1,0)+IF(CF1569="D",1,0)+IF(CL1569="D",1,0)+IF(CM1569="D",1,0)+IF(CQ1569="D",1,0)+IF(CR1569="D",1,0)+IF(CS1569="D",1,0)+IF(CW1569="D",1,0)+IF(CX1569="D",1,0)+IF(DD1569="D",1,0)+IF(DE1569="D",1,0)+IF(DJ1569="D",1,0)+IF(DK1569="D",1,0)+IF(DO1569="D",1,0)+IF(DP1569="D",1,0)+IF(DQ1569="D",1,0)+IF(DW1569="D",1,0)+IF(DZ1569="D",1,0)+IF(EH1569="D",1,0)</f>
        <v>0</v>
      </c>
      <c r="AY1569" s="0" t="n">
        <f aca="false">COUNTIF(DU1569:EH1569, "&lt;&gt;")</f>
        <v>0</v>
      </c>
      <c r="AZ1569" s="0" t="n">
        <f aca="false">IF(EH1569&lt;&gt;"",1,0)</f>
        <v>0</v>
      </c>
      <c r="BB1569" s="0" t="s">
        <v>152</v>
      </c>
      <c r="BL1569" s="0" t="s">
        <v>153</v>
      </c>
      <c r="BS1569" s="0" t="s">
        <v>153</v>
      </c>
      <c r="BY1569" s="0" t="s">
        <v>175</v>
      </c>
      <c r="CA1569" s="0" t="s">
        <v>153</v>
      </c>
      <c r="CK1569" s="0" t="s">
        <v>153</v>
      </c>
    </row>
    <row r="1570" customFormat="false" ht="13.8" hidden="true" customHeight="false" outlineLevel="0" collapsed="false">
      <c r="A1570" s="0" t="s">
        <v>7159</v>
      </c>
      <c r="B1570" s="0" t="n">
        <v>78</v>
      </c>
      <c r="C1570" s="0" t="n">
        <v>166746</v>
      </c>
      <c r="D1570" s="0" t="s">
        <v>7160</v>
      </c>
      <c r="E1570" s="0" t="s">
        <v>7161</v>
      </c>
      <c r="F1570" s="0" t="str">
        <f aca="false">CONCATENATE(D1570," ",LEFT(H1570,4),"T=",AU1570,"D=",AV1570,"R=",AW1570,"M=",AX1570,"L=",AY1570,"B=",AZ1570)</f>
        <v>PICKETT T=1D=0R=0M=0L=0B=0</v>
      </c>
      <c r="I1570" s="0" t="s">
        <v>7162</v>
      </c>
      <c r="J1570" s="0" t="s">
        <v>7163</v>
      </c>
      <c r="K1570" s="0" t="s">
        <v>143</v>
      </c>
      <c r="M1570" s="0" t="s">
        <v>7164</v>
      </c>
      <c r="N1570" s="0" t="str">
        <f aca="false">RIGHT(M1570,LEN(M1570)-FIND(" ",M1570))</f>
        <v>MILTON ST SE</v>
      </c>
      <c r="P1570" s="0" t="s">
        <v>145</v>
      </c>
      <c r="Q1570" s="0" t="s">
        <v>146</v>
      </c>
      <c r="R1570" s="0" t="n">
        <v>44484</v>
      </c>
      <c r="AD1570" s="0" t="s">
        <v>147</v>
      </c>
      <c r="AE1570" s="0" t="s">
        <v>148</v>
      </c>
      <c r="AF1570" s="0" t="s">
        <v>149</v>
      </c>
      <c r="AH1570" s="0" t="n">
        <v>14</v>
      </c>
      <c r="AI1570" s="0" t="n">
        <v>11</v>
      </c>
      <c r="AN1570" s="0" t="s">
        <v>145</v>
      </c>
      <c r="AO1570" s="0" t="s">
        <v>233</v>
      </c>
      <c r="AP1570" s="0" t="s">
        <v>234</v>
      </c>
      <c r="AQ1570" s="0" t="n">
        <v>9</v>
      </c>
      <c r="AR1570" s="0" t="n">
        <v>64</v>
      </c>
      <c r="AS1570" s="0" t="n">
        <v>32</v>
      </c>
      <c r="AU1570" s="0" t="n">
        <f aca="false">COUNTA($BA$2094:$EH$2094)</f>
        <v>1</v>
      </c>
      <c r="AV1570" s="0" t="n">
        <f aca="false">COUNTIF($BA$2094:$EH$2094,"D")</f>
        <v>0</v>
      </c>
      <c r="AW1570" s="0" t="n">
        <f aca="false">COUNTIF($BA$2094:$EH$2094,"R")</f>
        <v>0</v>
      </c>
      <c r="AX1570" s="0" t="n">
        <f aca="false">IF(BN1570="D",1,0)+IF(BO1570="D",1,0)+IF(BT1570="D",1,0)+IF(BU1570="D",1,0)+IF(BW1570="D",1,0)+IF(CC1570="D",1,0)+IF(CD1570="D",1,0)+IF(CE1570="D",1,0)+IF(CF1570="D",1,0)+IF(CL1570="D",1,0)+IF(CM1570="D",1,0)+IF(CQ1570="D",1,0)+IF(CR1570="D",1,0)+IF(CS1570="D",1,0)+IF(CW1570="D",1,0)+IF(CX1570="D",1,0)+IF(DD1570="D",1,0)+IF(DE1570="D",1,0)+IF(DJ1570="D",1,0)+IF(DK1570="D",1,0)+IF(DO1570="D",1,0)+IF(DP1570="D",1,0)+IF(DQ1570="D",1,0)+IF(DW1570="D",1,0)+IF(DZ1570="D",1,0)+IF(EH1570="D",1,0)</f>
        <v>0</v>
      </c>
      <c r="AY1570" s="0" t="n">
        <f aca="false">COUNTIF(DU1570:EH1570, "&lt;&gt;")</f>
        <v>0</v>
      </c>
      <c r="AZ1570" s="0" t="n">
        <f aca="false">IF(EH1570&lt;&gt;"",1,0)</f>
        <v>0</v>
      </c>
      <c r="BB1570" s="0" t="s">
        <v>152</v>
      </c>
      <c r="BC1570" s="0" t="s">
        <v>153</v>
      </c>
      <c r="BD1570" s="0" t="s">
        <v>153</v>
      </c>
      <c r="BJ1570" s="0" t="s">
        <v>153</v>
      </c>
      <c r="BL1570" s="0" t="s">
        <v>153</v>
      </c>
      <c r="CA1570" s="0" t="s">
        <v>153</v>
      </c>
      <c r="CN1570" s="0" t="s">
        <v>153</v>
      </c>
      <c r="CP1570" s="0" t="s">
        <v>153</v>
      </c>
      <c r="DC1570" s="0" t="s">
        <v>153</v>
      </c>
      <c r="DI1570" s="0" t="s">
        <v>153</v>
      </c>
      <c r="DN1570" s="0" t="s">
        <v>153</v>
      </c>
    </row>
    <row r="1571" customFormat="false" ht="13.8" hidden="true" customHeight="false" outlineLevel="0" collapsed="false">
      <c r="A1571" s="0" t="s">
        <v>7165</v>
      </c>
      <c r="B1571" s="0" t="n">
        <v>78</v>
      </c>
      <c r="C1571" s="0" t="n">
        <v>20016</v>
      </c>
      <c r="D1571" s="0" t="s">
        <v>690</v>
      </c>
      <c r="E1571" s="0" t="s">
        <v>7166</v>
      </c>
      <c r="F1571" s="0" t="str">
        <f aca="false">CONCATENATE(D1571," ",LEFT(H1571,4),"T=",AU1571,"D=",AV1571,"R=",AW1571,"M=",AX1571,"L=",AY1571,"B=",AZ1571)</f>
        <v>SMITH JRT=1D=0R=0M=1L=1B=0</v>
      </c>
      <c r="H1571" s="0" t="s">
        <v>314</v>
      </c>
      <c r="I1571" s="0" t="s">
        <v>7167</v>
      </c>
      <c r="J1571" s="0" t="s">
        <v>7168</v>
      </c>
      <c r="K1571" s="0" t="s">
        <v>160</v>
      </c>
      <c r="M1571" s="0" t="s">
        <v>7169</v>
      </c>
      <c r="N1571" s="0" t="str">
        <f aca="false">RIGHT(M1571,LEN(M1571)-FIND(" ",M1571))</f>
        <v>MILTON ST SE</v>
      </c>
      <c r="P1571" s="0" t="s">
        <v>145</v>
      </c>
      <c r="Q1571" s="0" t="s">
        <v>146</v>
      </c>
      <c r="R1571" s="0" t="n">
        <v>44484</v>
      </c>
      <c r="AD1571" s="0" t="s">
        <v>147</v>
      </c>
      <c r="AE1571" s="0" t="s">
        <v>148</v>
      </c>
      <c r="AF1571" s="0" t="s">
        <v>149</v>
      </c>
      <c r="AH1571" s="0" t="n">
        <v>14</v>
      </c>
      <c r="AI1571" s="0" t="n">
        <v>11</v>
      </c>
      <c r="AN1571" s="0" t="s">
        <v>145</v>
      </c>
      <c r="AO1571" s="0" t="s">
        <v>233</v>
      </c>
      <c r="AP1571" s="0" t="s">
        <v>234</v>
      </c>
      <c r="AQ1571" s="0" t="n">
        <v>9</v>
      </c>
      <c r="AR1571" s="0" t="n">
        <v>64</v>
      </c>
      <c r="AS1571" s="0" t="n">
        <v>32</v>
      </c>
      <c r="AU1571" s="0" t="n">
        <f aca="false">COUNTA($BA$2216:$EH$2216)</f>
        <v>1</v>
      </c>
      <c r="AV1571" s="0" t="n">
        <f aca="false">COUNTIF($BA$2216:$EH$2216,"D")</f>
        <v>0</v>
      </c>
      <c r="AW1571" s="0" t="n">
        <f aca="false">COUNTIF($BA$2216:$EH$2216,"R")</f>
        <v>0</v>
      </c>
      <c r="AX1571" s="0" t="n">
        <f aca="false">IF(BN1571="D",1,0)+IF(BO1571="D",1,0)+IF(BT1571="D",1,0)+IF(BU1571="D",1,0)+IF(BW1571="D",1,0)+IF(CC1571="D",1,0)+IF(CD1571="D",1,0)+IF(CE1571="D",1,0)+IF(CF1571="D",1,0)+IF(CL1571="D",1,0)+IF(CM1571="D",1,0)+IF(CQ1571="D",1,0)+IF(CR1571="D",1,0)+IF(CS1571="D",1,0)+IF(CW1571="D",1,0)+IF(CX1571="D",1,0)+IF(DD1571="D",1,0)+IF(DE1571="D",1,0)+IF(DJ1571="D",1,0)+IF(DK1571="D",1,0)+IF(DO1571="D",1,0)+IF(DP1571="D",1,0)+IF(DQ1571="D",1,0)+IF(DW1571="D",1,0)+IF(DZ1571="D",1,0)+IF(EH1571="D",1,0)</f>
        <v>1</v>
      </c>
      <c r="AY1571" s="0" t="n">
        <f aca="false">COUNTIF(DU1571:EH1571, "&lt;&gt;")</f>
        <v>1</v>
      </c>
      <c r="AZ1571" s="0" t="n">
        <f aca="false">IF(EH1571&lt;&gt;"",1,0)</f>
        <v>0</v>
      </c>
      <c r="BB1571" s="0" t="s">
        <v>152</v>
      </c>
      <c r="BC1571" s="0" t="s">
        <v>153</v>
      </c>
      <c r="BD1571" s="0" t="s">
        <v>153</v>
      </c>
      <c r="BH1571" s="0" t="s">
        <v>153</v>
      </c>
      <c r="BJ1571" s="0" t="s">
        <v>153</v>
      </c>
      <c r="BK1571" s="0" t="s">
        <v>153</v>
      </c>
      <c r="BL1571" s="0" t="s">
        <v>153</v>
      </c>
      <c r="BP1571" s="0" t="s">
        <v>153</v>
      </c>
      <c r="BR1571" s="0" t="s">
        <v>153</v>
      </c>
      <c r="BS1571" s="0" t="s">
        <v>153</v>
      </c>
      <c r="BY1571" s="0" t="s">
        <v>175</v>
      </c>
      <c r="CA1571" s="0" t="s">
        <v>153</v>
      </c>
      <c r="CK1571" s="0" t="s">
        <v>153</v>
      </c>
      <c r="CL1571" s="0" t="s">
        <v>175</v>
      </c>
      <c r="CP1571" s="0" t="s">
        <v>153</v>
      </c>
      <c r="CY1571" s="0" t="s">
        <v>153</v>
      </c>
      <c r="CZ1571" s="0" t="s">
        <v>175</v>
      </c>
      <c r="DC1571" s="0" t="s">
        <v>153</v>
      </c>
      <c r="DI1571" s="0" t="s">
        <v>153</v>
      </c>
      <c r="DN1571" s="0" t="s">
        <v>153</v>
      </c>
      <c r="EF1571" s="0" t="s">
        <v>153</v>
      </c>
    </row>
    <row r="1572" customFormat="false" ht="13.8" hidden="true" customHeight="false" outlineLevel="0" collapsed="false">
      <c r="A1572" s="0" t="s">
        <v>7170</v>
      </c>
      <c r="B1572" s="0" t="n">
        <v>78</v>
      </c>
      <c r="C1572" s="0" t="n">
        <v>411947</v>
      </c>
      <c r="D1572" s="0" t="s">
        <v>1492</v>
      </c>
      <c r="E1572" s="0" t="s">
        <v>7171</v>
      </c>
      <c r="F1572" s="0" t="str">
        <f aca="false">CONCATENATE(D1572," ",LEFT(H1572,4),"T=",AU1572,"D=",AV1572,"R=",AW1572,"M=",AX1572,"L=",AY1572,"B=",AZ1572)</f>
        <v>SHINE T=1D=0R=0M=0L=0B=0</v>
      </c>
      <c r="I1572" s="0" t="s">
        <v>7172</v>
      </c>
      <c r="J1572" s="0" t="s">
        <v>7173</v>
      </c>
      <c r="K1572" s="0" t="s">
        <v>143</v>
      </c>
      <c r="M1572" s="0" t="s">
        <v>7174</v>
      </c>
      <c r="N1572" s="0" t="str">
        <f aca="false">RIGHT(M1572,LEN(M1572)-FIND(" ",M1572))</f>
        <v>MILTON ST SE</v>
      </c>
      <c r="P1572" s="0" t="s">
        <v>145</v>
      </c>
      <c r="Q1572" s="0" t="s">
        <v>146</v>
      </c>
      <c r="R1572" s="0" t="n">
        <v>44484</v>
      </c>
      <c r="AD1572" s="0" t="s">
        <v>147</v>
      </c>
      <c r="AE1572" s="0" t="s">
        <v>148</v>
      </c>
      <c r="AF1572" s="0" t="s">
        <v>149</v>
      </c>
      <c r="AH1572" s="0" t="n">
        <v>14</v>
      </c>
      <c r="AI1572" s="0" t="n">
        <v>11</v>
      </c>
      <c r="AN1572" s="0" t="s">
        <v>145</v>
      </c>
      <c r="AO1572" s="0" t="s">
        <v>233</v>
      </c>
      <c r="AP1572" s="0" t="s">
        <v>234</v>
      </c>
      <c r="AQ1572" s="0" t="n">
        <v>9</v>
      </c>
      <c r="AR1572" s="0" t="n">
        <v>64</v>
      </c>
      <c r="AS1572" s="0" t="n">
        <v>32</v>
      </c>
      <c r="AU1572" s="0" t="n">
        <f aca="false">COUNTA($BA$2638:$EH$2638)</f>
        <v>1</v>
      </c>
      <c r="AV1572" s="0" t="n">
        <f aca="false">COUNTIF($BA$2638:$EH$2638,"D")</f>
        <v>0</v>
      </c>
      <c r="AW1572" s="0" t="n">
        <f aca="false">COUNTIF($BA$2638:$EH$2638,"R")</f>
        <v>0</v>
      </c>
      <c r="AX1572" s="0" t="n">
        <f aca="false">IF(BN1572="D",1,0)+IF(BO1572="D",1,0)+IF(BT1572="D",1,0)+IF(BU1572="D",1,0)+IF(BW1572="D",1,0)+IF(CC1572="D",1,0)+IF(CD1572="D",1,0)+IF(CE1572="D",1,0)+IF(CF1572="D",1,0)+IF(CL1572="D",1,0)+IF(CM1572="D",1,0)+IF(CQ1572="D",1,0)+IF(CR1572="D",1,0)+IF(CS1572="D",1,0)+IF(CW1572="D",1,0)+IF(CX1572="D",1,0)+IF(DD1572="D",1,0)+IF(DE1572="D",1,0)+IF(DJ1572="D",1,0)+IF(DK1572="D",1,0)+IF(DO1572="D",1,0)+IF(DP1572="D",1,0)+IF(DQ1572="D",1,0)+IF(DW1572="D",1,0)+IF(DZ1572="D",1,0)+IF(EH1572="D",1,0)</f>
        <v>0</v>
      </c>
      <c r="AY1572" s="0" t="n">
        <f aca="false">COUNTIF(DU1572:EH1572, "&lt;&gt;")</f>
        <v>0</v>
      </c>
      <c r="AZ1572" s="0" t="n">
        <f aca="false">IF(EH1572&lt;&gt;"",1,0)</f>
        <v>0</v>
      </c>
      <c r="BB1572" s="0" t="s">
        <v>152</v>
      </c>
    </row>
    <row r="1573" customFormat="false" ht="13.8" hidden="true" customHeight="false" outlineLevel="0" collapsed="false">
      <c r="A1573" s="0" t="s">
        <v>7175</v>
      </c>
      <c r="B1573" s="0" t="n">
        <v>78</v>
      </c>
      <c r="C1573" s="0" t="n">
        <v>409484</v>
      </c>
      <c r="D1573" s="0" t="s">
        <v>7176</v>
      </c>
      <c r="E1573" s="0" t="s">
        <v>379</v>
      </c>
      <c r="F1573" s="0" t="str">
        <f aca="false">CONCATENATE(D1573," ",LEFT(H1573,4),"T=",AU1573,"D=",AV1573,"R=",AW1573,"M=",AX1573,"L=",AY1573,"B=",AZ1573)</f>
        <v>FAISON T=4D=0R=0M=0L=0B=0</v>
      </c>
      <c r="G1573" s="0" t="s">
        <v>171</v>
      </c>
      <c r="I1573" s="0" t="s">
        <v>7177</v>
      </c>
      <c r="J1573" s="0" t="s">
        <v>2791</v>
      </c>
      <c r="K1573" s="0" t="s">
        <v>143</v>
      </c>
      <c r="M1573" s="0" t="s">
        <v>7178</v>
      </c>
      <c r="N1573" s="0" t="str">
        <f aca="false">RIGHT(M1573,LEN(M1573)-FIND(" ",M1573))</f>
        <v>MILTON ST SE</v>
      </c>
      <c r="P1573" s="0" t="s">
        <v>145</v>
      </c>
      <c r="Q1573" s="0" t="s">
        <v>146</v>
      </c>
      <c r="R1573" s="0" t="n">
        <v>44484</v>
      </c>
      <c r="AD1573" s="0" t="s">
        <v>147</v>
      </c>
      <c r="AE1573" s="0" t="s">
        <v>148</v>
      </c>
      <c r="AF1573" s="0" t="s">
        <v>149</v>
      </c>
      <c r="AH1573" s="0" t="n">
        <v>14</v>
      </c>
      <c r="AI1573" s="0" t="n">
        <v>11</v>
      </c>
      <c r="AN1573" s="0" t="s">
        <v>145</v>
      </c>
      <c r="AO1573" s="0" t="s">
        <v>233</v>
      </c>
      <c r="AP1573" s="0" t="s">
        <v>234</v>
      </c>
      <c r="AQ1573" s="0" t="n">
        <v>9</v>
      </c>
      <c r="AR1573" s="0" t="n">
        <v>64</v>
      </c>
      <c r="AS1573" s="0" t="n">
        <v>32</v>
      </c>
      <c r="AU1573" s="0" t="n">
        <f aca="false">COUNTA($BA$2327:$EH$2327)</f>
        <v>4</v>
      </c>
      <c r="AV1573" s="0" t="n">
        <f aca="false">COUNTIF($BA$2327:$EH$2327,"D")</f>
        <v>0</v>
      </c>
      <c r="AW1573" s="0" t="n">
        <f aca="false">COUNTIF($BA$2327:$EH$2327,"R")</f>
        <v>0</v>
      </c>
      <c r="AX1573" s="0" t="n">
        <f aca="false">IF(BN1573="D",1,0)+IF(BO1573="D",1,0)+IF(BT1573="D",1,0)+IF(BU1573="D",1,0)+IF(BW1573="D",1,0)+IF(CC1573="D",1,0)+IF(CD1573="D",1,0)+IF(CE1573="D",1,0)+IF(CF1573="D",1,0)+IF(CL1573="D",1,0)+IF(CM1573="D",1,0)+IF(CQ1573="D",1,0)+IF(CR1573="D",1,0)+IF(CS1573="D",1,0)+IF(CW1573="D",1,0)+IF(CX1573="D",1,0)+IF(DD1573="D",1,0)+IF(DE1573="D",1,0)+IF(DJ1573="D",1,0)+IF(DK1573="D",1,0)+IF(DO1573="D",1,0)+IF(DP1573="D",1,0)+IF(DQ1573="D",1,0)+IF(DW1573="D",1,0)+IF(DZ1573="D",1,0)+IF(EH1573="D",1,0)</f>
        <v>0</v>
      </c>
      <c r="AY1573" s="0" t="n">
        <f aca="false">COUNTIF(DU1573:EH1573, "&lt;&gt;")</f>
        <v>0</v>
      </c>
      <c r="AZ1573" s="0" t="n">
        <f aca="false">IF(EH1573&lt;&gt;"",1,0)</f>
        <v>0</v>
      </c>
      <c r="BB1573" s="0" t="s">
        <v>152</v>
      </c>
      <c r="DC1573" s="0" t="s">
        <v>153</v>
      </c>
      <c r="DG1573" s="0" t="s">
        <v>175</v>
      </c>
    </row>
    <row r="1574" customFormat="false" ht="13.8" hidden="true" customHeight="false" outlineLevel="0" collapsed="false">
      <c r="A1574" s="0" t="s">
        <v>7179</v>
      </c>
      <c r="B1574" s="0" t="n">
        <v>78</v>
      </c>
      <c r="C1574" s="0" t="n">
        <v>322194</v>
      </c>
      <c r="D1574" s="0" t="s">
        <v>7176</v>
      </c>
      <c r="E1574" s="0" t="s">
        <v>7180</v>
      </c>
      <c r="F1574" s="0" t="str">
        <f aca="false">CONCATENATE(D1574," ",LEFT(H1574,4),"T=",AU1574,"D=",AV1574,"R=",AW1574,"M=",AX1574,"L=",AY1574,"B=",AZ1574)</f>
        <v>FAISON T=36D=10R=0M=0L=0B=0</v>
      </c>
      <c r="G1574" s="0" t="s">
        <v>522</v>
      </c>
      <c r="I1574" s="0" t="s">
        <v>7181</v>
      </c>
      <c r="J1574" s="0" t="s">
        <v>7182</v>
      </c>
      <c r="K1574" s="0" t="s">
        <v>143</v>
      </c>
      <c r="M1574" s="0" t="s">
        <v>7178</v>
      </c>
      <c r="N1574" s="0" t="str">
        <f aca="false">RIGHT(M1574,LEN(M1574)-FIND(" ",M1574))</f>
        <v>MILTON ST SE</v>
      </c>
      <c r="P1574" s="0" t="s">
        <v>145</v>
      </c>
      <c r="Q1574" s="0" t="s">
        <v>146</v>
      </c>
      <c r="R1574" s="0" t="n">
        <v>44484</v>
      </c>
      <c r="AD1574" s="0" t="s">
        <v>147</v>
      </c>
      <c r="AE1574" s="0" t="s">
        <v>148</v>
      </c>
      <c r="AF1574" s="0" t="s">
        <v>149</v>
      </c>
      <c r="AH1574" s="0" t="n">
        <v>14</v>
      </c>
      <c r="AI1574" s="0" t="n">
        <v>11</v>
      </c>
      <c r="AN1574" s="0" t="s">
        <v>145</v>
      </c>
      <c r="AO1574" s="0" t="s">
        <v>233</v>
      </c>
      <c r="AP1574" s="0" t="s">
        <v>234</v>
      </c>
      <c r="AQ1574" s="0" t="n">
        <v>9</v>
      </c>
      <c r="AR1574" s="0" t="n">
        <v>64</v>
      </c>
      <c r="AS1574" s="0" t="n">
        <v>32</v>
      </c>
      <c r="AU1574" s="0" t="n">
        <f aca="false">COUNTA($BA$2465:$EH$2465)</f>
        <v>36</v>
      </c>
      <c r="AV1574" s="0" t="n">
        <f aca="false">COUNTIF($BA$2465:$EH$2465,"D")</f>
        <v>10</v>
      </c>
      <c r="AW1574" s="0" t="n">
        <f aca="false">COUNTIF($BA$2465:$EH$2465,"R")</f>
        <v>0</v>
      </c>
      <c r="AX1574" s="0" t="n">
        <f aca="false">IF(BN1574="D",1,0)+IF(BO1574="D",1,0)+IF(BT1574="D",1,0)+IF(BU1574="D",1,0)+IF(BW1574="D",1,0)+IF(CC1574="D",1,0)+IF(CD1574="D",1,0)+IF(CE1574="D",1,0)+IF(CF1574="D",1,0)+IF(CL1574="D",1,0)+IF(CM1574="D",1,0)+IF(CQ1574="D",1,0)+IF(CR1574="D",1,0)+IF(CS1574="D",1,0)+IF(CW1574="D",1,0)+IF(CX1574="D",1,0)+IF(DD1574="D",1,0)+IF(DE1574="D",1,0)+IF(DJ1574="D",1,0)+IF(DK1574="D",1,0)+IF(DO1574="D",1,0)+IF(DP1574="D",1,0)+IF(DQ1574="D",1,0)+IF(DW1574="D",1,0)+IF(DZ1574="D",1,0)+IF(EH1574="D",1,0)</f>
        <v>0</v>
      </c>
      <c r="AY1574" s="0" t="n">
        <f aca="false">COUNTIF(DU1574:EH1574, "&lt;&gt;")</f>
        <v>0</v>
      </c>
      <c r="AZ1574" s="0" t="n">
        <f aca="false">IF(EH1574&lt;&gt;"",1,0)</f>
        <v>0</v>
      </c>
      <c r="BB1574" s="0" t="s">
        <v>152</v>
      </c>
      <c r="DC1574" s="0" t="s">
        <v>153</v>
      </c>
    </row>
    <row r="1575" customFormat="false" ht="13.8" hidden="false" customHeight="false" outlineLevel="0" collapsed="false">
      <c r="A1575" s="0" t="s">
        <v>7183</v>
      </c>
      <c r="B1575" s="0" t="n">
        <v>78</v>
      </c>
      <c r="C1575" s="0" t="n">
        <v>252392</v>
      </c>
      <c r="D1575" s="0" t="s">
        <v>5223</v>
      </c>
      <c r="E1575" s="0" t="s">
        <v>7184</v>
      </c>
      <c r="F1575" s="0" t="str">
        <f aca="false">CONCATENATE(D1575," ",LEFT(H1575,4),"T=",AU1575,"D=",AV1575,"R=",AW1575,"M=",AX1575,"L=",AY1575,"B=",AZ1575)</f>
        <v>BAKER T=4D=0R=0M=4L=4B=1</v>
      </c>
      <c r="I1575" s="0" t="s">
        <v>7185</v>
      </c>
      <c r="J1575" s="0" t="s">
        <v>7186</v>
      </c>
      <c r="K1575" s="0" t="s">
        <v>160</v>
      </c>
      <c r="L1575" s="0" t="s">
        <v>175</v>
      </c>
      <c r="M1575" s="0" t="s">
        <v>7187</v>
      </c>
      <c r="N1575" s="0" t="str">
        <f aca="false">RIGHT(M1575,LEN(M1575)-FIND(" ",M1575))</f>
        <v>MILTON ST SE</v>
      </c>
      <c r="P1575" s="0" t="s">
        <v>145</v>
      </c>
      <c r="Q1575" s="0" t="s">
        <v>146</v>
      </c>
      <c r="R1575" s="0" t="n">
        <v>44484</v>
      </c>
      <c r="AD1575" s="0" t="s">
        <v>147</v>
      </c>
      <c r="AE1575" s="0" t="s">
        <v>148</v>
      </c>
      <c r="AF1575" s="0" t="s">
        <v>149</v>
      </c>
      <c r="AH1575" s="0" t="n">
        <v>14</v>
      </c>
      <c r="AI1575" s="0" t="n">
        <v>11</v>
      </c>
      <c r="AN1575" s="0" t="s">
        <v>145</v>
      </c>
      <c r="AO1575" s="0" t="s">
        <v>233</v>
      </c>
      <c r="AP1575" s="0" t="s">
        <v>234</v>
      </c>
      <c r="AQ1575" s="0" t="n">
        <v>9</v>
      </c>
      <c r="AR1575" s="0" t="n">
        <v>64</v>
      </c>
      <c r="AS1575" s="0" t="n">
        <v>32</v>
      </c>
      <c r="AU1575" s="0" t="n">
        <f aca="false">COUNTA($BA$2473:$EH$2473)</f>
        <v>4</v>
      </c>
      <c r="AV1575" s="0" t="n">
        <f aca="false">COUNTIF($BA$2473:$EH$2473,"D")</f>
        <v>0</v>
      </c>
      <c r="AW1575" s="0" t="n">
        <f aca="false">COUNTIF($BA$2473:$EH$2473,"R")</f>
        <v>0</v>
      </c>
      <c r="AX1575" s="0" t="n">
        <f aca="false">IF(BN1575="D",1,0)+IF(BO1575="D",1,0)+IF(BT1575="D",1,0)+IF(BU1575="D",1,0)+IF(BW1575="D",1,0)+IF(CC1575="D",1,0)+IF(CD1575="D",1,0)+IF(CE1575="D",1,0)+IF(CF1575="D",1,0)+IF(CL1575="D",1,0)+IF(CM1575="D",1,0)+IF(CQ1575="D",1,0)+IF(CR1575="D",1,0)+IF(CS1575="D",1,0)+IF(CW1575="D",1,0)+IF(CX1575="D",1,0)+IF(DD1575="D",1,0)+IF(DE1575="D",1,0)+IF(DJ1575="D",1,0)+IF(DK1575="D",1,0)+IF(DO1575="D",1,0)+IF(DP1575="D",1,0)+IF(DQ1575="D",1,0)+IF(DW1575="D",1,0)+IF(DZ1575="D",1,0)+IF(EH1575="D",1,0)</f>
        <v>4</v>
      </c>
      <c r="AY1575" s="0" t="n">
        <f aca="false">COUNTIF(DU1575:EH1575, "&lt;&gt;")</f>
        <v>4</v>
      </c>
      <c r="AZ1575" s="0" t="n">
        <f aca="false">IF(EH1575&lt;&gt;"",1,0)</f>
        <v>1</v>
      </c>
      <c r="BB1575" s="0" t="s">
        <v>152</v>
      </c>
      <c r="BC1575" s="0" t="s">
        <v>153</v>
      </c>
      <c r="BD1575" s="0" t="s">
        <v>153</v>
      </c>
      <c r="BE1575" s="0" t="s">
        <v>153</v>
      </c>
      <c r="BF1575" s="0" t="s">
        <v>153</v>
      </c>
      <c r="BH1575" s="0" t="s">
        <v>153</v>
      </c>
      <c r="BI1575" s="0" t="s">
        <v>153</v>
      </c>
      <c r="BJ1575" s="0" t="s">
        <v>153</v>
      </c>
      <c r="BK1575" s="0" t="s">
        <v>153</v>
      </c>
      <c r="BL1575" s="0" t="s">
        <v>153</v>
      </c>
      <c r="BP1575" s="0" t="s">
        <v>153</v>
      </c>
      <c r="BS1575" s="0" t="s">
        <v>153</v>
      </c>
      <c r="BY1575" s="0" t="s">
        <v>175</v>
      </c>
      <c r="CA1575" s="0" t="s">
        <v>153</v>
      </c>
      <c r="CG1575" s="0" t="s">
        <v>153</v>
      </c>
      <c r="CH1575" s="0" t="s">
        <v>175</v>
      </c>
      <c r="CK1575" s="0" t="s">
        <v>153</v>
      </c>
      <c r="CL1575" s="0" t="s">
        <v>175</v>
      </c>
      <c r="CN1575" s="0" t="s">
        <v>153</v>
      </c>
      <c r="CP1575" s="0" t="s">
        <v>153</v>
      </c>
      <c r="CV1575" s="0" t="s">
        <v>153</v>
      </c>
      <c r="CY1575" s="0" t="s">
        <v>153</v>
      </c>
      <c r="CZ1575" s="0" t="s">
        <v>175</v>
      </c>
      <c r="DC1575" s="0" t="s">
        <v>153</v>
      </c>
      <c r="DI1575" s="0" t="s">
        <v>153</v>
      </c>
      <c r="DJ1575" s="0" t="s">
        <v>175</v>
      </c>
      <c r="DL1575" s="0" t="s">
        <v>153</v>
      </c>
      <c r="DT1575" s="0" t="s">
        <v>175</v>
      </c>
      <c r="DW1575" s="0" t="s">
        <v>175</v>
      </c>
      <c r="EA1575" s="0" t="s">
        <v>153</v>
      </c>
      <c r="EF1575" s="0" t="s">
        <v>153</v>
      </c>
      <c r="EH1575" s="0" t="s">
        <v>175</v>
      </c>
    </row>
    <row r="1576" customFormat="false" ht="13.8" hidden="true" customHeight="false" outlineLevel="0" collapsed="false">
      <c r="A1576" s="0" t="s">
        <v>7188</v>
      </c>
      <c r="B1576" s="0" t="n">
        <v>78</v>
      </c>
      <c r="C1576" s="0" t="n">
        <v>377483</v>
      </c>
      <c r="D1576" s="0" t="s">
        <v>761</v>
      </c>
      <c r="E1576" s="0" t="s">
        <v>3490</v>
      </c>
      <c r="F1576" s="0" t="str">
        <f aca="false">CONCATENATE(D1576," ",LEFT(H1576,4),"T=",AU1576,"D=",AV1576,"R=",AW1576,"M=",AX1576,"L=",AY1576,"B=",AZ1576)</f>
        <v>BROWN T=1D=0R=0M=1L=0B=0</v>
      </c>
      <c r="G1576" s="0" t="s">
        <v>7189</v>
      </c>
      <c r="I1576" s="0" t="s">
        <v>7190</v>
      </c>
      <c r="J1576" s="0" t="s">
        <v>7191</v>
      </c>
      <c r="K1576" s="0" t="s">
        <v>143</v>
      </c>
      <c r="M1576" s="0" t="s">
        <v>7192</v>
      </c>
      <c r="N1576" s="0" t="str">
        <f aca="false">RIGHT(M1576,LEN(M1576)-FIND(" ",M1576))</f>
        <v>MILTON ST SE</v>
      </c>
      <c r="P1576" s="0" t="s">
        <v>145</v>
      </c>
      <c r="Q1576" s="0" t="s">
        <v>146</v>
      </c>
      <c r="R1576" s="0" t="n">
        <v>44484</v>
      </c>
      <c r="AD1576" s="0" t="s">
        <v>147</v>
      </c>
      <c r="AE1576" s="0" t="s">
        <v>148</v>
      </c>
      <c r="AF1576" s="0" t="s">
        <v>149</v>
      </c>
      <c r="AH1576" s="0" t="n">
        <v>14</v>
      </c>
      <c r="AI1576" s="0" t="n">
        <v>11</v>
      </c>
      <c r="AN1576" s="0" t="s">
        <v>145</v>
      </c>
      <c r="AO1576" s="0" t="s">
        <v>233</v>
      </c>
      <c r="AP1576" s="0" t="s">
        <v>234</v>
      </c>
      <c r="AQ1576" s="0" t="n">
        <v>9</v>
      </c>
      <c r="AR1576" s="0" t="n">
        <v>64</v>
      </c>
      <c r="AS1576" s="0" t="n">
        <v>32</v>
      </c>
      <c r="AU1576" s="0" t="n">
        <f aca="false">COUNTA($BA$2090:$EH$2090)</f>
        <v>1</v>
      </c>
      <c r="AV1576" s="0" t="n">
        <f aca="false">COUNTIF($BA$2090:$EH$2090,"D")</f>
        <v>0</v>
      </c>
      <c r="AW1576" s="0" t="n">
        <f aca="false">COUNTIF($BA$2090:$EH$2090,"R")</f>
        <v>0</v>
      </c>
      <c r="AX1576" s="0" t="n">
        <f aca="false">IF(BN1576="D",1,0)+IF(BO1576="D",1,0)+IF(BT1576="D",1,0)+IF(BU1576="D",1,0)+IF(BW1576="D",1,0)+IF(CC1576="D",1,0)+IF(CD1576="D",1,0)+IF(CE1576="D",1,0)+IF(CF1576="D",1,0)+IF(CL1576="D",1,0)+IF(CM1576="D",1,0)+IF(CQ1576="D",1,0)+IF(CR1576="D",1,0)+IF(CS1576="D",1,0)+IF(CW1576="D",1,0)+IF(CX1576="D",1,0)+IF(DD1576="D",1,0)+IF(DE1576="D",1,0)+IF(DJ1576="D",1,0)+IF(DK1576="D",1,0)+IF(DO1576="D",1,0)+IF(DP1576="D",1,0)+IF(DQ1576="D",1,0)+IF(DW1576="D",1,0)+IF(DZ1576="D",1,0)+IF(EH1576="D",1,0)</f>
        <v>1</v>
      </c>
      <c r="AY1576" s="0" t="n">
        <f aca="false">COUNTIF(DU1576:EH1576, "&lt;&gt;")</f>
        <v>0</v>
      </c>
      <c r="AZ1576" s="0" t="n">
        <f aca="false">IF(EH1576&lt;&gt;"",1,0)</f>
        <v>0</v>
      </c>
      <c r="BB1576" s="0" t="s">
        <v>152</v>
      </c>
      <c r="CK1576" s="0" t="s">
        <v>153</v>
      </c>
      <c r="CN1576" s="0" t="s">
        <v>153</v>
      </c>
      <c r="CP1576" s="0" t="s">
        <v>153</v>
      </c>
      <c r="CQ1576" s="0" t="s">
        <v>175</v>
      </c>
      <c r="CY1576" s="0" t="s">
        <v>153</v>
      </c>
      <c r="CZ1576" s="0" t="s">
        <v>175</v>
      </c>
      <c r="DI1576" s="0" t="s">
        <v>153</v>
      </c>
      <c r="DN1576" s="0" t="s">
        <v>153</v>
      </c>
    </row>
    <row r="1577" customFormat="false" ht="13.8" hidden="true" customHeight="false" outlineLevel="0" collapsed="false">
      <c r="A1577" s="0" t="s">
        <v>7193</v>
      </c>
      <c r="B1577" s="0" t="n">
        <v>78</v>
      </c>
      <c r="C1577" s="0" t="n">
        <v>487575</v>
      </c>
      <c r="D1577" s="0" t="s">
        <v>5560</v>
      </c>
      <c r="E1577" s="0" t="s">
        <v>292</v>
      </c>
      <c r="F1577" s="0" t="str">
        <f aca="false">CONCATENATE(D1577," ",LEFT(H1577,4),"T=",AU1577,"D=",AV1577,"R=",AW1577,"M=",AX1577,"L=",AY1577,"B=",AZ1577)</f>
        <v>FOSTER T=1D=0R=0M=0L=0B=0</v>
      </c>
      <c r="G1577" s="0" t="s">
        <v>190</v>
      </c>
      <c r="I1577" s="0" t="s">
        <v>7194</v>
      </c>
      <c r="J1577" s="0" t="s">
        <v>1253</v>
      </c>
      <c r="K1577" s="0" t="s">
        <v>160</v>
      </c>
      <c r="M1577" s="0" t="s">
        <v>7192</v>
      </c>
      <c r="N1577" s="0" t="str">
        <f aca="false">RIGHT(M1577,LEN(M1577)-FIND(" ",M1577))</f>
        <v>MILTON ST SE</v>
      </c>
      <c r="P1577" s="0" t="s">
        <v>145</v>
      </c>
      <c r="Q1577" s="0" t="s">
        <v>146</v>
      </c>
      <c r="R1577" s="0" t="n">
        <v>44484</v>
      </c>
      <c r="AD1577" s="0" t="s">
        <v>147</v>
      </c>
      <c r="AE1577" s="0" t="s">
        <v>148</v>
      </c>
      <c r="AF1577" s="0" t="s">
        <v>149</v>
      </c>
      <c r="AH1577" s="0" t="n">
        <v>14</v>
      </c>
      <c r="AI1577" s="0" t="n">
        <v>11</v>
      </c>
      <c r="AN1577" s="0" t="s">
        <v>145</v>
      </c>
      <c r="AO1577" s="0" t="s">
        <v>233</v>
      </c>
      <c r="AP1577" s="0" t="s">
        <v>234</v>
      </c>
      <c r="AQ1577" s="0" t="n">
        <v>9</v>
      </c>
      <c r="AR1577" s="0" t="n">
        <v>64</v>
      </c>
      <c r="AS1577" s="0" t="n">
        <v>32</v>
      </c>
      <c r="AU1577" s="0" t="n">
        <f aca="false">COUNTA($BA$2361:$EH$2361)</f>
        <v>1</v>
      </c>
      <c r="AV1577" s="0" t="n">
        <f aca="false">COUNTIF($BA$2361:$EH$2361,"D")</f>
        <v>0</v>
      </c>
      <c r="AW1577" s="0" t="n">
        <f aca="false">COUNTIF($BA$2361:$EH$2361,"R")</f>
        <v>0</v>
      </c>
      <c r="AX1577" s="0" t="n">
        <f aca="false">IF(BN1577="D",1,0)+IF(BO1577="D",1,0)+IF(BT1577="D",1,0)+IF(BU1577="D",1,0)+IF(BW1577="D",1,0)+IF(CC1577="D",1,0)+IF(CD1577="D",1,0)+IF(CE1577="D",1,0)+IF(CF1577="D",1,0)+IF(CL1577="D",1,0)+IF(CM1577="D",1,0)+IF(CQ1577="D",1,0)+IF(CR1577="D",1,0)+IF(CS1577="D",1,0)+IF(CW1577="D",1,0)+IF(CX1577="D",1,0)+IF(DD1577="D",1,0)+IF(DE1577="D",1,0)+IF(DJ1577="D",1,0)+IF(DK1577="D",1,0)+IF(DO1577="D",1,0)+IF(DP1577="D",1,0)+IF(DQ1577="D",1,0)+IF(DW1577="D",1,0)+IF(DZ1577="D",1,0)+IF(EH1577="D",1,0)</f>
        <v>0</v>
      </c>
      <c r="AY1577" s="0" t="n">
        <f aca="false">COUNTIF(DU1577:EH1577, "&lt;&gt;")</f>
        <v>0</v>
      </c>
      <c r="AZ1577" s="0" t="n">
        <f aca="false">IF(EH1577&lt;&gt;"",1,0)</f>
        <v>0</v>
      </c>
      <c r="BB1577" s="0" t="s">
        <v>152</v>
      </c>
    </row>
    <row r="1578" customFormat="false" ht="13.8" hidden="true" customHeight="false" outlineLevel="0" collapsed="false">
      <c r="A1578" s="0" t="s">
        <v>7195</v>
      </c>
      <c r="B1578" s="0" t="n">
        <v>78</v>
      </c>
      <c r="C1578" s="0" t="n">
        <v>395045</v>
      </c>
      <c r="D1578" s="0" t="s">
        <v>5560</v>
      </c>
      <c r="E1578" s="0" t="s">
        <v>1571</v>
      </c>
      <c r="F1578" s="0" t="str">
        <f aca="false">CONCATENATE(D1578," ",LEFT(H1578,4),"T=",AU1578,"D=",AV1578,"R=",AW1578,"M=",AX1578,"L=",AY1578,"B=",AZ1578)</f>
        <v>FOSTER T=4D=0R=0M=0L=0B=0</v>
      </c>
      <c r="G1578" s="0" t="s">
        <v>190</v>
      </c>
      <c r="I1578" s="0" t="s">
        <v>7196</v>
      </c>
      <c r="J1578" s="0" t="s">
        <v>7197</v>
      </c>
      <c r="K1578" s="0" t="s">
        <v>143</v>
      </c>
      <c r="M1578" s="0" t="s">
        <v>7192</v>
      </c>
      <c r="N1578" s="0" t="str">
        <f aca="false">RIGHT(M1578,LEN(M1578)-FIND(" ",M1578))</f>
        <v>MILTON ST SE</v>
      </c>
      <c r="P1578" s="0" t="s">
        <v>145</v>
      </c>
      <c r="Q1578" s="0" t="s">
        <v>146</v>
      </c>
      <c r="R1578" s="0" t="n">
        <v>44484</v>
      </c>
      <c r="AD1578" s="0" t="s">
        <v>147</v>
      </c>
      <c r="AE1578" s="0" t="s">
        <v>148</v>
      </c>
      <c r="AF1578" s="0" t="s">
        <v>149</v>
      </c>
      <c r="AH1578" s="0" t="n">
        <v>14</v>
      </c>
      <c r="AI1578" s="0" t="n">
        <v>11</v>
      </c>
      <c r="AN1578" s="0" t="s">
        <v>145</v>
      </c>
      <c r="AO1578" s="0" t="s">
        <v>233</v>
      </c>
      <c r="AP1578" s="0" t="s">
        <v>234</v>
      </c>
      <c r="AQ1578" s="0" t="n">
        <v>9</v>
      </c>
      <c r="AR1578" s="0" t="n">
        <v>64</v>
      </c>
      <c r="AS1578" s="0" t="n">
        <v>32</v>
      </c>
      <c r="AU1578" s="0" t="n">
        <f aca="false">COUNTA($BA$2594:$EH$2594)</f>
        <v>4</v>
      </c>
      <c r="AV1578" s="0" t="n">
        <f aca="false">COUNTIF($BA$2594:$EH$2594,"D")</f>
        <v>0</v>
      </c>
      <c r="AW1578" s="0" t="n">
        <f aca="false">COUNTIF($BA$2594:$EH$2594,"R")</f>
        <v>0</v>
      </c>
      <c r="AX1578" s="0" t="n">
        <f aca="false">IF(BN1578="D",1,0)+IF(BO1578="D",1,0)+IF(BT1578="D",1,0)+IF(BU1578="D",1,0)+IF(BW1578="D",1,0)+IF(CC1578="D",1,0)+IF(CD1578="D",1,0)+IF(CE1578="D",1,0)+IF(CF1578="D",1,0)+IF(CL1578="D",1,0)+IF(CM1578="D",1,0)+IF(CQ1578="D",1,0)+IF(CR1578="D",1,0)+IF(CS1578="D",1,0)+IF(CW1578="D",1,0)+IF(CX1578="D",1,0)+IF(DD1578="D",1,0)+IF(DE1578="D",1,0)+IF(DJ1578="D",1,0)+IF(DK1578="D",1,0)+IF(DO1578="D",1,0)+IF(DP1578="D",1,0)+IF(DQ1578="D",1,0)+IF(DW1578="D",1,0)+IF(DZ1578="D",1,0)+IF(EH1578="D",1,0)</f>
        <v>0</v>
      </c>
      <c r="AY1578" s="0" t="n">
        <f aca="false">COUNTIF(DU1578:EH1578, "&lt;&gt;")</f>
        <v>0</v>
      </c>
      <c r="AZ1578" s="0" t="n">
        <f aca="false">IF(EH1578&lt;&gt;"",1,0)</f>
        <v>0</v>
      </c>
      <c r="BB1578" s="0" t="s">
        <v>152</v>
      </c>
    </row>
    <row r="1579" customFormat="false" ht="13.8" hidden="false" customHeight="false" outlineLevel="0" collapsed="false">
      <c r="A1579" s="0" t="s">
        <v>7198</v>
      </c>
      <c r="B1579" s="0" t="n">
        <v>78</v>
      </c>
      <c r="C1579" s="0" t="n">
        <v>216663</v>
      </c>
      <c r="D1579" s="0" t="s">
        <v>7199</v>
      </c>
      <c r="E1579" s="0" t="s">
        <v>7200</v>
      </c>
      <c r="F1579" s="0" t="str">
        <f aca="false">CONCATENATE(D1579," ",LEFT(H1579,4),"T=",AU1579,"D=",AV1579,"R=",AW1579,"M=",AX1579,"L=",AY1579,"B=",AZ1579)</f>
        <v>TABOR T=13D=4R=1M=2L=3B=0</v>
      </c>
      <c r="G1579" s="0" t="s">
        <v>175</v>
      </c>
      <c r="I1579" s="0" t="s">
        <v>7201</v>
      </c>
      <c r="J1579" s="0" t="s">
        <v>7202</v>
      </c>
      <c r="K1579" s="0" t="s">
        <v>160</v>
      </c>
      <c r="M1579" s="0" t="s">
        <v>7203</v>
      </c>
      <c r="N1579" s="0" t="str">
        <f aca="false">RIGHT(M1579,LEN(M1579)-FIND(" ",M1579))</f>
        <v>MILTON ST SE</v>
      </c>
      <c r="P1579" s="0" t="s">
        <v>145</v>
      </c>
      <c r="Q1579" s="0" t="s">
        <v>146</v>
      </c>
      <c r="R1579" s="0" t="n">
        <v>44484</v>
      </c>
      <c r="AD1579" s="0" t="s">
        <v>147</v>
      </c>
      <c r="AE1579" s="0" t="s">
        <v>148</v>
      </c>
      <c r="AF1579" s="0" t="s">
        <v>149</v>
      </c>
      <c r="AH1579" s="0" t="n">
        <v>14</v>
      </c>
      <c r="AI1579" s="0" t="n">
        <v>11</v>
      </c>
      <c r="AN1579" s="0" t="s">
        <v>145</v>
      </c>
      <c r="AO1579" s="0" t="s">
        <v>233</v>
      </c>
      <c r="AP1579" s="0" t="s">
        <v>234</v>
      </c>
      <c r="AQ1579" s="0" t="n">
        <v>9</v>
      </c>
      <c r="AR1579" s="0" t="n">
        <v>64</v>
      </c>
      <c r="AS1579" s="0" t="n">
        <v>32</v>
      </c>
      <c r="AU1579" s="0" t="n">
        <f aca="false">COUNTA($BA$2289:$EH$2289)</f>
        <v>13</v>
      </c>
      <c r="AV1579" s="0" t="n">
        <f aca="false">COUNTIF($BA$2289:$EH$2289,"D")</f>
        <v>4</v>
      </c>
      <c r="AW1579" s="0" t="n">
        <f aca="false">COUNTIF($BA$2289:$EH$2289,"R")</f>
        <v>1</v>
      </c>
      <c r="AX1579" s="0" t="n">
        <f aca="false">IF(BN1579="D",1,0)+IF(BO1579="D",1,0)+IF(BT1579="D",1,0)+IF(BU1579="D",1,0)+IF(BW1579="D",1,0)+IF(CC1579="D",1,0)+IF(CD1579="D",1,0)+IF(CE1579="D",1,0)+IF(CF1579="D",1,0)+IF(CL1579="D",1,0)+IF(CM1579="D",1,0)+IF(CQ1579="D",1,0)+IF(CR1579="D",1,0)+IF(CS1579="D",1,0)+IF(CW1579="D",1,0)+IF(CX1579="D",1,0)+IF(DD1579="D",1,0)+IF(DE1579="D",1,0)+IF(DJ1579="D",1,0)+IF(DK1579="D",1,0)+IF(DO1579="D",1,0)+IF(DP1579="D",1,0)+IF(DQ1579="D",1,0)+IF(DW1579="D",1,0)+IF(DZ1579="D",1,0)+IF(EH1579="D",1,0)</f>
        <v>2</v>
      </c>
      <c r="AY1579" s="0" t="n">
        <f aca="false">COUNTIF(DU1579:EH1579, "&lt;&gt;")</f>
        <v>3</v>
      </c>
      <c r="AZ1579" s="0" t="n">
        <f aca="false">IF(EH1579&lt;&gt;"",1,0)</f>
        <v>0</v>
      </c>
      <c r="BB1579" s="0" t="s">
        <v>152</v>
      </c>
      <c r="BC1579" s="0" t="s">
        <v>153</v>
      </c>
      <c r="BD1579" s="0" t="s">
        <v>153</v>
      </c>
      <c r="BF1579" s="0" t="s">
        <v>153</v>
      </c>
      <c r="BH1579" s="0" t="s">
        <v>153</v>
      </c>
      <c r="BJ1579" s="0" t="s">
        <v>153</v>
      </c>
      <c r="BL1579" s="0" t="s">
        <v>153</v>
      </c>
      <c r="BS1579" s="0" t="s">
        <v>153</v>
      </c>
      <c r="BV1579" s="0" t="s">
        <v>153</v>
      </c>
      <c r="BY1579" s="0" t="s">
        <v>175</v>
      </c>
      <c r="CA1579" s="0" t="s">
        <v>153</v>
      </c>
      <c r="CG1579" s="0" t="s">
        <v>153</v>
      </c>
      <c r="CH1579" s="0" t="s">
        <v>175</v>
      </c>
      <c r="CK1579" s="0" t="s">
        <v>153</v>
      </c>
      <c r="CL1579" s="0" t="s">
        <v>175</v>
      </c>
      <c r="CN1579" s="0" t="s">
        <v>153</v>
      </c>
      <c r="CP1579" s="0" t="s">
        <v>153</v>
      </c>
      <c r="CV1579" s="0" t="s">
        <v>153</v>
      </c>
      <c r="CW1579" s="0" t="s">
        <v>175</v>
      </c>
      <c r="CY1579" s="0" t="s">
        <v>153</v>
      </c>
      <c r="DC1579" s="0" t="s">
        <v>153</v>
      </c>
      <c r="DI1579" s="0" t="s">
        <v>153</v>
      </c>
      <c r="DL1579" s="0" t="s">
        <v>153</v>
      </c>
      <c r="DN1579" s="0" t="s">
        <v>153</v>
      </c>
      <c r="DU1579" s="0" t="s">
        <v>153</v>
      </c>
      <c r="EA1579" s="0" t="s">
        <v>153</v>
      </c>
      <c r="EF1579" s="0" t="s">
        <v>153</v>
      </c>
    </row>
    <row r="1580" customFormat="false" ht="13.8" hidden="true" customHeight="false" outlineLevel="0" collapsed="false">
      <c r="A1580" s="0" t="s">
        <v>7204</v>
      </c>
      <c r="B1580" s="0" t="n">
        <v>78</v>
      </c>
      <c r="C1580" s="0" t="n">
        <v>494456</v>
      </c>
      <c r="D1580" s="0" t="s">
        <v>1661</v>
      </c>
      <c r="E1580" s="0" t="s">
        <v>7205</v>
      </c>
      <c r="F1580" s="0" t="str">
        <f aca="false">CONCATENATE(D1580," ",LEFT(H1580,4),"T=",AU1580,"D=",AV1580,"R=",AW1580,"M=",AX1580,"L=",AY1580,"B=",AZ1580)</f>
        <v>JACKSON T=2D=0R=0M=0L=0B=0</v>
      </c>
      <c r="G1580" s="0" t="s">
        <v>1942</v>
      </c>
      <c r="I1580" s="0" t="s">
        <v>7206</v>
      </c>
      <c r="J1580" s="0" t="s">
        <v>7207</v>
      </c>
      <c r="K1580" s="0" t="s">
        <v>160</v>
      </c>
      <c r="M1580" s="0" t="s">
        <v>7208</v>
      </c>
      <c r="N1580" s="0" t="str">
        <f aca="false">RIGHT(M1580,LEN(M1580)-FIND(" ",M1580))</f>
        <v>MONROE ST NW</v>
      </c>
      <c r="O1580" s="0" t="s">
        <v>1939</v>
      </c>
      <c r="P1580" s="0" t="s">
        <v>145</v>
      </c>
      <c r="Q1580" s="0" t="s">
        <v>146</v>
      </c>
      <c r="R1580" s="0" t="n">
        <v>44483</v>
      </c>
      <c r="AD1580" s="0" t="s">
        <v>147</v>
      </c>
      <c r="AE1580" s="0" t="s">
        <v>148</v>
      </c>
      <c r="AF1580" s="0" t="s">
        <v>149</v>
      </c>
      <c r="AH1580" s="0" t="n">
        <v>14</v>
      </c>
      <c r="AI1580" s="0" t="n">
        <v>11</v>
      </c>
      <c r="AN1580" s="0" t="s">
        <v>145</v>
      </c>
      <c r="AO1580" s="0" t="s">
        <v>654</v>
      </c>
      <c r="AP1580" s="0" t="s">
        <v>655</v>
      </c>
      <c r="AQ1580" s="0" t="n">
        <v>9</v>
      </c>
      <c r="AR1580" s="0" t="n">
        <v>64</v>
      </c>
      <c r="AS1580" s="0" t="n">
        <v>32</v>
      </c>
      <c r="AU1580" s="0" t="n">
        <f aca="false">COUNTA($BA$1129:$EH$1129)</f>
        <v>2</v>
      </c>
      <c r="AV1580" s="0" t="n">
        <f aca="false">COUNTIF($BA$1129:$EH$1129,"D")</f>
        <v>0</v>
      </c>
      <c r="AW1580" s="0" t="n">
        <f aca="false">COUNTIF($BA$1129:$EH$1129,"R")</f>
        <v>0</v>
      </c>
      <c r="AX1580" s="0" t="n">
        <f aca="false">IF(BN1580="D",1,0)+IF(BO1580="D",1,0)+IF(BT1580="D",1,0)+IF(BU1580="D",1,0)+IF(BW1580="D",1,0)+IF(CC1580="D",1,0)+IF(CD1580="D",1,0)+IF(CE1580="D",1,0)+IF(CF1580="D",1,0)+IF(CL1580="D",1,0)+IF(CM1580="D",1,0)+IF(CQ1580="D",1,0)+IF(CR1580="D",1,0)+IF(CS1580="D",1,0)+IF(CW1580="D",1,0)+IF(CX1580="D",1,0)+IF(DD1580="D",1,0)+IF(DE1580="D",1,0)+IF(DJ1580="D",1,0)+IF(DK1580="D",1,0)+IF(DO1580="D",1,0)+IF(DP1580="D",1,0)+IF(DQ1580="D",1,0)+IF(DW1580="D",1,0)+IF(DZ1580="D",1,0)+IF(EH1580="D",1,0)</f>
        <v>0</v>
      </c>
      <c r="AY1580" s="0" t="n">
        <f aca="false">COUNTIF(DU1580:EH1580, "&lt;&gt;")</f>
        <v>0</v>
      </c>
      <c r="AZ1580" s="0" t="n">
        <f aca="false">IF(EH1580&lt;&gt;"",1,0)</f>
        <v>0</v>
      </c>
      <c r="BB1580" s="0" t="s">
        <v>152</v>
      </c>
      <c r="BD1580" s="0" t="s">
        <v>153</v>
      </c>
      <c r="BE1580" s="0" t="s">
        <v>153</v>
      </c>
      <c r="BF1580" s="0" t="s">
        <v>153</v>
      </c>
      <c r="BH1580" s="0" t="s">
        <v>153</v>
      </c>
      <c r="BI1580" s="0" t="s">
        <v>153</v>
      </c>
      <c r="BL1580" s="0" t="s">
        <v>153</v>
      </c>
      <c r="BP1580" s="0" t="s">
        <v>153</v>
      </c>
      <c r="BS1580" s="0" t="s">
        <v>153</v>
      </c>
      <c r="BY1580" s="0" t="s">
        <v>175</v>
      </c>
      <c r="CA1580" s="0" t="s">
        <v>153</v>
      </c>
    </row>
    <row r="1581" customFormat="false" ht="13.8" hidden="true" customHeight="false" outlineLevel="0" collapsed="false">
      <c r="A1581" s="0" t="s">
        <v>7209</v>
      </c>
      <c r="B1581" s="0" t="n">
        <v>78</v>
      </c>
      <c r="C1581" s="0" t="n">
        <v>457283</v>
      </c>
      <c r="D1581" s="0" t="s">
        <v>7210</v>
      </c>
      <c r="E1581" s="0" t="s">
        <v>939</v>
      </c>
      <c r="F1581" s="0" t="str">
        <f aca="false">CONCATENATE(D1581," ",LEFT(H1581,4),"T=",AU1581,"D=",AV1581,"R=",AW1581,"M=",AX1581,"L=",AY1581,"B=",AZ1581)</f>
        <v>HART T=2D=0R=0M=0L=0B=0</v>
      </c>
      <c r="G1581" s="0" t="s">
        <v>5756</v>
      </c>
      <c r="I1581" s="0" t="s">
        <v>7211</v>
      </c>
      <c r="J1581" s="0" t="s">
        <v>7212</v>
      </c>
      <c r="K1581" s="0" t="s">
        <v>160</v>
      </c>
      <c r="M1581" s="0" t="s">
        <v>7208</v>
      </c>
      <c r="N1581" s="0" t="str">
        <f aca="false">RIGHT(M1581,LEN(M1581)-FIND(" ",M1581))</f>
        <v>MONROE ST NW</v>
      </c>
      <c r="O1581" s="0" t="s">
        <v>7213</v>
      </c>
      <c r="P1581" s="0" t="s">
        <v>145</v>
      </c>
      <c r="Q1581" s="0" t="s">
        <v>146</v>
      </c>
      <c r="R1581" s="0" t="n">
        <v>44483</v>
      </c>
      <c r="AD1581" s="0" t="s">
        <v>147</v>
      </c>
      <c r="AE1581" s="0" t="s">
        <v>148</v>
      </c>
      <c r="AF1581" s="0" t="s">
        <v>149</v>
      </c>
      <c r="AH1581" s="0" t="n">
        <v>14</v>
      </c>
      <c r="AI1581" s="0" t="n">
        <v>11</v>
      </c>
      <c r="AN1581" s="0" t="s">
        <v>145</v>
      </c>
      <c r="AO1581" s="0" t="s">
        <v>654</v>
      </c>
      <c r="AP1581" s="0" t="s">
        <v>655</v>
      </c>
      <c r="AQ1581" s="0" t="n">
        <v>9</v>
      </c>
      <c r="AR1581" s="0" t="n">
        <v>64</v>
      </c>
      <c r="AS1581" s="0" t="n">
        <v>32</v>
      </c>
      <c r="AU1581" s="0" t="n">
        <f aca="false">COUNTA($BA$1154:$EH$1154)</f>
        <v>2</v>
      </c>
      <c r="AV1581" s="0" t="n">
        <f aca="false">COUNTIF($BA$1154:$EH$1154,"D")</f>
        <v>0</v>
      </c>
      <c r="AW1581" s="0" t="n">
        <f aca="false">COUNTIF($BA$1154:$EH$1154,"R")</f>
        <v>0</v>
      </c>
      <c r="AX1581" s="0" t="n">
        <f aca="false">IF(BN1581="D",1,0)+IF(BO1581="D",1,0)+IF(BT1581="D",1,0)+IF(BU1581="D",1,0)+IF(BW1581="D",1,0)+IF(CC1581="D",1,0)+IF(CD1581="D",1,0)+IF(CE1581="D",1,0)+IF(CF1581="D",1,0)+IF(CL1581="D",1,0)+IF(CM1581="D",1,0)+IF(CQ1581="D",1,0)+IF(CR1581="D",1,0)+IF(CS1581="D",1,0)+IF(CW1581="D",1,0)+IF(CX1581="D",1,0)+IF(DD1581="D",1,0)+IF(DE1581="D",1,0)+IF(DJ1581="D",1,0)+IF(DK1581="D",1,0)+IF(DO1581="D",1,0)+IF(DP1581="D",1,0)+IF(DQ1581="D",1,0)+IF(DW1581="D",1,0)+IF(DZ1581="D",1,0)+IF(EH1581="D",1,0)</f>
        <v>0</v>
      </c>
      <c r="AY1581" s="0" t="n">
        <f aca="false">COUNTIF(DU1581:EH1581, "&lt;&gt;")</f>
        <v>0</v>
      </c>
      <c r="AZ1581" s="0" t="n">
        <f aca="false">IF(EH1581&lt;&gt;"",1,0)</f>
        <v>0</v>
      </c>
      <c r="BB1581" s="0" t="s">
        <v>152</v>
      </c>
    </row>
    <row r="1582" customFormat="false" ht="13.8" hidden="false" customHeight="false" outlineLevel="0" collapsed="false">
      <c r="A1582" s="0" t="s">
        <v>7214</v>
      </c>
      <c r="B1582" s="0" t="n">
        <v>78</v>
      </c>
      <c r="C1582" s="0" t="n">
        <v>437299</v>
      </c>
      <c r="D1582" s="0" t="s">
        <v>7215</v>
      </c>
      <c r="E1582" s="0" t="s">
        <v>1836</v>
      </c>
      <c r="F1582" s="0" t="str">
        <f aca="false">CONCATENATE(D1582," ",LEFT(H1582,4),"T=",AU1582,"D=",AV1582,"R=",AW1582,"M=",AX1582,"L=",AY1582,"B=",AZ1582)</f>
        <v>REAL T=1D=0R=0M=1L=4B=0</v>
      </c>
      <c r="I1582" s="0" t="s">
        <v>7216</v>
      </c>
      <c r="J1582" s="0" t="s">
        <v>721</v>
      </c>
      <c r="K1582" s="0" t="s">
        <v>160</v>
      </c>
      <c r="L1582" s="0" t="s">
        <v>175</v>
      </c>
      <c r="M1582" s="0" t="s">
        <v>7208</v>
      </c>
      <c r="N1582" s="0" t="str">
        <f aca="false">RIGHT(M1582,LEN(M1582)-FIND(" ",M1582))</f>
        <v>MONROE ST NW</v>
      </c>
      <c r="O1582" s="0" t="s">
        <v>7217</v>
      </c>
      <c r="P1582" s="0" t="s">
        <v>145</v>
      </c>
      <c r="Q1582" s="0" t="s">
        <v>146</v>
      </c>
      <c r="R1582" s="0" t="n">
        <v>44483</v>
      </c>
      <c r="AD1582" s="0" t="s">
        <v>147</v>
      </c>
      <c r="AE1582" s="0" t="s">
        <v>148</v>
      </c>
      <c r="AF1582" s="0" t="s">
        <v>149</v>
      </c>
      <c r="AH1582" s="0" t="n">
        <v>14</v>
      </c>
      <c r="AI1582" s="0" t="n">
        <v>11</v>
      </c>
      <c r="AN1582" s="0" t="s">
        <v>145</v>
      </c>
      <c r="AO1582" s="0" t="s">
        <v>654</v>
      </c>
      <c r="AP1582" s="0" t="s">
        <v>655</v>
      </c>
      <c r="AQ1582" s="0" t="n">
        <v>9</v>
      </c>
      <c r="AR1582" s="0" t="n">
        <v>64</v>
      </c>
      <c r="AS1582" s="0" t="n">
        <v>32</v>
      </c>
      <c r="AU1582" s="0" t="n">
        <f aca="false">COUNTA($BA$1198:$EH$1198)</f>
        <v>1</v>
      </c>
      <c r="AV1582" s="0" t="n">
        <f aca="false">COUNTIF($BA$1198:$EH$1198,"D")</f>
        <v>0</v>
      </c>
      <c r="AW1582" s="0" t="n">
        <f aca="false">COUNTIF($BA$1198:$EH$1198,"R")</f>
        <v>0</v>
      </c>
      <c r="AX1582" s="0" t="n">
        <f aca="false">IF(BN1582="D",1,0)+IF(BO1582="D",1,0)+IF(BT1582="D",1,0)+IF(BU1582="D",1,0)+IF(BW1582="D",1,0)+IF(CC1582="D",1,0)+IF(CD1582="D",1,0)+IF(CE1582="D",1,0)+IF(CF1582="D",1,0)+IF(CL1582="D",1,0)+IF(CM1582="D",1,0)+IF(CQ1582="D",1,0)+IF(CR1582="D",1,0)+IF(CS1582="D",1,0)+IF(CW1582="D",1,0)+IF(CX1582="D",1,0)+IF(DD1582="D",1,0)+IF(DE1582="D",1,0)+IF(DJ1582="D",1,0)+IF(DK1582="D",1,0)+IF(DO1582="D",1,0)+IF(DP1582="D",1,0)+IF(DQ1582="D",1,0)+IF(DW1582="D",1,0)+IF(DZ1582="D",1,0)+IF(EH1582="D",1,0)</f>
        <v>1</v>
      </c>
      <c r="AY1582" s="0" t="n">
        <f aca="false">COUNTIF(DU1582:EH1582, "&lt;&gt;")</f>
        <v>4</v>
      </c>
      <c r="AZ1582" s="0" t="n">
        <f aca="false">IF(EH1582&lt;&gt;"",1,0)</f>
        <v>0</v>
      </c>
      <c r="BB1582" s="0" t="s">
        <v>152</v>
      </c>
      <c r="CN1582" s="0" t="s">
        <v>153</v>
      </c>
      <c r="CO1582" s="0" t="s">
        <v>209</v>
      </c>
      <c r="DM1582" s="0" t="s">
        <v>209</v>
      </c>
      <c r="DN1582" s="0" t="s">
        <v>153</v>
      </c>
      <c r="DU1582" s="0" t="s">
        <v>153</v>
      </c>
      <c r="DW1582" s="0" t="s">
        <v>175</v>
      </c>
      <c r="DX1582" s="0" t="s">
        <v>153</v>
      </c>
      <c r="EF1582" s="0" t="s">
        <v>153</v>
      </c>
    </row>
    <row r="1583" customFormat="false" ht="13.8" hidden="true" customHeight="false" outlineLevel="0" collapsed="false">
      <c r="A1583" s="0" t="s">
        <v>7218</v>
      </c>
      <c r="B1583" s="0" t="n">
        <v>78</v>
      </c>
      <c r="C1583" s="0" t="n">
        <v>364217</v>
      </c>
      <c r="D1583" s="0" t="s">
        <v>690</v>
      </c>
      <c r="E1583" s="0" t="s">
        <v>7219</v>
      </c>
      <c r="F1583" s="0" t="str">
        <f aca="false">CONCATENATE(D1583," ",LEFT(H1583,4),"T=",AU1583,"D=",AV1583,"R=",AW1583,"M=",AX1583,"L=",AY1583,"B=",AZ1583)</f>
        <v>SMITH T=5D=0R=0M=0L=1B=0</v>
      </c>
      <c r="G1583" s="0" t="s">
        <v>615</v>
      </c>
      <c r="I1583" s="0" t="s">
        <v>7220</v>
      </c>
      <c r="J1583" s="0" t="s">
        <v>2103</v>
      </c>
      <c r="K1583" s="0" t="s">
        <v>160</v>
      </c>
      <c r="M1583" s="0" t="s">
        <v>7208</v>
      </c>
      <c r="N1583" s="0" t="str">
        <f aca="false">RIGHT(M1583,LEN(M1583)-FIND(" ",M1583))</f>
        <v>MONROE ST NW</v>
      </c>
      <c r="O1583" s="0" t="s">
        <v>7221</v>
      </c>
      <c r="P1583" s="0" t="s">
        <v>145</v>
      </c>
      <c r="Q1583" s="0" t="s">
        <v>146</v>
      </c>
      <c r="R1583" s="0" t="n">
        <v>44483</v>
      </c>
      <c r="AD1583" s="0" t="s">
        <v>147</v>
      </c>
      <c r="AE1583" s="0" t="s">
        <v>148</v>
      </c>
      <c r="AF1583" s="0" t="s">
        <v>149</v>
      </c>
      <c r="AH1583" s="0" t="n">
        <v>14</v>
      </c>
      <c r="AI1583" s="0" t="n">
        <v>11</v>
      </c>
      <c r="AN1583" s="0" t="s">
        <v>145</v>
      </c>
      <c r="AO1583" s="0" t="s">
        <v>654</v>
      </c>
      <c r="AP1583" s="0" t="s">
        <v>655</v>
      </c>
      <c r="AQ1583" s="0" t="n">
        <v>9</v>
      </c>
      <c r="AR1583" s="0" t="n">
        <v>64</v>
      </c>
      <c r="AS1583" s="0" t="n">
        <v>32</v>
      </c>
      <c r="AU1583" s="0" t="n">
        <f aca="false">COUNTA($BA$1458:$EH$1458)</f>
        <v>5</v>
      </c>
      <c r="AV1583" s="0" t="n">
        <f aca="false">COUNTIF($BA$1458:$EH$1458,"D")</f>
        <v>0</v>
      </c>
      <c r="AW1583" s="0" t="n">
        <f aca="false">COUNTIF($BA$1458:$EH$1458,"R")</f>
        <v>0</v>
      </c>
      <c r="AX1583" s="0" t="n">
        <f aca="false">IF(BN1583="D",1,0)+IF(BO1583="D",1,0)+IF(BT1583="D",1,0)+IF(BU1583="D",1,0)+IF(BW1583="D",1,0)+IF(CC1583="D",1,0)+IF(CD1583="D",1,0)+IF(CE1583="D",1,0)+IF(CF1583="D",1,0)+IF(CL1583="D",1,0)+IF(CM1583="D",1,0)+IF(CQ1583="D",1,0)+IF(CR1583="D",1,0)+IF(CS1583="D",1,0)+IF(CW1583="D",1,0)+IF(CX1583="D",1,0)+IF(DD1583="D",1,0)+IF(DE1583="D",1,0)+IF(DJ1583="D",1,0)+IF(DK1583="D",1,0)+IF(DO1583="D",1,0)+IF(DP1583="D",1,0)+IF(DQ1583="D",1,0)+IF(DW1583="D",1,0)+IF(DZ1583="D",1,0)+IF(EH1583="D",1,0)</f>
        <v>0</v>
      </c>
      <c r="AY1583" s="0" t="n">
        <f aca="false">COUNTIF(DU1583:EH1583, "&lt;&gt;")</f>
        <v>1</v>
      </c>
      <c r="AZ1583" s="0" t="n">
        <f aca="false">IF(EH1583&lt;&gt;"",1,0)</f>
        <v>0</v>
      </c>
      <c r="BB1583" s="0" t="s">
        <v>152</v>
      </c>
      <c r="CA1583" s="0" t="s">
        <v>153</v>
      </c>
      <c r="CP1583" s="0" t="s">
        <v>153</v>
      </c>
      <c r="DN1583" s="0" t="s">
        <v>153</v>
      </c>
      <c r="EF1583" s="0" t="s">
        <v>153</v>
      </c>
    </row>
    <row r="1584" customFormat="false" ht="13.8" hidden="true" customHeight="false" outlineLevel="0" collapsed="false">
      <c r="A1584" s="0" t="s">
        <v>7222</v>
      </c>
      <c r="B1584" s="0" t="n">
        <v>78</v>
      </c>
      <c r="C1584" s="0" t="n">
        <v>435436</v>
      </c>
      <c r="D1584" s="0" t="s">
        <v>2171</v>
      </c>
      <c r="E1584" s="0" t="s">
        <v>7223</v>
      </c>
      <c r="F1584" s="0" t="str">
        <f aca="false">CONCATENATE(D1584," ",LEFT(H1584,4),"T=",AU1584,"D=",AV1584,"R=",AW1584,"M=",AX1584,"L=",AY1584,"B=",AZ1584)</f>
        <v>SULLIVAN T=1D=0R=0M=0L=0B=0</v>
      </c>
      <c r="G1584" s="0" t="s">
        <v>215</v>
      </c>
      <c r="I1584" s="0" t="s">
        <v>7224</v>
      </c>
      <c r="J1584" s="0" t="s">
        <v>6719</v>
      </c>
      <c r="K1584" s="0" t="s">
        <v>143</v>
      </c>
      <c r="M1584" s="0" t="s">
        <v>7208</v>
      </c>
      <c r="N1584" s="0" t="str">
        <f aca="false">RIGHT(M1584,LEN(M1584)-FIND(" ",M1584))</f>
        <v>MONROE ST NW</v>
      </c>
      <c r="O1584" s="0" t="s">
        <v>7225</v>
      </c>
      <c r="P1584" s="0" t="s">
        <v>145</v>
      </c>
      <c r="Q1584" s="0" t="s">
        <v>146</v>
      </c>
      <c r="R1584" s="0" t="n">
        <v>44483</v>
      </c>
      <c r="AD1584" s="0" t="s">
        <v>147</v>
      </c>
      <c r="AE1584" s="0" t="s">
        <v>148</v>
      </c>
      <c r="AF1584" s="0" t="s">
        <v>149</v>
      </c>
      <c r="AH1584" s="0" t="n">
        <v>14</v>
      </c>
      <c r="AI1584" s="0" t="n">
        <v>11</v>
      </c>
      <c r="AN1584" s="0" t="s">
        <v>145</v>
      </c>
      <c r="AO1584" s="0" t="s">
        <v>654</v>
      </c>
      <c r="AP1584" s="0" t="s">
        <v>655</v>
      </c>
      <c r="AQ1584" s="0" t="n">
        <v>9</v>
      </c>
      <c r="AR1584" s="0" t="n">
        <v>64</v>
      </c>
      <c r="AS1584" s="0" t="n">
        <v>32</v>
      </c>
      <c r="AU1584" s="0" t="n">
        <f aca="false">COUNTA($BA$1568:$EH$1568)</f>
        <v>1</v>
      </c>
      <c r="AV1584" s="0" t="n">
        <f aca="false">COUNTIF($BA$1568:$EH$1568,"D")</f>
        <v>0</v>
      </c>
      <c r="AW1584" s="0" t="n">
        <f aca="false">COUNTIF($BA$1568:$EH$1568,"R")</f>
        <v>0</v>
      </c>
      <c r="AX1584" s="0" t="n">
        <f aca="false">IF(BN1584="D",1,0)+IF(BO1584="D",1,0)+IF(BT1584="D",1,0)+IF(BU1584="D",1,0)+IF(BW1584="D",1,0)+IF(CC1584="D",1,0)+IF(CD1584="D",1,0)+IF(CE1584="D",1,0)+IF(CF1584="D",1,0)+IF(CL1584="D",1,0)+IF(CM1584="D",1,0)+IF(CQ1584="D",1,0)+IF(CR1584="D",1,0)+IF(CS1584="D",1,0)+IF(CW1584="D",1,0)+IF(CX1584="D",1,0)+IF(DD1584="D",1,0)+IF(DE1584="D",1,0)+IF(DJ1584="D",1,0)+IF(DK1584="D",1,0)+IF(DO1584="D",1,0)+IF(DP1584="D",1,0)+IF(DQ1584="D",1,0)+IF(DW1584="D",1,0)+IF(DZ1584="D",1,0)+IF(EH1584="D",1,0)</f>
        <v>0</v>
      </c>
      <c r="AY1584" s="0" t="n">
        <f aca="false">COUNTIF(DU1584:EH1584, "&lt;&gt;")</f>
        <v>0</v>
      </c>
      <c r="AZ1584" s="0" t="n">
        <f aca="false">IF(EH1584&lt;&gt;"",1,0)</f>
        <v>0</v>
      </c>
      <c r="BB1584" s="0" t="s">
        <v>152</v>
      </c>
    </row>
    <row r="1585" customFormat="false" ht="13.8" hidden="true" customHeight="false" outlineLevel="0" collapsed="false">
      <c r="A1585" s="0" t="s">
        <v>7226</v>
      </c>
      <c r="B1585" s="0" t="n">
        <v>78</v>
      </c>
      <c r="C1585" s="0" t="n">
        <v>376794</v>
      </c>
      <c r="D1585" s="0" t="s">
        <v>6208</v>
      </c>
      <c r="E1585" s="0" t="s">
        <v>7227</v>
      </c>
      <c r="F1585" s="0" t="str">
        <f aca="false">CONCATENATE(D1585," ",LEFT(H1585,4),"T=",AU1585,"D=",AV1585,"R=",AW1585,"M=",AX1585,"L=",AY1585,"B=",AZ1585)</f>
        <v>WADE T=35D=4R=0M=0L=1B=0</v>
      </c>
      <c r="G1585" s="0" t="s">
        <v>362</v>
      </c>
      <c r="I1585" s="0" t="s">
        <v>7228</v>
      </c>
      <c r="J1585" s="0" t="s">
        <v>1050</v>
      </c>
      <c r="K1585" s="0" t="s">
        <v>160</v>
      </c>
      <c r="M1585" s="0" t="s">
        <v>7208</v>
      </c>
      <c r="N1585" s="0" t="str">
        <f aca="false">RIGHT(M1585,LEN(M1585)-FIND(" ",M1585))</f>
        <v>MONROE ST NW</v>
      </c>
      <c r="P1585" s="0" t="s">
        <v>145</v>
      </c>
      <c r="Q1585" s="0" t="s">
        <v>146</v>
      </c>
      <c r="R1585" s="0" t="n">
        <v>44483</v>
      </c>
      <c r="AD1585" s="0" t="s">
        <v>147</v>
      </c>
      <c r="AE1585" s="0" t="s">
        <v>148</v>
      </c>
      <c r="AF1585" s="0" t="s">
        <v>149</v>
      </c>
      <c r="AH1585" s="0" t="n">
        <v>14</v>
      </c>
      <c r="AI1585" s="0" t="n">
        <v>11</v>
      </c>
      <c r="AN1585" s="0" t="s">
        <v>145</v>
      </c>
      <c r="AO1585" s="0" t="s">
        <v>654</v>
      </c>
      <c r="AP1585" s="0" t="s">
        <v>655</v>
      </c>
      <c r="AQ1585" s="0" t="n">
        <v>9</v>
      </c>
      <c r="AR1585" s="0" t="n">
        <v>64</v>
      </c>
      <c r="AS1585" s="0" t="n">
        <v>32</v>
      </c>
      <c r="AU1585" s="0" t="n">
        <f aca="false">COUNTA($BA$1675:$EH$1675)</f>
        <v>35</v>
      </c>
      <c r="AV1585" s="0" t="n">
        <f aca="false">COUNTIF($BA$1675:$EH$1675,"D")</f>
        <v>4</v>
      </c>
      <c r="AW1585" s="0" t="n">
        <f aca="false">COUNTIF($BA$1675:$EH$1675,"R")</f>
        <v>0</v>
      </c>
      <c r="AX1585" s="0" t="n">
        <f aca="false">IF(BN1585="D",1,0)+IF(BO1585="D",1,0)+IF(BT1585="D",1,0)+IF(BU1585="D",1,0)+IF(BW1585="D",1,0)+IF(CC1585="D",1,0)+IF(CD1585="D",1,0)+IF(CE1585="D",1,0)+IF(CF1585="D",1,0)+IF(CL1585="D",1,0)+IF(CM1585="D",1,0)+IF(CQ1585="D",1,0)+IF(CR1585="D",1,0)+IF(CS1585="D",1,0)+IF(CW1585="D",1,0)+IF(CX1585="D",1,0)+IF(DD1585="D",1,0)+IF(DE1585="D",1,0)+IF(DJ1585="D",1,0)+IF(DK1585="D",1,0)+IF(DO1585="D",1,0)+IF(DP1585="D",1,0)+IF(DQ1585="D",1,0)+IF(DW1585="D",1,0)+IF(DZ1585="D",1,0)+IF(EH1585="D",1,0)</f>
        <v>0</v>
      </c>
      <c r="AY1585" s="0" t="n">
        <f aca="false">COUNTIF(DU1585:EH1585, "&lt;&gt;")</f>
        <v>1</v>
      </c>
      <c r="AZ1585" s="0" t="n">
        <f aca="false">IF(EH1585&lt;&gt;"",1,0)</f>
        <v>0</v>
      </c>
      <c r="BB1585" s="0" t="s">
        <v>152</v>
      </c>
      <c r="CP1585" s="0" t="s">
        <v>153</v>
      </c>
      <c r="CV1585" s="0" t="s">
        <v>153</v>
      </c>
      <c r="DC1585" s="0" t="s">
        <v>153</v>
      </c>
      <c r="EF1585" s="0" t="s">
        <v>153</v>
      </c>
    </row>
    <row r="1586" customFormat="false" ht="13.8" hidden="true" customHeight="false" outlineLevel="0" collapsed="false">
      <c r="A1586" s="0" t="s">
        <v>7229</v>
      </c>
      <c r="B1586" s="0" t="n">
        <v>78</v>
      </c>
      <c r="C1586" s="0" t="n">
        <v>423220</v>
      </c>
      <c r="D1586" s="0" t="s">
        <v>7230</v>
      </c>
      <c r="E1586" s="0" t="s">
        <v>7231</v>
      </c>
      <c r="F1586" s="0" t="str">
        <f aca="false">CONCATENATE(D1586," ",LEFT(H1586,4),"T=",AU1586,"D=",AV1586,"R=",AW1586,"M=",AX1586,"L=",AY1586,"B=",AZ1586)</f>
        <v>PETERS T=1D=0R=0M=0L=0B=0</v>
      </c>
      <c r="G1586" s="0" t="s">
        <v>1248</v>
      </c>
      <c r="I1586" s="0" t="s">
        <v>7232</v>
      </c>
      <c r="J1586" s="0" t="s">
        <v>7233</v>
      </c>
      <c r="K1586" s="0" t="s">
        <v>160</v>
      </c>
      <c r="M1586" s="0" t="s">
        <v>7208</v>
      </c>
      <c r="N1586" s="0" t="str">
        <f aca="false">RIGHT(M1586,LEN(M1586)-FIND(" ",M1586))</f>
        <v>MONROE ST NW</v>
      </c>
      <c r="O1586" s="0" t="s">
        <v>7213</v>
      </c>
      <c r="P1586" s="0" t="s">
        <v>145</v>
      </c>
      <c r="Q1586" s="0" t="s">
        <v>146</v>
      </c>
      <c r="R1586" s="0" t="n">
        <v>44483</v>
      </c>
      <c r="AD1586" s="0" t="s">
        <v>147</v>
      </c>
      <c r="AE1586" s="0" t="s">
        <v>148</v>
      </c>
      <c r="AF1586" s="0" t="s">
        <v>149</v>
      </c>
      <c r="AH1586" s="0" t="n">
        <v>14</v>
      </c>
      <c r="AI1586" s="0" t="n">
        <v>11</v>
      </c>
      <c r="AN1586" s="0" t="s">
        <v>145</v>
      </c>
      <c r="AO1586" s="0" t="s">
        <v>654</v>
      </c>
      <c r="AP1586" s="0" t="s">
        <v>655</v>
      </c>
      <c r="AQ1586" s="0" t="n">
        <v>9</v>
      </c>
      <c r="AR1586" s="0" t="n">
        <v>64</v>
      </c>
      <c r="AS1586" s="0" t="n">
        <v>32</v>
      </c>
      <c r="AU1586" s="0" t="n">
        <f aca="false">COUNTA($BA$1729:$EH$1729)</f>
        <v>1</v>
      </c>
      <c r="AV1586" s="0" t="n">
        <f aca="false">COUNTIF($BA$1729:$EH$1729,"D")</f>
        <v>0</v>
      </c>
      <c r="AW1586" s="0" t="n">
        <f aca="false">COUNTIF($BA$1729:$EH$1729,"R")</f>
        <v>0</v>
      </c>
      <c r="AX1586" s="0" t="n">
        <f aca="false">IF(BN1586="D",1,0)+IF(BO1586="D",1,0)+IF(BT1586="D",1,0)+IF(BU1586="D",1,0)+IF(BW1586="D",1,0)+IF(CC1586="D",1,0)+IF(CD1586="D",1,0)+IF(CE1586="D",1,0)+IF(CF1586="D",1,0)+IF(CL1586="D",1,0)+IF(CM1586="D",1,0)+IF(CQ1586="D",1,0)+IF(CR1586="D",1,0)+IF(CS1586="D",1,0)+IF(CW1586="D",1,0)+IF(CX1586="D",1,0)+IF(DD1586="D",1,0)+IF(DE1586="D",1,0)+IF(DJ1586="D",1,0)+IF(DK1586="D",1,0)+IF(DO1586="D",1,0)+IF(DP1586="D",1,0)+IF(DQ1586="D",1,0)+IF(DW1586="D",1,0)+IF(DZ1586="D",1,0)+IF(EH1586="D",1,0)</f>
        <v>0</v>
      </c>
      <c r="AY1586" s="0" t="n">
        <f aca="false">COUNTIF(DU1586:EH1586, "&lt;&gt;")</f>
        <v>0</v>
      </c>
      <c r="AZ1586" s="0" t="n">
        <f aca="false">IF(EH1586&lt;&gt;"",1,0)</f>
        <v>0</v>
      </c>
      <c r="BB1586" s="0" t="s">
        <v>152</v>
      </c>
      <c r="CA1586" s="0" t="s">
        <v>153</v>
      </c>
    </row>
    <row r="1587" customFormat="false" ht="13.8" hidden="true" customHeight="false" outlineLevel="0" collapsed="false">
      <c r="A1587" s="0" t="s">
        <v>7234</v>
      </c>
      <c r="B1587" s="0" t="n">
        <v>78</v>
      </c>
      <c r="C1587" s="0" t="n">
        <v>434153</v>
      </c>
      <c r="D1587" s="0" t="s">
        <v>7235</v>
      </c>
      <c r="E1587" s="0" t="s">
        <v>517</v>
      </c>
      <c r="F1587" s="0" t="str">
        <f aca="false">CONCATENATE(D1587," ",LEFT(H1587,4),"T=",AU1587,"D=",AV1587,"R=",AW1587,"M=",AX1587,"L=",AY1587,"B=",AZ1587)</f>
        <v>LOWE T=19D=0R=1M=0L=1B=0</v>
      </c>
      <c r="G1587" s="0" t="s">
        <v>195</v>
      </c>
      <c r="I1587" s="0" t="s">
        <v>7236</v>
      </c>
      <c r="J1587" s="0" t="s">
        <v>7237</v>
      </c>
      <c r="K1587" s="0" t="s">
        <v>160</v>
      </c>
      <c r="M1587" s="0" t="s">
        <v>7208</v>
      </c>
      <c r="N1587" s="0" t="str">
        <f aca="false">RIGHT(M1587,LEN(M1587)-FIND(" ",M1587))</f>
        <v>MONROE ST NW</v>
      </c>
      <c r="O1587" s="0" t="s">
        <v>7238</v>
      </c>
      <c r="P1587" s="0" t="s">
        <v>145</v>
      </c>
      <c r="Q1587" s="0" t="s">
        <v>146</v>
      </c>
      <c r="R1587" s="0" t="n">
        <v>44483</v>
      </c>
      <c r="AD1587" s="0" t="s">
        <v>147</v>
      </c>
      <c r="AE1587" s="0" t="s">
        <v>148</v>
      </c>
      <c r="AF1587" s="0" t="s">
        <v>149</v>
      </c>
      <c r="AH1587" s="0" t="n">
        <v>14</v>
      </c>
      <c r="AI1587" s="0" t="n">
        <v>11</v>
      </c>
      <c r="AN1587" s="0" t="s">
        <v>145</v>
      </c>
      <c r="AO1587" s="0" t="s">
        <v>654</v>
      </c>
      <c r="AP1587" s="0" t="s">
        <v>655</v>
      </c>
      <c r="AQ1587" s="0" t="n">
        <v>9</v>
      </c>
      <c r="AR1587" s="0" t="n">
        <v>64</v>
      </c>
      <c r="AS1587" s="0" t="n">
        <v>32</v>
      </c>
      <c r="AU1587" s="0" t="n">
        <f aca="false">COUNTA($BA$1959:$EH$1959)</f>
        <v>19</v>
      </c>
      <c r="AV1587" s="0" t="n">
        <f aca="false">COUNTIF($BA$1959:$EH$1959,"D")</f>
        <v>0</v>
      </c>
      <c r="AW1587" s="0" t="n">
        <f aca="false">COUNTIF($BA$1959:$EH$1959,"R")</f>
        <v>1</v>
      </c>
      <c r="AX1587" s="0" t="n">
        <f aca="false">IF(BN1587="D",1,0)+IF(BO1587="D",1,0)+IF(BT1587="D",1,0)+IF(BU1587="D",1,0)+IF(BW1587="D",1,0)+IF(CC1587="D",1,0)+IF(CD1587="D",1,0)+IF(CE1587="D",1,0)+IF(CF1587="D",1,0)+IF(CL1587="D",1,0)+IF(CM1587="D",1,0)+IF(CQ1587="D",1,0)+IF(CR1587="D",1,0)+IF(CS1587="D",1,0)+IF(CW1587="D",1,0)+IF(CX1587="D",1,0)+IF(DD1587="D",1,0)+IF(DE1587="D",1,0)+IF(DJ1587="D",1,0)+IF(DK1587="D",1,0)+IF(DO1587="D",1,0)+IF(DP1587="D",1,0)+IF(DQ1587="D",1,0)+IF(DW1587="D",1,0)+IF(DZ1587="D",1,0)+IF(EH1587="D",1,0)</f>
        <v>0</v>
      </c>
      <c r="AY1587" s="0" t="n">
        <f aca="false">COUNTIF(DU1587:EH1587, "&lt;&gt;")</f>
        <v>1</v>
      </c>
      <c r="AZ1587" s="0" t="n">
        <f aca="false">IF(EH1587&lt;&gt;"",1,0)</f>
        <v>0</v>
      </c>
      <c r="BB1587" s="0" t="s">
        <v>152</v>
      </c>
      <c r="BL1587" s="0" t="s">
        <v>153</v>
      </c>
      <c r="BS1587" s="0" t="s">
        <v>153</v>
      </c>
      <c r="BV1587" s="0" t="s">
        <v>153</v>
      </c>
      <c r="BY1587" s="0" t="s">
        <v>175</v>
      </c>
      <c r="CA1587" s="0" t="s">
        <v>153</v>
      </c>
      <c r="DI1587" s="0" t="s">
        <v>153</v>
      </c>
      <c r="DU1587" s="0" t="s">
        <v>153</v>
      </c>
    </row>
    <row r="1588" customFormat="false" ht="13.8" hidden="true" customHeight="false" outlineLevel="0" collapsed="false">
      <c r="A1588" s="0" t="s">
        <v>7239</v>
      </c>
      <c r="B1588" s="0" t="n">
        <v>78</v>
      </c>
      <c r="C1588" s="0" t="n">
        <v>343637</v>
      </c>
      <c r="D1588" s="0" t="s">
        <v>500</v>
      </c>
      <c r="E1588" s="0" t="s">
        <v>379</v>
      </c>
      <c r="F1588" s="0" t="str">
        <f aca="false">CONCATENATE(D1588," ",LEFT(H1588,4),"T=",AU1588,"D=",AV1588,"R=",AW1588,"M=",AX1588,"L=",AY1588,"B=",AZ1588)</f>
        <v>ROSE T=1D=0R=0M=0L=0B=0</v>
      </c>
      <c r="G1588" s="0" t="s">
        <v>195</v>
      </c>
      <c r="I1588" s="0" t="s">
        <v>7240</v>
      </c>
      <c r="J1588" s="0" t="s">
        <v>1829</v>
      </c>
      <c r="K1588" s="0" t="s">
        <v>160</v>
      </c>
      <c r="M1588" s="0" t="s">
        <v>7241</v>
      </c>
      <c r="N1588" s="0" t="str">
        <f aca="false">RIGHT(M1588,LEN(M1588)-FIND(" ",M1588))</f>
        <v>MONROE ST NW</v>
      </c>
      <c r="P1588" s="0" t="s">
        <v>145</v>
      </c>
      <c r="Q1588" s="0" t="s">
        <v>146</v>
      </c>
      <c r="R1588" s="0" t="n">
        <v>44483</v>
      </c>
      <c r="AD1588" s="0" t="s">
        <v>147</v>
      </c>
      <c r="AE1588" s="0" t="s">
        <v>148</v>
      </c>
      <c r="AF1588" s="0" t="s">
        <v>149</v>
      </c>
      <c r="AH1588" s="0" t="n">
        <v>14</v>
      </c>
      <c r="AI1588" s="0" t="n">
        <v>11</v>
      </c>
      <c r="AN1588" s="0" t="s">
        <v>145</v>
      </c>
      <c r="AO1588" s="0" t="s">
        <v>654</v>
      </c>
      <c r="AP1588" s="0" t="s">
        <v>655</v>
      </c>
      <c r="AQ1588" s="0" t="n">
        <v>9</v>
      </c>
      <c r="AR1588" s="0" t="n">
        <v>64</v>
      </c>
      <c r="AS1588" s="0" t="n">
        <v>32</v>
      </c>
      <c r="AU1588" s="0" t="n">
        <f aca="false">COUNTA($BA$1197:$EH$1197)</f>
        <v>1</v>
      </c>
      <c r="AV1588" s="0" t="n">
        <f aca="false">COUNTIF($BA$1197:$EH$1197,"D")</f>
        <v>0</v>
      </c>
      <c r="AW1588" s="0" t="n">
        <f aca="false">COUNTIF($BA$1197:$EH$1197,"R")</f>
        <v>0</v>
      </c>
      <c r="AX1588" s="0" t="n">
        <f aca="false">IF(BN1588="D",1,0)+IF(BO1588="D",1,0)+IF(BT1588="D",1,0)+IF(BU1588="D",1,0)+IF(BW1588="D",1,0)+IF(CC1588="D",1,0)+IF(CD1588="D",1,0)+IF(CE1588="D",1,0)+IF(CF1588="D",1,0)+IF(CL1588="D",1,0)+IF(CM1588="D",1,0)+IF(CQ1588="D",1,0)+IF(CR1588="D",1,0)+IF(CS1588="D",1,0)+IF(CW1588="D",1,0)+IF(CX1588="D",1,0)+IF(DD1588="D",1,0)+IF(DE1588="D",1,0)+IF(DJ1588="D",1,0)+IF(DK1588="D",1,0)+IF(DO1588="D",1,0)+IF(DP1588="D",1,0)+IF(DQ1588="D",1,0)+IF(DW1588="D",1,0)+IF(DZ1588="D",1,0)+IF(EH1588="D",1,0)</f>
        <v>0</v>
      </c>
      <c r="AY1588" s="0" t="n">
        <f aca="false">COUNTIF(DU1588:EH1588, "&lt;&gt;")</f>
        <v>0</v>
      </c>
      <c r="AZ1588" s="0" t="n">
        <f aca="false">IF(EH1588&lt;&gt;"",1,0)</f>
        <v>0</v>
      </c>
      <c r="BB1588" s="0" t="s">
        <v>152</v>
      </c>
    </row>
    <row r="1589" customFormat="false" ht="13.8" hidden="true" customHeight="false" outlineLevel="0" collapsed="false">
      <c r="A1589" s="0" t="s">
        <v>7242</v>
      </c>
      <c r="B1589" s="0" t="n">
        <v>78</v>
      </c>
      <c r="C1589" s="0" t="n">
        <v>332320</v>
      </c>
      <c r="D1589" s="0" t="s">
        <v>7243</v>
      </c>
      <c r="E1589" s="0" t="s">
        <v>7244</v>
      </c>
      <c r="F1589" s="0" t="str">
        <f aca="false">CONCATENATE(D1589," ",LEFT(H1589,4),"T=",AU1589,"D=",AV1589,"R=",AW1589,"M=",AX1589,"L=",AY1589,"B=",AZ1589)</f>
        <v>MCKENZIE T=15D=2R=0M=0L=1B=0</v>
      </c>
      <c r="G1589" s="0" t="s">
        <v>325</v>
      </c>
      <c r="I1589" s="0" t="s">
        <v>7245</v>
      </c>
      <c r="J1589" s="0" t="s">
        <v>1368</v>
      </c>
      <c r="K1589" s="0" t="s">
        <v>160</v>
      </c>
      <c r="M1589" s="0" t="s">
        <v>7246</v>
      </c>
      <c r="N1589" s="0" t="str">
        <f aca="false">RIGHT(M1589,LEN(M1589)-FIND(" ",M1589))</f>
        <v>MONROE ST NW</v>
      </c>
      <c r="P1589" s="0" t="s">
        <v>145</v>
      </c>
      <c r="Q1589" s="0" t="s">
        <v>146</v>
      </c>
      <c r="R1589" s="0" t="n">
        <v>44483</v>
      </c>
      <c r="AD1589" s="0" t="s">
        <v>147</v>
      </c>
      <c r="AE1589" s="0" t="s">
        <v>148</v>
      </c>
      <c r="AF1589" s="0" t="s">
        <v>149</v>
      </c>
      <c r="AH1589" s="0" t="n">
        <v>14</v>
      </c>
      <c r="AI1589" s="0" t="n">
        <v>11</v>
      </c>
      <c r="AN1589" s="0" t="s">
        <v>145</v>
      </c>
      <c r="AO1589" s="0" t="s">
        <v>654</v>
      </c>
      <c r="AP1589" s="0" t="s">
        <v>655</v>
      </c>
      <c r="AQ1589" s="0" t="n">
        <v>9</v>
      </c>
      <c r="AR1589" s="0" t="n">
        <v>64</v>
      </c>
      <c r="AS1589" s="0" t="n">
        <v>32</v>
      </c>
      <c r="AU1589" s="0" t="n">
        <f aca="false">COUNTA($BA$1234:$EH$1234)</f>
        <v>15</v>
      </c>
      <c r="AV1589" s="0" t="n">
        <f aca="false">COUNTIF($BA$1234:$EH$1234,"D")</f>
        <v>2</v>
      </c>
      <c r="AW1589" s="0" t="n">
        <f aca="false">COUNTIF($BA$1234:$EH$1234,"R")</f>
        <v>0</v>
      </c>
      <c r="AX1589" s="0" t="n">
        <f aca="false">IF(BN1589="D",1,0)+IF(BO1589="D",1,0)+IF(BT1589="D",1,0)+IF(BU1589="D",1,0)+IF(BW1589="D",1,0)+IF(CC1589="D",1,0)+IF(CD1589="D",1,0)+IF(CE1589="D",1,0)+IF(CF1589="D",1,0)+IF(CL1589="D",1,0)+IF(CM1589="D",1,0)+IF(CQ1589="D",1,0)+IF(CR1589="D",1,0)+IF(CS1589="D",1,0)+IF(CW1589="D",1,0)+IF(CX1589="D",1,0)+IF(DD1589="D",1,0)+IF(DE1589="D",1,0)+IF(DJ1589="D",1,0)+IF(DK1589="D",1,0)+IF(DO1589="D",1,0)+IF(DP1589="D",1,0)+IF(DQ1589="D",1,0)+IF(DW1589="D",1,0)+IF(DZ1589="D",1,0)+IF(EH1589="D",1,0)</f>
        <v>0</v>
      </c>
      <c r="AY1589" s="0" t="n">
        <f aca="false">COUNTIF(DU1589:EH1589, "&lt;&gt;")</f>
        <v>1</v>
      </c>
      <c r="AZ1589" s="0" t="n">
        <f aca="false">IF(EH1589&lt;&gt;"",1,0)</f>
        <v>0</v>
      </c>
      <c r="BB1589" s="0" t="s">
        <v>152</v>
      </c>
      <c r="BL1589" s="0" t="s">
        <v>153</v>
      </c>
      <c r="CN1589" s="0" t="s">
        <v>153</v>
      </c>
      <c r="CO1589" s="0" t="s">
        <v>175</v>
      </c>
      <c r="CP1589" s="0" t="s">
        <v>153</v>
      </c>
      <c r="CT1589" s="0" t="s">
        <v>153</v>
      </c>
      <c r="CY1589" s="0" t="s">
        <v>153</v>
      </c>
      <c r="DC1589" s="0" t="s">
        <v>153</v>
      </c>
      <c r="DG1589" s="0" t="s">
        <v>209</v>
      </c>
      <c r="DI1589" s="0" t="s">
        <v>153</v>
      </c>
      <c r="DL1589" s="0" t="s">
        <v>153</v>
      </c>
      <c r="DN1589" s="0" t="s">
        <v>153</v>
      </c>
      <c r="EA1589" s="0" t="s">
        <v>153</v>
      </c>
    </row>
    <row r="1590" customFormat="false" ht="13.8" hidden="true" customHeight="false" outlineLevel="0" collapsed="false">
      <c r="A1590" s="0" t="s">
        <v>7247</v>
      </c>
      <c r="B1590" s="0" t="n">
        <v>78</v>
      </c>
      <c r="C1590" s="0" t="n">
        <v>418276</v>
      </c>
      <c r="D1590" s="0" t="s">
        <v>7248</v>
      </c>
      <c r="E1590" s="0" t="s">
        <v>7249</v>
      </c>
      <c r="F1590" s="0" t="str">
        <f aca="false">CONCATENATE(D1590," ",LEFT(H1590,4),"T=",AU1590,"D=",AV1590,"R=",AW1590,"M=",AX1590,"L=",AY1590,"B=",AZ1590)</f>
        <v>RAGER JRT=13D=1R=4M=0L=0B=0</v>
      </c>
      <c r="G1590" s="0" t="s">
        <v>190</v>
      </c>
      <c r="H1590" s="0" t="s">
        <v>314</v>
      </c>
      <c r="I1590" s="0" t="s">
        <v>7250</v>
      </c>
      <c r="J1590" s="0" t="s">
        <v>693</v>
      </c>
      <c r="K1590" s="0" t="s">
        <v>160</v>
      </c>
      <c r="M1590" s="0" t="s">
        <v>7251</v>
      </c>
      <c r="N1590" s="0" t="str">
        <f aca="false">RIGHT(M1590,LEN(M1590)-FIND(" ",M1590))</f>
        <v>MONROE ST NW</v>
      </c>
      <c r="P1590" s="0" t="s">
        <v>145</v>
      </c>
      <c r="Q1590" s="0" t="s">
        <v>146</v>
      </c>
      <c r="R1590" s="0" t="n">
        <v>44483</v>
      </c>
      <c r="AD1590" s="0" t="s">
        <v>147</v>
      </c>
      <c r="AE1590" s="0" t="s">
        <v>148</v>
      </c>
      <c r="AF1590" s="0" t="s">
        <v>149</v>
      </c>
      <c r="AH1590" s="0" t="n">
        <v>14</v>
      </c>
      <c r="AI1590" s="0" t="n">
        <v>11</v>
      </c>
      <c r="AN1590" s="0" t="s">
        <v>145</v>
      </c>
      <c r="AO1590" s="0" t="s">
        <v>654</v>
      </c>
      <c r="AP1590" s="0" t="s">
        <v>655</v>
      </c>
      <c r="AQ1590" s="0" t="n">
        <v>9</v>
      </c>
      <c r="AR1590" s="0" t="n">
        <v>64</v>
      </c>
      <c r="AS1590" s="0" t="n">
        <v>32</v>
      </c>
      <c r="AU1590" s="0" t="n">
        <f aca="false">COUNTA($BA$1112:$EH$1112)</f>
        <v>13</v>
      </c>
      <c r="AV1590" s="0" t="n">
        <f aca="false">COUNTIF($BA$1112:$EH$1112,"D")</f>
        <v>1</v>
      </c>
      <c r="AW1590" s="0" t="n">
        <f aca="false">COUNTIF($BA$1112:$EH$1112,"R")</f>
        <v>4</v>
      </c>
      <c r="AX1590" s="0" t="n">
        <f aca="false">IF(BN1590="D",1,0)+IF(BO1590="D",1,0)+IF(BT1590="D",1,0)+IF(BU1590="D",1,0)+IF(BW1590="D",1,0)+IF(CC1590="D",1,0)+IF(CD1590="D",1,0)+IF(CE1590="D",1,0)+IF(CF1590="D",1,0)+IF(CL1590="D",1,0)+IF(CM1590="D",1,0)+IF(CQ1590="D",1,0)+IF(CR1590="D",1,0)+IF(CS1590="D",1,0)+IF(CW1590="D",1,0)+IF(CX1590="D",1,0)+IF(DD1590="D",1,0)+IF(DE1590="D",1,0)+IF(DJ1590="D",1,0)+IF(DK1590="D",1,0)+IF(DO1590="D",1,0)+IF(DP1590="D",1,0)+IF(DQ1590="D",1,0)+IF(DW1590="D",1,0)+IF(DZ1590="D",1,0)+IF(EH1590="D",1,0)</f>
        <v>0</v>
      </c>
      <c r="AY1590" s="0" t="n">
        <f aca="false">COUNTIF(DU1590:EH1590, "&lt;&gt;")</f>
        <v>0</v>
      </c>
      <c r="AZ1590" s="0" t="n">
        <f aca="false">IF(EH1590&lt;&gt;"",1,0)</f>
        <v>0</v>
      </c>
      <c r="BB1590" s="0" t="s">
        <v>152</v>
      </c>
    </row>
    <row r="1591" customFormat="false" ht="13.8" hidden="true" customHeight="false" outlineLevel="0" collapsed="false">
      <c r="A1591" s="0" t="s">
        <v>7252</v>
      </c>
      <c r="B1591" s="0" t="n">
        <v>78</v>
      </c>
      <c r="C1591" s="0" t="n">
        <v>419816</v>
      </c>
      <c r="D1591" s="0" t="s">
        <v>7253</v>
      </c>
      <c r="E1591" s="0" t="s">
        <v>658</v>
      </c>
      <c r="F1591" s="0" t="str">
        <f aca="false">CONCATENATE(D1591," ",LEFT(H1591,4),"T=",AU1591,"D=",AV1591,"R=",AW1591,"M=",AX1591,"L=",AY1591,"B=",AZ1591)</f>
        <v>ARNETT T=9D=2R=0M=0L=0B=0</v>
      </c>
      <c r="G1591" s="0" t="s">
        <v>7254</v>
      </c>
      <c r="I1591" s="0" t="s">
        <v>7255</v>
      </c>
      <c r="J1591" s="0" t="s">
        <v>7256</v>
      </c>
      <c r="K1591" s="0" t="s">
        <v>160</v>
      </c>
      <c r="M1591" s="0" t="s">
        <v>7257</v>
      </c>
      <c r="N1591" s="0" t="str">
        <f aca="false">RIGHT(M1591,LEN(M1591)-FIND(" ",M1591))</f>
        <v>MONROE ST NW</v>
      </c>
      <c r="P1591" s="0" t="s">
        <v>145</v>
      </c>
      <c r="Q1591" s="0" t="s">
        <v>146</v>
      </c>
      <c r="R1591" s="0" t="n">
        <v>44483</v>
      </c>
      <c r="AD1591" s="0" t="s">
        <v>147</v>
      </c>
      <c r="AE1591" s="0" t="s">
        <v>148</v>
      </c>
      <c r="AF1591" s="0" t="s">
        <v>149</v>
      </c>
      <c r="AH1591" s="0" t="n">
        <v>14</v>
      </c>
      <c r="AI1591" s="0" t="n">
        <v>11</v>
      </c>
      <c r="AN1591" s="0" t="s">
        <v>145</v>
      </c>
      <c r="AO1591" s="0" t="s">
        <v>654</v>
      </c>
      <c r="AP1591" s="0" t="s">
        <v>655</v>
      </c>
      <c r="AQ1591" s="0" t="n">
        <v>9</v>
      </c>
      <c r="AR1591" s="0" t="n">
        <v>64</v>
      </c>
      <c r="AS1591" s="0" t="n">
        <v>32</v>
      </c>
      <c r="AU1591" s="0" t="n">
        <f aca="false">COUNTA($BA$1109:$EH$1109)</f>
        <v>9</v>
      </c>
      <c r="AV1591" s="0" t="n">
        <f aca="false">COUNTIF($BA$1109:$EH$1109,"D")</f>
        <v>2</v>
      </c>
      <c r="AW1591" s="0" t="n">
        <f aca="false">COUNTIF($BA$1109:$EH$1109,"R")</f>
        <v>0</v>
      </c>
      <c r="AX1591" s="0" t="n">
        <f aca="false">IF(BN1591="D",1,0)+IF(BO1591="D",1,0)+IF(BT1591="D",1,0)+IF(BU1591="D",1,0)+IF(BW1591="D",1,0)+IF(CC1591="D",1,0)+IF(CD1591="D",1,0)+IF(CE1591="D",1,0)+IF(CF1591="D",1,0)+IF(CL1591="D",1,0)+IF(CM1591="D",1,0)+IF(CQ1591="D",1,0)+IF(CR1591="D",1,0)+IF(CS1591="D",1,0)+IF(CW1591="D",1,0)+IF(CX1591="D",1,0)+IF(DD1591="D",1,0)+IF(DE1591="D",1,0)+IF(DJ1591="D",1,0)+IF(DK1591="D",1,0)+IF(DO1591="D",1,0)+IF(DP1591="D",1,0)+IF(DQ1591="D",1,0)+IF(DW1591="D",1,0)+IF(DZ1591="D",1,0)+IF(EH1591="D",1,0)</f>
        <v>0</v>
      </c>
      <c r="AY1591" s="0" t="n">
        <f aca="false">COUNTIF(DU1591:EH1591, "&lt;&gt;")</f>
        <v>0</v>
      </c>
      <c r="AZ1591" s="0" t="n">
        <f aca="false">IF(EH1591&lt;&gt;"",1,0)</f>
        <v>0</v>
      </c>
      <c r="BB1591" s="0" t="s">
        <v>152</v>
      </c>
    </row>
    <row r="1592" customFormat="false" ht="13.8" hidden="true" customHeight="false" outlineLevel="0" collapsed="false">
      <c r="A1592" s="0" t="s">
        <v>7258</v>
      </c>
      <c r="B1592" s="0" t="n">
        <v>78</v>
      </c>
      <c r="C1592" s="0" t="n">
        <v>457338</v>
      </c>
      <c r="D1592" s="0" t="s">
        <v>7259</v>
      </c>
      <c r="E1592" s="0" t="s">
        <v>1243</v>
      </c>
      <c r="F1592" s="0" t="str">
        <f aca="false">CONCATENATE(D1592," ",LEFT(H1592,4),"T=",AU1592,"D=",AV1592,"R=",AW1592,"M=",AX1592,"L=",AY1592,"B=",AZ1592)</f>
        <v>DUGGER T=7D=1R=0M=0L=0B=0</v>
      </c>
      <c r="I1592" s="0" t="s">
        <v>7260</v>
      </c>
      <c r="J1592" s="0" t="s">
        <v>7261</v>
      </c>
      <c r="K1592" s="0" t="s">
        <v>160</v>
      </c>
      <c r="M1592" s="0" t="s">
        <v>7257</v>
      </c>
      <c r="N1592" s="0" t="str">
        <f aca="false">RIGHT(M1592,LEN(M1592)-FIND(" ",M1592))</f>
        <v>MONROE ST NW</v>
      </c>
      <c r="O1592" s="0" t="s">
        <v>2211</v>
      </c>
      <c r="P1592" s="0" t="s">
        <v>145</v>
      </c>
      <c r="Q1592" s="0" t="s">
        <v>146</v>
      </c>
      <c r="R1592" s="0" t="n">
        <v>44483</v>
      </c>
      <c r="AD1592" s="0" t="s">
        <v>147</v>
      </c>
      <c r="AE1592" s="0" t="s">
        <v>148</v>
      </c>
      <c r="AF1592" s="0" t="s">
        <v>149</v>
      </c>
      <c r="AH1592" s="0" t="n">
        <v>14</v>
      </c>
      <c r="AI1592" s="0" t="n">
        <v>11</v>
      </c>
      <c r="AN1592" s="0" t="s">
        <v>145</v>
      </c>
      <c r="AO1592" s="0" t="s">
        <v>654</v>
      </c>
      <c r="AP1592" s="0" t="s">
        <v>655</v>
      </c>
      <c r="AQ1592" s="0" t="n">
        <v>9</v>
      </c>
      <c r="AR1592" s="0" t="n">
        <v>64</v>
      </c>
      <c r="AS1592" s="0" t="n">
        <v>32</v>
      </c>
      <c r="AU1592" s="0" t="n">
        <f aca="false">COUNTA($BA$1263:$EH$1263)</f>
        <v>7</v>
      </c>
      <c r="AV1592" s="0" t="n">
        <f aca="false">COUNTIF($BA$1263:$EH$1263,"D")</f>
        <v>1</v>
      </c>
      <c r="AW1592" s="0" t="n">
        <f aca="false">COUNTIF($BA$1263:$EH$1263,"R")</f>
        <v>0</v>
      </c>
      <c r="AX1592" s="0" t="n">
        <f aca="false">IF(BN1592="D",1,0)+IF(BO1592="D",1,0)+IF(BT1592="D",1,0)+IF(BU1592="D",1,0)+IF(BW1592="D",1,0)+IF(CC1592="D",1,0)+IF(CD1592="D",1,0)+IF(CE1592="D",1,0)+IF(CF1592="D",1,0)+IF(CL1592="D",1,0)+IF(CM1592="D",1,0)+IF(CQ1592="D",1,0)+IF(CR1592="D",1,0)+IF(CS1592="D",1,0)+IF(CW1592="D",1,0)+IF(CX1592="D",1,0)+IF(DD1592="D",1,0)+IF(DE1592="D",1,0)+IF(DJ1592="D",1,0)+IF(DK1592="D",1,0)+IF(DO1592="D",1,0)+IF(DP1592="D",1,0)+IF(DQ1592="D",1,0)+IF(DW1592="D",1,0)+IF(DZ1592="D",1,0)+IF(EH1592="D",1,0)</f>
        <v>0</v>
      </c>
      <c r="AY1592" s="0" t="n">
        <f aca="false">COUNTIF(DU1592:EH1592, "&lt;&gt;")</f>
        <v>0</v>
      </c>
      <c r="AZ1592" s="0" t="n">
        <f aca="false">IF(EH1592&lt;&gt;"",1,0)</f>
        <v>0</v>
      </c>
      <c r="BB1592" s="0" t="s">
        <v>152</v>
      </c>
    </row>
    <row r="1593" customFormat="false" ht="13.8" hidden="true" customHeight="false" outlineLevel="0" collapsed="false">
      <c r="A1593" s="0" t="s">
        <v>7262</v>
      </c>
      <c r="B1593" s="0" t="n">
        <v>78</v>
      </c>
      <c r="C1593" s="0" t="n">
        <v>431672</v>
      </c>
      <c r="D1593" s="0" t="s">
        <v>5062</v>
      </c>
      <c r="E1593" s="0" t="s">
        <v>324</v>
      </c>
      <c r="F1593" s="0" t="str">
        <f aca="false">CONCATENATE(D1593," ",LEFT(H1593,4),"T=",AU1593,"D=",AV1593,"R=",AW1593,"M=",AX1593,"L=",AY1593,"B=",AZ1593)</f>
        <v>STANLEY T=50D=17R=0M=0L=0B=0</v>
      </c>
      <c r="G1593" s="0" t="s">
        <v>7263</v>
      </c>
      <c r="I1593" s="0" t="s">
        <v>7264</v>
      </c>
      <c r="J1593" s="0" t="s">
        <v>7265</v>
      </c>
      <c r="K1593" s="0" t="s">
        <v>143</v>
      </c>
      <c r="M1593" s="0" t="s">
        <v>7257</v>
      </c>
      <c r="N1593" s="0" t="str">
        <f aca="false">RIGHT(M1593,LEN(M1593)-FIND(" ",M1593))</f>
        <v>MONROE ST NW</v>
      </c>
      <c r="O1593" s="0" t="s">
        <v>2211</v>
      </c>
      <c r="P1593" s="0" t="s">
        <v>145</v>
      </c>
      <c r="Q1593" s="0" t="s">
        <v>146</v>
      </c>
      <c r="R1593" s="0" t="n">
        <v>44483</v>
      </c>
      <c r="AD1593" s="0" t="s">
        <v>147</v>
      </c>
      <c r="AE1593" s="0" t="s">
        <v>148</v>
      </c>
      <c r="AF1593" s="0" t="s">
        <v>149</v>
      </c>
      <c r="AH1593" s="0" t="n">
        <v>14</v>
      </c>
      <c r="AI1593" s="0" t="n">
        <v>11</v>
      </c>
      <c r="AN1593" s="0" t="s">
        <v>145</v>
      </c>
      <c r="AO1593" s="0" t="s">
        <v>654</v>
      </c>
      <c r="AP1593" s="0" t="s">
        <v>655</v>
      </c>
      <c r="AQ1593" s="0" t="n">
        <v>9</v>
      </c>
      <c r="AR1593" s="0" t="n">
        <v>64</v>
      </c>
      <c r="AS1593" s="0" t="n">
        <v>32</v>
      </c>
      <c r="AU1593" s="0" t="n">
        <f aca="false">COUNTA($BA$1481:$EH$1481)</f>
        <v>50</v>
      </c>
      <c r="AV1593" s="0" t="n">
        <f aca="false">COUNTIF($BA$1481:$EH$1481,"D")</f>
        <v>17</v>
      </c>
      <c r="AW1593" s="0" t="n">
        <f aca="false">COUNTIF($BA$1481:$EH$1481,"R")</f>
        <v>0</v>
      </c>
      <c r="AX1593" s="0" t="n">
        <f aca="false">IF(BN1593="D",1,0)+IF(BO1593="D",1,0)+IF(BT1593="D",1,0)+IF(BU1593="D",1,0)+IF(BW1593="D",1,0)+IF(CC1593="D",1,0)+IF(CD1593="D",1,0)+IF(CE1593="D",1,0)+IF(CF1593="D",1,0)+IF(CL1593="D",1,0)+IF(CM1593="D",1,0)+IF(CQ1593="D",1,0)+IF(CR1593="D",1,0)+IF(CS1593="D",1,0)+IF(CW1593="D",1,0)+IF(CX1593="D",1,0)+IF(DD1593="D",1,0)+IF(DE1593="D",1,0)+IF(DJ1593="D",1,0)+IF(DK1593="D",1,0)+IF(DO1593="D",1,0)+IF(DP1593="D",1,0)+IF(DQ1593="D",1,0)+IF(DW1593="D",1,0)+IF(DZ1593="D",1,0)+IF(EH1593="D",1,0)</f>
        <v>0</v>
      </c>
      <c r="AY1593" s="0" t="n">
        <f aca="false">COUNTIF(DU1593:EH1593, "&lt;&gt;")</f>
        <v>0</v>
      </c>
      <c r="AZ1593" s="0" t="n">
        <f aca="false">IF(EH1593&lt;&gt;"",1,0)</f>
        <v>0</v>
      </c>
      <c r="BB1593" s="0" t="s">
        <v>152</v>
      </c>
    </row>
    <row r="1594" customFormat="false" ht="13.8" hidden="true" customHeight="false" outlineLevel="0" collapsed="false">
      <c r="A1594" s="0" t="s">
        <v>7266</v>
      </c>
      <c r="B1594" s="0" t="n">
        <v>78</v>
      </c>
      <c r="C1594" s="0" t="n">
        <v>251524</v>
      </c>
      <c r="D1594" s="0" t="s">
        <v>7267</v>
      </c>
      <c r="E1594" s="0" t="s">
        <v>5302</v>
      </c>
      <c r="F1594" s="0" t="str">
        <f aca="false">CONCATENATE(D1594," ",LEFT(H1594,4),"T=",AU1594,"D=",AV1594,"R=",AW1594,"M=",AX1594,"L=",AY1594,"B=",AZ1594)</f>
        <v>ASHBURN T=8D=0R=0M=0L=0B=0</v>
      </c>
      <c r="G1594" s="0" t="s">
        <v>195</v>
      </c>
      <c r="I1594" s="0" t="s">
        <v>7268</v>
      </c>
      <c r="J1594" s="0" t="s">
        <v>7265</v>
      </c>
      <c r="K1594" s="0" t="s">
        <v>143</v>
      </c>
      <c r="M1594" s="0" t="s">
        <v>7257</v>
      </c>
      <c r="N1594" s="0" t="str">
        <f aca="false">RIGHT(M1594,LEN(M1594)-FIND(" ",M1594))</f>
        <v>MONROE ST NW</v>
      </c>
      <c r="O1594" s="0" t="s">
        <v>2211</v>
      </c>
      <c r="P1594" s="0" t="s">
        <v>145</v>
      </c>
      <c r="Q1594" s="0" t="s">
        <v>146</v>
      </c>
      <c r="R1594" s="0" t="n">
        <v>44483</v>
      </c>
      <c r="AD1594" s="0" t="s">
        <v>147</v>
      </c>
      <c r="AE1594" s="0" t="s">
        <v>148</v>
      </c>
      <c r="AF1594" s="0" t="s">
        <v>149</v>
      </c>
      <c r="AH1594" s="0" t="n">
        <v>14</v>
      </c>
      <c r="AI1594" s="0" t="n">
        <v>11</v>
      </c>
      <c r="AN1594" s="0" t="s">
        <v>145</v>
      </c>
      <c r="AO1594" s="0" t="s">
        <v>654</v>
      </c>
      <c r="AP1594" s="0" t="s">
        <v>655</v>
      </c>
      <c r="AQ1594" s="0" t="n">
        <v>9</v>
      </c>
      <c r="AR1594" s="0" t="n">
        <v>64</v>
      </c>
      <c r="AS1594" s="0" t="n">
        <v>32</v>
      </c>
      <c r="AU1594" s="0" t="n">
        <f aca="false">COUNTA($BA$1493:$EH$1493)</f>
        <v>8</v>
      </c>
      <c r="AV1594" s="0" t="n">
        <f aca="false">COUNTIF($BA$1493:$EH$1493,"D")</f>
        <v>0</v>
      </c>
      <c r="AW1594" s="0" t="n">
        <f aca="false">COUNTIF($BA$1493:$EH$1493,"R")</f>
        <v>0</v>
      </c>
      <c r="AX1594" s="0" t="n">
        <f aca="false">IF(BN1594="D",1,0)+IF(BO1594="D",1,0)+IF(BT1594="D",1,0)+IF(BU1594="D",1,0)+IF(BW1594="D",1,0)+IF(CC1594="D",1,0)+IF(CD1594="D",1,0)+IF(CE1594="D",1,0)+IF(CF1594="D",1,0)+IF(CL1594="D",1,0)+IF(CM1594="D",1,0)+IF(CQ1594="D",1,0)+IF(CR1594="D",1,0)+IF(CS1594="D",1,0)+IF(CW1594="D",1,0)+IF(CX1594="D",1,0)+IF(DD1594="D",1,0)+IF(DE1594="D",1,0)+IF(DJ1594="D",1,0)+IF(DK1594="D",1,0)+IF(DO1594="D",1,0)+IF(DP1594="D",1,0)+IF(DQ1594="D",1,0)+IF(DW1594="D",1,0)+IF(DZ1594="D",1,0)+IF(EH1594="D",1,0)</f>
        <v>0</v>
      </c>
      <c r="AY1594" s="0" t="n">
        <f aca="false">COUNTIF(DU1594:EH1594, "&lt;&gt;")</f>
        <v>0</v>
      </c>
      <c r="AZ1594" s="0" t="n">
        <f aca="false">IF(EH1594&lt;&gt;"",1,0)</f>
        <v>0</v>
      </c>
      <c r="BB1594" s="0" t="s">
        <v>152</v>
      </c>
      <c r="BD1594" s="0" t="s">
        <v>153</v>
      </c>
      <c r="BL1594" s="0" t="s">
        <v>153</v>
      </c>
      <c r="BY1594" s="0" t="s">
        <v>175</v>
      </c>
      <c r="CP1594" s="0" t="s">
        <v>153</v>
      </c>
      <c r="DC1594" s="0" t="s">
        <v>153</v>
      </c>
    </row>
    <row r="1595" customFormat="false" ht="13.8" hidden="true" customHeight="false" outlineLevel="0" collapsed="false">
      <c r="A1595" s="0" t="s">
        <v>7269</v>
      </c>
      <c r="B1595" s="0" t="n">
        <v>78</v>
      </c>
      <c r="C1595" s="0" t="n">
        <v>354893</v>
      </c>
      <c r="D1595" s="0" t="s">
        <v>7270</v>
      </c>
      <c r="E1595" s="0" t="s">
        <v>248</v>
      </c>
      <c r="F1595" s="0" t="str">
        <f aca="false">CONCATENATE(D1595," ",LEFT(H1595,4),"T=",AU1595,"D=",AV1595,"R=",AW1595,"M=",AX1595,"L=",AY1595,"B=",AZ1595)</f>
        <v>KUNTZ T=3D=0R=0M=0L=0B=0</v>
      </c>
      <c r="G1595" s="0" t="s">
        <v>195</v>
      </c>
      <c r="I1595" s="0" t="s">
        <v>7271</v>
      </c>
      <c r="J1595" s="0" t="s">
        <v>7272</v>
      </c>
      <c r="K1595" s="0" t="s">
        <v>143</v>
      </c>
      <c r="M1595" s="0" t="s">
        <v>7257</v>
      </c>
      <c r="N1595" s="0" t="str">
        <f aca="false">RIGHT(M1595,LEN(M1595)-FIND(" ",M1595))</f>
        <v>MONROE ST NW</v>
      </c>
      <c r="O1595" s="0" t="s">
        <v>1947</v>
      </c>
      <c r="P1595" s="0" t="s">
        <v>145</v>
      </c>
      <c r="Q1595" s="0" t="s">
        <v>146</v>
      </c>
      <c r="R1595" s="0" t="n">
        <v>44483</v>
      </c>
      <c r="AD1595" s="0" t="s">
        <v>147</v>
      </c>
      <c r="AE1595" s="0" t="s">
        <v>148</v>
      </c>
      <c r="AF1595" s="0" t="s">
        <v>149</v>
      </c>
      <c r="AH1595" s="0" t="n">
        <v>14</v>
      </c>
      <c r="AI1595" s="0" t="n">
        <v>11</v>
      </c>
      <c r="AN1595" s="0" t="s">
        <v>145</v>
      </c>
      <c r="AO1595" s="0" t="s">
        <v>654</v>
      </c>
      <c r="AP1595" s="0" t="s">
        <v>655</v>
      </c>
      <c r="AQ1595" s="0" t="n">
        <v>9</v>
      </c>
      <c r="AR1595" s="0" t="n">
        <v>64</v>
      </c>
      <c r="AS1595" s="0" t="n">
        <v>32</v>
      </c>
      <c r="AU1595" s="0" t="n">
        <f aca="false">COUNTA($BA$1645:$EH$1645)</f>
        <v>3</v>
      </c>
      <c r="AV1595" s="0" t="n">
        <f aca="false">COUNTIF($BA$1645:$EH$1645,"D")</f>
        <v>0</v>
      </c>
      <c r="AW1595" s="0" t="n">
        <f aca="false">COUNTIF($BA$1645:$EH$1645,"R")</f>
        <v>0</v>
      </c>
      <c r="AX1595" s="0" t="n">
        <f aca="false">IF(BN1595="D",1,0)+IF(BO1595="D",1,0)+IF(BT1595="D",1,0)+IF(BU1595="D",1,0)+IF(BW1595="D",1,0)+IF(CC1595="D",1,0)+IF(CD1595="D",1,0)+IF(CE1595="D",1,0)+IF(CF1595="D",1,0)+IF(CL1595="D",1,0)+IF(CM1595="D",1,0)+IF(CQ1595="D",1,0)+IF(CR1595="D",1,0)+IF(CS1595="D",1,0)+IF(CW1595="D",1,0)+IF(CX1595="D",1,0)+IF(DD1595="D",1,0)+IF(DE1595="D",1,0)+IF(DJ1595="D",1,0)+IF(DK1595="D",1,0)+IF(DO1595="D",1,0)+IF(DP1595="D",1,0)+IF(DQ1595="D",1,0)+IF(DW1595="D",1,0)+IF(DZ1595="D",1,0)+IF(EH1595="D",1,0)</f>
        <v>0</v>
      </c>
      <c r="AY1595" s="0" t="n">
        <f aca="false">COUNTIF(DU1595:EH1595, "&lt;&gt;")</f>
        <v>0</v>
      </c>
      <c r="AZ1595" s="0" t="n">
        <f aca="false">IF(EH1595&lt;&gt;"",1,0)</f>
        <v>0</v>
      </c>
      <c r="BB1595" s="0" t="s">
        <v>152</v>
      </c>
    </row>
    <row r="1596" customFormat="false" ht="13.8" hidden="true" customHeight="false" outlineLevel="0" collapsed="false">
      <c r="A1596" s="0" t="s">
        <v>7273</v>
      </c>
      <c r="B1596" s="0" t="n">
        <v>78</v>
      </c>
      <c r="C1596" s="0" t="n">
        <v>447852</v>
      </c>
      <c r="D1596" s="0" t="s">
        <v>3111</v>
      </c>
      <c r="E1596" s="0" t="s">
        <v>2847</v>
      </c>
      <c r="F1596" s="0" t="str">
        <f aca="false">CONCATENATE(D1596," ",LEFT(H1596,4),"T=",AU1596,"D=",AV1596,"R=",AW1596,"M=",AX1596,"L=",AY1596,"B=",AZ1596)</f>
        <v>DAVENPORT T=21D=4R=0M=0L=0B=0</v>
      </c>
      <c r="G1596" s="0" t="s">
        <v>164</v>
      </c>
      <c r="I1596" s="0" t="s">
        <v>4590</v>
      </c>
      <c r="J1596" s="0" t="s">
        <v>5395</v>
      </c>
      <c r="K1596" s="0" t="s">
        <v>143</v>
      </c>
      <c r="M1596" s="0" t="s">
        <v>7257</v>
      </c>
      <c r="N1596" s="0" t="str">
        <f aca="false">RIGHT(M1596,LEN(M1596)-FIND(" ",M1596))</f>
        <v>MONROE ST NW</v>
      </c>
      <c r="O1596" s="0" t="s">
        <v>1947</v>
      </c>
      <c r="P1596" s="0" t="s">
        <v>145</v>
      </c>
      <c r="Q1596" s="0" t="s">
        <v>146</v>
      </c>
      <c r="R1596" s="0" t="n">
        <v>44483</v>
      </c>
      <c r="AD1596" s="0" t="s">
        <v>147</v>
      </c>
      <c r="AE1596" s="0" t="s">
        <v>148</v>
      </c>
      <c r="AF1596" s="0" t="s">
        <v>149</v>
      </c>
      <c r="AH1596" s="0" t="n">
        <v>14</v>
      </c>
      <c r="AI1596" s="0" t="n">
        <v>11</v>
      </c>
      <c r="AN1596" s="0" t="s">
        <v>145</v>
      </c>
      <c r="AO1596" s="0" t="s">
        <v>654</v>
      </c>
      <c r="AP1596" s="0" t="s">
        <v>655</v>
      </c>
      <c r="AQ1596" s="0" t="n">
        <v>9</v>
      </c>
      <c r="AR1596" s="0" t="n">
        <v>64</v>
      </c>
      <c r="AS1596" s="0" t="n">
        <v>32</v>
      </c>
      <c r="AU1596" s="0" t="n">
        <f aca="false">COUNTA($BA$1690:$EH$1690)</f>
        <v>21</v>
      </c>
      <c r="AV1596" s="0" t="n">
        <f aca="false">COUNTIF($BA$1690:$EH$1690,"D")</f>
        <v>4</v>
      </c>
      <c r="AW1596" s="0" t="n">
        <f aca="false">COUNTIF($BA$1690:$EH$1690,"R")</f>
        <v>0</v>
      </c>
      <c r="AX1596" s="0" t="n">
        <f aca="false">IF(BN1596="D",1,0)+IF(BO1596="D",1,0)+IF(BT1596="D",1,0)+IF(BU1596="D",1,0)+IF(BW1596="D",1,0)+IF(CC1596="D",1,0)+IF(CD1596="D",1,0)+IF(CE1596="D",1,0)+IF(CF1596="D",1,0)+IF(CL1596="D",1,0)+IF(CM1596="D",1,0)+IF(CQ1596="D",1,0)+IF(CR1596="D",1,0)+IF(CS1596="D",1,0)+IF(CW1596="D",1,0)+IF(CX1596="D",1,0)+IF(DD1596="D",1,0)+IF(DE1596="D",1,0)+IF(DJ1596="D",1,0)+IF(DK1596="D",1,0)+IF(DO1596="D",1,0)+IF(DP1596="D",1,0)+IF(DQ1596="D",1,0)+IF(DW1596="D",1,0)+IF(DZ1596="D",1,0)+IF(EH1596="D",1,0)</f>
        <v>0</v>
      </c>
      <c r="AY1596" s="0" t="n">
        <f aca="false">COUNTIF(DU1596:EH1596, "&lt;&gt;")</f>
        <v>0</v>
      </c>
      <c r="AZ1596" s="0" t="n">
        <f aca="false">IF(EH1596&lt;&gt;"",1,0)</f>
        <v>0</v>
      </c>
      <c r="BB1596" s="0" t="s">
        <v>152</v>
      </c>
    </row>
    <row r="1597" customFormat="false" ht="13.8" hidden="true" customHeight="false" outlineLevel="0" collapsed="false">
      <c r="A1597" s="0" t="s">
        <v>7274</v>
      </c>
      <c r="B1597" s="0" t="n">
        <v>78</v>
      </c>
      <c r="C1597" s="0" t="n">
        <v>394597</v>
      </c>
      <c r="D1597" s="0" t="s">
        <v>7275</v>
      </c>
      <c r="E1597" s="0" t="s">
        <v>4648</v>
      </c>
      <c r="F1597" s="0" t="str">
        <f aca="false">CONCATENATE(D1597," ",LEFT(H1597,4),"T=",AU1597,"D=",AV1597,"R=",AW1597,"M=",AX1597,"L=",AY1597,"B=",AZ1597)</f>
        <v>HERALD T=1D=0R=0M=0L=0B=0</v>
      </c>
      <c r="G1597" s="0" t="s">
        <v>171</v>
      </c>
      <c r="I1597" s="0" t="s">
        <v>7276</v>
      </c>
      <c r="J1597" s="0" t="s">
        <v>7277</v>
      </c>
      <c r="K1597" s="0" t="s">
        <v>143</v>
      </c>
      <c r="M1597" s="0" t="s">
        <v>7257</v>
      </c>
      <c r="N1597" s="0" t="str">
        <f aca="false">RIGHT(M1597,LEN(M1597)-FIND(" ",M1597))</f>
        <v>MONROE ST NW</v>
      </c>
      <c r="O1597" s="0" t="s">
        <v>868</v>
      </c>
      <c r="P1597" s="0" t="s">
        <v>145</v>
      </c>
      <c r="Q1597" s="0" t="s">
        <v>146</v>
      </c>
      <c r="R1597" s="0" t="n">
        <v>44483</v>
      </c>
      <c r="AD1597" s="0" t="s">
        <v>147</v>
      </c>
      <c r="AE1597" s="0" t="s">
        <v>148</v>
      </c>
      <c r="AF1597" s="0" t="s">
        <v>149</v>
      </c>
      <c r="AH1597" s="0" t="n">
        <v>14</v>
      </c>
      <c r="AI1597" s="0" t="n">
        <v>11</v>
      </c>
      <c r="AN1597" s="0" t="s">
        <v>145</v>
      </c>
      <c r="AO1597" s="0" t="s">
        <v>654</v>
      </c>
      <c r="AP1597" s="0" t="s">
        <v>655</v>
      </c>
      <c r="AQ1597" s="0" t="n">
        <v>9</v>
      </c>
      <c r="AR1597" s="0" t="n">
        <v>64</v>
      </c>
      <c r="AS1597" s="0" t="n">
        <v>32</v>
      </c>
      <c r="AU1597" s="0" t="n">
        <f aca="false">COUNTA($BA$1783:$EH$1783)</f>
        <v>1</v>
      </c>
      <c r="AV1597" s="0" t="n">
        <f aca="false">COUNTIF($BA$1783:$EH$1783,"D")</f>
        <v>0</v>
      </c>
      <c r="AW1597" s="0" t="n">
        <f aca="false">COUNTIF($BA$1783:$EH$1783,"R")</f>
        <v>0</v>
      </c>
      <c r="AX1597" s="0" t="n">
        <f aca="false">IF(BN1597="D",1,0)+IF(BO1597="D",1,0)+IF(BT1597="D",1,0)+IF(BU1597="D",1,0)+IF(BW1597="D",1,0)+IF(CC1597="D",1,0)+IF(CD1597="D",1,0)+IF(CE1597="D",1,0)+IF(CF1597="D",1,0)+IF(CL1597="D",1,0)+IF(CM1597="D",1,0)+IF(CQ1597="D",1,0)+IF(CR1597="D",1,0)+IF(CS1597="D",1,0)+IF(CW1597="D",1,0)+IF(CX1597="D",1,0)+IF(DD1597="D",1,0)+IF(DE1597="D",1,0)+IF(DJ1597="D",1,0)+IF(DK1597="D",1,0)+IF(DO1597="D",1,0)+IF(DP1597="D",1,0)+IF(DQ1597="D",1,0)+IF(DW1597="D",1,0)+IF(DZ1597="D",1,0)+IF(EH1597="D",1,0)</f>
        <v>0</v>
      </c>
      <c r="AY1597" s="0" t="n">
        <f aca="false">COUNTIF(DU1597:EH1597, "&lt;&gt;")</f>
        <v>0</v>
      </c>
      <c r="AZ1597" s="0" t="n">
        <f aca="false">IF(EH1597&lt;&gt;"",1,0)</f>
        <v>0</v>
      </c>
      <c r="BB1597" s="0" t="s">
        <v>152</v>
      </c>
      <c r="BL1597" s="0" t="s">
        <v>153</v>
      </c>
      <c r="BP1597" s="0" t="s">
        <v>153</v>
      </c>
      <c r="BS1597" s="0" t="s">
        <v>153</v>
      </c>
      <c r="CA1597" s="0" t="s">
        <v>153</v>
      </c>
    </row>
    <row r="1598" customFormat="false" ht="13.8" hidden="true" customHeight="false" outlineLevel="0" collapsed="false">
      <c r="A1598" s="0" t="s">
        <v>7278</v>
      </c>
      <c r="B1598" s="0" t="n">
        <v>78</v>
      </c>
      <c r="C1598" s="0" t="n">
        <v>409797</v>
      </c>
      <c r="D1598" s="0" t="s">
        <v>5223</v>
      </c>
      <c r="E1598" s="0" t="s">
        <v>7279</v>
      </c>
      <c r="F1598" s="0" t="str">
        <f aca="false">CONCATENATE(D1598," ",LEFT(H1598,4),"T=",AU1598,"D=",AV1598,"R=",AW1598,"M=",AX1598,"L=",AY1598,"B=",AZ1598)</f>
        <v>BAKER T=1D=0R=0M=0L=0B=0</v>
      </c>
      <c r="G1598" s="0" t="s">
        <v>713</v>
      </c>
      <c r="I1598" s="0" t="s">
        <v>7280</v>
      </c>
      <c r="J1598" s="0" t="s">
        <v>1530</v>
      </c>
      <c r="K1598" s="0" t="s">
        <v>143</v>
      </c>
      <c r="M1598" s="0" t="s">
        <v>7257</v>
      </c>
      <c r="N1598" s="0" t="str">
        <f aca="false">RIGHT(M1598,LEN(M1598)-FIND(" ",M1598))</f>
        <v>MONROE ST NW</v>
      </c>
      <c r="O1598" s="0" t="s">
        <v>7281</v>
      </c>
      <c r="P1598" s="0" t="s">
        <v>145</v>
      </c>
      <c r="Q1598" s="0" t="s">
        <v>146</v>
      </c>
      <c r="R1598" s="0" t="n">
        <v>44483</v>
      </c>
      <c r="AD1598" s="0" t="s">
        <v>147</v>
      </c>
      <c r="AE1598" s="0" t="s">
        <v>148</v>
      </c>
      <c r="AF1598" s="0" t="s">
        <v>149</v>
      </c>
      <c r="AH1598" s="0" t="n">
        <v>14</v>
      </c>
      <c r="AI1598" s="0" t="n">
        <v>11</v>
      </c>
      <c r="AN1598" s="0" t="s">
        <v>145</v>
      </c>
      <c r="AO1598" s="0" t="s">
        <v>654</v>
      </c>
      <c r="AP1598" s="0" t="s">
        <v>655</v>
      </c>
      <c r="AQ1598" s="0" t="n">
        <v>9</v>
      </c>
      <c r="AR1598" s="0" t="n">
        <v>64</v>
      </c>
      <c r="AS1598" s="0" t="n">
        <v>32</v>
      </c>
      <c r="AU1598" s="0" t="n">
        <f aca="false">COUNTA($BA$1809:$EH$1809)</f>
        <v>1</v>
      </c>
      <c r="AV1598" s="0" t="n">
        <f aca="false">COUNTIF($BA$1809:$EH$1809,"D")</f>
        <v>0</v>
      </c>
      <c r="AW1598" s="0" t="n">
        <f aca="false">COUNTIF($BA$1809:$EH$1809,"R")</f>
        <v>0</v>
      </c>
      <c r="AX1598" s="0" t="n">
        <f aca="false">IF(BN1598="D",1,0)+IF(BO1598="D",1,0)+IF(BT1598="D",1,0)+IF(BU1598="D",1,0)+IF(BW1598="D",1,0)+IF(CC1598="D",1,0)+IF(CD1598="D",1,0)+IF(CE1598="D",1,0)+IF(CF1598="D",1,0)+IF(CL1598="D",1,0)+IF(CM1598="D",1,0)+IF(CQ1598="D",1,0)+IF(CR1598="D",1,0)+IF(CS1598="D",1,0)+IF(CW1598="D",1,0)+IF(CX1598="D",1,0)+IF(DD1598="D",1,0)+IF(DE1598="D",1,0)+IF(DJ1598="D",1,0)+IF(DK1598="D",1,0)+IF(DO1598="D",1,0)+IF(DP1598="D",1,0)+IF(DQ1598="D",1,0)+IF(DW1598="D",1,0)+IF(DZ1598="D",1,0)+IF(EH1598="D",1,0)</f>
        <v>0</v>
      </c>
      <c r="AY1598" s="0" t="n">
        <f aca="false">COUNTIF(DU1598:EH1598, "&lt;&gt;")</f>
        <v>0</v>
      </c>
      <c r="AZ1598" s="0" t="n">
        <f aca="false">IF(EH1598&lt;&gt;"",1,0)</f>
        <v>0</v>
      </c>
      <c r="BB1598" s="0" t="s">
        <v>152</v>
      </c>
    </row>
    <row r="1599" customFormat="false" ht="13.8" hidden="true" customHeight="false" outlineLevel="0" collapsed="false">
      <c r="A1599" s="0" t="s">
        <v>7282</v>
      </c>
      <c r="B1599" s="0" t="n">
        <v>78</v>
      </c>
      <c r="C1599" s="0" t="n">
        <v>487795</v>
      </c>
      <c r="D1599" s="0" t="s">
        <v>7283</v>
      </c>
      <c r="E1599" s="0" t="s">
        <v>248</v>
      </c>
      <c r="F1599" s="0" t="str">
        <f aca="false">CONCATENATE(D1599," ",LEFT(H1599,4),"T=",AU1599,"D=",AV1599,"R=",AW1599,"M=",AX1599,"L=",AY1599,"B=",AZ1599)</f>
        <v>FAY T=3D=0R=0M=0L=1B=0</v>
      </c>
      <c r="G1599" s="0" t="s">
        <v>541</v>
      </c>
      <c r="I1599" s="0" t="s">
        <v>7284</v>
      </c>
      <c r="J1599" s="0" t="s">
        <v>4233</v>
      </c>
      <c r="K1599" s="0" t="s">
        <v>160</v>
      </c>
      <c r="M1599" s="0" t="s">
        <v>7285</v>
      </c>
      <c r="N1599" s="0" t="str">
        <f aca="false">RIGHT(M1599,LEN(M1599)-FIND(" ",M1599))</f>
        <v>MONROE ST NW</v>
      </c>
      <c r="P1599" s="0" t="s">
        <v>145</v>
      </c>
      <c r="Q1599" s="0" t="s">
        <v>146</v>
      </c>
      <c r="R1599" s="0" t="n">
        <v>44483</v>
      </c>
      <c r="AD1599" s="0" t="s">
        <v>147</v>
      </c>
      <c r="AE1599" s="0" t="s">
        <v>148</v>
      </c>
      <c r="AF1599" s="0" t="s">
        <v>149</v>
      </c>
      <c r="AH1599" s="0" t="n">
        <v>14</v>
      </c>
      <c r="AI1599" s="0" t="n">
        <v>11</v>
      </c>
      <c r="AN1599" s="0" t="s">
        <v>145</v>
      </c>
      <c r="AO1599" s="0" t="s">
        <v>654</v>
      </c>
      <c r="AP1599" s="0" t="s">
        <v>655</v>
      </c>
      <c r="AQ1599" s="0" t="n">
        <v>9</v>
      </c>
      <c r="AR1599" s="0" t="n">
        <v>64</v>
      </c>
      <c r="AS1599" s="0" t="n">
        <v>32</v>
      </c>
      <c r="AU1599" s="0" t="n">
        <f aca="false">COUNTA($BA$1485:$EH$1485)</f>
        <v>3</v>
      </c>
      <c r="AV1599" s="0" t="n">
        <f aca="false">COUNTIF($BA$1485:$EH$1485,"D")</f>
        <v>0</v>
      </c>
      <c r="AW1599" s="0" t="n">
        <f aca="false">COUNTIF($BA$1485:$EH$1485,"R")</f>
        <v>0</v>
      </c>
      <c r="AX1599" s="0" t="n">
        <f aca="false">IF(BN1599="D",1,0)+IF(BO1599="D",1,0)+IF(BT1599="D",1,0)+IF(BU1599="D",1,0)+IF(BW1599="D",1,0)+IF(CC1599="D",1,0)+IF(CD1599="D",1,0)+IF(CE1599="D",1,0)+IF(CF1599="D",1,0)+IF(CL1599="D",1,0)+IF(CM1599="D",1,0)+IF(CQ1599="D",1,0)+IF(CR1599="D",1,0)+IF(CS1599="D",1,0)+IF(CW1599="D",1,0)+IF(CX1599="D",1,0)+IF(DD1599="D",1,0)+IF(DE1599="D",1,0)+IF(DJ1599="D",1,0)+IF(DK1599="D",1,0)+IF(DO1599="D",1,0)+IF(DP1599="D",1,0)+IF(DQ1599="D",1,0)+IF(DW1599="D",1,0)+IF(DZ1599="D",1,0)+IF(EH1599="D",1,0)</f>
        <v>0</v>
      </c>
      <c r="AY1599" s="0" t="n">
        <f aca="false">COUNTIF(DU1599:EH1599, "&lt;&gt;")</f>
        <v>1</v>
      </c>
      <c r="AZ1599" s="0" t="n">
        <f aca="false">IF(EH1599&lt;&gt;"",1,0)</f>
        <v>0</v>
      </c>
      <c r="BB1599" s="0" t="s">
        <v>152</v>
      </c>
      <c r="EF1599" s="0" t="s">
        <v>153</v>
      </c>
    </row>
    <row r="1600" customFormat="false" ht="13.8" hidden="false" customHeight="false" outlineLevel="0" collapsed="false">
      <c r="A1600" s="0" t="s">
        <v>7286</v>
      </c>
      <c r="B1600" s="0" t="n">
        <v>78</v>
      </c>
      <c r="C1600" s="0" t="n">
        <v>457004</v>
      </c>
      <c r="D1600" s="0" t="s">
        <v>7283</v>
      </c>
      <c r="E1600" s="0" t="s">
        <v>541</v>
      </c>
      <c r="F1600" s="0" t="str">
        <f aca="false">CONCATENATE(D1600," ",LEFT(H1600,4),"T=",AU1600,"D=",AV1600,"R=",AW1600,"M=",AX1600,"L=",AY1600,"B=",AZ1600)</f>
        <v>FAY T=29D=6R=0M=0L=2B=0</v>
      </c>
      <c r="G1600" s="0" t="s">
        <v>1366</v>
      </c>
      <c r="I1600" s="0" t="s">
        <v>7287</v>
      </c>
      <c r="J1600" s="0" t="s">
        <v>7288</v>
      </c>
      <c r="K1600" s="0" t="s">
        <v>160</v>
      </c>
      <c r="M1600" s="0" t="s">
        <v>7285</v>
      </c>
      <c r="N1600" s="0" t="str">
        <f aca="false">RIGHT(M1600,LEN(M1600)-FIND(" ",M1600))</f>
        <v>MONROE ST NW</v>
      </c>
      <c r="P1600" s="0" t="s">
        <v>145</v>
      </c>
      <c r="Q1600" s="0" t="s">
        <v>146</v>
      </c>
      <c r="R1600" s="0" t="n">
        <v>44483</v>
      </c>
      <c r="AD1600" s="0" t="s">
        <v>147</v>
      </c>
      <c r="AE1600" s="0" t="s">
        <v>148</v>
      </c>
      <c r="AF1600" s="0" t="s">
        <v>149</v>
      </c>
      <c r="AH1600" s="0" t="n">
        <v>14</v>
      </c>
      <c r="AI1600" s="0" t="n">
        <v>11</v>
      </c>
      <c r="AN1600" s="0" t="s">
        <v>145</v>
      </c>
      <c r="AO1600" s="0" t="s">
        <v>654</v>
      </c>
      <c r="AP1600" s="0" t="s">
        <v>655</v>
      </c>
      <c r="AQ1600" s="0" t="n">
        <v>9</v>
      </c>
      <c r="AR1600" s="0" t="n">
        <v>64</v>
      </c>
      <c r="AS1600" s="0" t="n">
        <v>32</v>
      </c>
      <c r="AU1600" s="0" t="n">
        <f aca="false">COUNTA($BA$1734:$EH$1734)</f>
        <v>29</v>
      </c>
      <c r="AV1600" s="0" t="n">
        <f aca="false">COUNTIF($BA$1734:$EH$1734,"D")</f>
        <v>6</v>
      </c>
      <c r="AW1600" s="0" t="n">
        <f aca="false">COUNTIF($BA$1734:$EH$1734,"R")</f>
        <v>0</v>
      </c>
      <c r="AX1600" s="0" t="n">
        <f aca="false">IF(BN1600="D",1,0)+IF(BO1600="D",1,0)+IF(BT1600="D",1,0)+IF(BU1600="D",1,0)+IF(BW1600="D",1,0)+IF(CC1600="D",1,0)+IF(CD1600="D",1,0)+IF(CE1600="D",1,0)+IF(CF1600="D",1,0)+IF(CL1600="D",1,0)+IF(CM1600="D",1,0)+IF(CQ1600="D",1,0)+IF(CR1600="D",1,0)+IF(CS1600="D",1,0)+IF(CW1600="D",1,0)+IF(CX1600="D",1,0)+IF(DD1600="D",1,0)+IF(DE1600="D",1,0)+IF(DJ1600="D",1,0)+IF(DK1600="D",1,0)+IF(DO1600="D",1,0)+IF(DP1600="D",1,0)+IF(DQ1600="D",1,0)+IF(DW1600="D",1,0)+IF(DZ1600="D",1,0)+IF(EH1600="D",1,0)</f>
        <v>0</v>
      </c>
      <c r="AY1600" s="0" t="n">
        <f aca="false">COUNTIF(DU1600:EH1600, "&lt;&gt;")</f>
        <v>2</v>
      </c>
      <c r="AZ1600" s="0" t="n">
        <f aca="false">IF(EH1600&lt;&gt;"",1,0)</f>
        <v>0</v>
      </c>
      <c r="BB1600" s="0" t="s">
        <v>152</v>
      </c>
      <c r="DU1600" s="0" t="s">
        <v>153</v>
      </c>
      <c r="EF1600" s="0" t="s">
        <v>153</v>
      </c>
    </row>
    <row r="1601" customFormat="false" ht="13.8" hidden="false" customHeight="false" outlineLevel="0" collapsed="false">
      <c r="A1601" s="0" t="s">
        <v>7289</v>
      </c>
      <c r="B1601" s="0" t="n">
        <v>78</v>
      </c>
      <c r="C1601" s="0" t="n">
        <v>463030</v>
      </c>
      <c r="D1601" s="0" t="s">
        <v>7283</v>
      </c>
      <c r="E1601" s="0" t="s">
        <v>140</v>
      </c>
      <c r="F1601" s="0" t="str">
        <f aca="false">CONCATENATE(D1601," ",LEFT(H1601,4),"T=",AU1601,"D=",AV1601,"R=",AW1601,"M=",AX1601,"L=",AY1601,"B=",AZ1601)</f>
        <v>FAY T=1D=0R=0M=0L=2B=0</v>
      </c>
      <c r="G1601" s="0" t="s">
        <v>1123</v>
      </c>
      <c r="I1601" s="0" t="s">
        <v>7290</v>
      </c>
      <c r="J1601" s="0" t="s">
        <v>7291</v>
      </c>
      <c r="K1601" s="0" t="s">
        <v>160</v>
      </c>
      <c r="M1601" s="0" t="s">
        <v>7285</v>
      </c>
      <c r="N1601" s="0" t="str">
        <f aca="false">RIGHT(M1601,LEN(M1601)-FIND(" ",M1601))</f>
        <v>MONROE ST NW</v>
      </c>
      <c r="P1601" s="0" t="s">
        <v>145</v>
      </c>
      <c r="Q1601" s="0" t="s">
        <v>146</v>
      </c>
      <c r="R1601" s="0" t="n">
        <v>44483</v>
      </c>
      <c r="AD1601" s="0" t="s">
        <v>147</v>
      </c>
      <c r="AE1601" s="0" t="s">
        <v>148</v>
      </c>
      <c r="AF1601" s="0" t="s">
        <v>149</v>
      </c>
      <c r="AH1601" s="0" t="n">
        <v>14</v>
      </c>
      <c r="AI1601" s="0" t="n">
        <v>11</v>
      </c>
      <c r="AN1601" s="0" t="s">
        <v>145</v>
      </c>
      <c r="AO1601" s="0" t="s">
        <v>654</v>
      </c>
      <c r="AP1601" s="0" t="s">
        <v>655</v>
      </c>
      <c r="AQ1601" s="0" t="n">
        <v>9</v>
      </c>
      <c r="AR1601" s="0" t="n">
        <v>64</v>
      </c>
      <c r="AS1601" s="0" t="n">
        <v>32</v>
      </c>
      <c r="AU1601" s="0" t="n">
        <f aca="false">COUNTA($BA$2050:$EH$2050)</f>
        <v>1</v>
      </c>
      <c r="AV1601" s="0" t="n">
        <f aca="false">COUNTIF($BA$2050:$EH$2050,"D")</f>
        <v>0</v>
      </c>
      <c r="AW1601" s="0" t="n">
        <f aca="false">COUNTIF($BA$2050:$EH$2050,"R")</f>
        <v>0</v>
      </c>
      <c r="AX1601" s="0" t="n">
        <f aca="false">IF(BN1601="D",1,0)+IF(BO1601="D",1,0)+IF(BT1601="D",1,0)+IF(BU1601="D",1,0)+IF(BW1601="D",1,0)+IF(CC1601="D",1,0)+IF(CD1601="D",1,0)+IF(CE1601="D",1,0)+IF(CF1601="D",1,0)+IF(CL1601="D",1,0)+IF(CM1601="D",1,0)+IF(CQ1601="D",1,0)+IF(CR1601="D",1,0)+IF(CS1601="D",1,0)+IF(CW1601="D",1,0)+IF(CX1601="D",1,0)+IF(DD1601="D",1,0)+IF(DE1601="D",1,0)+IF(DJ1601="D",1,0)+IF(DK1601="D",1,0)+IF(DO1601="D",1,0)+IF(DP1601="D",1,0)+IF(DQ1601="D",1,0)+IF(DW1601="D",1,0)+IF(DZ1601="D",1,0)+IF(EH1601="D",1,0)</f>
        <v>0</v>
      </c>
      <c r="AY1601" s="0" t="n">
        <f aca="false">COUNTIF(DU1601:EH1601, "&lt;&gt;")</f>
        <v>2</v>
      </c>
      <c r="AZ1601" s="0" t="n">
        <f aca="false">IF(EH1601&lt;&gt;"",1,0)</f>
        <v>0</v>
      </c>
      <c r="BB1601" s="0" t="s">
        <v>152</v>
      </c>
      <c r="DU1601" s="0" t="s">
        <v>153</v>
      </c>
      <c r="EF1601" s="0" t="s">
        <v>153</v>
      </c>
    </row>
    <row r="1602" customFormat="false" ht="13.8" hidden="false" customHeight="false" outlineLevel="0" collapsed="false">
      <c r="A1602" s="0" t="s">
        <v>7292</v>
      </c>
      <c r="B1602" s="0" t="n">
        <v>78</v>
      </c>
      <c r="C1602" s="0" t="n">
        <v>70420</v>
      </c>
      <c r="D1602" s="0" t="s">
        <v>761</v>
      </c>
      <c r="E1602" s="0" t="s">
        <v>7293</v>
      </c>
      <c r="F1602" s="0" t="str">
        <f aca="false">CONCATENATE(D1602," ",LEFT(H1602,4),"T=",AU1602,"D=",AV1602,"R=",AW1602,"M=",AX1602,"L=",AY1602,"B=",AZ1602)</f>
        <v>BROWN T=1D=0R=0M=5L=6B=0</v>
      </c>
      <c r="G1602" s="0" t="s">
        <v>325</v>
      </c>
      <c r="I1602" s="0" t="s">
        <v>7294</v>
      </c>
      <c r="J1602" s="0" t="s">
        <v>7295</v>
      </c>
      <c r="K1602" s="0" t="s">
        <v>160</v>
      </c>
      <c r="L1602" s="0" t="s">
        <v>175</v>
      </c>
      <c r="M1602" s="0" t="s">
        <v>7296</v>
      </c>
      <c r="N1602" s="0" t="str">
        <f aca="false">RIGHT(M1602,LEN(M1602)-FIND(" ",M1602))</f>
        <v>MONROE ST NW</v>
      </c>
      <c r="P1602" s="0" t="s">
        <v>145</v>
      </c>
      <c r="Q1602" s="0" t="s">
        <v>146</v>
      </c>
      <c r="R1602" s="0" t="n">
        <v>44483</v>
      </c>
      <c r="V1602" s="0" t="s">
        <v>7297</v>
      </c>
      <c r="X1602" s="0" t="s">
        <v>145</v>
      </c>
      <c r="Y1602" s="0" t="s">
        <v>146</v>
      </c>
      <c r="Z1602" s="0" t="n">
        <v>44482</v>
      </c>
      <c r="AD1602" s="0" t="s">
        <v>147</v>
      </c>
      <c r="AE1602" s="0" t="s">
        <v>148</v>
      </c>
      <c r="AF1602" s="0" t="s">
        <v>149</v>
      </c>
      <c r="AH1602" s="0" t="n">
        <v>14</v>
      </c>
      <c r="AI1602" s="0" t="n">
        <v>11</v>
      </c>
      <c r="AN1602" s="0" t="s">
        <v>145</v>
      </c>
      <c r="AO1602" s="0" t="s">
        <v>654</v>
      </c>
      <c r="AP1602" s="0" t="s">
        <v>655</v>
      </c>
      <c r="AQ1602" s="0" t="n">
        <v>9</v>
      </c>
      <c r="AR1602" s="0" t="n">
        <v>64</v>
      </c>
      <c r="AS1602" s="0" t="n">
        <v>32</v>
      </c>
      <c r="AU1602" s="0" t="n">
        <f aca="false">COUNTA($BA$1175:$EH$1175)</f>
        <v>1</v>
      </c>
      <c r="AV1602" s="0" t="n">
        <f aca="false">COUNTIF($BA$1175:$EH$1175,"D")</f>
        <v>0</v>
      </c>
      <c r="AW1602" s="0" t="n">
        <f aca="false">COUNTIF($BA$1175:$EH$1175,"R")</f>
        <v>0</v>
      </c>
      <c r="AX1602" s="0" t="n">
        <f aca="false">IF(BN1602="D",1,0)+IF(BO1602="D",1,0)+IF(BT1602="D",1,0)+IF(BU1602="D",1,0)+IF(BW1602="D",1,0)+IF(CC1602="D",1,0)+IF(CD1602="D",1,0)+IF(CE1602="D",1,0)+IF(CF1602="D",1,0)+IF(CL1602="D",1,0)+IF(CM1602="D",1,0)+IF(CQ1602="D",1,0)+IF(CR1602="D",1,0)+IF(CS1602="D",1,0)+IF(CW1602="D",1,0)+IF(CX1602="D",1,0)+IF(DD1602="D",1,0)+IF(DE1602="D",1,0)+IF(DJ1602="D",1,0)+IF(DK1602="D",1,0)+IF(DO1602="D",1,0)+IF(DP1602="D",1,0)+IF(DQ1602="D",1,0)+IF(DW1602="D",1,0)+IF(DZ1602="D",1,0)+IF(EH1602="D",1,0)</f>
        <v>5</v>
      </c>
      <c r="AY1602" s="0" t="n">
        <f aca="false">COUNTIF(DU1602:EH1602, "&lt;&gt;")</f>
        <v>6</v>
      </c>
      <c r="AZ1602" s="0" t="n">
        <f aca="false">IF(EH1602&lt;&gt;"",1,0)</f>
        <v>0</v>
      </c>
      <c r="BB1602" s="0" t="s">
        <v>152</v>
      </c>
      <c r="BC1602" s="0" t="s">
        <v>153</v>
      </c>
      <c r="BD1602" s="0" t="s">
        <v>153</v>
      </c>
      <c r="BE1602" s="0" t="s">
        <v>153</v>
      </c>
      <c r="BF1602" s="0" t="s">
        <v>153</v>
      </c>
      <c r="BG1602" s="0" t="s">
        <v>153</v>
      </c>
      <c r="BH1602" s="0" t="s">
        <v>153</v>
      </c>
      <c r="BI1602" s="0" t="s">
        <v>153</v>
      </c>
      <c r="BJ1602" s="0" t="s">
        <v>153</v>
      </c>
      <c r="BK1602" s="0" t="s">
        <v>153</v>
      </c>
      <c r="BL1602" s="0" t="s">
        <v>153</v>
      </c>
      <c r="BP1602" s="0" t="s">
        <v>153</v>
      </c>
      <c r="BR1602" s="0" t="s">
        <v>153</v>
      </c>
      <c r="BS1602" s="0" t="s">
        <v>153</v>
      </c>
      <c r="BT1602" s="0" t="s">
        <v>153</v>
      </c>
      <c r="BV1602" s="0" t="s">
        <v>153</v>
      </c>
      <c r="BY1602" s="0" t="s">
        <v>175</v>
      </c>
      <c r="CA1602" s="0" t="s">
        <v>153</v>
      </c>
      <c r="CC1602" s="0" t="s">
        <v>175</v>
      </c>
      <c r="CG1602" s="0" t="s">
        <v>153</v>
      </c>
      <c r="CH1602" s="0" t="s">
        <v>175</v>
      </c>
      <c r="CK1602" s="0" t="s">
        <v>153</v>
      </c>
      <c r="CL1602" s="0" t="s">
        <v>175</v>
      </c>
      <c r="CN1602" s="0" t="s">
        <v>153</v>
      </c>
      <c r="CO1602" s="0" t="s">
        <v>175</v>
      </c>
      <c r="CP1602" s="0" t="s">
        <v>153</v>
      </c>
      <c r="CQ1602" s="0" t="s">
        <v>175</v>
      </c>
      <c r="CT1602" s="0" t="s">
        <v>153</v>
      </c>
      <c r="CU1602" s="0" t="s">
        <v>175</v>
      </c>
      <c r="CV1602" s="0" t="s">
        <v>153</v>
      </c>
      <c r="CW1602" s="0" t="s">
        <v>175</v>
      </c>
      <c r="CY1602" s="0" t="s">
        <v>153</v>
      </c>
      <c r="CZ1602" s="0" t="s">
        <v>175</v>
      </c>
      <c r="DC1602" s="0" t="s">
        <v>153</v>
      </c>
      <c r="DF1602" s="0" t="s">
        <v>153</v>
      </c>
      <c r="DG1602" s="0" t="s">
        <v>175</v>
      </c>
      <c r="DI1602" s="0" t="s">
        <v>153</v>
      </c>
      <c r="DL1602" s="0" t="s">
        <v>153</v>
      </c>
      <c r="DN1602" s="0" t="s">
        <v>153</v>
      </c>
      <c r="DR1602" s="0" t="s">
        <v>153</v>
      </c>
      <c r="DS1602" s="0" t="s">
        <v>175</v>
      </c>
      <c r="DU1602" s="0" t="s">
        <v>153</v>
      </c>
      <c r="DW1602" s="0" t="s">
        <v>175</v>
      </c>
      <c r="DX1602" s="0" t="s">
        <v>153</v>
      </c>
      <c r="EA1602" s="0" t="s">
        <v>153</v>
      </c>
      <c r="ED1602" s="0" t="s">
        <v>175</v>
      </c>
      <c r="EF1602" s="0" t="s">
        <v>153</v>
      </c>
    </row>
    <row r="1603" customFormat="false" ht="13.8" hidden="false" customHeight="false" outlineLevel="0" collapsed="false">
      <c r="A1603" s="0" t="s">
        <v>7298</v>
      </c>
      <c r="B1603" s="0" t="n">
        <v>78</v>
      </c>
      <c r="C1603" s="0" t="n">
        <v>1026</v>
      </c>
      <c r="D1603" s="0" t="s">
        <v>7299</v>
      </c>
      <c r="E1603" s="0" t="s">
        <v>1128</v>
      </c>
      <c r="F1603" s="0" t="str">
        <f aca="false">CONCATENATE(D1603," ",LEFT(H1603,4),"T=",AU1603,"D=",AV1603,"R=",AW1603,"M=",AX1603,"L=",AY1603,"B=",AZ1603)</f>
        <v>GRIFFITH IIIT=1D=0R=0M=6L=7B=1</v>
      </c>
      <c r="G1603" s="0" t="s">
        <v>522</v>
      </c>
      <c r="H1603" s="0" t="s">
        <v>1932</v>
      </c>
      <c r="I1603" s="0" t="s">
        <v>7300</v>
      </c>
      <c r="J1603" s="0" t="s">
        <v>7301</v>
      </c>
      <c r="K1603" s="0" t="s">
        <v>160</v>
      </c>
      <c r="L1603" s="0" t="s">
        <v>175</v>
      </c>
      <c r="M1603" s="0" t="s">
        <v>7302</v>
      </c>
      <c r="N1603" s="0" t="str">
        <f aca="false">RIGHT(M1603,LEN(M1603)-FIND(" ",M1603))</f>
        <v>MONROE ST NW</v>
      </c>
      <c r="O1603" s="0" t="s">
        <v>7303</v>
      </c>
      <c r="P1603" s="0" t="s">
        <v>145</v>
      </c>
      <c r="Q1603" s="0" t="s">
        <v>146</v>
      </c>
      <c r="R1603" s="0" t="n">
        <v>44483</v>
      </c>
      <c r="AD1603" s="0" t="s">
        <v>147</v>
      </c>
      <c r="AE1603" s="0" t="s">
        <v>148</v>
      </c>
      <c r="AF1603" s="0" t="s">
        <v>149</v>
      </c>
      <c r="AH1603" s="0" t="n">
        <v>14</v>
      </c>
      <c r="AI1603" s="0" t="n">
        <v>11</v>
      </c>
      <c r="AN1603" s="0" t="s">
        <v>145</v>
      </c>
      <c r="AO1603" s="0" t="s">
        <v>654</v>
      </c>
      <c r="AP1603" s="0" t="s">
        <v>655</v>
      </c>
      <c r="AQ1603" s="0" t="n">
        <v>9</v>
      </c>
      <c r="AR1603" s="0" t="n">
        <v>64</v>
      </c>
      <c r="AS1603" s="0" t="n">
        <v>32</v>
      </c>
      <c r="AU1603" s="0" t="n">
        <f aca="false">COUNTA($BA$1100:$EH$1100)</f>
        <v>1</v>
      </c>
      <c r="AV1603" s="0" t="n">
        <f aca="false">COUNTIF($BA$1100:$EH$1100,"D")</f>
        <v>0</v>
      </c>
      <c r="AW1603" s="0" t="n">
        <f aca="false">COUNTIF($BA$1100:$EH$1100,"R")</f>
        <v>0</v>
      </c>
      <c r="AX1603" s="0" t="n">
        <f aca="false">IF(BN1603="D",1,0)+IF(BO1603="D",1,0)+IF(BT1603="D",1,0)+IF(BU1603="D",1,0)+IF(BW1603="D",1,0)+IF(CC1603="D",1,0)+IF(CD1603="D",1,0)+IF(CE1603="D",1,0)+IF(CF1603="D",1,0)+IF(CL1603="D",1,0)+IF(CM1603="D",1,0)+IF(CQ1603="D",1,0)+IF(CR1603="D",1,0)+IF(CS1603="D",1,0)+IF(CW1603="D",1,0)+IF(CX1603="D",1,0)+IF(DD1603="D",1,0)+IF(DE1603="D",1,0)+IF(DJ1603="D",1,0)+IF(DK1603="D",1,0)+IF(DO1603="D",1,0)+IF(DP1603="D",1,0)+IF(DQ1603="D",1,0)+IF(DW1603="D",1,0)+IF(DZ1603="D",1,0)+IF(EH1603="D",1,0)</f>
        <v>6</v>
      </c>
      <c r="AY1603" s="0" t="n">
        <f aca="false">COUNTIF(DU1603:EH1603, "&lt;&gt;")</f>
        <v>7</v>
      </c>
      <c r="AZ1603" s="0" t="n">
        <f aca="false">IF(EH1603&lt;&gt;"",1,0)</f>
        <v>1</v>
      </c>
      <c r="BB1603" s="0" t="s">
        <v>152</v>
      </c>
      <c r="BC1603" s="0" t="s">
        <v>153</v>
      </c>
      <c r="BD1603" s="0" t="s">
        <v>153</v>
      </c>
      <c r="BE1603" s="0" t="s">
        <v>153</v>
      </c>
      <c r="BF1603" s="0" t="s">
        <v>153</v>
      </c>
      <c r="BG1603" s="0" t="s">
        <v>153</v>
      </c>
      <c r="BH1603" s="0" t="s">
        <v>153</v>
      </c>
      <c r="BI1603" s="0" t="s">
        <v>153</v>
      </c>
      <c r="BJ1603" s="0" t="s">
        <v>153</v>
      </c>
      <c r="BK1603" s="0" t="s">
        <v>153</v>
      </c>
      <c r="BL1603" s="0" t="s">
        <v>153</v>
      </c>
      <c r="BP1603" s="0" t="s">
        <v>153</v>
      </c>
      <c r="BR1603" s="0" t="s">
        <v>153</v>
      </c>
      <c r="BS1603" s="0" t="s">
        <v>153</v>
      </c>
      <c r="BV1603" s="0" t="s">
        <v>153</v>
      </c>
      <c r="BY1603" s="0" t="s">
        <v>175</v>
      </c>
      <c r="CA1603" s="0" t="s">
        <v>153</v>
      </c>
      <c r="CC1603" s="0" t="s">
        <v>175</v>
      </c>
      <c r="CG1603" s="0" t="s">
        <v>153</v>
      </c>
      <c r="CH1603" s="0" t="s">
        <v>175</v>
      </c>
      <c r="CK1603" s="0" t="s">
        <v>153</v>
      </c>
      <c r="CN1603" s="0" t="s">
        <v>153</v>
      </c>
      <c r="CO1603" s="0" t="s">
        <v>175</v>
      </c>
      <c r="CP1603" s="0" t="s">
        <v>153</v>
      </c>
      <c r="CT1603" s="0" t="s">
        <v>153</v>
      </c>
      <c r="CU1603" s="0" t="s">
        <v>175</v>
      </c>
      <c r="CV1603" s="0" t="s">
        <v>153</v>
      </c>
      <c r="CW1603" s="0" t="s">
        <v>175</v>
      </c>
      <c r="CY1603" s="0" t="s">
        <v>153</v>
      </c>
      <c r="CZ1603" s="0" t="s">
        <v>175</v>
      </c>
      <c r="DC1603" s="0" t="s">
        <v>153</v>
      </c>
      <c r="DD1603" s="0" t="s">
        <v>175</v>
      </c>
      <c r="DF1603" s="0" t="s">
        <v>153</v>
      </c>
      <c r="DG1603" s="0" t="s">
        <v>175</v>
      </c>
      <c r="DI1603" s="0" t="s">
        <v>153</v>
      </c>
      <c r="DJ1603" s="0" t="s">
        <v>175</v>
      </c>
      <c r="DL1603" s="0" t="s">
        <v>153</v>
      </c>
      <c r="DM1603" s="0" t="s">
        <v>175</v>
      </c>
      <c r="DN1603" s="0" t="s">
        <v>153</v>
      </c>
      <c r="DR1603" s="0" t="s">
        <v>153</v>
      </c>
      <c r="DS1603" s="0" t="s">
        <v>175</v>
      </c>
      <c r="DT1603" s="0" t="s">
        <v>175</v>
      </c>
      <c r="DU1603" s="0" t="s">
        <v>153</v>
      </c>
      <c r="DW1603" s="0" t="s">
        <v>175</v>
      </c>
      <c r="DX1603" s="0" t="s">
        <v>153</v>
      </c>
      <c r="EA1603" s="0" t="s">
        <v>153</v>
      </c>
      <c r="ED1603" s="0" t="s">
        <v>175</v>
      </c>
      <c r="EF1603" s="0" t="s">
        <v>153</v>
      </c>
      <c r="EH1603" s="0" t="s">
        <v>175</v>
      </c>
    </row>
    <row r="1604" customFormat="false" ht="13.8" hidden="false" customHeight="false" outlineLevel="0" collapsed="false">
      <c r="A1604" s="0" t="s">
        <v>7304</v>
      </c>
      <c r="B1604" s="0" t="n">
        <v>78</v>
      </c>
      <c r="C1604" s="0" t="n">
        <v>16012</v>
      </c>
      <c r="D1604" s="0" t="s">
        <v>1091</v>
      </c>
      <c r="E1604" s="0" t="s">
        <v>357</v>
      </c>
      <c r="F1604" s="0" t="str">
        <f aca="false">CONCATENATE(D1604," ",LEFT(H1604,4),"T=",AU1604,"D=",AV1604,"R=",AW1604,"M=",AX1604,"L=",AY1604,"B=",AZ1604)</f>
        <v>LAVELLE T=21D=9R=0M=6L=7B=1</v>
      </c>
      <c r="G1604" s="0" t="s">
        <v>190</v>
      </c>
      <c r="I1604" s="0" t="s">
        <v>7305</v>
      </c>
      <c r="J1604" s="0" t="s">
        <v>7306</v>
      </c>
      <c r="K1604" s="0" t="s">
        <v>160</v>
      </c>
      <c r="L1604" s="0" t="s">
        <v>175</v>
      </c>
      <c r="M1604" s="0" t="s">
        <v>7302</v>
      </c>
      <c r="N1604" s="0" t="str">
        <f aca="false">RIGHT(M1604,LEN(M1604)-FIND(" ",M1604))</f>
        <v>MONROE ST NW</v>
      </c>
      <c r="P1604" s="0" t="s">
        <v>145</v>
      </c>
      <c r="Q1604" s="0" t="s">
        <v>146</v>
      </c>
      <c r="R1604" s="0" t="n">
        <v>44483</v>
      </c>
      <c r="AD1604" s="0" t="s">
        <v>147</v>
      </c>
      <c r="AE1604" s="0" t="s">
        <v>148</v>
      </c>
      <c r="AF1604" s="0" t="s">
        <v>149</v>
      </c>
      <c r="AH1604" s="0" t="n">
        <v>14</v>
      </c>
      <c r="AI1604" s="0" t="n">
        <v>11</v>
      </c>
      <c r="AN1604" s="0" t="s">
        <v>145</v>
      </c>
      <c r="AO1604" s="0" t="s">
        <v>654</v>
      </c>
      <c r="AP1604" s="0" t="s">
        <v>655</v>
      </c>
      <c r="AQ1604" s="0" t="n">
        <v>9</v>
      </c>
      <c r="AR1604" s="0" t="n">
        <v>64</v>
      </c>
      <c r="AS1604" s="0" t="n">
        <v>32</v>
      </c>
      <c r="AU1604" s="0" t="n">
        <f aca="false">COUNTA($BA$1963:$EH$1963)</f>
        <v>21</v>
      </c>
      <c r="AV1604" s="0" t="n">
        <f aca="false">COUNTIF($BA$1963:$EH$1963,"D")</f>
        <v>9</v>
      </c>
      <c r="AW1604" s="0" t="n">
        <f aca="false">COUNTIF($BA$1963:$EH$1963,"R")</f>
        <v>0</v>
      </c>
      <c r="AX1604" s="0" t="n">
        <f aca="false">IF(BN1604="D",1,0)+IF(BO1604="D",1,0)+IF(BT1604="D",1,0)+IF(BU1604="D",1,0)+IF(BW1604="D",1,0)+IF(CC1604="D",1,0)+IF(CD1604="D",1,0)+IF(CE1604="D",1,0)+IF(CF1604="D",1,0)+IF(CL1604="D",1,0)+IF(CM1604="D",1,0)+IF(CQ1604="D",1,0)+IF(CR1604="D",1,0)+IF(CS1604="D",1,0)+IF(CW1604="D",1,0)+IF(CX1604="D",1,0)+IF(DD1604="D",1,0)+IF(DE1604="D",1,0)+IF(DJ1604="D",1,0)+IF(DK1604="D",1,0)+IF(DO1604="D",1,0)+IF(DP1604="D",1,0)+IF(DQ1604="D",1,0)+IF(DW1604="D",1,0)+IF(DZ1604="D",1,0)+IF(EH1604="D",1,0)</f>
        <v>6</v>
      </c>
      <c r="AY1604" s="0" t="n">
        <f aca="false">COUNTIF(DU1604:EH1604, "&lt;&gt;")</f>
        <v>7</v>
      </c>
      <c r="AZ1604" s="0" t="n">
        <f aca="false">IF(EH1604&lt;&gt;"",1,0)</f>
        <v>1</v>
      </c>
      <c r="BB1604" s="0" t="s">
        <v>152</v>
      </c>
      <c r="BC1604" s="0" t="s">
        <v>153</v>
      </c>
      <c r="BD1604" s="0" t="s">
        <v>153</v>
      </c>
      <c r="BE1604" s="0" t="s">
        <v>153</v>
      </c>
      <c r="BF1604" s="0" t="s">
        <v>153</v>
      </c>
      <c r="BG1604" s="0" t="s">
        <v>153</v>
      </c>
      <c r="BH1604" s="0" t="s">
        <v>153</v>
      </c>
      <c r="BI1604" s="0" t="s">
        <v>153</v>
      </c>
      <c r="BJ1604" s="0" t="s">
        <v>153</v>
      </c>
      <c r="BK1604" s="0" t="s">
        <v>153</v>
      </c>
      <c r="BL1604" s="0" t="s">
        <v>153</v>
      </c>
      <c r="BP1604" s="0" t="s">
        <v>153</v>
      </c>
      <c r="BR1604" s="0" t="s">
        <v>153</v>
      </c>
      <c r="BS1604" s="0" t="s">
        <v>153</v>
      </c>
      <c r="BV1604" s="0" t="s">
        <v>153</v>
      </c>
      <c r="BY1604" s="0" t="s">
        <v>175</v>
      </c>
      <c r="CA1604" s="0" t="s">
        <v>153</v>
      </c>
      <c r="CG1604" s="0" t="s">
        <v>153</v>
      </c>
      <c r="CH1604" s="0" t="s">
        <v>175</v>
      </c>
      <c r="CK1604" s="0" t="s">
        <v>153</v>
      </c>
      <c r="CL1604" s="0" t="s">
        <v>175</v>
      </c>
      <c r="CN1604" s="0" t="s">
        <v>153</v>
      </c>
      <c r="CO1604" s="0" t="s">
        <v>175</v>
      </c>
      <c r="CP1604" s="0" t="s">
        <v>153</v>
      </c>
      <c r="CQ1604" s="0" t="s">
        <v>175</v>
      </c>
      <c r="CU1604" s="0" t="s">
        <v>175</v>
      </c>
      <c r="CV1604" s="0" t="s">
        <v>153</v>
      </c>
      <c r="CW1604" s="0" t="s">
        <v>175</v>
      </c>
      <c r="CY1604" s="0" t="s">
        <v>153</v>
      </c>
      <c r="CZ1604" s="0" t="s">
        <v>175</v>
      </c>
      <c r="DC1604" s="0" t="s">
        <v>153</v>
      </c>
      <c r="DG1604" s="0" t="s">
        <v>175</v>
      </c>
      <c r="DI1604" s="0" t="s">
        <v>153</v>
      </c>
      <c r="DJ1604" s="0" t="s">
        <v>175</v>
      </c>
      <c r="DL1604" s="0" t="s">
        <v>153</v>
      </c>
      <c r="DM1604" s="0" t="s">
        <v>175</v>
      </c>
      <c r="DN1604" s="0" t="s">
        <v>153</v>
      </c>
      <c r="DR1604" s="0" t="s">
        <v>153</v>
      </c>
      <c r="DS1604" s="0" t="s">
        <v>175</v>
      </c>
      <c r="DT1604" s="0" t="s">
        <v>175</v>
      </c>
      <c r="DU1604" s="0" t="s">
        <v>153</v>
      </c>
      <c r="DW1604" s="0" t="s">
        <v>175</v>
      </c>
      <c r="DX1604" s="0" t="s">
        <v>153</v>
      </c>
      <c r="EA1604" s="0" t="s">
        <v>153</v>
      </c>
      <c r="ED1604" s="0" t="s">
        <v>209</v>
      </c>
      <c r="EF1604" s="0" t="s">
        <v>153</v>
      </c>
      <c r="EH1604" s="0" t="s">
        <v>175</v>
      </c>
    </row>
    <row r="1605" customFormat="false" ht="13.8" hidden="false" customHeight="false" outlineLevel="0" collapsed="false">
      <c r="A1605" s="0" t="s">
        <v>7307</v>
      </c>
      <c r="B1605" s="0" t="n">
        <v>78</v>
      </c>
      <c r="C1605" s="0" t="n">
        <v>21805</v>
      </c>
      <c r="D1605" s="0" t="s">
        <v>7308</v>
      </c>
      <c r="E1605" s="0" t="s">
        <v>275</v>
      </c>
      <c r="F1605" s="0" t="str">
        <f aca="false">CONCATENATE(D1605," ",LEFT(H1605,4),"T=",AU1605,"D=",AV1605,"R=",AW1605,"M=",AX1605,"L=",AY1605,"B=",AZ1605)</f>
        <v>MCGHEE T=5D=1R=0M=7L=6B=1</v>
      </c>
      <c r="G1605" s="0" t="s">
        <v>195</v>
      </c>
      <c r="I1605" s="0" t="s">
        <v>7309</v>
      </c>
      <c r="J1605" s="0" t="s">
        <v>7310</v>
      </c>
      <c r="K1605" s="0" t="s">
        <v>160</v>
      </c>
      <c r="L1605" s="0" t="s">
        <v>175</v>
      </c>
      <c r="M1605" s="0" t="s">
        <v>7311</v>
      </c>
      <c r="N1605" s="0" t="str">
        <f aca="false">RIGHT(M1605,LEN(M1605)-FIND(" ",M1605))</f>
        <v>N PARK AVE</v>
      </c>
      <c r="O1605" s="0" t="s">
        <v>2211</v>
      </c>
      <c r="P1605" s="0" t="s">
        <v>145</v>
      </c>
      <c r="Q1605" s="0" t="s">
        <v>146</v>
      </c>
      <c r="R1605" s="0" t="n">
        <v>44481</v>
      </c>
      <c r="AD1605" s="0" t="s">
        <v>147</v>
      </c>
      <c r="AE1605" s="0" t="s">
        <v>148</v>
      </c>
      <c r="AF1605" s="0" t="s">
        <v>149</v>
      </c>
      <c r="AH1605" s="0" t="n">
        <v>14</v>
      </c>
      <c r="AI1605" s="0" t="n">
        <v>11</v>
      </c>
      <c r="AN1605" s="0" t="s">
        <v>145</v>
      </c>
      <c r="AO1605" s="0" t="s">
        <v>654</v>
      </c>
      <c r="AP1605" s="0" t="s">
        <v>655</v>
      </c>
      <c r="AQ1605" s="0" t="n">
        <v>9</v>
      </c>
      <c r="AR1605" s="0" t="n">
        <v>64</v>
      </c>
      <c r="AS1605" s="0" t="n">
        <v>32</v>
      </c>
      <c r="AU1605" s="0" t="n">
        <f aca="false">COUNTA($BA$1754:$EH$1754)</f>
        <v>5</v>
      </c>
      <c r="AV1605" s="0" t="n">
        <f aca="false">COUNTIF($BA$1754:$EH$1754,"D")</f>
        <v>1</v>
      </c>
      <c r="AW1605" s="0" t="n">
        <f aca="false">COUNTIF($BA$1754:$EH$1754,"R")</f>
        <v>0</v>
      </c>
      <c r="AX1605" s="0" t="n">
        <f aca="false">IF(BN1605="D",1,0)+IF(BO1605="D",1,0)+IF(BT1605="D",1,0)+IF(BU1605="D",1,0)+IF(BW1605="D",1,0)+IF(CC1605="D",1,0)+IF(CD1605="D",1,0)+IF(CE1605="D",1,0)+IF(CF1605="D",1,0)+IF(CL1605="D",1,0)+IF(CM1605="D",1,0)+IF(CQ1605="D",1,0)+IF(CR1605="D",1,0)+IF(CS1605="D",1,0)+IF(CW1605="D",1,0)+IF(CX1605="D",1,0)+IF(DD1605="D",1,0)+IF(DE1605="D",1,0)+IF(DJ1605="D",1,0)+IF(DK1605="D",1,0)+IF(DO1605="D",1,0)+IF(DP1605="D",1,0)+IF(DQ1605="D",1,0)+IF(DW1605="D",1,0)+IF(DZ1605="D",1,0)+IF(EH1605="D",1,0)</f>
        <v>7</v>
      </c>
      <c r="AY1605" s="0" t="n">
        <f aca="false">COUNTIF(DU1605:EH1605, "&lt;&gt;")</f>
        <v>6</v>
      </c>
      <c r="AZ1605" s="0" t="n">
        <f aca="false">IF(EH1605&lt;&gt;"",1,0)</f>
        <v>1</v>
      </c>
      <c r="BB1605" s="0" t="s">
        <v>152</v>
      </c>
      <c r="BD1605" s="0" t="s">
        <v>153</v>
      </c>
      <c r="BS1605" s="0" t="s">
        <v>153</v>
      </c>
      <c r="BY1605" s="0" t="s">
        <v>175</v>
      </c>
      <c r="CA1605" s="0" t="s">
        <v>153</v>
      </c>
      <c r="CC1605" s="0" t="s">
        <v>175</v>
      </c>
      <c r="CG1605" s="0" t="s">
        <v>153</v>
      </c>
      <c r="CH1605" s="0" t="s">
        <v>175</v>
      </c>
      <c r="CK1605" s="0" t="s">
        <v>153</v>
      </c>
      <c r="CL1605" s="0" t="s">
        <v>175</v>
      </c>
      <c r="CN1605" s="0" t="s">
        <v>153</v>
      </c>
      <c r="CO1605" s="0" t="s">
        <v>175</v>
      </c>
      <c r="CP1605" s="0" t="s">
        <v>153</v>
      </c>
      <c r="CQ1605" s="0" t="s">
        <v>175</v>
      </c>
      <c r="CT1605" s="0" t="s">
        <v>153</v>
      </c>
      <c r="CU1605" s="0" t="s">
        <v>175</v>
      </c>
      <c r="CV1605" s="0" t="s">
        <v>153</v>
      </c>
      <c r="CW1605" s="0" t="s">
        <v>175</v>
      </c>
      <c r="CY1605" s="0" t="s">
        <v>153</v>
      </c>
      <c r="CZ1605" s="0" t="s">
        <v>175</v>
      </c>
      <c r="DC1605" s="0" t="s">
        <v>153</v>
      </c>
      <c r="DD1605" s="0" t="s">
        <v>175</v>
      </c>
      <c r="DF1605" s="0" t="s">
        <v>153</v>
      </c>
      <c r="DG1605" s="0" t="s">
        <v>175</v>
      </c>
      <c r="DI1605" s="0" t="s">
        <v>153</v>
      </c>
      <c r="DJ1605" s="0" t="s">
        <v>175</v>
      </c>
      <c r="DL1605" s="0" t="s">
        <v>153</v>
      </c>
      <c r="DN1605" s="0" t="s">
        <v>153</v>
      </c>
      <c r="DR1605" s="0" t="s">
        <v>153</v>
      </c>
      <c r="DS1605" s="0" t="s">
        <v>175</v>
      </c>
      <c r="DU1605" s="0" t="s">
        <v>153</v>
      </c>
      <c r="DW1605" s="0" t="s">
        <v>175</v>
      </c>
      <c r="DX1605" s="0" t="s">
        <v>153</v>
      </c>
      <c r="EA1605" s="0" t="s">
        <v>153</v>
      </c>
      <c r="EF1605" s="0" t="s">
        <v>153</v>
      </c>
      <c r="EH1605" s="0" t="s">
        <v>153</v>
      </c>
    </row>
    <row r="1606" customFormat="false" ht="13.8" hidden="true" customHeight="false" outlineLevel="0" collapsed="false">
      <c r="A1606" s="0" t="s">
        <v>7312</v>
      </c>
      <c r="B1606" s="0" t="n">
        <v>78</v>
      </c>
      <c r="C1606" s="0" t="n">
        <v>361367</v>
      </c>
      <c r="D1606" s="0" t="s">
        <v>7313</v>
      </c>
      <c r="E1606" s="0" t="s">
        <v>1355</v>
      </c>
      <c r="F1606" s="0" t="str">
        <f aca="false">CONCATENATE(D1606," ",LEFT(H1606,4),"T=",AU1606,"D=",AV1606,"R=",AW1606,"M=",AX1606,"L=",AY1606,"B=",AZ1606)</f>
        <v>MEEHAN T=4D=0R=0M=0L=0B=0</v>
      </c>
      <c r="G1606" s="0" t="s">
        <v>164</v>
      </c>
      <c r="I1606" s="0" t="s">
        <v>7314</v>
      </c>
      <c r="J1606" s="0" t="s">
        <v>2007</v>
      </c>
      <c r="K1606" s="0" t="s">
        <v>160</v>
      </c>
      <c r="M1606" s="0" t="s">
        <v>7311</v>
      </c>
      <c r="N1606" s="0" t="str">
        <f aca="false">RIGHT(M1606,LEN(M1606)-FIND(" ",M1606))</f>
        <v>N PARK AVE</v>
      </c>
      <c r="O1606" s="0" t="s">
        <v>7315</v>
      </c>
      <c r="P1606" s="0" t="s">
        <v>145</v>
      </c>
      <c r="Q1606" s="0" t="s">
        <v>146</v>
      </c>
      <c r="R1606" s="0" t="n">
        <v>44481</v>
      </c>
      <c r="AD1606" s="0" t="s">
        <v>147</v>
      </c>
      <c r="AE1606" s="0" t="s">
        <v>148</v>
      </c>
      <c r="AF1606" s="0" t="s">
        <v>149</v>
      </c>
      <c r="AH1606" s="0" t="n">
        <v>14</v>
      </c>
      <c r="AI1606" s="0" t="n">
        <v>11</v>
      </c>
      <c r="AN1606" s="0" t="s">
        <v>145</v>
      </c>
      <c r="AO1606" s="0" t="s">
        <v>654</v>
      </c>
      <c r="AP1606" s="0" t="s">
        <v>655</v>
      </c>
      <c r="AQ1606" s="0" t="n">
        <v>9</v>
      </c>
      <c r="AR1606" s="0" t="n">
        <v>64</v>
      </c>
      <c r="AS1606" s="0" t="n">
        <v>32</v>
      </c>
      <c r="AU1606" s="0" t="n">
        <f aca="false">COUNTA($BA$1769:$EH$1769)</f>
        <v>4</v>
      </c>
      <c r="AV1606" s="0" t="n">
        <f aca="false">COUNTIF($BA$1769:$EH$1769,"D")</f>
        <v>0</v>
      </c>
      <c r="AW1606" s="0" t="n">
        <f aca="false">COUNTIF($BA$1769:$EH$1769,"R")</f>
        <v>0</v>
      </c>
      <c r="AX1606" s="0" t="n">
        <f aca="false">IF(BN1606="D",1,0)+IF(BO1606="D",1,0)+IF(BT1606="D",1,0)+IF(BU1606="D",1,0)+IF(BW1606="D",1,0)+IF(CC1606="D",1,0)+IF(CD1606="D",1,0)+IF(CE1606="D",1,0)+IF(CF1606="D",1,0)+IF(CL1606="D",1,0)+IF(CM1606="D",1,0)+IF(CQ1606="D",1,0)+IF(CR1606="D",1,0)+IF(CS1606="D",1,0)+IF(CW1606="D",1,0)+IF(CX1606="D",1,0)+IF(DD1606="D",1,0)+IF(DE1606="D",1,0)+IF(DJ1606="D",1,0)+IF(DK1606="D",1,0)+IF(DO1606="D",1,0)+IF(DP1606="D",1,0)+IF(DQ1606="D",1,0)+IF(DW1606="D",1,0)+IF(DZ1606="D",1,0)+IF(EH1606="D",1,0)</f>
        <v>0</v>
      </c>
      <c r="AY1606" s="0" t="n">
        <f aca="false">COUNTIF(DU1606:EH1606, "&lt;&gt;")</f>
        <v>0</v>
      </c>
      <c r="AZ1606" s="0" t="n">
        <f aca="false">IF(EH1606&lt;&gt;"",1,0)</f>
        <v>0</v>
      </c>
      <c r="BB1606" s="0" t="s">
        <v>152</v>
      </c>
      <c r="CA1606" s="0" t="s">
        <v>153</v>
      </c>
      <c r="DC1606" s="0" t="s">
        <v>153</v>
      </c>
      <c r="DI1606" s="0" t="s">
        <v>153</v>
      </c>
      <c r="DN1606" s="0" t="s">
        <v>153</v>
      </c>
    </row>
    <row r="1607" customFormat="false" ht="13.8" hidden="true" customHeight="false" outlineLevel="0" collapsed="false">
      <c r="A1607" s="0" t="s">
        <v>7316</v>
      </c>
      <c r="B1607" s="0" t="n">
        <v>78</v>
      </c>
      <c r="C1607" s="0" t="n">
        <v>14122</v>
      </c>
      <c r="D1607" s="0" t="s">
        <v>2597</v>
      </c>
      <c r="E1607" s="0" t="s">
        <v>6041</v>
      </c>
      <c r="F1607" s="0" t="str">
        <f aca="false">CONCATENATE(D1607," ",LEFT(H1607,4),"T=",AU1607,"D=",AV1607,"R=",AW1607,"M=",AX1607,"L=",AY1607,"B=",AZ1607)</f>
        <v>MARVIN T=18D=2R=1M=1L=0B=0</v>
      </c>
      <c r="G1607" s="0" t="s">
        <v>1198</v>
      </c>
      <c r="I1607" s="0" t="s">
        <v>7317</v>
      </c>
      <c r="J1607" s="0" t="s">
        <v>7318</v>
      </c>
      <c r="K1607" s="0" t="s">
        <v>143</v>
      </c>
      <c r="M1607" s="0" t="s">
        <v>7319</v>
      </c>
      <c r="N1607" s="0" t="str">
        <f aca="false">RIGHT(M1607,LEN(M1607)-FIND(" ",M1607))</f>
        <v>N PARK AVE</v>
      </c>
      <c r="O1607" s="0" t="s">
        <v>7320</v>
      </c>
      <c r="P1607" s="0" t="s">
        <v>145</v>
      </c>
      <c r="Q1607" s="0" t="s">
        <v>146</v>
      </c>
      <c r="R1607" s="0" t="n">
        <v>44481</v>
      </c>
      <c r="AD1607" s="0" t="s">
        <v>147</v>
      </c>
      <c r="AE1607" s="0" t="s">
        <v>148</v>
      </c>
      <c r="AF1607" s="0" t="s">
        <v>149</v>
      </c>
      <c r="AH1607" s="0" t="n">
        <v>14</v>
      </c>
      <c r="AI1607" s="0" t="n">
        <v>11</v>
      </c>
      <c r="AN1607" s="0" t="s">
        <v>145</v>
      </c>
      <c r="AO1607" s="0" t="s">
        <v>654</v>
      </c>
      <c r="AP1607" s="0" t="s">
        <v>655</v>
      </c>
      <c r="AQ1607" s="0" t="n">
        <v>9</v>
      </c>
      <c r="AR1607" s="0" t="n">
        <v>64</v>
      </c>
      <c r="AS1607" s="0" t="n">
        <v>32</v>
      </c>
      <c r="AU1607" s="0" t="n">
        <f aca="false">COUNTA($BA$1376:$EH$1376)</f>
        <v>18</v>
      </c>
      <c r="AV1607" s="0" t="n">
        <f aca="false">COUNTIF($BA$1376:$EH$1376,"D")</f>
        <v>2</v>
      </c>
      <c r="AW1607" s="0" t="n">
        <f aca="false">COUNTIF($BA$1376:$EH$1376,"R")</f>
        <v>1</v>
      </c>
      <c r="AX1607" s="0" t="n">
        <f aca="false">IF(BN1607="D",1,0)+IF(BO1607="D",1,0)+IF(BT1607="D",1,0)+IF(BU1607="D",1,0)+IF(BW1607="D",1,0)+IF(CC1607="D",1,0)+IF(CD1607="D",1,0)+IF(CE1607="D",1,0)+IF(CF1607="D",1,0)+IF(CL1607="D",1,0)+IF(CM1607="D",1,0)+IF(CQ1607="D",1,0)+IF(CR1607="D",1,0)+IF(CS1607="D",1,0)+IF(CW1607="D",1,0)+IF(CX1607="D",1,0)+IF(DD1607="D",1,0)+IF(DE1607="D",1,0)+IF(DJ1607="D",1,0)+IF(DK1607="D",1,0)+IF(DO1607="D",1,0)+IF(DP1607="D",1,0)+IF(DQ1607="D",1,0)+IF(DW1607="D",1,0)+IF(DZ1607="D",1,0)+IF(EH1607="D",1,0)</f>
        <v>1</v>
      </c>
      <c r="AY1607" s="0" t="n">
        <f aca="false">COUNTIF(DU1607:EH1607, "&lt;&gt;")</f>
        <v>0</v>
      </c>
      <c r="AZ1607" s="0" t="n">
        <f aca="false">IF(EH1607&lt;&gt;"",1,0)</f>
        <v>0</v>
      </c>
      <c r="BB1607" s="0" t="s">
        <v>152</v>
      </c>
      <c r="BL1607" s="0" t="s">
        <v>153</v>
      </c>
      <c r="CA1607" s="0" t="s">
        <v>153</v>
      </c>
      <c r="CL1607" s="0" t="s">
        <v>175</v>
      </c>
      <c r="CP1607" s="0" t="s">
        <v>153</v>
      </c>
      <c r="DC1607" s="0" t="s">
        <v>153</v>
      </c>
      <c r="DN1607" s="0" t="s">
        <v>153</v>
      </c>
    </row>
    <row r="1608" customFormat="false" ht="13.8" hidden="true" customHeight="false" outlineLevel="0" collapsed="false">
      <c r="A1608" s="0" t="s">
        <v>7321</v>
      </c>
      <c r="B1608" s="0" t="n">
        <v>78</v>
      </c>
      <c r="C1608" s="0" t="n">
        <v>383941</v>
      </c>
      <c r="D1608" s="0" t="s">
        <v>4535</v>
      </c>
      <c r="E1608" s="0" t="s">
        <v>7322</v>
      </c>
      <c r="F1608" s="0" t="str">
        <f aca="false">CONCATENATE(D1608," ",LEFT(H1608,4),"T=",AU1608,"D=",AV1608,"R=",AW1608,"M=",AX1608,"L=",AY1608,"B=",AZ1608)</f>
        <v>THOMPSON T=1D=0R=0M=0L=1B=0</v>
      </c>
      <c r="G1608" s="0" t="s">
        <v>2586</v>
      </c>
      <c r="I1608" s="0" t="s">
        <v>7323</v>
      </c>
      <c r="J1608" s="0" t="s">
        <v>5437</v>
      </c>
      <c r="K1608" s="0" t="s">
        <v>160</v>
      </c>
      <c r="M1608" s="0" t="s">
        <v>7319</v>
      </c>
      <c r="N1608" s="0" t="str">
        <f aca="false">RIGHT(M1608,LEN(M1608)-FIND(" ",M1608))</f>
        <v>N PARK AVE</v>
      </c>
      <c r="O1608" s="0" t="s">
        <v>7324</v>
      </c>
      <c r="P1608" s="0" t="s">
        <v>145</v>
      </c>
      <c r="Q1608" s="0" t="s">
        <v>146</v>
      </c>
      <c r="R1608" s="0" t="n">
        <v>44481</v>
      </c>
      <c r="AD1608" s="0" t="s">
        <v>147</v>
      </c>
      <c r="AE1608" s="0" t="s">
        <v>148</v>
      </c>
      <c r="AF1608" s="0" t="s">
        <v>149</v>
      </c>
      <c r="AH1608" s="0" t="n">
        <v>14</v>
      </c>
      <c r="AI1608" s="0" t="n">
        <v>11</v>
      </c>
      <c r="AN1608" s="0" t="s">
        <v>145</v>
      </c>
      <c r="AO1608" s="0" t="s">
        <v>654</v>
      </c>
      <c r="AP1608" s="0" t="s">
        <v>655</v>
      </c>
      <c r="AQ1608" s="0" t="n">
        <v>9</v>
      </c>
      <c r="AR1608" s="0" t="n">
        <v>64</v>
      </c>
      <c r="AS1608" s="0" t="n">
        <v>32</v>
      </c>
      <c r="AU1608" s="0" t="n">
        <f aca="false">COUNTA($BA$1719:$EH$1719)</f>
        <v>1</v>
      </c>
      <c r="AV1608" s="0" t="n">
        <f aca="false">COUNTIF($BA$1719:$EH$1719,"D")</f>
        <v>0</v>
      </c>
      <c r="AW1608" s="0" t="n">
        <f aca="false">COUNTIF($BA$1719:$EH$1719,"R")</f>
        <v>0</v>
      </c>
      <c r="AX1608" s="0" t="n">
        <f aca="false">IF(BN1608="D",1,0)+IF(BO1608="D",1,0)+IF(BT1608="D",1,0)+IF(BU1608="D",1,0)+IF(BW1608="D",1,0)+IF(CC1608="D",1,0)+IF(CD1608="D",1,0)+IF(CE1608="D",1,0)+IF(CF1608="D",1,0)+IF(CL1608="D",1,0)+IF(CM1608="D",1,0)+IF(CQ1608="D",1,0)+IF(CR1608="D",1,0)+IF(CS1608="D",1,0)+IF(CW1608="D",1,0)+IF(CX1608="D",1,0)+IF(DD1608="D",1,0)+IF(DE1608="D",1,0)+IF(DJ1608="D",1,0)+IF(DK1608="D",1,0)+IF(DO1608="D",1,0)+IF(DP1608="D",1,0)+IF(DQ1608="D",1,0)+IF(DW1608="D",1,0)+IF(DZ1608="D",1,0)+IF(EH1608="D",1,0)</f>
        <v>0</v>
      </c>
      <c r="AY1608" s="0" t="n">
        <f aca="false">COUNTIF(DU1608:EH1608, "&lt;&gt;")</f>
        <v>1</v>
      </c>
      <c r="AZ1608" s="0" t="n">
        <f aca="false">IF(EH1608&lt;&gt;"",1,0)</f>
        <v>0</v>
      </c>
      <c r="BB1608" s="0" t="s">
        <v>152</v>
      </c>
      <c r="CP1608" s="0" t="s">
        <v>153</v>
      </c>
      <c r="DC1608" s="0" t="s">
        <v>153</v>
      </c>
      <c r="DI1608" s="0" t="s">
        <v>153</v>
      </c>
      <c r="DN1608" s="0" t="s">
        <v>153</v>
      </c>
      <c r="EA1608" s="0" t="s">
        <v>153</v>
      </c>
    </row>
    <row r="1609" customFormat="false" ht="13.8" hidden="false" customHeight="false" outlineLevel="0" collapsed="false">
      <c r="A1609" s="0" t="s">
        <v>7325</v>
      </c>
      <c r="B1609" s="0" t="n">
        <v>78</v>
      </c>
      <c r="C1609" s="0" t="n">
        <v>474802</v>
      </c>
      <c r="D1609" s="0" t="s">
        <v>7326</v>
      </c>
      <c r="E1609" s="0" t="s">
        <v>7327</v>
      </c>
      <c r="F1609" s="0" t="str">
        <f aca="false">CONCATENATE(D1609," ",LEFT(H1609,4),"T=",AU1609,"D=",AV1609,"R=",AW1609,"M=",AX1609,"L=",AY1609,"B=",AZ1609)</f>
        <v>EAKER T=1D=0R=0M=0L=2B=0</v>
      </c>
      <c r="G1609" s="0" t="s">
        <v>5787</v>
      </c>
      <c r="I1609" s="0" t="s">
        <v>7328</v>
      </c>
      <c r="J1609" s="0" t="s">
        <v>7329</v>
      </c>
      <c r="K1609" s="0" t="s">
        <v>160</v>
      </c>
      <c r="M1609" s="0" t="s">
        <v>7319</v>
      </c>
      <c r="N1609" s="0" t="str">
        <f aca="false">RIGHT(M1609,LEN(M1609)-FIND(" ",M1609))</f>
        <v>N PARK AVE</v>
      </c>
      <c r="O1609" s="0" t="s">
        <v>3413</v>
      </c>
      <c r="P1609" s="0" t="s">
        <v>145</v>
      </c>
      <c r="Q1609" s="0" t="s">
        <v>146</v>
      </c>
      <c r="R1609" s="0" t="n">
        <v>44481</v>
      </c>
      <c r="AD1609" s="0" t="s">
        <v>147</v>
      </c>
      <c r="AE1609" s="0" t="s">
        <v>148</v>
      </c>
      <c r="AF1609" s="0" t="s">
        <v>149</v>
      </c>
      <c r="AH1609" s="0" t="n">
        <v>14</v>
      </c>
      <c r="AI1609" s="0" t="n">
        <v>11</v>
      </c>
      <c r="AN1609" s="0" t="s">
        <v>145</v>
      </c>
      <c r="AO1609" s="0" t="s">
        <v>654</v>
      </c>
      <c r="AP1609" s="0" t="s">
        <v>655</v>
      </c>
      <c r="AQ1609" s="0" t="n">
        <v>9</v>
      </c>
      <c r="AR1609" s="0" t="n">
        <v>64</v>
      </c>
      <c r="AS1609" s="0" t="n">
        <v>32</v>
      </c>
      <c r="AU1609" s="0" t="n">
        <f aca="false">COUNTA($BA$2053:$EH$2053)</f>
        <v>1</v>
      </c>
      <c r="AV1609" s="0" t="n">
        <f aca="false">COUNTIF($BA$2053:$EH$2053,"D")</f>
        <v>0</v>
      </c>
      <c r="AW1609" s="0" t="n">
        <f aca="false">COUNTIF($BA$2053:$EH$2053,"R")</f>
        <v>0</v>
      </c>
      <c r="AX1609" s="0" t="n">
        <f aca="false">IF(BN1609="D",1,0)+IF(BO1609="D",1,0)+IF(BT1609="D",1,0)+IF(BU1609="D",1,0)+IF(BW1609="D",1,0)+IF(CC1609="D",1,0)+IF(CD1609="D",1,0)+IF(CE1609="D",1,0)+IF(CF1609="D",1,0)+IF(CL1609="D",1,0)+IF(CM1609="D",1,0)+IF(CQ1609="D",1,0)+IF(CR1609="D",1,0)+IF(CS1609="D",1,0)+IF(CW1609="D",1,0)+IF(CX1609="D",1,0)+IF(DD1609="D",1,0)+IF(DE1609="D",1,0)+IF(DJ1609="D",1,0)+IF(DK1609="D",1,0)+IF(DO1609="D",1,0)+IF(DP1609="D",1,0)+IF(DQ1609="D",1,0)+IF(DW1609="D",1,0)+IF(DZ1609="D",1,0)+IF(EH1609="D",1,0)</f>
        <v>0</v>
      </c>
      <c r="AY1609" s="0" t="n">
        <f aca="false">COUNTIF(DU1609:EH1609, "&lt;&gt;")</f>
        <v>2</v>
      </c>
      <c r="AZ1609" s="0" t="n">
        <f aca="false">IF(EH1609&lt;&gt;"",1,0)</f>
        <v>0</v>
      </c>
      <c r="BB1609" s="0" t="s">
        <v>152</v>
      </c>
      <c r="EA1609" s="0" t="s">
        <v>153</v>
      </c>
      <c r="EF1609" s="0" t="s">
        <v>153</v>
      </c>
    </row>
    <row r="1610" customFormat="false" ht="13.8" hidden="true" customHeight="false" outlineLevel="0" collapsed="false">
      <c r="A1610" s="0" t="s">
        <v>7330</v>
      </c>
      <c r="B1610" s="0" t="n">
        <v>78</v>
      </c>
      <c r="C1610" s="0" t="n">
        <v>410421</v>
      </c>
      <c r="D1610" s="0" t="s">
        <v>3930</v>
      </c>
      <c r="E1610" s="0" t="s">
        <v>2847</v>
      </c>
      <c r="F1610" s="0" t="str">
        <f aca="false">CONCATENATE(D1610," ",LEFT(H1610,4),"T=",AU1610,"D=",AV1610,"R=",AW1610,"M=",AX1610,"L=",AY1610,"B=",AZ1610)</f>
        <v>MAHAN T=1D=0R=0M=0L=1B=0</v>
      </c>
      <c r="G1610" s="0" t="s">
        <v>7331</v>
      </c>
      <c r="I1610" s="0" t="s">
        <v>7332</v>
      </c>
      <c r="J1610" s="0" t="s">
        <v>7333</v>
      </c>
      <c r="K1610" s="0" t="s">
        <v>160</v>
      </c>
      <c r="M1610" s="0" t="s">
        <v>7334</v>
      </c>
      <c r="N1610" s="0" t="str">
        <f aca="false">RIGHT(M1610,LEN(M1610)-FIND(" ",M1610))</f>
        <v>N PARK AVE</v>
      </c>
      <c r="O1610" s="0" t="s">
        <v>297</v>
      </c>
      <c r="P1610" s="0" t="s">
        <v>145</v>
      </c>
      <c r="Q1610" s="0" t="s">
        <v>146</v>
      </c>
      <c r="R1610" s="0" t="n">
        <v>44481</v>
      </c>
      <c r="AD1610" s="0" t="s">
        <v>147</v>
      </c>
      <c r="AE1610" s="0" t="s">
        <v>148</v>
      </c>
      <c r="AF1610" s="0" t="s">
        <v>149</v>
      </c>
      <c r="AH1610" s="0" t="n">
        <v>14</v>
      </c>
      <c r="AI1610" s="0" t="n">
        <v>11</v>
      </c>
      <c r="AN1610" s="0" t="s">
        <v>145</v>
      </c>
      <c r="AO1610" s="0" t="s">
        <v>654</v>
      </c>
      <c r="AP1610" s="0" t="s">
        <v>655</v>
      </c>
      <c r="AQ1610" s="0" t="n">
        <v>9</v>
      </c>
      <c r="AR1610" s="0" t="n">
        <v>64</v>
      </c>
      <c r="AS1610" s="0" t="n">
        <v>32</v>
      </c>
      <c r="AU1610" s="0" t="n">
        <f aca="false">COUNTA($BA$1340:$EH$1340)</f>
        <v>1</v>
      </c>
      <c r="AV1610" s="0" t="n">
        <f aca="false">COUNTIF($BA$1340:$EH$1340,"D")</f>
        <v>0</v>
      </c>
      <c r="AW1610" s="0" t="n">
        <f aca="false">COUNTIF($BA$1340:$EH$1340,"R")</f>
        <v>0</v>
      </c>
      <c r="AX1610" s="0" t="n">
        <f aca="false">IF(BN1610="D",1,0)+IF(BO1610="D",1,0)+IF(BT1610="D",1,0)+IF(BU1610="D",1,0)+IF(BW1610="D",1,0)+IF(CC1610="D",1,0)+IF(CD1610="D",1,0)+IF(CE1610="D",1,0)+IF(CF1610="D",1,0)+IF(CL1610="D",1,0)+IF(CM1610="D",1,0)+IF(CQ1610="D",1,0)+IF(CR1610="D",1,0)+IF(CS1610="D",1,0)+IF(CW1610="D",1,0)+IF(CX1610="D",1,0)+IF(DD1610="D",1,0)+IF(DE1610="D",1,0)+IF(DJ1610="D",1,0)+IF(DK1610="D",1,0)+IF(DO1610="D",1,0)+IF(DP1610="D",1,0)+IF(DQ1610="D",1,0)+IF(DW1610="D",1,0)+IF(DZ1610="D",1,0)+IF(EH1610="D",1,0)</f>
        <v>0</v>
      </c>
      <c r="AY1610" s="0" t="n">
        <f aca="false">COUNTIF(DU1610:EH1610, "&lt;&gt;")</f>
        <v>1</v>
      </c>
      <c r="AZ1610" s="0" t="n">
        <f aca="false">IF(EH1610&lt;&gt;"",1,0)</f>
        <v>0</v>
      </c>
      <c r="BB1610" s="0" t="s">
        <v>152</v>
      </c>
      <c r="CY1610" s="0" t="s">
        <v>153</v>
      </c>
      <c r="CZ1610" s="0" t="s">
        <v>175</v>
      </c>
      <c r="DC1610" s="0" t="s">
        <v>153</v>
      </c>
      <c r="DF1610" s="0" t="s">
        <v>153</v>
      </c>
      <c r="DN1610" s="0" t="s">
        <v>153</v>
      </c>
      <c r="EF1610" s="0" t="s">
        <v>153</v>
      </c>
    </row>
    <row r="1611" customFormat="false" ht="13.8" hidden="true" customHeight="false" outlineLevel="0" collapsed="false">
      <c r="A1611" s="0" t="s">
        <v>7335</v>
      </c>
      <c r="B1611" s="0" t="n">
        <v>78</v>
      </c>
      <c r="C1611" s="0" t="n">
        <v>359650</v>
      </c>
      <c r="D1611" s="0" t="s">
        <v>7336</v>
      </c>
      <c r="E1611" s="0" t="s">
        <v>7337</v>
      </c>
      <c r="F1611" s="0" t="str">
        <f aca="false">CONCATENATE(D1611," ",LEFT(H1611,4),"T=",AU1611,"D=",AV1611,"R=",AW1611,"M=",AX1611,"L=",AY1611,"B=",AZ1611)</f>
        <v>PETRONELLI T=10D=1R=0M=1L=0B=0</v>
      </c>
      <c r="G1611" s="0" t="s">
        <v>7338</v>
      </c>
      <c r="I1611" s="0" t="s">
        <v>7339</v>
      </c>
      <c r="J1611" s="0" t="s">
        <v>3995</v>
      </c>
      <c r="K1611" s="0" t="s">
        <v>143</v>
      </c>
      <c r="M1611" s="0" t="s">
        <v>7334</v>
      </c>
      <c r="N1611" s="0" t="str">
        <f aca="false">RIGHT(M1611,LEN(M1611)-FIND(" ",M1611))</f>
        <v>N PARK AVE</v>
      </c>
      <c r="O1611" s="0" t="s">
        <v>220</v>
      </c>
      <c r="P1611" s="0" t="s">
        <v>145</v>
      </c>
      <c r="Q1611" s="0" t="s">
        <v>146</v>
      </c>
      <c r="R1611" s="0" t="n">
        <v>44481</v>
      </c>
      <c r="AD1611" s="0" t="s">
        <v>147</v>
      </c>
      <c r="AE1611" s="0" t="s">
        <v>148</v>
      </c>
      <c r="AF1611" s="0" t="s">
        <v>149</v>
      </c>
      <c r="AH1611" s="0" t="n">
        <v>14</v>
      </c>
      <c r="AI1611" s="0" t="n">
        <v>11</v>
      </c>
      <c r="AN1611" s="0" t="s">
        <v>145</v>
      </c>
      <c r="AO1611" s="0" t="s">
        <v>654</v>
      </c>
      <c r="AP1611" s="0" t="s">
        <v>655</v>
      </c>
      <c r="AQ1611" s="0" t="n">
        <v>9</v>
      </c>
      <c r="AR1611" s="0" t="n">
        <v>64</v>
      </c>
      <c r="AS1611" s="0" t="n">
        <v>32</v>
      </c>
      <c r="AU1611" s="0" t="n">
        <f aca="false">COUNTA($BA$1379:$EH$1379)</f>
        <v>10</v>
      </c>
      <c r="AV1611" s="0" t="n">
        <f aca="false">COUNTIF($BA$1379:$EH$1379,"D")</f>
        <v>1</v>
      </c>
      <c r="AW1611" s="0" t="n">
        <f aca="false">COUNTIF($BA$1379:$EH$1379,"R")</f>
        <v>0</v>
      </c>
      <c r="AX1611" s="0" t="n">
        <f aca="false">IF(BN1611="D",1,0)+IF(BO1611="D",1,0)+IF(BT1611="D",1,0)+IF(BU1611="D",1,0)+IF(BW1611="D",1,0)+IF(CC1611="D",1,0)+IF(CD1611="D",1,0)+IF(CE1611="D",1,0)+IF(CF1611="D",1,0)+IF(CL1611="D",1,0)+IF(CM1611="D",1,0)+IF(CQ1611="D",1,0)+IF(CR1611="D",1,0)+IF(CS1611="D",1,0)+IF(CW1611="D",1,0)+IF(CX1611="D",1,0)+IF(DD1611="D",1,0)+IF(DE1611="D",1,0)+IF(DJ1611="D",1,0)+IF(DK1611="D",1,0)+IF(DO1611="D",1,0)+IF(DP1611="D",1,0)+IF(DQ1611="D",1,0)+IF(DW1611="D",1,0)+IF(DZ1611="D",1,0)+IF(EH1611="D",1,0)</f>
        <v>1</v>
      </c>
      <c r="AY1611" s="0" t="n">
        <f aca="false">COUNTIF(DU1611:EH1611, "&lt;&gt;")</f>
        <v>0</v>
      </c>
      <c r="AZ1611" s="0" t="n">
        <f aca="false">IF(EH1611&lt;&gt;"",1,0)</f>
        <v>0</v>
      </c>
      <c r="BB1611" s="0" t="s">
        <v>152</v>
      </c>
      <c r="CA1611" s="0" t="s">
        <v>153</v>
      </c>
      <c r="CN1611" s="0" t="s">
        <v>153</v>
      </c>
      <c r="CP1611" s="0" t="s">
        <v>153</v>
      </c>
      <c r="CV1611" s="0" t="s">
        <v>153</v>
      </c>
      <c r="CW1611" s="0" t="s">
        <v>175</v>
      </c>
      <c r="CY1611" s="0" t="s">
        <v>153</v>
      </c>
      <c r="DC1611" s="0" t="s">
        <v>153</v>
      </c>
    </row>
    <row r="1612" customFormat="false" ht="13.8" hidden="false" customHeight="false" outlineLevel="0" collapsed="false">
      <c r="A1612" s="0" t="s">
        <v>7340</v>
      </c>
      <c r="B1612" s="0" t="n">
        <v>78</v>
      </c>
      <c r="C1612" s="0" t="n">
        <v>387170</v>
      </c>
      <c r="D1612" s="0" t="s">
        <v>7341</v>
      </c>
      <c r="E1612" s="0" t="s">
        <v>1152</v>
      </c>
      <c r="F1612" s="0" t="str">
        <f aca="false">CONCATENATE(D1612," ",LEFT(H1612,4),"T=",AU1612,"D=",AV1612,"R=",AW1612,"M=",AX1612,"L=",AY1612,"B=",AZ1612)</f>
        <v>GOODMAN T=2D=0R=0M=4L=6B=1</v>
      </c>
      <c r="G1612" s="0" t="s">
        <v>1596</v>
      </c>
      <c r="I1612" s="0" t="s">
        <v>7342</v>
      </c>
      <c r="J1612" s="0" t="s">
        <v>7343</v>
      </c>
      <c r="K1612" s="0" t="s">
        <v>160</v>
      </c>
      <c r="L1612" s="0" t="s">
        <v>175</v>
      </c>
      <c r="M1612" s="0" t="s">
        <v>7344</v>
      </c>
      <c r="N1612" s="0" t="str">
        <f aca="false">RIGHT(M1612,LEN(M1612)-FIND(" ",M1612))</f>
        <v>N PARK AVE</v>
      </c>
      <c r="P1612" s="0" t="s">
        <v>145</v>
      </c>
      <c r="Q1612" s="0" t="s">
        <v>146</v>
      </c>
      <c r="R1612" s="0" t="n">
        <v>44481</v>
      </c>
      <c r="AD1612" s="0" t="s">
        <v>147</v>
      </c>
      <c r="AE1612" s="0" t="s">
        <v>148</v>
      </c>
      <c r="AF1612" s="0" t="s">
        <v>149</v>
      </c>
      <c r="AH1612" s="0" t="n">
        <v>14</v>
      </c>
      <c r="AI1612" s="0" t="n">
        <v>11</v>
      </c>
      <c r="AN1612" s="0" t="s">
        <v>145</v>
      </c>
      <c r="AO1612" s="0" t="s">
        <v>654</v>
      </c>
      <c r="AP1612" s="0" t="s">
        <v>655</v>
      </c>
      <c r="AQ1612" s="0" t="n">
        <v>9</v>
      </c>
      <c r="AR1612" s="0" t="n">
        <v>64</v>
      </c>
      <c r="AS1612" s="0" t="n">
        <v>32</v>
      </c>
      <c r="AU1612" s="0" t="n">
        <f aca="false">COUNTA($BA$1220:$EH$1220)</f>
        <v>2</v>
      </c>
      <c r="AV1612" s="0" t="n">
        <f aca="false">COUNTIF($BA$1220:$EH$1220,"D")</f>
        <v>0</v>
      </c>
      <c r="AW1612" s="0" t="n">
        <f aca="false">COUNTIF($BA$1220:$EH$1220,"R")</f>
        <v>0</v>
      </c>
      <c r="AX1612" s="0" t="n">
        <f aca="false">IF(BN1612="D",1,0)+IF(BO1612="D",1,0)+IF(BT1612="D",1,0)+IF(BU1612="D",1,0)+IF(BW1612="D",1,0)+IF(CC1612="D",1,0)+IF(CD1612="D",1,0)+IF(CE1612="D",1,0)+IF(CF1612="D",1,0)+IF(CL1612="D",1,0)+IF(CM1612="D",1,0)+IF(CQ1612="D",1,0)+IF(CR1612="D",1,0)+IF(CS1612="D",1,0)+IF(CW1612="D",1,0)+IF(CX1612="D",1,0)+IF(DD1612="D",1,0)+IF(DE1612="D",1,0)+IF(DJ1612="D",1,0)+IF(DK1612="D",1,0)+IF(DO1612="D",1,0)+IF(DP1612="D",1,0)+IF(DQ1612="D",1,0)+IF(DW1612="D",1,0)+IF(DZ1612="D",1,0)+IF(EH1612="D",1,0)</f>
        <v>4</v>
      </c>
      <c r="AY1612" s="0" t="n">
        <f aca="false">COUNTIF(DU1612:EH1612, "&lt;&gt;")</f>
        <v>6</v>
      </c>
      <c r="AZ1612" s="0" t="n">
        <f aca="false">IF(EH1612&lt;&gt;"",1,0)</f>
        <v>1</v>
      </c>
      <c r="BB1612" s="0" t="s">
        <v>152</v>
      </c>
      <c r="BC1612" s="0" t="s">
        <v>175</v>
      </c>
      <c r="BD1612" s="0" t="s">
        <v>153</v>
      </c>
      <c r="BG1612" s="0" t="s">
        <v>175</v>
      </c>
      <c r="BK1612" s="0" t="s">
        <v>175</v>
      </c>
      <c r="BL1612" s="0" t="s">
        <v>153</v>
      </c>
      <c r="BP1612" s="0" t="s">
        <v>153</v>
      </c>
      <c r="BS1612" s="0" t="s">
        <v>153</v>
      </c>
      <c r="BY1612" s="0" t="s">
        <v>175</v>
      </c>
      <c r="CA1612" s="0" t="s">
        <v>153</v>
      </c>
      <c r="CP1612" s="0" t="s">
        <v>153</v>
      </c>
      <c r="CT1612" s="0" t="s">
        <v>153</v>
      </c>
      <c r="CU1612" s="0" t="s">
        <v>175</v>
      </c>
      <c r="CV1612" s="0" t="s">
        <v>153</v>
      </c>
      <c r="CY1612" s="0" t="s">
        <v>153</v>
      </c>
      <c r="DC1612" s="0" t="s">
        <v>153</v>
      </c>
      <c r="DD1612" s="0" t="s">
        <v>175</v>
      </c>
      <c r="DG1612" s="0" t="s">
        <v>175</v>
      </c>
      <c r="DI1612" s="0" t="s">
        <v>153</v>
      </c>
      <c r="DJ1612" s="0" t="s">
        <v>175</v>
      </c>
      <c r="DL1612" s="0" t="s">
        <v>153</v>
      </c>
      <c r="DM1612" s="0" t="s">
        <v>175</v>
      </c>
      <c r="DN1612" s="0" t="s">
        <v>153</v>
      </c>
      <c r="DS1612" s="0" t="s">
        <v>175</v>
      </c>
      <c r="DU1612" s="0" t="s">
        <v>153</v>
      </c>
      <c r="DW1612" s="0" t="s">
        <v>175</v>
      </c>
      <c r="EA1612" s="0" t="s">
        <v>153</v>
      </c>
      <c r="ED1612" s="0" t="s">
        <v>175</v>
      </c>
      <c r="EF1612" s="0" t="s">
        <v>153</v>
      </c>
      <c r="EH1612" s="0" t="s">
        <v>175</v>
      </c>
    </row>
    <row r="1613" customFormat="false" ht="13.8" hidden="true" customHeight="false" outlineLevel="0" collapsed="false">
      <c r="A1613" s="0" t="s">
        <v>7345</v>
      </c>
      <c r="B1613" s="0" t="n">
        <v>78</v>
      </c>
      <c r="C1613" s="0" t="n">
        <v>477940</v>
      </c>
      <c r="D1613" s="0" t="s">
        <v>7346</v>
      </c>
      <c r="E1613" s="0" t="s">
        <v>7347</v>
      </c>
      <c r="F1613" s="0" t="str">
        <f aca="false">CONCATENATE(D1613," ",LEFT(H1613,4),"T=",AU1613,"D=",AV1613,"R=",AW1613,"M=",AX1613,"L=",AY1613,"B=",AZ1613)</f>
        <v>BEAL T=19D=3R=0M=0L=1B=0</v>
      </c>
      <c r="G1613" s="0" t="s">
        <v>500</v>
      </c>
      <c r="I1613" s="0" t="s">
        <v>7348</v>
      </c>
      <c r="J1613" s="0" t="s">
        <v>231</v>
      </c>
      <c r="K1613" s="0" t="s">
        <v>160</v>
      </c>
      <c r="M1613" s="0" t="s">
        <v>7344</v>
      </c>
      <c r="N1613" s="0" t="str">
        <f aca="false">RIGHT(M1613,LEN(M1613)-FIND(" ",M1613))</f>
        <v>N PARK AVE</v>
      </c>
      <c r="O1613" s="0" t="s">
        <v>522</v>
      </c>
      <c r="P1613" s="0" t="s">
        <v>145</v>
      </c>
      <c r="Q1613" s="0" t="s">
        <v>146</v>
      </c>
      <c r="R1613" s="0" t="n">
        <v>44481</v>
      </c>
      <c r="AD1613" s="0" t="s">
        <v>147</v>
      </c>
      <c r="AE1613" s="0" t="s">
        <v>148</v>
      </c>
      <c r="AF1613" s="0" t="s">
        <v>149</v>
      </c>
      <c r="AH1613" s="0" t="n">
        <v>14</v>
      </c>
      <c r="AI1613" s="0" t="n">
        <v>11</v>
      </c>
      <c r="AN1613" s="0" t="s">
        <v>145</v>
      </c>
      <c r="AO1613" s="0" t="s">
        <v>654</v>
      </c>
      <c r="AP1613" s="0" t="s">
        <v>655</v>
      </c>
      <c r="AQ1613" s="0" t="n">
        <v>9</v>
      </c>
      <c r="AR1613" s="0" t="n">
        <v>64</v>
      </c>
      <c r="AS1613" s="0" t="n">
        <v>32</v>
      </c>
      <c r="AU1613" s="0" t="n">
        <f aca="false">COUNTA($BA$1415:$EH$1415)</f>
        <v>19</v>
      </c>
      <c r="AV1613" s="0" t="n">
        <f aca="false">COUNTIF($BA$1415:$EH$1415,"D")</f>
        <v>3</v>
      </c>
      <c r="AW1613" s="0" t="n">
        <f aca="false">COUNTIF($BA$1415:$EH$1415,"R")</f>
        <v>0</v>
      </c>
      <c r="AX1613" s="0" t="n">
        <f aca="false">IF(BN1613="D",1,0)+IF(BO1613="D",1,0)+IF(BT1613="D",1,0)+IF(BU1613="D",1,0)+IF(BW1613="D",1,0)+IF(CC1613="D",1,0)+IF(CD1613="D",1,0)+IF(CE1613="D",1,0)+IF(CF1613="D",1,0)+IF(CL1613="D",1,0)+IF(CM1613="D",1,0)+IF(CQ1613="D",1,0)+IF(CR1613="D",1,0)+IF(CS1613="D",1,0)+IF(CW1613="D",1,0)+IF(CX1613="D",1,0)+IF(DD1613="D",1,0)+IF(DE1613="D",1,0)+IF(DJ1613="D",1,0)+IF(DK1613="D",1,0)+IF(DO1613="D",1,0)+IF(DP1613="D",1,0)+IF(DQ1613="D",1,0)+IF(DW1613="D",1,0)+IF(DZ1613="D",1,0)+IF(EH1613="D",1,0)</f>
        <v>0</v>
      </c>
      <c r="AY1613" s="0" t="n">
        <f aca="false">COUNTIF(DU1613:EH1613, "&lt;&gt;")</f>
        <v>1</v>
      </c>
      <c r="AZ1613" s="0" t="n">
        <f aca="false">IF(EH1613&lt;&gt;"",1,0)</f>
        <v>0</v>
      </c>
      <c r="BB1613" s="0" t="s">
        <v>152</v>
      </c>
      <c r="EF1613" s="0" t="s">
        <v>153</v>
      </c>
    </row>
    <row r="1614" customFormat="false" ht="13.8" hidden="true" customHeight="false" outlineLevel="0" collapsed="false">
      <c r="A1614" s="0" t="s">
        <v>7349</v>
      </c>
      <c r="B1614" s="0" t="n">
        <v>78</v>
      </c>
      <c r="C1614" s="0" t="n">
        <v>447105</v>
      </c>
      <c r="D1614" s="0" t="s">
        <v>7350</v>
      </c>
      <c r="E1614" s="0" t="s">
        <v>871</v>
      </c>
      <c r="F1614" s="0" t="str">
        <f aca="false">CONCATENATE(D1614," ",LEFT(H1614,4),"T=",AU1614,"D=",AV1614,"R=",AW1614,"M=",AX1614,"L=",AY1614,"B=",AZ1614)</f>
        <v>CUCKOVICH T=7D=2R=0M=0L=1B=0</v>
      </c>
      <c r="G1614" s="0" t="s">
        <v>7351</v>
      </c>
      <c r="I1614" s="0" t="s">
        <v>7352</v>
      </c>
      <c r="J1614" s="0" t="s">
        <v>570</v>
      </c>
      <c r="K1614" s="0" t="s">
        <v>160</v>
      </c>
      <c r="M1614" s="0" t="s">
        <v>7344</v>
      </c>
      <c r="N1614" s="0" t="str">
        <f aca="false">RIGHT(M1614,LEN(M1614)-FIND(" ",M1614))</f>
        <v>N PARK AVE</v>
      </c>
      <c r="O1614" s="0" t="s">
        <v>7353</v>
      </c>
      <c r="P1614" s="0" t="s">
        <v>145</v>
      </c>
      <c r="Q1614" s="0" t="s">
        <v>146</v>
      </c>
      <c r="R1614" s="0" t="n">
        <v>44481</v>
      </c>
      <c r="AD1614" s="0" t="s">
        <v>147</v>
      </c>
      <c r="AE1614" s="0" t="s">
        <v>148</v>
      </c>
      <c r="AF1614" s="0" t="s">
        <v>149</v>
      </c>
      <c r="AH1614" s="0" t="n">
        <v>14</v>
      </c>
      <c r="AI1614" s="0" t="n">
        <v>11</v>
      </c>
      <c r="AN1614" s="0" t="s">
        <v>145</v>
      </c>
      <c r="AO1614" s="0" t="s">
        <v>654</v>
      </c>
      <c r="AP1614" s="0" t="s">
        <v>655</v>
      </c>
      <c r="AQ1614" s="0" t="n">
        <v>9</v>
      </c>
      <c r="AR1614" s="0" t="n">
        <v>64</v>
      </c>
      <c r="AS1614" s="0" t="n">
        <v>32</v>
      </c>
      <c r="AU1614" s="0" t="n">
        <f aca="false">COUNTA($BA$1902:$EH$1902)</f>
        <v>7</v>
      </c>
      <c r="AV1614" s="0" t="n">
        <f aca="false">COUNTIF($BA$1902:$EH$1902,"D")</f>
        <v>2</v>
      </c>
      <c r="AW1614" s="0" t="n">
        <f aca="false">COUNTIF($BA$1902:$EH$1902,"R")</f>
        <v>0</v>
      </c>
      <c r="AX1614" s="0" t="n">
        <f aca="false">IF(BN1614="D",1,0)+IF(BO1614="D",1,0)+IF(BT1614="D",1,0)+IF(BU1614="D",1,0)+IF(BW1614="D",1,0)+IF(CC1614="D",1,0)+IF(CD1614="D",1,0)+IF(CE1614="D",1,0)+IF(CF1614="D",1,0)+IF(CL1614="D",1,0)+IF(CM1614="D",1,0)+IF(CQ1614="D",1,0)+IF(CR1614="D",1,0)+IF(CS1614="D",1,0)+IF(CW1614="D",1,0)+IF(CX1614="D",1,0)+IF(DD1614="D",1,0)+IF(DE1614="D",1,0)+IF(DJ1614="D",1,0)+IF(DK1614="D",1,0)+IF(DO1614="D",1,0)+IF(DP1614="D",1,0)+IF(DQ1614="D",1,0)+IF(DW1614="D",1,0)+IF(DZ1614="D",1,0)+IF(EH1614="D",1,0)</f>
        <v>0</v>
      </c>
      <c r="AY1614" s="0" t="n">
        <f aca="false">COUNTIF(DU1614:EH1614, "&lt;&gt;")</f>
        <v>1</v>
      </c>
      <c r="AZ1614" s="0" t="n">
        <f aca="false">IF(EH1614&lt;&gt;"",1,0)</f>
        <v>0</v>
      </c>
      <c r="BB1614" s="0" t="s">
        <v>152</v>
      </c>
      <c r="DN1614" s="0" t="s">
        <v>153</v>
      </c>
      <c r="EA1614" s="0" t="s">
        <v>153</v>
      </c>
    </row>
    <row r="1615" customFormat="false" ht="13.8" hidden="true" customHeight="false" outlineLevel="0" collapsed="false">
      <c r="A1615" s="0" t="s">
        <v>7354</v>
      </c>
      <c r="B1615" s="0" t="n">
        <v>78</v>
      </c>
      <c r="C1615" s="0" t="n">
        <v>409091</v>
      </c>
      <c r="D1615" s="0" t="s">
        <v>7341</v>
      </c>
      <c r="E1615" s="0" t="s">
        <v>499</v>
      </c>
      <c r="F1615" s="0" t="str">
        <f aca="false">CONCATENATE(D1615," ",LEFT(H1615,4),"T=",AU1615,"D=",AV1615,"R=",AW1615,"M=",AX1615,"L=",AY1615,"B=",AZ1615)</f>
        <v>GOODMAN T=3D=0R=0M=0L=0B=0</v>
      </c>
      <c r="G1615" s="0" t="s">
        <v>215</v>
      </c>
      <c r="I1615" s="0" t="s">
        <v>7355</v>
      </c>
      <c r="J1615" s="0" t="s">
        <v>5192</v>
      </c>
      <c r="K1615" s="0" t="s">
        <v>143</v>
      </c>
      <c r="M1615" s="0" t="s">
        <v>7344</v>
      </c>
      <c r="N1615" s="0" t="str">
        <f aca="false">RIGHT(M1615,LEN(M1615)-FIND(" ",M1615))</f>
        <v>N PARK AVE</v>
      </c>
      <c r="P1615" s="0" t="s">
        <v>145</v>
      </c>
      <c r="Q1615" s="0" t="s">
        <v>146</v>
      </c>
      <c r="R1615" s="0" t="n">
        <v>44481</v>
      </c>
      <c r="AD1615" s="0" t="s">
        <v>147</v>
      </c>
      <c r="AE1615" s="0" t="s">
        <v>148</v>
      </c>
      <c r="AF1615" s="0" t="s">
        <v>149</v>
      </c>
      <c r="AH1615" s="0" t="n">
        <v>14</v>
      </c>
      <c r="AI1615" s="0" t="n">
        <v>11</v>
      </c>
      <c r="AN1615" s="0" t="s">
        <v>145</v>
      </c>
      <c r="AO1615" s="0" t="s">
        <v>654</v>
      </c>
      <c r="AP1615" s="0" t="s">
        <v>655</v>
      </c>
      <c r="AQ1615" s="0" t="n">
        <v>9</v>
      </c>
      <c r="AR1615" s="0" t="n">
        <v>64</v>
      </c>
      <c r="AS1615" s="0" t="n">
        <v>32</v>
      </c>
      <c r="AU1615" s="0" t="n">
        <f aca="false">COUNTA($BA$1999:$EH$1999)</f>
        <v>3</v>
      </c>
      <c r="AV1615" s="0" t="n">
        <f aca="false">COUNTIF($BA$1999:$EH$1999,"D")</f>
        <v>0</v>
      </c>
      <c r="AW1615" s="0" t="n">
        <f aca="false">COUNTIF($BA$1999:$EH$1999,"R")</f>
        <v>0</v>
      </c>
      <c r="AX1615" s="0" t="n">
        <f aca="false">IF(BN1615="D",1,0)+IF(BO1615="D",1,0)+IF(BT1615="D",1,0)+IF(BU1615="D",1,0)+IF(BW1615="D",1,0)+IF(CC1615="D",1,0)+IF(CD1615="D",1,0)+IF(CE1615="D",1,0)+IF(CF1615="D",1,0)+IF(CL1615="D",1,0)+IF(CM1615="D",1,0)+IF(CQ1615="D",1,0)+IF(CR1615="D",1,0)+IF(CS1615="D",1,0)+IF(CW1615="D",1,0)+IF(CX1615="D",1,0)+IF(DD1615="D",1,0)+IF(DE1615="D",1,0)+IF(DJ1615="D",1,0)+IF(DK1615="D",1,0)+IF(DO1615="D",1,0)+IF(DP1615="D",1,0)+IF(DQ1615="D",1,0)+IF(DW1615="D",1,0)+IF(DZ1615="D",1,0)+IF(EH1615="D",1,0)</f>
        <v>0</v>
      </c>
      <c r="AY1615" s="0" t="n">
        <f aca="false">COUNTIF(DU1615:EH1615, "&lt;&gt;")</f>
        <v>0</v>
      </c>
      <c r="AZ1615" s="0" t="n">
        <f aca="false">IF(EH1615&lt;&gt;"",1,0)</f>
        <v>0</v>
      </c>
      <c r="BB1615" s="0" t="s">
        <v>152</v>
      </c>
      <c r="CY1615" s="0" t="s">
        <v>153</v>
      </c>
    </row>
    <row r="1616" customFormat="false" ht="13.8" hidden="true" customHeight="false" outlineLevel="0" collapsed="false">
      <c r="A1616" s="0" t="s">
        <v>7356</v>
      </c>
      <c r="B1616" s="0" t="n">
        <v>78</v>
      </c>
      <c r="C1616" s="0" t="n">
        <v>431387</v>
      </c>
      <c r="D1616" s="0" t="s">
        <v>636</v>
      </c>
      <c r="E1616" s="0" t="s">
        <v>1710</v>
      </c>
      <c r="F1616" s="0" t="str">
        <f aca="false">CONCATENATE(D1616," ",LEFT(H1616,4),"T=",AU1616,"D=",AV1616,"R=",AW1616,"M=",AX1616,"L=",AY1616,"B=",AZ1616)</f>
        <v>ADAMS T=21D=1R=0M=0L=0B=0</v>
      </c>
      <c r="G1616" s="0" t="s">
        <v>190</v>
      </c>
      <c r="I1616" s="0" t="s">
        <v>7357</v>
      </c>
      <c r="J1616" s="0" t="s">
        <v>7358</v>
      </c>
      <c r="K1616" s="0" t="s">
        <v>143</v>
      </c>
      <c r="M1616" s="0" t="s">
        <v>7359</v>
      </c>
      <c r="N1616" s="0" t="str">
        <f aca="false">RIGHT(M1616,LEN(M1616)-FIND(" ",M1616))</f>
        <v>N PARK AVE</v>
      </c>
      <c r="O1616" s="0" t="s">
        <v>220</v>
      </c>
      <c r="P1616" s="0" t="s">
        <v>145</v>
      </c>
      <c r="Q1616" s="0" t="s">
        <v>146</v>
      </c>
      <c r="R1616" s="0" t="n">
        <v>44481</v>
      </c>
      <c r="AD1616" s="0" t="s">
        <v>147</v>
      </c>
      <c r="AE1616" s="0" t="s">
        <v>148</v>
      </c>
      <c r="AF1616" s="0" t="s">
        <v>149</v>
      </c>
      <c r="AH1616" s="0" t="n">
        <v>14</v>
      </c>
      <c r="AI1616" s="0" t="n">
        <v>11</v>
      </c>
      <c r="AN1616" s="0" t="s">
        <v>145</v>
      </c>
      <c r="AO1616" s="0" t="s">
        <v>654</v>
      </c>
      <c r="AP1616" s="0" t="s">
        <v>655</v>
      </c>
      <c r="AQ1616" s="0" t="n">
        <v>9</v>
      </c>
      <c r="AR1616" s="0" t="n">
        <v>64</v>
      </c>
      <c r="AS1616" s="0" t="n">
        <v>32</v>
      </c>
      <c r="AU1616" s="0" t="n">
        <f aca="false">COUNTA($BA$1711:$EH$1711)</f>
        <v>21</v>
      </c>
      <c r="AV1616" s="0" t="n">
        <f aca="false">COUNTIF($BA$1711:$EH$1711,"D")</f>
        <v>1</v>
      </c>
      <c r="AW1616" s="0" t="n">
        <f aca="false">COUNTIF($BA$1711:$EH$1711,"R")</f>
        <v>0</v>
      </c>
      <c r="AX1616" s="0" t="n">
        <f aca="false">IF(BN1616="D",1,0)+IF(BO1616="D",1,0)+IF(BT1616="D",1,0)+IF(BU1616="D",1,0)+IF(BW1616="D",1,0)+IF(CC1616="D",1,0)+IF(CD1616="D",1,0)+IF(CE1616="D",1,0)+IF(CF1616="D",1,0)+IF(CL1616="D",1,0)+IF(CM1616="D",1,0)+IF(CQ1616="D",1,0)+IF(CR1616="D",1,0)+IF(CS1616="D",1,0)+IF(CW1616="D",1,0)+IF(CX1616="D",1,0)+IF(DD1616="D",1,0)+IF(DE1616="D",1,0)+IF(DJ1616="D",1,0)+IF(DK1616="D",1,0)+IF(DO1616="D",1,0)+IF(DP1616="D",1,0)+IF(DQ1616="D",1,0)+IF(DW1616="D",1,0)+IF(DZ1616="D",1,0)+IF(EH1616="D",1,0)</f>
        <v>0</v>
      </c>
      <c r="AY1616" s="0" t="n">
        <f aca="false">COUNTIF(DU1616:EH1616, "&lt;&gt;")</f>
        <v>0</v>
      </c>
      <c r="AZ1616" s="0" t="n">
        <f aca="false">IF(EH1616&lt;&gt;"",1,0)</f>
        <v>0</v>
      </c>
      <c r="BB1616" s="0" t="s">
        <v>152</v>
      </c>
    </row>
    <row r="1617" customFormat="false" ht="13.8" hidden="true" customHeight="false" outlineLevel="0" collapsed="false">
      <c r="A1617" s="0" t="s">
        <v>7360</v>
      </c>
      <c r="B1617" s="0" t="n">
        <v>78</v>
      </c>
      <c r="C1617" s="0" t="n">
        <v>431590</v>
      </c>
      <c r="D1617" s="0" t="s">
        <v>509</v>
      </c>
      <c r="E1617" s="0" t="s">
        <v>648</v>
      </c>
      <c r="F1617" s="0" t="str">
        <f aca="false">CONCATENATE(D1617," ",LEFT(H1617,4),"T=",AU1617,"D=",AV1617,"R=",AW1617,"M=",AX1617,"L=",AY1617,"B=",AZ1617)</f>
        <v>PARKER T=3D=0R=0M=0L=0B=0</v>
      </c>
      <c r="G1617" s="0" t="s">
        <v>307</v>
      </c>
      <c r="I1617" s="0" t="s">
        <v>7361</v>
      </c>
      <c r="J1617" s="0" t="s">
        <v>6351</v>
      </c>
      <c r="K1617" s="0" t="s">
        <v>160</v>
      </c>
      <c r="M1617" s="0" t="s">
        <v>7362</v>
      </c>
      <c r="N1617" s="0" t="str">
        <f aca="false">RIGHT(M1617,LEN(M1617)-FIND(" ",M1617))</f>
        <v>N PARK AVE</v>
      </c>
      <c r="P1617" s="0" t="s">
        <v>145</v>
      </c>
      <c r="Q1617" s="0" t="s">
        <v>146</v>
      </c>
      <c r="R1617" s="0" t="n">
        <v>44481</v>
      </c>
      <c r="AD1617" s="0" t="s">
        <v>147</v>
      </c>
      <c r="AE1617" s="0" t="s">
        <v>148</v>
      </c>
      <c r="AF1617" s="0" t="s">
        <v>149</v>
      </c>
      <c r="AH1617" s="0" t="n">
        <v>14</v>
      </c>
      <c r="AI1617" s="0" t="n">
        <v>11</v>
      </c>
      <c r="AN1617" s="0" t="s">
        <v>145</v>
      </c>
      <c r="AO1617" s="0" t="s">
        <v>654</v>
      </c>
      <c r="AP1617" s="0" t="s">
        <v>655</v>
      </c>
      <c r="AQ1617" s="0" t="n">
        <v>9</v>
      </c>
      <c r="AR1617" s="0" t="n">
        <v>64</v>
      </c>
      <c r="AS1617" s="0" t="n">
        <v>32</v>
      </c>
      <c r="AU1617" s="0" t="n">
        <f aca="false">COUNTA($BA$2073:$EH$2073)</f>
        <v>3</v>
      </c>
      <c r="AV1617" s="0" t="n">
        <f aca="false">COUNTIF($BA$2073:$EH$2073,"D")</f>
        <v>0</v>
      </c>
      <c r="AW1617" s="0" t="n">
        <f aca="false">COUNTIF($BA$2073:$EH$2073,"R")</f>
        <v>0</v>
      </c>
      <c r="AX1617" s="0" t="n">
        <f aca="false">IF(BN1617="D",1,0)+IF(BO1617="D",1,0)+IF(BT1617="D",1,0)+IF(BU1617="D",1,0)+IF(BW1617="D",1,0)+IF(CC1617="D",1,0)+IF(CD1617="D",1,0)+IF(CE1617="D",1,0)+IF(CF1617="D",1,0)+IF(CL1617="D",1,0)+IF(CM1617="D",1,0)+IF(CQ1617="D",1,0)+IF(CR1617="D",1,0)+IF(CS1617="D",1,0)+IF(CW1617="D",1,0)+IF(CX1617="D",1,0)+IF(DD1617="D",1,0)+IF(DE1617="D",1,0)+IF(DJ1617="D",1,0)+IF(DK1617="D",1,0)+IF(DO1617="D",1,0)+IF(DP1617="D",1,0)+IF(DQ1617="D",1,0)+IF(DW1617="D",1,0)+IF(DZ1617="D",1,0)+IF(EH1617="D",1,0)</f>
        <v>0</v>
      </c>
      <c r="AY1617" s="0" t="n">
        <f aca="false">COUNTIF(DU1617:EH1617, "&lt;&gt;")</f>
        <v>0</v>
      </c>
      <c r="AZ1617" s="0" t="n">
        <f aca="false">IF(EH1617&lt;&gt;"",1,0)</f>
        <v>0</v>
      </c>
      <c r="BB1617" s="0" t="s">
        <v>152</v>
      </c>
    </row>
    <row r="1618" customFormat="false" ht="13.8" hidden="true" customHeight="false" outlineLevel="0" collapsed="false">
      <c r="A1618" s="0" t="s">
        <v>7363</v>
      </c>
      <c r="B1618" s="0" t="n">
        <v>78</v>
      </c>
      <c r="C1618" s="0" t="n">
        <v>486736</v>
      </c>
      <c r="D1618" s="0" t="s">
        <v>7364</v>
      </c>
      <c r="E1618" s="0" t="s">
        <v>275</v>
      </c>
      <c r="F1618" s="0" t="str">
        <f aca="false">CONCATENATE(D1618," ",LEFT(H1618,4),"T=",AU1618,"D=",AV1618,"R=",AW1618,"M=",AX1618,"L=",AY1618,"B=",AZ1618)</f>
        <v>SHEHANE T=1D=0R=0M=0L=0B=0</v>
      </c>
      <c r="G1618" s="0" t="s">
        <v>770</v>
      </c>
      <c r="I1618" s="0" t="s">
        <v>7365</v>
      </c>
      <c r="J1618" s="0" t="s">
        <v>7366</v>
      </c>
      <c r="K1618" s="0" t="s">
        <v>160</v>
      </c>
      <c r="M1618" s="0" t="s">
        <v>7367</v>
      </c>
      <c r="N1618" s="0" t="str">
        <f aca="false">RIGHT(M1618,LEN(M1618)-FIND(" ",M1618))</f>
        <v>N PARK AVE</v>
      </c>
      <c r="P1618" s="0" t="s">
        <v>145</v>
      </c>
      <c r="Q1618" s="0" t="s">
        <v>146</v>
      </c>
      <c r="R1618" s="0" t="n">
        <v>44481</v>
      </c>
      <c r="AD1618" s="0" t="s">
        <v>147</v>
      </c>
      <c r="AE1618" s="0" t="s">
        <v>148</v>
      </c>
      <c r="AF1618" s="0" t="s">
        <v>149</v>
      </c>
      <c r="AH1618" s="0" t="n">
        <v>14</v>
      </c>
      <c r="AI1618" s="0" t="n">
        <v>11</v>
      </c>
      <c r="AN1618" s="0" t="s">
        <v>145</v>
      </c>
      <c r="AO1618" s="0" t="s">
        <v>654</v>
      </c>
      <c r="AP1618" s="0" t="s">
        <v>655</v>
      </c>
      <c r="AQ1618" s="0" t="n">
        <v>9</v>
      </c>
      <c r="AR1618" s="0" t="n">
        <v>64</v>
      </c>
      <c r="AS1618" s="0" t="n">
        <v>32</v>
      </c>
      <c r="AU1618" s="0" t="n">
        <f aca="false">COUNTA($BA$1257:$EH$1257)</f>
        <v>1</v>
      </c>
      <c r="AV1618" s="0" t="n">
        <f aca="false">COUNTIF($BA$1257:$EH$1257,"D")</f>
        <v>0</v>
      </c>
      <c r="AW1618" s="0" t="n">
        <f aca="false">COUNTIF($BA$1257:$EH$1257,"R")</f>
        <v>0</v>
      </c>
      <c r="AX1618" s="0" t="n">
        <f aca="false">IF(BN1618="D",1,0)+IF(BO1618="D",1,0)+IF(BT1618="D",1,0)+IF(BU1618="D",1,0)+IF(BW1618="D",1,0)+IF(CC1618="D",1,0)+IF(CD1618="D",1,0)+IF(CE1618="D",1,0)+IF(CF1618="D",1,0)+IF(CL1618="D",1,0)+IF(CM1618="D",1,0)+IF(CQ1618="D",1,0)+IF(CR1618="D",1,0)+IF(CS1618="D",1,0)+IF(CW1618="D",1,0)+IF(CX1618="D",1,0)+IF(DD1618="D",1,0)+IF(DE1618="D",1,0)+IF(DJ1618="D",1,0)+IF(DK1618="D",1,0)+IF(DO1618="D",1,0)+IF(DP1618="D",1,0)+IF(DQ1618="D",1,0)+IF(DW1618="D",1,0)+IF(DZ1618="D",1,0)+IF(EH1618="D",1,0)</f>
        <v>0</v>
      </c>
      <c r="AY1618" s="0" t="n">
        <f aca="false">COUNTIF(DU1618:EH1618, "&lt;&gt;")</f>
        <v>0</v>
      </c>
      <c r="AZ1618" s="0" t="n">
        <f aca="false">IF(EH1618&lt;&gt;"",1,0)</f>
        <v>0</v>
      </c>
      <c r="BB1618" s="0" t="s">
        <v>152</v>
      </c>
      <c r="BC1618" s="0" t="s">
        <v>153</v>
      </c>
      <c r="BD1618" s="0" t="s">
        <v>153</v>
      </c>
      <c r="BE1618" s="0" t="s">
        <v>153</v>
      </c>
      <c r="BS1618" s="0" t="s">
        <v>153</v>
      </c>
      <c r="CK1618" s="0" t="s">
        <v>153</v>
      </c>
      <c r="DI1618" s="0" t="s">
        <v>153</v>
      </c>
      <c r="DN1618" s="0" t="s">
        <v>153</v>
      </c>
    </row>
    <row r="1619" customFormat="false" ht="13.8" hidden="true" customHeight="false" outlineLevel="0" collapsed="false">
      <c r="A1619" s="0" t="s">
        <v>7368</v>
      </c>
      <c r="B1619" s="0" t="n">
        <v>78</v>
      </c>
      <c r="C1619" s="0" t="n">
        <v>419485</v>
      </c>
      <c r="D1619" s="0" t="s">
        <v>7369</v>
      </c>
      <c r="E1619" s="0" t="s">
        <v>1193</v>
      </c>
      <c r="F1619" s="0" t="str">
        <f aca="false">CONCATENATE(D1619," ",LEFT(H1619,4),"T=",AU1619,"D=",AV1619,"R=",AW1619,"M=",AX1619,"L=",AY1619,"B=",AZ1619)</f>
        <v>THORNSBERRY T=3D=0R=0M=0L=0B=0</v>
      </c>
      <c r="G1619" s="0" t="s">
        <v>325</v>
      </c>
      <c r="I1619" s="0" t="s">
        <v>7370</v>
      </c>
      <c r="J1619" s="0" t="s">
        <v>7371</v>
      </c>
      <c r="K1619" s="0" t="s">
        <v>143</v>
      </c>
      <c r="M1619" s="0" t="s">
        <v>7367</v>
      </c>
      <c r="N1619" s="0" t="str">
        <f aca="false">RIGHT(M1619,LEN(M1619)-FIND(" ",M1619))</f>
        <v>N PARK AVE</v>
      </c>
      <c r="P1619" s="0" t="s">
        <v>145</v>
      </c>
      <c r="Q1619" s="0" t="s">
        <v>146</v>
      </c>
      <c r="R1619" s="0" t="n">
        <v>44481</v>
      </c>
      <c r="AD1619" s="0" t="s">
        <v>147</v>
      </c>
      <c r="AE1619" s="0" t="s">
        <v>148</v>
      </c>
      <c r="AF1619" s="0" t="s">
        <v>149</v>
      </c>
      <c r="AH1619" s="0" t="n">
        <v>14</v>
      </c>
      <c r="AI1619" s="0" t="n">
        <v>11</v>
      </c>
      <c r="AN1619" s="0" t="s">
        <v>145</v>
      </c>
      <c r="AO1619" s="0" t="s">
        <v>654</v>
      </c>
      <c r="AP1619" s="0" t="s">
        <v>655</v>
      </c>
      <c r="AQ1619" s="0" t="n">
        <v>9</v>
      </c>
      <c r="AR1619" s="0" t="n">
        <v>64</v>
      </c>
      <c r="AS1619" s="0" t="n">
        <v>32</v>
      </c>
      <c r="AU1619" s="0" t="n">
        <f aca="false">COUNTA($BA$1259:$EH$1259)</f>
        <v>3</v>
      </c>
      <c r="AV1619" s="0" t="n">
        <f aca="false">COUNTIF($BA$1259:$EH$1259,"D")</f>
        <v>0</v>
      </c>
      <c r="AW1619" s="0" t="n">
        <f aca="false">COUNTIF($BA$1259:$EH$1259,"R")</f>
        <v>0</v>
      </c>
      <c r="AX1619" s="0" t="n">
        <f aca="false">IF(BN1619="D",1,0)+IF(BO1619="D",1,0)+IF(BT1619="D",1,0)+IF(BU1619="D",1,0)+IF(BW1619="D",1,0)+IF(CC1619="D",1,0)+IF(CD1619="D",1,0)+IF(CE1619="D",1,0)+IF(CF1619="D",1,0)+IF(CL1619="D",1,0)+IF(CM1619="D",1,0)+IF(CQ1619="D",1,0)+IF(CR1619="D",1,0)+IF(CS1619="D",1,0)+IF(CW1619="D",1,0)+IF(CX1619="D",1,0)+IF(DD1619="D",1,0)+IF(DE1619="D",1,0)+IF(DJ1619="D",1,0)+IF(DK1619="D",1,0)+IF(DO1619="D",1,0)+IF(DP1619="D",1,0)+IF(DQ1619="D",1,0)+IF(DW1619="D",1,0)+IF(DZ1619="D",1,0)+IF(EH1619="D",1,0)</f>
        <v>0</v>
      </c>
      <c r="AY1619" s="0" t="n">
        <f aca="false">COUNTIF(DU1619:EH1619, "&lt;&gt;")</f>
        <v>0</v>
      </c>
      <c r="AZ1619" s="0" t="n">
        <f aca="false">IF(EH1619&lt;&gt;"",1,0)</f>
        <v>0</v>
      </c>
      <c r="BB1619" s="0" t="s">
        <v>152</v>
      </c>
    </row>
    <row r="1620" customFormat="false" ht="13.8" hidden="true" customHeight="false" outlineLevel="0" collapsed="false">
      <c r="A1620" s="0" t="s">
        <v>7372</v>
      </c>
      <c r="B1620" s="0" t="n">
        <v>78</v>
      </c>
      <c r="C1620" s="0" t="n">
        <v>464505</v>
      </c>
      <c r="D1620" s="0" t="s">
        <v>7373</v>
      </c>
      <c r="E1620" s="0" t="s">
        <v>2826</v>
      </c>
      <c r="F1620" s="0" t="str">
        <f aca="false">CONCATENATE(D1620," ",LEFT(H1620,4),"T=",AU1620,"D=",AV1620,"R=",AW1620,"M=",AX1620,"L=",AY1620,"B=",AZ1620)</f>
        <v>RUPP T=1D=0R=0M=0L=0B=0</v>
      </c>
      <c r="G1620" s="0" t="s">
        <v>164</v>
      </c>
      <c r="I1620" s="0" t="s">
        <v>7374</v>
      </c>
      <c r="J1620" s="0" t="s">
        <v>2994</v>
      </c>
      <c r="K1620" s="0" t="s">
        <v>143</v>
      </c>
      <c r="M1620" s="0" t="s">
        <v>7367</v>
      </c>
      <c r="N1620" s="0" t="str">
        <f aca="false">RIGHT(M1620,LEN(M1620)-FIND(" ",M1620))</f>
        <v>N PARK AVE</v>
      </c>
      <c r="O1620" s="0" t="s">
        <v>868</v>
      </c>
      <c r="P1620" s="0" t="s">
        <v>145</v>
      </c>
      <c r="Q1620" s="0" t="s">
        <v>146</v>
      </c>
      <c r="R1620" s="0" t="n">
        <v>44481</v>
      </c>
      <c r="AD1620" s="0" t="s">
        <v>147</v>
      </c>
      <c r="AE1620" s="0" t="s">
        <v>148</v>
      </c>
      <c r="AF1620" s="0" t="s">
        <v>149</v>
      </c>
      <c r="AH1620" s="0" t="n">
        <v>14</v>
      </c>
      <c r="AI1620" s="0" t="n">
        <v>11</v>
      </c>
      <c r="AN1620" s="0" t="s">
        <v>145</v>
      </c>
      <c r="AO1620" s="0" t="s">
        <v>654</v>
      </c>
      <c r="AP1620" s="0" t="s">
        <v>655</v>
      </c>
      <c r="AQ1620" s="0" t="n">
        <v>9</v>
      </c>
      <c r="AR1620" s="0" t="n">
        <v>64</v>
      </c>
      <c r="AS1620" s="0" t="n">
        <v>32</v>
      </c>
      <c r="AU1620" s="0" t="n">
        <f aca="false">COUNTA($BA$1588:$EH$1588)</f>
        <v>1</v>
      </c>
      <c r="AV1620" s="0" t="n">
        <f aca="false">COUNTIF($BA$1588:$EH$1588,"D")</f>
        <v>0</v>
      </c>
      <c r="AW1620" s="0" t="n">
        <f aca="false">COUNTIF($BA$1588:$EH$1588,"R")</f>
        <v>0</v>
      </c>
      <c r="AX1620" s="0" t="n">
        <f aca="false">IF(BN1620="D",1,0)+IF(BO1620="D",1,0)+IF(BT1620="D",1,0)+IF(BU1620="D",1,0)+IF(BW1620="D",1,0)+IF(CC1620="D",1,0)+IF(CD1620="D",1,0)+IF(CE1620="D",1,0)+IF(CF1620="D",1,0)+IF(CL1620="D",1,0)+IF(CM1620="D",1,0)+IF(CQ1620="D",1,0)+IF(CR1620="D",1,0)+IF(CS1620="D",1,0)+IF(CW1620="D",1,0)+IF(CX1620="D",1,0)+IF(DD1620="D",1,0)+IF(DE1620="D",1,0)+IF(DJ1620="D",1,0)+IF(DK1620="D",1,0)+IF(DO1620="D",1,0)+IF(DP1620="D",1,0)+IF(DQ1620="D",1,0)+IF(DW1620="D",1,0)+IF(DZ1620="D",1,0)+IF(EH1620="D",1,0)</f>
        <v>0</v>
      </c>
      <c r="AY1620" s="0" t="n">
        <f aca="false">COUNTIF(DU1620:EH1620, "&lt;&gt;")</f>
        <v>0</v>
      </c>
      <c r="AZ1620" s="0" t="n">
        <f aca="false">IF(EH1620&lt;&gt;"",1,0)</f>
        <v>0</v>
      </c>
      <c r="BB1620" s="0" t="s">
        <v>152</v>
      </c>
    </row>
    <row r="1621" customFormat="false" ht="13.8" hidden="true" customHeight="false" outlineLevel="0" collapsed="false">
      <c r="A1621" s="0" t="s">
        <v>7375</v>
      </c>
      <c r="B1621" s="0" t="n">
        <v>78</v>
      </c>
      <c r="C1621" s="0" t="n">
        <v>250554</v>
      </c>
      <c r="D1621" s="0" t="s">
        <v>3193</v>
      </c>
      <c r="E1621" s="0" t="s">
        <v>1451</v>
      </c>
      <c r="F1621" s="0" t="str">
        <f aca="false">CONCATENATE(D1621," ",LEFT(H1621,4),"T=",AU1621,"D=",AV1621,"R=",AW1621,"M=",AX1621,"L=",AY1621,"B=",AZ1621)</f>
        <v>CARTER T=10D=0R=1M=0L=0B=0</v>
      </c>
      <c r="G1621" s="0" t="s">
        <v>268</v>
      </c>
      <c r="I1621" s="0" t="s">
        <v>7376</v>
      </c>
      <c r="J1621" s="0" t="s">
        <v>4615</v>
      </c>
      <c r="K1621" s="0" t="s">
        <v>160</v>
      </c>
      <c r="M1621" s="0" t="s">
        <v>7367</v>
      </c>
      <c r="N1621" s="0" t="str">
        <f aca="false">RIGHT(M1621,LEN(M1621)-FIND(" ",M1621))</f>
        <v>N PARK AVE</v>
      </c>
      <c r="P1621" s="0" t="s">
        <v>145</v>
      </c>
      <c r="Q1621" s="0" t="s">
        <v>146</v>
      </c>
      <c r="R1621" s="0" t="n">
        <v>44481</v>
      </c>
      <c r="AD1621" s="0" t="s">
        <v>147</v>
      </c>
      <c r="AE1621" s="0" t="s">
        <v>148</v>
      </c>
      <c r="AF1621" s="0" t="s">
        <v>149</v>
      </c>
      <c r="AH1621" s="0" t="n">
        <v>14</v>
      </c>
      <c r="AI1621" s="0" t="n">
        <v>11</v>
      </c>
      <c r="AN1621" s="0" t="s">
        <v>145</v>
      </c>
      <c r="AO1621" s="0" t="s">
        <v>654</v>
      </c>
      <c r="AP1621" s="0" t="s">
        <v>655</v>
      </c>
      <c r="AQ1621" s="0" t="n">
        <v>9</v>
      </c>
      <c r="AR1621" s="0" t="n">
        <v>64</v>
      </c>
      <c r="AS1621" s="0" t="n">
        <v>32</v>
      </c>
      <c r="AU1621" s="0" t="n">
        <f aca="false">COUNTA($BA$1825:$EH$1825)</f>
        <v>10</v>
      </c>
      <c r="AV1621" s="0" t="n">
        <f aca="false">COUNTIF($BA$1825:$EH$1825,"D")</f>
        <v>0</v>
      </c>
      <c r="AW1621" s="0" t="n">
        <f aca="false">COUNTIF($BA$1825:$EH$1825,"R")</f>
        <v>1</v>
      </c>
      <c r="AX1621" s="0" t="n">
        <f aca="false">IF(BN1621="D",1,0)+IF(BO1621="D",1,0)+IF(BT1621="D",1,0)+IF(BU1621="D",1,0)+IF(BW1621="D",1,0)+IF(CC1621="D",1,0)+IF(CD1621="D",1,0)+IF(CE1621="D",1,0)+IF(CF1621="D",1,0)+IF(CL1621="D",1,0)+IF(CM1621="D",1,0)+IF(CQ1621="D",1,0)+IF(CR1621="D",1,0)+IF(CS1621="D",1,0)+IF(CW1621="D",1,0)+IF(CX1621="D",1,0)+IF(DD1621="D",1,0)+IF(DE1621="D",1,0)+IF(DJ1621="D",1,0)+IF(DK1621="D",1,0)+IF(DO1621="D",1,0)+IF(DP1621="D",1,0)+IF(DQ1621="D",1,0)+IF(DW1621="D",1,0)+IF(DZ1621="D",1,0)+IF(EH1621="D",1,0)</f>
        <v>0</v>
      </c>
      <c r="AY1621" s="0" t="n">
        <f aca="false">COUNTIF(DU1621:EH1621, "&lt;&gt;")</f>
        <v>0</v>
      </c>
      <c r="AZ1621" s="0" t="n">
        <f aca="false">IF(EH1621&lt;&gt;"",1,0)</f>
        <v>0</v>
      </c>
      <c r="BB1621" s="0" t="s">
        <v>152</v>
      </c>
      <c r="BD1621" s="0" t="s">
        <v>153</v>
      </c>
      <c r="BF1621" s="0" t="s">
        <v>153</v>
      </c>
      <c r="BH1621" s="0" t="s">
        <v>153</v>
      </c>
      <c r="BJ1621" s="0" t="s">
        <v>153</v>
      </c>
      <c r="BL1621" s="0" t="s">
        <v>153</v>
      </c>
      <c r="BP1621" s="0" t="s">
        <v>153</v>
      </c>
      <c r="BR1621" s="0" t="s">
        <v>153</v>
      </c>
      <c r="BS1621" s="0" t="s">
        <v>153</v>
      </c>
      <c r="CA1621" s="0" t="s">
        <v>153</v>
      </c>
      <c r="CG1621" s="0" t="s">
        <v>153</v>
      </c>
      <c r="CH1621" s="0" t="s">
        <v>153</v>
      </c>
      <c r="CK1621" s="0" t="s">
        <v>153</v>
      </c>
      <c r="CN1621" s="0" t="s">
        <v>153</v>
      </c>
      <c r="CP1621" s="0" t="s">
        <v>153</v>
      </c>
      <c r="CT1621" s="0" t="s">
        <v>153</v>
      </c>
      <c r="CU1621" s="0" t="s">
        <v>153</v>
      </c>
      <c r="CV1621" s="0" t="s">
        <v>153</v>
      </c>
      <c r="CY1621" s="0" t="s">
        <v>153</v>
      </c>
      <c r="DI1621" s="0" t="s">
        <v>153</v>
      </c>
    </row>
    <row r="1622" customFormat="false" ht="13.8" hidden="true" customHeight="false" outlineLevel="0" collapsed="false">
      <c r="A1622" s="0" t="s">
        <v>7377</v>
      </c>
      <c r="B1622" s="0" t="n">
        <v>78</v>
      </c>
      <c r="C1622" s="0" t="n">
        <v>477880</v>
      </c>
      <c r="D1622" s="0" t="s">
        <v>7378</v>
      </c>
      <c r="E1622" s="0" t="s">
        <v>7379</v>
      </c>
      <c r="F1622" s="0" t="str">
        <f aca="false">CONCATENATE(D1622," ",LEFT(H1622,4),"T=",AU1622,"D=",AV1622,"R=",AW1622,"M=",AX1622,"L=",AY1622,"B=",AZ1622)</f>
        <v>ABDUL AZIZ T=1D=0R=0M=0L=0B=0</v>
      </c>
      <c r="G1622" s="0" t="s">
        <v>202</v>
      </c>
      <c r="I1622" s="0" t="s">
        <v>7380</v>
      </c>
      <c r="J1622" s="0" t="s">
        <v>7381</v>
      </c>
      <c r="K1622" s="0" t="s">
        <v>160</v>
      </c>
      <c r="M1622" s="0" t="s">
        <v>7367</v>
      </c>
      <c r="N1622" s="0" t="str">
        <f aca="false">RIGHT(M1622,LEN(M1622)-FIND(" ",M1622))</f>
        <v>N PARK AVE</v>
      </c>
      <c r="P1622" s="0" t="s">
        <v>145</v>
      </c>
      <c r="Q1622" s="0" t="s">
        <v>146</v>
      </c>
      <c r="R1622" s="0" t="n">
        <v>44481</v>
      </c>
      <c r="AD1622" s="0" t="s">
        <v>147</v>
      </c>
      <c r="AE1622" s="0" t="s">
        <v>148</v>
      </c>
      <c r="AF1622" s="0" t="s">
        <v>149</v>
      </c>
      <c r="AH1622" s="0" t="n">
        <v>14</v>
      </c>
      <c r="AI1622" s="0" t="n">
        <v>11</v>
      </c>
      <c r="AN1622" s="0" t="s">
        <v>145</v>
      </c>
      <c r="AO1622" s="0" t="s">
        <v>654</v>
      </c>
      <c r="AP1622" s="0" t="s">
        <v>655</v>
      </c>
      <c r="AQ1622" s="0" t="n">
        <v>9</v>
      </c>
      <c r="AR1622" s="0" t="n">
        <v>64</v>
      </c>
      <c r="AS1622" s="0" t="n">
        <v>32</v>
      </c>
      <c r="AU1622" s="0" t="n">
        <f aca="false">COUNTA($BA$1854:$EH$1854)</f>
        <v>1</v>
      </c>
      <c r="AV1622" s="0" t="n">
        <f aca="false">COUNTIF($BA$1854:$EH$1854,"D")</f>
        <v>0</v>
      </c>
      <c r="AW1622" s="0" t="n">
        <f aca="false">COUNTIF($BA$1854:$EH$1854,"R")</f>
        <v>0</v>
      </c>
      <c r="AX1622" s="0" t="n">
        <f aca="false">IF(BN1622="D",1,0)+IF(BO1622="D",1,0)+IF(BT1622="D",1,0)+IF(BU1622="D",1,0)+IF(BW1622="D",1,0)+IF(CC1622="D",1,0)+IF(CD1622="D",1,0)+IF(CE1622="D",1,0)+IF(CF1622="D",1,0)+IF(CL1622="D",1,0)+IF(CM1622="D",1,0)+IF(CQ1622="D",1,0)+IF(CR1622="D",1,0)+IF(CS1622="D",1,0)+IF(CW1622="D",1,0)+IF(CX1622="D",1,0)+IF(DD1622="D",1,0)+IF(DE1622="D",1,0)+IF(DJ1622="D",1,0)+IF(DK1622="D",1,0)+IF(DO1622="D",1,0)+IF(DP1622="D",1,0)+IF(DQ1622="D",1,0)+IF(DW1622="D",1,0)+IF(DZ1622="D",1,0)+IF(EH1622="D",1,0)</f>
        <v>0</v>
      </c>
      <c r="AY1622" s="0" t="n">
        <f aca="false">COUNTIF(DU1622:EH1622, "&lt;&gt;")</f>
        <v>0</v>
      </c>
      <c r="AZ1622" s="0" t="n">
        <f aca="false">IF(EH1622&lt;&gt;"",1,0)</f>
        <v>0</v>
      </c>
      <c r="BB1622" s="0" t="s">
        <v>152</v>
      </c>
    </row>
    <row r="1623" customFormat="false" ht="13.8" hidden="true" customHeight="false" outlineLevel="0" collapsed="false">
      <c r="A1623" s="0" t="s">
        <v>7382</v>
      </c>
      <c r="B1623" s="0" t="n">
        <v>78</v>
      </c>
      <c r="C1623" s="0" t="n">
        <v>476071</v>
      </c>
      <c r="D1623" s="0" t="s">
        <v>718</v>
      </c>
      <c r="E1623" s="0" t="s">
        <v>1548</v>
      </c>
      <c r="F1623" s="0" t="str">
        <f aca="false">CONCATENATE(D1623," ",LEFT(H1623,4),"T=",AU1623,"D=",AV1623,"R=",AW1623,"M=",AX1623,"L=",AY1623,"B=",AZ1623)</f>
        <v>WHITE T=4D=0R=0M=0L=0B=0</v>
      </c>
      <c r="G1623" s="0" t="s">
        <v>1350</v>
      </c>
      <c r="I1623" s="0" t="s">
        <v>7383</v>
      </c>
      <c r="J1623" s="0" t="s">
        <v>7384</v>
      </c>
      <c r="K1623" s="0" t="s">
        <v>160</v>
      </c>
      <c r="M1623" s="0" t="s">
        <v>7367</v>
      </c>
      <c r="N1623" s="0" t="str">
        <f aca="false">RIGHT(M1623,LEN(M1623)-FIND(" ",M1623))</f>
        <v>N PARK AVE</v>
      </c>
      <c r="P1623" s="0" t="s">
        <v>145</v>
      </c>
      <c r="Q1623" s="0" t="s">
        <v>146</v>
      </c>
      <c r="R1623" s="0" t="n">
        <v>44481</v>
      </c>
      <c r="AD1623" s="0" t="s">
        <v>147</v>
      </c>
      <c r="AE1623" s="0" t="s">
        <v>148</v>
      </c>
      <c r="AF1623" s="0" t="s">
        <v>149</v>
      </c>
      <c r="AH1623" s="0" t="n">
        <v>14</v>
      </c>
      <c r="AI1623" s="0" t="n">
        <v>11</v>
      </c>
      <c r="AN1623" s="0" t="s">
        <v>145</v>
      </c>
      <c r="AO1623" s="0" t="s">
        <v>654</v>
      </c>
      <c r="AP1623" s="0" t="s">
        <v>655</v>
      </c>
      <c r="AQ1623" s="0" t="n">
        <v>9</v>
      </c>
      <c r="AR1623" s="0" t="n">
        <v>64</v>
      </c>
      <c r="AS1623" s="0" t="n">
        <v>32</v>
      </c>
      <c r="AU1623" s="0" t="n">
        <f aca="false">COUNTA($BA$1990:$EH$1990)</f>
        <v>4</v>
      </c>
      <c r="AV1623" s="0" t="n">
        <f aca="false">COUNTIF($BA$1990:$EH$1990,"D")</f>
        <v>0</v>
      </c>
      <c r="AW1623" s="0" t="n">
        <f aca="false">COUNTIF($BA$1990:$EH$1990,"R")</f>
        <v>0</v>
      </c>
      <c r="AX1623" s="0" t="n">
        <f aca="false">IF(BN1623="D",1,0)+IF(BO1623="D",1,0)+IF(BT1623="D",1,0)+IF(BU1623="D",1,0)+IF(BW1623="D",1,0)+IF(CC1623="D",1,0)+IF(CD1623="D",1,0)+IF(CE1623="D",1,0)+IF(CF1623="D",1,0)+IF(CL1623="D",1,0)+IF(CM1623="D",1,0)+IF(CQ1623="D",1,0)+IF(CR1623="D",1,0)+IF(CS1623="D",1,0)+IF(CW1623="D",1,0)+IF(CX1623="D",1,0)+IF(DD1623="D",1,0)+IF(DE1623="D",1,0)+IF(DJ1623="D",1,0)+IF(DK1623="D",1,0)+IF(DO1623="D",1,0)+IF(DP1623="D",1,0)+IF(DQ1623="D",1,0)+IF(DW1623="D",1,0)+IF(DZ1623="D",1,0)+IF(EH1623="D",1,0)</f>
        <v>0</v>
      </c>
      <c r="AY1623" s="0" t="n">
        <f aca="false">COUNTIF(DU1623:EH1623, "&lt;&gt;")</f>
        <v>0</v>
      </c>
      <c r="AZ1623" s="0" t="n">
        <f aca="false">IF(EH1623&lt;&gt;"",1,0)</f>
        <v>0</v>
      </c>
      <c r="BB1623" s="0" t="s">
        <v>152</v>
      </c>
      <c r="BL1623" s="0" t="s">
        <v>153</v>
      </c>
    </row>
    <row r="1624" customFormat="false" ht="13.8" hidden="true" customHeight="false" outlineLevel="0" collapsed="false">
      <c r="A1624" s="0" t="s">
        <v>7385</v>
      </c>
      <c r="B1624" s="0" t="n">
        <v>78</v>
      </c>
      <c r="C1624" s="0" t="n">
        <v>434009</v>
      </c>
      <c r="D1624" s="0" t="s">
        <v>1644</v>
      </c>
      <c r="E1624" s="0" t="s">
        <v>379</v>
      </c>
      <c r="F1624" s="0" t="str">
        <f aca="false">CONCATENATE(D1624," ",LEFT(H1624,4),"T=",AU1624,"D=",AV1624,"R=",AW1624,"M=",AX1624,"L=",AY1624,"B=",AZ1624)</f>
        <v>BOBBITT JRT=3D=0R=0M=0L=0B=0</v>
      </c>
      <c r="G1624" s="0" t="s">
        <v>324</v>
      </c>
      <c r="H1624" s="0" t="s">
        <v>314</v>
      </c>
      <c r="I1624" s="0" t="s">
        <v>7386</v>
      </c>
      <c r="J1624" s="0" t="s">
        <v>7387</v>
      </c>
      <c r="K1624" s="0" t="s">
        <v>143</v>
      </c>
      <c r="M1624" s="0" t="s">
        <v>7367</v>
      </c>
      <c r="N1624" s="0" t="str">
        <f aca="false">RIGHT(M1624,LEN(M1624)-FIND(" ",M1624))</f>
        <v>N PARK AVE</v>
      </c>
      <c r="P1624" s="0" t="s">
        <v>145</v>
      </c>
      <c r="Q1624" s="0" t="s">
        <v>146</v>
      </c>
      <c r="R1624" s="0" t="n">
        <v>44481</v>
      </c>
      <c r="AD1624" s="0" t="s">
        <v>147</v>
      </c>
      <c r="AE1624" s="0" t="s">
        <v>148</v>
      </c>
      <c r="AF1624" s="0" t="s">
        <v>149</v>
      </c>
      <c r="AH1624" s="0" t="n">
        <v>14</v>
      </c>
      <c r="AI1624" s="0" t="n">
        <v>11</v>
      </c>
      <c r="AN1624" s="0" t="s">
        <v>145</v>
      </c>
      <c r="AO1624" s="0" t="s">
        <v>654</v>
      </c>
      <c r="AP1624" s="0" t="s">
        <v>655</v>
      </c>
      <c r="AQ1624" s="0" t="n">
        <v>9</v>
      </c>
      <c r="AR1624" s="0" t="n">
        <v>64</v>
      </c>
      <c r="AS1624" s="0" t="n">
        <v>32</v>
      </c>
      <c r="AU1624" s="0" t="n">
        <f aca="false">COUNTA($BA$2049:$EH$2049)</f>
        <v>3</v>
      </c>
      <c r="AV1624" s="0" t="n">
        <f aca="false">COUNTIF($BA$2049:$EH$2049,"D")</f>
        <v>0</v>
      </c>
      <c r="AW1624" s="0" t="n">
        <f aca="false">COUNTIF($BA$2049:$EH$2049,"R")</f>
        <v>0</v>
      </c>
      <c r="AX1624" s="0" t="n">
        <f aca="false">IF(BN1624="D",1,0)+IF(BO1624="D",1,0)+IF(BT1624="D",1,0)+IF(BU1624="D",1,0)+IF(BW1624="D",1,0)+IF(CC1624="D",1,0)+IF(CD1624="D",1,0)+IF(CE1624="D",1,0)+IF(CF1624="D",1,0)+IF(CL1624="D",1,0)+IF(CM1624="D",1,0)+IF(CQ1624="D",1,0)+IF(CR1624="D",1,0)+IF(CS1624="D",1,0)+IF(CW1624="D",1,0)+IF(CX1624="D",1,0)+IF(DD1624="D",1,0)+IF(DE1624="D",1,0)+IF(DJ1624="D",1,0)+IF(DK1624="D",1,0)+IF(DO1624="D",1,0)+IF(DP1624="D",1,0)+IF(DQ1624="D",1,0)+IF(DW1624="D",1,0)+IF(DZ1624="D",1,0)+IF(EH1624="D",1,0)</f>
        <v>0</v>
      </c>
      <c r="AY1624" s="0" t="n">
        <f aca="false">COUNTIF(DU1624:EH1624, "&lt;&gt;")</f>
        <v>0</v>
      </c>
      <c r="AZ1624" s="0" t="n">
        <f aca="false">IF(EH1624&lt;&gt;"",1,0)</f>
        <v>0</v>
      </c>
      <c r="BB1624" s="0" t="s">
        <v>152</v>
      </c>
      <c r="BL1624" s="0" t="s">
        <v>153</v>
      </c>
      <c r="CP1624" s="0" t="s">
        <v>153</v>
      </c>
      <c r="CZ1624" s="0" t="s">
        <v>209</v>
      </c>
    </row>
    <row r="1625" customFormat="false" ht="13.8" hidden="true" customHeight="false" outlineLevel="0" collapsed="false">
      <c r="A1625" s="0" t="s">
        <v>7388</v>
      </c>
      <c r="B1625" s="0" t="n">
        <v>78</v>
      </c>
      <c r="C1625" s="0" t="n">
        <v>494685</v>
      </c>
      <c r="D1625" s="0" t="s">
        <v>7389</v>
      </c>
      <c r="E1625" s="0" t="s">
        <v>331</v>
      </c>
      <c r="F1625" s="0" t="str">
        <f aca="false">CONCATENATE(D1625," ",LEFT(H1625,4),"T=",AU1625,"D=",AV1625,"R=",AW1625,"M=",AX1625,"L=",AY1625,"B=",AZ1625)</f>
        <v>FORTSON T=1D=0R=0M=0L=0B=0</v>
      </c>
      <c r="I1625" s="0" t="s">
        <v>7390</v>
      </c>
      <c r="J1625" s="0" t="s">
        <v>7391</v>
      </c>
      <c r="K1625" s="0" t="s">
        <v>160</v>
      </c>
      <c r="M1625" s="0" t="s">
        <v>7392</v>
      </c>
      <c r="N1625" s="0" t="str">
        <f aca="false">RIGHT(M1625,LEN(M1625)-FIND(" ",M1625))</f>
        <v>N PARK AVE</v>
      </c>
      <c r="P1625" s="0" t="s">
        <v>145</v>
      </c>
      <c r="Q1625" s="0" t="s">
        <v>146</v>
      </c>
      <c r="R1625" s="0" t="n">
        <v>44481</v>
      </c>
      <c r="AD1625" s="0" t="s">
        <v>147</v>
      </c>
      <c r="AE1625" s="0" t="s">
        <v>148</v>
      </c>
      <c r="AF1625" s="0" t="s">
        <v>149</v>
      </c>
      <c r="AH1625" s="0" t="n">
        <v>14</v>
      </c>
      <c r="AI1625" s="0" t="n">
        <v>11</v>
      </c>
      <c r="AN1625" s="0" t="s">
        <v>145</v>
      </c>
      <c r="AO1625" s="0" t="s">
        <v>654</v>
      </c>
      <c r="AP1625" s="0" t="s">
        <v>655</v>
      </c>
      <c r="AQ1625" s="0" t="n">
        <v>9</v>
      </c>
      <c r="AR1625" s="0" t="n">
        <v>64</v>
      </c>
      <c r="AS1625" s="0" t="n">
        <v>32</v>
      </c>
      <c r="AU1625" s="0" t="n">
        <f aca="false">COUNTA($BA$1266:$EH$1266)</f>
        <v>1</v>
      </c>
      <c r="AV1625" s="0" t="n">
        <f aca="false">COUNTIF($BA$1266:$EH$1266,"D")</f>
        <v>0</v>
      </c>
      <c r="AW1625" s="0" t="n">
        <f aca="false">COUNTIF($BA$1266:$EH$1266,"R")</f>
        <v>0</v>
      </c>
      <c r="AX1625" s="0" t="n">
        <f aca="false">IF(BN1625="D",1,0)+IF(BO1625="D",1,0)+IF(BT1625="D",1,0)+IF(BU1625="D",1,0)+IF(BW1625="D",1,0)+IF(CC1625="D",1,0)+IF(CD1625="D",1,0)+IF(CE1625="D",1,0)+IF(CF1625="D",1,0)+IF(CL1625="D",1,0)+IF(CM1625="D",1,0)+IF(CQ1625="D",1,0)+IF(CR1625="D",1,0)+IF(CS1625="D",1,0)+IF(CW1625="D",1,0)+IF(CX1625="D",1,0)+IF(DD1625="D",1,0)+IF(DE1625="D",1,0)+IF(DJ1625="D",1,0)+IF(DK1625="D",1,0)+IF(DO1625="D",1,0)+IF(DP1625="D",1,0)+IF(DQ1625="D",1,0)+IF(DW1625="D",1,0)+IF(DZ1625="D",1,0)+IF(EH1625="D",1,0)</f>
        <v>0</v>
      </c>
      <c r="AY1625" s="0" t="n">
        <f aca="false">COUNTIF(DU1625:EH1625, "&lt;&gt;")</f>
        <v>0</v>
      </c>
      <c r="AZ1625" s="0" t="n">
        <f aca="false">IF(EH1625&lt;&gt;"",1,0)</f>
        <v>0</v>
      </c>
      <c r="BB1625" s="0" t="s">
        <v>152</v>
      </c>
      <c r="CA1625" s="0" t="s">
        <v>153</v>
      </c>
    </row>
    <row r="1626" customFormat="false" ht="13.8" hidden="true" customHeight="false" outlineLevel="0" collapsed="false">
      <c r="A1626" s="0" t="s">
        <v>7393</v>
      </c>
      <c r="B1626" s="0" t="n">
        <v>78</v>
      </c>
      <c r="C1626" s="0" t="n">
        <v>408822</v>
      </c>
      <c r="D1626" s="0" t="s">
        <v>7394</v>
      </c>
      <c r="E1626" s="0" t="s">
        <v>379</v>
      </c>
      <c r="F1626" s="0" t="str">
        <f aca="false">CONCATENATE(D1626," ",LEFT(H1626,4),"T=",AU1626,"D=",AV1626,"R=",AW1626,"M=",AX1626,"L=",AY1626,"B=",AZ1626)</f>
        <v>BUSH T=27D=6R=0M=0L=0B=0</v>
      </c>
      <c r="G1626" s="0" t="s">
        <v>686</v>
      </c>
      <c r="I1626" s="0" t="s">
        <v>7395</v>
      </c>
      <c r="J1626" s="0" t="s">
        <v>2691</v>
      </c>
      <c r="K1626" s="0" t="s">
        <v>143</v>
      </c>
      <c r="M1626" s="0" t="s">
        <v>7396</v>
      </c>
      <c r="N1626" s="0" t="str">
        <f aca="false">RIGHT(M1626,LEN(M1626)-FIND(" ",M1626))</f>
        <v>N PARK AVE</v>
      </c>
      <c r="P1626" s="0" t="s">
        <v>145</v>
      </c>
      <c r="Q1626" s="0" t="s">
        <v>146</v>
      </c>
      <c r="R1626" s="0" t="n">
        <v>44481</v>
      </c>
      <c r="AD1626" s="0" t="s">
        <v>147</v>
      </c>
      <c r="AE1626" s="0" t="s">
        <v>148</v>
      </c>
      <c r="AF1626" s="0" t="s">
        <v>149</v>
      </c>
      <c r="AH1626" s="0" t="n">
        <v>14</v>
      </c>
      <c r="AI1626" s="0" t="n">
        <v>11</v>
      </c>
      <c r="AN1626" s="0" t="s">
        <v>145</v>
      </c>
      <c r="AO1626" s="0" t="s">
        <v>654</v>
      </c>
      <c r="AP1626" s="0" t="s">
        <v>655</v>
      </c>
      <c r="AQ1626" s="0" t="n">
        <v>9</v>
      </c>
      <c r="AR1626" s="0" t="n">
        <v>64</v>
      </c>
      <c r="AS1626" s="0" t="n">
        <v>32</v>
      </c>
      <c r="AU1626" s="0" t="n">
        <f aca="false">COUNTA($BA$1184:$EH$1184)</f>
        <v>27</v>
      </c>
      <c r="AV1626" s="0" t="n">
        <f aca="false">COUNTIF($BA$1184:$EH$1184,"D")</f>
        <v>6</v>
      </c>
      <c r="AW1626" s="0" t="n">
        <f aca="false">COUNTIF($BA$1184:$EH$1184,"R")</f>
        <v>0</v>
      </c>
      <c r="AX1626" s="0" t="n">
        <f aca="false">IF(BN1626="D",1,0)+IF(BO1626="D",1,0)+IF(BT1626="D",1,0)+IF(BU1626="D",1,0)+IF(BW1626="D",1,0)+IF(CC1626="D",1,0)+IF(CD1626="D",1,0)+IF(CE1626="D",1,0)+IF(CF1626="D",1,0)+IF(CL1626="D",1,0)+IF(CM1626="D",1,0)+IF(CQ1626="D",1,0)+IF(CR1626="D",1,0)+IF(CS1626="D",1,0)+IF(CW1626="D",1,0)+IF(CX1626="D",1,0)+IF(DD1626="D",1,0)+IF(DE1626="D",1,0)+IF(DJ1626="D",1,0)+IF(DK1626="D",1,0)+IF(DO1626="D",1,0)+IF(DP1626="D",1,0)+IF(DQ1626="D",1,0)+IF(DW1626="D",1,0)+IF(DZ1626="D",1,0)+IF(EH1626="D",1,0)</f>
        <v>0</v>
      </c>
      <c r="AY1626" s="0" t="n">
        <f aca="false">COUNTIF(DU1626:EH1626, "&lt;&gt;")</f>
        <v>0</v>
      </c>
      <c r="AZ1626" s="0" t="n">
        <f aca="false">IF(EH1626&lt;&gt;"",1,0)</f>
        <v>0</v>
      </c>
      <c r="BB1626" s="0" t="s">
        <v>152</v>
      </c>
    </row>
    <row r="1627" customFormat="false" ht="13.8" hidden="true" customHeight="false" outlineLevel="0" collapsed="false">
      <c r="A1627" s="0" t="s">
        <v>7397</v>
      </c>
      <c r="B1627" s="0" t="n">
        <v>78</v>
      </c>
      <c r="C1627" s="0" t="n">
        <v>422964</v>
      </c>
      <c r="D1627" s="0" t="s">
        <v>7398</v>
      </c>
      <c r="E1627" s="0" t="s">
        <v>7399</v>
      </c>
      <c r="F1627" s="0" t="str">
        <f aca="false">CONCATENATE(D1627," ",LEFT(H1627,4),"T=",AU1627,"D=",AV1627,"R=",AW1627,"M=",AX1627,"L=",AY1627,"B=",AZ1627)</f>
        <v>BOYNTON T=1D=0R=0M=0L=0B=0</v>
      </c>
      <c r="G1627" s="0" t="s">
        <v>3620</v>
      </c>
      <c r="I1627" s="0" t="s">
        <v>7400</v>
      </c>
      <c r="J1627" s="0" t="s">
        <v>7401</v>
      </c>
      <c r="K1627" s="0" t="s">
        <v>143</v>
      </c>
      <c r="M1627" s="0" t="s">
        <v>7402</v>
      </c>
      <c r="N1627" s="0" t="str">
        <f aca="false">RIGHT(M1627,LEN(M1627)-FIND(" ",M1627))</f>
        <v>N PARK AVE</v>
      </c>
      <c r="O1627" s="0" t="s">
        <v>7403</v>
      </c>
      <c r="P1627" s="0" t="s">
        <v>145</v>
      </c>
      <c r="Q1627" s="0" t="s">
        <v>146</v>
      </c>
      <c r="R1627" s="0" t="n">
        <v>44481</v>
      </c>
      <c r="AD1627" s="0" t="s">
        <v>147</v>
      </c>
      <c r="AE1627" s="0" t="s">
        <v>148</v>
      </c>
      <c r="AF1627" s="0" t="s">
        <v>149</v>
      </c>
      <c r="AH1627" s="0" t="n">
        <v>14</v>
      </c>
      <c r="AI1627" s="0" t="n">
        <v>11</v>
      </c>
      <c r="AN1627" s="0" t="s">
        <v>145</v>
      </c>
      <c r="AO1627" s="0" t="s">
        <v>654</v>
      </c>
      <c r="AP1627" s="0" t="s">
        <v>655</v>
      </c>
      <c r="AQ1627" s="0" t="n">
        <v>9</v>
      </c>
      <c r="AR1627" s="0" t="n">
        <v>64</v>
      </c>
      <c r="AS1627" s="0" t="n">
        <v>32</v>
      </c>
      <c r="AU1627" s="0" t="n">
        <f aca="false">COUNTA($BA$1138:$EH$1138)</f>
        <v>1</v>
      </c>
      <c r="AV1627" s="0" t="n">
        <f aca="false">COUNTIF($BA$1138:$EH$1138,"D")</f>
        <v>0</v>
      </c>
      <c r="AW1627" s="0" t="n">
        <f aca="false">COUNTIF($BA$1138:$EH$1138,"R")</f>
        <v>0</v>
      </c>
      <c r="AX1627" s="0" t="n">
        <f aca="false">IF(BN1627="D",1,0)+IF(BO1627="D",1,0)+IF(BT1627="D",1,0)+IF(BU1627="D",1,0)+IF(BW1627="D",1,0)+IF(CC1627="D",1,0)+IF(CD1627="D",1,0)+IF(CE1627="D",1,0)+IF(CF1627="D",1,0)+IF(CL1627="D",1,0)+IF(CM1627="D",1,0)+IF(CQ1627="D",1,0)+IF(CR1627="D",1,0)+IF(CS1627="D",1,0)+IF(CW1627="D",1,0)+IF(CX1627="D",1,0)+IF(DD1627="D",1,0)+IF(DE1627="D",1,0)+IF(DJ1627="D",1,0)+IF(DK1627="D",1,0)+IF(DO1627="D",1,0)+IF(DP1627="D",1,0)+IF(DQ1627="D",1,0)+IF(DW1627="D",1,0)+IF(DZ1627="D",1,0)+IF(EH1627="D",1,0)</f>
        <v>0</v>
      </c>
      <c r="AY1627" s="0" t="n">
        <f aca="false">COUNTIF(DU1627:EH1627, "&lt;&gt;")</f>
        <v>0</v>
      </c>
      <c r="AZ1627" s="0" t="n">
        <f aca="false">IF(EH1627&lt;&gt;"",1,0)</f>
        <v>0</v>
      </c>
      <c r="BB1627" s="0" t="s">
        <v>152</v>
      </c>
      <c r="CP1627" s="0" t="s">
        <v>153</v>
      </c>
    </row>
    <row r="1628" customFormat="false" ht="13.8" hidden="false" customHeight="false" outlineLevel="0" collapsed="false">
      <c r="A1628" s="0" t="s">
        <v>7404</v>
      </c>
      <c r="B1628" s="0" t="n">
        <v>78</v>
      </c>
      <c r="C1628" s="0" t="n">
        <v>266922</v>
      </c>
      <c r="D1628" s="0" t="s">
        <v>770</v>
      </c>
      <c r="E1628" s="0" t="s">
        <v>274</v>
      </c>
      <c r="F1628" s="0" t="str">
        <f aca="false">CONCATENATE(D1628," ",LEFT(H1628,4),"T=",AU1628,"D=",AV1628,"R=",AW1628,"M=",AX1628,"L=",AY1628,"B=",AZ1628)</f>
        <v>ALLEN T=11D=1R=0M=0L=2B=0</v>
      </c>
      <c r="G1628" s="0" t="s">
        <v>1596</v>
      </c>
      <c r="I1628" s="0" t="s">
        <v>7405</v>
      </c>
      <c r="J1628" s="0" t="s">
        <v>7406</v>
      </c>
      <c r="K1628" s="0" t="s">
        <v>160</v>
      </c>
      <c r="M1628" s="0" t="s">
        <v>7402</v>
      </c>
      <c r="N1628" s="0" t="str">
        <f aca="false">RIGHT(M1628,LEN(M1628)-FIND(" ",M1628))</f>
        <v>N PARK AVE</v>
      </c>
      <c r="O1628" s="0" t="s">
        <v>1947</v>
      </c>
      <c r="P1628" s="0" t="s">
        <v>145</v>
      </c>
      <c r="Q1628" s="0" t="s">
        <v>146</v>
      </c>
      <c r="R1628" s="0" t="n">
        <v>44481</v>
      </c>
      <c r="AD1628" s="0" t="s">
        <v>147</v>
      </c>
      <c r="AE1628" s="0" t="s">
        <v>148</v>
      </c>
      <c r="AF1628" s="0" t="s">
        <v>149</v>
      </c>
      <c r="AH1628" s="0" t="n">
        <v>14</v>
      </c>
      <c r="AI1628" s="0" t="n">
        <v>11</v>
      </c>
      <c r="AN1628" s="0" t="s">
        <v>145</v>
      </c>
      <c r="AO1628" s="0" t="s">
        <v>654</v>
      </c>
      <c r="AP1628" s="0" t="s">
        <v>655</v>
      </c>
      <c r="AQ1628" s="0" t="n">
        <v>9</v>
      </c>
      <c r="AR1628" s="0" t="n">
        <v>64</v>
      </c>
      <c r="AS1628" s="0" t="n">
        <v>32</v>
      </c>
      <c r="AU1628" s="0" t="n">
        <f aca="false">COUNTA($BA$1161:$EH$1161)</f>
        <v>11</v>
      </c>
      <c r="AV1628" s="0" t="n">
        <f aca="false">COUNTIF($BA$1161:$EH$1161,"D")</f>
        <v>1</v>
      </c>
      <c r="AW1628" s="0" t="n">
        <f aca="false">COUNTIF($BA$1161:$EH$1161,"R")</f>
        <v>0</v>
      </c>
      <c r="AX1628" s="0" t="n">
        <f aca="false">IF(BN1628="D",1,0)+IF(BO1628="D",1,0)+IF(BT1628="D",1,0)+IF(BU1628="D",1,0)+IF(BW1628="D",1,0)+IF(CC1628="D",1,0)+IF(CD1628="D",1,0)+IF(CE1628="D",1,0)+IF(CF1628="D",1,0)+IF(CL1628="D",1,0)+IF(CM1628="D",1,0)+IF(CQ1628="D",1,0)+IF(CR1628="D",1,0)+IF(CS1628="D",1,0)+IF(CW1628="D",1,0)+IF(CX1628="D",1,0)+IF(DD1628="D",1,0)+IF(DE1628="D",1,0)+IF(DJ1628="D",1,0)+IF(DK1628="D",1,0)+IF(DO1628="D",1,0)+IF(DP1628="D",1,0)+IF(DQ1628="D",1,0)+IF(DW1628="D",1,0)+IF(DZ1628="D",1,0)+IF(EH1628="D",1,0)</f>
        <v>0</v>
      </c>
      <c r="AY1628" s="0" t="n">
        <f aca="false">COUNTIF(DU1628:EH1628, "&lt;&gt;")</f>
        <v>2</v>
      </c>
      <c r="AZ1628" s="0" t="n">
        <f aca="false">IF(EH1628&lt;&gt;"",1,0)</f>
        <v>0</v>
      </c>
      <c r="BB1628" s="0" t="s">
        <v>152</v>
      </c>
      <c r="BC1628" s="0" t="s">
        <v>153</v>
      </c>
      <c r="BD1628" s="0" t="s">
        <v>153</v>
      </c>
      <c r="BL1628" s="0" t="s">
        <v>153</v>
      </c>
      <c r="CA1628" s="0" t="s">
        <v>153</v>
      </c>
      <c r="CY1628" s="0" t="s">
        <v>153</v>
      </c>
      <c r="DC1628" s="0" t="s">
        <v>153</v>
      </c>
      <c r="DI1628" s="0" t="s">
        <v>153</v>
      </c>
      <c r="DN1628" s="0" t="s">
        <v>153</v>
      </c>
      <c r="EA1628" s="0" t="s">
        <v>153</v>
      </c>
      <c r="EF1628" s="0" t="s">
        <v>153</v>
      </c>
    </row>
    <row r="1629" customFormat="false" ht="13.8" hidden="false" customHeight="false" outlineLevel="0" collapsed="false">
      <c r="A1629" s="0" t="s">
        <v>7407</v>
      </c>
      <c r="B1629" s="0" t="n">
        <v>78</v>
      </c>
      <c r="C1629" s="0" t="n">
        <v>266925</v>
      </c>
      <c r="D1629" s="0" t="s">
        <v>770</v>
      </c>
      <c r="E1629" s="0" t="s">
        <v>6813</v>
      </c>
      <c r="F1629" s="0" t="str">
        <f aca="false">CONCATENATE(D1629," ",LEFT(H1629,4),"T=",AU1629,"D=",AV1629,"R=",AW1629,"M=",AX1629,"L=",AY1629,"B=",AZ1629)</f>
        <v>ALLEN T=2D=0R=0M=0L=3B=0</v>
      </c>
      <c r="G1629" s="0" t="s">
        <v>190</v>
      </c>
      <c r="I1629" s="0" t="s">
        <v>7408</v>
      </c>
      <c r="J1629" s="0" t="s">
        <v>7409</v>
      </c>
      <c r="K1629" s="0" t="s">
        <v>160</v>
      </c>
      <c r="M1629" s="0" t="s">
        <v>7402</v>
      </c>
      <c r="N1629" s="0" t="str">
        <f aca="false">RIGHT(M1629,LEN(M1629)-FIND(" ",M1629))</f>
        <v>N PARK AVE</v>
      </c>
      <c r="O1629" s="0" t="s">
        <v>1947</v>
      </c>
      <c r="P1629" s="0" t="s">
        <v>145</v>
      </c>
      <c r="Q1629" s="0" t="s">
        <v>146</v>
      </c>
      <c r="R1629" s="0" t="n">
        <v>44481</v>
      </c>
      <c r="AD1629" s="0" t="s">
        <v>147</v>
      </c>
      <c r="AE1629" s="0" t="s">
        <v>148</v>
      </c>
      <c r="AF1629" s="0" t="s">
        <v>149</v>
      </c>
      <c r="AH1629" s="0" t="n">
        <v>14</v>
      </c>
      <c r="AI1629" s="0" t="n">
        <v>11</v>
      </c>
      <c r="AN1629" s="0" t="s">
        <v>145</v>
      </c>
      <c r="AO1629" s="0" t="s">
        <v>654</v>
      </c>
      <c r="AP1629" s="0" t="s">
        <v>655</v>
      </c>
      <c r="AQ1629" s="0" t="n">
        <v>9</v>
      </c>
      <c r="AR1629" s="0" t="n">
        <v>64</v>
      </c>
      <c r="AS1629" s="0" t="n">
        <v>32</v>
      </c>
      <c r="AU1629" s="0" t="n">
        <f aca="false">COUNTA($BA$1191:$EH$1191)</f>
        <v>2</v>
      </c>
      <c r="AV1629" s="0" t="n">
        <f aca="false">COUNTIF($BA$1191:$EH$1191,"D")</f>
        <v>0</v>
      </c>
      <c r="AW1629" s="0" t="n">
        <f aca="false">COUNTIF($BA$1191:$EH$1191,"R")</f>
        <v>0</v>
      </c>
      <c r="AX1629" s="0" t="n">
        <f aca="false">IF(BN1629="D",1,0)+IF(BO1629="D",1,0)+IF(BT1629="D",1,0)+IF(BU1629="D",1,0)+IF(BW1629="D",1,0)+IF(CC1629="D",1,0)+IF(CD1629="D",1,0)+IF(CE1629="D",1,0)+IF(CF1629="D",1,0)+IF(CL1629="D",1,0)+IF(CM1629="D",1,0)+IF(CQ1629="D",1,0)+IF(CR1629="D",1,0)+IF(CS1629="D",1,0)+IF(CW1629="D",1,0)+IF(CX1629="D",1,0)+IF(DD1629="D",1,0)+IF(DE1629="D",1,0)+IF(DJ1629="D",1,0)+IF(DK1629="D",1,0)+IF(DO1629="D",1,0)+IF(DP1629="D",1,0)+IF(DQ1629="D",1,0)+IF(DW1629="D",1,0)+IF(DZ1629="D",1,0)+IF(EH1629="D",1,0)</f>
        <v>0</v>
      </c>
      <c r="AY1629" s="0" t="n">
        <f aca="false">COUNTIF(DU1629:EH1629, "&lt;&gt;")</f>
        <v>3</v>
      </c>
      <c r="AZ1629" s="0" t="n">
        <f aca="false">IF(EH1629&lt;&gt;"",1,0)</f>
        <v>0</v>
      </c>
      <c r="BB1629" s="0" t="s">
        <v>152</v>
      </c>
      <c r="BC1629" s="0" t="s">
        <v>153</v>
      </c>
      <c r="BD1629" s="0" t="s">
        <v>153</v>
      </c>
      <c r="BL1629" s="0" t="s">
        <v>153</v>
      </c>
      <c r="BS1629" s="0" t="s">
        <v>153</v>
      </c>
      <c r="BY1629" s="0" t="s">
        <v>175</v>
      </c>
      <c r="CA1629" s="0" t="s">
        <v>153</v>
      </c>
      <c r="CP1629" s="0" t="s">
        <v>153</v>
      </c>
      <c r="CY1629" s="0" t="s">
        <v>153</v>
      </c>
      <c r="CZ1629" s="0" t="s">
        <v>175</v>
      </c>
      <c r="DC1629" s="0" t="s">
        <v>153</v>
      </c>
      <c r="DI1629" s="0" t="s">
        <v>153</v>
      </c>
      <c r="DN1629" s="0" t="s">
        <v>153</v>
      </c>
      <c r="DX1629" s="0" t="s">
        <v>153</v>
      </c>
      <c r="EA1629" s="0" t="s">
        <v>153</v>
      </c>
      <c r="EF1629" s="0" t="s">
        <v>153</v>
      </c>
    </row>
    <row r="1630" customFormat="false" ht="13.8" hidden="true" customHeight="false" outlineLevel="0" collapsed="false">
      <c r="A1630" s="0" t="s">
        <v>7410</v>
      </c>
      <c r="B1630" s="0" t="n">
        <v>78</v>
      </c>
      <c r="C1630" s="0" t="n">
        <v>411058</v>
      </c>
      <c r="D1630" s="0" t="s">
        <v>5560</v>
      </c>
      <c r="E1630" s="0" t="s">
        <v>3511</v>
      </c>
      <c r="F1630" s="0" t="str">
        <f aca="false">CONCATENATE(D1630," ",LEFT(H1630,4),"T=",AU1630,"D=",AV1630,"R=",AW1630,"M=",AX1630,"L=",AY1630,"B=",AZ1630)</f>
        <v>FOSTER T=1D=0R=0M=0L=0B=0</v>
      </c>
      <c r="G1630" s="0" t="s">
        <v>190</v>
      </c>
      <c r="I1630" s="0" t="s">
        <v>7411</v>
      </c>
      <c r="J1630" s="0" t="s">
        <v>7412</v>
      </c>
      <c r="K1630" s="0" t="s">
        <v>160</v>
      </c>
      <c r="M1630" s="0" t="s">
        <v>7402</v>
      </c>
      <c r="N1630" s="0" t="str">
        <f aca="false">RIGHT(M1630,LEN(M1630)-FIND(" ",M1630))</f>
        <v>N PARK AVE</v>
      </c>
      <c r="O1630" s="0" t="s">
        <v>7213</v>
      </c>
      <c r="P1630" s="0" t="s">
        <v>145</v>
      </c>
      <c r="Q1630" s="0" t="s">
        <v>146</v>
      </c>
      <c r="R1630" s="0" t="n">
        <v>44481</v>
      </c>
      <c r="AD1630" s="0" t="s">
        <v>147</v>
      </c>
      <c r="AE1630" s="0" t="s">
        <v>148</v>
      </c>
      <c r="AF1630" s="0" t="s">
        <v>149</v>
      </c>
      <c r="AH1630" s="0" t="n">
        <v>14</v>
      </c>
      <c r="AI1630" s="0" t="n">
        <v>11</v>
      </c>
      <c r="AN1630" s="0" t="s">
        <v>145</v>
      </c>
      <c r="AO1630" s="0" t="s">
        <v>654</v>
      </c>
      <c r="AP1630" s="0" t="s">
        <v>655</v>
      </c>
      <c r="AQ1630" s="0" t="n">
        <v>9</v>
      </c>
      <c r="AR1630" s="0" t="n">
        <v>64</v>
      </c>
      <c r="AS1630" s="0" t="n">
        <v>32</v>
      </c>
      <c r="AU1630" s="0" t="n">
        <f aca="false">COUNTA($BA$1465:$EH$1465)</f>
        <v>1</v>
      </c>
      <c r="AV1630" s="0" t="n">
        <f aca="false">COUNTIF($BA$1465:$EH$1465,"D")</f>
        <v>0</v>
      </c>
      <c r="AW1630" s="0" t="n">
        <f aca="false">COUNTIF($BA$1465:$EH$1465,"R")</f>
        <v>0</v>
      </c>
      <c r="AX1630" s="0" t="n">
        <f aca="false">IF(BN1630="D",1,0)+IF(BO1630="D",1,0)+IF(BT1630="D",1,0)+IF(BU1630="D",1,0)+IF(BW1630="D",1,0)+IF(CC1630="D",1,0)+IF(CD1630="D",1,0)+IF(CE1630="D",1,0)+IF(CF1630="D",1,0)+IF(CL1630="D",1,0)+IF(CM1630="D",1,0)+IF(CQ1630="D",1,0)+IF(CR1630="D",1,0)+IF(CS1630="D",1,0)+IF(CW1630="D",1,0)+IF(CX1630="D",1,0)+IF(DD1630="D",1,0)+IF(DE1630="D",1,0)+IF(DJ1630="D",1,0)+IF(DK1630="D",1,0)+IF(DO1630="D",1,0)+IF(DP1630="D",1,0)+IF(DQ1630="D",1,0)+IF(DW1630="D",1,0)+IF(DZ1630="D",1,0)+IF(EH1630="D",1,0)</f>
        <v>0</v>
      </c>
      <c r="AY1630" s="0" t="n">
        <f aca="false">COUNTIF(DU1630:EH1630, "&lt;&gt;")</f>
        <v>0</v>
      </c>
      <c r="AZ1630" s="0" t="n">
        <f aca="false">IF(EH1630&lt;&gt;"",1,0)</f>
        <v>0</v>
      </c>
      <c r="BB1630" s="0" t="s">
        <v>152</v>
      </c>
    </row>
    <row r="1631" customFormat="false" ht="13.8" hidden="true" customHeight="false" outlineLevel="0" collapsed="false">
      <c r="A1631" s="0" t="s">
        <v>7413</v>
      </c>
      <c r="B1631" s="0" t="n">
        <v>78</v>
      </c>
      <c r="C1631" s="0" t="n">
        <v>345911</v>
      </c>
      <c r="D1631" s="0" t="s">
        <v>3399</v>
      </c>
      <c r="E1631" s="0" t="s">
        <v>435</v>
      </c>
      <c r="F1631" s="0" t="str">
        <f aca="false">CONCATENATE(D1631," ",LEFT(H1631,4),"T=",AU1631,"D=",AV1631,"R=",AW1631,"M=",AX1631,"L=",AY1631,"B=",AZ1631)</f>
        <v>COMANESCU T=5D=0R=0M=1L=1B=0</v>
      </c>
      <c r="G1631" s="0" t="s">
        <v>7414</v>
      </c>
      <c r="I1631" s="0" t="s">
        <v>3793</v>
      </c>
      <c r="J1631" s="0" t="s">
        <v>3487</v>
      </c>
      <c r="K1631" s="0" t="s">
        <v>160</v>
      </c>
      <c r="M1631" s="0" t="s">
        <v>7402</v>
      </c>
      <c r="N1631" s="0" t="str">
        <f aca="false">RIGHT(M1631,LEN(M1631)-FIND(" ",M1631))</f>
        <v>N PARK AVE</v>
      </c>
      <c r="O1631" s="0" t="s">
        <v>1939</v>
      </c>
      <c r="P1631" s="0" t="s">
        <v>145</v>
      </c>
      <c r="Q1631" s="0" t="s">
        <v>146</v>
      </c>
      <c r="R1631" s="0" t="n">
        <v>44481</v>
      </c>
      <c r="AD1631" s="0" t="s">
        <v>147</v>
      </c>
      <c r="AE1631" s="0" t="s">
        <v>148</v>
      </c>
      <c r="AF1631" s="0" t="s">
        <v>149</v>
      </c>
      <c r="AH1631" s="0" t="n">
        <v>14</v>
      </c>
      <c r="AI1631" s="0" t="n">
        <v>11</v>
      </c>
      <c r="AN1631" s="0" t="s">
        <v>145</v>
      </c>
      <c r="AO1631" s="0" t="s">
        <v>654</v>
      </c>
      <c r="AP1631" s="0" t="s">
        <v>655</v>
      </c>
      <c r="AQ1631" s="0" t="n">
        <v>9</v>
      </c>
      <c r="AR1631" s="0" t="n">
        <v>64</v>
      </c>
      <c r="AS1631" s="0" t="n">
        <v>32</v>
      </c>
      <c r="AU1631" s="0" t="n">
        <f aca="false">COUNTA($BA$1583:$EH$1583)</f>
        <v>5</v>
      </c>
      <c r="AV1631" s="0" t="n">
        <f aca="false">COUNTIF($BA$1583:$EH$1583,"D")</f>
        <v>0</v>
      </c>
      <c r="AW1631" s="0" t="n">
        <f aca="false">COUNTIF($BA$1583:$EH$1583,"R")</f>
        <v>0</v>
      </c>
      <c r="AX1631" s="0" t="n">
        <f aca="false">IF(BN1631="D",1,0)+IF(BO1631="D",1,0)+IF(BT1631="D",1,0)+IF(BU1631="D",1,0)+IF(BW1631="D",1,0)+IF(CC1631="D",1,0)+IF(CD1631="D",1,0)+IF(CE1631="D",1,0)+IF(CF1631="D",1,0)+IF(CL1631="D",1,0)+IF(CM1631="D",1,0)+IF(CQ1631="D",1,0)+IF(CR1631="D",1,0)+IF(CS1631="D",1,0)+IF(CW1631="D",1,0)+IF(CX1631="D",1,0)+IF(DD1631="D",1,0)+IF(DE1631="D",1,0)+IF(DJ1631="D",1,0)+IF(DK1631="D",1,0)+IF(DO1631="D",1,0)+IF(DP1631="D",1,0)+IF(DQ1631="D",1,0)+IF(DW1631="D",1,0)+IF(DZ1631="D",1,0)+IF(EH1631="D",1,0)</f>
        <v>1</v>
      </c>
      <c r="AY1631" s="0" t="n">
        <f aca="false">COUNTIF(DU1631:EH1631, "&lt;&gt;")</f>
        <v>1</v>
      </c>
      <c r="AZ1631" s="0" t="n">
        <f aca="false">IF(EH1631&lt;&gt;"",1,0)</f>
        <v>0</v>
      </c>
      <c r="BB1631" s="0" t="s">
        <v>152</v>
      </c>
      <c r="BS1631" s="0" t="s">
        <v>153</v>
      </c>
      <c r="BT1631" s="0" t="s">
        <v>153</v>
      </c>
      <c r="BV1631" s="0" t="s">
        <v>153</v>
      </c>
      <c r="BY1631" s="0" t="s">
        <v>175</v>
      </c>
      <c r="CA1631" s="0" t="s">
        <v>153</v>
      </c>
      <c r="CN1631" s="0" t="s">
        <v>153</v>
      </c>
      <c r="CP1631" s="0" t="s">
        <v>153</v>
      </c>
      <c r="CU1631" s="0" t="s">
        <v>175</v>
      </c>
      <c r="CY1631" s="0" t="s">
        <v>153</v>
      </c>
      <c r="CZ1631" s="0" t="s">
        <v>209</v>
      </c>
      <c r="DC1631" s="0" t="s">
        <v>153</v>
      </c>
      <c r="DD1631" s="0" t="s">
        <v>175</v>
      </c>
      <c r="DG1631" s="0" t="s">
        <v>175</v>
      </c>
      <c r="DI1631" s="0" t="s">
        <v>153</v>
      </c>
      <c r="DM1631" s="0" t="s">
        <v>175</v>
      </c>
      <c r="DN1631" s="0" t="s">
        <v>153</v>
      </c>
      <c r="DU1631" s="0" t="s">
        <v>153</v>
      </c>
    </row>
    <row r="1632" customFormat="false" ht="13.8" hidden="true" customHeight="false" outlineLevel="0" collapsed="false">
      <c r="A1632" s="0" t="s">
        <v>7415</v>
      </c>
      <c r="B1632" s="0" t="n">
        <v>78</v>
      </c>
      <c r="C1632" s="0" t="n">
        <v>411784</v>
      </c>
      <c r="D1632" s="0" t="s">
        <v>7416</v>
      </c>
      <c r="E1632" s="0" t="s">
        <v>2261</v>
      </c>
      <c r="F1632" s="0" t="str">
        <f aca="false">CONCATENATE(D1632," ",LEFT(H1632,4),"T=",AU1632,"D=",AV1632,"R=",AW1632,"M=",AX1632,"L=",AY1632,"B=",AZ1632)</f>
        <v>VINTSON SRT=22D=2R=0M=0L=0B=0</v>
      </c>
      <c r="G1632" s="0" t="s">
        <v>7417</v>
      </c>
      <c r="H1632" s="0" t="s">
        <v>216</v>
      </c>
      <c r="I1632" s="0" t="s">
        <v>7418</v>
      </c>
      <c r="J1632" s="0" t="s">
        <v>7419</v>
      </c>
      <c r="K1632" s="0" t="s">
        <v>143</v>
      </c>
      <c r="M1632" s="0" t="s">
        <v>7402</v>
      </c>
      <c r="N1632" s="0" t="str">
        <f aca="false">RIGHT(M1632,LEN(M1632)-FIND(" ",M1632))</f>
        <v>N PARK AVE</v>
      </c>
      <c r="O1632" s="0" t="s">
        <v>7281</v>
      </c>
      <c r="P1632" s="0" t="s">
        <v>145</v>
      </c>
      <c r="Q1632" s="0" t="s">
        <v>146</v>
      </c>
      <c r="R1632" s="0" t="n">
        <v>44481</v>
      </c>
      <c r="AD1632" s="0" t="s">
        <v>147</v>
      </c>
      <c r="AE1632" s="0" t="s">
        <v>148</v>
      </c>
      <c r="AF1632" s="0" t="s">
        <v>149</v>
      </c>
      <c r="AH1632" s="0" t="n">
        <v>14</v>
      </c>
      <c r="AI1632" s="0" t="n">
        <v>11</v>
      </c>
      <c r="AN1632" s="0" t="s">
        <v>145</v>
      </c>
      <c r="AO1632" s="0" t="s">
        <v>654</v>
      </c>
      <c r="AP1632" s="0" t="s">
        <v>655</v>
      </c>
      <c r="AQ1632" s="0" t="n">
        <v>9</v>
      </c>
      <c r="AR1632" s="0" t="n">
        <v>64</v>
      </c>
      <c r="AS1632" s="0" t="n">
        <v>32</v>
      </c>
      <c r="AU1632" s="0" t="n">
        <f aca="false">COUNTA($BA$1858:$EH$1858)</f>
        <v>22</v>
      </c>
      <c r="AV1632" s="0" t="n">
        <f aca="false">COUNTIF($BA$1858:$EH$1858,"D")</f>
        <v>2</v>
      </c>
      <c r="AW1632" s="0" t="n">
        <f aca="false">COUNTIF($BA$1858:$EH$1858,"R")</f>
        <v>0</v>
      </c>
      <c r="AX1632" s="0" t="n">
        <f aca="false">IF(BN1632="D",1,0)+IF(BO1632="D",1,0)+IF(BT1632="D",1,0)+IF(BU1632="D",1,0)+IF(BW1632="D",1,0)+IF(CC1632="D",1,0)+IF(CD1632="D",1,0)+IF(CE1632="D",1,0)+IF(CF1632="D",1,0)+IF(CL1632="D",1,0)+IF(CM1632="D",1,0)+IF(CQ1632="D",1,0)+IF(CR1632="D",1,0)+IF(CS1632="D",1,0)+IF(CW1632="D",1,0)+IF(CX1632="D",1,0)+IF(DD1632="D",1,0)+IF(DE1632="D",1,0)+IF(DJ1632="D",1,0)+IF(DK1632="D",1,0)+IF(DO1632="D",1,0)+IF(DP1632="D",1,0)+IF(DQ1632="D",1,0)+IF(DW1632="D",1,0)+IF(DZ1632="D",1,0)+IF(EH1632="D",1,0)</f>
        <v>0</v>
      </c>
      <c r="AY1632" s="0" t="n">
        <f aca="false">COUNTIF(DU1632:EH1632, "&lt;&gt;")</f>
        <v>0</v>
      </c>
      <c r="AZ1632" s="0" t="n">
        <f aca="false">IF(EH1632&lt;&gt;"",1,0)</f>
        <v>0</v>
      </c>
      <c r="BB1632" s="0" t="s">
        <v>152</v>
      </c>
    </row>
    <row r="1633" customFormat="false" ht="13.8" hidden="true" customHeight="false" outlineLevel="0" collapsed="false">
      <c r="A1633" s="0" t="s">
        <v>7420</v>
      </c>
      <c r="B1633" s="0" t="n">
        <v>78</v>
      </c>
      <c r="C1633" s="0" t="n">
        <v>411738</v>
      </c>
      <c r="D1633" s="0" t="s">
        <v>7421</v>
      </c>
      <c r="E1633" s="0" t="s">
        <v>736</v>
      </c>
      <c r="F1633" s="0" t="str">
        <f aca="false">CONCATENATE(D1633," ",LEFT(H1633,4),"T=",AU1633,"D=",AV1633,"R=",AW1633,"M=",AX1633,"L=",AY1633,"B=",AZ1633)</f>
        <v>SHAFFER T=6D=0R=0M=0L=0B=0</v>
      </c>
      <c r="G1633" s="0" t="s">
        <v>2179</v>
      </c>
      <c r="I1633" s="0" t="s">
        <v>7422</v>
      </c>
      <c r="J1633" s="0" t="s">
        <v>7423</v>
      </c>
      <c r="K1633" s="0" t="s">
        <v>160</v>
      </c>
      <c r="M1633" s="0" t="s">
        <v>7402</v>
      </c>
      <c r="N1633" s="0" t="str">
        <f aca="false">RIGHT(M1633,LEN(M1633)-FIND(" ",M1633))</f>
        <v>N PARK AVE</v>
      </c>
      <c r="O1633" s="0" t="s">
        <v>7424</v>
      </c>
      <c r="P1633" s="0" t="s">
        <v>145</v>
      </c>
      <c r="Q1633" s="0" t="s">
        <v>146</v>
      </c>
      <c r="R1633" s="0" t="n">
        <v>44481</v>
      </c>
      <c r="AD1633" s="0" t="s">
        <v>147</v>
      </c>
      <c r="AE1633" s="0" t="s">
        <v>148</v>
      </c>
      <c r="AF1633" s="0" t="s">
        <v>149</v>
      </c>
      <c r="AH1633" s="0" t="n">
        <v>14</v>
      </c>
      <c r="AI1633" s="0" t="n">
        <v>11</v>
      </c>
      <c r="AN1633" s="0" t="s">
        <v>145</v>
      </c>
      <c r="AO1633" s="0" t="s">
        <v>654</v>
      </c>
      <c r="AP1633" s="0" t="s">
        <v>655</v>
      </c>
      <c r="AQ1633" s="0" t="n">
        <v>9</v>
      </c>
      <c r="AR1633" s="0" t="n">
        <v>64</v>
      </c>
      <c r="AS1633" s="0" t="n">
        <v>32</v>
      </c>
      <c r="AU1633" s="0" t="n">
        <f aca="false">COUNTA($BA$1916:$EH$1916)</f>
        <v>6</v>
      </c>
      <c r="AV1633" s="0" t="n">
        <f aca="false">COUNTIF($BA$1916:$EH$1916,"D")</f>
        <v>0</v>
      </c>
      <c r="AW1633" s="0" t="n">
        <f aca="false">COUNTIF($BA$1916:$EH$1916,"R")</f>
        <v>0</v>
      </c>
      <c r="AX1633" s="0" t="n">
        <f aca="false">IF(BN1633="D",1,0)+IF(BO1633="D",1,0)+IF(BT1633="D",1,0)+IF(BU1633="D",1,0)+IF(BW1633="D",1,0)+IF(CC1633="D",1,0)+IF(CD1633="D",1,0)+IF(CE1633="D",1,0)+IF(CF1633="D",1,0)+IF(CL1633="D",1,0)+IF(CM1633="D",1,0)+IF(CQ1633="D",1,0)+IF(CR1633="D",1,0)+IF(CS1633="D",1,0)+IF(CW1633="D",1,0)+IF(CX1633="D",1,0)+IF(DD1633="D",1,0)+IF(DE1633="D",1,0)+IF(DJ1633="D",1,0)+IF(DK1633="D",1,0)+IF(DO1633="D",1,0)+IF(DP1633="D",1,0)+IF(DQ1633="D",1,0)+IF(DW1633="D",1,0)+IF(DZ1633="D",1,0)+IF(EH1633="D",1,0)</f>
        <v>0</v>
      </c>
      <c r="AY1633" s="0" t="n">
        <f aca="false">COUNTIF(DU1633:EH1633, "&lt;&gt;")</f>
        <v>0</v>
      </c>
      <c r="AZ1633" s="0" t="n">
        <f aca="false">IF(EH1633&lt;&gt;"",1,0)</f>
        <v>0</v>
      </c>
      <c r="BB1633" s="0" t="s">
        <v>152</v>
      </c>
      <c r="CA1633" s="0" t="s">
        <v>153</v>
      </c>
      <c r="DC1633" s="0" t="s">
        <v>153</v>
      </c>
    </row>
    <row r="1634" customFormat="false" ht="13.8" hidden="true" customHeight="false" outlineLevel="0" collapsed="false">
      <c r="A1634" s="0" t="s">
        <v>7425</v>
      </c>
      <c r="B1634" s="0" t="n">
        <v>78</v>
      </c>
      <c r="C1634" s="0" t="n">
        <v>308559</v>
      </c>
      <c r="D1634" s="0" t="s">
        <v>761</v>
      </c>
      <c r="E1634" s="0" t="s">
        <v>7426</v>
      </c>
      <c r="F1634" s="0" t="str">
        <f aca="false">CONCATENATE(D1634," ",LEFT(H1634,4),"T=",AU1634,"D=",AV1634,"R=",AW1634,"M=",AX1634,"L=",AY1634,"B=",AZ1634)</f>
        <v>BROWN T=1D=0R=0M=0L=0B=0</v>
      </c>
      <c r="G1634" s="0" t="s">
        <v>6308</v>
      </c>
      <c r="I1634" s="0" t="s">
        <v>7427</v>
      </c>
      <c r="J1634" s="0" t="s">
        <v>7428</v>
      </c>
      <c r="K1634" s="0" t="s">
        <v>160</v>
      </c>
      <c r="M1634" s="0" t="s">
        <v>7402</v>
      </c>
      <c r="N1634" s="0" t="str">
        <f aca="false">RIGHT(M1634,LEN(M1634)-FIND(" ",M1634))</f>
        <v>N PARK AVE</v>
      </c>
      <c r="O1634" s="0" t="s">
        <v>7424</v>
      </c>
      <c r="P1634" s="0" t="s">
        <v>145</v>
      </c>
      <c r="Q1634" s="0" t="s">
        <v>146</v>
      </c>
      <c r="R1634" s="0" t="n">
        <v>44481</v>
      </c>
      <c r="AD1634" s="0" t="s">
        <v>147</v>
      </c>
      <c r="AE1634" s="0" t="s">
        <v>148</v>
      </c>
      <c r="AF1634" s="0" t="s">
        <v>149</v>
      </c>
      <c r="AH1634" s="0" t="n">
        <v>14</v>
      </c>
      <c r="AI1634" s="0" t="n">
        <v>11</v>
      </c>
      <c r="AN1634" s="0" t="s">
        <v>145</v>
      </c>
      <c r="AO1634" s="0" t="s">
        <v>654</v>
      </c>
      <c r="AP1634" s="0" t="s">
        <v>655</v>
      </c>
      <c r="AQ1634" s="0" t="n">
        <v>9</v>
      </c>
      <c r="AR1634" s="0" t="n">
        <v>64</v>
      </c>
      <c r="AS1634" s="0" t="n">
        <v>32</v>
      </c>
      <c r="AU1634" s="0" t="n">
        <f aca="false">COUNTA($BA$2024:$EH$2024)</f>
        <v>1</v>
      </c>
      <c r="AV1634" s="0" t="n">
        <f aca="false">COUNTIF($BA$2024:$EH$2024,"D")</f>
        <v>0</v>
      </c>
      <c r="AW1634" s="0" t="n">
        <f aca="false">COUNTIF($BA$2024:$EH$2024,"R")</f>
        <v>0</v>
      </c>
      <c r="AX1634" s="0" t="n">
        <f aca="false">IF(BN1634="D",1,0)+IF(BO1634="D",1,0)+IF(BT1634="D",1,0)+IF(BU1634="D",1,0)+IF(BW1634="D",1,0)+IF(CC1634="D",1,0)+IF(CD1634="D",1,0)+IF(CE1634="D",1,0)+IF(CF1634="D",1,0)+IF(CL1634="D",1,0)+IF(CM1634="D",1,0)+IF(CQ1634="D",1,0)+IF(CR1634="D",1,0)+IF(CS1634="D",1,0)+IF(CW1634="D",1,0)+IF(CX1634="D",1,0)+IF(DD1634="D",1,0)+IF(DE1634="D",1,0)+IF(DJ1634="D",1,0)+IF(DK1634="D",1,0)+IF(DO1634="D",1,0)+IF(DP1634="D",1,0)+IF(DQ1634="D",1,0)+IF(DW1634="D",1,0)+IF(DZ1634="D",1,0)+IF(EH1634="D",1,0)</f>
        <v>0</v>
      </c>
      <c r="AY1634" s="0" t="n">
        <f aca="false">COUNTIF(DU1634:EH1634, "&lt;&gt;")</f>
        <v>0</v>
      </c>
      <c r="AZ1634" s="0" t="n">
        <f aca="false">IF(EH1634&lt;&gt;"",1,0)</f>
        <v>0</v>
      </c>
      <c r="BB1634" s="0" t="s">
        <v>152</v>
      </c>
      <c r="CP1634" s="0" t="s">
        <v>153</v>
      </c>
      <c r="CY1634" s="0" t="s">
        <v>153</v>
      </c>
      <c r="CZ1634" s="0" t="s">
        <v>175</v>
      </c>
      <c r="DC1634" s="0" t="s">
        <v>153</v>
      </c>
      <c r="DN1634" s="0" t="s">
        <v>153</v>
      </c>
      <c r="DR1634" s="0" t="s">
        <v>153</v>
      </c>
    </row>
    <row r="1635" customFormat="false" ht="13.8" hidden="true" customHeight="false" outlineLevel="0" collapsed="false">
      <c r="A1635" s="0" t="s">
        <v>7429</v>
      </c>
      <c r="B1635" s="0" t="n">
        <v>78</v>
      </c>
      <c r="C1635" s="0" t="n">
        <v>358900</v>
      </c>
      <c r="D1635" s="0" t="s">
        <v>947</v>
      </c>
      <c r="E1635" s="0" t="s">
        <v>2214</v>
      </c>
      <c r="F1635" s="0" t="str">
        <f aca="false">CONCATENATE(D1635," ",LEFT(H1635,4),"T=",AU1635,"D=",AV1635,"R=",AW1635,"M=",AX1635,"L=",AY1635,"B=",AZ1635)</f>
        <v>KENNEDY T=36D=1R=6M=0L=0B=0</v>
      </c>
      <c r="G1635" s="0" t="s">
        <v>1710</v>
      </c>
      <c r="I1635" s="0" t="s">
        <v>7430</v>
      </c>
      <c r="J1635" s="0" t="s">
        <v>1658</v>
      </c>
      <c r="K1635" s="0" t="s">
        <v>160</v>
      </c>
      <c r="M1635" s="0" t="s">
        <v>7431</v>
      </c>
      <c r="N1635" s="0" t="str">
        <f aca="false">RIGHT(M1635,LEN(M1635)-FIND(" ",M1635))</f>
        <v>N PARK AVE</v>
      </c>
      <c r="O1635" s="0" t="s">
        <v>1939</v>
      </c>
      <c r="P1635" s="0" t="s">
        <v>145</v>
      </c>
      <c r="Q1635" s="0" t="s">
        <v>146</v>
      </c>
      <c r="R1635" s="0" t="n">
        <v>44481</v>
      </c>
      <c r="S1635" s="0" t="n">
        <v>1127</v>
      </c>
      <c r="AD1635" s="0" t="s">
        <v>147</v>
      </c>
      <c r="AE1635" s="0" t="s">
        <v>148</v>
      </c>
      <c r="AF1635" s="0" t="s">
        <v>149</v>
      </c>
      <c r="AH1635" s="0" t="n">
        <v>14</v>
      </c>
      <c r="AI1635" s="0" t="n">
        <v>11</v>
      </c>
      <c r="AN1635" s="0" t="s">
        <v>145</v>
      </c>
      <c r="AO1635" s="0" t="s">
        <v>654</v>
      </c>
      <c r="AP1635" s="0" t="s">
        <v>655</v>
      </c>
      <c r="AQ1635" s="0" t="n">
        <v>9</v>
      </c>
      <c r="AR1635" s="0" t="n">
        <v>64</v>
      </c>
      <c r="AS1635" s="0" t="n">
        <v>32</v>
      </c>
      <c r="AU1635" s="0" t="n">
        <f aca="false">COUNTA($BA$1269:$EH$1269)</f>
        <v>36</v>
      </c>
      <c r="AV1635" s="0" t="n">
        <f aca="false">COUNTIF($BA$1269:$EH$1269,"D")</f>
        <v>1</v>
      </c>
      <c r="AW1635" s="0" t="n">
        <f aca="false">COUNTIF($BA$1269:$EH$1269,"R")</f>
        <v>6</v>
      </c>
      <c r="AX1635" s="0" t="n">
        <f aca="false">IF(BN1635="D",1,0)+IF(BO1635="D",1,0)+IF(BT1635="D",1,0)+IF(BU1635="D",1,0)+IF(BW1635="D",1,0)+IF(CC1635="D",1,0)+IF(CD1635="D",1,0)+IF(CE1635="D",1,0)+IF(CF1635="D",1,0)+IF(CL1635="D",1,0)+IF(CM1635="D",1,0)+IF(CQ1635="D",1,0)+IF(CR1635="D",1,0)+IF(CS1635="D",1,0)+IF(CW1635="D",1,0)+IF(CX1635="D",1,0)+IF(DD1635="D",1,0)+IF(DE1635="D",1,0)+IF(DJ1635="D",1,0)+IF(DK1635="D",1,0)+IF(DO1635="D",1,0)+IF(DP1635="D",1,0)+IF(DQ1635="D",1,0)+IF(DW1635="D",1,0)+IF(DZ1635="D",1,0)+IF(EH1635="D",1,0)</f>
        <v>0</v>
      </c>
      <c r="AY1635" s="0" t="n">
        <f aca="false">COUNTIF(DU1635:EH1635, "&lt;&gt;")</f>
        <v>0</v>
      </c>
      <c r="AZ1635" s="0" t="n">
        <f aca="false">IF(EH1635&lt;&gt;"",1,0)</f>
        <v>0</v>
      </c>
      <c r="BB1635" s="0" t="s">
        <v>152</v>
      </c>
      <c r="DN1635" s="0" t="s">
        <v>153</v>
      </c>
    </row>
    <row r="1636" customFormat="false" ht="13.8" hidden="false" customHeight="false" outlineLevel="0" collapsed="false">
      <c r="A1636" s="0" t="s">
        <v>7432</v>
      </c>
      <c r="B1636" s="0" t="n">
        <v>78</v>
      </c>
      <c r="C1636" s="0" t="n">
        <v>203858</v>
      </c>
      <c r="D1636" s="0" t="s">
        <v>7433</v>
      </c>
      <c r="E1636" s="0" t="s">
        <v>275</v>
      </c>
      <c r="F1636" s="0" t="str">
        <f aca="false">CONCATENATE(D1636," ",LEFT(H1636,4),"T=",AU1636,"D=",AV1636,"R=",AW1636,"M=",AX1636,"L=",AY1636,"B=",AZ1636)</f>
        <v>CHAMBORA T=5D=0R=1M=1L=3B=0</v>
      </c>
      <c r="I1636" s="0" t="s">
        <v>7434</v>
      </c>
      <c r="J1636" s="0" t="s">
        <v>7435</v>
      </c>
      <c r="K1636" s="0" t="s">
        <v>160</v>
      </c>
      <c r="L1636" s="0" t="s">
        <v>209</v>
      </c>
      <c r="M1636" s="0" t="s">
        <v>7436</v>
      </c>
      <c r="N1636" s="0" t="str">
        <f aca="false">RIGHT(M1636,LEN(M1636)-FIND(" ",M1636))</f>
        <v>N PARK AVE</v>
      </c>
      <c r="O1636" s="0" t="s">
        <v>7437</v>
      </c>
      <c r="P1636" s="0" t="s">
        <v>145</v>
      </c>
      <c r="Q1636" s="0" t="s">
        <v>146</v>
      </c>
      <c r="R1636" s="0" t="n">
        <v>44481</v>
      </c>
      <c r="AD1636" s="0" t="s">
        <v>147</v>
      </c>
      <c r="AE1636" s="0" t="s">
        <v>148</v>
      </c>
      <c r="AF1636" s="0" t="s">
        <v>149</v>
      </c>
      <c r="AH1636" s="0" t="n">
        <v>14</v>
      </c>
      <c r="AI1636" s="0" t="n">
        <v>11</v>
      </c>
      <c r="AN1636" s="0" t="s">
        <v>145</v>
      </c>
      <c r="AO1636" s="0" t="s">
        <v>654</v>
      </c>
      <c r="AP1636" s="0" t="s">
        <v>655</v>
      </c>
      <c r="AQ1636" s="0" t="n">
        <v>9</v>
      </c>
      <c r="AR1636" s="0" t="n">
        <v>64</v>
      </c>
      <c r="AS1636" s="0" t="n">
        <v>32</v>
      </c>
      <c r="AU1636" s="0" t="n">
        <f aca="false">COUNTA($BA$1132:$EH$1132)</f>
        <v>5</v>
      </c>
      <c r="AV1636" s="0" t="n">
        <f aca="false">COUNTIF($BA$1132:$EH$1132,"D")</f>
        <v>0</v>
      </c>
      <c r="AW1636" s="0" t="n">
        <f aca="false">COUNTIF($BA$1132:$EH$1132,"R")</f>
        <v>1</v>
      </c>
      <c r="AX1636" s="0" t="n">
        <f aca="false">IF(BN1636="D",1,0)+IF(BO1636="D",1,0)+IF(BT1636="D",1,0)+IF(BU1636="D",1,0)+IF(BW1636="D",1,0)+IF(CC1636="D",1,0)+IF(CD1636="D",1,0)+IF(CE1636="D",1,0)+IF(CF1636="D",1,0)+IF(CL1636="D",1,0)+IF(CM1636="D",1,0)+IF(CQ1636="D",1,0)+IF(CR1636="D",1,0)+IF(CS1636="D",1,0)+IF(CW1636="D",1,0)+IF(CX1636="D",1,0)+IF(DD1636="D",1,0)+IF(DE1636="D",1,0)+IF(DJ1636="D",1,0)+IF(DK1636="D",1,0)+IF(DO1636="D",1,0)+IF(DP1636="D",1,0)+IF(DQ1636="D",1,0)+IF(DW1636="D",1,0)+IF(DZ1636="D",1,0)+IF(EH1636="D",1,0)</f>
        <v>1</v>
      </c>
      <c r="AY1636" s="0" t="n">
        <f aca="false">COUNTIF(DU1636:EH1636, "&lt;&gt;")</f>
        <v>3</v>
      </c>
      <c r="AZ1636" s="0" t="n">
        <f aca="false">IF(EH1636&lt;&gt;"",1,0)</f>
        <v>0</v>
      </c>
      <c r="BB1636" s="0" t="s">
        <v>152</v>
      </c>
      <c r="BC1636" s="0" t="s">
        <v>153</v>
      </c>
      <c r="BD1636" s="0" t="s">
        <v>153</v>
      </c>
      <c r="BJ1636" s="0" t="s">
        <v>153</v>
      </c>
      <c r="BL1636" s="0" t="s">
        <v>153</v>
      </c>
      <c r="BP1636" s="0" t="s">
        <v>153</v>
      </c>
      <c r="BS1636" s="0" t="s">
        <v>153</v>
      </c>
      <c r="BY1636" s="0" t="s">
        <v>175</v>
      </c>
      <c r="CA1636" s="0" t="s">
        <v>153</v>
      </c>
      <c r="CK1636" s="0" t="s">
        <v>153</v>
      </c>
      <c r="CL1636" s="0" t="s">
        <v>175</v>
      </c>
      <c r="CP1636" s="0" t="s">
        <v>153</v>
      </c>
      <c r="CV1636" s="0" t="s">
        <v>153</v>
      </c>
      <c r="CZ1636" s="0" t="s">
        <v>209</v>
      </c>
      <c r="DC1636" s="0" t="s">
        <v>153</v>
      </c>
      <c r="DF1636" s="0" t="s">
        <v>153</v>
      </c>
      <c r="DI1636" s="0" t="s">
        <v>153</v>
      </c>
      <c r="DL1636" s="0" t="s">
        <v>153</v>
      </c>
      <c r="DM1636" s="0" t="s">
        <v>209</v>
      </c>
      <c r="DN1636" s="0" t="s">
        <v>153</v>
      </c>
      <c r="DT1636" s="0" t="s">
        <v>209</v>
      </c>
      <c r="DU1636" s="0" t="s">
        <v>153</v>
      </c>
      <c r="EA1636" s="0" t="s">
        <v>153</v>
      </c>
      <c r="EF1636" s="0" t="s">
        <v>153</v>
      </c>
    </row>
    <row r="1637" customFormat="false" ht="13.8" hidden="true" customHeight="false" outlineLevel="0" collapsed="false">
      <c r="A1637" s="0" t="s">
        <v>7438</v>
      </c>
      <c r="B1637" s="0" t="n">
        <v>78</v>
      </c>
      <c r="C1637" s="0" t="n">
        <v>364340</v>
      </c>
      <c r="D1637" s="0" t="s">
        <v>3111</v>
      </c>
      <c r="E1637" s="0" t="s">
        <v>331</v>
      </c>
      <c r="F1637" s="0" t="str">
        <f aca="false">CONCATENATE(D1637," ",LEFT(H1637,4),"T=",AU1637,"D=",AV1637,"R=",AW1637,"M=",AX1637,"L=",AY1637,"B=",AZ1637)</f>
        <v>DAVENPORT T=1D=0R=0M=0L=0B=0</v>
      </c>
      <c r="G1637" s="0" t="s">
        <v>237</v>
      </c>
      <c r="I1637" s="0" t="s">
        <v>7439</v>
      </c>
      <c r="J1637" s="0" t="s">
        <v>693</v>
      </c>
      <c r="K1637" s="0" t="s">
        <v>143</v>
      </c>
      <c r="M1637" s="0" t="s">
        <v>7436</v>
      </c>
      <c r="N1637" s="0" t="str">
        <f aca="false">RIGHT(M1637,LEN(M1637)-FIND(" ",M1637))</f>
        <v>N PARK AVE</v>
      </c>
      <c r="O1637" s="0" t="s">
        <v>7440</v>
      </c>
      <c r="P1637" s="0" t="s">
        <v>145</v>
      </c>
      <c r="Q1637" s="0" t="s">
        <v>146</v>
      </c>
      <c r="R1637" s="0" t="n">
        <v>44481</v>
      </c>
      <c r="AD1637" s="0" t="s">
        <v>147</v>
      </c>
      <c r="AE1637" s="0" t="s">
        <v>148</v>
      </c>
      <c r="AF1637" s="0" t="s">
        <v>149</v>
      </c>
      <c r="AH1637" s="0" t="n">
        <v>14</v>
      </c>
      <c r="AI1637" s="0" t="n">
        <v>11</v>
      </c>
      <c r="AN1637" s="0" t="s">
        <v>145</v>
      </c>
      <c r="AO1637" s="0" t="s">
        <v>654</v>
      </c>
      <c r="AP1637" s="0" t="s">
        <v>655</v>
      </c>
      <c r="AQ1637" s="0" t="n">
        <v>9</v>
      </c>
      <c r="AR1637" s="0" t="n">
        <v>64</v>
      </c>
      <c r="AS1637" s="0" t="n">
        <v>32</v>
      </c>
      <c r="AU1637" s="0" t="n">
        <f aca="false">COUNTA($BA$1174:$EH$1174)</f>
        <v>1</v>
      </c>
      <c r="AV1637" s="0" t="n">
        <f aca="false">COUNTIF($BA$1174:$EH$1174,"D")</f>
        <v>0</v>
      </c>
      <c r="AW1637" s="0" t="n">
        <f aca="false">COUNTIF($BA$1174:$EH$1174,"R")</f>
        <v>0</v>
      </c>
      <c r="AX1637" s="0" t="n">
        <f aca="false">IF(BN1637="D",1,0)+IF(BO1637="D",1,0)+IF(BT1637="D",1,0)+IF(BU1637="D",1,0)+IF(BW1637="D",1,0)+IF(CC1637="D",1,0)+IF(CD1637="D",1,0)+IF(CE1637="D",1,0)+IF(CF1637="D",1,0)+IF(CL1637="D",1,0)+IF(CM1637="D",1,0)+IF(CQ1637="D",1,0)+IF(CR1637="D",1,0)+IF(CS1637="D",1,0)+IF(CW1637="D",1,0)+IF(CX1637="D",1,0)+IF(DD1637="D",1,0)+IF(DE1637="D",1,0)+IF(DJ1637="D",1,0)+IF(DK1637="D",1,0)+IF(DO1637="D",1,0)+IF(DP1637="D",1,0)+IF(DQ1637="D",1,0)+IF(DW1637="D",1,0)+IF(DZ1637="D",1,0)+IF(EH1637="D",1,0)</f>
        <v>0</v>
      </c>
      <c r="AY1637" s="0" t="n">
        <f aca="false">COUNTIF(DU1637:EH1637, "&lt;&gt;")</f>
        <v>0</v>
      </c>
      <c r="AZ1637" s="0" t="n">
        <f aca="false">IF(EH1637&lt;&gt;"",1,0)</f>
        <v>0</v>
      </c>
      <c r="BB1637" s="0" t="s">
        <v>152</v>
      </c>
    </row>
    <row r="1638" customFormat="false" ht="13.8" hidden="false" customHeight="false" outlineLevel="0" collapsed="false">
      <c r="A1638" s="0" t="s">
        <v>7441</v>
      </c>
      <c r="B1638" s="0" t="n">
        <v>78</v>
      </c>
      <c r="C1638" s="0" t="n">
        <v>304881</v>
      </c>
      <c r="D1638" s="0" t="s">
        <v>7442</v>
      </c>
      <c r="E1638" s="0" t="s">
        <v>7443</v>
      </c>
      <c r="F1638" s="0" t="str">
        <f aca="false">CONCATENATE(D1638," ",LEFT(H1638,4),"T=",AU1638,"D=",AV1638,"R=",AW1638,"M=",AX1638,"L=",AY1638,"B=",AZ1638)</f>
        <v>BLALOCK T=1D=0R=0M=0L=2B=0</v>
      </c>
      <c r="I1638" s="0" t="s">
        <v>7444</v>
      </c>
      <c r="J1638" s="0" t="s">
        <v>7445</v>
      </c>
      <c r="K1638" s="0" t="s">
        <v>160</v>
      </c>
      <c r="M1638" s="0" t="s">
        <v>7436</v>
      </c>
      <c r="N1638" s="0" t="str">
        <f aca="false">RIGHT(M1638,LEN(M1638)-FIND(" ",M1638))</f>
        <v>N PARK AVE</v>
      </c>
      <c r="O1638" s="0" t="s">
        <v>7437</v>
      </c>
      <c r="P1638" s="0" t="s">
        <v>145</v>
      </c>
      <c r="Q1638" s="0" t="s">
        <v>146</v>
      </c>
      <c r="R1638" s="0" t="n">
        <v>44481</v>
      </c>
      <c r="AD1638" s="0" t="s">
        <v>147</v>
      </c>
      <c r="AE1638" s="0" t="s">
        <v>148</v>
      </c>
      <c r="AF1638" s="0" t="s">
        <v>149</v>
      </c>
      <c r="AH1638" s="0" t="n">
        <v>14</v>
      </c>
      <c r="AI1638" s="0" t="n">
        <v>11</v>
      </c>
      <c r="AN1638" s="0" t="s">
        <v>145</v>
      </c>
      <c r="AO1638" s="0" t="s">
        <v>654</v>
      </c>
      <c r="AP1638" s="0" t="s">
        <v>655</v>
      </c>
      <c r="AQ1638" s="0" t="n">
        <v>9</v>
      </c>
      <c r="AR1638" s="0" t="n">
        <v>64</v>
      </c>
      <c r="AS1638" s="0" t="n">
        <v>32</v>
      </c>
      <c r="AU1638" s="0" t="n">
        <f aca="false">COUNTA($BA$1384:$EH$1384)</f>
        <v>1</v>
      </c>
      <c r="AV1638" s="0" t="n">
        <f aca="false">COUNTIF($BA$1384:$EH$1384,"D")</f>
        <v>0</v>
      </c>
      <c r="AW1638" s="0" t="n">
        <f aca="false">COUNTIF($BA$1384:$EH$1384,"R")</f>
        <v>0</v>
      </c>
      <c r="AX1638" s="0" t="n">
        <f aca="false">IF(BN1638="D",1,0)+IF(BO1638="D",1,0)+IF(BT1638="D",1,0)+IF(BU1638="D",1,0)+IF(BW1638="D",1,0)+IF(CC1638="D",1,0)+IF(CD1638="D",1,0)+IF(CE1638="D",1,0)+IF(CF1638="D",1,0)+IF(CL1638="D",1,0)+IF(CM1638="D",1,0)+IF(CQ1638="D",1,0)+IF(CR1638="D",1,0)+IF(CS1638="D",1,0)+IF(CW1638="D",1,0)+IF(CX1638="D",1,0)+IF(DD1638="D",1,0)+IF(DE1638="D",1,0)+IF(DJ1638="D",1,0)+IF(DK1638="D",1,0)+IF(DO1638="D",1,0)+IF(DP1638="D",1,0)+IF(DQ1638="D",1,0)+IF(DW1638="D",1,0)+IF(DZ1638="D",1,0)+IF(EH1638="D",1,0)</f>
        <v>0</v>
      </c>
      <c r="AY1638" s="0" t="n">
        <f aca="false">COUNTIF(DU1638:EH1638, "&lt;&gt;")</f>
        <v>2</v>
      </c>
      <c r="AZ1638" s="0" t="n">
        <f aca="false">IF(EH1638&lt;&gt;"",1,0)</f>
        <v>0</v>
      </c>
      <c r="BB1638" s="0" t="s">
        <v>152</v>
      </c>
      <c r="BH1638" s="0" t="s">
        <v>153</v>
      </c>
      <c r="BK1638" s="0" t="s">
        <v>153</v>
      </c>
      <c r="BL1638" s="0" t="s">
        <v>153</v>
      </c>
      <c r="BS1638" s="0" t="s">
        <v>153</v>
      </c>
      <c r="BY1638" s="0" t="s">
        <v>175</v>
      </c>
      <c r="CA1638" s="0" t="s">
        <v>153</v>
      </c>
      <c r="DC1638" s="0" t="s">
        <v>153</v>
      </c>
      <c r="DN1638" s="0" t="s">
        <v>153</v>
      </c>
      <c r="EA1638" s="0" t="s">
        <v>153</v>
      </c>
      <c r="EF1638" s="0" t="s">
        <v>153</v>
      </c>
    </row>
    <row r="1639" customFormat="false" ht="13.8" hidden="true" customHeight="false" outlineLevel="0" collapsed="false">
      <c r="A1639" s="0" t="s">
        <v>7446</v>
      </c>
      <c r="B1639" s="0" t="n">
        <v>78</v>
      </c>
      <c r="C1639" s="0" t="n">
        <v>464799</v>
      </c>
      <c r="D1639" s="0" t="s">
        <v>7447</v>
      </c>
      <c r="E1639" s="0" t="s">
        <v>2952</v>
      </c>
      <c r="F1639" s="0" t="str">
        <f aca="false">CONCATENATE(D1639," ",LEFT(H1639,4),"T=",AU1639,"D=",AV1639,"R=",AW1639,"M=",AX1639,"L=",AY1639,"B=",AZ1639)</f>
        <v>MATTHIAS T=6D=0R=0M=0L=0B=0</v>
      </c>
      <c r="G1639" s="0" t="s">
        <v>7448</v>
      </c>
      <c r="I1639" s="0" t="s">
        <v>7449</v>
      </c>
      <c r="J1639" s="0" t="s">
        <v>7450</v>
      </c>
      <c r="K1639" s="0" t="s">
        <v>143</v>
      </c>
      <c r="M1639" s="0" t="s">
        <v>7436</v>
      </c>
      <c r="N1639" s="0" t="str">
        <f aca="false">RIGHT(M1639,LEN(M1639)-FIND(" ",M1639))</f>
        <v>N PARK AVE</v>
      </c>
      <c r="O1639" s="0" t="s">
        <v>220</v>
      </c>
      <c r="P1639" s="0" t="s">
        <v>145</v>
      </c>
      <c r="Q1639" s="0" t="s">
        <v>146</v>
      </c>
      <c r="R1639" s="0" t="n">
        <v>44481</v>
      </c>
      <c r="AD1639" s="0" t="s">
        <v>147</v>
      </c>
      <c r="AE1639" s="0" t="s">
        <v>148</v>
      </c>
      <c r="AF1639" s="0" t="s">
        <v>149</v>
      </c>
      <c r="AH1639" s="0" t="n">
        <v>14</v>
      </c>
      <c r="AI1639" s="0" t="n">
        <v>11</v>
      </c>
      <c r="AN1639" s="0" t="s">
        <v>145</v>
      </c>
      <c r="AO1639" s="0" t="s">
        <v>654</v>
      </c>
      <c r="AP1639" s="0" t="s">
        <v>655</v>
      </c>
      <c r="AQ1639" s="0" t="n">
        <v>9</v>
      </c>
      <c r="AR1639" s="0" t="n">
        <v>64</v>
      </c>
      <c r="AS1639" s="0" t="n">
        <v>32</v>
      </c>
      <c r="AU1639" s="0" t="n">
        <f aca="false">COUNTA($BA$1564:$EH$1564)</f>
        <v>6</v>
      </c>
      <c r="AV1639" s="0" t="n">
        <f aca="false">COUNTIF($BA$1564:$EH$1564,"D")</f>
        <v>0</v>
      </c>
      <c r="AW1639" s="0" t="n">
        <f aca="false">COUNTIF($BA$1564:$EH$1564,"R")</f>
        <v>0</v>
      </c>
      <c r="AX1639" s="0" t="n">
        <f aca="false">IF(BN1639="D",1,0)+IF(BO1639="D",1,0)+IF(BT1639="D",1,0)+IF(BU1639="D",1,0)+IF(BW1639="D",1,0)+IF(CC1639="D",1,0)+IF(CD1639="D",1,0)+IF(CE1639="D",1,0)+IF(CF1639="D",1,0)+IF(CL1639="D",1,0)+IF(CM1639="D",1,0)+IF(CQ1639="D",1,0)+IF(CR1639="D",1,0)+IF(CS1639="D",1,0)+IF(CW1639="D",1,0)+IF(CX1639="D",1,0)+IF(DD1639="D",1,0)+IF(DE1639="D",1,0)+IF(DJ1639="D",1,0)+IF(DK1639="D",1,0)+IF(DO1639="D",1,0)+IF(DP1639="D",1,0)+IF(DQ1639="D",1,0)+IF(DW1639="D",1,0)+IF(DZ1639="D",1,0)+IF(EH1639="D",1,0)</f>
        <v>0</v>
      </c>
      <c r="AY1639" s="0" t="n">
        <f aca="false">COUNTIF(DU1639:EH1639, "&lt;&gt;")</f>
        <v>0</v>
      </c>
      <c r="AZ1639" s="0" t="n">
        <f aca="false">IF(EH1639&lt;&gt;"",1,0)</f>
        <v>0</v>
      </c>
      <c r="BB1639" s="0" t="s">
        <v>152</v>
      </c>
    </row>
    <row r="1640" customFormat="false" ht="13.8" hidden="true" customHeight="false" outlineLevel="0" collapsed="false">
      <c r="A1640" s="0" t="s">
        <v>7451</v>
      </c>
      <c r="B1640" s="0" t="n">
        <v>78</v>
      </c>
      <c r="C1640" s="0" t="n">
        <v>449124</v>
      </c>
      <c r="D1640" s="0" t="s">
        <v>1693</v>
      </c>
      <c r="E1640" s="0" t="s">
        <v>5756</v>
      </c>
      <c r="F1640" s="0" t="str">
        <f aca="false">CONCATENATE(D1640," ",LEFT(H1640,4),"T=",AU1640,"D=",AV1640,"R=",AW1640,"M=",AX1640,"L=",AY1640,"B=",AZ1640)</f>
        <v>WILLIAMSON T=11D=0R=0M=0L=0B=0</v>
      </c>
      <c r="G1640" s="0" t="s">
        <v>686</v>
      </c>
      <c r="I1640" s="0" t="s">
        <v>7452</v>
      </c>
      <c r="J1640" s="0" t="s">
        <v>3033</v>
      </c>
      <c r="K1640" s="0" t="s">
        <v>160</v>
      </c>
      <c r="M1640" s="0" t="s">
        <v>7436</v>
      </c>
      <c r="N1640" s="0" t="str">
        <f aca="false">RIGHT(M1640,LEN(M1640)-FIND(" ",M1640))</f>
        <v>N PARK AVE</v>
      </c>
      <c r="O1640" s="0" t="s">
        <v>297</v>
      </c>
      <c r="P1640" s="0" t="s">
        <v>145</v>
      </c>
      <c r="Q1640" s="0" t="s">
        <v>146</v>
      </c>
      <c r="R1640" s="0" t="n">
        <v>44481</v>
      </c>
      <c r="AD1640" s="0" t="s">
        <v>147</v>
      </c>
      <c r="AE1640" s="0" t="s">
        <v>148</v>
      </c>
      <c r="AF1640" s="0" t="s">
        <v>149</v>
      </c>
      <c r="AH1640" s="0" t="n">
        <v>14</v>
      </c>
      <c r="AI1640" s="0" t="n">
        <v>11</v>
      </c>
      <c r="AN1640" s="0" t="s">
        <v>145</v>
      </c>
      <c r="AO1640" s="0" t="s">
        <v>654</v>
      </c>
      <c r="AP1640" s="0" t="s">
        <v>655</v>
      </c>
      <c r="AQ1640" s="0" t="n">
        <v>9</v>
      </c>
      <c r="AR1640" s="0" t="n">
        <v>64</v>
      </c>
      <c r="AS1640" s="0" t="n">
        <v>32</v>
      </c>
      <c r="AU1640" s="0" t="n">
        <f aca="false">COUNTA($BA$1922:$EH$1922)</f>
        <v>11</v>
      </c>
      <c r="AV1640" s="0" t="n">
        <f aca="false">COUNTIF($BA$1922:$EH$1922,"D")</f>
        <v>0</v>
      </c>
      <c r="AW1640" s="0" t="n">
        <f aca="false">COUNTIF($BA$1922:$EH$1922,"R")</f>
        <v>0</v>
      </c>
      <c r="AX1640" s="0" t="n">
        <f aca="false">IF(BN1640="D",1,0)+IF(BO1640="D",1,0)+IF(BT1640="D",1,0)+IF(BU1640="D",1,0)+IF(BW1640="D",1,0)+IF(CC1640="D",1,0)+IF(CD1640="D",1,0)+IF(CE1640="D",1,0)+IF(CF1640="D",1,0)+IF(CL1640="D",1,0)+IF(CM1640="D",1,0)+IF(CQ1640="D",1,0)+IF(CR1640="D",1,0)+IF(CS1640="D",1,0)+IF(CW1640="D",1,0)+IF(CX1640="D",1,0)+IF(DD1640="D",1,0)+IF(DE1640="D",1,0)+IF(DJ1640="D",1,0)+IF(DK1640="D",1,0)+IF(DO1640="D",1,0)+IF(DP1640="D",1,0)+IF(DQ1640="D",1,0)+IF(DW1640="D",1,0)+IF(DZ1640="D",1,0)+IF(EH1640="D",1,0)</f>
        <v>0</v>
      </c>
      <c r="AY1640" s="0" t="n">
        <f aca="false">COUNTIF(DU1640:EH1640, "&lt;&gt;")</f>
        <v>0</v>
      </c>
      <c r="AZ1640" s="0" t="n">
        <f aca="false">IF(EH1640&lt;&gt;"",1,0)</f>
        <v>0</v>
      </c>
      <c r="BB1640" s="0" t="s">
        <v>152</v>
      </c>
      <c r="CO1640" s="0" t="s">
        <v>175</v>
      </c>
      <c r="CP1640" s="0" t="s">
        <v>153</v>
      </c>
    </row>
    <row r="1641" customFormat="false" ht="13.8" hidden="true" customHeight="false" outlineLevel="0" collapsed="false">
      <c r="A1641" s="0" t="s">
        <v>7453</v>
      </c>
      <c r="B1641" s="0" t="n">
        <v>78</v>
      </c>
      <c r="C1641" s="0" t="n">
        <v>388363</v>
      </c>
      <c r="D1641" s="0" t="s">
        <v>7454</v>
      </c>
      <c r="E1641" s="0" t="s">
        <v>958</v>
      </c>
      <c r="F1641" s="0" t="str">
        <f aca="false">CONCATENATE(D1641," ",LEFT(H1641,4),"T=",AU1641,"D=",AV1641,"R=",AW1641,"M=",AX1641,"L=",AY1641,"B=",AZ1641)</f>
        <v>ECHOLS JRT=2D=1R=0M=0L=0B=0</v>
      </c>
      <c r="G1641" s="0" t="s">
        <v>190</v>
      </c>
      <c r="H1641" s="0" t="s">
        <v>314</v>
      </c>
      <c r="I1641" s="0" t="s">
        <v>7455</v>
      </c>
      <c r="J1641" s="0" t="s">
        <v>3815</v>
      </c>
      <c r="K1641" s="0" t="s">
        <v>160</v>
      </c>
      <c r="M1641" s="0" t="s">
        <v>7436</v>
      </c>
      <c r="N1641" s="0" t="str">
        <f aca="false">RIGHT(M1641,LEN(M1641)-FIND(" ",M1641))</f>
        <v>N PARK AVE</v>
      </c>
      <c r="O1641" s="0" t="s">
        <v>7456</v>
      </c>
      <c r="P1641" s="0" t="s">
        <v>145</v>
      </c>
      <c r="Q1641" s="0" t="s">
        <v>146</v>
      </c>
      <c r="R1641" s="0" t="n">
        <v>44481</v>
      </c>
      <c r="AD1641" s="0" t="s">
        <v>147</v>
      </c>
      <c r="AE1641" s="0" t="s">
        <v>148</v>
      </c>
      <c r="AF1641" s="0" t="s">
        <v>149</v>
      </c>
      <c r="AH1641" s="0" t="n">
        <v>14</v>
      </c>
      <c r="AI1641" s="0" t="n">
        <v>11</v>
      </c>
      <c r="AN1641" s="0" t="s">
        <v>145</v>
      </c>
      <c r="AO1641" s="0" t="s">
        <v>654</v>
      </c>
      <c r="AP1641" s="0" t="s">
        <v>655</v>
      </c>
      <c r="AQ1641" s="0" t="n">
        <v>9</v>
      </c>
      <c r="AR1641" s="0" t="n">
        <v>64</v>
      </c>
      <c r="AS1641" s="0" t="n">
        <v>32</v>
      </c>
      <c r="AU1641" s="0" t="n">
        <f aca="false">COUNTA($BA$1937:$EH$1937)</f>
        <v>2</v>
      </c>
      <c r="AV1641" s="0" t="n">
        <f aca="false">COUNTIF($BA$1937:$EH$1937,"D")</f>
        <v>1</v>
      </c>
      <c r="AW1641" s="0" t="n">
        <f aca="false">COUNTIF($BA$1937:$EH$1937,"R")</f>
        <v>0</v>
      </c>
      <c r="AX1641" s="0" t="n">
        <f aca="false">IF(BN1641="D",1,0)+IF(BO1641="D",1,0)+IF(BT1641="D",1,0)+IF(BU1641="D",1,0)+IF(BW1641="D",1,0)+IF(CC1641="D",1,0)+IF(CD1641="D",1,0)+IF(CE1641="D",1,0)+IF(CF1641="D",1,0)+IF(CL1641="D",1,0)+IF(CM1641="D",1,0)+IF(CQ1641="D",1,0)+IF(CR1641="D",1,0)+IF(CS1641="D",1,0)+IF(CW1641="D",1,0)+IF(CX1641="D",1,0)+IF(DD1641="D",1,0)+IF(DE1641="D",1,0)+IF(DJ1641="D",1,0)+IF(DK1641="D",1,0)+IF(DO1641="D",1,0)+IF(DP1641="D",1,0)+IF(DQ1641="D",1,0)+IF(DW1641="D",1,0)+IF(DZ1641="D",1,0)+IF(EH1641="D",1,0)</f>
        <v>0</v>
      </c>
      <c r="AY1641" s="0" t="n">
        <f aca="false">COUNTIF(DU1641:EH1641, "&lt;&gt;")</f>
        <v>0</v>
      </c>
      <c r="AZ1641" s="0" t="n">
        <f aca="false">IF(EH1641&lt;&gt;"",1,0)</f>
        <v>0</v>
      </c>
      <c r="BB1641" s="0" t="s">
        <v>152</v>
      </c>
      <c r="CP1641" s="0" t="s">
        <v>153</v>
      </c>
      <c r="CV1641" s="0" t="s">
        <v>153</v>
      </c>
      <c r="DC1641" s="0" t="s">
        <v>153</v>
      </c>
    </row>
    <row r="1642" customFormat="false" ht="13.8" hidden="false" customHeight="false" outlineLevel="0" collapsed="false">
      <c r="A1642" s="0" t="s">
        <v>7457</v>
      </c>
      <c r="B1642" s="0" t="n">
        <v>78</v>
      </c>
      <c r="C1642" s="0" t="n">
        <v>321721</v>
      </c>
      <c r="D1642" s="0" t="s">
        <v>7458</v>
      </c>
      <c r="E1642" s="0" t="s">
        <v>541</v>
      </c>
      <c r="F1642" s="0" t="str">
        <f aca="false">CONCATENATE(D1642," ",LEFT(H1642,4),"T=",AU1642,"D=",AV1642,"R=",AW1642,"M=",AX1642,"L=",AY1642,"B=",AZ1642)</f>
        <v>PALYA T=1D=0R=0M=0L=4B=0</v>
      </c>
      <c r="G1642" s="0" t="s">
        <v>195</v>
      </c>
      <c r="I1642" s="0" t="s">
        <v>7459</v>
      </c>
      <c r="J1642" s="0" t="s">
        <v>7460</v>
      </c>
      <c r="K1642" s="0" t="s">
        <v>160</v>
      </c>
      <c r="L1642" s="0" t="s">
        <v>209</v>
      </c>
      <c r="M1642" s="0" t="s">
        <v>7436</v>
      </c>
      <c r="N1642" s="0" t="str">
        <f aca="false">RIGHT(M1642,LEN(M1642)-FIND(" ",M1642))</f>
        <v>N PARK AVE</v>
      </c>
      <c r="O1642" s="0" t="s">
        <v>6948</v>
      </c>
      <c r="P1642" s="0" t="s">
        <v>145</v>
      </c>
      <c r="Q1642" s="0" t="s">
        <v>146</v>
      </c>
      <c r="R1642" s="0" t="n">
        <v>44481</v>
      </c>
      <c r="AD1642" s="0" t="s">
        <v>147</v>
      </c>
      <c r="AE1642" s="0" t="s">
        <v>148</v>
      </c>
      <c r="AF1642" s="0" t="s">
        <v>149</v>
      </c>
      <c r="AH1642" s="0" t="n">
        <v>14</v>
      </c>
      <c r="AI1642" s="0" t="n">
        <v>11</v>
      </c>
      <c r="AN1642" s="0" t="s">
        <v>145</v>
      </c>
      <c r="AO1642" s="0" t="s">
        <v>654</v>
      </c>
      <c r="AP1642" s="0" t="s">
        <v>655</v>
      </c>
      <c r="AQ1642" s="0" t="n">
        <v>9</v>
      </c>
      <c r="AR1642" s="0" t="n">
        <v>64</v>
      </c>
      <c r="AS1642" s="0" t="n">
        <v>32</v>
      </c>
      <c r="AU1642" s="0" t="n">
        <f aca="false">COUNTA($BA$1943:$EH$1943)</f>
        <v>1</v>
      </c>
      <c r="AV1642" s="0" t="n">
        <f aca="false">COUNTIF($BA$1943:$EH$1943,"D")</f>
        <v>0</v>
      </c>
      <c r="AW1642" s="0" t="n">
        <f aca="false">COUNTIF($BA$1943:$EH$1943,"R")</f>
        <v>0</v>
      </c>
      <c r="AX1642" s="0" t="n">
        <f aca="false">IF(BN1642="D",1,0)+IF(BO1642="D",1,0)+IF(BT1642="D",1,0)+IF(BU1642="D",1,0)+IF(BW1642="D",1,0)+IF(CC1642="D",1,0)+IF(CD1642="D",1,0)+IF(CE1642="D",1,0)+IF(CF1642="D",1,0)+IF(CL1642="D",1,0)+IF(CM1642="D",1,0)+IF(CQ1642="D",1,0)+IF(CR1642="D",1,0)+IF(CS1642="D",1,0)+IF(CW1642="D",1,0)+IF(CX1642="D",1,0)+IF(DD1642="D",1,0)+IF(DE1642="D",1,0)+IF(DJ1642="D",1,0)+IF(DK1642="D",1,0)+IF(DO1642="D",1,0)+IF(DP1642="D",1,0)+IF(DQ1642="D",1,0)+IF(DW1642="D",1,0)+IF(DZ1642="D",1,0)+IF(EH1642="D",1,0)</f>
        <v>0</v>
      </c>
      <c r="AY1642" s="0" t="n">
        <f aca="false">COUNTIF(DU1642:EH1642, "&lt;&gt;")</f>
        <v>4</v>
      </c>
      <c r="AZ1642" s="0" t="n">
        <f aca="false">IF(EH1642&lt;&gt;"",1,0)</f>
        <v>0</v>
      </c>
      <c r="BB1642" s="0" t="s">
        <v>152</v>
      </c>
      <c r="BL1642" s="0" t="s">
        <v>153</v>
      </c>
      <c r="CA1642" s="0" t="s">
        <v>153</v>
      </c>
      <c r="CK1642" s="0" t="s">
        <v>153</v>
      </c>
      <c r="CN1642" s="0" t="s">
        <v>153</v>
      </c>
      <c r="CP1642" s="0" t="s">
        <v>153</v>
      </c>
      <c r="DC1642" s="0" t="s">
        <v>153</v>
      </c>
      <c r="DN1642" s="0" t="s">
        <v>153</v>
      </c>
      <c r="DS1642" s="0" t="s">
        <v>209</v>
      </c>
      <c r="DT1642" s="0" t="s">
        <v>209</v>
      </c>
      <c r="DU1642" s="0" t="s">
        <v>153</v>
      </c>
      <c r="DX1642" s="0" t="s">
        <v>153</v>
      </c>
      <c r="EA1642" s="0" t="s">
        <v>153</v>
      </c>
      <c r="ED1642" s="0" t="s">
        <v>209</v>
      </c>
    </row>
    <row r="1643" customFormat="false" ht="13.8" hidden="true" customHeight="false" outlineLevel="0" collapsed="false">
      <c r="A1643" s="0" t="s">
        <v>7461</v>
      </c>
      <c r="B1643" s="0" t="n">
        <v>78</v>
      </c>
      <c r="C1643" s="0" t="n">
        <v>445767</v>
      </c>
      <c r="D1643" s="0" t="s">
        <v>7462</v>
      </c>
      <c r="E1643" s="0" t="s">
        <v>7463</v>
      </c>
      <c r="F1643" s="0" t="str">
        <f aca="false">CONCATENATE(D1643," ",LEFT(H1643,4),"T=",AU1643,"D=",AV1643,"R=",AW1643,"M=",AX1643,"L=",AY1643,"B=",AZ1643)</f>
        <v>PATINO T=2D=0R=0M=0L=1B=0</v>
      </c>
      <c r="G1643" s="0" t="s">
        <v>839</v>
      </c>
      <c r="I1643" s="0" t="s">
        <v>7464</v>
      </c>
      <c r="J1643" s="0" t="s">
        <v>7465</v>
      </c>
      <c r="K1643" s="0" t="s">
        <v>160</v>
      </c>
      <c r="M1643" s="0" t="s">
        <v>7436</v>
      </c>
      <c r="N1643" s="0" t="str">
        <f aca="false">RIGHT(M1643,LEN(M1643)-FIND(" ",M1643))</f>
        <v>N PARK AVE</v>
      </c>
      <c r="O1643" s="0" t="s">
        <v>6955</v>
      </c>
      <c r="P1643" s="0" t="s">
        <v>145</v>
      </c>
      <c r="Q1643" s="0" t="s">
        <v>146</v>
      </c>
      <c r="R1643" s="0" t="n">
        <v>44481</v>
      </c>
      <c r="AD1643" s="0" t="s">
        <v>147</v>
      </c>
      <c r="AE1643" s="0" t="s">
        <v>148</v>
      </c>
      <c r="AF1643" s="0" t="s">
        <v>149</v>
      </c>
      <c r="AH1643" s="0" t="n">
        <v>14</v>
      </c>
      <c r="AI1643" s="0" t="n">
        <v>11</v>
      </c>
      <c r="AN1643" s="0" t="s">
        <v>145</v>
      </c>
      <c r="AO1643" s="0" t="s">
        <v>654</v>
      </c>
      <c r="AP1643" s="0" t="s">
        <v>655</v>
      </c>
      <c r="AQ1643" s="0" t="n">
        <v>9</v>
      </c>
      <c r="AR1643" s="0" t="n">
        <v>64</v>
      </c>
      <c r="AS1643" s="0" t="n">
        <v>32</v>
      </c>
      <c r="AU1643" s="0" t="n">
        <f aca="false">COUNTA($BA$2078:$EH$2078)</f>
        <v>2</v>
      </c>
      <c r="AV1643" s="0" t="n">
        <f aca="false">COUNTIF($BA$2078:$EH$2078,"D")</f>
        <v>0</v>
      </c>
      <c r="AW1643" s="0" t="n">
        <f aca="false">COUNTIF($BA$2078:$EH$2078,"R")</f>
        <v>0</v>
      </c>
      <c r="AX1643" s="0" t="n">
        <f aca="false">IF(BN1643="D",1,0)+IF(BO1643="D",1,0)+IF(BT1643="D",1,0)+IF(BU1643="D",1,0)+IF(BW1643="D",1,0)+IF(CC1643="D",1,0)+IF(CD1643="D",1,0)+IF(CE1643="D",1,0)+IF(CF1643="D",1,0)+IF(CL1643="D",1,0)+IF(CM1643="D",1,0)+IF(CQ1643="D",1,0)+IF(CR1643="D",1,0)+IF(CS1643="D",1,0)+IF(CW1643="D",1,0)+IF(CX1643="D",1,0)+IF(DD1643="D",1,0)+IF(DE1643="D",1,0)+IF(DJ1643="D",1,0)+IF(DK1643="D",1,0)+IF(DO1643="D",1,0)+IF(DP1643="D",1,0)+IF(DQ1643="D",1,0)+IF(DW1643="D",1,0)+IF(DZ1643="D",1,0)+IF(EH1643="D",1,0)</f>
        <v>0</v>
      </c>
      <c r="AY1643" s="0" t="n">
        <f aca="false">COUNTIF(DU1643:EH1643, "&lt;&gt;")</f>
        <v>1</v>
      </c>
      <c r="AZ1643" s="0" t="n">
        <f aca="false">IF(EH1643&lt;&gt;"",1,0)</f>
        <v>0</v>
      </c>
      <c r="BB1643" s="0" t="s">
        <v>152</v>
      </c>
      <c r="DN1643" s="0" t="s">
        <v>153</v>
      </c>
      <c r="DU1643" s="0" t="s">
        <v>153</v>
      </c>
    </row>
    <row r="1644" customFormat="false" ht="13.8" hidden="true" customHeight="false" outlineLevel="0" collapsed="false">
      <c r="A1644" s="0" t="s">
        <v>7466</v>
      </c>
      <c r="B1644" s="0" t="n">
        <v>78</v>
      </c>
      <c r="C1644" s="0" t="n">
        <v>330343</v>
      </c>
      <c r="D1644" s="0" t="s">
        <v>657</v>
      </c>
      <c r="E1644" s="0" t="s">
        <v>3511</v>
      </c>
      <c r="F1644" s="0" t="str">
        <f aca="false">CONCATENATE(D1644," ",LEFT(H1644,4),"T=",AU1644,"D=",AV1644,"R=",AW1644,"M=",AX1644,"L=",AY1644,"B=",AZ1644)</f>
        <v>HALL T=1D=0R=0M=0L=0B=0</v>
      </c>
      <c r="G1644" s="0" t="s">
        <v>190</v>
      </c>
      <c r="I1644" s="0" t="s">
        <v>7467</v>
      </c>
      <c r="J1644" s="0" t="s">
        <v>7468</v>
      </c>
      <c r="K1644" s="0" t="s">
        <v>160</v>
      </c>
      <c r="M1644" s="0" t="s">
        <v>7469</v>
      </c>
      <c r="N1644" s="0" t="str">
        <f aca="false">RIGHT(M1644,LEN(M1644)-FIND(" ",M1644))</f>
        <v>N PARK AVE</v>
      </c>
      <c r="P1644" s="0" t="s">
        <v>145</v>
      </c>
      <c r="Q1644" s="0" t="s">
        <v>146</v>
      </c>
      <c r="R1644" s="0" t="n">
        <v>44481</v>
      </c>
      <c r="AD1644" s="0" t="s">
        <v>147</v>
      </c>
      <c r="AE1644" s="0" t="s">
        <v>148</v>
      </c>
      <c r="AF1644" s="0" t="s">
        <v>149</v>
      </c>
      <c r="AH1644" s="0" t="n">
        <v>14</v>
      </c>
      <c r="AI1644" s="0" t="n">
        <v>11</v>
      </c>
      <c r="AN1644" s="0" t="s">
        <v>145</v>
      </c>
      <c r="AO1644" s="0" t="s">
        <v>654</v>
      </c>
      <c r="AP1644" s="0" t="s">
        <v>655</v>
      </c>
      <c r="AQ1644" s="0" t="n">
        <v>9</v>
      </c>
      <c r="AR1644" s="0" t="n">
        <v>64</v>
      </c>
      <c r="AS1644" s="0" t="n">
        <v>32</v>
      </c>
      <c r="AU1644" s="0" t="n">
        <f aca="false">COUNTA($BA$1869:$EH$1869)</f>
        <v>1</v>
      </c>
      <c r="AV1644" s="0" t="n">
        <f aca="false">COUNTIF($BA$1869:$EH$1869,"D")</f>
        <v>0</v>
      </c>
      <c r="AW1644" s="0" t="n">
        <f aca="false">COUNTIF($BA$1869:$EH$1869,"R")</f>
        <v>0</v>
      </c>
      <c r="AX1644" s="0" t="n">
        <f aca="false">IF(BN1644="D",1,0)+IF(BO1644="D",1,0)+IF(BT1644="D",1,0)+IF(BU1644="D",1,0)+IF(BW1644="D",1,0)+IF(CC1644="D",1,0)+IF(CD1644="D",1,0)+IF(CE1644="D",1,0)+IF(CF1644="D",1,0)+IF(CL1644="D",1,0)+IF(CM1644="D",1,0)+IF(CQ1644="D",1,0)+IF(CR1644="D",1,0)+IF(CS1644="D",1,0)+IF(CW1644="D",1,0)+IF(CX1644="D",1,0)+IF(DD1644="D",1,0)+IF(DE1644="D",1,0)+IF(DJ1644="D",1,0)+IF(DK1644="D",1,0)+IF(DO1644="D",1,0)+IF(DP1644="D",1,0)+IF(DQ1644="D",1,0)+IF(DW1644="D",1,0)+IF(DZ1644="D",1,0)+IF(EH1644="D",1,0)</f>
        <v>0</v>
      </c>
      <c r="AY1644" s="0" t="n">
        <f aca="false">COUNTIF(DU1644:EH1644, "&lt;&gt;")</f>
        <v>0</v>
      </c>
      <c r="AZ1644" s="0" t="n">
        <f aca="false">IF(EH1644&lt;&gt;"",1,0)</f>
        <v>0</v>
      </c>
      <c r="BB1644" s="0" t="s">
        <v>152</v>
      </c>
    </row>
    <row r="1645" customFormat="false" ht="13.8" hidden="false" customHeight="false" outlineLevel="0" collapsed="false">
      <c r="A1645" s="0" t="s">
        <v>7470</v>
      </c>
      <c r="B1645" s="0" t="n">
        <v>78</v>
      </c>
      <c r="C1645" s="0" t="n">
        <v>459425</v>
      </c>
      <c r="D1645" s="0" t="s">
        <v>7471</v>
      </c>
      <c r="E1645" s="0" t="s">
        <v>658</v>
      </c>
      <c r="F1645" s="0" t="str">
        <f aca="false">CONCATENATE(D1645," ",LEFT(H1645,4),"T=",AU1645,"D=",AV1645,"R=",AW1645,"M=",AX1645,"L=",AY1645,"B=",AZ1645)</f>
        <v>MANCINI T=10D=3R=0M=0L=2B=0</v>
      </c>
      <c r="G1645" s="0" t="s">
        <v>7472</v>
      </c>
      <c r="I1645" s="0" t="s">
        <v>7473</v>
      </c>
      <c r="J1645" s="0" t="s">
        <v>7474</v>
      </c>
      <c r="K1645" s="0" t="s">
        <v>160</v>
      </c>
      <c r="M1645" s="0" t="s">
        <v>7475</v>
      </c>
      <c r="N1645" s="0" t="str">
        <f aca="false">RIGHT(M1645,LEN(M1645)-FIND(" ",M1645))</f>
        <v>NILES RD SE</v>
      </c>
      <c r="P1645" s="0" t="s">
        <v>145</v>
      </c>
      <c r="Q1645" s="0" t="s">
        <v>146</v>
      </c>
      <c r="R1645" s="0" t="n">
        <v>44484</v>
      </c>
      <c r="AD1645" s="0" t="s">
        <v>147</v>
      </c>
      <c r="AE1645" s="0" t="s">
        <v>148</v>
      </c>
      <c r="AF1645" s="0" t="s">
        <v>149</v>
      </c>
      <c r="AH1645" s="0" t="n">
        <v>14</v>
      </c>
      <c r="AI1645" s="0" t="n">
        <v>11</v>
      </c>
      <c r="AN1645" s="0" t="s">
        <v>145</v>
      </c>
      <c r="AO1645" s="0" t="s">
        <v>233</v>
      </c>
      <c r="AP1645" s="0" t="s">
        <v>234</v>
      </c>
      <c r="AQ1645" s="0" t="n">
        <v>9</v>
      </c>
      <c r="AR1645" s="0" t="n">
        <v>64</v>
      </c>
      <c r="AS1645" s="0" t="n">
        <v>32</v>
      </c>
      <c r="AU1645" s="0" t="n">
        <f aca="false">COUNTA($BA$2146:$EH$2146)</f>
        <v>10</v>
      </c>
      <c r="AV1645" s="0" t="n">
        <f aca="false">COUNTIF($BA$2146:$EH$2146,"D")</f>
        <v>3</v>
      </c>
      <c r="AW1645" s="0" t="n">
        <f aca="false">COUNTIF($BA$2146:$EH$2146,"R")</f>
        <v>0</v>
      </c>
      <c r="AX1645" s="0" t="n">
        <f aca="false">IF(BN1645="D",1,0)+IF(BO1645="D",1,0)+IF(BT1645="D",1,0)+IF(BU1645="D",1,0)+IF(BW1645="D",1,0)+IF(CC1645="D",1,0)+IF(CD1645="D",1,0)+IF(CE1645="D",1,0)+IF(CF1645="D",1,0)+IF(CL1645="D",1,0)+IF(CM1645="D",1,0)+IF(CQ1645="D",1,0)+IF(CR1645="D",1,0)+IF(CS1645="D",1,0)+IF(CW1645="D",1,0)+IF(CX1645="D",1,0)+IF(DD1645="D",1,0)+IF(DE1645="D",1,0)+IF(DJ1645="D",1,0)+IF(DK1645="D",1,0)+IF(DO1645="D",1,0)+IF(DP1645="D",1,0)+IF(DQ1645="D",1,0)+IF(DW1645="D",1,0)+IF(DZ1645="D",1,0)+IF(EH1645="D",1,0)</f>
        <v>0</v>
      </c>
      <c r="AY1645" s="0" t="n">
        <f aca="false">COUNTIF(DU1645:EH1645, "&lt;&gt;")</f>
        <v>2</v>
      </c>
      <c r="AZ1645" s="0" t="n">
        <f aca="false">IF(EH1645&lt;&gt;"",1,0)</f>
        <v>0</v>
      </c>
      <c r="BB1645" s="0" t="s">
        <v>152</v>
      </c>
      <c r="EA1645" s="0" t="s">
        <v>153</v>
      </c>
      <c r="EF1645" s="0" t="s">
        <v>153</v>
      </c>
    </row>
    <row r="1646" customFormat="false" ht="13.8" hidden="false" customHeight="false" outlineLevel="0" collapsed="false">
      <c r="A1646" s="0" t="s">
        <v>7476</v>
      </c>
      <c r="B1646" s="0" t="n">
        <v>78</v>
      </c>
      <c r="C1646" s="0" t="n">
        <v>269022</v>
      </c>
      <c r="D1646" s="0" t="s">
        <v>7471</v>
      </c>
      <c r="E1646" s="0" t="s">
        <v>274</v>
      </c>
      <c r="F1646" s="0" t="str">
        <f aca="false">CONCATENATE(D1646," ",LEFT(H1646,4),"T=",AU1646,"D=",AV1646,"R=",AW1646,"M=",AX1646,"L=",AY1646,"B=",AZ1646)</f>
        <v>MANCINI JRT=10D=1R=0M=0L=3B=0</v>
      </c>
      <c r="H1646" s="0" t="s">
        <v>314</v>
      </c>
      <c r="I1646" s="0" t="s">
        <v>7477</v>
      </c>
      <c r="J1646" s="0" t="s">
        <v>7478</v>
      </c>
      <c r="K1646" s="0" t="s">
        <v>160</v>
      </c>
      <c r="M1646" s="0" t="s">
        <v>7475</v>
      </c>
      <c r="N1646" s="0" t="str">
        <f aca="false">RIGHT(M1646,LEN(M1646)-FIND(" ",M1646))</f>
        <v>NILES RD SE</v>
      </c>
      <c r="P1646" s="0" t="s">
        <v>145</v>
      </c>
      <c r="Q1646" s="0" t="s">
        <v>146</v>
      </c>
      <c r="R1646" s="0" t="n">
        <v>44484</v>
      </c>
      <c r="AD1646" s="0" t="s">
        <v>147</v>
      </c>
      <c r="AE1646" s="0" t="s">
        <v>148</v>
      </c>
      <c r="AF1646" s="0" t="s">
        <v>149</v>
      </c>
      <c r="AH1646" s="0" t="n">
        <v>14</v>
      </c>
      <c r="AI1646" s="0" t="n">
        <v>11</v>
      </c>
      <c r="AN1646" s="0" t="s">
        <v>145</v>
      </c>
      <c r="AO1646" s="0" t="s">
        <v>233</v>
      </c>
      <c r="AP1646" s="0" t="s">
        <v>234</v>
      </c>
      <c r="AQ1646" s="0" t="n">
        <v>9</v>
      </c>
      <c r="AR1646" s="0" t="n">
        <v>64</v>
      </c>
      <c r="AS1646" s="0" t="n">
        <v>32</v>
      </c>
      <c r="AU1646" s="0" t="n">
        <f aca="false">COUNTA($BA$2424:$EH$2424)</f>
        <v>10</v>
      </c>
      <c r="AV1646" s="0" t="n">
        <f aca="false">COUNTIF($BA$2424:$EH$2424,"D")</f>
        <v>1</v>
      </c>
      <c r="AW1646" s="0" t="n">
        <f aca="false">COUNTIF($BA$2424:$EH$2424,"R")</f>
        <v>0</v>
      </c>
      <c r="AX1646" s="0" t="n">
        <f aca="false">IF(BN1646="D",1,0)+IF(BO1646="D",1,0)+IF(BT1646="D",1,0)+IF(BU1646="D",1,0)+IF(BW1646="D",1,0)+IF(CC1646="D",1,0)+IF(CD1646="D",1,0)+IF(CE1646="D",1,0)+IF(CF1646="D",1,0)+IF(CL1646="D",1,0)+IF(CM1646="D",1,0)+IF(CQ1646="D",1,0)+IF(CR1646="D",1,0)+IF(CS1646="D",1,0)+IF(CW1646="D",1,0)+IF(CX1646="D",1,0)+IF(DD1646="D",1,0)+IF(DE1646="D",1,0)+IF(DJ1646="D",1,0)+IF(DK1646="D",1,0)+IF(DO1646="D",1,0)+IF(DP1646="D",1,0)+IF(DQ1646="D",1,0)+IF(DW1646="D",1,0)+IF(DZ1646="D",1,0)+IF(EH1646="D",1,0)</f>
        <v>0</v>
      </c>
      <c r="AY1646" s="0" t="n">
        <f aca="false">COUNTIF(DU1646:EH1646, "&lt;&gt;")</f>
        <v>3</v>
      </c>
      <c r="AZ1646" s="0" t="n">
        <f aca="false">IF(EH1646&lt;&gt;"",1,0)</f>
        <v>0</v>
      </c>
      <c r="BB1646" s="0" t="s">
        <v>152</v>
      </c>
      <c r="BD1646" s="0" t="s">
        <v>153</v>
      </c>
      <c r="BK1646" s="0" t="s">
        <v>153</v>
      </c>
      <c r="BL1646" s="0" t="s">
        <v>153</v>
      </c>
      <c r="CN1646" s="0" t="s">
        <v>153</v>
      </c>
      <c r="CP1646" s="0" t="s">
        <v>153</v>
      </c>
      <c r="CZ1646" s="0" t="s">
        <v>175</v>
      </c>
      <c r="DI1646" s="0" t="s">
        <v>153</v>
      </c>
      <c r="DN1646" s="0" t="s">
        <v>153</v>
      </c>
      <c r="DU1646" s="0" t="s">
        <v>153</v>
      </c>
      <c r="EA1646" s="0" t="s">
        <v>153</v>
      </c>
      <c r="EF1646" s="0" t="s">
        <v>153</v>
      </c>
    </row>
    <row r="1647" customFormat="false" ht="13.8" hidden="false" customHeight="false" outlineLevel="0" collapsed="false">
      <c r="A1647" s="0" t="s">
        <v>7479</v>
      </c>
      <c r="B1647" s="0" t="n">
        <v>78</v>
      </c>
      <c r="C1647" s="0" t="n">
        <v>88258</v>
      </c>
      <c r="D1647" s="0" t="s">
        <v>7471</v>
      </c>
      <c r="E1647" s="0" t="s">
        <v>367</v>
      </c>
      <c r="F1647" s="0" t="str">
        <f aca="false">CONCATENATE(D1647," ",LEFT(H1647,4),"T=",AU1647,"D=",AV1647,"R=",AW1647,"M=",AX1647,"L=",AY1647,"B=",AZ1647)</f>
        <v>MANCINI T=1D=0R=0M=0L=2B=0</v>
      </c>
      <c r="G1647" s="0" t="s">
        <v>190</v>
      </c>
      <c r="I1647" s="0" t="s">
        <v>7480</v>
      </c>
      <c r="J1647" s="0" t="s">
        <v>1374</v>
      </c>
      <c r="K1647" s="0" t="s">
        <v>160</v>
      </c>
      <c r="M1647" s="0" t="s">
        <v>7475</v>
      </c>
      <c r="N1647" s="0" t="str">
        <f aca="false">RIGHT(M1647,LEN(M1647)-FIND(" ",M1647))</f>
        <v>NILES RD SE</v>
      </c>
      <c r="P1647" s="0" t="s">
        <v>145</v>
      </c>
      <c r="Q1647" s="0" t="s">
        <v>146</v>
      </c>
      <c r="R1647" s="0" t="n">
        <v>44484</v>
      </c>
      <c r="AD1647" s="0" t="s">
        <v>147</v>
      </c>
      <c r="AE1647" s="0" t="s">
        <v>148</v>
      </c>
      <c r="AF1647" s="0" t="s">
        <v>149</v>
      </c>
      <c r="AH1647" s="0" t="n">
        <v>14</v>
      </c>
      <c r="AI1647" s="0" t="n">
        <v>11</v>
      </c>
      <c r="AN1647" s="0" t="s">
        <v>145</v>
      </c>
      <c r="AO1647" s="0" t="s">
        <v>233</v>
      </c>
      <c r="AP1647" s="0" t="s">
        <v>234</v>
      </c>
      <c r="AQ1647" s="0" t="n">
        <v>9</v>
      </c>
      <c r="AR1647" s="0" t="n">
        <v>64</v>
      </c>
      <c r="AS1647" s="0" t="n">
        <v>32</v>
      </c>
      <c r="AU1647" s="0" t="n">
        <f aca="false">COUNTA($BA$2467:$EH$2467)</f>
        <v>1</v>
      </c>
      <c r="AV1647" s="0" t="n">
        <f aca="false">COUNTIF($BA$2467:$EH$2467,"D")</f>
        <v>0</v>
      </c>
      <c r="AW1647" s="0" t="n">
        <f aca="false">COUNTIF($BA$2467:$EH$2467,"R")</f>
        <v>0</v>
      </c>
      <c r="AX1647" s="0" t="n">
        <f aca="false">IF(BN1647="D",1,0)+IF(BO1647="D",1,0)+IF(BT1647="D",1,0)+IF(BU1647="D",1,0)+IF(BW1647="D",1,0)+IF(CC1647="D",1,0)+IF(CD1647="D",1,0)+IF(CE1647="D",1,0)+IF(CF1647="D",1,0)+IF(CL1647="D",1,0)+IF(CM1647="D",1,0)+IF(CQ1647="D",1,0)+IF(CR1647="D",1,0)+IF(CS1647="D",1,0)+IF(CW1647="D",1,0)+IF(CX1647="D",1,0)+IF(DD1647="D",1,0)+IF(DE1647="D",1,0)+IF(DJ1647="D",1,0)+IF(DK1647="D",1,0)+IF(DO1647="D",1,0)+IF(DP1647="D",1,0)+IF(DQ1647="D",1,0)+IF(DW1647="D",1,0)+IF(DZ1647="D",1,0)+IF(EH1647="D",1,0)</f>
        <v>0</v>
      </c>
      <c r="AY1647" s="0" t="n">
        <f aca="false">COUNTIF(DU1647:EH1647, "&lt;&gt;")</f>
        <v>2</v>
      </c>
      <c r="AZ1647" s="0" t="n">
        <f aca="false">IF(EH1647&lt;&gt;"",1,0)</f>
        <v>0</v>
      </c>
      <c r="BB1647" s="0" t="s">
        <v>152</v>
      </c>
      <c r="BD1647" s="0" t="s">
        <v>153</v>
      </c>
      <c r="BH1647" s="0" t="s">
        <v>153</v>
      </c>
      <c r="BK1647" s="0" t="s">
        <v>153</v>
      </c>
      <c r="BL1647" s="0" t="s">
        <v>153</v>
      </c>
      <c r="BP1647" s="0" t="s">
        <v>153</v>
      </c>
      <c r="BR1647" s="0" t="s">
        <v>153</v>
      </c>
      <c r="BY1647" s="0" t="s">
        <v>175</v>
      </c>
      <c r="CA1647" s="0" t="s">
        <v>153</v>
      </c>
      <c r="CG1647" s="0" t="s">
        <v>153</v>
      </c>
      <c r="CK1647" s="0" t="s">
        <v>153</v>
      </c>
      <c r="CN1647" s="0" t="s">
        <v>153</v>
      </c>
      <c r="CP1647" s="0" t="s">
        <v>153</v>
      </c>
      <c r="CY1647" s="0" t="s">
        <v>153</v>
      </c>
      <c r="CZ1647" s="0" t="s">
        <v>175</v>
      </c>
      <c r="DC1647" s="0" t="s">
        <v>153</v>
      </c>
      <c r="DF1647" s="0" t="s">
        <v>153</v>
      </c>
      <c r="DG1647" s="0" t="s">
        <v>175</v>
      </c>
      <c r="DI1647" s="0" t="s">
        <v>153</v>
      </c>
      <c r="DN1647" s="0" t="s">
        <v>153</v>
      </c>
      <c r="EA1647" s="0" t="s">
        <v>153</v>
      </c>
      <c r="EF1647" s="0" t="s">
        <v>153</v>
      </c>
    </row>
    <row r="1648" customFormat="false" ht="13.8" hidden="true" customHeight="false" outlineLevel="0" collapsed="false">
      <c r="A1648" s="0" t="s">
        <v>7481</v>
      </c>
      <c r="B1648" s="0" t="n">
        <v>78</v>
      </c>
      <c r="C1648" s="0" t="n">
        <v>387649</v>
      </c>
      <c r="D1648" s="0" t="s">
        <v>7482</v>
      </c>
      <c r="E1648" s="0" t="s">
        <v>2214</v>
      </c>
      <c r="F1648" s="0" t="str">
        <f aca="false">CONCATENATE(D1648," ",LEFT(H1648,4),"T=",AU1648,"D=",AV1648,"R=",AW1648,"M=",AX1648,"L=",AY1648,"B=",AZ1648)</f>
        <v>CELEDONIA T=3D=0R=0M=0L=0B=0</v>
      </c>
      <c r="G1648" s="0" t="s">
        <v>164</v>
      </c>
      <c r="I1648" s="0" t="s">
        <v>7483</v>
      </c>
      <c r="J1648" s="0" t="s">
        <v>2230</v>
      </c>
      <c r="K1648" s="0" t="s">
        <v>160</v>
      </c>
      <c r="M1648" s="0" t="s">
        <v>7484</v>
      </c>
      <c r="N1648" s="0" t="str">
        <f aca="false">RIGHT(M1648,LEN(M1648)-FIND(" ",M1648))</f>
        <v>NILES RD SE</v>
      </c>
      <c r="P1648" s="0" t="s">
        <v>145</v>
      </c>
      <c r="Q1648" s="0" t="s">
        <v>146</v>
      </c>
      <c r="R1648" s="0" t="n">
        <v>44484</v>
      </c>
      <c r="AD1648" s="0" t="s">
        <v>147</v>
      </c>
      <c r="AE1648" s="0" t="s">
        <v>148</v>
      </c>
      <c r="AF1648" s="0" t="s">
        <v>149</v>
      </c>
      <c r="AH1648" s="0" t="n">
        <v>14</v>
      </c>
      <c r="AI1648" s="0" t="n">
        <v>11</v>
      </c>
      <c r="AN1648" s="0" t="s">
        <v>145</v>
      </c>
      <c r="AO1648" s="0" t="s">
        <v>233</v>
      </c>
      <c r="AP1648" s="0" t="s">
        <v>234</v>
      </c>
      <c r="AQ1648" s="0" t="n">
        <v>9</v>
      </c>
      <c r="AR1648" s="0" t="n">
        <v>64</v>
      </c>
      <c r="AS1648" s="0" t="n">
        <v>32</v>
      </c>
      <c r="AU1648" s="0" t="n">
        <f aca="false">COUNTA($BA$2341:$EH$2341)</f>
        <v>3</v>
      </c>
      <c r="AV1648" s="0" t="n">
        <f aca="false">COUNTIF($BA$2341:$EH$2341,"D")</f>
        <v>0</v>
      </c>
      <c r="AW1648" s="0" t="n">
        <f aca="false">COUNTIF($BA$2341:$EH$2341,"R")</f>
        <v>0</v>
      </c>
      <c r="AX1648" s="0" t="n">
        <f aca="false">IF(BN1648="D",1,0)+IF(BO1648="D",1,0)+IF(BT1648="D",1,0)+IF(BU1648="D",1,0)+IF(BW1648="D",1,0)+IF(CC1648="D",1,0)+IF(CD1648="D",1,0)+IF(CE1648="D",1,0)+IF(CF1648="D",1,0)+IF(CL1648="D",1,0)+IF(CM1648="D",1,0)+IF(CQ1648="D",1,0)+IF(CR1648="D",1,0)+IF(CS1648="D",1,0)+IF(CW1648="D",1,0)+IF(CX1648="D",1,0)+IF(DD1648="D",1,0)+IF(DE1648="D",1,0)+IF(DJ1648="D",1,0)+IF(DK1648="D",1,0)+IF(DO1648="D",1,0)+IF(DP1648="D",1,0)+IF(DQ1648="D",1,0)+IF(DW1648="D",1,0)+IF(DZ1648="D",1,0)+IF(EH1648="D",1,0)</f>
        <v>0</v>
      </c>
      <c r="AY1648" s="0" t="n">
        <f aca="false">COUNTIF(DU1648:EH1648, "&lt;&gt;")</f>
        <v>0</v>
      </c>
      <c r="AZ1648" s="0" t="n">
        <f aca="false">IF(EH1648&lt;&gt;"",1,0)</f>
        <v>0</v>
      </c>
      <c r="BB1648" s="0" t="s">
        <v>152</v>
      </c>
    </row>
    <row r="1649" customFormat="false" ht="13.8" hidden="false" customHeight="false" outlineLevel="0" collapsed="false">
      <c r="A1649" s="0" t="s">
        <v>7485</v>
      </c>
      <c r="B1649" s="0" t="n">
        <v>78</v>
      </c>
      <c r="C1649" s="0" t="n">
        <v>273270</v>
      </c>
      <c r="D1649" s="0" t="s">
        <v>1041</v>
      </c>
      <c r="E1649" s="0" t="s">
        <v>275</v>
      </c>
      <c r="F1649" s="0" t="str">
        <f aca="false">CONCATENATE(D1649," ",LEFT(H1649,4),"T=",AU1649,"D=",AV1649,"R=",AW1649,"M=",AX1649,"L=",AY1649,"B=",AZ1649)</f>
        <v>JONES T=3D=0R=0M=0L=2B=0</v>
      </c>
      <c r="G1649" s="0" t="s">
        <v>195</v>
      </c>
      <c r="I1649" s="0" t="s">
        <v>7486</v>
      </c>
      <c r="J1649" s="0" t="s">
        <v>1447</v>
      </c>
      <c r="K1649" s="0" t="s">
        <v>160</v>
      </c>
      <c r="M1649" s="0" t="s">
        <v>7484</v>
      </c>
      <c r="N1649" s="0" t="str">
        <f aca="false">RIGHT(M1649,LEN(M1649)-FIND(" ",M1649))</f>
        <v>NILES RD SE</v>
      </c>
      <c r="P1649" s="0" t="s">
        <v>145</v>
      </c>
      <c r="Q1649" s="0" t="s">
        <v>146</v>
      </c>
      <c r="R1649" s="0" t="n">
        <v>44484</v>
      </c>
      <c r="AD1649" s="0" t="s">
        <v>147</v>
      </c>
      <c r="AE1649" s="0" t="s">
        <v>148</v>
      </c>
      <c r="AF1649" s="0" t="s">
        <v>149</v>
      </c>
      <c r="AH1649" s="0" t="n">
        <v>14</v>
      </c>
      <c r="AI1649" s="0" t="n">
        <v>11</v>
      </c>
      <c r="AN1649" s="0" t="s">
        <v>145</v>
      </c>
      <c r="AO1649" s="0" t="s">
        <v>233</v>
      </c>
      <c r="AP1649" s="0" t="s">
        <v>234</v>
      </c>
      <c r="AQ1649" s="0" t="n">
        <v>9</v>
      </c>
      <c r="AR1649" s="0" t="n">
        <v>64</v>
      </c>
      <c r="AS1649" s="0" t="n">
        <v>32</v>
      </c>
      <c r="AU1649" s="0" t="n">
        <f aca="false">COUNTA($BA$2431:$EH$2431)</f>
        <v>3</v>
      </c>
      <c r="AV1649" s="0" t="n">
        <f aca="false">COUNTIF($BA$2431:$EH$2431,"D")</f>
        <v>0</v>
      </c>
      <c r="AW1649" s="0" t="n">
        <f aca="false">COUNTIF($BA$2431:$EH$2431,"R")</f>
        <v>0</v>
      </c>
      <c r="AX1649" s="0" t="n">
        <f aca="false">IF(BN1649="D",1,0)+IF(BO1649="D",1,0)+IF(BT1649="D",1,0)+IF(BU1649="D",1,0)+IF(BW1649="D",1,0)+IF(CC1649="D",1,0)+IF(CD1649="D",1,0)+IF(CE1649="D",1,0)+IF(CF1649="D",1,0)+IF(CL1649="D",1,0)+IF(CM1649="D",1,0)+IF(CQ1649="D",1,0)+IF(CR1649="D",1,0)+IF(CS1649="D",1,0)+IF(CW1649="D",1,0)+IF(CX1649="D",1,0)+IF(DD1649="D",1,0)+IF(DE1649="D",1,0)+IF(DJ1649="D",1,0)+IF(DK1649="D",1,0)+IF(DO1649="D",1,0)+IF(DP1649="D",1,0)+IF(DQ1649="D",1,0)+IF(DW1649="D",1,0)+IF(DZ1649="D",1,0)+IF(EH1649="D",1,0)</f>
        <v>0</v>
      </c>
      <c r="AY1649" s="0" t="n">
        <f aca="false">COUNTIF(DU1649:EH1649, "&lt;&gt;")</f>
        <v>2</v>
      </c>
      <c r="AZ1649" s="0" t="n">
        <f aca="false">IF(EH1649&lt;&gt;"",1,0)</f>
        <v>0</v>
      </c>
      <c r="BB1649" s="0" t="s">
        <v>152</v>
      </c>
      <c r="BD1649" s="0" t="s">
        <v>153</v>
      </c>
      <c r="BE1649" s="0" t="s">
        <v>153</v>
      </c>
      <c r="BH1649" s="0" t="s">
        <v>153</v>
      </c>
      <c r="BJ1649" s="0" t="s">
        <v>153</v>
      </c>
      <c r="BL1649" s="0" t="s">
        <v>153</v>
      </c>
      <c r="BS1649" s="0" t="s">
        <v>153</v>
      </c>
      <c r="BY1649" s="0" t="s">
        <v>175</v>
      </c>
      <c r="CA1649" s="0" t="s">
        <v>153</v>
      </c>
      <c r="CG1649" s="0" t="s">
        <v>153</v>
      </c>
      <c r="CK1649" s="0" t="s">
        <v>153</v>
      </c>
      <c r="CN1649" s="0" t="s">
        <v>153</v>
      </c>
      <c r="CP1649" s="0" t="s">
        <v>153</v>
      </c>
      <c r="CV1649" s="0" t="s">
        <v>153</v>
      </c>
      <c r="CY1649" s="0" t="s">
        <v>153</v>
      </c>
      <c r="DC1649" s="0" t="s">
        <v>153</v>
      </c>
      <c r="DI1649" s="0" t="s">
        <v>153</v>
      </c>
      <c r="DN1649" s="0" t="s">
        <v>153</v>
      </c>
      <c r="DU1649" s="0" t="s">
        <v>153</v>
      </c>
      <c r="EF1649" s="0" t="s">
        <v>153</v>
      </c>
    </row>
    <row r="1650" customFormat="false" ht="13.8" hidden="false" customHeight="false" outlineLevel="0" collapsed="false">
      <c r="A1650" s="0" t="s">
        <v>7487</v>
      </c>
      <c r="B1650" s="0" t="n">
        <v>78</v>
      </c>
      <c r="C1650" s="0" t="n">
        <v>158152</v>
      </c>
      <c r="D1650" s="0" t="s">
        <v>1041</v>
      </c>
      <c r="E1650" s="0" t="s">
        <v>1722</v>
      </c>
      <c r="F1650" s="0" t="str">
        <f aca="false">CONCATENATE(D1650," ",LEFT(H1650,4),"T=",AU1650,"D=",AV1650,"R=",AW1650,"M=",AX1650,"L=",AY1650,"B=",AZ1650)</f>
        <v>JONES T=1D=0R=0M=0L=2B=0</v>
      </c>
      <c r="G1650" s="0" t="s">
        <v>307</v>
      </c>
      <c r="I1650" s="0" t="s">
        <v>7488</v>
      </c>
      <c r="J1650" s="0" t="s">
        <v>244</v>
      </c>
      <c r="K1650" s="0" t="s">
        <v>160</v>
      </c>
      <c r="M1650" s="0" t="s">
        <v>7484</v>
      </c>
      <c r="N1650" s="0" t="str">
        <f aca="false">RIGHT(M1650,LEN(M1650)-FIND(" ",M1650))</f>
        <v>NILES RD SE</v>
      </c>
      <c r="P1650" s="0" t="s">
        <v>145</v>
      </c>
      <c r="Q1650" s="0" t="s">
        <v>146</v>
      </c>
      <c r="R1650" s="0" t="n">
        <v>44484</v>
      </c>
      <c r="AD1650" s="0" t="s">
        <v>147</v>
      </c>
      <c r="AE1650" s="0" t="s">
        <v>148</v>
      </c>
      <c r="AF1650" s="0" t="s">
        <v>149</v>
      </c>
      <c r="AH1650" s="0" t="n">
        <v>14</v>
      </c>
      <c r="AI1650" s="0" t="n">
        <v>11</v>
      </c>
      <c r="AN1650" s="0" t="s">
        <v>145</v>
      </c>
      <c r="AO1650" s="0" t="s">
        <v>233</v>
      </c>
      <c r="AP1650" s="0" t="s">
        <v>234</v>
      </c>
      <c r="AQ1650" s="0" t="n">
        <v>9</v>
      </c>
      <c r="AR1650" s="0" t="n">
        <v>64</v>
      </c>
      <c r="AS1650" s="0" t="n">
        <v>32</v>
      </c>
      <c r="AU1650" s="0" t="n">
        <f aca="false">COUNTA($BA$2445:$EH$2445)</f>
        <v>1</v>
      </c>
      <c r="AV1650" s="0" t="n">
        <f aca="false">COUNTIF($BA$2445:$EH$2445,"D")</f>
        <v>0</v>
      </c>
      <c r="AW1650" s="0" t="n">
        <f aca="false">COUNTIF($BA$2445:$EH$2445,"R")</f>
        <v>0</v>
      </c>
      <c r="AX1650" s="0" t="n">
        <f aca="false">IF(BN1650="D",1,0)+IF(BO1650="D",1,0)+IF(BT1650="D",1,0)+IF(BU1650="D",1,0)+IF(BW1650="D",1,0)+IF(CC1650="D",1,0)+IF(CD1650="D",1,0)+IF(CE1650="D",1,0)+IF(CF1650="D",1,0)+IF(CL1650="D",1,0)+IF(CM1650="D",1,0)+IF(CQ1650="D",1,0)+IF(CR1650="D",1,0)+IF(CS1650="D",1,0)+IF(CW1650="D",1,0)+IF(CX1650="D",1,0)+IF(DD1650="D",1,0)+IF(DE1650="D",1,0)+IF(DJ1650="D",1,0)+IF(DK1650="D",1,0)+IF(DO1650="D",1,0)+IF(DP1650="D",1,0)+IF(DQ1650="D",1,0)+IF(DW1650="D",1,0)+IF(DZ1650="D",1,0)+IF(EH1650="D",1,0)</f>
        <v>0</v>
      </c>
      <c r="AY1650" s="0" t="n">
        <f aca="false">COUNTIF(DU1650:EH1650, "&lt;&gt;")</f>
        <v>2</v>
      </c>
      <c r="AZ1650" s="0" t="n">
        <f aca="false">IF(EH1650&lt;&gt;"",1,0)</f>
        <v>0</v>
      </c>
      <c r="BB1650" s="0" t="s">
        <v>152</v>
      </c>
      <c r="BC1650" s="0" t="s">
        <v>153</v>
      </c>
      <c r="BD1650" s="0" t="s">
        <v>153</v>
      </c>
      <c r="BE1650" s="0" t="s">
        <v>153</v>
      </c>
      <c r="BH1650" s="0" t="s">
        <v>153</v>
      </c>
      <c r="BK1650" s="0" t="s">
        <v>153</v>
      </c>
      <c r="BL1650" s="0" t="s">
        <v>153</v>
      </c>
      <c r="BS1650" s="0" t="s">
        <v>153</v>
      </c>
      <c r="BY1650" s="0" t="s">
        <v>175</v>
      </c>
      <c r="CA1650" s="0" t="s">
        <v>153</v>
      </c>
      <c r="CG1650" s="0" t="s">
        <v>153</v>
      </c>
      <c r="CK1650" s="0" t="s">
        <v>153</v>
      </c>
      <c r="CN1650" s="0" t="s">
        <v>153</v>
      </c>
      <c r="CP1650" s="0" t="s">
        <v>153</v>
      </c>
      <c r="CV1650" s="0" t="s">
        <v>153</v>
      </c>
      <c r="DC1650" s="0" t="s">
        <v>153</v>
      </c>
      <c r="DI1650" s="0" t="s">
        <v>153</v>
      </c>
      <c r="DN1650" s="0" t="s">
        <v>153</v>
      </c>
      <c r="DU1650" s="0" t="s">
        <v>153</v>
      </c>
      <c r="EF1650" s="0" t="s">
        <v>153</v>
      </c>
    </row>
    <row r="1651" customFormat="false" ht="13.8" hidden="true" customHeight="false" outlineLevel="0" collapsed="false">
      <c r="A1651" s="0" t="s">
        <v>7489</v>
      </c>
      <c r="B1651" s="0" t="n">
        <v>78</v>
      </c>
      <c r="C1651" s="0" t="n">
        <v>284471</v>
      </c>
      <c r="D1651" s="0" t="s">
        <v>1041</v>
      </c>
      <c r="E1651" s="0" t="s">
        <v>905</v>
      </c>
      <c r="F1651" s="0" t="str">
        <f aca="false">CONCATENATE(D1651," ",LEFT(H1651,4),"T=",AU1651,"D=",AV1651,"R=",AW1651,"M=",AX1651,"L=",AY1651,"B=",AZ1651)</f>
        <v>JONES T=1D=0R=0M=0L=0B=0</v>
      </c>
      <c r="G1651" s="0" t="s">
        <v>164</v>
      </c>
      <c r="I1651" s="0" t="s">
        <v>7490</v>
      </c>
      <c r="J1651" s="0" t="s">
        <v>7491</v>
      </c>
      <c r="K1651" s="0" t="s">
        <v>160</v>
      </c>
      <c r="M1651" s="0" t="s">
        <v>7484</v>
      </c>
      <c r="N1651" s="0" t="str">
        <f aca="false">RIGHT(M1651,LEN(M1651)-FIND(" ",M1651))</f>
        <v>NILES RD SE</v>
      </c>
      <c r="P1651" s="0" t="s">
        <v>145</v>
      </c>
      <c r="Q1651" s="0" t="s">
        <v>146</v>
      </c>
      <c r="R1651" s="0" t="n">
        <v>44484</v>
      </c>
      <c r="AD1651" s="0" t="s">
        <v>147</v>
      </c>
      <c r="AE1651" s="0" t="s">
        <v>148</v>
      </c>
      <c r="AF1651" s="0" t="s">
        <v>149</v>
      </c>
      <c r="AH1651" s="0" t="n">
        <v>14</v>
      </c>
      <c r="AI1651" s="0" t="n">
        <v>11</v>
      </c>
      <c r="AN1651" s="0" t="s">
        <v>145</v>
      </c>
      <c r="AO1651" s="0" t="s">
        <v>233</v>
      </c>
      <c r="AP1651" s="0" t="s">
        <v>234</v>
      </c>
      <c r="AQ1651" s="0" t="n">
        <v>9</v>
      </c>
      <c r="AR1651" s="0" t="n">
        <v>64</v>
      </c>
      <c r="AS1651" s="0" t="n">
        <v>32</v>
      </c>
      <c r="AU1651" s="0" t="n">
        <f aca="false">COUNTA($BA$2670:$EH$2670)</f>
        <v>1</v>
      </c>
      <c r="AV1651" s="0" t="n">
        <f aca="false">COUNTIF($BA$2670:$EH$2670,"D")</f>
        <v>0</v>
      </c>
      <c r="AW1651" s="0" t="n">
        <f aca="false">COUNTIF($BA$2670:$EH$2670,"R")</f>
        <v>0</v>
      </c>
      <c r="AX1651" s="0" t="n">
        <f aca="false">IF(BN1651="D",1,0)+IF(BO1651="D",1,0)+IF(BT1651="D",1,0)+IF(BU1651="D",1,0)+IF(BW1651="D",1,0)+IF(CC1651="D",1,0)+IF(CD1651="D",1,0)+IF(CE1651="D",1,0)+IF(CF1651="D",1,0)+IF(CL1651="D",1,0)+IF(CM1651="D",1,0)+IF(CQ1651="D",1,0)+IF(CR1651="D",1,0)+IF(CS1651="D",1,0)+IF(CW1651="D",1,0)+IF(CX1651="D",1,0)+IF(DD1651="D",1,0)+IF(DE1651="D",1,0)+IF(DJ1651="D",1,0)+IF(DK1651="D",1,0)+IF(DO1651="D",1,0)+IF(DP1651="D",1,0)+IF(DQ1651="D",1,0)+IF(DW1651="D",1,0)+IF(DZ1651="D",1,0)+IF(EH1651="D",1,0)</f>
        <v>0</v>
      </c>
      <c r="AY1651" s="0" t="n">
        <f aca="false">COUNTIF(DU1651:EH1651, "&lt;&gt;")</f>
        <v>0</v>
      </c>
      <c r="AZ1651" s="0" t="n">
        <f aca="false">IF(EH1651&lt;&gt;"",1,0)</f>
        <v>0</v>
      </c>
      <c r="BB1651" s="0" t="s">
        <v>152</v>
      </c>
      <c r="BE1651" s="0" t="s">
        <v>153</v>
      </c>
      <c r="CY1651" s="0" t="s">
        <v>153</v>
      </c>
    </row>
    <row r="1652" customFormat="false" ht="13.8" hidden="false" customHeight="false" outlineLevel="0" collapsed="false">
      <c r="A1652" s="0" t="s">
        <v>7492</v>
      </c>
      <c r="B1652" s="0" t="n">
        <v>78</v>
      </c>
      <c r="C1652" s="0" t="n">
        <v>407888</v>
      </c>
      <c r="D1652" s="0" t="s">
        <v>7493</v>
      </c>
      <c r="E1652" s="0" t="s">
        <v>481</v>
      </c>
      <c r="F1652" s="0" t="str">
        <f aca="false">CONCATENATE(D1652," ",LEFT(H1652,4),"T=",AU1652,"D=",AV1652,"R=",AW1652,"M=",AX1652,"L=",AY1652,"B=",AZ1652)</f>
        <v>BLOUNT T=1D=0R=0M=0L=2B=0</v>
      </c>
      <c r="G1652" s="0" t="s">
        <v>670</v>
      </c>
      <c r="I1652" s="0" t="s">
        <v>7494</v>
      </c>
      <c r="J1652" s="0" t="s">
        <v>7495</v>
      </c>
      <c r="K1652" s="0" t="s">
        <v>160</v>
      </c>
      <c r="M1652" s="0" t="s">
        <v>7496</v>
      </c>
      <c r="N1652" s="0" t="str">
        <f aca="false">RIGHT(M1652,LEN(M1652)-FIND(" ",M1652))</f>
        <v>NILES RD SE</v>
      </c>
      <c r="P1652" s="0" t="s">
        <v>145</v>
      </c>
      <c r="Q1652" s="0" t="s">
        <v>146</v>
      </c>
      <c r="R1652" s="0" t="n">
        <v>44484</v>
      </c>
      <c r="AD1652" s="0" t="s">
        <v>147</v>
      </c>
      <c r="AE1652" s="0" t="s">
        <v>148</v>
      </c>
      <c r="AF1652" s="0" t="s">
        <v>149</v>
      </c>
      <c r="AH1652" s="0" t="n">
        <v>14</v>
      </c>
      <c r="AI1652" s="0" t="n">
        <v>11</v>
      </c>
      <c r="AN1652" s="0" t="s">
        <v>145</v>
      </c>
      <c r="AO1652" s="0" t="s">
        <v>233</v>
      </c>
      <c r="AP1652" s="0" t="s">
        <v>234</v>
      </c>
      <c r="AQ1652" s="0" t="n">
        <v>9</v>
      </c>
      <c r="AR1652" s="0" t="n">
        <v>64</v>
      </c>
      <c r="AS1652" s="0" t="n">
        <v>32</v>
      </c>
      <c r="AU1652" s="0" t="n">
        <f aca="false">COUNTA($BA$2644:$EH$2644)</f>
        <v>1</v>
      </c>
      <c r="AV1652" s="0" t="n">
        <f aca="false">COUNTIF($BA$2644:$EH$2644,"D")</f>
        <v>0</v>
      </c>
      <c r="AW1652" s="0" t="n">
        <f aca="false">COUNTIF($BA$2644:$EH$2644,"R")</f>
        <v>0</v>
      </c>
      <c r="AX1652" s="0" t="n">
        <f aca="false">IF(BN1652="D",1,0)+IF(BO1652="D",1,0)+IF(BT1652="D",1,0)+IF(BU1652="D",1,0)+IF(BW1652="D",1,0)+IF(CC1652="D",1,0)+IF(CD1652="D",1,0)+IF(CE1652="D",1,0)+IF(CF1652="D",1,0)+IF(CL1652="D",1,0)+IF(CM1652="D",1,0)+IF(CQ1652="D",1,0)+IF(CR1652="D",1,0)+IF(CS1652="D",1,0)+IF(CW1652="D",1,0)+IF(CX1652="D",1,0)+IF(DD1652="D",1,0)+IF(DE1652="D",1,0)+IF(DJ1652="D",1,0)+IF(DK1652="D",1,0)+IF(DO1652="D",1,0)+IF(DP1652="D",1,0)+IF(DQ1652="D",1,0)+IF(DW1652="D",1,0)+IF(DZ1652="D",1,0)+IF(EH1652="D",1,0)</f>
        <v>0</v>
      </c>
      <c r="AY1652" s="0" t="n">
        <f aca="false">COUNTIF(DU1652:EH1652, "&lt;&gt;")</f>
        <v>2</v>
      </c>
      <c r="AZ1652" s="0" t="n">
        <f aca="false">IF(EH1652&lt;&gt;"",1,0)</f>
        <v>0</v>
      </c>
      <c r="BB1652" s="0" t="s">
        <v>152</v>
      </c>
      <c r="DC1652" s="0" t="s">
        <v>153</v>
      </c>
      <c r="EA1652" s="0" t="s">
        <v>153</v>
      </c>
      <c r="EF1652" s="0" t="s">
        <v>153</v>
      </c>
    </row>
    <row r="1653" customFormat="false" ht="13.8" hidden="true" customHeight="false" outlineLevel="0" collapsed="false">
      <c r="A1653" s="0" t="s">
        <v>7497</v>
      </c>
      <c r="B1653" s="0" t="n">
        <v>78</v>
      </c>
      <c r="C1653" s="0" t="n">
        <v>409583</v>
      </c>
      <c r="D1653" s="0" t="s">
        <v>7493</v>
      </c>
      <c r="E1653" s="0" t="s">
        <v>7498</v>
      </c>
      <c r="F1653" s="0" t="str">
        <f aca="false">CONCATENATE(D1653," ",LEFT(H1653,4),"T=",AU1653,"D=",AV1653,"R=",AW1653,"M=",AX1653,"L=",AY1653,"B=",AZ1653)</f>
        <v>BLOUNT T=2D=0R=0M=0L=1B=0</v>
      </c>
      <c r="G1653" s="0" t="s">
        <v>7499</v>
      </c>
      <c r="I1653" s="0" t="s">
        <v>7500</v>
      </c>
      <c r="J1653" s="0" t="s">
        <v>7132</v>
      </c>
      <c r="K1653" s="0" t="s">
        <v>160</v>
      </c>
      <c r="M1653" s="0" t="s">
        <v>7496</v>
      </c>
      <c r="N1653" s="0" t="str">
        <f aca="false">RIGHT(M1653,LEN(M1653)-FIND(" ",M1653))</f>
        <v>NILES RD SE</v>
      </c>
      <c r="P1653" s="0" t="s">
        <v>145</v>
      </c>
      <c r="Q1653" s="0" t="s">
        <v>146</v>
      </c>
      <c r="R1653" s="0" t="n">
        <v>44484</v>
      </c>
      <c r="AD1653" s="0" t="s">
        <v>147</v>
      </c>
      <c r="AE1653" s="0" t="s">
        <v>148</v>
      </c>
      <c r="AF1653" s="0" t="s">
        <v>149</v>
      </c>
      <c r="AH1653" s="0" t="n">
        <v>14</v>
      </c>
      <c r="AI1653" s="0" t="n">
        <v>11</v>
      </c>
      <c r="AN1653" s="0" t="s">
        <v>145</v>
      </c>
      <c r="AO1653" s="0" t="s">
        <v>233</v>
      </c>
      <c r="AP1653" s="0" t="s">
        <v>234</v>
      </c>
      <c r="AQ1653" s="0" t="n">
        <v>9</v>
      </c>
      <c r="AR1653" s="0" t="n">
        <v>64</v>
      </c>
      <c r="AS1653" s="0" t="n">
        <v>32</v>
      </c>
      <c r="AU1653" s="0" t="n">
        <f aca="false">COUNTA($BA$2650:$EH$2650)</f>
        <v>2</v>
      </c>
      <c r="AV1653" s="0" t="n">
        <f aca="false">COUNTIF($BA$2650:$EH$2650,"D")</f>
        <v>0</v>
      </c>
      <c r="AW1653" s="0" t="n">
        <f aca="false">COUNTIF($BA$2650:$EH$2650,"R")</f>
        <v>0</v>
      </c>
      <c r="AX1653" s="0" t="n">
        <f aca="false">IF(BN1653="D",1,0)+IF(BO1653="D",1,0)+IF(BT1653="D",1,0)+IF(BU1653="D",1,0)+IF(BW1653="D",1,0)+IF(CC1653="D",1,0)+IF(CD1653="D",1,0)+IF(CE1653="D",1,0)+IF(CF1653="D",1,0)+IF(CL1653="D",1,0)+IF(CM1653="D",1,0)+IF(CQ1653="D",1,0)+IF(CR1653="D",1,0)+IF(CS1653="D",1,0)+IF(CW1653="D",1,0)+IF(CX1653="D",1,0)+IF(DD1653="D",1,0)+IF(DE1653="D",1,0)+IF(DJ1653="D",1,0)+IF(DK1653="D",1,0)+IF(DO1653="D",1,0)+IF(DP1653="D",1,0)+IF(DQ1653="D",1,0)+IF(DW1653="D",1,0)+IF(DZ1653="D",1,0)+IF(EH1653="D",1,0)</f>
        <v>0</v>
      </c>
      <c r="AY1653" s="0" t="n">
        <f aca="false">COUNTIF(DU1653:EH1653, "&lt;&gt;")</f>
        <v>1</v>
      </c>
      <c r="AZ1653" s="0" t="n">
        <f aca="false">IF(EH1653&lt;&gt;"",1,0)</f>
        <v>0</v>
      </c>
      <c r="BB1653" s="0" t="s">
        <v>152</v>
      </c>
      <c r="CY1653" s="0" t="s">
        <v>153</v>
      </c>
      <c r="EF1653" s="0" t="s">
        <v>153</v>
      </c>
    </row>
    <row r="1654" customFormat="false" ht="13.8" hidden="true" customHeight="false" outlineLevel="0" collapsed="false">
      <c r="A1654" s="0" t="s">
        <v>7501</v>
      </c>
      <c r="B1654" s="0" t="n">
        <v>78</v>
      </c>
      <c r="C1654" s="0" t="n">
        <v>297072</v>
      </c>
      <c r="D1654" s="0" t="s">
        <v>2826</v>
      </c>
      <c r="E1654" s="0" t="s">
        <v>1208</v>
      </c>
      <c r="F1654" s="0" t="str">
        <f aca="false">CONCATENATE(D1654," ",LEFT(H1654,4),"T=",AU1654,"D=",AV1654,"R=",AW1654,"M=",AX1654,"L=",AY1654,"B=",AZ1654)</f>
        <v>LAWRENCE T=39D=10R=1M=0L=0B=0</v>
      </c>
      <c r="G1654" s="0" t="s">
        <v>522</v>
      </c>
      <c r="I1654" s="0" t="s">
        <v>7502</v>
      </c>
      <c r="J1654" s="0" t="s">
        <v>7503</v>
      </c>
      <c r="K1654" s="0" t="s">
        <v>160</v>
      </c>
      <c r="M1654" s="0" t="s">
        <v>7504</v>
      </c>
      <c r="N1654" s="0" t="str">
        <f aca="false">RIGHT(M1654,LEN(M1654)-FIND(" ",M1654))</f>
        <v>NILES RD SE</v>
      </c>
      <c r="O1654" s="0" t="s">
        <v>2211</v>
      </c>
      <c r="P1654" s="0" t="s">
        <v>145</v>
      </c>
      <c r="Q1654" s="0" t="s">
        <v>146</v>
      </c>
      <c r="R1654" s="0" t="n">
        <v>44484</v>
      </c>
      <c r="AD1654" s="0" t="s">
        <v>147</v>
      </c>
      <c r="AE1654" s="0" t="s">
        <v>148</v>
      </c>
      <c r="AF1654" s="0" t="s">
        <v>149</v>
      </c>
      <c r="AH1654" s="0" t="n">
        <v>14</v>
      </c>
      <c r="AI1654" s="0" t="n">
        <v>11</v>
      </c>
      <c r="AN1654" s="0" t="s">
        <v>145</v>
      </c>
      <c r="AO1654" s="0" t="s">
        <v>233</v>
      </c>
      <c r="AP1654" s="0" t="s">
        <v>234</v>
      </c>
      <c r="AQ1654" s="0" t="n">
        <v>9</v>
      </c>
      <c r="AR1654" s="0" t="n">
        <v>64</v>
      </c>
      <c r="AS1654" s="0" t="n">
        <v>32</v>
      </c>
      <c r="AU1654" s="0" t="n">
        <f aca="false">COUNTA($BA$2294:$EH$2294)</f>
        <v>39</v>
      </c>
      <c r="AV1654" s="0" t="n">
        <f aca="false">COUNTIF($BA$2294:$EH$2294,"D")</f>
        <v>10</v>
      </c>
      <c r="AW1654" s="0" t="n">
        <f aca="false">COUNTIF($BA$2294:$EH$2294,"R")</f>
        <v>1</v>
      </c>
      <c r="AX1654" s="0" t="n">
        <f aca="false">IF(BN1654="D",1,0)+IF(BO1654="D",1,0)+IF(BT1654="D",1,0)+IF(BU1654="D",1,0)+IF(BW1654="D",1,0)+IF(CC1654="D",1,0)+IF(CD1654="D",1,0)+IF(CE1654="D",1,0)+IF(CF1654="D",1,0)+IF(CL1654="D",1,0)+IF(CM1654="D",1,0)+IF(CQ1654="D",1,0)+IF(CR1654="D",1,0)+IF(CS1654="D",1,0)+IF(CW1654="D",1,0)+IF(CX1654="D",1,0)+IF(DD1654="D",1,0)+IF(DE1654="D",1,0)+IF(DJ1654="D",1,0)+IF(DK1654="D",1,0)+IF(DO1654="D",1,0)+IF(DP1654="D",1,0)+IF(DQ1654="D",1,0)+IF(DW1654="D",1,0)+IF(DZ1654="D",1,0)+IF(EH1654="D",1,0)</f>
        <v>0</v>
      </c>
      <c r="AY1654" s="0" t="n">
        <f aca="false">COUNTIF(DU1654:EH1654, "&lt;&gt;")</f>
        <v>0</v>
      </c>
      <c r="AZ1654" s="0" t="n">
        <f aca="false">IF(EH1654&lt;&gt;"",1,0)</f>
        <v>0</v>
      </c>
      <c r="BB1654" s="0" t="s">
        <v>152</v>
      </c>
      <c r="BL1654" s="0" t="s">
        <v>153</v>
      </c>
      <c r="BP1654" s="0" t="s">
        <v>153</v>
      </c>
      <c r="BY1654" s="0" t="s">
        <v>175</v>
      </c>
      <c r="CA1654" s="0" t="s">
        <v>153</v>
      </c>
      <c r="CP1654" s="0" t="s">
        <v>153</v>
      </c>
    </row>
    <row r="1655" customFormat="false" ht="13.8" hidden="true" customHeight="false" outlineLevel="0" collapsed="false">
      <c r="A1655" s="0" t="s">
        <v>7505</v>
      </c>
      <c r="B1655" s="0" t="n">
        <v>78</v>
      </c>
      <c r="C1655" s="0" t="n">
        <v>449166</v>
      </c>
      <c r="D1655" s="0" t="s">
        <v>2826</v>
      </c>
      <c r="E1655" s="0" t="s">
        <v>7506</v>
      </c>
      <c r="F1655" s="0" t="str">
        <f aca="false">CONCATENATE(D1655," ",LEFT(H1655,4),"T=",AU1655,"D=",AV1655,"R=",AW1655,"M=",AX1655,"L=",AY1655,"B=",AZ1655)</f>
        <v>LAWRENCE T=1D=0R=0M=0L=0B=0</v>
      </c>
      <c r="G1655" s="0" t="s">
        <v>7448</v>
      </c>
      <c r="I1655" s="0" t="s">
        <v>7507</v>
      </c>
      <c r="J1655" s="0" t="s">
        <v>4878</v>
      </c>
      <c r="K1655" s="0" t="s">
        <v>160</v>
      </c>
      <c r="M1655" s="0" t="s">
        <v>7504</v>
      </c>
      <c r="N1655" s="0" t="str">
        <f aca="false">RIGHT(M1655,LEN(M1655)-FIND(" ",M1655))</f>
        <v>NILES RD SE</v>
      </c>
      <c r="P1655" s="0" t="s">
        <v>145</v>
      </c>
      <c r="Q1655" s="0" t="s">
        <v>146</v>
      </c>
      <c r="R1655" s="0" t="n">
        <v>44484</v>
      </c>
      <c r="AD1655" s="0" t="s">
        <v>147</v>
      </c>
      <c r="AE1655" s="0" t="s">
        <v>148</v>
      </c>
      <c r="AF1655" s="0" t="s">
        <v>149</v>
      </c>
      <c r="AH1655" s="0" t="n">
        <v>14</v>
      </c>
      <c r="AI1655" s="0" t="n">
        <v>11</v>
      </c>
      <c r="AN1655" s="0" t="s">
        <v>145</v>
      </c>
      <c r="AO1655" s="0" t="s">
        <v>233</v>
      </c>
      <c r="AP1655" s="0" t="s">
        <v>234</v>
      </c>
      <c r="AQ1655" s="0" t="n">
        <v>9</v>
      </c>
      <c r="AR1655" s="0" t="n">
        <v>64</v>
      </c>
      <c r="AS1655" s="0" t="n">
        <v>32</v>
      </c>
      <c r="AU1655" s="0" t="n">
        <f aca="false">COUNTA($BA$2318:$EH$2318)</f>
        <v>1</v>
      </c>
      <c r="AV1655" s="0" t="n">
        <f aca="false">COUNTIF($BA$2318:$EH$2318,"D")</f>
        <v>0</v>
      </c>
      <c r="AW1655" s="0" t="n">
        <f aca="false">COUNTIF($BA$2318:$EH$2318,"R")</f>
        <v>0</v>
      </c>
      <c r="AX1655" s="0" t="n">
        <f aca="false">IF(BN1655="D",1,0)+IF(BO1655="D",1,0)+IF(BT1655="D",1,0)+IF(BU1655="D",1,0)+IF(BW1655="D",1,0)+IF(CC1655="D",1,0)+IF(CD1655="D",1,0)+IF(CE1655="D",1,0)+IF(CF1655="D",1,0)+IF(CL1655="D",1,0)+IF(CM1655="D",1,0)+IF(CQ1655="D",1,0)+IF(CR1655="D",1,0)+IF(CS1655="D",1,0)+IF(CW1655="D",1,0)+IF(CX1655="D",1,0)+IF(DD1655="D",1,0)+IF(DE1655="D",1,0)+IF(DJ1655="D",1,0)+IF(DK1655="D",1,0)+IF(DO1655="D",1,0)+IF(DP1655="D",1,0)+IF(DQ1655="D",1,0)+IF(DW1655="D",1,0)+IF(DZ1655="D",1,0)+IF(EH1655="D",1,0)</f>
        <v>0</v>
      </c>
      <c r="AY1655" s="0" t="n">
        <f aca="false">COUNTIF(DU1655:EH1655, "&lt;&gt;")</f>
        <v>0</v>
      </c>
      <c r="AZ1655" s="0" t="n">
        <f aca="false">IF(EH1655&lt;&gt;"",1,0)</f>
        <v>0</v>
      </c>
      <c r="BB1655" s="0" t="s">
        <v>152</v>
      </c>
      <c r="CA1655" s="0" t="s">
        <v>153</v>
      </c>
    </row>
    <row r="1656" customFormat="false" ht="13.8" hidden="true" customHeight="false" outlineLevel="0" collapsed="false">
      <c r="A1656" s="0" t="s">
        <v>7508</v>
      </c>
      <c r="B1656" s="0" t="n">
        <v>78</v>
      </c>
      <c r="C1656" s="0" t="n">
        <v>392247</v>
      </c>
      <c r="D1656" s="0" t="s">
        <v>7493</v>
      </c>
      <c r="E1656" s="0" t="s">
        <v>379</v>
      </c>
      <c r="F1656" s="0" t="str">
        <f aca="false">CONCATENATE(D1656," ",LEFT(H1656,4),"T=",AU1656,"D=",AV1656,"R=",AW1656,"M=",AX1656,"L=",AY1656,"B=",AZ1656)</f>
        <v>BLOUNT T=4D=0R=0M=0L=0B=0</v>
      </c>
      <c r="G1656" s="0" t="s">
        <v>202</v>
      </c>
      <c r="I1656" s="0" t="s">
        <v>2124</v>
      </c>
      <c r="J1656" s="0" t="s">
        <v>7509</v>
      </c>
      <c r="K1656" s="0" t="s">
        <v>143</v>
      </c>
      <c r="M1656" s="0" t="s">
        <v>7510</v>
      </c>
      <c r="N1656" s="0" t="str">
        <f aca="false">RIGHT(M1656,LEN(M1656)-FIND(" ",M1656))</f>
        <v>NILES RD SE</v>
      </c>
      <c r="P1656" s="0" t="s">
        <v>145</v>
      </c>
      <c r="Q1656" s="0" t="s">
        <v>146</v>
      </c>
      <c r="R1656" s="0" t="n">
        <v>44484</v>
      </c>
      <c r="AD1656" s="0" t="s">
        <v>147</v>
      </c>
      <c r="AE1656" s="0" t="s">
        <v>148</v>
      </c>
      <c r="AF1656" s="0" t="s">
        <v>149</v>
      </c>
      <c r="AH1656" s="0" t="n">
        <v>14</v>
      </c>
      <c r="AI1656" s="0" t="n">
        <v>11</v>
      </c>
      <c r="AN1656" s="0" t="s">
        <v>145</v>
      </c>
      <c r="AO1656" s="0" t="s">
        <v>233</v>
      </c>
      <c r="AP1656" s="0" t="s">
        <v>234</v>
      </c>
      <c r="AQ1656" s="0" t="n">
        <v>9</v>
      </c>
      <c r="AR1656" s="0" t="n">
        <v>64</v>
      </c>
      <c r="AS1656" s="0" t="n">
        <v>32</v>
      </c>
      <c r="AU1656" s="0" t="n">
        <f aca="false">COUNTA($BA$2124:$EH$2124)</f>
        <v>4</v>
      </c>
      <c r="AV1656" s="0" t="n">
        <f aca="false">COUNTIF($BA$2124:$EH$2124,"D")</f>
        <v>0</v>
      </c>
      <c r="AW1656" s="0" t="n">
        <f aca="false">COUNTIF($BA$2124:$EH$2124,"R")</f>
        <v>0</v>
      </c>
      <c r="AX1656" s="0" t="n">
        <f aca="false">IF(BN1656="D",1,0)+IF(BO1656="D",1,0)+IF(BT1656="D",1,0)+IF(BU1656="D",1,0)+IF(BW1656="D",1,0)+IF(CC1656="D",1,0)+IF(CD1656="D",1,0)+IF(CE1656="D",1,0)+IF(CF1656="D",1,0)+IF(CL1656="D",1,0)+IF(CM1656="D",1,0)+IF(CQ1656="D",1,0)+IF(CR1656="D",1,0)+IF(CS1656="D",1,0)+IF(CW1656="D",1,0)+IF(CX1656="D",1,0)+IF(DD1656="D",1,0)+IF(DE1656="D",1,0)+IF(DJ1656="D",1,0)+IF(DK1656="D",1,0)+IF(DO1656="D",1,0)+IF(DP1656="D",1,0)+IF(DQ1656="D",1,0)+IF(DW1656="D",1,0)+IF(DZ1656="D",1,0)+IF(EH1656="D",1,0)</f>
        <v>0</v>
      </c>
      <c r="AY1656" s="0" t="n">
        <f aca="false">COUNTIF(DU1656:EH1656, "&lt;&gt;")</f>
        <v>0</v>
      </c>
      <c r="AZ1656" s="0" t="n">
        <f aca="false">IF(EH1656&lt;&gt;"",1,0)</f>
        <v>0</v>
      </c>
      <c r="BB1656" s="0" t="s">
        <v>152</v>
      </c>
      <c r="CP1656" s="0" t="s">
        <v>153</v>
      </c>
    </row>
    <row r="1657" customFormat="false" ht="13.8" hidden="true" customHeight="false" outlineLevel="0" collapsed="false">
      <c r="A1657" s="0" t="s">
        <v>7511</v>
      </c>
      <c r="B1657" s="0" t="n">
        <v>78</v>
      </c>
      <c r="C1657" s="0" t="n">
        <v>436626</v>
      </c>
      <c r="D1657" s="0" t="s">
        <v>2826</v>
      </c>
      <c r="E1657" s="0" t="s">
        <v>7512</v>
      </c>
      <c r="F1657" s="0" t="str">
        <f aca="false">CONCATENATE(D1657," ",LEFT(H1657,4),"T=",AU1657,"D=",AV1657,"R=",AW1657,"M=",AX1657,"L=",AY1657,"B=",AZ1657)</f>
        <v>LAWRENCE T=2D=0R=0M=0L=0B=0</v>
      </c>
      <c r="G1657" s="0" t="s">
        <v>307</v>
      </c>
      <c r="I1657" s="0" t="s">
        <v>7513</v>
      </c>
      <c r="J1657" s="0" t="s">
        <v>7514</v>
      </c>
      <c r="K1657" s="0" t="s">
        <v>143</v>
      </c>
      <c r="M1657" s="0" t="s">
        <v>7510</v>
      </c>
      <c r="N1657" s="0" t="str">
        <f aca="false">RIGHT(M1657,LEN(M1657)-FIND(" ",M1657))</f>
        <v>NILES RD SE</v>
      </c>
      <c r="P1657" s="0" t="s">
        <v>145</v>
      </c>
      <c r="Q1657" s="0" t="s">
        <v>146</v>
      </c>
      <c r="R1657" s="0" t="n">
        <v>44484</v>
      </c>
      <c r="AD1657" s="0" t="s">
        <v>147</v>
      </c>
      <c r="AE1657" s="0" t="s">
        <v>148</v>
      </c>
      <c r="AF1657" s="0" t="s">
        <v>149</v>
      </c>
      <c r="AH1657" s="0" t="n">
        <v>14</v>
      </c>
      <c r="AI1657" s="0" t="n">
        <v>11</v>
      </c>
      <c r="AN1657" s="0" t="s">
        <v>145</v>
      </c>
      <c r="AO1657" s="0" t="s">
        <v>233</v>
      </c>
      <c r="AP1657" s="0" t="s">
        <v>234</v>
      </c>
      <c r="AQ1657" s="0" t="n">
        <v>9</v>
      </c>
      <c r="AR1657" s="0" t="n">
        <v>64</v>
      </c>
      <c r="AS1657" s="0" t="n">
        <v>32</v>
      </c>
      <c r="AU1657" s="0" t="n">
        <f aca="false">COUNTA($BA$2249:$EH$2249)</f>
        <v>2</v>
      </c>
      <c r="AV1657" s="0" t="n">
        <f aca="false">COUNTIF($BA$2249:$EH$2249,"D")</f>
        <v>0</v>
      </c>
      <c r="AW1657" s="0" t="n">
        <f aca="false">COUNTIF($BA$2249:$EH$2249,"R")</f>
        <v>0</v>
      </c>
      <c r="AX1657" s="0" t="n">
        <f aca="false">IF(BN1657="D",1,0)+IF(BO1657="D",1,0)+IF(BT1657="D",1,0)+IF(BU1657="D",1,0)+IF(BW1657="D",1,0)+IF(CC1657="D",1,0)+IF(CD1657="D",1,0)+IF(CE1657="D",1,0)+IF(CF1657="D",1,0)+IF(CL1657="D",1,0)+IF(CM1657="D",1,0)+IF(CQ1657="D",1,0)+IF(CR1657="D",1,0)+IF(CS1657="D",1,0)+IF(CW1657="D",1,0)+IF(CX1657="D",1,0)+IF(DD1657="D",1,0)+IF(DE1657="D",1,0)+IF(DJ1657="D",1,0)+IF(DK1657="D",1,0)+IF(DO1657="D",1,0)+IF(DP1657="D",1,0)+IF(DQ1657="D",1,0)+IF(DW1657="D",1,0)+IF(DZ1657="D",1,0)+IF(EH1657="D",1,0)</f>
        <v>0</v>
      </c>
      <c r="AY1657" s="0" t="n">
        <f aca="false">COUNTIF(DU1657:EH1657, "&lt;&gt;")</f>
        <v>0</v>
      </c>
      <c r="AZ1657" s="0" t="n">
        <f aca="false">IF(EH1657&lt;&gt;"",1,0)</f>
        <v>0</v>
      </c>
      <c r="BB1657" s="0" t="s">
        <v>152</v>
      </c>
      <c r="CA1657" s="0" t="s">
        <v>153</v>
      </c>
      <c r="DN1657" s="0" t="s">
        <v>153</v>
      </c>
    </row>
    <row r="1658" customFormat="false" ht="13.8" hidden="true" customHeight="false" outlineLevel="0" collapsed="false">
      <c r="A1658" s="0" t="s">
        <v>7515</v>
      </c>
      <c r="B1658" s="0" t="n">
        <v>78</v>
      </c>
      <c r="C1658" s="0" t="n">
        <v>388852</v>
      </c>
      <c r="D1658" s="0" t="s">
        <v>7516</v>
      </c>
      <c r="E1658" s="0" t="s">
        <v>224</v>
      </c>
      <c r="F1658" s="0" t="str">
        <f aca="false">CONCATENATE(D1658," ",LEFT(H1658,4),"T=",AU1658,"D=",AV1658,"R=",AW1658,"M=",AX1658,"L=",AY1658,"B=",AZ1658)</f>
        <v>KIMBREW T=1D=0R=0M=0L=0B=0</v>
      </c>
      <c r="G1658" s="0" t="s">
        <v>325</v>
      </c>
      <c r="I1658" s="0" t="s">
        <v>7517</v>
      </c>
      <c r="J1658" s="0" t="s">
        <v>7518</v>
      </c>
      <c r="K1658" s="0" t="s">
        <v>143</v>
      </c>
      <c r="M1658" s="0" t="s">
        <v>7519</v>
      </c>
      <c r="N1658" s="0" t="str">
        <f aca="false">RIGHT(M1658,LEN(M1658)-FIND(" ",M1658))</f>
        <v>NILES RD SE</v>
      </c>
      <c r="P1658" s="0" t="s">
        <v>145</v>
      </c>
      <c r="Q1658" s="0" t="s">
        <v>146</v>
      </c>
      <c r="R1658" s="0" t="n">
        <v>44484</v>
      </c>
      <c r="AD1658" s="0" t="s">
        <v>147</v>
      </c>
      <c r="AE1658" s="0" t="s">
        <v>148</v>
      </c>
      <c r="AF1658" s="0" t="s">
        <v>149</v>
      </c>
      <c r="AH1658" s="0" t="n">
        <v>14</v>
      </c>
      <c r="AI1658" s="0" t="n">
        <v>11</v>
      </c>
      <c r="AN1658" s="0" t="s">
        <v>145</v>
      </c>
      <c r="AO1658" s="0" t="s">
        <v>233</v>
      </c>
      <c r="AP1658" s="0" t="s">
        <v>234</v>
      </c>
      <c r="AQ1658" s="0" t="n">
        <v>9</v>
      </c>
      <c r="AR1658" s="0" t="n">
        <v>64</v>
      </c>
      <c r="AS1658" s="0" t="n">
        <v>32</v>
      </c>
      <c r="AU1658" s="0" t="n">
        <f aca="false">COUNTA($BA$2141:$EH$2141)</f>
        <v>1</v>
      </c>
      <c r="AV1658" s="0" t="n">
        <f aca="false">COUNTIF($BA$2141:$EH$2141,"D")</f>
        <v>0</v>
      </c>
      <c r="AW1658" s="0" t="n">
        <f aca="false">COUNTIF($BA$2141:$EH$2141,"R")</f>
        <v>0</v>
      </c>
      <c r="AX1658" s="0" t="n">
        <f aca="false">IF(BN1658="D",1,0)+IF(BO1658="D",1,0)+IF(BT1658="D",1,0)+IF(BU1658="D",1,0)+IF(BW1658="D",1,0)+IF(CC1658="D",1,0)+IF(CD1658="D",1,0)+IF(CE1658="D",1,0)+IF(CF1658="D",1,0)+IF(CL1658="D",1,0)+IF(CM1658="D",1,0)+IF(CQ1658="D",1,0)+IF(CR1658="D",1,0)+IF(CS1658="D",1,0)+IF(CW1658="D",1,0)+IF(CX1658="D",1,0)+IF(DD1658="D",1,0)+IF(DE1658="D",1,0)+IF(DJ1658="D",1,0)+IF(DK1658="D",1,0)+IF(DO1658="D",1,0)+IF(DP1658="D",1,0)+IF(DQ1658="D",1,0)+IF(DW1658="D",1,0)+IF(DZ1658="D",1,0)+IF(EH1658="D",1,0)</f>
        <v>0</v>
      </c>
      <c r="AY1658" s="0" t="n">
        <f aca="false">COUNTIF(DU1658:EH1658, "&lt;&gt;")</f>
        <v>0</v>
      </c>
      <c r="AZ1658" s="0" t="n">
        <f aca="false">IF(EH1658&lt;&gt;"",1,0)</f>
        <v>0</v>
      </c>
      <c r="BB1658" s="0" t="s">
        <v>152</v>
      </c>
    </row>
    <row r="1659" customFormat="false" ht="13.8" hidden="true" customHeight="false" outlineLevel="0" collapsed="false">
      <c r="A1659" s="0" t="s">
        <v>7520</v>
      </c>
      <c r="B1659" s="0" t="n">
        <v>78</v>
      </c>
      <c r="C1659" s="0" t="n">
        <v>459495</v>
      </c>
      <c r="D1659" s="0" t="s">
        <v>7521</v>
      </c>
      <c r="E1659" s="0" t="s">
        <v>424</v>
      </c>
      <c r="F1659" s="0" t="str">
        <f aca="false">CONCATENATE(D1659," ",LEFT(H1659,4),"T=",AU1659,"D=",AV1659,"R=",AW1659,"M=",AX1659,"L=",AY1659,"B=",AZ1659)</f>
        <v>ORENIC T=1D=0R=0M=0L=0B=0</v>
      </c>
      <c r="G1659" s="0" t="s">
        <v>170</v>
      </c>
      <c r="I1659" s="0" t="s">
        <v>7522</v>
      </c>
      <c r="J1659" s="0" t="s">
        <v>7523</v>
      </c>
      <c r="K1659" s="0" t="s">
        <v>143</v>
      </c>
      <c r="M1659" s="0" t="s">
        <v>7519</v>
      </c>
      <c r="N1659" s="0" t="str">
        <f aca="false">RIGHT(M1659,LEN(M1659)-FIND(" ",M1659))</f>
        <v>NILES RD SE</v>
      </c>
      <c r="P1659" s="0" t="s">
        <v>145</v>
      </c>
      <c r="Q1659" s="0" t="s">
        <v>146</v>
      </c>
      <c r="R1659" s="0" t="n">
        <v>44484</v>
      </c>
      <c r="AD1659" s="0" t="s">
        <v>147</v>
      </c>
      <c r="AE1659" s="0" t="s">
        <v>148</v>
      </c>
      <c r="AF1659" s="0" t="s">
        <v>149</v>
      </c>
      <c r="AH1659" s="0" t="n">
        <v>14</v>
      </c>
      <c r="AI1659" s="0" t="n">
        <v>11</v>
      </c>
      <c r="AN1659" s="0" t="s">
        <v>145</v>
      </c>
      <c r="AO1659" s="0" t="s">
        <v>233</v>
      </c>
      <c r="AP1659" s="0" t="s">
        <v>234</v>
      </c>
      <c r="AQ1659" s="0" t="n">
        <v>9</v>
      </c>
      <c r="AR1659" s="0" t="n">
        <v>64</v>
      </c>
      <c r="AS1659" s="0" t="n">
        <v>32</v>
      </c>
      <c r="AU1659" s="0" t="n">
        <f aca="false">COUNTA($BA$2271:$EH$2271)</f>
        <v>1</v>
      </c>
      <c r="AV1659" s="0" t="n">
        <f aca="false">COUNTIF($BA$2271:$EH$2271,"D")</f>
        <v>0</v>
      </c>
      <c r="AW1659" s="0" t="n">
        <f aca="false">COUNTIF($BA$2271:$EH$2271,"R")</f>
        <v>0</v>
      </c>
      <c r="AX1659" s="0" t="n">
        <f aca="false">IF(BN1659="D",1,0)+IF(BO1659="D",1,0)+IF(BT1659="D",1,0)+IF(BU1659="D",1,0)+IF(BW1659="D",1,0)+IF(CC1659="D",1,0)+IF(CD1659="D",1,0)+IF(CE1659="D",1,0)+IF(CF1659="D",1,0)+IF(CL1659="D",1,0)+IF(CM1659="D",1,0)+IF(CQ1659="D",1,0)+IF(CR1659="D",1,0)+IF(CS1659="D",1,0)+IF(CW1659="D",1,0)+IF(CX1659="D",1,0)+IF(DD1659="D",1,0)+IF(DE1659="D",1,0)+IF(DJ1659="D",1,0)+IF(DK1659="D",1,0)+IF(DO1659="D",1,0)+IF(DP1659="D",1,0)+IF(DQ1659="D",1,0)+IF(DW1659="D",1,0)+IF(DZ1659="D",1,0)+IF(EH1659="D",1,0)</f>
        <v>0</v>
      </c>
      <c r="AY1659" s="0" t="n">
        <f aca="false">COUNTIF(DU1659:EH1659, "&lt;&gt;")</f>
        <v>0</v>
      </c>
      <c r="AZ1659" s="0" t="n">
        <f aca="false">IF(EH1659&lt;&gt;"",1,0)</f>
        <v>0</v>
      </c>
      <c r="BB1659" s="0" t="s">
        <v>152</v>
      </c>
      <c r="BS1659" s="0" t="s">
        <v>153</v>
      </c>
      <c r="BY1659" s="0" t="s">
        <v>209</v>
      </c>
      <c r="CA1659" s="0" t="s">
        <v>153</v>
      </c>
      <c r="DC1659" s="0" t="s">
        <v>153</v>
      </c>
    </row>
    <row r="1660" customFormat="false" ht="13.8" hidden="true" customHeight="false" outlineLevel="0" collapsed="false">
      <c r="A1660" s="0" t="s">
        <v>7524</v>
      </c>
      <c r="B1660" s="0" t="n">
        <v>78</v>
      </c>
      <c r="C1660" s="0" t="n">
        <v>352481</v>
      </c>
      <c r="D1660" s="0" t="s">
        <v>6806</v>
      </c>
      <c r="E1660" s="0" t="s">
        <v>558</v>
      </c>
      <c r="F1660" s="0" t="str">
        <f aca="false">CONCATENATE(D1660," ",LEFT(H1660,4),"T=",AU1660,"D=",AV1660,"R=",AW1660,"M=",AX1660,"L=",AY1660,"B=",AZ1660)</f>
        <v>STARKEY T=1D=0R=0M=0L=0B=0</v>
      </c>
      <c r="G1660" s="0" t="s">
        <v>325</v>
      </c>
      <c r="I1660" s="0" t="s">
        <v>6102</v>
      </c>
      <c r="J1660" s="0" t="s">
        <v>7525</v>
      </c>
      <c r="K1660" s="0" t="s">
        <v>143</v>
      </c>
      <c r="M1660" s="0" t="s">
        <v>7519</v>
      </c>
      <c r="N1660" s="0" t="str">
        <f aca="false">RIGHT(M1660,LEN(M1660)-FIND(" ",M1660))</f>
        <v>NILES RD SE</v>
      </c>
      <c r="P1660" s="0" t="s">
        <v>145</v>
      </c>
      <c r="Q1660" s="0" t="s">
        <v>146</v>
      </c>
      <c r="R1660" s="0" t="n">
        <v>44484</v>
      </c>
      <c r="AD1660" s="0" t="s">
        <v>147</v>
      </c>
      <c r="AE1660" s="0" t="s">
        <v>148</v>
      </c>
      <c r="AF1660" s="0" t="s">
        <v>149</v>
      </c>
      <c r="AH1660" s="0" t="n">
        <v>14</v>
      </c>
      <c r="AI1660" s="0" t="n">
        <v>11</v>
      </c>
      <c r="AN1660" s="0" t="s">
        <v>145</v>
      </c>
      <c r="AO1660" s="0" t="s">
        <v>233</v>
      </c>
      <c r="AP1660" s="0" t="s">
        <v>234</v>
      </c>
      <c r="AQ1660" s="0" t="n">
        <v>9</v>
      </c>
      <c r="AR1660" s="0" t="n">
        <v>64</v>
      </c>
      <c r="AS1660" s="0" t="n">
        <v>32</v>
      </c>
      <c r="AU1660" s="0" t="n">
        <f aca="false">COUNTA($BA$2678:$EH$2678)</f>
        <v>1</v>
      </c>
      <c r="AV1660" s="0" t="n">
        <f aca="false">COUNTIF($BA$2678:$EH$2678,"D")</f>
        <v>0</v>
      </c>
      <c r="AW1660" s="0" t="n">
        <f aca="false">COUNTIF($BA$2678:$EH$2678,"R")</f>
        <v>0</v>
      </c>
      <c r="AX1660" s="0" t="n">
        <f aca="false">IF(BN1660="D",1,0)+IF(BO1660="D",1,0)+IF(BT1660="D",1,0)+IF(BU1660="D",1,0)+IF(BW1660="D",1,0)+IF(CC1660="D",1,0)+IF(CD1660="D",1,0)+IF(CE1660="D",1,0)+IF(CF1660="D",1,0)+IF(CL1660="D",1,0)+IF(CM1660="D",1,0)+IF(CQ1660="D",1,0)+IF(CR1660="D",1,0)+IF(CS1660="D",1,0)+IF(CW1660="D",1,0)+IF(CX1660="D",1,0)+IF(DD1660="D",1,0)+IF(DE1660="D",1,0)+IF(DJ1660="D",1,0)+IF(DK1660="D",1,0)+IF(DO1660="D",1,0)+IF(DP1660="D",1,0)+IF(DQ1660="D",1,0)+IF(DW1660="D",1,0)+IF(DZ1660="D",1,0)+IF(EH1660="D",1,0)</f>
        <v>0</v>
      </c>
      <c r="AY1660" s="0" t="n">
        <f aca="false">COUNTIF(DU1660:EH1660, "&lt;&gt;")</f>
        <v>0</v>
      </c>
      <c r="AZ1660" s="0" t="n">
        <f aca="false">IF(EH1660&lt;&gt;"",1,0)</f>
        <v>0</v>
      </c>
      <c r="BB1660" s="0" t="s">
        <v>152</v>
      </c>
      <c r="BY1660" s="0" t="s">
        <v>209</v>
      </c>
      <c r="CA1660" s="0" t="s">
        <v>153</v>
      </c>
      <c r="CP1660" s="0" t="s">
        <v>153</v>
      </c>
    </row>
    <row r="1661" customFormat="false" ht="13.8" hidden="false" customHeight="false" outlineLevel="0" collapsed="false">
      <c r="A1661" s="0" t="s">
        <v>7526</v>
      </c>
      <c r="B1661" s="0" t="n">
        <v>78</v>
      </c>
      <c r="C1661" s="0" t="n">
        <v>136067</v>
      </c>
      <c r="D1661" s="0" t="s">
        <v>7527</v>
      </c>
      <c r="E1661" s="0" t="s">
        <v>818</v>
      </c>
      <c r="F1661" s="0" t="str">
        <f aca="false">CONCATENATE(D1661," ",LEFT(H1661,4),"T=",AU1661,"D=",AV1661,"R=",AW1661,"M=",AX1661,"L=",AY1661,"B=",AZ1661)</f>
        <v>BAIRD T=1D=0R=0M=6L=7B=1</v>
      </c>
      <c r="G1661" s="0" t="s">
        <v>195</v>
      </c>
      <c r="I1661" s="0" t="s">
        <v>7528</v>
      </c>
      <c r="J1661" s="0" t="s">
        <v>7529</v>
      </c>
      <c r="K1661" s="0" t="s">
        <v>160</v>
      </c>
      <c r="L1661" s="0" t="s">
        <v>175</v>
      </c>
      <c r="M1661" s="0" t="s">
        <v>7530</v>
      </c>
      <c r="N1661" s="0" t="str">
        <f aca="false">RIGHT(M1661,LEN(M1661)-FIND(" ",M1661))</f>
        <v>NILES RD SE</v>
      </c>
      <c r="P1661" s="0" t="s">
        <v>145</v>
      </c>
      <c r="Q1661" s="0" t="s">
        <v>146</v>
      </c>
      <c r="R1661" s="0" t="n">
        <v>44484</v>
      </c>
      <c r="AD1661" s="0" t="s">
        <v>147</v>
      </c>
      <c r="AE1661" s="0" t="s">
        <v>148</v>
      </c>
      <c r="AF1661" s="0" t="s">
        <v>149</v>
      </c>
      <c r="AH1661" s="0" t="n">
        <v>14</v>
      </c>
      <c r="AI1661" s="0" t="n">
        <v>11</v>
      </c>
      <c r="AN1661" s="0" t="s">
        <v>145</v>
      </c>
      <c r="AO1661" s="0" t="s">
        <v>233</v>
      </c>
      <c r="AP1661" s="0" t="s">
        <v>234</v>
      </c>
      <c r="AQ1661" s="0" t="n">
        <v>9</v>
      </c>
      <c r="AR1661" s="0" t="n">
        <v>64</v>
      </c>
      <c r="AS1661" s="0" t="n">
        <v>32</v>
      </c>
      <c r="AU1661" s="0" t="n">
        <f aca="false">COUNTA($BA$2425:$EH$2425)</f>
        <v>1</v>
      </c>
      <c r="AV1661" s="0" t="n">
        <f aca="false">COUNTIF($BA$2425:$EH$2425,"D")</f>
        <v>0</v>
      </c>
      <c r="AW1661" s="0" t="n">
        <f aca="false">COUNTIF($BA$2425:$EH$2425,"R")</f>
        <v>0</v>
      </c>
      <c r="AX1661" s="0" t="n">
        <f aca="false">IF(BN1661="D",1,0)+IF(BO1661="D",1,0)+IF(BT1661="D",1,0)+IF(BU1661="D",1,0)+IF(BW1661="D",1,0)+IF(CC1661="D",1,0)+IF(CD1661="D",1,0)+IF(CE1661="D",1,0)+IF(CF1661="D",1,0)+IF(CL1661="D",1,0)+IF(CM1661="D",1,0)+IF(CQ1661="D",1,0)+IF(CR1661="D",1,0)+IF(CS1661="D",1,0)+IF(CW1661="D",1,0)+IF(CX1661="D",1,0)+IF(DD1661="D",1,0)+IF(DE1661="D",1,0)+IF(DJ1661="D",1,0)+IF(DK1661="D",1,0)+IF(DO1661="D",1,0)+IF(DP1661="D",1,0)+IF(DQ1661="D",1,0)+IF(DW1661="D",1,0)+IF(DZ1661="D",1,0)+IF(EH1661="D",1,0)</f>
        <v>6</v>
      </c>
      <c r="AY1661" s="0" t="n">
        <f aca="false">COUNTIF(DU1661:EH1661, "&lt;&gt;")</f>
        <v>7</v>
      </c>
      <c r="AZ1661" s="0" t="n">
        <f aca="false">IF(EH1661&lt;&gt;"",1,0)</f>
        <v>1</v>
      </c>
      <c r="BB1661" s="0" t="s">
        <v>152</v>
      </c>
      <c r="BC1661" s="0" t="s">
        <v>153</v>
      </c>
      <c r="BD1661" s="0" t="s">
        <v>153</v>
      </c>
      <c r="BF1661" s="0" t="s">
        <v>153</v>
      </c>
      <c r="BG1661" s="0" t="s">
        <v>153</v>
      </c>
      <c r="BH1661" s="0" t="s">
        <v>153</v>
      </c>
      <c r="BJ1661" s="0" t="s">
        <v>153</v>
      </c>
      <c r="BK1661" s="0" t="s">
        <v>153</v>
      </c>
      <c r="BL1661" s="0" t="s">
        <v>153</v>
      </c>
      <c r="BP1661" s="0" t="s">
        <v>153</v>
      </c>
      <c r="BR1661" s="0" t="s">
        <v>153</v>
      </c>
      <c r="BS1661" s="0" t="s">
        <v>153</v>
      </c>
      <c r="BV1661" s="0" t="s">
        <v>153</v>
      </c>
      <c r="BY1661" s="0" t="s">
        <v>175</v>
      </c>
      <c r="CA1661" s="0" t="s">
        <v>153</v>
      </c>
      <c r="CG1661" s="0" t="s">
        <v>153</v>
      </c>
      <c r="CH1661" s="0" t="s">
        <v>175</v>
      </c>
      <c r="CK1661" s="0" t="s">
        <v>153</v>
      </c>
      <c r="CL1661" s="0" t="s">
        <v>175</v>
      </c>
      <c r="CN1661" s="0" t="s">
        <v>153</v>
      </c>
      <c r="CO1661" s="0" t="s">
        <v>175</v>
      </c>
      <c r="CP1661" s="0" t="s">
        <v>153</v>
      </c>
      <c r="CT1661" s="0" t="s">
        <v>153</v>
      </c>
      <c r="CU1661" s="0" t="s">
        <v>175</v>
      </c>
      <c r="CV1661" s="0" t="s">
        <v>153</v>
      </c>
      <c r="CW1661" s="0" t="s">
        <v>175</v>
      </c>
      <c r="CY1661" s="0" t="s">
        <v>153</v>
      </c>
      <c r="CZ1661" s="0" t="s">
        <v>209</v>
      </c>
      <c r="DC1661" s="0" t="s">
        <v>153</v>
      </c>
      <c r="DD1661" s="0" t="s">
        <v>175</v>
      </c>
      <c r="DF1661" s="0" t="s">
        <v>153</v>
      </c>
      <c r="DG1661" s="0" t="s">
        <v>175</v>
      </c>
      <c r="DI1661" s="0" t="s">
        <v>153</v>
      </c>
      <c r="DJ1661" s="0" t="s">
        <v>175</v>
      </c>
      <c r="DL1661" s="0" t="s">
        <v>153</v>
      </c>
      <c r="DM1661" s="0" t="s">
        <v>175</v>
      </c>
      <c r="DN1661" s="0" t="s">
        <v>153</v>
      </c>
      <c r="DS1661" s="0" t="s">
        <v>175</v>
      </c>
      <c r="DU1661" s="0" t="s">
        <v>153</v>
      </c>
      <c r="DW1661" s="0" t="s">
        <v>175</v>
      </c>
      <c r="DX1661" s="0" t="s">
        <v>153</v>
      </c>
      <c r="EA1661" s="0" t="s">
        <v>153</v>
      </c>
      <c r="ED1661" s="0" t="s">
        <v>175</v>
      </c>
      <c r="EF1661" s="0" t="s">
        <v>153</v>
      </c>
      <c r="EH1661" s="0" t="s">
        <v>175</v>
      </c>
    </row>
    <row r="1662" customFormat="false" ht="13.8" hidden="false" customHeight="false" outlineLevel="0" collapsed="false">
      <c r="A1662" s="0" t="s">
        <v>7531</v>
      </c>
      <c r="B1662" s="0" t="n">
        <v>78</v>
      </c>
      <c r="C1662" s="0" t="n">
        <v>142804</v>
      </c>
      <c r="D1662" s="0" t="s">
        <v>7527</v>
      </c>
      <c r="E1662" s="0" t="s">
        <v>7532</v>
      </c>
      <c r="F1662" s="0" t="str">
        <f aca="false">CONCATENATE(D1662," ",LEFT(H1662,4),"T=",AU1662,"D=",AV1662,"R=",AW1662,"M=",AX1662,"L=",AY1662,"B=",AZ1662)</f>
        <v>BAIRD T=3D=0R=0M=2L=7B=1</v>
      </c>
      <c r="I1662" s="0" t="s">
        <v>7533</v>
      </c>
      <c r="J1662" s="0" t="s">
        <v>7534</v>
      </c>
      <c r="K1662" s="0" t="s">
        <v>160</v>
      </c>
      <c r="L1662" s="0" t="s">
        <v>209</v>
      </c>
      <c r="M1662" s="0" t="s">
        <v>7530</v>
      </c>
      <c r="N1662" s="0" t="str">
        <f aca="false">RIGHT(M1662,LEN(M1662)-FIND(" ",M1662))</f>
        <v>NILES RD SE</v>
      </c>
      <c r="P1662" s="0" t="s">
        <v>145</v>
      </c>
      <c r="Q1662" s="0" t="s">
        <v>146</v>
      </c>
      <c r="R1662" s="0" t="n">
        <v>44484</v>
      </c>
      <c r="AD1662" s="0" t="s">
        <v>147</v>
      </c>
      <c r="AE1662" s="0" t="s">
        <v>148</v>
      </c>
      <c r="AF1662" s="0" t="s">
        <v>149</v>
      </c>
      <c r="AH1662" s="0" t="n">
        <v>14</v>
      </c>
      <c r="AI1662" s="0" t="n">
        <v>11</v>
      </c>
      <c r="AN1662" s="0" t="s">
        <v>145</v>
      </c>
      <c r="AO1662" s="0" t="s">
        <v>233</v>
      </c>
      <c r="AP1662" s="0" t="s">
        <v>234</v>
      </c>
      <c r="AQ1662" s="0" t="n">
        <v>9</v>
      </c>
      <c r="AR1662" s="0" t="n">
        <v>64</v>
      </c>
      <c r="AS1662" s="0" t="n">
        <v>32</v>
      </c>
      <c r="AU1662" s="0" t="n">
        <f aca="false">COUNTA($BA$2444:$EH$2444)</f>
        <v>3</v>
      </c>
      <c r="AV1662" s="0" t="n">
        <f aca="false">COUNTIF($BA$2444:$EH$2444,"D")</f>
        <v>0</v>
      </c>
      <c r="AW1662" s="0" t="n">
        <f aca="false">COUNTIF($BA$2444:$EH$2444,"R")</f>
        <v>0</v>
      </c>
      <c r="AX1662" s="0" t="n">
        <f aca="false">IF(BN1662="D",1,0)+IF(BO1662="D",1,0)+IF(BT1662="D",1,0)+IF(BU1662="D",1,0)+IF(BW1662="D",1,0)+IF(CC1662="D",1,0)+IF(CD1662="D",1,0)+IF(CE1662="D",1,0)+IF(CF1662="D",1,0)+IF(CL1662="D",1,0)+IF(CM1662="D",1,0)+IF(CQ1662="D",1,0)+IF(CR1662="D",1,0)+IF(CS1662="D",1,0)+IF(CW1662="D",1,0)+IF(CX1662="D",1,0)+IF(DD1662="D",1,0)+IF(DE1662="D",1,0)+IF(DJ1662="D",1,0)+IF(DK1662="D",1,0)+IF(DO1662="D",1,0)+IF(DP1662="D",1,0)+IF(DQ1662="D",1,0)+IF(DW1662="D",1,0)+IF(DZ1662="D",1,0)+IF(EH1662="D",1,0)</f>
        <v>2</v>
      </c>
      <c r="AY1662" s="0" t="n">
        <f aca="false">COUNTIF(DU1662:EH1662, "&lt;&gt;")</f>
        <v>7</v>
      </c>
      <c r="AZ1662" s="0" t="n">
        <f aca="false">IF(EH1662&lt;&gt;"",1,0)</f>
        <v>1</v>
      </c>
      <c r="BB1662" s="0" t="s">
        <v>152</v>
      </c>
      <c r="BC1662" s="0" t="s">
        <v>153</v>
      </c>
      <c r="BD1662" s="0" t="s">
        <v>153</v>
      </c>
      <c r="BG1662" s="0" t="s">
        <v>153</v>
      </c>
      <c r="BH1662" s="0" t="s">
        <v>153</v>
      </c>
      <c r="BJ1662" s="0" t="s">
        <v>153</v>
      </c>
      <c r="BK1662" s="0" t="s">
        <v>153</v>
      </c>
      <c r="BL1662" s="0" t="s">
        <v>153</v>
      </c>
      <c r="BP1662" s="0" t="s">
        <v>153</v>
      </c>
      <c r="BR1662" s="0" t="s">
        <v>153</v>
      </c>
      <c r="BS1662" s="0" t="s">
        <v>153</v>
      </c>
      <c r="BV1662" s="0" t="s">
        <v>153</v>
      </c>
      <c r="BY1662" s="0" t="s">
        <v>209</v>
      </c>
      <c r="CA1662" s="0" t="s">
        <v>153</v>
      </c>
      <c r="CG1662" s="0" t="s">
        <v>153</v>
      </c>
      <c r="CH1662" s="0" t="s">
        <v>209</v>
      </c>
      <c r="CK1662" s="0" t="s">
        <v>153</v>
      </c>
      <c r="CO1662" s="0" t="s">
        <v>209</v>
      </c>
      <c r="CP1662" s="0" t="s">
        <v>153</v>
      </c>
      <c r="CT1662" s="0" t="s">
        <v>153</v>
      </c>
      <c r="CV1662" s="0" t="s">
        <v>153</v>
      </c>
      <c r="CW1662" s="0" t="s">
        <v>175</v>
      </c>
      <c r="CY1662" s="0" t="s">
        <v>153</v>
      </c>
      <c r="CZ1662" s="0" t="s">
        <v>209</v>
      </c>
      <c r="DC1662" s="0" t="s">
        <v>153</v>
      </c>
      <c r="DF1662" s="0" t="s">
        <v>153</v>
      </c>
      <c r="DG1662" s="0" t="s">
        <v>209</v>
      </c>
      <c r="DI1662" s="0" t="s">
        <v>153</v>
      </c>
      <c r="DJ1662" s="0" t="s">
        <v>175</v>
      </c>
      <c r="DL1662" s="0" t="s">
        <v>153</v>
      </c>
      <c r="DN1662" s="0" t="s">
        <v>153</v>
      </c>
      <c r="DR1662" s="0" t="s">
        <v>153</v>
      </c>
      <c r="DS1662" s="0" t="s">
        <v>209</v>
      </c>
      <c r="DT1662" s="0" t="s">
        <v>209</v>
      </c>
      <c r="DU1662" s="0" t="s">
        <v>153</v>
      </c>
      <c r="DW1662" s="0" t="s">
        <v>153</v>
      </c>
      <c r="DX1662" s="0" t="s">
        <v>153</v>
      </c>
      <c r="EA1662" s="0" t="s">
        <v>153</v>
      </c>
      <c r="ED1662" s="0" t="s">
        <v>209</v>
      </c>
      <c r="EF1662" s="0" t="s">
        <v>153</v>
      </c>
      <c r="EH1662" s="0" t="s">
        <v>153</v>
      </c>
    </row>
    <row r="1663" customFormat="false" ht="13.8" hidden="false" customHeight="false" outlineLevel="0" collapsed="false">
      <c r="A1663" s="0" t="s">
        <v>7535</v>
      </c>
      <c r="B1663" s="0" t="n">
        <v>78</v>
      </c>
      <c r="C1663" s="0" t="n">
        <v>326360</v>
      </c>
      <c r="D1663" s="0" t="s">
        <v>7536</v>
      </c>
      <c r="E1663" s="0" t="s">
        <v>3984</v>
      </c>
      <c r="F1663" s="0" t="str">
        <f aca="false">CONCATENATE(D1663," ",LEFT(H1663,4),"T=",AU1663,"D=",AV1663,"R=",AW1663,"M=",AX1663,"L=",AY1663,"B=",AZ1663)</f>
        <v>WEDEL T=1D=0R=0M=0L=5B=0</v>
      </c>
      <c r="I1663" s="0" t="s">
        <v>7537</v>
      </c>
      <c r="J1663" s="0" t="s">
        <v>4338</v>
      </c>
      <c r="K1663" s="0" t="s">
        <v>160</v>
      </c>
      <c r="L1663" s="0" t="s">
        <v>175</v>
      </c>
      <c r="M1663" s="0" t="s">
        <v>7538</v>
      </c>
      <c r="N1663" s="0" t="str">
        <f aca="false">RIGHT(M1663,LEN(M1663)-FIND(" ",M1663))</f>
        <v>NILES RD SE</v>
      </c>
      <c r="P1663" s="0" t="s">
        <v>145</v>
      </c>
      <c r="Q1663" s="0" t="s">
        <v>146</v>
      </c>
      <c r="R1663" s="0" t="n">
        <v>44484</v>
      </c>
      <c r="AD1663" s="0" t="s">
        <v>147</v>
      </c>
      <c r="AE1663" s="0" t="s">
        <v>148</v>
      </c>
      <c r="AF1663" s="0" t="s">
        <v>149</v>
      </c>
      <c r="AH1663" s="0" t="n">
        <v>14</v>
      </c>
      <c r="AI1663" s="0" t="n">
        <v>11</v>
      </c>
      <c r="AN1663" s="0" t="s">
        <v>145</v>
      </c>
      <c r="AO1663" s="0" t="s">
        <v>233</v>
      </c>
      <c r="AP1663" s="0" t="s">
        <v>234</v>
      </c>
      <c r="AQ1663" s="0" t="n">
        <v>9</v>
      </c>
      <c r="AR1663" s="0" t="n">
        <v>64</v>
      </c>
      <c r="AS1663" s="0" t="n">
        <v>32</v>
      </c>
      <c r="AU1663" s="0" t="n">
        <f aca="false">COUNTA($BA$2426:$EH$2426)</f>
        <v>1</v>
      </c>
      <c r="AV1663" s="0" t="n">
        <f aca="false">COUNTIF($BA$2426:$EH$2426,"D")</f>
        <v>0</v>
      </c>
      <c r="AW1663" s="0" t="n">
        <f aca="false">COUNTIF($BA$2426:$EH$2426,"R")</f>
        <v>0</v>
      </c>
      <c r="AX1663" s="0" t="n">
        <f aca="false">IF(BN1663="D",1,0)+IF(BO1663="D",1,0)+IF(BT1663="D",1,0)+IF(BU1663="D",1,0)+IF(BW1663="D",1,0)+IF(CC1663="D",1,0)+IF(CD1663="D",1,0)+IF(CE1663="D",1,0)+IF(CF1663="D",1,0)+IF(CL1663="D",1,0)+IF(CM1663="D",1,0)+IF(CQ1663="D",1,0)+IF(CR1663="D",1,0)+IF(CS1663="D",1,0)+IF(CW1663="D",1,0)+IF(CX1663="D",1,0)+IF(DD1663="D",1,0)+IF(DE1663="D",1,0)+IF(DJ1663="D",1,0)+IF(DK1663="D",1,0)+IF(DO1663="D",1,0)+IF(DP1663="D",1,0)+IF(DQ1663="D",1,0)+IF(DW1663="D",1,0)+IF(DZ1663="D",1,0)+IF(EH1663="D",1,0)</f>
        <v>0</v>
      </c>
      <c r="AY1663" s="0" t="n">
        <f aca="false">COUNTIF(DU1663:EH1663, "&lt;&gt;")</f>
        <v>5</v>
      </c>
      <c r="AZ1663" s="0" t="n">
        <f aca="false">IF(EH1663&lt;&gt;"",1,0)</f>
        <v>0</v>
      </c>
      <c r="BB1663" s="0" t="s">
        <v>152</v>
      </c>
      <c r="BL1663" s="0" t="s">
        <v>153</v>
      </c>
      <c r="BS1663" s="0" t="s">
        <v>153</v>
      </c>
      <c r="CA1663" s="0" t="s">
        <v>153</v>
      </c>
      <c r="CK1663" s="0" t="s">
        <v>153</v>
      </c>
      <c r="CP1663" s="0" t="s">
        <v>153</v>
      </c>
      <c r="DC1663" s="0" t="s">
        <v>153</v>
      </c>
      <c r="DI1663" s="0" t="s">
        <v>153</v>
      </c>
      <c r="DM1663" s="0" t="s">
        <v>175</v>
      </c>
      <c r="DN1663" s="0" t="s">
        <v>153</v>
      </c>
      <c r="DR1663" s="0" t="s">
        <v>153</v>
      </c>
      <c r="DS1663" s="0" t="s">
        <v>175</v>
      </c>
      <c r="DT1663" s="0" t="s">
        <v>175</v>
      </c>
      <c r="DU1663" s="0" t="s">
        <v>153</v>
      </c>
      <c r="DX1663" s="0" t="s">
        <v>153</v>
      </c>
      <c r="EA1663" s="0" t="s">
        <v>153</v>
      </c>
      <c r="ED1663" s="0" t="s">
        <v>175</v>
      </c>
      <c r="EF1663" s="0" t="s">
        <v>153</v>
      </c>
    </row>
    <row r="1664" customFormat="false" ht="13.8" hidden="true" customHeight="false" outlineLevel="0" collapsed="false">
      <c r="A1664" s="0" t="s">
        <v>7539</v>
      </c>
      <c r="B1664" s="0" t="n">
        <v>78</v>
      </c>
      <c r="C1664" s="0" t="n">
        <v>410513</v>
      </c>
      <c r="D1664" s="0" t="s">
        <v>7540</v>
      </c>
      <c r="E1664" s="0" t="s">
        <v>5166</v>
      </c>
      <c r="F1664" s="0" t="str">
        <f aca="false">CONCATENATE(D1664," ",LEFT(H1664,4),"T=",AU1664,"D=",AV1664,"R=",AW1664,"M=",AX1664,"L=",AY1664,"B=",AZ1664)</f>
        <v>OHL T=1D=0R=0M=0L=1B=0</v>
      </c>
      <c r="G1664" s="0" t="s">
        <v>164</v>
      </c>
      <c r="I1664" s="0" t="s">
        <v>7541</v>
      </c>
      <c r="J1664" s="0" t="s">
        <v>6009</v>
      </c>
      <c r="K1664" s="0" t="s">
        <v>160</v>
      </c>
      <c r="M1664" s="0" t="s">
        <v>7542</v>
      </c>
      <c r="N1664" s="0" t="str">
        <f aca="false">RIGHT(M1664,LEN(M1664)-FIND(" ",M1664))</f>
        <v>NILES RD SE</v>
      </c>
      <c r="P1664" s="0" t="s">
        <v>145</v>
      </c>
      <c r="Q1664" s="0" t="s">
        <v>146</v>
      </c>
      <c r="R1664" s="0" t="n">
        <v>44484</v>
      </c>
      <c r="AD1664" s="0" t="s">
        <v>147</v>
      </c>
      <c r="AE1664" s="0" t="s">
        <v>148</v>
      </c>
      <c r="AF1664" s="0" t="s">
        <v>149</v>
      </c>
      <c r="AH1664" s="0" t="n">
        <v>14</v>
      </c>
      <c r="AI1664" s="0" t="n">
        <v>11</v>
      </c>
      <c r="AN1664" s="0" t="s">
        <v>145</v>
      </c>
      <c r="AO1664" s="0" t="s">
        <v>233</v>
      </c>
      <c r="AP1664" s="0" t="s">
        <v>234</v>
      </c>
      <c r="AQ1664" s="0" t="n">
        <v>9</v>
      </c>
      <c r="AR1664" s="0" t="n">
        <v>64</v>
      </c>
      <c r="AS1664" s="0" t="n">
        <v>32</v>
      </c>
      <c r="AU1664" s="0" t="n">
        <f aca="false">COUNTA($BA$2175:$EH$2175)</f>
        <v>1</v>
      </c>
      <c r="AV1664" s="0" t="n">
        <f aca="false">COUNTIF($BA$2175:$EH$2175,"D")</f>
        <v>0</v>
      </c>
      <c r="AW1664" s="0" t="n">
        <f aca="false">COUNTIF($BA$2175:$EH$2175,"R")</f>
        <v>0</v>
      </c>
      <c r="AX1664" s="0" t="n">
        <f aca="false">IF(BN1664="D",1,0)+IF(BO1664="D",1,0)+IF(BT1664="D",1,0)+IF(BU1664="D",1,0)+IF(BW1664="D",1,0)+IF(CC1664="D",1,0)+IF(CD1664="D",1,0)+IF(CE1664="D",1,0)+IF(CF1664="D",1,0)+IF(CL1664="D",1,0)+IF(CM1664="D",1,0)+IF(CQ1664="D",1,0)+IF(CR1664="D",1,0)+IF(CS1664="D",1,0)+IF(CW1664="D",1,0)+IF(CX1664="D",1,0)+IF(DD1664="D",1,0)+IF(DE1664="D",1,0)+IF(DJ1664="D",1,0)+IF(DK1664="D",1,0)+IF(DO1664="D",1,0)+IF(DP1664="D",1,0)+IF(DQ1664="D",1,0)+IF(DW1664="D",1,0)+IF(DZ1664="D",1,0)+IF(EH1664="D",1,0)</f>
        <v>0</v>
      </c>
      <c r="AY1664" s="0" t="n">
        <f aca="false">COUNTIF(DU1664:EH1664, "&lt;&gt;")</f>
        <v>1</v>
      </c>
      <c r="AZ1664" s="0" t="n">
        <f aca="false">IF(EH1664&lt;&gt;"",1,0)</f>
        <v>0</v>
      </c>
      <c r="BB1664" s="0" t="s">
        <v>152</v>
      </c>
      <c r="DN1664" s="0" t="s">
        <v>153</v>
      </c>
      <c r="EF1664" s="0" t="s">
        <v>153</v>
      </c>
    </row>
    <row r="1665" customFormat="false" ht="13.8" hidden="true" customHeight="false" outlineLevel="0" collapsed="false">
      <c r="A1665" s="0" t="s">
        <v>7543</v>
      </c>
      <c r="B1665" s="0" t="n">
        <v>78</v>
      </c>
      <c r="C1665" s="0" t="n">
        <v>419483</v>
      </c>
      <c r="D1665" s="0" t="s">
        <v>7544</v>
      </c>
      <c r="E1665" s="0" t="s">
        <v>7545</v>
      </c>
      <c r="F1665" s="0" t="str">
        <f aca="false">CONCATENATE(D1665," ",LEFT(H1665,4),"T=",AU1665,"D=",AV1665,"R=",AW1665,"M=",AX1665,"L=",AY1665,"B=",AZ1665)</f>
        <v>BROCKETT T=37D=17R=0M=0L=1B=0</v>
      </c>
      <c r="G1665" s="0" t="s">
        <v>215</v>
      </c>
      <c r="I1665" s="0" t="s">
        <v>7546</v>
      </c>
      <c r="J1665" s="0" t="s">
        <v>6009</v>
      </c>
      <c r="K1665" s="0" t="s">
        <v>160</v>
      </c>
      <c r="M1665" s="0" t="s">
        <v>7542</v>
      </c>
      <c r="N1665" s="0" t="str">
        <f aca="false">RIGHT(M1665,LEN(M1665)-FIND(" ",M1665))</f>
        <v>NILES RD SE</v>
      </c>
      <c r="P1665" s="0" t="s">
        <v>145</v>
      </c>
      <c r="Q1665" s="0" t="s">
        <v>146</v>
      </c>
      <c r="R1665" s="0" t="n">
        <v>44484</v>
      </c>
      <c r="AD1665" s="0" t="s">
        <v>147</v>
      </c>
      <c r="AE1665" s="0" t="s">
        <v>148</v>
      </c>
      <c r="AF1665" s="0" t="s">
        <v>149</v>
      </c>
      <c r="AH1665" s="0" t="n">
        <v>14</v>
      </c>
      <c r="AI1665" s="0" t="n">
        <v>11</v>
      </c>
      <c r="AN1665" s="0" t="s">
        <v>145</v>
      </c>
      <c r="AO1665" s="0" t="s">
        <v>233</v>
      </c>
      <c r="AP1665" s="0" t="s">
        <v>234</v>
      </c>
      <c r="AQ1665" s="0" t="n">
        <v>9</v>
      </c>
      <c r="AR1665" s="0" t="n">
        <v>64</v>
      </c>
      <c r="AS1665" s="0" t="n">
        <v>32</v>
      </c>
      <c r="AU1665" s="0" t="n">
        <f aca="false">COUNTA($BA$2565:$EH$2565)</f>
        <v>37</v>
      </c>
      <c r="AV1665" s="0" t="n">
        <f aca="false">COUNTIF($BA$2565:$EH$2565,"D")</f>
        <v>17</v>
      </c>
      <c r="AW1665" s="0" t="n">
        <f aca="false">COUNTIF($BA$2565:$EH$2565,"R")</f>
        <v>0</v>
      </c>
      <c r="AX1665" s="0" t="n">
        <f aca="false">IF(BN1665="D",1,0)+IF(BO1665="D",1,0)+IF(BT1665="D",1,0)+IF(BU1665="D",1,0)+IF(BW1665="D",1,0)+IF(CC1665="D",1,0)+IF(CD1665="D",1,0)+IF(CE1665="D",1,0)+IF(CF1665="D",1,0)+IF(CL1665="D",1,0)+IF(CM1665="D",1,0)+IF(CQ1665="D",1,0)+IF(CR1665="D",1,0)+IF(CS1665="D",1,0)+IF(CW1665="D",1,0)+IF(CX1665="D",1,0)+IF(DD1665="D",1,0)+IF(DE1665="D",1,0)+IF(DJ1665="D",1,0)+IF(DK1665="D",1,0)+IF(DO1665="D",1,0)+IF(DP1665="D",1,0)+IF(DQ1665="D",1,0)+IF(DW1665="D",1,0)+IF(DZ1665="D",1,0)+IF(EH1665="D",1,0)</f>
        <v>0</v>
      </c>
      <c r="AY1665" s="0" t="n">
        <f aca="false">COUNTIF(DU1665:EH1665, "&lt;&gt;")</f>
        <v>1</v>
      </c>
      <c r="AZ1665" s="0" t="n">
        <f aca="false">IF(EH1665&lt;&gt;"",1,0)</f>
        <v>0</v>
      </c>
      <c r="BB1665" s="0" t="s">
        <v>152</v>
      </c>
      <c r="BC1665" s="0" t="s">
        <v>153</v>
      </c>
      <c r="BD1665" s="0" t="s">
        <v>153</v>
      </c>
      <c r="BF1665" s="0" t="s">
        <v>153</v>
      </c>
      <c r="BL1665" s="0" t="s">
        <v>153</v>
      </c>
      <c r="DC1665" s="0" t="s">
        <v>153</v>
      </c>
      <c r="DN1665" s="0" t="s">
        <v>153</v>
      </c>
      <c r="EF1665" s="0" t="s">
        <v>153</v>
      </c>
    </row>
    <row r="1666" customFormat="false" ht="13.8" hidden="false" customHeight="false" outlineLevel="0" collapsed="false">
      <c r="A1666" s="0" t="s">
        <v>7547</v>
      </c>
      <c r="B1666" s="0" t="n">
        <v>78</v>
      </c>
      <c r="C1666" s="0" t="n">
        <v>298472</v>
      </c>
      <c r="D1666" s="0" t="s">
        <v>6806</v>
      </c>
      <c r="E1666" s="0" t="s">
        <v>275</v>
      </c>
      <c r="F1666" s="0" t="str">
        <f aca="false">CONCATENATE(D1666," ",LEFT(H1666,4),"T=",AU1666,"D=",AV1666,"R=",AW1666,"M=",AX1666,"L=",AY1666,"B=",AZ1666)</f>
        <v>STARKEY T=5D=1R=0M=0L=3B=0</v>
      </c>
      <c r="G1666" s="0" t="s">
        <v>190</v>
      </c>
      <c r="I1666" s="0" t="s">
        <v>7548</v>
      </c>
      <c r="J1666" s="0" t="s">
        <v>7549</v>
      </c>
      <c r="K1666" s="0" t="s">
        <v>160</v>
      </c>
      <c r="M1666" s="0" t="s">
        <v>7550</v>
      </c>
      <c r="N1666" s="0" t="str">
        <f aca="false">RIGHT(M1666,LEN(M1666)-FIND(" ",M1666))</f>
        <v>NILES RD SE</v>
      </c>
      <c r="P1666" s="0" t="s">
        <v>145</v>
      </c>
      <c r="Q1666" s="0" t="s">
        <v>146</v>
      </c>
      <c r="R1666" s="0" t="n">
        <v>44484</v>
      </c>
      <c r="AD1666" s="0" t="s">
        <v>147</v>
      </c>
      <c r="AE1666" s="0" t="s">
        <v>148</v>
      </c>
      <c r="AF1666" s="0" t="s">
        <v>149</v>
      </c>
      <c r="AH1666" s="0" t="n">
        <v>14</v>
      </c>
      <c r="AI1666" s="0" t="n">
        <v>11</v>
      </c>
      <c r="AN1666" s="0" t="s">
        <v>145</v>
      </c>
      <c r="AO1666" s="0" t="s">
        <v>233</v>
      </c>
      <c r="AP1666" s="0" t="s">
        <v>234</v>
      </c>
      <c r="AQ1666" s="0" t="n">
        <v>9</v>
      </c>
      <c r="AR1666" s="0" t="n">
        <v>64</v>
      </c>
      <c r="AS1666" s="0" t="n">
        <v>32</v>
      </c>
      <c r="AU1666" s="0" t="n">
        <f aca="false">COUNTA($BA$2139:$EH$2139)</f>
        <v>5</v>
      </c>
      <c r="AV1666" s="0" t="n">
        <f aca="false">COUNTIF($BA$2139:$EH$2139,"D")</f>
        <v>1</v>
      </c>
      <c r="AW1666" s="0" t="n">
        <f aca="false">COUNTIF($BA$2139:$EH$2139,"R")</f>
        <v>0</v>
      </c>
      <c r="AX1666" s="0" t="n">
        <f aca="false">IF(BN1666="D",1,0)+IF(BO1666="D",1,0)+IF(BT1666="D",1,0)+IF(BU1666="D",1,0)+IF(BW1666="D",1,0)+IF(CC1666="D",1,0)+IF(CD1666="D",1,0)+IF(CE1666="D",1,0)+IF(CF1666="D",1,0)+IF(CL1666="D",1,0)+IF(CM1666="D",1,0)+IF(CQ1666="D",1,0)+IF(CR1666="D",1,0)+IF(CS1666="D",1,0)+IF(CW1666="D",1,0)+IF(CX1666="D",1,0)+IF(DD1666="D",1,0)+IF(DE1666="D",1,0)+IF(DJ1666="D",1,0)+IF(DK1666="D",1,0)+IF(DO1666="D",1,0)+IF(DP1666="D",1,0)+IF(DQ1666="D",1,0)+IF(DW1666="D",1,0)+IF(DZ1666="D",1,0)+IF(EH1666="D",1,0)</f>
        <v>0</v>
      </c>
      <c r="AY1666" s="0" t="n">
        <f aca="false">COUNTIF(DU1666:EH1666, "&lt;&gt;")</f>
        <v>3</v>
      </c>
      <c r="AZ1666" s="0" t="n">
        <f aca="false">IF(EH1666&lt;&gt;"",1,0)</f>
        <v>0</v>
      </c>
      <c r="BB1666" s="0" t="s">
        <v>152</v>
      </c>
      <c r="BD1666" s="0" t="s">
        <v>153</v>
      </c>
      <c r="BL1666" s="0" t="s">
        <v>153</v>
      </c>
      <c r="BY1666" s="0" t="s">
        <v>175</v>
      </c>
      <c r="CA1666" s="0" t="s">
        <v>153</v>
      </c>
      <c r="CK1666" s="0" t="s">
        <v>153</v>
      </c>
      <c r="CN1666" s="0" t="s">
        <v>153</v>
      </c>
      <c r="CP1666" s="0" t="s">
        <v>153</v>
      </c>
      <c r="CY1666" s="0" t="s">
        <v>153</v>
      </c>
      <c r="DC1666" s="0" t="s">
        <v>153</v>
      </c>
      <c r="DL1666" s="0" t="s">
        <v>153</v>
      </c>
      <c r="DN1666" s="0" t="s">
        <v>153</v>
      </c>
      <c r="DU1666" s="0" t="s">
        <v>153</v>
      </c>
      <c r="EA1666" s="0" t="s">
        <v>153</v>
      </c>
      <c r="EF1666" s="0" t="s">
        <v>153</v>
      </c>
    </row>
    <row r="1667" customFormat="false" ht="13.8" hidden="false" customHeight="false" outlineLevel="0" collapsed="false">
      <c r="A1667" s="0" t="s">
        <v>7551</v>
      </c>
      <c r="B1667" s="0" t="n">
        <v>78</v>
      </c>
      <c r="C1667" s="0" t="n">
        <v>295016</v>
      </c>
      <c r="D1667" s="0" t="s">
        <v>7552</v>
      </c>
      <c r="E1667" s="0" t="s">
        <v>1624</v>
      </c>
      <c r="F1667" s="0" t="str">
        <f aca="false">CONCATENATE(D1667," ",LEFT(H1667,4),"T=",AU1667,"D=",AV1667,"R=",AW1667,"M=",AX1667,"L=",AY1667,"B=",AZ1667)</f>
        <v>PROCTOR T=40D=14R=0M=0L=3B=0</v>
      </c>
      <c r="G1667" s="0" t="s">
        <v>195</v>
      </c>
      <c r="I1667" s="0" t="s">
        <v>7553</v>
      </c>
      <c r="J1667" s="0" t="s">
        <v>3632</v>
      </c>
      <c r="K1667" s="0" t="s">
        <v>160</v>
      </c>
      <c r="M1667" s="0" t="s">
        <v>7550</v>
      </c>
      <c r="N1667" s="0" t="str">
        <f aca="false">RIGHT(M1667,LEN(M1667)-FIND(" ",M1667))</f>
        <v>NILES RD SE</v>
      </c>
      <c r="P1667" s="0" t="s">
        <v>145</v>
      </c>
      <c r="Q1667" s="0" t="s">
        <v>146</v>
      </c>
      <c r="R1667" s="0" t="n">
        <v>44484</v>
      </c>
      <c r="AD1667" s="0" t="s">
        <v>147</v>
      </c>
      <c r="AE1667" s="0" t="s">
        <v>148</v>
      </c>
      <c r="AF1667" s="0" t="s">
        <v>149</v>
      </c>
      <c r="AH1667" s="0" t="n">
        <v>14</v>
      </c>
      <c r="AI1667" s="0" t="n">
        <v>11</v>
      </c>
      <c r="AN1667" s="0" t="s">
        <v>145</v>
      </c>
      <c r="AO1667" s="0" t="s">
        <v>233</v>
      </c>
      <c r="AP1667" s="0" t="s">
        <v>234</v>
      </c>
      <c r="AQ1667" s="0" t="n">
        <v>9</v>
      </c>
      <c r="AR1667" s="0" t="n">
        <v>64</v>
      </c>
      <c r="AS1667" s="0" t="n">
        <v>32</v>
      </c>
      <c r="AU1667" s="0" t="n">
        <f aca="false">COUNTA($BA$2368:$EH$2368)</f>
        <v>40</v>
      </c>
      <c r="AV1667" s="0" t="n">
        <f aca="false">COUNTIF($BA$2368:$EH$2368,"D")</f>
        <v>14</v>
      </c>
      <c r="AW1667" s="0" t="n">
        <f aca="false">COUNTIF($BA$2368:$EH$2368,"R")</f>
        <v>0</v>
      </c>
      <c r="AX1667" s="0" t="n">
        <f aca="false">IF(BN1667="D",1,0)+IF(BO1667="D",1,0)+IF(BT1667="D",1,0)+IF(BU1667="D",1,0)+IF(BW1667="D",1,0)+IF(CC1667="D",1,0)+IF(CD1667="D",1,0)+IF(CE1667="D",1,0)+IF(CF1667="D",1,0)+IF(CL1667="D",1,0)+IF(CM1667="D",1,0)+IF(CQ1667="D",1,0)+IF(CR1667="D",1,0)+IF(CS1667="D",1,0)+IF(CW1667="D",1,0)+IF(CX1667="D",1,0)+IF(DD1667="D",1,0)+IF(DE1667="D",1,0)+IF(DJ1667="D",1,0)+IF(DK1667="D",1,0)+IF(DO1667="D",1,0)+IF(DP1667="D",1,0)+IF(DQ1667="D",1,0)+IF(DW1667="D",1,0)+IF(DZ1667="D",1,0)+IF(EH1667="D",1,0)</f>
        <v>0</v>
      </c>
      <c r="AY1667" s="0" t="n">
        <f aca="false">COUNTIF(DU1667:EH1667, "&lt;&gt;")</f>
        <v>3</v>
      </c>
      <c r="AZ1667" s="0" t="n">
        <f aca="false">IF(EH1667&lt;&gt;"",1,0)</f>
        <v>0</v>
      </c>
      <c r="BB1667" s="0" t="s">
        <v>152</v>
      </c>
      <c r="BD1667" s="0" t="s">
        <v>153</v>
      </c>
      <c r="BL1667" s="0" t="s">
        <v>153</v>
      </c>
      <c r="BY1667" s="0" t="s">
        <v>175</v>
      </c>
      <c r="CA1667" s="0" t="s">
        <v>153</v>
      </c>
      <c r="CK1667" s="0" t="s">
        <v>153</v>
      </c>
      <c r="CN1667" s="0" t="s">
        <v>153</v>
      </c>
      <c r="CP1667" s="0" t="s">
        <v>153</v>
      </c>
      <c r="CY1667" s="0" t="s">
        <v>153</v>
      </c>
      <c r="DC1667" s="0" t="s">
        <v>153</v>
      </c>
      <c r="DL1667" s="0" t="s">
        <v>153</v>
      </c>
      <c r="DN1667" s="0" t="s">
        <v>153</v>
      </c>
      <c r="DU1667" s="0" t="s">
        <v>153</v>
      </c>
      <c r="EA1667" s="0" t="s">
        <v>153</v>
      </c>
      <c r="EF1667" s="0" t="s">
        <v>153</v>
      </c>
    </row>
    <row r="1668" customFormat="false" ht="13.8" hidden="true" customHeight="false" outlineLevel="0" collapsed="false">
      <c r="A1668" s="0" t="s">
        <v>7554</v>
      </c>
      <c r="B1668" s="0" t="n">
        <v>78</v>
      </c>
      <c r="C1668" s="0" t="n">
        <v>437389</v>
      </c>
      <c r="D1668" s="0" t="s">
        <v>770</v>
      </c>
      <c r="E1668" s="0" t="s">
        <v>237</v>
      </c>
      <c r="F1668" s="0" t="str">
        <f aca="false">CONCATENATE(D1668," ",LEFT(H1668,4),"T=",AU1668,"D=",AV1668,"R=",AW1668,"M=",AX1668,"L=",AY1668,"B=",AZ1668)</f>
        <v>ALLEN T=18D=1R=2M=0L=0B=0</v>
      </c>
      <c r="G1668" s="0" t="s">
        <v>1596</v>
      </c>
      <c r="I1668" s="0" t="s">
        <v>7555</v>
      </c>
      <c r="J1668" s="0" t="s">
        <v>7556</v>
      </c>
      <c r="K1668" s="0" t="s">
        <v>160</v>
      </c>
      <c r="M1668" s="0" t="s">
        <v>7557</v>
      </c>
      <c r="N1668" s="0" t="str">
        <f aca="false">RIGHT(M1668,LEN(M1668)-FIND(" ",M1668))</f>
        <v>NILES RD SE</v>
      </c>
      <c r="P1668" s="0" t="s">
        <v>145</v>
      </c>
      <c r="Q1668" s="0" t="s">
        <v>146</v>
      </c>
      <c r="R1668" s="0" t="n">
        <v>44484</v>
      </c>
      <c r="AD1668" s="0" t="s">
        <v>147</v>
      </c>
      <c r="AE1668" s="0" t="s">
        <v>148</v>
      </c>
      <c r="AF1668" s="0" t="s">
        <v>149</v>
      </c>
      <c r="AH1668" s="0" t="n">
        <v>14</v>
      </c>
      <c r="AI1668" s="0" t="n">
        <v>11</v>
      </c>
      <c r="AN1668" s="0" t="s">
        <v>145</v>
      </c>
      <c r="AO1668" s="0" t="s">
        <v>233</v>
      </c>
      <c r="AP1668" s="0" t="s">
        <v>234</v>
      </c>
      <c r="AQ1668" s="0" t="n">
        <v>9</v>
      </c>
      <c r="AR1668" s="0" t="n">
        <v>64</v>
      </c>
      <c r="AS1668" s="0" t="n">
        <v>32</v>
      </c>
      <c r="AU1668" s="0" t="n">
        <f aca="false">COUNTA($BA$2647:$EH$2647)</f>
        <v>18</v>
      </c>
      <c r="AV1668" s="0" t="n">
        <f aca="false">COUNTIF($BA$2647:$EH$2647,"D")</f>
        <v>1</v>
      </c>
      <c r="AW1668" s="0" t="n">
        <f aca="false">COUNTIF($BA$2647:$EH$2647,"R")</f>
        <v>2</v>
      </c>
      <c r="AX1668" s="0" t="n">
        <f aca="false">IF(BN1668="D",1,0)+IF(BO1668="D",1,0)+IF(BT1668="D",1,0)+IF(BU1668="D",1,0)+IF(BW1668="D",1,0)+IF(CC1668="D",1,0)+IF(CD1668="D",1,0)+IF(CE1668="D",1,0)+IF(CF1668="D",1,0)+IF(CL1668="D",1,0)+IF(CM1668="D",1,0)+IF(CQ1668="D",1,0)+IF(CR1668="D",1,0)+IF(CS1668="D",1,0)+IF(CW1668="D",1,0)+IF(CX1668="D",1,0)+IF(DD1668="D",1,0)+IF(DE1668="D",1,0)+IF(DJ1668="D",1,0)+IF(DK1668="D",1,0)+IF(DO1668="D",1,0)+IF(DP1668="D",1,0)+IF(DQ1668="D",1,0)+IF(DW1668="D",1,0)+IF(DZ1668="D",1,0)+IF(EH1668="D",1,0)</f>
        <v>0</v>
      </c>
      <c r="AY1668" s="0" t="n">
        <f aca="false">COUNTIF(DU1668:EH1668, "&lt;&gt;")</f>
        <v>0</v>
      </c>
      <c r="AZ1668" s="0" t="n">
        <f aca="false">IF(EH1668&lt;&gt;"",1,0)</f>
        <v>0</v>
      </c>
      <c r="BB1668" s="0" t="s">
        <v>152</v>
      </c>
    </row>
    <row r="1669" customFormat="false" ht="13.8" hidden="false" customHeight="false" outlineLevel="0" collapsed="false">
      <c r="A1669" s="0" t="s">
        <v>7558</v>
      </c>
      <c r="B1669" s="0" t="n">
        <v>78</v>
      </c>
      <c r="C1669" s="0" t="n">
        <v>21411</v>
      </c>
      <c r="D1669" s="0" t="s">
        <v>1001</v>
      </c>
      <c r="E1669" s="0" t="s">
        <v>7559</v>
      </c>
      <c r="F1669" s="0" t="str">
        <f aca="false">CONCATENATE(D1669," ",LEFT(H1669,4),"T=",AU1669,"D=",AV1669,"R=",AW1669,"M=",AX1669,"L=",AY1669,"B=",AZ1669)</f>
        <v>DAVIS T=4D=0R=0M=3L=6B=0</v>
      </c>
      <c r="I1669" s="0" t="s">
        <v>7560</v>
      </c>
      <c r="J1669" s="0" t="s">
        <v>7561</v>
      </c>
      <c r="K1669" s="0" t="s">
        <v>160</v>
      </c>
      <c r="L1669" s="0" t="s">
        <v>175</v>
      </c>
      <c r="M1669" s="0" t="s">
        <v>7562</v>
      </c>
      <c r="N1669" s="0" t="str">
        <f aca="false">RIGHT(M1669,LEN(M1669)-FIND(" ",M1669))</f>
        <v>NILES RD SE</v>
      </c>
      <c r="P1669" s="0" t="s">
        <v>145</v>
      </c>
      <c r="Q1669" s="0" t="s">
        <v>146</v>
      </c>
      <c r="R1669" s="0" t="n">
        <v>44484</v>
      </c>
      <c r="V1669" s="0" t="s">
        <v>7563</v>
      </c>
      <c r="X1669" s="0" t="s">
        <v>145</v>
      </c>
      <c r="Y1669" s="0" t="s">
        <v>146</v>
      </c>
      <c r="Z1669" s="0" t="n">
        <v>44484</v>
      </c>
      <c r="AD1669" s="0" t="s">
        <v>147</v>
      </c>
      <c r="AE1669" s="0" t="s">
        <v>148</v>
      </c>
      <c r="AF1669" s="0" t="s">
        <v>149</v>
      </c>
      <c r="AH1669" s="0" t="n">
        <v>14</v>
      </c>
      <c r="AI1669" s="0" t="n">
        <v>11</v>
      </c>
      <c r="AN1669" s="0" t="s">
        <v>145</v>
      </c>
      <c r="AO1669" s="0" t="s">
        <v>233</v>
      </c>
      <c r="AP1669" s="0" t="s">
        <v>234</v>
      </c>
      <c r="AQ1669" s="0" t="n">
        <v>9</v>
      </c>
      <c r="AR1669" s="0" t="n">
        <v>64</v>
      </c>
      <c r="AS1669" s="0" t="n">
        <v>32</v>
      </c>
      <c r="AU1669" s="0" t="n">
        <f aca="false">COUNTA($BA$2130:$EH$2130)</f>
        <v>4</v>
      </c>
      <c r="AV1669" s="0" t="n">
        <f aca="false">COUNTIF($BA$2130:$EH$2130,"D")</f>
        <v>0</v>
      </c>
      <c r="AW1669" s="0" t="n">
        <f aca="false">COUNTIF($BA$2130:$EH$2130,"R")</f>
        <v>0</v>
      </c>
      <c r="AX1669" s="0" t="n">
        <f aca="false">IF(BN1669="D",1,0)+IF(BO1669="D",1,0)+IF(BT1669="D",1,0)+IF(BU1669="D",1,0)+IF(BW1669="D",1,0)+IF(CC1669="D",1,0)+IF(CD1669="D",1,0)+IF(CE1669="D",1,0)+IF(CF1669="D",1,0)+IF(CL1669="D",1,0)+IF(CM1669="D",1,0)+IF(CQ1669="D",1,0)+IF(CR1669="D",1,0)+IF(CS1669="D",1,0)+IF(CW1669="D",1,0)+IF(CX1669="D",1,0)+IF(DD1669="D",1,0)+IF(DE1669="D",1,0)+IF(DJ1669="D",1,0)+IF(DK1669="D",1,0)+IF(DO1669="D",1,0)+IF(DP1669="D",1,0)+IF(DQ1669="D",1,0)+IF(DW1669="D",1,0)+IF(DZ1669="D",1,0)+IF(EH1669="D",1,0)</f>
        <v>3</v>
      </c>
      <c r="AY1669" s="0" t="n">
        <f aca="false">COUNTIF(DU1669:EH1669, "&lt;&gt;")</f>
        <v>6</v>
      </c>
      <c r="AZ1669" s="0" t="n">
        <f aca="false">IF(EH1669&lt;&gt;"",1,0)</f>
        <v>0</v>
      </c>
      <c r="BB1669" s="0" t="s">
        <v>152</v>
      </c>
      <c r="BC1669" s="0" t="s">
        <v>153</v>
      </c>
      <c r="BD1669" s="0" t="s">
        <v>153</v>
      </c>
      <c r="BF1669" s="0" t="s">
        <v>153</v>
      </c>
      <c r="BG1669" s="0" t="s">
        <v>153</v>
      </c>
      <c r="BH1669" s="0" t="s">
        <v>153</v>
      </c>
      <c r="BI1669" s="0" t="s">
        <v>153</v>
      </c>
      <c r="BJ1669" s="0" t="s">
        <v>153</v>
      </c>
      <c r="BK1669" s="0" t="s">
        <v>153</v>
      </c>
      <c r="BL1669" s="0" t="s">
        <v>153</v>
      </c>
      <c r="BP1669" s="0" t="s">
        <v>153</v>
      </c>
      <c r="BS1669" s="0" t="s">
        <v>153</v>
      </c>
      <c r="BY1669" s="0" t="s">
        <v>175</v>
      </c>
      <c r="CA1669" s="0" t="s">
        <v>153</v>
      </c>
      <c r="CG1669" s="0" t="s">
        <v>153</v>
      </c>
      <c r="CK1669" s="0" t="s">
        <v>153</v>
      </c>
      <c r="CL1669" s="0" t="s">
        <v>175</v>
      </c>
      <c r="CN1669" s="0" t="s">
        <v>153</v>
      </c>
      <c r="CO1669" s="0" t="s">
        <v>175</v>
      </c>
      <c r="CP1669" s="0" t="s">
        <v>153</v>
      </c>
      <c r="CT1669" s="0" t="s">
        <v>153</v>
      </c>
      <c r="CU1669" s="0" t="s">
        <v>175</v>
      </c>
      <c r="CV1669" s="0" t="s">
        <v>153</v>
      </c>
      <c r="CY1669" s="0" t="s">
        <v>153</v>
      </c>
      <c r="CZ1669" s="0" t="s">
        <v>175</v>
      </c>
      <c r="DC1669" s="0" t="s">
        <v>153</v>
      </c>
      <c r="DG1669" s="0" t="s">
        <v>175</v>
      </c>
      <c r="DI1669" s="0" t="s">
        <v>153</v>
      </c>
      <c r="DJ1669" s="0" t="s">
        <v>175</v>
      </c>
      <c r="DM1669" s="0" t="s">
        <v>175</v>
      </c>
      <c r="DN1669" s="0" t="s">
        <v>153</v>
      </c>
      <c r="DS1669" s="0" t="s">
        <v>175</v>
      </c>
      <c r="DT1669" s="0" t="s">
        <v>175</v>
      </c>
      <c r="DU1669" s="0" t="s">
        <v>153</v>
      </c>
      <c r="DW1669" s="0" t="s">
        <v>175</v>
      </c>
      <c r="DX1669" s="0" t="s">
        <v>153</v>
      </c>
      <c r="EA1669" s="0" t="s">
        <v>153</v>
      </c>
      <c r="ED1669" s="0" t="s">
        <v>175</v>
      </c>
      <c r="EF1669" s="0" t="s">
        <v>153</v>
      </c>
    </row>
    <row r="1670" customFormat="false" ht="13.8" hidden="false" customHeight="false" outlineLevel="0" collapsed="false">
      <c r="A1670" s="0" t="s">
        <v>7564</v>
      </c>
      <c r="B1670" s="0" t="n">
        <v>78</v>
      </c>
      <c r="C1670" s="0" t="n">
        <v>202594</v>
      </c>
      <c r="D1670" s="0" t="s">
        <v>1001</v>
      </c>
      <c r="E1670" s="0" t="s">
        <v>583</v>
      </c>
      <c r="F1670" s="0" t="str">
        <f aca="false">CONCATENATE(D1670," ",LEFT(H1670,4),"T=",AU1670,"D=",AV1670,"R=",AW1670,"M=",AX1670,"L=",AY1670,"B=",AZ1670)</f>
        <v>DAVIS T=1D=0R=0M=3L=6B=0</v>
      </c>
      <c r="G1670" s="0" t="s">
        <v>307</v>
      </c>
      <c r="I1670" s="0" t="s">
        <v>7565</v>
      </c>
      <c r="J1670" s="0" t="s">
        <v>6578</v>
      </c>
      <c r="K1670" s="0" t="s">
        <v>160</v>
      </c>
      <c r="L1670" s="0" t="s">
        <v>175</v>
      </c>
      <c r="M1670" s="0" t="s">
        <v>7562</v>
      </c>
      <c r="N1670" s="0" t="str">
        <f aca="false">RIGHT(M1670,LEN(M1670)-FIND(" ",M1670))</f>
        <v>NILES RD SE</v>
      </c>
      <c r="P1670" s="0" t="s">
        <v>145</v>
      </c>
      <c r="Q1670" s="0" t="s">
        <v>146</v>
      </c>
      <c r="R1670" s="0" t="n">
        <v>44484</v>
      </c>
      <c r="AD1670" s="0" t="s">
        <v>147</v>
      </c>
      <c r="AE1670" s="0" t="s">
        <v>148</v>
      </c>
      <c r="AF1670" s="0" t="s">
        <v>149</v>
      </c>
      <c r="AH1670" s="0" t="n">
        <v>14</v>
      </c>
      <c r="AI1670" s="0" t="n">
        <v>11</v>
      </c>
      <c r="AN1670" s="0" t="s">
        <v>145</v>
      </c>
      <c r="AO1670" s="0" t="s">
        <v>233</v>
      </c>
      <c r="AP1670" s="0" t="s">
        <v>234</v>
      </c>
      <c r="AQ1670" s="0" t="n">
        <v>9</v>
      </c>
      <c r="AR1670" s="0" t="n">
        <v>64</v>
      </c>
      <c r="AS1670" s="0" t="n">
        <v>32</v>
      </c>
      <c r="AU1670" s="0" t="n">
        <f aca="false">COUNTA($BA$2135:$EH$2135)</f>
        <v>1</v>
      </c>
      <c r="AV1670" s="0" t="n">
        <f aca="false">COUNTIF($BA$2135:$EH$2135,"D")</f>
        <v>0</v>
      </c>
      <c r="AW1670" s="0" t="n">
        <f aca="false">COUNTIF($BA$2135:$EH$2135,"R")</f>
        <v>0</v>
      </c>
      <c r="AX1670" s="0" t="n">
        <f aca="false">IF(BN1670="D",1,0)+IF(BO1670="D",1,0)+IF(BT1670="D",1,0)+IF(BU1670="D",1,0)+IF(BW1670="D",1,0)+IF(CC1670="D",1,0)+IF(CD1670="D",1,0)+IF(CE1670="D",1,0)+IF(CF1670="D",1,0)+IF(CL1670="D",1,0)+IF(CM1670="D",1,0)+IF(CQ1670="D",1,0)+IF(CR1670="D",1,0)+IF(CS1670="D",1,0)+IF(CW1670="D",1,0)+IF(CX1670="D",1,0)+IF(DD1670="D",1,0)+IF(DE1670="D",1,0)+IF(DJ1670="D",1,0)+IF(DK1670="D",1,0)+IF(DO1670="D",1,0)+IF(DP1670="D",1,0)+IF(DQ1670="D",1,0)+IF(DW1670="D",1,0)+IF(DZ1670="D",1,0)+IF(EH1670="D",1,0)</f>
        <v>3</v>
      </c>
      <c r="AY1670" s="0" t="n">
        <f aca="false">COUNTIF(DU1670:EH1670, "&lt;&gt;")</f>
        <v>6</v>
      </c>
      <c r="AZ1670" s="0" t="n">
        <f aca="false">IF(EH1670&lt;&gt;"",1,0)</f>
        <v>0</v>
      </c>
      <c r="BB1670" s="0" t="s">
        <v>152</v>
      </c>
      <c r="BC1670" s="0" t="s">
        <v>153</v>
      </c>
      <c r="BD1670" s="0" t="s">
        <v>153</v>
      </c>
      <c r="BG1670" s="0" t="s">
        <v>153</v>
      </c>
      <c r="BI1670" s="0" t="s">
        <v>153</v>
      </c>
      <c r="BJ1670" s="0" t="s">
        <v>153</v>
      </c>
      <c r="BK1670" s="0" t="s">
        <v>153</v>
      </c>
      <c r="BL1670" s="0" t="s">
        <v>153</v>
      </c>
      <c r="BP1670" s="0" t="s">
        <v>153</v>
      </c>
      <c r="BS1670" s="0" t="s">
        <v>153</v>
      </c>
      <c r="BY1670" s="0" t="s">
        <v>175</v>
      </c>
      <c r="CA1670" s="0" t="s">
        <v>153</v>
      </c>
      <c r="CK1670" s="0" t="s">
        <v>153</v>
      </c>
      <c r="CL1670" s="0" t="s">
        <v>175</v>
      </c>
      <c r="CO1670" s="0" t="s">
        <v>175</v>
      </c>
      <c r="CP1670" s="0" t="s">
        <v>153</v>
      </c>
      <c r="CT1670" s="0" t="s">
        <v>153</v>
      </c>
      <c r="CU1670" s="0" t="s">
        <v>175</v>
      </c>
      <c r="CV1670" s="0" t="s">
        <v>153</v>
      </c>
      <c r="CY1670" s="0" t="s">
        <v>153</v>
      </c>
      <c r="CZ1670" s="0" t="s">
        <v>175</v>
      </c>
      <c r="DC1670" s="0" t="s">
        <v>153</v>
      </c>
      <c r="DG1670" s="0" t="s">
        <v>175</v>
      </c>
      <c r="DI1670" s="0" t="s">
        <v>153</v>
      </c>
      <c r="DJ1670" s="0" t="s">
        <v>175</v>
      </c>
      <c r="DM1670" s="0" t="s">
        <v>175</v>
      </c>
      <c r="DN1670" s="0" t="s">
        <v>153</v>
      </c>
      <c r="DS1670" s="0" t="s">
        <v>175</v>
      </c>
      <c r="DT1670" s="0" t="s">
        <v>175</v>
      </c>
      <c r="DU1670" s="0" t="s">
        <v>153</v>
      </c>
      <c r="DW1670" s="0" t="s">
        <v>175</v>
      </c>
      <c r="DX1670" s="0" t="s">
        <v>153</v>
      </c>
      <c r="EA1670" s="0" t="s">
        <v>153</v>
      </c>
      <c r="ED1670" s="0" t="s">
        <v>175</v>
      </c>
      <c r="EF1670" s="0" t="s">
        <v>153</v>
      </c>
    </row>
    <row r="1671" customFormat="false" ht="13.8" hidden="true" customHeight="false" outlineLevel="0" collapsed="false">
      <c r="A1671" s="0" t="s">
        <v>7566</v>
      </c>
      <c r="B1671" s="0" t="n">
        <v>78</v>
      </c>
      <c r="C1671" s="0" t="n">
        <v>342857</v>
      </c>
      <c r="D1671" s="0" t="s">
        <v>3129</v>
      </c>
      <c r="E1671" s="0" t="s">
        <v>499</v>
      </c>
      <c r="F1671" s="0" t="str">
        <f aca="false">CONCATENATE(D1671," ",LEFT(H1671,4),"T=",AU1671,"D=",AV1671,"R=",AW1671,"M=",AX1671,"L=",AY1671,"B=",AZ1671)</f>
        <v>HUDSON T=3D=0R=0M=0L=1B=0</v>
      </c>
      <c r="G1671" s="0" t="s">
        <v>175</v>
      </c>
      <c r="I1671" s="0" t="s">
        <v>7567</v>
      </c>
      <c r="J1671" s="0" t="s">
        <v>7568</v>
      </c>
      <c r="K1671" s="0" t="s">
        <v>160</v>
      </c>
      <c r="M1671" s="0" t="s">
        <v>7569</v>
      </c>
      <c r="N1671" s="0" t="str">
        <f aca="false">RIGHT(M1671,LEN(M1671)-FIND(" ",M1671))</f>
        <v>NILES RD SE</v>
      </c>
      <c r="P1671" s="0" t="s">
        <v>145</v>
      </c>
      <c r="Q1671" s="0" t="s">
        <v>146</v>
      </c>
      <c r="R1671" s="0" t="n">
        <v>44484</v>
      </c>
      <c r="AD1671" s="0" t="s">
        <v>147</v>
      </c>
      <c r="AE1671" s="0" t="s">
        <v>148</v>
      </c>
      <c r="AF1671" s="0" t="s">
        <v>149</v>
      </c>
      <c r="AH1671" s="0" t="n">
        <v>14</v>
      </c>
      <c r="AI1671" s="0" t="n">
        <v>11</v>
      </c>
      <c r="AN1671" s="0" t="s">
        <v>145</v>
      </c>
      <c r="AO1671" s="0" t="s">
        <v>233</v>
      </c>
      <c r="AP1671" s="0" t="s">
        <v>234</v>
      </c>
      <c r="AQ1671" s="0" t="n">
        <v>9</v>
      </c>
      <c r="AR1671" s="0" t="n">
        <v>64</v>
      </c>
      <c r="AS1671" s="0" t="n">
        <v>32</v>
      </c>
      <c r="AU1671" s="0" t="n">
        <f aca="false">COUNTA($BA$2181:$EH$2181)</f>
        <v>3</v>
      </c>
      <c r="AV1671" s="0" t="n">
        <f aca="false">COUNTIF($BA$2181:$EH$2181,"D")</f>
        <v>0</v>
      </c>
      <c r="AW1671" s="0" t="n">
        <f aca="false">COUNTIF($BA$2181:$EH$2181,"R")</f>
        <v>0</v>
      </c>
      <c r="AX1671" s="0" t="n">
        <f aca="false">IF(BN1671="D",1,0)+IF(BO1671="D",1,0)+IF(BT1671="D",1,0)+IF(BU1671="D",1,0)+IF(BW1671="D",1,0)+IF(CC1671="D",1,0)+IF(CD1671="D",1,0)+IF(CE1671="D",1,0)+IF(CF1671="D",1,0)+IF(CL1671="D",1,0)+IF(CM1671="D",1,0)+IF(CQ1671="D",1,0)+IF(CR1671="D",1,0)+IF(CS1671="D",1,0)+IF(CW1671="D",1,0)+IF(CX1671="D",1,0)+IF(DD1671="D",1,0)+IF(DE1671="D",1,0)+IF(DJ1671="D",1,0)+IF(DK1671="D",1,0)+IF(DO1671="D",1,0)+IF(DP1671="D",1,0)+IF(DQ1671="D",1,0)+IF(DW1671="D",1,0)+IF(DZ1671="D",1,0)+IF(EH1671="D",1,0)</f>
        <v>0</v>
      </c>
      <c r="AY1671" s="0" t="n">
        <f aca="false">COUNTIF(DU1671:EH1671, "&lt;&gt;")</f>
        <v>1</v>
      </c>
      <c r="AZ1671" s="0" t="n">
        <f aca="false">IF(EH1671&lt;&gt;"",1,0)</f>
        <v>0</v>
      </c>
      <c r="BB1671" s="0" t="s">
        <v>152</v>
      </c>
      <c r="CA1671" s="0" t="s">
        <v>153</v>
      </c>
      <c r="CK1671" s="0" t="s">
        <v>153</v>
      </c>
      <c r="CP1671" s="0" t="s">
        <v>153</v>
      </c>
      <c r="DC1671" s="0" t="s">
        <v>153</v>
      </c>
      <c r="EF1671" s="0" t="s">
        <v>153</v>
      </c>
    </row>
    <row r="1672" customFormat="false" ht="13.8" hidden="true" customHeight="false" outlineLevel="0" collapsed="false">
      <c r="A1672" s="0" t="s">
        <v>7570</v>
      </c>
      <c r="B1672" s="0" t="n">
        <v>78</v>
      </c>
      <c r="C1672" s="0" t="n">
        <v>465609</v>
      </c>
      <c r="D1672" s="0" t="s">
        <v>3129</v>
      </c>
      <c r="E1672" s="0" t="s">
        <v>7571</v>
      </c>
      <c r="F1672" s="0" t="str">
        <f aca="false">CONCATENATE(D1672," ",LEFT(H1672,4),"T=",AU1672,"D=",AV1672,"R=",AW1672,"M=",AX1672,"L=",AY1672,"B=",AZ1672)</f>
        <v>HUDSON T=10D=1R=0M=0L=0B=0</v>
      </c>
      <c r="G1672" s="0" t="s">
        <v>606</v>
      </c>
      <c r="I1672" s="0" t="s">
        <v>7572</v>
      </c>
      <c r="J1672" s="0" t="s">
        <v>7573</v>
      </c>
      <c r="K1672" s="0" t="s">
        <v>160</v>
      </c>
      <c r="M1672" s="0" t="s">
        <v>7569</v>
      </c>
      <c r="N1672" s="0" t="str">
        <f aca="false">RIGHT(M1672,LEN(M1672)-FIND(" ",M1672))</f>
        <v>NILES RD SE</v>
      </c>
      <c r="P1672" s="0" t="s">
        <v>145</v>
      </c>
      <c r="Q1672" s="0" t="s">
        <v>146</v>
      </c>
      <c r="R1672" s="0" t="n">
        <v>44484</v>
      </c>
      <c r="AD1672" s="0" t="s">
        <v>147</v>
      </c>
      <c r="AE1672" s="0" t="s">
        <v>148</v>
      </c>
      <c r="AF1672" s="0" t="s">
        <v>149</v>
      </c>
      <c r="AH1672" s="0" t="n">
        <v>14</v>
      </c>
      <c r="AI1672" s="0" t="n">
        <v>11</v>
      </c>
      <c r="AN1672" s="0" t="s">
        <v>145</v>
      </c>
      <c r="AO1672" s="0" t="s">
        <v>233</v>
      </c>
      <c r="AP1672" s="0" t="s">
        <v>234</v>
      </c>
      <c r="AQ1672" s="0" t="n">
        <v>9</v>
      </c>
      <c r="AR1672" s="0" t="n">
        <v>64</v>
      </c>
      <c r="AS1672" s="0" t="n">
        <v>32</v>
      </c>
      <c r="AU1672" s="0" t="n">
        <f aca="false">COUNTA($BA$2523:$EH$2523)</f>
        <v>10</v>
      </c>
      <c r="AV1672" s="0" t="n">
        <f aca="false">COUNTIF($BA$2523:$EH$2523,"D")</f>
        <v>1</v>
      </c>
      <c r="AW1672" s="0" t="n">
        <f aca="false">COUNTIF($BA$2523:$EH$2523,"R")</f>
        <v>0</v>
      </c>
      <c r="AX1672" s="0" t="n">
        <f aca="false">IF(BN1672="D",1,0)+IF(BO1672="D",1,0)+IF(BT1672="D",1,0)+IF(BU1672="D",1,0)+IF(BW1672="D",1,0)+IF(CC1672="D",1,0)+IF(CD1672="D",1,0)+IF(CE1672="D",1,0)+IF(CF1672="D",1,0)+IF(CL1672="D",1,0)+IF(CM1672="D",1,0)+IF(CQ1672="D",1,0)+IF(CR1672="D",1,0)+IF(CS1672="D",1,0)+IF(CW1672="D",1,0)+IF(CX1672="D",1,0)+IF(DD1672="D",1,0)+IF(DE1672="D",1,0)+IF(DJ1672="D",1,0)+IF(DK1672="D",1,0)+IF(DO1672="D",1,0)+IF(DP1672="D",1,0)+IF(DQ1672="D",1,0)+IF(DW1672="D",1,0)+IF(DZ1672="D",1,0)+IF(EH1672="D",1,0)</f>
        <v>0</v>
      </c>
      <c r="AY1672" s="0" t="n">
        <f aca="false">COUNTIF(DU1672:EH1672, "&lt;&gt;")</f>
        <v>0</v>
      </c>
      <c r="AZ1672" s="0" t="n">
        <f aca="false">IF(EH1672&lt;&gt;"",1,0)</f>
        <v>0</v>
      </c>
      <c r="BB1672" s="0" t="s">
        <v>152</v>
      </c>
    </row>
    <row r="1673" customFormat="false" ht="13.8" hidden="true" customHeight="false" outlineLevel="0" collapsed="false">
      <c r="A1673" s="0" t="s">
        <v>7574</v>
      </c>
      <c r="B1673" s="0" t="n">
        <v>78</v>
      </c>
      <c r="C1673" s="0" t="n">
        <v>392904</v>
      </c>
      <c r="D1673" s="0" t="s">
        <v>1591</v>
      </c>
      <c r="E1673" s="0" t="s">
        <v>7575</v>
      </c>
      <c r="F1673" s="0" t="str">
        <f aca="false">CONCATENATE(D1673," ",LEFT(H1673,4),"T=",AU1673,"D=",AV1673,"R=",AW1673,"M=",AX1673,"L=",AY1673,"B=",AZ1673)</f>
        <v>DANIELS T=1D=0R=0M=0L=0B=0</v>
      </c>
      <c r="G1673" s="0" t="s">
        <v>268</v>
      </c>
      <c r="I1673" s="0" t="s">
        <v>7576</v>
      </c>
      <c r="J1673" s="0" t="s">
        <v>688</v>
      </c>
      <c r="K1673" s="0" t="s">
        <v>143</v>
      </c>
      <c r="M1673" s="0" t="s">
        <v>7577</v>
      </c>
      <c r="N1673" s="0" t="str">
        <f aca="false">RIGHT(M1673,LEN(M1673)-FIND(" ",M1673))</f>
        <v>NILES RD SE</v>
      </c>
      <c r="P1673" s="0" t="s">
        <v>145</v>
      </c>
      <c r="Q1673" s="0" t="s">
        <v>146</v>
      </c>
      <c r="R1673" s="0" t="n">
        <v>44484</v>
      </c>
      <c r="AD1673" s="0" t="s">
        <v>147</v>
      </c>
      <c r="AE1673" s="0" t="s">
        <v>148</v>
      </c>
      <c r="AF1673" s="0" t="s">
        <v>149</v>
      </c>
      <c r="AH1673" s="0" t="n">
        <v>14</v>
      </c>
      <c r="AI1673" s="0" t="n">
        <v>11</v>
      </c>
      <c r="AN1673" s="0" t="s">
        <v>145</v>
      </c>
      <c r="AO1673" s="0" t="s">
        <v>233</v>
      </c>
      <c r="AP1673" s="0" t="s">
        <v>234</v>
      </c>
      <c r="AQ1673" s="0" t="n">
        <v>9</v>
      </c>
      <c r="AR1673" s="0" t="n">
        <v>64</v>
      </c>
      <c r="AS1673" s="0" t="n">
        <v>32</v>
      </c>
      <c r="AU1673" s="0" t="n">
        <f aca="false">COUNTA($BA$2160:$EH$2160)</f>
        <v>1</v>
      </c>
      <c r="AV1673" s="0" t="n">
        <f aca="false">COUNTIF($BA$2160:$EH$2160,"D")</f>
        <v>0</v>
      </c>
      <c r="AW1673" s="0" t="n">
        <f aca="false">COUNTIF($BA$2160:$EH$2160,"R")</f>
        <v>0</v>
      </c>
      <c r="AX1673" s="0" t="n">
        <f aca="false">IF(BN1673="D",1,0)+IF(BO1673="D",1,0)+IF(BT1673="D",1,0)+IF(BU1673="D",1,0)+IF(BW1673="D",1,0)+IF(CC1673="D",1,0)+IF(CD1673="D",1,0)+IF(CE1673="D",1,0)+IF(CF1673="D",1,0)+IF(CL1673="D",1,0)+IF(CM1673="D",1,0)+IF(CQ1673="D",1,0)+IF(CR1673="D",1,0)+IF(CS1673="D",1,0)+IF(CW1673="D",1,0)+IF(CX1673="D",1,0)+IF(DD1673="D",1,0)+IF(DE1673="D",1,0)+IF(DJ1673="D",1,0)+IF(DK1673="D",1,0)+IF(DO1673="D",1,0)+IF(DP1673="D",1,0)+IF(DQ1673="D",1,0)+IF(DW1673="D",1,0)+IF(DZ1673="D",1,0)+IF(EH1673="D",1,0)</f>
        <v>0</v>
      </c>
      <c r="AY1673" s="0" t="n">
        <f aca="false">COUNTIF(DU1673:EH1673, "&lt;&gt;")</f>
        <v>0</v>
      </c>
      <c r="AZ1673" s="0" t="n">
        <f aca="false">IF(EH1673&lt;&gt;"",1,0)</f>
        <v>0</v>
      </c>
      <c r="BB1673" s="0" t="s">
        <v>152</v>
      </c>
      <c r="CP1673" s="0" t="s">
        <v>153</v>
      </c>
      <c r="DN1673" s="0" t="s">
        <v>153</v>
      </c>
    </row>
    <row r="1674" customFormat="false" ht="13.8" hidden="true" customHeight="false" outlineLevel="0" collapsed="false">
      <c r="A1674" s="0" t="s">
        <v>7578</v>
      </c>
      <c r="B1674" s="0" t="n">
        <v>78</v>
      </c>
      <c r="C1674" s="0" t="n">
        <v>327010</v>
      </c>
      <c r="D1674" s="0" t="s">
        <v>457</v>
      </c>
      <c r="E1674" s="0" t="s">
        <v>7579</v>
      </c>
      <c r="F1674" s="0" t="str">
        <f aca="false">CONCATENATE(D1674," ",LEFT(H1674,4),"T=",AU1674,"D=",AV1674,"R=",AW1674,"M=",AX1674,"L=",AY1674,"B=",AZ1674)</f>
        <v>WRIGHT T=1D=0R=0M=0L=0B=0</v>
      </c>
      <c r="G1674" s="0" t="s">
        <v>7580</v>
      </c>
      <c r="I1674" s="0" t="s">
        <v>7581</v>
      </c>
      <c r="J1674" s="0" t="s">
        <v>727</v>
      </c>
      <c r="K1674" s="0" t="s">
        <v>143</v>
      </c>
      <c r="M1674" s="0" t="s">
        <v>7582</v>
      </c>
      <c r="N1674" s="0" t="str">
        <f aca="false">RIGHT(M1674,LEN(M1674)-FIND(" ",M1674))</f>
        <v>NILES RD SE</v>
      </c>
      <c r="P1674" s="0" t="s">
        <v>145</v>
      </c>
      <c r="Q1674" s="0" t="s">
        <v>146</v>
      </c>
      <c r="R1674" s="0" t="n">
        <v>44484</v>
      </c>
      <c r="AD1674" s="0" t="s">
        <v>147</v>
      </c>
      <c r="AE1674" s="0" t="s">
        <v>148</v>
      </c>
      <c r="AF1674" s="0" t="s">
        <v>149</v>
      </c>
      <c r="AH1674" s="0" t="n">
        <v>14</v>
      </c>
      <c r="AI1674" s="0" t="n">
        <v>11</v>
      </c>
      <c r="AN1674" s="0" t="s">
        <v>145</v>
      </c>
      <c r="AO1674" s="0" t="s">
        <v>233</v>
      </c>
      <c r="AP1674" s="0" t="s">
        <v>234</v>
      </c>
      <c r="AQ1674" s="0" t="n">
        <v>9</v>
      </c>
      <c r="AR1674" s="0" t="n">
        <v>64</v>
      </c>
      <c r="AS1674" s="0" t="n">
        <v>32</v>
      </c>
      <c r="AU1674" s="0" t="n">
        <f aca="false">COUNTA($BA$2304:$EH$2304)</f>
        <v>1</v>
      </c>
      <c r="AV1674" s="0" t="n">
        <f aca="false">COUNTIF($BA$2304:$EH$2304,"D")</f>
        <v>0</v>
      </c>
      <c r="AW1674" s="0" t="n">
        <f aca="false">COUNTIF($BA$2304:$EH$2304,"R")</f>
        <v>0</v>
      </c>
      <c r="AX1674" s="0" t="n">
        <f aca="false">IF(BN1674="D",1,0)+IF(BO1674="D",1,0)+IF(BT1674="D",1,0)+IF(BU1674="D",1,0)+IF(BW1674="D",1,0)+IF(CC1674="D",1,0)+IF(CD1674="D",1,0)+IF(CE1674="D",1,0)+IF(CF1674="D",1,0)+IF(CL1674="D",1,0)+IF(CM1674="D",1,0)+IF(CQ1674="D",1,0)+IF(CR1674="D",1,0)+IF(CS1674="D",1,0)+IF(CW1674="D",1,0)+IF(CX1674="D",1,0)+IF(DD1674="D",1,0)+IF(DE1674="D",1,0)+IF(DJ1674="D",1,0)+IF(DK1674="D",1,0)+IF(DO1674="D",1,0)+IF(DP1674="D",1,0)+IF(DQ1674="D",1,0)+IF(DW1674="D",1,0)+IF(DZ1674="D",1,0)+IF(EH1674="D",1,0)</f>
        <v>0</v>
      </c>
      <c r="AY1674" s="0" t="n">
        <f aca="false">COUNTIF(DU1674:EH1674, "&lt;&gt;")</f>
        <v>0</v>
      </c>
      <c r="AZ1674" s="0" t="n">
        <f aca="false">IF(EH1674&lt;&gt;"",1,0)</f>
        <v>0</v>
      </c>
      <c r="BB1674" s="0" t="s">
        <v>152</v>
      </c>
      <c r="BL1674" s="0" t="s">
        <v>153</v>
      </c>
      <c r="BS1674" s="0" t="s">
        <v>153</v>
      </c>
      <c r="CP1674" s="0" t="s">
        <v>153</v>
      </c>
      <c r="DC1674" s="0" t="s">
        <v>153</v>
      </c>
    </row>
    <row r="1675" customFormat="false" ht="13.8" hidden="false" customHeight="false" outlineLevel="0" collapsed="false">
      <c r="A1675" s="0" t="s">
        <v>7583</v>
      </c>
      <c r="B1675" s="0" t="n">
        <v>78</v>
      </c>
      <c r="C1675" s="0" t="n">
        <v>19701</v>
      </c>
      <c r="D1675" s="0" t="s">
        <v>6451</v>
      </c>
      <c r="E1675" s="0" t="s">
        <v>563</v>
      </c>
      <c r="F1675" s="0" t="str">
        <f aca="false">CONCATENATE(D1675," ",LEFT(H1675,4),"T=",AU1675,"D=",AV1675,"R=",AW1675,"M=",AX1675,"L=",AY1675,"B=",AZ1675)</f>
        <v>STEWART T=3D=0R=0M=2L=3B=0</v>
      </c>
      <c r="G1675" s="0" t="s">
        <v>325</v>
      </c>
      <c r="I1675" s="0" t="s">
        <v>7584</v>
      </c>
      <c r="J1675" s="0" t="s">
        <v>7585</v>
      </c>
      <c r="K1675" s="0" t="s">
        <v>160</v>
      </c>
      <c r="M1675" s="0" t="s">
        <v>7586</v>
      </c>
      <c r="N1675" s="0" t="str">
        <f aca="false">RIGHT(M1675,LEN(M1675)-FIND(" ",M1675))</f>
        <v>NILES RD SE</v>
      </c>
      <c r="P1675" s="0" t="s">
        <v>145</v>
      </c>
      <c r="Q1675" s="0" t="s">
        <v>146</v>
      </c>
      <c r="R1675" s="0" t="n">
        <v>44484</v>
      </c>
      <c r="AD1675" s="0" t="s">
        <v>147</v>
      </c>
      <c r="AE1675" s="0" t="s">
        <v>148</v>
      </c>
      <c r="AF1675" s="0" t="s">
        <v>149</v>
      </c>
      <c r="AH1675" s="0" t="n">
        <v>14</v>
      </c>
      <c r="AI1675" s="0" t="n">
        <v>11</v>
      </c>
      <c r="AN1675" s="0" t="s">
        <v>145</v>
      </c>
      <c r="AO1675" s="0" t="s">
        <v>233</v>
      </c>
      <c r="AP1675" s="0" t="s">
        <v>234</v>
      </c>
      <c r="AQ1675" s="0" t="n">
        <v>9</v>
      </c>
      <c r="AR1675" s="0" t="n">
        <v>64</v>
      </c>
      <c r="AS1675" s="0" t="n">
        <v>32</v>
      </c>
      <c r="AU1675" s="0" t="n">
        <f aca="false">COUNTA($BA$2432:$EH$2432)</f>
        <v>3</v>
      </c>
      <c r="AV1675" s="0" t="n">
        <f aca="false">COUNTIF($BA$2432:$EH$2432,"D")</f>
        <v>0</v>
      </c>
      <c r="AW1675" s="0" t="n">
        <f aca="false">COUNTIF($BA$2432:$EH$2432,"R")</f>
        <v>0</v>
      </c>
      <c r="AX1675" s="0" t="n">
        <f aca="false">IF(BN1675="D",1,0)+IF(BO1675="D",1,0)+IF(BT1675="D",1,0)+IF(BU1675="D",1,0)+IF(BW1675="D",1,0)+IF(CC1675="D",1,0)+IF(CD1675="D",1,0)+IF(CE1675="D",1,0)+IF(CF1675="D",1,0)+IF(CL1675="D",1,0)+IF(CM1675="D",1,0)+IF(CQ1675="D",1,0)+IF(CR1675="D",1,0)+IF(CS1675="D",1,0)+IF(CW1675="D",1,0)+IF(CX1675="D",1,0)+IF(DD1675="D",1,0)+IF(DE1675="D",1,0)+IF(DJ1675="D",1,0)+IF(DK1675="D",1,0)+IF(DO1675="D",1,0)+IF(DP1675="D",1,0)+IF(DQ1675="D",1,0)+IF(DW1675="D",1,0)+IF(DZ1675="D",1,0)+IF(EH1675="D",1,0)</f>
        <v>2</v>
      </c>
      <c r="AY1675" s="0" t="n">
        <f aca="false">COUNTIF(DU1675:EH1675, "&lt;&gt;")</f>
        <v>3</v>
      </c>
      <c r="AZ1675" s="0" t="n">
        <f aca="false">IF(EH1675&lt;&gt;"",1,0)</f>
        <v>0</v>
      </c>
      <c r="BB1675" s="0" t="s">
        <v>152</v>
      </c>
      <c r="BC1675" s="0" t="s">
        <v>153</v>
      </c>
      <c r="BD1675" s="0" t="s">
        <v>153</v>
      </c>
      <c r="BE1675" s="0" t="s">
        <v>153</v>
      </c>
      <c r="BF1675" s="0" t="s">
        <v>153</v>
      </c>
      <c r="BG1675" s="0" t="s">
        <v>153</v>
      </c>
      <c r="BH1675" s="0" t="s">
        <v>153</v>
      </c>
      <c r="BI1675" s="0" t="s">
        <v>153</v>
      </c>
      <c r="BJ1675" s="0" t="s">
        <v>153</v>
      </c>
      <c r="BK1675" s="0" t="s">
        <v>153</v>
      </c>
      <c r="BL1675" s="0" t="s">
        <v>153</v>
      </c>
      <c r="BP1675" s="0" t="s">
        <v>153</v>
      </c>
      <c r="BR1675" s="0" t="s">
        <v>153</v>
      </c>
      <c r="BS1675" s="0" t="s">
        <v>153</v>
      </c>
      <c r="BY1675" s="0" t="s">
        <v>175</v>
      </c>
      <c r="CA1675" s="0" t="s">
        <v>153</v>
      </c>
      <c r="CG1675" s="0" t="s">
        <v>153</v>
      </c>
      <c r="CK1675" s="0" t="s">
        <v>153</v>
      </c>
      <c r="CL1675" s="0" t="s">
        <v>175</v>
      </c>
      <c r="CN1675" s="0" t="s">
        <v>153</v>
      </c>
      <c r="CP1675" s="0" t="s">
        <v>153</v>
      </c>
      <c r="CT1675" s="0" t="s">
        <v>153</v>
      </c>
      <c r="CV1675" s="0" t="s">
        <v>153</v>
      </c>
      <c r="CW1675" s="0" t="s">
        <v>175</v>
      </c>
      <c r="CY1675" s="0" t="s">
        <v>153</v>
      </c>
      <c r="CZ1675" s="0" t="s">
        <v>175</v>
      </c>
      <c r="DC1675" s="0" t="s">
        <v>153</v>
      </c>
      <c r="DF1675" s="0" t="s">
        <v>153</v>
      </c>
      <c r="DI1675" s="0" t="s">
        <v>153</v>
      </c>
      <c r="DL1675" s="0" t="s">
        <v>153</v>
      </c>
      <c r="DN1675" s="0" t="s">
        <v>153</v>
      </c>
      <c r="DR1675" s="0" t="s">
        <v>153</v>
      </c>
      <c r="DU1675" s="0" t="s">
        <v>153</v>
      </c>
      <c r="EA1675" s="0" t="s">
        <v>153</v>
      </c>
      <c r="EF1675" s="0" t="s">
        <v>153</v>
      </c>
    </row>
    <row r="1676" customFormat="false" ht="13.8" hidden="false" customHeight="false" outlineLevel="0" collapsed="false">
      <c r="A1676" s="0" t="s">
        <v>7587</v>
      </c>
      <c r="B1676" s="0" t="n">
        <v>78</v>
      </c>
      <c r="C1676" s="0" t="n">
        <v>416401</v>
      </c>
      <c r="D1676" s="0" t="s">
        <v>6451</v>
      </c>
      <c r="E1676" s="0" t="s">
        <v>274</v>
      </c>
      <c r="F1676" s="0" t="str">
        <f aca="false">CONCATENATE(D1676," ",LEFT(H1676,4),"T=",AU1676,"D=",AV1676,"R=",AW1676,"M=",AX1676,"L=",AY1676,"B=",AZ1676)</f>
        <v>STEWART JRT=11D=2R=0M=1L=6B=0</v>
      </c>
      <c r="G1676" s="0" t="s">
        <v>215</v>
      </c>
      <c r="H1676" s="0" t="s">
        <v>314</v>
      </c>
      <c r="I1676" s="0" t="s">
        <v>7240</v>
      </c>
      <c r="J1676" s="0" t="s">
        <v>1226</v>
      </c>
      <c r="K1676" s="0" t="s">
        <v>160</v>
      </c>
      <c r="L1676" s="0" t="s">
        <v>209</v>
      </c>
      <c r="M1676" s="0" t="s">
        <v>7586</v>
      </c>
      <c r="N1676" s="0" t="str">
        <f aca="false">RIGHT(M1676,LEN(M1676)-FIND(" ",M1676))</f>
        <v>NILES RD SE</v>
      </c>
      <c r="P1676" s="0" t="s">
        <v>145</v>
      </c>
      <c r="Q1676" s="0" t="s">
        <v>146</v>
      </c>
      <c r="R1676" s="0" t="n">
        <v>44484</v>
      </c>
      <c r="AD1676" s="0" t="s">
        <v>147</v>
      </c>
      <c r="AE1676" s="0" t="s">
        <v>148</v>
      </c>
      <c r="AF1676" s="0" t="s">
        <v>149</v>
      </c>
      <c r="AH1676" s="0" t="n">
        <v>14</v>
      </c>
      <c r="AI1676" s="0" t="n">
        <v>11</v>
      </c>
      <c r="AN1676" s="0" t="s">
        <v>145</v>
      </c>
      <c r="AO1676" s="0" t="s">
        <v>233</v>
      </c>
      <c r="AP1676" s="0" t="s">
        <v>234</v>
      </c>
      <c r="AQ1676" s="0" t="n">
        <v>9</v>
      </c>
      <c r="AR1676" s="0" t="n">
        <v>64</v>
      </c>
      <c r="AS1676" s="0" t="n">
        <v>32</v>
      </c>
      <c r="AU1676" s="0" t="n">
        <f aca="false">COUNTA($BA$2667:$EH$2667)</f>
        <v>11</v>
      </c>
      <c r="AV1676" s="0" t="n">
        <f aca="false">COUNTIF($BA$2667:$EH$2667,"D")</f>
        <v>2</v>
      </c>
      <c r="AW1676" s="0" t="n">
        <f aca="false">COUNTIF($BA$2667:$EH$2667,"R")</f>
        <v>0</v>
      </c>
      <c r="AX1676" s="0" t="n">
        <f aca="false">IF(BN1676="D",1,0)+IF(BO1676="D",1,0)+IF(BT1676="D",1,0)+IF(BU1676="D",1,0)+IF(BW1676="D",1,0)+IF(CC1676="D",1,0)+IF(CD1676="D",1,0)+IF(CE1676="D",1,0)+IF(CF1676="D",1,0)+IF(CL1676="D",1,0)+IF(CM1676="D",1,0)+IF(CQ1676="D",1,0)+IF(CR1676="D",1,0)+IF(CS1676="D",1,0)+IF(CW1676="D",1,0)+IF(CX1676="D",1,0)+IF(DD1676="D",1,0)+IF(DE1676="D",1,0)+IF(DJ1676="D",1,0)+IF(DK1676="D",1,0)+IF(DO1676="D",1,0)+IF(DP1676="D",1,0)+IF(DQ1676="D",1,0)+IF(DW1676="D",1,0)+IF(DZ1676="D",1,0)+IF(EH1676="D",1,0)</f>
        <v>1</v>
      </c>
      <c r="AY1676" s="0" t="n">
        <f aca="false">COUNTIF(DU1676:EH1676, "&lt;&gt;")</f>
        <v>6</v>
      </c>
      <c r="AZ1676" s="0" t="n">
        <f aca="false">IF(EH1676&lt;&gt;"",1,0)</f>
        <v>0</v>
      </c>
      <c r="BB1676" s="0" t="s">
        <v>152</v>
      </c>
      <c r="DC1676" s="0" t="s">
        <v>153</v>
      </c>
      <c r="DN1676" s="0" t="s">
        <v>153</v>
      </c>
      <c r="DU1676" s="0" t="s">
        <v>153</v>
      </c>
      <c r="DW1676" s="0" t="s">
        <v>175</v>
      </c>
      <c r="DX1676" s="0" t="s">
        <v>153</v>
      </c>
      <c r="EA1676" s="0" t="s">
        <v>153</v>
      </c>
      <c r="ED1676" s="0" t="s">
        <v>209</v>
      </c>
      <c r="EF1676" s="0" t="s">
        <v>153</v>
      </c>
    </row>
    <row r="1677" customFormat="false" ht="13.8" hidden="true" customHeight="false" outlineLevel="0" collapsed="false">
      <c r="A1677" s="0" t="s">
        <v>7588</v>
      </c>
      <c r="B1677" s="0" t="n">
        <v>78</v>
      </c>
      <c r="C1677" s="0" t="n">
        <v>370438</v>
      </c>
      <c r="D1677" s="0" t="s">
        <v>1693</v>
      </c>
      <c r="E1677" s="0" t="s">
        <v>2814</v>
      </c>
      <c r="F1677" s="0" t="str">
        <f aca="false">CONCATENATE(D1677," ",LEFT(H1677,4),"T=",AU1677,"D=",AV1677,"R=",AW1677,"M=",AX1677,"L=",AY1677,"B=",AZ1677)</f>
        <v>WILLIAMSON T=3D=0R=0M=0L=0B=0</v>
      </c>
      <c r="G1677" s="0" t="s">
        <v>190</v>
      </c>
      <c r="I1677" s="0" t="s">
        <v>7589</v>
      </c>
      <c r="J1677" s="0" t="s">
        <v>7590</v>
      </c>
      <c r="K1677" s="0" t="s">
        <v>143</v>
      </c>
      <c r="M1677" s="0" t="s">
        <v>7591</v>
      </c>
      <c r="N1677" s="0" t="str">
        <f aca="false">RIGHT(M1677,LEN(M1677)-FIND(" ",M1677))</f>
        <v>NILES RD SE</v>
      </c>
      <c r="P1677" s="0" t="s">
        <v>145</v>
      </c>
      <c r="Q1677" s="0" t="s">
        <v>146</v>
      </c>
      <c r="R1677" s="0" t="n">
        <v>44484</v>
      </c>
      <c r="AD1677" s="0" t="s">
        <v>147</v>
      </c>
      <c r="AE1677" s="0" t="s">
        <v>148</v>
      </c>
      <c r="AF1677" s="0" t="s">
        <v>149</v>
      </c>
      <c r="AH1677" s="0" t="n">
        <v>14</v>
      </c>
      <c r="AI1677" s="0" t="n">
        <v>11</v>
      </c>
      <c r="AN1677" s="0" t="s">
        <v>145</v>
      </c>
      <c r="AO1677" s="0" t="s">
        <v>233</v>
      </c>
      <c r="AP1677" s="0" t="s">
        <v>234</v>
      </c>
      <c r="AQ1677" s="0" t="n">
        <v>9</v>
      </c>
      <c r="AR1677" s="0" t="n">
        <v>64</v>
      </c>
      <c r="AS1677" s="0" t="n">
        <v>32</v>
      </c>
      <c r="AU1677" s="0" t="n">
        <f aca="false">COUNTA($BA$2613:$EH$2613)</f>
        <v>3</v>
      </c>
      <c r="AV1677" s="0" t="n">
        <f aca="false">COUNTIF($BA$2613:$EH$2613,"D")</f>
        <v>0</v>
      </c>
      <c r="AW1677" s="0" t="n">
        <f aca="false">COUNTIF($BA$2613:$EH$2613,"R")</f>
        <v>0</v>
      </c>
      <c r="AX1677" s="0" t="n">
        <f aca="false">IF(BN1677="D",1,0)+IF(BO1677="D",1,0)+IF(BT1677="D",1,0)+IF(BU1677="D",1,0)+IF(BW1677="D",1,0)+IF(CC1677="D",1,0)+IF(CD1677="D",1,0)+IF(CE1677="D",1,0)+IF(CF1677="D",1,0)+IF(CL1677="D",1,0)+IF(CM1677="D",1,0)+IF(CQ1677="D",1,0)+IF(CR1677="D",1,0)+IF(CS1677="D",1,0)+IF(CW1677="D",1,0)+IF(CX1677="D",1,0)+IF(DD1677="D",1,0)+IF(DE1677="D",1,0)+IF(DJ1677="D",1,0)+IF(DK1677="D",1,0)+IF(DO1677="D",1,0)+IF(DP1677="D",1,0)+IF(DQ1677="D",1,0)+IF(DW1677="D",1,0)+IF(DZ1677="D",1,0)+IF(EH1677="D",1,0)</f>
        <v>0</v>
      </c>
      <c r="AY1677" s="0" t="n">
        <f aca="false">COUNTIF(DU1677:EH1677, "&lt;&gt;")</f>
        <v>0</v>
      </c>
      <c r="AZ1677" s="0" t="n">
        <f aca="false">IF(EH1677&lt;&gt;"",1,0)</f>
        <v>0</v>
      </c>
      <c r="BB1677" s="0" t="s">
        <v>152</v>
      </c>
      <c r="CP1677" s="0" t="s">
        <v>153</v>
      </c>
      <c r="DN1677" s="0" t="s">
        <v>153</v>
      </c>
    </row>
    <row r="1678" customFormat="false" ht="13.8" hidden="true" customHeight="false" outlineLevel="0" collapsed="false">
      <c r="A1678" s="0" t="s">
        <v>7592</v>
      </c>
      <c r="B1678" s="0" t="n">
        <v>78</v>
      </c>
      <c r="C1678" s="0" t="n">
        <v>405489</v>
      </c>
      <c r="D1678" s="0" t="s">
        <v>7593</v>
      </c>
      <c r="E1678" s="0" t="s">
        <v>7594</v>
      </c>
      <c r="F1678" s="0" t="str">
        <f aca="false">CONCATENATE(D1678," ",LEFT(H1678,4),"T=",AU1678,"D=",AV1678,"R=",AW1678,"M=",AX1678,"L=",AY1678,"B=",AZ1678)</f>
        <v>GARVEY T=6D=0R=0M=0L=0B=0</v>
      </c>
      <c r="G1678" s="0" t="s">
        <v>3018</v>
      </c>
      <c r="I1678" s="0" t="s">
        <v>7595</v>
      </c>
      <c r="J1678" s="0" t="s">
        <v>1489</v>
      </c>
      <c r="K1678" s="0" t="s">
        <v>160</v>
      </c>
      <c r="M1678" s="0" t="s">
        <v>7596</v>
      </c>
      <c r="N1678" s="0" t="str">
        <f aca="false">RIGHT(M1678,LEN(M1678)-FIND(" ",M1678))</f>
        <v>OAK KNOLL AVE SE</v>
      </c>
      <c r="P1678" s="0" t="s">
        <v>145</v>
      </c>
      <c r="Q1678" s="0" t="s">
        <v>146</v>
      </c>
      <c r="R1678" s="0" t="n">
        <v>44484</v>
      </c>
      <c r="AD1678" s="0" t="s">
        <v>147</v>
      </c>
      <c r="AE1678" s="0" t="s">
        <v>148</v>
      </c>
      <c r="AF1678" s="0" t="s">
        <v>149</v>
      </c>
      <c r="AH1678" s="0" t="n">
        <v>14</v>
      </c>
      <c r="AI1678" s="0" t="n">
        <v>11</v>
      </c>
      <c r="AN1678" s="0" t="s">
        <v>145</v>
      </c>
      <c r="AO1678" s="0" t="s">
        <v>233</v>
      </c>
      <c r="AP1678" s="0" t="s">
        <v>234</v>
      </c>
      <c r="AQ1678" s="0" t="n">
        <v>9</v>
      </c>
      <c r="AR1678" s="0" t="n">
        <v>64</v>
      </c>
      <c r="AS1678" s="0" t="n">
        <v>32</v>
      </c>
      <c r="AU1678" s="0" t="n">
        <f aca="false">COUNTA($BA$2530:$EH$2530)</f>
        <v>6</v>
      </c>
      <c r="AV1678" s="0" t="n">
        <f aca="false">COUNTIF($BA$2530:$EH$2530,"D")</f>
        <v>0</v>
      </c>
      <c r="AW1678" s="0" t="n">
        <f aca="false">COUNTIF($BA$2530:$EH$2530,"R")</f>
        <v>0</v>
      </c>
      <c r="AX1678" s="0" t="n">
        <f aca="false">IF(BN1678="D",1,0)+IF(BO1678="D",1,0)+IF(BT1678="D",1,0)+IF(BU1678="D",1,0)+IF(BW1678="D",1,0)+IF(CC1678="D",1,0)+IF(CD1678="D",1,0)+IF(CE1678="D",1,0)+IF(CF1678="D",1,0)+IF(CL1678="D",1,0)+IF(CM1678="D",1,0)+IF(CQ1678="D",1,0)+IF(CR1678="D",1,0)+IF(CS1678="D",1,0)+IF(CW1678="D",1,0)+IF(CX1678="D",1,0)+IF(DD1678="D",1,0)+IF(DE1678="D",1,0)+IF(DJ1678="D",1,0)+IF(DK1678="D",1,0)+IF(DO1678="D",1,0)+IF(DP1678="D",1,0)+IF(DQ1678="D",1,0)+IF(DW1678="D",1,0)+IF(DZ1678="D",1,0)+IF(EH1678="D",1,0)</f>
        <v>0</v>
      </c>
      <c r="AY1678" s="0" t="n">
        <f aca="false">COUNTIF(DU1678:EH1678, "&lt;&gt;")</f>
        <v>0</v>
      </c>
      <c r="AZ1678" s="0" t="n">
        <f aca="false">IF(EH1678&lt;&gt;"",1,0)</f>
        <v>0</v>
      </c>
      <c r="BB1678" s="0" t="s">
        <v>152</v>
      </c>
    </row>
    <row r="1679" customFormat="false" ht="13.8" hidden="true" customHeight="false" outlineLevel="0" collapsed="false">
      <c r="A1679" s="0" t="s">
        <v>7597</v>
      </c>
      <c r="B1679" s="0" t="n">
        <v>78</v>
      </c>
      <c r="C1679" s="0" t="n">
        <v>464050</v>
      </c>
      <c r="D1679" s="0" t="s">
        <v>1207</v>
      </c>
      <c r="E1679" s="0" t="s">
        <v>2952</v>
      </c>
      <c r="F1679" s="0" t="str">
        <f aca="false">CONCATENATE(D1679," ",LEFT(H1679,4),"T=",AU1679,"D=",AV1679,"R=",AW1679,"M=",AX1679,"L=",AY1679,"B=",AZ1679)</f>
        <v>MORRISON T=4D=0R=0M=0L=0B=0</v>
      </c>
      <c r="G1679" s="0" t="s">
        <v>255</v>
      </c>
      <c r="I1679" s="0" t="s">
        <v>7598</v>
      </c>
      <c r="J1679" s="0" t="s">
        <v>2103</v>
      </c>
      <c r="K1679" s="0" t="s">
        <v>160</v>
      </c>
      <c r="M1679" s="0" t="s">
        <v>7599</v>
      </c>
      <c r="N1679" s="0" t="str">
        <f aca="false">RIGHT(M1679,LEN(M1679)-FIND(" ",M1679))</f>
        <v>OAK KNOLL AVE SE</v>
      </c>
      <c r="P1679" s="0" t="s">
        <v>145</v>
      </c>
      <c r="Q1679" s="0" t="s">
        <v>146</v>
      </c>
      <c r="R1679" s="0" t="n">
        <v>44484</v>
      </c>
      <c r="AD1679" s="0" t="s">
        <v>147</v>
      </c>
      <c r="AE1679" s="0" t="s">
        <v>148</v>
      </c>
      <c r="AF1679" s="0" t="s">
        <v>149</v>
      </c>
      <c r="AH1679" s="0" t="n">
        <v>14</v>
      </c>
      <c r="AI1679" s="0" t="n">
        <v>11</v>
      </c>
      <c r="AN1679" s="0" t="s">
        <v>145</v>
      </c>
      <c r="AO1679" s="0" t="s">
        <v>233</v>
      </c>
      <c r="AP1679" s="0" t="s">
        <v>234</v>
      </c>
      <c r="AQ1679" s="0" t="n">
        <v>9</v>
      </c>
      <c r="AR1679" s="0" t="n">
        <v>64</v>
      </c>
      <c r="AS1679" s="0" t="n">
        <v>32</v>
      </c>
      <c r="AU1679" s="0" t="n">
        <f aca="false">COUNTA($BA$2122:$EH$2122)</f>
        <v>4</v>
      </c>
      <c r="AV1679" s="0" t="n">
        <f aca="false">COUNTIF($BA$2122:$EH$2122,"D")</f>
        <v>0</v>
      </c>
      <c r="AW1679" s="0" t="n">
        <f aca="false">COUNTIF($BA$2122:$EH$2122,"R")</f>
        <v>0</v>
      </c>
      <c r="AX1679" s="0" t="n">
        <f aca="false">IF(BN1679="D",1,0)+IF(BO1679="D",1,0)+IF(BT1679="D",1,0)+IF(BU1679="D",1,0)+IF(BW1679="D",1,0)+IF(CC1679="D",1,0)+IF(CD1679="D",1,0)+IF(CE1679="D",1,0)+IF(CF1679="D",1,0)+IF(CL1679="D",1,0)+IF(CM1679="D",1,0)+IF(CQ1679="D",1,0)+IF(CR1679="D",1,0)+IF(CS1679="D",1,0)+IF(CW1679="D",1,0)+IF(CX1679="D",1,0)+IF(DD1679="D",1,0)+IF(DE1679="D",1,0)+IF(DJ1679="D",1,0)+IF(DK1679="D",1,0)+IF(DO1679="D",1,0)+IF(DP1679="D",1,0)+IF(DQ1679="D",1,0)+IF(DW1679="D",1,0)+IF(DZ1679="D",1,0)+IF(EH1679="D",1,0)</f>
        <v>0</v>
      </c>
      <c r="AY1679" s="0" t="n">
        <f aca="false">COUNTIF(DU1679:EH1679, "&lt;&gt;")</f>
        <v>0</v>
      </c>
      <c r="AZ1679" s="0" t="n">
        <f aca="false">IF(EH1679&lt;&gt;"",1,0)</f>
        <v>0</v>
      </c>
      <c r="BB1679" s="0" t="s">
        <v>152</v>
      </c>
    </row>
    <row r="1680" customFormat="false" ht="13.8" hidden="true" customHeight="false" outlineLevel="0" collapsed="false">
      <c r="A1680" s="0" t="s">
        <v>7600</v>
      </c>
      <c r="B1680" s="0" t="n">
        <v>78</v>
      </c>
      <c r="C1680" s="0" t="n">
        <v>458284</v>
      </c>
      <c r="D1680" s="0" t="s">
        <v>7601</v>
      </c>
      <c r="E1680" s="0" t="s">
        <v>5435</v>
      </c>
      <c r="F1680" s="0" t="str">
        <f aca="false">CONCATENATE(D1680," ",LEFT(H1680,4),"T=",AU1680,"D=",AV1680,"R=",AW1680,"M=",AX1680,"L=",AY1680,"B=",AZ1680)</f>
        <v>SHEELY T=2D=0R=0M=0L=0B=0</v>
      </c>
      <c r="G1680" s="0" t="s">
        <v>890</v>
      </c>
      <c r="I1680" s="0" t="s">
        <v>7602</v>
      </c>
      <c r="J1680" s="0" t="s">
        <v>7603</v>
      </c>
      <c r="K1680" s="0" t="s">
        <v>143</v>
      </c>
      <c r="M1680" s="0" t="s">
        <v>7599</v>
      </c>
      <c r="N1680" s="0" t="str">
        <f aca="false">RIGHT(M1680,LEN(M1680)-FIND(" ",M1680))</f>
        <v>OAK KNOLL AVE SE</v>
      </c>
      <c r="P1680" s="0" t="s">
        <v>145</v>
      </c>
      <c r="Q1680" s="0" t="s">
        <v>146</v>
      </c>
      <c r="R1680" s="0" t="n">
        <v>44484</v>
      </c>
      <c r="AD1680" s="0" t="s">
        <v>147</v>
      </c>
      <c r="AE1680" s="0" t="s">
        <v>148</v>
      </c>
      <c r="AF1680" s="0" t="s">
        <v>149</v>
      </c>
      <c r="AH1680" s="0" t="n">
        <v>14</v>
      </c>
      <c r="AI1680" s="0" t="n">
        <v>11</v>
      </c>
      <c r="AN1680" s="0" t="s">
        <v>145</v>
      </c>
      <c r="AO1680" s="0" t="s">
        <v>233</v>
      </c>
      <c r="AP1680" s="0" t="s">
        <v>234</v>
      </c>
      <c r="AQ1680" s="0" t="n">
        <v>9</v>
      </c>
      <c r="AR1680" s="0" t="n">
        <v>64</v>
      </c>
      <c r="AS1680" s="0" t="n">
        <v>32</v>
      </c>
      <c r="AU1680" s="0" t="n">
        <f aca="false">COUNTA($BA$2224:$EH$2224)</f>
        <v>2</v>
      </c>
      <c r="AV1680" s="0" t="n">
        <f aca="false">COUNTIF($BA$2224:$EH$2224,"D")</f>
        <v>0</v>
      </c>
      <c r="AW1680" s="0" t="n">
        <f aca="false">COUNTIF($BA$2224:$EH$2224,"R")</f>
        <v>0</v>
      </c>
      <c r="AX1680" s="0" t="n">
        <f aca="false">IF(BN1680="D",1,0)+IF(BO1680="D",1,0)+IF(BT1680="D",1,0)+IF(BU1680="D",1,0)+IF(BW1680="D",1,0)+IF(CC1680="D",1,0)+IF(CD1680="D",1,0)+IF(CE1680="D",1,0)+IF(CF1680="D",1,0)+IF(CL1680="D",1,0)+IF(CM1680="D",1,0)+IF(CQ1680="D",1,0)+IF(CR1680="D",1,0)+IF(CS1680="D",1,0)+IF(CW1680="D",1,0)+IF(CX1680="D",1,0)+IF(DD1680="D",1,0)+IF(DE1680="D",1,0)+IF(DJ1680="D",1,0)+IF(DK1680="D",1,0)+IF(DO1680="D",1,0)+IF(DP1680="D",1,0)+IF(DQ1680="D",1,0)+IF(DW1680="D",1,0)+IF(DZ1680="D",1,0)+IF(EH1680="D",1,0)</f>
        <v>0</v>
      </c>
      <c r="AY1680" s="0" t="n">
        <f aca="false">COUNTIF(DU1680:EH1680, "&lt;&gt;")</f>
        <v>0</v>
      </c>
      <c r="AZ1680" s="0" t="n">
        <f aca="false">IF(EH1680&lt;&gt;"",1,0)</f>
        <v>0</v>
      </c>
      <c r="BB1680" s="0" t="s">
        <v>152</v>
      </c>
    </row>
    <row r="1681" customFormat="false" ht="13.8" hidden="true" customHeight="false" outlineLevel="0" collapsed="false">
      <c r="A1681" s="0" t="s">
        <v>7604</v>
      </c>
      <c r="B1681" s="0" t="n">
        <v>78</v>
      </c>
      <c r="C1681" s="0" t="n">
        <v>382728</v>
      </c>
      <c r="D1681" s="0" t="s">
        <v>556</v>
      </c>
      <c r="E1681" s="0" t="s">
        <v>7605</v>
      </c>
      <c r="F1681" s="0" t="str">
        <f aca="false">CONCATENATE(D1681," ",LEFT(H1681,4),"T=",AU1681,"D=",AV1681,"R=",AW1681,"M=",AX1681,"L=",AY1681,"B=",AZ1681)</f>
        <v>ANDERSON T=1D=0R=0M=0L=1B=0</v>
      </c>
      <c r="G1681" s="0" t="s">
        <v>175</v>
      </c>
      <c r="I1681" s="0" t="s">
        <v>7606</v>
      </c>
      <c r="J1681" s="0" t="s">
        <v>7607</v>
      </c>
      <c r="K1681" s="0" t="s">
        <v>160</v>
      </c>
      <c r="M1681" s="0" t="s">
        <v>7608</v>
      </c>
      <c r="N1681" s="0" t="str">
        <f aca="false">RIGHT(M1681,LEN(M1681)-FIND(" ",M1681))</f>
        <v>OAK KNOLL AVE SE</v>
      </c>
      <c r="P1681" s="0" t="s">
        <v>145</v>
      </c>
      <c r="Q1681" s="0" t="s">
        <v>146</v>
      </c>
      <c r="R1681" s="0" t="n">
        <v>44484</v>
      </c>
      <c r="AD1681" s="0" t="s">
        <v>147</v>
      </c>
      <c r="AE1681" s="0" t="s">
        <v>148</v>
      </c>
      <c r="AF1681" s="0" t="s">
        <v>149</v>
      </c>
      <c r="AH1681" s="0" t="n">
        <v>14</v>
      </c>
      <c r="AI1681" s="0" t="n">
        <v>11</v>
      </c>
      <c r="AN1681" s="0" t="s">
        <v>145</v>
      </c>
      <c r="AO1681" s="0" t="s">
        <v>233</v>
      </c>
      <c r="AP1681" s="0" t="s">
        <v>234</v>
      </c>
      <c r="AQ1681" s="0" t="n">
        <v>9</v>
      </c>
      <c r="AR1681" s="0" t="n">
        <v>64</v>
      </c>
      <c r="AS1681" s="0" t="n">
        <v>32</v>
      </c>
      <c r="AU1681" s="0" t="n">
        <f aca="false">COUNTA($BA$2275:$EH$2275)</f>
        <v>1</v>
      </c>
      <c r="AV1681" s="0" t="n">
        <f aca="false">COUNTIF($BA$2275:$EH$2275,"D")</f>
        <v>0</v>
      </c>
      <c r="AW1681" s="0" t="n">
        <f aca="false">COUNTIF($BA$2275:$EH$2275,"R")</f>
        <v>0</v>
      </c>
      <c r="AX1681" s="0" t="n">
        <f aca="false">IF(BN1681="D",1,0)+IF(BO1681="D",1,0)+IF(BT1681="D",1,0)+IF(BU1681="D",1,0)+IF(BW1681="D",1,0)+IF(CC1681="D",1,0)+IF(CD1681="D",1,0)+IF(CE1681="D",1,0)+IF(CF1681="D",1,0)+IF(CL1681="D",1,0)+IF(CM1681="D",1,0)+IF(CQ1681="D",1,0)+IF(CR1681="D",1,0)+IF(CS1681="D",1,0)+IF(CW1681="D",1,0)+IF(CX1681="D",1,0)+IF(DD1681="D",1,0)+IF(DE1681="D",1,0)+IF(DJ1681="D",1,0)+IF(DK1681="D",1,0)+IF(DO1681="D",1,0)+IF(DP1681="D",1,0)+IF(DQ1681="D",1,0)+IF(DW1681="D",1,0)+IF(DZ1681="D",1,0)+IF(EH1681="D",1,0)</f>
        <v>0</v>
      </c>
      <c r="AY1681" s="0" t="n">
        <f aca="false">COUNTIF(DU1681:EH1681, "&lt;&gt;")</f>
        <v>1</v>
      </c>
      <c r="AZ1681" s="0" t="n">
        <f aca="false">IF(EH1681&lt;&gt;"",1,0)</f>
        <v>0</v>
      </c>
      <c r="BB1681" s="0" t="s">
        <v>152</v>
      </c>
      <c r="CN1681" s="0" t="s">
        <v>153</v>
      </c>
      <c r="CP1681" s="0" t="s">
        <v>153</v>
      </c>
      <c r="CY1681" s="0" t="s">
        <v>153</v>
      </c>
      <c r="DC1681" s="0" t="s">
        <v>153</v>
      </c>
      <c r="DG1681" s="0" t="s">
        <v>175</v>
      </c>
      <c r="DI1681" s="0" t="s">
        <v>153</v>
      </c>
      <c r="DL1681" s="0" t="s">
        <v>153</v>
      </c>
      <c r="DN1681" s="0" t="s">
        <v>153</v>
      </c>
      <c r="EF1681" s="0" t="s">
        <v>153</v>
      </c>
    </row>
    <row r="1682" customFormat="false" ht="13.8" hidden="true" customHeight="false" outlineLevel="0" collapsed="false">
      <c r="A1682" s="0" t="s">
        <v>7609</v>
      </c>
      <c r="B1682" s="0" t="n">
        <v>78</v>
      </c>
      <c r="C1682" s="0" t="n">
        <v>322616</v>
      </c>
      <c r="D1682" s="0" t="s">
        <v>2437</v>
      </c>
      <c r="E1682" s="0" t="s">
        <v>7610</v>
      </c>
      <c r="F1682" s="0" t="str">
        <f aca="false">CONCATENATE(D1682," ",LEFT(H1682,4),"T=",AU1682,"D=",AV1682,"R=",AW1682,"M=",AX1682,"L=",AY1682,"B=",AZ1682)</f>
        <v>TILLMAN T=3D=0R=0M=1L=0B=0</v>
      </c>
      <c r="G1682" s="0" t="s">
        <v>7611</v>
      </c>
      <c r="I1682" s="0" t="s">
        <v>7612</v>
      </c>
      <c r="J1682" s="0" t="s">
        <v>688</v>
      </c>
      <c r="K1682" s="0" t="s">
        <v>160</v>
      </c>
      <c r="M1682" s="0" t="s">
        <v>7608</v>
      </c>
      <c r="N1682" s="0" t="str">
        <f aca="false">RIGHT(M1682,LEN(M1682)-FIND(" ",M1682))</f>
        <v>OAK KNOLL AVE SE</v>
      </c>
      <c r="P1682" s="0" t="s">
        <v>145</v>
      </c>
      <c r="Q1682" s="0" t="s">
        <v>146</v>
      </c>
      <c r="R1682" s="0" t="n">
        <v>44484</v>
      </c>
      <c r="AD1682" s="0" t="s">
        <v>147</v>
      </c>
      <c r="AE1682" s="0" t="s">
        <v>148</v>
      </c>
      <c r="AF1682" s="0" t="s">
        <v>149</v>
      </c>
      <c r="AH1682" s="0" t="n">
        <v>14</v>
      </c>
      <c r="AI1682" s="0" t="n">
        <v>11</v>
      </c>
      <c r="AN1682" s="0" t="s">
        <v>145</v>
      </c>
      <c r="AO1682" s="0" t="s">
        <v>233</v>
      </c>
      <c r="AP1682" s="0" t="s">
        <v>234</v>
      </c>
      <c r="AQ1682" s="0" t="n">
        <v>9</v>
      </c>
      <c r="AR1682" s="0" t="n">
        <v>64</v>
      </c>
      <c r="AS1682" s="0" t="n">
        <v>32</v>
      </c>
      <c r="AU1682" s="0" t="n">
        <f aca="false">COUNTA($BA$2463:$EH$2463)</f>
        <v>3</v>
      </c>
      <c r="AV1682" s="0" t="n">
        <f aca="false">COUNTIF($BA$2463:$EH$2463,"D")</f>
        <v>0</v>
      </c>
      <c r="AW1682" s="0" t="n">
        <f aca="false">COUNTIF($BA$2463:$EH$2463,"R")</f>
        <v>0</v>
      </c>
      <c r="AX1682" s="0" t="n">
        <f aca="false">IF(BN1682="D",1,0)+IF(BO1682="D",1,0)+IF(BT1682="D",1,0)+IF(BU1682="D",1,0)+IF(BW1682="D",1,0)+IF(CC1682="D",1,0)+IF(CD1682="D",1,0)+IF(CE1682="D",1,0)+IF(CF1682="D",1,0)+IF(CL1682="D",1,0)+IF(CM1682="D",1,0)+IF(CQ1682="D",1,0)+IF(CR1682="D",1,0)+IF(CS1682="D",1,0)+IF(CW1682="D",1,0)+IF(CX1682="D",1,0)+IF(DD1682="D",1,0)+IF(DE1682="D",1,0)+IF(DJ1682="D",1,0)+IF(DK1682="D",1,0)+IF(DO1682="D",1,0)+IF(DP1682="D",1,0)+IF(DQ1682="D",1,0)+IF(DW1682="D",1,0)+IF(DZ1682="D",1,0)+IF(EH1682="D",1,0)</f>
        <v>1</v>
      </c>
      <c r="AY1682" s="0" t="n">
        <f aca="false">COUNTIF(DU1682:EH1682, "&lt;&gt;")</f>
        <v>0</v>
      </c>
      <c r="AZ1682" s="0" t="n">
        <f aca="false">IF(EH1682&lt;&gt;"",1,0)</f>
        <v>0</v>
      </c>
      <c r="BB1682" s="0" t="s">
        <v>152</v>
      </c>
      <c r="BL1682" s="0" t="s">
        <v>153</v>
      </c>
      <c r="CA1682" s="0" t="s">
        <v>153</v>
      </c>
      <c r="CL1682" s="0" t="s">
        <v>175</v>
      </c>
      <c r="CP1682" s="0" t="s">
        <v>153</v>
      </c>
      <c r="CY1682" s="0" t="s">
        <v>153</v>
      </c>
      <c r="DC1682" s="0" t="s">
        <v>153</v>
      </c>
      <c r="DI1682" s="0" t="s">
        <v>153</v>
      </c>
      <c r="DL1682" s="0" t="s">
        <v>153</v>
      </c>
      <c r="DN1682" s="0" t="s">
        <v>153</v>
      </c>
    </row>
    <row r="1683" customFormat="false" ht="13.8" hidden="true" customHeight="false" outlineLevel="0" collapsed="false">
      <c r="A1683" s="0" t="s">
        <v>7613</v>
      </c>
      <c r="B1683" s="0" t="n">
        <v>78</v>
      </c>
      <c r="C1683" s="0" t="n">
        <v>491677</v>
      </c>
      <c r="D1683" s="0" t="s">
        <v>7614</v>
      </c>
      <c r="E1683" s="0" t="s">
        <v>7615</v>
      </c>
      <c r="F1683" s="0" t="str">
        <f aca="false">CONCATENATE(D1683," ",LEFT(H1683,4),"T=",AU1683,"D=",AV1683,"R=",AW1683,"M=",AX1683,"L=",AY1683,"B=",AZ1683)</f>
        <v>PATTON T=11D=1R=0M=0L=1B=0</v>
      </c>
      <c r="G1683" s="0" t="s">
        <v>686</v>
      </c>
      <c r="I1683" s="0" t="s">
        <v>7616</v>
      </c>
      <c r="J1683" s="0" t="s">
        <v>404</v>
      </c>
      <c r="K1683" s="0" t="s">
        <v>160</v>
      </c>
      <c r="M1683" s="0" t="s">
        <v>7617</v>
      </c>
      <c r="N1683" s="0" t="str">
        <f aca="false">RIGHT(M1683,LEN(M1683)-FIND(" ",M1683))</f>
        <v>OAK KNOLL AVE SE</v>
      </c>
      <c r="P1683" s="0" t="s">
        <v>145</v>
      </c>
      <c r="Q1683" s="0" t="s">
        <v>146</v>
      </c>
      <c r="R1683" s="0" t="n">
        <v>44484</v>
      </c>
      <c r="AD1683" s="0" t="s">
        <v>147</v>
      </c>
      <c r="AE1683" s="0" t="s">
        <v>148</v>
      </c>
      <c r="AF1683" s="0" t="s">
        <v>149</v>
      </c>
      <c r="AH1683" s="0" t="n">
        <v>14</v>
      </c>
      <c r="AI1683" s="0" t="n">
        <v>11</v>
      </c>
      <c r="AN1683" s="0" t="s">
        <v>145</v>
      </c>
      <c r="AO1683" s="0" t="s">
        <v>233</v>
      </c>
      <c r="AP1683" s="0" t="s">
        <v>234</v>
      </c>
      <c r="AQ1683" s="0" t="n">
        <v>9</v>
      </c>
      <c r="AR1683" s="0" t="n">
        <v>64</v>
      </c>
      <c r="AS1683" s="0" t="n">
        <v>32</v>
      </c>
      <c r="AU1683" s="0" t="n">
        <f aca="false">COUNTA($BA$2529:$EH$2529)</f>
        <v>11</v>
      </c>
      <c r="AV1683" s="0" t="n">
        <f aca="false">COUNTIF($BA$2529:$EH$2529,"D")</f>
        <v>1</v>
      </c>
      <c r="AW1683" s="0" t="n">
        <f aca="false">COUNTIF($BA$2529:$EH$2529,"R")</f>
        <v>0</v>
      </c>
      <c r="AX1683" s="0" t="n">
        <f aca="false">IF(BN1683="D",1,0)+IF(BO1683="D",1,0)+IF(BT1683="D",1,0)+IF(BU1683="D",1,0)+IF(BW1683="D",1,0)+IF(CC1683="D",1,0)+IF(CD1683="D",1,0)+IF(CE1683="D",1,0)+IF(CF1683="D",1,0)+IF(CL1683="D",1,0)+IF(CM1683="D",1,0)+IF(CQ1683="D",1,0)+IF(CR1683="D",1,0)+IF(CS1683="D",1,0)+IF(CW1683="D",1,0)+IF(CX1683="D",1,0)+IF(DD1683="D",1,0)+IF(DE1683="D",1,0)+IF(DJ1683="D",1,0)+IF(DK1683="D",1,0)+IF(DO1683="D",1,0)+IF(DP1683="D",1,0)+IF(DQ1683="D",1,0)+IF(DW1683="D",1,0)+IF(DZ1683="D",1,0)+IF(EH1683="D",1,0)</f>
        <v>0</v>
      </c>
      <c r="AY1683" s="0" t="n">
        <f aca="false">COUNTIF(DU1683:EH1683, "&lt;&gt;")</f>
        <v>1</v>
      </c>
      <c r="AZ1683" s="0" t="n">
        <f aca="false">IF(EH1683&lt;&gt;"",1,0)</f>
        <v>0</v>
      </c>
      <c r="BB1683" s="0" t="s">
        <v>152</v>
      </c>
      <c r="DL1683" s="0" t="s">
        <v>153</v>
      </c>
      <c r="DN1683" s="0" t="s">
        <v>153</v>
      </c>
      <c r="EF1683" s="0" t="s">
        <v>153</v>
      </c>
    </row>
    <row r="1684" customFormat="false" ht="13.8" hidden="true" customHeight="false" outlineLevel="0" collapsed="false">
      <c r="A1684" s="0" t="s">
        <v>7618</v>
      </c>
      <c r="B1684" s="0" t="n">
        <v>78</v>
      </c>
      <c r="C1684" s="0" t="n">
        <v>408266</v>
      </c>
      <c r="D1684" s="0" t="s">
        <v>5889</v>
      </c>
      <c r="E1684" s="0" t="s">
        <v>2680</v>
      </c>
      <c r="F1684" s="0" t="str">
        <f aca="false">CONCATENATE(D1684," ",LEFT(H1684,4),"T=",AU1684,"D=",AV1684,"R=",AW1684,"M=",AX1684,"L=",AY1684,"B=",AZ1684)</f>
        <v>CYLAR SRT=1D=0R=0M=0L=0B=0</v>
      </c>
      <c r="G1684" s="0" t="s">
        <v>1557</v>
      </c>
      <c r="H1684" s="0" t="s">
        <v>216</v>
      </c>
      <c r="I1684" s="0" t="s">
        <v>7619</v>
      </c>
      <c r="J1684" s="0" t="s">
        <v>7620</v>
      </c>
      <c r="K1684" s="0" t="s">
        <v>143</v>
      </c>
      <c r="M1684" s="0" t="s">
        <v>7617</v>
      </c>
      <c r="N1684" s="0" t="str">
        <f aca="false">RIGHT(M1684,LEN(M1684)-FIND(" ",M1684))</f>
        <v>OAK KNOLL AVE SE</v>
      </c>
      <c r="P1684" s="0" t="s">
        <v>145</v>
      </c>
      <c r="Q1684" s="0" t="s">
        <v>146</v>
      </c>
      <c r="R1684" s="0" t="n">
        <v>44484</v>
      </c>
      <c r="AD1684" s="0" t="s">
        <v>147</v>
      </c>
      <c r="AE1684" s="0" t="s">
        <v>148</v>
      </c>
      <c r="AF1684" s="0" t="s">
        <v>149</v>
      </c>
      <c r="AH1684" s="0" t="n">
        <v>14</v>
      </c>
      <c r="AI1684" s="0" t="n">
        <v>11</v>
      </c>
      <c r="AN1684" s="0" t="s">
        <v>145</v>
      </c>
      <c r="AO1684" s="0" t="s">
        <v>233</v>
      </c>
      <c r="AP1684" s="0" t="s">
        <v>234</v>
      </c>
      <c r="AQ1684" s="0" t="n">
        <v>9</v>
      </c>
      <c r="AR1684" s="0" t="n">
        <v>64</v>
      </c>
      <c r="AS1684" s="0" t="n">
        <v>32</v>
      </c>
      <c r="AU1684" s="0" t="n">
        <f aca="false">COUNTA($BA$2617:$EH$2617)</f>
        <v>1</v>
      </c>
      <c r="AV1684" s="0" t="n">
        <f aca="false">COUNTIF($BA$2617:$EH$2617,"D")</f>
        <v>0</v>
      </c>
      <c r="AW1684" s="0" t="n">
        <f aca="false">COUNTIF($BA$2617:$EH$2617,"R")</f>
        <v>0</v>
      </c>
      <c r="AX1684" s="0" t="n">
        <f aca="false">IF(BN1684="D",1,0)+IF(BO1684="D",1,0)+IF(BT1684="D",1,0)+IF(BU1684="D",1,0)+IF(BW1684="D",1,0)+IF(CC1684="D",1,0)+IF(CD1684="D",1,0)+IF(CE1684="D",1,0)+IF(CF1684="D",1,0)+IF(CL1684="D",1,0)+IF(CM1684="D",1,0)+IF(CQ1684="D",1,0)+IF(CR1684="D",1,0)+IF(CS1684="D",1,0)+IF(CW1684="D",1,0)+IF(CX1684="D",1,0)+IF(DD1684="D",1,0)+IF(DE1684="D",1,0)+IF(DJ1684="D",1,0)+IF(DK1684="D",1,0)+IF(DO1684="D",1,0)+IF(DP1684="D",1,0)+IF(DQ1684="D",1,0)+IF(DW1684="D",1,0)+IF(DZ1684="D",1,0)+IF(EH1684="D",1,0)</f>
        <v>0</v>
      </c>
      <c r="AY1684" s="0" t="n">
        <f aca="false">COUNTIF(DU1684:EH1684, "&lt;&gt;")</f>
        <v>0</v>
      </c>
      <c r="AZ1684" s="0" t="n">
        <f aca="false">IF(EH1684&lt;&gt;"",1,0)</f>
        <v>0</v>
      </c>
      <c r="BB1684" s="0" t="s">
        <v>152</v>
      </c>
      <c r="BD1684" s="0" t="s">
        <v>153</v>
      </c>
      <c r="BL1684" s="0" t="s">
        <v>153</v>
      </c>
      <c r="CA1684" s="0" t="s">
        <v>153</v>
      </c>
      <c r="CP1684" s="0" t="s">
        <v>153</v>
      </c>
      <c r="DC1684" s="0" t="s">
        <v>153</v>
      </c>
    </row>
    <row r="1685" customFormat="false" ht="13.8" hidden="true" customHeight="false" outlineLevel="0" collapsed="false">
      <c r="A1685" s="0" t="s">
        <v>7621</v>
      </c>
      <c r="B1685" s="0" t="n">
        <v>78</v>
      </c>
      <c r="C1685" s="0" t="n">
        <v>400740</v>
      </c>
      <c r="D1685" s="0" t="s">
        <v>7622</v>
      </c>
      <c r="E1685" s="0" t="s">
        <v>7623</v>
      </c>
      <c r="F1685" s="0" t="str">
        <f aca="false">CONCATENATE(D1685," ",LEFT(H1685,4),"T=",AU1685,"D=",AV1685,"R=",AW1685,"M=",AX1685,"L=",AY1685,"B=",AZ1685)</f>
        <v>BOSSARD T=1D=0R=0M=0L=0B=0</v>
      </c>
      <c r="G1685" s="0" t="s">
        <v>190</v>
      </c>
      <c r="I1685" s="0" t="s">
        <v>7624</v>
      </c>
      <c r="J1685" s="0" t="s">
        <v>7625</v>
      </c>
      <c r="K1685" s="0" t="s">
        <v>143</v>
      </c>
      <c r="M1685" s="0" t="s">
        <v>7626</v>
      </c>
      <c r="N1685" s="0" t="str">
        <f aca="false">RIGHT(M1685,LEN(M1685)-FIND(" ",M1685))</f>
        <v>OAK KNOLL AVE SE</v>
      </c>
      <c r="P1685" s="0" t="s">
        <v>145</v>
      </c>
      <c r="Q1685" s="0" t="s">
        <v>146</v>
      </c>
      <c r="R1685" s="0" t="n">
        <v>44484</v>
      </c>
      <c r="AD1685" s="0" t="s">
        <v>147</v>
      </c>
      <c r="AE1685" s="0" t="s">
        <v>148</v>
      </c>
      <c r="AF1685" s="0" t="s">
        <v>149</v>
      </c>
      <c r="AH1685" s="0" t="n">
        <v>14</v>
      </c>
      <c r="AI1685" s="0" t="n">
        <v>11</v>
      </c>
      <c r="AN1685" s="0" t="s">
        <v>145</v>
      </c>
      <c r="AO1685" s="0" t="s">
        <v>233</v>
      </c>
      <c r="AP1685" s="0" t="s">
        <v>234</v>
      </c>
      <c r="AQ1685" s="0" t="n">
        <v>9</v>
      </c>
      <c r="AR1685" s="0" t="n">
        <v>64</v>
      </c>
      <c r="AS1685" s="0" t="n">
        <v>32</v>
      </c>
      <c r="AU1685" s="0" t="n">
        <f aca="false">COUNTA($BA$2107:$EH$2107)</f>
        <v>1</v>
      </c>
      <c r="AV1685" s="0" t="n">
        <f aca="false">COUNTIF($BA$2107:$EH$2107,"D")</f>
        <v>0</v>
      </c>
      <c r="AW1685" s="0" t="n">
        <f aca="false">COUNTIF($BA$2107:$EH$2107,"R")</f>
        <v>0</v>
      </c>
      <c r="AX1685" s="0" t="n">
        <f aca="false">IF(BN1685="D",1,0)+IF(BO1685="D",1,0)+IF(BT1685="D",1,0)+IF(BU1685="D",1,0)+IF(BW1685="D",1,0)+IF(CC1685="D",1,0)+IF(CD1685="D",1,0)+IF(CE1685="D",1,0)+IF(CF1685="D",1,0)+IF(CL1685="D",1,0)+IF(CM1685="D",1,0)+IF(CQ1685="D",1,0)+IF(CR1685="D",1,0)+IF(CS1685="D",1,0)+IF(CW1685="D",1,0)+IF(CX1685="D",1,0)+IF(DD1685="D",1,0)+IF(DE1685="D",1,0)+IF(DJ1685="D",1,0)+IF(DK1685="D",1,0)+IF(DO1685="D",1,0)+IF(DP1685="D",1,0)+IF(DQ1685="D",1,0)+IF(DW1685="D",1,0)+IF(DZ1685="D",1,0)+IF(EH1685="D",1,0)</f>
        <v>0</v>
      </c>
      <c r="AY1685" s="0" t="n">
        <f aca="false">COUNTIF(DU1685:EH1685, "&lt;&gt;")</f>
        <v>0</v>
      </c>
      <c r="AZ1685" s="0" t="n">
        <f aca="false">IF(EH1685&lt;&gt;"",1,0)</f>
        <v>0</v>
      </c>
      <c r="BB1685" s="0" t="s">
        <v>152</v>
      </c>
    </row>
    <row r="1686" customFormat="false" ht="13.8" hidden="true" customHeight="false" outlineLevel="0" collapsed="false">
      <c r="A1686" s="0" t="s">
        <v>7627</v>
      </c>
      <c r="B1686" s="0" t="n">
        <v>78</v>
      </c>
      <c r="C1686" s="0" t="n">
        <v>300535</v>
      </c>
      <c r="D1686" s="0" t="s">
        <v>7622</v>
      </c>
      <c r="E1686" s="0" t="s">
        <v>7628</v>
      </c>
      <c r="F1686" s="0" t="str">
        <f aca="false">CONCATENATE(D1686," ",LEFT(H1686,4),"T=",AU1686,"D=",AV1686,"R=",AW1686,"M=",AX1686,"L=",AY1686,"B=",AZ1686)</f>
        <v>BOSSARD T=1D=0R=0M=0L=1B=0</v>
      </c>
      <c r="G1686" s="0" t="s">
        <v>190</v>
      </c>
      <c r="I1686" s="0" t="s">
        <v>7629</v>
      </c>
      <c r="J1686" s="0" t="s">
        <v>2284</v>
      </c>
      <c r="K1686" s="0" t="s">
        <v>160</v>
      </c>
      <c r="M1686" s="0" t="s">
        <v>7626</v>
      </c>
      <c r="N1686" s="0" t="str">
        <f aca="false">RIGHT(M1686,LEN(M1686)-FIND(" ",M1686))</f>
        <v>OAK KNOLL AVE SE</v>
      </c>
      <c r="P1686" s="0" t="s">
        <v>145</v>
      </c>
      <c r="Q1686" s="0" t="s">
        <v>146</v>
      </c>
      <c r="R1686" s="0" t="n">
        <v>44484</v>
      </c>
      <c r="AD1686" s="0" t="s">
        <v>147</v>
      </c>
      <c r="AE1686" s="0" t="s">
        <v>148</v>
      </c>
      <c r="AF1686" s="0" t="s">
        <v>149</v>
      </c>
      <c r="AH1686" s="0" t="n">
        <v>14</v>
      </c>
      <c r="AI1686" s="0" t="n">
        <v>11</v>
      </c>
      <c r="AN1686" s="0" t="s">
        <v>145</v>
      </c>
      <c r="AO1686" s="0" t="s">
        <v>233</v>
      </c>
      <c r="AP1686" s="0" t="s">
        <v>234</v>
      </c>
      <c r="AQ1686" s="0" t="n">
        <v>9</v>
      </c>
      <c r="AR1686" s="0" t="n">
        <v>64</v>
      </c>
      <c r="AS1686" s="0" t="n">
        <v>32</v>
      </c>
      <c r="AU1686" s="0" t="n">
        <f aca="false">COUNTA($BA$2154:$EH$2154)</f>
        <v>1</v>
      </c>
      <c r="AV1686" s="0" t="n">
        <f aca="false">COUNTIF($BA$2154:$EH$2154,"D")</f>
        <v>0</v>
      </c>
      <c r="AW1686" s="0" t="n">
        <f aca="false">COUNTIF($BA$2154:$EH$2154,"R")</f>
        <v>0</v>
      </c>
      <c r="AX1686" s="0" t="n">
        <f aca="false">IF(BN1686="D",1,0)+IF(BO1686="D",1,0)+IF(BT1686="D",1,0)+IF(BU1686="D",1,0)+IF(BW1686="D",1,0)+IF(CC1686="D",1,0)+IF(CD1686="D",1,0)+IF(CE1686="D",1,0)+IF(CF1686="D",1,0)+IF(CL1686="D",1,0)+IF(CM1686="D",1,0)+IF(CQ1686="D",1,0)+IF(CR1686="D",1,0)+IF(CS1686="D",1,0)+IF(CW1686="D",1,0)+IF(CX1686="D",1,0)+IF(DD1686="D",1,0)+IF(DE1686="D",1,0)+IF(DJ1686="D",1,0)+IF(DK1686="D",1,0)+IF(DO1686="D",1,0)+IF(DP1686="D",1,0)+IF(DQ1686="D",1,0)+IF(DW1686="D",1,0)+IF(DZ1686="D",1,0)+IF(EH1686="D",1,0)</f>
        <v>0</v>
      </c>
      <c r="AY1686" s="0" t="n">
        <f aca="false">COUNTIF(DU1686:EH1686, "&lt;&gt;")</f>
        <v>1</v>
      </c>
      <c r="AZ1686" s="0" t="n">
        <f aca="false">IF(EH1686&lt;&gt;"",1,0)</f>
        <v>0</v>
      </c>
      <c r="BB1686" s="0" t="s">
        <v>152</v>
      </c>
      <c r="BH1686" s="0" t="s">
        <v>153</v>
      </c>
      <c r="DC1686" s="0" t="s">
        <v>153</v>
      </c>
      <c r="DN1686" s="0" t="s">
        <v>153</v>
      </c>
      <c r="EA1686" s="0" t="s">
        <v>153</v>
      </c>
    </row>
    <row r="1687" customFormat="false" ht="13.8" hidden="true" customHeight="false" outlineLevel="0" collapsed="false">
      <c r="A1687" s="0" t="s">
        <v>7630</v>
      </c>
      <c r="B1687" s="0" t="n">
        <v>78</v>
      </c>
      <c r="C1687" s="0" t="n">
        <v>357262</v>
      </c>
      <c r="D1687" s="0" t="s">
        <v>2325</v>
      </c>
      <c r="E1687" s="0" t="s">
        <v>7631</v>
      </c>
      <c r="F1687" s="0" t="str">
        <f aca="false">CONCATENATE(D1687," ",LEFT(H1687,4),"T=",AU1687,"D=",AV1687,"R=",AW1687,"M=",AX1687,"L=",AY1687,"B=",AZ1687)</f>
        <v>HUGLEY T=1D=0R=0M=0L=1B=0</v>
      </c>
      <c r="G1687" s="0" t="s">
        <v>164</v>
      </c>
      <c r="I1687" s="0" t="s">
        <v>7632</v>
      </c>
      <c r="J1687" s="0" t="s">
        <v>7633</v>
      </c>
      <c r="K1687" s="0" t="s">
        <v>160</v>
      </c>
      <c r="M1687" s="0" t="s">
        <v>7626</v>
      </c>
      <c r="N1687" s="0" t="str">
        <f aca="false">RIGHT(M1687,LEN(M1687)-FIND(" ",M1687))</f>
        <v>OAK KNOLL AVE SE</v>
      </c>
      <c r="P1687" s="0" t="s">
        <v>145</v>
      </c>
      <c r="Q1687" s="0" t="s">
        <v>146</v>
      </c>
      <c r="R1687" s="0" t="n">
        <v>44484</v>
      </c>
      <c r="AD1687" s="0" t="s">
        <v>147</v>
      </c>
      <c r="AE1687" s="0" t="s">
        <v>148</v>
      </c>
      <c r="AF1687" s="0" t="s">
        <v>149</v>
      </c>
      <c r="AH1687" s="0" t="n">
        <v>14</v>
      </c>
      <c r="AI1687" s="0" t="n">
        <v>11</v>
      </c>
      <c r="AN1687" s="0" t="s">
        <v>145</v>
      </c>
      <c r="AO1687" s="0" t="s">
        <v>233</v>
      </c>
      <c r="AP1687" s="0" t="s">
        <v>234</v>
      </c>
      <c r="AQ1687" s="0" t="n">
        <v>9</v>
      </c>
      <c r="AR1687" s="0" t="n">
        <v>64</v>
      </c>
      <c r="AS1687" s="0" t="n">
        <v>32</v>
      </c>
      <c r="AU1687" s="0" t="n">
        <f aca="false">COUNTA($BA$2219:$EH$2219)</f>
        <v>1</v>
      </c>
      <c r="AV1687" s="0" t="n">
        <f aca="false">COUNTIF($BA$2219:$EH$2219,"D")</f>
        <v>0</v>
      </c>
      <c r="AW1687" s="0" t="n">
        <f aca="false">COUNTIF($BA$2219:$EH$2219,"R")</f>
        <v>0</v>
      </c>
      <c r="AX1687" s="0" t="n">
        <f aca="false">IF(BN1687="D",1,0)+IF(BO1687="D",1,0)+IF(BT1687="D",1,0)+IF(BU1687="D",1,0)+IF(BW1687="D",1,0)+IF(CC1687="D",1,0)+IF(CD1687="D",1,0)+IF(CE1687="D",1,0)+IF(CF1687="D",1,0)+IF(CL1687="D",1,0)+IF(CM1687="D",1,0)+IF(CQ1687="D",1,0)+IF(CR1687="D",1,0)+IF(CS1687="D",1,0)+IF(CW1687="D",1,0)+IF(CX1687="D",1,0)+IF(DD1687="D",1,0)+IF(DE1687="D",1,0)+IF(DJ1687="D",1,0)+IF(DK1687="D",1,0)+IF(DO1687="D",1,0)+IF(DP1687="D",1,0)+IF(DQ1687="D",1,0)+IF(DW1687="D",1,0)+IF(DZ1687="D",1,0)+IF(EH1687="D",1,0)</f>
        <v>0</v>
      </c>
      <c r="AY1687" s="0" t="n">
        <f aca="false">COUNTIF(DU1687:EH1687, "&lt;&gt;")</f>
        <v>1</v>
      </c>
      <c r="AZ1687" s="0" t="n">
        <f aca="false">IF(EH1687&lt;&gt;"",1,0)</f>
        <v>0</v>
      </c>
      <c r="BB1687" s="0" t="s">
        <v>152</v>
      </c>
      <c r="CA1687" s="0" t="s">
        <v>153</v>
      </c>
      <c r="CK1687" s="0" t="s">
        <v>153</v>
      </c>
      <c r="CN1687" s="0" t="s">
        <v>153</v>
      </c>
      <c r="CP1687" s="0" t="s">
        <v>153</v>
      </c>
      <c r="CZ1687" s="0" t="s">
        <v>175</v>
      </c>
      <c r="DN1687" s="0" t="s">
        <v>153</v>
      </c>
      <c r="EF1687" s="0" t="s">
        <v>153</v>
      </c>
    </row>
    <row r="1688" customFormat="false" ht="13.8" hidden="true" customHeight="false" outlineLevel="0" collapsed="false">
      <c r="A1688" s="0" t="s">
        <v>7634</v>
      </c>
      <c r="B1688" s="0" t="n">
        <v>78</v>
      </c>
      <c r="C1688" s="0" t="n">
        <v>450337</v>
      </c>
      <c r="D1688" s="0" t="s">
        <v>7622</v>
      </c>
      <c r="E1688" s="0" t="s">
        <v>7635</v>
      </c>
      <c r="F1688" s="0" t="str">
        <f aca="false">CONCATENATE(D1688," ",LEFT(H1688,4),"T=",AU1688,"D=",AV1688,"R=",AW1688,"M=",AX1688,"L=",AY1688,"B=",AZ1688)</f>
        <v>BOSSARD T=4D=0R=0M=0L=1B=0</v>
      </c>
      <c r="G1688" s="0" t="s">
        <v>7636</v>
      </c>
      <c r="I1688" s="0" t="s">
        <v>7637</v>
      </c>
      <c r="J1688" s="0" t="s">
        <v>7638</v>
      </c>
      <c r="K1688" s="0" t="s">
        <v>160</v>
      </c>
      <c r="M1688" s="0" t="s">
        <v>7626</v>
      </c>
      <c r="N1688" s="0" t="str">
        <f aca="false">RIGHT(M1688,LEN(M1688)-FIND(" ",M1688))</f>
        <v>OAK KNOLL AVE SE</v>
      </c>
      <c r="P1688" s="0" t="s">
        <v>145</v>
      </c>
      <c r="Q1688" s="0" t="s">
        <v>146</v>
      </c>
      <c r="R1688" s="0" t="n">
        <v>44484</v>
      </c>
      <c r="AD1688" s="0" t="s">
        <v>147</v>
      </c>
      <c r="AE1688" s="0" t="s">
        <v>148</v>
      </c>
      <c r="AF1688" s="0" t="s">
        <v>149</v>
      </c>
      <c r="AH1688" s="0" t="n">
        <v>14</v>
      </c>
      <c r="AI1688" s="0" t="n">
        <v>11</v>
      </c>
      <c r="AN1688" s="0" t="s">
        <v>145</v>
      </c>
      <c r="AO1688" s="0" t="s">
        <v>233</v>
      </c>
      <c r="AP1688" s="0" t="s">
        <v>234</v>
      </c>
      <c r="AQ1688" s="0" t="n">
        <v>9</v>
      </c>
      <c r="AR1688" s="0" t="n">
        <v>64</v>
      </c>
      <c r="AS1688" s="0" t="n">
        <v>32</v>
      </c>
      <c r="AU1688" s="0" t="n">
        <f aca="false">COUNTA($BA$2622:$EH$2622)</f>
        <v>4</v>
      </c>
      <c r="AV1688" s="0" t="n">
        <f aca="false">COUNTIF($BA$2622:$EH$2622,"D")</f>
        <v>0</v>
      </c>
      <c r="AW1688" s="0" t="n">
        <f aca="false">COUNTIF($BA$2622:$EH$2622,"R")</f>
        <v>0</v>
      </c>
      <c r="AX1688" s="0" t="n">
        <f aca="false">IF(BN1688="D",1,0)+IF(BO1688="D",1,0)+IF(BT1688="D",1,0)+IF(BU1688="D",1,0)+IF(BW1688="D",1,0)+IF(CC1688="D",1,0)+IF(CD1688="D",1,0)+IF(CE1688="D",1,0)+IF(CF1688="D",1,0)+IF(CL1688="D",1,0)+IF(CM1688="D",1,0)+IF(CQ1688="D",1,0)+IF(CR1688="D",1,0)+IF(CS1688="D",1,0)+IF(CW1688="D",1,0)+IF(CX1688="D",1,0)+IF(DD1688="D",1,0)+IF(DE1688="D",1,0)+IF(DJ1688="D",1,0)+IF(DK1688="D",1,0)+IF(DO1688="D",1,0)+IF(DP1688="D",1,0)+IF(DQ1688="D",1,0)+IF(DW1688="D",1,0)+IF(DZ1688="D",1,0)+IF(EH1688="D",1,0)</f>
        <v>0</v>
      </c>
      <c r="AY1688" s="0" t="n">
        <f aca="false">COUNTIF(DU1688:EH1688, "&lt;&gt;")</f>
        <v>1</v>
      </c>
      <c r="AZ1688" s="0" t="n">
        <f aca="false">IF(EH1688&lt;&gt;"",1,0)</f>
        <v>0</v>
      </c>
      <c r="BB1688" s="0" t="s">
        <v>152</v>
      </c>
      <c r="EF1688" s="0" t="s">
        <v>153</v>
      </c>
    </row>
    <row r="1689" customFormat="false" ht="13.8" hidden="false" customHeight="false" outlineLevel="0" collapsed="false">
      <c r="A1689" s="0" t="s">
        <v>7639</v>
      </c>
      <c r="B1689" s="0" t="n">
        <v>78</v>
      </c>
      <c r="C1689" s="0" t="n">
        <v>303278</v>
      </c>
      <c r="D1689" s="0" t="s">
        <v>3940</v>
      </c>
      <c r="E1689" s="0" t="s">
        <v>7640</v>
      </c>
      <c r="F1689" s="0" t="str">
        <f aca="false">CONCATENATE(D1689," ",LEFT(H1689,4),"T=",AU1689,"D=",AV1689,"R=",AW1689,"M=",AX1689,"L=",AY1689,"B=",AZ1689)</f>
        <v>WILSON T=2D=0R=0M=2L=3B=0</v>
      </c>
      <c r="I1689" s="0" t="s">
        <v>7641</v>
      </c>
      <c r="J1689" s="0" t="s">
        <v>7642</v>
      </c>
      <c r="K1689" s="0" t="s">
        <v>160</v>
      </c>
      <c r="L1689" s="0" t="s">
        <v>175</v>
      </c>
      <c r="M1689" s="0" t="s">
        <v>7643</v>
      </c>
      <c r="N1689" s="0" t="str">
        <f aca="false">RIGHT(M1689,LEN(M1689)-FIND(" ",M1689))</f>
        <v>OAK KNOLL AVE SE</v>
      </c>
      <c r="P1689" s="0" t="s">
        <v>145</v>
      </c>
      <c r="Q1689" s="0" t="s">
        <v>146</v>
      </c>
      <c r="R1689" s="0" t="n">
        <v>44484</v>
      </c>
      <c r="AD1689" s="0" t="s">
        <v>147</v>
      </c>
      <c r="AE1689" s="0" t="s">
        <v>148</v>
      </c>
      <c r="AF1689" s="0" t="s">
        <v>149</v>
      </c>
      <c r="AH1689" s="0" t="n">
        <v>14</v>
      </c>
      <c r="AI1689" s="0" t="n">
        <v>11</v>
      </c>
      <c r="AN1689" s="0" t="s">
        <v>145</v>
      </c>
      <c r="AO1689" s="0" t="s">
        <v>233</v>
      </c>
      <c r="AP1689" s="0" t="s">
        <v>234</v>
      </c>
      <c r="AQ1689" s="0" t="n">
        <v>9</v>
      </c>
      <c r="AR1689" s="0" t="n">
        <v>64</v>
      </c>
      <c r="AS1689" s="0" t="n">
        <v>32</v>
      </c>
      <c r="AU1689" s="0" t="n">
        <f aca="false">COUNTA($BA$2095:$EH$2095)</f>
        <v>2</v>
      </c>
      <c r="AV1689" s="0" t="n">
        <f aca="false">COUNTIF($BA$2095:$EH$2095,"D")</f>
        <v>0</v>
      </c>
      <c r="AW1689" s="0" t="n">
        <f aca="false">COUNTIF($BA$2095:$EH$2095,"R")</f>
        <v>0</v>
      </c>
      <c r="AX1689" s="0" t="n">
        <f aca="false">IF(BN1689="D",1,0)+IF(BO1689="D",1,0)+IF(BT1689="D",1,0)+IF(BU1689="D",1,0)+IF(BW1689="D",1,0)+IF(CC1689="D",1,0)+IF(CD1689="D",1,0)+IF(CE1689="D",1,0)+IF(CF1689="D",1,0)+IF(CL1689="D",1,0)+IF(CM1689="D",1,0)+IF(CQ1689="D",1,0)+IF(CR1689="D",1,0)+IF(CS1689="D",1,0)+IF(CW1689="D",1,0)+IF(CX1689="D",1,0)+IF(DD1689="D",1,0)+IF(DE1689="D",1,0)+IF(DJ1689="D",1,0)+IF(DK1689="D",1,0)+IF(DO1689="D",1,0)+IF(DP1689="D",1,0)+IF(DQ1689="D",1,0)+IF(DW1689="D",1,0)+IF(DZ1689="D",1,0)+IF(EH1689="D",1,0)</f>
        <v>2</v>
      </c>
      <c r="AY1689" s="0" t="n">
        <f aca="false">COUNTIF(DU1689:EH1689, "&lt;&gt;")</f>
        <v>3</v>
      </c>
      <c r="AZ1689" s="0" t="n">
        <f aca="false">IF(EH1689&lt;&gt;"",1,0)</f>
        <v>0</v>
      </c>
      <c r="BB1689" s="0" t="s">
        <v>152</v>
      </c>
      <c r="BJ1689" s="0" t="s">
        <v>153</v>
      </c>
      <c r="BL1689" s="0" t="s">
        <v>153</v>
      </c>
      <c r="BP1689" s="0" t="s">
        <v>153</v>
      </c>
      <c r="BS1689" s="0" t="s">
        <v>153</v>
      </c>
      <c r="BY1689" s="0" t="s">
        <v>175</v>
      </c>
      <c r="CA1689" s="0" t="s">
        <v>153</v>
      </c>
      <c r="CK1689" s="0" t="s">
        <v>153</v>
      </c>
      <c r="CL1689" s="0" t="s">
        <v>175</v>
      </c>
      <c r="CN1689" s="0" t="s">
        <v>153</v>
      </c>
      <c r="CP1689" s="0" t="s">
        <v>153</v>
      </c>
      <c r="CY1689" s="0" t="s">
        <v>153</v>
      </c>
      <c r="DC1689" s="0" t="s">
        <v>153</v>
      </c>
      <c r="DI1689" s="0" t="s">
        <v>153</v>
      </c>
      <c r="DL1689" s="0" t="s">
        <v>153</v>
      </c>
      <c r="DN1689" s="0" t="s">
        <v>153</v>
      </c>
      <c r="DU1689" s="0" t="s">
        <v>153</v>
      </c>
      <c r="DW1689" s="0" t="s">
        <v>175</v>
      </c>
      <c r="EF1689" s="0" t="s">
        <v>153</v>
      </c>
    </row>
    <row r="1690" customFormat="false" ht="13.8" hidden="false" customHeight="false" outlineLevel="0" collapsed="false">
      <c r="A1690" s="0" t="s">
        <v>7644</v>
      </c>
      <c r="B1690" s="0" t="n">
        <v>78</v>
      </c>
      <c r="C1690" s="0" t="n">
        <v>151156</v>
      </c>
      <c r="D1690" s="0" t="s">
        <v>1041</v>
      </c>
      <c r="E1690" s="0" t="s">
        <v>6644</v>
      </c>
      <c r="F1690" s="0" t="str">
        <f aca="false">CONCATENATE(D1690," ",LEFT(H1690,4),"T=",AU1690,"D=",AV1690,"R=",AW1690,"M=",AX1690,"L=",AY1690,"B=",AZ1690)</f>
        <v>JONES T=4D=0R=0M=1L=4B=0</v>
      </c>
      <c r="G1690" s="0" t="s">
        <v>195</v>
      </c>
      <c r="I1690" s="0" t="s">
        <v>7645</v>
      </c>
      <c r="J1690" s="0" t="s">
        <v>4123</v>
      </c>
      <c r="K1690" s="0" t="s">
        <v>160</v>
      </c>
      <c r="L1690" s="0" t="s">
        <v>175</v>
      </c>
      <c r="M1690" s="0" t="s">
        <v>7643</v>
      </c>
      <c r="N1690" s="0" t="str">
        <f aca="false">RIGHT(M1690,LEN(M1690)-FIND(" ",M1690))</f>
        <v>OAK KNOLL AVE SE</v>
      </c>
      <c r="P1690" s="0" t="s">
        <v>145</v>
      </c>
      <c r="Q1690" s="0" t="s">
        <v>146</v>
      </c>
      <c r="R1690" s="0" t="n">
        <v>44484</v>
      </c>
      <c r="AD1690" s="0" t="s">
        <v>147</v>
      </c>
      <c r="AE1690" s="0" t="s">
        <v>148</v>
      </c>
      <c r="AF1690" s="0" t="s">
        <v>149</v>
      </c>
      <c r="AH1690" s="0" t="n">
        <v>14</v>
      </c>
      <c r="AI1690" s="0" t="n">
        <v>11</v>
      </c>
      <c r="AN1690" s="0" t="s">
        <v>145</v>
      </c>
      <c r="AO1690" s="0" t="s">
        <v>233</v>
      </c>
      <c r="AP1690" s="0" t="s">
        <v>234</v>
      </c>
      <c r="AQ1690" s="0" t="n">
        <v>9</v>
      </c>
      <c r="AR1690" s="0" t="n">
        <v>64</v>
      </c>
      <c r="AS1690" s="0" t="n">
        <v>32</v>
      </c>
      <c r="AU1690" s="0" t="n">
        <f aca="false">COUNTA($BA$2199:$EH$2199)</f>
        <v>4</v>
      </c>
      <c r="AV1690" s="0" t="n">
        <f aca="false">COUNTIF($BA$2199:$EH$2199,"D")</f>
        <v>0</v>
      </c>
      <c r="AW1690" s="0" t="n">
        <f aca="false">COUNTIF($BA$2199:$EH$2199,"R")</f>
        <v>0</v>
      </c>
      <c r="AX1690" s="0" t="n">
        <f aca="false">IF(BN1690="D",1,0)+IF(BO1690="D",1,0)+IF(BT1690="D",1,0)+IF(BU1690="D",1,0)+IF(BW1690="D",1,0)+IF(CC1690="D",1,0)+IF(CD1690="D",1,0)+IF(CE1690="D",1,0)+IF(CF1690="D",1,0)+IF(CL1690="D",1,0)+IF(CM1690="D",1,0)+IF(CQ1690="D",1,0)+IF(CR1690="D",1,0)+IF(CS1690="D",1,0)+IF(CW1690="D",1,0)+IF(CX1690="D",1,0)+IF(DD1690="D",1,0)+IF(DE1690="D",1,0)+IF(DJ1690="D",1,0)+IF(DK1690="D",1,0)+IF(DO1690="D",1,0)+IF(DP1690="D",1,0)+IF(DQ1690="D",1,0)+IF(DW1690="D",1,0)+IF(DZ1690="D",1,0)+IF(EH1690="D",1,0)</f>
        <v>1</v>
      </c>
      <c r="AY1690" s="0" t="n">
        <f aca="false">COUNTIF(DU1690:EH1690, "&lt;&gt;")</f>
        <v>4</v>
      </c>
      <c r="AZ1690" s="0" t="n">
        <f aca="false">IF(EH1690&lt;&gt;"",1,0)</f>
        <v>0</v>
      </c>
      <c r="BB1690" s="0" t="s">
        <v>152</v>
      </c>
      <c r="BD1690" s="0" t="s">
        <v>153</v>
      </c>
      <c r="BF1690" s="0" t="s">
        <v>153</v>
      </c>
      <c r="BI1690" s="0" t="s">
        <v>153</v>
      </c>
      <c r="BL1690" s="0" t="s">
        <v>153</v>
      </c>
      <c r="BP1690" s="0" t="s">
        <v>153</v>
      </c>
      <c r="BY1690" s="0" t="s">
        <v>175</v>
      </c>
      <c r="CA1690" s="0" t="s">
        <v>153</v>
      </c>
      <c r="CK1690" s="0" t="s">
        <v>153</v>
      </c>
      <c r="CN1690" s="0" t="s">
        <v>153</v>
      </c>
      <c r="CO1690" s="0" t="s">
        <v>175</v>
      </c>
      <c r="CP1690" s="0" t="s">
        <v>153</v>
      </c>
      <c r="DC1690" s="0" t="s">
        <v>153</v>
      </c>
      <c r="DI1690" s="0" t="s">
        <v>153</v>
      </c>
      <c r="DL1690" s="0" t="s">
        <v>153</v>
      </c>
      <c r="DM1690" s="0" t="s">
        <v>175</v>
      </c>
      <c r="DN1690" s="0" t="s">
        <v>153</v>
      </c>
      <c r="DU1690" s="0" t="s">
        <v>153</v>
      </c>
      <c r="DW1690" s="0" t="s">
        <v>175</v>
      </c>
      <c r="EA1690" s="0" t="s">
        <v>153</v>
      </c>
      <c r="EF1690" s="0" t="s">
        <v>153</v>
      </c>
    </row>
    <row r="1691" customFormat="false" ht="13.8" hidden="true" customHeight="false" outlineLevel="0" collapsed="false">
      <c r="A1691" s="0" t="s">
        <v>7646</v>
      </c>
      <c r="B1691" s="0" t="n">
        <v>78</v>
      </c>
      <c r="C1691" s="0" t="n">
        <v>362296</v>
      </c>
      <c r="D1691" s="0" t="s">
        <v>3940</v>
      </c>
      <c r="E1691" s="0" t="s">
        <v>2172</v>
      </c>
      <c r="F1691" s="0" t="str">
        <f aca="false">CONCATENATE(D1691," ",LEFT(H1691,4),"T=",AU1691,"D=",AV1691,"R=",AW1691,"M=",AX1691,"L=",AY1691,"B=",AZ1691)</f>
        <v>WILSON T=13D=2R=1M=0L=1B=0</v>
      </c>
      <c r="G1691" s="0" t="s">
        <v>175</v>
      </c>
      <c r="I1691" s="0" t="s">
        <v>7647</v>
      </c>
      <c r="J1691" s="0" t="s">
        <v>7648</v>
      </c>
      <c r="K1691" s="0" t="s">
        <v>160</v>
      </c>
      <c r="M1691" s="0" t="s">
        <v>7643</v>
      </c>
      <c r="N1691" s="0" t="str">
        <f aca="false">RIGHT(M1691,LEN(M1691)-FIND(" ",M1691))</f>
        <v>OAK KNOLL AVE SE</v>
      </c>
      <c r="P1691" s="0" t="s">
        <v>145</v>
      </c>
      <c r="Q1691" s="0" t="s">
        <v>146</v>
      </c>
      <c r="R1691" s="0" t="n">
        <v>44484</v>
      </c>
      <c r="AD1691" s="0" t="s">
        <v>147</v>
      </c>
      <c r="AE1691" s="0" t="s">
        <v>148</v>
      </c>
      <c r="AF1691" s="0" t="s">
        <v>149</v>
      </c>
      <c r="AH1691" s="0" t="n">
        <v>14</v>
      </c>
      <c r="AI1691" s="0" t="n">
        <v>11</v>
      </c>
      <c r="AN1691" s="0" t="s">
        <v>145</v>
      </c>
      <c r="AO1691" s="0" t="s">
        <v>233</v>
      </c>
      <c r="AP1691" s="0" t="s">
        <v>234</v>
      </c>
      <c r="AQ1691" s="0" t="n">
        <v>9</v>
      </c>
      <c r="AR1691" s="0" t="n">
        <v>64</v>
      </c>
      <c r="AS1691" s="0" t="n">
        <v>32</v>
      </c>
      <c r="AU1691" s="0" t="n">
        <f aca="false">COUNTA($BA$2237:$EH$2237)</f>
        <v>13</v>
      </c>
      <c r="AV1691" s="0" t="n">
        <f aca="false">COUNTIF($BA$2237:$EH$2237,"D")</f>
        <v>2</v>
      </c>
      <c r="AW1691" s="0" t="n">
        <f aca="false">COUNTIF($BA$2237:$EH$2237,"R")</f>
        <v>1</v>
      </c>
      <c r="AX1691" s="0" t="n">
        <f aca="false">IF(BN1691="D",1,0)+IF(BO1691="D",1,0)+IF(BT1691="D",1,0)+IF(BU1691="D",1,0)+IF(BW1691="D",1,0)+IF(CC1691="D",1,0)+IF(CD1691="D",1,0)+IF(CE1691="D",1,0)+IF(CF1691="D",1,0)+IF(CL1691="D",1,0)+IF(CM1691="D",1,0)+IF(CQ1691="D",1,0)+IF(CR1691="D",1,0)+IF(CS1691="D",1,0)+IF(CW1691="D",1,0)+IF(CX1691="D",1,0)+IF(DD1691="D",1,0)+IF(DE1691="D",1,0)+IF(DJ1691="D",1,0)+IF(DK1691="D",1,0)+IF(DO1691="D",1,0)+IF(DP1691="D",1,0)+IF(DQ1691="D",1,0)+IF(DW1691="D",1,0)+IF(DZ1691="D",1,0)+IF(EH1691="D",1,0)</f>
        <v>0</v>
      </c>
      <c r="AY1691" s="0" t="n">
        <f aca="false">COUNTIF(DU1691:EH1691, "&lt;&gt;")</f>
        <v>1</v>
      </c>
      <c r="AZ1691" s="0" t="n">
        <f aca="false">IF(EH1691&lt;&gt;"",1,0)</f>
        <v>0</v>
      </c>
      <c r="BB1691" s="0" t="s">
        <v>152</v>
      </c>
      <c r="CA1691" s="0" t="s">
        <v>153</v>
      </c>
      <c r="CP1691" s="0" t="s">
        <v>153</v>
      </c>
      <c r="DC1691" s="0" t="s">
        <v>153</v>
      </c>
      <c r="DM1691" s="0" t="s">
        <v>175</v>
      </c>
      <c r="DN1691" s="0" t="s">
        <v>153</v>
      </c>
      <c r="EF1691" s="0" t="s">
        <v>153</v>
      </c>
    </row>
    <row r="1692" customFormat="false" ht="13.8" hidden="false" customHeight="false" outlineLevel="0" collapsed="false">
      <c r="A1692" s="0" t="s">
        <v>7649</v>
      </c>
      <c r="B1692" s="0" t="n">
        <v>78</v>
      </c>
      <c r="C1692" s="0" t="n">
        <v>487579</v>
      </c>
      <c r="D1692" s="0" t="s">
        <v>7650</v>
      </c>
      <c r="E1692" s="0" t="s">
        <v>248</v>
      </c>
      <c r="F1692" s="0" t="str">
        <f aca="false">CONCATENATE(D1692," ",LEFT(H1692,4),"T=",AU1692,"D=",AV1692,"R=",AW1692,"M=",AX1692,"L=",AY1692,"B=",AZ1692)</f>
        <v>GADLEY T=15D=4R=0M=0L=4B=0</v>
      </c>
      <c r="G1692" s="0" t="s">
        <v>195</v>
      </c>
      <c r="I1692" s="0" t="s">
        <v>7651</v>
      </c>
      <c r="J1692" s="0" t="s">
        <v>7652</v>
      </c>
      <c r="K1692" s="0" t="s">
        <v>160</v>
      </c>
      <c r="M1692" s="0" t="s">
        <v>7653</v>
      </c>
      <c r="N1692" s="0" t="str">
        <f aca="false">RIGHT(M1692,LEN(M1692)-FIND(" ",M1692))</f>
        <v>OAK KNOLL AVE SE</v>
      </c>
      <c r="P1692" s="0" t="s">
        <v>145</v>
      </c>
      <c r="Q1692" s="0" t="s">
        <v>146</v>
      </c>
      <c r="R1692" s="0" t="n">
        <v>44484</v>
      </c>
      <c r="AD1692" s="0" t="s">
        <v>147</v>
      </c>
      <c r="AE1692" s="0" t="s">
        <v>148</v>
      </c>
      <c r="AF1692" s="0" t="s">
        <v>149</v>
      </c>
      <c r="AH1692" s="0" t="n">
        <v>14</v>
      </c>
      <c r="AI1692" s="0" t="n">
        <v>11</v>
      </c>
      <c r="AN1692" s="0" t="s">
        <v>145</v>
      </c>
      <c r="AO1692" s="0" t="s">
        <v>233</v>
      </c>
      <c r="AP1692" s="0" t="s">
        <v>234</v>
      </c>
      <c r="AQ1692" s="0" t="n">
        <v>9</v>
      </c>
      <c r="AR1692" s="0" t="n">
        <v>64</v>
      </c>
      <c r="AS1692" s="0" t="n">
        <v>32</v>
      </c>
      <c r="AU1692" s="0" t="n">
        <f aca="false">COUNTA($BA$2438:$EH$2438)</f>
        <v>15</v>
      </c>
      <c r="AV1692" s="0" t="n">
        <f aca="false">COUNTIF($BA$2438:$EH$2438,"D")</f>
        <v>4</v>
      </c>
      <c r="AW1692" s="0" t="n">
        <f aca="false">COUNTIF($BA$2438:$EH$2438,"R")</f>
        <v>0</v>
      </c>
      <c r="AX1692" s="0" t="n">
        <f aca="false">IF(BN1692="D",1,0)+IF(BO1692="D",1,0)+IF(BT1692="D",1,0)+IF(BU1692="D",1,0)+IF(BW1692="D",1,0)+IF(CC1692="D",1,0)+IF(CD1692="D",1,0)+IF(CE1692="D",1,0)+IF(CF1692="D",1,0)+IF(CL1692="D",1,0)+IF(CM1692="D",1,0)+IF(CQ1692="D",1,0)+IF(CR1692="D",1,0)+IF(CS1692="D",1,0)+IF(CW1692="D",1,0)+IF(CX1692="D",1,0)+IF(DD1692="D",1,0)+IF(DE1692="D",1,0)+IF(DJ1692="D",1,0)+IF(DK1692="D",1,0)+IF(DO1692="D",1,0)+IF(DP1692="D",1,0)+IF(DQ1692="D",1,0)+IF(DW1692="D",1,0)+IF(DZ1692="D",1,0)+IF(EH1692="D",1,0)</f>
        <v>0</v>
      </c>
      <c r="AY1692" s="0" t="n">
        <f aca="false">COUNTIF(DU1692:EH1692, "&lt;&gt;")</f>
        <v>4</v>
      </c>
      <c r="AZ1692" s="0" t="n">
        <f aca="false">IF(EH1692&lt;&gt;"",1,0)</f>
        <v>0</v>
      </c>
      <c r="BB1692" s="0" t="s">
        <v>152</v>
      </c>
      <c r="DN1692" s="0" t="s">
        <v>153</v>
      </c>
      <c r="DR1692" s="0" t="s">
        <v>153</v>
      </c>
      <c r="DU1692" s="0" t="s">
        <v>153</v>
      </c>
      <c r="DX1692" s="0" t="s">
        <v>153</v>
      </c>
      <c r="EA1692" s="0" t="s">
        <v>153</v>
      </c>
      <c r="ED1692" s="0" t="s">
        <v>209</v>
      </c>
    </row>
    <row r="1693" customFormat="false" ht="13.8" hidden="false" customHeight="false" outlineLevel="0" collapsed="false">
      <c r="A1693" s="0" t="s">
        <v>7654</v>
      </c>
      <c r="B1693" s="0" t="n">
        <v>78</v>
      </c>
      <c r="C1693" s="0" t="n">
        <v>331156</v>
      </c>
      <c r="D1693" s="0" t="s">
        <v>3177</v>
      </c>
      <c r="E1693" s="0" t="s">
        <v>7655</v>
      </c>
      <c r="F1693" s="0" t="str">
        <f aca="false">CONCATENATE(D1693," ",LEFT(H1693,4),"T=",AU1693,"D=",AV1693,"R=",AW1693,"M=",AX1693,"L=",AY1693,"B=",AZ1693)</f>
        <v>MURRAY T=3D=0R=0M=0L=3B=0</v>
      </c>
      <c r="G1693" s="0" t="s">
        <v>175</v>
      </c>
      <c r="I1693" s="0" t="s">
        <v>5876</v>
      </c>
      <c r="J1693" s="0" t="s">
        <v>7656</v>
      </c>
      <c r="K1693" s="0" t="s">
        <v>160</v>
      </c>
      <c r="M1693" s="0" t="s">
        <v>7657</v>
      </c>
      <c r="N1693" s="0" t="str">
        <f aca="false">RIGHT(M1693,LEN(M1693)-FIND(" ",M1693))</f>
        <v>OAK KNOLL AVE SE</v>
      </c>
      <c r="P1693" s="0" t="s">
        <v>145</v>
      </c>
      <c r="Q1693" s="0" t="s">
        <v>146</v>
      </c>
      <c r="R1693" s="0" t="n">
        <v>44484</v>
      </c>
      <c r="AD1693" s="0" t="s">
        <v>147</v>
      </c>
      <c r="AE1693" s="0" t="s">
        <v>148</v>
      </c>
      <c r="AF1693" s="0" t="s">
        <v>149</v>
      </c>
      <c r="AH1693" s="0" t="n">
        <v>14</v>
      </c>
      <c r="AI1693" s="0" t="n">
        <v>11</v>
      </c>
      <c r="AN1693" s="0" t="s">
        <v>145</v>
      </c>
      <c r="AO1693" s="0" t="s">
        <v>233</v>
      </c>
      <c r="AP1693" s="0" t="s">
        <v>234</v>
      </c>
      <c r="AQ1693" s="0" t="n">
        <v>9</v>
      </c>
      <c r="AR1693" s="0" t="n">
        <v>64</v>
      </c>
      <c r="AS1693" s="0" t="n">
        <v>32</v>
      </c>
      <c r="AU1693" s="0" t="n">
        <f aca="false">COUNTA($BA$2158:$EH$2158)</f>
        <v>3</v>
      </c>
      <c r="AV1693" s="0" t="n">
        <f aca="false">COUNTIF($BA$2158:$EH$2158,"D")</f>
        <v>0</v>
      </c>
      <c r="AW1693" s="0" t="n">
        <f aca="false">COUNTIF($BA$2158:$EH$2158,"R")</f>
        <v>0</v>
      </c>
      <c r="AX1693" s="0" t="n">
        <f aca="false">IF(BN1693="D",1,0)+IF(BO1693="D",1,0)+IF(BT1693="D",1,0)+IF(BU1693="D",1,0)+IF(BW1693="D",1,0)+IF(CC1693="D",1,0)+IF(CD1693="D",1,0)+IF(CE1693="D",1,0)+IF(CF1693="D",1,0)+IF(CL1693="D",1,0)+IF(CM1693="D",1,0)+IF(CQ1693="D",1,0)+IF(CR1693="D",1,0)+IF(CS1693="D",1,0)+IF(CW1693="D",1,0)+IF(CX1693="D",1,0)+IF(DD1693="D",1,0)+IF(DE1693="D",1,0)+IF(DJ1693="D",1,0)+IF(DK1693="D",1,0)+IF(DO1693="D",1,0)+IF(DP1693="D",1,0)+IF(DQ1693="D",1,0)+IF(DW1693="D",1,0)+IF(DZ1693="D",1,0)+IF(EH1693="D",1,0)</f>
        <v>0</v>
      </c>
      <c r="AY1693" s="0" t="n">
        <f aca="false">COUNTIF(DU1693:EH1693, "&lt;&gt;")</f>
        <v>3</v>
      </c>
      <c r="AZ1693" s="0" t="n">
        <f aca="false">IF(EH1693&lt;&gt;"",1,0)</f>
        <v>0</v>
      </c>
      <c r="BB1693" s="0" t="s">
        <v>152</v>
      </c>
      <c r="BL1693" s="0" t="s">
        <v>153</v>
      </c>
      <c r="BY1693" s="0" t="s">
        <v>175</v>
      </c>
      <c r="CA1693" s="0" t="s">
        <v>153</v>
      </c>
      <c r="CN1693" s="0" t="s">
        <v>153</v>
      </c>
      <c r="CP1693" s="0" t="s">
        <v>153</v>
      </c>
      <c r="CV1693" s="0" t="s">
        <v>153</v>
      </c>
      <c r="DC1693" s="0" t="s">
        <v>153</v>
      </c>
      <c r="DF1693" s="0" t="s">
        <v>153</v>
      </c>
      <c r="DI1693" s="0" t="s">
        <v>153</v>
      </c>
      <c r="DN1693" s="0" t="s">
        <v>153</v>
      </c>
      <c r="DU1693" s="0" t="s">
        <v>153</v>
      </c>
      <c r="EA1693" s="0" t="s">
        <v>153</v>
      </c>
      <c r="EF1693" s="0" t="s">
        <v>153</v>
      </c>
    </row>
    <row r="1694" customFormat="false" ht="13.8" hidden="true" customHeight="false" outlineLevel="0" collapsed="false">
      <c r="A1694" s="0" t="s">
        <v>7658</v>
      </c>
      <c r="B1694" s="0" t="n">
        <v>78</v>
      </c>
      <c r="C1694" s="0" t="n">
        <v>352398</v>
      </c>
      <c r="D1694" s="0" t="s">
        <v>2238</v>
      </c>
      <c r="E1694" s="0" t="s">
        <v>7659</v>
      </c>
      <c r="F1694" s="0" t="str">
        <f aca="false">CONCATENATE(D1694," ",LEFT(H1694,4),"T=",AU1694,"D=",AV1694,"R=",AW1694,"M=",AX1694,"L=",AY1694,"B=",AZ1694)</f>
        <v>DYSON T=4D=0R=0M=0L=0B=0</v>
      </c>
      <c r="I1694" s="0" t="s">
        <v>764</v>
      </c>
      <c r="J1694" s="0" t="s">
        <v>7660</v>
      </c>
      <c r="K1694" s="0" t="s">
        <v>143</v>
      </c>
      <c r="M1694" s="0" t="s">
        <v>7661</v>
      </c>
      <c r="N1694" s="0" t="str">
        <f aca="false">RIGHT(M1694,LEN(M1694)-FIND(" ",M1694))</f>
        <v>OAK KNOLL AVE SE</v>
      </c>
      <c r="P1694" s="0" t="s">
        <v>145</v>
      </c>
      <c r="Q1694" s="0" t="s">
        <v>146</v>
      </c>
      <c r="R1694" s="0" t="n">
        <v>44484</v>
      </c>
      <c r="AD1694" s="0" t="s">
        <v>147</v>
      </c>
      <c r="AE1694" s="0" t="s">
        <v>148</v>
      </c>
      <c r="AF1694" s="0" t="s">
        <v>149</v>
      </c>
      <c r="AH1694" s="0" t="n">
        <v>14</v>
      </c>
      <c r="AI1694" s="0" t="n">
        <v>11</v>
      </c>
      <c r="AN1694" s="0" t="s">
        <v>145</v>
      </c>
      <c r="AO1694" s="0" t="s">
        <v>233</v>
      </c>
      <c r="AP1694" s="0" t="s">
        <v>234</v>
      </c>
      <c r="AQ1694" s="0" t="n">
        <v>9</v>
      </c>
      <c r="AR1694" s="0" t="n">
        <v>64</v>
      </c>
      <c r="AS1694" s="0" t="n">
        <v>32</v>
      </c>
      <c r="AU1694" s="0" t="n">
        <f aca="false">COUNTA($BA$2627:$EH$2627)</f>
        <v>4</v>
      </c>
      <c r="AV1694" s="0" t="n">
        <f aca="false">COUNTIF($BA$2627:$EH$2627,"D")</f>
        <v>0</v>
      </c>
      <c r="AW1694" s="0" t="n">
        <f aca="false">COUNTIF($BA$2627:$EH$2627,"R")</f>
        <v>0</v>
      </c>
      <c r="AX1694" s="0" t="n">
        <f aca="false">IF(BN1694="D",1,0)+IF(BO1694="D",1,0)+IF(BT1694="D",1,0)+IF(BU1694="D",1,0)+IF(BW1694="D",1,0)+IF(CC1694="D",1,0)+IF(CD1694="D",1,0)+IF(CE1694="D",1,0)+IF(CF1694="D",1,0)+IF(CL1694="D",1,0)+IF(CM1694="D",1,0)+IF(CQ1694="D",1,0)+IF(CR1694="D",1,0)+IF(CS1694="D",1,0)+IF(CW1694="D",1,0)+IF(CX1694="D",1,0)+IF(DD1694="D",1,0)+IF(DE1694="D",1,0)+IF(DJ1694="D",1,0)+IF(DK1694="D",1,0)+IF(DO1694="D",1,0)+IF(DP1694="D",1,0)+IF(DQ1694="D",1,0)+IF(DW1694="D",1,0)+IF(DZ1694="D",1,0)+IF(EH1694="D",1,0)</f>
        <v>0</v>
      </c>
      <c r="AY1694" s="0" t="n">
        <f aca="false">COUNTIF(DU1694:EH1694, "&lt;&gt;")</f>
        <v>0</v>
      </c>
      <c r="AZ1694" s="0" t="n">
        <f aca="false">IF(EH1694&lt;&gt;"",1,0)</f>
        <v>0</v>
      </c>
      <c r="BB1694" s="0" t="s">
        <v>152</v>
      </c>
      <c r="CP1694" s="0" t="s">
        <v>153</v>
      </c>
    </row>
    <row r="1695" customFormat="false" ht="13.8" hidden="true" customHeight="false" outlineLevel="0" collapsed="false">
      <c r="A1695" s="0" t="s">
        <v>7662</v>
      </c>
      <c r="B1695" s="0" t="n">
        <v>78</v>
      </c>
      <c r="C1695" s="0" t="n">
        <v>419077</v>
      </c>
      <c r="D1695" s="0" t="s">
        <v>7663</v>
      </c>
      <c r="E1695" s="0" t="s">
        <v>2045</v>
      </c>
      <c r="F1695" s="0" t="str">
        <f aca="false">CONCATENATE(D1695," ",LEFT(H1695,4),"T=",AU1695,"D=",AV1695,"R=",AW1695,"M=",AX1695,"L=",AY1695,"B=",AZ1695)</f>
        <v>DILLOW T=2D=0R=0M=0L=0B=0</v>
      </c>
      <c r="G1695" s="0" t="s">
        <v>3857</v>
      </c>
      <c r="I1695" s="0" t="s">
        <v>7664</v>
      </c>
      <c r="J1695" s="0" t="s">
        <v>7665</v>
      </c>
      <c r="K1695" s="0" t="s">
        <v>160</v>
      </c>
      <c r="M1695" s="0" t="s">
        <v>7661</v>
      </c>
      <c r="N1695" s="0" t="str">
        <f aca="false">RIGHT(M1695,LEN(M1695)-FIND(" ",M1695))</f>
        <v>OAK KNOLL AVE SE</v>
      </c>
      <c r="P1695" s="0" t="s">
        <v>145</v>
      </c>
      <c r="Q1695" s="0" t="s">
        <v>146</v>
      </c>
      <c r="R1695" s="0" t="n">
        <v>44484</v>
      </c>
      <c r="AD1695" s="0" t="s">
        <v>147</v>
      </c>
      <c r="AE1695" s="0" t="s">
        <v>148</v>
      </c>
      <c r="AF1695" s="0" t="s">
        <v>149</v>
      </c>
      <c r="AH1695" s="0" t="n">
        <v>14</v>
      </c>
      <c r="AI1695" s="0" t="n">
        <v>11</v>
      </c>
      <c r="AN1695" s="0" t="s">
        <v>145</v>
      </c>
      <c r="AO1695" s="0" t="s">
        <v>233</v>
      </c>
      <c r="AP1695" s="0" t="s">
        <v>234</v>
      </c>
      <c r="AQ1695" s="0" t="n">
        <v>9</v>
      </c>
      <c r="AR1695" s="0" t="n">
        <v>64</v>
      </c>
      <c r="AS1695" s="0" t="n">
        <v>32</v>
      </c>
      <c r="AU1695" s="0" t="n">
        <f aca="false">COUNTA($BA$2660:$EH$2660)</f>
        <v>2</v>
      </c>
      <c r="AV1695" s="0" t="n">
        <f aca="false">COUNTIF($BA$2660:$EH$2660,"D")</f>
        <v>0</v>
      </c>
      <c r="AW1695" s="0" t="n">
        <f aca="false">COUNTIF($BA$2660:$EH$2660,"R")</f>
        <v>0</v>
      </c>
      <c r="AX1695" s="0" t="n">
        <f aca="false">IF(BN1695="D",1,0)+IF(BO1695="D",1,0)+IF(BT1695="D",1,0)+IF(BU1695="D",1,0)+IF(BW1695="D",1,0)+IF(CC1695="D",1,0)+IF(CD1695="D",1,0)+IF(CE1695="D",1,0)+IF(CF1695="D",1,0)+IF(CL1695="D",1,0)+IF(CM1695="D",1,0)+IF(CQ1695="D",1,0)+IF(CR1695="D",1,0)+IF(CS1695="D",1,0)+IF(CW1695="D",1,0)+IF(CX1695="D",1,0)+IF(DD1695="D",1,0)+IF(DE1695="D",1,0)+IF(DJ1695="D",1,0)+IF(DK1695="D",1,0)+IF(DO1695="D",1,0)+IF(DP1695="D",1,0)+IF(DQ1695="D",1,0)+IF(DW1695="D",1,0)+IF(DZ1695="D",1,0)+IF(EH1695="D",1,0)</f>
        <v>0</v>
      </c>
      <c r="AY1695" s="0" t="n">
        <f aca="false">COUNTIF(DU1695:EH1695, "&lt;&gt;")</f>
        <v>0</v>
      </c>
      <c r="AZ1695" s="0" t="n">
        <f aca="false">IF(EH1695&lt;&gt;"",1,0)</f>
        <v>0</v>
      </c>
      <c r="BB1695" s="0" t="s">
        <v>152</v>
      </c>
    </row>
    <row r="1696" customFormat="false" ht="13.8" hidden="false" customHeight="false" outlineLevel="0" collapsed="false">
      <c r="A1696" s="0" t="s">
        <v>7666</v>
      </c>
      <c r="B1696" s="0" t="n">
        <v>78</v>
      </c>
      <c r="C1696" s="0" t="n">
        <v>129107</v>
      </c>
      <c r="D1696" s="0" t="s">
        <v>7667</v>
      </c>
      <c r="E1696" s="0" t="s">
        <v>849</v>
      </c>
      <c r="F1696" s="0" t="str">
        <f aca="false">CONCATENATE(D1696," ",LEFT(H1696,4),"T=",AU1696,"D=",AV1696,"R=",AW1696,"M=",AX1696,"L=",AY1696,"B=",AZ1696)</f>
        <v>UJCZO T=5D=0R=0M=7L=7B=1</v>
      </c>
      <c r="G1696" s="0" t="s">
        <v>171</v>
      </c>
      <c r="I1696" s="0" t="s">
        <v>7668</v>
      </c>
      <c r="J1696" s="0" t="s">
        <v>3744</v>
      </c>
      <c r="K1696" s="0" t="s">
        <v>160</v>
      </c>
      <c r="L1696" s="0" t="s">
        <v>175</v>
      </c>
      <c r="M1696" s="0" t="s">
        <v>7669</v>
      </c>
      <c r="N1696" s="0" t="str">
        <f aca="false">RIGHT(M1696,LEN(M1696)-FIND(" ",M1696))</f>
        <v>OAK KNOLL AVE SE</v>
      </c>
      <c r="P1696" s="0" t="s">
        <v>145</v>
      </c>
      <c r="Q1696" s="0" t="s">
        <v>146</v>
      </c>
      <c r="R1696" s="0" t="n">
        <v>44483</v>
      </c>
      <c r="AD1696" s="0" t="s">
        <v>147</v>
      </c>
      <c r="AE1696" s="0" t="s">
        <v>148</v>
      </c>
      <c r="AF1696" s="0" t="s">
        <v>149</v>
      </c>
      <c r="AH1696" s="0" t="n">
        <v>14</v>
      </c>
      <c r="AI1696" s="0" t="n">
        <v>11</v>
      </c>
      <c r="AN1696" s="0" t="s">
        <v>145</v>
      </c>
      <c r="AO1696" s="0" t="s">
        <v>150</v>
      </c>
      <c r="AP1696" s="0" t="s">
        <v>151</v>
      </c>
      <c r="AQ1696" s="0" t="n">
        <v>9</v>
      </c>
      <c r="AR1696" s="0" t="n">
        <v>64</v>
      </c>
      <c r="AS1696" s="0" t="n">
        <v>32</v>
      </c>
      <c r="AU1696" s="0" t="n">
        <f aca="false">COUNTA($BA$462:$EH$462)</f>
        <v>5</v>
      </c>
      <c r="AV1696" s="0" t="n">
        <f aca="false">COUNTIF($BA$462:$EH$462,"D")</f>
        <v>0</v>
      </c>
      <c r="AW1696" s="0" t="n">
        <f aca="false">COUNTIF($BA$462:$EH$462,"R")</f>
        <v>0</v>
      </c>
      <c r="AX1696" s="0" t="n">
        <f aca="false">IF(BN1696="D",1,0)+IF(BO1696="D",1,0)+IF(BT1696="D",1,0)+IF(BU1696="D",1,0)+IF(BW1696="D",1,0)+IF(CC1696="D",1,0)+IF(CD1696="D",1,0)+IF(CE1696="D",1,0)+IF(CF1696="D",1,0)+IF(CL1696="D",1,0)+IF(CM1696="D",1,0)+IF(CQ1696="D",1,0)+IF(CR1696="D",1,0)+IF(CS1696="D",1,0)+IF(CW1696="D",1,0)+IF(CX1696="D",1,0)+IF(DD1696="D",1,0)+IF(DE1696="D",1,0)+IF(DJ1696="D",1,0)+IF(DK1696="D",1,0)+IF(DO1696="D",1,0)+IF(DP1696="D",1,0)+IF(DQ1696="D",1,0)+IF(DW1696="D",1,0)+IF(DZ1696="D",1,0)+IF(EH1696="D",1,0)</f>
        <v>7</v>
      </c>
      <c r="AY1696" s="0" t="n">
        <f aca="false">COUNTIF(DU1696:EH1696, "&lt;&gt;")</f>
        <v>7</v>
      </c>
      <c r="AZ1696" s="0" t="n">
        <f aca="false">IF(EH1696&lt;&gt;"",1,0)</f>
        <v>1</v>
      </c>
      <c r="BB1696" s="0" t="s">
        <v>152</v>
      </c>
      <c r="BC1696" s="0" t="s">
        <v>153</v>
      </c>
      <c r="BD1696" s="0" t="s">
        <v>153</v>
      </c>
      <c r="BE1696" s="0" t="s">
        <v>153</v>
      </c>
      <c r="BF1696" s="0" t="s">
        <v>153</v>
      </c>
      <c r="BG1696" s="0" t="s">
        <v>153</v>
      </c>
      <c r="BH1696" s="0" t="s">
        <v>153</v>
      </c>
      <c r="BI1696" s="0" t="s">
        <v>153</v>
      </c>
      <c r="BJ1696" s="0" t="s">
        <v>153</v>
      </c>
      <c r="BK1696" s="0" t="s">
        <v>153</v>
      </c>
      <c r="BL1696" s="0" t="s">
        <v>153</v>
      </c>
      <c r="BP1696" s="0" t="s">
        <v>153</v>
      </c>
      <c r="BR1696" s="0" t="s">
        <v>153</v>
      </c>
      <c r="BS1696" s="0" t="s">
        <v>153</v>
      </c>
      <c r="BT1696" s="0" t="s">
        <v>153</v>
      </c>
      <c r="BV1696" s="0" t="s">
        <v>153</v>
      </c>
      <c r="BY1696" s="0" t="s">
        <v>175</v>
      </c>
      <c r="CA1696" s="0" t="s">
        <v>153</v>
      </c>
      <c r="CC1696" s="0" t="s">
        <v>175</v>
      </c>
      <c r="CG1696" s="0" t="s">
        <v>153</v>
      </c>
      <c r="CH1696" s="0" t="s">
        <v>175</v>
      </c>
      <c r="CK1696" s="0" t="s">
        <v>153</v>
      </c>
      <c r="CL1696" s="0" t="s">
        <v>175</v>
      </c>
      <c r="CN1696" s="0" t="s">
        <v>153</v>
      </c>
      <c r="CO1696" s="0" t="s">
        <v>175</v>
      </c>
      <c r="CP1696" s="0" t="s">
        <v>153</v>
      </c>
      <c r="CQ1696" s="0" t="s">
        <v>175</v>
      </c>
      <c r="CT1696" s="0" t="s">
        <v>153</v>
      </c>
      <c r="CU1696" s="0" t="s">
        <v>175</v>
      </c>
      <c r="CV1696" s="0" t="s">
        <v>153</v>
      </c>
      <c r="CY1696" s="0" t="s">
        <v>153</v>
      </c>
      <c r="DC1696" s="0" t="s">
        <v>153</v>
      </c>
      <c r="DD1696" s="0" t="s">
        <v>175</v>
      </c>
      <c r="DF1696" s="0" t="s">
        <v>153</v>
      </c>
      <c r="DG1696" s="0" t="s">
        <v>175</v>
      </c>
      <c r="DI1696" s="0" t="s">
        <v>153</v>
      </c>
      <c r="DJ1696" s="0" t="s">
        <v>175</v>
      </c>
      <c r="DL1696" s="0" t="s">
        <v>153</v>
      </c>
      <c r="DM1696" s="0" t="s">
        <v>175</v>
      </c>
      <c r="DN1696" s="0" t="s">
        <v>153</v>
      </c>
      <c r="DR1696" s="0" t="s">
        <v>153</v>
      </c>
      <c r="DS1696" s="0" t="s">
        <v>175</v>
      </c>
      <c r="DT1696" s="0" t="s">
        <v>175</v>
      </c>
      <c r="DU1696" s="0" t="s">
        <v>153</v>
      </c>
      <c r="DW1696" s="0" t="s">
        <v>175</v>
      </c>
      <c r="DX1696" s="0" t="s">
        <v>153</v>
      </c>
      <c r="EA1696" s="0" t="s">
        <v>153</v>
      </c>
      <c r="ED1696" s="0" t="s">
        <v>175</v>
      </c>
      <c r="EF1696" s="0" t="s">
        <v>153</v>
      </c>
      <c r="EH1696" s="0" t="s">
        <v>175</v>
      </c>
    </row>
    <row r="1697" customFormat="false" ht="13.8" hidden="false" customHeight="false" outlineLevel="0" collapsed="false">
      <c r="A1697" s="0" t="s">
        <v>7670</v>
      </c>
      <c r="B1697" s="0" t="n">
        <v>78</v>
      </c>
      <c r="C1697" s="0" t="n">
        <v>293506</v>
      </c>
      <c r="D1697" s="0" t="s">
        <v>7667</v>
      </c>
      <c r="E1697" s="0" t="s">
        <v>140</v>
      </c>
      <c r="F1697" s="0" t="str">
        <f aca="false">CONCATENATE(D1697," ",LEFT(H1697,4),"T=",AU1697,"D=",AV1697,"R=",AW1697,"M=",AX1697,"L=",AY1697,"B=",AZ1697)</f>
        <v>UJCZO T=17D=4R=0M=1L=6B=0</v>
      </c>
      <c r="G1697" s="0" t="s">
        <v>307</v>
      </c>
      <c r="I1697" s="0" t="s">
        <v>7671</v>
      </c>
      <c r="J1697" s="0" t="s">
        <v>7672</v>
      </c>
      <c r="K1697" s="0" t="s">
        <v>160</v>
      </c>
      <c r="L1697" s="0" t="s">
        <v>175</v>
      </c>
      <c r="M1697" s="0" t="s">
        <v>7669</v>
      </c>
      <c r="N1697" s="0" t="str">
        <f aca="false">RIGHT(M1697,LEN(M1697)-FIND(" ",M1697))</f>
        <v>OAK KNOLL AVE SE</v>
      </c>
      <c r="P1697" s="0" t="s">
        <v>145</v>
      </c>
      <c r="Q1697" s="0" t="s">
        <v>146</v>
      </c>
      <c r="R1697" s="0" t="n">
        <v>44483</v>
      </c>
      <c r="AD1697" s="0" t="s">
        <v>147</v>
      </c>
      <c r="AE1697" s="0" t="s">
        <v>148</v>
      </c>
      <c r="AF1697" s="0" t="s">
        <v>149</v>
      </c>
      <c r="AH1697" s="0" t="n">
        <v>14</v>
      </c>
      <c r="AI1697" s="0" t="n">
        <v>11</v>
      </c>
      <c r="AN1697" s="0" t="s">
        <v>145</v>
      </c>
      <c r="AO1697" s="0" t="s">
        <v>150</v>
      </c>
      <c r="AP1697" s="0" t="s">
        <v>151</v>
      </c>
      <c r="AQ1697" s="0" t="n">
        <v>9</v>
      </c>
      <c r="AR1697" s="0" t="n">
        <v>64</v>
      </c>
      <c r="AS1697" s="0" t="n">
        <v>32</v>
      </c>
      <c r="AU1697" s="0" t="n">
        <f aca="false">COUNTA($BA$463:$EH$463)</f>
        <v>17</v>
      </c>
      <c r="AV1697" s="0" t="n">
        <f aca="false">COUNTIF($BA$463:$EH$463,"D")</f>
        <v>4</v>
      </c>
      <c r="AW1697" s="0" t="n">
        <f aca="false">COUNTIF($BA$463:$EH$463,"R")</f>
        <v>0</v>
      </c>
      <c r="AX1697" s="0" t="n">
        <f aca="false">IF(BN1697="D",1,0)+IF(BO1697="D",1,0)+IF(BT1697="D",1,0)+IF(BU1697="D",1,0)+IF(BW1697="D",1,0)+IF(CC1697="D",1,0)+IF(CD1697="D",1,0)+IF(CE1697="D",1,0)+IF(CF1697="D",1,0)+IF(CL1697="D",1,0)+IF(CM1697="D",1,0)+IF(CQ1697="D",1,0)+IF(CR1697="D",1,0)+IF(CS1697="D",1,0)+IF(CW1697="D",1,0)+IF(CX1697="D",1,0)+IF(DD1697="D",1,0)+IF(DE1697="D",1,0)+IF(DJ1697="D",1,0)+IF(DK1697="D",1,0)+IF(DO1697="D",1,0)+IF(DP1697="D",1,0)+IF(DQ1697="D",1,0)+IF(DW1697="D",1,0)+IF(DZ1697="D",1,0)+IF(EH1697="D",1,0)</f>
        <v>1</v>
      </c>
      <c r="AY1697" s="0" t="n">
        <f aca="false">COUNTIF(DU1697:EH1697, "&lt;&gt;")</f>
        <v>6</v>
      </c>
      <c r="AZ1697" s="0" t="n">
        <f aca="false">IF(EH1697&lt;&gt;"",1,0)</f>
        <v>0</v>
      </c>
      <c r="BB1697" s="0" t="s">
        <v>152</v>
      </c>
      <c r="BC1697" s="0" t="s">
        <v>153</v>
      </c>
      <c r="BD1697" s="0" t="s">
        <v>153</v>
      </c>
      <c r="BL1697" s="0" t="s">
        <v>153</v>
      </c>
      <c r="BS1697" s="0" t="s">
        <v>153</v>
      </c>
      <c r="CA1697" s="0" t="s">
        <v>153</v>
      </c>
      <c r="CN1697" s="0" t="s">
        <v>153</v>
      </c>
      <c r="CO1697" s="0" t="s">
        <v>175</v>
      </c>
      <c r="CP1697" s="0" t="s">
        <v>153</v>
      </c>
      <c r="CU1697" s="0" t="s">
        <v>175</v>
      </c>
      <c r="CV1697" s="0" t="s">
        <v>153</v>
      </c>
      <c r="CY1697" s="0" t="s">
        <v>153</v>
      </c>
      <c r="CZ1697" s="0" t="s">
        <v>209</v>
      </c>
      <c r="DC1697" s="0" t="s">
        <v>153</v>
      </c>
      <c r="DI1697" s="0" t="s">
        <v>153</v>
      </c>
      <c r="DL1697" s="0" t="s">
        <v>153</v>
      </c>
      <c r="DM1697" s="0" t="s">
        <v>175</v>
      </c>
      <c r="DN1697" s="0" t="s">
        <v>153</v>
      </c>
      <c r="DR1697" s="0" t="s">
        <v>153</v>
      </c>
      <c r="DU1697" s="0" t="s">
        <v>153</v>
      </c>
      <c r="DW1697" s="0" t="s">
        <v>175</v>
      </c>
      <c r="DX1697" s="0" t="s">
        <v>153</v>
      </c>
      <c r="EA1697" s="0" t="s">
        <v>153</v>
      </c>
      <c r="ED1697" s="0" t="s">
        <v>175</v>
      </c>
      <c r="EF1697" s="0" t="s">
        <v>153</v>
      </c>
    </row>
    <row r="1698" customFormat="false" ht="13.8" hidden="false" customHeight="false" outlineLevel="0" collapsed="false">
      <c r="A1698" s="0" t="s">
        <v>7673</v>
      </c>
      <c r="B1698" s="0" t="n">
        <v>78</v>
      </c>
      <c r="C1698" s="0" t="n">
        <v>142498</v>
      </c>
      <c r="D1698" s="0" t="s">
        <v>7667</v>
      </c>
      <c r="E1698" s="0" t="s">
        <v>872</v>
      </c>
      <c r="F1698" s="0" t="str">
        <f aca="false">CONCATENATE(D1698," ",LEFT(H1698,4),"T=",AU1698,"D=",AV1698,"R=",AW1698,"M=",AX1698,"L=",AY1698,"B=",AZ1698)</f>
        <v>UJCZO T=52D=18R=0M=7L=7B=1</v>
      </c>
      <c r="G1698" s="0" t="s">
        <v>164</v>
      </c>
      <c r="I1698" s="0" t="s">
        <v>7674</v>
      </c>
      <c r="J1698" s="0" t="s">
        <v>3744</v>
      </c>
      <c r="K1698" s="0" t="s">
        <v>160</v>
      </c>
      <c r="L1698" s="0" t="s">
        <v>175</v>
      </c>
      <c r="M1698" s="0" t="s">
        <v>7669</v>
      </c>
      <c r="N1698" s="0" t="str">
        <f aca="false">RIGHT(M1698,LEN(M1698)-FIND(" ",M1698))</f>
        <v>OAK KNOLL AVE SE</v>
      </c>
      <c r="P1698" s="0" t="s">
        <v>145</v>
      </c>
      <c r="Q1698" s="0" t="s">
        <v>146</v>
      </c>
      <c r="R1698" s="0" t="n">
        <v>44483</v>
      </c>
      <c r="AD1698" s="0" t="s">
        <v>147</v>
      </c>
      <c r="AE1698" s="0" t="s">
        <v>148</v>
      </c>
      <c r="AF1698" s="0" t="s">
        <v>149</v>
      </c>
      <c r="AH1698" s="0" t="n">
        <v>14</v>
      </c>
      <c r="AI1698" s="0" t="n">
        <v>11</v>
      </c>
      <c r="AN1698" s="0" t="s">
        <v>145</v>
      </c>
      <c r="AO1698" s="0" t="s">
        <v>150</v>
      </c>
      <c r="AP1698" s="0" t="s">
        <v>151</v>
      </c>
      <c r="AQ1698" s="0" t="n">
        <v>9</v>
      </c>
      <c r="AR1698" s="0" t="n">
        <v>64</v>
      </c>
      <c r="AS1698" s="0" t="n">
        <v>32</v>
      </c>
      <c r="AU1698" s="0" t="n">
        <f aca="false">COUNTA($BA$466:$EH$466)</f>
        <v>52</v>
      </c>
      <c r="AV1698" s="0" t="n">
        <f aca="false">COUNTIF($BA$466:$EH$466,"D")</f>
        <v>18</v>
      </c>
      <c r="AW1698" s="0" t="n">
        <f aca="false">COUNTIF($BA$466:$EH$466,"R")</f>
        <v>0</v>
      </c>
      <c r="AX1698" s="0" t="n">
        <f aca="false">IF(BN1698="D",1,0)+IF(BO1698="D",1,0)+IF(BT1698="D",1,0)+IF(BU1698="D",1,0)+IF(BW1698="D",1,0)+IF(CC1698="D",1,0)+IF(CD1698="D",1,0)+IF(CE1698="D",1,0)+IF(CF1698="D",1,0)+IF(CL1698="D",1,0)+IF(CM1698="D",1,0)+IF(CQ1698="D",1,0)+IF(CR1698="D",1,0)+IF(CS1698="D",1,0)+IF(CW1698="D",1,0)+IF(CX1698="D",1,0)+IF(DD1698="D",1,0)+IF(DE1698="D",1,0)+IF(DJ1698="D",1,0)+IF(DK1698="D",1,0)+IF(DO1698="D",1,0)+IF(DP1698="D",1,0)+IF(DQ1698="D",1,0)+IF(DW1698="D",1,0)+IF(DZ1698="D",1,0)+IF(EH1698="D",1,0)</f>
        <v>7</v>
      </c>
      <c r="AY1698" s="0" t="n">
        <f aca="false">COUNTIF(DU1698:EH1698, "&lt;&gt;")</f>
        <v>7</v>
      </c>
      <c r="AZ1698" s="0" t="n">
        <f aca="false">IF(EH1698&lt;&gt;"",1,0)</f>
        <v>1</v>
      </c>
      <c r="BB1698" s="0" t="s">
        <v>152</v>
      </c>
      <c r="BC1698" s="0" t="s">
        <v>153</v>
      </c>
      <c r="BD1698" s="0" t="s">
        <v>153</v>
      </c>
      <c r="BE1698" s="0" t="s">
        <v>153</v>
      </c>
      <c r="BF1698" s="0" t="s">
        <v>153</v>
      </c>
      <c r="BG1698" s="0" t="s">
        <v>153</v>
      </c>
      <c r="BH1698" s="0" t="s">
        <v>153</v>
      </c>
      <c r="BI1698" s="0" t="s">
        <v>153</v>
      </c>
      <c r="BJ1698" s="0" t="s">
        <v>153</v>
      </c>
      <c r="BK1698" s="0" t="s">
        <v>153</v>
      </c>
      <c r="BL1698" s="0" t="s">
        <v>153</v>
      </c>
      <c r="BP1698" s="0" t="s">
        <v>153</v>
      </c>
      <c r="BR1698" s="0" t="s">
        <v>153</v>
      </c>
      <c r="BS1698" s="0" t="s">
        <v>153</v>
      </c>
      <c r="BT1698" s="0" t="s">
        <v>153</v>
      </c>
      <c r="BV1698" s="0" t="s">
        <v>153</v>
      </c>
      <c r="BY1698" s="0" t="s">
        <v>175</v>
      </c>
      <c r="CA1698" s="0" t="s">
        <v>153</v>
      </c>
      <c r="CC1698" s="0" t="s">
        <v>175</v>
      </c>
      <c r="CG1698" s="0" t="s">
        <v>153</v>
      </c>
      <c r="CH1698" s="0" t="s">
        <v>175</v>
      </c>
      <c r="CK1698" s="0" t="s">
        <v>153</v>
      </c>
      <c r="CL1698" s="0" t="s">
        <v>175</v>
      </c>
      <c r="CN1698" s="0" t="s">
        <v>153</v>
      </c>
      <c r="CO1698" s="0" t="s">
        <v>175</v>
      </c>
      <c r="CP1698" s="0" t="s">
        <v>153</v>
      </c>
      <c r="CQ1698" s="0" t="s">
        <v>175</v>
      </c>
      <c r="CT1698" s="0" t="s">
        <v>153</v>
      </c>
      <c r="CU1698" s="0" t="s">
        <v>175</v>
      </c>
      <c r="CV1698" s="0" t="s">
        <v>153</v>
      </c>
      <c r="CY1698" s="0" t="s">
        <v>153</v>
      </c>
      <c r="CZ1698" s="0" t="s">
        <v>175</v>
      </c>
      <c r="DC1698" s="0" t="s">
        <v>153</v>
      </c>
      <c r="DD1698" s="0" t="s">
        <v>175</v>
      </c>
      <c r="DF1698" s="0" t="s">
        <v>153</v>
      </c>
      <c r="DG1698" s="0" t="s">
        <v>175</v>
      </c>
      <c r="DI1698" s="0" t="s">
        <v>153</v>
      </c>
      <c r="DJ1698" s="0" t="s">
        <v>175</v>
      </c>
      <c r="DL1698" s="0" t="s">
        <v>153</v>
      </c>
      <c r="DM1698" s="0" t="s">
        <v>175</v>
      </c>
      <c r="DN1698" s="0" t="s">
        <v>153</v>
      </c>
      <c r="DR1698" s="0" t="s">
        <v>153</v>
      </c>
      <c r="DS1698" s="0" t="s">
        <v>175</v>
      </c>
      <c r="DT1698" s="0" t="s">
        <v>175</v>
      </c>
      <c r="DU1698" s="0" t="s">
        <v>153</v>
      </c>
      <c r="DW1698" s="0" t="s">
        <v>175</v>
      </c>
      <c r="DX1698" s="0" t="s">
        <v>153</v>
      </c>
      <c r="EA1698" s="0" t="s">
        <v>153</v>
      </c>
      <c r="ED1698" s="0" t="s">
        <v>175</v>
      </c>
      <c r="EF1698" s="0" t="s">
        <v>153</v>
      </c>
      <c r="EH1698" s="0" t="s">
        <v>175</v>
      </c>
    </row>
    <row r="1699" customFormat="false" ht="13.8" hidden="true" customHeight="false" outlineLevel="0" collapsed="false">
      <c r="A1699" s="0" t="s">
        <v>7675</v>
      </c>
      <c r="B1699" s="0" t="n">
        <v>78</v>
      </c>
      <c r="C1699" s="0" t="n">
        <v>379657</v>
      </c>
      <c r="D1699" s="0" t="s">
        <v>7676</v>
      </c>
      <c r="E1699" s="0" t="s">
        <v>7677</v>
      </c>
      <c r="F1699" s="0" t="str">
        <f aca="false">CONCATENATE(D1699," ",LEFT(H1699,4),"T=",AU1699,"D=",AV1699,"R=",AW1699,"M=",AX1699,"L=",AY1699,"B=",AZ1699)</f>
        <v>SCRUGGS T=8D=1R=0M=0L=1B=0</v>
      </c>
      <c r="G1699" s="0" t="s">
        <v>190</v>
      </c>
      <c r="I1699" s="0" t="s">
        <v>7678</v>
      </c>
      <c r="J1699" s="0" t="s">
        <v>2007</v>
      </c>
      <c r="K1699" s="0" t="s">
        <v>160</v>
      </c>
      <c r="M1699" s="0" t="s">
        <v>7679</v>
      </c>
      <c r="N1699" s="0" t="str">
        <f aca="false">RIGHT(M1699,LEN(M1699)-FIND(" ",M1699))</f>
        <v>OAK KNOLL AVE SE</v>
      </c>
      <c r="O1699" s="0" t="s">
        <v>1877</v>
      </c>
      <c r="P1699" s="0" t="s">
        <v>145</v>
      </c>
      <c r="Q1699" s="0" t="s">
        <v>146</v>
      </c>
      <c r="R1699" s="0" t="n">
        <v>44483</v>
      </c>
      <c r="AD1699" s="0" t="s">
        <v>147</v>
      </c>
      <c r="AE1699" s="0" t="s">
        <v>148</v>
      </c>
      <c r="AF1699" s="0" t="s">
        <v>149</v>
      </c>
      <c r="AH1699" s="0" t="n">
        <v>14</v>
      </c>
      <c r="AI1699" s="0" t="n">
        <v>11</v>
      </c>
      <c r="AN1699" s="0" t="s">
        <v>145</v>
      </c>
      <c r="AO1699" s="0" t="s">
        <v>150</v>
      </c>
      <c r="AP1699" s="0" t="s">
        <v>151</v>
      </c>
      <c r="AQ1699" s="0" t="n">
        <v>9</v>
      </c>
      <c r="AR1699" s="0" t="n">
        <v>64</v>
      </c>
      <c r="AS1699" s="0" t="n">
        <v>32</v>
      </c>
      <c r="AU1699" s="0" t="n">
        <f aca="false">COUNTA($BA$208:$EH$208)</f>
        <v>8</v>
      </c>
      <c r="AV1699" s="0" t="n">
        <f aca="false">COUNTIF($BA$208:$EH$208,"D")</f>
        <v>1</v>
      </c>
      <c r="AW1699" s="0" t="n">
        <f aca="false">COUNTIF($BA$208:$EH$208,"R")</f>
        <v>0</v>
      </c>
      <c r="AX1699" s="0" t="n">
        <f aca="false">IF(BN1699="D",1,0)+IF(BO1699="D",1,0)+IF(BT1699="D",1,0)+IF(BU1699="D",1,0)+IF(BW1699="D",1,0)+IF(CC1699="D",1,0)+IF(CD1699="D",1,0)+IF(CE1699="D",1,0)+IF(CF1699="D",1,0)+IF(CL1699="D",1,0)+IF(CM1699="D",1,0)+IF(CQ1699="D",1,0)+IF(CR1699="D",1,0)+IF(CS1699="D",1,0)+IF(CW1699="D",1,0)+IF(CX1699="D",1,0)+IF(DD1699="D",1,0)+IF(DE1699="D",1,0)+IF(DJ1699="D",1,0)+IF(DK1699="D",1,0)+IF(DO1699="D",1,0)+IF(DP1699="D",1,0)+IF(DQ1699="D",1,0)+IF(DW1699="D",1,0)+IF(DZ1699="D",1,0)+IF(EH1699="D",1,0)</f>
        <v>0</v>
      </c>
      <c r="AY1699" s="0" t="n">
        <f aca="false">COUNTIF(DU1699:EH1699, "&lt;&gt;")</f>
        <v>1</v>
      </c>
      <c r="AZ1699" s="0" t="n">
        <f aca="false">IF(EH1699&lt;&gt;"",1,0)</f>
        <v>0</v>
      </c>
      <c r="BB1699" s="0" t="s">
        <v>152</v>
      </c>
      <c r="CP1699" s="0" t="s">
        <v>153</v>
      </c>
      <c r="CZ1699" s="0" t="s">
        <v>175</v>
      </c>
      <c r="DC1699" s="0" t="s">
        <v>153</v>
      </c>
      <c r="DI1699" s="0" t="s">
        <v>153</v>
      </c>
      <c r="DN1699" s="0" t="s">
        <v>153</v>
      </c>
      <c r="EF1699" s="0" t="s">
        <v>153</v>
      </c>
    </row>
    <row r="1700" customFormat="false" ht="13.8" hidden="true" customHeight="false" outlineLevel="0" collapsed="false">
      <c r="A1700" s="0" t="s">
        <v>7680</v>
      </c>
      <c r="B1700" s="0" t="n">
        <v>78</v>
      </c>
      <c r="C1700" s="0" t="n">
        <v>379628</v>
      </c>
      <c r="D1700" s="0" t="s">
        <v>648</v>
      </c>
      <c r="E1700" s="0" t="s">
        <v>7681</v>
      </c>
      <c r="F1700" s="0" t="str">
        <f aca="false">CONCATENATE(D1700," ",LEFT(H1700,4),"T=",AU1700,"D=",AV1700,"R=",AW1700,"M=",AX1700,"L=",AY1700,"B=",AZ1700)</f>
        <v>JORDAN T=6D=1R=0M=0L=1B=0</v>
      </c>
      <c r="G1700" s="0" t="s">
        <v>195</v>
      </c>
      <c r="I1700" s="0" t="s">
        <v>7682</v>
      </c>
      <c r="J1700" s="0" t="s">
        <v>1658</v>
      </c>
      <c r="K1700" s="0" t="s">
        <v>160</v>
      </c>
      <c r="M1700" s="0" t="s">
        <v>7679</v>
      </c>
      <c r="N1700" s="0" t="str">
        <f aca="false">RIGHT(M1700,LEN(M1700)-FIND(" ",M1700))</f>
        <v>OAK KNOLL AVE SE</v>
      </c>
      <c r="O1700" s="0" t="s">
        <v>6948</v>
      </c>
      <c r="P1700" s="0" t="s">
        <v>145</v>
      </c>
      <c r="Q1700" s="0" t="s">
        <v>146</v>
      </c>
      <c r="R1700" s="0" t="n">
        <v>44483</v>
      </c>
      <c r="AD1700" s="0" t="s">
        <v>147</v>
      </c>
      <c r="AE1700" s="0" t="s">
        <v>148</v>
      </c>
      <c r="AF1700" s="0" t="s">
        <v>149</v>
      </c>
      <c r="AH1700" s="0" t="n">
        <v>14</v>
      </c>
      <c r="AI1700" s="0" t="n">
        <v>11</v>
      </c>
      <c r="AN1700" s="0" t="s">
        <v>145</v>
      </c>
      <c r="AO1700" s="0" t="s">
        <v>150</v>
      </c>
      <c r="AP1700" s="0" t="s">
        <v>151</v>
      </c>
      <c r="AQ1700" s="0" t="n">
        <v>9</v>
      </c>
      <c r="AR1700" s="0" t="n">
        <v>64</v>
      </c>
      <c r="AS1700" s="0" t="n">
        <v>32</v>
      </c>
      <c r="AU1700" s="0" t="n">
        <f aca="false">COUNTA($BA$468:$EH$468)</f>
        <v>6</v>
      </c>
      <c r="AV1700" s="0" t="n">
        <f aca="false">COUNTIF($BA$468:$EH$468,"D")</f>
        <v>1</v>
      </c>
      <c r="AW1700" s="0" t="n">
        <f aca="false">COUNTIF($BA$468:$EH$468,"R")</f>
        <v>0</v>
      </c>
      <c r="AX1700" s="0" t="n">
        <f aca="false">IF(BN1700="D",1,0)+IF(BO1700="D",1,0)+IF(BT1700="D",1,0)+IF(BU1700="D",1,0)+IF(BW1700="D",1,0)+IF(CC1700="D",1,0)+IF(CD1700="D",1,0)+IF(CE1700="D",1,0)+IF(CF1700="D",1,0)+IF(CL1700="D",1,0)+IF(CM1700="D",1,0)+IF(CQ1700="D",1,0)+IF(CR1700="D",1,0)+IF(CS1700="D",1,0)+IF(CW1700="D",1,0)+IF(CX1700="D",1,0)+IF(DD1700="D",1,0)+IF(DE1700="D",1,0)+IF(DJ1700="D",1,0)+IF(DK1700="D",1,0)+IF(DO1700="D",1,0)+IF(DP1700="D",1,0)+IF(DQ1700="D",1,0)+IF(DW1700="D",1,0)+IF(DZ1700="D",1,0)+IF(EH1700="D",1,0)</f>
        <v>0</v>
      </c>
      <c r="AY1700" s="0" t="n">
        <f aca="false">COUNTIF(DU1700:EH1700, "&lt;&gt;")</f>
        <v>1</v>
      </c>
      <c r="AZ1700" s="0" t="n">
        <f aca="false">IF(EH1700&lt;&gt;"",1,0)</f>
        <v>0</v>
      </c>
      <c r="BB1700" s="0" t="s">
        <v>152</v>
      </c>
      <c r="DN1700" s="0" t="s">
        <v>153</v>
      </c>
      <c r="EF1700" s="0" t="s">
        <v>153</v>
      </c>
    </row>
    <row r="1701" customFormat="false" ht="13.8" hidden="true" customHeight="false" outlineLevel="0" collapsed="false">
      <c r="A1701" s="0" t="s">
        <v>7683</v>
      </c>
      <c r="B1701" s="0" t="n">
        <v>78</v>
      </c>
      <c r="C1701" s="0" t="n">
        <v>286960</v>
      </c>
      <c r="D1701" s="0" t="s">
        <v>7684</v>
      </c>
      <c r="E1701" s="0" t="s">
        <v>7685</v>
      </c>
      <c r="F1701" s="0" t="str">
        <f aca="false">CONCATENATE(D1701," ",LEFT(H1701,4),"T=",AU1701,"D=",AV1701,"R=",AW1701,"M=",AX1701,"L=",AY1701,"B=",AZ1701)</f>
        <v>HUGHLEY T=4D=0R=0M=0L=1B=0</v>
      </c>
      <c r="G1701" s="0" t="s">
        <v>1031</v>
      </c>
      <c r="I1701" s="0" t="s">
        <v>7686</v>
      </c>
      <c r="J1701" s="0" t="s">
        <v>7687</v>
      </c>
      <c r="K1701" s="0" t="s">
        <v>160</v>
      </c>
      <c r="M1701" s="0" t="s">
        <v>7679</v>
      </c>
      <c r="N1701" s="0" t="str">
        <f aca="false">RIGHT(M1701,LEN(M1701)-FIND(" ",M1701))</f>
        <v>OAK KNOLL AVE SE</v>
      </c>
      <c r="O1701" s="0" t="s">
        <v>6948</v>
      </c>
      <c r="P1701" s="0" t="s">
        <v>145</v>
      </c>
      <c r="Q1701" s="0" t="s">
        <v>146</v>
      </c>
      <c r="R1701" s="0" t="n">
        <v>44483</v>
      </c>
      <c r="AD1701" s="0" t="s">
        <v>147</v>
      </c>
      <c r="AE1701" s="0" t="s">
        <v>148</v>
      </c>
      <c r="AF1701" s="0" t="s">
        <v>149</v>
      </c>
      <c r="AH1701" s="0" t="n">
        <v>14</v>
      </c>
      <c r="AI1701" s="0" t="n">
        <v>11</v>
      </c>
      <c r="AN1701" s="0" t="s">
        <v>145</v>
      </c>
      <c r="AO1701" s="0" t="s">
        <v>150</v>
      </c>
      <c r="AP1701" s="0" t="s">
        <v>151</v>
      </c>
      <c r="AQ1701" s="0" t="n">
        <v>9</v>
      </c>
      <c r="AR1701" s="0" t="n">
        <v>64</v>
      </c>
      <c r="AS1701" s="0" t="n">
        <v>32</v>
      </c>
      <c r="AU1701" s="0" t="n">
        <f aca="false">COUNTA($BA$789:$EH$789)</f>
        <v>4</v>
      </c>
      <c r="AV1701" s="0" t="n">
        <f aca="false">COUNTIF($BA$789:$EH$789,"D")</f>
        <v>0</v>
      </c>
      <c r="AW1701" s="0" t="n">
        <f aca="false">COUNTIF($BA$789:$EH$789,"R")</f>
        <v>0</v>
      </c>
      <c r="AX1701" s="0" t="n">
        <f aca="false">IF(BN1701="D",1,0)+IF(BO1701="D",1,0)+IF(BT1701="D",1,0)+IF(BU1701="D",1,0)+IF(BW1701="D",1,0)+IF(CC1701="D",1,0)+IF(CD1701="D",1,0)+IF(CE1701="D",1,0)+IF(CF1701="D",1,0)+IF(CL1701="D",1,0)+IF(CM1701="D",1,0)+IF(CQ1701="D",1,0)+IF(CR1701="D",1,0)+IF(CS1701="D",1,0)+IF(CW1701="D",1,0)+IF(CX1701="D",1,0)+IF(DD1701="D",1,0)+IF(DE1701="D",1,0)+IF(DJ1701="D",1,0)+IF(DK1701="D",1,0)+IF(DO1701="D",1,0)+IF(DP1701="D",1,0)+IF(DQ1701="D",1,0)+IF(DW1701="D",1,0)+IF(DZ1701="D",1,0)+IF(EH1701="D",1,0)</f>
        <v>0</v>
      </c>
      <c r="AY1701" s="0" t="n">
        <f aca="false">COUNTIF(DU1701:EH1701, "&lt;&gt;")</f>
        <v>1</v>
      </c>
      <c r="AZ1701" s="0" t="n">
        <f aca="false">IF(EH1701&lt;&gt;"",1,0)</f>
        <v>0</v>
      </c>
      <c r="BB1701" s="0" t="s">
        <v>152</v>
      </c>
      <c r="BD1701" s="0" t="s">
        <v>153</v>
      </c>
      <c r="BL1701" s="0" t="s">
        <v>153</v>
      </c>
      <c r="CP1701" s="0" t="s">
        <v>153</v>
      </c>
      <c r="CZ1701" s="0" t="s">
        <v>175</v>
      </c>
      <c r="DC1701" s="0" t="s">
        <v>153</v>
      </c>
      <c r="DI1701" s="0" t="s">
        <v>153</v>
      </c>
      <c r="DM1701" s="0" t="s">
        <v>175</v>
      </c>
      <c r="DN1701" s="0" t="s">
        <v>153</v>
      </c>
      <c r="EF1701" s="0" t="s">
        <v>153</v>
      </c>
    </row>
    <row r="1702" customFormat="false" ht="13.8" hidden="true" customHeight="false" outlineLevel="0" collapsed="false">
      <c r="A1702" s="0" t="s">
        <v>7688</v>
      </c>
      <c r="B1702" s="0" t="n">
        <v>78</v>
      </c>
      <c r="C1702" s="0" t="n">
        <v>487364</v>
      </c>
      <c r="D1702" s="0" t="s">
        <v>7689</v>
      </c>
      <c r="E1702" s="0" t="s">
        <v>7690</v>
      </c>
      <c r="F1702" s="0" t="str">
        <f aca="false">CONCATENATE(D1702," ",LEFT(H1702,4),"T=",AU1702,"D=",AV1702,"R=",AW1702,"M=",AX1702,"L=",AY1702,"B=",AZ1702)</f>
        <v>MERCHANT T=1D=0R=0M=0L=0B=0</v>
      </c>
      <c r="G1702" s="0" t="s">
        <v>164</v>
      </c>
      <c r="I1702" s="0" t="s">
        <v>7691</v>
      </c>
      <c r="J1702" s="0" t="s">
        <v>1050</v>
      </c>
      <c r="K1702" s="0" t="s">
        <v>160</v>
      </c>
      <c r="M1702" s="0" t="s">
        <v>7692</v>
      </c>
      <c r="N1702" s="0" t="str">
        <f aca="false">RIGHT(M1702,LEN(M1702)-FIND(" ",M1702))</f>
        <v>OAK KNOLL AVE SE</v>
      </c>
      <c r="P1702" s="0" t="s">
        <v>145</v>
      </c>
      <c r="Q1702" s="0" t="s">
        <v>146</v>
      </c>
      <c r="R1702" s="0" t="n">
        <v>44484</v>
      </c>
      <c r="AD1702" s="0" t="s">
        <v>147</v>
      </c>
      <c r="AE1702" s="0" t="s">
        <v>148</v>
      </c>
      <c r="AF1702" s="0" t="s">
        <v>149</v>
      </c>
      <c r="AH1702" s="0" t="n">
        <v>14</v>
      </c>
      <c r="AI1702" s="0" t="n">
        <v>11</v>
      </c>
      <c r="AN1702" s="0" t="s">
        <v>145</v>
      </c>
      <c r="AO1702" s="0" t="s">
        <v>233</v>
      </c>
      <c r="AP1702" s="0" t="s">
        <v>234</v>
      </c>
      <c r="AQ1702" s="0" t="n">
        <v>9</v>
      </c>
      <c r="AR1702" s="0" t="n">
        <v>64</v>
      </c>
      <c r="AS1702" s="0" t="n">
        <v>32</v>
      </c>
      <c r="AU1702" s="0" t="n">
        <f aca="false">COUNTA($BA$2180:$EH$2180)</f>
        <v>1</v>
      </c>
      <c r="AV1702" s="0" t="n">
        <f aca="false">COUNTIF($BA$2180:$EH$2180,"D")</f>
        <v>0</v>
      </c>
      <c r="AW1702" s="0" t="n">
        <f aca="false">COUNTIF($BA$2180:$EH$2180,"R")</f>
        <v>0</v>
      </c>
      <c r="AX1702" s="0" t="n">
        <f aca="false">IF(BN1702="D",1,0)+IF(BO1702="D",1,0)+IF(BT1702="D",1,0)+IF(BU1702="D",1,0)+IF(BW1702="D",1,0)+IF(CC1702="D",1,0)+IF(CD1702="D",1,0)+IF(CE1702="D",1,0)+IF(CF1702="D",1,0)+IF(CL1702="D",1,0)+IF(CM1702="D",1,0)+IF(CQ1702="D",1,0)+IF(CR1702="D",1,0)+IF(CS1702="D",1,0)+IF(CW1702="D",1,0)+IF(CX1702="D",1,0)+IF(DD1702="D",1,0)+IF(DE1702="D",1,0)+IF(DJ1702="D",1,0)+IF(DK1702="D",1,0)+IF(DO1702="D",1,0)+IF(DP1702="D",1,0)+IF(DQ1702="D",1,0)+IF(DW1702="D",1,0)+IF(DZ1702="D",1,0)+IF(EH1702="D",1,0)</f>
        <v>0</v>
      </c>
      <c r="AY1702" s="0" t="n">
        <f aca="false">COUNTIF(DU1702:EH1702, "&lt;&gt;")</f>
        <v>0</v>
      </c>
      <c r="AZ1702" s="0" t="n">
        <f aca="false">IF(EH1702&lt;&gt;"",1,0)</f>
        <v>0</v>
      </c>
      <c r="BB1702" s="0" t="s">
        <v>152</v>
      </c>
    </row>
    <row r="1703" customFormat="false" ht="13.8" hidden="true" customHeight="false" outlineLevel="0" collapsed="false">
      <c r="A1703" s="0" t="s">
        <v>7693</v>
      </c>
      <c r="B1703" s="0" t="n">
        <v>78</v>
      </c>
      <c r="C1703" s="0" t="n">
        <v>487368</v>
      </c>
      <c r="D1703" s="0" t="s">
        <v>7694</v>
      </c>
      <c r="E1703" s="0" t="s">
        <v>7695</v>
      </c>
      <c r="F1703" s="0" t="str">
        <f aca="false">CONCATENATE(D1703," ",LEFT(H1703,4),"T=",AU1703,"D=",AV1703,"R=",AW1703,"M=",AX1703,"L=",AY1703,"B=",AZ1703)</f>
        <v>PIFER T=18D=2R=0M=0L=1B=0</v>
      </c>
      <c r="G1703" s="0" t="s">
        <v>268</v>
      </c>
      <c r="I1703" s="0" t="s">
        <v>7696</v>
      </c>
      <c r="J1703" s="0" t="s">
        <v>1050</v>
      </c>
      <c r="K1703" s="0" t="s">
        <v>160</v>
      </c>
      <c r="M1703" s="0" t="s">
        <v>7692</v>
      </c>
      <c r="N1703" s="0" t="str">
        <f aca="false">RIGHT(M1703,LEN(M1703)-FIND(" ",M1703))</f>
        <v>OAK KNOLL AVE SE</v>
      </c>
      <c r="P1703" s="0" t="s">
        <v>145</v>
      </c>
      <c r="Q1703" s="0" t="s">
        <v>146</v>
      </c>
      <c r="R1703" s="0" t="n">
        <v>44484</v>
      </c>
      <c r="AD1703" s="0" t="s">
        <v>147</v>
      </c>
      <c r="AE1703" s="0" t="s">
        <v>148</v>
      </c>
      <c r="AF1703" s="0" t="s">
        <v>149</v>
      </c>
      <c r="AH1703" s="0" t="n">
        <v>14</v>
      </c>
      <c r="AI1703" s="0" t="n">
        <v>11</v>
      </c>
      <c r="AN1703" s="0" t="s">
        <v>145</v>
      </c>
      <c r="AO1703" s="0" t="s">
        <v>233</v>
      </c>
      <c r="AP1703" s="0" t="s">
        <v>234</v>
      </c>
      <c r="AQ1703" s="0" t="n">
        <v>9</v>
      </c>
      <c r="AR1703" s="0" t="n">
        <v>64</v>
      </c>
      <c r="AS1703" s="0" t="n">
        <v>32</v>
      </c>
      <c r="AU1703" s="0" t="n">
        <f aca="false">COUNTA($BA$2190:$EH$2190)</f>
        <v>18</v>
      </c>
      <c r="AV1703" s="0" t="n">
        <f aca="false">COUNTIF($BA$2190:$EH$2190,"D")</f>
        <v>2</v>
      </c>
      <c r="AW1703" s="0" t="n">
        <f aca="false">COUNTIF($BA$2190:$EH$2190,"R")</f>
        <v>0</v>
      </c>
      <c r="AX1703" s="0" t="n">
        <f aca="false">IF(BN1703="D",1,0)+IF(BO1703="D",1,0)+IF(BT1703="D",1,0)+IF(BU1703="D",1,0)+IF(BW1703="D",1,0)+IF(CC1703="D",1,0)+IF(CD1703="D",1,0)+IF(CE1703="D",1,0)+IF(CF1703="D",1,0)+IF(CL1703="D",1,0)+IF(CM1703="D",1,0)+IF(CQ1703="D",1,0)+IF(CR1703="D",1,0)+IF(CS1703="D",1,0)+IF(CW1703="D",1,0)+IF(CX1703="D",1,0)+IF(DD1703="D",1,0)+IF(DE1703="D",1,0)+IF(DJ1703="D",1,0)+IF(DK1703="D",1,0)+IF(DO1703="D",1,0)+IF(DP1703="D",1,0)+IF(DQ1703="D",1,0)+IF(DW1703="D",1,0)+IF(DZ1703="D",1,0)+IF(EH1703="D",1,0)</f>
        <v>0</v>
      </c>
      <c r="AY1703" s="0" t="n">
        <f aca="false">COUNTIF(DU1703:EH1703, "&lt;&gt;")</f>
        <v>1</v>
      </c>
      <c r="AZ1703" s="0" t="n">
        <f aca="false">IF(EH1703&lt;&gt;"",1,0)</f>
        <v>0</v>
      </c>
      <c r="BB1703" s="0" t="s">
        <v>152</v>
      </c>
      <c r="EF1703" s="0" t="s">
        <v>153</v>
      </c>
    </row>
    <row r="1704" customFormat="false" ht="13.8" hidden="true" customHeight="false" outlineLevel="0" collapsed="false">
      <c r="A1704" s="0" t="s">
        <v>7697</v>
      </c>
      <c r="B1704" s="0" t="n">
        <v>78</v>
      </c>
      <c r="C1704" s="0" t="n">
        <v>487370</v>
      </c>
      <c r="D1704" s="0" t="s">
        <v>7698</v>
      </c>
      <c r="E1704" s="0" t="s">
        <v>7699</v>
      </c>
      <c r="F1704" s="0" t="str">
        <f aca="false">CONCATENATE(D1704," ",LEFT(H1704,4),"T=",AU1704,"D=",AV1704,"R=",AW1704,"M=",AX1704,"L=",AY1704,"B=",AZ1704)</f>
        <v>CAVALCANTI T=8D=1R=0M=0L=0B=0</v>
      </c>
      <c r="G1704" s="0" t="s">
        <v>164</v>
      </c>
      <c r="I1704" s="0" t="s">
        <v>7700</v>
      </c>
      <c r="J1704" s="0" t="s">
        <v>1050</v>
      </c>
      <c r="K1704" s="0" t="s">
        <v>160</v>
      </c>
      <c r="M1704" s="0" t="s">
        <v>7692</v>
      </c>
      <c r="N1704" s="0" t="str">
        <f aca="false">RIGHT(M1704,LEN(M1704)-FIND(" ",M1704))</f>
        <v>OAK KNOLL AVE SE</v>
      </c>
      <c r="P1704" s="0" t="s">
        <v>145</v>
      </c>
      <c r="Q1704" s="0" t="s">
        <v>146</v>
      </c>
      <c r="R1704" s="0" t="n">
        <v>44484</v>
      </c>
      <c r="AD1704" s="0" t="s">
        <v>147</v>
      </c>
      <c r="AE1704" s="0" t="s">
        <v>148</v>
      </c>
      <c r="AF1704" s="0" t="s">
        <v>149</v>
      </c>
      <c r="AH1704" s="0" t="n">
        <v>14</v>
      </c>
      <c r="AI1704" s="0" t="n">
        <v>11</v>
      </c>
      <c r="AN1704" s="0" t="s">
        <v>145</v>
      </c>
      <c r="AO1704" s="0" t="s">
        <v>233</v>
      </c>
      <c r="AP1704" s="0" t="s">
        <v>234</v>
      </c>
      <c r="AQ1704" s="0" t="n">
        <v>9</v>
      </c>
      <c r="AR1704" s="0" t="n">
        <v>64</v>
      </c>
      <c r="AS1704" s="0" t="n">
        <v>32</v>
      </c>
      <c r="AU1704" s="0" t="n">
        <f aca="false">COUNTA($BA$2196:$EH$2196)</f>
        <v>8</v>
      </c>
      <c r="AV1704" s="0" t="n">
        <f aca="false">COUNTIF($BA$2196:$EH$2196,"D")</f>
        <v>1</v>
      </c>
      <c r="AW1704" s="0" t="n">
        <f aca="false">COUNTIF($BA$2196:$EH$2196,"R")</f>
        <v>0</v>
      </c>
      <c r="AX1704" s="0" t="n">
        <f aca="false">IF(BN1704="D",1,0)+IF(BO1704="D",1,0)+IF(BT1704="D",1,0)+IF(BU1704="D",1,0)+IF(BW1704="D",1,0)+IF(CC1704="D",1,0)+IF(CD1704="D",1,0)+IF(CE1704="D",1,0)+IF(CF1704="D",1,0)+IF(CL1704="D",1,0)+IF(CM1704="D",1,0)+IF(CQ1704="D",1,0)+IF(CR1704="D",1,0)+IF(CS1704="D",1,0)+IF(CW1704="D",1,0)+IF(CX1704="D",1,0)+IF(DD1704="D",1,0)+IF(DE1704="D",1,0)+IF(DJ1704="D",1,0)+IF(DK1704="D",1,0)+IF(DO1704="D",1,0)+IF(DP1704="D",1,0)+IF(DQ1704="D",1,0)+IF(DW1704="D",1,0)+IF(DZ1704="D",1,0)+IF(EH1704="D",1,0)</f>
        <v>0</v>
      </c>
      <c r="AY1704" s="0" t="n">
        <f aca="false">COUNTIF(DU1704:EH1704, "&lt;&gt;")</f>
        <v>0</v>
      </c>
      <c r="AZ1704" s="0" t="n">
        <f aca="false">IF(EH1704&lt;&gt;"",1,0)</f>
        <v>0</v>
      </c>
      <c r="BB1704" s="0" t="s">
        <v>152</v>
      </c>
    </row>
    <row r="1705" customFormat="false" ht="13.8" hidden="true" customHeight="false" outlineLevel="0" collapsed="false">
      <c r="A1705" s="0" t="s">
        <v>7701</v>
      </c>
      <c r="B1705" s="0" t="n">
        <v>78</v>
      </c>
      <c r="C1705" s="0" t="n">
        <v>488055</v>
      </c>
      <c r="D1705" s="0" t="s">
        <v>2774</v>
      </c>
      <c r="E1705" s="0" t="s">
        <v>658</v>
      </c>
      <c r="F1705" s="0" t="str">
        <f aca="false">CONCATENATE(D1705," ",LEFT(H1705,4),"T=",AU1705,"D=",AV1705,"R=",AW1705,"M=",AX1705,"L=",AY1705,"B=",AZ1705)</f>
        <v>CRAIG T=27D=8R=0M=0L=0B=0</v>
      </c>
      <c r="G1705" s="0" t="s">
        <v>195</v>
      </c>
      <c r="I1705" s="0" t="s">
        <v>7702</v>
      </c>
      <c r="J1705" s="0" t="s">
        <v>3340</v>
      </c>
      <c r="K1705" s="0" t="s">
        <v>160</v>
      </c>
      <c r="M1705" s="0" t="s">
        <v>7692</v>
      </c>
      <c r="N1705" s="0" t="str">
        <f aca="false">RIGHT(M1705,LEN(M1705)-FIND(" ",M1705))</f>
        <v>OAK KNOLL AVE SE</v>
      </c>
      <c r="P1705" s="0" t="s">
        <v>145</v>
      </c>
      <c r="Q1705" s="0" t="s">
        <v>146</v>
      </c>
      <c r="R1705" s="0" t="n">
        <v>44484</v>
      </c>
      <c r="AD1705" s="0" t="s">
        <v>147</v>
      </c>
      <c r="AE1705" s="0" t="s">
        <v>148</v>
      </c>
      <c r="AF1705" s="0" t="s">
        <v>149</v>
      </c>
      <c r="AH1705" s="0" t="n">
        <v>14</v>
      </c>
      <c r="AI1705" s="0" t="n">
        <v>11</v>
      </c>
      <c r="AN1705" s="0" t="s">
        <v>145</v>
      </c>
      <c r="AO1705" s="0" t="s">
        <v>233</v>
      </c>
      <c r="AP1705" s="0" t="s">
        <v>234</v>
      </c>
      <c r="AQ1705" s="0" t="n">
        <v>9</v>
      </c>
      <c r="AR1705" s="0" t="n">
        <v>64</v>
      </c>
      <c r="AS1705" s="0" t="n">
        <v>32</v>
      </c>
      <c r="AU1705" s="0" t="n">
        <f aca="false">COUNTA($BA$2338:$EH$2338)</f>
        <v>27</v>
      </c>
      <c r="AV1705" s="0" t="n">
        <f aca="false">COUNTIF($BA$2338:$EH$2338,"D")</f>
        <v>8</v>
      </c>
      <c r="AW1705" s="0" t="n">
        <f aca="false">COUNTIF($BA$2338:$EH$2338,"R")</f>
        <v>0</v>
      </c>
      <c r="AX1705" s="0" t="n">
        <f aca="false">IF(BN1705="D",1,0)+IF(BO1705="D",1,0)+IF(BT1705="D",1,0)+IF(BU1705="D",1,0)+IF(BW1705="D",1,0)+IF(CC1705="D",1,0)+IF(CD1705="D",1,0)+IF(CE1705="D",1,0)+IF(CF1705="D",1,0)+IF(CL1705="D",1,0)+IF(CM1705="D",1,0)+IF(CQ1705="D",1,0)+IF(CR1705="D",1,0)+IF(CS1705="D",1,0)+IF(CW1705="D",1,0)+IF(CX1705="D",1,0)+IF(DD1705="D",1,0)+IF(DE1705="D",1,0)+IF(DJ1705="D",1,0)+IF(DK1705="D",1,0)+IF(DO1705="D",1,0)+IF(DP1705="D",1,0)+IF(DQ1705="D",1,0)+IF(DW1705="D",1,0)+IF(DZ1705="D",1,0)+IF(EH1705="D",1,0)</f>
        <v>0</v>
      </c>
      <c r="AY1705" s="0" t="n">
        <f aca="false">COUNTIF(DU1705:EH1705, "&lt;&gt;")</f>
        <v>0</v>
      </c>
      <c r="AZ1705" s="0" t="n">
        <f aca="false">IF(EH1705&lt;&gt;"",1,0)</f>
        <v>0</v>
      </c>
      <c r="BB1705" s="0" t="s">
        <v>152</v>
      </c>
      <c r="CG1705" s="0" t="s">
        <v>153</v>
      </c>
      <c r="CP1705" s="0" t="s">
        <v>153</v>
      </c>
    </row>
    <row r="1706" customFormat="false" ht="13.8" hidden="false" customHeight="false" outlineLevel="0" collapsed="false">
      <c r="A1706" s="0" t="s">
        <v>7703</v>
      </c>
      <c r="B1706" s="0" t="n">
        <v>78</v>
      </c>
      <c r="C1706" s="0" t="n">
        <v>495017</v>
      </c>
      <c r="D1706" s="0" t="s">
        <v>7694</v>
      </c>
      <c r="E1706" s="0" t="s">
        <v>208</v>
      </c>
      <c r="F1706" s="0" t="str">
        <f aca="false">CONCATENATE(D1706," ",LEFT(H1706,4),"T=",AU1706,"D=",AV1706,"R=",AW1706,"M=",AX1706,"L=",AY1706,"B=",AZ1706)</f>
        <v>PIFER T=2D=0R=0M=0L=2B=0</v>
      </c>
      <c r="G1706" s="0" t="s">
        <v>209</v>
      </c>
      <c r="I1706" s="0" t="s">
        <v>7704</v>
      </c>
      <c r="J1706" s="0" t="s">
        <v>7705</v>
      </c>
      <c r="K1706" s="0" t="s">
        <v>160</v>
      </c>
      <c r="M1706" s="0" t="s">
        <v>7692</v>
      </c>
      <c r="N1706" s="0" t="str">
        <f aca="false">RIGHT(M1706,LEN(M1706)-FIND(" ",M1706))</f>
        <v>OAK KNOLL AVE SE</v>
      </c>
      <c r="P1706" s="0" t="s">
        <v>145</v>
      </c>
      <c r="Q1706" s="0" t="s">
        <v>146</v>
      </c>
      <c r="R1706" s="0" t="n">
        <v>44484</v>
      </c>
      <c r="AD1706" s="0" t="s">
        <v>147</v>
      </c>
      <c r="AE1706" s="0" t="s">
        <v>148</v>
      </c>
      <c r="AF1706" s="0" t="s">
        <v>149</v>
      </c>
      <c r="AH1706" s="0" t="n">
        <v>14</v>
      </c>
      <c r="AI1706" s="0" t="n">
        <v>11</v>
      </c>
      <c r="AN1706" s="0" t="s">
        <v>145</v>
      </c>
      <c r="AO1706" s="0" t="s">
        <v>233</v>
      </c>
      <c r="AP1706" s="0" t="s">
        <v>234</v>
      </c>
      <c r="AQ1706" s="0" t="n">
        <v>9</v>
      </c>
      <c r="AR1706" s="0" t="n">
        <v>64</v>
      </c>
      <c r="AS1706" s="0" t="n">
        <v>32</v>
      </c>
      <c r="AU1706" s="0" t="n">
        <f aca="false">COUNTA($BA$2575:$EH$2575)</f>
        <v>2</v>
      </c>
      <c r="AV1706" s="0" t="n">
        <f aca="false">COUNTIF($BA$2575:$EH$2575,"D")</f>
        <v>0</v>
      </c>
      <c r="AW1706" s="0" t="n">
        <f aca="false">COUNTIF($BA$2575:$EH$2575,"R")</f>
        <v>0</v>
      </c>
      <c r="AX1706" s="0" t="n">
        <f aca="false">IF(BN1706="D",1,0)+IF(BO1706="D",1,0)+IF(BT1706="D",1,0)+IF(BU1706="D",1,0)+IF(BW1706="D",1,0)+IF(CC1706="D",1,0)+IF(CD1706="D",1,0)+IF(CE1706="D",1,0)+IF(CF1706="D",1,0)+IF(CL1706="D",1,0)+IF(CM1706="D",1,0)+IF(CQ1706="D",1,0)+IF(CR1706="D",1,0)+IF(CS1706="D",1,0)+IF(CW1706="D",1,0)+IF(CX1706="D",1,0)+IF(DD1706="D",1,0)+IF(DE1706="D",1,0)+IF(DJ1706="D",1,0)+IF(DK1706="D",1,0)+IF(DO1706="D",1,0)+IF(DP1706="D",1,0)+IF(DQ1706="D",1,0)+IF(DW1706="D",1,0)+IF(DZ1706="D",1,0)+IF(EH1706="D",1,0)</f>
        <v>0</v>
      </c>
      <c r="AY1706" s="0" t="n">
        <f aca="false">COUNTIF(DU1706:EH1706, "&lt;&gt;")</f>
        <v>2</v>
      </c>
      <c r="AZ1706" s="0" t="n">
        <f aca="false">IF(EH1706&lt;&gt;"",1,0)</f>
        <v>0</v>
      </c>
      <c r="BB1706" s="0" t="s">
        <v>152</v>
      </c>
      <c r="BD1706" s="0" t="s">
        <v>153</v>
      </c>
      <c r="BL1706" s="0" t="s">
        <v>153</v>
      </c>
      <c r="BP1706" s="0" t="s">
        <v>153</v>
      </c>
      <c r="BY1706" s="0" t="s">
        <v>175</v>
      </c>
      <c r="CG1706" s="0" t="s">
        <v>153</v>
      </c>
      <c r="CK1706" s="0" t="s">
        <v>153</v>
      </c>
      <c r="CN1706" s="0" t="s">
        <v>153</v>
      </c>
      <c r="CO1706" s="0" t="s">
        <v>175</v>
      </c>
      <c r="CP1706" s="0" t="s">
        <v>153</v>
      </c>
      <c r="DC1706" s="0" t="s">
        <v>153</v>
      </c>
      <c r="DF1706" s="0" t="s">
        <v>153</v>
      </c>
      <c r="DI1706" s="0" t="s">
        <v>153</v>
      </c>
      <c r="DN1706" s="0" t="s">
        <v>153</v>
      </c>
      <c r="DU1706" s="0" t="s">
        <v>153</v>
      </c>
      <c r="DX1706" s="0" t="s">
        <v>153</v>
      </c>
    </row>
    <row r="1707" customFormat="false" ht="13.8" hidden="true" customHeight="false" outlineLevel="0" collapsed="false">
      <c r="A1707" s="0" t="s">
        <v>7706</v>
      </c>
      <c r="B1707" s="0" t="n">
        <v>78</v>
      </c>
      <c r="C1707" s="0" t="n">
        <v>491660</v>
      </c>
      <c r="D1707" s="0" t="s">
        <v>7694</v>
      </c>
      <c r="E1707" s="0" t="s">
        <v>1259</v>
      </c>
      <c r="F1707" s="0" t="str">
        <f aca="false">CONCATENATE(D1707," ",LEFT(H1707,4),"T=",AU1707,"D=",AV1707,"R=",AW1707,"M=",AX1707,"L=",AY1707,"B=",AZ1707)</f>
        <v>PIFER T=2D=0R=0M=0L=1B=0</v>
      </c>
      <c r="G1707" s="0" t="s">
        <v>331</v>
      </c>
      <c r="I1707" s="0" t="s">
        <v>7707</v>
      </c>
      <c r="J1707" s="0" t="s">
        <v>404</v>
      </c>
      <c r="K1707" s="0" t="s">
        <v>160</v>
      </c>
      <c r="M1707" s="0" t="s">
        <v>7692</v>
      </c>
      <c r="N1707" s="0" t="str">
        <f aca="false">RIGHT(M1707,LEN(M1707)-FIND(" ",M1707))</f>
        <v>OAK KNOLL AVE SE</v>
      </c>
      <c r="P1707" s="0" t="s">
        <v>145</v>
      </c>
      <c r="Q1707" s="0" t="s">
        <v>146</v>
      </c>
      <c r="R1707" s="0" t="n">
        <v>44484</v>
      </c>
      <c r="AD1707" s="0" t="s">
        <v>147</v>
      </c>
      <c r="AE1707" s="0" t="s">
        <v>148</v>
      </c>
      <c r="AF1707" s="0" t="s">
        <v>149</v>
      </c>
      <c r="AH1707" s="0" t="n">
        <v>14</v>
      </c>
      <c r="AI1707" s="0" t="n">
        <v>11</v>
      </c>
      <c r="AN1707" s="0" t="s">
        <v>145</v>
      </c>
      <c r="AO1707" s="0" t="s">
        <v>233</v>
      </c>
      <c r="AP1707" s="0" t="s">
        <v>234</v>
      </c>
      <c r="AQ1707" s="0" t="n">
        <v>9</v>
      </c>
      <c r="AR1707" s="0" t="n">
        <v>64</v>
      </c>
      <c r="AS1707" s="0" t="n">
        <v>32</v>
      </c>
      <c r="AU1707" s="0" t="n">
        <f aca="false">COUNTA($BA$2628:$EH$2628)</f>
        <v>2</v>
      </c>
      <c r="AV1707" s="0" t="n">
        <f aca="false">COUNTIF($BA$2628:$EH$2628,"D")</f>
        <v>0</v>
      </c>
      <c r="AW1707" s="0" t="n">
        <f aca="false">COUNTIF($BA$2628:$EH$2628,"R")</f>
        <v>0</v>
      </c>
      <c r="AX1707" s="0" t="n">
        <f aca="false">IF(BN1707="D",1,0)+IF(BO1707="D",1,0)+IF(BT1707="D",1,0)+IF(BU1707="D",1,0)+IF(BW1707="D",1,0)+IF(CC1707="D",1,0)+IF(CD1707="D",1,0)+IF(CE1707="D",1,0)+IF(CF1707="D",1,0)+IF(CL1707="D",1,0)+IF(CM1707="D",1,0)+IF(CQ1707="D",1,0)+IF(CR1707="D",1,0)+IF(CS1707="D",1,0)+IF(CW1707="D",1,0)+IF(CX1707="D",1,0)+IF(DD1707="D",1,0)+IF(DE1707="D",1,0)+IF(DJ1707="D",1,0)+IF(DK1707="D",1,0)+IF(DO1707="D",1,0)+IF(DP1707="D",1,0)+IF(DQ1707="D",1,0)+IF(DW1707="D",1,0)+IF(DZ1707="D",1,0)+IF(EH1707="D",1,0)</f>
        <v>0</v>
      </c>
      <c r="AY1707" s="0" t="n">
        <f aca="false">COUNTIF(DU1707:EH1707, "&lt;&gt;")</f>
        <v>1</v>
      </c>
      <c r="AZ1707" s="0" t="n">
        <f aca="false">IF(EH1707&lt;&gt;"",1,0)</f>
        <v>0</v>
      </c>
      <c r="BB1707" s="0" t="s">
        <v>152</v>
      </c>
      <c r="CY1707" s="0" t="s">
        <v>153</v>
      </c>
      <c r="DC1707" s="0" t="s">
        <v>153</v>
      </c>
      <c r="EF1707" s="0" t="s">
        <v>153</v>
      </c>
    </row>
    <row r="1708" customFormat="false" ht="13.8" hidden="false" customHeight="false" outlineLevel="0" collapsed="false">
      <c r="A1708" s="0" t="s">
        <v>7708</v>
      </c>
      <c r="B1708" s="0" t="n">
        <v>78</v>
      </c>
      <c r="C1708" s="0" t="n">
        <v>219279</v>
      </c>
      <c r="D1708" s="0" t="s">
        <v>1764</v>
      </c>
      <c r="E1708" s="0" t="s">
        <v>2736</v>
      </c>
      <c r="F1708" s="0" t="str">
        <f aca="false">CONCATENATE(D1708," ",LEFT(H1708,4),"T=",AU1708,"D=",AV1708,"R=",AW1708,"M=",AX1708,"L=",AY1708,"B=",AZ1708)</f>
        <v>MOORE T=17D=0R=4M=5L=6B=0</v>
      </c>
      <c r="G1708" s="0" t="s">
        <v>650</v>
      </c>
      <c r="I1708" s="0" t="s">
        <v>7709</v>
      </c>
      <c r="J1708" s="0" t="s">
        <v>7710</v>
      </c>
      <c r="K1708" s="0" t="s">
        <v>160</v>
      </c>
      <c r="L1708" s="0" t="s">
        <v>175</v>
      </c>
      <c r="M1708" s="0" t="s">
        <v>7711</v>
      </c>
      <c r="N1708" s="0" t="str">
        <f aca="false">RIGHT(M1708,LEN(M1708)-FIND(" ",M1708))</f>
        <v>OAK KNOLL AVE SE</v>
      </c>
      <c r="P1708" s="0" t="s">
        <v>145</v>
      </c>
      <c r="Q1708" s="0" t="s">
        <v>146</v>
      </c>
      <c r="R1708" s="0" t="n">
        <v>44484</v>
      </c>
      <c r="AD1708" s="0" t="s">
        <v>147</v>
      </c>
      <c r="AE1708" s="0" t="s">
        <v>148</v>
      </c>
      <c r="AF1708" s="0" t="s">
        <v>149</v>
      </c>
      <c r="AH1708" s="0" t="n">
        <v>14</v>
      </c>
      <c r="AI1708" s="0" t="n">
        <v>11</v>
      </c>
      <c r="AN1708" s="0" t="s">
        <v>145</v>
      </c>
      <c r="AO1708" s="0" t="s">
        <v>233</v>
      </c>
      <c r="AP1708" s="0" t="s">
        <v>234</v>
      </c>
      <c r="AQ1708" s="0" t="n">
        <v>9</v>
      </c>
      <c r="AR1708" s="0" t="n">
        <v>64</v>
      </c>
      <c r="AS1708" s="0" t="n">
        <v>32</v>
      </c>
      <c r="AU1708" s="0" t="n">
        <f aca="false">COUNTA($BA$2234:$EH$2234)</f>
        <v>17</v>
      </c>
      <c r="AV1708" s="0" t="n">
        <f aca="false">COUNTIF($BA$2234:$EH$2234,"D")</f>
        <v>0</v>
      </c>
      <c r="AW1708" s="0" t="n">
        <f aca="false">COUNTIF($BA$2234:$EH$2234,"R")</f>
        <v>4</v>
      </c>
      <c r="AX1708" s="0" t="n">
        <f aca="false">IF(BN1708="D",1,0)+IF(BO1708="D",1,0)+IF(BT1708="D",1,0)+IF(BU1708="D",1,0)+IF(BW1708="D",1,0)+IF(CC1708="D",1,0)+IF(CD1708="D",1,0)+IF(CE1708="D",1,0)+IF(CF1708="D",1,0)+IF(CL1708="D",1,0)+IF(CM1708="D",1,0)+IF(CQ1708="D",1,0)+IF(CR1708="D",1,0)+IF(CS1708="D",1,0)+IF(CW1708="D",1,0)+IF(CX1708="D",1,0)+IF(DD1708="D",1,0)+IF(DE1708="D",1,0)+IF(DJ1708="D",1,0)+IF(DK1708="D",1,0)+IF(DO1708="D",1,0)+IF(DP1708="D",1,0)+IF(DQ1708="D",1,0)+IF(DW1708="D",1,0)+IF(DZ1708="D",1,0)+IF(EH1708="D",1,0)</f>
        <v>5</v>
      </c>
      <c r="AY1708" s="0" t="n">
        <f aca="false">COUNTIF(DU1708:EH1708, "&lt;&gt;")</f>
        <v>6</v>
      </c>
      <c r="AZ1708" s="0" t="n">
        <f aca="false">IF(EH1708&lt;&gt;"",1,0)</f>
        <v>0</v>
      </c>
      <c r="BB1708" s="0" t="s">
        <v>152</v>
      </c>
      <c r="BC1708" s="0" t="s">
        <v>153</v>
      </c>
      <c r="BD1708" s="0" t="s">
        <v>153</v>
      </c>
      <c r="BG1708" s="0" t="s">
        <v>153</v>
      </c>
      <c r="BH1708" s="0" t="s">
        <v>153</v>
      </c>
      <c r="BI1708" s="0" t="s">
        <v>153</v>
      </c>
      <c r="BJ1708" s="0" t="s">
        <v>153</v>
      </c>
      <c r="BK1708" s="0" t="s">
        <v>153</v>
      </c>
      <c r="BL1708" s="0" t="s">
        <v>153</v>
      </c>
      <c r="BP1708" s="0" t="s">
        <v>153</v>
      </c>
      <c r="BR1708" s="0" t="s">
        <v>153</v>
      </c>
      <c r="BS1708" s="0" t="s">
        <v>153</v>
      </c>
      <c r="BT1708" s="0" t="s">
        <v>153</v>
      </c>
      <c r="BV1708" s="0" t="s">
        <v>153</v>
      </c>
      <c r="BY1708" s="0" t="s">
        <v>175</v>
      </c>
      <c r="CA1708" s="0" t="s">
        <v>153</v>
      </c>
      <c r="CG1708" s="0" t="s">
        <v>153</v>
      </c>
      <c r="CH1708" s="0" t="s">
        <v>175</v>
      </c>
      <c r="CK1708" s="0" t="s">
        <v>153</v>
      </c>
      <c r="CL1708" s="0" t="s">
        <v>175</v>
      </c>
      <c r="CN1708" s="0" t="s">
        <v>153</v>
      </c>
      <c r="CO1708" s="0" t="s">
        <v>175</v>
      </c>
      <c r="CP1708" s="0" t="s">
        <v>153</v>
      </c>
      <c r="CT1708" s="0" t="s">
        <v>153</v>
      </c>
      <c r="CU1708" s="0" t="s">
        <v>175</v>
      </c>
      <c r="CV1708" s="0" t="s">
        <v>153</v>
      </c>
      <c r="CW1708" s="0" t="s">
        <v>175</v>
      </c>
      <c r="CY1708" s="0" t="s">
        <v>153</v>
      </c>
      <c r="CZ1708" s="0" t="s">
        <v>175</v>
      </c>
      <c r="DC1708" s="0" t="s">
        <v>153</v>
      </c>
      <c r="DD1708" s="0" t="s">
        <v>175</v>
      </c>
      <c r="DF1708" s="0" t="s">
        <v>153</v>
      </c>
      <c r="DG1708" s="0" t="s">
        <v>175</v>
      </c>
      <c r="DI1708" s="0" t="s">
        <v>153</v>
      </c>
      <c r="DJ1708" s="0" t="s">
        <v>175</v>
      </c>
      <c r="DL1708" s="0" t="s">
        <v>153</v>
      </c>
      <c r="DM1708" s="0" t="s">
        <v>175</v>
      </c>
      <c r="DN1708" s="0" t="s">
        <v>153</v>
      </c>
      <c r="DR1708" s="0" t="s">
        <v>153</v>
      </c>
      <c r="DS1708" s="0" t="s">
        <v>175</v>
      </c>
      <c r="DT1708" s="0" t="s">
        <v>175</v>
      </c>
      <c r="DU1708" s="0" t="s">
        <v>153</v>
      </c>
      <c r="DW1708" s="0" t="s">
        <v>175</v>
      </c>
      <c r="DX1708" s="0" t="s">
        <v>153</v>
      </c>
      <c r="EA1708" s="0" t="s">
        <v>153</v>
      </c>
      <c r="ED1708" s="0" t="s">
        <v>175</v>
      </c>
      <c r="EF1708" s="0" t="s">
        <v>153</v>
      </c>
    </row>
    <row r="1709" customFormat="false" ht="13.8" hidden="false" customHeight="false" outlineLevel="0" collapsed="false">
      <c r="A1709" s="0" t="s">
        <v>7712</v>
      </c>
      <c r="B1709" s="0" t="n">
        <v>78</v>
      </c>
      <c r="C1709" s="0" t="n">
        <v>414204</v>
      </c>
      <c r="D1709" s="0" t="s">
        <v>1764</v>
      </c>
      <c r="E1709" s="0" t="s">
        <v>7713</v>
      </c>
      <c r="F1709" s="0" t="str">
        <f aca="false">CONCATENATE(D1709," ",LEFT(H1709,4),"T=",AU1709,"D=",AV1709,"R=",AW1709,"M=",AX1709,"L=",AY1709,"B=",AZ1709)</f>
        <v>MOORE T=4D=0R=0M=2L=5B=0</v>
      </c>
      <c r="G1709" s="0" t="s">
        <v>175</v>
      </c>
      <c r="I1709" s="0" t="s">
        <v>7714</v>
      </c>
      <c r="J1709" s="0" t="s">
        <v>7715</v>
      </c>
      <c r="K1709" s="0" t="s">
        <v>160</v>
      </c>
      <c r="L1709" s="0" t="s">
        <v>175</v>
      </c>
      <c r="M1709" s="0" t="s">
        <v>7711</v>
      </c>
      <c r="N1709" s="0" t="str">
        <f aca="false">RIGHT(M1709,LEN(M1709)-FIND(" ",M1709))</f>
        <v>OAK KNOLL AVE SE</v>
      </c>
      <c r="P1709" s="0" t="s">
        <v>145</v>
      </c>
      <c r="Q1709" s="0" t="s">
        <v>146</v>
      </c>
      <c r="R1709" s="0" t="n">
        <v>44484</v>
      </c>
      <c r="AD1709" s="0" t="s">
        <v>147</v>
      </c>
      <c r="AE1709" s="0" t="s">
        <v>148</v>
      </c>
      <c r="AF1709" s="0" t="s">
        <v>149</v>
      </c>
      <c r="AH1709" s="0" t="n">
        <v>14</v>
      </c>
      <c r="AI1709" s="0" t="n">
        <v>11</v>
      </c>
      <c r="AN1709" s="0" t="s">
        <v>145</v>
      </c>
      <c r="AO1709" s="0" t="s">
        <v>233</v>
      </c>
      <c r="AP1709" s="0" t="s">
        <v>234</v>
      </c>
      <c r="AQ1709" s="0" t="n">
        <v>9</v>
      </c>
      <c r="AR1709" s="0" t="n">
        <v>64</v>
      </c>
      <c r="AS1709" s="0" t="n">
        <v>32</v>
      </c>
      <c r="AU1709" s="0" t="n">
        <f aca="false">COUNTA($BA$2374:$EH$2374)</f>
        <v>4</v>
      </c>
      <c r="AV1709" s="0" t="n">
        <f aca="false">COUNTIF($BA$2374:$EH$2374,"D")</f>
        <v>0</v>
      </c>
      <c r="AW1709" s="0" t="n">
        <f aca="false">COUNTIF($BA$2374:$EH$2374,"R")</f>
        <v>0</v>
      </c>
      <c r="AX1709" s="0" t="n">
        <f aca="false">IF(BN1709="D",1,0)+IF(BO1709="D",1,0)+IF(BT1709="D",1,0)+IF(BU1709="D",1,0)+IF(BW1709="D",1,0)+IF(CC1709="D",1,0)+IF(CD1709="D",1,0)+IF(CE1709="D",1,0)+IF(CF1709="D",1,0)+IF(CL1709="D",1,0)+IF(CM1709="D",1,0)+IF(CQ1709="D",1,0)+IF(CR1709="D",1,0)+IF(CS1709="D",1,0)+IF(CW1709="D",1,0)+IF(CX1709="D",1,0)+IF(DD1709="D",1,0)+IF(DE1709="D",1,0)+IF(DJ1709="D",1,0)+IF(DK1709="D",1,0)+IF(DO1709="D",1,0)+IF(DP1709="D",1,0)+IF(DQ1709="D",1,0)+IF(DW1709="D",1,0)+IF(DZ1709="D",1,0)+IF(EH1709="D",1,0)</f>
        <v>2</v>
      </c>
      <c r="AY1709" s="0" t="n">
        <f aca="false">COUNTIF(DU1709:EH1709, "&lt;&gt;")</f>
        <v>5</v>
      </c>
      <c r="AZ1709" s="0" t="n">
        <f aca="false">IF(EH1709&lt;&gt;"",1,0)</f>
        <v>0</v>
      </c>
      <c r="BB1709" s="0" t="s">
        <v>152</v>
      </c>
      <c r="CZ1709" s="0" t="s">
        <v>175</v>
      </c>
      <c r="DC1709" s="0" t="s">
        <v>153</v>
      </c>
      <c r="DD1709" s="0" t="s">
        <v>175</v>
      </c>
      <c r="DF1709" s="0" t="s">
        <v>153</v>
      </c>
      <c r="DG1709" s="0" t="s">
        <v>175</v>
      </c>
      <c r="DI1709" s="0" t="s">
        <v>153</v>
      </c>
      <c r="DJ1709" s="0" t="s">
        <v>175</v>
      </c>
      <c r="DL1709" s="0" t="s">
        <v>153</v>
      </c>
      <c r="DM1709" s="0" t="s">
        <v>175</v>
      </c>
      <c r="DN1709" s="0" t="s">
        <v>153</v>
      </c>
      <c r="DR1709" s="0" t="s">
        <v>153</v>
      </c>
      <c r="DS1709" s="0" t="s">
        <v>175</v>
      </c>
      <c r="DT1709" s="0" t="s">
        <v>175</v>
      </c>
      <c r="DU1709" s="0" t="s">
        <v>153</v>
      </c>
      <c r="DX1709" s="0" t="s">
        <v>153</v>
      </c>
      <c r="EA1709" s="0" t="s">
        <v>153</v>
      </c>
      <c r="ED1709" s="0" t="s">
        <v>175</v>
      </c>
      <c r="EF1709" s="0" t="s">
        <v>153</v>
      </c>
    </row>
    <row r="1710" customFormat="false" ht="13.8" hidden="false" customHeight="false" outlineLevel="0" collapsed="false">
      <c r="A1710" s="0" t="s">
        <v>7716</v>
      </c>
      <c r="B1710" s="0" t="n">
        <v>78</v>
      </c>
      <c r="C1710" s="0" t="n">
        <v>14972</v>
      </c>
      <c r="D1710" s="0" t="s">
        <v>2612</v>
      </c>
      <c r="E1710" s="0" t="s">
        <v>1852</v>
      </c>
      <c r="F1710" s="0" t="str">
        <f aca="false">CONCATENATE(D1710," ",LEFT(H1710,4),"T=",AU1710,"D=",AV1710,"R=",AW1710,"M=",AX1710,"L=",AY1710,"B=",AZ1710)</f>
        <v>SIMMONS T=46D=17R=0M=5L=7B=1</v>
      </c>
      <c r="G1710" s="0" t="s">
        <v>325</v>
      </c>
      <c r="I1710" s="0" t="s">
        <v>7717</v>
      </c>
      <c r="J1710" s="0" t="s">
        <v>7718</v>
      </c>
      <c r="K1710" s="0" t="s">
        <v>160</v>
      </c>
      <c r="L1710" s="0" t="s">
        <v>175</v>
      </c>
      <c r="M1710" s="0" t="s">
        <v>7719</v>
      </c>
      <c r="N1710" s="0" t="str">
        <f aca="false">RIGHT(M1710,LEN(M1710)-FIND(" ",M1710))</f>
        <v>OAK KNOLL AVE SE</v>
      </c>
      <c r="P1710" s="0" t="s">
        <v>145</v>
      </c>
      <c r="Q1710" s="0" t="s">
        <v>146</v>
      </c>
      <c r="R1710" s="0" t="n">
        <v>44484</v>
      </c>
      <c r="AD1710" s="0" t="s">
        <v>147</v>
      </c>
      <c r="AE1710" s="0" t="s">
        <v>148</v>
      </c>
      <c r="AF1710" s="0" t="s">
        <v>149</v>
      </c>
      <c r="AH1710" s="0" t="n">
        <v>14</v>
      </c>
      <c r="AI1710" s="0" t="n">
        <v>11</v>
      </c>
      <c r="AN1710" s="0" t="s">
        <v>145</v>
      </c>
      <c r="AO1710" s="0" t="s">
        <v>233</v>
      </c>
      <c r="AP1710" s="0" t="s">
        <v>234</v>
      </c>
      <c r="AQ1710" s="0" t="n">
        <v>9</v>
      </c>
      <c r="AR1710" s="0" t="n">
        <v>64</v>
      </c>
      <c r="AS1710" s="0" t="n">
        <v>32</v>
      </c>
      <c r="AU1710" s="0" t="n">
        <f aca="false">COUNTA($BA$2232:$EH$2232)</f>
        <v>46</v>
      </c>
      <c r="AV1710" s="0" t="n">
        <f aca="false">COUNTIF($BA$2232:$EH$2232,"D")</f>
        <v>17</v>
      </c>
      <c r="AW1710" s="0" t="n">
        <f aca="false">COUNTIF($BA$2232:$EH$2232,"R")</f>
        <v>0</v>
      </c>
      <c r="AX1710" s="0" t="n">
        <f aca="false">IF(BN1710="D",1,0)+IF(BO1710="D",1,0)+IF(BT1710="D",1,0)+IF(BU1710="D",1,0)+IF(BW1710="D",1,0)+IF(CC1710="D",1,0)+IF(CD1710="D",1,0)+IF(CE1710="D",1,0)+IF(CF1710="D",1,0)+IF(CL1710="D",1,0)+IF(CM1710="D",1,0)+IF(CQ1710="D",1,0)+IF(CR1710="D",1,0)+IF(CS1710="D",1,0)+IF(CW1710="D",1,0)+IF(CX1710="D",1,0)+IF(DD1710="D",1,0)+IF(DE1710="D",1,0)+IF(DJ1710="D",1,0)+IF(DK1710="D",1,0)+IF(DO1710="D",1,0)+IF(DP1710="D",1,0)+IF(DQ1710="D",1,0)+IF(DW1710="D",1,0)+IF(DZ1710="D",1,0)+IF(EH1710="D",1,0)</f>
        <v>5</v>
      </c>
      <c r="AY1710" s="0" t="n">
        <f aca="false">COUNTIF(DU1710:EH1710, "&lt;&gt;")</f>
        <v>7</v>
      </c>
      <c r="AZ1710" s="0" t="n">
        <f aca="false">IF(EH1710&lt;&gt;"",1,0)</f>
        <v>1</v>
      </c>
      <c r="BB1710" s="0" t="s">
        <v>152</v>
      </c>
      <c r="BC1710" s="0" t="s">
        <v>153</v>
      </c>
      <c r="BD1710" s="0" t="s">
        <v>153</v>
      </c>
      <c r="BE1710" s="0" t="s">
        <v>153</v>
      </c>
      <c r="BF1710" s="0" t="s">
        <v>153</v>
      </c>
      <c r="BH1710" s="0" t="s">
        <v>153</v>
      </c>
      <c r="BI1710" s="0" t="s">
        <v>153</v>
      </c>
      <c r="BJ1710" s="0" t="s">
        <v>153</v>
      </c>
      <c r="BK1710" s="0" t="s">
        <v>153</v>
      </c>
      <c r="BL1710" s="0" t="s">
        <v>153</v>
      </c>
      <c r="BP1710" s="0" t="s">
        <v>153</v>
      </c>
      <c r="BS1710" s="0" t="s">
        <v>153</v>
      </c>
      <c r="BV1710" s="0" t="s">
        <v>153</v>
      </c>
      <c r="BY1710" s="0" t="s">
        <v>175</v>
      </c>
      <c r="CA1710" s="0" t="s">
        <v>153</v>
      </c>
      <c r="CG1710" s="0" t="s">
        <v>153</v>
      </c>
      <c r="CK1710" s="0" t="s">
        <v>153</v>
      </c>
      <c r="CL1710" s="0" t="s">
        <v>175</v>
      </c>
      <c r="CN1710" s="0" t="s">
        <v>153</v>
      </c>
      <c r="CO1710" s="0" t="s">
        <v>175</v>
      </c>
      <c r="CP1710" s="0" t="s">
        <v>153</v>
      </c>
      <c r="CT1710" s="0" t="s">
        <v>153</v>
      </c>
      <c r="CV1710" s="0" t="s">
        <v>153</v>
      </c>
      <c r="CW1710" s="0" t="s">
        <v>175</v>
      </c>
      <c r="CY1710" s="0" t="s">
        <v>153</v>
      </c>
      <c r="CZ1710" s="0" t="s">
        <v>175</v>
      </c>
      <c r="DC1710" s="0" t="s">
        <v>153</v>
      </c>
      <c r="DD1710" s="0" t="s">
        <v>175</v>
      </c>
      <c r="DF1710" s="0" t="s">
        <v>153</v>
      </c>
      <c r="DI1710" s="0" t="s">
        <v>153</v>
      </c>
      <c r="DN1710" s="0" t="s">
        <v>153</v>
      </c>
      <c r="DR1710" s="0" t="s">
        <v>153</v>
      </c>
      <c r="DS1710" s="0" t="s">
        <v>175</v>
      </c>
      <c r="DU1710" s="0" t="s">
        <v>153</v>
      </c>
      <c r="DW1710" s="0" t="s">
        <v>175</v>
      </c>
      <c r="DX1710" s="0" t="s">
        <v>153</v>
      </c>
      <c r="EA1710" s="0" t="s">
        <v>153</v>
      </c>
      <c r="ED1710" s="0" t="s">
        <v>175</v>
      </c>
      <c r="EF1710" s="0" t="s">
        <v>153</v>
      </c>
      <c r="EH1710" s="0" t="s">
        <v>175</v>
      </c>
    </row>
    <row r="1711" customFormat="false" ht="13.8" hidden="true" customHeight="false" outlineLevel="0" collapsed="false">
      <c r="A1711" s="0" t="s">
        <v>7720</v>
      </c>
      <c r="B1711" s="0" t="n">
        <v>78</v>
      </c>
      <c r="C1711" s="0" t="n">
        <v>23160</v>
      </c>
      <c r="D1711" s="0" t="s">
        <v>1661</v>
      </c>
      <c r="E1711" s="0" t="s">
        <v>7721</v>
      </c>
      <c r="F1711" s="0" t="str">
        <f aca="false">CONCATENATE(D1711," ",LEFT(H1711,4),"T=",AU1711,"D=",AV1711,"R=",AW1711,"M=",AX1711,"L=",AY1711,"B=",AZ1711)</f>
        <v>JACKSON T=1D=0R=0M=0L=1B=0</v>
      </c>
      <c r="G1711" s="0" t="s">
        <v>325</v>
      </c>
      <c r="I1711" s="0" t="s">
        <v>7722</v>
      </c>
      <c r="J1711" s="0" t="s">
        <v>2204</v>
      </c>
      <c r="K1711" s="0" t="s">
        <v>160</v>
      </c>
      <c r="M1711" s="0" t="s">
        <v>7723</v>
      </c>
      <c r="N1711" s="0" t="str">
        <f aca="false">RIGHT(M1711,LEN(M1711)-FIND(" ",M1711))</f>
        <v>OAK KNOLL AVE SE</v>
      </c>
      <c r="P1711" s="0" t="s">
        <v>145</v>
      </c>
      <c r="Q1711" s="0" t="s">
        <v>146</v>
      </c>
      <c r="R1711" s="0" t="n">
        <v>44484</v>
      </c>
      <c r="AD1711" s="0" t="s">
        <v>147</v>
      </c>
      <c r="AE1711" s="0" t="s">
        <v>148</v>
      </c>
      <c r="AF1711" s="0" t="s">
        <v>149</v>
      </c>
      <c r="AH1711" s="0" t="n">
        <v>14</v>
      </c>
      <c r="AI1711" s="0" t="n">
        <v>11</v>
      </c>
      <c r="AN1711" s="0" t="s">
        <v>145</v>
      </c>
      <c r="AO1711" s="0" t="s">
        <v>233</v>
      </c>
      <c r="AP1711" s="0" t="s">
        <v>234</v>
      </c>
      <c r="AQ1711" s="0" t="n">
        <v>9</v>
      </c>
      <c r="AR1711" s="0" t="n">
        <v>64</v>
      </c>
      <c r="AS1711" s="0" t="n">
        <v>32</v>
      </c>
      <c r="AU1711" s="0" t="n">
        <f aca="false">COUNTA($BA$2235:$EH$2235)</f>
        <v>1</v>
      </c>
      <c r="AV1711" s="0" t="n">
        <f aca="false">COUNTIF($BA$2235:$EH$2235,"D")</f>
        <v>0</v>
      </c>
      <c r="AW1711" s="0" t="n">
        <f aca="false">COUNTIF($BA$2235:$EH$2235,"R")</f>
        <v>0</v>
      </c>
      <c r="AX1711" s="0" t="n">
        <f aca="false">IF(BN1711="D",1,0)+IF(BO1711="D",1,0)+IF(BT1711="D",1,0)+IF(BU1711="D",1,0)+IF(BW1711="D",1,0)+IF(CC1711="D",1,0)+IF(CD1711="D",1,0)+IF(CE1711="D",1,0)+IF(CF1711="D",1,0)+IF(CL1711="D",1,0)+IF(CM1711="D",1,0)+IF(CQ1711="D",1,0)+IF(CR1711="D",1,0)+IF(CS1711="D",1,0)+IF(CW1711="D",1,0)+IF(CX1711="D",1,0)+IF(DD1711="D",1,0)+IF(DE1711="D",1,0)+IF(DJ1711="D",1,0)+IF(DK1711="D",1,0)+IF(DO1711="D",1,0)+IF(DP1711="D",1,0)+IF(DQ1711="D",1,0)+IF(DW1711="D",1,0)+IF(DZ1711="D",1,0)+IF(EH1711="D",1,0)</f>
        <v>0</v>
      </c>
      <c r="AY1711" s="0" t="n">
        <f aca="false">COUNTIF(DU1711:EH1711, "&lt;&gt;")</f>
        <v>1</v>
      </c>
      <c r="AZ1711" s="0" t="n">
        <f aca="false">IF(EH1711&lt;&gt;"",1,0)</f>
        <v>0</v>
      </c>
      <c r="BB1711" s="0" t="s">
        <v>152</v>
      </c>
      <c r="BD1711" s="0" t="s">
        <v>153</v>
      </c>
      <c r="BE1711" s="0" t="s">
        <v>153</v>
      </c>
      <c r="BH1711" s="0" t="s">
        <v>153</v>
      </c>
      <c r="BJ1711" s="0" t="s">
        <v>153</v>
      </c>
      <c r="BK1711" s="0" t="s">
        <v>153</v>
      </c>
      <c r="BL1711" s="0" t="s">
        <v>153</v>
      </c>
      <c r="BP1711" s="0" t="s">
        <v>153</v>
      </c>
      <c r="BR1711" s="0" t="s">
        <v>153</v>
      </c>
      <c r="BS1711" s="0" t="s">
        <v>153</v>
      </c>
      <c r="BV1711" s="0" t="s">
        <v>153</v>
      </c>
      <c r="CA1711" s="0" t="s">
        <v>153</v>
      </c>
      <c r="CG1711" s="0" t="s">
        <v>153</v>
      </c>
      <c r="CK1711" s="0" t="s">
        <v>153</v>
      </c>
      <c r="CN1711" s="0" t="s">
        <v>153</v>
      </c>
      <c r="CY1711" s="0" t="s">
        <v>153</v>
      </c>
      <c r="CZ1711" s="0" t="s">
        <v>175</v>
      </c>
      <c r="DC1711" s="0" t="s">
        <v>153</v>
      </c>
      <c r="DN1711" s="0" t="s">
        <v>153</v>
      </c>
      <c r="DR1711" s="0" t="s">
        <v>153</v>
      </c>
      <c r="DX1711" s="0" t="s">
        <v>153</v>
      </c>
    </row>
    <row r="1712" customFormat="false" ht="13.8" hidden="true" customHeight="false" outlineLevel="0" collapsed="false">
      <c r="A1712" s="0" t="s">
        <v>7724</v>
      </c>
      <c r="B1712" s="0" t="n">
        <v>78</v>
      </c>
      <c r="C1712" s="0" t="n">
        <v>472427</v>
      </c>
      <c r="D1712" s="0" t="s">
        <v>947</v>
      </c>
      <c r="E1712" s="0" t="s">
        <v>7725</v>
      </c>
      <c r="F1712" s="0" t="str">
        <f aca="false">CONCATENATE(D1712," ",LEFT(H1712,4),"T=",AU1712,"D=",AV1712,"R=",AW1712,"M=",AX1712,"L=",AY1712,"B=",AZ1712)</f>
        <v>KENNEDY T=3D=0R=0M=1L=1B=0</v>
      </c>
      <c r="G1712" s="0" t="s">
        <v>255</v>
      </c>
      <c r="I1712" s="0" t="s">
        <v>7726</v>
      </c>
      <c r="J1712" s="0" t="s">
        <v>4761</v>
      </c>
      <c r="K1712" s="0" t="s">
        <v>160</v>
      </c>
      <c r="L1712" s="0" t="s">
        <v>175</v>
      </c>
      <c r="M1712" s="0" t="s">
        <v>7727</v>
      </c>
      <c r="N1712" s="0" t="str">
        <f aca="false">RIGHT(M1712,LEN(M1712)-FIND(" ",M1712))</f>
        <v>OAK KNOLL AVE SE</v>
      </c>
      <c r="P1712" s="0" t="s">
        <v>145</v>
      </c>
      <c r="Q1712" s="0" t="s">
        <v>146</v>
      </c>
      <c r="R1712" s="0" t="n">
        <v>44484</v>
      </c>
      <c r="AD1712" s="0" t="s">
        <v>147</v>
      </c>
      <c r="AE1712" s="0" t="s">
        <v>148</v>
      </c>
      <c r="AF1712" s="0" t="s">
        <v>149</v>
      </c>
      <c r="AH1712" s="0" t="n">
        <v>14</v>
      </c>
      <c r="AI1712" s="0" t="n">
        <v>11</v>
      </c>
      <c r="AN1712" s="0" t="s">
        <v>145</v>
      </c>
      <c r="AO1712" s="0" t="s">
        <v>233</v>
      </c>
      <c r="AP1712" s="0" t="s">
        <v>234</v>
      </c>
      <c r="AQ1712" s="0" t="n">
        <v>9</v>
      </c>
      <c r="AR1712" s="0" t="n">
        <v>64</v>
      </c>
      <c r="AS1712" s="0" t="n">
        <v>32</v>
      </c>
      <c r="AU1712" s="0" t="n">
        <f aca="false">COUNTA($BA$2187:$EH$2187)</f>
        <v>3</v>
      </c>
      <c r="AV1712" s="0" t="n">
        <f aca="false">COUNTIF($BA$2187:$EH$2187,"D")</f>
        <v>0</v>
      </c>
      <c r="AW1712" s="0" t="n">
        <f aca="false">COUNTIF($BA$2187:$EH$2187,"R")</f>
        <v>0</v>
      </c>
      <c r="AX1712" s="0" t="n">
        <f aca="false">IF(BN1712="D",1,0)+IF(BO1712="D",1,0)+IF(BT1712="D",1,0)+IF(BU1712="D",1,0)+IF(BW1712="D",1,0)+IF(CC1712="D",1,0)+IF(CD1712="D",1,0)+IF(CE1712="D",1,0)+IF(CF1712="D",1,0)+IF(CL1712="D",1,0)+IF(CM1712="D",1,0)+IF(CQ1712="D",1,0)+IF(CR1712="D",1,0)+IF(CS1712="D",1,0)+IF(CW1712="D",1,0)+IF(CX1712="D",1,0)+IF(DD1712="D",1,0)+IF(DE1712="D",1,0)+IF(DJ1712="D",1,0)+IF(DK1712="D",1,0)+IF(DO1712="D",1,0)+IF(DP1712="D",1,0)+IF(DQ1712="D",1,0)+IF(DW1712="D",1,0)+IF(DZ1712="D",1,0)+IF(EH1712="D",1,0)</f>
        <v>1</v>
      </c>
      <c r="AY1712" s="0" t="n">
        <f aca="false">COUNTIF(DU1712:EH1712, "&lt;&gt;")</f>
        <v>1</v>
      </c>
      <c r="AZ1712" s="0" t="n">
        <f aca="false">IF(EH1712&lt;&gt;"",1,0)</f>
        <v>0</v>
      </c>
      <c r="BB1712" s="0" t="s">
        <v>152</v>
      </c>
      <c r="DW1712" s="0" t="s">
        <v>175</v>
      </c>
    </row>
    <row r="1713" customFormat="false" ht="13.8" hidden="true" customHeight="false" outlineLevel="0" collapsed="false">
      <c r="A1713" s="0" t="s">
        <v>7728</v>
      </c>
      <c r="B1713" s="0" t="n">
        <v>78</v>
      </c>
      <c r="C1713" s="0" t="n">
        <v>440032</v>
      </c>
      <c r="D1713" s="0" t="s">
        <v>7729</v>
      </c>
      <c r="E1713" s="0" t="s">
        <v>2449</v>
      </c>
      <c r="F1713" s="0" t="str">
        <f aca="false">CONCATENATE(D1713," ",LEFT(H1713,4),"T=",AU1713,"D=",AV1713,"R=",AW1713,"M=",AX1713,"L=",AY1713,"B=",AZ1713)</f>
        <v>CHOLEVA T=4D=0R=0M=0L=0B=0</v>
      </c>
      <c r="G1713" s="0" t="s">
        <v>7730</v>
      </c>
      <c r="I1713" s="0" t="s">
        <v>7731</v>
      </c>
      <c r="J1713" s="0" t="s">
        <v>1983</v>
      </c>
      <c r="K1713" s="0" t="s">
        <v>160</v>
      </c>
      <c r="M1713" s="0" t="s">
        <v>7727</v>
      </c>
      <c r="N1713" s="0" t="str">
        <f aca="false">RIGHT(M1713,LEN(M1713)-FIND(" ",M1713))</f>
        <v>OAK KNOLL AVE SE</v>
      </c>
      <c r="P1713" s="0" t="s">
        <v>145</v>
      </c>
      <c r="Q1713" s="0" t="s">
        <v>146</v>
      </c>
      <c r="R1713" s="0" t="n">
        <v>44484</v>
      </c>
      <c r="AD1713" s="0" t="s">
        <v>147</v>
      </c>
      <c r="AE1713" s="0" t="s">
        <v>148</v>
      </c>
      <c r="AF1713" s="0" t="s">
        <v>149</v>
      </c>
      <c r="AH1713" s="0" t="n">
        <v>14</v>
      </c>
      <c r="AI1713" s="0" t="n">
        <v>11</v>
      </c>
      <c r="AN1713" s="0" t="s">
        <v>145</v>
      </c>
      <c r="AO1713" s="0" t="s">
        <v>233</v>
      </c>
      <c r="AP1713" s="0" t="s">
        <v>234</v>
      </c>
      <c r="AQ1713" s="0" t="n">
        <v>9</v>
      </c>
      <c r="AR1713" s="0" t="n">
        <v>64</v>
      </c>
      <c r="AS1713" s="0" t="n">
        <v>32</v>
      </c>
      <c r="AU1713" s="0" t="n">
        <f aca="false">COUNTA($BA$2531:$EH$2531)</f>
        <v>4</v>
      </c>
      <c r="AV1713" s="0" t="n">
        <f aca="false">COUNTIF($BA$2531:$EH$2531,"D")</f>
        <v>0</v>
      </c>
      <c r="AW1713" s="0" t="n">
        <f aca="false">COUNTIF($BA$2531:$EH$2531,"R")</f>
        <v>0</v>
      </c>
      <c r="AX1713" s="0" t="n">
        <f aca="false">IF(BN1713="D",1,0)+IF(BO1713="D",1,0)+IF(BT1713="D",1,0)+IF(BU1713="D",1,0)+IF(BW1713="D",1,0)+IF(CC1713="D",1,0)+IF(CD1713="D",1,0)+IF(CE1713="D",1,0)+IF(CF1713="D",1,0)+IF(CL1713="D",1,0)+IF(CM1713="D",1,0)+IF(CQ1713="D",1,0)+IF(CR1713="D",1,0)+IF(CS1713="D",1,0)+IF(CW1713="D",1,0)+IF(CX1713="D",1,0)+IF(DD1713="D",1,0)+IF(DE1713="D",1,0)+IF(DJ1713="D",1,0)+IF(DK1713="D",1,0)+IF(DO1713="D",1,0)+IF(DP1713="D",1,0)+IF(DQ1713="D",1,0)+IF(DW1713="D",1,0)+IF(DZ1713="D",1,0)+IF(EH1713="D",1,0)</f>
        <v>0</v>
      </c>
      <c r="AY1713" s="0" t="n">
        <f aca="false">COUNTIF(DU1713:EH1713, "&lt;&gt;")</f>
        <v>0</v>
      </c>
      <c r="AZ1713" s="0" t="n">
        <f aca="false">IF(EH1713&lt;&gt;"",1,0)</f>
        <v>0</v>
      </c>
      <c r="BB1713" s="0" t="s">
        <v>152</v>
      </c>
    </row>
    <row r="1714" customFormat="false" ht="13.8" hidden="false" customHeight="false" outlineLevel="0" collapsed="false">
      <c r="A1714" s="0" t="s">
        <v>7732</v>
      </c>
      <c r="B1714" s="0" t="n">
        <v>78</v>
      </c>
      <c r="C1714" s="0" t="n">
        <v>69641</v>
      </c>
      <c r="D1714" s="0" t="s">
        <v>7733</v>
      </c>
      <c r="E1714" s="0" t="s">
        <v>5787</v>
      </c>
      <c r="F1714" s="0" t="str">
        <f aca="false">CONCATENATE(D1714," ",LEFT(H1714,4),"T=",AU1714,"D=",AV1714,"R=",AW1714,"M=",AX1714,"L=",AY1714,"B=",AZ1714)</f>
        <v>PATCHIN T=4D=0R=0M=3L=7B=1</v>
      </c>
      <c r="G1714" s="0" t="s">
        <v>164</v>
      </c>
      <c r="I1714" s="0" t="s">
        <v>7734</v>
      </c>
      <c r="J1714" s="0" t="s">
        <v>7735</v>
      </c>
      <c r="K1714" s="0" t="s">
        <v>160</v>
      </c>
      <c r="L1714" s="0" t="s">
        <v>175</v>
      </c>
      <c r="M1714" s="0" t="s">
        <v>7736</v>
      </c>
      <c r="N1714" s="0" t="str">
        <f aca="false">RIGHT(M1714,LEN(M1714)-FIND(" ",M1714))</f>
        <v>OAK KNOLL AVE SE</v>
      </c>
      <c r="P1714" s="0" t="s">
        <v>145</v>
      </c>
      <c r="Q1714" s="0" t="s">
        <v>146</v>
      </c>
      <c r="R1714" s="0" t="n">
        <v>44483</v>
      </c>
      <c r="AD1714" s="0" t="s">
        <v>147</v>
      </c>
      <c r="AE1714" s="0" t="s">
        <v>148</v>
      </c>
      <c r="AF1714" s="0" t="s">
        <v>149</v>
      </c>
      <c r="AH1714" s="0" t="n">
        <v>14</v>
      </c>
      <c r="AI1714" s="0" t="n">
        <v>11</v>
      </c>
      <c r="AN1714" s="0" t="s">
        <v>145</v>
      </c>
      <c r="AO1714" s="0" t="s">
        <v>150</v>
      </c>
      <c r="AP1714" s="0" t="s">
        <v>151</v>
      </c>
      <c r="AQ1714" s="0" t="n">
        <v>9</v>
      </c>
      <c r="AR1714" s="0" t="n">
        <v>64</v>
      </c>
      <c r="AS1714" s="0" t="n">
        <v>32</v>
      </c>
      <c r="AU1714" s="0" t="n">
        <f aca="false">COUNTA($BA$1016:$EH$1016)</f>
        <v>4</v>
      </c>
      <c r="AV1714" s="0" t="n">
        <f aca="false">COUNTIF($BA$1016:$EH$1016,"D")</f>
        <v>0</v>
      </c>
      <c r="AW1714" s="0" t="n">
        <f aca="false">COUNTIF($BA$1016:$EH$1016,"R")</f>
        <v>0</v>
      </c>
      <c r="AX1714" s="0" t="n">
        <f aca="false">IF(BN1714="D",1,0)+IF(BO1714="D",1,0)+IF(BT1714="D",1,0)+IF(BU1714="D",1,0)+IF(BW1714="D",1,0)+IF(CC1714="D",1,0)+IF(CD1714="D",1,0)+IF(CE1714="D",1,0)+IF(CF1714="D",1,0)+IF(CL1714="D",1,0)+IF(CM1714="D",1,0)+IF(CQ1714="D",1,0)+IF(CR1714="D",1,0)+IF(CS1714="D",1,0)+IF(CW1714="D",1,0)+IF(CX1714="D",1,0)+IF(DD1714="D",1,0)+IF(DE1714="D",1,0)+IF(DJ1714="D",1,0)+IF(DK1714="D",1,0)+IF(DO1714="D",1,0)+IF(DP1714="D",1,0)+IF(DQ1714="D",1,0)+IF(DW1714="D",1,0)+IF(DZ1714="D",1,0)+IF(EH1714="D",1,0)</f>
        <v>3</v>
      </c>
      <c r="AY1714" s="0" t="n">
        <f aca="false">COUNTIF(DU1714:EH1714, "&lt;&gt;")</f>
        <v>7</v>
      </c>
      <c r="AZ1714" s="0" t="n">
        <f aca="false">IF(EH1714&lt;&gt;"",1,0)</f>
        <v>1</v>
      </c>
      <c r="BB1714" s="0" t="s">
        <v>152</v>
      </c>
      <c r="BC1714" s="0" t="s">
        <v>153</v>
      </c>
      <c r="BD1714" s="0" t="s">
        <v>153</v>
      </c>
      <c r="BF1714" s="0" t="s">
        <v>153</v>
      </c>
      <c r="BG1714" s="0" t="s">
        <v>153</v>
      </c>
      <c r="BH1714" s="0" t="s">
        <v>153</v>
      </c>
      <c r="BI1714" s="0" t="s">
        <v>153</v>
      </c>
      <c r="BJ1714" s="0" t="s">
        <v>153</v>
      </c>
      <c r="BK1714" s="0" t="s">
        <v>153</v>
      </c>
      <c r="BL1714" s="0" t="s">
        <v>153</v>
      </c>
      <c r="BP1714" s="0" t="s">
        <v>153</v>
      </c>
      <c r="BR1714" s="0" t="s">
        <v>153</v>
      </c>
      <c r="BS1714" s="0" t="s">
        <v>153</v>
      </c>
      <c r="BV1714" s="0" t="s">
        <v>153</v>
      </c>
      <c r="BY1714" s="0" t="s">
        <v>175</v>
      </c>
      <c r="CA1714" s="0" t="s">
        <v>153</v>
      </c>
      <c r="CG1714" s="0" t="s">
        <v>153</v>
      </c>
      <c r="CH1714" s="0" t="s">
        <v>175</v>
      </c>
      <c r="CK1714" s="0" t="s">
        <v>153</v>
      </c>
      <c r="CL1714" s="0" t="s">
        <v>175</v>
      </c>
      <c r="CN1714" s="0" t="s">
        <v>153</v>
      </c>
      <c r="CO1714" s="0" t="s">
        <v>175</v>
      </c>
      <c r="CP1714" s="0" t="s">
        <v>153</v>
      </c>
      <c r="CV1714" s="0" t="s">
        <v>153</v>
      </c>
      <c r="CY1714" s="0" t="s">
        <v>153</v>
      </c>
      <c r="CZ1714" s="0" t="s">
        <v>175</v>
      </c>
      <c r="DC1714" s="0" t="s">
        <v>153</v>
      </c>
      <c r="DF1714" s="0" t="s">
        <v>153</v>
      </c>
      <c r="DG1714" s="0" t="s">
        <v>175</v>
      </c>
      <c r="DI1714" s="0" t="s">
        <v>153</v>
      </c>
      <c r="DL1714" s="0" t="s">
        <v>153</v>
      </c>
      <c r="DM1714" s="0" t="s">
        <v>175</v>
      </c>
      <c r="DN1714" s="0" t="s">
        <v>153</v>
      </c>
      <c r="DS1714" s="0" t="s">
        <v>175</v>
      </c>
      <c r="DT1714" s="0" t="s">
        <v>175</v>
      </c>
      <c r="DU1714" s="0" t="s">
        <v>153</v>
      </c>
      <c r="DW1714" s="0" t="s">
        <v>175</v>
      </c>
      <c r="DX1714" s="0" t="s">
        <v>153</v>
      </c>
      <c r="EA1714" s="0" t="s">
        <v>153</v>
      </c>
      <c r="ED1714" s="0" t="s">
        <v>175</v>
      </c>
      <c r="EF1714" s="0" t="s">
        <v>153</v>
      </c>
      <c r="EH1714" s="0" t="s">
        <v>175</v>
      </c>
    </row>
    <row r="1715" customFormat="false" ht="13.8" hidden="true" customHeight="false" outlineLevel="0" collapsed="false">
      <c r="A1715" s="0" t="s">
        <v>7737</v>
      </c>
      <c r="B1715" s="0" t="n">
        <v>78</v>
      </c>
      <c r="C1715" s="0" t="n">
        <v>417337</v>
      </c>
      <c r="D1715" s="0" t="s">
        <v>7738</v>
      </c>
      <c r="E1715" s="0" t="s">
        <v>475</v>
      </c>
      <c r="F1715" s="0" t="str">
        <f aca="false">CONCATENATE(D1715," ",LEFT(H1715,4),"T=",AU1715,"D=",AV1715,"R=",AW1715,"M=",AX1715,"L=",AY1715,"B=",AZ1715)</f>
        <v>SCHMUCKER T=1D=0R=0M=0L=1B=0</v>
      </c>
      <c r="G1715" s="0" t="s">
        <v>171</v>
      </c>
      <c r="I1715" s="0" t="s">
        <v>7739</v>
      </c>
      <c r="J1715" s="0" t="s">
        <v>7740</v>
      </c>
      <c r="K1715" s="0" t="s">
        <v>160</v>
      </c>
      <c r="M1715" s="0" t="s">
        <v>7741</v>
      </c>
      <c r="N1715" s="0" t="str">
        <f aca="false">RIGHT(M1715,LEN(M1715)-FIND(" ",M1715))</f>
        <v>OAK KNOLL AVE SE</v>
      </c>
      <c r="P1715" s="0" t="s">
        <v>145</v>
      </c>
      <c r="Q1715" s="0" t="s">
        <v>146</v>
      </c>
      <c r="R1715" s="0" t="n">
        <v>44484</v>
      </c>
      <c r="AD1715" s="0" t="s">
        <v>147</v>
      </c>
      <c r="AE1715" s="0" t="s">
        <v>148</v>
      </c>
      <c r="AF1715" s="0" t="s">
        <v>149</v>
      </c>
      <c r="AH1715" s="0" t="n">
        <v>14</v>
      </c>
      <c r="AI1715" s="0" t="n">
        <v>11</v>
      </c>
      <c r="AN1715" s="0" t="s">
        <v>145</v>
      </c>
      <c r="AO1715" s="0" t="s">
        <v>233</v>
      </c>
      <c r="AP1715" s="0" t="s">
        <v>234</v>
      </c>
      <c r="AQ1715" s="0" t="n">
        <v>9</v>
      </c>
      <c r="AR1715" s="0" t="n">
        <v>64</v>
      </c>
      <c r="AS1715" s="0" t="n">
        <v>32</v>
      </c>
      <c r="AU1715" s="0" t="n">
        <f aca="false">COUNTA($BA$2684:$EH$2684)</f>
        <v>1</v>
      </c>
      <c r="AV1715" s="0" t="n">
        <f aca="false">COUNTIF($BA$2684:$EH$2684,"D")</f>
        <v>0</v>
      </c>
      <c r="AW1715" s="0" t="n">
        <f aca="false">COUNTIF($BA$2684:$EH$2684,"R")</f>
        <v>0</v>
      </c>
      <c r="AX1715" s="0" t="n">
        <f aca="false">IF(BN1715="D",1,0)+IF(BO1715="D",1,0)+IF(BT1715="D",1,0)+IF(BU1715="D",1,0)+IF(BW1715="D",1,0)+IF(CC1715="D",1,0)+IF(CD1715="D",1,0)+IF(CE1715="D",1,0)+IF(CF1715="D",1,0)+IF(CL1715="D",1,0)+IF(CM1715="D",1,0)+IF(CQ1715="D",1,0)+IF(CR1715="D",1,0)+IF(CS1715="D",1,0)+IF(CW1715="D",1,0)+IF(CX1715="D",1,0)+IF(DD1715="D",1,0)+IF(DE1715="D",1,0)+IF(DJ1715="D",1,0)+IF(DK1715="D",1,0)+IF(DO1715="D",1,0)+IF(DP1715="D",1,0)+IF(DQ1715="D",1,0)+IF(DW1715="D",1,0)+IF(DZ1715="D",1,0)+IF(EH1715="D",1,0)</f>
        <v>0</v>
      </c>
      <c r="AY1715" s="0" t="n">
        <f aca="false">COUNTIF(DU1715:EH1715, "&lt;&gt;")</f>
        <v>1</v>
      </c>
      <c r="AZ1715" s="0" t="n">
        <f aca="false">IF(EH1715&lt;&gt;"",1,0)</f>
        <v>0</v>
      </c>
      <c r="BB1715" s="0" t="s">
        <v>152</v>
      </c>
      <c r="BL1715" s="0" t="s">
        <v>153</v>
      </c>
      <c r="DC1715" s="0" t="s">
        <v>153</v>
      </c>
      <c r="DI1715" s="0" t="s">
        <v>153</v>
      </c>
      <c r="DN1715" s="0" t="s">
        <v>153</v>
      </c>
      <c r="EF1715" s="0" t="s">
        <v>153</v>
      </c>
    </row>
    <row r="1716" customFormat="false" ht="13.8" hidden="true" customHeight="false" outlineLevel="0" collapsed="false">
      <c r="A1716" s="0" t="s">
        <v>7742</v>
      </c>
      <c r="B1716" s="0" t="n">
        <v>78</v>
      </c>
      <c r="C1716" s="0" t="n">
        <v>459163</v>
      </c>
      <c r="D1716" s="0" t="s">
        <v>7743</v>
      </c>
      <c r="E1716" s="0" t="s">
        <v>719</v>
      </c>
      <c r="F1716" s="0" t="str">
        <f aca="false">CONCATENATE(D1716," ",LEFT(H1716,4),"T=",AU1716,"D=",AV1716,"R=",AW1716,"M=",AX1716,"L=",AY1716,"B=",AZ1716)</f>
        <v>SEXTON T=12D=1R=0M=0L=0B=0</v>
      </c>
      <c r="G1716" s="0" t="s">
        <v>7744</v>
      </c>
      <c r="I1716" s="0" t="s">
        <v>2598</v>
      </c>
      <c r="J1716" s="0" t="s">
        <v>7745</v>
      </c>
      <c r="K1716" s="0" t="s">
        <v>160</v>
      </c>
      <c r="M1716" s="0" t="s">
        <v>7746</v>
      </c>
      <c r="N1716" s="0" t="str">
        <f aca="false">RIGHT(M1716,LEN(M1716)-FIND(" ",M1716))</f>
        <v>OAK KNOLL AVE SE</v>
      </c>
      <c r="P1716" s="0" t="s">
        <v>145</v>
      </c>
      <c r="Q1716" s="0" t="s">
        <v>146</v>
      </c>
      <c r="R1716" s="0" t="n">
        <v>44483</v>
      </c>
      <c r="AD1716" s="0" t="s">
        <v>147</v>
      </c>
      <c r="AE1716" s="0" t="s">
        <v>148</v>
      </c>
      <c r="AF1716" s="0" t="s">
        <v>149</v>
      </c>
      <c r="AH1716" s="0" t="n">
        <v>14</v>
      </c>
      <c r="AI1716" s="0" t="n">
        <v>11</v>
      </c>
      <c r="AN1716" s="0" t="s">
        <v>145</v>
      </c>
      <c r="AO1716" s="0" t="s">
        <v>150</v>
      </c>
      <c r="AP1716" s="0" t="s">
        <v>151</v>
      </c>
      <c r="AQ1716" s="0" t="n">
        <v>9</v>
      </c>
      <c r="AR1716" s="0" t="n">
        <v>64</v>
      </c>
      <c r="AS1716" s="0" t="n">
        <v>32</v>
      </c>
      <c r="AU1716" s="0" t="n">
        <f aca="false">COUNTA($BA$105:$EH$105)</f>
        <v>12</v>
      </c>
      <c r="AV1716" s="0" t="n">
        <f aca="false">COUNTIF($BA$105:$EH$105,"D")</f>
        <v>1</v>
      </c>
      <c r="AW1716" s="0" t="n">
        <f aca="false">COUNTIF($BA$105:$EH$105,"R")</f>
        <v>0</v>
      </c>
      <c r="AX1716" s="0" t="n">
        <f aca="false">IF(BN1716="D",1,0)+IF(BO1716="D",1,0)+IF(BT1716="D",1,0)+IF(BU1716="D",1,0)+IF(BW1716="D",1,0)+IF(CC1716="D",1,0)+IF(CD1716="D",1,0)+IF(CE1716="D",1,0)+IF(CF1716="D",1,0)+IF(CL1716="D",1,0)+IF(CM1716="D",1,0)+IF(CQ1716="D",1,0)+IF(CR1716="D",1,0)+IF(CS1716="D",1,0)+IF(CW1716="D",1,0)+IF(CX1716="D",1,0)+IF(DD1716="D",1,0)+IF(DE1716="D",1,0)+IF(DJ1716="D",1,0)+IF(DK1716="D",1,0)+IF(DO1716="D",1,0)+IF(DP1716="D",1,0)+IF(DQ1716="D",1,0)+IF(DW1716="D",1,0)+IF(DZ1716="D",1,0)+IF(EH1716="D",1,0)</f>
        <v>0</v>
      </c>
      <c r="AY1716" s="0" t="n">
        <f aca="false">COUNTIF(DU1716:EH1716, "&lt;&gt;")</f>
        <v>0</v>
      </c>
      <c r="AZ1716" s="0" t="n">
        <f aca="false">IF(EH1716&lt;&gt;"",1,0)</f>
        <v>0</v>
      </c>
      <c r="BB1716" s="0" t="s">
        <v>152</v>
      </c>
      <c r="DC1716" s="0" t="s">
        <v>153</v>
      </c>
    </row>
    <row r="1717" customFormat="false" ht="13.8" hidden="true" customHeight="false" outlineLevel="0" collapsed="false">
      <c r="A1717" s="0" t="s">
        <v>7747</v>
      </c>
      <c r="B1717" s="0" t="n">
        <v>78</v>
      </c>
      <c r="C1717" s="0" t="n">
        <v>400478</v>
      </c>
      <c r="D1717" s="0" t="s">
        <v>7748</v>
      </c>
      <c r="E1717" s="0" t="s">
        <v>208</v>
      </c>
      <c r="F1717" s="0" t="str">
        <f aca="false">CONCATENATE(D1717," ",LEFT(H1717,4),"T=",AU1717,"D=",AV1717,"R=",AW1717,"M=",AX1717,"L=",AY1717,"B=",AZ1717)</f>
        <v>KIRKLAND IIIT=3D=0R=0M=0L=0B=0</v>
      </c>
      <c r="H1717" s="0" t="s">
        <v>1932</v>
      </c>
      <c r="I1717" s="0" t="s">
        <v>7749</v>
      </c>
      <c r="J1717" s="0" t="s">
        <v>7750</v>
      </c>
      <c r="K1717" s="0" t="s">
        <v>143</v>
      </c>
      <c r="M1717" s="0" t="s">
        <v>7751</v>
      </c>
      <c r="N1717" s="0" t="str">
        <f aca="false">RIGHT(M1717,LEN(M1717)-FIND(" ",M1717))</f>
        <v>OAK KNOLL AVE SE</v>
      </c>
      <c r="P1717" s="0" t="s">
        <v>145</v>
      </c>
      <c r="Q1717" s="0" t="s">
        <v>146</v>
      </c>
      <c r="R1717" s="0" t="n">
        <v>44484</v>
      </c>
      <c r="AD1717" s="0" t="s">
        <v>147</v>
      </c>
      <c r="AE1717" s="0" t="s">
        <v>148</v>
      </c>
      <c r="AF1717" s="0" t="s">
        <v>149</v>
      </c>
      <c r="AH1717" s="0" t="n">
        <v>14</v>
      </c>
      <c r="AI1717" s="0" t="n">
        <v>11</v>
      </c>
      <c r="AN1717" s="0" t="s">
        <v>145</v>
      </c>
      <c r="AO1717" s="0" t="s">
        <v>233</v>
      </c>
      <c r="AP1717" s="0" t="s">
        <v>234</v>
      </c>
      <c r="AQ1717" s="0" t="n">
        <v>9</v>
      </c>
      <c r="AR1717" s="0" t="n">
        <v>64</v>
      </c>
      <c r="AS1717" s="0" t="n">
        <v>32</v>
      </c>
      <c r="AU1717" s="0" t="n">
        <f aca="false">COUNTA($BA$2084:$EH$2084)</f>
        <v>3</v>
      </c>
      <c r="AV1717" s="0" t="n">
        <f aca="false">COUNTIF($BA$2084:$EH$2084,"D")</f>
        <v>0</v>
      </c>
      <c r="AW1717" s="0" t="n">
        <f aca="false">COUNTIF($BA$2084:$EH$2084,"R")</f>
        <v>0</v>
      </c>
      <c r="AX1717" s="0" t="n">
        <f aca="false">IF(BN1717="D",1,0)+IF(BO1717="D",1,0)+IF(BT1717="D",1,0)+IF(BU1717="D",1,0)+IF(BW1717="D",1,0)+IF(CC1717="D",1,0)+IF(CD1717="D",1,0)+IF(CE1717="D",1,0)+IF(CF1717="D",1,0)+IF(CL1717="D",1,0)+IF(CM1717="D",1,0)+IF(CQ1717="D",1,0)+IF(CR1717="D",1,0)+IF(CS1717="D",1,0)+IF(CW1717="D",1,0)+IF(CX1717="D",1,0)+IF(DD1717="D",1,0)+IF(DE1717="D",1,0)+IF(DJ1717="D",1,0)+IF(DK1717="D",1,0)+IF(DO1717="D",1,0)+IF(DP1717="D",1,0)+IF(DQ1717="D",1,0)+IF(DW1717="D",1,0)+IF(DZ1717="D",1,0)+IF(EH1717="D",1,0)</f>
        <v>0</v>
      </c>
      <c r="AY1717" s="0" t="n">
        <f aca="false">COUNTIF(DU1717:EH1717, "&lt;&gt;")</f>
        <v>0</v>
      </c>
      <c r="AZ1717" s="0" t="n">
        <f aca="false">IF(EH1717&lt;&gt;"",1,0)</f>
        <v>0</v>
      </c>
      <c r="BB1717" s="0" t="s">
        <v>152</v>
      </c>
      <c r="DC1717" s="0" t="s">
        <v>153</v>
      </c>
      <c r="DI1717" s="0" t="s">
        <v>153</v>
      </c>
    </row>
    <row r="1718" customFormat="false" ht="13.8" hidden="true" customHeight="false" outlineLevel="0" collapsed="false">
      <c r="A1718" s="0" t="s">
        <v>7752</v>
      </c>
      <c r="B1718" s="0" t="n">
        <v>78</v>
      </c>
      <c r="C1718" s="0" t="n">
        <v>351002</v>
      </c>
      <c r="D1718" s="0" t="s">
        <v>1466</v>
      </c>
      <c r="E1718" s="0" t="s">
        <v>1776</v>
      </c>
      <c r="F1718" s="0" t="str">
        <f aca="false">CONCATENATE(D1718," ",LEFT(H1718,4),"T=",AU1718,"D=",AV1718,"R=",AW1718,"M=",AX1718,"L=",AY1718,"B=",AZ1718)</f>
        <v>JOHNSON T=9D=1R=0M=0L=0B=0</v>
      </c>
      <c r="G1718" s="0" t="s">
        <v>164</v>
      </c>
      <c r="I1718" s="0" t="s">
        <v>7753</v>
      </c>
      <c r="J1718" s="0" t="s">
        <v>7754</v>
      </c>
      <c r="K1718" s="0" t="s">
        <v>143</v>
      </c>
      <c r="M1718" s="0" t="s">
        <v>7751</v>
      </c>
      <c r="N1718" s="0" t="str">
        <f aca="false">RIGHT(M1718,LEN(M1718)-FIND(" ",M1718))</f>
        <v>OAK KNOLL AVE SE</v>
      </c>
      <c r="P1718" s="0" t="s">
        <v>145</v>
      </c>
      <c r="Q1718" s="0" t="s">
        <v>146</v>
      </c>
      <c r="R1718" s="0" t="n">
        <v>44484</v>
      </c>
      <c r="AD1718" s="0" t="s">
        <v>147</v>
      </c>
      <c r="AE1718" s="0" t="s">
        <v>148</v>
      </c>
      <c r="AF1718" s="0" t="s">
        <v>149</v>
      </c>
      <c r="AH1718" s="0" t="n">
        <v>14</v>
      </c>
      <c r="AI1718" s="0" t="n">
        <v>11</v>
      </c>
      <c r="AN1718" s="0" t="s">
        <v>145</v>
      </c>
      <c r="AO1718" s="0" t="s">
        <v>233</v>
      </c>
      <c r="AP1718" s="0" t="s">
        <v>234</v>
      </c>
      <c r="AQ1718" s="0" t="n">
        <v>9</v>
      </c>
      <c r="AR1718" s="0" t="n">
        <v>64</v>
      </c>
      <c r="AS1718" s="0" t="n">
        <v>32</v>
      </c>
      <c r="AU1718" s="0" t="n">
        <f aca="false">COUNTA($BA$2607:$EH$2607)</f>
        <v>9</v>
      </c>
      <c r="AV1718" s="0" t="n">
        <f aca="false">COUNTIF($BA$2607:$EH$2607,"D")</f>
        <v>1</v>
      </c>
      <c r="AW1718" s="0" t="n">
        <f aca="false">COUNTIF($BA$2607:$EH$2607,"R")</f>
        <v>0</v>
      </c>
      <c r="AX1718" s="0" t="n">
        <f aca="false">IF(BN1718="D",1,0)+IF(BO1718="D",1,0)+IF(BT1718="D",1,0)+IF(BU1718="D",1,0)+IF(BW1718="D",1,0)+IF(CC1718="D",1,0)+IF(CD1718="D",1,0)+IF(CE1718="D",1,0)+IF(CF1718="D",1,0)+IF(CL1718="D",1,0)+IF(CM1718="D",1,0)+IF(CQ1718="D",1,0)+IF(CR1718="D",1,0)+IF(CS1718="D",1,0)+IF(CW1718="D",1,0)+IF(CX1718="D",1,0)+IF(DD1718="D",1,0)+IF(DE1718="D",1,0)+IF(DJ1718="D",1,0)+IF(DK1718="D",1,0)+IF(DO1718="D",1,0)+IF(DP1718="D",1,0)+IF(DQ1718="D",1,0)+IF(DW1718="D",1,0)+IF(DZ1718="D",1,0)+IF(EH1718="D",1,0)</f>
        <v>0</v>
      </c>
      <c r="AY1718" s="0" t="n">
        <f aca="false">COUNTIF(DU1718:EH1718, "&lt;&gt;")</f>
        <v>0</v>
      </c>
      <c r="AZ1718" s="0" t="n">
        <f aca="false">IF(EH1718&lt;&gt;"",1,0)</f>
        <v>0</v>
      </c>
      <c r="BB1718" s="0" t="s">
        <v>152</v>
      </c>
      <c r="BY1718" s="0" t="s">
        <v>175</v>
      </c>
      <c r="CA1718" s="0" t="s">
        <v>153</v>
      </c>
      <c r="CP1718" s="0" t="s">
        <v>153</v>
      </c>
    </row>
    <row r="1719" customFormat="false" ht="13.8" hidden="true" customHeight="false" outlineLevel="0" collapsed="false">
      <c r="A1719" s="0" t="s">
        <v>7755</v>
      </c>
      <c r="B1719" s="0" t="n">
        <v>78</v>
      </c>
      <c r="C1719" s="0" t="n">
        <v>462557</v>
      </c>
      <c r="D1719" s="0" t="s">
        <v>690</v>
      </c>
      <c r="E1719" s="0" t="s">
        <v>7756</v>
      </c>
      <c r="F1719" s="0" t="str">
        <f aca="false">CONCATENATE(D1719," ",LEFT(H1719,4),"T=",AU1719,"D=",AV1719,"R=",AW1719,"M=",AX1719,"L=",AY1719,"B=",AZ1719)</f>
        <v>SMITH T=3D=0R=0M=0L=0B=0</v>
      </c>
      <c r="G1719" s="0" t="s">
        <v>7757</v>
      </c>
      <c r="I1719" s="0" t="s">
        <v>7758</v>
      </c>
      <c r="J1719" s="0" t="s">
        <v>5256</v>
      </c>
      <c r="K1719" s="0" t="s">
        <v>143</v>
      </c>
      <c r="M1719" s="0" t="s">
        <v>7759</v>
      </c>
      <c r="N1719" s="0" t="str">
        <f aca="false">RIGHT(M1719,LEN(M1719)-FIND(" ",M1719))</f>
        <v>OAK KNOLL AVE SE</v>
      </c>
      <c r="P1719" s="0" t="s">
        <v>145</v>
      </c>
      <c r="Q1719" s="0" t="s">
        <v>146</v>
      </c>
      <c r="R1719" s="0" t="n">
        <v>44484</v>
      </c>
      <c r="AD1719" s="0" t="s">
        <v>147</v>
      </c>
      <c r="AE1719" s="0" t="s">
        <v>148</v>
      </c>
      <c r="AF1719" s="0" t="s">
        <v>149</v>
      </c>
      <c r="AH1719" s="0" t="n">
        <v>14</v>
      </c>
      <c r="AI1719" s="0" t="n">
        <v>11</v>
      </c>
      <c r="AN1719" s="0" t="s">
        <v>145</v>
      </c>
      <c r="AO1719" s="0" t="s">
        <v>233</v>
      </c>
      <c r="AP1719" s="0" t="s">
        <v>234</v>
      </c>
      <c r="AQ1719" s="0" t="n">
        <v>9</v>
      </c>
      <c r="AR1719" s="0" t="n">
        <v>64</v>
      </c>
      <c r="AS1719" s="0" t="n">
        <v>32</v>
      </c>
      <c r="AU1719" s="0" t="n">
        <f aca="false">COUNTA($BA$2242:$EH$2242)</f>
        <v>3</v>
      </c>
      <c r="AV1719" s="0" t="n">
        <f aca="false">COUNTIF($BA$2242:$EH$2242,"D")</f>
        <v>0</v>
      </c>
      <c r="AW1719" s="0" t="n">
        <f aca="false">COUNTIF($BA$2242:$EH$2242,"R")</f>
        <v>0</v>
      </c>
      <c r="AX1719" s="0" t="n">
        <f aca="false">IF(BN1719="D",1,0)+IF(BO1719="D",1,0)+IF(BT1719="D",1,0)+IF(BU1719="D",1,0)+IF(BW1719="D",1,0)+IF(CC1719="D",1,0)+IF(CD1719="D",1,0)+IF(CE1719="D",1,0)+IF(CF1719="D",1,0)+IF(CL1719="D",1,0)+IF(CM1719="D",1,0)+IF(CQ1719="D",1,0)+IF(CR1719="D",1,0)+IF(CS1719="D",1,0)+IF(CW1719="D",1,0)+IF(CX1719="D",1,0)+IF(DD1719="D",1,0)+IF(DE1719="D",1,0)+IF(DJ1719="D",1,0)+IF(DK1719="D",1,0)+IF(DO1719="D",1,0)+IF(DP1719="D",1,0)+IF(DQ1719="D",1,0)+IF(DW1719="D",1,0)+IF(DZ1719="D",1,0)+IF(EH1719="D",1,0)</f>
        <v>0</v>
      </c>
      <c r="AY1719" s="0" t="n">
        <f aca="false">COUNTIF(DU1719:EH1719, "&lt;&gt;")</f>
        <v>0</v>
      </c>
      <c r="AZ1719" s="0" t="n">
        <f aca="false">IF(EH1719&lt;&gt;"",1,0)</f>
        <v>0</v>
      </c>
      <c r="BB1719" s="0" t="s">
        <v>152</v>
      </c>
    </row>
    <row r="1720" customFormat="false" ht="13.8" hidden="true" customHeight="false" outlineLevel="0" collapsed="false">
      <c r="A1720" s="0" t="s">
        <v>7760</v>
      </c>
      <c r="B1720" s="0" t="n">
        <v>78</v>
      </c>
      <c r="C1720" s="0" t="n">
        <v>334075</v>
      </c>
      <c r="D1720" s="0" t="s">
        <v>690</v>
      </c>
      <c r="E1720" s="0" t="s">
        <v>7761</v>
      </c>
      <c r="F1720" s="0" t="str">
        <f aca="false">CONCATENATE(D1720," ",LEFT(H1720,4),"T=",AU1720,"D=",AV1720,"R=",AW1720,"M=",AX1720,"L=",AY1720,"B=",AZ1720)</f>
        <v>SMITH T=13D=2R=0M=0L=1B=0</v>
      </c>
      <c r="G1720" s="0" t="s">
        <v>190</v>
      </c>
      <c r="I1720" s="0" t="s">
        <v>7762</v>
      </c>
      <c r="J1720" s="0" t="s">
        <v>7763</v>
      </c>
      <c r="K1720" s="0" t="s">
        <v>160</v>
      </c>
      <c r="M1720" s="0" t="s">
        <v>7759</v>
      </c>
      <c r="N1720" s="0" t="str">
        <f aca="false">RIGHT(M1720,LEN(M1720)-FIND(" ",M1720))</f>
        <v>OAK KNOLL AVE SE</v>
      </c>
      <c r="P1720" s="0" t="s">
        <v>145</v>
      </c>
      <c r="Q1720" s="0" t="s">
        <v>146</v>
      </c>
      <c r="R1720" s="0" t="n">
        <v>44484</v>
      </c>
      <c r="AD1720" s="0" t="s">
        <v>147</v>
      </c>
      <c r="AE1720" s="0" t="s">
        <v>148</v>
      </c>
      <c r="AF1720" s="0" t="s">
        <v>149</v>
      </c>
      <c r="AH1720" s="0" t="n">
        <v>14</v>
      </c>
      <c r="AI1720" s="0" t="n">
        <v>11</v>
      </c>
      <c r="AN1720" s="0" t="s">
        <v>145</v>
      </c>
      <c r="AO1720" s="0" t="s">
        <v>233</v>
      </c>
      <c r="AP1720" s="0" t="s">
        <v>234</v>
      </c>
      <c r="AQ1720" s="0" t="n">
        <v>9</v>
      </c>
      <c r="AR1720" s="0" t="n">
        <v>64</v>
      </c>
      <c r="AS1720" s="0" t="n">
        <v>32</v>
      </c>
      <c r="AU1720" s="0" t="n">
        <f aca="false">COUNTA($BA$2312:$EH$2312)</f>
        <v>13</v>
      </c>
      <c r="AV1720" s="0" t="n">
        <f aca="false">COUNTIF($BA$2312:$EH$2312,"D")</f>
        <v>2</v>
      </c>
      <c r="AW1720" s="0" t="n">
        <f aca="false">COUNTIF($BA$2312:$EH$2312,"R")</f>
        <v>0</v>
      </c>
      <c r="AX1720" s="0" t="n">
        <f aca="false">IF(BN1720="D",1,0)+IF(BO1720="D",1,0)+IF(BT1720="D",1,0)+IF(BU1720="D",1,0)+IF(BW1720="D",1,0)+IF(CC1720="D",1,0)+IF(CD1720="D",1,0)+IF(CE1720="D",1,0)+IF(CF1720="D",1,0)+IF(CL1720="D",1,0)+IF(CM1720="D",1,0)+IF(CQ1720="D",1,0)+IF(CR1720="D",1,0)+IF(CS1720="D",1,0)+IF(CW1720="D",1,0)+IF(CX1720="D",1,0)+IF(DD1720="D",1,0)+IF(DE1720="D",1,0)+IF(DJ1720="D",1,0)+IF(DK1720="D",1,0)+IF(DO1720="D",1,0)+IF(DP1720="D",1,0)+IF(DQ1720="D",1,0)+IF(DW1720="D",1,0)+IF(DZ1720="D",1,0)+IF(EH1720="D",1,0)</f>
        <v>0</v>
      </c>
      <c r="AY1720" s="0" t="n">
        <f aca="false">COUNTIF(DU1720:EH1720, "&lt;&gt;")</f>
        <v>1</v>
      </c>
      <c r="AZ1720" s="0" t="n">
        <f aca="false">IF(EH1720&lt;&gt;"",1,0)</f>
        <v>0</v>
      </c>
      <c r="BB1720" s="0" t="s">
        <v>152</v>
      </c>
      <c r="BL1720" s="0" t="s">
        <v>153</v>
      </c>
      <c r="CP1720" s="0" t="s">
        <v>153</v>
      </c>
      <c r="DC1720" s="0" t="s">
        <v>153</v>
      </c>
      <c r="DM1720" s="0" t="s">
        <v>175</v>
      </c>
      <c r="DN1720" s="0" t="s">
        <v>153</v>
      </c>
      <c r="EF1720" s="0" t="s">
        <v>153</v>
      </c>
    </row>
    <row r="1721" customFormat="false" ht="13.8" hidden="true" customHeight="false" outlineLevel="0" collapsed="false">
      <c r="A1721" s="0" t="s">
        <v>7764</v>
      </c>
      <c r="B1721" s="0" t="n">
        <v>78</v>
      </c>
      <c r="C1721" s="0" t="n">
        <v>321441</v>
      </c>
      <c r="D1721" s="0" t="s">
        <v>3080</v>
      </c>
      <c r="E1721" s="0" t="s">
        <v>3873</v>
      </c>
      <c r="F1721" s="0" t="str">
        <f aca="false">CONCATENATE(D1721," ",LEFT(H1721,4),"T=",AU1721,"D=",AV1721,"R=",AW1721,"M=",AX1721,"L=",AY1721,"B=",AZ1721)</f>
        <v>SWEGAN T=8D=0R=0M=0L=0B=0</v>
      </c>
      <c r="G1721" s="0" t="s">
        <v>6287</v>
      </c>
      <c r="I1721" s="0" t="s">
        <v>7765</v>
      </c>
      <c r="J1721" s="0" t="s">
        <v>7766</v>
      </c>
      <c r="K1721" s="0" t="s">
        <v>160</v>
      </c>
      <c r="M1721" s="0" t="s">
        <v>7767</v>
      </c>
      <c r="N1721" s="0" t="str">
        <f aca="false">RIGHT(M1721,LEN(M1721)-FIND(" ",M1721))</f>
        <v>OAK KNOLL AVE SE</v>
      </c>
      <c r="P1721" s="0" t="s">
        <v>145</v>
      </c>
      <c r="Q1721" s="0" t="s">
        <v>146</v>
      </c>
      <c r="R1721" s="0" t="n">
        <v>44484</v>
      </c>
      <c r="AD1721" s="0" t="s">
        <v>147</v>
      </c>
      <c r="AE1721" s="0" t="s">
        <v>148</v>
      </c>
      <c r="AF1721" s="0" t="s">
        <v>149</v>
      </c>
      <c r="AH1721" s="0" t="n">
        <v>14</v>
      </c>
      <c r="AI1721" s="0" t="n">
        <v>11</v>
      </c>
      <c r="AN1721" s="0" t="s">
        <v>145</v>
      </c>
      <c r="AO1721" s="0" t="s">
        <v>233</v>
      </c>
      <c r="AP1721" s="0" t="s">
        <v>234</v>
      </c>
      <c r="AQ1721" s="0" t="n">
        <v>9</v>
      </c>
      <c r="AR1721" s="0" t="n">
        <v>64</v>
      </c>
      <c r="AS1721" s="0" t="n">
        <v>32</v>
      </c>
      <c r="AU1721" s="0" t="n">
        <f aca="false">COUNTA($BA$2629:$EH$2629)</f>
        <v>8</v>
      </c>
      <c r="AV1721" s="0" t="n">
        <f aca="false">COUNTIF($BA$2629:$EH$2629,"D")</f>
        <v>0</v>
      </c>
      <c r="AW1721" s="0" t="n">
        <f aca="false">COUNTIF($BA$2629:$EH$2629,"R")</f>
        <v>0</v>
      </c>
      <c r="AX1721" s="0" t="n">
        <f aca="false">IF(BN1721="D",1,0)+IF(BO1721="D",1,0)+IF(BT1721="D",1,0)+IF(BU1721="D",1,0)+IF(BW1721="D",1,0)+IF(CC1721="D",1,0)+IF(CD1721="D",1,0)+IF(CE1721="D",1,0)+IF(CF1721="D",1,0)+IF(CL1721="D",1,0)+IF(CM1721="D",1,0)+IF(CQ1721="D",1,0)+IF(CR1721="D",1,0)+IF(CS1721="D",1,0)+IF(CW1721="D",1,0)+IF(CX1721="D",1,0)+IF(DD1721="D",1,0)+IF(DE1721="D",1,0)+IF(DJ1721="D",1,0)+IF(DK1721="D",1,0)+IF(DO1721="D",1,0)+IF(DP1721="D",1,0)+IF(DQ1721="D",1,0)+IF(DW1721="D",1,0)+IF(DZ1721="D",1,0)+IF(EH1721="D",1,0)</f>
        <v>0</v>
      </c>
      <c r="AY1721" s="0" t="n">
        <f aca="false">COUNTIF(DU1721:EH1721, "&lt;&gt;")</f>
        <v>0</v>
      </c>
      <c r="AZ1721" s="0" t="n">
        <f aca="false">IF(EH1721&lt;&gt;"",1,0)</f>
        <v>0</v>
      </c>
      <c r="BB1721" s="0" t="s">
        <v>152</v>
      </c>
      <c r="CA1721" s="0" t="s">
        <v>153</v>
      </c>
      <c r="CY1721" s="0" t="s">
        <v>153</v>
      </c>
    </row>
    <row r="1722" customFormat="false" ht="13.8" hidden="true" customHeight="false" outlineLevel="0" collapsed="false">
      <c r="A1722" s="0" t="s">
        <v>7768</v>
      </c>
      <c r="B1722" s="0" t="n">
        <v>78</v>
      </c>
      <c r="C1722" s="0" t="n">
        <v>20875</v>
      </c>
      <c r="D1722" s="0" t="s">
        <v>193</v>
      </c>
      <c r="E1722" s="0" t="s">
        <v>1404</v>
      </c>
      <c r="F1722" s="0" t="str">
        <f aca="false">CONCATENATE(D1722," ",LEFT(H1722,4),"T=",AU1722,"D=",AV1722,"R=",AW1722,"M=",AX1722,"L=",AY1722,"B=",AZ1722)</f>
        <v>MORGAN T=1D=0R=0M=3L=1B=0</v>
      </c>
      <c r="G1722" s="0" t="s">
        <v>839</v>
      </c>
      <c r="I1722" s="0" t="s">
        <v>7769</v>
      </c>
      <c r="J1722" s="0" t="s">
        <v>1658</v>
      </c>
      <c r="K1722" s="0" t="s">
        <v>160</v>
      </c>
      <c r="M1722" s="0" t="s">
        <v>7770</v>
      </c>
      <c r="N1722" s="0" t="str">
        <f aca="false">RIGHT(M1722,LEN(M1722)-FIND(" ",M1722))</f>
        <v>OAK KNOLL AVE SE</v>
      </c>
      <c r="P1722" s="0" t="s">
        <v>145</v>
      </c>
      <c r="Q1722" s="0" t="s">
        <v>146</v>
      </c>
      <c r="R1722" s="0" t="n">
        <v>44484</v>
      </c>
      <c r="AD1722" s="0" t="s">
        <v>147</v>
      </c>
      <c r="AE1722" s="0" t="s">
        <v>148</v>
      </c>
      <c r="AF1722" s="0" t="s">
        <v>149</v>
      </c>
      <c r="AH1722" s="0" t="n">
        <v>14</v>
      </c>
      <c r="AI1722" s="0" t="n">
        <v>11</v>
      </c>
      <c r="AN1722" s="0" t="s">
        <v>145</v>
      </c>
      <c r="AO1722" s="0" t="s">
        <v>233</v>
      </c>
      <c r="AP1722" s="0" t="s">
        <v>234</v>
      </c>
      <c r="AQ1722" s="0" t="n">
        <v>9</v>
      </c>
      <c r="AR1722" s="0" t="n">
        <v>64</v>
      </c>
      <c r="AS1722" s="0" t="n">
        <v>32</v>
      </c>
      <c r="AU1722" s="0" t="n">
        <f aca="false">COUNTA($BA$2222:$EH$2222)</f>
        <v>1</v>
      </c>
      <c r="AV1722" s="0" t="n">
        <f aca="false">COUNTIF($BA$2222:$EH$2222,"D")</f>
        <v>0</v>
      </c>
      <c r="AW1722" s="0" t="n">
        <f aca="false">COUNTIF($BA$2222:$EH$2222,"R")</f>
        <v>0</v>
      </c>
      <c r="AX1722" s="0" t="n">
        <f aca="false">IF(BN1722="D",1,0)+IF(BO1722="D",1,0)+IF(BT1722="D",1,0)+IF(BU1722="D",1,0)+IF(BW1722="D",1,0)+IF(CC1722="D",1,0)+IF(CD1722="D",1,0)+IF(CE1722="D",1,0)+IF(CF1722="D",1,0)+IF(CL1722="D",1,0)+IF(CM1722="D",1,0)+IF(CQ1722="D",1,0)+IF(CR1722="D",1,0)+IF(CS1722="D",1,0)+IF(CW1722="D",1,0)+IF(CX1722="D",1,0)+IF(DD1722="D",1,0)+IF(DE1722="D",1,0)+IF(DJ1722="D",1,0)+IF(DK1722="D",1,0)+IF(DO1722="D",1,0)+IF(DP1722="D",1,0)+IF(DQ1722="D",1,0)+IF(DW1722="D",1,0)+IF(DZ1722="D",1,0)+IF(EH1722="D",1,0)</f>
        <v>3</v>
      </c>
      <c r="AY1722" s="0" t="n">
        <f aca="false">COUNTIF(DU1722:EH1722, "&lt;&gt;")</f>
        <v>1</v>
      </c>
      <c r="AZ1722" s="0" t="n">
        <f aca="false">IF(EH1722&lt;&gt;"",1,0)</f>
        <v>0</v>
      </c>
      <c r="BB1722" s="0" t="s">
        <v>152</v>
      </c>
      <c r="BC1722" s="0" t="s">
        <v>153</v>
      </c>
      <c r="BD1722" s="0" t="s">
        <v>153</v>
      </c>
      <c r="BG1722" s="0" t="s">
        <v>153</v>
      </c>
      <c r="BK1722" s="0" t="s">
        <v>153</v>
      </c>
      <c r="BL1722" s="0" t="s">
        <v>153</v>
      </c>
      <c r="BP1722" s="0" t="s">
        <v>153</v>
      </c>
      <c r="BR1722" s="0" t="s">
        <v>153</v>
      </c>
      <c r="BS1722" s="0" t="s">
        <v>153</v>
      </c>
      <c r="BY1722" s="0" t="s">
        <v>175</v>
      </c>
      <c r="CA1722" s="0" t="s">
        <v>153</v>
      </c>
      <c r="CC1722" s="0" t="s">
        <v>175</v>
      </c>
      <c r="CG1722" s="0" t="s">
        <v>153</v>
      </c>
      <c r="CH1722" s="0" t="s">
        <v>175</v>
      </c>
      <c r="CK1722" s="0" t="s">
        <v>153</v>
      </c>
      <c r="CL1722" s="0" t="s">
        <v>175</v>
      </c>
      <c r="CO1722" s="0" t="s">
        <v>175</v>
      </c>
      <c r="CP1722" s="0" t="s">
        <v>153</v>
      </c>
      <c r="CQ1722" s="0" t="s">
        <v>175</v>
      </c>
      <c r="CT1722" s="0" t="s">
        <v>153</v>
      </c>
      <c r="CV1722" s="0" t="s">
        <v>153</v>
      </c>
      <c r="DC1722" s="0" t="s">
        <v>153</v>
      </c>
      <c r="DF1722" s="0" t="s">
        <v>153</v>
      </c>
      <c r="DI1722" s="0" t="s">
        <v>153</v>
      </c>
      <c r="DM1722" s="0" t="s">
        <v>175</v>
      </c>
      <c r="DN1722" s="0" t="s">
        <v>153</v>
      </c>
      <c r="EF1722" s="0" t="s">
        <v>153</v>
      </c>
    </row>
    <row r="1723" customFormat="false" ht="13.8" hidden="true" customHeight="false" outlineLevel="0" collapsed="false">
      <c r="A1723" s="0" t="s">
        <v>7771</v>
      </c>
      <c r="B1723" s="0" t="n">
        <v>78</v>
      </c>
      <c r="C1723" s="0" t="n">
        <v>406718</v>
      </c>
      <c r="D1723" s="0" t="s">
        <v>193</v>
      </c>
      <c r="E1723" s="0" t="s">
        <v>7772</v>
      </c>
      <c r="F1723" s="0" t="str">
        <f aca="false">CONCATENATE(D1723," ",LEFT(H1723,4),"T=",AU1723,"D=",AV1723,"R=",AW1723,"M=",AX1723,"L=",AY1723,"B=",AZ1723)</f>
        <v>MORGAN T=1D=0R=0M=0L=0B=0</v>
      </c>
      <c r="G1723" s="0" t="s">
        <v>7773</v>
      </c>
      <c r="I1723" s="0" t="s">
        <v>7774</v>
      </c>
      <c r="J1723" s="0" t="s">
        <v>851</v>
      </c>
      <c r="K1723" s="0" t="s">
        <v>143</v>
      </c>
      <c r="M1723" s="0" t="s">
        <v>7770</v>
      </c>
      <c r="N1723" s="0" t="str">
        <f aca="false">RIGHT(M1723,LEN(M1723)-FIND(" ",M1723))</f>
        <v>OAK KNOLL AVE SE</v>
      </c>
      <c r="P1723" s="0" t="s">
        <v>145</v>
      </c>
      <c r="Q1723" s="0" t="s">
        <v>146</v>
      </c>
      <c r="R1723" s="0" t="n">
        <v>44484</v>
      </c>
      <c r="AD1723" s="0" t="s">
        <v>147</v>
      </c>
      <c r="AE1723" s="0" t="s">
        <v>148</v>
      </c>
      <c r="AF1723" s="0" t="s">
        <v>149</v>
      </c>
      <c r="AH1723" s="0" t="n">
        <v>14</v>
      </c>
      <c r="AI1723" s="0" t="n">
        <v>11</v>
      </c>
      <c r="AN1723" s="0" t="s">
        <v>145</v>
      </c>
      <c r="AO1723" s="0" t="s">
        <v>233</v>
      </c>
      <c r="AP1723" s="0" t="s">
        <v>234</v>
      </c>
      <c r="AQ1723" s="0" t="n">
        <v>9</v>
      </c>
      <c r="AR1723" s="0" t="n">
        <v>64</v>
      </c>
      <c r="AS1723" s="0" t="n">
        <v>32</v>
      </c>
      <c r="AU1723" s="0" t="n">
        <f aca="false">COUNTA($BA$2598:$EH$2598)</f>
        <v>1</v>
      </c>
      <c r="AV1723" s="0" t="n">
        <f aca="false">COUNTIF($BA$2598:$EH$2598,"D")</f>
        <v>0</v>
      </c>
      <c r="AW1723" s="0" t="n">
        <f aca="false">COUNTIF($BA$2598:$EH$2598,"R")</f>
        <v>0</v>
      </c>
      <c r="AX1723" s="0" t="n">
        <f aca="false">IF(BN1723="D",1,0)+IF(BO1723="D",1,0)+IF(BT1723="D",1,0)+IF(BU1723="D",1,0)+IF(BW1723="D",1,0)+IF(CC1723="D",1,0)+IF(CD1723="D",1,0)+IF(CE1723="D",1,0)+IF(CF1723="D",1,0)+IF(CL1723="D",1,0)+IF(CM1723="D",1,0)+IF(CQ1723="D",1,0)+IF(CR1723="D",1,0)+IF(CS1723="D",1,0)+IF(CW1723="D",1,0)+IF(CX1723="D",1,0)+IF(DD1723="D",1,0)+IF(DE1723="D",1,0)+IF(DJ1723="D",1,0)+IF(DK1723="D",1,0)+IF(DO1723="D",1,0)+IF(DP1723="D",1,0)+IF(DQ1723="D",1,0)+IF(DW1723="D",1,0)+IF(DZ1723="D",1,0)+IF(EH1723="D",1,0)</f>
        <v>0</v>
      </c>
      <c r="AY1723" s="0" t="n">
        <f aca="false">COUNTIF(DU1723:EH1723, "&lt;&gt;")</f>
        <v>0</v>
      </c>
      <c r="AZ1723" s="0" t="n">
        <f aca="false">IF(EH1723&lt;&gt;"",1,0)</f>
        <v>0</v>
      </c>
      <c r="BB1723" s="0" t="s">
        <v>152</v>
      </c>
      <c r="DC1723" s="0" t="s">
        <v>153</v>
      </c>
    </row>
    <row r="1724" customFormat="false" ht="13.8" hidden="true" customHeight="false" outlineLevel="0" collapsed="false">
      <c r="A1724" s="0" t="s">
        <v>7775</v>
      </c>
      <c r="B1724" s="0" t="n">
        <v>78</v>
      </c>
      <c r="C1724" s="0" t="n">
        <v>387110</v>
      </c>
      <c r="D1724" s="0" t="s">
        <v>6734</v>
      </c>
      <c r="E1724" s="0" t="s">
        <v>7776</v>
      </c>
      <c r="F1724" s="0" t="str">
        <f aca="false">CONCATENATE(D1724," ",LEFT(H1724,4),"T=",AU1724,"D=",AV1724,"R=",AW1724,"M=",AX1724,"L=",AY1724,"B=",AZ1724)</f>
        <v>COX JRT=1D=0R=0M=0L=0B=0</v>
      </c>
      <c r="G1724" s="0" t="s">
        <v>2661</v>
      </c>
      <c r="H1724" s="0" t="s">
        <v>314</v>
      </c>
      <c r="I1724" s="0" t="s">
        <v>7777</v>
      </c>
      <c r="J1724" s="0" t="s">
        <v>7778</v>
      </c>
      <c r="K1724" s="0" t="s">
        <v>143</v>
      </c>
      <c r="M1724" s="0" t="s">
        <v>7779</v>
      </c>
      <c r="N1724" s="0" t="str">
        <f aca="false">RIGHT(M1724,LEN(M1724)-FIND(" ",M1724))</f>
        <v>OAK KNOLL AVE SE</v>
      </c>
      <c r="P1724" s="0" t="s">
        <v>145</v>
      </c>
      <c r="Q1724" s="0" t="s">
        <v>146</v>
      </c>
      <c r="R1724" s="0" t="n">
        <v>44484</v>
      </c>
      <c r="AD1724" s="0" t="s">
        <v>147</v>
      </c>
      <c r="AE1724" s="0" t="s">
        <v>148</v>
      </c>
      <c r="AF1724" s="0" t="s">
        <v>149</v>
      </c>
      <c r="AH1724" s="0" t="n">
        <v>14</v>
      </c>
      <c r="AI1724" s="0" t="n">
        <v>11</v>
      </c>
      <c r="AN1724" s="0" t="s">
        <v>145</v>
      </c>
      <c r="AO1724" s="0" t="s">
        <v>233</v>
      </c>
      <c r="AP1724" s="0" t="s">
        <v>234</v>
      </c>
      <c r="AQ1724" s="0" t="n">
        <v>9</v>
      </c>
      <c r="AR1724" s="0" t="n">
        <v>64</v>
      </c>
      <c r="AS1724" s="0" t="n">
        <v>32</v>
      </c>
      <c r="AU1724" s="0" t="n">
        <f aca="false">COUNTA($BA$2114:$EH$2114)</f>
        <v>1</v>
      </c>
      <c r="AV1724" s="0" t="n">
        <f aca="false">COUNTIF($BA$2114:$EH$2114,"D")</f>
        <v>0</v>
      </c>
      <c r="AW1724" s="0" t="n">
        <f aca="false">COUNTIF($BA$2114:$EH$2114,"R")</f>
        <v>0</v>
      </c>
      <c r="AX1724" s="0" t="n">
        <f aca="false">IF(BN1724="D",1,0)+IF(BO1724="D",1,0)+IF(BT1724="D",1,0)+IF(BU1724="D",1,0)+IF(BW1724="D",1,0)+IF(CC1724="D",1,0)+IF(CD1724="D",1,0)+IF(CE1724="D",1,0)+IF(CF1724="D",1,0)+IF(CL1724="D",1,0)+IF(CM1724="D",1,0)+IF(CQ1724="D",1,0)+IF(CR1724="D",1,0)+IF(CS1724="D",1,0)+IF(CW1724="D",1,0)+IF(CX1724="D",1,0)+IF(DD1724="D",1,0)+IF(DE1724="D",1,0)+IF(DJ1724="D",1,0)+IF(DK1724="D",1,0)+IF(DO1724="D",1,0)+IF(DP1724="D",1,0)+IF(DQ1724="D",1,0)+IF(DW1724="D",1,0)+IF(DZ1724="D",1,0)+IF(EH1724="D",1,0)</f>
        <v>0</v>
      </c>
      <c r="AY1724" s="0" t="n">
        <f aca="false">COUNTIF(DU1724:EH1724, "&lt;&gt;")</f>
        <v>0</v>
      </c>
      <c r="AZ1724" s="0" t="n">
        <f aca="false">IF(EH1724&lt;&gt;"",1,0)</f>
        <v>0</v>
      </c>
      <c r="BB1724" s="0" t="s">
        <v>152</v>
      </c>
    </row>
    <row r="1725" customFormat="false" ht="13.8" hidden="true" customHeight="false" outlineLevel="0" collapsed="false">
      <c r="A1725" s="0" t="s">
        <v>7780</v>
      </c>
      <c r="B1725" s="0" t="n">
        <v>78</v>
      </c>
      <c r="C1725" s="0" t="n">
        <v>405055</v>
      </c>
      <c r="D1725" s="0" t="s">
        <v>1661</v>
      </c>
      <c r="E1725" s="0" t="s">
        <v>2040</v>
      </c>
      <c r="F1725" s="0" t="str">
        <f aca="false">CONCATENATE(D1725," ",LEFT(H1725,4),"T=",AU1725,"D=",AV1725,"R=",AW1725,"M=",AX1725,"L=",AY1725,"B=",AZ1725)</f>
        <v>JACKSON T=4D=1R=0M=0L=0B=0</v>
      </c>
      <c r="G1725" s="0" t="s">
        <v>164</v>
      </c>
      <c r="I1725" s="0" t="s">
        <v>7781</v>
      </c>
      <c r="J1725" s="0" t="s">
        <v>7782</v>
      </c>
      <c r="K1725" s="0" t="s">
        <v>160</v>
      </c>
      <c r="M1725" s="0" t="s">
        <v>7779</v>
      </c>
      <c r="N1725" s="0" t="str">
        <f aca="false">RIGHT(M1725,LEN(M1725)-FIND(" ",M1725))</f>
        <v>OAK KNOLL AVE SE</v>
      </c>
      <c r="P1725" s="0" t="s">
        <v>145</v>
      </c>
      <c r="Q1725" s="0" t="s">
        <v>146</v>
      </c>
      <c r="R1725" s="0" t="n">
        <v>44484</v>
      </c>
      <c r="AD1725" s="0" t="s">
        <v>147</v>
      </c>
      <c r="AE1725" s="0" t="s">
        <v>148</v>
      </c>
      <c r="AF1725" s="0" t="s">
        <v>149</v>
      </c>
      <c r="AH1725" s="0" t="n">
        <v>14</v>
      </c>
      <c r="AI1725" s="0" t="n">
        <v>11</v>
      </c>
      <c r="AN1725" s="0" t="s">
        <v>145</v>
      </c>
      <c r="AO1725" s="0" t="s">
        <v>233</v>
      </c>
      <c r="AP1725" s="0" t="s">
        <v>234</v>
      </c>
      <c r="AQ1725" s="0" t="n">
        <v>9</v>
      </c>
      <c r="AR1725" s="0" t="n">
        <v>64</v>
      </c>
      <c r="AS1725" s="0" t="n">
        <v>32</v>
      </c>
      <c r="AU1725" s="0" t="n">
        <f aca="false">COUNTA($BA$2669:$EH$2669)</f>
        <v>4</v>
      </c>
      <c r="AV1725" s="0" t="n">
        <f aca="false">COUNTIF($BA$2669:$EH$2669,"D")</f>
        <v>1</v>
      </c>
      <c r="AW1725" s="0" t="n">
        <f aca="false">COUNTIF($BA$2669:$EH$2669,"R")</f>
        <v>0</v>
      </c>
      <c r="AX1725" s="0" t="n">
        <f aca="false">IF(BN1725="D",1,0)+IF(BO1725="D",1,0)+IF(BT1725="D",1,0)+IF(BU1725="D",1,0)+IF(BW1725="D",1,0)+IF(CC1725="D",1,0)+IF(CD1725="D",1,0)+IF(CE1725="D",1,0)+IF(CF1725="D",1,0)+IF(CL1725="D",1,0)+IF(CM1725="D",1,0)+IF(CQ1725="D",1,0)+IF(CR1725="D",1,0)+IF(CS1725="D",1,0)+IF(CW1725="D",1,0)+IF(CX1725="D",1,0)+IF(DD1725="D",1,0)+IF(DE1725="D",1,0)+IF(DJ1725="D",1,0)+IF(DK1725="D",1,0)+IF(DO1725="D",1,0)+IF(DP1725="D",1,0)+IF(DQ1725="D",1,0)+IF(DW1725="D",1,0)+IF(DZ1725="D",1,0)+IF(EH1725="D",1,0)</f>
        <v>0</v>
      </c>
      <c r="AY1725" s="0" t="n">
        <f aca="false">COUNTIF(DU1725:EH1725, "&lt;&gt;")</f>
        <v>0</v>
      </c>
      <c r="AZ1725" s="0" t="n">
        <f aca="false">IF(EH1725&lt;&gt;"",1,0)</f>
        <v>0</v>
      </c>
      <c r="BB1725" s="0" t="s">
        <v>152</v>
      </c>
      <c r="DC1725" s="0" t="s">
        <v>153</v>
      </c>
    </row>
    <row r="1726" customFormat="false" ht="13.8" hidden="true" customHeight="false" outlineLevel="0" collapsed="false">
      <c r="A1726" s="0" t="s">
        <v>7783</v>
      </c>
      <c r="B1726" s="0" t="n">
        <v>78</v>
      </c>
      <c r="C1726" s="0" t="n">
        <v>487227</v>
      </c>
      <c r="D1726" s="0" t="s">
        <v>1466</v>
      </c>
      <c r="E1726" s="0" t="s">
        <v>7784</v>
      </c>
      <c r="F1726" s="0" t="str">
        <f aca="false">CONCATENATE(D1726," ",LEFT(H1726,4),"T=",AU1726,"D=",AV1726,"R=",AW1726,"M=",AX1726,"L=",AY1726,"B=",AZ1726)</f>
        <v>JOHNSON T=10D=1R=0M=1L=0B=0</v>
      </c>
      <c r="G1726" s="0" t="s">
        <v>325</v>
      </c>
      <c r="I1726" s="0" t="s">
        <v>7785</v>
      </c>
      <c r="J1726" s="0" t="s">
        <v>1971</v>
      </c>
      <c r="K1726" s="0" t="s">
        <v>160</v>
      </c>
      <c r="M1726" s="0" t="s">
        <v>7786</v>
      </c>
      <c r="N1726" s="0" t="str">
        <f aca="false">RIGHT(M1726,LEN(M1726)-FIND(" ",M1726))</f>
        <v>OAK KNOLL AVE SE</v>
      </c>
      <c r="P1726" s="0" t="s">
        <v>145</v>
      </c>
      <c r="Q1726" s="0" t="s">
        <v>146</v>
      </c>
      <c r="R1726" s="0" t="n">
        <v>44484</v>
      </c>
      <c r="AD1726" s="0" t="s">
        <v>147</v>
      </c>
      <c r="AE1726" s="0" t="s">
        <v>148</v>
      </c>
      <c r="AF1726" s="0" t="s">
        <v>149</v>
      </c>
      <c r="AH1726" s="0" t="n">
        <v>14</v>
      </c>
      <c r="AI1726" s="0" t="n">
        <v>11</v>
      </c>
      <c r="AN1726" s="0" t="s">
        <v>145</v>
      </c>
      <c r="AO1726" s="0" t="s">
        <v>233</v>
      </c>
      <c r="AP1726" s="0" t="s">
        <v>234</v>
      </c>
      <c r="AQ1726" s="0" t="n">
        <v>9</v>
      </c>
      <c r="AR1726" s="0" t="n">
        <v>64</v>
      </c>
      <c r="AS1726" s="0" t="n">
        <v>32</v>
      </c>
      <c r="AU1726" s="0" t="n">
        <f aca="false">COUNTA($BA$2212:$EH$2212)</f>
        <v>10</v>
      </c>
      <c r="AV1726" s="0" t="n">
        <f aca="false">COUNTIF($BA$2212:$EH$2212,"D")</f>
        <v>1</v>
      </c>
      <c r="AW1726" s="0" t="n">
        <f aca="false">COUNTIF($BA$2212:$EH$2212,"R")</f>
        <v>0</v>
      </c>
      <c r="AX1726" s="0" t="n">
        <f aca="false">IF(BN1726="D",1,0)+IF(BO1726="D",1,0)+IF(BT1726="D",1,0)+IF(BU1726="D",1,0)+IF(BW1726="D",1,0)+IF(CC1726="D",1,0)+IF(CD1726="D",1,0)+IF(CE1726="D",1,0)+IF(CF1726="D",1,0)+IF(CL1726="D",1,0)+IF(CM1726="D",1,0)+IF(CQ1726="D",1,0)+IF(CR1726="D",1,0)+IF(CS1726="D",1,0)+IF(CW1726="D",1,0)+IF(CX1726="D",1,0)+IF(DD1726="D",1,0)+IF(DE1726="D",1,0)+IF(DJ1726="D",1,0)+IF(DK1726="D",1,0)+IF(DO1726="D",1,0)+IF(DP1726="D",1,0)+IF(DQ1726="D",1,0)+IF(DW1726="D",1,0)+IF(DZ1726="D",1,0)+IF(EH1726="D",1,0)</f>
        <v>1</v>
      </c>
      <c r="AY1726" s="0" t="n">
        <f aca="false">COUNTIF(DU1726:EH1726, "&lt;&gt;")</f>
        <v>0</v>
      </c>
      <c r="AZ1726" s="0" t="n">
        <f aca="false">IF(EH1726&lt;&gt;"",1,0)</f>
        <v>0</v>
      </c>
      <c r="BB1726" s="0" t="s">
        <v>152</v>
      </c>
      <c r="BY1726" s="0" t="s">
        <v>175</v>
      </c>
      <c r="CA1726" s="0" t="s">
        <v>153</v>
      </c>
      <c r="CP1726" s="0" t="s">
        <v>153</v>
      </c>
      <c r="CW1726" s="0" t="s">
        <v>175</v>
      </c>
      <c r="CY1726" s="0" t="s">
        <v>153</v>
      </c>
      <c r="CZ1726" s="0" t="s">
        <v>175</v>
      </c>
      <c r="DC1726" s="0" t="s">
        <v>153</v>
      </c>
      <c r="DI1726" s="0" t="s">
        <v>153</v>
      </c>
      <c r="DN1726" s="0" t="s">
        <v>153</v>
      </c>
    </row>
    <row r="1727" customFormat="false" ht="13.8" hidden="true" customHeight="false" outlineLevel="0" collapsed="false">
      <c r="A1727" s="0" t="s">
        <v>7787</v>
      </c>
      <c r="B1727" s="0" t="n">
        <v>78</v>
      </c>
      <c r="C1727" s="0" t="n">
        <v>302041</v>
      </c>
      <c r="D1727" s="0" t="s">
        <v>2618</v>
      </c>
      <c r="E1727" s="0" t="s">
        <v>7788</v>
      </c>
      <c r="F1727" s="0" t="str">
        <f aca="false">CONCATENATE(D1727," ",LEFT(H1727,4),"T=",AU1727,"D=",AV1727,"R=",AW1727,"M=",AX1727,"L=",AY1727,"B=",AZ1727)</f>
        <v>DORSEY T=5D=0R=0M=0L=0B=0</v>
      </c>
      <c r="G1727" s="0" t="s">
        <v>164</v>
      </c>
      <c r="I1727" s="0" t="s">
        <v>7789</v>
      </c>
      <c r="J1727" s="0" t="s">
        <v>639</v>
      </c>
      <c r="K1727" s="0" t="s">
        <v>160</v>
      </c>
      <c r="M1727" s="0" t="s">
        <v>7790</v>
      </c>
      <c r="N1727" s="0" t="str">
        <f aca="false">RIGHT(M1727,LEN(M1727)-FIND(" ",M1727))</f>
        <v>OAK KNOLL AVE SE</v>
      </c>
      <c r="P1727" s="0" t="s">
        <v>145</v>
      </c>
      <c r="Q1727" s="0" t="s">
        <v>146</v>
      </c>
      <c r="R1727" s="0" t="n">
        <v>44484</v>
      </c>
      <c r="AD1727" s="0" t="s">
        <v>147</v>
      </c>
      <c r="AE1727" s="0" t="s">
        <v>148</v>
      </c>
      <c r="AF1727" s="0" t="s">
        <v>149</v>
      </c>
      <c r="AH1727" s="0" t="n">
        <v>14</v>
      </c>
      <c r="AI1727" s="0" t="n">
        <v>11</v>
      </c>
      <c r="AN1727" s="0" t="s">
        <v>145</v>
      </c>
      <c r="AO1727" s="0" t="s">
        <v>233</v>
      </c>
      <c r="AP1727" s="0" t="s">
        <v>234</v>
      </c>
      <c r="AQ1727" s="0" t="n">
        <v>9</v>
      </c>
      <c r="AR1727" s="0" t="n">
        <v>64</v>
      </c>
      <c r="AS1727" s="0" t="n">
        <v>32</v>
      </c>
      <c r="AU1727" s="0" t="n">
        <f aca="false">COUNTA($BA$2483:$EH$2483)</f>
        <v>5</v>
      </c>
      <c r="AV1727" s="0" t="n">
        <f aca="false">COUNTIF($BA$2483:$EH$2483,"D")</f>
        <v>0</v>
      </c>
      <c r="AW1727" s="0" t="n">
        <f aca="false">COUNTIF($BA$2483:$EH$2483,"R")</f>
        <v>0</v>
      </c>
      <c r="AX1727" s="0" t="n">
        <f aca="false">IF(BN1727="D",1,0)+IF(BO1727="D",1,0)+IF(BT1727="D",1,0)+IF(BU1727="D",1,0)+IF(BW1727="D",1,0)+IF(CC1727="D",1,0)+IF(CD1727="D",1,0)+IF(CE1727="D",1,0)+IF(CF1727="D",1,0)+IF(CL1727="D",1,0)+IF(CM1727="D",1,0)+IF(CQ1727="D",1,0)+IF(CR1727="D",1,0)+IF(CS1727="D",1,0)+IF(CW1727="D",1,0)+IF(CX1727="D",1,0)+IF(DD1727="D",1,0)+IF(DE1727="D",1,0)+IF(DJ1727="D",1,0)+IF(DK1727="D",1,0)+IF(DO1727="D",1,0)+IF(DP1727="D",1,0)+IF(DQ1727="D",1,0)+IF(DW1727="D",1,0)+IF(DZ1727="D",1,0)+IF(EH1727="D",1,0)</f>
        <v>0</v>
      </c>
      <c r="AY1727" s="0" t="n">
        <f aca="false">COUNTIF(DU1727:EH1727, "&lt;&gt;")</f>
        <v>0</v>
      </c>
      <c r="AZ1727" s="0" t="n">
        <f aca="false">IF(EH1727&lt;&gt;"",1,0)</f>
        <v>0</v>
      </c>
      <c r="BB1727" s="0" t="s">
        <v>152</v>
      </c>
      <c r="BL1727" s="0" t="s">
        <v>153</v>
      </c>
    </row>
    <row r="1728" customFormat="false" ht="13.8" hidden="true" customHeight="false" outlineLevel="0" collapsed="false">
      <c r="A1728" s="0" t="s">
        <v>7791</v>
      </c>
      <c r="B1728" s="0" t="n">
        <v>78</v>
      </c>
      <c r="C1728" s="0" t="n">
        <v>487099</v>
      </c>
      <c r="D1728" s="0" t="s">
        <v>2336</v>
      </c>
      <c r="E1728" s="0" t="s">
        <v>7792</v>
      </c>
      <c r="F1728" s="0" t="str">
        <f aca="false">CONCATENATE(D1728," ",LEFT(H1728,4),"T=",AU1728,"D=",AV1728,"R=",AW1728,"M=",AX1728,"L=",AY1728,"B=",AZ1728)</f>
        <v>BRANTLEY T=44D=12R=0M=0L=0B=0</v>
      </c>
      <c r="G1728" s="0" t="s">
        <v>175</v>
      </c>
      <c r="I1728" s="0" t="s">
        <v>7793</v>
      </c>
      <c r="J1728" s="0" t="s">
        <v>399</v>
      </c>
      <c r="K1728" s="0" t="s">
        <v>160</v>
      </c>
      <c r="M1728" s="0" t="s">
        <v>7794</v>
      </c>
      <c r="N1728" s="0" t="str">
        <f aca="false">RIGHT(M1728,LEN(M1728)-FIND(" ",M1728))</f>
        <v>OAK KNOLL AVE SE</v>
      </c>
      <c r="P1728" s="0" t="s">
        <v>145</v>
      </c>
      <c r="Q1728" s="0" t="s">
        <v>146</v>
      </c>
      <c r="R1728" s="0" t="n">
        <v>44484</v>
      </c>
      <c r="AD1728" s="0" t="s">
        <v>147</v>
      </c>
      <c r="AE1728" s="0" t="s">
        <v>148</v>
      </c>
      <c r="AF1728" s="0" t="s">
        <v>149</v>
      </c>
      <c r="AH1728" s="0" t="n">
        <v>14</v>
      </c>
      <c r="AI1728" s="0" t="n">
        <v>11</v>
      </c>
      <c r="AN1728" s="0" t="s">
        <v>145</v>
      </c>
      <c r="AO1728" s="0" t="s">
        <v>233</v>
      </c>
      <c r="AP1728" s="0" t="s">
        <v>234</v>
      </c>
      <c r="AQ1728" s="0" t="n">
        <v>9</v>
      </c>
      <c r="AR1728" s="0" t="n">
        <v>64</v>
      </c>
      <c r="AS1728" s="0" t="n">
        <v>32</v>
      </c>
      <c r="AU1728" s="0" t="n">
        <f aca="false">COUNTA($BA$2156:$EH$2156)</f>
        <v>44</v>
      </c>
      <c r="AV1728" s="0" t="n">
        <f aca="false">COUNTIF($BA$2156:$EH$2156,"D")</f>
        <v>12</v>
      </c>
      <c r="AW1728" s="0" t="n">
        <f aca="false">COUNTIF($BA$2156:$EH$2156,"R")</f>
        <v>0</v>
      </c>
      <c r="AX1728" s="0" t="n">
        <f aca="false">IF(BN1728="D",1,0)+IF(BO1728="D",1,0)+IF(BT1728="D",1,0)+IF(BU1728="D",1,0)+IF(BW1728="D",1,0)+IF(CC1728="D",1,0)+IF(CD1728="D",1,0)+IF(CE1728="D",1,0)+IF(CF1728="D",1,0)+IF(CL1728="D",1,0)+IF(CM1728="D",1,0)+IF(CQ1728="D",1,0)+IF(CR1728="D",1,0)+IF(CS1728="D",1,0)+IF(CW1728="D",1,0)+IF(CX1728="D",1,0)+IF(DD1728="D",1,0)+IF(DE1728="D",1,0)+IF(DJ1728="D",1,0)+IF(DK1728="D",1,0)+IF(DO1728="D",1,0)+IF(DP1728="D",1,0)+IF(DQ1728="D",1,0)+IF(DW1728="D",1,0)+IF(DZ1728="D",1,0)+IF(EH1728="D",1,0)</f>
        <v>0</v>
      </c>
      <c r="AY1728" s="0" t="n">
        <f aca="false">COUNTIF(DU1728:EH1728, "&lt;&gt;")</f>
        <v>0</v>
      </c>
      <c r="AZ1728" s="0" t="n">
        <f aca="false">IF(EH1728&lt;&gt;"",1,0)</f>
        <v>0</v>
      </c>
      <c r="BB1728" s="0" t="s">
        <v>152</v>
      </c>
    </row>
    <row r="1729" customFormat="false" ht="13.8" hidden="true" customHeight="false" outlineLevel="0" collapsed="false">
      <c r="A1729" s="0" t="s">
        <v>7795</v>
      </c>
      <c r="B1729" s="0" t="n">
        <v>78</v>
      </c>
      <c r="C1729" s="0" t="n">
        <v>486946</v>
      </c>
      <c r="D1729" s="0" t="s">
        <v>2523</v>
      </c>
      <c r="E1729" s="0" t="s">
        <v>7796</v>
      </c>
      <c r="F1729" s="0" t="str">
        <f aca="false">CONCATENATE(D1729," ",LEFT(H1729,4),"T=",AU1729,"D=",AV1729,"R=",AW1729,"M=",AX1729,"L=",AY1729,"B=",AZ1729)</f>
        <v>HARRIS T=1D=0R=0M=0L=0B=0</v>
      </c>
      <c r="G1729" s="0" t="s">
        <v>763</v>
      </c>
      <c r="I1729" s="0" t="s">
        <v>7797</v>
      </c>
      <c r="J1729" s="0" t="s">
        <v>399</v>
      </c>
      <c r="K1729" s="0" t="s">
        <v>160</v>
      </c>
      <c r="M1729" s="0" t="s">
        <v>7794</v>
      </c>
      <c r="N1729" s="0" t="str">
        <f aca="false">RIGHT(M1729,LEN(M1729)-FIND(" ",M1729))</f>
        <v>OAK KNOLL AVE SE</v>
      </c>
      <c r="P1729" s="0" t="s">
        <v>145</v>
      </c>
      <c r="Q1729" s="0" t="s">
        <v>146</v>
      </c>
      <c r="R1729" s="0" t="n">
        <v>44484</v>
      </c>
      <c r="AD1729" s="0" t="s">
        <v>147</v>
      </c>
      <c r="AE1729" s="0" t="s">
        <v>148</v>
      </c>
      <c r="AF1729" s="0" t="s">
        <v>149</v>
      </c>
      <c r="AH1729" s="0" t="n">
        <v>14</v>
      </c>
      <c r="AI1729" s="0" t="n">
        <v>11</v>
      </c>
      <c r="AN1729" s="0" t="s">
        <v>145</v>
      </c>
      <c r="AO1729" s="0" t="s">
        <v>233</v>
      </c>
      <c r="AP1729" s="0" t="s">
        <v>234</v>
      </c>
      <c r="AQ1729" s="0" t="n">
        <v>9</v>
      </c>
      <c r="AR1729" s="0" t="n">
        <v>64</v>
      </c>
      <c r="AS1729" s="0" t="n">
        <v>32</v>
      </c>
      <c r="AU1729" s="0" t="n">
        <f aca="false">COUNTA($BA$2223:$EH$2223)</f>
        <v>1</v>
      </c>
      <c r="AV1729" s="0" t="n">
        <f aca="false">COUNTIF($BA$2223:$EH$2223,"D")</f>
        <v>0</v>
      </c>
      <c r="AW1729" s="0" t="n">
        <f aca="false">COUNTIF($BA$2223:$EH$2223,"R")</f>
        <v>0</v>
      </c>
      <c r="AX1729" s="0" t="n">
        <f aca="false">IF(BN1729="D",1,0)+IF(BO1729="D",1,0)+IF(BT1729="D",1,0)+IF(BU1729="D",1,0)+IF(BW1729="D",1,0)+IF(CC1729="D",1,0)+IF(CD1729="D",1,0)+IF(CE1729="D",1,0)+IF(CF1729="D",1,0)+IF(CL1729="D",1,0)+IF(CM1729="D",1,0)+IF(CQ1729="D",1,0)+IF(CR1729="D",1,0)+IF(CS1729="D",1,0)+IF(CW1729="D",1,0)+IF(CX1729="D",1,0)+IF(DD1729="D",1,0)+IF(DE1729="D",1,0)+IF(DJ1729="D",1,0)+IF(DK1729="D",1,0)+IF(DO1729="D",1,0)+IF(DP1729="D",1,0)+IF(DQ1729="D",1,0)+IF(DW1729="D",1,0)+IF(DZ1729="D",1,0)+IF(EH1729="D",1,0)</f>
        <v>0</v>
      </c>
      <c r="AY1729" s="0" t="n">
        <f aca="false">COUNTIF(DU1729:EH1729, "&lt;&gt;")</f>
        <v>0</v>
      </c>
      <c r="AZ1729" s="0" t="n">
        <f aca="false">IF(EH1729&lt;&gt;"",1,0)</f>
        <v>0</v>
      </c>
      <c r="BB1729" s="0" t="s">
        <v>152</v>
      </c>
    </row>
    <row r="1730" customFormat="false" ht="13.8" hidden="true" customHeight="false" outlineLevel="0" collapsed="false">
      <c r="A1730" s="0" t="s">
        <v>7798</v>
      </c>
      <c r="B1730" s="0" t="n">
        <v>78</v>
      </c>
      <c r="C1730" s="0" t="n">
        <v>487740</v>
      </c>
      <c r="D1730" s="0" t="s">
        <v>7799</v>
      </c>
      <c r="E1730" s="0" t="s">
        <v>7800</v>
      </c>
      <c r="F1730" s="0" t="str">
        <f aca="false">CONCATENATE(D1730," ",LEFT(H1730,4),"T=",AU1730,"D=",AV1730,"R=",AW1730,"M=",AX1730,"L=",AY1730,"B=",AZ1730)</f>
        <v>BENTLEY T=4D=1R=0M=0L=0B=0</v>
      </c>
      <c r="I1730" s="0" t="s">
        <v>7801</v>
      </c>
      <c r="J1730" s="0" t="s">
        <v>283</v>
      </c>
      <c r="K1730" s="0" t="s">
        <v>160</v>
      </c>
      <c r="M1730" s="0" t="s">
        <v>7794</v>
      </c>
      <c r="N1730" s="0" t="str">
        <f aca="false">RIGHT(M1730,LEN(M1730)-FIND(" ",M1730))</f>
        <v>OAK KNOLL AVE SE</v>
      </c>
      <c r="P1730" s="0" t="s">
        <v>145</v>
      </c>
      <c r="Q1730" s="0" t="s">
        <v>146</v>
      </c>
      <c r="R1730" s="0" t="n">
        <v>44484</v>
      </c>
      <c r="AD1730" s="0" t="s">
        <v>147</v>
      </c>
      <c r="AE1730" s="0" t="s">
        <v>148</v>
      </c>
      <c r="AF1730" s="0" t="s">
        <v>149</v>
      </c>
      <c r="AH1730" s="0" t="n">
        <v>14</v>
      </c>
      <c r="AI1730" s="0" t="n">
        <v>11</v>
      </c>
      <c r="AN1730" s="0" t="s">
        <v>145</v>
      </c>
      <c r="AO1730" s="0" t="s">
        <v>233</v>
      </c>
      <c r="AP1730" s="0" t="s">
        <v>234</v>
      </c>
      <c r="AQ1730" s="0" t="n">
        <v>9</v>
      </c>
      <c r="AR1730" s="0" t="n">
        <v>64</v>
      </c>
      <c r="AS1730" s="0" t="n">
        <v>32</v>
      </c>
      <c r="AU1730" s="0" t="n">
        <f aca="false">COUNTA($BA$2665:$EH$2665)</f>
        <v>4</v>
      </c>
      <c r="AV1730" s="0" t="n">
        <f aca="false">COUNTIF($BA$2665:$EH$2665,"D")</f>
        <v>1</v>
      </c>
      <c r="AW1730" s="0" t="n">
        <f aca="false">COUNTIF($BA$2665:$EH$2665,"R")</f>
        <v>0</v>
      </c>
      <c r="AX1730" s="0" t="n">
        <f aca="false">IF(BN1730="D",1,0)+IF(BO1730="D",1,0)+IF(BT1730="D",1,0)+IF(BU1730="D",1,0)+IF(BW1730="D",1,0)+IF(CC1730="D",1,0)+IF(CD1730="D",1,0)+IF(CE1730="D",1,0)+IF(CF1730="D",1,0)+IF(CL1730="D",1,0)+IF(CM1730="D",1,0)+IF(CQ1730="D",1,0)+IF(CR1730="D",1,0)+IF(CS1730="D",1,0)+IF(CW1730="D",1,0)+IF(CX1730="D",1,0)+IF(DD1730="D",1,0)+IF(DE1730="D",1,0)+IF(DJ1730="D",1,0)+IF(DK1730="D",1,0)+IF(DO1730="D",1,0)+IF(DP1730="D",1,0)+IF(DQ1730="D",1,0)+IF(DW1730="D",1,0)+IF(DZ1730="D",1,0)+IF(EH1730="D",1,0)</f>
        <v>0</v>
      </c>
      <c r="AY1730" s="0" t="n">
        <f aca="false">COUNTIF(DU1730:EH1730, "&lt;&gt;")</f>
        <v>0</v>
      </c>
      <c r="AZ1730" s="0" t="n">
        <f aca="false">IF(EH1730&lt;&gt;"",1,0)</f>
        <v>0</v>
      </c>
      <c r="BB1730" s="0" t="s">
        <v>152</v>
      </c>
    </row>
    <row r="1731" customFormat="false" ht="13.8" hidden="false" customHeight="false" outlineLevel="0" collapsed="false">
      <c r="A1731" s="0" t="s">
        <v>7802</v>
      </c>
      <c r="B1731" s="0" t="n">
        <v>78</v>
      </c>
      <c r="C1731" s="0" t="n">
        <v>14811</v>
      </c>
      <c r="D1731" s="0" t="s">
        <v>7803</v>
      </c>
      <c r="E1731" s="0" t="s">
        <v>2486</v>
      </c>
      <c r="F1731" s="0" t="str">
        <f aca="false">CONCATENATE(D1731," ",LEFT(H1731,4),"T=",AU1731,"D=",AV1731,"R=",AW1731,"M=",AX1731,"L=",AY1731,"B=",AZ1731)</f>
        <v>CANTY T=1D=0R=0M=2L=2B=0</v>
      </c>
      <c r="G1731" s="0" t="s">
        <v>860</v>
      </c>
      <c r="I1731" s="0" t="s">
        <v>7804</v>
      </c>
      <c r="J1731" s="0" t="s">
        <v>7805</v>
      </c>
      <c r="K1731" s="0" t="s">
        <v>160</v>
      </c>
      <c r="L1731" s="0" t="s">
        <v>175</v>
      </c>
      <c r="M1731" s="0" t="s">
        <v>7806</v>
      </c>
      <c r="N1731" s="0" t="str">
        <f aca="false">RIGHT(M1731,LEN(M1731)-FIND(" ",M1731))</f>
        <v>OAK KNOLL AVE SE</v>
      </c>
      <c r="P1731" s="0" t="s">
        <v>145</v>
      </c>
      <c r="Q1731" s="0" t="s">
        <v>146</v>
      </c>
      <c r="R1731" s="0" t="n">
        <v>44484</v>
      </c>
      <c r="AD1731" s="0" t="s">
        <v>147</v>
      </c>
      <c r="AE1731" s="0" t="s">
        <v>148</v>
      </c>
      <c r="AF1731" s="0" t="s">
        <v>149</v>
      </c>
      <c r="AH1731" s="0" t="n">
        <v>14</v>
      </c>
      <c r="AI1731" s="0" t="n">
        <v>11</v>
      </c>
      <c r="AN1731" s="0" t="s">
        <v>145</v>
      </c>
      <c r="AO1731" s="0" t="s">
        <v>233</v>
      </c>
      <c r="AP1731" s="0" t="s">
        <v>234</v>
      </c>
      <c r="AQ1731" s="0" t="n">
        <v>9</v>
      </c>
      <c r="AR1731" s="0" t="n">
        <v>64</v>
      </c>
      <c r="AS1731" s="0" t="n">
        <v>32</v>
      </c>
      <c r="AU1731" s="0" t="n">
        <f aca="false">COUNTA($BA$2277:$EH$2277)</f>
        <v>1</v>
      </c>
      <c r="AV1731" s="0" t="n">
        <f aca="false">COUNTIF($BA$2277:$EH$2277,"D")</f>
        <v>0</v>
      </c>
      <c r="AW1731" s="0" t="n">
        <f aca="false">COUNTIF($BA$2277:$EH$2277,"R")</f>
        <v>0</v>
      </c>
      <c r="AX1731" s="0" t="n">
        <f aca="false">IF(BN1731="D",1,0)+IF(BO1731="D",1,0)+IF(BT1731="D",1,0)+IF(BU1731="D",1,0)+IF(BW1731="D",1,0)+IF(CC1731="D",1,0)+IF(CD1731="D",1,0)+IF(CE1731="D",1,0)+IF(CF1731="D",1,0)+IF(CL1731="D",1,0)+IF(CM1731="D",1,0)+IF(CQ1731="D",1,0)+IF(CR1731="D",1,0)+IF(CS1731="D",1,0)+IF(CW1731="D",1,0)+IF(CX1731="D",1,0)+IF(DD1731="D",1,0)+IF(DE1731="D",1,0)+IF(DJ1731="D",1,0)+IF(DK1731="D",1,0)+IF(DO1731="D",1,0)+IF(DP1731="D",1,0)+IF(DQ1731="D",1,0)+IF(DW1731="D",1,0)+IF(DZ1731="D",1,0)+IF(EH1731="D",1,0)</f>
        <v>2</v>
      </c>
      <c r="AY1731" s="0" t="n">
        <f aca="false">COUNTIF(DU1731:EH1731, "&lt;&gt;")</f>
        <v>2</v>
      </c>
      <c r="AZ1731" s="0" t="n">
        <f aca="false">IF(EH1731&lt;&gt;"",1,0)</f>
        <v>0</v>
      </c>
      <c r="BB1731" s="0" t="s">
        <v>152</v>
      </c>
      <c r="BC1731" s="0" t="s">
        <v>153</v>
      </c>
      <c r="BD1731" s="0" t="s">
        <v>153</v>
      </c>
      <c r="BE1731" s="0" t="s">
        <v>153</v>
      </c>
      <c r="BF1731" s="0" t="s">
        <v>153</v>
      </c>
      <c r="BG1731" s="0" t="s">
        <v>153</v>
      </c>
      <c r="BH1731" s="0" t="s">
        <v>153</v>
      </c>
      <c r="BI1731" s="0" t="s">
        <v>153</v>
      </c>
      <c r="BJ1731" s="0" t="s">
        <v>153</v>
      </c>
      <c r="BK1731" s="0" t="s">
        <v>153</v>
      </c>
      <c r="BL1731" s="0" t="s">
        <v>153</v>
      </c>
      <c r="BP1731" s="0" t="s">
        <v>153</v>
      </c>
      <c r="BR1731" s="0" t="s">
        <v>153</v>
      </c>
      <c r="BS1731" s="0" t="s">
        <v>153</v>
      </c>
      <c r="BV1731" s="0" t="s">
        <v>153</v>
      </c>
      <c r="BY1731" s="0" t="s">
        <v>175</v>
      </c>
      <c r="CA1731" s="0" t="s">
        <v>153</v>
      </c>
      <c r="CC1731" s="0" t="s">
        <v>175</v>
      </c>
      <c r="CH1731" s="0" t="s">
        <v>175</v>
      </c>
      <c r="CK1731" s="0" t="s">
        <v>153</v>
      </c>
      <c r="CO1731" s="0" t="s">
        <v>175</v>
      </c>
      <c r="CP1731" s="0" t="s">
        <v>153</v>
      </c>
      <c r="CT1731" s="0" t="s">
        <v>153</v>
      </c>
      <c r="CU1731" s="0" t="s">
        <v>175</v>
      </c>
      <c r="CV1731" s="0" t="s">
        <v>153</v>
      </c>
      <c r="CW1731" s="0" t="s">
        <v>175</v>
      </c>
      <c r="CY1731" s="0" t="s">
        <v>153</v>
      </c>
      <c r="DC1731" s="0" t="s">
        <v>153</v>
      </c>
      <c r="DF1731" s="0" t="s">
        <v>153</v>
      </c>
      <c r="DG1731" s="0" t="s">
        <v>175</v>
      </c>
      <c r="DI1731" s="0" t="s">
        <v>153</v>
      </c>
      <c r="DL1731" s="0" t="s">
        <v>153</v>
      </c>
      <c r="DM1731" s="0" t="s">
        <v>175</v>
      </c>
      <c r="DN1731" s="0" t="s">
        <v>153</v>
      </c>
      <c r="DS1731" s="0" t="s">
        <v>175</v>
      </c>
      <c r="DT1731" s="0" t="s">
        <v>175</v>
      </c>
      <c r="DU1731" s="0" t="s">
        <v>153</v>
      </c>
      <c r="EF1731" s="0" t="s">
        <v>153</v>
      </c>
    </row>
    <row r="1732" customFormat="false" ht="13.8" hidden="true" customHeight="false" outlineLevel="0" collapsed="false">
      <c r="A1732" s="0" t="s">
        <v>7807</v>
      </c>
      <c r="B1732" s="0" t="n">
        <v>78</v>
      </c>
      <c r="C1732" s="0" t="n">
        <v>14812</v>
      </c>
      <c r="D1732" s="0" t="s">
        <v>7803</v>
      </c>
      <c r="E1732" s="0" t="s">
        <v>7808</v>
      </c>
      <c r="F1732" s="0" t="str">
        <f aca="false">CONCATENATE(D1732," ",LEFT(H1732,4),"T=",AU1732,"D=",AV1732,"R=",AW1732,"M=",AX1732,"L=",AY1732,"B=",AZ1732)</f>
        <v>CANTY T=38D=2R=10M=3L=0B=0</v>
      </c>
      <c r="I1732" s="0" t="s">
        <v>7809</v>
      </c>
      <c r="J1732" s="0" t="s">
        <v>5187</v>
      </c>
      <c r="K1732" s="0" t="s">
        <v>143</v>
      </c>
      <c r="M1732" s="0" t="s">
        <v>7806</v>
      </c>
      <c r="N1732" s="0" t="str">
        <f aca="false">RIGHT(M1732,LEN(M1732)-FIND(" ",M1732))</f>
        <v>OAK KNOLL AVE SE</v>
      </c>
      <c r="P1732" s="0" t="s">
        <v>145</v>
      </c>
      <c r="Q1732" s="0" t="s">
        <v>146</v>
      </c>
      <c r="R1732" s="0" t="n">
        <v>44484</v>
      </c>
      <c r="AD1732" s="0" t="s">
        <v>147</v>
      </c>
      <c r="AE1732" s="0" t="s">
        <v>148</v>
      </c>
      <c r="AF1732" s="0" t="s">
        <v>149</v>
      </c>
      <c r="AH1732" s="0" t="n">
        <v>14</v>
      </c>
      <c r="AI1732" s="0" t="n">
        <v>11</v>
      </c>
      <c r="AN1732" s="0" t="s">
        <v>145</v>
      </c>
      <c r="AO1732" s="0" t="s">
        <v>233</v>
      </c>
      <c r="AP1732" s="0" t="s">
        <v>234</v>
      </c>
      <c r="AQ1732" s="0" t="n">
        <v>9</v>
      </c>
      <c r="AR1732" s="0" t="n">
        <v>64</v>
      </c>
      <c r="AS1732" s="0" t="n">
        <v>32</v>
      </c>
      <c r="AU1732" s="0" t="n">
        <f aca="false">COUNTA($BA$2573:$EH$2573)</f>
        <v>38</v>
      </c>
      <c r="AV1732" s="0" t="n">
        <f aca="false">COUNTIF($BA$2573:$EH$2573,"D")</f>
        <v>2</v>
      </c>
      <c r="AW1732" s="0" t="n">
        <f aca="false">COUNTIF($BA$2573:$EH$2573,"R")</f>
        <v>10</v>
      </c>
      <c r="AX1732" s="0" t="n">
        <f aca="false">IF(BN1732="D",1,0)+IF(BO1732="D",1,0)+IF(BT1732="D",1,0)+IF(BU1732="D",1,0)+IF(BW1732="D",1,0)+IF(CC1732="D",1,0)+IF(CD1732="D",1,0)+IF(CE1732="D",1,0)+IF(CF1732="D",1,0)+IF(CL1732="D",1,0)+IF(CM1732="D",1,0)+IF(CQ1732="D",1,0)+IF(CR1732="D",1,0)+IF(CS1732="D",1,0)+IF(CW1732="D",1,0)+IF(CX1732="D",1,0)+IF(DD1732="D",1,0)+IF(DE1732="D",1,0)+IF(DJ1732="D",1,0)+IF(DK1732="D",1,0)+IF(DO1732="D",1,0)+IF(DP1732="D",1,0)+IF(DQ1732="D",1,0)+IF(DW1732="D",1,0)+IF(DZ1732="D",1,0)+IF(EH1732="D",1,0)</f>
        <v>3</v>
      </c>
      <c r="AY1732" s="0" t="n">
        <f aca="false">COUNTIF(DU1732:EH1732, "&lt;&gt;")</f>
        <v>0</v>
      </c>
      <c r="AZ1732" s="0" t="n">
        <f aca="false">IF(EH1732&lt;&gt;"",1,0)</f>
        <v>0</v>
      </c>
      <c r="BB1732" s="0" t="s">
        <v>152</v>
      </c>
      <c r="BC1732" s="0" t="s">
        <v>153</v>
      </c>
      <c r="BD1732" s="0" t="s">
        <v>153</v>
      </c>
      <c r="BE1732" s="0" t="s">
        <v>153</v>
      </c>
      <c r="BF1732" s="0" t="s">
        <v>153</v>
      </c>
      <c r="BG1732" s="0" t="s">
        <v>153</v>
      </c>
      <c r="BH1732" s="0" t="s">
        <v>153</v>
      </c>
      <c r="BI1732" s="0" t="s">
        <v>153</v>
      </c>
      <c r="BJ1732" s="0" t="s">
        <v>153</v>
      </c>
      <c r="BK1732" s="0" t="s">
        <v>153</v>
      </c>
      <c r="BL1732" s="0" t="s">
        <v>153</v>
      </c>
      <c r="BP1732" s="0" t="s">
        <v>153</v>
      </c>
      <c r="BR1732" s="0" t="s">
        <v>153</v>
      </c>
      <c r="BS1732" s="0" t="s">
        <v>153</v>
      </c>
      <c r="BV1732" s="0" t="s">
        <v>153</v>
      </c>
      <c r="BY1732" s="0" t="s">
        <v>175</v>
      </c>
      <c r="CA1732" s="0" t="s">
        <v>153</v>
      </c>
      <c r="CC1732" s="0" t="s">
        <v>175</v>
      </c>
      <c r="CG1732" s="0" t="s">
        <v>153</v>
      </c>
      <c r="CH1732" s="0" t="s">
        <v>175</v>
      </c>
      <c r="CK1732" s="0" t="s">
        <v>153</v>
      </c>
      <c r="CL1732" s="0" t="s">
        <v>175</v>
      </c>
      <c r="CN1732" s="0" t="s">
        <v>153</v>
      </c>
      <c r="CO1732" s="0" t="s">
        <v>175</v>
      </c>
      <c r="CP1732" s="0" t="s">
        <v>153</v>
      </c>
      <c r="CQ1732" s="0" t="s">
        <v>175</v>
      </c>
      <c r="CT1732" s="0" t="s">
        <v>153</v>
      </c>
      <c r="CV1732" s="0" t="s">
        <v>153</v>
      </c>
      <c r="CY1732" s="0" t="s">
        <v>153</v>
      </c>
      <c r="DC1732" s="0" t="s">
        <v>153</v>
      </c>
      <c r="DM1732" s="0" t="s">
        <v>175</v>
      </c>
    </row>
    <row r="1733" customFormat="false" ht="13.8" hidden="true" customHeight="false" outlineLevel="0" collapsed="false">
      <c r="A1733" s="0" t="s">
        <v>7810</v>
      </c>
      <c r="B1733" s="0" t="n">
        <v>78</v>
      </c>
      <c r="C1733" s="0" t="n">
        <v>411309</v>
      </c>
      <c r="D1733" s="0" t="s">
        <v>2798</v>
      </c>
      <c r="E1733" s="0" t="s">
        <v>7811</v>
      </c>
      <c r="F1733" s="0" t="str">
        <f aca="false">CONCATENATE(D1733," ",LEFT(H1733,4),"T=",AU1733,"D=",AV1733,"R=",AW1733,"M=",AX1733,"L=",AY1733,"B=",AZ1733)</f>
        <v>AUSTIN T=1D=0R=0M=0L=0B=0</v>
      </c>
      <c r="I1733" s="0" t="s">
        <v>7812</v>
      </c>
      <c r="J1733" s="0" t="s">
        <v>7813</v>
      </c>
      <c r="K1733" s="0" t="s">
        <v>143</v>
      </c>
      <c r="M1733" s="0" t="s">
        <v>7814</v>
      </c>
      <c r="N1733" s="0" t="str">
        <f aca="false">RIGHT(M1733,LEN(M1733)-FIND(" ",M1733))</f>
        <v>OAK KNOLL AVE SE</v>
      </c>
      <c r="P1733" s="0" t="s">
        <v>145</v>
      </c>
      <c r="Q1733" s="0" t="s">
        <v>146</v>
      </c>
      <c r="R1733" s="0" t="n">
        <v>44484</v>
      </c>
      <c r="AD1733" s="0" t="s">
        <v>147</v>
      </c>
      <c r="AE1733" s="0" t="s">
        <v>148</v>
      </c>
      <c r="AF1733" s="0" t="s">
        <v>149</v>
      </c>
      <c r="AH1733" s="0" t="n">
        <v>14</v>
      </c>
      <c r="AI1733" s="0" t="n">
        <v>11</v>
      </c>
      <c r="AN1733" s="0" t="s">
        <v>145</v>
      </c>
      <c r="AO1733" s="0" t="s">
        <v>233</v>
      </c>
      <c r="AP1733" s="0" t="s">
        <v>234</v>
      </c>
      <c r="AQ1733" s="0" t="n">
        <v>9</v>
      </c>
      <c r="AR1733" s="0" t="n">
        <v>64</v>
      </c>
      <c r="AS1733" s="0" t="n">
        <v>32</v>
      </c>
      <c r="AU1733" s="0" t="n">
        <f aca="false">COUNTA($BA$2325:$EH$2325)</f>
        <v>1</v>
      </c>
      <c r="AV1733" s="0" t="n">
        <f aca="false">COUNTIF($BA$2325:$EH$2325,"D")</f>
        <v>0</v>
      </c>
      <c r="AW1733" s="0" t="n">
        <f aca="false">COUNTIF($BA$2325:$EH$2325,"R")</f>
        <v>0</v>
      </c>
      <c r="AX1733" s="0" t="n">
        <f aca="false">IF(BN1733="D",1,0)+IF(BO1733="D",1,0)+IF(BT1733="D",1,0)+IF(BU1733="D",1,0)+IF(BW1733="D",1,0)+IF(CC1733="D",1,0)+IF(CD1733="D",1,0)+IF(CE1733="D",1,0)+IF(CF1733="D",1,0)+IF(CL1733="D",1,0)+IF(CM1733="D",1,0)+IF(CQ1733="D",1,0)+IF(CR1733="D",1,0)+IF(CS1733="D",1,0)+IF(CW1733="D",1,0)+IF(CX1733="D",1,0)+IF(DD1733="D",1,0)+IF(DE1733="D",1,0)+IF(DJ1733="D",1,0)+IF(DK1733="D",1,0)+IF(DO1733="D",1,0)+IF(DP1733="D",1,0)+IF(DQ1733="D",1,0)+IF(DW1733="D",1,0)+IF(DZ1733="D",1,0)+IF(EH1733="D",1,0)</f>
        <v>0</v>
      </c>
      <c r="AY1733" s="0" t="n">
        <f aca="false">COUNTIF(DU1733:EH1733, "&lt;&gt;")</f>
        <v>0</v>
      </c>
      <c r="AZ1733" s="0" t="n">
        <f aca="false">IF(EH1733&lt;&gt;"",1,0)</f>
        <v>0</v>
      </c>
      <c r="BB1733" s="0" t="s">
        <v>152</v>
      </c>
      <c r="DC1733" s="0" t="s">
        <v>153</v>
      </c>
    </row>
    <row r="1734" customFormat="false" ht="13.8" hidden="false" customHeight="false" outlineLevel="0" collapsed="false">
      <c r="A1734" s="0" t="s">
        <v>7815</v>
      </c>
      <c r="B1734" s="0" t="n">
        <v>78</v>
      </c>
      <c r="C1734" s="0" t="n">
        <v>154611</v>
      </c>
      <c r="D1734" s="0" t="s">
        <v>452</v>
      </c>
      <c r="E1734" s="0" t="s">
        <v>224</v>
      </c>
      <c r="F1734" s="0" t="str">
        <f aca="false">CONCATENATE(D1734," ",LEFT(H1734,4),"T=",AU1734,"D=",AV1734,"R=",AW1734,"M=",AX1734,"L=",AY1734,"B=",AZ1734)</f>
        <v>HOWARD SRT=1D=0R=0M=2L=5B=0</v>
      </c>
      <c r="G1734" s="0" t="s">
        <v>268</v>
      </c>
      <c r="H1734" s="0" t="s">
        <v>216</v>
      </c>
      <c r="I1734" s="0" t="s">
        <v>7816</v>
      </c>
      <c r="J1734" s="0" t="s">
        <v>404</v>
      </c>
      <c r="K1734" s="0" t="s">
        <v>160</v>
      </c>
      <c r="L1734" s="0" t="s">
        <v>175</v>
      </c>
      <c r="M1734" s="0" t="s">
        <v>7814</v>
      </c>
      <c r="N1734" s="0" t="str">
        <f aca="false">RIGHT(M1734,LEN(M1734)-FIND(" ",M1734))</f>
        <v>OAK KNOLL AVE SE</v>
      </c>
      <c r="P1734" s="0" t="s">
        <v>145</v>
      </c>
      <c r="Q1734" s="0" t="s">
        <v>146</v>
      </c>
      <c r="R1734" s="0" t="n">
        <v>44484</v>
      </c>
      <c r="AD1734" s="0" t="s">
        <v>147</v>
      </c>
      <c r="AE1734" s="0" t="s">
        <v>148</v>
      </c>
      <c r="AF1734" s="0" t="s">
        <v>149</v>
      </c>
      <c r="AH1734" s="0" t="n">
        <v>14</v>
      </c>
      <c r="AI1734" s="0" t="n">
        <v>11</v>
      </c>
      <c r="AN1734" s="0" t="s">
        <v>145</v>
      </c>
      <c r="AO1734" s="0" t="s">
        <v>233</v>
      </c>
      <c r="AP1734" s="0" t="s">
        <v>234</v>
      </c>
      <c r="AQ1734" s="0" t="n">
        <v>9</v>
      </c>
      <c r="AR1734" s="0" t="n">
        <v>64</v>
      </c>
      <c r="AS1734" s="0" t="n">
        <v>32</v>
      </c>
      <c r="AU1734" s="0" t="n">
        <f aca="false">COUNTA($BA$2414:$EH$2414)</f>
        <v>1</v>
      </c>
      <c r="AV1734" s="0" t="n">
        <f aca="false">COUNTIF($BA$2414:$EH$2414,"D")</f>
        <v>0</v>
      </c>
      <c r="AW1734" s="0" t="n">
        <f aca="false">COUNTIF($BA$2414:$EH$2414,"R")</f>
        <v>0</v>
      </c>
      <c r="AX1734" s="0" t="n">
        <f aca="false">IF(BN1734="D",1,0)+IF(BO1734="D",1,0)+IF(BT1734="D",1,0)+IF(BU1734="D",1,0)+IF(BW1734="D",1,0)+IF(CC1734="D",1,0)+IF(CD1734="D",1,0)+IF(CE1734="D",1,0)+IF(CF1734="D",1,0)+IF(CL1734="D",1,0)+IF(CM1734="D",1,0)+IF(CQ1734="D",1,0)+IF(CR1734="D",1,0)+IF(CS1734="D",1,0)+IF(CW1734="D",1,0)+IF(CX1734="D",1,0)+IF(DD1734="D",1,0)+IF(DE1734="D",1,0)+IF(DJ1734="D",1,0)+IF(DK1734="D",1,0)+IF(DO1734="D",1,0)+IF(DP1734="D",1,0)+IF(DQ1734="D",1,0)+IF(DW1734="D",1,0)+IF(DZ1734="D",1,0)+IF(EH1734="D",1,0)</f>
        <v>2</v>
      </c>
      <c r="AY1734" s="0" t="n">
        <f aca="false">COUNTIF(DU1734:EH1734, "&lt;&gt;")</f>
        <v>5</v>
      </c>
      <c r="AZ1734" s="0" t="n">
        <f aca="false">IF(EH1734&lt;&gt;"",1,0)</f>
        <v>0</v>
      </c>
      <c r="BB1734" s="0" t="s">
        <v>152</v>
      </c>
      <c r="BD1734" s="0" t="s">
        <v>153</v>
      </c>
      <c r="BE1734" s="0" t="s">
        <v>153</v>
      </c>
      <c r="BH1734" s="0" t="s">
        <v>153</v>
      </c>
      <c r="BI1734" s="0" t="s">
        <v>153</v>
      </c>
      <c r="BJ1734" s="0" t="s">
        <v>153</v>
      </c>
      <c r="BK1734" s="0" t="s">
        <v>153</v>
      </c>
      <c r="BL1734" s="0" t="s">
        <v>153</v>
      </c>
      <c r="BY1734" s="0" t="s">
        <v>175</v>
      </c>
      <c r="CA1734" s="0" t="s">
        <v>153</v>
      </c>
      <c r="CK1734" s="0" t="s">
        <v>153</v>
      </c>
      <c r="CL1734" s="0" t="s">
        <v>175</v>
      </c>
      <c r="CN1734" s="0" t="s">
        <v>153</v>
      </c>
      <c r="CP1734" s="0" t="s">
        <v>153</v>
      </c>
      <c r="CT1734" s="0" t="s">
        <v>153</v>
      </c>
      <c r="CV1734" s="0" t="s">
        <v>153</v>
      </c>
      <c r="CY1734" s="0" t="s">
        <v>153</v>
      </c>
      <c r="DC1734" s="0" t="s">
        <v>153</v>
      </c>
      <c r="DG1734" s="0" t="s">
        <v>175</v>
      </c>
      <c r="DI1734" s="0" t="s">
        <v>153</v>
      </c>
      <c r="DL1734" s="0" t="s">
        <v>153</v>
      </c>
      <c r="DN1734" s="0" t="s">
        <v>153</v>
      </c>
      <c r="DS1734" s="0" t="s">
        <v>175</v>
      </c>
      <c r="DT1734" s="0" t="s">
        <v>175</v>
      </c>
      <c r="DU1734" s="0" t="s">
        <v>153</v>
      </c>
      <c r="DW1734" s="0" t="s">
        <v>175</v>
      </c>
      <c r="DX1734" s="0" t="s">
        <v>153</v>
      </c>
      <c r="EA1734" s="0" t="s">
        <v>153</v>
      </c>
      <c r="EF1734" s="0" t="s">
        <v>153</v>
      </c>
    </row>
    <row r="1735" customFormat="false" ht="13.8" hidden="false" customHeight="false" outlineLevel="0" collapsed="false">
      <c r="A1735" s="0" t="s">
        <v>7817</v>
      </c>
      <c r="B1735" s="0" t="n">
        <v>78</v>
      </c>
      <c r="C1735" s="0" t="n">
        <v>431164</v>
      </c>
      <c r="D1735" s="0" t="s">
        <v>452</v>
      </c>
      <c r="E1735" s="0" t="s">
        <v>3620</v>
      </c>
      <c r="F1735" s="0" t="str">
        <f aca="false">CONCATENATE(D1735," ",LEFT(H1735,4),"T=",AU1735,"D=",AV1735,"R=",AW1735,"M=",AX1735,"L=",AY1735,"B=",AZ1735)</f>
        <v>HOWARD T=1D=0R=0M=5L=2B=0</v>
      </c>
      <c r="G1735" s="0" t="s">
        <v>175</v>
      </c>
      <c r="I1735" s="0" t="s">
        <v>7818</v>
      </c>
      <c r="J1735" s="0" t="s">
        <v>993</v>
      </c>
      <c r="K1735" s="0" t="s">
        <v>160</v>
      </c>
      <c r="L1735" s="0" t="s">
        <v>175</v>
      </c>
      <c r="M1735" s="0" t="s">
        <v>7814</v>
      </c>
      <c r="N1735" s="0" t="str">
        <f aca="false">RIGHT(M1735,LEN(M1735)-FIND(" ",M1735))</f>
        <v>OAK KNOLL AVE SE</v>
      </c>
      <c r="P1735" s="0" t="s">
        <v>145</v>
      </c>
      <c r="Q1735" s="0" t="s">
        <v>146</v>
      </c>
      <c r="R1735" s="0" t="n">
        <v>44484</v>
      </c>
      <c r="AD1735" s="0" t="s">
        <v>147</v>
      </c>
      <c r="AE1735" s="0" t="s">
        <v>148</v>
      </c>
      <c r="AF1735" s="0" t="s">
        <v>149</v>
      </c>
      <c r="AH1735" s="0" t="n">
        <v>14</v>
      </c>
      <c r="AI1735" s="0" t="n">
        <v>11</v>
      </c>
      <c r="AN1735" s="0" t="s">
        <v>145</v>
      </c>
      <c r="AO1735" s="0" t="s">
        <v>233</v>
      </c>
      <c r="AP1735" s="0" t="s">
        <v>234</v>
      </c>
      <c r="AQ1735" s="0" t="n">
        <v>9</v>
      </c>
      <c r="AR1735" s="0" t="n">
        <v>64</v>
      </c>
      <c r="AS1735" s="0" t="n">
        <v>32</v>
      </c>
      <c r="AU1735" s="0" t="n">
        <f aca="false">COUNTA($BA$2566:$EH$2566)</f>
        <v>1</v>
      </c>
      <c r="AV1735" s="0" t="n">
        <f aca="false">COUNTIF($BA$2566:$EH$2566,"D")</f>
        <v>0</v>
      </c>
      <c r="AW1735" s="0" t="n">
        <f aca="false">COUNTIF($BA$2566:$EH$2566,"R")</f>
        <v>0</v>
      </c>
      <c r="AX1735" s="0" t="n">
        <f aca="false">IF(BN1735="D",1,0)+IF(BO1735="D",1,0)+IF(BT1735="D",1,0)+IF(BU1735="D",1,0)+IF(BW1735="D",1,0)+IF(CC1735="D",1,0)+IF(CD1735="D",1,0)+IF(CE1735="D",1,0)+IF(CF1735="D",1,0)+IF(CL1735="D",1,0)+IF(CM1735="D",1,0)+IF(CQ1735="D",1,0)+IF(CR1735="D",1,0)+IF(CS1735="D",1,0)+IF(CW1735="D",1,0)+IF(CX1735="D",1,0)+IF(DD1735="D",1,0)+IF(DE1735="D",1,0)+IF(DJ1735="D",1,0)+IF(DK1735="D",1,0)+IF(DO1735="D",1,0)+IF(DP1735="D",1,0)+IF(DQ1735="D",1,0)+IF(DW1735="D",1,0)+IF(DZ1735="D",1,0)+IF(EH1735="D",1,0)</f>
        <v>5</v>
      </c>
      <c r="AY1735" s="0" t="n">
        <f aca="false">COUNTIF(DU1735:EH1735, "&lt;&gt;")</f>
        <v>2</v>
      </c>
      <c r="AZ1735" s="0" t="n">
        <f aca="false">IF(EH1735&lt;&gt;"",1,0)</f>
        <v>0</v>
      </c>
      <c r="BB1735" s="0" t="s">
        <v>152</v>
      </c>
      <c r="BL1735" s="0" t="s">
        <v>153</v>
      </c>
      <c r="BP1735" s="0" t="s">
        <v>153</v>
      </c>
      <c r="CA1735" s="0" t="s">
        <v>153</v>
      </c>
      <c r="CL1735" s="0" t="s">
        <v>175</v>
      </c>
      <c r="CP1735" s="0" t="s">
        <v>153</v>
      </c>
      <c r="CV1735" s="0" t="s">
        <v>153</v>
      </c>
      <c r="CW1735" s="0" t="s">
        <v>175</v>
      </c>
      <c r="CY1735" s="0" t="s">
        <v>153</v>
      </c>
      <c r="CZ1735" s="0" t="s">
        <v>175</v>
      </c>
      <c r="DC1735" s="0" t="s">
        <v>153</v>
      </c>
      <c r="DD1735" s="0" t="s">
        <v>175</v>
      </c>
      <c r="DG1735" s="0" t="s">
        <v>175</v>
      </c>
      <c r="DI1735" s="0" t="s">
        <v>153</v>
      </c>
      <c r="DJ1735" s="0" t="s">
        <v>175</v>
      </c>
      <c r="DL1735" s="0" t="s">
        <v>153</v>
      </c>
      <c r="DN1735" s="0" t="s">
        <v>153</v>
      </c>
      <c r="DR1735" s="0" t="s">
        <v>153</v>
      </c>
      <c r="DS1735" s="0" t="s">
        <v>175</v>
      </c>
      <c r="DU1735" s="0" t="s">
        <v>153</v>
      </c>
      <c r="DW1735" s="0" t="s">
        <v>175</v>
      </c>
    </row>
    <row r="1736" customFormat="false" ht="13.8" hidden="false" customHeight="false" outlineLevel="0" collapsed="false">
      <c r="A1736" s="0" t="s">
        <v>7819</v>
      </c>
      <c r="B1736" s="0" t="n">
        <v>78</v>
      </c>
      <c r="C1736" s="0" t="n">
        <v>151497</v>
      </c>
      <c r="D1736" s="0" t="s">
        <v>7820</v>
      </c>
      <c r="E1736" s="0" t="s">
        <v>1101</v>
      </c>
      <c r="F1736" s="0" t="str">
        <f aca="false">CONCATENATE(D1736," ",LEFT(H1736,4),"T=",AU1736,"D=",AV1736,"R=",AW1736,"M=",AX1736,"L=",AY1736,"B=",AZ1736)</f>
        <v>BUYDOS T=38D=13R=0M=5L=7B=1</v>
      </c>
      <c r="G1736" s="0" t="s">
        <v>268</v>
      </c>
      <c r="I1736" s="0" t="s">
        <v>7821</v>
      </c>
      <c r="J1736" s="0" t="s">
        <v>4123</v>
      </c>
      <c r="K1736" s="0" t="s">
        <v>160</v>
      </c>
      <c r="L1736" s="0" t="s">
        <v>175</v>
      </c>
      <c r="M1736" s="0" t="s">
        <v>7822</v>
      </c>
      <c r="N1736" s="0" t="str">
        <f aca="false">RIGHT(M1736,LEN(M1736)-FIND(" ",M1736))</f>
        <v>OAK KNOLL AVE SE</v>
      </c>
      <c r="P1736" s="0" t="s">
        <v>145</v>
      </c>
      <c r="Q1736" s="0" t="s">
        <v>146</v>
      </c>
      <c r="R1736" s="0" t="n">
        <v>44483</v>
      </c>
      <c r="AD1736" s="0" t="s">
        <v>147</v>
      </c>
      <c r="AE1736" s="0" t="s">
        <v>148</v>
      </c>
      <c r="AF1736" s="0" t="s">
        <v>149</v>
      </c>
      <c r="AH1736" s="0" t="n">
        <v>14</v>
      </c>
      <c r="AI1736" s="0" t="n">
        <v>11</v>
      </c>
      <c r="AN1736" s="0" t="s">
        <v>145</v>
      </c>
      <c r="AO1736" s="0" t="s">
        <v>150</v>
      </c>
      <c r="AP1736" s="0" t="s">
        <v>151</v>
      </c>
      <c r="AQ1736" s="0" t="n">
        <v>9</v>
      </c>
      <c r="AR1736" s="0" t="n">
        <v>64</v>
      </c>
      <c r="AS1736" s="0" t="n">
        <v>32</v>
      </c>
      <c r="AU1736" s="0" t="n">
        <f aca="false">COUNTA($BA$464:$EH$464)</f>
        <v>38</v>
      </c>
      <c r="AV1736" s="0" t="n">
        <f aca="false">COUNTIF($BA$464:$EH$464,"D")</f>
        <v>13</v>
      </c>
      <c r="AW1736" s="0" t="n">
        <f aca="false">COUNTIF($BA$464:$EH$464,"R")</f>
        <v>0</v>
      </c>
      <c r="AX1736" s="0" t="n">
        <f aca="false">IF(BN1736="D",1,0)+IF(BO1736="D",1,0)+IF(BT1736="D",1,0)+IF(BU1736="D",1,0)+IF(BW1736="D",1,0)+IF(CC1736="D",1,0)+IF(CD1736="D",1,0)+IF(CE1736="D",1,0)+IF(CF1736="D",1,0)+IF(CL1736="D",1,0)+IF(CM1736="D",1,0)+IF(CQ1736="D",1,0)+IF(CR1736="D",1,0)+IF(CS1736="D",1,0)+IF(CW1736="D",1,0)+IF(CX1736="D",1,0)+IF(DD1736="D",1,0)+IF(DE1736="D",1,0)+IF(DJ1736="D",1,0)+IF(DK1736="D",1,0)+IF(DO1736="D",1,0)+IF(DP1736="D",1,0)+IF(DQ1736="D",1,0)+IF(DW1736="D",1,0)+IF(DZ1736="D",1,0)+IF(EH1736="D",1,0)</f>
        <v>5</v>
      </c>
      <c r="AY1736" s="0" t="n">
        <f aca="false">COUNTIF(DU1736:EH1736, "&lt;&gt;")</f>
        <v>7</v>
      </c>
      <c r="AZ1736" s="0" t="n">
        <f aca="false">IF(EH1736&lt;&gt;"",1,0)</f>
        <v>1</v>
      </c>
      <c r="BB1736" s="0" t="s">
        <v>152</v>
      </c>
      <c r="BC1736" s="0" t="s">
        <v>153</v>
      </c>
      <c r="BD1736" s="0" t="s">
        <v>153</v>
      </c>
      <c r="BE1736" s="0" t="s">
        <v>153</v>
      </c>
      <c r="BF1736" s="0" t="s">
        <v>153</v>
      </c>
      <c r="BG1736" s="0" t="s">
        <v>153</v>
      </c>
      <c r="BH1736" s="0" t="s">
        <v>153</v>
      </c>
      <c r="BI1736" s="0" t="s">
        <v>153</v>
      </c>
      <c r="BJ1736" s="0" t="s">
        <v>153</v>
      </c>
      <c r="BK1736" s="0" t="s">
        <v>153</v>
      </c>
      <c r="BL1736" s="0" t="s">
        <v>153</v>
      </c>
      <c r="BP1736" s="0" t="s">
        <v>153</v>
      </c>
      <c r="BR1736" s="0" t="s">
        <v>153</v>
      </c>
      <c r="BT1736" s="0" t="s">
        <v>153</v>
      </c>
      <c r="BV1736" s="0" t="s">
        <v>153</v>
      </c>
      <c r="BY1736" s="0" t="s">
        <v>175</v>
      </c>
      <c r="CA1736" s="0" t="s">
        <v>153</v>
      </c>
      <c r="CC1736" s="0" t="s">
        <v>175</v>
      </c>
      <c r="CG1736" s="0" t="s">
        <v>153</v>
      </c>
      <c r="CK1736" s="0" t="s">
        <v>153</v>
      </c>
      <c r="CL1736" s="0" t="s">
        <v>175</v>
      </c>
      <c r="CN1736" s="0" t="s">
        <v>153</v>
      </c>
      <c r="CO1736" s="0" t="s">
        <v>175</v>
      </c>
      <c r="CP1736" s="0" t="s">
        <v>153</v>
      </c>
      <c r="CT1736" s="0" t="s">
        <v>153</v>
      </c>
      <c r="CU1736" s="0" t="s">
        <v>175</v>
      </c>
      <c r="CV1736" s="0" t="s">
        <v>153</v>
      </c>
      <c r="CY1736" s="0" t="s">
        <v>153</v>
      </c>
      <c r="CZ1736" s="0" t="s">
        <v>175</v>
      </c>
      <c r="DC1736" s="0" t="s">
        <v>153</v>
      </c>
      <c r="DI1736" s="0" t="s">
        <v>153</v>
      </c>
      <c r="DJ1736" s="0" t="s">
        <v>175</v>
      </c>
      <c r="DS1736" s="0" t="s">
        <v>175</v>
      </c>
      <c r="DU1736" s="0" t="s">
        <v>153</v>
      </c>
      <c r="DW1736" s="0" t="s">
        <v>175</v>
      </c>
      <c r="DX1736" s="0" t="s">
        <v>153</v>
      </c>
      <c r="EA1736" s="0" t="s">
        <v>153</v>
      </c>
      <c r="ED1736" s="0" t="s">
        <v>175</v>
      </c>
      <c r="EF1736" s="0" t="s">
        <v>153</v>
      </c>
      <c r="EH1736" s="0" t="s">
        <v>175</v>
      </c>
    </row>
    <row r="1737" customFormat="false" ht="13.8" hidden="true" customHeight="false" outlineLevel="0" collapsed="false">
      <c r="A1737" s="0" t="s">
        <v>7823</v>
      </c>
      <c r="B1737" s="0" t="n">
        <v>78</v>
      </c>
      <c r="C1737" s="0" t="n">
        <v>320397</v>
      </c>
      <c r="D1737" s="0" t="s">
        <v>7824</v>
      </c>
      <c r="E1737" s="0" t="s">
        <v>7825</v>
      </c>
      <c r="F1737" s="0" t="str">
        <f aca="false">CONCATENATE(D1737," ",LEFT(H1737,4),"T=",AU1737,"D=",AV1737,"R=",AW1737,"M=",AX1737,"L=",AY1737,"B=",AZ1737)</f>
        <v>LAMPLEY T=2D=0R=0M=0L=0B=0</v>
      </c>
      <c r="I1737" s="0" t="s">
        <v>7826</v>
      </c>
      <c r="J1737" s="0" t="s">
        <v>688</v>
      </c>
      <c r="K1737" s="0" t="s">
        <v>143</v>
      </c>
      <c r="M1737" s="0" t="s">
        <v>7827</v>
      </c>
      <c r="N1737" s="0" t="str">
        <f aca="false">RIGHT(M1737,LEN(M1737)-FIND(" ",M1737))</f>
        <v>OAK KNOLL AVE SE</v>
      </c>
      <c r="P1737" s="0" t="s">
        <v>145</v>
      </c>
      <c r="Q1737" s="0" t="s">
        <v>146</v>
      </c>
      <c r="R1737" s="0" t="n">
        <v>44484</v>
      </c>
      <c r="AD1737" s="0" t="s">
        <v>147</v>
      </c>
      <c r="AE1737" s="0" t="s">
        <v>148</v>
      </c>
      <c r="AF1737" s="0" t="s">
        <v>149</v>
      </c>
      <c r="AH1737" s="0" t="n">
        <v>14</v>
      </c>
      <c r="AI1737" s="0" t="n">
        <v>11</v>
      </c>
      <c r="AN1737" s="0" t="s">
        <v>145</v>
      </c>
      <c r="AO1737" s="0" t="s">
        <v>233</v>
      </c>
      <c r="AP1737" s="0" t="s">
        <v>234</v>
      </c>
      <c r="AQ1737" s="0" t="n">
        <v>9</v>
      </c>
      <c r="AR1737" s="0" t="n">
        <v>64</v>
      </c>
      <c r="AS1737" s="0" t="n">
        <v>32</v>
      </c>
      <c r="AU1737" s="0" t="n">
        <f aca="false">COUNTA($BA$2464:$EH$2464)</f>
        <v>2</v>
      </c>
      <c r="AV1737" s="0" t="n">
        <f aca="false">COUNTIF($BA$2464:$EH$2464,"D")</f>
        <v>0</v>
      </c>
      <c r="AW1737" s="0" t="n">
        <f aca="false">COUNTIF($BA$2464:$EH$2464,"R")</f>
        <v>0</v>
      </c>
      <c r="AX1737" s="0" t="n">
        <f aca="false">IF(BN1737="D",1,0)+IF(BO1737="D",1,0)+IF(BT1737="D",1,0)+IF(BU1737="D",1,0)+IF(BW1737="D",1,0)+IF(CC1737="D",1,0)+IF(CD1737="D",1,0)+IF(CE1737="D",1,0)+IF(CF1737="D",1,0)+IF(CL1737="D",1,0)+IF(CM1737="D",1,0)+IF(CQ1737="D",1,0)+IF(CR1737="D",1,0)+IF(CS1737="D",1,0)+IF(CW1737="D",1,0)+IF(CX1737="D",1,0)+IF(DD1737="D",1,0)+IF(DE1737="D",1,0)+IF(DJ1737="D",1,0)+IF(DK1737="D",1,0)+IF(DO1737="D",1,0)+IF(DP1737="D",1,0)+IF(DQ1737="D",1,0)+IF(DW1737="D",1,0)+IF(DZ1737="D",1,0)+IF(EH1737="D",1,0)</f>
        <v>0</v>
      </c>
      <c r="AY1737" s="0" t="n">
        <f aca="false">COUNTIF(DU1737:EH1737, "&lt;&gt;")</f>
        <v>0</v>
      </c>
      <c r="AZ1737" s="0" t="n">
        <f aca="false">IF(EH1737&lt;&gt;"",1,0)</f>
        <v>0</v>
      </c>
      <c r="BB1737" s="0" t="s">
        <v>152</v>
      </c>
      <c r="BL1737" s="0" t="s">
        <v>153</v>
      </c>
      <c r="CP1737" s="0" t="s">
        <v>153</v>
      </c>
      <c r="CU1737" s="0" t="s">
        <v>175</v>
      </c>
      <c r="CV1737" s="0" t="s">
        <v>153</v>
      </c>
      <c r="CY1737" s="0" t="s">
        <v>153</v>
      </c>
      <c r="CZ1737" s="0" t="s">
        <v>209</v>
      </c>
      <c r="DC1737" s="0" t="s">
        <v>153</v>
      </c>
      <c r="DI1737" s="0" t="s">
        <v>153</v>
      </c>
      <c r="DN1737" s="0" t="s">
        <v>153</v>
      </c>
    </row>
    <row r="1738" customFormat="false" ht="13.8" hidden="false" customHeight="false" outlineLevel="0" collapsed="false">
      <c r="A1738" s="0" t="s">
        <v>7828</v>
      </c>
      <c r="B1738" s="0" t="n">
        <v>78</v>
      </c>
      <c r="C1738" s="0" t="n">
        <v>485165</v>
      </c>
      <c r="D1738" s="0" t="s">
        <v>7829</v>
      </c>
      <c r="E1738" s="0" t="s">
        <v>7830</v>
      </c>
      <c r="F1738" s="0" t="str">
        <f aca="false">CONCATENATE(D1738," ",LEFT(H1738,4),"T=",AU1738,"D=",AV1738,"R=",AW1738,"M=",AX1738,"L=",AY1738,"B=",AZ1738)</f>
        <v>WEDDELL T=5D=0R=0M=2L=5B=1</v>
      </c>
      <c r="G1738" s="0" t="s">
        <v>7831</v>
      </c>
      <c r="I1738" s="0" t="s">
        <v>7832</v>
      </c>
      <c r="J1738" s="0" t="s">
        <v>2015</v>
      </c>
      <c r="K1738" s="0" t="s">
        <v>160</v>
      </c>
      <c r="M1738" s="0" t="s">
        <v>7833</v>
      </c>
      <c r="N1738" s="0" t="str">
        <f aca="false">RIGHT(M1738,LEN(M1738)-FIND(" ",M1738))</f>
        <v>OAK KNOLL AVE SE</v>
      </c>
      <c r="P1738" s="0" t="s">
        <v>145</v>
      </c>
      <c r="Q1738" s="0" t="s">
        <v>146</v>
      </c>
      <c r="R1738" s="0" t="n">
        <v>44483</v>
      </c>
      <c r="AD1738" s="0" t="s">
        <v>147</v>
      </c>
      <c r="AE1738" s="0" t="s">
        <v>148</v>
      </c>
      <c r="AF1738" s="0" t="s">
        <v>149</v>
      </c>
      <c r="AH1738" s="0" t="n">
        <v>14</v>
      </c>
      <c r="AI1738" s="0" t="n">
        <v>11</v>
      </c>
      <c r="AN1738" s="0" t="s">
        <v>145</v>
      </c>
      <c r="AO1738" s="0" t="s">
        <v>150</v>
      </c>
      <c r="AP1738" s="0" t="s">
        <v>151</v>
      </c>
      <c r="AQ1738" s="0" t="n">
        <v>9</v>
      </c>
      <c r="AR1738" s="0" t="n">
        <v>64</v>
      </c>
      <c r="AS1738" s="0" t="n">
        <v>32</v>
      </c>
      <c r="AU1738" s="0" t="n">
        <f aca="false">COUNTA($BA$403:$EH$403)</f>
        <v>5</v>
      </c>
      <c r="AV1738" s="0" t="n">
        <f aca="false">COUNTIF($BA$403:$EH$403,"D")</f>
        <v>0</v>
      </c>
      <c r="AW1738" s="0" t="n">
        <f aca="false">COUNTIF($BA$403:$EH$403,"R")</f>
        <v>0</v>
      </c>
      <c r="AX1738" s="0" t="n">
        <f aca="false">IF(BN1738="D",1,0)+IF(BO1738="D",1,0)+IF(BT1738="D",1,0)+IF(BU1738="D",1,0)+IF(BW1738="D",1,0)+IF(CC1738="D",1,0)+IF(CD1738="D",1,0)+IF(CE1738="D",1,0)+IF(CF1738="D",1,0)+IF(CL1738="D",1,0)+IF(CM1738="D",1,0)+IF(CQ1738="D",1,0)+IF(CR1738="D",1,0)+IF(CS1738="D",1,0)+IF(CW1738="D",1,0)+IF(CX1738="D",1,0)+IF(DD1738="D",1,0)+IF(DE1738="D",1,0)+IF(DJ1738="D",1,0)+IF(DK1738="D",1,0)+IF(DO1738="D",1,0)+IF(DP1738="D",1,0)+IF(DQ1738="D",1,0)+IF(DW1738="D",1,0)+IF(DZ1738="D",1,0)+IF(EH1738="D",1,0)</f>
        <v>2</v>
      </c>
      <c r="AY1738" s="0" t="n">
        <f aca="false">COUNTIF(DU1738:EH1738, "&lt;&gt;")</f>
        <v>5</v>
      </c>
      <c r="AZ1738" s="0" t="n">
        <f aca="false">IF(EH1738&lt;&gt;"",1,0)</f>
        <v>1</v>
      </c>
      <c r="BB1738" s="0" t="s">
        <v>152</v>
      </c>
      <c r="BS1738" s="0" t="s">
        <v>153</v>
      </c>
      <c r="BV1738" s="0" t="s">
        <v>153</v>
      </c>
      <c r="BY1738" s="0" t="s">
        <v>175</v>
      </c>
      <c r="CA1738" s="0" t="s">
        <v>153</v>
      </c>
      <c r="CN1738" s="0" t="s">
        <v>153</v>
      </c>
      <c r="CP1738" s="0" t="s">
        <v>153</v>
      </c>
      <c r="CV1738" s="0" t="s">
        <v>153</v>
      </c>
      <c r="CW1738" s="0" t="s">
        <v>175</v>
      </c>
      <c r="CY1738" s="0" t="s">
        <v>153</v>
      </c>
      <c r="CZ1738" s="0" t="s">
        <v>175</v>
      </c>
      <c r="DC1738" s="0" t="s">
        <v>153</v>
      </c>
      <c r="DD1738" s="0" t="s">
        <v>175</v>
      </c>
      <c r="DF1738" s="0" t="s">
        <v>153</v>
      </c>
      <c r="DG1738" s="0" t="s">
        <v>175</v>
      </c>
      <c r="DI1738" s="0" t="s">
        <v>153</v>
      </c>
      <c r="DN1738" s="0" t="s">
        <v>153</v>
      </c>
      <c r="DU1738" s="0" t="s">
        <v>153</v>
      </c>
      <c r="DX1738" s="0" t="s">
        <v>153</v>
      </c>
      <c r="EA1738" s="0" t="s">
        <v>153</v>
      </c>
      <c r="EF1738" s="0" t="s">
        <v>153</v>
      </c>
      <c r="EH1738" s="0" t="s">
        <v>153</v>
      </c>
    </row>
    <row r="1739" customFormat="false" ht="13.8" hidden="true" customHeight="false" outlineLevel="0" collapsed="false">
      <c r="A1739" s="0" t="s">
        <v>7834</v>
      </c>
      <c r="B1739" s="0" t="n">
        <v>78</v>
      </c>
      <c r="C1739" s="0" t="n">
        <v>438509</v>
      </c>
      <c r="D1739" s="0" t="s">
        <v>7835</v>
      </c>
      <c r="E1739" s="0" t="s">
        <v>7836</v>
      </c>
      <c r="F1739" s="0" t="str">
        <f aca="false">CONCATENATE(D1739," ",LEFT(H1739,4),"T=",AU1739,"D=",AV1739,"R=",AW1739,"M=",AX1739,"L=",AY1739,"B=",AZ1739)</f>
        <v>RODGERS T=16D=1R=1M=0L=0B=0</v>
      </c>
      <c r="G1739" s="0" t="s">
        <v>175</v>
      </c>
      <c r="I1739" s="0" t="s">
        <v>7837</v>
      </c>
      <c r="J1739" s="0" t="s">
        <v>1253</v>
      </c>
      <c r="K1739" s="0" t="s">
        <v>160</v>
      </c>
      <c r="M1739" s="0" t="s">
        <v>7838</v>
      </c>
      <c r="N1739" s="0" t="str">
        <f aca="false">RIGHT(M1739,LEN(M1739)-FIND(" ",M1739))</f>
        <v>OAK KNOLL AVE SE</v>
      </c>
      <c r="P1739" s="0" t="s">
        <v>145</v>
      </c>
      <c r="Q1739" s="0" t="s">
        <v>146</v>
      </c>
      <c r="R1739" s="0" t="n">
        <v>44484</v>
      </c>
      <c r="AD1739" s="0" t="s">
        <v>147</v>
      </c>
      <c r="AE1739" s="0" t="s">
        <v>148</v>
      </c>
      <c r="AF1739" s="0" t="s">
        <v>149</v>
      </c>
      <c r="AH1739" s="0" t="n">
        <v>14</v>
      </c>
      <c r="AI1739" s="0" t="n">
        <v>11</v>
      </c>
      <c r="AN1739" s="0" t="s">
        <v>145</v>
      </c>
      <c r="AO1739" s="0" t="s">
        <v>233</v>
      </c>
      <c r="AP1739" s="0" t="s">
        <v>234</v>
      </c>
      <c r="AQ1739" s="0" t="n">
        <v>9</v>
      </c>
      <c r="AR1739" s="0" t="n">
        <v>64</v>
      </c>
      <c r="AS1739" s="0" t="n">
        <v>32</v>
      </c>
      <c r="AU1739" s="0" t="n">
        <f aca="false">COUNTA($BA$2621:$EH$2621)</f>
        <v>16</v>
      </c>
      <c r="AV1739" s="0" t="n">
        <f aca="false">COUNTIF($BA$2621:$EH$2621,"D")</f>
        <v>1</v>
      </c>
      <c r="AW1739" s="0" t="n">
        <f aca="false">COUNTIF($BA$2621:$EH$2621,"R")</f>
        <v>1</v>
      </c>
      <c r="AX1739" s="0" t="n">
        <f aca="false">IF(BN1739="D",1,0)+IF(BO1739="D",1,0)+IF(BT1739="D",1,0)+IF(BU1739="D",1,0)+IF(BW1739="D",1,0)+IF(CC1739="D",1,0)+IF(CD1739="D",1,0)+IF(CE1739="D",1,0)+IF(CF1739="D",1,0)+IF(CL1739="D",1,0)+IF(CM1739="D",1,0)+IF(CQ1739="D",1,0)+IF(CR1739="D",1,0)+IF(CS1739="D",1,0)+IF(CW1739="D",1,0)+IF(CX1739="D",1,0)+IF(DD1739="D",1,0)+IF(DE1739="D",1,0)+IF(DJ1739="D",1,0)+IF(DK1739="D",1,0)+IF(DO1739="D",1,0)+IF(DP1739="D",1,0)+IF(DQ1739="D",1,0)+IF(DW1739="D",1,0)+IF(DZ1739="D",1,0)+IF(EH1739="D",1,0)</f>
        <v>0</v>
      </c>
      <c r="AY1739" s="0" t="n">
        <f aca="false">COUNTIF(DU1739:EH1739, "&lt;&gt;")</f>
        <v>0</v>
      </c>
      <c r="AZ1739" s="0" t="n">
        <f aca="false">IF(EH1739&lt;&gt;"",1,0)</f>
        <v>0</v>
      </c>
      <c r="BB1739" s="0" t="s">
        <v>152</v>
      </c>
    </row>
    <row r="1740" customFormat="false" ht="13.8" hidden="true" customHeight="false" outlineLevel="0" collapsed="false">
      <c r="A1740" s="0" t="s">
        <v>7839</v>
      </c>
      <c r="B1740" s="0" t="n">
        <v>78</v>
      </c>
      <c r="C1740" s="0" t="n">
        <v>487819</v>
      </c>
      <c r="D1740" s="0" t="s">
        <v>7840</v>
      </c>
      <c r="E1740" s="0" t="s">
        <v>7841</v>
      </c>
      <c r="F1740" s="0" t="str">
        <f aca="false">CONCATENATE(D1740," ",LEFT(H1740,4),"T=",AU1740,"D=",AV1740,"R=",AW1740,"M=",AX1740,"L=",AY1740,"B=",AZ1740)</f>
        <v>PRUITT T=17D=3R=0M=0L=0B=0</v>
      </c>
      <c r="G1740" s="0" t="s">
        <v>190</v>
      </c>
      <c r="I1740" s="0" t="s">
        <v>7842</v>
      </c>
      <c r="J1740" s="0" t="s">
        <v>283</v>
      </c>
      <c r="K1740" s="0" t="s">
        <v>160</v>
      </c>
      <c r="M1740" s="0" t="s">
        <v>7843</v>
      </c>
      <c r="N1740" s="0" t="str">
        <f aca="false">RIGHT(M1740,LEN(M1740)-FIND(" ",M1740))</f>
        <v>OAK KNOLL AVE SE</v>
      </c>
      <c r="P1740" s="0" t="s">
        <v>145</v>
      </c>
      <c r="Q1740" s="0" t="s">
        <v>146</v>
      </c>
      <c r="R1740" s="0" t="n">
        <v>44484</v>
      </c>
      <c r="AD1740" s="0" t="s">
        <v>147</v>
      </c>
      <c r="AE1740" s="0" t="s">
        <v>148</v>
      </c>
      <c r="AF1740" s="0" t="s">
        <v>149</v>
      </c>
      <c r="AH1740" s="0" t="n">
        <v>14</v>
      </c>
      <c r="AI1740" s="0" t="n">
        <v>11</v>
      </c>
      <c r="AN1740" s="0" t="s">
        <v>145</v>
      </c>
      <c r="AO1740" s="0" t="s">
        <v>233</v>
      </c>
      <c r="AP1740" s="0" t="s">
        <v>234</v>
      </c>
      <c r="AQ1740" s="0" t="n">
        <v>9</v>
      </c>
      <c r="AR1740" s="0" t="n">
        <v>64</v>
      </c>
      <c r="AS1740" s="0" t="n">
        <v>32</v>
      </c>
      <c r="AU1740" s="0" t="n">
        <f aca="false">COUNTA($BA$2203:$EH$2203)</f>
        <v>17</v>
      </c>
      <c r="AV1740" s="0" t="n">
        <f aca="false">COUNTIF($BA$2203:$EH$2203,"D")</f>
        <v>3</v>
      </c>
      <c r="AW1740" s="0" t="n">
        <f aca="false">COUNTIF($BA$2203:$EH$2203,"R")</f>
        <v>0</v>
      </c>
      <c r="AX1740" s="0" t="n">
        <f aca="false">IF(BN1740="D",1,0)+IF(BO1740="D",1,0)+IF(BT1740="D",1,0)+IF(BU1740="D",1,0)+IF(BW1740="D",1,0)+IF(CC1740="D",1,0)+IF(CD1740="D",1,0)+IF(CE1740="D",1,0)+IF(CF1740="D",1,0)+IF(CL1740="D",1,0)+IF(CM1740="D",1,0)+IF(CQ1740="D",1,0)+IF(CR1740="D",1,0)+IF(CS1740="D",1,0)+IF(CW1740="D",1,0)+IF(CX1740="D",1,0)+IF(DD1740="D",1,0)+IF(DE1740="D",1,0)+IF(DJ1740="D",1,0)+IF(DK1740="D",1,0)+IF(DO1740="D",1,0)+IF(DP1740="D",1,0)+IF(DQ1740="D",1,0)+IF(DW1740="D",1,0)+IF(DZ1740="D",1,0)+IF(EH1740="D",1,0)</f>
        <v>0</v>
      </c>
      <c r="AY1740" s="0" t="n">
        <f aca="false">COUNTIF(DU1740:EH1740, "&lt;&gt;")</f>
        <v>0</v>
      </c>
      <c r="AZ1740" s="0" t="n">
        <f aca="false">IF(EH1740&lt;&gt;"",1,0)</f>
        <v>0</v>
      </c>
      <c r="BB1740" s="0" t="s">
        <v>152</v>
      </c>
      <c r="DI1740" s="0" t="s">
        <v>153</v>
      </c>
    </row>
    <row r="1741" customFormat="false" ht="13.8" hidden="false" customHeight="false" outlineLevel="0" collapsed="false">
      <c r="A1741" s="0" t="s">
        <v>7844</v>
      </c>
      <c r="B1741" s="0" t="n">
        <v>78</v>
      </c>
      <c r="C1741" s="0" t="n">
        <v>384096</v>
      </c>
      <c r="D1741" s="0" t="s">
        <v>7421</v>
      </c>
      <c r="E1741" s="0" t="s">
        <v>379</v>
      </c>
      <c r="F1741" s="0" t="str">
        <f aca="false">CONCATENATE(D1741," ",LEFT(H1741,4),"T=",AU1741,"D=",AV1741,"R=",AW1741,"M=",AX1741,"L=",AY1741,"B=",AZ1741)</f>
        <v>SHAFFER T=2D=0R=0M=2L=7B=1</v>
      </c>
      <c r="I1741" s="0" t="s">
        <v>7845</v>
      </c>
      <c r="J1741" s="0" t="s">
        <v>7846</v>
      </c>
      <c r="K1741" s="0" t="s">
        <v>160</v>
      </c>
      <c r="L1741" s="0" t="s">
        <v>175</v>
      </c>
      <c r="M1741" s="0" t="s">
        <v>7847</v>
      </c>
      <c r="N1741" s="0" t="str">
        <f aca="false">RIGHT(M1741,LEN(M1741)-FIND(" ",M1741))</f>
        <v>OAK KNOLL AVE SE</v>
      </c>
      <c r="P1741" s="0" t="s">
        <v>145</v>
      </c>
      <c r="Q1741" s="0" t="s">
        <v>146</v>
      </c>
      <c r="R1741" s="0" t="n">
        <v>44483</v>
      </c>
      <c r="AD1741" s="0" t="s">
        <v>147</v>
      </c>
      <c r="AE1741" s="0" t="s">
        <v>148</v>
      </c>
      <c r="AF1741" s="0" t="s">
        <v>149</v>
      </c>
      <c r="AH1741" s="0" t="n">
        <v>14</v>
      </c>
      <c r="AI1741" s="0" t="n">
        <v>11</v>
      </c>
      <c r="AN1741" s="0" t="s">
        <v>145</v>
      </c>
      <c r="AO1741" s="0" t="s">
        <v>150</v>
      </c>
      <c r="AP1741" s="0" t="s">
        <v>151</v>
      </c>
      <c r="AQ1741" s="0" t="n">
        <v>9</v>
      </c>
      <c r="AR1741" s="0" t="n">
        <v>64</v>
      </c>
      <c r="AS1741" s="0" t="n">
        <v>32</v>
      </c>
      <c r="AU1741" s="0" t="n">
        <f aca="false">COUNTA($BA$1013:$EH$1013)</f>
        <v>2</v>
      </c>
      <c r="AV1741" s="0" t="n">
        <f aca="false">COUNTIF($BA$1013:$EH$1013,"D")</f>
        <v>0</v>
      </c>
      <c r="AW1741" s="0" t="n">
        <f aca="false">COUNTIF($BA$1013:$EH$1013,"R")</f>
        <v>0</v>
      </c>
      <c r="AX1741" s="0" t="n">
        <f aca="false">IF(BN1741="D",1,0)+IF(BO1741="D",1,0)+IF(BT1741="D",1,0)+IF(BU1741="D",1,0)+IF(BW1741="D",1,0)+IF(CC1741="D",1,0)+IF(CD1741="D",1,0)+IF(CE1741="D",1,0)+IF(CF1741="D",1,0)+IF(CL1741="D",1,0)+IF(CM1741="D",1,0)+IF(CQ1741="D",1,0)+IF(CR1741="D",1,0)+IF(CS1741="D",1,0)+IF(CW1741="D",1,0)+IF(CX1741="D",1,0)+IF(DD1741="D",1,0)+IF(DE1741="D",1,0)+IF(DJ1741="D",1,0)+IF(DK1741="D",1,0)+IF(DO1741="D",1,0)+IF(DP1741="D",1,0)+IF(DQ1741="D",1,0)+IF(DW1741="D",1,0)+IF(DZ1741="D",1,0)+IF(EH1741="D",1,0)</f>
        <v>2</v>
      </c>
      <c r="AY1741" s="0" t="n">
        <f aca="false">COUNTIF(DU1741:EH1741, "&lt;&gt;")</f>
        <v>7</v>
      </c>
      <c r="AZ1741" s="0" t="n">
        <f aca="false">IF(EH1741&lt;&gt;"",1,0)</f>
        <v>1</v>
      </c>
      <c r="BB1741" s="0" t="s">
        <v>152</v>
      </c>
      <c r="CP1741" s="0" t="s">
        <v>153</v>
      </c>
      <c r="DC1741" s="0" t="s">
        <v>153</v>
      </c>
      <c r="DI1741" s="0" t="s">
        <v>153</v>
      </c>
      <c r="DM1741" s="0" t="s">
        <v>175</v>
      </c>
      <c r="DN1741" s="0" t="s">
        <v>153</v>
      </c>
      <c r="DR1741" s="0" t="s">
        <v>153</v>
      </c>
      <c r="DS1741" s="0" t="s">
        <v>175</v>
      </c>
      <c r="DU1741" s="0" t="s">
        <v>153</v>
      </c>
      <c r="DW1741" s="0" t="s">
        <v>175</v>
      </c>
      <c r="DX1741" s="0" t="s">
        <v>153</v>
      </c>
      <c r="EA1741" s="0" t="s">
        <v>153</v>
      </c>
      <c r="ED1741" s="0" t="s">
        <v>175</v>
      </c>
      <c r="EF1741" s="0" t="s">
        <v>153</v>
      </c>
      <c r="EH1741" s="0" t="s">
        <v>175</v>
      </c>
    </row>
    <row r="1742" customFormat="false" ht="13.8" hidden="false" customHeight="false" outlineLevel="0" collapsed="false">
      <c r="A1742" s="0" t="s">
        <v>7848</v>
      </c>
      <c r="B1742" s="0" t="n">
        <v>78</v>
      </c>
      <c r="C1742" s="0" t="n">
        <v>285365</v>
      </c>
      <c r="D1742" s="0" t="s">
        <v>7421</v>
      </c>
      <c r="E1742" s="0" t="s">
        <v>419</v>
      </c>
      <c r="F1742" s="0" t="str">
        <f aca="false">CONCATENATE(D1742," ",LEFT(H1742,4),"T=",AU1742,"D=",AV1742,"R=",AW1742,"M=",AX1742,"L=",AY1742,"B=",AZ1742)</f>
        <v>SHAFFER T=10D=0R=1M=1L=4B=0</v>
      </c>
      <c r="G1742" s="0" t="s">
        <v>190</v>
      </c>
      <c r="I1742" s="0" t="s">
        <v>7849</v>
      </c>
      <c r="J1742" s="0" t="s">
        <v>7850</v>
      </c>
      <c r="K1742" s="0" t="s">
        <v>160</v>
      </c>
      <c r="L1742" s="0" t="s">
        <v>175</v>
      </c>
      <c r="M1742" s="0" t="s">
        <v>7847</v>
      </c>
      <c r="N1742" s="0" t="str">
        <f aca="false">RIGHT(M1742,LEN(M1742)-FIND(" ",M1742))</f>
        <v>OAK KNOLL AVE SE</v>
      </c>
      <c r="P1742" s="0" t="s">
        <v>145</v>
      </c>
      <c r="Q1742" s="0" t="s">
        <v>146</v>
      </c>
      <c r="R1742" s="0" t="n">
        <v>44483</v>
      </c>
      <c r="AD1742" s="0" t="s">
        <v>147</v>
      </c>
      <c r="AE1742" s="0" t="s">
        <v>148</v>
      </c>
      <c r="AF1742" s="0" t="s">
        <v>149</v>
      </c>
      <c r="AH1742" s="0" t="n">
        <v>14</v>
      </c>
      <c r="AI1742" s="0" t="n">
        <v>11</v>
      </c>
      <c r="AN1742" s="0" t="s">
        <v>145</v>
      </c>
      <c r="AO1742" s="0" t="s">
        <v>150</v>
      </c>
      <c r="AP1742" s="0" t="s">
        <v>151</v>
      </c>
      <c r="AQ1742" s="0" t="n">
        <v>9</v>
      </c>
      <c r="AR1742" s="0" t="n">
        <v>64</v>
      </c>
      <c r="AS1742" s="0" t="n">
        <v>32</v>
      </c>
      <c r="AU1742" s="0" t="n">
        <f aca="false">COUNTA($BA$1054:$EH$1054)</f>
        <v>10</v>
      </c>
      <c r="AV1742" s="0" t="n">
        <f aca="false">COUNTIF($BA$1054:$EH$1054,"D")</f>
        <v>0</v>
      </c>
      <c r="AW1742" s="0" t="n">
        <f aca="false">COUNTIF($BA$1054:$EH$1054,"R")</f>
        <v>1</v>
      </c>
      <c r="AX1742" s="0" t="n">
        <f aca="false">IF(BN1742="D",1,0)+IF(BO1742="D",1,0)+IF(BT1742="D",1,0)+IF(BU1742="D",1,0)+IF(BW1742="D",1,0)+IF(CC1742="D",1,0)+IF(CD1742="D",1,0)+IF(CE1742="D",1,0)+IF(CF1742="D",1,0)+IF(CL1742="D",1,0)+IF(CM1742="D",1,0)+IF(CQ1742="D",1,0)+IF(CR1742="D",1,0)+IF(CS1742="D",1,0)+IF(CW1742="D",1,0)+IF(CX1742="D",1,0)+IF(DD1742="D",1,0)+IF(DE1742="D",1,0)+IF(DJ1742="D",1,0)+IF(DK1742="D",1,0)+IF(DO1742="D",1,0)+IF(DP1742="D",1,0)+IF(DQ1742="D",1,0)+IF(DW1742="D",1,0)+IF(DZ1742="D",1,0)+IF(EH1742="D",1,0)</f>
        <v>1</v>
      </c>
      <c r="AY1742" s="0" t="n">
        <f aca="false">COUNTIF(DU1742:EH1742, "&lt;&gt;")</f>
        <v>4</v>
      </c>
      <c r="AZ1742" s="0" t="n">
        <f aca="false">IF(EH1742&lt;&gt;"",1,0)</f>
        <v>0</v>
      </c>
      <c r="BB1742" s="0" t="s">
        <v>152</v>
      </c>
      <c r="BL1742" s="0" t="s">
        <v>153</v>
      </c>
      <c r="CA1742" s="0" t="s">
        <v>153</v>
      </c>
      <c r="CN1742" s="0" t="s">
        <v>153</v>
      </c>
      <c r="CP1742" s="0" t="s">
        <v>153</v>
      </c>
      <c r="DC1742" s="0" t="s">
        <v>153</v>
      </c>
      <c r="DI1742" s="0" t="s">
        <v>153</v>
      </c>
      <c r="DN1742" s="0" t="s">
        <v>153</v>
      </c>
      <c r="DU1742" s="0" t="s">
        <v>153</v>
      </c>
      <c r="DW1742" s="0" t="s">
        <v>175</v>
      </c>
      <c r="EA1742" s="0" t="s">
        <v>153</v>
      </c>
      <c r="EF1742" s="0" t="s">
        <v>153</v>
      </c>
    </row>
    <row r="1743" customFormat="false" ht="13.8" hidden="false" customHeight="false" outlineLevel="0" collapsed="false">
      <c r="A1743" s="0" t="s">
        <v>7851</v>
      </c>
      <c r="B1743" s="0" t="n">
        <v>78</v>
      </c>
      <c r="C1743" s="0" t="n">
        <v>287805</v>
      </c>
      <c r="D1743" s="0" t="s">
        <v>7852</v>
      </c>
      <c r="E1743" s="0" t="s">
        <v>7853</v>
      </c>
      <c r="F1743" s="0" t="str">
        <f aca="false">CONCATENATE(D1743," ",LEFT(H1743,4),"T=",AU1743,"D=",AV1743,"R=",AW1743,"M=",AX1743,"L=",AY1743,"B=",AZ1743)</f>
        <v>DEJACIMO T=4D=1R=0M=0L=4B=0</v>
      </c>
      <c r="G1743" s="0" t="s">
        <v>164</v>
      </c>
      <c r="I1743" s="0" t="s">
        <v>7854</v>
      </c>
      <c r="J1743" s="0" t="s">
        <v>7855</v>
      </c>
      <c r="K1743" s="0" t="s">
        <v>160</v>
      </c>
      <c r="M1743" s="0" t="s">
        <v>7856</v>
      </c>
      <c r="N1743" s="0" t="str">
        <f aca="false">RIGHT(M1743,LEN(M1743)-FIND(" ",M1743))</f>
        <v>OAK KNOLL AVE SE</v>
      </c>
      <c r="P1743" s="0" t="s">
        <v>145</v>
      </c>
      <c r="Q1743" s="0" t="s">
        <v>146</v>
      </c>
      <c r="R1743" s="0" t="n">
        <v>44483</v>
      </c>
      <c r="AD1743" s="0" t="s">
        <v>147</v>
      </c>
      <c r="AE1743" s="0" t="s">
        <v>148</v>
      </c>
      <c r="AF1743" s="0" t="s">
        <v>149</v>
      </c>
      <c r="AH1743" s="0" t="n">
        <v>14</v>
      </c>
      <c r="AI1743" s="0" t="n">
        <v>11</v>
      </c>
      <c r="AN1743" s="0" t="s">
        <v>145</v>
      </c>
      <c r="AO1743" s="0" t="s">
        <v>150</v>
      </c>
      <c r="AP1743" s="0" t="s">
        <v>151</v>
      </c>
      <c r="AQ1743" s="0" t="n">
        <v>9</v>
      </c>
      <c r="AR1743" s="0" t="n">
        <v>64</v>
      </c>
      <c r="AS1743" s="0" t="n">
        <v>32</v>
      </c>
      <c r="AU1743" s="0" t="n">
        <f aca="false">COUNTA($BA$1032:$EH$1032)</f>
        <v>4</v>
      </c>
      <c r="AV1743" s="0" t="n">
        <f aca="false">COUNTIF($BA$1032:$EH$1032,"D")</f>
        <v>1</v>
      </c>
      <c r="AW1743" s="0" t="n">
        <f aca="false">COUNTIF($BA$1032:$EH$1032,"R")</f>
        <v>0</v>
      </c>
      <c r="AX1743" s="0" t="n">
        <f aca="false">IF(BN1743="D",1,0)+IF(BO1743="D",1,0)+IF(BT1743="D",1,0)+IF(BU1743="D",1,0)+IF(BW1743="D",1,0)+IF(CC1743="D",1,0)+IF(CD1743="D",1,0)+IF(CE1743="D",1,0)+IF(CF1743="D",1,0)+IF(CL1743="D",1,0)+IF(CM1743="D",1,0)+IF(CQ1743="D",1,0)+IF(CR1743="D",1,0)+IF(CS1743="D",1,0)+IF(CW1743="D",1,0)+IF(CX1743="D",1,0)+IF(DD1743="D",1,0)+IF(DE1743="D",1,0)+IF(DJ1743="D",1,0)+IF(DK1743="D",1,0)+IF(DO1743="D",1,0)+IF(DP1743="D",1,0)+IF(DQ1743="D",1,0)+IF(DW1743="D",1,0)+IF(DZ1743="D",1,0)+IF(EH1743="D",1,0)</f>
        <v>0</v>
      </c>
      <c r="AY1743" s="0" t="n">
        <f aca="false">COUNTIF(DU1743:EH1743, "&lt;&gt;")</f>
        <v>4</v>
      </c>
      <c r="AZ1743" s="0" t="n">
        <f aca="false">IF(EH1743&lt;&gt;"",1,0)</f>
        <v>0</v>
      </c>
      <c r="BB1743" s="0" t="s">
        <v>152</v>
      </c>
      <c r="BC1743" s="0" t="s">
        <v>153</v>
      </c>
      <c r="BD1743" s="0" t="s">
        <v>153</v>
      </c>
      <c r="BH1743" s="0" t="s">
        <v>153</v>
      </c>
      <c r="BJ1743" s="0" t="s">
        <v>153</v>
      </c>
      <c r="BL1743" s="0" t="s">
        <v>153</v>
      </c>
      <c r="DI1743" s="0" t="s">
        <v>153</v>
      </c>
      <c r="DN1743" s="0" t="s">
        <v>153</v>
      </c>
      <c r="DU1743" s="0" t="s">
        <v>153</v>
      </c>
      <c r="DX1743" s="0" t="s">
        <v>153</v>
      </c>
      <c r="EA1743" s="0" t="s">
        <v>153</v>
      </c>
      <c r="EF1743" s="0" t="s">
        <v>153</v>
      </c>
    </row>
    <row r="1744" customFormat="false" ht="13.8" hidden="false" customHeight="false" outlineLevel="0" collapsed="false">
      <c r="A1744" s="0" t="s">
        <v>7857</v>
      </c>
      <c r="B1744" s="0" t="n">
        <v>78</v>
      </c>
      <c r="C1744" s="0" t="n">
        <v>287792</v>
      </c>
      <c r="D1744" s="0" t="s">
        <v>7852</v>
      </c>
      <c r="E1744" s="0" t="s">
        <v>7858</v>
      </c>
      <c r="F1744" s="0" t="str">
        <f aca="false">CONCATENATE(D1744," ",LEFT(H1744,4),"T=",AU1744,"D=",AV1744,"R=",AW1744,"M=",AX1744,"L=",AY1744,"B=",AZ1744)</f>
        <v>DEJACIMO T=12D=0R=1M=0L=4B=0</v>
      </c>
      <c r="G1744" s="0" t="s">
        <v>606</v>
      </c>
      <c r="I1744" s="0" t="s">
        <v>7859</v>
      </c>
      <c r="J1744" s="0" t="s">
        <v>7860</v>
      </c>
      <c r="K1744" s="0" t="s">
        <v>160</v>
      </c>
      <c r="M1744" s="0" t="s">
        <v>7856</v>
      </c>
      <c r="N1744" s="0" t="str">
        <f aca="false">RIGHT(M1744,LEN(M1744)-FIND(" ",M1744))</f>
        <v>OAK KNOLL AVE SE</v>
      </c>
      <c r="P1744" s="0" t="s">
        <v>145</v>
      </c>
      <c r="Q1744" s="0" t="s">
        <v>146</v>
      </c>
      <c r="R1744" s="0" t="n">
        <v>44483</v>
      </c>
      <c r="AD1744" s="0" t="s">
        <v>147</v>
      </c>
      <c r="AE1744" s="0" t="s">
        <v>148</v>
      </c>
      <c r="AF1744" s="0" t="s">
        <v>149</v>
      </c>
      <c r="AH1744" s="0" t="n">
        <v>14</v>
      </c>
      <c r="AI1744" s="0" t="n">
        <v>11</v>
      </c>
      <c r="AN1744" s="0" t="s">
        <v>145</v>
      </c>
      <c r="AO1744" s="0" t="s">
        <v>150</v>
      </c>
      <c r="AP1744" s="0" t="s">
        <v>151</v>
      </c>
      <c r="AQ1744" s="0" t="n">
        <v>9</v>
      </c>
      <c r="AR1744" s="0" t="n">
        <v>64</v>
      </c>
      <c r="AS1744" s="0" t="n">
        <v>32</v>
      </c>
      <c r="AU1744" s="0" t="n">
        <f aca="false">COUNTA($BA$1044:$EH$1044)</f>
        <v>12</v>
      </c>
      <c r="AV1744" s="0" t="n">
        <f aca="false">COUNTIF($BA$1044:$EH$1044,"D")</f>
        <v>0</v>
      </c>
      <c r="AW1744" s="0" t="n">
        <f aca="false">COUNTIF($BA$1044:$EH$1044,"R")</f>
        <v>1</v>
      </c>
      <c r="AX1744" s="0" t="n">
        <f aca="false">IF(BN1744="D",1,0)+IF(BO1744="D",1,0)+IF(BT1744="D",1,0)+IF(BU1744="D",1,0)+IF(BW1744="D",1,0)+IF(CC1744="D",1,0)+IF(CD1744="D",1,0)+IF(CE1744="D",1,0)+IF(CF1744="D",1,0)+IF(CL1744="D",1,0)+IF(CM1744="D",1,0)+IF(CQ1744="D",1,0)+IF(CR1744="D",1,0)+IF(CS1744="D",1,0)+IF(CW1744="D",1,0)+IF(CX1744="D",1,0)+IF(DD1744="D",1,0)+IF(DE1744="D",1,0)+IF(DJ1744="D",1,0)+IF(DK1744="D",1,0)+IF(DO1744="D",1,0)+IF(DP1744="D",1,0)+IF(DQ1744="D",1,0)+IF(DW1744="D",1,0)+IF(DZ1744="D",1,0)+IF(EH1744="D",1,0)</f>
        <v>0</v>
      </c>
      <c r="AY1744" s="0" t="n">
        <f aca="false">COUNTIF(DU1744:EH1744, "&lt;&gt;")</f>
        <v>4</v>
      </c>
      <c r="AZ1744" s="0" t="n">
        <f aca="false">IF(EH1744&lt;&gt;"",1,0)</f>
        <v>0</v>
      </c>
      <c r="BB1744" s="0" t="s">
        <v>152</v>
      </c>
      <c r="BD1744" s="0" t="s">
        <v>153</v>
      </c>
      <c r="BJ1744" s="0" t="s">
        <v>153</v>
      </c>
      <c r="BL1744" s="0" t="s">
        <v>153</v>
      </c>
      <c r="BP1744" s="0" t="s">
        <v>153</v>
      </c>
      <c r="BS1744" s="0" t="s">
        <v>153</v>
      </c>
      <c r="CA1744" s="0" t="s">
        <v>153</v>
      </c>
      <c r="CN1744" s="0" t="s">
        <v>153</v>
      </c>
      <c r="CP1744" s="0" t="s">
        <v>153</v>
      </c>
      <c r="CY1744" s="0" t="s">
        <v>153</v>
      </c>
      <c r="DC1744" s="0" t="s">
        <v>153</v>
      </c>
      <c r="DI1744" s="0" t="s">
        <v>153</v>
      </c>
      <c r="DL1744" s="0" t="s">
        <v>153</v>
      </c>
      <c r="DN1744" s="0" t="s">
        <v>153</v>
      </c>
      <c r="DU1744" s="0" t="s">
        <v>153</v>
      </c>
      <c r="DX1744" s="0" t="s">
        <v>153</v>
      </c>
      <c r="EA1744" s="0" t="s">
        <v>153</v>
      </c>
      <c r="EF1744" s="0" t="s">
        <v>153</v>
      </c>
    </row>
    <row r="1745" customFormat="false" ht="13.8" hidden="true" customHeight="false" outlineLevel="0" collapsed="false">
      <c r="A1745" s="0" t="s">
        <v>7861</v>
      </c>
      <c r="B1745" s="0" t="n">
        <v>78</v>
      </c>
      <c r="C1745" s="0" t="n">
        <v>301845</v>
      </c>
      <c r="D1745" s="0" t="s">
        <v>7862</v>
      </c>
      <c r="E1745" s="0" t="s">
        <v>1287</v>
      </c>
      <c r="F1745" s="0" t="str">
        <f aca="false">CONCATENATE(D1745," ",LEFT(H1745,4),"T=",AU1745,"D=",AV1745,"R=",AW1745,"M=",AX1745,"L=",AY1745,"B=",AZ1745)</f>
        <v>MCCULLOUGH JRT=30D=7R=0M=0L=0B=0</v>
      </c>
      <c r="H1745" s="0" t="s">
        <v>314</v>
      </c>
      <c r="I1745" s="0" t="s">
        <v>7863</v>
      </c>
      <c r="J1745" s="0" t="s">
        <v>7864</v>
      </c>
      <c r="K1745" s="0" t="s">
        <v>143</v>
      </c>
      <c r="M1745" s="0" t="s">
        <v>7865</v>
      </c>
      <c r="N1745" s="0" t="str">
        <f aca="false">RIGHT(M1745,LEN(M1745)-FIND(" ",M1745))</f>
        <v>OAK KNOLL AVE SE</v>
      </c>
      <c r="P1745" s="0" t="s">
        <v>145</v>
      </c>
      <c r="Q1745" s="0" t="s">
        <v>146</v>
      </c>
      <c r="R1745" s="0" t="n">
        <v>44483</v>
      </c>
      <c r="AD1745" s="0" t="s">
        <v>147</v>
      </c>
      <c r="AE1745" s="0" t="s">
        <v>148</v>
      </c>
      <c r="AF1745" s="0" t="s">
        <v>149</v>
      </c>
      <c r="AH1745" s="0" t="n">
        <v>14</v>
      </c>
      <c r="AI1745" s="0" t="n">
        <v>11</v>
      </c>
      <c r="AN1745" s="0" t="s">
        <v>145</v>
      </c>
      <c r="AO1745" s="0" t="s">
        <v>150</v>
      </c>
      <c r="AP1745" s="0" t="s">
        <v>151</v>
      </c>
      <c r="AQ1745" s="0" t="n">
        <v>9</v>
      </c>
      <c r="AR1745" s="0" t="n">
        <v>64</v>
      </c>
      <c r="AS1745" s="0" t="n">
        <v>32</v>
      </c>
      <c r="AU1745" s="0" t="n">
        <f aca="false">COUNTA($BA$670:$EH$670)</f>
        <v>30</v>
      </c>
      <c r="AV1745" s="0" t="n">
        <f aca="false">COUNTIF($BA$670:$EH$670,"D")</f>
        <v>7</v>
      </c>
      <c r="AW1745" s="0" t="n">
        <f aca="false">COUNTIF($BA$670:$EH$670,"R")</f>
        <v>0</v>
      </c>
      <c r="AX1745" s="0" t="n">
        <f aca="false">IF(BN1745="D",1,0)+IF(BO1745="D",1,0)+IF(BT1745="D",1,0)+IF(BU1745="D",1,0)+IF(BW1745="D",1,0)+IF(CC1745="D",1,0)+IF(CD1745="D",1,0)+IF(CE1745="D",1,0)+IF(CF1745="D",1,0)+IF(CL1745="D",1,0)+IF(CM1745="D",1,0)+IF(CQ1745="D",1,0)+IF(CR1745="D",1,0)+IF(CS1745="D",1,0)+IF(CW1745="D",1,0)+IF(CX1745="D",1,0)+IF(DD1745="D",1,0)+IF(DE1745="D",1,0)+IF(DJ1745="D",1,0)+IF(DK1745="D",1,0)+IF(DO1745="D",1,0)+IF(DP1745="D",1,0)+IF(DQ1745="D",1,0)+IF(DW1745="D",1,0)+IF(DZ1745="D",1,0)+IF(EH1745="D",1,0)</f>
        <v>0</v>
      </c>
      <c r="AY1745" s="0" t="n">
        <f aca="false">COUNTIF(DU1745:EH1745, "&lt;&gt;")</f>
        <v>0</v>
      </c>
      <c r="AZ1745" s="0" t="n">
        <f aca="false">IF(EH1745&lt;&gt;"",1,0)</f>
        <v>0</v>
      </c>
      <c r="BB1745" s="0" t="s">
        <v>152</v>
      </c>
      <c r="CA1745" s="0" t="s">
        <v>153</v>
      </c>
      <c r="CP1745" s="0" t="s">
        <v>153</v>
      </c>
    </row>
    <row r="1746" customFormat="false" ht="13.8" hidden="true" customHeight="false" outlineLevel="0" collapsed="false">
      <c r="A1746" s="0" t="s">
        <v>7866</v>
      </c>
      <c r="B1746" s="0" t="n">
        <v>78</v>
      </c>
      <c r="C1746" s="0" t="n">
        <v>391142</v>
      </c>
      <c r="D1746" s="0" t="s">
        <v>5046</v>
      </c>
      <c r="E1746" s="0" t="s">
        <v>1295</v>
      </c>
      <c r="F1746" s="0" t="str">
        <f aca="false">CONCATENATE(D1746," ",LEFT(H1746,4),"T=",AU1746,"D=",AV1746,"R=",AW1746,"M=",AX1746,"L=",AY1746,"B=",AZ1746)</f>
        <v>RICHARDSON T=45D=13R=0M=0L=1B=0</v>
      </c>
      <c r="G1746" s="0" t="s">
        <v>3018</v>
      </c>
      <c r="I1746" s="0" t="s">
        <v>7867</v>
      </c>
      <c r="J1746" s="0" t="s">
        <v>7868</v>
      </c>
      <c r="K1746" s="0" t="s">
        <v>160</v>
      </c>
      <c r="M1746" s="0" t="s">
        <v>7865</v>
      </c>
      <c r="N1746" s="0" t="str">
        <f aca="false">RIGHT(M1746,LEN(M1746)-FIND(" ",M1746))</f>
        <v>OAK KNOLL AVE SE</v>
      </c>
      <c r="P1746" s="0" t="s">
        <v>145</v>
      </c>
      <c r="Q1746" s="0" t="s">
        <v>146</v>
      </c>
      <c r="R1746" s="0" t="n">
        <v>44483</v>
      </c>
      <c r="AD1746" s="0" t="s">
        <v>147</v>
      </c>
      <c r="AE1746" s="0" t="s">
        <v>148</v>
      </c>
      <c r="AF1746" s="0" t="s">
        <v>149</v>
      </c>
      <c r="AH1746" s="0" t="n">
        <v>14</v>
      </c>
      <c r="AI1746" s="0" t="n">
        <v>11</v>
      </c>
      <c r="AN1746" s="0" t="s">
        <v>145</v>
      </c>
      <c r="AO1746" s="0" t="s">
        <v>150</v>
      </c>
      <c r="AP1746" s="0" t="s">
        <v>151</v>
      </c>
      <c r="AQ1746" s="0" t="n">
        <v>9</v>
      </c>
      <c r="AR1746" s="0" t="n">
        <v>64</v>
      </c>
      <c r="AS1746" s="0" t="n">
        <v>32</v>
      </c>
      <c r="AU1746" s="0" t="n">
        <f aca="false">COUNTA($BA$821:$EH$821)</f>
        <v>45</v>
      </c>
      <c r="AV1746" s="0" t="n">
        <f aca="false">COUNTIF($BA$821:$EH$821,"D")</f>
        <v>13</v>
      </c>
      <c r="AW1746" s="0" t="n">
        <f aca="false">COUNTIF($BA$821:$EH$821,"R")</f>
        <v>0</v>
      </c>
      <c r="AX1746" s="0" t="n">
        <f aca="false">IF(BN1746="D",1,0)+IF(BO1746="D",1,0)+IF(BT1746="D",1,0)+IF(BU1746="D",1,0)+IF(BW1746="D",1,0)+IF(CC1746="D",1,0)+IF(CD1746="D",1,0)+IF(CE1746="D",1,0)+IF(CF1746="D",1,0)+IF(CL1746="D",1,0)+IF(CM1746="D",1,0)+IF(CQ1746="D",1,0)+IF(CR1746="D",1,0)+IF(CS1746="D",1,0)+IF(CW1746="D",1,0)+IF(CX1746="D",1,0)+IF(DD1746="D",1,0)+IF(DE1746="D",1,0)+IF(DJ1746="D",1,0)+IF(DK1746="D",1,0)+IF(DO1746="D",1,0)+IF(DP1746="D",1,0)+IF(DQ1746="D",1,0)+IF(DW1746="D",1,0)+IF(DZ1746="D",1,0)+IF(EH1746="D",1,0)</f>
        <v>0</v>
      </c>
      <c r="AY1746" s="0" t="n">
        <f aca="false">COUNTIF(DU1746:EH1746, "&lt;&gt;")</f>
        <v>1</v>
      </c>
      <c r="AZ1746" s="0" t="n">
        <f aca="false">IF(EH1746&lt;&gt;"",1,0)</f>
        <v>0</v>
      </c>
      <c r="BB1746" s="0" t="s">
        <v>152</v>
      </c>
      <c r="EF1746" s="0" t="s">
        <v>153</v>
      </c>
    </row>
    <row r="1747" customFormat="false" ht="13.8" hidden="false" customHeight="false" outlineLevel="0" collapsed="false">
      <c r="A1747" s="0" t="s">
        <v>7869</v>
      </c>
      <c r="B1747" s="0" t="n">
        <v>78</v>
      </c>
      <c r="C1747" s="0" t="n">
        <v>12309</v>
      </c>
      <c r="D1747" s="0" t="s">
        <v>7870</v>
      </c>
      <c r="E1747" s="0" t="s">
        <v>1404</v>
      </c>
      <c r="F1747" s="0" t="str">
        <f aca="false">CONCATENATE(D1747," ",LEFT(H1747,4),"T=",AU1747,"D=",AV1747,"R=",AW1747,"M=",AX1747,"L=",AY1747,"B=",AZ1747)</f>
        <v>BOURNIAS T=33D=8R=0M=3L=6B=1</v>
      </c>
      <c r="G1747" s="0" t="s">
        <v>670</v>
      </c>
      <c r="I1747" s="0" t="s">
        <v>7871</v>
      </c>
      <c r="J1747" s="0" t="s">
        <v>1433</v>
      </c>
      <c r="K1747" s="0" t="s">
        <v>160</v>
      </c>
      <c r="L1747" s="0" t="s">
        <v>175</v>
      </c>
      <c r="M1747" s="0" t="s">
        <v>7872</v>
      </c>
      <c r="N1747" s="0" t="str">
        <f aca="false">RIGHT(M1747,LEN(M1747)-FIND(" ",M1747))</f>
        <v>OAK KNOLL AVE SE</v>
      </c>
      <c r="P1747" s="0" t="s">
        <v>145</v>
      </c>
      <c r="Q1747" s="0" t="s">
        <v>146</v>
      </c>
      <c r="R1747" s="0" t="n">
        <v>44483</v>
      </c>
      <c r="AD1747" s="0" t="s">
        <v>147</v>
      </c>
      <c r="AE1747" s="0" t="s">
        <v>148</v>
      </c>
      <c r="AF1747" s="0" t="s">
        <v>149</v>
      </c>
      <c r="AH1747" s="0" t="n">
        <v>14</v>
      </c>
      <c r="AI1747" s="0" t="n">
        <v>11</v>
      </c>
      <c r="AN1747" s="0" t="s">
        <v>145</v>
      </c>
      <c r="AO1747" s="0" t="s">
        <v>150</v>
      </c>
      <c r="AP1747" s="0" t="s">
        <v>151</v>
      </c>
      <c r="AQ1747" s="0" t="n">
        <v>9</v>
      </c>
      <c r="AR1747" s="0" t="n">
        <v>64</v>
      </c>
      <c r="AS1747" s="0" t="n">
        <v>32</v>
      </c>
      <c r="AU1747" s="0" t="n">
        <f aca="false">COUNTA($BA$1042:$EH$1042)</f>
        <v>33</v>
      </c>
      <c r="AV1747" s="0" t="n">
        <f aca="false">COUNTIF($BA$1042:$EH$1042,"D")</f>
        <v>8</v>
      </c>
      <c r="AW1747" s="0" t="n">
        <f aca="false">COUNTIF($BA$1042:$EH$1042,"R")</f>
        <v>0</v>
      </c>
      <c r="AX1747" s="0" t="n">
        <f aca="false">IF(BN1747="D",1,0)+IF(BO1747="D",1,0)+IF(BT1747="D",1,0)+IF(BU1747="D",1,0)+IF(BW1747="D",1,0)+IF(CC1747="D",1,0)+IF(CD1747="D",1,0)+IF(CE1747="D",1,0)+IF(CF1747="D",1,0)+IF(CL1747="D",1,0)+IF(CM1747="D",1,0)+IF(CQ1747="D",1,0)+IF(CR1747="D",1,0)+IF(CS1747="D",1,0)+IF(CW1747="D",1,0)+IF(CX1747="D",1,0)+IF(DD1747="D",1,0)+IF(DE1747="D",1,0)+IF(DJ1747="D",1,0)+IF(DK1747="D",1,0)+IF(DO1747="D",1,0)+IF(DP1747="D",1,0)+IF(DQ1747="D",1,0)+IF(DW1747="D",1,0)+IF(DZ1747="D",1,0)+IF(EH1747="D",1,0)</f>
        <v>3</v>
      </c>
      <c r="AY1747" s="0" t="n">
        <f aca="false">COUNTIF(DU1747:EH1747, "&lt;&gt;")</f>
        <v>6</v>
      </c>
      <c r="AZ1747" s="0" t="n">
        <f aca="false">IF(EH1747&lt;&gt;"",1,0)</f>
        <v>1</v>
      </c>
      <c r="BB1747" s="0" t="s">
        <v>152</v>
      </c>
      <c r="BC1747" s="0" t="s">
        <v>153</v>
      </c>
      <c r="BD1747" s="0" t="s">
        <v>153</v>
      </c>
      <c r="BE1747" s="0" t="s">
        <v>153</v>
      </c>
      <c r="BF1747" s="0" t="s">
        <v>153</v>
      </c>
      <c r="BH1747" s="0" t="s">
        <v>153</v>
      </c>
      <c r="BI1747" s="0" t="s">
        <v>153</v>
      </c>
      <c r="BJ1747" s="0" t="s">
        <v>153</v>
      </c>
      <c r="BK1747" s="0" t="s">
        <v>153</v>
      </c>
      <c r="BL1747" s="0" t="s">
        <v>153</v>
      </c>
      <c r="BP1747" s="0" t="s">
        <v>153</v>
      </c>
      <c r="BR1747" s="0" t="s">
        <v>153</v>
      </c>
      <c r="BS1747" s="0" t="s">
        <v>153</v>
      </c>
      <c r="CA1747" s="0" t="s">
        <v>153</v>
      </c>
      <c r="CK1747" s="0" t="s">
        <v>153</v>
      </c>
      <c r="CL1747" s="0" t="s">
        <v>175</v>
      </c>
      <c r="CN1747" s="0" t="s">
        <v>153</v>
      </c>
      <c r="CP1747" s="0" t="s">
        <v>153</v>
      </c>
      <c r="CQ1747" s="0" t="s">
        <v>175</v>
      </c>
      <c r="CV1747" s="0" t="s">
        <v>153</v>
      </c>
      <c r="CZ1747" s="0" t="s">
        <v>175</v>
      </c>
      <c r="DC1747" s="0" t="s">
        <v>153</v>
      </c>
      <c r="DF1747" s="0" t="s">
        <v>153</v>
      </c>
      <c r="DI1747" s="0" t="s">
        <v>153</v>
      </c>
      <c r="DL1747" s="0" t="s">
        <v>153</v>
      </c>
      <c r="DM1747" s="0" t="s">
        <v>175</v>
      </c>
      <c r="DN1747" s="0" t="s">
        <v>153</v>
      </c>
      <c r="DT1747" s="0" t="s">
        <v>175</v>
      </c>
      <c r="DU1747" s="0" t="s">
        <v>153</v>
      </c>
      <c r="DX1747" s="0" t="s">
        <v>153</v>
      </c>
      <c r="EA1747" s="0" t="s">
        <v>153</v>
      </c>
      <c r="ED1747" s="0" t="s">
        <v>175</v>
      </c>
      <c r="EF1747" s="0" t="s">
        <v>153</v>
      </c>
      <c r="EH1747" s="0" t="s">
        <v>175</v>
      </c>
    </row>
    <row r="1748" customFormat="false" ht="13.8" hidden="true" customHeight="false" outlineLevel="0" collapsed="false">
      <c r="A1748" s="0" t="s">
        <v>7873</v>
      </c>
      <c r="B1748" s="0" t="n">
        <v>78</v>
      </c>
      <c r="C1748" s="0" t="n">
        <v>306834</v>
      </c>
      <c r="D1748" s="0" t="s">
        <v>7421</v>
      </c>
      <c r="E1748" s="0" t="s">
        <v>379</v>
      </c>
      <c r="F1748" s="0" t="str">
        <f aca="false">CONCATENATE(D1748," ",LEFT(H1748,4),"T=",AU1748,"D=",AV1748,"R=",AW1748,"M=",AX1748,"L=",AY1748,"B=",AZ1748)</f>
        <v>SHAFFER T=6D=1R=0M=0L=1B=0</v>
      </c>
      <c r="I1748" s="0" t="s">
        <v>7874</v>
      </c>
      <c r="J1748" s="0" t="s">
        <v>7875</v>
      </c>
      <c r="K1748" s="0" t="s">
        <v>160</v>
      </c>
      <c r="M1748" s="0" t="s">
        <v>7876</v>
      </c>
      <c r="N1748" s="0" t="str">
        <f aca="false">RIGHT(M1748,LEN(M1748)-FIND(" ",M1748))</f>
        <v>OAK KNOLL AVE SE</v>
      </c>
      <c r="P1748" s="0" t="s">
        <v>145</v>
      </c>
      <c r="Q1748" s="0" t="s">
        <v>146</v>
      </c>
      <c r="R1748" s="0" t="n">
        <v>44483</v>
      </c>
      <c r="AD1748" s="0" t="s">
        <v>147</v>
      </c>
      <c r="AE1748" s="0" t="s">
        <v>148</v>
      </c>
      <c r="AF1748" s="0" t="s">
        <v>149</v>
      </c>
      <c r="AH1748" s="0" t="n">
        <v>14</v>
      </c>
      <c r="AI1748" s="0" t="n">
        <v>11</v>
      </c>
      <c r="AN1748" s="0" t="s">
        <v>145</v>
      </c>
      <c r="AO1748" s="0" t="s">
        <v>150</v>
      </c>
      <c r="AP1748" s="0" t="s">
        <v>151</v>
      </c>
      <c r="AQ1748" s="0" t="n">
        <v>9</v>
      </c>
      <c r="AR1748" s="0" t="n">
        <v>64</v>
      </c>
      <c r="AS1748" s="0" t="n">
        <v>32</v>
      </c>
      <c r="AU1748" s="0" t="n">
        <f aca="false">COUNTA($BA$81:$EH$81)</f>
        <v>6</v>
      </c>
      <c r="AV1748" s="0" t="n">
        <f aca="false">COUNTIF($BA$81:$EH$81,"D")</f>
        <v>1</v>
      </c>
      <c r="AW1748" s="0" t="n">
        <f aca="false">COUNTIF($BA$81:$EH$81,"R")</f>
        <v>0</v>
      </c>
      <c r="AX1748" s="0" t="n">
        <f aca="false">IF(BN1748="D",1,0)+IF(BO1748="D",1,0)+IF(BT1748="D",1,0)+IF(BU1748="D",1,0)+IF(BW1748="D",1,0)+IF(CC1748="D",1,0)+IF(CD1748="D",1,0)+IF(CE1748="D",1,0)+IF(CF1748="D",1,0)+IF(CL1748="D",1,0)+IF(CM1748="D",1,0)+IF(CQ1748="D",1,0)+IF(CR1748="D",1,0)+IF(CS1748="D",1,0)+IF(CW1748="D",1,0)+IF(CX1748="D",1,0)+IF(DD1748="D",1,0)+IF(DE1748="D",1,0)+IF(DJ1748="D",1,0)+IF(DK1748="D",1,0)+IF(DO1748="D",1,0)+IF(DP1748="D",1,0)+IF(DQ1748="D",1,0)+IF(DW1748="D",1,0)+IF(DZ1748="D",1,0)+IF(EH1748="D",1,0)</f>
        <v>0</v>
      </c>
      <c r="AY1748" s="0" t="n">
        <f aca="false">COUNTIF(DU1748:EH1748, "&lt;&gt;")</f>
        <v>1</v>
      </c>
      <c r="AZ1748" s="0" t="n">
        <f aca="false">IF(EH1748&lt;&gt;"",1,0)</f>
        <v>0</v>
      </c>
      <c r="BB1748" s="0" t="s">
        <v>152</v>
      </c>
      <c r="CA1748" s="0" t="s">
        <v>153</v>
      </c>
      <c r="DC1748" s="0" t="s">
        <v>153</v>
      </c>
      <c r="EF1748" s="0" t="s">
        <v>153</v>
      </c>
    </row>
    <row r="1749" customFormat="false" ht="13.8" hidden="false" customHeight="false" outlineLevel="0" collapsed="false">
      <c r="A1749" s="0" t="s">
        <v>7877</v>
      </c>
      <c r="B1749" s="0" t="n">
        <v>78</v>
      </c>
      <c r="C1749" s="0" t="n">
        <v>398255</v>
      </c>
      <c r="D1749" s="0" t="s">
        <v>7421</v>
      </c>
      <c r="E1749" s="0" t="s">
        <v>775</v>
      </c>
      <c r="F1749" s="0" t="str">
        <f aca="false">CONCATENATE(D1749," ",LEFT(H1749,4),"T=",AU1749,"D=",AV1749,"R=",AW1749,"M=",AX1749,"L=",AY1749,"B=",AZ1749)</f>
        <v>SHAFFER T=1D=0R=0M=0L=3B=0</v>
      </c>
      <c r="G1749" s="0" t="s">
        <v>190</v>
      </c>
      <c r="I1749" s="0" t="s">
        <v>7878</v>
      </c>
      <c r="J1749" s="0" t="s">
        <v>3386</v>
      </c>
      <c r="K1749" s="0" t="s">
        <v>160</v>
      </c>
      <c r="M1749" s="0" t="s">
        <v>7876</v>
      </c>
      <c r="N1749" s="0" t="str">
        <f aca="false">RIGHT(M1749,LEN(M1749)-FIND(" ",M1749))</f>
        <v>OAK KNOLL AVE SE</v>
      </c>
      <c r="P1749" s="0" t="s">
        <v>145</v>
      </c>
      <c r="Q1749" s="0" t="s">
        <v>146</v>
      </c>
      <c r="R1749" s="0" t="n">
        <v>44483</v>
      </c>
      <c r="AD1749" s="0" t="s">
        <v>147</v>
      </c>
      <c r="AE1749" s="0" t="s">
        <v>148</v>
      </c>
      <c r="AF1749" s="0" t="s">
        <v>149</v>
      </c>
      <c r="AH1749" s="0" t="n">
        <v>14</v>
      </c>
      <c r="AI1749" s="0" t="n">
        <v>11</v>
      </c>
      <c r="AN1749" s="0" t="s">
        <v>145</v>
      </c>
      <c r="AO1749" s="0" t="s">
        <v>150</v>
      </c>
      <c r="AP1749" s="0" t="s">
        <v>151</v>
      </c>
      <c r="AQ1749" s="0" t="n">
        <v>9</v>
      </c>
      <c r="AR1749" s="0" t="n">
        <v>64</v>
      </c>
      <c r="AS1749" s="0" t="n">
        <v>32</v>
      </c>
      <c r="AU1749" s="0" t="n">
        <f aca="false">COUNTA($BA$431:$EH$431)</f>
        <v>1</v>
      </c>
      <c r="AV1749" s="0" t="n">
        <f aca="false">COUNTIF($BA$431:$EH$431,"D")</f>
        <v>0</v>
      </c>
      <c r="AW1749" s="0" t="n">
        <f aca="false">COUNTIF($BA$431:$EH$431,"R")</f>
        <v>0</v>
      </c>
      <c r="AX1749" s="0" t="n">
        <f aca="false">IF(BN1749="D",1,0)+IF(BO1749="D",1,0)+IF(BT1749="D",1,0)+IF(BU1749="D",1,0)+IF(BW1749="D",1,0)+IF(CC1749="D",1,0)+IF(CD1749="D",1,0)+IF(CE1749="D",1,0)+IF(CF1749="D",1,0)+IF(CL1749="D",1,0)+IF(CM1749="D",1,0)+IF(CQ1749="D",1,0)+IF(CR1749="D",1,0)+IF(CS1749="D",1,0)+IF(CW1749="D",1,0)+IF(CX1749="D",1,0)+IF(DD1749="D",1,0)+IF(DE1749="D",1,0)+IF(DJ1749="D",1,0)+IF(DK1749="D",1,0)+IF(DO1749="D",1,0)+IF(DP1749="D",1,0)+IF(DQ1749="D",1,0)+IF(DW1749="D",1,0)+IF(DZ1749="D",1,0)+IF(EH1749="D",1,0)</f>
        <v>0</v>
      </c>
      <c r="AY1749" s="0" t="n">
        <f aca="false">COUNTIF(DU1749:EH1749, "&lt;&gt;")</f>
        <v>3</v>
      </c>
      <c r="AZ1749" s="0" t="n">
        <f aca="false">IF(EH1749&lt;&gt;"",1,0)</f>
        <v>0</v>
      </c>
      <c r="BB1749" s="0" t="s">
        <v>152</v>
      </c>
      <c r="BD1749" s="0" t="s">
        <v>153</v>
      </c>
      <c r="BF1749" s="0" t="s">
        <v>153</v>
      </c>
      <c r="BG1749" s="0" t="s">
        <v>209</v>
      </c>
      <c r="BH1749" s="0" t="s">
        <v>153</v>
      </c>
      <c r="BL1749" s="0" t="s">
        <v>153</v>
      </c>
      <c r="CA1749" s="0" t="s">
        <v>153</v>
      </c>
      <c r="DN1749" s="0" t="s">
        <v>153</v>
      </c>
      <c r="DX1749" s="0" t="s">
        <v>153</v>
      </c>
      <c r="EA1749" s="0" t="s">
        <v>153</v>
      </c>
      <c r="EF1749" s="0" t="s">
        <v>153</v>
      </c>
    </row>
    <row r="1750" customFormat="false" ht="13.8" hidden="true" customHeight="false" outlineLevel="0" collapsed="false">
      <c r="A1750" s="0" t="s">
        <v>7879</v>
      </c>
      <c r="B1750" s="0" t="n">
        <v>78</v>
      </c>
      <c r="C1750" s="0" t="n">
        <v>312844</v>
      </c>
      <c r="D1750" s="0" t="s">
        <v>5560</v>
      </c>
      <c r="E1750" s="0" t="s">
        <v>1276</v>
      </c>
      <c r="F1750" s="0" t="str">
        <f aca="false">CONCATENATE(D1750," ",LEFT(H1750,4),"T=",AU1750,"D=",AV1750,"R=",AW1750,"M=",AX1750,"L=",AY1750,"B=",AZ1750)</f>
        <v>FOSTER T=4D=0R=0M=0L=0B=0</v>
      </c>
      <c r="G1750" s="0" t="s">
        <v>670</v>
      </c>
      <c r="I1750" s="0" t="s">
        <v>7880</v>
      </c>
      <c r="J1750" s="0" t="s">
        <v>7881</v>
      </c>
      <c r="K1750" s="0" t="s">
        <v>143</v>
      </c>
      <c r="M1750" s="0" t="s">
        <v>7882</v>
      </c>
      <c r="N1750" s="0" t="str">
        <f aca="false">RIGHT(M1750,LEN(M1750)-FIND(" ",M1750))</f>
        <v>OAK KNOLL AVE SE</v>
      </c>
      <c r="P1750" s="0" t="s">
        <v>145</v>
      </c>
      <c r="Q1750" s="0" t="s">
        <v>146</v>
      </c>
      <c r="R1750" s="0" t="n">
        <v>44483</v>
      </c>
      <c r="AD1750" s="0" t="s">
        <v>147</v>
      </c>
      <c r="AE1750" s="0" t="s">
        <v>148</v>
      </c>
      <c r="AF1750" s="0" t="s">
        <v>149</v>
      </c>
      <c r="AH1750" s="0" t="n">
        <v>14</v>
      </c>
      <c r="AI1750" s="0" t="n">
        <v>11</v>
      </c>
      <c r="AN1750" s="0" t="s">
        <v>145</v>
      </c>
      <c r="AO1750" s="0" t="s">
        <v>150</v>
      </c>
      <c r="AP1750" s="0" t="s">
        <v>151</v>
      </c>
      <c r="AQ1750" s="0" t="n">
        <v>9</v>
      </c>
      <c r="AR1750" s="0" t="n">
        <v>64</v>
      </c>
      <c r="AS1750" s="0" t="n">
        <v>32</v>
      </c>
      <c r="AU1750" s="0" t="n">
        <f aca="false">COUNTA($BA$80:$EH$80)</f>
        <v>4</v>
      </c>
      <c r="AV1750" s="0" t="n">
        <f aca="false">COUNTIF($BA$80:$EH$80,"D")</f>
        <v>0</v>
      </c>
      <c r="AW1750" s="0" t="n">
        <f aca="false">COUNTIF($BA$80:$EH$80,"R")</f>
        <v>0</v>
      </c>
      <c r="AX1750" s="0" t="n">
        <f aca="false">IF(BN1750="D",1,0)+IF(BO1750="D",1,0)+IF(BT1750="D",1,0)+IF(BU1750="D",1,0)+IF(BW1750="D",1,0)+IF(CC1750="D",1,0)+IF(CD1750="D",1,0)+IF(CE1750="D",1,0)+IF(CF1750="D",1,0)+IF(CL1750="D",1,0)+IF(CM1750="D",1,0)+IF(CQ1750="D",1,0)+IF(CR1750="D",1,0)+IF(CS1750="D",1,0)+IF(CW1750="D",1,0)+IF(CX1750="D",1,0)+IF(DD1750="D",1,0)+IF(DE1750="D",1,0)+IF(DJ1750="D",1,0)+IF(DK1750="D",1,0)+IF(DO1750="D",1,0)+IF(DP1750="D",1,0)+IF(DQ1750="D",1,0)+IF(DW1750="D",1,0)+IF(DZ1750="D",1,0)+IF(EH1750="D",1,0)</f>
        <v>0</v>
      </c>
      <c r="AY1750" s="0" t="n">
        <f aca="false">COUNTIF(DU1750:EH1750, "&lt;&gt;")</f>
        <v>0</v>
      </c>
      <c r="AZ1750" s="0" t="n">
        <f aca="false">IF(EH1750&lt;&gt;"",1,0)</f>
        <v>0</v>
      </c>
      <c r="BB1750" s="0" t="s">
        <v>152</v>
      </c>
      <c r="BK1750" s="0" t="s">
        <v>153</v>
      </c>
      <c r="BL1750" s="0" t="s">
        <v>153</v>
      </c>
      <c r="BP1750" s="0" t="s">
        <v>153</v>
      </c>
      <c r="BR1750" s="0" t="s">
        <v>153</v>
      </c>
      <c r="BS1750" s="0" t="s">
        <v>153</v>
      </c>
      <c r="CA1750" s="0" t="s">
        <v>153</v>
      </c>
      <c r="CN1750" s="0" t="s">
        <v>153</v>
      </c>
      <c r="CP1750" s="0" t="s">
        <v>153</v>
      </c>
      <c r="CZ1750" s="0" t="s">
        <v>175</v>
      </c>
    </row>
    <row r="1751" customFormat="false" ht="13.8" hidden="true" customHeight="false" outlineLevel="0" collapsed="false">
      <c r="A1751" s="0" t="s">
        <v>7883</v>
      </c>
      <c r="B1751" s="0" t="n">
        <v>78</v>
      </c>
      <c r="C1751" s="0" t="n">
        <v>421608</v>
      </c>
      <c r="D1751" s="0" t="s">
        <v>770</v>
      </c>
      <c r="E1751" s="0" t="s">
        <v>551</v>
      </c>
      <c r="F1751" s="0" t="str">
        <f aca="false">CONCATENATE(D1751," ",LEFT(H1751,4),"T=",AU1751,"D=",AV1751,"R=",AW1751,"M=",AX1751,"L=",AY1751,"B=",AZ1751)</f>
        <v>ALLEN T=14D=0R=0M=0L=0B=0</v>
      </c>
      <c r="G1751" s="0" t="s">
        <v>362</v>
      </c>
      <c r="I1751" s="0" t="s">
        <v>7884</v>
      </c>
      <c r="J1751" s="0" t="s">
        <v>7885</v>
      </c>
      <c r="K1751" s="0" t="s">
        <v>160</v>
      </c>
      <c r="M1751" s="0" t="s">
        <v>7886</v>
      </c>
      <c r="N1751" s="0" t="str">
        <f aca="false">RIGHT(M1751,LEN(M1751)-FIND(" ",M1751))</f>
        <v>OAK KNOLL AVE SE</v>
      </c>
      <c r="P1751" s="0" t="s">
        <v>145</v>
      </c>
      <c r="Q1751" s="0" t="s">
        <v>146</v>
      </c>
      <c r="R1751" s="0" t="n">
        <v>44483</v>
      </c>
      <c r="AD1751" s="0" t="s">
        <v>147</v>
      </c>
      <c r="AE1751" s="0" t="s">
        <v>148</v>
      </c>
      <c r="AF1751" s="0" t="s">
        <v>149</v>
      </c>
      <c r="AH1751" s="0" t="n">
        <v>14</v>
      </c>
      <c r="AI1751" s="0" t="n">
        <v>11</v>
      </c>
      <c r="AN1751" s="0" t="s">
        <v>145</v>
      </c>
      <c r="AO1751" s="0" t="s">
        <v>150</v>
      </c>
      <c r="AP1751" s="0" t="s">
        <v>151</v>
      </c>
      <c r="AQ1751" s="0" t="n">
        <v>9</v>
      </c>
      <c r="AR1751" s="0" t="n">
        <v>64</v>
      </c>
      <c r="AS1751" s="0" t="n">
        <v>32</v>
      </c>
      <c r="AU1751" s="0" t="n">
        <f aca="false">COUNTA($BA$859:$EH$859)</f>
        <v>14</v>
      </c>
      <c r="AV1751" s="0" t="n">
        <f aca="false">COUNTIF($BA$859:$EH$859,"D")</f>
        <v>0</v>
      </c>
      <c r="AW1751" s="0" t="n">
        <f aca="false">COUNTIF($BA$859:$EH$859,"R")</f>
        <v>0</v>
      </c>
      <c r="AX1751" s="0" t="n">
        <f aca="false">IF(BN1751="D",1,0)+IF(BO1751="D",1,0)+IF(BT1751="D",1,0)+IF(BU1751="D",1,0)+IF(BW1751="D",1,0)+IF(CC1751="D",1,0)+IF(CD1751="D",1,0)+IF(CE1751="D",1,0)+IF(CF1751="D",1,0)+IF(CL1751="D",1,0)+IF(CM1751="D",1,0)+IF(CQ1751="D",1,0)+IF(CR1751="D",1,0)+IF(CS1751="D",1,0)+IF(CW1751="D",1,0)+IF(CX1751="D",1,0)+IF(DD1751="D",1,0)+IF(DE1751="D",1,0)+IF(DJ1751="D",1,0)+IF(DK1751="D",1,0)+IF(DO1751="D",1,0)+IF(DP1751="D",1,0)+IF(DQ1751="D",1,0)+IF(DW1751="D",1,0)+IF(DZ1751="D",1,0)+IF(EH1751="D",1,0)</f>
        <v>0</v>
      </c>
      <c r="AY1751" s="0" t="n">
        <f aca="false">COUNTIF(DU1751:EH1751, "&lt;&gt;")</f>
        <v>0</v>
      </c>
      <c r="AZ1751" s="0" t="n">
        <f aca="false">IF(EH1751&lt;&gt;"",1,0)</f>
        <v>0</v>
      </c>
      <c r="BB1751" s="0" t="s">
        <v>152</v>
      </c>
    </row>
    <row r="1752" customFormat="false" ht="13.8" hidden="true" customHeight="false" outlineLevel="0" collapsed="false">
      <c r="A1752" s="0" t="s">
        <v>7887</v>
      </c>
      <c r="B1752" s="0" t="n">
        <v>78</v>
      </c>
      <c r="C1752" s="0" t="n">
        <v>475385</v>
      </c>
      <c r="D1752" s="0" t="s">
        <v>6295</v>
      </c>
      <c r="E1752" s="0" t="s">
        <v>324</v>
      </c>
      <c r="F1752" s="0" t="str">
        <f aca="false">CONCATENATE(D1752," ",LEFT(H1752,4),"T=",AU1752,"D=",AV1752,"R=",AW1752,"M=",AX1752,"L=",AY1752,"B=",AZ1752)</f>
        <v>COLE T=1D=0R=0M=0L=0B=0</v>
      </c>
      <c r="G1752" s="0" t="s">
        <v>686</v>
      </c>
      <c r="I1752" s="0" t="s">
        <v>7888</v>
      </c>
      <c r="J1752" s="0" t="s">
        <v>7889</v>
      </c>
      <c r="K1752" s="0" t="s">
        <v>160</v>
      </c>
      <c r="M1752" s="0" t="s">
        <v>7890</v>
      </c>
      <c r="N1752" s="0" t="str">
        <f aca="false">RIGHT(M1752,LEN(M1752)-FIND(" ",M1752))</f>
        <v>OAK KNOLL AVE SE</v>
      </c>
      <c r="P1752" s="0" t="s">
        <v>145</v>
      </c>
      <c r="Q1752" s="0" t="s">
        <v>146</v>
      </c>
      <c r="R1752" s="0" t="n">
        <v>44483</v>
      </c>
      <c r="AD1752" s="0" t="s">
        <v>147</v>
      </c>
      <c r="AE1752" s="0" t="s">
        <v>148</v>
      </c>
      <c r="AF1752" s="0" t="s">
        <v>149</v>
      </c>
      <c r="AH1752" s="0" t="n">
        <v>14</v>
      </c>
      <c r="AI1752" s="0" t="n">
        <v>11</v>
      </c>
      <c r="AN1752" s="0" t="s">
        <v>145</v>
      </c>
      <c r="AO1752" s="0" t="s">
        <v>150</v>
      </c>
      <c r="AP1752" s="0" t="s">
        <v>151</v>
      </c>
      <c r="AQ1752" s="0" t="n">
        <v>9</v>
      </c>
      <c r="AR1752" s="0" t="n">
        <v>64</v>
      </c>
      <c r="AS1752" s="0" t="n">
        <v>32</v>
      </c>
      <c r="AU1752" s="0" t="n">
        <f aca="false">COUNTA($BA$555:$EH$555)</f>
        <v>1</v>
      </c>
      <c r="AV1752" s="0" t="n">
        <f aca="false">COUNTIF($BA$555:$EH$555,"D")</f>
        <v>0</v>
      </c>
      <c r="AW1752" s="0" t="n">
        <f aca="false">COUNTIF($BA$555:$EH$555,"R")</f>
        <v>0</v>
      </c>
      <c r="AX1752" s="0" t="n">
        <f aca="false">IF(BN1752="D",1,0)+IF(BO1752="D",1,0)+IF(BT1752="D",1,0)+IF(BU1752="D",1,0)+IF(BW1752="D",1,0)+IF(CC1752="D",1,0)+IF(CD1752="D",1,0)+IF(CE1752="D",1,0)+IF(CF1752="D",1,0)+IF(CL1752="D",1,0)+IF(CM1752="D",1,0)+IF(CQ1752="D",1,0)+IF(CR1752="D",1,0)+IF(CS1752="D",1,0)+IF(CW1752="D",1,0)+IF(CX1752="D",1,0)+IF(DD1752="D",1,0)+IF(DE1752="D",1,0)+IF(DJ1752="D",1,0)+IF(DK1752="D",1,0)+IF(DO1752="D",1,0)+IF(DP1752="D",1,0)+IF(DQ1752="D",1,0)+IF(DW1752="D",1,0)+IF(DZ1752="D",1,0)+IF(EH1752="D",1,0)</f>
        <v>0</v>
      </c>
      <c r="AY1752" s="0" t="n">
        <f aca="false">COUNTIF(DU1752:EH1752, "&lt;&gt;")</f>
        <v>0</v>
      </c>
      <c r="AZ1752" s="0" t="n">
        <f aca="false">IF(EH1752&lt;&gt;"",1,0)</f>
        <v>0</v>
      </c>
      <c r="BB1752" s="0" t="s">
        <v>152</v>
      </c>
    </row>
    <row r="1753" customFormat="false" ht="13.8" hidden="false" customHeight="false" outlineLevel="0" collapsed="false">
      <c r="A1753" s="0" t="s">
        <v>7891</v>
      </c>
      <c r="B1753" s="0" t="n">
        <v>78</v>
      </c>
      <c r="C1753" s="0" t="n">
        <v>316030</v>
      </c>
      <c r="D1753" s="0" t="s">
        <v>7892</v>
      </c>
      <c r="E1753" s="0" t="s">
        <v>7893</v>
      </c>
      <c r="F1753" s="0" t="str">
        <f aca="false">CONCATENATE(D1753," ",LEFT(H1753,4),"T=",AU1753,"D=",AV1753,"R=",AW1753,"M=",AX1753,"L=",AY1753,"B=",AZ1753)</f>
        <v>CIBELLA T=1D=0R=0M=0L=3B=0</v>
      </c>
      <c r="G1753" s="0" t="s">
        <v>171</v>
      </c>
      <c r="I1753" s="0" t="s">
        <v>7894</v>
      </c>
      <c r="J1753" s="0" t="s">
        <v>7406</v>
      </c>
      <c r="K1753" s="0" t="s">
        <v>160</v>
      </c>
      <c r="M1753" s="0" t="s">
        <v>7895</v>
      </c>
      <c r="N1753" s="0" t="str">
        <f aca="false">RIGHT(M1753,LEN(M1753)-FIND(" ",M1753))</f>
        <v>OAK KNOLL AVE SE</v>
      </c>
      <c r="P1753" s="0" t="s">
        <v>145</v>
      </c>
      <c r="Q1753" s="0" t="s">
        <v>146</v>
      </c>
      <c r="R1753" s="0" t="n">
        <v>44483</v>
      </c>
      <c r="AD1753" s="0" t="s">
        <v>147</v>
      </c>
      <c r="AE1753" s="0" t="s">
        <v>148</v>
      </c>
      <c r="AF1753" s="0" t="s">
        <v>149</v>
      </c>
      <c r="AH1753" s="0" t="n">
        <v>14</v>
      </c>
      <c r="AI1753" s="0" t="n">
        <v>11</v>
      </c>
      <c r="AN1753" s="0" t="s">
        <v>145</v>
      </c>
      <c r="AO1753" s="0" t="s">
        <v>150</v>
      </c>
      <c r="AP1753" s="0" t="s">
        <v>151</v>
      </c>
      <c r="AQ1753" s="0" t="n">
        <v>9</v>
      </c>
      <c r="AR1753" s="0" t="n">
        <v>64</v>
      </c>
      <c r="AS1753" s="0" t="n">
        <v>32</v>
      </c>
      <c r="AU1753" s="0" t="n">
        <f aca="false">COUNTA($BA$1030:$EH$1030)</f>
        <v>1</v>
      </c>
      <c r="AV1753" s="0" t="n">
        <f aca="false">COUNTIF($BA$1030:$EH$1030,"D")</f>
        <v>0</v>
      </c>
      <c r="AW1753" s="0" t="n">
        <f aca="false">COUNTIF($BA$1030:$EH$1030,"R")</f>
        <v>0</v>
      </c>
      <c r="AX1753" s="0" t="n">
        <f aca="false">IF(BN1753="D",1,0)+IF(BO1753="D",1,0)+IF(BT1753="D",1,0)+IF(BU1753="D",1,0)+IF(BW1753="D",1,0)+IF(CC1753="D",1,0)+IF(CD1753="D",1,0)+IF(CE1753="D",1,0)+IF(CF1753="D",1,0)+IF(CL1753="D",1,0)+IF(CM1753="D",1,0)+IF(CQ1753="D",1,0)+IF(CR1753="D",1,0)+IF(CS1753="D",1,0)+IF(CW1753="D",1,0)+IF(CX1753="D",1,0)+IF(DD1753="D",1,0)+IF(DE1753="D",1,0)+IF(DJ1753="D",1,0)+IF(DK1753="D",1,0)+IF(DO1753="D",1,0)+IF(DP1753="D",1,0)+IF(DQ1753="D",1,0)+IF(DW1753="D",1,0)+IF(DZ1753="D",1,0)+IF(EH1753="D",1,0)</f>
        <v>0</v>
      </c>
      <c r="AY1753" s="0" t="n">
        <f aca="false">COUNTIF(DU1753:EH1753, "&lt;&gt;")</f>
        <v>3</v>
      </c>
      <c r="AZ1753" s="0" t="n">
        <f aca="false">IF(EH1753&lt;&gt;"",1,0)</f>
        <v>0</v>
      </c>
      <c r="BB1753" s="0" t="s">
        <v>152</v>
      </c>
      <c r="BL1753" s="0" t="s">
        <v>153</v>
      </c>
      <c r="BP1753" s="0" t="s">
        <v>153</v>
      </c>
      <c r="BS1753" s="0" t="s">
        <v>153</v>
      </c>
      <c r="DN1753" s="0" t="s">
        <v>153</v>
      </c>
      <c r="DX1753" s="0" t="s">
        <v>153</v>
      </c>
      <c r="EA1753" s="0" t="s">
        <v>153</v>
      </c>
      <c r="EF1753" s="0" t="s">
        <v>153</v>
      </c>
    </row>
    <row r="1754" customFormat="false" ht="13.8" hidden="false" customHeight="false" outlineLevel="0" collapsed="false">
      <c r="A1754" s="0" t="s">
        <v>7896</v>
      </c>
      <c r="B1754" s="0" t="n">
        <v>78</v>
      </c>
      <c r="C1754" s="0" t="n">
        <v>474525</v>
      </c>
      <c r="D1754" s="0" t="s">
        <v>429</v>
      </c>
      <c r="E1754" s="0" t="s">
        <v>7897</v>
      </c>
      <c r="F1754" s="0" t="str">
        <f aca="false">CONCATENATE(D1754," ",LEFT(H1754,4),"T=",AU1754,"D=",AV1754,"R=",AW1754,"M=",AX1754,"L=",AY1754,"B=",AZ1754)</f>
        <v>RIESER T=7D=0R=0M=0L=4B=0</v>
      </c>
      <c r="G1754" s="0" t="s">
        <v>2179</v>
      </c>
      <c r="I1754" s="0" t="s">
        <v>7898</v>
      </c>
      <c r="J1754" s="0" t="s">
        <v>5331</v>
      </c>
      <c r="K1754" s="0" t="s">
        <v>160</v>
      </c>
      <c r="L1754" s="0" t="s">
        <v>175</v>
      </c>
      <c r="M1754" s="0" t="s">
        <v>7899</v>
      </c>
      <c r="N1754" s="0" t="str">
        <f aca="false">RIGHT(M1754,LEN(M1754)-FIND(" ",M1754))</f>
        <v>OAK KNOLL AVE SE</v>
      </c>
      <c r="P1754" s="0" t="s">
        <v>145</v>
      </c>
      <c r="Q1754" s="0" t="s">
        <v>146</v>
      </c>
      <c r="R1754" s="0" t="n">
        <v>44483</v>
      </c>
      <c r="AD1754" s="0" t="s">
        <v>147</v>
      </c>
      <c r="AE1754" s="0" t="s">
        <v>148</v>
      </c>
      <c r="AF1754" s="0" t="s">
        <v>149</v>
      </c>
      <c r="AH1754" s="0" t="n">
        <v>14</v>
      </c>
      <c r="AI1754" s="0" t="n">
        <v>11</v>
      </c>
      <c r="AN1754" s="0" t="s">
        <v>145</v>
      </c>
      <c r="AO1754" s="0" t="s">
        <v>150</v>
      </c>
      <c r="AP1754" s="0" t="s">
        <v>151</v>
      </c>
      <c r="AQ1754" s="0" t="n">
        <v>9</v>
      </c>
      <c r="AR1754" s="0" t="n">
        <v>64</v>
      </c>
      <c r="AS1754" s="0" t="n">
        <v>32</v>
      </c>
      <c r="AU1754" s="0" t="n">
        <f aca="false">COUNTA($BA$938:$EH$938)</f>
        <v>7</v>
      </c>
      <c r="AV1754" s="0" t="n">
        <f aca="false">COUNTIF($BA$938:$EH$938,"D")</f>
        <v>0</v>
      </c>
      <c r="AW1754" s="0" t="n">
        <f aca="false">COUNTIF($BA$938:$EH$938,"R")</f>
        <v>0</v>
      </c>
      <c r="AX1754" s="0" t="n">
        <f aca="false">IF(BN1754="D",1,0)+IF(BO1754="D",1,0)+IF(BT1754="D",1,0)+IF(BU1754="D",1,0)+IF(BW1754="D",1,0)+IF(CC1754="D",1,0)+IF(CD1754="D",1,0)+IF(CE1754="D",1,0)+IF(CF1754="D",1,0)+IF(CL1754="D",1,0)+IF(CM1754="D",1,0)+IF(CQ1754="D",1,0)+IF(CR1754="D",1,0)+IF(CS1754="D",1,0)+IF(CW1754="D",1,0)+IF(CX1754="D",1,0)+IF(DD1754="D",1,0)+IF(DE1754="D",1,0)+IF(DJ1754="D",1,0)+IF(DK1754="D",1,0)+IF(DO1754="D",1,0)+IF(DP1754="D",1,0)+IF(DQ1754="D",1,0)+IF(DW1754="D",1,0)+IF(DZ1754="D",1,0)+IF(EH1754="D",1,0)</f>
        <v>0</v>
      </c>
      <c r="AY1754" s="0" t="n">
        <f aca="false">COUNTIF(DU1754:EH1754, "&lt;&gt;")</f>
        <v>4</v>
      </c>
      <c r="AZ1754" s="0" t="n">
        <f aca="false">IF(EH1754&lt;&gt;"",1,0)</f>
        <v>0</v>
      </c>
      <c r="BB1754" s="0" t="s">
        <v>152</v>
      </c>
      <c r="DX1754" s="0" t="s">
        <v>153</v>
      </c>
      <c r="EA1754" s="0" t="s">
        <v>153</v>
      </c>
      <c r="ED1754" s="0" t="s">
        <v>175</v>
      </c>
      <c r="EF1754" s="0" t="s">
        <v>153</v>
      </c>
    </row>
    <row r="1755" customFormat="false" ht="13.8" hidden="false" customHeight="false" outlineLevel="0" collapsed="false">
      <c r="A1755" s="0" t="s">
        <v>7900</v>
      </c>
      <c r="B1755" s="0" t="n">
        <v>78</v>
      </c>
      <c r="C1755" s="0" t="n">
        <v>314782</v>
      </c>
      <c r="D1755" s="0" t="s">
        <v>7901</v>
      </c>
      <c r="E1755" s="0" t="s">
        <v>7902</v>
      </c>
      <c r="F1755" s="0" t="str">
        <f aca="false">CONCATENATE(D1755," ",LEFT(H1755,4),"T=",AU1755,"D=",AV1755,"R=",AW1755,"M=",AX1755,"L=",AY1755,"B=",AZ1755)</f>
        <v>MATTEO T=9D=0R=0M=0L=5B=0</v>
      </c>
      <c r="G1755" s="0" t="s">
        <v>2179</v>
      </c>
      <c r="I1755" s="0" t="s">
        <v>7903</v>
      </c>
      <c r="J1755" s="0" t="s">
        <v>1433</v>
      </c>
      <c r="K1755" s="0" t="s">
        <v>160</v>
      </c>
      <c r="L1755" s="0" t="s">
        <v>175</v>
      </c>
      <c r="M1755" s="0" t="s">
        <v>7899</v>
      </c>
      <c r="N1755" s="0" t="str">
        <f aca="false">RIGHT(M1755,LEN(M1755)-FIND(" ",M1755))</f>
        <v>OAK KNOLL AVE SE</v>
      </c>
      <c r="P1755" s="0" t="s">
        <v>145</v>
      </c>
      <c r="Q1755" s="0" t="s">
        <v>146</v>
      </c>
      <c r="R1755" s="0" t="n">
        <v>44483</v>
      </c>
      <c r="AD1755" s="0" t="s">
        <v>147</v>
      </c>
      <c r="AE1755" s="0" t="s">
        <v>148</v>
      </c>
      <c r="AF1755" s="0" t="s">
        <v>149</v>
      </c>
      <c r="AH1755" s="0" t="n">
        <v>14</v>
      </c>
      <c r="AI1755" s="0" t="n">
        <v>11</v>
      </c>
      <c r="AN1755" s="0" t="s">
        <v>145</v>
      </c>
      <c r="AO1755" s="0" t="s">
        <v>150</v>
      </c>
      <c r="AP1755" s="0" t="s">
        <v>151</v>
      </c>
      <c r="AQ1755" s="0" t="n">
        <v>9</v>
      </c>
      <c r="AR1755" s="0" t="n">
        <v>64</v>
      </c>
      <c r="AS1755" s="0" t="n">
        <v>32</v>
      </c>
      <c r="AU1755" s="0" t="n">
        <f aca="false">COUNTA($BA$1055:$EH$1055)</f>
        <v>9</v>
      </c>
      <c r="AV1755" s="0" t="n">
        <f aca="false">COUNTIF($BA$1055:$EH$1055,"D")</f>
        <v>0</v>
      </c>
      <c r="AW1755" s="0" t="n">
        <f aca="false">COUNTIF($BA$1055:$EH$1055,"R")</f>
        <v>0</v>
      </c>
      <c r="AX1755" s="0" t="n">
        <f aca="false">IF(BN1755="D",1,0)+IF(BO1755="D",1,0)+IF(BT1755="D",1,0)+IF(BU1755="D",1,0)+IF(BW1755="D",1,0)+IF(CC1755="D",1,0)+IF(CD1755="D",1,0)+IF(CE1755="D",1,0)+IF(CF1755="D",1,0)+IF(CL1755="D",1,0)+IF(CM1755="D",1,0)+IF(CQ1755="D",1,0)+IF(CR1755="D",1,0)+IF(CS1755="D",1,0)+IF(CW1755="D",1,0)+IF(CX1755="D",1,0)+IF(DD1755="D",1,0)+IF(DE1755="D",1,0)+IF(DJ1755="D",1,0)+IF(DK1755="D",1,0)+IF(DO1755="D",1,0)+IF(DP1755="D",1,0)+IF(DQ1755="D",1,0)+IF(DW1755="D",1,0)+IF(DZ1755="D",1,0)+IF(EH1755="D",1,0)</f>
        <v>0</v>
      </c>
      <c r="AY1755" s="0" t="n">
        <f aca="false">COUNTIF(DU1755:EH1755, "&lt;&gt;")</f>
        <v>5</v>
      </c>
      <c r="AZ1755" s="0" t="n">
        <f aca="false">IF(EH1755&lt;&gt;"",1,0)</f>
        <v>0</v>
      </c>
      <c r="BB1755" s="0" t="s">
        <v>152</v>
      </c>
      <c r="BJ1755" s="0" t="s">
        <v>153</v>
      </c>
      <c r="BK1755" s="0" t="s">
        <v>153</v>
      </c>
      <c r="BL1755" s="0" t="s">
        <v>153</v>
      </c>
      <c r="BP1755" s="0" t="s">
        <v>153</v>
      </c>
      <c r="CA1755" s="0" t="s">
        <v>153</v>
      </c>
      <c r="CN1755" s="0" t="s">
        <v>153</v>
      </c>
      <c r="CO1755" s="0" t="s">
        <v>175</v>
      </c>
      <c r="CP1755" s="0" t="s">
        <v>153</v>
      </c>
      <c r="CU1755" s="0" t="s">
        <v>175</v>
      </c>
      <c r="CY1755" s="0" t="s">
        <v>153</v>
      </c>
      <c r="CZ1755" s="0" t="s">
        <v>175</v>
      </c>
      <c r="DC1755" s="0" t="s">
        <v>153</v>
      </c>
      <c r="DS1755" s="0" t="s">
        <v>175</v>
      </c>
      <c r="DU1755" s="0" t="s">
        <v>153</v>
      </c>
      <c r="DX1755" s="0" t="s">
        <v>153</v>
      </c>
      <c r="EA1755" s="0" t="s">
        <v>153</v>
      </c>
      <c r="ED1755" s="0" t="s">
        <v>175</v>
      </c>
      <c r="EF1755" s="0" t="s">
        <v>153</v>
      </c>
    </row>
    <row r="1756" customFormat="false" ht="13.8" hidden="true" customHeight="false" outlineLevel="0" collapsed="false">
      <c r="A1756" s="0" t="s">
        <v>7904</v>
      </c>
      <c r="B1756" s="0" t="n">
        <v>78</v>
      </c>
      <c r="C1756" s="0" t="n">
        <v>428960</v>
      </c>
      <c r="D1756" s="0" t="s">
        <v>7905</v>
      </c>
      <c r="E1756" s="0" t="s">
        <v>7906</v>
      </c>
      <c r="F1756" s="0" t="str">
        <f aca="false">CONCATENATE(D1756," ",LEFT(H1756,4),"T=",AU1756,"D=",AV1756,"R=",AW1756,"M=",AX1756,"L=",AY1756,"B=",AZ1756)</f>
        <v>NGUYEN T=44D=4R=5M=0L=0B=0</v>
      </c>
      <c r="G1756" s="0" t="s">
        <v>7907</v>
      </c>
      <c r="I1756" s="0" t="s">
        <v>7908</v>
      </c>
      <c r="J1756" s="0" t="s">
        <v>7909</v>
      </c>
      <c r="K1756" s="0" t="s">
        <v>143</v>
      </c>
      <c r="M1756" s="0" t="s">
        <v>7910</v>
      </c>
      <c r="N1756" s="0" t="str">
        <f aca="false">RIGHT(M1756,LEN(M1756)-FIND(" ",M1756))</f>
        <v>OAK KNOLL AVE SE</v>
      </c>
      <c r="P1756" s="0" t="s">
        <v>145</v>
      </c>
      <c r="Q1756" s="0" t="s">
        <v>146</v>
      </c>
      <c r="R1756" s="0" t="n">
        <v>44483</v>
      </c>
      <c r="AD1756" s="0" t="s">
        <v>147</v>
      </c>
      <c r="AE1756" s="0" t="s">
        <v>148</v>
      </c>
      <c r="AF1756" s="0" t="s">
        <v>149</v>
      </c>
      <c r="AH1756" s="0" t="n">
        <v>14</v>
      </c>
      <c r="AI1756" s="0" t="n">
        <v>11</v>
      </c>
      <c r="AN1756" s="0" t="s">
        <v>145</v>
      </c>
      <c r="AO1756" s="0" t="s">
        <v>150</v>
      </c>
      <c r="AP1756" s="0" t="s">
        <v>151</v>
      </c>
      <c r="AQ1756" s="0" t="n">
        <v>9</v>
      </c>
      <c r="AR1756" s="0" t="n">
        <v>64</v>
      </c>
      <c r="AS1756" s="0" t="n">
        <v>32</v>
      </c>
      <c r="AU1756" s="0" t="n">
        <f aca="false">COUNTA($BA$884:$EH$884)</f>
        <v>44</v>
      </c>
      <c r="AV1756" s="0" t="n">
        <f aca="false">COUNTIF($BA$884:$EH$884,"D")</f>
        <v>4</v>
      </c>
      <c r="AW1756" s="0" t="n">
        <f aca="false">COUNTIF($BA$884:$EH$884,"R")</f>
        <v>5</v>
      </c>
      <c r="AX1756" s="0" t="n">
        <f aca="false">IF(BN1756="D",1,0)+IF(BO1756="D",1,0)+IF(BT1756="D",1,0)+IF(BU1756="D",1,0)+IF(BW1756="D",1,0)+IF(CC1756="D",1,0)+IF(CD1756="D",1,0)+IF(CE1756="D",1,0)+IF(CF1756="D",1,0)+IF(CL1756="D",1,0)+IF(CM1756="D",1,0)+IF(CQ1756="D",1,0)+IF(CR1756="D",1,0)+IF(CS1756="D",1,0)+IF(CW1756="D",1,0)+IF(CX1756="D",1,0)+IF(DD1756="D",1,0)+IF(DE1756="D",1,0)+IF(DJ1756="D",1,0)+IF(DK1756="D",1,0)+IF(DO1756="D",1,0)+IF(DP1756="D",1,0)+IF(DQ1756="D",1,0)+IF(DW1756="D",1,0)+IF(DZ1756="D",1,0)+IF(EH1756="D",1,0)</f>
        <v>0</v>
      </c>
      <c r="AY1756" s="0" t="n">
        <f aca="false">COUNTIF(DU1756:EH1756, "&lt;&gt;")</f>
        <v>0</v>
      </c>
      <c r="AZ1756" s="0" t="n">
        <f aca="false">IF(EH1756&lt;&gt;"",1,0)</f>
        <v>0</v>
      </c>
      <c r="BB1756" s="0" t="s">
        <v>152</v>
      </c>
    </row>
    <row r="1757" customFormat="false" ht="13.8" hidden="true" customHeight="false" outlineLevel="0" collapsed="false">
      <c r="A1757" s="0" t="s">
        <v>7911</v>
      </c>
      <c r="B1757" s="0" t="n">
        <v>78</v>
      </c>
      <c r="C1757" s="0" t="n">
        <v>381360</v>
      </c>
      <c r="D1757" s="0" t="s">
        <v>5113</v>
      </c>
      <c r="E1757" s="0" t="s">
        <v>1335</v>
      </c>
      <c r="F1757" s="0" t="str">
        <f aca="false">CONCATENATE(D1757," ",LEFT(H1757,4),"T=",AU1757,"D=",AV1757,"R=",AW1757,"M=",AX1757,"L=",AY1757,"B=",AZ1757)</f>
        <v>VALENTINO T=11D=2R=1M=0L=1B=0</v>
      </c>
      <c r="G1757" s="0" t="s">
        <v>171</v>
      </c>
      <c r="I1757" s="0" t="s">
        <v>7912</v>
      </c>
      <c r="J1757" s="0" t="s">
        <v>1464</v>
      </c>
      <c r="K1757" s="0" t="s">
        <v>160</v>
      </c>
      <c r="M1757" s="0" t="s">
        <v>7913</v>
      </c>
      <c r="N1757" s="0" t="str">
        <f aca="false">RIGHT(M1757,LEN(M1757)-FIND(" ",M1757))</f>
        <v>OAK KNOLL AVE SE</v>
      </c>
      <c r="P1757" s="0" t="s">
        <v>145</v>
      </c>
      <c r="Q1757" s="0" t="s">
        <v>146</v>
      </c>
      <c r="R1757" s="0" t="n">
        <v>44483</v>
      </c>
      <c r="AD1757" s="0" t="s">
        <v>147</v>
      </c>
      <c r="AE1757" s="0" t="s">
        <v>148</v>
      </c>
      <c r="AF1757" s="0" t="s">
        <v>149</v>
      </c>
      <c r="AH1757" s="0" t="n">
        <v>14</v>
      </c>
      <c r="AI1757" s="0" t="n">
        <v>11</v>
      </c>
      <c r="AN1757" s="0" t="s">
        <v>145</v>
      </c>
      <c r="AO1757" s="0" t="s">
        <v>150</v>
      </c>
      <c r="AP1757" s="0" t="s">
        <v>151</v>
      </c>
      <c r="AQ1757" s="0" t="n">
        <v>9</v>
      </c>
      <c r="AR1757" s="0" t="n">
        <v>64</v>
      </c>
      <c r="AS1757" s="0" t="n">
        <v>32</v>
      </c>
      <c r="AU1757" s="0" t="n">
        <f aca="false">COUNTA($BA$890:$EH$890)</f>
        <v>11</v>
      </c>
      <c r="AV1757" s="0" t="n">
        <f aca="false">COUNTIF($BA$890:$EH$890,"D")</f>
        <v>2</v>
      </c>
      <c r="AW1757" s="0" t="n">
        <f aca="false">COUNTIF($BA$890:$EH$890,"R")</f>
        <v>1</v>
      </c>
      <c r="AX1757" s="0" t="n">
        <f aca="false">IF(BN1757="D",1,0)+IF(BO1757="D",1,0)+IF(BT1757="D",1,0)+IF(BU1757="D",1,0)+IF(BW1757="D",1,0)+IF(CC1757="D",1,0)+IF(CD1757="D",1,0)+IF(CE1757="D",1,0)+IF(CF1757="D",1,0)+IF(CL1757="D",1,0)+IF(CM1757="D",1,0)+IF(CQ1757="D",1,0)+IF(CR1757="D",1,0)+IF(CS1757="D",1,0)+IF(CW1757="D",1,0)+IF(CX1757="D",1,0)+IF(DD1757="D",1,0)+IF(DE1757="D",1,0)+IF(DJ1757="D",1,0)+IF(DK1757="D",1,0)+IF(DO1757="D",1,0)+IF(DP1757="D",1,0)+IF(DQ1757="D",1,0)+IF(DW1757="D",1,0)+IF(DZ1757="D",1,0)+IF(EH1757="D",1,0)</f>
        <v>0</v>
      </c>
      <c r="AY1757" s="0" t="n">
        <f aca="false">COUNTIF(DU1757:EH1757, "&lt;&gt;")</f>
        <v>1</v>
      </c>
      <c r="AZ1757" s="0" t="n">
        <f aca="false">IF(EH1757&lt;&gt;"",1,0)</f>
        <v>0</v>
      </c>
      <c r="BB1757" s="0" t="s">
        <v>152</v>
      </c>
      <c r="CP1757" s="0" t="s">
        <v>153</v>
      </c>
      <c r="CY1757" s="0" t="s">
        <v>153</v>
      </c>
      <c r="DC1757" s="0" t="s">
        <v>153</v>
      </c>
      <c r="DI1757" s="0" t="s">
        <v>153</v>
      </c>
      <c r="DN1757" s="0" t="s">
        <v>153</v>
      </c>
      <c r="EF1757" s="0" t="s">
        <v>153</v>
      </c>
    </row>
    <row r="1758" customFormat="false" ht="13.8" hidden="false" customHeight="false" outlineLevel="0" collapsed="false">
      <c r="A1758" s="0" t="s">
        <v>7914</v>
      </c>
      <c r="B1758" s="0" t="n">
        <v>78</v>
      </c>
      <c r="C1758" s="0" t="n">
        <v>478273</v>
      </c>
      <c r="D1758" s="0" t="s">
        <v>7915</v>
      </c>
      <c r="E1758" s="0" t="s">
        <v>5043</v>
      </c>
      <c r="F1758" s="0" t="str">
        <f aca="false">CONCATENATE(D1758," ",LEFT(H1758,4),"T=",AU1758,"D=",AV1758,"R=",AW1758,"M=",AX1758,"L=",AY1758,"B=",AZ1758)</f>
        <v>MASTER T=1D=0R=0M=0L=2B=0</v>
      </c>
      <c r="G1758" s="0" t="s">
        <v>7916</v>
      </c>
      <c r="I1758" s="0" t="s">
        <v>7917</v>
      </c>
      <c r="J1758" s="0" t="s">
        <v>5059</v>
      </c>
      <c r="K1758" s="0" t="s">
        <v>160</v>
      </c>
      <c r="L1758" s="0" t="s">
        <v>175</v>
      </c>
      <c r="M1758" s="0" t="s">
        <v>7918</v>
      </c>
      <c r="N1758" s="0" t="str">
        <f aca="false">RIGHT(M1758,LEN(M1758)-FIND(" ",M1758))</f>
        <v>OAK KNOLL AVE SE</v>
      </c>
      <c r="P1758" s="0" t="s">
        <v>145</v>
      </c>
      <c r="Q1758" s="0" t="s">
        <v>146</v>
      </c>
      <c r="R1758" s="0" t="n">
        <v>44483</v>
      </c>
      <c r="AD1758" s="0" t="s">
        <v>147</v>
      </c>
      <c r="AE1758" s="0" t="s">
        <v>148</v>
      </c>
      <c r="AF1758" s="0" t="s">
        <v>149</v>
      </c>
      <c r="AH1758" s="0" t="n">
        <v>14</v>
      </c>
      <c r="AI1758" s="0" t="n">
        <v>11</v>
      </c>
      <c r="AN1758" s="0" t="s">
        <v>145</v>
      </c>
      <c r="AO1758" s="0" t="s">
        <v>150</v>
      </c>
      <c r="AP1758" s="0" t="s">
        <v>151</v>
      </c>
      <c r="AQ1758" s="0" t="n">
        <v>9</v>
      </c>
      <c r="AR1758" s="0" t="n">
        <v>64</v>
      </c>
      <c r="AS1758" s="0" t="n">
        <v>32</v>
      </c>
      <c r="AU1758" s="0" t="n">
        <f aca="false">COUNTA($BA$341:$EH$341)</f>
        <v>1</v>
      </c>
      <c r="AV1758" s="0" t="n">
        <f aca="false">COUNTIF($BA$341:$EH$341,"D")</f>
        <v>0</v>
      </c>
      <c r="AW1758" s="0" t="n">
        <f aca="false">COUNTIF($BA$341:$EH$341,"R")</f>
        <v>0</v>
      </c>
      <c r="AX1758" s="0" t="n">
        <f aca="false">IF(BN1758="D",1,0)+IF(BO1758="D",1,0)+IF(BT1758="D",1,0)+IF(BU1758="D",1,0)+IF(BW1758="D",1,0)+IF(CC1758="D",1,0)+IF(CD1758="D",1,0)+IF(CE1758="D",1,0)+IF(CF1758="D",1,0)+IF(CL1758="D",1,0)+IF(CM1758="D",1,0)+IF(CQ1758="D",1,0)+IF(CR1758="D",1,0)+IF(CS1758="D",1,0)+IF(CW1758="D",1,0)+IF(CX1758="D",1,0)+IF(DD1758="D",1,0)+IF(DE1758="D",1,0)+IF(DJ1758="D",1,0)+IF(DK1758="D",1,0)+IF(DO1758="D",1,0)+IF(DP1758="D",1,0)+IF(DQ1758="D",1,0)+IF(DW1758="D",1,0)+IF(DZ1758="D",1,0)+IF(EH1758="D",1,0)</f>
        <v>0</v>
      </c>
      <c r="AY1758" s="0" t="n">
        <f aca="false">COUNTIF(DU1758:EH1758, "&lt;&gt;")</f>
        <v>2</v>
      </c>
      <c r="AZ1758" s="0" t="n">
        <f aca="false">IF(EH1758&lt;&gt;"",1,0)</f>
        <v>0</v>
      </c>
      <c r="BB1758" s="0" t="s">
        <v>152</v>
      </c>
      <c r="ED1758" s="0" t="s">
        <v>175</v>
      </c>
      <c r="EF1758" s="0" t="s">
        <v>153</v>
      </c>
    </row>
    <row r="1759" customFormat="false" ht="13.8" hidden="true" customHeight="false" outlineLevel="0" collapsed="false">
      <c r="A1759" s="0" t="s">
        <v>7919</v>
      </c>
      <c r="B1759" s="0" t="n">
        <v>78</v>
      </c>
      <c r="C1759" s="0" t="n">
        <v>437213</v>
      </c>
      <c r="D1759" s="0" t="s">
        <v>7920</v>
      </c>
      <c r="E1759" s="0" t="s">
        <v>1295</v>
      </c>
      <c r="F1759" s="0" t="str">
        <f aca="false">CONCATENATE(D1759," ",LEFT(H1759,4),"T=",AU1759,"D=",AV1759,"R=",AW1759,"M=",AX1759,"L=",AY1759,"B=",AZ1759)</f>
        <v>OLDFIELD T=12D=4R=0M=0L=0B=0</v>
      </c>
      <c r="G1759" s="0" t="s">
        <v>6340</v>
      </c>
      <c r="I1759" s="0" t="s">
        <v>7921</v>
      </c>
      <c r="J1759" s="0" t="s">
        <v>7922</v>
      </c>
      <c r="K1759" s="0" t="s">
        <v>143</v>
      </c>
      <c r="M1759" s="0" t="s">
        <v>7918</v>
      </c>
      <c r="N1759" s="0" t="str">
        <f aca="false">RIGHT(M1759,LEN(M1759)-FIND(" ",M1759))</f>
        <v>OAK KNOLL AVE SE</v>
      </c>
      <c r="P1759" s="0" t="s">
        <v>145</v>
      </c>
      <c r="Q1759" s="0" t="s">
        <v>146</v>
      </c>
      <c r="R1759" s="0" t="n">
        <v>44483</v>
      </c>
      <c r="AD1759" s="0" t="s">
        <v>147</v>
      </c>
      <c r="AE1759" s="0" t="s">
        <v>148</v>
      </c>
      <c r="AF1759" s="0" t="s">
        <v>149</v>
      </c>
      <c r="AH1759" s="0" t="n">
        <v>14</v>
      </c>
      <c r="AI1759" s="0" t="n">
        <v>11</v>
      </c>
      <c r="AN1759" s="0" t="s">
        <v>145</v>
      </c>
      <c r="AO1759" s="0" t="s">
        <v>150</v>
      </c>
      <c r="AP1759" s="0" t="s">
        <v>151</v>
      </c>
      <c r="AQ1759" s="0" t="n">
        <v>9</v>
      </c>
      <c r="AR1759" s="0" t="n">
        <v>64</v>
      </c>
      <c r="AS1759" s="0" t="n">
        <v>32</v>
      </c>
      <c r="AU1759" s="0" t="n">
        <f aca="false">COUNTA($BA$747:$EH$747)</f>
        <v>12</v>
      </c>
      <c r="AV1759" s="0" t="n">
        <f aca="false">COUNTIF($BA$747:$EH$747,"D")</f>
        <v>4</v>
      </c>
      <c r="AW1759" s="0" t="n">
        <f aca="false">COUNTIF($BA$747:$EH$747,"R")</f>
        <v>0</v>
      </c>
      <c r="AX1759" s="0" t="n">
        <f aca="false">IF(BN1759="D",1,0)+IF(BO1759="D",1,0)+IF(BT1759="D",1,0)+IF(BU1759="D",1,0)+IF(BW1759="D",1,0)+IF(CC1759="D",1,0)+IF(CD1759="D",1,0)+IF(CE1759="D",1,0)+IF(CF1759="D",1,0)+IF(CL1759="D",1,0)+IF(CM1759="D",1,0)+IF(CQ1759="D",1,0)+IF(CR1759="D",1,0)+IF(CS1759="D",1,0)+IF(CW1759="D",1,0)+IF(CX1759="D",1,0)+IF(DD1759="D",1,0)+IF(DE1759="D",1,0)+IF(DJ1759="D",1,0)+IF(DK1759="D",1,0)+IF(DO1759="D",1,0)+IF(DP1759="D",1,0)+IF(DQ1759="D",1,0)+IF(DW1759="D",1,0)+IF(DZ1759="D",1,0)+IF(EH1759="D",1,0)</f>
        <v>0</v>
      </c>
      <c r="AY1759" s="0" t="n">
        <f aca="false">COUNTIF(DU1759:EH1759, "&lt;&gt;")</f>
        <v>0</v>
      </c>
      <c r="AZ1759" s="0" t="n">
        <f aca="false">IF(EH1759&lt;&gt;"",1,0)</f>
        <v>0</v>
      </c>
      <c r="BB1759" s="0" t="s">
        <v>152</v>
      </c>
      <c r="CN1759" s="0" t="s">
        <v>153</v>
      </c>
      <c r="CP1759" s="0" t="s">
        <v>153</v>
      </c>
    </row>
    <row r="1760" customFormat="false" ht="13.8" hidden="false" customHeight="false" outlineLevel="0" collapsed="false">
      <c r="A1760" s="0" t="s">
        <v>7923</v>
      </c>
      <c r="B1760" s="0" t="n">
        <v>78</v>
      </c>
      <c r="C1760" s="0" t="n">
        <v>402362</v>
      </c>
      <c r="D1760" s="0" t="s">
        <v>7924</v>
      </c>
      <c r="E1760" s="0" t="s">
        <v>958</v>
      </c>
      <c r="F1760" s="0" t="str">
        <f aca="false">CONCATENATE(D1760," ",LEFT(H1760,4),"T=",AU1760,"D=",AV1760,"R=",AW1760,"M=",AX1760,"L=",AY1760,"B=",AZ1760)</f>
        <v>MANGLE T=29D=2R=4M=1L=3B=0</v>
      </c>
      <c r="G1760" s="0" t="s">
        <v>890</v>
      </c>
      <c r="I1760" s="0" t="s">
        <v>7925</v>
      </c>
      <c r="J1760" s="0" t="s">
        <v>7926</v>
      </c>
      <c r="K1760" s="0" t="s">
        <v>160</v>
      </c>
      <c r="M1760" s="0" t="s">
        <v>7927</v>
      </c>
      <c r="N1760" s="0" t="str">
        <f aca="false">RIGHT(M1760,LEN(M1760)-FIND(" ",M1760))</f>
        <v>OAK KNOLL AVE SE</v>
      </c>
      <c r="P1760" s="0" t="s">
        <v>145</v>
      </c>
      <c r="Q1760" s="0" t="s">
        <v>146</v>
      </c>
      <c r="R1760" s="0" t="n">
        <v>44483</v>
      </c>
      <c r="AD1760" s="0" t="s">
        <v>147</v>
      </c>
      <c r="AE1760" s="0" t="s">
        <v>148</v>
      </c>
      <c r="AF1760" s="0" t="s">
        <v>149</v>
      </c>
      <c r="AH1760" s="0" t="n">
        <v>14</v>
      </c>
      <c r="AI1760" s="0" t="n">
        <v>11</v>
      </c>
      <c r="AN1760" s="0" t="s">
        <v>145</v>
      </c>
      <c r="AO1760" s="0" t="s">
        <v>150</v>
      </c>
      <c r="AP1760" s="0" t="s">
        <v>151</v>
      </c>
      <c r="AQ1760" s="0" t="n">
        <v>9</v>
      </c>
      <c r="AR1760" s="0" t="n">
        <v>64</v>
      </c>
      <c r="AS1760" s="0" t="n">
        <v>32</v>
      </c>
      <c r="AU1760" s="0" t="n">
        <f aca="false">COUNTA($BA$711:$EH$711)</f>
        <v>29</v>
      </c>
      <c r="AV1760" s="0" t="n">
        <f aca="false">COUNTIF($BA$711:$EH$711,"D")</f>
        <v>2</v>
      </c>
      <c r="AW1760" s="0" t="n">
        <f aca="false">COUNTIF($BA$711:$EH$711,"R")</f>
        <v>4</v>
      </c>
      <c r="AX1760" s="0" t="n">
        <f aca="false">IF(BN1760="D",1,0)+IF(BO1760="D",1,0)+IF(BT1760="D",1,0)+IF(BU1760="D",1,0)+IF(BW1760="D",1,0)+IF(CC1760="D",1,0)+IF(CD1760="D",1,0)+IF(CE1760="D",1,0)+IF(CF1760="D",1,0)+IF(CL1760="D",1,0)+IF(CM1760="D",1,0)+IF(CQ1760="D",1,0)+IF(CR1760="D",1,0)+IF(CS1760="D",1,0)+IF(CW1760="D",1,0)+IF(CX1760="D",1,0)+IF(DD1760="D",1,0)+IF(DE1760="D",1,0)+IF(DJ1760="D",1,0)+IF(DK1760="D",1,0)+IF(DO1760="D",1,0)+IF(DP1760="D",1,0)+IF(DQ1760="D",1,0)+IF(DW1760="D",1,0)+IF(DZ1760="D",1,0)+IF(EH1760="D",1,0)</f>
        <v>1</v>
      </c>
      <c r="AY1760" s="0" t="n">
        <f aca="false">COUNTIF(DU1760:EH1760, "&lt;&gt;")</f>
        <v>3</v>
      </c>
      <c r="AZ1760" s="0" t="n">
        <f aca="false">IF(EH1760&lt;&gt;"",1,0)</f>
        <v>0</v>
      </c>
      <c r="BB1760" s="0" t="s">
        <v>152</v>
      </c>
      <c r="CA1760" s="0" t="s">
        <v>153</v>
      </c>
      <c r="DC1760" s="0" t="s">
        <v>153</v>
      </c>
      <c r="DI1760" s="0" t="s">
        <v>153</v>
      </c>
      <c r="DJ1760" s="0" t="s">
        <v>175</v>
      </c>
      <c r="DL1760" s="0" t="s">
        <v>153</v>
      </c>
      <c r="DM1760" s="0" t="s">
        <v>209</v>
      </c>
      <c r="DN1760" s="0" t="s">
        <v>153</v>
      </c>
      <c r="DU1760" s="0" t="s">
        <v>153</v>
      </c>
      <c r="DX1760" s="0" t="s">
        <v>153</v>
      </c>
      <c r="EF1760" s="0" t="s">
        <v>153</v>
      </c>
    </row>
    <row r="1761" customFormat="false" ht="13.8" hidden="false" customHeight="false" outlineLevel="0" collapsed="false">
      <c r="A1761" s="0" t="s">
        <v>7928</v>
      </c>
      <c r="B1761" s="0" t="n">
        <v>78</v>
      </c>
      <c r="C1761" s="0" t="n">
        <v>212408</v>
      </c>
      <c r="D1761" s="0" t="s">
        <v>7929</v>
      </c>
      <c r="E1761" s="0" t="s">
        <v>3410</v>
      </c>
      <c r="F1761" s="0" t="str">
        <f aca="false">CONCATENATE(D1761," ",LEFT(H1761,4),"T=",AU1761,"D=",AV1761,"R=",AW1761,"M=",AX1761,"L=",AY1761,"B=",AZ1761)</f>
        <v>KONITSNEY T=11D=0R=0M=2L=2B=0</v>
      </c>
      <c r="G1761" s="0" t="s">
        <v>164</v>
      </c>
      <c r="I1761" s="0" t="s">
        <v>7930</v>
      </c>
      <c r="J1761" s="0" t="s">
        <v>7931</v>
      </c>
      <c r="K1761" s="0" t="s">
        <v>160</v>
      </c>
      <c r="L1761" s="0" t="s">
        <v>175</v>
      </c>
      <c r="M1761" s="0" t="s">
        <v>7927</v>
      </c>
      <c r="N1761" s="0" t="str">
        <f aca="false">RIGHT(M1761,LEN(M1761)-FIND(" ",M1761))</f>
        <v>OAK KNOLL AVE SE</v>
      </c>
      <c r="P1761" s="0" t="s">
        <v>145</v>
      </c>
      <c r="Q1761" s="0" t="s">
        <v>146</v>
      </c>
      <c r="R1761" s="0" t="n">
        <v>44483</v>
      </c>
      <c r="AD1761" s="0" t="s">
        <v>147</v>
      </c>
      <c r="AE1761" s="0" t="s">
        <v>148</v>
      </c>
      <c r="AF1761" s="0" t="s">
        <v>149</v>
      </c>
      <c r="AH1761" s="0" t="n">
        <v>14</v>
      </c>
      <c r="AI1761" s="0" t="n">
        <v>11</v>
      </c>
      <c r="AN1761" s="0" t="s">
        <v>145</v>
      </c>
      <c r="AO1761" s="0" t="s">
        <v>150</v>
      </c>
      <c r="AP1761" s="0" t="s">
        <v>151</v>
      </c>
      <c r="AQ1761" s="0" t="n">
        <v>9</v>
      </c>
      <c r="AR1761" s="0" t="n">
        <v>64</v>
      </c>
      <c r="AS1761" s="0" t="n">
        <v>32</v>
      </c>
      <c r="AU1761" s="0" t="n">
        <f aca="false">COUNTA($BA$898:$EH$898)</f>
        <v>11</v>
      </c>
      <c r="AV1761" s="0" t="n">
        <f aca="false">COUNTIF($BA$898:$EH$898,"D")</f>
        <v>0</v>
      </c>
      <c r="AW1761" s="0" t="n">
        <f aca="false">COUNTIF($BA$898:$EH$898,"R")</f>
        <v>0</v>
      </c>
      <c r="AX1761" s="0" t="n">
        <f aca="false">IF(BN1761="D",1,0)+IF(BO1761="D",1,0)+IF(BT1761="D",1,0)+IF(BU1761="D",1,0)+IF(BW1761="D",1,0)+IF(CC1761="D",1,0)+IF(CD1761="D",1,0)+IF(CE1761="D",1,0)+IF(CF1761="D",1,0)+IF(CL1761="D",1,0)+IF(CM1761="D",1,0)+IF(CQ1761="D",1,0)+IF(CR1761="D",1,0)+IF(CS1761="D",1,0)+IF(CW1761="D",1,0)+IF(CX1761="D",1,0)+IF(DD1761="D",1,0)+IF(DE1761="D",1,0)+IF(DJ1761="D",1,0)+IF(DK1761="D",1,0)+IF(DO1761="D",1,0)+IF(DP1761="D",1,0)+IF(DQ1761="D",1,0)+IF(DW1761="D",1,0)+IF(DZ1761="D",1,0)+IF(EH1761="D",1,0)</f>
        <v>2</v>
      </c>
      <c r="AY1761" s="0" t="n">
        <f aca="false">COUNTIF(DU1761:EH1761, "&lt;&gt;")</f>
        <v>2</v>
      </c>
      <c r="AZ1761" s="0" t="n">
        <f aca="false">IF(EH1761&lt;&gt;"",1,0)</f>
        <v>0</v>
      </c>
      <c r="BB1761" s="0" t="s">
        <v>152</v>
      </c>
      <c r="BC1761" s="0" t="s">
        <v>153</v>
      </c>
      <c r="BD1761" s="0" t="s">
        <v>153</v>
      </c>
      <c r="BH1761" s="0" t="s">
        <v>153</v>
      </c>
      <c r="BL1761" s="0" t="s">
        <v>153</v>
      </c>
      <c r="BS1761" s="0" t="s">
        <v>153</v>
      </c>
      <c r="BY1761" s="0" t="s">
        <v>175</v>
      </c>
      <c r="CA1761" s="0" t="s">
        <v>153</v>
      </c>
      <c r="CL1761" s="0" t="s">
        <v>175</v>
      </c>
      <c r="DN1761" s="0" t="s">
        <v>153</v>
      </c>
      <c r="DW1761" s="0" t="s">
        <v>175</v>
      </c>
      <c r="EF1761" s="0" t="s">
        <v>153</v>
      </c>
    </row>
    <row r="1762" customFormat="false" ht="13.8" hidden="false" customHeight="false" outlineLevel="0" collapsed="false">
      <c r="A1762" s="0" t="s">
        <v>7932</v>
      </c>
      <c r="B1762" s="0" t="n">
        <v>78</v>
      </c>
      <c r="C1762" s="0" t="n">
        <v>225657</v>
      </c>
      <c r="D1762" s="0" t="s">
        <v>7924</v>
      </c>
      <c r="E1762" s="0" t="s">
        <v>242</v>
      </c>
      <c r="F1762" s="0" t="str">
        <f aca="false">CONCATENATE(D1762," ",LEFT(H1762,4),"T=",AU1762,"D=",AV1762,"R=",AW1762,"M=",AX1762,"L=",AY1762,"B=",AZ1762)</f>
        <v>MANGLE T=38D=10R=0M=2L=3B=0</v>
      </c>
      <c r="G1762" s="0" t="s">
        <v>7933</v>
      </c>
      <c r="I1762" s="0" t="s">
        <v>7934</v>
      </c>
      <c r="J1762" s="0" t="s">
        <v>1368</v>
      </c>
      <c r="K1762" s="0" t="s">
        <v>160</v>
      </c>
      <c r="M1762" s="0" t="s">
        <v>7927</v>
      </c>
      <c r="N1762" s="0" t="str">
        <f aca="false">RIGHT(M1762,LEN(M1762)-FIND(" ",M1762))</f>
        <v>OAK KNOLL AVE SE</v>
      </c>
      <c r="P1762" s="0" t="s">
        <v>145</v>
      </c>
      <c r="Q1762" s="0" t="s">
        <v>146</v>
      </c>
      <c r="R1762" s="0" t="n">
        <v>44483</v>
      </c>
      <c r="AD1762" s="0" t="s">
        <v>147</v>
      </c>
      <c r="AE1762" s="0" t="s">
        <v>148</v>
      </c>
      <c r="AF1762" s="0" t="s">
        <v>149</v>
      </c>
      <c r="AH1762" s="0" t="n">
        <v>14</v>
      </c>
      <c r="AI1762" s="0" t="n">
        <v>11</v>
      </c>
      <c r="AN1762" s="0" t="s">
        <v>145</v>
      </c>
      <c r="AO1762" s="0" t="s">
        <v>150</v>
      </c>
      <c r="AP1762" s="0" t="s">
        <v>151</v>
      </c>
      <c r="AQ1762" s="0" t="n">
        <v>9</v>
      </c>
      <c r="AR1762" s="0" t="n">
        <v>64</v>
      </c>
      <c r="AS1762" s="0" t="n">
        <v>32</v>
      </c>
      <c r="AU1762" s="0" t="n">
        <f aca="false">COUNTA($BA$923:$EH$923)</f>
        <v>38</v>
      </c>
      <c r="AV1762" s="0" t="n">
        <f aca="false">COUNTIF($BA$923:$EH$923,"D")</f>
        <v>10</v>
      </c>
      <c r="AW1762" s="0" t="n">
        <f aca="false">COUNTIF($BA$923:$EH$923,"R")</f>
        <v>0</v>
      </c>
      <c r="AX1762" s="0" t="n">
        <f aca="false">IF(BN1762="D",1,0)+IF(BO1762="D",1,0)+IF(BT1762="D",1,0)+IF(BU1762="D",1,0)+IF(BW1762="D",1,0)+IF(CC1762="D",1,0)+IF(CD1762="D",1,0)+IF(CE1762="D",1,0)+IF(CF1762="D",1,0)+IF(CL1762="D",1,0)+IF(CM1762="D",1,0)+IF(CQ1762="D",1,0)+IF(CR1762="D",1,0)+IF(CS1762="D",1,0)+IF(CW1762="D",1,0)+IF(CX1762="D",1,0)+IF(DD1762="D",1,0)+IF(DE1762="D",1,0)+IF(DJ1762="D",1,0)+IF(DK1762="D",1,0)+IF(DO1762="D",1,0)+IF(DP1762="D",1,0)+IF(DQ1762="D",1,0)+IF(DW1762="D",1,0)+IF(DZ1762="D",1,0)+IF(EH1762="D",1,0)</f>
        <v>2</v>
      </c>
      <c r="AY1762" s="0" t="n">
        <f aca="false">COUNTIF(DU1762:EH1762, "&lt;&gt;")</f>
        <v>3</v>
      </c>
      <c r="AZ1762" s="0" t="n">
        <f aca="false">IF(EH1762&lt;&gt;"",1,0)</f>
        <v>0</v>
      </c>
      <c r="BB1762" s="0" t="s">
        <v>152</v>
      </c>
      <c r="BC1762" s="0" t="s">
        <v>153</v>
      </c>
      <c r="BD1762" s="0" t="s">
        <v>153</v>
      </c>
      <c r="BH1762" s="0" t="s">
        <v>153</v>
      </c>
      <c r="BI1762" s="0" t="s">
        <v>153</v>
      </c>
      <c r="BJ1762" s="0" t="s">
        <v>153</v>
      </c>
      <c r="BK1762" s="0" t="s">
        <v>153</v>
      </c>
      <c r="BL1762" s="0" t="s">
        <v>153</v>
      </c>
      <c r="BR1762" s="0" t="s">
        <v>153</v>
      </c>
      <c r="BS1762" s="0" t="s">
        <v>153</v>
      </c>
      <c r="BV1762" s="0" t="s">
        <v>153</v>
      </c>
      <c r="BY1762" s="0" t="s">
        <v>175</v>
      </c>
      <c r="CA1762" s="0" t="s">
        <v>153</v>
      </c>
      <c r="CG1762" s="0" t="s">
        <v>153</v>
      </c>
      <c r="CL1762" s="0" t="s">
        <v>175</v>
      </c>
      <c r="CN1762" s="0" t="s">
        <v>153</v>
      </c>
      <c r="CP1762" s="0" t="s">
        <v>153</v>
      </c>
      <c r="CV1762" s="0" t="s">
        <v>153</v>
      </c>
      <c r="CY1762" s="0" t="s">
        <v>153</v>
      </c>
      <c r="CZ1762" s="0" t="s">
        <v>209</v>
      </c>
      <c r="DC1762" s="0" t="s">
        <v>153</v>
      </c>
      <c r="DI1762" s="0" t="s">
        <v>153</v>
      </c>
      <c r="DJ1762" s="0" t="s">
        <v>175</v>
      </c>
      <c r="DL1762" s="0" t="s">
        <v>153</v>
      </c>
      <c r="DM1762" s="0" t="s">
        <v>209</v>
      </c>
      <c r="DN1762" s="0" t="s">
        <v>153</v>
      </c>
      <c r="DU1762" s="0" t="s">
        <v>153</v>
      </c>
      <c r="DX1762" s="0" t="s">
        <v>153</v>
      </c>
      <c r="EF1762" s="0" t="s">
        <v>153</v>
      </c>
    </row>
    <row r="1763" customFormat="false" ht="13.8" hidden="true" customHeight="false" outlineLevel="0" collapsed="false">
      <c r="A1763" s="0" t="s">
        <v>7935</v>
      </c>
      <c r="B1763" s="0" t="n">
        <v>78</v>
      </c>
      <c r="C1763" s="0" t="n">
        <v>381141</v>
      </c>
      <c r="D1763" s="0" t="s">
        <v>145</v>
      </c>
      <c r="E1763" s="0" t="s">
        <v>7936</v>
      </c>
      <c r="F1763" s="0" t="str">
        <f aca="false">CONCATENATE(D1763," ",LEFT(H1763,4),"T=",AU1763,"D=",AV1763,"R=",AW1763,"M=",AX1763,"L=",AY1763,"B=",AZ1763)</f>
        <v>WARREN T=1D=0R=0M=0L=0B=0</v>
      </c>
      <c r="G1763" s="0" t="s">
        <v>164</v>
      </c>
      <c r="I1763" s="0" t="s">
        <v>7937</v>
      </c>
      <c r="J1763" s="0" t="s">
        <v>7938</v>
      </c>
      <c r="K1763" s="0" t="s">
        <v>143</v>
      </c>
      <c r="M1763" s="0" t="s">
        <v>7939</v>
      </c>
      <c r="N1763" s="0" t="str">
        <f aca="false">RIGHT(M1763,LEN(M1763)-FIND(" ",M1763))</f>
        <v>OAK KNOLL AVE SE</v>
      </c>
      <c r="P1763" s="0" t="s">
        <v>145</v>
      </c>
      <c r="Q1763" s="0" t="s">
        <v>146</v>
      </c>
      <c r="R1763" s="0" t="n">
        <v>44483</v>
      </c>
      <c r="AD1763" s="0" t="s">
        <v>147</v>
      </c>
      <c r="AE1763" s="0" t="s">
        <v>148</v>
      </c>
      <c r="AF1763" s="0" t="s">
        <v>149</v>
      </c>
      <c r="AH1763" s="0" t="n">
        <v>14</v>
      </c>
      <c r="AI1763" s="0" t="n">
        <v>11</v>
      </c>
      <c r="AN1763" s="0" t="s">
        <v>145</v>
      </c>
      <c r="AO1763" s="0" t="s">
        <v>150</v>
      </c>
      <c r="AP1763" s="0" t="s">
        <v>151</v>
      </c>
      <c r="AQ1763" s="0" t="n">
        <v>9</v>
      </c>
      <c r="AR1763" s="0" t="n">
        <v>64</v>
      </c>
      <c r="AS1763" s="0" t="n">
        <v>32</v>
      </c>
      <c r="AU1763" s="0" t="n">
        <f aca="false">COUNTA($BA$777:$EH$777)</f>
        <v>1</v>
      </c>
      <c r="AV1763" s="0" t="n">
        <f aca="false">COUNTIF($BA$777:$EH$777,"D")</f>
        <v>0</v>
      </c>
      <c r="AW1763" s="0" t="n">
        <f aca="false">COUNTIF($BA$777:$EH$777,"R")</f>
        <v>0</v>
      </c>
      <c r="AX1763" s="0" t="n">
        <f aca="false">IF(BN1763="D",1,0)+IF(BO1763="D",1,0)+IF(BT1763="D",1,0)+IF(BU1763="D",1,0)+IF(BW1763="D",1,0)+IF(CC1763="D",1,0)+IF(CD1763="D",1,0)+IF(CE1763="D",1,0)+IF(CF1763="D",1,0)+IF(CL1763="D",1,0)+IF(CM1763="D",1,0)+IF(CQ1763="D",1,0)+IF(CR1763="D",1,0)+IF(CS1763="D",1,0)+IF(CW1763="D",1,0)+IF(CX1763="D",1,0)+IF(DD1763="D",1,0)+IF(DE1763="D",1,0)+IF(DJ1763="D",1,0)+IF(DK1763="D",1,0)+IF(DO1763="D",1,0)+IF(DP1763="D",1,0)+IF(DQ1763="D",1,0)+IF(DW1763="D",1,0)+IF(DZ1763="D",1,0)+IF(EH1763="D",1,0)</f>
        <v>0</v>
      </c>
      <c r="AY1763" s="0" t="n">
        <f aca="false">COUNTIF(DU1763:EH1763, "&lt;&gt;")</f>
        <v>0</v>
      </c>
      <c r="AZ1763" s="0" t="n">
        <f aca="false">IF(EH1763&lt;&gt;"",1,0)</f>
        <v>0</v>
      </c>
      <c r="BB1763" s="0" t="s">
        <v>152</v>
      </c>
    </row>
    <row r="1764" customFormat="false" ht="13.8" hidden="false" customHeight="false" outlineLevel="0" collapsed="false">
      <c r="A1764" s="0" t="s">
        <v>7940</v>
      </c>
      <c r="B1764" s="0" t="n">
        <v>78</v>
      </c>
      <c r="C1764" s="0" t="n">
        <v>441475</v>
      </c>
      <c r="D1764" s="0" t="s">
        <v>7941</v>
      </c>
      <c r="E1764" s="0" t="s">
        <v>5092</v>
      </c>
      <c r="F1764" s="0" t="str">
        <f aca="false">CONCATENATE(D1764," ",LEFT(H1764,4),"T=",AU1764,"D=",AV1764,"R=",AW1764,"M=",AX1764,"L=",AY1764,"B=",AZ1764)</f>
        <v>REEDER T=2D=0R=0M=0L=4B=0</v>
      </c>
      <c r="G1764" s="0" t="s">
        <v>351</v>
      </c>
      <c r="I1764" s="0" t="s">
        <v>7942</v>
      </c>
      <c r="J1764" s="0" t="s">
        <v>7943</v>
      </c>
      <c r="K1764" s="0" t="s">
        <v>160</v>
      </c>
      <c r="L1764" s="0" t="s">
        <v>209</v>
      </c>
      <c r="M1764" s="0" t="s">
        <v>7944</v>
      </c>
      <c r="N1764" s="0" t="str">
        <f aca="false">RIGHT(M1764,LEN(M1764)-FIND(" ",M1764))</f>
        <v>OAK KNOLL AVE SE</v>
      </c>
      <c r="P1764" s="0" t="s">
        <v>145</v>
      </c>
      <c r="Q1764" s="0" t="s">
        <v>146</v>
      </c>
      <c r="R1764" s="0" t="n">
        <v>44483</v>
      </c>
      <c r="AD1764" s="0" t="s">
        <v>147</v>
      </c>
      <c r="AE1764" s="0" t="s">
        <v>148</v>
      </c>
      <c r="AF1764" s="0" t="s">
        <v>149</v>
      </c>
      <c r="AH1764" s="0" t="n">
        <v>14</v>
      </c>
      <c r="AI1764" s="0" t="n">
        <v>11</v>
      </c>
      <c r="AN1764" s="0" t="s">
        <v>145</v>
      </c>
      <c r="AO1764" s="0" t="s">
        <v>150</v>
      </c>
      <c r="AP1764" s="0" t="s">
        <v>151</v>
      </c>
      <c r="AQ1764" s="0" t="n">
        <v>9</v>
      </c>
      <c r="AR1764" s="0" t="n">
        <v>64</v>
      </c>
      <c r="AS1764" s="0" t="n">
        <v>32</v>
      </c>
      <c r="AU1764" s="0" t="n">
        <f aca="false">COUNTA($BA$9:$EH$9)</f>
        <v>2</v>
      </c>
      <c r="AV1764" s="0" t="n">
        <f aca="false">COUNTIF($BA$9:$EH$9,"D")</f>
        <v>0</v>
      </c>
      <c r="AW1764" s="0" t="n">
        <f aca="false">COUNTIF($BA$9:$EH$9,"R")</f>
        <v>0</v>
      </c>
      <c r="AX1764" s="0" t="n">
        <f aca="false">IF(BN1764="D",1,0)+IF(BO1764="D",1,0)+IF(BT1764="D",1,0)+IF(BU1764="D",1,0)+IF(BW1764="D",1,0)+IF(CC1764="D",1,0)+IF(CD1764="D",1,0)+IF(CE1764="D",1,0)+IF(CF1764="D",1,0)+IF(CL1764="D",1,0)+IF(CM1764="D",1,0)+IF(CQ1764="D",1,0)+IF(CR1764="D",1,0)+IF(CS1764="D",1,0)+IF(CW1764="D",1,0)+IF(CX1764="D",1,0)+IF(DD1764="D",1,0)+IF(DE1764="D",1,0)+IF(DJ1764="D",1,0)+IF(DK1764="D",1,0)+IF(DO1764="D",1,0)+IF(DP1764="D",1,0)+IF(DQ1764="D",1,0)+IF(DW1764="D",1,0)+IF(DZ1764="D",1,0)+IF(EH1764="D",1,0)</f>
        <v>0</v>
      </c>
      <c r="AY1764" s="0" t="n">
        <f aca="false">COUNTIF(DU1764:EH1764, "&lt;&gt;")</f>
        <v>4</v>
      </c>
      <c r="AZ1764" s="0" t="n">
        <f aca="false">IF(EH1764&lt;&gt;"",1,0)</f>
        <v>0</v>
      </c>
      <c r="BB1764" s="0" t="s">
        <v>152</v>
      </c>
      <c r="DC1764" s="0" t="s">
        <v>153</v>
      </c>
      <c r="DN1764" s="0" t="s">
        <v>153</v>
      </c>
      <c r="DU1764" s="0" t="s">
        <v>153</v>
      </c>
      <c r="EA1764" s="0" t="s">
        <v>153</v>
      </c>
      <c r="ED1764" s="0" t="s">
        <v>209</v>
      </c>
      <c r="EF1764" s="0" t="s">
        <v>153</v>
      </c>
    </row>
    <row r="1765" customFormat="false" ht="13.8" hidden="false" customHeight="false" outlineLevel="0" collapsed="false">
      <c r="A1765" s="0" t="s">
        <v>7945</v>
      </c>
      <c r="B1765" s="0" t="n">
        <v>78</v>
      </c>
      <c r="C1765" s="0" t="n">
        <v>441164</v>
      </c>
      <c r="D1765" s="0" t="s">
        <v>7941</v>
      </c>
      <c r="E1765" s="0" t="s">
        <v>719</v>
      </c>
      <c r="F1765" s="0" t="str">
        <f aca="false">CONCATENATE(D1765," ",LEFT(H1765,4),"T=",AU1765,"D=",AV1765,"R=",AW1765,"M=",AX1765,"L=",AY1765,"B=",AZ1765)</f>
        <v>REEDER T=1D=0R=0M=0L=4B=0</v>
      </c>
      <c r="G1765" s="0" t="s">
        <v>7946</v>
      </c>
      <c r="I1765" s="0" t="s">
        <v>7947</v>
      </c>
      <c r="J1765" s="0" t="s">
        <v>7948</v>
      </c>
      <c r="K1765" s="0" t="s">
        <v>160</v>
      </c>
      <c r="L1765" s="0" t="s">
        <v>209</v>
      </c>
      <c r="M1765" s="0" t="s">
        <v>7944</v>
      </c>
      <c r="N1765" s="0" t="str">
        <f aca="false">RIGHT(M1765,LEN(M1765)-FIND(" ",M1765))</f>
        <v>OAK KNOLL AVE SE</v>
      </c>
      <c r="P1765" s="0" t="s">
        <v>145</v>
      </c>
      <c r="Q1765" s="0" t="s">
        <v>146</v>
      </c>
      <c r="R1765" s="0" t="n">
        <v>44483</v>
      </c>
      <c r="AD1765" s="0" t="s">
        <v>147</v>
      </c>
      <c r="AE1765" s="0" t="s">
        <v>148</v>
      </c>
      <c r="AF1765" s="0" t="s">
        <v>149</v>
      </c>
      <c r="AH1765" s="0" t="n">
        <v>14</v>
      </c>
      <c r="AI1765" s="0" t="n">
        <v>11</v>
      </c>
      <c r="AN1765" s="0" t="s">
        <v>145</v>
      </c>
      <c r="AO1765" s="0" t="s">
        <v>150</v>
      </c>
      <c r="AP1765" s="0" t="s">
        <v>151</v>
      </c>
      <c r="AQ1765" s="0" t="n">
        <v>9</v>
      </c>
      <c r="AR1765" s="0" t="n">
        <v>64</v>
      </c>
      <c r="AS1765" s="0" t="n">
        <v>32</v>
      </c>
      <c r="AU1765" s="0" t="n">
        <f aca="false">COUNTA($BA$78:$EH$78)</f>
        <v>1</v>
      </c>
      <c r="AV1765" s="0" t="n">
        <f aca="false">COUNTIF($BA$78:$EH$78,"D")</f>
        <v>0</v>
      </c>
      <c r="AW1765" s="0" t="n">
        <f aca="false">COUNTIF($BA$78:$EH$78,"R")</f>
        <v>0</v>
      </c>
      <c r="AX1765" s="0" t="n">
        <f aca="false">IF(BN1765="D",1,0)+IF(BO1765="D",1,0)+IF(BT1765="D",1,0)+IF(BU1765="D",1,0)+IF(BW1765="D",1,0)+IF(CC1765="D",1,0)+IF(CD1765="D",1,0)+IF(CE1765="D",1,0)+IF(CF1765="D",1,0)+IF(CL1765="D",1,0)+IF(CM1765="D",1,0)+IF(CQ1765="D",1,0)+IF(CR1765="D",1,0)+IF(CS1765="D",1,0)+IF(CW1765="D",1,0)+IF(CX1765="D",1,0)+IF(DD1765="D",1,0)+IF(DE1765="D",1,0)+IF(DJ1765="D",1,0)+IF(DK1765="D",1,0)+IF(DO1765="D",1,0)+IF(DP1765="D",1,0)+IF(DQ1765="D",1,0)+IF(DW1765="D",1,0)+IF(DZ1765="D",1,0)+IF(EH1765="D",1,0)</f>
        <v>0</v>
      </c>
      <c r="AY1765" s="0" t="n">
        <f aca="false">COUNTIF(DU1765:EH1765, "&lt;&gt;")</f>
        <v>4</v>
      </c>
      <c r="AZ1765" s="0" t="n">
        <f aca="false">IF(EH1765&lt;&gt;"",1,0)</f>
        <v>0</v>
      </c>
      <c r="BB1765" s="0" t="s">
        <v>152</v>
      </c>
      <c r="DN1765" s="0" t="s">
        <v>153</v>
      </c>
      <c r="DU1765" s="0" t="s">
        <v>153</v>
      </c>
      <c r="EA1765" s="0" t="s">
        <v>153</v>
      </c>
      <c r="ED1765" s="0" t="s">
        <v>209</v>
      </c>
      <c r="EF1765" s="0" t="s">
        <v>153</v>
      </c>
    </row>
    <row r="1766" customFormat="false" ht="13.8" hidden="true" customHeight="false" outlineLevel="0" collapsed="false">
      <c r="A1766" s="0" t="s">
        <v>7949</v>
      </c>
      <c r="B1766" s="0" t="n">
        <v>78</v>
      </c>
      <c r="C1766" s="0" t="n">
        <v>460228</v>
      </c>
      <c r="D1766" s="0" t="s">
        <v>7941</v>
      </c>
      <c r="E1766" s="0" t="s">
        <v>829</v>
      </c>
      <c r="F1766" s="0" t="str">
        <f aca="false">CONCATENATE(D1766," ",LEFT(H1766,4),"T=",AU1766,"D=",AV1766,"R=",AW1766,"M=",AX1766,"L=",AY1766,"B=",AZ1766)</f>
        <v>REEDER T=3D=1R=0M=0L=0B=0</v>
      </c>
      <c r="G1766" s="0" t="s">
        <v>6817</v>
      </c>
      <c r="I1766" s="0" t="s">
        <v>7950</v>
      </c>
      <c r="J1766" s="0" t="s">
        <v>7951</v>
      </c>
      <c r="K1766" s="0" t="s">
        <v>143</v>
      </c>
      <c r="M1766" s="0" t="s">
        <v>7944</v>
      </c>
      <c r="N1766" s="0" t="str">
        <f aca="false">RIGHT(M1766,LEN(M1766)-FIND(" ",M1766))</f>
        <v>OAK KNOLL AVE SE</v>
      </c>
      <c r="P1766" s="0" t="s">
        <v>145</v>
      </c>
      <c r="Q1766" s="0" t="s">
        <v>146</v>
      </c>
      <c r="R1766" s="0" t="n">
        <v>44483</v>
      </c>
      <c r="AD1766" s="0" t="s">
        <v>147</v>
      </c>
      <c r="AE1766" s="0" t="s">
        <v>148</v>
      </c>
      <c r="AF1766" s="0" t="s">
        <v>149</v>
      </c>
      <c r="AH1766" s="0" t="n">
        <v>14</v>
      </c>
      <c r="AI1766" s="0" t="n">
        <v>11</v>
      </c>
      <c r="AN1766" s="0" t="s">
        <v>145</v>
      </c>
      <c r="AO1766" s="0" t="s">
        <v>150</v>
      </c>
      <c r="AP1766" s="0" t="s">
        <v>151</v>
      </c>
      <c r="AQ1766" s="0" t="n">
        <v>9</v>
      </c>
      <c r="AR1766" s="0" t="n">
        <v>64</v>
      </c>
      <c r="AS1766" s="0" t="n">
        <v>32</v>
      </c>
      <c r="AU1766" s="0" t="n">
        <f aca="false">COUNTA($BA$520:$EH$520)</f>
        <v>3</v>
      </c>
      <c r="AV1766" s="0" t="n">
        <f aca="false">COUNTIF($BA$520:$EH$520,"D")</f>
        <v>1</v>
      </c>
      <c r="AW1766" s="0" t="n">
        <f aca="false">COUNTIF($BA$520:$EH$520,"R")</f>
        <v>0</v>
      </c>
      <c r="AX1766" s="0" t="n">
        <f aca="false">IF(BN1766="D",1,0)+IF(BO1766="D",1,0)+IF(BT1766="D",1,0)+IF(BU1766="D",1,0)+IF(BW1766="D",1,0)+IF(CC1766="D",1,0)+IF(CD1766="D",1,0)+IF(CE1766="D",1,0)+IF(CF1766="D",1,0)+IF(CL1766="D",1,0)+IF(CM1766="D",1,0)+IF(CQ1766="D",1,0)+IF(CR1766="D",1,0)+IF(CS1766="D",1,0)+IF(CW1766="D",1,0)+IF(CX1766="D",1,0)+IF(DD1766="D",1,0)+IF(DE1766="D",1,0)+IF(DJ1766="D",1,0)+IF(DK1766="D",1,0)+IF(DO1766="D",1,0)+IF(DP1766="D",1,0)+IF(DQ1766="D",1,0)+IF(DW1766="D",1,0)+IF(DZ1766="D",1,0)+IF(EH1766="D",1,0)</f>
        <v>0</v>
      </c>
      <c r="AY1766" s="0" t="n">
        <f aca="false">COUNTIF(DU1766:EH1766, "&lt;&gt;")</f>
        <v>0</v>
      </c>
      <c r="AZ1766" s="0" t="n">
        <f aca="false">IF(EH1766&lt;&gt;"",1,0)</f>
        <v>0</v>
      </c>
      <c r="BB1766" s="0" t="s">
        <v>152</v>
      </c>
      <c r="DN1766" s="0" t="s">
        <v>153</v>
      </c>
    </row>
    <row r="1767" customFormat="false" ht="13.8" hidden="true" customHeight="false" outlineLevel="0" collapsed="false">
      <c r="A1767" s="0" t="s">
        <v>7952</v>
      </c>
      <c r="B1767" s="0" t="n">
        <v>78</v>
      </c>
      <c r="C1767" s="0" t="n">
        <v>430663</v>
      </c>
      <c r="D1767" s="0" t="s">
        <v>7270</v>
      </c>
      <c r="E1767" s="0" t="s">
        <v>275</v>
      </c>
      <c r="F1767" s="0" t="str">
        <f aca="false">CONCATENATE(D1767," ",LEFT(H1767,4),"T=",AU1767,"D=",AV1767,"R=",AW1767,"M=",AX1767,"L=",AY1767,"B=",AZ1767)</f>
        <v>KUNTZ T=1D=0R=0M=0L=0B=0</v>
      </c>
      <c r="G1767" s="0" t="s">
        <v>170</v>
      </c>
      <c r="I1767" s="0" t="s">
        <v>7953</v>
      </c>
      <c r="J1767" s="0" t="s">
        <v>4979</v>
      </c>
      <c r="K1767" s="0" t="s">
        <v>143</v>
      </c>
      <c r="M1767" s="0" t="s">
        <v>7954</v>
      </c>
      <c r="N1767" s="0" t="str">
        <f aca="false">RIGHT(M1767,LEN(M1767)-FIND(" ",M1767))</f>
        <v>OAK KNOLL AVE SE</v>
      </c>
      <c r="P1767" s="0" t="s">
        <v>145</v>
      </c>
      <c r="Q1767" s="0" t="s">
        <v>146</v>
      </c>
      <c r="R1767" s="0" t="n">
        <v>44483</v>
      </c>
      <c r="AD1767" s="0" t="s">
        <v>147</v>
      </c>
      <c r="AE1767" s="0" t="s">
        <v>148</v>
      </c>
      <c r="AF1767" s="0" t="s">
        <v>149</v>
      </c>
      <c r="AH1767" s="0" t="n">
        <v>14</v>
      </c>
      <c r="AI1767" s="0" t="n">
        <v>11</v>
      </c>
      <c r="AN1767" s="0" t="s">
        <v>145</v>
      </c>
      <c r="AO1767" s="0" t="s">
        <v>150</v>
      </c>
      <c r="AP1767" s="0" t="s">
        <v>151</v>
      </c>
      <c r="AQ1767" s="0" t="n">
        <v>9</v>
      </c>
      <c r="AR1767" s="0" t="n">
        <v>64</v>
      </c>
      <c r="AS1767" s="0" t="n">
        <v>32</v>
      </c>
      <c r="AU1767" s="0" t="n">
        <f aca="false">COUNTA($BA$102:$EH$102)</f>
        <v>1</v>
      </c>
      <c r="AV1767" s="0" t="n">
        <f aca="false">COUNTIF($BA$102:$EH$102,"D")</f>
        <v>0</v>
      </c>
      <c r="AW1767" s="0" t="n">
        <f aca="false">COUNTIF($BA$102:$EH$102,"R")</f>
        <v>0</v>
      </c>
      <c r="AX1767" s="0" t="n">
        <f aca="false">IF(BN1767="D",1,0)+IF(BO1767="D",1,0)+IF(BT1767="D",1,0)+IF(BU1767="D",1,0)+IF(BW1767="D",1,0)+IF(CC1767="D",1,0)+IF(CD1767="D",1,0)+IF(CE1767="D",1,0)+IF(CF1767="D",1,0)+IF(CL1767="D",1,0)+IF(CM1767="D",1,0)+IF(CQ1767="D",1,0)+IF(CR1767="D",1,0)+IF(CS1767="D",1,0)+IF(CW1767="D",1,0)+IF(CX1767="D",1,0)+IF(DD1767="D",1,0)+IF(DE1767="D",1,0)+IF(DJ1767="D",1,0)+IF(DK1767="D",1,0)+IF(DO1767="D",1,0)+IF(DP1767="D",1,0)+IF(DQ1767="D",1,0)+IF(DW1767="D",1,0)+IF(DZ1767="D",1,0)+IF(EH1767="D",1,0)</f>
        <v>0</v>
      </c>
      <c r="AY1767" s="0" t="n">
        <f aca="false">COUNTIF(DU1767:EH1767, "&lt;&gt;")</f>
        <v>0</v>
      </c>
      <c r="AZ1767" s="0" t="n">
        <f aca="false">IF(EH1767&lt;&gt;"",1,0)</f>
        <v>0</v>
      </c>
      <c r="BB1767" s="0" t="s">
        <v>152</v>
      </c>
    </row>
    <row r="1768" customFormat="false" ht="13.8" hidden="true" customHeight="false" outlineLevel="0" collapsed="false">
      <c r="A1768" s="0" t="s">
        <v>7955</v>
      </c>
      <c r="B1768" s="0" t="n">
        <v>78</v>
      </c>
      <c r="C1768" s="0" t="n">
        <v>407981</v>
      </c>
      <c r="D1768" s="0" t="s">
        <v>7270</v>
      </c>
      <c r="E1768" s="0" t="s">
        <v>7956</v>
      </c>
      <c r="F1768" s="0" t="str">
        <f aca="false">CONCATENATE(D1768," ",LEFT(H1768,4),"T=",AU1768,"D=",AV1768,"R=",AW1768,"M=",AX1768,"L=",AY1768,"B=",AZ1768)</f>
        <v>KUNTZ T=3D=1R=0M=0L=0B=0</v>
      </c>
      <c r="G1768" s="0" t="s">
        <v>325</v>
      </c>
      <c r="I1768" s="0" t="s">
        <v>2598</v>
      </c>
      <c r="J1768" s="0" t="s">
        <v>3123</v>
      </c>
      <c r="K1768" s="0" t="s">
        <v>143</v>
      </c>
      <c r="M1768" s="0" t="s">
        <v>7954</v>
      </c>
      <c r="N1768" s="0" t="str">
        <f aca="false">RIGHT(M1768,LEN(M1768)-FIND(" ",M1768))</f>
        <v>OAK KNOLL AVE SE</v>
      </c>
      <c r="P1768" s="0" t="s">
        <v>145</v>
      </c>
      <c r="Q1768" s="0" t="s">
        <v>146</v>
      </c>
      <c r="R1768" s="0" t="n">
        <v>44483</v>
      </c>
      <c r="AD1768" s="0" t="s">
        <v>147</v>
      </c>
      <c r="AE1768" s="0" t="s">
        <v>148</v>
      </c>
      <c r="AF1768" s="0" t="s">
        <v>149</v>
      </c>
      <c r="AH1768" s="0" t="n">
        <v>14</v>
      </c>
      <c r="AI1768" s="0" t="n">
        <v>11</v>
      </c>
      <c r="AN1768" s="0" t="s">
        <v>145</v>
      </c>
      <c r="AO1768" s="0" t="s">
        <v>150</v>
      </c>
      <c r="AP1768" s="0" t="s">
        <v>151</v>
      </c>
      <c r="AQ1768" s="0" t="n">
        <v>9</v>
      </c>
      <c r="AR1768" s="0" t="n">
        <v>64</v>
      </c>
      <c r="AS1768" s="0" t="n">
        <v>32</v>
      </c>
      <c r="AU1768" s="0" t="n">
        <f aca="false">COUNTA($BA$173:$EH$173)</f>
        <v>3</v>
      </c>
      <c r="AV1768" s="0" t="n">
        <f aca="false">COUNTIF($BA$173:$EH$173,"D")</f>
        <v>1</v>
      </c>
      <c r="AW1768" s="0" t="n">
        <f aca="false">COUNTIF($BA$173:$EH$173,"R")</f>
        <v>0</v>
      </c>
      <c r="AX1768" s="0" t="n">
        <f aca="false">IF(BN1768="D",1,0)+IF(BO1768="D",1,0)+IF(BT1768="D",1,0)+IF(BU1768="D",1,0)+IF(BW1768="D",1,0)+IF(CC1768="D",1,0)+IF(CD1768="D",1,0)+IF(CE1768="D",1,0)+IF(CF1768="D",1,0)+IF(CL1768="D",1,0)+IF(CM1768="D",1,0)+IF(CQ1768="D",1,0)+IF(CR1768="D",1,0)+IF(CS1768="D",1,0)+IF(CW1768="D",1,0)+IF(CX1768="D",1,0)+IF(DD1768="D",1,0)+IF(DE1768="D",1,0)+IF(DJ1768="D",1,0)+IF(DK1768="D",1,0)+IF(DO1768="D",1,0)+IF(DP1768="D",1,0)+IF(DQ1768="D",1,0)+IF(DW1768="D",1,0)+IF(DZ1768="D",1,0)+IF(EH1768="D",1,0)</f>
        <v>0</v>
      </c>
      <c r="AY1768" s="0" t="n">
        <f aca="false">COUNTIF(DU1768:EH1768, "&lt;&gt;")</f>
        <v>0</v>
      </c>
      <c r="AZ1768" s="0" t="n">
        <f aca="false">IF(EH1768&lt;&gt;"",1,0)</f>
        <v>0</v>
      </c>
      <c r="BB1768" s="0" t="s">
        <v>152</v>
      </c>
    </row>
    <row r="1769" customFormat="false" ht="13.8" hidden="true" customHeight="false" outlineLevel="0" collapsed="false">
      <c r="A1769" s="0" t="s">
        <v>7957</v>
      </c>
      <c r="B1769" s="0" t="n">
        <v>78</v>
      </c>
      <c r="C1769" s="0" t="n">
        <v>407994</v>
      </c>
      <c r="D1769" s="0" t="s">
        <v>2523</v>
      </c>
      <c r="E1769" s="0" t="s">
        <v>3434</v>
      </c>
      <c r="F1769" s="0" t="str">
        <f aca="false">CONCATENATE(D1769," ",LEFT(H1769,4),"T=",AU1769,"D=",AV1769,"R=",AW1769,"M=",AX1769,"L=",AY1769,"B=",AZ1769)</f>
        <v>HARRIS T=3D=0R=0M=0L=1B=0</v>
      </c>
      <c r="G1769" s="0" t="s">
        <v>164</v>
      </c>
      <c r="I1769" s="0" t="s">
        <v>7958</v>
      </c>
      <c r="J1769" s="0" t="s">
        <v>2800</v>
      </c>
      <c r="K1769" s="0" t="s">
        <v>160</v>
      </c>
      <c r="M1769" s="0" t="s">
        <v>7954</v>
      </c>
      <c r="N1769" s="0" t="str">
        <f aca="false">RIGHT(M1769,LEN(M1769)-FIND(" ",M1769))</f>
        <v>OAK KNOLL AVE SE</v>
      </c>
      <c r="P1769" s="0" t="s">
        <v>145</v>
      </c>
      <c r="Q1769" s="0" t="s">
        <v>146</v>
      </c>
      <c r="R1769" s="0" t="n">
        <v>44483</v>
      </c>
      <c r="AD1769" s="0" t="s">
        <v>147</v>
      </c>
      <c r="AE1769" s="0" t="s">
        <v>148</v>
      </c>
      <c r="AF1769" s="0" t="s">
        <v>149</v>
      </c>
      <c r="AH1769" s="0" t="n">
        <v>14</v>
      </c>
      <c r="AI1769" s="0" t="n">
        <v>11</v>
      </c>
      <c r="AN1769" s="0" t="s">
        <v>145</v>
      </c>
      <c r="AO1769" s="0" t="s">
        <v>150</v>
      </c>
      <c r="AP1769" s="0" t="s">
        <v>151</v>
      </c>
      <c r="AQ1769" s="0" t="n">
        <v>9</v>
      </c>
      <c r="AR1769" s="0" t="n">
        <v>64</v>
      </c>
      <c r="AS1769" s="0" t="n">
        <v>32</v>
      </c>
      <c r="AU1769" s="0" t="n">
        <f aca="false">COUNTA($BA$508:$EH$508)</f>
        <v>3</v>
      </c>
      <c r="AV1769" s="0" t="n">
        <f aca="false">COUNTIF($BA$508:$EH$508,"D")</f>
        <v>0</v>
      </c>
      <c r="AW1769" s="0" t="n">
        <f aca="false">COUNTIF($BA$508:$EH$508,"R")</f>
        <v>0</v>
      </c>
      <c r="AX1769" s="0" t="n">
        <f aca="false">IF(BN1769="D",1,0)+IF(BO1769="D",1,0)+IF(BT1769="D",1,0)+IF(BU1769="D",1,0)+IF(BW1769="D",1,0)+IF(CC1769="D",1,0)+IF(CD1769="D",1,0)+IF(CE1769="D",1,0)+IF(CF1769="D",1,0)+IF(CL1769="D",1,0)+IF(CM1769="D",1,0)+IF(CQ1769="D",1,0)+IF(CR1769="D",1,0)+IF(CS1769="D",1,0)+IF(CW1769="D",1,0)+IF(CX1769="D",1,0)+IF(DD1769="D",1,0)+IF(DE1769="D",1,0)+IF(DJ1769="D",1,0)+IF(DK1769="D",1,0)+IF(DO1769="D",1,0)+IF(DP1769="D",1,0)+IF(DQ1769="D",1,0)+IF(DW1769="D",1,0)+IF(DZ1769="D",1,0)+IF(EH1769="D",1,0)</f>
        <v>0</v>
      </c>
      <c r="AY1769" s="0" t="n">
        <f aca="false">COUNTIF(DU1769:EH1769, "&lt;&gt;")</f>
        <v>1</v>
      </c>
      <c r="AZ1769" s="0" t="n">
        <f aca="false">IF(EH1769&lt;&gt;"",1,0)</f>
        <v>0</v>
      </c>
      <c r="BB1769" s="0" t="s">
        <v>152</v>
      </c>
      <c r="DC1769" s="0" t="s">
        <v>153</v>
      </c>
      <c r="DN1769" s="0" t="s">
        <v>153</v>
      </c>
      <c r="EF1769" s="0" t="s">
        <v>153</v>
      </c>
    </row>
    <row r="1770" customFormat="false" ht="13.8" hidden="false" customHeight="false" outlineLevel="0" collapsed="false">
      <c r="A1770" s="0" t="s">
        <v>7959</v>
      </c>
      <c r="B1770" s="0" t="n">
        <v>78</v>
      </c>
      <c r="C1770" s="0" t="n">
        <v>12371</v>
      </c>
      <c r="D1770" s="0" t="s">
        <v>7960</v>
      </c>
      <c r="E1770" s="0" t="s">
        <v>7961</v>
      </c>
      <c r="F1770" s="0" t="str">
        <f aca="false">CONCATENATE(D1770," ",LEFT(H1770,4),"T=",AU1770,"D=",AV1770,"R=",AW1770,"M=",AX1770,"L=",AY1770,"B=",AZ1770)</f>
        <v>GLASS T=1D=0R=0M=1L=6B=0</v>
      </c>
      <c r="G1770" s="0" t="s">
        <v>7962</v>
      </c>
      <c r="I1770" s="0" t="s">
        <v>7963</v>
      </c>
      <c r="J1770" s="0" t="s">
        <v>7964</v>
      </c>
      <c r="K1770" s="0" t="s">
        <v>160</v>
      </c>
      <c r="L1770" s="0" t="s">
        <v>175</v>
      </c>
      <c r="M1770" s="0" t="s">
        <v>7965</v>
      </c>
      <c r="N1770" s="0" t="str">
        <f aca="false">RIGHT(M1770,LEN(M1770)-FIND(" ",M1770))</f>
        <v>OAK KNOLL AVE SE</v>
      </c>
      <c r="P1770" s="0" t="s">
        <v>145</v>
      </c>
      <c r="Q1770" s="0" t="s">
        <v>146</v>
      </c>
      <c r="R1770" s="0" t="n">
        <v>44483</v>
      </c>
      <c r="AD1770" s="0" t="s">
        <v>147</v>
      </c>
      <c r="AE1770" s="0" t="s">
        <v>148</v>
      </c>
      <c r="AF1770" s="0" t="s">
        <v>149</v>
      </c>
      <c r="AH1770" s="0" t="n">
        <v>14</v>
      </c>
      <c r="AI1770" s="0" t="n">
        <v>11</v>
      </c>
      <c r="AN1770" s="0" t="s">
        <v>145</v>
      </c>
      <c r="AO1770" s="0" t="s">
        <v>150</v>
      </c>
      <c r="AP1770" s="0" t="s">
        <v>151</v>
      </c>
      <c r="AQ1770" s="0" t="n">
        <v>9</v>
      </c>
      <c r="AR1770" s="0" t="n">
        <v>64</v>
      </c>
      <c r="AS1770" s="0" t="n">
        <v>32</v>
      </c>
      <c r="AU1770" s="0" t="n">
        <f aca="false">COUNTA($BA$895:$EH$895)</f>
        <v>1</v>
      </c>
      <c r="AV1770" s="0" t="n">
        <f aca="false">COUNTIF($BA$895:$EH$895,"D")</f>
        <v>0</v>
      </c>
      <c r="AW1770" s="0" t="n">
        <f aca="false">COUNTIF($BA$895:$EH$895,"R")</f>
        <v>0</v>
      </c>
      <c r="AX1770" s="0" t="n">
        <f aca="false">IF(BN1770="D",1,0)+IF(BO1770="D",1,0)+IF(BT1770="D",1,0)+IF(BU1770="D",1,0)+IF(BW1770="D",1,0)+IF(CC1770="D",1,0)+IF(CD1770="D",1,0)+IF(CE1770="D",1,0)+IF(CF1770="D",1,0)+IF(CL1770="D",1,0)+IF(CM1770="D",1,0)+IF(CQ1770="D",1,0)+IF(CR1770="D",1,0)+IF(CS1770="D",1,0)+IF(CW1770="D",1,0)+IF(CX1770="D",1,0)+IF(DD1770="D",1,0)+IF(DE1770="D",1,0)+IF(DJ1770="D",1,0)+IF(DK1770="D",1,0)+IF(DO1770="D",1,0)+IF(DP1770="D",1,0)+IF(DQ1770="D",1,0)+IF(DW1770="D",1,0)+IF(DZ1770="D",1,0)+IF(EH1770="D",1,0)</f>
        <v>1</v>
      </c>
      <c r="AY1770" s="0" t="n">
        <f aca="false">COUNTIF(DU1770:EH1770, "&lt;&gt;")</f>
        <v>6</v>
      </c>
      <c r="AZ1770" s="0" t="n">
        <f aca="false">IF(EH1770&lt;&gt;"",1,0)</f>
        <v>0</v>
      </c>
      <c r="BB1770" s="0" t="s">
        <v>152</v>
      </c>
      <c r="BD1770" s="0" t="s">
        <v>153</v>
      </c>
      <c r="BH1770" s="0" t="s">
        <v>153</v>
      </c>
      <c r="BL1770" s="0" t="s">
        <v>153</v>
      </c>
      <c r="BY1770" s="0" t="s">
        <v>175</v>
      </c>
      <c r="CA1770" s="0" t="s">
        <v>153</v>
      </c>
      <c r="CP1770" s="0" t="s">
        <v>153</v>
      </c>
      <c r="CV1770" s="0" t="s">
        <v>153</v>
      </c>
      <c r="CZ1770" s="0" t="s">
        <v>209</v>
      </c>
      <c r="DC1770" s="0" t="s">
        <v>153</v>
      </c>
      <c r="DI1770" s="0" t="s">
        <v>153</v>
      </c>
      <c r="DN1770" s="0" t="s">
        <v>153</v>
      </c>
      <c r="DU1770" s="0" t="s">
        <v>153</v>
      </c>
      <c r="DW1770" s="0" t="s">
        <v>175</v>
      </c>
      <c r="DX1770" s="0" t="s">
        <v>153</v>
      </c>
      <c r="EA1770" s="0" t="s">
        <v>153</v>
      </c>
      <c r="ED1770" s="0" t="s">
        <v>175</v>
      </c>
      <c r="EF1770" s="0" t="s">
        <v>153</v>
      </c>
    </row>
    <row r="1771" customFormat="false" ht="13.8" hidden="true" customHeight="false" outlineLevel="0" collapsed="false">
      <c r="A1771" s="0" t="s">
        <v>7966</v>
      </c>
      <c r="B1771" s="0" t="n">
        <v>78</v>
      </c>
      <c r="C1771" s="0" t="n">
        <v>487059</v>
      </c>
      <c r="D1771" s="0" t="s">
        <v>761</v>
      </c>
      <c r="E1771" s="0" t="s">
        <v>7967</v>
      </c>
      <c r="F1771" s="0" t="str">
        <f aca="false">CONCATENATE(D1771," ",LEFT(H1771,4),"T=",AU1771,"D=",AV1771,"R=",AW1771,"M=",AX1771,"L=",AY1771,"B=",AZ1771)</f>
        <v>BROWN T=1D=0R=0M=0L=0B=0</v>
      </c>
      <c r="G1771" s="0" t="s">
        <v>202</v>
      </c>
      <c r="I1771" s="0" t="s">
        <v>7968</v>
      </c>
      <c r="J1771" s="0" t="s">
        <v>782</v>
      </c>
      <c r="K1771" s="0" t="s">
        <v>160</v>
      </c>
      <c r="M1771" s="0" t="s">
        <v>7969</v>
      </c>
      <c r="N1771" s="0" t="str">
        <f aca="false">RIGHT(M1771,LEN(M1771)-FIND(" ",M1771))</f>
        <v>OAK KNOLL AVE SE</v>
      </c>
      <c r="P1771" s="0" t="s">
        <v>145</v>
      </c>
      <c r="Q1771" s="0" t="s">
        <v>146</v>
      </c>
      <c r="R1771" s="0" t="n">
        <v>44483</v>
      </c>
      <c r="AD1771" s="0" t="s">
        <v>147</v>
      </c>
      <c r="AE1771" s="0" t="s">
        <v>148</v>
      </c>
      <c r="AF1771" s="0" t="s">
        <v>149</v>
      </c>
      <c r="AH1771" s="0" t="n">
        <v>14</v>
      </c>
      <c r="AI1771" s="0" t="n">
        <v>11</v>
      </c>
      <c r="AN1771" s="0" t="s">
        <v>145</v>
      </c>
      <c r="AO1771" s="0" t="s">
        <v>150</v>
      </c>
      <c r="AP1771" s="0" t="s">
        <v>151</v>
      </c>
      <c r="AQ1771" s="0" t="n">
        <v>9</v>
      </c>
      <c r="AR1771" s="0" t="n">
        <v>64</v>
      </c>
      <c r="AS1771" s="0" t="n">
        <v>32</v>
      </c>
      <c r="AU1771" s="0" t="n">
        <f aca="false">COUNTA($BA$656:$EH$656)</f>
        <v>1</v>
      </c>
      <c r="AV1771" s="0" t="n">
        <f aca="false">COUNTIF($BA$656:$EH$656,"D")</f>
        <v>0</v>
      </c>
      <c r="AW1771" s="0" t="n">
        <f aca="false">COUNTIF($BA$656:$EH$656,"R")</f>
        <v>0</v>
      </c>
      <c r="AX1771" s="0" t="n">
        <f aca="false">IF(BN1771="D",1,0)+IF(BO1771="D",1,0)+IF(BT1771="D",1,0)+IF(BU1771="D",1,0)+IF(BW1771="D",1,0)+IF(CC1771="D",1,0)+IF(CD1771="D",1,0)+IF(CE1771="D",1,0)+IF(CF1771="D",1,0)+IF(CL1771="D",1,0)+IF(CM1771="D",1,0)+IF(CQ1771="D",1,0)+IF(CR1771="D",1,0)+IF(CS1771="D",1,0)+IF(CW1771="D",1,0)+IF(CX1771="D",1,0)+IF(DD1771="D",1,0)+IF(DE1771="D",1,0)+IF(DJ1771="D",1,0)+IF(DK1771="D",1,0)+IF(DO1771="D",1,0)+IF(DP1771="D",1,0)+IF(DQ1771="D",1,0)+IF(DW1771="D",1,0)+IF(DZ1771="D",1,0)+IF(EH1771="D",1,0)</f>
        <v>0</v>
      </c>
      <c r="AY1771" s="0" t="n">
        <f aca="false">COUNTIF(DU1771:EH1771, "&lt;&gt;")</f>
        <v>0</v>
      </c>
      <c r="AZ1771" s="0" t="n">
        <f aca="false">IF(EH1771&lt;&gt;"",1,0)</f>
        <v>0</v>
      </c>
      <c r="BB1771" s="0" t="s">
        <v>152</v>
      </c>
    </row>
    <row r="1772" customFormat="false" ht="13.8" hidden="false" customHeight="false" outlineLevel="0" collapsed="false">
      <c r="A1772" s="0" t="s">
        <v>7970</v>
      </c>
      <c r="B1772" s="0" t="n">
        <v>78</v>
      </c>
      <c r="C1772" s="0" t="n">
        <v>350343</v>
      </c>
      <c r="D1772" s="0" t="s">
        <v>7971</v>
      </c>
      <c r="E1772" s="0" t="s">
        <v>2401</v>
      </c>
      <c r="F1772" s="0" t="str">
        <f aca="false">CONCATENATE(D1772," ",LEFT(H1772,4),"T=",AU1772,"D=",AV1772,"R=",AW1772,"M=",AX1772,"L=",AY1772,"B=",AZ1772)</f>
        <v>ROWLEY T=5D=0R=0M=0L=4B=0</v>
      </c>
      <c r="G1772" s="0" t="s">
        <v>839</v>
      </c>
      <c r="I1772" s="0" t="s">
        <v>7972</v>
      </c>
      <c r="J1772" s="0" t="s">
        <v>7973</v>
      </c>
      <c r="K1772" s="0" t="s">
        <v>160</v>
      </c>
      <c r="L1772" s="0" t="s">
        <v>209</v>
      </c>
      <c r="M1772" s="0" t="s">
        <v>7974</v>
      </c>
      <c r="N1772" s="0" t="str">
        <f aca="false">RIGHT(M1772,LEN(M1772)-FIND(" ",M1772))</f>
        <v>OAK KNOLL AVE SE</v>
      </c>
      <c r="P1772" s="0" t="s">
        <v>145</v>
      </c>
      <c r="Q1772" s="0" t="s">
        <v>146</v>
      </c>
      <c r="R1772" s="0" t="n">
        <v>44483</v>
      </c>
      <c r="AD1772" s="0" t="s">
        <v>147</v>
      </c>
      <c r="AE1772" s="0" t="s">
        <v>148</v>
      </c>
      <c r="AF1772" s="0" t="s">
        <v>149</v>
      </c>
      <c r="AH1772" s="0" t="n">
        <v>14</v>
      </c>
      <c r="AI1772" s="0" t="n">
        <v>11</v>
      </c>
      <c r="AN1772" s="0" t="s">
        <v>145</v>
      </c>
      <c r="AO1772" s="0" t="s">
        <v>150</v>
      </c>
      <c r="AP1772" s="0" t="s">
        <v>151</v>
      </c>
      <c r="AQ1772" s="0" t="n">
        <v>9</v>
      </c>
      <c r="AR1772" s="0" t="n">
        <v>64</v>
      </c>
      <c r="AS1772" s="0" t="n">
        <v>32</v>
      </c>
      <c r="AU1772" s="0" t="n">
        <f aca="false">COUNTA($BA$853:$EH$853)</f>
        <v>5</v>
      </c>
      <c r="AV1772" s="0" t="n">
        <f aca="false">COUNTIF($BA$853:$EH$853,"D")</f>
        <v>0</v>
      </c>
      <c r="AW1772" s="0" t="n">
        <f aca="false">COUNTIF($BA$853:$EH$853,"R")</f>
        <v>0</v>
      </c>
      <c r="AX1772" s="0" t="n">
        <f aca="false">IF(BN1772="D",1,0)+IF(BO1772="D",1,0)+IF(BT1772="D",1,0)+IF(BU1772="D",1,0)+IF(BW1772="D",1,0)+IF(CC1772="D",1,0)+IF(CD1772="D",1,0)+IF(CE1772="D",1,0)+IF(CF1772="D",1,0)+IF(CL1772="D",1,0)+IF(CM1772="D",1,0)+IF(CQ1772="D",1,0)+IF(CR1772="D",1,0)+IF(CS1772="D",1,0)+IF(CW1772="D",1,0)+IF(CX1772="D",1,0)+IF(DD1772="D",1,0)+IF(DE1772="D",1,0)+IF(DJ1772="D",1,0)+IF(DK1772="D",1,0)+IF(DO1772="D",1,0)+IF(DP1772="D",1,0)+IF(DQ1772="D",1,0)+IF(DW1772="D",1,0)+IF(DZ1772="D",1,0)+IF(EH1772="D",1,0)</f>
        <v>0</v>
      </c>
      <c r="AY1772" s="0" t="n">
        <f aca="false">COUNTIF(DU1772:EH1772, "&lt;&gt;")</f>
        <v>4</v>
      </c>
      <c r="AZ1772" s="0" t="n">
        <f aca="false">IF(EH1772&lt;&gt;"",1,0)</f>
        <v>0</v>
      </c>
      <c r="BB1772" s="0" t="s">
        <v>152</v>
      </c>
      <c r="CK1772" s="0" t="s">
        <v>153</v>
      </c>
      <c r="CN1772" s="0" t="s">
        <v>153</v>
      </c>
      <c r="CO1772" s="0" t="s">
        <v>209</v>
      </c>
      <c r="CP1772" s="0" t="s">
        <v>153</v>
      </c>
      <c r="CV1772" s="0" t="s">
        <v>153</v>
      </c>
      <c r="CZ1772" s="0" t="s">
        <v>209</v>
      </c>
      <c r="DC1772" s="0" t="s">
        <v>153</v>
      </c>
      <c r="DN1772" s="0" t="s">
        <v>153</v>
      </c>
      <c r="DX1772" s="0" t="s">
        <v>153</v>
      </c>
      <c r="EA1772" s="0" t="s">
        <v>153</v>
      </c>
      <c r="ED1772" s="0" t="s">
        <v>209</v>
      </c>
      <c r="EF1772" s="0" t="s">
        <v>153</v>
      </c>
    </row>
    <row r="1773" customFormat="false" ht="13.8" hidden="false" customHeight="false" outlineLevel="0" collapsed="false">
      <c r="A1773" s="0" t="s">
        <v>7975</v>
      </c>
      <c r="B1773" s="0" t="n">
        <v>78</v>
      </c>
      <c r="C1773" s="0" t="n">
        <v>224241</v>
      </c>
      <c r="D1773" s="0" t="s">
        <v>7971</v>
      </c>
      <c r="E1773" s="0" t="s">
        <v>5881</v>
      </c>
      <c r="F1773" s="0" t="str">
        <f aca="false">CONCATENATE(D1773," ",LEFT(H1773,4),"T=",AU1773,"D=",AV1773,"R=",AW1773,"M=",AX1773,"L=",AY1773,"B=",AZ1773)</f>
        <v>ROWLEY T=1D=0R=0M=1L=6B=0</v>
      </c>
      <c r="I1773" s="0" t="s">
        <v>7976</v>
      </c>
      <c r="J1773" s="0" t="s">
        <v>7977</v>
      </c>
      <c r="K1773" s="0" t="s">
        <v>160</v>
      </c>
      <c r="L1773" s="0" t="s">
        <v>209</v>
      </c>
      <c r="M1773" s="0" t="s">
        <v>7974</v>
      </c>
      <c r="N1773" s="0" t="str">
        <f aca="false">RIGHT(M1773,LEN(M1773)-FIND(" ",M1773))</f>
        <v>OAK KNOLL AVE SE</v>
      </c>
      <c r="P1773" s="0" t="s">
        <v>145</v>
      </c>
      <c r="Q1773" s="0" t="s">
        <v>146</v>
      </c>
      <c r="R1773" s="0" t="n">
        <v>44483</v>
      </c>
      <c r="AD1773" s="0" t="s">
        <v>147</v>
      </c>
      <c r="AE1773" s="0" t="s">
        <v>148</v>
      </c>
      <c r="AF1773" s="0" t="s">
        <v>149</v>
      </c>
      <c r="AH1773" s="0" t="n">
        <v>14</v>
      </c>
      <c r="AI1773" s="0" t="n">
        <v>11</v>
      </c>
      <c r="AN1773" s="0" t="s">
        <v>145</v>
      </c>
      <c r="AO1773" s="0" t="s">
        <v>150</v>
      </c>
      <c r="AP1773" s="0" t="s">
        <v>151</v>
      </c>
      <c r="AQ1773" s="0" t="n">
        <v>9</v>
      </c>
      <c r="AR1773" s="0" t="n">
        <v>64</v>
      </c>
      <c r="AS1773" s="0" t="n">
        <v>32</v>
      </c>
      <c r="AU1773" s="0" t="n">
        <f aca="false">COUNTA($BA$861:$EH$861)</f>
        <v>1</v>
      </c>
      <c r="AV1773" s="0" t="n">
        <f aca="false">COUNTIF($BA$861:$EH$861,"D")</f>
        <v>0</v>
      </c>
      <c r="AW1773" s="0" t="n">
        <f aca="false">COUNTIF($BA$861:$EH$861,"R")</f>
        <v>0</v>
      </c>
      <c r="AX1773" s="0" t="n">
        <f aca="false">IF(BN1773="D",1,0)+IF(BO1773="D",1,0)+IF(BT1773="D",1,0)+IF(BU1773="D",1,0)+IF(BW1773="D",1,0)+IF(CC1773="D",1,0)+IF(CD1773="D",1,0)+IF(CE1773="D",1,0)+IF(CF1773="D",1,0)+IF(CL1773="D",1,0)+IF(CM1773="D",1,0)+IF(CQ1773="D",1,0)+IF(CR1773="D",1,0)+IF(CS1773="D",1,0)+IF(CW1773="D",1,0)+IF(CX1773="D",1,0)+IF(DD1773="D",1,0)+IF(DE1773="D",1,0)+IF(DJ1773="D",1,0)+IF(DK1773="D",1,0)+IF(DO1773="D",1,0)+IF(DP1773="D",1,0)+IF(DQ1773="D",1,0)+IF(DW1773="D",1,0)+IF(DZ1773="D",1,0)+IF(EH1773="D",1,0)</f>
        <v>1</v>
      </c>
      <c r="AY1773" s="0" t="n">
        <f aca="false">COUNTIF(DU1773:EH1773, "&lt;&gt;")</f>
        <v>6</v>
      </c>
      <c r="AZ1773" s="0" t="n">
        <f aca="false">IF(EH1773&lt;&gt;"",1,0)</f>
        <v>0</v>
      </c>
      <c r="BB1773" s="0" t="s">
        <v>152</v>
      </c>
      <c r="BC1773" s="0" t="s">
        <v>153</v>
      </c>
      <c r="BD1773" s="0" t="s">
        <v>153</v>
      </c>
      <c r="BK1773" s="0" t="s">
        <v>153</v>
      </c>
      <c r="BL1773" s="0" t="s">
        <v>153</v>
      </c>
      <c r="BP1773" s="0" t="s">
        <v>153</v>
      </c>
      <c r="BR1773" s="0" t="s">
        <v>153</v>
      </c>
      <c r="BS1773" s="0" t="s">
        <v>153</v>
      </c>
      <c r="BV1773" s="0" t="s">
        <v>153</v>
      </c>
      <c r="CA1773" s="0" t="s">
        <v>153</v>
      </c>
      <c r="CG1773" s="0" t="s">
        <v>153</v>
      </c>
      <c r="CK1773" s="0" t="s">
        <v>153</v>
      </c>
      <c r="CN1773" s="0" t="s">
        <v>153</v>
      </c>
      <c r="CO1773" s="0" t="s">
        <v>209</v>
      </c>
      <c r="CP1773" s="0" t="s">
        <v>153</v>
      </c>
      <c r="CV1773" s="0" t="s">
        <v>153</v>
      </c>
      <c r="CZ1773" s="0" t="s">
        <v>209</v>
      </c>
      <c r="DC1773" s="0" t="s">
        <v>153</v>
      </c>
      <c r="DI1773" s="0" t="s">
        <v>153</v>
      </c>
      <c r="DN1773" s="0" t="s">
        <v>153</v>
      </c>
      <c r="DU1773" s="0" t="s">
        <v>153</v>
      </c>
      <c r="DW1773" s="0" t="s">
        <v>175</v>
      </c>
      <c r="DX1773" s="0" t="s">
        <v>153</v>
      </c>
      <c r="EA1773" s="0" t="s">
        <v>153</v>
      </c>
      <c r="ED1773" s="0" t="s">
        <v>209</v>
      </c>
      <c r="EF1773" s="0" t="s">
        <v>153</v>
      </c>
    </row>
    <row r="1774" customFormat="false" ht="13.8" hidden="true" customHeight="false" outlineLevel="0" collapsed="false">
      <c r="A1774" s="0" t="s">
        <v>7978</v>
      </c>
      <c r="B1774" s="0" t="n">
        <v>78</v>
      </c>
      <c r="C1774" s="0" t="n">
        <v>12326</v>
      </c>
      <c r="D1774" s="0" t="s">
        <v>7979</v>
      </c>
      <c r="E1774" s="0" t="s">
        <v>1710</v>
      </c>
      <c r="F1774" s="0" t="str">
        <f aca="false">CONCATENATE(D1774," ",LEFT(H1774,4),"T=",AU1774,"D=",AV1774,"R=",AW1774,"M=",AX1774,"L=",AY1774,"B=",AZ1774)</f>
        <v>CHELSTOWSKI T=24D=6R=0M=2L=0B=0</v>
      </c>
      <c r="G1774" s="0" t="s">
        <v>325</v>
      </c>
      <c r="I1774" s="0" t="s">
        <v>7980</v>
      </c>
      <c r="J1774" s="0" t="s">
        <v>7981</v>
      </c>
      <c r="K1774" s="0" t="s">
        <v>143</v>
      </c>
      <c r="M1774" s="0" t="s">
        <v>7982</v>
      </c>
      <c r="N1774" s="0" t="str">
        <f aca="false">RIGHT(M1774,LEN(M1774)-FIND(" ",M1774))</f>
        <v>OAK KNOLL AVE SE</v>
      </c>
      <c r="P1774" s="0" t="s">
        <v>145</v>
      </c>
      <c r="Q1774" s="0" t="s">
        <v>146</v>
      </c>
      <c r="R1774" s="0" t="n">
        <v>44483</v>
      </c>
      <c r="AD1774" s="0" t="s">
        <v>147</v>
      </c>
      <c r="AE1774" s="0" t="s">
        <v>148</v>
      </c>
      <c r="AF1774" s="0" t="s">
        <v>149</v>
      </c>
      <c r="AH1774" s="0" t="n">
        <v>14</v>
      </c>
      <c r="AI1774" s="0" t="n">
        <v>11</v>
      </c>
      <c r="AN1774" s="0" t="s">
        <v>145</v>
      </c>
      <c r="AO1774" s="0" t="s">
        <v>150</v>
      </c>
      <c r="AP1774" s="0" t="s">
        <v>151</v>
      </c>
      <c r="AQ1774" s="0" t="n">
        <v>9</v>
      </c>
      <c r="AR1774" s="0" t="n">
        <v>64</v>
      </c>
      <c r="AS1774" s="0" t="n">
        <v>32</v>
      </c>
      <c r="AU1774" s="0" t="n">
        <f aca="false">COUNTA($BA$442:$EH$442)</f>
        <v>24</v>
      </c>
      <c r="AV1774" s="0" t="n">
        <f aca="false">COUNTIF($BA$442:$EH$442,"D")</f>
        <v>6</v>
      </c>
      <c r="AW1774" s="0" t="n">
        <f aca="false">COUNTIF($BA$442:$EH$442,"R")</f>
        <v>0</v>
      </c>
      <c r="AX1774" s="0" t="n">
        <f aca="false">IF(BN1774="D",1,0)+IF(BO1774="D",1,0)+IF(BT1774="D",1,0)+IF(BU1774="D",1,0)+IF(BW1774="D",1,0)+IF(CC1774="D",1,0)+IF(CD1774="D",1,0)+IF(CE1774="D",1,0)+IF(CF1774="D",1,0)+IF(CL1774="D",1,0)+IF(CM1774="D",1,0)+IF(CQ1774="D",1,0)+IF(CR1774="D",1,0)+IF(CS1774="D",1,0)+IF(CW1774="D",1,0)+IF(CX1774="D",1,0)+IF(DD1774="D",1,0)+IF(DE1774="D",1,0)+IF(DJ1774="D",1,0)+IF(DK1774="D",1,0)+IF(DO1774="D",1,0)+IF(DP1774="D",1,0)+IF(DQ1774="D",1,0)+IF(DW1774="D",1,0)+IF(DZ1774="D",1,0)+IF(EH1774="D",1,0)</f>
        <v>2</v>
      </c>
      <c r="AY1774" s="0" t="n">
        <f aca="false">COUNTIF(DU1774:EH1774, "&lt;&gt;")</f>
        <v>0</v>
      </c>
      <c r="AZ1774" s="0" t="n">
        <f aca="false">IF(EH1774&lt;&gt;"",1,0)</f>
        <v>0</v>
      </c>
      <c r="BB1774" s="0" t="s">
        <v>152</v>
      </c>
      <c r="BC1774" s="0" t="s">
        <v>153</v>
      </c>
      <c r="BD1774" s="0" t="s">
        <v>153</v>
      </c>
      <c r="BE1774" s="0" t="s">
        <v>153</v>
      </c>
      <c r="BF1774" s="0" t="s">
        <v>153</v>
      </c>
      <c r="BH1774" s="0" t="s">
        <v>153</v>
      </c>
      <c r="BI1774" s="0" t="s">
        <v>153</v>
      </c>
      <c r="BJ1774" s="0" t="s">
        <v>153</v>
      </c>
      <c r="BK1774" s="0" t="s">
        <v>153</v>
      </c>
      <c r="BL1774" s="0" t="s">
        <v>153</v>
      </c>
      <c r="BP1774" s="0" t="s">
        <v>153</v>
      </c>
      <c r="BR1774" s="0" t="s">
        <v>153</v>
      </c>
      <c r="BS1774" s="0" t="s">
        <v>153</v>
      </c>
      <c r="BV1774" s="0" t="s">
        <v>153</v>
      </c>
      <c r="BY1774" s="0" t="s">
        <v>175</v>
      </c>
      <c r="CA1774" s="0" t="s">
        <v>153</v>
      </c>
      <c r="CG1774" s="0" t="s">
        <v>153</v>
      </c>
      <c r="CH1774" s="0" t="s">
        <v>175</v>
      </c>
      <c r="CK1774" s="0" t="s">
        <v>153</v>
      </c>
      <c r="CL1774" s="0" t="s">
        <v>175</v>
      </c>
      <c r="CN1774" s="0" t="s">
        <v>153</v>
      </c>
      <c r="CO1774" s="0" t="s">
        <v>175</v>
      </c>
      <c r="CP1774" s="0" t="s">
        <v>153</v>
      </c>
      <c r="CV1774" s="0" t="s">
        <v>153</v>
      </c>
      <c r="CW1774" s="0" t="s">
        <v>175</v>
      </c>
      <c r="CY1774" s="0" t="s">
        <v>153</v>
      </c>
      <c r="CZ1774" s="0" t="s">
        <v>209</v>
      </c>
      <c r="DC1774" s="0" t="s">
        <v>153</v>
      </c>
      <c r="DF1774" s="0" t="s">
        <v>153</v>
      </c>
      <c r="DG1774" s="0" t="s">
        <v>175</v>
      </c>
      <c r="DI1774" s="0" t="s">
        <v>153</v>
      </c>
      <c r="DL1774" s="0" t="s">
        <v>153</v>
      </c>
      <c r="DM1774" s="0" t="s">
        <v>175</v>
      </c>
      <c r="DN1774" s="0" t="s">
        <v>153</v>
      </c>
    </row>
    <row r="1775" customFormat="false" ht="13.8" hidden="false" customHeight="false" outlineLevel="0" collapsed="false">
      <c r="A1775" s="0" t="s">
        <v>7983</v>
      </c>
      <c r="B1775" s="0" t="n">
        <v>78</v>
      </c>
      <c r="C1775" s="0" t="n">
        <v>458106</v>
      </c>
      <c r="D1775" s="0" t="s">
        <v>7984</v>
      </c>
      <c r="E1775" s="0" t="s">
        <v>3536</v>
      </c>
      <c r="F1775" s="0" t="str">
        <f aca="false">CONCATENATE(D1775," ",LEFT(H1775,4),"T=",AU1775,"D=",AV1775,"R=",AW1775,"M=",AX1775,"L=",AY1775,"B=",AZ1775)</f>
        <v>MANSFIELD JRT=2D=0R=0M=0L=4B=0</v>
      </c>
      <c r="G1775" s="0" t="s">
        <v>171</v>
      </c>
      <c r="H1775" s="0" t="s">
        <v>314</v>
      </c>
      <c r="I1775" s="0" t="s">
        <v>7985</v>
      </c>
      <c r="J1775" s="0" t="s">
        <v>7986</v>
      </c>
      <c r="K1775" s="0" t="s">
        <v>160</v>
      </c>
      <c r="L1775" s="0" t="s">
        <v>175</v>
      </c>
      <c r="M1775" s="0" t="s">
        <v>7982</v>
      </c>
      <c r="N1775" s="0" t="str">
        <f aca="false">RIGHT(M1775,LEN(M1775)-FIND(" ",M1775))</f>
        <v>OAK KNOLL AVE SE</v>
      </c>
      <c r="P1775" s="0" t="s">
        <v>145</v>
      </c>
      <c r="Q1775" s="0" t="s">
        <v>146</v>
      </c>
      <c r="R1775" s="0" t="n">
        <v>44483</v>
      </c>
      <c r="AD1775" s="0" t="s">
        <v>147</v>
      </c>
      <c r="AE1775" s="0" t="s">
        <v>148</v>
      </c>
      <c r="AF1775" s="0" t="s">
        <v>149</v>
      </c>
      <c r="AH1775" s="0" t="n">
        <v>14</v>
      </c>
      <c r="AI1775" s="0" t="n">
        <v>11</v>
      </c>
      <c r="AN1775" s="0" t="s">
        <v>145</v>
      </c>
      <c r="AO1775" s="0" t="s">
        <v>150</v>
      </c>
      <c r="AP1775" s="0" t="s">
        <v>151</v>
      </c>
      <c r="AQ1775" s="0" t="n">
        <v>9</v>
      </c>
      <c r="AR1775" s="0" t="n">
        <v>64</v>
      </c>
      <c r="AS1775" s="0" t="n">
        <v>32</v>
      </c>
      <c r="AU1775" s="0" t="n">
        <f aca="false">COUNTA($BA$546:$EH$546)</f>
        <v>2</v>
      </c>
      <c r="AV1775" s="0" t="n">
        <f aca="false">COUNTIF($BA$546:$EH$546,"D")</f>
        <v>0</v>
      </c>
      <c r="AW1775" s="0" t="n">
        <f aca="false">COUNTIF($BA$546:$EH$546,"R")</f>
        <v>0</v>
      </c>
      <c r="AX1775" s="0" t="n">
        <f aca="false">IF(BN1775="D",1,0)+IF(BO1775="D",1,0)+IF(BT1775="D",1,0)+IF(BU1775="D",1,0)+IF(BW1775="D",1,0)+IF(CC1775="D",1,0)+IF(CD1775="D",1,0)+IF(CE1775="D",1,0)+IF(CF1775="D",1,0)+IF(CL1775="D",1,0)+IF(CM1775="D",1,0)+IF(CQ1775="D",1,0)+IF(CR1775="D",1,0)+IF(CS1775="D",1,0)+IF(CW1775="D",1,0)+IF(CX1775="D",1,0)+IF(DD1775="D",1,0)+IF(DE1775="D",1,0)+IF(DJ1775="D",1,0)+IF(DK1775="D",1,0)+IF(DO1775="D",1,0)+IF(DP1775="D",1,0)+IF(DQ1775="D",1,0)+IF(DW1775="D",1,0)+IF(DZ1775="D",1,0)+IF(EH1775="D",1,0)</f>
        <v>0</v>
      </c>
      <c r="AY1775" s="0" t="n">
        <f aca="false">COUNTIF(DU1775:EH1775, "&lt;&gt;")</f>
        <v>4</v>
      </c>
      <c r="AZ1775" s="0" t="n">
        <f aca="false">IF(EH1775&lt;&gt;"",1,0)</f>
        <v>0</v>
      </c>
      <c r="BB1775" s="0" t="s">
        <v>152</v>
      </c>
      <c r="BJ1775" s="0" t="s">
        <v>153</v>
      </c>
      <c r="BL1775" s="0" t="s">
        <v>153</v>
      </c>
      <c r="CA1775" s="0" t="s">
        <v>153</v>
      </c>
      <c r="CP1775" s="0" t="s">
        <v>153</v>
      </c>
      <c r="CV1775" s="0" t="s">
        <v>153</v>
      </c>
      <c r="CY1775" s="0" t="s">
        <v>153</v>
      </c>
      <c r="CZ1775" s="0" t="s">
        <v>175</v>
      </c>
      <c r="DC1775" s="0" t="s">
        <v>153</v>
      </c>
      <c r="DG1775" s="0" t="s">
        <v>175</v>
      </c>
      <c r="DI1775" s="0" t="s">
        <v>153</v>
      </c>
      <c r="DN1775" s="0" t="s">
        <v>153</v>
      </c>
      <c r="DS1775" s="0" t="s">
        <v>175</v>
      </c>
      <c r="DU1775" s="0" t="s">
        <v>153</v>
      </c>
      <c r="DX1775" s="0" t="s">
        <v>153</v>
      </c>
      <c r="EA1775" s="0" t="s">
        <v>153</v>
      </c>
      <c r="EF1775" s="0" t="s">
        <v>153</v>
      </c>
    </row>
    <row r="1776" customFormat="false" ht="13.8" hidden="false" customHeight="false" outlineLevel="0" collapsed="false">
      <c r="A1776" s="0" t="s">
        <v>7987</v>
      </c>
      <c r="B1776" s="0" t="n">
        <v>78</v>
      </c>
      <c r="C1776" s="0" t="n">
        <v>403814</v>
      </c>
      <c r="D1776" s="0" t="s">
        <v>1255</v>
      </c>
      <c r="E1776" s="0" t="s">
        <v>7988</v>
      </c>
      <c r="F1776" s="0" t="str">
        <f aca="false">CONCATENATE(D1776," ",LEFT(H1776,4),"T=",AU1776,"D=",AV1776,"R=",AW1776,"M=",AX1776,"L=",AY1776,"B=",AZ1776)</f>
        <v>CUNNINGHAM T=1D=0R=0M=0L=4B=0</v>
      </c>
      <c r="G1776" s="0" t="s">
        <v>905</v>
      </c>
      <c r="I1776" s="0" t="s">
        <v>7989</v>
      </c>
      <c r="J1776" s="0" t="s">
        <v>7990</v>
      </c>
      <c r="K1776" s="0" t="s">
        <v>160</v>
      </c>
      <c r="M1776" s="0" t="s">
        <v>7982</v>
      </c>
      <c r="N1776" s="0" t="str">
        <f aca="false">RIGHT(M1776,LEN(M1776)-FIND(" ",M1776))</f>
        <v>OAK KNOLL AVE SE</v>
      </c>
      <c r="P1776" s="0" t="s">
        <v>145</v>
      </c>
      <c r="Q1776" s="0" t="s">
        <v>146</v>
      </c>
      <c r="R1776" s="0" t="n">
        <v>44483</v>
      </c>
      <c r="AD1776" s="0" t="s">
        <v>147</v>
      </c>
      <c r="AE1776" s="0" t="s">
        <v>148</v>
      </c>
      <c r="AF1776" s="0" t="s">
        <v>149</v>
      </c>
      <c r="AH1776" s="0" t="n">
        <v>14</v>
      </c>
      <c r="AI1776" s="0" t="n">
        <v>11</v>
      </c>
      <c r="AN1776" s="0" t="s">
        <v>145</v>
      </c>
      <c r="AO1776" s="0" t="s">
        <v>150</v>
      </c>
      <c r="AP1776" s="0" t="s">
        <v>151</v>
      </c>
      <c r="AQ1776" s="0" t="n">
        <v>9</v>
      </c>
      <c r="AR1776" s="0" t="n">
        <v>64</v>
      </c>
      <c r="AS1776" s="0" t="n">
        <v>32</v>
      </c>
      <c r="AU1776" s="0" t="n">
        <f aca="false">COUNTA($BA$991:$EH$991)</f>
        <v>1</v>
      </c>
      <c r="AV1776" s="0" t="n">
        <f aca="false">COUNTIF($BA$991:$EH$991,"D")</f>
        <v>0</v>
      </c>
      <c r="AW1776" s="0" t="n">
        <f aca="false">COUNTIF($BA$991:$EH$991,"R")</f>
        <v>0</v>
      </c>
      <c r="AX1776" s="0" t="n">
        <f aca="false">IF(BN1776="D",1,0)+IF(BO1776="D",1,0)+IF(BT1776="D",1,0)+IF(BU1776="D",1,0)+IF(BW1776="D",1,0)+IF(CC1776="D",1,0)+IF(CD1776="D",1,0)+IF(CE1776="D",1,0)+IF(CF1776="D",1,0)+IF(CL1776="D",1,0)+IF(CM1776="D",1,0)+IF(CQ1776="D",1,0)+IF(CR1776="D",1,0)+IF(CS1776="D",1,0)+IF(CW1776="D",1,0)+IF(CX1776="D",1,0)+IF(DD1776="D",1,0)+IF(DE1776="D",1,0)+IF(DJ1776="D",1,0)+IF(DK1776="D",1,0)+IF(DO1776="D",1,0)+IF(DP1776="D",1,0)+IF(DQ1776="D",1,0)+IF(DW1776="D",1,0)+IF(DZ1776="D",1,0)+IF(EH1776="D",1,0)</f>
        <v>0</v>
      </c>
      <c r="AY1776" s="0" t="n">
        <f aca="false">COUNTIF(DU1776:EH1776, "&lt;&gt;")</f>
        <v>4</v>
      </c>
      <c r="AZ1776" s="0" t="n">
        <f aca="false">IF(EH1776&lt;&gt;"",1,0)</f>
        <v>0</v>
      </c>
      <c r="BB1776" s="0" t="s">
        <v>152</v>
      </c>
      <c r="BY1776" s="0" t="s">
        <v>175</v>
      </c>
      <c r="CA1776" s="0" t="s">
        <v>153</v>
      </c>
      <c r="CP1776" s="0" t="s">
        <v>153</v>
      </c>
      <c r="CY1776" s="0" t="s">
        <v>153</v>
      </c>
      <c r="CZ1776" s="0" t="s">
        <v>175</v>
      </c>
      <c r="DC1776" s="0" t="s">
        <v>153</v>
      </c>
      <c r="DG1776" s="0" t="s">
        <v>175</v>
      </c>
      <c r="DI1776" s="0" t="s">
        <v>153</v>
      </c>
      <c r="DN1776" s="0" t="s">
        <v>153</v>
      </c>
      <c r="DU1776" s="0" t="s">
        <v>153</v>
      </c>
      <c r="DX1776" s="0" t="s">
        <v>153</v>
      </c>
      <c r="EA1776" s="0" t="s">
        <v>153</v>
      </c>
      <c r="EF1776" s="0" t="s">
        <v>153</v>
      </c>
    </row>
    <row r="1777" customFormat="false" ht="13.8" hidden="false" customHeight="false" outlineLevel="0" collapsed="false">
      <c r="A1777" s="0" t="s">
        <v>7991</v>
      </c>
      <c r="B1777" s="0" t="n">
        <v>78</v>
      </c>
      <c r="C1777" s="0" t="n">
        <v>450263</v>
      </c>
      <c r="D1777" s="0" t="s">
        <v>7992</v>
      </c>
      <c r="E1777" s="0" t="s">
        <v>702</v>
      </c>
      <c r="F1777" s="0" t="str">
        <f aca="false">CONCATENATE(D1777," ",LEFT(H1777,4),"T=",AU1777,"D=",AV1777,"R=",AW1777,"M=",AX1777,"L=",AY1777,"B=",AZ1777)</f>
        <v>SZYKULSKI T=6D=0R=0M=1L=6B=1</v>
      </c>
      <c r="G1777" s="0" t="s">
        <v>670</v>
      </c>
      <c r="I1777" s="0" t="s">
        <v>7993</v>
      </c>
      <c r="J1777" s="0" t="s">
        <v>1139</v>
      </c>
      <c r="K1777" s="0" t="s">
        <v>160</v>
      </c>
      <c r="L1777" s="0" t="s">
        <v>175</v>
      </c>
      <c r="M1777" s="0" t="s">
        <v>7994</v>
      </c>
      <c r="N1777" s="0" t="str">
        <f aca="false">RIGHT(M1777,LEN(M1777)-FIND(" ",M1777))</f>
        <v>OAK KNOLL AVE SE</v>
      </c>
      <c r="P1777" s="0" t="s">
        <v>145</v>
      </c>
      <c r="Q1777" s="0" t="s">
        <v>146</v>
      </c>
      <c r="R1777" s="0" t="n">
        <v>44483</v>
      </c>
      <c r="AD1777" s="0" t="s">
        <v>147</v>
      </c>
      <c r="AE1777" s="0" t="s">
        <v>148</v>
      </c>
      <c r="AF1777" s="0" t="s">
        <v>149</v>
      </c>
      <c r="AH1777" s="0" t="n">
        <v>14</v>
      </c>
      <c r="AI1777" s="0" t="n">
        <v>11</v>
      </c>
      <c r="AN1777" s="0" t="s">
        <v>145</v>
      </c>
      <c r="AO1777" s="0" t="s">
        <v>150</v>
      </c>
      <c r="AP1777" s="0" t="s">
        <v>151</v>
      </c>
      <c r="AQ1777" s="0" t="n">
        <v>9</v>
      </c>
      <c r="AR1777" s="0" t="n">
        <v>64</v>
      </c>
      <c r="AS1777" s="0" t="n">
        <v>32</v>
      </c>
      <c r="AU1777" s="0" t="n">
        <f aca="false">COUNTA($BA$780:$EH$780)</f>
        <v>6</v>
      </c>
      <c r="AV1777" s="0" t="n">
        <f aca="false">COUNTIF($BA$780:$EH$780,"D")</f>
        <v>0</v>
      </c>
      <c r="AW1777" s="0" t="n">
        <f aca="false">COUNTIF($BA$780:$EH$780,"R")</f>
        <v>0</v>
      </c>
      <c r="AX1777" s="0" t="n">
        <f aca="false">IF(BN1777="D",1,0)+IF(BO1777="D",1,0)+IF(BT1777="D",1,0)+IF(BU1777="D",1,0)+IF(BW1777="D",1,0)+IF(CC1777="D",1,0)+IF(CD1777="D",1,0)+IF(CE1777="D",1,0)+IF(CF1777="D",1,0)+IF(CL1777="D",1,0)+IF(CM1777="D",1,0)+IF(CQ1777="D",1,0)+IF(CR1777="D",1,0)+IF(CS1777="D",1,0)+IF(CW1777="D",1,0)+IF(CX1777="D",1,0)+IF(DD1777="D",1,0)+IF(DE1777="D",1,0)+IF(DJ1777="D",1,0)+IF(DK1777="D",1,0)+IF(DO1777="D",1,0)+IF(DP1777="D",1,0)+IF(DQ1777="D",1,0)+IF(DW1777="D",1,0)+IF(DZ1777="D",1,0)+IF(EH1777="D",1,0)</f>
        <v>1</v>
      </c>
      <c r="AY1777" s="0" t="n">
        <f aca="false">COUNTIF(DU1777:EH1777, "&lt;&gt;")</f>
        <v>6</v>
      </c>
      <c r="AZ1777" s="0" t="n">
        <f aca="false">IF(EH1777&lt;&gt;"",1,0)</f>
        <v>1</v>
      </c>
      <c r="BB1777" s="0" t="s">
        <v>152</v>
      </c>
      <c r="DN1777" s="0" t="s">
        <v>153</v>
      </c>
      <c r="DU1777" s="0" t="s">
        <v>153</v>
      </c>
      <c r="DX1777" s="0" t="s">
        <v>153</v>
      </c>
      <c r="EA1777" s="0" t="s">
        <v>153</v>
      </c>
      <c r="ED1777" s="0" t="s">
        <v>175</v>
      </c>
      <c r="EF1777" s="0" t="s">
        <v>153</v>
      </c>
      <c r="EH1777" s="0" t="s">
        <v>175</v>
      </c>
    </row>
    <row r="1778" customFormat="false" ht="13.8" hidden="true" customHeight="false" outlineLevel="0" collapsed="false">
      <c r="A1778" s="0" t="s">
        <v>7995</v>
      </c>
      <c r="B1778" s="0" t="n">
        <v>78</v>
      </c>
      <c r="C1778" s="0" t="n">
        <v>457016</v>
      </c>
      <c r="D1778" s="0" t="s">
        <v>7992</v>
      </c>
      <c r="E1778" s="0" t="s">
        <v>6277</v>
      </c>
      <c r="F1778" s="0" t="str">
        <f aca="false">CONCATENATE(D1778," ",LEFT(H1778,4),"T=",AU1778,"D=",AV1778,"R=",AW1778,"M=",AX1778,"L=",AY1778,"B=",AZ1778)</f>
        <v>SZYKULSKI T=9D=0R=0M=0L=0B=0</v>
      </c>
      <c r="G1778" s="0" t="s">
        <v>2337</v>
      </c>
      <c r="I1778" s="0" t="s">
        <v>7996</v>
      </c>
      <c r="J1778" s="0" t="s">
        <v>7997</v>
      </c>
      <c r="K1778" s="0" t="s">
        <v>160</v>
      </c>
      <c r="M1778" s="0" t="s">
        <v>7994</v>
      </c>
      <c r="N1778" s="0" t="str">
        <f aca="false">RIGHT(M1778,LEN(M1778)-FIND(" ",M1778))</f>
        <v>OAK KNOLL AVE SE</v>
      </c>
      <c r="P1778" s="0" t="s">
        <v>145</v>
      </c>
      <c r="Q1778" s="0" t="s">
        <v>146</v>
      </c>
      <c r="R1778" s="0" t="n">
        <v>44483</v>
      </c>
      <c r="AD1778" s="0" t="s">
        <v>147</v>
      </c>
      <c r="AE1778" s="0" t="s">
        <v>148</v>
      </c>
      <c r="AF1778" s="0" t="s">
        <v>149</v>
      </c>
      <c r="AH1778" s="0" t="n">
        <v>14</v>
      </c>
      <c r="AI1778" s="0" t="n">
        <v>11</v>
      </c>
      <c r="AN1778" s="0" t="s">
        <v>145</v>
      </c>
      <c r="AO1778" s="0" t="s">
        <v>150</v>
      </c>
      <c r="AP1778" s="0" t="s">
        <v>151</v>
      </c>
      <c r="AQ1778" s="0" t="n">
        <v>9</v>
      </c>
      <c r="AR1778" s="0" t="n">
        <v>64</v>
      </c>
      <c r="AS1778" s="0" t="n">
        <v>32</v>
      </c>
      <c r="AU1778" s="0" t="n">
        <f aca="false">COUNTA($BA$802:$EH$802)</f>
        <v>9</v>
      </c>
      <c r="AV1778" s="0" t="n">
        <f aca="false">COUNTIF($BA$802:$EH$802,"D")</f>
        <v>0</v>
      </c>
      <c r="AW1778" s="0" t="n">
        <f aca="false">COUNTIF($BA$802:$EH$802,"R")</f>
        <v>0</v>
      </c>
      <c r="AX1778" s="0" t="n">
        <f aca="false">IF(BN1778="D",1,0)+IF(BO1778="D",1,0)+IF(BT1778="D",1,0)+IF(BU1778="D",1,0)+IF(BW1778="D",1,0)+IF(CC1778="D",1,0)+IF(CD1778="D",1,0)+IF(CE1778="D",1,0)+IF(CF1778="D",1,0)+IF(CL1778="D",1,0)+IF(CM1778="D",1,0)+IF(CQ1778="D",1,0)+IF(CR1778="D",1,0)+IF(CS1778="D",1,0)+IF(CW1778="D",1,0)+IF(CX1778="D",1,0)+IF(DD1778="D",1,0)+IF(DE1778="D",1,0)+IF(DJ1778="D",1,0)+IF(DK1778="D",1,0)+IF(DO1778="D",1,0)+IF(DP1778="D",1,0)+IF(DQ1778="D",1,0)+IF(DW1778="D",1,0)+IF(DZ1778="D",1,0)+IF(EH1778="D",1,0)</f>
        <v>0</v>
      </c>
      <c r="AY1778" s="0" t="n">
        <f aca="false">COUNTIF(DU1778:EH1778, "&lt;&gt;")</f>
        <v>0</v>
      </c>
      <c r="AZ1778" s="0" t="n">
        <f aca="false">IF(EH1778&lt;&gt;"",1,0)</f>
        <v>0</v>
      </c>
      <c r="BB1778" s="0" t="s">
        <v>152</v>
      </c>
    </row>
    <row r="1779" customFormat="false" ht="13.8" hidden="false" customHeight="false" outlineLevel="0" collapsed="false">
      <c r="A1779" s="0" t="s">
        <v>7998</v>
      </c>
      <c r="B1779" s="0" t="n">
        <v>78</v>
      </c>
      <c r="C1779" s="0" t="n">
        <v>485115</v>
      </c>
      <c r="D1779" s="0" t="s">
        <v>7999</v>
      </c>
      <c r="E1779" s="0" t="s">
        <v>589</v>
      </c>
      <c r="F1779" s="0" t="str">
        <f aca="false">CONCATENATE(D1779," ",LEFT(H1779,4),"T=",AU1779,"D=",AV1779,"R=",AW1779,"M=",AX1779,"L=",AY1779,"B=",AZ1779)</f>
        <v>GARVERICK T=5D=0R=0M=1L=2B=1</v>
      </c>
      <c r="G1779" s="0" t="s">
        <v>255</v>
      </c>
      <c r="I1779" s="0" t="s">
        <v>8000</v>
      </c>
      <c r="J1779" s="0" t="s">
        <v>8001</v>
      </c>
      <c r="K1779" s="0" t="s">
        <v>160</v>
      </c>
      <c r="L1779" s="0" t="s">
        <v>175</v>
      </c>
      <c r="M1779" s="0" t="s">
        <v>8002</v>
      </c>
      <c r="N1779" s="0" t="str">
        <f aca="false">RIGHT(M1779,LEN(M1779)-FIND(" ",M1779))</f>
        <v>OAK KNOLL AVE SE</v>
      </c>
      <c r="P1779" s="0" t="s">
        <v>145</v>
      </c>
      <c r="Q1779" s="0" t="s">
        <v>146</v>
      </c>
      <c r="R1779" s="0" t="n">
        <v>44483</v>
      </c>
      <c r="AD1779" s="0" t="s">
        <v>147</v>
      </c>
      <c r="AE1779" s="0" t="s">
        <v>148</v>
      </c>
      <c r="AF1779" s="0" t="s">
        <v>149</v>
      </c>
      <c r="AH1779" s="0" t="n">
        <v>14</v>
      </c>
      <c r="AI1779" s="0" t="n">
        <v>11</v>
      </c>
      <c r="AN1779" s="0" t="s">
        <v>145</v>
      </c>
      <c r="AO1779" s="0" t="s">
        <v>150</v>
      </c>
      <c r="AP1779" s="0" t="s">
        <v>151</v>
      </c>
      <c r="AQ1779" s="0" t="n">
        <v>9</v>
      </c>
      <c r="AR1779" s="0" t="n">
        <v>64</v>
      </c>
      <c r="AS1779" s="0" t="n">
        <v>32</v>
      </c>
      <c r="AU1779" s="0" t="n">
        <f aca="false">COUNTA($BA$50:$EH$50)</f>
        <v>5</v>
      </c>
      <c r="AV1779" s="0" t="n">
        <f aca="false">COUNTIF($BA$50:$EH$50,"D")</f>
        <v>0</v>
      </c>
      <c r="AW1779" s="0" t="n">
        <f aca="false">COUNTIF($BA$50:$EH$50,"R")</f>
        <v>0</v>
      </c>
      <c r="AX1779" s="0" t="n">
        <f aca="false">IF(BN1779="D",1,0)+IF(BO1779="D",1,0)+IF(BT1779="D",1,0)+IF(BU1779="D",1,0)+IF(BW1779="D",1,0)+IF(CC1779="D",1,0)+IF(CD1779="D",1,0)+IF(CE1779="D",1,0)+IF(CF1779="D",1,0)+IF(CL1779="D",1,0)+IF(CM1779="D",1,0)+IF(CQ1779="D",1,0)+IF(CR1779="D",1,0)+IF(CS1779="D",1,0)+IF(CW1779="D",1,0)+IF(CX1779="D",1,0)+IF(DD1779="D",1,0)+IF(DE1779="D",1,0)+IF(DJ1779="D",1,0)+IF(DK1779="D",1,0)+IF(DO1779="D",1,0)+IF(DP1779="D",1,0)+IF(DQ1779="D",1,0)+IF(DW1779="D",1,0)+IF(DZ1779="D",1,0)+IF(EH1779="D",1,0)</f>
        <v>1</v>
      </c>
      <c r="AY1779" s="0" t="n">
        <f aca="false">COUNTIF(DU1779:EH1779, "&lt;&gt;")</f>
        <v>2</v>
      </c>
      <c r="AZ1779" s="0" t="n">
        <f aca="false">IF(EH1779&lt;&gt;"",1,0)</f>
        <v>1</v>
      </c>
      <c r="BB1779" s="0" t="s">
        <v>152</v>
      </c>
      <c r="EF1779" s="0" t="s">
        <v>153</v>
      </c>
      <c r="EH1779" s="0" t="s">
        <v>175</v>
      </c>
    </row>
    <row r="1780" customFormat="false" ht="13.8" hidden="false" customHeight="false" outlineLevel="0" collapsed="false">
      <c r="A1780" s="0" t="s">
        <v>8003</v>
      </c>
      <c r="B1780" s="0" t="n">
        <v>78</v>
      </c>
      <c r="C1780" s="0" t="n">
        <v>375873</v>
      </c>
      <c r="D1780" s="0" t="s">
        <v>8004</v>
      </c>
      <c r="E1780" s="0" t="s">
        <v>3819</v>
      </c>
      <c r="F1780" s="0" t="str">
        <f aca="false">CONCATENATE(D1780," ",LEFT(H1780,4),"T=",AU1780,"D=",AV1780,"R=",AW1780,"M=",AX1780,"L=",AY1780,"B=",AZ1780)</f>
        <v>SANKEY T=1D=0R=0M=0L=6B=1</v>
      </c>
      <c r="G1780" s="0" t="s">
        <v>4624</v>
      </c>
      <c r="I1780" s="0" t="s">
        <v>8005</v>
      </c>
      <c r="J1780" s="0" t="s">
        <v>1437</v>
      </c>
      <c r="K1780" s="0" t="s">
        <v>160</v>
      </c>
      <c r="L1780" s="0" t="s">
        <v>209</v>
      </c>
      <c r="M1780" s="0" t="s">
        <v>8002</v>
      </c>
      <c r="N1780" s="0" t="str">
        <f aca="false">RIGHT(M1780,LEN(M1780)-FIND(" ",M1780))</f>
        <v>OAK KNOLL AVE SE</v>
      </c>
      <c r="P1780" s="0" t="s">
        <v>145</v>
      </c>
      <c r="Q1780" s="0" t="s">
        <v>146</v>
      </c>
      <c r="R1780" s="0" t="n">
        <v>44483</v>
      </c>
      <c r="AD1780" s="0" t="s">
        <v>147</v>
      </c>
      <c r="AE1780" s="0" t="s">
        <v>148</v>
      </c>
      <c r="AF1780" s="0" t="s">
        <v>149</v>
      </c>
      <c r="AH1780" s="0" t="n">
        <v>14</v>
      </c>
      <c r="AI1780" s="0" t="n">
        <v>11</v>
      </c>
      <c r="AN1780" s="0" t="s">
        <v>145</v>
      </c>
      <c r="AO1780" s="0" t="s">
        <v>150</v>
      </c>
      <c r="AP1780" s="0" t="s">
        <v>151</v>
      </c>
      <c r="AQ1780" s="0" t="n">
        <v>9</v>
      </c>
      <c r="AR1780" s="0" t="n">
        <v>64</v>
      </c>
      <c r="AS1780" s="0" t="n">
        <v>32</v>
      </c>
      <c r="AU1780" s="0" t="n">
        <f aca="false">COUNTA($BA$343:$EH$343)</f>
        <v>1</v>
      </c>
      <c r="AV1780" s="0" t="n">
        <f aca="false">COUNTIF($BA$343:$EH$343,"D")</f>
        <v>0</v>
      </c>
      <c r="AW1780" s="0" t="n">
        <f aca="false">COUNTIF($BA$343:$EH$343,"R")</f>
        <v>0</v>
      </c>
      <c r="AX1780" s="0" t="n">
        <f aca="false">IF(BN1780="D",1,0)+IF(BO1780="D",1,0)+IF(BT1780="D",1,0)+IF(BU1780="D",1,0)+IF(BW1780="D",1,0)+IF(CC1780="D",1,0)+IF(CD1780="D",1,0)+IF(CE1780="D",1,0)+IF(CF1780="D",1,0)+IF(CL1780="D",1,0)+IF(CM1780="D",1,0)+IF(CQ1780="D",1,0)+IF(CR1780="D",1,0)+IF(CS1780="D",1,0)+IF(CW1780="D",1,0)+IF(CX1780="D",1,0)+IF(DD1780="D",1,0)+IF(DE1780="D",1,0)+IF(DJ1780="D",1,0)+IF(DK1780="D",1,0)+IF(DO1780="D",1,0)+IF(DP1780="D",1,0)+IF(DQ1780="D",1,0)+IF(DW1780="D",1,0)+IF(DZ1780="D",1,0)+IF(EH1780="D",1,0)</f>
        <v>0</v>
      </c>
      <c r="AY1780" s="0" t="n">
        <f aca="false">COUNTIF(DU1780:EH1780, "&lt;&gt;")</f>
        <v>6</v>
      </c>
      <c r="AZ1780" s="0" t="n">
        <f aca="false">IF(EH1780&lt;&gt;"",1,0)</f>
        <v>1</v>
      </c>
      <c r="BB1780" s="0" t="s">
        <v>152</v>
      </c>
      <c r="BC1780" s="0" t="s">
        <v>209</v>
      </c>
      <c r="BD1780" s="0" t="s">
        <v>153</v>
      </c>
      <c r="BF1780" s="0" t="s">
        <v>153</v>
      </c>
      <c r="BG1780" s="0" t="s">
        <v>209</v>
      </c>
      <c r="BJ1780" s="0" t="s">
        <v>153</v>
      </c>
      <c r="BL1780" s="0" t="s">
        <v>153</v>
      </c>
      <c r="CA1780" s="0" t="s">
        <v>153</v>
      </c>
      <c r="DN1780" s="0" t="s">
        <v>153</v>
      </c>
      <c r="DU1780" s="0" t="s">
        <v>153</v>
      </c>
      <c r="DX1780" s="0" t="s">
        <v>153</v>
      </c>
      <c r="EA1780" s="0" t="s">
        <v>153</v>
      </c>
      <c r="ED1780" s="0" t="s">
        <v>209</v>
      </c>
      <c r="EF1780" s="0" t="s">
        <v>153</v>
      </c>
      <c r="EH1780" s="0" t="s">
        <v>153</v>
      </c>
    </row>
    <row r="1781" customFormat="false" ht="13.8" hidden="false" customHeight="false" outlineLevel="0" collapsed="false">
      <c r="A1781" s="0" t="s">
        <v>8006</v>
      </c>
      <c r="B1781" s="0" t="n">
        <v>78</v>
      </c>
      <c r="C1781" s="0" t="n">
        <v>439907</v>
      </c>
      <c r="D1781" s="0" t="s">
        <v>8007</v>
      </c>
      <c r="E1781" s="0" t="s">
        <v>1710</v>
      </c>
      <c r="F1781" s="0" t="str">
        <f aca="false">CONCATENATE(D1781," ",LEFT(H1781,4),"T=",AU1781,"D=",AV1781,"R=",AW1781,"M=",AX1781,"L=",AY1781,"B=",AZ1781)</f>
        <v>DRUMMOND T=2D=0R=0M=3L=6B=1</v>
      </c>
      <c r="G1781" s="0" t="s">
        <v>171</v>
      </c>
      <c r="I1781" s="0" t="s">
        <v>8008</v>
      </c>
      <c r="J1781" s="0" t="s">
        <v>8009</v>
      </c>
      <c r="K1781" s="0" t="s">
        <v>160</v>
      </c>
      <c r="L1781" s="0" t="s">
        <v>175</v>
      </c>
      <c r="M1781" s="0" t="s">
        <v>8002</v>
      </c>
      <c r="N1781" s="0" t="str">
        <f aca="false">RIGHT(M1781,LEN(M1781)-FIND(" ",M1781))</f>
        <v>OAK KNOLL AVE SE</v>
      </c>
      <c r="P1781" s="0" t="s">
        <v>145</v>
      </c>
      <c r="Q1781" s="0" t="s">
        <v>146</v>
      </c>
      <c r="R1781" s="0" t="n">
        <v>44483</v>
      </c>
      <c r="AD1781" s="0" t="s">
        <v>147</v>
      </c>
      <c r="AE1781" s="0" t="s">
        <v>148</v>
      </c>
      <c r="AF1781" s="0" t="s">
        <v>149</v>
      </c>
      <c r="AH1781" s="0" t="n">
        <v>14</v>
      </c>
      <c r="AI1781" s="0" t="n">
        <v>11</v>
      </c>
      <c r="AN1781" s="0" t="s">
        <v>145</v>
      </c>
      <c r="AO1781" s="0" t="s">
        <v>150</v>
      </c>
      <c r="AP1781" s="0" t="s">
        <v>151</v>
      </c>
      <c r="AQ1781" s="0" t="n">
        <v>9</v>
      </c>
      <c r="AR1781" s="0" t="n">
        <v>64</v>
      </c>
      <c r="AS1781" s="0" t="n">
        <v>32</v>
      </c>
      <c r="AU1781" s="0" t="n">
        <f aca="false">COUNTA($BA$557:$EH$557)</f>
        <v>2</v>
      </c>
      <c r="AV1781" s="0" t="n">
        <f aca="false">COUNTIF($BA$557:$EH$557,"D")</f>
        <v>0</v>
      </c>
      <c r="AW1781" s="0" t="n">
        <f aca="false">COUNTIF($BA$557:$EH$557,"R")</f>
        <v>0</v>
      </c>
      <c r="AX1781" s="0" t="n">
        <f aca="false">IF(BN1781="D",1,0)+IF(BO1781="D",1,0)+IF(BT1781="D",1,0)+IF(BU1781="D",1,0)+IF(BW1781="D",1,0)+IF(CC1781="D",1,0)+IF(CD1781="D",1,0)+IF(CE1781="D",1,0)+IF(CF1781="D",1,0)+IF(CL1781="D",1,0)+IF(CM1781="D",1,0)+IF(CQ1781="D",1,0)+IF(CR1781="D",1,0)+IF(CS1781="D",1,0)+IF(CW1781="D",1,0)+IF(CX1781="D",1,0)+IF(DD1781="D",1,0)+IF(DE1781="D",1,0)+IF(DJ1781="D",1,0)+IF(DK1781="D",1,0)+IF(DO1781="D",1,0)+IF(DP1781="D",1,0)+IF(DQ1781="D",1,0)+IF(DW1781="D",1,0)+IF(DZ1781="D",1,0)+IF(EH1781="D",1,0)</f>
        <v>3</v>
      </c>
      <c r="AY1781" s="0" t="n">
        <f aca="false">COUNTIF(DU1781:EH1781, "&lt;&gt;")</f>
        <v>6</v>
      </c>
      <c r="AZ1781" s="0" t="n">
        <f aca="false">IF(EH1781&lt;&gt;"",1,0)</f>
        <v>1</v>
      </c>
      <c r="BB1781" s="0" t="s">
        <v>152</v>
      </c>
      <c r="BC1781" s="0" t="s">
        <v>153</v>
      </c>
      <c r="BD1781" s="0" t="s">
        <v>153</v>
      </c>
      <c r="BE1781" s="0" t="s">
        <v>153</v>
      </c>
      <c r="BF1781" s="0" t="s">
        <v>153</v>
      </c>
      <c r="BH1781" s="0" t="s">
        <v>153</v>
      </c>
      <c r="BL1781" s="0" t="s">
        <v>153</v>
      </c>
      <c r="BP1781" s="0" t="s">
        <v>153</v>
      </c>
      <c r="BS1781" s="0" t="s">
        <v>153</v>
      </c>
      <c r="BY1781" s="0" t="s">
        <v>175</v>
      </c>
      <c r="CA1781" s="0" t="s">
        <v>153</v>
      </c>
      <c r="CG1781" s="0" t="s">
        <v>153</v>
      </c>
      <c r="CK1781" s="0" t="s">
        <v>153</v>
      </c>
      <c r="CL1781" s="0" t="s">
        <v>175</v>
      </c>
      <c r="CN1781" s="0" t="s">
        <v>153</v>
      </c>
      <c r="CP1781" s="0" t="s">
        <v>153</v>
      </c>
      <c r="CV1781" s="0" t="s">
        <v>153</v>
      </c>
      <c r="CW1781" s="0" t="s">
        <v>175</v>
      </c>
      <c r="CY1781" s="0" t="s">
        <v>153</v>
      </c>
      <c r="DC1781" s="0" t="s">
        <v>153</v>
      </c>
      <c r="DI1781" s="0" t="s">
        <v>153</v>
      </c>
      <c r="DM1781" s="0" t="s">
        <v>175</v>
      </c>
      <c r="DN1781" s="0" t="s">
        <v>153</v>
      </c>
      <c r="DU1781" s="0" t="s">
        <v>153</v>
      </c>
      <c r="DX1781" s="0" t="s">
        <v>153</v>
      </c>
      <c r="EA1781" s="0" t="s">
        <v>153</v>
      </c>
      <c r="ED1781" s="0" t="s">
        <v>175</v>
      </c>
      <c r="EF1781" s="0" t="s">
        <v>153</v>
      </c>
      <c r="EH1781" s="0" t="s">
        <v>175</v>
      </c>
    </row>
    <row r="1782" customFormat="false" ht="13.8" hidden="true" customHeight="false" outlineLevel="0" collapsed="false">
      <c r="A1782" s="0" t="s">
        <v>8010</v>
      </c>
      <c r="B1782" s="0" t="n">
        <v>78</v>
      </c>
      <c r="C1782" s="0" t="n">
        <v>288758</v>
      </c>
      <c r="D1782" s="0" t="s">
        <v>3563</v>
      </c>
      <c r="E1782" s="0" t="s">
        <v>8011</v>
      </c>
      <c r="F1782" s="0" t="str">
        <f aca="false">CONCATENATE(D1782," ",LEFT(H1782,4),"T=",AU1782,"D=",AV1782,"R=",AW1782,"M=",AX1782,"L=",AY1782,"B=",AZ1782)</f>
        <v>POWELL T=20D=3R=0M=0L=1B=0</v>
      </c>
      <c r="G1782" s="0" t="s">
        <v>215</v>
      </c>
      <c r="I1782" s="0" t="s">
        <v>8012</v>
      </c>
      <c r="J1782" s="0" t="s">
        <v>7909</v>
      </c>
      <c r="K1782" s="0" t="s">
        <v>160</v>
      </c>
      <c r="M1782" s="0" t="s">
        <v>8013</v>
      </c>
      <c r="N1782" s="0" t="str">
        <f aca="false">RIGHT(M1782,LEN(M1782)-FIND(" ",M1782))</f>
        <v>OAK KNOLL AVE SE</v>
      </c>
      <c r="P1782" s="0" t="s">
        <v>145</v>
      </c>
      <c r="Q1782" s="0" t="s">
        <v>146</v>
      </c>
      <c r="R1782" s="0" t="n">
        <v>44483</v>
      </c>
      <c r="AD1782" s="0" t="s">
        <v>147</v>
      </c>
      <c r="AE1782" s="0" t="s">
        <v>148</v>
      </c>
      <c r="AF1782" s="0" t="s">
        <v>149</v>
      </c>
      <c r="AH1782" s="0" t="n">
        <v>14</v>
      </c>
      <c r="AI1782" s="0" t="n">
        <v>11</v>
      </c>
      <c r="AN1782" s="0" t="s">
        <v>145</v>
      </c>
      <c r="AO1782" s="0" t="s">
        <v>150</v>
      </c>
      <c r="AP1782" s="0" t="s">
        <v>151</v>
      </c>
      <c r="AQ1782" s="0" t="n">
        <v>9</v>
      </c>
      <c r="AR1782" s="0" t="n">
        <v>64</v>
      </c>
      <c r="AS1782" s="0" t="n">
        <v>32</v>
      </c>
      <c r="AU1782" s="0" t="n">
        <f aca="false">COUNTA($BA$147:$EH$147)</f>
        <v>20</v>
      </c>
      <c r="AV1782" s="0" t="n">
        <f aca="false">COUNTIF($BA$147:$EH$147,"D")</f>
        <v>3</v>
      </c>
      <c r="AW1782" s="0" t="n">
        <f aca="false">COUNTIF($BA$147:$EH$147,"R")</f>
        <v>0</v>
      </c>
      <c r="AX1782" s="0" t="n">
        <f aca="false">IF(BN1782="D",1,0)+IF(BO1782="D",1,0)+IF(BT1782="D",1,0)+IF(BU1782="D",1,0)+IF(BW1782="D",1,0)+IF(CC1782="D",1,0)+IF(CD1782="D",1,0)+IF(CE1782="D",1,0)+IF(CF1782="D",1,0)+IF(CL1782="D",1,0)+IF(CM1782="D",1,0)+IF(CQ1782="D",1,0)+IF(CR1782="D",1,0)+IF(CS1782="D",1,0)+IF(CW1782="D",1,0)+IF(CX1782="D",1,0)+IF(DD1782="D",1,0)+IF(DE1782="D",1,0)+IF(DJ1782="D",1,0)+IF(DK1782="D",1,0)+IF(DO1782="D",1,0)+IF(DP1782="D",1,0)+IF(DQ1782="D",1,0)+IF(DW1782="D",1,0)+IF(DZ1782="D",1,0)+IF(EH1782="D",1,0)</f>
        <v>0</v>
      </c>
      <c r="AY1782" s="0" t="n">
        <f aca="false">COUNTIF(DU1782:EH1782, "&lt;&gt;")</f>
        <v>1</v>
      </c>
      <c r="AZ1782" s="0" t="n">
        <f aca="false">IF(EH1782&lt;&gt;"",1,0)</f>
        <v>0</v>
      </c>
      <c r="BB1782" s="0" t="s">
        <v>152</v>
      </c>
      <c r="BD1782" s="0" t="s">
        <v>153</v>
      </c>
      <c r="BH1782" s="0" t="s">
        <v>153</v>
      </c>
      <c r="BL1782" s="0" t="s">
        <v>153</v>
      </c>
      <c r="BY1782" s="0" t="s">
        <v>175</v>
      </c>
      <c r="CA1782" s="0" t="s">
        <v>153</v>
      </c>
      <c r="CP1782" s="0" t="s">
        <v>153</v>
      </c>
      <c r="CY1782" s="0" t="s">
        <v>153</v>
      </c>
      <c r="DC1782" s="0" t="s">
        <v>153</v>
      </c>
      <c r="DN1782" s="0" t="s">
        <v>153</v>
      </c>
      <c r="EF1782" s="0" t="s">
        <v>153</v>
      </c>
    </row>
    <row r="1783" customFormat="false" ht="13.8" hidden="true" customHeight="false" outlineLevel="0" collapsed="false">
      <c r="A1783" s="0" t="s">
        <v>8014</v>
      </c>
      <c r="B1783" s="0" t="n">
        <v>78</v>
      </c>
      <c r="C1783" s="0" t="n">
        <v>483580</v>
      </c>
      <c r="D1783" s="0" t="s">
        <v>5101</v>
      </c>
      <c r="E1783" s="0" t="s">
        <v>2261</v>
      </c>
      <c r="F1783" s="0" t="str">
        <f aca="false">CONCATENATE(D1783," ",LEFT(H1783,4),"T=",AU1783,"D=",AV1783,"R=",AW1783,"M=",AX1783,"L=",AY1783,"B=",AZ1783)</f>
        <v>MALLORY T=1D=0R=0M=0L=0B=0</v>
      </c>
      <c r="G1783" s="0" t="s">
        <v>1059</v>
      </c>
      <c r="I1783" s="0" t="s">
        <v>8015</v>
      </c>
      <c r="J1783" s="0" t="s">
        <v>8016</v>
      </c>
      <c r="K1783" s="0" t="s">
        <v>160</v>
      </c>
      <c r="M1783" s="0" t="s">
        <v>8013</v>
      </c>
      <c r="N1783" s="0" t="str">
        <f aca="false">RIGHT(M1783,LEN(M1783)-FIND(" ",M1783))</f>
        <v>OAK KNOLL AVE SE</v>
      </c>
      <c r="P1783" s="0" t="s">
        <v>145</v>
      </c>
      <c r="Q1783" s="0" t="s">
        <v>146</v>
      </c>
      <c r="R1783" s="0" t="n">
        <v>44483</v>
      </c>
      <c r="AD1783" s="0" t="s">
        <v>147</v>
      </c>
      <c r="AE1783" s="0" t="s">
        <v>148</v>
      </c>
      <c r="AF1783" s="0" t="s">
        <v>149</v>
      </c>
      <c r="AH1783" s="0" t="n">
        <v>14</v>
      </c>
      <c r="AI1783" s="0" t="n">
        <v>11</v>
      </c>
      <c r="AN1783" s="0" t="s">
        <v>145</v>
      </c>
      <c r="AO1783" s="0" t="s">
        <v>150</v>
      </c>
      <c r="AP1783" s="0" t="s">
        <v>151</v>
      </c>
      <c r="AQ1783" s="0" t="n">
        <v>9</v>
      </c>
      <c r="AR1783" s="0" t="n">
        <v>64</v>
      </c>
      <c r="AS1783" s="0" t="n">
        <v>32</v>
      </c>
      <c r="AU1783" s="0" t="n">
        <f aca="false">COUNTA($BA$215:$EH$215)</f>
        <v>1</v>
      </c>
      <c r="AV1783" s="0" t="n">
        <f aca="false">COUNTIF($BA$215:$EH$215,"D")</f>
        <v>0</v>
      </c>
      <c r="AW1783" s="0" t="n">
        <f aca="false">COUNTIF($BA$215:$EH$215,"R")</f>
        <v>0</v>
      </c>
      <c r="AX1783" s="0" t="n">
        <f aca="false">IF(BN1783="D",1,0)+IF(BO1783="D",1,0)+IF(BT1783="D",1,0)+IF(BU1783="D",1,0)+IF(BW1783="D",1,0)+IF(CC1783="D",1,0)+IF(CD1783="D",1,0)+IF(CE1783="D",1,0)+IF(CF1783="D",1,0)+IF(CL1783="D",1,0)+IF(CM1783="D",1,0)+IF(CQ1783="D",1,0)+IF(CR1783="D",1,0)+IF(CS1783="D",1,0)+IF(CW1783="D",1,0)+IF(CX1783="D",1,0)+IF(DD1783="D",1,0)+IF(DE1783="D",1,0)+IF(DJ1783="D",1,0)+IF(DK1783="D",1,0)+IF(DO1783="D",1,0)+IF(DP1783="D",1,0)+IF(DQ1783="D",1,0)+IF(DW1783="D",1,0)+IF(DZ1783="D",1,0)+IF(EH1783="D",1,0)</f>
        <v>0</v>
      </c>
      <c r="AY1783" s="0" t="n">
        <f aca="false">COUNTIF(DU1783:EH1783, "&lt;&gt;")</f>
        <v>0</v>
      </c>
      <c r="AZ1783" s="0" t="n">
        <f aca="false">IF(EH1783&lt;&gt;"",1,0)</f>
        <v>0</v>
      </c>
      <c r="BB1783" s="0" t="s">
        <v>152</v>
      </c>
    </row>
    <row r="1784" customFormat="false" ht="13.8" hidden="true" customHeight="false" outlineLevel="0" collapsed="false">
      <c r="A1784" s="0" t="s">
        <v>8017</v>
      </c>
      <c r="B1784" s="0" t="n">
        <v>78</v>
      </c>
      <c r="C1784" s="0" t="n">
        <v>409767</v>
      </c>
      <c r="D1784" s="0" t="s">
        <v>1504</v>
      </c>
      <c r="E1784" s="0" t="s">
        <v>8018</v>
      </c>
      <c r="F1784" s="0" t="str">
        <f aca="false">CONCATENATE(D1784," ",LEFT(H1784,4),"T=",AU1784,"D=",AV1784,"R=",AW1784,"M=",AX1784,"L=",AY1784,"B=",AZ1784)</f>
        <v>KING T=3D=0R=0M=0L=0B=0</v>
      </c>
      <c r="G1784" s="0" t="s">
        <v>175</v>
      </c>
      <c r="I1784" s="0" t="s">
        <v>8019</v>
      </c>
      <c r="J1784" s="0" t="s">
        <v>483</v>
      </c>
      <c r="K1784" s="0" t="s">
        <v>143</v>
      </c>
      <c r="M1784" s="0" t="s">
        <v>8013</v>
      </c>
      <c r="N1784" s="0" t="str">
        <f aca="false">RIGHT(M1784,LEN(M1784)-FIND(" ",M1784))</f>
        <v>OAK KNOLL AVE SE</v>
      </c>
      <c r="P1784" s="0" t="s">
        <v>145</v>
      </c>
      <c r="Q1784" s="0" t="s">
        <v>146</v>
      </c>
      <c r="R1784" s="0" t="n">
        <v>44483</v>
      </c>
      <c r="AD1784" s="0" t="s">
        <v>147</v>
      </c>
      <c r="AE1784" s="0" t="s">
        <v>148</v>
      </c>
      <c r="AF1784" s="0" t="s">
        <v>149</v>
      </c>
      <c r="AH1784" s="0" t="n">
        <v>14</v>
      </c>
      <c r="AI1784" s="0" t="n">
        <v>11</v>
      </c>
      <c r="AN1784" s="0" t="s">
        <v>145</v>
      </c>
      <c r="AO1784" s="0" t="s">
        <v>150</v>
      </c>
      <c r="AP1784" s="0" t="s">
        <v>151</v>
      </c>
      <c r="AQ1784" s="0" t="n">
        <v>9</v>
      </c>
      <c r="AR1784" s="0" t="n">
        <v>64</v>
      </c>
      <c r="AS1784" s="0" t="n">
        <v>32</v>
      </c>
      <c r="AU1784" s="0" t="n">
        <f aca="false">COUNTA($BA$1088:$EH$1088)</f>
        <v>3</v>
      </c>
      <c r="AV1784" s="0" t="n">
        <f aca="false">COUNTIF($BA$1088:$EH$1088,"D")</f>
        <v>0</v>
      </c>
      <c r="AW1784" s="0" t="n">
        <f aca="false">COUNTIF($BA$1088:$EH$1088,"R")</f>
        <v>0</v>
      </c>
      <c r="AX1784" s="0" t="n">
        <f aca="false">IF(BN1784="D",1,0)+IF(BO1784="D",1,0)+IF(BT1784="D",1,0)+IF(BU1784="D",1,0)+IF(BW1784="D",1,0)+IF(CC1784="D",1,0)+IF(CD1784="D",1,0)+IF(CE1784="D",1,0)+IF(CF1784="D",1,0)+IF(CL1784="D",1,0)+IF(CM1784="D",1,0)+IF(CQ1784="D",1,0)+IF(CR1784="D",1,0)+IF(CS1784="D",1,0)+IF(CW1784="D",1,0)+IF(CX1784="D",1,0)+IF(DD1784="D",1,0)+IF(DE1784="D",1,0)+IF(DJ1784="D",1,0)+IF(DK1784="D",1,0)+IF(DO1784="D",1,0)+IF(DP1784="D",1,0)+IF(DQ1784="D",1,0)+IF(DW1784="D",1,0)+IF(DZ1784="D",1,0)+IF(EH1784="D",1,0)</f>
        <v>0</v>
      </c>
      <c r="AY1784" s="0" t="n">
        <f aca="false">COUNTIF(DU1784:EH1784, "&lt;&gt;")</f>
        <v>0</v>
      </c>
      <c r="AZ1784" s="0" t="n">
        <f aca="false">IF(EH1784&lt;&gt;"",1,0)</f>
        <v>0</v>
      </c>
      <c r="BB1784" s="0" t="s">
        <v>152</v>
      </c>
    </row>
    <row r="1785" customFormat="false" ht="13.8" hidden="true" customHeight="false" outlineLevel="0" collapsed="false">
      <c r="A1785" s="0" t="s">
        <v>8020</v>
      </c>
      <c r="B1785" s="0" t="n">
        <v>78</v>
      </c>
      <c r="C1785" s="0" t="n">
        <v>396628</v>
      </c>
      <c r="D1785" s="0" t="s">
        <v>4535</v>
      </c>
      <c r="E1785" s="0" t="s">
        <v>8021</v>
      </c>
      <c r="F1785" s="0" t="str">
        <f aca="false">CONCATENATE(D1785," ",LEFT(H1785,4),"T=",AU1785,"D=",AV1785,"R=",AW1785,"M=",AX1785,"L=",AY1785,"B=",AZ1785)</f>
        <v>THOMPSON T=14D=0R=3M=0L=0B=0</v>
      </c>
      <c r="G1785" s="0" t="s">
        <v>190</v>
      </c>
      <c r="I1785" s="0" t="s">
        <v>8022</v>
      </c>
      <c r="J1785" s="0" t="s">
        <v>8023</v>
      </c>
      <c r="K1785" s="0" t="s">
        <v>143</v>
      </c>
      <c r="M1785" s="0" t="s">
        <v>8024</v>
      </c>
      <c r="N1785" s="0" t="str">
        <f aca="false">RIGHT(M1785,LEN(M1785)-FIND(" ",M1785))</f>
        <v>OAK KNOLL AVE SE</v>
      </c>
      <c r="P1785" s="0" t="s">
        <v>145</v>
      </c>
      <c r="Q1785" s="0" t="s">
        <v>146</v>
      </c>
      <c r="R1785" s="0" t="n">
        <v>44483</v>
      </c>
      <c r="AD1785" s="0" t="s">
        <v>147</v>
      </c>
      <c r="AE1785" s="0" t="s">
        <v>148</v>
      </c>
      <c r="AF1785" s="0" t="s">
        <v>149</v>
      </c>
      <c r="AH1785" s="0" t="n">
        <v>14</v>
      </c>
      <c r="AI1785" s="0" t="n">
        <v>11</v>
      </c>
      <c r="AN1785" s="0" t="s">
        <v>145</v>
      </c>
      <c r="AO1785" s="0" t="s">
        <v>150</v>
      </c>
      <c r="AP1785" s="0" t="s">
        <v>151</v>
      </c>
      <c r="AQ1785" s="0" t="n">
        <v>9</v>
      </c>
      <c r="AR1785" s="0" t="n">
        <v>64</v>
      </c>
      <c r="AS1785" s="0" t="n">
        <v>32</v>
      </c>
      <c r="AU1785" s="0" t="n">
        <f aca="false">COUNTA($BA$85:$EH$85)</f>
        <v>14</v>
      </c>
      <c r="AV1785" s="0" t="n">
        <f aca="false">COUNTIF($BA$85:$EH$85,"D")</f>
        <v>0</v>
      </c>
      <c r="AW1785" s="0" t="n">
        <f aca="false">COUNTIF($BA$85:$EH$85,"R")</f>
        <v>3</v>
      </c>
      <c r="AX1785" s="0" t="n">
        <f aca="false">IF(BN1785="D",1,0)+IF(BO1785="D",1,0)+IF(BT1785="D",1,0)+IF(BU1785="D",1,0)+IF(BW1785="D",1,0)+IF(CC1785="D",1,0)+IF(CD1785="D",1,0)+IF(CE1785="D",1,0)+IF(CF1785="D",1,0)+IF(CL1785="D",1,0)+IF(CM1785="D",1,0)+IF(CQ1785="D",1,0)+IF(CR1785="D",1,0)+IF(CS1785="D",1,0)+IF(CW1785="D",1,0)+IF(CX1785="D",1,0)+IF(DD1785="D",1,0)+IF(DE1785="D",1,0)+IF(DJ1785="D",1,0)+IF(DK1785="D",1,0)+IF(DO1785="D",1,0)+IF(DP1785="D",1,0)+IF(DQ1785="D",1,0)+IF(DW1785="D",1,0)+IF(DZ1785="D",1,0)+IF(EH1785="D",1,0)</f>
        <v>0</v>
      </c>
      <c r="AY1785" s="0" t="n">
        <f aca="false">COUNTIF(DU1785:EH1785, "&lt;&gt;")</f>
        <v>0</v>
      </c>
      <c r="AZ1785" s="0" t="n">
        <f aca="false">IF(EH1785&lt;&gt;"",1,0)</f>
        <v>0</v>
      </c>
      <c r="BB1785" s="0" t="s">
        <v>152</v>
      </c>
    </row>
    <row r="1786" customFormat="false" ht="13.8" hidden="false" customHeight="false" outlineLevel="0" collapsed="false">
      <c r="A1786" s="0" t="s">
        <v>8025</v>
      </c>
      <c r="B1786" s="0" t="n">
        <v>78</v>
      </c>
      <c r="C1786" s="0" t="n">
        <v>281360</v>
      </c>
      <c r="D1786" s="0" t="s">
        <v>8026</v>
      </c>
      <c r="E1786" s="0" t="s">
        <v>3970</v>
      </c>
      <c r="F1786" s="0" t="str">
        <f aca="false">CONCATENATE(D1786," ",LEFT(H1786,4),"T=",AU1786,"D=",AV1786,"R=",AW1786,"M=",AX1786,"L=",AY1786,"B=",AZ1786)</f>
        <v>NADAUD T=12D=1R=1M=0L=3B=0</v>
      </c>
      <c r="G1786" s="0" t="s">
        <v>1248</v>
      </c>
      <c r="I1786" s="0" t="s">
        <v>8027</v>
      </c>
      <c r="J1786" s="0" t="s">
        <v>231</v>
      </c>
      <c r="K1786" s="0" t="s">
        <v>160</v>
      </c>
      <c r="M1786" s="0" t="s">
        <v>8028</v>
      </c>
      <c r="N1786" s="0" t="str">
        <f aca="false">RIGHT(M1786,LEN(M1786)-FIND(" ",M1786))</f>
        <v>OAK KNOLL AVE SE</v>
      </c>
      <c r="P1786" s="0" t="s">
        <v>145</v>
      </c>
      <c r="Q1786" s="0" t="s">
        <v>146</v>
      </c>
      <c r="R1786" s="0" t="n">
        <v>44483</v>
      </c>
      <c r="AD1786" s="0" t="s">
        <v>147</v>
      </c>
      <c r="AE1786" s="0" t="s">
        <v>148</v>
      </c>
      <c r="AF1786" s="0" t="s">
        <v>149</v>
      </c>
      <c r="AH1786" s="0" t="n">
        <v>14</v>
      </c>
      <c r="AI1786" s="0" t="n">
        <v>11</v>
      </c>
      <c r="AN1786" s="0" t="s">
        <v>145</v>
      </c>
      <c r="AO1786" s="0" t="s">
        <v>150</v>
      </c>
      <c r="AP1786" s="0" t="s">
        <v>151</v>
      </c>
      <c r="AQ1786" s="0" t="n">
        <v>9</v>
      </c>
      <c r="AR1786" s="0" t="n">
        <v>64</v>
      </c>
      <c r="AS1786" s="0" t="n">
        <v>32</v>
      </c>
      <c r="AU1786" s="0" t="n">
        <f aca="false">COUNTA($BA$337:$EH$337)</f>
        <v>12</v>
      </c>
      <c r="AV1786" s="0" t="n">
        <f aca="false">COUNTIF($BA$337:$EH$337,"D")</f>
        <v>1</v>
      </c>
      <c r="AW1786" s="0" t="n">
        <f aca="false">COUNTIF($BA$337:$EH$337,"R")</f>
        <v>1</v>
      </c>
      <c r="AX1786" s="0" t="n">
        <f aca="false">IF(BN1786="D",1,0)+IF(BO1786="D",1,0)+IF(BT1786="D",1,0)+IF(BU1786="D",1,0)+IF(BW1786="D",1,0)+IF(CC1786="D",1,0)+IF(CD1786="D",1,0)+IF(CE1786="D",1,0)+IF(CF1786="D",1,0)+IF(CL1786="D",1,0)+IF(CM1786="D",1,0)+IF(CQ1786="D",1,0)+IF(CR1786="D",1,0)+IF(CS1786="D",1,0)+IF(CW1786="D",1,0)+IF(CX1786="D",1,0)+IF(DD1786="D",1,0)+IF(DE1786="D",1,0)+IF(DJ1786="D",1,0)+IF(DK1786="D",1,0)+IF(DO1786="D",1,0)+IF(DP1786="D",1,0)+IF(DQ1786="D",1,0)+IF(DW1786="D",1,0)+IF(DZ1786="D",1,0)+IF(EH1786="D",1,0)</f>
        <v>0</v>
      </c>
      <c r="AY1786" s="0" t="n">
        <f aca="false">COUNTIF(DU1786:EH1786, "&lt;&gt;")</f>
        <v>3</v>
      </c>
      <c r="AZ1786" s="0" t="n">
        <f aca="false">IF(EH1786&lt;&gt;"",1,0)</f>
        <v>0</v>
      </c>
      <c r="BB1786" s="0" t="s">
        <v>152</v>
      </c>
      <c r="BL1786" s="0" t="s">
        <v>153</v>
      </c>
      <c r="CA1786" s="0" t="s">
        <v>153</v>
      </c>
      <c r="CK1786" s="0" t="s">
        <v>153</v>
      </c>
      <c r="CZ1786" s="0" t="s">
        <v>209</v>
      </c>
      <c r="DC1786" s="0" t="s">
        <v>153</v>
      </c>
      <c r="DN1786" s="0" t="s">
        <v>153</v>
      </c>
      <c r="DU1786" s="0" t="s">
        <v>153</v>
      </c>
      <c r="EA1786" s="0" t="s">
        <v>153</v>
      </c>
      <c r="EF1786" s="0" t="s">
        <v>153</v>
      </c>
    </row>
    <row r="1787" customFormat="false" ht="13.8" hidden="true" customHeight="false" outlineLevel="0" collapsed="false">
      <c r="A1787" s="0" t="s">
        <v>8029</v>
      </c>
      <c r="B1787" s="0" t="n">
        <v>78</v>
      </c>
      <c r="C1787" s="0" t="n">
        <v>446867</v>
      </c>
      <c r="D1787" s="0" t="s">
        <v>1497</v>
      </c>
      <c r="E1787" s="0" t="s">
        <v>8030</v>
      </c>
      <c r="F1787" s="0" t="str">
        <f aca="false">CONCATENATE(D1787," ",LEFT(H1787,4),"T=",AU1787,"D=",AV1787,"R=",AW1787,"M=",AX1787,"L=",AY1787,"B=",AZ1787)</f>
        <v>DIGGS T=25D=3R=3M=0L=1B=0</v>
      </c>
      <c r="G1787" s="0" t="s">
        <v>517</v>
      </c>
      <c r="I1787" s="0" t="s">
        <v>8031</v>
      </c>
      <c r="J1787" s="0" t="s">
        <v>231</v>
      </c>
      <c r="K1787" s="0" t="s">
        <v>160</v>
      </c>
      <c r="M1787" s="0" t="s">
        <v>8028</v>
      </c>
      <c r="N1787" s="0" t="str">
        <f aca="false">RIGHT(M1787,LEN(M1787)-FIND(" ",M1787))</f>
        <v>OAK KNOLL AVE SE</v>
      </c>
      <c r="P1787" s="0" t="s">
        <v>145</v>
      </c>
      <c r="Q1787" s="0" t="s">
        <v>146</v>
      </c>
      <c r="R1787" s="0" t="n">
        <v>44483</v>
      </c>
      <c r="AD1787" s="0" t="s">
        <v>147</v>
      </c>
      <c r="AE1787" s="0" t="s">
        <v>148</v>
      </c>
      <c r="AF1787" s="0" t="s">
        <v>149</v>
      </c>
      <c r="AH1787" s="0" t="n">
        <v>14</v>
      </c>
      <c r="AI1787" s="0" t="n">
        <v>11</v>
      </c>
      <c r="AN1787" s="0" t="s">
        <v>145</v>
      </c>
      <c r="AO1787" s="0" t="s">
        <v>150</v>
      </c>
      <c r="AP1787" s="0" t="s">
        <v>151</v>
      </c>
      <c r="AQ1787" s="0" t="n">
        <v>9</v>
      </c>
      <c r="AR1787" s="0" t="n">
        <v>64</v>
      </c>
      <c r="AS1787" s="0" t="n">
        <v>32</v>
      </c>
      <c r="AU1787" s="0" t="n">
        <f aca="false">COUNTA($BA$870:$EH$870)</f>
        <v>25</v>
      </c>
      <c r="AV1787" s="0" t="n">
        <f aca="false">COUNTIF($BA$870:$EH$870,"D")</f>
        <v>3</v>
      </c>
      <c r="AW1787" s="0" t="n">
        <f aca="false">COUNTIF($BA$870:$EH$870,"R")</f>
        <v>3</v>
      </c>
      <c r="AX1787" s="0" t="n">
        <f aca="false">IF(BN1787="D",1,0)+IF(BO1787="D",1,0)+IF(BT1787="D",1,0)+IF(BU1787="D",1,0)+IF(BW1787="D",1,0)+IF(CC1787="D",1,0)+IF(CD1787="D",1,0)+IF(CE1787="D",1,0)+IF(CF1787="D",1,0)+IF(CL1787="D",1,0)+IF(CM1787="D",1,0)+IF(CQ1787="D",1,0)+IF(CR1787="D",1,0)+IF(CS1787="D",1,0)+IF(CW1787="D",1,0)+IF(CX1787="D",1,0)+IF(DD1787="D",1,0)+IF(DE1787="D",1,0)+IF(DJ1787="D",1,0)+IF(DK1787="D",1,0)+IF(DO1787="D",1,0)+IF(DP1787="D",1,0)+IF(DQ1787="D",1,0)+IF(DW1787="D",1,0)+IF(DZ1787="D",1,0)+IF(EH1787="D",1,0)</f>
        <v>0</v>
      </c>
      <c r="AY1787" s="0" t="n">
        <f aca="false">COUNTIF(DU1787:EH1787, "&lt;&gt;")</f>
        <v>1</v>
      </c>
      <c r="AZ1787" s="0" t="n">
        <f aca="false">IF(EH1787&lt;&gt;"",1,0)</f>
        <v>0</v>
      </c>
      <c r="BB1787" s="0" t="s">
        <v>152</v>
      </c>
      <c r="EF1787" s="0" t="s">
        <v>153</v>
      </c>
    </row>
    <row r="1788" customFormat="false" ht="13.8" hidden="false" customHeight="false" outlineLevel="0" collapsed="false">
      <c r="A1788" s="0" t="s">
        <v>8032</v>
      </c>
      <c r="B1788" s="0" t="n">
        <v>78</v>
      </c>
      <c r="C1788" s="0" t="n">
        <v>408016</v>
      </c>
      <c r="D1788" s="0" t="s">
        <v>8033</v>
      </c>
      <c r="E1788" s="0" t="s">
        <v>563</v>
      </c>
      <c r="F1788" s="0" t="str">
        <f aca="false">CONCATENATE(D1788," ",LEFT(H1788,4),"T=",AU1788,"D=",AV1788,"R=",AW1788,"M=",AX1788,"L=",AY1788,"B=",AZ1788)</f>
        <v>BEALL T=2D=0R=0M=0L=2B=0</v>
      </c>
      <c r="G1788" s="0" t="s">
        <v>2123</v>
      </c>
      <c r="I1788" s="0" t="s">
        <v>8034</v>
      </c>
      <c r="J1788" s="0" t="s">
        <v>8035</v>
      </c>
      <c r="K1788" s="0" t="s">
        <v>160</v>
      </c>
      <c r="M1788" s="0" t="s">
        <v>8036</v>
      </c>
      <c r="N1788" s="0" t="str">
        <f aca="false">RIGHT(M1788,LEN(M1788)-FIND(" ",M1788))</f>
        <v>OAK KNOLL AVE SE</v>
      </c>
      <c r="P1788" s="0" t="s">
        <v>145</v>
      </c>
      <c r="Q1788" s="0" t="s">
        <v>146</v>
      </c>
      <c r="R1788" s="0" t="n">
        <v>44483</v>
      </c>
      <c r="AD1788" s="0" t="s">
        <v>147</v>
      </c>
      <c r="AE1788" s="0" t="s">
        <v>148</v>
      </c>
      <c r="AF1788" s="0" t="s">
        <v>149</v>
      </c>
      <c r="AH1788" s="0" t="n">
        <v>14</v>
      </c>
      <c r="AI1788" s="0" t="n">
        <v>11</v>
      </c>
      <c r="AN1788" s="0" t="s">
        <v>145</v>
      </c>
      <c r="AO1788" s="0" t="s">
        <v>150</v>
      </c>
      <c r="AP1788" s="0" t="s">
        <v>151</v>
      </c>
      <c r="AQ1788" s="0" t="n">
        <v>9</v>
      </c>
      <c r="AR1788" s="0" t="n">
        <v>64</v>
      </c>
      <c r="AS1788" s="0" t="n">
        <v>32</v>
      </c>
      <c r="AU1788" s="0" t="n">
        <f aca="false">COUNTA($BA$52:$EH$52)</f>
        <v>2</v>
      </c>
      <c r="AV1788" s="0" t="n">
        <f aca="false">COUNTIF($BA$52:$EH$52,"D")</f>
        <v>0</v>
      </c>
      <c r="AW1788" s="0" t="n">
        <f aca="false">COUNTIF($BA$52:$EH$52,"R")</f>
        <v>0</v>
      </c>
      <c r="AX1788" s="0" t="n">
        <f aca="false">IF(BN1788="D",1,0)+IF(BO1788="D",1,0)+IF(BT1788="D",1,0)+IF(BU1788="D",1,0)+IF(BW1788="D",1,0)+IF(CC1788="D",1,0)+IF(CD1788="D",1,0)+IF(CE1788="D",1,0)+IF(CF1788="D",1,0)+IF(CL1788="D",1,0)+IF(CM1788="D",1,0)+IF(CQ1788="D",1,0)+IF(CR1788="D",1,0)+IF(CS1788="D",1,0)+IF(CW1788="D",1,0)+IF(CX1788="D",1,0)+IF(DD1788="D",1,0)+IF(DE1788="D",1,0)+IF(DJ1788="D",1,0)+IF(DK1788="D",1,0)+IF(DO1788="D",1,0)+IF(DP1788="D",1,0)+IF(DQ1788="D",1,0)+IF(DW1788="D",1,0)+IF(DZ1788="D",1,0)+IF(EH1788="D",1,0)</f>
        <v>0</v>
      </c>
      <c r="AY1788" s="0" t="n">
        <f aca="false">COUNTIF(DU1788:EH1788, "&lt;&gt;")</f>
        <v>2</v>
      </c>
      <c r="AZ1788" s="0" t="n">
        <f aca="false">IF(EH1788&lt;&gt;"",1,0)</f>
        <v>0</v>
      </c>
      <c r="BB1788" s="0" t="s">
        <v>152</v>
      </c>
      <c r="DC1788" s="0" t="s">
        <v>153</v>
      </c>
      <c r="DN1788" s="0" t="s">
        <v>153</v>
      </c>
      <c r="DR1788" s="0" t="s">
        <v>153</v>
      </c>
      <c r="EA1788" s="0" t="s">
        <v>153</v>
      </c>
      <c r="EF1788" s="0" t="s">
        <v>153</v>
      </c>
    </row>
    <row r="1789" customFormat="false" ht="13.8" hidden="true" customHeight="false" outlineLevel="0" collapsed="false">
      <c r="A1789" s="0" t="s">
        <v>8037</v>
      </c>
      <c r="B1789" s="0" t="n">
        <v>78</v>
      </c>
      <c r="C1789" s="0" t="n">
        <v>495624</v>
      </c>
      <c r="D1789" s="0" t="s">
        <v>8033</v>
      </c>
      <c r="E1789" s="0" t="s">
        <v>8038</v>
      </c>
      <c r="F1789" s="0" t="str">
        <f aca="false">CONCATENATE(D1789," ",LEFT(H1789,4),"T=",AU1789,"D=",AV1789,"R=",AW1789,"M=",AX1789,"L=",AY1789,"B=",AZ1789)</f>
        <v>BEALL T=3D=0R=0M=0L=0B=0</v>
      </c>
      <c r="G1789" s="0" t="s">
        <v>379</v>
      </c>
      <c r="I1789" s="0" t="s">
        <v>7069</v>
      </c>
      <c r="J1789" s="0" t="s">
        <v>7633</v>
      </c>
      <c r="K1789" s="0" t="s">
        <v>160</v>
      </c>
      <c r="M1789" s="0" t="s">
        <v>8036</v>
      </c>
      <c r="N1789" s="0" t="str">
        <f aca="false">RIGHT(M1789,LEN(M1789)-FIND(" ",M1789))</f>
        <v>OAK KNOLL AVE SE</v>
      </c>
      <c r="P1789" s="0" t="s">
        <v>145</v>
      </c>
      <c r="Q1789" s="0" t="s">
        <v>146</v>
      </c>
      <c r="R1789" s="0" t="n">
        <v>44483</v>
      </c>
      <c r="AD1789" s="0" t="s">
        <v>147</v>
      </c>
      <c r="AE1789" s="0" t="s">
        <v>148</v>
      </c>
      <c r="AF1789" s="0" t="s">
        <v>149</v>
      </c>
      <c r="AH1789" s="0" t="n">
        <v>14</v>
      </c>
      <c r="AI1789" s="0" t="n">
        <v>11</v>
      </c>
      <c r="AN1789" s="0" t="s">
        <v>145</v>
      </c>
      <c r="AO1789" s="0" t="s">
        <v>150</v>
      </c>
      <c r="AP1789" s="0" t="s">
        <v>151</v>
      </c>
      <c r="AQ1789" s="0" t="n">
        <v>9</v>
      </c>
      <c r="AR1789" s="0" t="n">
        <v>64</v>
      </c>
      <c r="AS1789" s="0" t="n">
        <v>32</v>
      </c>
      <c r="AU1789" s="0" t="n">
        <f aca="false">COUNTA($BA$74:$EH$74)</f>
        <v>3</v>
      </c>
      <c r="AV1789" s="0" t="n">
        <f aca="false">COUNTIF($BA$74:$EH$74,"D")</f>
        <v>0</v>
      </c>
      <c r="AW1789" s="0" t="n">
        <f aca="false">COUNTIF($BA$74:$EH$74,"R")</f>
        <v>0</v>
      </c>
      <c r="AX1789" s="0" t="n">
        <f aca="false">IF(BN1789="D",1,0)+IF(BO1789="D",1,0)+IF(BT1789="D",1,0)+IF(BU1789="D",1,0)+IF(BW1789="D",1,0)+IF(CC1789="D",1,0)+IF(CD1789="D",1,0)+IF(CE1789="D",1,0)+IF(CF1789="D",1,0)+IF(CL1789="D",1,0)+IF(CM1789="D",1,0)+IF(CQ1789="D",1,0)+IF(CR1789="D",1,0)+IF(CS1789="D",1,0)+IF(CW1789="D",1,0)+IF(CX1789="D",1,0)+IF(DD1789="D",1,0)+IF(DE1789="D",1,0)+IF(DJ1789="D",1,0)+IF(DK1789="D",1,0)+IF(DO1789="D",1,0)+IF(DP1789="D",1,0)+IF(DQ1789="D",1,0)+IF(DW1789="D",1,0)+IF(DZ1789="D",1,0)+IF(EH1789="D",1,0)</f>
        <v>0</v>
      </c>
      <c r="AY1789" s="0" t="n">
        <f aca="false">COUNTIF(DU1789:EH1789, "&lt;&gt;")</f>
        <v>0</v>
      </c>
      <c r="AZ1789" s="0" t="n">
        <f aca="false">IF(EH1789&lt;&gt;"",1,0)</f>
        <v>0</v>
      </c>
      <c r="BB1789" s="0" t="s">
        <v>152</v>
      </c>
    </row>
    <row r="1790" customFormat="false" ht="13.8" hidden="true" customHeight="false" outlineLevel="0" collapsed="false">
      <c r="A1790" s="0" t="s">
        <v>8039</v>
      </c>
      <c r="B1790" s="0" t="n">
        <v>78</v>
      </c>
      <c r="C1790" s="0" t="n">
        <v>336711</v>
      </c>
      <c r="D1790" s="0" t="s">
        <v>8040</v>
      </c>
      <c r="E1790" s="0" t="s">
        <v>958</v>
      </c>
      <c r="F1790" s="0" t="str">
        <f aca="false">CONCATENATE(D1790," ",LEFT(H1790,4),"T=",AU1790,"D=",AV1790,"R=",AW1790,"M=",AX1790,"L=",AY1790,"B=",AZ1790)</f>
        <v>MCCLELLAND T=6D=1R=0M=0L=1B=0</v>
      </c>
      <c r="G1790" s="0" t="s">
        <v>175</v>
      </c>
      <c r="I1790" s="0" t="s">
        <v>8041</v>
      </c>
      <c r="J1790" s="0" t="s">
        <v>8042</v>
      </c>
      <c r="K1790" s="0" t="s">
        <v>160</v>
      </c>
      <c r="M1790" s="0" t="s">
        <v>8036</v>
      </c>
      <c r="N1790" s="0" t="str">
        <f aca="false">RIGHT(M1790,LEN(M1790)-FIND(" ",M1790))</f>
        <v>OAK KNOLL AVE SE</v>
      </c>
      <c r="P1790" s="0" t="s">
        <v>145</v>
      </c>
      <c r="Q1790" s="0" t="s">
        <v>146</v>
      </c>
      <c r="R1790" s="0" t="n">
        <v>44483</v>
      </c>
      <c r="AD1790" s="0" t="s">
        <v>147</v>
      </c>
      <c r="AE1790" s="0" t="s">
        <v>148</v>
      </c>
      <c r="AF1790" s="0" t="s">
        <v>149</v>
      </c>
      <c r="AH1790" s="0" t="n">
        <v>14</v>
      </c>
      <c r="AI1790" s="0" t="n">
        <v>11</v>
      </c>
      <c r="AN1790" s="0" t="s">
        <v>145</v>
      </c>
      <c r="AO1790" s="0" t="s">
        <v>150</v>
      </c>
      <c r="AP1790" s="0" t="s">
        <v>151</v>
      </c>
      <c r="AQ1790" s="0" t="n">
        <v>9</v>
      </c>
      <c r="AR1790" s="0" t="n">
        <v>64</v>
      </c>
      <c r="AS1790" s="0" t="n">
        <v>32</v>
      </c>
      <c r="AU1790" s="0" t="n">
        <f aca="false">COUNTA($BA$285:$EH$285)</f>
        <v>6</v>
      </c>
      <c r="AV1790" s="0" t="n">
        <f aca="false">COUNTIF($BA$285:$EH$285,"D")</f>
        <v>1</v>
      </c>
      <c r="AW1790" s="0" t="n">
        <f aca="false">COUNTIF($BA$285:$EH$285,"R")</f>
        <v>0</v>
      </c>
      <c r="AX1790" s="0" t="n">
        <f aca="false">IF(BN1790="D",1,0)+IF(BO1790="D",1,0)+IF(BT1790="D",1,0)+IF(BU1790="D",1,0)+IF(BW1790="D",1,0)+IF(CC1790="D",1,0)+IF(CD1790="D",1,0)+IF(CE1790="D",1,0)+IF(CF1790="D",1,0)+IF(CL1790="D",1,0)+IF(CM1790="D",1,0)+IF(CQ1790="D",1,0)+IF(CR1790="D",1,0)+IF(CS1790="D",1,0)+IF(CW1790="D",1,0)+IF(CX1790="D",1,0)+IF(DD1790="D",1,0)+IF(DE1790="D",1,0)+IF(DJ1790="D",1,0)+IF(DK1790="D",1,0)+IF(DO1790="D",1,0)+IF(DP1790="D",1,0)+IF(DQ1790="D",1,0)+IF(DW1790="D",1,0)+IF(DZ1790="D",1,0)+IF(EH1790="D",1,0)</f>
        <v>0</v>
      </c>
      <c r="AY1790" s="0" t="n">
        <f aca="false">COUNTIF(DU1790:EH1790, "&lt;&gt;")</f>
        <v>1</v>
      </c>
      <c r="AZ1790" s="0" t="n">
        <f aca="false">IF(EH1790&lt;&gt;"",1,0)</f>
        <v>0</v>
      </c>
      <c r="BB1790" s="0" t="s">
        <v>152</v>
      </c>
      <c r="BS1790" s="0" t="s">
        <v>153</v>
      </c>
      <c r="BY1790" s="0" t="s">
        <v>175</v>
      </c>
      <c r="CP1790" s="0" t="s">
        <v>153</v>
      </c>
      <c r="DC1790" s="0" t="s">
        <v>153</v>
      </c>
      <c r="DI1790" s="0" t="s">
        <v>153</v>
      </c>
      <c r="DN1790" s="0" t="s">
        <v>153</v>
      </c>
      <c r="EF1790" s="0" t="s">
        <v>153</v>
      </c>
    </row>
    <row r="1791" customFormat="false" ht="13.8" hidden="true" customHeight="false" outlineLevel="0" collapsed="false">
      <c r="A1791" s="0" t="s">
        <v>8043</v>
      </c>
      <c r="B1791" s="0" t="n">
        <v>78</v>
      </c>
      <c r="C1791" s="0" t="n">
        <v>461742</v>
      </c>
      <c r="D1791" s="0" t="s">
        <v>5560</v>
      </c>
      <c r="E1791" s="0" t="s">
        <v>8044</v>
      </c>
      <c r="F1791" s="0" t="str">
        <f aca="false">CONCATENATE(D1791," ",LEFT(H1791,4),"T=",AU1791,"D=",AV1791,"R=",AW1791,"M=",AX1791,"L=",AY1791,"B=",AZ1791)</f>
        <v>FOSTER T=4D=0R=0M=0L=0B=0</v>
      </c>
      <c r="G1791" s="0" t="s">
        <v>3857</v>
      </c>
      <c r="I1791" s="0" t="s">
        <v>8045</v>
      </c>
      <c r="J1791" s="0" t="s">
        <v>8046</v>
      </c>
      <c r="K1791" s="0" t="s">
        <v>143</v>
      </c>
      <c r="M1791" s="0" t="s">
        <v>8047</v>
      </c>
      <c r="N1791" s="0" t="str">
        <f aca="false">RIGHT(M1791,LEN(M1791)-FIND(" ",M1791))</f>
        <v>OAK KNOLL AVE SE</v>
      </c>
      <c r="P1791" s="0" t="s">
        <v>145</v>
      </c>
      <c r="Q1791" s="0" t="s">
        <v>146</v>
      </c>
      <c r="R1791" s="0" t="n">
        <v>44483</v>
      </c>
      <c r="AD1791" s="0" t="s">
        <v>147</v>
      </c>
      <c r="AE1791" s="0" t="s">
        <v>148</v>
      </c>
      <c r="AF1791" s="0" t="s">
        <v>149</v>
      </c>
      <c r="AH1791" s="0" t="n">
        <v>14</v>
      </c>
      <c r="AI1791" s="0" t="n">
        <v>11</v>
      </c>
      <c r="AN1791" s="0" t="s">
        <v>145</v>
      </c>
      <c r="AO1791" s="0" t="s">
        <v>150</v>
      </c>
      <c r="AP1791" s="0" t="s">
        <v>151</v>
      </c>
      <c r="AQ1791" s="0" t="n">
        <v>9</v>
      </c>
      <c r="AR1791" s="0" t="n">
        <v>64</v>
      </c>
      <c r="AS1791" s="0" t="n">
        <v>32</v>
      </c>
      <c r="AU1791" s="0" t="n">
        <f aca="false">COUNTA($BA$499:$EH$499)</f>
        <v>4</v>
      </c>
      <c r="AV1791" s="0" t="n">
        <f aca="false">COUNTIF($BA$499:$EH$499,"D")</f>
        <v>0</v>
      </c>
      <c r="AW1791" s="0" t="n">
        <f aca="false">COUNTIF($BA$499:$EH$499,"R")</f>
        <v>0</v>
      </c>
      <c r="AX1791" s="0" t="n">
        <f aca="false">IF(BN1791="D",1,0)+IF(BO1791="D",1,0)+IF(BT1791="D",1,0)+IF(BU1791="D",1,0)+IF(BW1791="D",1,0)+IF(CC1791="D",1,0)+IF(CD1791="D",1,0)+IF(CE1791="D",1,0)+IF(CF1791="D",1,0)+IF(CL1791="D",1,0)+IF(CM1791="D",1,0)+IF(CQ1791="D",1,0)+IF(CR1791="D",1,0)+IF(CS1791="D",1,0)+IF(CW1791="D",1,0)+IF(CX1791="D",1,0)+IF(DD1791="D",1,0)+IF(DE1791="D",1,0)+IF(DJ1791="D",1,0)+IF(DK1791="D",1,0)+IF(DO1791="D",1,0)+IF(DP1791="D",1,0)+IF(DQ1791="D",1,0)+IF(DW1791="D",1,0)+IF(DZ1791="D",1,0)+IF(EH1791="D",1,0)</f>
        <v>0</v>
      </c>
      <c r="AY1791" s="0" t="n">
        <f aca="false">COUNTIF(DU1791:EH1791, "&lt;&gt;")</f>
        <v>0</v>
      </c>
      <c r="AZ1791" s="0" t="n">
        <f aca="false">IF(EH1791&lt;&gt;"",1,0)</f>
        <v>0</v>
      </c>
      <c r="BB1791" s="0" t="s">
        <v>152</v>
      </c>
    </row>
    <row r="1792" customFormat="false" ht="13.8" hidden="true" customHeight="false" outlineLevel="0" collapsed="false">
      <c r="A1792" s="0" t="s">
        <v>8048</v>
      </c>
      <c r="B1792" s="0" t="n">
        <v>78</v>
      </c>
      <c r="C1792" s="0" t="n">
        <v>484112</v>
      </c>
      <c r="D1792" s="0" t="s">
        <v>824</v>
      </c>
      <c r="E1792" s="0" t="s">
        <v>8049</v>
      </c>
      <c r="F1792" s="0" t="str">
        <f aca="false">CONCATENATE(D1792," ",LEFT(H1792,4),"T=",AU1792,"D=",AV1792,"R=",AW1792,"M=",AX1792,"L=",AY1792,"B=",AZ1792)</f>
        <v>SCOTT T=1D=0R=0M=0L=1B=0</v>
      </c>
      <c r="G1792" s="0" t="s">
        <v>8050</v>
      </c>
      <c r="I1792" s="0" t="s">
        <v>8051</v>
      </c>
      <c r="J1792" s="0" t="s">
        <v>386</v>
      </c>
      <c r="K1792" s="0" t="s">
        <v>160</v>
      </c>
      <c r="M1792" s="0" t="s">
        <v>8052</v>
      </c>
      <c r="N1792" s="0" t="str">
        <f aca="false">RIGHT(M1792,LEN(M1792)-FIND(" ",M1792))</f>
        <v>OAK KNOLL AVE SE</v>
      </c>
      <c r="P1792" s="0" t="s">
        <v>145</v>
      </c>
      <c r="Q1792" s="0" t="s">
        <v>146</v>
      </c>
      <c r="R1792" s="0" t="n">
        <v>44483</v>
      </c>
      <c r="AD1792" s="0" t="s">
        <v>147</v>
      </c>
      <c r="AE1792" s="0" t="s">
        <v>148</v>
      </c>
      <c r="AF1792" s="0" t="s">
        <v>149</v>
      </c>
      <c r="AH1792" s="0" t="n">
        <v>14</v>
      </c>
      <c r="AI1792" s="0" t="n">
        <v>11</v>
      </c>
      <c r="AN1792" s="0" t="s">
        <v>145</v>
      </c>
      <c r="AO1792" s="0" t="s">
        <v>150</v>
      </c>
      <c r="AP1792" s="0" t="s">
        <v>151</v>
      </c>
      <c r="AQ1792" s="0" t="n">
        <v>9</v>
      </c>
      <c r="AR1792" s="0" t="n">
        <v>64</v>
      </c>
      <c r="AS1792" s="0" t="n">
        <v>32</v>
      </c>
      <c r="AU1792" s="0" t="n">
        <f aca="false">COUNTA($BA$121:$EH$121)</f>
        <v>1</v>
      </c>
      <c r="AV1792" s="0" t="n">
        <f aca="false">COUNTIF($BA$121:$EH$121,"D")</f>
        <v>0</v>
      </c>
      <c r="AW1792" s="0" t="n">
        <f aca="false">COUNTIF($BA$121:$EH$121,"R")</f>
        <v>0</v>
      </c>
      <c r="AX1792" s="0" t="n">
        <f aca="false">IF(BN1792="D",1,0)+IF(BO1792="D",1,0)+IF(BT1792="D",1,0)+IF(BU1792="D",1,0)+IF(BW1792="D",1,0)+IF(CC1792="D",1,0)+IF(CD1792="D",1,0)+IF(CE1792="D",1,0)+IF(CF1792="D",1,0)+IF(CL1792="D",1,0)+IF(CM1792="D",1,0)+IF(CQ1792="D",1,0)+IF(CR1792="D",1,0)+IF(CS1792="D",1,0)+IF(CW1792="D",1,0)+IF(CX1792="D",1,0)+IF(DD1792="D",1,0)+IF(DE1792="D",1,0)+IF(DJ1792="D",1,0)+IF(DK1792="D",1,0)+IF(DO1792="D",1,0)+IF(DP1792="D",1,0)+IF(DQ1792="D",1,0)+IF(DW1792="D",1,0)+IF(DZ1792="D",1,0)+IF(EH1792="D",1,0)</f>
        <v>0</v>
      </c>
      <c r="AY1792" s="0" t="n">
        <f aca="false">COUNTIF(DU1792:EH1792, "&lt;&gt;")</f>
        <v>1</v>
      </c>
      <c r="AZ1792" s="0" t="n">
        <f aca="false">IF(EH1792&lt;&gt;"",1,0)</f>
        <v>0</v>
      </c>
      <c r="BB1792" s="0" t="s">
        <v>152</v>
      </c>
      <c r="EF1792" s="0" t="s">
        <v>153</v>
      </c>
    </row>
    <row r="1793" customFormat="false" ht="13.8" hidden="true" customHeight="false" outlineLevel="0" collapsed="false">
      <c r="A1793" s="0" t="s">
        <v>8053</v>
      </c>
      <c r="B1793" s="0" t="n">
        <v>78</v>
      </c>
      <c r="C1793" s="0" t="n">
        <v>459427</v>
      </c>
      <c r="D1793" s="0" t="s">
        <v>8054</v>
      </c>
      <c r="E1793" s="0" t="s">
        <v>3101</v>
      </c>
      <c r="F1793" s="0" t="str">
        <f aca="false">CONCATENATE(D1793," ",LEFT(H1793,4),"T=",AU1793,"D=",AV1793,"R=",AW1793,"M=",AX1793,"L=",AY1793,"B=",AZ1793)</f>
        <v>SEILER T=1D=0R=0M=0L=0B=0</v>
      </c>
      <c r="G1793" s="0" t="s">
        <v>325</v>
      </c>
      <c r="I1793" s="0" t="s">
        <v>8055</v>
      </c>
      <c r="J1793" s="0" t="s">
        <v>8056</v>
      </c>
      <c r="K1793" s="0" t="s">
        <v>143</v>
      </c>
      <c r="M1793" s="0" t="s">
        <v>8052</v>
      </c>
      <c r="N1793" s="0" t="str">
        <f aca="false">RIGHT(M1793,LEN(M1793)-FIND(" ",M1793))</f>
        <v>OAK KNOLL AVE SE</v>
      </c>
      <c r="P1793" s="0" t="s">
        <v>145</v>
      </c>
      <c r="Q1793" s="0" t="s">
        <v>146</v>
      </c>
      <c r="R1793" s="0" t="n">
        <v>44483</v>
      </c>
      <c r="AD1793" s="0" t="s">
        <v>147</v>
      </c>
      <c r="AE1793" s="0" t="s">
        <v>148</v>
      </c>
      <c r="AF1793" s="0" t="s">
        <v>149</v>
      </c>
      <c r="AH1793" s="0" t="n">
        <v>14</v>
      </c>
      <c r="AI1793" s="0" t="n">
        <v>11</v>
      </c>
      <c r="AN1793" s="0" t="s">
        <v>145</v>
      </c>
      <c r="AO1793" s="0" t="s">
        <v>150</v>
      </c>
      <c r="AP1793" s="0" t="s">
        <v>151</v>
      </c>
      <c r="AQ1793" s="0" t="n">
        <v>9</v>
      </c>
      <c r="AR1793" s="0" t="n">
        <v>64</v>
      </c>
      <c r="AS1793" s="0" t="n">
        <v>32</v>
      </c>
      <c r="AU1793" s="0" t="n">
        <f aca="false">COUNTA($BA$457:$EH$457)</f>
        <v>1</v>
      </c>
      <c r="AV1793" s="0" t="n">
        <f aca="false">COUNTIF($BA$457:$EH$457,"D")</f>
        <v>0</v>
      </c>
      <c r="AW1793" s="0" t="n">
        <f aca="false">COUNTIF($BA$457:$EH$457,"R")</f>
        <v>0</v>
      </c>
      <c r="AX1793" s="0" t="n">
        <f aca="false">IF(BN1793="D",1,0)+IF(BO1793="D",1,0)+IF(BT1793="D",1,0)+IF(BU1793="D",1,0)+IF(BW1793="D",1,0)+IF(CC1793="D",1,0)+IF(CD1793="D",1,0)+IF(CE1793="D",1,0)+IF(CF1793="D",1,0)+IF(CL1793="D",1,0)+IF(CM1793="D",1,0)+IF(CQ1793="D",1,0)+IF(CR1793="D",1,0)+IF(CS1793="D",1,0)+IF(CW1793="D",1,0)+IF(CX1793="D",1,0)+IF(DD1793="D",1,0)+IF(DE1793="D",1,0)+IF(DJ1793="D",1,0)+IF(DK1793="D",1,0)+IF(DO1793="D",1,0)+IF(DP1793="D",1,0)+IF(DQ1793="D",1,0)+IF(DW1793="D",1,0)+IF(DZ1793="D",1,0)+IF(EH1793="D",1,0)</f>
        <v>0</v>
      </c>
      <c r="AY1793" s="0" t="n">
        <f aca="false">COUNTIF(DU1793:EH1793, "&lt;&gt;")</f>
        <v>0</v>
      </c>
      <c r="AZ1793" s="0" t="n">
        <f aca="false">IF(EH1793&lt;&gt;"",1,0)</f>
        <v>0</v>
      </c>
      <c r="BB1793" s="0" t="s">
        <v>152</v>
      </c>
      <c r="CL1793" s="0" t="s">
        <v>209</v>
      </c>
      <c r="CT1793" s="0" t="s">
        <v>153</v>
      </c>
    </row>
    <row r="1794" customFormat="false" ht="13.8" hidden="false" customHeight="false" outlineLevel="0" collapsed="false">
      <c r="A1794" s="0" t="s">
        <v>8057</v>
      </c>
      <c r="B1794" s="0" t="n">
        <v>78</v>
      </c>
      <c r="C1794" s="0" t="n">
        <v>450339</v>
      </c>
      <c r="D1794" s="0" t="s">
        <v>5062</v>
      </c>
      <c r="E1794" s="0" t="s">
        <v>697</v>
      </c>
      <c r="F1794" s="0" t="str">
        <f aca="false">CONCATENATE(D1794," ",LEFT(H1794,4),"T=",AU1794,"D=",AV1794,"R=",AW1794,"M=",AX1794,"L=",AY1794,"B=",AZ1794)</f>
        <v>STANLEY T=4D=0R=0M=0L=3B=0</v>
      </c>
      <c r="G1794" s="0" t="s">
        <v>424</v>
      </c>
      <c r="I1794" s="0" t="s">
        <v>8058</v>
      </c>
      <c r="J1794" s="0" t="s">
        <v>2834</v>
      </c>
      <c r="K1794" s="0" t="s">
        <v>160</v>
      </c>
      <c r="M1794" s="0" t="s">
        <v>8059</v>
      </c>
      <c r="N1794" s="0" t="str">
        <f aca="false">RIGHT(M1794,LEN(M1794)-FIND(" ",M1794))</f>
        <v>OAK KNOLL AVE SE</v>
      </c>
      <c r="P1794" s="0" t="s">
        <v>145</v>
      </c>
      <c r="Q1794" s="0" t="s">
        <v>146</v>
      </c>
      <c r="R1794" s="0" t="n">
        <v>44483</v>
      </c>
      <c r="AD1794" s="0" t="s">
        <v>147</v>
      </c>
      <c r="AE1794" s="0" t="s">
        <v>148</v>
      </c>
      <c r="AF1794" s="0" t="s">
        <v>149</v>
      </c>
      <c r="AH1794" s="0" t="n">
        <v>14</v>
      </c>
      <c r="AI1794" s="0" t="n">
        <v>11</v>
      </c>
      <c r="AN1794" s="0" t="s">
        <v>145</v>
      </c>
      <c r="AO1794" s="0" t="s">
        <v>150</v>
      </c>
      <c r="AP1794" s="0" t="s">
        <v>151</v>
      </c>
      <c r="AQ1794" s="0" t="n">
        <v>9</v>
      </c>
      <c r="AR1794" s="0" t="n">
        <v>64</v>
      </c>
      <c r="AS1794" s="0" t="n">
        <v>32</v>
      </c>
      <c r="AU1794" s="0" t="n">
        <f aca="false">COUNTA($BA$352:$EH$352)</f>
        <v>4</v>
      </c>
      <c r="AV1794" s="0" t="n">
        <f aca="false">COUNTIF($BA$352:$EH$352,"D")</f>
        <v>0</v>
      </c>
      <c r="AW1794" s="0" t="n">
        <f aca="false">COUNTIF($BA$352:$EH$352,"R")</f>
        <v>0</v>
      </c>
      <c r="AX1794" s="0" t="n">
        <f aca="false">IF(BN1794="D",1,0)+IF(BO1794="D",1,0)+IF(BT1794="D",1,0)+IF(BU1794="D",1,0)+IF(BW1794="D",1,0)+IF(CC1794="D",1,0)+IF(CD1794="D",1,0)+IF(CE1794="D",1,0)+IF(CF1794="D",1,0)+IF(CL1794="D",1,0)+IF(CM1794="D",1,0)+IF(CQ1794="D",1,0)+IF(CR1794="D",1,0)+IF(CS1794="D",1,0)+IF(CW1794="D",1,0)+IF(CX1794="D",1,0)+IF(DD1794="D",1,0)+IF(DE1794="D",1,0)+IF(DJ1794="D",1,0)+IF(DK1794="D",1,0)+IF(DO1794="D",1,0)+IF(DP1794="D",1,0)+IF(DQ1794="D",1,0)+IF(DW1794="D",1,0)+IF(DZ1794="D",1,0)+IF(EH1794="D",1,0)</f>
        <v>0</v>
      </c>
      <c r="AY1794" s="0" t="n">
        <f aca="false">COUNTIF(DU1794:EH1794, "&lt;&gt;")</f>
        <v>3</v>
      </c>
      <c r="AZ1794" s="0" t="n">
        <f aca="false">IF(EH1794&lt;&gt;"",1,0)</f>
        <v>0</v>
      </c>
      <c r="BB1794" s="0" t="s">
        <v>152</v>
      </c>
      <c r="BR1794" s="0" t="s">
        <v>153</v>
      </c>
      <c r="CL1794" s="0" t="s">
        <v>153</v>
      </c>
      <c r="DN1794" s="0" t="s">
        <v>153</v>
      </c>
      <c r="DU1794" s="0" t="s">
        <v>153</v>
      </c>
      <c r="EA1794" s="0" t="s">
        <v>153</v>
      </c>
      <c r="EF1794" s="0" t="s">
        <v>153</v>
      </c>
    </row>
    <row r="1795" customFormat="false" ht="13.8" hidden="true" customHeight="false" outlineLevel="0" collapsed="false">
      <c r="A1795" s="0" t="s">
        <v>8060</v>
      </c>
      <c r="B1795" s="0" t="n">
        <v>78</v>
      </c>
      <c r="C1795" s="0" t="n">
        <v>387532</v>
      </c>
      <c r="D1795" s="0" t="s">
        <v>4001</v>
      </c>
      <c r="E1795" s="0" t="s">
        <v>8061</v>
      </c>
      <c r="F1795" s="0" t="str">
        <f aca="false">CONCATENATE(D1795," ",LEFT(H1795,4),"T=",AU1795,"D=",AV1795,"R=",AW1795,"M=",AX1795,"L=",AY1795,"B=",AZ1795)</f>
        <v>COLEMAN T=1D=0R=0M=0L=0B=0</v>
      </c>
      <c r="G1795" s="0" t="s">
        <v>4199</v>
      </c>
      <c r="I1795" s="0" t="s">
        <v>8062</v>
      </c>
      <c r="J1795" s="0" t="s">
        <v>8063</v>
      </c>
      <c r="K1795" s="0" t="s">
        <v>143</v>
      </c>
      <c r="M1795" s="0" t="s">
        <v>8064</v>
      </c>
      <c r="N1795" s="0" t="str">
        <f aca="false">RIGHT(M1795,LEN(M1795)-FIND(" ",M1795))</f>
        <v>OAK KNOLL AVE SE</v>
      </c>
      <c r="P1795" s="0" t="s">
        <v>145</v>
      </c>
      <c r="Q1795" s="0" t="s">
        <v>146</v>
      </c>
      <c r="R1795" s="0" t="n">
        <v>44483</v>
      </c>
      <c r="AD1795" s="0" t="s">
        <v>147</v>
      </c>
      <c r="AE1795" s="0" t="s">
        <v>148</v>
      </c>
      <c r="AF1795" s="0" t="s">
        <v>149</v>
      </c>
      <c r="AH1795" s="0" t="n">
        <v>14</v>
      </c>
      <c r="AI1795" s="0" t="n">
        <v>11</v>
      </c>
      <c r="AN1795" s="0" t="s">
        <v>145</v>
      </c>
      <c r="AO1795" s="0" t="s">
        <v>150</v>
      </c>
      <c r="AP1795" s="0" t="s">
        <v>151</v>
      </c>
      <c r="AQ1795" s="0" t="n">
        <v>9</v>
      </c>
      <c r="AR1795" s="0" t="n">
        <v>64</v>
      </c>
      <c r="AS1795" s="0" t="n">
        <v>32</v>
      </c>
      <c r="AU1795" s="0" t="n">
        <f aca="false">COUNTA($BA$700:$EH$700)</f>
        <v>1</v>
      </c>
      <c r="AV1795" s="0" t="n">
        <f aca="false">COUNTIF($BA$700:$EH$700,"D")</f>
        <v>0</v>
      </c>
      <c r="AW1795" s="0" t="n">
        <f aca="false">COUNTIF($BA$700:$EH$700,"R")</f>
        <v>0</v>
      </c>
      <c r="AX1795" s="0" t="n">
        <f aca="false">IF(BN1795="D",1,0)+IF(BO1795="D",1,0)+IF(BT1795="D",1,0)+IF(BU1795="D",1,0)+IF(BW1795="D",1,0)+IF(CC1795="D",1,0)+IF(CD1795="D",1,0)+IF(CE1795="D",1,0)+IF(CF1795="D",1,0)+IF(CL1795="D",1,0)+IF(CM1795="D",1,0)+IF(CQ1795="D",1,0)+IF(CR1795="D",1,0)+IF(CS1795="D",1,0)+IF(CW1795="D",1,0)+IF(CX1795="D",1,0)+IF(DD1795="D",1,0)+IF(DE1795="D",1,0)+IF(DJ1795="D",1,0)+IF(DK1795="D",1,0)+IF(DO1795="D",1,0)+IF(DP1795="D",1,0)+IF(DQ1795="D",1,0)+IF(DW1795="D",1,0)+IF(DZ1795="D",1,0)+IF(EH1795="D",1,0)</f>
        <v>0</v>
      </c>
      <c r="AY1795" s="0" t="n">
        <f aca="false">COUNTIF(DU1795:EH1795, "&lt;&gt;")</f>
        <v>0</v>
      </c>
      <c r="AZ1795" s="0" t="n">
        <f aca="false">IF(EH1795&lt;&gt;"",1,0)</f>
        <v>0</v>
      </c>
      <c r="BB1795" s="0" t="s">
        <v>152</v>
      </c>
    </row>
    <row r="1796" customFormat="false" ht="13.8" hidden="false" customHeight="false" outlineLevel="0" collapsed="false">
      <c r="A1796" s="0" t="s">
        <v>8065</v>
      </c>
      <c r="B1796" s="0" t="n">
        <v>78</v>
      </c>
      <c r="C1796" s="0" t="n">
        <v>323445</v>
      </c>
      <c r="D1796" s="0" t="s">
        <v>1661</v>
      </c>
      <c r="E1796" s="0" t="s">
        <v>8066</v>
      </c>
      <c r="F1796" s="0" t="str">
        <f aca="false">CONCATENATE(D1796," ",LEFT(H1796,4),"T=",AU1796,"D=",AV1796,"R=",AW1796,"M=",AX1796,"L=",AY1796,"B=",AZ1796)</f>
        <v>JACKSON T=40D=13R=0M=0L=2B=0</v>
      </c>
      <c r="G1796" s="0" t="s">
        <v>8067</v>
      </c>
      <c r="I1796" s="0" t="s">
        <v>8068</v>
      </c>
      <c r="J1796" s="0" t="s">
        <v>8069</v>
      </c>
      <c r="K1796" s="0" t="s">
        <v>160</v>
      </c>
      <c r="M1796" s="0" t="s">
        <v>8064</v>
      </c>
      <c r="N1796" s="0" t="str">
        <f aca="false">RIGHT(M1796,LEN(M1796)-FIND(" ",M1796))</f>
        <v>OAK KNOLL AVE SE</v>
      </c>
      <c r="P1796" s="0" t="s">
        <v>145</v>
      </c>
      <c r="Q1796" s="0" t="s">
        <v>146</v>
      </c>
      <c r="R1796" s="0" t="n">
        <v>44483</v>
      </c>
      <c r="AD1796" s="0" t="s">
        <v>147</v>
      </c>
      <c r="AE1796" s="0" t="s">
        <v>148</v>
      </c>
      <c r="AF1796" s="0" t="s">
        <v>149</v>
      </c>
      <c r="AH1796" s="0" t="n">
        <v>14</v>
      </c>
      <c r="AI1796" s="0" t="n">
        <v>11</v>
      </c>
      <c r="AN1796" s="0" t="s">
        <v>145</v>
      </c>
      <c r="AO1796" s="0" t="s">
        <v>150</v>
      </c>
      <c r="AP1796" s="0" t="s">
        <v>151</v>
      </c>
      <c r="AQ1796" s="0" t="n">
        <v>9</v>
      </c>
      <c r="AR1796" s="0" t="n">
        <v>64</v>
      </c>
      <c r="AS1796" s="0" t="n">
        <v>32</v>
      </c>
      <c r="AU1796" s="0" t="n">
        <f aca="false">COUNTA($BA$833:$EH$833)</f>
        <v>40</v>
      </c>
      <c r="AV1796" s="0" t="n">
        <f aca="false">COUNTIF($BA$833:$EH$833,"D")</f>
        <v>13</v>
      </c>
      <c r="AW1796" s="0" t="n">
        <f aca="false">COUNTIF($BA$833:$EH$833,"R")</f>
        <v>0</v>
      </c>
      <c r="AX1796" s="0" t="n">
        <f aca="false">IF(BN1796="D",1,0)+IF(BO1796="D",1,0)+IF(BT1796="D",1,0)+IF(BU1796="D",1,0)+IF(BW1796="D",1,0)+IF(CC1796="D",1,0)+IF(CD1796="D",1,0)+IF(CE1796="D",1,0)+IF(CF1796="D",1,0)+IF(CL1796="D",1,0)+IF(CM1796="D",1,0)+IF(CQ1796="D",1,0)+IF(CR1796="D",1,0)+IF(CS1796="D",1,0)+IF(CW1796="D",1,0)+IF(CX1796="D",1,0)+IF(DD1796="D",1,0)+IF(DE1796="D",1,0)+IF(DJ1796="D",1,0)+IF(DK1796="D",1,0)+IF(DO1796="D",1,0)+IF(DP1796="D",1,0)+IF(DQ1796="D",1,0)+IF(DW1796="D",1,0)+IF(DZ1796="D",1,0)+IF(EH1796="D",1,0)</f>
        <v>0</v>
      </c>
      <c r="AY1796" s="0" t="n">
        <f aca="false">COUNTIF(DU1796:EH1796, "&lt;&gt;")</f>
        <v>2</v>
      </c>
      <c r="AZ1796" s="0" t="n">
        <f aca="false">IF(EH1796&lt;&gt;"",1,0)</f>
        <v>0</v>
      </c>
      <c r="BB1796" s="0" t="s">
        <v>152</v>
      </c>
      <c r="BL1796" s="0" t="s">
        <v>153</v>
      </c>
      <c r="DN1796" s="0" t="s">
        <v>153</v>
      </c>
      <c r="DU1796" s="0" t="s">
        <v>153</v>
      </c>
      <c r="EF1796" s="0" t="s">
        <v>153</v>
      </c>
    </row>
    <row r="1797" customFormat="false" ht="13.8" hidden="false" customHeight="false" outlineLevel="0" collapsed="false">
      <c r="A1797" s="0" t="s">
        <v>8070</v>
      </c>
      <c r="B1797" s="0" t="n">
        <v>78</v>
      </c>
      <c r="C1797" s="0" t="n">
        <v>136272</v>
      </c>
      <c r="D1797" s="0" t="s">
        <v>8071</v>
      </c>
      <c r="E1797" s="0" t="s">
        <v>208</v>
      </c>
      <c r="F1797" s="0" t="str">
        <f aca="false">CONCATENATE(D1797," ",LEFT(H1797,4),"T=",AU1797,"D=",AV1797,"R=",AW1797,"M=",AX1797,"L=",AY1797,"B=",AZ1797)</f>
        <v>OHLIN T=5D=1R=0M=8L=7B=1</v>
      </c>
      <c r="G1797" s="0" t="s">
        <v>171</v>
      </c>
      <c r="I1797" s="0" t="s">
        <v>8072</v>
      </c>
      <c r="J1797" s="0" t="s">
        <v>6919</v>
      </c>
      <c r="K1797" s="0" t="s">
        <v>160</v>
      </c>
      <c r="L1797" s="0" t="s">
        <v>175</v>
      </c>
      <c r="M1797" s="0" t="s">
        <v>8073</v>
      </c>
      <c r="N1797" s="0" t="str">
        <f aca="false">RIGHT(M1797,LEN(M1797)-FIND(" ",M1797))</f>
        <v>OAK KNOLL AVE SE</v>
      </c>
      <c r="P1797" s="0" t="s">
        <v>145</v>
      </c>
      <c r="Q1797" s="0" t="s">
        <v>146</v>
      </c>
      <c r="R1797" s="0" t="n">
        <v>44483</v>
      </c>
      <c r="AD1797" s="0" t="s">
        <v>147</v>
      </c>
      <c r="AE1797" s="0" t="s">
        <v>148</v>
      </c>
      <c r="AF1797" s="0" t="s">
        <v>149</v>
      </c>
      <c r="AH1797" s="0" t="n">
        <v>14</v>
      </c>
      <c r="AI1797" s="0" t="n">
        <v>11</v>
      </c>
      <c r="AN1797" s="0" t="s">
        <v>145</v>
      </c>
      <c r="AO1797" s="0" t="s">
        <v>150</v>
      </c>
      <c r="AP1797" s="0" t="s">
        <v>151</v>
      </c>
      <c r="AQ1797" s="0" t="n">
        <v>9</v>
      </c>
      <c r="AR1797" s="0" t="n">
        <v>64</v>
      </c>
      <c r="AS1797" s="0" t="n">
        <v>32</v>
      </c>
      <c r="AU1797" s="0" t="n">
        <f aca="false">COUNTA($BA$23:$EH$23)</f>
        <v>5</v>
      </c>
      <c r="AV1797" s="0" t="n">
        <f aca="false">COUNTIF($BA$23:$EH$23,"D")</f>
        <v>1</v>
      </c>
      <c r="AW1797" s="0" t="n">
        <f aca="false">COUNTIF($BA$23:$EH$23,"R")</f>
        <v>0</v>
      </c>
      <c r="AX1797" s="0" t="n">
        <f aca="false">IF(BN1797="D",1,0)+IF(BO1797="D",1,0)+IF(BT1797="D",1,0)+IF(BU1797="D",1,0)+IF(BW1797="D",1,0)+IF(CC1797="D",1,0)+IF(CD1797="D",1,0)+IF(CE1797="D",1,0)+IF(CF1797="D",1,0)+IF(CL1797="D",1,0)+IF(CM1797="D",1,0)+IF(CQ1797="D",1,0)+IF(CR1797="D",1,0)+IF(CS1797="D",1,0)+IF(CW1797="D",1,0)+IF(CX1797="D",1,0)+IF(DD1797="D",1,0)+IF(DE1797="D",1,0)+IF(DJ1797="D",1,0)+IF(DK1797="D",1,0)+IF(DO1797="D",1,0)+IF(DP1797="D",1,0)+IF(DQ1797="D",1,0)+IF(DW1797="D",1,0)+IF(DZ1797="D",1,0)+IF(EH1797="D",1,0)</f>
        <v>8</v>
      </c>
      <c r="AY1797" s="0" t="n">
        <f aca="false">COUNTIF(DU1797:EH1797, "&lt;&gt;")</f>
        <v>7</v>
      </c>
      <c r="AZ1797" s="0" t="n">
        <f aca="false">IF(EH1797&lt;&gt;"",1,0)</f>
        <v>1</v>
      </c>
      <c r="BB1797" s="0" t="s">
        <v>152</v>
      </c>
      <c r="BC1797" s="0" t="s">
        <v>153</v>
      </c>
      <c r="BD1797" s="0" t="s">
        <v>153</v>
      </c>
      <c r="BE1797" s="0" t="s">
        <v>153</v>
      </c>
      <c r="BF1797" s="0" t="s">
        <v>153</v>
      </c>
      <c r="BG1797" s="0" t="s">
        <v>153</v>
      </c>
      <c r="BH1797" s="0" t="s">
        <v>153</v>
      </c>
      <c r="BI1797" s="0" t="s">
        <v>153</v>
      </c>
      <c r="BJ1797" s="0" t="s">
        <v>153</v>
      </c>
      <c r="BK1797" s="0" t="s">
        <v>153</v>
      </c>
      <c r="BL1797" s="0" t="s">
        <v>153</v>
      </c>
      <c r="BP1797" s="0" t="s">
        <v>153</v>
      </c>
      <c r="BR1797" s="0" t="s">
        <v>153</v>
      </c>
      <c r="BS1797" s="0" t="s">
        <v>153</v>
      </c>
      <c r="BT1797" s="0" t="s">
        <v>153</v>
      </c>
      <c r="BV1797" s="0" t="s">
        <v>153</v>
      </c>
      <c r="BY1797" s="0" t="s">
        <v>175</v>
      </c>
      <c r="CA1797" s="0" t="s">
        <v>153</v>
      </c>
      <c r="CC1797" s="0" t="s">
        <v>175</v>
      </c>
      <c r="CG1797" s="0" t="s">
        <v>153</v>
      </c>
      <c r="CH1797" s="0" t="s">
        <v>175</v>
      </c>
      <c r="CK1797" s="0" t="s">
        <v>153</v>
      </c>
      <c r="CL1797" s="0" t="s">
        <v>175</v>
      </c>
      <c r="CN1797" s="0" t="s">
        <v>153</v>
      </c>
      <c r="CO1797" s="0" t="s">
        <v>175</v>
      </c>
      <c r="CP1797" s="0" t="s">
        <v>153</v>
      </c>
      <c r="CQ1797" s="0" t="s">
        <v>175</v>
      </c>
      <c r="CT1797" s="0" t="s">
        <v>153</v>
      </c>
      <c r="CU1797" s="0" t="s">
        <v>175</v>
      </c>
      <c r="CV1797" s="0" t="s">
        <v>153</v>
      </c>
      <c r="CW1797" s="0" t="s">
        <v>175</v>
      </c>
      <c r="CY1797" s="0" t="s">
        <v>153</v>
      </c>
      <c r="CZ1797" s="0" t="s">
        <v>175</v>
      </c>
      <c r="DC1797" s="0" t="s">
        <v>153</v>
      </c>
      <c r="DD1797" s="0" t="s">
        <v>175</v>
      </c>
      <c r="DF1797" s="0" t="s">
        <v>153</v>
      </c>
      <c r="DG1797" s="0" t="s">
        <v>175</v>
      </c>
      <c r="DI1797" s="0" t="s">
        <v>153</v>
      </c>
      <c r="DJ1797" s="0" t="s">
        <v>175</v>
      </c>
      <c r="DL1797" s="0" t="s">
        <v>153</v>
      </c>
      <c r="DM1797" s="0" t="s">
        <v>175</v>
      </c>
      <c r="DN1797" s="0" t="s">
        <v>153</v>
      </c>
      <c r="DR1797" s="0" t="s">
        <v>153</v>
      </c>
      <c r="DS1797" s="0" t="s">
        <v>175</v>
      </c>
      <c r="DT1797" s="0" t="s">
        <v>175</v>
      </c>
      <c r="DU1797" s="0" t="s">
        <v>153</v>
      </c>
      <c r="DW1797" s="0" t="s">
        <v>175</v>
      </c>
      <c r="DX1797" s="0" t="s">
        <v>153</v>
      </c>
      <c r="EA1797" s="0" t="s">
        <v>153</v>
      </c>
      <c r="ED1797" s="0" t="s">
        <v>175</v>
      </c>
      <c r="EF1797" s="0" t="s">
        <v>153</v>
      </c>
      <c r="EH1797" s="0" t="s">
        <v>175</v>
      </c>
    </row>
    <row r="1798" customFormat="false" ht="13.8" hidden="true" customHeight="false" outlineLevel="0" collapsed="false">
      <c r="A1798" s="0" t="s">
        <v>8074</v>
      </c>
      <c r="B1798" s="0" t="n">
        <v>78</v>
      </c>
      <c r="C1798" s="0" t="n">
        <v>474702</v>
      </c>
      <c r="D1798" s="0" t="s">
        <v>8075</v>
      </c>
      <c r="E1798" s="0" t="s">
        <v>469</v>
      </c>
      <c r="F1798" s="0" t="str">
        <f aca="false">CONCATENATE(D1798," ",LEFT(H1798,4),"T=",AU1798,"D=",AV1798,"R=",AW1798,"M=",AX1798,"L=",AY1798,"B=",AZ1798)</f>
        <v>JAYNES T=9D=1R=0M=0L=1B=0</v>
      </c>
      <c r="G1798" s="0" t="s">
        <v>8076</v>
      </c>
      <c r="I1798" s="0" t="s">
        <v>8077</v>
      </c>
      <c r="J1798" s="0" t="s">
        <v>4729</v>
      </c>
      <c r="K1798" s="0" t="s">
        <v>160</v>
      </c>
      <c r="M1798" s="0" t="s">
        <v>8078</v>
      </c>
      <c r="N1798" s="0" t="str">
        <f aca="false">RIGHT(M1798,LEN(M1798)-FIND(" ",M1798))</f>
        <v>OAK KNOLL AVE SE</v>
      </c>
      <c r="P1798" s="0" t="s">
        <v>145</v>
      </c>
      <c r="Q1798" s="0" t="s">
        <v>146</v>
      </c>
      <c r="R1798" s="0" t="n">
        <v>44483</v>
      </c>
      <c r="AD1798" s="0" t="s">
        <v>147</v>
      </c>
      <c r="AE1798" s="0" t="s">
        <v>148</v>
      </c>
      <c r="AF1798" s="0" t="s">
        <v>149</v>
      </c>
      <c r="AH1798" s="0" t="n">
        <v>14</v>
      </c>
      <c r="AI1798" s="0" t="n">
        <v>11</v>
      </c>
      <c r="AN1798" s="0" t="s">
        <v>145</v>
      </c>
      <c r="AO1798" s="0" t="s">
        <v>150</v>
      </c>
      <c r="AP1798" s="0" t="s">
        <v>151</v>
      </c>
      <c r="AQ1798" s="0" t="n">
        <v>9</v>
      </c>
      <c r="AR1798" s="0" t="n">
        <v>64</v>
      </c>
      <c r="AS1798" s="0" t="n">
        <v>32</v>
      </c>
      <c r="AU1798" s="0" t="n">
        <f aca="false">COUNTA($BA$220:$EH$220)</f>
        <v>9</v>
      </c>
      <c r="AV1798" s="0" t="n">
        <f aca="false">COUNTIF($BA$220:$EH$220,"D")</f>
        <v>1</v>
      </c>
      <c r="AW1798" s="0" t="n">
        <f aca="false">COUNTIF($BA$220:$EH$220,"R")</f>
        <v>0</v>
      </c>
      <c r="AX1798" s="0" t="n">
        <f aca="false">IF(BN1798="D",1,0)+IF(BO1798="D",1,0)+IF(BT1798="D",1,0)+IF(BU1798="D",1,0)+IF(BW1798="D",1,0)+IF(CC1798="D",1,0)+IF(CD1798="D",1,0)+IF(CE1798="D",1,0)+IF(CF1798="D",1,0)+IF(CL1798="D",1,0)+IF(CM1798="D",1,0)+IF(CQ1798="D",1,0)+IF(CR1798="D",1,0)+IF(CS1798="D",1,0)+IF(CW1798="D",1,0)+IF(CX1798="D",1,0)+IF(DD1798="D",1,0)+IF(DE1798="D",1,0)+IF(DJ1798="D",1,0)+IF(DK1798="D",1,0)+IF(DO1798="D",1,0)+IF(DP1798="D",1,0)+IF(DQ1798="D",1,0)+IF(DW1798="D",1,0)+IF(DZ1798="D",1,0)+IF(EH1798="D",1,0)</f>
        <v>0</v>
      </c>
      <c r="AY1798" s="0" t="n">
        <f aca="false">COUNTIF(DU1798:EH1798, "&lt;&gt;")</f>
        <v>1</v>
      </c>
      <c r="AZ1798" s="0" t="n">
        <f aca="false">IF(EH1798&lt;&gt;"",1,0)</f>
        <v>0</v>
      </c>
      <c r="BB1798" s="0" t="s">
        <v>152</v>
      </c>
      <c r="EF1798" s="0" t="s">
        <v>153</v>
      </c>
    </row>
    <row r="1799" customFormat="false" ht="13.8" hidden="false" customHeight="false" outlineLevel="0" collapsed="false">
      <c r="A1799" s="0" t="s">
        <v>8079</v>
      </c>
      <c r="B1799" s="0" t="n">
        <v>78</v>
      </c>
      <c r="C1799" s="0" t="n">
        <v>419664</v>
      </c>
      <c r="D1799" s="0" t="s">
        <v>8080</v>
      </c>
      <c r="E1799" s="0" t="s">
        <v>2680</v>
      </c>
      <c r="F1799" s="0" t="str">
        <f aca="false">CONCATENATE(D1799," ",LEFT(H1799,4),"T=",AU1799,"D=",AV1799,"R=",AW1799,"M=",AX1799,"L=",AY1799,"B=",AZ1799)</f>
        <v>MINOTTI T=44D=12R=0M=0L=4B=0</v>
      </c>
      <c r="G1799" s="0" t="s">
        <v>164</v>
      </c>
      <c r="I1799" s="0" t="s">
        <v>8081</v>
      </c>
      <c r="J1799" s="0" t="s">
        <v>8082</v>
      </c>
      <c r="K1799" s="0" t="s">
        <v>160</v>
      </c>
      <c r="M1799" s="0" t="s">
        <v>8083</v>
      </c>
      <c r="N1799" s="0" t="str">
        <f aca="false">RIGHT(M1799,LEN(M1799)-FIND(" ",M1799))</f>
        <v>OAK KNOLL AVE SE</v>
      </c>
      <c r="P1799" s="0" t="s">
        <v>145</v>
      </c>
      <c r="Q1799" s="0" t="s">
        <v>146</v>
      </c>
      <c r="R1799" s="0" t="n">
        <v>44483</v>
      </c>
      <c r="AD1799" s="0" t="s">
        <v>147</v>
      </c>
      <c r="AE1799" s="0" t="s">
        <v>148</v>
      </c>
      <c r="AF1799" s="0" t="s">
        <v>149</v>
      </c>
      <c r="AH1799" s="0" t="n">
        <v>14</v>
      </c>
      <c r="AI1799" s="0" t="n">
        <v>11</v>
      </c>
      <c r="AN1799" s="0" t="s">
        <v>145</v>
      </c>
      <c r="AO1799" s="0" t="s">
        <v>150</v>
      </c>
      <c r="AP1799" s="0" t="s">
        <v>151</v>
      </c>
      <c r="AQ1799" s="0" t="n">
        <v>9</v>
      </c>
      <c r="AR1799" s="0" t="n">
        <v>64</v>
      </c>
      <c r="AS1799" s="0" t="n">
        <v>32</v>
      </c>
      <c r="AU1799" s="0" t="n">
        <f aca="false">COUNTA($BA$716:$EH$716)</f>
        <v>44</v>
      </c>
      <c r="AV1799" s="0" t="n">
        <f aca="false">COUNTIF($BA$716:$EH$716,"D")</f>
        <v>12</v>
      </c>
      <c r="AW1799" s="0" t="n">
        <f aca="false">COUNTIF($BA$716:$EH$716,"R")</f>
        <v>0</v>
      </c>
      <c r="AX1799" s="0" t="n">
        <f aca="false">IF(BN1799="D",1,0)+IF(BO1799="D",1,0)+IF(BT1799="D",1,0)+IF(BU1799="D",1,0)+IF(BW1799="D",1,0)+IF(CC1799="D",1,0)+IF(CD1799="D",1,0)+IF(CE1799="D",1,0)+IF(CF1799="D",1,0)+IF(CL1799="D",1,0)+IF(CM1799="D",1,0)+IF(CQ1799="D",1,0)+IF(CR1799="D",1,0)+IF(CS1799="D",1,0)+IF(CW1799="D",1,0)+IF(CX1799="D",1,0)+IF(DD1799="D",1,0)+IF(DE1799="D",1,0)+IF(DJ1799="D",1,0)+IF(DK1799="D",1,0)+IF(DO1799="D",1,0)+IF(DP1799="D",1,0)+IF(DQ1799="D",1,0)+IF(DW1799="D",1,0)+IF(DZ1799="D",1,0)+IF(EH1799="D",1,0)</f>
        <v>0</v>
      </c>
      <c r="AY1799" s="0" t="n">
        <f aca="false">COUNTIF(DU1799:EH1799, "&lt;&gt;")</f>
        <v>4</v>
      </c>
      <c r="AZ1799" s="0" t="n">
        <f aca="false">IF(EH1799&lt;&gt;"",1,0)</f>
        <v>0</v>
      </c>
      <c r="BB1799" s="0" t="s">
        <v>152</v>
      </c>
      <c r="BD1799" s="0" t="s">
        <v>153</v>
      </c>
      <c r="BF1799" s="0" t="s">
        <v>153</v>
      </c>
      <c r="BK1799" s="0" t="s">
        <v>153</v>
      </c>
      <c r="BL1799" s="0" t="s">
        <v>153</v>
      </c>
      <c r="BY1799" s="0" t="s">
        <v>175</v>
      </c>
      <c r="CA1799" s="0" t="s">
        <v>153</v>
      </c>
      <c r="CG1799" s="0" t="s">
        <v>153</v>
      </c>
      <c r="CK1799" s="0" t="s">
        <v>153</v>
      </c>
      <c r="CP1799" s="0" t="s">
        <v>153</v>
      </c>
      <c r="CV1799" s="0" t="s">
        <v>153</v>
      </c>
      <c r="CY1799" s="0" t="s">
        <v>153</v>
      </c>
      <c r="DC1799" s="0" t="s">
        <v>153</v>
      </c>
      <c r="DI1799" s="0" t="s">
        <v>153</v>
      </c>
      <c r="DN1799" s="0" t="s">
        <v>153</v>
      </c>
      <c r="DU1799" s="0" t="s">
        <v>153</v>
      </c>
      <c r="DX1799" s="0" t="s">
        <v>153</v>
      </c>
      <c r="EA1799" s="0" t="s">
        <v>153</v>
      </c>
      <c r="EF1799" s="0" t="s">
        <v>153</v>
      </c>
    </row>
    <row r="1800" customFormat="false" ht="13.8" hidden="false" customHeight="false" outlineLevel="0" collapsed="false">
      <c r="A1800" s="0" t="s">
        <v>8084</v>
      </c>
      <c r="B1800" s="0" t="n">
        <v>78</v>
      </c>
      <c r="C1800" s="0" t="n">
        <v>14220</v>
      </c>
      <c r="D1800" s="0" t="s">
        <v>8085</v>
      </c>
      <c r="E1800" s="0" t="s">
        <v>3639</v>
      </c>
      <c r="F1800" s="0" t="str">
        <f aca="false">CONCATENATE(D1800," ",LEFT(H1800,4),"T=",AU1800,"D=",AV1800,"R=",AW1800,"M=",AX1800,"L=",AY1800,"B=",AZ1800)</f>
        <v>ZILLINGER T=2D=0R=0M=0L=2B=0</v>
      </c>
      <c r="G1800" s="0" t="s">
        <v>190</v>
      </c>
      <c r="I1800" s="0" t="s">
        <v>8086</v>
      </c>
      <c r="J1800" s="0" t="s">
        <v>1038</v>
      </c>
      <c r="K1800" s="0" t="s">
        <v>160</v>
      </c>
      <c r="M1800" s="0" t="s">
        <v>8087</v>
      </c>
      <c r="N1800" s="0" t="str">
        <f aca="false">RIGHT(M1800,LEN(M1800)-FIND(" ",M1800))</f>
        <v>OAK KNOLL AVE SE</v>
      </c>
      <c r="P1800" s="0" t="s">
        <v>145</v>
      </c>
      <c r="Q1800" s="0" t="s">
        <v>146</v>
      </c>
      <c r="R1800" s="0" t="n">
        <v>44483</v>
      </c>
      <c r="AD1800" s="0" t="s">
        <v>147</v>
      </c>
      <c r="AE1800" s="0" t="s">
        <v>148</v>
      </c>
      <c r="AF1800" s="0" t="s">
        <v>149</v>
      </c>
      <c r="AH1800" s="0" t="n">
        <v>14</v>
      </c>
      <c r="AI1800" s="0" t="n">
        <v>11</v>
      </c>
      <c r="AN1800" s="0" t="s">
        <v>145</v>
      </c>
      <c r="AO1800" s="0" t="s">
        <v>150</v>
      </c>
      <c r="AP1800" s="0" t="s">
        <v>151</v>
      </c>
      <c r="AQ1800" s="0" t="n">
        <v>9</v>
      </c>
      <c r="AR1800" s="0" t="n">
        <v>64</v>
      </c>
      <c r="AS1800" s="0" t="n">
        <v>32</v>
      </c>
      <c r="AU1800" s="0" t="n">
        <f aca="false">COUNTA($BA$10:$EH$10)</f>
        <v>2</v>
      </c>
      <c r="AV1800" s="0" t="n">
        <f aca="false">COUNTIF($BA$10:$EH$10,"D")</f>
        <v>0</v>
      </c>
      <c r="AW1800" s="0" t="n">
        <f aca="false">COUNTIF($BA$10:$EH$10,"R")</f>
        <v>0</v>
      </c>
      <c r="AX1800" s="0" t="n">
        <f aca="false">IF(BN1800="D",1,0)+IF(BO1800="D",1,0)+IF(BT1800="D",1,0)+IF(BU1800="D",1,0)+IF(BW1800="D",1,0)+IF(CC1800="D",1,0)+IF(CD1800="D",1,0)+IF(CE1800="D",1,0)+IF(CF1800="D",1,0)+IF(CL1800="D",1,0)+IF(CM1800="D",1,0)+IF(CQ1800="D",1,0)+IF(CR1800="D",1,0)+IF(CS1800="D",1,0)+IF(CW1800="D",1,0)+IF(CX1800="D",1,0)+IF(DD1800="D",1,0)+IF(DE1800="D",1,0)+IF(DJ1800="D",1,0)+IF(DK1800="D",1,0)+IF(DO1800="D",1,0)+IF(DP1800="D",1,0)+IF(DQ1800="D",1,0)+IF(DW1800="D",1,0)+IF(DZ1800="D",1,0)+IF(EH1800="D",1,0)</f>
        <v>0</v>
      </c>
      <c r="AY1800" s="0" t="n">
        <f aca="false">COUNTIF(DU1800:EH1800, "&lt;&gt;")</f>
        <v>2</v>
      </c>
      <c r="AZ1800" s="0" t="n">
        <f aca="false">IF(EH1800&lt;&gt;"",1,0)</f>
        <v>0</v>
      </c>
      <c r="BB1800" s="0" t="s">
        <v>152</v>
      </c>
      <c r="BC1800" s="0" t="s">
        <v>153</v>
      </c>
      <c r="BD1800" s="0" t="s">
        <v>153</v>
      </c>
      <c r="BE1800" s="0" t="s">
        <v>153</v>
      </c>
      <c r="BF1800" s="0" t="s">
        <v>153</v>
      </c>
      <c r="BH1800" s="0" t="s">
        <v>153</v>
      </c>
      <c r="BJ1800" s="0" t="s">
        <v>153</v>
      </c>
      <c r="BK1800" s="0" t="s">
        <v>153</v>
      </c>
      <c r="BL1800" s="0" t="s">
        <v>153</v>
      </c>
      <c r="BP1800" s="0" t="s">
        <v>153</v>
      </c>
      <c r="BR1800" s="0" t="s">
        <v>153</v>
      </c>
      <c r="BS1800" s="0" t="s">
        <v>153</v>
      </c>
      <c r="BV1800" s="0" t="s">
        <v>153</v>
      </c>
      <c r="BY1800" s="0" t="s">
        <v>175</v>
      </c>
      <c r="CA1800" s="0" t="s">
        <v>153</v>
      </c>
      <c r="DN1800" s="0" t="s">
        <v>153</v>
      </c>
      <c r="DU1800" s="0" t="s">
        <v>153</v>
      </c>
      <c r="EF1800" s="0" t="s">
        <v>153</v>
      </c>
    </row>
    <row r="1801" customFormat="false" ht="13.8" hidden="true" customHeight="false" outlineLevel="0" collapsed="false">
      <c r="A1801" s="0" t="s">
        <v>8088</v>
      </c>
      <c r="B1801" s="0" t="n">
        <v>78</v>
      </c>
      <c r="C1801" s="0" t="n">
        <v>415073</v>
      </c>
      <c r="D1801" s="0" t="s">
        <v>8089</v>
      </c>
      <c r="E1801" s="0" t="s">
        <v>1295</v>
      </c>
      <c r="F1801" s="0" t="str">
        <f aca="false">CONCATENATE(D1801," ",LEFT(H1801,4),"T=",AU1801,"D=",AV1801,"R=",AW1801,"M=",AX1801,"L=",AY1801,"B=",AZ1801)</f>
        <v>MCELROY T=15D=3R=0M=0L=1B=0</v>
      </c>
      <c r="G1801" s="0" t="s">
        <v>307</v>
      </c>
      <c r="I1801" s="0" t="s">
        <v>8090</v>
      </c>
      <c r="J1801" s="0" t="s">
        <v>6288</v>
      </c>
      <c r="K1801" s="0" t="s">
        <v>160</v>
      </c>
      <c r="M1801" s="0" t="s">
        <v>8087</v>
      </c>
      <c r="N1801" s="0" t="str">
        <f aca="false">RIGHT(M1801,LEN(M1801)-FIND(" ",M1801))</f>
        <v>OAK KNOLL AVE SE</v>
      </c>
      <c r="P1801" s="0" t="s">
        <v>145</v>
      </c>
      <c r="Q1801" s="0" t="s">
        <v>146</v>
      </c>
      <c r="R1801" s="0" t="n">
        <v>44483</v>
      </c>
      <c r="AD1801" s="0" t="s">
        <v>147</v>
      </c>
      <c r="AE1801" s="0" t="s">
        <v>148</v>
      </c>
      <c r="AF1801" s="0" t="s">
        <v>149</v>
      </c>
      <c r="AH1801" s="0" t="n">
        <v>14</v>
      </c>
      <c r="AI1801" s="0" t="n">
        <v>11</v>
      </c>
      <c r="AN1801" s="0" t="s">
        <v>145</v>
      </c>
      <c r="AO1801" s="0" t="s">
        <v>150</v>
      </c>
      <c r="AP1801" s="0" t="s">
        <v>151</v>
      </c>
      <c r="AQ1801" s="0" t="n">
        <v>9</v>
      </c>
      <c r="AR1801" s="0" t="n">
        <v>64</v>
      </c>
      <c r="AS1801" s="0" t="n">
        <v>32</v>
      </c>
      <c r="AU1801" s="0" t="n">
        <f aca="false">COUNTA($BA$278:$EH$278)</f>
        <v>15</v>
      </c>
      <c r="AV1801" s="0" t="n">
        <f aca="false">COUNTIF($BA$278:$EH$278,"D")</f>
        <v>3</v>
      </c>
      <c r="AW1801" s="0" t="n">
        <f aca="false">COUNTIF($BA$278:$EH$278,"R")</f>
        <v>0</v>
      </c>
      <c r="AX1801" s="0" t="n">
        <f aca="false">IF(BN1801="D",1,0)+IF(BO1801="D",1,0)+IF(BT1801="D",1,0)+IF(BU1801="D",1,0)+IF(BW1801="D",1,0)+IF(CC1801="D",1,0)+IF(CD1801="D",1,0)+IF(CE1801="D",1,0)+IF(CF1801="D",1,0)+IF(CL1801="D",1,0)+IF(CM1801="D",1,0)+IF(CQ1801="D",1,0)+IF(CR1801="D",1,0)+IF(CS1801="D",1,0)+IF(CW1801="D",1,0)+IF(CX1801="D",1,0)+IF(DD1801="D",1,0)+IF(DE1801="D",1,0)+IF(DJ1801="D",1,0)+IF(DK1801="D",1,0)+IF(DO1801="D",1,0)+IF(DP1801="D",1,0)+IF(DQ1801="D",1,0)+IF(DW1801="D",1,0)+IF(DZ1801="D",1,0)+IF(EH1801="D",1,0)</f>
        <v>0</v>
      </c>
      <c r="AY1801" s="0" t="n">
        <f aca="false">COUNTIF(DU1801:EH1801, "&lt;&gt;")</f>
        <v>1</v>
      </c>
      <c r="AZ1801" s="0" t="n">
        <f aca="false">IF(EH1801&lt;&gt;"",1,0)</f>
        <v>0</v>
      </c>
      <c r="BB1801" s="0" t="s">
        <v>152</v>
      </c>
      <c r="EF1801" s="0" t="s">
        <v>153</v>
      </c>
    </row>
    <row r="1802" customFormat="false" ht="13.8" hidden="true" customHeight="false" outlineLevel="0" collapsed="false">
      <c r="A1802" s="0" t="s">
        <v>8091</v>
      </c>
      <c r="B1802" s="0" t="n">
        <v>78</v>
      </c>
      <c r="C1802" s="0" t="n">
        <v>488355</v>
      </c>
      <c r="D1802" s="0" t="s">
        <v>849</v>
      </c>
      <c r="E1802" s="0" t="s">
        <v>8092</v>
      </c>
      <c r="F1802" s="0" t="str">
        <f aca="false">CONCATENATE(D1802," ",LEFT(H1802,4),"T=",AU1802,"D=",AV1802,"R=",AW1802,"M=",AX1802,"L=",AY1802,"B=",AZ1802)</f>
        <v>DENNIS T=1D=0R=0M=0L=1B=0</v>
      </c>
      <c r="G1802" s="0" t="s">
        <v>6287</v>
      </c>
      <c r="I1802" s="0" t="s">
        <v>8093</v>
      </c>
      <c r="J1802" s="0" t="s">
        <v>8094</v>
      </c>
      <c r="K1802" s="0" t="s">
        <v>160</v>
      </c>
      <c r="M1802" s="0" t="s">
        <v>8087</v>
      </c>
      <c r="N1802" s="0" t="str">
        <f aca="false">RIGHT(M1802,LEN(M1802)-FIND(" ",M1802))</f>
        <v>OAK KNOLL AVE SE</v>
      </c>
      <c r="P1802" s="0" t="s">
        <v>145</v>
      </c>
      <c r="Q1802" s="0" t="s">
        <v>146</v>
      </c>
      <c r="R1802" s="0" t="n">
        <v>44483</v>
      </c>
      <c r="AD1802" s="0" t="s">
        <v>147</v>
      </c>
      <c r="AE1802" s="0" t="s">
        <v>148</v>
      </c>
      <c r="AF1802" s="0" t="s">
        <v>149</v>
      </c>
      <c r="AH1802" s="0" t="n">
        <v>14</v>
      </c>
      <c r="AI1802" s="0" t="n">
        <v>11</v>
      </c>
      <c r="AN1802" s="0" t="s">
        <v>145</v>
      </c>
      <c r="AO1802" s="0" t="s">
        <v>150</v>
      </c>
      <c r="AP1802" s="0" t="s">
        <v>151</v>
      </c>
      <c r="AQ1802" s="0" t="n">
        <v>9</v>
      </c>
      <c r="AR1802" s="0" t="n">
        <v>64</v>
      </c>
      <c r="AS1802" s="0" t="n">
        <v>32</v>
      </c>
      <c r="AU1802" s="0" t="n">
        <f aca="false">COUNTA($BA$332:$EH$332)</f>
        <v>1</v>
      </c>
      <c r="AV1802" s="0" t="n">
        <f aca="false">COUNTIF($BA$332:$EH$332,"D")</f>
        <v>0</v>
      </c>
      <c r="AW1802" s="0" t="n">
        <f aca="false">COUNTIF($BA$332:$EH$332,"R")</f>
        <v>0</v>
      </c>
      <c r="AX1802" s="0" t="n">
        <f aca="false">IF(BN1802="D",1,0)+IF(BO1802="D",1,0)+IF(BT1802="D",1,0)+IF(BU1802="D",1,0)+IF(BW1802="D",1,0)+IF(CC1802="D",1,0)+IF(CD1802="D",1,0)+IF(CE1802="D",1,0)+IF(CF1802="D",1,0)+IF(CL1802="D",1,0)+IF(CM1802="D",1,0)+IF(CQ1802="D",1,0)+IF(CR1802="D",1,0)+IF(CS1802="D",1,0)+IF(CW1802="D",1,0)+IF(CX1802="D",1,0)+IF(DD1802="D",1,0)+IF(DE1802="D",1,0)+IF(DJ1802="D",1,0)+IF(DK1802="D",1,0)+IF(DO1802="D",1,0)+IF(DP1802="D",1,0)+IF(DQ1802="D",1,0)+IF(DW1802="D",1,0)+IF(DZ1802="D",1,0)+IF(EH1802="D",1,0)</f>
        <v>0</v>
      </c>
      <c r="AY1802" s="0" t="n">
        <f aca="false">COUNTIF(DU1802:EH1802, "&lt;&gt;")</f>
        <v>1</v>
      </c>
      <c r="AZ1802" s="0" t="n">
        <f aca="false">IF(EH1802&lt;&gt;"",1,0)</f>
        <v>0</v>
      </c>
      <c r="BB1802" s="0" t="s">
        <v>152</v>
      </c>
      <c r="EF1802" s="0" t="s">
        <v>153</v>
      </c>
    </row>
    <row r="1803" customFormat="false" ht="13.8" hidden="false" customHeight="false" outlineLevel="0" collapsed="false">
      <c r="A1803" s="0" t="s">
        <v>8095</v>
      </c>
      <c r="B1803" s="0" t="n">
        <v>78</v>
      </c>
      <c r="C1803" s="0" t="n">
        <v>357359</v>
      </c>
      <c r="D1803" s="0" t="s">
        <v>8096</v>
      </c>
      <c r="E1803" s="0" t="s">
        <v>905</v>
      </c>
      <c r="F1803" s="0" t="str">
        <f aca="false">CONCATENATE(D1803," ",LEFT(H1803,4),"T=",AU1803,"D=",AV1803,"R=",AW1803,"M=",AX1803,"L=",AY1803,"B=",AZ1803)</f>
        <v>SCHULLER T=3D=0R=0M=1L=3B=0</v>
      </c>
      <c r="G1803" s="0" t="s">
        <v>195</v>
      </c>
      <c r="I1803" s="0" t="s">
        <v>8097</v>
      </c>
      <c r="J1803" s="0" t="s">
        <v>5141</v>
      </c>
      <c r="K1803" s="0" t="s">
        <v>160</v>
      </c>
      <c r="L1803" s="0" t="s">
        <v>175</v>
      </c>
      <c r="M1803" s="0" t="s">
        <v>8098</v>
      </c>
      <c r="N1803" s="0" t="str">
        <f aca="false">RIGHT(M1803,LEN(M1803)-FIND(" ",M1803))</f>
        <v>OAK KNOLL AVE SE</v>
      </c>
      <c r="P1803" s="0" t="s">
        <v>145</v>
      </c>
      <c r="Q1803" s="0" t="s">
        <v>146</v>
      </c>
      <c r="R1803" s="0" t="n">
        <v>44483</v>
      </c>
      <c r="AD1803" s="0" t="s">
        <v>147</v>
      </c>
      <c r="AE1803" s="0" t="s">
        <v>148</v>
      </c>
      <c r="AF1803" s="0" t="s">
        <v>149</v>
      </c>
      <c r="AH1803" s="0" t="n">
        <v>14</v>
      </c>
      <c r="AI1803" s="0" t="n">
        <v>11</v>
      </c>
      <c r="AN1803" s="0" t="s">
        <v>145</v>
      </c>
      <c r="AO1803" s="0" t="s">
        <v>150</v>
      </c>
      <c r="AP1803" s="0" t="s">
        <v>151</v>
      </c>
      <c r="AQ1803" s="0" t="n">
        <v>9</v>
      </c>
      <c r="AR1803" s="0" t="n">
        <v>64</v>
      </c>
      <c r="AS1803" s="0" t="n">
        <v>32</v>
      </c>
      <c r="AU1803" s="0" t="n">
        <f aca="false">COUNTA($BA$194:$EH$194)</f>
        <v>3</v>
      </c>
      <c r="AV1803" s="0" t="n">
        <f aca="false">COUNTIF($BA$194:$EH$194,"D")</f>
        <v>0</v>
      </c>
      <c r="AW1803" s="0" t="n">
        <f aca="false">COUNTIF($BA$194:$EH$194,"R")</f>
        <v>0</v>
      </c>
      <c r="AX1803" s="0" t="n">
        <f aca="false">IF(BN1803="D",1,0)+IF(BO1803="D",1,0)+IF(BT1803="D",1,0)+IF(BU1803="D",1,0)+IF(BW1803="D",1,0)+IF(CC1803="D",1,0)+IF(CD1803="D",1,0)+IF(CE1803="D",1,0)+IF(CF1803="D",1,0)+IF(CL1803="D",1,0)+IF(CM1803="D",1,0)+IF(CQ1803="D",1,0)+IF(CR1803="D",1,0)+IF(CS1803="D",1,0)+IF(CW1803="D",1,0)+IF(CX1803="D",1,0)+IF(DD1803="D",1,0)+IF(DE1803="D",1,0)+IF(DJ1803="D",1,0)+IF(DK1803="D",1,0)+IF(DO1803="D",1,0)+IF(DP1803="D",1,0)+IF(DQ1803="D",1,0)+IF(DW1803="D",1,0)+IF(DZ1803="D",1,0)+IF(EH1803="D",1,0)</f>
        <v>1</v>
      </c>
      <c r="AY1803" s="0" t="n">
        <f aca="false">COUNTIF(DU1803:EH1803, "&lt;&gt;")</f>
        <v>3</v>
      </c>
      <c r="AZ1803" s="0" t="n">
        <f aca="false">IF(EH1803&lt;&gt;"",1,0)</f>
        <v>0</v>
      </c>
      <c r="BB1803" s="0" t="s">
        <v>152</v>
      </c>
      <c r="CA1803" s="0" t="s">
        <v>153</v>
      </c>
      <c r="CG1803" s="0" t="s">
        <v>153</v>
      </c>
      <c r="CK1803" s="0" t="s">
        <v>153</v>
      </c>
      <c r="CN1803" s="0" t="s">
        <v>153</v>
      </c>
      <c r="CP1803" s="0" t="s">
        <v>153</v>
      </c>
      <c r="CV1803" s="0" t="s">
        <v>153</v>
      </c>
      <c r="CY1803" s="0" t="s">
        <v>153</v>
      </c>
      <c r="CZ1803" s="0" t="s">
        <v>175</v>
      </c>
      <c r="DC1803" s="0" t="s">
        <v>153</v>
      </c>
      <c r="DI1803" s="0" t="s">
        <v>153</v>
      </c>
      <c r="DN1803" s="0" t="s">
        <v>153</v>
      </c>
      <c r="DU1803" s="0" t="s">
        <v>153</v>
      </c>
      <c r="DW1803" s="0" t="s">
        <v>175</v>
      </c>
      <c r="EF1803" s="0" t="s">
        <v>153</v>
      </c>
    </row>
    <row r="1804" customFormat="false" ht="13.8" hidden="true" customHeight="false" outlineLevel="0" collapsed="false">
      <c r="A1804" s="0" t="s">
        <v>8099</v>
      </c>
      <c r="B1804" s="0" t="n">
        <v>78</v>
      </c>
      <c r="C1804" s="0" t="n">
        <v>283110</v>
      </c>
      <c r="D1804" s="0" t="s">
        <v>8096</v>
      </c>
      <c r="E1804" s="0" t="s">
        <v>8100</v>
      </c>
      <c r="F1804" s="0" t="str">
        <f aca="false">CONCATENATE(D1804," ",LEFT(H1804,4),"T=",AU1804,"D=",AV1804,"R=",AW1804,"M=",AX1804,"L=",AY1804,"B=",AZ1804)</f>
        <v>SCHULLER T=2D=0R=0M=0L=0B=0</v>
      </c>
      <c r="G1804" s="0" t="s">
        <v>190</v>
      </c>
      <c r="I1804" s="0" t="s">
        <v>8101</v>
      </c>
      <c r="J1804" s="0" t="s">
        <v>8102</v>
      </c>
      <c r="K1804" s="0" t="s">
        <v>160</v>
      </c>
      <c r="M1804" s="0" t="s">
        <v>8098</v>
      </c>
      <c r="N1804" s="0" t="str">
        <f aca="false">RIGHT(M1804,LEN(M1804)-FIND(" ",M1804))</f>
        <v>OAK KNOLL AVE SE</v>
      </c>
      <c r="P1804" s="0" t="s">
        <v>145</v>
      </c>
      <c r="Q1804" s="0" t="s">
        <v>146</v>
      </c>
      <c r="R1804" s="0" t="n">
        <v>44483</v>
      </c>
      <c r="AD1804" s="0" t="s">
        <v>147</v>
      </c>
      <c r="AE1804" s="0" t="s">
        <v>148</v>
      </c>
      <c r="AF1804" s="0" t="s">
        <v>149</v>
      </c>
      <c r="AH1804" s="0" t="n">
        <v>14</v>
      </c>
      <c r="AI1804" s="0" t="n">
        <v>11</v>
      </c>
      <c r="AN1804" s="0" t="s">
        <v>145</v>
      </c>
      <c r="AO1804" s="0" t="s">
        <v>150</v>
      </c>
      <c r="AP1804" s="0" t="s">
        <v>151</v>
      </c>
      <c r="AQ1804" s="0" t="n">
        <v>9</v>
      </c>
      <c r="AR1804" s="0" t="n">
        <v>64</v>
      </c>
      <c r="AS1804" s="0" t="n">
        <v>32</v>
      </c>
      <c r="AU1804" s="0" t="n">
        <f aca="false">COUNTA($BA$236:$EH$236)</f>
        <v>2</v>
      </c>
      <c r="AV1804" s="0" t="n">
        <f aca="false">COUNTIF($BA$236:$EH$236,"D")</f>
        <v>0</v>
      </c>
      <c r="AW1804" s="0" t="n">
        <f aca="false">COUNTIF($BA$236:$EH$236,"R")</f>
        <v>0</v>
      </c>
      <c r="AX1804" s="0" t="n">
        <f aca="false">IF(BN1804="D",1,0)+IF(BO1804="D",1,0)+IF(BT1804="D",1,0)+IF(BU1804="D",1,0)+IF(BW1804="D",1,0)+IF(CC1804="D",1,0)+IF(CD1804="D",1,0)+IF(CE1804="D",1,0)+IF(CF1804="D",1,0)+IF(CL1804="D",1,0)+IF(CM1804="D",1,0)+IF(CQ1804="D",1,0)+IF(CR1804="D",1,0)+IF(CS1804="D",1,0)+IF(CW1804="D",1,0)+IF(CX1804="D",1,0)+IF(DD1804="D",1,0)+IF(DE1804="D",1,0)+IF(DJ1804="D",1,0)+IF(DK1804="D",1,0)+IF(DO1804="D",1,0)+IF(DP1804="D",1,0)+IF(DQ1804="D",1,0)+IF(DW1804="D",1,0)+IF(DZ1804="D",1,0)+IF(EH1804="D",1,0)</f>
        <v>0</v>
      </c>
      <c r="AY1804" s="0" t="n">
        <f aca="false">COUNTIF(DU1804:EH1804, "&lt;&gt;")</f>
        <v>0</v>
      </c>
      <c r="AZ1804" s="0" t="n">
        <f aca="false">IF(EH1804&lt;&gt;"",1,0)</f>
        <v>0</v>
      </c>
      <c r="BB1804" s="0" t="s">
        <v>152</v>
      </c>
      <c r="BH1804" s="0" t="s">
        <v>153</v>
      </c>
      <c r="CA1804" s="0" t="s">
        <v>153</v>
      </c>
      <c r="CK1804" s="0" t="s">
        <v>153</v>
      </c>
      <c r="CN1804" s="0" t="s">
        <v>153</v>
      </c>
      <c r="CP1804" s="0" t="s">
        <v>153</v>
      </c>
      <c r="DC1804" s="0" t="s">
        <v>153</v>
      </c>
      <c r="DI1804" s="0" t="s">
        <v>153</v>
      </c>
      <c r="DN1804" s="0" t="s">
        <v>153</v>
      </c>
    </row>
    <row r="1805" customFormat="false" ht="13.8" hidden="true" customHeight="false" outlineLevel="0" collapsed="false">
      <c r="A1805" s="0" t="s">
        <v>8103</v>
      </c>
      <c r="B1805" s="0" t="n">
        <v>78</v>
      </c>
      <c r="C1805" s="0" t="n">
        <v>470897</v>
      </c>
      <c r="D1805" s="0" t="s">
        <v>8096</v>
      </c>
      <c r="E1805" s="0" t="s">
        <v>8104</v>
      </c>
      <c r="F1805" s="0" t="str">
        <f aca="false">CONCATENATE(D1805," ",LEFT(H1805,4),"T=",AU1805,"D=",AV1805,"R=",AW1805,"M=",AX1805,"L=",AY1805,"B=",AZ1805)</f>
        <v>SCHULLER T=1D=0R=0M=0L=1B=0</v>
      </c>
      <c r="G1805" s="0" t="s">
        <v>195</v>
      </c>
      <c r="I1805" s="0" t="s">
        <v>8105</v>
      </c>
      <c r="J1805" s="0" t="s">
        <v>5371</v>
      </c>
      <c r="K1805" s="0" t="s">
        <v>160</v>
      </c>
      <c r="M1805" s="0" t="s">
        <v>8098</v>
      </c>
      <c r="N1805" s="0" t="str">
        <f aca="false">RIGHT(M1805,LEN(M1805)-FIND(" ",M1805))</f>
        <v>OAK KNOLL AVE SE</v>
      </c>
      <c r="P1805" s="0" t="s">
        <v>145</v>
      </c>
      <c r="Q1805" s="0" t="s">
        <v>146</v>
      </c>
      <c r="R1805" s="0" t="n">
        <v>44483</v>
      </c>
      <c r="AD1805" s="0" t="s">
        <v>147</v>
      </c>
      <c r="AE1805" s="0" t="s">
        <v>148</v>
      </c>
      <c r="AF1805" s="0" t="s">
        <v>149</v>
      </c>
      <c r="AH1805" s="0" t="n">
        <v>14</v>
      </c>
      <c r="AI1805" s="0" t="n">
        <v>11</v>
      </c>
      <c r="AN1805" s="0" t="s">
        <v>145</v>
      </c>
      <c r="AO1805" s="0" t="s">
        <v>150</v>
      </c>
      <c r="AP1805" s="0" t="s">
        <v>151</v>
      </c>
      <c r="AQ1805" s="0" t="n">
        <v>9</v>
      </c>
      <c r="AR1805" s="0" t="n">
        <v>64</v>
      </c>
      <c r="AS1805" s="0" t="n">
        <v>32</v>
      </c>
      <c r="AU1805" s="0" t="n">
        <f aca="false">COUNTA($BA$592:$EH$592)</f>
        <v>1</v>
      </c>
      <c r="AV1805" s="0" t="n">
        <f aca="false">COUNTIF($BA$592:$EH$592,"D")</f>
        <v>0</v>
      </c>
      <c r="AW1805" s="0" t="n">
        <f aca="false">COUNTIF($BA$592:$EH$592,"R")</f>
        <v>0</v>
      </c>
      <c r="AX1805" s="0" t="n">
        <f aca="false">IF(BN1805="D",1,0)+IF(BO1805="D",1,0)+IF(BT1805="D",1,0)+IF(BU1805="D",1,0)+IF(BW1805="D",1,0)+IF(CC1805="D",1,0)+IF(CD1805="D",1,0)+IF(CE1805="D",1,0)+IF(CF1805="D",1,0)+IF(CL1805="D",1,0)+IF(CM1805="D",1,0)+IF(CQ1805="D",1,0)+IF(CR1805="D",1,0)+IF(CS1805="D",1,0)+IF(CW1805="D",1,0)+IF(CX1805="D",1,0)+IF(DD1805="D",1,0)+IF(DE1805="D",1,0)+IF(DJ1805="D",1,0)+IF(DK1805="D",1,0)+IF(DO1805="D",1,0)+IF(DP1805="D",1,0)+IF(DQ1805="D",1,0)+IF(DW1805="D",1,0)+IF(DZ1805="D",1,0)+IF(EH1805="D",1,0)</f>
        <v>0</v>
      </c>
      <c r="AY1805" s="0" t="n">
        <f aca="false">COUNTIF(DU1805:EH1805, "&lt;&gt;")</f>
        <v>1</v>
      </c>
      <c r="AZ1805" s="0" t="n">
        <f aca="false">IF(EH1805&lt;&gt;"",1,0)</f>
        <v>0</v>
      </c>
      <c r="BB1805" s="0" t="s">
        <v>152</v>
      </c>
      <c r="EF1805" s="0" t="s">
        <v>153</v>
      </c>
    </row>
    <row r="1806" customFormat="false" ht="13.8" hidden="false" customHeight="false" outlineLevel="0" collapsed="false">
      <c r="A1806" s="0" t="s">
        <v>8106</v>
      </c>
      <c r="B1806" s="0" t="n">
        <v>78</v>
      </c>
      <c r="C1806" s="0" t="n">
        <v>440127</v>
      </c>
      <c r="D1806" s="0" t="s">
        <v>8096</v>
      </c>
      <c r="E1806" s="0" t="s">
        <v>6590</v>
      </c>
      <c r="F1806" s="0" t="str">
        <f aca="false">CONCATENATE(D1806," ",LEFT(H1806,4),"T=",AU1806,"D=",AV1806,"R=",AW1806,"M=",AX1806,"L=",AY1806,"B=",AZ1806)</f>
        <v>SCHULLER T=40D=3R=7M=0L=3B=0</v>
      </c>
      <c r="I1806" s="0" t="s">
        <v>8107</v>
      </c>
      <c r="J1806" s="0" t="s">
        <v>2538</v>
      </c>
      <c r="K1806" s="0" t="s">
        <v>160</v>
      </c>
      <c r="M1806" s="0" t="s">
        <v>8098</v>
      </c>
      <c r="N1806" s="0" t="str">
        <f aca="false">RIGHT(M1806,LEN(M1806)-FIND(" ",M1806))</f>
        <v>OAK KNOLL AVE SE</v>
      </c>
      <c r="P1806" s="0" t="s">
        <v>145</v>
      </c>
      <c r="Q1806" s="0" t="s">
        <v>146</v>
      </c>
      <c r="R1806" s="0" t="n">
        <v>44483</v>
      </c>
      <c r="AD1806" s="0" t="s">
        <v>147</v>
      </c>
      <c r="AE1806" s="0" t="s">
        <v>148</v>
      </c>
      <c r="AF1806" s="0" t="s">
        <v>149</v>
      </c>
      <c r="AH1806" s="0" t="n">
        <v>14</v>
      </c>
      <c r="AI1806" s="0" t="n">
        <v>11</v>
      </c>
      <c r="AN1806" s="0" t="s">
        <v>145</v>
      </c>
      <c r="AO1806" s="0" t="s">
        <v>150</v>
      </c>
      <c r="AP1806" s="0" t="s">
        <v>151</v>
      </c>
      <c r="AQ1806" s="0" t="n">
        <v>9</v>
      </c>
      <c r="AR1806" s="0" t="n">
        <v>64</v>
      </c>
      <c r="AS1806" s="0" t="n">
        <v>32</v>
      </c>
      <c r="AU1806" s="0" t="n">
        <f aca="false">COUNTA($BA$692:$EH$692)</f>
        <v>40</v>
      </c>
      <c r="AV1806" s="0" t="n">
        <f aca="false">COUNTIF($BA$692:$EH$692,"D")</f>
        <v>3</v>
      </c>
      <c r="AW1806" s="0" t="n">
        <f aca="false">COUNTIF($BA$692:$EH$692,"R")</f>
        <v>7</v>
      </c>
      <c r="AX1806" s="0" t="n">
        <f aca="false">IF(BN1806="D",1,0)+IF(BO1806="D",1,0)+IF(BT1806="D",1,0)+IF(BU1806="D",1,0)+IF(BW1806="D",1,0)+IF(CC1806="D",1,0)+IF(CD1806="D",1,0)+IF(CE1806="D",1,0)+IF(CF1806="D",1,0)+IF(CL1806="D",1,0)+IF(CM1806="D",1,0)+IF(CQ1806="D",1,0)+IF(CR1806="D",1,0)+IF(CS1806="D",1,0)+IF(CW1806="D",1,0)+IF(CX1806="D",1,0)+IF(DD1806="D",1,0)+IF(DE1806="D",1,0)+IF(DJ1806="D",1,0)+IF(DK1806="D",1,0)+IF(DO1806="D",1,0)+IF(DP1806="D",1,0)+IF(DQ1806="D",1,0)+IF(DW1806="D",1,0)+IF(DZ1806="D",1,0)+IF(EH1806="D",1,0)</f>
        <v>0</v>
      </c>
      <c r="AY1806" s="0" t="n">
        <f aca="false">COUNTIF(DU1806:EH1806, "&lt;&gt;")</f>
        <v>3</v>
      </c>
      <c r="AZ1806" s="0" t="n">
        <f aca="false">IF(EH1806&lt;&gt;"",1,0)</f>
        <v>0</v>
      </c>
      <c r="BB1806" s="0" t="s">
        <v>152</v>
      </c>
      <c r="DN1806" s="0" t="s">
        <v>153</v>
      </c>
      <c r="DX1806" s="0" t="s">
        <v>153</v>
      </c>
      <c r="EA1806" s="0" t="s">
        <v>153</v>
      </c>
      <c r="EF1806" s="0" t="s">
        <v>153</v>
      </c>
    </row>
    <row r="1807" customFormat="false" ht="13.8" hidden="false" customHeight="false" outlineLevel="0" collapsed="false">
      <c r="A1807" s="0" t="s">
        <v>8108</v>
      </c>
      <c r="B1807" s="0" t="n">
        <v>78</v>
      </c>
      <c r="C1807" s="0" t="n">
        <v>335470</v>
      </c>
      <c r="D1807" s="0" t="s">
        <v>8109</v>
      </c>
      <c r="E1807" s="0" t="s">
        <v>3101</v>
      </c>
      <c r="F1807" s="0" t="str">
        <f aca="false">CONCATENATE(D1807," ",LEFT(H1807,4),"T=",AU1807,"D=",AV1807,"R=",AW1807,"M=",AX1807,"L=",AY1807,"B=",AZ1807)</f>
        <v>CHIARELLA T=3D=1R=0M=0L=4B=0</v>
      </c>
      <c r="G1807" s="0" t="s">
        <v>175</v>
      </c>
      <c r="I1807" s="0" t="s">
        <v>8110</v>
      </c>
      <c r="J1807" s="0" t="s">
        <v>8111</v>
      </c>
      <c r="K1807" s="0" t="s">
        <v>160</v>
      </c>
      <c r="L1807" s="0" t="s">
        <v>209</v>
      </c>
      <c r="M1807" s="0" t="s">
        <v>8112</v>
      </c>
      <c r="N1807" s="0" t="str">
        <f aca="false">RIGHT(M1807,LEN(M1807)-FIND(" ",M1807))</f>
        <v>OAK KNOLL AVE SE</v>
      </c>
      <c r="P1807" s="0" t="s">
        <v>145</v>
      </c>
      <c r="Q1807" s="0" t="s">
        <v>146</v>
      </c>
      <c r="R1807" s="0" t="n">
        <v>44483</v>
      </c>
      <c r="AD1807" s="0" t="s">
        <v>147</v>
      </c>
      <c r="AE1807" s="0" t="s">
        <v>148</v>
      </c>
      <c r="AF1807" s="0" t="s">
        <v>149</v>
      </c>
      <c r="AH1807" s="0" t="n">
        <v>14</v>
      </c>
      <c r="AI1807" s="0" t="n">
        <v>11</v>
      </c>
      <c r="AN1807" s="0" t="s">
        <v>145</v>
      </c>
      <c r="AO1807" s="0" t="s">
        <v>150</v>
      </c>
      <c r="AP1807" s="0" t="s">
        <v>151</v>
      </c>
      <c r="AQ1807" s="0" t="n">
        <v>9</v>
      </c>
      <c r="AR1807" s="0" t="n">
        <v>64</v>
      </c>
      <c r="AS1807" s="0" t="n">
        <v>32</v>
      </c>
      <c r="AU1807" s="0" t="n">
        <f aca="false">COUNTA($BA$17:$EH$17)</f>
        <v>3</v>
      </c>
      <c r="AV1807" s="0" t="n">
        <f aca="false">COUNTIF($BA$17:$EH$17,"D")</f>
        <v>1</v>
      </c>
      <c r="AW1807" s="0" t="n">
        <f aca="false">COUNTIF($BA$17:$EH$17,"R")</f>
        <v>0</v>
      </c>
      <c r="AX1807" s="0" t="n">
        <f aca="false">IF(BN1807="D",1,0)+IF(BO1807="D",1,0)+IF(BT1807="D",1,0)+IF(BU1807="D",1,0)+IF(BW1807="D",1,0)+IF(CC1807="D",1,0)+IF(CD1807="D",1,0)+IF(CE1807="D",1,0)+IF(CF1807="D",1,0)+IF(CL1807="D",1,0)+IF(CM1807="D",1,0)+IF(CQ1807="D",1,0)+IF(CR1807="D",1,0)+IF(CS1807="D",1,0)+IF(CW1807="D",1,0)+IF(CX1807="D",1,0)+IF(DD1807="D",1,0)+IF(DE1807="D",1,0)+IF(DJ1807="D",1,0)+IF(DK1807="D",1,0)+IF(DO1807="D",1,0)+IF(DP1807="D",1,0)+IF(DQ1807="D",1,0)+IF(DW1807="D",1,0)+IF(DZ1807="D",1,0)+IF(EH1807="D",1,0)</f>
        <v>0</v>
      </c>
      <c r="AY1807" s="0" t="n">
        <f aca="false">COUNTIF(DU1807:EH1807, "&lt;&gt;")</f>
        <v>4</v>
      </c>
      <c r="AZ1807" s="0" t="n">
        <f aca="false">IF(EH1807&lt;&gt;"",1,0)</f>
        <v>0</v>
      </c>
      <c r="BB1807" s="0" t="s">
        <v>152</v>
      </c>
      <c r="BL1807" s="0" t="s">
        <v>153</v>
      </c>
      <c r="BY1807" s="0" t="s">
        <v>175</v>
      </c>
      <c r="CA1807" s="0" t="s">
        <v>153</v>
      </c>
      <c r="CK1807" s="0" t="s">
        <v>153</v>
      </c>
      <c r="CP1807" s="0" t="s">
        <v>153</v>
      </c>
      <c r="DM1807" s="0" t="s">
        <v>209</v>
      </c>
      <c r="DN1807" s="0" t="s">
        <v>153</v>
      </c>
      <c r="DS1807" s="0" t="s">
        <v>209</v>
      </c>
      <c r="DU1807" s="0" t="s">
        <v>153</v>
      </c>
      <c r="EA1807" s="0" t="s">
        <v>153</v>
      </c>
      <c r="ED1807" s="0" t="s">
        <v>209</v>
      </c>
      <c r="EF1807" s="0" t="s">
        <v>153</v>
      </c>
    </row>
    <row r="1808" customFormat="false" ht="13.8" hidden="false" customHeight="false" outlineLevel="0" collapsed="false">
      <c r="A1808" s="0" t="s">
        <v>8113</v>
      </c>
      <c r="B1808" s="0" t="n">
        <v>78</v>
      </c>
      <c r="C1808" s="0" t="n">
        <v>335328</v>
      </c>
      <c r="D1808" s="0" t="s">
        <v>8109</v>
      </c>
      <c r="E1808" s="0" t="s">
        <v>8114</v>
      </c>
      <c r="F1808" s="0" t="str">
        <f aca="false">CONCATENATE(D1808," ",LEFT(H1808,4),"T=",AU1808,"D=",AV1808,"R=",AW1808,"M=",AX1808,"L=",AY1808,"B=",AZ1808)</f>
        <v>CHIARELLA T=7D=2R=0M=0L=4B=0</v>
      </c>
      <c r="G1808" s="0" t="s">
        <v>195</v>
      </c>
      <c r="I1808" s="0" t="s">
        <v>8115</v>
      </c>
      <c r="J1808" s="0" t="s">
        <v>2064</v>
      </c>
      <c r="K1808" s="0" t="s">
        <v>160</v>
      </c>
      <c r="L1808" s="0" t="s">
        <v>209</v>
      </c>
      <c r="M1808" s="0" t="s">
        <v>8112</v>
      </c>
      <c r="N1808" s="0" t="str">
        <f aca="false">RIGHT(M1808,LEN(M1808)-FIND(" ",M1808))</f>
        <v>OAK KNOLL AVE SE</v>
      </c>
      <c r="P1808" s="0" t="s">
        <v>145</v>
      </c>
      <c r="Q1808" s="0" t="s">
        <v>146</v>
      </c>
      <c r="R1808" s="0" t="n">
        <v>44483</v>
      </c>
      <c r="AD1808" s="0" t="s">
        <v>147</v>
      </c>
      <c r="AE1808" s="0" t="s">
        <v>148</v>
      </c>
      <c r="AF1808" s="0" t="s">
        <v>149</v>
      </c>
      <c r="AH1808" s="0" t="n">
        <v>14</v>
      </c>
      <c r="AI1808" s="0" t="n">
        <v>11</v>
      </c>
      <c r="AN1808" s="0" t="s">
        <v>145</v>
      </c>
      <c r="AO1808" s="0" t="s">
        <v>150</v>
      </c>
      <c r="AP1808" s="0" t="s">
        <v>151</v>
      </c>
      <c r="AQ1808" s="0" t="n">
        <v>9</v>
      </c>
      <c r="AR1808" s="0" t="n">
        <v>64</v>
      </c>
      <c r="AS1808" s="0" t="n">
        <v>32</v>
      </c>
      <c r="AU1808" s="0" t="n">
        <f aca="false">COUNTA($BA$188:$EH$188)</f>
        <v>7</v>
      </c>
      <c r="AV1808" s="0" t="n">
        <f aca="false">COUNTIF($BA$188:$EH$188,"D")</f>
        <v>2</v>
      </c>
      <c r="AW1808" s="0" t="n">
        <f aca="false">COUNTIF($BA$188:$EH$188,"R")</f>
        <v>0</v>
      </c>
      <c r="AX1808" s="0" t="n">
        <f aca="false">IF(BN1808="D",1,0)+IF(BO1808="D",1,0)+IF(BT1808="D",1,0)+IF(BU1808="D",1,0)+IF(BW1808="D",1,0)+IF(CC1808="D",1,0)+IF(CD1808="D",1,0)+IF(CE1808="D",1,0)+IF(CF1808="D",1,0)+IF(CL1808="D",1,0)+IF(CM1808="D",1,0)+IF(CQ1808="D",1,0)+IF(CR1808="D",1,0)+IF(CS1808="D",1,0)+IF(CW1808="D",1,0)+IF(CX1808="D",1,0)+IF(DD1808="D",1,0)+IF(DE1808="D",1,0)+IF(DJ1808="D",1,0)+IF(DK1808="D",1,0)+IF(DO1808="D",1,0)+IF(DP1808="D",1,0)+IF(DQ1808="D",1,0)+IF(DW1808="D",1,0)+IF(DZ1808="D",1,0)+IF(EH1808="D",1,0)</f>
        <v>0</v>
      </c>
      <c r="AY1808" s="0" t="n">
        <f aca="false">COUNTIF(DU1808:EH1808, "&lt;&gt;")</f>
        <v>4</v>
      </c>
      <c r="AZ1808" s="0" t="n">
        <f aca="false">IF(EH1808&lt;&gt;"",1,0)</f>
        <v>0</v>
      </c>
      <c r="BB1808" s="0" t="s">
        <v>152</v>
      </c>
      <c r="BL1808" s="0" t="s">
        <v>153</v>
      </c>
      <c r="BS1808" s="0" t="s">
        <v>153</v>
      </c>
      <c r="BY1808" s="0" t="s">
        <v>175</v>
      </c>
      <c r="CA1808" s="0" t="s">
        <v>153</v>
      </c>
      <c r="CK1808" s="0" t="s">
        <v>153</v>
      </c>
      <c r="CP1808" s="0" t="s">
        <v>153</v>
      </c>
      <c r="DM1808" s="0" t="s">
        <v>209</v>
      </c>
      <c r="DN1808" s="0" t="s">
        <v>153</v>
      </c>
      <c r="DS1808" s="0" t="s">
        <v>209</v>
      </c>
      <c r="DU1808" s="0" t="s">
        <v>153</v>
      </c>
      <c r="EA1808" s="0" t="s">
        <v>153</v>
      </c>
      <c r="ED1808" s="0" t="s">
        <v>209</v>
      </c>
      <c r="EF1808" s="0" t="s">
        <v>153</v>
      </c>
    </row>
    <row r="1809" customFormat="false" ht="13.8" hidden="true" customHeight="false" outlineLevel="0" collapsed="false">
      <c r="A1809" s="0" t="s">
        <v>8116</v>
      </c>
      <c r="B1809" s="0" t="n">
        <v>78</v>
      </c>
      <c r="C1809" s="0" t="n">
        <v>430563</v>
      </c>
      <c r="D1809" s="0" t="s">
        <v>8117</v>
      </c>
      <c r="E1809" s="0" t="s">
        <v>1912</v>
      </c>
      <c r="F1809" s="0" t="str">
        <f aca="false">CONCATENATE(D1809," ",LEFT(H1809,4),"T=",AU1809,"D=",AV1809,"R=",AW1809,"M=",AX1809,"L=",AY1809,"B=",AZ1809)</f>
        <v>SIMES T=20D=3R=0M=0L=0B=0</v>
      </c>
      <c r="G1809" s="0" t="s">
        <v>686</v>
      </c>
      <c r="I1809" s="0" t="s">
        <v>8118</v>
      </c>
      <c r="J1809" s="0" t="s">
        <v>6562</v>
      </c>
      <c r="K1809" s="0" t="s">
        <v>160</v>
      </c>
      <c r="M1809" s="0" t="s">
        <v>8119</v>
      </c>
      <c r="N1809" s="0" t="str">
        <f aca="false">RIGHT(M1809,LEN(M1809)-FIND(" ",M1809))</f>
        <v>OAK KNOLL AVE SE</v>
      </c>
      <c r="P1809" s="0" t="s">
        <v>145</v>
      </c>
      <c r="Q1809" s="0" t="s">
        <v>146</v>
      </c>
      <c r="R1809" s="0" t="n">
        <v>44483</v>
      </c>
      <c r="AD1809" s="0" t="s">
        <v>147</v>
      </c>
      <c r="AE1809" s="0" t="s">
        <v>148</v>
      </c>
      <c r="AF1809" s="0" t="s">
        <v>149</v>
      </c>
      <c r="AH1809" s="0" t="n">
        <v>14</v>
      </c>
      <c r="AI1809" s="0" t="n">
        <v>11</v>
      </c>
      <c r="AN1809" s="0" t="s">
        <v>145</v>
      </c>
      <c r="AO1809" s="0" t="s">
        <v>150</v>
      </c>
      <c r="AP1809" s="0" t="s">
        <v>151</v>
      </c>
      <c r="AQ1809" s="0" t="n">
        <v>9</v>
      </c>
      <c r="AR1809" s="0" t="n">
        <v>64</v>
      </c>
      <c r="AS1809" s="0" t="n">
        <v>32</v>
      </c>
      <c r="AU1809" s="0" t="n">
        <f aca="false">COUNTA($BA$279:$EH$279)</f>
        <v>20</v>
      </c>
      <c r="AV1809" s="0" t="n">
        <f aca="false">COUNTIF($BA$279:$EH$279,"D")</f>
        <v>3</v>
      </c>
      <c r="AW1809" s="0" t="n">
        <f aca="false">COUNTIF($BA$279:$EH$279,"R")</f>
        <v>0</v>
      </c>
      <c r="AX1809" s="0" t="n">
        <f aca="false">IF(BN1809="D",1,0)+IF(BO1809="D",1,0)+IF(BT1809="D",1,0)+IF(BU1809="D",1,0)+IF(BW1809="D",1,0)+IF(CC1809="D",1,0)+IF(CD1809="D",1,0)+IF(CE1809="D",1,0)+IF(CF1809="D",1,0)+IF(CL1809="D",1,0)+IF(CM1809="D",1,0)+IF(CQ1809="D",1,0)+IF(CR1809="D",1,0)+IF(CS1809="D",1,0)+IF(CW1809="D",1,0)+IF(CX1809="D",1,0)+IF(DD1809="D",1,0)+IF(DE1809="D",1,0)+IF(DJ1809="D",1,0)+IF(DK1809="D",1,0)+IF(DO1809="D",1,0)+IF(DP1809="D",1,0)+IF(DQ1809="D",1,0)+IF(DW1809="D",1,0)+IF(DZ1809="D",1,0)+IF(EH1809="D",1,0)</f>
        <v>0</v>
      </c>
      <c r="AY1809" s="0" t="n">
        <f aca="false">COUNTIF(DU1809:EH1809, "&lt;&gt;")</f>
        <v>0</v>
      </c>
      <c r="AZ1809" s="0" t="n">
        <f aca="false">IF(EH1809&lt;&gt;"",1,0)</f>
        <v>0</v>
      </c>
      <c r="BB1809" s="0" t="s">
        <v>152</v>
      </c>
    </row>
    <row r="1810" customFormat="false" ht="13.8" hidden="true" customHeight="false" outlineLevel="0" collapsed="false">
      <c r="A1810" s="0" t="s">
        <v>8120</v>
      </c>
      <c r="B1810" s="0" t="n">
        <v>78</v>
      </c>
      <c r="C1810" s="0" t="n">
        <v>438505</v>
      </c>
      <c r="D1810" s="0" t="s">
        <v>8121</v>
      </c>
      <c r="E1810" s="0" t="s">
        <v>576</v>
      </c>
      <c r="F1810" s="0" t="str">
        <f aca="false">CONCATENATE(D1810," ",LEFT(H1810,4),"T=",AU1810,"D=",AV1810,"R=",AW1810,"M=",AX1810,"L=",AY1810,"B=",AZ1810)</f>
        <v>SMELTZER T=2D=0R=0M=0L=0B=0</v>
      </c>
      <c r="G1810" s="0" t="s">
        <v>202</v>
      </c>
      <c r="I1810" s="0" t="s">
        <v>8122</v>
      </c>
      <c r="J1810" s="0" t="s">
        <v>1670</v>
      </c>
      <c r="K1810" s="0" t="s">
        <v>143</v>
      </c>
      <c r="M1810" s="0" t="s">
        <v>8123</v>
      </c>
      <c r="N1810" s="0" t="str">
        <f aca="false">RIGHT(M1810,LEN(M1810)-FIND(" ",M1810))</f>
        <v>OAK KNOLL AVE SE</v>
      </c>
      <c r="P1810" s="0" t="s">
        <v>145</v>
      </c>
      <c r="Q1810" s="0" t="s">
        <v>146</v>
      </c>
      <c r="R1810" s="0" t="n">
        <v>44483</v>
      </c>
      <c r="AD1810" s="0" t="s">
        <v>147</v>
      </c>
      <c r="AE1810" s="0" t="s">
        <v>148</v>
      </c>
      <c r="AF1810" s="0" t="s">
        <v>149</v>
      </c>
      <c r="AH1810" s="0" t="n">
        <v>14</v>
      </c>
      <c r="AI1810" s="0" t="n">
        <v>11</v>
      </c>
      <c r="AN1810" s="0" t="s">
        <v>145</v>
      </c>
      <c r="AO1810" s="0" t="s">
        <v>150</v>
      </c>
      <c r="AP1810" s="0" t="s">
        <v>151</v>
      </c>
      <c r="AQ1810" s="0" t="n">
        <v>9</v>
      </c>
      <c r="AR1810" s="0" t="n">
        <v>64</v>
      </c>
      <c r="AS1810" s="0" t="n">
        <v>32</v>
      </c>
      <c r="AU1810" s="0" t="n">
        <f aca="false">COUNTA($BA$128:$EH$128)</f>
        <v>2</v>
      </c>
      <c r="AV1810" s="0" t="n">
        <f aca="false">COUNTIF($BA$128:$EH$128,"D")</f>
        <v>0</v>
      </c>
      <c r="AW1810" s="0" t="n">
        <f aca="false">COUNTIF($BA$128:$EH$128,"R")</f>
        <v>0</v>
      </c>
      <c r="AX1810" s="0" t="n">
        <f aca="false">IF(BN1810="D",1,0)+IF(BO1810="D",1,0)+IF(BT1810="D",1,0)+IF(BU1810="D",1,0)+IF(BW1810="D",1,0)+IF(CC1810="D",1,0)+IF(CD1810="D",1,0)+IF(CE1810="D",1,0)+IF(CF1810="D",1,0)+IF(CL1810="D",1,0)+IF(CM1810="D",1,0)+IF(CQ1810="D",1,0)+IF(CR1810="D",1,0)+IF(CS1810="D",1,0)+IF(CW1810="D",1,0)+IF(CX1810="D",1,0)+IF(DD1810="D",1,0)+IF(DE1810="D",1,0)+IF(DJ1810="D",1,0)+IF(DK1810="D",1,0)+IF(DO1810="D",1,0)+IF(DP1810="D",1,0)+IF(DQ1810="D",1,0)+IF(DW1810="D",1,0)+IF(DZ1810="D",1,0)+IF(EH1810="D",1,0)</f>
        <v>0</v>
      </c>
      <c r="AY1810" s="0" t="n">
        <f aca="false">COUNTIF(DU1810:EH1810, "&lt;&gt;")</f>
        <v>0</v>
      </c>
      <c r="AZ1810" s="0" t="n">
        <f aca="false">IF(EH1810&lt;&gt;"",1,0)</f>
        <v>0</v>
      </c>
      <c r="BB1810" s="0" t="s">
        <v>152</v>
      </c>
    </row>
    <row r="1811" customFormat="false" ht="13.8" hidden="true" customHeight="false" outlineLevel="0" collapsed="false">
      <c r="A1811" s="0" t="s">
        <v>8124</v>
      </c>
      <c r="B1811" s="0" t="n">
        <v>78</v>
      </c>
      <c r="C1811" s="0" t="n">
        <v>153922</v>
      </c>
      <c r="D1811" s="0" t="s">
        <v>8121</v>
      </c>
      <c r="E1811" s="0" t="s">
        <v>1519</v>
      </c>
      <c r="F1811" s="0" t="str">
        <f aca="false">CONCATENATE(D1811," ",LEFT(H1811,4),"T=",AU1811,"D=",AV1811,"R=",AW1811,"M=",AX1811,"L=",AY1811,"B=",AZ1811)</f>
        <v>SMELTZER T=1D=0R=0M=1L=0B=0</v>
      </c>
      <c r="I1811" s="0" t="s">
        <v>8125</v>
      </c>
      <c r="J1811" s="0" t="s">
        <v>7778</v>
      </c>
      <c r="K1811" s="0" t="s">
        <v>143</v>
      </c>
      <c r="M1811" s="0" t="s">
        <v>8123</v>
      </c>
      <c r="N1811" s="0" t="str">
        <f aca="false">RIGHT(M1811,LEN(M1811)-FIND(" ",M1811))</f>
        <v>OAK KNOLL AVE SE</v>
      </c>
      <c r="P1811" s="0" t="s">
        <v>145</v>
      </c>
      <c r="Q1811" s="0" t="s">
        <v>146</v>
      </c>
      <c r="R1811" s="0" t="n">
        <v>44483</v>
      </c>
      <c r="AD1811" s="0" t="s">
        <v>147</v>
      </c>
      <c r="AE1811" s="0" t="s">
        <v>148</v>
      </c>
      <c r="AF1811" s="0" t="s">
        <v>149</v>
      </c>
      <c r="AH1811" s="0" t="n">
        <v>14</v>
      </c>
      <c r="AI1811" s="0" t="n">
        <v>11</v>
      </c>
      <c r="AN1811" s="0" t="s">
        <v>145</v>
      </c>
      <c r="AO1811" s="0" t="s">
        <v>150</v>
      </c>
      <c r="AP1811" s="0" t="s">
        <v>151</v>
      </c>
      <c r="AQ1811" s="0" t="n">
        <v>9</v>
      </c>
      <c r="AR1811" s="0" t="n">
        <v>64</v>
      </c>
      <c r="AS1811" s="0" t="n">
        <v>32</v>
      </c>
      <c r="AU1811" s="0" t="n">
        <f aca="false">COUNTA($BA$445:$EH$445)</f>
        <v>1</v>
      </c>
      <c r="AV1811" s="0" t="n">
        <f aca="false">COUNTIF($BA$445:$EH$445,"D")</f>
        <v>0</v>
      </c>
      <c r="AW1811" s="0" t="n">
        <f aca="false">COUNTIF($BA$445:$EH$445,"R")</f>
        <v>0</v>
      </c>
      <c r="AX1811" s="0" t="n">
        <f aca="false">IF(BN1811="D",1,0)+IF(BO1811="D",1,0)+IF(BT1811="D",1,0)+IF(BU1811="D",1,0)+IF(BW1811="D",1,0)+IF(CC1811="D",1,0)+IF(CD1811="D",1,0)+IF(CE1811="D",1,0)+IF(CF1811="D",1,0)+IF(CL1811="D",1,0)+IF(CM1811="D",1,0)+IF(CQ1811="D",1,0)+IF(CR1811="D",1,0)+IF(CS1811="D",1,0)+IF(CW1811="D",1,0)+IF(CX1811="D",1,0)+IF(DD1811="D",1,0)+IF(DE1811="D",1,0)+IF(DJ1811="D",1,0)+IF(DK1811="D",1,0)+IF(DO1811="D",1,0)+IF(DP1811="D",1,0)+IF(DQ1811="D",1,0)+IF(DW1811="D",1,0)+IF(DZ1811="D",1,0)+IF(EH1811="D",1,0)</f>
        <v>1</v>
      </c>
      <c r="AY1811" s="0" t="n">
        <f aca="false">COUNTIF(DU1811:EH1811, "&lt;&gt;")</f>
        <v>0</v>
      </c>
      <c r="AZ1811" s="0" t="n">
        <f aca="false">IF(EH1811&lt;&gt;"",1,0)</f>
        <v>0</v>
      </c>
      <c r="BB1811" s="0" t="s">
        <v>152</v>
      </c>
      <c r="BC1811" s="0" t="s">
        <v>153</v>
      </c>
      <c r="BD1811" s="0" t="s">
        <v>153</v>
      </c>
      <c r="BF1811" s="0" t="s">
        <v>153</v>
      </c>
      <c r="BH1811" s="0" t="s">
        <v>153</v>
      </c>
      <c r="BI1811" s="0" t="s">
        <v>153</v>
      </c>
      <c r="BJ1811" s="0" t="s">
        <v>153</v>
      </c>
      <c r="BK1811" s="0" t="s">
        <v>153</v>
      </c>
      <c r="BL1811" s="0" t="s">
        <v>153</v>
      </c>
      <c r="CQ1811" s="0" t="s">
        <v>175</v>
      </c>
      <c r="CZ1811" s="0" t="s">
        <v>209</v>
      </c>
      <c r="DC1811" s="0" t="s">
        <v>153</v>
      </c>
      <c r="DI1811" s="0" t="s">
        <v>153</v>
      </c>
    </row>
    <row r="1812" customFormat="false" ht="13.8" hidden="true" customHeight="false" outlineLevel="0" collapsed="false">
      <c r="A1812" s="0" t="s">
        <v>8126</v>
      </c>
      <c r="B1812" s="0" t="n">
        <v>78</v>
      </c>
      <c r="C1812" s="0" t="n">
        <v>441202</v>
      </c>
      <c r="D1812" s="0" t="s">
        <v>8127</v>
      </c>
      <c r="E1812" s="0" t="s">
        <v>785</v>
      </c>
      <c r="F1812" s="0" t="str">
        <f aca="false">CONCATENATE(D1812," ",LEFT(H1812,4),"T=",AU1812,"D=",AV1812,"R=",AW1812,"M=",AX1812,"L=",AY1812,"B=",AZ1812)</f>
        <v>BARNARD T=2D=0R=0M=0L=0B=0</v>
      </c>
      <c r="G1812" s="0" t="s">
        <v>195</v>
      </c>
      <c r="I1812" s="0" t="s">
        <v>8128</v>
      </c>
      <c r="J1812" s="0" t="s">
        <v>8129</v>
      </c>
      <c r="K1812" s="0" t="s">
        <v>143</v>
      </c>
      <c r="M1812" s="0" t="s">
        <v>8123</v>
      </c>
      <c r="N1812" s="0" t="str">
        <f aca="false">RIGHT(M1812,LEN(M1812)-FIND(" ",M1812))</f>
        <v>OAK KNOLL AVE SE</v>
      </c>
      <c r="P1812" s="0" t="s">
        <v>145</v>
      </c>
      <c r="Q1812" s="0" t="s">
        <v>146</v>
      </c>
      <c r="R1812" s="0" t="n">
        <v>44483</v>
      </c>
      <c r="AD1812" s="0" t="s">
        <v>147</v>
      </c>
      <c r="AE1812" s="0" t="s">
        <v>148</v>
      </c>
      <c r="AF1812" s="0" t="s">
        <v>149</v>
      </c>
      <c r="AH1812" s="0" t="n">
        <v>14</v>
      </c>
      <c r="AI1812" s="0" t="n">
        <v>11</v>
      </c>
      <c r="AN1812" s="0" t="s">
        <v>145</v>
      </c>
      <c r="AO1812" s="0" t="s">
        <v>150</v>
      </c>
      <c r="AP1812" s="0" t="s">
        <v>151</v>
      </c>
      <c r="AQ1812" s="0" t="n">
        <v>9</v>
      </c>
      <c r="AR1812" s="0" t="n">
        <v>64</v>
      </c>
      <c r="AS1812" s="0" t="n">
        <v>32</v>
      </c>
      <c r="AU1812" s="0" t="n">
        <f aca="false">COUNTA($BA$519:$EH$519)</f>
        <v>2</v>
      </c>
      <c r="AV1812" s="0" t="n">
        <f aca="false">COUNTIF($BA$519:$EH$519,"D")</f>
        <v>0</v>
      </c>
      <c r="AW1812" s="0" t="n">
        <f aca="false">COUNTIF($BA$519:$EH$519,"R")</f>
        <v>0</v>
      </c>
      <c r="AX1812" s="0" t="n">
        <f aca="false">IF(BN1812="D",1,0)+IF(BO1812="D",1,0)+IF(BT1812="D",1,0)+IF(BU1812="D",1,0)+IF(BW1812="D",1,0)+IF(CC1812="D",1,0)+IF(CD1812="D",1,0)+IF(CE1812="D",1,0)+IF(CF1812="D",1,0)+IF(CL1812="D",1,0)+IF(CM1812="D",1,0)+IF(CQ1812="D",1,0)+IF(CR1812="D",1,0)+IF(CS1812="D",1,0)+IF(CW1812="D",1,0)+IF(CX1812="D",1,0)+IF(DD1812="D",1,0)+IF(DE1812="D",1,0)+IF(DJ1812="D",1,0)+IF(DK1812="D",1,0)+IF(DO1812="D",1,0)+IF(DP1812="D",1,0)+IF(DQ1812="D",1,0)+IF(DW1812="D",1,0)+IF(DZ1812="D",1,0)+IF(EH1812="D",1,0)</f>
        <v>0</v>
      </c>
      <c r="AY1812" s="0" t="n">
        <f aca="false">COUNTIF(DU1812:EH1812, "&lt;&gt;")</f>
        <v>0</v>
      </c>
      <c r="AZ1812" s="0" t="n">
        <f aca="false">IF(EH1812&lt;&gt;"",1,0)</f>
        <v>0</v>
      </c>
      <c r="BB1812" s="0" t="s">
        <v>152</v>
      </c>
    </row>
    <row r="1813" customFormat="false" ht="13.8" hidden="false" customHeight="false" outlineLevel="0" collapsed="false">
      <c r="A1813" s="0" t="s">
        <v>8130</v>
      </c>
      <c r="B1813" s="0" t="n">
        <v>78</v>
      </c>
      <c r="C1813" s="0" t="n">
        <v>12776</v>
      </c>
      <c r="D1813" s="0" t="s">
        <v>8131</v>
      </c>
      <c r="E1813" s="0" t="s">
        <v>274</v>
      </c>
      <c r="F1813" s="0" t="str">
        <f aca="false">CONCATENATE(D1813," ",LEFT(H1813,4),"T=",AU1813,"D=",AV1813,"R=",AW1813,"M=",AX1813,"L=",AY1813,"B=",AZ1813)</f>
        <v>PRIESTER T=1D=0R=0M=1L=4B=0</v>
      </c>
      <c r="G1813" s="0" t="s">
        <v>1596</v>
      </c>
      <c r="I1813" s="0" t="s">
        <v>8132</v>
      </c>
      <c r="J1813" s="0" t="s">
        <v>8133</v>
      </c>
      <c r="K1813" s="0" t="s">
        <v>160</v>
      </c>
      <c r="M1813" s="0" t="s">
        <v>8134</v>
      </c>
      <c r="N1813" s="0" t="str">
        <f aca="false">RIGHT(M1813,LEN(M1813)-FIND(" ",M1813))</f>
        <v>OAK KNOLL AVE SE</v>
      </c>
      <c r="P1813" s="0" t="s">
        <v>145</v>
      </c>
      <c r="Q1813" s="0" t="s">
        <v>146</v>
      </c>
      <c r="R1813" s="0" t="n">
        <v>44483</v>
      </c>
      <c r="AD1813" s="0" t="s">
        <v>147</v>
      </c>
      <c r="AE1813" s="0" t="s">
        <v>148</v>
      </c>
      <c r="AF1813" s="0" t="s">
        <v>149</v>
      </c>
      <c r="AH1813" s="0" t="n">
        <v>14</v>
      </c>
      <c r="AI1813" s="0" t="n">
        <v>11</v>
      </c>
      <c r="AN1813" s="0" t="s">
        <v>145</v>
      </c>
      <c r="AO1813" s="0" t="s">
        <v>150</v>
      </c>
      <c r="AP1813" s="0" t="s">
        <v>151</v>
      </c>
      <c r="AQ1813" s="0" t="n">
        <v>9</v>
      </c>
      <c r="AR1813" s="0" t="n">
        <v>64</v>
      </c>
      <c r="AS1813" s="0" t="n">
        <v>32</v>
      </c>
      <c r="AU1813" s="0" t="n">
        <f aca="false">COUNTA($BA$1062:$EH$1062)</f>
        <v>1</v>
      </c>
      <c r="AV1813" s="0" t="n">
        <f aca="false">COUNTIF($BA$1062:$EH$1062,"D")</f>
        <v>0</v>
      </c>
      <c r="AW1813" s="0" t="n">
        <f aca="false">COUNTIF($BA$1062:$EH$1062,"R")</f>
        <v>0</v>
      </c>
      <c r="AX1813" s="0" t="n">
        <f aca="false">IF(BN1813="D",1,0)+IF(BO1813="D",1,0)+IF(BT1813="D",1,0)+IF(BU1813="D",1,0)+IF(BW1813="D",1,0)+IF(CC1813="D",1,0)+IF(CD1813="D",1,0)+IF(CE1813="D",1,0)+IF(CF1813="D",1,0)+IF(CL1813="D",1,0)+IF(CM1813="D",1,0)+IF(CQ1813="D",1,0)+IF(CR1813="D",1,0)+IF(CS1813="D",1,0)+IF(CW1813="D",1,0)+IF(CX1813="D",1,0)+IF(DD1813="D",1,0)+IF(DE1813="D",1,0)+IF(DJ1813="D",1,0)+IF(DK1813="D",1,0)+IF(DO1813="D",1,0)+IF(DP1813="D",1,0)+IF(DQ1813="D",1,0)+IF(DW1813="D",1,0)+IF(DZ1813="D",1,0)+IF(EH1813="D",1,0)</f>
        <v>1</v>
      </c>
      <c r="AY1813" s="0" t="n">
        <f aca="false">COUNTIF(DU1813:EH1813, "&lt;&gt;")</f>
        <v>4</v>
      </c>
      <c r="AZ1813" s="0" t="n">
        <f aca="false">IF(EH1813&lt;&gt;"",1,0)</f>
        <v>0</v>
      </c>
      <c r="BB1813" s="0" t="s">
        <v>152</v>
      </c>
      <c r="BC1813" s="0" t="s">
        <v>153</v>
      </c>
      <c r="BD1813" s="0" t="s">
        <v>153</v>
      </c>
      <c r="BE1813" s="0" t="s">
        <v>153</v>
      </c>
      <c r="BF1813" s="0" t="s">
        <v>153</v>
      </c>
      <c r="BG1813" s="0" t="s">
        <v>153</v>
      </c>
      <c r="BH1813" s="0" t="s">
        <v>153</v>
      </c>
      <c r="BI1813" s="0" t="s">
        <v>153</v>
      </c>
      <c r="BJ1813" s="0" t="s">
        <v>153</v>
      </c>
      <c r="BK1813" s="0" t="s">
        <v>153</v>
      </c>
      <c r="BL1813" s="0" t="s">
        <v>153</v>
      </c>
      <c r="BP1813" s="0" t="s">
        <v>153</v>
      </c>
      <c r="BR1813" s="0" t="s">
        <v>153</v>
      </c>
      <c r="BS1813" s="0" t="s">
        <v>153</v>
      </c>
      <c r="BT1813" s="0" t="s">
        <v>153</v>
      </c>
      <c r="BV1813" s="0" t="s">
        <v>153</v>
      </c>
      <c r="BY1813" s="0" t="s">
        <v>175</v>
      </c>
      <c r="CA1813" s="0" t="s">
        <v>153</v>
      </c>
      <c r="CG1813" s="0" t="s">
        <v>153</v>
      </c>
      <c r="CK1813" s="0" t="s">
        <v>153</v>
      </c>
      <c r="CN1813" s="0" t="s">
        <v>153</v>
      </c>
      <c r="CP1813" s="0" t="s">
        <v>153</v>
      </c>
      <c r="CV1813" s="0" t="s">
        <v>153</v>
      </c>
      <c r="CY1813" s="0" t="s">
        <v>153</v>
      </c>
      <c r="CZ1813" s="0" t="s">
        <v>175</v>
      </c>
      <c r="DC1813" s="0" t="s">
        <v>153</v>
      </c>
      <c r="DF1813" s="0" t="s">
        <v>153</v>
      </c>
      <c r="DG1813" s="0" t="s">
        <v>175</v>
      </c>
      <c r="DI1813" s="0" t="s">
        <v>153</v>
      </c>
      <c r="DJ1813" s="0" t="s">
        <v>175</v>
      </c>
      <c r="DL1813" s="0" t="s">
        <v>153</v>
      </c>
      <c r="DM1813" s="0" t="s">
        <v>175</v>
      </c>
      <c r="DN1813" s="0" t="s">
        <v>153</v>
      </c>
      <c r="DR1813" s="0" t="s">
        <v>153</v>
      </c>
      <c r="DU1813" s="0" t="s">
        <v>153</v>
      </c>
      <c r="DX1813" s="0" t="s">
        <v>153</v>
      </c>
      <c r="EA1813" s="0" t="s">
        <v>153</v>
      </c>
      <c r="EF1813" s="0" t="s">
        <v>153</v>
      </c>
    </row>
    <row r="1814" customFormat="false" ht="13.8" hidden="false" customHeight="false" outlineLevel="0" collapsed="false">
      <c r="A1814" s="0" t="s">
        <v>8135</v>
      </c>
      <c r="B1814" s="0" t="n">
        <v>78</v>
      </c>
      <c r="C1814" s="0" t="n">
        <v>12775</v>
      </c>
      <c r="D1814" s="0" t="s">
        <v>8131</v>
      </c>
      <c r="E1814" s="0" t="s">
        <v>8136</v>
      </c>
      <c r="F1814" s="0" t="str">
        <f aca="false">CONCATENATE(D1814," ",LEFT(H1814,4),"T=",AU1814,"D=",AV1814,"R=",AW1814,"M=",AX1814,"L=",AY1814,"B=",AZ1814)</f>
        <v>PRIESTER T=2D=0R=0M=1L=4B=0</v>
      </c>
      <c r="G1814" s="0" t="s">
        <v>171</v>
      </c>
      <c r="I1814" s="0" t="s">
        <v>8137</v>
      </c>
      <c r="J1814" s="0" t="s">
        <v>8133</v>
      </c>
      <c r="K1814" s="0" t="s">
        <v>160</v>
      </c>
      <c r="M1814" s="0" t="s">
        <v>8134</v>
      </c>
      <c r="N1814" s="0" t="str">
        <f aca="false">RIGHT(M1814,LEN(M1814)-FIND(" ",M1814))</f>
        <v>OAK KNOLL AVE SE</v>
      </c>
      <c r="P1814" s="0" t="s">
        <v>145</v>
      </c>
      <c r="Q1814" s="0" t="s">
        <v>146</v>
      </c>
      <c r="R1814" s="0" t="n">
        <v>44483</v>
      </c>
      <c r="AD1814" s="0" t="s">
        <v>147</v>
      </c>
      <c r="AE1814" s="0" t="s">
        <v>148</v>
      </c>
      <c r="AF1814" s="0" t="s">
        <v>149</v>
      </c>
      <c r="AH1814" s="0" t="n">
        <v>14</v>
      </c>
      <c r="AI1814" s="0" t="n">
        <v>11</v>
      </c>
      <c r="AN1814" s="0" t="s">
        <v>145</v>
      </c>
      <c r="AO1814" s="0" t="s">
        <v>150</v>
      </c>
      <c r="AP1814" s="0" t="s">
        <v>151</v>
      </c>
      <c r="AQ1814" s="0" t="n">
        <v>9</v>
      </c>
      <c r="AR1814" s="0" t="n">
        <v>64</v>
      </c>
      <c r="AS1814" s="0" t="n">
        <v>32</v>
      </c>
      <c r="AU1814" s="0" t="n">
        <f aca="false">COUNTA($BA$1083:$EH$1083)</f>
        <v>2</v>
      </c>
      <c r="AV1814" s="0" t="n">
        <f aca="false">COUNTIF($BA$1083:$EH$1083,"D")</f>
        <v>0</v>
      </c>
      <c r="AW1814" s="0" t="n">
        <f aca="false">COUNTIF($BA$1083:$EH$1083,"R")</f>
        <v>0</v>
      </c>
      <c r="AX1814" s="0" t="n">
        <f aca="false">IF(BN1814="D",1,0)+IF(BO1814="D",1,0)+IF(BT1814="D",1,0)+IF(BU1814="D",1,0)+IF(BW1814="D",1,0)+IF(CC1814="D",1,0)+IF(CD1814="D",1,0)+IF(CE1814="D",1,0)+IF(CF1814="D",1,0)+IF(CL1814="D",1,0)+IF(CM1814="D",1,0)+IF(CQ1814="D",1,0)+IF(CR1814="D",1,0)+IF(CS1814="D",1,0)+IF(CW1814="D",1,0)+IF(CX1814="D",1,0)+IF(DD1814="D",1,0)+IF(DE1814="D",1,0)+IF(DJ1814="D",1,0)+IF(DK1814="D",1,0)+IF(DO1814="D",1,0)+IF(DP1814="D",1,0)+IF(DQ1814="D",1,0)+IF(DW1814="D",1,0)+IF(DZ1814="D",1,0)+IF(EH1814="D",1,0)</f>
        <v>1</v>
      </c>
      <c r="AY1814" s="0" t="n">
        <f aca="false">COUNTIF(DU1814:EH1814, "&lt;&gt;")</f>
        <v>4</v>
      </c>
      <c r="AZ1814" s="0" t="n">
        <f aca="false">IF(EH1814&lt;&gt;"",1,0)</f>
        <v>0</v>
      </c>
      <c r="BB1814" s="0" t="s">
        <v>152</v>
      </c>
      <c r="BC1814" s="0" t="s">
        <v>153</v>
      </c>
      <c r="BD1814" s="0" t="s">
        <v>153</v>
      </c>
      <c r="BE1814" s="0" t="s">
        <v>153</v>
      </c>
      <c r="BG1814" s="0" t="s">
        <v>153</v>
      </c>
      <c r="BH1814" s="0" t="s">
        <v>153</v>
      </c>
      <c r="BI1814" s="0" t="s">
        <v>153</v>
      </c>
      <c r="BJ1814" s="0" t="s">
        <v>153</v>
      </c>
      <c r="BK1814" s="0" t="s">
        <v>153</v>
      </c>
      <c r="BL1814" s="0" t="s">
        <v>153</v>
      </c>
      <c r="BP1814" s="0" t="s">
        <v>153</v>
      </c>
      <c r="BR1814" s="0" t="s">
        <v>153</v>
      </c>
      <c r="BS1814" s="0" t="s">
        <v>153</v>
      </c>
      <c r="BT1814" s="0" t="s">
        <v>153</v>
      </c>
      <c r="BV1814" s="0" t="s">
        <v>153</v>
      </c>
      <c r="BY1814" s="0" t="s">
        <v>175</v>
      </c>
      <c r="CA1814" s="0" t="s">
        <v>153</v>
      </c>
      <c r="CK1814" s="0" t="s">
        <v>153</v>
      </c>
      <c r="CN1814" s="0" t="s">
        <v>153</v>
      </c>
      <c r="CP1814" s="0" t="s">
        <v>153</v>
      </c>
      <c r="CV1814" s="0" t="s">
        <v>153</v>
      </c>
      <c r="CY1814" s="0" t="s">
        <v>153</v>
      </c>
      <c r="CZ1814" s="0" t="s">
        <v>175</v>
      </c>
      <c r="DC1814" s="0" t="s">
        <v>153</v>
      </c>
      <c r="DF1814" s="0" t="s">
        <v>153</v>
      </c>
      <c r="DG1814" s="0" t="s">
        <v>175</v>
      </c>
      <c r="DI1814" s="0" t="s">
        <v>153</v>
      </c>
      <c r="DJ1814" s="0" t="s">
        <v>175</v>
      </c>
      <c r="DL1814" s="0" t="s">
        <v>153</v>
      </c>
      <c r="DM1814" s="0" t="s">
        <v>175</v>
      </c>
      <c r="DN1814" s="0" t="s">
        <v>153</v>
      </c>
      <c r="DR1814" s="0" t="s">
        <v>153</v>
      </c>
      <c r="DU1814" s="0" t="s">
        <v>153</v>
      </c>
      <c r="DX1814" s="0" t="s">
        <v>153</v>
      </c>
      <c r="EA1814" s="0" t="s">
        <v>153</v>
      </c>
      <c r="EF1814" s="0" t="s">
        <v>153</v>
      </c>
    </row>
    <row r="1815" customFormat="false" ht="13.8" hidden="true" customHeight="false" outlineLevel="0" collapsed="false">
      <c r="A1815" s="0" t="s">
        <v>8138</v>
      </c>
      <c r="B1815" s="0" t="n">
        <v>78</v>
      </c>
      <c r="C1815" s="0" t="n">
        <v>444907</v>
      </c>
      <c r="D1815" s="0" t="s">
        <v>1095</v>
      </c>
      <c r="E1815" s="0" t="s">
        <v>658</v>
      </c>
      <c r="F1815" s="0" t="str">
        <f aca="false">CONCATENATE(D1815," ",LEFT(H1815,4),"T=",AU1815,"D=",AV1815,"R=",AW1815,"M=",AX1815,"L=",AY1815,"B=",AZ1815)</f>
        <v>RICE T=1D=0R=0M=0L=0B=0</v>
      </c>
      <c r="G1815" s="0" t="s">
        <v>175</v>
      </c>
      <c r="I1815" s="0" t="s">
        <v>8139</v>
      </c>
      <c r="J1815" s="0" t="s">
        <v>1670</v>
      </c>
      <c r="K1815" s="0" t="s">
        <v>143</v>
      </c>
      <c r="M1815" s="0" t="s">
        <v>8140</v>
      </c>
      <c r="N1815" s="0" t="str">
        <f aca="false">RIGHT(M1815,LEN(M1815)-FIND(" ",M1815))</f>
        <v>OAK KNOLL AVE SE</v>
      </c>
      <c r="P1815" s="0" t="s">
        <v>145</v>
      </c>
      <c r="Q1815" s="0" t="s">
        <v>146</v>
      </c>
      <c r="R1815" s="0" t="n">
        <v>44483</v>
      </c>
      <c r="AD1815" s="0" t="s">
        <v>147</v>
      </c>
      <c r="AE1815" s="0" t="s">
        <v>148</v>
      </c>
      <c r="AF1815" s="0" t="s">
        <v>149</v>
      </c>
      <c r="AH1815" s="0" t="n">
        <v>14</v>
      </c>
      <c r="AI1815" s="0" t="n">
        <v>11</v>
      </c>
      <c r="AN1815" s="0" t="s">
        <v>145</v>
      </c>
      <c r="AO1815" s="0" t="s">
        <v>150</v>
      </c>
      <c r="AP1815" s="0" t="s">
        <v>151</v>
      </c>
      <c r="AQ1815" s="0" t="n">
        <v>9</v>
      </c>
      <c r="AR1815" s="0" t="n">
        <v>64</v>
      </c>
      <c r="AS1815" s="0" t="n">
        <v>32</v>
      </c>
      <c r="AU1815" s="0" t="n">
        <f aca="false">COUNTA($BA$204:$EH$204)</f>
        <v>1</v>
      </c>
      <c r="AV1815" s="0" t="n">
        <f aca="false">COUNTIF($BA$204:$EH$204,"D")</f>
        <v>0</v>
      </c>
      <c r="AW1815" s="0" t="n">
        <f aca="false">COUNTIF($BA$204:$EH$204,"R")</f>
        <v>0</v>
      </c>
      <c r="AX1815" s="0" t="n">
        <f aca="false">IF(BN1815="D",1,0)+IF(BO1815="D",1,0)+IF(BT1815="D",1,0)+IF(BU1815="D",1,0)+IF(BW1815="D",1,0)+IF(CC1815="D",1,0)+IF(CD1815="D",1,0)+IF(CE1815="D",1,0)+IF(CF1815="D",1,0)+IF(CL1815="D",1,0)+IF(CM1815="D",1,0)+IF(CQ1815="D",1,0)+IF(CR1815="D",1,0)+IF(CS1815="D",1,0)+IF(CW1815="D",1,0)+IF(CX1815="D",1,0)+IF(DD1815="D",1,0)+IF(DE1815="D",1,0)+IF(DJ1815="D",1,0)+IF(DK1815="D",1,0)+IF(DO1815="D",1,0)+IF(DP1815="D",1,0)+IF(DQ1815="D",1,0)+IF(DW1815="D",1,0)+IF(DZ1815="D",1,0)+IF(EH1815="D",1,0)</f>
        <v>0</v>
      </c>
      <c r="AY1815" s="0" t="n">
        <f aca="false">COUNTIF(DU1815:EH1815, "&lt;&gt;")</f>
        <v>0</v>
      </c>
      <c r="AZ1815" s="0" t="n">
        <f aca="false">IF(EH1815&lt;&gt;"",1,0)</f>
        <v>0</v>
      </c>
      <c r="BB1815" s="0" t="s">
        <v>152</v>
      </c>
    </row>
    <row r="1816" customFormat="false" ht="13.8" hidden="true" customHeight="false" outlineLevel="0" collapsed="false">
      <c r="A1816" s="0" t="s">
        <v>8141</v>
      </c>
      <c r="B1816" s="0" t="n">
        <v>78</v>
      </c>
      <c r="C1816" s="0" t="n">
        <v>437939</v>
      </c>
      <c r="D1816" s="0" t="s">
        <v>1095</v>
      </c>
      <c r="E1816" s="0" t="s">
        <v>8142</v>
      </c>
      <c r="F1816" s="0" t="str">
        <f aca="false">CONCATENATE(D1816," ",LEFT(H1816,4),"T=",AU1816,"D=",AV1816,"R=",AW1816,"M=",AX1816,"L=",AY1816,"B=",AZ1816)</f>
        <v>RICE T=24D=3R=1M=0L=0B=0</v>
      </c>
      <c r="G1816" s="0" t="s">
        <v>255</v>
      </c>
      <c r="I1816" s="0" t="s">
        <v>8143</v>
      </c>
      <c r="J1816" s="0" t="s">
        <v>8144</v>
      </c>
      <c r="K1816" s="0" t="s">
        <v>143</v>
      </c>
      <c r="M1816" s="0" t="s">
        <v>8140</v>
      </c>
      <c r="N1816" s="0" t="str">
        <f aca="false">RIGHT(M1816,LEN(M1816)-FIND(" ",M1816))</f>
        <v>OAK KNOLL AVE SE</v>
      </c>
      <c r="P1816" s="0" t="s">
        <v>145</v>
      </c>
      <c r="Q1816" s="0" t="s">
        <v>146</v>
      </c>
      <c r="R1816" s="0" t="n">
        <v>44483</v>
      </c>
      <c r="AD1816" s="0" t="s">
        <v>147</v>
      </c>
      <c r="AE1816" s="0" t="s">
        <v>148</v>
      </c>
      <c r="AF1816" s="0" t="s">
        <v>149</v>
      </c>
      <c r="AH1816" s="0" t="n">
        <v>14</v>
      </c>
      <c r="AI1816" s="0" t="n">
        <v>11</v>
      </c>
      <c r="AN1816" s="0" t="s">
        <v>145</v>
      </c>
      <c r="AO1816" s="0" t="s">
        <v>150</v>
      </c>
      <c r="AP1816" s="0" t="s">
        <v>151</v>
      </c>
      <c r="AQ1816" s="0" t="n">
        <v>9</v>
      </c>
      <c r="AR1816" s="0" t="n">
        <v>64</v>
      </c>
      <c r="AS1816" s="0" t="n">
        <v>32</v>
      </c>
      <c r="AU1816" s="0" t="n">
        <f aca="false">COUNTA($BA$699:$EH$699)</f>
        <v>24</v>
      </c>
      <c r="AV1816" s="0" t="n">
        <f aca="false">COUNTIF($BA$699:$EH$699,"D")</f>
        <v>3</v>
      </c>
      <c r="AW1816" s="0" t="n">
        <f aca="false">COUNTIF($BA$699:$EH$699,"R")</f>
        <v>1</v>
      </c>
      <c r="AX1816" s="0" t="n">
        <f aca="false">IF(BN1816="D",1,0)+IF(BO1816="D",1,0)+IF(BT1816="D",1,0)+IF(BU1816="D",1,0)+IF(BW1816="D",1,0)+IF(CC1816="D",1,0)+IF(CD1816="D",1,0)+IF(CE1816="D",1,0)+IF(CF1816="D",1,0)+IF(CL1816="D",1,0)+IF(CM1816="D",1,0)+IF(CQ1816="D",1,0)+IF(CR1816="D",1,0)+IF(CS1816="D",1,0)+IF(CW1816="D",1,0)+IF(CX1816="D",1,0)+IF(DD1816="D",1,0)+IF(DE1816="D",1,0)+IF(DJ1816="D",1,0)+IF(DK1816="D",1,0)+IF(DO1816="D",1,0)+IF(DP1816="D",1,0)+IF(DQ1816="D",1,0)+IF(DW1816="D",1,0)+IF(DZ1816="D",1,0)+IF(EH1816="D",1,0)</f>
        <v>0</v>
      </c>
      <c r="AY1816" s="0" t="n">
        <f aca="false">COUNTIF(DU1816:EH1816, "&lt;&gt;")</f>
        <v>0</v>
      </c>
      <c r="AZ1816" s="0" t="n">
        <f aca="false">IF(EH1816&lt;&gt;"",1,0)</f>
        <v>0</v>
      </c>
      <c r="BB1816" s="0" t="s">
        <v>152</v>
      </c>
      <c r="BL1816" s="0" t="s">
        <v>153</v>
      </c>
    </row>
    <row r="1817" customFormat="false" ht="13.8" hidden="true" customHeight="false" outlineLevel="0" collapsed="false">
      <c r="A1817" s="0" t="s">
        <v>8145</v>
      </c>
      <c r="B1817" s="0" t="n">
        <v>78</v>
      </c>
      <c r="C1817" s="0" t="n">
        <v>406719</v>
      </c>
      <c r="D1817" s="0" t="s">
        <v>8146</v>
      </c>
      <c r="E1817" s="0" t="s">
        <v>2214</v>
      </c>
      <c r="F1817" s="0" t="str">
        <f aca="false">CONCATENATE(D1817," ",LEFT(H1817,4),"T=",AU1817,"D=",AV1817,"R=",AW1817,"M=",AX1817,"L=",AY1817,"B=",AZ1817)</f>
        <v>ROCK T=13D=0R=2M=0L=0B=0</v>
      </c>
      <c r="G1817" s="0" t="s">
        <v>8147</v>
      </c>
      <c r="I1817" s="0" t="s">
        <v>8148</v>
      </c>
      <c r="J1817" s="0" t="s">
        <v>851</v>
      </c>
      <c r="K1817" s="0" t="s">
        <v>143</v>
      </c>
      <c r="M1817" s="0" t="s">
        <v>8149</v>
      </c>
      <c r="N1817" s="0" t="str">
        <f aca="false">RIGHT(M1817,LEN(M1817)-FIND(" ",M1817))</f>
        <v>OAK KNOLL AVE SE</v>
      </c>
      <c r="P1817" s="0" t="s">
        <v>145</v>
      </c>
      <c r="Q1817" s="0" t="s">
        <v>146</v>
      </c>
      <c r="R1817" s="0" t="n">
        <v>44483</v>
      </c>
      <c r="AD1817" s="0" t="s">
        <v>147</v>
      </c>
      <c r="AE1817" s="0" t="s">
        <v>148</v>
      </c>
      <c r="AF1817" s="0" t="s">
        <v>149</v>
      </c>
      <c r="AH1817" s="0" t="n">
        <v>14</v>
      </c>
      <c r="AI1817" s="0" t="n">
        <v>11</v>
      </c>
      <c r="AN1817" s="0" t="s">
        <v>145</v>
      </c>
      <c r="AO1817" s="0" t="s">
        <v>150</v>
      </c>
      <c r="AP1817" s="0" t="s">
        <v>151</v>
      </c>
      <c r="AQ1817" s="0" t="n">
        <v>9</v>
      </c>
      <c r="AR1817" s="0" t="n">
        <v>64</v>
      </c>
      <c r="AS1817" s="0" t="n">
        <v>32</v>
      </c>
      <c r="AU1817" s="0" t="n">
        <f aca="false">COUNTA($BA$127:$EH$127)</f>
        <v>13</v>
      </c>
      <c r="AV1817" s="0" t="n">
        <f aca="false">COUNTIF($BA$127:$EH$127,"D")</f>
        <v>0</v>
      </c>
      <c r="AW1817" s="0" t="n">
        <f aca="false">COUNTIF($BA$127:$EH$127,"R")</f>
        <v>2</v>
      </c>
      <c r="AX1817" s="0" t="n">
        <f aca="false">IF(BN1817="D",1,0)+IF(BO1817="D",1,0)+IF(BT1817="D",1,0)+IF(BU1817="D",1,0)+IF(BW1817="D",1,0)+IF(CC1817="D",1,0)+IF(CD1817="D",1,0)+IF(CE1817="D",1,0)+IF(CF1817="D",1,0)+IF(CL1817="D",1,0)+IF(CM1817="D",1,0)+IF(CQ1817="D",1,0)+IF(CR1817="D",1,0)+IF(CS1817="D",1,0)+IF(CW1817="D",1,0)+IF(CX1817="D",1,0)+IF(DD1817="D",1,0)+IF(DE1817="D",1,0)+IF(DJ1817="D",1,0)+IF(DK1817="D",1,0)+IF(DO1817="D",1,0)+IF(DP1817="D",1,0)+IF(DQ1817="D",1,0)+IF(DW1817="D",1,0)+IF(DZ1817="D",1,0)+IF(EH1817="D",1,0)</f>
        <v>0</v>
      </c>
      <c r="AY1817" s="0" t="n">
        <f aca="false">COUNTIF(DU1817:EH1817, "&lt;&gt;")</f>
        <v>0</v>
      </c>
      <c r="AZ1817" s="0" t="n">
        <f aca="false">IF(EH1817&lt;&gt;"",1,0)</f>
        <v>0</v>
      </c>
      <c r="BB1817" s="0" t="s">
        <v>152</v>
      </c>
    </row>
    <row r="1818" customFormat="false" ht="13.8" hidden="true" customHeight="false" outlineLevel="0" collapsed="false">
      <c r="A1818" s="0" t="s">
        <v>8150</v>
      </c>
      <c r="B1818" s="0" t="n">
        <v>78</v>
      </c>
      <c r="C1818" s="0" t="n">
        <v>490805</v>
      </c>
      <c r="D1818" s="0" t="s">
        <v>8151</v>
      </c>
      <c r="E1818" s="0" t="s">
        <v>237</v>
      </c>
      <c r="F1818" s="0" t="str">
        <f aca="false">CONCATENATE(D1818," ",LEFT(H1818,4),"T=",AU1818,"D=",AV1818,"R=",AW1818,"M=",AX1818,"L=",AY1818,"B=",AZ1818)</f>
        <v>LEAGUE T=2D=0R=0M=0L=1B=0</v>
      </c>
      <c r="G1818" s="0" t="s">
        <v>517</v>
      </c>
      <c r="I1818" s="0" t="s">
        <v>8152</v>
      </c>
      <c r="J1818" s="0" t="s">
        <v>3412</v>
      </c>
      <c r="K1818" s="0" t="s">
        <v>160</v>
      </c>
      <c r="M1818" s="0" t="s">
        <v>8149</v>
      </c>
      <c r="N1818" s="0" t="str">
        <f aca="false">RIGHT(M1818,LEN(M1818)-FIND(" ",M1818))</f>
        <v>OAK KNOLL AVE SE</v>
      </c>
      <c r="P1818" s="0" t="s">
        <v>145</v>
      </c>
      <c r="Q1818" s="0" t="s">
        <v>146</v>
      </c>
      <c r="R1818" s="0" t="n">
        <v>44483</v>
      </c>
      <c r="AD1818" s="0" t="s">
        <v>147</v>
      </c>
      <c r="AE1818" s="0" t="s">
        <v>148</v>
      </c>
      <c r="AF1818" s="0" t="s">
        <v>149</v>
      </c>
      <c r="AH1818" s="0" t="n">
        <v>14</v>
      </c>
      <c r="AI1818" s="0" t="n">
        <v>11</v>
      </c>
      <c r="AN1818" s="0" t="s">
        <v>145</v>
      </c>
      <c r="AO1818" s="0" t="s">
        <v>150</v>
      </c>
      <c r="AP1818" s="0" t="s">
        <v>151</v>
      </c>
      <c r="AQ1818" s="0" t="n">
        <v>9</v>
      </c>
      <c r="AR1818" s="0" t="n">
        <v>64</v>
      </c>
      <c r="AS1818" s="0" t="n">
        <v>32</v>
      </c>
      <c r="AU1818" s="0" t="n">
        <f aca="false">COUNTA($BA$574:$EH$574)</f>
        <v>2</v>
      </c>
      <c r="AV1818" s="0" t="n">
        <f aca="false">COUNTIF($BA$574:$EH$574,"D")</f>
        <v>0</v>
      </c>
      <c r="AW1818" s="0" t="n">
        <f aca="false">COUNTIF($BA$574:$EH$574,"R")</f>
        <v>0</v>
      </c>
      <c r="AX1818" s="0" t="n">
        <f aca="false">IF(BN1818="D",1,0)+IF(BO1818="D",1,0)+IF(BT1818="D",1,0)+IF(BU1818="D",1,0)+IF(BW1818="D",1,0)+IF(CC1818="D",1,0)+IF(CD1818="D",1,0)+IF(CE1818="D",1,0)+IF(CF1818="D",1,0)+IF(CL1818="D",1,0)+IF(CM1818="D",1,0)+IF(CQ1818="D",1,0)+IF(CR1818="D",1,0)+IF(CS1818="D",1,0)+IF(CW1818="D",1,0)+IF(CX1818="D",1,0)+IF(DD1818="D",1,0)+IF(DE1818="D",1,0)+IF(DJ1818="D",1,0)+IF(DK1818="D",1,0)+IF(DO1818="D",1,0)+IF(DP1818="D",1,0)+IF(DQ1818="D",1,0)+IF(DW1818="D",1,0)+IF(DZ1818="D",1,0)+IF(EH1818="D",1,0)</f>
        <v>0</v>
      </c>
      <c r="AY1818" s="0" t="n">
        <f aca="false">COUNTIF(DU1818:EH1818, "&lt;&gt;")</f>
        <v>1</v>
      </c>
      <c r="AZ1818" s="0" t="n">
        <f aca="false">IF(EH1818&lt;&gt;"",1,0)</f>
        <v>0</v>
      </c>
      <c r="BB1818" s="0" t="s">
        <v>152</v>
      </c>
      <c r="EF1818" s="0" t="s">
        <v>153</v>
      </c>
    </row>
    <row r="1819" customFormat="false" ht="13.8" hidden="true" customHeight="false" outlineLevel="0" collapsed="false">
      <c r="A1819" s="0" t="s">
        <v>8153</v>
      </c>
      <c r="B1819" s="0" t="n">
        <v>78</v>
      </c>
      <c r="C1819" s="0" t="n">
        <v>362321</v>
      </c>
      <c r="D1819" s="0" t="s">
        <v>8154</v>
      </c>
      <c r="E1819" s="0" t="s">
        <v>1827</v>
      </c>
      <c r="F1819" s="0" t="str">
        <f aca="false">CONCATENATE(D1819," ",LEFT(H1819,4),"T=",AU1819,"D=",AV1819,"R=",AW1819,"M=",AX1819,"L=",AY1819,"B=",AZ1819)</f>
        <v>ESTES T=18D=3R=0M=0L=0B=0</v>
      </c>
      <c r="G1819" s="0" t="s">
        <v>8155</v>
      </c>
      <c r="I1819" s="0" t="s">
        <v>8156</v>
      </c>
      <c r="J1819" s="0" t="s">
        <v>8157</v>
      </c>
      <c r="K1819" s="0" t="s">
        <v>143</v>
      </c>
      <c r="M1819" s="0" t="s">
        <v>8149</v>
      </c>
      <c r="N1819" s="0" t="str">
        <f aca="false">RIGHT(M1819,LEN(M1819)-FIND(" ",M1819))</f>
        <v>OAK KNOLL AVE SE</v>
      </c>
      <c r="P1819" s="0" t="s">
        <v>145</v>
      </c>
      <c r="Q1819" s="0" t="s">
        <v>146</v>
      </c>
      <c r="R1819" s="0" t="n">
        <v>44483</v>
      </c>
      <c r="AD1819" s="0" t="s">
        <v>147</v>
      </c>
      <c r="AE1819" s="0" t="s">
        <v>148</v>
      </c>
      <c r="AF1819" s="0" t="s">
        <v>149</v>
      </c>
      <c r="AH1819" s="0" t="n">
        <v>14</v>
      </c>
      <c r="AI1819" s="0" t="n">
        <v>11</v>
      </c>
      <c r="AN1819" s="0" t="s">
        <v>145</v>
      </c>
      <c r="AO1819" s="0" t="s">
        <v>150</v>
      </c>
      <c r="AP1819" s="0" t="s">
        <v>151</v>
      </c>
      <c r="AQ1819" s="0" t="n">
        <v>9</v>
      </c>
      <c r="AR1819" s="0" t="n">
        <v>64</v>
      </c>
      <c r="AS1819" s="0" t="n">
        <v>32</v>
      </c>
      <c r="AU1819" s="0" t="n">
        <f aca="false">COUNTA($BA$681:$EH$681)</f>
        <v>18</v>
      </c>
      <c r="AV1819" s="0" t="n">
        <f aca="false">COUNTIF($BA$681:$EH$681,"D")</f>
        <v>3</v>
      </c>
      <c r="AW1819" s="0" t="n">
        <f aca="false">COUNTIF($BA$681:$EH$681,"R")</f>
        <v>0</v>
      </c>
      <c r="AX1819" s="0" t="n">
        <f aca="false">IF(BN1819="D",1,0)+IF(BO1819="D",1,0)+IF(BT1819="D",1,0)+IF(BU1819="D",1,0)+IF(BW1819="D",1,0)+IF(CC1819="D",1,0)+IF(CD1819="D",1,0)+IF(CE1819="D",1,0)+IF(CF1819="D",1,0)+IF(CL1819="D",1,0)+IF(CM1819="D",1,0)+IF(CQ1819="D",1,0)+IF(CR1819="D",1,0)+IF(CS1819="D",1,0)+IF(CW1819="D",1,0)+IF(CX1819="D",1,0)+IF(DD1819="D",1,0)+IF(DE1819="D",1,0)+IF(DJ1819="D",1,0)+IF(DK1819="D",1,0)+IF(DO1819="D",1,0)+IF(DP1819="D",1,0)+IF(DQ1819="D",1,0)+IF(DW1819="D",1,0)+IF(DZ1819="D",1,0)+IF(EH1819="D",1,0)</f>
        <v>0</v>
      </c>
      <c r="AY1819" s="0" t="n">
        <f aca="false">COUNTIF(DU1819:EH1819, "&lt;&gt;")</f>
        <v>0</v>
      </c>
      <c r="AZ1819" s="0" t="n">
        <f aca="false">IF(EH1819&lt;&gt;"",1,0)</f>
        <v>0</v>
      </c>
      <c r="BB1819" s="0" t="s">
        <v>152</v>
      </c>
      <c r="CA1819" s="0" t="s">
        <v>153</v>
      </c>
      <c r="CG1819" s="0" t="s">
        <v>153</v>
      </c>
    </row>
    <row r="1820" customFormat="false" ht="13.8" hidden="false" customHeight="false" outlineLevel="0" collapsed="false">
      <c r="A1820" s="0" t="s">
        <v>8158</v>
      </c>
      <c r="B1820" s="0" t="n">
        <v>78</v>
      </c>
      <c r="C1820" s="0" t="n">
        <v>460159</v>
      </c>
      <c r="D1820" s="0" t="s">
        <v>8159</v>
      </c>
      <c r="E1820" s="0" t="s">
        <v>697</v>
      </c>
      <c r="F1820" s="0" t="str">
        <f aca="false">CONCATENATE(D1820," ",LEFT(H1820,4),"T=",AU1820,"D=",AV1820,"R=",AW1820,"M=",AX1820,"L=",AY1820,"B=",AZ1820)</f>
        <v>FLASH T=11D=2R=0M=0L=4B=0</v>
      </c>
      <c r="G1820" s="0" t="s">
        <v>522</v>
      </c>
      <c r="I1820" s="0" t="s">
        <v>8160</v>
      </c>
      <c r="J1820" s="0" t="s">
        <v>1550</v>
      </c>
      <c r="K1820" s="0" t="s">
        <v>160</v>
      </c>
      <c r="L1820" s="0" t="s">
        <v>175</v>
      </c>
      <c r="M1820" s="0" t="s">
        <v>8161</v>
      </c>
      <c r="N1820" s="0" t="str">
        <f aca="false">RIGHT(M1820,LEN(M1820)-FIND(" ",M1820))</f>
        <v>OAK KNOLL AVE SE</v>
      </c>
      <c r="P1820" s="0" t="s">
        <v>145</v>
      </c>
      <c r="Q1820" s="0" t="s">
        <v>146</v>
      </c>
      <c r="R1820" s="0" t="n">
        <v>44483</v>
      </c>
      <c r="AD1820" s="0" t="s">
        <v>147</v>
      </c>
      <c r="AE1820" s="0" t="s">
        <v>148</v>
      </c>
      <c r="AF1820" s="0" t="s">
        <v>149</v>
      </c>
      <c r="AH1820" s="0" t="n">
        <v>14</v>
      </c>
      <c r="AI1820" s="0" t="n">
        <v>11</v>
      </c>
      <c r="AN1820" s="0" t="s">
        <v>145</v>
      </c>
      <c r="AO1820" s="0" t="s">
        <v>150</v>
      </c>
      <c r="AP1820" s="0" t="s">
        <v>151</v>
      </c>
      <c r="AQ1820" s="0" t="n">
        <v>9</v>
      </c>
      <c r="AR1820" s="0" t="n">
        <v>64</v>
      </c>
      <c r="AS1820" s="0" t="n">
        <v>32</v>
      </c>
      <c r="AU1820" s="0" t="n">
        <f aca="false">COUNTA($BA$267:$EH$267)</f>
        <v>11</v>
      </c>
      <c r="AV1820" s="0" t="n">
        <f aca="false">COUNTIF($BA$267:$EH$267,"D")</f>
        <v>2</v>
      </c>
      <c r="AW1820" s="0" t="n">
        <f aca="false">COUNTIF($BA$267:$EH$267,"R")</f>
        <v>0</v>
      </c>
      <c r="AX1820" s="0" t="n">
        <f aca="false">IF(BN1820="D",1,0)+IF(BO1820="D",1,0)+IF(BT1820="D",1,0)+IF(BU1820="D",1,0)+IF(BW1820="D",1,0)+IF(CC1820="D",1,0)+IF(CD1820="D",1,0)+IF(CE1820="D",1,0)+IF(CF1820="D",1,0)+IF(CL1820="D",1,0)+IF(CM1820="D",1,0)+IF(CQ1820="D",1,0)+IF(CR1820="D",1,0)+IF(CS1820="D",1,0)+IF(CW1820="D",1,0)+IF(CX1820="D",1,0)+IF(DD1820="D",1,0)+IF(DE1820="D",1,0)+IF(DJ1820="D",1,0)+IF(DK1820="D",1,0)+IF(DO1820="D",1,0)+IF(DP1820="D",1,0)+IF(DQ1820="D",1,0)+IF(DW1820="D",1,0)+IF(DZ1820="D",1,0)+IF(EH1820="D",1,0)</f>
        <v>0</v>
      </c>
      <c r="AY1820" s="0" t="n">
        <f aca="false">COUNTIF(DU1820:EH1820, "&lt;&gt;")</f>
        <v>4</v>
      </c>
      <c r="AZ1820" s="0" t="n">
        <f aca="false">IF(EH1820&lt;&gt;"",1,0)</f>
        <v>0</v>
      </c>
      <c r="BB1820" s="0" t="s">
        <v>152</v>
      </c>
      <c r="CY1820" s="0" t="s">
        <v>153</v>
      </c>
      <c r="DC1820" s="0" t="s">
        <v>153</v>
      </c>
      <c r="DN1820" s="0" t="s">
        <v>153</v>
      </c>
      <c r="DR1820" s="0" t="s">
        <v>153</v>
      </c>
      <c r="DS1820" s="0" t="s">
        <v>175</v>
      </c>
      <c r="DU1820" s="0" t="s">
        <v>153</v>
      </c>
      <c r="DX1820" s="0" t="s">
        <v>153</v>
      </c>
      <c r="EA1820" s="0" t="s">
        <v>153</v>
      </c>
      <c r="ED1820" s="0" t="s">
        <v>175</v>
      </c>
    </row>
    <row r="1821" customFormat="false" ht="13.8" hidden="false" customHeight="false" outlineLevel="0" collapsed="false">
      <c r="A1821" s="0" t="s">
        <v>8162</v>
      </c>
      <c r="B1821" s="0" t="n">
        <v>78</v>
      </c>
      <c r="C1821" s="0" t="n">
        <v>460158</v>
      </c>
      <c r="D1821" s="0" t="s">
        <v>8159</v>
      </c>
      <c r="E1821" s="0" t="s">
        <v>3639</v>
      </c>
      <c r="F1821" s="0" t="str">
        <f aca="false">CONCATENATE(D1821," ",LEFT(H1821,4),"T=",AU1821,"D=",AV1821,"R=",AW1821,"M=",AX1821,"L=",AY1821,"B=",AZ1821)</f>
        <v>FLASH T=4D=0R=0M=3L=7B=1</v>
      </c>
      <c r="G1821" s="0" t="s">
        <v>367</v>
      </c>
      <c r="I1821" s="0" t="s">
        <v>8163</v>
      </c>
      <c r="J1821" s="0" t="s">
        <v>8164</v>
      </c>
      <c r="K1821" s="0" t="s">
        <v>160</v>
      </c>
      <c r="L1821" s="0" t="s">
        <v>175</v>
      </c>
      <c r="M1821" s="0" t="s">
        <v>8161</v>
      </c>
      <c r="N1821" s="0" t="str">
        <f aca="false">RIGHT(M1821,LEN(M1821)-FIND(" ",M1821))</f>
        <v>OAK KNOLL AVE SE</v>
      </c>
      <c r="P1821" s="0" t="s">
        <v>145</v>
      </c>
      <c r="Q1821" s="0" t="s">
        <v>146</v>
      </c>
      <c r="R1821" s="0" t="n">
        <v>44483</v>
      </c>
      <c r="AD1821" s="0" t="s">
        <v>147</v>
      </c>
      <c r="AE1821" s="0" t="s">
        <v>148</v>
      </c>
      <c r="AF1821" s="0" t="s">
        <v>149</v>
      </c>
      <c r="AH1821" s="0" t="n">
        <v>14</v>
      </c>
      <c r="AI1821" s="0" t="n">
        <v>11</v>
      </c>
      <c r="AN1821" s="0" t="s">
        <v>145</v>
      </c>
      <c r="AO1821" s="0" t="s">
        <v>150</v>
      </c>
      <c r="AP1821" s="0" t="s">
        <v>151</v>
      </c>
      <c r="AQ1821" s="0" t="n">
        <v>9</v>
      </c>
      <c r="AR1821" s="0" t="n">
        <v>64</v>
      </c>
      <c r="AS1821" s="0" t="n">
        <v>32</v>
      </c>
      <c r="AU1821" s="0" t="n">
        <f aca="false">COUNTA($BA$490:$EH$490)</f>
        <v>4</v>
      </c>
      <c r="AV1821" s="0" t="n">
        <f aca="false">COUNTIF($BA$490:$EH$490,"D")</f>
        <v>0</v>
      </c>
      <c r="AW1821" s="0" t="n">
        <f aca="false">COUNTIF($BA$490:$EH$490,"R")</f>
        <v>0</v>
      </c>
      <c r="AX1821" s="0" t="n">
        <f aca="false">IF(BN1821="D",1,0)+IF(BO1821="D",1,0)+IF(BT1821="D",1,0)+IF(BU1821="D",1,0)+IF(BW1821="D",1,0)+IF(CC1821="D",1,0)+IF(CD1821="D",1,0)+IF(CE1821="D",1,0)+IF(CF1821="D",1,0)+IF(CL1821="D",1,0)+IF(CM1821="D",1,0)+IF(CQ1821="D",1,0)+IF(CR1821="D",1,0)+IF(CS1821="D",1,0)+IF(CW1821="D",1,0)+IF(CX1821="D",1,0)+IF(DD1821="D",1,0)+IF(DE1821="D",1,0)+IF(DJ1821="D",1,0)+IF(DK1821="D",1,0)+IF(DO1821="D",1,0)+IF(DP1821="D",1,0)+IF(DQ1821="D",1,0)+IF(DW1821="D",1,0)+IF(DZ1821="D",1,0)+IF(EH1821="D",1,0)</f>
        <v>3</v>
      </c>
      <c r="AY1821" s="0" t="n">
        <f aca="false">COUNTIF(DU1821:EH1821, "&lt;&gt;")</f>
        <v>7</v>
      </c>
      <c r="AZ1821" s="0" t="n">
        <f aca="false">IF(EH1821&lt;&gt;"",1,0)</f>
        <v>1</v>
      </c>
      <c r="BB1821" s="0" t="s">
        <v>152</v>
      </c>
      <c r="DC1821" s="0" t="s">
        <v>153</v>
      </c>
      <c r="DH1821" s="0" t="s">
        <v>153</v>
      </c>
      <c r="DI1821" s="0" t="s">
        <v>153</v>
      </c>
      <c r="DJ1821" s="0" t="s">
        <v>175</v>
      </c>
      <c r="DN1821" s="0" t="s">
        <v>153</v>
      </c>
      <c r="DR1821" s="0" t="s">
        <v>153</v>
      </c>
      <c r="DS1821" s="0" t="s">
        <v>175</v>
      </c>
      <c r="DU1821" s="0" t="s">
        <v>153</v>
      </c>
      <c r="DW1821" s="0" t="s">
        <v>175</v>
      </c>
      <c r="DX1821" s="0" t="s">
        <v>153</v>
      </c>
      <c r="EA1821" s="0" t="s">
        <v>153</v>
      </c>
      <c r="ED1821" s="0" t="s">
        <v>175</v>
      </c>
      <c r="EF1821" s="0" t="s">
        <v>153</v>
      </c>
      <c r="EH1821" s="0" t="s">
        <v>175</v>
      </c>
    </row>
    <row r="1822" customFormat="false" ht="13.8" hidden="true" customHeight="false" outlineLevel="0" collapsed="false">
      <c r="A1822" s="0" t="s">
        <v>8165</v>
      </c>
      <c r="B1822" s="0" t="n">
        <v>78</v>
      </c>
      <c r="C1822" s="0" t="n">
        <v>429778</v>
      </c>
      <c r="D1822" s="0" t="s">
        <v>8166</v>
      </c>
      <c r="E1822" s="0" t="s">
        <v>2573</v>
      </c>
      <c r="F1822" s="0" t="str">
        <f aca="false">CONCATENATE(D1822," ",LEFT(H1822,4),"T=",AU1822,"D=",AV1822,"R=",AW1822,"M=",AX1822,"L=",AY1822,"B=",AZ1822)</f>
        <v>MERRICK T=4D=0R=0M=0L=0B=0</v>
      </c>
      <c r="G1822" s="0" t="s">
        <v>1128</v>
      </c>
      <c r="I1822" s="0" t="s">
        <v>8167</v>
      </c>
      <c r="J1822" s="0" t="s">
        <v>1437</v>
      </c>
      <c r="K1822" s="0" t="s">
        <v>160</v>
      </c>
      <c r="M1822" s="0" t="s">
        <v>8168</v>
      </c>
      <c r="N1822" s="0" t="str">
        <f aca="false">RIGHT(M1822,LEN(M1822)-FIND(" ",M1822))</f>
        <v>OAK KNOLL AVE SE</v>
      </c>
      <c r="P1822" s="0" t="s">
        <v>145</v>
      </c>
      <c r="Q1822" s="0" t="s">
        <v>146</v>
      </c>
      <c r="R1822" s="0" t="n">
        <v>44483</v>
      </c>
      <c r="AD1822" s="0" t="s">
        <v>147</v>
      </c>
      <c r="AE1822" s="0" t="s">
        <v>148</v>
      </c>
      <c r="AF1822" s="0" t="s">
        <v>149</v>
      </c>
      <c r="AH1822" s="0" t="n">
        <v>14</v>
      </c>
      <c r="AI1822" s="0" t="n">
        <v>11</v>
      </c>
      <c r="AN1822" s="0" t="s">
        <v>145</v>
      </c>
      <c r="AO1822" s="0" t="s">
        <v>150</v>
      </c>
      <c r="AP1822" s="0" t="s">
        <v>151</v>
      </c>
      <c r="AQ1822" s="0" t="n">
        <v>9</v>
      </c>
      <c r="AR1822" s="0" t="n">
        <v>64</v>
      </c>
      <c r="AS1822" s="0" t="n">
        <v>32</v>
      </c>
      <c r="AU1822" s="0" t="n">
        <f aca="false">COUNTA($BA$317:$EH$317)</f>
        <v>4</v>
      </c>
      <c r="AV1822" s="0" t="n">
        <f aca="false">COUNTIF($BA$317:$EH$317,"D")</f>
        <v>0</v>
      </c>
      <c r="AW1822" s="0" t="n">
        <f aca="false">COUNTIF($BA$317:$EH$317,"R")</f>
        <v>0</v>
      </c>
      <c r="AX1822" s="0" t="n">
        <f aca="false">IF(BN1822="D",1,0)+IF(BO1822="D",1,0)+IF(BT1822="D",1,0)+IF(BU1822="D",1,0)+IF(BW1822="D",1,0)+IF(CC1822="D",1,0)+IF(CD1822="D",1,0)+IF(CE1822="D",1,0)+IF(CF1822="D",1,0)+IF(CL1822="D",1,0)+IF(CM1822="D",1,0)+IF(CQ1822="D",1,0)+IF(CR1822="D",1,0)+IF(CS1822="D",1,0)+IF(CW1822="D",1,0)+IF(CX1822="D",1,0)+IF(DD1822="D",1,0)+IF(DE1822="D",1,0)+IF(DJ1822="D",1,0)+IF(DK1822="D",1,0)+IF(DO1822="D",1,0)+IF(DP1822="D",1,0)+IF(DQ1822="D",1,0)+IF(DW1822="D",1,0)+IF(DZ1822="D",1,0)+IF(EH1822="D",1,0)</f>
        <v>0</v>
      </c>
      <c r="AY1822" s="0" t="n">
        <f aca="false">COUNTIF(DU1822:EH1822, "&lt;&gt;")</f>
        <v>0</v>
      </c>
      <c r="AZ1822" s="0" t="n">
        <f aca="false">IF(EH1822&lt;&gt;"",1,0)</f>
        <v>0</v>
      </c>
      <c r="BB1822" s="0" t="s">
        <v>152</v>
      </c>
      <c r="BD1822" s="0" t="s">
        <v>153</v>
      </c>
      <c r="BF1822" s="0" t="s">
        <v>153</v>
      </c>
      <c r="BL1822" s="0" t="s">
        <v>153</v>
      </c>
      <c r="BP1822" s="0" t="s">
        <v>153</v>
      </c>
      <c r="BY1822" s="0" t="s">
        <v>175</v>
      </c>
      <c r="CA1822" s="0" t="s">
        <v>153</v>
      </c>
      <c r="CG1822" s="0" t="s">
        <v>153</v>
      </c>
      <c r="CK1822" s="0" t="s">
        <v>153</v>
      </c>
      <c r="CP1822" s="0" t="s">
        <v>153</v>
      </c>
      <c r="DN1822" s="0" t="s">
        <v>153</v>
      </c>
    </row>
    <row r="1823" customFormat="false" ht="13.8" hidden="false" customHeight="false" outlineLevel="0" collapsed="false">
      <c r="A1823" s="0" t="s">
        <v>8169</v>
      </c>
      <c r="B1823" s="0" t="n">
        <v>78</v>
      </c>
      <c r="C1823" s="0" t="n">
        <v>366606</v>
      </c>
      <c r="D1823" s="0" t="s">
        <v>8170</v>
      </c>
      <c r="E1823" s="0" t="s">
        <v>558</v>
      </c>
      <c r="F1823" s="0" t="str">
        <f aca="false">CONCATENATE(D1823," ",LEFT(H1823,4),"T=",AU1823,"D=",AV1823,"R=",AW1823,"M=",AX1823,"L=",AY1823,"B=",AZ1823)</f>
        <v>BLOOM T=1D=0R=0M=1L=6B=0</v>
      </c>
      <c r="G1823" s="0" t="s">
        <v>3940</v>
      </c>
      <c r="I1823" s="0" t="s">
        <v>8171</v>
      </c>
      <c r="J1823" s="0" t="s">
        <v>8172</v>
      </c>
      <c r="K1823" s="0" t="s">
        <v>160</v>
      </c>
      <c r="L1823" s="0" t="s">
        <v>175</v>
      </c>
      <c r="M1823" s="0" t="s">
        <v>8168</v>
      </c>
      <c r="N1823" s="0" t="str">
        <f aca="false">RIGHT(M1823,LEN(M1823)-FIND(" ",M1823))</f>
        <v>OAK KNOLL AVE SE</v>
      </c>
      <c r="P1823" s="0" t="s">
        <v>145</v>
      </c>
      <c r="Q1823" s="0" t="s">
        <v>146</v>
      </c>
      <c r="R1823" s="0" t="n">
        <v>44483</v>
      </c>
      <c r="AD1823" s="0" t="s">
        <v>147</v>
      </c>
      <c r="AE1823" s="0" t="s">
        <v>148</v>
      </c>
      <c r="AF1823" s="0" t="s">
        <v>149</v>
      </c>
      <c r="AH1823" s="0" t="n">
        <v>14</v>
      </c>
      <c r="AI1823" s="0" t="n">
        <v>11</v>
      </c>
      <c r="AN1823" s="0" t="s">
        <v>145</v>
      </c>
      <c r="AO1823" s="0" t="s">
        <v>150</v>
      </c>
      <c r="AP1823" s="0" t="s">
        <v>151</v>
      </c>
      <c r="AQ1823" s="0" t="n">
        <v>9</v>
      </c>
      <c r="AR1823" s="0" t="n">
        <v>64</v>
      </c>
      <c r="AS1823" s="0" t="n">
        <v>32</v>
      </c>
      <c r="AU1823" s="0" t="n">
        <f aca="false">COUNTA($BA$521:$EH$521)</f>
        <v>1</v>
      </c>
      <c r="AV1823" s="0" t="n">
        <f aca="false">COUNTIF($BA$521:$EH$521,"D")</f>
        <v>0</v>
      </c>
      <c r="AW1823" s="0" t="n">
        <f aca="false">COUNTIF($BA$521:$EH$521,"R")</f>
        <v>0</v>
      </c>
      <c r="AX1823" s="0" t="n">
        <f aca="false">IF(BN1823="D",1,0)+IF(BO1823="D",1,0)+IF(BT1823="D",1,0)+IF(BU1823="D",1,0)+IF(BW1823="D",1,0)+IF(CC1823="D",1,0)+IF(CD1823="D",1,0)+IF(CE1823="D",1,0)+IF(CF1823="D",1,0)+IF(CL1823="D",1,0)+IF(CM1823="D",1,0)+IF(CQ1823="D",1,0)+IF(CR1823="D",1,0)+IF(CS1823="D",1,0)+IF(CW1823="D",1,0)+IF(CX1823="D",1,0)+IF(DD1823="D",1,0)+IF(DE1823="D",1,0)+IF(DJ1823="D",1,0)+IF(DK1823="D",1,0)+IF(DO1823="D",1,0)+IF(DP1823="D",1,0)+IF(DQ1823="D",1,0)+IF(DW1823="D",1,0)+IF(DZ1823="D",1,0)+IF(EH1823="D",1,0)</f>
        <v>1</v>
      </c>
      <c r="AY1823" s="0" t="n">
        <f aca="false">COUNTIF(DU1823:EH1823, "&lt;&gt;")</f>
        <v>6</v>
      </c>
      <c r="AZ1823" s="0" t="n">
        <f aca="false">IF(EH1823&lt;&gt;"",1,0)</f>
        <v>0</v>
      </c>
      <c r="BB1823" s="0" t="s">
        <v>152</v>
      </c>
      <c r="CP1823" s="0" t="s">
        <v>153</v>
      </c>
      <c r="CU1823" s="0" t="s">
        <v>175</v>
      </c>
      <c r="CV1823" s="0" t="s">
        <v>153</v>
      </c>
      <c r="CY1823" s="0" t="s">
        <v>153</v>
      </c>
      <c r="DC1823" s="0" t="s">
        <v>153</v>
      </c>
      <c r="DI1823" s="0" t="s">
        <v>153</v>
      </c>
      <c r="DL1823" s="0" t="s">
        <v>153</v>
      </c>
      <c r="DN1823" s="0" t="s">
        <v>153</v>
      </c>
      <c r="DR1823" s="0" t="s">
        <v>153</v>
      </c>
      <c r="DS1823" s="0" t="s">
        <v>175</v>
      </c>
      <c r="DU1823" s="0" t="s">
        <v>153</v>
      </c>
      <c r="DW1823" s="0" t="s">
        <v>175</v>
      </c>
      <c r="DX1823" s="0" t="s">
        <v>153</v>
      </c>
      <c r="EA1823" s="0" t="s">
        <v>153</v>
      </c>
      <c r="ED1823" s="0" t="s">
        <v>175</v>
      </c>
      <c r="EF1823" s="0" t="s">
        <v>153</v>
      </c>
    </row>
    <row r="1824" customFormat="false" ht="13.8" hidden="true" customHeight="false" outlineLevel="0" collapsed="false">
      <c r="A1824" s="0" t="s">
        <v>8173</v>
      </c>
      <c r="B1824" s="0" t="n">
        <v>78</v>
      </c>
      <c r="C1824" s="0" t="n">
        <v>407049</v>
      </c>
      <c r="D1824" s="0" t="s">
        <v>8166</v>
      </c>
      <c r="E1824" s="0" t="s">
        <v>248</v>
      </c>
      <c r="F1824" s="0" t="str">
        <f aca="false">CONCATENATE(D1824," ",LEFT(H1824,4),"T=",AU1824,"D=",AV1824,"R=",AW1824,"M=",AX1824,"L=",AY1824,"B=",AZ1824)</f>
        <v>MERRICK T=2D=0R=0M=0L=0B=0</v>
      </c>
      <c r="G1824" s="0" t="s">
        <v>195</v>
      </c>
      <c r="I1824" s="0" t="s">
        <v>8174</v>
      </c>
      <c r="J1824" s="0" t="s">
        <v>8175</v>
      </c>
      <c r="K1824" s="0" t="s">
        <v>143</v>
      </c>
      <c r="M1824" s="0" t="s">
        <v>8168</v>
      </c>
      <c r="N1824" s="0" t="str">
        <f aca="false">RIGHT(M1824,LEN(M1824)-FIND(" ",M1824))</f>
        <v>OAK KNOLL AVE SE</v>
      </c>
      <c r="P1824" s="0" t="s">
        <v>145</v>
      </c>
      <c r="Q1824" s="0" t="s">
        <v>146</v>
      </c>
      <c r="R1824" s="0" t="n">
        <v>44483</v>
      </c>
      <c r="AD1824" s="0" t="s">
        <v>147</v>
      </c>
      <c r="AE1824" s="0" t="s">
        <v>148</v>
      </c>
      <c r="AF1824" s="0" t="s">
        <v>149</v>
      </c>
      <c r="AH1824" s="0" t="n">
        <v>14</v>
      </c>
      <c r="AI1824" s="0" t="n">
        <v>11</v>
      </c>
      <c r="AN1824" s="0" t="s">
        <v>145</v>
      </c>
      <c r="AO1824" s="0" t="s">
        <v>150</v>
      </c>
      <c r="AP1824" s="0" t="s">
        <v>151</v>
      </c>
      <c r="AQ1824" s="0" t="n">
        <v>9</v>
      </c>
      <c r="AR1824" s="0" t="n">
        <v>64</v>
      </c>
      <c r="AS1824" s="0" t="n">
        <v>32</v>
      </c>
      <c r="AU1824" s="0" t="n">
        <f aca="false">COUNTA($BA$1048:$EH$1048)</f>
        <v>2</v>
      </c>
      <c r="AV1824" s="0" t="n">
        <f aca="false">COUNTIF($BA$1048:$EH$1048,"D")</f>
        <v>0</v>
      </c>
      <c r="AW1824" s="0" t="n">
        <f aca="false">COUNTIF($BA$1048:$EH$1048,"R")</f>
        <v>0</v>
      </c>
      <c r="AX1824" s="0" t="n">
        <f aca="false">IF(BN1824="D",1,0)+IF(BO1824="D",1,0)+IF(BT1824="D",1,0)+IF(BU1824="D",1,0)+IF(BW1824="D",1,0)+IF(CC1824="D",1,0)+IF(CD1824="D",1,0)+IF(CE1824="D",1,0)+IF(CF1824="D",1,0)+IF(CL1824="D",1,0)+IF(CM1824="D",1,0)+IF(CQ1824="D",1,0)+IF(CR1824="D",1,0)+IF(CS1824="D",1,0)+IF(CW1824="D",1,0)+IF(CX1824="D",1,0)+IF(DD1824="D",1,0)+IF(DE1824="D",1,0)+IF(DJ1824="D",1,0)+IF(DK1824="D",1,0)+IF(DO1824="D",1,0)+IF(DP1824="D",1,0)+IF(DQ1824="D",1,0)+IF(DW1824="D",1,0)+IF(DZ1824="D",1,0)+IF(EH1824="D",1,0)</f>
        <v>0</v>
      </c>
      <c r="AY1824" s="0" t="n">
        <f aca="false">COUNTIF(DU1824:EH1824, "&lt;&gt;")</f>
        <v>0</v>
      </c>
      <c r="AZ1824" s="0" t="n">
        <f aca="false">IF(EH1824&lt;&gt;"",1,0)</f>
        <v>0</v>
      </c>
      <c r="BB1824" s="0" t="s">
        <v>152</v>
      </c>
      <c r="BK1824" s="0" t="s">
        <v>153</v>
      </c>
      <c r="BL1824" s="0" t="s">
        <v>153</v>
      </c>
      <c r="BS1824" s="0" t="s">
        <v>153</v>
      </c>
      <c r="BY1824" s="0" t="s">
        <v>175</v>
      </c>
      <c r="CA1824" s="0" t="s">
        <v>153</v>
      </c>
      <c r="CG1824" s="0" t="s">
        <v>153</v>
      </c>
      <c r="CH1824" s="0" t="s">
        <v>175</v>
      </c>
      <c r="CK1824" s="0" t="s">
        <v>153</v>
      </c>
      <c r="CN1824" s="0" t="s">
        <v>153</v>
      </c>
      <c r="CO1824" s="0" t="s">
        <v>209</v>
      </c>
      <c r="CP1824" s="0" t="s">
        <v>153</v>
      </c>
      <c r="CY1824" s="0" t="s">
        <v>153</v>
      </c>
      <c r="DC1824" s="0" t="s">
        <v>153</v>
      </c>
    </row>
    <row r="1825" customFormat="false" ht="13.8" hidden="false" customHeight="false" outlineLevel="0" collapsed="false">
      <c r="A1825" s="0" t="s">
        <v>8176</v>
      </c>
      <c r="B1825" s="0" t="n">
        <v>78</v>
      </c>
      <c r="C1825" s="0" t="n">
        <v>391055</v>
      </c>
      <c r="D1825" s="0" t="s">
        <v>746</v>
      </c>
      <c r="E1825" s="0" t="s">
        <v>8177</v>
      </c>
      <c r="F1825" s="0" t="str">
        <f aca="false">CONCATENATE(D1825," ",LEFT(H1825,4),"T=",AU1825,"D=",AV1825,"R=",AW1825,"M=",AX1825,"L=",AY1825,"B=",AZ1825)</f>
        <v>SANDERS T=2D=0R=0M=0L=5B=0</v>
      </c>
      <c r="G1825" s="0" t="s">
        <v>164</v>
      </c>
      <c r="I1825" s="0" t="s">
        <v>8178</v>
      </c>
      <c r="J1825" s="0" t="s">
        <v>6448</v>
      </c>
      <c r="K1825" s="0" t="s">
        <v>160</v>
      </c>
      <c r="L1825" s="0" t="s">
        <v>209</v>
      </c>
      <c r="M1825" s="0" t="s">
        <v>8179</v>
      </c>
      <c r="N1825" s="0" t="str">
        <f aca="false">RIGHT(M1825,LEN(M1825)-FIND(" ",M1825))</f>
        <v>OAK KNOLL AVE SE</v>
      </c>
      <c r="P1825" s="0" t="s">
        <v>145</v>
      </c>
      <c r="Q1825" s="0" t="s">
        <v>146</v>
      </c>
      <c r="R1825" s="0" t="n">
        <v>44483</v>
      </c>
      <c r="AD1825" s="0" t="s">
        <v>147</v>
      </c>
      <c r="AE1825" s="0" t="s">
        <v>148</v>
      </c>
      <c r="AF1825" s="0" t="s">
        <v>149</v>
      </c>
      <c r="AH1825" s="0" t="n">
        <v>14</v>
      </c>
      <c r="AI1825" s="0" t="n">
        <v>11</v>
      </c>
      <c r="AN1825" s="0" t="s">
        <v>145</v>
      </c>
      <c r="AO1825" s="0" t="s">
        <v>150</v>
      </c>
      <c r="AP1825" s="0" t="s">
        <v>151</v>
      </c>
      <c r="AQ1825" s="0" t="n">
        <v>9</v>
      </c>
      <c r="AR1825" s="0" t="n">
        <v>64</v>
      </c>
      <c r="AS1825" s="0" t="n">
        <v>32</v>
      </c>
      <c r="AU1825" s="0" t="n">
        <f aca="false">COUNTA($BA$86:$EH$86)</f>
        <v>2</v>
      </c>
      <c r="AV1825" s="0" t="n">
        <f aca="false">COUNTIF($BA$86:$EH$86,"D")</f>
        <v>0</v>
      </c>
      <c r="AW1825" s="0" t="n">
        <f aca="false">COUNTIF($BA$86:$EH$86,"R")</f>
        <v>0</v>
      </c>
      <c r="AX1825" s="0" t="n">
        <f aca="false">IF(BN1825="D",1,0)+IF(BO1825="D",1,0)+IF(BT1825="D",1,0)+IF(BU1825="D",1,0)+IF(BW1825="D",1,0)+IF(CC1825="D",1,0)+IF(CD1825="D",1,0)+IF(CE1825="D",1,0)+IF(CF1825="D",1,0)+IF(CL1825="D",1,0)+IF(CM1825="D",1,0)+IF(CQ1825="D",1,0)+IF(CR1825="D",1,0)+IF(CS1825="D",1,0)+IF(CW1825="D",1,0)+IF(CX1825="D",1,0)+IF(DD1825="D",1,0)+IF(DE1825="D",1,0)+IF(DJ1825="D",1,0)+IF(DK1825="D",1,0)+IF(DO1825="D",1,0)+IF(DP1825="D",1,0)+IF(DQ1825="D",1,0)+IF(DW1825="D",1,0)+IF(DZ1825="D",1,0)+IF(EH1825="D",1,0)</f>
        <v>0</v>
      </c>
      <c r="AY1825" s="0" t="n">
        <f aca="false">COUNTIF(DU1825:EH1825, "&lt;&gt;")</f>
        <v>5</v>
      </c>
      <c r="AZ1825" s="0" t="n">
        <f aca="false">IF(EH1825&lt;&gt;"",1,0)</f>
        <v>0</v>
      </c>
      <c r="BB1825" s="0" t="s">
        <v>152</v>
      </c>
      <c r="CP1825" s="0" t="s">
        <v>153</v>
      </c>
      <c r="DC1825" s="0" t="s">
        <v>153</v>
      </c>
      <c r="DI1825" s="0" t="s">
        <v>153</v>
      </c>
      <c r="DN1825" s="0" t="s">
        <v>153</v>
      </c>
      <c r="DU1825" s="0" t="s">
        <v>153</v>
      </c>
      <c r="DX1825" s="0" t="s">
        <v>153</v>
      </c>
      <c r="EA1825" s="0" t="s">
        <v>153</v>
      </c>
      <c r="ED1825" s="0" t="s">
        <v>209</v>
      </c>
      <c r="EF1825" s="0" t="s">
        <v>153</v>
      </c>
    </row>
    <row r="1826" customFormat="false" ht="13.8" hidden="false" customHeight="false" outlineLevel="0" collapsed="false">
      <c r="A1826" s="0" t="s">
        <v>8180</v>
      </c>
      <c r="B1826" s="0" t="n">
        <v>78</v>
      </c>
      <c r="C1826" s="0" t="n">
        <v>387619</v>
      </c>
      <c r="D1826" s="0" t="s">
        <v>746</v>
      </c>
      <c r="E1826" s="0" t="s">
        <v>3018</v>
      </c>
      <c r="F1826" s="0" t="str">
        <f aca="false">CONCATENATE(D1826," ",LEFT(H1826,4),"T=",AU1826,"D=",AV1826,"R=",AW1826,"M=",AX1826,"L=",AY1826,"B=",AZ1826)</f>
        <v>SANDERS T=2D=0R=1M=0L=3B=0</v>
      </c>
      <c r="G1826" s="0" t="s">
        <v>164</v>
      </c>
      <c r="I1826" s="0" t="s">
        <v>8181</v>
      </c>
      <c r="J1826" s="0" t="s">
        <v>8182</v>
      </c>
      <c r="K1826" s="0" t="s">
        <v>160</v>
      </c>
      <c r="M1826" s="0" t="s">
        <v>8179</v>
      </c>
      <c r="N1826" s="0" t="str">
        <f aca="false">RIGHT(M1826,LEN(M1826)-FIND(" ",M1826))</f>
        <v>OAK KNOLL AVE SE</v>
      </c>
      <c r="P1826" s="0" t="s">
        <v>145</v>
      </c>
      <c r="Q1826" s="0" t="s">
        <v>146</v>
      </c>
      <c r="R1826" s="0" t="n">
        <v>44483</v>
      </c>
      <c r="AD1826" s="0" t="s">
        <v>147</v>
      </c>
      <c r="AE1826" s="0" t="s">
        <v>148</v>
      </c>
      <c r="AF1826" s="0" t="s">
        <v>149</v>
      </c>
      <c r="AH1826" s="0" t="n">
        <v>14</v>
      </c>
      <c r="AI1826" s="0" t="n">
        <v>11</v>
      </c>
      <c r="AN1826" s="0" t="s">
        <v>145</v>
      </c>
      <c r="AO1826" s="0" t="s">
        <v>150</v>
      </c>
      <c r="AP1826" s="0" t="s">
        <v>151</v>
      </c>
      <c r="AQ1826" s="0" t="n">
        <v>9</v>
      </c>
      <c r="AR1826" s="0" t="n">
        <v>64</v>
      </c>
      <c r="AS1826" s="0" t="n">
        <v>32</v>
      </c>
      <c r="AU1826" s="0" t="n">
        <f aca="false">COUNTA($BA$623:$EH$623)</f>
        <v>2</v>
      </c>
      <c r="AV1826" s="0" t="n">
        <f aca="false">COUNTIF($BA$623:$EH$623,"D")</f>
        <v>0</v>
      </c>
      <c r="AW1826" s="0" t="n">
        <f aca="false">COUNTIF($BA$623:$EH$623,"R")</f>
        <v>1</v>
      </c>
      <c r="AX1826" s="0" t="n">
        <f aca="false">IF(BN1826="D",1,0)+IF(BO1826="D",1,0)+IF(BT1826="D",1,0)+IF(BU1826="D",1,0)+IF(BW1826="D",1,0)+IF(CC1826="D",1,0)+IF(CD1826="D",1,0)+IF(CE1826="D",1,0)+IF(CF1826="D",1,0)+IF(CL1826="D",1,0)+IF(CM1826="D",1,0)+IF(CQ1826="D",1,0)+IF(CR1826="D",1,0)+IF(CS1826="D",1,0)+IF(CW1826="D",1,0)+IF(CX1826="D",1,0)+IF(DD1826="D",1,0)+IF(DE1826="D",1,0)+IF(DJ1826="D",1,0)+IF(DK1826="D",1,0)+IF(DO1826="D",1,0)+IF(DP1826="D",1,0)+IF(DQ1826="D",1,0)+IF(DW1826="D",1,0)+IF(DZ1826="D",1,0)+IF(EH1826="D",1,0)</f>
        <v>0</v>
      </c>
      <c r="AY1826" s="0" t="n">
        <f aca="false">COUNTIF(DU1826:EH1826, "&lt;&gt;")</f>
        <v>3</v>
      </c>
      <c r="AZ1826" s="0" t="n">
        <f aca="false">IF(EH1826&lt;&gt;"",1,0)</f>
        <v>0</v>
      </c>
      <c r="BB1826" s="0" t="s">
        <v>152</v>
      </c>
      <c r="CP1826" s="0" t="s">
        <v>153</v>
      </c>
      <c r="DC1826" s="0" t="s">
        <v>153</v>
      </c>
      <c r="DI1826" s="0" t="s">
        <v>153</v>
      </c>
      <c r="DN1826" s="0" t="s">
        <v>153</v>
      </c>
      <c r="DU1826" s="0" t="s">
        <v>153</v>
      </c>
      <c r="EA1826" s="0" t="s">
        <v>153</v>
      </c>
      <c r="EF1826" s="0" t="s">
        <v>153</v>
      </c>
    </row>
    <row r="1827" customFormat="false" ht="13.8" hidden="false" customHeight="false" outlineLevel="0" collapsed="false">
      <c r="A1827" s="0" t="s">
        <v>8183</v>
      </c>
      <c r="B1827" s="0" t="n">
        <v>78</v>
      </c>
      <c r="C1827" s="0" t="n">
        <v>387408</v>
      </c>
      <c r="D1827" s="0" t="s">
        <v>746</v>
      </c>
      <c r="E1827" s="0" t="s">
        <v>367</v>
      </c>
      <c r="F1827" s="0" t="str">
        <f aca="false">CONCATENATE(D1827," ",LEFT(H1827,4),"T=",AU1827,"D=",AV1827,"R=",AW1827,"M=",AX1827,"L=",AY1827,"B=",AZ1827)</f>
        <v>SANDERS T=3D=0R=0M=0L=5B=0</v>
      </c>
      <c r="G1827" s="0" t="s">
        <v>255</v>
      </c>
      <c r="I1827" s="0" t="s">
        <v>8184</v>
      </c>
      <c r="J1827" s="0" t="s">
        <v>8182</v>
      </c>
      <c r="K1827" s="0" t="s">
        <v>160</v>
      </c>
      <c r="L1827" s="0" t="s">
        <v>209</v>
      </c>
      <c r="M1827" s="0" t="s">
        <v>8179</v>
      </c>
      <c r="N1827" s="0" t="str">
        <f aca="false">RIGHT(M1827,LEN(M1827)-FIND(" ",M1827))</f>
        <v>OAK KNOLL AVE SE</v>
      </c>
      <c r="P1827" s="0" t="s">
        <v>145</v>
      </c>
      <c r="Q1827" s="0" t="s">
        <v>146</v>
      </c>
      <c r="R1827" s="0" t="n">
        <v>44483</v>
      </c>
      <c r="AD1827" s="0" t="s">
        <v>147</v>
      </c>
      <c r="AE1827" s="0" t="s">
        <v>148</v>
      </c>
      <c r="AF1827" s="0" t="s">
        <v>149</v>
      </c>
      <c r="AH1827" s="0" t="n">
        <v>14</v>
      </c>
      <c r="AI1827" s="0" t="n">
        <v>11</v>
      </c>
      <c r="AN1827" s="0" t="s">
        <v>145</v>
      </c>
      <c r="AO1827" s="0" t="s">
        <v>150</v>
      </c>
      <c r="AP1827" s="0" t="s">
        <v>151</v>
      </c>
      <c r="AQ1827" s="0" t="n">
        <v>9</v>
      </c>
      <c r="AR1827" s="0" t="n">
        <v>64</v>
      </c>
      <c r="AS1827" s="0" t="n">
        <v>32</v>
      </c>
      <c r="AU1827" s="0" t="n">
        <f aca="false">COUNTA($BA$626:$EH$626)</f>
        <v>3</v>
      </c>
      <c r="AV1827" s="0" t="n">
        <f aca="false">COUNTIF($BA$626:$EH$626,"D")</f>
        <v>0</v>
      </c>
      <c r="AW1827" s="0" t="n">
        <f aca="false">COUNTIF($BA$626:$EH$626,"R")</f>
        <v>0</v>
      </c>
      <c r="AX1827" s="0" t="n">
        <f aca="false">IF(BN1827="D",1,0)+IF(BO1827="D",1,0)+IF(BT1827="D",1,0)+IF(BU1827="D",1,0)+IF(BW1827="D",1,0)+IF(CC1827="D",1,0)+IF(CD1827="D",1,0)+IF(CE1827="D",1,0)+IF(CF1827="D",1,0)+IF(CL1827="D",1,0)+IF(CM1827="D",1,0)+IF(CQ1827="D",1,0)+IF(CR1827="D",1,0)+IF(CS1827="D",1,0)+IF(CW1827="D",1,0)+IF(CX1827="D",1,0)+IF(DD1827="D",1,0)+IF(DE1827="D",1,0)+IF(DJ1827="D",1,0)+IF(DK1827="D",1,0)+IF(DO1827="D",1,0)+IF(DP1827="D",1,0)+IF(DQ1827="D",1,0)+IF(DW1827="D",1,0)+IF(DZ1827="D",1,0)+IF(EH1827="D",1,0)</f>
        <v>0</v>
      </c>
      <c r="AY1827" s="0" t="n">
        <f aca="false">COUNTIF(DU1827:EH1827, "&lt;&gt;")</f>
        <v>5</v>
      </c>
      <c r="AZ1827" s="0" t="n">
        <f aca="false">IF(EH1827&lt;&gt;"",1,0)</f>
        <v>0</v>
      </c>
      <c r="BB1827" s="0" t="s">
        <v>152</v>
      </c>
      <c r="CP1827" s="0" t="s">
        <v>153</v>
      </c>
      <c r="DC1827" s="0" t="s">
        <v>153</v>
      </c>
      <c r="DI1827" s="0" t="s">
        <v>153</v>
      </c>
      <c r="DN1827" s="0" t="s">
        <v>153</v>
      </c>
      <c r="DU1827" s="0" t="s">
        <v>153</v>
      </c>
      <c r="DX1827" s="0" t="s">
        <v>153</v>
      </c>
      <c r="EA1827" s="0" t="s">
        <v>153</v>
      </c>
      <c r="ED1827" s="0" t="s">
        <v>209</v>
      </c>
      <c r="EF1827" s="0" t="s">
        <v>153</v>
      </c>
    </row>
    <row r="1828" customFormat="false" ht="13.8" hidden="true" customHeight="false" outlineLevel="0" collapsed="false">
      <c r="A1828" s="0" t="s">
        <v>8185</v>
      </c>
      <c r="B1828" s="0" t="n">
        <v>78</v>
      </c>
      <c r="C1828" s="0" t="n">
        <v>317041</v>
      </c>
      <c r="D1828" s="0" t="s">
        <v>8186</v>
      </c>
      <c r="E1828" s="0" t="s">
        <v>8187</v>
      </c>
      <c r="F1828" s="0" t="str">
        <f aca="false">CONCATENATE(D1828," ",LEFT(H1828,4),"T=",AU1828,"D=",AV1828,"R=",AW1828,"M=",AX1828,"L=",AY1828,"B=",AZ1828)</f>
        <v>HURST T=26D=3R=0M=0L=1B=0</v>
      </c>
      <c r="G1828" s="0" t="s">
        <v>175</v>
      </c>
      <c r="I1828" s="0" t="s">
        <v>8188</v>
      </c>
      <c r="J1828" s="0" t="s">
        <v>1050</v>
      </c>
      <c r="K1828" s="0" t="s">
        <v>160</v>
      </c>
      <c r="M1828" s="0" t="s">
        <v>8189</v>
      </c>
      <c r="N1828" s="0" t="str">
        <f aca="false">RIGHT(M1828,LEN(M1828)-FIND(" ",M1828))</f>
        <v>OAK KNOLL AVE SE</v>
      </c>
      <c r="P1828" s="0" t="s">
        <v>145</v>
      </c>
      <c r="Q1828" s="0" t="s">
        <v>146</v>
      </c>
      <c r="R1828" s="0" t="n">
        <v>44483</v>
      </c>
      <c r="AD1828" s="0" t="s">
        <v>147</v>
      </c>
      <c r="AE1828" s="0" t="s">
        <v>148</v>
      </c>
      <c r="AF1828" s="0" t="s">
        <v>149</v>
      </c>
      <c r="AH1828" s="0" t="n">
        <v>14</v>
      </c>
      <c r="AI1828" s="0" t="n">
        <v>11</v>
      </c>
      <c r="AN1828" s="0" t="s">
        <v>145</v>
      </c>
      <c r="AO1828" s="0" t="s">
        <v>150</v>
      </c>
      <c r="AP1828" s="0" t="s">
        <v>151</v>
      </c>
      <c r="AQ1828" s="0" t="n">
        <v>9</v>
      </c>
      <c r="AR1828" s="0" t="n">
        <v>64</v>
      </c>
      <c r="AS1828" s="0" t="n">
        <v>32</v>
      </c>
      <c r="AU1828" s="0" t="n">
        <f aca="false">COUNTA($BA$459:$EH$459)</f>
        <v>26</v>
      </c>
      <c r="AV1828" s="0" t="n">
        <f aca="false">COUNTIF($BA$459:$EH$459,"D")</f>
        <v>3</v>
      </c>
      <c r="AW1828" s="0" t="n">
        <f aca="false">COUNTIF($BA$459:$EH$459,"R")</f>
        <v>0</v>
      </c>
      <c r="AX1828" s="0" t="n">
        <f aca="false">IF(BN1828="D",1,0)+IF(BO1828="D",1,0)+IF(BT1828="D",1,0)+IF(BU1828="D",1,0)+IF(BW1828="D",1,0)+IF(CC1828="D",1,0)+IF(CD1828="D",1,0)+IF(CE1828="D",1,0)+IF(CF1828="D",1,0)+IF(CL1828="D",1,0)+IF(CM1828="D",1,0)+IF(CQ1828="D",1,0)+IF(CR1828="D",1,0)+IF(CS1828="D",1,0)+IF(CW1828="D",1,0)+IF(CX1828="D",1,0)+IF(DD1828="D",1,0)+IF(DE1828="D",1,0)+IF(DJ1828="D",1,0)+IF(DK1828="D",1,0)+IF(DO1828="D",1,0)+IF(DP1828="D",1,0)+IF(DQ1828="D",1,0)+IF(DW1828="D",1,0)+IF(DZ1828="D",1,0)+IF(EH1828="D",1,0)</f>
        <v>0</v>
      </c>
      <c r="AY1828" s="0" t="n">
        <f aca="false">COUNTIF(DU1828:EH1828, "&lt;&gt;")</f>
        <v>1</v>
      </c>
      <c r="AZ1828" s="0" t="n">
        <f aca="false">IF(EH1828&lt;&gt;"",1,0)</f>
        <v>0</v>
      </c>
      <c r="BB1828" s="0" t="s">
        <v>152</v>
      </c>
      <c r="BJ1828" s="0" t="s">
        <v>153</v>
      </c>
      <c r="BK1828" s="0" t="s">
        <v>153</v>
      </c>
      <c r="BL1828" s="0" t="s">
        <v>153</v>
      </c>
      <c r="EF1828" s="0" t="s">
        <v>153</v>
      </c>
    </row>
    <row r="1829" customFormat="false" ht="13.8" hidden="true" customHeight="false" outlineLevel="0" collapsed="false">
      <c r="A1829" s="0" t="s">
        <v>8190</v>
      </c>
      <c r="B1829" s="0" t="n">
        <v>78</v>
      </c>
      <c r="C1829" s="0" t="n">
        <v>395256</v>
      </c>
      <c r="D1829" s="0" t="s">
        <v>1504</v>
      </c>
      <c r="E1829" s="0" t="s">
        <v>8191</v>
      </c>
      <c r="F1829" s="0" t="str">
        <f aca="false">CONCATENATE(D1829," ",LEFT(H1829,4),"T=",AU1829,"D=",AV1829,"R=",AW1829,"M=",AX1829,"L=",AY1829,"B=",AZ1829)</f>
        <v>KING T=1D=0R=0M=0L=0B=0</v>
      </c>
      <c r="G1829" s="0" t="s">
        <v>8192</v>
      </c>
      <c r="I1829" s="0" t="s">
        <v>8193</v>
      </c>
      <c r="J1829" s="0" t="s">
        <v>688</v>
      </c>
      <c r="K1829" s="0" t="s">
        <v>143</v>
      </c>
      <c r="M1829" s="0" t="s">
        <v>8194</v>
      </c>
      <c r="N1829" s="0" t="str">
        <f aca="false">RIGHT(M1829,LEN(M1829)-FIND(" ",M1829))</f>
        <v>OAK KNOLL AVE SE</v>
      </c>
      <c r="P1829" s="0" t="s">
        <v>145</v>
      </c>
      <c r="Q1829" s="0" t="s">
        <v>146</v>
      </c>
      <c r="R1829" s="0" t="n">
        <v>44483</v>
      </c>
      <c r="AD1829" s="0" t="s">
        <v>147</v>
      </c>
      <c r="AE1829" s="0" t="s">
        <v>148</v>
      </c>
      <c r="AF1829" s="0" t="s">
        <v>149</v>
      </c>
      <c r="AH1829" s="0" t="n">
        <v>14</v>
      </c>
      <c r="AI1829" s="0" t="n">
        <v>11</v>
      </c>
      <c r="AN1829" s="0" t="s">
        <v>145</v>
      </c>
      <c r="AO1829" s="0" t="s">
        <v>150</v>
      </c>
      <c r="AP1829" s="0" t="s">
        <v>151</v>
      </c>
      <c r="AQ1829" s="0" t="n">
        <v>9</v>
      </c>
      <c r="AR1829" s="0" t="n">
        <v>64</v>
      </c>
      <c r="AS1829" s="0" t="n">
        <v>32</v>
      </c>
      <c r="AU1829" s="0" t="n">
        <f aca="false">COUNTA($BA$926:$EH$926)</f>
        <v>1</v>
      </c>
      <c r="AV1829" s="0" t="n">
        <f aca="false">COUNTIF($BA$926:$EH$926,"D")</f>
        <v>0</v>
      </c>
      <c r="AW1829" s="0" t="n">
        <f aca="false">COUNTIF($BA$926:$EH$926,"R")</f>
        <v>0</v>
      </c>
      <c r="AX1829" s="0" t="n">
        <f aca="false">IF(BN1829="D",1,0)+IF(BO1829="D",1,0)+IF(BT1829="D",1,0)+IF(BU1829="D",1,0)+IF(BW1829="D",1,0)+IF(CC1829="D",1,0)+IF(CD1829="D",1,0)+IF(CE1829="D",1,0)+IF(CF1829="D",1,0)+IF(CL1829="D",1,0)+IF(CM1829="D",1,0)+IF(CQ1829="D",1,0)+IF(CR1829="D",1,0)+IF(CS1829="D",1,0)+IF(CW1829="D",1,0)+IF(CX1829="D",1,0)+IF(DD1829="D",1,0)+IF(DE1829="D",1,0)+IF(DJ1829="D",1,0)+IF(DK1829="D",1,0)+IF(DO1829="D",1,0)+IF(DP1829="D",1,0)+IF(DQ1829="D",1,0)+IF(DW1829="D",1,0)+IF(DZ1829="D",1,0)+IF(EH1829="D",1,0)</f>
        <v>0</v>
      </c>
      <c r="AY1829" s="0" t="n">
        <f aca="false">COUNTIF(DU1829:EH1829, "&lt;&gt;")</f>
        <v>0</v>
      </c>
      <c r="AZ1829" s="0" t="n">
        <f aca="false">IF(EH1829&lt;&gt;"",1,0)</f>
        <v>0</v>
      </c>
      <c r="BB1829" s="0" t="s">
        <v>152</v>
      </c>
      <c r="DN1829" s="0" t="s">
        <v>153</v>
      </c>
    </row>
    <row r="1830" customFormat="false" ht="13.8" hidden="true" customHeight="false" outlineLevel="0" collapsed="false">
      <c r="A1830" s="0" t="s">
        <v>8195</v>
      </c>
      <c r="B1830" s="0" t="n">
        <v>78</v>
      </c>
      <c r="C1830" s="0" t="n">
        <v>483436</v>
      </c>
      <c r="D1830" s="0" t="s">
        <v>1466</v>
      </c>
      <c r="E1830" s="0" t="s">
        <v>373</v>
      </c>
      <c r="F1830" s="0" t="str">
        <f aca="false">CONCATENATE(D1830," ",LEFT(H1830,4),"T=",AU1830,"D=",AV1830,"R=",AW1830,"M=",AX1830,"L=",AY1830,"B=",AZ1830)</f>
        <v>JOHNSON T=2D=0R=0M=0L=1B=0</v>
      </c>
      <c r="G1830" s="0" t="s">
        <v>1031</v>
      </c>
      <c r="I1830" s="0" t="s">
        <v>8196</v>
      </c>
      <c r="J1830" s="0" t="s">
        <v>393</v>
      </c>
      <c r="K1830" s="0" t="s">
        <v>160</v>
      </c>
      <c r="M1830" s="0" t="s">
        <v>8197</v>
      </c>
      <c r="N1830" s="0" t="str">
        <f aca="false">RIGHT(M1830,LEN(M1830)-FIND(" ",M1830))</f>
        <v>OAK KNOLL AVE SE</v>
      </c>
      <c r="P1830" s="0" t="s">
        <v>145</v>
      </c>
      <c r="Q1830" s="0" t="s">
        <v>146</v>
      </c>
      <c r="R1830" s="0" t="n">
        <v>44483</v>
      </c>
      <c r="AD1830" s="0" t="s">
        <v>147</v>
      </c>
      <c r="AE1830" s="0" t="s">
        <v>148</v>
      </c>
      <c r="AF1830" s="0" t="s">
        <v>149</v>
      </c>
      <c r="AH1830" s="0" t="n">
        <v>14</v>
      </c>
      <c r="AI1830" s="0" t="n">
        <v>11</v>
      </c>
      <c r="AN1830" s="0" t="s">
        <v>145</v>
      </c>
      <c r="AO1830" s="0" t="s">
        <v>150</v>
      </c>
      <c r="AP1830" s="0" t="s">
        <v>151</v>
      </c>
      <c r="AQ1830" s="0" t="n">
        <v>9</v>
      </c>
      <c r="AR1830" s="0" t="n">
        <v>64</v>
      </c>
      <c r="AS1830" s="0" t="n">
        <v>32</v>
      </c>
      <c r="AU1830" s="0" t="n">
        <f aca="false">COUNTA($BA$471:$EH$471)</f>
        <v>2</v>
      </c>
      <c r="AV1830" s="0" t="n">
        <f aca="false">COUNTIF($BA$471:$EH$471,"D")</f>
        <v>0</v>
      </c>
      <c r="AW1830" s="0" t="n">
        <f aca="false">COUNTIF($BA$471:$EH$471,"R")</f>
        <v>0</v>
      </c>
      <c r="AX1830" s="0" t="n">
        <f aca="false">IF(BN1830="D",1,0)+IF(BO1830="D",1,0)+IF(BT1830="D",1,0)+IF(BU1830="D",1,0)+IF(BW1830="D",1,0)+IF(CC1830="D",1,0)+IF(CD1830="D",1,0)+IF(CE1830="D",1,0)+IF(CF1830="D",1,0)+IF(CL1830="D",1,0)+IF(CM1830="D",1,0)+IF(CQ1830="D",1,0)+IF(CR1830="D",1,0)+IF(CS1830="D",1,0)+IF(CW1830="D",1,0)+IF(CX1830="D",1,0)+IF(DD1830="D",1,0)+IF(DE1830="D",1,0)+IF(DJ1830="D",1,0)+IF(DK1830="D",1,0)+IF(DO1830="D",1,0)+IF(DP1830="D",1,0)+IF(DQ1830="D",1,0)+IF(DW1830="D",1,0)+IF(DZ1830="D",1,0)+IF(EH1830="D",1,0)</f>
        <v>0</v>
      </c>
      <c r="AY1830" s="0" t="n">
        <f aca="false">COUNTIF(DU1830:EH1830, "&lt;&gt;")</f>
        <v>1</v>
      </c>
      <c r="AZ1830" s="0" t="n">
        <f aca="false">IF(EH1830&lt;&gt;"",1,0)</f>
        <v>0</v>
      </c>
      <c r="BB1830" s="0" t="s">
        <v>152</v>
      </c>
      <c r="EF1830" s="0" t="s">
        <v>153</v>
      </c>
    </row>
    <row r="1831" customFormat="false" ht="13.8" hidden="true" customHeight="false" outlineLevel="0" collapsed="false">
      <c r="A1831" s="0" t="s">
        <v>8198</v>
      </c>
      <c r="B1831" s="0" t="n">
        <v>78</v>
      </c>
      <c r="C1831" s="0" t="n">
        <v>458928</v>
      </c>
      <c r="D1831" s="0" t="s">
        <v>8199</v>
      </c>
      <c r="E1831" s="0" t="s">
        <v>8200</v>
      </c>
      <c r="F1831" s="0" t="str">
        <f aca="false">CONCATENATE(D1831," ",LEFT(H1831,4),"T=",AU1831,"D=",AV1831,"R=",AW1831,"M=",AX1831,"L=",AY1831,"B=",AZ1831)</f>
        <v>BOGDEN T=1D=0R=0M=0L=0B=0</v>
      </c>
      <c r="G1831" s="0" t="s">
        <v>5764</v>
      </c>
      <c r="I1831" s="0" t="s">
        <v>8201</v>
      </c>
      <c r="J1831" s="0" t="s">
        <v>8202</v>
      </c>
      <c r="K1831" s="0" t="s">
        <v>143</v>
      </c>
      <c r="M1831" s="0" t="s">
        <v>8197</v>
      </c>
      <c r="N1831" s="0" t="str">
        <f aca="false">RIGHT(M1831,LEN(M1831)-FIND(" ",M1831))</f>
        <v>OAK KNOLL AVE SE</v>
      </c>
      <c r="P1831" s="0" t="s">
        <v>145</v>
      </c>
      <c r="Q1831" s="0" t="s">
        <v>146</v>
      </c>
      <c r="R1831" s="0" t="n">
        <v>44483</v>
      </c>
      <c r="AD1831" s="0" t="s">
        <v>147</v>
      </c>
      <c r="AE1831" s="0" t="s">
        <v>148</v>
      </c>
      <c r="AF1831" s="0" t="s">
        <v>149</v>
      </c>
      <c r="AH1831" s="0" t="n">
        <v>14</v>
      </c>
      <c r="AI1831" s="0" t="n">
        <v>11</v>
      </c>
      <c r="AN1831" s="0" t="s">
        <v>145</v>
      </c>
      <c r="AO1831" s="0" t="s">
        <v>150</v>
      </c>
      <c r="AP1831" s="0" t="s">
        <v>151</v>
      </c>
      <c r="AQ1831" s="0" t="n">
        <v>9</v>
      </c>
      <c r="AR1831" s="0" t="n">
        <v>64</v>
      </c>
      <c r="AS1831" s="0" t="n">
        <v>32</v>
      </c>
      <c r="AU1831" s="0" t="n">
        <f aca="false">COUNTA($BA$1025:$EH$1025)</f>
        <v>1</v>
      </c>
      <c r="AV1831" s="0" t="n">
        <f aca="false">COUNTIF($BA$1025:$EH$1025,"D")</f>
        <v>0</v>
      </c>
      <c r="AW1831" s="0" t="n">
        <f aca="false">COUNTIF($BA$1025:$EH$1025,"R")</f>
        <v>0</v>
      </c>
      <c r="AX1831" s="0" t="n">
        <f aca="false">IF(BN1831="D",1,0)+IF(BO1831="D",1,0)+IF(BT1831="D",1,0)+IF(BU1831="D",1,0)+IF(BW1831="D",1,0)+IF(CC1831="D",1,0)+IF(CD1831="D",1,0)+IF(CE1831="D",1,0)+IF(CF1831="D",1,0)+IF(CL1831="D",1,0)+IF(CM1831="D",1,0)+IF(CQ1831="D",1,0)+IF(CR1831="D",1,0)+IF(CS1831="D",1,0)+IF(CW1831="D",1,0)+IF(CX1831="D",1,0)+IF(DD1831="D",1,0)+IF(DE1831="D",1,0)+IF(DJ1831="D",1,0)+IF(DK1831="D",1,0)+IF(DO1831="D",1,0)+IF(DP1831="D",1,0)+IF(DQ1831="D",1,0)+IF(DW1831="D",1,0)+IF(DZ1831="D",1,0)+IF(EH1831="D",1,0)</f>
        <v>0</v>
      </c>
      <c r="AY1831" s="0" t="n">
        <f aca="false">COUNTIF(DU1831:EH1831, "&lt;&gt;")</f>
        <v>0</v>
      </c>
      <c r="AZ1831" s="0" t="n">
        <f aca="false">IF(EH1831&lt;&gt;"",1,0)</f>
        <v>0</v>
      </c>
      <c r="BB1831" s="0" t="s">
        <v>152</v>
      </c>
    </row>
    <row r="1832" customFormat="false" ht="13.8" hidden="false" customHeight="false" outlineLevel="0" collapsed="false">
      <c r="A1832" s="0" t="s">
        <v>8203</v>
      </c>
      <c r="B1832" s="0" t="n">
        <v>78</v>
      </c>
      <c r="C1832" s="0" t="n">
        <v>415980</v>
      </c>
      <c r="D1832" s="0" t="s">
        <v>193</v>
      </c>
      <c r="E1832" s="0" t="s">
        <v>6386</v>
      </c>
      <c r="F1832" s="0" t="str">
        <f aca="false">CONCATENATE(D1832," ",LEFT(H1832,4),"T=",AU1832,"D=",AV1832,"R=",AW1832,"M=",AX1832,"L=",AY1832,"B=",AZ1832)</f>
        <v>MORGAN T=24D=4R=3M=0L=2B=0</v>
      </c>
      <c r="G1832" s="0" t="s">
        <v>275</v>
      </c>
      <c r="I1832" s="0" t="s">
        <v>8204</v>
      </c>
      <c r="J1832" s="0" t="s">
        <v>8205</v>
      </c>
      <c r="K1832" s="0" t="s">
        <v>160</v>
      </c>
      <c r="M1832" s="0" t="s">
        <v>8206</v>
      </c>
      <c r="N1832" s="0" t="str">
        <f aca="false">RIGHT(M1832,LEN(M1832)-FIND(" ",M1832))</f>
        <v>OAK KNOLL AVE SE</v>
      </c>
      <c r="P1832" s="0" t="s">
        <v>145</v>
      </c>
      <c r="Q1832" s="0" t="s">
        <v>146</v>
      </c>
      <c r="R1832" s="0" t="n">
        <v>44483</v>
      </c>
      <c r="AD1832" s="0" t="s">
        <v>147</v>
      </c>
      <c r="AE1832" s="0" t="s">
        <v>148</v>
      </c>
      <c r="AF1832" s="0" t="s">
        <v>149</v>
      </c>
      <c r="AH1832" s="0" t="n">
        <v>14</v>
      </c>
      <c r="AI1832" s="0" t="n">
        <v>11</v>
      </c>
      <c r="AN1832" s="0" t="s">
        <v>145</v>
      </c>
      <c r="AO1832" s="0" t="s">
        <v>150</v>
      </c>
      <c r="AP1832" s="0" t="s">
        <v>151</v>
      </c>
      <c r="AQ1832" s="0" t="n">
        <v>9</v>
      </c>
      <c r="AR1832" s="0" t="n">
        <v>64</v>
      </c>
      <c r="AS1832" s="0" t="n">
        <v>32</v>
      </c>
      <c r="AU1832" s="0" t="n">
        <f aca="false">COUNTA($BA$57:$EH$57)</f>
        <v>24</v>
      </c>
      <c r="AV1832" s="0" t="n">
        <f aca="false">COUNTIF($BA$57:$EH$57,"D")</f>
        <v>4</v>
      </c>
      <c r="AW1832" s="0" t="n">
        <f aca="false">COUNTIF($BA$57:$EH$57,"R")</f>
        <v>3</v>
      </c>
      <c r="AX1832" s="0" t="n">
        <f aca="false">IF(BN1832="D",1,0)+IF(BO1832="D",1,0)+IF(BT1832="D",1,0)+IF(BU1832="D",1,0)+IF(BW1832="D",1,0)+IF(CC1832="D",1,0)+IF(CD1832="D",1,0)+IF(CE1832="D",1,0)+IF(CF1832="D",1,0)+IF(CL1832="D",1,0)+IF(CM1832="D",1,0)+IF(CQ1832="D",1,0)+IF(CR1832="D",1,0)+IF(CS1832="D",1,0)+IF(CW1832="D",1,0)+IF(CX1832="D",1,0)+IF(DD1832="D",1,0)+IF(DE1832="D",1,0)+IF(DJ1832="D",1,0)+IF(DK1832="D",1,0)+IF(DO1832="D",1,0)+IF(DP1832="D",1,0)+IF(DQ1832="D",1,0)+IF(DW1832="D",1,0)+IF(DZ1832="D",1,0)+IF(EH1832="D",1,0)</f>
        <v>0</v>
      </c>
      <c r="AY1832" s="0" t="n">
        <f aca="false">COUNTIF(DU1832:EH1832, "&lt;&gt;")</f>
        <v>2</v>
      </c>
      <c r="AZ1832" s="0" t="n">
        <f aca="false">IF(EH1832&lt;&gt;"",1,0)</f>
        <v>0</v>
      </c>
      <c r="BB1832" s="0" t="s">
        <v>152</v>
      </c>
      <c r="DC1832" s="0" t="s">
        <v>153</v>
      </c>
      <c r="DI1832" s="0" t="s">
        <v>153</v>
      </c>
      <c r="DU1832" s="0" t="s">
        <v>153</v>
      </c>
      <c r="DX1832" s="0" t="s">
        <v>153</v>
      </c>
    </row>
    <row r="1833" customFormat="false" ht="13.8" hidden="false" customHeight="false" outlineLevel="0" collapsed="false">
      <c r="A1833" s="0" t="s">
        <v>8207</v>
      </c>
      <c r="B1833" s="0" t="n">
        <v>78</v>
      </c>
      <c r="C1833" s="0" t="n">
        <v>433516</v>
      </c>
      <c r="D1833" s="0" t="s">
        <v>193</v>
      </c>
      <c r="E1833" s="0" t="s">
        <v>8208</v>
      </c>
      <c r="F1833" s="0" t="str">
        <f aca="false">CONCATENATE(D1833," ",LEFT(H1833,4),"T=",AU1833,"D=",AV1833,"R=",AW1833,"M=",AX1833,"L=",AY1833,"B=",AZ1833)</f>
        <v>MORGAN T=1D=0R=0M=0L=3B=0</v>
      </c>
      <c r="G1833" s="0" t="s">
        <v>522</v>
      </c>
      <c r="I1833" s="0" t="s">
        <v>8209</v>
      </c>
      <c r="J1833" s="0" t="s">
        <v>8210</v>
      </c>
      <c r="K1833" s="0" t="s">
        <v>160</v>
      </c>
      <c r="M1833" s="0" t="s">
        <v>8206</v>
      </c>
      <c r="N1833" s="0" t="str">
        <f aca="false">RIGHT(M1833,LEN(M1833)-FIND(" ",M1833))</f>
        <v>OAK KNOLL AVE SE</v>
      </c>
      <c r="P1833" s="0" t="s">
        <v>145</v>
      </c>
      <c r="Q1833" s="0" t="s">
        <v>146</v>
      </c>
      <c r="R1833" s="0" t="n">
        <v>44483</v>
      </c>
      <c r="AD1833" s="0" t="s">
        <v>147</v>
      </c>
      <c r="AE1833" s="0" t="s">
        <v>148</v>
      </c>
      <c r="AF1833" s="0" t="s">
        <v>149</v>
      </c>
      <c r="AH1833" s="0" t="n">
        <v>14</v>
      </c>
      <c r="AI1833" s="0" t="n">
        <v>11</v>
      </c>
      <c r="AN1833" s="0" t="s">
        <v>145</v>
      </c>
      <c r="AO1833" s="0" t="s">
        <v>150</v>
      </c>
      <c r="AP1833" s="0" t="s">
        <v>151</v>
      </c>
      <c r="AQ1833" s="0" t="n">
        <v>9</v>
      </c>
      <c r="AR1833" s="0" t="n">
        <v>64</v>
      </c>
      <c r="AS1833" s="0" t="n">
        <v>32</v>
      </c>
      <c r="AU1833" s="0" t="n">
        <f aca="false">COUNTA($BA$595:$EH$595)</f>
        <v>1</v>
      </c>
      <c r="AV1833" s="0" t="n">
        <f aca="false">COUNTIF($BA$595:$EH$595,"D")</f>
        <v>0</v>
      </c>
      <c r="AW1833" s="0" t="n">
        <f aca="false">COUNTIF($BA$595:$EH$595,"R")</f>
        <v>0</v>
      </c>
      <c r="AX1833" s="0" t="n">
        <f aca="false">IF(BN1833="D",1,0)+IF(BO1833="D",1,0)+IF(BT1833="D",1,0)+IF(BU1833="D",1,0)+IF(BW1833="D",1,0)+IF(CC1833="D",1,0)+IF(CD1833="D",1,0)+IF(CE1833="D",1,0)+IF(CF1833="D",1,0)+IF(CL1833="D",1,0)+IF(CM1833="D",1,0)+IF(CQ1833="D",1,0)+IF(CR1833="D",1,0)+IF(CS1833="D",1,0)+IF(CW1833="D",1,0)+IF(CX1833="D",1,0)+IF(DD1833="D",1,0)+IF(DE1833="D",1,0)+IF(DJ1833="D",1,0)+IF(DK1833="D",1,0)+IF(DO1833="D",1,0)+IF(DP1833="D",1,0)+IF(DQ1833="D",1,0)+IF(DW1833="D",1,0)+IF(DZ1833="D",1,0)+IF(EH1833="D",1,0)</f>
        <v>0</v>
      </c>
      <c r="AY1833" s="0" t="n">
        <f aca="false">COUNTIF(DU1833:EH1833, "&lt;&gt;")</f>
        <v>3</v>
      </c>
      <c r="AZ1833" s="0" t="n">
        <f aca="false">IF(EH1833&lt;&gt;"",1,0)</f>
        <v>0</v>
      </c>
      <c r="BB1833" s="0" t="s">
        <v>152</v>
      </c>
      <c r="DI1833" s="0" t="s">
        <v>153</v>
      </c>
      <c r="DX1833" s="0" t="s">
        <v>153</v>
      </c>
      <c r="EA1833" s="0" t="s">
        <v>153</v>
      </c>
      <c r="EF1833" s="0" t="s">
        <v>153</v>
      </c>
    </row>
    <row r="1834" customFormat="false" ht="13.8" hidden="true" customHeight="false" outlineLevel="0" collapsed="false">
      <c r="A1834" s="0" t="s">
        <v>8211</v>
      </c>
      <c r="B1834" s="0" t="n">
        <v>78</v>
      </c>
      <c r="C1834" s="0" t="n">
        <v>268928</v>
      </c>
      <c r="D1834" s="0" t="s">
        <v>2250</v>
      </c>
      <c r="E1834" s="0" t="s">
        <v>8212</v>
      </c>
      <c r="F1834" s="0" t="str">
        <f aca="false">CONCATENATE(D1834," ",LEFT(H1834,4),"T=",AU1834,"D=",AV1834,"R=",AW1834,"M=",AX1834,"L=",AY1834,"B=",AZ1834)</f>
        <v>RODRIGUEZ T=26D=9R=0M=0L=1B=0</v>
      </c>
      <c r="I1834" s="0" t="s">
        <v>8213</v>
      </c>
      <c r="J1834" s="0" t="s">
        <v>8214</v>
      </c>
      <c r="K1834" s="0" t="s">
        <v>160</v>
      </c>
      <c r="M1834" s="0" t="s">
        <v>8206</v>
      </c>
      <c r="N1834" s="0" t="str">
        <f aca="false">RIGHT(M1834,LEN(M1834)-FIND(" ",M1834))</f>
        <v>OAK KNOLL AVE SE</v>
      </c>
      <c r="P1834" s="0" t="s">
        <v>145</v>
      </c>
      <c r="Q1834" s="0" t="s">
        <v>146</v>
      </c>
      <c r="R1834" s="0" t="n">
        <v>44483</v>
      </c>
      <c r="AD1834" s="0" t="s">
        <v>147</v>
      </c>
      <c r="AE1834" s="0" t="s">
        <v>148</v>
      </c>
      <c r="AF1834" s="0" t="s">
        <v>149</v>
      </c>
      <c r="AH1834" s="0" t="n">
        <v>14</v>
      </c>
      <c r="AI1834" s="0" t="n">
        <v>11</v>
      </c>
      <c r="AN1834" s="0" t="s">
        <v>145</v>
      </c>
      <c r="AO1834" s="0" t="s">
        <v>150</v>
      </c>
      <c r="AP1834" s="0" t="s">
        <v>151</v>
      </c>
      <c r="AQ1834" s="0" t="n">
        <v>9</v>
      </c>
      <c r="AR1834" s="0" t="n">
        <v>64</v>
      </c>
      <c r="AS1834" s="0" t="n">
        <v>32</v>
      </c>
      <c r="AU1834" s="0" t="n">
        <f aca="false">COUNTA($BA$1079:$EH$1079)</f>
        <v>26</v>
      </c>
      <c r="AV1834" s="0" t="n">
        <f aca="false">COUNTIF($BA$1079:$EH$1079,"D")</f>
        <v>9</v>
      </c>
      <c r="AW1834" s="0" t="n">
        <f aca="false">COUNTIF($BA$1079:$EH$1079,"R")</f>
        <v>0</v>
      </c>
      <c r="AX1834" s="0" t="n">
        <f aca="false">IF(BN1834="D",1,0)+IF(BO1834="D",1,0)+IF(BT1834="D",1,0)+IF(BU1834="D",1,0)+IF(BW1834="D",1,0)+IF(CC1834="D",1,0)+IF(CD1834="D",1,0)+IF(CE1834="D",1,0)+IF(CF1834="D",1,0)+IF(CL1834="D",1,0)+IF(CM1834="D",1,0)+IF(CQ1834="D",1,0)+IF(CR1834="D",1,0)+IF(CS1834="D",1,0)+IF(CW1834="D",1,0)+IF(CX1834="D",1,0)+IF(DD1834="D",1,0)+IF(DE1834="D",1,0)+IF(DJ1834="D",1,0)+IF(DK1834="D",1,0)+IF(DO1834="D",1,0)+IF(DP1834="D",1,0)+IF(DQ1834="D",1,0)+IF(DW1834="D",1,0)+IF(DZ1834="D",1,0)+IF(EH1834="D",1,0)</f>
        <v>0</v>
      </c>
      <c r="AY1834" s="0" t="n">
        <f aca="false">COUNTIF(DU1834:EH1834, "&lt;&gt;")</f>
        <v>1</v>
      </c>
      <c r="AZ1834" s="0" t="n">
        <f aca="false">IF(EH1834&lt;&gt;"",1,0)</f>
        <v>0</v>
      </c>
      <c r="BB1834" s="0" t="s">
        <v>152</v>
      </c>
      <c r="CP1834" s="0" t="s">
        <v>153</v>
      </c>
      <c r="CY1834" s="0" t="s">
        <v>153</v>
      </c>
      <c r="CZ1834" s="0" t="s">
        <v>175</v>
      </c>
      <c r="DI1834" s="0" t="s">
        <v>153</v>
      </c>
      <c r="EF1834" s="0" t="s">
        <v>153</v>
      </c>
    </row>
    <row r="1835" customFormat="false" ht="13.8" hidden="false" customHeight="false" outlineLevel="0" collapsed="false">
      <c r="A1835" s="0" t="s">
        <v>8215</v>
      </c>
      <c r="B1835" s="0" t="n">
        <v>78</v>
      </c>
      <c r="C1835" s="0" t="n">
        <v>391084</v>
      </c>
      <c r="D1835" s="0" t="s">
        <v>8216</v>
      </c>
      <c r="E1835" s="0" t="s">
        <v>8217</v>
      </c>
      <c r="F1835" s="0" t="str">
        <f aca="false">CONCATENATE(D1835," ",LEFT(H1835,4),"T=",AU1835,"D=",AV1835,"R=",AW1835,"M=",AX1835,"L=",AY1835,"B=",AZ1835)</f>
        <v>CROSS T=1D=0R=0M=2L=3B=1</v>
      </c>
      <c r="G1835" s="0" t="s">
        <v>190</v>
      </c>
      <c r="I1835" s="0" t="s">
        <v>430</v>
      </c>
      <c r="J1835" s="0" t="s">
        <v>2061</v>
      </c>
      <c r="K1835" s="0" t="s">
        <v>160</v>
      </c>
      <c r="L1835" s="0" t="s">
        <v>175</v>
      </c>
      <c r="M1835" s="0" t="s">
        <v>8218</v>
      </c>
      <c r="N1835" s="0" t="str">
        <f aca="false">RIGHT(M1835,LEN(M1835)-FIND(" ",M1835))</f>
        <v>OAK KNOLL AVE SE</v>
      </c>
      <c r="P1835" s="0" t="s">
        <v>145</v>
      </c>
      <c r="Q1835" s="0" t="s">
        <v>146</v>
      </c>
      <c r="R1835" s="0" t="n">
        <v>44483</v>
      </c>
      <c r="AD1835" s="0" t="s">
        <v>147</v>
      </c>
      <c r="AE1835" s="0" t="s">
        <v>148</v>
      </c>
      <c r="AF1835" s="0" t="s">
        <v>149</v>
      </c>
      <c r="AH1835" s="0" t="n">
        <v>14</v>
      </c>
      <c r="AI1835" s="0" t="n">
        <v>11</v>
      </c>
      <c r="AN1835" s="0" t="s">
        <v>145</v>
      </c>
      <c r="AO1835" s="0" t="s">
        <v>150</v>
      </c>
      <c r="AP1835" s="0" t="s">
        <v>151</v>
      </c>
      <c r="AQ1835" s="0" t="n">
        <v>9</v>
      </c>
      <c r="AR1835" s="0" t="n">
        <v>64</v>
      </c>
      <c r="AS1835" s="0" t="n">
        <v>32</v>
      </c>
      <c r="AU1835" s="0" t="n">
        <f aca="false">COUNTA($BA$614:$EH$614)</f>
        <v>1</v>
      </c>
      <c r="AV1835" s="0" t="n">
        <f aca="false">COUNTIF($BA$614:$EH$614,"D")</f>
        <v>0</v>
      </c>
      <c r="AW1835" s="0" t="n">
        <f aca="false">COUNTIF($BA$614:$EH$614,"R")</f>
        <v>0</v>
      </c>
      <c r="AX1835" s="0" t="n">
        <f aca="false">IF(BN1835="D",1,0)+IF(BO1835="D",1,0)+IF(BT1835="D",1,0)+IF(BU1835="D",1,0)+IF(BW1835="D",1,0)+IF(CC1835="D",1,0)+IF(CD1835="D",1,0)+IF(CE1835="D",1,0)+IF(CF1835="D",1,0)+IF(CL1835="D",1,0)+IF(CM1835="D",1,0)+IF(CQ1835="D",1,0)+IF(CR1835="D",1,0)+IF(CS1835="D",1,0)+IF(CW1835="D",1,0)+IF(CX1835="D",1,0)+IF(DD1835="D",1,0)+IF(DE1835="D",1,0)+IF(DJ1835="D",1,0)+IF(DK1835="D",1,0)+IF(DO1835="D",1,0)+IF(DP1835="D",1,0)+IF(DQ1835="D",1,0)+IF(DW1835="D",1,0)+IF(DZ1835="D",1,0)+IF(EH1835="D",1,0)</f>
        <v>2</v>
      </c>
      <c r="AY1835" s="0" t="n">
        <f aca="false">COUNTIF(DU1835:EH1835, "&lt;&gt;")</f>
        <v>3</v>
      </c>
      <c r="AZ1835" s="0" t="n">
        <f aca="false">IF(EH1835&lt;&gt;"",1,0)</f>
        <v>1</v>
      </c>
      <c r="BB1835" s="0" t="s">
        <v>152</v>
      </c>
      <c r="CP1835" s="0" t="s">
        <v>153</v>
      </c>
      <c r="DN1835" s="0" t="s">
        <v>153</v>
      </c>
      <c r="DW1835" s="0" t="s">
        <v>175</v>
      </c>
      <c r="EF1835" s="0" t="s">
        <v>153</v>
      </c>
      <c r="EH1835" s="0" t="s">
        <v>175</v>
      </c>
    </row>
    <row r="1836" customFormat="false" ht="13.8" hidden="true" customHeight="false" outlineLevel="0" collapsed="false">
      <c r="A1836" s="0" t="s">
        <v>8219</v>
      </c>
      <c r="B1836" s="0" t="n">
        <v>78</v>
      </c>
      <c r="C1836" s="0" t="n">
        <v>460400</v>
      </c>
      <c r="D1836" s="0" t="s">
        <v>8220</v>
      </c>
      <c r="E1836" s="0" t="s">
        <v>3017</v>
      </c>
      <c r="F1836" s="0" t="str">
        <f aca="false">CONCATENATE(D1836," ",LEFT(H1836,4),"T=",AU1836,"D=",AV1836,"R=",AW1836,"M=",AX1836,"L=",AY1836,"B=",AZ1836)</f>
        <v>MARCH T=2D=0R=0M=0L=1B=0</v>
      </c>
      <c r="G1836" s="0" t="s">
        <v>1183</v>
      </c>
      <c r="I1836" s="0" t="s">
        <v>8221</v>
      </c>
      <c r="J1836" s="0" t="s">
        <v>3957</v>
      </c>
      <c r="K1836" s="0" t="s">
        <v>160</v>
      </c>
      <c r="M1836" s="0" t="s">
        <v>8222</v>
      </c>
      <c r="N1836" s="0" t="str">
        <f aca="false">RIGHT(M1836,LEN(M1836)-FIND(" ",M1836))</f>
        <v>OAK KNOLL AVE SE</v>
      </c>
      <c r="P1836" s="0" t="s">
        <v>145</v>
      </c>
      <c r="Q1836" s="0" t="s">
        <v>146</v>
      </c>
      <c r="R1836" s="0" t="n">
        <v>44483</v>
      </c>
      <c r="AD1836" s="0" t="s">
        <v>147</v>
      </c>
      <c r="AE1836" s="0" t="s">
        <v>148</v>
      </c>
      <c r="AF1836" s="0" t="s">
        <v>149</v>
      </c>
      <c r="AH1836" s="0" t="n">
        <v>14</v>
      </c>
      <c r="AI1836" s="0" t="n">
        <v>11</v>
      </c>
      <c r="AN1836" s="0" t="s">
        <v>145</v>
      </c>
      <c r="AO1836" s="0" t="s">
        <v>150</v>
      </c>
      <c r="AP1836" s="0" t="s">
        <v>151</v>
      </c>
      <c r="AQ1836" s="0" t="n">
        <v>9</v>
      </c>
      <c r="AR1836" s="0" t="n">
        <v>64</v>
      </c>
      <c r="AS1836" s="0" t="n">
        <v>32</v>
      </c>
      <c r="AU1836" s="0" t="n">
        <f aca="false">COUNTA($BA$389:$EH$389)</f>
        <v>2</v>
      </c>
      <c r="AV1836" s="0" t="n">
        <f aca="false">COUNTIF($BA$389:$EH$389,"D")</f>
        <v>0</v>
      </c>
      <c r="AW1836" s="0" t="n">
        <f aca="false">COUNTIF($BA$389:$EH$389,"R")</f>
        <v>0</v>
      </c>
      <c r="AX1836" s="0" t="n">
        <f aca="false">IF(BN1836="D",1,0)+IF(BO1836="D",1,0)+IF(BT1836="D",1,0)+IF(BU1836="D",1,0)+IF(BW1836="D",1,0)+IF(CC1836="D",1,0)+IF(CD1836="D",1,0)+IF(CE1836="D",1,0)+IF(CF1836="D",1,0)+IF(CL1836="D",1,0)+IF(CM1836="D",1,0)+IF(CQ1836="D",1,0)+IF(CR1836="D",1,0)+IF(CS1836="D",1,0)+IF(CW1836="D",1,0)+IF(CX1836="D",1,0)+IF(DD1836="D",1,0)+IF(DE1836="D",1,0)+IF(DJ1836="D",1,0)+IF(DK1836="D",1,0)+IF(DO1836="D",1,0)+IF(DP1836="D",1,0)+IF(DQ1836="D",1,0)+IF(DW1836="D",1,0)+IF(DZ1836="D",1,0)+IF(EH1836="D",1,0)</f>
        <v>0</v>
      </c>
      <c r="AY1836" s="0" t="n">
        <f aca="false">COUNTIF(DU1836:EH1836, "&lt;&gt;")</f>
        <v>1</v>
      </c>
      <c r="AZ1836" s="0" t="n">
        <f aca="false">IF(EH1836&lt;&gt;"",1,0)</f>
        <v>0</v>
      </c>
      <c r="BB1836" s="0" t="s">
        <v>152</v>
      </c>
      <c r="EA1836" s="0" t="s">
        <v>153</v>
      </c>
    </row>
    <row r="1837" customFormat="false" ht="13.8" hidden="true" customHeight="false" outlineLevel="0" collapsed="false">
      <c r="A1837" s="0" t="s">
        <v>8223</v>
      </c>
      <c r="B1837" s="0" t="n">
        <v>78</v>
      </c>
      <c r="C1837" s="0" t="n">
        <v>449409</v>
      </c>
      <c r="D1837" s="0" t="s">
        <v>3935</v>
      </c>
      <c r="E1837" s="0" t="s">
        <v>796</v>
      </c>
      <c r="F1837" s="0" t="str">
        <f aca="false">CONCATENATE(D1837," ",LEFT(H1837,4),"T=",AU1837,"D=",AV1837,"R=",AW1837,"M=",AX1837,"L=",AY1837,"B=",AZ1837)</f>
        <v>PETERSON T=44D=12R=0M=0L=1B=0</v>
      </c>
      <c r="G1837" s="0" t="s">
        <v>2049</v>
      </c>
      <c r="I1837" s="0" t="s">
        <v>8224</v>
      </c>
      <c r="J1837" s="0" t="s">
        <v>903</v>
      </c>
      <c r="K1837" s="0" t="s">
        <v>160</v>
      </c>
      <c r="M1837" s="0" t="s">
        <v>8225</v>
      </c>
      <c r="N1837" s="0" t="str">
        <f aca="false">RIGHT(M1837,LEN(M1837)-FIND(" ",M1837))</f>
        <v>OAK KNOLL AVE SE</v>
      </c>
      <c r="P1837" s="0" t="s">
        <v>145</v>
      </c>
      <c r="Q1837" s="0" t="s">
        <v>146</v>
      </c>
      <c r="R1837" s="0" t="n">
        <v>44483</v>
      </c>
      <c r="AD1837" s="0" t="s">
        <v>147</v>
      </c>
      <c r="AE1837" s="0" t="s">
        <v>148</v>
      </c>
      <c r="AF1837" s="0" t="s">
        <v>149</v>
      </c>
      <c r="AH1837" s="0" t="n">
        <v>14</v>
      </c>
      <c r="AI1837" s="0" t="n">
        <v>11</v>
      </c>
      <c r="AN1837" s="0" t="s">
        <v>145</v>
      </c>
      <c r="AO1837" s="0" t="s">
        <v>150</v>
      </c>
      <c r="AP1837" s="0" t="s">
        <v>151</v>
      </c>
      <c r="AQ1837" s="0" t="n">
        <v>9</v>
      </c>
      <c r="AR1837" s="0" t="n">
        <v>64</v>
      </c>
      <c r="AS1837" s="0" t="n">
        <v>32</v>
      </c>
      <c r="AU1837" s="0" t="n">
        <f aca="false">COUNTA($BA$119:$EH$119)</f>
        <v>44</v>
      </c>
      <c r="AV1837" s="0" t="n">
        <f aca="false">COUNTIF($BA$119:$EH$119,"D")</f>
        <v>12</v>
      </c>
      <c r="AW1837" s="0" t="n">
        <f aca="false">COUNTIF($BA$119:$EH$119,"R")</f>
        <v>0</v>
      </c>
      <c r="AX1837" s="0" t="n">
        <f aca="false">IF(BN1837="D",1,0)+IF(BO1837="D",1,0)+IF(BT1837="D",1,0)+IF(BU1837="D",1,0)+IF(BW1837="D",1,0)+IF(CC1837="D",1,0)+IF(CD1837="D",1,0)+IF(CE1837="D",1,0)+IF(CF1837="D",1,0)+IF(CL1837="D",1,0)+IF(CM1837="D",1,0)+IF(CQ1837="D",1,0)+IF(CR1837="D",1,0)+IF(CS1837="D",1,0)+IF(CW1837="D",1,0)+IF(CX1837="D",1,0)+IF(DD1837="D",1,0)+IF(DE1837="D",1,0)+IF(DJ1837="D",1,0)+IF(DK1837="D",1,0)+IF(DO1837="D",1,0)+IF(DP1837="D",1,0)+IF(DQ1837="D",1,0)+IF(DW1837="D",1,0)+IF(DZ1837="D",1,0)+IF(EH1837="D",1,0)</f>
        <v>0</v>
      </c>
      <c r="AY1837" s="0" t="n">
        <f aca="false">COUNTIF(DU1837:EH1837, "&lt;&gt;")</f>
        <v>1</v>
      </c>
      <c r="AZ1837" s="0" t="n">
        <f aca="false">IF(EH1837&lt;&gt;"",1,0)</f>
        <v>0</v>
      </c>
      <c r="BB1837" s="0" t="s">
        <v>152</v>
      </c>
      <c r="DN1837" s="0" t="s">
        <v>153</v>
      </c>
      <c r="EA1837" s="0" t="s">
        <v>153</v>
      </c>
    </row>
    <row r="1838" customFormat="false" ht="13.8" hidden="false" customHeight="false" outlineLevel="0" collapsed="false">
      <c r="A1838" s="0" t="s">
        <v>8226</v>
      </c>
      <c r="B1838" s="0" t="n">
        <v>78</v>
      </c>
      <c r="C1838" s="0" t="n">
        <v>243893</v>
      </c>
      <c r="D1838" s="0" t="s">
        <v>3935</v>
      </c>
      <c r="E1838" s="0" t="s">
        <v>8227</v>
      </c>
      <c r="F1838" s="0" t="str">
        <f aca="false">CONCATENATE(D1838," ",LEFT(H1838,4),"T=",AU1838,"D=",AV1838,"R=",AW1838,"M=",AX1838,"L=",AY1838,"B=",AZ1838)</f>
        <v>PETERSON T=1D=0R=0M=4L=6B=0</v>
      </c>
      <c r="G1838" s="0" t="s">
        <v>307</v>
      </c>
      <c r="I1838" s="0" t="s">
        <v>6231</v>
      </c>
      <c r="J1838" s="0" t="s">
        <v>8228</v>
      </c>
      <c r="K1838" s="0" t="s">
        <v>160</v>
      </c>
      <c r="L1838" s="0" t="s">
        <v>175</v>
      </c>
      <c r="M1838" s="0" t="s">
        <v>8225</v>
      </c>
      <c r="N1838" s="0" t="str">
        <f aca="false">RIGHT(M1838,LEN(M1838)-FIND(" ",M1838))</f>
        <v>OAK KNOLL AVE SE</v>
      </c>
      <c r="P1838" s="0" t="s">
        <v>145</v>
      </c>
      <c r="Q1838" s="0" t="s">
        <v>146</v>
      </c>
      <c r="R1838" s="0" t="n">
        <v>44483</v>
      </c>
      <c r="AD1838" s="0" t="s">
        <v>147</v>
      </c>
      <c r="AE1838" s="0" t="s">
        <v>148</v>
      </c>
      <c r="AF1838" s="0" t="s">
        <v>149</v>
      </c>
      <c r="AH1838" s="0" t="n">
        <v>14</v>
      </c>
      <c r="AI1838" s="0" t="n">
        <v>11</v>
      </c>
      <c r="AN1838" s="0" t="s">
        <v>145</v>
      </c>
      <c r="AO1838" s="0" t="s">
        <v>150</v>
      </c>
      <c r="AP1838" s="0" t="s">
        <v>151</v>
      </c>
      <c r="AQ1838" s="0" t="n">
        <v>9</v>
      </c>
      <c r="AR1838" s="0" t="n">
        <v>64</v>
      </c>
      <c r="AS1838" s="0" t="n">
        <v>32</v>
      </c>
      <c r="AU1838" s="0" t="n">
        <f aca="false">COUNTA($BA$1063:$EH$1063)</f>
        <v>1</v>
      </c>
      <c r="AV1838" s="0" t="n">
        <f aca="false">COUNTIF($BA$1063:$EH$1063,"D")</f>
        <v>0</v>
      </c>
      <c r="AW1838" s="0" t="n">
        <f aca="false">COUNTIF($BA$1063:$EH$1063,"R")</f>
        <v>0</v>
      </c>
      <c r="AX1838" s="0" t="n">
        <f aca="false">IF(BN1838="D",1,0)+IF(BO1838="D",1,0)+IF(BT1838="D",1,0)+IF(BU1838="D",1,0)+IF(BW1838="D",1,0)+IF(CC1838="D",1,0)+IF(CD1838="D",1,0)+IF(CE1838="D",1,0)+IF(CF1838="D",1,0)+IF(CL1838="D",1,0)+IF(CM1838="D",1,0)+IF(CQ1838="D",1,0)+IF(CR1838="D",1,0)+IF(CS1838="D",1,0)+IF(CW1838="D",1,0)+IF(CX1838="D",1,0)+IF(DD1838="D",1,0)+IF(DE1838="D",1,0)+IF(DJ1838="D",1,0)+IF(DK1838="D",1,0)+IF(DO1838="D",1,0)+IF(DP1838="D",1,0)+IF(DQ1838="D",1,0)+IF(DW1838="D",1,0)+IF(DZ1838="D",1,0)+IF(EH1838="D",1,0)</f>
        <v>4</v>
      </c>
      <c r="AY1838" s="0" t="n">
        <f aca="false">COUNTIF(DU1838:EH1838, "&lt;&gt;")</f>
        <v>6</v>
      </c>
      <c r="AZ1838" s="0" t="n">
        <f aca="false">IF(EH1838&lt;&gt;"",1,0)</f>
        <v>0</v>
      </c>
      <c r="BB1838" s="0" t="s">
        <v>152</v>
      </c>
      <c r="BL1838" s="0" t="s">
        <v>153</v>
      </c>
      <c r="BP1838" s="0" t="s">
        <v>153</v>
      </c>
      <c r="BS1838" s="0" t="s">
        <v>153</v>
      </c>
      <c r="BV1838" s="0" t="s">
        <v>153</v>
      </c>
      <c r="BY1838" s="0" t="s">
        <v>175</v>
      </c>
      <c r="CA1838" s="0" t="s">
        <v>153</v>
      </c>
      <c r="CG1838" s="0" t="s">
        <v>153</v>
      </c>
      <c r="CK1838" s="0" t="s">
        <v>153</v>
      </c>
      <c r="CL1838" s="0" t="s">
        <v>175</v>
      </c>
      <c r="CN1838" s="0" t="s">
        <v>153</v>
      </c>
      <c r="CO1838" s="0" t="s">
        <v>175</v>
      </c>
      <c r="CP1838" s="0" t="s">
        <v>153</v>
      </c>
      <c r="CQ1838" s="0" t="s">
        <v>175</v>
      </c>
      <c r="CU1838" s="0" t="s">
        <v>175</v>
      </c>
      <c r="CV1838" s="0" t="s">
        <v>153</v>
      </c>
      <c r="CY1838" s="0" t="s">
        <v>153</v>
      </c>
      <c r="CZ1838" s="0" t="s">
        <v>209</v>
      </c>
      <c r="DC1838" s="0" t="s">
        <v>153</v>
      </c>
      <c r="DD1838" s="0" t="s">
        <v>175</v>
      </c>
      <c r="DF1838" s="0" t="s">
        <v>153</v>
      </c>
      <c r="DI1838" s="0" t="s">
        <v>153</v>
      </c>
      <c r="DN1838" s="0" t="s">
        <v>153</v>
      </c>
      <c r="DR1838" s="0" t="s">
        <v>153</v>
      </c>
      <c r="DU1838" s="0" t="s">
        <v>153</v>
      </c>
      <c r="DW1838" s="0" t="s">
        <v>175</v>
      </c>
      <c r="DX1838" s="0" t="s">
        <v>153</v>
      </c>
      <c r="EA1838" s="0" t="s">
        <v>153</v>
      </c>
      <c r="ED1838" s="0" t="s">
        <v>175</v>
      </c>
      <c r="EF1838" s="0" t="s">
        <v>153</v>
      </c>
    </row>
    <row r="1839" customFormat="false" ht="13.8" hidden="true" customHeight="false" outlineLevel="0" collapsed="false">
      <c r="A1839" s="0" t="s">
        <v>8229</v>
      </c>
      <c r="B1839" s="0" t="n">
        <v>78</v>
      </c>
      <c r="C1839" s="0" t="n">
        <v>486730</v>
      </c>
      <c r="D1839" s="0" t="s">
        <v>3935</v>
      </c>
      <c r="E1839" s="0" t="s">
        <v>8230</v>
      </c>
      <c r="F1839" s="0" t="str">
        <f aca="false">CONCATENATE(D1839," ",LEFT(H1839,4),"T=",AU1839,"D=",AV1839,"R=",AW1839,"M=",AX1839,"L=",AY1839,"B=",AZ1839)</f>
        <v>PETERSON T=18D=5R=0M=0L=0B=0</v>
      </c>
      <c r="G1839" s="0" t="s">
        <v>389</v>
      </c>
      <c r="I1839" s="0" t="s">
        <v>8231</v>
      </c>
      <c r="J1839" s="0" t="s">
        <v>1253</v>
      </c>
      <c r="K1839" s="0" t="s">
        <v>160</v>
      </c>
      <c r="M1839" s="0" t="s">
        <v>8225</v>
      </c>
      <c r="N1839" s="0" t="str">
        <f aca="false">RIGHT(M1839,LEN(M1839)-FIND(" ",M1839))</f>
        <v>OAK KNOLL AVE SE</v>
      </c>
      <c r="P1839" s="0" t="s">
        <v>145</v>
      </c>
      <c r="Q1839" s="0" t="s">
        <v>146</v>
      </c>
      <c r="R1839" s="0" t="n">
        <v>44483</v>
      </c>
      <c r="AD1839" s="0" t="s">
        <v>147</v>
      </c>
      <c r="AE1839" s="0" t="s">
        <v>148</v>
      </c>
      <c r="AF1839" s="0" t="s">
        <v>149</v>
      </c>
      <c r="AH1839" s="0" t="n">
        <v>14</v>
      </c>
      <c r="AI1839" s="0" t="n">
        <v>11</v>
      </c>
      <c r="AN1839" s="0" t="s">
        <v>145</v>
      </c>
      <c r="AO1839" s="0" t="s">
        <v>150</v>
      </c>
      <c r="AP1839" s="0" t="s">
        <v>151</v>
      </c>
      <c r="AQ1839" s="0" t="n">
        <v>9</v>
      </c>
      <c r="AR1839" s="0" t="n">
        <v>64</v>
      </c>
      <c r="AS1839" s="0" t="n">
        <v>32</v>
      </c>
      <c r="AU1839" s="0" t="n">
        <f aca="false">COUNTA($BA$1077:$EH$1077)</f>
        <v>18</v>
      </c>
      <c r="AV1839" s="0" t="n">
        <f aca="false">COUNTIF($BA$1077:$EH$1077,"D")</f>
        <v>5</v>
      </c>
      <c r="AW1839" s="0" t="n">
        <f aca="false">COUNTIF($BA$1077:$EH$1077,"R")</f>
        <v>0</v>
      </c>
      <c r="AX1839" s="0" t="n">
        <f aca="false">IF(BN1839="D",1,0)+IF(BO1839="D",1,0)+IF(BT1839="D",1,0)+IF(BU1839="D",1,0)+IF(BW1839="D",1,0)+IF(CC1839="D",1,0)+IF(CD1839="D",1,0)+IF(CE1839="D",1,0)+IF(CF1839="D",1,0)+IF(CL1839="D",1,0)+IF(CM1839="D",1,0)+IF(CQ1839="D",1,0)+IF(CR1839="D",1,0)+IF(CS1839="D",1,0)+IF(CW1839="D",1,0)+IF(CX1839="D",1,0)+IF(DD1839="D",1,0)+IF(DE1839="D",1,0)+IF(DJ1839="D",1,0)+IF(DK1839="D",1,0)+IF(DO1839="D",1,0)+IF(DP1839="D",1,0)+IF(DQ1839="D",1,0)+IF(DW1839="D",1,0)+IF(DZ1839="D",1,0)+IF(EH1839="D",1,0)</f>
        <v>0</v>
      </c>
      <c r="AY1839" s="0" t="n">
        <f aca="false">COUNTIF(DU1839:EH1839, "&lt;&gt;")</f>
        <v>0</v>
      </c>
      <c r="AZ1839" s="0" t="n">
        <f aca="false">IF(EH1839&lt;&gt;"",1,0)</f>
        <v>0</v>
      </c>
      <c r="BB1839" s="0" t="s">
        <v>152</v>
      </c>
    </row>
    <row r="1840" customFormat="false" ht="13.8" hidden="false" customHeight="false" outlineLevel="0" collapsed="false">
      <c r="A1840" s="0" t="s">
        <v>8232</v>
      </c>
      <c r="B1840" s="0" t="n">
        <v>78</v>
      </c>
      <c r="C1840" s="0" t="n">
        <v>341642</v>
      </c>
      <c r="D1840" s="0" t="s">
        <v>3935</v>
      </c>
      <c r="E1840" s="0" t="s">
        <v>2049</v>
      </c>
      <c r="F1840" s="0" t="str">
        <f aca="false">CONCATENATE(D1840," ",LEFT(H1840,4),"T=",AU1840,"D=",AV1840,"R=",AW1840,"M=",AX1840,"L=",AY1840,"B=",AZ1840)</f>
        <v>PETERSON T=25D=4R=0M=4L=5B=0</v>
      </c>
      <c r="G1840" s="0" t="s">
        <v>195</v>
      </c>
      <c r="I1840" s="0" t="s">
        <v>8233</v>
      </c>
      <c r="J1840" s="0" t="s">
        <v>4984</v>
      </c>
      <c r="K1840" s="0" t="s">
        <v>160</v>
      </c>
      <c r="L1840" s="0" t="s">
        <v>175</v>
      </c>
      <c r="M1840" s="0" t="s">
        <v>8225</v>
      </c>
      <c r="N1840" s="0" t="str">
        <f aca="false">RIGHT(M1840,LEN(M1840)-FIND(" ",M1840))</f>
        <v>OAK KNOLL AVE SE</v>
      </c>
      <c r="P1840" s="0" t="s">
        <v>145</v>
      </c>
      <c r="Q1840" s="0" t="s">
        <v>146</v>
      </c>
      <c r="R1840" s="0" t="n">
        <v>44483</v>
      </c>
      <c r="AD1840" s="0" t="s">
        <v>147</v>
      </c>
      <c r="AE1840" s="0" t="s">
        <v>148</v>
      </c>
      <c r="AF1840" s="0" t="s">
        <v>149</v>
      </c>
      <c r="AH1840" s="0" t="n">
        <v>14</v>
      </c>
      <c r="AI1840" s="0" t="n">
        <v>11</v>
      </c>
      <c r="AN1840" s="0" t="s">
        <v>145</v>
      </c>
      <c r="AO1840" s="0" t="s">
        <v>150</v>
      </c>
      <c r="AP1840" s="0" t="s">
        <v>151</v>
      </c>
      <c r="AQ1840" s="0" t="n">
        <v>9</v>
      </c>
      <c r="AR1840" s="0" t="n">
        <v>64</v>
      </c>
      <c r="AS1840" s="0" t="n">
        <v>32</v>
      </c>
      <c r="AU1840" s="0" t="n">
        <f aca="false">COUNTA($BA$1082:$EH$1082)</f>
        <v>25</v>
      </c>
      <c r="AV1840" s="0" t="n">
        <f aca="false">COUNTIF($BA$1082:$EH$1082,"D")</f>
        <v>4</v>
      </c>
      <c r="AW1840" s="0" t="n">
        <f aca="false">COUNTIF($BA$1082:$EH$1082,"R")</f>
        <v>0</v>
      </c>
      <c r="AX1840" s="0" t="n">
        <f aca="false">IF(BN1840="D",1,0)+IF(BO1840="D",1,0)+IF(BT1840="D",1,0)+IF(BU1840="D",1,0)+IF(BW1840="D",1,0)+IF(CC1840="D",1,0)+IF(CD1840="D",1,0)+IF(CE1840="D",1,0)+IF(CF1840="D",1,0)+IF(CL1840="D",1,0)+IF(CM1840="D",1,0)+IF(CQ1840="D",1,0)+IF(CR1840="D",1,0)+IF(CS1840="D",1,0)+IF(CW1840="D",1,0)+IF(CX1840="D",1,0)+IF(DD1840="D",1,0)+IF(DE1840="D",1,0)+IF(DJ1840="D",1,0)+IF(DK1840="D",1,0)+IF(DO1840="D",1,0)+IF(DP1840="D",1,0)+IF(DQ1840="D",1,0)+IF(DW1840="D",1,0)+IF(DZ1840="D",1,0)+IF(EH1840="D",1,0)</f>
        <v>4</v>
      </c>
      <c r="AY1840" s="0" t="n">
        <f aca="false">COUNTIF(DU1840:EH1840, "&lt;&gt;")</f>
        <v>5</v>
      </c>
      <c r="AZ1840" s="0" t="n">
        <f aca="false">IF(EH1840&lt;&gt;"",1,0)</f>
        <v>0</v>
      </c>
      <c r="BB1840" s="0" t="s">
        <v>152</v>
      </c>
      <c r="BY1840" s="0" t="s">
        <v>175</v>
      </c>
      <c r="CA1840" s="0" t="s">
        <v>153</v>
      </c>
      <c r="CG1840" s="0" t="s">
        <v>153</v>
      </c>
      <c r="CK1840" s="0" t="s">
        <v>153</v>
      </c>
      <c r="CL1840" s="0" t="s">
        <v>175</v>
      </c>
      <c r="CN1840" s="0" t="s">
        <v>153</v>
      </c>
      <c r="CP1840" s="0" t="s">
        <v>153</v>
      </c>
      <c r="CV1840" s="0" t="s">
        <v>153</v>
      </c>
      <c r="CY1840" s="0" t="s">
        <v>153</v>
      </c>
      <c r="CZ1840" s="0" t="s">
        <v>175</v>
      </c>
      <c r="DC1840" s="0" t="s">
        <v>153</v>
      </c>
      <c r="DD1840" s="0" t="s">
        <v>175</v>
      </c>
      <c r="DF1840" s="0" t="s">
        <v>153</v>
      </c>
      <c r="DI1840" s="0" t="s">
        <v>153</v>
      </c>
      <c r="DJ1840" s="0" t="s">
        <v>175</v>
      </c>
      <c r="DN1840" s="0" t="s">
        <v>153</v>
      </c>
      <c r="DR1840" s="0" t="s">
        <v>153</v>
      </c>
      <c r="DT1840" s="0" t="s">
        <v>175</v>
      </c>
      <c r="DU1840" s="0" t="s">
        <v>153</v>
      </c>
      <c r="DW1840" s="0" t="s">
        <v>175</v>
      </c>
      <c r="DX1840" s="0" t="s">
        <v>153</v>
      </c>
      <c r="ED1840" s="0" t="s">
        <v>175</v>
      </c>
      <c r="EF1840" s="0" t="s">
        <v>153</v>
      </c>
    </row>
    <row r="1841" customFormat="false" ht="13.8" hidden="false" customHeight="false" outlineLevel="0" collapsed="false">
      <c r="A1841" s="0" t="s">
        <v>8234</v>
      </c>
      <c r="B1841" s="0" t="n">
        <v>78</v>
      </c>
      <c r="C1841" s="0" t="n">
        <v>154535</v>
      </c>
      <c r="D1841" s="0" t="s">
        <v>5148</v>
      </c>
      <c r="E1841" s="0" t="s">
        <v>4812</v>
      </c>
      <c r="F1841" s="0" t="str">
        <f aca="false">CONCATENATE(D1841," ",LEFT(H1841,4),"T=",AU1841,"D=",AV1841,"R=",AW1841,"M=",AX1841,"L=",AY1841,"B=",AZ1841)</f>
        <v>SIMPSON T=6D=0R=0M=3L=7B=1</v>
      </c>
      <c r="G1841" s="0" t="s">
        <v>522</v>
      </c>
      <c r="I1841" s="0" t="s">
        <v>8235</v>
      </c>
      <c r="J1841" s="0" t="s">
        <v>8236</v>
      </c>
      <c r="K1841" s="0" t="s">
        <v>160</v>
      </c>
      <c r="L1841" s="0" t="s">
        <v>175</v>
      </c>
      <c r="M1841" s="0" t="s">
        <v>8237</v>
      </c>
      <c r="N1841" s="0" t="str">
        <f aca="false">RIGHT(M1841,LEN(M1841)-FIND(" ",M1841))</f>
        <v>OAK KNOLL AVE SE</v>
      </c>
      <c r="P1841" s="0" t="s">
        <v>145</v>
      </c>
      <c r="Q1841" s="0" t="s">
        <v>146</v>
      </c>
      <c r="R1841" s="0" t="n">
        <v>44484</v>
      </c>
      <c r="AD1841" s="0" t="s">
        <v>147</v>
      </c>
      <c r="AE1841" s="0" t="s">
        <v>148</v>
      </c>
      <c r="AF1841" s="0" t="s">
        <v>149</v>
      </c>
      <c r="AH1841" s="0" t="n">
        <v>14</v>
      </c>
      <c r="AI1841" s="0" t="n">
        <v>11</v>
      </c>
      <c r="AN1841" s="0" t="s">
        <v>145</v>
      </c>
      <c r="AO1841" s="0" t="s">
        <v>150</v>
      </c>
      <c r="AP1841" s="0" t="s">
        <v>151</v>
      </c>
      <c r="AQ1841" s="0" t="n">
        <v>9</v>
      </c>
      <c r="AR1841" s="0" t="n">
        <v>64</v>
      </c>
      <c r="AS1841" s="0" t="n">
        <v>32</v>
      </c>
      <c r="AU1841" s="0" t="n">
        <f aca="false">COUNTA($BA$1094:$EH$1094)</f>
        <v>6</v>
      </c>
      <c r="AV1841" s="0" t="n">
        <f aca="false">COUNTIF($BA$1094:$EH$1094,"D")</f>
        <v>0</v>
      </c>
      <c r="AW1841" s="0" t="n">
        <f aca="false">COUNTIF($BA$1094:$EH$1094,"R")</f>
        <v>0</v>
      </c>
      <c r="AX1841" s="0" t="n">
        <f aca="false">IF(BN1841="D",1,0)+IF(BO1841="D",1,0)+IF(BT1841="D",1,0)+IF(BU1841="D",1,0)+IF(BW1841="D",1,0)+IF(CC1841="D",1,0)+IF(CD1841="D",1,0)+IF(CE1841="D",1,0)+IF(CF1841="D",1,0)+IF(CL1841="D",1,0)+IF(CM1841="D",1,0)+IF(CQ1841="D",1,0)+IF(CR1841="D",1,0)+IF(CS1841="D",1,0)+IF(CW1841="D",1,0)+IF(CX1841="D",1,0)+IF(DD1841="D",1,0)+IF(DE1841="D",1,0)+IF(DJ1841="D",1,0)+IF(DK1841="D",1,0)+IF(DO1841="D",1,0)+IF(DP1841="D",1,0)+IF(DQ1841="D",1,0)+IF(DW1841="D",1,0)+IF(DZ1841="D",1,0)+IF(EH1841="D",1,0)</f>
        <v>3</v>
      </c>
      <c r="AY1841" s="0" t="n">
        <f aca="false">COUNTIF(DU1841:EH1841, "&lt;&gt;")</f>
        <v>7</v>
      </c>
      <c r="AZ1841" s="0" t="n">
        <f aca="false">IF(EH1841&lt;&gt;"",1,0)</f>
        <v>1</v>
      </c>
      <c r="BB1841" s="0" t="s">
        <v>152</v>
      </c>
      <c r="BC1841" s="0" t="s">
        <v>153</v>
      </c>
      <c r="BD1841" s="0" t="s">
        <v>153</v>
      </c>
      <c r="BE1841" s="0" t="s">
        <v>153</v>
      </c>
      <c r="BF1841" s="0" t="s">
        <v>153</v>
      </c>
      <c r="BH1841" s="0" t="s">
        <v>153</v>
      </c>
      <c r="BI1841" s="0" t="s">
        <v>153</v>
      </c>
      <c r="BJ1841" s="0" t="s">
        <v>153</v>
      </c>
      <c r="BL1841" s="0" t="s">
        <v>153</v>
      </c>
      <c r="BP1841" s="0" t="s">
        <v>153</v>
      </c>
      <c r="BS1841" s="0" t="s">
        <v>153</v>
      </c>
      <c r="BY1841" s="0" t="s">
        <v>175</v>
      </c>
      <c r="CA1841" s="0" t="s">
        <v>153</v>
      </c>
      <c r="CG1841" s="0" t="s">
        <v>153</v>
      </c>
      <c r="CK1841" s="0" t="s">
        <v>153</v>
      </c>
      <c r="CL1841" s="0" t="s">
        <v>175</v>
      </c>
      <c r="CN1841" s="0" t="s">
        <v>153</v>
      </c>
      <c r="CP1841" s="0" t="s">
        <v>153</v>
      </c>
      <c r="CV1841" s="0" t="s">
        <v>153</v>
      </c>
      <c r="CY1841" s="0" t="s">
        <v>153</v>
      </c>
      <c r="CZ1841" s="0" t="s">
        <v>175</v>
      </c>
      <c r="DC1841" s="0" t="s">
        <v>153</v>
      </c>
      <c r="DI1841" s="0" t="s">
        <v>153</v>
      </c>
      <c r="DM1841" s="0" t="s">
        <v>175</v>
      </c>
      <c r="DN1841" s="0" t="s">
        <v>153</v>
      </c>
      <c r="DT1841" s="0" t="s">
        <v>175</v>
      </c>
      <c r="DU1841" s="0" t="s">
        <v>153</v>
      </c>
      <c r="DW1841" s="0" t="s">
        <v>175</v>
      </c>
      <c r="DX1841" s="0" t="s">
        <v>153</v>
      </c>
      <c r="EA1841" s="0" t="s">
        <v>153</v>
      </c>
      <c r="ED1841" s="0" t="s">
        <v>175</v>
      </c>
      <c r="EF1841" s="0" t="s">
        <v>153</v>
      </c>
      <c r="EH1841" s="0" t="s">
        <v>175</v>
      </c>
    </row>
    <row r="1842" customFormat="false" ht="13.8" hidden="true" customHeight="false" outlineLevel="0" collapsed="false">
      <c r="A1842" s="0" t="s">
        <v>8238</v>
      </c>
      <c r="B1842" s="0" t="n">
        <v>78</v>
      </c>
      <c r="C1842" s="0" t="n">
        <v>229240</v>
      </c>
      <c r="D1842" s="0" t="s">
        <v>8239</v>
      </c>
      <c r="E1842" s="0" t="s">
        <v>610</v>
      </c>
      <c r="F1842" s="0" t="str">
        <f aca="false">CONCATENATE(D1842," ",LEFT(H1842,4),"T=",AU1842,"D=",AV1842,"R=",AW1842,"M=",AX1842,"L=",AY1842,"B=",AZ1842)</f>
        <v>REESE T=6D=0R=0M=1L=1B=0</v>
      </c>
      <c r="I1842" s="0" t="s">
        <v>8240</v>
      </c>
      <c r="J1842" s="0" t="s">
        <v>1945</v>
      </c>
      <c r="K1842" s="0" t="s">
        <v>160</v>
      </c>
      <c r="M1842" s="0" t="s">
        <v>8241</v>
      </c>
      <c r="N1842" s="0" t="str">
        <f aca="false">RIGHT(M1842,LEN(M1842)-FIND(" ",M1842))</f>
        <v>OAK KNOLL AVE SE</v>
      </c>
      <c r="P1842" s="0" t="s">
        <v>145</v>
      </c>
      <c r="Q1842" s="0" t="s">
        <v>146</v>
      </c>
      <c r="R1842" s="0" t="n">
        <v>44484</v>
      </c>
      <c r="AD1842" s="0" t="s">
        <v>147</v>
      </c>
      <c r="AE1842" s="0" t="s">
        <v>148</v>
      </c>
      <c r="AF1842" s="0" t="s">
        <v>149</v>
      </c>
      <c r="AH1842" s="0" t="n">
        <v>14</v>
      </c>
      <c r="AI1842" s="0" t="n">
        <v>11</v>
      </c>
      <c r="AN1842" s="0" t="s">
        <v>145</v>
      </c>
      <c r="AO1842" s="0" t="s">
        <v>150</v>
      </c>
      <c r="AP1842" s="0" t="s">
        <v>151</v>
      </c>
      <c r="AQ1842" s="0" t="n">
        <v>9</v>
      </c>
      <c r="AR1842" s="0" t="n">
        <v>64</v>
      </c>
      <c r="AS1842" s="0" t="n">
        <v>32</v>
      </c>
      <c r="AU1842" s="0" t="n">
        <f aca="false">COUNTA($BA$740:$EH$740)</f>
        <v>6</v>
      </c>
      <c r="AV1842" s="0" t="n">
        <f aca="false">COUNTIF($BA$740:$EH$740,"D")</f>
        <v>0</v>
      </c>
      <c r="AW1842" s="0" t="n">
        <f aca="false">COUNTIF($BA$740:$EH$740,"R")</f>
        <v>0</v>
      </c>
      <c r="AX1842" s="0" t="n">
        <f aca="false">IF(BN1842="D",1,0)+IF(BO1842="D",1,0)+IF(BT1842="D",1,0)+IF(BU1842="D",1,0)+IF(BW1842="D",1,0)+IF(CC1842="D",1,0)+IF(CD1842="D",1,0)+IF(CE1842="D",1,0)+IF(CF1842="D",1,0)+IF(CL1842="D",1,0)+IF(CM1842="D",1,0)+IF(CQ1842="D",1,0)+IF(CR1842="D",1,0)+IF(CS1842="D",1,0)+IF(CW1842="D",1,0)+IF(CX1842="D",1,0)+IF(DD1842="D",1,0)+IF(DE1842="D",1,0)+IF(DJ1842="D",1,0)+IF(DK1842="D",1,0)+IF(DO1842="D",1,0)+IF(DP1842="D",1,0)+IF(DQ1842="D",1,0)+IF(DW1842="D",1,0)+IF(DZ1842="D",1,0)+IF(EH1842="D",1,0)</f>
        <v>1</v>
      </c>
      <c r="AY1842" s="0" t="n">
        <f aca="false">COUNTIF(DU1842:EH1842, "&lt;&gt;")</f>
        <v>1</v>
      </c>
      <c r="AZ1842" s="0" t="n">
        <f aca="false">IF(EH1842&lt;&gt;"",1,0)</f>
        <v>0</v>
      </c>
      <c r="BB1842" s="0" t="s">
        <v>152</v>
      </c>
      <c r="BD1842" s="0" t="s">
        <v>153</v>
      </c>
      <c r="BL1842" s="0" t="s">
        <v>153</v>
      </c>
      <c r="BS1842" s="0" t="s">
        <v>153</v>
      </c>
      <c r="BV1842" s="0" t="s">
        <v>153</v>
      </c>
      <c r="BY1842" s="0" t="s">
        <v>175</v>
      </c>
      <c r="CA1842" s="0" t="s">
        <v>153</v>
      </c>
      <c r="CL1842" s="0" t="s">
        <v>175</v>
      </c>
      <c r="CN1842" s="0" t="s">
        <v>153</v>
      </c>
      <c r="CP1842" s="0" t="s">
        <v>153</v>
      </c>
      <c r="CZ1842" s="0" t="s">
        <v>175</v>
      </c>
      <c r="DC1842" s="0" t="s">
        <v>153</v>
      </c>
      <c r="DI1842" s="0" t="s">
        <v>153</v>
      </c>
      <c r="DM1842" s="0" t="s">
        <v>209</v>
      </c>
      <c r="DN1842" s="0" t="s">
        <v>153</v>
      </c>
      <c r="EF1842" s="0" t="s">
        <v>153</v>
      </c>
    </row>
    <row r="1843" customFormat="false" ht="13.8" hidden="true" customHeight="false" outlineLevel="0" collapsed="false">
      <c r="A1843" s="0" t="s">
        <v>8242</v>
      </c>
      <c r="B1843" s="0" t="n">
        <v>78</v>
      </c>
      <c r="C1843" s="0" t="n">
        <v>12742</v>
      </c>
      <c r="D1843" s="0" t="s">
        <v>1377</v>
      </c>
      <c r="E1843" s="0" t="s">
        <v>275</v>
      </c>
      <c r="F1843" s="0" t="str">
        <f aca="false">CONCATENATE(D1843," ",LEFT(H1843,4),"T=",AU1843,"D=",AV1843,"R=",AW1843,"M=",AX1843,"L=",AY1843,"B=",AZ1843)</f>
        <v>MONTECALVO T=44D=13R=0M=0L=0B=0</v>
      </c>
      <c r="I1843" s="0" t="s">
        <v>8243</v>
      </c>
      <c r="J1843" s="0" t="s">
        <v>6975</v>
      </c>
      <c r="K1843" s="0" t="s">
        <v>143</v>
      </c>
      <c r="M1843" s="0" t="s">
        <v>8244</v>
      </c>
      <c r="N1843" s="0" t="str">
        <f aca="false">RIGHT(M1843,LEN(M1843)-FIND(" ",M1843))</f>
        <v>OAK KNOLL AVE SE</v>
      </c>
      <c r="P1843" s="0" t="s">
        <v>145</v>
      </c>
      <c r="Q1843" s="0" t="s">
        <v>146</v>
      </c>
      <c r="R1843" s="0" t="n">
        <v>44484</v>
      </c>
      <c r="AD1843" s="0" t="s">
        <v>147</v>
      </c>
      <c r="AE1843" s="0" t="s">
        <v>148</v>
      </c>
      <c r="AF1843" s="0" t="s">
        <v>149</v>
      </c>
      <c r="AH1843" s="0" t="n">
        <v>14</v>
      </c>
      <c r="AI1843" s="0" t="n">
        <v>11</v>
      </c>
      <c r="AN1843" s="0" t="s">
        <v>145</v>
      </c>
      <c r="AO1843" s="0" t="s">
        <v>150</v>
      </c>
      <c r="AP1843" s="0" t="s">
        <v>151</v>
      </c>
      <c r="AQ1843" s="0" t="n">
        <v>9</v>
      </c>
      <c r="AR1843" s="0" t="n">
        <v>64</v>
      </c>
      <c r="AS1843" s="0" t="n">
        <v>32</v>
      </c>
      <c r="AU1843" s="0" t="n">
        <f aca="false">COUNTA($BA$59:$EH$59)</f>
        <v>44</v>
      </c>
      <c r="AV1843" s="0" t="n">
        <f aca="false">COUNTIF($BA$59:$EH$59,"D")</f>
        <v>13</v>
      </c>
      <c r="AW1843" s="0" t="n">
        <f aca="false">COUNTIF($BA$59:$EH$59,"R")</f>
        <v>0</v>
      </c>
      <c r="AX1843" s="0" t="n">
        <f aca="false">IF(BN1843="D",1,0)+IF(BO1843="D",1,0)+IF(BT1843="D",1,0)+IF(BU1843="D",1,0)+IF(BW1843="D",1,0)+IF(CC1843="D",1,0)+IF(CD1843="D",1,0)+IF(CE1843="D",1,0)+IF(CF1843="D",1,0)+IF(CL1843="D",1,0)+IF(CM1843="D",1,0)+IF(CQ1843="D",1,0)+IF(CR1843="D",1,0)+IF(CS1843="D",1,0)+IF(CW1843="D",1,0)+IF(CX1843="D",1,0)+IF(DD1843="D",1,0)+IF(DE1843="D",1,0)+IF(DJ1843="D",1,0)+IF(DK1843="D",1,0)+IF(DO1843="D",1,0)+IF(DP1843="D",1,0)+IF(DQ1843="D",1,0)+IF(DW1843="D",1,0)+IF(DZ1843="D",1,0)+IF(EH1843="D",1,0)</f>
        <v>0</v>
      </c>
      <c r="AY1843" s="0" t="n">
        <f aca="false">COUNTIF(DU1843:EH1843, "&lt;&gt;")</f>
        <v>0</v>
      </c>
      <c r="AZ1843" s="0" t="n">
        <f aca="false">IF(EH1843&lt;&gt;"",1,0)</f>
        <v>0</v>
      </c>
      <c r="BB1843" s="0" t="s">
        <v>152</v>
      </c>
      <c r="BC1843" s="0" t="s">
        <v>153</v>
      </c>
      <c r="BD1843" s="0" t="s">
        <v>153</v>
      </c>
      <c r="BE1843" s="0" t="s">
        <v>153</v>
      </c>
      <c r="BF1843" s="0" t="s">
        <v>153</v>
      </c>
      <c r="BH1843" s="0" t="s">
        <v>153</v>
      </c>
      <c r="BI1843" s="0" t="s">
        <v>153</v>
      </c>
      <c r="BJ1843" s="0" t="s">
        <v>153</v>
      </c>
      <c r="BK1843" s="0" t="s">
        <v>153</v>
      </c>
      <c r="BL1843" s="0" t="s">
        <v>153</v>
      </c>
      <c r="BS1843" s="0" t="s">
        <v>153</v>
      </c>
    </row>
    <row r="1844" customFormat="false" ht="13.8" hidden="false" customHeight="false" outlineLevel="0" collapsed="false">
      <c r="A1844" s="0" t="s">
        <v>8245</v>
      </c>
      <c r="B1844" s="0" t="n">
        <v>78</v>
      </c>
      <c r="C1844" s="0" t="n">
        <v>12741</v>
      </c>
      <c r="D1844" s="0" t="s">
        <v>1377</v>
      </c>
      <c r="E1844" s="0" t="s">
        <v>829</v>
      </c>
      <c r="F1844" s="0" t="str">
        <f aca="false">CONCATENATE(D1844," ",LEFT(H1844,4),"T=",AU1844,"D=",AV1844,"R=",AW1844,"M=",AX1844,"L=",AY1844,"B=",AZ1844)</f>
        <v>MONTECALVO T=1D=0R=0M=4L=6B=1</v>
      </c>
      <c r="G1844" s="0" t="s">
        <v>839</v>
      </c>
      <c r="I1844" s="0" t="s">
        <v>8246</v>
      </c>
      <c r="J1844" s="0" t="s">
        <v>8247</v>
      </c>
      <c r="K1844" s="0" t="s">
        <v>160</v>
      </c>
      <c r="L1844" s="0" t="s">
        <v>175</v>
      </c>
      <c r="M1844" s="0" t="s">
        <v>8244</v>
      </c>
      <c r="N1844" s="0" t="str">
        <f aca="false">RIGHT(M1844,LEN(M1844)-FIND(" ",M1844))</f>
        <v>OAK KNOLL AVE SE</v>
      </c>
      <c r="P1844" s="0" t="s">
        <v>145</v>
      </c>
      <c r="Q1844" s="0" t="s">
        <v>146</v>
      </c>
      <c r="R1844" s="0" t="n">
        <v>44484</v>
      </c>
      <c r="AD1844" s="0" t="s">
        <v>147</v>
      </c>
      <c r="AE1844" s="0" t="s">
        <v>148</v>
      </c>
      <c r="AF1844" s="0" t="s">
        <v>149</v>
      </c>
      <c r="AH1844" s="0" t="n">
        <v>14</v>
      </c>
      <c r="AI1844" s="0" t="n">
        <v>11</v>
      </c>
      <c r="AN1844" s="0" t="s">
        <v>145</v>
      </c>
      <c r="AO1844" s="0" t="s">
        <v>150</v>
      </c>
      <c r="AP1844" s="0" t="s">
        <v>151</v>
      </c>
      <c r="AQ1844" s="0" t="n">
        <v>9</v>
      </c>
      <c r="AR1844" s="0" t="n">
        <v>64</v>
      </c>
      <c r="AS1844" s="0" t="n">
        <v>32</v>
      </c>
      <c r="AU1844" s="0" t="n">
        <f aca="false">COUNTA($BA$1074:$EH$1074)</f>
        <v>1</v>
      </c>
      <c r="AV1844" s="0" t="n">
        <f aca="false">COUNTIF($BA$1074:$EH$1074,"D")</f>
        <v>0</v>
      </c>
      <c r="AW1844" s="0" t="n">
        <f aca="false">COUNTIF($BA$1074:$EH$1074,"R")</f>
        <v>0</v>
      </c>
      <c r="AX1844" s="0" t="n">
        <f aca="false">IF(BN1844="D",1,0)+IF(BO1844="D",1,0)+IF(BT1844="D",1,0)+IF(BU1844="D",1,0)+IF(BW1844="D",1,0)+IF(CC1844="D",1,0)+IF(CD1844="D",1,0)+IF(CE1844="D",1,0)+IF(CF1844="D",1,0)+IF(CL1844="D",1,0)+IF(CM1844="D",1,0)+IF(CQ1844="D",1,0)+IF(CR1844="D",1,0)+IF(CS1844="D",1,0)+IF(CW1844="D",1,0)+IF(CX1844="D",1,0)+IF(DD1844="D",1,0)+IF(DE1844="D",1,0)+IF(DJ1844="D",1,0)+IF(DK1844="D",1,0)+IF(DO1844="D",1,0)+IF(DP1844="D",1,0)+IF(DQ1844="D",1,0)+IF(DW1844="D",1,0)+IF(DZ1844="D",1,0)+IF(EH1844="D",1,0)</f>
        <v>4</v>
      </c>
      <c r="AY1844" s="0" t="n">
        <f aca="false">COUNTIF(DU1844:EH1844, "&lt;&gt;")</f>
        <v>6</v>
      </c>
      <c r="AZ1844" s="0" t="n">
        <f aca="false">IF(EH1844&lt;&gt;"",1,0)</f>
        <v>1</v>
      </c>
      <c r="BB1844" s="0" t="s">
        <v>152</v>
      </c>
      <c r="BC1844" s="0" t="s">
        <v>153</v>
      </c>
      <c r="BD1844" s="0" t="s">
        <v>153</v>
      </c>
      <c r="BE1844" s="0" t="s">
        <v>153</v>
      </c>
      <c r="BF1844" s="0" t="s">
        <v>153</v>
      </c>
      <c r="BI1844" s="0" t="s">
        <v>153</v>
      </c>
      <c r="BJ1844" s="0" t="s">
        <v>153</v>
      </c>
      <c r="BK1844" s="0" t="s">
        <v>153</v>
      </c>
      <c r="BL1844" s="0" t="s">
        <v>153</v>
      </c>
      <c r="BP1844" s="0" t="s">
        <v>153</v>
      </c>
      <c r="BS1844" s="0" t="s">
        <v>153</v>
      </c>
      <c r="CA1844" s="0" t="s">
        <v>153</v>
      </c>
      <c r="CL1844" s="0" t="s">
        <v>175</v>
      </c>
      <c r="CP1844" s="0" t="s">
        <v>153</v>
      </c>
      <c r="CU1844" s="0" t="s">
        <v>175</v>
      </c>
      <c r="CW1844" s="0" t="s">
        <v>175</v>
      </c>
      <c r="CY1844" s="0" t="s">
        <v>153</v>
      </c>
      <c r="DC1844" s="0" t="s">
        <v>153</v>
      </c>
      <c r="DD1844" s="0" t="s">
        <v>175</v>
      </c>
      <c r="DS1844" s="0" t="s">
        <v>175</v>
      </c>
      <c r="DU1844" s="0" t="s">
        <v>153</v>
      </c>
      <c r="DX1844" s="0" t="s">
        <v>153</v>
      </c>
      <c r="EA1844" s="0" t="s">
        <v>153</v>
      </c>
      <c r="ED1844" s="0" t="s">
        <v>175</v>
      </c>
      <c r="EF1844" s="0" t="s">
        <v>153</v>
      </c>
      <c r="EH1844" s="0" t="s">
        <v>175</v>
      </c>
    </row>
    <row r="1845" customFormat="false" ht="13.8" hidden="true" customHeight="false" outlineLevel="0" collapsed="false">
      <c r="A1845" s="0" t="s">
        <v>8248</v>
      </c>
      <c r="B1845" s="0" t="n">
        <v>78</v>
      </c>
      <c r="C1845" s="0" t="n">
        <v>304888</v>
      </c>
      <c r="D1845" s="0" t="s">
        <v>1377</v>
      </c>
      <c r="E1845" s="0" t="s">
        <v>4247</v>
      </c>
      <c r="F1845" s="0" t="str">
        <f aca="false">CONCATENATE(D1845," ",LEFT(H1845,4),"T=",AU1845,"D=",AV1845,"R=",AW1845,"M=",AX1845,"L=",AY1845,"B=",AZ1845)</f>
        <v>MONTECALVO T=2D=0R=1M=0L=0B=0</v>
      </c>
      <c r="G1845" s="0" t="s">
        <v>164</v>
      </c>
      <c r="I1845" s="0" t="s">
        <v>8249</v>
      </c>
      <c r="J1845" s="0" t="s">
        <v>8250</v>
      </c>
      <c r="K1845" s="0" t="s">
        <v>160</v>
      </c>
      <c r="M1845" s="0" t="s">
        <v>8244</v>
      </c>
      <c r="N1845" s="0" t="str">
        <f aca="false">RIGHT(M1845,LEN(M1845)-FIND(" ",M1845))</f>
        <v>OAK KNOLL AVE SE</v>
      </c>
      <c r="P1845" s="0" t="s">
        <v>145</v>
      </c>
      <c r="Q1845" s="0" t="s">
        <v>146</v>
      </c>
      <c r="R1845" s="0" t="n">
        <v>44484</v>
      </c>
      <c r="AD1845" s="0" t="s">
        <v>147</v>
      </c>
      <c r="AE1845" s="0" t="s">
        <v>148</v>
      </c>
      <c r="AF1845" s="0" t="s">
        <v>149</v>
      </c>
      <c r="AH1845" s="0" t="n">
        <v>14</v>
      </c>
      <c r="AI1845" s="0" t="n">
        <v>11</v>
      </c>
      <c r="AN1845" s="0" t="s">
        <v>145</v>
      </c>
      <c r="AO1845" s="0" t="s">
        <v>150</v>
      </c>
      <c r="AP1845" s="0" t="s">
        <v>151</v>
      </c>
      <c r="AQ1845" s="0" t="n">
        <v>9</v>
      </c>
      <c r="AR1845" s="0" t="n">
        <v>64</v>
      </c>
      <c r="AS1845" s="0" t="n">
        <v>32</v>
      </c>
      <c r="AU1845" s="0" t="n">
        <f aca="false">COUNTA($BA$1085:$EH$1085)</f>
        <v>2</v>
      </c>
      <c r="AV1845" s="0" t="n">
        <f aca="false">COUNTIF($BA$1085:$EH$1085,"D")</f>
        <v>0</v>
      </c>
      <c r="AW1845" s="0" t="n">
        <f aca="false">COUNTIF($BA$1085:$EH$1085,"R")</f>
        <v>1</v>
      </c>
      <c r="AX1845" s="0" t="n">
        <f aca="false">IF(BN1845="D",1,0)+IF(BO1845="D",1,0)+IF(BT1845="D",1,0)+IF(BU1845="D",1,0)+IF(BW1845="D",1,0)+IF(CC1845="D",1,0)+IF(CD1845="D",1,0)+IF(CE1845="D",1,0)+IF(CF1845="D",1,0)+IF(CL1845="D",1,0)+IF(CM1845="D",1,0)+IF(CQ1845="D",1,0)+IF(CR1845="D",1,0)+IF(CS1845="D",1,0)+IF(CW1845="D",1,0)+IF(CX1845="D",1,0)+IF(DD1845="D",1,0)+IF(DE1845="D",1,0)+IF(DJ1845="D",1,0)+IF(DK1845="D",1,0)+IF(DO1845="D",1,0)+IF(DP1845="D",1,0)+IF(DQ1845="D",1,0)+IF(DW1845="D",1,0)+IF(DZ1845="D",1,0)+IF(EH1845="D",1,0)</f>
        <v>0</v>
      </c>
      <c r="AY1845" s="0" t="n">
        <f aca="false">COUNTIF(DU1845:EH1845, "&lt;&gt;")</f>
        <v>0</v>
      </c>
      <c r="AZ1845" s="0" t="n">
        <f aca="false">IF(EH1845&lt;&gt;"",1,0)</f>
        <v>0</v>
      </c>
      <c r="BB1845" s="0" t="s">
        <v>152</v>
      </c>
      <c r="BF1845" s="0" t="s">
        <v>153</v>
      </c>
      <c r="BK1845" s="0" t="s">
        <v>153</v>
      </c>
      <c r="BL1845" s="0" t="s">
        <v>153</v>
      </c>
      <c r="BS1845" s="0" t="s">
        <v>153</v>
      </c>
      <c r="BV1845" s="0" t="s">
        <v>153</v>
      </c>
      <c r="CA1845" s="0" t="s">
        <v>153</v>
      </c>
      <c r="CN1845" s="0" t="s">
        <v>153</v>
      </c>
      <c r="DC1845" s="0" t="s">
        <v>153</v>
      </c>
    </row>
    <row r="1846" customFormat="false" ht="13.8" hidden="false" customHeight="false" outlineLevel="0" collapsed="false">
      <c r="A1846" s="0" t="s">
        <v>8251</v>
      </c>
      <c r="B1846" s="0" t="n">
        <v>78</v>
      </c>
      <c r="C1846" s="0" t="n">
        <v>352558</v>
      </c>
      <c r="D1846" s="0" t="s">
        <v>498</v>
      </c>
      <c r="E1846" s="0" t="s">
        <v>633</v>
      </c>
      <c r="F1846" s="0" t="str">
        <f aca="false">CONCATENATE(D1846," ",LEFT(H1846,4),"T=",AU1846,"D=",AV1846,"R=",AW1846,"M=",AX1846,"L=",AY1846,"B=",AZ1846)</f>
        <v>HUGHES T=16D=5R=0M=0L=3B=0</v>
      </c>
      <c r="G1846" s="0" t="s">
        <v>170</v>
      </c>
      <c r="I1846" s="0" t="s">
        <v>8252</v>
      </c>
      <c r="J1846" s="0" t="s">
        <v>8253</v>
      </c>
      <c r="K1846" s="0" t="s">
        <v>160</v>
      </c>
      <c r="M1846" s="0" t="s">
        <v>8254</v>
      </c>
      <c r="N1846" s="0" t="str">
        <f aca="false">RIGHT(M1846,LEN(M1846)-FIND(" ",M1846))</f>
        <v>OAK KNOLL AVE SE</v>
      </c>
      <c r="P1846" s="0" t="s">
        <v>145</v>
      </c>
      <c r="Q1846" s="0" t="s">
        <v>146</v>
      </c>
      <c r="R1846" s="0" t="n">
        <v>44484</v>
      </c>
      <c r="AD1846" s="0" t="s">
        <v>147</v>
      </c>
      <c r="AE1846" s="0" t="s">
        <v>148</v>
      </c>
      <c r="AF1846" s="0" t="s">
        <v>149</v>
      </c>
      <c r="AH1846" s="0" t="n">
        <v>14</v>
      </c>
      <c r="AI1846" s="0" t="n">
        <v>11</v>
      </c>
      <c r="AN1846" s="0" t="s">
        <v>145</v>
      </c>
      <c r="AO1846" s="0" t="s">
        <v>150</v>
      </c>
      <c r="AP1846" s="0" t="s">
        <v>151</v>
      </c>
      <c r="AQ1846" s="0" t="n">
        <v>9</v>
      </c>
      <c r="AR1846" s="0" t="n">
        <v>64</v>
      </c>
      <c r="AS1846" s="0" t="n">
        <v>32</v>
      </c>
      <c r="AU1846" s="0" t="n">
        <f aca="false">COUNTA($BA$145:$EH$145)</f>
        <v>16</v>
      </c>
      <c r="AV1846" s="0" t="n">
        <f aca="false">COUNTIF($BA$145:$EH$145,"D")</f>
        <v>5</v>
      </c>
      <c r="AW1846" s="0" t="n">
        <f aca="false">COUNTIF($BA$145:$EH$145,"R")</f>
        <v>0</v>
      </c>
      <c r="AX1846" s="0" t="n">
        <f aca="false">IF(BN1846="D",1,0)+IF(BO1846="D",1,0)+IF(BT1846="D",1,0)+IF(BU1846="D",1,0)+IF(BW1846="D",1,0)+IF(CC1846="D",1,0)+IF(CD1846="D",1,0)+IF(CE1846="D",1,0)+IF(CF1846="D",1,0)+IF(CL1846="D",1,0)+IF(CM1846="D",1,0)+IF(CQ1846="D",1,0)+IF(CR1846="D",1,0)+IF(CS1846="D",1,0)+IF(CW1846="D",1,0)+IF(CX1846="D",1,0)+IF(DD1846="D",1,0)+IF(DE1846="D",1,0)+IF(DJ1846="D",1,0)+IF(DK1846="D",1,0)+IF(DO1846="D",1,0)+IF(DP1846="D",1,0)+IF(DQ1846="D",1,0)+IF(DW1846="D",1,0)+IF(DZ1846="D",1,0)+IF(EH1846="D",1,0)</f>
        <v>0</v>
      </c>
      <c r="AY1846" s="0" t="n">
        <f aca="false">COUNTIF(DU1846:EH1846, "&lt;&gt;")</f>
        <v>3</v>
      </c>
      <c r="AZ1846" s="0" t="n">
        <f aca="false">IF(EH1846&lt;&gt;"",1,0)</f>
        <v>0</v>
      </c>
      <c r="BB1846" s="0" t="s">
        <v>152</v>
      </c>
      <c r="BY1846" s="0" t="s">
        <v>175</v>
      </c>
      <c r="DC1846" s="0" t="s">
        <v>153</v>
      </c>
      <c r="DD1846" s="0" t="s">
        <v>153</v>
      </c>
      <c r="DU1846" s="0" t="s">
        <v>153</v>
      </c>
      <c r="DX1846" s="0" t="s">
        <v>153</v>
      </c>
      <c r="EF1846" s="0" t="s">
        <v>153</v>
      </c>
    </row>
    <row r="1847" customFormat="false" ht="13.8" hidden="true" customHeight="false" outlineLevel="0" collapsed="false">
      <c r="A1847" s="0" t="s">
        <v>8255</v>
      </c>
      <c r="B1847" s="0" t="n">
        <v>78</v>
      </c>
      <c r="C1847" s="0" t="n">
        <v>488120</v>
      </c>
      <c r="D1847" s="0" t="s">
        <v>498</v>
      </c>
      <c r="E1847" s="0" t="s">
        <v>193</v>
      </c>
      <c r="F1847" s="0" t="str">
        <f aca="false">CONCATENATE(D1847," ",LEFT(H1847,4),"T=",AU1847,"D=",AV1847,"R=",AW1847,"M=",AX1847,"L=",AY1847,"B=",AZ1847)</f>
        <v>HUGHES T=25D=7R=0M=0L=0B=0</v>
      </c>
      <c r="G1847" s="0" t="s">
        <v>195</v>
      </c>
      <c r="I1847" s="0" t="s">
        <v>8256</v>
      </c>
      <c r="J1847" s="0" t="s">
        <v>866</v>
      </c>
      <c r="K1847" s="0" t="s">
        <v>160</v>
      </c>
      <c r="M1847" s="0" t="s">
        <v>8254</v>
      </c>
      <c r="N1847" s="0" t="str">
        <f aca="false">RIGHT(M1847,LEN(M1847)-FIND(" ",M1847))</f>
        <v>OAK KNOLL AVE SE</v>
      </c>
      <c r="P1847" s="0" t="s">
        <v>145</v>
      </c>
      <c r="Q1847" s="0" t="s">
        <v>146</v>
      </c>
      <c r="R1847" s="0" t="n">
        <v>44484</v>
      </c>
      <c r="AD1847" s="0" t="s">
        <v>147</v>
      </c>
      <c r="AE1847" s="0" t="s">
        <v>148</v>
      </c>
      <c r="AF1847" s="0" t="s">
        <v>149</v>
      </c>
      <c r="AH1847" s="0" t="n">
        <v>14</v>
      </c>
      <c r="AI1847" s="0" t="n">
        <v>11</v>
      </c>
      <c r="AN1847" s="0" t="s">
        <v>145</v>
      </c>
      <c r="AO1847" s="0" t="s">
        <v>150</v>
      </c>
      <c r="AP1847" s="0" t="s">
        <v>151</v>
      </c>
      <c r="AQ1847" s="0" t="n">
        <v>9</v>
      </c>
      <c r="AR1847" s="0" t="n">
        <v>64</v>
      </c>
      <c r="AS1847" s="0" t="n">
        <v>32</v>
      </c>
      <c r="AU1847" s="0" t="n">
        <f aca="false">COUNTA($BA$573:$EH$573)</f>
        <v>25</v>
      </c>
      <c r="AV1847" s="0" t="n">
        <f aca="false">COUNTIF($BA$573:$EH$573,"D")</f>
        <v>7</v>
      </c>
      <c r="AW1847" s="0" t="n">
        <f aca="false">COUNTIF($BA$573:$EH$573,"R")</f>
        <v>0</v>
      </c>
      <c r="AX1847" s="0" t="n">
        <f aca="false">IF(BN1847="D",1,0)+IF(BO1847="D",1,0)+IF(BT1847="D",1,0)+IF(BU1847="D",1,0)+IF(BW1847="D",1,0)+IF(CC1847="D",1,0)+IF(CD1847="D",1,0)+IF(CE1847="D",1,0)+IF(CF1847="D",1,0)+IF(CL1847="D",1,0)+IF(CM1847="D",1,0)+IF(CQ1847="D",1,0)+IF(CR1847="D",1,0)+IF(CS1847="D",1,0)+IF(CW1847="D",1,0)+IF(CX1847="D",1,0)+IF(DD1847="D",1,0)+IF(DE1847="D",1,0)+IF(DJ1847="D",1,0)+IF(DK1847="D",1,0)+IF(DO1847="D",1,0)+IF(DP1847="D",1,0)+IF(DQ1847="D",1,0)+IF(DW1847="D",1,0)+IF(DZ1847="D",1,0)+IF(EH1847="D",1,0)</f>
        <v>0</v>
      </c>
      <c r="AY1847" s="0" t="n">
        <f aca="false">COUNTIF(DU1847:EH1847, "&lt;&gt;")</f>
        <v>0</v>
      </c>
      <c r="AZ1847" s="0" t="n">
        <f aca="false">IF(EH1847&lt;&gt;"",1,0)</f>
        <v>0</v>
      </c>
      <c r="BB1847" s="0" t="s">
        <v>152</v>
      </c>
    </row>
    <row r="1848" customFormat="false" ht="13.8" hidden="true" customHeight="false" outlineLevel="0" collapsed="false">
      <c r="A1848" s="0" t="s">
        <v>8257</v>
      </c>
      <c r="B1848" s="0" t="n">
        <v>78</v>
      </c>
      <c r="C1848" s="0" t="n">
        <v>462651</v>
      </c>
      <c r="D1848" s="0" t="s">
        <v>8258</v>
      </c>
      <c r="E1848" s="0" t="s">
        <v>697</v>
      </c>
      <c r="F1848" s="0" t="str">
        <f aca="false">CONCATENATE(D1848," ",LEFT(H1848,4),"T=",AU1848,"D=",AV1848,"R=",AW1848,"M=",AX1848,"L=",AY1848,"B=",AZ1848)</f>
        <v>CIESZENSKI T=3D=0R=1M=0L=1B=0</v>
      </c>
      <c r="G1848" s="0" t="s">
        <v>195</v>
      </c>
      <c r="I1848" s="0" t="s">
        <v>8259</v>
      </c>
      <c r="J1848" s="0" t="s">
        <v>404</v>
      </c>
      <c r="K1848" s="0" t="s">
        <v>160</v>
      </c>
      <c r="M1848" s="0" t="s">
        <v>8260</v>
      </c>
      <c r="N1848" s="0" t="str">
        <f aca="false">RIGHT(M1848,LEN(M1848)-FIND(" ",M1848))</f>
        <v>OAK KNOLL AVE SE</v>
      </c>
      <c r="P1848" s="0" t="s">
        <v>145</v>
      </c>
      <c r="Q1848" s="0" t="s">
        <v>146</v>
      </c>
      <c r="R1848" s="0" t="n">
        <v>44484</v>
      </c>
      <c r="AD1848" s="0" t="s">
        <v>147</v>
      </c>
      <c r="AE1848" s="0" t="s">
        <v>148</v>
      </c>
      <c r="AF1848" s="0" t="s">
        <v>149</v>
      </c>
      <c r="AH1848" s="0" t="n">
        <v>14</v>
      </c>
      <c r="AI1848" s="0" t="n">
        <v>11</v>
      </c>
      <c r="AN1848" s="0" t="s">
        <v>145</v>
      </c>
      <c r="AO1848" s="0" t="s">
        <v>150</v>
      </c>
      <c r="AP1848" s="0" t="s">
        <v>151</v>
      </c>
      <c r="AQ1848" s="0" t="n">
        <v>9</v>
      </c>
      <c r="AR1848" s="0" t="n">
        <v>64</v>
      </c>
      <c r="AS1848" s="0" t="n">
        <v>32</v>
      </c>
      <c r="AU1848" s="0" t="n">
        <f aca="false">COUNTA($BA$336:$EH$336)</f>
        <v>3</v>
      </c>
      <c r="AV1848" s="0" t="n">
        <f aca="false">COUNTIF($BA$336:$EH$336,"D")</f>
        <v>0</v>
      </c>
      <c r="AW1848" s="0" t="n">
        <f aca="false">COUNTIF($BA$336:$EH$336,"R")</f>
        <v>1</v>
      </c>
      <c r="AX1848" s="0" t="n">
        <f aca="false">IF(BN1848="D",1,0)+IF(BO1848="D",1,0)+IF(BT1848="D",1,0)+IF(BU1848="D",1,0)+IF(BW1848="D",1,0)+IF(CC1848="D",1,0)+IF(CD1848="D",1,0)+IF(CE1848="D",1,0)+IF(CF1848="D",1,0)+IF(CL1848="D",1,0)+IF(CM1848="D",1,0)+IF(CQ1848="D",1,0)+IF(CR1848="D",1,0)+IF(CS1848="D",1,0)+IF(CW1848="D",1,0)+IF(CX1848="D",1,0)+IF(DD1848="D",1,0)+IF(DE1848="D",1,0)+IF(DJ1848="D",1,0)+IF(DK1848="D",1,0)+IF(DO1848="D",1,0)+IF(DP1848="D",1,0)+IF(DQ1848="D",1,0)+IF(DW1848="D",1,0)+IF(DZ1848="D",1,0)+IF(EH1848="D",1,0)</f>
        <v>0</v>
      </c>
      <c r="AY1848" s="0" t="n">
        <f aca="false">COUNTIF(DU1848:EH1848, "&lt;&gt;")</f>
        <v>1</v>
      </c>
      <c r="AZ1848" s="0" t="n">
        <f aca="false">IF(EH1848&lt;&gt;"",1,0)</f>
        <v>0</v>
      </c>
      <c r="BB1848" s="0" t="s">
        <v>152</v>
      </c>
      <c r="EF1848" s="0" t="s">
        <v>153</v>
      </c>
    </row>
    <row r="1849" customFormat="false" ht="13.8" hidden="false" customHeight="false" outlineLevel="0" collapsed="false">
      <c r="A1849" s="0" t="s">
        <v>8261</v>
      </c>
      <c r="B1849" s="0" t="n">
        <v>78</v>
      </c>
      <c r="C1849" s="0" t="n">
        <v>409523</v>
      </c>
      <c r="D1849" s="0" t="s">
        <v>8262</v>
      </c>
      <c r="E1849" s="0" t="s">
        <v>796</v>
      </c>
      <c r="F1849" s="0" t="str">
        <f aca="false">CONCATENATE(D1849," ",LEFT(H1849,4),"T=",AU1849,"D=",AV1849,"R=",AW1849,"M=",AX1849,"L=",AY1849,"B=",AZ1849)</f>
        <v>HUNT T=1D=0R=0M=0L=4B=0</v>
      </c>
      <c r="G1849" s="0" t="s">
        <v>170</v>
      </c>
      <c r="I1849" s="0" t="s">
        <v>8263</v>
      </c>
      <c r="J1849" s="0" t="s">
        <v>1433</v>
      </c>
      <c r="K1849" s="0" t="s">
        <v>160</v>
      </c>
      <c r="M1849" s="0" t="s">
        <v>8260</v>
      </c>
      <c r="N1849" s="0" t="str">
        <f aca="false">RIGHT(M1849,LEN(M1849)-FIND(" ",M1849))</f>
        <v>OAK KNOLL AVE SE</v>
      </c>
      <c r="P1849" s="0" t="s">
        <v>145</v>
      </c>
      <c r="Q1849" s="0" t="s">
        <v>146</v>
      </c>
      <c r="R1849" s="0" t="n">
        <v>44484</v>
      </c>
      <c r="AD1849" s="0" t="s">
        <v>147</v>
      </c>
      <c r="AE1849" s="0" t="s">
        <v>148</v>
      </c>
      <c r="AF1849" s="0" t="s">
        <v>149</v>
      </c>
      <c r="AH1849" s="0" t="n">
        <v>14</v>
      </c>
      <c r="AI1849" s="0" t="n">
        <v>11</v>
      </c>
      <c r="AN1849" s="0" t="s">
        <v>145</v>
      </c>
      <c r="AO1849" s="0" t="s">
        <v>150</v>
      </c>
      <c r="AP1849" s="0" t="s">
        <v>151</v>
      </c>
      <c r="AQ1849" s="0" t="n">
        <v>9</v>
      </c>
      <c r="AR1849" s="0" t="n">
        <v>64</v>
      </c>
      <c r="AS1849" s="0" t="n">
        <v>32</v>
      </c>
      <c r="AU1849" s="0" t="n">
        <f aca="false">COUNTA($BA$1007:$EH$1007)</f>
        <v>1</v>
      </c>
      <c r="AV1849" s="0" t="n">
        <f aca="false">COUNTIF($BA$1007:$EH$1007,"D")</f>
        <v>0</v>
      </c>
      <c r="AW1849" s="0" t="n">
        <f aca="false">COUNTIF($BA$1007:$EH$1007,"R")</f>
        <v>0</v>
      </c>
      <c r="AX1849" s="0" t="n">
        <f aca="false">IF(BN1849="D",1,0)+IF(BO1849="D",1,0)+IF(BT1849="D",1,0)+IF(BU1849="D",1,0)+IF(BW1849="D",1,0)+IF(CC1849="D",1,0)+IF(CD1849="D",1,0)+IF(CE1849="D",1,0)+IF(CF1849="D",1,0)+IF(CL1849="D",1,0)+IF(CM1849="D",1,0)+IF(CQ1849="D",1,0)+IF(CR1849="D",1,0)+IF(CS1849="D",1,0)+IF(CW1849="D",1,0)+IF(CX1849="D",1,0)+IF(DD1849="D",1,0)+IF(DE1849="D",1,0)+IF(DJ1849="D",1,0)+IF(DK1849="D",1,0)+IF(DO1849="D",1,0)+IF(DP1849="D",1,0)+IF(DQ1849="D",1,0)+IF(DW1849="D",1,0)+IF(DZ1849="D",1,0)+IF(EH1849="D",1,0)</f>
        <v>0</v>
      </c>
      <c r="AY1849" s="0" t="n">
        <f aca="false">COUNTIF(DU1849:EH1849, "&lt;&gt;")</f>
        <v>4</v>
      </c>
      <c r="AZ1849" s="0" t="n">
        <f aca="false">IF(EH1849&lt;&gt;"",1,0)</f>
        <v>0</v>
      </c>
      <c r="BB1849" s="0" t="s">
        <v>152</v>
      </c>
      <c r="CZ1849" s="0" t="s">
        <v>175</v>
      </c>
      <c r="DC1849" s="0" t="s">
        <v>153</v>
      </c>
      <c r="DI1849" s="0" t="s">
        <v>153</v>
      </c>
      <c r="DN1849" s="0" t="s">
        <v>153</v>
      </c>
      <c r="DU1849" s="0" t="s">
        <v>153</v>
      </c>
      <c r="DX1849" s="0" t="s">
        <v>153</v>
      </c>
      <c r="EA1849" s="0" t="s">
        <v>153</v>
      </c>
      <c r="EF1849" s="0" t="s">
        <v>153</v>
      </c>
    </row>
    <row r="1850" customFormat="false" ht="13.8" hidden="true" customHeight="false" outlineLevel="0" collapsed="false">
      <c r="A1850" s="0" t="s">
        <v>8264</v>
      </c>
      <c r="B1850" s="0" t="n">
        <v>78</v>
      </c>
      <c r="C1850" s="0" t="n">
        <v>440042</v>
      </c>
      <c r="D1850" s="0" t="s">
        <v>6787</v>
      </c>
      <c r="E1850" s="0" t="s">
        <v>140</v>
      </c>
      <c r="F1850" s="0" t="str">
        <f aca="false">CONCATENATE(D1850," ",LEFT(H1850,4),"T=",AU1850,"D=",AV1850,"R=",AW1850,"M=",AX1850,"L=",AY1850,"B=",AZ1850)</f>
        <v>HAUGHT T=11D=0R=0M=0L=1B=0</v>
      </c>
      <c r="G1850" s="0" t="s">
        <v>686</v>
      </c>
      <c r="I1850" s="0" t="s">
        <v>8265</v>
      </c>
      <c r="J1850" s="0" t="s">
        <v>404</v>
      </c>
      <c r="K1850" s="0" t="s">
        <v>160</v>
      </c>
      <c r="M1850" s="0" t="s">
        <v>8266</v>
      </c>
      <c r="N1850" s="0" t="str">
        <f aca="false">RIGHT(M1850,LEN(M1850)-FIND(" ",M1850))</f>
        <v>OAK KNOLL AVE SE</v>
      </c>
      <c r="P1850" s="0" t="s">
        <v>145</v>
      </c>
      <c r="Q1850" s="0" t="s">
        <v>146</v>
      </c>
      <c r="R1850" s="0" t="n">
        <v>44484</v>
      </c>
      <c r="AD1850" s="0" t="s">
        <v>147</v>
      </c>
      <c r="AE1850" s="0" t="s">
        <v>148</v>
      </c>
      <c r="AF1850" s="0" t="s">
        <v>149</v>
      </c>
      <c r="AH1850" s="0" t="n">
        <v>14</v>
      </c>
      <c r="AI1850" s="0" t="n">
        <v>11</v>
      </c>
      <c r="AN1850" s="0" t="s">
        <v>145</v>
      </c>
      <c r="AO1850" s="0" t="s">
        <v>150</v>
      </c>
      <c r="AP1850" s="0" t="s">
        <v>151</v>
      </c>
      <c r="AQ1850" s="0" t="n">
        <v>9</v>
      </c>
      <c r="AR1850" s="0" t="n">
        <v>64</v>
      </c>
      <c r="AS1850" s="0" t="n">
        <v>32</v>
      </c>
      <c r="AU1850" s="0" t="n">
        <f aca="false">COUNTA($BA$327:$EH$327)</f>
        <v>11</v>
      </c>
      <c r="AV1850" s="0" t="n">
        <f aca="false">COUNTIF($BA$327:$EH$327,"D")</f>
        <v>0</v>
      </c>
      <c r="AW1850" s="0" t="n">
        <f aca="false">COUNTIF($BA$327:$EH$327,"R")</f>
        <v>0</v>
      </c>
      <c r="AX1850" s="0" t="n">
        <f aca="false">IF(BN1850="D",1,0)+IF(BO1850="D",1,0)+IF(BT1850="D",1,0)+IF(BU1850="D",1,0)+IF(BW1850="D",1,0)+IF(CC1850="D",1,0)+IF(CD1850="D",1,0)+IF(CE1850="D",1,0)+IF(CF1850="D",1,0)+IF(CL1850="D",1,0)+IF(CM1850="D",1,0)+IF(CQ1850="D",1,0)+IF(CR1850="D",1,0)+IF(CS1850="D",1,0)+IF(CW1850="D",1,0)+IF(CX1850="D",1,0)+IF(DD1850="D",1,0)+IF(DE1850="D",1,0)+IF(DJ1850="D",1,0)+IF(DK1850="D",1,0)+IF(DO1850="D",1,0)+IF(DP1850="D",1,0)+IF(DQ1850="D",1,0)+IF(DW1850="D",1,0)+IF(DZ1850="D",1,0)+IF(EH1850="D",1,0)</f>
        <v>0</v>
      </c>
      <c r="AY1850" s="0" t="n">
        <f aca="false">COUNTIF(DU1850:EH1850, "&lt;&gt;")</f>
        <v>1</v>
      </c>
      <c r="AZ1850" s="0" t="n">
        <f aca="false">IF(EH1850&lt;&gt;"",1,0)</f>
        <v>0</v>
      </c>
      <c r="BB1850" s="0" t="s">
        <v>152</v>
      </c>
      <c r="EF1850" s="0" t="s">
        <v>153</v>
      </c>
    </row>
    <row r="1851" customFormat="false" ht="13.8" hidden="true" customHeight="false" outlineLevel="0" collapsed="false">
      <c r="A1851" s="0" t="s">
        <v>8267</v>
      </c>
      <c r="B1851" s="0" t="n">
        <v>78</v>
      </c>
      <c r="C1851" s="0" t="n">
        <v>492119</v>
      </c>
      <c r="D1851" s="0" t="s">
        <v>1547</v>
      </c>
      <c r="E1851" s="0" t="s">
        <v>2957</v>
      </c>
      <c r="F1851" s="0" t="str">
        <f aca="false">CONCATENATE(D1851," ",LEFT(H1851,4),"T=",AU1851,"D=",AV1851,"R=",AW1851,"M=",AX1851,"L=",AY1851,"B=",AZ1851)</f>
        <v>WASHINGTON T=1D=0R=0M=0L=0B=0</v>
      </c>
      <c r="G1851" s="0" t="s">
        <v>325</v>
      </c>
      <c r="I1851" s="0" t="s">
        <v>8268</v>
      </c>
      <c r="J1851" s="0" t="s">
        <v>2498</v>
      </c>
      <c r="K1851" s="0" t="s">
        <v>160</v>
      </c>
      <c r="M1851" s="0" t="s">
        <v>8269</v>
      </c>
      <c r="N1851" s="0" t="str">
        <f aca="false">RIGHT(M1851,LEN(M1851)-FIND(" ",M1851))</f>
        <v>OAK KNOLL AVE SE</v>
      </c>
      <c r="P1851" s="0" t="s">
        <v>145</v>
      </c>
      <c r="Q1851" s="0" t="s">
        <v>146</v>
      </c>
      <c r="R1851" s="0" t="n">
        <v>44484</v>
      </c>
      <c r="AD1851" s="0" t="s">
        <v>147</v>
      </c>
      <c r="AE1851" s="0" t="s">
        <v>148</v>
      </c>
      <c r="AF1851" s="0" t="s">
        <v>149</v>
      </c>
      <c r="AH1851" s="0" t="n">
        <v>14</v>
      </c>
      <c r="AI1851" s="0" t="n">
        <v>11</v>
      </c>
      <c r="AN1851" s="0" t="s">
        <v>145</v>
      </c>
      <c r="AO1851" s="0" t="s">
        <v>150</v>
      </c>
      <c r="AP1851" s="0" t="s">
        <v>151</v>
      </c>
      <c r="AQ1851" s="0" t="n">
        <v>9</v>
      </c>
      <c r="AR1851" s="0" t="n">
        <v>64</v>
      </c>
      <c r="AS1851" s="0" t="n">
        <v>32</v>
      </c>
      <c r="AU1851" s="0" t="n">
        <f aca="false">COUNTA($BA$588:$EH$588)</f>
        <v>1</v>
      </c>
      <c r="AV1851" s="0" t="n">
        <f aca="false">COUNTIF($BA$588:$EH$588,"D")</f>
        <v>0</v>
      </c>
      <c r="AW1851" s="0" t="n">
        <f aca="false">COUNTIF($BA$588:$EH$588,"R")</f>
        <v>0</v>
      </c>
      <c r="AX1851" s="0" t="n">
        <f aca="false">IF(BN1851="D",1,0)+IF(BO1851="D",1,0)+IF(BT1851="D",1,0)+IF(BU1851="D",1,0)+IF(BW1851="D",1,0)+IF(CC1851="D",1,0)+IF(CD1851="D",1,0)+IF(CE1851="D",1,0)+IF(CF1851="D",1,0)+IF(CL1851="D",1,0)+IF(CM1851="D",1,0)+IF(CQ1851="D",1,0)+IF(CR1851="D",1,0)+IF(CS1851="D",1,0)+IF(CW1851="D",1,0)+IF(CX1851="D",1,0)+IF(DD1851="D",1,0)+IF(DE1851="D",1,0)+IF(DJ1851="D",1,0)+IF(DK1851="D",1,0)+IF(DO1851="D",1,0)+IF(DP1851="D",1,0)+IF(DQ1851="D",1,0)+IF(DW1851="D",1,0)+IF(DZ1851="D",1,0)+IF(EH1851="D",1,0)</f>
        <v>0</v>
      </c>
      <c r="AY1851" s="0" t="n">
        <f aca="false">COUNTIF(DU1851:EH1851, "&lt;&gt;")</f>
        <v>0</v>
      </c>
      <c r="AZ1851" s="0" t="n">
        <f aca="false">IF(EH1851&lt;&gt;"",1,0)</f>
        <v>0</v>
      </c>
      <c r="BB1851" s="0" t="s">
        <v>152</v>
      </c>
      <c r="BL1851" s="0" t="s">
        <v>153</v>
      </c>
    </row>
    <row r="1852" customFormat="false" ht="13.8" hidden="true" customHeight="false" outlineLevel="0" collapsed="false">
      <c r="A1852" s="0" t="s">
        <v>8270</v>
      </c>
      <c r="B1852" s="0" t="n">
        <v>78</v>
      </c>
      <c r="C1852" s="0" t="n">
        <v>461691</v>
      </c>
      <c r="D1852" s="0" t="s">
        <v>2612</v>
      </c>
      <c r="E1852" s="0" t="s">
        <v>5124</v>
      </c>
      <c r="F1852" s="0" t="str">
        <f aca="false">CONCATENATE(D1852," ",LEFT(H1852,4),"T=",AU1852,"D=",AV1852,"R=",AW1852,"M=",AX1852,"L=",AY1852,"B=",AZ1852)</f>
        <v>SIMMONS T=29D=7R=0M=0L=0B=0</v>
      </c>
      <c r="G1852" s="0" t="s">
        <v>208</v>
      </c>
      <c r="I1852" s="0" t="s">
        <v>8271</v>
      </c>
      <c r="J1852" s="0" t="s">
        <v>8272</v>
      </c>
      <c r="K1852" s="0" t="s">
        <v>160</v>
      </c>
      <c r="M1852" s="0" t="s">
        <v>8273</v>
      </c>
      <c r="N1852" s="0" t="str">
        <f aca="false">RIGHT(M1852,LEN(M1852)-FIND(" ",M1852))</f>
        <v>OAK KNOLL AVE SE</v>
      </c>
      <c r="P1852" s="0" t="s">
        <v>145</v>
      </c>
      <c r="Q1852" s="0" t="s">
        <v>146</v>
      </c>
      <c r="R1852" s="0" t="n">
        <v>44484</v>
      </c>
      <c r="AD1852" s="0" t="s">
        <v>147</v>
      </c>
      <c r="AE1852" s="0" t="s">
        <v>148</v>
      </c>
      <c r="AF1852" s="0" t="s">
        <v>149</v>
      </c>
      <c r="AH1852" s="0" t="n">
        <v>14</v>
      </c>
      <c r="AI1852" s="0" t="n">
        <v>11</v>
      </c>
      <c r="AN1852" s="0" t="s">
        <v>145</v>
      </c>
      <c r="AO1852" s="0" t="s">
        <v>150</v>
      </c>
      <c r="AP1852" s="0" t="s">
        <v>151</v>
      </c>
      <c r="AQ1852" s="0" t="n">
        <v>9</v>
      </c>
      <c r="AR1852" s="0" t="n">
        <v>64</v>
      </c>
      <c r="AS1852" s="0" t="n">
        <v>32</v>
      </c>
      <c r="AU1852" s="0" t="n">
        <f aca="false">COUNTA($BA$30:$EH$30)</f>
        <v>29</v>
      </c>
      <c r="AV1852" s="0" t="n">
        <f aca="false">COUNTIF($BA$30:$EH$30,"D")</f>
        <v>7</v>
      </c>
      <c r="AW1852" s="0" t="n">
        <f aca="false">COUNTIF($BA$30:$EH$30,"R")</f>
        <v>0</v>
      </c>
      <c r="AX1852" s="0" t="n">
        <f aca="false">IF(BN1852="D",1,0)+IF(BO1852="D",1,0)+IF(BT1852="D",1,0)+IF(BU1852="D",1,0)+IF(BW1852="D",1,0)+IF(CC1852="D",1,0)+IF(CD1852="D",1,0)+IF(CE1852="D",1,0)+IF(CF1852="D",1,0)+IF(CL1852="D",1,0)+IF(CM1852="D",1,0)+IF(CQ1852="D",1,0)+IF(CR1852="D",1,0)+IF(CS1852="D",1,0)+IF(CW1852="D",1,0)+IF(CX1852="D",1,0)+IF(DD1852="D",1,0)+IF(DE1852="D",1,0)+IF(DJ1852="D",1,0)+IF(DK1852="D",1,0)+IF(DO1852="D",1,0)+IF(DP1852="D",1,0)+IF(DQ1852="D",1,0)+IF(DW1852="D",1,0)+IF(DZ1852="D",1,0)+IF(EH1852="D",1,0)</f>
        <v>0</v>
      </c>
      <c r="AY1852" s="0" t="n">
        <f aca="false">COUNTIF(DU1852:EH1852, "&lt;&gt;")</f>
        <v>0</v>
      </c>
      <c r="AZ1852" s="0" t="n">
        <f aca="false">IF(EH1852&lt;&gt;"",1,0)</f>
        <v>0</v>
      </c>
      <c r="BB1852" s="0" t="s">
        <v>152</v>
      </c>
    </row>
    <row r="1853" customFormat="false" ht="13.8" hidden="true" customHeight="false" outlineLevel="0" collapsed="false">
      <c r="A1853" s="0" t="s">
        <v>8274</v>
      </c>
      <c r="B1853" s="0" t="n">
        <v>78</v>
      </c>
      <c r="C1853" s="0" t="n">
        <v>285281</v>
      </c>
      <c r="D1853" s="0" t="s">
        <v>2612</v>
      </c>
      <c r="E1853" s="0" t="s">
        <v>275</v>
      </c>
      <c r="F1853" s="0" t="str">
        <f aca="false">CONCATENATE(D1853," ",LEFT(H1853,4),"T=",AU1853,"D=",AV1853,"R=",AW1853,"M=",AX1853,"L=",AY1853,"B=",AZ1853)</f>
        <v>SIMMONS T=27D=6R=0M=0L=1B=0</v>
      </c>
      <c r="G1853" s="0" t="s">
        <v>362</v>
      </c>
      <c r="I1853" s="0" t="s">
        <v>8275</v>
      </c>
      <c r="J1853" s="0" t="s">
        <v>1114</v>
      </c>
      <c r="K1853" s="0" t="s">
        <v>160</v>
      </c>
      <c r="M1853" s="0" t="s">
        <v>8273</v>
      </c>
      <c r="N1853" s="0" t="str">
        <f aca="false">RIGHT(M1853,LEN(M1853)-FIND(" ",M1853))</f>
        <v>OAK KNOLL AVE SE</v>
      </c>
      <c r="P1853" s="0" t="s">
        <v>145</v>
      </c>
      <c r="Q1853" s="0" t="s">
        <v>146</v>
      </c>
      <c r="R1853" s="0" t="n">
        <v>44484</v>
      </c>
      <c r="AD1853" s="0" t="s">
        <v>147</v>
      </c>
      <c r="AE1853" s="0" t="s">
        <v>148</v>
      </c>
      <c r="AF1853" s="0" t="s">
        <v>149</v>
      </c>
      <c r="AH1853" s="0" t="n">
        <v>14</v>
      </c>
      <c r="AI1853" s="0" t="n">
        <v>11</v>
      </c>
      <c r="AN1853" s="0" t="s">
        <v>145</v>
      </c>
      <c r="AO1853" s="0" t="s">
        <v>150</v>
      </c>
      <c r="AP1853" s="0" t="s">
        <v>151</v>
      </c>
      <c r="AQ1853" s="0" t="n">
        <v>9</v>
      </c>
      <c r="AR1853" s="0" t="n">
        <v>64</v>
      </c>
      <c r="AS1853" s="0" t="n">
        <v>32</v>
      </c>
      <c r="AU1853" s="0" t="n">
        <f aca="false">COUNTA($BA$212:$EH$212)</f>
        <v>27</v>
      </c>
      <c r="AV1853" s="0" t="n">
        <f aca="false">COUNTIF($BA$212:$EH$212,"D")</f>
        <v>6</v>
      </c>
      <c r="AW1853" s="0" t="n">
        <f aca="false">COUNTIF($BA$212:$EH$212,"R")</f>
        <v>0</v>
      </c>
      <c r="AX1853" s="0" t="n">
        <f aca="false">IF(BN1853="D",1,0)+IF(BO1853="D",1,0)+IF(BT1853="D",1,0)+IF(BU1853="D",1,0)+IF(BW1853="D",1,0)+IF(CC1853="D",1,0)+IF(CD1853="D",1,0)+IF(CE1853="D",1,0)+IF(CF1853="D",1,0)+IF(CL1853="D",1,0)+IF(CM1853="D",1,0)+IF(CQ1853="D",1,0)+IF(CR1853="D",1,0)+IF(CS1853="D",1,0)+IF(CW1853="D",1,0)+IF(CX1853="D",1,0)+IF(DD1853="D",1,0)+IF(DE1853="D",1,0)+IF(DJ1853="D",1,0)+IF(DK1853="D",1,0)+IF(DO1853="D",1,0)+IF(DP1853="D",1,0)+IF(DQ1853="D",1,0)+IF(DW1853="D",1,0)+IF(DZ1853="D",1,0)+IF(EH1853="D",1,0)</f>
        <v>0</v>
      </c>
      <c r="AY1853" s="0" t="n">
        <f aca="false">COUNTIF(DU1853:EH1853, "&lt;&gt;")</f>
        <v>1</v>
      </c>
      <c r="AZ1853" s="0" t="n">
        <f aca="false">IF(EH1853&lt;&gt;"",1,0)</f>
        <v>0</v>
      </c>
      <c r="BB1853" s="0" t="s">
        <v>152</v>
      </c>
      <c r="BL1853" s="0" t="s">
        <v>153</v>
      </c>
      <c r="CA1853" s="0" t="s">
        <v>153</v>
      </c>
      <c r="CK1853" s="0" t="s">
        <v>153</v>
      </c>
      <c r="EF1853" s="0" t="s">
        <v>153</v>
      </c>
    </row>
    <row r="1854" customFormat="false" ht="13.8" hidden="true" customHeight="false" outlineLevel="0" collapsed="false">
      <c r="A1854" s="0" t="s">
        <v>8276</v>
      </c>
      <c r="B1854" s="0" t="n">
        <v>78</v>
      </c>
      <c r="C1854" s="0" t="n">
        <v>410782</v>
      </c>
      <c r="D1854" s="0" t="s">
        <v>8277</v>
      </c>
      <c r="E1854" s="0" t="s">
        <v>8278</v>
      </c>
      <c r="F1854" s="0" t="str">
        <f aca="false">CONCATENATE(D1854," ",LEFT(H1854,4),"T=",AU1854,"D=",AV1854,"R=",AW1854,"M=",AX1854,"L=",AY1854,"B=",AZ1854)</f>
        <v>STROVEL T=5D=1R=0M=0L=0B=0</v>
      </c>
      <c r="G1854" s="0" t="s">
        <v>686</v>
      </c>
      <c r="I1854" s="0" t="s">
        <v>8279</v>
      </c>
      <c r="J1854" s="0" t="s">
        <v>8280</v>
      </c>
      <c r="K1854" s="0" t="s">
        <v>143</v>
      </c>
      <c r="M1854" s="0" t="s">
        <v>8273</v>
      </c>
      <c r="N1854" s="0" t="str">
        <f aca="false">RIGHT(M1854,LEN(M1854)-FIND(" ",M1854))</f>
        <v>OAK KNOLL AVE SE</v>
      </c>
      <c r="P1854" s="0" t="s">
        <v>145</v>
      </c>
      <c r="Q1854" s="0" t="s">
        <v>146</v>
      </c>
      <c r="R1854" s="0" t="n">
        <v>44484</v>
      </c>
      <c r="AD1854" s="0" t="s">
        <v>147</v>
      </c>
      <c r="AE1854" s="0" t="s">
        <v>148</v>
      </c>
      <c r="AF1854" s="0" t="s">
        <v>149</v>
      </c>
      <c r="AH1854" s="0" t="n">
        <v>14</v>
      </c>
      <c r="AI1854" s="0" t="n">
        <v>11</v>
      </c>
      <c r="AN1854" s="0" t="s">
        <v>145</v>
      </c>
      <c r="AO1854" s="0" t="s">
        <v>150</v>
      </c>
      <c r="AP1854" s="0" t="s">
        <v>151</v>
      </c>
      <c r="AQ1854" s="0" t="n">
        <v>9</v>
      </c>
      <c r="AR1854" s="0" t="n">
        <v>64</v>
      </c>
      <c r="AS1854" s="0" t="n">
        <v>32</v>
      </c>
      <c r="AU1854" s="0" t="n">
        <f aca="false">COUNTA($BA$266:$EH$266)</f>
        <v>5</v>
      </c>
      <c r="AV1854" s="0" t="n">
        <f aca="false">COUNTIF($BA$266:$EH$266,"D")</f>
        <v>1</v>
      </c>
      <c r="AW1854" s="0" t="n">
        <f aca="false">COUNTIF($BA$266:$EH$266,"R")</f>
        <v>0</v>
      </c>
      <c r="AX1854" s="0" t="n">
        <f aca="false">IF(BN1854="D",1,0)+IF(BO1854="D",1,0)+IF(BT1854="D",1,0)+IF(BU1854="D",1,0)+IF(BW1854="D",1,0)+IF(CC1854="D",1,0)+IF(CD1854="D",1,0)+IF(CE1854="D",1,0)+IF(CF1854="D",1,0)+IF(CL1854="D",1,0)+IF(CM1854="D",1,0)+IF(CQ1854="D",1,0)+IF(CR1854="D",1,0)+IF(CS1854="D",1,0)+IF(CW1854="D",1,0)+IF(CX1854="D",1,0)+IF(DD1854="D",1,0)+IF(DE1854="D",1,0)+IF(DJ1854="D",1,0)+IF(DK1854="D",1,0)+IF(DO1854="D",1,0)+IF(DP1854="D",1,0)+IF(DQ1854="D",1,0)+IF(DW1854="D",1,0)+IF(DZ1854="D",1,0)+IF(EH1854="D",1,0)</f>
        <v>0</v>
      </c>
      <c r="AY1854" s="0" t="n">
        <f aca="false">COUNTIF(DU1854:EH1854, "&lt;&gt;")</f>
        <v>0</v>
      </c>
      <c r="AZ1854" s="0" t="n">
        <f aca="false">IF(EH1854&lt;&gt;"",1,0)</f>
        <v>0</v>
      </c>
      <c r="BB1854" s="0" t="s">
        <v>152</v>
      </c>
    </row>
    <row r="1855" customFormat="false" ht="13.8" hidden="true" customHeight="false" outlineLevel="0" collapsed="false">
      <c r="A1855" s="0" t="s">
        <v>8281</v>
      </c>
      <c r="B1855" s="0" t="n">
        <v>78</v>
      </c>
      <c r="C1855" s="0" t="n">
        <v>447281</v>
      </c>
      <c r="D1855" s="0" t="s">
        <v>2612</v>
      </c>
      <c r="E1855" s="0" t="s">
        <v>8282</v>
      </c>
      <c r="F1855" s="0" t="str">
        <f aca="false">CONCATENATE(D1855," ",LEFT(H1855,4),"T=",AU1855,"D=",AV1855,"R=",AW1855,"M=",AX1855,"L=",AY1855,"B=",AZ1855)</f>
        <v>SIMMONS T=2D=0R=0M=0L=1B=0</v>
      </c>
      <c r="G1855" s="0" t="s">
        <v>255</v>
      </c>
      <c r="I1855" s="0" t="s">
        <v>8283</v>
      </c>
      <c r="J1855" s="0" t="s">
        <v>4672</v>
      </c>
      <c r="K1855" s="0" t="s">
        <v>160</v>
      </c>
      <c r="M1855" s="0" t="s">
        <v>8273</v>
      </c>
      <c r="N1855" s="0" t="str">
        <f aca="false">RIGHT(M1855,LEN(M1855)-FIND(" ",M1855))</f>
        <v>OAK KNOLL AVE SE</v>
      </c>
      <c r="P1855" s="0" t="s">
        <v>145</v>
      </c>
      <c r="Q1855" s="0" t="s">
        <v>146</v>
      </c>
      <c r="R1855" s="0" t="n">
        <v>44484</v>
      </c>
      <c r="AD1855" s="0" t="s">
        <v>147</v>
      </c>
      <c r="AE1855" s="0" t="s">
        <v>148</v>
      </c>
      <c r="AF1855" s="0" t="s">
        <v>149</v>
      </c>
      <c r="AH1855" s="0" t="n">
        <v>14</v>
      </c>
      <c r="AI1855" s="0" t="n">
        <v>11</v>
      </c>
      <c r="AN1855" s="0" t="s">
        <v>145</v>
      </c>
      <c r="AO1855" s="0" t="s">
        <v>150</v>
      </c>
      <c r="AP1855" s="0" t="s">
        <v>151</v>
      </c>
      <c r="AQ1855" s="0" t="n">
        <v>9</v>
      </c>
      <c r="AR1855" s="0" t="n">
        <v>64</v>
      </c>
      <c r="AS1855" s="0" t="n">
        <v>32</v>
      </c>
      <c r="AU1855" s="0" t="n">
        <f aca="false">COUNTA($BA$797:$EH$797)</f>
        <v>2</v>
      </c>
      <c r="AV1855" s="0" t="n">
        <f aca="false">COUNTIF($BA$797:$EH$797,"D")</f>
        <v>0</v>
      </c>
      <c r="AW1855" s="0" t="n">
        <f aca="false">COUNTIF($BA$797:$EH$797,"R")</f>
        <v>0</v>
      </c>
      <c r="AX1855" s="0" t="n">
        <f aca="false">IF(BN1855="D",1,0)+IF(BO1855="D",1,0)+IF(BT1855="D",1,0)+IF(BU1855="D",1,0)+IF(BW1855="D",1,0)+IF(CC1855="D",1,0)+IF(CD1855="D",1,0)+IF(CE1855="D",1,0)+IF(CF1855="D",1,0)+IF(CL1855="D",1,0)+IF(CM1855="D",1,0)+IF(CQ1855="D",1,0)+IF(CR1855="D",1,0)+IF(CS1855="D",1,0)+IF(CW1855="D",1,0)+IF(CX1855="D",1,0)+IF(DD1855="D",1,0)+IF(DE1855="D",1,0)+IF(DJ1855="D",1,0)+IF(DK1855="D",1,0)+IF(DO1855="D",1,0)+IF(DP1855="D",1,0)+IF(DQ1855="D",1,0)+IF(DW1855="D",1,0)+IF(DZ1855="D",1,0)+IF(EH1855="D",1,0)</f>
        <v>0</v>
      </c>
      <c r="AY1855" s="0" t="n">
        <f aca="false">COUNTIF(DU1855:EH1855, "&lt;&gt;")</f>
        <v>1</v>
      </c>
      <c r="AZ1855" s="0" t="n">
        <f aca="false">IF(EH1855&lt;&gt;"",1,0)</f>
        <v>0</v>
      </c>
      <c r="BB1855" s="0" t="s">
        <v>152</v>
      </c>
      <c r="DN1855" s="0" t="s">
        <v>153</v>
      </c>
      <c r="EF1855" s="0" t="s">
        <v>153</v>
      </c>
    </row>
    <row r="1856" customFormat="false" ht="13.8" hidden="true" customHeight="false" outlineLevel="0" collapsed="false">
      <c r="A1856" s="0" t="s">
        <v>8284</v>
      </c>
      <c r="B1856" s="0" t="n">
        <v>78</v>
      </c>
      <c r="C1856" s="0" t="n">
        <v>410781</v>
      </c>
      <c r="D1856" s="0" t="s">
        <v>5935</v>
      </c>
      <c r="E1856" s="0" t="s">
        <v>8285</v>
      </c>
      <c r="F1856" s="0" t="str">
        <f aca="false">CONCATENATE(D1856," ",LEFT(H1856,4),"T=",AU1856,"D=",AV1856,"R=",AW1856,"M=",AX1856,"L=",AY1856,"B=",AZ1856)</f>
        <v>TUCKER T=5D=1R=0M=0L=0B=0</v>
      </c>
      <c r="G1856" s="0" t="s">
        <v>190</v>
      </c>
      <c r="I1856" s="0" t="s">
        <v>8286</v>
      </c>
      <c r="J1856" s="0" t="s">
        <v>8280</v>
      </c>
      <c r="K1856" s="0" t="s">
        <v>143</v>
      </c>
      <c r="M1856" s="0" t="s">
        <v>8287</v>
      </c>
      <c r="N1856" s="0" t="str">
        <f aca="false">RIGHT(M1856,LEN(M1856)-FIND(" ",M1856))</f>
        <v>OAK KNOLL AVE SE</v>
      </c>
      <c r="P1856" s="0" t="s">
        <v>145</v>
      </c>
      <c r="Q1856" s="0" t="s">
        <v>146</v>
      </c>
      <c r="R1856" s="0" t="n">
        <v>44484</v>
      </c>
      <c r="AD1856" s="0" t="s">
        <v>147</v>
      </c>
      <c r="AE1856" s="0" t="s">
        <v>148</v>
      </c>
      <c r="AF1856" s="0" t="s">
        <v>149</v>
      </c>
      <c r="AH1856" s="0" t="n">
        <v>14</v>
      </c>
      <c r="AI1856" s="0" t="n">
        <v>11</v>
      </c>
      <c r="AN1856" s="0" t="s">
        <v>145</v>
      </c>
      <c r="AO1856" s="0" t="s">
        <v>150</v>
      </c>
      <c r="AP1856" s="0" t="s">
        <v>151</v>
      </c>
      <c r="AQ1856" s="0" t="n">
        <v>9</v>
      </c>
      <c r="AR1856" s="0" t="n">
        <v>64</v>
      </c>
      <c r="AS1856" s="0" t="n">
        <v>32</v>
      </c>
      <c r="AU1856" s="0" t="n">
        <f aca="false">COUNTA($BA$241:$EH$241)</f>
        <v>5</v>
      </c>
      <c r="AV1856" s="0" t="n">
        <f aca="false">COUNTIF($BA$241:$EH$241,"D")</f>
        <v>1</v>
      </c>
      <c r="AW1856" s="0" t="n">
        <f aca="false">COUNTIF($BA$241:$EH$241,"R")</f>
        <v>0</v>
      </c>
      <c r="AX1856" s="0" t="n">
        <f aca="false">IF(BN1856="D",1,0)+IF(BO1856="D",1,0)+IF(BT1856="D",1,0)+IF(BU1856="D",1,0)+IF(BW1856="D",1,0)+IF(CC1856="D",1,0)+IF(CD1856="D",1,0)+IF(CE1856="D",1,0)+IF(CF1856="D",1,0)+IF(CL1856="D",1,0)+IF(CM1856="D",1,0)+IF(CQ1856="D",1,0)+IF(CR1856="D",1,0)+IF(CS1856="D",1,0)+IF(CW1856="D",1,0)+IF(CX1856="D",1,0)+IF(DD1856="D",1,0)+IF(DE1856="D",1,0)+IF(DJ1856="D",1,0)+IF(DK1856="D",1,0)+IF(DO1856="D",1,0)+IF(DP1856="D",1,0)+IF(DQ1856="D",1,0)+IF(DW1856="D",1,0)+IF(DZ1856="D",1,0)+IF(EH1856="D",1,0)</f>
        <v>0</v>
      </c>
      <c r="AY1856" s="0" t="n">
        <f aca="false">COUNTIF(DU1856:EH1856, "&lt;&gt;")</f>
        <v>0</v>
      </c>
      <c r="AZ1856" s="0" t="n">
        <f aca="false">IF(EH1856&lt;&gt;"",1,0)</f>
        <v>0</v>
      </c>
      <c r="BB1856" s="0" t="s">
        <v>152</v>
      </c>
    </row>
    <row r="1857" customFormat="false" ht="13.8" hidden="false" customHeight="false" outlineLevel="0" collapsed="false">
      <c r="A1857" s="0" t="s">
        <v>8288</v>
      </c>
      <c r="B1857" s="0" t="n">
        <v>78</v>
      </c>
      <c r="C1857" s="0" t="n">
        <v>450988</v>
      </c>
      <c r="D1857" s="0" t="s">
        <v>8289</v>
      </c>
      <c r="E1857" s="0" t="s">
        <v>2401</v>
      </c>
      <c r="F1857" s="0" t="str">
        <f aca="false">CONCATENATE(D1857," ",LEFT(H1857,4),"T=",AU1857,"D=",AV1857,"R=",AW1857,"M=",AX1857,"L=",AY1857,"B=",AZ1857)</f>
        <v>GABEL T=1D=0R=0M=0L=2B=0</v>
      </c>
      <c r="G1857" s="0" t="s">
        <v>190</v>
      </c>
      <c r="I1857" s="0" t="s">
        <v>8290</v>
      </c>
      <c r="J1857" s="0" t="s">
        <v>8291</v>
      </c>
      <c r="K1857" s="0" t="s">
        <v>160</v>
      </c>
      <c r="M1857" s="0" t="s">
        <v>8292</v>
      </c>
      <c r="N1857" s="0" t="str">
        <f aca="false">RIGHT(M1857,LEN(M1857)-FIND(" ",M1857))</f>
        <v>OAK KNOLL AVE SE</v>
      </c>
      <c r="P1857" s="0" t="s">
        <v>145</v>
      </c>
      <c r="Q1857" s="0" t="s">
        <v>146</v>
      </c>
      <c r="R1857" s="0" t="n">
        <v>44484</v>
      </c>
      <c r="AD1857" s="0" t="s">
        <v>147</v>
      </c>
      <c r="AE1857" s="0" t="s">
        <v>148</v>
      </c>
      <c r="AF1857" s="0" t="s">
        <v>149</v>
      </c>
      <c r="AH1857" s="0" t="n">
        <v>14</v>
      </c>
      <c r="AI1857" s="0" t="n">
        <v>11</v>
      </c>
      <c r="AN1857" s="0" t="s">
        <v>145</v>
      </c>
      <c r="AO1857" s="0" t="s">
        <v>150</v>
      </c>
      <c r="AP1857" s="0" t="s">
        <v>151</v>
      </c>
      <c r="AQ1857" s="0" t="n">
        <v>9</v>
      </c>
      <c r="AR1857" s="0" t="n">
        <v>64</v>
      </c>
      <c r="AS1857" s="0" t="n">
        <v>32</v>
      </c>
      <c r="AU1857" s="0" t="n">
        <f aca="false">COUNTA($BA$290:$EH$290)</f>
        <v>1</v>
      </c>
      <c r="AV1857" s="0" t="n">
        <f aca="false">COUNTIF($BA$290:$EH$290,"D")</f>
        <v>0</v>
      </c>
      <c r="AW1857" s="0" t="n">
        <f aca="false">COUNTIF($BA$290:$EH$290,"R")</f>
        <v>0</v>
      </c>
      <c r="AX1857" s="0" t="n">
        <f aca="false">IF(BN1857="D",1,0)+IF(BO1857="D",1,0)+IF(BT1857="D",1,0)+IF(BU1857="D",1,0)+IF(BW1857="D",1,0)+IF(CC1857="D",1,0)+IF(CD1857="D",1,0)+IF(CE1857="D",1,0)+IF(CF1857="D",1,0)+IF(CL1857="D",1,0)+IF(CM1857="D",1,0)+IF(CQ1857="D",1,0)+IF(CR1857="D",1,0)+IF(CS1857="D",1,0)+IF(CW1857="D",1,0)+IF(CX1857="D",1,0)+IF(DD1857="D",1,0)+IF(DE1857="D",1,0)+IF(DJ1857="D",1,0)+IF(DK1857="D",1,0)+IF(DO1857="D",1,0)+IF(DP1857="D",1,0)+IF(DQ1857="D",1,0)+IF(DW1857="D",1,0)+IF(DZ1857="D",1,0)+IF(EH1857="D",1,0)</f>
        <v>0</v>
      </c>
      <c r="AY1857" s="0" t="n">
        <f aca="false">COUNTIF(DU1857:EH1857, "&lt;&gt;")</f>
        <v>2</v>
      </c>
      <c r="AZ1857" s="0" t="n">
        <f aca="false">IF(EH1857&lt;&gt;"",1,0)</f>
        <v>0</v>
      </c>
      <c r="BB1857" s="0" t="s">
        <v>152</v>
      </c>
      <c r="CP1857" s="0" t="s">
        <v>153</v>
      </c>
      <c r="DN1857" s="0" t="s">
        <v>153</v>
      </c>
      <c r="DU1857" s="0" t="s">
        <v>153</v>
      </c>
      <c r="EF1857" s="0" t="s">
        <v>153</v>
      </c>
    </row>
    <row r="1858" customFormat="false" ht="13.8" hidden="false" customHeight="false" outlineLevel="0" collapsed="false">
      <c r="A1858" s="0" t="s">
        <v>8293</v>
      </c>
      <c r="B1858" s="0" t="n">
        <v>78</v>
      </c>
      <c r="C1858" s="0" t="n">
        <v>451238</v>
      </c>
      <c r="D1858" s="0" t="s">
        <v>8289</v>
      </c>
      <c r="E1858" s="0" t="s">
        <v>3410</v>
      </c>
      <c r="F1858" s="0" t="str">
        <f aca="false">CONCATENATE(D1858," ",LEFT(H1858,4),"T=",AU1858,"D=",AV1858,"R=",AW1858,"M=",AX1858,"L=",AY1858,"B=",AZ1858)</f>
        <v>GABEL T=3D=0R=0M=1L=2B=0</v>
      </c>
      <c r="G1858" s="0" t="s">
        <v>600</v>
      </c>
      <c r="I1858" s="0" t="s">
        <v>8294</v>
      </c>
      <c r="J1858" s="0" t="s">
        <v>7687</v>
      </c>
      <c r="K1858" s="0" t="s">
        <v>160</v>
      </c>
      <c r="M1858" s="0" t="s">
        <v>8292</v>
      </c>
      <c r="N1858" s="0" t="str">
        <f aca="false">RIGHT(M1858,LEN(M1858)-FIND(" ",M1858))</f>
        <v>OAK KNOLL AVE SE</v>
      </c>
      <c r="P1858" s="0" t="s">
        <v>145</v>
      </c>
      <c r="Q1858" s="0" t="s">
        <v>146</v>
      </c>
      <c r="R1858" s="0" t="n">
        <v>44484</v>
      </c>
      <c r="AD1858" s="0" t="s">
        <v>147</v>
      </c>
      <c r="AE1858" s="0" t="s">
        <v>148</v>
      </c>
      <c r="AF1858" s="0" t="s">
        <v>149</v>
      </c>
      <c r="AH1858" s="0" t="n">
        <v>14</v>
      </c>
      <c r="AI1858" s="0" t="n">
        <v>11</v>
      </c>
      <c r="AN1858" s="0" t="s">
        <v>145</v>
      </c>
      <c r="AO1858" s="0" t="s">
        <v>150</v>
      </c>
      <c r="AP1858" s="0" t="s">
        <v>151</v>
      </c>
      <c r="AQ1858" s="0" t="n">
        <v>9</v>
      </c>
      <c r="AR1858" s="0" t="n">
        <v>64</v>
      </c>
      <c r="AS1858" s="0" t="n">
        <v>32</v>
      </c>
      <c r="AU1858" s="0" t="n">
        <f aca="false">COUNTA($BA$297:$EH$297)</f>
        <v>3</v>
      </c>
      <c r="AV1858" s="0" t="n">
        <f aca="false">COUNTIF($BA$297:$EH$297,"D")</f>
        <v>0</v>
      </c>
      <c r="AW1858" s="0" t="n">
        <f aca="false">COUNTIF($BA$297:$EH$297,"R")</f>
        <v>0</v>
      </c>
      <c r="AX1858" s="0" t="n">
        <f aca="false">IF(BN1858="D",1,0)+IF(BO1858="D",1,0)+IF(BT1858="D",1,0)+IF(BU1858="D",1,0)+IF(BW1858="D",1,0)+IF(CC1858="D",1,0)+IF(CD1858="D",1,0)+IF(CE1858="D",1,0)+IF(CF1858="D",1,0)+IF(CL1858="D",1,0)+IF(CM1858="D",1,0)+IF(CQ1858="D",1,0)+IF(CR1858="D",1,0)+IF(CS1858="D",1,0)+IF(CW1858="D",1,0)+IF(CX1858="D",1,0)+IF(DD1858="D",1,0)+IF(DE1858="D",1,0)+IF(DJ1858="D",1,0)+IF(DK1858="D",1,0)+IF(DO1858="D",1,0)+IF(DP1858="D",1,0)+IF(DQ1858="D",1,0)+IF(DW1858="D",1,0)+IF(DZ1858="D",1,0)+IF(EH1858="D",1,0)</f>
        <v>1</v>
      </c>
      <c r="AY1858" s="0" t="n">
        <f aca="false">COUNTIF(DU1858:EH1858, "&lt;&gt;")</f>
        <v>2</v>
      </c>
      <c r="AZ1858" s="0" t="n">
        <f aca="false">IF(EH1858&lt;&gt;"",1,0)</f>
        <v>0</v>
      </c>
      <c r="BB1858" s="0" t="s">
        <v>152</v>
      </c>
      <c r="BD1858" s="0" t="s">
        <v>153</v>
      </c>
      <c r="BF1858" s="0" t="s">
        <v>153</v>
      </c>
      <c r="BH1858" s="0" t="s">
        <v>153</v>
      </c>
      <c r="BJ1858" s="0" t="s">
        <v>153</v>
      </c>
      <c r="BL1858" s="0" t="s">
        <v>153</v>
      </c>
      <c r="BP1858" s="0" t="s">
        <v>153</v>
      </c>
      <c r="BR1858" s="0" t="s">
        <v>175</v>
      </c>
      <c r="BS1858" s="0" t="s">
        <v>153</v>
      </c>
      <c r="CA1858" s="0" t="s">
        <v>153</v>
      </c>
      <c r="CD1858" s="0" t="s">
        <v>175</v>
      </c>
      <c r="CG1858" s="0" t="s">
        <v>153</v>
      </c>
      <c r="CK1858" s="0" t="s">
        <v>153</v>
      </c>
      <c r="CN1858" s="0" t="s">
        <v>153</v>
      </c>
      <c r="CP1858" s="0" t="s">
        <v>153</v>
      </c>
      <c r="CT1858" s="0" t="s">
        <v>153</v>
      </c>
      <c r="CY1858" s="0" t="s">
        <v>153</v>
      </c>
      <c r="DC1858" s="0" t="s">
        <v>153</v>
      </c>
      <c r="DI1858" s="0" t="s">
        <v>153</v>
      </c>
      <c r="DN1858" s="0" t="s">
        <v>153</v>
      </c>
      <c r="DU1858" s="0" t="s">
        <v>153</v>
      </c>
      <c r="EF1858" s="0" t="s">
        <v>153</v>
      </c>
    </row>
    <row r="1859" customFormat="false" ht="13.8" hidden="false" customHeight="false" outlineLevel="0" collapsed="false">
      <c r="A1859" s="0" t="s">
        <v>8295</v>
      </c>
      <c r="B1859" s="0" t="n">
        <v>78</v>
      </c>
      <c r="C1859" s="0" t="n">
        <v>274971</v>
      </c>
      <c r="D1859" s="0" t="s">
        <v>8296</v>
      </c>
      <c r="E1859" s="0" t="s">
        <v>6827</v>
      </c>
      <c r="F1859" s="0" t="str">
        <f aca="false">CONCATENATE(D1859," ",LEFT(H1859,4),"T=",AU1859,"D=",AV1859,"R=",AW1859,"M=",AX1859,"L=",AY1859,"B=",AZ1859)</f>
        <v>ROBSON T=9D=0R=0M=0L=5B=0</v>
      </c>
      <c r="G1859" s="0" t="s">
        <v>171</v>
      </c>
      <c r="I1859" s="0" t="s">
        <v>8297</v>
      </c>
      <c r="J1859" s="0" t="s">
        <v>5179</v>
      </c>
      <c r="K1859" s="0" t="s">
        <v>160</v>
      </c>
      <c r="L1859" s="0" t="s">
        <v>209</v>
      </c>
      <c r="M1859" s="0" t="s">
        <v>8298</v>
      </c>
      <c r="N1859" s="0" t="str">
        <f aca="false">RIGHT(M1859,LEN(M1859)-FIND(" ",M1859))</f>
        <v>OAK KNOLL AVE SE</v>
      </c>
      <c r="P1859" s="0" t="s">
        <v>145</v>
      </c>
      <c r="Q1859" s="0" t="s">
        <v>146</v>
      </c>
      <c r="R1859" s="0" t="n">
        <v>44484</v>
      </c>
      <c r="AD1859" s="0" t="s">
        <v>147</v>
      </c>
      <c r="AE1859" s="0" t="s">
        <v>148</v>
      </c>
      <c r="AF1859" s="0" t="s">
        <v>149</v>
      </c>
      <c r="AH1859" s="0" t="n">
        <v>14</v>
      </c>
      <c r="AI1859" s="0" t="n">
        <v>11</v>
      </c>
      <c r="AN1859" s="0" t="s">
        <v>145</v>
      </c>
      <c r="AO1859" s="0" t="s">
        <v>150</v>
      </c>
      <c r="AP1859" s="0" t="s">
        <v>151</v>
      </c>
      <c r="AQ1859" s="0" t="n">
        <v>9</v>
      </c>
      <c r="AR1859" s="0" t="n">
        <v>64</v>
      </c>
      <c r="AS1859" s="0" t="n">
        <v>32</v>
      </c>
      <c r="AU1859" s="0" t="n">
        <f aca="false">COUNTA($BA$183:$EH$183)</f>
        <v>9</v>
      </c>
      <c r="AV1859" s="0" t="n">
        <f aca="false">COUNTIF($BA$183:$EH$183,"D")</f>
        <v>0</v>
      </c>
      <c r="AW1859" s="0" t="n">
        <f aca="false">COUNTIF($BA$183:$EH$183,"R")</f>
        <v>0</v>
      </c>
      <c r="AX1859" s="0" t="n">
        <f aca="false">IF(BN1859="D",1,0)+IF(BO1859="D",1,0)+IF(BT1859="D",1,0)+IF(BU1859="D",1,0)+IF(BW1859="D",1,0)+IF(CC1859="D",1,0)+IF(CD1859="D",1,0)+IF(CE1859="D",1,0)+IF(CF1859="D",1,0)+IF(CL1859="D",1,0)+IF(CM1859="D",1,0)+IF(CQ1859="D",1,0)+IF(CR1859="D",1,0)+IF(CS1859="D",1,0)+IF(CW1859="D",1,0)+IF(CX1859="D",1,0)+IF(DD1859="D",1,0)+IF(DE1859="D",1,0)+IF(DJ1859="D",1,0)+IF(DK1859="D",1,0)+IF(DO1859="D",1,0)+IF(DP1859="D",1,0)+IF(DQ1859="D",1,0)+IF(DW1859="D",1,0)+IF(DZ1859="D",1,0)+IF(EH1859="D",1,0)</f>
        <v>0</v>
      </c>
      <c r="AY1859" s="0" t="n">
        <f aca="false">COUNTIF(DU1859:EH1859, "&lt;&gt;")</f>
        <v>5</v>
      </c>
      <c r="AZ1859" s="0" t="n">
        <f aca="false">IF(EH1859&lt;&gt;"",1,0)</f>
        <v>0</v>
      </c>
      <c r="BB1859" s="0" t="s">
        <v>152</v>
      </c>
      <c r="BC1859" s="0" t="s">
        <v>153</v>
      </c>
      <c r="BD1859" s="0" t="s">
        <v>153</v>
      </c>
      <c r="BH1859" s="0" t="s">
        <v>153</v>
      </c>
      <c r="BK1859" s="0" t="s">
        <v>153</v>
      </c>
      <c r="BL1859" s="0" t="s">
        <v>153</v>
      </c>
      <c r="BS1859" s="0" t="s">
        <v>153</v>
      </c>
      <c r="BY1859" s="0" t="s">
        <v>209</v>
      </c>
      <c r="CA1859" s="0" t="s">
        <v>153</v>
      </c>
      <c r="CK1859" s="0" t="s">
        <v>153</v>
      </c>
      <c r="CN1859" s="0" t="s">
        <v>153</v>
      </c>
      <c r="CO1859" s="0" t="s">
        <v>209</v>
      </c>
      <c r="CP1859" s="0" t="s">
        <v>153</v>
      </c>
      <c r="CV1859" s="0" t="s">
        <v>153</v>
      </c>
      <c r="CY1859" s="0" t="s">
        <v>153</v>
      </c>
      <c r="CZ1859" s="0" t="s">
        <v>209</v>
      </c>
      <c r="DC1859" s="0" t="s">
        <v>153</v>
      </c>
      <c r="DF1859" s="0" t="s">
        <v>153</v>
      </c>
      <c r="DI1859" s="0" t="s">
        <v>153</v>
      </c>
      <c r="DL1859" s="0" t="s">
        <v>153</v>
      </c>
      <c r="DM1859" s="0" t="s">
        <v>209</v>
      </c>
      <c r="DN1859" s="0" t="s">
        <v>153</v>
      </c>
      <c r="DS1859" s="0" t="s">
        <v>209</v>
      </c>
      <c r="DU1859" s="0" t="s">
        <v>153</v>
      </c>
      <c r="DX1859" s="0" t="s">
        <v>153</v>
      </c>
      <c r="EA1859" s="0" t="s">
        <v>153</v>
      </c>
      <c r="ED1859" s="0" t="s">
        <v>209</v>
      </c>
      <c r="EF1859" s="0" t="s">
        <v>153</v>
      </c>
    </row>
    <row r="1860" customFormat="false" ht="13.8" hidden="false" customHeight="false" outlineLevel="0" collapsed="false">
      <c r="A1860" s="0" t="s">
        <v>8299</v>
      </c>
      <c r="B1860" s="0" t="n">
        <v>78</v>
      </c>
      <c r="C1860" s="0" t="n">
        <v>267985</v>
      </c>
      <c r="D1860" s="0" t="s">
        <v>8300</v>
      </c>
      <c r="E1860" s="0" t="s">
        <v>4629</v>
      </c>
      <c r="F1860" s="0" t="str">
        <f aca="false">CONCATENATE(D1860," ",LEFT(H1860,4),"T=",AU1860,"D=",AV1860,"R=",AW1860,"M=",AX1860,"L=",AY1860,"B=",AZ1860)</f>
        <v>ESHELMAN T=3D=0R=0M=0L=3B=0</v>
      </c>
      <c r="G1860" s="0" t="s">
        <v>325</v>
      </c>
      <c r="I1860" s="0" t="s">
        <v>8301</v>
      </c>
      <c r="J1860" s="0" t="s">
        <v>8302</v>
      </c>
      <c r="K1860" s="0" t="s">
        <v>160</v>
      </c>
      <c r="M1860" s="0" t="s">
        <v>8303</v>
      </c>
      <c r="N1860" s="0" t="str">
        <f aca="false">RIGHT(M1860,LEN(M1860)-FIND(" ",M1860))</f>
        <v>OAK KNOLL AVE SE</v>
      </c>
      <c r="P1860" s="0" t="s">
        <v>145</v>
      </c>
      <c r="Q1860" s="0" t="s">
        <v>146</v>
      </c>
      <c r="R1860" s="0" t="n">
        <v>44484</v>
      </c>
      <c r="AD1860" s="0" t="s">
        <v>147</v>
      </c>
      <c r="AE1860" s="0" t="s">
        <v>148</v>
      </c>
      <c r="AF1860" s="0" t="s">
        <v>149</v>
      </c>
      <c r="AH1860" s="0" t="n">
        <v>14</v>
      </c>
      <c r="AI1860" s="0" t="n">
        <v>11</v>
      </c>
      <c r="AN1860" s="0" t="s">
        <v>145</v>
      </c>
      <c r="AO1860" s="0" t="s">
        <v>150</v>
      </c>
      <c r="AP1860" s="0" t="s">
        <v>151</v>
      </c>
      <c r="AQ1860" s="0" t="n">
        <v>9</v>
      </c>
      <c r="AR1860" s="0" t="n">
        <v>64</v>
      </c>
      <c r="AS1860" s="0" t="n">
        <v>32</v>
      </c>
      <c r="AU1860" s="0" t="n">
        <f aca="false">COUNTA($BA$190:$EH$190)</f>
        <v>3</v>
      </c>
      <c r="AV1860" s="0" t="n">
        <f aca="false">COUNTIF($BA$190:$EH$190,"D")</f>
        <v>0</v>
      </c>
      <c r="AW1860" s="0" t="n">
        <f aca="false">COUNTIF($BA$190:$EH$190,"R")</f>
        <v>0</v>
      </c>
      <c r="AX1860" s="0" t="n">
        <f aca="false">IF(BN1860="D",1,0)+IF(BO1860="D",1,0)+IF(BT1860="D",1,0)+IF(BU1860="D",1,0)+IF(BW1860="D",1,0)+IF(CC1860="D",1,0)+IF(CD1860="D",1,0)+IF(CE1860="D",1,0)+IF(CF1860="D",1,0)+IF(CL1860="D",1,0)+IF(CM1860="D",1,0)+IF(CQ1860="D",1,0)+IF(CR1860="D",1,0)+IF(CS1860="D",1,0)+IF(CW1860="D",1,0)+IF(CX1860="D",1,0)+IF(DD1860="D",1,0)+IF(DE1860="D",1,0)+IF(DJ1860="D",1,0)+IF(DK1860="D",1,0)+IF(DO1860="D",1,0)+IF(DP1860="D",1,0)+IF(DQ1860="D",1,0)+IF(DW1860="D",1,0)+IF(DZ1860="D",1,0)+IF(EH1860="D",1,0)</f>
        <v>0</v>
      </c>
      <c r="AY1860" s="0" t="n">
        <f aca="false">COUNTIF(DU1860:EH1860, "&lt;&gt;")</f>
        <v>3</v>
      </c>
      <c r="AZ1860" s="0" t="n">
        <f aca="false">IF(EH1860&lt;&gt;"",1,0)</f>
        <v>0</v>
      </c>
      <c r="BB1860" s="0" t="s">
        <v>152</v>
      </c>
      <c r="BC1860" s="0" t="s">
        <v>153</v>
      </c>
      <c r="BD1860" s="0" t="s">
        <v>153</v>
      </c>
      <c r="BF1860" s="0" t="s">
        <v>153</v>
      </c>
      <c r="BH1860" s="0" t="s">
        <v>153</v>
      </c>
      <c r="BJ1860" s="0" t="s">
        <v>153</v>
      </c>
      <c r="BK1860" s="0" t="s">
        <v>153</v>
      </c>
      <c r="BL1860" s="0" t="s">
        <v>153</v>
      </c>
      <c r="BP1860" s="0" t="s">
        <v>153</v>
      </c>
      <c r="BS1860" s="0" t="s">
        <v>153</v>
      </c>
      <c r="BY1860" s="0" t="s">
        <v>209</v>
      </c>
      <c r="CA1860" s="0" t="s">
        <v>153</v>
      </c>
      <c r="CG1860" s="0" t="s">
        <v>153</v>
      </c>
      <c r="CK1860" s="0" t="s">
        <v>153</v>
      </c>
      <c r="CN1860" s="0" t="s">
        <v>153</v>
      </c>
      <c r="CO1860" s="0" t="s">
        <v>209</v>
      </c>
      <c r="CP1860" s="0" t="s">
        <v>153</v>
      </c>
      <c r="CV1860" s="0" t="s">
        <v>153</v>
      </c>
      <c r="CY1860" s="0" t="s">
        <v>153</v>
      </c>
      <c r="CZ1860" s="0" t="s">
        <v>209</v>
      </c>
      <c r="DC1860" s="0" t="s">
        <v>153</v>
      </c>
      <c r="DI1860" s="0" t="s">
        <v>153</v>
      </c>
      <c r="DL1860" s="0" t="s">
        <v>153</v>
      </c>
      <c r="DN1860" s="0" t="s">
        <v>153</v>
      </c>
      <c r="DU1860" s="0" t="s">
        <v>153</v>
      </c>
      <c r="EA1860" s="0" t="s">
        <v>153</v>
      </c>
      <c r="EF1860" s="0" t="s">
        <v>153</v>
      </c>
    </row>
    <row r="1861" customFormat="false" ht="13.8" hidden="false" customHeight="false" outlineLevel="0" collapsed="false">
      <c r="A1861" s="0" t="s">
        <v>8304</v>
      </c>
      <c r="B1861" s="0" t="n">
        <v>78</v>
      </c>
      <c r="C1861" s="0" t="n">
        <v>407234</v>
      </c>
      <c r="D1861" s="0" t="s">
        <v>8305</v>
      </c>
      <c r="E1861" s="0" t="s">
        <v>8306</v>
      </c>
      <c r="F1861" s="0" t="str">
        <f aca="false">CONCATENATE(D1861," ",LEFT(H1861,4),"T=",AU1861,"D=",AV1861,"R=",AW1861,"M=",AX1861,"L=",AY1861,"B=",AZ1861)</f>
        <v>HARRINGTON T=1D=0R=0M=0L=5B=0</v>
      </c>
      <c r="G1861" s="0" t="s">
        <v>164</v>
      </c>
      <c r="I1861" s="0" t="s">
        <v>8307</v>
      </c>
      <c r="J1861" s="0" t="s">
        <v>1433</v>
      </c>
      <c r="K1861" s="0" t="s">
        <v>160</v>
      </c>
      <c r="L1861" s="0" t="s">
        <v>209</v>
      </c>
      <c r="M1861" s="0" t="s">
        <v>8303</v>
      </c>
      <c r="N1861" s="0" t="str">
        <f aca="false">RIGHT(M1861,LEN(M1861)-FIND(" ",M1861))</f>
        <v>OAK KNOLL AVE SE</v>
      </c>
      <c r="P1861" s="0" t="s">
        <v>145</v>
      </c>
      <c r="Q1861" s="0" t="s">
        <v>146</v>
      </c>
      <c r="R1861" s="0" t="n">
        <v>44484</v>
      </c>
      <c r="AD1861" s="0" t="s">
        <v>147</v>
      </c>
      <c r="AE1861" s="0" t="s">
        <v>148</v>
      </c>
      <c r="AF1861" s="0" t="s">
        <v>149</v>
      </c>
      <c r="AH1861" s="0" t="n">
        <v>14</v>
      </c>
      <c r="AI1861" s="0" t="n">
        <v>11</v>
      </c>
      <c r="AN1861" s="0" t="s">
        <v>145</v>
      </c>
      <c r="AO1861" s="0" t="s">
        <v>150</v>
      </c>
      <c r="AP1861" s="0" t="s">
        <v>151</v>
      </c>
      <c r="AQ1861" s="0" t="n">
        <v>9</v>
      </c>
      <c r="AR1861" s="0" t="n">
        <v>64</v>
      </c>
      <c r="AS1861" s="0" t="n">
        <v>32</v>
      </c>
      <c r="AU1861" s="0" t="n">
        <f aca="false">COUNTA($BA$222:$EH$222)</f>
        <v>1</v>
      </c>
      <c r="AV1861" s="0" t="n">
        <f aca="false">COUNTIF($BA$222:$EH$222,"D")</f>
        <v>0</v>
      </c>
      <c r="AW1861" s="0" t="n">
        <f aca="false">COUNTIF($BA$222:$EH$222,"R")</f>
        <v>0</v>
      </c>
      <c r="AX1861" s="0" t="n">
        <f aca="false">IF(BN1861="D",1,0)+IF(BO1861="D",1,0)+IF(BT1861="D",1,0)+IF(BU1861="D",1,0)+IF(BW1861="D",1,0)+IF(CC1861="D",1,0)+IF(CD1861="D",1,0)+IF(CE1861="D",1,0)+IF(CF1861="D",1,0)+IF(CL1861="D",1,0)+IF(CM1861="D",1,0)+IF(CQ1861="D",1,0)+IF(CR1861="D",1,0)+IF(CS1861="D",1,0)+IF(CW1861="D",1,0)+IF(CX1861="D",1,0)+IF(DD1861="D",1,0)+IF(DE1861="D",1,0)+IF(DJ1861="D",1,0)+IF(DK1861="D",1,0)+IF(DO1861="D",1,0)+IF(DP1861="D",1,0)+IF(DQ1861="D",1,0)+IF(DW1861="D",1,0)+IF(DZ1861="D",1,0)+IF(EH1861="D",1,0)</f>
        <v>0</v>
      </c>
      <c r="AY1861" s="0" t="n">
        <f aca="false">COUNTIF(DU1861:EH1861, "&lt;&gt;")</f>
        <v>5</v>
      </c>
      <c r="AZ1861" s="0" t="n">
        <f aca="false">IF(EH1861&lt;&gt;"",1,0)</f>
        <v>0</v>
      </c>
      <c r="BB1861" s="0" t="s">
        <v>152</v>
      </c>
      <c r="BL1861" s="0" t="s">
        <v>153</v>
      </c>
      <c r="BP1861" s="0" t="s">
        <v>153</v>
      </c>
      <c r="CY1861" s="0" t="s">
        <v>153</v>
      </c>
      <c r="CZ1861" s="0" t="s">
        <v>209</v>
      </c>
      <c r="DI1861" s="0" t="s">
        <v>153</v>
      </c>
      <c r="DN1861" s="0" t="s">
        <v>153</v>
      </c>
      <c r="DU1861" s="0" t="s">
        <v>153</v>
      </c>
      <c r="DX1861" s="0" t="s">
        <v>153</v>
      </c>
      <c r="EA1861" s="0" t="s">
        <v>153</v>
      </c>
      <c r="ED1861" s="0" t="s">
        <v>209</v>
      </c>
      <c r="EF1861" s="0" t="s">
        <v>153</v>
      </c>
    </row>
    <row r="1862" customFormat="false" ht="13.8" hidden="false" customHeight="false" outlineLevel="0" collapsed="false">
      <c r="A1862" s="0" t="s">
        <v>8308</v>
      </c>
      <c r="B1862" s="0" t="n">
        <v>78</v>
      </c>
      <c r="C1862" s="0" t="n">
        <v>464634</v>
      </c>
      <c r="D1862" s="0" t="s">
        <v>8309</v>
      </c>
      <c r="E1862" s="0" t="s">
        <v>6066</v>
      </c>
      <c r="F1862" s="0" t="str">
        <f aca="false">CONCATENATE(D1862," ",LEFT(H1862,4),"T=",AU1862,"D=",AV1862,"R=",AW1862,"M=",AX1862,"L=",AY1862,"B=",AZ1862)</f>
        <v>LOVE T=37D=14R=1M=0L=5B=0</v>
      </c>
      <c r="G1862" s="0" t="s">
        <v>890</v>
      </c>
      <c r="I1862" s="0" t="s">
        <v>8310</v>
      </c>
      <c r="J1862" s="0" t="s">
        <v>4615</v>
      </c>
      <c r="K1862" s="0" t="s">
        <v>160</v>
      </c>
      <c r="L1862" s="0" t="s">
        <v>209</v>
      </c>
      <c r="M1862" s="0" t="s">
        <v>8303</v>
      </c>
      <c r="N1862" s="0" t="str">
        <f aca="false">RIGHT(M1862,LEN(M1862)-FIND(" ",M1862))</f>
        <v>OAK KNOLL AVE SE</v>
      </c>
      <c r="P1862" s="0" t="s">
        <v>145</v>
      </c>
      <c r="Q1862" s="0" t="s">
        <v>146</v>
      </c>
      <c r="R1862" s="0" t="n">
        <v>44484</v>
      </c>
      <c r="AD1862" s="0" t="s">
        <v>147</v>
      </c>
      <c r="AE1862" s="0" t="s">
        <v>148</v>
      </c>
      <c r="AF1862" s="0" t="s">
        <v>149</v>
      </c>
      <c r="AH1862" s="0" t="n">
        <v>14</v>
      </c>
      <c r="AI1862" s="0" t="n">
        <v>11</v>
      </c>
      <c r="AN1862" s="0" t="s">
        <v>145</v>
      </c>
      <c r="AO1862" s="0" t="s">
        <v>150</v>
      </c>
      <c r="AP1862" s="0" t="s">
        <v>151</v>
      </c>
      <c r="AQ1862" s="0" t="n">
        <v>9</v>
      </c>
      <c r="AR1862" s="0" t="n">
        <v>64</v>
      </c>
      <c r="AS1862" s="0" t="n">
        <v>32</v>
      </c>
      <c r="AU1862" s="0" t="n">
        <f aca="false">COUNTA($BA$663:$EH$663)</f>
        <v>37</v>
      </c>
      <c r="AV1862" s="0" t="n">
        <f aca="false">COUNTIF($BA$663:$EH$663,"D")</f>
        <v>14</v>
      </c>
      <c r="AW1862" s="0" t="n">
        <f aca="false">COUNTIF($BA$663:$EH$663,"R")</f>
        <v>1</v>
      </c>
      <c r="AX1862" s="0" t="n">
        <f aca="false">IF(BN1862="D",1,0)+IF(BO1862="D",1,0)+IF(BT1862="D",1,0)+IF(BU1862="D",1,0)+IF(BW1862="D",1,0)+IF(CC1862="D",1,0)+IF(CD1862="D",1,0)+IF(CE1862="D",1,0)+IF(CF1862="D",1,0)+IF(CL1862="D",1,0)+IF(CM1862="D",1,0)+IF(CQ1862="D",1,0)+IF(CR1862="D",1,0)+IF(CS1862="D",1,0)+IF(CW1862="D",1,0)+IF(CX1862="D",1,0)+IF(DD1862="D",1,0)+IF(DE1862="D",1,0)+IF(DJ1862="D",1,0)+IF(DK1862="D",1,0)+IF(DO1862="D",1,0)+IF(DP1862="D",1,0)+IF(DQ1862="D",1,0)+IF(DW1862="D",1,0)+IF(DZ1862="D",1,0)+IF(EH1862="D",1,0)</f>
        <v>0</v>
      </c>
      <c r="AY1862" s="0" t="n">
        <f aca="false">COUNTIF(DU1862:EH1862, "&lt;&gt;")</f>
        <v>5</v>
      </c>
      <c r="AZ1862" s="0" t="n">
        <f aca="false">IF(EH1862&lt;&gt;"",1,0)</f>
        <v>0</v>
      </c>
      <c r="BB1862" s="0" t="s">
        <v>152</v>
      </c>
      <c r="DU1862" s="0" t="s">
        <v>153</v>
      </c>
      <c r="DX1862" s="0" t="s">
        <v>153</v>
      </c>
      <c r="EA1862" s="0" t="s">
        <v>153</v>
      </c>
      <c r="ED1862" s="0" t="s">
        <v>209</v>
      </c>
      <c r="EF1862" s="0" t="s">
        <v>153</v>
      </c>
    </row>
    <row r="1863" customFormat="false" ht="13.8" hidden="false" customHeight="false" outlineLevel="0" collapsed="false">
      <c r="A1863" s="0" t="s">
        <v>8311</v>
      </c>
      <c r="B1863" s="0" t="n">
        <v>78</v>
      </c>
      <c r="C1863" s="0" t="n">
        <v>240119</v>
      </c>
      <c r="D1863" s="0" t="s">
        <v>8312</v>
      </c>
      <c r="E1863" s="0" t="s">
        <v>8313</v>
      </c>
      <c r="F1863" s="0" t="str">
        <f aca="false">CONCATENATE(D1863," ",LEFT(H1863,4),"T=",AU1863,"D=",AV1863,"R=",AW1863,"M=",AX1863,"L=",AY1863,"B=",AZ1863)</f>
        <v>FERRY T=1D=0R=0M=0L=2B=0</v>
      </c>
      <c r="G1863" s="0" t="s">
        <v>325</v>
      </c>
      <c r="I1863" s="0" t="s">
        <v>8314</v>
      </c>
      <c r="J1863" s="0" t="s">
        <v>1220</v>
      </c>
      <c r="K1863" s="0" t="s">
        <v>160</v>
      </c>
      <c r="M1863" s="0" t="s">
        <v>8315</v>
      </c>
      <c r="N1863" s="0" t="str">
        <f aca="false">RIGHT(M1863,LEN(M1863)-FIND(" ",M1863))</f>
        <v>OAK KNOLL AVE SE</v>
      </c>
      <c r="P1863" s="0" t="s">
        <v>145</v>
      </c>
      <c r="Q1863" s="0" t="s">
        <v>146</v>
      </c>
      <c r="R1863" s="0" t="n">
        <v>44484</v>
      </c>
      <c r="AD1863" s="0" t="s">
        <v>147</v>
      </c>
      <c r="AE1863" s="0" t="s">
        <v>148</v>
      </c>
      <c r="AF1863" s="0" t="s">
        <v>149</v>
      </c>
      <c r="AH1863" s="0" t="n">
        <v>14</v>
      </c>
      <c r="AI1863" s="0" t="n">
        <v>11</v>
      </c>
      <c r="AN1863" s="0" t="s">
        <v>145</v>
      </c>
      <c r="AO1863" s="0" t="s">
        <v>150</v>
      </c>
      <c r="AP1863" s="0" t="s">
        <v>151</v>
      </c>
      <c r="AQ1863" s="0" t="n">
        <v>9</v>
      </c>
      <c r="AR1863" s="0" t="n">
        <v>64</v>
      </c>
      <c r="AS1863" s="0" t="n">
        <v>32</v>
      </c>
      <c r="AU1863" s="0" t="n">
        <f aca="false">COUNTA($BA$822:$EH$822)</f>
        <v>1</v>
      </c>
      <c r="AV1863" s="0" t="n">
        <f aca="false">COUNTIF($BA$822:$EH$822,"D")</f>
        <v>0</v>
      </c>
      <c r="AW1863" s="0" t="n">
        <f aca="false">COUNTIF($BA$822:$EH$822,"R")</f>
        <v>0</v>
      </c>
      <c r="AX1863" s="0" t="n">
        <f aca="false">IF(BN1863="D",1,0)+IF(BO1863="D",1,0)+IF(BT1863="D",1,0)+IF(BU1863="D",1,0)+IF(BW1863="D",1,0)+IF(CC1863="D",1,0)+IF(CD1863="D",1,0)+IF(CE1863="D",1,0)+IF(CF1863="D",1,0)+IF(CL1863="D",1,0)+IF(CM1863="D",1,0)+IF(CQ1863="D",1,0)+IF(CR1863="D",1,0)+IF(CS1863="D",1,0)+IF(CW1863="D",1,0)+IF(CX1863="D",1,0)+IF(DD1863="D",1,0)+IF(DE1863="D",1,0)+IF(DJ1863="D",1,0)+IF(DK1863="D",1,0)+IF(DO1863="D",1,0)+IF(DP1863="D",1,0)+IF(DQ1863="D",1,0)+IF(DW1863="D",1,0)+IF(DZ1863="D",1,0)+IF(EH1863="D",1,0)</f>
        <v>0</v>
      </c>
      <c r="AY1863" s="0" t="n">
        <f aca="false">COUNTIF(DU1863:EH1863, "&lt;&gt;")</f>
        <v>2</v>
      </c>
      <c r="AZ1863" s="0" t="n">
        <f aca="false">IF(EH1863&lt;&gt;"",1,0)</f>
        <v>0</v>
      </c>
      <c r="BB1863" s="0" t="s">
        <v>152</v>
      </c>
      <c r="BD1863" s="0" t="s">
        <v>153</v>
      </c>
      <c r="BF1863" s="0" t="s">
        <v>153</v>
      </c>
      <c r="BG1863" s="0" t="s">
        <v>153</v>
      </c>
      <c r="BH1863" s="0" t="s">
        <v>153</v>
      </c>
      <c r="BJ1863" s="0" t="s">
        <v>153</v>
      </c>
      <c r="BK1863" s="0" t="s">
        <v>153</v>
      </c>
      <c r="BL1863" s="0" t="s">
        <v>153</v>
      </c>
      <c r="BY1863" s="0" t="s">
        <v>175</v>
      </c>
      <c r="CA1863" s="0" t="s">
        <v>153</v>
      </c>
      <c r="CZ1863" s="0" t="s">
        <v>175</v>
      </c>
      <c r="DC1863" s="0" t="s">
        <v>153</v>
      </c>
      <c r="DI1863" s="0" t="s">
        <v>153</v>
      </c>
      <c r="EA1863" s="0" t="s">
        <v>153</v>
      </c>
      <c r="EF1863" s="0" t="s">
        <v>153</v>
      </c>
    </row>
    <row r="1864" customFormat="false" ht="13.8" hidden="true" customHeight="false" outlineLevel="0" collapsed="false">
      <c r="A1864" s="0" t="s">
        <v>8316</v>
      </c>
      <c r="B1864" s="0" t="n">
        <v>78</v>
      </c>
      <c r="C1864" s="0" t="n">
        <v>309569</v>
      </c>
      <c r="D1864" s="0" t="s">
        <v>8317</v>
      </c>
      <c r="E1864" s="0" t="s">
        <v>4448</v>
      </c>
      <c r="F1864" s="0" t="str">
        <f aca="false">CONCATENATE(D1864," ",LEFT(H1864,4),"T=",AU1864,"D=",AV1864,"R=",AW1864,"M=",AX1864,"L=",AY1864,"B=",AZ1864)</f>
        <v>MORSE T=1D=0R=0M=0L=0B=0</v>
      </c>
      <c r="G1864" s="0" t="s">
        <v>190</v>
      </c>
      <c r="I1864" s="0" t="s">
        <v>8318</v>
      </c>
      <c r="J1864" s="0" t="s">
        <v>787</v>
      </c>
      <c r="K1864" s="0" t="s">
        <v>143</v>
      </c>
      <c r="M1864" s="0" t="s">
        <v>8319</v>
      </c>
      <c r="N1864" s="0" t="str">
        <f aca="false">RIGHT(M1864,LEN(M1864)-FIND(" ",M1864))</f>
        <v>OAK KNOLL AVE SE</v>
      </c>
      <c r="P1864" s="0" t="s">
        <v>145</v>
      </c>
      <c r="Q1864" s="0" t="s">
        <v>146</v>
      </c>
      <c r="R1864" s="0" t="n">
        <v>44484</v>
      </c>
      <c r="AD1864" s="0" t="s">
        <v>147</v>
      </c>
      <c r="AE1864" s="0" t="s">
        <v>148</v>
      </c>
      <c r="AF1864" s="0" t="s">
        <v>149</v>
      </c>
      <c r="AH1864" s="0" t="n">
        <v>14</v>
      </c>
      <c r="AI1864" s="0" t="n">
        <v>11</v>
      </c>
      <c r="AN1864" s="0" t="s">
        <v>145</v>
      </c>
      <c r="AO1864" s="0" t="s">
        <v>150</v>
      </c>
      <c r="AP1864" s="0" t="s">
        <v>151</v>
      </c>
      <c r="AQ1864" s="0" t="n">
        <v>9</v>
      </c>
      <c r="AR1864" s="0" t="n">
        <v>64</v>
      </c>
      <c r="AS1864" s="0" t="n">
        <v>32</v>
      </c>
      <c r="AU1864" s="0" t="n">
        <f aca="false">COUNTA($BA$379:$EH$379)</f>
        <v>1</v>
      </c>
      <c r="AV1864" s="0" t="n">
        <f aca="false">COUNTIF($BA$379:$EH$379,"D")</f>
        <v>0</v>
      </c>
      <c r="AW1864" s="0" t="n">
        <f aca="false">COUNTIF($BA$379:$EH$379,"R")</f>
        <v>0</v>
      </c>
      <c r="AX1864" s="0" t="n">
        <f aca="false">IF(BN1864="D",1,0)+IF(BO1864="D",1,0)+IF(BT1864="D",1,0)+IF(BU1864="D",1,0)+IF(BW1864="D",1,0)+IF(CC1864="D",1,0)+IF(CD1864="D",1,0)+IF(CE1864="D",1,0)+IF(CF1864="D",1,0)+IF(CL1864="D",1,0)+IF(CM1864="D",1,0)+IF(CQ1864="D",1,0)+IF(CR1864="D",1,0)+IF(CS1864="D",1,0)+IF(CW1864="D",1,0)+IF(CX1864="D",1,0)+IF(DD1864="D",1,0)+IF(DE1864="D",1,0)+IF(DJ1864="D",1,0)+IF(DK1864="D",1,0)+IF(DO1864="D",1,0)+IF(DP1864="D",1,0)+IF(DQ1864="D",1,0)+IF(DW1864="D",1,0)+IF(DZ1864="D",1,0)+IF(EH1864="D",1,0)</f>
        <v>0</v>
      </c>
      <c r="AY1864" s="0" t="n">
        <f aca="false">COUNTIF(DU1864:EH1864, "&lt;&gt;")</f>
        <v>0</v>
      </c>
      <c r="AZ1864" s="0" t="n">
        <f aca="false">IF(EH1864&lt;&gt;"",1,0)</f>
        <v>0</v>
      </c>
      <c r="BB1864" s="0" t="s">
        <v>152</v>
      </c>
      <c r="BL1864" s="0" t="s">
        <v>153</v>
      </c>
      <c r="BS1864" s="0" t="s">
        <v>153</v>
      </c>
      <c r="CA1864" s="0" t="s">
        <v>153</v>
      </c>
      <c r="CN1864" s="0" t="s">
        <v>153</v>
      </c>
      <c r="CP1864" s="0" t="s">
        <v>153</v>
      </c>
      <c r="CV1864" s="0" t="s">
        <v>153</v>
      </c>
    </row>
    <row r="1865" customFormat="false" ht="13.8" hidden="false" customHeight="false" outlineLevel="0" collapsed="false">
      <c r="A1865" s="0" t="s">
        <v>8320</v>
      </c>
      <c r="B1865" s="0" t="n">
        <v>78</v>
      </c>
      <c r="C1865" s="0" t="n">
        <v>204068</v>
      </c>
      <c r="D1865" s="0" t="s">
        <v>8321</v>
      </c>
      <c r="E1865" s="0" t="s">
        <v>1193</v>
      </c>
      <c r="F1865" s="0" t="str">
        <f aca="false">CONCATENATE(D1865," ",LEFT(H1865,4),"T=",AU1865,"D=",AV1865,"R=",AW1865,"M=",AX1865,"L=",AY1865,"B=",AZ1865)</f>
        <v>IRWIN T=5D=0R=0M=2L=6B=0</v>
      </c>
      <c r="G1865" s="0" t="s">
        <v>190</v>
      </c>
      <c r="I1865" s="0" t="s">
        <v>8322</v>
      </c>
      <c r="J1865" s="0" t="s">
        <v>826</v>
      </c>
      <c r="K1865" s="0" t="s">
        <v>160</v>
      </c>
      <c r="L1865" s="0" t="s">
        <v>209</v>
      </c>
      <c r="M1865" s="0" t="s">
        <v>8319</v>
      </c>
      <c r="N1865" s="0" t="str">
        <f aca="false">RIGHT(M1865,LEN(M1865)-FIND(" ",M1865))</f>
        <v>OAK KNOLL AVE SE</v>
      </c>
      <c r="P1865" s="0" t="s">
        <v>145</v>
      </c>
      <c r="Q1865" s="0" t="s">
        <v>146</v>
      </c>
      <c r="R1865" s="0" t="n">
        <v>44484</v>
      </c>
      <c r="AD1865" s="0" t="s">
        <v>147</v>
      </c>
      <c r="AE1865" s="0" t="s">
        <v>148</v>
      </c>
      <c r="AF1865" s="0" t="s">
        <v>149</v>
      </c>
      <c r="AH1865" s="0" t="n">
        <v>14</v>
      </c>
      <c r="AI1865" s="0" t="n">
        <v>11</v>
      </c>
      <c r="AN1865" s="0" t="s">
        <v>145</v>
      </c>
      <c r="AO1865" s="0" t="s">
        <v>150</v>
      </c>
      <c r="AP1865" s="0" t="s">
        <v>151</v>
      </c>
      <c r="AQ1865" s="0" t="n">
        <v>9</v>
      </c>
      <c r="AR1865" s="0" t="n">
        <v>64</v>
      </c>
      <c r="AS1865" s="0" t="n">
        <v>32</v>
      </c>
      <c r="AU1865" s="0" t="n">
        <f aca="false">COUNTA($BA$913:$EH$913)</f>
        <v>5</v>
      </c>
      <c r="AV1865" s="0" t="n">
        <f aca="false">COUNTIF($BA$913:$EH$913,"D")</f>
        <v>0</v>
      </c>
      <c r="AW1865" s="0" t="n">
        <f aca="false">COUNTIF($BA$913:$EH$913,"R")</f>
        <v>0</v>
      </c>
      <c r="AX1865" s="0" t="n">
        <f aca="false">IF(BN1865="D",1,0)+IF(BO1865="D",1,0)+IF(BT1865="D",1,0)+IF(BU1865="D",1,0)+IF(BW1865="D",1,0)+IF(CC1865="D",1,0)+IF(CD1865="D",1,0)+IF(CE1865="D",1,0)+IF(CF1865="D",1,0)+IF(CL1865="D",1,0)+IF(CM1865="D",1,0)+IF(CQ1865="D",1,0)+IF(CR1865="D",1,0)+IF(CS1865="D",1,0)+IF(CW1865="D",1,0)+IF(CX1865="D",1,0)+IF(DD1865="D",1,0)+IF(DE1865="D",1,0)+IF(DJ1865="D",1,0)+IF(DK1865="D",1,0)+IF(DO1865="D",1,0)+IF(DP1865="D",1,0)+IF(DQ1865="D",1,0)+IF(DW1865="D",1,0)+IF(DZ1865="D",1,0)+IF(EH1865="D",1,0)</f>
        <v>2</v>
      </c>
      <c r="AY1865" s="0" t="n">
        <f aca="false">COUNTIF(DU1865:EH1865, "&lt;&gt;")</f>
        <v>6</v>
      </c>
      <c r="AZ1865" s="0" t="n">
        <f aca="false">IF(EH1865&lt;&gt;"",1,0)</f>
        <v>0</v>
      </c>
      <c r="BB1865" s="0" t="s">
        <v>152</v>
      </c>
      <c r="BC1865" s="0" t="s">
        <v>153</v>
      </c>
      <c r="BD1865" s="0" t="s">
        <v>153</v>
      </c>
      <c r="BE1865" s="0" t="s">
        <v>153</v>
      </c>
      <c r="BF1865" s="0" t="s">
        <v>153</v>
      </c>
      <c r="BG1865" s="0" t="s">
        <v>153</v>
      </c>
      <c r="BH1865" s="0" t="s">
        <v>153</v>
      </c>
      <c r="BI1865" s="0" t="s">
        <v>153</v>
      </c>
      <c r="BJ1865" s="0" t="s">
        <v>153</v>
      </c>
      <c r="BK1865" s="0" t="s">
        <v>153</v>
      </c>
      <c r="BL1865" s="0" t="s">
        <v>153</v>
      </c>
      <c r="BP1865" s="0" t="s">
        <v>153</v>
      </c>
      <c r="BR1865" s="0" t="s">
        <v>153</v>
      </c>
      <c r="BS1865" s="0" t="s">
        <v>153</v>
      </c>
      <c r="BV1865" s="0" t="s">
        <v>153</v>
      </c>
      <c r="BY1865" s="0" t="s">
        <v>209</v>
      </c>
      <c r="CA1865" s="0" t="s">
        <v>153</v>
      </c>
      <c r="CG1865" s="0" t="s">
        <v>153</v>
      </c>
      <c r="CH1865" s="0" t="s">
        <v>209</v>
      </c>
      <c r="CK1865" s="0" t="s">
        <v>153</v>
      </c>
      <c r="CL1865" s="0" t="s">
        <v>175</v>
      </c>
      <c r="CN1865" s="0" t="s">
        <v>153</v>
      </c>
      <c r="CO1865" s="0" t="s">
        <v>209</v>
      </c>
      <c r="CP1865" s="0" t="s">
        <v>153</v>
      </c>
      <c r="CT1865" s="0" t="s">
        <v>153</v>
      </c>
      <c r="CV1865" s="0" t="s">
        <v>153</v>
      </c>
      <c r="CY1865" s="0" t="s">
        <v>153</v>
      </c>
      <c r="CZ1865" s="0" t="s">
        <v>209</v>
      </c>
      <c r="DC1865" s="0" t="s">
        <v>153</v>
      </c>
      <c r="DG1865" s="0" t="s">
        <v>209</v>
      </c>
      <c r="DI1865" s="0" t="s">
        <v>153</v>
      </c>
      <c r="DL1865" s="0" t="s">
        <v>153</v>
      </c>
      <c r="DM1865" s="0" t="s">
        <v>209</v>
      </c>
      <c r="DN1865" s="0" t="s">
        <v>153</v>
      </c>
      <c r="DS1865" s="0" t="s">
        <v>209</v>
      </c>
      <c r="DT1865" s="0" t="s">
        <v>209</v>
      </c>
      <c r="DU1865" s="0" t="s">
        <v>153</v>
      </c>
      <c r="DW1865" s="0" t="s">
        <v>175</v>
      </c>
      <c r="DX1865" s="0" t="s">
        <v>153</v>
      </c>
      <c r="EA1865" s="0" t="s">
        <v>153</v>
      </c>
      <c r="ED1865" s="0" t="s">
        <v>209</v>
      </c>
      <c r="EF1865" s="0" t="s">
        <v>153</v>
      </c>
    </row>
    <row r="1866" customFormat="false" ht="13.8" hidden="true" customHeight="false" outlineLevel="0" collapsed="false">
      <c r="A1866" s="0" t="s">
        <v>8323</v>
      </c>
      <c r="B1866" s="0" t="n">
        <v>78</v>
      </c>
      <c r="C1866" s="0" t="n">
        <v>323776</v>
      </c>
      <c r="D1866" s="0" t="s">
        <v>3193</v>
      </c>
      <c r="E1866" s="0" t="s">
        <v>2689</v>
      </c>
      <c r="F1866" s="0" t="str">
        <f aca="false">CONCATENATE(D1866," ",LEFT(H1866,4),"T=",AU1866,"D=",AV1866,"R=",AW1866,"M=",AX1866,"L=",AY1866,"B=",AZ1866)</f>
        <v>CARTER T=27D=10R=0M=0L=0B=0</v>
      </c>
      <c r="G1866" s="0" t="s">
        <v>268</v>
      </c>
      <c r="I1866" s="0" t="s">
        <v>8324</v>
      </c>
      <c r="J1866" s="0" t="s">
        <v>8325</v>
      </c>
      <c r="K1866" s="0" t="s">
        <v>143</v>
      </c>
      <c r="M1866" s="0" t="s">
        <v>8326</v>
      </c>
      <c r="N1866" s="0" t="str">
        <f aca="false">RIGHT(M1866,LEN(M1866)-FIND(" ",M1866))</f>
        <v>OAK KNOLL AVE SE</v>
      </c>
      <c r="P1866" s="0" t="s">
        <v>145</v>
      </c>
      <c r="Q1866" s="0" t="s">
        <v>146</v>
      </c>
      <c r="R1866" s="0" t="n">
        <v>44484</v>
      </c>
      <c r="AD1866" s="0" t="s">
        <v>147</v>
      </c>
      <c r="AE1866" s="0" t="s">
        <v>148</v>
      </c>
      <c r="AF1866" s="0" t="s">
        <v>149</v>
      </c>
      <c r="AH1866" s="0" t="n">
        <v>14</v>
      </c>
      <c r="AI1866" s="0" t="n">
        <v>11</v>
      </c>
      <c r="AN1866" s="0" t="s">
        <v>145</v>
      </c>
      <c r="AO1866" s="0" t="s">
        <v>150</v>
      </c>
      <c r="AP1866" s="0" t="s">
        <v>151</v>
      </c>
      <c r="AQ1866" s="0" t="n">
        <v>9</v>
      </c>
      <c r="AR1866" s="0" t="n">
        <v>64</v>
      </c>
      <c r="AS1866" s="0" t="n">
        <v>32</v>
      </c>
      <c r="AU1866" s="0" t="n">
        <f aca="false">COUNTA($BA$828:$EH$828)</f>
        <v>27</v>
      </c>
      <c r="AV1866" s="0" t="n">
        <f aca="false">COUNTIF($BA$828:$EH$828,"D")</f>
        <v>10</v>
      </c>
      <c r="AW1866" s="0" t="n">
        <f aca="false">COUNTIF($BA$828:$EH$828,"R")</f>
        <v>0</v>
      </c>
      <c r="AX1866" s="0" t="n">
        <f aca="false">IF(BN1866="D",1,0)+IF(BO1866="D",1,0)+IF(BT1866="D",1,0)+IF(BU1866="D",1,0)+IF(BW1866="D",1,0)+IF(CC1866="D",1,0)+IF(CD1866="D",1,0)+IF(CE1866="D",1,0)+IF(CF1866="D",1,0)+IF(CL1866="D",1,0)+IF(CM1866="D",1,0)+IF(CQ1866="D",1,0)+IF(CR1866="D",1,0)+IF(CS1866="D",1,0)+IF(CW1866="D",1,0)+IF(CX1866="D",1,0)+IF(DD1866="D",1,0)+IF(DE1866="D",1,0)+IF(DJ1866="D",1,0)+IF(DK1866="D",1,0)+IF(DO1866="D",1,0)+IF(DP1866="D",1,0)+IF(DQ1866="D",1,0)+IF(DW1866="D",1,0)+IF(DZ1866="D",1,0)+IF(EH1866="D",1,0)</f>
        <v>0</v>
      </c>
      <c r="AY1866" s="0" t="n">
        <f aca="false">COUNTIF(DU1866:EH1866, "&lt;&gt;")</f>
        <v>0</v>
      </c>
      <c r="AZ1866" s="0" t="n">
        <f aca="false">IF(EH1866&lt;&gt;"",1,0)</f>
        <v>0</v>
      </c>
      <c r="BB1866" s="0" t="s">
        <v>152</v>
      </c>
    </row>
    <row r="1867" customFormat="false" ht="13.8" hidden="true" customHeight="false" outlineLevel="0" collapsed="false">
      <c r="A1867" s="0" t="s">
        <v>8327</v>
      </c>
      <c r="B1867" s="0" t="n">
        <v>78</v>
      </c>
      <c r="C1867" s="0" t="n">
        <v>382403</v>
      </c>
      <c r="D1867" s="0" t="s">
        <v>215</v>
      </c>
      <c r="E1867" s="0" t="s">
        <v>8328</v>
      </c>
      <c r="F1867" s="0" t="str">
        <f aca="false">CONCATENATE(D1867," ",LEFT(H1867,4),"T=",AU1867,"D=",AV1867,"R=",AW1867,"M=",AX1867,"L=",AY1867,"B=",AZ1867)</f>
        <v>LEE T=15D=0R=3M=0L=0B=0</v>
      </c>
      <c r="I1867" s="0" t="s">
        <v>8329</v>
      </c>
      <c r="J1867" s="0" t="s">
        <v>8330</v>
      </c>
      <c r="K1867" s="0" t="s">
        <v>143</v>
      </c>
      <c r="M1867" s="0" t="s">
        <v>8331</v>
      </c>
      <c r="N1867" s="0" t="str">
        <f aca="false">RIGHT(M1867,LEN(M1867)-FIND(" ",M1867))</f>
        <v>OAK KNOLL AVE SE</v>
      </c>
      <c r="P1867" s="0" t="s">
        <v>145</v>
      </c>
      <c r="Q1867" s="0" t="s">
        <v>146</v>
      </c>
      <c r="R1867" s="0" t="n">
        <v>44484</v>
      </c>
      <c r="AD1867" s="0" t="s">
        <v>147</v>
      </c>
      <c r="AE1867" s="0" t="s">
        <v>148</v>
      </c>
      <c r="AF1867" s="0" t="s">
        <v>149</v>
      </c>
      <c r="AH1867" s="0" t="n">
        <v>14</v>
      </c>
      <c r="AI1867" s="0" t="n">
        <v>11</v>
      </c>
      <c r="AN1867" s="0" t="s">
        <v>145</v>
      </c>
      <c r="AO1867" s="0" t="s">
        <v>150</v>
      </c>
      <c r="AP1867" s="0" t="s">
        <v>151</v>
      </c>
      <c r="AQ1867" s="0" t="n">
        <v>9</v>
      </c>
      <c r="AR1867" s="0" t="n">
        <v>64</v>
      </c>
      <c r="AS1867" s="0" t="n">
        <v>32</v>
      </c>
      <c r="AU1867" s="0" t="n">
        <f aca="false">COUNTA($BA$84:$EH$84)</f>
        <v>15</v>
      </c>
      <c r="AV1867" s="0" t="n">
        <f aca="false">COUNTIF($BA$84:$EH$84,"D")</f>
        <v>0</v>
      </c>
      <c r="AW1867" s="0" t="n">
        <f aca="false">COUNTIF($BA$84:$EH$84,"R")</f>
        <v>3</v>
      </c>
      <c r="AX1867" s="0" t="n">
        <f aca="false">IF(BN1867="D",1,0)+IF(BO1867="D",1,0)+IF(BT1867="D",1,0)+IF(BU1867="D",1,0)+IF(BW1867="D",1,0)+IF(CC1867="D",1,0)+IF(CD1867="D",1,0)+IF(CE1867="D",1,0)+IF(CF1867="D",1,0)+IF(CL1867="D",1,0)+IF(CM1867="D",1,0)+IF(CQ1867="D",1,0)+IF(CR1867="D",1,0)+IF(CS1867="D",1,0)+IF(CW1867="D",1,0)+IF(CX1867="D",1,0)+IF(DD1867="D",1,0)+IF(DE1867="D",1,0)+IF(DJ1867="D",1,0)+IF(DK1867="D",1,0)+IF(DO1867="D",1,0)+IF(DP1867="D",1,0)+IF(DQ1867="D",1,0)+IF(DW1867="D",1,0)+IF(DZ1867="D",1,0)+IF(EH1867="D",1,0)</f>
        <v>0</v>
      </c>
      <c r="AY1867" s="0" t="n">
        <f aca="false">COUNTIF(DU1867:EH1867, "&lt;&gt;")</f>
        <v>0</v>
      </c>
      <c r="AZ1867" s="0" t="n">
        <f aca="false">IF(EH1867&lt;&gt;"",1,0)</f>
        <v>0</v>
      </c>
      <c r="BB1867" s="0" t="s">
        <v>152</v>
      </c>
      <c r="CP1867" s="0" t="s">
        <v>153</v>
      </c>
      <c r="DC1867" s="0" t="s">
        <v>153</v>
      </c>
    </row>
    <row r="1868" customFormat="false" ht="13.8" hidden="false" customHeight="false" outlineLevel="0" collapsed="false">
      <c r="A1868" s="0" t="s">
        <v>8332</v>
      </c>
      <c r="B1868" s="0" t="n">
        <v>78</v>
      </c>
      <c r="C1868" s="0" t="n">
        <v>25904</v>
      </c>
      <c r="D1868" s="0" t="s">
        <v>215</v>
      </c>
      <c r="E1868" s="0" t="s">
        <v>8333</v>
      </c>
      <c r="F1868" s="0" t="str">
        <f aca="false">CONCATENATE(D1868," ",LEFT(H1868,4),"T=",AU1868,"D=",AV1868,"R=",AW1868,"M=",AX1868,"L=",AY1868,"B=",AZ1868)</f>
        <v>LEE T=2D=0R=0M=5L=2B=0</v>
      </c>
      <c r="I1868" s="0" t="s">
        <v>8334</v>
      </c>
      <c r="J1868" s="0" t="s">
        <v>8335</v>
      </c>
      <c r="K1868" s="0" t="s">
        <v>160</v>
      </c>
      <c r="L1868" s="0" t="s">
        <v>175</v>
      </c>
      <c r="M1868" s="0" t="s">
        <v>8331</v>
      </c>
      <c r="N1868" s="0" t="str">
        <f aca="false">RIGHT(M1868,LEN(M1868)-FIND(" ",M1868))</f>
        <v>OAK KNOLL AVE SE</v>
      </c>
      <c r="P1868" s="0" t="s">
        <v>145</v>
      </c>
      <c r="Q1868" s="0" t="s">
        <v>146</v>
      </c>
      <c r="R1868" s="0" t="n">
        <v>44484</v>
      </c>
      <c r="AD1868" s="0" t="s">
        <v>147</v>
      </c>
      <c r="AE1868" s="0" t="s">
        <v>148</v>
      </c>
      <c r="AF1868" s="0" t="s">
        <v>149</v>
      </c>
      <c r="AH1868" s="0" t="n">
        <v>14</v>
      </c>
      <c r="AI1868" s="0" t="n">
        <v>11</v>
      </c>
      <c r="AN1868" s="0" t="s">
        <v>145</v>
      </c>
      <c r="AO1868" s="0" t="s">
        <v>150</v>
      </c>
      <c r="AP1868" s="0" t="s">
        <v>151</v>
      </c>
      <c r="AQ1868" s="0" t="n">
        <v>9</v>
      </c>
      <c r="AR1868" s="0" t="n">
        <v>64</v>
      </c>
      <c r="AS1868" s="0" t="n">
        <v>32</v>
      </c>
      <c r="AU1868" s="0" t="n">
        <f aca="false">COUNTA($BA$1010:$EH$1010)</f>
        <v>2</v>
      </c>
      <c r="AV1868" s="0" t="n">
        <f aca="false">COUNTIF($BA$1010:$EH$1010,"D")</f>
        <v>0</v>
      </c>
      <c r="AW1868" s="0" t="n">
        <f aca="false">COUNTIF($BA$1010:$EH$1010,"R")</f>
        <v>0</v>
      </c>
      <c r="AX1868" s="0" t="n">
        <f aca="false">IF(BN1868="D",1,0)+IF(BO1868="D",1,0)+IF(BT1868="D",1,0)+IF(BU1868="D",1,0)+IF(BW1868="D",1,0)+IF(CC1868="D",1,0)+IF(CD1868="D",1,0)+IF(CE1868="D",1,0)+IF(CF1868="D",1,0)+IF(CL1868="D",1,0)+IF(CM1868="D",1,0)+IF(CQ1868="D",1,0)+IF(CR1868="D",1,0)+IF(CS1868="D",1,0)+IF(CW1868="D",1,0)+IF(CX1868="D",1,0)+IF(DD1868="D",1,0)+IF(DE1868="D",1,0)+IF(DJ1868="D",1,0)+IF(DK1868="D",1,0)+IF(DO1868="D",1,0)+IF(DP1868="D",1,0)+IF(DQ1868="D",1,0)+IF(DW1868="D",1,0)+IF(DZ1868="D",1,0)+IF(EH1868="D",1,0)</f>
        <v>5</v>
      </c>
      <c r="AY1868" s="0" t="n">
        <f aca="false">COUNTIF(DU1868:EH1868, "&lt;&gt;")</f>
        <v>2</v>
      </c>
      <c r="AZ1868" s="0" t="n">
        <f aca="false">IF(EH1868&lt;&gt;"",1,0)</f>
        <v>0</v>
      </c>
      <c r="BB1868" s="0" t="s">
        <v>152</v>
      </c>
      <c r="BC1868" s="0" t="s">
        <v>153</v>
      </c>
      <c r="BD1868" s="0" t="s">
        <v>153</v>
      </c>
      <c r="BF1868" s="0" t="s">
        <v>153</v>
      </c>
      <c r="BG1868" s="0" t="s">
        <v>153</v>
      </c>
      <c r="BH1868" s="0" t="s">
        <v>153</v>
      </c>
      <c r="BI1868" s="0" t="s">
        <v>153</v>
      </c>
      <c r="BJ1868" s="0" t="s">
        <v>153</v>
      </c>
      <c r="BK1868" s="0" t="s">
        <v>153</v>
      </c>
      <c r="BL1868" s="0" t="s">
        <v>153</v>
      </c>
      <c r="BP1868" s="0" t="s">
        <v>153</v>
      </c>
      <c r="BR1868" s="0" t="s">
        <v>153</v>
      </c>
      <c r="BS1868" s="0" t="s">
        <v>153</v>
      </c>
      <c r="BT1868" s="0" t="s">
        <v>153</v>
      </c>
      <c r="BV1868" s="0" t="s">
        <v>153</v>
      </c>
      <c r="BY1868" s="0" t="s">
        <v>175</v>
      </c>
      <c r="CA1868" s="0" t="s">
        <v>153</v>
      </c>
      <c r="CG1868" s="0" t="s">
        <v>153</v>
      </c>
      <c r="CH1868" s="0" t="s">
        <v>175</v>
      </c>
      <c r="CK1868" s="0" t="s">
        <v>153</v>
      </c>
      <c r="CL1868" s="0" t="s">
        <v>175</v>
      </c>
      <c r="CN1868" s="0" t="s">
        <v>153</v>
      </c>
      <c r="CP1868" s="0" t="s">
        <v>153</v>
      </c>
      <c r="CT1868" s="0" t="s">
        <v>153</v>
      </c>
      <c r="CU1868" s="0" t="s">
        <v>175</v>
      </c>
      <c r="CV1868" s="0" t="s">
        <v>153</v>
      </c>
      <c r="CW1868" s="0" t="s">
        <v>175</v>
      </c>
      <c r="CY1868" s="0" t="s">
        <v>153</v>
      </c>
      <c r="CZ1868" s="0" t="s">
        <v>175</v>
      </c>
      <c r="DC1868" s="0" t="s">
        <v>153</v>
      </c>
      <c r="DD1868" s="0" t="s">
        <v>175</v>
      </c>
      <c r="DF1868" s="0" t="s">
        <v>153</v>
      </c>
      <c r="DG1868" s="0" t="s">
        <v>175</v>
      </c>
      <c r="DI1868" s="0" t="s">
        <v>153</v>
      </c>
      <c r="DJ1868" s="0" t="s">
        <v>175</v>
      </c>
      <c r="DL1868" s="0" t="s">
        <v>153</v>
      </c>
      <c r="DM1868" s="0" t="s">
        <v>175</v>
      </c>
      <c r="DN1868" s="0" t="s">
        <v>153</v>
      </c>
      <c r="DU1868" s="0" t="s">
        <v>153</v>
      </c>
      <c r="DW1868" s="0" t="s">
        <v>175</v>
      </c>
    </row>
    <row r="1869" customFormat="false" ht="13.8" hidden="true" customHeight="false" outlineLevel="0" collapsed="false">
      <c r="A1869" s="0" t="s">
        <v>8336</v>
      </c>
      <c r="B1869" s="0" t="n">
        <v>78</v>
      </c>
      <c r="C1869" s="0" t="n">
        <v>438455</v>
      </c>
      <c r="D1869" s="0" t="s">
        <v>8337</v>
      </c>
      <c r="E1869" s="0" t="s">
        <v>8338</v>
      </c>
      <c r="F1869" s="0" t="str">
        <f aca="false">CONCATENATE(D1869," ",LEFT(H1869,4),"T=",AU1869,"D=",AV1869,"R=",AW1869,"M=",AX1869,"L=",AY1869,"B=",AZ1869)</f>
        <v>SAURUK T=1D=0R=0M=0L=0B=0</v>
      </c>
      <c r="G1869" s="0" t="s">
        <v>8339</v>
      </c>
      <c r="I1869" s="0" t="s">
        <v>2414</v>
      </c>
      <c r="J1869" s="0" t="s">
        <v>8340</v>
      </c>
      <c r="K1869" s="0" t="s">
        <v>143</v>
      </c>
      <c r="M1869" s="0" t="s">
        <v>8341</v>
      </c>
      <c r="N1869" s="0" t="str">
        <f aca="false">RIGHT(M1869,LEN(M1869)-FIND(" ",M1869))</f>
        <v>OAK KNOLL AVE SE</v>
      </c>
      <c r="P1869" s="0" t="s">
        <v>145</v>
      </c>
      <c r="Q1869" s="0" t="s">
        <v>146</v>
      </c>
      <c r="R1869" s="0" t="n">
        <v>44484</v>
      </c>
      <c r="AD1869" s="0" t="s">
        <v>147</v>
      </c>
      <c r="AE1869" s="0" t="s">
        <v>148</v>
      </c>
      <c r="AF1869" s="0" t="s">
        <v>149</v>
      </c>
      <c r="AH1869" s="0" t="n">
        <v>14</v>
      </c>
      <c r="AI1869" s="0" t="n">
        <v>11</v>
      </c>
      <c r="AN1869" s="0" t="s">
        <v>145</v>
      </c>
      <c r="AO1869" s="0" t="s">
        <v>150</v>
      </c>
      <c r="AP1869" s="0" t="s">
        <v>151</v>
      </c>
      <c r="AQ1869" s="0" t="n">
        <v>9</v>
      </c>
      <c r="AR1869" s="0" t="n">
        <v>64</v>
      </c>
      <c r="AS1869" s="0" t="n">
        <v>32</v>
      </c>
      <c r="AU1869" s="0" t="n">
        <f aca="false">COUNTA($BA$611:$EH$611)</f>
        <v>1</v>
      </c>
      <c r="AV1869" s="0" t="n">
        <f aca="false">COUNTIF($BA$611:$EH$611,"D")</f>
        <v>0</v>
      </c>
      <c r="AW1869" s="0" t="n">
        <f aca="false">COUNTIF($BA$611:$EH$611,"R")</f>
        <v>0</v>
      </c>
      <c r="AX1869" s="0" t="n">
        <f aca="false">IF(BN1869="D",1,0)+IF(BO1869="D",1,0)+IF(BT1869="D",1,0)+IF(BU1869="D",1,0)+IF(BW1869="D",1,0)+IF(CC1869="D",1,0)+IF(CD1869="D",1,0)+IF(CE1869="D",1,0)+IF(CF1869="D",1,0)+IF(CL1869="D",1,0)+IF(CM1869="D",1,0)+IF(CQ1869="D",1,0)+IF(CR1869="D",1,0)+IF(CS1869="D",1,0)+IF(CW1869="D",1,0)+IF(CX1869="D",1,0)+IF(DD1869="D",1,0)+IF(DE1869="D",1,0)+IF(DJ1869="D",1,0)+IF(DK1869="D",1,0)+IF(DO1869="D",1,0)+IF(DP1869="D",1,0)+IF(DQ1869="D",1,0)+IF(DW1869="D",1,0)+IF(DZ1869="D",1,0)+IF(EH1869="D",1,0)</f>
        <v>0</v>
      </c>
      <c r="AY1869" s="0" t="n">
        <f aca="false">COUNTIF(DU1869:EH1869, "&lt;&gt;")</f>
        <v>0</v>
      </c>
      <c r="AZ1869" s="0" t="n">
        <f aca="false">IF(EH1869&lt;&gt;"",1,0)</f>
        <v>0</v>
      </c>
      <c r="BB1869" s="0" t="s">
        <v>152</v>
      </c>
    </row>
    <row r="1870" customFormat="false" ht="13.8" hidden="true" customHeight="false" outlineLevel="0" collapsed="false">
      <c r="A1870" s="0" t="s">
        <v>8342</v>
      </c>
      <c r="B1870" s="0" t="n">
        <v>78</v>
      </c>
      <c r="C1870" s="0" t="n">
        <v>396870</v>
      </c>
      <c r="D1870" s="0" t="s">
        <v>3121</v>
      </c>
      <c r="E1870" s="0" t="s">
        <v>2049</v>
      </c>
      <c r="F1870" s="0" t="str">
        <f aca="false">CONCATENATE(D1870," ",LEFT(H1870,4),"T=",AU1870,"D=",AV1870,"R=",AW1870,"M=",AX1870,"L=",AY1870,"B=",AZ1870)</f>
        <v>WEAVER IIIT=2D=0R=0M=0L=0B=0</v>
      </c>
      <c r="G1870" s="0" t="s">
        <v>606</v>
      </c>
      <c r="H1870" s="0" t="s">
        <v>1932</v>
      </c>
      <c r="I1870" s="0" t="s">
        <v>8343</v>
      </c>
      <c r="J1870" s="0" t="s">
        <v>8344</v>
      </c>
      <c r="K1870" s="0" t="s">
        <v>160</v>
      </c>
      <c r="M1870" s="0" t="s">
        <v>8341</v>
      </c>
      <c r="N1870" s="0" t="str">
        <f aca="false">RIGHT(M1870,LEN(M1870)-FIND(" ",M1870))</f>
        <v>OAK KNOLL AVE SE</v>
      </c>
      <c r="P1870" s="0" t="s">
        <v>145</v>
      </c>
      <c r="Q1870" s="0" t="s">
        <v>146</v>
      </c>
      <c r="R1870" s="0" t="n">
        <v>44484</v>
      </c>
      <c r="AD1870" s="0" t="s">
        <v>147</v>
      </c>
      <c r="AE1870" s="0" t="s">
        <v>148</v>
      </c>
      <c r="AF1870" s="0" t="s">
        <v>149</v>
      </c>
      <c r="AH1870" s="0" t="n">
        <v>14</v>
      </c>
      <c r="AI1870" s="0" t="n">
        <v>11</v>
      </c>
      <c r="AN1870" s="0" t="s">
        <v>145</v>
      </c>
      <c r="AO1870" s="0" t="s">
        <v>150</v>
      </c>
      <c r="AP1870" s="0" t="s">
        <v>151</v>
      </c>
      <c r="AQ1870" s="0" t="n">
        <v>9</v>
      </c>
      <c r="AR1870" s="0" t="n">
        <v>64</v>
      </c>
      <c r="AS1870" s="0" t="n">
        <v>32</v>
      </c>
      <c r="AU1870" s="0" t="n">
        <f aca="false">COUNTA($BA$628:$EH$628)</f>
        <v>2</v>
      </c>
      <c r="AV1870" s="0" t="n">
        <f aca="false">COUNTIF($BA$628:$EH$628,"D")</f>
        <v>0</v>
      </c>
      <c r="AW1870" s="0" t="n">
        <f aca="false">COUNTIF($BA$628:$EH$628,"R")</f>
        <v>0</v>
      </c>
      <c r="AX1870" s="0" t="n">
        <f aca="false">IF(BN1870="D",1,0)+IF(BO1870="D",1,0)+IF(BT1870="D",1,0)+IF(BU1870="D",1,0)+IF(BW1870="D",1,0)+IF(CC1870="D",1,0)+IF(CD1870="D",1,0)+IF(CE1870="D",1,0)+IF(CF1870="D",1,0)+IF(CL1870="D",1,0)+IF(CM1870="D",1,0)+IF(CQ1870="D",1,0)+IF(CR1870="D",1,0)+IF(CS1870="D",1,0)+IF(CW1870="D",1,0)+IF(CX1870="D",1,0)+IF(DD1870="D",1,0)+IF(DE1870="D",1,0)+IF(DJ1870="D",1,0)+IF(DK1870="D",1,0)+IF(DO1870="D",1,0)+IF(DP1870="D",1,0)+IF(DQ1870="D",1,0)+IF(DW1870="D",1,0)+IF(DZ1870="D",1,0)+IF(EH1870="D",1,0)</f>
        <v>0</v>
      </c>
      <c r="AY1870" s="0" t="n">
        <f aca="false">COUNTIF(DU1870:EH1870, "&lt;&gt;")</f>
        <v>0</v>
      </c>
      <c r="AZ1870" s="0" t="n">
        <f aca="false">IF(EH1870&lt;&gt;"",1,0)</f>
        <v>0</v>
      </c>
      <c r="BB1870" s="0" t="s">
        <v>152</v>
      </c>
      <c r="DC1870" s="0" t="s">
        <v>153</v>
      </c>
      <c r="DN1870" s="0" t="s">
        <v>153</v>
      </c>
    </row>
    <row r="1871" customFormat="false" ht="13.8" hidden="true" customHeight="false" outlineLevel="0" collapsed="false">
      <c r="A1871" s="0" t="s">
        <v>8345</v>
      </c>
      <c r="B1871" s="0" t="n">
        <v>78</v>
      </c>
      <c r="C1871" s="0" t="n">
        <v>424666</v>
      </c>
      <c r="D1871" s="0" t="s">
        <v>8337</v>
      </c>
      <c r="E1871" s="0" t="s">
        <v>8212</v>
      </c>
      <c r="F1871" s="0" t="str">
        <f aca="false">CONCATENATE(D1871," ",LEFT(H1871,4),"T=",AU1871,"D=",AV1871,"R=",AW1871,"M=",AX1871,"L=",AY1871,"B=",AZ1871)</f>
        <v>SAURUK T=7D=0R=0M=0L=0B=0</v>
      </c>
      <c r="G1871" s="0" t="s">
        <v>255</v>
      </c>
      <c r="I1871" s="0" t="s">
        <v>8346</v>
      </c>
      <c r="J1871" s="0" t="s">
        <v>2377</v>
      </c>
      <c r="K1871" s="0" t="s">
        <v>160</v>
      </c>
      <c r="M1871" s="0" t="s">
        <v>8341</v>
      </c>
      <c r="N1871" s="0" t="str">
        <f aca="false">RIGHT(M1871,LEN(M1871)-FIND(" ",M1871))</f>
        <v>OAK KNOLL AVE SE</v>
      </c>
      <c r="P1871" s="0" t="s">
        <v>145</v>
      </c>
      <c r="Q1871" s="0" t="s">
        <v>146</v>
      </c>
      <c r="R1871" s="0" t="n">
        <v>44484</v>
      </c>
      <c r="AD1871" s="0" t="s">
        <v>147</v>
      </c>
      <c r="AE1871" s="0" t="s">
        <v>148</v>
      </c>
      <c r="AF1871" s="0" t="s">
        <v>149</v>
      </c>
      <c r="AH1871" s="0" t="n">
        <v>14</v>
      </c>
      <c r="AI1871" s="0" t="n">
        <v>11</v>
      </c>
      <c r="AN1871" s="0" t="s">
        <v>145</v>
      </c>
      <c r="AO1871" s="0" t="s">
        <v>150</v>
      </c>
      <c r="AP1871" s="0" t="s">
        <v>151</v>
      </c>
      <c r="AQ1871" s="0" t="n">
        <v>9</v>
      </c>
      <c r="AR1871" s="0" t="n">
        <v>64</v>
      </c>
      <c r="AS1871" s="0" t="n">
        <v>32</v>
      </c>
      <c r="AU1871" s="0" t="n">
        <f aca="false">COUNTA($BA$1092:$EH$1092)</f>
        <v>7</v>
      </c>
      <c r="AV1871" s="0" t="n">
        <f aca="false">COUNTIF($BA$1092:$EH$1092,"D")</f>
        <v>0</v>
      </c>
      <c r="AW1871" s="0" t="n">
        <f aca="false">COUNTIF($BA$1092:$EH$1092,"R")</f>
        <v>0</v>
      </c>
      <c r="AX1871" s="0" t="n">
        <f aca="false">IF(BN1871="D",1,0)+IF(BO1871="D",1,0)+IF(BT1871="D",1,0)+IF(BU1871="D",1,0)+IF(BW1871="D",1,0)+IF(CC1871="D",1,0)+IF(CD1871="D",1,0)+IF(CE1871="D",1,0)+IF(CF1871="D",1,0)+IF(CL1871="D",1,0)+IF(CM1871="D",1,0)+IF(CQ1871="D",1,0)+IF(CR1871="D",1,0)+IF(CS1871="D",1,0)+IF(CW1871="D",1,0)+IF(CX1871="D",1,0)+IF(DD1871="D",1,0)+IF(DE1871="D",1,0)+IF(DJ1871="D",1,0)+IF(DK1871="D",1,0)+IF(DO1871="D",1,0)+IF(DP1871="D",1,0)+IF(DQ1871="D",1,0)+IF(DW1871="D",1,0)+IF(DZ1871="D",1,0)+IF(EH1871="D",1,0)</f>
        <v>0</v>
      </c>
      <c r="AY1871" s="0" t="n">
        <f aca="false">COUNTIF(DU1871:EH1871, "&lt;&gt;")</f>
        <v>0</v>
      </c>
      <c r="AZ1871" s="0" t="n">
        <f aca="false">IF(EH1871&lt;&gt;"",1,0)</f>
        <v>0</v>
      </c>
      <c r="BB1871" s="0" t="s">
        <v>152</v>
      </c>
    </row>
    <row r="1872" customFormat="false" ht="13.8" hidden="false" customHeight="false" outlineLevel="0" collapsed="false">
      <c r="A1872" s="0" t="s">
        <v>8347</v>
      </c>
      <c r="B1872" s="0" t="n">
        <v>78</v>
      </c>
      <c r="C1872" s="0" t="n">
        <v>417742</v>
      </c>
      <c r="D1872" s="0" t="s">
        <v>657</v>
      </c>
      <c r="E1872" s="0" t="s">
        <v>237</v>
      </c>
      <c r="F1872" s="0" t="str">
        <f aca="false">CONCATENATE(D1872," ",LEFT(H1872,4),"T=",AU1872,"D=",AV1872,"R=",AW1872,"M=",AX1872,"L=",AY1872,"B=",AZ1872)</f>
        <v>HALL T=4D=0R=0M=0L=3B=0</v>
      </c>
      <c r="G1872" s="0" t="s">
        <v>500</v>
      </c>
      <c r="I1872" s="0" t="s">
        <v>8348</v>
      </c>
      <c r="J1872" s="0" t="s">
        <v>8349</v>
      </c>
      <c r="K1872" s="0" t="s">
        <v>160</v>
      </c>
      <c r="M1872" s="0" t="s">
        <v>8350</v>
      </c>
      <c r="N1872" s="0" t="str">
        <f aca="false">RIGHT(M1872,LEN(M1872)-FIND(" ",M1872))</f>
        <v>OAK KNOLL AVE SE</v>
      </c>
      <c r="P1872" s="0" t="s">
        <v>145</v>
      </c>
      <c r="Q1872" s="0" t="s">
        <v>146</v>
      </c>
      <c r="R1872" s="0" t="n">
        <v>44484</v>
      </c>
      <c r="AD1872" s="0" t="s">
        <v>147</v>
      </c>
      <c r="AE1872" s="0" t="s">
        <v>148</v>
      </c>
      <c r="AF1872" s="0" t="s">
        <v>149</v>
      </c>
      <c r="AH1872" s="0" t="n">
        <v>14</v>
      </c>
      <c r="AI1872" s="0" t="n">
        <v>11</v>
      </c>
      <c r="AN1872" s="0" t="s">
        <v>145</v>
      </c>
      <c r="AO1872" s="0" t="s">
        <v>150</v>
      </c>
      <c r="AP1872" s="0" t="s">
        <v>151</v>
      </c>
      <c r="AQ1872" s="0" t="n">
        <v>9</v>
      </c>
      <c r="AR1872" s="0" t="n">
        <v>64</v>
      </c>
      <c r="AS1872" s="0" t="n">
        <v>32</v>
      </c>
      <c r="AU1872" s="0" t="n">
        <f aca="false">COUNTA($BA$931:$EH$931)</f>
        <v>4</v>
      </c>
      <c r="AV1872" s="0" t="n">
        <f aca="false">COUNTIF($BA$931:$EH$931,"D")</f>
        <v>0</v>
      </c>
      <c r="AW1872" s="0" t="n">
        <f aca="false">COUNTIF($BA$931:$EH$931,"R")</f>
        <v>0</v>
      </c>
      <c r="AX1872" s="0" t="n">
        <f aca="false">IF(BN1872="D",1,0)+IF(BO1872="D",1,0)+IF(BT1872="D",1,0)+IF(BU1872="D",1,0)+IF(BW1872="D",1,0)+IF(CC1872="D",1,0)+IF(CD1872="D",1,0)+IF(CE1872="D",1,0)+IF(CF1872="D",1,0)+IF(CL1872="D",1,0)+IF(CM1872="D",1,0)+IF(CQ1872="D",1,0)+IF(CR1872="D",1,0)+IF(CS1872="D",1,0)+IF(CW1872="D",1,0)+IF(CX1872="D",1,0)+IF(DD1872="D",1,0)+IF(DE1872="D",1,0)+IF(DJ1872="D",1,0)+IF(DK1872="D",1,0)+IF(DO1872="D",1,0)+IF(DP1872="D",1,0)+IF(DQ1872="D",1,0)+IF(DW1872="D",1,0)+IF(DZ1872="D",1,0)+IF(EH1872="D",1,0)</f>
        <v>0</v>
      </c>
      <c r="AY1872" s="0" t="n">
        <f aca="false">COUNTIF(DU1872:EH1872, "&lt;&gt;")</f>
        <v>3</v>
      </c>
      <c r="AZ1872" s="0" t="n">
        <f aca="false">IF(EH1872&lt;&gt;"",1,0)</f>
        <v>0</v>
      </c>
      <c r="BB1872" s="0" t="s">
        <v>152</v>
      </c>
      <c r="DC1872" s="0" t="s">
        <v>153</v>
      </c>
      <c r="DN1872" s="0" t="s">
        <v>153</v>
      </c>
      <c r="DX1872" s="0" t="s">
        <v>153</v>
      </c>
      <c r="EA1872" s="0" t="s">
        <v>153</v>
      </c>
      <c r="EF1872" s="0" t="s">
        <v>153</v>
      </c>
    </row>
    <row r="1873" customFormat="false" ht="13.8" hidden="true" customHeight="false" outlineLevel="0" collapsed="false">
      <c r="A1873" s="0" t="s">
        <v>8351</v>
      </c>
      <c r="B1873" s="0" t="n">
        <v>78</v>
      </c>
      <c r="C1873" s="0" t="n">
        <v>147399</v>
      </c>
      <c r="D1873" s="0" t="s">
        <v>8352</v>
      </c>
      <c r="E1873" s="0" t="s">
        <v>6329</v>
      </c>
      <c r="F1873" s="0" t="str">
        <f aca="false">CONCATENATE(D1873," ",LEFT(H1873,4),"T=",AU1873,"D=",AV1873,"R=",AW1873,"M=",AX1873,"L=",AY1873,"B=",AZ1873)</f>
        <v>FULTZ T=4D=0R=0M=0L=0B=0</v>
      </c>
      <c r="G1873" s="0" t="s">
        <v>1128</v>
      </c>
      <c r="I1873" s="0" t="s">
        <v>8353</v>
      </c>
      <c r="J1873" s="0" t="s">
        <v>4860</v>
      </c>
      <c r="K1873" s="0" t="s">
        <v>143</v>
      </c>
      <c r="M1873" s="0" t="s">
        <v>8354</v>
      </c>
      <c r="N1873" s="0" t="str">
        <f aca="false">RIGHT(M1873,LEN(M1873)-FIND(" ",M1873))</f>
        <v>OAK KNOLL AVE SE</v>
      </c>
      <c r="P1873" s="0" t="s">
        <v>145</v>
      </c>
      <c r="Q1873" s="0" t="s">
        <v>146</v>
      </c>
      <c r="R1873" s="0" t="n">
        <v>44484</v>
      </c>
      <c r="AD1873" s="0" t="s">
        <v>147</v>
      </c>
      <c r="AE1873" s="0" t="s">
        <v>148</v>
      </c>
      <c r="AF1873" s="0" t="s">
        <v>149</v>
      </c>
      <c r="AH1873" s="0" t="n">
        <v>14</v>
      </c>
      <c r="AI1873" s="0" t="n">
        <v>11</v>
      </c>
      <c r="AN1873" s="0" t="s">
        <v>145</v>
      </c>
      <c r="AO1873" s="0" t="s">
        <v>150</v>
      </c>
      <c r="AP1873" s="0" t="s">
        <v>151</v>
      </c>
      <c r="AQ1873" s="0" t="n">
        <v>9</v>
      </c>
      <c r="AR1873" s="0" t="n">
        <v>64</v>
      </c>
      <c r="AS1873" s="0" t="n">
        <v>32</v>
      </c>
      <c r="AU1873" s="0" t="n">
        <f aca="false">COUNTA($BA$428:$EH$428)</f>
        <v>4</v>
      </c>
      <c r="AV1873" s="0" t="n">
        <f aca="false">COUNTIF($BA$428:$EH$428,"D")</f>
        <v>0</v>
      </c>
      <c r="AW1873" s="0" t="n">
        <f aca="false">COUNTIF($BA$428:$EH$428,"R")</f>
        <v>0</v>
      </c>
      <c r="AX1873" s="0" t="n">
        <f aca="false">IF(BN1873="D",1,0)+IF(BO1873="D",1,0)+IF(BT1873="D",1,0)+IF(BU1873="D",1,0)+IF(BW1873="D",1,0)+IF(CC1873="D",1,0)+IF(CD1873="D",1,0)+IF(CE1873="D",1,0)+IF(CF1873="D",1,0)+IF(CL1873="D",1,0)+IF(CM1873="D",1,0)+IF(CQ1873="D",1,0)+IF(CR1873="D",1,0)+IF(CS1873="D",1,0)+IF(CW1873="D",1,0)+IF(CX1873="D",1,0)+IF(DD1873="D",1,0)+IF(DE1873="D",1,0)+IF(DJ1873="D",1,0)+IF(DK1873="D",1,0)+IF(DO1873="D",1,0)+IF(DP1873="D",1,0)+IF(DQ1873="D",1,0)+IF(DW1873="D",1,0)+IF(DZ1873="D",1,0)+IF(EH1873="D",1,0)</f>
        <v>0</v>
      </c>
      <c r="AY1873" s="0" t="n">
        <f aca="false">COUNTIF(DU1873:EH1873, "&lt;&gt;")</f>
        <v>0</v>
      </c>
      <c r="AZ1873" s="0" t="n">
        <f aca="false">IF(EH1873&lt;&gt;"",1,0)</f>
        <v>0</v>
      </c>
      <c r="BB1873" s="0" t="s">
        <v>152</v>
      </c>
      <c r="BC1873" s="0" t="s">
        <v>153</v>
      </c>
      <c r="BD1873" s="0" t="s">
        <v>153</v>
      </c>
      <c r="BE1873" s="0" t="s">
        <v>153</v>
      </c>
      <c r="BH1873" s="0" t="s">
        <v>153</v>
      </c>
      <c r="BL1873" s="0" t="s">
        <v>153</v>
      </c>
      <c r="BS1873" s="0" t="s">
        <v>153</v>
      </c>
      <c r="BY1873" s="0" t="s">
        <v>175</v>
      </c>
      <c r="CA1873" s="0" t="s">
        <v>153</v>
      </c>
      <c r="CG1873" s="0" t="s">
        <v>153</v>
      </c>
      <c r="CK1873" s="0" t="s">
        <v>153</v>
      </c>
      <c r="CN1873" s="0" t="s">
        <v>153</v>
      </c>
      <c r="CP1873" s="0" t="s">
        <v>153</v>
      </c>
    </row>
    <row r="1874" customFormat="false" ht="13.8" hidden="true" customHeight="false" outlineLevel="0" collapsed="false">
      <c r="A1874" s="0" t="s">
        <v>8355</v>
      </c>
      <c r="B1874" s="0" t="n">
        <v>78</v>
      </c>
      <c r="C1874" s="0" t="n">
        <v>496340</v>
      </c>
      <c r="D1874" s="0" t="s">
        <v>3819</v>
      </c>
      <c r="E1874" s="0" t="s">
        <v>1198</v>
      </c>
      <c r="F1874" s="0" t="str">
        <f aca="false">CONCATENATE(D1874," ",LEFT(H1874,4),"T=",AU1874,"D=",AV1874,"R=",AW1874,"M=",AX1874,"L=",AY1874,"B=",AZ1874)</f>
        <v>MARTIN T=8D=2R=0M=0L=0B=0</v>
      </c>
      <c r="G1874" s="0" t="s">
        <v>839</v>
      </c>
      <c r="I1874" s="0" t="s">
        <v>8356</v>
      </c>
      <c r="J1874" s="0" t="s">
        <v>5562</v>
      </c>
      <c r="K1874" s="0" t="s">
        <v>160</v>
      </c>
      <c r="M1874" s="0" t="s">
        <v>8357</v>
      </c>
      <c r="N1874" s="0" t="str">
        <f aca="false">RIGHT(M1874,LEN(M1874)-FIND(" ",M1874))</f>
        <v>OAK KNOLL AVE SE</v>
      </c>
      <c r="P1874" s="0" t="s">
        <v>145</v>
      </c>
      <c r="Q1874" s="0" t="s">
        <v>146</v>
      </c>
      <c r="R1874" s="0" t="n">
        <v>44484</v>
      </c>
      <c r="AD1874" s="0" t="s">
        <v>147</v>
      </c>
      <c r="AE1874" s="0" t="s">
        <v>148</v>
      </c>
      <c r="AF1874" s="0" t="s">
        <v>149</v>
      </c>
      <c r="AH1874" s="0" t="n">
        <v>14</v>
      </c>
      <c r="AI1874" s="0" t="n">
        <v>11</v>
      </c>
      <c r="AN1874" s="0" t="s">
        <v>145</v>
      </c>
      <c r="AO1874" s="0" t="s">
        <v>150</v>
      </c>
      <c r="AP1874" s="0" t="s">
        <v>151</v>
      </c>
      <c r="AQ1874" s="0" t="n">
        <v>9</v>
      </c>
      <c r="AR1874" s="0" t="n">
        <v>64</v>
      </c>
      <c r="AS1874" s="0" t="n">
        <v>32</v>
      </c>
      <c r="AU1874" s="0" t="n">
        <f aca="false">COUNTA($BA$476:$EH$476)</f>
        <v>8</v>
      </c>
      <c r="AV1874" s="0" t="n">
        <f aca="false">COUNTIF($BA$476:$EH$476,"D")</f>
        <v>2</v>
      </c>
      <c r="AW1874" s="0" t="n">
        <f aca="false">COUNTIF($BA$476:$EH$476,"R")</f>
        <v>0</v>
      </c>
      <c r="AX1874" s="0" t="n">
        <f aca="false">IF(BN1874="D",1,0)+IF(BO1874="D",1,0)+IF(BT1874="D",1,0)+IF(BU1874="D",1,0)+IF(BW1874="D",1,0)+IF(CC1874="D",1,0)+IF(CD1874="D",1,0)+IF(CE1874="D",1,0)+IF(CF1874="D",1,0)+IF(CL1874="D",1,0)+IF(CM1874="D",1,0)+IF(CQ1874="D",1,0)+IF(CR1874="D",1,0)+IF(CS1874="D",1,0)+IF(CW1874="D",1,0)+IF(CX1874="D",1,0)+IF(DD1874="D",1,0)+IF(DE1874="D",1,0)+IF(DJ1874="D",1,0)+IF(DK1874="D",1,0)+IF(DO1874="D",1,0)+IF(DP1874="D",1,0)+IF(DQ1874="D",1,0)+IF(DW1874="D",1,0)+IF(DZ1874="D",1,0)+IF(EH1874="D",1,0)</f>
        <v>0</v>
      </c>
      <c r="AY1874" s="0" t="n">
        <f aca="false">COUNTIF(DU1874:EH1874, "&lt;&gt;")</f>
        <v>0</v>
      </c>
      <c r="AZ1874" s="0" t="n">
        <f aca="false">IF(EH1874&lt;&gt;"",1,0)</f>
        <v>0</v>
      </c>
      <c r="BB1874" s="0" t="s">
        <v>152</v>
      </c>
    </row>
    <row r="1875" customFormat="false" ht="13.8" hidden="false" customHeight="false" outlineLevel="0" collapsed="false">
      <c r="A1875" s="0" t="s">
        <v>8358</v>
      </c>
      <c r="B1875" s="0" t="n">
        <v>78</v>
      </c>
      <c r="C1875" s="0" t="n">
        <v>298610</v>
      </c>
      <c r="D1875" s="0" t="s">
        <v>8359</v>
      </c>
      <c r="E1875" s="0" t="s">
        <v>275</v>
      </c>
      <c r="F1875" s="0" t="str">
        <f aca="false">CONCATENATE(D1875," ",LEFT(H1875,4),"T=",AU1875,"D=",AV1875,"R=",AW1875,"M=",AX1875,"L=",AY1875,"B=",AZ1875)</f>
        <v>MOSKO T=1D=0R=0M=1L=5B=0</v>
      </c>
      <c r="G1875" s="0" t="s">
        <v>195</v>
      </c>
      <c r="I1875" s="0" t="s">
        <v>8360</v>
      </c>
      <c r="J1875" s="0" t="s">
        <v>1433</v>
      </c>
      <c r="K1875" s="0" t="s">
        <v>160</v>
      </c>
      <c r="L1875" s="0" t="s">
        <v>175</v>
      </c>
      <c r="M1875" s="0" t="s">
        <v>8357</v>
      </c>
      <c r="N1875" s="0" t="str">
        <f aca="false">RIGHT(M1875,LEN(M1875)-FIND(" ",M1875))</f>
        <v>OAK KNOLL AVE SE</v>
      </c>
      <c r="P1875" s="0" t="s">
        <v>145</v>
      </c>
      <c r="Q1875" s="0" t="s">
        <v>146</v>
      </c>
      <c r="R1875" s="0" t="n">
        <v>44484</v>
      </c>
      <c r="AD1875" s="0" t="s">
        <v>147</v>
      </c>
      <c r="AE1875" s="0" t="s">
        <v>148</v>
      </c>
      <c r="AF1875" s="0" t="s">
        <v>149</v>
      </c>
      <c r="AH1875" s="0" t="n">
        <v>14</v>
      </c>
      <c r="AI1875" s="0" t="n">
        <v>11</v>
      </c>
      <c r="AN1875" s="0" t="s">
        <v>145</v>
      </c>
      <c r="AO1875" s="0" t="s">
        <v>150</v>
      </c>
      <c r="AP1875" s="0" t="s">
        <v>151</v>
      </c>
      <c r="AQ1875" s="0" t="n">
        <v>9</v>
      </c>
      <c r="AR1875" s="0" t="n">
        <v>64</v>
      </c>
      <c r="AS1875" s="0" t="n">
        <v>32</v>
      </c>
      <c r="AU1875" s="0" t="n">
        <f aca="false">COUNTA($BA$718:$EH$718)</f>
        <v>1</v>
      </c>
      <c r="AV1875" s="0" t="n">
        <f aca="false">COUNTIF($BA$718:$EH$718,"D")</f>
        <v>0</v>
      </c>
      <c r="AW1875" s="0" t="n">
        <f aca="false">COUNTIF($BA$718:$EH$718,"R")</f>
        <v>0</v>
      </c>
      <c r="AX1875" s="0" t="n">
        <f aca="false">IF(BN1875="D",1,0)+IF(BO1875="D",1,0)+IF(BT1875="D",1,0)+IF(BU1875="D",1,0)+IF(BW1875="D",1,0)+IF(CC1875="D",1,0)+IF(CD1875="D",1,0)+IF(CE1875="D",1,0)+IF(CF1875="D",1,0)+IF(CL1875="D",1,0)+IF(CM1875="D",1,0)+IF(CQ1875="D",1,0)+IF(CR1875="D",1,0)+IF(CS1875="D",1,0)+IF(CW1875="D",1,0)+IF(CX1875="D",1,0)+IF(DD1875="D",1,0)+IF(DE1875="D",1,0)+IF(DJ1875="D",1,0)+IF(DK1875="D",1,0)+IF(DO1875="D",1,0)+IF(DP1875="D",1,0)+IF(DQ1875="D",1,0)+IF(DW1875="D",1,0)+IF(DZ1875="D",1,0)+IF(EH1875="D",1,0)</f>
        <v>1</v>
      </c>
      <c r="AY1875" s="0" t="n">
        <f aca="false">COUNTIF(DU1875:EH1875, "&lt;&gt;")</f>
        <v>5</v>
      </c>
      <c r="AZ1875" s="0" t="n">
        <f aca="false">IF(EH1875&lt;&gt;"",1,0)</f>
        <v>0</v>
      </c>
      <c r="BB1875" s="0" t="s">
        <v>152</v>
      </c>
      <c r="BD1875" s="0" t="s">
        <v>153</v>
      </c>
      <c r="BJ1875" s="0" t="s">
        <v>153</v>
      </c>
      <c r="BL1875" s="0" t="s">
        <v>153</v>
      </c>
      <c r="BS1875" s="0" t="s">
        <v>153</v>
      </c>
      <c r="CA1875" s="0" t="s">
        <v>153</v>
      </c>
      <c r="CP1875" s="0" t="s">
        <v>153</v>
      </c>
      <c r="DC1875" s="0" t="s">
        <v>153</v>
      </c>
      <c r="DN1875" s="0" t="s">
        <v>153</v>
      </c>
      <c r="DU1875" s="0" t="s">
        <v>153</v>
      </c>
      <c r="DW1875" s="0" t="s">
        <v>175</v>
      </c>
      <c r="DX1875" s="0" t="s">
        <v>153</v>
      </c>
      <c r="EA1875" s="0" t="s">
        <v>153</v>
      </c>
      <c r="EF1875" s="0" t="s">
        <v>153</v>
      </c>
    </row>
    <row r="1876" customFormat="false" ht="13.8" hidden="false" customHeight="false" outlineLevel="0" collapsed="false">
      <c r="A1876" s="0" t="s">
        <v>8361</v>
      </c>
      <c r="B1876" s="0" t="n">
        <v>78</v>
      </c>
      <c r="C1876" s="0" t="n">
        <v>127746</v>
      </c>
      <c r="D1876" s="0" t="s">
        <v>8359</v>
      </c>
      <c r="E1876" s="0" t="s">
        <v>3511</v>
      </c>
      <c r="F1876" s="0" t="str">
        <f aca="false">CONCATENATE(D1876," ",LEFT(H1876,4),"T=",AU1876,"D=",AV1876,"R=",AW1876,"M=",AX1876,"L=",AY1876,"B=",AZ1876)</f>
        <v>MOSKO T=16D=5R=0M=1L=3B=0</v>
      </c>
      <c r="G1876" s="0" t="s">
        <v>195</v>
      </c>
      <c r="I1876" s="0" t="s">
        <v>8362</v>
      </c>
      <c r="J1876" s="0" t="s">
        <v>8363</v>
      </c>
      <c r="K1876" s="0" t="s">
        <v>160</v>
      </c>
      <c r="M1876" s="0" t="s">
        <v>8357</v>
      </c>
      <c r="N1876" s="0" t="str">
        <f aca="false">RIGHT(M1876,LEN(M1876)-FIND(" ",M1876))</f>
        <v>OAK KNOLL AVE SE</v>
      </c>
      <c r="P1876" s="0" t="s">
        <v>145</v>
      </c>
      <c r="Q1876" s="0" t="s">
        <v>146</v>
      </c>
      <c r="R1876" s="0" t="n">
        <v>44484</v>
      </c>
      <c r="AD1876" s="0" t="s">
        <v>147</v>
      </c>
      <c r="AE1876" s="0" t="s">
        <v>148</v>
      </c>
      <c r="AF1876" s="0" t="s">
        <v>149</v>
      </c>
      <c r="AH1876" s="0" t="n">
        <v>14</v>
      </c>
      <c r="AI1876" s="0" t="n">
        <v>11</v>
      </c>
      <c r="AN1876" s="0" t="s">
        <v>145</v>
      </c>
      <c r="AO1876" s="0" t="s">
        <v>150</v>
      </c>
      <c r="AP1876" s="0" t="s">
        <v>151</v>
      </c>
      <c r="AQ1876" s="0" t="n">
        <v>9</v>
      </c>
      <c r="AR1876" s="0" t="n">
        <v>64</v>
      </c>
      <c r="AS1876" s="0" t="n">
        <v>32</v>
      </c>
      <c r="AU1876" s="0" t="n">
        <f aca="false">COUNTA($BA$906:$EH$906)</f>
        <v>16</v>
      </c>
      <c r="AV1876" s="0" t="n">
        <f aca="false">COUNTIF($BA$906:$EH$906,"D")</f>
        <v>5</v>
      </c>
      <c r="AW1876" s="0" t="n">
        <f aca="false">COUNTIF($BA$906:$EH$906,"R")</f>
        <v>0</v>
      </c>
      <c r="AX1876" s="0" t="n">
        <f aca="false">IF(BN1876="D",1,0)+IF(BO1876="D",1,0)+IF(BT1876="D",1,0)+IF(BU1876="D",1,0)+IF(BW1876="D",1,0)+IF(CC1876="D",1,0)+IF(CD1876="D",1,0)+IF(CE1876="D",1,0)+IF(CF1876="D",1,0)+IF(CL1876="D",1,0)+IF(CM1876="D",1,0)+IF(CQ1876="D",1,0)+IF(CR1876="D",1,0)+IF(CS1876="D",1,0)+IF(CW1876="D",1,0)+IF(CX1876="D",1,0)+IF(DD1876="D",1,0)+IF(DE1876="D",1,0)+IF(DJ1876="D",1,0)+IF(DK1876="D",1,0)+IF(DO1876="D",1,0)+IF(DP1876="D",1,0)+IF(DQ1876="D",1,0)+IF(DW1876="D",1,0)+IF(DZ1876="D",1,0)+IF(EH1876="D",1,0)</f>
        <v>1</v>
      </c>
      <c r="AY1876" s="0" t="n">
        <f aca="false">COUNTIF(DU1876:EH1876, "&lt;&gt;")</f>
        <v>3</v>
      </c>
      <c r="AZ1876" s="0" t="n">
        <f aca="false">IF(EH1876&lt;&gt;"",1,0)</f>
        <v>0</v>
      </c>
      <c r="BB1876" s="0" t="s">
        <v>152</v>
      </c>
      <c r="BD1876" s="0" t="s">
        <v>153</v>
      </c>
      <c r="BE1876" s="0" t="s">
        <v>153</v>
      </c>
      <c r="BG1876" s="0" t="s">
        <v>153</v>
      </c>
      <c r="BH1876" s="0" t="s">
        <v>153</v>
      </c>
      <c r="BI1876" s="0" t="s">
        <v>153</v>
      </c>
      <c r="BK1876" s="0" t="s">
        <v>153</v>
      </c>
      <c r="BL1876" s="0" t="s">
        <v>153</v>
      </c>
      <c r="BP1876" s="0" t="s">
        <v>153</v>
      </c>
      <c r="BR1876" s="0" t="s">
        <v>153</v>
      </c>
      <c r="BS1876" s="0" t="s">
        <v>153</v>
      </c>
      <c r="BV1876" s="0" t="s">
        <v>153</v>
      </c>
      <c r="BY1876" s="0" t="s">
        <v>175</v>
      </c>
      <c r="CA1876" s="0" t="s">
        <v>153</v>
      </c>
      <c r="CG1876" s="0" t="s">
        <v>153</v>
      </c>
      <c r="CH1876" s="0" t="s">
        <v>175</v>
      </c>
      <c r="CK1876" s="0" t="s">
        <v>153</v>
      </c>
      <c r="CL1876" s="0" t="s">
        <v>175</v>
      </c>
      <c r="CN1876" s="0" t="s">
        <v>153</v>
      </c>
      <c r="CP1876" s="0" t="s">
        <v>153</v>
      </c>
      <c r="CT1876" s="0" t="s">
        <v>153</v>
      </c>
      <c r="CV1876" s="0" t="s">
        <v>153</v>
      </c>
      <c r="CY1876" s="0" t="s">
        <v>153</v>
      </c>
      <c r="DC1876" s="0" t="s">
        <v>153</v>
      </c>
      <c r="DF1876" s="0" t="s">
        <v>153</v>
      </c>
      <c r="DG1876" s="0" t="s">
        <v>209</v>
      </c>
      <c r="DI1876" s="0" t="s">
        <v>153</v>
      </c>
      <c r="DL1876" s="0" t="s">
        <v>153</v>
      </c>
      <c r="DM1876" s="0" t="s">
        <v>175</v>
      </c>
      <c r="DN1876" s="0" t="s">
        <v>153</v>
      </c>
      <c r="DU1876" s="0" t="s">
        <v>153</v>
      </c>
      <c r="EA1876" s="0" t="s">
        <v>153</v>
      </c>
      <c r="EF1876" s="0" t="s">
        <v>153</v>
      </c>
    </row>
    <row r="1877" customFormat="false" ht="13.8" hidden="false" customHeight="false" outlineLevel="0" collapsed="false">
      <c r="A1877" s="0" t="s">
        <v>8364</v>
      </c>
      <c r="B1877" s="0" t="n">
        <v>78</v>
      </c>
      <c r="C1877" s="0" t="n">
        <v>197565</v>
      </c>
      <c r="D1877" s="0" t="s">
        <v>8365</v>
      </c>
      <c r="E1877" s="0" t="s">
        <v>2814</v>
      </c>
      <c r="F1877" s="0" t="str">
        <f aca="false">CONCATENATE(D1877," ",LEFT(H1877,4),"T=",AU1877,"D=",AV1877,"R=",AW1877,"M=",AX1877,"L=",AY1877,"B=",AZ1877)</f>
        <v>STARR T=2D=0R=0M=0L=4B=0</v>
      </c>
      <c r="G1877" s="0" t="s">
        <v>164</v>
      </c>
      <c r="I1877" s="0" t="s">
        <v>8366</v>
      </c>
      <c r="J1877" s="0" t="s">
        <v>8367</v>
      </c>
      <c r="K1877" s="0" t="s">
        <v>160</v>
      </c>
      <c r="L1877" s="0" t="s">
        <v>175</v>
      </c>
      <c r="M1877" s="0" t="s">
        <v>8368</v>
      </c>
      <c r="N1877" s="0" t="str">
        <f aca="false">RIGHT(M1877,LEN(M1877)-FIND(" ",M1877))</f>
        <v>OAK KNOLL AVE SE</v>
      </c>
      <c r="P1877" s="0" t="s">
        <v>145</v>
      </c>
      <c r="Q1877" s="0" t="s">
        <v>146</v>
      </c>
      <c r="R1877" s="0" t="n">
        <v>44484</v>
      </c>
      <c r="AD1877" s="0" t="s">
        <v>147</v>
      </c>
      <c r="AE1877" s="0" t="s">
        <v>148</v>
      </c>
      <c r="AF1877" s="0" t="s">
        <v>149</v>
      </c>
      <c r="AH1877" s="0" t="n">
        <v>14</v>
      </c>
      <c r="AI1877" s="0" t="n">
        <v>11</v>
      </c>
      <c r="AN1877" s="0" t="s">
        <v>145</v>
      </c>
      <c r="AO1877" s="0" t="s">
        <v>150</v>
      </c>
      <c r="AP1877" s="0" t="s">
        <v>151</v>
      </c>
      <c r="AQ1877" s="0" t="n">
        <v>9</v>
      </c>
      <c r="AR1877" s="0" t="n">
        <v>64</v>
      </c>
      <c r="AS1877" s="0" t="n">
        <v>32</v>
      </c>
      <c r="AU1877" s="0" t="n">
        <f aca="false">COUNTA($BA$178:$EH$178)</f>
        <v>2</v>
      </c>
      <c r="AV1877" s="0" t="n">
        <f aca="false">COUNTIF($BA$178:$EH$178,"D")</f>
        <v>0</v>
      </c>
      <c r="AW1877" s="0" t="n">
        <f aca="false">COUNTIF($BA$178:$EH$178,"R")</f>
        <v>0</v>
      </c>
      <c r="AX1877" s="0" t="n">
        <f aca="false">IF(BN1877="D",1,0)+IF(BO1877="D",1,0)+IF(BT1877="D",1,0)+IF(BU1877="D",1,0)+IF(BW1877="D",1,0)+IF(CC1877="D",1,0)+IF(CD1877="D",1,0)+IF(CE1877="D",1,0)+IF(CF1877="D",1,0)+IF(CL1877="D",1,0)+IF(CM1877="D",1,0)+IF(CQ1877="D",1,0)+IF(CR1877="D",1,0)+IF(CS1877="D",1,0)+IF(CW1877="D",1,0)+IF(CX1877="D",1,0)+IF(DD1877="D",1,0)+IF(DE1877="D",1,0)+IF(DJ1877="D",1,0)+IF(DK1877="D",1,0)+IF(DO1877="D",1,0)+IF(DP1877="D",1,0)+IF(DQ1877="D",1,0)+IF(DW1877="D",1,0)+IF(DZ1877="D",1,0)+IF(EH1877="D",1,0)</f>
        <v>0</v>
      </c>
      <c r="AY1877" s="0" t="n">
        <f aca="false">COUNTIF(DU1877:EH1877, "&lt;&gt;")</f>
        <v>4</v>
      </c>
      <c r="AZ1877" s="0" t="n">
        <f aca="false">IF(EH1877&lt;&gt;"",1,0)</f>
        <v>0</v>
      </c>
      <c r="BB1877" s="0" t="s">
        <v>152</v>
      </c>
      <c r="BC1877" s="0" t="s">
        <v>153</v>
      </c>
      <c r="BD1877" s="0" t="s">
        <v>153</v>
      </c>
      <c r="BE1877" s="0" t="s">
        <v>153</v>
      </c>
      <c r="BF1877" s="0" t="s">
        <v>153</v>
      </c>
      <c r="BH1877" s="0" t="s">
        <v>153</v>
      </c>
      <c r="BI1877" s="0" t="s">
        <v>153</v>
      </c>
      <c r="BJ1877" s="0" t="s">
        <v>153</v>
      </c>
      <c r="BK1877" s="0" t="s">
        <v>153</v>
      </c>
      <c r="BL1877" s="0" t="s">
        <v>153</v>
      </c>
      <c r="BR1877" s="0" t="s">
        <v>153</v>
      </c>
      <c r="BS1877" s="0" t="s">
        <v>153</v>
      </c>
      <c r="BY1877" s="0" t="s">
        <v>175</v>
      </c>
      <c r="CA1877" s="0" t="s">
        <v>153</v>
      </c>
      <c r="CN1877" s="0" t="s">
        <v>153</v>
      </c>
      <c r="CP1877" s="0" t="s">
        <v>153</v>
      </c>
      <c r="CY1877" s="0" t="s">
        <v>153</v>
      </c>
      <c r="DC1877" s="0" t="s">
        <v>153</v>
      </c>
      <c r="DI1877" s="0" t="s">
        <v>153</v>
      </c>
      <c r="DN1877" s="0" t="s">
        <v>153</v>
      </c>
      <c r="DX1877" s="0" t="s">
        <v>153</v>
      </c>
      <c r="EA1877" s="0" t="s">
        <v>153</v>
      </c>
      <c r="ED1877" s="0" t="s">
        <v>175</v>
      </c>
      <c r="EF1877" s="0" t="s">
        <v>153</v>
      </c>
    </row>
    <row r="1878" customFormat="false" ht="13.8" hidden="false" customHeight="false" outlineLevel="0" collapsed="false">
      <c r="A1878" s="0" t="s">
        <v>8369</v>
      </c>
      <c r="B1878" s="0" t="n">
        <v>78</v>
      </c>
      <c r="C1878" s="0" t="n">
        <v>197567</v>
      </c>
      <c r="D1878" s="0" t="s">
        <v>8365</v>
      </c>
      <c r="E1878" s="0" t="s">
        <v>2049</v>
      </c>
      <c r="F1878" s="0" t="str">
        <f aca="false">CONCATENATE(D1878," ",LEFT(H1878,4),"T=",AU1878,"D=",AV1878,"R=",AW1878,"M=",AX1878,"L=",AY1878,"B=",AZ1878)</f>
        <v>STARR T=1D=0R=0M=0L=4B=0</v>
      </c>
      <c r="I1878" s="0" t="s">
        <v>8370</v>
      </c>
      <c r="J1878" s="0" t="s">
        <v>7513</v>
      </c>
      <c r="K1878" s="0" t="s">
        <v>160</v>
      </c>
      <c r="M1878" s="0" t="s">
        <v>8368</v>
      </c>
      <c r="N1878" s="0" t="str">
        <f aca="false">RIGHT(M1878,LEN(M1878)-FIND(" ",M1878))</f>
        <v>OAK KNOLL AVE SE</v>
      </c>
      <c r="P1878" s="0" t="s">
        <v>145</v>
      </c>
      <c r="Q1878" s="0" t="s">
        <v>146</v>
      </c>
      <c r="R1878" s="0" t="n">
        <v>44484</v>
      </c>
      <c r="AD1878" s="0" t="s">
        <v>147</v>
      </c>
      <c r="AE1878" s="0" t="s">
        <v>148</v>
      </c>
      <c r="AF1878" s="0" t="s">
        <v>149</v>
      </c>
      <c r="AH1878" s="0" t="n">
        <v>14</v>
      </c>
      <c r="AI1878" s="0" t="n">
        <v>11</v>
      </c>
      <c r="AN1878" s="0" t="s">
        <v>145</v>
      </c>
      <c r="AO1878" s="0" t="s">
        <v>150</v>
      </c>
      <c r="AP1878" s="0" t="s">
        <v>151</v>
      </c>
      <c r="AQ1878" s="0" t="n">
        <v>9</v>
      </c>
      <c r="AR1878" s="0" t="n">
        <v>64</v>
      </c>
      <c r="AS1878" s="0" t="n">
        <v>32</v>
      </c>
      <c r="AU1878" s="0" t="n">
        <f aca="false">COUNTA($BA$910:$EH$910)</f>
        <v>1</v>
      </c>
      <c r="AV1878" s="0" t="n">
        <f aca="false">COUNTIF($BA$910:$EH$910,"D")</f>
        <v>0</v>
      </c>
      <c r="AW1878" s="0" t="n">
        <f aca="false">COUNTIF($BA$910:$EH$910,"R")</f>
        <v>0</v>
      </c>
      <c r="AX1878" s="0" t="n">
        <f aca="false">IF(BN1878="D",1,0)+IF(BO1878="D",1,0)+IF(BT1878="D",1,0)+IF(BU1878="D",1,0)+IF(BW1878="D",1,0)+IF(CC1878="D",1,0)+IF(CD1878="D",1,0)+IF(CE1878="D",1,0)+IF(CF1878="D",1,0)+IF(CL1878="D",1,0)+IF(CM1878="D",1,0)+IF(CQ1878="D",1,0)+IF(CR1878="D",1,0)+IF(CS1878="D",1,0)+IF(CW1878="D",1,0)+IF(CX1878="D",1,0)+IF(DD1878="D",1,0)+IF(DE1878="D",1,0)+IF(DJ1878="D",1,0)+IF(DK1878="D",1,0)+IF(DO1878="D",1,0)+IF(DP1878="D",1,0)+IF(DQ1878="D",1,0)+IF(DW1878="D",1,0)+IF(DZ1878="D",1,0)+IF(EH1878="D",1,0)</f>
        <v>0</v>
      </c>
      <c r="AY1878" s="0" t="n">
        <f aca="false">COUNTIF(DU1878:EH1878, "&lt;&gt;")</f>
        <v>4</v>
      </c>
      <c r="AZ1878" s="0" t="n">
        <f aca="false">IF(EH1878&lt;&gt;"",1,0)</f>
        <v>0</v>
      </c>
      <c r="BB1878" s="0" t="s">
        <v>152</v>
      </c>
      <c r="BC1878" s="0" t="s">
        <v>153</v>
      </c>
      <c r="BD1878" s="0" t="s">
        <v>153</v>
      </c>
      <c r="BE1878" s="0" t="s">
        <v>153</v>
      </c>
      <c r="BH1878" s="0" t="s">
        <v>153</v>
      </c>
      <c r="BI1878" s="0" t="s">
        <v>153</v>
      </c>
      <c r="BJ1878" s="0" t="s">
        <v>153</v>
      </c>
      <c r="BK1878" s="0" t="s">
        <v>153</v>
      </c>
      <c r="BL1878" s="0" t="s">
        <v>153</v>
      </c>
      <c r="BP1878" s="0" t="s">
        <v>153</v>
      </c>
      <c r="BS1878" s="0" t="s">
        <v>153</v>
      </c>
      <c r="BV1878" s="0" t="s">
        <v>153</v>
      </c>
      <c r="CA1878" s="0" t="s">
        <v>153</v>
      </c>
      <c r="CN1878" s="0" t="s">
        <v>153</v>
      </c>
      <c r="CP1878" s="0" t="s">
        <v>153</v>
      </c>
      <c r="CY1878" s="0" t="s">
        <v>153</v>
      </c>
      <c r="DC1878" s="0" t="s">
        <v>153</v>
      </c>
      <c r="DI1878" s="0" t="s">
        <v>153</v>
      </c>
      <c r="DL1878" s="0" t="s">
        <v>153</v>
      </c>
      <c r="DN1878" s="0" t="s">
        <v>153</v>
      </c>
      <c r="DU1878" s="0" t="s">
        <v>153</v>
      </c>
      <c r="DX1878" s="0" t="s">
        <v>153</v>
      </c>
      <c r="EA1878" s="0" t="s">
        <v>153</v>
      </c>
      <c r="EF1878" s="0" t="s">
        <v>153</v>
      </c>
    </row>
    <row r="1879" customFormat="false" ht="13.8" hidden="true" customHeight="false" outlineLevel="0" collapsed="false">
      <c r="A1879" s="0" t="s">
        <v>8371</v>
      </c>
      <c r="B1879" s="0" t="n">
        <v>78</v>
      </c>
      <c r="C1879" s="0" t="n">
        <v>413729</v>
      </c>
      <c r="D1879" s="0" t="s">
        <v>8372</v>
      </c>
      <c r="E1879" s="0" t="s">
        <v>1322</v>
      </c>
      <c r="F1879" s="0" t="str">
        <f aca="false">CONCATENATE(D1879," ",LEFT(H1879,4),"T=",AU1879,"D=",AV1879,"R=",AW1879,"M=",AX1879,"L=",AY1879,"B=",AZ1879)</f>
        <v>STAMP T=32D=9R=0M=0L=0B=0</v>
      </c>
      <c r="G1879" s="0" t="s">
        <v>195</v>
      </c>
      <c r="I1879" s="0" t="s">
        <v>8373</v>
      </c>
      <c r="J1879" s="0" t="s">
        <v>8374</v>
      </c>
      <c r="K1879" s="0" t="s">
        <v>160</v>
      </c>
      <c r="M1879" s="0" t="s">
        <v>8375</v>
      </c>
      <c r="N1879" s="0" t="str">
        <f aca="false">RIGHT(M1879,LEN(M1879)-FIND(" ",M1879))</f>
        <v>OAK KNOLL AVE SE</v>
      </c>
      <c r="P1879" s="0" t="s">
        <v>145</v>
      </c>
      <c r="Q1879" s="0" t="s">
        <v>146</v>
      </c>
      <c r="R1879" s="0" t="n">
        <v>44484</v>
      </c>
      <c r="AD1879" s="0" t="s">
        <v>147</v>
      </c>
      <c r="AE1879" s="0" t="s">
        <v>148</v>
      </c>
      <c r="AF1879" s="0" t="s">
        <v>149</v>
      </c>
      <c r="AH1879" s="0" t="n">
        <v>14</v>
      </c>
      <c r="AI1879" s="0" t="n">
        <v>11</v>
      </c>
      <c r="AN1879" s="0" t="s">
        <v>145</v>
      </c>
      <c r="AO1879" s="0" t="s">
        <v>150</v>
      </c>
      <c r="AP1879" s="0" t="s">
        <v>151</v>
      </c>
      <c r="AQ1879" s="0" t="n">
        <v>9</v>
      </c>
      <c r="AR1879" s="0" t="n">
        <v>64</v>
      </c>
      <c r="AS1879" s="0" t="n">
        <v>32</v>
      </c>
      <c r="AU1879" s="0" t="n">
        <f aca="false">COUNTA($BA$477:$EH$477)</f>
        <v>32</v>
      </c>
      <c r="AV1879" s="0" t="n">
        <f aca="false">COUNTIF($BA$477:$EH$477,"D")</f>
        <v>9</v>
      </c>
      <c r="AW1879" s="0" t="n">
        <f aca="false">COUNTIF($BA$477:$EH$477,"R")</f>
        <v>0</v>
      </c>
      <c r="AX1879" s="0" t="n">
        <f aca="false">IF(BN1879="D",1,0)+IF(BO1879="D",1,0)+IF(BT1879="D",1,0)+IF(BU1879="D",1,0)+IF(BW1879="D",1,0)+IF(CC1879="D",1,0)+IF(CD1879="D",1,0)+IF(CE1879="D",1,0)+IF(CF1879="D",1,0)+IF(CL1879="D",1,0)+IF(CM1879="D",1,0)+IF(CQ1879="D",1,0)+IF(CR1879="D",1,0)+IF(CS1879="D",1,0)+IF(CW1879="D",1,0)+IF(CX1879="D",1,0)+IF(DD1879="D",1,0)+IF(DE1879="D",1,0)+IF(DJ1879="D",1,0)+IF(DK1879="D",1,0)+IF(DO1879="D",1,0)+IF(DP1879="D",1,0)+IF(DQ1879="D",1,0)+IF(DW1879="D",1,0)+IF(DZ1879="D",1,0)+IF(EH1879="D",1,0)</f>
        <v>0</v>
      </c>
      <c r="AY1879" s="0" t="n">
        <f aca="false">COUNTIF(DU1879:EH1879, "&lt;&gt;")</f>
        <v>0</v>
      </c>
      <c r="AZ1879" s="0" t="n">
        <f aca="false">IF(EH1879&lt;&gt;"",1,0)</f>
        <v>0</v>
      </c>
      <c r="BB1879" s="0" t="s">
        <v>152</v>
      </c>
      <c r="BS1879" s="0" t="s">
        <v>153</v>
      </c>
      <c r="BY1879" s="0" t="s">
        <v>175</v>
      </c>
      <c r="CA1879" s="0" t="s">
        <v>153</v>
      </c>
    </row>
    <row r="1880" customFormat="false" ht="13.8" hidden="true" customHeight="false" outlineLevel="0" collapsed="false">
      <c r="A1880" s="0" t="s">
        <v>8376</v>
      </c>
      <c r="B1880" s="0" t="n">
        <v>78</v>
      </c>
      <c r="C1880" s="0" t="n">
        <v>305168</v>
      </c>
      <c r="D1880" s="0" t="s">
        <v>8377</v>
      </c>
      <c r="E1880" s="0" t="s">
        <v>712</v>
      </c>
      <c r="F1880" s="0" t="str">
        <f aca="false">CONCATENATE(D1880," ",LEFT(H1880,4),"T=",AU1880,"D=",AV1880,"R=",AW1880,"M=",AX1880,"L=",AY1880,"B=",AZ1880)</f>
        <v>FOREMAN T=29D=1R=5M=0L=1B=0</v>
      </c>
      <c r="G1880" s="0" t="s">
        <v>1776</v>
      </c>
      <c r="I1880" s="0" t="s">
        <v>8378</v>
      </c>
      <c r="J1880" s="0" t="s">
        <v>8379</v>
      </c>
      <c r="K1880" s="0" t="s">
        <v>160</v>
      </c>
      <c r="M1880" s="0" t="s">
        <v>8380</v>
      </c>
      <c r="N1880" s="0" t="str">
        <f aca="false">RIGHT(M1880,LEN(M1880)-FIND(" ",M1880))</f>
        <v>OAK KNOLL AVE SE</v>
      </c>
      <c r="P1880" s="0" t="s">
        <v>145</v>
      </c>
      <c r="Q1880" s="0" t="s">
        <v>146</v>
      </c>
      <c r="R1880" s="0" t="n">
        <v>44484</v>
      </c>
      <c r="AD1880" s="0" t="s">
        <v>147</v>
      </c>
      <c r="AE1880" s="0" t="s">
        <v>148</v>
      </c>
      <c r="AF1880" s="0" t="s">
        <v>149</v>
      </c>
      <c r="AH1880" s="0" t="n">
        <v>14</v>
      </c>
      <c r="AI1880" s="0" t="n">
        <v>11</v>
      </c>
      <c r="AN1880" s="0" t="s">
        <v>145</v>
      </c>
      <c r="AO1880" s="0" t="s">
        <v>150</v>
      </c>
      <c r="AP1880" s="0" t="s">
        <v>151</v>
      </c>
      <c r="AQ1880" s="0" t="n">
        <v>9</v>
      </c>
      <c r="AR1880" s="0" t="n">
        <v>64</v>
      </c>
      <c r="AS1880" s="0" t="n">
        <v>32</v>
      </c>
      <c r="AU1880" s="0" t="n">
        <f aca="false">COUNTA($BA$722:$EH$722)</f>
        <v>29</v>
      </c>
      <c r="AV1880" s="0" t="n">
        <f aca="false">COUNTIF($BA$722:$EH$722,"D")</f>
        <v>1</v>
      </c>
      <c r="AW1880" s="0" t="n">
        <f aca="false">COUNTIF($BA$722:$EH$722,"R")</f>
        <v>5</v>
      </c>
      <c r="AX1880" s="0" t="n">
        <f aca="false">IF(BN1880="D",1,0)+IF(BO1880="D",1,0)+IF(BT1880="D",1,0)+IF(BU1880="D",1,0)+IF(BW1880="D",1,0)+IF(CC1880="D",1,0)+IF(CD1880="D",1,0)+IF(CE1880="D",1,0)+IF(CF1880="D",1,0)+IF(CL1880="D",1,0)+IF(CM1880="D",1,0)+IF(CQ1880="D",1,0)+IF(CR1880="D",1,0)+IF(CS1880="D",1,0)+IF(CW1880="D",1,0)+IF(CX1880="D",1,0)+IF(DD1880="D",1,0)+IF(DE1880="D",1,0)+IF(DJ1880="D",1,0)+IF(DK1880="D",1,0)+IF(DO1880="D",1,0)+IF(DP1880="D",1,0)+IF(DQ1880="D",1,0)+IF(DW1880="D",1,0)+IF(DZ1880="D",1,0)+IF(EH1880="D",1,0)</f>
        <v>0</v>
      </c>
      <c r="AY1880" s="0" t="n">
        <f aca="false">COUNTIF(DU1880:EH1880, "&lt;&gt;")</f>
        <v>1</v>
      </c>
      <c r="AZ1880" s="0" t="n">
        <f aca="false">IF(EH1880&lt;&gt;"",1,0)</f>
        <v>0</v>
      </c>
      <c r="BB1880" s="0" t="s">
        <v>152</v>
      </c>
      <c r="CN1880" s="0" t="s">
        <v>153</v>
      </c>
      <c r="CP1880" s="0" t="s">
        <v>153</v>
      </c>
      <c r="DC1880" s="0" t="s">
        <v>153</v>
      </c>
      <c r="DI1880" s="0" t="s">
        <v>153</v>
      </c>
      <c r="DN1880" s="0" t="s">
        <v>153</v>
      </c>
      <c r="EF1880" s="0" t="s">
        <v>153</v>
      </c>
    </row>
    <row r="1881" customFormat="false" ht="13.8" hidden="false" customHeight="false" outlineLevel="0" collapsed="false">
      <c r="A1881" s="0" t="s">
        <v>8381</v>
      </c>
      <c r="B1881" s="0" t="n">
        <v>78</v>
      </c>
      <c r="C1881" s="0" t="n">
        <v>163814</v>
      </c>
      <c r="D1881" s="0" t="s">
        <v>6606</v>
      </c>
      <c r="E1881" s="0" t="s">
        <v>8382</v>
      </c>
      <c r="F1881" s="0" t="str">
        <f aca="false">CONCATENATE(D1881," ",LEFT(H1881,4),"T=",AU1881,"D=",AV1881,"R=",AW1881,"M=",AX1881,"L=",AY1881,"B=",AZ1881)</f>
        <v>BUCCI JRT=7D=0R=0M=0L=2B=0</v>
      </c>
      <c r="G1881" s="0" t="s">
        <v>171</v>
      </c>
      <c r="H1881" s="0" t="s">
        <v>314</v>
      </c>
      <c r="I1881" s="0" t="s">
        <v>8383</v>
      </c>
      <c r="J1881" s="0" t="s">
        <v>7406</v>
      </c>
      <c r="K1881" s="0" t="s">
        <v>160</v>
      </c>
      <c r="M1881" s="0" t="s">
        <v>8380</v>
      </c>
      <c r="N1881" s="0" t="str">
        <f aca="false">RIGHT(M1881,LEN(M1881)-FIND(" ",M1881))</f>
        <v>OAK KNOLL AVE SE</v>
      </c>
      <c r="P1881" s="0" t="s">
        <v>145</v>
      </c>
      <c r="Q1881" s="0" t="s">
        <v>146</v>
      </c>
      <c r="R1881" s="0" t="n">
        <v>44484</v>
      </c>
      <c r="AD1881" s="0" t="s">
        <v>147</v>
      </c>
      <c r="AE1881" s="0" t="s">
        <v>148</v>
      </c>
      <c r="AF1881" s="0" t="s">
        <v>149</v>
      </c>
      <c r="AH1881" s="0" t="n">
        <v>14</v>
      </c>
      <c r="AI1881" s="0" t="n">
        <v>11</v>
      </c>
      <c r="AN1881" s="0" t="s">
        <v>145</v>
      </c>
      <c r="AO1881" s="0" t="s">
        <v>150</v>
      </c>
      <c r="AP1881" s="0" t="s">
        <v>151</v>
      </c>
      <c r="AQ1881" s="0" t="n">
        <v>9</v>
      </c>
      <c r="AR1881" s="0" t="n">
        <v>64</v>
      </c>
      <c r="AS1881" s="0" t="n">
        <v>32</v>
      </c>
      <c r="AU1881" s="0" t="n">
        <f aca="false">COUNTA($BA$915:$EH$915)</f>
        <v>7</v>
      </c>
      <c r="AV1881" s="0" t="n">
        <f aca="false">COUNTIF($BA$915:$EH$915,"D")</f>
        <v>0</v>
      </c>
      <c r="AW1881" s="0" t="n">
        <f aca="false">COUNTIF($BA$915:$EH$915,"R")</f>
        <v>0</v>
      </c>
      <c r="AX1881" s="0" t="n">
        <f aca="false">IF(BN1881="D",1,0)+IF(BO1881="D",1,0)+IF(BT1881="D",1,0)+IF(BU1881="D",1,0)+IF(BW1881="D",1,0)+IF(CC1881="D",1,0)+IF(CD1881="D",1,0)+IF(CE1881="D",1,0)+IF(CF1881="D",1,0)+IF(CL1881="D",1,0)+IF(CM1881="D",1,0)+IF(CQ1881="D",1,0)+IF(CR1881="D",1,0)+IF(CS1881="D",1,0)+IF(CW1881="D",1,0)+IF(CX1881="D",1,0)+IF(DD1881="D",1,0)+IF(DE1881="D",1,0)+IF(DJ1881="D",1,0)+IF(DK1881="D",1,0)+IF(DO1881="D",1,0)+IF(DP1881="D",1,0)+IF(DQ1881="D",1,0)+IF(DW1881="D",1,0)+IF(DZ1881="D",1,0)+IF(EH1881="D",1,0)</f>
        <v>0</v>
      </c>
      <c r="AY1881" s="0" t="n">
        <f aca="false">COUNTIF(DU1881:EH1881, "&lt;&gt;")</f>
        <v>2</v>
      </c>
      <c r="AZ1881" s="0" t="n">
        <f aca="false">IF(EH1881&lt;&gt;"",1,0)</f>
        <v>0</v>
      </c>
      <c r="BB1881" s="0" t="s">
        <v>152</v>
      </c>
      <c r="BD1881" s="0" t="s">
        <v>153</v>
      </c>
      <c r="BL1881" s="0" t="s">
        <v>153</v>
      </c>
      <c r="BY1881" s="0" t="s">
        <v>175</v>
      </c>
      <c r="CA1881" s="0" t="s">
        <v>153</v>
      </c>
      <c r="CP1881" s="0" t="s">
        <v>153</v>
      </c>
      <c r="CY1881" s="0" t="s">
        <v>153</v>
      </c>
      <c r="CZ1881" s="0" t="s">
        <v>175</v>
      </c>
      <c r="DC1881" s="0" t="s">
        <v>153</v>
      </c>
      <c r="DN1881" s="0" t="s">
        <v>153</v>
      </c>
      <c r="EA1881" s="0" t="s">
        <v>153</v>
      </c>
      <c r="EF1881" s="0" t="s">
        <v>153</v>
      </c>
    </row>
    <row r="1882" customFormat="false" ht="13.8" hidden="true" customHeight="false" outlineLevel="0" collapsed="false">
      <c r="A1882" s="0" t="s">
        <v>8384</v>
      </c>
      <c r="B1882" s="0" t="n">
        <v>78</v>
      </c>
      <c r="C1882" s="0" t="n">
        <v>439861</v>
      </c>
      <c r="D1882" s="0" t="s">
        <v>8385</v>
      </c>
      <c r="E1882" s="0" t="s">
        <v>8386</v>
      </c>
      <c r="F1882" s="0" t="str">
        <f aca="false">CONCATENATE(D1882," ",LEFT(H1882,4),"T=",AU1882,"D=",AV1882,"R=",AW1882,"M=",AX1882,"L=",AY1882,"B=",AZ1882)</f>
        <v>THORNE T=16D=3R=0M=0L=0B=0</v>
      </c>
      <c r="G1882" s="0" t="s">
        <v>2586</v>
      </c>
      <c r="I1882" s="0" t="s">
        <v>8387</v>
      </c>
      <c r="J1882" s="0" t="s">
        <v>8388</v>
      </c>
      <c r="K1882" s="0" t="s">
        <v>143</v>
      </c>
      <c r="M1882" s="0" t="s">
        <v>8389</v>
      </c>
      <c r="N1882" s="0" t="str">
        <f aca="false">RIGHT(M1882,LEN(M1882)-FIND(" ",M1882))</f>
        <v>OAK KNOLL AVE SE</v>
      </c>
      <c r="P1882" s="0" t="s">
        <v>145</v>
      </c>
      <c r="Q1882" s="0" t="s">
        <v>146</v>
      </c>
      <c r="R1882" s="0" t="n">
        <v>44484</v>
      </c>
      <c r="AD1882" s="0" t="s">
        <v>147</v>
      </c>
      <c r="AE1882" s="0" t="s">
        <v>148</v>
      </c>
      <c r="AF1882" s="0" t="s">
        <v>149</v>
      </c>
      <c r="AH1882" s="0" t="n">
        <v>14</v>
      </c>
      <c r="AI1882" s="0" t="n">
        <v>11</v>
      </c>
      <c r="AN1882" s="0" t="s">
        <v>145</v>
      </c>
      <c r="AO1882" s="0" t="s">
        <v>150</v>
      </c>
      <c r="AP1882" s="0" t="s">
        <v>151</v>
      </c>
      <c r="AQ1882" s="0" t="n">
        <v>9</v>
      </c>
      <c r="AR1882" s="0" t="n">
        <v>64</v>
      </c>
      <c r="AS1882" s="0" t="n">
        <v>32</v>
      </c>
      <c r="AU1882" s="0" t="n">
        <f aca="false">COUNTA($BA$658:$EH$658)</f>
        <v>16</v>
      </c>
      <c r="AV1882" s="0" t="n">
        <f aca="false">COUNTIF($BA$658:$EH$658,"D")</f>
        <v>3</v>
      </c>
      <c r="AW1882" s="0" t="n">
        <f aca="false">COUNTIF($BA$658:$EH$658,"R")</f>
        <v>0</v>
      </c>
      <c r="AX1882" s="0" t="n">
        <f aca="false">IF(BN1882="D",1,0)+IF(BO1882="D",1,0)+IF(BT1882="D",1,0)+IF(BU1882="D",1,0)+IF(BW1882="D",1,0)+IF(CC1882="D",1,0)+IF(CD1882="D",1,0)+IF(CE1882="D",1,0)+IF(CF1882="D",1,0)+IF(CL1882="D",1,0)+IF(CM1882="D",1,0)+IF(CQ1882="D",1,0)+IF(CR1882="D",1,0)+IF(CS1882="D",1,0)+IF(CW1882="D",1,0)+IF(CX1882="D",1,0)+IF(DD1882="D",1,0)+IF(DE1882="D",1,0)+IF(DJ1882="D",1,0)+IF(DK1882="D",1,0)+IF(DO1882="D",1,0)+IF(DP1882="D",1,0)+IF(DQ1882="D",1,0)+IF(DW1882="D",1,0)+IF(DZ1882="D",1,0)+IF(EH1882="D",1,0)</f>
        <v>0</v>
      </c>
      <c r="AY1882" s="0" t="n">
        <f aca="false">COUNTIF(DU1882:EH1882, "&lt;&gt;")</f>
        <v>0</v>
      </c>
      <c r="AZ1882" s="0" t="n">
        <f aca="false">IF(EH1882&lt;&gt;"",1,0)</f>
        <v>0</v>
      </c>
      <c r="BB1882" s="0" t="s">
        <v>152</v>
      </c>
    </row>
    <row r="1883" customFormat="false" ht="13.8" hidden="true" customHeight="false" outlineLevel="0" collapsed="false">
      <c r="A1883" s="0" t="s">
        <v>8390</v>
      </c>
      <c r="B1883" s="0" t="n">
        <v>78</v>
      </c>
      <c r="C1883" s="0" t="n">
        <v>378244</v>
      </c>
      <c r="D1883" s="0" t="s">
        <v>8391</v>
      </c>
      <c r="E1883" s="0" t="s">
        <v>5881</v>
      </c>
      <c r="F1883" s="0" t="str">
        <f aca="false">CONCATENATE(D1883," ",LEFT(H1883,4),"T=",AU1883,"D=",AV1883,"R=",AW1883,"M=",AX1883,"L=",AY1883,"B=",AZ1883)</f>
        <v>BACON T=1D=0R=0M=0L=0B=0</v>
      </c>
      <c r="I1883" s="0" t="s">
        <v>8392</v>
      </c>
      <c r="J1883" s="0" t="s">
        <v>8393</v>
      </c>
      <c r="K1883" s="0" t="s">
        <v>160</v>
      </c>
      <c r="M1883" s="0" t="s">
        <v>8394</v>
      </c>
      <c r="N1883" s="0" t="str">
        <f aca="false">RIGHT(M1883,LEN(M1883)-FIND(" ",M1883))</f>
        <v>OAK KNOLL AVE SE</v>
      </c>
      <c r="P1883" s="0" t="s">
        <v>145</v>
      </c>
      <c r="Q1883" s="0" t="s">
        <v>146</v>
      </c>
      <c r="R1883" s="0" t="n">
        <v>44484</v>
      </c>
      <c r="AD1883" s="0" t="s">
        <v>147</v>
      </c>
      <c r="AE1883" s="0" t="s">
        <v>148</v>
      </c>
      <c r="AF1883" s="0" t="s">
        <v>149</v>
      </c>
      <c r="AH1883" s="0" t="n">
        <v>14</v>
      </c>
      <c r="AI1883" s="0" t="n">
        <v>11</v>
      </c>
      <c r="AN1883" s="0" t="s">
        <v>145</v>
      </c>
      <c r="AO1883" s="0" t="s">
        <v>150</v>
      </c>
      <c r="AP1883" s="0" t="s">
        <v>151</v>
      </c>
      <c r="AQ1883" s="0" t="n">
        <v>9</v>
      </c>
      <c r="AR1883" s="0" t="n">
        <v>64</v>
      </c>
      <c r="AS1883" s="0" t="n">
        <v>32</v>
      </c>
      <c r="AU1883" s="0" t="n">
        <f aca="false">COUNTA($BA$537:$EH$537)</f>
        <v>1</v>
      </c>
      <c r="AV1883" s="0" t="n">
        <f aca="false">COUNTIF($BA$537:$EH$537,"D")</f>
        <v>0</v>
      </c>
      <c r="AW1883" s="0" t="n">
        <f aca="false">COUNTIF($BA$537:$EH$537,"R")</f>
        <v>0</v>
      </c>
      <c r="AX1883" s="0" t="n">
        <f aca="false">IF(BN1883="D",1,0)+IF(BO1883="D",1,0)+IF(BT1883="D",1,0)+IF(BU1883="D",1,0)+IF(BW1883="D",1,0)+IF(CC1883="D",1,0)+IF(CD1883="D",1,0)+IF(CE1883="D",1,0)+IF(CF1883="D",1,0)+IF(CL1883="D",1,0)+IF(CM1883="D",1,0)+IF(CQ1883="D",1,0)+IF(CR1883="D",1,0)+IF(CS1883="D",1,0)+IF(CW1883="D",1,0)+IF(CX1883="D",1,0)+IF(DD1883="D",1,0)+IF(DE1883="D",1,0)+IF(DJ1883="D",1,0)+IF(DK1883="D",1,0)+IF(DO1883="D",1,0)+IF(DP1883="D",1,0)+IF(DQ1883="D",1,0)+IF(DW1883="D",1,0)+IF(DZ1883="D",1,0)+IF(EH1883="D",1,0)</f>
        <v>0</v>
      </c>
      <c r="AY1883" s="0" t="n">
        <f aca="false">COUNTIF(DU1883:EH1883, "&lt;&gt;")</f>
        <v>0</v>
      </c>
      <c r="AZ1883" s="0" t="n">
        <f aca="false">IF(EH1883&lt;&gt;"",1,0)</f>
        <v>0</v>
      </c>
      <c r="BB1883" s="0" t="s">
        <v>152</v>
      </c>
      <c r="CP1883" s="0" t="s">
        <v>153</v>
      </c>
    </row>
    <row r="1884" customFormat="false" ht="13.8" hidden="false" customHeight="false" outlineLevel="0" collapsed="false">
      <c r="A1884" s="0" t="s">
        <v>8395</v>
      </c>
      <c r="B1884" s="0" t="n">
        <v>78</v>
      </c>
      <c r="C1884" s="0" t="n">
        <v>441675</v>
      </c>
      <c r="D1884" s="0" t="s">
        <v>8396</v>
      </c>
      <c r="E1884" s="0" t="s">
        <v>5836</v>
      </c>
      <c r="F1884" s="0" t="str">
        <f aca="false">CONCATENATE(D1884," ",LEFT(H1884,4),"T=",AU1884,"D=",AV1884,"R=",AW1884,"M=",AX1884,"L=",AY1884,"B=",AZ1884)</f>
        <v>RANTILLA T=1D=0R=0M=0L=4B=0</v>
      </c>
      <c r="I1884" s="0" t="s">
        <v>8397</v>
      </c>
      <c r="J1884" s="0" t="s">
        <v>8398</v>
      </c>
      <c r="K1884" s="0" t="s">
        <v>160</v>
      </c>
      <c r="M1884" s="0" t="s">
        <v>8394</v>
      </c>
      <c r="N1884" s="0" t="str">
        <f aca="false">RIGHT(M1884,LEN(M1884)-FIND(" ",M1884))</f>
        <v>OAK KNOLL AVE SE</v>
      </c>
      <c r="P1884" s="0" t="s">
        <v>145</v>
      </c>
      <c r="Q1884" s="0" t="s">
        <v>146</v>
      </c>
      <c r="R1884" s="0" t="n">
        <v>44484</v>
      </c>
      <c r="AD1884" s="0" t="s">
        <v>147</v>
      </c>
      <c r="AE1884" s="0" t="s">
        <v>148</v>
      </c>
      <c r="AF1884" s="0" t="s">
        <v>149</v>
      </c>
      <c r="AH1884" s="0" t="n">
        <v>14</v>
      </c>
      <c r="AI1884" s="0" t="n">
        <v>11</v>
      </c>
      <c r="AN1884" s="0" t="s">
        <v>145</v>
      </c>
      <c r="AO1884" s="0" t="s">
        <v>150</v>
      </c>
      <c r="AP1884" s="0" t="s">
        <v>151</v>
      </c>
      <c r="AQ1884" s="0" t="n">
        <v>9</v>
      </c>
      <c r="AR1884" s="0" t="n">
        <v>64</v>
      </c>
      <c r="AS1884" s="0" t="n">
        <v>32</v>
      </c>
      <c r="AU1884" s="0" t="n">
        <f aca="false">COUNTA($BA$633:$EH$633)</f>
        <v>1</v>
      </c>
      <c r="AV1884" s="0" t="n">
        <f aca="false">COUNTIF($BA$633:$EH$633,"D")</f>
        <v>0</v>
      </c>
      <c r="AW1884" s="0" t="n">
        <f aca="false">COUNTIF($BA$633:$EH$633,"R")</f>
        <v>0</v>
      </c>
      <c r="AX1884" s="0" t="n">
        <f aca="false">IF(BN1884="D",1,0)+IF(BO1884="D",1,0)+IF(BT1884="D",1,0)+IF(BU1884="D",1,0)+IF(BW1884="D",1,0)+IF(CC1884="D",1,0)+IF(CD1884="D",1,0)+IF(CE1884="D",1,0)+IF(CF1884="D",1,0)+IF(CL1884="D",1,0)+IF(CM1884="D",1,0)+IF(CQ1884="D",1,0)+IF(CR1884="D",1,0)+IF(CS1884="D",1,0)+IF(CW1884="D",1,0)+IF(CX1884="D",1,0)+IF(DD1884="D",1,0)+IF(DE1884="D",1,0)+IF(DJ1884="D",1,0)+IF(DK1884="D",1,0)+IF(DO1884="D",1,0)+IF(DP1884="D",1,0)+IF(DQ1884="D",1,0)+IF(DW1884="D",1,0)+IF(DZ1884="D",1,0)+IF(EH1884="D",1,0)</f>
        <v>0</v>
      </c>
      <c r="AY1884" s="0" t="n">
        <f aca="false">COUNTIF(DU1884:EH1884, "&lt;&gt;")</f>
        <v>4</v>
      </c>
      <c r="AZ1884" s="0" t="n">
        <f aca="false">IF(EH1884&lt;&gt;"",1,0)</f>
        <v>0</v>
      </c>
      <c r="BB1884" s="0" t="s">
        <v>152</v>
      </c>
      <c r="DL1884" s="0" t="s">
        <v>153</v>
      </c>
      <c r="DM1884" s="0" t="s">
        <v>175</v>
      </c>
      <c r="DN1884" s="0" t="s">
        <v>153</v>
      </c>
      <c r="DU1884" s="0" t="s">
        <v>153</v>
      </c>
      <c r="DX1884" s="0" t="s">
        <v>153</v>
      </c>
      <c r="EA1884" s="0" t="s">
        <v>153</v>
      </c>
      <c r="EF1884" s="0" t="s">
        <v>153</v>
      </c>
    </row>
    <row r="1885" customFormat="false" ht="13.8" hidden="true" customHeight="false" outlineLevel="0" collapsed="false">
      <c r="A1885" s="0" t="s">
        <v>8399</v>
      </c>
      <c r="B1885" s="0" t="n">
        <v>78</v>
      </c>
      <c r="C1885" s="0" t="n">
        <v>380434</v>
      </c>
      <c r="D1885" s="0" t="s">
        <v>8186</v>
      </c>
      <c r="E1885" s="0" t="s">
        <v>2029</v>
      </c>
      <c r="F1885" s="0" t="str">
        <f aca="false">CONCATENATE(D1885," ",LEFT(H1885,4),"T=",AU1885,"D=",AV1885,"R=",AW1885,"M=",AX1885,"L=",AY1885,"B=",AZ1885)</f>
        <v>HURST T=1D=0R=0M=0L=0B=0</v>
      </c>
      <c r="G1885" s="0" t="s">
        <v>195</v>
      </c>
      <c r="I1885" s="0" t="s">
        <v>8400</v>
      </c>
      <c r="J1885" s="0" t="s">
        <v>264</v>
      </c>
      <c r="K1885" s="0" t="s">
        <v>143</v>
      </c>
      <c r="M1885" s="0" t="s">
        <v>8401</v>
      </c>
      <c r="N1885" s="0" t="str">
        <f aca="false">RIGHT(M1885,LEN(M1885)-FIND(" ",M1885))</f>
        <v>OAK KNOLL AVE SE</v>
      </c>
      <c r="P1885" s="0" t="s">
        <v>145</v>
      </c>
      <c r="Q1885" s="0" t="s">
        <v>146</v>
      </c>
      <c r="R1885" s="0" t="n">
        <v>44484</v>
      </c>
      <c r="AD1885" s="0" t="s">
        <v>147</v>
      </c>
      <c r="AE1885" s="0" t="s">
        <v>148</v>
      </c>
      <c r="AF1885" s="0" t="s">
        <v>149</v>
      </c>
      <c r="AH1885" s="0" t="n">
        <v>14</v>
      </c>
      <c r="AI1885" s="0" t="n">
        <v>11</v>
      </c>
      <c r="AN1885" s="0" t="s">
        <v>145</v>
      </c>
      <c r="AO1885" s="0" t="s">
        <v>150</v>
      </c>
      <c r="AP1885" s="0" t="s">
        <v>151</v>
      </c>
      <c r="AQ1885" s="0" t="n">
        <v>9</v>
      </c>
      <c r="AR1885" s="0" t="n">
        <v>64</v>
      </c>
      <c r="AS1885" s="0" t="n">
        <v>32</v>
      </c>
      <c r="AU1885" s="0" t="n">
        <f aca="false">COUNTA($BA$404:$EH$404)</f>
        <v>1</v>
      </c>
      <c r="AV1885" s="0" t="n">
        <f aca="false">COUNTIF($BA$404:$EH$404,"D")</f>
        <v>0</v>
      </c>
      <c r="AW1885" s="0" t="n">
        <f aca="false">COUNTIF($BA$404:$EH$404,"R")</f>
        <v>0</v>
      </c>
      <c r="AX1885" s="0" t="n">
        <f aca="false">IF(BN1885="D",1,0)+IF(BO1885="D",1,0)+IF(BT1885="D",1,0)+IF(BU1885="D",1,0)+IF(BW1885="D",1,0)+IF(CC1885="D",1,0)+IF(CD1885="D",1,0)+IF(CE1885="D",1,0)+IF(CF1885="D",1,0)+IF(CL1885="D",1,0)+IF(CM1885="D",1,0)+IF(CQ1885="D",1,0)+IF(CR1885="D",1,0)+IF(CS1885="D",1,0)+IF(CW1885="D",1,0)+IF(CX1885="D",1,0)+IF(DD1885="D",1,0)+IF(DE1885="D",1,0)+IF(DJ1885="D",1,0)+IF(DK1885="D",1,0)+IF(DO1885="D",1,0)+IF(DP1885="D",1,0)+IF(DQ1885="D",1,0)+IF(DW1885="D",1,0)+IF(DZ1885="D",1,0)+IF(EH1885="D",1,0)</f>
        <v>0</v>
      </c>
      <c r="AY1885" s="0" t="n">
        <f aca="false">COUNTIF(DU1885:EH1885, "&lt;&gt;")</f>
        <v>0</v>
      </c>
      <c r="AZ1885" s="0" t="n">
        <f aca="false">IF(EH1885&lt;&gt;"",1,0)</f>
        <v>0</v>
      </c>
      <c r="BB1885" s="0" t="s">
        <v>152</v>
      </c>
      <c r="CN1885" s="0" t="s">
        <v>153</v>
      </c>
      <c r="CP1885" s="0" t="s">
        <v>153</v>
      </c>
      <c r="CV1885" s="0" t="s">
        <v>153</v>
      </c>
      <c r="CY1885" s="0" t="s">
        <v>153</v>
      </c>
      <c r="DC1885" s="0" t="s">
        <v>153</v>
      </c>
      <c r="DN1885" s="0" t="s">
        <v>153</v>
      </c>
    </row>
    <row r="1886" customFormat="false" ht="13.8" hidden="true" customHeight="false" outlineLevel="0" collapsed="false">
      <c r="A1886" s="0" t="s">
        <v>8402</v>
      </c>
      <c r="B1886" s="0" t="n">
        <v>78</v>
      </c>
      <c r="C1886" s="0" t="n">
        <v>487657</v>
      </c>
      <c r="D1886" s="0" t="s">
        <v>1936</v>
      </c>
      <c r="E1886" s="0" t="s">
        <v>8403</v>
      </c>
      <c r="F1886" s="0" t="str">
        <f aca="false">CONCATENATE(D1886," ",LEFT(H1886,4),"T=",AU1886,"D=",AV1886,"R=",AW1886,"M=",AX1886,"L=",AY1886,"B=",AZ1886)</f>
        <v>CAMPBELL T=3D=0R=0M=0L=0B=0</v>
      </c>
      <c r="G1886" s="0" t="s">
        <v>171</v>
      </c>
      <c r="I1886" s="0" t="s">
        <v>8404</v>
      </c>
      <c r="J1886" s="0" t="s">
        <v>283</v>
      </c>
      <c r="K1886" s="0" t="s">
        <v>160</v>
      </c>
      <c r="M1886" s="0" t="s">
        <v>8405</v>
      </c>
      <c r="N1886" s="0" t="str">
        <f aca="false">RIGHT(M1886,LEN(M1886)-FIND(" ",M1886))</f>
        <v>OAK KNOLL AVE SE</v>
      </c>
      <c r="P1886" s="0" t="s">
        <v>145</v>
      </c>
      <c r="Q1886" s="0" t="s">
        <v>146</v>
      </c>
      <c r="R1886" s="0" t="n">
        <v>44484</v>
      </c>
      <c r="AD1886" s="0" t="s">
        <v>147</v>
      </c>
      <c r="AE1886" s="0" t="s">
        <v>148</v>
      </c>
      <c r="AF1886" s="0" t="s">
        <v>149</v>
      </c>
      <c r="AH1886" s="0" t="n">
        <v>14</v>
      </c>
      <c r="AI1886" s="0" t="n">
        <v>11</v>
      </c>
      <c r="AN1886" s="0" t="s">
        <v>145</v>
      </c>
      <c r="AO1886" s="0" t="s">
        <v>150</v>
      </c>
      <c r="AP1886" s="0" t="s">
        <v>151</v>
      </c>
      <c r="AQ1886" s="0" t="n">
        <v>9</v>
      </c>
      <c r="AR1886" s="0" t="n">
        <v>64</v>
      </c>
      <c r="AS1886" s="0" t="n">
        <v>32</v>
      </c>
      <c r="AU1886" s="0" t="n">
        <f aca="false">COUNTA($BA$73:$EH$73)</f>
        <v>3</v>
      </c>
      <c r="AV1886" s="0" t="n">
        <f aca="false">COUNTIF($BA$73:$EH$73,"D")</f>
        <v>0</v>
      </c>
      <c r="AW1886" s="0" t="n">
        <f aca="false">COUNTIF($BA$73:$EH$73,"R")</f>
        <v>0</v>
      </c>
      <c r="AX1886" s="0" t="n">
        <f aca="false">IF(BN1886="D",1,0)+IF(BO1886="D",1,0)+IF(BT1886="D",1,0)+IF(BU1886="D",1,0)+IF(BW1886="D",1,0)+IF(CC1886="D",1,0)+IF(CD1886="D",1,0)+IF(CE1886="D",1,0)+IF(CF1886="D",1,0)+IF(CL1886="D",1,0)+IF(CM1886="D",1,0)+IF(CQ1886="D",1,0)+IF(CR1886="D",1,0)+IF(CS1886="D",1,0)+IF(CW1886="D",1,0)+IF(CX1886="D",1,0)+IF(DD1886="D",1,0)+IF(DE1886="D",1,0)+IF(DJ1886="D",1,0)+IF(DK1886="D",1,0)+IF(DO1886="D",1,0)+IF(DP1886="D",1,0)+IF(DQ1886="D",1,0)+IF(DW1886="D",1,0)+IF(DZ1886="D",1,0)+IF(EH1886="D",1,0)</f>
        <v>0</v>
      </c>
      <c r="AY1886" s="0" t="n">
        <f aca="false">COUNTIF(DU1886:EH1886, "&lt;&gt;")</f>
        <v>0</v>
      </c>
      <c r="AZ1886" s="0" t="n">
        <f aca="false">IF(EH1886&lt;&gt;"",1,0)</f>
        <v>0</v>
      </c>
      <c r="BB1886" s="0" t="s">
        <v>152</v>
      </c>
    </row>
    <row r="1887" customFormat="false" ht="13.8" hidden="true" customHeight="false" outlineLevel="0" collapsed="false">
      <c r="A1887" s="0" t="s">
        <v>8406</v>
      </c>
      <c r="B1887" s="0" t="n">
        <v>78</v>
      </c>
      <c r="C1887" s="0" t="n">
        <v>487484</v>
      </c>
      <c r="D1887" s="0" t="s">
        <v>8337</v>
      </c>
      <c r="E1887" s="0" t="s">
        <v>1101</v>
      </c>
      <c r="F1887" s="0" t="str">
        <f aca="false">CONCATENATE(D1887," ",LEFT(H1887,4),"T=",AU1887,"D=",AV1887,"R=",AW1887,"M=",AX1887,"L=",AY1887,"B=",AZ1887)</f>
        <v>SAURUK T=8D=2R=0M=0L=0B=0</v>
      </c>
      <c r="G1887" s="0" t="s">
        <v>164</v>
      </c>
      <c r="I1887" s="0" t="s">
        <v>8407</v>
      </c>
      <c r="J1887" s="0" t="s">
        <v>534</v>
      </c>
      <c r="K1887" s="0" t="s">
        <v>160</v>
      </c>
      <c r="M1887" s="0" t="s">
        <v>8405</v>
      </c>
      <c r="N1887" s="0" t="str">
        <f aca="false">RIGHT(M1887,LEN(M1887)-FIND(" ",M1887))</f>
        <v>OAK KNOLL AVE SE</v>
      </c>
      <c r="P1887" s="0" t="s">
        <v>145</v>
      </c>
      <c r="Q1887" s="0" t="s">
        <v>146</v>
      </c>
      <c r="R1887" s="0" t="n">
        <v>44484</v>
      </c>
      <c r="AD1887" s="0" t="s">
        <v>147</v>
      </c>
      <c r="AE1887" s="0" t="s">
        <v>148</v>
      </c>
      <c r="AF1887" s="0" t="s">
        <v>149</v>
      </c>
      <c r="AH1887" s="0" t="n">
        <v>14</v>
      </c>
      <c r="AI1887" s="0" t="n">
        <v>11</v>
      </c>
      <c r="AN1887" s="0" t="s">
        <v>145</v>
      </c>
      <c r="AO1887" s="0" t="s">
        <v>150</v>
      </c>
      <c r="AP1887" s="0" t="s">
        <v>151</v>
      </c>
      <c r="AQ1887" s="0" t="n">
        <v>9</v>
      </c>
      <c r="AR1887" s="0" t="n">
        <v>64</v>
      </c>
      <c r="AS1887" s="0" t="n">
        <v>32</v>
      </c>
      <c r="AU1887" s="0" t="n">
        <f aca="false">COUNTA($BA$755:$EH$755)</f>
        <v>8</v>
      </c>
      <c r="AV1887" s="0" t="n">
        <f aca="false">COUNTIF($BA$755:$EH$755,"D")</f>
        <v>2</v>
      </c>
      <c r="AW1887" s="0" t="n">
        <f aca="false">COUNTIF($BA$755:$EH$755,"R")</f>
        <v>0</v>
      </c>
      <c r="AX1887" s="0" t="n">
        <f aca="false">IF(BN1887="D",1,0)+IF(BO1887="D",1,0)+IF(BT1887="D",1,0)+IF(BU1887="D",1,0)+IF(BW1887="D",1,0)+IF(CC1887="D",1,0)+IF(CD1887="D",1,0)+IF(CE1887="D",1,0)+IF(CF1887="D",1,0)+IF(CL1887="D",1,0)+IF(CM1887="D",1,0)+IF(CQ1887="D",1,0)+IF(CR1887="D",1,0)+IF(CS1887="D",1,0)+IF(CW1887="D",1,0)+IF(CX1887="D",1,0)+IF(DD1887="D",1,0)+IF(DE1887="D",1,0)+IF(DJ1887="D",1,0)+IF(DK1887="D",1,0)+IF(DO1887="D",1,0)+IF(DP1887="D",1,0)+IF(DQ1887="D",1,0)+IF(DW1887="D",1,0)+IF(DZ1887="D",1,0)+IF(EH1887="D",1,0)</f>
        <v>0</v>
      </c>
      <c r="AY1887" s="0" t="n">
        <f aca="false">COUNTIF(DU1887:EH1887, "&lt;&gt;")</f>
        <v>0</v>
      </c>
      <c r="AZ1887" s="0" t="n">
        <f aca="false">IF(EH1887&lt;&gt;"",1,0)</f>
        <v>0</v>
      </c>
      <c r="BB1887" s="0" t="s">
        <v>152</v>
      </c>
    </row>
    <row r="1888" customFormat="false" ht="13.8" hidden="false" customHeight="false" outlineLevel="0" collapsed="false">
      <c r="A1888" s="0" t="s">
        <v>8408</v>
      </c>
      <c r="B1888" s="0" t="n">
        <v>78</v>
      </c>
      <c r="C1888" s="0" t="n">
        <v>354519</v>
      </c>
      <c r="D1888" s="0" t="s">
        <v>8409</v>
      </c>
      <c r="E1888" s="0" t="s">
        <v>2401</v>
      </c>
      <c r="F1888" s="0" t="str">
        <f aca="false">CONCATENATE(D1888," ",LEFT(H1888,4),"T=",AU1888,"D=",AV1888,"R=",AW1888,"M=",AX1888,"L=",AY1888,"B=",AZ1888)</f>
        <v>SCISINGER T=5D=0R=0M=0L=2B=0</v>
      </c>
      <c r="G1888" s="0" t="s">
        <v>164</v>
      </c>
      <c r="I1888" s="0" t="s">
        <v>8410</v>
      </c>
      <c r="J1888" s="0" t="s">
        <v>8411</v>
      </c>
      <c r="K1888" s="0" t="s">
        <v>160</v>
      </c>
      <c r="M1888" s="0" t="s">
        <v>8412</v>
      </c>
      <c r="N1888" s="0" t="str">
        <f aca="false">RIGHT(M1888,LEN(M1888)-FIND(" ",M1888))</f>
        <v>OAK KNOLL AVE SE</v>
      </c>
      <c r="P1888" s="0" t="s">
        <v>145</v>
      </c>
      <c r="Q1888" s="0" t="s">
        <v>146</v>
      </c>
      <c r="R1888" s="0" t="n">
        <v>44484</v>
      </c>
      <c r="AD1888" s="0" t="s">
        <v>147</v>
      </c>
      <c r="AE1888" s="0" t="s">
        <v>148</v>
      </c>
      <c r="AF1888" s="0" t="s">
        <v>149</v>
      </c>
      <c r="AH1888" s="0" t="n">
        <v>14</v>
      </c>
      <c r="AI1888" s="0" t="n">
        <v>11</v>
      </c>
      <c r="AN1888" s="0" t="s">
        <v>145</v>
      </c>
      <c r="AO1888" s="0" t="s">
        <v>150</v>
      </c>
      <c r="AP1888" s="0" t="s">
        <v>151</v>
      </c>
      <c r="AQ1888" s="0" t="n">
        <v>9</v>
      </c>
      <c r="AR1888" s="0" t="n">
        <v>64</v>
      </c>
      <c r="AS1888" s="0" t="n">
        <v>32</v>
      </c>
      <c r="AU1888" s="0" t="n">
        <f aca="false">COUNTA($BA$667:$EH$667)</f>
        <v>5</v>
      </c>
      <c r="AV1888" s="0" t="n">
        <f aca="false">COUNTIF($BA$667:$EH$667,"D")</f>
        <v>0</v>
      </c>
      <c r="AW1888" s="0" t="n">
        <f aca="false">COUNTIF($BA$667:$EH$667,"R")</f>
        <v>0</v>
      </c>
      <c r="AX1888" s="0" t="n">
        <f aca="false">IF(BN1888="D",1,0)+IF(BO1888="D",1,0)+IF(BT1888="D",1,0)+IF(BU1888="D",1,0)+IF(BW1888="D",1,0)+IF(CC1888="D",1,0)+IF(CD1888="D",1,0)+IF(CE1888="D",1,0)+IF(CF1888="D",1,0)+IF(CL1888="D",1,0)+IF(CM1888="D",1,0)+IF(CQ1888="D",1,0)+IF(CR1888="D",1,0)+IF(CS1888="D",1,0)+IF(CW1888="D",1,0)+IF(CX1888="D",1,0)+IF(DD1888="D",1,0)+IF(DE1888="D",1,0)+IF(DJ1888="D",1,0)+IF(DK1888="D",1,0)+IF(DO1888="D",1,0)+IF(DP1888="D",1,0)+IF(DQ1888="D",1,0)+IF(DW1888="D",1,0)+IF(DZ1888="D",1,0)+IF(EH1888="D",1,0)</f>
        <v>0</v>
      </c>
      <c r="AY1888" s="0" t="n">
        <f aca="false">COUNTIF(DU1888:EH1888, "&lt;&gt;")</f>
        <v>2</v>
      </c>
      <c r="AZ1888" s="0" t="n">
        <f aca="false">IF(EH1888&lt;&gt;"",1,0)</f>
        <v>0</v>
      </c>
      <c r="BB1888" s="0" t="s">
        <v>152</v>
      </c>
      <c r="BY1888" s="0" t="s">
        <v>175</v>
      </c>
      <c r="CA1888" s="0" t="s">
        <v>153</v>
      </c>
      <c r="CP1888" s="0" t="s">
        <v>153</v>
      </c>
      <c r="DC1888" s="0" t="s">
        <v>153</v>
      </c>
      <c r="DI1888" s="0" t="s">
        <v>153</v>
      </c>
      <c r="DM1888" s="0" t="s">
        <v>175</v>
      </c>
      <c r="DN1888" s="0" t="s">
        <v>153</v>
      </c>
      <c r="DU1888" s="0" t="s">
        <v>153</v>
      </c>
      <c r="EF1888" s="0" t="s">
        <v>153</v>
      </c>
    </row>
    <row r="1889" customFormat="false" ht="13.8" hidden="true" customHeight="false" outlineLevel="0" collapsed="false">
      <c r="A1889" s="0" t="s">
        <v>8413</v>
      </c>
      <c r="B1889" s="0" t="n">
        <v>78</v>
      </c>
      <c r="C1889" s="0" t="n">
        <v>477842</v>
      </c>
      <c r="D1889" s="0" t="s">
        <v>8414</v>
      </c>
      <c r="E1889" s="0" t="s">
        <v>8415</v>
      </c>
      <c r="F1889" s="0" t="str">
        <f aca="false">CONCATENATE(D1889," ",LEFT(H1889,4),"T=",AU1889,"D=",AV1889,"R=",AW1889,"M=",AX1889,"L=",AY1889,"B=",AZ1889)</f>
        <v>GOSS T=5D=0R=0M=0L=1B=0</v>
      </c>
      <c r="G1889" s="0" t="s">
        <v>5539</v>
      </c>
      <c r="I1889" s="0" t="s">
        <v>8416</v>
      </c>
      <c r="J1889" s="0" t="s">
        <v>8417</v>
      </c>
      <c r="K1889" s="0" t="s">
        <v>160</v>
      </c>
      <c r="M1889" s="0" t="s">
        <v>8418</v>
      </c>
      <c r="N1889" s="0" t="str">
        <f aca="false">RIGHT(M1889,LEN(M1889)-FIND(" ",M1889))</f>
        <v>OAK KNOLL AVE SE</v>
      </c>
      <c r="P1889" s="0" t="s">
        <v>145</v>
      </c>
      <c r="Q1889" s="0" t="s">
        <v>146</v>
      </c>
      <c r="R1889" s="0" t="n">
        <v>44484</v>
      </c>
      <c r="AD1889" s="0" t="s">
        <v>147</v>
      </c>
      <c r="AE1889" s="0" t="s">
        <v>148</v>
      </c>
      <c r="AF1889" s="0" t="s">
        <v>149</v>
      </c>
      <c r="AH1889" s="0" t="n">
        <v>14</v>
      </c>
      <c r="AI1889" s="0" t="n">
        <v>11</v>
      </c>
      <c r="AN1889" s="0" t="s">
        <v>145</v>
      </c>
      <c r="AO1889" s="0" t="s">
        <v>150</v>
      </c>
      <c r="AP1889" s="0" t="s">
        <v>151</v>
      </c>
      <c r="AQ1889" s="0" t="n">
        <v>9</v>
      </c>
      <c r="AR1889" s="0" t="n">
        <v>64</v>
      </c>
      <c r="AS1889" s="0" t="n">
        <v>32</v>
      </c>
      <c r="AU1889" s="0" t="n">
        <f aca="false">COUNTA($BA$601:$EH$601)</f>
        <v>5</v>
      </c>
      <c r="AV1889" s="0" t="n">
        <f aca="false">COUNTIF($BA$601:$EH$601,"D")</f>
        <v>0</v>
      </c>
      <c r="AW1889" s="0" t="n">
        <f aca="false">COUNTIF($BA$601:$EH$601,"R")</f>
        <v>0</v>
      </c>
      <c r="AX1889" s="0" t="n">
        <f aca="false">IF(BN1889="D",1,0)+IF(BO1889="D",1,0)+IF(BT1889="D",1,0)+IF(BU1889="D",1,0)+IF(BW1889="D",1,0)+IF(CC1889="D",1,0)+IF(CD1889="D",1,0)+IF(CE1889="D",1,0)+IF(CF1889="D",1,0)+IF(CL1889="D",1,0)+IF(CM1889="D",1,0)+IF(CQ1889="D",1,0)+IF(CR1889="D",1,0)+IF(CS1889="D",1,0)+IF(CW1889="D",1,0)+IF(CX1889="D",1,0)+IF(DD1889="D",1,0)+IF(DE1889="D",1,0)+IF(DJ1889="D",1,0)+IF(DK1889="D",1,0)+IF(DO1889="D",1,0)+IF(DP1889="D",1,0)+IF(DQ1889="D",1,0)+IF(DW1889="D",1,0)+IF(DZ1889="D",1,0)+IF(EH1889="D",1,0)</f>
        <v>0</v>
      </c>
      <c r="AY1889" s="0" t="n">
        <f aca="false">COUNTIF(DU1889:EH1889, "&lt;&gt;")</f>
        <v>1</v>
      </c>
      <c r="AZ1889" s="0" t="n">
        <f aca="false">IF(EH1889&lt;&gt;"",1,0)</f>
        <v>0</v>
      </c>
      <c r="BB1889" s="0" t="s">
        <v>152</v>
      </c>
      <c r="EF1889" s="0" t="s">
        <v>153</v>
      </c>
    </row>
    <row r="1890" customFormat="false" ht="13.8" hidden="false" customHeight="false" outlineLevel="0" collapsed="false">
      <c r="A1890" s="0" t="s">
        <v>8419</v>
      </c>
      <c r="B1890" s="0" t="n">
        <v>78</v>
      </c>
      <c r="C1890" s="0" t="n">
        <v>416304</v>
      </c>
      <c r="D1890" s="0" t="s">
        <v>8420</v>
      </c>
      <c r="E1890" s="0" t="s">
        <v>1208</v>
      </c>
      <c r="F1890" s="0" t="str">
        <f aca="false">CONCATENATE(D1890," ",LEFT(H1890,4),"T=",AU1890,"D=",AV1890,"R=",AW1890,"M=",AX1890,"L=",AY1890,"B=",AZ1890)</f>
        <v>NAYLOR T=7D=1R=0M=0L=5B=0</v>
      </c>
      <c r="G1890" s="0" t="s">
        <v>164</v>
      </c>
      <c r="I1890" s="0" t="s">
        <v>8421</v>
      </c>
      <c r="J1890" s="0" t="s">
        <v>8422</v>
      </c>
      <c r="K1890" s="0" t="s">
        <v>160</v>
      </c>
      <c r="L1890" s="0" t="s">
        <v>175</v>
      </c>
      <c r="M1890" s="0" t="s">
        <v>8418</v>
      </c>
      <c r="N1890" s="0" t="str">
        <f aca="false">RIGHT(M1890,LEN(M1890)-FIND(" ",M1890))</f>
        <v>OAK KNOLL AVE SE</v>
      </c>
      <c r="P1890" s="0" t="s">
        <v>145</v>
      </c>
      <c r="Q1890" s="0" t="s">
        <v>146</v>
      </c>
      <c r="R1890" s="0" t="n">
        <v>44484</v>
      </c>
      <c r="AD1890" s="0" t="s">
        <v>147</v>
      </c>
      <c r="AE1890" s="0" t="s">
        <v>148</v>
      </c>
      <c r="AF1890" s="0" t="s">
        <v>149</v>
      </c>
      <c r="AH1890" s="0" t="n">
        <v>14</v>
      </c>
      <c r="AI1890" s="0" t="n">
        <v>11</v>
      </c>
      <c r="AN1890" s="0" t="s">
        <v>145</v>
      </c>
      <c r="AO1890" s="0" t="s">
        <v>150</v>
      </c>
      <c r="AP1890" s="0" t="s">
        <v>151</v>
      </c>
      <c r="AQ1890" s="0" t="n">
        <v>9</v>
      </c>
      <c r="AR1890" s="0" t="n">
        <v>64</v>
      </c>
      <c r="AS1890" s="0" t="n">
        <v>32</v>
      </c>
      <c r="AU1890" s="0" t="n">
        <f aca="false">COUNTA($BA$1015:$EH$1015)</f>
        <v>7</v>
      </c>
      <c r="AV1890" s="0" t="n">
        <f aca="false">COUNTIF($BA$1015:$EH$1015,"D")</f>
        <v>1</v>
      </c>
      <c r="AW1890" s="0" t="n">
        <f aca="false">COUNTIF($BA$1015:$EH$1015,"R")</f>
        <v>0</v>
      </c>
      <c r="AX1890" s="0" t="n">
        <f aca="false">IF(BN1890="D",1,0)+IF(BO1890="D",1,0)+IF(BT1890="D",1,0)+IF(BU1890="D",1,0)+IF(BW1890="D",1,0)+IF(CC1890="D",1,0)+IF(CD1890="D",1,0)+IF(CE1890="D",1,0)+IF(CF1890="D",1,0)+IF(CL1890="D",1,0)+IF(CM1890="D",1,0)+IF(CQ1890="D",1,0)+IF(CR1890="D",1,0)+IF(CS1890="D",1,0)+IF(CW1890="D",1,0)+IF(CX1890="D",1,0)+IF(DD1890="D",1,0)+IF(DE1890="D",1,0)+IF(DJ1890="D",1,0)+IF(DK1890="D",1,0)+IF(DO1890="D",1,0)+IF(DP1890="D",1,0)+IF(DQ1890="D",1,0)+IF(DW1890="D",1,0)+IF(DZ1890="D",1,0)+IF(EH1890="D",1,0)</f>
        <v>0</v>
      </c>
      <c r="AY1890" s="0" t="n">
        <f aca="false">COUNTIF(DU1890:EH1890, "&lt;&gt;")</f>
        <v>5</v>
      </c>
      <c r="AZ1890" s="0" t="n">
        <f aca="false">IF(EH1890&lt;&gt;"",1,0)</f>
        <v>0</v>
      </c>
      <c r="BB1890" s="0" t="s">
        <v>152</v>
      </c>
      <c r="DC1890" s="0" t="s">
        <v>153</v>
      </c>
      <c r="DI1890" s="0" t="s">
        <v>153</v>
      </c>
      <c r="DM1890" s="0" t="s">
        <v>175</v>
      </c>
      <c r="DN1890" s="0" t="s">
        <v>153</v>
      </c>
      <c r="DU1890" s="0" t="s">
        <v>153</v>
      </c>
      <c r="DX1890" s="0" t="s">
        <v>153</v>
      </c>
      <c r="EA1890" s="0" t="s">
        <v>153</v>
      </c>
      <c r="ED1890" s="0" t="s">
        <v>175</v>
      </c>
      <c r="EF1890" s="0" t="s">
        <v>153</v>
      </c>
    </row>
    <row r="1891" customFormat="false" ht="13.8" hidden="false" customHeight="false" outlineLevel="0" collapsed="false">
      <c r="A1891" s="0" t="s">
        <v>8423</v>
      </c>
      <c r="B1891" s="0" t="n">
        <v>78</v>
      </c>
      <c r="C1891" s="0" t="n">
        <v>316828</v>
      </c>
      <c r="D1891" s="0" t="s">
        <v>8420</v>
      </c>
      <c r="E1891" s="0" t="s">
        <v>1152</v>
      </c>
      <c r="F1891" s="0" t="str">
        <f aca="false">CONCATENATE(D1891," ",LEFT(H1891,4),"T=",AU1891,"D=",AV1891,"R=",AW1891,"M=",AX1891,"L=",AY1891,"B=",AZ1891)</f>
        <v>NAYLOR T=22D=3R=0M=0L=5B=0</v>
      </c>
      <c r="G1891" s="0" t="s">
        <v>275</v>
      </c>
      <c r="I1891" s="0" t="s">
        <v>8424</v>
      </c>
      <c r="J1891" s="0" t="s">
        <v>8425</v>
      </c>
      <c r="K1891" s="0" t="s">
        <v>160</v>
      </c>
      <c r="L1891" s="0" t="s">
        <v>175</v>
      </c>
      <c r="M1891" s="0" t="s">
        <v>8418</v>
      </c>
      <c r="N1891" s="0" t="str">
        <f aca="false">RIGHT(M1891,LEN(M1891)-FIND(" ",M1891))</f>
        <v>OAK KNOLL AVE SE</v>
      </c>
      <c r="P1891" s="0" t="s">
        <v>145</v>
      </c>
      <c r="Q1891" s="0" t="s">
        <v>146</v>
      </c>
      <c r="R1891" s="0" t="n">
        <v>44484</v>
      </c>
      <c r="S1891" s="0" t="n">
        <v>4260</v>
      </c>
      <c r="AD1891" s="0" t="s">
        <v>147</v>
      </c>
      <c r="AE1891" s="0" t="s">
        <v>148</v>
      </c>
      <c r="AF1891" s="0" t="s">
        <v>149</v>
      </c>
      <c r="AH1891" s="0" t="n">
        <v>14</v>
      </c>
      <c r="AI1891" s="0" t="n">
        <v>11</v>
      </c>
      <c r="AN1891" s="0" t="s">
        <v>145</v>
      </c>
      <c r="AO1891" s="0" t="s">
        <v>150</v>
      </c>
      <c r="AP1891" s="0" t="s">
        <v>151</v>
      </c>
      <c r="AQ1891" s="0" t="n">
        <v>9</v>
      </c>
      <c r="AR1891" s="0" t="n">
        <v>64</v>
      </c>
      <c r="AS1891" s="0" t="n">
        <v>32</v>
      </c>
      <c r="AU1891" s="0" t="n">
        <f aca="false">COUNTA($BA$1036:$EH$1036)</f>
        <v>22</v>
      </c>
      <c r="AV1891" s="0" t="n">
        <f aca="false">COUNTIF($BA$1036:$EH$1036,"D")</f>
        <v>3</v>
      </c>
      <c r="AW1891" s="0" t="n">
        <f aca="false">COUNTIF($BA$1036:$EH$1036,"R")</f>
        <v>0</v>
      </c>
      <c r="AX1891" s="0" t="n">
        <f aca="false">IF(BN1891="D",1,0)+IF(BO1891="D",1,0)+IF(BT1891="D",1,0)+IF(BU1891="D",1,0)+IF(BW1891="D",1,0)+IF(CC1891="D",1,0)+IF(CD1891="D",1,0)+IF(CE1891="D",1,0)+IF(CF1891="D",1,0)+IF(CL1891="D",1,0)+IF(CM1891="D",1,0)+IF(CQ1891="D",1,0)+IF(CR1891="D",1,0)+IF(CS1891="D",1,0)+IF(CW1891="D",1,0)+IF(CX1891="D",1,0)+IF(DD1891="D",1,0)+IF(DE1891="D",1,0)+IF(DJ1891="D",1,0)+IF(DK1891="D",1,0)+IF(DO1891="D",1,0)+IF(DP1891="D",1,0)+IF(DQ1891="D",1,0)+IF(DW1891="D",1,0)+IF(DZ1891="D",1,0)+IF(EH1891="D",1,0)</f>
        <v>0</v>
      </c>
      <c r="AY1891" s="0" t="n">
        <f aca="false">COUNTIF(DU1891:EH1891, "&lt;&gt;")</f>
        <v>5</v>
      </c>
      <c r="AZ1891" s="0" t="n">
        <f aca="false">IF(EH1891&lt;&gt;"",1,0)</f>
        <v>0</v>
      </c>
      <c r="BB1891" s="0" t="s">
        <v>152</v>
      </c>
      <c r="BL1891" s="0" t="s">
        <v>153</v>
      </c>
      <c r="BS1891" s="0" t="s">
        <v>153</v>
      </c>
      <c r="BY1891" s="0" t="s">
        <v>175</v>
      </c>
      <c r="CA1891" s="0" t="s">
        <v>153</v>
      </c>
      <c r="CK1891" s="0" t="s">
        <v>153</v>
      </c>
      <c r="CN1891" s="0" t="s">
        <v>153</v>
      </c>
      <c r="CP1891" s="0" t="s">
        <v>153</v>
      </c>
      <c r="CY1891" s="0" t="s">
        <v>153</v>
      </c>
      <c r="CZ1891" s="0" t="s">
        <v>175</v>
      </c>
      <c r="DC1891" s="0" t="s">
        <v>153</v>
      </c>
      <c r="DI1891" s="0" t="s">
        <v>153</v>
      </c>
      <c r="DL1891" s="0" t="s">
        <v>153</v>
      </c>
      <c r="DM1891" s="0" t="s">
        <v>175</v>
      </c>
      <c r="DN1891" s="0" t="s">
        <v>153</v>
      </c>
      <c r="DU1891" s="0" t="s">
        <v>153</v>
      </c>
      <c r="DX1891" s="0" t="s">
        <v>153</v>
      </c>
      <c r="EA1891" s="0" t="s">
        <v>153</v>
      </c>
      <c r="ED1891" s="0" t="s">
        <v>175</v>
      </c>
      <c r="EF1891" s="0" t="s">
        <v>153</v>
      </c>
    </row>
    <row r="1892" customFormat="false" ht="13.8" hidden="false" customHeight="false" outlineLevel="0" collapsed="false">
      <c r="A1892" s="0" t="s">
        <v>8426</v>
      </c>
      <c r="B1892" s="0" t="n">
        <v>78</v>
      </c>
      <c r="C1892" s="0" t="n">
        <v>209676</v>
      </c>
      <c r="D1892" s="0" t="s">
        <v>761</v>
      </c>
      <c r="E1892" s="0" t="s">
        <v>8114</v>
      </c>
      <c r="F1892" s="0" t="str">
        <f aca="false">CONCATENATE(D1892," ",LEFT(H1892,4),"T=",AU1892,"D=",AV1892,"R=",AW1892,"M=",AX1892,"L=",AY1892,"B=",AZ1892)</f>
        <v>BROWN T=1D=0R=0M=6L=7B=1</v>
      </c>
      <c r="G1892" s="0" t="s">
        <v>325</v>
      </c>
      <c r="I1892" s="0" t="s">
        <v>8427</v>
      </c>
      <c r="J1892" s="0" t="s">
        <v>8428</v>
      </c>
      <c r="K1892" s="0" t="s">
        <v>160</v>
      </c>
      <c r="L1892" s="0" t="s">
        <v>175</v>
      </c>
      <c r="M1892" s="0" t="s">
        <v>8429</v>
      </c>
      <c r="N1892" s="0" t="str">
        <f aca="false">RIGHT(M1892,LEN(M1892)-FIND(" ",M1892))</f>
        <v>OAK KNOLL AVE SE</v>
      </c>
      <c r="P1892" s="0" t="s">
        <v>145</v>
      </c>
      <c r="Q1892" s="0" t="s">
        <v>146</v>
      </c>
      <c r="R1892" s="0" t="n">
        <v>44484</v>
      </c>
      <c r="AD1892" s="0" t="s">
        <v>147</v>
      </c>
      <c r="AE1892" s="0" t="s">
        <v>148</v>
      </c>
      <c r="AF1892" s="0" t="s">
        <v>149</v>
      </c>
      <c r="AH1892" s="0" t="n">
        <v>14</v>
      </c>
      <c r="AI1892" s="0" t="n">
        <v>11</v>
      </c>
      <c r="AN1892" s="0" t="s">
        <v>145</v>
      </c>
      <c r="AO1892" s="0" t="s">
        <v>150</v>
      </c>
      <c r="AP1892" s="0" t="s">
        <v>151</v>
      </c>
      <c r="AQ1892" s="0" t="n">
        <v>9</v>
      </c>
      <c r="AR1892" s="0" t="n">
        <v>64</v>
      </c>
      <c r="AS1892" s="0" t="n">
        <v>32</v>
      </c>
      <c r="AU1892" s="0" t="n">
        <f aca="false">COUNTA($BA$172:$EH$172)</f>
        <v>1</v>
      </c>
      <c r="AV1892" s="0" t="n">
        <f aca="false">COUNTIF($BA$172:$EH$172,"D")</f>
        <v>0</v>
      </c>
      <c r="AW1892" s="0" t="n">
        <f aca="false">COUNTIF($BA$172:$EH$172,"R")</f>
        <v>0</v>
      </c>
      <c r="AX1892" s="0" t="n">
        <f aca="false">IF(BN1892="D",1,0)+IF(BO1892="D",1,0)+IF(BT1892="D",1,0)+IF(BU1892="D",1,0)+IF(BW1892="D",1,0)+IF(CC1892="D",1,0)+IF(CD1892="D",1,0)+IF(CE1892="D",1,0)+IF(CF1892="D",1,0)+IF(CL1892="D",1,0)+IF(CM1892="D",1,0)+IF(CQ1892="D",1,0)+IF(CR1892="D",1,0)+IF(CS1892="D",1,0)+IF(CW1892="D",1,0)+IF(CX1892="D",1,0)+IF(DD1892="D",1,0)+IF(DE1892="D",1,0)+IF(DJ1892="D",1,0)+IF(DK1892="D",1,0)+IF(DO1892="D",1,0)+IF(DP1892="D",1,0)+IF(DQ1892="D",1,0)+IF(DW1892="D",1,0)+IF(DZ1892="D",1,0)+IF(EH1892="D",1,0)</f>
        <v>6</v>
      </c>
      <c r="AY1892" s="0" t="n">
        <f aca="false">COUNTIF(DU1892:EH1892, "&lt;&gt;")</f>
        <v>7</v>
      </c>
      <c r="AZ1892" s="0" t="n">
        <f aca="false">IF(EH1892&lt;&gt;"",1,0)</f>
        <v>1</v>
      </c>
      <c r="BB1892" s="0" t="s">
        <v>152</v>
      </c>
      <c r="BC1892" s="0" t="s">
        <v>153</v>
      </c>
      <c r="BD1892" s="0" t="s">
        <v>153</v>
      </c>
      <c r="BE1892" s="0" t="s">
        <v>153</v>
      </c>
      <c r="BF1892" s="0" t="s">
        <v>153</v>
      </c>
      <c r="BG1892" s="0" t="s">
        <v>153</v>
      </c>
      <c r="BH1892" s="0" t="s">
        <v>153</v>
      </c>
      <c r="BI1892" s="0" t="s">
        <v>153</v>
      </c>
      <c r="BJ1892" s="0" t="s">
        <v>153</v>
      </c>
      <c r="BK1892" s="0" t="s">
        <v>153</v>
      </c>
      <c r="BL1892" s="0" t="s">
        <v>153</v>
      </c>
      <c r="BP1892" s="0" t="s">
        <v>153</v>
      </c>
      <c r="BS1892" s="0" t="s">
        <v>153</v>
      </c>
      <c r="BV1892" s="0" t="s">
        <v>153</v>
      </c>
      <c r="BY1892" s="0" t="s">
        <v>175</v>
      </c>
      <c r="CA1892" s="0" t="s">
        <v>153</v>
      </c>
      <c r="CC1892" s="0" t="s">
        <v>175</v>
      </c>
      <c r="CG1892" s="0" t="s">
        <v>153</v>
      </c>
      <c r="CH1892" s="0" t="s">
        <v>175</v>
      </c>
      <c r="CK1892" s="0" t="s">
        <v>153</v>
      </c>
      <c r="CL1892" s="0" t="s">
        <v>175</v>
      </c>
      <c r="CN1892" s="0" t="s">
        <v>153</v>
      </c>
      <c r="CO1892" s="0" t="s">
        <v>175</v>
      </c>
      <c r="CP1892" s="0" t="s">
        <v>153</v>
      </c>
      <c r="CT1892" s="0" t="s">
        <v>153</v>
      </c>
      <c r="CU1892" s="0" t="s">
        <v>175</v>
      </c>
      <c r="CV1892" s="0" t="s">
        <v>153</v>
      </c>
      <c r="CY1892" s="0" t="s">
        <v>153</v>
      </c>
      <c r="CZ1892" s="0" t="s">
        <v>175</v>
      </c>
      <c r="DC1892" s="0" t="s">
        <v>153</v>
      </c>
      <c r="DD1892" s="0" t="s">
        <v>175</v>
      </c>
      <c r="DF1892" s="0" t="s">
        <v>153</v>
      </c>
      <c r="DG1892" s="0" t="s">
        <v>175</v>
      </c>
      <c r="DI1892" s="0" t="s">
        <v>153</v>
      </c>
      <c r="DJ1892" s="0" t="s">
        <v>175</v>
      </c>
      <c r="DL1892" s="0" t="s">
        <v>153</v>
      </c>
      <c r="DM1892" s="0" t="s">
        <v>175</v>
      </c>
      <c r="DN1892" s="0" t="s">
        <v>153</v>
      </c>
      <c r="DR1892" s="0" t="s">
        <v>153</v>
      </c>
      <c r="DS1892" s="0" t="s">
        <v>175</v>
      </c>
      <c r="DT1892" s="0" t="s">
        <v>175</v>
      </c>
      <c r="DU1892" s="0" t="s">
        <v>153</v>
      </c>
      <c r="DW1892" s="0" t="s">
        <v>175</v>
      </c>
      <c r="DX1892" s="0" t="s">
        <v>153</v>
      </c>
      <c r="EA1892" s="0" t="s">
        <v>153</v>
      </c>
      <c r="ED1892" s="0" t="s">
        <v>175</v>
      </c>
      <c r="EF1892" s="0" t="s">
        <v>153</v>
      </c>
      <c r="EH1892" s="0" t="s">
        <v>175</v>
      </c>
    </row>
    <row r="1893" customFormat="false" ht="13.8" hidden="false" customHeight="false" outlineLevel="0" collapsed="false">
      <c r="A1893" s="0" t="s">
        <v>8430</v>
      </c>
      <c r="B1893" s="0" t="n">
        <v>78</v>
      </c>
      <c r="C1893" s="0" t="n">
        <v>272221</v>
      </c>
      <c r="D1893" s="0" t="s">
        <v>761</v>
      </c>
      <c r="E1893" s="0" t="s">
        <v>1152</v>
      </c>
      <c r="F1893" s="0" t="str">
        <f aca="false">CONCATENATE(D1893," ",LEFT(H1893,4),"T=",AU1893,"D=",AV1893,"R=",AW1893,"M=",AX1893,"L=",AY1893,"B=",AZ1893)</f>
        <v>BROWN T=1D=0R=0M=4L=7B=1</v>
      </c>
      <c r="G1893" s="0" t="s">
        <v>195</v>
      </c>
      <c r="I1893" s="0" t="s">
        <v>8431</v>
      </c>
      <c r="J1893" s="0" t="s">
        <v>8432</v>
      </c>
      <c r="K1893" s="0" t="s">
        <v>160</v>
      </c>
      <c r="L1893" s="0" t="s">
        <v>175</v>
      </c>
      <c r="M1893" s="0" t="s">
        <v>8429</v>
      </c>
      <c r="N1893" s="0" t="str">
        <f aca="false">RIGHT(M1893,LEN(M1893)-FIND(" ",M1893))</f>
        <v>OAK KNOLL AVE SE</v>
      </c>
      <c r="P1893" s="0" t="s">
        <v>145</v>
      </c>
      <c r="Q1893" s="0" t="s">
        <v>146</v>
      </c>
      <c r="R1893" s="0" t="n">
        <v>44484</v>
      </c>
      <c r="AD1893" s="0" t="s">
        <v>147</v>
      </c>
      <c r="AE1893" s="0" t="s">
        <v>148</v>
      </c>
      <c r="AF1893" s="0" t="s">
        <v>149</v>
      </c>
      <c r="AH1893" s="0" t="n">
        <v>14</v>
      </c>
      <c r="AI1893" s="0" t="n">
        <v>11</v>
      </c>
      <c r="AN1893" s="0" t="s">
        <v>145</v>
      </c>
      <c r="AO1893" s="0" t="s">
        <v>150</v>
      </c>
      <c r="AP1893" s="0" t="s">
        <v>151</v>
      </c>
      <c r="AQ1893" s="0" t="n">
        <v>9</v>
      </c>
      <c r="AR1893" s="0" t="n">
        <v>64</v>
      </c>
      <c r="AS1893" s="0" t="n">
        <v>32</v>
      </c>
      <c r="AU1893" s="0" t="n">
        <f aca="false">COUNTA($BA$191:$EH$191)</f>
        <v>1</v>
      </c>
      <c r="AV1893" s="0" t="n">
        <f aca="false">COUNTIF($BA$191:$EH$191,"D")</f>
        <v>0</v>
      </c>
      <c r="AW1893" s="0" t="n">
        <f aca="false">COUNTIF($BA$191:$EH$191,"R")</f>
        <v>0</v>
      </c>
      <c r="AX1893" s="0" t="n">
        <f aca="false">IF(BN1893="D",1,0)+IF(BO1893="D",1,0)+IF(BT1893="D",1,0)+IF(BU1893="D",1,0)+IF(BW1893="D",1,0)+IF(CC1893="D",1,0)+IF(CD1893="D",1,0)+IF(CE1893="D",1,0)+IF(CF1893="D",1,0)+IF(CL1893="D",1,0)+IF(CM1893="D",1,0)+IF(CQ1893="D",1,0)+IF(CR1893="D",1,0)+IF(CS1893="D",1,0)+IF(CW1893="D",1,0)+IF(CX1893="D",1,0)+IF(DD1893="D",1,0)+IF(DE1893="D",1,0)+IF(DJ1893="D",1,0)+IF(DK1893="D",1,0)+IF(DO1893="D",1,0)+IF(DP1893="D",1,0)+IF(DQ1893="D",1,0)+IF(DW1893="D",1,0)+IF(DZ1893="D",1,0)+IF(EH1893="D",1,0)</f>
        <v>4</v>
      </c>
      <c r="AY1893" s="0" t="n">
        <f aca="false">COUNTIF(DU1893:EH1893, "&lt;&gt;")</f>
        <v>7</v>
      </c>
      <c r="AZ1893" s="0" t="n">
        <f aca="false">IF(EH1893&lt;&gt;"",1,0)</f>
        <v>1</v>
      </c>
      <c r="BB1893" s="0" t="s">
        <v>152</v>
      </c>
      <c r="BC1893" s="0" t="s">
        <v>153</v>
      </c>
      <c r="BD1893" s="0" t="s">
        <v>153</v>
      </c>
      <c r="BE1893" s="0" t="s">
        <v>153</v>
      </c>
      <c r="BF1893" s="0" t="s">
        <v>153</v>
      </c>
      <c r="BH1893" s="0" t="s">
        <v>153</v>
      </c>
      <c r="BI1893" s="0" t="s">
        <v>153</v>
      </c>
      <c r="BJ1893" s="0" t="s">
        <v>153</v>
      </c>
      <c r="BK1893" s="0" t="s">
        <v>153</v>
      </c>
      <c r="BL1893" s="0" t="s">
        <v>153</v>
      </c>
      <c r="BP1893" s="0" t="s">
        <v>153</v>
      </c>
      <c r="BS1893" s="0" t="s">
        <v>153</v>
      </c>
      <c r="BV1893" s="0" t="s">
        <v>153</v>
      </c>
      <c r="BY1893" s="0" t="s">
        <v>175</v>
      </c>
      <c r="CA1893" s="0" t="s">
        <v>153</v>
      </c>
      <c r="CG1893" s="0" t="s">
        <v>153</v>
      </c>
      <c r="CH1893" s="0" t="s">
        <v>175</v>
      </c>
      <c r="CK1893" s="0" t="s">
        <v>153</v>
      </c>
      <c r="CL1893" s="0" t="s">
        <v>175</v>
      </c>
      <c r="CN1893" s="0" t="s">
        <v>153</v>
      </c>
      <c r="CO1893" s="0" t="s">
        <v>175</v>
      </c>
      <c r="CP1893" s="0" t="s">
        <v>153</v>
      </c>
      <c r="CT1893" s="0" t="s">
        <v>153</v>
      </c>
      <c r="CU1893" s="0" t="s">
        <v>175</v>
      </c>
      <c r="CV1893" s="0" t="s">
        <v>153</v>
      </c>
      <c r="CY1893" s="0" t="s">
        <v>153</v>
      </c>
      <c r="CZ1893" s="0" t="s">
        <v>209</v>
      </c>
      <c r="DC1893" s="0" t="s">
        <v>153</v>
      </c>
      <c r="DD1893" s="0" t="s">
        <v>175</v>
      </c>
      <c r="DF1893" s="0" t="s">
        <v>153</v>
      </c>
      <c r="DG1893" s="0" t="s">
        <v>175</v>
      </c>
      <c r="DI1893" s="0" t="s">
        <v>153</v>
      </c>
      <c r="DM1893" s="0" t="s">
        <v>175</v>
      </c>
      <c r="DN1893" s="0" t="s">
        <v>153</v>
      </c>
      <c r="DS1893" s="0" t="s">
        <v>175</v>
      </c>
      <c r="DU1893" s="0" t="s">
        <v>153</v>
      </c>
      <c r="DW1893" s="0" t="s">
        <v>175</v>
      </c>
      <c r="DX1893" s="0" t="s">
        <v>153</v>
      </c>
      <c r="EA1893" s="0" t="s">
        <v>153</v>
      </c>
      <c r="ED1893" s="0" t="s">
        <v>175</v>
      </c>
      <c r="EF1893" s="0" t="s">
        <v>153</v>
      </c>
      <c r="EH1893" s="0" t="s">
        <v>175</v>
      </c>
    </row>
    <row r="1894" customFormat="false" ht="13.8" hidden="true" customHeight="false" outlineLevel="0" collapsed="false">
      <c r="A1894" s="0" t="s">
        <v>8433</v>
      </c>
      <c r="B1894" s="0" t="n">
        <v>78</v>
      </c>
      <c r="C1894" s="0" t="n">
        <v>475197</v>
      </c>
      <c r="D1894" s="0" t="s">
        <v>8434</v>
      </c>
      <c r="E1894" s="0" t="s">
        <v>3404</v>
      </c>
      <c r="F1894" s="0" t="str">
        <f aca="false">CONCATENATE(D1894," ",LEFT(H1894,4),"T=",AU1894,"D=",AV1894,"R=",AW1894,"M=",AX1894,"L=",AY1894,"B=",AZ1894)</f>
        <v>NEUMAN T=11D=0R=3M=0L=1B=0</v>
      </c>
      <c r="G1894" s="0" t="s">
        <v>1128</v>
      </c>
      <c r="I1894" s="0" t="s">
        <v>8435</v>
      </c>
      <c r="J1894" s="0" t="s">
        <v>1658</v>
      </c>
      <c r="K1894" s="0" t="s">
        <v>160</v>
      </c>
      <c r="M1894" s="0" t="s">
        <v>8436</v>
      </c>
      <c r="N1894" s="0" t="str">
        <f aca="false">RIGHT(M1894,LEN(M1894)-FIND(" ",M1894))</f>
        <v>OAK KNOLL AVE SE</v>
      </c>
      <c r="P1894" s="0" t="s">
        <v>145</v>
      </c>
      <c r="Q1894" s="0" t="s">
        <v>146</v>
      </c>
      <c r="R1894" s="0" t="n">
        <v>44484</v>
      </c>
      <c r="AD1894" s="0" t="s">
        <v>147</v>
      </c>
      <c r="AE1894" s="0" t="s">
        <v>148</v>
      </c>
      <c r="AF1894" s="0" t="s">
        <v>149</v>
      </c>
      <c r="AH1894" s="0" t="n">
        <v>14</v>
      </c>
      <c r="AI1894" s="0" t="n">
        <v>11</v>
      </c>
      <c r="AN1894" s="0" t="s">
        <v>145</v>
      </c>
      <c r="AO1894" s="0" t="s">
        <v>150</v>
      </c>
      <c r="AP1894" s="0" t="s">
        <v>151</v>
      </c>
      <c r="AQ1894" s="0" t="n">
        <v>9</v>
      </c>
      <c r="AR1894" s="0" t="n">
        <v>64</v>
      </c>
      <c r="AS1894" s="0" t="n">
        <v>32</v>
      </c>
      <c r="AU1894" s="0" t="n">
        <f aca="false">COUNTA($BA$409:$EH$409)</f>
        <v>11</v>
      </c>
      <c r="AV1894" s="0" t="n">
        <f aca="false">COUNTIF($BA$409:$EH$409,"D")</f>
        <v>0</v>
      </c>
      <c r="AW1894" s="0" t="n">
        <f aca="false">COUNTIF($BA$409:$EH$409,"R")</f>
        <v>3</v>
      </c>
      <c r="AX1894" s="0" t="n">
        <f aca="false">IF(BN1894="D",1,0)+IF(BO1894="D",1,0)+IF(BT1894="D",1,0)+IF(BU1894="D",1,0)+IF(BW1894="D",1,0)+IF(CC1894="D",1,0)+IF(CD1894="D",1,0)+IF(CE1894="D",1,0)+IF(CF1894="D",1,0)+IF(CL1894="D",1,0)+IF(CM1894="D",1,0)+IF(CQ1894="D",1,0)+IF(CR1894="D",1,0)+IF(CS1894="D",1,0)+IF(CW1894="D",1,0)+IF(CX1894="D",1,0)+IF(DD1894="D",1,0)+IF(DE1894="D",1,0)+IF(DJ1894="D",1,0)+IF(DK1894="D",1,0)+IF(DO1894="D",1,0)+IF(DP1894="D",1,0)+IF(DQ1894="D",1,0)+IF(DW1894="D",1,0)+IF(DZ1894="D",1,0)+IF(EH1894="D",1,0)</f>
        <v>0</v>
      </c>
      <c r="AY1894" s="0" t="n">
        <f aca="false">COUNTIF(DU1894:EH1894, "&lt;&gt;")</f>
        <v>1</v>
      </c>
      <c r="AZ1894" s="0" t="n">
        <f aca="false">IF(EH1894&lt;&gt;"",1,0)</f>
        <v>0</v>
      </c>
      <c r="BB1894" s="0" t="s">
        <v>152</v>
      </c>
      <c r="EF1894" s="0" t="s">
        <v>153</v>
      </c>
    </row>
    <row r="1895" customFormat="false" ht="13.8" hidden="false" customHeight="false" outlineLevel="0" collapsed="false">
      <c r="A1895" s="0" t="s">
        <v>8437</v>
      </c>
      <c r="B1895" s="0" t="n">
        <v>78</v>
      </c>
      <c r="C1895" s="0" t="n">
        <v>475297</v>
      </c>
      <c r="D1895" s="0" t="s">
        <v>8438</v>
      </c>
      <c r="E1895" s="0" t="s">
        <v>6308</v>
      </c>
      <c r="F1895" s="0" t="str">
        <f aca="false">CONCATENATE(D1895," ",LEFT(H1895,4),"T=",AU1895,"D=",AV1895,"R=",AW1895,"M=",AX1895,"L=",AY1895,"B=",AZ1895)</f>
        <v>CONAWAY T=3D=0R=0M=0L=2B=0</v>
      </c>
      <c r="G1895" s="0" t="s">
        <v>274</v>
      </c>
      <c r="I1895" s="0" t="s">
        <v>8439</v>
      </c>
      <c r="J1895" s="0" t="s">
        <v>8440</v>
      </c>
      <c r="K1895" s="0" t="s">
        <v>160</v>
      </c>
      <c r="M1895" s="0" t="s">
        <v>8436</v>
      </c>
      <c r="N1895" s="0" t="str">
        <f aca="false">RIGHT(M1895,LEN(M1895)-FIND(" ",M1895))</f>
        <v>OAK KNOLL AVE SE</v>
      </c>
      <c r="P1895" s="0" t="s">
        <v>145</v>
      </c>
      <c r="Q1895" s="0" t="s">
        <v>146</v>
      </c>
      <c r="R1895" s="0" t="n">
        <v>44484</v>
      </c>
      <c r="AD1895" s="0" t="s">
        <v>147</v>
      </c>
      <c r="AE1895" s="0" t="s">
        <v>148</v>
      </c>
      <c r="AF1895" s="0" t="s">
        <v>149</v>
      </c>
      <c r="AH1895" s="0" t="n">
        <v>14</v>
      </c>
      <c r="AI1895" s="0" t="n">
        <v>11</v>
      </c>
      <c r="AN1895" s="0" t="s">
        <v>145</v>
      </c>
      <c r="AO1895" s="0" t="s">
        <v>150</v>
      </c>
      <c r="AP1895" s="0" t="s">
        <v>151</v>
      </c>
      <c r="AQ1895" s="0" t="n">
        <v>9</v>
      </c>
      <c r="AR1895" s="0" t="n">
        <v>64</v>
      </c>
      <c r="AS1895" s="0" t="n">
        <v>32</v>
      </c>
      <c r="AU1895" s="0" t="n">
        <f aca="false">COUNTA($BA$435:$EH$435)</f>
        <v>3</v>
      </c>
      <c r="AV1895" s="0" t="n">
        <f aca="false">COUNTIF($BA$435:$EH$435,"D")</f>
        <v>0</v>
      </c>
      <c r="AW1895" s="0" t="n">
        <f aca="false">COUNTIF($BA$435:$EH$435,"R")</f>
        <v>0</v>
      </c>
      <c r="AX1895" s="0" t="n">
        <f aca="false">IF(BN1895="D",1,0)+IF(BO1895="D",1,0)+IF(BT1895="D",1,0)+IF(BU1895="D",1,0)+IF(BW1895="D",1,0)+IF(CC1895="D",1,0)+IF(CD1895="D",1,0)+IF(CE1895="D",1,0)+IF(CF1895="D",1,0)+IF(CL1895="D",1,0)+IF(CM1895="D",1,0)+IF(CQ1895="D",1,0)+IF(CR1895="D",1,0)+IF(CS1895="D",1,0)+IF(CW1895="D",1,0)+IF(CX1895="D",1,0)+IF(DD1895="D",1,0)+IF(DE1895="D",1,0)+IF(DJ1895="D",1,0)+IF(DK1895="D",1,0)+IF(DO1895="D",1,0)+IF(DP1895="D",1,0)+IF(DQ1895="D",1,0)+IF(DW1895="D",1,0)+IF(DZ1895="D",1,0)+IF(EH1895="D",1,0)</f>
        <v>0</v>
      </c>
      <c r="AY1895" s="0" t="n">
        <f aca="false">COUNTIF(DU1895:EH1895, "&lt;&gt;")</f>
        <v>2</v>
      </c>
      <c r="AZ1895" s="0" t="n">
        <f aca="false">IF(EH1895&lt;&gt;"",1,0)</f>
        <v>0</v>
      </c>
      <c r="BB1895" s="0" t="s">
        <v>152</v>
      </c>
      <c r="EA1895" s="0" t="s">
        <v>153</v>
      </c>
      <c r="EF1895" s="0" t="s">
        <v>153</v>
      </c>
    </row>
    <row r="1896" customFormat="false" ht="13.8" hidden="true" customHeight="false" outlineLevel="0" collapsed="false">
      <c r="A1896" s="0" t="s">
        <v>8441</v>
      </c>
      <c r="B1896" s="0" t="n">
        <v>78</v>
      </c>
      <c r="C1896" s="0" t="n">
        <v>456186</v>
      </c>
      <c r="D1896" s="0" t="s">
        <v>2826</v>
      </c>
      <c r="E1896" s="0" t="s">
        <v>1152</v>
      </c>
      <c r="F1896" s="0" t="str">
        <f aca="false">CONCATENATE(D1896," ",LEFT(H1896,4),"T=",AU1896,"D=",AV1896,"R=",AW1896,"M=",AX1896,"L=",AY1896,"B=",AZ1896)</f>
        <v>LAWRENCE T=11D=0R=0M=0L=0B=0</v>
      </c>
      <c r="G1896" s="0" t="s">
        <v>770</v>
      </c>
      <c r="I1896" s="0" t="s">
        <v>1488</v>
      </c>
      <c r="J1896" s="0" t="s">
        <v>6103</v>
      </c>
      <c r="K1896" s="0" t="s">
        <v>160</v>
      </c>
      <c r="M1896" s="0" t="s">
        <v>8442</v>
      </c>
      <c r="N1896" s="0" t="str">
        <f aca="false">RIGHT(M1896,LEN(M1896)-FIND(" ",M1896))</f>
        <v>OAK KNOLL AVE SE</v>
      </c>
      <c r="P1896" s="0" t="s">
        <v>145</v>
      </c>
      <c r="Q1896" s="0" t="s">
        <v>146</v>
      </c>
      <c r="R1896" s="0" t="n">
        <v>44484</v>
      </c>
      <c r="AD1896" s="0" t="s">
        <v>147</v>
      </c>
      <c r="AE1896" s="0" t="s">
        <v>148</v>
      </c>
      <c r="AF1896" s="0" t="s">
        <v>149</v>
      </c>
      <c r="AH1896" s="0" t="n">
        <v>14</v>
      </c>
      <c r="AI1896" s="0" t="n">
        <v>11</v>
      </c>
      <c r="AN1896" s="0" t="s">
        <v>145</v>
      </c>
      <c r="AO1896" s="0" t="s">
        <v>150</v>
      </c>
      <c r="AP1896" s="0" t="s">
        <v>151</v>
      </c>
      <c r="AQ1896" s="0" t="n">
        <v>9</v>
      </c>
      <c r="AR1896" s="0" t="n">
        <v>64</v>
      </c>
      <c r="AS1896" s="0" t="n">
        <v>32</v>
      </c>
      <c r="AU1896" s="0" t="n">
        <f aca="false">COUNTA($BA$294:$EH$294)</f>
        <v>11</v>
      </c>
      <c r="AV1896" s="0" t="n">
        <f aca="false">COUNTIF($BA$294:$EH$294,"D")</f>
        <v>0</v>
      </c>
      <c r="AW1896" s="0" t="n">
        <f aca="false">COUNTIF($BA$294:$EH$294,"R")</f>
        <v>0</v>
      </c>
      <c r="AX1896" s="0" t="n">
        <f aca="false">IF(BN1896="D",1,0)+IF(BO1896="D",1,0)+IF(BT1896="D",1,0)+IF(BU1896="D",1,0)+IF(BW1896="D",1,0)+IF(CC1896="D",1,0)+IF(CD1896="D",1,0)+IF(CE1896="D",1,0)+IF(CF1896="D",1,0)+IF(CL1896="D",1,0)+IF(CM1896="D",1,0)+IF(CQ1896="D",1,0)+IF(CR1896="D",1,0)+IF(CS1896="D",1,0)+IF(CW1896="D",1,0)+IF(CX1896="D",1,0)+IF(DD1896="D",1,0)+IF(DE1896="D",1,0)+IF(DJ1896="D",1,0)+IF(DK1896="D",1,0)+IF(DO1896="D",1,0)+IF(DP1896="D",1,0)+IF(DQ1896="D",1,0)+IF(DW1896="D",1,0)+IF(DZ1896="D",1,0)+IF(EH1896="D",1,0)</f>
        <v>0</v>
      </c>
      <c r="AY1896" s="0" t="n">
        <f aca="false">COUNTIF(DU1896:EH1896, "&lt;&gt;")</f>
        <v>0</v>
      </c>
      <c r="AZ1896" s="0" t="n">
        <f aca="false">IF(EH1896&lt;&gt;"",1,0)</f>
        <v>0</v>
      </c>
      <c r="BB1896" s="0" t="s">
        <v>152</v>
      </c>
    </row>
    <row r="1897" customFormat="false" ht="13.8" hidden="false" customHeight="false" outlineLevel="0" collapsed="false">
      <c r="A1897" s="0" t="s">
        <v>8443</v>
      </c>
      <c r="B1897" s="0" t="n">
        <v>78</v>
      </c>
      <c r="C1897" s="0" t="n">
        <v>364731</v>
      </c>
      <c r="D1897" s="0" t="s">
        <v>8444</v>
      </c>
      <c r="E1897" s="0" t="s">
        <v>2413</v>
      </c>
      <c r="F1897" s="0" t="str">
        <f aca="false">CONCATENATE(D1897," ",LEFT(H1897,4),"T=",AU1897,"D=",AV1897,"R=",AW1897,"M=",AX1897,"L=",AY1897,"B=",AZ1897)</f>
        <v>WILDE T=6D=3R=0M=0L=3B=0</v>
      </c>
      <c r="G1897" s="0" t="s">
        <v>175</v>
      </c>
      <c r="I1897" s="0" t="s">
        <v>8445</v>
      </c>
      <c r="J1897" s="0" t="s">
        <v>8446</v>
      </c>
      <c r="K1897" s="0" t="s">
        <v>160</v>
      </c>
      <c r="M1897" s="0" t="s">
        <v>8447</v>
      </c>
      <c r="N1897" s="0" t="str">
        <f aca="false">RIGHT(M1897,LEN(M1897)-FIND(" ",M1897))</f>
        <v>OAK KNOLL AVE SE</v>
      </c>
      <c r="P1897" s="0" t="s">
        <v>145</v>
      </c>
      <c r="Q1897" s="0" t="s">
        <v>146</v>
      </c>
      <c r="R1897" s="0" t="n">
        <v>44484</v>
      </c>
      <c r="AD1897" s="0" t="s">
        <v>147</v>
      </c>
      <c r="AE1897" s="0" t="s">
        <v>148</v>
      </c>
      <c r="AF1897" s="0" t="s">
        <v>149</v>
      </c>
      <c r="AH1897" s="0" t="n">
        <v>14</v>
      </c>
      <c r="AI1897" s="0" t="n">
        <v>11</v>
      </c>
      <c r="AN1897" s="0" t="s">
        <v>145</v>
      </c>
      <c r="AO1897" s="0" t="s">
        <v>150</v>
      </c>
      <c r="AP1897" s="0" t="s">
        <v>151</v>
      </c>
      <c r="AQ1897" s="0" t="n">
        <v>9</v>
      </c>
      <c r="AR1897" s="0" t="n">
        <v>64</v>
      </c>
      <c r="AS1897" s="0" t="n">
        <v>32</v>
      </c>
      <c r="AU1897" s="0" t="n">
        <f aca="false">COUNTA($BA$354:$EH$354)</f>
        <v>6</v>
      </c>
      <c r="AV1897" s="0" t="n">
        <f aca="false">COUNTIF($BA$354:$EH$354,"D")</f>
        <v>3</v>
      </c>
      <c r="AW1897" s="0" t="n">
        <f aca="false">COUNTIF($BA$354:$EH$354,"R")</f>
        <v>0</v>
      </c>
      <c r="AX1897" s="0" t="n">
        <f aca="false">IF(BN1897="D",1,0)+IF(BO1897="D",1,0)+IF(BT1897="D",1,0)+IF(BU1897="D",1,0)+IF(BW1897="D",1,0)+IF(CC1897="D",1,0)+IF(CD1897="D",1,0)+IF(CE1897="D",1,0)+IF(CF1897="D",1,0)+IF(CL1897="D",1,0)+IF(CM1897="D",1,0)+IF(CQ1897="D",1,0)+IF(CR1897="D",1,0)+IF(CS1897="D",1,0)+IF(CW1897="D",1,0)+IF(CX1897="D",1,0)+IF(DD1897="D",1,0)+IF(DE1897="D",1,0)+IF(DJ1897="D",1,0)+IF(DK1897="D",1,0)+IF(DO1897="D",1,0)+IF(DP1897="D",1,0)+IF(DQ1897="D",1,0)+IF(DW1897="D",1,0)+IF(DZ1897="D",1,0)+IF(EH1897="D",1,0)</f>
        <v>0</v>
      </c>
      <c r="AY1897" s="0" t="n">
        <f aca="false">COUNTIF(DU1897:EH1897, "&lt;&gt;")</f>
        <v>3</v>
      </c>
      <c r="AZ1897" s="0" t="n">
        <f aca="false">IF(EH1897&lt;&gt;"",1,0)</f>
        <v>0</v>
      </c>
      <c r="BB1897" s="0" t="s">
        <v>152</v>
      </c>
      <c r="CA1897" s="0" t="s">
        <v>153</v>
      </c>
      <c r="CP1897" s="0" t="s">
        <v>153</v>
      </c>
      <c r="CY1897" s="0" t="s">
        <v>153</v>
      </c>
      <c r="DX1897" s="0" t="s">
        <v>153</v>
      </c>
      <c r="EA1897" s="0" t="s">
        <v>153</v>
      </c>
      <c r="EF1897" s="0" t="s">
        <v>153</v>
      </c>
    </row>
    <row r="1898" customFormat="false" ht="13.8" hidden="true" customHeight="false" outlineLevel="0" collapsed="false">
      <c r="A1898" s="0" t="s">
        <v>8448</v>
      </c>
      <c r="B1898" s="0" t="n">
        <v>78</v>
      </c>
      <c r="C1898" s="0" t="n">
        <v>390120</v>
      </c>
      <c r="D1898" s="0" t="s">
        <v>8444</v>
      </c>
      <c r="E1898" s="0" t="s">
        <v>8449</v>
      </c>
      <c r="F1898" s="0" t="str">
        <f aca="false">CONCATENATE(D1898," ",LEFT(H1898,4),"T=",AU1898,"D=",AV1898,"R=",AW1898,"M=",AX1898,"L=",AY1898,"B=",AZ1898)</f>
        <v>WILDE T=20D=2R=2M=0L=0B=0</v>
      </c>
      <c r="G1898" s="0" t="s">
        <v>357</v>
      </c>
      <c r="I1898" s="0" t="s">
        <v>5290</v>
      </c>
      <c r="J1898" s="0" t="s">
        <v>8450</v>
      </c>
      <c r="K1898" s="0" t="s">
        <v>143</v>
      </c>
      <c r="M1898" s="0" t="s">
        <v>8447</v>
      </c>
      <c r="N1898" s="0" t="str">
        <f aca="false">RIGHT(M1898,LEN(M1898)-FIND(" ",M1898))</f>
        <v>OAK KNOLL AVE SE</v>
      </c>
      <c r="P1898" s="0" t="s">
        <v>145</v>
      </c>
      <c r="Q1898" s="0" t="s">
        <v>146</v>
      </c>
      <c r="R1898" s="0" t="n">
        <v>44484</v>
      </c>
      <c r="AD1898" s="0" t="s">
        <v>147</v>
      </c>
      <c r="AE1898" s="0" t="s">
        <v>148</v>
      </c>
      <c r="AF1898" s="0" t="s">
        <v>149</v>
      </c>
      <c r="AH1898" s="0" t="n">
        <v>14</v>
      </c>
      <c r="AI1898" s="0" t="n">
        <v>11</v>
      </c>
      <c r="AN1898" s="0" t="s">
        <v>145</v>
      </c>
      <c r="AO1898" s="0" t="s">
        <v>150</v>
      </c>
      <c r="AP1898" s="0" t="s">
        <v>151</v>
      </c>
      <c r="AQ1898" s="0" t="n">
        <v>9</v>
      </c>
      <c r="AR1898" s="0" t="n">
        <v>64</v>
      </c>
      <c r="AS1898" s="0" t="n">
        <v>32</v>
      </c>
      <c r="AU1898" s="0" t="n">
        <f aca="false">COUNTA($BA$754:$EH$754)</f>
        <v>20</v>
      </c>
      <c r="AV1898" s="0" t="n">
        <f aca="false">COUNTIF($BA$754:$EH$754,"D")</f>
        <v>2</v>
      </c>
      <c r="AW1898" s="0" t="n">
        <f aca="false">COUNTIF($BA$754:$EH$754,"R")</f>
        <v>2</v>
      </c>
      <c r="AX1898" s="0" t="n">
        <f aca="false">IF(BN1898="D",1,0)+IF(BO1898="D",1,0)+IF(BT1898="D",1,0)+IF(BU1898="D",1,0)+IF(BW1898="D",1,0)+IF(CC1898="D",1,0)+IF(CD1898="D",1,0)+IF(CE1898="D",1,0)+IF(CF1898="D",1,0)+IF(CL1898="D",1,0)+IF(CM1898="D",1,0)+IF(CQ1898="D",1,0)+IF(CR1898="D",1,0)+IF(CS1898="D",1,0)+IF(CW1898="D",1,0)+IF(CX1898="D",1,0)+IF(DD1898="D",1,0)+IF(DE1898="D",1,0)+IF(DJ1898="D",1,0)+IF(DK1898="D",1,0)+IF(DO1898="D",1,0)+IF(DP1898="D",1,0)+IF(DQ1898="D",1,0)+IF(DW1898="D",1,0)+IF(DZ1898="D",1,0)+IF(EH1898="D",1,0)</f>
        <v>0</v>
      </c>
      <c r="AY1898" s="0" t="n">
        <f aca="false">COUNTIF(DU1898:EH1898, "&lt;&gt;")</f>
        <v>0</v>
      </c>
      <c r="AZ1898" s="0" t="n">
        <f aca="false">IF(EH1898&lt;&gt;"",1,0)</f>
        <v>0</v>
      </c>
      <c r="BB1898" s="0" t="s">
        <v>152</v>
      </c>
      <c r="CP1898" s="0" t="s">
        <v>153</v>
      </c>
      <c r="CV1898" s="0" t="s">
        <v>153</v>
      </c>
    </row>
    <row r="1899" customFormat="false" ht="13.8" hidden="false" customHeight="false" outlineLevel="0" collapsed="false">
      <c r="A1899" s="0" t="s">
        <v>8451</v>
      </c>
      <c r="B1899" s="0" t="n">
        <v>78</v>
      </c>
      <c r="C1899" s="0" t="n">
        <v>137998</v>
      </c>
      <c r="D1899" s="0" t="s">
        <v>8444</v>
      </c>
      <c r="E1899" s="0" t="s">
        <v>2814</v>
      </c>
      <c r="F1899" s="0" t="str">
        <f aca="false">CONCATENATE(D1899," ",LEFT(H1899,4),"T=",AU1899,"D=",AV1899,"R=",AW1899,"M=",AX1899,"L=",AY1899,"B=",AZ1899)</f>
        <v>WILDE T=1D=0R=0M=0L=5B=0</v>
      </c>
      <c r="G1899" s="0" t="s">
        <v>713</v>
      </c>
      <c r="I1899" s="0" t="s">
        <v>8452</v>
      </c>
      <c r="J1899" s="0" t="s">
        <v>8453</v>
      </c>
      <c r="K1899" s="0" t="s">
        <v>160</v>
      </c>
      <c r="L1899" s="0" t="s">
        <v>209</v>
      </c>
      <c r="M1899" s="0" t="s">
        <v>8447</v>
      </c>
      <c r="N1899" s="0" t="str">
        <f aca="false">RIGHT(M1899,LEN(M1899)-FIND(" ",M1899))</f>
        <v>OAK KNOLL AVE SE</v>
      </c>
      <c r="P1899" s="0" t="s">
        <v>145</v>
      </c>
      <c r="Q1899" s="0" t="s">
        <v>146</v>
      </c>
      <c r="R1899" s="0" t="n">
        <v>44484</v>
      </c>
      <c r="AD1899" s="0" t="s">
        <v>147</v>
      </c>
      <c r="AE1899" s="0" t="s">
        <v>148</v>
      </c>
      <c r="AF1899" s="0" t="s">
        <v>149</v>
      </c>
      <c r="AH1899" s="0" t="n">
        <v>14</v>
      </c>
      <c r="AI1899" s="0" t="n">
        <v>11</v>
      </c>
      <c r="AN1899" s="0" t="s">
        <v>145</v>
      </c>
      <c r="AO1899" s="0" t="s">
        <v>150</v>
      </c>
      <c r="AP1899" s="0" t="s">
        <v>151</v>
      </c>
      <c r="AQ1899" s="0" t="n">
        <v>9</v>
      </c>
      <c r="AR1899" s="0" t="n">
        <v>64</v>
      </c>
      <c r="AS1899" s="0" t="n">
        <v>32</v>
      </c>
      <c r="AU1899" s="0" t="n">
        <f aca="false">COUNTA($BA$919:$EH$919)</f>
        <v>1</v>
      </c>
      <c r="AV1899" s="0" t="n">
        <f aca="false">COUNTIF($BA$919:$EH$919,"D")</f>
        <v>0</v>
      </c>
      <c r="AW1899" s="0" t="n">
        <f aca="false">COUNTIF($BA$919:$EH$919,"R")</f>
        <v>0</v>
      </c>
      <c r="AX1899" s="0" t="n">
        <f aca="false">IF(BN1899="D",1,0)+IF(BO1899="D",1,0)+IF(BT1899="D",1,0)+IF(BU1899="D",1,0)+IF(BW1899="D",1,0)+IF(CC1899="D",1,0)+IF(CD1899="D",1,0)+IF(CE1899="D",1,0)+IF(CF1899="D",1,0)+IF(CL1899="D",1,0)+IF(CM1899="D",1,0)+IF(CQ1899="D",1,0)+IF(CR1899="D",1,0)+IF(CS1899="D",1,0)+IF(CW1899="D",1,0)+IF(CX1899="D",1,0)+IF(DD1899="D",1,0)+IF(DE1899="D",1,0)+IF(DJ1899="D",1,0)+IF(DK1899="D",1,0)+IF(DO1899="D",1,0)+IF(DP1899="D",1,0)+IF(DQ1899="D",1,0)+IF(DW1899="D",1,0)+IF(DZ1899="D",1,0)+IF(EH1899="D",1,0)</f>
        <v>0</v>
      </c>
      <c r="AY1899" s="0" t="n">
        <f aca="false">COUNTIF(DU1899:EH1899, "&lt;&gt;")</f>
        <v>5</v>
      </c>
      <c r="AZ1899" s="0" t="n">
        <f aca="false">IF(EH1899&lt;&gt;"",1,0)</f>
        <v>0</v>
      </c>
      <c r="BB1899" s="0" t="s">
        <v>152</v>
      </c>
      <c r="BC1899" s="0" t="s">
        <v>153</v>
      </c>
      <c r="BD1899" s="0" t="s">
        <v>153</v>
      </c>
      <c r="BE1899" s="0" t="s">
        <v>153</v>
      </c>
      <c r="BF1899" s="0" t="s">
        <v>153</v>
      </c>
      <c r="BG1899" s="0" t="s">
        <v>153</v>
      </c>
      <c r="BH1899" s="0" t="s">
        <v>153</v>
      </c>
      <c r="BJ1899" s="0" t="s">
        <v>153</v>
      </c>
      <c r="BK1899" s="0" t="s">
        <v>153</v>
      </c>
      <c r="BL1899" s="0" t="s">
        <v>153</v>
      </c>
      <c r="BP1899" s="0" t="s">
        <v>153</v>
      </c>
      <c r="BR1899" s="0" t="s">
        <v>153</v>
      </c>
      <c r="BS1899" s="0" t="s">
        <v>153</v>
      </c>
      <c r="BV1899" s="0" t="s">
        <v>153</v>
      </c>
      <c r="BY1899" s="0" t="s">
        <v>209</v>
      </c>
      <c r="CA1899" s="0" t="s">
        <v>153</v>
      </c>
      <c r="CG1899" s="0" t="s">
        <v>153</v>
      </c>
      <c r="CH1899" s="0" t="s">
        <v>209</v>
      </c>
      <c r="CK1899" s="0" t="s">
        <v>153</v>
      </c>
      <c r="CN1899" s="0" t="s">
        <v>153</v>
      </c>
      <c r="CO1899" s="0" t="s">
        <v>209</v>
      </c>
      <c r="CP1899" s="0" t="s">
        <v>153</v>
      </c>
      <c r="CV1899" s="0" t="s">
        <v>153</v>
      </c>
      <c r="CY1899" s="0" t="s">
        <v>153</v>
      </c>
      <c r="CZ1899" s="0" t="s">
        <v>209</v>
      </c>
      <c r="DC1899" s="0" t="s">
        <v>153</v>
      </c>
      <c r="DF1899" s="0" t="s">
        <v>153</v>
      </c>
      <c r="DG1899" s="0" t="s">
        <v>175</v>
      </c>
      <c r="DI1899" s="0" t="s">
        <v>153</v>
      </c>
      <c r="DL1899" s="0" t="s">
        <v>153</v>
      </c>
      <c r="DM1899" s="0" t="s">
        <v>209</v>
      </c>
      <c r="DN1899" s="0" t="s">
        <v>153</v>
      </c>
      <c r="DS1899" s="0" t="s">
        <v>209</v>
      </c>
      <c r="DU1899" s="0" t="s">
        <v>153</v>
      </c>
      <c r="DX1899" s="0" t="s">
        <v>153</v>
      </c>
      <c r="EA1899" s="0" t="s">
        <v>153</v>
      </c>
      <c r="ED1899" s="0" t="s">
        <v>209</v>
      </c>
      <c r="EF1899" s="0" t="s">
        <v>153</v>
      </c>
    </row>
    <row r="1900" customFormat="false" ht="13.8" hidden="true" customHeight="false" outlineLevel="0" collapsed="false">
      <c r="A1900" s="0" t="s">
        <v>8454</v>
      </c>
      <c r="B1900" s="0" t="n">
        <v>78</v>
      </c>
      <c r="C1900" s="0" t="n">
        <v>484391</v>
      </c>
      <c r="D1900" s="0" t="s">
        <v>8455</v>
      </c>
      <c r="E1900" s="0" t="s">
        <v>8456</v>
      </c>
      <c r="F1900" s="0" t="str">
        <f aca="false">CONCATENATE(D1900," ",LEFT(H1900,4),"T=",AU1900,"D=",AV1900,"R=",AW1900,"M=",AX1900,"L=",AY1900,"B=",AZ1900)</f>
        <v>ROWLETT T=7D=0R=0M=0L=1B=0</v>
      </c>
      <c r="G1900" s="0" t="s">
        <v>8457</v>
      </c>
      <c r="I1900" s="0" t="s">
        <v>8458</v>
      </c>
      <c r="J1900" s="0" t="s">
        <v>1908</v>
      </c>
      <c r="K1900" s="0" t="s">
        <v>160</v>
      </c>
      <c r="M1900" s="0" t="s">
        <v>8459</v>
      </c>
      <c r="N1900" s="0" t="str">
        <f aca="false">RIGHT(M1900,LEN(M1900)-FIND(" ",M1900))</f>
        <v>OAK KNOLL AVE SE</v>
      </c>
      <c r="P1900" s="0" t="s">
        <v>145</v>
      </c>
      <c r="Q1900" s="0" t="s">
        <v>146</v>
      </c>
      <c r="R1900" s="0" t="n">
        <v>44484</v>
      </c>
      <c r="AD1900" s="0" t="s">
        <v>147</v>
      </c>
      <c r="AE1900" s="0" t="s">
        <v>148</v>
      </c>
      <c r="AF1900" s="0" t="s">
        <v>149</v>
      </c>
      <c r="AH1900" s="0" t="n">
        <v>14</v>
      </c>
      <c r="AI1900" s="0" t="n">
        <v>11</v>
      </c>
      <c r="AN1900" s="0" t="s">
        <v>145</v>
      </c>
      <c r="AO1900" s="0" t="s">
        <v>150</v>
      </c>
      <c r="AP1900" s="0" t="s">
        <v>151</v>
      </c>
      <c r="AQ1900" s="0" t="n">
        <v>9</v>
      </c>
      <c r="AR1900" s="0" t="n">
        <v>64</v>
      </c>
      <c r="AS1900" s="0" t="n">
        <v>32</v>
      </c>
      <c r="AU1900" s="0" t="n">
        <f aca="false">COUNTA($BA$268:$EH$268)</f>
        <v>7</v>
      </c>
      <c r="AV1900" s="0" t="n">
        <f aca="false">COUNTIF($BA$268:$EH$268,"D")</f>
        <v>0</v>
      </c>
      <c r="AW1900" s="0" t="n">
        <f aca="false">COUNTIF($BA$268:$EH$268,"R")</f>
        <v>0</v>
      </c>
      <c r="AX1900" s="0" t="n">
        <f aca="false">IF(BN1900="D",1,0)+IF(BO1900="D",1,0)+IF(BT1900="D",1,0)+IF(BU1900="D",1,0)+IF(BW1900="D",1,0)+IF(CC1900="D",1,0)+IF(CD1900="D",1,0)+IF(CE1900="D",1,0)+IF(CF1900="D",1,0)+IF(CL1900="D",1,0)+IF(CM1900="D",1,0)+IF(CQ1900="D",1,0)+IF(CR1900="D",1,0)+IF(CS1900="D",1,0)+IF(CW1900="D",1,0)+IF(CX1900="D",1,0)+IF(DD1900="D",1,0)+IF(DE1900="D",1,0)+IF(DJ1900="D",1,0)+IF(DK1900="D",1,0)+IF(DO1900="D",1,0)+IF(DP1900="D",1,0)+IF(DQ1900="D",1,0)+IF(DW1900="D",1,0)+IF(DZ1900="D",1,0)+IF(EH1900="D",1,0)</f>
        <v>0</v>
      </c>
      <c r="AY1900" s="0" t="n">
        <f aca="false">COUNTIF(DU1900:EH1900, "&lt;&gt;")</f>
        <v>1</v>
      </c>
      <c r="AZ1900" s="0" t="n">
        <f aca="false">IF(EH1900&lt;&gt;"",1,0)</f>
        <v>0</v>
      </c>
      <c r="BB1900" s="0" t="s">
        <v>152</v>
      </c>
      <c r="EF1900" s="0" t="s">
        <v>153</v>
      </c>
    </row>
    <row r="1901" customFormat="false" ht="13.8" hidden="true" customHeight="false" outlineLevel="0" collapsed="false">
      <c r="A1901" s="0" t="s">
        <v>8460</v>
      </c>
      <c r="B1901" s="0" t="n">
        <v>78</v>
      </c>
      <c r="C1901" s="0" t="n">
        <v>437856</v>
      </c>
      <c r="D1901" s="0" t="s">
        <v>8461</v>
      </c>
      <c r="E1901" s="0" t="s">
        <v>1722</v>
      </c>
      <c r="F1901" s="0" t="str">
        <f aca="false">CONCATENATE(D1901," ",LEFT(H1901,4),"T=",AU1901,"D=",AV1901,"R=",AW1901,"M=",AX1901,"L=",AY1901,"B=",AZ1901)</f>
        <v>ASHCRAFT T=21D=5R=0M=0L=1B=0</v>
      </c>
      <c r="G1901" s="0" t="s">
        <v>5038</v>
      </c>
      <c r="I1901" s="0" t="s">
        <v>8462</v>
      </c>
      <c r="J1901" s="0" t="s">
        <v>8463</v>
      </c>
      <c r="K1901" s="0" t="s">
        <v>160</v>
      </c>
      <c r="M1901" s="0" t="s">
        <v>8459</v>
      </c>
      <c r="N1901" s="0" t="str">
        <f aca="false">RIGHT(M1901,LEN(M1901)-FIND(" ",M1901))</f>
        <v>OAK KNOLL AVE SE</v>
      </c>
      <c r="P1901" s="0" t="s">
        <v>145</v>
      </c>
      <c r="Q1901" s="0" t="s">
        <v>146</v>
      </c>
      <c r="R1901" s="0" t="n">
        <v>44484</v>
      </c>
      <c r="AD1901" s="0" t="s">
        <v>147</v>
      </c>
      <c r="AE1901" s="0" t="s">
        <v>148</v>
      </c>
      <c r="AF1901" s="0" t="s">
        <v>149</v>
      </c>
      <c r="AH1901" s="0" t="n">
        <v>14</v>
      </c>
      <c r="AI1901" s="0" t="n">
        <v>11</v>
      </c>
      <c r="AN1901" s="0" t="s">
        <v>145</v>
      </c>
      <c r="AO1901" s="0" t="s">
        <v>150</v>
      </c>
      <c r="AP1901" s="0" t="s">
        <v>151</v>
      </c>
      <c r="AQ1901" s="0" t="n">
        <v>9</v>
      </c>
      <c r="AR1901" s="0" t="n">
        <v>64</v>
      </c>
      <c r="AS1901" s="0" t="n">
        <v>32</v>
      </c>
      <c r="AU1901" s="0" t="n">
        <f aca="false">COUNTA($BA$351:$EH$351)</f>
        <v>21</v>
      </c>
      <c r="AV1901" s="0" t="n">
        <f aca="false">COUNTIF($BA$351:$EH$351,"D")</f>
        <v>5</v>
      </c>
      <c r="AW1901" s="0" t="n">
        <f aca="false">COUNTIF($BA$351:$EH$351,"R")</f>
        <v>0</v>
      </c>
      <c r="AX1901" s="0" t="n">
        <f aca="false">IF(BN1901="D",1,0)+IF(BO1901="D",1,0)+IF(BT1901="D",1,0)+IF(BU1901="D",1,0)+IF(BW1901="D",1,0)+IF(CC1901="D",1,0)+IF(CD1901="D",1,0)+IF(CE1901="D",1,0)+IF(CF1901="D",1,0)+IF(CL1901="D",1,0)+IF(CM1901="D",1,0)+IF(CQ1901="D",1,0)+IF(CR1901="D",1,0)+IF(CS1901="D",1,0)+IF(CW1901="D",1,0)+IF(CX1901="D",1,0)+IF(DD1901="D",1,0)+IF(DE1901="D",1,0)+IF(DJ1901="D",1,0)+IF(DK1901="D",1,0)+IF(DO1901="D",1,0)+IF(DP1901="D",1,0)+IF(DQ1901="D",1,0)+IF(DW1901="D",1,0)+IF(DZ1901="D",1,0)+IF(EH1901="D",1,0)</f>
        <v>0</v>
      </c>
      <c r="AY1901" s="0" t="n">
        <f aca="false">COUNTIF(DU1901:EH1901, "&lt;&gt;")</f>
        <v>1</v>
      </c>
      <c r="AZ1901" s="0" t="n">
        <f aca="false">IF(EH1901&lt;&gt;"",1,0)</f>
        <v>0</v>
      </c>
      <c r="BB1901" s="0" t="s">
        <v>152</v>
      </c>
      <c r="EF1901" s="0" t="s">
        <v>153</v>
      </c>
    </row>
    <row r="1902" customFormat="false" ht="13.8" hidden="true" customHeight="false" outlineLevel="0" collapsed="false">
      <c r="A1902" s="0" t="s">
        <v>8464</v>
      </c>
      <c r="B1902" s="0" t="n">
        <v>78</v>
      </c>
      <c r="C1902" s="0" t="n">
        <v>411459</v>
      </c>
      <c r="D1902" s="0" t="s">
        <v>8465</v>
      </c>
      <c r="E1902" s="0" t="s">
        <v>2864</v>
      </c>
      <c r="F1902" s="0" t="str">
        <f aca="false">CONCATENATE(D1902," ",LEFT(H1902,4),"T=",AU1902,"D=",AV1902,"R=",AW1902,"M=",AX1902,"L=",AY1902,"B=",AZ1902)</f>
        <v>DYE T=2D=0R=0M=0L=0B=0</v>
      </c>
      <c r="G1902" s="0" t="s">
        <v>275</v>
      </c>
      <c r="I1902" s="0" t="s">
        <v>8466</v>
      </c>
      <c r="J1902" s="0" t="s">
        <v>7423</v>
      </c>
      <c r="K1902" s="0" t="s">
        <v>143</v>
      </c>
      <c r="M1902" s="0" t="s">
        <v>8467</v>
      </c>
      <c r="N1902" s="0" t="str">
        <f aca="false">RIGHT(M1902,LEN(M1902)-FIND(" ",M1902))</f>
        <v>OAK KNOLL AVE SE</v>
      </c>
      <c r="P1902" s="0" t="s">
        <v>145</v>
      </c>
      <c r="Q1902" s="0" t="s">
        <v>146</v>
      </c>
      <c r="R1902" s="0" t="n">
        <v>44484</v>
      </c>
      <c r="AD1902" s="0" t="s">
        <v>147</v>
      </c>
      <c r="AE1902" s="0" t="s">
        <v>148</v>
      </c>
      <c r="AF1902" s="0" t="s">
        <v>149</v>
      </c>
      <c r="AH1902" s="0" t="n">
        <v>14</v>
      </c>
      <c r="AI1902" s="0" t="n">
        <v>11</v>
      </c>
      <c r="AN1902" s="0" t="s">
        <v>145</v>
      </c>
      <c r="AO1902" s="0" t="s">
        <v>150</v>
      </c>
      <c r="AP1902" s="0" t="s">
        <v>151</v>
      </c>
      <c r="AQ1902" s="0" t="n">
        <v>9</v>
      </c>
      <c r="AR1902" s="0" t="n">
        <v>64</v>
      </c>
      <c r="AS1902" s="0" t="n">
        <v>32</v>
      </c>
      <c r="AU1902" s="0" t="n">
        <f aca="false">COUNTA($BA$171:$EH$171)</f>
        <v>2</v>
      </c>
      <c r="AV1902" s="0" t="n">
        <f aca="false">COUNTIF($BA$171:$EH$171,"D")</f>
        <v>0</v>
      </c>
      <c r="AW1902" s="0" t="n">
        <f aca="false">COUNTIF($BA$171:$EH$171,"R")</f>
        <v>0</v>
      </c>
      <c r="AX1902" s="0" t="n">
        <f aca="false">IF(BN1902="D",1,0)+IF(BO1902="D",1,0)+IF(BT1902="D",1,0)+IF(BU1902="D",1,0)+IF(BW1902="D",1,0)+IF(CC1902="D",1,0)+IF(CD1902="D",1,0)+IF(CE1902="D",1,0)+IF(CF1902="D",1,0)+IF(CL1902="D",1,0)+IF(CM1902="D",1,0)+IF(CQ1902="D",1,0)+IF(CR1902="D",1,0)+IF(CS1902="D",1,0)+IF(CW1902="D",1,0)+IF(CX1902="D",1,0)+IF(DD1902="D",1,0)+IF(DE1902="D",1,0)+IF(DJ1902="D",1,0)+IF(DK1902="D",1,0)+IF(DO1902="D",1,0)+IF(DP1902="D",1,0)+IF(DQ1902="D",1,0)+IF(DW1902="D",1,0)+IF(DZ1902="D",1,0)+IF(EH1902="D",1,0)</f>
        <v>0</v>
      </c>
      <c r="AY1902" s="0" t="n">
        <f aca="false">COUNTIF(DU1902:EH1902, "&lt;&gt;")</f>
        <v>0</v>
      </c>
      <c r="AZ1902" s="0" t="n">
        <f aca="false">IF(EH1902&lt;&gt;"",1,0)</f>
        <v>0</v>
      </c>
      <c r="BB1902" s="0" t="s">
        <v>152</v>
      </c>
      <c r="BY1902" s="0" t="s">
        <v>175</v>
      </c>
      <c r="CA1902" s="0" t="s">
        <v>153</v>
      </c>
      <c r="CN1902" s="0" t="s">
        <v>153</v>
      </c>
      <c r="CY1902" s="0" t="s">
        <v>153</v>
      </c>
      <c r="CZ1902" s="0" t="s">
        <v>175</v>
      </c>
      <c r="DI1902" s="0" t="s">
        <v>153</v>
      </c>
    </row>
    <row r="1903" customFormat="false" ht="13.8" hidden="true" customHeight="false" outlineLevel="0" collapsed="false">
      <c r="A1903" s="0" t="s">
        <v>8468</v>
      </c>
      <c r="B1903" s="0" t="n">
        <v>78</v>
      </c>
      <c r="C1903" s="0" t="n">
        <v>455979</v>
      </c>
      <c r="D1903" s="0" t="s">
        <v>8469</v>
      </c>
      <c r="E1903" s="0" t="s">
        <v>481</v>
      </c>
      <c r="F1903" s="0" t="str">
        <f aca="false">CONCATENATE(D1903," ",LEFT(H1903,4),"T=",AU1903,"D=",AV1903,"R=",AW1903,"M=",AX1903,"L=",AY1903,"B=",AZ1903)</f>
        <v>MACKELL T=33D=8R=0M=0L=1B=0</v>
      </c>
      <c r="G1903" s="0" t="s">
        <v>8470</v>
      </c>
      <c r="I1903" s="0" t="s">
        <v>8471</v>
      </c>
      <c r="J1903" s="0" t="s">
        <v>404</v>
      </c>
      <c r="K1903" s="0" t="s">
        <v>160</v>
      </c>
      <c r="M1903" s="0" t="s">
        <v>8467</v>
      </c>
      <c r="N1903" s="0" t="str">
        <f aca="false">RIGHT(M1903,LEN(M1903)-FIND(" ",M1903))</f>
        <v>OAK KNOLL AVE SE</v>
      </c>
      <c r="P1903" s="0" t="s">
        <v>145</v>
      </c>
      <c r="Q1903" s="0" t="s">
        <v>146</v>
      </c>
      <c r="R1903" s="0" t="n">
        <v>44484</v>
      </c>
      <c r="AD1903" s="0" t="s">
        <v>147</v>
      </c>
      <c r="AE1903" s="0" t="s">
        <v>148</v>
      </c>
      <c r="AF1903" s="0" t="s">
        <v>149</v>
      </c>
      <c r="AH1903" s="0" t="n">
        <v>14</v>
      </c>
      <c r="AI1903" s="0" t="n">
        <v>11</v>
      </c>
      <c r="AN1903" s="0" t="s">
        <v>145</v>
      </c>
      <c r="AO1903" s="0" t="s">
        <v>150</v>
      </c>
      <c r="AP1903" s="0" t="s">
        <v>151</v>
      </c>
      <c r="AQ1903" s="0" t="n">
        <v>9</v>
      </c>
      <c r="AR1903" s="0" t="n">
        <v>64</v>
      </c>
      <c r="AS1903" s="0" t="n">
        <v>32</v>
      </c>
      <c r="AU1903" s="0" t="n">
        <f aca="false">COUNTA($BA$326:$EH$326)</f>
        <v>33</v>
      </c>
      <c r="AV1903" s="0" t="n">
        <f aca="false">COUNTIF($BA$326:$EH$326,"D")</f>
        <v>8</v>
      </c>
      <c r="AW1903" s="0" t="n">
        <f aca="false">COUNTIF($BA$326:$EH$326,"R")</f>
        <v>0</v>
      </c>
      <c r="AX1903" s="0" t="n">
        <f aca="false">IF(BN1903="D",1,0)+IF(BO1903="D",1,0)+IF(BT1903="D",1,0)+IF(BU1903="D",1,0)+IF(BW1903="D",1,0)+IF(CC1903="D",1,0)+IF(CD1903="D",1,0)+IF(CE1903="D",1,0)+IF(CF1903="D",1,0)+IF(CL1903="D",1,0)+IF(CM1903="D",1,0)+IF(CQ1903="D",1,0)+IF(CR1903="D",1,0)+IF(CS1903="D",1,0)+IF(CW1903="D",1,0)+IF(CX1903="D",1,0)+IF(DD1903="D",1,0)+IF(DE1903="D",1,0)+IF(DJ1903="D",1,0)+IF(DK1903="D",1,0)+IF(DO1903="D",1,0)+IF(DP1903="D",1,0)+IF(DQ1903="D",1,0)+IF(DW1903="D",1,0)+IF(DZ1903="D",1,0)+IF(EH1903="D",1,0)</f>
        <v>0</v>
      </c>
      <c r="AY1903" s="0" t="n">
        <f aca="false">COUNTIF(DU1903:EH1903, "&lt;&gt;")</f>
        <v>1</v>
      </c>
      <c r="AZ1903" s="0" t="n">
        <f aca="false">IF(EH1903&lt;&gt;"",1,0)</f>
        <v>0</v>
      </c>
      <c r="BB1903" s="0" t="s">
        <v>152</v>
      </c>
      <c r="EF1903" s="0" t="s">
        <v>153</v>
      </c>
    </row>
    <row r="1904" customFormat="false" ht="13.8" hidden="true" customHeight="false" outlineLevel="0" collapsed="false">
      <c r="A1904" s="0" t="s">
        <v>8472</v>
      </c>
      <c r="B1904" s="0" t="n">
        <v>78</v>
      </c>
      <c r="C1904" s="0" t="n">
        <v>369908</v>
      </c>
      <c r="D1904" s="0" t="s">
        <v>8465</v>
      </c>
      <c r="E1904" s="0" t="s">
        <v>2214</v>
      </c>
      <c r="F1904" s="0" t="str">
        <f aca="false">CONCATENATE(D1904," ",LEFT(H1904,4),"T=",AU1904,"D=",AV1904,"R=",AW1904,"M=",AX1904,"L=",AY1904,"B=",AZ1904)</f>
        <v>DYE JRT=1D=0R=0M=0L=0B=0</v>
      </c>
      <c r="G1904" s="0" t="s">
        <v>890</v>
      </c>
      <c r="H1904" s="0" t="s">
        <v>314</v>
      </c>
      <c r="I1904" s="0" t="s">
        <v>8473</v>
      </c>
      <c r="J1904" s="0" t="s">
        <v>1471</v>
      </c>
      <c r="K1904" s="0" t="s">
        <v>143</v>
      </c>
      <c r="M1904" s="0" t="s">
        <v>8467</v>
      </c>
      <c r="N1904" s="0" t="str">
        <f aca="false">RIGHT(M1904,LEN(M1904)-FIND(" ",M1904))</f>
        <v>OAK KNOLL AVE SE</v>
      </c>
      <c r="P1904" s="0" t="s">
        <v>145</v>
      </c>
      <c r="Q1904" s="0" t="s">
        <v>146</v>
      </c>
      <c r="R1904" s="0" t="n">
        <v>44484</v>
      </c>
      <c r="AD1904" s="0" t="s">
        <v>147</v>
      </c>
      <c r="AE1904" s="0" t="s">
        <v>148</v>
      </c>
      <c r="AF1904" s="0" t="s">
        <v>149</v>
      </c>
      <c r="AH1904" s="0" t="n">
        <v>14</v>
      </c>
      <c r="AI1904" s="0" t="n">
        <v>11</v>
      </c>
      <c r="AN1904" s="0" t="s">
        <v>145</v>
      </c>
      <c r="AO1904" s="0" t="s">
        <v>150</v>
      </c>
      <c r="AP1904" s="0" t="s">
        <v>151</v>
      </c>
      <c r="AQ1904" s="0" t="n">
        <v>9</v>
      </c>
      <c r="AR1904" s="0" t="n">
        <v>64</v>
      </c>
      <c r="AS1904" s="0" t="n">
        <v>32</v>
      </c>
      <c r="AU1904" s="0" t="n">
        <f aca="false">COUNTA($BA$401:$EH$401)</f>
        <v>1</v>
      </c>
      <c r="AV1904" s="0" t="n">
        <f aca="false">COUNTIF($BA$401:$EH$401,"D")</f>
        <v>0</v>
      </c>
      <c r="AW1904" s="0" t="n">
        <f aca="false">COUNTIF($BA$401:$EH$401,"R")</f>
        <v>0</v>
      </c>
      <c r="AX1904" s="0" t="n">
        <f aca="false">IF(BN1904="D",1,0)+IF(BO1904="D",1,0)+IF(BT1904="D",1,0)+IF(BU1904="D",1,0)+IF(BW1904="D",1,0)+IF(CC1904="D",1,0)+IF(CD1904="D",1,0)+IF(CE1904="D",1,0)+IF(CF1904="D",1,0)+IF(CL1904="D",1,0)+IF(CM1904="D",1,0)+IF(CQ1904="D",1,0)+IF(CR1904="D",1,0)+IF(CS1904="D",1,0)+IF(CW1904="D",1,0)+IF(CX1904="D",1,0)+IF(DD1904="D",1,0)+IF(DE1904="D",1,0)+IF(DJ1904="D",1,0)+IF(DK1904="D",1,0)+IF(DO1904="D",1,0)+IF(DP1904="D",1,0)+IF(DQ1904="D",1,0)+IF(DW1904="D",1,0)+IF(DZ1904="D",1,0)+IF(EH1904="D",1,0)</f>
        <v>0</v>
      </c>
      <c r="AY1904" s="0" t="n">
        <f aca="false">COUNTIF(DU1904:EH1904, "&lt;&gt;")</f>
        <v>0</v>
      </c>
      <c r="AZ1904" s="0" t="n">
        <f aca="false">IF(EH1904&lt;&gt;"",1,0)</f>
        <v>0</v>
      </c>
      <c r="BB1904" s="0" t="s">
        <v>152</v>
      </c>
      <c r="CP1904" s="0" t="s">
        <v>153</v>
      </c>
      <c r="CU1904" s="0" t="s">
        <v>175</v>
      </c>
      <c r="CV1904" s="0" t="s">
        <v>153</v>
      </c>
      <c r="CY1904" s="0" t="s">
        <v>153</v>
      </c>
      <c r="DF1904" s="0" t="s">
        <v>153</v>
      </c>
    </row>
    <row r="1905" customFormat="false" ht="13.8" hidden="true" customHeight="false" outlineLevel="0" collapsed="false">
      <c r="A1905" s="0" t="s">
        <v>8474</v>
      </c>
      <c r="B1905" s="0" t="n">
        <v>78</v>
      </c>
      <c r="C1905" s="0" t="n">
        <v>460015</v>
      </c>
      <c r="D1905" s="0" t="s">
        <v>8469</v>
      </c>
      <c r="E1905" s="0" t="s">
        <v>1152</v>
      </c>
      <c r="F1905" s="0" t="str">
        <f aca="false">CONCATENATE(D1905," ",LEFT(H1905,4),"T=",AU1905,"D=",AV1905,"R=",AW1905,"M=",AX1905,"L=",AY1905,"B=",AZ1905)</f>
        <v>MACKELL T=1D=0R=0M=0L=1B=0</v>
      </c>
      <c r="G1905" s="0" t="s">
        <v>6827</v>
      </c>
      <c r="I1905" s="0" t="s">
        <v>8475</v>
      </c>
      <c r="J1905" s="0" t="s">
        <v>386</v>
      </c>
      <c r="K1905" s="0" t="s">
        <v>160</v>
      </c>
      <c r="M1905" s="0" t="s">
        <v>8467</v>
      </c>
      <c r="N1905" s="0" t="str">
        <f aca="false">RIGHT(M1905,LEN(M1905)-FIND(" ",M1905))</f>
        <v>OAK KNOLL AVE SE</v>
      </c>
      <c r="P1905" s="0" t="s">
        <v>145</v>
      </c>
      <c r="Q1905" s="0" t="s">
        <v>146</v>
      </c>
      <c r="R1905" s="0" t="n">
        <v>44484</v>
      </c>
      <c r="AD1905" s="0" t="s">
        <v>147</v>
      </c>
      <c r="AE1905" s="0" t="s">
        <v>148</v>
      </c>
      <c r="AF1905" s="0" t="s">
        <v>149</v>
      </c>
      <c r="AH1905" s="0" t="n">
        <v>14</v>
      </c>
      <c r="AI1905" s="0" t="n">
        <v>11</v>
      </c>
      <c r="AN1905" s="0" t="s">
        <v>145</v>
      </c>
      <c r="AO1905" s="0" t="s">
        <v>150</v>
      </c>
      <c r="AP1905" s="0" t="s">
        <v>151</v>
      </c>
      <c r="AQ1905" s="0" t="n">
        <v>9</v>
      </c>
      <c r="AR1905" s="0" t="n">
        <v>64</v>
      </c>
      <c r="AS1905" s="0" t="n">
        <v>32</v>
      </c>
      <c r="AU1905" s="0" t="n">
        <f aca="false">COUNTA($BA$678:$EH$678)</f>
        <v>1</v>
      </c>
      <c r="AV1905" s="0" t="n">
        <f aca="false">COUNTIF($BA$678:$EH$678,"D")</f>
        <v>0</v>
      </c>
      <c r="AW1905" s="0" t="n">
        <f aca="false">COUNTIF($BA$678:$EH$678,"R")</f>
        <v>0</v>
      </c>
      <c r="AX1905" s="0" t="n">
        <f aca="false">IF(BN1905="D",1,0)+IF(BO1905="D",1,0)+IF(BT1905="D",1,0)+IF(BU1905="D",1,0)+IF(BW1905="D",1,0)+IF(CC1905="D",1,0)+IF(CD1905="D",1,0)+IF(CE1905="D",1,0)+IF(CF1905="D",1,0)+IF(CL1905="D",1,0)+IF(CM1905="D",1,0)+IF(CQ1905="D",1,0)+IF(CR1905="D",1,0)+IF(CS1905="D",1,0)+IF(CW1905="D",1,0)+IF(CX1905="D",1,0)+IF(DD1905="D",1,0)+IF(DE1905="D",1,0)+IF(DJ1905="D",1,0)+IF(DK1905="D",1,0)+IF(DO1905="D",1,0)+IF(DP1905="D",1,0)+IF(DQ1905="D",1,0)+IF(DW1905="D",1,0)+IF(DZ1905="D",1,0)+IF(EH1905="D",1,0)</f>
        <v>0</v>
      </c>
      <c r="AY1905" s="0" t="n">
        <f aca="false">COUNTIF(DU1905:EH1905, "&lt;&gt;")</f>
        <v>1</v>
      </c>
      <c r="AZ1905" s="0" t="n">
        <f aca="false">IF(EH1905&lt;&gt;"",1,0)</f>
        <v>0</v>
      </c>
      <c r="BB1905" s="0" t="s">
        <v>152</v>
      </c>
      <c r="DC1905" s="0" t="s">
        <v>153</v>
      </c>
      <c r="DN1905" s="0" t="s">
        <v>153</v>
      </c>
      <c r="EF1905" s="0" t="s">
        <v>153</v>
      </c>
    </row>
    <row r="1906" customFormat="false" ht="13.8" hidden="true" customHeight="false" outlineLevel="0" collapsed="false">
      <c r="A1906" s="0" t="s">
        <v>8476</v>
      </c>
      <c r="B1906" s="0" t="n">
        <v>78</v>
      </c>
      <c r="C1906" s="0" t="n">
        <v>369546</v>
      </c>
      <c r="D1906" s="0" t="s">
        <v>8477</v>
      </c>
      <c r="E1906" s="0" t="s">
        <v>1193</v>
      </c>
      <c r="F1906" s="0" t="str">
        <f aca="false">CONCATENATE(D1906," ",LEFT(H1906,4),"T=",AU1906,"D=",AV1906,"R=",AW1906,"M=",AX1906,"L=",AY1906,"B=",AZ1906)</f>
        <v>FILE T=1D=0R=0M=0L=0B=0</v>
      </c>
      <c r="G1906" s="0" t="s">
        <v>164</v>
      </c>
      <c r="I1906" s="0" t="s">
        <v>8478</v>
      </c>
      <c r="J1906" s="0" t="s">
        <v>8479</v>
      </c>
      <c r="K1906" s="0" t="s">
        <v>143</v>
      </c>
      <c r="M1906" s="0" t="s">
        <v>8480</v>
      </c>
      <c r="N1906" s="0" t="str">
        <f aca="false">RIGHT(M1906,LEN(M1906)-FIND(" ",M1906))</f>
        <v>OAK KNOLL AVE SE</v>
      </c>
      <c r="P1906" s="0" t="s">
        <v>145</v>
      </c>
      <c r="Q1906" s="0" t="s">
        <v>146</v>
      </c>
      <c r="R1906" s="0" t="n">
        <v>44484</v>
      </c>
      <c r="AD1906" s="0" t="s">
        <v>147</v>
      </c>
      <c r="AE1906" s="0" t="s">
        <v>148</v>
      </c>
      <c r="AF1906" s="0" t="s">
        <v>149</v>
      </c>
      <c r="AH1906" s="0" t="n">
        <v>14</v>
      </c>
      <c r="AI1906" s="0" t="n">
        <v>11</v>
      </c>
      <c r="AN1906" s="0" t="s">
        <v>145</v>
      </c>
      <c r="AO1906" s="0" t="s">
        <v>150</v>
      </c>
      <c r="AP1906" s="0" t="s">
        <v>151</v>
      </c>
      <c r="AQ1906" s="0" t="n">
        <v>9</v>
      </c>
      <c r="AR1906" s="0" t="n">
        <v>64</v>
      </c>
      <c r="AS1906" s="0" t="n">
        <v>32</v>
      </c>
      <c r="AU1906" s="0" t="n">
        <f aca="false">COUNTA($BA$412:$EH$412)</f>
        <v>1</v>
      </c>
      <c r="AV1906" s="0" t="n">
        <f aca="false">COUNTIF($BA$412:$EH$412,"D")</f>
        <v>0</v>
      </c>
      <c r="AW1906" s="0" t="n">
        <f aca="false">COUNTIF($BA$412:$EH$412,"R")</f>
        <v>0</v>
      </c>
      <c r="AX1906" s="0" t="n">
        <f aca="false">IF(BN1906="D",1,0)+IF(BO1906="D",1,0)+IF(BT1906="D",1,0)+IF(BU1906="D",1,0)+IF(BW1906="D",1,0)+IF(CC1906="D",1,0)+IF(CD1906="D",1,0)+IF(CE1906="D",1,0)+IF(CF1906="D",1,0)+IF(CL1906="D",1,0)+IF(CM1906="D",1,0)+IF(CQ1906="D",1,0)+IF(CR1906="D",1,0)+IF(CS1906="D",1,0)+IF(CW1906="D",1,0)+IF(CX1906="D",1,0)+IF(DD1906="D",1,0)+IF(DE1906="D",1,0)+IF(DJ1906="D",1,0)+IF(DK1906="D",1,0)+IF(DO1906="D",1,0)+IF(DP1906="D",1,0)+IF(DQ1906="D",1,0)+IF(DW1906="D",1,0)+IF(DZ1906="D",1,0)+IF(EH1906="D",1,0)</f>
        <v>0</v>
      </c>
      <c r="AY1906" s="0" t="n">
        <f aca="false">COUNTIF(DU1906:EH1906, "&lt;&gt;")</f>
        <v>0</v>
      </c>
      <c r="AZ1906" s="0" t="n">
        <f aca="false">IF(EH1906&lt;&gt;"",1,0)</f>
        <v>0</v>
      </c>
      <c r="BB1906" s="0" t="s">
        <v>152</v>
      </c>
    </row>
    <row r="1907" customFormat="false" ht="13.8" hidden="true" customHeight="false" outlineLevel="0" collapsed="false">
      <c r="A1907" s="0" t="s">
        <v>8481</v>
      </c>
      <c r="B1907" s="0" t="n">
        <v>78</v>
      </c>
      <c r="C1907" s="0" t="n">
        <v>345988</v>
      </c>
      <c r="D1907" s="0" t="s">
        <v>7039</v>
      </c>
      <c r="E1907" s="0" t="s">
        <v>242</v>
      </c>
      <c r="F1907" s="0" t="str">
        <f aca="false">CONCATENATE(D1907," ",LEFT(H1907,4),"T=",AU1907,"D=",AV1907,"R=",AW1907,"M=",AX1907,"L=",AY1907,"B=",AZ1907)</f>
        <v>POLING T=1D=0R=0M=0L=1B=0</v>
      </c>
      <c r="G1907" s="0" t="s">
        <v>190</v>
      </c>
      <c r="I1907" s="0" t="s">
        <v>8482</v>
      </c>
      <c r="J1907" s="0" t="s">
        <v>4441</v>
      </c>
      <c r="K1907" s="0" t="s">
        <v>160</v>
      </c>
      <c r="M1907" s="0" t="s">
        <v>8483</v>
      </c>
      <c r="N1907" s="0" t="str">
        <f aca="false">RIGHT(M1907,LEN(M1907)-FIND(" ",M1907))</f>
        <v>OAK KNOLL AVE SE</v>
      </c>
      <c r="P1907" s="0" t="s">
        <v>145</v>
      </c>
      <c r="Q1907" s="0" t="s">
        <v>146</v>
      </c>
      <c r="R1907" s="0" t="n">
        <v>44484</v>
      </c>
      <c r="AD1907" s="0" t="s">
        <v>147</v>
      </c>
      <c r="AE1907" s="0" t="s">
        <v>148</v>
      </c>
      <c r="AF1907" s="0" t="s">
        <v>149</v>
      </c>
      <c r="AH1907" s="0" t="n">
        <v>14</v>
      </c>
      <c r="AI1907" s="0" t="n">
        <v>11</v>
      </c>
      <c r="AN1907" s="0" t="s">
        <v>145</v>
      </c>
      <c r="AO1907" s="0" t="s">
        <v>150</v>
      </c>
      <c r="AP1907" s="0" t="s">
        <v>151</v>
      </c>
      <c r="AQ1907" s="0" t="n">
        <v>9</v>
      </c>
      <c r="AR1907" s="0" t="n">
        <v>64</v>
      </c>
      <c r="AS1907" s="0" t="n">
        <v>32</v>
      </c>
      <c r="AU1907" s="0" t="n">
        <f aca="false">COUNTA($BA$187:$EH$187)</f>
        <v>1</v>
      </c>
      <c r="AV1907" s="0" t="n">
        <f aca="false">COUNTIF($BA$187:$EH$187,"D")</f>
        <v>0</v>
      </c>
      <c r="AW1907" s="0" t="n">
        <f aca="false">COUNTIF($BA$187:$EH$187,"R")</f>
        <v>0</v>
      </c>
      <c r="AX1907" s="0" t="n">
        <f aca="false">IF(BN1907="D",1,0)+IF(BO1907="D",1,0)+IF(BT1907="D",1,0)+IF(BU1907="D",1,0)+IF(BW1907="D",1,0)+IF(CC1907="D",1,0)+IF(CD1907="D",1,0)+IF(CE1907="D",1,0)+IF(CF1907="D",1,0)+IF(CL1907="D",1,0)+IF(CM1907="D",1,0)+IF(CQ1907="D",1,0)+IF(CR1907="D",1,0)+IF(CS1907="D",1,0)+IF(CW1907="D",1,0)+IF(CX1907="D",1,0)+IF(DD1907="D",1,0)+IF(DE1907="D",1,0)+IF(DJ1907="D",1,0)+IF(DK1907="D",1,0)+IF(DO1907="D",1,0)+IF(DP1907="D",1,0)+IF(DQ1907="D",1,0)+IF(DW1907="D",1,0)+IF(DZ1907="D",1,0)+IF(EH1907="D",1,0)</f>
        <v>0</v>
      </c>
      <c r="AY1907" s="0" t="n">
        <f aca="false">COUNTIF(DU1907:EH1907, "&lt;&gt;")</f>
        <v>1</v>
      </c>
      <c r="AZ1907" s="0" t="n">
        <f aca="false">IF(EH1907&lt;&gt;"",1,0)</f>
        <v>0</v>
      </c>
      <c r="BB1907" s="0" t="s">
        <v>152</v>
      </c>
      <c r="BS1907" s="0" t="s">
        <v>153</v>
      </c>
      <c r="CA1907" s="0" t="s">
        <v>153</v>
      </c>
      <c r="CP1907" s="0" t="s">
        <v>153</v>
      </c>
      <c r="CV1907" s="0" t="s">
        <v>153</v>
      </c>
      <c r="DC1907" s="0" t="s">
        <v>153</v>
      </c>
      <c r="DI1907" s="0" t="s">
        <v>153</v>
      </c>
      <c r="DN1907" s="0" t="s">
        <v>153</v>
      </c>
      <c r="EF1907" s="0" t="s">
        <v>153</v>
      </c>
    </row>
    <row r="1908" customFormat="false" ht="13.8" hidden="true" customHeight="false" outlineLevel="0" collapsed="false">
      <c r="A1908" s="0" t="s">
        <v>8484</v>
      </c>
      <c r="B1908" s="0" t="n">
        <v>78</v>
      </c>
      <c r="C1908" s="0" t="n">
        <v>352312</v>
      </c>
      <c r="D1908" s="0" t="s">
        <v>648</v>
      </c>
      <c r="E1908" s="0" t="s">
        <v>8485</v>
      </c>
      <c r="F1908" s="0" t="str">
        <f aca="false">CONCATENATE(D1908," ",LEFT(H1908,4),"T=",AU1908,"D=",AV1908,"R=",AW1908,"M=",AX1908,"L=",AY1908,"B=",AZ1908)</f>
        <v>JORDAN T=5D=0R=0M=0L=0B=0</v>
      </c>
      <c r="G1908" s="0" t="s">
        <v>686</v>
      </c>
      <c r="I1908" s="0" t="s">
        <v>8486</v>
      </c>
      <c r="J1908" s="0" t="s">
        <v>7272</v>
      </c>
      <c r="K1908" s="0" t="s">
        <v>143</v>
      </c>
      <c r="M1908" s="0" t="s">
        <v>8487</v>
      </c>
      <c r="N1908" s="0" t="str">
        <f aca="false">RIGHT(M1908,LEN(M1908)-FIND(" ",M1908))</f>
        <v>OLIVE AVE NE</v>
      </c>
      <c r="P1908" s="0" t="s">
        <v>145</v>
      </c>
      <c r="Q1908" s="0" t="s">
        <v>146</v>
      </c>
      <c r="R1908" s="0" t="n">
        <v>44483</v>
      </c>
      <c r="AD1908" s="0" t="s">
        <v>147</v>
      </c>
      <c r="AE1908" s="0" t="s">
        <v>148</v>
      </c>
      <c r="AF1908" s="0" t="s">
        <v>149</v>
      </c>
      <c r="AH1908" s="0" t="n">
        <v>14</v>
      </c>
      <c r="AI1908" s="0" t="n">
        <v>11</v>
      </c>
      <c r="AN1908" s="0" t="s">
        <v>145</v>
      </c>
      <c r="AO1908" s="0" t="s">
        <v>654</v>
      </c>
      <c r="AP1908" s="0" t="s">
        <v>655</v>
      </c>
      <c r="AQ1908" s="0" t="n">
        <v>9</v>
      </c>
      <c r="AR1908" s="0" t="n">
        <v>64</v>
      </c>
      <c r="AS1908" s="0" t="n">
        <v>32</v>
      </c>
      <c r="AU1908" s="0" t="n">
        <f aca="false">COUNTA($BA$1796:$EH$1796)</f>
        <v>5</v>
      </c>
      <c r="AV1908" s="0" t="n">
        <f aca="false">COUNTIF($BA$1796:$EH$1796,"D")</f>
        <v>0</v>
      </c>
      <c r="AW1908" s="0" t="n">
        <f aca="false">COUNTIF($BA$1796:$EH$1796,"R")</f>
        <v>0</v>
      </c>
      <c r="AX1908" s="0" t="n">
        <f aca="false">IF(BN1908="D",1,0)+IF(BO1908="D",1,0)+IF(BT1908="D",1,0)+IF(BU1908="D",1,0)+IF(BW1908="D",1,0)+IF(CC1908="D",1,0)+IF(CD1908="D",1,0)+IF(CE1908="D",1,0)+IF(CF1908="D",1,0)+IF(CL1908="D",1,0)+IF(CM1908="D",1,0)+IF(CQ1908="D",1,0)+IF(CR1908="D",1,0)+IF(CS1908="D",1,0)+IF(CW1908="D",1,0)+IF(CX1908="D",1,0)+IF(DD1908="D",1,0)+IF(DE1908="D",1,0)+IF(DJ1908="D",1,0)+IF(DK1908="D",1,0)+IF(DO1908="D",1,0)+IF(DP1908="D",1,0)+IF(DQ1908="D",1,0)+IF(DW1908="D",1,0)+IF(DZ1908="D",1,0)+IF(EH1908="D",1,0)</f>
        <v>0</v>
      </c>
      <c r="AY1908" s="0" t="n">
        <f aca="false">COUNTIF(DU1908:EH1908, "&lt;&gt;")</f>
        <v>0</v>
      </c>
      <c r="AZ1908" s="0" t="n">
        <f aca="false">IF(EH1908&lt;&gt;"",1,0)</f>
        <v>0</v>
      </c>
      <c r="BB1908" s="0" t="s">
        <v>152</v>
      </c>
      <c r="BY1908" s="0" t="s">
        <v>175</v>
      </c>
      <c r="CA1908" s="0" t="s">
        <v>153</v>
      </c>
      <c r="CH1908" s="0" t="s">
        <v>175</v>
      </c>
      <c r="CP1908" s="0" t="s">
        <v>153</v>
      </c>
      <c r="CU1908" s="0" t="s">
        <v>175</v>
      </c>
      <c r="CV1908" s="0" t="s">
        <v>153</v>
      </c>
      <c r="DC1908" s="0" t="s">
        <v>153</v>
      </c>
      <c r="DL1908" s="0" t="s">
        <v>153</v>
      </c>
      <c r="DN1908" s="0" t="s">
        <v>153</v>
      </c>
    </row>
    <row r="1909" customFormat="false" ht="13.8" hidden="true" customHeight="false" outlineLevel="0" collapsed="false">
      <c r="A1909" s="0" t="s">
        <v>8488</v>
      </c>
      <c r="B1909" s="0" t="n">
        <v>78</v>
      </c>
      <c r="C1909" s="0" t="n">
        <v>437355</v>
      </c>
      <c r="D1909" s="0" t="s">
        <v>648</v>
      </c>
      <c r="E1909" s="0" t="s">
        <v>8489</v>
      </c>
      <c r="F1909" s="0" t="str">
        <f aca="false">CONCATENATE(D1909," ",LEFT(H1909,4),"T=",AU1909,"D=",AV1909,"R=",AW1909,"M=",AX1909,"L=",AY1909,"B=",AZ1909)</f>
        <v>JORDAN T=1D=0R=0M=0L=0B=0</v>
      </c>
      <c r="G1909" s="0" t="s">
        <v>190</v>
      </c>
      <c r="I1909" s="0" t="s">
        <v>8490</v>
      </c>
      <c r="J1909" s="0" t="s">
        <v>8491</v>
      </c>
      <c r="K1909" s="0" t="s">
        <v>160</v>
      </c>
      <c r="M1909" s="0" t="s">
        <v>8487</v>
      </c>
      <c r="N1909" s="0" t="str">
        <f aca="false">RIGHT(M1909,LEN(M1909)-FIND(" ",M1909))</f>
        <v>OLIVE AVE NE</v>
      </c>
      <c r="P1909" s="0" t="s">
        <v>145</v>
      </c>
      <c r="Q1909" s="0" t="s">
        <v>146</v>
      </c>
      <c r="R1909" s="0" t="n">
        <v>44483</v>
      </c>
      <c r="AD1909" s="0" t="s">
        <v>147</v>
      </c>
      <c r="AE1909" s="0" t="s">
        <v>148</v>
      </c>
      <c r="AF1909" s="0" t="s">
        <v>149</v>
      </c>
      <c r="AH1909" s="0" t="n">
        <v>14</v>
      </c>
      <c r="AI1909" s="0" t="n">
        <v>11</v>
      </c>
      <c r="AN1909" s="0" t="s">
        <v>145</v>
      </c>
      <c r="AO1909" s="0" t="s">
        <v>654</v>
      </c>
      <c r="AP1909" s="0" t="s">
        <v>655</v>
      </c>
      <c r="AQ1909" s="0" t="n">
        <v>9</v>
      </c>
      <c r="AR1909" s="0" t="n">
        <v>64</v>
      </c>
      <c r="AS1909" s="0" t="n">
        <v>32</v>
      </c>
      <c r="AU1909" s="0" t="n">
        <f aca="false">COUNTA($BA$1924:$EH$1924)</f>
        <v>1</v>
      </c>
      <c r="AV1909" s="0" t="n">
        <f aca="false">COUNTIF($BA$1924:$EH$1924,"D")</f>
        <v>0</v>
      </c>
      <c r="AW1909" s="0" t="n">
        <f aca="false">COUNTIF($BA$1924:$EH$1924,"R")</f>
        <v>0</v>
      </c>
      <c r="AX1909" s="0" t="n">
        <f aca="false">IF(BN1909="D",1,0)+IF(BO1909="D",1,0)+IF(BT1909="D",1,0)+IF(BU1909="D",1,0)+IF(BW1909="D",1,0)+IF(CC1909="D",1,0)+IF(CD1909="D",1,0)+IF(CE1909="D",1,0)+IF(CF1909="D",1,0)+IF(CL1909="D",1,0)+IF(CM1909="D",1,0)+IF(CQ1909="D",1,0)+IF(CR1909="D",1,0)+IF(CS1909="D",1,0)+IF(CW1909="D",1,0)+IF(CX1909="D",1,0)+IF(DD1909="D",1,0)+IF(DE1909="D",1,0)+IF(DJ1909="D",1,0)+IF(DK1909="D",1,0)+IF(DO1909="D",1,0)+IF(DP1909="D",1,0)+IF(DQ1909="D",1,0)+IF(DW1909="D",1,0)+IF(DZ1909="D",1,0)+IF(EH1909="D",1,0)</f>
        <v>0</v>
      </c>
      <c r="AY1909" s="0" t="n">
        <f aca="false">COUNTIF(DU1909:EH1909, "&lt;&gt;")</f>
        <v>0</v>
      </c>
      <c r="AZ1909" s="0" t="n">
        <f aca="false">IF(EH1909&lt;&gt;"",1,0)</f>
        <v>0</v>
      </c>
      <c r="BB1909" s="0" t="s">
        <v>152</v>
      </c>
      <c r="DN1909" s="0" t="s">
        <v>153</v>
      </c>
    </row>
    <row r="1910" customFormat="false" ht="13.8" hidden="true" customHeight="false" outlineLevel="0" collapsed="false">
      <c r="A1910" s="0" t="s">
        <v>8492</v>
      </c>
      <c r="B1910" s="0" t="n">
        <v>78</v>
      </c>
      <c r="C1910" s="0" t="n">
        <v>453428</v>
      </c>
      <c r="D1910" s="0" t="s">
        <v>286</v>
      </c>
      <c r="E1910" s="0" t="s">
        <v>3162</v>
      </c>
      <c r="F1910" s="0" t="str">
        <f aca="false">CONCATENATE(D1910," ",LEFT(H1910,4),"T=",AU1910,"D=",AV1910,"R=",AW1910,"M=",AX1910,"L=",AY1910,"B=",AZ1910)</f>
        <v>HIGGINS T=2D=0R=0M=0L=1B=0</v>
      </c>
      <c r="G1910" s="0" t="s">
        <v>1128</v>
      </c>
      <c r="I1910" s="0" t="s">
        <v>8493</v>
      </c>
      <c r="J1910" s="0" t="s">
        <v>204</v>
      </c>
      <c r="K1910" s="0" t="s">
        <v>160</v>
      </c>
      <c r="M1910" s="0" t="s">
        <v>8494</v>
      </c>
      <c r="N1910" s="0" t="str">
        <f aca="false">RIGHT(M1910,LEN(M1910)-FIND(" ",M1910))</f>
        <v>OLIVE AVE NE</v>
      </c>
      <c r="P1910" s="0" t="s">
        <v>145</v>
      </c>
      <c r="Q1910" s="0" t="s">
        <v>146</v>
      </c>
      <c r="R1910" s="0" t="n">
        <v>44483</v>
      </c>
      <c r="AD1910" s="0" t="s">
        <v>147</v>
      </c>
      <c r="AE1910" s="0" t="s">
        <v>148</v>
      </c>
      <c r="AF1910" s="0" t="s">
        <v>149</v>
      </c>
      <c r="AH1910" s="0" t="n">
        <v>14</v>
      </c>
      <c r="AI1910" s="0" t="n">
        <v>11</v>
      </c>
      <c r="AN1910" s="0" t="s">
        <v>145</v>
      </c>
      <c r="AO1910" s="0" t="s">
        <v>654</v>
      </c>
      <c r="AP1910" s="0" t="s">
        <v>655</v>
      </c>
      <c r="AQ1910" s="0" t="n">
        <v>9</v>
      </c>
      <c r="AR1910" s="0" t="n">
        <v>64</v>
      </c>
      <c r="AS1910" s="0" t="n">
        <v>32</v>
      </c>
      <c r="AU1910" s="0" t="n">
        <f aca="false">COUNTA($BA$1395:$EH$1395)</f>
        <v>2</v>
      </c>
      <c r="AV1910" s="0" t="n">
        <f aca="false">COUNTIF($BA$1395:$EH$1395,"D")</f>
        <v>0</v>
      </c>
      <c r="AW1910" s="0" t="n">
        <f aca="false">COUNTIF($BA$1395:$EH$1395,"R")</f>
        <v>0</v>
      </c>
      <c r="AX1910" s="0" t="n">
        <f aca="false">IF(BN1910="D",1,0)+IF(BO1910="D",1,0)+IF(BT1910="D",1,0)+IF(BU1910="D",1,0)+IF(BW1910="D",1,0)+IF(CC1910="D",1,0)+IF(CD1910="D",1,0)+IF(CE1910="D",1,0)+IF(CF1910="D",1,0)+IF(CL1910="D",1,0)+IF(CM1910="D",1,0)+IF(CQ1910="D",1,0)+IF(CR1910="D",1,0)+IF(CS1910="D",1,0)+IF(CW1910="D",1,0)+IF(CX1910="D",1,0)+IF(DD1910="D",1,0)+IF(DE1910="D",1,0)+IF(DJ1910="D",1,0)+IF(DK1910="D",1,0)+IF(DO1910="D",1,0)+IF(DP1910="D",1,0)+IF(DQ1910="D",1,0)+IF(DW1910="D",1,0)+IF(DZ1910="D",1,0)+IF(EH1910="D",1,0)</f>
        <v>0</v>
      </c>
      <c r="AY1910" s="0" t="n">
        <f aca="false">COUNTIF(DU1910:EH1910, "&lt;&gt;")</f>
        <v>1</v>
      </c>
      <c r="AZ1910" s="0" t="n">
        <f aca="false">IF(EH1910&lt;&gt;"",1,0)</f>
        <v>0</v>
      </c>
      <c r="BB1910" s="0" t="s">
        <v>152</v>
      </c>
      <c r="DN1910" s="0" t="s">
        <v>153</v>
      </c>
      <c r="EF1910" s="0" t="s">
        <v>153</v>
      </c>
    </row>
    <row r="1911" customFormat="false" ht="13.8" hidden="false" customHeight="false" outlineLevel="0" collapsed="false">
      <c r="A1911" s="0" t="s">
        <v>8495</v>
      </c>
      <c r="B1911" s="0" t="n">
        <v>78</v>
      </c>
      <c r="C1911" s="0" t="n">
        <v>450584</v>
      </c>
      <c r="D1911" s="0" t="s">
        <v>8496</v>
      </c>
      <c r="E1911" s="0" t="s">
        <v>8497</v>
      </c>
      <c r="F1911" s="0" t="str">
        <f aca="false">CONCATENATE(D1911," ",LEFT(H1911,4),"T=",AU1911,"D=",AV1911,"R=",AW1911,"M=",AX1911,"L=",AY1911,"B=",AZ1911)</f>
        <v>FIGUEROA T=1D=0R=0M=0L=2B=0</v>
      </c>
      <c r="I1911" s="0" t="s">
        <v>8498</v>
      </c>
      <c r="J1911" s="0" t="s">
        <v>8499</v>
      </c>
      <c r="K1911" s="0" t="s">
        <v>160</v>
      </c>
      <c r="M1911" s="0" t="s">
        <v>8494</v>
      </c>
      <c r="N1911" s="0" t="str">
        <f aca="false">RIGHT(M1911,LEN(M1911)-FIND(" ",M1911))</f>
        <v>OLIVE AVE NE</v>
      </c>
      <c r="P1911" s="0" t="s">
        <v>145</v>
      </c>
      <c r="Q1911" s="0" t="s">
        <v>146</v>
      </c>
      <c r="R1911" s="0" t="n">
        <v>44483</v>
      </c>
      <c r="AD1911" s="0" t="s">
        <v>147</v>
      </c>
      <c r="AE1911" s="0" t="s">
        <v>148</v>
      </c>
      <c r="AF1911" s="0" t="s">
        <v>149</v>
      </c>
      <c r="AH1911" s="0" t="n">
        <v>14</v>
      </c>
      <c r="AI1911" s="0" t="n">
        <v>11</v>
      </c>
      <c r="AN1911" s="0" t="s">
        <v>145</v>
      </c>
      <c r="AO1911" s="0" t="s">
        <v>654</v>
      </c>
      <c r="AP1911" s="0" t="s">
        <v>655</v>
      </c>
      <c r="AQ1911" s="0" t="n">
        <v>9</v>
      </c>
      <c r="AR1911" s="0" t="n">
        <v>64</v>
      </c>
      <c r="AS1911" s="0" t="n">
        <v>32</v>
      </c>
      <c r="AU1911" s="0" t="n">
        <f aca="false">COUNTA($BA$1961:$EH$1961)</f>
        <v>1</v>
      </c>
      <c r="AV1911" s="0" t="n">
        <f aca="false">COUNTIF($BA$1961:$EH$1961,"D")</f>
        <v>0</v>
      </c>
      <c r="AW1911" s="0" t="n">
        <f aca="false">COUNTIF($BA$1961:$EH$1961,"R")</f>
        <v>0</v>
      </c>
      <c r="AX1911" s="0" t="n">
        <f aca="false">IF(BN1911="D",1,0)+IF(BO1911="D",1,0)+IF(BT1911="D",1,0)+IF(BU1911="D",1,0)+IF(BW1911="D",1,0)+IF(CC1911="D",1,0)+IF(CD1911="D",1,0)+IF(CE1911="D",1,0)+IF(CF1911="D",1,0)+IF(CL1911="D",1,0)+IF(CM1911="D",1,0)+IF(CQ1911="D",1,0)+IF(CR1911="D",1,0)+IF(CS1911="D",1,0)+IF(CW1911="D",1,0)+IF(CX1911="D",1,0)+IF(DD1911="D",1,0)+IF(DE1911="D",1,0)+IF(DJ1911="D",1,0)+IF(DK1911="D",1,0)+IF(DO1911="D",1,0)+IF(DP1911="D",1,0)+IF(DQ1911="D",1,0)+IF(DW1911="D",1,0)+IF(DZ1911="D",1,0)+IF(EH1911="D",1,0)</f>
        <v>0</v>
      </c>
      <c r="AY1911" s="0" t="n">
        <f aca="false">COUNTIF(DU1911:EH1911, "&lt;&gt;")</f>
        <v>2</v>
      </c>
      <c r="AZ1911" s="0" t="n">
        <f aca="false">IF(EH1911&lt;&gt;"",1,0)</f>
        <v>0</v>
      </c>
      <c r="BB1911" s="0" t="s">
        <v>152</v>
      </c>
      <c r="DN1911" s="0" t="s">
        <v>153</v>
      </c>
      <c r="EA1911" s="0" t="s">
        <v>153</v>
      </c>
      <c r="EF1911" s="0" t="s">
        <v>153</v>
      </c>
    </row>
    <row r="1912" customFormat="false" ht="13.8" hidden="true" customHeight="false" outlineLevel="0" collapsed="false">
      <c r="A1912" s="0" t="s">
        <v>8500</v>
      </c>
      <c r="B1912" s="0" t="n">
        <v>78</v>
      </c>
      <c r="C1912" s="0" t="n">
        <v>409347</v>
      </c>
      <c r="D1912" s="0" t="s">
        <v>7835</v>
      </c>
      <c r="E1912" s="0" t="s">
        <v>4362</v>
      </c>
      <c r="F1912" s="0" t="str">
        <f aca="false">CONCATENATE(D1912," ",LEFT(H1912,4),"T=",AU1912,"D=",AV1912,"R=",AW1912,"M=",AX1912,"L=",AY1912,"B=",AZ1912)</f>
        <v>RODGERS T=1D=0R=0M=0L=0B=0</v>
      </c>
      <c r="G1912" s="0" t="s">
        <v>175</v>
      </c>
      <c r="I1912" s="0" t="s">
        <v>8501</v>
      </c>
      <c r="J1912" s="0" t="s">
        <v>2984</v>
      </c>
      <c r="K1912" s="0" t="s">
        <v>160</v>
      </c>
      <c r="M1912" s="0" t="s">
        <v>8502</v>
      </c>
      <c r="N1912" s="0" t="str">
        <f aca="false">RIGHT(M1912,LEN(M1912)-FIND(" ",M1912))</f>
        <v>OLIVE AVE NE</v>
      </c>
      <c r="P1912" s="0" t="s">
        <v>145</v>
      </c>
      <c r="Q1912" s="0" t="s">
        <v>146</v>
      </c>
      <c r="R1912" s="0" t="n">
        <v>44483</v>
      </c>
      <c r="AD1912" s="0" t="s">
        <v>147</v>
      </c>
      <c r="AE1912" s="0" t="s">
        <v>148</v>
      </c>
      <c r="AF1912" s="0" t="s">
        <v>149</v>
      </c>
      <c r="AH1912" s="0" t="n">
        <v>14</v>
      </c>
      <c r="AI1912" s="0" t="n">
        <v>11</v>
      </c>
      <c r="AN1912" s="0" t="s">
        <v>145</v>
      </c>
      <c r="AO1912" s="0" t="s">
        <v>654</v>
      </c>
      <c r="AP1912" s="0" t="s">
        <v>655</v>
      </c>
      <c r="AQ1912" s="0" t="n">
        <v>9</v>
      </c>
      <c r="AR1912" s="0" t="n">
        <v>64</v>
      </c>
      <c r="AS1912" s="0" t="n">
        <v>32</v>
      </c>
      <c r="AU1912" s="0" t="n">
        <f aca="false">COUNTA($BA$1724:$EH$1724)</f>
        <v>1</v>
      </c>
      <c r="AV1912" s="0" t="n">
        <f aca="false">COUNTIF($BA$1724:$EH$1724,"D")</f>
        <v>0</v>
      </c>
      <c r="AW1912" s="0" t="n">
        <f aca="false">COUNTIF($BA$1724:$EH$1724,"R")</f>
        <v>0</v>
      </c>
      <c r="AX1912" s="0" t="n">
        <f aca="false">IF(BN1912="D",1,0)+IF(BO1912="D",1,0)+IF(BT1912="D",1,0)+IF(BU1912="D",1,0)+IF(BW1912="D",1,0)+IF(CC1912="D",1,0)+IF(CD1912="D",1,0)+IF(CE1912="D",1,0)+IF(CF1912="D",1,0)+IF(CL1912="D",1,0)+IF(CM1912="D",1,0)+IF(CQ1912="D",1,0)+IF(CR1912="D",1,0)+IF(CS1912="D",1,0)+IF(CW1912="D",1,0)+IF(CX1912="D",1,0)+IF(DD1912="D",1,0)+IF(DE1912="D",1,0)+IF(DJ1912="D",1,0)+IF(DK1912="D",1,0)+IF(DO1912="D",1,0)+IF(DP1912="D",1,0)+IF(DQ1912="D",1,0)+IF(DW1912="D",1,0)+IF(DZ1912="D",1,0)+IF(EH1912="D",1,0)</f>
        <v>0</v>
      </c>
      <c r="AY1912" s="0" t="n">
        <f aca="false">COUNTIF(DU1912:EH1912, "&lt;&gt;")</f>
        <v>0</v>
      </c>
      <c r="AZ1912" s="0" t="n">
        <f aca="false">IF(EH1912&lt;&gt;"",1,0)</f>
        <v>0</v>
      </c>
      <c r="BB1912" s="0" t="s">
        <v>152</v>
      </c>
    </row>
    <row r="1913" customFormat="false" ht="13.8" hidden="true" customHeight="false" outlineLevel="0" collapsed="false">
      <c r="A1913" s="0" t="s">
        <v>8503</v>
      </c>
      <c r="B1913" s="0" t="n">
        <v>78</v>
      </c>
      <c r="C1913" s="0" t="n">
        <v>447612</v>
      </c>
      <c r="D1913" s="0" t="s">
        <v>7046</v>
      </c>
      <c r="E1913" s="0" t="s">
        <v>8504</v>
      </c>
      <c r="F1913" s="0" t="str">
        <f aca="false">CONCATENATE(D1913," ",LEFT(H1913,4),"T=",AU1913,"D=",AV1913,"R=",AW1913,"M=",AX1913,"L=",AY1913,"B=",AZ1913)</f>
        <v>KNIGHT T=1D=0R=0M=0L=0B=0</v>
      </c>
      <c r="G1913" s="0" t="s">
        <v>8505</v>
      </c>
      <c r="I1913" s="0" t="s">
        <v>8506</v>
      </c>
      <c r="J1913" s="0" t="s">
        <v>386</v>
      </c>
      <c r="K1913" s="0" t="s">
        <v>160</v>
      </c>
      <c r="M1913" s="0" t="s">
        <v>8507</v>
      </c>
      <c r="N1913" s="0" t="str">
        <f aca="false">RIGHT(M1913,LEN(M1913)-FIND(" ",M1913))</f>
        <v>OLIVE AVE NE</v>
      </c>
      <c r="P1913" s="0" t="s">
        <v>145</v>
      </c>
      <c r="Q1913" s="0" t="s">
        <v>146</v>
      </c>
      <c r="R1913" s="0" t="n">
        <v>44483</v>
      </c>
      <c r="AD1913" s="0" t="s">
        <v>147</v>
      </c>
      <c r="AE1913" s="0" t="s">
        <v>148</v>
      </c>
      <c r="AF1913" s="0" t="s">
        <v>149</v>
      </c>
      <c r="AH1913" s="0" t="n">
        <v>14</v>
      </c>
      <c r="AI1913" s="0" t="n">
        <v>11</v>
      </c>
      <c r="AN1913" s="0" t="s">
        <v>145</v>
      </c>
      <c r="AO1913" s="0" t="s">
        <v>654</v>
      </c>
      <c r="AP1913" s="0" t="s">
        <v>655</v>
      </c>
      <c r="AQ1913" s="0" t="n">
        <v>9</v>
      </c>
      <c r="AR1913" s="0" t="n">
        <v>64</v>
      </c>
      <c r="AS1913" s="0" t="n">
        <v>32</v>
      </c>
      <c r="AU1913" s="0" t="n">
        <f aca="false">COUNTA($BA$1344:$EH$1344)</f>
        <v>1</v>
      </c>
      <c r="AV1913" s="0" t="n">
        <f aca="false">COUNTIF($BA$1344:$EH$1344,"D")</f>
        <v>0</v>
      </c>
      <c r="AW1913" s="0" t="n">
        <f aca="false">COUNTIF($BA$1344:$EH$1344,"R")</f>
        <v>0</v>
      </c>
      <c r="AX1913" s="0" t="n">
        <f aca="false">IF(BN1913="D",1,0)+IF(BO1913="D",1,0)+IF(BT1913="D",1,0)+IF(BU1913="D",1,0)+IF(BW1913="D",1,0)+IF(CC1913="D",1,0)+IF(CD1913="D",1,0)+IF(CE1913="D",1,0)+IF(CF1913="D",1,0)+IF(CL1913="D",1,0)+IF(CM1913="D",1,0)+IF(CQ1913="D",1,0)+IF(CR1913="D",1,0)+IF(CS1913="D",1,0)+IF(CW1913="D",1,0)+IF(CX1913="D",1,0)+IF(DD1913="D",1,0)+IF(DE1913="D",1,0)+IF(DJ1913="D",1,0)+IF(DK1913="D",1,0)+IF(DO1913="D",1,0)+IF(DP1913="D",1,0)+IF(DQ1913="D",1,0)+IF(DW1913="D",1,0)+IF(DZ1913="D",1,0)+IF(EH1913="D",1,0)</f>
        <v>0</v>
      </c>
      <c r="AY1913" s="0" t="n">
        <f aca="false">COUNTIF(DU1913:EH1913, "&lt;&gt;")</f>
        <v>0</v>
      </c>
      <c r="AZ1913" s="0" t="n">
        <f aca="false">IF(EH1913&lt;&gt;"",1,0)</f>
        <v>0</v>
      </c>
      <c r="BB1913" s="0" t="s">
        <v>152</v>
      </c>
    </row>
    <row r="1914" customFormat="false" ht="13.8" hidden="true" customHeight="false" outlineLevel="0" collapsed="false">
      <c r="A1914" s="0" t="s">
        <v>8508</v>
      </c>
      <c r="B1914" s="0" t="n">
        <v>78</v>
      </c>
      <c r="C1914" s="0" t="n">
        <v>347439</v>
      </c>
      <c r="D1914" s="0" t="s">
        <v>224</v>
      </c>
      <c r="E1914" s="0" t="s">
        <v>943</v>
      </c>
      <c r="F1914" s="0" t="str">
        <f aca="false">CONCATENATE(D1914," ",LEFT(H1914,4),"T=",AU1914,"D=",AV1914,"R=",AW1914,"M=",AX1914,"L=",AY1914,"B=",AZ1914)</f>
        <v>THOMAS T=7D=0R=0M=0L=0B=0</v>
      </c>
      <c r="G1914" s="0" t="s">
        <v>171</v>
      </c>
      <c r="I1914" s="0" t="s">
        <v>8509</v>
      </c>
      <c r="J1914" s="0" t="s">
        <v>7207</v>
      </c>
      <c r="K1914" s="0" t="s">
        <v>160</v>
      </c>
      <c r="M1914" s="0" t="s">
        <v>8507</v>
      </c>
      <c r="N1914" s="0" t="str">
        <f aca="false">RIGHT(M1914,LEN(M1914)-FIND(" ",M1914))</f>
        <v>OLIVE AVE NE</v>
      </c>
      <c r="P1914" s="0" t="s">
        <v>145</v>
      </c>
      <c r="Q1914" s="0" t="s">
        <v>146</v>
      </c>
      <c r="R1914" s="0" t="n">
        <v>44483</v>
      </c>
      <c r="AD1914" s="0" t="s">
        <v>147</v>
      </c>
      <c r="AE1914" s="0" t="s">
        <v>148</v>
      </c>
      <c r="AF1914" s="0" t="s">
        <v>149</v>
      </c>
      <c r="AH1914" s="0" t="n">
        <v>14</v>
      </c>
      <c r="AI1914" s="0" t="n">
        <v>11</v>
      </c>
      <c r="AN1914" s="0" t="s">
        <v>145</v>
      </c>
      <c r="AO1914" s="0" t="s">
        <v>654</v>
      </c>
      <c r="AP1914" s="0" t="s">
        <v>655</v>
      </c>
      <c r="AQ1914" s="0" t="n">
        <v>9</v>
      </c>
      <c r="AR1914" s="0" t="n">
        <v>64</v>
      </c>
      <c r="AS1914" s="0" t="n">
        <v>32</v>
      </c>
      <c r="AU1914" s="0" t="n">
        <f aca="false">COUNTA($BA$1486:$EH$1486)</f>
        <v>7</v>
      </c>
      <c r="AV1914" s="0" t="n">
        <f aca="false">COUNTIF($BA$1486:$EH$1486,"D")</f>
        <v>0</v>
      </c>
      <c r="AW1914" s="0" t="n">
        <f aca="false">COUNTIF($BA$1486:$EH$1486,"R")</f>
        <v>0</v>
      </c>
      <c r="AX1914" s="0" t="n">
        <f aca="false">IF(BN1914="D",1,0)+IF(BO1914="D",1,0)+IF(BT1914="D",1,0)+IF(BU1914="D",1,0)+IF(BW1914="D",1,0)+IF(CC1914="D",1,0)+IF(CD1914="D",1,0)+IF(CE1914="D",1,0)+IF(CF1914="D",1,0)+IF(CL1914="D",1,0)+IF(CM1914="D",1,0)+IF(CQ1914="D",1,0)+IF(CR1914="D",1,0)+IF(CS1914="D",1,0)+IF(CW1914="D",1,0)+IF(CX1914="D",1,0)+IF(DD1914="D",1,0)+IF(DE1914="D",1,0)+IF(DJ1914="D",1,0)+IF(DK1914="D",1,0)+IF(DO1914="D",1,0)+IF(DP1914="D",1,0)+IF(DQ1914="D",1,0)+IF(DW1914="D",1,0)+IF(DZ1914="D",1,0)+IF(EH1914="D",1,0)</f>
        <v>0</v>
      </c>
      <c r="AY1914" s="0" t="n">
        <f aca="false">COUNTIF(DU1914:EH1914, "&lt;&gt;")</f>
        <v>0</v>
      </c>
      <c r="AZ1914" s="0" t="n">
        <f aca="false">IF(EH1914&lt;&gt;"",1,0)</f>
        <v>0</v>
      </c>
      <c r="BB1914" s="0" t="s">
        <v>152</v>
      </c>
      <c r="BY1914" s="0" t="s">
        <v>175</v>
      </c>
      <c r="CA1914" s="0" t="s">
        <v>153</v>
      </c>
      <c r="CG1914" s="0" t="s">
        <v>153</v>
      </c>
      <c r="CP1914" s="0" t="s">
        <v>153</v>
      </c>
    </row>
    <row r="1915" customFormat="false" ht="13.8" hidden="true" customHeight="false" outlineLevel="0" collapsed="false">
      <c r="A1915" s="0" t="s">
        <v>8510</v>
      </c>
      <c r="B1915" s="0" t="n">
        <v>78</v>
      </c>
      <c r="C1915" s="0" t="n">
        <v>366928</v>
      </c>
      <c r="D1915" s="0" t="s">
        <v>7046</v>
      </c>
      <c r="E1915" s="0" t="s">
        <v>237</v>
      </c>
      <c r="F1915" s="0" t="str">
        <f aca="false">CONCATENATE(D1915," ",LEFT(H1915,4),"T=",AU1915,"D=",AV1915,"R=",AW1915,"M=",AX1915,"L=",AY1915,"B=",AZ1915)</f>
        <v>KNIGHT T=22D=3R=0M=0L=0B=0</v>
      </c>
      <c r="G1915" s="0" t="s">
        <v>164</v>
      </c>
      <c r="I1915" s="0" t="s">
        <v>8511</v>
      </c>
      <c r="J1915" s="0" t="s">
        <v>386</v>
      </c>
      <c r="K1915" s="0" t="s">
        <v>160</v>
      </c>
      <c r="M1915" s="0" t="s">
        <v>8507</v>
      </c>
      <c r="N1915" s="0" t="str">
        <f aca="false">RIGHT(M1915,LEN(M1915)-FIND(" ",M1915))</f>
        <v>OLIVE AVE NE</v>
      </c>
      <c r="P1915" s="0" t="s">
        <v>145</v>
      </c>
      <c r="Q1915" s="0" t="s">
        <v>146</v>
      </c>
      <c r="R1915" s="0" t="n">
        <v>44483</v>
      </c>
      <c r="AD1915" s="0" t="s">
        <v>147</v>
      </c>
      <c r="AE1915" s="0" t="s">
        <v>148</v>
      </c>
      <c r="AF1915" s="0" t="s">
        <v>149</v>
      </c>
      <c r="AH1915" s="0" t="n">
        <v>14</v>
      </c>
      <c r="AI1915" s="0" t="n">
        <v>11</v>
      </c>
      <c r="AN1915" s="0" t="s">
        <v>145</v>
      </c>
      <c r="AO1915" s="0" t="s">
        <v>654</v>
      </c>
      <c r="AP1915" s="0" t="s">
        <v>655</v>
      </c>
      <c r="AQ1915" s="0" t="n">
        <v>9</v>
      </c>
      <c r="AR1915" s="0" t="n">
        <v>64</v>
      </c>
      <c r="AS1915" s="0" t="n">
        <v>32</v>
      </c>
      <c r="AU1915" s="0" t="n">
        <f aca="false">COUNTA($BA$1647:$EH$1647)</f>
        <v>22</v>
      </c>
      <c r="AV1915" s="0" t="n">
        <f aca="false">COUNTIF($BA$1647:$EH$1647,"D")</f>
        <v>3</v>
      </c>
      <c r="AW1915" s="0" t="n">
        <f aca="false">COUNTIF($BA$1647:$EH$1647,"R")</f>
        <v>0</v>
      </c>
      <c r="AX1915" s="0" t="n">
        <f aca="false">IF(BN1915="D",1,0)+IF(BO1915="D",1,0)+IF(BT1915="D",1,0)+IF(BU1915="D",1,0)+IF(BW1915="D",1,0)+IF(CC1915="D",1,0)+IF(CD1915="D",1,0)+IF(CE1915="D",1,0)+IF(CF1915="D",1,0)+IF(CL1915="D",1,0)+IF(CM1915="D",1,0)+IF(CQ1915="D",1,0)+IF(CR1915="D",1,0)+IF(CS1915="D",1,0)+IF(CW1915="D",1,0)+IF(CX1915="D",1,0)+IF(DD1915="D",1,0)+IF(DE1915="D",1,0)+IF(DJ1915="D",1,0)+IF(DK1915="D",1,0)+IF(DO1915="D",1,0)+IF(DP1915="D",1,0)+IF(DQ1915="D",1,0)+IF(DW1915="D",1,0)+IF(DZ1915="D",1,0)+IF(EH1915="D",1,0)</f>
        <v>0</v>
      </c>
      <c r="AY1915" s="0" t="n">
        <f aca="false">COUNTIF(DU1915:EH1915, "&lt;&gt;")</f>
        <v>0</v>
      </c>
      <c r="AZ1915" s="0" t="n">
        <f aca="false">IF(EH1915&lt;&gt;"",1,0)</f>
        <v>0</v>
      </c>
      <c r="BB1915" s="0" t="s">
        <v>152</v>
      </c>
      <c r="CA1915" s="0" t="s">
        <v>153</v>
      </c>
      <c r="CP1915" s="0" t="s">
        <v>153</v>
      </c>
      <c r="DC1915" s="0" t="s">
        <v>153</v>
      </c>
      <c r="DN1915" s="0" t="s">
        <v>153</v>
      </c>
    </row>
    <row r="1916" customFormat="false" ht="13.8" hidden="true" customHeight="false" outlineLevel="0" collapsed="false">
      <c r="A1916" s="0" t="s">
        <v>8512</v>
      </c>
      <c r="B1916" s="0" t="n">
        <v>78</v>
      </c>
      <c r="C1916" s="0" t="n">
        <v>489565</v>
      </c>
      <c r="D1916" s="0" t="s">
        <v>8513</v>
      </c>
      <c r="E1916" s="0" t="s">
        <v>224</v>
      </c>
      <c r="F1916" s="0" t="str">
        <f aca="false">CONCATENATE(D1916," ",LEFT(H1916,4),"T=",AU1916,"D=",AV1916,"R=",AW1916,"M=",AX1916,"L=",AY1916,"B=",AZ1916)</f>
        <v>RYDER T=16D=2R=0M=0L=1B=0</v>
      </c>
      <c r="G1916" s="0" t="s">
        <v>594</v>
      </c>
      <c r="I1916" s="0" t="s">
        <v>8514</v>
      </c>
      <c r="J1916" s="0" t="s">
        <v>3831</v>
      </c>
      <c r="K1916" s="0" t="s">
        <v>160</v>
      </c>
      <c r="M1916" s="0" t="s">
        <v>8515</v>
      </c>
      <c r="N1916" s="0" t="str">
        <f aca="false">RIGHT(M1916,LEN(M1916)-FIND(" ",M1916))</f>
        <v>OLIVE AVE NE</v>
      </c>
      <c r="P1916" s="0" t="s">
        <v>145</v>
      </c>
      <c r="Q1916" s="0" t="s">
        <v>146</v>
      </c>
      <c r="R1916" s="0" t="n">
        <v>44483</v>
      </c>
      <c r="AD1916" s="0" t="s">
        <v>147</v>
      </c>
      <c r="AE1916" s="0" t="s">
        <v>148</v>
      </c>
      <c r="AF1916" s="0" t="s">
        <v>149</v>
      </c>
      <c r="AH1916" s="0" t="n">
        <v>14</v>
      </c>
      <c r="AI1916" s="0" t="n">
        <v>11</v>
      </c>
      <c r="AN1916" s="0" t="s">
        <v>145</v>
      </c>
      <c r="AO1916" s="0" t="s">
        <v>654</v>
      </c>
      <c r="AP1916" s="0" t="s">
        <v>655</v>
      </c>
      <c r="AQ1916" s="0" t="n">
        <v>9</v>
      </c>
      <c r="AR1916" s="0" t="n">
        <v>64</v>
      </c>
      <c r="AS1916" s="0" t="n">
        <v>32</v>
      </c>
      <c r="AU1916" s="0" t="n">
        <f aca="false">COUNTA($BA$1217:$EH$1217)</f>
        <v>16</v>
      </c>
      <c r="AV1916" s="0" t="n">
        <f aca="false">COUNTIF($BA$1217:$EH$1217,"D")</f>
        <v>2</v>
      </c>
      <c r="AW1916" s="0" t="n">
        <f aca="false">COUNTIF($BA$1217:$EH$1217,"R")</f>
        <v>0</v>
      </c>
      <c r="AX1916" s="0" t="n">
        <f aca="false">IF(BN1916="D",1,0)+IF(BO1916="D",1,0)+IF(BT1916="D",1,0)+IF(BU1916="D",1,0)+IF(BW1916="D",1,0)+IF(CC1916="D",1,0)+IF(CD1916="D",1,0)+IF(CE1916="D",1,0)+IF(CF1916="D",1,0)+IF(CL1916="D",1,0)+IF(CM1916="D",1,0)+IF(CQ1916="D",1,0)+IF(CR1916="D",1,0)+IF(CS1916="D",1,0)+IF(CW1916="D",1,0)+IF(CX1916="D",1,0)+IF(DD1916="D",1,0)+IF(DE1916="D",1,0)+IF(DJ1916="D",1,0)+IF(DK1916="D",1,0)+IF(DO1916="D",1,0)+IF(DP1916="D",1,0)+IF(DQ1916="D",1,0)+IF(DW1916="D",1,0)+IF(DZ1916="D",1,0)+IF(EH1916="D",1,0)</f>
        <v>0</v>
      </c>
      <c r="AY1916" s="0" t="n">
        <f aca="false">COUNTIF(DU1916:EH1916, "&lt;&gt;")</f>
        <v>1</v>
      </c>
      <c r="AZ1916" s="0" t="n">
        <f aca="false">IF(EH1916&lt;&gt;"",1,0)</f>
        <v>0</v>
      </c>
      <c r="BB1916" s="0" t="s">
        <v>152</v>
      </c>
      <c r="BF1916" s="0" t="s">
        <v>153</v>
      </c>
      <c r="BH1916" s="0" t="s">
        <v>153</v>
      </c>
      <c r="BL1916" s="0" t="s">
        <v>153</v>
      </c>
      <c r="CA1916" s="0" t="s">
        <v>153</v>
      </c>
      <c r="EF1916" s="0" t="s">
        <v>153</v>
      </c>
    </row>
    <row r="1917" customFormat="false" ht="13.8" hidden="true" customHeight="false" outlineLevel="0" collapsed="false">
      <c r="A1917" s="0" t="s">
        <v>8516</v>
      </c>
      <c r="B1917" s="0" t="n">
        <v>78</v>
      </c>
      <c r="C1917" s="0" t="n">
        <v>428128</v>
      </c>
      <c r="D1917" s="0" t="s">
        <v>468</v>
      </c>
      <c r="E1917" s="0" t="s">
        <v>4918</v>
      </c>
      <c r="F1917" s="0" t="str">
        <f aca="false">CONCATENATE(D1917," ",LEFT(H1917,4),"T=",AU1917,"D=",AV1917,"R=",AW1917,"M=",AX1917,"L=",AY1917,"B=",AZ1917)</f>
        <v>EVANS T=1D=0R=0M=0L=0B=0</v>
      </c>
      <c r="G1917" s="0" t="s">
        <v>175</v>
      </c>
      <c r="I1917" s="0" t="s">
        <v>8517</v>
      </c>
      <c r="J1917" s="0" t="s">
        <v>2159</v>
      </c>
      <c r="K1917" s="0" t="s">
        <v>160</v>
      </c>
      <c r="M1917" s="0" t="s">
        <v>8515</v>
      </c>
      <c r="N1917" s="0" t="str">
        <f aca="false">RIGHT(M1917,LEN(M1917)-FIND(" ",M1917))</f>
        <v>OLIVE AVE NE</v>
      </c>
      <c r="O1917" s="0" t="s">
        <v>868</v>
      </c>
      <c r="P1917" s="0" t="s">
        <v>145</v>
      </c>
      <c r="Q1917" s="0" t="s">
        <v>146</v>
      </c>
      <c r="R1917" s="0" t="n">
        <v>44483</v>
      </c>
      <c r="AD1917" s="0" t="s">
        <v>147</v>
      </c>
      <c r="AE1917" s="0" t="s">
        <v>148</v>
      </c>
      <c r="AF1917" s="0" t="s">
        <v>149</v>
      </c>
      <c r="AH1917" s="0" t="n">
        <v>14</v>
      </c>
      <c r="AI1917" s="0" t="n">
        <v>11</v>
      </c>
      <c r="AN1917" s="0" t="s">
        <v>145</v>
      </c>
      <c r="AO1917" s="0" t="s">
        <v>654</v>
      </c>
      <c r="AP1917" s="0" t="s">
        <v>655</v>
      </c>
      <c r="AQ1917" s="0" t="n">
        <v>9</v>
      </c>
      <c r="AR1917" s="0" t="n">
        <v>64</v>
      </c>
      <c r="AS1917" s="0" t="n">
        <v>32</v>
      </c>
      <c r="AU1917" s="0" t="n">
        <f aca="false">COUNTA($BA$1286:$EH$1286)</f>
        <v>1</v>
      </c>
      <c r="AV1917" s="0" t="n">
        <f aca="false">COUNTIF($BA$1286:$EH$1286,"D")</f>
        <v>0</v>
      </c>
      <c r="AW1917" s="0" t="n">
        <f aca="false">COUNTIF($BA$1286:$EH$1286,"R")</f>
        <v>0</v>
      </c>
      <c r="AX1917" s="0" t="n">
        <f aca="false">IF(BN1917="D",1,0)+IF(BO1917="D",1,0)+IF(BT1917="D",1,0)+IF(BU1917="D",1,0)+IF(BW1917="D",1,0)+IF(CC1917="D",1,0)+IF(CD1917="D",1,0)+IF(CE1917="D",1,0)+IF(CF1917="D",1,0)+IF(CL1917="D",1,0)+IF(CM1917="D",1,0)+IF(CQ1917="D",1,0)+IF(CR1917="D",1,0)+IF(CS1917="D",1,0)+IF(CW1917="D",1,0)+IF(CX1917="D",1,0)+IF(DD1917="D",1,0)+IF(DE1917="D",1,0)+IF(DJ1917="D",1,0)+IF(DK1917="D",1,0)+IF(DO1917="D",1,0)+IF(DP1917="D",1,0)+IF(DQ1917="D",1,0)+IF(DW1917="D",1,0)+IF(DZ1917="D",1,0)+IF(EH1917="D",1,0)</f>
        <v>0</v>
      </c>
      <c r="AY1917" s="0" t="n">
        <f aca="false">COUNTIF(DU1917:EH1917, "&lt;&gt;")</f>
        <v>0</v>
      </c>
      <c r="AZ1917" s="0" t="n">
        <f aca="false">IF(EH1917&lt;&gt;"",1,0)</f>
        <v>0</v>
      </c>
      <c r="BB1917" s="0" t="s">
        <v>152</v>
      </c>
      <c r="BD1917" s="0" t="s">
        <v>153</v>
      </c>
      <c r="BF1917" s="0" t="s">
        <v>153</v>
      </c>
      <c r="BH1917" s="0" t="s">
        <v>153</v>
      </c>
      <c r="BK1917" s="0" t="s">
        <v>175</v>
      </c>
      <c r="BL1917" s="0" t="s">
        <v>153</v>
      </c>
      <c r="BP1917" s="0" t="s">
        <v>153</v>
      </c>
      <c r="BS1917" s="0" t="s">
        <v>153</v>
      </c>
      <c r="BY1917" s="0" t="s">
        <v>175</v>
      </c>
      <c r="CA1917" s="0" t="s">
        <v>153</v>
      </c>
      <c r="CG1917" s="0" t="s">
        <v>153</v>
      </c>
      <c r="CH1917" s="0" t="s">
        <v>175</v>
      </c>
      <c r="CK1917" s="0" t="s">
        <v>153</v>
      </c>
      <c r="CL1917" s="0" t="s">
        <v>153</v>
      </c>
      <c r="CN1917" s="0" t="s">
        <v>153</v>
      </c>
      <c r="CP1917" s="0" t="s">
        <v>153</v>
      </c>
      <c r="CT1917" s="0" t="s">
        <v>153</v>
      </c>
      <c r="CV1917" s="0" t="s">
        <v>153</v>
      </c>
      <c r="CZ1917" s="0" t="s">
        <v>175</v>
      </c>
      <c r="DF1917" s="0" t="s">
        <v>153</v>
      </c>
      <c r="DN1917" s="0" t="s">
        <v>153</v>
      </c>
    </row>
    <row r="1918" customFormat="false" ht="13.8" hidden="true" customHeight="false" outlineLevel="0" collapsed="false">
      <c r="A1918" s="0" t="s">
        <v>8518</v>
      </c>
      <c r="B1918" s="0" t="n">
        <v>78</v>
      </c>
      <c r="C1918" s="0" t="n">
        <v>428123</v>
      </c>
      <c r="D1918" s="0" t="s">
        <v>468</v>
      </c>
      <c r="E1918" s="0" t="s">
        <v>435</v>
      </c>
      <c r="F1918" s="0" t="str">
        <f aca="false">CONCATENATE(D1918," ",LEFT(H1918,4),"T=",AU1918,"D=",AV1918,"R=",AW1918,"M=",AX1918,"L=",AY1918,"B=",AZ1918)</f>
        <v>EVANS T=1D=0R=0M=0L=0B=0</v>
      </c>
      <c r="G1918" s="0" t="s">
        <v>275</v>
      </c>
      <c r="I1918" s="0" t="s">
        <v>8519</v>
      </c>
      <c r="J1918" s="0" t="s">
        <v>8520</v>
      </c>
      <c r="K1918" s="0" t="s">
        <v>143</v>
      </c>
      <c r="M1918" s="0" t="s">
        <v>8515</v>
      </c>
      <c r="N1918" s="0" t="str">
        <f aca="false">RIGHT(M1918,LEN(M1918)-FIND(" ",M1918))</f>
        <v>OLIVE AVE NE</v>
      </c>
      <c r="P1918" s="0" t="s">
        <v>145</v>
      </c>
      <c r="Q1918" s="0" t="s">
        <v>146</v>
      </c>
      <c r="R1918" s="0" t="n">
        <v>44483</v>
      </c>
      <c r="AD1918" s="0" t="s">
        <v>147</v>
      </c>
      <c r="AE1918" s="0" t="s">
        <v>148</v>
      </c>
      <c r="AF1918" s="0" t="s">
        <v>149</v>
      </c>
      <c r="AH1918" s="0" t="n">
        <v>14</v>
      </c>
      <c r="AI1918" s="0" t="n">
        <v>11</v>
      </c>
      <c r="AN1918" s="0" t="s">
        <v>145</v>
      </c>
      <c r="AO1918" s="0" t="s">
        <v>654</v>
      </c>
      <c r="AP1918" s="0" t="s">
        <v>655</v>
      </c>
      <c r="AQ1918" s="0" t="n">
        <v>9</v>
      </c>
      <c r="AR1918" s="0" t="n">
        <v>64</v>
      </c>
      <c r="AS1918" s="0" t="n">
        <v>32</v>
      </c>
      <c r="AU1918" s="0" t="n">
        <f aca="false">COUNTA($BA$1452:$EH$1452)</f>
        <v>1</v>
      </c>
      <c r="AV1918" s="0" t="n">
        <f aca="false">COUNTIF($BA$1452:$EH$1452,"D")</f>
        <v>0</v>
      </c>
      <c r="AW1918" s="0" t="n">
        <f aca="false">COUNTIF($BA$1452:$EH$1452,"R")</f>
        <v>0</v>
      </c>
      <c r="AX1918" s="0" t="n">
        <f aca="false">IF(BN1918="D",1,0)+IF(BO1918="D",1,0)+IF(BT1918="D",1,0)+IF(BU1918="D",1,0)+IF(BW1918="D",1,0)+IF(CC1918="D",1,0)+IF(CD1918="D",1,0)+IF(CE1918="D",1,0)+IF(CF1918="D",1,0)+IF(CL1918="D",1,0)+IF(CM1918="D",1,0)+IF(CQ1918="D",1,0)+IF(CR1918="D",1,0)+IF(CS1918="D",1,0)+IF(CW1918="D",1,0)+IF(CX1918="D",1,0)+IF(DD1918="D",1,0)+IF(DE1918="D",1,0)+IF(DJ1918="D",1,0)+IF(DK1918="D",1,0)+IF(DO1918="D",1,0)+IF(DP1918="D",1,0)+IF(DQ1918="D",1,0)+IF(DW1918="D",1,0)+IF(DZ1918="D",1,0)+IF(EH1918="D",1,0)</f>
        <v>0</v>
      </c>
      <c r="AY1918" s="0" t="n">
        <f aca="false">COUNTIF(DU1918:EH1918, "&lt;&gt;")</f>
        <v>0</v>
      </c>
      <c r="AZ1918" s="0" t="n">
        <f aca="false">IF(EH1918&lt;&gt;"",1,0)</f>
        <v>0</v>
      </c>
      <c r="BB1918" s="0" t="s">
        <v>152</v>
      </c>
      <c r="CZ1918" s="0" t="s">
        <v>175</v>
      </c>
      <c r="DF1918" s="0" t="s">
        <v>153</v>
      </c>
      <c r="DN1918" s="0" t="s">
        <v>153</v>
      </c>
    </row>
    <row r="1919" customFormat="false" ht="13.8" hidden="true" customHeight="false" outlineLevel="0" collapsed="false">
      <c r="A1919" s="0" t="s">
        <v>8521</v>
      </c>
      <c r="B1919" s="0" t="n">
        <v>78</v>
      </c>
      <c r="C1919" s="0" t="n">
        <v>441631</v>
      </c>
      <c r="D1919" s="0" t="s">
        <v>468</v>
      </c>
      <c r="E1919" s="0" t="s">
        <v>2165</v>
      </c>
      <c r="F1919" s="0" t="str">
        <f aca="false">CONCATENATE(D1919," ",LEFT(H1919,4),"T=",AU1919,"D=",AV1919,"R=",AW1919,"M=",AX1919,"L=",AY1919,"B=",AZ1919)</f>
        <v>EVANS T=1D=0R=0M=0L=0B=0</v>
      </c>
      <c r="G1919" s="0" t="s">
        <v>209</v>
      </c>
      <c r="I1919" s="0" t="s">
        <v>8522</v>
      </c>
      <c r="J1919" s="0" t="s">
        <v>8523</v>
      </c>
      <c r="K1919" s="0" t="s">
        <v>143</v>
      </c>
      <c r="M1919" s="0" t="s">
        <v>8515</v>
      </c>
      <c r="N1919" s="0" t="str">
        <f aca="false">RIGHT(M1919,LEN(M1919)-FIND(" ",M1919))</f>
        <v>OLIVE AVE NE</v>
      </c>
      <c r="P1919" s="0" t="s">
        <v>145</v>
      </c>
      <c r="Q1919" s="0" t="s">
        <v>146</v>
      </c>
      <c r="R1919" s="0" t="n">
        <v>44483</v>
      </c>
      <c r="AD1919" s="0" t="s">
        <v>147</v>
      </c>
      <c r="AE1919" s="0" t="s">
        <v>148</v>
      </c>
      <c r="AF1919" s="0" t="s">
        <v>149</v>
      </c>
      <c r="AH1919" s="0" t="n">
        <v>14</v>
      </c>
      <c r="AI1919" s="0" t="n">
        <v>11</v>
      </c>
      <c r="AN1919" s="0" t="s">
        <v>145</v>
      </c>
      <c r="AO1919" s="0" t="s">
        <v>654</v>
      </c>
      <c r="AP1919" s="0" t="s">
        <v>655</v>
      </c>
      <c r="AQ1919" s="0" t="n">
        <v>9</v>
      </c>
      <c r="AR1919" s="0" t="n">
        <v>64</v>
      </c>
      <c r="AS1919" s="0" t="n">
        <v>32</v>
      </c>
      <c r="AU1919" s="0" t="n">
        <f aca="false">COUNTA($BA$1467:$EH$1467)</f>
        <v>1</v>
      </c>
      <c r="AV1919" s="0" t="n">
        <f aca="false">COUNTIF($BA$1467:$EH$1467,"D")</f>
        <v>0</v>
      </c>
      <c r="AW1919" s="0" t="n">
        <f aca="false">COUNTIF($BA$1467:$EH$1467,"R")</f>
        <v>0</v>
      </c>
      <c r="AX1919" s="0" t="n">
        <f aca="false">IF(BN1919="D",1,0)+IF(BO1919="D",1,0)+IF(BT1919="D",1,0)+IF(BU1919="D",1,0)+IF(BW1919="D",1,0)+IF(CC1919="D",1,0)+IF(CD1919="D",1,0)+IF(CE1919="D",1,0)+IF(CF1919="D",1,0)+IF(CL1919="D",1,0)+IF(CM1919="D",1,0)+IF(CQ1919="D",1,0)+IF(CR1919="D",1,0)+IF(CS1919="D",1,0)+IF(CW1919="D",1,0)+IF(CX1919="D",1,0)+IF(DD1919="D",1,0)+IF(DE1919="D",1,0)+IF(DJ1919="D",1,0)+IF(DK1919="D",1,0)+IF(DO1919="D",1,0)+IF(DP1919="D",1,0)+IF(DQ1919="D",1,0)+IF(DW1919="D",1,0)+IF(DZ1919="D",1,0)+IF(EH1919="D",1,0)</f>
        <v>0</v>
      </c>
      <c r="AY1919" s="0" t="n">
        <f aca="false">COUNTIF(DU1919:EH1919, "&lt;&gt;")</f>
        <v>0</v>
      </c>
      <c r="AZ1919" s="0" t="n">
        <f aca="false">IF(EH1919&lt;&gt;"",1,0)</f>
        <v>0</v>
      </c>
      <c r="BB1919" s="0" t="s">
        <v>152</v>
      </c>
      <c r="CY1919" s="0" t="s">
        <v>153</v>
      </c>
      <c r="CZ1919" s="0" t="s">
        <v>175</v>
      </c>
    </row>
    <row r="1920" customFormat="false" ht="13.8" hidden="true" customHeight="false" outlineLevel="0" collapsed="false">
      <c r="A1920" s="0" t="s">
        <v>8524</v>
      </c>
      <c r="B1920" s="0" t="n">
        <v>78</v>
      </c>
      <c r="C1920" s="0" t="n">
        <v>442565</v>
      </c>
      <c r="D1920" s="0" t="s">
        <v>8525</v>
      </c>
      <c r="E1920" s="0" t="s">
        <v>8526</v>
      </c>
      <c r="F1920" s="0" t="str">
        <f aca="false">CONCATENATE(D1920," ",LEFT(H1920,4),"T=",AU1920,"D=",AV1920,"R=",AW1920,"M=",AX1920,"L=",AY1920,"B=",AZ1920)</f>
        <v>MEADOWS T=30D=9R=1M=0L=0B=0</v>
      </c>
      <c r="G1920" s="0" t="s">
        <v>195</v>
      </c>
      <c r="I1920" s="0" t="s">
        <v>8527</v>
      </c>
      <c r="J1920" s="0" t="s">
        <v>5001</v>
      </c>
      <c r="K1920" s="0" t="s">
        <v>160</v>
      </c>
      <c r="M1920" s="0" t="s">
        <v>8528</v>
      </c>
      <c r="N1920" s="0" t="str">
        <f aca="false">RIGHT(M1920,LEN(M1920)-FIND(" ",M1920))</f>
        <v>OLIVE AVE NE</v>
      </c>
      <c r="P1920" s="0" t="s">
        <v>145</v>
      </c>
      <c r="Q1920" s="0" t="s">
        <v>146</v>
      </c>
      <c r="R1920" s="0" t="n">
        <v>44483</v>
      </c>
      <c r="AD1920" s="0" t="s">
        <v>147</v>
      </c>
      <c r="AE1920" s="0" t="s">
        <v>148</v>
      </c>
      <c r="AF1920" s="0" t="s">
        <v>149</v>
      </c>
      <c r="AH1920" s="0" t="n">
        <v>14</v>
      </c>
      <c r="AI1920" s="0" t="n">
        <v>11</v>
      </c>
      <c r="AN1920" s="0" t="s">
        <v>145</v>
      </c>
      <c r="AO1920" s="0" t="s">
        <v>654</v>
      </c>
      <c r="AP1920" s="0" t="s">
        <v>655</v>
      </c>
      <c r="AQ1920" s="0" t="n">
        <v>9</v>
      </c>
      <c r="AR1920" s="0" t="n">
        <v>64</v>
      </c>
      <c r="AS1920" s="0" t="n">
        <v>32</v>
      </c>
      <c r="AU1920" s="0" t="n">
        <f aca="false">COUNTA($BA$1153:$EH$1153)</f>
        <v>30</v>
      </c>
      <c r="AV1920" s="0" t="n">
        <f aca="false">COUNTIF($BA$1153:$EH$1153,"D")</f>
        <v>9</v>
      </c>
      <c r="AW1920" s="0" t="n">
        <f aca="false">COUNTIF($BA$1153:$EH$1153,"R")</f>
        <v>1</v>
      </c>
      <c r="AX1920" s="0" t="n">
        <f aca="false">IF(BN1920="D",1,0)+IF(BO1920="D",1,0)+IF(BT1920="D",1,0)+IF(BU1920="D",1,0)+IF(BW1920="D",1,0)+IF(CC1920="D",1,0)+IF(CD1920="D",1,0)+IF(CE1920="D",1,0)+IF(CF1920="D",1,0)+IF(CL1920="D",1,0)+IF(CM1920="D",1,0)+IF(CQ1920="D",1,0)+IF(CR1920="D",1,0)+IF(CS1920="D",1,0)+IF(CW1920="D",1,0)+IF(CX1920="D",1,0)+IF(DD1920="D",1,0)+IF(DE1920="D",1,0)+IF(DJ1920="D",1,0)+IF(DK1920="D",1,0)+IF(DO1920="D",1,0)+IF(DP1920="D",1,0)+IF(DQ1920="D",1,0)+IF(DW1920="D",1,0)+IF(DZ1920="D",1,0)+IF(EH1920="D",1,0)</f>
        <v>0</v>
      </c>
      <c r="AY1920" s="0" t="n">
        <f aca="false">COUNTIF(DU1920:EH1920, "&lt;&gt;")</f>
        <v>0</v>
      </c>
      <c r="AZ1920" s="0" t="n">
        <f aca="false">IF(EH1920&lt;&gt;"",1,0)</f>
        <v>0</v>
      </c>
      <c r="BB1920" s="0" t="s">
        <v>152</v>
      </c>
    </row>
    <row r="1921" customFormat="false" ht="13.8" hidden="true" customHeight="false" outlineLevel="0" collapsed="false">
      <c r="A1921" s="0" t="s">
        <v>8529</v>
      </c>
      <c r="B1921" s="0" t="n">
        <v>78</v>
      </c>
      <c r="C1921" s="0" t="n">
        <v>408056</v>
      </c>
      <c r="D1921" s="0" t="s">
        <v>1207</v>
      </c>
      <c r="E1921" s="0" t="s">
        <v>5836</v>
      </c>
      <c r="F1921" s="0" t="str">
        <f aca="false">CONCATENATE(D1921," ",LEFT(H1921,4),"T=",AU1921,"D=",AV1921,"R=",AW1921,"M=",AX1921,"L=",AY1921,"B=",AZ1921)</f>
        <v>MORRISON T=13D=1R=0M=0L=0B=0</v>
      </c>
      <c r="G1921" s="0" t="s">
        <v>195</v>
      </c>
      <c r="I1921" s="0" t="s">
        <v>8530</v>
      </c>
      <c r="J1921" s="0" t="s">
        <v>8531</v>
      </c>
      <c r="K1921" s="0" t="s">
        <v>160</v>
      </c>
      <c r="M1921" s="0" t="s">
        <v>8528</v>
      </c>
      <c r="N1921" s="0" t="str">
        <f aca="false">RIGHT(M1921,LEN(M1921)-FIND(" ",M1921))</f>
        <v>OLIVE AVE NE</v>
      </c>
      <c r="P1921" s="0" t="s">
        <v>145</v>
      </c>
      <c r="Q1921" s="0" t="s">
        <v>146</v>
      </c>
      <c r="R1921" s="0" t="n">
        <v>44483</v>
      </c>
      <c r="AD1921" s="0" t="s">
        <v>147</v>
      </c>
      <c r="AE1921" s="0" t="s">
        <v>148</v>
      </c>
      <c r="AF1921" s="0" t="s">
        <v>149</v>
      </c>
      <c r="AH1921" s="0" t="n">
        <v>14</v>
      </c>
      <c r="AI1921" s="0" t="n">
        <v>11</v>
      </c>
      <c r="AN1921" s="0" t="s">
        <v>145</v>
      </c>
      <c r="AO1921" s="0" t="s">
        <v>654</v>
      </c>
      <c r="AP1921" s="0" t="s">
        <v>655</v>
      </c>
      <c r="AQ1921" s="0" t="n">
        <v>9</v>
      </c>
      <c r="AR1921" s="0" t="n">
        <v>64</v>
      </c>
      <c r="AS1921" s="0" t="n">
        <v>32</v>
      </c>
      <c r="AU1921" s="0" t="n">
        <f aca="false">COUNTA($BA$1873:$EH$1873)</f>
        <v>13</v>
      </c>
      <c r="AV1921" s="0" t="n">
        <f aca="false">COUNTIF($BA$1873:$EH$1873,"D")</f>
        <v>1</v>
      </c>
      <c r="AW1921" s="0" t="n">
        <f aca="false">COUNTIF($BA$1873:$EH$1873,"R")</f>
        <v>0</v>
      </c>
      <c r="AX1921" s="0" t="n">
        <f aca="false">IF(BN1921="D",1,0)+IF(BO1921="D",1,0)+IF(BT1921="D",1,0)+IF(BU1921="D",1,0)+IF(BW1921="D",1,0)+IF(CC1921="D",1,0)+IF(CD1921="D",1,0)+IF(CE1921="D",1,0)+IF(CF1921="D",1,0)+IF(CL1921="D",1,0)+IF(CM1921="D",1,0)+IF(CQ1921="D",1,0)+IF(CR1921="D",1,0)+IF(CS1921="D",1,0)+IF(CW1921="D",1,0)+IF(CX1921="D",1,0)+IF(DD1921="D",1,0)+IF(DE1921="D",1,0)+IF(DJ1921="D",1,0)+IF(DK1921="D",1,0)+IF(DO1921="D",1,0)+IF(DP1921="D",1,0)+IF(DQ1921="D",1,0)+IF(DW1921="D",1,0)+IF(DZ1921="D",1,0)+IF(EH1921="D",1,0)</f>
        <v>0</v>
      </c>
      <c r="AY1921" s="0" t="n">
        <f aca="false">COUNTIF(DU1921:EH1921, "&lt;&gt;")</f>
        <v>0</v>
      </c>
      <c r="AZ1921" s="0" t="n">
        <f aca="false">IF(EH1921&lt;&gt;"",1,0)</f>
        <v>0</v>
      </c>
      <c r="BB1921" s="0" t="s">
        <v>152</v>
      </c>
    </row>
    <row r="1922" customFormat="false" ht="13.8" hidden="true" customHeight="false" outlineLevel="0" collapsed="false">
      <c r="A1922" s="0" t="s">
        <v>8532</v>
      </c>
      <c r="B1922" s="0" t="n">
        <v>78</v>
      </c>
      <c r="C1922" s="0" t="n">
        <v>492152</v>
      </c>
      <c r="D1922" s="0" t="s">
        <v>4078</v>
      </c>
      <c r="E1922" s="0" t="s">
        <v>215</v>
      </c>
      <c r="F1922" s="0" t="str">
        <f aca="false">CONCATENATE(D1922," ",LEFT(H1922,4),"T=",AU1922,"D=",AV1922,"R=",AW1922,"M=",AX1922,"L=",AY1922,"B=",AZ1922)</f>
        <v>RUSS T=9D=2R=0M=0L=0B=0</v>
      </c>
      <c r="G1922" s="0" t="s">
        <v>3167</v>
      </c>
      <c r="I1922" s="0" t="s">
        <v>8533</v>
      </c>
      <c r="J1922" s="0" t="s">
        <v>5013</v>
      </c>
      <c r="K1922" s="0" t="s">
        <v>160</v>
      </c>
      <c r="M1922" s="0" t="s">
        <v>8534</v>
      </c>
      <c r="N1922" s="0" t="str">
        <f aca="false">RIGHT(M1922,LEN(M1922)-FIND(" ",M1922))</f>
        <v>OLIVE AVE NE</v>
      </c>
      <c r="P1922" s="0" t="s">
        <v>145</v>
      </c>
      <c r="Q1922" s="0" t="s">
        <v>146</v>
      </c>
      <c r="R1922" s="0" t="n">
        <v>44483</v>
      </c>
      <c r="AD1922" s="0" t="s">
        <v>147</v>
      </c>
      <c r="AE1922" s="0" t="s">
        <v>148</v>
      </c>
      <c r="AF1922" s="0" t="s">
        <v>149</v>
      </c>
      <c r="AH1922" s="0" t="n">
        <v>14</v>
      </c>
      <c r="AI1922" s="0" t="n">
        <v>11</v>
      </c>
      <c r="AN1922" s="0" t="s">
        <v>145</v>
      </c>
      <c r="AO1922" s="0" t="s">
        <v>654</v>
      </c>
      <c r="AP1922" s="0" t="s">
        <v>655</v>
      </c>
      <c r="AQ1922" s="0" t="n">
        <v>9</v>
      </c>
      <c r="AR1922" s="0" t="n">
        <v>64</v>
      </c>
      <c r="AS1922" s="0" t="n">
        <v>32</v>
      </c>
      <c r="AU1922" s="0" t="n">
        <f aca="false">COUNTA($BA$1576:$EH$1576)</f>
        <v>9</v>
      </c>
      <c r="AV1922" s="0" t="n">
        <f aca="false">COUNTIF($BA$1576:$EH$1576,"D")</f>
        <v>2</v>
      </c>
      <c r="AW1922" s="0" t="n">
        <f aca="false">COUNTIF($BA$1576:$EH$1576,"R")</f>
        <v>0</v>
      </c>
      <c r="AX1922" s="0" t="n">
        <f aca="false">IF(BN1922="D",1,0)+IF(BO1922="D",1,0)+IF(BT1922="D",1,0)+IF(BU1922="D",1,0)+IF(BW1922="D",1,0)+IF(CC1922="D",1,0)+IF(CD1922="D",1,0)+IF(CE1922="D",1,0)+IF(CF1922="D",1,0)+IF(CL1922="D",1,0)+IF(CM1922="D",1,0)+IF(CQ1922="D",1,0)+IF(CR1922="D",1,0)+IF(CS1922="D",1,0)+IF(CW1922="D",1,0)+IF(CX1922="D",1,0)+IF(DD1922="D",1,0)+IF(DE1922="D",1,0)+IF(DJ1922="D",1,0)+IF(DK1922="D",1,0)+IF(DO1922="D",1,0)+IF(DP1922="D",1,0)+IF(DQ1922="D",1,0)+IF(DW1922="D",1,0)+IF(DZ1922="D",1,0)+IF(EH1922="D",1,0)</f>
        <v>0</v>
      </c>
      <c r="AY1922" s="0" t="n">
        <f aca="false">COUNTIF(DU1922:EH1922, "&lt;&gt;")</f>
        <v>0</v>
      </c>
      <c r="AZ1922" s="0" t="n">
        <f aca="false">IF(EH1922&lt;&gt;"",1,0)</f>
        <v>0</v>
      </c>
      <c r="BB1922" s="0" t="s">
        <v>152</v>
      </c>
      <c r="BC1922" s="0" t="s">
        <v>153</v>
      </c>
      <c r="BD1922" s="0" t="s">
        <v>153</v>
      </c>
      <c r="BE1922" s="0" t="s">
        <v>153</v>
      </c>
      <c r="BF1922" s="0" t="s">
        <v>153</v>
      </c>
      <c r="BG1922" s="0" t="s">
        <v>153</v>
      </c>
      <c r="BH1922" s="0" t="s">
        <v>153</v>
      </c>
      <c r="BI1922" s="0" t="s">
        <v>153</v>
      </c>
      <c r="BJ1922" s="0" t="s">
        <v>153</v>
      </c>
      <c r="BK1922" s="0" t="s">
        <v>153</v>
      </c>
      <c r="BL1922" s="0" t="s">
        <v>153</v>
      </c>
    </row>
    <row r="1923" customFormat="false" ht="13.8" hidden="false" customHeight="false" outlineLevel="0" collapsed="false">
      <c r="A1923" s="0" t="s">
        <v>8535</v>
      </c>
      <c r="B1923" s="0" t="n">
        <v>78</v>
      </c>
      <c r="C1923" s="0" t="n">
        <v>495999</v>
      </c>
      <c r="D1923" s="0" t="s">
        <v>1255</v>
      </c>
      <c r="E1923" s="0" t="s">
        <v>6477</v>
      </c>
      <c r="F1923" s="0" t="str">
        <f aca="false">CONCATENATE(D1923," ",LEFT(H1923,4),"T=",AU1923,"D=",AV1923,"R=",AW1923,"M=",AX1923,"L=",AY1923,"B=",AZ1923)</f>
        <v>CUNNINGHAM T=5D=0R=0M=0L=5B=0</v>
      </c>
      <c r="G1923" s="0" t="s">
        <v>8536</v>
      </c>
      <c r="I1923" s="0" t="s">
        <v>8537</v>
      </c>
      <c r="J1923" s="0" t="s">
        <v>8538</v>
      </c>
      <c r="K1923" s="0" t="s">
        <v>160</v>
      </c>
      <c r="M1923" s="0" t="s">
        <v>8539</v>
      </c>
      <c r="N1923" s="0" t="str">
        <f aca="false">RIGHT(M1923,LEN(M1923)-FIND(" ",M1923))</f>
        <v>OLIVE AVE NE</v>
      </c>
      <c r="P1923" s="0" t="s">
        <v>145</v>
      </c>
      <c r="Q1923" s="0" t="s">
        <v>146</v>
      </c>
      <c r="R1923" s="0" t="n">
        <v>44483</v>
      </c>
      <c r="AD1923" s="0" t="s">
        <v>147</v>
      </c>
      <c r="AE1923" s="0" t="s">
        <v>148</v>
      </c>
      <c r="AF1923" s="0" t="s">
        <v>149</v>
      </c>
      <c r="AH1923" s="0" t="n">
        <v>14</v>
      </c>
      <c r="AI1923" s="0" t="n">
        <v>11</v>
      </c>
      <c r="AN1923" s="0" t="s">
        <v>145</v>
      </c>
      <c r="AO1923" s="0" t="s">
        <v>654</v>
      </c>
      <c r="AP1923" s="0" t="s">
        <v>655</v>
      </c>
      <c r="AQ1923" s="0" t="n">
        <v>9</v>
      </c>
      <c r="AR1923" s="0" t="n">
        <v>64</v>
      </c>
      <c r="AS1923" s="0" t="n">
        <v>32</v>
      </c>
      <c r="AU1923" s="0" t="n">
        <f aca="false">COUNTA($BA$1359:$EH$1359)</f>
        <v>5</v>
      </c>
      <c r="AV1923" s="0" t="n">
        <f aca="false">COUNTIF($BA$1359:$EH$1359,"D")</f>
        <v>0</v>
      </c>
      <c r="AW1923" s="0" t="n">
        <f aca="false">COUNTIF($BA$1359:$EH$1359,"R")</f>
        <v>0</v>
      </c>
      <c r="AX1923" s="0" t="n">
        <f aca="false">IF(BN1923="D",1,0)+IF(BO1923="D",1,0)+IF(BT1923="D",1,0)+IF(BU1923="D",1,0)+IF(BW1923="D",1,0)+IF(CC1923="D",1,0)+IF(CD1923="D",1,0)+IF(CE1923="D",1,0)+IF(CF1923="D",1,0)+IF(CL1923="D",1,0)+IF(CM1923="D",1,0)+IF(CQ1923="D",1,0)+IF(CR1923="D",1,0)+IF(CS1923="D",1,0)+IF(CW1923="D",1,0)+IF(CX1923="D",1,0)+IF(DD1923="D",1,0)+IF(DE1923="D",1,0)+IF(DJ1923="D",1,0)+IF(DK1923="D",1,0)+IF(DO1923="D",1,0)+IF(DP1923="D",1,0)+IF(DQ1923="D",1,0)+IF(DW1923="D",1,0)+IF(DZ1923="D",1,0)+IF(EH1923="D",1,0)</f>
        <v>0</v>
      </c>
      <c r="AY1923" s="0" t="n">
        <f aca="false">COUNTIF(DU1923:EH1923, "&lt;&gt;")</f>
        <v>5</v>
      </c>
      <c r="AZ1923" s="0" t="n">
        <f aca="false">IF(EH1923&lt;&gt;"",1,0)</f>
        <v>0</v>
      </c>
      <c r="BB1923" s="0" t="s">
        <v>152</v>
      </c>
      <c r="BJ1923" s="0" t="s">
        <v>153</v>
      </c>
      <c r="BK1923" s="0" t="s">
        <v>175</v>
      </c>
      <c r="BL1923" s="0" t="s">
        <v>153</v>
      </c>
      <c r="BP1923" s="0" t="s">
        <v>153</v>
      </c>
      <c r="BS1923" s="0" t="s">
        <v>153</v>
      </c>
      <c r="BY1923" s="0" t="s">
        <v>175</v>
      </c>
      <c r="CA1923" s="0" t="s">
        <v>153</v>
      </c>
      <c r="CK1923" s="0" t="s">
        <v>153</v>
      </c>
      <c r="CN1923" s="0" t="s">
        <v>153</v>
      </c>
      <c r="CP1923" s="0" t="s">
        <v>153</v>
      </c>
      <c r="DC1923" s="0" t="s">
        <v>153</v>
      </c>
      <c r="DF1923" s="0" t="s">
        <v>153</v>
      </c>
      <c r="DG1923" s="0" t="s">
        <v>175</v>
      </c>
      <c r="DI1923" s="0" t="s">
        <v>153</v>
      </c>
      <c r="DL1923" s="0" t="s">
        <v>153</v>
      </c>
      <c r="DM1923" s="0" t="s">
        <v>175</v>
      </c>
      <c r="DN1923" s="0" t="s">
        <v>153</v>
      </c>
      <c r="DO1923" s="0" t="s">
        <v>153</v>
      </c>
      <c r="DR1923" s="0" t="s">
        <v>153</v>
      </c>
      <c r="DS1923" s="0" t="s">
        <v>175</v>
      </c>
      <c r="DU1923" s="0" t="s">
        <v>153</v>
      </c>
      <c r="DX1923" s="0" t="s">
        <v>153</v>
      </c>
      <c r="EA1923" s="0" t="s">
        <v>153</v>
      </c>
      <c r="ED1923" s="0" t="s">
        <v>175</v>
      </c>
      <c r="EF1923" s="0" t="s">
        <v>153</v>
      </c>
    </row>
    <row r="1924" customFormat="false" ht="13.8" hidden="true" customHeight="false" outlineLevel="0" collapsed="false">
      <c r="A1924" s="0" t="s">
        <v>8540</v>
      </c>
      <c r="B1924" s="0" t="n">
        <v>78</v>
      </c>
      <c r="C1924" s="0" t="n">
        <v>472214</v>
      </c>
      <c r="D1924" s="0" t="s">
        <v>770</v>
      </c>
      <c r="E1924" s="0" t="s">
        <v>379</v>
      </c>
      <c r="F1924" s="0" t="str">
        <f aca="false">CONCATENATE(D1924," ",LEFT(H1924,4),"T=",AU1924,"D=",AV1924,"R=",AW1924,"M=",AX1924,"L=",AY1924,"B=",AZ1924)</f>
        <v>ALLEN T=3D=0R=0M=0L=0B=0</v>
      </c>
      <c r="G1924" s="0" t="s">
        <v>8541</v>
      </c>
      <c r="I1924" s="0" t="s">
        <v>8542</v>
      </c>
      <c r="J1924" s="0" t="s">
        <v>8543</v>
      </c>
      <c r="K1924" s="0" t="s">
        <v>143</v>
      </c>
      <c r="M1924" s="0" t="s">
        <v>8539</v>
      </c>
      <c r="N1924" s="0" t="str">
        <f aca="false">RIGHT(M1924,LEN(M1924)-FIND(" ",M1924))</f>
        <v>OLIVE AVE NE</v>
      </c>
      <c r="P1924" s="0" t="s">
        <v>145</v>
      </c>
      <c r="Q1924" s="0" t="s">
        <v>146</v>
      </c>
      <c r="R1924" s="0" t="n">
        <v>44483</v>
      </c>
      <c r="AD1924" s="0" t="s">
        <v>147</v>
      </c>
      <c r="AE1924" s="0" t="s">
        <v>148</v>
      </c>
      <c r="AF1924" s="0" t="s">
        <v>149</v>
      </c>
      <c r="AH1924" s="0" t="n">
        <v>14</v>
      </c>
      <c r="AI1924" s="0" t="n">
        <v>11</v>
      </c>
      <c r="AN1924" s="0" t="s">
        <v>145</v>
      </c>
      <c r="AO1924" s="0" t="s">
        <v>654</v>
      </c>
      <c r="AP1924" s="0" t="s">
        <v>655</v>
      </c>
      <c r="AQ1924" s="0" t="n">
        <v>9</v>
      </c>
      <c r="AR1924" s="0" t="n">
        <v>64</v>
      </c>
      <c r="AS1924" s="0" t="n">
        <v>32</v>
      </c>
      <c r="AU1924" s="0" t="n">
        <f aca="false">COUNTA($BA$1643:$EH$1643)</f>
        <v>3</v>
      </c>
      <c r="AV1924" s="0" t="n">
        <f aca="false">COUNTIF($BA$1643:$EH$1643,"D")</f>
        <v>0</v>
      </c>
      <c r="AW1924" s="0" t="n">
        <f aca="false">COUNTIF($BA$1643:$EH$1643,"R")</f>
        <v>0</v>
      </c>
      <c r="AX1924" s="0" t="n">
        <f aca="false">IF(BN1924="D",1,0)+IF(BO1924="D",1,0)+IF(BT1924="D",1,0)+IF(BU1924="D",1,0)+IF(BW1924="D",1,0)+IF(CC1924="D",1,0)+IF(CD1924="D",1,0)+IF(CE1924="D",1,0)+IF(CF1924="D",1,0)+IF(CL1924="D",1,0)+IF(CM1924="D",1,0)+IF(CQ1924="D",1,0)+IF(CR1924="D",1,0)+IF(CS1924="D",1,0)+IF(CW1924="D",1,0)+IF(CX1924="D",1,0)+IF(DD1924="D",1,0)+IF(DE1924="D",1,0)+IF(DJ1924="D",1,0)+IF(DK1924="D",1,0)+IF(DO1924="D",1,0)+IF(DP1924="D",1,0)+IF(DQ1924="D",1,0)+IF(DW1924="D",1,0)+IF(DZ1924="D",1,0)+IF(EH1924="D",1,0)</f>
        <v>0</v>
      </c>
      <c r="AY1924" s="0" t="n">
        <f aca="false">COUNTIF(DU1924:EH1924, "&lt;&gt;")</f>
        <v>0</v>
      </c>
      <c r="AZ1924" s="0" t="n">
        <f aca="false">IF(EH1924&lt;&gt;"",1,0)</f>
        <v>0</v>
      </c>
      <c r="BB1924" s="0" t="s">
        <v>152</v>
      </c>
    </row>
    <row r="1925" customFormat="false" ht="13.8" hidden="true" customHeight="false" outlineLevel="0" collapsed="false">
      <c r="A1925" s="0" t="s">
        <v>8544</v>
      </c>
      <c r="B1925" s="0" t="n">
        <v>78</v>
      </c>
      <c r="C1925" s="0" t="n">
        <v>302150</v>
      </c>
      <c r="D1925" s="0" t="s">
        <v>8545</v>
      </c>
      <c r="E1925" s="0" t="s">
        <v>1519</v>
      </c>
      <c r="F1925" s="0" t="str">
        <f aca="false">CONCATENATE(D1925," ",LEFT(H1925,4),"T=",AU1925,"D=",AV1925,"R=",AW1925,"M=",AX1925,"L=",AY1925,"B=",AZ1925)</f>
        <v>LACOUNT T=20D=2R=0M=0L=0B=0</v>
      </c>
      <c r="G1925" s="0" t="s">
        <v>770</v>
      </c>
      <c r="I1925" s="0" t="s">
        <v>8546</v>
      </c>
      <c r="J1925" s="0" t="s">
        <v>8547</v>
      </c>
      <c r="K1925" s="0" t="s">
        <v>160</v>
      </c>
      <c r="M1925" s="0" t="s">
        <v>8548</v>
      </c>
      <c r="N1925" s="0" t="str">
        <f aca="false">RIGHT(M1925,LEN(M1925)-FIND(" ",M1925))</f>
        <v>OLIVE AVE NE</v>
      </c>
      <c r="P1925" s="0" t="s">
        <v>145</v>
      </c>
      <c r="Q1925" s="0" t="s">
        <v>146</v>
      </c>
      <c r="R1925" s="0" t="n">
        <v>44483</v>
      </c>
      <c r="AD1925" s="0" t="s">
        <v>147</v>
      </c>
      <c r="AE1925" s="0" t="s">
        <v>148</v>
      </c>
      <c r="AF1925" s="0" t="s">
        <v>149</v>
      </c>
      <c r="AH1925" s="0" t="n">
        <v>14</v>
      </c>
      <c r="AI1925" s="0" t="n">
        <v>11</v>
      </c>
      <c r="AN1925" s="0" t="s">
        <v>145</v>
      </c>
      <c r="AO1925" s="0" t="s">
        <v>654</v>
      </c>
      <c r="AP1925" s="0" t="s">
        <v>655</v>
      </c>
      <c r="AQ1925" s="0" t="n">
        <v>9</v>
      </c>
      <c r="AR1925" s="0" t="n">
        <v>64</v>
      </c>
      <c r="AS1925" s="0" t="n">
        <v>32</v>
      </c>
      <c r="AU1925" s="0" t="n">
        <f aca="false">COUNTA($BA$1163:$EH$1163)</f>
        <v>20</v>
      </c>
      <c r="AV1925" s="0" t="n">
        <f aca="false">COUNTIF($BA$1163:$EH$1163,"D")</f>
        <v>2</v>
      </c>
      <c r="AW1925" s="0" t="n">
        <f aca="false">COUNTIF($BA$1163:$EH$1163,"R")</f>
        <v>0</v>
      </c>
      <c r="AX1925" s="0" t="n">
        <f aca="false">IF(BN1925="D",1,0)+IF(BO1925="D",1,0)+IF(BT1925="D",1,0)+IF(BU1925="D",1,0)+IF(BW1925="D",1,0)+IF(CC1925="D",1,0)+IF(CD1925="D",1,0)+IF(CE1925="D",1,0)+IF(CF1925="D",1,0)+IF(CL1925="D",1,0)+IF(CM1925="D",1,0)+IF(CQ1925="D",1,0)+IF(CR1925="D",1,0)+IF(CS1925="D",1,0)+IF(CW1925="D",1,0)+IF(CX1925="D",1,0)+IF(DD1925="D",1,0)+IF(DE1925="D",1,0)+IF(DJ1925="D",1,0)+IF(DK1925="D",1,0)+IF(DO1925="D",1,0)+IF(DP1925="D",1,0)+IF(DQ1925="D",1,0)+IF(DW1925="D",1,0)+IF(DZ1925="D",1,0)+IF(EH1925="D",1,0)</f>
        <v>0</v>
      </c>
      <c r="AY1925" s="0" t="n">
        <f aca="false">COUNTIF(DU1925:EH1925, "&lt;&gt;")</f>
        <v>0</v>
      </c>
      <c r="AZ1925" s="0" t="n">
        <f aca="false">IF(EH1925&lt;&gt;"",1,0)</f>
        <v>0</v>
      </c>
      <c r="BB1925" s="0" t="s">
        <v>152</v>
      </c>
      <c r="DN1925" s="0" t="s">
        <v>153</v>
      </c>
    </row>
    <row r="1926" customFormat="false" ht="13.8" hidden="true" customHeight="false" outlineLevel="0" collapsed="false">
      <c r="A1926" s="0" t="s">
        <v>8549</v>
      </c>
      <c r="B1926" s="0" t="n">
        <v>78</v>
      </c>
      <c r="C1926" s="0" t="n">
        <v>372664</v>
      </c>
      <c r="D1926" s="0" t="s">
        <v>2855</v>
      </c>
      <c r="E1926" s="0" t="s">
        <v>4049</v>
      </c>
      <c r="F1926" s="0" t="str">
        <f aca="false">CONCATENATE(D1926," ",LEFT(H1926,4),"T=",AU1926,"D=",AV1926,"R=",AW1926,"M=",AX1926,"L=",AY1926,"B=",AZ1926)</f>
        <v>STREETER T=3D=1R=0M=0L=0B=0</v>
      </c>
      <c r="G1926" s="0" t="s">
        <v>522</v>
      </c>
      <c r="I1926" s="0" t="s">
        <v>8550</v>
      </c>
      <c r="J1926" s="0" t="s">
        <v>2230</v>
      </c>
      <c r="K1926" s="0" t="s">
        <v>160</v>
      </c>
      <c r="M1926" s="0" t="s">
        <v>8551</v>
      </c>
      <c r="N1926" s="0" t="str">
        <f aca="false">RIGHT(M1926,LEN(M1926)-FIND(" ",M1926))</f>
        <v>OLIVE AVE NE</v>
      </c>
      <c r="P1926" s="0" t="s">
        <v>145</v>
      </c>
      <c r="Q1926" s="0" t="s">
        <v>146</v>
      </c>
      <c r="R1926" s="0" t="n">
        <v>44483</v>
      </c>
      <c r="AD1926" s="0" t="s">
        <v>147</v>
      </c>
      <c r="AE1926" s="0" t="s">
        <v>148</v>
      </c>
      <c r="AF1926" s="0" t="s">
        <v>149</v>
      </c>
      <c r="AH1926" s="0" t="n">
        <v>14</v>
      </c>
      <c r="AI1926" s="0" t="n">
        <v>11</v>
      </c>
      <c r="AN1926" s="0" t="s">
        <v>145</v>
      </c>
      <c r="AO1926" s="0" t="s">
        <v>654</v>
      </c>
      <c r="AP1926" s="0" t="s">
        <v>655</v>
      </c>
      <c r="AQ1926" s="0" t="n">
        <v>9</v>
      </c>
      <c r="AR1926" s="0" t="n">
        <v>64</v>
      </c>
      <c r="AS1926" s="0" t="n">
        <v>32</v>
      </c>
      <c r="AU1926" s="0" t="n">
        <f aca="false">COUNTA($BA$1351:$EH$1351)</f>
        <v>3</v>
      </c>
      <c r="AV1926" s="0" t="n">
        <f aca="false">COUNTIF($BA$1351:$EH$1351,"D")</f>
        <v>1</v>
      </c>
      <c r="AW1926" s="0" t="n">
        <f aca="false">COUNTIF($BA$1351:$EH$1351,"R")</f>
        <v>0</v>
      </c>
      <c r="AX1926" s="0" t="n">
        <f aca="false">IF(BN1926="D",1,0)+IF(BO1926="D",1,0)+IF(BT1926="D",1,0)+IF(BU1926="D",1,0)+IF(BW1926="D",1,0)+IF(CC1926="D",1,0)+IF(CD1926="D",1,0)+IF(CE1926="D",1,0)+IF(CF1926="D",1,0)+IF(CL1926="D",1,0)+IF(CM1926="D",1,0)+IF(CQ1926="D",1,0)+IF(CR1926="D",1,0)+IF(CS1926="D",1,0)+IF(CW1926="D",1,0)+IF(CX1926="D",1,0)+IF(DD1926="D",1,0)+IF(DE1926="D",1,0)+IF(DJ1926="D",1,0)+IF(DK1926="D",1,0)+IF(DO1926="D",1,0)+IF(DP1926="D",1,0)+IF(DQ1926="D",1,0)+IF(DW1926="D",1,0)+IF(DZ1926="D",1,0)+IF(EH1926="D",1,0)</f>
        <v>0</v>
      </c>
      <c r="AY1926" s="0" t="n">
        <f aca="false">COUNTIF(DU1926:EH1926, "&lt;&gt;")</f>
        <v>0</v>
      </c>
      <c r="AZ1926" s="0" t="n">
        <f aca="false">IF(EH1926&lt;&gt;"",1,0)</f>
        <v>0</v>
      </c>
      <c r="BB1926" s="0" t="s">
        <v>152</v>
      </c>
      <c r="CP1926" s="0" t="s">
        <v>153</v>
      </c>
    </row>
    <row r="1927" customFormat="false" ht="13.8" hidden="true" customHeight="false" outlineLevel="0" collapsed="false">
      <c r="A1927" s="0" t="s">
        <v>8552</v>
      </c>
      <c r="B1927" s="0" t="n">
        <v>78</v>
      </c>
      <c r="C1927" s="0" t="n">
        <v>255222</v>
      </c>
      <c r="D1927" s="0" t="s">
        <v>8553</v>
      </c>
      <c r="E1927" s="0" t="s">
        <v>8554</v>
      </c>
      <c r="F1927" s="0" t="str">
        <f aca="false">CONCATENATE(D1927," ",LEFT(H1927,4),"T=",AU1927,"D=",AV1927,"R=",AW1927,"M=",AX1927,"L=",AY1927,"B=",AZ1927)</f>
        <v>BOSAK T=32D=9R=0M=0L=0B=0</v>
      </c>
      <c r="G1927" s="0" t="s">
        <v>190</v>
      </c>
      <c r="I1927" s="0" t="s">
        <v>8555</v>
      </c>
      <c r="J1927" s="0" t="s">
        <v>1038</v>
      </c>
      <c r="K1927" s="0" t="s">
        <v>143</v>
      </c>
      <c r="M1927" s="0" t="s">
        <v>8551</v>
      </c>
      <c r="N1927" s="0" t="str">
        <f aca="false">RIGHT(M1927,LEN(M1927)-FIND(" ",M1927))</f>
        <v>OLIVE AVE NE</v>
      </c>
      <c r="P1927" s="0" t="s">
        <v>145</v>
      </c>
      <c r="Q1927" s="0" t="s">
        <v>146</v>
      </c>
      <c r="R1927" s="0" t="n">
        <v>44483</v>
      </c>
      <c r="AD1927" s="0" t="s">
        <v>147</v>
      </c>
      <c r="AE1927" s="0" t="s">
        <v>148</v>
      </c>
      <c r="AF1927" s="0" t="s">
        <v>149</v>
      </c>
      <c r="AH1927" s="0" t="n">
        <v>14</v>
      </c>
      <c r="AI1927" s="0" t="n">
        <v>11</v>
      </c>
      <c r="AN1927" s="0" t="s">
        <v>145</v>
      </c>
      <c r="AO1927" s="0" t="s">
        <v>654</v>
      </c>
      <c r="AP1927" s="0" t="s">
        <v>655</v>
      </c>
      <c r="AQ1927" s="0" t="n">
        <v>9</v>
      </c>
      <c r="AR1927" s="0" t="n">
        <v>64</v>
      </c>
      <c r="AS1927" s="0" t="n">
        <v>32</v>
      </c>
      <c r="AU1927" s="0" t="n">
        <f aca="false">COUNTA($BA$1398:$EH$1398)</f>
        <v>32</v>
      </c>
      <c r="AV1927" s="0" t="n">
        <f aca="false">COUNTIF($BA$1398:$EH$1398,"D")</f>
        <v>9</v>
      </c>
      <c r="AW1927" s="0" t="n">
        <f aca="false">COUNTIF($BA$1398:$EH$1398,"R")</f>
        <v>0</v>
      </c>
      <c r="AX1927" s="0" t="n">
        <f aca="false">IF(BN1927="D",1,0)+IF(BO1927="D",1,0)+IF(BT1927="D",1,0)+IF(BU1927="D",1,0)+IF(BW1927="D",1,0)+IF(CC1927="D",1,0)+IF(CD1927="D",1,0)+IF(CE1927="D",1,0)+IF(CF1927="D",1,0)+IF(CL1927="D",1,0)+IF(CM1927="D",1,0)+IF(CQ1927="D",1,0)+IF(CR1927="D",1,0)+IF(CS1927="D",1,0)+IF(CW1927="D",1,0)+IF(CX1927="D",1,0)+IF(DD1927="D",1,0)+IF(DE1927="D",1,0)+IF(DJ1927="D",1,0)+IF(DK1927="D",1,0)+IF(DO1927="D",1,0)+IF(DP1927="D",1,0)+IF(DQ1927="D",1,0)+IF(DW1927="D",1,0)+IF(DZ1927="D",1,0)+IF(EH1927="D",1,0)</f>
        <v>0</v>
      </c>
      <c r="AY1927" s="0" t="n">
        <f aca="false">COUNTIF(DU1927:EH1927, "&lt;&gt;")</f>
        <v>0</v>
      </c>
      <c r="AZ1927" s="0" t="n">
        <f aca="false">IF(EH1927&lt;&gt;"",1,0)</f>
        <v>0</v>
      </c>
      <c r="BB1927" s="0" t="s">
        <v>152</v>
      </c>
      <c r="BC1927" s="0" t="s">
        <v>153</v>
      </c>
      <c r="BD1927" s="0" t="s">
        <v>153</v>
      </c>
      <c r="BF1927" s="0" t="s">
        <v>153</v>
      </c>
      <c r="BH1927" s="0" t="s">
        <v>153</v>
      </c>
      <c r="BK1927" s="0" t="s">
        <v>153</v>
      </c>
      <c r="BL1927" s="0" t="s">
        <v>153</v>
      </c>
      <c r="BR1927" s="0" t="s">
        <v>153</v>
      </c>
      <c r="BS1927" s="0" t="s">
        <v>153</v>
      </c>
      <c r="CA1927" s="0" t="s">
        <v>153</v>
      </c>
    </row>
    <row r="1928" customFormat="false" ht="13.8" hidden="true" customHeight="false" outlineLevel="0" collapsed="false">
      <c r="A1928" s="0" t="s">
        <v>8556</v>
      </c>
      <c r="B1928" s="0" t="n">
        <v>78</v>
      </c>
      <c r="C1928" s="0" t="n">
        <v>417041</v>
      </c>
      <c r="D1928" s="0" t="s">
        <v>3900</v>
      </c>
      <c r="E1928" s="0" t="s">
        <v>910</v>
      </c>
      <c r="F1928" s="0" t="str">
        <f aca="false">CONCATENATE(D1928," ",LEFT(H1928,4),"T=",AU1928,"D=",AV1928,"R=",AW1928,"M=",AX1928,"L=",AY1928,"B=",AZ1928)</f>
        <v>NEELY T=4D=0R=0M=0L=0B=0</v>
      </c>
      <c r="I1928" s="0" t="s">
        <v>8557</v>
      </c>
      <c r="J1928" s="0" t="s">
        <v>8558</v>
      </c>
      <c r="K1928" s="0" t="s">
        <v>143</v>
      </c>
      <c r="M1928" s="0" t="s">
        <v>8559</v>
      </c>
      <c r="N1928" s="0" t="str">
        <f aca="false">RIGHT(M1928,LEN(M1928)-FIND(" ",M1928))</f>
        <v>OLIVE AVE NE</v>
      </c>
      <c r="P1928" s="0" t="s">
        <v>145</v>
      </c>
      <c r="Q1928" s="0" t="s">
        <v>146</v>
      </c>
      <c r="R1928" s="0" t="n">
        <v>44483</v>
      </c>
      <c r="AD1928" s="0" t="s">
        <v>147</v>
      </c>
      <c r="AE1928" s="0" t="s">
        <v>148</v>
      </c>
      <c r="AF1928" s="0" t="s">
        <v>149</v>
      </c>
      <c r="AH1928" s="0" t="n">
        <v>14</v>
      </c>
      <c r="AI1928" s="0" t="n">
        <v>11</v>
      </c>
      <c r="AN1928" s="0" t="s">
        <v>145</v>
      </c>
      <c r="AO1928" s="0" t="s">
        <v>654</v>
      </c>
      <c r="AP1928" s="0" t="s">
        <v>655</v>
      </c>
      <c r="AQ1928" s="0" t="n">
        <v>9</v>
      </c>
      <c r="AR1928" s="0" t="n">
        <v>64</v>
      </c>
      <c r="AS1928" s="0" t="n">
        <v>32</v>
      </c>
      <c r="AU1928" s="0" t="n">
        <f aca="false">COUNTA($BA$1457:$EH$1457)</f>
        <v>4</v>
      </c>
      <c r="AV1928" s="0" t="n">
        <f aca="false">COUNTIF($BA$1457:$EH$1457,"D")</f>
        <v>0</v>
      </c>
      <c r="AW1928" s="0" t="n">
        <f aca="false">COUNTIF($BA$1457:$EH$1457,"R")</f>
        <v>0</v>
      </c>
      <c r="AX1928" s="0" t="n">
        <f aca="false">IF(BN1928="D",1,0)+IF(BO1928="D",1,0)+IF(BT1928="D",1,0)+IF(BU1928="D",1,0)+IF(BW1928="D",1,0)+IF(CC1928="D",1,0)+IF(CD1928="D",1,0)+IF(CE1928="D",1,0)+IF(CF1928="D",1,0)+IF(CL1928="D",1,0)+IF(CM1928="D",1,0)+IF(CQ1928="D",1,0)+IF(CR1928="D",1,0)+IF(CS1928="D",1,0)+IF(CW1928="D",1,0)+IF(CX1928="D",1,0)+IF(DD1928="D",1,0)+IF(DE1928="D",1,0)+IF(DJ1928="D",1,0)+IF(DK1928="D",1,0)+IF(DO1928="D",1,0)+IF(DP1928="D",1,0)+IF(DQ1928="D",1,0)+IF(DW1928="D",1,0)+IF(DZ1928="D",1,0)+IF(EH1928="D",1,0)</f>
        <v>0</v>
      </c>
      <c r="AY1928" s="0" t="n">
        <f aca="false">COUNTIF(DU1928:EH1928, "&lt;&gt;")</f>
        <v>0</v>
      </c>
      <c r="AZ1928" s="0" t="n">
        <f aca="false">IF(EH1928&lt;&gt;"",1,0)</f>
        <v>0</v>
      </c>
      <c r="BB1928" s="0" t="s">
        <v>152</v>
      </c>
      <c r="DC1928" s="0" t="s">
        <v>153</v>
      </c>
    </row>
    <row r="1929" customFormat="false" ht="13.8" hidden="false" customHeight="false" outlineLevel="0" collapsed="false">
      <c r="A1929" s="0" t="s">
        <v>8560</v>
      </c>
      <c r="B1929" s="0" t="n">
        <v>78</v>
      </c>
      <c r="C1929" s="0" t="n">
        <v>439678</v>
      </c>
      <c r="D1929" s="0" t="s">
        <v>8561</v>
      </c>
      <c r="E1929" s="0" t="s">
        <v>8562</v>
      </c>
      <c r="F1929" s="0" t="str">
        <f aca="false">CONCATENATE(D1929," ",LEFT(H1929,4),"T=",AU1929,"D=",AV1929,"R=",AW1929,"M=",AX1929,"L=",AY1929,"B=",AZ1929)</f>
        <v>HAMPTON T=4D=0R=0M=0L=2B=0</v>
      </c>
      <c r="G1929" s="0" t="s">
        <v>8563</v>
      </c>
      <c r="I1929" s="0" t="s">
        <v>8564</v>
      </c>
      <c r="J1929" s="0" t="s">
        <v>8565</v>
      </c>
      <c r="K1929" s="0" t="s">
        <v>160</v>
      </c>
      <c r="M1929" s="0" t="s">
        <v>8566</v>
      </c>
      <c r="N1929" s="0" t="str">
        <f aca="false">RIGHT(M1929,LEN(M1929)-FIND(" ",M1929))</f>
        <v>OLIVE AVE NE</v>
      </c>
      <c r="P1929" s="0" t="s">
        <v>145</v>
      </c>
      <c r="Q1929" s="0" t="s">
        <v>146</v>
      </c>
      <c r="R1929" s="0" t="n">
        <v>44483</v>
      </c>
      <c r="AD1929" s="0" t="s">
        <v>147</v>
      </c>
      <c r="AE1929" s="0" t="s">
        <v>148</v>
      </c>
      <c r="AF1929" s="0" t="s">
        <v>149</v>
      </c>
      <c r="AH1929" s="0" t="n">
        <v>14</v>
      </c>
      <c r="AI1929" s="0" t="n">
        <v>11</v>
      </c>
      <c r="AN1929" s="0" t="s">
        <v>145</v>
      </c>
      <c r="AO1929" s="0" t="s">
        <v>654</v>
      </c>
      <c r="AP1929" s="0" t="s">
        <v>655</v>
      </c>
      <c r="AQ1929" s="0" t="n">
        <v>9</v>
      </c>
      <c r="AR1929" s="0" t="n">
        <v>64</v>
      </c>
      <c r="AS1929" s="0" t="n">
        <v>32</v>
      </c>
      <c r="AU1929" s="0" t="n">
        <f aca="false">COUNTA($BA$1190:$EH$1190)</f>
        <v>4</v>
      </c>
      <c r="AV1929" s="0" t="n">
        <f aca="false">COUNTIF($BA$1190:$EH$1190,"D")</f>
        <v>0</v>
      </c>
      <c r="AW1929" s="0" t="n">
        <f aca="false">COUNTIF($BA$1190:$EH$1190,"R")</f>
        <v>0</v>
      </c>
      <c r="AX1929" s="0" t="n">
        <f aca="false">IF(BN1929="D",1,0)+IF(BO1929="D",1,0)+IF(BT1929="D",1,0)+IF(BU1929="D",1,0)+IF(BW1929="D",1,0)+IF(CC1929="D",1,0)+IF(CD1929="D",1,0)+IF(CE1929="D",1,0)+IF(CF1929="D",1,0)+IF(CL1929="D",1,0)+IF(CM1929="D",1,0)+IF(CQ1929="D",1,0)+IF(CR1929="D",1,0)+IF(CS1929="D",1,0)+IF(CW1929="D",1,0)+IF(CX1929="D",1,0)+IF(DD1929="D",1,0)+IF(DE1929="D",1,0)+IF(DJ1929="D",1,0)+IF(DK1929="D",1,0)+IF(DO1929="D",1,0)+IF(DP1929="D",1,0)+IF(DQ1929="D",1,0)+IF(DW1929="D",1,0)+IF(DZ1929="D",1,0)+IF(EH1929="D",1,0)</f>
        <v>0</v>
      </c>
      <c r="AY1929" s="0" t="n">
        <f aca="false">COUNTIF(DU1929:EH1929, "&lt;&gt;")</f>
        <v>2</v>
      </c>
      <c r="AZ1929" s="0" t="n">
        <f aca="false">IF(EH1929&lt;&gt;"",1,0)</f>
        <v>0</v>
      </c>
      <c r="BB1929" s="0" t="s">
        <v>152</v>
      </c>
      <c r="BD1929" s="0" t="s">
        <v>153</v>
      </c>
      <c r="BJ1929" s="0" t="s">
        <v>153</v>
      </c>
      <c r="BL1929" s="0" t="s">
        <v>153</v>
      </c>
      <c r="BS1929" s="0" t="s">
        <v>153</v>
      </c>
      <c r="BY1929" s="0" t="s">
        <v>175</v>
      </c>
      <c r="CA1929" s="0" t="s">
        <v>153</v>
      </c>
      <c r="CN1929" s="0" t="s">
        <v>153</v>
      </c>
      <c r="CP1929" s="0" t="s">
        <v>153</v>
      </c>
      <c r="CV1929" s="0" t="s">
        <v>153</v>
      </c>
      <c r="CW1929" s="0" t="s">
        <v>153</v>
      </c>
      <c r="CZ1929" s="0" t="s">
        <v>175</v>
      </c>
      <c r="DC1929" s="0" t="s">
        <v>153</v>
      </c>
      <c r="DN1929" s="0" t="s">
        <v>153</v>
      </c>
      <c r="DU1929" s="0" t="s">
        <v>153</v>
      </c>
      <c r="EF1929" s="0" t="s">
        <v>153</v>
      </c>
    </row>
    <row r="1930" customFormat="false" ht="13.8" hidden="false" customHeight="false" outlineLevel="0" collapsed="false">
      <c r="A1930" s="0" t="s">
        <v>8567</v>
      </c>
      <c r="B1930" s="0" t="n">
        <v>78</v>
      </c>
      <c r="C1930" s="0" t="n">
        <v>400672</v>
      </c>
      <c r="D1930" s="0" t="s">
        <v>2523</v>
      </c>
      <c r="E1930" s="0" t="s">
        <v>1366</v>
      </c>
      <c r="F1930" s="0" t="str">
        <f aca="false">CONCATENATE(D1930," ",LEFT(H1930,4),"T=",AU1930,"D=",AV1930,"R=",AW1930,"M=",AX1930,"L=",AY1930,"B=",AZ1930)</f>
        <v>HARRIS T=22D=4R=0M=0L=3B=0</v>
      </c>
      <c r="G1930" s="0" t="s">
        <v>195</v>
      </c>
      <c r="I1930" s="0" t="s">
        <v>8568</v>
      </c>
      <c r="J1930" s="0" t="s">
        <v>8569</v>
      </c>
      <c r="K1930" s="0" t="s">
        <v>160</v>
      </c>
      <c r="M1930" s="0" t="s">
        <v>8566</v>
      </c>
      <c r="N1930" s="0" t="str">
        <f aca="false">RIGHT(M1930,LEN(M1930)-FIND(" ",M1930))</f>
        <v>OLIVE AVE NE</v>
      </c>
      <c r="P1930" s="0" t="s">
        <v>145</v>
      </c>
      <c r="Q1930" s="0" t="s">
        <v>146</v>
      </c>
      <c r="R1930" s="0" t="n">
        <v>44483</v>
      </c>
      <c r="AD1930" s="0" t="s">
        <v>147</v>
      </c>
      <c r="AE1930" s="0" t="s">
        <v>148</v>
      </c>
      <c r="AF1930" s="0" t="s">
        <v>149</v>
      </c>
      <c r="AH1930" s="0" t="n">
        <v>14</v>
      </c>
      <c r="AI1930" s="0" t="n">
        <v>11</v>
      </c>
      <c r="AN1930" s="0" t="s">
        <v>145</v>
      </c>
      <c r="AO1930" s="0" t="s">
        <v>654</v>
      </c>
      <c r="AP1930" s="0" t="s">
        <v>655</v>
      </c>
      <c r="AQ1930" s="0" t="n">
        <v>9</v>
      </c>
      <c r="AR1930" s="0" t="n">
        <v>64</v>
      </c>
      <c r="AS1930" s="0" t="n">
        <v>32</v>
      </c>
      <c r="AU1930" s="0" t="n">
        <f aca="false">COUNTA($BA$1281:$EH$1281)</f>
        <v>22</v>
      </c>
      <c r="AV1930" s="0" t="n">
        <f aca="false">COUNTIF($BA$1281:$EH$1281,"D")</f>
        <v>4</v>
      </c>
      <c r="AW1930" s="0" t="n">
        <f aca="false">COUNTIF($BA$1281:$EH$1281,"R")</f>
        <v>0</v>
      </c>
      <c r="AX1930" s="0" t="n">
        <f aca="false">IF(BN1930="D",1,0)+IF(BO1930="D",1,0)+IF(BT1930="D",1,0)+IF(BU1930="D",1,0)+IF(BW1930="D",1,0)+IF(CC1930="D",1,0)+IF(CD1930="D",1,0)+IF(CE1930="D",1,0)+IF(CF1930="D",1,0)+IF(CL1930="D",1,0)+IF(CM1930="D",1,0)+IF(CQ1930="D",1,0)+IF(CR1930="D",1,0)+IF(CS1930="D",1,0)+IF(CW1930="D",1,0)+IF(CX1930="D",1,0)+IF(DD1930="D",1,0)+IF(DE1930="D",1,0)+IF(DJ1930="D",1,0)+IF(DK1930="D",1,0)+IF(DO1930="D",1,0)+IF(DP1930="D",1,0)+IF(DQ1930="D",1,0)+IF(DW1930="D",1,0)+IF(DZ1930="D",1,0)+IF(EH1930="D",1,0)</f>
        <v>0</v>
      </c>
      <c r="AY1930" s="0" t="n">
        <f aca="false">COUNTIF(DU1930:EH1930, "&lt;&gt;")</f>
        <v>3</v>
      </c>
      <c r="AZ1930" s="0" t="n">
        <f aca="false">IF(EH1930&lt;&gt;"",1,0)</f>
        <v>0</v>
      </c>
      <c r="BB1930" s="0" t="s">
        <v>152</v>
      </c>
      <c r="CA1930" s="0" t="s">
        <v>153</v>
      </c>
      <c r="CP1930" s="0" t="s">
        <v>153</v>
      </c>
      <c r="CY1930" s="0" t="s">
        <v>153</v>
      </c>
      <c r="CZ1930" s="0" t="s">
        <v>175</v>
      </c>
      <c r="DC1930" s="0" t="s">
        <v>153</v>
      </c>
      <c r="DI1930" s="0" t="s">
        <v>153</v>
      </c>
      <c r="DN1930" s="0" t="s">
        <v>153</v>
      </c>
      <c r="DU1930" s="0" t="s">
        <v>153</v>
      </c>
      <c r="EA1930" s="0" t="s">
        <v>153</v>
      </c>
      <c r="EF1930" s="0" t="s">
        <v>153</v>
      </c>
    </row>
    <row r="1931" customFormat="false" ht="13.8" hidden="true" customHeight="false" outlineLevel="0" collapsed="false">
      <c r="A1931" s="0" t="s">
        <v>8570</v>
      </c>
      <c r="B1931" s="0" t="n">
        <v>78</v>
      </c>
      <c r="C1931" s="0" t="n">
        <v>445617</v>
      </c>
      <c r="D1931" s="0" t="s">
        <v>1041</v>
      </c>
      <c r="E1931" s="0" t="s">
        <v>8571</v>
      </c>
      <c r="F1931" s="0" t="str">
        <f aca="false">CONCATENATE(D1931," ",LEFT(H1931,4),"T=",AU1931,"D=",AV1931,"R=",AW1931,"M=",AX1931,"L=",AY1931,"B=",AZ1931)</f>
        <v>JONES T=30D=0R=4M=0L=1B=0</v>
      </c>
      <c r="G1931" s="0" t="s">
        <v>8572</v>
      </c>
      <c r="I1931" s="0" t="s">
        <v>8573</v>
      </c>
      <c r="J1931" s="0" t="s">
        <v>404</v>
      </c>
      <c r="K1931" s="0" t="s">
        <v>160</v>
      </c>
      <c r="M1931" s="0" t="s">
        <v>8574</v>
      </c>
      <c r="N1931" s="0" t="str">
        <f aca="false">RIGHT(M1931,LEN(M1931)-FIND(" ",M1931))</f>
        <v>OLIVE AVE NE</v>
      </c>
      <c r="O1931" s="0" t="s">
        <v>522</v>
      </c>
      <c r="P1931" s="0" t="s">
        <v>145</v>
      </c>
      <c r="Q1931" s="0" t="s">
        <v>146</v>
      </c>
      <c r="R1931" s="0" t="n">
        <v>44483</v>
      </c>
      <c r="AD1931" s="0" t="s">
        <v>147</v>
      </c>
      <c r="AE1931" s="0" t="s">
        <v>148</v>
      </c>
      <c r="AF1931" s="0" t="s">
        <v>149</v>
      </c>
      <c r="AH1931" s="0" t="n">
        <v>14</v>
      </c>
      <c r="AI1931" s="0" t="n">
        <v>11</v>
      </c>
      <c r="AN1931" s="0" t="s">
        <v>145</v>
      </c>
      <c r="AO1931" s="0" t="s">
        <v>654</v>
      </c>
      <c r="AP1931" s="0" t="s">
        <v>655</v>
      </c>
      <c r="AQ1931" s="0" t="n">
        <v>9</v>
      </c>
      <c r="AR1931" s="0" t="n">
        <v>64</v>
      </c>
      <c r="AS1931" s="0" t="n">
        <v>32</v>
      </c>
      <c r="AU1931" s="0" t="n">
        <f aca="false">COUNTA($BA$1149:$EH$1149)</f>
        <v>30</v>
      </c>
      <c r="AV1931" s="0" t="n">
        <f aca="false">COUNTIF($BA$1149:$EH$1149,"D")</f>
        <v>0</v>
      </c>
      <c r="AW1931" s="0" t="n">
        <f aca="false">COUNTIF($BA$1149:$EH$1149,"R")</f>
        <v>4</v>
      </c>
      <c r="AX1931" s="0" t="n">
        <f aca="false">IF(BN1931="D",1,0)+IF(BO1931="D",1,0)+IF(BT1931="D",1,0)+IF(BU1931="D",1,0)+IF(BW1931="D",1,0)+IF(CC1931="D",1,0)+IF(CD1931="D",1,0)+IF(CE1931="D",1,0)+IF(CF1931="D",1,0)+IF(CL1931="D",1,0)+IF(CM1931="D",1,0)+IF(CQ1931="D",1,0)+IF(CR1931="D",1,0)+IF(CS1931="D",1,0)+IF(CW1931="D",1,0)+IF(CX1931="D",1,0)+IF(DD1931="D",1,0)+IF(DE1931="D",1,0)+IF(DJ1931="D",1,0)+IF(DK1931="D",1,0)+IF(DO1931="D",1,0)+IF(DP1931="D",1,0)+IF(DQ1931="D",1,0)+IF(DW1931="D",1,0)+IF(DZ1931="D",1,0)+IF(EH1931="D",1,0)</f>
        <v>0</v>
      </c>
      <c r="AY1931" s="0" t="n">
        <f aca="false">COUNTIF(DU1931:EH1931, "&lt;&gt;")</f>
        <v>1</v>
      </c>
      <c r="AZ1931" s="0" t="n">
        <f aca="false">IF(EH1931&lt;&gt;"",1,0)</f>
        <v>0</v>
      </c>
      <c r="BB1931" s="0" t="s">
        <v>152</v>
      </c>
      <c r="DN1931" s="0" t="s">
        <v>153</v>
      </c>
      <c r="EF1931" s="0" t="s">
        <v>153</v>
      </c>
    </row>
    <row r="1932" customFormat="false" ht="13.8" hidden="true" customHeight="false" outlineLevel="0" collapsed="false">
      <c r="A1932" s="0" t="s">
        <v>8575</v>
      </c>
      <c r="B1932" s="0" t="n">
        <v>78</v>
      </c>
      <c r="C1932" s="0" t="n">
        <v>350466</v>
      </c>
      <c r="D1932" s="0" t="s">
        <v>8576</v>
      </c>
      <c r="E1932" s="0" t="s">
        <v>2214</v>
      </c>
      <c r="F1932" s="0" t="str">
        <f aca="false">CONCATENATE(D1932," ",LEFT(H1932,4),"T=",AU1932,"D=",AV1932,"R=",AW1932,"M=",AX1932,"L=",AY1932,"B=",AZ1932)</f>
        <v>KARLSON T=6D=0R=0M=0L=0B=0</v>
      </c>
      <c r="G1932" s="0" t="s">
        <v>164</v>
      </c>
      <c r="I1932" s="0" t="s">
        <v>8577</v>
      </c>
      <c r="J1932" s="0" t="s">
        <v>465</v>
      </c>
      <c r="K1932" s="0" t="s">
        <v>143</v>
      </c>
      <c r="M1932" s="0" t="s">
        <v>8578</v>
      </c>
      <c r="N1932" s="0" t="str">
        <f aca="false">RIGHT(M1932,LEN(M1932)-FIND(" ",M1932))</f>
        <v>OLIVE AVE NE</v>
      </c>
      <c r="P1932" s="0" t="s">
        <v>145</v>
      </c>
      <c r="Q1932" s="0" t="s">
        <v>146</v>
      </c>
      <c r="R1932" s="0" t="n">
        <v>44483</v>
      </c>
      <c r="AD1932" s="0" t="s">
        <v>147</v>
      </c>
      <c r="AE1932" s="0" t="s">
        <v>148</v>
      </c>
      <c r="AF1932" s="0" t="s">
        <v>149</v>
      </c>
      <c r="AH1932" s="0" t="n">
        <v>14</v>
      </c>
      <c r="AI1932" s="0" t="n">
        <v>11</v>
      </c>
      <c r="AN1932" s="0" t="s">
        <v>145</v>
      </c>
      <c r="AO1932" s="0" t="s">
        <v>654</v>
      </c>
      <c r="AP1932" s="0" t="s">
        <v>655</v>
      </c>
      <c r="AQ1932" s="0" t="n">
        <v>9</v>
      </c>
      <c r="AR1932" s="0" t="n">
        <v>64</v>
      </c>
      <c r="AS1932" s="0" t="n">
        <v>32</v>
      </c>
      <c r="AU1932" s="0" t="n">
        <f aca="false">COUNTA($BA$1960:$EH$1960)</f>
        <v>6</v>
      </c>
      <c r="AV1932" s="0" t="n">
        <f aca="false">COUNTIF($BA$1960:$EH$1960,"D")</f>
        <v>0</v>
      </c>
      <c r="AW1932" s="0" t="n">
        <f aca="false">COUNTIF($BA$1960:$EH$1960,"R")</f>
        <v>0</v>
      </c>
      <c r="AX1932" s="0" t="n">
        <f aca="false">IF(BN1932="D",1,0)+IF(BO1932="D",1,0)+IF(BT1932="D",1,0)+IF(BU1932="D",1,0)+IF(BW1932="D",1,0)+IF(CC1932="D",1,0)+IF(CD1932="D",1,0)+IF(CE1932="D",1,0)+IF(CF1932="D",1,0)+IF(CL1932="D",1,0)+IF(CM1932="D",1,0)+IF(CQ1932="D",1,0)+IF(CR1932="D",1,0)+IF(CS1932="D",1,0)+IF(CW1932="D",1,0)+IF(CX1932="D",1,0)+IF(DD1932="D",1,0)+IF(DE1932="D",1,0)+IF(DJ1932="D",1,0)+IF(DK1932="D",1,0)+IF(DO1932="D",1,0)+IF(DP1932="D",1,0)+IF(DQ1932="D",1,0)+IF(DW1932="D",1,0)+IF(DZ1932="D",1,0)+IF(EH1932="D",1,0)</f>
        <v>0</v>
      </c>
      <c r="AY1932" s="0" t="n">
        <f aca="false">COUNTIF(DU1932:EH1932, "&lt;&gt;")</f>
        <v>0</v>
      </c>
      <c r="AZ1932" s="0" t="n">
        <f aca="false">IF(EH1932&lt;&gt;"",1,0)</f>
        <v>0</v>
      </c>
      <c r="BB1932" s="0" t="s">
        <v>152</v>
      </c>
    </row>
    <row r="1933" customFormat="false" ht="13.8" hidden="true" customHeight="false" outlineLevel="0" collapsed="false">
      <c r="A1933" s="0" t="s">
        <v>8579</v>
      </c>
      <c r="B1933" s="0" t="n">
        <v>78</v>
      </c>
      <c r="C1933" s="0" t="n">
        <v>312864</v>
      </c>
      <c r="D1933" s="0" t="s">
        <v>1041</v>
      </c>
      <c r="E1933" s="0" t="s">
        <v>2088</v>
      </c>
      <c r="F1933" s="0" t="str">
        <f aca="false">CONCATENATE(D1933," ",LEFT(H1933,4),"T=",AU1933,"D=",AV1933,"R=",AW1933,"M=",AX1933,"L=",AY1933,"B=",AZ1933)</f>
        <v>JONES T=2D=0R=0M=0L=1B=0</v>
      </c>
      <c r="G1933" s="0" t="s">
        <v>171</v>
      </c>
      <c r="I1933" s="0" t="s">
        <v>8580</v>
      </c>
      <c r="J1933" s="0" t="s">
        <v>8581</v>
      </c>
      <c r="K1933" s="0" t="s">
        <v>160</v>
      </c>
      <c r="M1933" s="0" t="s">
        <v>8582</v>
      </c>
      <c r="N1933" s="0" t="str">
        <f aca="false">RIGHT(M1933,LEN(M1933)-FIND(" ",M1933))</f>
        <v>OLIVE AVE NE</v>
      </c>
      <c r="P1933" s="0" t="s">
        <v>145</v>
      </c>
      <c r="Q1933" s="0" t="s">
        <v>146</v>
      </c>
      <c r="R1933" s="0" t="n">
        <v>44483</v>
      </c>
      <c r="AD1933" s="0" t="s">
        <v>147</v>
      </c>
      <c r="AE1933" s="0" t="s">
        <v>148</v>
      </c>
      <c r="AF1933" s="0" t="s">
        <v>149</v>
      </c>
      <c r="AH1933" s="0" t="n">
        <v>14</v>
      </c>
      <c r="AI1933" s="0" t="n">
        <v>11</v>
      </c>
      <c r="AN1933" s="0" t="s">
        <v>145</v>
      </c>
      <c r="AO1933" s="0" t="s">
        <v>654</v>
      </c>
      <c r="AP1933" s="0" t="s">
        <v>655</v>
      </c>
      <c r="AQ1933" s="0" t="n">
        <v>9</v>
      </c>
      <c r="AR1933" s="0" t="n">
        <v>64</v>
      </c>
      <c r="AS1933" s="0" t="n">
        <v>32</v>
      </c>
      <c r="AU1933" s="0" t="n">
        <f aca="false">COUNTA($BA$1539:$EH$1539)</f>
        <v>2</v>
      </c>
      <c r="AV1933" s="0" t="n">
        <f aca="false">COUNTIF($BA$1539:$EH$1539,"D")</f>
        <v>0</v>
      </c>
      <c r="AW1933" s="0" t="n">
        <f aca="false">COUNTIF($BA$1539:$EH$1539,"R")</f>
        <v>0</v>
      </c>
      <c r="AX1933" s="0" t="n">
        <f aca="false">IF(BN1933="D",1,0)+IF(BO1933="D",1,0)+IF(BT1933="D",1,0)+IF(BU1933="D",1,0)+IF(BW1933="D",1,0)+IF(CC1933="D",1,0)+IF(CD1933="D",1,0)+IF(CE1933="D",1,0)+IF(CF1933="D",1,0)+IF(CL1933="D",1,0)+IF(CM1933="D",1,0)+IF(CQ1933="D",1,0)+IF(CR1933="D",1,0)+IF(CS1933="D",1,0)+IF(CW1933="D",1,0)+IF(CX1933="D",1,0)+IF(DD1933="D",1,0)+IF(DE1933="D",1,0)+IF(DJ1933="D",1,0)+IF(DK1933="D",1,0)+IF(DO1933="D",1,0)+IF(DP1933="D",1,0)+IF(DQ1933="D",1,0)+IF(DW1933="D",1,0)+IF(DZ1933="D",1,0)+IF(EH1933="D",1,0)</f>
        <v>0</v>
      </c>
      <c r="AY1933" s="0" t="n">
        <f aca="false">COUNTIF(DU1933:EH1933, "&lt;&gt;")</f>
        <v>1</v>
      </c>
      <c r="AZ1933" s="0" t="n">
        <f aca="false">IF(EH1933&lt;&gt;"",1,0)</f>
        <v>0</v>
      </c>
      <c r="BB1933" s="0" t="s">
        <v>152</v>
      </c>
      <c r="BL1933" s="0" t="s">
        <v>153</v>
      </c>
      <c r="BS1933" s="0" t="s">
        <v>153</v>
      </c>
      <c r="BY1933" s="0" t="s">
        <v>175</v>
      </c>
      <c r="CA1933" s="0" t="s">
        <v>153</v>
      </c>
      <c r="CP1933" s="0" t="s">
        <v>153</v>
      </c>
      <c r="CZ1933" s="0" t="s">
        <v>175</v>
      </c>
      <c r="DC1933" s="0" t="s">
        <v>153</v>
      </c>
      <c r="DI1933" s="0" t="s">
        <v>153</v>
      </c>
      <c r="DN1933" s="0" t="s">
        <v>153</v>
      </c>
      <c r="EF1933" s="0" t="s">
        <v>153</v>
      </c>
    </row>
    <row r="1934" customFormat="false" ht="13.8" hidden="false" customHeight="false" outlineLevel="0" collapsed="false">
      <c r="A1934" s="0" t="s">
        <v>8583</v>
      </c>
      <c r="B1934" s="0" t="n">
        <v>78</v>
      </c>
      <c r="C1934" s="0" t="n">
        <v>339917</v>
      </c>
      <c r="D1934" s="0" t="s">
        <v>1041</v>
      </c>
      <c r="E1934" s="0" t="s">
        <v>8584</v>
      </c>
      <c r="F1934" s="0" t="str">
        <f aca="false">CONCATENATE(D1934," ",LEFT(H1934,4),"T=",AU1934,"D=",AV1934,"R=",AW1934,"M=",AX1934,"L=",AY1934,"B=",AZ1934)</f>
        <v>JONES IIIT=33D=5R=0M=3L=5B=0</v>
      </c>
      <c r="G1934" s="0" t="s">
        <v>1557</v>
      </c>
      <c r="H1934" s="0" t="s">
        <v>1932</v>
      </c>
      <c r="I1934" s="0" t="s">
        <v>8585</v>
      </c>
      <c r="J1934" s="0" t="s">
        <v>8586</v>
      </c>
      <c r="K1934" s="0" t="s">
        <v>160</v>
      </c>
      <c r="L1934" s="0" t="s">
        <v>175</v>
      </c>
      <c r="M1934" s="0" t="s">
        <v>8582</v>
      </c>
      <c r="N1934" s="0" t="str">
        <f aca="false">RIGHT(M1934,LEN(M1934)-FIND(" ",M1934))</f>
        <v>OLIVE AVE NE</v>
      </c>
      <c r="P1934" s="0" t="s">
        <v>145</v>
      </c>
      <c r="Q1934" s="0" t="s">
        <v>146</v>
      </c>
      <c r="R1934" s="0" t="n">
        <v>44483</v>
      </c>
      <c r="AD1934" s="0" t="s">
        <v>147</v>
      </c>
      <c r="AE1934" s="0" t="s">
        <v>148</v>
      </c>
      <c r="AF1934" s="0" t="s">
        <v>149</v>
      </c>
      <c r="AH1934" s="0" t="n">
        <v>14</v>
      </c>
      <c r="AI1934" s="0" t="n">
        <v>11</v>
      </c>
      <c r="AN1934" s="0" t="s">
        <v>145</v>
      </c>
      <c r="AO1934" s="0" t="s">
        <v>654</v>
      </c>
      <c r="AP1934" s="0" t="s">
        <v>655</v>
      </c>
      <c r="AQ1934" s="0" t="n">
        <v>9</v>
      </c>
      <c r="AR1934" s="0" t="n">
        <v>64</v>
      </c>
      <c r="AS1934" s="0" t="n">
        <v>32</v>
      </c>
      <c r="AU1934" s="0" t="n">
        <f aca="false">COUNTA($BA$1557:$EH$1557)</f>
        <v>33</v>
      </c>
      <c r="AV1934" s="0" t="n">
        <f aca="false">COUNTIF($BA$1557:$EH$1557,"D")</f>
        <v>5</v>
      </c>
      <c r="AW1934" s="0" t="n">
        <f aca="false">COUNTIF($BA$1557:$EH$1557,"R")</f>
        <v>0</v>
      </c>
      <c r="AX1934" s="0" t="n">
        <f aca="false">IF(BN1934="D",1,0)+IF(BO1934="D",1,0)+IF(BT1934="D",1,0)+IF(BU1934="D",1,0)+IF(BW1934="D",1,0)+IF(CC1934="D",1,0)+IF(CD1934="D",1,0)+IF(CE1934="D",1,0)+IF(CF1934="D",1,0)+IF(CL1934="D",1,0)+IF(CM1934="D",1,0)+IF(CQ1934="D",1,0)+IF(CR1934="D",1,0)+IF(CS1934="D",1,0)+IF(CW1934="D",1,0)+IF(CX1934="D",1,0)+IF(DD1934="D",1,0)+IF(DE1934="D",1,0)+IF(DJ1934="D",1,0)+IF(DK1934="D",1,0)+IF(DO1934="D",1,0)+IF(DP1934="D",1,0)+IF(DQ1934="D",1,0)+IF(DW1934="D",1,0)+IF(DZ1934="D",1,0)+IF(EH1934="D",1,0)</f>
        <v>3</v>
      </c>
      <c r="AY1934" s="0" t="n">
        <f aca="false">COUNTIF(DU1934:EH1934, "&lt;&gt;")</f>
        <v>5</v>
      </c>
      <c r="AZ1934" s="0" t="n">
        <f aca="false">IF(EH1934&lt;&gt;"",1,0)</f>
        <v>0</v>
      </c>
      <c r="BB1934" s="0" t="s">
        <v>152</v>
      </c>
      <c r="BS1934" s="0" t="s">
        <v>153</v>
      </c>
      <c r="BV1934" s="0" t="s">
        <v>153</v>
      </c>
      <c r="BY1934" s="0" t="s">
        <v>175</v>
      </c>
      <c r="CA1934" s="0" t="s">
        <v>153</v>
      </c>
      <c r="CC1934" s="0" t="s">
        <v>175</v>
      </c>
      <c r="CG1934" s="0" t="s">
        <v>153</v>
      </c>
      <c r="CH1934" s="0" t="s">
        <v>175</v>
      </c>
      <c r="CK1934" s="0" t="s">
        <v>153</v>
      </c>
      <c r="CN1934" s="0" t="s">
        <v>153</v>
      </c>
      <c r="CP1934" s="0" t="s">
        <v>153</v>
      </c>
      <c r="CQ1934" s="0" t="s">
        <v>175</v>
      </c>
      <c r="CT1934" s="0" t="s">
        <v>153</v>
      </c>
      <c r="CV1934" s="0" t="s">
        <v>153</v>
      </c>
      <c r="CW1934" s="0" t="s">
        <v>175</v>
      </c>
      <c r="CY1934" s="0" t="s">
        <v>153</v>
      </c>
      <c r="CZ1934" s="0" t="s">
        <v>175</v>
      </c>
      <c r="DC1934" s="0" t="s">
        <v>153</v>
      </c>
      <c r="DF1934" s="0" t="s">
        <v>153</v>
      </c>
      <c r="DG1934" s="0" t="s">
        <v>175</v>
      </c>
      <c r="DI1934" s="0" t="s">
        <v>153</v>
      </c>
      <c r="DN1934" s="0" t="s">
        <v>153</v>
      </c>
      <c r="DU1934" s="0" t="s">
        <v>153</v>
      </c>
      <c r="DX1934" s="0" t="s">
        <v>153</v>
      </c>
      <c r="EA1934" s="0" t="s">
        <v>153</v>
      </c>
      <c r="ED1934" s="0" t="s">
        <v>175</v>
      </c>
      <c r="EF1934" s="0" t="s">
        <v>153</v>
      </c>
    </row>
    <row r="1935" customFormat="false" ht="13.8" hidden="true" customHeight="false" outlineLevel="0" collapsed="false">
      <c r="A1935" s="0" t="s">
        <v>8587</v>
      </c>
      <c r="B1935" s="0" t="n">
        <v>78</v>
      </c>
      <c r="C1935" s="0" t="n">
        <v>431515</v>
      </c>
      <c r="D1935" s="0" t="s">
        <v>6451</v>
      </c>
      <c r="E1935" s="0" t="s">
        <v>558</v>
      </c>
      <c r="F1935" s="0" t="str">
        <f aca="false">CONCATENATE(D1935," ",LEFT(H1935,4),"T=",AU1935,"D=",AV1935,"R=",AW1935,"M=",AX1935,"L=",AY1935,"B=",AZ1935)</f>
        <v>STEWART T=2D=0R=0M=0L=0B=0</v>
      </c>
      <c r="G1935" s="0" t="s">
        <v>164</v>
      </c>
      <c r="I1935" s="0" t="s">
        <v>3950</v>
      </c>
      <c r="J1935" s="0" t="s">
        <v>2791</v>
      </c>
      <c r="K1935" s="0" t="s">
        <v>143</v>
      </c>
      <c r="M1935" s="0" t="s">
        <v>8588</v>
      </c>
      <c r="N1935" s="0" t="str">
        <f aca="false">RIGHT(M1935,LEN(M1935)-FIND(" ",M1935))</f>
        <v>OLIVE AVE NE</v>
      </c>
      <c r="P1935" s="0" t="s">
        <v>145</v>
      </c>
      <c r="Q1935" s="0" t="s">
        <v>146</v>
      </c>
      <c r="R1935" s="0" t="n">
        <v>44483</v>
      </c>
      <c r="AD1935" s="0" t="s">
        <v>147</v>
      </c>
      <c r="AE1935" s="0" t="s">
        <v>148</v>
      </c>
      <c r="AF1935" s="0" t="s">
        <v>149</v>
      </c>
      <c r="AH1935" s="0" t="n">
        <v>14</v>
      </c>
      <c r="AI1935" s="0" t="n">
        <v>11</v>
      </c>
      <c r="AN1935" s="0" t="s">
        <v>145</v>
      </c>
      <c r="AO1935" s="0" t="s">
        <v>654</v>
      </c>
      <c r="AP1935" s="0" t="s">
        <v>655</v>
      </c>
      <c r="AQ1935" s="0" t="n">
        <v>9</v>
      </c>
      <c r="AR1935" s="0" t="n">
        <v>64</v>
      </c>
      <c r="AS1935" s="0" t="n">
        <v>32</v>
      </c>
      <c r="AU1935" s="0" t="n">
        <f aca="false">COUNTA($BA$1816:$EH$1816)</f>
        <v>2</v>
      </c>
      <c r="AV1935" s="0" t="n">
        <f aca="false">COUNTIF($BA$1816:$EH$1816,"D")</f>
        <v>0</v>
      </c>
      <c r="AW1935" s="0" t="n">
        <f aca="false">COUNTIF($BA$1816:$EH$1816,"R")</f>
        <v>0</v>
      </c>
      <c r="AX1935" s="0" t="n">
        <f aca="false">IF(BN1935="D",1,0)+IF(BO1935="D",1,0)+IF(BT1935="D",1,0)+IF(BU1935="D",1,0)+IF(BW1935="D",1,0)+IF(CC1935="D",1,0)+IF(CD1935="D",1,0)+IF(CE1935="D",1,0)+IF(CF1935="D",1,0)+IF(CL1935="D",1,0)+IF(CM1935="D",1,0)+IF(CQ1935="D",1,0)+IF(CR1935="D",1,0)+IF(CS1935="D",1,0)+IF(CW1935="D",1,0)+IF(CX1935="D",1,0)+IF(DD1935="D",1,0)+IF(DE1935="D",1,0)+IF(DJ1935="D",1,0)+IF(DK1935="D",1,0)+IF(DO1935="D",1,0)+IF(DP1935="D",1,0)+IF(DQ1935="D",1,0)+IF(DW1935="D",1,0)+IF(DZ1935="D",1,0)+IF(EH1935="D",1,0)</f>
        <v>0</v>
      </c>
      <c r="AY1935" s="0" t="n">
        <f aca="false">COUNTIF(DU1935:EH1935, "&lt;&gt;")</f>
        <v>0</v>
      </c>
      <c r="AZ1935" s="0" t="n">
        <f aca="false">IF(EH1935&lt;&gt;"",1,0)</f>
        <v>0</v>
      </c>
      <c r="BB1935" s="0" t="s">
        <v>152</v>
      </c>
    </row>
    <row r="1936" customFormat="false" ht="13.8" hidden="true" customHeight="false" outlineLevel="0" collapsed="false">
      <c r="A1936" s="0" t="s">
        <v>8589</v>
      </c>
      <c r="B1936" s="0" t="n">
        <v>78</v>
      </c>
      <c r="C1936" s="0" t="n">
        <v>372109</v>
      </c>
      <c r="D1936" s="0" t="s">
        <v>7308</v>
      </c>
      <c r="E1936" s="0" t="s">
        <v>8590</v>
      </c>
      <c r="F1936" s="0" t="str">
        <f aca="false">CONCATENATE(D1936," ",LEFT(H1936,4),"T=",AU1936,"D=",AV1936,"R=",AW1936,"M=",AX1936,"L=",AY1936,"B=",AZ1936)</f>
        <v>MCGHEE T=19D=8R=0M=0L=0B=0</v>
      </c>
      <c r="G1936" s="0" t="s">
        <v>175</v>
      </c>
      <c r="I1936" s="0" t="s">
        <v>8591</v>
      </c>
      <c r="J1936" s="0" t="s">
        <v>1388</v>
      </c>
      <c r="K1936" s="0" t="s">
        <v>143</v>
      </c>
      <c r="M1936" s="0" t="s">
        <v>8592</v>
      </c>
      <c r="N1936" s="0" t="str">
        <f aca="false">RIGHT(M1936,LEN(M1936)-FIND(" ",M1936))</f>
        <v>OLIVE AVE NE</v>
      </c>
      <c r="P1936" s="0" t="s">
        <v>145</v>
      </c>
      <c r="Q1936" s="0" t="s">
        <v>146</v>
      </c>
      <c r="R1936" s="0" t="n">
        <v>44483</v>
      </c>
      <c r="AD1936" s="0" t="s">
        <v>147</v>
      </c>
      <c r="AE1936" s="0" t="s">
        <v>148</v>
      </c>
      <c r="AF1936" s="0" t="s">
        <v>149</v>
      </c>
      <c r="AH1936" s="0" t="n">
        <v>14</v>
      </c>
      <c r="AI1936" s="0" t="n">
        <v>11</v>
      </c>
      <c r="AN1936" s="0" t="s">
        <v>145</v>
      </c>
      <c r="AO1936" s="0" t="s">
        <v>654</v>
      </c>
      <c r="AP1936" s="0" t="s">
        <v>655</v>
      </c>
      <c r="AQ1936" s="0" t="n">
        <v>9</v>
      </c>
      <c r="AR1936" s="0" t="n">
        <v>64</v>
      </c>
      <c r="AS1936" s="0" t="n">
        <v>32</v>
      </c>
      <c r="AU1936" s="0" t="n">
        <f aca="false">COUNTA($BA$1709:$EH$1709)</f>
        <v>19</v>
      </c>
      <c r="AV1936" s="0" t="n">
        <f aca="false">COUNTIF($BA$1709:$EH$1709,"D")</f>
        <v>8</v>
      </c>
      <c r="AW1936" s="0" t="n">
        <f aca="false">COUNTIF($BA$1709:$EH$1709,"R")</f>
        <v>0</v>
      </c>
      <c r="AX1936" s="0" t="n">
        <f aca="false">IF(BN1936="D",1,0)+IF(BO1936="D",1,0)+IF(BT1936="D",1,0)+IF(BU1936="D",1,0)+IF(BW1936="D",1,0)+IF(CC1936="D",1,0)+IF(CD1936="D",1,0)+IF(CE1936="D",1,0)+IF(CF1936="D",1,0)+IF(CL1936="D",1,0)+IF(CM1936="D",1,0)+IF(CQ1936="D",1,0)+IF(CR1936="D",1,0)+IF(CS1936="D",1,0)+IF(CW1936="D",1,0)+IF(CX1936="D",1,0)+IF(DD1936="D",1,0)+IF(DE1936="D",1,0)+IF(DJ1936="D",1,0)+IF(DK1936="D",1,0)+IF(DO1936="D",1,0)+IF(DP1936="D",1,0)+IF(DQ1936="D",1,0)+IF(DW1936="D",1,0)+IF(DZ1936="D",1,0)+IF(EH1936="D",1,0)</f>
        <v>0</v>
      </c>
      <c r="AY1936" s="0" t="n">
        <f aca="false">COUNTIF(DU1936:EH1936, "&lt;&gt;")</f>
        <v>0</v>
      </c>
      <c r="AZ1936" s="0" t="n">
        <f aca="false">IF(EH1936&lt;&gt;"",1,0)</f>
        <v>0</v>
      </c>
      <c r="BB1936" s="0" t="s">
        <v>152</v>
      </c>
      <c r="CZ1936" s="0" t="s">
        <v>175</v>
      </c>
      <c r="DC1936" s="0" t="s">
        <v>153</v>
      </c>
      <c r="DN1936" s="0" t="s">
        <v>153</v>
      </c>
    </row>
    <row r="1937" customFormat="false" ht="13.8" hidden="true" customHeight="false" outlineLevel="0" collapsed="false">
      <c r="A1937" s="0" t="s">
        <v>8593</v>
      </c>
      <c r="B1937" s="0" t="n">
        <v>78</v>
      </c>
      <c r="C1937" s="0" t="n">
        <v>473919</v>
      </c>
      <c r="D1937" s="0" t="s">
        <v>8594</v>
      </c>
      <c r="E1937" s="0" t="s">
        <v>331</v>
      </c>
      <c r="F1937" s="0" t="str">
        <f aca="false">CONCATENATE(D1937," ",LEFT(H1937,4),"T=",AU1937,"D=",AV1937,"R=",AW1937,"M=",AX1937,"L=",AY1937,"B=",AZ1937)</f>
        <v>CRAMER T=1D=0R=0M=0L=0B=0</v>
      </c>
      <c r="G1937" s="0" t="s">
        <v>890</v>
      </c>
      <c r="I1937" s="0" t="s">
        <v>8595</v>
      </c>
      <c r="J1937" s="0" t="s">
        <v>1050</v>
      </c>
      <c r="K1937" s="0" t="s">
        <v>160</v>
      </c>
      <c r="M1937" s="0" t="s">
        <v>8596</v>
      </c>
      <c r="N1937" s="0" t="str">
        <f aca="false">RIGHT(M1937,LEN(M1937)-FIND(" ",M1937))</f>
        <v>OLIVE AVE NE</v>
      </c>
      <c r="O1937" s="0" t="s">
        <v>297</v>
      </c>
      <c r="P1937" s="0" t="s">
        <v>145</v>
      </c>
      <c r="Q1937" s="0" t="s">
        <v>146</v>
      </c>
      <c r="R1937" s="0" t="n">
        <v>44483</v>
      </c>
      <c r="AD1937" s="0" t="s">
        <v>147</v>
      </c>
      <c r="AE1937" s="0" t="s">
        <v>148</v>
      </c>
      <c r="AF1937" s="0" t="s">
        <v>149</v>
      </c>
      <c r="AH1937" s="0" t="n">
        <v>14</v>
      </c>
      <c r="AI1937" s="0" t="n">
        <v>11</v>
      </c>
      <c r="AN1937" s="0" t="s">
        <v>145</v>
      </c>
      <c r="AO1937" s="0" t="s">
        <v>654</v>
      </c>
      <c r="AP1937" s="0" t="s">
        <v>655</v>
      </c>
      <c r="AQ1937" s="0" t="n">
        <v>9</v>
      </c>
      <c r="AR1937" s="0" t="n">
        <v>64</v>
      </c>
      <c r="AS1937" s="0" t="n">
        <v>32</v>
      </c>
      <c r="AU1937" s="0" t="n">
        <f aca="false">COUNTA($BA$1347:$EH$1347)</f>
        <v>1</v>
      </c>
      <c r="AV1937" s="0" t="n">
        <f aca="false">COUNTIF($BA$1347:$EH$1347,"D")</f>
        <v>0</v>
      </c>
      <c r="AW1937" s="0" t="n">
        <f aca="false">COUNTIF($BA$1347:$EH$1347,"R")</f>
        <v>0</v>
      </c>
      <c r="AX1937" s="0" t="n">
        <f aca="false">IF(BN1937="D",1,0)+IF(BO1937="D",1,0)+IF(BT1937="D",1,0)+IF(BU1937="D",1,0)+IF(BW1937="D",1,0)+IF(CC1937="D",1,0)+IF(CD1937="D",1,0)+IF(CE1937="D",1,0)+IF(CF1937="D",1,0)+IF(CL1937="D",1,0)+IF(CM1937="D",1,0)+IF(CQ1937="D",1,0)+IF(CR1937="D",1,0)+IF(CS1937="D",1,0)+IF(CW1937="D",1,0)+IF(CX1937="D",1,0)+IF(DD1937="D",1,0)+IF(DE1937="D",1,0)+IF(DJ1937="D",1,0)+IF(DK1937="D",1,0)+IF(DO1937="D",1,0)+IF(DP1937="D",1,0)+IF(DQ1937="D",1,0)+IF(DW1937="D",1,0)+IF(DZ1937="D",1,0)+IF(EH1937="D",1,0)</f>
        <v>0</v>
      </c>
      <c r="AY1937" s="0" t="n">
        <f aca="false">COUNTIF(DU1937:EH1937, "&lt;&gt;")</f>
        <v>0</v>
      </c>
      <c r="AZ1937" s="0" t="n">
        <f aca="false">IF(EH1937&lt;&gt;"",1,0)</f>
        <v>0</v>
      </c>
      <c r="BB1937" s="0" t="s">
        <v>152</v>
      </c>
      <c r="BY1937" s="0" t="s">
        <v>175</v>
      </c>
    </row>
    <row r="1938" customFormat="false" ht="13.8" hidden="true" customHeight="false" outlineLevel="0" collapsed="false">
      <c r="A1938" s="0" t="s">
        <v>8597</v>
      </c>
      <c r="B1938" s="0" t="n">
        <v>78</v>
      </c>
      <c r="C1938" s="0" t="n">
        <v>316737</v>
      </c>
      <c r="D1938" s="0" t="s">
        <v>8598</v>
      </c>
      <c r="E1938" s="0" t="s">
        <v>324</v>
      </c>
      <c r="F1938" s="0" t="str">
        <f aca="false">CONCATENATE(D1938," ",LEFT(H1938,4),"T=",AU1938,"D=",AV1938,"R=",AW1938,"M=",AX1938,"L=",AY1938,"B=",AZ1938)</f>
        <v>GIBBS SRT=22D=5R=0M=0L=0B=0</v>
      </c>
      <c r="G1938" s="0" t="s">
        <v>171</v>
      </c>
      <c r="H1938" s="0" t="s">
        <v>216</v>
      </c>
      <c r="I1938" s="0" t="s">
        <v>8599</v>
      </c>
      <c r="J1938" s="0" t="s">
        <v>1420</v>
      </c>
      <c r="K1938" s="0" t="s">
        <v>160</v>
      </c>
      <c r="M1938" s="0" t="s">
        <v>8600</v>
      </c>
      <c r="N1938" s="0" t="str">
        <f aca="false">RIGHT(M1938,LEN(M1938)-FIND(" ",M1938))</f>
        <v>ORANGE CT NE</v>
      </c>
      <c r="P1938" s="0" t="s">
        <v>145</v>
      </c>
      <c r="Q1938" s="0" t="s">
        <v>146</v>
      </c>
      <c r="R1938" s="0" t="n">
        <v>44483</v>
      </c>
      <c r="AD1938" s="0" t="s">
        <v>147</v>
      </c>
      <c r="AE1938" s="0" t="s">
        <v>148</v>
      </c>
      <c r="AF1938" s="0" t="s">
        <v>149</v>
      </c>
      <c r="AH1938" s="0" t="n">
        <v>14</v>
      </c>
      <c r="AI1938" s="0" t="n">
        <v>11</v>
      </c>
      <c r="AN1938" s="0" t="s">
        <v>145</v>
      </c>
      <c r="AO1938" s="0" t="s">
        <v>654</v>
      </c>
      <c r="AP1938" s="0" t="s">
        <v>655</v>
      </c>
      <c r="AQ1938" s="0" t="n">
        <v>9</v>
      </c>
      <c r="AR1938" s="0" t="n">
        <v>64</v>
      </c>
      <c r="AS1938" s="0" t="n">
        <v>32</v>
      </c>
      <c r="AU1938" s="0" t="n">
        <f aca="false">COUNTA($BA$1738:$EH$1738)</f>
        <v>22</v>
      </c>
      <c r="AV1938" s="0" t="n">
        <f aca="false">COUNTIF($BA$1738:$EH$1738,"D")</f>
        <v>5</v>
      </c>
      <c r="AW1938" s="0" t="n">
        <f aca="false">COUNTIF($BA$1738:$EH$1738,"R")</f>
        <v>0</v>
      </c>
      <c r="AX1938" s="0" t="n">
        <f aca="false">IF(BN1938="D",1,0)+IF(BO1938="D",1,0)+IF(BT1938="D",1,0)+IF(BU1938="D",1,0)+IF(BW1938="D",1,0)+IF(CC1938="D",1,0)+IF(CD1938="D",1,0)+IF(CE1938="D",1,0)+IF(CF1938="D",1,0)+IF(CL1938="D",1,0)+IF(CM1938="D",1,0)+IF(CQ1938="D",1,0)+IF(CR1938="D",1,0)+IF(CS1938="D",1,0)+IF(CW1938="D",1,0)+IF(CX1938="D",1,0)+IF(DD1938="D",1,0)+IF(DE1938="D",1,0)+IF(DJ1938="D",1,0)+IF(DK1938="D",1,0)+IF(DO1938="D",1,0)+IF(DP1938="D",1,0)+IF(DQ1938="D",1,0)+IF(DW1938="D",1,0)+IF(DZ1938="D",1,0)+IF(EH1938="D",1,0)</f>
        <v>0</v>
      </c>
      <c r="AY1938" s="0" t="n">
        <f aca="false">COUNTIF(DU1938:EH1938, "&lt;&gt;")</f>
        <v>0</v>
      </c>
      <c r="AZ1938" s="0" t="n">
        <f aca="false">IF(EH1938&lt;&gt;"",1,0)</f>
        <v>0</v>
      </c>
      <c r="BB1938" s="0" t="s">
        <v>152</v>
      </c>
      <c r="BJ1938" s="0" t="s">
        <v>153</v>
      </c>
      <c r="BK1938" s="0" t="s">
        <v>153</v>
      </c>
      <c r="BL1938" s="0" t="s">
        <v>153</v>
      </c>
      <c r="BS1938" s="0" t="s">
        <v>153</v>
      </c>
      <c r="CA1938" s="0" t="s">
        <v>153</v>
      </c>
      <c r="CY1938" s="0" t="s">
        <v>153</v>
      </c>
      <c r="DC1938" s="0" t="s">
        <v>153</v>
      </c>
    </row>
    <row r="1939" customFormat="false" ht="13.8" hidden="true" customHeight="false" outlineLevel="0" collapsed="false">
      <c r="A1939" s="0" t="s">
        <v>8601</v>
      </c>
      <c r="B1939" s="0" t="n">
        <v>78</v>
      </c>
      <c r="C1939" s="0" t="n">
        <v>397094</v>
      </c>
      <c r="D1939" s="0" t="s">
        <v>2456</v>
      </c>
      <c r="E1939" s="0" t="s">
        <v>170</v>
      </c>
      <c r="F1939" s="0" t="str">
        <f aca="false">CONCATENATE(D1939," ",LEFT(H1939,4),"T=",AU1939,"D=",AV1939,"R=",AW1939,"M=",AX1939,"L=",AY1939,"B=",AZ1939)</f>
        <v>DEAN IIIT=8D=1R=0M=0L=0B=0</v>
      </c>
      <c r="G1939" s="0" t="s">
        <v>274</v>
      </c>
      <c r="H1939" s="0" t="s">
        <v>1932</v>
      </c>
      <c r="I1939" s="0" t="s">
        <v>8602</v>
      </c>
      <c r="J1939" s="0" t="s">
        <v>8603</v>
      </c>
      <c r="K1939" s="0" t="s">
        <v>143</v>
      </c>
      <c r="M1939" s="0" t="s">
        <v>8604</v>
      </c>
      <c r="N1939" s="0" t="str">
        <f aca="false">RIGHT(M1939,LEN(M1939)-FIND(" ",M1939))</f>
        <v>ORCHARD PL NE</v>
      </c>
      <c r="P1939" s="0" t="s">
        <v>145</v>
      </c>
      <c r="Q1939" s="0" t="s">
        <v>146</v>
      </c>
      <c r="R1939" s="0" t="n">
        <v>44483</v>
      </c>
      <c r="AD1939" s="0" t="s">
        <v>147</v>
      </c>
      <c r="AE1939" s="0" t="s">
        <v>148</v>
      </c>
      <c r="AF1939" s="0" t="s">
        <v>149</v>
      </c>
      <c r="AH1939" s="0" t="n">
        <v>14</v>
      </c>
      <c r="AI1939" s="0" t="n">
        <v>11</v>
      </c>
      <c r="AN1939" s="0" t="s">
        <v>145</v>
      </c>
      <c r="AO1939" s="0" t="s">
        <v>654</v>
      </c>
      <c r="AP1939" s="0" t="s">
        <v>655</v>
      </c>
      <c r="AQ1939" s="0" t="n">
        <v>9</v>
      </c>
      <c r="AR1939" s="0" t="n">
        <v>64</v>
      </c>
      <c r="AS1939" s="0" t="n">
        <v>32</v>
      </c>
      <c r="AU1939" s="0" t="n">
        <f aca="false">COUNTA($BA$1239:$EH$1239)</f>
        <v>8</v>
      </c>
      <c r="AV1939" s="0" t="n">
        <f aca="false">COUNTIF($BA$1239:$EH$1239,"D")</f>
        <v>1</v>
      </c>
      <c r="AW1939" s="0" t="n">
        <f aca="false">COUNTIF($BA$1239:$EH$1239,"R")</f>
        <v>0</v>
      </c>
      <c r="AX1939" s="0" t="n">
        <f aca="false">IF(BN1939="D",1,0)+IF(BO1939="D",1,0)+IF(BT1939="D",1,0)+IF(BU1939="D",1,0)+IF(BW1939="D",1,0)+IF(CC1939="D",1,0)+IF(CD1939="D",1,0)+IF(CE1939="D",1,0)+IF(CF1939="D",1,0)+IF(CL1939="D",1,0)+IF(CM1939="D",1,0)+IF(CQ1939="D",1,0)+IF(CR1939="D",1,0)+IF(CS1939="D",1,0)+IF(CW1939="D",1,0)+IF(CX1939="D",1,0)+IF(DD1939="D",1,0)+IF(DE1939="D",1,0)+IF(DJ1939="D",1,0)+IF(DK1939="D",1,0)+IF(DO1939="D",1,0)+IF(DP1939="D",1,0)+IF(DQ1939="D",1,0)+IF(DW1939="D",1,0)+IF(DZ1939="D",1,0)+IF(EH1939="D",1,0)</f>
        <v>0</v>
      </c>
      <c r="AY1939" s="0" t="n">
        <f aca="false">COUNTIF(DU1939:EH1939, "&lt;&gt;")</f>
        <v>0</v>
      </c>
      <c r="AZ1939" s="0" t="n">
        <f aca="false">IF(EH1939&lt;&gt;"",1,0)</f>
        <v>0</v>
      </c>
      <c r="BB1939" s="0" t="s">
        <v>152</v>
      </c>
    </row>
    <row r="1940" customFormat="false" ht="13.8" hidden="true" customHeight="false" outlineLevel="0" collapsed="false">
      <c r="A1940" s="0" t="s">
        <v>8605</v>
      </c>
      <c r="B1940" s="0" t="n">
        <v>78</v>
      </c>
      <c r="C1940" s="0" t="n">
        <v>394978</v>
      </c>
      <c r="D1940" s="0" t="s">
        <v>8606</v>
      </c>
      <c r="E1940" s="0" t="s">
        <v>8607</v>
      </c>
      <c r="F1940" s="0" t="str">
        <f aca="false">CONCATENATE(D1940," ",LEFT(H1940,4),"T=",AU1940,"D=",AV1940,"R=",AW1940,"M=",AX1940,"L=",AY1940,"B=",AZ1940)</f>
        <v>COTTRILL T=9D=0R=0M=0L=0B=0</v>
      </c>
      <c r="G1940" s="0" t="s">
        <v>1128</v>
      </c>
      <c r="I1940" s="0" t="s">
        <v>8608</v>
      </c>
      <c r="J1940" s="0" t="s">
        <v>8609</v>
      </c>
      <c r="K1940" s="0" t="s">
        <v>143</v>
      </c>
      <c r="M1940" s="0" t="s">
        <v>8604</v>
      </c>
      <c r="N1940" s="0" t="str">
        <f aca="false">RIGHT(M1940,LEN(M1940)-FIND(" ",M1940))</f>
        <v>ORCHARD PL NE</v>
      </c>
      <c r="P1940" s="0" t="s">
        <v>145</v>
      </c>
      <c r="Q1940" s="0" t="s">
        <v>146</v>
      </c>
      <c r="R1940" s="0" t="n">
        <v>44483</v>
      </c>
      <c r="AD1940" s="0" t="s">
        <v>147</v>
      </c>
      <c r="AE1940" s="0" t="s">
        <v>148</v>
      </c>
      <c r="AF1940" s="0" t="s">
        <v>149</v>
      </c>
      <c r="AH1940" s="0" t="n">
        <v>14</v>
      </c>
      <c r="AI1940" s="0" t="n">
        <v>11</v>
      </c>
      <c r="AN1940" s="0" t="s">
        <v>145</v>
      </c>
      <c r="AO1940" s="0" t="s">
        <v>654</v>
      </c>
      <c r="AP1940" s="0" t="s">
        <v>655</v>
      </c>
      <c r="AQ1940" s="0" t="n">
        <v>9</v>
      </c>
      <c r="AR1940" s="0" t="n">
        <v>64</v>
      </c>
      <c r="AS1940" s="0" t="n">
        <v>32</v>
      </c>
      <c r="AU1940" s="0" t="n">
        <f aca="false">COUNTA($BA$1285:$EH$1285)</f>
        <v>9</v>
      </c>
      <c r="AV1940" s="0" t="n">
        <f aca="false">COUNTIF($BA$1285:$EH$1285,"D")</f>
        <v>0</v>
      </c>
      <c r="AW1940" s="0" t="n">
        <f aca="false">COUNTIF($BA$1285:$EH$1285,"R")</f>
        <v>0</v>
      </c>
      <c r="AX1940" s="0" t="n">
        <f aca="false">IF(BN1940="D",1,0)+IF(BO1940="D",1,0)+IF(BT1940="D",1,0)+IF(BU1940="D",1,0)+IF(BW1940="D",1,0)+IF(CC1940="D",1,0)+IF(CD1940="D",1,0)+IF(CE1940="D",1,0)+IF(CF1940="D",1,0)+IF(CL1940="D",1,0)+IF(CM1940="D",1,0)+IF(CQ1940="D",1,0)+IF(CR1940="D",1,0)+IF(CS1940="D",1,0)+IF(CW1940="D",1,0)+IF(CX1940="D",1,0)+IF(DD1940="D",1,0)+IF(DE1940="D",1,0)+IF(DJ1940="D",1,0)+IF(DK1940="D",1,0)+IF(DO1940="D",1,0)+IF(DP1940="D",1,0)+IF(DQ1940="D",1,0)+IF(DW1940="D",1,0)+IF(DZ1940="D",1,0)+IF(EH1940="D",1,0)</f>
        <v>0</v>
      </c>
      <c r="AY1940" s="0" t="n">
        <f aca="false">COUNTIF(DU1940:EH1940, "&lt;&gt;")</f>
        <v>0</v>
      </c>
      <c r="AZ1940" s="0" t="n">
        <f aca="false">IF(EH1940&lt;&gt;"",1,0)</f>
        <v>0</v>
      </c>
      <c r="BB1940" s="0" t="s">
        <v>152</v>
      </c>
    </row>
    <row r="1941" customFormat="false" ht="13.8" hidden="true" customHeight="false" outlineLevel="0" collapsed="false">
      <c r="A1941" s="0" t="s">
        <v>8610</v>
      </c>
      <c r="B1941" s="0" t="n">
        <v>78</v>
      </c>
      <c r="C1941" s="0" t="n">
        <v>461521</v>
      </c>
      <c r="D1941" s="0" t="s">
        <v>8611</v>
      </c>
      <c r="E1941" s="0" t="s">
        <v>8612</v>
      </c>
      <c r="F1941" s="0" t="str">
        <f aca="false">CONCATENATE(D1941," ",LEFT(H1941,4),"T=",AU1941,"D=",AV1941,"R=",AW1941,"M=",AX1941,"L=",AY1941,"B=",AZ1941)</f>
        <v>ROMAN HEREDIA T=21D=0R=0M=0L=0B=0</v>
      </c>
      <c r="I1941" s="0" t="s">
        <v>8613</v>
      </c>
      <c r="J1941" s="0" t="s">
        <v>8614</v>
      </c>
      <c r="K1941" s="0" t="s">
        <v>143</v>
      </c>
      <c r="M1941" s="0" t="s">
        <v>8615</v>
      </c>
      <c r="N1941" s="0" t="str">
        <f aca="false">RIGHT(M1941,LEN(M1941)-FIND(" ",M1941))</f>
        <v>PAIGE AVE NE</v>
      </c>
      <c r="P1941" s="0" t="s">
        <v>145</v>
      </c>
      <c r="Q1941" s="0" t="s">
        <v>146</v>
      </c>
      <c r="R1941" s="0" t="n">
        <v>44483</v>
      </c>
      <c r="AD1941" s="0" t="s">
        <v>147</v>
      </c>
      <c r="AE1941" s="0" t="s">
        <v>148</v>
      </c>
      <c r="AF1941" s="0" t="s">
        <v>149</v>
      </c>
      <c r="AH1941" s="0" t="n">
        <v>14</v>
      </c>
      <c r="AI1941" s="0" t="n">
        <v>11</v>
      </c>
      <c r="AN1941" s="0" t="s">
        <v>145</v>
      </c>
      <c r="AO1941" s="0" t="s">
        <v>654</v>
      </c>
      <c r="AP1941" s="0" t="s">
        <v>655</v>
      </c>
      <c r="AQ1941" s="0" t="n">
        <v>9</v>
      </c>
      <c r="AR1941" s="0" t="n">
        <v>64</v>
      </c>
      <c r="AS1941" s="0" t="n">
        <v>32</v>
      </c>
      <c r="AU1941" s="0" t="n">
        <f aca="false">COUNTA($BA$1224:$EH$1224)</f>
        <v>21</v>
      </c>
      <c r="AV1941" s="0" t="n">
        <f aca="false">COUNTIF($BA$1224:$EH$1224,"D")</f>
        <v>0</v>
      </c>
      <c r="AW1941" s="0" t="n">
        <f aca="false">COUNTIF($BA$1224:$EH$1224,"R")</f>
        <v>0</v>
      </c>
      <c r="AX1941" s="0" t="n">
        <f aca="false">IF(BN1941="D",1,0)+IF(BO1941="D",1,0)+IF(BT1941="D",1,0)+IF(BU1941="D",1,0)+IF(BW1941="D",1,0)+IF(CC1941="D",1,0)+IF(CD1941="D",1,0)+IF(CE1941="D",1,0)+IF(CF1941="D",1,0)+IF(CL1941="D",1,0)+IF(CM1941="D",1,0)+IF(CQ1941="D",1,0)+IF(CR1941="D",1,0)+IF(CS1941="D",1,0)+IF(CW1941="D",1,0)+IF(CX1941="D",1,0)+IF(DD1941="D",1,0)+IF(DE1941="D",1,0)+IF(DJ1941="D",1,0)+IF(DK1941="D",1,0)+IF(DO1941="D",1,0)+IF(DP1941="D",1,0)+IF(DQ1941="D",1,0)+IF(DW1941="D",1,0)+IF(DZ1941="D",1,0)+IF(EH1941="D",1,0)</f>
        <v>0</v>
      </c>
      <c r="AY1941" s="0" t="n">
        <f aca="false">COUNTIF(DU1941:EH1941, "&lt;&gt;")</f>
        <v>0</v>
      </c>
      <c r="AZ1941" s="0" t="n">
        <f aca="false">IF(EH1941&lt;&gt;"",1,0)</f>
        <v>0</v>
      </c>
      <c r="BB1941" s="0" t="s">
        <v>152</v>
      </c>
    </row>
    <row r="1942" customFormat="false" ht="13.8" hidden="true" customHeight="false" outlineLevel="0" collapsed="false">
      <c r="A1942" s="0" t="s">
        <v>8616</v>
      </c>
      <c r="B1942" s="0" t="n">
        <v>78</v>
      </c>
      <c r="C1942" s="0" t="n">
        <v>358261</v>
      </c>
      <c r="D1942" s="0" t="s">
        <v>1041</v>
      </c>
      <c r="E1942" s="0" t="s">
        <v>8617</v>
      </c>
      <c r="F1942" s="0" t="str">
        <f aca="false">CONCATENATE(D1942," ",LEFT(H1942,4),"T=",AU1942,"D=",AV1942,"R=",AW1942,"M=",AX1942,"L=",AY1942,"B=",AZ1942)</f>
        <v>JONES T=1D=0R=0M=0L=0B=0</v>
      </c>
      <c r="G1942" s="0" t="s">
        <v>175</v>
      </c>
      <c r="I1942" s="0" t="s">
        <v>8618</v>
      </c>
      <c r="J1942" s="0" t="s">
        <v>727</v>
      </c>
      <c r="K1942" s="0" t="s">
        <v>160</v>
      </c>
      <c r="M1942" s="0" t="s">
        <v>8619</v>
      </c>
      <c r="N1942" s="0" t="str">
        <f aca="false">RIGHT(M1942,LEN(M1942)-FIND(" ",M1942))</f>
        <v>PAIGE AVE NE</v>
      </c>
      <c r="P1942" s="0" t="s">
        <v>145</v>
      </c>
      <c r="Q1942" s="0" t="s">
        <v>146</v>
      </c>
      <c r="R1942" s="0" t="n">
        <v>44483</v>
      </c>
      <c r="AD1942" s="0" t="s">
        <v>147</v>
      </c>
      <c r="AE1942" s="0" t="s">
        <v>148</v>
      </c>
      <c r="AF1942" s="0" t="s">
        <v>149</v>
      </c>
      <c r="AH1942" s="0" t="n">
        <v>14</v>
      </c>
      <c r="AI1942" s="0" t="n">
        <v>11</v>
      </c>
      <c r="AN1942" s="0" t="s">
        <v>145</v>
      </c>
      <c r="AO1942" s="0" t="s">
        <v>654</v>
      </c>
      <c r="AP1942" s="0" t="s">
        <v>655</v>
      </c>
      <c r="AQ1942" s="0" t="n">
        <v>9</v>
      </c>
      <c r="AR1942" s="0" t="n">
        <v>64</v>
      </c>
      <c r="AS1942" s="0" t="n">
        <v>32</v>
      </c>
      <c r="AU1942" s="0" t="n">
        <f aca="false">COUNTA($BA$1622:$EH$1622)</f>
        <v>1</v>
      </c>
      <c r="AV1942" s="0" t="n">
        <f aca="false">COUNTIF($BA$1622:$EH$1622,"D")</f>
        <v>0</v>
      </c>
      <c r="AW1942" s="0" t="n">
        <f aca="false">COUNTIF($BA$1622:$EH$1622,"R")</f>
        <v>0</v>
      </c>
      <c r="AX1942" s="0" t="n">
        <f aca="false">IF(BN1942="D",1,0)+IF(BO1942="D",1,0)+IF(BT1942="D",1,0)+IF(BU1942="D",1,0)+IF(BW1942="D",1,0)+IF(CC1942="D",1,0)+IF(CD1942="D",1,0)+IF(CE1942="D",1,0)+IF(CF1942="D",1,0)+IF(CL1942="D",1,0)+IF(CM1942="D",1,0)+IF(CQ1942="D",1,0)+IF(CR1942="D",1,0)+IF(CS1942="D",1,0)+IF(CW1942="D",1,0)+IF(CX1942="D",1,0)+IF(DD1942="D",1,0)+IF(DE1942="D",1,0)+IF(DJ1942="D",1,0)+IF(DK1942="D",1,0)+IF(DO1942="D",1,0)+IF(DP1942="D",1,0)+IF(DQ1942="D",1,0)+IF(DW1942="D",1,0)+IF(DZ1942="D",1,0)+IF(EH1942="D",1,0)</f>
        <v>0</v>
      </c>
      <c r="AY1942" s="0" t="n">
        <f aca="false">COUNTIF(DU1942:EH1942, "&lt;&gt;")</f>
        <v>0</v>
      </c>
      <c r="AZ1942" s="0" t="n">
        <f aca="false">IF(EH1942&lt;&gt;"",1,0)</f>
        <v>0</v>
      </c>
      <c r="BB1942" s="0" t="s">
        <v>152</v>
      </c>
      <c r="CP1942" s="0" t="s">
        <v>153</v>
      </c>
      <c r="DC1942" s="0" t="s">
        <v>153</v>
      </c>
    </row>
    <row r="1943" customFormat="false" ht="13.8" hidden="true" customHeight="false" outlineLevel="0" collapsed="false">
      <c r="A1943" s="0" t="s">
        <v>8620</v>
      </c>
      <c r="B1943" s="0" t="n">
        <v>78</v>
      </c>
      <c r="C1943" s="0" t="n">
        <v>410499</v>
      </c>
      <c r="D1943" s="0" t="s">
        <v>8621</v>
      </c>
      <c r="E1943" s="0" t="s">
        <v>3018</v>
      </c>
      <c r="F1943" s="0" t="str">
        <f aca="false">CONCATENATE(D1943," ",LEFT(H1943,4),"T=",AU1943,"D=",AV1943,"R=",AW1943,"M=",AX1943,"L=",AY1943,"B=",AZ1943)</f>
        <v>RUSH T=5D=0R=0M=0L=0B=0</v>
      </c>
      <c r="G1943" s="0" t="s">
        <v>1031</v>
      </c>
      <c r="I1943" s="0" t="s">
        <v>8622</v>
      </c>
      <c r="J1943" s="0" t="s">
        <v>8623</v>
      </c>
      <c r="K1943" s="0" t="s">
        <v>143</v>
      </c>
      <c r="M1943" s="0" t="s">
        <v>8624</v>
      </c>
      <c r="N1943" s="0" t="str">
        <f aca="false">RIGHT(M1943,LEN(M1943)-FIND(" ",M1943))</f>
        <v>PAIGE AVE NE</v>
      </c>
      <c r="P1943" s="0" t="s">
        <v>145</v>
      </c>
      <c r="Q1943" s="0" t="s">
        <v>146</v>
      </c>
      <c r="R1943" s="0" t="n">
        <v>44483</v>
      </c>
      <c r="AD1943" s="0" t="s">
        <v>147</v>
      </c>
      <c r="AE1943" s="0" t="s">
        <v>148</v>
      </c>
      <c r="AF1943" s="0" t="s">
        <v>149</v>
      </c>
      <c r="AH1943" s="0" t="n">
        <v>14</v>
      </c>
      <c r="AI1943" s="0" t="n">
        <v>11</v>
      </c>
      <c r="AN1943" s="0" t="s">
        <v>145</v>
      </c>
      <c r="AO1943" s="0" t="s">
        <v>654</v>
      </c>
      <c r="AP1943" s="0" t="s">
        <v>655</v>
      </c>
      <c r="AQ1943" s="0" t="n">
        <v>9</v>
      </c>
      <c r="AR1943" s="0" t="n">
        <v>64</v>
      </c>
      <c r="AS1943" s="0" t="n">
        <v>32</v>
      </c>
      <c r="AU1943" s="0" t="n">
        <f aca="false">COUNTA($BA$1240:$EH$1240)</f>
        <v>5</v>
      </c>
      <c r="AV1943" s="0" t="n">
        <f aca="false">COUNTIF($BA$1240:$EH$1240,"D")</f>
        <v>0</v>
      </c>
      <c r="AW1943" s="0" t="n">
        <f aca="false">COUNTIF($BA$1240:$EH$1240,"R")</f>
        <v>0</v>
      </c>
      <c r="AX1943" s="0" t="n">
        <f aca="false">IF(BN1943="D",1,0)+IF(BO1943="D",1,0)+IF(BT1943="D",1,0)+IF(BU1943="D",1,0)+IF(BW1943="D",1,0)+IF(CC1943="D",1,0)+IF(CD1943="D",1,0)+IF(CE1943="D",1,0)+IF(CF1943="D",1,0)+IF(CL1943="D",1,0)+IF(CM1943="D",1,0)+IF(CQ1943="D",1,0)+IF(CR1943="D",1,0)+IF(CS1943="D",1,0)+IF(CW1943="D",1,0)+IF(CX1943="D",1,0)+IF(DD1943="D",1,0)+IF(DE1943="D",1,0)+IF(DJ1943="D",1,0)+IF(DK1943="D",1,0)+IF(DO1943="D",1,0)+IF(DP1943="D",1,0)+IF(DQ1943="D",1,0)+IF(DW1943="D",1,0)+IF(DZ1943="D",1,0)+IF(EH1943="D",1,0)</f>
        <v>0</v>
      </c>
      <c r="AY1943" s="0" t="n">
        <f aca="false">COUNTIF(DU1943:EH1943, "&lt;&gt;")</f>
        <v>0</v>
      </c>
      <c r="AZ1943" s="0" t="n">
        <f aca="false">IF(EH1943&lt;&gt;"",1,0)</f>
        <v>0</v>
      </c>
      <c r="BB1943" s="0" t="s">
        <v>152</v>
      </c>
    </row>
    <row r="1944" customFormat="false" ht="13.8" hidden="true" customHeight="false" outlineLevel="0" collapsed="false">
      <c r="A1944" s="0" t="s">
        <v>8625</v>
      </c>
      <c r="B1944" s="0" t="n">
        <v>78</v>
      </c>
      <c r="C1944" s="0" t="n">
        <v>325917</v>
      </c>
      <c r="D1944" s="0" t="s">
        <v>8621</v>
      </c>
      <c r="E1944" s="0" t="s">
        <v>475</v>
      </c>
      <c r="F1944" s="0" t="str">
        <f aca="false">CONCATENATE(D1944," ",LEFT(H1944,4),"T=",AU1944,"D=",AV1944,"R=",AW1944,"M=",AX1944,"L=",AY1944,"B=",AZ1944)</f>
        <v>RUSH T=2D=0R=0M=0L=0B=0</v>
      </c>
      <c r="G1944" s="0" t="s">
        <v>948</v>
      </c>
      <c r="I1944" s="0" t="s">
        <v>8626</v>
      </c>
      <c r="J1944" s="0" t="s">
        <v>6057</v>
      </c>
      <c r="K1944" s="0" t="s">
        <v>160</v>
      </c>
      <c r="M1944" s="0" t="s">
        <v>8624</v>
      </c>
      <c r="N1944" s="0" t="str">
        <f aca="false">RIGHT(M1944,LEN(M1944)-FIND(" ",M1944))</f>
        <v>PAIGE AVE NE</v>
      </c>
      <c r="P1944" s="0" t="s">
        <v>145</v>
      </c>
      <c r="Q1944" s="0" t="s">
        <v>146</v>
      </c>
      <c r="R1944" s="0" t="n">
        <v>44483</v>
      </c>
      <c r="AD1944" s="0" t="s">
        <v>147</v>
      </c>
      <c r="AE1944" s="0" t="s">
        <v>148</v>
      </c>
      <c r="AF1944" s="0" t="s">
        <v>149</v>
      </c>
      <c r="AH1944" s="0" t="n">
        <v>14</v>
      </c>
      <c r="AI1944" s="0" t="n">
        <v>11</v>
      </c>
      <c r="AN1944" s="0" t="s">
        <v>145</v>
      </c>
      <c r="AO1944" s="0" t="s">
        <v>654</v>
      </c>
      <c r="AP1944" s="0" t="s">
        <v>655</v>
      </c>
      <c r="AQ1944" s="0" t="n">
        <v>9</v>
      </c>
      <c r="AR1944" s="0" t="n">
        <v>64</v>
      </c>
      <c r="AS1944" s="0" t="n">
        <v>32</v>
      </c>
      <c r="AU1944" s="0" t="n">
        <f aca="false">COUNTA($BA$1850:$EH$1850)</f>
        <v>2</v>
      </c>
      <c r="AV1944" s="0" t="n">
        <f aca="false">COUNTIF($BA$1850:$EH$1850,"D")</f>
        <v>0</v>
      </c>
      <c r="AW1944" s="0" t="n">
        <f aca="false">COUNTIF($BA$1850:$EH$1850,"R")</f>
        <v>0</v>
      </c>
      <c r="AX1944" s="0" t="n">
        <f aca="false">IF(BN1944="D",1,0)+IF(BO1944="D",1,0)+IF(BT1944="D",1,0)+IF(BU1944="D",1,0)+IF(BW1944="D",1,0)+IF(CC1944="D",1,0)+IF(CD1944="D",1,0)+IF(CE1944="D",1,0)+IF(CF1944="D",1,0)+IF(CL1944="D",1,0)+IF(CM1944="D",1,0)+IF(CQ1944="D",1,0)+IF(CR1944="D",1,0)+IF(CS1944="D",1,0)+IF(CW1944="D",1,0)+IF(CX1944="D",1,0)+IF(DD1944="D",1,0)+IF(DE1944="D",1,0)+IF(DJ1944="D",1,0)+IF(DK1944="D",1,0)+IF(DO1944="D",1,0)+IF(DP1944="D",1,0)+IF(DQ1944="D",1,0)+IF(DW1944="D",1,0)+IF(DZ1944="D",1,0)+IF(EH1944="D",1,0)</f>
        <v>0</v>
      </c>
      <c r="AY1944" s="0" t="n">
        <f aca="false">COUNTIF(DU1944:EH1944, "&lt;&gt;")</f>
        <v>0</v>
      </c>
      <c r="AZ1944" s="0" t="n">
        <f aca="false">IF(EH1944&lt;&gt;"",1,0)</f>
        <v>0</v>
      </c>
      <c r="BB1944" s="0" t="s">
        <v>152</v>
      </c>
      <c r="BL1944" s="0" t="s">
        <v>153</v>
      </c>
      <c r="BP1944" s="0" t="s">
        <v>153</v>
      </c>
      <c r="BR1944" s="0" t="s">
        <v>153</v>
      </c>
      <c r="BS1944" s="0" t="s">
        <v>153</v>
      </c>
      <c r="BT1944" s="0" t="s">
        <v>153</v>
      </c>
      <c r="BV1944" s="0" t="s">
        <v>153</v>
      </c>
      <c r="BY1944" s="0" t="s">
        <v>175</v>
      </c>
      <c r="CA1944" s="0" t="s">
        <v>153</v>
      </c>
      <c r="CP1944" s="0" t="s">
        <v>153</v>
      </c>
      <c r="DC1944" s="0" t="s">
        <v>153</v>
      </c>
    </row>
    <row r="1945" customFormat="false" ht="13.8" hidden="true" customHeight="false" outlineLevel="0" collapsed="false">
      <c r="A1945" s="0" t="s">
        <v>8627</v>
      </c>
      <c r="B1945" s="0" t="n">
        <v>78</v>
      </c>
      <c r="C1945" s="0" t="n">
        <v>461749</v>
      </c>
      <c r="D1945" s="0" t="s">
        <v>8628</v>
      </c>
      <c r="E1945" s="0" t="s">
        <v>8629</v>
      </c>
      <c r="F1945" s="0" t="str">
        <f aca="false">CONCATENATE(D1945," ",LEFT(H1945,4),"T=",AU1945,"D=",AV1945,"R=",AW1945,"M=",AX1945,"L=",AY1945,"B=",AZ1945)</f>
        <v>HANSEN T=2D=0R=0M=0L=0B=0</v>
      </c>
      <c r="G1945" s="0" t="s">
        <v>500</v>
      </c>
      <c r="I1945" s="0" t="s">
        <v>7255</v>
      </c>
      <c r="J1945" s="0" t="s">
        <v>8630</v>
      </c>
      <c r="K1945" s="0" t="s">
        <v>143</v>
      </c>
      <c r="M1945" s="0" t="s">
        <v>8624</v>
      </c>
      <c r="N1945" s="0" t="str">
        <f aca="false">RIGHT(M1945,LEN(M1945)-FIND(" ",M1945))</f>
        <v>PAIGE AVE NE</v>
      </c>
      <c r="P1945" s="0" t="s">
        <v>145</v>
      </c>
      <c r="Q1945" s="0" t="s">
        <v>146</v>
      </c>
      <c r="R1945" s="0" t="n">
        <v>44483</v>
      </c>
      <c r="AD1945" s="0" t="s">
        <v>147</v>
      </c>
      <c r="AE1945" s="0" t="s">
        <v>148</v>
      </c>
      <c r="AF1945" s="0" t="s">
        <v>149</v>
      </c>
      <c r="AH1945" s="0" t="n">
        <v>14</v>
      </c>
      <c r="AI1945" s="0" t="n">
        <v>11</v>
      </c>
      <c r="AN1945" s="0" t="s">
        <v>145</v>
      </c>
      <c r="AO1945" s="0" t="s">
        <v>654</v>
      </c>
      <c r="AP1945" s="0" t="s">
        <v>655</v>
      </c>
      <c r="AQ1945" s="0" t="n">
        <v>9</v>
      </c>
      <c r="AR1945" s="0" t="n">
        <v>64</v>
      </c>
      <c r="AS1945" s="0" t="n">
        <v>32</v>
      </c>
      <c r="AU1945" s="0" t="n">
        <f aca="false">COUNTA($BA$1986:$EH$1986)</f>
        <v>2</v>
      </c>
      <c r="AV1945" s="0" t="n">
        <f aca="false">COUNTIF($BA$1986:$EH$1986,"D")</f>
        <v>0</v>
      </c>
      <c r="AW1945" s="0" t="n">
        <f aca="false">COUNTIF($BA$1986:$EH$1986,"R")</f>
        <v>0</v>
      </c>
      <c r="AX1945" s="0" t="n">
        <f aca="false">IF(BN1945="D",1,0)+IF(BO1945="D",1,0)+IF(BT1945="D",1,0)+IF(BU1945="D",1,0)+IF(BW1945="D",1,0)+IF(CC1945="D",1,0)+IF(CD1945="D",1,0)+IF(CE1945="D",1,0)+IF(CF1945="D",1,0)+IF(CL1945="D",1,0)+IF(CM1945="D",1,0)+IF(CQ1945="D",1,0)+IF(CR1945="D",1,0)+IF(CS1945="D",1,0)+IF(CW1945="D",1,0)+IF(CX1945="D",1,0)+IF(DD1945="D",1,0)+IF(DE1945="D",1,0)+IF(DJ1945="D",1,0)+IF(DK1945="D",1,0)+IF(DO1945="D",1,0)+IF(DP1945="D",1,0)+IF(DQ1945="D",1,0)+IF(DW1945="D",1,0)+IF(DZ1945="D",1,0)+IF(EH1945="D",1,0)</f>
        <v>0</v>
      </c>
      <c r="AY1945" s="0" t="n">
        <f aca="false">COUNTIF(DU1945:EH1945, "&lt;&gt;")</f>
        <v>0</v>
      </c>
      <c r="AZ1945" s="0" t="n">
        <f aca="false">IF(EH1945&lt;&gt;"",1,0)</f>
        <v>0</v>
      </c>
      <c r="BB1945" s="0" t="s">
        <v>152</v>
      </c>
    </row>
    <row r="1946" customFormat="false" ht="13.8" hidden="true" customHeight="false" outlineLevel="0" collapsed="false">
      <c r="A1946" s="0" t="s">
        <v>8631</v>
      </c>
      <c r="B1946" s="0" t="n">
        <v>78</v>
      </c>
      <c r="C1946" s="0" t="n">
        <v>359006</v>
      </c>
      <c r="D1946" s="0" t="s">
        <v>5425</v>
      </c>
      <c r="E1946" s="0" t="s">
        <v>237</v>
      </c>
      <c r="F1946" s="0" t="str">
        <f aca="false">CONCATENATE(D1946," ",LEFT(H1946,4),"T=",AU1946,"D=",AV1946,"R=",AW1946,"M=",AX1946,"L=",AY1946,"B=",AZ1946)</f>
        <v>REEVES T=2D=0R=0M=0L=1B=0</v>
      </c>
      <c r="G1946" s="0" t="s">
        <v>522</v>
      </c>
      <c r="I1946" s="0" t="s">
        <v>8632</v>
      </c>
      <c r="J1946" s="0" t="s">
        <v>404</v>
      </c>
      <c r="K1946" s="0" t="s">
        <v>160</v>
      </c>
      <c r="M1946" s="0" t="s">
        <v>8633</v>
      </c>
      <c r="N1946" s="0" t="str">
        <f aca="false">RIGHT(M1946,LEN(M1946)-FIND(" ",M1946))</f>
        <v>PAIGE AVE NE</v>
      </c>
      <c r="P1946" s="0" t="s">
        <v>145</v>
      </c>
      <c r="Q1946" s="0" t="s">
        <v>146</v>
      </c>
      <c r="R1946" s="0" t="n">
        <v>44483</v>
      </c>
      <c r="AD1946" s="0" t="s">
        <v>147</v>
      </c>
      <c r="AE1946" s="0" t="s">
        <v>148</v>
      </c>
      <c r="AF1946" s="0" t="s">
        <v>149</v>
      </c>
      <c r="AH1946" s="0" t="n">
        <v>14</v>
      </c>
      <c r="AI1946" s="0" t="n">
        <v>11</v>
      </c>
      <c r="AN1946" s="0" t="s">
        <v>145</v>
      </c>
      <c r="AO1946" s="0" t="s">
        <v>654</v>
      </c>
      <c r="AP1946" s="0" t="s">
        <v>655</v>
      </c>
      <c r="AQ1946" s="0" t="n">
        <v>9</v>
      </c>
      <c r="AR1946" s="0" t="n">
        <v>64</v>
      </c>
      <c r="AS1946" s="0" t="n">
        <v>32</v>
      </c>
      <c r="AU1946" s="0" t="n">
        <f aca="false">COUNTA($BA$1725:$EH$1725)</f>
        <v>2</v>
      </c>
      <c r="AV1946" s="0" t="n">
        <f aca="false">COUNTIF($BA$1725:$EH$1725,"D")</f>
        <v>0</v>
      </c>
      <c r="AW1946" s="0" t="n">
        <f aca="false">COUNTIF($BA$1725:$EH$1725,"R")</f>
        <v>0</v>
      </c>
      <c r="AX1946" s="0" t="n">
        <f aca="false">IF(BN1946="D",1,0)+IF(BO1946="D",1,0)+IF(BT1946="D",1,0)+IF(BU1946="D",1,0)+IF(BW1946="D",1,0)+IF(CC1946="D",1,0)+IF(CD1946="D",1,0)+IF(CE1946="D",1,0)+IF(CF1946="D",1,0)+IF(CL1946="D",1,0)+IF(CM1946="D",1,0)+IF(CQ1946="D",1,0)+IF(CR1946="D",1,0)+IF(CS1946="D",1,0)+IF(CW1946="D",1,0)+IF(CX1946="D",1,0)+IF(DD1946="D",1,0)+IF(DE1946="D",1,0)+IF(DJ1946="D",1,0)+IF(DK1946="D",1,0)+IF(DO1946="D",1,0)+IF(DP1946="D",1,0)+IF(DQ1946="D",1,0)+IF(DW1946="D",1,0)+IF(DZ1946="D",1,0)+IF(EH1946="D",1,0)</f>
        <v>0</v>
      </c>
      <c r="AY1946" s="0" t="n">
        <f aca="false">COUNTIF(DU1946:EH1946, "&lt;&gt;")</f>
        <v>1</v>
      </c>
      <c r="AZ1946" s="0" t="n">
        <f aca="false">IF(EH1946&lt;&gt;"",1,0)</f>
        <v>0</v>
      </c>
      <c r="BB1946" s="0" t="s">
        <v>152</v>
      </c>
      <c r="CA1946" s="0" t="s">
        <v>153</v>
      </c>
      <c r="CP1946" s="0" t="s">
        <v>153</v>
      </c>
      <c r="DC1946" s="0" t="s">
        <v>153</v>
      </c>
      <c r="EF1946" s="0" t="s">
        <v>153</v>
      </c>
    </row>
    <row r="1947" customFormat="false" ht="13.8" hidden="false" customHeight="false" outlineLevel="0" collapsed="false">
      <c r="A1947" s="0" t="s">
        <v>8634</v>
      </c>
      <c r="B1947" s="0" t="n">
        <v>78</v>
      </c>
      <c r="C1947" s="0" t="n">
        <v>128886</v>
      </c>
      <c r="D1947" s="0" t="s">
        <v>2509</v>
      </c>
      <c r="E1947" s="0" t="s">
        <v>1101</v>
      </c>
      <c r="F1947" s="0" t="str">
        <f aca="false">CONCATENATE(D1947," ",LEFT(H1947,4),"T=",AU1947,"D=",AV1947,"R=",AW1947,"M=",AX1947,"L=",AY1947,"B=",AZ1947)</f>
        <v>ROBINSON T=1D=0R=0M=1L=3B=0</v>
      </c>
      <c r="I1947" s="0" t="s">
        <v>8635</v>
      </c>
      <c r="J1947" s="0" t="s">
        <v>8636</v>
      </c>
      <c r="K1947" s="0" t="s">
        <v>160</v>
      </c>
      <c r="M1947" s="0" t="s">
        <v>8637</v>
      </c>
      <c r="N1947" s="0" t="str">
        <f aca="false">RIGHT(M1947,LEN(M1947)-FIND(" ",M1947))</f>
        <v>PAIGE AVE NE</v>
      </c>
      <c r="P1947" s="0" t="s">
        <v>145</v>
      </c>
      <c r="Q1947" s="0" t="s">
        <v>146</v>
      </c>
      <c r="R1947" s="0" t="n">
        <v>44483</v>
      </c>
      <c r="AD1947" s="0" t="s">
        <v>147</v>
      </c>
      <c r="AE1947" s="0" t="s">
        <v>148</v>
      </c>
      <c r="AF1947" s="0" t="s">
        <v>149</v>
      </c>
      <c r="AH1947" s="0" t="n">
        <v>14</v>
      </c>
      <c r="AI1947" s="0" t="n">
        <v>11</v>
      </c>
      <c r="AN1947" s="0" t="s">
        <v>145</v>
      </c>
      <c r="AO1947" s="0" t="s">
        <v>654</v>
      </c>
      <c r="AP1947" s="0" t="s">
        <v>655</v>
      </c>
      <c r="AQ1947" s="0" t="n">
        <v>9</v>
      </c>
      <c r="AR1947" s="0" t="n">
        <v>64</v>
      </c>
      <c r="AS1947" s="0" t="n">
        <v>32</v>
      </c>
      <c r="AU1947" s="0" t="n">
        <f aca="false">COUNTA($BA$1296:$EH$1296)</f>
        <v>1</v>
      </c>
      <c r="AV1947" s="0" t="n">
        <f aca="false">COUNTIF($BA$1296:$EH$1296,"D")</f>
        <v>0</v>
      </c>
      <c r="AW1947" s="0" t="n">
        <f aca="false">COUNTIF($BA$1296:$EH$1296,"R")</f>
        <v>0</v>
      </c>
      <c r="AX1947" s="0" t="n">
        <f aca="false">IF(BN1947="D",1,0)+IF(BO1947="D",1,0)+IF(BT1947="D",1,0)+IF(BU1947="D",1,0)+IF(BW1947="D",1,0)+IF(CC1947="D",1,0)+IF(CD1947="D",1,0)+IF(CE1947="D",1,0)+IF(CF1947="D",1,0)+IF(CL1947="D",1,0)+IF(CM1947="D",1,0)+IF(CQ1947="D",1,0)+IF(CR1947="D",1,0)+IF(CS1947="D",1,0)+IF(CW1947="D",1,0)+IF(CX1947="D",1,0)+IF(DD1947="D",1,0)+IF(DE1947="D",1,0)+IF(DJ1947="D",1,0)+IF(DK1947="D",1,0)+IF(DO1947="D",1,0)+IF(DP1947="D",1,0)+IF(DQ1947="D",1,0)+IF(DW1947="D",1,0)+IF(DZ1947="D",1,0)+IF(EH1947="D",1,0)</f>
        <v>1</v>
      </c>
      <c r="AY1947" s="0" t="n">
        <f aca="false">COUNTIF(DU1947:EH1947, "&lt;&gt;")</f>
        <v>3</v>
      </c>
      <c r="AZ1947" s="0" t="n">
        <f aca="false">IF(EH1947&lt;&gt;"",1,0)</f>
        <v>0</v>
      </c>
      <c r="BB1947" s="0" t="s">
        <v>152</v>
      </c>
      <c r="BC1947" s="0" t="s">
        <v>153</v>
      </c>
      <c r="BD1947" s="0" t="s">
        <v>153</v>
      </c>
      <c r="BF1947" s="0" t="s">
        <v>153</v>
      </c>
      <c r="BH1947" s="0" t="s">
        <v>153</v>
      </c>
      <c r="BJ1947" s="0" t="s">
        <v>153</v>
      </c>
      <c r="BL1947" s="0" t="s">
        <v>153</v>
      </c>
      <c r="BR1947" s="0" t="s">
        <v>153</v>
      </c>
      <c r="BS1947" s="0" t="s">
        <v>153</v>
      </c>
      <c r="BV1947" s="0" t="s">
        <v>153</v>
      </c>
      <c r="BY1947" s="0" t="s">
        <v>175</v>
      </c>
      <c r="CA1947" s="0" t="s">
        <v>153</v>
      </c>
      <c r="CK1947" s="0" t="s">
        <v>153</v>
      </c>
      <c r="CN1947" s="0" t="s">
        <v>153</v>
      </c>
      <c r="CO1947" s="0" t="s">
        <v>209</v>
      </c>
      <c r="CP1947" s="0" t="s">
        <v>153</v>
      </c>
      <c r="CT1947" s="0" t="s">
        <v>153</v>
      </c>
      <c r="CV1947" s="0" t="s">
        <v>153</v>
      </c>
      <c r="CY1947" s="0" t="s">
        <v>153</v>
      </c>
      <c r="CZ1947" s="0" t="s">
        <v>175</v>
      </c>
      <c r="DC1947" s="0" t="s">
        <v>153</v>
      </c>
      <c r="DG1947" s="0" t="s">
        <v>175</v>
      </c>
      <c r="DI1947" s="0" t="s">
        <v>153</v>
      </c>
      <c r="DJ1947" s="0" t="s">
        <v>175</v>
      </c>
      <c r="DN1947" s="0" t="s">
        <v>153</v>
      </c>
      <c r="DR1947" s="0" t="s">
        <v>153</v>
      </c>
      <c r="DU1947" s="0" t="s">
        <v>153</v>
      </c>
      <c r="EA1947" s="0" t="s">
        <v>153</v>
      </c>
      <c r="EF1947" s="0" t="s">
        <v>153</v>
      </c>
    </row>
    <row r="1948" customFormat="false" ht="13.8" hidden="true" customHeight="false" outlineLevel="0" collapsed="false">
      <c r="A1948" s="0" t="s">
        <v>8638</v>
      </c>
      <c r="B1948" s="0" t="n">
        <v>78</v>
      </c>
      <c r="C1948" s="0" t="n">
        <v>288525</v>
      </c>
      <c r="D1948" s="0" t="s">
        <v>2509</v>
      </c>
      <c r="E1948" s="0" t="s">
        <v>1208</v>
      </c>
      <c r="F1948" s="0" t="str">
        <f aca="false">CONCATENATE(D1948," ",LEFT(H1948,4),"T=",AU1948,"D=",AV1948,"R=",AW1948,"M=",AX1948,"L=",AY1948,"B=",AZ1948)</f>
        <v>ROBINSON T=5D=0R=0M=0L=0B=0</v>
      </c>
      <c r="G1948" s="0" t="s">
        <v>325</v>
      </c>
      <c r="I1948" s="0" t="s">
        <v>8639</v>
      </c>
      <c r="J1948" s="0" t="s">
        <v>8640</v>
      </c>
      <c r="K1948" s="0" t="s">
        <v>143</v>
      </c>
      <c r="M1948" s="0" t="s">
        <v>8637</v>
      </c>
      <c r="N1948" s="0" t="str">
        <f aca="false">RIGHT(M1948,LEN(M1948)-FIND(" ",M1948))</f>
        <v>PAIGE AVE NE</v>
      </c>
      <c r="P1948" s="0" t="s">
        <v>145</v>
      </c>
      <c r="Q1948" s="0" t="s">
        <v>146</v>
      </c>
      <c r="R1948" s="0" t="n">
        <v>44483</v>
      </c>
      <c r="AD1948" s="0" t="s">
        <v>147</v>
      </c>
      <c r="AE1948" s="0" t="s">
        <v>148</v>
      </c>
      <c r="AF1948" s="0" t="s">
        <v>149</v>
      </c>
      <c r="AH1948" s="0" t="n">
        <v>14</v>
      </c>
      <c r="AI1948" s="0" t="n">
        <v>11</v>
      </c>
      <c r="AN1948" s="0" t="s">
        <v>145</v>
      </c>
      <c r="AO1948" s="0" t="s">
        <v>654</v>
      </c>
      <c r="AP1948" s="0" t="s">
        <v>655</v>
      </c>
      <c r="AQ1948" s="0" t="n">
        <v>9</v>
      </c>
      <c r="AR1948" s="0" t="n">
        <v>64</v>
      </c>
      <c r="AS1948" s="0" t="n">
        <v>32</v>
      </c>
      <c r="AU1948" s="0" t="n">
        <f aca="false">COUNTA($BA$1585:$EH$1585)</f>
        <v>5</v>
      </c>
      <c r="AV1948" s="0" t="n">
        <f aca="false">COUNTIF($BA$1585:$EH$1585,"D")</f>
        <v>0</v>
      </c>
      <c r="AW1948" s="0" t="n">
        <f aca="false">COUNTIF($BA$1585:$EH$1585,"R")</f>
        <v>0</v>
      </c>
      <c r="AX1948" s="0" t="n">
        <f aca="false">IF(BN1948="D",1,0)+IF(BO1948="D",1,0)+IF(BT1948="D",1,0)+IF(BU1948="D",1,0)+IF(BW1948="D",1,0)+IF(CC1948="D",1,0)+IF(CD1948="D",1,0)+IF(CE1948="D",1,0)+IF(CF1948="D",1,0)+IF(CL1948="D",1,0)+IF(CM1948="D",1,0)+IF(CQ1948="D",1,0)+IF(CR1948="D",1,0)+IF(CS1948="D",1,0)+IF(CW1948="D",1,0)+IF(CX1948="D",1,0)+IF(DD1948="D",1,0)+IF(DE1948="D",1,0)+IF(DJ1948="D",1,0)+IF(DK1948="D",1,0)+IF(DO1948="D",1,0)+IF(DP1948="D",1,0)+IF(DQ1948="D",1,0)+IF(DW1948="D",1,0)+IF(DZ1948="D",1,0)+IF(EH1948="D",1,0)</f>
        <v>0</v>
      </c>
      <c r="AY1948" s="0" t="n">
        <f aca="false">COUNTIF(DU1948:EH1948, "&lt;&gt;")</f>
        <v>0</v>
      </c>
      <c r="AZ1948" s="0" t="n">
        <f aca="false">IF(EH1948&lt;&gt;"",1,0)</f>
        <v>0</v>
      </c>
      <c r="BB1948" s="0" t="s">
        <v>152</v>
      </c>
      <c r="BL1948" s="0" t="s">
        <v>153</v>
      </c>
      <c r="BY1948" s="0" t="s">
        <v>175</v>
      </c>
      <c r="CA1948" s="0" t="s">
        <v>153</v>
      </c>
      <c r="CP1948" s="0" t="s">
        <v>153</v>
      </c>
      <c r="CY1948" s="0" t="s">
        <v>153</v>
      </c>
      <c r="CZ1948" s="0" t="s">
        <v>209</v>
      </c>
      <c r="DC1948" s="0" t="s">
        <v>153</v>
      </c>
      <c r="DI1948" s="0" t="s">
        <v>153</v>
      </c>
      <c r="DN1948" s="0" t="s">
        <v>153</v>
      </c>
    </row>
    <row r="1949" customFormat="false" ht="13.8" hidden="true" customHeight="false" outlineLevel="0" collapsed="false">
      <c r="A1949" s="0" t="s">
        <v>8641</v>
      </c>
      <c r="B1949" s="0" t="n">
        <v>78</v>
      </c>
      <c r="C1949" s="0" t="n">
        <v>437406</v>
      </c>
      <c r="D1949" s="0" t="s">
        <v>2509</v>
      </c>
      <c r="E1949" s="0" t="s">
        <v>669</v>
      </c>
      <c r="F1949" s="0" t="str">
        <f aca="false">CONCATENATE(D1949," ",LEFT(H1949,4),"T=",AU1949,"D=",AV1949,"R=",AW1949,"M=",AX1949,"L=",AY1949,"B=",AZ1949)</f>
        <v>ROBINSON T=2D=0R=0M=0L=0B=0</v>
      </c>
      <c r="G1949" s="0" t="s">
        <v>8642</v>
      </c>
      <c r="I1949" s="0" t="s">
        <v>8643</v>
      </c>
      <c r="J1949" s="0" t="s">
        <v>8644</v>
      </c>
      <c r="K1949" s="0" t="s">
        <v>160</v>
      </c>
      <c r="M1949" s="0" t="s">
        <v>8637</v>
      </c>
      <c r="N1949" s="0" t="str">
        <f aca="false">RIGHT(M1949,LEN(M1949)-FIND(" ",M1949))</f>
        <v>PAIGE AVE NE</v>
      </c>
      <c r="P1949" s="0" t="s">
        <v>145</v>
      </c>
      <c r="Q1949" s="0" t="s">
        <v>146</v>
      </c>
      <c r="R1949" s="0" t="n">
        <v>44483</v>
      </c>
      <c r="AD1949" s="0" t="s">
        <v>147</v>
      </c>
      <c r="AE1949" s="0" t="s">
        <v>148</v>
      </c>
      <c r="AF1949" s="0" t="s">
        <v>149</v>
      </c>
      <c r="AH1949" s="0" t="n">
        <v>14</v>
      </c>
      <c r="AI1949" s="0" t="n">
        <v>11</v>
      </c>
      <c r="AN1949" s="0" t="s">
        <v>145</v>
      </c>
      <c r="AO1949" s="0" t="s">
        <v>654</v>
      </c>
      <c r="AP1949" s="0" t="s">
        <v>655</v>
      </c>
      <c r="AQ1949" s="0" t="n">
        <v>9</v>
      </c>
      <c r="AR1949" s="0" t="n">
        <v>64</v>
      </c>
      <c r="AS1949" s="0" t="n">
        <v>32</v>
      </c>
      <c r="AU1949" s="0" t="n">
        <f aca="false">COUNTA($BA$1967:$EH$1967)</f>
        <v>2</v>
      </c>
      <c r="AV1949" s="0" t="n">
        <f aca="false">COUNTIF($BA$1967:$EH$1967,"D")</f>
        <v>0</v>
      </c>
      <c r="AW1949" s="0" t="n">
        <f aca="false">COUNTIF($BA$1967:$EH$1967,"R")</f>
        <v>0</v>
      </c>
      <c r="AX1949" s="0" t="n">
        <f aca="false">IF(BN1949="D",1,0)+IF(BO1949="D",1,0)+IF(BT1949="D",1,0)+IF(BU1949="D",1,0)+IF(BW1949="D",1,0)+IF(CC1949="D",1,0)+IF(CD1949="D",1,0)+IF(CE1949="D",1,0)+IF(CF1949="D",1,0)+IF(CL1949="D",1,0)+IF(CM1949="D",1,0)+IF(CQ1949="D",1,0)+IF(CR1949="D",1,0)+IF(CS1949="D",1,0)+IF(CW1949="D",1,0)+IF(CX1949="D",1,0)+IF(DD1949="D",1,0)+IF(DE1949="D",1,0)+IF(DJ1949="D",1,0)+IF(DK1949="D",1,0)+IF(DO1949="D",1,0)+IF(DP1949="D",1,0)+IF(DQ1949="D",1,0)+IF(DW1949="D",1,0)+IF(DZ1949="D",1,0)+IF(EH1949="D",1,0)</f>
        <v>0</v>
      </c>
      <c r="AY1949" s="0" t="n">
        <f aca="false">COUNTIF(DU1949:EH1949, "&lt;&gt;")</f>
        <v>0</v>
      </c>
      <c r="AZ1949" s="0" t="n">
        <f aca="false">IF(EH1949&lt;&gt;"",1,0)</f>
        <v>0</v>
      </c>
      <c r="BB1949" s="0" t="s">
        <v>152</v>
      </c>
    </row>
    <row r="1950" customFormat="false" ht="13.8" hidden="false" customHeight="false" outlineLevel="0" collapsed="false">
      <c r="A1950" s="0" t="s">
        <v>8645</v>
      </c>
      <c r="B1950" s="0" t="n">
        <v>78</v>
      </c>
      <c r="C1950" s="0" t="n">
        <v>419820</v>
      </c>
      <c r="D1950" s="0" t="s">
        <v>8646</v>
      </c>
      <c r="E1950" s="0" t="s">
        <v>4575</v>
      </c>
      <c r="F1950" s="0" t="str">
        <f aca="false">CONCATENATE(D1950," ",LEFT(H1950,4),"T=",AU1950,"D=",AV1950,"R=",AW1950,"M=",AX1950,"L=",AY1950,"B=",AZ1950)</f>
        <v>SPELICH T=47D=15R=0M=1L=6B=0</v>
      </c>
      <c r="G1950" s="0" t="s">
        <v>171</v>
      </c>
      <c r="I1950" s="0" t="s">
        <v>8647</v>
      </c>
      <c r="J1950" s="0" t="s">
        <v>6448</v>
      </c>
      <c r="K1950" s="0" t="s">
        <v>160</v>
      </c>
      <c r="L1950" s="0" t="s">
        <v>175</v>
      </c>
      <c r="M1950" s="0" t="s">
        <v>8648</v>
      </c>
      <c r="N1950" s="0" t="str">
        <f aca="false">RIGHT(M1950,LEN(M1950)-FIND(" ",M1950))</f>
        <v>PAIGE AVE NE</v>
      </c>
      <c r="P1950" s="0" t="s">
        <v>145</v>
      </c>
      <c r="Q1950" s="0" t="s">
        <v>146</v>
      </c>
      <c r="R1950" s="0" t="n">
        <v>44483</v>
      </c>
      <c r="AD1950" s="0" t="s">
        <v>147</v>
      </c>
      <c r="AE1950" s="0" t="s">
        <v>148</v>
      </c>
      <c r="AF1950" s="0" t="s">
        <v>149</v>
      </c>
      <c r="AH1950" s="0" t="n">
        <v>14</v>
      </c>
      <c r="AI1950" s="0" t="n">
        <v>11</v>
      </c>
      <c r="AN1950" s="0" t="s">
        <v>145</v>
      </c>
      <c r="AO1950" s="0" t="s">
        <v>654</v>
      </c>
      <c r="AP1950" s="0" t="s">
        <v>655</v>
      </c>
      <c r="AQ1950" s="0" t="n">
        <v>9</v>
      </c>
      <c r="AR1950" s="0" t="n">
        <v>64</v>
      </c>
      <c r="AS1950" s="0" t="n">
        <v>32</v>
      </c>
      <c r="AU1950" s="0" t="n">
        <f aca="false">COUNTA($BA$1708:$EH$1708)</f>
        <v>47</v>
      </c>
      <c r="AV1950" s="0" t="n">
        <f aca="false">COUNTIF($BA$1708:$EH$1708,"D")</f>
        <v>15</v>
      </c>
      <c r="AW1950" s="0" t="n">
        <f aca="false">COUNTIF($BA$1708:$EH$1708,"R")</f>
        <v>0</v>
      </c>
      <c r="AX1950" s="0" t="n">
        <f aca="false">IF(BN1950="D",1,0)+IF(BO1950="D",1,0)+IF(BT1950="D",1,0)+IF(BU1950="D",1,0)+IF(BW1950="D",1,0)+IF(CC1950="D",1,0)+IF(CD1950="D",1,0)+IF(CE1950="D",1,0)+IF(CF1950="D",1,0)+IF(CL1950="D",1,0)+IF(CM1950="D",1,0)+IF(CQ1950="D",1,0)+IF(CR1950="D",1,0)+IF(CS1950="D",1,0)+IF(CW1950="D",1,0)+IF(CX1950="D",1,0)+IF(DD1950="D",1,0)+IF(DE1950="D",1,0)+IF(DJ1950="D",1,0)+IF(DK1950="D",1,0)+IF(DO1950="D",1,0)+IF(DP1950="D",1,0)+IF(DQ1950="D",1,0)+IF(DW1950="D",1,0)+IF(DZ1950="D",1,0)+IF(EH1950="D",1,0)</f>
        <v>1</v>
      </c>
      <c r="AY1950" s="0" t="n">
        <f aca="false">COUNTIF(DU1950:EH1950, "&lt;&gt;")</f>
        <v>6</v>
      </c>
      <c r="AZ1950" s="0" t="n">
        <f aca="false">IF(EH1950&lt;&gt;"",1,0)</f>
        <v>0</v>
      </c>
      <c r="BB1950" s="0" t="s">
        <v>152</v>
      </c>
      <c r="DC1950" s="0" t="s">
        <v>153</v>
      </c>
      <c r="DI1950" s="0" t="s">
        <v>153</v>
      </c>
      <c r="DM1950" s="0" t="s">
        <v>175</v>
      </c>
      <c r="DN1950" s="0" t="s">
        <v>153</v>
      </c>
      <c r="DU1950" s="0" t="s">
        <v>153</v>
      </c>
      <c r="DW1950" s="0" t="s">
        <v>175</v>
      </c>
      <c r="DX1950" s="0" t="s">
        <v>153</v>
      </c>
      <c r="EA1950" s="0" t="s">
        <v>153</v>
      </c>
      <c r="ED1950" s="0" t="s">
        <v>175</v>
      </c>
      <c r="EF1950" s="0" t="s">
        <v>153</v>
      </c>
    </row>
    <row r="1951" customFormat="false" ht="13.8" hidden="true" customHeight="false" outlineLevel="0" collapsed="false">
      <c r="A1951" s="0" t="s">
        <v>8649</v>
      </c>
      <c r="B1951" s="0" t="n">
        <v>78</v>
      </c>
      <c r="C1951" s="0" t="n">
        <v>494402</v>
      </c>
      <c r="D1951" s="0" t="s">
        <v>8650</v>
      </c>
      <c r="E1951" s="0" t="s">
        <v>1917</v>
      </c>
      <c r="F1951" s="0" t="str">
        <f aca="false">CONCATENATE(D1951," ",LEFT(H1951,4),"T=",AU1951,"D=",AV1951,"R=",AW1951,"M=",AX1951,"L=",AY1951,"B=",AZ1951)</f>
        <v>WOODALL IIT=1D=0R=0M=0L=0B=0</v>
      </c>
      <c r="G1951" s="0" t="s">
        <v>357</v>
      </c>
      <c r="H1951" s="0" t="s">
        <v>476</v>
      </c>
      <c r="I1951" s="0" t="s">
        <v>8651</v>
      </c>
      <c r="J1951" s="0" t="s">
        <v>8652</v>
      </c>
      <c r="K1951" s="0" t="s">
        <v>160</v>
      </c>
      <c r="M1951" s="0" t="s">
        <v>8653</v>
      </c>
      <c r="N1951" s="0" t="str">
        <f aca="false">RIGHT(M1951,LEN(M1951)-FIND(" ",M1951))</f>
        <v>PAIGE AVE NE</v>
      </c>
      <c r="P1951" s="0" t="s">
        <v>145</v>
      </c>
      <c r="Q1951" s="0" t="s">
        <v>146</v>
      </c>
      <c r="R1951" s="0" t="n">
        <v>44483</v>
      </c>
      <c r="AD1951" s="0" t="s">
        <v>147</v>
      </c>
      <c r="AE1951" s="0" t="s">
        <v>148</v>
      </c>
      <c r="AF1951" s="0" t="s">
        <v>149</v>
      </c>
      <c r="AH1951" s="0" t="n">
        <v>14</v>
      </c>
      <c r="AI1951" s="0" t="n">
        <v>11</v>
      </c>
      <c r="AN1951" s="0" t="s">
        <v>145</v>
      </c>
      <c r="AO1951" s="0" t="s">
        <v>654</v>
      </c>
      <c r="AP1951" s="0" t="s">
        <v>655</v>
      </c>
      <c r="AQ1951" s="0" t="n">
        <v>9</v>
      </c>
      <c r="AR1951" s="0" t="n">
        <v>64</v>
      </c>
      <c r="AS1951" s="0" t="n">
        <v>32</v>
      </c>
      <c r="AU1951" s="0" t="n">
        <f aca="false">COUNTA($BA$1912:$EH$1912)</f>
        <v>1</v>
      </c>
      <c r="AV1951" s="0" t="n">
        <f aca="false">COUNTIF($BA$1912:$EH$1912,"D")</f>
        <v>0</v>
      </c>
      <c r="AW1951" s="0" t="n">
        <f aca="false">COUNTIF($BA$1912:$EH$1912,"R")</f>
        <v>0</v>
      </c>
      <c r="AX1951" s="0" t="n">
        <f aca="false">IF(BN1951="D",1,0)+IF(BO1951="D",1,0)+IF(BT1951="D",1,0)+IF(BU1951="D",1,0)+IF(BW1951="D",1,0)+IF(CC1951="D",1,0)+IF(CD1951="D",1,0)+IF(CE1951="D",1,0)+IF(CF1951="D",1,0)+IF(CL1951="D",1,0)+IF(CM1951="D",1,0)+IF(CQ1951="D",1,0)+IF(CR1951="D",1,0)+IF(CS1951="D",1,0)+IF(CW1951="D",1,0)+IF(CX1951="D",1,0)+IF(DD1951="D",1,0)+IF(DE1951="D",1,0)+IF(DJ1951="D",1,0)+IF(DK1951="D",1,0)+IF(DO1951="D",1,0)+IF(DP1951="D",1,0)+IF(DQ1951="D",1,0)+IF(DW1951="D",1,0)+IF(DZ1951="D",1,0)+IF(EH1951="D",1,0)</f>
        <v>0</v>
      </c>
      <c r="AY1951" s="0" t="n">
        <f aca="false">COUNTIF(DU1951:EH1951, "&lt;&gt;")</f>
        <v>0</v>
      </c>
      <c r="AZ1951" s="0" t="n">
        <f aca="false">IF(EH1951&lt;&gt;"",1,0)</f>
        <v>0</v>
      </c>
      <c r="BB1951" s="0" t="s">
        <v>152</v>
      </c>
    </row>
    <row r="1952" customFormat="false" ht="13.8" hidden="true" customHeight="false" outlineLevel="0" collapsed="false">
      <c r="A1952" s="0" t="s">
        <v>8654</v>
      </c>
      <c r="B1952" s="0" t="n">
        <v>78</v>
      </c>
      <c r="C1952" s="0" t="n">
        <v>397317</v>
      </c>
      <c r="D1952" s="0" t="s">
        <v>8650</v>
      </c>
      <c r="E1952" s="0" t="s">
        <v>8655</v>
      </c>
      <c r="F1952" s="0" t="str">
        <f aca="false">CONCATENATE(D1952," ",LEFT(H1952,4),"T=",AU1952,"D=",AV1952,"R=",AW1952,"M=",AX1952,"L=",AY1952,"B=",AZ1952)</f>
        <v>WOODALL T=3D=0R=0M=0L=1B=0</v>
      </c>
      <c r="G1952" s="0" t="s">
        <v>690</v>
      </c>
      <c r="I1952" s="0" t="s">
        <v>8656</v>
      </c>
      <c r="J1952" s="0" t="s">
        <v>8657</v>
      </c>
      <c r="K1952" s="0" t="s">
        <v>160</v>
      </c>
      <c r="M1952" s="0" t="s">
        <v>8658</v>
      </c>
      <c r="N1952" s="0" t="str">
        <f aca="false">RIGHT(M1952,LEN(M1952)-FIND(" ",M1952))</f>
        <v>PAIGE AVE NE</v>
      </c>
      <c r="P1952" s="0" t="s">
        <v>145</v>
      </c>
      <c r="Q1952" s="0" t="s">
        <v>146</v>
      </c>
      <c r="R1952" s="0" t="n">
        <v>44483</v>
      </c>
      <c r="AD1952" s="0" t="s">
        <v>147</v>
      </c>
      <c r="AE1952" s="0" t="s">
        <v>148</v>
      </c>
      <c r="AF1952" s="0" t="s">
        <v>149</v>
      </c>
      <c r="AH1952" s="0" t="n">
        <v>14</v>
      </c>
      <c r="AI1952" s="0" t="n">
        <v>11</v>
      </c>
      <c r="AN1952" s="0" t="s">
        <v>145</v>
      </c>
      <c r="AO1952" s="0" t="s">
        <v>654</v>
      </c>
      <c r="AP1952" s="0" t="s">
        <v>655</v>
      </c>
      <c r="AQ1952" s="0" t="n">
        <v>9</v>
      </c>
      <c r="AR1952" s="0" t="n">
        <v>64</v>
      </c>
      <c r="AS1952" s="0" t="n">
        <v>32</v>
      </c>
      <c r="AU1952" s="0" t="n">
        <f aca="false">COUNTA($BA$1942:$EH$1942)</f>
        <v>3</v>
      </c>
      <c r="AV1952" s="0" t="n">
        <f aca="false">COUNTIF($BA$1942:$EH$1942,"D")</f>
        <v>0</v>
      </c>
      <c r="AW1952" s="0" t="n">
        <f aca="false">COUNTIF($BA$1942:$EH$1942,"R")</f>
        <v>0</v>
      </c>
      <c r="AX1952" s="0" t="n">
        <f aca="false">IF(BN1952="D",1,0)+IF(BO1952="D",1,0)+IF(BT1952="D",1,0)+IF(BU1952="D",1,0)+IF(BW1952="D",1,0)+IF(CC1952="D",1,0)+IF(CD1952="D",1,0)+IF(CE1952="D",1,0)+IF(CF1952="D",1,0)+IF(CL1952="D",1,0)+IF(CM1952="D",1,0)+IF(CQ1952="D",1,0)+IF(CR1952="D",1,0)+IF(CS1952="D",1,0)+IF(CW1952="D",1,0)+IF(CX1952="D",1,0)+IF(DD1952="D",1,0)+IF(DE1952="D",1,0)+IF(DJ1952="D",1,0)+IF(DK1952="D",1,0)+IF(DO1952="D",1,0)+IF(DP1952="D",1,0)+IF(DQ1952="D",1,0)+IF(DW1952="D",1,0)+IF(DZ1952="D",1,0)+IF(EH1952="D",1,0)</f>
        <v>0</v>
      </c>
      <c r="AY1952" s="0" t="n">
        <f aca="false">COUNTIF(DU1952:EH1952, "&lt;&gt;")</f>
        <v>1</v>
      </c>
      <c r="AZ1952" s="0" t="n">
        <f aca="false">IF(EH1952&lt;&gt;"",1,0)</f>
        <v>0</v>
      </c>
      <c r="BB1952" s="0" t="s">
        <v>152</v>
      </c>
      <c r="DC1952" s="0" t="s">
        <v>153</v>
      </c>
      <c r="DI1952" s="0" t="s">
        <v>153</v>
      </c>
      <c r="DN1952" s="0" t="s">
        <v>153</v>
      </c>
      <c r="DU1952" s="0" t="s">
        <v>153</v>
      </c>
    </row>
    <row r="1953" customFormat="false" ht="13.8" hidden="true" customHeight="false" outlineLevel="0" collapsed="false">
      <c r="A1953" s="0" t="s">
        <v>8659</v>
      </c>
      <c r="B1953" s="0" t="n">
        <v>78</v>
      </c>
      <c r="C1953" s="0" t="n">
        <v>452156</v>
      </c>
      <c r="D1953" s="0" t="s">
        <v>8660</v>
      </c>
      <c r="E1953" s="0" t="s">
        <v>8661</v>
      </c>
      <c r="F1953" s="0" t="str">
        <f aca="false">CONCATENATE(D1953," ",LEFT(H1953,4),"T=",AU1953,"D=",AV1953,"R=",AW1953,"M=",AX1953,"L=",AY1953,"B=",AZ1953)</f>
        <v>HORNE T=15D=1R=0M=0L=0B=0</v>
      </c>
      <c r="G1953" s="0" t="s">
        <v>1031</v>
      </c>
      <c r="I1953" s="0" t="s">
        <v>8662</v>
      </c>
      <c r="J1953" s="0" t="s">
        <v>560</v>
      </c>
      <c r="K1953" s="0" t="s">
        <v>160</v>
      </c>
      <c r="M1953" s="0" t="s">
        <v>8663</v>
      </c>
      <c r="N1953" s="0" t="str">
        <f aca="false">RIGHT(M1953,LEN(M1953)-FIND(" ",M1953))</f>
        <v>PAIGE AVE NE</v>
      </c>
      <c r="P1953" s="0" t="s">
        <v>145</v>
      </c>
      <c r="Q1953" s="0" t="s">
        <v>146</v>
      </c>
      <c r="R1953" s="0" t="n">
        <v>44483</v>
      </c>
      <c r="AD1953" s="0" t="s">
        <v>147</v>
      </c>
      <c r="AE1953" s="0" t="s">
        <v>148</v>
      </c>
      <c r="AF1953" s="0" t="s">
        <v>149</v>
      </c>
      <c r="AH1953" s="0" t="n">
        <v>14</v>
      </c>
      <c r="AI1953" s="0" t="n">
        <v>11</v>
      </c>
      <c r="AN1953" s="0" t="s">
        <v>145</v>
      </c>
      <c r="AO1953" s="0" t="s">
        <v>654</v>
      </c>
      <c r="AP1953" s="0" t="s">
        <v>655</v>
      </c>
      <c r="AQ1953" s="0" t="n">
        <v>9</v>
      </c>
      <c r="AR1953" s="0" t="n">
        <v>64</v>
      </c>
      <c r="AS1953" s="0" t="n">
        <v>32</v>
      </c>
      <c r="AU1953" s="0" t="n">
        <f aca="false">COUNTA($BA$1667:$EH$1667)</f>
        <v>15</v>
      </c>
      <c r="AV1953" s="0" t="n">
        <f aca="false">COUNTIF($BA$1667:$EH$1667,"D")</f>
        <v>1</v>
      </c>
      <c r="AW1953" s="0" t="n">
        <f aca="false">COUNTIF($BA$1667:$EH$1667,"R")</f>
        <v>0</v>
      </c>
      <c r="AX1953" s="0" t="n">
        <f aca="false">IF(BN1953="D",1,0)+IF(BO1953="D",1,0)+IF(BT1953="D",1,0)+IF(BU1953="D",1,0)+IF(BW1953="D",1,0)+IF(CC1953="D",1,0)+IF(CD1953="D",1,0)+IF(CE1953="D",1,0)+IF(CF1953="D",1,0)+IF(CL1953="D",1,0)+IF(CM1953="D",1,0)+IF(CQ1953="D",1,0)+IF(CR1953="D",1,0)+IF(CS1953="D",1,0)+IF(CW1953="D",1,0)+IF(CX1953="D",1,0)+IF(DD1953="D",1,0)+IF(DE1953="D",1,0)+IF(DJ1953="D",1,0)+IF(DK1953="D",1,0)+IF(DO1953="D",1,0)+IF(DP1953="D",1,0)+IF(DQ1953="D",1,0)+IF(DW1953="D",1,0)+IF(DZ1953="D",1,0)+IF(EH1953="D",1,0)</f>
        <v>0</v>
      </c>
      <c r="AY1953" s="0" t="n">
        <f aca="false">COUNTIF(DU1953:EH1953, "&lt;&gt;")</f>
        <v>0</v>
      </c>
      <c r="AZ1953" s="0" t="n">
        <f aca="false">IF(EH1953&lt;&gt;"",1,0)</f>
        <v>0</v>
      </c>
      <c r="BB1953" s="0" t="s">
        <v>152</v>
      </c>
      <c r="CA1953" s="0" t="s">
        <v>153</v>
      </c>
    </row>
    <row r="1954" customFormat="false" ht="13.8" hidden="false" customHeight="false" outlineLevel="0" collapsed="false">
      <c r="A1954" s="0" t="s">
        <v>8664</v>
      </c>
      <c r="B1954" s="0" t="n">
        <v>78</v>
      </c>
      <c r="C1954" s="0" t="n">
        <v>220755</v>
      </c>
      <c r="D1954" s="0" t="s">
        <v>8665</v>
      </c>
      <c r="E1954" s="0" t="s">
        <v>2505</v>
      </c>
      <c r="F1954" s="0" t="str">
        <f aca="false">CONCATENATE(D1954," ",LEFT(H1954,4),"T=",AU1954,"D=",AV1954,"R=",AW1954,"M=",AX1954,"L=",AY1954,"B=",AZ1954)</f>
        <v>KYSER T=3D=0R=0M=0L=4B=0</v>
      </c>
      <c r="G1954" s="0" t="s">
        <v>215</v>
      </c>
      <c r="I1954" s="0" t="s">
        <v>8666</v>
      </c>
      <c r="J1954" s="0" t="s">
        <v>8667</v>
      </c>
      <c r="K1954" s="0" t="s">
        <v>160</v>
      </c>
      <c r="M1954" s="0" t="s">
        <v>8663</v>
      </c>
      <c r="N1954" s="0" t="str">
        <f aca="false">RIGHT(M1954,LEN(M1954)-FIND(" ",M1954))</f>
        <v>PAIGE AVE NE</v>
      </c>
      <c r="P1954" s="0" t="s">
        <v>145</v>
      </c>
      <c r="Q1954" s="0" t="s">
        <v>146</v>
      </c>
      <c r="R1954" s="0" t="n">
        <v>44483</v>
      </c>
      <c r="AD1954" s="0" t="s">
        <v>147</v>
      </c>
      <c r="AE1954" s="0" t="s">
        <v>148</v>
      </c>
      <c r="AF1954" s="0" t="s">
        <v>149</v>
      </c>
      <c r="AH1954" s="0" t="n">
        <v>14</v>
      </c>
      <c r="AI1954" s="0" t="n">
        <v>11</v>
      </c>
      <c r="AN1954" s="0" t="s">
        <v>145</v>
      </c>
      <c r="AO1954" s="0" t="s">
        <v>654</v>
      </c>
      <c r="AP1954" s="0" t="s">
        <v>655</v>
      </c>
      <c r="AQ1954" s="0" t="n">
        <v>9</v>
      </c>
      <c r="AR1954" s="0" t="n">
        <v>64</v>
      </c>
      <c r="AS1954" s="0" t="n">
        <v>32</v>
      </c>
      <c r="AU1954" s="0" t="n">
        <f aca="false">COUNTA($BA$1895:$EH$1895)</f>
        <v>3</v>
      </c>
      <c r="AV1954" s="0" t="n">
        <f aca="false">COUNTIF($BA$1895:$EH$1895,"D")</f>
        <v>0</v>
      </c>
      <c r="AW1954" s="0" t="n">
        <f aca="false">COUNTIF($BA$1895:$EH$1895,"R")</f>
        <v>0</v>
      </c>
      <c r="AX1954" s="0" t="n">
        <f aca="false">IF(BN1954="D",1,0)+IF(BO1954="D",1,0)+IF(BT1954="D",1,0)+IF(BU1954="D",1,0)+IF(BW1954="D",1,0)+IF(CC1954="D",1,0)+IF(CD1954="D",1,0)+IF(CE1954="D",1,0)+IF(CF1954="D",1,0)+IF(CL1954="D",1,0)+IF(CM1954="D",1,0)+IF(CQ1954="D",1,0)+IF(CR1954="D",1,0)+IF(CS1954="D",1,0)+IF(CW1954="D",1,0)+IF(CX1954="D",1,0)+IF(DD1954="D",1,0)+IF(DE1954="D",1,0)+IF(DJ1954="D",1,0)+IF(DK1954="D",1,0)+IF(DO1954="D",1,0)+IF(DP1954="D",1,0)+IF(DQ1954="D",1,0)+IF(DW1954="D",1,0)+IF(DZ1954="D",1,0)+IF(EH1954="D",1,0)</f>
        <v>0</v>
      </c>
      <c r="AY1954" s="0" t="n">
        <f aca="false">COUNTIF(DU1954:EH1954, "&lt;&gt;")</f>
        <v>4</v>
      </c>
      <c r="AZ1954" s="0" t="n">
        <f aca="false">IF(EH1954&lt;&gt;"",1,0)</f>
        <v>0</v>
      </c>
      <c r="BB1954" s="0" t="s">
        <v>152</v>
      </c>
      <c r="BD1954" s="0" t="s">
        <v>153</v>
      </c>
      <c r="BG1954" s="0" t="s">
        <v>153</v>
      </c>
      <c r="BH1954" s="0" t="s">
        <v>153</v>
      </c>
      <c r="BL1954" s="0" t="s">
        <v>153</v>
      </c>
      <c r="BS1954" s="0" t="s">
        <v>153</v>
      </c>
      <c r="BY1954" s="0" t="s">
        <v>175</v>
      </c>
      <c r="CA1954" s="0" t="s">
        <v>153</v>
      </c>
      <c r="CP1954" s="0" t="s">
        <v>153</v>
      </c>
      <c r="CZ1954" s="0" t="s">
        <v>175</v>
      </c>
      <c r="DM1954" s="0" t="s">
        <v>175</v>
      </c>
      <c r="DN1954" s="0" t="s">
        <v>153</v>
      </c>
      <c r="DU1954" s="0" t="s">
        <v>153</v>
      </c>
      <c r="DX1954" s="0" t="s">
        <v>153</v>
      </c>
      <c r="EA1954" s="0" t="s">
        <v>153</v>
      </c>
      <c r="EF1954" s="0" t="s">
        <v>153</v>
      </c>
    </row>
    <row r="1955" customFormat="false" ht="13.8" hidden="true" customHeight="false" outlineLevel="0" collapsed="false">
      <c r="A1955" s="0" t="s">
        <v>8668</v>
      </c>
      <c r="B1955" s="0" t="n">
        <v>78</v>
      </c>
      <c r="C1955" s="0" t="n">
        <v>435711</v>
      </c>
      <c r="D1955" s="0" t="s">
        <v>193</v>
      </c>
      <c r="E1955" s="0" t="s">
        <v>8669</v>
      </c>
      <c r="F1955" s="0" t="str">
        <f aca="false">CONCATENATE(D1955," ",LEFT(H1955,4),"T=",AU1955,"D=",AV1955,"R=",AW1955,"M=",AX1955,"L=",AY1955,"B=",AZ1955)</f>
        <v>MORGAN T=1D=0R=0M=0L=1B=0</v>
      </c>
      <c r="G1955" s="0" t="s">
        <v>8670</v>
      </c>
      <c r="I1955" s="0" t="s">
        <v>8671</v>
      </c>
      <c r="J1955" s="0" t="s">
        <v>3160</v>
      </c>
      <c r="K1955" s="0" t="s">
        <v>160</v>
      </c>
      <c r="M1955" s="0" t="s">
        <v>8663</v>
      </c>
      <c r="N1955" s="0" t="str">
        <f aca="false">RIGHT(M1955,LEN(M1955)-FIND(" ",M1955))</f>
        <v>PAIGE AVE NE</v>
      </c>
      <c r="P1955" s="0" t="s">
        <v>145</v>
      </c>
      <c r="Q1955" s="0" t="s">
        <v>146</v>
      </c>
      <c r="R1955" s="0" t="n">
        <v>44483</v>
      </c>
      <c r="AD1955" s="0" t="s">
        <v>147</v>
      </c>
      <c r="AE1955" s="0" t="s">
        <v>148</v>
      </c>
      <c r="AF1955" s="0" t="s">
        <v>149</v>
      </c>
      <c r="AH1955" s="0" t="n">
        <v>14</v>
      </c>
      <c r="AI1955" s="0" t="n">
        <v>11</v>
      </c>
      <c r="AN1955" s="0" t="s">
        <v>145</v>
      </c>
      <c r="AO1955" s="0" t="s">
        <v>654</v>
      </c>
      <c r="AP1955" s="0" t="s">
        <v>655</v>
      </c>
      <c r="AQ1955" s="0" t="n">
        <v>9</v>
      </c>
      <c r="AR1955" s="0" t="n">
        <v>64</v>
      </c>
      <c r="AS1955" s="0" t="n">
        <v>32</v>
      </c>
      <c r="AU1955" s="0" t="n">
        <f aca="false">COUNTA($BA$1982:$EH$1982)</f>
        <v>1</v>
      </c>
      <c r="AV1955" s="0" t="n">
        <f aca="false">COUNTIF($BA$1982:$EH$1982,"D")</f>
        <v>0</v>
      </c>
      <c r="AW1955" s="0" t="n">
        <f aca="false">COUNTIF($BA$1982:$EH$1982,"R")</f>
        <v>0</v>
      </c>
      <c r="AX1955" s="0" t="n">
        <f aca="false">IF(BN1955="D",1,0)+IF(BO1955="D",1,0)+IF(BT1955="D",1,0)+IF(BU1955="D",1,0)+IF(BW1955="D",1,0)+IF(CC1955="D",1,0)+IF(CD1955="D",1,0)+IF(CE1955="D",1,0)+IF(CF1955="D",1,0)+IF(CL1955="D",1,0)+IF(CM1955="D",1,0)+IF(CQ1955="D",1,0)+IF(CR1955="D",1,0)+IF(CS1955="D",1,0)+IF(CW1955="D",1,0)+IF(CX1955="D",1,0)+IF(DD1955="D",1,0)+IF(DE1955="D",1,0)+IF(DJ1955="D",1,0)+IF(DK1955="D",1,0)+IF(DO1955="D",1,0)+IF(DP1955="D",1,0)+IF(DQ1955="D",1,0)+IF(DW1955="D",1,0)+IF(DZ1955="D",1,0)+IF(EH1955="D",1,0)</f>
        <v>0</v>
      </c>
      <c r="AY1955" s="0" t="n">
        <f aca="false">COUNTIF(DU1955:EH1955, "&lt;&gt;")</f>
        <v>1</v>
      </c>
      <c r="AZ1955" s="0" t="n">
        <f aca="false">IF(EH1955&lt;&gt;"",1,0)</f>
        <v>0</v>
      </c>
      <c r="BB1955" s="0" t="s">
        <v>152</v>
      </c>
      <c r="DN1955" s="0" t="s">
        <v>153</v>
      </c>
      <c r="EF1955" s="0" t="s">
        <v>153</v>
      </c>
    </row>
    <row r="1956" customFormat="false" ht="13.8" hidden="false" customHeight="false" outlineLevel="0" collapsed="false">
      <c r="A1956" s="0" t="s">
        <v>8672</v>
      </c>
      <c r="B1956" s="0" t="n">
        <v>78</v>
      </c>
      <c r="C1956" s="0" t="n">
        <v>212103</v>
      </c>
      <c r="D1956" s="0" t="s">
        <v>3545</v>
      </c>
      <c r="E1956" s="0" t="s">
        <v>621</v>
      </c>
      <c r="F1956" s="0" t="str">
        <f aca="false">CONCATENATE(D1956," ",LEFT(H1956,4),"T=",AU1956,"D=",AV1956,"R=",AW1956,"M=",AX1956,"L=",AY1956,"B=",AZ1956)</f>
        <v>FLOWERS T=1D=0R=0M=1L=5B=1</v>
      </c>
      <c r="G1956" s="0" t="s">
        <v>195</v>
      </c>
      <c r="I1956" s="0" t="s">
        <v>8673</v>
      </c>
      <c r="J1956" s="0" t="s">
        <v>3530</v>
      </c>
      <c r="K1956" s="0" t="s">
        <v>160</v>
      </c>
      <c r="L1956" s="0" t="s">
        <v>175</v>
      </c>
      <c r="M1956" s="0" t="s">
        <v>8674</v>
      </c>
      <c r="N1956" s="0" t="str">
        <f aca="false">RIGHT(M1956,LEN(M1956)-FIND(" ",M1956))</f>
        <v>PAIGE AVE NE</v>
      </c>
      <c r="P1956" s="0" t="s">
        <v>145</v>
      </c>
      <c r="Q1956" s="0" t="s">
        <v>146</v>
      </c>
      <c r="R1956" s="0" t="n">
        <v>44483</v>
      </c>
      <c r="AD1956" s="0" t="s">
        <v>147</v>
      </c>
      <c r="AE1956" s="0" t="s">
        <v>148</v>
      </c>
      <c r="AF1956" s="0" t="s">
        <v>149</v>
      </c>
      <c r="AH1956" s="0" t="n">
        <v>14</v>
      </c>
      <c r="AI1956" s="0" t="n">
        <v>11</v>
      </c>
      <c r="AN1956" s="0" t="s">
        <v>145</v>
      </c>
      <c r="AO1956" s="0" t="s">
        <v>654</v>
      </c>
      <c r="AP1956" s="0" t="s">
        <v>655</v>
      </c>
      <c r="AQ1956" s="0" t="n">
        <v>9</v>
      </c>
      <c r="AR1956" s="0" t="n">
        <v>64</v>
      </c>
      <c r="AS1956" s="0" t="n">
        <v>32</v>
      </c>
      <c r="AU1956" s="0" t="n">
        <f aca="false">COUNTA($BA$2067:$EH$2067)</f>
        <v>1</v>
      </c>
      <c r="AV1956" s="0" t="n">
        <f aca="false">COUNTIF($BA$2067:$EH$2067,"D")</f>
        <v>0</v>
      </c>
      <c r="AW1956" s="0" t="n">
        <f aca="false">COUNTIF($BA$2067:$EH$2067,"R")</f>
        <v>0</v>
      </c>
      <c r="AX1956" s="0" t="n">
        <f aca="false">IF(BN1956="D",1,0)+IF(BO1956="D",1,0)+IF(BT1956="D",1,0)+IF(BU1956="D",1,0)+IF(BW1956="D",1,0)+IF(CC1956="D",1,0)+IF(CD1956="D",1,0)+IF(CE1956="D",1,0)+IF(CF1956="D",1,0)+IF(CL1956="D",1,0)+IF(CM1956="D",1,0)+IF(CQ1956="D",1,0)+IF(CR1956="D",1,0)+IF(CS1956="D",1,0)+IF(CW1956="D",1,0)+IF(CX1956="D",1,0)+IF(DD1956="D",1,0)+IF(DE1956="D",1,0)+IF(DJ1956="D",1,0)+IF(DK1956="D",1,0)+IF(DO1956="D",1,0)+IF(DP1956="D",1,0)+IF(DQ1956="D",1,0)+IF(DW1956="D",1,0)+IF(DZ1956="D",1,0)+IF(EH1956="D",1,0)</f>
        <v>1</v>
      </c>
      <c r="AY1956" s="0" t="n">
        <f aca="false">COUNTIF(DU1956:EH1956, "&lt;&gt;")</f>
        <v>5</v>
      </c>
      <c r="AZ1956" s="0" t="n">
        <f aca="false">IF(EH1956&lt;&gt;"",1,0)</f>
        <v>1</v>
      </c>
      <c r="BB1956" s="0" t="s">
        <v>152</v>
      </c>
      <c r="BC1956" s="0" t="s">
        <v>153</v>
      </c>
      <c r="BD1956" s="0" t="s">
        <v>153</v>
      </c>
      <c r="BE1956" s="0" t="s">
        <v>153</v>
      </c>
      <c r="BF1956" s="0" t="s">
        <v>153</v>
      </c>
      <c r="BG1956" s="0" t="s">
        <v>153</v>
      </c>
      <c r="BH1956" s="0" t="s">
        <v>153</v>
      </c>
      <c r="BI1956" s="0" t="s">
        <v>153</v>
      </c>
      <c r="BJ1956" s="0" t="s">
        <v>153</v>
      </c>
      <c r="BK1956" s="0" t="s">
        <v>153</v>
      </c>
      <c r="BL1956" s="0" t="s">
        <v>153</v>
      </c>
      <c r="BP1956" s="0" t="s">
        <v>153</v>
      </c>
      <c r="BR1956" s="0" t="s">
        <v>153</v>
      </c>
      <c r="BS1956" s="0" t="s">
        <v>153</v>
      </c>
      <c r="BV1956" s="0" t="s">
        <v>153</v>
      </c>
      <c r="BY1956" s="0" t="s">
        <v>175</v>
      </c>
      <c r="CA1956" s="0" t="s">
        <v>153</v>
      </c>
      <c r="CG1956" s="0" t="s">
        <v>153</v>
      </c>
      <c r="CH1956" s="0" t="s">
        <v>175</v>
      </c>
      <c r="CK1956" s="0" t="s">
        <v>153</v>
      </c>
      <c r="CN1956" s="0" t="s">
        <v>153</v>
      </c>
      <c r="CP1956" s="0" t="s">
        <v>153</v>
      </c>
      <c r="CT1956" s="0" t="s">
        <v>153</v>
      </c>
      <c r="CV1956" s="0" t="s">
        <v>153</v>
      </c>
      <c r="CY1956" s="0" t="s">
        <v>153</v>
      </c>
      <c r="CZ1956" s="0" t="s">
        <v>175</v>
      </c>
      <c r="DC1956" s="0" t="s">
        <v>153</v>
      </c>
      <c r="DF1956" s="0" t="s">
        <v>153</v>
      </c>
      <c r="DG1956" s="0" t="s">
        <v>175</v>
      </c>
      <c r="DI1956" s="0" t="s">
        <v>153</v>
      </c>
      <c r="DL1956" s="0" t="s">
        <v>153</v>
      </c>
      <c r="DM1956" s="0" t="s">
        <v>175</v>
      </c>
      <c r="DN1956" s="0" t="s">
        <v>153</v>
      </c>
      <c r="DR1956" s="0" t="s">
        <v>153</v>
      </c>
      <c r="DS1956" s="0" t="s">
        <v>175</v>
      </c>
      <c r="DU1956" s="0" t="s">
        <v>153</v>
      </c>
      <c r="DX1956" s="0" t="s">
        <v>153</v>
      </c>
      <c r="EA1956" s="0" t="s">
        <v>153</v>
      </c>
      <c r="EF1956" s="0" t="s">
        <v>153</v>
      </c>
      <c r="EH1956" s="0" t="s">
        <v>175</v>
      </c>
    </row>
    <row r="1957" customFormat="false" ht="13.8" hidden="true" customHeight="false" outlineLevel="0" collapsed="false">
      <c r="A1957" s="0" t="s">
        <v>8675</v>
      </c>
      <c r="B1957" s="0" t="n">
        <v>78</v>
      </c>
      <c r="C1957" s="0" t="n">
        <v>466505</v>
      </c>
      <c r="D1957" s="0" t="s">
        <v>8676</v>
      </c>
      <c r="E1957" s="0" t="s">
        <v>8677</v>
      </c>
      <c r="F1957" s="0" t="str">
        <f aca="false">CONCATENATE(D1957," ",LEFT(H1957,4),"T=",AU1957,"D=",AV1957,"R=",AW1957,"M=",AX1957,"L=",AY1957,"B=",AZ1957)</f>
        <v>SERRATA T=8D=1R=0M=0L=0B=0</v>
      </c>
      <c r="G1957" s="0" t="s">
        <v>175</v>
      </c>
      <c r="I1957" s="0" t="s">
        <v>8678</v>
      </c>
      <c r="J1957" s="0" t="s">
        <v>8679</v>
      </c>
      <c r="K1957" s="0" t="s">
        <v>160</v>
      </c>
      <c r="M1957" s="0" t="s">
        <v>8680</v>
      </c>
      <c r="N1957" s="0" t="str">
        <f aca="false">RIGHT(M1957,LEN(M1957)-FIND(" ",M1957))</f>
        <v>PAIGE AVE NE</v>
      </c>
      <c r="P1957" s="0" t="s">
        <v>145</v>
      </c>
      <c r="Q1957" s="0" t="s">
        <v>146</v>
      </c>
      <c r="R1957" s="0" t="n">
        <v>44483</v>
      </c>
      <c r="AD1957" s="0" t="s">
        <v>147</v>
      </c>
      <c r="AE1957" s="0" t="s">
        <v>148</v>
      </c>
      <c r="AF1957" s="0" t="s">
        <v>149</v>
      </c>
      <c r="AH1957" s="0" t="n">
        <v>14</v>
      </c>
      <c r="AI1957" s="0" t="n">
        <v>11</v>
      </c>
      <c r="AN1957" s="0" t="s">
        <v>145</v>
      </c>
      <c r="AO1957" s="0" t="s">
        <v>654</v>
      </c>
      <c r="AP1957" s="0" t="s">
        <v>655</v>
      </c>
      <c r="AQ1957" s="0" t="n">
        <v>9</v>
      </c>
      <c r="AR1957" s="0" t="n">
        <v>64</v>
      </c>
      <c r="AS1957" s="0" t="n">
        <v>32</v>
      </c>
      <c r="AU1957" s="0" t="n">
        <f aca="false">COUNTA($BA$1208:$EH$1208)</f>
        <v>8</v>
      </c>
      <c r="AV1957" s="0" t="n">
        <f aca="false">COUNTIF($BA$1208:$EH$1208,"D")</f>
        <v>1</v>
      </c>
      <c r="AW1957" s="0" t="n">
        <f aca="false">COUNTIF($BA$1208:$EH$1208,"R")</f>
        <v>0</v>
      </c>
      <c r="AX1957" s="0" t="n">
        <f aca="false">IF(BN1957="D",1,0)+IF(BO1957="D",1,0)+IF(BT1957="D",1,0)+IF(BU1957="D",1,0)+IF(BW1957="D",1,0)+IF(CC1957="D",1,0)+IF(CD1957="D",1,0)+IF(CE1957="D",1,0)+IF(CF1957="D",1,0)+IF(CL1957="D",1,0)+IF(CM1957="D",1,0)+IF(CQ1957="D",1,0)+IF(CR1957="D",1,0)+IF(CS1957="D",1,0)+IF(CW1957="D",1,0)+IF(CX1957="D",1,0)+IF(DD1957="D",1,0)+IF(DE1957="D",1,0)+IF(DJ1957="D",1,0)+IF(DK1957="D",1,0)+IF(DO1957="D",1,0)+IF(DP1957="D",1,0)+IF(DQ1957="D",1,0)+IF(DW1957="D",1,0)+IF(DZ1957="D",1,0)+IF(EH1957="D",1,0)</f>
        <v>0</v>
      </c>
      <c r="AY1957" s="0" t="n">
        <f aca="false">COUNTIF(DU1957:EH1957, "&lt;&gt;")</f>
        <v>0</v>
      </c>
      <c r="AZ1957" s="0" t="n">
        <f aca="false">IF(EH1957&lt;&gt;"",1,0)</f>
        <v>0</v>
      </c>
      <c r="BB1957" s="0" t="s">
        <v>152</v>
      </c>
    </row>
    <row r="1958" customFormat="false" ht="13.8" hidden="true" customHeight="false" outlineLevel="0" collapsed="false">
      <c r="A1958" s="0" t="s">
        <v>8681</v>
      </c>
      <c r="B1958" s="0" t="n">
        <v>78</v>
      </c>
      <c r="C1958" s="0" t="n">
        <v>415396</v>
      </c>
      <c r="D1958" s="0" t="s">
        <v>8682</v>
      </c>
      <c r="E1958" s="0" t="s">
        <v>2165</v>
      </c>
      <c r="F1958" s="0" t="str">
        <f aca="false">CONCATENATE(D1958," ",LEFT(H1958,4),"T=",AU1958,"D=",AV1958,"R=",AW1958,"M=",AX1958,"L=",AY1958,"B=",AZ1958)</f>
        <v>FARMER T=2D=0R=0M=0L=0B=0</v>
      </c>
      <c r="G1958" s="0" t="s">
        <v>202</v>
      </c>
      <c r="I1958" s="0" t="s">
        <v>8683</v>
      </c>
      <c r="J1958" s="0" t="s">
        <v>8684</v>
      </c>
      <c r="K1958" s="0" t="s">
        <v>143</v>
      </c>
      <c r="M1958" s="0" t="s">
        <v>8685</v>
      </c>
      <c r="N1958" s="0" t="str">
        <f aca="false">RIGHT(M1958,LEN(M1958)-FIND(" ",M1958))</f>
        <v>PAIGE AVE NE</v>
      </c>
      <c r="P1958" s="0" t="s">
        <v>145</v>
      </c>
      <c r="Q1958" s="0" t="s">
        <v>146</v>
      </c>
      <c r="R1958" s="0" t="n">
        <v>44483</v>
      </c>
      <c r="AD1958" s="0" t="s">
        <v>147</v>
      </c>
      <c r="AE1958" s="0" t="s">
        <v>148</v>
      </c>
      <c r="AF1958" s="0" t="s">
        <v>149</v>
      </c>
      <c r="AH1958" s="0" t="n">
        <v>14</v>
      </c>
      <c r="AI1958" s="0" t="n">
        <v>11</v>
      </c>
      <c r="AN1958" s="0" t="s">
        <v>145</v>
      </c>
      <c r="AO1958" s="0" t="s">
        <v>654</v>
      </c>
      <c r="AP1958" s="0" t="s">
        <v>655</v>
      </c>
      <c r="AQ1958" s="0" t="n">
        <v>9</v>
      </c>
      <c r="AR1958" s="0" t="n">
        <v>64</v>
      </c>
      <c r="AS1958" s="0" t="n">
        <v>32</v>
      </c>
      <c r="AU1958" s="0" t="n">
        <f aca="false">COUNTA($BA$1985:$EH$1985)</f>
        <v>2</v>
      </c>
      <c r="AV1958" s="0" t="n">
        <f aca="false">COUNTIF($BA$1985:$EH$1985,"D")</f>
        <v>0</v>
      </c>
      <c r="AW1958" s="0" t="n">
        <f aca="false">COUNTIF($BA$1985:$EH$1985,"R")</f>
        <v>0</v>
      </c>
      <c r="AX1958" s="0" t="n">
        <f aca="false">IF(BN1958="D",1,0)+IF(BO1958="D",1,0)+IF(BT1958="D",1,0)+IF(BU1958="D",1,0)+IF(BW1958="D",1,0)+IF(CC1958="D",1,0)+IF(CD1958="D",1,0)+IF(CE1958="D",1,0)+IF(CF1958="D",1,0)+IF(CL1958="D",1,0)+IF(CM1958="D",1,0)+IF(CQ1958="D",1,0)+IF(CR1958="D",1,0)+IF(CS1958="D",1,0)+IF(CW1958="D",1,0)+IF(CX1958="D",1,0)+IF(DD1958="D",1,0)+IF(DE1958="D",1,0)+IF(DJ1958="D",1,0)+IF(DK1958="D",1,0)+IF(DO1958="D",1,0)+IF(DP1958="D",1,0)+IF(DQ1958="D",1,0)+IF(DW1958="D",1,0)+IF(DZ1958="D",1,0)+IF(EH1958="D",1,0)</f>
        <v>0</v>
      </c>
      <c r="AY1958" s="0" t="n">
        <f aca="false">COUNTIF(DU1958:EH1958, "&lt;&gt;")</f>
        <v>0</v>
      </c>
      <c r="AZ1958" s="0" t="n">
        <f aca="false">IF(EH1958&lt;&gt;"",1,0)</f>
        <v>0</v>
      </c>
      <c r="BB1958" s="0" t="s">
        <v>152</v>
      </c>
    </row>
    <row r="1959" customFormat="false" ht="13.8" hidden="false" customHeight="false" outlineLevel="0" collapsed="false">
      <c r="A1959" s="0" t="s">
        <v>8686</v>
      </c>
      <c r="B1959" s="0" t="n">
        <v>78</v>
      </c>
      <c r="C1959" s="0" t="n">
        <v>294144</v>
      </c>
      <c r="D1959" s="0" t="s">
        <v>8687</v>
      </c>
      <c r="E1959" s="0" t="s">
        <v>292</v>
      </c>
      <c r="F1959" s="0" t="str">
        <f aca="false">CONCATENATE(D1959," ",LEFT(H1959,4),"T=",AU1959,"D=",AV1959,"R=",AW1959,"M=",AX1959,"L=",AY1959,"B=",AZ1959)</f>
        <v>BARTOLOMUCCI T=6D=1R=0M=0L=3B=0</v>
      </c>
      <c r="G1959" s="0" t="s">
        <v>2045</v>
      </c>
      <c r="I1959" s="0" t="s">
        <v>4286</v>
      </c>
      <c r="J1959" s="0" t="s">
        <v>8688</v>
      </c>
      <c r="K1959" s="0" t="s">
        <v>160</v>
      </c>
      <c r="M1959" s="0" t="s">
        <v>8689</v>
      </c>
      <c r="N1959" s="0" t="str">
        <f aca="false">RIGHT(M1959,LEN(M1959)-FIND(" ",M1959))</f>
        <v>PAIGE AVE NE</v>
      </c>
      <c r="P1959" s="0" t="s">
        <v>145</v>
      </c>
      <c r="Q1959" s="0" t="s">
        <v>146</v>
      </c>
      <c r="R1959" s="0" t="n">
        <v>44483</v>
      </c>
      <c r="AD1959" s="0" t="s">
        <v>147</v>
      </c>
      <c r="AE1959" s="0" t="s">
        <v>148</v>
      </c>
      <c r="AF1959" s="0" t="s">
        <v>149</v>
      </c>
      <c r="AH1959" s="0" t="n">
        <v>14</v>
      </c>
      <c r="AI1959" s="0" t="n">
        <v>11</v>
      </c>
      <c r="AN1959" s="0" t="s">
        <v>145</v>
      </c>
      <c r="AO1959" s="0" t="s">
        <v>654</v>
      </c>
      <c r="AP1959" s="0" t="s">
        <v>655</v>
      </c>
      <c r="AQ1959" s="0" t="n">
        <v>9</v>
      </c>
      <c r="AR1959" s="0" t="n">
        <v>64</v>
      </c>
      <c r="AS1959" s="0" t="n">
        <v>32</v>
      </c>
      <c r="AU1959" s="0" t="n">
        <f aca="false">COUNTA($BA$2036:$EH$2036)</f>
        <v>6</v>
      </c>
      <c r="AV1959" s="0" t="n">
        <f aca="false">COUNTIF($BA$2036:$EH$2036,"D")</f>
        <v>1</v>
      </c>
      <c r="AW1959" s="0" t="n">
        <f aca="false">COUNTIF($BA$2036:$EH$2036,"R")</f>
        <v>0</v>
      </c>
      <c r="AX1959" s="0" t="n">
        <f aca="false">IF(BN1959="D",1,0)+IF(BO1959="D",1,0)+IF(BT1959="D",1,0)+IF(BU1959="D",1,0)+IF(BW1959="D",1,0)+IF(CC1959="D",1,0)+IF(CD1959="D",1,0)+IF(CE1959="D",1,0)+IF(CF1959="D",1,0)+IF(CL1959="D",1,0)+IF(CM1959="D",1,0)+IF(CQ1959="D",1,0)+IF(CR1959="D",1,0)+IF(CS1959="D",1,0)+IF(CW1959="D",1,0)+IF(CX1959="D",1,0)+IF(DD1959="D",1,0)+IF(DE1959="D",1,0)+IF(DJ1959="D",1,0)+IF(DK1959="D",1,0)+IF(DO1959="D",1,0)+IF(DP1959="D",1,0)+IF(DQ1959="D",1,0)+IF(DW1959="D",1,0)+IF(DZ1959="D",1,0)+IF(EH1959="D",1,0)</f>
        <v>0</v>
      </c>
      <c r="AY1959" s="0" t="n">
        <f aca="false">COUNTIF(DU1959:EH1959, "&lt;&gt;")</f>
        <v>3</v>
      </c>
      <c r="AZ1959" s="0" t="n">
        <f aca="false">IF(EH1959&lt;&gt;"",1,0)</f>
        <v>0</v>
      </c>
      <c r="BB1959" s="0" t="s">
        <v>152</v>
      </c>
      <c r="BC1959" s="0" t="s">
        <v>153</v>
      </c>
      <c r="BD1959" s="0" t="s">
        <v>153</v>
      </c>
      <c r="BF1959" s="0" t="s">
        <v>153</v>
      </c>
      <c r="BI1959" s="0" t="s">
        <v>153</v>
      </c>
      <c r="BJ1959" s="0" t="s">
        <v>153</v>
      </c>
      <c r="BL1959" s="0" t="s">
        <v>153</v>
      </c>
      <c r="BR1959" s="0" t="s">
        <v>153</v>
      </c>
      <c r="BS1959" s="0" t="s">
        <v>153</v>
      </c>
      <c r="BV1959" s="0" t="s">
        <v>153</v>
      </c>
      <c r="BY1959" s="0" t="s">
        <v>209</v>
      </c>
      <c r="CA1959" s="0" t="s">
        <v>153</v>
      </c>
      <c r="DC1959" s="0" t="s">
        <v>153</v>
      </c>
      <c r="DI1959" s="0" t="s">
        <v>153</v>
      </c>
      <c r="DL1959" s="0" t="s">
        <v>153</v>
      </c>
      <c r="DN1959" s="0" t="s">
        <v>153</v>
      </c>
      <c r="DU1959" s="0" t="s">
        <v>153</v>
      </c>
      <c r="EA1959" s="0" t="s">
        <v>153</v>
      </c>
      <c r="EF1959" s="0" t="s">
        <v>153</v>
      </c>
    </row>
    <row r="1960" customFormat="false" ht="13.8" hidden="false" customHeight="false" outlineLevel="0" collapsed="false">
      <c r="A1960" s="0" t="s">
        <v>8690</v>
      </c>
      <c r="B1960" s="0" t="n">
        <v>78</v>
      </c>
      <c r="C1960" s="0" t="n">
        <v>363463</v>
      </c>
      <c r="D1960" s="0" t="s">
        <v>8691</v>
      </c>
      <c r="E1960" s="0" t="s">
        <v>2068</v>
      </c>
      <c r="F1960" s="0" t="str">
        <f aca="false">CONCATENATE(D1960," ",LEFT(H1960,4),"T=",AU1960,"D=",AV1960,"R=",AW1960,"M=",AX1960,"L=",AY1960,"B=",AZ1960)</f>
        <v>SILHAN T=2D=0R=0M=0L=2B=0</v>
      </c>
      <c r="I1960" s="0" t="s">
        <v>8692</v>
      </c>
      <c r="J1960" s="0" t="s">
        <v>8693</v>
      </c>
      <c r="K1960" s="0" t="s">
        <v>160</v>
      </c>
      <c r="M1960" s="0" t="s">
        <v>8694</v>
      </c>
      <c r="N1960" s="0" t="str">
        <f aca="false">RIGHT(M1960,LEN(M1960)-FIND(" ",M1960))</f>
        <v>PAIGE AVE NE</v>
      </c>
      <c r="P1960" s="0" t="s">
        <v>145</v>
      </c>
      <c r="Q1960" s="0" t="s">
        <v>146</v>
      </c>
      <c r="R1960" s="0" t="n">
        <v>44483</v>
      </c>
      <c r="AD1960" s="0" t="s">
        <v>147</v>
      </c>
      <c r="AE1960" s="0" t="s">
        <v>148</v>
      </c>
      <c r="AF1960" s="0" t="s">
        <v>149</v>
      </c>
      <c r="AH1960" s="0" t="n">
        <v>14</v>
      </c>
      <c r="AI1960" s="0" t="n">
        <v>11</v>
      </c>
      <c r="AN1960" s="0" t="s">
        <v>145</v>
      </c>
      <c r="AO1960" s="0" t="s">
        <v>654</v>
      </c>
      <c r="AP1960" s="0" t="s">
        <v>655</v>
      </c>
      <c r="AQ1960" s="0" t="n">
        <v>9</v>
      </c>
      <c r="AR1960" s="0" t="n">
        <v>64</v>
      </c>
      <c r="AS1960" s="0" t="n">
        <v>32</v>
      </c>
      <c r="AU1960" s="0" t="n">
        <f aca="false">COUNTA($BA$1321:$EH$1321)</f>
        <v>2</v>
      </c>
      <c r="AV1960" s="0" t="n">
        <f aca="false">COUNTIF($BA$1321:$EH$1321,"D")</f>
        <v>0</v>
      </c>
      <c r="AW1960" s="0" t="n">
        <f aca="false">COUNTIF($BA$1321:$EH$1321,"R")</f>
        <v>0</v>
      </c>
      <c r="AX1960" s="0" t="n">
        <f aca="false">IF(BN1960="D",1,0)+IF(BO1960="D",1,0)+IF(BT1960="D",1,0)+IF(BU1960="D",1,0)+IF(BW1960="D",1,0)+IF(CC1960="D",1,0)+IF(CD1960="D",1,0)+IF(CE1960="D",1,0)+IF(CF1960="D",1,0)+IF(CL1960="D",1,0)+IF(CM1960="D",1,0)+IF(CQ1960="D",1,0)+IF(CR1960="D",1,0)+IF(CS1960="D",1,0)+IF(CW1960="D",1,0)+IF(CX1960="D",1,0)+IF(DD1960="D",1,0)+IF(DE1960="D",1,0)+IF(DJ1960="D",1,0)+IF(DK1960="D",1,0)+IF(DO1960="D",1,0)+IF(DP1960="D",1,0)+IF(DQ1960="D",1,0)+IF(DW1960="D",1,0)+IF(DZ1960="D",1,0)+IF(EH1960="D",1,0)</f>
        <v>0</v>
      </c>
      <c r="AY1960" s="0" t="n">
        <f aca="false">COUNTIF(DU1960:EH1960, "&lt;&gt;")</f>
        <v>2</v>
      </c>
      <c r="AZ1960" s="0" t="n">
        <f aca="false">IF(EH1960&lt;&gt;"",1,0)</f>
        <v>0</v>
      </c>
      <c r="BB1960" s="0" t="s">
        <v>152</v>
      </c>
      <c r="DI1960" s="0" t="s">
        <v>153</v>
      </c>
      <c r="DL1960" s="0" t="s">
        <v>153</v>
      </c>
      <c r="DN1960" s="0" t="s">
        <v>153</v>
      </c>
      <c r="DU1960" s="0" t="s">
        <v>153</v>
      </c>
      <c r="EF1960" s="0" t="s">
        <v>153</v>
      </c>
    </row>
    <row r="1961" customFormat="false" ht="13.8" hidden="true" customHeight="false" outlineLevel="0" collapsed="false">
      <c r="A1961" s="0" t="s">
        <v>8695</v>
      </c>
      <c r="B1961" s="0" t="n">
        <v>78</v>
      </c>
      <c r="C1961" s="0" t="n">
        <v>476574</v>
      </c>
      <c r="D1961" s="0" t="s">
        <v>8239</v>
      </c>
      <c r="E1961" s="0" t="s">
        <v>1276</v>
      </c>
      <c r="F1961" s="0" t="str">
        <f aca="false">CONCATENATE(D1961," ",LEFT(H1961,4),"T=",AU1961,"D=",AV1961,"R=",AW1961,"M=",AX1961,"L=",AY1961,"B=",AZ1961)</f>
        <v>REESE T=11D=0R=0M=0L=0B=0</v>
      </c>
      <c r="G1961" s="0" t="s">
        <v>190</v>
      </c>
      <c r="I1961" s="0" t="s">
        <v>8696</v>
      </c>
      <c r="J1961" s="0" t="s">
        <v>2530</v>
      </c>
      <c r="K1961" s="0" t="s">
        <v>160</v>
      </c>
      <c r="M1961" s="0" t="s">
        <v>8694</v>
      </c>
      <c r="N1961" s="0" t="str">
        <f aca="false">RIGHT(M1961,LEN(M1961)-FIND(" ",M1961))</f>
        <v>PAIGE AVE NE</v>
      </c>
      <c r="P1961" s="0" t="s">
        <v>145</v>
      </c>
      <c r="Q1961" s="0" t="s">
        <v>146</v>
      </c>
      <c r="R1961" s="0" t="n">
        <v>44483</v>
      </c>
      <c r="AD1961" s="0" t="s">
        <v>147</v>
      </c>
      <c r="AE1961" s="0" t="s">
        <v>148</v>
      </c>
      <c r="AF1961" s="0" t="s">
        <v>149</v>
      </c>
      <c r="AH1961" s="0" t="n">
        <v>14</v>
      </c>
      <c r="AI1961" s="0" t="n">
        <v>11</v>
      </c>
      <c r="AN1961" s="0" t="s">
        <v>145</v>
      </c>
      <c r="AO1961" s="0" t="s">
        <v>654</v>
      </c>
      <c r="AP1961" s="0" t="s">
        <v>655</v>
      </c>
      <c r="AQ1961" s="0" t="n">
        <v>9</v>
      </c>
      <c r="AR1961" s="0" t="n">
        <v>64</v>
      </c>
      <c r="AS1961" s="0" t="n">
        <v>32</v>
      </c>
      <c r="AU1961" s="0" t="n">
        <f aca="false">COUNTA($BA$1628:$EH$1628)</f>
        <v>11</v>
      </c>
      <c r="AV1961" s="0" t="n">
        <f aca="false">COUNTIF($BA$1628:$EH$1628,"D")</f>
        <v>0</v>
      </c>
      <c r="AW1961" s="0" t="n">
        <f aca="false">COUNTIF($BA$1628:$EH$1628,"R")</f>
        <v>0</v>
      </c>
      <c r="AX1961" s="0" t="n">
        <f aca="false">IF(BN1961="D",1,0)+IF(BO1961="D",1,0)+IF(BT1961="D",1,0)+IF(BU1961="D",1,0)+IF(BW1961="D",1,0)+IF(CC1961="D",1,0)+IF(CD1961="D",1,0)+IF(CE1961="D",1,0)+IF(CF1961="D",1,0)+IF(CL1961="D",1,0)+IF(CM1961="D",1,0)+IF(CQ1961="D",1,0)+IF(CR1961="D",1,0)+IF(CS1961="D",1,0)+IF(CW1961="D",1,0)+IF(CX1961="D",1,0)+IF(DD1961="D",1,0)+IF(DE1961="D",1,0)+IF(DJ1961="D",1,0)+IF(DK1961="D",1,0)+IF(DO1961="D",1,0)+IF(DP1961="D",1,0)+IF(DQ1961="D",1,0)+IF(DW1961="D",1,0)+IF(DZ1961="D",1,0)+IF(EH1961="D",1,0)</f>
        <v>0</v>
      </c>
      <c r="AY1961" s="0" t="n">
        <f aca="false">COUNTIF(DU1961:EH1961, "&lt;&gt;")</f>
        <v>0</v>
      </c>
      <c r="AZ1961" s="0" t="n">
        <f aca="false">IF(EH1961&lt;&gt;"",1,0)</f>
        <v>0</v>
      </c>
      <c r="BB1961" s="0" t="s">
        <v>152</v>
      </c>
    </row>
    <row r="1962" customFormat="false" ht="13.8" hidden="false" customHeight="false" outlineLevel="0" collapsed="false">
      <c r="A1962" s="0" t="s">
        <v>8697</v>
      </c>
      <c r="B1962" s="0" t="n">
        <v>78</v>
      </c>
      <c r="C1962" s="0" t="n">
        <v>231613</v>
      </c>
      <c r="D1962" s="0" t="s">
        <v>8698</v>
      </c>
      <c r="E1962" s="0" t="s">
        <v>8699</v>
      </c>
      <c r="F1962" s="0" t="str">
        <f aca="false">CONCATENATE(D1962," ",LEFT(H1962,4),"T=",AU1962,"D=",AV1962,"R=",AW1962,"M=",AX1962,"L=",AY1962,"B=",AZ1962)</f>
        <v>LIPTAK T=1D=0R=0M=3L=6B=1</v>
      </c>
      <c r="G1962" s="0" t="s">
        <v>307</v>
      </c>
      <c r="I1962" s="0" t="s">
        <v>8700</v>
      </c>
      <c r="J1962" s="0" t="s">
        <v>8538</v>
      </c>
      <c r="K1962" s="0" t="s">
        <v>160</v>
      </c>
      <c r="L1962" s="0" t="s">
        <v>175</v>
      </c>
      <c r="M1962" s="0" t="s">
        <v>8701</v>
      </c>
      <c r="N1962" s="0" t="str">
        <f aca="false">RIGHT(M1962,LEN(M1962)-FIND(" ",M1962))</f>
        <v>PAIGE AVE NE</v>
      </c>
      <c r="P1962" s="0" t="s">
        <v>145</v>
      </c>
      <c r="Q1962" s="0" t="s">
        <v>146</v>
      </c>
      <c r="R1962" s="0" t="n">
        <v>44483</v>
      </c>
      <c r="AD1962" s="0" t="s">
        <v>147</v>
      </c>
      <c r="AE1962" s="0" t="s">
        <v>148</v>
      </c>
      <c r="AF1962" s="0" t="s">
        <v>149</v>
      </c>
      <c r="AH1962" s="0" t="n">
        <v>14</v>
      </c>
      <c r="AI1962" s="0" t="n">
        <v>11</v>
      </c>
      <c r="AN1962" s="0" t="s">
        <v>145</v>
      </c>
      <c r="AO1962" s="0" t="s">
        <v>654</v>
      </c>
      <c r="AP1962" s="0" t="s">
        <v>655</v>
      </c>
      <c r="AQ1962" s="0" t="n">
        <v>9</v>
      </c>
      <c r="AR1962" s="0" t="n">
        <v>64</v>
      </c>
      <c r="AS1962" s="0" t="n">
        <v>32</v>
      </c>
      <c r="AU1962" s="0" t="n">
        <f aca="false">COUNTA($BA$1335:$EH$1335)</f>
        <v>1</v>
      </c>
      <c r="AV1962" s="0" t="n">
        <f aca="false">COUNTIF($BA$1335:$EH$1335,"D")</f>
        <v>0</v>
      </c>
      <c r="AW1962" s="0" t="n">
        <f aca="false">COUNTIF($BA$1335:$EH$1335,"R")</f>
        <v>0</v>
      </c>
      <c r="AX1962" s="0" t="n">
        <f aca="false">IF(BN1962="D",1,0)+IF(BO1962="D",1,0)+IF(BT1962="D",1,0)+IF(BU1962="D",1,0)+IF(BW1962="D",1,0)+IF(CC1962="D",1,0)+IF(CD1962="D",1,0)+IF(CE1962="D",1,0)+IF(CF1962="D",1,0)+IF(CL1962="D",1,0)+IF(CM1962="D",1,0)+IF(CQ1962="D",1,0)+IF(CR1962="D",1,0)+IF(CS1962="D",1,0)+IF(CW1962="D",1,0)+IF(CX1962="D",1,0)+IF(DD1962="D",1,0)+IF(DE1962="D",1,0)+IF(DJ1962="D",1,0)+IF(DK1962="D",1,0)+IF(DO1962="D",1,0)+IF(DP1962="D",1,0)+IF(DQ1962="D",1,0)+IF(DW1962="D",1,0)+IF(DZ1962="D",1,0)+IF(EH1962="D",1,0)</f>
        <v>3</v>
      </c>
      <c r="AY1962" s="0" t="n">
        <f aca="false">COUNTIF(DU1962:EH1962, "&lt;&gt;")</f>
        <v>6</v>
      </c>
      <c r="AZ1962" s="0" t="n">
        <f aca="false">IF(EH1962&lt;&gt;"",1,0)</f>
        <v>1</v>
      </c>
      <c r="BB1962" s="0" t="s">
        <v>152</v>
      </c>
      <c r="BC1962" s="0" t="s">
        <v>153</v>
      </c>
      <c r="BD1962" s="0" t="s">
        <v>153</v>
      </c>
      <c r="BE1962" s="0" t="s">
        <v>153</v>
      </c>
      <c r="BF1962" s="0" t="s">
        <v>153</v>
      </c>
      <c r="BG1962" s="0" t="s">
        <v>153</v>
      </c>
      <c r="BH1962" s="0" t="s">
        <v>153</v>
      </c>
      <c r="BJ1962" s="0" t="s">
        <v>153</v>
      </c>
      <c r="BK1962" s="0" t="s">
        <v>153</v>
      </c>
      <c r="BL1962" s="0" t="s">
        <v>153</v>
      </c>
      <c r="BP1962" s="0" t="s">
        <v>153</v>
      </c>
      <c r="BR1962" s="0" t="s">
        <v>153</v>
      </c>
      <c r="BS1962" s="0" t="s">
        <v>153</v>
      </c>
      <c r="BV1962" s="0" t="s">
        <v>153</v>
      </c>
      <c r="BY1962" s="0" t="s">
        <v>175</v>
      </c>
      <c r="CA1962" s="0" t="s">
        <v>153</v>
      </c>
      <c r="CG1962" s="0" t="s">
        <v>153</v>
      </c>
      <c r="CK1962" s="0" t="s">
        <v>153</v>
      </c>
      <c r="CN1962" s="0" t="s">
        <v>153</v>
      </c>
      <c r="CO1962" s="0" t="s">
        <v>175</v>
      </c>
      <c r="CP1962" s="0" t="s">
        <v>153</v>
      </c>
      <c r="CV1962" s="0" t="s">
        <v>153</v>
      </c>
      <c r="CW1962" s="0" t="s">
        <v>175</v>
      </c>
      <c r="CY1962" s="0" t="s">
        <v>153</v>
      </c>
      <c r="CZ1962" s="0" t="s">
        <v>175</v>
      </c>
      <c r="DC1962" s="0" t="s">
        <v>153</v>
      </c>
      <c r="DF1962" s="0" t="s">
        <v>153</v>
      </c>
      <c r="DG1962" s="0" t="s">
        <v>175</v>
      </c>
      <c r="DI1962" s="0" t="s">
        <v>153</v>
      </c>
      <c r="DL1962" s="0" t="s">
        <v>153</v>
      </c>
      <c r="DM1962" s="0" t="s">
        <v>175</v>
      </c>
      <c r="DN1962" s="0" t="s">
        <v>153</v>
      </c>
      <c r="DR1962" s="0" t="s">
        <v>153</v>
      </c>
      <c r="DS1962" s="0" t="s">
        <v>175</v>
      </c>
      <c r="DT1962" s="0" t="s">
        <v>175</v>
      </c>
      <c r="DU1962" s="0" t="s">
        <v>153</v>
      </c>
      <c r="DW1962" s="0" t="s">
        <v>175</v>
      </c>
      <c r="DX1962" s="0" t="s">
        <v>153</v>
      </c>
      <c r="EA1962" s="0" t="s">
        <v>153</v>
      </c>
      <c r="EF1962" s="0" t="s">
        <v>153</v>
      </c>
      <c r="EH1962" s="0" t="s">
        <v>175</v>
      </c>
    </row>
    <row r="1963" customFormat="false" ht="13.8" hidden="false" customHeight="false" outlineLevel="0" collapsed="false">
      <c r="A1963" s="0" t="s">
        <v>8702</v>
      </c>
      <c r="B1963" s="0" t="n">
        <v>78</v>
      </c>
      <c r="C1963" s="0" t="n">
        <v>406992</v>
      </c>
      <c r="D1963" s="0" t="s">
        <v>8698</v>
      </c>
      <c r="E1963" s="0" t="s">
        <v>8703</v>
      </c>
      <c r="F1963" s="0" t="str">
        <f aca="false">CONCATENATE(D1963," ",LEFT(H1963,4),"T=",AU1963,"D=",AV1963,"R=",AW1963,"M=",AX1963,"L=",AY1963,"B=",AZ1963)</f>
        <v>LIPTAK T=29D=2R=1M=3L=7B=1</v>
      </c>
      <c r="G1963" s="0" t="s">
        <v>1617</v>
      </c>
      <c r="I1963" s="0" t="s">
        <v>8704</v>
      </c>
      <c r="J1963" s="0" t="s">
        <v>8538</v>
      </c>
      <c r="K1963" s="0" t="s">
        <v>160</v>
      </c>
      <c r="L1963" s="0" t="s">
        <v>175</v>
      </c>
      <c r="M1963" s="0" t="s">
        <v>8701</v>
      </c>
      <c r="N1963" s="0" t="str">
        <f aca="false">RIGHT(M1963,LEN(M1963)-FIND(" ",M1963))</f>
        <v>PAIGE AVE NE</v>
      </c>
      <c r="P1963" s="0" t="s">
        <v>145</v>
      </c>
      <c r="Q1963" s="0" t="s">
        <v>146</v>
      </c>
      <c r="R1963" s="0" t="n">
        <v>44483</v>
      </c>
      <c r="AD1963" s="0" t="s">
        <v>147</v>
      </c>
      <c r="AE1963" s="0" t="s">
        <v>148</v>
      </c>
      <c r="AF1963" s="0" t="s">
        <v>149</v>
      </c>
      <c r="AH1963" s="0" t="n">
        <v>14</v>
      </c>
      <c r="AI1963" s="0" t="n">
        <v>11</v>
      </c>
      <c r="AN1963" s="0" t="s">
        <v>145</v>
      </c>
      <c r="AO1963" s="0" t="s">
        <v>654</v>
      </c>
      <c r="AP1963" s="0" t="s">
        <v>655</v>
      </c>
      <c r="AQ1963" s="0" t="n">
        <v>9</v>
      </c>
      <c r="AR1963" s="0" t="n">
        <v>64</v>
      </c>
      <c r="AS1963" s="0" t="n">
        <v>32</v>
      </c>
      <c r="AU1963" s="0" t="n">
        <f aca="false">COUNTA($BA$2041:$EH$2041)</f>
        <v>29</v>
      </c>
      <c r="AV1963" s="0" t="n">
        <f aca="false">COUNTIF($BA$2041:$EH$2041,"D")</f>
        <v>2</v>
      </c>
      <c r="AW1963" s="0" t="n">
        <f aca="false">COUNTIF($BA$2041:$EH$2041,"R")</f>
        <v>1</v>
      </c>
      <c r="AX1963" s="0" t="n">
        <f aca="false">IF(BN1963="D",1,0)+IF(BO1963="D",1,0)+IF(BT1963="D",1,0)+IF(BU1963="D",1,0)+IF(BW1963="D",1,0)+IF(CC1963="D",1,0)+IF(CD1963="D",1,0)+IF(CE1963="D",1,0)+IF(CF1963="D",1,0)+IF(CL1963="D",1,0)+IF(CM1963="D",1,0)+IF(CQ1963="D",1,0)+IF(CR1963="D",1,0)+IF(CS1963="D",1,0)+IF(CW1963="D",1,0)+IF(CX1963="D",1,0)+IF(DD1963="D",1,0)+IF(DE1963="D",1,0)+IF(DJ1963="D",1,0)+IF(DK1963="D",1,0)+IF(DO1963="D",1,0)+IF(DP1963="D",1,0)+IF(DQ1963="D",1,0)+IF(DW1963="D",1,0)+IF(DZ1963="D",1,0)+IF(EH1963="D",1,0)</f>
        <v>3</v>
      </c>
      <c r="AY1963" s="0" t="n">
        <f aca="false">COUNTIF(DU1963:EH1963, "&lt;&gt;")</f>
        <v>7</v>
      </c>
      <c r="AZ1963" s="0" t="n">
        <f aca="false">IF(EH1963&lt;&gt;"",1,0)</f>
        <v>1</v>
      </c>
      <c r="BB1963" s="0" t="s">
        <v>152</v>
      </c>
      <c r="CW1963" s="0" t="s">
        <v>175</v>
      </c>
      <c r="CY1963" s="0" t="s">
        <v>153</v>
      </c>
      <c r="CZ1963" s="0" t="s">
        <v>175</v>
      </c>
      <c r="DC1963" s="0" t="s">
        <v>153</v>
      </c>
      <c r="DF1963" s="0" t="s">
        <v>153</v>
      </c>
      <c r="DG1963" s="0" t="s">
        <v>175</v>
      </c>
      <c r="DI1963" s="0" t="s">
        <v>153</v>
      </c>
      <c r="DL1963" s="0" t="s">
        <v>153</v>
      </c>
      <c r="DM1963" s="0" t="s">
        <v>175</v>
      </c>
      <c r="DN1963" s="0" t="s">
        <v>153</v>
      </c>
      <c r="DR1963" s="0" t="s">
        <v>153</v>
      </c>
      <c r="DS1963" s="0" t="s">
        <v>175</v>
      </c>
      <c r="DT1963" s="0" t="s">
        <v>175</v>
      </c>
      <c r="DU1963" s="0" t="s">
        <v>153</v>
      </c>
      <c r="DW1963" s="0" t="s">
        <v>175</v>
      </c>
      <c r="DX1963" s="0" t="s">
        <v>153</v>
      </c>
      <c r="EA1963" s="0" t="s">
        <v>153</v>
      </c>
      <c r="ED1963" s="0" t="s">
        <v>175</v>
      </c>
      <c r="EF1963" s="0" t="s">
        <v>153</v>
      </c>
      <c r="EH1963" s="0" t="s">
        <v>175</v>
      </c>
    </row>
    <row r="1964" customFormat="false" ht="13.8" hidden="true" customHeight="false" outlineLevel="0" collapsed="false">
      <c r="A1964" s="0" t="s">
        <v>8705</v>
      </c>
      <c r="B1964" s="0" t="n">
        <v>78</v>
      </c>
      <c r="C1964" s="0" t="n">
        <v>437807</v>
      </c>
      <c r="D1964" s="0" t="s">
        <v>8706</v>
      </c>
      <c r="E1964" s="0" t="s">
        <v>3018</v>
      </c>
      <c r="F1964" s="0" t="str">
        <f aca="false">CONCATENATE(D1964," ",LEFT(H1964,4),"T=",AU1964,"D=",AV1964,"R=",AW1964,"M=",AX1964,"L=",AY1964,"B=",AZ1964)</f>
        <v>TABACCO T=23D=2R=1M=0L=0B=0</v>
      </c>
      <c r="G1964" s="0" t="s">
        <v>195</v>
      </c>
      <c r="I1964" s="0" t="s">
        <v>8707</v>
      </c>
      <c r="J1964" s="0" t="s">
        <v>8708</v>
      </c>
      <c r="K1964" s="0" t="s">
        <v>143</v>
      </c>
      <c r="M1964" s="0" t="s">
        <v>8709</v>
      </c>
      <c r="N1964" s="0" t="str">
        <f aca="false">RIGHT(M1964,LEN(M1964)-FIND(" ",M1964))</f>
        <v>PAIGE AVE NE</v>
      </c>
      <c r="P1964" s="0" t="s">
        <v>145</v>
      </c>
      <c r="Q1964" s="0" t="s">
        <v>146</v>
      </c>
      <c r="R1964" s="0" t="n">
        <v>44483</v>
      </c>
      <c r="AD1964" s="0" t="s">
        <v>147</v>
      </c>
      <c r="AE1964" s="0" t="s">
        <v>148</v>
      </c>
      <c r="AF1964" s="0" t="s">
        <v>149</v>
      </c>
      <c r="AH1964" s="0" t="n">
        <v>14</v>
      </c>
      <c r="AI1964" s="0" t="n">
        <v>11</v>
      </c>
      <c r="AN1964" s="0" t="s">
        <v>145</v>
      </c>
      <c r="AO1964" s="0" t="s">
        <v>654</v>
      </c>
      <c r="AP1964" s="0" t="s">
        <v>655</v>
      </c>
      <c r="AQ1964" s="0" t="n">
        <v>9</v>
      </c>
      <c r="AR1964" s="0" t="n">
        <v>64</v>
      </c>
      <c r="AS1964" s="0" t="n">
        <v>32</v>
      </c>
      <c r="AU1964" s="0" t="n">
        <f aca="false">COUNTA($BA$1124:$EH$1124)</f>
        <v>23</v>
      </c>
      <c r="AV1964" s="0" t="n">
        <f aca="false">COUNTIF($BA$1124:$EH$1124,"D")</f>
        <v>2</v>
      </c>
      <c r="AW1964" s="0" t="n">
        <f aca="false">COUNTIF($BA$1124:$EH$1124,"R")</f>
        <v>1</v>
      </c>
      <c r="AX1964" s="0" t="n">
        <f aca="false">IF(BN1964="D",1,0)+IF(BO1964="D",1,0)+IF(BT1964="D",1,0)+IF(BU1964="D",1,0)+IF(BW1964="D",1,0)+IF(CC1964="D",1,0)+IF(CD1964="D",1,0)+IF(CE1964="D",1,0)+IF(CF1964="D",1,0)+IF(CL1964="D",1,0)+IF(CM1964="D",1,0)+IF(CQ1964="D",1,0)+IF(CR1964="D",1,0)+IF(CS1964="D",1,0)+IF(CW1964="D",1,0)+IF(CX1964="D",1,0)+IF(DD1964="D",1,0)+IF(DE1964="D",1,0)+IF(DJ1964="D",1,0)+IF(DK1964="D",1,0)+IF(DO1964="D",1,0)+IF(DP1964="D",1,0)+IF(DQ1964="D",1,0)+IF(DW1964="D",1,0)+IF(DZ1964="D",1,0)+IF(EH1964="D",1,0)</f>
        <v>0</v>
      </c>
      <c r="AY1964" s="0" t="n">
        <f aca="false">COUNTIF(DU1964:EH1964, "&lt;&gt;")</f>
        <v>0</v>
      </c>
      <c r="AZ1964" s="0" t="n">
        <f aca="false">IF(EH1964&lt;&gt;"",1,0)</f>
        <v>0</v>
      </c>
      <c r="BB1964" s="0" t="s">
        <v>152</v>
      </c>
    </row>
    <row r="1965" customFormat="false" ht="13.8" hidden="true" customHeight="false" outlineLevel="0" collapsed="false">
      <c r="A1965" s="0" t="s">
        <v>8710</v>
      </c>
      <c r="B1965" s="0" t="n">
        <v>78</v>
      </c>
      <c r="C1965" s="0" t="n">
        <v>383197</v>
      </c>
      <c r="D1965" s="0" t="s">
        <v>7820</v>
      </c>
      <c r="E1965" s="0" t="s">
        <v>796</v>
      </c>
      <c r="F1965" s="0" t="str">
        <f aca="false">CONCATENATE(D1965," ",LEFT(H1965,4),"T=",AU1965,"D=",AV1965,"R=",AW1965,"M=",AX1965,"L=",AY1965,"B=",AZ1965)</f>
        <v>BUYDOS T=8D=0R=0M=1L=1B=0</v>
      </c>
      <c r="G1965" s="0" t="s">
        <v>325</v>
      </c>
      <c r="I1965" s="0" t="s">
        <v>8711</v>
      </c>
      <c r="J1965" s="0" t="s">
        <v>8712</v>
      </c>
      <c r="K1965" s="0" t="s">
        <v>160</v>
      </c>
      <c r="M1965" s="0" t="s">
        <v>8713</v>
      </c>
      <c r="N1965" s="0" t="str">
        <f aca="false">RIGHT(M1965,LEN(M1965)-FIND(" ",M1965))</f>
        <v>PAIGE AVE NE</v>
      </c>
      <c r="P1965" s="0" t="s">
        <v>145</v>
      </c>
      <c r="Q1965" s="0" t="s">
        <v>146</v>
      </c>
      <c r="R1965" s="0" t="n">
        <v>44483</v>
      </c>
      <c r="AD1965" s="0" t="s">
        <v>147</v>
      </c>
      <c r="AE1965" s="0" t="s">
        <v>148</v>
      </c>
      <c r="AF1965" s="0" t="s">
        <v>149</v>
      </c>
      <c r="AH1965" s="0" t="n">
        <v>14</v>
      </c>
      <c r="AI1965" s="0" t="n">
        <v>11</v>
      </c>
      <c r="AN1965" s="0" t="s">
        <v>145</v>
      </c>
      <c r="AO1965" s="0" t="s">
        <v>654</v>
      </c>
      <c r="AP1965" s="0" t="s">
        <v>655</v>
      </c>
      <c r="AQ1965" s="0" t="n">
        <v>9</v>
      </c>
      <c r="AR1965" s="0" t="n">
        <v>64</v>
      </c>
      <c r="AS1965" s="0" t="n">
        <v>32</v>
      </c>
      <c r="AU1965" s="0" t="n">
        <f aca="false">COUNTA($BA$1199:$EH$1199)</f>
        <v>8</v>
      </c>
      <c r="AV1965" s="0" t="n">
        <f aca="false">COUNTIF($BA$1199:$EH$1199,"D")</f>
        <v>0</v>
      </c>
      <c r="AW1965" s="0" t="n">
        <f aca="false">COUNTIF($BA$1199:$EH$1199,"R")</f>
        <v>0</v>
      </c>
      <c r="AX1965" s="0" t="n">
        <f aca="false">IF(BN1965="D",1,0)+IF(BO1965="D",1,0)+IF(BT1965="D",1,0)+IF(BU1965="D",1,0)+IF(BW1965="D",1,0)+IF(CC1965="D",1,0)+IF(CD1965="D",1,0)+IF(CE1965="D",1,0)+IF(CF1965="D",1,0)+IF(CL1965="D",1,0)+IF(CM1965="D",1,0)+IF(CQ1965="D",1,0)+IF(CR1965="D",1,0)+IF(CS1965="D",1,0)+IF(CW1965="D",1,0)+IF(CX1965="D",1,0)+IF(DD1965="D",1,0)+IF(DE1965="D",1,0)+IF(DJ1965="D",1,0)+IF(DK1965="D",1,0)+IF(DO1965="D",1,0)+IF(DP1965="D",1,0)+IF(DQ1965="D",1,0)+IF(DW1965="D",1,0)+IF(DZ1965="D",1,0)+IF(EH1965="D",1,0)</f>
        <v>1</v>
      </c>
      <c r="AY1965" s="0" t="n">
        <f aca="false">COUNTIF(DU1965:EH1965, "&lt;&gt;")</f>
        <v>1</v>
      </c>
      <c r="AZ1965" s="0" t="n">
        <f aca="false">IF(EH1965&lt;&gt;"",1,0)</f>
        <v>0</v>
      </c>
      <c r="BB1965" s="0" t="s">
        <v>152</v>
      </c>
      <c r="CN1965" s="0" t="s">
        <v>153</v>
      </c>
      <c r="CP1965" s="0" t="s">
        <v>153</v>
      </c>
      <c r="CU1965" s="0" t="s">
        <v>175</v>
      </c>
      <c r="CV1965" s="0" t="s">
        <v>153</v>
      </c>
      <c r="CW1965" s="0" t="s">
        <v>175</v>
      </c>
      <c r="DC1965" s="0" t="s">
        <v>153</v>
      </c>
      <c r="DF1965" s="0" t="s">
        <v>153</v>
      </c>
      <c r="DI1965" s="0" t="s">
        <v>153</v>
      </c>
      <c r="DN1965" s="0" t="s">
        <v>153</v>
      </c>
      <c r="EF1965" s="0" t="s">
        <v>153</v>
      </c>
    </row>
    <row r="1966" customFormat="false" ht="13.8" hidden="true" customHeight="false" outlineLevel="0" collapsed="false">
      <c r="A1966" s="0" t="s">
        <v>8714</v>
      </c>
      <c r="B1966" s="0" t="n">
        <v>78</v>
      </c>
      <c r="C1966" s="0" t="n">
        <v>476136</v>
      </c>
      <c r="D1966" s="0" t="s">
        <v>2509</v>
      </c>
      <c r="E1966" s="0" t="s">
        <v>8715</v>
      </c>
      <c r="F1966" s="0" t="str">
        <f aca="false">CONCATENATE(D1966," ",LEFT(H1966,4),"T=",AU1966,"D=",AV1966,"R=",AW1966,"M=",AX1966,"L=",AY1966,"B=",AZ1966)</f>
        <v>ROBINSON T=3D=0R=0M=0L=0B=0</v>
      </c>
      <c r="G1966" s="0" t="s">
        <v>8716</v>
      </c>
      <c r="I1966" s="0" t="s">
        <v>8717</v>
      </c>
      <c r="J1966" s="0" t="s">
        <v>3698</v>
      </c>
      <c r="K1966" s="0" t="s">
        <v>160</v>
      </c>
      <c r="M1966" s="0" t="s">
        <v>8718</v>
      </c>
      <c r="N1966" s="0" t="str">
        <f aca="false">RIGHT(M1966,LEN(M1966)-FIND(" ",M1966))</f>
        <v>PAIGE AVE NE</v>
      </c>
      <c r="P1966" s="0" t="s">
        <v>145</v>
      </c>
      <c r="Q1966" s="0" t="s">
        <v>146</v>
      </c>
      <c r="R1966" s="0" t="n">
        <v>44483</v>
      </c>
      <c r="AD1966" s="0" t="s">
        <v>147</v>
      </c>
      <c r="AE1966" s="0" t="s">
        <v>148</v>
      </c>
      <c r="AF1966" s="0" t="s">
        <v>149</v>
      </c>
      <c r="AH1966" s="0" t="n">
        <v>14</v>
      </c>
      <c r="AI1966" s="0" t="n">
        <v>11</v>
      </c>
      <c r="AN1966" s="0" t="s">
        <v>145</v>
      </c>
      <c r="AO1966" s="0" t="s">
        <v>654</v>
      </c>
      <c r="AP1966" s="0" t="s">
        <v>655</v>
      </c>
      <c r="AQ1966" s="0" t="n">
        <v>9</v>
      </c>
      <c r="AR1966" s="0" t="n">
        <v>64</v>
      </c>
      <c r="AS1966" s="0" t="n">
        <v>32</v>
      </c>
      <c r="AU1966" s="0" t="n">
        <f aca="false">COUNTA($BA$1430:$EH$1430)</f>
        <v>3</v>
      </c>
      <c r="AV1966" s="0" t="n">
        <f aca="false">COUNTIF($BA$1430:$EH$1430,"D")</f>
        <v>0</v>
      </c>
      <c r="AW1966" s="0" t="n">
        <f aca="false">COUNTIF($BA$1430:$EH$1430,"R")</f>
        <v>0</v>
      </c>
      <c r="AX1966" s="0" t="n">
        <f aca="false">IF(BN1966="D",1,0)+IF(BO1966="D",1,0)+IF(BT1966="D",1,0)+IF(BU1966="D",1,0)+IF(BW1966="D",1,0)+IF(CC1966="D",1,0)+IF(CD1966="D",1,0)+IF(CE1966="D",1,0)+IF(CF1966="D",1,0)+IF(CL1966="D",1,0)+IF(CM1966="D",1,0)+IF(CQ1966="D",1,0)+IF(CR1966="D",1,0)+IF(CS1966="D",1,0)+IF(CW1966="D",1,0)+IF(CX1966="D",1,0)+IF(DD1966="D",1,0)+IF(DE1966="D",1,0)+IF(DJ1966="D",1,0)+IF(DK1966="D",1,0)+IF(DO1966="D",1,0)+IF(DP1966="D",1,0)+IF(DQ1966="D",1,0)+IF(DW1966="D",1,0)+IF(DZ1966="D",1,0)+IF(EH1966="D",1,0)</f>
        <v>0</v>
      </c>
      <c r="AY1966" s="0" t="n">
        <f aca="false">COUNTIF(DU1966:EH1966, "&lt;&gt;")</f>
        <v>0</v>
      </c>
      <c r="AZ1966" s="0" t="n">
        <f aca="false">IF(EH1966&lt;&gt;"",1,0)</f>
        <v>0</v>
      </c>
      <c r="BB1966" s="0" t="s">
        <v>152</v>
      </c>
    </row>
    <row r="1967" customFormat="false" ht="13.8" hidden="true" customHeight="false" outlineLevel="0" collapsed="false">
      <c r="A1967" s="0" t="s">
        <v>8719</v>
      </c>
      <c r="B1967" s="0" t="n">
        <v>78</v>
      </c>
      <c r="C1967" s="0" t="n">
        <v>344162</v>
      </c>
      <c r="D1967" s="0" t="s">
        <v>2509</v>
      </c>
      <c r="E1967" s="0" t="s">
        <v>4308</v>
      </c>
      <c r="F1967" s="0" t="str">
        <f aca="false">CONCATENATE(D1967," ",LEFT(H1967,4),"T=",AU1967,"D=",AV1967,"R=",AW1967,"M=",AX1967,"L=",AY1967,"B=",AZ1967)</f>
        <v>ROBINSON T=2D=0R=0M=0L=0B=0</v>
      </c>
      <c r="G1967" s="0" t="s">
        <v>164</v>
      </c>
      <c r="I1967" s="0" t="s">
        <v>8720</v>
      </c>
      <c r="J1967" s="0" t="s">
        <v>1038</v>
      </c>
      <c r="K1967" s="0" t="s">
        <v>143</v>
      </c>
      <c r="M1967" s="0" t="s">
        <v>8718</v>
      </c>
      <c r="N1967" s="0" t="str">
        <f aca="false">RIGHT(M1967,LEN(M1967)-FIND(" ",M1967))</f>
        <v>PAIGE AVE NE</v>
      </c>
      <c r="P1967" s="0" t="s">
        <v>145</v>
      </c>
      <c r="Q1967" s="0" t="s">
        <v>146</v>
      </c>
      <c r="R1967" s="0" t="n">
        <v>44483</v>
      </c>
      <c r="AD1967" s="0" t="s">
        <v>147</v>
      </c>
      <c r="AE1967" s="0" t="s">
        <v>148</v>
      </c>
      <c r="AF1967" s="0" t="s">
        <v>149</v>
      </c>
      <c r="AH1967" s="0" t="n">
        <v>14</v>
      </c>
      <c r="AI1967" s="0" t="n">
        <v>11</v>
      </c>
      <c r="AN1967" s="0" t="s">
        <v>145</v>
      </c>
      <c r="AO1967" s="0" t="s">
        <v>654</v>
      </c>
      <c r="AP1967" s="0" t="s">
        <v>655</v>
      </c>
      <c r="AQ1967" s="0" t="n">
        <v>9</v>
      </c>
      <c r="AR1967" s="0" t="n">
        <v>64</v>
      </c>
      <c r="AS1967" s="0" t="n">
        <v>32</v>
      </c>
      <c r="AU1967" s="0" t="n">
        <f aca="false">COUNTA($BA$1435:$EH$1435)</f>
        <v>2</v>
      </c>
      <c r="AV1967" s="0" t="n">
        <f aca="false">COUNTIF($BA$1435:$EH$1435,"D")</f>
        <v>0</v>
      </c>
      <c r="AW1967" s="0" t="n">
        <f aca="false">COUNTIF($BA$1435:$EH$1435,"R")</f>
        <v>0</v>
      </c>
      <c r="AX1967" s="0" t="n">
        <f aca="false">IF(BN1967="D",1,0)+IF(BO1967="D",1,0)+IF(BT1967="D",1,0)+IF(BU1967="D",1,0)+IF(BW1967="D",1,0)+IF(CC1967="D",1,0)+IF(CD1967="D",1,0)+IF(CE1967="D",1,0)+IF(CF1967="D",1,0)+IF(CL1967="D",1,0)+IF(CM1967="D",1,0)+IF(CQ1967="D",1,0)+IF(CR1967="D",1,0)+IF(CS1967="D",1,0)+IF(CW1967="D",1,0)+IF(CX1967="D",1,0)+IF(DD1967="D",1,0)+IF(DE1967="D",1,0)+IF(DJ1967="D",1,0)+IF(DK1967="D",1,0)+IF(DO1967="D",1,0)+IF(DP1967="D",1,0)+IF(DQ1967="D",1,0)+IF(DW1967="D",1,0)+IF(DZ1967="D",1,0)+IF(EH1967="D",1,0)</f>
        <v>0</v>
      </c>
      <c r="AY1967" s="0" t="n">
        <f aca="false">COUNTIF(DU1967:EH1967, "&lt;&gt;")</f>
        <v>0</v>
      </c>
      <c r="AZ1967" s="0" t="n">
        <f aca="false">IF(EH1967&lt;&gt;"",1,0)</f>
        <v>0</v>
      </c>
      <c r="BB1967" s="0" t="s">
        <v>152</v>
      </c>
      <c r="CA1967" s="0" t="s">
        <v>153</v>
      </c>
    </row>
    <row r="1968" customFormat="false" ht="13.8" hidden="true" customHeight="false" outlineLevel="0" collapsed="false">
      <c r="A1968" s="0" t="s">
        <v>8721</v>
      </c>
      <c r="B1968" s="0" t="n">
        <v>78</v>
      </c>
      <c r="C1968" s="0" t="n">
        <v>475373</v>
      </c>
      <c r="D1968" s="0" t="s">
        <v>2509</v>
      </c>
      <c r="E1968" s="0" t="s">
        <v>2578</v>
      </c>
      <c r="F1968" s="0" t="str">
        <f aca="false">CONCATENATE(D1968," ",LEFT(H1968,4),"T=",AU1968,"D=",AV1968,"R=",AW1968,"M=",AX1968,"L=",AY1968,"B=",AZ1968)</f>
        <v>ROBINSON T=1D=0R=0M=0L=0B=0</v>
      </c>
      <c r="G1968" s="0" t="s">
        <v>1842</v>
      </c>
      <c r="I1968" s="0" t="s">
        <v>8722</v>
      </c>
      <c r="J1968" s="0" t="s">
        <v>2800</v>
      </c>
      <c r="K1968" s="0" t="s">
        <v>160</v>
      </c>
      <c r="M1968" s="0" t="s">
        <v>8718</v>
      </c>
      <c r="N1968" s="0" t="str">
        <f aca="false">RIGHT(M1968,LEN(M1968)-FIND(" ",M1968))</f>
        <v>PAIGE AVE NE</v>
      </c>
      <c r="P1968" s="0" t="s">
        <v>145</v>
      </c>
      <c r="Q1968" s="0" t="s">
        <v>146</v>
      </c>
      <c r="R1968" s="0" t="n">
        <v>44483</v>
      </c>
      <c r="AD1968" s="0" t="s">
        <v>147</v>
      </c>
      <c r="AE1968" s="0" t="s">
        <v>148</v>
      </c>
      <c r="AF1968" s="0" t="s">
        <v>149</v>
      </c>
      <c r="AH1968" s="0" t="n">
        <v>14</v>
      </c>
      <c r="AI1968" s="0" t="n">
        <v>11</v>
      </c>
      <c r="AN1968" s="0" t="s">
        <v>145</v>
      </c>
      <c r="AO1968" s="0" t="s">
        <v>654</v>
      </c>
      <c r="AP1968" s="0" t="s">
        <v>655</v>
      </c>
      <c r="AQ1968" s="0" t="n">
        <v>9</v>
      </c>
      <c r="AR1968" s="0" t="n">
        <v>64</v>
      </c>
      <c r="AS1968" s="0" t="n">
        <v>32</v>
      </c>
      <c r="AU1968" s="0" t="n">
        <f aca="false">COUNTA($BA$1438:$EH$1438)</f>
        <v>1</v>
      </c>
      <c r="AV1968" s="0" t="n">
        <f aca="false">COUNTIF($BA$1438:$EH$1438,"D")</f>
        <v>0</v>
      </c>
      <c r="AW1968" s="0" t="n">
        <f aca="false">COUNTIF($BA$1438:$EH$1438,"R")</f>
        <v>0</v>
      </c>
      <c r="AX1968" s="0" t="n">
        <f aca="false">IF(BN1968="D",1,0)+IF(BO1968="D",1,0)+IF(BT1968="D",1,0)+IF(BU1968="D",1,0)+IF(BW1968="D",1,0)+IF(CC1968="D",1,0)+IF(CD1968="D",1,0)+IF(CE1968="D",1,0)+IF(CF1968="D",1,0)+IF(CL1968="D",1,0)+IF(CM1968="D",1,0)+IF(CQ1968="D",1,0)+IF(CR1968="D",1,0)+IF(CS1968="D",1,0)+IF(CW1968="D",1,0)+IF(CX1968="D",1,0)+IF(DD1968="D",1,0)+IF(DE1968="D",1,0)+IF(DJ1968="D",1,0)+IF(DK1968="D",1,0)+IF(DO1968="D",1,0)+IF(DP1968="D",1,0)+IF(DQ1968="D",1,0)+IF(DW1968="D",1,0)+IF(DZ1968="D",1,0)+IF(EH1968="D",1,0)</f>
        <v>0</v>
      </c>
      <c r="AY1968" s="0" t="n">
        <f aca="false">COUNTIF(DU1968:EH1968, "&lt;&gt;")</f>
        <v>0</v>
      </c>
      <c r="AZ1968" s="0" t="n">
        <f aca="false">IF(EH1968&lt;&gt;"",1,0)</f>
        <v>0</v>
      </c>
      <c r="BB1968" s="0" t="s">
        <v>152</v>
      </c>
    </row>
    <row r="1969" customFormat="false" ht="13.8" hidden="true" customHeight="false" outlineLevel="0" collapsed="false">
      <c r="A1969" s="0" t="s">
        <v>8723</v>
      </c>
      <c r="B1969" s="0" t="n">
        <v>78</v>
      </c>
      <c r="C1969" s="0" t="n">
        <v>460982</v>
      </c>
      <c r="D1969" s="0" t="s">
        <v>6884</v>
      </c>
      <c r="E1969" s="0" t="s">
        <v>558</v>
      </c>
      <c r="F1969" s="0" t="str">
        <f aca="false">CONCATENATE(D1969," ",LEFT(H1969,4),"T=",AU1969,"D=",AV1969,"R=",AW1969,"M=",AX1969,"L=",AY1969,"B=",AZ1969)</f>
        <v>VAUGHN T=5D=1R=0M=0L=0B=0</v>
      </c>
      <c r="G1969" s="0" t="s">
        <v>164</v>
      </c>
      <c r="I1969" s="0" t="s">
        <v>8724</v>
      </c>
      <c r="J1969" s="0" t="s">
        <v>8725</v>
      </c>
      <c r="K1969" s="0" t="s">
        <v>160</v>
      </c>
      <c r="M1969" s="0" t="s">
        <v>8726</v>
      </c>
      <c r="N1969" s="0" t="str">
        <f aca="false">RIGHT(M1969,LEN(M1969)-FIND(" ",M1969))</f>
        <v>PAIGE AVE NE</v>
      </c>
      <c r="P1969" s="0" t="s">
        <v>145</v>
      </c>
      <c r="Q1969" s="0" t="s">
        <v>146</v>
      </c>
      <c r="R1969" s="0" t="n">
        <v>44483</v>
      </c>
      <c r="AD1969" s="0" t="s">
        <v>147</v>
      </c>
      <c r="AE1969" s="0" t="s">
        <v>148</v>
      </c>
      <c r="AF1969" s="0" t="s">
        <v>149</v>
      </c>
      <c r="AH1969" s="0" t="n">
        <v>14</v>
      </c>
      <c r="AI1969" s="0" t="n">
        <v>11</v>
      </c>
      <c r="AN1969" s="0" t="s">
        <v>145</v>
      </c>
      <c r="AO1969" s="0" t="s">
        <v>654</v>
      </c>
      <c r="AP1969" s="0" t="s">
        <v>655</v>
      </c>
      <c r="AQ1969" s="0" t="n">
        <v>9</v>
      </c>
      <c r="AR1969" s="0" t="n">
        <v>64</v>
      </c>
      <c r="AS1969" s="0" t="n">
        <v>32</v>
      </c>
      <c r="AU1969" s="0" t="n">
        <f aca="false">COUNTA($BA$1451:$EH$1451)</f>
        <v>5</v>
      </c>
      <c r="AV1969" s="0" t="n">
        <f aca="false">COUNTIF($BA$1451:$EH$1451,"D")</f>
        <v>1</v>
      </c>
      <c r="AW1969" s="0" t="n">
        <f aca="false">COUNTIF($BA$1451:$EH$1451,"R")</f>
        <v>0</v>
      </c>
      <c r="AX1969" s="0" t="n">
        <f aca="false">IF(BN1969="D",1,0)+IF(BO1969="D",1,0)+IF(BT1969="D",1,0)+IF(BU1969="D",1,0)+IF(BW1969="D",1,0)+IF(CC1969="D",1,0)+IF(CD1969="D",1,0)+IF(CE1969="D",1,0)+IF(CF1969="D",1,0)+IF(CL1969="D",1,0)+IF(CM1969="D",1,0)+IF(CQ1969="D",1,0)+IF(CR1969="D",1,0)+IF(CS1969="D",1,0)+IF(CW1969="D",1,0)+IF(CX1969="D",1,0)+IF(DD1969="D",1,0)+IF(DE1969="D",1,0)+IF(DJ1969="D",1,0)+IF(DK1969="D",1,0)+IF(DO1969="D",1,0)+IF(DP1969="D",1,0)+IF(DQ1969="D",1,0)+IF(DW1969="D",1,0)+IF(DZ1969="D",1,0)+IF(EH1969="D",1,0)</f>
        <v>0</v>
      </c>
      <c r="AY1969" s="0" t="n">
        <f aca="false">COUNTIF(DU1969:EH1969, "&lt;&gt;")</f>
        <v>0</v>
      </c>
      <c r="AZ1969" s="0" t="n">
        <f aca="false">IF(EH1969&lt;&gt;"",1,0)</f>
        <v>0</v>
      </c>
      <c r="BB1969" s="0" t="s">
        <v>152</v>
      </c>
    </row>
    <row r="1970" customFormat="false" ht="13.8" hidden="true" customHeight="false" outlineLevel="0" collapsed="false">
      <c r="A1970" s="0" t="s">
        <v>8727</v>
      </c>
      <c r="B1970" s="0" t="n">
        <v>78</v>
      </c>
      <c r="C1970" s="0" t="n">
        <v>363801</v>
      </c>
      <c r="D1970" s="0" t="s">
        <v>8728</v>
      </c>
      <c r="E1970" s="0" t="s">
        <v>8729</v>
      </c>
      <c r="F1970" s="0" t="str">
        <f aca="false">CONCATENATE(D1970," ",LEFT(H1970,4),"T=",AU1970,"D=",AV1970,"R=",AW1970,"M=",AX1970,"L=",AY1970,"B=",AZ1970)</f>
        <v>POOLE T=3D=1R=0M=0L=0B=0</v>
      </c>
      <c r="G1970" s="0" t="s">
        <v>175</v>
      </c>
      <c r="I1970" s="0" t="s">
        <v>8730</v>
      </c>
      <c r="J1970" s="0" t="s">
        <v>5575</v>
      </c>
      <c r="K1970" s="0" t="s">
        <v>160</v>
      </c>
      <c r="M1970" s="0" t="s">
        <v>8731</v>
      </c>
      <c r="N1970" s="0" t="str">
        <f aca="false">RIGHT(M1970,LEN(M1970)-FIND(" ",M1970))</f>
        <v>PAIGE AVE NE</v>
      </c>
      <c r="P1970" s="0" t="s">
        <v>145</v>
      </c>
      <c r="Q1970" s="0" t="s">
        <v>146</v>
      </c>
      <c r="R1970" s="0" t="n">
        <v>44483</v>
      </c>
      <c r="AD1970" s="0" t="s">
        <v>147</v>
      </c>
      <c r="AE1970" s="0" t="s">
        <v>148</v>
      </c>
      <c r="AF1970" s="0" t="s">
        <v>149</v>
      </c>
      <c r="AH1970" s="0" t="n">
        <v>14</v>
      </c>
      <c r="AI1970" s="0" t="n">
        <v>11</v>
      </c>
      <c r="AN1970" s="0" t="s">
        <v>145</v>
      </c>
      <c r="AO1970" s="0" t="s">
        <v>654</v>
      </c>
      <c r="AP1970" s="0" t="s">
        <v>655</v>
      </c>
      <c r="AQ1970" s="0" t="n">
        <v>9</v>
      </c>
      <c r="AR1970" s="0" t="n">
        <v>64</v>
      </c>
      <c r="AS1970" s="0" t="n">
        <v>32</v>
      </c>
      <c r="AU1970" s="0" t="n">
        <f aca="false">COUNTA($BA$1919:$EH$1919)</f>
        <v>3</v>
      </c>
      <c r="AV1970" s="0" t="n">
        <f aca="false">COUNTIF($BA$1919:$EH$1919,"D")</f>
        <v>1</v>
      </c>
      <c r="AW1970" s="0" t="n">
        <f aca="false">COUNTIF($BA$1919:$EH$1919,"R")</f>
        <v>0</v>
      </c>
      <c r="AX1970" s="0" t="n">
        <f aca="false">IF(BN1970="D",1,0)+IF(BO1970="D",1,0)+IF(BT1970="D",1,0)+IF(BU1970="D",1,0)+IF(BW1970="D",1,0)+IF(CC1970="D",1,0)+IF(CD1970="D",1,0)+IF(CE1970="D",1,0)+IF(CF1970="D",1,0)+IF(CL1970="D",1,0)+IF(CM1970="D",1,0)+IF(CQ1970="D",1,0)+IF(CR1970="D",1,0)+IF(CS1970="D",1,0)+IF(CW1970="D",1,0)+IF(CX1970="D",1,0)+IF(DD1970="D",1,0)+IF(DE1970="D",1,0)+IF(DJ1970="D",1,0)+IF(DK1970="D",1,0)+IF(DO1970="D",1,0)+IF(DP1970="D",1,0)+IF(DQ1970="D",1,0)+IF(DW1970="D",1,0)+IF(DZ1970="D",1,0)+IF(EH1970="D",1,0)</f>
        <v>0</v>
      </c>
      <c r="AY1970" s="0" t="n">
        <f aca="false">COUNTIF(DU1970:EH1970, "&lt;&gt;")</f>
        <v>0</v>
      </c>
      <c r="AZ1970" s="0" t="n">
        <f aca="false">IF(EH1970&lt;&gt;"",1,0)</f>
        <v>0</v>
      </c>
      <c r="BB1970" s="0" t="s">
        <v>152</v>
      </c>
      <c r="CA1970" s="0" t="s">
        <v>153</v>
      </c>
    </row>
    <row r="1971" customFormat="false" ht="13.8" hidden="false" customHeight="false" outlineLevel="0" collapsed="false">
      <c r="A1971" s="0" t="s">
        <v>8732</v>
      </c>
      <c r="B1971" s="0" t="n">
        <v>78</v>
      </c>
      <c r="C1971" s="0" t="n">
        <v>205573</v>
      </c>
      <c r="D1971" s="0" t="s">
        <v>2233</v>
      </c>
      <c r="E1971" s="0" t="s">
        <v>419</v>
      </c>
      <c r="F1971" s="0" t="str">
        <f aca="false">CONCATENATE(D1971," ",LEFT(H1971,4),"T=",AU1971,"D=",AV1971,"R=",AW1971,"M=",AX1971,"L=",AY1971,"B=",AZ1971)</f>
        <v>WATSON T=5D=0R=0M=1L=5B=0</v>
      </c>
      <c r="G1971" s="0" t="s">
        <v>190</v>
      </c>
      <c r="I1971" s="0" t="s">
        <v>8733</v>
      </c>
      <c r="J1971" s="0" t="s">
        <v>8734</v>
      </c>
      <c r="K1971" s="0" t="s">
        <v>160</v>
      </c>
      <c r="L1971" s="0" t="s">
        <v>175</v>
      </c>
      <c r="M1971" s="0" t="s">
        <v>8735</v>
      </c>
      <c r="N1971" s="0" t="str">
        <f aca="false">RIGHT(M1971,LEN(M1971)-FIND(" ",M1971))</f>
        <v>PAIGE AVE NE</v>
      </c>
      <c r="P1971" s="0" t="s">
        <v>145</v>
      </c>
      <c r="Q1971" s="0" t="s">
        <v>146</v>
      </c>
      <c r="R1971" s="0" t="n">
        <v>44483</v>
      </c>
      <c r="AD1971" s="0" t="s">
        <v>147</v>
      </c>
      <c r="AE1971" s="0" t="s">
        <v>148</v>
      </c>
      <c r="AF1971" s="0" t="s">
        <v>149</v>
      </c>
      <c r="AH1971" s="0" t="n">
        <v>14</v>
      </c>
      <c r="AI1971" s="0" t="n">
        <v>11</v>
      </c>
      <c r="AN1971" s="0" t="s">
        <v>145</v>
      </c>
      <c r="AO1971" s="0" t="s">
        <v>654</v>
      </c>
      <c r="AP1971" s="0" t="s">
        <v>655</v>
      </c>
      <c r="AQ1971" s="0" t="n">
        <v>9</v>
      </c>
      <c r="AR1971" s="0" t="n">
        <v>64</v>
      </c>
      <c r="AS1971" s="0" t="n">
        <v>32</v>
      </c>
      <c r="AU1971" s="0" t="n">
        <f aca="false">COUNTA($BA$1326:$EH$1326)</f>
        <v>5</v>
      </c>
      <c r="AV1971" s="0" t="n">
        <f aca="false">COUNTIF($BA$1326:$EH$1326,"D")</f>
        <v>0</v>
      </c>
      <c r="AW1971" s="0" t="n">
        <f aca="false">COUNTIF($BA$1326:$EH$1326,"R")</f>
        <v>0</v>
      </c>
      <c r="AX1971" s="0" t="n">
        <f aca="false">IF(BN1971="D",1,0)+IF(BO1971="D",1,0)+IF(BT1971="D",1,0)+IF(BU1971="D",1,0)+IF(BW1971="D",1,0)+IF(CC1971="D",1,0)+IF(CD1971="D",1,0)+IF(CE1971="D",1,0)+IF(CF1971="D",1,0)+IF(CL1971="D",1,0)+IF(CM1971="D",1,0)+IF(CQ1971="D",1,0)+IF(CR1971="D",1,0)+IF(CS1971="D",1,0)+IF(CW1971="D",1,0)+IF(CX1971="D",1,0)+IF(DD1971="D",1,0)+IF(DE1971="D",1,0)+IF(DJ1971="D",1,0)+IF(DK1971="D",1,0)+IF(DO1971="D",1,0)+IF(DP1971="D",1,0)+IF(DQ1971="D",1,0)+IF(DW1971="D",1,0)+IF(DZ1971="D",1,0)+IF(EH1971="D",1,0)</f>
        <v>1</v>
      </c>
      <c r="AY1971" s="0" t="n">
        <f aca="false">COUNTIF(DU1971:EH1971, "&lt;&gt;")</f>
        <v>5</v>
      </c>
      <c r="AZ1971" s="0" t="n">
        <f aca="false">IF(EH1971&lt;&gt;"",1,0)</f>
        <v>0</v>
      </c>
      <c r="BB1971" s="0" t="s">
        <v>152</v>
      </c>
      <c r="BC1971" s="0" t="s">
        <v>153</v>
      </c>
      <c r="BD1971" s="0" t="s">
        <v>153</v>
      </c>
      <c r="BE1971" s="0" t="s">
        <v>153</v>
      </c>
      <c r="BP1971" s="0" t="s">
        <v>153</v>
      </c>
      <c r="BS1971" s="0" t="s">
        <v>153</v>
      </c>
      <c r="BV1971" s="0" t="s">
        <v>153</v>
      </c>
      <c r="BY1971" s="0" t="s">
        <v>175</v>
      </c>
      <c r="CA1971" s="0" t="s">
        <v>153</v>
      </c>
      <c r="CG1971" s="0" t="s">
        <v>153</v>
      </c>
      <c r="DN1971" s="0" t="s">
        <v>153</v>
      </c>
      <c r="DR1971" s="0" t="s">
        <v>153</v>
      </c>
      <c r="DU1971" s="0" t="s">
        <v>153</v>
      </c>
      <c r="DW1971" s="0" t="s">
        <v>175</v>
      </c>
      <c r="DX1971" s="0" t="s">
        <v>153</v>
      </c>
      <c r="EA1971" s="0" t="s">
        <v>153</v>
      </c>
      <c r="EF1971" s="0" t="s">
        <v>153</v>
      </c>
    </row>
    <row r="1972" customFormat="false" ht="13.8" hidden="true" customHeight="false" outlineLevel="0" collapsed="false">
      <c r="A1972" s="0" t="s">
        <v>8736</v>
      </c>
      <c r="B1972" s="0" t="n">
        <v>78</v>
      </c>
      <c r="C1972" s="0" t="n">
        <v>380737</v>
      </c>
      <c r="D1972" s="0" t="s">
        <v>2238</v>
      </c>
      <c r="E1972" s="0" t="s">
        <v>517</v>
      </c>
      <c r="F1972" s="0" t="str">
        <f aca="false">CONCATENATE(D1972," ",LEFT(H1972,4),"T=",AU1972,"D=",AV1972,"R=",AW1972,"M=",AX1972,"L=",AY1972,"B=",AZ1972)</f>
        <v>DYSON T=1D=0R=0M=0L=0B=0</v>
      </c>
      <c r="G1972" s="0" t="s">
        <v>255</v>
      </c>
      <c r="I1972" s="0" t="s">
        <v>8737</v>
      </c>
      <c r="J1972" s="0" t="s">
        <v>8738</v>
      </c>
      <c r="K1972" s="0" t="s">
        <v>143</v>
      </c>
      <c r="M1972" s="0" t="s">
        <v>8739</v>
      </c>
      <c r="N1972" s="0" t="str">
        <f aca="false">RIGHT(M1972,LEN(M1972)-FIND(" ",M1972))</f>
        <v>PEW CT NE</v>
      </c>
      <c r="P1972" s="0" t="s">
        <v>145</v>
      </c>
      <c r="Q1972" s="0" t="s">
        <v>146</v>
      </c>
      <c r="R1972" s="0" t="n">
        <v>44481</v>
      </c>
      <c r="AD1972" s="0" t="s">
        <v>147</v>
      </c>
      <c r="AE1972" s="0" t="s">
        <v>148</v>
      </c>
      <c r="AF1972" s="0" t="s">
        <v>149</v>
      </c>
      <c r="AH1972" s="0" t="n">
        <v>14</v>
      </c>
      <c r="AI1972" s="0" t="n">
        <v>11</v>
      </c>
      <c r="AN1972" s="0" t="s">
        <v>145</v>
      </c>
      <c r="AO1972" s="0" t="s">
        <v>654</v>
      </c>
      <c r="AP1972" s="0" t="s">
        <v>655</v>
      </c>
      <c r="AQ1972" s="0" t="n">
        <v>9</v>
      </c>
      <c r="AR1972" s="0" t="n">
        <v>64</v>
      </c>
      <c r="AS1972" s="0" t="n">
        <v>32</v>
      </c>
      <c r="AU1972" s="0" t="n">
        <f aca="false">COUNTA($BA$2028:$EH$2028)</f>
        <v>1</v>
      </c>
      <c r="AV1972" s="0" t="n">
        <f aca="false">COUNTIF($BA$2028:$EH$2028,"D")</f>
        <v>0</v>
      </c>
      <c r="AW1972" s="0" t="n">
        <f aca="false">COUNTIF($BA$2028:$EH$2028,"R")</f>
        <v>0</v>
      </c>
      <c r="AX1972" s="0" t="n">
        <f aca="false">IF(BN1972="D",1,0)+IF(BO1972="D",1,0)+IF(BT1972="D",1,0)+IF(BU1972="D",1,0)+IF(BW1972="D",1,0)+IF(CC1972="D",1,0)+IF(CD1972="D",1,0)+IF(CE1972="D",1,0)+IF(CF1972="D",1,0)+IF(CL1972="D",1,0)+IF(CM1972="D",1,0)+IF(CQ1972="D",1,0)+IF(CR1972="D",1,0)+IF(CS1972="D",1,0)+IF(CW1972="D",1,0)+IF(CX1972="D",1,0)+IF(DD1972="D",1,0)+IF(DE1972="D",1,0)+IF(DJ1972="D",1,0)+IF(DK1972="D",1,0)+IF(DO1972="D",1,0)+IF(DP1972="D",1,0)+IF(DQ1972="D",1,0)+IF(DW1972="D",1,0)+IF(DZ1972="D",1,0)+IF(EH1972="D",1,0)</f>
        <v>0</v>
      </c>
      <c r="AY1972" s="0" t="n">
        <f aca="false">COUNTIF(DU1972:EH1972, "&lt;&gt;")</f>
        <v>0</v>
      </c>
      <c r="AZ1972" s="0" t="n">
        <f aca="false">IF(EH1972&lt;&gt;"",1,0)</f>
        <v>0</v>
      </c>
      <c r="BB1972" s="0" t="s">
        <v>152</v>
      </c>
    </row>
    <row r="1973" customFormat="false" ht="13.8" hidden="true" customHeight="false" outlineLevel="0" collapsed="false">
      <c r="A1973" s="0" t="s">
        <v>8740</v>
      </c>
      <c r="B1973" s="0" t="n">
        <v>78</v>
      </c>
      <c r="C1973" s="0" t="n">
        <v>408023</v>
      </c>
      <c r="D1973" s="0" t="s">
        <v>2474</v>
      </c>
      <c r="E1973" s="0" t="s">
        <v>8741</v>
      </c>
      <c r="F1973" s="0" t="str">
        <f aca="false">CONCATENATE(D1973," ",LEFT(H1973,4),"T=",AU1973,"D=",AV1973,"R=",AW1973,"M=",AX1973,"L=",AY1973,"B=",AZ1973)</f>
        <v>STEVENSON T=1D=0R=0M=0L=0B=0</v>
      </c>
      <c r="I1973" s="0" t="s">
        <v>8742</v>
      </c>
      <c r="J1973" s="0" t="s">
        <v>4920</v>
      </c>
      <c r="K1973" s="0" t="s">
        <v>160</v>
      </c>
      <c r="M1973" s="0" t="s">
        <v>8743</v>
      </c>
      <c r="N1973" s="0" t="str">
        <f aca="false">RIGHT(M1973,LEN(M1973)-FIND(" ",M1973))</f>
        <v>PEW CT NE</v>
      </c>
      <c r="P1973" s="0" t="s">
        <v>145</v>
      </c>
      <c r="Q1973" s="0" t="s">
        <v>146</v>
      </c>
      <c r="R1973" s="0" t="n">
        <v>44481</v>
      </c>
      <c r="AD1973" s="0" t="s">
        <v>147</v>
      </c>
      <c r="AE1973" s="0" t="s">
        <v>148</v>
      </c>
      <c r="AF1973" s="0" t="s">
        <v>149</v>
      </c>
      <c r="AH1973" s="0" t="n">
        <v>14</v>
      </c>
      <c r="AI1973" s="0" t="n">
        <v>11</v>
      </c>
      <c r="AN1973" s="0" t="s">
        <v>145</v>
      </c>
      <c r="AO1973" s="0" t="s">
        <v>654</v>
      </c>
      <c r="AP1973" s="0" t="s">
        <v>655</v>
      </c>
      <c r="AQ1973" s="0" t="n">
        <v>9</v>
      </c>
      <c r="AR1973" s="0" t="n">
        <v>64</v>
      </c>
      <c r="AS1973" s="0" t="n">
        <v>32</v>
      </c>
      <c r="AU1973" s="0" t="n">
        <f aca="false">COUNTA($BA$1267:$EH$1267)</f>
        <v>1</v>
      </c>
      <c r="AV1973" s="0" t="n">
        <f aca="false">COUNTIF($BA$1267:$EH$1267,"D")</f>
        <v>0</v>
      </c>
      <c r="AW1973" s="0" t="n">
        <f aca="false">COUNTIF($BA$1267:$EH$1267,"R")</f>
        <v>0</v>
      </c>
      <c r="AX1973" s="0" t="n">
        <f aca="false">IF(BN1973="D",1,0)+IF(BO1973="D",1,0)+IF(BT1973="D",1,0)+IF(BU1973="D",1,0)+IF(BW1973="D",1,0)+IF(CC1973="D",1,0)+IF(CD1973="D",1,0)+IF(CE1973="D",1,0)+IF(CF1973="D",1,0)+IF(CL1973="D",1,0)+IF(CM1973="D",1,0)+IF(CQ1973="D",1,0)+IF(CR1973="D",1,0)+IF(CS1973="D",1,0)+IF(CW1973="D",1,0)+IF(CX1973="D",1,0)+IF(DD1973="D",1,0)+IF(DE1973="D",1,0)+IF(DJ1973="D",1,0)+IF(DK1973="D",1,0)+IF(DO1973="D",1,0)+IF(DP1973="D",1,0)+IF(DQ1973="D",1,0)+IF(DW1973="D",1,0)+IF(DZ1973="D",1,0)+IF(EH1973="D",1,0)</f>
        <v>0</v>
      </c>
      <c r="AY1973" s="0" t="n">
        <f aca="false">COUNTIF(DU1973:EH1973, "&lt;&gt;")</f>
        <v>0</v>
      </c>
      <c r="AZ1973" s="0" t="n">
        <f aca="false">IF(EH1973&lt;&gt;"",1,0)</f>
        <v>0</v>
      </c>
      <c r="BB1973" s="0" t="s">
        <v>152</v>
      </c>
    </row>
    <row r="1974" customFormat="false" ht="13.8" hidden="true" customHeight="false" outlineLevel="0" collapsed="false">
      <c r="A1974" s="0" t="s">
        <v>8744</v>
      </c>
      <c r="B1974" s="0" t="n">
        <v>78</v>
      </c>
      <c r="C1974" s="0" t="n">
        <v>375526</v>
      </c>
      <c r="D1974" s="0" t="s">
        <v>8745</v>
      </c>
      <c r="E1974" s="0" t="s">
        <v>8746</v>
      </c>
      <c r="F1974" s="0" t="str">
        <f aca="false">CONCATENATE(D1974," ",LEFT(H1974,4),"T=",AU1974,"D=",AV1974,"R=",AW1974,"M=",AX1974,"L=",AY1974,"B=",AZ1974)</f>
        <v>LORRISON T=3D=0R=0M=0L=1B=0</v>
      </c>
      <c r="G1974" s="0" t="s">
        <v>839</v>
      </c>
      <c r="I1974" s="0" t="s">
        <v>8747</v>
      </c>
      <c r="J1974" s="0" t="s">
        <v>386</v>
      </c>
      <c r="K1974" s="0" t="s">
        <v>160</v>
      </c>
      <c r="M1974" s="0" t="s">
        <v>8743</v>
      </c>
      <c r="N1974" s="0" t="str">
        <f aca="false">RIGHT(M1974,LEN(M1974)-FIND(" ",M1974))</f>
        <v>PEW CT NE</v>
      </c>
      <c r="P1974" s="0" t="s">
        <v>145</v>
      </c>
      <c r="Q1974" s="0" t="s">
        <v>146</v>
      </c>
      <c r="R1974" s="0" t="n">
        <v>44481</v>
      </c>
      <c r="AD1974" s="0" t="s">
        <v>147</v>
      </c>
      <c r="AE1974" s="0" t="s">
        <v>148</v>
      </c>
      <c r="AF1974" s="0" t="s">
        <v>149</v>
      </c>
      <c r="AH1974" s="0" t="n">
        <v>14</v>
      </c>
      <c r="AI1974" s="0" t="n">
        <v>11</v>
      </c>
      <c r="AN1974" s="0" t="s">
        <v>145</v>
      </c>
      <c r="AO1974" s="0" t="s">
        <v>654</v>
      </c>
      <c r="AP1974" s="0" t="s">
        <v>655</v>
      </c>
      <c r="AQ1974" s="0" t="n">
        <v>9</v>
      </c>
      <c r="AR1974" s="0" t="n">
        <v>64</v>
      </c>
      <c r="AS1974" s="0" t="n">
        <v>32</v>
      </c>
      <c r="AU1974" s="0" t="n">
        <f aca="false">COUNTA($BA$1745:$EH$1745)</f>
        <v>3</v>
      </c>
      <c r="AV1974" s="0" t="n">
        <f aca="false">COUNTIF($BA$1745:$EH$1745,"D")</f>
        <v>0</v>
      </c>
      <c r="AW1974" s="0" t="n">
        <f aca="false">COUNTIF($BA$1745:$EH$1745,"R")</f>
        <v>0</v>
      </c>
      <c r="AX1974" s="0" t="n">
        <f aca="false">IF(BN1974="D",1,0)+IF(BO1974="D",1,0)+IF(BT1974="D",1,0)+IF(BU1974="D",1,0)+IF(BW1974="D",1,0)+IF(CC1974="D",1,0)+IF(CD1974="D",1,0)+IF(CE1974="D",1,0)+IF(CF1974="D",1,0)+IF(CL1974="D",1,0)+IF(CM1974="D",1,0)+IF(CQ1974="D",1,0)+IF(CR1974="D",1,0)+IF(CS1974="D",1,0)+IF(CW1974="D",1,0)+IF(CX1974="D",1,0)+IF(DD1974="D",1,0)+IF(DE1974="D",1,0)+IF(DJ1974="D",1,0)+IF(DK1974="D",1,0)+IF(DO1974="D",1,0)+IF(DP1974="D",1,0)+IF(DQ1974="D",1,0)+IF(DW1974="D",1,0)+IF(DZ1974="D",1,0)+IF(EH1974="D",1,0)</f>
        <v>0</v>
      </c>
      <c r="AY1974" s="0" t="n">
        <f aca="false">COUNTIF(DU1974:EH1974, "&lt;&gt;")</f>
        <v>1</v>
      </c>
      <c r="AZ1974" s="0" t="n">
        <f aca="false">IF(EH1974&lt;&gt;"",1,0)</f>
        <v>0</v>
      </c>
      <c r="BB1974" s="0" t="s">
        <v>152</v>
      </c>
      <c r="DC1974" s="0" t="s">
        <v>153</v>
      </c>
      <c r="EF1974" s="0" t="s">
        <v>153</v>
      </c>
    </row>
    <row r="1975" customFormat="false" ht="13.8" hidden="true" customHeight="false" outlineLevel="0" collapsed="false">
      <c r="A1975" s="0" t="s">
        <v>8748</v>
      </c>
      <c r="B1975" s="0" t="n">
        <v>78</v>
      </c>
      <c r="C1975" s="0" t="n">
        <v>408356</v>
      </c>
      <c r="D1975" s="0" t="s">
        <v>1192</v>
      </c>
      <c r="E1975" s="0" t="s">
        <v>8749</v>
      </c>
      <c r="F1975" s="0" t="str">
        <f aca="false">CONCATENATE(D1975," ",LEFT(H1975,4),"T=",AU1975,"D=",AV1975,"R=",AW1975,"M=",AX1975,"L=",AY1975,"B=",AZ1975)</f>
        <v>MILLER T=30D=8R=1M=0L=0B=0</v>
      </c>
      <c r="G1975" s="0" t="s">
        <v>824</v>
      </c>
      <c r="I1975" s="0" t="s">
        <v>8750</v>
      </c>
      <c r="J1975" s="0" t="s">
        <v>8751</v>
      </c>
      <c r="K1975" s="0" t="s">
        <v>143</v>
      </c>
      <c r="L1975" s="0" t="s">
        <v>175</v>
      </c>
      <c r="M1975" s="0" t="s">
        <v>8743</v>
      </c>
      <c r="N1975" s="0" t="str">
        <f aca="false">RIGHT(M1975,LEN(M1975)-FIND(" ",M1975))</f>
        <v>PEW CT NE</v>
      </c>
      <c r="P1975" s="0" t="s">
        <v>145</v>
      </c>
      <c r="Q1975" s="0" t="s">
        <v>146</v>
      </c>
      <c r="R1975" s="0" t="n">
        <v>44481</v>
      </c>
      <c r="AD1975" s="0" t="s">
        <v>147</v>
      </c>
      <c r="AE1975" s="0" t="s">
        <v>148</v>
      </c>
      <c r="AF1975" s="0" t="s">
        <v>149</v>
      </c>
      <c r="AH1975" s="0" t="n">
        <v>14</v>
      </c>
      <c r="AI1975" s="0" t="n">
        <v>11</v>
      </c>
      <c r="AN1975" s="0" t="s">
        <v>145</v>
      </c>
      <c r="AO1975" s="0" t="s">
        <v>654</v>
      </c>
      <c r="AP1975" s="0" t="s">
        <v>655</v>
      </c>
      <c r="AQ1975" s="0" t="n">
        <v>9</v>
      </c>
      <c r="AR1975" s="0" t="n">
        <v>64</v>
      </c>
      <c r="AS1975" s="0" t="n">
        <v>32</v>
      </c>
      <c r="AU1975" s="0" t="n">
        <f aca="false">COUNTA($BA$1838:$EH$1838)</f>
        <v>30</v>
      </c>
      <c r="AV1975" s="0" t="n">
        <f aca="false">COUNTIF($BA$1838:$EH$1838,"D")</f>
        <v>8</v>
      </c>
      <c r="AW1975" s="0" t="n">
        <f aca="false">COUNTIF($BA$1838:$EH$1838,"R")</f>
        <v>1</v>
      </c>
      <c r="AX1975" s="0" t="n">
        <f aca="false">IF(BN1975="D",1,0)+IF(BO1975="D",1,0)+IF(BT1975="D",1,0)+IF(BU1975="D",1,0)+IF(BW1975="D",1,0)+IF(CC1975="D",1,0)+IF(CD1975="D",1,0)+IF(CE1975="D",1,0)+IF(CF1975="D",1,0)+IF(CL1975="D",1,0)+IF(CM1975="D",1,0)+IF(CQ1975="D",1,0)+IF(CR1975="D",1,0)+IF(CS1975="D",1,0)+IF(CW1975="D",1,0)+IF(CX1975="D",1,0)+IF(DD1975="D",1,0)+IF(DE1975="D",1,0)+IF(DJ1975="D",1,0)+IF(DK1975="D",1,0)+IF(DO1975="D",1,0)+IF(DP1975="D",1,0)+IF(DQ1975="D",1,0)+IF(DW1975="D",1,0)+IF(DZ1975="D",1,0)+IF(EH1975="D",1,0)</f>
        <v>0</v>
      </c>
      <c r="AY1975" s="0" t="n">
        <f aca="false">COUNTIF(DU1975:EH1975, "&lt;&gt;")</f>
        <v>0</v>
      </c>
      <c r="AZ1975" s="0" t="n">
        <f aca="false">IF(EH1975&lt;&gt;"",1,0)</f>
        <v>0</v>
      </c>
      <c r="BB1975" s="0" t="s">
        <v>152</v>
      </c>
      <c r="DT1975" s="0" t="s">
        <v>175</v>
      </c>
    </row>
    <row r="1976" customFormat="false" ht="13.8" hidden="true" customHeight="false" outlineLevel="0" collapsed="false">
      <c r="A1976" s="0" t="s">
        <v>8752</v>
      </c>
      <c r="B1976" s="0" t="n">
        <v>78</v>
      </c>
      <c r="C1976" s="0" t="n">
        <v>436969</v>
      </c>
      <c r="D1976" s="0" t="s">
        <v>1764</v>
      </c>
      <c r="E1976" s="0" t="s">
        <v>2798</v>
      </c>
      <c r="F1976" s="0" t="str">
        <f aca="false">CONCATENATE(D1976," ",LEFT(H1976,4),"T=",AU1976,"D=",AV1976,"R=",AW1976,"M=",AX1976,"L=",AY1976,"B=",AZ1976)</f>
        <v>MOORE T=3D=0R=0M=0L=0B=0</v>
      </c>
      <c r="G1976" s="0" t="s">
        <v>770</v>
      </c>
      <c r="I1976" s="0" t="s">
        <v>8753</v>
      </c>
      <c r="J1976" s="0" t="s">
        <v>7750</v>
      </c>
      <c r="K1976" s="0" t="s">
        <v>143</v>
      </c>
      <c r="M1976" s="0" t="s">
        <v>8754</v>
      </c>
      <c r="N1976" s="0" t="str">
        <f aca="false">RIGHT(M1976,LEN(M1976)-FIND(" ",M1976))</f>
        <v>PINE AVE SE</v>
      </c>
      <c r="P1976" s="0" t="s">
        <v>145</v>
      </c>
      <c r="Q1976" s="0" t="s">
        <v>146</v>
      </c>
      <c r="R1976" s="0" t="n">
        <v>44483</v>
      </c>
      <c r="AD1976" s="0" t="s">
        <v>147</v>
      </c>
      <c r="AE1976" s="0" t="s">
        <v>148</v>
      </c>
      <c r="AF1976" s="0" t="s">
        <v>149</v>
      </c>
      <c r="AH1976" s="0" t="n">
        <v>14</v>
      </c>
      <c r="AI1976" s="0" t="n">
        <v>11</v>
      </c>
      <c r="AN1976" s="0" t="s">
        <v>145</v>
      </c>
      <c r="AO1976" s="0" t="s">
        <v>233</v>
      </c>
      <c r="AP1976" s="0" t="s">
        <v>234</v>
      </c>
      <c r="AQ1976" s="0" t="n">
        <v>9</v>
      </c>
      <c r="AR1976" s="0" t="n">
        <v>64</v>
      </c>
      <c r="AS1976" s="0" t="n">
        <v>32</v>
      </c>
      <c r="AU1976" s="0" t="n">
        <f aca="false">COUNTA($BA$2648:$EH$2648)</f>
        <v>3</v>
      </c>
      <c r="AV1976" s="0" t="n">
        <f aca="false">COUNTIF($BA$2648:$EH$2648,"D")</f>
        <v>0</v>
      </c>
      <c r="AW1976" s="0" t="n">
        <f aca="false">COUNTIF($BA$2648:$EH$2648,"R")</f>
        <v>0</v>
      </c>
      <c r="AX1976" s="0" t="n">
        <f aca="false">IF(BN1976="D",1,0)+IF(BO1976="D",1,0)+IF(BT1976="D",1,0)+IF(BU1976="D",1,0)+IF(BW1976="D",1,0)+IF(CC1976="D",1,0)+IF(CD1976="D",1,0)+IF(CE1976="D",1,0)+IF(CF1976="D",1,0)+IF(CL1976="D",1,0)+IF(CM1976="D",1,0)+IF(CQ1976="D",1,0)+IF(CR1976="D",1,0)+IF(CS1976="D",1,0)+IF(CW1976="D",1,0)+IF(CX1976="D",1,0)+IF(DD1976="D",1,0)+IF(DE1976="D",1,0)+IF(DJ1976="D",1,0)+IF(DK1976="D",1,0)+IF(DO1976="D",1,0)+IF(DP1976="D",1,0)+IF(DQ1976="D",1,0)+IF(DW1976="D",1,0)+IF(DZ1976="D",1,0)+IF(EH1976="D",1,0)</f>
        <v>0</v>
      </c>
      <c r="AY1976" s="0" t="n">
        <f aca="false">COUNTIF(DU1976:EH1976, "&lt;&gt;")</f>
        <v>0</v>
      </c>
      <c r="AZ1976" s="0" t="n">
        <f aca="false">IF(EH1976&lt;&gt;"",1,0)</f>
        <v>0</v>
      </c>
      <c r="BB1976" s="0" t="s">
        <v>152</v>
      </c>
      <c r="DD1976" s="0" t="s">
        <v>153</v>
      </c>
    </row>
    <row r="1977" customFormat="false" ht="13.8" hidden="true" customHeight="false" outlineLevel="0" collapsed="false">
      <c r="A1977" s="0" t="s">
        <v>8755</v>
      </c>
      <c r="B1977" s="0" t="n">
        <v>78</v>
      </c>
      <c r="C1977" s="0" t="n">
        <v>494081</v>
      </c>
      <c r="D1977" s="0" t="s">
        <v>7799</v>
      </c>
      <c r="E1977" s="0" t="s">
        <v>8756</v>
      </c>
      <c r="F1977" s="0" t="str">
        <f aca="false">CONCATENATE(D1977," ",LEFT(H1977,4),"T=",AU1977,"D=",AV1977,"R=",AW1977,"M=",AX1977,"L=",AY1977,"B=",AZ1977)</f>
        <v>BENTLEY T=4D=0R=0M=0L=0B=0</v>
      </c>
      <c r="G1977" s="0" t="s">
        <v>164</v>
      </c>
      <c r="I1977" s="0" t="s">
        <v>8757</v>
      </c>
      <c r="J1977" s="0" t="s">
        <v>1971</v>
      </c>
      <c r="K1977" s="0" t="s">
        <v>160</v>
      </c>
      <c r="M1977" s="0" t="s">
        <v>8758</v>
      </c>
      <c r="N1977" s="0" t="str">
        <f aca="false">RIGHT(M1977,LEN(M1977)-FIND(" ",M1977))</f>
        <v>PLYMOUTH PL NE</v>
      </c>
      <c r="P1977" s="0" t="s">
        <v>145</v>
      </c>
      <c r="Q1977" s="0" t="s">
        <v>146</v>
      </c>
      <c r="R1977" s="0" t="n">
        <v>44483</v>
      </c>
      <c r="AD1977" s="0" t="s">
        <v>147</v>
      </c>
      <c r="AE1977" s="0" t="s">
        <v>148</v>
      </c>
      <c r="AF1977" s="0" t="s">
        <v>149</v>
      </c>
      <c r="AH1977" s="0" t="n">
        <v>14</v>
      </c>
      <c r="AI1977" s="0" t="n">
        <v>11</v>
      </c>
      <c r="AN1977" s="0" t="s">
        <v>145</v>
      </c>
      <c r="AO1977" s="0" t="s">
        <v>654</v>
      </c>
      <c r="AP1977" s="0" t="s">
        <v>655</v>
      </c>
      <c r="AQ1977" s="0" t="n">
        <v>9</v>
      </c>
      <c r="AR1977" s="0" t="n">
        <v>64</v>
      </c>
      <c r="AS1977" s="0" t="n">
        <v>32</v>
      </c>
      <c r="AU1977" s="0" t="n">
        <f aca="false">COUNTA($BA$1204:$EH$1204)</f>
        <v>4</v>
      </c>
      <c r="AV1977" s="0" t="n">
        <f aca="false">COUNTIF($BA$1204:$EH$1204,"D")</f>
        <v>0</v>
      </c>
      <c r="AW1977" s="0" t="n">
        <f aca="false">COUNTIF($BA$1204:$EH$1204,"R")</f>
        <v>0</v>
      </c>
      <c r="AX1977" s="0" t="n">
        <f aca="false">IF(BN1977="D",1,0)+IF(BO1977="D",1,0)+IF(BT1977="D",1,0)+IF(BU1977="D",1,0)+IF(BW1977="D",1,0)+IF(CC1977="D",1,0)+IF(CD1977="D",1,0)+IF(CE1977="D",1,0)+IF(CF1977="D",1,0)+IF(CL1977="D",1,0)+IF(CM1977="D",1,0)+IF(CQ1977="D",1,0)+IF(CR1977="D",1,0)+IF(CS1977="D",1,0)+IF(CW1977="D",1,0)+IF(CX1977="D",1,0)+IF(DD1977="D",1,0)+IF(DE1977="D",1,0)+IF(DJ1977="D",1,0)+IF(DK1977="D",1,0)+IF(DO1977="D",1,0)+IF(DP1977="D",1,0)+IF(DQ1977="D",1,0)+IF(DW1977="D",1,0)+IF(DZ1977="D",1,0)+IF(EH1977="D",1,0)</f>
        <v>0</v>
      </c>
      <c r="AY1977" s="0" t="n">
        <f aca="false">COUNTIF(DU1977:EH1977, "&lt;&gt;")</f>
        <v>0</v>
      </c>
      <c r="AZ1977" s="0" t="n">
        <f aca="false">IF(EH1977&lt;&gt;"",1,0)</f>
        <v>0</v>
      </c>
      <c r="BB1977" s="0" t="s">
        <v>152</v>
      </c>
      <c r="CA1977" s="0" t="s">
        <v>153</v>
      </c>
      <c r="CP1977" s="0" t="s">
        <v>153</v>
      </c>
      <c r="CY1977" s="0" t="s">
        <v>153</v>
      </c>
      <c r="CZ1977" s="0" t="s">
        <v>175</v>
      </c>
      <c r="DC1977" s="0" t="s">
        <v>153</v>
      </c>
      <c r="DN1977" s="0" t="s">
        <v>153</v>
      </c>
    </row>
    <row r="1978" customFormat="false" ht="13.8" hidden="true" customHeight="false" outlineLevel="0" collapsed="false">
      <c r="A1978" s="0" t="s">
        <v>8759</v>
      </c>
      <c r="B1978" s="0" t="n">
        <v>78</v>
      </c>
      <c r="C1978" s="0" t="n">
        <v>492352</v>
      </c>
      <c r="D1978" s="0" t="s">
        <v>8760</v>
      </c>
      <c r="E1978" s="0" t="s">
        <v>8761</v>
      </c>
      <c r="F1978" s="0" t="str">
        <f aca="false">CONCATENATE(D1978," ",LEFT(H1978,4),"T=",AU1978,"D=",AV1978,"R=",AW1978,"M=",AX1978,"L=",AY1978,"B=",AZ1978)</f>
        <v>VON BERGEN T=1D=0R=0M=0L=0B=0</v>
      </c>
      <c r="G1978" s="0" t="s">
        <v>171</v>
      </c>
      <c r="I1978" s="0" t="s">
        <v>8762</v>
      </c>
      <c r="J1978" s="0" t="s">
        <v>4996</v>
      </c>
      <c r="K1978" s="0" t="s">
        <v>160</v>
      </c>
      <c r="M1978" s="0" t="s">
        <v>8758</v>
      </c>
      <c r="N1978" s="0" t="str">
        <f aca="false">RIGHT(M1978,LEN(M1978)-FIND(" ",M1978))</f>
        <v>PLYMOUTH PL NE</v>
      </c>
      <c r="P1978" s="0" t="s">
        <v>145</v>
      </c>
      <c r="Q1978" s="0" t="s">
        <v>146</v>
      </c>
      <c r="R1978" s="0" t="n">
        <v>44483</v>
      </c>
      <c r="AD1978" s="0" t="s">
        <v>147</v>
      </c>
      <c r="AE1978" s="0" t="s">
        <v>148</v>
      </c>
      <c r="AF1978" s="0" t="s">
        <v>149</v>
      </c>
      <c r="AH1978" s="0" t="n">
        <v>14</v>
      </c>
      <c r="AI1978" s="0" t="n">
        <v>11</v>
      </c>
      <c r="AN1978" s="0" t="s">
        <v>145</v>
      </c>
      <c r="AO1978" s="0" t="s">
        <v>654</v>
      </c>
      <c r="AP1978" s="0" t="s">
        <v>655</v>
      </c>
      <c r="AQ1978" s="0" t="n">
        <v>9</v>
      </c>
      <c r="AR1978" s="0" t="n">
        <v>64</v>
      </c>
      <c r="AS1978" s="0" t="n">
        <v>32</v>
      </c>
      <c r="AU1978" s="0" t="n">
        <f aca="false">COUNTA($BA$1252:$EH$1252)</f>
        <v>1</v>
      </c>
      <c r="AV1978" s="0" t="n">
        <f aca="false">COUNTIF($BA$1252:$EH$1252,"D")</f>
        <v>0</v>
      </c>
      <c r="AW1978" s="0" t="n">
        <f aca="false">COUNTIF($BA$1252:$EH$1252,"R")</f>
        <v>0</v>
      </c>
      <c r="AX1978" s="0" t="n">
        <f aca="false">IF(BN1978="D",1,0)+IF(BO1978="D",1,0)+IF(BT1978="D",1,0)+IF(BU1978="D",1,0)+IF(BW1978="D",1,0)+IF(CC1978="D",1,0)+IF(CD1978="D",1,0)+IF(CE1978="D",1,0)+IF(CF1978="D",1,0)+IF(CL1978="D",1,0)+IF(CM1978="D",1,0)+IF(CQ1978="D",1,0)+IF(CR1978="D",1,0)+IF(CS1978="D",1,0)+IF(CW1978="D",1,0)+IF(CX1978="D",1,0)+IF(DD1978="D",1,0)+IF(DE1978="D",1,0)+IF(DJ1978="D",1,0)+IF(DK1978="D",1,0)+IF(DO1978="D",1,0)+IF(DP1978="D",1,0)+IF(DQ1978="D",1,0)+IF(DW1978="D",1,0)+IF(DZ1978="D",1,0)+IF(EH1978="D",1,0)</f>
        <v>0</v>
      </c>
      <c r="AY1978" s="0" t="n">
        <f aca="false">COUNTIF(DU1978:EH1978, "&lt;&gt;")</f>
        <v>0</v>
      </c>
      <c r="AZ1978" s="0" t="n">
        <f aca="false">IF(EH1978&lt;&gt;"",1,0)</f>
        <v>0</v>
      </c>
      <c r="BB1978" s="0" t="s">
        <v>152</v>
      </c>
    </row>
    <row r="1979" customFormat="false" ht="13.8" hidden="true" customHeight="false" outlineLevel="0" collapsed="false">
      <c r="A1979" s="0" t="s">
        <v>8763</v>
      </c>
      <c r="B1979" s="0" t="n">
        <v>78</v>
      </c>
      <c r="C1979" s="0" t="n">
        <v>287184</v>
      </c>
      <c r="D1979" s="0" t="s">
        <v>215</v>
      </c>
      <c r="E1979" s="0" t="s">
        <v>1322</v>
      </c>
      <c r="F1979" s="0" t="str">
        <f aca="false">CONCATENATE(D1979," ",LEFT(H1979,4),"T=",AU1979,"D=",AV1979,"R=",AW1979,"M=",AX1979,"L=",AY1979,"B=",AZ1979)</f>
        <v>LEE T=19D=3R=0M=1L=0B=0</v>
      </c>
      <c r="G1979" s="0" t="s">
        <v>8764</v>
      </c>
      <c r="I1979" s="0" t="s">
        <v>8765</v>
      </c>
      <c r="J1979" s="0" t="s">
        <v>8766</v>
      </c>
      <c r="K1979" s="0" t="s">
        <v>160</v>
      </c>
      <c r="M1979" s="0" t="s">
        <v>8758</v>
      </c>
      <c r="N1979" s="0" t="str">
        <f aca="false">RIGHT(M1979,LEN(M1979)-FIND(" ",M1979))</f>
        <v>PLYMOUTH PL NE</v>
      </c>
      <c r="P1979" s="0" t="s">
        <v>145</v>
      </c>
      <c r="Q1979" s="0" t="s">
        <v>146</v>
      </c>
      <c r="R1979" s="0" t="n">
        <v>44483</v>
      </c>
      <c r="AD1979" s="0" t="s">
        <v>147</v>
      </c>
      <c r="AE1979" s="0" t="s">
        <v>148</v>
      </c>
      <c r="AF1979" s="0" t="s">
        <v>149</v>
      </c>
      <c r="AH1979" s="0" t="n">
        <v>14</v>
      </c>
      <c r="AI1979" s="0" t="n">
        <v>11</v>
      </c>
      <c r="AN1979" s="0" t="s">
        <v>145</v>
      </c>
      <c r="AO1979" s="0" t="s">
        <v>654</v>
      </c>
      <c r="AP1979" s="0" t="s">
        <v>655</v>
      </c>
      <c r="AQ1979" s="0" t="n">
        <v>9</v>
      </c>
      <c r="AR1979" s="0" t="n">
        <v>64</v>
      </c>
      <c r="AS1979" s="0" t="n">
        <v>32</v>
      </c>
      <c r="AU1979" s="0" t="n">
        <f aca="false">COUNTA($BA$1529:$EH$1529)</f>
        <v>19</v>
      </c>
      <c r="AV1979" s="0" t="n">
        <f aca="false">COUNTIF($BA$1529:$EH$1529,"D")</f>
        <v>3</v>
      </c>
      <c r="AW1979" s="0" t="n">
        <f aca="false">COUNTIF($BA$1529:$EH$1529,"R")</f>
        <v>0</v>
      </c>
      <c r="AX1979" s="0" t="n">
        <f aca="false">IF(BN1979="D",1,0)+IF(BO1979="D",1,0)+IF(BT1979="D",1,0)+IF(BU1979="D",1,0)+IF(BW1979="D",1,0)+IF(CC1979="D",1,0)+IF(CD1979="D",1,0)+IF(CE1979="D",1,0)+IF(CF1979="D",1,0)+IF(CL1979="D",1,0)+IF(CM1979="D",1,0)+IF(CQ1979="D",1,0)+IF(CR1979="D",1,0)+IF(CS1979="D",1,0)+IF(CW1979="D",1,0)+IF(CX1979="D",1,0)+IF(DD1979="D",1,0)+IF(DE1979="D",1,0)+IF(DJ1979="D",1,0)+IF(DK1979="D",1,0)+IF(DO1979="D",1,0)+IF(DP1979="D",1,0)+IF(DQ1979="D",1,0)+IF(DW1979="D",1,0)+IF(DZ1979="D",1,0)+IF(EH1979="D",1,0)</f>
        <v>1</v>
      </c>
      <c r="AY1979" s="0" t="n">
        <f aca="false">COUNTIF(DU1979:EH1979, "&lt;&gt;")</f>
        <v>0</v>
      </c>
      <c r="AZ1979" s="0" t="n">
        <f aca="false">IF(EH1979&lt;&gt;"",1,0)</f>
        <v>0</v>
      </c>
      <c r="BB1979" s="0" t="s">
        <v>152</v>
      </c>
      <c r="BL1979" s="0" t="s">
        <v>153</v>
      </c>
      <c r="CA1979" s="0" t="s">
        <v>153</v>
      </c>
      <c r="CL1979" s="0" t="s">
        <v>175</v>
      </c>
      <c r="CP1979" s="0" t="s">
        <v>153</v>
      </c>
      <c r="CY1979" s="0" t="s">
        <v>153</v>
      </c>
      <c r="DC1979" s="0" t="s">
        <v>153</v>
      </c>
      <c r="DI1979" s="0" t="s">
        <v>153</v>
      </c>
      <c r="DL1979" s="0" t="s">
        <v>153</v>
      </c>
      <c r="DN1979" s="0" t="s">
        <v>153</v>
      </c>
    </row>
    <row r="1980" customFormat="false" ht="13.8" hidden="true" customHeight="false" outlineLevel="0" collapsed="false">
      <c r="A1980" s="0" t="s">
        <v>8767</v>
      </c>
      <c r="B1980" s="0" t="n">
        <v>78</v>
      </c>
      <c r="C1980" s="0" t="n">
        <v>487627</v>
      </c>
      <c r="D1980" s="0" t="s">
        <v>8768</v>
      </c>
      <c r="E1980" s="0" t="s">
        <v>331</v>
      </c>
      <c r="F1980" s="0" t="str">
        <f aca="false">CONCATENATE(D1980," ",LEFT(H1980,4),"T=",AU1980,"D=",AV1980,"R=",AW1980,"M=",AX1980,"L=",AY1980,"B=",AZ1980)</f>
        <v>ADKINS T=1D=0R=0M=0L=0B=0</v>
      </c>
      <c r="G1980" s="0" t="s">
        <v>325</v>
      </c>
      <c r="I1980" s="0" t="s">
        <v>8769</v>
      </c>
      <c r="J1980" s="0" t="s">
        <v>1253</v>
      </c>
      <c r="K1980" s="0" t="s">
        <v>160</v>
      </c>
      <c r="M1980" s="0" t="s">
        <v>8770</v>
      </c>
      <c r="N1980" s="0" t="str">
        <f aca="false">RIGHT(M1980,LEN(M1980)-FIND(" ",M1980))</f>
        <v>PORTER ST NE</v>
      </c>
      <c r="P1980" s="0" t="s">
        <v>145</v>
      </c>
      <c r="Q1980" s="0" t="s">
        <v>146</v>
      </c>
      <c r="R1980" s="0" t="n">
        <v>44483</v>
      </c>
      <c r="AD1980" s="0" t="s">
        <v>147</v>
      </c>
      <c r="AE1980" s="0" t="s">
        <v>148</v>
      </c>
      <c r="AF1980" s="0" t="s">
        <v>149</v>
      </c>
      <c r="AH1980" s="0" t="n">
        <v>14</v>
      </c>
      <c r="AI1980" s="0" t="n">
        <v>11</v>
      </c>
      <c r="AN1980" s="0" t="s">
        <v>145</v>
      </c>
      <c r="AO1980" s="0" t="s">
        <v>654</v>
      </c>
      <c r="AP1980" s="0" t="s">
        <v>655</v>
      </c>
      <c r="AQ1980" s="0" t="n">
        <v>9</v>
      </c>
      <c r="AR1980" s="0" t="n">
        <v>64</v>
      </c>
      <c r="AS1980" s="0" t="n">
        <v>32</v>
      </c>
      <c r="AU1980" s="0" t="n">
        <f aca="false">COUNTA($BA$1440:$EH$1440)</f>
        <v>1</v>
      </c>
      <c r="AV1980" s="0" t="n">
        <f aca="false">COUNTIF($BA$1440:$EH$1440,"D")</f>
        <v>0</v>
      </c>
      <c r="AW1980" s="0" t="n">
        <f aca="false">COUNTIF($BA$1440:$EH$1440,"R")</f>
        <v>0</v>
      </c>
      <c r="AX1980" s="0" t="n">
        <f aca="false">IF(BN1980="D",1,0)+IF(BO1980="D",1,0)+IF(BT1980="D",1,0)+IF(BU1980="D",1,0)+IF(BW1980="D",1,0)+IF(CC1980="D",1,0)+IF(CD1980="D",1,0)+IF(CE1980="D",1,0)+IF(CF1980="D",1,0)+IF(CL1980="D",1,0)+IF(CM1980="D",1,0)+IF(CQ1980="D",1,0)+IF(CR1980="D",1,0)+IF(CS1980="D",1,0)+IF(CW1980="D",1,0)+IF(CX1980="D",1,0)+IF(DD1980="D",1,0)+IF(DE1980="D",1,0)+IF(DJ1980="D",1,0)+IF(DK1980="D",1,0)+IF(DO1980="D",1,0)+IF(DP1980="D",1,0)+IF(DQ1980="D",1,0)+IF(DW1980="D",1,0)+IF(DZ1980="D",1,0)+IF(EH1980="D",1,0)</f>
        <v>0</v>
      </c>
      <c r="AY1980" s="0" t="n">
        <f aca="false">COUNTIF(DU1980:EH1980, "&lt;&gt;")</f>
        <v>0</v>
      </c>
      <c r="AZ1980" s="0" t="n">
        <f aca="false">IF(EH1980&lt;&gt;"",1,0)</f>
        <v>0</v>
      </c>
      <c r="BB1980" s="0" t="s">
        <v>152</v>
      </c>
    </row>
    <row r="1981" customFormat="false" ht="13.8" hidden="true" customHeight="false" outlineLevel="0" collapsed="false">
      <c r="A1981" s="0" t="s">
        <v>8771</v>
      </c>
      <c r="B1981" s="0" t="n">
        <v>78</v>
      </c>
      <c r="C1981" s="0" t="n">
        <v>461672</v>
      </c>
      <c r="D1981" s="0" t="s">
        <v>8772</v>
      </c>
      <c r="E1981" s="0" t="s">
        <v>8773</v>
      </c>
      <c r="F1981" s="0" t="str">
        <f aca="false">CONCATENATE(D1981," ",LEFT(H1981,4),"T=",AU1981,"D=",AV1981,"R=",AW1981,"M=",AX1981,"L=",AY1981,"B=",AZ1981)</f>
        <v>GETTMANN T=1D=0R=0M=0L=0B=0</v>
      </c>
      <c r="G1981" s="0" t="s">
        <v>8774</v>
      </c>
      <c r="I1981" s="0" t="s">
        <v>8775</v>
      </c>
      <c r="J1981" s="0" t="s">
        <v>6988</v>
      </c>
      <c r="K1981" s="0" t="s">
        <v>143</v>
      </c>
      <c r="M1981" s="0" t="s">
        <v>8770</v>
      </c>
      <c r="N1981" s="0" t="str">
        <f aca="false">RIGHT(M1981,LEN(M1981)-FIND(" ",M1981))</f>
        <v>PORTER ST NE</v>
      </c>
      <c r="P1981" s="0" t="s">
        <v>145</v>
      </c>
      <c r="Q1981" s="0" t="s">
        <v>146</v>
      </c>
      <c r="R1981" s="0" t="n">
        <v>44483</v>
      </c>
      <c r="AD1981" s="0" t="s">
        <v>147</v>
      </c>
      <c r="AE1981" s="0" t="s">
        <v>148</v>
      </c>
      <c r="AF1981" s="0" t="s">
        <v>149</v>
      </c>
      <c r="AH1981" s="0" t="n">
        <v>14</v>
      </c>
      <c r="AI1981" s="0" t="n">
        <v>11</v>
      </c>
      <c r="AN1981" s="0" t="s">
        <v>145</v>
      </c>
      <c r="AO1981" s="0" t="s">
        <v>654</v>
      </c>
      <c r="AP1981" s="0" t="s">
        <v>655</v>
      </c>
      <c r="AQ1981" s="0" t="n">
        <v>9</v>
      </c>
      <c r="AR1981" s="0" t="n">
        <v>64</v>
      </c>
      <c r="AS1981" s="0" t="n">
        <v>32</v>
      </c>
      <c r="AU1981" s="0" t="n">
        <f aca="false">COUNTA($BA$1561:$EH$1561)</f>
        <v>1</v>
      </c>
      <c r="AV1981" s="0" t="n">
        <f aca="false">COUNTIF($BA$1561:$EH$1561,"D")</f>
        <v>0</v>
      </c>
      <c r="AW1981" s="0" t="n">
        <f aca="false">COUNTIF($BA$1561:$EH$1561,"R")</f>
        <v>0</v>
      </c>
      <c r="AX1981" s="0" t="n">
        <f aca="false">IF(BN1981="D",1,0)+IF(BO1981="D",1,0)+IF(BT1981="D",1,0)+IF(BU1981="D",1,0)+IF(BW1981="D",1,0)+IF(CC1981="D",1,0)+IF(CD1981="D",1,0)+IF(CE1981="D",1,0)+IF(CF1981="D",1,0)+IF(CL1981="D",1,0)+IF(CM1981="D",1,0)+IF(CQ1981="D",1,0)+IF(CR1981="D",1,0)+IF(CS1981="D",1,0)+IF(CW1981="D",1,0)+IF(CX1981="D",1,0)+IF(DD1981="D",1,0)+IF(DE1981="D",1,0)+IF(DJ1981="D",1,0)+IF(DK1981="D",1,0)+IF(DO1981="D",1,0)+IF(DP1981="D",1,0)+IF(DQ1981="D",1,0)+IF(DW1981="D",1,0)+IF(DZ1981="D",1,0)+IF(EH1981="D",1,0)</f>
        <v>0</v>
      </c>
      <c r="AY1981" s="0" t="n">
        <f aca="false">COUNTIF(DU1981:EH1981, "&lt;&gt;")</f>
        <v>0</v>
      </c>
      <c r="AZ1981" s="0" t="n">
        <f aca="false">IF(EH1981&lt;&gt;"",1,0)</f>
        <v>0</v>
      </c>
      <c r="BB1981" s="0" t="s">
        <v>152</v>
      </c>
    </row>
    <row r="1982" customFormat="false" ht="13.8" hidden="true" customHeight="false" outlineLevel="0" collapsed="false">
      <c r="A1982" s="0" t="s">
        <v>8776</v>
      </c>
      <c r="B1982" s="0" t="n">
        <v>78</v>
      </c>
      <c r="C1982" s="0" t="n">
        <v>445093</v>
      </c>
      <c r="D1982" s="0" t="s">
        <v>1041</v>
      </c>
      <c r="E1982" s="0" t="s">
        <v>3502</v>
      </c>
      <c r="F1982" s="0" t="str">
        <f aca="false">CONCATENATE(D1982," ",LEFT(H1982,4),"T=",AU1982,"D=",AV1982,"R=",AW1982,"M=",AX1982,"L=",AY1982,"B=",AZ1982)</f>
        <v>JONES T=2D=0R=0M=0L=0B=0</v>
      </c>
      <c r="G1982" s="0" t="s">
        <v>195</v>
      </c>
      <c r="I1982" s="0" t="s">
        <v>8777</v>
      </c>
      <c r="J1982" s="0" t="s">
        <v>8778</v>
      </c>
      <c r="K1982" s="0" t="s">
        <v>160</v>
      </c>
      <c r="M1982" s="0" t="s">
        <v>8770</v>
      </c>
      <c r="N1982" s="0" t="str">
        <f aca="false">RIGHT(M1982,LEN(M1982)-FIND(" ",M1982))</f>
        <v>PORTER ST NE</v>
      </c>
      <c r="P1982" s="0" t="s">
        <v>145</v>
      </c>
      <c r="Q1982" s="0" t="s">
        <v>146</v>
      </c>
      <c r="R1982" s="0" t="n">
        <v>44483</v>
      </c>
      <c r="AD1982" s="0" t="s">
        <v>147</v>
      </c>
      <c r="AE1982" s="0" t="s">
        <v>148</v>
      </c>
      <c r="AF1982" s="0" t="s">
        <v>149</v>
      </c>
      <c r="AH1982" s="0" t="n">
        <v>14</v>
      </c>
      <c r="AI1982" s="0" t="n">
        <v>11</v>
      </c>
      <c r="AN1982" s="0" t="s">
        <v>145</v>
      </c>
      <c r="AO1982" s="0" t="s">
        <v>654</v>
      </c>
      <c r="AP1982" s="0" t="s">
        <v>655</v>
      </c>
      <c r="AQ1982" s="0" t="n">
        <v>9</v>
      </c>
      <c r="AR1982" s="0" t="n">
        <v>64</v>
      </c>
      <c r="AS1982" s="0" t="n">
        <v>32</v>
      </c>
      <c r="AU1982" s="0" t="n">
        <f aca="false">COUNTA($BA$1586:$EH$1586)</f>
        <v>2</v>
      </c>
      <c r="AV1982" s="0" t="n">
        <f aca="false">COUNTIF($BA$1586:$EH$1586,"D")</f>
        <v>0</v>
      </c>
      <c r="AW1982" s="0" t="n">
        <f aca="false">COUNTIF($BA$1586:$EH$1586,"R")</f>
        <v>0</v>
      </c>
      <c r="AX1982" s="0" t="n">
        <f aca="false">IF(BN1982="D",1,0)+IF(BO1982="D",1,0)+IF(BT1982="D",1,0)+IF(BU1982="D",1,0)+IF(BW1982="D",1,0)+IF(CC1982="D",1,0)+IF(CD1982="D",1,0)+IF(CE1982="D",1,0)+IF(CF1982="D",1,0)+IF(CL1982="D",1,0)+IF(CM1982="D",1,0)+IF(CQ1982="D",1,0)+IF(CR1982="D",1,0)+IF(CS1982="D",1,0)+IF(CW1982="D",1,0)+IF(CX1982="D",1,0)+IF(DD1982="D",1,0)+IF(DE1982="D",1,0)+IF(DJ1982="D",1,0)+IF(DK1982="D",1,0)+IF(DO1982="D",1,0)+IF(DP1982="D",1,0)+IF(DQ1982="D",1,0)+IF(DW1982="D",1,0)+IF(DZ1982="D",1,0)+IF(EH1982="D",1,0)</f>
        <v>0</v>
      </c>
      <c r="AY1982" s="0" t="n">
        <f aca="false">COUNTIF(DU1982:EH1982, "&lt;&gt;")</f>
        <v>0</v>
      </c>
      <c r="AZ1982" s="0" t="n">
        <f aca="false">IF(EH1982&lt;&gt;"",1,0)</f>
        <v>0</v>
      </c>
      <c r="BB1982" s="0" t="s">
        <v>152</v>
      </c>
    </row>
    <row r="1983" customFormat="false" ht="13.8" hidden="true" customHeight="false" outlineLevel="0" collapsed="false">
      <c r="A1983" s="0" t="s">
        <v>8779</v>
      </c>
      <c r="B1983" s="0" t="n">
        <v>78</v>
      </c>
      <c r="C1983" s="0" t="n">
        <v>492169</v>
      </c>
      <c r="D1983" s="0" t="s">
        <v>8780</v>
      </c>
      <c r="E1983" s="0" t="s">
        <v>292</v>
      </c>
      <c r="F1983" s="0" t="str">
        <f aca="false">CONCATENATE(D1983," ",LEFT(H1983,4),"T=",AU1983,"D=",AV1983,"R=",AW1983,"M=",AX1983,"L=",AY1983,"B=",AZ1983)</f>
        <v>SHOTWELL T=1D=0R=0M=0L=0B=0</v>
      </c>
      <c r="G1983" s="0" t="s">
        <v>2444</v>
      </c>
      <c r="I1983" s="0" t="s">
        <v>8781</v>
      </c>
      <c r="J1983" s="0" t="s">
        <v>3209</v>
      </c>
      <c r="K1983" s="0" t="s">
        <v>160</v>
      </c>
      <c r="M1983" s="0" t="s">
        <v>8782</v>
      </c>
      <c r="N1983" s="0" t="str">
        <f aca="false">RIGHT(M1983,LEN(M1983)-FIND(" ",M1983))</f>
        <v>PORTER ST NE</v>
      </c>
      <c r="O1983" s="0" t="s">
        <v>8783</v>
      </c>
      <c r="P1983" s="0" t="s">
        <v>145</v>
      </c>
      <c r="Q1983" s="0" t="s">
        <v>146</v>
      </c>
      <c r="R1983" s="0" t="n">
        <v>44483</v>
      </c>
      <c r="AD1983" s="0" t="s">
        <v>147</v>
      </c>
      <c r="AE1983" s="0" t="s">
        <v>148</v>
      </c>
      <c r="AF1983" s="0" t="s">
        <v>149</v>
      </c>
      <c r="AH1983" s="0" t="n">
        <v>14</v>
      </c>
      <c r="AI1983" s="0" t="n">
        <v>11</v>
      </c>
      <c r="AN1983" s="0" t="s">
        <v>145</v>
      </c>
      <c r="AO1983" s="0" t="s">
        <v>654</v>
      </c>
      <c r="AP1983" s="0" t="s">
        <v>655</v>
      </c>
      <c r="AQ1983" s="0" t="n">
        <v>9</v>
      </c>
      <c r="AR1983" s="0" t="n">
        <v>64</v>
      </c>
      <c r="AS1983" s="0" t="n">
        <v>32</v>
      </c>
      <c r="AU1983" s="0" t="n">
        <f aca="false">COUNTA($BA$1099:$EH$1099)</f>
        <v>1</v>
      </c>
      <c r="AV1983" s="0" t="n">
        <f aca="false">COUNTIF($BA$1099:$EH$1099,"D")</f>
        <v>0</v>
      </c>
      <c r="AW1983" s="0" t="n">
        <f aca="false">COUNTIF($BA$1099:$EH$1099,"R")</f>
        <v>0</v>
      </c>
      <c r="AX1983" s="0" t="n">
        <f aca="false">IF(BN1983="D",1,0)+IF(BO1983="D",1,0)+IF(BT1983="D",1,0)+IF(BU1983="D",1,0)+IF(BW1983="D",1,0)+IF(CC1983="D",1,0)+IF(CD1983="D",1,0)+IF(CE1983="D",1,0)+IF(CF1983="D",1,0)+IF(CL1983="D",1,0)+IF(CM1983="D",1,0)+IF(CQ1983="D",1,0)+IF(CR1983="D",1,0)+IF(CS1983="D",1,0)+IF(CW1983="D",1,0)+IF(CX1983="D",1,0)+IF(DD1983="D",1,0)+IF(DE1983="D",1,0)+IF(DJ1983="D",1,0)+IF(DK1983="D",1,0)+IF(DO1983="D",1,0)+IF(DP1983="D",1,0)+IF(DQ1983="D",1,0)+IF(DW1983="D",1,0)+IF(DZ1983="D",1,0)+IF(EH1983="D",1,0)</f>
        <v>0</v>
      </c>
      <c r="AY1983" s="0" t="n">
        <f aca="false">COUNTIF(DU1983:EH1983, "&lt;&gt;")</f>
        <v>0</v>
      </c>
      <c r="AZ1983" s="0" t="n">
        <f aca="false">IF(EH1983&lt;&gt;"",1,0)</f>
        <v>0</v>
      </c>
      <c r="BB1983" s="0" t="s">
        <v>152</v>
      </c>
    </row>
    <row r="1984" customFormat="false" ht="13.8" hidden="false" customHeight="false" outlineLevel="0" collapsed="false">
      <c r="A1984" s="0" t="s">
        <v>8784</v>
      </c>
      <c r="B1984" s="0" t="n">
        <v>78</v>
      </c>
      <c r="C1984" s="0" t="n">
        <v>246300</v>
      </c>
      <c r="D1984" s="0" t="s">
        <v>5117</v>
      </c>
      <c r="E1984" s="0" t="s">
        <v>3364</v>
      </c>
      <c r="F1984" s="0" t="str">
        <f aca="false">CONCATENATE(D1984," ",LEFT(H1984,4),"T=",AU1984,"D=",AV1984,"R=",AW1984,"M=",AX1984,"L=",AY1984,"B=",AZ1984)</f>
        <v>GRIGGS T=1D=0R=0M=1L=2B=0</v>
      </c>
      <c r="G1984" s="0" t="s">
        <v>195</v>
      </c>
      <c r="I1984" s="0" t="s">
        <v>7981</v>
      </c>
      <c r="J1984" s="0" t="s">
        <v>967</v>
      </c>
      <c r="K1984" s="0" t="s">
        <v>160</v>
      </c>
      <c r="M1984" s="0" t="s">
        <v>8785</v>
      </c>
      <c r="N1984" s="0" t="str">
        <f aca="false">RIGHT(M1984,LEN(M1984)-FIND(" ",M1984))</f>
        <v>PORTER ST NE</v>
      </c>
      <c r="O1984" s="0" t="s">
        <v>8786</v>
      </c>
      <c r="P1984" s="0" t="s">
        <v>145</v>
      </c>
      <c r="Q1984" s="0" t="s">
        <v>146</v>
      </c>
      <c r="R1984" s="0" t="n">
        <v>44483</v>
      </c>
      <c r="AD1984" s="0" t="s">
        <v>147</v>
      </c>
      <c r="AE1984" s="0" t="s">
        <v>148</v>
      </c>
      <c r="AF1984" s="0" t="s">
        <v>149</v>
      </c>
      <c r="AH1984" s="0" t="n">
        <v>14</v>
      </c>
      <c r="AI1984" s="0" t="n">
        <v>11</v>
      </c>
      <c r="AN1984" s="0" t="s">
        <v>145</v>
      </c>
      <c r="AO1984" s="0" t="s">
        <v>654</v>
      </c>
      <c r="AP1984" s="0" t="s">
        <v>655</v>
      </c>
      <c r="AQ1984" s="0" t="n">
        <v>9</v>
      </c>
      <c r="AR1984" s="0" t="n">
        <v>64</v>
      </c>
      <c r="AS1984" s="0" t="n">
        <v>32</v>
      </c>
      <c r="AU1984" s="0" t="n">
        <f aca="false">COUNTA($BA$1316:$EH$1316)</f>
        <v>1</v>
      </c>
      <c r="AV1984" s="0" t="n">
        <f aca="false">COUNTIF($BA$1316:$EH$1316,"D")</f>
        <v>0</v>
      </c>
      <c r="AW1984" s="0" t="n">
        <f aca="false">COUNTIF($BA$1316:$EH$1316,"R")</f>
        <v>0</v>
      </c>
      <c r="AX1984" s="0" t="n">
        <f aca="false">IF(BN1984="D",1,0)+IF(BO1984="D",1,0)+IF(BT1984="D",1,0)+IF(BU1984="D",1,0)+IF(BW1984="D",1,0)+IF(CC1984="D",1,0)+IF(CD1984="D",1,0)+IF(CE1984="D",1,0)+IF(CF1984="D",1,0)+IF(CL1984="D",1,0)+IF(CM1984="D",1,0)+IF(CQ1984="D",1,0)+IF(CR1984="D",1,0)+IF(CS1984="D",1,0)+IF(CW1984="D",1,0)+IF(CX1984="D",1,0)+IF(DD1984="D",1,0)+IF(DE1984="D",1,0)+IF(DJ1984="D",1,0)+IF(DK1984="D",1,0)+IF(DO1984="D",1,0)+IF(DP1984="D",1,0)+IF(DQ1984="D",1,0)+IF(DW1984="D",1,0)+IF(DZ1984="D",1,0)+IF(EH1984="D",1,0)</f>
        <v>1</v>
      </c>
      <c r="AY1984" s="0" t="n">
        <f aca="false">COUNTIF(DU1984:EH1984, "&lt;&gt;")</f>
        <v>2</v>
      </c>
      <c r="AZ1984" s="0" t="n">
        <f aca="false">IF(EH1984&lt;&gt;"",1,0)</f>
        <v>0</v>
      </c>
      <c r="BB1984" s="0" t="s">
        <v>152</v>
      </c>
      <c r="CK1984" s="0" t="s">
        <v>153</v>
      </c>
      <c r="CL1984" s="0" t="s">
        <v>175</v>
      </c>
      <c r="CP1984" s="0" t="s">
        <v>153</v>
      </c>
      <c r="CY1984" s="0" t="s">
        <v>153</v>
      </c>
      <c r="DC1984" s="0" t="s">
        <v>153</v>
      </c>
      <c r="DN1984" s="0" t="s">
        <v>153</v>
      </c>
      <c r="EA1984" s="0" t="s">
        <v>153</v>
      </c>
      <c r="EF1984" s="0" t="s">
        <v>153</v>
      </c>
    </row>
    <row r="1985" customFormat="false" ht="13.8" hidden="true" customHeight="false" outlineLevel="0" collapsed="false">
      <c r="A1985" s="0" t="s">
        <v>8787</v>
      </c>
      <c r="B1985" s="0" t="n">
        <v>78</v>
      </c>
      <c r="C1985" s="0" t="n">
        <v>448151</v>
      </c>
      <c r="D1985" s="0" t="s">
        <v>3882</v>
      </c>
      <c r="E1985" s="0" t="s">
        <v>3857</v>
      </c>
      <c r="F1985" s="0" t="str">
        <f aca="false">CONCATENATE(D1985," ",LEFT(H1985,4),"T=",AU1985,"D=",AV1985,"R=",AW1985,"M=",AX1985,"L=",AY1985,"B=",AZ1985)</f>
        <v>LYNCH T=2D=0R=0M=0L=1B=0</v>
      </c>
      <c r="G1985" s="0" t="s">
        <v>686</v>
      </c>
      <c r="I1985" s="0" t="s">
        <v>8788</v>
      </c>
      <c r="J1985" s="0" t="s">
        <v>404</v>
      </c>
      <c r="K1985" s="0" t="s">
        <v>160</v>
      </c>
      <c r="M1985" s="0" t="s">
        <v>8789</v>
      </c>
      <c r="N1985" s="0" t="str">
        <f aca="false">RIGHT(M1985,LEN(M1985)-FIND(" ",M1985))</f>
        <v>PORTER ST NE</v>
      </c>
      <c r="P1985" s="0" t="s">
        <v>145</v>
      </c>
      <c r="Q1985" s="0" t="s">
        <v>146</v>
      </c>
      <c r="R1985" s="0" t="n">
        <v>44483</v>
      </c>
      <c r="AD1985" s="0" t="s">
        <v>147</v>
      </c>
      <c r="AE1985" s="0" t="s">
        <v>148</v>
      </c>
      <c r="AF1985" s="0" t="s">
        <v>149</v>
      </c>
      <c r="AH1985" s="0" t="n">
        <v>14</v>
      </c>
      <c r="AI1985" s="0" t="n">
        <v>11</v>
      </c>
      <c r="AN1985" s="0" t="s">
        <v>145</v>
      </c>
      <c r="AO1985" s="0" t="s">
        <v>654</v>
      </c>
      <c r="AP1985" s="0" t="s">
        <v>655</v>
      </c>
      <c r="AQ1985" s="0" t="n">
        <v>9</v>
      </c>
      <c r="AR1985" s="0" t="n">
        <v>64</v>
      </c>
      <c r="AS1985" s="0" t="n">
        <v>32</v>
      </c>
      <c r="AU1985" s="0" t="n">
        <f aca="false">COUNTA($BA$1625:$EH$1625)</f>
        <v>2</v>
      </c>
      <c r="AV1985" s="0" t="n">
        <f aca="false">COUNTIF($BA$1625:$EH$1625,"D")</f>
        <v>0</v>
      </c>
      <c r="AW1985" s="0" t="n">
        <f aca="false">COUNTIF($BA$1625:$EH$1625,"R")</f>
        <v>0</v>
      </c>
      <c r="AX1985" s="0" t="n">
        <f aca="false">IF(BN1985="D",1,0)+IF(BO1985="D",1,0)+IF(BT1985="D",1,0)+IF(BU1985="D",1,0)+IF(BW1985="D",1,0)+IF(CC1985="D",1,0)+IF(CD1985="D",1,0)+IF(CE1985="D",1,0)+IF(CF1985="D",1,0)+IF(CL1985="D",1,0)+IF(CM1985="D",1,0)+IF(CQ1985="D",1,0)+IF(CR1985="D",1,0)+IF(CS1985="D",1,0)+IF(CW1985="D",1,0)+IF(CX1985="D",1,0)+IF(DD1985="D",1,0)+IF(DE1985="D",1,0)+IF(DJ1985="D",1,0)+IF(DK1985="D",1,0)+IF(DO1985="D",1,0)+IF(DP1985="D",1,0)+IF(DQ1985="D",1,0)+IF(DW1985="D",1,0)+IF(DZ1985="D",1,0)+IF(EH1985="D",1,0)</f>
        <v>0</v>
      </c>
      <c r="AY1985" s="0" t="n">
        <f aca="false">COUNTIF(DU1985:EH1985, "&lt;&gt;")</f>
        <v>1</v>
      </c>
      <c r="AZ1985" s="0" t="n">
        <f aca="false">IF(EH1985&lt;&gt;"",1,0)</f>
        <v>0</v>
      </c>
      <c r="BB1985" s="0" t="s">
        <v>152</v>
      </c>
      <c r="EF1985" s="0" t="s">
        <v>153</v>
      </c>
    </row>
    <row r="1986" customFormat="false" ht="13.8" hidden="true" customHeight="false" outlineLevel="0" collapsed="false">
      <c r="A1986" s="0" t="s">
        <v>8790</v>
      </c>
      <c r="B1986" s="0" t="n">
        <v>78</v>
      </c>
      <c r="C1986" s="0" t="n">
        <v>448152</v>
      </c>
      <c r="D1986" s="0" t="s">
        <v>8791</v>
      </c>
      <c r="E1986" s="0" t="s">
        <v>691</v>
      </c>
      <c r="F1986" s="0" t="str">
        <f aca="false">CONCATENATE(D1986," ",LEFT(H1986,4),"T=",AU1986,"D=",AV1986,"R=",AW1986,"M=",AX1986,"L=",AY1986,"B=",AZ1986)</f>
        <v>BIALOGLOWICZ T=2D=0R=0M=0L=1B=0</v>
      </c>
      <c r="G1986" s="0" t="s">
        <v>1596</v>
      </c>
      <c r="I1986" s="0" t="s">
        <v>8792</v>
      </c>
      <c r="J1986" s="0" t="s">
        <v>8793</v>
      </c>
      <c r="K1986" s="0" t="s">
        <v>160</v>
      </c>
      <c r="M1986" s="0" t="s">
        <v>8789</v>
      </c>
      <c r="N1986" s="0" t="str">
        <f aca="false">RIGHT(M1986,LEN(M1986)-FIND(" ",M1986))</f>
        <v>PORTER ST NE</v>
      </c>
      <c r="P1986" s="0" t="s">
        <v>145</v>
      </c>
      <c r="Q1986" s="0" t="s">
        <v>146</v>
      </c>
      <c r="R1986" s="0" t="n">
        <v>44483</v>
      </c>
      <c r="AD1986" s="0" t="s">
        <v>147</v>
      </c>
      <c r="AE1986" s="0" t="s">
        <v>148</v>
      </c>
      <c r="AF1986" s="0" t="s">
        <v>149</v>
      </c>
      <c r="AH1986" s="0" t="n">
        <v>14</v>
      </c>
      <c r="AI1986" s="0" t="n">
        <v>11</v>
      </c>
      <c r="AN1986" s="0" t="s">
        <v>145</v>
      </c>
      <c r="AO1986" s="0" t="s">
        <v>654</v>
      </c>
      <c r="AP1986" s="0" t="s">
        <v>655</v>
      </c>
      <c r="AQ1986" s="0" t="n">
        <v>9</v>
      </c>
      <c r="AR1986" s="0" t="n">
        <v>64</v>
      </c>
      <c r="AS1986" s="0" t="n">
        <v>32</v>
      </c>
      <c r="AU1986" s="0" t="n">
        <f aca="false">COUNTA($BA$1627:$EH$1627)</f>
        <v>2</v>
      </c>
      <c r="AV1986" s="0" t="n">
        <f aca="false">COUNTIF($BA$1627:$EH$1627,"D")</f>
        <v>0</v>
      </c>
      <c r="AW1986" s="0" t="n">
        <f aca="false">COUNTIF($BA$1627:$EH$1627,"R")</f>
        <v>0</v>
      </c>
      <c r="AX1986" s="0" t="n">
        <f aca="false">IF(BN1986="D",1,0)+IF(BO1986="D",1,0)+IF(BT1986="D",1,0)+IF(BU1986="D",1,0)+IF(BW1986="D",1,0)+IF(CC1986="D",1,0)+IF(CD1986="D",1,0)+IF(CE1986="D",1,0)+IF(CF1986="D",1,0)+IF(CL1986="D",1,0)+IF(CM1986="D",1,0)+IF(CQ1986="D",1,0)+IF(CR1986="D",1,0)+IF(CS1986="D",1,0)+IF(CW1986="D",1,0)+IF(CX1986="D",1,0)+IF(DD1986="D",1,0)+IF(DE1986="D",1,0)+IF(DJ1986="D",1,0)+IF(DK1986="D",1,0)+IF(DO1986="D",1,0)+IF(DP1986="D",1,0)+IF(DQ1986="D",1,0)+IF(DW1986="D",1,0)+IF(DZ1986="D",1,0)+IF(EH1986="D",1,0)</f>
        <v>0</v>
      </c>
      <c r="AY1986" s="0" t="n">
        <f aca="false">COUNTIF(DU1986:EH1986, "&lt;&gt;")</f>
        <v>1</v>
      </c>
      <c r="AZ1986" s="0" t="n">
        <f aca="false">IF(EH1986&lt;&gt;"",1,0)</f>
        <v>0</v>
      </c>
      <c r="BB1986" s="0" t="s">
        <v>152</v>
      </c>
      <c r="EF1986" s="0" t="s">
        <v>153</v>
      </c>
    </row>
    <row r="1987" customFormat="false" ht="13.8" hidden="true" customHeight="false" outlineLevel="0" collapsed="false">
      <c r="A1987" s="0" t="s">
        <v>8794</v>
      </c>
      <c r="B1987" s="0" t="n">
        <v>78</v>
      </c>
      <c r="C1987" s="0" t="n">
        <v>495311</v>
      </c>
      <c r="D1987" s="0" t="s">
        <v>8795</v>
      </c>
      <c r="E1987" s="0" t="s">
        <v>8796</v>
      </c>
      <c r="F1987" s="0" t="str">
        <f aca="false">CONCATENATE(D1987," ",LEFT(H1987,4),"T=",AU1987,"D=",AV1987,"R=",AW1987,"M=",AX1987,"L=",AY1987,"B=",AZ1987)</f>
        <v>RUDOLPH T=3D=0R=0M=0L=0B=0</v>
      </c>
      <c r="G1987" s="0" t="s">
        <v>8797</v>
      </c>
      <c r="I1987" s="0" t="s">
        <v>8798</v>
      </c>
      <c r="J1987" s="0" t="s">
        <v>8799</v>
      </c>
      <c r="K1987" s="0" t="s">
        <v>160</v>
      </c>
      <c r="M1987" s="0" t="s">
        <v>8800</v>
      </c>
      <c r="N1987" s="0" t="str">
        <f aca="false">RIGHT(M1987,LEN(M1987)-FIND(" ",M1987))</f>
        <v>PORTER ST NE</v>
      </c>
      <c r="O1987" s="0" t="s">
        <v>8801</v>
      </c>
      <c r="P1987" s="0" t="s">
        <v>145</v>
      </c>
      <c r="Q1987" s="0" t="s">
        <v>146</v>
      </c>
      <c r="R1987" s="0" t="n">
        <v>44483</v>
      </c>
      <c r="AD1987" s="0" t="s">
        <v>147</v>
      </c>
      <c r="AE1987" s="0" t="s">
        <v>148</v>
      </c>
      <c r="AF1987" s="0" t="s">
        <v>149</v>
      </c>
      <c r="AH1987" s="0" t="n">
        <v>14</v>
      </c>
      <c r="AI1987" s="0" t="n">
        <v>11</v>
      </c>
      <c r="AN1987" s="0" t="s">
        <v>145</v>
      </c>
      <c r="AO1987" s="0" t="s">
        <v>654</v>
      </c>
      <c r="AP1987" s="0" t="s">
        <v>655</v>
      </c>
      <c r="AQ1987" s="0" t="n">
        <v>9</v>
      </c>
      <c r="AR1987" s="0" t="n">
        <v>64</v>
      </c>
      <c r="AS1987" s="0" t="n">
        <v>32</v>
      </c>
      <c r="AU1987" s="0" t="n">
        <f aca="false">COUNTA($BA$1328:$EH$1328)</f>
        <v>3</v>
      </c>
      <c r="AV1987" s="0" t="n">
        <f aca="false">COUNTIF($BA$1328:$EH$1328,"D")</f>
        <v>0</v>
      </c>
      <c r="AW1987" s="0" t="n">
        <f aca="false">COUNTIF($BA$1328:$EH$1328,"R")</f>
        <v>0</v>
      </c>
      <c r="AX1987" s="0" t="n">
        <f aca="false">IF(BN1987="D",1,0)+IF(BO1987="D",1,0)+IF(BT1987="D",1,0)+IF(BU1987="D",1,0)+IF(BW1987="D",1,0)+IF(CC1987="D",1,0)+IF(CD1987="D",1,0)+IF(CE1987="D",1,0)+IF(CF1987="D",1,0)+IF(CL1987="D",1,0)+IF(CM1987="D",1,0)+IF(CQ1987="D",1,0)+IF(CR1987="D",1,0)+IF(CS1987="D",1,0)+IF(CW1987="D",1,0)+IF(CX1987="D",1,0)+IF(DD1987="D",1,0)+IF(DE1987="D",1,0)+IF(DJ1987="D",1,0)+IF(DK1987="D",1,0)+IF(DO1987="D",1,0)+IF(DP1987="D",1,0)+IF(DQ1987="D",1,0)+IF(DW1987="D",1,0)+IF(DZ1987="D",1,0)+IF(EH1987="D",1,0)</f>
        <v>0</v>
      </c>
      <c r="AY1987" s="0" t="n">
        <f aca="false">COUNTIF(DU1987:EH1987, "&lt;&gt;")</f>
        <v>0</v>
      </c>
      <c r="AZ1987" s="0" t="n">
        <f aca="false">IF(EH1987&lt;&gt;"",1,0)</f>
        <v>0</v>
      </c>
      <c r="BB1987" s="0" t="s">
        <v>152</v>
      </c>
    </row>
    <row r="1988" customFormat="false" ht="13.8" hidden="true" customHeight="false" outlineLevel="0" collapsed="false">
      <c r="A1988" s="0" t="s">
        <v>8802</v>
      </c>
      <c r="B1988" s="0" t="n">
        <v>78</v>
      </c>
      <c r="C1988" s="0" t="n">
        <v>336516</v>
      </c>
      <c r="D1988" s="0" t="s">
        <v>8803</v>
      </c>
      <c r="E1988" s="0" t="s">
        <v>8804</v>
      </c>
      <c r="F1988" s="0" t="str">
        <f aca="false">CONCATENATE(D1988," ",LEFT(H1988,4),"T=",AU1988,"D=",AV1988,"R=",AW1988,"M=",AX1988,"L=",AY1988,"B=",AZ1988)</f>
        <v>BALL T=7D=0R=0M=0L=0B=0</v>
      </c>
      <c r="G1988" s="0" t="s">
        <v>621</v>
      </c>
      <c r="I1988" s="0" t="s">
        <v>8805</v>
      </c>
      <c r="J1988" s="0" t="s">
        <v>8806</v>
      </c>
      <c r="K1988" s="0" t="s">
        <v>143</v>
      </c>
      <c r="M1988" s="0" t="s">
        <v>8800</v>
      </c>
      <c r="N1988" s="0" t="str">
        <f aca="false">RIGHT(M1988,LEN(M1988)-FIND(" ",M1988))</f>
        <v>PORTER ST NE</v>
      </c>
      <c r="O1988" s="0" t="s">
        <v>2211</v>
      </c>
      <c r="P1988" s="0" t="s">
        <v>145</v>
      </c>
      <c r="Q1988" s="0" t="s">
        <v>146</v>
      </c>
      <c r="R1988" s="0" t="n">
        <v>44483</v>
      </c>
      <c r="AD1988" s="0" t="s">
        <v>147</v>
      </c>
      <c r="AE1988" s="0" t="s">
        <v>148</v>
      </c>
      <c r="AF1988" s="0" t="s">
        <v>149</v>
      </c>
      <c r="AH1988" s="0" t="n">
        <v>14</v>
      </c>
      <c r="AI1988" s="0" t="n">
        <v>11</v>
      </c>
      <c r="AN1988" s="0" t="s">
        <v>145</v>
      </c>
      <c r="AO1988" s="0" t="s">
        <v>654</v>
      </c>
      <c r="AP1988" s="0" t="s">
        <v>655</v>
      </c>
      <c r="AQ1988" s="0" t="n">
        <v>9</v>
      </c>
      <c r="AR1988" s="0" t="n">
        <v>64</v>
      </c>
      <c r="AS1988" s="0" t="n">
        <v>32</v>
      </c>
      <c r="AU1988" s="0" t="n">
        <f aca="false">COUNTA($BA$1498:$EH$1498)</f>
        <v>7</v>
      </c>
      <c r="AV1988" s="0" t="n">
        <f aca="false">COUNTIF($BA$1498:$EH$1498,"D")</f>
        <v>0</v>
      </c>
      <c r="AW1988" s="0" t="n">
        <f aca="false">COUNTIF($BA$1498:$EH$1498,"R")</f>
        <v>0</v>
      </c>
      <c r="AX1988" s="0" t="n">
        <f aca="false">IF(BN1988="D",1,0)+IF(BO1988="D",1,0)+IF(BT1988="D",1,0)+IF(BU1988="D",1,0)+IF(BW1988="D",1,0)+IF(CC1988="D",1,0)+IF(CD1988="D",1,0)+IF(CE1988="D",1,0)+IF(CF1988="D",1,0)+IF(CL1988="D",1,0)+IF(CM1988="D",1,0)+IF(CQ1988="D",1,0)+IF(CR1988="D",1,0)+IF(CS1988="D",1,0)+IF(CW1988="D",1,0)+IF(CX1988="D",1,0)+IF(DD1988="D",1,0)+IF(DE1988="D",1,0)+IF(DJ1988="D",1,0)+IF(DK1988="D",1,0)+IF(DO1988="D",1,0)+IF(DP1988="D",1,0)+IF(DQ1988="D",1,0)+IF(DW1988="D",1,0)+IF(DZ1988="D",1,0)+IF(EH1988="D",1,0)</f>
        <v>0</v>
      </c>
      <c r="AY1988" s="0" t="n">
        <f aca="false">COUNTIF(DU1988:EH1988, "&lt;&gt;")</f>
        <v>0</v>
      </c>
      <c r="AZ1988" s="0" t="n">
        <f aca="false">IF(EH1988&lt;&gt;"",1,0)</f>
        <v>0</v>
      </c>
      <c r="BB1988" s="0" t="s">
        <v>152</v>
      </c>
    </row>
    <row r="1989" customFormat="false" ht="13.8" hidden="true" customHeight="false" outlineLevel="0" collapsed="false">
      <c r="A1989" s="0" t="s">
        <v>8807</v>
      </c>
      <c r="B1989" s="0" t="n">
        <v>78</v>
      </c>
      <c r="C1989" s="0" t="n">
        <v>486996</v>
      </c>
      <c r="D1989" s="0" t="s">
        <v>509</v>
      </c>
      <c r="E1989" s="0" t="s">
        <v>8808</v>
      </c>
      <c r="F1989" s="0" t="str">
        <f aca="false">CONCATENATE(D1989," ",LEFT(H1989,4),"T=",AU1989,"D=",AV1989,"R=",AW1989,"M=",AX1989,"L=",AY1989,"B=",AZ1989)</f>
        <v>PARKER T=18D=3R=1M=0L=1B=0</v>
      </c>
      <c r="G1989" s="0" t="s">
        <v>650</v>
      </c>
      <c r="I1989" s="0" t="s">
        <v>8809</v>
      </c>
      <c r="J1989" s="0" t="s">
        <v>8810</v>
      </c>
      <c r="K1989" s="0" t="s">
        <v>160</v>
      </c>
      <c r="M1989" s="0" t="s">
        <v>8800</v>
      </c>
      <c r="N1989" s="0" t="str">
        <f aca="false">RIGHT(M1989,LEN(M1989)-FIND(" ",M1989))</f>
        <v>PORTER ST NE</v>
      </c>
      <c r="O1989" s="0" t="s">
        <v>8801</v>
      </c>
      <c r="P1989" s="0" t="s">
        <v>145</v>
      </c>
      <c r="Q1989" s="0" t="s">
        <v>146</v>
      </c>
      <c r="R1989" s="0" t="n">
        <v>44483</v>
      </c>
      <c r="AD1989" s="0" t="s">
        <v>147</v>
      </c>
      <c r="AE1989" s="0" t="s">
        <v>148</v>
      </c>
      <c r="AF1989" s="0" t="s">
        <v>149</v>
      </c>
      <c r="AH1989" s="0" t="n">
        <v>14</v>
      </c>
      <c r="AI1989" s="0" t="n">
        <v>11</v>
      </c>
      <c r="AN1989" s="0" t="s">
        <v>145</v>
      </c>
      <c r="AO1989" s="0" t="s">
        <v>654</v>
      </c>
      <c r="AP1989" s="0" t="s">
        <v>655</v>
      </c>
      <c r="AQ1989" s="0" t="n">
        <v>9</v>
      </c>
      <c r="AR1989" s="0" t="n">
        <v>64</v>
      </c>
      <c r="AS1989" s="0" t="n">
        <v>32</v>
      </c>
      <c r="AU1989" s="0" t="n">
        <f aca="false">COUNTA($BA$1770:$EH$1770)</f>
        <v>18</v>
      </c>
      <c r="AV1989" s="0" t="n">
        <f aca="false">COUNTIF($BA$1770:$EH$1770,"D")</f>
        <v>3</v>
      </c>
      <c r="AW1989" s="0" t="n">
        <f aca="false">COUNTIF($BA$1770:$EH$1770,"R")</f>
        <v>1</v>
      </c>
      <c r="AX1989" s="0" t="n">
        <f aca="false">IF(BN1989="D",1,0)+IF(BO1989="D",1,0)+IF(BT1989="D",1,0)+IF(BU1989="D",1,0)+IF(BW1989="D",1,0)+IF(CC1989="D",1,0)+IF(CD1989="D",1,0)+IF(CE1989="D",1,0)+IF(CF1989="D",1,0)+IF(CL1989="D",1,0)+IF(CM1989="D",1,0)+IF(CQ1989="D",1,0)+IF(CR1989="D",1,0)+IF(CS1989="D",1,0)+IF(CW1989="D",1,0)+IF(CX1989="D",1,0)+IF(DD1989="D",1,0)+IF(DE1989="D",1,0)+IF(DJ1989="D",1,0)+IF(DK1989="D",1,0)+IF(DO1989="D",1,0)+IF(DP1989="D",1,0)+IF(DQ1989="D",1,0)+IF(DW1989="D",1,0)+IF(DZ1989="D",1,0)+IF(EH1989="D",1,0)</f>
        <v>0</v>
      </c>
      <c r="AY1989" s="0" t="n">
        <f aca="false">COUNTIF(DU1989:EH1989, "&lt;&gt;")</f>
        <v>1</v>
      </c>
      <c r="AZ1989" s="0" t="n">
        <f aca="false">IF(EH1989&lt;&gt;"",1,0)</f>
        <v>0</v>
      </c>
      <c r="BB1989" s="0" t="s">
        <v>152</v>
      </c>
      <c r="CP1989" s="0" t="s">
        <v>153</v>
      </c>
      <c r="DC1989" s="0" t="s">
        <v>153</v>
      </c>
      <c r="EF1989" s="0" t="s">
        <v>153</v>
      </c>
    </row>
    <row r="1990" customFormat="false" ht="13.8" hidden="true" customHeight="false" outlineLevel="0" collapsed="false">
      <c r="A1990" s="0" t="s">
        <v>8811</v>
      </c>
      <c r="B1990" s="0" t="n">
        <v>78</v>
      </c>
      <c r="C1990" s="0" t="n">
        <v>372461</v>
      </c>
      <c r="D1990" s="0" t="s">
        <v>8812</v>
      </c>
      <c r="E1990" s="0" t="s">
        <v>610</v>
      </c>
      <c r="F1990" s="0" t="str">
        <f aca="false">CONCATENATE(D1990," ",LEFT(H1990,4),"T=",AU1990,"D=",AV1990,"R=",AW1990,"M=",AX1990,"L=",AY1990,"B=",AZ1990)</f>
        <v>RAINES T=6D=0R=0M=0L=0B=0</v>
      </c>
      <c r="G1990" s="0" t="s">
        <v>164</v>
      </c>
      <c r="I1990" s="0" t="s">
        <v>8813</v>
      </c>
      <c r="J1990" s="0" t="s">
        <v>8814</v>
      </c>
      <c r="K1990" s="0" t="s">
        <v>143</v>
      </c>
      <c r="M1990" s="0" t="s">
        <v>8815</v>
      </c>
      <c r="N1990" s="0" t="str">
        <f aca="false">RIGHT(M1990,LEN(M1990)-FIND(" ",M1990))</f>
        <v>PORTER ST NE</v>
      </c>
      <c r="P1990" s="0" t="s">
        <v>145</v>
      </c>
      <c r="Q1990" s="0" t="s">
        <v>146</v>
      </c>
      <c r="R1990" s="0" t="n">
        <v>44483</v>
      </c>
      <c r="AD1990" s="0" t="s">
        <v>147</v>
      </c>
      <c r="AE1990" s="0" t="s">
        <v>148</v>
      </c>
      <c r="AF1990" s="0" t="s">
        <v>149</v>
      </c>
      <c r="AH1990" s="0" t="n">
        <v>14</v>
      </c>
      <c r="AI1990" s="0" t="n">
        <v>11</v>
      </c>
      <c r="AN1990" s="0" t="s">
        <v>145</v>
      </c>
      <c r="AO1990" s="0" t="s">
        <v>654</v>
      </c>
      <c r="AP1990" s="0" t="s">
        <v>655</v>
      </c>
      <c r="AQ1990" s="0" t="n">
        <v>9</v>
      </c>
      <c r="AR1990" s="0" t="n">
        <v>64</v>
      </c>
      <c r="AS1990" s="0" t="n">
        <v>32</v>
      </c>
      <c r="AU1990" s="0" t="n">
        <f aca="false">COUNTA($BA$1608:$EH$1608)</f>
        <v>6</v>
      </c>
      <c r="AV1990" s="0" t="n">
        <f aca="false">COUNTIF($BA$1608:$EH$1608,"D")</f>
        <v>0</v>
      </c>
      <c r="AW1990" s="0" t="n">
        <f aca="false">COUNTIF($BA$1608:$EH$1608,"R")</f>
        <v>0</v>
      </c>
      <c r="AX1990" s="0" t="n">
        <f aca="false">IF(BN1990="D",1,0)+IF(BO1990="D",1,0)+IF(BT1990="D",1,0)+IF(BU1990="D",1,0)+IF(BW1990="D",1,0)+IF(CC1990="D",1,0)+IF(CD1990="D",1,0)+IF(CE1990="D",1,0)+IF(CF1990="D",1,0)+IF(CL1990="D",1,0)+IF(CM1990="D",1,0)+IF(CQ1990="D",1,0)+IF(CR1990="D",1,0)+IF(CS1990="D",1,0)+IF(CW1990="D",1,0)+IF(CX1990="D",1,0)+IF(DD1990="D",1,0)+IF(DE1990="D",1,0)+IF(DJ1990="D",1,0)+IF(DK1990="D",1,0)+IF(DO1990="D",1,0)+IF(DP1990="D",1,0)+IF(DQ1990="D",1,0)+IF(DW1990="D",1,0)+IF(DZ1990="D",1,0)+IF(EH1990="D",1,0)</f>
        <v>0</v>
      </c>
      <c r="AY1990" s="0" t="n">
        <f aca="false">COUNTIF(DU1990:EH1990, "&lt;&gt;")</f>
        <v>0</v>
      </c>
      <c r="AZ1990" s="0" t="n">
        <f aca="false">IF(EH1990&lt;&gt;"",1,0)</f>
        <v>0</v>
      </c>
      <c r="BB1990" s="0" t="s">
        <v>152</v>
      </c>
      <c r="BL1990" s="0" t="s">
        <v>153</v>
      </c>
      <c r="CP1990" s="0" t="s">
        <v>153</v>
      </c>
      <c r="DC1990" s="0" t="s">
        <v>153</v>
      </c>
    </row>
    <row r="1991" customFormat="false" ht="13.8" hidden="true" customHeight="false" outlineLevel="0" collapsed="false">
      <c r="A1991" s="0" t="s">
        <v>8816</v>
      </c>
      <c r="B1991" s="0" t="n">
        <v>78</v>
      </c>
      <c r="C1991" s="0" t="n">
        <v>416389</v>
      </c>
      <c r="D1991" s="0" t="s">
        <v>6734</v>
      </c>
      <c r="E1991" s="0" t="s">
        <v>275</v>
      </c>
      <c r="F1991" s="0" t="str">
        <f aca="false">CONCATENATE(D1991," ",LEFT(H1991,4),"T=",AU1991,"D=",AV1991,"R=",AW1991,"M=",AX1991,"L=",AY1991,"B=",AZ1991)</f>
        <v>COX T=1D=0R=0M=0L=1B=0</v>
      </c>
      <c r="G1991" s="0" t="s">
        <v>331</v>
      </c>
      <c r="I1991" s="0" t="s">
        <v>8817</v>
      </c>
      <c r="J1991" s="0" t="s">
        <v>2360</v>
      </c>
      <c r="K1991" s="0" t="s">
        <v>160</v>
      </c>
      <c r="M1991" s="0" t="s">
        <v>8818</v>
      </c>
      <c r="N1991" s="0" t="str">
        <f aca="false">RIGHT(M1991,LEN(M1991)-FIND(" ",M1991))</f>
        <v>PORTER ST NE</v>
      </c>
      <c r="P1991" s="0" t="s">
        <v>145</v>
      </c>
      <c r="Q1991" s="0" t="s">
        <v>146</v>
      </c>
      <c r="R1991" s="0" t="n">
        <v>44483</v>
      </c>
      <c r="AD1991" s="0" t="s">
        <v>147</v>
      </c>
      <c r="AE1991" s="0" t="s">
        <v>148</v>
      </c>
      <c r="AF1991" s="0" t="s">
        <v>149</v>
      </c>
      <c r="AH1991" s="0" t="n">
        <v>14</v>
      </c>
      <c r="AI1991" s="0" t="n">
        <v>11</v>
      </c>
      <c r="AN1991" s="0" t="s">
        <v>145</v>
      </c>
      <c r="AO1991" s="0" t="s">
        <v>654</v>
      </c>
      <c r="AP1991" s="0" t="s">
        <v>655</v>
      </c>
      <c r="AQ1991" s="0" t="n">
        <v>9</v>
      </c>
      <c r="AR1991" s="0" t="n">
        <v>64</v>
      </c>
      <c r="AS1991" s="0" t="n">
        <v>32</v>
      </c>
      <c r="AU1991" s="0" t="n">
        <f aca="false">COUNTA($BA$1817:$EH$1817)</f>
        <v>1</v>
      </c>
      <c r="AV1991" s="0" t="n">
        <f aca="false">COUNTIF($BA$1817:$EH$1817,"D")</f>
        <v>0</v>
      </c>
      <c r="AW1991" s="0" t="n">
        <f aca="false">COUNTIF($BA$1817:$EH$1817,"R")</f>
        <v>0</v>
      </c>
      <c r="AX1991" s="0" t="n">
        <f aca="false">IF(BN1991="D",1,0)+IF(BO1991="D",1,0)+IF(BT1991="D",1,0)+IF(BU1991="D",1,0)+IF(BW1991="D",1,0)+IF(CC1991="D",1,0)+IF(CD1991="D",1,0)+IF(CE1991="D",1,0)+IF(CF1991="D",1,0)+IF(CL1991="D",1,0)+IF(CM1991="D",1,0)+IF(CQ1991="D",1,0)+IF(CR1991="D",1,0)+IF(CS1991="D",1,0)+IF(CW1991="D",1,0)+IF(CX1991="D",1,0)+IF(DD1991="D",1,0)+IF(DE1991="D",1,0)+IF(DJ1991="D",1,0)+IF(DK1991="D",1,0)+IF(DO1991="D",1,0)+IF(DP1991="D",1,0)+IF(DQ1991="D",1,0)+IF(DW1991="D",1,0)+IF(DZ1991="D",1,0)+IF(EH1991="D",1,0)</f>
        <v>0</v>
      </c>
      <c r="AY1991" s="0" t="n">
        <f aca="false">COUNTIF(DU1991:EH1991, "&lt;&gt;")</f>
        <v>1</v>
      </c>
      <c r="AZ1991" s="0" t="n">
        <f aca="false">IF(EH1991&lt;&gt;"",1,0)</f>
        <v>0</v>
      </c>
      <c r="BB1991" s="0" t="s">
        <v>152</v>
      </c>
      <c r="DN1991" s="0" t="s">
        <v>153</v>
      </c>
      <c r="EF1991" s="0" t="s">
        <v>153</v>
      </c>
    </row>
    <row r="1992" customFormat="false" ht="13.8" hidden="true" customHeight="false" outlineLevel="0" collapsed="false">
      <c r="A1992" s="0" t="s">
        <v>8819</v>
      </c>
      <c r="B1992" s="0" t="n">
        <v>78</v>
      </c>
      <c r="C1992" s="0" t="n">
        <v>432003</v>
      </c>
      <c r="D1992" s="0" t="s">
        <v>6827</v>
      </c>
      <c r="E1992" s="0" t="s">
        <v>8820</v>
      </c>
      <c r="F1992" s="0" t="str">
        <f aca="false">CONCATENATE(D1992," ",LEFT(H1992,4),"T=",AU1992,"D=",AV1992,"R=",AW1992,"M=",AX1992,"L=",AY1992,"B=",AZ1992)</f>
        <v>BRUCE T=5D=0R=0M=0L=0B=0</v>
      </c>
      <c r="G1992" s="0" t="s">
        <v>307</v>
      </c>
      <c r="I1992" s="0" t="s">
        <v>5503</v>
      </c>
      <c r="J1992" s="0" t="s">
        <v>8821</v>
      </c>
      <c r="K1992" s="0" t="s">
        <v>143</v>
      </c>
      <c r="M1992" s="0" t="s">
        <v>8818</v>
      </c>
      <c r="N1992" s="0" t="str">
        <f aca="false">RIGHT(M1992,LEN(M1992)-FIND(" ",M1992))</f>
        <v>PORTER ST NE</v>
      </c>
      <c r="P1992" s="0" t="s">
        <v>145</v>
      </c>
      <c r="Q1992" s="0" t="s">
        <v>146</v>
      </c>
      <c r="R1992" s="0" t="n">
        <v>44483</v>
      </c>
      <c r="AD1992" s="0" t="s">
        <v>147</v>
      </c>
      <c r="AE1992" s="0" t="s">
        <v>148</v>
      </c>
      <c r="AF1992" s="0" t="s">
        <v>149</v>
      </c>
      <c r="AH1992" s="0" t="n">
        <v>14</v>
      </c>
      <c r="AI1992" s="0" t="n">
        <v>11</v>
      </c>
      <c r="AN1992" s="0" t="s">
        <v>145</v>
      </c>
      <c r="AO1992" s="0" t="s">
        <v>654</v>
      </c>
      <c r="AP1992" s="0" t="s">
        <v>655</v>
      </c>
      <c r="AQ1992" s="0" t="n">
        <v>9</v>
      </c>
      <c r="AR1992" s="0" t="n">
        <v>64</v>
      </c>
      <c r="AS1992" s="0" t="n">
        <v>32</v>
      </c>
      <c r="AU1992" s="0" t="n">
        <f aca="false">COUNTA($BA$2044:$EH$2044)</f>
        <v>5</v>
      </c>
      <c r="AV1992" s="0" t="n">
        <f aca="false">COUNTIF($BA$2044:$EH$2044,"D")</f>
        <v>0</v>
      </c>
      <c r="AW1992" s="0" t="n">
        <f aca="false">COUNTIF($BA$2044:$EH$2044,"R")</f>
        <v>0</v>
      </c>
      <c r="AX1992" s="0" t="n">
        <f aca="false">IF(BN1992="D",1,0)+IF(BO1992="D",1,0)+IF(BT1992="D",1,0)+IF(BU1992="D",1,0)+IF(BW1992="D",1,0)+IF(CC1992="D",1,0)+IF(CD1992="D",1,0)+IF(CE1992="D",1,0)+IF(CF1992="D",1,0)+IF(CL1992="D",1,0)+IF(CM1992="D",1,0)+IF(CQ1992="D",1,0)+IF(CR1992="D",1,0)+IF(CS1992="D",1,0)+IF(CW1992="D",1,0)+IF(CX1992="D",1,0)+IF(DD1992="D",1,0)+IF(DE1992="D",1,0)+IF(DJ1992="D",1,0)+IF(DK1992="D",1,0)+IF(DO1992="D",1,0)+IF(DP1992="D",1,0)+IF(DQ1992="D",1,0)+IF(DW1992="D",1,0)+IF(DZ1992="D",1,0)+IF(EH1992="D",1,0)</f>
        <v>0</v>
      </c>
      <c r="AY1992" s="0" t="n">
        <f aca="false">COUNTIF(DU1992:EH1992, "&lt;&gt;")</f>
        <v>0</v>
      </c>
      <c r="AZ1992" s="0" t="n">
        <f aca="false">IF(EH1992&lt;&gt;"",1,0)</f>
        <v>0</v>
      </c>
      <c r="BB1992" s="0" t="s">
        <v>152</v>
      </c>
      <c r="CV1992" s="0" t="s">
        <v>153</v>
      </c>
    </row>
    <row r="1993" customFormat="false" ht="13.8" hidden="true" customHeight="false" outlineLevel="0" collapsed="false">
      <c r="A1993" s="0" t="s">
        <v>8822</v>
      </c>
      <c r="B1993" s="0" t="n">
        <v>78</v>
      </c>
      <c r="C1993" s="0" t="n">
        <v>429243</v>
      </c>
      <c r="D1993" s="0" t="s">
        <v>7235</v>
      </c>
      <c r="E1993" s="0" t="s">
        <v>3620</v>
      </c>
      <c r="F1993" s="0" t="str">
        <f aca="false">CONCATENATE(D1993," ",LEFT(H1993,4),"T=",AU1993,"D=",AV1993,"R=",AW1993,"M=",AX1993,"L=",AY1993,"B=",AZ1993)</f>
        <v>LOWE T=1D=0R=0M=0L=0B=0</v>
      </c>
      <c r="G1993" s="0" t="s">
        <v>255</v>
      </c>
      <c r="I1993" s="0" t="s">
        <v>8823</v>
      </c>
      <c r="J1993" s="0" t="s">
        <v>8824</v>
      </c>
      <c r="K1993" s="0" t="s">
        <v>143</v>
      </c>
      <c r="M1993" s="0" t="s">
        <v>8825</v>
      </c>
      <c r="N1993" s="0" t="str">
        <f aca="false">RIGHT(M1993,LEN(M1993)-FIND(" ",M1993))</f>
        <v>PORTER ST NE</v>
      </c>
      <c r="O1993" s="0" t="s">
        <v>8826</v>
      </c>
      <c r="P1993" s="0" t="s">
        <v>145</v>
      </c>
      <c r="Q1993" s="0" t="s">
        <v>146</v>
      </c>
      <c r="R1993" s="0" t="n">
        <v>44483</v>
      </c>
      <c r="AD1993" s="0" t="s">
        <v>147</v>
      </c>
      <c r="AE1993" s="0" t="s">
        <v>148</v>
      </c>
      <c r="AF1993" s="0" t="s">
        <v>149</v>
      </c>
      <c r="AH1993" s="0" t="n">
        <v>14</v>
      </c>
      <c r="AI1993" s="0" t="n">
        <v>11</v>
      </c>
      <c r="AN1993" s="0" t="s">
        <v>145</v>
      </c>
      <c r="AO1993" s="0" t="s">
        <v>654</v>
      </c>
      <c r="AP1993" s="0" t="s">
        <v>655</v>
      </c>
      <c r="AQ1993" s="0" t="n">
        <v>9</v>
      </c>
      <c r="AR1993" s="0" t="n">
        <v>64</v>
      </c>
      <c r="AS1993" s="0" t="n">
        <v>32</v>
      </c>
      <c r="AU1993" s="0" t="n">
        <f aca="false">COUNTA($BA$1119:$EH$1119)</f>
        <v>1</v>
      </c>
      <c r="AV1993" s="0" t="n">
        <f aca="false">COUNTIF($BA$1119:$EH$1119,"D")</f>
        <v>0</v>
      </c>
      <c r="AW1993" s="0" t="n">
        <f aca="false">COUNTIF($BA$1119:$EH$1119,"R")</f>
        <v>0</v>
      </c>
      <c r="AX1993" s="0" t="n">
        <f aca="false">IF(BN1993="D",1,0)+IF(BO1993="D",1,0)+IF(BT1993="D",1,0)+IF(BU1993="D",1,0)+IF(BW1993="D",1,0)+IF(CC1993="D",1,0)+IF(CD1993="D",1,0)+IF(CE1993="D",1,0)+IF(CF1993="D",1,0)+IF(CL1993="D",1,0)+IF(CM1993="D",1,0)+IF(CQ1993="D",1,0)+IF(CR1993="D",1,0)+IF(CS1993="D",1,0)+IF(CW1993="D",1,0)+IF(CX1993="D",1,0)+IF(DD1993="D",1,0)+IF(DE1993="D",1,0)+IF(DJ1993="D",1,0)+IF(DK1993="D",1,0)+IF(DO1993="D",1,0)+IF(DP1993="D",1,0)+IF(DQ1993="D",1,0)+IF(DW1993="D",1,0)+IF(DZ1993="D",1,0)+IF(EH1993="D",1,0)</f>
        <v>0</v>
      </c>
      <c r="AY1993" s="0" t="n">
        <f aca="false">COUNTIF(DU1993:EH1993, "&lt;&gt;")</f>
        <v>0</v>
      </c>
      <c r="AZ1993" s="0" t="n">
        <f aca="false">IF(EH1993&lt;&gt;"",1,0)</f>
        <v>0</v>
      </c>
      <c r="BB1993" s="0" t="s">
        <v>152</v>
      </c>
    </row>
    <row r="1994" customFormat="false" ht="13.8" hidden="true" customHeight="false" outlineLevel="0" collapsed="false">
      <c r="A1994" s="0" t="s">
        <v>8827</v>
      </c>
      <c r="B1994" s="0" t="n">
        <v>78</v>
      </c>
      <c r="C1994" s="0" t="n">
        <v>413338</v>
      </c>
      <c r="D1994" s="0" t="s">
        <v>8828</v>
      </c>
      <c r="E1994" s="0" t="s">
        <v>1902</v>
      </c>
      <c r="F1994" s="0" t="str">
        <f aca="false">CONCATENATE(D1994," ",LEFT(H1994,4),"T=",AU1994,"D=",AV1994,"R=",AW1994,"M=",AX1994,"L=",AY1994,"B=",AZ1994)</f>
        <v>REYES TORRES JRT=5D=1R=0M=0L=0B=0</v>
      </c>
      <c r="G1994" s="0" t="s">
        <v>195</v>
      </c>
      <c r="H1994" s="0" t="s">
        <v>314</v>
      </c>
      <c r="I1994" s="0" t="s">
        <v>8829</v>
      </c>
      <c r="J1994" s="0" t="s">
        <v>4681</v>
      </c>
      <c r="K1994" s="0" t="s">
        <v>143</v>
      </c>
      <c r="M1994" s="0" t="s">
        <v>8825</v>
      </c>
      <c r="N1994" s="0" t="str">
        <f aca="false">RIGHT(M1994,LEN(M1994)-FIND(" ",M1994))</f>
        <v>PORTER ST NE</v>
      </c>
      <c r="P1994" s="0" t="s">
        <v>145</v>
      </c>
      <c r="Q1994" s="0" t="s">
        <v>146</v>
      </c>
      <c r="R1994" s="0" t="n">
        <v>44483</v>
      </c>
      <c r="AD1994" s="0" t="s">
        <v>147</v>
      </c>
      <c r="AE1994" s="0" t="s">
        <v>148</v>
      </c>
      <c r="AF1994" s="0" t="s">
        <v>149</v>
      </c>
      <c r="AH1994" s="0" t="n">
        <v>14</v>
      </c>
      <c r="AI1994" s="0" t="n">
        <v>11</v>
      </c>
      <c r="AN1994" s="0" t="s">
        <v>145</v>
      </c>
      <c r="AO1994" s="0" t="s">
        <v>654</v>
      </c>
      <c r="AP1994" s="0" t="s">
        <v>655</v>
      </c>
      <c r="AQ1994" s="0" t="n">
        <v>9</v>
      </c>
      <c r="AR1994" s="0" t="n">
        <v>64</v>
      </c>
      <c r="AS1994" s="0" t="n">
        <v>32</v>
      </c>
      <c r="AU1994" s="0" t="n">
        <f aca="false">COUNTA($BA$1246:$EH$1246)</f>
        <v>5</v>
      </c>
      <c r="AV1994" s="0" t="n">
        <f aca="false">COUNTIF($BA$1246:$EH$1246,"D")</f>
        <v>1</v>
      </c>
      <c r="AW1994" s="0" t="n">
        <f aca="false">COUNTIF($BA$1246:$EH$1246,"R")</f>
        <v>0</v>
      </c>
      <c r="AX1994" s="0" t="n">
        <f aca="false">IF(BN1994="D",1,0)+IF(BO1994="D",1,0)+IF(BT1994="D",1,0)+IF(BU1994="D",1,0)+IF(BW1994="D",1,0)+IF(CC1994="D",1,0)+IF(CD1994="D",1,0)+IF(CE1994="D",1,0)+IF(CF1994="D",1,0)+IF(CL1994="D",1,0)+IF(CM1994="D",1,0)+IF(CQ1994="D",1,0)+IF(CR1994="D",1,0)+IF(CS1994="D",1,0)+IF(CW1994="D",1,0)+IF(CX1994="D",1,0)+IF(DD1994="D",1,0)+IF(DE1994="D",1,0)+IF(DJ1994="D",1,0)+IF(DK1994="D",1,0)+IF(DO1994="D",1,0)+IF(DP1994="D",1,0)+IF(DQ1994="D",1,0)+IF(DW1994="D",1,0)+IF(DZ1994="D",1,0)+IF(EH1994="D",1,0)</f>
        <v>0</v>
      </c>
      <c r="AY1994" s="0" t="n">
        <f aca="false">COUNTIF(DU1994:EH1994, "&lt;&gt;")</f>
        <v>0</v>
      </c>
      <c r="AZ1994" s="0" t="n">
        <f aca="false">IF(EH1994&lt;&gt;"",1,0)</f>
        <v>0</v>
      </c>
      <c r="BB1994" s="0" t="s">
        <v>152</v>
      </c>
    </row>
    <row r="1995" customFormat="false" ht="13.8" hidden="true" customHeight="false" outlineLevel="0" collapsed="false">
      <c r="A1995" s="0" t="s">
        <v>8830</v>
      </c>
      <c r="B1995" s="0" t="n">
        <v>78</v>
      </c>
      <c r="C1995" s="0" t="n">
        <v>398033</v>
      </c>
      <c r="D1995" s="0" t="s">
        <v>468</v>
      </c>
      <c r="E1995" s="0" t="s">
        <v>2847</v>
      </c>
      <c r="F1995" s="0" t="str">
        <f aca="false">CONCATENATE(D1995," ",LEFT(H1995,4),"T=",AU1995,"D=",AV1995,"R=",AW1995,"M=",AX1995,"L=",AY1995,"B=",AZ1995)</f>
        <v>EVANS T=1D=0R=0M=0L=0B=0</v>
      </c>
      <c r="G1995" s="0" t="s">
        <v>190</v>
      </c>
      <c r="I1995" s="0" t="s">
        <v>3066</v>
      </c>
      <c r="J1995" s="0" t="s">
        <v>3441</v>
      </c>
      <c r="K1995" s="0" t="s">
        <v>143</v>
      </c>
      <c r="M1995" s="0" t="s">
        <v>8831</v>
      </c>
      <c r="N1995" s="0" t="str">
        <f aca="false">RIGHT(M1995,LEN(M1995)-FIND(" ",M1995))</f>
        <v>PORTER ST NE</v>
      </c>
      <c r="O1995" s="0" t="s">
        <v>220</v>
      </c>
      <c r="P1995" s="0" t="s">
        <v>145</v>
      </c>
      <c r="Q1995" s="0" t="s">
        <v>146</v>
      </c>
      <c r="R1995" s="0" t="n">
        <v>44483</v>
      </c>
      <c r="AD1995" s="0" t="s">
        <v>147</v>
      </c>
      <c r="AE1995" s="0" t="s">
        <v>148</v>
      </c>
      <c r="AF1995" s="0" t="s">
        <v>149</v>
      </c>
      <c r="AH1995" s="0" t="n">
        <v>14</v>
      </c>
      <c r="AI1995" s="0" t="n">
        <v>11</v>
      </c>
      <c r="AN1995" s="0" t="s">
        <v>145</v>
      </c>
      <c r="AO1995" s="0" t="s">
        <v>654</v>
      </c>
      <c r="AP1995" s="0" t="s">
        <v>655</v>
      </c>
      <c r="AQ1995" s="0" t="n">
        <v>9</v>
      </c>
      <c r="AR1995" s="0" t="n">
        <v>64</v>
      </c>
      <c r="AS1995" s="0" t="n">
        <v>32</v>
      </c>
      <c r="AU1995" s="0" t="n">
        <f aca="false">COUNTA($BA$1107:$EH$1107)</f>
        <v>1</v>
      </c>
      <c r="AV1995" s="0" t="n">
        <f aca="false">COUNTIF($BA$1107:$EH$1107,"D")</f>
        <v>0</v>
      </c>
      <c r="AW1995" s="0" t="n">
        <f aca="false">COUNTIF($BA$1107:$EH$1107,"R")</f>
        <v>0</v>
      </c>
      <c r="AX1995" s="0" t="n">
        <f aca="false">IF(BN1995="D",1,0)+IF(BO1995="D",1,0)+IF(BT1995="D",1,0)+IF(BU1995="D",1,0)+IF(BW1995="D",1,0)+IF(CC1995="D",1,0)+IF(CD1995="D",1,0)+IF(CE1995="D",1,0)+IF(CF1995="D",1,0)+IF(CL1995="D",1,0)+IF(CM1995="D",1,0)+IF(CQ1995="D",1,0)+IF(CR1995="D",1,0)+IF(CS1995="D",1,0)+IF(CW1995="D",1,0)+IF(CX1995="D",1,0)+IF(DD1995="D",1,0)+IF(DE1995="D",1,0)+IF(DJ1995="D",1,0)+IF(DK1995="D",1,0)+IF(DO1995="D",1,0)+IF(DP1995="D",1,0)+IF(DQ1995="D",1,0)+IF(DW1995="D",1,0)+IF(DZ1995="D",1,0)+IF(EH1995="D",1,0)</f>
        <v>0</v>
      </c>
      <c r="AY1995" s="0" t="n">
        <f aca="false">COUNTIF(DU1995:EH1995, "&lt;&gt;")</f>
        <v>0</v>
      </c>
      <c r="AZ1995" s="0" t="n">
        <f aca="false">IF(EH1995&lt;&gt;"",1,0)</f>
        <v>0</v>
      </c>
      <c r="BB1995" s="0" t="s">
        <v>152</v>
      </c>
    </row>
    <row r="1996" customFormat="false" ht="13.8" hidden="true" customHeight="false" outlineLevel="0" collapsed="false">
      <c r="A1996" s="0" t="s">
        <v>8832</v>
      </c>
      <c r="B1996" s="0" t="n">
        <v>78</v>
      </c>
      <c r="C1996" s="0" t="n">
        <v>485467</v>
      </c>
      <c r="D1996" s="0" t="s">
        <v>8833</v>
      </c>
      <c r="E1996" s="0" t="s">
        <v>8834</v>
      </c>
      <c r="F1996" s="0" t="str">
        <f aca="false">CONCATENATE(D1996," ",LEFT(H1996,4),"T=",AU1996,"D=",AV1996,"R=",AW1996,"M=",AX1996,"L=",AY1996,"B=",AZ1996)</f>
        <v>FLETCHER T=12D=2R=0M=0L=0B=0</v>
      </c>
      <c r="G1996" s="0" t="s">
        <v>8835</v>
      </c>
      <c r="I1996" s="0" t="s">
        <v>8836</v>
      </c>
      <c r="J1996" s="0" t="s">
        <v>7128</v>
      </c>
      <c r="K1996" s="0" t="s">
        <v>160</v>
      </c>
      <c r="M1996" s="0" t="s">
        <v>8837</v>
      </c>
      <c r="N1996" s="0" t="str">
        <f aca="false">RIGHT(M1996,LEN(M1996)-FIND(" ",M1996))</f>
        <v>PORTER ST NE</v>
      </c>
      <c r="P1996" s="0" t="s">
        <v>145</v>
      </c>
      <c r="Q1996" s="0" t="s">
        <v>146</v>
      </c>
      <c r="R1996" s="0" t="n">
        <v>44483</v>
      </c>
      <c r="AD1996" s="0" t="s">
        <v>147</v>
      </c>
      <c r="AE1996" s="0" t="s">
        <v>148</v>
      </c>
      <c r="AF1996" s="0" t="s">
        <v>149</v>
      </c>
      <c r="AH1996" s="0" t="n">
        <v>14</v>
      </c>
      <c r="AI1996" s="0" t="n">
        <v>11</v>
      </c>
      <c r="AN1996" s="0" t="s">
        <v>145</v>
      </c>
      <c r="AO1996" s="0" t="s">
        <v>654</v>
      </c>
      <c r="AP1996" s="0" t="s">
        <v>655</v>
      </c>
      <c r="AQ1996" s="0" t="n">
        <v>9</v>
      </c>
      <c r="AR1996" s="0" t="n">
        <v>64</v>
      </c>
      <c r="AS1996" s="0" t="n">
        <v>32</v>
      </c>
      <c r="AU1996" s="0" t="n">
        <f aca="false">COUNTA($BA$1116:$EH$1116)</f>
        <v>12</v>
      </c>
      <c r="AV1996" s="0" t="n">
        <f aca="false">COUNTIF($BA$1116:$EH$1116,"D")</f>
        <v>2</v>
      </c>
      <c r="AW1996" s="0" t="n">
        <f aca="false">COUNTIF($BA$1116:$EH$1116,"R")</f>
        <v>0</v>
      </c>
      <c r="AX1996" s="0" t="n">
        <f aca="false">IF(BN1996="D",1,0)+IF(BO1996="D",1,0)+IF(BT1996="D",1,0)+IF(BU1996="D",1,0)+IF(BW1996="D",1,0)+IF(CC1996="D",1,0)+IF(CD1996="D",1,0)+IF(CE1996="D",1,0)+IF(CF1996="D",1,0)+IF(CL1996="D",1,0)+IF(CM1996="D",1,0)+IF(CQ1996="D",1,0)+IF(CR1996="D",1,0)+IF(CS1996="D",1,0)+IF(CW1996="D",1,0)+IF(CX1996="D",1,0)+IF(DD1996="D",1,0)+IF(DE1996="D",1,0)+IF(DJ1996="D",1,0)+IF(DK1996="D",1,0)+IF(DO1996="D",1,0)+IF(DP1996="D",1,0)+IF(DQ1996="D",1,0)+IF(DW1996="D",1,0)+IF(DZ1996="D",1,0)+IF(EH1996="D",1,0)</f>
        <v>0</v>
      </c>
      <c r="AY1996" s="0" t="n">
        <f aca="false">COUNTIF(DU1996:EH1996, "&lt;&gt;")</f>
        <v>0</v>
      </c>
      <c r="AZ1996" s="0" t="n">
        <f aca="false">IF(EH1996&lt;&gt;"",1,0)</f>
        <v>0</v>
      </c>
      <c r="BB1996" s="0" t="s">
        <v>152</v>
      </c>
    </row>
    <row r="1997" customFormat="false" ht="13.8" hidden="false" customHeight="false" outlineLevel="0" collapsed="false">
      <c r="A1997" s="0" t="s">
        <v>8838</v>
      </c>
      <c r="B1997" s="0" t="n">
        <v>78</v>
      </c>
      <c r="C1997" s="0" t="n">
        <v>296625</v>
      </c>
      <c r="D1997" s="0" t="s">
        <v>8839</v>
      </c>
      <c r="E1997" s="0" t="s">
        <v>8840</v>
      </c>
      <c r="F1997" s="0" t="str">
        <f aca="false">CONCATENATE(D1997," ",LEFT(H1997,4),"T=",AU1997,"D=",AV1997,"R=",AW1997,"M=",AX1997,"L=",AY1997,"B=",AZ1997)</f>
        <v>MATTHEWS T=51D=17R=0M=0L=3B=0</v>
      </c>
      <c r="G1997" s="0" t="s">
        <v>307</v>
      </c>
      <c r="I1997" s="0" t="s">
        <v>8841</v>
      </c>
      <c r="J1997" s="0" t="s">
        <v>3059</v>
      </c>
      <c r="K1997" s="0" t="s">
        <v>160</v>
      </c>
      <c r="M1997" s="0" t="s">
        <v>8837</v>
      </c>
      <c r="N1997" s="0" t="str">
        <f aca="false">RIGHT(M1997,LEN(M1997)-FIND(" ",M1997))</f>
        <v>PORTER ST NE</v>
      </c>
      <c r="P1997" s="0" t="s">
        <v>145</v>
      </c>
      <c r="Q1997" s="0" t="s">
        <v>146</v>
      </c>
      <c r="R1997" s="0" t="n">
        <v>44483</v>
      </c>
      <c r="AD1997" s="0" t="s">
        <v>147</v>
      </c>
      <c r="AE1997" s="0" t="s">
        <v>148</v>
      </c>
      <c r="AF1997" s="0" t="s">
        <v>149</v>
      </c>
      <c r="AH1997" s="0" t="n">
        <v>14</v>
      </c>
      <c r="AI1997" s="0" t="n">
        <v>11</v>
      </c>
      <c r="AN1997" s="0" t="s">
        <v>145</v>
      </c>
      <c r="AO1997" s="0" t="s">
        <v>654</v>
      </c>
      <c r="AP1997" s="0" t="s">
        <v>655</v>
      </c>
      <c r="AQ1997" s="0" t="n">
        <v>9</v>
      </c>
      <c r="AR1997" s="0" t="n">
        <v>64</v>
      </c>
      <c r="AS1997" s="0" t="n">
        <v>32</v>
      </c>
      <c r="AU1997" s="0" t="n">
        <f aca="false">COUNTA($BA$1698:$EH$1698)</f>
        <v>51</v>
      </c>
      <c r="AV1997" s="0" t="n">
        <f aca="false">COUNTIF($BA$1698:$EH$1698,"D")</f>
        <v>17</v>
      </c>
      <c r="AW1997" s="0" t="n">
        <f aca="false">COUNTIF($BA$1698:$EH$1698,"R")</f>
        <v>0</v>
      </c>
      <c r="AX1997" s="0" t="n">
        <f aca="false">IF(BN1997="D",1,0)+IF(BO1997="D",1,0)+IF(BT1997="D",1,0)+IF(BU1997="D",1,0)+IF(BW1997="D",1,0)+IF(CC1997="D",1,0)+IF(CD1997="D",1,0)+IF(CE1997="D",1,0)+IF(CF1997="D",1,0)+IF(CL1997="D",1,0)+IF(CM1997="D",1,0)+IF(CQ1997="D",1,0)+IF(CR1997="D",1,0)+IF(CS1997="D",1,0)+IF(CW1997="D",1,0)+IF(CX1997="D",1,0)+IF(DD1997="D",1,0)+IF(DE1997="D",1,0)+IF(DJ1997="D",1,0)+IF(DK1997="D",1,0)+IF(DO1997="D",1,0)+IF(DP1997="D",1,0)+IF(DQ1997="D",1,0)+IF(DW1997="D",1,0)+IF(DZ1997="D",1,0)+IF(EH1997="D",1,0)</f>
        <v>0</v>
      </c>
      <c r="AY1997" s="0" t="n">
        <f aca="false">COUNTIF(DU1997:EH1997, "&lt;&gt;")</f>
        <v>3</v>
      </c>
      <c r="AZ1997" s="0" t="n">
        <f aca="false">IF(EH1997&lt;&gt;"",1,0)</f>
        <v>0</v>
      </c>
      <c r="BB1997" s="0" t="s">
        <v>152</v>
      </c>
      <c r="BD1997" s="0" t="s">
        <v>153</v>
      </c>
      <c r="BL1997" s="0" t="s">
        <v>153</v>
      </c>
      <c r="CA1997" s="0" t="s">
        <v>153</v>
      </c>
      <c r="CP1997" s="0" t="s">
        <v>153</v>
      </c>
      <c r="CY1997" s="0" t="s">
        <v>153</v>
      </c>
      <c r="CZ1997" s="0" t="s">
        <v>175</v>
      </c>
      <c r="DC1997" s="0" t="s">
        <v>153</v>
      </c>
      <c r="DI1997" s="0" t="s">
        <v>153</v>
      </c>
      <c r="DL1997" s="0" t="s">
        <v>153</v>
      </c>
      <c r="DN1997" s="0" t="s">
        <v>153</v>
      </c>
      <c r="DU1997" s="0" t="s">
        <v>153</v>
      </c>
      <c r="EA1997" s="0" t="s">
        <v>153</v>
      </c>
      <c r="EF1997" s="0" t="s">
        <v>153</v>
      </c>
    </row>
    <row r="1998" customFormat="false" ht="13.8" hidden="true" customHeight="false" outlineLevel="0" collapsed="false">
      <c r="A1998" s="0" t="s">
        <v>8842</v>
      </c>
      <c r="B1998" s="0" t="n">
        <v>78</v>
      </c>
      <c r="C1998" s="0" t="n">
        <v>476043</v>
      </c>
      <c r="D1998" s="0" t="s">
        <v>8833</v>
      </c>
      <c r="E1998" s="0" t="s">
        <v>8843</v>
      </c>
      <c r="F1998" s="0" t="str">
        <f aca="false">CONCATENATE(D1998," ",LEFT(H1998,4),"T=",AU1998,"D=",AV1998,"R=",AW1998,"M=",AX1998,"L=",AY1998,"B=",AZ1998)</f>
        <v>FLETCHER T=3D=1R=0M=0L=1B=0</v>
      </c>
      <c r="G1998" s="0" t="s">
        <v>517</v>
      </c>
      <c r="I1998" s="0" t="s">
        <v>8836</v>
      </c>
      <c r="J1998" s="0" t="s">
        <v>4315</v>
      </c>
      <c r="K1998" s="0" t="s">
        <v>160</v>
      </c>
      <c r="M1998" s="0" t="s">
        <v>8837</v>
      </c>
      <c r="N1998" s="0" t="str">
        <f aca="false">RIGHT(M1998,LEN(M1998)-FIND(" ",M1998))</f>
        <v>PORTER ST NE</v>
      </c>
      <c r="P1998" s="0" t="s">
        <v>145</v>
      </c>
      <c r="Q1998" s="0" t="s">
        <v>146</v>
      </c>
      <c r="R1998" s="0" t="n">
        <v>44483</v>
      </c>
      <c r="AD1998" s="0" t="s">
        <v>147</v>
      </c>
      <c r="AE1998" s="0" t="s">
        <v>148</v>
      </c>
      <c r="AF1998" s="0" t="s">
        <v>149</v>
      </c>
      <c r="AH1998" s="0" t="n">
        <v>14</v>
      </c>
      <c r="AI1998" s="0" t="n">
        <v>11</v>
      </c>
      <c r="AN1998" s="0" t="s">
        <v>145</v>
      </c>
      <c r="AO1998" s="0" t="s">
        <v>654</v>
      </c>
      <c r="AP1998" s="0" t="s">
        <v>655</v>
      </c>
      <c r="AQ1998" s="0" t="n">
        <v>9</v>
      </c>
      <c r="AR1998" s="0" t="n">
        <v>64</v>
      </c>
      <c r="AS1998" s="0" t="n">
        <v>32</v>
      </c>
      <c r="AU1998" s="0" t="n">
        <f aca="false">COUNTA($BA$1758:$EH$1758)</f>
        <v>3</v>
      </c>
      <c r="AV1998" s="0" t="n">
        <f aca="false">COUNTIF($BA$1758:$EH$1758,"D")</f>
        <v>1</v>
      </c>
      <c r="AW1998" s="0" t="n">
        <f aca="false">COUNTIF($BA$1758:$EH$1758,"R")</f>
        <v>0</v>
      </c>
      <c r="AX1998" s="0" t="n">
        <f aca="false">IF(BN1998="D",1,0)+IF(BO1998="D",1,0)+IF(BT1998="D",1,0)+IF(BU1998="D",1,0)+IF(BW1998="D",1,0)+IF(CC1998="D",1,0)+IF(CD1998="D",1,0)+IF(CE1998="D",1,0)+IF(CF1998="D",1,0)+IF(CL1998="D",1,0)+IF(CM1998="D",1,0)+IF(CQ1998="D",1,0)+IF(CR1998="D",1,0)+IF(CS1998="D",1,0)+IF(CW1998="D",1,0)+IF(CX1998="D",1,0)+IF(DD1998="D",1,0)+IF(DE1998="D",1,0)+IF(DJ1998="D",1,0)+IF(DK1998="D",1,0)+IF(DO1998="D",1,0)+IF(DP1998="D",1,0)+IF(DQ1998="D",1,0)+IF(DW1998="D",1,0)+IF(DZ1998="D",1,0)+IF(EH1998="D",1,0)</f>
        <v>0</v>
      </c>
      <c r="AY1998" s="0" t="n">
        <f aca="false">COUNTIF(DU1998:EH1998, "&lt;&gt;")</f>
        <v>1</v>
      </c>
      <c r="AZ1998" s="0" t="n">
        <f aca="false">IF(EH1998&lt;&gt;"",1,0)</f>
        <v>0</v>
      </c>
      <c r="BB1998" s="0" t="s">
        <v>152</v>
      </c>
      <c r="EF1998" s="0" t="s">
        <v>153</v>
      </c>
    </row>
    <row r="1999" customFormat="false" ht="13.8" hidden="true" customHeight="false" outlineLevel="0" collapsed="false">
      <c r="A1999" s="0" t="s">
        <v>8844</v>
      </c>
      <c r="B1999" s="0" t="n">
        <v>78</v>
      </c>
      <c r="C1999" s="0" t="n">
        <v>447071</v>
      </c>
      <c r="D1999" s="0" t="s">
        <v>2406</v>
      </c>
      <c r="E1999" s="0" t="s">
        <v>8845</v>
      </c>
      <c r="F1999" s="0" t="str">
        <f aca="false">CONCATENATE(D1999," ",LEFT(H1999,4),"T=",AU1999,"D=",AV1999,"R=",AW1999,"M=",AX1999,"L=",AY1999,"B=",AZ1999)</f>
        <v>WALTERS T=16D=2R=0M=0L=1B=0</v>
      </c>
      <c r="G1999" s="0" t="s">
        <v>8846</v>
      </c>
      <c r="I1999" s="0" t="s">
        <v>3267</v>
      </c>
      <c r="J1999" s="0" t="s">
        <v>8847</v>
      </c>
      <c r="K1999" s="0" t="s">
        <v>160</v>
      </c>
      <c r="M1999" s="0" t="s">
        <v>8837</v>
      </c>
      <c r="N1999" s="0" t="str">
        <f aca="false">RIGHT(M1999,LEN(M1999)-FIND(" ",M1999))</f>
        <v>PORTER ST NE</v>
      </c>
      <c r="P1999" s="0" t="s">
        <v>145</v>
      </c>
      <c r="Q1999" s="0" t="s">
        <v>146</v>
      </c>
      <c r="R1999" s="0" t="n">
        <v>44483</v>
      </c>
      <c r="AD1999" s="0" t="s">
        <v>147</v>
      </c>
      <c r="AE1999" s="0" t="s">
        <v>148</v>
      </c>
      <c r="AF1999" s="0" t="s">
        <v>149</v>
      </c>
      <c r="AH1999" s="0" t="n">
        <v>14</v>
      </c>
      <c r="AI1999" s="0" t="n">
        <v>11</v>
      </c>
      <c r="AN1999" s="0" t="s">
        <v>145</v>
      </c>
      <c r="AO1999" s="0" t="s">
        <v>654</v>
      </c>
      <c r="AP1999" s="0" t="s">
        <v>655</v>
      </c>
      <c r="AQ1999" s="0" t="n">
        <v>9</v>
      </c>
      <c r="AR1999" s="0" t="n">
        <v>64</v>
      </c>
      <c r="AS1999" s="0" t="n">
        <v>32</v>
      </c>
      <c r="AU1999" s="0" t="n">
        <f aca="false">COUNTA($BA$1929:$EH$1929)</f>
        <v>16</v>
      </c>
      <c r="AV1999" s="0" t="n">
        <f aca="false">COUNTIF($BA$1929:$EH$1929,"D")</f>
        <v>2</v>
      </c>
      <c r="AW1999" s="0" t="n">
        <f aca="false">COUNTIF($BA$1929:$EH$1929,"R")</f>
        <v>0</v>
      </c>
      <c r="AX1999" s="0" t="n">
        <f aca="false">IF(BN1999="D",1,0)+IF(BO1999="D",1,0)+IF(BT1999="D",1,0)+IF(BU1999="D",1,0)+IF(BW1999="D",1,0)+IF(CC1999="D",1,0)+IF(CD1999="D",1,0)+IF(CE1999="D",1,0)+IF(CF1999="D",1,0)+IF(CL1999="D",1,0)+IF(CM1999="D",1,0)+IF(CQ1999="D",1,0)+IF(CR1999="D",1,0)+IF(CS1999="D",1,0)+IF(CW1999="D",1,0)+IF(CX1999="D",1,0)+IF(DD1999="D",1,0)+IF(DE1999="D",1,0)+IF(DJ1999="D",1,0)+IF(DK1999="D",1,0)+IF(DO1999="D",1,0)+IF(DP1999="D",1,0)+IF(DQ1999="D",1,0)+IF(DW1999="D",1,0)+IF(DZ1999="D",1,0)+IF(EH1999="D",1,0)</f>
        <v>0</v>
      </c>
      <c r="AY1999" s="0" t="n">
        <f aca="false">COUNTIF(DU1999:EH1999, "&lt;&gt;")</f>
        <v>1</v>
      </c>
      <c r="AZ1999" s="0" t="n">
        <f aca="false">IF(EH1999&lt;&gt;"",1,0)</f>
        <v>0</v>
      </c>
      <c r="BB1999" s="0" t="s">
        <v>152</v>
      </c>
      <c r="DN1999" s="0" t="s">
        <v>153</v>
      </c>
      <c r="EF1999" s="0" t="s">
        <v>153</v>
      </c>
    </row>
    <row r="2000" customFormat="false" ht="13.8" hidden="true" customHeight="false" outlineLevel="0" collapsed="false">
      <c r="A2000" s="0" t="s">
        <v>8848</v>
      </c>
      <c r="B2000" s="0" t="n">
        <v>78</v>
      </c>
      <c r="C2000" s="0" t="n">
        <v>416897</v>
      </c>
      <c r="D2000" s="0" t="s">
        <v>3856</v>
      </c>
      <c r="E2000" s="0" t="s">
        <v>8849</v>
      </c>
      <c r="F2000" s="0" t="str">
        <f aca="false">CONCATENATE(D2000," ",LEFT(H2000,4),"T=",AU2000,"D=",AV2000,"R=",AW2000,"M=",AX2000,"L=",AY2000,"B=",AZ2000)</f>
        <v>MCCAIN T=1D=0R=0M=0L=0B=0</v>
      </c>
      <c r="I2000" s="0" t="s">
        <v>8850</v>
      </c>
      <c r="J2000" s="0" t="s">
        <v>7265</v>
      </c>
      <c r="K2000" s="0" t="s">
        <v>143</v>
      </c>
      <c r="M2000" s="0" t="s">
        <v>8851</v>
      </c>
      <c r="N2000" s="0" t="str">
        <f aca="false">RIGHT(M2000,LEN(M2000)-FIND(" ",M2000))</f>
        <v>PORTER ST NE</v>
      </c>
      <c r="P2000" s="0" t="s">
        <v>145</v>
      </c>
      <c r="Q2000" s="0" t="s">
        <v>146</v>
      </c>
      <c r="R2000" s="0" t="n">
        <v>44483</v>
      </c>
      <c r="AD2000" s="0" t="s">
        <v>147</v>
      </c>
      <c r="AE2000" s="0" t="s">
        <v>148</v>
      </c>
      <c r="AF2000" s="0" t="s">
        <v>149</v>
      </c>
      <c r="AH2000" s="0" t="n">
        <v>14</v>
      </c>
      <c r="AI2000" s="0" t="n">
        <v>11</v>
      </c>
      <c r="AN2000" s="0" t="s">
        <v>145</v>
      </c>
      <c r="AO2000" s="0" t="s">
        <v>654</v>
      </c>
      <c r="AP2000" s="0" t="s">
        <v>655</v>
      </c>
      <c r="AQ2000" s="0" t="n">
        <v>9</v>
      </c>
      <c r="AR2000" s="0" t="n">
        <v>64</v>
      </c>
      <c r="AS2000" s="0" t="n">
        <v>32</v>
      </c>
      <c r="AU2000" s="0" t="n">
        <f aca="false">COUNTA($BA$1245:$EH$1245)</f>
        <v>1</v>
      </c>
      <c r="AV2000" s="0" t="n">
        <f aca="false">COUNTIF($BA$1245:$EH$1245,"D")</f>
        <v>0</v>
      </c>
      <c r="AW2000" s="0" t="n">
        <f aca="false">COUNTIF($BA$1245:$EH$1245,"R")</f>
        <v>0</v>
      </c>
      <c r="AX2000" s="0" t="n">
        <f aca="false">IF(BN2000="D",1,0)+IF(BO2000="D",1,0)+IF(BT2000="D",1,0)+IF(BU2000="D",1,0)+IF(BW2000="D",1,0)+IF(CC2000="D",1,0)+IF(CD2000="D",1,0)+IF(CE2000="D",1,0)+IF(CF2000="D",1,0)+IF(CL2000="D",1,0)+IF(CM2000="D",1,0)+IF(CQ2000="D",1,0)+IF(CR2000="D",1,0)+IF(CS2000="D",1,0)+IF(CW2000="D",1,0)+IF(CX2000="D",1,0)+IF(DD2000="D",1,0)+IF(DE2000="D",1,0)+IF(DJ2000="D",1,0)+IF(DK2000="D",1,0)+IF(DO2000="D",1,0)+IF(DP2000="D",1,0)+IF(DQ2000="D",1,0)+IF(DW2000="D",1,0)+IF(DZ2000="D",1,0)+IF(EH2000="D",1,0)</f>
        <v>0</v>
      </c>
      <c r="AY2000" s="0" t="n">
        <f aca="false">COUNTIF(DU2000:EH2000, "&lt;&gt;")</f>
        <v>0</v>
      </c>
      <c r="AZ2000" s="0" t="n">
        <f aca="false">IF(EH2000&lt;&gt;"",1,0)</f>
        <v>0</v>
      </c>
      <c r="BB2000" s="0" t="s">
        <v>152</v>
      </c>
    </row>
    <row r="2001" customFormat="false" ht="13.8" hidden="true" customHeight="false" outlineLevel="0" collapsed="false">
      <c r="A2001" s="0" t="s">
        <v>8852</v>
      </c>
      <c r="B2001" s="0" t="n">
        <v>78</v>
      </c>
      <c r="C2001" s="0" t="n">
        <v>417160</v>
      </c>
      <c r="D2001" s="0" t="s">
        <v>8853</v>
      </c>
      <c r="E2001" s="0" t="s">
        <v>2271</v>
      </c>
      <c r="F2001" s="0" t="str">
        <f aca="false">CONCATENATE(D2001," ",LEFT(H2001,4),"T=",AU2001,"D=",AV2001,"R=",AW2001,"M=",AX2001,"L=",AY2001,"B=",AZ2001)</f>
        <v>WARGO T=11D=1R=1M=0L=0B=0</v>
      </c>
      <c r="G2001" s="0" t="s">
        <v>164</v>
      </c>
      <c r="I2001" s="0" t="s">
        <v>8854</v>
      </c>
      <c r="J2001" s="0" t="s">
        <v>8855</v>
      </c>
      <c r="K2001" s="0" t="s">
        <v>143</v>
      </c>
      <c r="M2001" s="0" t="s">
        <v>8851</v>
      </c>
      <c r="N2001" s="0" t="str">
        <f aca="false">RIGHT(M2001,LEN(M2001)-FIND(" ",M2001))</f>
        <v>PORTER ST NE</v>
      </c>
      <c r="O2001" s="0" t="s">
        <v>8856</v>
      </c>
      <c r="P2001" s="0" t="s">
        <v>145</v>
      </c>
      <c r="Q2001" s="0" t="s">
        <v>146</v>
      </c>
      <c r="R2001" s="0" t="n">
        <v>44483</v>
      </c>
      <c r="AD2001" s="0" t="s">
        <v>147</v>
      </c>
      <c r="AE2001" s="0" t="s">
        <v>148</v>
      </c>
      <c r="AF2001" s="0" t="s">
        <v>149</v>
      </c>
      <c r="AH2001" s="0" t="n">
        <v>14</v>
      </c>
      <c r="AI2001" s="0" t="n">
        <v>11</v>
      </c>
      <c r="AN2001" s="0" t="s">
        <v>145</v>
      </c>
      <c r="AO2001" s="0" t="s">
        <v>654</v>
      </c>
      <c r="AP2001" s="0" t="s">
        <v>655</v>
      </c>
      <c r="AQ2001" s="0" t="n">
        <v>9</v>
      </c>
      <c r="AR2001" s="0" t="n">
        <v>64</v>
      </c>
      <c r="AS2001" s="0" t="n">
        <v>32</v>
      </c>
      <c r="AU2001" s="0" t="n">
        <f aca="false">COUNTA($BA$1760:$EH$1760)</f>
        <v>11</v>
      </c>
      <c r="AV2001" s="0" t="n">
        <f aca="false">COUNTIF($BA$1760:$EH$1760,"D")</f>
        <v>1</v>
      </c>
      <c r="AW2001" s="0" t="n">
        <f aca="false">COUNTIF($BA$1760:$EH$1760,"R")</f>
        <v>1</v>
      </c>
      <c r="AX2001" s="0" t="n">
        <f aca="false">IF(BN2001="D",1,0)+IF(BO2001="D",1,0)+IF(BT2001="D",1,0)+IF(BU2001="D",1,0)+IF(BW2001="D",1,0)+IF(CC2001="D",1,0)+IF(CD2001="D",1,0)+IF(CE2001="D",1,0)+IF(CF2001="D",1,0)+IF(CL2001="D",1,0)+IF(CM2001="D",1,0)+IF(CQ2001="D",1,0)+IF(CR2001="D",1,0)+IF(CS2001="D",1,0)+IF(CW2001="D",1,0)+IF(CX2001="D",1,0)+IF(DD2001="D",1,0)+IF(DE2001="D",1,0)+IF(DJ2001="D",1,0)+IF(DK2001="D",1,0)+IF(DO2001="D",1,0)+IF(DP2001="D",1,0)+IF(DQ2001="D",1,0)+IF(DW2001="D",1,0)+IF(DZ2001="D",1,0)+IF(EH2001="D",1,0)</f>
        <v>0</v>
      </c>
      <c r="AY2001" s="0" t="n">
        <f aca="false">COUNTIF(DU2001:EH2001, "&lt;&gt;")</f>
        <v>0</v>
      </c>
      <c r="AZ2001" s="0" t="n">
        <f aca="false">IF(EH2001&lt;&gt;"",1,0)</f>
        <v>0</v>
      </c>
      <c r="BB2001" s="0" t="s">
        <v>152</v>
      </c>
    </row>
    <row r="2002" customFormat="false" ht="13.8" hidden="true" customHeight="false" outlineLevel="0" collapsed="false">
      <c r="A2002" s="0" t="s">
        <v>8857</v>
      </c>
      <c r="B2002" s="0" t="n">
        <v>78</v>
      </c>
      <c r="C2002" s="0" t="n">
        <v>235807</v>
      </c>
      <c r="D2002" s="0" t="s">
        <v>8858</v>
      </c>
      <c r="E2002" s="0" t="s">
        <v>3189</v>
      </c>
      <c r="F2002" s="0" t="str">
        <f aca="false">CONCATENATE(D2002," ",LEFT(H2002,4),"T=",AU2002,"D=",AV2002,"R=",AW2002,"M=",AX2002,"L=",AY2002,"B=",AZ2002)</f>
        <v>GATES T=3D=0R=0M=1L=0B=0</v>
      </c>
      <c r="G2002" s="0" t="s">
        <v>195</v>
      </c>
      <c r="I2002" s="0" t="s">
        <v>611</v>
      </c>
      <c r="J2002" s="0" t="s">
        <v>7778</v>
      </c>
      <c r="K2002" s="0" t="s">
        <v>143</v>
      </c>
      <c r="M2002" s="0" t="s">
        <v>8859</v>
      </c>
      <c r="N2002" s="0" t="str">
        <f aca="false">RIGHT(M2002,LEN(M2002)-FIND(" ",M2002))</f>
        <v>PORTER ST NE</v>
      </c>
      <c r="P2002" s="0" t="s">
        <v>145</v>
      </c>
      <c r="Q2002" s="0" t="s">
        <v>146</v>
      </c>
      <c r="R2002" s="0" t="n">
        <v>44483</v>
      </c>
      <c r="AD2002" s="0" t="s">
        <v>147</v>
      </c>
      <c r="AE2002" s="0" t="s">
        <v>148</v>
      </c>
      <c r="AF2002" s="0" t="s">
        <v>149</v>
      </c>
      <c r="AH2002" s="0" t="n">
        <v>14</v>
      </c>
      <c r="AI2002" s="0" t="n">
        <v>11</v>
      </c>
      <c r="AN2002" s="0" t="s">
        <v>145</v>
      </c>
      <c r="AO2002" s="0" t="s">
        <v>654</v>
      </c>
      <c r="AP2002" s="0" t="s">
        <v>655</v>
      </c>
      <c r="AQ2002" s="0" t="n">
        <v>9</v>
      </c>
      <c r="AR2002" s="0" t="n">
        <v>64</v>
      </c>
      <c r="AS2002" s="0" t="n">
        <v>32</v>
      </c>
      <c r="AU2002" s="0" t="n">
        <f aca="false">COUNTA($BA$1931:$EH$1931)</f>
        <v>3</v>
      </c>
      <c r="AV2002" s="0" t="n">
        <f aca="false">COUNTIF($BA$1931:$EH$1931,"D")</f>
        <v>0</v>
      </c>
      <c r="AW2002" s="0" t="n">
        <f aca="false">COUNTIF($BA$1931:$EH$1931,"R")</f>
        <v>0</v>
      </c>
      <c r="AX2002" s="0" t="n">
        <f aca="false">IF(BN2002="D",1,0)+IF(BO2002="D",1,0)+IF(BT2002="D",1,0)+IF(BU2002="D",1,0)+IF(BW2002="D",1,0)+IF(CC2002="D",1,0)+IF(CD2002="D",1,0)+IF(CE2002="D",1,0)+IF(CF2002="D",1,0)+IF(CL2002="D",1,0)+IF(CM2002="D",1,0)+IF(CQ2002="D",1,0)+IF(CR2002="D",1,0)+IF(CS2002="D",1,0)+IF(CW2002="D",1,0)+IF(CX2002="D",1,0)+IF(DD2002="D",1,0)+IF(DE2002="D",1,0)+IF(DJ2002="D",1,0)+IF(DK2002="D",1,0)+IF(DO2002="D",1,0)+IF(DP2002="D",1,0)+IF(DQ2002="D",1,0)+IF(DW2002="D",1,0)+IF(DZ2002="D",1,0)+IF(EH2002="D",1,0)</f>
        <v>1</v>
      </c>
      <c r="AY2002" s="0" t="n">
        <f aca="false">COUNTIF(DU2002:EH2002, "&lt;&gt;")</f>
        <v>0</v>
      </c>
      <c r="AZ2002" s="0" t="n">
        <f aca="false">IF(EH2002&lt;&gt;"",1,0)</f>
        <v>0</v>
      </c>
      <c r="BB2002" s="0" t="s">
        <v>152</v>
      </c>
      <c r="BC2002" s="0" t="s">
        <v>153</v>
      </c>
      <c r="BD2002" s="0" t="s">
        <v>153</v>
      </c>
      <c r="BF2002" s="0" t="s">
        <v>153</v>
      </c>
      <c r="BG2002" s="0" t="s">
        <v>153</v>
      </c>
      <c r="BH2002" s="0" t="s">
        <v>153</v>
      </c>
      <c r="BJ2002" s="0" t="s">
        <v>153</v>
      </c>
      <c r="BK2002" s="0" t="s">
        <v>153</v>
      </c>
      <c r="BL2002" s="0" t="s">
        <v>153</v>
      </c>
      <c r="BP2002" s="0" t="s">
        <v>153</v>
      </c>
      <c r="BR2002" s="0" t="s">
        <v>153</v>
      </c>
      <c r="BS2002" s="0" t="s">
        <v>153</v>
      </c>
      <c r="BV2002" s="0" t="s">
        <v>153</v>
      </c>
      <c r="BY2002" s="0" t="s">
        <v>175</v>
      </c>
      <c r="CA2002" s="0" t="s">
        <v>153</v>
      </c>
      <c r="CG2002" s="0" t="s">
        <v>153</v>
      </c>
      <c r="CK2002" s="0" t="s">
        <v>153</v>
      </c>
      <c r="CL2002" s="0" t="s">
        <v>175</v>
      </c>
      <c r="CP2002" s="0" t="s">
        <v>153</v>
      </c>
    </row>
    <row r="2003" customFormat="false" ht="13.8" hidden="true" customHeight="false" outlineLevel="0" collapsed="false">
      <c r="A2003" s="0" t="s">
        <v>8860</v>
      </c>
      <c r="B2003" s="0" t="n">
        <v>78</v>
      </c>
      <c r="C2003" s="0" t="n">
        <v>496436</v>
      </c>
      <c r="D2003" s="0" t="s">
        <v>8861</v>
      </c>
      <c r="E2003" s="0" t="s">
        <v>324</v>
      </c>
      <c r="F2003" s="0" t="str">
        <f aca="false">CONCATENATE(D2003," ",LEFT(H2003,4),"T=",AU2003,"D=",AV2003,"R=",AW2003,"M=",AX2003,"L=",AY2003,"B=",AZ2003)</f>
        <v>KEYES T=3D=0R=0M=0L=0B=0</v>
      </c>
      <c r="G2003" s="0" t="s">
        <v>7640</v>
      </c>
      <c r="I2003" s="0" t="s">
        <v>8862</v>
      </c>
      <c r="J2003" s="0" t="s">
        <v>8863</v>
      </c>
      <c r="K2003" s="0" t="s">
        <v>160</v>
      </c>
      <c r="M2003" s="0" t="s">
        <v>8864</v>
      </c>
      <c r="N2003" s="0" t="str">
        <f aca="false">RIGHT(M2003,LEN(M2003)-FIND(" ",M2003))</f>
        <v>PORTER ST NE</v>
      </c>
      <c r="O2003" s="0" t="s">
        <v>8865</v>
      </c>
      <c r="P2003" s="0" t="s">
        <v>145</v>
      </c>
      <c r="Q2003" s="0" t="s">
        <v>146</v>
      </c>
      <c r="R2003" s="0" t="n">
        <v>44483</v>
      </c>
      <c r="AD2003" s="0" t="s">
        <v>147</v>
      </c>
      <c r="AE2003" s="0" t="s">
        <v>148</v>
      </c>
      <c r="AF2003" s="0" t="s">
        <v>149</v>
      </c>
      <c r="AH2003" s="0" t="n">
        <v>14</v>
      </c>
      <c r="AI2003" s="0" t="n">
        <v>11</v>
      </c>
      <c r="AN2003" s="0" t="s">
        <v>145</v>
      </c>
      <c r="AO2003" s="0" t="s">
        <v>654</v>
      </c>
      <c r="AP2003" s="0" t="s">
        <v>655</v>
      </c>
      <c r="AQ2003" s="0" t="n">
        <v>9</v>
      </c>
      <c r="AR2003" s="0" t="n">
        <v>64</v>
      </c>
      <c r="AS2003" s="0" t="n">
        <v>32</v>
      </c>
      <c r="AU2003" s="0" t="n">
        <f aca="false">COUNTA($BA$1223:$EH$1223)</f>
        <v>3</v>
      </c>
      <c r="AV2003" s="0" t="n">
        <f aca="false">COUNTIF($BA$1223:$EH$1223,"D")</f>
        <v>0</v>
      </c>
      <c r="AW2003" s="0" t="n">
        <f aca="false">COUNTIF($BA$1223:$EH$1223,"R")</f>
        <v>0</v>
      </c>
      <c r="AX2003" s="0" t="n">
        <f aca="false">IF(BN2003="D",1,0)+IF(BO2003="D",1,0)+IF(BT2003="D",1,0)+IF(BU2003="D",1,0)+IF(BW2003="D",1,0)+IF(CC2003="D",1,0)+IF(CD2003="D",1,0)+IF(CE2003="D",1,0)+IF(CF2003="D",1,0)+IF(CL2003="D",1,0)+IF(CM2003="D",1,0)+IF(CQ2003="D",1,0)+IF(CR2003="D",1,0)+IF(CS2003="D",1,0)+IF(CW2003="D",1,0)+IF(CX2003="D",1,0)+IF(DD2003="D",1,0)+IF(DE2003="D",1,0)+IF(DJ2003="D",1,0)+IF(DK2003="D",1,0)+IF(DO2003="D",1,0)+IF(DP2003="D",1,0)+IF(DQ2003="D",1,0)+IF(DW2003="D",1,0)+IF(DZ2003="D",1,0)+IF(EH2003="D",1,0)</f>
        <v>0</v>
      </c>
      <c r="AY2003" s="0" t="n">
        <f aca="false">COUNTIF(DU2003:EH2003, "&lt;&gt;")</f>
        <v>0</v>
      </c>
      <c r="AZ2003" s="0" t="n">
        <f aca="false">IF(EH2003&lt;&gt;"",1,0)</f>
        <v>0</v>
      </c>
      <c r="BB2003" s="0" t="s">
        <v>152</v>
      </c>
    </row>
    <row r="2004" customFormat="false" ht="13.8" hidden="true" customHeight="false" outlineLevel="0" collapsed="false">
      <c r="A2004" s="0" t="s">
        <v>8866</v>
      </c>
      <c r="B2004" s="0" t="n">
        <v>78</v>
      </c>
      <c r="C2004" s="0" t="n">
        <v>489043</v>
      </c>
      <c r="D2004" s="0" t="s">
        <v>8867</v>
      </c>
      <c r="E2004" s="0" t="s">
        <v>2904</v>
      </c>
      <c r="F2004" s="0" t="str">
        <f aca="false">CONCATENATE(D2004," ",LEFT(H2004,4),"T=",AU2004,"D=",AV2004,"R=",AW2004,"M=",AX2004,"L=",AY2004,"B=",AZ2004)</f>
        <v>HORN T=13D=1R=1M=0L=1B=0</v>
      </c>
      <c r="G2004" s="0" t="s">
        <v>379</v>
      </c>
      <c r="I2004" s="0" t="s">
        <v>8868</v>
      </c>
      <c r="J2004" s="0" t="s">
        <v>1061</v>
      </c>
      <c r="K2004" s="0" t="s">
        <v>160</v>
      </c>
      <c r="M2004" s="0" t="s">
        <v>8869</v>
      </c>
      <c r="N2004" s="0" t="str">
        <f aca="false">RIGHT(M2004,LEN(M2004)-FIND(" ",M2004))</f>
        <v>PORTER ST NE</v>
      </c>
      <c r="P2004" s="0" t="s">
        <v>145</v>
      </c>
      <c r="Q2004" s="0" t="s">
        <v>146</v>
      </c>
      <c r="R2004" s="0" t="n">
        <v>44483</v>
      </c>
      <c r="AD2004" s="0" t="s">
        <v>147</v>
      </c>
      <c r="AE2004" s="0" t="s">
        <v>148</v>
      </c>
      <c r="AF2004" s="0" t="s">
        <v>149</v>
      </c>
      <c r="AH2004" s="0" t="n">
        <v>14</v>
      </c>
      <c r="AI2004" s="0" t="n">
        <v>11</v>
      </c>
      <c r="AN2004" s="0" t="s">
        <v>145</v>
      </c>
      <c r="AO2004" s="0" t="s">
        <v>654</v>
      </c>
      <c r="AP2004" s="0" t="s">
        <v>655</v>
      </c>
      <c r="AQ2004" s="0" t="n">
        <v>9</v>
      </c>
      <c r="AR2004" s="0" t="n">
        <v>64</v>
      </c>
      <c r="AS2004" s="0" t="n">
        <v>32</v>
      </c>
      <c r="AU2004" s="0" t="n">
        <f aca="false">COUNTA($BA$1811:$EH$1811)</f>
        <v>13</v>
      </c>
      <c r="AV2004" s="0" t="n">
        <f aca="false">COUNTIF($BA$1811:$EH$1811,"D")</f>
        <v>1</v>
      </c>
      <c r="AW2004" s="0" t="n">
        <f aca="false">COUNTIF($BA$1811:$EH$1811,"R")</f>
        <v>1</v>
      </c>
      <c r="AX2004" s="0" t="n">
        <f aca="false">IF(BN2004="D",1,0)+IF(BO2004="D",1,0)+IF(BT2004="D",1,0)+IF(BU2004="D",1,0)+IF(BW2004="D",1,0)+IF(CC2004="D",1,0)+IF(CD2004="D",1,0)+IF(CE2004="D",1,0)+IF(CF2004="D",1,0)+IF(CL2004="D",1,0)+IF(CM2004="D",1,0)+IF(CQ2004="D",1,0)+IF(CR2004="D",1,0)+IF(CS2004="D",1,0)+IF(CW2004="D",1,0)+IF(CX2004="D",1,0)+IF(DD2004="D",1,0)+IF(DE2004="D",1,0)+IF(DJ2004="D",1,0)+IF(DK2004="D",1,0)+IF(DO2004="D",1,0)+IF(DP2004="D",1,0)+IF(DQ2004="D",1,0)+IF(DW2004="D",1,0)+IF(DZ2004="D",1,0)+IF(EH2004="D",1,0)</f>
        <v>0</v>
      </c>
      <c r="AY2004" s="0" t="n">
        <f aca="false">COUNTIF(DU2004:EH2004, "&lt;&gt;")</f>
        <v>1</v>
      </c>
      <c r="AZ2004" s="0" t="n">
        <f aca="false">IF(EH2004&lt;&gt;"",1,0)</f>
        <v>0</v>
      </c>
      <c r="BB2004" s="0" t="s">
        <v>152</v>
      </c>
      <c r="CY2004" s="0" t="s">
        <v>153</v>
      </c>
      <c r="EF2004" s="0" t="s">
        <v>153</v>
      </c>
    </row>
    <row r="2005" customFormat="false" ht="13.8" hidden="false" customHeight="false" outlineLevel="0" collapsed="false">
      <c r="A2005" s="0" t="s">
        <v>8870</v>
      </c>
      <c r="B2005" s="0" t="n">
        <v>78</v>
      </c>
      <c r="C2005" s="0" t="n">
        <v>98906</v>
      </c>
      <c r="D2005" s="0" t="s">
        <v>8871</v>
      </c>
      <c r="E2005" s="0" t="s">
        <v>1366</v>
      </c>
      <c r="F2005" s="0" t="str">
        <f aca="false">CONCATENATE(D2005," ",LEFT(H2005,4),"T=",AU2005,"D=",AV2005,"R=",AW2005,"M=",AX2005,"L=",AY2005,"B=",AZ2005)</f>
        <v>DONLIN SRT=4D=0R=0M=4L=5B=0</v>
      </c>
      <c r="G2005" s="0" t="s">
        <v>325</v>
      </c>
      <c r="H2005" s="0" t="s">
        <v>216</v>
      </c>
      <c r="I2005" s="0" t="s">
        <v>8872</v>
      </c>
      <c r="J2005" s="0" t="s">
        <v>8873</v>
      </c>
      <c r="K2005" s="0" t="s">
        <v>160</v>
      </c>
      <c r="L2005" s="0" t="s">
        <v>175</v>
      </c>
      <c r="M2005" s="0" t="s">
        <v>8874</v>
      </c>
      <c r="N2005" s="0" t="str">
        <f aca="false">RIGHT(M2005,LEN(M2005)-FIND(" ",M2005))</f>
        <v>PORTER ST NE</v>
      </c>
      <c r="P2005" s="0" t="s">
        <v>145</v>
      </c>
      <c r="Q2005" s="0" t="s">
        <v>146</v>
      </c>
      <c r="R2005" s="0" t="n">
        <v>44483</v>
      </c>
      <c r="AD2005" s="0" t="s">
        <v>147</v>
      </c>
      <c r="AE2005" s="0" t="s">
        <v>148</v>
      </c>
      <c r="AF2005" s="0" t="s">
        <v>149</v>
      </c>
      <c r="AH2005" s="0" t="n">
        <v>14</v>
      </c>
      <c r="AI2005" s="0" t="n">
        <v>11</v>
      </c>
      <c r="AN2005" s="0" t="s">
        <v>145</v>
      </c>
      <c r="AO2005" s="0" t="s">
        <v>654</v>
      </c>
      <c r="AP2005" s="0" t="s">
        <v>655</v>
      </c>
      <c r="AQ2005" s="0" t="n">
        <v>9</v>
      </c>
      <c r="AR2005" s="0" t="n">
        <v>64</v>
      </c>
      <c r="AS2005" s="0" t="n">
        <v>32</v>
      </c>
      <c r="AU2005" s="0" t="n">
        <f aca="false">COUNTA($BA$1748:$EH$1748)</f>
        <v>4</v>
      </c>
      <c r="AV2005" s="0" t="n">
        <f aca="false">COUNTIF($BA$1748:$EH$1748,"D")</f>
        <v>0</v>
      </c>
      <c r="AW2005" s="0" t="n">
        <f aca="false">COUNTIF($BA$1748:$EH$1748,"R")</f>
        <v>0</v>
      </c>
      <c r="AX2005" s="0" t="n">
        <f aca="false">IF(BN2005="D",1,0)+IF(BO2005="D",1,0)+IF(BT2005="D",1,0)+IF(BU2005="D",1,0)+IF(BW2005="D",1,0)+IF(CC2005="D",1,0)+IF(CD2005="D",1,0)+IF(CE2005="D",1,0)+IF(CF2005="D",1,0)+IF(CL2005="D",1,0)+IF(CM2005="D",1,0)+IF(CQ2005="D",1,0)+IF(CR2005="D",1,0)+IF(CS2005="D",1,0)+IF(CW2005="D",1,0)+IF(CX2005="D",1,0)+IF(DD2005="D",1,0)+IF(DE2005="D",1,0)+IF(DJ2005="D",1,0)+IF(DK2005="D",1,0)+IF(DO2005="D",1,0)+IF(DP2005="D",1,0)+IF(DQ2005="D",1,0)+IF(DW2005="D",1,0)+IF(DZ2005="D",1,0)+IF(EH2005="D",1,0)</f>
        <v>4</v>
      </c>
      <c r="AY2005" s="0" t="n">
        <f aca="false">COUNTIF(DU2005:EH2005, "&lt;&gt;")</f>
        <v>5</v>
      </c>
      <c r="AZ2005" s="0" t="n">
        <f aca="false">IF(EH2005&lt;&gt;"",1,0)</f>
        <v>0</v>
      </c>
      <c r="BB2005" s="0" t="s">
        <v>152</v>
      </c>
      <c r="BC2005" s="0" t="s">
        <v>153</v>
      </c>
      <c r="BD2005" s="0" t="s">
        <v>153</v>
      </c>
      <c r="BG2005" s="0" t="s">
        <v>153</v>
      </c>
      <c r="BH2005" s="0" t="s">
        <v>153</v>
      </c>
      <c r="BJ2005" s="0" t="s">
        <v>153</v>
      </c>
      <c r="BK2005" s="0" t="s">
        <v>153</v>
      </c>
      <c r="BL2005" s="0" t="s">
        <v>153</v>
      </c>
      <c r="BP2005" s="0" t="s">
        <v>153</v>
      </c>
      <c r="BR2005" s="0" t="s">
        <v>153</v>
      </c>
      <c r="BS2005" s="0" t="s">
        <v>153</v>
      </c>
      <c r="BV2005" s="0" t="s">
        <v>153</v>
      </c>
      <c r="BY2005" s="0" t="s">
        <v>175</v>
      </c>
      <c r="CA2005" s="0" t="s">
        <v>153</v>
      </c>
      <c r="CG2005" s="0" t="s">
        <v>153</v>
      </c>
      <c r="CH2005" s="0" t="s">
        <v>175</v>
      </c>
      <c r="CK2005" s="0" t="s">
        <v>153</v>
      </c>
      <c r="CL2005" s="0" t="s">
        <v>175</v>
      </c>
      <c r="CN2005" s="0" t="s">
        <v>153</v>
      </c>
      <c r="CO2005" s="0" t="s">
        <v>175</v>
      </c>
      <c r="CP2005" s="0" t="s">
        <v>153</v>
      </c>
      <c r="CU2005" s="0" t="s">
        <v>175</v>
      </c>
      <c r="CV2005" s="0" t="s">
        <v>153</v>
      </c>
      <c r="CW2005" s="0" t="s">
        <v>175</v>
      </c>
      <c r="CY2005" s="0" t="s">
        <v>153</v>
      </c>
      <c r="CZ2005" s="0" t="s">
        <v>175</v>
      </c>
      <c r="DC2005" s="0" t="s">
        <v>153</v>
      </c>
      <c r="DD2005" s="0" t="s">
        <v>175</v>
      </c>
      <c r="DF2005" s="0" t="s">
        <v>153</v>
      </c>
      <c r="DG2005" s="0" t="s">
        <v>175</v>
      </c>
      <c r="DI2005" s="0" t="s">
        <v>153</v>
      </c>
      <c r="DJ2005" s="0" t="s">
        <v>175</v>
      </c>
      <c r="DL2005" s="0" t="s">
        <v>153</v>
      </c>
      <c r="DM2005" s="0" t="s">
        <v>175</v>
      </c>
      <c r="DN2005" s="0" t="s">
        <v>153</v>
      </c>
      <c r="DR2005" s="0" t="s">
        <v>153</v>
      </c>
      <c r="DS2005" s="0" t="s">
        <v>175</v>
      </c>
      <c r="DT2005" s="0" t="s">
        <v>175</v>
      </c>
      <c r="DU2005" s="0" t="s">
        <v>153</v>
      </c>
      <c r="DX2005" s="0" t="s">
        <v>153</v>
      </c>
      <c r="EA2005" s="0" t="s">
        <v>153</v>
      </c>
      <c r="ED2005" s="0" t="s">
        <v>175</v>
      </c>
      <c r="EF2005" s="0" t="s">
        <v>153</v>
      </c>
    </row>
    <row r="2006" customFormat="false" ht="13.8" hidden="true" customHeight="false" outlineLevel="0" collapsed="false">
      <c r="A2006" s="0" t="s">
        <v>8875</v>
      </c>
      <c r="B2006" s="0" t="n">
        <v>78</v>
      </c>
      <c r="C2006" s="0" t="n">
        <v>452871</v>
      </c>
      <c r="D2006" s="0" t="s">
        <v>3092</v>
      </c>
      <c r="E2006" s="0" t="s">
        <v>8142</v>
      </c>
      <c r="F2006" s="0" t="str">
        <f aca="false">CONCATENATE(D2006," ",LEFT(H2006,4),"T=",AU2006,"D=",AV2006,"R=",AW2006,"M=",AX2006,"L=",AY2006,"B=",AZ2006)</f>
        <v>MALONEY T=1D=0R=0M=0L=0B=0</v>
      </c>
      <c r="G2006" s="0" t="s">
        <v>8876</v>
      </c>
      <c r="I2006" s="0" t="s">
        <v>8877</v>
      </c>
      <c r="J2006" s="0" t="s">
        <v>8878</v>
      </c>
      <c r="K2006" s="0" t="s">
        <v>143</v>
      </c>
      <c r="M2006" s="0" t="s">
        <v>8879</v>
      </c>
      <c r="N2006" s="0" t="str">
        <f aca="false">RIGHT(M2006,LEN(M2006)-FIND(" ",M2006))</f>
        <v>PORTER ST NE</v>
      </c>
      <c r="P2006" s="0" t="s">
        <v>145</v>
      </c>
      <c r="Q2006" s="0" t="s">
        <v>146</v>
      </c>
      <c r="R2006" s="0" t="n">
        <v>44483</v>
      </c>
      <c r="AD2006" s="0" t="s">
        <v>147</v>
      </c>
      <c r="AE2006" s="0" t="s">
        <v>148</v>
      </c>
      <c r="AF2006" s="0" t="s">
        <v>149</v>
      </c>
      <c r="AH2006" s="0" t="n">
        <v>14</v>
      </c>
      <c r="AI2006" s="0" t="n">
        <v>11</v>
      </c>
      <c r="AN2006" s="0" t="s">
        <v>145</v>
      </c>
      <c r="AO2006" s="0" t="s">
        <v>654</v>
      </c>
      <c r="AP2006" s="0" t="s">
        <v>655</v>
      </c>
      <c r="AQ2006" s="0" t="n">
        <v>9</v>
      </c>
      <c r="AR2006" s="0" t="n">
        <v>64</v>
      </c>
      <c r="AS2006" s="0" t="n">
        <v>32</v>
      </c>
      <c r="AU2006" s="0" t="n">
        <f aca="false">COUNTA($BA$1980:$EH$1980)</f>
        <v>1</v>
      </c>
      <c r="AV2006" s="0" t="n">
        <f aca="false">COUNTIF($BA$1980:$EH$1980,"D")</f>
        <v>0</v>
      </c>
      <c r="AW2006" s="0" t="n">
        <f aca="false">COUNTIF($BA$1980:$EH$1980,"R")</f>
        <v>0</v>
      </c>
      <c r="AX2006" s="0" t="n">
        <f aca="false">IF(BN2006="D",1,0)+IF(BO2006="D",1,0)+IF(BT2006="D",1,0)+IF(BU2006="D",1,0)+IF(BW2006="D",1,0)+IF(CC2006="D",1,0)+IF(CD2006="D",1,0)+IF(CE2006="D",1,0)+IF(CF2006="D",1,0)+IF(CL2006="D",1,0)+IF(CM2006="D",1,0)+IF(CQ2006="D",1,0)+IF(CR2006="D",1,0)+IF(CS2006="D",1,0)+IF(CW2006="D",1,0)+IF(CX2006="D",1,0)+IF(DD2006="D",1,0)+IF(DE2006="D",1,0)+IF(DJ2006="D",1,0)+IF(DK2006="D",1,0)+IF(DO2006="D",1,0)+IF(DP2006="D",1,0)+IF(DQ2006="D",1,0)+IF(DW2006="D",1,0)+IF(DZ2006="D",1,0)+IF(EH2006="D",1,0)</f>
        <v>0</v>
      </c>
      <c r="AY2006" s="0" t="n">
        <f aca="false">COUNTIF(DU2006:EH2006, "&lt;&gt;")</f>
        <v>0</v>
      </c>
      <c r="AZ2006" s="0" t="n">
        <f aca="false">IF(EH2006&lt;&gt;"",1,0)</f>
        <v>0</v>
      </c>
      <c r="BB2006" s="0" t="s">
        <v>152</v>
      </c>
      <c r="CA2006" s="0" t="s">
        <v>153</v>
      </c>
      <c r="CP2006" s="0" t="s">
        <v>153</v>
      </c>
    </row>
    <row r="2007" customFormat="false" ht="13.8" hidden="true" customHeight="false" outlineLevel="0" collapsed="false">
      <c r="A2007" s="0" t="s">
        <v>8880</v>
      </c>
      <c r="B2007" s="0" t="n">
        <v>78</v>
      </c>
      <c r="C2007" s="0" t="n">
        <v>437263</v>
      </c>
      <c r="D2007" s="0" t="s">
        <v>8881</v>
      </c>
      <c r="E2007" s="0" t="s">
        <v>170</v>
      </c>
      <c r="F2007" s="0" t="str">
        <f aca="false">CONCATENATE(D2007," ",LEFT(H2007,4),"T=",AU2007,"D=",AV2007,"R=",AW2007,"M=",AX2007,"L=",AY2007,"B=",AZ2007)</f>
        <v>COATES T=1D=0R=0M=0L=0B=0</v>
      </c>
      <c r="G2007" s="0" t="s">
        <v>522</v>
      </c>
      <c r="I2007" s="0" t="s">
        <v>8882</v>
      </c>
      <c r="J2007" s="0" t="s">
        <v>8883</v>
      </c>
      <c r="K2007" s="0" t="s">
        <v>143</v>
      </c>
      <c r="M2007" s="0" t="s">
        <v>8879</v>
      </c>
      <c r="N2007" s="0" t="str">
        <f aca="false">RIGHT(M2007,LEN(M2007)-FIND(" ",M2007))</f>
        <v>PORTER ST NE</v>
      </c>
      <c r="P2007" s="0" t="s">
        <v>145</v>
      </c>
      <c r="Q2007" s="0" t="s">
        <v>146</v>
      </c>
      <c r="R2007" s="0" t="n">
        <v>44483</v>
      </c>
      <c r="AD2007" s="0" t="s">
        <v>147</v>
      </c>
      <c r="AE2007" s="0" t="s">
        <v>148</v>
      </c>
      <c r="AF2007" s="0" t="s">
        <v>149</v>
      </c>
      <c r="AH2007" s="0" t="n">
        <v>14</v>
      </c>
      <c r="AI2007" s="0" t="n">
        <v>11</v>
      </c>
      <c r="AN2007" s="0" t="s">
        <v>145</v>
      </c>
      <c r="AO2007" s="0" t="s">
        <v>654</v>
      </c>
      <c r="AP2007" s="0" t="s">
        <v>655</v>
      </c>
      <c r="AQ2007" s="0" t="n">
        <v>9</v>
      </c>
      <c r="AR2007" s="0" t="n">
        <v>64</v>
      </c>
      <c r="AS2007" s="0" t="n">
        <v>32</v>
      </c>
      <c r="AU2007" s="0" t="n">
        <f aca="false">COUNTA($BA$2060:$EH$2060)</f>
        <v>1</v>
      </c>
      <c r="AV2007" s="0" t="n">
        <f aca="false">COUNTIF($BA$2060:$EH$2060,"D")</f>
        <v>0</v>
      </c>
      <c r="AW2007" s="0" t="n">
        <f aca="false">COUNTIF($BA$2060:$EH$2060,"R")</f>
        <v>0</v>
      </c>
      <c r="AX2007" s="0" t="n">
        <f aca="false">IF(BN2007="D",1,0)+IF(BO2007="D",1,0)+IF(BT2007="D",1,0)+IF(BU2007="D",1,0)+IF(BW2007="D",1,0)+IF(CC2007="D",1,0)+IF(CD2007="D",1,0)+IF(CE2007="D",1,0)+IF(CF2007="D",1,0)+IF(CL2007="D",1,0)+IF(CM2007="D",1,0)+IF(CQ2007="D",1,0)+IF(CR2007="D",1,0)+IF(CS2007="D",1,0)+IF(CW2007="D",1,0)+IF(CX2007="D",1,0)+IF(DD2007="D",1,0)+IF(DE2007="D",1,0)+IF(DJ2007="D",1,0)+IF(DK2007="D",1,0)+IF(DO2007="D",1,0)+IF(DP2007="D",1,0)+IF(DQ2007="D",1,0)+IF(DW2007="D",1,0)+IF(DZ2007="D",1,0)+IF(EH2007="D",1,0)</f>
        <v>0</v>
      </c>
      <c r="AY2007" s="0" t="n">
        <f aca="false">COUNTIF(DU2007:EH2007, "&lt;&gt;")</f>
        <v>0</v>
      </c>
      <c r="AZ2007" s="0" t="n">
        <f aca="false">IF(EH2007&lt;&gt;"",1,0)</f>
        <v>0</v>
      </c>
      <c r="BB2007" s="0" t="s">
        <v>152</v>
      </c>
      <c r="BL2007" s="0" t="s">
        <v>153</v>
      </c>
      <c r="CA2007" s="0" t="s">
        <v>153</v>
      </c>
    </row>
    <row r="2008" customFormat="false" ht="13.8" hidden="true" customHeight="false" outlineLevel="0" collapsed="false">
      <c r="A2008" s="0" t="s">
        <v>8884</v>
      </c>
      <c r="B2008" s="0" t="n">
        <v>78</v>
      </c>
      <c r="C2008" s="0" t="n">
        <v>362375</v>
      </c>
      <c r="D2008" s="0" t="s">
        <v>8885</v>
      </c>
      <c r="E2008" s="0" t="s">
        <v>469</v>
      </c>
      <c r="F2008" s="0" t="str">
        <f aca="false">CONCATENATE(D2008," ",LEFT(H2008,4),"T=",AU2008,"D=",AV2008,"R=",AW2008,"M=",AX2008,"L=",AY2008,"B=",AZ2008)</f>
        <v>SHILLING T=2D=0R=0M=0L=0B=0</v>
      </c>
      <c r="G2008" s="0" t="s">
        <v>190</v>
      </c>
      <c r="I2008" s="0" t="s">
        <v>8886</v>
      </c>
      <c r="J2008" s="0" t="s">
        <v>1038</v>
      </c>
      <c r="K2008" s="0" t="s">
        <v>143</v>
      </c>
      <c r="M2008" s="0" t="s">
        <v>8887</v>
      </c>
      <c r="N2008" s="0" t="str">
        <f aca="false">RIGHT(M2008,LEN(M2008)-FIND(" ",M2008))</f>
        <v>PORTER ST NE</v>
      </c>
      <c r="P2008" s="0" t="s">
        <v>145</v>
      </c>
      <c r="Q2008" s="0" t="s">
        <v>146</v>
      </c>
      <c r="R2008" s="0" t="n">
        <v>44483</v>
      </c>
      <c r="AD2008" s="0" t="s">
        <v>147</v>
      </c>
      <c r="AE2008" s="0" t="s">
        <v>148</v>
      </c>
      <c r="AF2008" s="0" t="s">
        <v>149</v>
      </c>
      <c r="AH2008" s="0" t="n">
        <v>14</v>
      </c>
      <c r="AI2008" s="0" t="n">
        <v>11</v>
      </c>
      <c r="AN2008" s="0" t="s">
        <v>145</v>
      </c>
      <c r="AO2008" s="0" t="s">
        <v>654</v>
      </c>
      <c r="AP2008" s="0" t="s">
        <v>655</v>
      </c>
      <c r="AQ2008" s="0" t="n">
        <v>9</v>
      </c>
      <c r="AR2008" s="0" t="n">
        <v>64</v>
      </c>
      <c r="AS2008" s="0" t="n">
        <v>32</v>
      </c>
      <c r="AU2008" s="0" t="n">
        <f aca="false">COUNTA($BA$1901:$EH$1901)</f>
        <v>2</v>
      </c>
      <c r="AV2008" s="0" t="n">
        <f aca="false">COUNTIF($BA$1901:$EH$1901,"D")</f>
        <v>0</v>
      </c>
      <c r="AW2008" s="0" t="n">
        <f aca="false">COUNTIF($BA$1901:$EH$1901,"R")</f>
        <v>0</v>
      </c>
      <c r="AX2008" s="0" t="n">
        <f aca="false">IF(BN2008="D",1,0)+IF(BO2008="D",1,0)+IF(BT2008="D",1,0)+IF(BU2008="D",1,0)+IF(BW2008="D",1,0)+IF(CC2008="D",1,0)+IF(CD2008="D",1,0)+IF(CE2008="D",1,0)+IF(CF2008="D",1,0)+IF(CL2008="D",1,0)+IF(CM2008="D",1,0)+IF(CQ2008="D",1,0)+IF(CR2008="D",1,0)+IF(CS2008="D",1,0)+IF(CW2008="D",1,0)+IF(CX2008="D",1,0)+IF(DD2008="D",1,0)+IF(DE2008="D",1,0)+IF(DJ2008="D",1,0)+IF(DK2008="D",1,0)+IF(DO2008="D",1,0)+IF(DP2008="D",1,0)+IF(DQ2008="D",1,0)+IF(DW2008="D",1,0)+IF(DZ2008="D",1,0)+IF(EH2008="D",1,0)</f>
        <v>0</v>
      </c>
      <c r="AY2008" s="0" t="n">
        <f aca="false">COUNTIF(DU2008:EH2008, "&lt;&gt;")</f>
        <v>0</v>
      </c>
      <c r="AZ2008" s="0" t="n">
        <f aca="false">IF(EH2008&lt;&gt;"",1,0)</f>
        <v>0</v>
      </c>
      <c r="BB2008" s="0" t="s">
        <v>152</v>
      </c>
      <c r="CY2008" s="0" t="s">
        <v>153</v>
      </c>
    </row>
    <row r="2009" customFormat="false" ht="13.8" hidden="true" customHeight="false" outlineLevel="0" collapsed="false">
      <c r="A2009" s="0" t="s">
        <v>8888</v>
      </c>
      <c r="B2009" s="0" t="n">
        <v>78</v>
      </c>
      <c r="C2009" s="0" t="n">
        <v>417949</v>
      </c>
      <c r="D2009" s="0" t="s">
        <v>8889</v>
      </c>
      <c r="E2009" s="0" t="s">
        <v>3212</v>
      </c>
      <c r="F2009" s="0" t="str">
        <f aca="false">CONCATENATE(D2009," ",LEFT(H2009,4),"T=",AU2009,"D=",AV2009,"R=",AW2009,"M=",AX2009,"L=",AY2009,"B=",AZ2009)</f>
        <v>VANEK T=1D=0R=0M=0L=0B=0</v>
      </c>
      <c r="G2009" s="0" t="s">
        <v>325</v>
      </c>
      <c r="I2009" s="0" t="s">
        <v>8890</v>
      </c>
      <c r="J2009" s="0" t="s">
        <v>8891</v>
      </c>
      <c r="K2009" s="0" t="s">
        <v>143</v>
      </c>
      <c r="M2009" s="0" t="s">
        <v>8892</v>
      </c>
      <c r="N2009" s="0" t="str">
        <f aca="false">RIGHT(M2009,LEN(M2009)-FIND(" ",M2009))</f>
        <v>PORTER ST NE</v>
      </c>
      <c r="P2009" s="0" t="s">
        <v>145</v>
      </c>
      <c r="Q2009" s="0" t="s">
        <v>146</v>
      </c>
      <c r="R2009" s="0" t="n">
        <v>44483</v>
      </c>
      <c r="AD2009" s="0" t="s">
        <v>147</v>
      </c>
      <c r="AE2009" s="0" t="s">
        <v>148</v>
      </c>
      <c r="AF2009" s="0" t="s">
        <v>149</v>
      </c>
      <c r="AH2009" s="0" t="n">
        <v>14</v>
      </c>
      <c r="AI2009" s="0" t="n">
        <v>11</v>
      </c>
      <c r="AN2009" s="0" t="s">
        <v>145</v>
      </c>
      <c r="AO2009" s="0" t="s">
        <v>654</v>
      </c>
      <c r="AP2009" s="0" t="s">
        <v>655</v>
      </c>
      <c r="AQ2009" s="0" t="n">
        <v>9</v>
      </c>
      <c r="AR2009" s="0" t="n">
        <v>64</v>
      </c>
      <c r="AS2009" s="0" t="n">
        <v>32</v>
      </c>
      <c r="AU2009" s="0" t="n">
        <f aca="false">COUNTA($BA$1578:$EH$1578)</f>
        <v>1</v>
      </c>
      <c r="AV2009" s="0" t="n">
        <f aca="false">COUNTIF($BA$1578:$EH$1578,"D")</f>
        <v>0</v>
      </c>
      <c r="AW2009" s="0" t="n">
        <f aca="false">COUNTIF($BA$1578:$EH$1578,"R")</f>
        <v>0</v>
      </c>
      <c r="AX2009" s="0" t="n">
        <f aca="false">IF(BN2009="D",1,0)+IF(BO2009="D",1,0)+IF(BT2009="D",1,0)+IF(BU2009="D",1,0)+IF(BW2009="D",1,0)+IF(CC2009="D",1,0)+IF(CD2009="D",1,0)+IF(CE2009="D",1,0)+IF(CF2009="D",1,0)+IF(CL2009="D",1,0)+IF(CM2009="D",1,0)+IF(CQ2009="D",1,0)+IF(CR2009="D",1,0)+IF(CS2009="D",1,0)+IF(CW2009="D",1,0)+IF(CX2009="D",1,0)+IF(DD2009="D",1,0)+IF(DE2009="D",1,0)+IF(DJ2009="D",1,0)+IF(DK2009="D",1,0)+IF(DO2009="D",1,0)+IF(DP2009="D",1,0)+IF(DQ2009="D",1,0)+IF(DW2009="D",1,0)+IF(DZ2009="D",1,0)+IF(EH2009="D",1,0)</f>
        <v>0</v>
      </c>
      <c r="AY2009" s="0" t="n">
        <f aca="false">COUNTIF(DU2009:EH2009, "&lt;&gt;")</f>
        <v>0</v>
      </c>
      <c r="AZ2009" s="0" t="n">
        <f aca="false">IF(EH2009&lt;&gt;"",1,0)</f>
        <v>0</v>
      </c>
      <c r="BB2009" s="0" t="s">
        <v>152</v>
      </c>
      <c r="CA2009" s="0" t="s">
        <v>153</v>
      </c>
    </row>
    <row r="2010" customFormat="false" ht="13.8" hidden="false" customHeight="false" outlineLevel="0" collapsed="false">
      <c r="A2010" s="0" t="s">
        <v>8893</v>
      </c>
      <c r="B2010" s="0" t="n">
        <v>78</v>
      </c>
      <c r="C2010" s="0" t="n">
        <v>374984</v>
      </c>
      <c r="D2010" s="0" t="s">
        <v>500</v>
      </c>
      <c r="E2010" s="0" t="s">
        <v>8894</v>
      </c>
      <c r="F2010" s="0" t="str">
        <f aca="false">CONCATENATE(D2010," ",LEFT(H2010,4),"T=",AU2010,"D=",AV2010,"R=",AW2010,"M=",AX2010,"L=",AY2010,"B=",AZ2010)</f>
        <v>ROSE T=12D=0R=0M=0L=4B=0</v>
      </c>
      <c r="G2010" s="0" t="s">
        <v>175</v>
      </c>
      <c r="I2010" s="0" t="s">
        <v>8895</v>
      </c>
      <c r="J2010" s="0" t="s">
        <v>8896</v>
      </c>
      <c r="K2010" s="0" t="s">
        <v>160</v>
      </c>
      <c r="M2010" s="0" t="s">
        <v>8897</v>
      </c>
      <c r="N2010" s="0" t="str">
        <f aca="false">RIGHT(M2010,LEN(M2010)-FIND(" ",M2010))</f>
        <v>PORTER ST NE</v>
      </c>
      <c r="O2010" s="0" t="s">
        <v>868</v>
      </c>
      <c r="P2010" s="0" t="s">
        <v>145</v>
      </c>
      <c r="Q2010" s="0" t="s">
        <v>146</v>
      </c>
      <c r="R2010" s="0" t="n">
        <v>44483</v>
      </c>
      <c r="AD2010" s="0" t="s">
        <v>147</v>
      </c>
      <c r="AE2010" s="0" t="s">
        <v>148</v>
      </c>
      <c r="AF2010" s="0" t="s">
        <v>149</v>
      </c>
      <c r="AH2010" s="0" t="n">
        <v>14</v>
      </c>
      <c r="AI2010" s="0" t="n">
        <v>11</v>
      </c>
      <c r="AN2010" s="0" t="s">
        <v>145</v>
      </c>
      <c r="AO2010" s="0" t="s">
        <v>654</v>
      </c>
      <c r="AP2010" s="0" t="s">
        <v>655</v>
      </c>
      <c r="AQ2010" s="0" t="n">
        <v>9</v>
      </c>
      <c r="AR2010" s="0" t="n">
        <v>64</v>
      </c>
      <c r="AS2010" s="0" t="n">
        <v>32</v>
      </c>
      <c r="AU2010" s="0" t="n">
        <f aca="false">COUNTA($BA$1141:$EH$1141)</f>
        <v>12</v>
      </c>
      <c r="AV2010" s="0" t="n">
        <f aca="false">COUNTIF($BA$1141:$EH$1141,"D")</f>
        <v>0</v>
      </c>
      <c r="AW2010" s="0" t="n">
        <f aca="false">COUNTIF($BA$1141:$EH$1141,"R")</f>
        <v>0</v>
      </c>
      <c r="AX2010" s="0" t="n">
        <f aca="false">IF(BN2010="D",1,0)+IF(BO2010="D",1,0)+IF(BT2010="D",1,0)+IF(BU2010="D",1,0)+IF(BW2010="D",1,0)+IF(CC2010="D",1,0)+IF(CD2010="D",1,0)+IF(CE2010="D",1,0)+IF(CF2010="D",1,0)+IF(CL2010="D",1,0)+IF(CM2010="D",1,0)+IF(CQ2010="D",1,0)+IF(CR2010="D",1,0)+IF(CS2010="D",1,0)+IF(CW2010="D",1,0)+IF(CX2010="D",1,0)+IF(DD2010="D",1,0)+IF(DE2010="D",1,0)+IF(DJ2010="D",1,0)+IF(DK2010="D",1,0)+IF(DO2010="D",1,0)+IF(DP2010="D",1,0)+IF(DQ2010="D",1,0)+IF(DW2010="D",1,0)+IF(DZ2010="D",1,0)+IF(EH2010="D",1,0)</f>
        <v>0</v>
      </c>
      <c r="AY2010" s="0" t="n">
        <f aca="false">COUNTIF(DU2010:EH2010, "&lt;&gt;")</f>
        <v>4</v>
      </c>
      <c r="AZ2010" s="0" t="n">
        <f aca="false">IF(EH2010&lt;&gt;"",1,0)</f>
        <v>0</v>
      </c>
      <c r="BB2010" s="0" t="s">
        <v>152</v>
      </c>
      <c r="CP2010" s="0" t="s">
        <v>153</v>
      </c>
      <c r="DN2010" s="0" t="s">
        <v>153</v>
      </c>
      <c r="DU2010" s="0" t="s">
        <v>153</v>
      </c>
      <c r="DX2010" s="0" t="s">
        <v>153</v>
      </c>
      <c r="EA2010" s="0" t="s">
        <v>153</v>
      </c>
      <c r="EF2010" s="0" t="s">
        <v>153</v>
      </c>
    </row>
    <row r="2011" customFormat="false" ht="13.8" hidden="false" customHeight="false" outlineLevel="0" collapsed="false">
      <c r="A2011" s="0" t="s">
        <v>8898</v>
      </c>
      <c r="B2011" s="0" t="n">
        <v>78</v>
      </c>
      <c r="C2011" s="0" t="n">
        <v>446493</v>
      </c>
      <c r="D2011" s="0" t="s">
        <v>784</v>
      </c>
      <c r="E2011" s="0" t="s">
        <v>469</v>
      </c>
      <c r="F2011" s="0" t="str">
        <f aca="false">CONCATENATE(D2011," ",LEFT(H2011,4),"T=",AU2011,"D=",AV2011,"R=",AW2011,"M=",AX2011,"L=",AY2011,"B=",AZ2011)</f>
        <v>BUTLER T=15D=3R=0M=0L=3B=0</v>
      </c>
      <c r="G2011" s="0" t="s">
        <v>190</v>
      </c>
      <c r="I2011" s="0" t="s">
        <v>2635</v>
      </c>
      <c r="J2011" s="0" t="s">
        <v>3160</v>
      </c>
      <c r="K2011" s="0" t="s">
        <v>160</v>
      </c>
      <c r="M2011" s="0" t="s">
        <v>8897</v>
      </c>
      <c r="N2011" s="0" t="str">
        <f aca="false">RIGHT(M2011,LEN(M2011)-FIND(" ",M2011))</f>
        <v>PORTER ST NE</v>
      </c>
      <c r="O2011" s="0" t="s">
        <v>2211</v>
      </c>
      <c r="P2011" s="0" t="s">
        <v>145</v>
      </c>
      <c r="Q2011" s="0" t="s">
        <v>146</v>
      </c>
      <c r="R2011" s="0" t="n">
        <v>44483</v>
      </c>
      <c r="AD2011" s="0" t="s">
        <v>147</v>
      </c>
      <c r="AE2011" s="0" t="s">
        <v>148</v>
      </c>
      <c r="AF2011" s="0" t="s">
        <v>149</v>
      </c>
      <c r="AH2011" s="0" t="n">
        <v>14</v>
      </c>
      <c r="AI2011" s="0" t="n">
        <v>11</v>
      </c>
      <c r="AN2011" s="0" t="s">
        <v>145</v>
      </c>
      <c r="AO2011" s="0" t="s">
        <v>654</v>
      </c>
      <c r="AP2011" s="0" t="s">
        <v>655</v>
      </c>
      <c r="AQ2011" s="0" t="n">
        <v>9</v>
      </c>
      <c r="AR2011" s="0" t="n">
        <v>64</v>
      </c>
      <c r="AS2011" s="0" t="n">
        <v>32</v>
      </c>
      <c r="AU2011" s="0" t="n">
        <f aca="false">COUNTA($BA$1288:$EH$1288)</f>
        <v>15</v>
      </c>
      <c r="AV2011" s="0" t="n">
        <f aca="false">COUNTIF($BA$1288:$EH$1288,"D")</f>
        <v>3</v>
      </c>
      <c r="AW2011" s="0" t="n">
        <f aca="false">COUNTIF($BA$1288:$EH$1288,"R")</f>
        <v>0</v>
      </c>
      <c r="AX2011" s="0" t="n">
        <f aca="false">IF(BN2011="D",1,0)+IF(BO2011="D",1,0)+IF(BT2011="D",1,0)+IF(BU2011="D",1,0)+IF(BW2011="D",1,0)+IF(CC2011="D",1,0)+IF(CD2011="D",1,0)+IF(CE2011="D",1,0)+IF(CF2011="D",1,0)+IF(CL2011="D",1,0)+IF(CM2011="D",1,0)+IF(CQ2011="D",1,0)+IF(CR2011="D",1,0)+IF(CS2011="D",1,0)+IF(CW2011="D",1,0)+IF(CX2011="D",1,0)+IF(DD2011="D",1,0)+IF(DE2011="D",1,0)+IF(DJ2011="D",1,0)+IF(DK2011="D",1,0)+IF(DO2011="D",1,0)+IF(DP2011="D",1,0)+IF(DQ2011="D",1,0)+IF(DW2011="D",1,0)+IF(DZ2011="D",1,0)+IF(EH2011="D",1,0)</f>
        <v>0</v>
      </c>
      <c r="AY2011" s="0" t="n">
        <f aca="false">COUNTIF(DU2011:EH2011, "&lt;&gt;")</f>
        <v>3</v>
      </c>
      <c r="AZ2011" s="0" t="n">
        <f aca="false">IF(EH2011&lt;&gt;"",1,0)</f>
        <v>0</v>
      </c>
      <c r="BB2011" s="0" t="s">
        <v>152</v>
      </c>
      <c r="DN2011" s="0" t="s">
        <v>153</v>
      </c>
      <c r="DU2011" s="0" t="s">
        <v>153</v>
      </c>
      <c r="EA2011" s="0" t="s">
        <v>153</v>
      </c>
      <c r="EF2011" s="0" t="s">
        <v>153</v>
      </c>
    </row>
    <row r="2012" customFormat="false" ht="13.8" hidden="false" customHeight="false" outlineLevel="0" collapsed="false">
      <c r="A2012" s="0" t="s">
        <v>8899</v>
      </c>
      <c r="B2012" s="0" t="n">
        <v>78</v>
      </c>
      <c r="C2012" s="0" t="n">
        <v>270664</v>
      </c>
      <c r="D2012" s="0" t="s">
        <v>8900</v>
      </c>
      <c r="E2012" s="0" t="s">
        <v>8901</v>
      </c>
      <c r="F2012" s="0" t="str">
        <f aca="false">CONCATENATE(D2012," ",LEFT(H2012,4),"T=",AU2012,"D=",AV2012,"R=",AW2012,"M=",AX2012,"L=",AY2012,"B=",AZ2012)</f>
        <v>WEED T=10D=1R=0M=0L=5B=0</v>
      </c>
      <c r="G2012" s="0" t="s">
        <v>190</v>
      </c>
      <c r="I2012" s="0" t="s">
        <v>8902</v>
      </c>
      <c r="J2012" s="0" t="s">
        <v>8903</v>
      </c>
      <c r="K2012" s="0" t="s">
        <v>160</v>
      </c>
      <c r="L2012" s="0" t="s">
        <v>209</v>
      </c>
      <c r="M2012" s="0" t="s">
        <v>8904</v>
      </c>
      <c r="N2012" s="0" t="str">
        <f aca="false">RIGHT(M2012,LEN(M2012)-FIND(" ",M2012))</f>
        <v>PORTER ST NE</v>
      </c>
      <c r="P2012" s="0" t="s">
        <v>145</v>
      </c>
      <c r="Q2012" s="0" t="s">
        <v>146</v>
      </c>
      <c r="R2012" s="0" t="n">
        <v>44483</v>
      </c>
      <c r="AD2012" s="0" t="s">
        <v>147</v>
      </c>
      <c r="AE2012" s="0" t="s">
        <v>148</v>
      </c>
      <c r="AF2012" s="0" t="s">
        <v>149</v>
      </c>
      <c r="AH2012" s="0" t="n">
        <v>14</v>
      </c>
      <c r="AI2012" s="0" t="n">
        <v>11</v>
      </c>
      <c r="AN2012" s="0" t="s">
        <v>145</v>
      </c>
      <c r="AO2012" s="0" t="s">
        <v>654</v>
      </c>
      <c r="AP2012" s="0" t="s">
        <v>655</v>
      </c>
      <c r="AQ2012" s="0" t="n">
        <v>9</v>
      </c>
      <c r="AR2012" s="0" t="n">
        <v>64</v>
      </c>
      <c r="AS2012" s="0" t="n">
        <v>32</v>
      </c>
      <c r="AU2012" s="0" t="n">
        <f aca="false">COUNTA($BA$1750:$EH$1750)</f>
        <v>10</v>
      </c>
      <c r="AV2012" s="0" t="n">
        <f aca="false">COUNTIF($BA$1750:$EH$1750,"D")</f>
        <v>1</v>
      </c>
      <c r="AW2012" s="0" t="n">
        <f aca="false">COUNTIF($BA$1750:$EH$1750,"R")</f>
        <v>0</v>
      </c>
      <c r="AX2012" s="0" t="n">
        <f aca="false">IF(BN2012="D",1,0)+IF(BO2012="D",1,0)+IF(BT2012="D",1,0)+IF(BU2012="D",1,0)+IF(BW2012="D",1,0)+IF(CC2012="D",1,0)+IF(CD2012="D",1,0)+IF(CE2012="D",1,0)+IF(CF2012="D",1,0)+IF(CL2012="D",1,0)+IF(CM2012="D",1,0)+IF(CQ2012="D",1,0)+IF(CR2012="D",1,0)+IF(CS2012="D",1,0)+IF(CW2012="D",1,0)+IF(CX2012="D",1,0)+IF(DD2012="D",1,0)+IF(DE2012="D",1,0)+IF(DJ2012="D",1,0)+IF(DK2012="D",1,0)+IF(DO2012="D",1,0)+IF(DP2012="D",1,0)+IF(DQ2012="D",1,0)+IF(DW2012="D",1,0)+IF(DZ2012="D",1,0)+IF(EH2012="D",1,0)</f>
        <v>0</v>
      </c>
      <c r="AY2012" s="0" t="n">
        <f aca="false">COUNTIF(DU2012:EH2012, "&lt;&gt;")</f>
        <v>5</v>
      </c>
      <c r="AZ2012" s="0" t="n">
        <f aca="false">IF(EH2012&lt;&gt;"",1,0)</f>
        <v>0</v>
      </c>
      <c r="BB2012" s="0" t="s">
        <v>152</v>
      </c>
      <c r="BC2012" s="0" t="s">
        <v>153</v>
      </c>
      <c r="BD2012" s="0" t="s">
        <v>153</v>
      </c>
      <c r="BF2012" s="0" t="s">
        <v>153</v>
      </c>
      <c r="BH2012" s="0" t="s">
        <v>153</v>
      </c>
      <c r="BL2012" s="0" t="s">
        <v>153</v>
      </c>
      <c r="BP2012" s="0" t="s">
        <v>153</v>
      </c>
      <c r="BR2012" s="0" t="s">
        <v>153</v>
      </c>
      <c r="BS2012" s="0" t="s">
        <v>153</v>
      </c>
      <c r="BY2012" s="0" t="s">
        <v>209</v>
      </c>
      <c r="CA2012" s="0" t="s">
        <v>153</v>
      </c>
      <c r="CG2012" s="0" t="s">
        <v>153</v>
      </c>
      <c r="CH2012" s="0" t="s">
        <v>209</v>
      </c>
      <c r="CK2012" s="0" t="s">
        <v>153</v>
      </c>
      <c r="CN2012" s="0" t="s">
        <v>153</v>
      </c>
      <c r="CO2012" s="0" t="s">
        <v>209</v>
      </c>
      <c r="CP2012" s="0" t="s">
        <v>153</v>
      </c>
      <c r="CV2012" s="0" t="s">
        <v>153</v>
      </c>
      <c r="CY2012" s="0" t="s">
        <v>153</v>
      </c>
      <c r="CZ2012" s="0" t="s">
        <v>209</v>
      </c>
      <c r="DC2012" s="0" t="s">
        <v>153</v>
      </c>
      <c r="DF2012" s="0" t="s">
        <v>153</v>
      </c>
      <c r="DG2012" s="0" t="s">
        <v>209</v>
      </c>
      <c r="DI2012" s="0" t="s">
        <v>153</v>
      </c>
      <c r="DL2012" s="0" t="s">
        <v>153</v>
      </c>
      <c r="DM2012" s="0" t="s">
        <v>209</v>
      </c>
      <c r="DN2012" s="0" t="s">
        <v>153</v>
      </c>
      <c r="DS2012" s="0" t="s">
        <v>209</v>
      </c>
      <c r="DU2012" s="0" t="s">
        <v>153</v>
      </c>
      <c r="DX2012" s="0" t="s">
        <v>153</v>
      </c>
      <c r="EA2012" s="0" t="s">
        <v>153</v>
      </c>
      <c r="ED2012" s="0" t="s">
        <v>209</v>
      </c>
      <c r="EF2012" s="0" t="s">
        <v>153</v>
      </c>
    </row>
    <row r="2013" customFormat="false" ht="13.8" hidden="false" customHeight="false" outlineLevel="0" collapsed="false">
      <c r="A2013" s="0" t="s">
        <v>8905</v>
      </c>
      <c r="B2013" s="0" t="n">
        <v>78</v>
      </c>
      <c r="C2013" s="0" t="n">
        <v>270668</v>
      </c>
      <c r="D2013" s="0" t="s">
        <v>8900</v>
      </c>
      <c r="E2013" s="0" t="s">
        <v>8906</v>
      </c>
      <c r="F2013" s="0" t="str">
        <f aca="false">CONCATENATE(D2013," ",LEFT(H2013,4),"T=",AU2013,"D=",AV2013,"R=",AW2013,"M=",AX2013,"L=",AY2013,"B=",AZ2013)</f>
        <v>WEED T=8D=0R=0M=0L=5B=0</v>
      </c>
      <c r="G2013" s="0" t="s">
        <v>175</v>
      </c>
      <c r="I2013" s="0" t="s">
        <v>8907</v>
      </c>
      <c r="J2013" s="0" t="s">
        <v>8908</v>
      </c>
      <c r="K2013" s="0" t="s">
        <v>160</v>
      </c>
      <c r="L2013" s="0" t="s">
        <v>209</v>
      </c>
      <c r="M2013" s="0" t="s">
        <v>8904</v>
      </c>
      <c r="N2013" s="0" t="str">
        <f aca="false">RIGHT(M2013,LEN(M2013)-FIND(" ",M2013))</f>
        <v>PORTER ST NE</v>
      </c>
      <c r="P2013" s="0" t="s">
        <v>145</v>
      </c>
      <c r="Q2013" s="0" t="s">
        <v>146</v>
      </c>
      <c r="R2013" s="0" t="n">
        <v>44483</v>
      </c>
      <c r="AD2013" s="0" t="s">
        <v>147</v>
      </c>
      <c r="AE2013" s="0" t="s">
        <v>148</v>
      </c>
      <c r="AF2013" s="0" t="s">
        <v>149</v>
      </c>
      <c r="AH2013" s="0" t="n">
        <v>14</v>
      </c>
      <c r="AI2013" s="0" t="n">
        <v>11</v>
      </c>
      <c r="AN2013" s="0" t="s">
        <v>145</v>
      </c>
      <c r="AO2013" s="0" t="s">
        <v>654</v>
      </c>
      <c r="AP2013" s="0" t="s">
        <v>655</v>
      </c>
      <c r="AQ2013" s="0" t="n">
        <v>9</v>
      </c>
      <c r="AR2013" s="0" t="n">
        <v>64</v>
      </c>
      <c r="AS2013" s="0" t="n">
        <v>32</v>
      </c>
      <c r="AU2013" s="0" t="n">
        <f aca="false">COUNTA($BA$1753:$EH$1753)</f>
        <v>8</v>
      </c>
      <c r="AV2013" s="0" t="n">
        <f aca="false">COUNTIF($BA$1753:$EH$1753,"D")</f>
        <v>0</v>
      </c>
      <c r="AW2013" s="0" t="n">
        <f aca="false">COUNTIF($BA$1753:$EH$1753,"R")</f>
        <v>0</v>
      </c>
      <c r="AX2013" s="0" t="n">
        <f aca="false">IF(BN2013="D",1,0)+IF(BO2013="D",1,0)+IF(BT2013="D",1,0)+IF(BU2013="D",1,0)+IF(BW2013="D",1,0)+IF(CC2013="D",1,0)+IF(CD2013="D",1,0)+IF(CE2013="D",1,0)+IF(CF2013="D",1,0)+IF(CL2013="D",1,0)+IF(CM2013="D",1,0)+IF(CQ2013="D",1,0)+IF(CR2013="D",1,0)+IF(CS2013="D",1,0)+IF(CW2013="D",1,0)+IF(CX2013="D",1,0)+IF(DD2013="D",1,0)+IF(DE2013="D",1,0)+IF(DJ2013="D",1,0)+IF(DK2013="D",1,0)+IF(DO2013="D",1,0)+IF(DP2013="D",1,0)+IF(DQ2013="D",1,0)+IF(DW2013="D",1,0)+IF(DZ2013="D",1,0)+IF(EH2013="D",1,0)</f>
        <v>0</v>
      </c>
      <c r="AY2013" s="0" t="n">
        <f aca="false">COUNTIF(DU2013:EH2013, "&lt;&gt;")</f>
        <v>5</v>
      </c>
      <c r="AZ2013" s="0" t="n">
        <f aca="false">IF(EH2013&lt;&gt;"",1,0)</f>
        <v>0</v>
      </c>
      <c r="BB2013" s="0" t="s">
        <v>152</v>
      </c>
      <c r="BD2013" s="0" t="s">
        <v>153</v>
      </c>
      <c r="BL2013" s="0" t="s">
        <v>153</v>
      </c>
      <c r="BP2013" s="0" t="s">
        <v>153</v>
      </c>
      <c r="BS2013" s="0" t="s">
        <v>153</v>
      </c>
      <c r="BV2013" s="0" t="s">
        <v>153</v>
      </c>
      <c r="BY2013" s="0" t="s">
        <v>209</v>
      </c>
      <c r="CA2013" s="0" t="s">
        <v>153</v>
      </c>
      <c r="CG2013" s="0" t="s">
        <v>153</v>
      </c>
      <c r="CK2013" s="0" t="s">
        <v>153</v>
      </c>
      <c r="CN2013" s="0" t="s">
        <v>153</v>
      </c>
      <c r="CO2013" s="0" t="s">
        <v>209</v>
      </c>
      <c r="CP2013" s="0" t="s">
        <v>153</v>
      </c>
      <c r="CY2013" s="0" t="s">
        <v>153</v>
      </c>
      <c r="CZ2013" s="0" t="s">
        <v>209</v>
      </c>
      <c r="DC2013" s="0" t="s">
        <v>153</v>
      </c>
      <c r="DF2013" s="0" t="s">
        <v>153</v>
      </c>
      <c r="DG2013" s="0" t="s">
        <v>209</v>
      </c>
      <c r="DI2013" s="0" t="s">
        <v>153</v>
      </c>
      <c r="DL2013" s="0" t="s">
        <v>153</v>
      </c>
      <c r="DM2013" s="0" t="s">
        <v>209</v>
      </c>
      <c r="DN2013" s="0" t="s">
        <v>153</v>
      </c>
      <c r="DS2013" s="0" t="s">
        <v>209</v>
      </c>
      <c r="DU2013" s="0" t="s">
        <v>153</v>
      </c>
      <c r="DX2013" s="0" t="s">
        <v>153</v>
      </c>
      <c r="EA2013" s="0" t="s">
        <v>153</v>
      </c>
      <c r="ED2013" s="0" t="s">
        <v>209</v>
      </c>
      <c r="EF2013" s="0" t="s">
        <v>153</v>
      </c>
    </row>
    <row r="2014" customFormat="false" ht="13.8" hidden="false" customHeight="false" outlineLevel="0" collapsed="false">
      <c r="A2014" s="0" t="s">
        <v>8909</v>
      </c>
      <c r="B2014" s="0" t="n">
        <v>78</v>
      </c>
      <c r="C2014" s="0" t="n">
        <v>345905</v>
      </c>
      <c r="D2014" s="0" t="s">
        <v>8910</v>
      </c>
      <c r="E2014" s="0" t="s">
        <v>390</v>
      </c>
      <c r="F2014" s="0" t="str">
        <f aca="false">CONCATENATE(D2014," ",LEFT(H2014,4),"T=",AU2014,"D=",AV2014,"R=",AW2014,"M=",AX2014,"L=",AY2014,"B=",AZ2014)</f>
        <v>PETERMAN T=2D=0R=0M=0L=2B=0</v>
      </c>
      <c r="G2014" s="0" t="s">
        <v>351</v>
      </c>
      <c r="I2014" s="0" t="s">
        <v>8911</v>
      </c>
      <c r="J2014" s="0" t="s">
        <v>411</v>
      </c>
      <c r="K2014" s="0" t="s">
        <v>160</v>
      </c>
      <c r="M2014" s="0" t="s">
        <v>8912</v>
      </c>
      <c r="N2014" s="0" t="str">
        <f aca="false">RIGHT(M2014,LEN(M2014)-FIND(" ",M2014))</f>
        <v>PORTER ST NE</v>
      </c>
      <c r="P2014" s="0" t="s">
        <v>145</v>
      </c>
      <c r="Q2014" s="0" t="s">
        <v>146</v>
      </c>
      <c r="R2014" s="0" t="n">
        <v>44483</v>
      </c>
      <c r="AD2014" s="0" t="s">
        <v>147</v>
      </c>
      <c r="AE2014" s="0" t="s">
        <v>148</v>
      </c>
      <c r="AF2014" s="0" t="s">
        <v>149</v>
      </c>
      <c r="AH2014" s="0" t="n">
        <v>14</v>
      </c>
      <c r="AI2014" s="0" t="n">
        <v>11</v>
      </c>
      <c r="AN2014" s="0" t="s">
        <v>145</v>
      </c>
      <c r="AO2014" s="0" t="s">
        <v>654</v>
      </c>
      <c r="AP2014" s="0" t="s">
        <v>655</v>
      </c>
      <c r="AQ2014" s="0" t="n">
        <v>9</v>
      </c>
      <c r="AR2014" s="0" t="n">
        <v>64</v>
      </c>
      <c r="AS2014" s="0" t="n">
        <v>32</v>
      </c>
      <c r="AU2014" s="0" t="n">
        <f aca="false">COUNTA($BA$1746:$EH$1746)</f>
        <v>2</v>
      </c>
      <c r="AV2014" s="0" t="n">
        <f aca="false">COUNTIF($BA$1746:$EH$1746,"D")</f>
        <v>0</v>
      </c>
      <c r="AW2014" s="0" t="n">
        <f aca="false">COUNTIF($BA$1746:$EH$1746,"R")</f>
        <v>0</v>
      </c>
      <c r="AX2014" s="0" t="n">
        <f aca="false">IF(BN2014="D",1,0)+IF(BO2014="D",1,0)+IF(BT2014="D",1,0)+IF(BU2014="D",1,0)+IF(BW2014="D",1,0)+IF(CC2014="D",1,0)+IF(CD2014="D",1,0)+IF(CE2014="D",1,0)+IF(CF2014="D",1,0)+IF(CL2014="D",1,0)+IF(CM2014="D",1,0)+IF(CQ2014="D",1,0)+IF(CR2014="D",1,0)+IF(CS2014="D",1,0)+IF(CW2014="D",1,0)+IF(CX2014="D",1,0)+IF(DD2014="D",1,0)+IF(DE2014="D",1,0)+IF(DJ2014="D",1,0)+IF(DK2014="D",1,0)+IF(DO2014="D",1,0)+IF(DP2014="D",1,0)+IF(DQ2014="D",1,0)+IF(DW2014="D",1,0)+IF(DZ2014="D",1,0)+IF(EH2014="D",1,0)</f>
        <v>0</v>
      </c>
      <c r="AY2014" s="0" t="n">
        <f aca="false">COUNTIF(DU2014:EH2014, "&lt;&gt;")</f>
        <v>2</v>
      </c>
      <c r="AZ2014" s="0" t="n">
        <f aca="false">IF(EH2014&lt;&gt;"",1,0)</f>
        <v>0</v>
      </c>
      <c r="BB2014" s="0" t="s">
        <v>152</v>
      </c>
      <c r="BY2014" s="0" t="s">
        <v>175</v>
      </c>
      <c r="CP2014" s="0" t="s">
        <v>153</v>
      </c>
      <c r="CY2014" s="0" t="s">
        <v>153</v>
      </c>
      <c r="DC2014" s="0" t="s">
        <v>153</v>
      </c>
      <c r="DI2014" s="0" t="s">
        <v>153</v>
      </c>
      <c r="DM2014" s="0" t="s">
        <v>175</v>
      </c>
      <c r="DN2014" s="0" t="s">
        <v>153</v>
      </c>
      <c r="DU2014" s="0" t="s">
        <v>153</v>
      </c>
      <c r="EF2014" s="0" t="s">
        <v>153</v>
      </c>
    </row>
    <row r="2015" customFormat="false" ht="13.8" hidden="true" customHeight="false" outlineLevel="0" collapsed="false">
      <c r="A2015" s="0" t="s">
        <v>8913</v>
      </c>
      <c r="B2015" s="0" t="n">
        <v>78</v>
      </c>
      <c r="C2015" s="0" t="n">
        <v>407681</v>
      </c>
      <c r="D2015" s="0" t="s">
        <v>8910</v>
      </c>
      <c r="E2015" s="0" t="s">
        <v>8914</v>
      </c>
      <c r="F2015" s="0" t="str">
        <f aca="false">CONCATENATE(D2015," ",LEFT(H2015,4),"T=",AU2015,"D=",AV2015,"R=",AW2015,"M=",AX2015,"L=",AY2015,"B=",AZ2015)</f>
        <v>PETERMAN T=1D=0R=0M=0L=0B=0</v>
      </c>
      <c r="G2015" s="0" t="s">
        <v>215</v>
      </c>
      <c r="I2015" s="0" t="s">
        <v>8915</v>
      </c>
      <c r="J2015" s="0" t="s">
        <v>8916</v>
      </c>
      <c r="K2015" s="0" t="s">
        <v>160</v>
      </c>
      <c r="M2015" s="0" t="s">
        <v>8912</v>
      </c>
      <c r="N2015" s="0" t="str">
        <f aca="false">RIGHT(M2015,LEN(M2015)-FIND(" ",M2015))</f>
        <v>PORTER ST NE</v>
      </c>
      <c r="P2015" s="0" t="s">
        <v>145</v>
      </c>
      <c r="Q2015" s="0" t="s">
        <v>146</v>
      </c>
      <c r="R2015" s="0" t="n">
        <v>44483</v>
      </c>
      <c r="AD2015" s="0" t="s">
        <v>147</v>
      </c>
      <c r="AE2015" s="0" t="s">
        <v>148</v>
      </c>
      <c r="AF2015" s="0" t="s">
        <v>149</v>
      </c>
      <c r="AH2015" s="0" t="n">
        <v>14</v>
      </c>
      <c r="AI2015" s="0" t="n">
        <v>11</v>
      </c>
      <c r="AN2015" s="0" t="s">
        <v>145</v>
      </c>
      <c r="AO2015" s="0" t="s">
        <v>654</v>
      </c>
      <c r="AP2015" s="0" t="s">
        <v>655</v>
      </c>
      <c r="AQ2015" s="0" t="n">
        <v>9</v>
      </c>
      <c r="AR2015" s="0" t="n">
        <v>64</v>
      </c>
      <c r="AS2015" s="0" t="n">
        <v>32</v>
      </c>
      <c r="AU2015" s="0" t="n">
        <f aca="false">COUNTA($BA$1921:$EH$1921)</f>
        <v>1</v>
      </c>
      <c r="AV2015" s="0" t="n">
        <f aca="false">COUNTIF($BA$1921:$EH$1921,"D")</f>
        <v>0</v>
      </c>
      <c r="AW2015" s="0" t="n">
        <f aca="false">COUNTIF($BA$1921:$EH$1921,"R")</f>
        <v>0</v>
      </c>
      <c r="AX2015" s="0" t="n">
        <f aca="false">IF(BN2015="D",1,0)+IF(BO2015="D",1,0)+IF(BT2015="D",1,0)+IF(BU2015="D",1,0)+IF(BW2015="D",1,0)+IF(CC2015="D",1,0)+IF(CD2015="D",1,0)+IF(CE2015="D",1,0)+IF(CF2015="D",1,0)+IF(CL2015="D",1,0)+IF(CM2015="D",1,0)+IF(CQ2015="D",1,0)+IF(CR2015="D",1,0)+IF(CS2015="D",1,0)+IF(CW2015="D",1,0)+IF(CX2015="D",1,0)+IF(DD2015="D",1,0)+IF(DE2015="D",1,0)+IF(DJ2015="D",1,0)+IF(DK2015="D",1,0)+IF(DO2015="D",1,0)+IF(DP2015="D",1,0)+IF(DQ2015="D",1,0)+IF(DW2015="D",1,0)+IF(DZ2015="D",1,0)+IF(EH2015="D",1,0)</f>
        <v>0</v>
      </c>
      <c r="AY2015" s="0" t="n">
        <f aca="false">COUNTIF(DU2015:EH2015, "&lt;&gt;")</f>
        <v>0</v>
      </c>
      <c r="AZ2015" s="0" t="n">
        <f aca="false">IF(EH2015&lt;&gt;"",1,0)</f>
        <v>0</v>
      </c>
      <c r="BB2015" s="0" t="s">
        <v>152</v>
      </c>
    </row>
    <row r="2016" customFormat="false" ht="13.8" hidden="true" customHeight="false" outlineLevel="0" collapsed="false">
      <c r="A2016" s="0" t="s">
        <v>8917</v>
      </c>
      <c r="B2016" s="0" t="n">
        <v>78</v>
      </c>
      <c r="C2016" s="0" t="n">
        <v>416595</v>
      </c>
      <c r="D2016" s="0" t="s">
        <v>8910</v>
      </c>
      <c r="E2016" s="0" t="s">
        <v>8918</v>
      </c>
      <c r="F2016" s="0" t="str">
        <f aca="false">CONCATENATE(D2016," ",LEFT(H2016,4),"T=",AU2016,"D=",AV2016,"R=",AW2016,"M=",AX2016,"L=",AY2016,"B=",AZ2016)</f>
        <v>PETERMAN T=11D=1R=0M=0L=1B=0</v>
      </c>
      <c r="G2016" s="0" t="s">
        <v>164</v>
      </c>
      <c r="I2016" s="0" t="s">
        <v>6928</v>
      </c>
      <c r="J2016" s="0" t="s">
        <v>8919</v>
      </c>
      <c r="K2016" s="0" t="s">
        <v>160</v>
      </c>
      <c r="M2016" s="0" t="s">
        <v>8912</v>
      </c>
      <c r="N2016" s="0" t="str">
        <f aca="false">RIGHT(M2016,LEN(M2016)-FIND(" ",M2016))</f>
        <v>PORTER ST NE</v>
      </c>
      <c r="P2016" s="0" t="s">
        <v>145</v>
      </c>
      <c r="Q2016" s="0" t="s">
        <v>146</v>
      </c>
      <c r="R2016" s="0" t="n">
        <v>44483</v>
      </c>
      <c r="AD2016" s="0" t="s">
        <v>147</v>
      </c>
      <c r="AE2016" s="0" t="s">
        <v>148</v>
      </c>
      <c r="AF2016" s="0" t="s">
        <v>149</v>
      </c>
      <c r="AH2016" s="0" t="n">
        <v>14</v>
      </c>
      <c r="AI2016" s="0" t="n">
        <v>11</v>
      </c>
      <c r="AN2016" s="0" t="s">
        <v>145</v>
      </c>
      <c r="AO2016" s="0" t="s">
        <v>654</v>
      </c>
      <c r="AP2016" s="0" t="s">
        <v>655</v>
      </c>
      <c r="AQ2016" s="0" t="n">
        <v>9</v>
      </c>
      <c r="AR2016" s="0" t="n">
        <v>64</v>
      </c>
      <c r="AS2016" s="0" t="n">
        <v>32</v>
      </c>
      <c r="AU2016" s="0" t="n">
        <f aca="false">COUNTA($BA$2032:$EH$2032)</f>
        <v>11</v>
      </c>
      <c r="AV2016" s="0" t="n">
        <f aca="false">COUNTIF($BA$2032:$EH$2032,"D")</f>
        <v>1</v>
      </c>
      <c r="AW2016" s="0" t="n">
        <f aca="false">COUNTIF($BA$2032:$EH$2032,"R")</f>
        <v>0</v>
      </c>
      <c r="AX2016" s="0" t="n">
        <f aca="false">IF(BN2016="D",1,0)+IF(BO2016="D",1,0)+IF(BT2016="D",1,0)+IF(BU2016="D",1,0)+IF(BW2016="D",1,0)+IF(CC2016="D",1,0)+IF(CD2016="D",1,0)+IF(CE2016="D",1,0)+IF(CF2016="D",1,0)+IF(CL2016="D",1,0)+IF(CM2016="D",1,0)+IF(CQ2016="D",1,0)+IF(CR2016="D",1,0)+IF(CS2016="D",1,0)+IF(CW2016="D",1,0)+IF(CX2016="D",1,0)+IF(DD2016="D",1,0)+IF(DE2016="D",1,0)+IF(DJ2016="D",1,0)+IF(DK2016="D",1,0)+IF(DO2016="D",1,0)+IF(DP2016="D",1,0)+IF(DQ2016="D",1,0)+IF(DW2016="D",1,0)+IF(DZ2016="D",1,0)+IF(EH2016="D",1,0)</f>
        <v>0</v>
      </c>
      <c r="AY2016" s="0" t="n">
        <f aca="false">COUNTIF(DU2016:EH2016, "&lt;&gt;")</f>
        <v>1</v>
      </c>
      <c r="AZ2016" s="0" t="n">
        <f aca="false">IF(EH2016&lt;&gt;"",1,0)</f>
        <v>0</v>
      </c>
      <c r="BB2016" s="0" t="s">
        <v>152</v>
      </c>
      <c r="DN2016" s="0" t="s">
        <v>153</v>
      </c>
      <c r="EF2016" s="0" t="s">
        <v>153</v>
      </c>
    </row>
    <row r="2017" customFormat="false" ht="13.8" hidden="false" customHeight="false" outlineLevel="0" collapsed="false">
      <c r="A2017" s="0" t="s">
        <v>8920</v>
      </c>
      <c r="B2017" s="0" t="n">
        <v>78</v>
      </c>
      <c r="C2017" s="0" t="n">
        <v>192194</v>
      </c>
      <c r="D2017" s="0" t="s">
        <v>8921</v>
      </c>
      <c r="E2017" s="0" t="s">
        <v>8922</v>
      </c>
      <c r="F2017" s="0" t="str">
        <f aca="false">CONCATENATE(D2017," ",LEFT(H2017,4),"T=",AU2017,"D=",AV2017,"R=",AW2017,"M=",AX2017,"L=",AY2017,"B=",AZ2017)</f>
        <v>FLAVIANO T=3D=0R=0M=3L=7B=1</v>
      </c>
      <c r="I2017" s="0" t="s">
        <v>8923</v>
      </c>
      <c r="J2017" s="0" t="s">
        <v>6013</v>
      </c>
      <c r="K2017" s="0" t="s">
        <v>160</v>
      </c>
      <c r="L2017" s="0" t="s">
        <v>175</v>
      </c>
      <c r="M2017" s="0" t="s">
        <v>8924</v>
      </c>
      <c r="N2017" s="0" t="str">
        <f aca="false">RIGHT(M2017,LEN(M2017)-FIND(" ",M2017))</f>
        <v>PORTER ST NE</v>
      </c>
      <c r="P2017" s="0" t="s">
        <v>145</v>
      </c>
      <c r="Q2017" s="0" t="s">
        <v>146</v>
      </c>
      <c r="R2017" s="0" t="n">
        <v>44483</v>
      </c>
      <c r="AD2017" s="0" t="s">
        <v>147</v>
      </c>
      <c r="AE2017" s="0" t="s">
        <v>148</v>
      </c>
      <c r="AF2017" s="0" t="s">
        <v>149</v>
      </c>
      <c r="AH2017" s="0" t="n">
        <v>14</v>
      </c>
      <c r="AI2017" s="0" t="n">
        <v>11</v>
      </c>
      <c r="AN2017" s="0" t="s">
        <v>145</v>
      </c>
      <c r="AO2017" s="0" t="s">
        <v>654</v>
      </c>
      <c r="AP2017" s="0" t="s">
        <v>655</v>
      </c>
      <c r="AQ2017" s="0" t="n">
        <v>9</v>
      </c>
      <c r="AR2017" s="0" t="n">
        <v>64</v>
      </c>
      <c r="AS2017" s="0" t="n">
        <v>32</v>
      </c>
      <c r="AU2017" s="0" t="n">
        <f aca="false">COUNTA($BA$1700:$EH$1700)</f>
        <v>3</v>
      </c>
      <c r="AV2017" s="0" t="n">
        <f aca="false">COUNTIF($BA$1700:$EH$1700,"D")</f>
        <v>0</v>
      </c>
      <c r="AW2017" s="0" t="n">
        <f aca="false">COUNTIF($BA$1700:$EH$1700,"R")</f>
        <v>0</v>
      </c>
      <c r="AX2017" s="0" t="n">
        <f aca="false">IF(BN2017="D",1,0)+IF(BO2017="D",1,0)+IF(BT2017="D",1,0)+IF(BU2017="D",1,0)+IF(BW2017="D",1,0)+IF(CC2017="D",1,0)+IF(CD2017="D",1,0)+IF(CE2017="D",1,0)+IF(CF2017="D",1,0)+IF(CL2017="D",1,0)+IF(CM2017="D",1,0)+IF(CQ2017="D",1,0)+IF(CR2017="D",1,0)+IF(CS2017="D",1,0)+IF(CW2017="D",1,0)+IF(CX2017="D",1,0)+IF(DD2017="D",1,0)+IF(DE2017="D",1,0)+IF(DJ2017="D",1,0)+IF(DK2017="D",1,0)+IF(DO2017="D",1,0)+IF(DP2017="D",1,0)+IF(DQ2017="D",1,0)+IF(DW2017="D",1,0)+IF(DZ2017="D",1,0)+IF(EH2017="D",1,0)</f>
        <v>3</v>
      </c>
      <c r="AY2017" s="0" t="n">
        <f aca="false">COUNTIF(DU2017:EH2017, "&lt;&gt;")</f>
        <v>7</v>
      </c>
      <c r="AZ2017" s="0" t="n">
        <f aca="false">IF(EH2017&lt;&gt;"",1,0)</f>
        <v>1</v>
      </c>
      <c r="BB2017" s="0" t="s">
        <v>152</v>
      </c>
      <c r="BC2017" s="0" t="s">
        <v>153</v>
      </c>
      <c r="BD2017" s="0" t="s">
        <v>153</v>
      </c>
      <c r="BE2017" s="0" t="s">
        <v>153</v>
      </c>
      <c r="BF2017" s="0" t="s">
        <v>153</v>
      </c>
      <c r="BG2017" s="0" t="s">
        <v>153</v>
      </c>
      <c r="BH2017" s="0" t="s">
        <v>153</v>
      </c>
      <c r="BI2017" s="0" t="s">
        <v>153</v>
      </c>
      <c r="BJ2017" s="0" t="s">
        <v>153</v>
      </c>
      <c r="BK2017" s="0" t="s">
        <v>153</v>
      </c>
      <c r="BL2017" s="0" t="s">
        <v>153</v>
      </c>
      <c r="BP2017" s="0" t="s">
        <v>153</v>
      </c>
      <c r="BR2017" s="0" t="s">
        <v>153</v>
      </c>
      <c r="BS2017" s="0" t="s">
        <v>153</v>
      </c>
      <c r="BV2017" s="0" t="s">
        <v>153</v>
      </c>
      <c r="BY2017" s="0" t="s">
        <v>175</v>
      </c>
      <c r="CA2017" s="0" t="s">
        <v>153</v>
      </c>
      <c r="CG2017" s="0" t="s">
        <v>153</v>
      </c>
      <c r="CK2017" s="0" t="s">
        <v>153</v>
      </c>
      <c r="CN2017" s="0" t="s">
        <v>153</v>
      </c>
      <c r="CO2017" s="0" t="s">
        <v>175</v>
      </c>
      <c r="CP2017" s="0" t="s">
        <v>153</v>
      </c>
      <c r="CT2017" s="0" t="s">
        <v>153</v>
      </c>
      <c r="CV2017" s="0" t="s">
        <v>153</v>
      </c>
      <c r="CY2017" s="0" t="s">
        <v>153</v>
      </c>
      <c r="CZ2017" s="0" t="s">
        <v>175</v>
      </c>
      <c r="DC2017" s="0" t="s">
        <v>153</v>
      </c>
      <c r="DF2017" s="0" t="s">
        <v>153</v>
      </c>
      <c r="DG2017" s="0" t="s">
        <v>175</v>
      </c>
      <c r="DI2017" s="0" t="s">
        <v>153</v>
      </c>
      <c r="DJ2017" s="0" t="s">
        <v>175</v>
      </c>
      <c r="DL2017" s="0" t="s">
        <v>153</v>
      </c>
      <c r="DM2017" s="0" t="s">
        <v>175</v>
      </c>
      <c r="DN2017" s="0" t="s">
        <v>153</v>
      </c>
      <c r="DR2017" s="0" t="s">
        <v>153</v>
      </c>
      <c r="DS2017" s="0" t="s">
        <v>175</v>
      </c>
      <c r="DT2017" s="0" t="s">
        <v>175</v>
      </c>
      <c r="DU2017" s="0" t="s">
        <v>153</v>
      </c>
      <c r="DW2017" s="0" t="s">
        <v>175</v>
      </c>
      <c r="DX2017" s="0" t="s">
        <v>153</v>
      </c>
      <c r="EA2017" s="0" t="s">
        <v>153</v>
      </c>
      <c r="ED2017" s="0" t="s">
        <v>175</v>
      </c>
      <c r="EF2017" s="0" t="s">
        <v>153</v>
      </c>
      <c r="EH2017" s="0" t="s">
        <v>175</v>
      </c>
    </row>
    <row r="2018" customFormat="false" ht="13.8" hidden="false" customHeight="false" outlineLevel="0" collapsed="false">
      <c r="A2018" s="0" t="s">
        <v>8925</v>
      </c>
      <c r="B2018" s="0" t="n">
        <v>78</v>
      </c>
      <c r="C2018" s="0" t="n">
        <v>477168</v>
      </c>
      <c r="D2018" s="0" t="s">
        <v>8926</v>
      </c>
      <c r="E2018" s="0" t="s">
        <v>8927</v>
      </c>
      <c r="F2018" s="0" t="str">
        <f aca="false">CONCATENATE(D2018," ",LEFT(H2018,4),"T=",AU2018,"D=",AV2018,"R=",AW2018,"M=",AX2018,"L=",AY2018,"B=",AZ2018)</f>
        <v>DIMARTINO T=8D=0R=1M=0L=2B=0</v>
      </c>
      <c r="G2018" s="0" t="s">
        <v>2261</v>
      </c>
      <c r="I2018" s="0" t="s">
        <v>2839</v>
      </c>
      <c r="J2018" s="0" t="s">
        <v>8928</v>
      </c>
      <c r="K2018" s="0" t="s">
        <v>160</v>
      </c>
      <c r="M2018" s="0" t="s">
        <v>8929</v>
      </c>
      <c r="N2018" s="0" t="str">
        <f aca="false">RIGHT(M2018,LEN(M2018)-FIND(" ",M2018))</f>
        <v>PORTER ST NE</v>
      </c>
      <c r="P2018" s="0" t="s">
        <v>145</v>
      </c>
      <c r="Q2018" s="0" t="s">
        <v>146</v>
      </c>
      <c r="R2018" s="0" t="n">
        <v>44483</v>
      </c>
      <c r="AD2018" s="0" t="s">
        <v>147</v>
      </c>
      <c r="AE2018" s="0" t="s">
        <v>148</v>
      </c>
      <c r="AF2018" s="0" t="s">
        <v>149</v>
      </c>
      <c r="AH2018" s="0" t="n">
        <v>14</v>
      </c>
      <c r="AI2018" s="0" t="n">
        <v>11</v>
      </c>
      <c r="AN2018" s="0" t="s">
        <v>145</v>
      </c>
      <c r="AO2018" s="0" t="s">
        <v>654</v>
      </c>
      <c r="AP2018" s="0" t="s">
        <v>655</v>
      </c>
      <c r="AQ2018" s="0" t="n">
        <v>9</v>
      </c>
      <c r="AR2018" s="0" t="n">
        <v>64</v>
      </c>
      <c r="AS2018" s="0" t="n">
        <v>32</v>
      </c>
      <c r="AU2018" s="0" t="n">
        <f aca="false">COUNTA($BA$1389:$EH$1389)</f>
        <v>8</v>
      </c>
      <c r="AV2018" s="0" t="n">
        <f aca="false">COUNTIF($BA$1389:$EH$1389,"D")</f>
        <v>0</v>
      </c>
      <c r="AW2018" s="0" t="n">
        <f aca="false">COUNTIF($BA$1389:$EH$1389,"R")</f>
        <v>1</v>
      </c>
      <c r="AX2018" s="0" t="n">
        <f aca="false">IF(BN2018="D",1,0)+IF(BO2018="D",1,0)+IF(BT2018="D",1,0)+IF(BU2018="D",1,0)+IF(BW2018="D",1,0)+IF(CC2018="D",1,0)+IF(CD2018="D",1,0)+IF(CE2018="D",1,0)+IF(CF2018="D",1,0)+IF(CL2018="D",1,0)+IF(CM2018="D",1,0)+IF(CQ2018="D",1,0)+IF(CR2018="D",1,0)+IF(CS2018="D",1,0)+IF(CW2018="D",1,0)+IF(CX2018="D",1,0)+IF(DD2018="D",1,0)+IF(DE2018="D",1,0)+IF(DJ2018="D",1,0)+IF(DK2018="D",1,0)+IF(DO2018="D",1,0)+IF(DP2018="D",1,0)+IF(DQ2018="D",1,0)+IF(DW2018="D",1,0)+IF(DZ2018="D",1,0)+IF(EH2018="D",1,0)</f>
        <v>0</v>
      </c>
      <c r="AY2018" s="0" t="n">
        <f aca="false">COUNTIF(DU2018:EH2018, "&lt;&gt;")</f>
        <v>2</v>
      </c>
      <c r="AZ2018" s="0" t="n">
        <f aca="false">IF(EH2018&lt;&gt;"",1,0)</f>
        <v>0</v>
      </c>
      <c r="BB2018" s="0" t="s">
        <v>152</v>
      </c>
      <c r="CP2018" s="0" t="s">
        <v>153</v>
      </c>
      <c r="EA2018" s="0" t="s">
        <v>153</v>
      </c>
      <c r="EF2018" s="0" t="s">
        <v>153</v>
      </c>
    </row>
    <row r="2019" customFormat="false" ht="13.8" hidden="true" customHeight="false" outlineLevel="0" collapsed="false">
      <c r="A2019" s="0" t="s">
        <v>8930</v>
      </c>
      <c r="B2019" s="0" t="n">
        <v>78</v>
      </c>
      <c r="C2019" s="0" t="n">
        <v>420261</v>
      </c>
      <c r="D2019" s="0" t="s">
        <v>8931</v>
      </c>
      <c r="E2019" s="0" t="s">
        <v>769</v>
      </c>
      <c r="F2019" s="0" t="str">
        <f aca="false">CONCATENATE(D2019," ",LEFT(H2019,4),"T=",AU2019,"D=",AV2019,"R=",AW2019,"M=",AX2019,"L=",AY2019,"B=",AZ2019)</f>
        <v>MANZO T=42D=2R=9M=0L=1B=0</v>
      </c>
      <c r="G2019" s="0" t="s">
        <v>1350</v>
      </c>
      <c r="I2019" s="0" t="s">
        <v>8932</v>
      </c>
      <c r="J2019" s="0" t="s">
        <v>8291</v>
      </c>
      <c r="K2019" s="0" t="s">
        <v>160</v>
      </c>
      <c r="M2019" s="0" t="s">
        <v>8929</v>
      </c>
      <c r="N2019" s="0" t="str">
        <f aca="false">RIGHT(M2019,LEN(M2019)-FIND(" ",M2019))</f>
        <v>PORTER ST NE</v>
      </c>
      <c r="P2019" s="0" t="s">
        <v>145</v>
      </c>
      <c r="Q2019" s="0" t="s">
        <v>146</v>
      </c>
      <c r="R2019" s="0" t="n">
        <v>44483</v>
      </c>
      <c r="V2019" s="0" t="s">
        <v>8933</v>
      </c>
      <c r="X2019" s="0" t="s">
        <v>145</v>
      </c>
      <c r="Y2019" s="0" t="s">
        <v>146</v>
      </c>
      <c r="Z2019" s="0" t="n">
        <v>44482</v>
      </c>
      <c r="AD2019" s="0" t="s">
        <v>147</v>
      </c>
      <c r="AE2019" s="0" t="s">
        <v>148</v>
      </c>
      <c r="AF2019" s="0" t="s">
        <v>149</v>
      </c>
      <c r="AH2019" s="0" t="n">
        <v>14</v>
      </c>
      <c r="AI2019" s="0" t="n">
        <v>11</v>
      </c>
      <c r="AN2019" s="0" t="s">
        <v>145</v>
      </c>
      <c r="AO2019" s="0" t="s">
        <v>654</v>
      </c>
      <c r="AP2019" s="0" t="s">
        <v>655</v>
      </c>
      <c r="AQ2019" s="0" t="n">
        <v>9</v>
      </c>
      <c r="AR2019" s="0" t="n">
        <v>64</v>
      </c>
      <c r="AS2019" s="0" t="n">
        <v>32</v>
      </c>
      <c r="AU2019" s="0" t="n">
        <f aca="false">COUNTA($BA$1865:$EH$1865)</f>
        <v>42</v>
      </c>
      <c r="AV2019" s="0" t="n">
        <f aca="false">COUNTIF($BA$1865:$EH$1865,"D")</f>
        <v>2</v>
      </c>
      <c r="AW2019" s="0" t="n">
        <f aca="false">COUNTIF($BA$1865:$EH$1865,"R")</f>
        <v>9</v>
      </c>
      <c r="AX2019" s="0" t="n">
        <f aca="false">IF(BN2019="D",1,0)+IF(BO2019="D",1,0)+IF(BT2019="D",1,0)+IF(BU2019="D",1,0)+IF(BW2019="D",1,0)+IF(CC2019="D",1,0)+IF(CD2019="D",1,0)+IF(CE2019="D",1,0)+IF(CF2019="D",1,0)+IF(CL2019="D",1,0)+IF(CM2019="D",1,0)+IF(CQ2019="D",1,0)+IF(CR2019="D",1,0)+IF(CS2019="D",1,0)+IF(CW2019="D",1,0)+IF(CX2019="D",1,0)+IF(DD2019="D",1,0)+IF(DE2019="D",1,0)+IF(DJ2019="D",1,0)+IF(DK2019="D",1,0)+IF(DO2019="D",1,0)+IF(DP2019="D",1,0)+IF(DQ2019="D",1,0)+IF(DW2019="D",1,0)+IF(DZ2019="D",1,0)+IF(EH2019="D",1,0)</f>
        <v>0</v>
      </c>
      <c r="AY2019" s="0" t="n">
        <f aca="false">COUNTIF(DU2019:EH2019, "&lt;&gt;")</f>
        <v>1</v>
      </c>
      <c r="AZ2019" s="0" t="n">
        <f aca="false">IF(EH2019&lt;&gt;"",1,0)</f>
        <v>0</v>
      </c>
      <c r="BB2019" s="0" t="s">
        <v>152</v>
      </c>
      <c r="DC2019" s="0" t="s">
        <v>153</v>
      </c>
      <c r="DI2019" s="0" t="s">
        <v>153</v>
      </c>
      <c r="DN2019" s="0" t="s">
        <v>153</v>
      </c>
      <c r="EF2019" s="0" t="s">
        <v>153</v>
      </c>
    </row>
    <row r="2020" customFormat="false" ht="13.8" hidden="true" customHeight="false" outlineLevel="0" collapsed="false">
      <c r="A2020" s="0" t="s">
        <v>8934</v>
      </c>
      <c r="B2020" s="0" t="n">
        <v>78</v>
      </c>
      <c r="C2020" s="0" t="n">
        <v>364647</v>
      </c>
      <c r="D2020" s="0" t="s">
        <v>1466</v>
      </c>
      <c r="E2020" s="0" t="s">
        <v>7611</v>
      </c>
      <c r="F2020" s="0" t="str">
        <f aca="false">CONCATENATE(D2020," ",LEFT(H2020,4),"T=",AU2020,"D=",AV2020,"R=",AW2020,"M=",AX2020,"L=",AY2020,"B=",AZ2020)</f>
        <v>JOHNSON T=8D=3R=0M=0L=0B=0</v>
      </c>
      <c r="G2020" s="0" t="s">
        <v>325</v>
      </c>
      <c r="I2020" s="0" t="s">
        <v>5518</v>
      </c>
      <c r="J2020" s="0" t="s">
        <v>5013</v>
      </c>
      <c r="K2020" s="0" t="s">
        <v>160</v>
      </c>
      <c r="M2020" s="0" t="s">
        <v>8935</v>
      </c>
      <c r="N2020" s="0" t="str">
        <f aca="false">RIGHT(M2020,LEN(M2020)-FIND(" ",M2020))</f>
        <v>PORTER ST NE</v>
      </c>
      <c r="P2020" s="0" t="s">
        <v>145</v>
      </c>
      <c r="Q2020" s="0" t="s">
        <v>146</v>
      </c>
      <c r="R2020" s="0" t="n">
        <v>44483</v>
      </c>
      <c r="AD2020" s="0" t="s">
        <v>147</v>
      </c>
      <c r="AE2020" s="0" t="s">
        <v>148</v>
      </c>
      <c r="AF2020" s="0" t="s">
        <v>149</v>
      </c>
      <c r="AH2020" s="0" t="n">
        <v>14</v>
      </c>
      <c r="AI2020" s="0" t="n">
        <v>11</v>
      </c>
      <c r="AN2020" s="0" t="s">
        <v>145</v>
      </c>
      <c r="AO2020" s="0" t="s">
        <v>654</v>
      </c>
      <c r="AP2020" s="0" t="s">
        <v>655</v>
      </c>
      <c r="AQ2020" s="0" t="n">
        <v>9</v>
      </c>
      <c r="AR2020" s="0" t="n">
        <v>64</v>
      </c>
      <c r="AS2020" s="0" t="n">
        <v>32</v>
      </c>
      <c r="AU2020" s="0" t="n">
        <f aca="false">COUNTA($BA$1162:$EH$1162)</f>
        <v>8</v>
      </c>
      <c r="AV2020" s="0" t="n">
        <f aca="false">COUNTIF($BA$1162:$EH$1162,"D")</f>
        <v>3</v>
      </c>
      <c r="AW2020" s="0" t="n">
        <f aca="false">COUNTIF($BA$1162:$EH$1162,"R")</f>
        <v>0</v>
      </c>
      <c r="AX2020" s="0" t="n">
        <f aca="false">IF(BN2020="D",1,0)+IF(BO2020="D",1,0)+IF(BT2020="D",1,0)+IF(BU2020="D",1,0)+IF(BW2020="D",1,0)+IF(CC2020="D",1,0)+IF(CD2020="D",1,0)+IF(CE2020="D",1,0)+IF(CF2020="D",1,0)+IF(CL2020="D",1,0)+IF(CM2020="D",1,0)+IF(CQ2020="D",1,0)+IF(CR2020="D",1,0)+IF(CS2020="D",1,0)+IF(CW2020="D",1,0)+IF(CX2020="D",1,0)+IF(DD2020="D",1,0)+IF(DE2020="D",1,0)+IF(DJ2020="D",1,0)+IF(DK2020="D",1,0)+IF(DO2020="D",1,0)+IF(DP2020="D",1,0)+IF(DQ2020="D",1,0)+IF(DW2020="D",1,0)+IF(DZ2020="D",1,0)+IF(EH2020="D",1,0)</f>
        <v>0</v>
      </c>
      <c r="AY2020" s="0" t="n">
        <f aca="false">COUNTIF(DU2020:EH2020, "&lt;&gt;")</f>
        <v>0</v>
      </c>
      <c r="AZ2020" s="0" t="n">
        <f aca="false">IF(EH2020&lt;&gt;"",1,0)</f>
        <v>0</v>
      </c>
      <c r="BB2020" s="0" t="s">
        <v>152</v>
      </c>
      <c r="CA2020" s="0" t="s">
        <v>153</v>
      </c>
      <c r="CP2020" s="0" t="s">
        <v>153</v>
      </c>
      <c r="DC2020" s="0" t="s">
        <v>153</v>
      </c>
    </row>
    <row r="2021" customFormat="false" ht="13.8" hidden="true" customHeight="false" outlineLevel="0" collapsed="false">
      <c r="A2021" s="0" t="s">
        <v>8936</v>
      </c>
      <c r="B2021" s="0" t="n">
        <v>78</v>
      </c>
      <c r="C2021" s="0" t="n">
        <v>285687</v>
      </c>
      <c r="D2021" s="0" t="s">
        <v>3759</v>
      </c>
      <c r="E2021" s="0" t="s">
        <v>8937</v>
      </c>
      <c r="F2021" s="0" t="str">
        <f aca="false">CONCATENATE(D2021," ",LEFT(H2021,4),"T=",AU2021,"D=",AV2021,"R=",AW2021,"M=",AX2021,"L=",AY2021,"B=",AZ2021)</f>
        <v>CARMICHAEL T=1D=0R=0M=0L=0B=0</v>
      </c>
      <c r="G2021" s="0" t="s">
        <v>164</v>
      </c>
      <c r="I2021" s="0" t="s">
        <v>8938</v>
      </c>
      <c r="J2021" s="0" t="s">
        <v>8939</v>
      </c>
      <c r="K2021" s="0" t="s">
        <v>143</v>
      </c>
      <c r="M2021" s="0" t="s">
        <v>8935</v>
      </c>
      <c r="N2021" s="0" t="str">
        <f aca="false">RIGHT(M2021,LEN(M2021)-FIND(" ",M2021))</f>
        <v>PORTER ST NE</v>
      </c>
      <c r="P2021" s="0" t="s">
        <v>145</v>
      </c>
      <c r="Q2021" s="0" t="s">
        <v>146</v>
      </c>
      <c r="R2021" s="0" t="n">
        <v>44483</v>
      </c>
      <c r="AD2021" s="0" t="s">
        <v>147</v>
      </c>
      <c r="AE2021" s="0" t="s">
        <v>148</v>
      </c>
      <c r="AF2021" s="0" t="s">
        <v>149</v>
      </c>
      <c r="AH2021" s="0" t="n">
        <v>14</v>
      </c>
      <c r="AI2021" s="0" t="n">
        <v>11</v>
      </c>
      <c r="AN2021" s="0" t="s">
        <v>145</v>
      </c>
      <c r="AO2021" s="0" t="s">
        <v>654</v>
      </c>
      <c r="AP2021" s="0" t="s">
        <v>655</v>
      </c>
      <c r="AQ2021" s="0" t="n">
        <v>9</v>
      </c>
      <c r="AR2021" s="0" t="n">
        <v>64</v>
      </c>
      <c r="AS2021" s="0" t="n">
        <v>32</v>
      </c>
      <c r="AU2021" s="0" t="n">
        <f aca="false">COUNTA($BA$1304:$EH$1304)</f>
        <v>1</v>
      </c>
      <c r="AV2021" s="0" t="n">
        <f aca="false">COUNTIF($BA$1304:$EH$1304,"D")</f>
        <v>0</v>
      </c>
      <c r="AW2021" s="0" t="n">
        <f aca="false">COUNTIF($BA$1304:$EH$1304,"R")</f>
        <v>0</v>
      </c>
      <c r="AX2021" s="0" t="n">
        <f aca="false">IF(BN2021="D",1,0)+IF(BO2021="D",1,0)+IF(BT2021="D",1,0)+IF(BU2021="D",1,0)+IF(BW2021="D",1,0)+IF(CC2021="D",1,0)+IF(CD2021="D",1,0)+IF(CE2021="D",1,0)+IF(CF2021="D",1,0)+IF(CL2021="D",1,0)+IF(CM2021="D",1,0)+IF(CQ2021="D",1,0)+IF(CR2021="D",1,0)+IF(CS2021="D",1,0)+IF(CW2021="D",1,0)+IF(CX2021="D",1,0)+IF(DD2021="D",1,0)+IF(DE2021="D",1,0)+IF(DJ2021="D",1,0)+IF(DK2021="D",1,0)+IF(DO2021="D",1,0)+IF(DP2021="D",1,0)+IF(DQ2021="D",1,0)+IF(DW2021="D",1,0)+IF(DZ2021="D",1,0)+IF(EH2021="D",1,0)</f>
        <v>0</v>
      </c>
      <c r="AY2021" s="0" t="n">
        <f aca="false">COUNTIF(DU2021:EH2021, "&lt;&gt;")</f>
        <v>0</v>
      </c>
      <c r="AZ2021" s="0" t="n">
        <f aca="false">IF(EH2021&lt;&gt;"",1,0)</f>
        <v>0</v>
      </c>
      <c r="BB2021" s="0" t="s">
        <v>152</v>
      </c>
      <c r="BL2021" s="0" t="s">
        <v>153</v>
      </c>
      <c r="CA2021" s="0" t="s">
        <v>153</v>
      </c>
      <c r="DC2021" s="0" t="s">
        <v>153</v>
      </c>
    </row>
    <row r="2022" customFormat="false" ht="13.8" hidden="false" customHeight="false" outlineLevel="0" collapsed="false">
      <c r="A2022" s="0" t="s">
        <v>8940</v>
      </c>
      <c r="B2022" s="0" t="n">
        <v>78</v>
      </c>
      <c r="C2022" s="0" t="n">
        <v>261125</v>
      </c>
      <c r="D2022" s="0" t="s">
        <v>8941</v>
      </c>
      <c r="E2022" s="0" t="s">
        <v>2475</v>
      </c>
      <c r="F2022" s="0" t="str">
        <f aca="false">CONCATENATE(D2022," ",LEFT(H2022,4),"T=",AU2022,"D=",AV2022,"R=",AW2022,"M=",AX2022,"L=",AY2022,"B=",AZ2022)</f>
        <v>HALE T=2D=0R=0M=0L=4B=0</v>
      </c>
      <c r="G2022" s="0" t="s">
        <v>686</v>
      </c>
      <c r="I2022" s="0" t="s">
        <v>8942</v>
      </c>
      <c r="J2022" s="0" t="s">
        <v>8943</v>
      </c>
      <c r="K2022" s="0" t="s">
        <v>160</v>
      </c>
      <c r="M2022" s="0" t="s">
        <v>8935</v>
      </c>
      <c r="N2022" s="0" t="str">
        <f aca="false">RIGHT(M2022,LEN(M2022)-FIND(" ",M2022))</f>
        <v>PORTER ST NE</v>
      </c>
      <c r="P2022" s="0" t="s">
        <v>145</v>
      </c>
      <c r="Q2022" s="0" t="s">
        <v>146</v>
      </c>
      <c r="R2022" s="0" t="n">
        <v>44483</v>
      </c>
      <c r="AD2022" s="0" t="s">
        <v>147</v>
      </c>
      <c r="AE2022" s="0" t="s">
        <v>148</v>
      </c>
      <c r="AF2022" s="0" t="s">
        <v>149</v>
      </c>
      <c r="AH2022" s="0" t="n">
        <v>14</v>
      </c>
      <c r="AI2022" s="0" t="n">
        <v>11</v>
      </c>
      <c r="AN2022" s="0" t="s">
        <v>145</v>
      </c>
      <c r="AO2022" s="0" t="s">
        <v>654</v>
      </c>
      <c r="AP2022" s="0" t="s">
        <v>655</v>
      </c>
      <c r="AQ2022" s="0" t="n">
        <v>9</v>
      </c>
      <c r="AR2022" s="0" t="n">
        <v>64</v>
      </c>
      <c r="AS2022" s="0" t="n">
        <v>32</v>
      </c>
      <c r="AU2022" s="0" t="n">
        <f aca="false">COUNTA($BA$2045:$EH$2045)</f>
        <v>2</v>
      </c>
      <c r="AV2022" s="0" t="n">
        <f aca="false">COUNTIF($BA$2045:$EH$2045,"D")</f>
        <v>0</v>
      </c>
      <c r="AW2022" s="0" t="n">
        <f aca="false">COUNTIF($BA$2045:$EH$2045,"R")</f>
        <v>0</v>
      </c>
      <c r="AX2022" s="0" t="n">
        <f aca="false">IF(BN2022="D",1,0)+IF(BO2022="D",1,0)+IF(BT2022="D",1,0)+IF(BU2022="D",1,0)+IF(BW2022="D",1,0)+IF(CC2022="D",1,0)+IF(CD2022="D",1,0)+IF(CE2022="D",1,0)+IF(CF2022="D",1,0)+IF(CL2022="D",1,0)+IF(CM2022="D",1,0)+IF(CQ2022="D",1,0)+IF(CR2022="D",1,0)+IF(CS2022="D",1,0)+IF(CW2022="D",1,0)+IF(CX2022="D",1,0)+IF(DD2022="D",1,0)+IF(DE2022="D",1,0)+IF(DJ2022="D",1,0)+IF(DK2022="D",1,0)+IF(DO2022="D",1,0)+IF(DP2022="D",1,0)+IF(DQ2022="D",1,0)+IF(DW2022="D",1,0)+IF(DZ2022="D",1,0)+IF(EH2022="D",1,0)</f>
        <v>0</v>
      </c>
      <c r="AY2022" s="0" t="n">
        <f aca="false">COUNTIF(DU2022:EH2022, "&lt;&gt;")</f>
        <v>4</v>
      </c>
      <c r="AZ2022" s="0" t="n">
        <f aca="false">IF(EH2022&lt;&gt;"",1,0)</f>
        <v>0</v>
      </c>
      <c r="BB2022" s="0" t="s">
        <v>152</v>
      </c>
      <c r="BL2022" s="0" t="s">
        <v>153</v>
      </c>
      <c r="CA2022" s="0" t="s">
        <v>153</v>
      </c>
      <c r="CK2022" s="0" t="s">
        <v>153</v>
      </c>
      <c r="CP2022" s="0" t="s">
        <v>153</v>
      </c>
      <c r="DC2022" s="0" t="s">
        <v>153</v>
      </c>
      <c r="DI2022" s="0" t="s">
        <v>153</v>
      </c>
      <c r="DL2022" s="0" t="s">
        <v>153</v>
      </c>
      <c r="DN2022" s="0" t="s">
        <v>153</v>
      </c>
      <c r="DU2022" s="0" t="s">
        <v>153</v>
      </c>
      <c r="DX2022" s="0" t="s">
        <v>153</v>
      </c>
      <c r="EA2022" s="0" t="s">
        <v>153</v>
      </c>
      <c r="EF2022" s="0" t="s">
        <v>153</v>
      </c>
    </row>
    <row r="2023" customFormat="false" ht="13.8" hidden="true" customHeight="false" outlineLevel="0" collapsed="false">
      <c r="A2023" s="0" t="s">
        <v>8944</v>
      </c>
      <c r="B2023" s="0" t="n">
        <v>78</v>
      </c>
      <c r="C2023" s="0" t="n">
        <v>476249</v>
      </c>
      <c r="D2023" s="0" t="s">
        <v>2618</v>
      </c>
      <c r="E2023" s="0" t="s">
        <v>2957</v>
      </c>
      <c r="F2023" s="0" t="str">
        <f aca="false">CONCATENATE(D2023," ",LEFT(H2023,4),"T=",AU2023,"D=",AV2023,"R=",AW2023,"M=",AX2023,"L=",AY2023,"B=",AZ2023)</f>
        <v>DORSEY JRT=1D=0R=0M=0L=0B=0</v>
      </c>
      <c r="G2023" s="0" t="s">
        <v>8945</v>
      </c>
      <c r="H2023" s="0" t="s">
        <v>314</v>
      </c>
      <c r="I2023" s="0" t="s">
        <v>8946</v>
      </c>
      <c r="J2023" s="0" t="s">
        <v>4410</v>
      </c>
      <c r="K2023" s="0" t="s">
        <v>160</v>
      </c>
      <c r="M2023" s="0" t="s">
        <v>8947</v>
      </c>
      <c r="N2023" s="0" t="str">
        <f aca="false">RIGHT(M2023,LEN(M2023)-FIND(" ",M2023))</f>
        <v>PORTER ST NE</v>
      </c>
      <c r="P2023" s="0" t="s">
        <v>145</v>
      </c>
      <c r="Q2023" s="0" t="s">
        <v>146</v>
      </c>
      <c r="R2023" s="0" t="n">
        <v>44483</v>
      </c>
      <c r="AD2023" s="0" t="s">
        <v>147</v>
      </c>
      <c r="AE2023" s="0" t="s">
        <v>148</v>
      </c>
      <c r="AF2023" s="0" t="s">
        <v>149</v>
      </c>
      <c r="AH2023" s="0" t="n">
        <v>14</v>
      </c>
      <c r="AI2023" s="0" t="n">
        <v>11</v>
      </c>
      <c r="AN2023" s="0" t="s">
        <v>145</v>
      </c>
      <c r="AO2023" s="0" t="s">
        <v>654</v>
      </c>
      <c r="AP2023" s="0" t="s">
        <v>655</v>
      </c>
      <c r="AQ2023" s="0" t="n">
        <v>9</v>
      </c>
      <c r="AR2023" s="0" t="n">
        <v>64</v>
      </c>
      <c r="AS2023" s="0" t="n">
        <v>32</v>
      </c>
      <c r="AU2023" s="0" t="n">
        <f aca="false">COUNTA($BA$1413:$EH$1413)</f>
        <v>1</v>
      </c>
      <c r="AV2023" s="0" t="n">
        <f aca="false">COUNTIF($BA$1413:$EH$1413,"D")</f>
        <v>0</v>
      </c>
      <c r="AW2023" s="0" t="n">
        <f aca="false">COUNTIF($BA$1413:$EH$1413,"R")</f>
        <v>0</v>
      </c>
      <c r="AX2023" s="0" t="n">
        <f aca="false">IF(BN2023="D",1,0)+IF(BO2023="D",1,0)+IF(BT2023="D",1,0)+IF(BU2023="D",1,0)+IF(BW2023="D",1,0)+IF(CC2023="D",1,0)+IF(CD2023="D",1,0)+IF(CE2023="D",1,0)+IF(CF2023="D",1,0)+IF(CL2023="D",1,0)+IF(CM2023="D",1,0)+IF(CQ2023="D",1,0)+IF(CR2023="D",1,0)+IF(CS2023="D",1,0)+IF(CW2023="D",1,0)+IF(CX2023="D",1,0)+IF(DD2023="D",1,0)+IF(DE2023="D",1,0)+IF(DJ2023="D",1,0)+IF(DK2023="D",1,0)+IF(DO2023="D",1,0)+IF(DP2023="D",1,0)+IF(DQ2023="D",1,0)+IF(DW2023="D",1,0)+IF(DZ2023="D",1,0)+IF(EH2023="D",1,0)</f>
        <v>0</v>
      </c>
      <c r="AY2023" s="0" t="n">
        <f aca="false">COUNTIF(DU2023:EH2023, "&lt;&gt;")</f>
        <v>0</v>
      </c>
      <c r="AZ2023" s="0" t="n">
        <f aca="false">IF(EH2023&lt;&gt;"",1,0)</f>
        <v>0</v>
      </c>
      <c r="BB2023" s="0" t="s">
        <v>152</v>
      </c>
    </row>
    <row r="2024" customFormat="false" ht="13.8" hidden="true" customHeight="false" outlineLevel="0" collapsed="false">
      <c r="A2024" s="0" t="s">
        <v>8948</v>
      </c>
      <c r="B2024" s="0" t="n">
        <v>78</v>
      </c>
      <c r="C2024" s="0" t="n">
        <v>394178</v>
      </c>
      <c r="D2024" s="0" t="s">
        <v>621</v>
      </c>
      <c r="E2024" s="0" t="s">
        <v>8949</v>
      </c>
      <c r="F2024" s="0" t="str">
        <f aca="false">CONCATENATE(D2024," ",LEFT(H2024,4),"T=",AU2024,"D=",AV2024,"R=",AW2024,"M=",AX2024,"L=",AY2024,"B=",AZ2024)</f>
        <v>FREDERICK T=1D=0R=0M=0L=0B=0</v>
      </c>
      <c r="G2024" s="0" t="s">
        <v>1596</v>
      </c>
      <c r="I2024" s="0" t="s">
        <v>8950</v>
      </c>
      <c r="J2024" s="0" t="s">
        <v>8951</v>
      </c>
      <c r="K2024" s="0" t="s">
        <v>160</v>
      </c>
      <c r="M2024" s="0" t="s">
        <v>8952</v>
      </c>
      <c r="N2024" s="0" t="str">
        <f aca="false">RIGHT(M2024,LEN(M2024)-FIND(" ",M2024))</f>
        <v>PORTER ST NE</v>
      </c>
      <c r="O2024" s="0" t="s">
        <v>220</v>
      </c>
      <c r="P2024" s="0" t="s">
        <v>145</v>
      </c>
      <c r="Q2024" s="0" t="s">
        <v>146</v>
      </c>
      <c r="R2024" s="0" t="n">
        <v>44483</v>
      </c>
      <c r="AD2024" s="0" t="s">
        <v>147</v>
      </c>
      <c r="AE2024" s="0" t="s">
        <v>148</v>
      </c>
      <c r="AF2024" s="0" t="s">
        <v>149</v>
      </c>
      <c r="AH2024" s="0" t="n">
        <v>14</v>
      </c>
      <c r="AI2024" s="0" t="n">
        <v>11</v>
      </c>
      <c r="AN2024" s="0" t="s">
        <v>145</v>
      </c>
      <c r="AO2024" s="0" t="s">
        <v>654</v>
      </c>
      <c r="AP2024" s="0" t="s">
        <v>655</v>
      </c>
      <c r="AQ2024" s="0" t="n">
        <v>9</v>
      </c>
      <c r="AR2024" s="0" t="n">
        <v>64</v>
      </c>
      <c r="AS2024" s="0" t="n">
        <v>32</v>
      </c>
      <c r="AU2024" s="0" t="n">
        <f aca="false">COUNTA($BA$1221:$EH$1221)</f>
        <v>1</v>
      </c>
      <c r="AV2024" s="0" t="n">
        <f aca="false">COUNTIF($BA$1221:$EH$1221,"D")</f>
        <v>0</v>
      </c>
      <c r="AW2024" s="0" t="n">
        <f aca="false">COUNTIF($BA$1221:$EH$1221,"R")</f>
        <v>0</v>
      </c>
      <c r="AX2024" s="0" t="n">
        <f aca="false">IF(BN2024="D",1,0)+IF(BO2024="D",1,0)+IF(BT2024="D",1,0)+IF(BU2024="D",1,0)+IF(BW2024="D",1,0)+IF(CC2024="D",1,0)+IF(CD2024="D",1,0)+IF(CE2024="D",1,0)+IF(CF2024="D",1,0)+IF(CL2024="D",1,0)+IF(CM2024="D",1,0)+IF(CQ2024="D",1,0)+IF(CR2024="D",1,0)+IF(CS2024="D",1,0)+IF(CW2024="D",1,0)+IF(CX2024="D",1,0)+IF(DD2024="D",1,0)+IF(DE2024="D",1,0)+IF(DJ2024="D",1,0)+IF(DK2024="D",1,0)+IF(DO2024="D",1,0)+IF(DP2024="D",1,0)+IF(DQ2024="D",1,0)+IF(DW2024="D",1,0)+IF(DZ2024="D",1,0)+IF(EH2024="D",1,0)</f>
        <v>0</v>
      </c>
      <c r="AY2024" s="0" t="n">
        <f aca="false">COUNTIF(DU2024:EH2024, "&lt;&gt;")</f>
        <v>0</v>
      </c>
      <c r="AZ2024" s="0" t="n">
        <f aca="false">IF(EH2024&lt;&gt;"",1,0)</f>
        <v>0</v>
      </c>
      <c r="BB2024" s="0" t="s">
        <v>152</v>
      </c>
    </row>
    <row r="2025" customFormat="false" ht="13.8" hidden="true" customHeight="false" outlineLevel="0" collapsed="false">
      <c r="A2025" s="0" t="s">
        <v>8953</v>
      </c>
      <c r="B2025" s="0" t="n">
        <v>78</v>
      </c>
      <c r="C2025" s="0" t="n">
        <v>489845</v>
      </c>
      <c r="D2025" s="0" t="s">
        <v>8954</v>
      </c>
      <c r="E2025" s="0" t="s">
        <v>8955</v>
      </c>
      <c r="F2025" s="0" t="str">
        <f aca="false">CONCATENATE(D2025," ",LEFT(H2025,4),"T=",AU2025,"D=",AV2025,"R=",AW2025,"M=",AX2025,"L=",AY2025,"B=",AZ2025)</f>
        <v>GLOVER T=40D=10R=0M=0L=1B=0</v>
      </c>
      <c r="G2025" s="0" t="s">
        <v>164</v>
      </c>
      <c r="I2025" s="0" t="s">
        <v>8956</v>
      </c>
      <c r="J2025" s="0" t="s">
        <v>1341</v>
      </c>
      <c r="K2025" s="0" t="s">
        <v>160</v>
      </c>
      <c r="M2025" s="0" t="s">
        <v>8957</v>
      </c>
      <c r="N2025" s="0" t="str">
        <f aca="false">RIGHT(M2025,LEN(M2025)-FIND(" ",M2025))</f>
        <v>PORTER ST NE</v>
      </c>
      <c r="P2025" s="0" t="s">
        <v>145</v>
      </c>
      <c r="Q2025" s="0" t="s">
        <v>146</v>
      </c>
      <c r="R2025" s="0" t="n">
        <v>44483</v>
      </c>
      <c r="AD2025" s="0" t="s">
        <v>147</v>
      </c>
      <c r="AE2025" s="0" t="s">
        <v>148</v>
      </c>
      <c r="AF2025" s="0" t="s">
        <v>149</v>
      </c>
      <c r="AH2025" s="0" t="n">
        <v>14</v>
      </c>
      <c r="AI2025" s="0" t="n">
        <v>11</v>
      </c>
      <c r="AN2025" s="0" t="s">
        <v>145</v>
      </c>
      <c r="AO2025" s="0" t="s">
        <v>654</v>
      </c>
      <c r="AP2025" s="0" t="s">
        <v>655</v>
      </c>
      <c r="AQ2025" s="0" t="n">
        <v>9</v>
      </c>
      <c r="AR2025" s="0" t="n">
        <v>64</v>
      </c>
      <c r="AS2025" s="0" t="n">
        <v>32</v>
      </c>
      <c r="AU2025" s="0" t="n">
        <f aca="false">COUNTA($BA$1115:$EH$1115)</f>
        <v>40</v>
      </c>
      <c r="AV2025" s="0" t="n">
        <f aca="false">COUNTIF($BA$1115:$EH$1115,"D")</f>
        <v>10</v>
      </c>
      <c r="AW2025" s="0" t="n">
        <f aca="false">COUNTIF($BA$1115:$EH$1115,"R")</f>
        <v>0</v>
      </c>
      <c r="AX2025" s="0" t="n">
        <f aca="false">IF(BN2025="D",1,0)+IF(BO2025="D",1,0)+IF(BT2025="D",1,0)+IF(BU2025="D",1,0)+IF(BW2025="D",1,0)+IF(CC2025="D",1,0)+IF(CD2025="D",1,0)+IF(CE2025="D",1,0)+IF(CF2025="D",1,0)+IF(CL2025="D",1,0)+IF(CM2025="D",1,0)+IF(CQ2025="D",1,0)+IF(CR2025="D",1,0)+IF(CS2025="D",1,0)+IF(CW2025="D",1,0)+IF(CX2025="D",1,0)+IF(DD2025="D",1,0)+IF(DE2025="D",1,0)+IF(DJ2025="D",1,0)+IF(DK2025="D",1,0)+IF(DO2025="D",1,0)+IF(DP2025="D",1,0)+IF(DQ2025="D",1,0)+IF(DW2025="D",1,0)+IF(DZ2025="D",1,0)+IF(EH2025="D",1,0)</f>
        <v>0</v>
      </c>
      <c r="AY2025" s="0" t="n">
        <f aca="false">COUNTIF(DU2025:EH2025, "&lt;&gt;")</f>
        <v>1</v>
      </c>
      <c r="AZ2025" s="0" t="n">
        <f aca="false">IF(EH2025&lt;&gt;"",1,0)</f>
        <v>0</v>
      </c>
      <c r="BB2025" s="0" t="s">
        <v>152</v>
      </c>
      <c r="CZ2025" s="0" t="s">
        <v>209</v>
      </c>
      <c r="DC2025" s="0" t="s">
        <v>153</v>
      </c>
      <c r="DI2025" s="0" t="s">
        <v>153</v>
      </c>
      <c r="DN2025" s="0" t="s">
        <v>153</v>
      </c>
      <c r="EF2025" s="0" t="s">
        <v>153</v>
      </c>
    </row>
    <row r="2026" customFormat="false" ht="13.8" hidden="true" customHeight="false" outlineLevel="0" collapsed="false">
      <c r="A2026" s="0" t="s">
        <v>8958</v>
      </c>
      <c r="B2026" s="0" t="n">
        <v>78</v>
      </c>
      <c r="C2026" s="0" t="n">
        <v>492089</v>
      </c>
      <c r="D2026" s="0" t="s">
        <v>1586</v>
      </c>
      <c r="E2026" s="0" t="s">
        <v>719</v>
      </c>
      <c r="F2026" s="0" t="str">
        <f aca="false">CONCATENATE(D2026," ",LEFT(H2026,4),"T=",AU2026,"D=",AV2026,"R=",AW2026,"M=",AX2026,"L=",AY2026,"B=",AZ2026)</f>
        <v>ESMOND T=3D=0R=0M=0L=0B=0</v>
      </c>
      <c r="G2026" s="0" t="s">
        <v>202</v>
      </c>
      <c r="I2026" s="0" t="s">
        <v>8959</v>
      </c>
      <c r="J2026" s="0" t="s">
        <v>2284</v>
      </c>
      <c r="K2026" s="0" t="s">
        <v>160</v>
      </c>
      <c r="M2026" s="0" t="s">
        <v>8957</v>
      </c>
      <c r="N2026" s="0" t="str">
        <f aca="false">RIGHT(M2026,LEN(M2026)-FIND(" ",M2026))</f>
        <v>PORTER ST NE</v>
      </c>
      <c r="P2026" s="0" t="s">
        <v>145</v>
      </c>
      <c r="Q2026" s="0" t="s">
        <v>146</v>
      </c>
      <c r="R2026" s="0" t="n">
        <v>44483</v>
      </c>
      <c r="AD2026" s="0" t="s">
        <v>147</v>
      </c>
      <c r="AE2026" s="0" t="s">
        <v>148</v>
      </c>
      <c r="AF2026" s="0" t="s">
        <v>149</v>
      </c>
      <c r="AH2026" s="0" t="n">
        <v>14</v>
      </c>
      <c r="AI2026" s="0" t="n">
        <v>11</v>
      </c>
      <c r="AN2026" s="0" t="s">
        <v>145</v>
      </c>
      <c r="AO2026" s="0" t="s">
        <v>654</v>
      </c>
      <c r="AP2026" s="0" t="s">
        <v>655</v>
      </c>
      <c r="AQ2026" s="0" t="n">
        <v>9</v>
      </c>
      <c r="AR2026" s="0" t="n">
        <v>64</v>
      </c>
      <c r="AS2026" s="0" t="n">
        <v>32</v>
      </c>
      <c r="AU2026" s="0" t="n">
        <f aca="false">COUNTA($BA$1523:$EH$1523)</f>
        <v>3</v>
      </c>
      <c r="AV2026" s="0" t="n">
        <f aca="false">COUNTIF($BA$1523:$EH$1523,"D")</f>
        <v>0</v>
      </c>
      <c r="AW2026" s="0" t="n">
        <f aca="false">COUNTIF($BA$1523:$EH$1523,"R")</f>
        <v>0</v>
      </c>
      <c r="AX2026" s="0" t="n">
        <f aca="false">IF(BN2026="D",1,0)+IF(BO2026="D",1,0)+IF(BT2026="D",1,0)+IF(BU2026="D",1,0)+IF(BW2026="D",1,0)+IF(CC2026="D",1,0)+IF(CD2026="D",1,0)+IF(CE2026="D",1,0)+IF(CF2026="D",1,0)+IF(CL2026="D",1,0)+IF(CM2026="D",1,0)+IF(CQ2026="D",1,0)+IF(CR2026="D",1,0)+IF(CS2026="D",1,0)+IF(CW2026="D",1,0)+IF(CX2026="D",1,0)+IF(DD2026="D",1,0)+IF(DE2026="D",1,0)+IF(DJ2026="D",1,0)+IF(DK2026="D",1,0)+IF(DO2026="D",1,0)+IF(DP2026="D",1,0)+IF(DQ2026="D",1,0)+IF(DW2026="D",1,0)+IF(DZ2026="D",1,0)+IF(EH2026="D",1,0)</f>
        <v>0</v>
      </c>
      <c r="AY2026" s="0" t="n">
        <f aca="false">COUNTIF(DU2026:EH2026, "&lt;&gt;")</f>
        <v>0</v>
      </c>
      <c r="AZ2026" s="0" t="n">
        <f aca="false">IF(EH2026&lt;&gt;"",1,0)</f>
        <v>0</v>
      </c>
      <c r="BB2026" s="0" t="s">
        <v>152</v>
      </c>
    </row>
    <row r="2027" customFormat="false" ht="13.8" hidden="false" customHeight="false" outlineLevel="0" collapsed="false">
      <c r="A2027" s="0" t="s">
        <v>8960</v>
      </c>
      <c r="B2027" s="0" t="n">
        <v>78</v>
      </c>
      <c r="C2027" s="0" t="n">
        <v>477678</v>
      </c>
      <c r="D2027" s="0" t="s">
        <v>8961</v>
      </c>
      <c r="E2027" s="0" t="s">
        <v>5166</v>
      </c>
      <c r="F2027" s="0" t="str">
        <f aca="false">CONCATENATE(D2027," ",LEFT(H2027,4),"T=",AU2027,"D=",AV2027,"R=",AW2027,"M=",AX2027,"L=",AY2027,"B=",AZ2027)</f>
        <v>BURT T=27D=4R=1M=0L=2B=0</v>
      </c>
      <c r="G2027" s="0" t="s">
        <v>275</v>
      </c>
      <c r="I2027" s="0" t="s">
        <v>2912</v>
      </c>
      <c r="J2027" s="0" t="s">
        <v>386</v>
      </c>
      <c r="K2027" s="0" t="s">
        <v>160</v>
      </c>
      <c r="M2027" s="0" t="s">
        <v>8962</v>
      </c>
      <c r="N2027" s="0" t="str">
        <f aca="false">RIGHT(M2027,LEN(M2027)-FIND(" ",M2027))</f>
        <v>PORTER ST NE</v>
      </c>
      <c r="P2027" s="0" t="s">
        <v>145</v>
      </c>
      <c r="Q2027" s="0" t="s">
        <v>146</v>
      </c>
      <c r="R2027" s="0" t="n">
        <v>44483</v>
      </c>
      <c r="AD2027" s="0" t="s">
        <v>147</v>
      </c>
      <c r="AE2027" s="0" t="s">
        <v>148</v>
      </c>
      <c r="AF2027" s="0" t="s">
        <v>149</v>
      </c>
      <c r="AH2027" s="0" t="n">
        <v>14</v>
      </c>
      <c r="AI2027" s="0" t="n">
        <v>11</v>
      </c>
      <c r="AN2027" s="0" t="s">
        <v>145</v>
      </c>
      <c r="AO2027" s="0" t="s">
        <v>654</v>
      </c>
      <c r="AP2027" s="0" t="s">
        <v>655</v>
      </c>
      <c r="AQ2027" s="0" t="n">
        <v>9</v>
      </c>
      <c r="AR2027" s="0" t="n">
        <v>64</v>
      </c>
      <c r="AS2027" s="0" t="n">
        <v>32</v>
      </c>
      <c r="AU2027" s="0" t="n">
        <f aca="false">COUNTA($BA$1550:$EH$1550)</f>
        <v>27</v>
      </c>
      <c r="AV2027" s="0" t="n">
        <f aca="false">COUNTIF($BA$1550:$EH$1550,"D")</f>
        <v>4</v>
      </c>
      <c r="AW2027" s="0" t="n">
        <f aca="false">COUNTIF($BA$1550:$EH$1550,"R")</f>
        <v>1</v>
      </c>
      <c r="AX2027" s="0" t="n">
        <f aca="false">IF(BN2027="D",1,0)+IF(BO2027="D",1,0)+IF(BT2027="D",1,0)+IF(BU2027="D",1,0)+IF(BW2027="D",1,0)+IF(CC2027="D",1,0)+IF(CD2027="D",1,0)+IF(CE2027="D",1,0)+IF(CF2027="D",1,0)+IF(CL2027="D",1,0)+IF(CM2027="D",1,0)+IF(CQ2027="D",1,0)+IF(CR2027="D",1,0)+IF(CS2027="D",1,0)+IF(CW2027="D",1,0)+IF(CX2027="D",1,0)+IF(DD2027="D",1,0)+IF(DE2027="D",1,0)+IF(DJ2027="D",1,0)+IF(DK2027="D",1,0)+IF(DO2027="D",1,0)+IF(DP2027="D",1,0)+IF(DQ2027="D",1,0)+IF(DW2027="D",1,0)+IF(DZ2027="D",1,0)+IF(EH2027="D",1,0)</f>
        <v>0</v>
      </c>
      <c r="AY2027" s="0" t="n">
        <f aca="false">COUNTIF(DU2027:EH2027, "&lt;&gt;")</f>
        <v>2</v>
      </c>
      <c r="AZ2027" s="0" t="n">
        <f aca="false">IF(EH2027&lt;&gt;"",1,0)</f>
        <v>0</v>
      </c>
      <c r="BB2027" s="0" t="s">
        <v>152</v>
      </c>
      <c r="CY2027" s="0" t="s">
        <v>153</v>
      </c>
      <c r="DC2027" s="0" t="s">
        <v>153</v>
      </c>
      <c r="DL2027" s="0" t="s">
        <v>153</v>
      </c>
      <c r="DN2027" s="0" t="s">
        <v>153</v>
      </c>
      <c r="DU2027" s="0" t="s">
        <v>153</v>
      </c>
      <c r="EF2027" s="0" t="s">
        <v>153</v>
      </c>
    </row>
    <row r="2028" customFormat="false" ht="13.8" hidden="true" customHeight="false" outlineLevel="0" collapsed="false">
      <c r="A2028" s="0" t="s">
        <v>8963</v>
      </c>
      <c r="B2028" s="0" t="n">
        <v>78</v>
      </c>
      <c r="C2028" s="0" t="n">
        <v>471007</v>
      </c>
      <c r="D2028" s="0" t="s">
        <v>5289</v>
      </c>
      <c r="E2028" s="0" t="s">
        <v>8964</v>
      </c>
      <c r="F2028" s="0" t="str">
        <f aca="false">CONCATENATE(D2028," ",LEFT(H2028,4),"T=",AU2028,"D=",AV2028,"R=",AW2028,"M=",AX2028,"L=",AY2028,"B=",AZ2028)</f>
        <v>FAIRCHILD T=6D=0R=0M=0L=0B=0</v>
      </c>
      <c r="G2028" s="0" t="s">
        <v>140</v>
      </c>
      <c r="I2028" s="0" t="s">
        <v>8965</v>
      </c>
      <c r="J2028" s="0" t="s">
        <v>8966</v>
      </c>
      <c r="K2028" s="0" t="s">
        <v>160</v>
      </c>
      <c r="M2028" s="0" t="s">
        <v>8962</v>
      </c>
      <c r="N2028" s="0" t="str">
        <f aca="false">RIGHT(M2028,LEN(M2028)-FIND(" ",M2028))</f>
        <v>PORTER ST NE</v>
      </c>
      <c r="P2028" s="0" t="s">
        <v>145</v>
      </c>
      <c r="Q2028" s="0" t="s">
        <v>146</v>
      </c>
      <c r="R2028" s="0" t="n">
        <v>44483</v>
      </c>
      <c r="AD2028" s="0" t="s">
        <v>147</v>
      </c>
      <c r="AE2028" s="0" t="s">
        <v>148</v>
      </c>
      <c r="AF2028" s="0" t="s">
        <v>149</v>
      </c>
      <c r="AH2028" s="0" t="n">
        <v>14</v>
      </c>
      <c r="AI2028" s="0" t="n">
        <v>11</v>
      </c>
      <c r="AN2028" s="0" t="s">
        <v>145</v>
      </c>
      <c r="AO2028" s="0" t="s">
        <v>654</v>
      </c>
      <c r="AP2028" s="0" t="s">
        <v>655</v>
      </c>
      <c r="AQ2028" s="0" t="n">
        <v>9</v>
      </c>
      <c r="AR2028" s="0" t="n">
        <v>64</v>
      </c>
      <c r="AS2028" s="0" t="n">
        <v>32</v>
      </c>
      <c r="AU2028" s="0" t="n">
        <f aca="false">COUNTA($BA$1788:$EH$1788)</f>
        <v>6</v>
      </c>
      <c r="AV2028" s="0" t="n">
        <f aca="false">COUNTIF($BA$1788:$EH$1788,"D")</f>
        <v>0</v>
      </c>
      <c r="AW2028" s="0" t="n">
        <f aca="false">COUNTIF($BA$1788:$EH$1788,"R")</f>
        <v>0</v>
      </c>
      <c r="AX2028" s="0" t="n">
        <f aca="false">IF(BN2028="D",1,0)+IF(BO2028="D",1,0)+IF(BT2028="D",1,0)+IF(BU2028="D",1,0)+IF(BW2028="D",1,0)+IF(CC2028="D",1,0)+IF(CD2028="D",1,0)+IF(CE2028="D",1,0)+IF(CF2028="D",1,0)+IF(CL2028="D",1,0)+IF(CM2028="D",1,0)+IF(CQ2028="D",1,0)+IF(CR2028="D",1,0)+IF(CS2028="D",1,0)+IF(CW2028="D",1,0)+IF(CX2028="D",1,0)+IF(DD2028="D",1,0)+IF(DE2028="D",1,0)+IF(DJ2028="D",1,0)+IF(DK2028="D",1,0)+IF(DO2028="D",1,0)+IF(DP2028="D",1,0)+IF(DQ2028="D",1,0)+IF(DW2028="D",1,0)+IF(DZ2028="D",1,0)+IF(EH2028="D",1,0)</f>
        <v>0</v>
      </c>
      <c r="AY2028" s="0" t="n">
        <f aca="false">COUNTIF(DU2028:EH2028, "&lt;&gt;")</f>
        <v>0</v>
      </c>
      <c r="AZ2028" s="0" t="n">
        <f aca="false">IF(EH2028&lt;&gt;"",1,0)</f>
        <v>0</v>
      </c>
      <c r="BB2028" s="0" t="s">
        <v>152</v>
      </c>
    </row>
    <row r="2029" customFormat="false" ht="13.8" hidden="true" customHeight="false" outlineLevel="0" collapsed="false">
      <c r="A2029" s="0" t="s">
        <v>8967</v>
      </c>
      <c r="B2029" s="0" t="n">
        <v>78</v>
      </c>
      <c r="C2029" s="0" t="n">
        <v>408029</v>
      </c>
      <c r="D2029" s="0" t="s">
        <v>215</v>
      </c>
      <c r="E2029" s="0" t="s">
        <v>419</v>
      </c>
      <c r="F2029" s="0" t="str">
        <f aca="false">CONCATENATE(D2029," ",LEFT(H2029,4),"T=",AU2029,"D=",AV2029,"R=",AW2029,"M=",AX2029,"L=",AY2029,"B=",AZ2029)</f>
        <v>LEE T=1D=0R=0M=0L=0B=0</v>
      </c>
      <c r="G2029" s="0" t="s">
        <v>1269</v>
      </c>
      <c r="I2029" s="0" t="s">
        <v>8968</v>
      </c>
      <c r="J2029" s="0" t="s">
        <v>2394</v>
      </c>
      <c r="K2029" s="0" t="s">
        <v>143</v>
      </c>
      <c r="M2029" s="0" t="s">
        <v>8969</v>
      </c>
      <c r="N2029" s="0" t="str">
        <f aca="false">RIGHT(M2029,LEN(M2029)-FIND(" ",M2029))</f>
        <v>PORTER ST NE</v>
      </c>
      <c r="P2029" s="0" t="s">
        <v>145</v>
      </c>
      <c r="Q2029" s="0" t="s">
        <v>146</v>
      </c>
      <c r="R2029" s="0" t="n">
        <v>44483</v>
      </c>
      <c r="AD2029" s="0" t="s">
        <v>147</v>
      </c>
      <c r="AE2029" s="0" t="s">
        <v>148</v>
      </c>
      <c r="AF2029" s="0" t="s">
        <v>149</v>
      </c>
      <c r="AH2029" s="0" t="n">
        <v>14</v>
      </c>
      <c r="AI2029" s="0" t="n">
        <v>11</v>
      </c>
      <c r="AN2029" s="0" t="s">
        <v>145</v>
      </c>
      <c r="AO2029" s="0" t="s">
        <v>654</v>
      </c>
      <c r="AP2029" s="0" t="s">
        <v>655</v>
      </c>
      <c r="AQ2029" s="0" t="n">
        <v>9</v>
      </c>
      <c r="AR2029" s="0" t="n">
        <v>64</v>
      </c>
      <c r="AS2029" s="0" t="n">
        <v>32</v>
      </c>
      <c r="AU2029" s="0" t="n">
        <f aca="false">COUNTA($BA$2065:$EH$2065)</f>
        <v>1</v>
      </c>
      <c r="AV2029" s="0" t="n">
        <f aca="false">COUNTIF($BA$2065:$EH$2065,"D")</f>
        <v>0</v>
      </c>
      <c r="AW2029" s="0" t="n">
        <f aca="false">COUNTIF($BA$2065:$EH$2065,"R")</f>
        <v>0</v>
      </c>
      <c r="AX2029" s="0" t="n">
        <f aca="false">IF(BN2029="D",1,0)+IF(BO2029="D",1,0)+IF(BT2029="D",1,0)+IF(BU2029="D",1,0)+IF(BW2029="D",1,0)+IF(CC2029="D",1,0)+IF(CD2029="D",1,0)+IF(CE2029="D",1,0)+IF(CF2029="D",1,0)+IF(CL2029="D",1,0)+IF(CM2029="D",1,0)+IF(CQ2029="D",1,0)+IF(CR2029="D",1,0)+IF(CS2029="D",1,0)+IF(CW2029="D",1,0)+IF(CX2029="D",1,0)+IF(DD2029="D",1,0)+IF(DE2029="D",1,0)+IF(DJ2029="D",1,0)+IF(DK2029="D",1,0)+IF(DO2029="D",1,0)+IF(DP2029="D",1,0)+IF(DQ2029="D",1,0)+IF(DW2029="D",1,0)+IF(DZ2029="D",1,0)+IF(EH2029="D",1,0)</f>
        <v>0</v>
      </c>
      <c r="AY2029" s="0" t="n">
        <f aca="false">COUNTIF(DU2029:EH2029, "&lt;&gt;")</f>
        <v>0</v>
      </c>
      <c r="AZ2029" s="0" t="n">
        <f aca="false">IF(EH2029&lt;&gt;"",1,0)</f>
        <v>0</v>
      </c>
      <c r="BB2029" s="0" t="s">
        <v>152</v>
      </c>
    </row>
    <row r="2030" customFormat="false" ht="13.8" hidden="true" customHeight="false" outlineLevel="0" collapsed="false">
      <c r="A2030" s="0" t="s">
        <v>8970</v>
      </c>
      <c r="B2030" s="0" t="n">
        <v>78</v>
      </c>
      <c r="C2030" s="0" t="n">
        <v>455804</v>
      </c>
      <c r="D2030" s="0" t="s">
        <v>8971</v>
      </c>
      <c r="E2030" s="0" t="s">
        <v>8972</v>
      </c>
      <c r="F2030" s="0" t="str">
        <f aca="false">CONCATENATE(D2030," ",LEFT(H2030,4),"T=",AU2030,"D=",AV2030,"R=",AW2030,"M=",AX2030,"L=",AY2030,"B=",AZ2030)</f>
        <v>WILBERT T=1D=0R=0M=0L=0B=0</v>
      </c>
      <c r="G2030" s="0" t="s">
        <v>195</v>
      </c>
      <c r="I2030" s="0" t="s">
        <v>8973</v>
      </c>
      <c r="J2030" s="0" t="s">
        <v>4920</v>
      </c>
      <c r="K2030" s="0" t="s">
        <v>160</v>
      </c>
      <c r="M2030" s="0" t="s">
        <v>8974</v>
      </c>
      <c r="N2030" s="0" t="str">
        <f aca="false">RIGHT(M2030,LEN(M2030)-FIND(" ",M2030))</f>
        <v>PORTER ST NE</v>
      </c>
      <c r="P2030" s="0" t="s">
        <v>145</v>
      </c>
      <c r="Q2030" s="0" t="s">
        <v>146</v>
      </c>
      <c r="R2030" s="0" t="n">
        <v>44483</v>
      </c>
      <c r="AD2030" s="0" t="s">
        <v>147</v>
      </c>
      <c r="AE2030" s="0" t="s">
        <v>148</v>
      </c>
      <c r="AF2030" s="0" t="s">
        <v>149</v>
      </c>
      <c r="AH2030" s="0" t="n">
        <v>14</v>
      </c>
      <c r="AI2030" s="0" t="n">
        <v>11</v>
      </c>
      <c r="AN2030" s="0" t="s">
        <v>145</v>
      </c>
      <c r="AO2030" s="0" t="s">
        <v>654</v>
      </c>
      <c r="AP2030" s="0" t="s">
        <v>655</v>
      </c>
      <c r="AQ2030" s="0" t="n">
        <v>9</v>
      </c>
      <c r="AR2030" s="0" t="n">
        <v>64</v>
      </c>
      <c r="AS2030" s="0" t="n">
        <v>32</v>
      </c>
      <c r="AU2030" s="0" t="n">
        <f aca="false">COUNTA($BA$1577:$EH$1577)</f>
        <v>1</v>
      </c>
      <c r="AV2030" s="0" t="n">
        <f aca="false">COUNTIF($BA$1577:$EH$1577,"D")</f>
        <v>0</v>
      </c>
      <c r="AW2030" s="0" t="n">
        <f aca="false">COUNTIF($BA$1577:$EH$1577,"R")</f>
        <v>0</v>
      </c>
      <c r="AX2030" s="0" t="n">
        <f aca="false">IF(BN2030="D",1,0)+IF(BO2030="D",1,0)+IF(BT2030="D",1,0)+IF(BU2030="D",1,0)+IF(BW2030="D",1,0)+IF(CC2030="D",1,0)+IF(CD2030="D",1,0)+IF(CE2030="D",1,0)+IF(CF2030="D",1,0)+IF(CL2030="D",1,0)+IF(CM2030="D",1,0)+IF(CQ2030="D",1,0)+IF(CR2030="D",1,0)+IF(CS2030="D",1,0)+IF(CW2030="D",1,0)+IF(CX2030="D",1,0)+IF(DD2030="D",1,0)+IF(DE2030="D",1,0)+IF(DJ2030="D",1,0)+IF(DK2030="D",1,0)+IF(DO2030="D",1,0)+IF(DP2030="D",1,0)+IF(DQ2030="D",1,0)+IF(DW2030="D",1,0)+IF(DZ2030="D",1,0)+IF(EH2030="D",1,0)</f>
        <v>0</v>
      </c>
      <c r="AY2030" s="0" t="n">
        <f aca="false">COUNTIF(DU2030:EH2030, "&lt;&gt;")</f>
        <v>0</v>
      </c>
      <c r="AZ2030" s="0" t="n">
        <f aca="false">IF(EH2030&lt;&gt;"",1,0)</f>
        <v>0</v>
      </c>
      <c r="BB2030" s="0" t="s">
        <v>152</v>
      </c>
    </row>
    <row r="2031" customFormat="false" ht="13.8" hidden="true" customHeight="false" outlineLevel="0" collapsed="false">
      <c r="A2031" s="0" t="s">
        <v>8975</v>
      </c>
      <c r="B2031" s="0" t="n">
        <v>78</v>
      </c>
      <c r="C2031" s="0" t="n">
        <v>431934</v>
      </c>
      <c r="D2031" s="0" t="s">
        <v>3097</v>
      </c>
      <c r="E2031" s="0" t="s">
        <v>3404</v>
      </c>
      <c r="F2031" s="0" t="str">
        <f aca="false">CONCATENATE(D2031," ",LEFT(H2031,4),"T=",AU2031,"D=",AV2031,"R=",AW2031,"M=",AX2031,"L=",AY2031,"B=",AZ2031)</f>
        <v>ROBERTS T=1D=0R=0M=0L=0B=0</v>
      </c>
      <c r="G2031" s="0" t="s">
        <v>522</v>
      </c>
      <c r="I2031" s="0" t="s">
        <v>8976</v>
      </c>
      <c r="J2031" s="0" t="s">
        <v>8977</v>
      </c>
      <c r="K2031" s="0" t="s">
        <v>143</v>
      </c>
      <c r="M2031" s="0" t="s">
        <v>8978</v>
      </c>
      <c r="N2031" s="0" t="str">
        <f aca="false">RIGHT(M2031,LEN(M2031)-FIND(" ",M2031))</f>
        <v>PORTER ST NE</v>
      </c>
      <c r="P2031" s="0" t="s">
        <v>145</v>
      </c>
      <c r="Q2031" s="0" t="s">
        <v>146</v>
      </c>
      <c r="R2031" s="0" t="n">
        <v>44483</v>
      </c>
      <c r="AD2031" s="0" t="s">
        <v>147</v>
      </c>
      <c r="AE2031" s="0" t="s">
        <v>148</v>
      </c>
      <c r="AF2031" s="0" t="s">
        <v>149</v>
      </c>
      <c r="AH2031" s="0" t="n">
        <v>14</v>
      </c>
      <c r="AI2031" s="0" t="n">
        <v>11</v>
      </c>
      <c r="AN2031" s="0" t="s">
        <v>145</v>
      </c>
      <c r="AO2031" s="0" t="s">
        <v>654</v>
      </c>
      <c r="AP2031" s="0" t="s">
        <v>655</v>
      </c>
      <c r="AQ2031" s="0" t="n">
        <v>9</v>
      </c>
      <c r="AR2031" s="0" t="n">
        <v>64</v>
      </c>
      <c r="AS2031" s="0" t="n">
        <v>32</v>
      </c>
      <c r="AU2031" s="0" t="n">
        <f aca="false">COUNTA($BA$1906:$EH$1906)</f>
        <v>1</v>
      </c>
      <c r="AV2031" s="0" t="n">
        <f aca="false">COUNTIF($BA$1906:$EH$1906,"D")</f>
        <v>0</v>
      </c>
      <c r="AW2031" s="0" t="n">
        <f aca="false">COUNTIF($BA$1906:$EH$1906,"R")</f>
        <v>0</v>
      </c>
      <c r="AX2031" s="0" t="n">
        <f aca="false">IF(BN2031="D",1,0)+IF(BO2031="D",1,0)+IF(BT2031="D",1,0)+IF(BU2031="D",1,0)+IF(BW2031="D",1,0)+IF(CC2031="D",1,0)+IF(CD2031="D",1,0)+IF(CE2031="D",1,0)+IF(CF2031="D",1,0)+IF(CL2031="D",1,0)+IF(CM2031="D",1,0)+IF(CQ2031="D",1,0)+IF(CR2031="D",1,0)+IF(CS2031="D",1,0)+IF(CW2031="D",1,0)+IF(CX2031="D",1,0)+IF(DD2031="D",1,0)+IF(DE2031="D",1,0)+IF(DJ2031="D",1,0)+IF(DK2031="D",1,0)+IF(DO2031="D",1,0)+IF(DP2031="D",1,0)+IF(DQ2031="D",1,0)+IF(DW2031="D",1,0)+IF(DZ2031="D",1,0)+IF(EH2031="D",1,0)</f>
        <v>0</v>
      </c>
      <c r="AY2031" s="0" t="n">
        <f aca="false">COUNTIF(DU2031:EH2031, "&lt;&gt;")</f>
        <v>0</v>
      </c>
      <c r="AZ2031" s="0" t="n">
        <f aca="false">IF(EH2031&lt;&gt;"",1,0)</f>
        <v>0</v>
      </c>
      <c r="BB2031" s="0" t="s">
        <v>152</v>
      </c>
    </row>
    <row r="2032" customFormat="false" ht="13.8" hidden="true" customHeight="false" outlineLevel="0" collapsed="false">
      <c r="A2032" s="0" t="s">
        <v>8979</v>
      </c>
      <c r="B2032" s="0" t="n">
        <v>78</v>
      </c>
      <c r="C2032" s="0" t="n">
        <v>475146</v>
      </c>
      <c r="D2032" s="0" t="s">
        <v>824</v>
      </c>
      <c r="E2032" s="0" t="s">
        <v>849</v>
      </c>
      <c r="F2032" s="0" t="str">
        <f aca="false">CONCATENATE(D2032," ",LEFT(H2032,4),"T=",AU2032,"D=",AV2032,"R=",AW2032,"M=",AX2032,"L=",AY2032,"B=",AZ2032)</f>
        <v>SCOTT T=2D=0R=0M=0L=1B=0</v>
      </c>
      <c r="G2032" s="0" t="s">
        <v>8980</v>
      </c>
      <c r="I2032" s="0" t="s">
        <v>8981</v>
      </c>
      <c r="J2032" s="0" t="s">
        <v>8982</v>
      </c>
      <c r="K2032" s="0" t="s">
        <v>160</v>
      </c>
      <c r="M2032" s="0" t="s">
        <v>8983</v>
      </c>
      <c r="N2032" s="0" t="str">
        <f aca="false">RIGHT(M2032,LEN(M2032)-FIND(" ",M2032))</f>
        <v>PORTER ST NE</v>
      </c>
      <c r="P2032" s="0" t="s">
        <v>145</v>
      </c>
      <c r="Q2032" s="0" t="s">
        <v>146</v>
      </c>
      <c r="R2032" s="0" t="n">
        <v>44483</v>
      </c>
      <c r="AD2032" s="0" t="s">
        <v>147</v>
      </c>
      <c r="AE2032" s="0" t="s">
        <v>148</v>
      </c>
      <c r="AF2032" s="0" t="s">
        <v>149</v>
      </c>
      <c r="AH2032" s="0" t="n">
        <v>14</v>
      </c>
      <c r="AI2032" s="0" t="n">
        <v>11</v>
      </c>
      <c r="AN2032" s="0" t="s">
        <v>145</v>
      </c>
      <c r="AO2032" s="0" t="s">
        <v>654</v>
      </c>
      <c r="AP2032" s="0" t="s">
        <v>655</v>
      </c>
      <c r="AQ2032" s="0" t="n">
        <v>9</v>
      </c>
      <c r="AR2032" s="0" t="n">
        <v>64</v>
      </c>
      <c r="AS2032" s="0" t="n">
        <v>32</v>
      </c>
      <c r="AU2032" s="0" t="n">
        <f aca="false">COUNTA($BA$1801:$EH$1801)</f>
        <v>2</v>
      </c>
      <c r="AV2032" s="0" t="n">
        <f aca="false">COUNTIF($BA$1801:$EH$1801,"D")</f>
        <v>0</v>
      </c>
      <c r="AW2032" s="0" t="n">
        <f aca="false">COUNTIF($BA$1801:$EH$1801,"R")</f>
        <v>0</v>
      </c>
      <c r="AX2032" s="0" t="n">
        <f aca="false">IF(BN2032="D",1,0)+IF(BO2032="D",1,0)+IF(BT2032="D",1,0)+IF(BU2032="D",1,0)+IF(BW2032="D",1,0)+IF(CC2032="D",1,0)+IF(CD2032="D",1,0)+IF(CE2032="D",1,0)+IF(CF2032="D",1,0)+IF(CL2032="D",1,0)+IF(CM2032="D",1,0)+IF(CQ2032="D",1,0)+IF(CR2032="D",1,0)+IF(CS2032="D",1,0)+IF(CW2032="D",1,0)+IF(CX2032="D",1,0)+IF(DD2032="D",1,0)+IF(DE2032="D",1,0)+IF(DJ2032="D",1,0)+IF(DK2032="D",1,0)+IF(DO2032="D",1,0)+IF(DP2032="D",1,0)+IF(DQ2032="D",1,0)+IF(DW2032="D",1,0)+IF(DZ2032="D",1,0)+IF(EH2032="D",1,0)</f>
        <v>0</v>
      </c>
      <c r="AY2032" s="0" t="n">
        <f aca="false">COUNTIF(DU2032:EH2032, "&lt;&gt;")</f>
        <v>1</v>
      </c>
      <c r="AZ2032" s="0" t="n">
        <f aca="false">IF(EH2032&lt;&gt;"",1,0)</f>
        <v>0</v>
      </c>
      <c r="BB2032" s="0" t="s">
        <v>152</v>
      </c>
      <c r="BL2032" s="0" t="s">
        <v>153</v>
      </c>
      <c r="BS2032" s="0" t="s">
        <v>153</v>
      </c>
      <c r="BV2032" s="0" t="s">
        <v>153</v>
      </c>
      <c r="BY2032" s="0" t="s">
        <v>175</v>
      </c>
      <c r="CA2032" s="0" t="s">
        <v>153</v>
      </c>
      <c r="CN2032" s="0" t="s">
        <v>153</v>
      </c>
      <c r="CP2032" s="0" t="s">
        <v>153</v>
      </c>
      <c r="CY2032" s="0" t="s">
        <v>153</v>
      </c>
      <c r="DN2032" s="0" t="s">
        <v>153</v>
      </c>
      <c r="DU2032" s="0" t="s">
        <v>153</v>
      </c>
    </row>
    <row r="2033" customFormat="false" ht="13.8" hidden="true" customHeight="false" outlineLevel="0" collapsed="false">
      <c r="A2033" s="0" t="s">
        <v>8984</v>
      </c>
      <c r="B2033" s="0" t="n">
        <v>78</v>
      </c>
      <c r="C2033" s="0" t="n">
        <v>465192</v>
      </c>
      <c r="D2033" s="0" t="s">
        <v>8985</v>
      </c>
      <c r="E2033" s="0" t="s">
        <v>1152</v>
      </c>
      <c r="F2033" s="0" t="str">
        <f aca="false">CONCATENATE(D2033," ",LEFT(H2033,4),"T=",AU2033,"D=",AV2033,"R=",AW2033,"M=",AX2033,"L=",AY2033,"B=",AZ2033)</f>
        <v>HUSK T=1D=0R=0M=0L=0B=0</v>
      </c>
      <c r="G2033" s="0" t="s">
        <v>195</v>
      </c>
      <c r="I2033" s="0" t="s">
        <v>8986</v>
      </c>
      <c r="J2033" s="0" t="s">
        <v>8987</v>
      </c>
      <c r="K2033" s="0" t="s">
        <v>160</v>
      </c>
      <c r="M2033" s="0" t="s">
        <v>8988</v>
      </c>
      <c r="N2033" s="0" t="str">
        <f aca="false">RIGHT(M2033,LEN(M2033)-FIND(" ",M2033))</f>
        <v>PORTER ST NE</v>
      </c>
      <c r="O2033" s="0" t="s">
        <v>868</v>
      </c>
      <c r="P2033" s="0" t="s">
        <v>145</v>
      </c>
      <c r="Q2033" s="0" t="s">
        <v>146</v>
      </c>
      <c r="R2033" s="0" t="n">
        <v>44483</v>
      </c>
      <c r="AD2033" s="0" t="s">
        <v>147</v>
      </c>
      <c r="AE2033" s="0" t="s">
        <v>148</v>
      </c>
      <c r="AF2033" s="0" t="s">
        <v>149</v>
      </c>
      <c r="AH2033" s="0" t="n">
        <v>14</v>
      </c>
      <c r="AI2033" s="0" t="n">
        <v>11</v>
      </c>
      <c r="AN2033" s="0" t="s">
        <v>145</v>
      </c>
      <c r="AO2033" s="0" t="s">
        <v>654</v>
      </c>
      <c r="AP2033" s="0" t="s">
        <v>655</v>
      </c>
      <c r="AQ2033" s="0" t="n">
        <v>9</v>
      </c>
      <c r="AR2033" s="0" t="n">
        <v>64</v>
      </c>
      <c r="AS2033" s="0" t="n">
        <v>32</v>
      </c>
      <c r="AU2033" s="0" t="n">
        <f aca="false">COUNTA($BA$1756:$EH$1756)</f>
        <v>1</v>
      </c>
      <c r="AV2033" s="0" t="n">
        <f aca="false">COUNTIF($BA$1756:$EH$1756,"D")</f>
        <v>0</v>
      </c>
      <c r="AW2033" s="0" t="n">
        <f aca="false">COUNTIF($BA$1756:$EH$1756,"R")</f>
        <v>0</v>
      </c>
      <c r="AX2033" s="0" t="n">
        <f aca="false">IF(BN2033="D",1,0)+IF(BO2033="D",1,0)+IF(BT2033="D",1,0)+IF(BU2033="D",1,0)+IF(BW2033="D",1,0)+IF(CC2033="D",1,0)+IF(CD2033="D",1,0)+IF(CE2033="D",1,0)+IF(CF2033="D",1,0)+IF(CL2033="D",1,0)+IF(CM2033="D",1,0)+IF(CQ2033="D",1,0)+IF(CR2033="D",1,0)+IF(CS2033="D",1,0)+IF(CW2033="D",1,0)+IF(CX2033="D",1,0)+IF(DD2033="D",1,0)+IF(DE2033="D",1,0)+IF(DJ2033="D",1,0)+IF(DK2033="D",1,0)+IF(DO2033="D",1,0)+IF(DP2033="D",1,0)+IF(DQ2033="D",1,0)+IF(DW2033="D",1,0)+IF(DZ2033="D",1,0)+IF(EH2033="D",1,0)</f>
        <v>0</v>
      </c>
      <c r="AY2033" s="0" t="n">
        <f aca="false">COUNTIF(DU2033:EH2033, "&lt;&gt;")</f>
        <v>0</v>
      </c>
      <c r="AZ2033" s="0" t="n">
        <f aca="false">IF(EH2033&lt;&gt;"",1,0)</f>
        <v>0</v>
      </c>
      <c r="BB2033" s="0" t="s">
        <v>152</v>
      </c>
      <c r="BL2033" s="0" t="s">
        <v>153</v>
      </c>
      <c r="CP2033" s="0" t="s">
        <v>153</v>
      </c>
      <c r="CV2033" s="0" t="s">
        <v>153</v>
      </c>
      <c r="CY2033" s="0" t="s">
        <v>153</v>
      </c>
      <c r="DC2033" s="0" t="s">
        <v>153</v>
      </c>
      <c r="DN2033" s="0" t="s">
        <v>153</v>
      </c>
    </row>
    <row r="2034" customFormat="false" ht="13.8" hidden="true" customHeight="false" outlineLevel="0" collapsed="false">
      <c r="A2034" s="0" t="s">
        <v>8989</v>
      </c>
      <c r="B2034" s="0" t="n">
        <v>78</v>
      </c>
      <c r="C2034" s="0" t="n">
        <v>360765</v>
      </c>
      <c r="D2034" s="0" t="s">
        <v>8621</v>
      </c>
      <c r="E2034" s="0" t="s">
        <v>379</v>
      </c>
      <c r="F2034" s="0" t="str">
        <f aca="false">CONCATENATE(D2034," ",LEFT(H2034,4),"T=",AU2034,"D=",AV2034,"R=",AW2034,"M=",AX2034,"L=",AY2034,"B=",AZ2034)</f>
        <v>RUSH T=7D=0R=0M=0L=0B=0</v>
      </c>
      <c r="G2034" s="0" t="s">
        <v>195</v>
      </c>
      <c r="I2034" s="0" t="s">
        <v>8990</v>
      </c>
      <c r="J2034" s="0" t="s">
        <v>1554</v>
      </c>
      <c r="K2034" s="0" t="s">
        <v>143</v>
      </c>
      <c r="M2034" s="0" t="s">
        <v>8991</v>
      </c>
      <c r="N2034" s="0" t="str">
        <f aca="false">RIGHT(M2034,LEN(M2034)-FIND(" ",M2034))</f>
        <v>PORTER ST NE</v>
      </c>
      <c r="P2034" s="0" t="s">
        <v>145</v>
      </c>
      <c r="Q2034" s="0" t="s">
        <v>146</v>
      </c>
      <c r="R2034" s="0" t="n">
        <v>44483</v>
      </c>
      <c r="AD2034" s="0" t="s">
        <v>147</v>
      </c>
      <c r="AE2034" s="0" t="s">
        <v>148</v>
      </c>
      <c r="AF2034" s="0" t="s">
        <v>149</v>
      </c>
      <c r="AH2034" s="0" t="n">
        <v>14</v>
      </c>
      <c r="AI2034" s="0" t="n">
        <v>11</v>
      </c>
      <c r="AN2034" s="0" t="s">
        <v>145</v>
      </c>
      <c r="AO2034" s="0" t="s">
        <v>654</v>
      </c>
      <c r="AP2034" s="0" t="s">
        <v>655</v>
      </c>
      <c r="AQ2034" s="0" t="n">
        <v>9</v>
      </c>
      <c r="AR2034" s="0" t="n">
        <v>64</v>
      </c>
      <c r="AS2034" s="0" t="n">
        <v>32</v>
      </c>
      <c r="AU2034" s="0" t="n">
        <f aca="false">COUNTA($BA$1360:$EH$1360)</f>
        <v>7</v>
      </c>
      <c r="AV2034" s="0" t="n">
        <f aca="false">COUNTIF($BA$1360:$EH$1360,"D")</f>
        <v>0</v>
      </c>
      <c r="AW2034" s="0" t="n">
        <f aca="false">COUNTIF($BA$1360:$EH$1360,"R")</f>
        <v>0</v>
      </c>
      <c r="AX2034" s="0" t="n">
        <f aca="false">IF(BN2034="D",1,0)+IF(BO2034="D",1,0)+IF(BT2034="D",1,0)+IF(BU2034="D",1,0)+IF(BW2034="D",1,0)+IF(CC2034="D",1,0)+IF(CD2034="D",1,0)+IF(CE2034="D",1,0)+IF(CF2034="D",1,0)+IF(CL2034="D",1,0)+IF(CM2034="D",1,0)+IF(CQ2034="D",1,0)+IF(CR2034="D",1,0)+IF(CS2034="D",1,0)+IF(CW2034="D",1,0)+IF(CX2034="D",1,0)+IF(DD2034="D",1,0)+IF(DE2034="D",1,0)+IF(DJ2034="D",1,0)+IF(DK2034="D",1,0)+IF(DO2034="D",1,0)+IF(DP2034="D",1,0)+IF(DQ2034="D",1,0)+IF(DW2034="D",1,0)+IF(DZ2034="D",1,0)+IF(EH2034="D",1,0)</f>
        <v>0</v>
      </c>
      <c r="AY2034" s="0" t="n">
        <f aca="false">COUNTIF(DU2034:EH2034, "&lt;&gt;")</f>
        <v>0</v>
      </c>
      <c r="AZ2034" s="0" t="n">
        <f aca="false">IF(EH2034&lt;&gt;"",1,0)</f>
        <v>0</v>
      </c>
      <c r="BB2034" s="0" t="s">
        <v>152</v>
      </c>
      <c r="CA2034" s="0" t="s">
        <v>153</v>
      </c>
      <c r="CP2034" s="0" t="s">
        <v>153</v>
      </c>
      <c r="DN2034" s="0" t="s">
        <v>153</v>
      </c>
    </row>
    <row r="2035" customFormat="false" ht="13.8" hidden="false" customHeight="false" outlineLevel="0" collapsed="false">
      <c r="A2035" s="0" t="s">
        <v>8992</v>
      </c>
      <c r="B2035" s="0" t="n">
        <v>78</v>
      </c>
      <c r="C2035" s="0" t="n">
        <v>408701</v>
      </c>
      <c r="D2035" s="0" t="s">
        <v>8993</v>
      </c>
      <c r="E2035" s="0" t="s">
        <v>7047</v>
      </c>
      <c r="F2035" s="0" t="str">
        <f aca="false">CONCATENATE(D2035," ",LEFT(H2035,4),"T=",AU2035,"D=",AV2035,"R=",AW2035,"M=",AX2035,"L=",AY2035,"B=",AZ2035)</f>
        <v>MCFARLAND T=2D=0R=0M=1L=2B=0</v>
      </c>
      <c r="G2035" s="0" t="s">
        <v>8994</v>
      </c>
      <c r="I2035" s="0" t="s">
        <v>8995</v>
      </c>
      <c r="J2035" s="0" t="s">
        <v>8996</v>
      </c>
      <c r="K2035" s="0" t="s">
        <v>160</v>
      </c>
      <c r="L2035" s="0" t="s">
        <v>209</v>
      </c>
      <c r="M2035" s="0" t="s">
        <v>8997</v>
      </c>
      <c r="N2035" s="0" t="str">
        <f aca="false">RIGHT(M2035,LEN(M2035)-FIND(" ",M2035))</f>
        <v>PORTER ST NE</v>
      </c>
      <c r="P2035" s="0" t="s">
        <v>145</v>
      </c>
      <c r="Q2035" s="0" t="s">
        <v>146</v>
      </c>
      <c r="R2035" s="0" t="n">
        <v>44483</v>
      </c>
      <c r="AD2035" s="0" t="s">
        <v>147</v>
      </c>
      <c r="AE2035" s="0" t="s">
        <v>148</v>
      </c>
      <c r="AF2035" s="0" t="s">
        <v>149</v>
      </c>
      <c r="AH2035" s="0" t="n">
        <v>14</v>
      </c>
      <c r="AI2035" s="0" t="n">
        <v>11</v>
      </c>
      <c r="AN2035" s="0" t="s">
        <v>145</v>
      </c>
      <c r="AO2035" s="0" t="s">
        <v>654</v>
      </c>
      <c r="AP2035" s="0" t="s">
        <v>655</v>
      </c>
      <c r="AQ2035" s="0" t="n">
        <v>9</v>
      </c>
      <c r="AR2035" s="0" t="n">
        <v>64</v>
      </c>
      <c r="AS2035" s="0" t="n">
        <v>32</v>
      </c>
      <c r="AU2035" s="0" t="n">
        <f aca="false">COUNTA($BA$1454:$EH$1454)</f>
        <v>2</v>
      </c>
      <c r="AV2035" s="0" t="n">
        <f aca="false">COUNTIF($BA$1454:$EH$1454,"D")</f>
        <v>0</v>
      </c>
      <c r="AW2035" s="0" t="n">
        <f aca="false">COUNTIF($BA$1454:$EH$1454,"R")</f>
        <v>0</v>
      </c>
      <c r="AX2035" s="0" t="n">
        <f aca="false">IF(BN2035="D",1,0)+IF(BO2035="D",1,0)+IF(BT2035="D",1,0)+IF(BU2035="D",1,0)+IF(BW2035="D",1,0)+IF(CC2035="D",1,0)+IF(CD2035="D",1,0)+IF(CE2035="D",1,0)+IF(CF2035="D",1,0)+IF(CL2035="D",1,0)+IF(CM2035="D",1,0)+IF(CQ2035="D",1,0)+IF(CR2035="D",1,0)+IF(CS2035="D",1,0)+IF(CW2035="D",1,0)+IF(CX2035="D",1,0)+IF(DD2035="D",1,0)+IF(DE2035="D",1,0)+IF(DJ2035="D",1,0)+IF(DK2035="D",1,0)+IF(DO2035="D",1,0)+IF(DP2035="D",1,0)+IF(DQ2035="D",1,0)+IF(DW2035="D",1,0)+IF(DZ2035="D",1,0)+IF(EH2035="D",1,0)</f>
        <v>1</v>
      </c>
      <c r="AY2035" s="0" t="n">
        <f aca="false">COUNTIF(DU2035:EH2035, "&lt;&gt;")</f>
        <v>2</v>
      </c>
      <c r="AZ2035" s="0" t="n">
        <f aca="false">IF(EH2035&lt;&gt;"",1,0)</f>
        <v>0</v>
      </c>
      <c r="BB2035" s="0" t="s">
        <v>152</v>
      </c>
      <c r="DN2035" s="0" t="s">
        <v>153</v>
      </c>
      <c r="DW2035" s="0" t="s">
        <v>175</v>
      </c>
      <c r="ED2035" s="0" t="s">
        <v>209</v>
      </c>
    </row>
    <row r="2036" customFormat="false" ht="13.8" hidden="true" customHeight="false" outlineLevel="0" collapsed="false">
      <c r="A2036" s="0" t="s">
        <v>8998</v>
      </c>
      <c r="B2036" s="0" t="n">
        <v>78</v>
      </c>
      <c r="C2036" s="0" t="n">
        <v>447532</v>
      </c>
      <c r="D2036" s="0" t="s">
        <v>8999</v>
      </c>
      <c r="E2036" s="0" t="s">
        <v>517</v>
      </c>
      <c r="F2036" s="0" t="str">
        <f aca="false">CONCATENATE(D2036," ",LEFT(H2036,4),"T=",AU2036,"D=",AV2036,"R=",AW2036,"M=",AX2036,"L=",AY2036,"B=",AZ2036)</f>
        <v>PETRIC T=1D=0R=0M=0L=1B=0</v>
      </c>
      <c r="I2036" s="0" t="s">
        <v>9000</v>
      </c>
      <c r="J2036" s="0" t="s">
        <v>6562</v>
      </c>
      <c r="K2036" s="0" t="s">
        <v>160</v>
      </c>
      <c r="M2036" s="0" t="s">
        <v>9001</v>
      </c>
      <c r="N2036" s="0" t="str">
        <f aca="false">RIGHT(M2036,LEN(M2036)-FIND(" ",M2036))</f>
        <v>PORTER ST NE</v>
      </c>
      <c r="P2036" s="0" t="s">
        <v>145</v>
      </c>
      <c r="Q2036" s="0" t="s">
        <v>146</v>
      </c>
      <c r="R2036" s="0" t="n">
        <v>44483</v>
      </c>
      <c r="AD2036" s="0" t="s">
        <v>147</v>
      </c>
      <c r="AE2036" s="0" t="s">
        <v>148</v>
      </c>
      <c r="AF2036" s="0" t="s">
        <v>149</v>
      </c>
      <c r="AH2036" s="0" t="n">
        <v>14</v>
      </c>
      <c r="AI2036" s="0" t="n">
        <v>11</v>
      </c>
      <c r="AN2036" s="0" t="s">
        <v>145</v>
      </c>
      <c r="AO2036" s="0" t="s">
        <v>654</v>
      </c>
      <c r="AP2036" s="0" t="s">
        <v>655</v>
      </c>
      <c r="AQ2036" s="0" t="n">
        <v>9</v>
      </c>
      <c r="AR2036" s="0" t="n">
        <v>64</v>
      </c>
      <c r="AS2036" s="0" t="n">
        <v>32</v>
      </c>
      <c r="AU2036" s="0" t="n">
        <f aca="false">COUNTA($BA$1205:$EH$1205)</f>
        <v>1</v>
      </c>
      <c r="AV2036" s="0" t="n">
        <f aca="false">COUNTIF($BA$1205:$EH$1205,"D")</f>
        <v>0</v>
      </c>
      <c r="AW2036" s="0" t="n">
        <f aca="false">COUNTIF($BA$1205:$EH$1205,"R")</f>
        <v>0</v>
      </c>
      <c r="AX2036" s="0" t="n">
        <f aca="false">IF(BN2036="D",1,0)+IF(BO2036="D",1,0)+IF(BT2036="D",1,0)+IF(BU2036="D",1,0)+IF(BW2036="D",1,0)+IF(CC2036="D",1,0)+IF(CD2036="D",1,0)+IF(CE2036="D",1,0)+IF(CF2036="D",1,0)+IF(CL2036="D",1,0)+IF(CM2036="D",1,0)+IF(CQ2036="D",1,0)+IF(CR2036="D",1,0)+IF(CS2036="D",1,0)+IF(CW2036="D",1,0)+IF(CX2036="D",1,0)+IF(DD2036="D",1,0)+IF(DE2036="D",1,0)+IF(DJ2036="D",1,0)+IF(DK2036="D",1,0)+IF(DO2036="D",1,0)+IF(DP2036="D",1,0)+IF(DQ2036="D",1,0)+IF(DW2036="D",1,0)+IF(DZ2036="D",1,0)+IF(EH2036="D",1,0)</f>
        <v>0</v>
      </c>
      <c r="AY2036" s="0" t="n">
        <f aca="false">COUNTIF(DU2036:EH2036, "&lt;&gt;")</f>
        <v>1</v>
      </c>
      <c r="AZ2036" s="0" t="n">
        <f aca="false">IF(EH2036&lt;&gt;"",1,0)</f>
        <v>0</v>
      </c>
      <c r="BB2036" s="0" t="s">
        <v>152</v>
      </c>
      <c r="BR2036" s="0" t="s">
        <v>175</v>
      </c>
      <c r="BS2036" s="0" t="s">
        <v>153</v>
      </c>
      <c r="BT2036" s="0" t="s">
        <v>153</v>
      </c>
      <c r="DN2036" s="0" t="s">
        <v>153</v>
      </c>
      <c r="EF2036" s="0" t="s">
        <v>153</v>
      </c>
    </row>
    <row r="2037" customFormat="false" ht="13.8" hidden="true" customHeight="false" outlineLevel="0" collapsed="false">
      <c r="A2037" s="0" t="s">
        <v>9002</v>
      </c>
      <c r="B2037" s="0" t="n">
        <v>78</v>
      </c>
      <c r="C2037" s="0" t="n">
        <v>452799</v>
      </c>
      <c r="D2037" s="0" t="s">
        <v>3193</v>
      </c>
      <c r="E2037" s="0" t="s">
        <v>685</v>
      </c>
      <c r="F2037" s="0" t="str">
        <f aca="false">CONCATENATE(D2037," ",LEFT(H2037,4),"T=",AU2037,"D=",AV2037,"R=",AW2037,"M=",AX2037,"L=",AY2037,"B=",AZ2037)</f>
        <v>CARTER T=1D=0R=0M=0L=1B=0</v>
      </c>
      <c r="G2037" s="0" t="s">
        <v>195</v>
      </c>
      <c r="I2037" s="0" t="s">
        <v>9003</v>
      </c>
      <c r="J2037" s="0" t="s">
        <v>8878</v>
      </c>
      <c r="K2037" s="0" t="s">
        <v>160</v>
      </c>
      <c r="M2037" s="0" t="s">
        <v>9001</v>
      </c>
      <c r="N2037" s="0" t="str">
        <f aca="false">RIGHT(M2037,LEN(M2037)-FIND(" ",M2037))</f>
        <v>PORTER ST NE</v>
      </c>
      <c r="P2037" s="0" t="s">
        <v>145</v>
      </c>
      <c r="Q2037" s="0" t="s">
        <v>146</v>
      </c>
      <c r="R2037" s="0" t="n">
        <v>44483</v>
      </c>
      <c r="AD2037" s="0" t="s">
        <v>147</v>
      </c>
      <c r="AE2037" s="0" t="s">
        <v>148</v>
      </c>
      <c r="AF2037" s="0" t="s">
        <v>149</v>
      </c>
      <c r="AH2037" s="0" t="n">
        <v>14</v>
      </c>
      <c r="AI2037" s="0" t="n">
        <v>11</v>
      </c>
      <c r="AN2037" s="0" t="s">
        <v>145</v>
      </c>
      <c r="AO2037" s="0" t="s">
        <v>654</v>
      </c>
      <c r="AP2037" s="0" t="s">
        <v>655</v>
      </c>
      <c r="AQ2037" s="0" t="n">
        <v>9</v>
      </c>
      <c r="AR2037" s="0" t="n">
        <v>64</v>
      </c>
      <c r="AS2037" s="0" t="n">
        <v>32</v>
      </c>
      <c r="AU2037" s="0" t="n">
        <f aca="false">COUNTA($BA$2030:$EH$2030)</f>
        <v>1</v>
      </c>
      <c r="AV2037" s="0" t="n">
        <f aca="false">COUNTIF($BA$2030:$EH$2030,"D")</f>
        <v>0</v>
      </c>
      <c r="AW2037" s="0" t="n">
        <f aca="false">COUNTIF($BA$2030:$EH$2030,"R")</f>
        <v>0</v>
      </c>
      <c r="AX2037" s="0" t="n">
        <f aca="false">IF(BN2037="D",1,0)+IF(BO2037="D",1,0)+IF(BT2037="D",1,0)+IF(BU2037="D",1,0)+IF(BW2037="D",1,0)+IF(CC2037="D",1,0)+IF(CD2037="D",1,0)+IF(CE2037="D",1,0)+IF(CF2037="D",1,0)+IF(CL2037="D",1,0)+IF(CM2037="D",1,0)+IF(CQ2037="D",1,0)+IF(CR2037="D",1,0)+IF(CS2037="D",1,0)+IF(CW2037="D",1,0)+IF(CX2037="D",1,0)+IF(DD2037="D",1,0)+IF(DE2037="D",1,0)+IF(DJ2037="D",1,0)+IF(DK2037="D",1,0)+IF(DO2037="D",1,0)+IF(DP2037="D",1,0)+IF(DQ2037="D",1,0)+IF(DW2037="D",1,0)+IF(DZ2037="D",1,0)+IF(EH2037="D",1,0)</f>
        <v>0</v>
      </c>
      <c r="AY2037" s="0" t="n">
        <f aca="false">COUNTIF(DU2037:EH2037, "&lt;&gt;")</f>
        <v>1</v>
      </c>
      <c r="AZ2037" s="0" t="n">
        <f aca="false">IF(EH2037&lt;&gt;"",1,0)</f>
        <v>0</v>
      </c>
      <c r="BB2037" s="0" t="s">
        <v>152</v>
      </c>
      <c r="DN2037" s="0" t="s">
        <v>153</v>
      </c>
      <c r="EF2037" s="0" t="s">
        <v>153</v>
      </c>
    </row>
    <row r="2038" customFormat="false" ht="13.8" hidden="false" customHeight="false" outlineLevel="0" collapsed="false">
      <c r="A2038" s="0" t="s">
        <v>9004</v>
      </c>
      <c r="B2038" s="0" t="n">
        <v>78</v>
      </c>
      <c r="C2038" s="0" t="n">
        <v>381001</v>
      </c>
      <c r="D2038" s="0" t="s">
        <v>9005</v>
      </c>
      <c r="E2038" s="0" t="s">
        <v>9006</v>
      </c>
      <c r="F2038" s="0" t="str">
        <f aca="false">CONCATENATE(D2038," ",LEFT(H2038,4),"T=",AU2038,"D=",AV2038,"R=",AW2038,"M=",AX2038,"L=",AY2038,"B=",AZ2038)</f>
        <v>GARDNER T=6D=0R=1M=1L=6B=0</v>
      </c>
      <c r="G2038" s="0" t="s">
        <v>164</v>
      </c>
      <c r="I2038" s="0" t="s">
        <v>9007</v>
      </c>
      <c r="J2038" s="0" t="s">
        <v>9008</v>
      </c>
      <c r="K2038" s="0" t="s">
        <v>160</v>
      </c>
      <c r="L2038" s="0" t="s">
        <v>175</v>
      </c>
      <c r="M2038" s="0" t="s">
        <v>9009</v>
      </c>
      <c r="N2038" s="0" t="str">
        <f aca="false">RIGHT(M2038,LEN(M2038)-FIND(" ",M2038))</f>
        <v>PORTER ST NE</v>
      </c>
      <c r="P2038" s="0" t="s">
        <v>145</v>
      </c>
      <c r="Q2038" s="0" t="s">
        <v>146</v>
      </c>
      <c r="R2038" s="0" t="n">
        <v>44483</v>
      </c>
      <c r="AD2038" s="0" t="s">
        <v>147</v>
      </c>
      <c r="AE2038" s="0" t="s">
        <v>148</v>
      </c>
      <c r="AF2038" s="0" t="s">
        <v>149</v>
      </c>
      <c r="AH2038" s="0" t="n">
        <v>14</v>
      </c>
      <c r="AI2038" s="0" t="n">
        <v>11</v>
      </c>
      <c r="AN2038" s="0" t="s">
        <v>145</v>
      </c>
      <c r="AO2038" s="0" t="s">
        <v>654</v>
      </c>
      <c r="AP2038" s="0" t="s">
        <v>655</v>
      </c>
      <c r="AQ2038" s="0" t="n">
        <v>9</v>
      </c>
      <c r="AR2038" s="0" t="n">
        <v>64</v>
      </c>
      <c r="AS2038" s="0" t="n">
        <v>32</v>
      </c>
      <c r="AU2038" s="0" t="n">
        <f aca="false">COUNTA($BA$2025:$EH$2025)</f>
        <v>6</v>
      </c>
      <c r="AV2038" s="0" t="n">
        <f aca="false">COUNTIF($BA$2025:$EH$2025,"D")</f>
        <v>0</v>
      </c>
      <c r="AW2038" s="0" t="n">
        <f aca="false">COUNTIF($BA$2025:$EH$2025,"R")</f>
        <v>1</v>
      </c>
      <c r="AX2038" s="0" t="n">
        <f aca="false">IF(BN2038="D",1,0)+IF(BO2038="D",1,0)+IF(BT2038="D",1,0)+IF(BU2038="D",1,0)+IF(BW2038="D",1,0)+IF(CC2038="D",1,0)+IF(CD2038="D",1,0)+IF(CE2038="D",1,0)+IF(CF2038="D",1,0)+IF(CL2038="D",1,0)+IF(CM2038="D",1,0)+IF(CQ2038="D",1,0)+IF(CR2038="D",1,0)+IF(CS2038="D",1,0)+IF(CW2038="D",1,0)+IF(CX2038="D",1,0)+IF(DD2038="D",1,0)+IF(DE2038="D",1,0)+IF(DJ2038="D",1,0)+IF(DK2038="D",1,0)+IF(DO2038="D",1,0)+IF(DP2038="D",1,0)+IF(DQ2038="D",1,0)+IF(DW2038="D",1,0)+IF(DZ2038="D",1,0)+IF(EH2038="D",1,0)</f>
        <v>1</v>
      </c>
      <c r="AY2038" s="0" t="n">
        <f aca="false">COUNTIF(DU2038:EH2038, "&lt;&gt;")</f>
        <v>6</v>
      </c>
      <c r="AZ2038" s="0" t="n">
        <f aca="false">IF(EH2038&lt;&gt;"",1,0)</f>
        <v>0</v>
      </c>
      <c r="BB2038" s="0" t="s">
        <v>152</v>
      </c>
      <c r="CN2038" s="0" t="s">
        <v>153</v>
      </c>
      <c r="CO2038" s="0" t="s">
        <v>175</v>
      </c>
      <c r="CP2038" s="0" t="s">
        <v>153</v>
      </c>
      <c r="CY2038" s="0" t="s">
        <v>153</v>
      </c>
      <c r="DC2038" s="0" t="s">
        <v>153</v>
      </c>
      <c r="DF2038" s="0" t="s">
        <v>153</v>
      </c>
      <c r="DI2038" s="0" t="s">
        <v>153</v>
      </c>
      <c r="DL2038" s="0" t="s">
        <v>153</v>
      </c>
      <c r="DN2038" s="0" t="s">
        <v>153</v>
      </c>
      <c r="DR2038" s="0" t="s">
        <v>153</v>
      </c>
      <c r="DS2038" s="0" t="s">
        <v>175</v>
      </c>
      <c r="DU2038" s="0" t="s">
        <v>153</v>
      </c>
      <c r="DW2038" s="0" t="s">
        <v>175</v>
      </c>
      <c r="DX2038" s="0" t="s">
        <v>153</v>
      </c>
      <c r="EA2038" s="0" t="s">
        <v>153</v>
      </c>
      <c r="ED2038" s="0" t="s">
        <v>175</v>
      </c>
      <c r="EF2038" s="0" t="s">
        <v>153</v>
      </c>
    </row>
    <row r="2039" customFormat="false" ht="13.8" hidden="true" customHeight="false" outlineLevel="0" collapsed="false">
      <c r="A2039" s="0" t="s">
        <v>9010</v>
      </c>
      <c r="B2039" s="0" t="n">
        <v>78</v>
      </c>
      <c r="C2039" s="0" t="n">
        <v>419813</v>
      </c>
      <c r="D2039" s="0" t="s">
        <v>1466</v>
      </c>
      <c r="E2039" s="0" t="s">
        <v>4082</v>
      </c>
      <c r="F2039" s="0" t="str">
        <f aca="false">CONCATENATE(D2039," ",LEFT(H2039,4),"T=",AU2039,"D=",AV2039,"R=",AW2039,"M=",AX2039,"L=",AY2039,"B=",AZ2039)</f>
        <v>JOHNSON T=8D=1R=0M=0L=1B=0</v>
      </c>
      <c r="G2039" s="0" t="s">
        <v>307</v>
      </c>
      <c r="I2039" s="0" t="s">
        <v>9011</v>
      </c>
      <c r="J2039" s="0" t="s">
        <v>1682</v>
      </c>
      <c r="K2039" s="0" t="s">
        <v>160</v>
      </c>
      <c r="M2039" s="0" t="s">
        <v>9012</v>
      </c>
      <c r="N2039" s="0" t="str">
        <f aca="false">RIGHT(M2039,LEN(M2039)-FIND(" ",M2039))</f>
        <v>PORTER ST NE</v>
      </c>
      <c r="P2039" s="0" t="s">
        <v>145</v>
      </c>
      <c r="Q2039" s="0" t="s">
        <v>146</v>
      </c>
      <c r="R2039" s="0" t="n">
        <v>44483</v>
      </c>
      <c r="AD2039" s="0" t="s">
        <v>147</v>
      </c>
      <c r="AE2039" s="0" t="s">
        <v>148</v>
      </c>
      <c r="AF2039" s="0" t="s">
        <v>149</v>
      </c>
      <c r="AH2039" s="0" t="n">
        <v>14</v>
      </c>
      <c r="AI2039" s="0" t="n">
        <v>11</v>
      </c>
      <c r="AN2039" s="0" t="s">
        <v>145</v>
      </c>
      <c r="AO2039" s="0" t="s">
        <v>654</v>
      </c>
      <c r="AP2039" s="0" t="s">
        <v>655</v>
      </c>
      <c r="AQ2039" s="0" t="n">
        <v>9</v>
      </c>
      <c r="AR2039" s="0" t="n">
        <v>64</v>
      </c>
      <c r="AS2039" s="0" t="n">
        <v>32</v>
      </c>
      <c r="AU2039" s="0" t="n">
        <f aca="false">COUNTA($BA$1187:$EH$1187)</f>
        <v>8</v>
      </c>
      <c r="AV2039" s="0" t="n">
        <f aca="false">COUNTIF($BA$1187:$EH$1187,"D")</f>
        <v>1</v>
      </c>
      <c r="AW2039" s="0" t="n">
        <f aca="false">COUNTIF($BA$1187:$EH$1187,"R")</f>
        <v>0</v>
      </c>
      <c r="AX2039" s="0" t="n">
        <f aca="false">IF(BN2039="D",1,0)+IF(BO2039="D",1,0)+IF(BT2039="D",1,0)+IF(BU2039="D",1,0)+IF(BW2039="D",1,0)+IF(CC2039="D",1,0)+IF(CD2039="D",1,0)+IF(CE2039="D",1,0)+IF(CF2039="D",1,0)+IF(CL2039="D",1,0)+IF(CM2039="D",1,0)+IF(CQ2039="D",1,0)+IF(CR2039="D",1,0)+IF(CS2039="D",1,0)+IF(CW2039="D",1,0)+IF(CX2039="D",1,0)+IF(DD2039="D",1,0)+IF(DE2039="D",1,0)+IF(DJ2039="D",1,0)+IF(DK2039="D",1,0)+IF(DO2039="D",1,0)+IF(DP2039="D",1,0)+IF(DQ2039="D",1,0)+IF(DW2039="D",1,0)+IF(DZ2039="D",1,0)+IF(EH2039="D",1,0)</f>
        <v>0</v>
      </c>
      <c r="AY2039" s="0" t="n">
        <f aca="false">COUNTIF(DU2039:EH2039, "&lt;&gt;")</f>
        <v>1</v>
      </c>
      <c r="AZ2039" s="0" t="n">
        <f aca="false">IF(EH2039&lt;&gt;"",1,0)</f>
        <v>0</v>
      </c>
      <c r="BB2039" s="0" t="s">
        <v>152</v>
      </c>
      <c r="DN2039" s="0" t="s">
        <v>153</v>
      </c>
      <c r="EF2039" s="0" t="s">
        <v>153</v>
      </c>
    </row>
    <row r="2040" customFormat="false" ht="13.8" hidden="false" customHeight="false" outlineLevel="0" collapsed="false">
      <c r="A2040" s="0" t="s">
        <v>9013</v>
      </c>
      <c r="B2040" s="0" t="n">
        <v>78</v>
      </c>
      <c r="C2040" s="0" t="n">
        <v>251048</v>
      </c>
      <c r="D2040" s="0" t="s">
        <v>9014</v>
      </c>
      <c r="E2040" s="0" t="s">
        <v>2814</v>
      </c>
      <c r="F2040" s="0" t="str">
        <f aca="false">CONCATENATE(D2040," ",LEFT(H2040,4),"T=",AU2040,"D=",AV2040,"R=",AW2040,"M=",AX2040,"L=",AY2040,"B=",AZ2040)</f>
        <v>FISHEL T=2D=0R=0M=0L=3B=0</v>
      </c>
      <c r="G2040" s="0" t="s">
        <v>164</v>
      </c>
      <c r="I2040" s="0" t="s">
        <v>2124</v>
      </c>
      <c r="J2040" s="0" t="s">
        <v>9015</v>
      </c>
      <c r="K2040" s="0" t="s">
        <v>160</v>
      </c>
      <c r="L2040" s="0" t="s">
        <v>175</v>
      </c>
      <c r="M2040" s="0" t="s">
        <v>9016</v>
      </c>
      <c r="N2040" s="0" t="str">
        <f aca="false">RIGHT(M2040,LEN(M2040)-FIND(" ",M2040))</f>
        <v>PORTER ST NE</v>
      </c>
      <c r="P2040" s="0" t="s">
        <v>145</v>
      </c>
      <c r="Q2040" s="0" t="s">
        <v>146</v>
      </c>
      <c r="R2040" s="0" t="n">
        <v>44483</v>
      </c>
      <c r="AD2040" s="0" t="s">
        <v>147</v>
      </c>
      <c r="AE2040" s="0" t="s">
        <v>148</v>
      </c>
      <c r="AF2040" s="0" t="s">
        <v>149</v>
      </c>
      <c r="AH2040" s="0" t="n">
        <v>14</v>
      </c>
      <c r="AI2040" s="0" t="n">
        <v>11</v>
      </c>
      <c r="AN2040" s="0" t="s">
        <v>145</v>
      </c>
      <c r="AO2040" s="0" t="s">
        <v>654</v>
      </c>
      <c r="AP2040" s="0" t="s">
        <v>655</v>
      </c>
      <c r="AQ2040" s="0" t="n">
        <v>9</v>
      </c>
      <c r="AR2040" s="0" t="n">
        <v>64</v>
      </c>
      <c r="AS2040" s="0" t="n">
        <v>32</v>
      </c>
      <c r="AU2040" s="0" t="n">
        <f aca="false">COUNTA($BA$1829:$EH$1829)</f>
        <v>2</v>
      </c>
      <c r="AV2040" s="0" t="n">
        <f aca="false">COUNTIF($BA$1829:$EH$1829,"D")</f>
        <v>0</v>
      </c>
      <c r="AW2040" s="0" t="n">
        <f aca="false">COUNTIF($BA$1829:$EH$1829,"R")</f>
        <v>0</v>
      </c>
      <c r="AX2040" s="0" t="n">
        <f aca="false">IF(BN2040="D",1,0)+IF(BO2040="D",1,0)+IF(BT2040="D",1,0)+IF(BU2040="D",1,0)+IF(BW2040="D",1,0)+IF(CC2040="D",1,0)+IF(CD2040="D",1,0)+IF(CE2040="D",1,0)+IF(CF2040="D",1,0)+IF(CL2040="D",1,0)+IF(CM2040="D",1,0)+IF(CQ2040="D",1,0)+IF(CR2040="D",1,0)+IF(CS2040="D",1,0)+IF(CW2040="D",1,0)+IF(CX2040="D",1,0)+IF(DD2040="D",1,0)+IF(DE2040="D",1,0)+IF(DJ2040="D",1,0)+IF(DK2040="D",1,0)+IF(DO2040="D",1,0)+IF(DP2040="D",1,0)+IF(DQ2040="D",1,0)+IF(DW2040="D",1,0)+IF(DZ2040="D",1,0)+IF(EH2040="D",1,0)</f>
        <v>0</v>
      </c>
      <c r="AY2040" s="0" t="n">
        <f aca="false">COUNTIF(DU2040:EH2040, "&lt;&gt;")</f>
        <v>3</v>
      </c>
      <c r="AZ2040" s="0" t="n">
        <f aca="false">IF(EH2040&lt;&gt;"",1,0)</f>
        <v>0</v>
      </c>
      <c r="BB2040" s="0" t="s">
        <v>152</v>
      </c>
      <c r="BC2040" s="0" t="s">
        <v>153</v>
      </c>
      <c r="BD2040" s="0" t="s">
        <v>153</v>
      </c>
      <c r="BE2040" s="0" t="s">
        <v>153</v>
      </c>
      <c r="BF2040" s="0" t="s">
        <v>153</v>
      </c>
      <c r="BG2040" s="0" t="s">
        <v>153</v>
      </c>
      <c r="BH2040" s="0" t="s">
        <v>153</v>
      </c>
      <c r="BI2040" s="0" t="s">
        <v>153</v>
      </c>
      <c r="BJ2040" s="0" t="s">
        <v>153</v>
      </c>
      <c r="BK2040" s="0" t="s">
        <v>153</v>
      </c>
      <c r="BL2040" s="0" t="s">
        <v>153</v>
      </c>
      <c r="BP2040" s="0" t="s">
        <v>153</v>
      </c>
      <c r="BR2040" s="0" t="s">
        <v>153</v>
      </c>
      <c r="BS2040" s="0" t="s">
        <v>153</v>
      </c>
      <c r="BV2040" s="0" t="s">
        <v>153</v>
      </c>
      <c r="BY2040" s="0" t="s">
        <v>175</v>
      </c>
      <c r="CA2040" s="0" t="s">
        <v>153</v>
      </c>
      <c r="CK2040" s="0" t="s">
        <v>153</v>
      </c>
      <c r="CN2040" s="0" t="s">
        <v>153</v>
      </c>
      <c r="CP2040" s="0" t="s">
        <v>153</v>
      </c>
      <c r="CV2040" s="0" t="s">
        <v>153</v>
      </c>
      <c r="CY2040" s="0" t="s">
        <v>153</v>
      </c>
      <c r="CZ2040" s="0" t="s">
        <v>209</v>
      </c>
      <c r="DC2040" s="0" t="s">
        <v>153</v>
      </c>
      <c r="DF2040" s="0" t="s">
        <v>153</v>
      </c>
      <c r="DI2040" s="0" t="s">
        <v>153</v>
      </c>
      <c r="DM2040" s="0" t="s">
        <v>175</v>
      </c>
      <c r="DN2040" s="0" t="s">
        <v>153</v>
      </c>
      <c r="DR2040" s="0" t="s">
        <v>153</v>
      </c>
      <c r="DS2040" s="0" t="s">
        <v>175</v>
      </c>
      <c r="DU2040" s="0" t="s">
        <v>153</v>
      </c>
      <c r="EA2040" s="0" t="s">
        <v>153</v>
      </c>
      <c r="EF2040" s="0" t="s">
        <v>153</v>
      </c>
    </row>
    <row r="2041" customFormat="false" ht="13.8" hidden="false" customHeight="false" outlineLevel="0" collapsed="false">
      <c r="A2041" s="0" t="s">
        <v>9017</v>
      </c>
      <c r="B2041" s="0" t="n">
        <v>78</v>
      </c>
      <c r="C2041" s="0" t="n">
        <v>251035</v>
      </c>
      <c r="D2041" s="0" t="s">
        <v>9014</v>
      </c>
      <c r="E2041" s="0" t="s">
        <v>541</v>
      </c>
      <c r="F2041" s="0" t="str">
        <f aca="false">CONCATENATE(D2041," ",LEFT(H2041,4),"T=",AU2041,"D=",AV2041,"R=",AW2041,"M=",AX2041,"L=",AY2041,"B=",AZ2041)</f>
        <v>FISHEL T=1D=0R=0M=0L=4B=0</v>
      </c>
      <c r="G2041" s="0" t="s">
        <v>606</v>
      </c>
      <c r="I2041" s="0" t="s">
        <v>9018</v>
      </c>
      <c r="J2041" s="0" t="s">
        <v>9019</v>
      </c>
      <c r="K2041" s="0" t="s">
        <v>160</v>
      </c>
      <c r="M2041" s="0" t="s">
        <v>9016</v>
      </c>
      <c r="N2041" s="0" t="str">
        <f aca="false">RIGHT(M2041,LEN(M2041)-FIND(" ",M2041))</f>
        <v>PORTER ST NE</v>
      </c>
      <c r="P2041" s="0" t="s">
        <v>145</v>
      </c>
      <c r="Q2041" s="0" t="s">
        <v>146</v>
      </c>
      <c r="R2041" s="0" t="n">
        <v>44483</v>
      </c>
      <c r="AD2041" s="0" t="s">
        <v>147</v>
      </c>
      <c r="AE2041" s="0" t="s">
        <v>148</v>
      </c>
      <c r="AF2041" s="0" t="s">
        <v>149</v>
      </c>
      <c r="AH2041" s="0" t="n">
        <v>14</v>
      </c>
      <c r="AI2041" s="0" t="n">
        <v>11</v>
      </c>
      <c r="AN2041" s="0" t="s">
        <v>145</v>
      </c>
      <c r="AO2041" s="0" t="s">
        <v>654</v>
      </c>
      <c r="AP2041" s="0" t="s">
        <v>655</v>
      </c>
      <c r="AQ2041" s="0" t="n">
        <v>9</v>
      </c>
      <c r="AR2041" s="0" t="n">
        <v>64</v>
      </c>
      <c r="AS2041" s="0" t="n">
        <v>32</v>
      </c>
      <c r="AU2041" s="0" t="n">
        <f aca="false">COUNTA($BA$1945:$EH$1945)</f>
        <v>1</v>
      </c>
      <c r="AV2041" s="0" t="n">
        <f aca="false">COUNTIF($BA$1945:$EH$1945,"D")</f>
        <v>0</v>
      </c>
      <c r="AW2041" s="0" t="n">
        <f aca="false">COUNTIF($BA$1945:$EH$1945,"R")</f>
        <v>0</v>
      </c>
      <c r="AX2041" s="0" t="n">
        <f aca="false">IF(BN2041="D",1,0)+IF(BO2041="D",1,0)+IF(BT2041="D",1,0)+IF(BU2041="D",1,0)+IF(BW2041="D",1,0)+IF(CC2041="D",1,0)+IF(CD2041="D",1,0)+IF(CE2041="D",1,0)+IF(CF2041="D",1,0)+IF(CL2041="D",1,0)+IF(CM2041="D",1,0)+IF(CQ2041="D",1,0)+IF(CR2041="D",1,0)+IF(CS2041="D",1,0)+IF(CW2041="D",1,0)+IF(CX2041="D",1,0)+IF(DD2041="D",1,0)+IF(DE2041="D",1,0)+IF(DJ2041="D",1,0)+IF(DK2041="D",1,0)+IF(DO2041="D",1,0)+IF(DP2041="D",1,0)+IF(DQ2041="D",1,0)+IF(DW2041="D",1,0)+IF(DZ2041="D",1,0)+IF(EH2041="D",1,0)</f>
        <v>0</v>
      </c>
      <c r="AY2041" s="0" t="n">
        <f aca="false">COUNTIF(DU2041:EH2041, "&lt;&gt;")</f>
        <v>4</v>
      </c>
      <c r="AZ2041" s="0" t="n">
        <f aca="false">IF(EH2041&lt;&gt;"",1,0)</f>
        <v>0</v>
      </c>
      <c r="BB2041" s="0" t="s">
        <v>152</v>
      </c>
      <c r="BC2041" s="0" t="s">
        <v>153</v>
      </c>
      <c r="BD2041" s="0" t="s">
        <v>153</v>
      </c>
      <c r="BE2041" s="0" t="s">
        <v>153</v>
      </c>
      <c r="BF2041" s="0" t="s">
        <v>153</v>
      </c>
      <c r="BG2041" s="0" t="s">
        <v>153</v>
      </c>
      <c r="BH2041" s="0" t="s">
        <v>153</v>
      </c>
      <c r="BI2041" s="0" t="s">
        <v>153</v>
      </c>
      <c r="BK2041" s="0" t="s">
        <v>153</v>
      </c>
      <c r="BL2041" s="0" t="s">
        <v>153</v>
      </c>
      <c r="BP2041" s="0" t="s">
        <v>153</v>
      </c>
      <c r="BR2041" s="0" t="s">
        <v>153</v>
      </c>
      <c r="BS2041" s="0" t="s">
        <v>153</v>
      </c>
      <c r="BV2041" s="0" t="s">
        <v>153</v>
      </c>
      <c r="BY2041" s="0" t="s">
        <v>175</v>
      </c>
      <c r="CA2041" s="0" t="s">
        <v>153</v>
      </c>
      <c r="CP2041" s="0" t="s">
        <v>153</v>
      </c>
      <c r="CV2041" s="0" t="s">
        <v>153</v>
      </c>
      <c r="CY2041" s="0" t="s">
        <v>153</v>
      </c>
      <c r="CZ2041" s="0" t="s">
        <v>209</v>
      </c>
      <c r="DC2041" s="0" t="s">
        <v>153</v>
      </c>
      <c r="DI2041" s="0" t="s">
        <v>153</v>
      </c>
      <c r="DM2041" s="0" t="s">
        <v>175</v>
      </c>
      <c r="DN2041" s="0" t="s">
        <v>153</v>
      </c>
      <c r="DR2041" s="0" t="s">
        <v>153</v>
      </c>
      <c r="DU2041" s="0" t="s">
        <v>153</v>
      </c>
      <c r="DX2041" s="0" t="s">
        <v>153</v>
      </c>
      <c r="EA2041" s="0" t="s">
        <v>153</v>
      </c>
      <c r="EF2041" s="0" t="s">
        <v>153</v>
      </c>
    </row>
    <row r="2042" customFormat="false" ht="13.8" hidden="false" customHeight="false" outlineLevel="0" collapsed="false">
      <c r="A2042" s="0" t="s">
        <v>9020</v>
      </c>
      <c r="B2042" s="0" t="n">
        <v>78</v>
      </c>
      <c r="C2042" s="0" t="n">
        <v>166749</v>
      </c>
      <c r="D2042" s="0" t="s">
        <v>1255</v>
      </c>
      <c r="E2042" s="0" t="s">
        <v>1287</v>
      </c>
      <c r="F2042" s="0" t="str">
        <f aca="false">CONCATENATE(D2042," ",LEFT(H2042,4),"T=",AU2042,"D=",AV2042,"R=",AW2042,"M=",AX2042,"L=",AY2042,"B=",AZ2042)</f>
        <v>CUNNINGHAM JRT=1D=0R=0M=6L=7B=1</v>
      </c>
      <c r="H2042" s="0" t="s">
        <v>314</v>
      </c>
      <c r="I2042" s="0" t="s">
        <v>9021</v>
      </c>
      <c r="J2042" s="0" t="s">
        <v>5018</v>
      </c>
      <c r="K2042" s="0" t="s">
        <v>160</v>
      </c>
      <c r="L2042" s="0" t="s">
        <v>175</v>
      </c>
      <c r="M2042" s="0" t="s">
        <v>9022</v>
      </c>
      <c r="N2042" s="0" t="str">
        <f aca="false">RIGHT(M2042,LEN(M2042)-FIND(" ",M2042))</f>
        <v>PORTER ST NE</v>
      </c>
      <c r="P2042" s="0" t="s">
        <v>145</v>
      </c>
      <c r="Q2042" s="0" t="s">
        <v>146</v>
      </c>
      <c r="R2042" s="0" t="n">
        <v>44483</v>
      </c>
      <c r="AD2042" s="0" t="s">
        <v>147</v>
      </c>
      <c r="AE2042" s="0" t="s">
        <v>148</v>
      </c>
      <c r="AF2042" s="0" t="s">
        <v>149</v>
      </c>
      <c r="AH2042" s="0" t="n">
        <v>14</v>
      </c>
      <c r="AI2042" s="0" t="n">
        <v>11</v>
      </c>
      <c r="AN2042" s="0" t="s">
        <v>145</v>
      </c>
      <c r="AO2042" s="0" t="s">
        <v>654</v>
      </c>
      <c r="AP2042" s="0" t="s">
        <v>655</v>
      </c>
      <c r="AQ2042" s="0" t="n">
        <v>9</v>
      </c>
      <c r="AR2042" s="0" t="n">
        <v>64</v>
      </c>
      <c r="AS2042" s="0" t="n">
        <v>32</v>
      </c>
      <c r="AU2042" s="0" t="n">
        <f aca="false">COUNTA($BA$1695:$EH$1695)</f>
        <v>1</v>
      </c>
      <c r="AV2042" s="0" t="n">
        <f aca="false">COUNTIF($BA$1695:$EH$1695,"D")</f>
        <v>0</v>
      </c>
      <c r="AW2042" s="0" t="n">
        <f aca="false">COUNTIF($BA$1695:$EH$1695,"R")</f>
        <v>0</v>
      </c>
      <c r="AX2042" s="0" t="n">
        <f aca="false">IF(BN2042="D",1,0)+IF(BO2042="D",1,0)+IF(BT2042="D",1,0)+IF(BU2042="D",1,0)+IF(BW2042="D",1,0)+IF(CC2042="D",1,0)+IF(CD2042="D",1,0)+IF(CE2042="D",1,0)+IF(CF2042="D",1,0)+IF(CL2042="D",1,0)+IF(CM2042="D",1,0)+IF(CQ2042="D",1,0)+IF(CR2042="D",1,0)+IF(CS2042="D",1,0)+IF(CW2042="D",1,0)+IF(CX2042="D",1,0)+IF(DD2042="D",1,0)+IF(DE2042="D",1,0)+IF(DJ2042="D",1,0)+IF(DK2042="D",1,0)+IF(DO2042="D",1,0)+IF(DP2042="D",1,0)+IF(DQ2042="D",1,0)+IF(DW2042="D",1,0)+IF(DZ2042="D",1,0)+IF(EH2042="D",1,0)</f>
        <v>6</v>
      </c>
      <c r="AY2042" s="0" t="n">
        <f aca="false">COUNTIF(DU2042:EH2042, "&lt;&gt;")</f>
        <v>7</v>
      </c>
      <c r="AZ2042" s="0" t="n">
        <f aca="false">IF(EH2042&lt;&gt;"",1,0)</f>
        <v>1</v>
      </c>
      <c r="BB2042" s="0" t="s">
        <v>152</v>
      </c>
      <c r="BC2042" s="0" t="s">
        <v>153</v>
      </c>
      <c r="BD2042" s="0" t="s">
        <v>153</v>
      </c>
      <c r="BE2042" s="0" t="s">
        <v>153</v>
      </c>
      <c r="BF2042" s="0" t="s">
        <v>153</v>
      </c>
      <c r="BG2042" s="0" t="s">
        <v>153</v>
      </c>
      <c r="BH2042" s="0" t="s">
        <v>153</v>
      </c>
      <c r="BI2042" s="0" t="s">
        <v>153</v>
      </c>
      <c r="BJ2042" s="0" t="s">
        <v>153</v>
      </c>
      <c r="BK2042" s="0" t="s">
        <v>153</v>
      </c>
      <c r="BL2042" s="0" t="s">
        <v>153</v>
      </c>
      <c r="BP2042" s="0" t="s">
        <v>153</v>
      </c>
      <c r="BR2042" s="0" t="s">
        <v>153</v>
      </c>
      <c r="BS2042" s="0" t="s">
        <v>153</v>
      </c>
      <c r="BT2042" s="0" t="s">
        <v>153</v>
      </c>
      <c r="BV2042" s="0" t="s">
        <v>153</v>
      </c>
      <c r="BY2042" s="0" t="s">
        <v>175</v>
      </c>
      <c r="CA2042" s="0" t="s">
        <v>153</v>
      </c>
      <c r="CG2042" s="0" t="s">
        <v>153</v>
      </c>
      <c r="CH2042" s="0" t="s">
        <v>175</v>
      </c>
      <c r="CK2042" s="0" t="s">
        <v>153</v>
      </c>
      <c r="CL2042" s="0" t="s">
        <v>175</v>
      </c>
      <c r="CN2042" s="0" t="s">
        <v>153</v>
      </c>
      <c r="CO2042" s="0" t="s">
        <v>175</v>
      </c>
      <c r="CP2042" s="0" t="s">
        <v>153</v>
      </c>
      <c r="CT2042" s="0" t="s">
        <v>153</v>
      </c>
      <c r="CV2042" s="0" t="s">
        <v>153</v>
      </c>
      <c r="CW2042" s="0" t="s">
        <v>175</v>
      </c>
      <c r="CY2042" s="0" t="s">
        <v>153</v>
      </c>
      <c r="CZ2042" s="0" t="s">
        <v>175</v>
      </c>
      <c r="DC2042" s="0" t="s">
        <v>153</v>
      </c>
      <c r="DD2042" s="0" t="s">
        <v>175</v>
      </c>
      <c r="DF2042" s="0" t="s">
        <v>153</v>
      </c>
      <c r="DG2042" s="0" t="s">
        <v>175</v>
      </c>
      <c r="DI2042" s="0" t="s">
        <v>153</v>
      </c>
      <c r="DJ2042" s="0" t="s">
        <v>175</v>
      </c>
      <c r="DL2042" s="0" t="s">
        <v>153</v>
      </c>
      <c r="DM2042" s="0" t="s">
        <v>175</v>
      </c>
      <c r="DN2042" s="0" t="s">
        <v>153</v>
      </c>
      <c r="DR2042" s="0" t="s">
        <v>153</v>
      </c>
      <c r="DT2042" s="0" t="s">
        <v>175</v>
      </c>
      <c r="DU2042" s="0" t="s">
        <v>153</v>
      </c>
      <c r="DW2042" s="0" t="s">
        <v>175</v>
      </c>
      <c r="DX2042" s="0" t="s">
        <v>153</v>
      </c>
      <c r="EA2042" s="0" t="s">
        <v>153</v>
      </c>
      <c r="ED2042" s="0" t="s">
        <v>175</v>
      </c>
      <c r="EF2042" s="0" t="s">
        <v>153</v>
      </c>
      <c r="EH2042" s="0" t="s">
        <v>175</v>
      </c>
    </row>
    <row r="2043" customFormat="false" ht="13.8" hidden="true" customHeight="false" outlineLevel="0" collapsed="false">
      <c r="A2043" s="0" t="s">
        <v>9023</v>
      </c>
      <c r="B2043" s="0" t="n">
        <v>78</v>
      </c>
      <c r="C2043" s="0" t="n">
        <v>163415</v>
      </c>
      <c r="D2043" s="0" t="s">
        <v>9024</v>
      </c>
      <c r="E2043" s="0" t="s">
        <v>4257</v>
      </c>
      <c r="F2043" s="0" t="str">
        <f aca="false">CONCATENATE(D2043," ",LEFT(H2043,4),"T=",AU2043,"D=",AV2043,"R=",AW2043,"M=",AX2043,"L=",AY2043,"B=",AZ2043)</f>
        <v>MCCLELLAN IIT=14D=1R=0M=0L=1B=0</v>
      </c>
      <c r="G2043" s="0" t="s">
        <v>1557</v>
      </c>
      <c r="H2043" s="0" t="s">
        <v>476</v>
      </c>
      <c r="I2043" s="0" t="s">
        <v>9025</v>
      </c>
      <c r="J2043" s="0" t="s">
        <v>6662</v>
      </c>
      <c r="K2043" s="0" t="s">
        <v>160</v>
      </c>
      <c r="M2043" s="0" t="s">
        <v>9026</v>
      </c>
      <c r="N2043" s="0" t="str">
        <f aca="false">RIGHT(M2043,LEN(M2043)-FIND(" ",M2043))</f>
        <v>PORTER ST NE</v>
      </c>
      <c r="P2043" s="0" t="s">
        <v>145</v>
      </c>
      <c r="Q2043" s="0" t="s">
        <v>146</v>
      </c>
      <c r="R2043" s="0" t="n">
        <v>44483</v>
      </c>
      <c r="AD2043" s="0" t="s">
        <v>147</v>
      </c>
      <c r="AE2043" s="0" t="s">
        <v>148</v>
      </c>
      <c r="AF2043" s="0" t="s">
        <v>149</v>
      </c>
      <c r="AH2043" s="0" t="n">
        <v>14</v>
      </c>
      <c r="AI2043" s="0" t="n">
        <v>11</v>
      </c>
      <c r="AN2043" s="0" t="s">
        <v>145</v>
      </c>
      <c r="AO2043" s="0" t="s">
        <v>654</v>
      </c>
      <c r="AP2043" s="0" t="s">
        <v>655</v>
      </c>
      <c r="AQ2043" s="0" t="n">
        <v>9</v>
      </c>
      <c r="AR2043" s="0" t="n">
        <v>64</v>
      </c>
      <c r="AS2043" s="0" t="n">
        <v>32</v>
      </c>
      <c r="AU2043" s="0" t="n">
        <f aca="false">COUNTA($BA$1693:$EH$1693)</f>
        <v>14</v>
      </c>
      <c r="AV2043" s="0" t="n">
        <f aca="false">COUNTIF($BA$1693:$EH$1693,"D")</f>
        <v>1</v>
      </c>
      <c r="AW2043" s="0" t="n">
        <f aca="false">COUNTIF($BA$1693:$EH$1693,"R")</f>
        <v>0</v>
      </c>
      <c r="AX2043" s="0" t="n">
        <f aca="false">IF(BN2043="D",1,0)+IF(BO2043="D",1,0)+IF(BT2043="D",1,0)+IF(BU2043="D",1,0)+IF(BW2043="D",1,0)+IF(CC2043="D",1,0)+IF(CD2043="D",1,0)+IF(CE2043="D",1,0)+IF(CF2043="D",1,0)+IF(CL2043="D",1,0)+IF(CM2043="D",1,0)+IF(CQ2043="D",1,0)+IF(CR2043="D",1,0)+IF(CS2043="D",1,0)+IF(CW2043="D",1,0)+IF(CX2043="D",1,0)+IF(DD2043="D",1,0)+IF(DE2043="D",1,0)+IF(DJ2043="D",1,0)+IF(DK2043="D",1,0)+IF(DO2043="D",1,0)+IF(DP2043="D",1,0)+IF(DQ2043="D",1,0)+IF(DW2043="D",1,0)+IF(DZ2043="D",1,0)+IF(EH2043="D",1,0)</f>
        <v>0</v>
      </c>
      <c r="AY2043" s="0" t="n">
        <f aca="false">COUNTIF(DU2043:EH2043, "&lt;&gt;")</f>
        <v>1</v>
      </c>
      <c r="AZ2043" s="0" t="n">
        <f aca="false">IF(EH2043&lt;&gt;"",1,0)</f>
        <v>0</v>
      </c>
      <c r="BB2043" s="0" t="s">
        <v>152</v>
      </c>
      <c r="BD2043" s="0" t="s">
        <v>153</v>
      </c>
      <c r="BI2043" s="0" t="s">
        <v>153</v>
      </c>
      <c r="BJ2043" s="0" t="s">
        <v>153</v>
      </c>
      <c r="BL2043" s="0" t="s">
        <v>153</v>
      </c>
      <c r="BP2043" s="0" t="s">
        <v>153</v>
      </c>
      <c r="BY2043" s="0" t="s">
        <v>175</v>
      </c>
      <c r="CA2043" s="0" t="s">
        <v>153</v>
      </c>
      <c r="CN2043" s="0" t="s">
        <v>153</v>
      </c>
      <c r="CO2043" s="0" t="s">
        <v>175</v>
      </c>
      <c r="CP2043" s="0" t="s">
        <v>153</v>
      </c>
      <c r="CZ2043" s="0" t="s">
        <v>175</v>
      </c>
      <c r="DC2043" s="0" t="s">
        <v>153</v>
      </c>
      <c r="DF2043" s="0" t="s">
        <v>153</v>
      </c>
      <c r="DI2043" s="0" t="s">
        <v>153</v>
      </c>
      <c r="DL2043" s="0" t="s">
        <v>153</v>
      </c>
      <c r="DM2043" s="0" t="s">
        <v>175</v>
      </c>
      <c r="DN2043" s="0" t="s">
        <v>153</v>
      </c>
      <c r="EF2043" s="0" t="s">
        <v>153</v>
      </c>
    </row>
    <row r="2044" customFormat="false" ht="13.8" hidden="false" customHeight="false" outlineLevel="0" collapsed="false">
      <c r="A2044" s="0" t="s">
        <v>9027</v>
      </c>
      <c r="B2044" s="0" t="n">
        <v>78</v>
      </c>
      <c r="C2044" s="0" t="n">
        <v>430140</v>
      </c>
      <c r="D2044" s="0" t="s">
        <v>9028</v>
      </c>
      <c r="E2044" s="0" t="s">
        <v>1745</v>
      </c>
      <c r="F2044" s="0" t="str">
        <f aca="false">CONCATENATE(D2044," ",LEFT(H2044,4),"T=",AU2044,"D=",AV2044,"R=",AW2044,"M=",AX2044,"L=",AY2044,"B=",AZ2044)</f>
        <v>DENNO T=2D=1R=0M=0L=3B=0</v>
      </c>
      <c r="G2044" s="0" t="s">
        <v>164</v>
      </c>
      <c r="I2044" s="0" t="s">
        <v>9029</v>
      </c>
      <c r="J2044" s="0" t="s">
        <v>404</v>
      </c>
      <c r="K2044" s="0" t="s">
        <v>160</v>
      </c>
      <c r="M2044" s="0" t="s">
        <v>9030</v>
      </c>
      <c r="N2044" s="0" t="str">
        <f aca="false">RIGHT(M2044,LEN(M2044)-FIND(" ",M2044))</f>
        <v>PORTER ST NE</v>
      </c>
      <c r="P2044" s="0" t="s">
        <v>145</v>
      </c>
      <c r="Q2044" s="0" t="s">
        <v>146</v>
      </c>
      <c r="R2044" s="0" t="n">
        <v>44483</v>
      </c>
      <c r="AD2044" s="0" t="s">
        <v>147</v>
      </c>
      <c r="AE2044" s="0" t="s">
        <v>148</v>
      </c>
      <c r="AF2044" s="0" t="s">
        <v>149</v>
      </c>
      <c r="AH2044" s="0" t="n">
        <v>14</v>
      </c>
      <c r="AI2044" s="0" t="n">
        <v>11</v>
      </c>
      <c r="AN2044" s="0" t="s">
        <v>145</v>
      </c>
      <c r="AO2044" s="0" t="s">
        <v>654</v>
      </c>
      <c r="AP2044" s="0" t="s">
        <v>655</v>
      </c>
      <c r="AQ2044" s="0" t="n">
        <v>9</v>
      </c>
      <c r="AR2044" s="0" t="n">
        <v>64</v>
      </c>
      <c r="AS2044" s="0" t="n">
        <v>32</v>
      </c>
      <c r="AU2044" s="0" t="n">
        <f aca="false">COUNTA($BA$1348:$EH$1348)</f>
        <v>2</v>
      </c>
      <c r="AV2044" s="0" t="n">
        <f aca="false">COUNTIF($BA$1348:$EH$1348,"D")</f>
        <v>1</v>
      </c>
      <c r="AW2044" s="0" t="n">
        <f aca="false">COUNTIF($BA$1348:$EH$1348,"R")</f>
        <v>0</v>
      </c>
      <c r="AX2044" s="0" t="n">
        <f aca="false">IF(BN2044="D",1,0)+IF(BO2044="D",1,0)+IF(BT2044="D",1,0)+IF(BU2044="D",1,0)+IF(BW2044="D",1,0)+IF(CC2044="D",1,0)+IF(CD2044="D",1,0)+IF(CE2044="D",1,0)+IF(CF2044="D",1,0)+IF(CL2044="D",1,0)+IF(CM2044="D",1,0)+IF(CQ2044="D",1,0)+IF(CR2044="D",1,0)+IF(CS2044="D",1,0)+IF(CW2044="D",1,0)+IF(CX2044="D",1,0)+IF(DD2044="D",1,0)+IF(DE2044="D",1,0)+IF(DJ2044="D",1,0)+IF(DK2044="D",1,0)+IF(DO2044="D",1,0)+IF(DP2044="D",1,0)+IF(DQ2044="D",1,0)+IF(DW2044="D",1,0)+IF(DZ2044="D",1,0)+IF(EH2044="D",1,0)</f>
        <v>0</v>
      </c>
      <c r="AY2044" s="0" t="n">
        <f aca="false">COUNTIF(DU2044:EH2044, "&lt;&gt;")</f>
        <v>3</v>
      </c>
      <c r="AZ2044" s="0" t="n">
        <f aca="false">IF(EH2044&lt;&gt;"",1,0)</f>
        <v>0</v>
      </c>
      <c r="BB2044" s="0" t="s">
        <v>152</v>
      </c>
      <c r="DI2044" s="0" t="s">
        <v>153</v>
      </c>
      <c r="DX2044" s="0" t="s">
        <v>153</v>
      </c>
      <c r="EA2044" s="0" t="s">
        <v>153</v>
      </c>
      <c r="EF2044" s="0" t="s">
        <v>153</v>
      </c>
    </row>
    <row r="2045" customFormat="false" ht="13.8" hidden="true" customHeight="false" outlineLevel="0" collapsed="false">
      <c r="A2045" s="0" t="s">
        <v>9031</v>
      </c>
      <c r="B2045" s="0" t="n">
        <v>78</v>
      </c>
      <c r="C2045" s="0" t="n">
        <v>476750</v>
      </c>
      <c r="D2045" s="0" t="s">
        <v>9032</v>
      </c>
      <c r="E2045" s="0" t="s">
        <v>9033</v>
      </c>
      <c r="F2045" s="0" t="str">
        <f aca="false">CONCATENATE(D2045," ",LEFT(H2045,4),"T=",AU2045,"D=",AV2045,"R=",AW2045,"M=",AX2045,"L=",AY2045,"B=",AZ2045)</f>
        <v>LOCKLEAR T=5D=2R=0M=0L=1B=0</v>
      </c>
      <c r="G2045" s="0" t="s">
        <v>9034</v>
      </c>
      <c r="I2045" s="0" t="s">
        <v>9035</v>
      </c>
      <c r="J2045" s="0" t="s">
        <v>9036</v>
      </c>
      <c r="K2045" s="0" t="s">
        <v>160</v>
      </c>
      <c r="M2045" s="0" t="s">
        <v>9037</v>
      </c>
      <c r="N2045" s="0" t="str">
        <f aca="false">RIGHT(M2045,LEN(M2045)-FIND(" ",M2045))</f>
        <v>PORTER ST NE</v>
      </c>
      <c r="P2045" s="0" t="s">
        <v>145</v>
      </c>
      <c r="Q2045" s="0" t="s">
        <v>146</v>
      </c>
      <c r="R2045" s="0" t="n">
        <v>44483</v>
      </c>
      <c r="AD2045" s="0" t="s">
        <v>147</v>
      </c>
      <c r="AE2045" s="0" t="s">
        <v>148</v>
      </c>
      <c r="AF2045" s="0" t="s">
        <v>149</v>
      </c>
      <c r="AH2045" s="0" t="n">
        <v>14</v>
      </c>
      <c r="AI2045" s="0" t="n">
        <v>11</v>
      </c>
      <c r="AN2045" s="0" t="s">
        <v>145</v>
      </c>
      <c r="AO2045" s="0" t="s">
        <v>654</v>
      </c>
      <c r="AP2045" s="0" t="s">
        <v>655</v>
      </c>
      <c r="AQ2045" s="0" t="n">
        <v>9</v>
      </c>
      <c r="AR2045" s="0" t="n">
        <v>64</v>
      </c>
      <c r="AS2045" s="0" t="n">
        <v>32</v>
      </c>
      <c r="AU2045" s="0" t="n">
        <f aca="false">COUNTA($BA$1098:$EH$1098)</f>
        <v>5</v>
      </c>
      <c r="AV2045" s="0" t="n">
        <f aca="false">COUNTIF($BA$1098:$EH$1098,"D")</f>
        <v>2</v>
      </c>
      <c r="AW2045" s="0" t="n">
        <f aca="false">COUNTIF($BA$1098:$EH$1098,"R")</f>
        <v>0</v>
      </c>
      <c r="AX2045" s="0" t="n">
        <f aca="false">IF(BN2045="D",1,0)+IF(BO2045="D",1,0)+IF(BT2045="D",1,0)+IF(BU2045="D",1,0)+IF(BW2045="D",1,0)+IF(CC2045="D",1,0)+IF(CD2045="D",1,0)+IF(CE2045="D",1,0)+IF(CF2045="D",1,0)+IF(CL2045="D",1,0)+IF(CM2045="D",1,0)+IF(CQ2045="D",1,0)+IF(CR2045="D",1,0)+IF(CS2045="D",1,0)+IF(CW2045="D",1,0)+IF(CX2045="D",1,0)+IF(DD2045="D",1,0)+IF(DE2045="D",1,0)+IF(DJ2045="D",1,0)+IF(DK2045="D",1,0)+IF(DO2045="D",1,0)+IF(DP2045="D",1,0)+IF(DQ2045="D",1,0)+IF(DW2045="D",1,0)+IF(DZ2045="D",1,0)+IF(EH2045="D",1,0)</f>
        <v>0</v>
      </c>
      <c r="AY2045" s="0" t="n">
        <f aca="false">COUNTIF(DU2045:EH2045, "&lt;&gt;")</f>
        <v>1</v>
      </c>
      <c r="AZ2045" s="0" t="n">
        <f aca="false">IF(EH2045&lt;&gt;"",1,0)</f>
        <v>0</v>
      </c>
      <c r="BB2045" s="0" t="s">
        <v>152</v>
      </c>
      <c r="EA2045" s="0" t="s">
        <v>153</v>
      </c>
    </row>
    <row r="2046" customFormat="false" ht="13.8" hidden="true" customHeight="false" outlineLevel="0" collapsed="false">
      <c r="A2046" s="0" t="s">
        <v>9038</v>
      </c>
      <c r="B2046" s="0" t="n">
        <v>78</v>
      </c>
      <c r="C2046" s="0" t="n">
        <v>373626</v>
      </c>
      <c r="D2046" s="0" t="s">
        <v>9039</v>
      </c>
      <c r="E2046" s="0" t="s">
        <v>563</v>
      </c>
      <c r="F2046" s="0" t="str">
        <f aca="false">CONCATENATE(D2046," ",LEFT(H2046,4),"T=",AU2046,"D=",AV2046,"R=",AW2046,"M=",AX2046,"L=",AY2046,"B=",AZ2046)</f>
        <v>FARAH T=4D=0R=0M=0L=0B=0</v>
      </c>
      <c r="G2046" s="0" t="s">
        <v>267</v>
      </c>
      <c r="I2046" s="0" t="s">
        <v>8886</v>
      </c>
      <c r="J2046" s="0" t="s">
        <v>9040</v>
      </c>
      <c r="K2046" s="0" t="s">
        <v>143</v>
      </c>
      <c r="M2046" s="0" t="s">
        <v>9037</v>
      </c>
      <c r="N2046" s="0" t="str">
        <f aca="false">RIGHT(M2046,LEN(M2046)-FIND(" ",M2046))</f>
        <v>PORTER ST NE</v>
      </c>
      <c r="P2046" s="0" t="s">
        <v>145</v>
      </c>
      <c r="Q2046" s="0" t="s">
        <v>146</v>
      </c>
      <c r="R2046" s="0" t="n">
        <v>44483</v>
      </c>
      <c r="AD2046" s="0" t="s">
        <v>147</v>
      </c>
      <c r="AE2046" s="0" t="s">
        <v>148</v>
      </c>
      <c r="AF2046" s="0" t="s">
        <v>149</v>
      </c>
      <c r="AH2046" s="0" t="n">
        <v>14</v>
      </c>
      <c r="AI2046" s="0" t="n">
        <v>11</v>
      </c>
      <c r="AN2046" s="0" t="s">
        <v>145</v>
      </c>
      <c r="AO2046" s="0" t="s">
        <v>654</v>
      </c>
      <c r="AP2046" s="0" t="s">
        <v>655</v>
      </c>
      <c r="AQ2046" s="0" t="n">
        <v>9</v>
      </c>
      <c r="AR2046" s="0" t="n">
        <v>64</v>
      </c>
      <c r="AS2046" s="0" t="n">
        <v>32</v>
      </c>
      <c r="AU2046" s="0" t="n">
        <f aca="false">COUNTA($BA$1343:$EH$1343)</f>
        <v>4</v>
      </c>
      <c r="AV2046" s="0" t="n">
        <f aca="false">COUNTIF($BA$1343:$EH$1343,"D")</f>
        <v>0</v>
      </c>
      <c r="AW2046" s="0" t="n">
        <f aca="false">COUNTIF($BA$1343:$EH$1343,"R")</f>
        <v>0</v>
      </c>
      <c r="AX2046" s="0" t="n">
        <f aca="false">IF(BN2046="D",1,0)+IF(BO2046="D",1,0)+IF(BT2046="D",1,0)+IF(BU2046="D",1,0)+IF(BW2046="D",1,0)+IF(CC2046="D",1,0)+IF(CD2046="D",1,0)+IF(CE2046="D",1,0)+IF(CF2046="D",1,0)+IF(CL2046="D",1,0)+IF(CM2046="D",1,0)+IF(CQ2046="D",1,0)+IF(CR2046="D",1,0)+IF(CS2046="D",1,0)+IF(CW2046="D",1,0)+IF(CX2046="D",1,0)+IF(DD2046="D",1,0)+IF(DE2046="D",1,0)+IF(DJ2046="D",1,0)+IF(DK2046="D",1,0)+IF(DO2046="D",1,0)+IF(DP2046="D",1,0)+IF(DQ2046="D",1,0)+IF(DW2046="D",1,0)+IF(DZ2046="D",1,0)+IF(EH2046="D",1,0)</f>
        <v>0</v>
      </c>
      <c r="AY2046" s="0" t="n">
        <f aca="false">COUNTIF(DU2046:EH2046, "&lt;&gt;")</f>
        <v>0</v>
      </c>
      <c r="AZ2046" s="0" t="n">
        <f aca="false">IF(EH2046&lt;&gt;"",1,0)</f>
        <v>0</v>
      </c>
      <c r="BB2046" s="0" t="s">
        <v>152</v>
      </c>
      <c r="CP2046" s="0" t="s">
        <v>153</v>
      </c>
      <c r="DC2046" s="0" t="s">
        <v>153</v>
      </c>
      <c r="DN2046" s="0" t="s">
        <v>153</v>
      </c>
    </row>
    <row r="2047" customFormat="false" ht="13.8" hidden="true" customHeight="false" outlineLevel="0" collapsed="false">
      <c r="A2047" s="0" t="s">
        <v>9041</v>
      </c>
      <c r="B2047" s="0" t="n">
        <v>78</v>
      </c>
      <c r="C2047" s="0" t="n">
        <v>408767</v>
      </c>
      <c r="D2047" s="0" t="s">
        <v>9042</v>
      </c>
      <c r="E2047" s="0" t="s">
        <v>8030</v>
      </c>
      <c r="F2047" s="0" t="str">
        <f aca="false">CONCATENATE(D2047," ",LEFT(H2047,4),"T=",AU2047,"D=",AV2047,"R=",AW2047,"M=",AX2047,"L=",AY2047,"B=",AZ2047)</f>
        <v>FUSSELMAN T=19D=5R=0M=0L=0B=0</v>
      </c>
      <c r="G2047" s="0" t="s">
        <v>307</v>
      </c>
      <c r="I2047" s="0" t="s">
        <v>9043</v>
      </c>
      <c r="J2047" s="0" t="s">
        <v>693</v>
      </c>
      <c r="K2047" s="0" t="s">
        <v>143</v>
      </c>
      <c r="M2047" s="0" t="s">
        <v>9044</v>
      </c>
      <c r="N2047" s="0" t="str">
        <f aca="false">RIGHT(M2047,LEN(M2047)-FIND(" ",M2047))</f>
        <v>PORTER ST NE</v>
      </c>
      <c r="P2047" s="0" t="s">
        <v>145</v>
      </c>
      <c r="Q2047" s="0" t="s">
        <v>146</v>
      </c>
      <c r="R2047" s="0" t="n">
        <v>44483</v>
      </c>
      <c r="AD2047" s="0" t="s">
        <v>147</v>
      </c>
      <c r="AE2047" s="0" t="s">
        <v>148</v>
      </c>
      <c r="AF2047" s="0" t="s">
        <v>149</v>
      </c>
      <c r="AH2047" s="0" t="n">
        <v>14</v>
      </c>
      <c r="AI2047" s="0" t="n">
        <v>11</v>
      </c>
      <c r="AN2047" s="0" t="s">
        <v>145</v>
      </c>
      <c r="AO2047" s="0" t="s">
        <v>654</v>
      </c>
      <c r="AP2047" s="0" t="s">
        <v>655</v>
      </c>
      <c r="AQ2047" s="0" t="n">
        <v>9</v>
      </c>
      <c r="AR2047" s="0" t="n">
        <v>64</v>
      </c>
      <c r="AS2047" s="0" t="n">
        <v>32</v>
      </c>
      <c r="AU2047" s="0" t="n">
        <f aca="false">COUNTA($BA$1755:$EH$1755)</f>
        <v>19</v>
      </c>
      <c r="AV2047" s="0" t="n">
        <f aca="false">COUNTIF($BA$1755:$EH$1755,"D")</f>
        <v>5</v>
      </c>
      <c r="AW2047" s="0" t="n">
        <f aca="false">COUNTIF($BA$1755:$EH$1755,"R")</f>
        <v>0</v>
      </c>
      <c r="AX2047" s="0" t="n">
        <f aca="false">IF(BN2047="D",1,0)+IF(BO2047="D",1,0)+IF(BT2047="D",1,0)+IF(BU2047="D",1,0)+IF(BW2047="D",1,0)+IF(CC2047="D",1,0)+IF(CD2047="D",1,0)+IF(CE2047="D",1,0)+IF(CF2047="D",1,0)+IF(CL2047="D",1,0)+IF(CM2047="D",1,0)+IF(CQ2047="D",1,0)+IF(CR2047="D",1,0)+IF(CS2047="D",1,0)+IF(CW2047="D",1,0)+IF(CX2047="D",1,0)+IF(DD2047="D",1,0)+IF(DE2047="D",1,0)+IF(DJ2047="D",1,0)+IF(DK2047="D",1,0)+IF(DO2047="D",1,0)+IF(DP2047="D",1,0)+IF(DQ2047="D",1,0)+IF(DW2047="D",1,0)+IF(DZ2047="D",1,0)+IF(EH2047="D",1,0)</f>
        <v>0</v>
      </c>
      <c r="AY2047" s="0" t="n">
        <f aca="false">COUNTIF(DU2047:EH2047, "&lt;&gt;")</f>
        <v>0</v>
      </c>
      <c r="AZ2047" s="0" t="n">
        <f aca="false">IF(EH2047&lt;&gt;"",1,0)</f>
        <v>0</v>
      </c>
      <c r="BB2047" s="0" t="s">
        <v>152</v>
      </c>
    </row>
    <row r="2048" customFormat="false" ht="13.8" hidden="true" customHeight="false" outlineLevel="0" collapsed="false">
      <c r="A2048" s="0" t="s">
        <v>9045</v>
      </c>
      <c r="B2048" s="0" t="n">
        <v>78</v>
      </c>
      <c r="C2048" s="0" t="n">
        <v>494872</v>
      </c>
      <c r="D2048" s="0" t="s">
        <v>9046</v>
      </c>
      <c r="E2048" s="0" t="s">
        <v>274</v>
      </c>
      <c r="F2048" s="0" t="str">
        <f aca="false">CONCATENATE(D2048," ",LEFT(H2048,4),"T=",AU2048,"D=",AV2048,"R=",AW2048,"M=",AX2048,"L=",AY2048,"B=",AZ2048)</f>
        <v>DECOST T=9D=2R=0M=0L=0B=0</v>
      </c>
      <c r="G2048" s="0" t="s">
        <v>948</v>
      </c>
      <c r="I2048" s="0" t="s">
        <v>9047</v>
      </c>
      <c r="J2048" s="0" t="s">
        <v>9048</v>
      </c>
      <c r="K2048" s="0" t="s">
        <v>160</v>
      </c>
      <c r="M2048" s="0" t="s">
        <v>9049</v>
      </c>
      <c r="N2048" s="0" t="str">
        <f aca="false">RIGHT(M2048,LEN(M2048)-FIND(" ",M2048))</f>
        <v>PORTER ST NE</v>
      </c>
      <c r="P2048" s="0" t="s">
        <v>145</v>
      </c>
      <c r="Q2048" s="0" t="s">
        <v>146</v>
      </c>
      <c r="R2048" s="0" t="n">
        <v>44483</v>
      </c>
      <c r="AD2048" s="0" t="s">
        <v>147</v>
      </c>
      <c r="AE2048" s="0" t="s">
        <v>148</v>
      </c>
      <c r="AF2048" s="0" t="s">
        <v>149</v>
      </c>
      <c r="AH2048" s="0" t="n">
        <v>14</v>
      </c>
      <c r="AI2048" s="0" t="n">
        <v>11</v>
      </c>
      <c r="AN2048" s="0" t="s">
        <v>145</v>
      </c>
      <c r="AO2048" s="0" t="s">
        <v>654</v>
      </c>
      <c r="AP2048" s="0" t="s">
        <v>655</v>
      </c>
      <c r="AQ2048" s="0" t="n">
        <v>9</v>
      </c>
      <c r="AR2048" s="0" t="n">
        <v>64</v>
      </c>
      <c r="AS2048" s="0" t="n">
        <v>32</v>
      </c>
      <c r="AU2048" s="0" t="n">
        <f aca="false">COUNTA($BA$1189:$EH$1189)</f>
        <v>9</v>
      </c>
      <c r="AV2048" s="0" t="n">
        <f aca="false">COUNTIF($BA$1189:$EH$1189,"D")</f>
        <v>2</v>
      </c>
      <c r="AW2048" s="0" t="n">
        <f aca="false">COUNTIF($BA$1189:$EH$1189,"R")</f>
        <v>0</v>
      </c>
      <c r="AX2048" s="0" t="n">
        <f aca="false">IF(BN2048="D",1,0)+IF(BO2048="D",1,0)+IF(BT2048="D",1,0)+IF(BU2048="D",1,0)+IF(BW2048="D",1,0)+IF(CC2048="D",1,0)+IF(CD2048="D",1,0)+IF(CE2048="D",1,0)+IF(CF2048="D",1,0)+IF(CL2048="D",1,0)+IF(CM2048="D",1,0)+IF(CQ2048="D",1,0)+IF(CR2048="D",1,0)+IF(CS2048="D",1,0)+IF(CW2048="D",1,0)+IF(CX2048="D",1,0)+IF(DD2048="D",1,0)+IF(DE2048="D",1,0)+IF(DJ2048="D",1,0)+IF(DK2048="D",1,0)+IF(DO2048="D",1,0)+IF(DP2048="D",1,0)+IF(DQ2048="D",1,0)+IF(DW2048="D",1,0)+IF(DZ2048="D",1,0)+IF(EH2048="D",1,0)</f>
        <v>0</v>
      </c>
      <c r="AY2048" s="0" t="n">
        <f aca="false">COUNTIF(DU2048:EH2048, "&lt;&gt;")</f>
        <v>0</v>
      </c>
      <c r="AZ2048" s="0" t="n">
        <f aca="false">IF(EH2048&lt;&gt;"",1,0)</f>
        <v>0</v>
      </c>
      <c r="BB2048" s="0" t="s">
        <v>152</v>
      </c>
    </row>
    <row r="2049" customFormat="false" ht="13.8" hidden="true" customHeight="false" outlineLevel="0" collapsed="false">
      <c r="A2049" s="0" t="s">
        <v>9050</v>
      </c>
      <c r="B2049" s="0" t="n">
        <v>78</v>
      </c>
      <c r="C2049" s="0" t="n">
        <v>233324</v>
      </c>
      <c r="D2049" s="0" t="s">
        <v>9051</v>
      </c>
      <c r="E2049" s="0" t="s">
        <v>447</v>
      </c>
      <c r="F2049" s="0" t="str">
        <f aca="false">CONCATENATE(D2049," ",LEFT(H2049,4),"T=",AU2049,"D=",AV2049,"R=",AW2049,"M=",AX2049,"L=",AY2049,"B=",AZ2049)</f>
        <v>FURLONG T=50D=16R=0M=0L=1B=0</v>
      </c>
      <c r="G2049" s="0" t="s">
        <v>2935</v>
      </c>
      <c r="I2049" s="0" t="s">
        <v>9052</v>
      </c>
      <c r="J2049" s="0" t="s">
        <v>1316</v>
      </c>
      <c r="K2049" s="0" t="s">
        <v>160</v>
      </c>
      <c r="M2049" s="0" t="s">
        <v>9049</v>
      </c>
      <c r="N2049" s="0" t="str">
        <f aca="false">RIGHT(M2049,LEN(M2049)-FIND(" ",M2049))</f>
        <v>PORTER ST NE</v>
      </c>
      <c r="P2049" s="0" t="s">
        <v>145</v>
      </c>
      <c r="Q2049" s="0" t="s">
        <v>146</v>
      </c>
      <c r="R2049" s="0" t="n">
        <v>44483</v>
      </c>
      <c r="AD2049" s="0" t="s">
        <v>147</v>
      </c>
      <c r="AE2049" s="0" t="s">
        <v>148</v>
      </c>
      <c r="AF2049" s="0" t="s">
        <v>149</v>
      </c>
      <c r="AH2049" s="0" t="n">
        <v>14</v>
      </c>
      <c r="AI2049" s="0" t="n">
        <v>11</v>
      </c>
      <c r="AN2049" s="0" t="s">
        <v>145</v>
      </c>
      <c r="AO2049" s="0" t="s">
        <v>654</v>
      </c>
      <c r="AP2049" s="0" t="s">
        <v>655</v>
      </c>
      <c r="AQ2049" s="0" t="n">
        <v>9</v>
      </c>
      <c r="AR2049" s="0" t="n">
        <v>64</v>
      </c>
      <c r="AS2049" s="0" t="n">
        <v>32</v>
      </c>
      <c r="AU2049" s="0" t="n">
        <f aca="false">COUNTA($BA$1696:$EH$1696)</f>
        <v>50</v>
      </c>
      <c r="AV2049" s="0" t="n">
        <f aca="false">COUNTIF($BA$1696:$EH$1696,"D")</f>
        <v>16</v>
      </c>
      <c r="AW2049" s="0" t="n">
        <f aca="false">COUNTIF($BA$1696:$EH$1696,"R")</f>
        <v>0</v>
      </c>
      <c r="AX2049" s="0" t="n">
        <f aca="false">IF(BN2049="D",1,0)+IF(BO2049="D",1,0)+IF(BT2049="D",1,0)+IF(BU2049="D",1,0)+IF(BW2049="D",1,0)+IF(CC2049="D",1,0)+IF(CD2049="D",1,0)+IF(CE2049="D",1,0)+IF(CF2049="D",1,0)+IF(CL2049="D",1,0)+IF(CM2049="D",1,0)+IF(CQ2049="D",1,0)+IF(CR2049="D",1,0)+IF(CS2049="D",1,0)+IF(CW2049="D",1,0)+IF(CX2049="D",1,0)+IF(DD2049="D",1,0)+IF(DE2049="D",1,0)+IF(DJ2049="D",1,0)+IF(DK2049="D",1,0)+IF(DO2049="D",1,0)+IF(DP2049="D",1,0)+IF(DQ2049="D",1,0)+IF(DW2049="D",1,0)+IF(DZ2049="D",1,0)+IF(EH2049="D",1,0)</f>
        <v>0</v>
      </c>
      <c r="AY2049" s="0" t="n">
        <f aca="false">COUNTIF(DU2049:EH2049, "&lt;&gt;")</f>
        <v>1</v>
      </c>
      <c r="AZ2049" s="0" t="n">
        <f aca="false">IF(EH2049&lt;&gt;"",1,0)</f>
        <v>0</v>
      </c>
      <c r="BB2049" s="0" t="s">
        <v>152</v>
      </c>
      <c r="BC2049" s="0" t="s">
        <v>153</v>
      </c>
      <c r="DU2049" s="0" t="s">
        <v>153</v>
      </c>
    </row>
    <row r="2050" customFormat="false" ht="13.8" hidden="true" customHeight="false" outlineLevel="0" collapsed="false">
      <c r="A2050" s="0" t="s">
        <v>9053</v>
      </c>
      <c r="B2050" s="0" t="n">
        <v>78</v>
      </c>
      <c r="C2050" s="0" t="n">
        <v>434722</v>
      </c>
      <c r="D2050" s="0" t="s">
        <v>9054</v>
      </c>
      <c r="E2050" s="0" t="s">
        <v>1282</v>
      </c>
      <c r="F2050" s="0" t="str">
        <f aca="false">CONCATENATE(D2050," ",LEFT(H2050,4),"T=",AU2050,"D=",AV2050,"R=",AW2050,"M=",AX2050,"L=",AY2050,"B=",AZ2050)</f>
        <v>WINLAND T=49D=16R=0M=0L=0B=0</v>
      </c>
      <c r="G2050" s="0" t="s">
        <v>839</v>
      </c>
      <c r="I2050" s="0" t="s">
        <v>9055</v>
      </c>
      <c r="J2050" s="0" t="s">
        <v>4133</v>
      </c>
      <c r="K2050" s="0" t="s">
        <v>160</v>
      </c>
      <c r="M2050" s="0" t="s">
        <v>9056</v>
      </c>
      <c r="N2050" s="0" t="str">
        <f aca="false">RIGHT(M2050,LEN(M2050)-FIND(" ",M2050))</f>
        <v>PORTER ST NE</v>
      </c>
      <c r="P2050" s="0" t="s">
        <v>145</v>
      </c>
      <c r="Q2050" s="0" t="s">
        <v>146</v>
      </c>
      <c r="R2050" s="0" t="n">
        <v>44483</v>
      </c>
      <c r="AD2050" s="0" t="s">
        <v>147</v>
      </c>
      <c r="AE2050" s="0" t="s">
        <v>148</v>
      </c>
      <c r="AF2050" s="0" t="s">
        <v>149</v>
      </c>
      <c r="AH2050" s="0" t="n">
        <v>14</v>
      </c>
      <c r="AI2050" s="0" t="n">
        <v>11</v>
      </c>
      <c r="AN2050" s="0" t="s">
        <v>145</v>
      </c>
      <c r="AO2050" s="0" t="s">
        <v>654</v>
      </c>
      <c r="AP2050" s="0" t="s">
        <v>655</v>
      </c>
      <c r="AQ2050" s="0" t="n">
        <v>9</v>
      </c>
      <c r="AR2050" s="0" t="n">
        <v>64</v>
      </c>
      <c r="AS2050" s="0" t="n">
        <v>32</v>
      </c>
      <c r="AU2050" s="0" t="n">
        <f aca="false">COUNTA($BA$1603:$EH$1603)</f>
        <v>49</v>
      </c>
      <c r="AV2050" s="0" t="n">
        <f aca="false">COUNTIF($BA$1603:$EH$1603,"D")</f>
        <v>16</v>
      </c>
      <c r="AW2050" s="0" t="n">
        <f aca="false">COUNTIF($BA$1603:$EH$1603,"R")</f>
        <v>0</v>
      </c>
      <c r="AX2050" s="0" t="n">
        <f aca="false">IF(BN2050="D",1,0)+IF(BO2050="D",1,0)+IF(BT2050="D",1,0)+IF(BU2050="D",1,0)+IF(BW2050="D",1,0)+IF(CC2050="D",1,0)+IF(CD2050="D",1,0)+IF(CE2050="D",1,0)+IF(CF2050="D",1,0)+IF(CL2050="D",1,0)+IF(CM2050="D",1,0)+IF(CQ2050="D",1,0)+IF(CR2050="D",1,0)+IF(CS2050="D",1,0)+IF(CW2050="D",1,0)+IF(CX2050="D",1,0)+IF(DD2050="D",1,0)+IF(DE2050="D",1,0)+IF(DJ2050="D",1,0)+IF(DK2050="D",1,0)+IF(DO2050="D",1,0)+IF(DP2050="D",1,0)+IF(DQ2050="D",1,0)+IF(DW2050="D",1,0)+IF(DZ2050="D",1,0)+IF(EH2050="D",1,0)</f>
        <v>0</v>
      </c>
      <c r="AY2050" s="0" t="n">
        <f aca="false">COUNTIF(DU2050:EH2050, "&lt;&gt;")</f>
        <v>0</v>
      </c>
      <c r="AZ2050" s="0" t="n">
        <f aca="false">IF(EH2050&lt;&gt;"",1,0)</f>
        <v>0</v>
      </c>
      <c r="BB2050" s="0" t="s">
        <v>152</v>
      </c>
    </row>
    <row r="2051" customFormat="false" ht="13.8" hidden="true" customHeight="false" outlineLevel="0" collapsed="false">
      <c r="A2051" s="0" t="s">
        <v>9057</v>
      </c>
      <c r="B2051" s="0" t="n">
        <v>78</v>
      </c>
      <c r="C2051" s="0" t="n">
        <v>487853</v>
      </c>
      <c r="D2051" s="0" t="s">
        <v>9058</v>
      </c>
      <c r="E2051" s="0" t="s">
        <v>1409</v>
      </c>
      <c r="F2051" s="0" t="str">
        <f aca="false">CONCATENATE(D2051," ",LEFT(H2051,4),"T=",AU2051,"D=",AV2051,"R=",AW2051,"M=",AX2051,"L=",AY2051,"B=",AZ2051)</f>
        <v>GARL T=7D=0R=0M=0L=0B=0</v>
      </c>
      <c r="G2051" s="0" t="s">
        <v>171</v>
      </c>
      <c r="I2051" s="0" t="s">
        <v>9059</v>
      </c>
      <c r="J2051" s="0" t="s">
        <v>9060</v>
      </c>
      <c r="K2051" s="0" t="s">
        <v>160</v>
      </c>
      <c r="M2051" s="0" t="s">
        <v>9061</v>
      </c>
      <c r="N2051" s="0" t="str">
        <f aca="false">RIGHT(M2051,LEN(M2051)-FIND(" ",M2051))</f>
        <v>PORTER ST NE</v>
      </c>
      <c r="P2051" s="0" t="s">
        <v>145</v>
      </c>
      <c r="Q2051" s="0" t="s">
        <v>146</v>
      </c>
      <c r="R2051" s="0" t="n">
        <v>44483</v>
      </c>
      <c r="AD2051" s="0" t="s">
        <v>147</v>
      </c>
      <c r="AE2051" s="0" t="s">
        <v>148</v>
      </c>
      <c r="AF2051" s="0" t="s">
        <v>149</v>
      </c>
      <c r="AH2051" s="0" t="n">
        <v>14</v>
      </c>
      <c r="AI2051" s="0" t="n">
        <v>11</v>
      </c>
      <c r="AN2051" s="0" t="s">
        <v>145</v>
      </c>
      <c r="AO2051" s="0" t="s">
        <v>654</v>
      </c>
      <c r="AP2051" s="0" t="s">
        <v>655</v>
      </c>
      <c r="AQ2051" s="0" t="n">
        <v>9</v>
      </c>
      <c r="AR2051" s="0" t="n">
        <v>64</v>
      </c>
      <c r="AS2051" s="0" t="n">
        <v>32</v>
      </c>
      <c r="AU2051" s="0" t="n">
        <f aca="false">COUNTA($BA$1276:$EH$1276)</f>
        <v>7</v>
      </c>
      <c r="AV2051" s="0" t="n">
        <f aca="false">COUNTIF($BA$1276:$EH$1276,"D")</f>
        <v>0</v>
      </c>
      <c r="AW2051" s="0" t="n">
        <f aca="false">COUNTIF($BA$1276:$EH$1276,"R")</f>
        <v>0</v>
      </c>
      <c r="AX2051" s="0" t="n">
        <f aca="false">IF(BN2051="D",1,0)+IF(BO2051="D",1,0)+IF(BT2051="D",1,0)+IF(BU2051="D",1,0)+IF(BW2051="D",1,0)+IF(CC2051="D",1,0)+IF(CD2051="D",1,0)+IF(CE2051="D",1,0)+IF(CF2051="D",1,0)+IF(CL2051="D",1,0)+IF(CM2051="D",1,0)+IF(CQ2051="D",1,0)+IF(CR2051="D",1,0)+IF(CS2051="D",1,0)+IF(CW2051="D",1,0)+IF(CX2051="D",1,0)+IF(DD2051="D",1,0)+IF(DE2051="D",1,0)+IF(DJ2051="D",1,0)+IF(DK2051="D",1,0)+IF(DO2051="D",1,0)+IF(DP2051="D",1,0)+IF(DQ2051="D",1,0)+IF(DW2051="D",1,0)+IF(DZ2051="D",1,0)+IF(EH2051="D",1,0)</f>
        <v>0</v>
      </c>
      <c r="AY2051" s="0" t="n">
        <f aca="false">COUNTIF(DU2051:EH2051, "&lt;&gt;")</f>
        <v>0</v>
      </c>
      <c r="AZ2051" s="0" t="n">
        <f aca="false">IF(EH2051&lt;&gt;"",1,0)</f>
        <v>0</v>
      </c>
      <c r="BB2051" s="0" t="s">
        <v>152</v>
      </c>
    </row>
    <row r="2052" customFormat="false" ht="13.8" hidden="true" customHeight="false" outlineLevel="0" collapsed="false">
      <c r="A2052" s="0" t="s">
        <v>9062</v>
      </c>
      <c r="B2052" s="0" t="n">
        <v>78</v>
      </c>
      <c r="C2052" s="0" t="n">
        <v>245023</v>
      </c>
      <c r="D2052" s="0" t="s">
        <v>2831</v>
      </c>
      <c r="E2052" s="0" t="s">
        <v>2859</v>
      </c>
      <c r="F2052" s="0" t="str">
        <f aca="false">CONCATENATE(D2052," ",LEFT(H2052,4),"T=",AU2052,"D=",AV2052,"R=",AW2052,"M=",AX2052,"L=",AY2052,"B=",AZ2052)</f>
        <v>BOOTH T=3D=0R=0M=0L=1B=0</v>
      </c>
      <c r="G2052" s="0" t="s">
        <v>325</v>
      </c>
      <c r="I2052" s="0" t="s">
        <v>9063</v>
      </c>
      <c r="J2052" s="0" t="s">
        <v>2720</v>
      </c>
      <c r="K2052" s="0" t="s">
        <v>160</v>
      </c>
      <c r="M2052" s="0" t="s">
        <v>9064</v>
      </c>
      <c r="N2052" s="0" t="str">
        <f aca="false">RIGHT(M2052,LEN(M2052)-FIND(" ",M2052))</f>
        <v>PORTER ST NE</v>
      </c>
      <c r="P2052" s="0" t="s">
        <v>145</v>
      </c>
      <c r="Q2052" s="0" t="s">
        <v>146</v>
      </c>
      <c r="R2052" s="0" t="n">
        <v>44483</v>
      </c>
      <c r="AD2052" s="0" t="s">
        <v>147</v>
      </c>
      <c r="AE2052" s="0" t="s">
        <v>148</v>
      </c>
      <c r="AF2052" s="0" t="s">
        <v>149</v>
      </c>
      <c r="AH2052" s="0" t="n">
        <v>14</v>
      </c>
      <c r="AI2052" s="0" t="n">
        <v>11</v>
      </c>
      <c r="AN2052" s="0" t="s">
        <v>145</v>
      </c>
      <c r="AO2052" s="0" t="s">
        <v>654</v>
      </c>
      <c r="AP2052" s="0" t="s">
        <v>655</v>
      </c>
      <c r="AQ2052" s="0" t="n">
        <v>9</v>
      </c>
      <c r="AR2052" s="0" t="n">
        <v>64</v>
      </c>
      <c r="AS2052" s="0" t="n">
        <v>32</v>
      </c>
      <c r="AU2052" s="0" t="n">
        <f aca="false">COUNTA($BA$1633:$EH$1633)</f>
        <v>3</v>
      </c>
      <c r="AV2052" s="0" t="n">
        <f aca="false">COUNTIF($BA$1633:$EH$1633,"D")</f>
        <v>0</v>
      </c>
      <c r="AW2052" s="0" t="n">
        <f aca="false">COUNTIF($BA$1633:$EH$1633,"R")</f>
        <v>0</v>
      </c>
      <c r="AX2052" s="0" t="n">
        <f aca="false">IF(BN2052="D",1,0)+IF(BO2052="D",1,0)+IF(BT2052="D",1,0)+IF(BU2052="D",1,0)+IF(BW2052="D",1,0)+IF(CC2052="D",1,0)+IF(CD2052="D",1,0)+IF(CE2052="D",1,0)+IF(CF2052="D",1,0)+IF(CL2052="D",1,0)+IF(CM2052="D",1,0)+IF(CQ2052="D",1,0)+IF(CR2052="D",1,0)+IF(CS2052="D",1,0)+IF(CW2052="D",1,0)+IF(CX2052="D",1,0)+IF(DD2052="D",1,0)+IF(DE2052="D",1,0)+IF(DJ2052="D",1,0)+IF(DK2052="D",1,0)+IF(DO2052="D",1,0)+IF(DP2052="D",1,0)+IF(DQ2052="D",1,0)+IF(DW2052="D",1,0)+IF(DZ2052="D",1,0)+IF(EH2052="D",1,0)</f>
        <v>0</v>
      </c>
      <c r="AY2052" s="0" t="n">
        <f aca="false">COUNTIF(DU2052:EH2052, "&lt;&gt;")</f>
        <v>1</v>
      </c>
      <c r="AZ2052" s="0" t="n">
        <f aca="false">IF(EH2052&lt;&gt;"",1,0)</f>
        <v>0</v>
      </c>
      <c r="BB2052" s="0" t="s">
        <v>152</v>
      </c>
      <c r="BD2052" s="0" t="s">
        <v>153</v>
      </c>
      <c r="BH2052" s="0" t="s">
        <v>153</v>
      </c>
      <c r="BY2052" s="0" t="s">
        <v>175</v>
      </c>
      <c r="CA2052" s="0" t="s">
        <v>153</v>
      </c>
      <c r="CN2052" s="0" t="s">
        <v>153</v>
      </c>
      <c r="CP2052" s="0" t="s">
        <v>153</v>
      </c>
      <c r="DN2052" s="0" t="s">
        <v>153</v>
      </c>
      <c r="EF2052" s="0" t="s">
        <v>153</v>
      </c>
    </row>
    <row r="2053" customFormat="false" ht="13.8" hidden="true" customHeight="false" outlineLevel="0" collapsed="false">
      <c r="A2053" s="0" t="s">
        <v>9065</v>
      </c>
      <c r="B2053" s="0" t="n">
        <v>78</v>
      </c>
      <c r="C2053" s="0" t="n">
        <v>487570</v>
      </c>
      <c r="D2053" s="0" t="s">
        <v>2509</v>
      </c>
      <c r="E2053" s="0" t="s">
        <v>9066</v>
      </c>
      <c r="F2053" s="0" t="str">
        <f aca="false">CONCATENATE(D2053," ",LEFT(H2053,4),"T=",AU2053,"D=",AV2053,"R=",AW2053,"M=",AX2053,"L=",AY2053,"B=",AZ2053)</f>
        <v>ROBINSON T=1D=0R=0M=0L=0B=0</v>
      </c>
      <c r="I2053" s="0" t="s">
        <v>9067</v>
      </c>
      <c r="J2053" s="0" t="s">
        <v>1253</v>
      </c>
      <c r="K2053" s="0" t="s">
        <v>160</v>
      </c>
      <c r="M2053" s="0" t="s">
        <v>9068</v>
      </c>
      <c r="N2053" s="0" t="str">
        <f aca="false">RIGHT(M2053,LEN(M2053)-FIND(" ",M2053))</f>
        <v>ROMAN ST SE</v>
      </c>
      <c r="P2053" s="0" t="s">
        <v>145</v>
      </c>
      <c r="Q2053" s="0" t="s">
        <v>146</v>
      </c>
      <c r="R2053" s="0" t="n">
        <v>44484</v>
      </c>
      <c r="AD2053" s="0" t="s">
        <v>147</v>
      </c>
      <c r="AE2053" s="0" t="s">
        <v>148</v>
      </c>
      <c r="AF2053" s="0" t="s">
        <v>149</v>
      </c>
      <c r="AH2053" s="0" t="n">
        <v>14</v>
      </c>
      <c r="AI2053" s="0" t="n">
        <v>11</v>
      </c>
      <c r="AN2053" s="0" t="s">
        <v>145</v>
      </c>
      <c r="AO2053" s="0" t="s">
        <v>233</v>
      </c>
      <c r="AP2053" s="0" t="s">
        <v>234</v>
      </c>
      <c r="AQ2053" s="0" t="n">
        <v>9</v>
      </c>
      <c r="AR2053" s="0" t="n">
        <v>64</v>
      </c>
      <c r="AS2053" s="0" t="n">
        <v>32</v>
      </c>
      <c r="AU2053" s="0" t="n">
        <f aca="false">COUNTA($BA$2268:$EH$2268)</f>
        <v>1</v>
      </c>
      <c r="AV2053" s="0" t="n">
        <f aca="false">COUNTIF($BA$2268:$EH$2268,"D")</f>
        <v>0</v>
      </c>
      <c r="AW2053" s="0" t="n">
        <f aca="false">COUNTIF($BA$2268:$EH$2268,"R")</f>
        <v>0</v>
      </c>
      <c r="AX2053" s="0" t="n">
        <f aca="false">IF(BN2053="D",1,0)+IF(BO2053="D",1,0)+IF(BT2053="D",1,0)+IF(BU2053="D",1,0)+IF(BW2053="D",1,0)+IF(CC2053="D",1,0)+IF(CD2053="D",1,0)+IF(CE2053="D",1,0)+IF(CF2053="D",1,0)+IF(CL2053="D",1,0)+IF(CM2053="D",1,0)+IF(CQ2053="D",1,0)+IF(CR2053="D",1,0)+IF(CS2053="D",1,0)+IF(CW2053="D",1,0)+IF(CX2053="D",1,0)+IF(DD2053="D",1,0)+IF(DE2053="D",1,0)+IF(DJ2053="D",1,0)+IF(DK2053="D",1,0)+IF(DO2053="D",1,0)+IF(DP2053="D",1,0)+IF(DQ2053="D",1,0)+IF(DW2053="D",1,0)+IF(DZ2053="D",1,0)+IF(EH2053="D",1,0)</f>
        <v>0</v>
      </c>
      <c r="AY2053" s="0" t="n">
        <f aca="false">COUNTIF(DU2053:EH2053, "&lt;&gt;")</f>
        <v>0</v>
      </c>
      <c r="AZ2053" s="0" t="n">
        <f aca="false">IF(EH2053&lt;&gt;"",1,0)</f>
        <v>0</v>
      </c>
      <c r="BB2053" s="0" t="s">
        <v>152</v>
      </c>
    </row>
    <row r="2054" customFormat="false" ht="13.8" hidden="true" customHeight="false" outlineLevel="0" collapsed="false">
      <c r="A2054" s="0" t="s">
        <v>9069</v>
      </c>
      <c r="B2054" s="0" t="n">
        <v>78</v>
      </c>
      <c r="C2054" s="0" t="n">
        <v>381282</v>
      </c>
      <c r="D2054" s="0" t="s">
        <v>2509</v>
      </c>
      <c r="E2054" s="0" t="s">
        <v>610</v>
      </c>
      <c r="F2054" s="0" t="str">
        <f aca="false">CONCATENATE(D2054," ",LEFT(H2054,4),"T=",AU2054,"D=",AV2054,"R=",AW2054,"M=",AX2054,"L=",AY2054,"B=",AZ2054)</f>
        <v>ROBINSON T=20D=0R=6M=0L=0B=0</v>
      </c>
      <c r="G2054" s="0" t="s">
        <v>164</v>
      </c>
      <c r="I2054" s="0" t="s">
        <v>9070</v>
      </c>
      <c r="J2054" s="0" t="s">
        <v>455</v>
      </c>
      <c r="K2054" s="0" t="s">
        <v>160</v>
      </c>
      <c r="M2054" s="0" t="s">
        <v>9068</v>
      </c>
      <c r="N2054" s="0" t="str">
        <f aca="false">RIGHT(M2054,LEN(M2054)-FIND(" ",M2054))</f>
        <v>ROMAN ST SE</v>
      </c>
      <c r="P2054" s="0" t="s">
        <v>145</v>
      </c>
      <c r="Q2054" s="0" t="s">
        <v>146</v>
      </c>
      <c r="R2054" s="0" t="n">
        <v>44484</v>
      </c>
      <c r="AD2054" s="0" t="s">
        <v>147</v>
      </c>
      <c r="AE2054" s="0" t="s">
        <v>148</v>
      </c>
      <c r="AF2054" s="0" t="s">
        <v>149</v>
      </c>
      <c r="AH2054" s="0" t="n">
        <v>14</v>
      </c>
      <c r="AI2054" s="0" t="n">
        <v>11</v>
      </c>
      <c r="AN2054" s="0" t="s">
        <v>145</v>
      </c>
      <c r="AO2054" s="0" t="s">
        <v>233</v>
      </c>
      <c r="AP2054" s="0" t="s">
        <v>234</v>
      </c>
      <c r="AQ2054" s="0" t="n">
        <v>9</v>
      </c>
      <c r="AR2054" s="0" t="n">
        <v>64</v>
      </c>
      <c r="AS2054" s="0" t="n">
        <v>32</v>
      </c>
      <c r="AU2054" s="0" t="n">
        <f aca="false">COUNTA($BA$2602:$EH$2602)</f>
        <v>20</v>
      </c>
      <c r="AV2054" s="0" t="n">
        <f aca="false">COUNTIF($BA$2602:$EH$2602,"D")</f>
        <v>0</v>
      </c>
      <c r="AW2054" s="0" t="n">
        <f aca="false">COUNTIF($BA$2602:$EH$2602,"R")</f>
        <v>6</v>
      </c>
      <c r="AX2054" s="0" t="n">
        <f aca="false">IF(BN2054="D",1,0)+IF(BO2054="D",1,0)+IF(BT2054="D",1,0)+IF(BU2054="D",1,0)+IF(BW2054="D",1,0)+IF(CC2054="D",1,0)+IF(CD2054="D",1,0)+IF(CE2054="D",1,0)+IF(CF2054="D",1,0)+IF(CL2054="D",1,0)+IF(CM2054="D",1,0)+IF(CQ2054="D",1,0)+IF(CR2054="D",1,0)+IF(CS2054="D",1,0)+IF(CW2054="D",1,0)+IF(CX2054="D",1,0)+IF(DD2054="D",1,0)+IF(DE2054="D",1,0)+IF(DJ2054="D",1,0)+IF(DK2054="D",1,0)+IF(DO2054="D",1,0)+IF(DP2054="D",1,0)+IF(DQ2054="D",1,0)+IF(DW2054="D",1,0)+IF(DZ2054="D",1,0)+IF(EH2054="D",1,0)</f>
        <v>0</v>
      </c>
      <c r="AY2054" s="0" t="n">
        <f aca="false">COUNTIF(DU2054:EH2054, "&lt;&gt;")</f>
        <v>0</v>
      </c>
      <c r="AZ2054" s="0" t="n">
        <f aca="false">IF(EH2054&lt;&gt;"",1,0)</f>
        <v>0</v>
      </c>
      <c r="BB2054" s="0" t="s">
        <v>152</v>
      </c>
    </row>
    <row r="2055" customFormat="false" ht="13.8" hidden="true" customHeight="false" outlineLevel="0" collapsed="false">
      <c r="A2055" s="0" t="s">
        <v>9071</v>
      </c>
      <c r="B2055" s="0" t="n">
        <v>78</v>
      </c>
      <c r="C2055" s="0" t="n">
        <v>424677</v>
      </c>
      <c r="D2055" s="0" t="s">
        <v>770</v>
      </c>
      <c r="E2055" s="0" t="s">
        <v>2951</v>
      </c>
      <c r="F2055" s="0" t="str">
        <f aca="false">CONCATENATE(D2055," ",LEFT(H2055,4),"T=",AU2055,"D=",AV2055,"R=",AW2055,"M=",AX2055,"L=",AY2055,"B=",AZ2055)</f>
        <v>ALLEN T=1D=0R=0M=0L=0B=0</v>
      </c>
      <c r="G2055" s="0" t="s">
        <v>164</v>
      </c>
      <c r="I2055" s="0" t="s">
        <v>9072</v>
      </c>
      <c r="J2055" s="0" t="s">
        <v>1079</v>
      </c>
      <c r="K2055" s="0" t="s">
        <v>160</v>
      </c>
      <c r="M2055" s="0" t="s">
        <v>9073</v>
      </c>
      <c r="N2055" s="0" t="str">
        <f aca="false">RIGHT(M2055,LEN(M2055)-FIND(" ",M2055))</f>
        <v>ROMAN ST SE</v>
      </c>
      <c r="P2055" s="0" t="s">
        <v>145</v>
      </c>
      <c r="Q2055" s="0" t="s">
        <v>146</v>
      </c>
      <c r="R2055" s="0" t="n">
        <v>44484</v>
      </c>
      <c r="AD2055" s="0" t="s">
        <v>147</v>
      </c>
      <c r="AE2055" s="0" t="s">
        <v>148</v>
      </c>
      <c r="AF2055" s="0" t="s">
        <v>149</v>
      </c>
      <c r="AH2055" s="0" t="n">
        <v>14</v>
      </c>
      <c r="AI2055" s="0" t="n">
        <v>11</v>
      </c>
      <c r="AN2055" s="0" t="s">
        <v>145</v>
      </c>
      <c r="AO2055" s="0" t="s">
        <v>233</v>
      </c>
      <c r="AP2055" s="0" t="s">
        <v>234</v>
      </c>
      <c r="AQ2055" s="0" t="n">
        <v>9</v>
      </c>
      <c r="AR2055" s="0" t="n">
        <v>64</v>
      </c>
      <c r="AS2055" s="0" t="n">
        <v>32</v>
      </c>
      <c r="AU2055" s="0" t="n">
        <f aca="false">COUNTA($BA$2486:$EH$2486)</f>
        <v>1</v>
      </c>
      <c r="AV2055" s="0" t="n">
        <f aca="false">COUNTIF($BA$2486:$EH$2486,"D")</f>
        <v>0</v>
      </c>
      <c r="AW2055" s="0" t="n">
        <f aca="false">COUNTIF($BA$2486:$EH$2486,"R")</f>
        <v>0</v>
      </c>
      <c r="AX2055" s="0" t="n">
        <f aca="false">IF(BN2055="D",1,0)+IF(BO2055="D",1,0)+IF(BT2055="D",1,0)+IF(BU2055="D",1,0)+IF(BW2055="D",1,0)+IF(CC2055="D",1,0)+IF(CD2055="D",1,0)+IF(CE2055="D",1,0)+IF(CF2055="D",1,0)+IF(CL2055="D",1,0)+IF(CM2055="D",1,0)+IF(CQ2055="D",1,0)+IF(CR2055="D",1,0)+IF(CS2055="D",1,0)+IF(CW2055="D",1,0)+IF(CX2055="D",1,0)+IF(DD2055="D",1,0)+IF(DE2055="D",1,0)+IF(DJ2055="D",1,0)+IF(DK2055="D",1,0)+IF(DO2055="D",1,0)+IF(DP2055="D",1,0)+IF(DQ2055="D",1,0)+IF(DW2055="D",1,0)+IF(DZ2055="D",1,0)+IF(EH2055="D",1,0)</f>
        <v>0</v>
      </c>
      <c r="AY2055" s="0" t="n">
        <f aca="false">COUNTIF(DU2055:EH2055, "&lt;&gt;")</f>
        <v>0</v>
      </c>
      <c r="AZ2055" s="0" t="n">
        <f aca="false">IF(EH2055&lt;&gt;"",1,0)</f>
        <v>0</v>
      </c>
      <c r="BB2055" s="0" t="s">
        <v>152</v>
      </c>
      <c r="CP2055" s="0" t="s">
        <v>153</v>
      </c>
      <c r="CV2055" s="0" t="s">
        <v>153</v>
      </c>
    </row>
    <row r="2056" customFormat="false" ht="13.8" hidden="true" customHeight="false" outlineLevel="0" collapsed="false">
      <c r="A2056" s="0" t="s">
        <v>9074</v>
      </c>
      <c r="B2056" s="0" t="n">
        <v>78</v>
      </c>
      <c r="C2056" s="0" t="n">
        <v>380772</v>
      </c>
      <c r="D2056" s="0" t="s">
        <v>1095</v>
      </c>
      <c r="E2056" s="0" t="s">
        <v>4448</v>
      </c>
      <c r="F2056" s="0" t="str">
        <f aca="false">CONCATENATE(D2056," ",LEFT(H2056,4),"T=",AU2056,"D=",AV2056,"R=",AW2056,"M=",AX2056,"L=",AY2056,"B=",AZ2056)</f>
        <v>RICE T=2D=0R=0M=0L=0B=0</v>
      </c>
      <c r="G2056" s="0" t="s">
        <v>202</v>
      </c>
      <c r="I2056" s="0" t="s">
        <v>9075</v>
      </c>
      <c r="J2056" s="0" t="s">
        <v>9076</v>
      </c>
      <c r="K2056" s="0" t="s">
        <v>143</v>
      </c>
      <c r="M2056" s="0" t="s">
        <v>9077</v>
      </c>
      <c r="N2056" s="0" t="str">
        <f aca="false">RIGHT(M2056,LEN(M2056)-FIND(" ",M2056))</f>
        <v>ROMAN ST SE</v>
      </c>
      <c r="P2056" s="0" t="s">
        <v>145</v>
      </c>
      <c r="Q2056" s="0" t="s">
        <v>146</v>
      </c>
      <c r="R2056" s="0" t="n">
        <v>44484</v>
      </c>
      <c r="AD2056" s="0" t="s">
        <v>147</v>
      </c>
      <c r="AE2056" s="0" t="s">
        <v>148</v>
      </c>
      <c r="AF2056" s="0" t="s">
        <v>149</v>
      </c>
      <c r="AH2056" s="0" t="n">
        <v>14</v>
      </c>
      <c r="AI2056" s="0" t="n">
        <v>11</v>
      </c>
      <c r="AN2056" s="0" t="s">
        <v>145</v>
      </c>
      <c r="AO2056" s="0" t="s">
        <v>233</v>
      </c>
      <c r="AP2056" s="0" t="s">
        <v>234</v>
      </c>
      <c r="AQ2056" s="0" t="n">
        <v>9</v>
      </c>
      <c r="AR2056" s="0" t="n">
        <v>64</v>
      </c>
      <c r="AS2056" s="0" t="n">
        <v>32</v>
      </c>
      <c r="AU2056" s="0" t="n">
        <f aca="false">COUNTA($BA$2449:$EH$2449)</f>
        <v>2</v>
      </c>
      <c r="AV2056" s="0" t="n">
        <f aca="false">COUNTIF($BA$2449:$EH$2449,"D")</f>
        <v>0</v>
      </c>
      <c r="AW2056" s="0" t="n">
        <f aca="false">COUNTIF($BA$2449:$EH$2449,"R")</f>
        <v>0</v>
      </c>
      <c r="AX2056" s="0" t="n">
        <f aca="false">IF(BN2056="D",1,0)+IF(BO2056="D",1,0)+IF(BT2056="D",1,0)+IF(BU2056="D",1,0)+IF(BW2056="D",1,0)+IF(CC2056="D",1,0)+IF(CD2056="D",1,0)+IF(CE2056="D",1,0)+IF(CF2056="D",1,0)+IF(CL2056="D",1,0)+IF(CM2056="D",1,0)+IF(CQ2056="D",1,0)+IF(CR2056="D",1,0)+IF(CS2056="D",1,0)+IF(CW2056="D",1,0)+IF(CX2056="D",1,0)+IF(DD2056="D",1,0)+IF(DE2056="D",1,0)+IF(DJ2056="D",1,0)+IF(DK2056="D",1,0)+IF(DO2056="D",1,0)+IF(DP2056="D",1,0)+IF(DQ2056="D",1,0)+IF(DW2056="D",1,0)+IF(DZ2056="D",1,0)+IF(EH2056="D",1,0)</f>
        <v>0</v>
      </c>
      <c r="AY2056" s="0" t="n">
        <f aca="false">COUNTIF(DU2056:EH2056, "&lt;&gt;")</f>
        <v>0</v>
      </c>
      <c r="AZ2056" s="0" t="n">
        <f aca="false">IF(EH2056&lt;&gt;"",1,0)</f>
        <v>0</v>
      </c>
      <c r="BB2056" s="0" t="s">
        <v>152</v>
      </c>
      <c r="CP2056" s="0" t="s">
        <v>153</v>
      </c>
      <c r="DC2056" s="0" t="s">
        <v>153</v>
      </c>
    </row>
    <row r="2057" customFormat="false" ht="13.8" hidden="true" customHeight="false" outlineLevel="0" collapsed="false">
      <c r="A2057" s="0" t="s">
        <v>9078</v>
      </c>
      <c r="B2057" s="0" t="n">
        <v>78</v>
      </c>
      <c r="C2057" s="0" t="n">
        <v>412310</v>
      </c>
      <c r="D2057" s="0" t="s">
        <v>7835</v>
      </c>
      <c r="E2057" s="0" t="s">
        <v>9079</v>
      </c>
      <c r="F2057" s="0" t="str">
        <f aca="false">CONCATENATE(D2057," ",LEFT(H2057,4),"T=",AU2057,"D=",AV2057,"R=",AW2057,"M=",AX2057,"L=",AY2057,"B=",AZ2057)</f>
        <v>RODGERS T=2D=0R=0M=0L=0B=0</v>
      </c>
      <c r="G2057" s="0" t="s">
        <v>202</v>
      </c>
      <c r="I2057" s="0" t="s">
        <v>9080</v>
      </c>
      <c r="J2057" s="0" t="s">
        <v>7423</v>
      </c>
      <c r="K2057" s="0" t="s">
        <v>143</v>
      </c>
      <c r="M2057" s="0" t="s">
        <v>9081</v>
      </c>
      <c r="N2057" s="0" t="str">
        <f aca="false">RIGHT(M2057,LEN(M2057)-FIND(" ",M2057))</f>
        <v>ROMAN ST SE</v>
      </c>
      <c r="P2057" s="0" t="s">
        <v>145</v>
      </c>
      <c r="Q2057" s="0" t="s">
        <v>146</v>
      </c>
      <c r="R2057" s="0" t="n">
        <v>44484</v>
      </c>
      <c r="AD2057" s="0" t="s">
        <v>147</v>
      </c>
      <c r="AE2057" s="0" t="s">
        <v>148</v>
      </c>
      <c r="AF2057" s="0" t="s">
        <v>149</v>
      </c>
      <c r="AH2057" s="0" t="n">
        <v>14</v>
      </c>
      <c r="AI2057" s="0" t="n">
        <v>11</v>
      </c>
      <c r="AN2057" s="0" t="s">
        <v>145</v>
      </c>
      <c r="AO2057" s="0" t="s">
        <v>233</v>
      </c>
      <c r="AP2057" s="0" t="s">
        <v>234</v>
      </c>
      <c r="AQ2057" s="0" t="n">
        <v>9</v>
      </c>
      <c r="AR2057" s="0" t="n">
        <v>64</v>
      </c>
      <c r="AS2057" s="0" t="n">
        <v>32</v>
      </c>
      <c r="AU2057" s="0" t="n">
        <f aca="false">COUNTA($BA$2657:$EH$2657)</f>
        <v>2</v>
      </c>
      <c r="AV2057" s="0" t="n">
        <f aca="false">COUNTIF($BA$2657:$EH$2657,"D")</f>
        <v>0</v>
      </c>
      <c r="AW2057" s="0" t="n">
        <f aca="false">COUNTIF($BA$2657:$EH$2657,"R")</f>
        <v>0</v>
      </c>
      <c r="AX2057" s="0" t="n">
        <f aca="false">IF(BN2057="D",1,0)+IF(BO2057="D",1,0)+IF(BT2057="D",1,0)+IF(BU2057="D",1,0)+IF(BW2057="D",1,0)+IF(CC2057="D",1,0)+IF(CD2057="D",1,0)+IF(CE2057="D",1,0)+IF(CF2057="D",1,0)+IF(CL2057="D",1,0)+IF(CM2057="D",1,0)+IF(CQ2057="D",1,0)+IF(CR2057="D",1,0)+IF(CS2057="D",1,0)+IF(CW2057="D",1,0)+IF(CX2057="D",1,0)+IF(DD2057="D",1,0)+IF(DE2057="D",1,0)+IF(DJ2057="D",1,0)+IF(DK2057="D",1,0)+IF(DO2057="D",1,0)+IF(DP2057="D",1,0)+IF(DQ2057="D",1,0)+IF(DW2057="D",1,0)+IF(DZ2057="D",1,0)+IF(EH2057="D",1,0)</f>
        <v>0</v>
      </c>
      <c r="AY2057" s="0" t="n">
        <f aca="false">COUNTIF(DU2057:EH2057, "&lt;&gt;")</f>
        <v>0</v>
      </c>
      <c r="AZ2057" s="0" t="n">
        <f aca="false">IF(EH2057&lt;&gt;"",1,0)</f>
        <v>0</v>
      </c>
      <c r="BB2057" s="0" t="s">
        <v>152</v>
      </c>
      <c r="DC2057" s="0" t="s">
        <v>153</v>
      </c>
    </row>
    <row r="2058" customFormat="false" ht="13.8" hidden="true" customHeight="false" outlineLevel="0" collapsed="false">
      <c r="A2058" s="0" t="s">
        <v>9082</v>
      </c>
      <c r="B2058" s="0" t="n">
        <v>78</v>
      </c>
      <c r="C2058" s="0" t="n">
        <v>380448</v>
      </c>
      <c r="D2058" s="0" t="s">
        <v>8839</v>
      </c>
      <c r="E2058" s="0" t="s">
        <v>9083</v>
      </c>
      <c r="F2058" s="0" t="str">
        <f aca="false">CONCATENATE(D2058," ",LEFT(H2058,4),"T=",AU2058,"D=",AV2058,"R=",AW2058,"M=",AX2058,"L=",AY2058,"B=",AZ2058)</f>
        <v>MATTHEWS T=1D=0R=0M=0L=0B=0</v>
      </c>
      <c r="G2058" s="0" t="s">
        <v>9084</v>
      </c>
      <c r="I2058" s="0" t="s">
        <v>9085</v>
      </c>
      <c r="J2058" s="0" t="s">
        <v>9086</v>
      </c>
      <c r="K2058" s="0" t="s">
        <v>143</v>
      </c>
      <c r="M2058" s="0" t="s">
        <v>9087</v>
      </c>
      <c r="N2058" s="0" t="str">
        <f aca="false">RIGHT(M2058,LEN(M2058)-FIND(" ",M2058))</f>
        <v>ROMAN ST SE</v>
      </c>
      <c r="P2058" s="0" t="s">
        <v>145</v>
      </c>
      <c r="Q2058" s="0" t="s">
        <v>146</v>
      </c>
      <c r="R2058" s="0" t="n">
        <v>44484</v>
      </c>
      <c r="AD2058" s="0" t="s">
        <v>147</v>
      </c>
      <c r="AE2058" s="0" t="s">
        <v>148</v>
      </c>
      <c r="AF2058" s="0" t="s">
        <v>149</v>
      </c>
      <c r="AH2058" s="0" t="n">
        <v>14</v>
      </c>
      <c r="AI2058" s="0" t="n">
        <v>11</v>
      </c>
      <c r="AN2058" s="0" t="s">
        <v>145</v>
      </c>
      <c r="AO2058" s="0" t="s">
        <v>233</v>
      </c>
      <c r="AP2058" s="0" t="s">
        <v>234</v>
      </c>
      <c r="AQ2058" s="0" t="n">
        <v>9</v>
      </c>
      <c r="AR2058" s="0" t="n">
        <v>64</v>
      </c>
      <c r="AS2058" s="0" t="n">
        <v>32</v>
      </c>
      <c r="AU2058" s="0" t="n">
        <f aca="false">COUNTA($BA$2208:$EH$2208)</f>
        <v>1</v>
      </c>
      <c r="AV2058" s="0" t="n">
        <f aca="false">COUNTIF($BA$2208:$EH$2208,"D")</f>
        <v>0</v>
      </c>
      <c r="AW2058" s="0" t="n">
        <f aca="false">COUNTIF($BA$2208:$EH$2208,"R")</f>
        <v>0</v>
      </c>
      <c r="AX2058" s="0" t="n">
        <f aca="false">IF(BN2058="D",1,0)+IF(BO2058="D",1,0)+IF(BT2058="D",1,0)+IF(BU2058="D",1,0)+IF(BW2058="D",1,0)+IF(CC2058="D",1,0)+IF(CD2058="D",1,0)+IF(CE2058="D",1,0)+IF(CF2058="D",1,0)+IF(CL2058="D",1,0)+IF(CM2058="D",1,0)+IF(CQ2058="D",1,0)+IF(CR2058="D",1,0)+IF(CS2058="D",1,0)+IF(CW2058="D",1,0)+IF(CX2058="D",1,0)+IF(DD2058="D",1,0)+IF(DE2058="D",1,0)+IF(DJ2058="D",1,0)+IF(DK2058="D",1,0)+IF(DO2058="D",1,0)+IF(DP2058="D",1,0)+IF(DQ2058="D",1,0)+IF(DW2058="D",1,0)+IF(DZ2058="D",1,0)+IF(EH2058="D",1,0)</f>
        <v>0</v>
      </c>
      <c r="AY2058" s="0" t="n">
        <f aca="false">COUNTIF(DU2058:EH2058, "&lt;&gt;")</f>
        <v>0</v>
      </c>
      <c r="AZ2058" s="0" t="n">
        <f aca="false">IF(EH2058&lt;&gt;"",1,0)</f>
        <v>0</v>
      </c>
      <c r="BB2058" s="0" t="s">
        <v>152</v>
      </c>
      <c r="CP2058" s="0" t="s">
        <v>153</v>
      </c>
      <c r="DC2058" s="0" t="s">
        <v>153</v>
      </c>
    </row>
    <row r="2059" customFormat="false" ht="13.8" hidden="false" customHeight="false" outlineLevel="0" collapsed="false">
      <c r="A2059" s="0" t="s">
        <v>9088</v>
      </c>
      <c r="B2059" s="0" t="n">
        <v>78</v>
      </c>
      <c r="C2059" s="0" t="n">
        <v>245983</v>
      </c>
      <c r="D2059" s="0" t="s">
        <v>1058</v>
      </c>
      <c r="E2059" s="0" t="s">
        <v>2589</v>
      </c>
      <c r="F2059" s="0" t="str">
        <f aca="false">CONCATENATE(D2059," ",LEFT(H2059,4),"T=",AU2059,"D=",AV2059,"R=",AW2059,"M=",AX2059,"L=",AY2059,"B=",AZ2059)</f>
        <v>OWENS T=1D=0R=0M=0L=2B=0</v>
      </c>
      <c r="G2059" s="0" t="s">
        <v>195</v>
      </c>
      <c r="I2059" s="0" t="s">
        <v>9089</v>
      </c>
      <c r="J2059" s="0" t="s">
        <v>5026</v>
      </c>
      <c r="K2059" s="0" t="s">
        <v>160</v>
      </c>
      <c r="M2059" s="0" t="s">
        <v>9090</v>
      </c>
      <c r="N2059" s="0" t="str">
        <f aca="false">RIGHT(M2059,LEN(M2059)-FIND(" ",M2059))</f>
        <v>ROMAN ST SE</v>
      </c>
      <c r="P2059" s="0" t="s">
        <v>145</v>
      </c>
      <c r="Q2059" s="0" t="s">
        <v>146</v>
      </c>
      <c r="R2059" s="0" t="n">
        <v>44484</v>
      </c>
      <c r="AD2059" s="0" t="s">
        <v>147</v>
      </c>
      <c r="AE2059" s="0" t="s">
        <v>148</v>
      </c>
      <c r="AF2059" s="0" t="s">
        <v>149</v>
      </c>
      <c r="AH2059" s="0" t="n">
        <v>14</v>
      </c>
      <c r="AI2059" s="0" t="n">
        <v>11</v>
      </c>
      <c r="AN2059" s="0" t="s">
        <v>145</v>
      </c>
      <c r="AO2059" s="0" t="s">
        <v>233</v>
      </c>
      <c r="AP2059" s="0" t="s">
        <v>234</v>
      </c>
      <c r="AQ2059" s="0" t="n">
        <v>9</v>
      </c>
      <c r="AR2059" s="0" t="n">
        <v>64</v>
      </c>
      <c r="AS2059" s="0" t="n">
        <v>32</v>
      </c>
      <c r="AU2059" s="0" t="n">
        <f aca="false">COUNTA($BA$2360:$EH$2360)</f>
        <v>1</v>
      </c>
      <c r="AV2059" s="0" t="n">
        <f aca="false">COUNTIF($BA$2360:$EH$2360,"D")</f>
        <v>0</v>
      </c>
      <c r="AW2059" s="0" t="n">
        <f aca="false">COUNTIF($BA$2360:$EH$2360,"R")</f>
        <v>0</v>
      </c>
      <c r="AX2059" s="0" t="n">
        <f aca="false">IF(BN2059="D",1,0)+IF(BO2059="D",1,0)+IF(BT2059="D",1,0)+IF(BU2059="D",1,0)+IF(BW2059="D",1,0)+IF(CC2059="D",1,0)+IF(CD2059="D",1,0)+IF(CE2059="D",1,0)+IF(CF2059="D",1,0)+IF(CL2059="D",1,0)+IF(CM2059="D",1,0)+IF(CQ2059="D",1,0)+IF(CR2059="D",1,0)+IF(CS2059="D",1,0)+IF(CW2059="D",1,0)+IF(CX2059="D",1,0)+IF(DD2059="D",1,0)+IF(DE2059="D",1,0)+IF(DJ2059="D",1,0)+IF(DK2059="D",1,0)+IF(DO2059="D",1,0)+IF(DP2059="D",1,0)+IF(DQ2059="D",1,0)+IF(DW2059="D",1,0)+IF(DZ2059="D",1,0)+IF(EH2059="D",1,0)</f>
        <v>0</v>
      </c>
      <c r="AY2059" s="0" t="n">
        <f aca="false">COUNTIF(DU2059:EH2059, "&lt;&gt;")</f>
        <v>2</v>
      </c>
      <c r="AZ2059" s="0" t="n">
        <f aca="false">IF(EH2059&lt;&gt;"",1,0)</f>
        <v>0</v>
      </c>
      <c r="BB2059" s="0" t="s">
        <v>152</v>
      </c>
      <c r="BH2059" s="0" t="s">
        <v>153</v>
      </c>
      <c r="BK2059" s="0" t="s">
        <v>153</v>
      </c>
      <c r="BL2059" s="0" t="s">
        <v>153</v>
      </c>
      <c r="CA2059" s="0" t="s">
        <v>153</v>
      </c>
      <c r="CK2059" s="0" t="s">
        <v>153</v>
      </c>
      <c r="CP2059" s="0" t="s">
        <v>153</v>
      </c>
      <c r="CV2059" s="0" t="s">
        <v>153</v>
      </c>
      <c r="CY2059" s="0" t="s">
        <v>153</v>
      </c>
      <c r="DC2059" s="0" t="s">
        <v>153</v>
      </c>
      <c r="DI2059" s="0" t="s">
        <v>153</v>
      </c>
      <c r="DN2059" s="0" t="s">
        <v>153</v>
      </c>
      <c r="DU2059" s="0" t="s">
        <v>153</v>
      </c>
      <c r="EF2059" s="0" t="s">
        <v>153</v>
      </c>
    </row>
    <row r="2060" customFormat="false" ht="13.8" hidden="true" customHeight="false" outlineLevel="0" collapsed="false">
      <c r="A2060" s="0" t="s">
        <v>9091</v>
      </c>
      <c r="B2060" s="0" t="n">
        <v>78</v>
      </c>
      <c r="C2060" s="0" t="n">
        <v>404693</v>
      </c>
      <c r="D2060" s="0" t="s">
        <v>1058</v>
      </c>
      <c r="E2060" s="0" t="s">
        <v>9092</v>
      </c>
      <c r="F2060" s="0" t="str">
        <f aca="false">CONCATENATE(D2060," ",LEFT(H2060,4),"T=",AU2060,"D=",AV2060,"R=",AW2060,"M=",AX2060,"L=",AY2060,"B=",AZ2060)</f>
        <v>OWENS T=2D=0R=0M=0L=0B=0</v>
      </c>
      <c r="G2060" s="0" t="s">
        <v>325</v>
      </c>
      <c r="I2060" s="0" t="s">
        <v>8602</v>
      </c>
      <c r="J2060" s="0" t="s">
        <v>9093</v>
      </c>
      <c r="K2060" s="0" t="s">
        <v>143</v>
      </c>
      <c r="M2060" s="0" t="s">
        <v>9090</v>
      </c>
      <c r="N2060" s="0" t="str">
        <f aca="false">RIGHT(M2060,LEN(M2060)-FIND(" ",M2060))</f>
        <v>ROMAN ST SE</v>
      </c>
      <c r="P2060" s="0" t="s">
        <v>145</v>
      </c>
      <c r="Q2060" s="0" t="s">
        <v>146</v>
      </c>
      <c r="R2060" s="0" t="n">
        <v>44484</v>
      </c>
      <c r="AD2060" s="0" t="s">
        <v>147</v>
      </c>
      <c r="AE2060" s="0" t="s">
        <v>148</v>
      </c>
      <c r="AF2060" s="0" t="s">
        <v>149</v>
      </c>
      <c r="AH2060" s="0" t="n">
        <v>14</v>
      </c>
      <c r="AI2060" s="0" t="n">
        <v>11</v>
      </c>
      <c r="AN2060" s="0" t="s">
        <v>145</v>
      </c>
      <c r="AO2060" s="0" t="s">
        <v>233</v>
      </c>
      <c r="AP2060" s="0" t="s">
        <v>234</v>
      </c>
      <c r="AQ2060" s="0" t="n">
        <v>9</v>
      </c>
      <c r="AR2060" s="0" t="n">
        <v>64</v>
      </c>
      <c r="AS2060" s="0" t="n">
        <v>32</v>
      </c>
      <c r="AU2060" s="0" t="n">
        <f aca="false">COUNTA($BA$2651:$EH$2651)</f>
        <v>2</v>
      </c>
      <c r="AV2060" s="0" t="n">
        <f aca="false">COUNTIF($BA$2651:$EH$2651,"D")</f>
        <v>0</v>
      </c>
      <c r="AW2060" s="0" t="n">
        <f aca="false">COUNTIF($BA$2651:$EH$2651,"R")</f>
        <v>0</v>
      </c>
      <c r="AX2060" s="0" t="n">
        <f aca="false">IF(BN2060="D",1,0)+IF(BO2060="D",1,0)+IF(BT2060="D",1,0)+IF(BU2060="D",1,0)+IF(BW2060="D",1,0)+IF(CC2060="D",1,0)+IF(CD2060="D",1,0)+IF(CE2060="D",1,0)+IF(CF2060="D",1,0)+IF(CL2060="D",1,0)+IF(CM2060="D",1,0)+IF(CQ2060="D",1,0)+IF(CR2060="D",1,0)+IF(CS2060="D",1,0)+IF(CW2060="D",1,0)+IF(CX2060="D",1,0)+IF(DD2060="D",1,0)+IF(DE2060="D",1,0)+IF(DJ2060="D",1,0)+IF(DK2060="D",1,0)+IF(DO2060="D",1,0)+IF(DP2060="D",1,0)+IF(DQ2060="D",1,0)+IF(DW2060="D",1,0)+IF(DZ2060="D",1,0)+IF(EH2060="D",1,0)</f>
        <v>0</v>
      </c>
      <c r="AY2060" s="0" t="n">
        <f aca="false">COUNTIF(DU2060:EH2060, "&lt;&gt;")</f>
        <v>0</v>
      </c>
      <c r="AZ2060" s="0" t="n">
        <f aca="false">IF(EH2060&lt;&gt;"",1,0)</f>
        <v>0</v>
      </c>
      <c r="BB2060" s="0" t="s">
        <v>152</v>
      </c>
    </row>
    <row r="2061" customFormat="false" ht="13.8" hidden="true" customHeight="false" outlineLevel="0" collapsed="false">
      <c r="A2061" s="0" t="s">
        <v>9094</v>
      </c>
      <c r="B2061" s="0" t="n">
        <v>78</v>
      </c>
      <c r="C2061" s="0" t="n">
        <v>397999</v>
      </c>
      <c r="D2061" s="0" t="s">
        <v>9095</v>
      </c>
      <c r="E2061" s="0" t="s">
        <v>9096</v>
      </c>
      <c r="F2061" s="0" t="str">
        <f aca="false">CONCATENATE(D2061," ",LEFT(H2061,4),"T=",AU2061,"D=",AV2061,"R=",AW2061,"M=",AX2061,"L=",AY2061,"B=",AZ2061)</f>
        <v>CALHOUN T=3D=1R=0M=0L=0B=0</v>
      </c>
      <c r="G2061" s="0" t="s">
        <v>190</v>
      </c>
      <c r="I2061" s="0" t="s">
        <v>9097</v>
      </c>
      <c r="J2061" s="0" t="s">
        <v>1038</v>
      </c>
      <c r="K2061" s="0" t="s">
        <v>143</v>
      </c>
      <c r="M2061" s="0" t="s">
        <v>9098</v>
      </c>
      <c r="N2061" s="0" t="str">
        <f aca="false">RIGHT(M2061,LEN(M2061)-FIND(" ",M2061))</f>
        <v>ROMAN ST SE</v>
      </c>
      <c r="P2061" s="0" t="s">
        <v>145</v>
      </c>
      <c r="Q2061" s="0" t="s">
        <v>146</v>
      </c>
      <c r="R2061" s="0" t="n">
        <v>44484</v>
      </c>
      <c r="AD2061" s="0" t="s">
        <v>147</v>
      </c>
      <c r="AE2061" s="0" t="s">
        <v>148</v>
      </c>
      <c r="AF2061" s="0" t="s">
        <v>149</v>
      </c>
      <c r="AH2061" s="0" t="n">
        <v>14</v>
      </c>
      <c r="AI2061" s="0" t="n">
        <v>11</v>
      </c>
      <c r="AN2061" s="0" t="s">
        <v>145</v>
      </c>
      <c r="AO2061" s="0" t="s">
        <v>233</v>
      </c>
      <c r="AP2061" s="0" t="s">
        <v>234</v>
      </c>
      <c r="AQ2061" s="0" t="n">
        <v>9</v>
      </c>
      <c r="AR2061" s="0" t="n">
        <v>64</v>
      </c>
      <c r="AS2061" s="0" t="n">
        <v>32</v>
      </c>
      <c r="AU2061" s="0" t="n">
        <f aca="false">COUNTA($BA$2518:$EH$2518)</f>
        <v>3</v>
      </c>
      <c r="AV2061" s="0" t="n">
        <f aca="false">COUNTIF($BA$2518:$EH$2518,"D")</f>
        <v>1</v>
      </c>
      <c r="AW2061" s="0" t="n">
        <f aca="false">COUNTIF($BA$2518:$EH$2518,"R")</f>
        <v>0</v>
      </c>
      <c r="AX2061" s="0" t="n">
        <f aca="false">IF(BN2061="D",1,0)+IF(BO2061="D",1,0)+IF(BT2061="D",1,0)+IF(BU2061="D",1,0)+IF(BW2061="D",1,0)+IF(CC2061="D",1,0)+IF(CD2061="D",1,0)+IF(CE2061="D",1,0)+IF(CF2061="D",1,0)+IF(CL2061="D",1,0)+IF(CM2061="D",1,0)+IF(CQ2061="D",1,0)+IF(CR2061="D",1,0)+IF(CS2061="D",1,0)+IF(CW2061="D",1,0)+IF(CX2061="D",1,0)+IF(DD2061="D",1,0)+IF(DE2061="D",1,0)+IF(DJ2061="D",1,0)+IF(DK2061="D",1,0)+IF(DO2061="D",1,0)+IF(DP2061="D",1,0)+IF(DQ2061="D",1,0)+IF(DW2061="D",1,0)+IF(DZ2061="D",1,0)+IF(EH2061="D",1,0)</f>
        <v>0</v>
      </c>
      <c r="AY2061" s="0" t="n">
        <f aca="false">COUNTIF(DU2061:EH2061, "&lt;&gt;")</f>
        <v>0</v>
      </c>
      <c r="AZ2061" s="0" t="n">
        <f aca="false">IF(EH2061&lt;&gt;"",1,0)</f>
        <v>0</v>
      </c>
      <c r="BB2061" s="0" t="s">
        <v>152</v>
      </c>
    </row>
    <row r="2062" customFormat="false" ht="13.8" hidden="true" customHeight="false" outlineLevel="0" collapsed="false">
      <c r="A2062" s="0" t="s">
        <v>9099</v>
      </c>
      <c r="B2062" s="0" t="n">
        <v>78</v>
      </c>
      <c r="C2062" s="0" t="n">
        <v>441864</v>
      </c>
      <c r="D2062" s="0" t="s">
        <v>621</v>
      </c>
      <c r="E2062" s="0" t="s">
        <v>9100</v>
      </c>
      <c r="F2062" s="0" t="str">
        <f aca="false">CONCATENATE(D2062," ",LEFT(H2062,4),"T=",AU2062,"D=",AV2062,"R=",AW2062,"M=",AX2062,"L=",AY2062,"B=",AZ2062)</f>
        <v>FREDERICK T=3D=0R=0M=0L=1B=0</v>
      </c>
      <c r="G2062" s="0" t="s">
        <v>255</v>
      </c>
      <c r="I2062" s="0" t="s">
        <v>9101</v>
      </c>
      <c r="J2062" s="0" t="s">
        <v>386</v>
      </c>
      <c r="K2062" s="0" t="s">
        <v>160</v>
      </c>
      <c r="M2062" s="0" t="s">
        <v>9102</v>
      </c>
      <c r="N2062" s="0" t="str">
        <f aca="false">RIGHT(M2062,LEN(M2062)-FIND(" ",M2062))</f>
        <v>ROMAN ST SE</v>
      </c>
      <c r="P2062" s="0" t="s">
        <v>145</v>
      </c>
      <c r="Q2062" s="0" t="s">
        <v>146</v>
      </c>
      <c r="R2062" s="0" t="n">
        <v>44484</v>
      </c>
      <c r="AD2062" s="0" t="s">
        <v>147</v>
      </c>
      <c r="AE2062" s="0" t="s">
        <v>148</v>
      </c>
      <c r="AF2062" s="0" t="s">
        <v>149</v>
      </c>
      <c r="AH2062" s="0" t="n">
        <v>14</v>
      </c>
      <c r="AI2062" s="0" t="n">
        <v>11</v>
      </c>
      <c r="AN2062" s="0" t="s">
        <v>145</v>
      </c>
      <c r="AO2062" s="0" t="s">
        <v>233</v>
      </c>
      <c r="AP2062" s="0" t="s">
        <v>234</v>
      </c>
      <c r="AQ2062" s="0" t="n">
        <v>9</v>
      </c>
      <c r="AR2062" s="0" t="n">
        <v>64</v>
      </c>
      <c r="AS2062" s="0" t="n">
        <v>32</v>
      </c>
      <c r="AU2062" s="0" t="n">
        <f aca="false">COUNTA($BA$2625:$EH$2625)</f>
        <v>3</v>
      </c>
      <c r="AV2062" s="0" t="n">
        <f aca="false">COUNTIF($BA$2625:$EH$2625,"D")</f>
        <v>0</v>
      </c>
      <c r="AW2062" s="0" t="n">
        <f aca="false">COUNTIF($BA$2625:$EH$2625,"R")</f>
        <v>0</v>
      </c>
      <c r="AX2062" s="0" t="n">
        <f aca="false">IF(BN2062="D",1,0)+IF(BO2062="D",1,0)+IF(BT2062="D",1,0)+IF(BU2062="D",1,0)+IF(BW2062="D",1,0)+IF(CC2062="D",1,0)+IF(CD2062="D",1,0)+IF(CE2062="D",1,0)+IF(CF2062="D",1,0)+IF(CL2062="D",1,0)+IF(CM2062="D",1,0)+IF(CQ2062="D",1,0)+IF(CR2062="D",1,0)+IF(CS2062="D",1,0)+IF(CW2062="D",1,0)+IF(CX2062="D",1,0)+IF(DD2062="D",1,0)+IF(DE2062="D",1,0)+IF(DJ2062="D",1,0)+IF(DK2062="D",1,0)+IF(DO2062="D",1,0)+IF(DP2062="D",1,0)+IF(DQ2062="D",1,0)+IF(DW2062="D",1,0)+IF(DZ2062="D",1,0)+IF(EH2062="D",1,0)</f>
        <v>0</v>
      </c>
      <c r="AY2062" s="0" t="n">
        <f aca="false">COUNTIF(DU2062:EH2062, "&lt;&gt;")</f>
        <v>1</v>
      </c>
      <c r="AZ2062" s="0" t="n">
        <f aca="false">IF(EH2062&lt;&gt;"",1,0)</f>
        <v>0</v>
      </c>
      <c r="BB2062" s="0" t="s">
        <v>152</v>
      </c>
      <c r="DU2062" s="0" t="s">
        <v>153</v>
      </c>
    </row>
    <row r="2063" customFormat="false" ht="13.8" hidden="true" customHeight="false" outlineLevel="0" collapsed="false">
      <c r="A2063" s="0" t="s">
        <v>9103</v>
      </c>
      <c r="B2063" s="0" t="n">
        <v>78</v>
      </c>
      <c r="C2063" s="0" t="n">
        <v>322258</v>
      </c>
      <c r="D2063" s="0" t="s">
        <v>9104</v>
      </c>
      <c r="E2063" s="0" t="s">
        <v>4082</v>
      </c>
      <c r="F2063" s="0" t="str">
        <f aca="false">CONCATENATE(D2063," ",LEFT(H2063,4),"T=",AU2063,"D=",AV2063,"R=",AW2063,"M=",AX2063,"L=",AY2063,"B=",AZ2063)</f>
        <v>WOODWORTH T=1D=0R=0M=0L=0B=0</v>
      </c>
      <c r="G2063" s="0" t="s">
        <v>255</v>
      </c>
      <c r="I2063" s="0" t="s">
        <v>9105</v>
      </c>
      <c r="J2063" s="0" t="s">
        <v>9106</v>
      </c>
      <c r="K2063" s="0" t="s">
        <v>143</v>
      </c>
      <c r="M2063" s="0" t="s">
        <v>9107</v>
      </c>
      <c r="N2063" s="0" t="str">
        <f aca="false">RIGHT(M2063,LEN(M2063)-FIND(" ",M2063))</f>
        <v>ROMAN ST SE</v>
      </c>
      <c r="P2063" s="0" t="s">
        <v>145</v>
      </c>
      <c r="Q2063" s="0" t="s">
        <v>146</v>
      </c>
      <c r="R2063" s="0" t="n">
        <v>44484</v>
      </c>
      <c r="AD2063" s="0" t="s">
        <v>147</v>
      </c>
      <c r="AE2063" s="0" t="s">
        <v>148</v>
      </c>
      <c r="AF2063" s="0" t="s">
        <v>149</v>
      </c>
      <c r="AH2063" s="0" t="n">
        <v>14</v>
      </c>
      <c r="AI2063" s="0" t="n">
        <v>11</v>
      </c>
      <c r="AN2063" s="0" t="s">
        <v>145</v>
      </c>
      <c r="AO2063" s="0" t="s">
        <v>233</v>
      </c>
      <c r="AP2063" s="0" t="s">
        <v>234</v>
      </c>
      <c r="AQ2063" s="0" t="n">
        <v>9</v>
      </c>
      <c r="AR2063" s="0" t="n">
        <v>64</v>
      </c>
      <c r="AS2063" s="0" t="n">
        <v>32</v>
      </c>
      <c r="AU2063" s="0" t="n">
        <f aca="false">COUNTA($BA$2088:$EH$2088)</f>
        <v>1</v>
      </c>
      <c r="AV2063" s="0" t="n">
        <f aca="false">COUNTIF($BA$2088:$EH$2088,"D")</f>
        <v>0</v>
      </c>
      <c r="AW2063" s="0" t="n">
        <f aca="false">COUNTIF($BA$2088:$EH$2088,"R")</f>
        <v>0</v>
      </c>
      <c r="AX2063" s="0" t="n">
        <f aca="false">IF(BN2063="D",1,0)+IF(BO2063="D",1,0)+IF(BT2063="D",1,0)+IF(BU2063="D",1,0)+IF(BW2063="D",1,0)+IF(CC2063="D",1,0)+IF(CD2063="D",1,0)+IF(CE2063="D",1,0)+IF(CF2063="D",1,0)+IF(CL2063="D",1,0)+IF(CM2063="D",1,0)+IF(CQ2063="D",1,0)+IF(CR2063="D",1,0)+IF(CS2063="D",1,0)+IF(CW2063="D",1,0)+IF(CX2063="D",1,0)+IF(DD2063="D",1,0)+IF(DE2063="D",1,0)+IF(DJ2063="D",1,0)+IF(DK2063="D",1,0)+IF(DO2063="D",1,0)+IF(DP2063="D",1,0)+IF(DQ2063="D",1,0)+IF(DW2063="D",1,0)+IF(DZ2063="D",1,0)+IF(EH2063="D",1,0)</f>
        <v>0</v>
      </c>
      <c r="AY2063" s="0" t="n">
        <f aca="false">COUNTIF(DU2063:EH2063, "&lt;&gt;")</f>
        <v>0</v>
      </c>
      <c r="AZ2063" s="0" t="n">
        <f aca="false">IF(EH2063&lt;&gt;"",1,0)</f>
        <v>0</v>
      </c>
      <c r="BB2063" s="0" t="s">
        <v>152</v>
      </c>
      <c r="BL2063" s="0" t="s">
        <v>153</v>
      </c>
      <c r="CA2063" s="0" t="s">
        <v>153</v>
      </c>
      <c r="CP2063" s="0" t="s">
        <v>153</v>
      </c>
      <c r="DC2063" s="0" t="s">
        <v>153</v>
      </c>
    </row>
    <row r="2064" customFormat="false" ht="13.8" hidden="true" customHeight="false" outlineLevel="0" collapsed="false">
      <c r="A2064" s="0" t="s">
        <v>9108</v>
      </c>
      <c r="B2064" s="0" t="n">
        <v>78</v>
      </c>
      <c r="C2064" s="0" t="n">
        <v>485702</v>
      </c>
      <c r="D2064" s="0" t="s">
        <v>9109</v>
      </c>
      <c r="E2064" s="0" t="s">
        <v>4191</v>
      </c>
      <c r="F2064" s="0" t="str">
        <f aca="false">CONCATENATE(D2064," ",LEFT(H2064,4),"T=",AU2064,"D=",AV2064,"R=",AW2064,"M=",AX2064,"L=",AY2064,"B=",AZ2064)</f>
        <v>WHITAKER T=3D=2R=0M=0L=0B=0</v>
      </c>
      <c r="G2064" s="0" t="s">
        <v>325</v>
      </c>
      <c r="I2064" s="0" t="s">
        <v>9110</v>
      </c>
      <c r="J2064" s="0" t="s">
        <v>3412</v>
      </c>
      <c r="K2064" s="0" t="s">
        <v>160</v>
      </c>
      <c r="M2064" s="0" t="s">
        <v>9107</v>
      </c>
      <c r="N2064" s="0" t="str">
        <f aca="false">RIGHT(M2064,LEN(M2064)-FIND(" ",M2064))</f>
        <v>ROMAN ST SE</v>
      </c>
      <c r="P2064" s="0" t="s">
        <v>145</v>
      </c>
      <c r="Q2064" s="0" t="s">
        <v>146</v>
      </c>
      <c r="R2064" s="0" t="n">
        <v>44484</v>
      </c>
      <c r="AD2064" s="0" t="s">
        <v>147</v>
      </c>
      <c r="AE2064" s="0" t="s">
        <v>148</v>
      </c>
      <c r="AF2064" s="0" t="s">
        <v>149</v>
      </c>
      <c r="AH2064" s="0" t="n">
        <v>14</v>
      </c>
      <c r="AI2064" s="0" t="n">
        <v>11</v>
      </c>
      <c r="AN2064" s="0" t="s">
        <v>145</v>
      </c>
      <c r="AO2064" s="0" t="s">
        <v>233</v>
      </c>
      <c r="AP2064" s="0" t="s">
        <v>234</v>
      </c>
      <c r="AQ2064" s="0" t="n">
        <v>9</v>
      </c>
      <c r="AR2064" s="0" t="n">
        <v>64</v>
      </c>
      <c r="AS2064" s="0" t="n">
        <v>32</v>
      </c>
      <c r="AU2064" s="0" t="n">
        <f aca="false">COUNTA($BA$2384:$EH$2384)</f>
        <v>3</v>
      </c>
      <c r="AV2064" s="0" t="n">
        <f aca="false">COUNTIF($BA$2384:$EH$2384,"D")</f>
        <v>2</v>
      </c>
      <c r="AW2064" s="0" t="n">
        <f aca="false">COUNTIF($BA$2384:$EH$2384,"R")</f>
        <v>0</v>
      </c>
      <c r="AX2064" s="0" t="n">
        <f aca="false">IF(BN2064="D",1,0)+IF(BO2064="D",1,0)+IF(BT2064="D",1,0)+IF(BU2064="D",1,0)+IF(BW2064="D",1,0)+IF(CC2064="D",1,0)+IF(CD2064="D",1,0)+IF(CE2064="D",1,0)+IF(CF2064="D",1,0)+IF(CL2064="D",1,0)+IF(CM2064="D",1,0)+IF(CQ2064="D",1,0)+IF(CR2064="D",1,0)+IF(CS2064="D",1,0)+IF(CW2064="D",1,0)+IF(CX2064="D",1,0)+IF(DD2064="D",1,0)+IF(DE2064="D",1,0)+IF(DJ2064="D",1,0)+IF(DK2064="D",1,0)+IF(DO2064="D",1,0)+IF(DP2064="D",1,0)+IF(DQ2064="D",1,0)+IF(DW2064="D",1,0)+IF(DZ2064="D",1,0)+IF(EH2064="D",1,0)</f>
        <v>0</v>
      </c>
      <c r="AY2064" s="0" t="n">
        <f aca="false">COUNTIF(DU2064:EH2064, "&lt;&gt;")</f>
        <v>0</v>
      </c>
      <c r="AZ2064" s="0" t="n">
        <f aca="false">IF(EH2064&lt;&gt;"",1,0)</f>
        <v>0</v>
      </c>
      <c r="BB2064" s="0" t="s">
        <v>152</v>
      </c>
    </row>
    <row r="2065" customFormat="false" ht="13.8" hidden="true" customHeight="false" outlineLevel="0" collapsed="false">
      <c r="A2065" s="0" t="s">
        <v>9111</v>
      </c>
      <c r="B2065" s="0" t="n">
        <v>78</v>
      </c>
      <c r="C2065" s="0" t="n">
        <v>487052</v>
      </c>
      <c r="D2065" s="0" t="s">
        <v>9104</v>
      </c>
      <c r="E2065" s="0" t="s">
        <v>184</v>
      </c>
      <c r="F2065" s="0" t="str">
        <f aca="false">CONCATENATE(D2065," ",LEFT(H2065,4),"T=",AU2065,"D=",AV2065,"R=",AW2065,"M=",AX2065,"L=",AY2065,"B=",AZ2065)</f>
        <v>WOODWORTH T=3D=0R=0M=0L=0B=0</v>
      </c>
      <c r="I2065" s="0" t="s">
        <v>9112</v>
      </c>
      <c r="J2065" s="0" t="s">
        <v>782</v>
      </c>
      <c r="K2065" s="0" t="s">
        <v>160</v>
      </c>
      <c r="M2065" s="0" t="s">
        <v>9107</v>
      </c>
      <c r="N2065" s="0" t="str">
        <f aca="false">RIGHT(M2065,LEN(M2065)-FIND(" ",M2065))</f>
        <v>ROMAN ST SE</v>
      </c>
      <c r="P2065" s="0" t="s">
        <v>145</v>
      </c>
      <c r="Q2065" s="0" t="s">
        <v>146</v>
      </c>
      <c r="R2065" s="0" t="n">
        <v>44484</v>
      </c>
      <c r="AD2065" s="0" t="s">
        <v>147</v>
      </c>
      <c r="AE2065" s="0" t="s">
        <v>148</v>
      </c>
      <c r="AF2065" s="0" t="s">
        <v>149</v>
      </c>
      <c r="AH2065" s="0" t="n">
        <v>14</v>
      </c>
      <c r="AI2065" s="0" t="n">
        <v>11</v>
      </c>
      <c r="AN2065" s="0" t="s">
        <v>145</v>
      </c>
      <c r="AO2065" s="0" t="s">
        <v>233</v>
      </c>
      <c r="AP2065" s="0" t="s">
        <v>234</v>
      </c>
      <c r="AQ2065" s="0" t="n">
        <v>9</v>
      </c>
      <c r="AR2065" s="0" t="n">
        <v>64</v>
      </c>
      <c r="AS2065" s="0" t="n">
        <v>32</v>
      </c>
      <c r="AU2065" s="0" t="n">
        <f aca="false">COUNTA($BA$2520:$EH$2520)</f>
        <v>3</v>
      </c>
      <c r="AV2065" s="0" t="n">
        <f aca="false">COUNTIF($BA$2520:$EH$2520,"D")</f>
        <v>0</v>
      </c>
      <c r="AW2065" s="0" t="n">
        <f aca="false">COUNTIF($BA$2520:$EH$2520,"R")</f>
        <v>0</v>
      </c>
      <c r="AX2065" s="0" t="n">
        <f aca="false">IF(BN2065="D",1,0)+IF(BO2065="D",1,0)+IF(BT2065="D",1,0)+IF(BU2065="D",1,0)+IF(BW2065="D",1,0)+IF(CC2065="D",1,0)+IF(CD2065="D",1,0)+IF(CE2065="D",1,0)+IF(CF2065="D",1,0)+IF(CL2065="D",1,0)+IF(CM2065="D",1,0)+IF(CQ2065="D",1,0)+IF(CR2065="D",1,0)+IF(CS2065="D",1,0)+IF(CW2065="D",1,0)+IF(CX2065="D",1,0)+IF(DD2065="D",1,0)+IF(DE2065="D",1,0)+IF(DJ2065="D",1,0)+IF(DK2065="D",1,0)+IF(DO2065="D",1,0)+IF(DP2065="D",1,0)+IF(DQ2065="D",1,0)+IF(DW2065="D",1,0)+IF(DZ2065="D",1,0)+IF(EH2065="D",1,0)</f>
        <v>0</v>
      </c>
      <c r="AY2065" s="0" t="n">
        <f aca="false">COUNTIF(DU2065:EH2065, "&lt;&gt;")</f>
        <v>0</v>
      </c>
      <c r="AZ2065" s="0" t="n">
        <f aca="false">IF(EH2065&lt;&gt;"",1,0)</f>
        <v>0</v>
      </c>
      <c r="BB2065" s="0" t="s">
        <v>152</v>
      </c>
    </row>
    <row r="2066" customFormat="false" ht="13.8" hidden="true" customHeight="false" outlineLevel="0" collapsed="false">
      <c r="A2066" s="0" t="s">
        <v>9113</v>
      </c>
      <c r="B2066" s="0" t="n">
        <v>78</v>
      </c>
      <c r="C2066" s="0" t="n">
        <v>410188</v>
      </c>
      <c r="D2066" s="0" t="s">
        <v>1693</v>
      </c>
      <c r="E2066" s="0" t="s">
        <v>658</v>
      </c>
      <c r="F2066" s="0" t="str">
        <f aca="false">CONCATENATE(D2066," ",LEFT(H2066,4),"T=",AU2066,"D=",AV2066,"R=",AW2066,"M=",AX2066,"L=",AY2066,"B=",AZ2066)</f>
        <v>WILLIAMSON T=2D=0R=0M=0L=0B=0</v>
      </c>
      <c r="G2066" s="0" t="s">
        <v>9114</v>
      </c>
      <c r="I2066" s="0" t="s">
        <v>9115</v>
      </c>
      <c r="J2066" s="0" t="s">
        <v>3382</v>
      </c>
      <c r="K2066" s="0" t="s">
        <v>143</v>
      </c>
      <c r="M2066" s="0" t="s">
        <v>9116</v>
      </c>
      <c r="N2066" s="0" t="str">
        <f aca="false">RIGHT(M2066,LEN(M2066)-FIND(" ",M2066))</f>
        <v>ROMAN ST SE</v>
      </c>
      <c r="P2066" s="0" t="s">
        <v>145</v>
      </c>
      <c r="Q2066" s="0" t="s">
        <v>146</v>
      </c>
      <c r="R2066" s="0" t="n">
        <v>44484</v>
      </c>
      <c r="AD2066" s="0" t="s">
        <v>147</v>
      </c>
      <c r="AE2066" s="0" t="s">
        <v>148</v>
      </c>
      <c r="AF2066" s="0" t="s">
        <v>149</v>
      </c>
      <c r="AH2066" s="0" t="n">
        <v>14</v>
      </c>
      <c r="AI2066" s="0" t="n">
        <v>11</v>
      </c>
      <c r="AN2066" s="0" t="s">
        <v>145</v>
      </c>
      <c r="AO2066" s="0" t="s">
        <v>233</v>
      </c>
      <c r="AP2066" s="0" t="s">
        <v>234</v>
      </c>
      <c r="AQ2066" s="0" t="n">
        <v>9</v>
      </c>
      <c r="AR2066" s="0" t="n">
        <v>64</v>
      </c>
      <c r="AS2066" s="0" t="n">
        <v>32</v>
      </c>
      <c r="AU2066" s="0" t="n">
        <f aca="false">COUNTA($BA$2287:$EH$2287)</f>
        <v>2</v>
      </c>
      <c r="AV2066" s="0" t="n">
        <f aca="false">COUNTIF($BA$2287:$EH$2287,"D")</f>
        <v>0</v>
      </c>
      <c r="AW2066" s="0" t="n">
        <f aca="false">COUNTIF($BA$2287:$EH$2287,"R")</f>
        <v>0</v>
      </c>
      <c r="AX2066" s="0" t="n">
        <f aca="false">IF(BN2066="D",1,0)+IF(BO2066="D",1,0)+IF(BT2066="D",1,0)+IF(BU2066="D",1,0)+IF(BW2066="D",1,0)+IF(CC2066="D",1,0)+IF(CD2066="D",1,0)+IF(CE2066="D",1,0)+IF(CF2066="D",1,0)+IF(CL2066="D",1,0)+IF(CM2066="D",1,0)+IF(CQ2066="D",1,0)+IF(CR2066="D",1,0)+IF(CS2066="D",1,0)+IF(CW2066="D",1,0)+IF(CX2066="D",1,0)+IF(DD2066="D",1,0)+IF(DE2066="D",1,0)+IF(DJ2066="D",1,0)+IF(DK2066="D",1,0)+IF(DO2066="D",1,0)+IF(DP2066="D",1,0)+IF(DQ2066="D",1,0)+IF(DW2066="D",1,0)+IF(DZ2066="D",1,0)+IF(EH2066="D",1,0)</f>
        <v>0</v>
      </c>
      <c r="AY2066" s="0" t="n">
        <f aca="false">COUNTIF(DU2066:EH2066, "&lt;&gt;")</f>
        <v>0</v>
      </c>
      <c r="AZ2066" s="0" t="n">
        <f aca="false">IF(EH2066&lt;&gt;"",1,0)</f>
        <v>0</v>
      </c>
      <c r="BB2066" s="0" t="s">
        <v>152</v>
      </c>
      <c r="DC2066" s="0" t="s">
        <v>153</v>
      </c>
    </row>
    <row r="2067" customFormat="false" ht="13.8" hidden="true" customHeight="false" outlineLevel="0" collapsed="false">
      <c r="A2067" s="0" t="s">
        <v>9117</v>
      </c>
      <c r="B2067" s="0" t="n">
        <v>78</v>
      </c>
      <c r="C2067" s="0" t="n">
        <v>439551</v>
      </c>
      <c r="D2067" s="0" t="s">
        <v>1430</v>
      </c>
      <c r="E2067" s="0" t="s">
        <v>4968</v>
      </c>
      <c r="F2067" s="0" t="str">
        <f aca="false">CONCATENATE(D2067," ",LEFT(H2067,4),"T=",AU2067,"D=",AV2067,"R=",AW2067,"M=",AX2067,"L=",AY2067,"B=",AZ2067)</f>
        <v>MARSHALL T=1D=0R=0M=0L=0B=0</v>
      </c>
      <c r="G2067" s="0" t="s">
        <v>255</v>
      </c>
      <c r="I2067" s="0" t="s">
        <v>9118</v>
      </c>
      <c r="J2067" s="0" t="s">
        <v>4233</v>
      </c>
      <c r="K2067" s="0" t="s">
        <v>160</v>
      </c>
      <c r="M2067" s="0" t="s">
        <v>9116</v>
      </c>
      <c r="N2067" s="0" t="str">
        <f aca="false">RIGHT(M2067,LEN(M2067)-FIND(" ",M2067))</f>
        <v>ROMAN ST SE</v>
      </c>
      <c r="P2067" s="0" t="s">
        <v>145</v>
      </c>
      <c r="Q2067" s="0" t="s">
        <v>146</v>
      </c>
      <c r="R2067" s="0" t="n">
        <v>44484</v>
      </c>
      <c r="AD2067" s="0" t="s">
        <v>147</v>
      </c>
      <c r="AE2067" s="0" t="s">
        <v>148</v>
      </c>
      <c r="AF2067" s="0" t="s">
        <v>149</v>
      </c>
      <c r="AH2067" s="0" t="n">
        <v>14</v>
      </c>
      <c r="AI2067" s="0" t="n">
        <v>11</v>
      </c>
      <c r="AN2067" s="0" t="s">
        <v>145</v>
      </c>
      <c r="AO2067" s="0" t="s">
        <v>233</v>
      </c>
      <c r="AP2067" s="0" t="s">
        <v>234</v>
      </c>
      <c r="AQ2067" s="0" t="n">
        <v>9</v>
      </c>
      <c r="AR2067" s="0" t="n">
        <v>64</v>
      </c>
      <c r="AS2067" s="0" t="n">
        <v>32</v>
      </c>
      <c r="AU2067" s="0" t="n">
        <f aca="false">COUNTA($BA$2656:$EH$2656)</f>
        <v>1</v>
      </c>
      <c r="AV2067" s="0" t="n">
        <f aca="false">COUNTIF($BA$2656:$EH$2656,"D")</f>
        <v>0</v>
      </c>
      <c r="AW2067" s="0" t="n">
        <f aca="false">COUNTIF($BA$2656:$EH$2656,"R")</f>
        <v>0</v>
      </c>
      <c r="AX2067" s="0" t="n">
        <f aca="false">IF(BN2067="D",1,0)+IF(BO2067="D",1,0)+IF(BT2067="D",1,0)+IF(BU2067="D",1,0)+IF(BW2067="D",1,0)+IF(CC2067="D",1,0)+IF(CD2067="D",1,0)+IF(CE2067="D",1,0)+IF(CF2067="D",1,0)+IF(CL2067="D",1,0)+IF(CM2067="D",1,0)+IF(CQ2067="D",1,0)+IF(CR2067="D",1,0)+IF(CS2067="D",1,0)+IF(CW2067="D",1,0)+IF(CX2067="D",1,0)+IF(DD2067="D",1,0)+IF(DE2067="D",1,0)+IF(DJ2067="D",1,0)+IF(DK2067="D",1,0)+IF(DO2067="D",1,0)+IF(DP2067="D",1,0)+IF(DQ2067="D",1,0)+IF(DW2067="D",1,0)+IF(DZ2067="D",1,0)+IF(EH2067="D",1,0)</f>
        <v>0</v>
      </c>
      <c r="AY2067" s="0" t="n">
        <f aca="false">COUNTIF(DU2067:EH2067, "&lt;&gt;")</f>
        <v>0</v>
      </c>
      <c r="AZ2067" s="0" t="n">
        <f aca="false">IF(EH2067&lt;&gt;"",1,0)</f>
        <v>0</v>
      </c>
      <c r="BB2067" s="0" t="s">
        <v>152</v>
      </c>
    </row>
    <row r="2068" customFormat="false" ht="13.8" hidden="true" customHeight="false" outlineLevel="0" collapsed="false">
      <c r="A2068" s="0" t="s">
        <v>9119</v>
      </c>
      <c r="B2068" s="0" t="n">
        <v>78</v>
      </c>
      <c r="C2068" s="0" t="n">
        <v>468021</v>
      </c>
      <c r="D2068" s="0" t="s">
        <v>213</v>
      </c>
      <c r="E2068" s="0" t="s">
        <v>9120</v>
      </c>
      <c r="F2068" s="0" t="str">
        <f aca="false">CONCATENATE(D2068," ",LEFT(H2068,4),"T=",AU2068,"D=",AV2068,"R=",AW2068,"M=",AX2068,"L=",AY2068,"B=",AZ2068)</f>
        <v>TRAVIS T=10D=2R=0M=0L=0B=0</v>
      </c>
      <c r="G2068" s="0" t="s">
        <v>357</v>
      </c>
      <c r="I2068" s="0" t="s">
        <v>9121</v>
      </c>
      <c r="J2068" s="0" t="s">
        <v>9122</v>
      </c>
      <c r="K2068" s="0" t="s">
        <v>160</v>
      </c>
      <c r="M2068" s="0" t="s">
        <v>9123</v>
      </c>
      <c r="N2068" s="0" t="str">
        <f aca="false">RIGHT(M2068,LEN(M2068)-FIND(" ",M2068))</f>
        <v>ROMAN ST SE</v>
      </c>
      <c r="P2068" s="0" t="s">
        <v>145</v>
      </c>
      <c r="Q2068" s="0" t="s">
        <v>146</v>
      </c>
      <c r="R2068" s="0" t="n">
        <v>44484</v>
      </c>
      <c r="AD2068" s="0" t="s">
        <v>147</v>
      </c>
      <c r="AE2068" s="0" t="s">
        <v>148</v>
      </c>
      <c r="AF2068" s="0" t="s">
        <v>149</v>
      </c>
      <c r="AH2068" s="0" t="n">
        <v>14</v>
      </c>
      <c r="AI2068" s="0" t="n">
        <v>11</v>
      </c>
      <c r="AN2068" s="0" t="s">
        <v>145</v>
      </c>
      <c r="AO2068" s="0" t="s">
        <v>233</v>
      </c>
      <c r="AP2068" s="0" t="s">
        <v>234</v>
      </c>
      <c r="AQ2068" s="0" t="n">
        <v>9</v>
      </c>
      <c r="AR2068" s="0" t="n">
        <v>64</v>
      </c>
      <c r="AS2068" s="0" t="n">
        <v>32</v>
      </c>
      <c r="AU2068" s="0" t="n">
        <f aca="false">COUNTA($BA$2592:$EH$2592)</f>
        <v>10</v>
      </c>
      <c r="AV2068" s="0" t="n">
        <f aca="false">COUNTIF($BA$2592:$EH$2592,"D")</f>
        <v>2</v>
      </c>
      <c r="AW2068" s="0" t="n">
        <f aca="false">COUNTIF($BA$2592:$EH$2592,"R")</f>
        <v>0</v>
      </c>
      <c r="AX2068" s="0" t="n">
        <f aca="false">IF(BN2068="D",1,0)+IF(BO2068="D",1,0)+IF(BT2068="D",1,0)+IF(BU2068="D",1,0)+IF(BW2068="D",1,0)+IF(CC2068="D",1,0)+IF(CD2068="D",1,0)+IF(CE2068="D",1,0)+IF(CF2068="D",1,0)+IF(CL2068="D",1,0)+IF(CM2068="D",1,0)+IF(CQ2068="D",1,0)+IF(CR2068="D",1,0)+IF(CS2068="D",1,0)+IF(CW2068="D",1,0)+IF(CX2068="D",1,0)+IF(DD2068="D",1,0)+IF(DE2068="D",1,0)+IF(DJ2068="D",1,0)+IF(DK2068="D",1,0)+IF(DO2068="D",1,0)+IF(DP2068="D",1,0)+IF(DQ2068="D",1,0)+IF(DW2068="D",1,0)+IF(DZ2068="D",1,0)+IF(EH2068="D",1,0)</f>
        <v>0</v>
      </c>
      <c r="AY2068" s="0" t="n">
        <f aca="false">COUNTIF(DU2068:EH2068, "&lt;&gt;")</f>
        <v>0</v>
      </c>
      <c r="AZ2068" s="0" t="n">
        <f aca="false">IF(EH2068&lt;&gt;"",1,0)</f>
        <v>0</v>
      </c>
      <c r="BB2068" s="0" t="s">
        <v>152</v>
      </c>
    </row>
    <row r="2069" customFormat="false" ht="13.8" hidden="true" customHeight="false" outlineLevel="0" collapsed="false">
      <c r="A2069" s="0" t="s">
        <v>9124</v>
      </c>
      <c r="B2069" s="0" t="n">
        <v>78</v>
      </c>
      <c r="C2069" s="0" t="n">
        <v>416514</v>
      </c>
      <c r="D2069" s="0" t="s">
        <v>4313</v>
      </c>
      <c r="E2069" s="0" t="s">
        <v>1960</v>
      </c>
      <c r="F2069" s="0" t="str">
        <f aca="false">CONCATENATE(D2069," ",LEFT(H2069,4),"T=",AU2069,"D=",AV2069,"R=",AW2069,"M=",AX2069,"L=",AY2069,"B=",AZ2069)</f>
        <v>WALTON T=4D=0R=0M=0L=0B=0</v>
      </c>
      <c r="G2069" s="0" t="s">
        <v>268</v>
      </c>
      <c r="I2069" s="0" t="s">
        <v>9125</v>
      </c>
      <c r="J2069" s="0" t="s">
        <v>4601</v>
      </c>
      <c r="K2069" s="0" t="s">
        <v>143</v>
      </c>
      <c r="M2069" s="0" t="s">
        <v>9126</v>
      </c>
      <c r="N2069" s="0" t="str">
        <f aca="false">RIGHT(M2069,LEN(M2069)-FIND(" ",M2069))</f>
        <v>S PARK AVE</v>
      </c>
      <c r="O2069" s="0" t="s">
        <v>220</v>
      </c>
      <c r="P2069" s="0" t="s">
        <v>145</v>
      </c>
      <c r="Q2069" s="0" t="s">
        <v>146</v>
      </c>
      <c r="R2069" s="0" t="n">
        <v>44483</v>
      </c>
      <c r="AD2069" s="0" t="s">
        <v>147</v>
      </c>
      <c r="AE2069" s="0" t="s">
        <v>148</v>
      </c>
      <c r="AF2069" s="0" t="s">
        <v>149</v>
      </c>
      <c r="AH2069" s="0" t="n">
        <v>14</v>
      </c>
      <c r="AI2069" s="0" t="n">
        <v>11</v>
      </c>
      <c r="AN2069" s="0" t="s">
        <v>145</v>
      </c>
      <c r="AO2069" s="0" t="s">
        <v>233</v>
      </c>
      <c r="AP2069" s="0" t="s">
        <v>234</v>
      </c>
      <c r="AQ2069" s="0" t="n">
        <v>9</v>
      </c>
      <c r="AR2069" s="0" t="n">
        <v>64</v>
      </c>
      <c r="AS2069" s="0" t="n">
        <v>32</v>
      </c>
      <c r="AU2069" s="0" t="n">
        <f aca="false">COUNTA($BA$2679:$EH$2679)</f>
        <v>4</v>
      </c>
      <c r="AV2069" s="0" t="n">
        <f aca="false">COUNTIF($BA$2679:$EH$2679,"D")</f>
        <v>0</v>
      </c>
      <c r="AW2069" s="0" t="n">
        <f aca="false">COUNTIF($BA$2679:$EH$2679,"R")</f>
        <v>0</v>
      </c>
      <c r="AX2069" s="0" t="n">
        <f aca="false">IF(BN2069="D",1,0)+IF(BO2069="D",1,0)+IF(BT2069="D",1,0)+IF(BU2069="D",1,0)+IF(BW2069="D",1,0)+IF(CC2069="D",1,0)+IF(CD2069="D",1,0)+IF(CE2069="D",1,0)+IF(CF2069="D",1,0)+IF(CL2069="D",1,0)+IF(CM2069="D",1,0)+IF(CQ2069="D",1,0)+IF(CR2069="D",1,0)+IF(CS2069="D",1,0)+IF(CW2069="D",1,0)+IF(CX2069="D",1,0)+IF(DD2069="D",1,0)+IF(DE2069="D",1,0)+IF(DJ2069="D",1,0)+IF(DK2069="D",1,0)+IF(DO2069="D",1,0)+IF(DP2069="D",1,0)+IF(DQ2069="D",1,0)+IF(DW2069="D",1,0)+IF(DZ2069="D",1,0)+IF(EH2069="D",1,0)</f>
        <v>0</v>
      </c>
      <c r="AY2069" s="0" t="n">
        <f aca="false">COUNTIF(DU2069:EH2069, "&lt;&gt;")</f>
        <v>0</v>
      </c>
      <c r="AZ2069" s="0" t="n">
        <f aca="false">IF(EH2069&lt;&gt;"",1,0)</f>
        <v>0</v>
      </c>
      <c r="BB2069" s="0" t="s">
        <v>152</v>
      </c>
    </row>
    <row r="2070" customFormat="false" ht="13.8" hidden="true" customHeight="false" outlineLevel="0" collapsed="false">
      <c r="A2070" s="0" t="s">
        <v>9127</v>
      </c>
      <c r="B2070" s="0" t="n">
        <v>78</v>
      </c>
      <c r="C2070" s="0" t="n">
        <v>464272</v>
      </c>
      <c r="D2070" s="0" t="s">
        <v>9128</v>
      </c>
      <c r="E2070" s="0" t="s">
        <v>275</v>
      </c>
      <c r="F2070" s="0" t="str">
        <f aca="false">CONCATENATE(D2070," ",LEFT(H2070,4),"T=",AU2070,"D=",AV2070,"R=",AW2070,"M=",AX2070,"L=",AY2070,"B=",AZ2070)</f>
        <v>MALONE T=4D=0R=0M=0L=1B=0</v>
      </c>
      <c r="G2070" s="0" t="s">
        <v>331</v>
      </c>
      <c r="I2070" s="0" t="s">
        <v>9129</v>
      </c>
      <c r="J2070" s="0" t="s">
        <v>6837</v>
      </c>
      <c r="K2070" s="0" t="s">
        <v>160</v>
      </c>
      <c r="M2070" s="0" t="s">
        <v>9130</v>
      </c>
      <c r="N2070" s="0" t="str">
        <f aca="false">RIGHT(M2070,LEN(M2070)-FIND(" ",M2070))</f>
        <v>SAINT CLAIR DR NE</v>
      </c>
      <c r="P2070" s="0" t="s">
        <v>145</v>
      </c>
      <c r="Q2070" s="0" t="s">
        <v>146</v>
      </c>
      <c r="R2070" s="0" t="n">
        <v>44483</v>
      </c>
      <c r="AD2070" s="0" t="s">
        <v>147</v>
      </c>
      <c r="AE2070" s="0" t="s">
        <v>148</v>
      </c>
      <c r="AF2070" s="0" t="s">
        <v>149</v>
      </c>
      <c r="AH2070" s="0" t="n">
        <v>14</v>
      </c>
      <c r="AI2070" s="0" t="n">
        <v>11</v>
      </c>
      <c r="AN2070" s="0" t="s">
        <v>145</v>
      </c>
      <c r="AO2070" s="0" t="s">
        <v>654</v>
      </c>
      <c r="AP2070" s="0" t="s">
        <v>655</v>
      </c>
      <c r="AQ2070" s="0" t="n">
        <v>9</v>
      </c>
      <c r="AR2070" s="0" t="n">
        <v>64</v>
      </c>
      <c r="AS2070" s="0" t="n">
        <v>32</v>
      </c>
      <c r="AU2070" s="0" t="n">
        <f aca="false">COUNTA($BA$1310:$EH$1310)</f>
        <v>4</v>
      </c>
      <c r="AV2070" s="0" t="n">
        <f aca="false">COUNTIF($BA$1310:$EH$1310,"D")</f>
        <v>0</v>
      </c>
      <c r="AW2070" s="0" t="n">
        <f aca="false">COUNTIF($BA$1310:$EH$1310,"R")</f>
        <v>0</v>
      </c>
      <c r="AX2070" s="0" t="n">
        <f aca="false">IF(BN2070="D",1,0)+IF(BO2070="D",1,0)+IF(BT2070="D",1,0)+IF(BU2070="D",1,0)+IF(BW2070="D",1,0)+IF(CC2070="D",1,0)+IF(CD2070="D",1,0)+IF(CE2070="D",1,0)+IF(CF2070="D",1,0)+IF(CL2070="D",1,0)+IF(CM2070="D",1,0)+IF(CQ2070="D",1,0)+IF(CR2070="D",1,0)+IF(CS2070="D",1,0)+IF(CW2070="D",1,0)+IF(CX2070="D",1,0)+IF(DD2070="D",1,0)+IF(DE2070="D",1,0)+IF(DJ2070="D",1,0)+IF(DK2070="D",1,0)+IF(DO2070="D",1,0)+IF(DP2070="D",1,0)+IF(DQ2070="D",1,0)+IF(DW2070="D",1,0)+IF(DZ2070="D",1,0)+IF(EH2070="D",1,0)</f>
        <v>0</v>
      </c>
      <c r="AY2070" s="0" t="n">
        <f aca="false">COUNTIF(DU2070:EH2070, "&lt;&gt;")</f>
        <v>1</v>
      </c>
      <c r="AZ2070" s="0" t="n">
        <f aca="false">IF(EH2070&lt;&gt;"",1,0)</f>
        <v>0</v>
      </c>
      <c r="BB2070" s="0" t="s">
        <v>152</v>
      </c>
      <c r="CY2070" s="0" t="s">
        <v>153</v>
      </c>
      <c r="DN2070" s="0" t="s">
        <v>153</v>
      </c>
      <c r="EF2070" s="0" t="s">
        <v>153</v>
      </c>
    </row>
    <row r="2071" customFormat="false" ht="13.8" hidden="false" customHeight="false" outlineLevel="0" collapsed="false">
      <c r="A2071" s="0" t="s">
        <v>9131</v>
      </c>
      <c r="B2071" s="0" t="n">
        <v>78</v>
      </c>
      <c r="C2071" s="0" t="n">
        <v>251679</v>
      </c>
      <c r="D2071" s="0" t="s">
        <v>2096</v>
      </c>
      <c r="E2071" s="0" t="s">
        <v>3162</v>
      </c>
      <c r="F2071" s="0" t="str">
        <f aca="false">CONCATENATE(D2071," ",LEFT(H2071,4),"T=",AU2071,"D=",AV2071,"R=",AW2071,"M=",AX2071,"L=",AY2071,"B=",AZ2071)</f>
        <v>LEHMAN T=7D=0R=1M=0L=4B=0</v>
      </c>
      <c r="G2071" s="0" t="s">
        <v>1128</v>
      </c>
      <c r="I2071" s="0" t="s">
        <v>9132</v>
      </c>
      <c r="J2071" s="0" t="s">
        <v>295</v>
      </c>
      <c r="K2071" s="0" t="s">
        <v>160</v>
      </c>
      <c r="L2071" s="0" t="s">
        <v>209</v>
      </c>
      <c r="M2071" s="0" t="s">
        <v>9130</v>
      </c>
      <c r="N2071" s="0" t="str">
        <f aca="false">RIGHT(M2071,LEN(M2071)-FIND(" ",M2071))</f>
        <v>SAINT CLAIR DR NE</v>
      </c>
      <c r="P2071" s="0" t="s">
        <v>145</v>
      </c>
      <c r="Q2071" s="0" t="s">
        <v>146</v>
      </c>
      <c r="R2071" s="0" t="n">
        <v>44483</v>
      </c>
      <c r="AD2071" s="0" t="s">
        <v>147</v>
      </c>
      <c r="AE2071" s="0" t="s">
        <v>148</v>
      </c>
      <c r="AF2071" s="0" t="s">
        <v>149</v>
      </c>
      <c r="AH2071" s="0" t="n">
        <v>14</v>
      </c>
      <c r="AI2071" s="0" t="n">
        <v>11</v>
      </c>
      <c r="AN2071" s="0" t="s">
        <v>145</v>
      </c>
      <c r="AO2071" s="0" t="s">
        <v>654</v>
      </c>
      <c r="AP2071" s="0" t="s">
        <v>655</v>
      </c>
      <c r="AQ2071" s="0" t="n">
        <v>9</v>
      </c>
      <c r="AR2071" s="0" t="n">
        <v>64</v>
      </c>
      <c r="AS2071" s="0" t="n">
        <v>32</v>
      </c>
      <c r="AU2071" s="0" t="n">
        <f aca="false">COUNTA($BA$1365:$EH$1365)</f>
        <v>7</v>
      </c>
      <c r="AV2071" s="0" t="n">
        <f aca="false">COUNTIF($BA$1365:$EH$1365,"D")</f>
        <v>0</v>
      </c>
      <c r="AW2071" s="0" t="n">
        <f aca="false">COUNTIF($BA$1365:$EH$1365,"R")</f>
        <v>1</v>
      </c>
      <c r="AX2071" s="0" t="n">
        <f aca="false">IF(BN2071="D",1,0)+IF(BO2071="D",1,0)+IF(BT2071="D",1,0)+IF(BU2071="D",1,0)+IF(BW2071="D",1,0)+IF(CC2071="D",1,0)+IF(CD2071="D",1,0)+IF(CE2071="D",1,0)+IF(CF2071="D",1,0)+IF(CL2071="D",1,0)+IF(CM2071="D",1,0)+IF(CQ2071="D",1,0)+IF(CR2071="D",1,0)+IF(CS2071="D",1,0)+IF(CW2071="D",1,0)+IF(CX2071="D",1,0)+IF(DD2071="D",1,0)+IF(DE2071="D",1,0)+IF(DJ2071="D",1,0)+IF(DK2071="D",1,0)+IF(DO2071="D",1,0)+IF(DP2071="D",1,0)+IF(DQ2071="D",1,0)+IF(DW2071="D",1,0)+IF(DZ2071="D",1,0)+IF(EH2071="D",1,0)</f>
        <v>0</v>
      </c>
      <c r="AY2071" s="0" t="n">
        <f aca="false">COUNTIF(DU2071:EH2071, "&lt;&gt;")</f>
        <v>4</v>
      </c>
      <c r="AZ2071" s="0" t="n">
        <f aca="false">IF(EH2071&lt;&gt;"",1,0)</f>
        <v>0</v>
      </c>
      <c r="BB2071" s="0" t="s">
        <v>152</v>
      </c>
      <c r="BD2071" s="0" t="s">
        <v>153</v>
      </c>
      <c r="BF2071" s="0" t="s">
        <v>153</v>
      </c>
      <c r="BG2071" s="0" t="s">
        <v>153</v>
      </c>
      <c r="BH2071" s="0" t="s">
        <v>153</v>
      </c>
      <c r="BJ2071" s="0" t="s">
        <v>153</v>
      </c>
      <c r="BK2071" s="0" t="s">
        <v>153</v>
      </c>
      <c r="BL2071" s="0" t="s">
        <v>153</v>
      </c>
      <c r="BR2071" s="0" t="s">
        <v>153</v>
      </c>
      <c r="BS2071" s="0" t="s">
        <v>153</v>
      </c>
      <c r="BV2071" s="0" t="s">
        <v>153</v>
      </c>
      <c r="BY2071" s="0" t="s">
        <v>175</v>
      </c>
      <c r="CA2071" s="0" t="s">
        <v>153</v>
      </c>
      <c r="CG2071" s="0" t="s">
        <v>153</v>
      </c>
      <c r="CH2071" s="0" t="s">
        <v>209</v>
      </c>
      <c r="CY2071" s="0" t="s">
        <v>153</v>
      </c>
      <c r="DC2071" s="0" t="s">
        <v>153</v>
      </c>
      <c r="DU2071" s="0" t="s">
        <v>153</v>
      </c>
      <c r="EA2071" s="0" t="s">
        <v>153</v>
      </c>
      <c r="ED2071" s="0" t="s">
        <v>209</v>
      </c>
      <c r="EF2071" s="0" t="s">
        <v>153</v>
      </c>
    </row>
    <row r="2072" customFormat="false" ht="13.8" hidden="true" customHeight="false" outlineLevel="0" collapsed="false">
      <c r="A2072" s="0" t="s">
        <v>9133</v>
      </c>
      <c r="B2072" s="0" t="n">
        <v>78</v>
      </c>
      <c r="C2072" s="0" t="n">
        <v>321121</v>
      </c>
      <c r="D2072" s="0" t="s">
        <v>9134</v>
      </c>
      <c r="E2072" s="0" t="s">
        <v>242</v>
      </c>
      <c r="F2072" s="0" t="str">
        <f aca="false">CONCATENATE(D2072," ",LEFT(H2072,4),"T=",AU2072,"D=",AV2072,"R=",AW2072,"M=",AX2072,"L=",AY2072,"B=",AZ2072)</f>
        <v>HESS T=1D=0R=0M=0L=0B=0</v>
      </c>
      <c r="G2072" s="0" t="s">
        <v>190</v>
      </c>
      <c r="I2072" s="0" t="s">
        <v>9135</v>
      </c>
      <c r="J2072" s="0" t="s">
        <v>9136</v>
      </c>
      <c r="K2072" s="0" t="s">
        <v>160</v>
      </c>
      <c r="M2072" s="0" t="s">
        <v>9137</v>
      </c>
      <c r="N2072" s="0" t="str">
        <f aca="false">RIGHT(M2072,LEN(M2072)-FIND(" ",M2072))</f>
        <v>SAINT CLAIR DR NE</v>
      </c>
      <c r="P2072" s="0" t="s">
        <v>145</v>
      </c>
      <c r="Q2072" s="0" t="s">
        <v>146</v>
      </c>
      <c r="R2072" s="0" t="n">
        <v>44483</v>
      </c>
      <c r="AD2072" s="0" t="s">
        <v>147</v>
      </c>
      <c r="AE2072" s="0" t="s">
        <v>148</v>
      </c>
      <c r="AF2072" s="0" t="s">
        <v>149</v>
      </c>
      <c r="AH2072" s="0" t="n">
        <v>14</v>
      </c>
      <c r="AI2072" s="0" t="n">
        <v>11</v>
      </c>
      <c r="AN2072" s="0" t="s">
        <v>145</v>
      </c>
      <c r="AO2072" s="0" t="s">
        <v>654</v>
      </c>
      <c r="AP2072" s="0" t="s">
        <v>655</v>
      </c>
      <c r="AQ2072" s="0" t="n">
        <v>9</v>
      </c>
      <c r="AR2072" s="0" t="n">
        <v>64</v>
      </c>
      <c r="AS2072" s="0" t="n">
        <v>32</v>
      </c>
      <c r="AU2072" s="0" t="n">
        <f aca="false">COUNTA($BA$1831:$EH$1831)</f>
        <v>1</v>
      </c>
      <c r="AV2072" s="0" t="n">
        <f aca="false">COUNTIF($BA$1831:$EH$1831,"D")</f>
        <v>0</v>
      </c>
      <c r="AW2072" s="0" t="n">
        <f aca="false">COUNTIF($BA$1831:$EH$1831,"R")</f>
        <v>0</v>
      </c>
      <c r="AX2072" s="0" t="n">
        <f aca="false">IF(BN2072="D",1,0)+IF(BO2072="D",1,0)+IF(BT2072="D",1,0)+IF(BU2072="D",1,0)+IF(BW2072="D",1,0)+IF(CC2072="D",1,0)+IF(CD2072="D",1,0)+IF(CE2072="D",1,0)+IF(CF2072="D",1,0)+IF(CL2072="D",1,0)+IF(CM2072="D",1,0)+IF(CQ2072="D",1,0)+IF(CR2072="D",1,0)+IF(CS2072="D",1,0)+IF(CW2072="D",1,0)+IF(CX2072="D",1,0)+IF(DD2072="D",1,0)+IF(DE2072="D",1,0)+IF(DJ2072="D",1,0)+IF(DK2072="D",1,0)+IF(DO2072="D",1,0)+IF(DP2072="D",1,0)+IF(DQ2072="D",1,0)+IF(DW2072="D",1,0)+IF(DZ2072="D",1,0)+IF(EH2072="D",1,0)</f>
        <v>0</v>
      </c>
      <c r="AY2072" s="0" t="n">
        <f aca="false">COUNTIF(DU2072:EH2072, "&lt;&gt;")</f>
        <v>0</v>
      </c>
      <c r="AZ2072" s="0" t="n">
        <f aca="false">IF(EH2072&lt;&gt;"",1,0)</f>
        <v>0</v>
      </c>
      <c r="BB2072" s="0" t="s">
        <v>152</v>
      </c>
      <c r="BL2072" s="0" t="s">
        <v>153</v>
      </c>
      <c r="BV2072" s="0" t="s">
        <v>153</v>
      </c>
      <c r="BY2072" s="0" t="s">
        <v>175</v>
      </c>
      <c r="DC2072" s="0" t="s">
        <v>153</v>
      </c>
    </row>
    <row r="2073" customFormat="false" ht="13.8" hidden="true" customHeight="false" outlineLevel="0" collapsed="false">
      <c r="A2073" s="0" t="s">
        <v>9138</v>
      </c>
      <c r="B2073" s="0" t="n">
        <v>78</v>
      </c>
      <c r="C2073" s="0" t="n">
        <v>419758</v>
      </c>
      <c r="D2073" s="0" t="s">
        <v>1445</v>
      </c>
      <c r="E2073" s="0" t="s">
        <v>9139</v>
      </c>
      <c r="F2073" s="0" t="str">
        <f aca="false">CONCATENATE(D2073," ",LEFT(H2073,4),"T=",AU2073,"D=",AV2073,"R=",AW2073,"M=",AX2073,"L=",AY2073,"B=",AZ2073)</f>
        <v>WILLIAMS T=28D=0R=7M=0L=0B=0</v>
      </c>
      <c r="G2073" s="0" t="s">
        <v>686</v>
      </c>
      <c r="I2073" s="0" t="s">
        <v>9140</v>
      </c>
      <c r="J2073" s="0" t="s">
        <v>9019</v>
      </c>
      <c r="K2073" s="0" t="s">
        <v>143</v>
      </c>
      <c r="M2073" s="0" t="s">
        <v>9137</v>
      </c>
      <c r="N2073" s="0" t="str">
        <f aca="false">RIGHT(M2073,LEN(M2073)-FIND(" ",M2073))</f>
        <v>SAINT CLAIR DR NE</v>
      </c>
      <c r="P2073" s="0" t="s">
        <v>145</v>
      </c>
      <c r="Q2073" s="0" t="s">
        <v>146</v>
      </c>
      <c r="R2073" s="0" t="n">
        <v>44483</v>
      </c>
      <c r="AD2073" s="0" t="s">
        <v>147</v>
      </c>
      <c r="AE2073" s="0" t="s">
        <v>148</v>
      </c>
      <c r="AF2073" s="0" t="s">
        <v>149</v>
      </c>
      <c r="AH2073" s="0" t="n">
        <v>14</v>
      </c>
      <c r="AI2073" s="0" t="n">
        <v>11</v>
      </c>
      <c r="AN2073" s="0" t="s">
        <v>145</v>
      </c>
      <c r="AO2073" s="0" t="s">
        <v>654</v>
      </c>
      <c r="AP2073" s="0" t="s">
        <v>655</v>
      </c>
      <c r="AQ2073" s="0" t="n">
        <v>9</v>
      </c>
      <c r="AR2073" s="0" t="n">
        <v>64</v>
      </c>
      <c r="AS2073" s="0" t="n">
        <v>32</v>
      </c>
      <c r="AU2073" s="0" t="n">
        <f aca="false">COUNTA($BA$2013:$EH$2013)</f>
        <v>28</v>
      </c>
      <c r="AV2073" s="0" t="n">
        <f aca="false">COUNTIF($BA$2013:$EH$2013,"D")</f>
        <v>0</v>
      </c>
      <c r="AW2073" s="0" t="n">
        <f aca="false">COUNTIF($BA$2013:$EH$2013,"R")</f>
        <v>7</v>
      </c>
      <c r="AX2073" s="0" t="n">
        <f aca="false">IF(BN2073="D",1,0)+IF(BO2073="D",1,0)+IF(BT2073="D",1,0)+IF(BU2073="D",1,0)+IF(BW2073="D",1,0)+IF(CC2073="D",1,0)+IF(CD2073="D",1,0)+IF(CE2073="D",1,0)+IF(CF2073="D",1,0)+IF(CL2073="D",1,0)+IF(CM2073="D",1,0)+IF(CQ2073="D",1,0)+IF(CR2073="D",1,0)+IF(CS2073="D",1,0)+IF(CW2073="D",1,0)+IF(CX2073="D",1,0)+IF(DD2073="D",1,0)+IF(DE2073="D",1,0)+IF(DJ2073="D",1,0)+IF(DK2073="D",1,0)+IF(DO2073="D",1,0)+IF(DP2073="D",1,0)+IF(DQ2073="D",1,0)+IF(DW2073="D",1,0)+IF(DZ2073="D",1,0)+IF(EH2073="D",1,0)</f>
        <v>0</v>
      </c>
      <c r="AY2073" s="0" t="n">
        <f aca="false">COUNTIF(DU2073:EH2073, "&lt;&gt;")</f>
        <v>0</v>
      </c>
      <c r="AZ2073" s="0" t="n">
        <f aca="false">IF(EH2073&lt;&gt;"",1,0)</f>
        <v>0</v>
      </c>
      <c r="BB2073" s="0" t="s">
        <v>152</v>
      </c>
      <c r="DC2073" s="0" t="s">
        <v>153</v>
      </c>
      <c r="DI2073" s="0" t="s">
        <v>153</v>
      </c>
    </row>
    <row r="2074" customFormat="false" ht="13.8" hidden="true" customHeight="false" outlineLevel="0" collapsed="false">
      <c r="A2074" s="0" t="s">
        <v>9141</v>
      </c>
      <c r="B2074" s="0" t="n">
        <v>78</v>
      </c>
      <c r="C2074" s="0" t="n">
        <v>350238</v>
      </c>
      <c r="D2074" s="0" t="s">
        <v>4848</v>
      </c>
      <c r="E2074" s="0" t="s">
        <v>9142</v>
      </c>
      <c r="F2074" s="0" t="str">
        <f aca="false">CONCATENATE(D2074," ",LEFT(H2074,4),"T=",AU2074,"D=",AV2074,"R=",AW2074,"M=",AX2074,"L=",AY2074,"B=",AZ2074)</f>
        <v>GILLIAM T=7D=0R=0M=0L=0B=0</v>
      </c>
      <c r="G2074" s="0" t="s">
        <v>268</v>
      </c>
      <c r="I2074" s="0" t="s">
        <v>9143</v>
      </c>
      <c r="J2074" s="0" t="s">
        <v>565</v>
      </c>
      <c r="K2074" s="0" t="s">
        <v>143</v>
      </c>
      <c r="M2074" s="0" t="s">
        <v>9144</v>
      </c>
      <c r="N2074" s="0" t="str">
        <f aca="false">RIGHT(M2074,LEN(M2074)-FIND(" ",M2074))</f>
        <v>SAINT CLAIR DR NE</v>
      </c>
      <c r="P2074" s="0" t="s">
        <v>145</v>
      </c>
      <c r="Q2074" s="0" t="s">
        <v>146</v>
      </c>
      <c r="R2074" s="0" t="n">
        <v>44483</v>
      </c>
      <c r="AD2074" s="0" t="s">
        <v>147</v>
      </c>
      <c r="AE2074" s="0" t="s">
        <v>148</v>
      </c>
      <c r="AF2074" s="0" t="s">
        <v>149</v>
      </c>
      <c r="AH2074" s="0" t="n">
        <v>14</v>
      </c>
      <c r="AI2074" s="0" t="n">
        <v>11</v>
      </c>
      <c r="AN2074" s="0" t="s">
        <v>145</v>
      </c>
      <c r="AO2074" s="0" t="s">
        <v>654</v>
      </c>
      <c r="AP2074" s="0" t="s">
        <v>655</v>
      </c>
      <c r="AQ2074" s="0" t="n">
        <v>9</v>
      </c>
      <c r="AR2074" s="0" t="n">
        <v>64</v>
      </c>
      <c r="AS2074" s="0" t="n">
        <v>32</v>
      </c>
      <c r="AU2074" s="0" t="n">
        <f aca="false">COUNTA($BA$1505:$EH$1505)</f>
        <v>7</v>
      </c>
      <c r="AV2074" s="0" t="n">
        <f aca="false">COUNTIF($BA$1505:$EH$1505,"D")</f>
        <v>0</v>
      </c>
      <c r="AW2074" s="0" t="n">
        <f aca="false">COUNTIF($BA$1505:$EH$1505,"R")</f>
        <v>0</v>
      </c>
      <c r="AX2074" s="0" t="n">
        <f aca="false">IF(BN2074="D",1,0)+IF(BO2074="D",1,0)+IF(BT2074="D",1,0)+IF(BU2074="D",1,0)+IF(BW2074="D",1,0)+IF(CC2074="D",1,0)+IF(CD2074="D",1,0)+IF(CE2074="D",1,0)+IF(CF2074="D",1,0)+IF(CL2074="D",1,0)+IF(CM2074="D",1,0)+IF(CQ2074="D",1,0)+IF(CR2074="D",1,0)+IF(CS2074="D",1,0)+IF(CW2074="D",1,0)+IF(CX2074="D",1,0)+IF(DD2074="D",1,0)+IF(DE2074="D",1,0)+IF(DJ2074="D",1,0)+IF(DK2074="D",1,0)+IF(DO2074="D",1,0)+IF(DP2074="D",1,0)+IF(DQ2074="D",1,0)+IF(DW2074="D",1,0)+IF(DZ2074="D",1,0)+IF(EH2074="D",1,0)</f>
        <v>0</v>
      </c>
      <c r="AY2074" s="0" t="n">
        <f aca="false">COUNTIF(DU2074:EH2074, "&lt;&gt;")</f>
        <v>0</v>
      </c>
      <c r="AZ2074" s="0" t="n">
        <f aca="false">IF(EH2074&lt;&gt;"",1,0)</f>
        <v>0</v>
      </c>
      <c r="BB2074" s="0" t="s">
        <v>152</v>
      </c>
    </row>
    <row r="2075" customFormat="false" ht="13.8" hidden="false" customHeight="false" outlineLevel="0" collapsed="false">
      <c r="A2075" s="0" t="s">
        <v>9145</v>
      </c>
      <c r="B2075" s="0" t="n">
        <v>78</v>
      </c>
      <c r="C2075" s="0" t="n">
        <v>414218</v>
      </c>
      <c r="D2075" s="0" t="s">
        <v>9146</v>
      </c>
      <c r="E2075" s="0" t="s">
        <v>324</v>
      </c>
      <c r="F2075" s="0" t="str">
        <f aca="false">CONCATENATE(D2075," ",LEFT(H2075,4),"T=",AU2075,"D=",AV2075,"R=",AW2075,"M=",AX2075,"L=",AY2075,"B=",AZ2075)</f>
        <v>FLAHERTY T=18D=5R=1M=1L=4B=1</v>
      </c>
      <c r="G2075" s="0" t="s">
        <v>670</v>
      </c>
      <c r="I2075" s="0" t="s">
        <v>9147</v>
      </c>
      <c r="J2075" s="0" t="s">
        <v>8538</v>
      </c>
      <c r="K2075" s="0" t="s">
        <v>160</v>
      </c>
      <c r="L2075" s="0" t="s">
        <v>175</v>
      </c>
      <c r="M2075" s="0" t="s">
        <v>9148</v>
      </c>
      <c r="N2075" s="0" t="str">
        <f aca="false">RIGHT(M2075,LEN(M2075)-FIND(" ",M2075))</f>
        <v>SCOTT ST NE</v>
      </c>
      <c r="P2075" s="0" t="s">
        <v>145</v>
      </c>
      <c r="Q2075" s="0" t="s">
        <v>146</v>
      </c>
      <c r="R2075" s="0" t="n">
        <v>44483</v>
      </c>
      <c r="AD2075" s="0" t="s">
        <v>147</v>
      </c>
      <c r="AE2075" s="0" t="s">
        <v>148</v>
      </c>
      <c r="AF2075" s="0" t="s">
        <v>149</v>
      </c>
      <c r="AH2075" s="0" t="n">
        <v>14</v>
      </c>
      <c r="AI2075" s="0" t="n">
        <v>11</v>
      </c>
      <c r="AN2075" s="0" t="s">
        <v>145</v>
      </c>
      <c r="AO2075" s="0" t="s">
        <v>654</v>
      </c>
      <c r="AP2075" s="0" t="s">
        <v>655</v>
      </c>
      <c r="AQ2075" s="0" t="n">
        <v>9</v>
      </c>
      <c r="AR2075" s="0" t="n">
        <v>64</v>
      </c>
      <c r="AS2075" s="0" t="n">
        <v>32</v>
      </c>
      <c r="AU2075" s="0" t="n">
        <f aca="false">COUNTA($BA$1631:$EH$1631)</f>
        <v>18</v>
      </c>
      <c r="AV2075" s="0" t="n">
        <f aca="false">COUNTIF($BA$1631:$EH$1631,"D")</f>
        <v>5</v>
      </c>
      <c r="AW2075" s="0" t="n">
        <f aca="false">COUNTIF($BA$1631:$EH$1631,"R")</f>
        <v>1</v>
      </c>
      <c r="AX2075" s="0" t="n">
        <f aca="false">IF(BN2075="D",1,0)+IF(BO2075="D",1,0)+IF(BT2075="D",1,0)+IF(BU2075="D",1,0)+IF(BW2075="D",1,0)+IF(CC2075="D",1,0)+IF(CD2075="D",1,0)+IF(CE2075="D",1,0)+IF(CF2075="D",1,0)+IF(CL2075="D",1,0)+IF(CM2075="D",1,0)+IF(CQ2075="D",1,0)+IF(CR2075="D",1,0)+IF(CS2075="D",1,0)+IF(CW2075="D",1,0)+IF(CX2075="D",1,0)+IF(DD2075="D",1,0)+IF(DE2075="D",1,0)+IF(DJ2075="D",1,0)+IF(DK2075="D",1,0)+IF(DO2075="D",1,0)+IF(DP2075="D",1,0)+IF(DQ2075="D",1,0)+IF(DW2075="D",1,0)+IF(DZ2075="D",1,0)+IF(EH2075="D",1,0)</f>
        <v>1</v>
      </c>
      <c r="AY2075" s="0" t="n">
        <f aca="false">COUNTIF(DU2075:EH2075, "&lt;&gt;")</f>
        <v>4</v>
      </c>
      <c r="AZ2075" s="0" t="n">
        <f aca="false">IF(EH2075&lt;&gt;"",1,0)</f>
        <v>1</v>
      </c>
      <c r="BB2075" s="0" t="s">
        <v>152</v>
      </c>
      <c r="CZ2075" s="0" t="s">
        <v>175</v>
      </c>
      <c r="DC2075" s="0" t="s">
        <v>153</v>
      </c>
      <c r="DU2075" s="0" t="s">
        <v>153</v>
      </c>
      <c r="EA2075" s="0" t="s">
        <v>153</v>
      </c>
      <c r="EF2075" s="0" t="s">
        <v>153</v>
      </c>
      <c r="EH2075" s="0" t="s">
        <v>175</v>
      </c>
    </row>
    <row r="2076" customFormat="false" ht="13.8" hidden="false" customHeight="false" outlineLevel="0" collapsed="false">
      <c r="A2076" s="0" t="s">
        <v>9149</v>
      </c>
      <c r="B2076" s="0" t="n">
        <v>78</v>
      </c>
      <c r="C2076" s="0" t="n">
        <v>212783</v>
      </c>
      <c r="D2076" s="0" t="s">
        <v>7052</v>
      </c>
      <c r="E2076" s="0" t="s">
        <v>610</v>
      </c>
      <c r="F2076" s="0" t="str">
        <f aca="false">CONCATENATE(D2076," ",LEFT(H2076,4),"T=",AU2076,"D=",AV2076,"R=",AW2076,"M=",AX2076,"L=",AY2076,"B=",AZ2076)</f>
        <v>HILL T=24D=0R=0M=3L=2B=0</v>
      </c>
      <c r="G2076" s="0" t="s">
        <v>255</v>
      </c>
      <c r="I2076" s="0" t="s">
        <v>9150</v>
      </c>
      <c r="J2076" s="0" t="s">
        <v>9151</v>
      </c>
      <c r="K2076" s="0" t="s">
        <v>160</v>
      </c>
      <c r="L2076" s="0" t="s">
        <v>175</v>
      </c>
      <c r="M2076" s="0" t="s">
        <v>9152</v>
      </c>
      <c r="N2076" s="0" t="str">
        <f aca="false">RIGHT(M2076,LEN(M2076)-FIND(" ",M2076))</f>
        <v>SCOTT ST NE</v>
      </c>
      <c r="O2076" s="0" t="s">
        <v>1939</v>
      </c>
      <c r="P2076" s="0" t="s">
        <v>145</v>
      </c>
      <c r="Q2076" s="0" t="s">
        <v>146</v>
      </c>
      <c r="R2076" s="0" t="n">
        <v>44483</v>
      </c>
      <c r="AD2076" s="0" t="s">
        <v>147</v>
      </c>
      <c r="AE2076" s="0" t="s">
        <v>148</v>
      </c>
      <c r="AF2076" s="0" t="s">
        <v>149</v>
      </c>
      <c r="AH2076" s="0" t="n">
        <v>14</v>
      </c>
      <c r="AI2076" s="0" t="n">
        <v>11</v>
      </c>
      <c r="AN2076" s="0" t="s">
        <v>145</v>
      </c>
      <c r="AO2076" s="0" t="s">
        <v>654</v>
      </c>
      <c r="AP2076" s="0" t="s">
        <v>655</v>
      </c>
      <c r="AQ2076" s="0" t="n">
        <v>9</v>
      </c>
      <c r="AR2076" s="0" t="n">
        <v>64</v>
      </c>
      <c r="AS2076" s="0" t="n">
        <v>32</v>
      </c>
      <c r="AU2076" s="0" t="n">
        <f aca="false">COUNTA($BA$1878:$EH$1878)</f>
        <v>24</v>
      </c>
      <c r="AV2076" s="0" t="n">
        <f aca="false">COUNTIF($BA$1878:$EH$1878,"D")</f>
        <v>0</v>
      </c>
      <c r="AW2076" s="0" t="n">
        <f aca="false">COUNTIF($BA$1878:$EH$1878,"R")</f>
        <v>0</v>
      </c>
      <c r="AX2076" s="0" t="n">
        <f aca="false">IF(BN2076="D",1,0)+IF(BO2076="D",1,0)+IF(BT2076="D",1,0)+IF(BU2076="D",1,0)+IF(BW2076="D",1,0)+IF(CC2076="D",1,0)+IF(CD2076="D",1,0)+IF(CE2076="D",1,0)+IF(CF2076="D",1,0)+IF(CL2076="D",1,0)+IF(CM2076="D",1,0)+IF(CQ2076="D",1,0)+IF(CR2076="D",1,0)+IF(CS2076="D",1,0)+IF(CW2076="D",1,0)+IF(CX2076="D",1,0)+IF(DD2076="D",1,0)+IF(DE2076="D",1,0)+IF(DJ2076="D",1,0)+IF(DK2076="D",1,0)+IF(DO2076="D",1,0)+IF(DP2076="D",1,0)+IF(DQ2076="D",1,0)+IF(DW2076="D",1,0)+IF(DZ2076="D",1,0)+IF(EH2076="D",1,0)</f>
        <v>3</v>
      </c>
      <c r="AY2076" s="0" t="n">
        <f aca="false">COUNTIF(DU2076:EH2076, "&lt;&gt;")</f>
        <v>2</v>
      </c>
      <c r="AZ2076" s="0" t="n">
        <f aca="false">IF(EH2076&lt;&gt;"",1,0)</f>
        <v>0</v>
      </c>
      <c r="BB2076" s="0" t="s">
        <v>152</v>
      </c>
      <c r="BL2076" s="0" t="s">
        <v>153</v>
      </c>
      <c r="CA2076" s="0" t="s">
        <v>153</v>
      </c>
      <c r="CK2076" s="0" t="s">
        <v>153</v>
      </c>
      <c r="CN2076" s="0" t="s">
        <v>153</v>
      </c>
      <c r="CP2076" s="0" t="s">
        <v>153</v>
      </c>
      <c r="CT2076" s="0" t="s">
        <v>153</v>
      </c>
      <c r="CU2076" s="0" t="s">
        <v>175</v>
      </c>
      <c r="CV2076" s="0" t="s">
        <v>153</v>
      </c>
      <c r="CW2076" s="0" t="s">
        <v>175</v>
      </c>
      <c r="CY2076" s="0" t="s">
        <v>153</v>
      </c>
      <c r="DC2076" s="0" t="s">
        <v>153</v>
      </c>
      <c r="DG2076" s="0" t="s">
        <v>175</v>
      </c>
      <c r="DI2076" s="0" t="s">
        <v>153</v>
      </c>
      <c r="DJ2076" s="0" t="s">
        <v>175</v>
      </c>
      <c r="DL2076" s="0" t="s">
        <v>153</v>
      </c>
      <c r="DM2076" s="0" t="s">
        <v>175</v>
      </c>
      <c r="DN2076" s="0" t="s">
        <v>153</v>
      </c>
      <c r="DS2076" s="0" t="s">
        <v>175</v>
      </c>
      <c r="DT2076" s="0" t="s">
        <v>175</v>
      </c>
      <c r="DU2076" s="0" t="s">
        <v>153</v>
      </c>
      <c r="DW2076" s="0" t="s">
        <v>175</v>
      </c>
    </row>
    <row r="2077" customFormat="false" ht="13.8" hidden="true" customHeight="false" outlineLevel="0" collapsed="false">
      <c r="A2077" s="0" t="s">
        <v>9153</v>
      </c>
      <c r="B2077" s="0" t="n">
        <v>78</v>
      </c>
      <c r="C2077" s="0" t="n">
        <v>388851</v>
      </c>
      <c r="D2077" s="0" t="s">
        <v>2072</v>
      </c>
      <c r="E2077" s="0" t="s">
        <v>5836</v>
      </c>
      <c r="F2077" s="0" t="str">
        <f aca="false">CONCATENATE(D2077," ",LEFT(H2077,4),"T=",AU2077,"D=",AV2077,"R=",AW2077,"M=",AX2077,"L=",AY2077,"B=",AZ2077)</f>
        <v>SOLINGER T=26D=1R=3M=0L=1B=0</v>
      </c>
      <c r="G2077" s="0" t="s">
        <v>2179</v>
      </c>
      <c r="I2077" s="0" t="s">
        <v>9154</v>
      </c>
      <c r="J2077" s="0" t="s">
        <v>9155</v>
      </c>
      <c r="K2077" s="0" t="s">
        <v>160</v>
      </c>
      <c r="M2077" s="0" t="s">
        <v>9156</v>
      </c>
      <c r="N2077" s="0" t="str">
        <f aca="false">RIGHT(M2077,LEN(M2077)-FIND(" ",M2077))</f>
        <v>SCOTT ST NE</v>
      </c>
      <c r="P2077" s="0" t="s">
        <v>145</v>
      </c>
      <c r="Q2077" s="0" t="s">
        <v>146</v>
      </c>
      <c r="R2077" s="0" t="n">
        <v>44483</v>
      </c>
      <c r="AD2077" s="0" t="s">
        <v>147</v>
      </c>
      <c r="AE2077" s="0" t="s">
        <v>148</v>
      </c>
      <c r="AF2077" s="0" t="s">
        <v>149</v>
      </c>
      <c r="AH2077" s="0" t="n">
        <v>14</v>
      </c>
      <c r="AI2077" s="0" t="n">
        <v>11</v>
      </c>
      <c r="AN2077" s="0" t="s">
        <v>145</v>
      </c>
      <c r="AO2077" s="0" t="s">
        <v>654</v>
      </c>
      <c r="AP2077" s="0" t="s">
        <v>655</v>
      </c>
      <c r="AQ2077" s="0" t="n">
        <v>9</v>
      </c>
      <c r="AR2077" s="0" t="n">
        <v>64</v>
      </c>
      <c r="AS2077" s="0" t="n">
        <v>32</v>
      </c>
      <c r="AU2077" s="0" t="n">
        <f aca="false">COUNTA($BA$1773:$EH$1773)</f>
        <v>26</v>
      </c>
      <c r="AV2077" s="0" t="n">
        <f aca="false">COUNTIF($BA$1773:$EH$1773,"D")</f>
        <v>1</v>
      </c>
      <c r="AW2077" s="0" t="n">
        <f aca="false">COUNTIF($BA$1773:$EH$1773,"R")</f>
        <v>3</v>
      </c>
      <c r="AX2077" s="0" t="n">
        <f aca="false">IF(BN2077="D",1,0)+IF(BO2077="D",1,0)+IF(BT2077="D",1,0)+IF(BU2077="D",1,0)+IF(BW2077="D",1,0)+IF(CC2077="D",1,0)+IF(CD2077="D",1,0)+IF(CE2077="D",1,0)+IF(CF2077="D",1,0)+IF(CL2077="D",1,0)+IF(CM2077="D",1,0)+IF(CQ2077="D",1,0)+IF(CR2077="D",1,0)+IF(CS2077="D",1,0)+IF(CW2077="D",1,0)+IF(CX2077="D",1,0)+IF(DD2077="D",1,0)+IF(DE2077="D",1,0)+IF(DJ2077="D",1,0)+IF(DK2077="D",1,0)+IF(DO2077="D",1,0)+IF(DP2077="D",1,0)+IF(DQ2077="D",1,0)+IF(DW2077="D",1,0)+IF(DZ2077="D",1,0)+IF(EH2077="D",1,0)</f>
        <v>0</v>
      </c>
      <c r="AY2077" s="0" t="n">
        <f aca="false">COUNTIF(DU2077:EH2077, "&lt;&gt;")</f>
        <v>1</v>
      </c>
      <c r="AZ2077" s="0" t="n">
        <f aca="false">IF(EH2077&lt;&gt;"",1,0)</f>
        <v>0</v>
      </c>
      <c r="BB2077" s="0" t="s">
        <v>152</v>
      </c>
      <c r="DN2077" s="0" t="s">
        <v>153</v>
      </c>
      <c r="EF2077" s="0" t="s">
        <v>153</v>
      </c>
    </row>
    <row r="2078" customFormat="false" ht="13.8" hidden="true" customHeight="false" outlineLevel="0" collapsed="false">
      <c r="A2078" s="0" t="s">
        <v>9157</v>
      </c>
      <c r="B2078" s="0" t="n">
        <v>78</v>
      </c>
      <c r="C2078" s="0" t="n">
        <v>488383</v>
      </c>
      <c r="D2078" s="0" t="s">
        <v>9158</v>
      </c>
      <c r="E2078" s="0" t="s">
        <v>424</v>
      </c>
      <c r="F2078" s="0" t="str">
        <f aca="false">CONCATENATE(D2078," ",LEFT(H2078,4),"T=",AU2078,"D=",AV2078,"R=",AW2078,"M=",AX2078,"L=",AY2078,"B=",AZ2078)</f>
        <v>HARNDEN T=36D=0R=5M=0L=1B=0</v>
      </c>
      <c r="G2078" s="0" t="s">
        <v>2935</v>
      </c>
      <c r="I2078" s="0" t="s">
        <v>7444</v>
      </c>
      <c r="J2078" s="0" t="s">
        <v>866</v>
      </c>
      <c r="K2078" s="0" t="s">
        <v>160</v>
      </c>
      <c r="M2078" s="0" t="s">
        <v>9159</v>
      </c>
      <c r="N2078" s="0" t="str">
        <f aca="false">RIGHT(M2078,LEN(M2078)-FIND(" ",M2078))</f>
        <v>SCOTT ST NE</v>
      </c>
      <c r="P2078" s="0" t="s">
        <v>145</v>
      </c>
      <c r="Q2078" s="0" t="s">
        <v>146</v>
      </c>
      <c r="R2078" s="0" t="n">
        <v>44483</v>
      </c>
      <c r="AD2078" s="0" t="s">
        <v>147</v>
      </c>
      <c r="AE2078" s="0" t="s">
        <v>148</v>
      </c>
      <c r="AF2078" s="0" t="s">
        <v>149</v>
      </c>
      <c r="AH2078" s="0" t="n">
        <v>14</v>
      </c>
      <c r="AI2078" s="0" t="n">
        <v>11</v>
      </c>
      <c r="AN2078" s="0" t="s">
        <v>145</v>
      </c>
      <c r="AO2078" s="0" t="s">
        <v>654</v>
      </c>
      <c r="AP2078" s="0" t="s">
        <v>655</v>
      </c>
      <c r="AQ2078" s="0" t="n">
        <v>9</v>
      </c>
      <c r="AR2078" s="0" t="n">
        <v>64</v>
      </c>
      <c r="AS2078" s="0" t="n">
        <v>32</v>
      </c>
      <c r="AU2078" s="0" t="n">
        <f aca="false">COUNTA($BA$1144:$EH$1144)</f>
        <v>36</v>
      </c>
      <c r="AV2078" s="0" t="n">
        <f aca="false">COUNTIF($BA$1144:$EH$1144,"D")</f>
        <v>0</v>
      </c>
      <c r="AW2078" s="0" t="n">
        <f aca="false">COUNTIF($BA$1144:$EH$1144,"R")</f>
        <v>5</v>
      </c>
      <c r="AX2078" s="0" t="n">
        <f aca="false">IF(BN2078="D",1,0)+IF(BO2078="D",1,0)+IF(BT2078="D",1,0)+IF(BU2078="D",1,0)+IF(BW2078="D",1,0)+IF(CC2078="D",1,0)+IF(CD2078="D",1,0)+IF(CE2078="D",1,0)+IF(CF2078="D",1,0)+IF(CL2078="D",1,0)+IF(CM2078="D",1,0)+IF(CQ2078="D",1,0)+IF(CR2078="D",1,0)+IF(CS2078="D",1,0)+IF(CW2078="D",1,0)+IF(CX2078="D",1,0)+IF(DD2078="D",1,0)+IF(DE2078="D",1,0)+IF(DJ2078="D",1,0)+IF(DK2078="D",1,0)+IF(DO2078="D",1,0)+IF(DP2078="D",1,0)+IF(DQ2078="D",1,0)+IF(DW2078="D",1,0)+IF(DZ2078="D",1,0)+IF(EH2078="D",1,0)</f>
        <v>0</v>
      </c>
      <c r="AY2078" s="0" t="n">
        <f aca="false">COUNTIF(DU2078:EH2078, "&lt;&gt;")</f>
        <v>1</v>
      </c>
      <c r="AZ2078" s="0" t="n">
        <f aca="false">IF(EH2078&lt;&gt;"",1,0)</f>
        <v>0</v>
      </c>
      <c r="BB2078" s="0" t="s">
        <v>152</v>
      </c>
      <c r="EF2078" s="0" t="s">
        <v>153</v>
      </c>
    </row>
    <row r="2079" customFormat="false" ht="13.8" hidden="true" customHeight="false" outlineLevel="0" collapsed="false">
      <c r="A2079" s="0" t="s">
        <v>9160</v>
      </c>
      <c r="B2079" s="0" t="n">
        <v>78</v>
      </c>
      <c r="C2079" s="0" t="n">
        <v>486010</v>
      </c>
      <c r="D2079" s="0" t="s">
        <v>9161</v>
      </c>
      <c r="E2079" s="0" t="s">
        <v>9162</v>
      </c>
      <c r="F2079" s="0" t="str">
        <f aca="false">CONCATENATE(D2079," ",LEFT(H2079,4),"T=",AU2079,"D=",AV2079,"R=",AW2079,"M=",AX2079,"L=",AY2079,"B=",AZ2079)</f>
        <v>PAXMAN T=4D=0R=0M=0L=1B=0</v>
      </c>
      <c r="I2079" s="0" t="s">
        <v>9163</v>
      </c>
      <c r="J2079" s="0" t="s">
        <v>3077</v>
      </c>
      <c r="K2079" s="0" t="s">
        <v>160</v>
      </c>
      <c r="M2079" s="0" t="s">
        <v>9159</v>
      </c>
      <c r="N2079" s="0" t="str">
        <f aca="false">RIGHT(M2079,LEN(M2079)-FIND(" ",M2079))</f>
        <v>SCOTT ST NE</v>
      </c>
      <c r="P2079" s="0" t="s">
        <v>145</v>
      </c>
      <c r="Q2079" s="0" t="s">
        <v>146</v>
      </c>
      <c r="R2079" s="0" t="n">
        <v>44483</v>
      </c>
      <c r="AD2079" s="0" t="s">
        <v>147</v>
      </c>
      <c r="AE2079" s="0" t="s">
        <v>148</v>
      </c>
      <c r="AF2079" s="0" t="s">
        <v>149</v>
      </c>
      <c r="AH2079" s="0" t="n">
        <v>14</v>
      </c>
      <c r="AI2079" s="0" t="n">
        <v>11</v>
      </c>
      <c r="AN2079" s="0" t="s">
        <v>145</v>
      </c>
      <c r="AO2079" s="0" t="s">
        <v>654</v>
      </c>
      <c r="AP2079" s="0" t="s">
        <v>655</v>
      </c>
      <c r="AQ2079" s="0" t="n">
        <v>9</v>
      </c>
      <c r="AR2079" s="0" t="n">
        <v>64</v>
      </c>
      <c r="AS2079" s="0" t="n">
        <v>32</v>
      </c>
      <c r="AU2079" s="0" t="n">
        <f aca="false">COUNTA($BA$1707:$EH$1707)</f>
        <v>4</v>
      </c>
      <c r="AV2079" s="0" t="n">
        <f aca="false">COUNTIF($BA$1707:$EH$1707,"D")</f>
        <v>0</v>
      </c>
      <c r="AW2079" s="0" t="n">
        <f aca="false">COUNTIF($BA$1707:$EH$1707,"R")</f>
        <v>0</v>
      </c>
      <c r="AX2079" s="0" t="n">
        <f aca="false">IF(BN2079="D",1,0)+IF(BO2079="D",1,0)+IF(BT2079="D",1,0)+IF(BU2079="D",1,0)+IF(BW2079="D",1,0)+IF(CC2079="D",1,0)+IF(CD2079="D",1,0)+IF(CE2079="D",1,0)+IF(CF2079="D",1,0)+IF(CL2079="D",1,0)+IF(CM2079="D",1,0)+IF(CQ2079="D",1,0)+IF(CR2079="D",1,0)+IF(CS2079="D",1,0)+IF(CW2079="D",1,0)+IF(CX2079="D",1,0)+IF(DD2079="D",1,0)+IF(DE2079="D",1,0)+IF(DJ2079="D",1,0)+IF(DK2079="D",1,0)+IF(DO2079="D",1,0)+IF(DP2079="D",1,0)+IF(DQ2079="D",1,0)+IF(DW2079="D",1,0)+IF(DZ2079="D",1,0)+IF(EH2079="D",1,0)</f>
        <v>0</v>
      </c>
      <c r="AY2079" s="0" t="n">
        <f aca="false">COUNTIF(DU2079:EH2079, "&lt;&gt;")</f>
        <v>1</v>
      </c>
      <c r="AZ2079" s="0" t="n">
        <f aca="false">IF(EH2079&lt;&gt;"",1,0)</f>
        <v>0</v>
      </c>
      <c r="BB2079" s="0" t="s">
        <v>152</v>
      </c>
      <c r="EF2079" s="0" t="s">
        <v>153</v>
      </c>
    </row>
    <row r="2080" customFormat="false" ht="13.8" hidden="true" customHeight="false" outlineLevel="0" collapsed="false">
      <c r="A2080" s="0" t="s">
        <v>9164</v>
      </c>
      <c r="B2080" s="0" t="n">
        <v>78</v>
      </c>
      <c r="C2080" s="0" t="n">
        <v>415403</v>
      </c>
      <c r="D2080" s="0" t="s">
        <v>9165</v>
      </c>
      <c r="E2080" s="0" t="s">
        <v>1128</v>
      </c>
      <c r="F2080" s="0" t="str">
        <f aca="false">CONCATENATE(D2080," ",LEFT(H2080,4),"T=",AU2080,"D=",AV2080,"R=",AW2080,"M=",AX2080,"L=",AY2080,"B=",AZ2080)</f>
        <v>BRIALS JRT=5D=0R=0M=0L=0B=0</v>
      </c>
      <c r="H2080" s="0" t="s">
        <v>314</v>
      </c>
      <c r="I2080" s="0" t="s">
        <v>9166</v>
      </c>
      <c r="J2080" s="0" t="s">
        <v>9167</v>
      </c>
      <c r="K2080" s="0" t="s">
        <v>160</v>
      </c>
      <c r="M2080" s="0" t="s">
        <v>9168</v>
      </c>
      <c r="N2080" s="0" t="str">
        <f aca="false">RIGHT(M2080,LEN(M2080)-FIND(" ",M2080))</f>
        <v>SCOTT ST NE</v>
      </c>
      <c r="O2080" s="0" t="s">
        <v>868</v>
      </c>
      <c r="P2080" s="0" t="s">
        <v>145</v>
      </c>
      <c r="Q2080" s="0" t="s">
        <v>146</v>
      </c>
      <c r="R2080" s="0" t="n">
        <v>44483</v>
      </c>
      <c r="AD2080" s="0" t="s">
        <v>147</v>
      </c>
      <c r="AE2080" s="0" t="s">
        <v>148</v>
      </c>
      <c r="AF2080" s="0" t="s">
        <v>149</v>
      </c>
      <c r="AH2080" s="0" t="n">
        <v>14</v>
      </c>
      <c r="AI2080" s="0" t="n">
        <v>11</v>
      </c>
      <c r="AN2080" s="0" t="s">
        <v>145</v>
      </c>
      <c r="AO2080" s="0" t="s">
        <v>654</v>
      </c>
      <c r="AP2080" s="0" t="s">
        <v>655</v>
      </c>
      <c r="AQ2080" s="0" t="n">
        <v>9</v>
      </c>
      <c r="AR2080" s="0" t="n">
        <v>64</v>
      </c>
      <c r="AS2080" s="0" t="n">
        <v>32</v>
      </c>
      <c r="AU2080" s="0" t="n">
        <f aca="false">COUNTA($BA$2019:$EH$2019)</f>
        <v>5</v>
      </c>
      <c r="AV2080" s="0" t="n">
        <f aca="false">COUNTIF($BA$2019:$EH$2019,"D")</f>
        <v>0</v>
      </c>
      <c r="AW2080" s="0" t="n">
        <f aca="false">COUNTIF($BA$2019:$EH$2019,"R")</f>
        <v>0</v>
      </c>
      <c r="AX2080" s="0" t="n">
        <f aca="false">IF(BN2080="D",1,0)+IF(BO2080="D",1,0)+IF(BT2080="D",1,0)+IF(BU2080="D",1,0)+IF(BW2080="D",1,0)+IF(CC2080="D",1,0)+IF(CD2080="D",1,0)+IF(CE2080="D",1,0)+IF(CF2080="D",1,0)+IF(CL2080="D",1,0)+IF(CM2080="D",1,0)+IF(CQ2080="D",1,0)+IF(CR2080="D",1,0)+IF(CS2080="D",1,0)+IF(CW2080="D",1,0)+IF(CX2080="D",1,0)+IF(DD2080="D",1,0)+IF(DE2080="D",1,0)+IF(DJ2080="D",1,0)+IF(DK2080="D",1,0)+IF(DO2080="D",1,0)+IF(DP2080="D",1,0)+IF(DQ2080="D",1,0)+IF(DW2080="D",1,0)+IF(DZ2080="D",1,0)+IF(EH2080="D",1,0)</f>
        <v>0</v>
      </c>
      <c r="AY2080" s="0" t="n">
        <f aca="false">COUNTIF(DU2080:EH2080, "&lt;&gt;")</f>
        <v>0</v>
      </c>
      <c r="AZ2080" s="0" t="n">
        <f aca="false">IF(EH2080&lt;&gt;"",1,0)</f>
        <v>0</v>
      </c>
      <c r="BB2080" s="0" t="s">
        <v>152</v>
      </c>
      <c r="DN2080" s="0" t="s">
        <v>153</v>
      </c>
    </row>
    <row r="2081" customFormat="false" ht="13.8" hidden="true" customHeight="false" outlineLevel="0" collapsed="false">
      <c r="A2081" s="0" t="s">
        <v>9169</v>
      </c>
      <c r="B2081" s="0" t="n">
        <v>78</v>
      </c>
      <c r="C2081" s="0" t="n">
        <v>465352</v>
      </c>
      <c r="D2081" s="0" t="s">
        <v>9170</v>
      </c>
      <c r="E2081" s="0" t="s">
        <v>2551</v>
      </c>
      <c r="F2081" s="0" t="str">
        <f aca="false">CONCATENATE(D2081," ",LEFT(H2081,4),"T=",AU2081,"D=",AV2081,"R=",AW2081,"M=",AX2081,"L=",AY2081,"B=",AZ2081)</f>
        <v>BLOOD T=48D=14R=0M=0L=0B=0</v>
      </c>
      <c r="G2081" s="0" t="s">
        <v>170</v>
      </c>
      <c r="I2081" s="0" t="s">
        <v>9171</v>
      </c>
      <c r="J2081" s="0" t="s">
        <v>9172</v>
      </c>
      <c r="K2081" s="0" t="s">
        <v>160</v>
      </c>
      <c r="M2081" s="0" t="s">
        <v>9168</v>
      </c>
      <c r="N2081" s="0" t="str">
        <f aca="false">RIGHT(M2081,LEN(M2081)-FIND(" ",M2081))</f>
        <v>SCOTT ST NE</v>
      </c>
      <c r="P2081" s="0" t="s">
        <v>145</v>
      </c>
      <c r="Q2081" s="0" t="s">
        <v>146</v>
      </c>
      <c r="R2081" s="0" t="n">
        <v>44483</v>
      </c>
      <c r="AD2081" s="0" t="s">
        <v>147</v>
      </c>
      <c r="AE2081" s="0" t="s">
        <v>148</v>
      </c>
      <c r="AF2081" s="0" t="s">
        <v>149</v>
      </c>
      <c r="AH2081" s="0" t="n">
        <v>14</v>
      </c>
      <c r="AI2081" s="0" t="n">
        <v>11</v>
      </c>
      <c r="AN2081" s="0" t="s">
        <v>145</v>
      </c>
      <c r="AO2081" s="0" t="s">
        <v>654</v>
      </c>
      <c r="AP2081" s="0" t="s">
        <v>655</v>
      </c>
      <c r="AQ2081" s="0" t="n">
        <v>9</v>
      </c>
      <c r="AR2081" s="0" t="n">
        <v>64</v>
      </c>
      <c r="AS2081" s="0" t="n">
        <v>32</v>
      </c>
      <c r="AU2081" s="0" t="n">
        <f aca="false">COUNTA($BA$2042:$EH$2042)</f>
        <v>48</v>
      </c>
      <c r="AV2081" s="0" t="n">
        <f aca="false">COUNTIF($BA$2042:$EH$2042,"D")</f>
        <v>14</v>
      </c>
      <c r="AW2081" s="0" t="n">
        <f aca="false">COUNTIF($BA$2042:$EH$2042,"R")</f>
        <v>0</v>
      </c>
      <c r="AX2081" s="0" t="n">
        <f aca="false">IF(BN2081="D",1,0)+IF(BO2081="D",1,0)+IF(BT2081="D",1,0)+IF(BU2081="D",1,0)+IF(BW2081="D",1,0)+IF(CC2081="D",1,0)+IF(CD2081="D",1,0)+IF(CE2081="D",1,0)+IF(CF2081="D",1,0)+IF(CL2081="D",1,0)+IF(CM2081="D",1,0)+IF(CQ2081="D",1,0)+IF(CR2081="D",1,0)+IF(CS2081="D",1,0)+IF(CW2081="D",1,0)+IF(CX2081="D",1,0)+IF(DD2081="D",1,0)+IF(DE2081="D",1,0)+IF(DJ2081="D",1,0)+IF(DK2081="D",1,0)+IF(DO2081="D",1,0)+IF(DP2081="D",1,0)+IF(DQ2081="D",1,0)+IF(DW2081="D",1,0)+IF(DZ2081="D",1,0)+IF(EH2081="D",1,0)</f>
        <v>0</v>
      </c>
      <c r="AY2081" s="0" t="n">
        <f aca="false">COUNTIF(DU2081:EH2081, "&lt;&gt;")</f>
        <v>0</v>
      </c>
      <c r="AZ2081" s="0" t="n">
        <f aca="false">IF(EH2081&lt;&gt;"",1,0)</f>
        <v>0</v>
      </c>
      <c r="BB2081" s="0" t="s">
        <v>152</v>
      </c>
    </row>
    <row r="2082" customFormat="false" ht="13.8" hidden="true" customHeight="false" outlineLevel="0" collapsed="false">
      <c r="A2082" s="0" t="s">
        <v>9173</v>
      </c>
      <c r="B2082" s="0" t="n">
        <v>78</v>
      </c>
      <c r="C2082" s="0" t="n">
        <v>468327</v>
      </c>
      <c r="D2082" s="0" t="s">
        <v>9174</v>
      </c>
      <c r="E2082" s="0" t="s">
        <v>6340</v>
      </c>
      <c r="F2082" s="0" t="str">
        <f aca="false">CONCATENATE(D2082," ",LEFT(H2082,4),"T=",AU2082,"D=",AV2082,"R=",AW2082,"M=",AX2082,"L=",AY2082,"B=",AZ2082)</f>
        <v>EKIS T=24D=0R=3M=0L=0B=0</v>
      </c>
      <c r="G2082" s="0" t="s">
        <v>164</v>
      </c>
      <c r="I2082" s="0" t="s">
        <v>9175</v>
      </c>
      <c r="J2082" s="0" t="s">
        <v>8393</v>
      </c>
      <c r="K2082" s="0" t="s">
        <v>160</v>
      </c>
      <c r="M2082" s="0" t="s">
        <v>9176</v>
      </c>
      <c r="N2082" s="0" t="str">
        <f aca="false">RIGHT(M2082,LEN(M2082)-FIND(" ",M2082))</f>
        <v>SCOTT ST NE</v>
      </c>
      <c r="P2082" s="0" t="s">
        <v>145</v>
      </c>
      <c r="Q2082" s="0" t="s">
        <v>146</v>
      </c>
      <c r="R2082" s="0" t="n">
        <v>44483</v>
      </c>
      <c r="AD2082" s="0" t="s">
        <v>147</v>
      </c>
      <c r="AE2082" s="0" t="s">
        <v>148</v>
      </c>
      <c r="AF2082" s="0" t="s">
        <v>149</v>
      </c>
      <c r="AH2082" s="0" t="n">
        <v>14</v>
      </c>
      <c r="AI2082" s="0" t="n">
        <v>11</v>
      </c>
      <c r="AN2082" s="0" t="s">
        <v>145</v>
      </c>
      <c r="AO2082" s="0" t="s">
        <v>654</v>
      </c>
      <c r="AP2082" s="0" t="s">
        <v>655</v>
      </c>
      <c r="AQ2082" s="0" t="n">
        <v>9</v>
      </c>
      <c r="AR2082" s="0" t="n">
        <v>64</v>
      </c>
      <c r="AS2082" s="0" t="n">
        <v>32</v>
      </c>
      <c r="AU2082" s="0" t="n">
        <f aca="false">COUNTA($BA$1225:$EH$1225)</f>
        <v>24</v>
      </c>
      <c r="AV2082" s="0" t="n">
        <f aca="false">COUNTIF($BA$1225:$EH$1225,"D")</f>
        <v>0</v>
      </c>
      <c r="AW2082" s="0" t="n">
        <f aca="false">COUNTIF($BA$1225:$EH$1225,"R")</f>
        <v>3</v>
      </c>
      <c r="AX2082" s="0" t="n">
        <f aca="false">IF(BN2082="D",1,0)+IF(BO2082="D",1,0)+IF(BT2082="D",1,0)+IF(BU2082="D",1,0)+IF(BW2082="D",1,0)+IF(CC2082="D",1,0)+IF(CD2082="D",1,0)+IF(CE2082="D",1,0)+IF(CF2082="D",1,0)+IF(CL2082="D",1,0)+IF(CM2082="D",1,0)+IF(CQ2082="D",1,0)+IF(CR2082="D",1,0)+IF(CS2082="D",1,0)+IF(CW2082="D",1,0)+IF(CX2082="D",1,0)+IF(DD2082="D",1,0)+IF(DE2082="D",1,0)+IF(DJ2082="D",1,0)+IF(DK2082="D",1,0)+IF(DO2082="D",1,0)+IF(DP2082="D",1,0)+IF(DQ2082="D",1,0)+IF(DW2082="D",1,0)+IF(DZ2082="D",1,0)+IF(EH2082="D",1,0)</f>
        <v>0</v>
      </c>
      <c r="AY2082" s="0" t="n">
        <f aca="false">COUNTIF(DU2082:EH2082, "&lt;&gt;")</f>
        <v>0</v>
      </c>
      <c r="AZ2082" s="0" t="n">
        <f aca="false">IF(EH2082&lt;&gt;"",1,0)</f>
        <v>0</v>
      </c>
      <c r="BB2082" s="0" t="s">
        <v>152</v>
      </c>
    </row>
    <row r="2083" customFormat="false" ht="13.8" hidden="true" customHeight="false" outlineLevel="0" collapsed="false">
      <c r="A2083" s="0" t="s">
        <v>9177</v>
      </c>
      <c r="B2083" s="0" t="n">
        <v>78</v>
      </c>
      <c r="C2083" s="0" t="n">
        <v>477437</v>
      </c>
      <c r="D2083" s="0" t="s">
        <v>2607</v>
      </c>
      <c r="E2083" s="0" t="s">
        <v>267</v>
      </c>
      <c r="F2083" s="0" t="str">
        <f aca="false">CONCATENATE(D2083," ",LEFT(H2083,4),"T=",AU2083,"D=",AV2083,"R=",AW2083,"M=",AX2083,"L=",AY2083,"B=",AZ2083)</f>
        <v>LONG T=2D=0R=0M=0L=0B=0</v>
      </c>
      <c r="G2083" s="0" t="s">
        <v>171</v>
      </c>
      <c r="I2083" s="0" t="s">
        <v>9178</v>
      </c>
      <c r="J2083" s="0" t="s">
        <v>9179</v>
      </c>
      <c r="K2083" s="0" t="s">
        <v>160</v>
      </c>
      <c r="M2083" s="0" t="s">
        <v>9176</v>
      </c>
      <c r="N2083" s="0" t="str">
        <f aca="false">RIGHT(M2083,LEN(M2083)-FIND(" ",M2083))</f>
        <v>SCOTT ST NE</v>
      </c>
      <c r="P2083" s="0" t="s">
        <v>145</v>
      </c>
      <c r="Q2083" s="0" t="s">
        <v>146</v>
      </c>
      <c r="R2083" s="0" t="n">
        <v>44483</v>
      </c>
      <c r="AD2083" s="0" t="s">
        <v>147</v>
      </c>
      <c r="AE2083" s="0" t="s">
        <v>148</v>
      </c>
      <c r="AF2083" s="0" t="s">
        <v>149</v>
      </c>
      <c r="AH2083" s="0" t="n">
        <v>14</v>
      </c>
      <c r="AI2083" s="0" t="n">
        <v>11</v>
      </c>
      <c r="AN2083" s="0" t="s">
        <v>145</v>
      </c>
      <c r="AO2083" s="0" t="s">
        <v>654</v>
      </c>
      <c r="AP2083" s="0" t="s">
        <v>655</v>
      </c>
      <c r="AQ2083" s="0" t="n">
        <v>9</v>
      </c>
      <c r="AR2083" s="0" t="n">
        <v>64</v>
      </c>
      <c r="AS2083" s="0" t="n">
        <v>32</v>
      </c>
      <c r="AU2083" s="0" t="n">
        <f aca="false">COUNTA($BA$1387:$EH$1387)</f>
        <v>2</v>
      </c>
      <c r="AV2083" s="0" t="n">
        <f aca="false">COUNTIF($BA$1387:$EH$1387,"D")</f>
        <v>0</v>
      </c>
      <c r="AW2083" s="0" t="n">
        <f aca="false">COUNTIF($BA$1387:$EH$1387,"R")</f>
        <v>0</v>
      </c>
      <c r="AX2083" s="0" t="n">
        <f aca="false">IF(BN2083="D",1,0)+IF(BO2083="D",1,0)+IF(BT2083="D",1,0)+IF(BU2083="D",1,0)+IF(BW2083="D",1,0)+IF(CC2083="D",1,0)+IF(CD2083="D",1,0)+IF(CE2083="D",1,0)+IF(CF2083="D",1,0)+IF(CL2083="D",1,0)+IF(CM2083="D",1,0)+IF(CQ2083="D",1,0)+IF(CR2083="D",1,0)+IF(CS2083="D",1,0)+IF(CW2083="D",1,0)+IF(CX2083="D",1,0)+IF(DD2083="D",1,0)+IF(DE2083="D",1,0)+IF(DJ2083="D",1,0)+IF(DK2083="D",1,0)+IF(DO2083="D",1,0)+IF(DP2083="D",1,0)+IF(DQ2083="D",1,0)+IF(DW2083="D",1,0)+IF(DZ2083="D",1,0)+IF(EH2083="D",1,0)</f>
        <v>0</v>
      </c>
      <c r="AY2083" s="0" t="n">
        <f aca="false">COUNTIF(DU2083:EH2083, "&lt;&gt;")</f>
        <v>0</v>
      </c>
      <c r="AZ2083" s="0" t="n">
        <f aca="false">IF(EH2083&lt;&gt;"",1,0)</f>
        <v>0</v>
      </c>
      <c r="BB2083" s="0" t="s">
        <v>152</v>
      </c>
    </row>
    <row r="2084" customFormat="false" ht="13.8" hidden="true" customHeight="false" outlineLevel="0" collapsed="false">
      <c r="A2084" s="0" t="s">
        <v>9180</v>
      </c>
      <c r="B2084" s="0" t="n">
        <v>78</v>
      </c>
      <c r="C2084" s="0" t="n">
        <v>452526</v>
      </c>
      <c r="D2084" s="0" t="s">
        <v>3581</v>
      </c>
      <c r="E2084" s="0" t="s">
        <v>9181</v>
      </c>
      <c r="F2084" s="0" t="str">
        <f aca="false">CONCATENATE(D2084," ",LEFT(H2084,4),"T=",AU2084,"D=",AV2084,"R=",AW2084,"M=",AX2084,"L=",AY2084,"B=",AZ2084)</f>
        <v>KELLEY T=16D=1R=0M=0L=1B=0</v>
      </c>
      <c r="G2084" s="0" t="s">
        <v>839</v>
      </c>
      <c r="I2084" s="0" t="s">
        <v>9182</v>
      </c>
      <c r="J2084" s="0" t="s">
        <v>8919</v>
      </c>
      <c r="K2084" s="0" t="s">
        <v>160</v>
      </c>
      <c r="M2084" s="0" t="s">
        <v>9183</v>
      </c>
      <c r="N2084" s="0" t="str">
        <f aca="false">RIGHT(M2084,LEN(M2084)-FIND(" ",M2084))</f>
        <v>SCOTT ST NE</v>
      </c>
      <c r="P2084" s="0" t="s">
        <v>145</v>
      </c>
      <c r="Q2084" s="0" t="s">
        <v>146</v>
      </c>
      <c r="R2084" s="0" t="n">
        <v>44483</v>
      </c>
      <c r="AD2084" s="0" t="s">
        <v>147</v>
      </c>
      <c r="AE2084" s="0" t="s">
        <v>148</v>
      </c>
      <c r="AF2084" s="0" t="s">
        <v>149</v>
      </c>
      <c r="AH2084" s="0" t="n">
        <v>14</v>
      </c>
      <c r="AI2084" s="0" t="n">
        <v>11</v>
      </c>
      <c r="AN2084" s="0" t="s">
        <v>145</v>
      </c>
      <c r="AO2084" s="0" t="s">
        <v>654</v>
      </c>
      <c r="AP2084" s="0" t="s">
        <v>655</v>
      </c>
      <c r="AQ2084" s="0" t="n">
        <v>9</v>
      </c>
      <c r="AR2084" s="0" t="n">
        <v>64</v>
      </c>
      <c r="AS2084" s="0" t="n">
        <v>32</v>
      </c>
      <c r="AU2084" s="0" t="n">
        <f aca="false">COUNTA($BA$1431:$EH$1431)</f>
        <v>16</v>
      </c>
      <c r="AV2084" s="0" t="n">
        <f aca="false">COUNTIF($BA$1431:$EH$1431,"D")</f>
        <v>1</v>
      </c>
      <c r="AW2084" s="0" t="n">
        <f aca="false">COUNTIF($BA$1431:$EH$1431,"R")</f>
        <v>0</v>
      </c>
      <c r="AX2084" s="0" t="n">
        <f aca="false">IF(BN2084="D",1,0)+IF(BO2084="D",1,0)+IF(BT2084="D",1,0)+IF(BU2084="D",1,0)+IF(BW2084="D",1,0)+IF(CC2084="D",1,0)+IF(CD2084="D",1,0)+IF(CE2084="D",1,0)+IF(CF2084="D",1,0)+IF(CL2084="D",1,0)+IF(CM2084="D",1,0)+IF(CQ2084="D",1,0)+IF(CR2084="D",1,0)+IF(CS2084="D",1,0)+IF(CW2084="D",1,0)+IF(CX2084="D",1,0)+IF(DD2084="D",1,0)+IF(DE2084="D",1,0)+IF(DJ2084="D",1,0)+IF(DK2084="D",1,0)+IF(DO2084="D",1,0)+IF(DP2084="D",1,0)+IF(DQ2084="D",1,0)+IF(DW2084="D",1,0)+IF(DZ2084="D",1,0)+IF(EH2084="D",1,0)</f>
        <v>0</v>
      </c>
      <c r="AY2084" s="0" t="n">
        <f aca="false">COUNTIF(DU2084:EH2084, "&lt;&gt;")</f>
        <v>1</v>
      </c>
      <c r="AZ2084" s="0" t="n">
        <f aca="false">IF(EH2084&lt;&gt;"",1,0)</f>
        <v>0</v>
      </c>
      <c r="BB2084" s="0" t="s">
        <v>152</v>
      </c>
      <c r="DN2084" s="0" t="s">
        <v>153</v>
      </c>
      <c r="EF2084" s="0" t="s">
        <v>153</v>
      </c>
    </row>
    <row r="2085" customFormat="false" ht="13.8" hidden="false" customHeight="false" outlineLevel="0" collapsed="false">
      <c r="A2085" s="0" t="s">
        <v>9184</v>
      </c>
      <c r="B2085" s="0" t="n">
        <v>78</v>
      </c>
      <c r="C2085" s="0" t="n">
        <v>452527</v>
      </c>
      <c r="D2085" s="0" t="s">
        <v>5935</v>
      </c>
      <c r="E2085" s="0" t="s">
        <v>224</v>
      </c>
      <c r="F2085" s="0" t="str">
        <f aca="false">CONCATENATE(D2085," ",LEFT(H2085,4),"T=",AU2085,"D=",AV2085,"R=",AW2085,"M=",AX2085,"L=",AY2085,"B=",AZ2085)</f>
        <v>TUCKER T=4D=0R=0M=0L=2B=0</v>
      </c>
      <c r="G2085" s="0" t="s">
        <v>357</v>
      </c>
      <c r="I2085" s="0" t="s">
        <v>9185</v>
      </c>
      <c r="J2085" s="0" t="s">
        <v>8919</v>
      </c>
      <c r="K2085" s="0" t="s">
        <v>160</v>
      </c>
      <c r="M2085" s="0" t="s">
        <v>9183</v>
      </c>
      <c r="N2085" s="0" t="str">
        <f aca="false">RIGHT(M2085,LEN(M2085)-FIND(" ",M2085))</f>
        <v>SCOTT ST NE</v>
      </c>
      <c r="P2085" s="0" t="s">
        <v>145</v>
      </c>
      <c r="Q2085" s="0" t="s">
        <v>146</v>
      </c>
      <c r="R2085" s="0" t="n">
        <v>44483</v>
      </c>
      <c r="AD2085" s="0" t="s">
        <v>147</v>
      </c>
      <c r="AE2085" s="0" t="s">
        <v>148</v>
      </c>
      <c r="AF2085" s="0" t="s">
        <v>149</v>
      </c>
      <c r="AH2085" s="0" t="n">
        <v>14</v>
      </c>
      <c r="AI2085" s="0" t="n">
        <v>11</v>
      </c>
      <c r="AN2085" s="0" t="s">
        <v>145</v>
      </c>
      <c r="AO2085" s="0" t="s">
        <v>654</v>
      </c>
      <c r="AP2085" s="0" t="s">
        <v>655</v>
      </c>
      <c r="AQ2085" s="0" t="n">
        <v>9</v>
      </c>
      <c r="AR2085" s="0" t="n">
        <v>64</v>
      </c>
      <c r="AS2085" s="0" t="n">
        <v>32</v>
      </c>
      <c r="AU2085" s="0" t="n">
        <f aca="false">COUNTA($BA$1432:$EH$1432)</f>
        <v>4</v>
      </c>
      <c r="AV2085" s="0" t="n">
        <f aca="false">COUNTIF($BA$1432:$EH$1432,"D")</f>
        <v>0</v>
      </c>
      <c r="AW2085" s="0" t="n">
        <f aca="false">COUNTIF($BA$1432:$EH$1432,"R")</f>
        <v>0</v>
      </c>
      <c r="AX2085" s="0" t="n">
        <f aca="false">IF(BN2085="D",1,0)+IF(BO2085="D",1,0)+IF(BT2085="D",1,0)+IF(BU2085="D",1,0)+IF(BW2085="D",1,0)+IF(CC2085="D",1,0)+IF(CD2085="D",1,0)+IF(CE2085="D",1,0)+IF(CF2085="D",1,0)+IF(CL2085="D",1,0)+IF(CM2085="D",1,0)+IF(CQ2085="D",1,0)+IF(CR2085="D",1,0)+IF(CS2085="D",1,0)+IF(CW2085="D",1,0)+IF(CX2085="D",1,0)+IF(DD2085="D",1,0)+IF(DE2085="D",1,0)+IF(DJ2085="D",1,0)+IF(DK2085="D",1,0)+IF(DO2085="D",1,0)+IF(DP2085="D",1,0)+IF(DQ2085="D",1,0)+IF(DW2085="D",1,0)+IF(DZ2085="D",1,0)+IF(EH2085="D",1,0)</f>
        <v>0</v>
      </c>
      <c r="AY2085" s="0" t="n">
        <f aca="false">COUNTIF(DU2085:EH2085, "&lt;&gt;")</f>
        <v>2</v>
      </c>
      <c r="AZ2085" s="0" t="n">
        <f aca="false">IF(EH2085&lt;&gt;"",1,0)</f>
        <v>0</v>
      </c>
      <c r="BB2085" s="0" t="s">
        <v>152</v>
      </c>
      <c r="DN2085" s="0" t="s">
        <v>153</v>
      </c>
      <c r="DU2085" s="0" t="s">
        <v>153</v>
      </c>
      <c r="EF2085" s="0" t="s">
        <v>153</v>
      </c>
    </row>
    <row r="2086" customFormat="false" ht="13.8" hidden="true" customHeight="false" outlineLevel="0" collapsed="false">
      <c r="A2086" s="0" t="s">
        <v>9186</v>
      </c>
      <c r="B2086" s="0" t="n">
        <v>78</v>
      </c>
      <c r="C2086" s="0" t="n">
        <v>346195</v>
      </c>
      <c r="D2086" s="0" t="s">
        <v>9187</v>
      </c>
      <c r="E2086" s="0" t="s">
        <v>9188</v>
      </c>
      <c r="F2086" s="0" t="str">
        <f aca="false">CONCATENATE(D2086," ",LEFT(H2086,4),"T=",AU2086,"D=",AV2086,"R=",AW2086,"M=",AX2086,"L=",AY2086,"B=",AZ2086)</f>
        <v>PARKEY T=2D=0R=0M=0L=0B=0</v>
      </c>
      <c r="G2086" s="0" t="s">
        <v>171</v>
      </c>
      <c r="I2086" s="0" t="s">
        <v>9189</v>
      </c>
      <c r="J2086" s="0" t="s">
        <v>386</v>
      </c>
      <c r="K2086" s="0" t="s">
        <v>160</v>
      </c>
      <c r="M2086" s="0" t="s">
        <v>9190</v>
      </c>
      <c r="N2086" s="0" t="str">
        <f aca="false">RIGHT(M2086,LEN(M2086)-FIND(" ",M2086))</f>
        <v>SCOTT ST NE</v>
      </c>
      <c r="O2086" s="0" t="s">
        <v>1939</v>
      </c>
      <c r="P2086" s="0" t="s">
        <v>145</v>
      </c>
      <c r="Q2086" s="0" t="s">
        <v>146</v>
      </c>
      <c r="R2086" s="0" t="n">
        <v>44483</v>
      </c>
      <c r="AD2086" s="0" t="s">
        <v>147</v>
      </c>
      <c r="AE2086" s="0" t="s">
        <v>148</v>
      </c>
      <c r="AF2086" s="0" t="s">
        <v>149</v>
      </c>
      <c r="AH2086" s="0" t="n">
        <v>14</v>
      </c>
      <c r="AI2086" s="0" t="n">
        <v>11</v>
      </c>
      <c r="AN2086" s="0" t="s">
        <v>145</v>
      </c>
      <c r="AO2086" s="0" t="s">
        <v>654</v>
      </c>
      <c r="AP2086" s="0" t="s">
        <v>655</v>
      </c>
      <c r="AQ2086" s="0" t="n">
        <v>9</v>
      </c>
      <c r="AR2086" s="0" t="n">
        <v>64</v>
      </c>
      <c r="AS2086" s="0" t="n">
        <v>32</v>
      </c>
      <c r="AU2086" s="0" t="n">
        <f aca="false">COUNTA($BA$1130:$EH$1130)</f>
        <v>2</v>
      </c>
      <c r="AV2086" s="0" t="n">
        <f aca="false">COUNTIF($BA$1130:$EH$1130,"D")</f>
        <v>0</v>
      </c>
      <c r="AW2086" s="0" t="n">
        <f aca="false">COUNTIF($BA$1130:$EH$1130,"R")</f>
        <v>0</v>
      </c>
      <c r="AX2086" s="0" t="n">
        <f aca="false">IF(BN2086="D",1,0)+IF(BO2086="D",1,0)+IF(BT2086="D",1,0)+IF(BU2086="D",1,0)+IF(BW2086="D",1,0)+IF(CC2086="D",1,0)+IF(CD2086="D",1,0)+IF(CE2086="D",1,0)+IF(CF2086="D",1,0)+IF(CL2086="D",1,0)+IF(CM2086="D",1,0)+IF(CQ2086="D",1,0)+IF(CR2086="D",1,0)+IF(CS2086="D",1,0)+IF(CW2086="D",1,0)+IF(CX2086="D",1,0)+IF(DD2086="D",1,0)+IF(DE2086="D",1,0)+IF(DJ2086="D",1,0)+IF(DK2086="D",1,0)+IF(DO2086="D",1,0)+IF(DP2086="D",1,0)+IF(DQ2086="D",1,0)+IF(DW2086="D",1,0)+IF(DZ2086="D",1,0)+IF(EH2086="D",1,0)</f>
        <v>0</v>
      </c>
      <c r="AY2086" s="0" t="n">
        <f aca="false">COUNTIF(DU2086:EH2086, "&lt;&gt;")</f>
        <v>0</v>
      </c>
      <c r="AZ2086" s="0" t="n">
        <f aca="false">IF(EH2086&lt;&gt;"",1,0)</f>
        <v>0</v>
      </c>
      <c r="BB2086" s="0" t="s">
        <v>152</v>
      </c>
    </row>
    <row r="2087" customFormat="false" ht="13.8" hidden="true" customHeight="false" outlineLevel="0" collapsed="false">
      <c r="A2087" s="0" t="s">
        <v>9191</v>
      </c>
      <c r="B2087" s="0" t="n">
        <v>78</v>
      </c>
      <c r="C2087" s="0" t="n">
        <v>371250</v>
      </c>
      <c r="D2087" s="0" t="s">
        <v>9192</v>
      </c>
      <c r="E2087" s="0" t="s">
        <v>2040</v>
      </c>
      <c r="F2087" s="0" t="str">
        <f aca="false">CONCATENATE(D2087," ",LEFT(H2087,4),"T=",AU2087,"D=",AV2087,"R=",AW2087,"M=",AX2087,"L=",AY2087,"B=",AZ2087)</f>
        <v>VLASIC T=2D=0R=0M=0L=0B=0</v>
      </c>
      <c r="G2087" s="0" t="s">
        <v>190</v>
      </c>
      <c r="I2087" s="0" t="s">
        <v>9193</v>
      </c>
      <c r="J2087" s="0" t="s">
        <v>2230</v>
      </c>
      <c r="K2087" s="0" t="s">
        <v>143</v>
      </c>
      <c r="M2087" s="0" t="s">
        <v>9190</v>
      </c>
      <c r="N2087" s="0" t="str">
        <f aca="false">RIGHT(M2087,LEN(M2087)-FIND(" ",M2087))</f>
        <v>SCOTT ST NE</v>
      </c>
      <c r="P2087" s="0" t="s">
        <v>145</v>
      </c>
      <c r="Q2087" s="0" t="s">
        <v>146</v>
      </c>
      <c r="R2087" s="0" t="n">
        <v>44483</v>
      </c>
      <c r="AD2087" s="0" t="s">
        <v>147</v>
      </c>
      <c r="AE2087" s="0" t="s">
        <v>148</v>
      </c>
      <c r="AF2087" s="0" t="s">
        <v>149</v>
      </c>
      <c r="AH2087" s="0" t="n">
        <v>14</v>
      </c>
      <c r="AI2087" s="0" t="n">
        <v>11</v>
      </c>
      <c r="AN2087" s="0" t="s">
        <v>145</v>
      </c>
      <c r="AO2087" s="0" t="s">
        <v>654</v>
      </c>
      <c r="AP2087" s="0" t="s">
        <v>655</v>
      </c>
      <c r="AQ2087" s="0" t="n">
        <v>9</v>
      </c>
      <c r="AR2087" s="0" t="n">
        <v>64</v>
      </c>
      <c r="AS2087" s="0" t="n">
        <v>32</v>
      </c>
      <c r="AU2087" s="0" t="n">
        <f aca="false">COUNTA($BA$1192:$EH$1192)</f>
        <v>2</v>
      </c>
      <c r="AV2087" s="0" t="n">
        <f aca="false">COUNTIF($BA$1192:$EH$1192,"D")</f>
        <v>0</v>
      </c>
      <c r="AW2087" s="0" t="n">
        <f aca="false">COUNTIF($BA$1192:$EH$1192,"R")</f>
        <v>0</v>
      </c>
      <c r="AX2087" s="0" t="n">
        <f aca="false">IF(BN2087="D",1,0)+IF(BO2087="D",1,0)+IF(BT2087="D",1,0)+IF(BU2087="D",1,0)+IF(BW2087="D",1,0)+IF(CC2087="D",1,0)+IF(CD2087="D",1,0)+IF(CE2087="D",1,0)+IF(CF2087="D",1,0)+IF(CL2087="D",1,0)+IF(CM2087="D",1,0)+IF(CQ2087="D",1,0)+IF(CR2087="D",1,0)+IF(CS2087="D",1,0)+IF(CW2087="D",1,0)+IF(CX2087="D",1,0)+IF(DD2087="D",1,0)+IF(DE2087="D",1,0)+IF(DJ2087="D",1,0)+IF(DK2087="D",1,0)+IF(DO2087="D",1,0)+IF(DP2087="D",1,0)+IF(DQ2087="D",1,0)+IF(DW2087="D",1,0)+IF(DZ2087="D",1,0)+IF(EH2087="D",1,0)</f>
        <v>0</v>
      </c>
      <c r="AY2087" s="0" t="n">
        <f aca="false">COUNTIF(DU2087:EH2087, "&lt;&gt;")</f>
        <v>0</v>
      </c>
      <c r="AZ2087" s="0" t="n">
        <f aca="false">IF(EH2087&lt;&gt;"",1,0)</f>
        <v>0</v>
      </c>
      <c r="BB2087" s="0" t="s">
        <v>152</v>
      </c>
    </row>
    <row r="2088" customFormat="false" ht="13.8" hidden="true" customHeight="false" outlineLevel="0" collapsed="false">
      <c r="A2088" s="0" t="s">
        <v>9194</v>
      </c>
      <c r="B2088" s="0" t="n">
        <v>78</v>
      </c>
      <c r="C2088" s="0" t="n">
        <v>381764</v>
      </c>
      <c r="D2088" s="0" t="s">
        <v>9195</v>
      </c>
      <c r="E2088" s="0" t="s">
        <v>987</v>
      </c>
      <c r="F2088" s="0" t="str">
        <f aca="false">CONCATENATE(D2088," ",LEFT(H2088,4),"T=",AU2088,"D=",AV2088,"R=",AW2088,"M=",AX2088,"L=",AY2088,"B=",AZ2088)</f>
        <v>GASTON T=1D=0R=0M=0L=0B=0</v>
      </c>
      <c r="G2088" s="0" t="s">
        <v>175</v>
      </c>
      <c r="I2088" s="0" t="s">
        <v>9196</v>
      </c>
      <c r="J2088" s="0" t="s">
        <v>9197</v>
      </c>
      <c r="K2088" s="0" t="s">
        <v>143</v>
      </c>
      <c r="M2088" s="0" t="s">
        <v>9190</v>
      </c>
      <c r="N2088" s="0" t="str">
        <f aca="false">RIGHT(M2088,LEN(M2088)-FIND(" ",M2088))</f>
        <v>SCOTT ST NE</v>
      </c>
      <c r="O2088" s="0" t="s">
        <v>1947</v>
      </c>
      <c r="P2088" s="0" t="s">
        <v>145</v>
      </c>
      <c r="Q2088" s="0" t="s">
        <v>146</v>
      </c>
      <c r="R2088" s="0" t="n">
        <v>44483</v>
      </c>
      <c r="AD2088" s="0" t="s">
        <v>147</v>
      </c>
      <c r="AE2088" s="0" t="s">
        <v>148</v>
      </c>
      <c r="AF2088" s="0" t="s">
        <v>149</v>
      </c>
      <c r="AH2088" s="0" t="n">
        <v>14</v>
      </c>
      <c r="AI2088" s="0" t="n">
        <v>11</v>
      </c>
      <c r="AN2088" s="0" t="s">
        <v>145</v>
      </c>
      <c r="AO2088" s="0" t="s">
        <v>654</v>
      </c>
      <c r="AP2088" s="0" t="s">
        <v>655</v>
      </c>
      <c r="AQ2088" s="0" t="n">
        <v>9</v>
      </c>
      <c r="AR2088" s="0" t="n">
        <v>64</v>
      </c>
      <c r="AS2088" s="0" t="n">
        <v>32</v>
      </c>
      <c r="AU2088" s="0" t="n">
        <f aca="false">COUNTA($BA$1358:$EH$1358)</f>
        <v>1</v>
      </c>
      <c r="AV2088" s="0" t="n">
        <f aca="false">COUNTIF($BA$1358:$EH$1358,"D")</f>
        <v>0</v>
      </c>
      <c r="AW2088" s="0" t="n">
        <f aca="false">COUNTIF($BA$1358:$EH$1358,"R")</f>
        <v>0</v>
      </c>
      <c r="AX2088" s="0" t="n">
        <f aca="false">IF(BN2088="D",1,0)+IF(BO2088="D",1,0)+IF(BT2088="D",1,0)+IF(BU2088="D",1,0)+IF(BW2088="D",1,0)+IF(CC2088="D",1,0)+IF(CD2088="D",1,0)+IF(CE2088="D",1,0)+IF(CF2088="D",1,0)+IF(CL2088="D",1,0)+IF(CM2088="D",1,0)+IF(CQ2088="D",1,0)+IF(CR2088="D",1,0)+IF(CS2088="D",1,0)+IF(CW2088="D",1,0)+IF(CX2088="D",1,0)+IF(DD2088="D",1,0)+IF(DE2088="D",1,0)+IF(DJ2088="D",1,0)+IF(DK2088="D",1,0)+IF(DO2088="D",1,0)+IF(DP2088="D",1,0)+IF(DQ2088="D",1,0)+IF(DW2088="D",1,0)+IF(DZ2088="D",1,0)+IF(EH2088="D",1,0)</f>
        <v>0</v>
      </c>
      <c r="AY2088" s="0" t="n">
        <f aca="false">COUNTIF(DU2088:EH2088, "&lt;&gt;")</f>
        <v>0</v>
      </c>
      <c r="AZ2088" s="0" t="n">
        <f aca="false">IF(EH2088&lt;&gt;"",1,0)</f>
        <v>0</v>
      </c>
      <c r="BB2088" s="0" t="s">
        <v>152</v>
      </c>
    </row>
    <row r="2089" customFormat="false" ht="13.8" hidden="true" customHeight="false" outlineLevel="0" collapsed="false">
      <c r="A2089" s="0" t="s">
        <v>9198</v>
      </c>
      <c r="B2089" s="0" t="n">
        <v>78</v>
      </c>
      <c r="C2089" s="0" t="n">
        <v>443573</v>
      </c>
      <c r="D2089" s="0" t="s">
        <v>9199</v>
      </c>
      <c r="E2089" s="0" t="s">
        <v>2765</v>
      </c>
      <c r="F2089" s="0" t="str">
        <f aca="false">CONCATENATE(D2089," ",LEFT(H2089,4),"T=",AU2089,"D=",AV2089,"R=",AW2089,"M=",AX2089,"L=",AY2089,"B=",AZ2089)</f>
        <v>SCAGGS T=3D=0R=0M=0L=0B=0</v>
      </c>
      <c r="G2089" s="0" t="s">
        <v>839</v>
      </c>
      <c r="I2089" s="0" t="s">
        <v>7122</v>
      </c>
      <c r="J2089" s="0" t="s">
        <v>9179</v>
      </c>
      <c r="K2089" s="0" t="s">
        <v>160</v>
      </c>
      <c r="M2089" s="0" t="s">
        <v>9190</v>
      </c>
      <c r="N2089" s="0" t="str">
        <f aca="false">RIGHT(M2089,LEN(M2089)-FIND(" ",M2089))</f>
        <v>SCOTT ST NE</v>
      </c>
      <c r="O2089" s="0" t="s">
        <v>2211</v>
      </c>
      <c r="P2089" s="0" t="s">
        <v>145</v>
      </c>
      <c r="Q2089" s="0" t="s">
        <v>146</v>
      </c>
      <c r="R2089" s="0" t="n">
        <v>44483</v>
      </c>
      <c r="AD2089" s="0" t="s">
        <v>147</v>
      </c>
      <c r="AE2089" s="0" t="s">
        <v>148</v>
      </c>
      <c r="AF2089" s="0" t="s">
        <v>149</v>
      </c>
      <c r="AH2089" s="0" t="n">
        <v>14</v>
      </c>
      <c r="AI2089" s="0" t="n">
        <v>11</v>
      </c>
      <c r="AN2089" s="0" t="s">
        <v>145</v>
      </c>
      <c r="AO2089" s="0" t="s">
        <v>654</v>
      </c>
      <c r="AP2089" s="0" t="s">
        <v>655</v>
      </c>
      <c r="AQ2089" s="0" t="n">
        <v>9</v>
      </c>
      <c r="AR2089" s="0" t="n">
        <v>64</v>
      </c>
      <c r="AS2089" s="0" t="n">
        <v>32</v>
      </c>
      <c r="AU2089" s="0" t="n">
        <f aca="false">COUNTA($BA$1386:$EH$1386)</f>
        <v>3</v>
      </c>
      <c r="AV2089" s="0" t="n">
        <f aca="false">COUNTIF($BA$1386:$EH$1386,"D")</f>
        <v>0</v>
      </c>
      <c r="AW2089" s="0" t="n">
        <f aca="false">COUNTIF($BA$1386:$EH$1386,"R")</f>
        <v>0</v>
      </c>
      <c r="AX2089" s="0" t="n">
        <f aca="false">IF(BN2089="D",1,0)+IF(BO2089="D",1,0)+IF(BT2089="D",1,0)+IF(BU2089="D",1,0)+IF(BW2089="D",1,0)+IF(CC2089="D",1,0)+IF(CD2089="D",1,0)+IF(CE2089="D",1,0)+IF(CF2089="D",1,0)+IF(CL2089="D",1,0)+IF(CM2089="D",1,0)+IF(CQ2089="D",1,0)+IF(CR2089="D",1,0)+IF(CS2089="D",1,0)+IF(CW2089="D",1,0)+IF(CX2089="D",1,0)+IF(DD2089="D",1,0)+IF(DE2089="D",1,0)+IF(DJ2089="D",1,0)+IF(DK2089="D",1,0)+IF(DO2089="D",1,0)+IF(DP2089="D",1,0)+IF(DQ2089="D",1,0)+IF(DW2089="D",1,0)+IF(DZ2089="D",1,0)+IF(EH2089="D",1,0)</f>
        <v>0</v>
      </c>
      <c r="AY2089" s="0" t="n">
        <f aca="false">COUNTIF(DU2089:EH2089, "&lt;&gt;")</f>
        <v>0</v>
      </c>
      <c r="AZ2089" s="0" t="n">
        <f aca="false">IF(EH2089&lt;&gt;"",1,0)</f>
        <v>0</v>
      </c>
      <c r="BB2089" s="0" t="s">
        <v>152</v>
      </c>
      <c r="BL2089" s="0" t="s">
        <v>153</v>
      </c>
    </row>
    <row r="2090" customFormat="false" ht="13.8" hidden="true" customHeight="false" outlineLevel="0" collapsed="false">
      <c r="A2090" s="0" t="s">
        <v>9200</v>
      </c>
      <c r="B2090" s="0" t="n">
        <v>78</v>
      </c>
      <c r="C2090" s="0" t="n">
        <v>445601</v>
      </c>
      <c r="D2090" s="0" t="s">
        <v>8833</v>
      </c>
      <c r="E2090" s="0" t="s">
        <v>1322</v>
      </c>
      <c r="F2090" s="0" t="str">
        <f aca="false">CONCATENATE(D2090," ",LEFT(H2090,4),"T=",AU2090,"D=",AV2090,"R=",AW2090,"M=",AX2090,"L=",AY2090,"B=",AZ2090)</f>
        <v>FLETCHER T=4D=0R=0M=0L=0B=0</v>
      </c>
      <c r="G2090" s="0" t="s">
        <v>175</v>
      </c>
      <c r="I2090" s="0" t="s">
        <v>9201</v>
      </c>
      <c r="J2090" s="0" t="s">
        <v>386</v>
      </c>
      <c r="K2090" s="0" t="s">
        <v>160</v>
      </c>
      <c r="M2090" s="0" t="s">
        <v>9190</v>
      </c>
      <c r="N2090" s="0" t="str">
        <f aca="false">RIGHT(M2090,LEN(M2090)-FIND(" ",M2090))</f>
        <v>SCOTT ST NE</v>
      </c>
      <c r="O2090" s="0" t="s">
        <v>1947</v>
      </c>
      <c r="P2090" s="0" t="s">
        <v>145</v>
      </c>
      <c r="Q2090" s="0" t="s">
        <v>146</v>
      </c>
      <c r="R2090" s="0" t="n">
        <v>44483</v>
      </c>
      <c r="AD2090" s="0" t="s">
        <v>147</v>
      </c>
      <c r="AE2090" s="0" t="s">
        <v>148</v>
      </c>
      <c r="AF2090" s="0" t="s">
        <v>149</v>
      </c>
      <c r="AH2090" s="0" t="n">
        <v>14</v>
      </c>
      <c r="AI2090" s="0" t="n">
        <v>11</v>
      </c>
      <c r="AN2090" s="0" t="s">
        <v>145</v>
      </c>
      <c r="AO2090" s="0" t="s">
        <v>654</v>
      </c>
      <c r="AP2090" s="0" t="s">
        <v>655</v>
      </c>
      <c r="AQ2090" s="0" t="n">
        <v>9</v>
      </c>
      <c r="AR2090" s="0" t="n">
        <v>64</v>
      </c>
      <c r="AS2090" s="0" t="n">
        <v>32</v>
      </c>
      <c r="AU2090" s="0" t="n">
        <f aca="false">COUNTA($BA$1411:$EH$1411)</f>
        <v>4</v>
      </c>
      <c r="AV2090" s="0" t="n">
        <f aca="false">COUNTIF($BA$1411:$EH$1411,"D")</f>
        <v>0</v>
      </c>
      <c r="AW2090" s="0" t="n">
        <f aca="false">COUNTIF($BA$1411:$EH$1411,"R")</f>
        <v>0</v>
      </c>
      <c r="AX2090" s="0" t="n">
        <f aca="false">IF(BN2090="D",1,0)+IF(BO2090="D",1,0)+IF(BT2090="D",1,0)+IF(BU2090="D",1,0)+IF(BW2090="D",1,0)+IF(CC2090="D",1,0)+IF(CD2090="D",1,0)+IF(CE2090="D",1,0)+IF(CF2090="D",1,0)+IF(CL2090="D",1,0)+IF(CM2090="D",1,0)+IF(CQ2090="D",1,0)+IF(CR2090="D",1,0)+IF(CS2090="D",1,0)+IF(CW2090="D",1,0)+IF(CX2090="D",1,0)+IF(DD2090="D",1,0)+IF(DE2090="D",1,0)+IF(DJ2090="D",1,0)+IF(DK2090="D",1,0)+IF(DO2090="D",1,0)+IF(DP2090="D",1,0)+IF(DQ2090="D",1,0)+IF(DW2090="D",1,0)+IF(DZ2090="D",1,0)+IF(EH2090="D",1,0)</f>
        <v>0</v>
      </c>
      <c r="AY2090" s="0" t="n">
        <f aca="false">COUNTIF(DU2090:EH2090, "&lt;&gt;")</f>
        <v>0</v>
      </c>
      <c r="AZ2090" s="0" t="n">
        <f aca="false">IF(EH2090&lt;&gt;"",1,0)</f>
        <v>0</v>
      </c>
      <c r="BB2090" s="0" t="s">
        <v>152</v>
      </c>
    </row>
    <row r="2091" customFormat="false" ht="13.8" hidden="true" customHeight="false" outlineLevel="0" collapsed="false">
      <c r="A2091" s="0" t="s">
        <v>9202</v>
      </c>
      <c r="B2091" s="0" t="n">
        <v>78</v>
      </c>
      <c r="C2091" s="0" t="n">
        <v>466899</v>
      </c>
      <c r="D2091" s="0" t="s">
        <v>9203</v>
      </c>
      <c r="E2091" s="0" t="s">
        <v>2271</v>
      </c>
      <c r="F2091" s="0" t="str">
        <f aca="false">CONCATENATE(D2091," ",LEFT(H2091,4),"T=",AU2091,"D=",AV2091,"R=",AW2091,"M=",AX2091,"L=",AY2091,"B=",AZ2091)</f>
        <v>PALMER T=3D=0R=0M=0L=0B=0</v>
      </c>
      <c r="G2091" s="0" t="s">
        <v>3676</v>
      </c>
      <c r="I2091" s="0" t="s">
        <v>9204</v>
      </c>
      <c r="J2091" s="0" t="s">
        <v>9205</v>
      </c>
      <c r="K2091" s="0" t="s">
        <v>160</v>
      </c>
      <c r="M2091" s="0" t="s">
        <v>9190</v>
      </c>
      <c r="N2091" s="0" t="str">
        <f aca="false">RIGHT(M2091,LEN(M2091)-FIND(" ",M2091))</f>
        <v>SCOTT ST NE</v>
      </c>
      <c r="O2091" s="0" t="s">
        <v>9206</v>
      </c>
      <c r="P2091" s="0" t="s">
        <v>145</v>
      </c>
      <c r="Q2091" s="0" t="s">
        <v>146</v>
      </c>
      <c r="R2091" s="0" t="n">
        <v>44483</v>
      </c>
      <c r="AD2091" s="0" t="s">
        <v>147</v>
      </c>
      <c r="AE2091" s="0" t="s">
        <v>148</v>
      </c>
      <c r="AF2091" s="0" t="s">
        <v>149</v>
      </c>
      <c r="AH2091" s="0" t="n">
        <v>14</v>
      </c>
      <c r="AI2091" s="0" t="n">
        <v>11</v>
      </c>
      <c r="AN2091" s="0" t="s">
        <v>145</v>
      </c>
      <c r="AO2091" s="0" t="s">
        <v>654</v>
      </c>
      <c r="AP2091" s="0" t="s">
        <v>655</v>
      </c>
      <c r="AQ2091" s="0" t="n">
        <v>9</v>
      </c>
      <c r="AR2091" s="0" t="n">
        <v>64</v>
      </c>
      <c r="AS2091" s="0" t="n">
        <v>32</v>
      </c>
      <c r="AU2091" s="0" t="n">
        <f aca="false">COUNTA($BA$1759:$EH$1759)</f>
        <v>3</v>
      </c>
      <c r="AV2091" s="0" t="n">
        <f aca="false">COUNTIF($BA$1759:$EH$1759,"D")</f>
        <v>0</v>
      </c>
      <c r="AW2091" s="0" t="n">
        <f aca="false">COUNTIF($BA$1759:$EH$1759,"R")</f>
        <v>0</v>
      </c>
      <c r="AX2091" s="0" t="n">
        <f aca="false">IF(BN2091="D",1,0)+IF(BO2091="D",1,0)+IF(BT2091="D",1,0)+IF(BU2091="D",1,0)+IF(BW2091="D",1,0)+IF(CC2091="D",1,0)+IF(CD2091="D",1,0)+IF(CE2091="D",1,0)+IF(CF2091="D",1,0)+IF(CL2091="D",1,0)+IF(CM2091="D",1,0)+IF(CQ2091="D",1,0)+IF(CR2091="D",1,0)+IF(CS2091="D",1,0)+IF(CW2091="D",1,0)+IF(CX2091="D",1,0)+IF(DD2091="D",1,0)+IF(DE2091="D",1,0)+IF(DJ2091="D",1,0)+IF(DK2091="D",1,0)+IF(DO2091="D",1,0)+IF(DP2091="D",1,0)+IF(DQ2091="D",1,0)+IF(DW2091="D",1,0)+IF(DZ2091="D",1,0)+IF(EH2091="D",1,0)</f>
        <v>0</v>
      </c>
      <c r="AY2091" s="0" t="n">
        <f aca="false">COUNTIF(DU2091:EH2091, "&lt;&gt;")</f>
        <v>0</v>
      </c>
      <c r="AZ2091" s="0" t="n">
        <f aca="false">IF(EH2091&lt;&gt;"",1,0)</f>
        <v>0</v>
      </c>
      <c r="BB2091" s="0" t="s">
        <v>152</v>
      </c>
    </row>
    <row r="2092" customFormat="false" ht="13.8" hidden="true" customHeight="false" outlineLevel="0" collapsed="false">
      <c r="A2092" s="0" t="s">
        <v>9207</v>
      </c>
      <c r="B2092" s="0" t="n">
        <v>78</v>
      </c>
      <c r="C2092" s="0" t="n">
        <v>472311</v>
      </c>
      <c r="D2092" s="0" t="s">
        <v>1445</v>
      </c>
      <c r="E2092" s="0" t="s">
        <v>193</v>
      </c>
      <c r="F2092" s="0" t="str">
        <f aca="false">CONCATENATE(D2092," ",LEFT(H2092,4),"T=",AU2092,"D=",AV2092,"R=",AW2092,"M=",AX2092,"L=",AY2092,"B=",AZ2092)</f>
        <v>WILLIAMS T=24D=8R=0M=0L=0B=0</v>
      </c>
      <c r="G2092" s="0" t="s">
        <v>215</v>
      </c>
      <c r="I2092" s="0" t="s">
        <v>9208</v>
      </c>
      <c r="J2092" s="0" t="s">
        <v>9209</v>
      </c>
      <c r="K2092" s="0" t="s">
        <v>160</v>
      </c>
      <c r="M2092" s="0" t="s">
        <v>9190</v>
      </c>
      <c r="N2092" s="0" t="str">
        <f aca="false">RIGHT(M2092,LEN(M2092)-FIND(" ",M2092))</f>
        <v>SCOTT ST NE</v>
      </c>
      <c r="O2092" s="0" t="s">
        <v>868</v>
      </c>
      <c r="P2092" s="0" t="s">
        <v>145</v>
      </c>
      <c r="Q2092" s="0" t="s">
        <v>146</v>
      </c>
      <c r="R2092" s="0" t="n">
        <v>44483</v>
      </c>
      <c r="AD2092" s="0" t="s">
        <v>147</v>
      </c>
      <c r="AE2092" s="0" t="s">
        <v>148</v>
      </c>
      <c r="AF2092" s="0" t="s">
        <v>149</v>
      </c>
      <c r="AH2092" s="0" t="n">
        <v>14</v>
      </c>
      <c r="AI2092" s="0" t="n">
        <v>11</v>
      </c>
      <c r="AN2092" s="0" t="s">
        <v>145</v>
      </c>
      <c r="AO2092" s="0" t="s">
        <v>654</v>
      </c>
      <c r="AP2092" s="0" t="s">
        <v>655</v>
      </c>
      <c r="AQ2092" s="0" t="n">
        <v>9</v>
      </c>
      <c r="AR2092" s="0" t="n">
        <v>64</v>
      </c>
      <c r="AS2092" s="0" t="n">
        <v>32</v>
      </c>
      <c r="AU2092" s="0" t="n">
        <f aca="false">COUNTA($BA$1840:$EH$1840)</f>
        <v>24</v>
      </c>
      <c r="AV2092" s="0" t="n">
        <f aca="false">COUNTIF($BA$1840:$EH$1840,"D")</f>
        <v>8</v>
      </c>
      <c r="AW2092" s="0" t="n">
        <f aca="false">COUNTIF($BA$1840:$EH$1840,"R")</f>
        <v>0</v>
      </c>
      <c r="AX2092" s="0" t="n">
        <f aca="false">IF(BN2092="D",1,0)+IF(BO2092="D",1,0)+IF(BT2092="D",1,0)+IF(BU2092="D",1,0)+IF(BW2092="D",1,0)+IF(CC2092="D",1,0)+IF(CD2092="D",1,0)+IF(CE2092="D",1,0)+IF(CF2092="D",1,0)+IF(CL2092="D",1,0)+IF(CM2092="D",1,0)+IF(CQ2092="D",1,0)+IF(CR2092="D",1,0)+IF(CS2092="D",1,0)+IF(CW2092="D",1,0)+IF(CX2092="D",1,0)+IF(DD2092="D",1,0)+IF(DE2092="D",1,0)+IF(DJ2092="D",1,0)+IF(DK2092="D",1,0)+IF(DO2092="D",1,0)+IF(DP2092="D",1,0)+IF(DQ2092="D",1,0)+IF(DW2092="D",1,0)+IF(DZ2092="D",1,0)+IF(EH2092="D",1,0)</f>
        <v>0</v>
      </c>
      <c r="AY2092" s="0" t="n">
        <f aca="false">COUNTIF(DU2092:EH2092, "&lt;&gt;")</f>
        <v>0</v>
      </c>
      <c r="AZ2092" s="0" t="n">
        <f aca="false">IF(EH2092&lt;&gt;"",1,0)</f>
        <v>0</v>
      </c>
      <c r="BB2092" s="0" t="s">
        <v>152</v>
      </c>
    </row>
    <row r="2093" customFormat="false" ht="13.8" hidden="true" customHeight="false" outlineLevel="0" collapsed="false">
      <c r="A2093" s="0" t="s">
        <v>9210</v>
      </c>
      <c r="B2093" s="0" t="n">
        <v>78</v>
      </c>
      <c r="C2093" s="0" t="n">
        <v>365101</v>
      </c>
      <c r="D2093" s="0" t="s">
        <v>4770</v>
      </c>
      <c r="E2093" s="0" t="s">
        <v>9211</v>
      </c>
      <c r="F2093" s="0" t="str">
        <f aca="false">CONCATENATE(D2093," ",LEFT(H2093,4),"T=",AU2093,"D=",AV2093,"R=",AW2093,"M=",AX2093,"L=",AY2093,"B=",AZ2093)</f>
        <v>MITCHELL T=1D=0R=0M=0L=0B=0</v>
      </c>
      <c r="G2093" s="0" t="s">
        <v>209</v>
      </c>
      <c r="I2093" s="0" t="s">
        <v>9212</v>
      </c>
      <c r="J2093" s="0" t="s">
        <v>2548</v>
      </c>
      <c r="K2093" s="0" t="s">
        <v>143</v>
      </c>
      <c r="M2093" s="0" t="s">
        <v>9190</v>
      </c>
      <c r="N2093" s="0" t="str">
        <f aca="false">RIGHT(M2093,LEN(M2093)-FIND(" ",M2093))</f>
        <v>SCOTT ST NE</v>
      </c>
      <c r="O2093" s="0" t="s">
        <v>9213</v>
      </c>
      <c r="P2093" s="0" t="s">
        <v>145</v>
      </c>
      <c r="Q2093" s="0" t="s">
        <v>146</v>
      </c>
      <c r="R2093" s="0" t="n">
        <v>44483</v>
      </c>
      <c r="AD2093" s="0" t="s">
        <v>147</v>
      </c>
      <c r="AE2093" s="0" t="s">
        <v>148</v>
      </c>
      <c r="AF2093" s="0" t="s">
        <v>149</v>
      </c>
      <c r="AH2093" s="0" t="n">
        <v>14</v>
      </c>
      <c r="AI2093" s="0" t="n">
        <v>11</v>
      </c>
      <c r="AN2093" s="0" t="s">
        <v>145</v>
      </c>
      <c r="AO2093" s="0" t="s">
        <v>654</v>
      </c>
      <c r="AP2093" s="0" t="s">
        <v>655</v>
      </c>
      <c r="AQ2093" s="0" t="n">
        <v>9</v>
      </c>
      <c r="AR2093" s="0" t="n">
        <v>64</v>
      </c>
      <c r="AS2093" s="0" t="n">
        <v>32</v>
      </c>
      <c r="AU2093" s="0" t="n">
        <f aca="false">COUNTA($BA$2069:$EH$2069)</f>
        <v>1</v>
      </c>
      <c r="AV2093" s="0" t="n">
        <f aca="false">COUNTIF($BA$2069:$EH$2069,"D")</f>
        <v>0</v>
      </c>
      <c r="AW2093" s="0" t="n">
        <f aca="false">COUNTIF($BA$2069:$EH$2069,"R")</f>
        <v>0</v>
      </c>
      <c r="AX2093" s="0" t="n">
        <f aca="false">IF(BN2093="D",1,0)+IF(BO2093="D",1,0)+IF(BT2093="D",1,0)+IF(BU2093="D",1,0)+IF(BW2093="D",1,0)+IF(CC2093="D",1,0)+IF(CD2093="D",1,0)+IF(CE2093="D",1,0)+IF(CF2093="D",1,0)+IF(CL2093="D",1,0)+IF(CM2093="D",1,0)+IF(CQ2093="D",1,0)+IF(CR2093="D",1,0)+IF(CS2093="D",1,0)+IF(CW2093="D",1,0)+IF(CX2093="D",1,0)+IF(DD2093="D",1,0)+IF(DE2093="D",1,0)+IF(DJ2093="D",1,0)+IF(DK2093="D",1,0)+IF(DO2093="D",1,0)+IF(DP2093="D",1,0)+IF(DQ2093="D",1,0)+IF(DW2093="D",1,0)+IF(DZ2093="D",1,0)+IF(EH2093="D",1,0)</f>
        <v>0</v>
      </c>
      <c r="AY2093" s="0" t="n">
        <f aca="false">COUNTIF(DU2093:EH2093, "&lt;&gt;")</f>
        <v>0</v>
      </c>
      <c r="AZ2093" s="0" t="n">
        <f aca="false">IF(EH2093&lt;&gt;"",1,0)</f>
        <v>0</v>
      </c>
      <c r="BB2093" s="0" t="s">
        <v>152</v>
      </c>
    </row>
    <row r="2094" customFormat="false" ht="13.8" hidden="true" customHeight="false" outlineLevel="0" collapsed="false">
      <c r="A2094" s="0" t="s">
        <v>9214</v>
      </c>
      <c r="B2094" s="0" t="n">
        <v>78</v>
      </c>
      <c r="C2094" s="0" t="n">
        <v>481015</v>
      </c>
      <c r="D2094" s="0" t="s">
        <v>8239</v>
      </c>
      <c r="E2094" s="0" t="s">
        <v>344</v>
      </c>
      <c r="F2094" s="0" t="str">
        <f aca="false">CONCATENATE(D2094," ",LEFT(H2094,4),"T=",AU2094,"D=",AV2094,"R=",AW2094,"M=",AX2094,"L=",AY2094,"B=",AZ2094)</f>
        <v>REESE T=21D=3R=0M=0L=0B=0</v>
      </c>
      <c r="G2094" s="0" t="s">
        <v>255</v>
      </c>
      <c r="I2094" s="0" t="s">
        <v>9215</v>
      </c>
      <c r="J2094" s="0" t="s">
        <v>9216</v>
      </c>
      <c r="K2094" s="0" t="s">
        <v>160</v>
      </c>
      <c r="M2094" s="0" t="s">
        <v>9217</v>
      </c>
      <c r="N2094" s="0" t="str">
        <f aca="false">RIGHT(M2094,LEN(M2094)-FIND(" ",M2094))</f>
        <v>SCOTT ST NE</v>
      </c>
      <c r="P2094" s="0" t="s">
        <v>145</v>
      </c>
      <c r="Q2094" s="0" t="s">
        <v>146</v>
      </c>
      <c r="R2094" s="0" t="n">
        <v>44483</v>
      </c>
      <c r="AD2094" s="0" t="s">
        <v>147</v>
      </c>
      <c r="AE2094" s="0" t="s">
        <v>148</v>
      </c>
      <c r="AF2094" s="0" t="s">
        <v>149</v>
      </c>
      <c r="AH2094" s="0" t="n">
        <v>14</v>
      </c>
      <c r="AI2094" s="0" t="n">
        <v>11</v>
      </c>
      <c r="AN2094" s="0" t="s">
        <v>145</v>
      </c>
      <c r="AO2094" s="0" t="s">
        <v>654</v>
      </c>
      <c r="AP2094" s="0" t="s">
        <v>655</v>
      </c>
      <c r="AQ2094" s="0" t="n">
        <v>9</v>
      </c>
      <c r="AR2094" s="0" t="n">
        <v>64</v>
      </c>
      <c r="AS2094" s="0" t="n">
        <v>32</v>
      </c>
      <c r="AU2094" s="0" t="n">
        <f aca="false">COUNTA($BA$1294:$EH$1294)</f>
        <v>21</v>
      </c>
      <c r="AV2094" s="0" t="n">
        <f aca="false">COUNTIF($BA$1294:$EH$1294,"D")</f>
        <v>3</v>
      </c>
      <c r="AW2094" s="0" t="n">
        <f aca="false">COUNTIF($BA$1294:$EH$1294,"R")</f>
        <v>0</v>
      </c>
      <c r="AX2094" s="0" t="n">
        <f aca="false">IF(BN2094="D",1,0)+IF(BO2094="D",1,0)+IF(BT2094="D",1,0)+IF(BU2094="D",1,0)+IF(BW2094="D",1,0)+IF(CC2094="D",1,0)+IF(CD2094="D",1,0)+IF(CE2094="D",1,0)+IF(CF2094="D",1,0)+IF(CL2094="D",1,0)+IF(CM2094="D",1,0)+IF(CQ2094="D",1,0)+IF(CR2094="D",1,0)+IF(CS2094="D",1,0)+IF(CW2094="D",1,0)+IF(CX2094="D",1,0)+IF(DD2094="D",1,0)+IF(DE2094="D",1,0)+IF(DJ2094="D",1,0)+IF(DK2094="D",1,0)+IF(DO2094="D",1,0)+IF(DP2094="D",1,0)+IF(DQ2094="D",1,0)+IF(DW2094="D",1,0)+IF(DZ2094="D",1,0)+IF(EH2094="D",1,0)</f>
        <v>0</v>
      </c>
      <c r="AY2094" s="0" t="n">
        <f aca="false">COUNTIF(DU2094:EH2094, "&lt;&gt;")</f>
        <v>0</v>
      </c>
      <c r="AZ2094" s="0" t="n">
        <f aca="false">IF(EH2094&lt;&gt;"",1,0)</f>
        <v>0</v>
      </c>
      <c r="BB2094" s="0" t="s">
        <v>152</v>
      </c>
    </row>
    <row r="2095" customFormat="false" ht="13.8" hidden="true" customHeight="false" outlineLevel="0" collapsed="false">
      <c r="A2095" s="0" t="s">
        <v>9218</v>
      </c>
      <c r="B2095" s="0" t="n">
        <v>78</v>
      </c>
      <c r="C2095" s="0" t="n">
        <v>472277</v>
      </c>
      <c r="D2095" s="0" t="s">
        <v>9219</v>
      </c>
      <c r="E2095" s="0" t="s">
        <v>517</v>
      </c>
      <c r="F2095" s="0" t="str">
        <f aca="false">CONCATENATE(D2095," ",LEFT(H2095,4),"T=",AU2095,"D=",AV2095,"R=",AW2095,"M=",AX2095,"L=",AY2095,"B=",AZ2095)</f>
        <v>LITTRELL T=34D=7R=1M=0L=1B=0</v>
      </c>
      <c r="G2095" s="0" t="s">
        <v>1128</v>
      </c>
      <c r="I2095" s="0" t="s">
        <v>9220</v>
      </c>
      <c r="J2095" s="0" t="s">
        <v>9221</v>
      </c>
      <c r="K2095" s="0" t="s">
        <v>160</v>
      </c>
      <c r="M2095" s="0" t="s">
        <v>9222</v>
      </c>
      <c r="N2095" s="0" t="str">
        <f aca="false">RIGHT(M2095,LEN(M2095)-FIND(" ",M2095))</f>
        <v>SCOTT ST NE</v>
      </c>
      <c r="P2095" s="0" t="s">
        <v>145</v>
      </c>
      <c r="Q2095" s="0" t="s">
        <v>146</v>
      </c>
      <c r="R2095" s="0" t="n">
        <v>44483</v>
      </c>
      <c r="AD2095" s="0" t="s">
        <v>147</v>
      </c>
      <c r="AE2095" s="0" t="s">
        <v>148</v>
      </c>
      <c r="AF2095" s="0" t="s">
        <v>149</v>
      </c>
      <c r="AH2095" s="0" t="n">
        <v>14</v>
      </c>
      <c r="AI2095" s="0" t="n">
        <v>11</v>
      </c>
      <c r="AN2095" s="0" t="s">
        <v>145</v>
      </c>
      <c r="AO2095" s="0" t="s">
        <v>654</v>
      </c>
      <c r="AP2095" s="0" t="s">
        <v>655</v>
      </c>
      <c r="AQ2095" s="0" t="n">
        <v>9</v>
      </c>
      <c r="AR2095" s="0" t="n">
        <v>64</v>
      </c>
      <c r="AS2095" s="0" t="n">
        <v>32</v>
      </c>
      <c r="AU2095" s="0" t="n">
        <f aca="false">COUNTA($BA$1774:$EH$1774)</f>
        <v>34</v>
      </c>
      <c r="AV2095" s="0" t="n">
        <f aca="false">COUNTIF($BA$1774:$EH$1774,"D")</f>
        <v>7</v>
      </c>
      <c r="AW2095" s="0" t="n">
        <f aca="false">COUNTIF($BA$1774:$EH$1774,"R")</f>
        <v>1</v>
      </c>
      <c r="AX2095" s="0" t="n">
        <f aca="false">IF(BN2095="D",1,0)+IF(BO2095="D",1,0)+IF(BT2095="D",1,0)+IF(BU2095="D",1,0)+IF(BW2095="D",1,0)+IF(CC2095="D",1,0)+IF(CD2095="D",1,0)+IF(CE2095="D",1,0)+IF(CF2095="D",1,0)+IF(CL2095="D",1,0)+IF(CM2095="D",1,0)+IF(CQ2095="D",1,0)+IF(CR2095="D",1,0)+IF(CS2095="D",1,0)+IF(CW2095="D",1,0)+IF(CX2095="D",1,0)+IF(DD2095="D",1,0)+IF(DE2095="D",1,0)+IF(DJ2095="D",1,0)+IF(DK2095="D",1,0)+IF(DO2095="D",1,0)+IF(DP2095="D",1,0)+IF(DQ2095="D",1,0)+IF(DW2095="D",1,0)+IF(DZ2095="D",1,0)+IF(EH2095="D",1,0)</f>
        <v>0</v>
      </c>
      <c r="AY2095" s="0" t="n">
        <f aca="false">COUNTIF(DU2095:EH2095, "&lt;&gt;")</f>
        <v>1</v>
      </c>
      <c r="AZ2095" s="0" t="n">
        <f aca="false">IF(EH2095&lt;&gt;"",1,0)</f>
        <v>0</v>
      </c>
      <c r="BB2095" s="0" t="s">
        <v>152</v>
      </c>
      <c r="EF2095" s="0" t="s">
        <v>153</v>
      </c>
    </row>
    <row r="2096" customFormat="false" ht="13.8" hidden="true" customHeight="false" outlineLevel="0" collapsed="false">
      <c r="A2096" s="0" t="s">
        <v>9223</v>
      </c>
      <c r="B2096" s="0" t="n">
        <v>78</v>
      </c>
      <c r="C2096" s="0" t="n">
        <v>289831</v>
      </c>
      <c r="D2096" s="0" t="s">
        <v>974</v>
      </c>
      <c r="E2096" s="0" t="s">
        <v>9224</v>
      </c>
      <c r="F2096" s="0" t="str">
        <f aca="false">CONCATENATE(D2096," ",LEFT(H2096,4),"T=",AU2096,"D=",AV2096,"R=",AW2096,"M=",AX2096,"L=",AY2096,"B=",AZ2096)</f>
        <v>STAGGERS T=1D=0R=0M=0L=0B=0</v>
      </c>
      <c r="I2096" s="0" t="s">
        <v>9225</v>
      </c>
      <c r="J2096" s="0" t="s">
        <v>1605</v>
      </c>
      <c r="K2096" s="0" t="s">
        <v>160</v>
      </c>
      <c r="M2096" s="0" t="s">
        <v>9226</v>
      </c>
      <c r="N2096" s="0" t="str">
        <f aca="false">RIGHT(M2096,LEN(M2096)-FIND(" ",M2096))</f>
        <v>SCOTT ST NE</v>
      </c>
      <c r="P2096" s="0" t="s">
        <v>145</v>
      </c>
      <c r="Q2096" s="0" t="s">
        <v>146</v>
      </c>
      <c r="R2096" s="0" t="n">
        <v>44483</v>
      </c>
      <c r="AD2096" s="0" t="s">
        <v>147</v>
      </c>
      <c r="AE2096" s="0" t="s">
        <v>148</v>
      </c>
      <c r="AF2096" s="0" t="s">
        <v>149</v>
      </c>
      <c r="AH2096" s="0" t="n">
        <v>14</v>
      </c>
      <c r="AI2096" s="0" t="n">
        <v>11</v>
      </c>
      <c r="AN2096" s="0" t="s">
        <v>145</v>
      </c>
      <c r="AO2096" s="0" t="s">
        <v>654</v>
      </c>
      <c r="AP2096" s="0" t="s">
        <v>655</v>
      </c>
      <c r="AQ2096" s="0" t="n">
        <v>9</v>
      </c>
      <c r="AR2096" s="0" t="n">
        <v>64</v>
      </c>
      <c r="AS2096" s="0" t="n">
        <v>32</v>
      </c>
      <c r="AU2096" s="0" t="n">
        <f aca="false">COUNTA($BA$1969:$EH$1969)</f>
        <v>1</v>
      </c>
      <c r="AV2096" s="0" t="n">
        <f aca="false">COUNTIF($BA$1969:$EH$1969,"D")</f>
        <v>0</v>
      </c>
      <c r="AW2096" s="0" t="n">
        <f aca="false">COUNTIF($BA$1969:$EH$1969,"R")</f>
        <v>0</v>
      </c>
      <c r="AX2096" s="0" t="n">
        <f aca="false">IF(BN2096="D",1,0)+IF(BO2096="D",1,0)+IF(BT2096="D",1,0)+IF(BU2096="D",1,0)+IF(BW2096="D",1,0)+IF(CC2096="D",1,0)+IF(CD2096="D",1,0)+IF(CE2096="D",1,0)+IF(CF2096="D",1,0)+IF(CL2096="D",1,0)+IF(CM2096="D",1,0)+IF(CQ2096="D",1,0)+IF(CR2096="D",1,0)+IF(CS2096="D",1,0)+IF(CW2096="D",1,0)+IF(CX2096="D",1,0)+IF(DD2096="D",1,0)+IF(DE2096="D",1,0)+IF(DJ2096="D",1,0)+IF(DK2096="D",1,0)+IF(DO2096="D",1,0)+IF(DP2096="D",1,0)+IF(DQ2096="D",1,0)+IF(DW2096="D",1,0)+IF(DZ2096="D",1,0)+IF(EH2096="D",1,0)</f>
        <v>0</v>
      </c>
      <c r="AY2096" s="0" t="n">
        <f aca="false">COUNTIF(DU2096:EH2096, "&lt;&gt;")</f>
        <v>0</v>
      </c>
      <c r="AZ2096" s="0" t="n">
        <f aca="false">IF(EH2096&lt;&gt;"",1,0)</f>
        <v>0</v>
      </c>
      <c r="BB2096" s="0" t="s">
        <v>152</v>
      </c>
      <c r="BC2096" s="0" t="s">
        <v>153</v>
      </c>
      <c r="BD2096" s="0" t="s">
        <v>153</v>
      </c>
      <c r="BL2096" s="0" t="s">
        <v>153</v>
      </c>
      <c r="CK2096" s="0" t="s">
        <v>153</v>
      </c>
      <c r="CP2096" s="0" t="s">
        <v>153</v>
      </c>
      <c r="CY2096" s="0" t="s">
        <v>153</v>
      </c>
      <c r="DC2096" s="0" t="s">
        <v>153</v>
      </c>
    </row>
    <row r="2097" customFormat="false" ht="13.8" hidden="true" customHeight="false" outlineLevel="0" collapsed="false">
      <c r="A2097" s="0" t="s">
        <v>9227</v>
      </c>
      <c r="B2097" s="0" t="n">
        <v>78</v>
      </c>
      <c r="C2097" s="0" t="n">
        <v>443207</v>
      </c>
      <c r="D2097" s="0" t="s">
        <v>824</v>
      </c>
      <c r="E2097" s="0" t="s">
        <v>2754</v>
      </c>
      <c r="F2097" s="0" t="str">
        <f aca="false">CONCATENATE(D2097," ",LEFT(H2097,4),"T=",AU2097,"D=",AV2097,"R=",AW2097,"M=",AX2097,"L=",AY2097,"B=",AZ2097)</f>
        <v>SCOTT T=10D=1R=0M=0L=0B=0</v>
      </c>
      <c r="G2097" s="0" t="s">
        <v>517</v>
      </c>
      <c r="I2097" s="0" t="s">
        <v>2151</v>
      </c>
      <c r="J2097" s="0" t="s">
        <v>9228</v>
      </c>
      <c r="K2097" s="0" t="s">
        <v>143</v>
      </c>
      <c r="M2097" s="0" t="s">
        <v>9229</v>
      </c>
      <c r="N2097" s="0" t="str">
        <f aca="false">RIGHT(M2097,LEN(M2097)-FIND(" ",M2097))</f>
        <v>SCOTT ST NE</v>
      </c>
      <c r="P2097" s="0" t="s">
        <v>145</v>
      </c>
      <c r="Q2097" s="0" t="s">
        <v>146</v>
      </c>
      <c r="R2097" s="0" t="n">
        <v>44483</v>
      </c>
      <c r="AD2097" s="0" t="s">
        <v>147</v>
      </c>
      <c r="AE2097" s="0" t="s">
        <v>148</v>
      </c>
      <c r="AF2097" s="0" t="s">
        <v>149</v>
      </c>
      <c r="AH2097" s="0" t="n">
        <v>14</v>
      </c>
      <c r="AI2097" s="0" t="n">
        <v>11</v>
      </c>
      <c r="AN2097" s="0" t="s">
        <v>145</v>
      </c>
      <c r="AO2097" s="0" t="s">
        <v>654</v>
      </c>
      <c r="AP2097" s="0" t="s">
        <v>655</v>
      </c>
      <c r="AQ2097" s="0" t="n">
        <v>9</v>
      </c>
      <c r="AR2097" s="0" t="n">
        <v>64</v>
      </c>
      <c r="AS2097" s="0" t="n">
        <v>32</v>
      </c>
      <c r="AU2097" s="0" t="n">
        <f aca="false">COUNTA($BA$1538:$EH$1538)</f>
        <v>10</v>
      </c>
      <c r="AV2097" s="0" t="n">
        <f aca="false">COUNTIF($BA$1538:$EH$1538,"D")</f>
        <v>1</v>
      </c>
      <c r="AW2097" s="0" t="n">
        <f aca="false">COUNTIF($BA$1538:$EH$1538,"R")</f>
        <v>0</v>
      </c>
      <c r="AX2097" s="0" t="n">
        <f aca="false">IF(BN2097="D",1,0)+IF(BO2097="D",1,0)+IF(BT2097="D",1,0)+IF(BU2097="D",1,0)+IF(BW2097="D",1,0)+IF(CC2097="D",1,0)+IF(CD2097="D",1,0)+IF(CE2097="D",1,0)+IF(CF2097="D",1,0)+IF(CL2097="D",1,0)+IF(CM2097="D",1,0)+IF(CQ2097="D",1,0)+IF(CR2097="D",1,0)+IF(CS2097="D",1,0)+IF(CW2097="D",1,0)+IF(CX2097="D",1,0)+IF(DD2097="D",1,0)+IF(DE2097="D",1,0)+IF(DJ2097="D",1,0)+IF(DK2097="D",1,0)+IF(DO2097="D",1,0)+IF(DP2097="D",1,0)+IF(DQ2097="D",1,0)+IF(DW2097="D",1,0)+IF(DZ2097="D",1,0)+IF(EH2097="D",1,0)</f>
        <v>0</v>
      </c>
      <c r="AY2097" s="0" t="n">
        <f aca="false">COUNTIF(DU2097:EH2097, "&lt;&gt;")</f>
        <v>0</v>
      </c>
      <c r="AZ2097" s="0" t="n">
        <f aca="false">IF(EH2097&lt;&gt;"",1,0)</f>
        <v>0</v>
      </c>
      <c r="BB2097" s="0" t="s">
        <v>152</v>
      </c>
      <c r="CP2097" s="0" t="s">
        <v>153</v>
      </c>
    </row>
    <row r="2098" customFormat="false" ht="13.8" hidden="true" customHeight="false" outlineLevel="0" collapsed="false">
      <c r="A2098" s="0" t="s">
        <v>9230</v>
      </c>
      <c r="B2098" s="0" t="n">
        <v>78</v>
      </c>
      <c r="C2098" s="0" t="n">
        <v>450340</v>
      </c>
      <c r="D2098" s="0" t="s">
        <v>9231</v>
      </c>
      <c r="E2098" s="0" t="s">
        <v>675</v>
      </c>
      <c r="F2098" s="0" t="str">
        <f aca="false">CONCATENATE(D2098," ",LEFT(H2098,4),"T=",AU2098,"D=",AV2098,"R=",AW2098,"M=",AX2098,"L=",AY2098,"B=",AZ2098)</f>
        <v>ZIEGLER T=16D=2R=0M=0L=0B=0</v>
      </c>
      <c r="G2098" s="0" t="s">
        <v>2123</v>
      </c>
      <c r="I2098" s="0" t="s">
        <v>5353</v>
      </c>
      <c r="J2098" s="0" t="s">
        <v>2834</v>
      </c>
      <c r="K2098" s="0" t="s">
        <v>160</v>
      </c>
      <c r="M2098" s="0" t="s">
        <v>9229</v>
      </c>
      <c r="N2098" s="0" t="str">
        <f aca="false">RIGHT(M2098,LEN(M2098)-FIND(" ",M2098))</f>
        <v>SCOTT ST NE</v>
      </c>
      <c r="P2098" s="0" t="s">
        <v>145</v>
      </c>
      <c r="Q2098" s="0" t="s">
        <v>146</v>
      </c>
      <c r="R2098" s="0" t="n">
        <v>44483</v>
      </c>
      <c r="AD2098" s="0" t="s">
        <v>147</v>
      </c>
      <c r="AE2098" s="0" t="s">
        <v>148</v>
      </c>
      <c r="AF2098" s="0" t="s">
        <v>149</v>
      </c>
      <c r="AH2098" s="0" t="n">
        <v>14</v>
      </c>
      <c r="AI2098" s="0" t="n">
        <v>11</v>
      </c>
      <c r="AN2098" s="0" t="s">
        <v>145</v>
      </c>
      <c r="AO2098" s="0" t="s">
        <v>654</v>
      </c>
      <c r="AP2098" s="0" t="s">
        <v>655</v>
      </c>
      <c r="AQ2098" s="0" t="n">
        <v>9</v>
      </c>
      <c r="AR2098" s="0" t="n">
        <v>64</v>
      </c>
      <c r="AS2098" s="0" t="n">
        <v>32</v>
      </c>
      <c r="AU2098" s="0" t="n">
        <f aca="false">COUNTA($BA$1706:$EH$1706)</f>
        <v>16</v>
      </c>
      <c r="AV2098" s="0" t="n">
        <f aca="false">COUNTIF($BA$1706:$EH$1706,"D")</f>
        <v>2</v>
      </c>
      <c r="AW2098" s="0" t="n">
        <f aca="false">COUNTIF($BA$1706:$EH$1706,"R")</f>
        <v>0</v>
      </c>
      <c r="AX2098" s="0" t="n">
        <f aca="false">IF(BN2098="D",1,0)+IF(BO2098="D",1,0)+IF(BT2098="D",1,0)+IF(BU2098="D",1,0)+IF(BW2098="D",1,0)+IF(CC2098="D",1,0)+IF(CD2098="D",1,0)+IF(CE2098="D",1,0)+IF(CF2098="D",1,0)+IF(CL2098="D",1,0)+IF(CM2098="D",1,0)+IF(CQ2098="D",1,0)+IF(CR2098="D",1,0)+IF(CS2098="D",1,0)+IF(CW2098="D",1,0)+IF(CX2098="D",1,0)+IF(DD2098="D",1,0)+IF(DE2098="D",1,0)+IF(DJ2098="D",1,0)+IF(DK2098="D",1,0)+IF(DO2098="D",1,0)+IF(DP2098="D",1,0)+IF(DQ2098="D",1,0)+IF(DW2098="D",1,0)+IF(DZ2098="D",1,0)+IF(EH2098="D",1,0)</f>
        <v>0</v>
      </c>
      <c r="AY2098" s="0" t="n">
        <f aca="false">COUNTIF(DU2098:EH2098, "&lt;&gt;")</f>
        <v>0</v>
      </c>
      <c r="AZ2098" s="0" t="n">
        <f aca="false">IF(EH2098&lt;&gt;"",1,0)</f>
        <v>0</v>
      </c>
      <c r="BB2098" s="0" t="s">
        <v>152</v>
      </c>
      <c r="DN2098" s="0" t="s">
        <v>153</v>
      </c>
    </row>
    <row r="2099" customFormat="false" ht="13.8" hidden="false" customHeight="false" outlineLevel="0" collapsed="false">
      <c r="A2099" s="0" t="s">
        <v>9232</v>
      </c>
      <c r="B2099" s="0" t="n">
        <v>78</v>
      </c>
      <c r="C2099" s="0" t="n">
        <v>466292</v>
      </c>
      <c r="D2099" s="0" t="s">
        <v>9233</v>
      </c>
      <c r="E2099" s="0" t="s">
        <v>9234</v>
      </c>
      <c r="F2099" s="0" t="str">
        <f aca="false">CONCATENATE(D2099," ",LEFT(H2099,4),"T=",AU2099,"D=",AV2099,"R=",AW2099,"M=",AX2099,"L=",AY2099,"B=",AZ2099)</f>
        <v>ENGELHARDT T=4D=0R=0M=0L=5B=0</v>
      </c>
      <c r="G2099" s="0" t="s">
        <v>1269</v>
      </c>
      <c r="I2099" s="0" t="s">
        <v>9235</v>
      </c>
      <c r="J2099" s="0" t="s">
        <v>1724</v>
      </c>
      <c r="K2099" s="0" t="s">
        <v>160</v>
      </c>
      <c r="L2099" s="0" t="s">
        <v>209</v>
      </c>
      <c r="M2099" s="0" t="s">
        <v>9236</v>
      </c>
      <c r="N2099" s="0" t="str">
        <f aca="false">RIGHT(M2099,LEN(M2099)-FIND(" ",M2099))</f>
        <v>SCOTT ST NE</v>
      </c>
      <c r="P2099" s="0" t="s">
        <v>145</v>
      </c>
      <c r="Q2099" s="0" t="s">
        <v>146</v>
      </c>
      <c r="R2099" s="0" t="n">
        <v>44483</v>
      </c>
      <c r="AD2099" s="0" t="s">
        <v>147</v>
      </c>
      <c r="AE2099" s="0" t="s">
        <v>148</v>
      </c>
      <c r="AF2099" s="0" t="s">
        <v>149</v>
      </c>
      <c r="AH2099" s="0" t="n">
        <v>14</v>
      </c>
      <c r="AI2099" s="0" t="n">
        <v>11</v>
      </c>
      <c r="AN2099" s="0" t="s">
        <v>145</v>
      </c>
      <c r="AO2099" s="0" t="s">
        <v>654</v>
      </c>
      <c r="AP2099" s="0" t="s">
        <v>655</v>
      </c>
      <c r="AQ2099" s="0" t="n">
        <v>9</v>
      </c>
      <c r="AR2099" s="0" t="n">
        <v>64</v>
      </c>
      <c r="AS2099" s="0" t="n">
        <v>32</v>
      </c>
      <c r="AU2099" s="0" t="n">
        <f aca="false">COUNTA($BA$1185:$EH$1185)</f>
        <v>4</v>
      </c>
      <c r="AV2099" s="0" t="n">
        <f aca="false">COUNTIF($BA$1185:$EH$1185,"D")</f>
        <v>0</v>
      </c>
      <c r="AW2099" s="0" t="n">
        <f aca="false">COUNTIF($BA$1185:$EH$1185,"R")</f>
        <v>0</v>
      </c>
      <c r="AX2099" s="0" t="n">
        <f aca="false">IF(BN2099="D",1,0)+IF(BO2099="D",1,0)+IF(BT2099="D",1,0)+IF(BU2099="D",1,0)+IF(BW2099="D",1,0)+IF(CC2099="D",1,0)+IF(CD2099="D",1,0)+IF(CE2099="D",1,0)+IF(CF2099="D",1,0)+IF(CL2099="D",1,0)+IF(CM2099="D",1,0)+IF(CQ2099="D",1,0)+IF(CR2099="D",1,0)+IF(CS2099="D",1,0)+IF(CW2099="D",1,0)+IF(CX2099="D",1,0)+IF(DD2099="D",1,0)+IF(DE2099="D",1,0)+IF(DJ2099="D",1,0)+IF(DK2099="D",1,0)+IF(DO2099="D",1,0)+IF(DP2099="D",1,0)+IF(DQ2099="D",1,0)+IF(DW2099="D",1,0)+IF(DZ2099="D",1,0)+IF(EH2099="D",1,0)</f>
        <v>0</v>
      </c>
      <c r="AY2099" s="0" t="n">
        <f aca="false">COUNTIF(DU2099:EH2099, "&lt;&gt;")</f>
        <v>5</v>
      </c>
      <c r="AZ2099" s="0" t="n">
        <f aca="false">IF(EH2099&lt;&gt;"",1,0)</f>
        <v>0</v>
      </c>
      <c r="BB2099" s="0" t="s">
        <v>152</v>
      </c>
      <c r="BJ2099" s="0" t="s">
        <v>153</v>
      </c>
      <c r="BK2099" s="0" t="s">
        <v>209</v>
      </c>
      <c r="BL2099" s="0" t="s">
        <v>153</v>
      </c>
      <c r="BP2099" s="0" t="s">
        <v>153</v>
      </c>
      <c r="BS2099" s="0" t="s">
        <v>153</v>
      </c>
      <c r="BY2099" s="0" t="s">
        <v>175</v>
      </c>
      <c r="CA2099" s="0" t="s">
        <v>153</v>
      </c>
      <c r="CH2099" s="0" t="s">
        <v>209</v>
      </c>
      <c r="CK2099" s="0" t="s">
        <v>153</v>
      </c>
      <c r="CL2099" s="0" t="s">
        <v>153</v>
      </c>
      <c r="CN2099" s="0" t="s">
        <v>153</v>
      </c>
      <c r="CO2099" s="0" t="s">
        <v>209</v>
      </c>
      <c r="CP2099" s="0" t="s">
        <v>153</v>
      </c>
      <c r="CT2099" s="0" t="s">
        <v>153</v>
      </c>
      <c r="CU2099" s="0" t="s">
        <v>209</v>
      </c>
      <c r="CV2099" s="0" t="s">
        <v>153</v>
      </c>
      <c r="CY2099" s="0" t="s">
        <v>153</v>
      </c>
      <c r="CZ2099" s="0" t="s">
        <v>209</v>
      </c>
      <c r="DC2099" s="0" t="s">
        <v>153</v>
      </c>
      <c r="DF2099" s="0" t="s">
        <v>153</v>
      </c>
      <c r="DG2099" s="0" t="s">
        <v>209</v>
      </c>
      <c r="DI2099" s="0" t="s">
        <v>153</v>
      </c>
      <c r="DJ2099" s="0" t="s">
        <v>209</v>
      </c>
      <c r="DL2099" s="0" t="s">
        <v>153</v>
      </c>
      <c r="DN2099" s="0" t="s">
        <v>153</v>
      </c>
      <c r="DU2099" s="0" t="s">
        <v>153</v>
      </c>
      <c r="DX2099" s="0" t="s">
        <v>153</v>
      </c>
      <c r="EA2099" s="0" t="s">
        <v>153</v>
      </c>
      <c r="ED2099" s="0" t="s">
        <v>209</v>
      </c>
      <c r="EF2099" s="0" t="s">
        <v>153</v>
      </c>
    </row>
    <row r="2100" customFormat="false" ht="13.8" hidden="false" customHeight="false" outlineLevel="0" collapsed="false">
      <c r="A2100" s="0" t="s">
        <v>9237</v>
      </c>
      <c r="B2100" s="0" t="n">
        <v>78</v>
      </c>
      <c r="C2100" s="0" t="n">
        <v>463092</v>
      </c>
      <c r="D2100" s="0" t="s">
        <v>9233</v>
      </c>
      <c r="E2100" s="0" t="s">
        <v>505</v>
      </c>
      <c r="F2100" s="0" t="str">
        <f aca="false">CONCATENATE(D2100," ",LEFT(H2100,4),"T=",AU2100,"D=",AV2100,"R=",AW2100,"M=",AX2100,"L=",AY2100,"B=",AZ2100)</f>
        <v>ENGELHARDT T=1D=0R=0M=0L=6B=1</v>
      </c>
      <c r="G2100" s="0" t="s">
        <v>924</v>
      </c>
      <c r="I2100" s="0" t="s">
        <v>9238</v>
      </c>
      <c r="J2100" s="0" t="s">
        <v>9239</v>
      </c>
      <c r="K2100" s="0" t="s">
        <v>160</v>
      </c>
      <c r="L2100" s="0" t="s">
        <v>209</v>
      </c>
      <c r="M2100" s="0" t="s">
        <v>9236</v>
      </c>
      <c r="N2100" s="0" t="str">
        <f aca="false">RIGHT(M2100,LEN(M2100)-FIND(" ",M2100))</f>
        <v>SCOTT ST NE</v>
      </c>
      <c r="P2100" s="0" t="s">
        <v>145</v>
      </c>
      <c r="Q2100" s="0" t="s">
        <v>146</v>
      </c>
      <c r="R2100" s="0" t="n">
        <v>44483</v>
      </c>
      <c r="AD2100" s="0" t="s">
        <v>147</v>
      </c>
      <c r="AE2100" s="0" t="s">
        <v>148</v>
      </c>
      <c r="AF2100" s="0" t="s">
        <v>149</v>
      </c>
      <c r="AH2100" s="0" t="n">
        <v>14</v>
      </c>
      <c r="AI2100" s="0" t="n">
        <v>11</v>
      </c>
      <c r="AN2100" s="0" t="s">
        <v>145</v>
      </c>
      <c r="AO2100" s="0" t="s">
        <v>654</v>
      </c>
      <c r="AP2100" s="0" t="s">
        <v>655</v>
      </c>
      <c r="AQ2100" s="0" t="n">
        <v>9</v>
      </c>
      <c r="AR2100" s="0" t="n">
        <v>64</v>
      </c>
      <c r="AS2100" s="0" t="n">
        <v>32</v>
      </c>
      <c r="AU2100" s="0" t="n">
        <f aca="false">COUNTA($BA$1581:$EH$1581)</f>
        <v>1</v>
      </c>
      <c r="AV2100" s="0" t="n">
        <f aca="false">COUNTIF($BA$1581:$EH$1581,"D")</f>
        <v>0</v>
      </c>
      <c r="AW2100" s="0" t="n">
        <f aca="false">COUNTIF($BA$1581:$EH$1581,"R")</f>
        <v>0</v>
      </c>
      <c r="AX2100" s="0" t="n">
        <f aca="false">IF(BN2100="D",1,0)+IF(BO2100="D",1,0)+IF(BT2100="D",1,0)+IF(BU2100="D",1,0)+IF(BW2100="D",1,0)+IF(CC2100="D",1,0)+IF(CD2100="D",1,0)+IF(CE2100="D",1,0)+IF(CF2100="D",1,0)+IF(CL2100="D",1,0)+IF(CM2100="D",1,0)+IF(CQ2100="D",1,0)+IF(CR2100="D",1,0)+IF(CS2100="D",1,0)+IF(CW2100="D",1,0)+IF(CX2100="D",1,0)+IF(DD2100="D",1,0)+IF(DE2100="D",1,0)+IF(DJ2100="D",1,0)+IF(DK2100="D",1,0)+IF(DO2100="D",1,0)+IF(DP2100="D",1,0)+IF(DQ2100="D",1,0)+IF(DW2100="D",1,0)+IF(DZ2100="D",1,0)+IF(EH2100="D",1,0)</f>
        <v>0</v>
      </c>
      <c r="AY2100" s="0" t="n">
        <f aca="false">COUNTIF(DU2100:EH2100, "&lt;&gt;")</f>
        <v>6</v>
      </c>
      <c r="AZ2100" s="0" t="n">
        <f aca="false">IF(EH2100&lt;&gt;"",1,0)</f>
        <v>1</v>
      </c>
      <c r="BB2100" s="0" t="s">
        <v>152</v>
      </c>
      <c r="CA2100" s="0" t="s">
        <v>153</v>
      </c>
      <c r="CH2100" s="0" t="s">
        <v>209</v>
      </c>
      <c r="CK2100" s="0" t="s">
        <v>153</v>
      </c>
      <c r="CL2100" s="0" t="s">
        <v>153</v>
      </c>
      <c r="CN2100" s="0" t="s">
        <v>153</v>
      </c>
      <c r="CO2100" s="0" t="s">
        <v>209</v>
      </c>
      <c r="CP2100" s="0" t="s">
        <v>153</v>
      </c>
      <c r="CT2100" s="0" t="s">
        <v>153</v>
      </c>
      <c r="CU2100" s="0" t="s">
        <v>209</v>
      </c>
      <c r="CV2100" s="0" t="s">
        <v>153</v>
      </c>
      <c r="DC2100" s="0" t="s">
        <v>153</v>
      </c>
      <c r="DF2100" s="0" t="s">
        <v>153</v>
      </c>
      <c r="DI2100" s="0" t="s">
        <v>153</v>
      </c>
      <c r="DJ2100" s="0" t="s">
        <v>209</v>
      </c>
      <c r="DL2100" s="0" t="s">
        <v>153</v>
      </c>
      <c r="DN2100" s="0" t="s">
        <v>153</v>
      </c>
      <c r="DO2100" s="0" t="s">
        <v>153</v>
      </c>
      <c r="DU2100" s="0" t="s">
        <v>153</v>
      </c>
      <c r="DX2100" s="0" t="s">
        <v>153</v>
      </c>
      <c r="EA2100" s="0" t="s">
        <v>153</v>
      </c>
      <c r="ED2100" s="0" t="s">
        <v>209</v>
      </c>
      <c r="EF2100" s="0" t="s">
        <v>153</v>
      </c>
      <c r="EH2100" s="0" t="s">
        <v>153</v>
      </c>
    </row>
    <row r="2101" customFormat="false" ht="13.8" hidden="true" customHeight="false" outlineLevel="0" collapsed="false">
      <c r="A2101" s="0" t="s">
        <v>9240</v>
      </c>
      <c r="B2101" s="0" t="n">
        <v>78</v>
      </c>
      <c r="C2101" s="0" t="n">
        <v>444819</v>
      </c>
      <c r="D2101" s="0" t="s">
        <v>3867</v>
      </c>
      <c r="E2101" s="0" t="s">
        <v>9241</v>
      </c>
      <c r="F2101" s="0" t="str">
        <f aca="false">CONCATENATE(D2101," ",LEFT(H2101,4),"T=",AU2101,"D=",AV2101,"R=",AW2101,"M=",AX2101,"L=",AY2101,"B=",AZ2101)</f>
        <v>WEST T=4D=1R=0M=0L=0B=0</v>
      </c>
      <c r="G2101" s="0" t="s">
        <v>763</v>
      </c>
      <c r="I2101" s="0" t="s">
        <v>9242</v>
      </c>
      <c r="J2101" s="0" t="s">
        <v>1670</v>
      </c>
      <c r="K2101" s="0" t="s">
        <v>143</v>
      </c>
      <c r="M2101" s="0" t="s">
        <v>9236</v>
      </c>
      <c r="N2101" s="0" t="str">
        <f aca="false">RIGHT(M2101,LEN(M2101)-FIND(" ",M2101))</f>
        <v>SCOTT ST NE</v>
      </c>
      <c r="P2101" s="0" t="s">
        <v>145</v>
      </c>
      <c r="Q2101" s="0" t="s">
        <v>146</v>
      </c>
      <c r="R2101" s="0" t="n">
        <v>44483</v>
      </c>
      <c r="AD2101" s="0" t="s">
        <v>147</v>
      </c>
      <c r="AE2101" s="0" t="s">
        <v>148</v>
      </c>
      <c r="AF2101" s="0" t="s">
        <v>149</v>
      </c>
      <c r="AH2101" s="0" t="n">
        <v>14</v>
      </c>
      <c r="AI2101" s="0" t="n">
        <v>11</v>
      </c>
      <c r="AN2101" s="0" t="s">
        <v>145</v>
      </c>
      <c r="AO2101" s="0" t="s">
        <v>654</v>
      </c>
      <c r="AP2101" s="0" t="s">
        <v>655</v>
      </c>
      <c r="AQ2101" s="0" t="n">
        <v>9</v>
      </c>
      <c r="AR2101" s="0" t="n">
        <v>64</v>
      </c>
      <c r="AS2101" s="0" t="n">
        <v>32</v>
      </c>
      <c r="AU2101" s="0" t="n">
        <f aca="false">COUNTA($BA$1718:$EH$1718)</f>
        <v>4</v>
      </c>
      <c r="AV2101" s="0" t="n">
        <f aca="false">COUNTIF($BA$1718:$EH$1718,"D")</f>
        <v>1</v>
      </c>
      <c r="AW2101" s="0" t="n">
        <f aca="false">COUNTIF($BA$1718:$EH$1718,"R")</f>
        <v>0</v>
      </c>
      <c r="AX2101" s="0" t="n">
        <f aca="false">IF(BN2101="D",1,0)+IF(BO2101="D",1,0)+IF(BT2101="D",1,0)+IF(BU2101="D",1,0)+IF(BW2101="D",1,0)+IF(CC2101="D",1,0)+IF(CD2101="D",1,0)+IF(CE2101="D",1,0)+IF(CF2101="D",1,0)+IF(CL2101="D",1,0)+IF(CM2101="D",1,0)+IF(CQ2101="D",1,0)+IF(CR2101="D",1,0)+IF(CS2101="D",1,0)+IF(CW2101="D",1,0)+IF(CX2101="D",1,0)+IF(DD2101="D",1,0)+IF(DE2101="D",1,0)+IF(DJ2101="D",1,0)+IF(DK2101="D",1,0)+IF(DO2101="D",1,0)+IF(DP2101="D",1,0)+IF(DQ2101="D",1,0)+IF(DW2101="D",1,0)+IF(DZ2101="D",1,0)+IF(EH2101="D",1,0)</f>
        <v>0</v>
      </c>
      <c r="AY2101" s="0" t="n">
        <f aca="false">COUNTIF(DU2101:EH2101, "&lt;&gt;")</f>
        <v>0</v>
      </c>
      <c r="AZ2101" s="0" t="n">
        <f aca="false">IF(EH2101&lt;&gt;"",1,0)</f>
        <v>0</v>
      </c>
      <c r="BB2101" s="0" t="s">
        <v>152</v>
      </c>
    </row>
    <row r="2102" customFormat="false" ht="13.8" hidden="false" customHeight="false" outlineLevel="0" collapsed="false">
      <c r="A2102" s="0" t="s">
        <v>9243</v>
      </c>
      <c r="B2102" s="0" t="n">
        <v>78</v>
      </c>
      <c r="C2102" s="0" t="n">
        <v>255042</v>
      </c>
      <c r="D2102" s="0" t="s">
        <v>9244</v>
      </c>
      <c r="E2102" s="0" t="s">
        <v>1827</v>
      </c>
      <c r="F2102" s="0" t="str">
        <f aca="false">CONCATENATE(D2102," ",LEFT(H2102,4),"T=",AU2102,"D=",AV2102,"R=",AW2102,"M=",AX2102,"L=",AY2102,"B=",AZ2102)</f>
        <v>MCCOMBS CUMMINGS T=14D=1R=0M=0L=2B=0</v>
      </c>
      <c r="I2102" s="0" t="s">
        <v>9245</v>
      </c>
      <c r="J2102" s="0" t="s">
        <v>9246</v>
      </c>
      <c r="K2102" s="0" t="s">
        <v>160</v>
      </c>
      <c r="M2102" s="0" t="s">
        <v>9247</v>
      </c>
      <c r="N2102" s="0" t="str">
        <f aca="false">RIGHT(M2102,LEN(M2102)-FIND(" ",M2102))</f>
        <v>SCOTT ST NE</v>
      </c>
      <c r="O2102" s="0" t="s">
        <v>2211</v>
      </c>
      <c r="P2102" s="0" t="s">
        <v>145</v>
      </c>
      <c r="Q2102" s="0" t="s">
        <v>146</v>
      </c>
      <c r="R2102" s="0" t="n">
        <v>44483</v>
      </c>
      <c r="AD2102" s="0" t="s">
        <v>147</v>
      </c>
      <c r="AE2102" s="0" t="s">
        <v>148</v>
      </c>
      <c r="AF2102" s="0" t="s">
        <v>149</v>
      </c>
      <c r="AH2102" s="0" t="n">
        <v>14</v>
      </c>
      <c r="AI2102" s="0" t="n">
        <v>11</v>
      </c>
      <c r="AN2102" s="0" t="s">
        <v>145</v>
      </c>
      <c r="AO2102" s="0" t="s">
        <v>654</v>
      </c>
      <c r="AP2102" s="0" t="s">
        <v>655</v>
      </c>
      <c r="AQ2102" s="0" t="n">
        <v>9</v>
      </c>
      <c r="AR2102" s="0" t="n">
        <v>64</v>
      </c>
      <c r="AS2102" s="0" t="n">
        <v>32</v>
      </c>
      <c r="AU2102" s="0" t="n">
        <f aca="false">COUNTA($BA$1176:$EH$1176)</f>
        <v>14</v>
      </c>
      <c r="AV2102" s="0" t="n">
        <f aca="false">COUNTIF($BA$1176:$EH$1176,"D")</f>
        <v>1</v>
      </c>
      <c r="AW2102" s="0" t="n">
        <f aca="false">COUNTIF($BA$1176:$EH$1176,"R")</f>
        <v>0</v>
      </c>
      <c r="AX2102" s="0" t="n">
        <f aca="false">IF(BN2102="D",1,0)+IF(BO2102="D",1,0)+IF(BT2102="D",1,0)+IF(BU2102="D",1,0)+IF(BW2102="D",1,0)+IF(CC2102="D",1,0)+IF(CD2102="D",1,0)+IF(CE2102="D",1,0)+IF(CF2102="D",1,0)+IF(CL2102="D",1,0)+IF(CM2102="D",1,0)+IF(CQ2102="D",1,0)+IF(CR2102="D",1,0)+IF(CS2102="D",1,0)+IF(CW2102="D",1,0)+IF(CX2102="D",1,0)+IF(DD2102="D",1,0)+IF(DE2102="D",1,0)+IF(DJ2102="D",1,0)+IF(DK2102="D",1,0)+IF(DO2102="D",1,0)+IF(DP2102="D",1,0)+IF(DQ2102="D",1,0)+IF(DW2102="D",1,0)+IF(DZ2102="D",1,0)+IF(EH2102="D",1,0)</f>
        <v>0</v>
      </c>
      <c r="AY2102" s="0" t="n">
        <f aca="false">COUNTIF(DU2102:EH2102, "&lt;&gt;")</f>
        <v>2</v>
      </c>
      <c r="AZ2102" s="0" t="n">
        <f aca="false">IF(EH2102&lt;&gt;"",1,0)</f>
        <v>0</v>
      </c>
      <c r="BB2102" s="0" t="s">
        <v>152</v>
      </c>
      <c r="BC2102" s="0" t="s">
        <v>153</v>
      </c>
      <c r="BD2102" s="0" t="s">
        <v>153</v>
      </c>
      <c r="BI2102" s="0" t="s">
        <v>153</v>
      </c>
      <c r="BL2102" s="0" t="s">
        <v>153</v>
      </c>
      <c r="CA2102" s="0" t="s">
        <v>153</v>
      </c>
      <c r="CK2102" s="0" t="s">
        <v>153</v>
      </c>
      <c r="CN2102" s="0" t="s">
        <v>153</v>
      </c>
      <c r="CP2102" s="0" t="s">
        <v>153</v>
      </c>
      <c r="CY2102" s="0" t="s">
        <v>153</v>
      </c>
      <c r="DF2102" s="0" t="s">
        <v>153</v>
      </c>
      <c r="DI2102" s="0" t="s">
        <v>153</v>
      </c>
      <c r="DM2102" s="0" t="s">
        <v>209</v>
      </c>
      <c r="DN2102" s="0" t="s">
        <v>153</v>
      </c>
      <c r="EA2102" s="0" t="s">
        <v>153</v>
      </c>
      <c r="EF2102" s="0" t="s">
        <v>153</v>
      </c>
    </row>
    <row r="2103" customFormat="false" ht="13.8" hidden="true" customHeight="false" outlineLevel="0" collapsed="false">
      <c r="A2103" s="0" t="s">
        <v>9248</v>
      </c>
      <c r="B2103" s="0" t="n">
        <v>78</v>
      </c>
      <c r="C2103" s="0" t="n">
        <v>488318</v>
      </c>
      <c r="D2103" s="0" t="s">
        <v>8186</v>
      </c>
      <c r="E2103" s="0" t="s">
        <v>9249</v>
      </c>
      <c r="F2103" s="0" t="str">
        <f aca="false">CONCATENATE(D2103," ",LEFT(H2103,4),"T=",AU2103,"D=",AV2103,"R=",AW2103,"M=",AX2103,"L=",AY2103,"B=",AZ2103)</f>
        <v>HURST T=6D=0R=0M=0L=1B=0</v>
      </c>
      <c r="G2103" s="0" t="s">
        <v>164</v>
      </c>
      <c r="I2103" s="0" t="s">
        <v>9250</v>
      </c>
      <c r="J2103" s="0" t="s">
        <v>3322</v>
      </c>
      <c r="K2103" s="0" t="s">
        <v>160</v>
      </c>
      <c r="M2103" s="0" t="s">
        <v>9247</v>
      </c>
      <c r="N2103" s="0" t="str">
        <f aca="false">RIGHT(M2103,LEN(M2103)-FIND(" ",M2103))</f>
        <v>SCOTT ST NE</v>
      </c>
      <c r="O2103" s="0" t="s">
        <v>868</v>
      </c>
      <c r="P2103" s="0" t="s">
        <v>145</v>
      </c>
      <c r="Q2103" s="0" t="s">
        <v>146</v>
      </c>
      <c r="R2103" s="0" t="n">
        <v>44483</v>
      </c>
      <c r="AD2103" s="0" t="s">
        <v>147</v>
      </c>
      <c r="AE2103" s="0" t="s">
        <v>148</v>
      </c>
      <c r="AF2103" s="0" t="s">
        <v>149</v>
      </c>
      <c r="AH2103" s="0" t="n">
        <v>14</v>
      </c>
      <c r="AI2103" s="0" t="n">
        <v>11</v>
      </c>
      <c r="AN2103" s="0" t="s">
        <v>145</v>
      </c>
      <c r="AO2103" s="0" t="s">
        <v>654</v>
      </c>
      <c r="AP2103" s="0" t="s">
        <v>655</v>
      </c>
      <c r="AQ2103" s="0" t="n">
        <v>9</v>
      </c>
      <c r="AR2103" s="0" t="n">
        <v>64</v>
      </c>
      <c r="AS2103" s="0" t="n">
        <v>32</v>
      </c>
      <c r="AU2103" s="0" t="n">
        <f aca="false">COUNTA($BA$1261:$EH$1261)</f>
        <v>6</v>
      </c>
      <c r="AV2103" s="0" t="n">
        <f aca="false">COUNTIF($BA$1261:$EH$1261,"D")</f>
        <v>0</v>
      </c>
      <c r="AW2103" s="0" t="n">
        <f aca="false">COUNTIF($BA$1261:$EH$1261,"R")</f>
        <v>0</v>
      </c>
      <c r="AX2103" s="0" t="n">
        <f aca="false">IF(BN2103="D",1,0)+IF(BO2103="D",1,0)+IF(BT2103="D",1,0)+IF(BU2103="D",1,0)+IF(BW2103="D",1,0)+IF(CC2103="D",1,0)+IF(CD2103="D",1,0)+IF(CE2103="D",1,0)+IF(CF2103="D",1,0)+IF(CL2103="D",1,0)+IF(CM2103="D",1,0)+IF(CQ2103="D",1,0)+IF(CR2103="D",1,0)+IF(CS2103="D",1,0)+IF(CW2103="D",1,0)+IF(CX2103="D",1,0)+IF(DD2103="D",1,0)+IF(DE2103="D",1,0)+IF(DJ2103="D",1,0)+IF(DK2103="D",1,0)+IF(DO2103="D",1,0)+IF(DP2103="D",1,0)+IF(DQ2103="D",1,0)+IF(DW2103="D",1,0)+IF(DZ2103="D",1,0)+IF(EH2103="D",1,0)</f>
        <v>0</v>
      </c>
      <c r="AY2103" s="0" t="n">
        <f aca="false">COUNTIF(DU2103:EH2103, "&lt;&gt;")</f>
        <v>1</v>
      </c>
      <c r="AZ2103" s="0" t="n">
        <f aca="false">IF(EH2103&lt;&gt;"",1,0)</f>
        <v>0</v>
      </c>
      <c r="BB2103" s="0" t="s">
        <v>152</v>
      </c>
      <c r="EF2103" s="0" t="s">
        <v>153</v>
      </c>
    </row>
    <row r="2104" customFormat="false" ht="13.8" hidden="false" customHeight="false" outlineLevel="0" collapsed="false">
      <c r="A2104" s="0" t="s">
        <v>9251</v>
      </c>
      <c r="B2104" s="0" t="n">
        <v>78</v>
      </c>
      <c r="C2104" s="0" t="n">
        <v>242417</v>
      </c>
      <c r="D2104" s="0" t="s">
        <v>9252</v>
      </c>
      <c r="E2104" s="0" t="s">
        <v>7808</v>
      </c>
      <c r="F2104" s="0" t="str">
        <f aca="false">CONCATENATE(D2104," ",LEFT(H2104,4),"T=",AU2104,"D=",AV2104,"R=",AW2104,"M=",AX2104,"L=",AY2104,"B=",AZ2104)</f>
        <v>ANSMAN T=7D=0R=0M=2L=6B=1</v>
      </c>
      <c r="G2104" s="0" t="s">
        <v>195</v>
      </c>
      <c r="I2104" s="0" t="s">
        <v>9253</v>
      </c>
      <c r="J2104" s="0" t="s">
        <v>9254</v>
      </c>
      <c r="K2104" s="0" t="s">
        <v>160</v>
      </c>
      <c r="L2104" s="0" t="s">
        <v>175</v>
      </c>
      <c r="M2104" s="0" t="s">
        <v>9247</v>
      </c>
      <c r="N2104" s="0" t="str">
        <f aca="false">RIGHT(M2104,LEN(M2104)-FIND(" ",M2104))</f>
        <v>SCOTT ST NE</v>
      </c>
      <c r="O2104" s="0" t="s">
        <v>868</v>
      </c>
      <c r="P2104" s="0" t="s">
        <v>145</v>
      </c>
      <c r="Q2104" s="0" t="s">
        <v>146</v>
      </c>
      <c r="R2104" s="0" t="n">
        <v>44483</v>
      </c>
      <c r="AD2104" s="0" t="s">
        <v>147</v>
      </c>
      <c r="AE2104" s="0" t="s">
        <v>148</v>
      </c>
      <c r="AF2104" s="0" t="s">
        <v>149</v>
      </c>
      <c r="AH2104" s="0" t="n">
        <v>14</v>
      </c>
      <c r="AI2104" s="0" t="n">
        <v>11</v>
      </c>
      <c r="AN2104" s="0" t="s">
        <v>145</v>
      </c>
      <c r="AO2104" s="0" t="s">
        <v>654</v>
      </c>
      <c r="AP2104" s="0" t="s">
        <v>655</v>
      </c>
      <c r="AQ2104" s="0" t="n">
        <v>9</v>
      </c>
      <c r="AR2104" s="0" t="n">
        <v>64</v>
      </c>
      <c r="AS2104" s="0" t="n">
        <v>32</v>
      </c>
      <c r="AU2104" s="0" t="n">
        <f aca="false">COUNTA($BA$1794:$EH$1794)</f>
        <v>7</v>
      </c>
      <c r="AV2104" s="0" t="n">
        <f aca="false">COUNTIF($BA$1794:$EH$1794,"D")</f>
        <v>0</v>
      </c>
      <c r="AW2104" s="0" t="n">
        <f aca="false">COUNTIF($BA$1794:$EH$1794,"R")</f>
        <v>0</v>
      </c>
      <c r="AX2104" s="0" t="n">
        <f aca="false">IF(BN2104="D",1,0)+IF(BO2104="D",1,0)+IF(BT2104="D",1,0)+IF(BU2104="D",1,0)+IF(BW2104="D",1,0)+IF(CC2104="D",1,0)+IF(CD2104="D",1,0)+IF(CE2104="D",1,0)+IF(CF2104="D",1,0)+IF(CL2104="D",1,0)+IF(CM2104="D",1,0)+IF(CQ2104="D",1,0)+IF(CR2104="D",1,0)+IF(CS2104="D",1,0)+IF(CW2104="D",1,0)+IF(CX2104="D",1,0)+IF(DD2104="D",1,0)+IF(DE2104="D",1,0)+IF(DJ2104="D",1,0)+IF(DK2104="D",1,0)+IF(DO2104="D",1,0)+IF(DP2104="D",1,0)+IF(DQ2104="D",1,0)+IF(DW2104="D",1,0)+IF(DZ2104="D",1,0)+IF(EH2104="D",1,0)</f>
        <v>2</v>
      </c>
      <c r="AY2104" s="0" t="n">
        <f aca="false">COUNTIF(DU2104:EH2104, "&lt;&gt;")</f>
        <v>6</v>
      </c>
      <c r="AZ2104" s="0" t="n">
        <f aca="false">IF(EH2104&lt;&gt;"",1,0)</f>
        <v>1</v>
      </c>
      <c r="BB2104" s="0" t="s">
        <v>152</v>
      </c>
      <c r="BD2104" s="0" t="s">
        <v>153</v>
      </c>
      <c r="BF2104" s="0" t="s">
        <v>153</v>
      </c>
      <c r="BG2104" s="0" t="s">
        <v>153</v>
      </c>
      <c r="BH2104" s="0" t="s">
        <v>153</v>
      </c>
      <c r="BI2104" s="0" t="s">
        <v>153</v>
      </c>
      <c r="BJ2104" s="0" t="s">
        <v>153</v>
      </c>
      <c r="BK2104" s="0" t="s">
        <v>153</v>
      </c>
      <c r="BL2104" s="0" t="s">
        <v>153</v>
      </c>
      <c r="BP2104" s="0" t="s">
        <v>153</v>
      </c>
      <c r="BV2104" s="0" t="s">
        <v>153</v>
      </c>
      <c r="BY2104" s="0" t="s">
        <v>175</v>
      </c>
      <c r="CA2104" s="0" t="s">
        <v>153</v>
      </c>
      <c r="CG2104" s="0" t="s">
        <v>153</v>
      </c>
      <c r="CH2104" s="0" t="s">
        <v>175</v>
      </c>
      <c r="CK2104" s="0" t="s">
        <v>153</v>
      </c>
      <c r="CL2104" s="0" t="s">
        <v>175</v>
      </c>
      <c r="CN2104" s="0" t="s">
        <v>153</v>
      </c>
      <c r="CO2104" s="0" t="s">
        <v>175</v>
      </c>
      <c r="CP2104" s="0" t="s">
        <v>153</v>
      </c>
      <c r="CV2104" s="0" t="s">
        <v>153</v>
      </c>
      <c r="CY2104" s="0" t="s">
        <v>153</v>
      </c>
      <c r="CZ2104" s="0" t="s">
        <v>209</v>
      </c>
      <c r="DC2104" s="0" t="s">
        <v>153</v>
      </c>
      <c r="DN2104" s="0" t="s">
        <v>153</v>
      </c>
      <c r="DS2104" s="0" t="s">
        <v>209</v>
      </c>
      <c r="DT2104" s="0" t="s">
        <v>209</v>
      </c>
      <c r="DU2104" s="0" t="s">
        <v>153</v>
      </c>
      <c r="DW2104" s="0" t="s">
        <v>175</v>
      </c>
      <c r="DX2104" s="0" t="s">
        <v>153</v>
      </c>
      <c r="EA2104" s="0" t="s">
        <v>153</v>
      </c>
      <c r="EF2104" s="0" t="s">
        <v>153</v>
      </c>
      <c r="EH2104" s="0" t="s">
        <v>153</v>
      </c>
    </row>
    <row r="2105" customFormat="false" ht="13.8" hidden="true" customHeight="false" outlineLevel="0" collapsed="false">
      <c r="A2105" s="0" t="s">
        <v>9255</v>
      </c>
      <c r="B2105" s="0" t="n">
        <v>78</v>
      </c>
      <c r="C2105" s="0" t="n">
        <v>397537</v>
      </c>
      <c r="D2105" s="0" t="s">
        <v>6060</v>
      </c>
      <c r="E2105" s="0" t="s">
        <v>3901</v>
      </c>
      <c r="F2105" s="0" t="str">
        <f aca="false">CONCATENATE(D2105," ",LEFT(H2105,4),"T=",AU2105,"D=",AV2105,"R=",AW2105,"M=",AX2105,"L=",AY2105,"B=",AZ2105)</f>
        <v>CUMMINGS T=3D=0R=0M=0L=0B=0</v>
      </c>
      <c r="G2105" s="0" t="s">
        <v>190</v>
      </c>
      <c r="I2105" s="0" t="s">
        <v>9256</v>
      </c>
      <c r="J2105" s="0" t="s">
        <v>693</v>
      </c>
      <c r="K2105" s="0" t="s">
        <v>160</v>
      </c>
      <c r="M2105" s="0" t="s">
        <v>9247</v>
      </c>
      <c r="N2105" s="0" t="str">
        <f aca="false">RIGHT(M2105,LEN(M2105)-FIND(" ",M2105))</f>
        <v>SCOTT ST NE</v>
      </c>
      <c r="O2105" s="0" t="s">
        <v>2211</v>
      </c>
      <c r="P2105" s="0" t="s">
        <v>145</v>
      </c>
      <c r="Q2105" s="0" t="s">
        <v>146</v>
      </c>
      <c r="R2105" s="0" t="n">
        <v>44483</v>
      </c>
      <c r="AD2105" s="0" t="s">
        <v>147</v>
      </c>
      <c r="AE2105" s="0" t="s">
        <v>148</v>
      </c>
      <c r="AF2105" s="0" t="s">
        <v>149</v>
      </c>
      <c r="AH2105" s="0" t="n">
        <v>14</v>
      </c>
      <c r="AI2105" s="0" t="n">
        <v>11</v>
      </c>
      <c r="AN2105" s="0" t="s">
        <v>145</v>
      </c>
      <c r="AO2105" s="0" t="s">
        <v>654</v>
      </c>
      <c r="AP2105" s="0" t="s">
        <v>655</v>
      </c>
      <c r="AQ2105" s="0" t="n">
        <v>9</v>
      </c>
      <c r="AR2105" s="0" t="n">
        <v>64</v>
      </c>
      <c r="AS2105" s="0" t="n">
        <v>32</v>
      </c>
      <c r="AU2105" s="0" t="n">
        <f aca="false">COUNTA($BA$1870:$EH$1870)</f>
        <v>3</v>
      </c>
      <c r="AV2105" s="0" t="n">
        <f aca="false">COUNTIF($BA$1870:$EH$1870,"D")</f>
        <v>0</v>
      </c>
      <c r="AW2105" s="0" t="n">
        <f aca="false">COUNTIF($BA$1870:$EH$1870,"R")</f>
        <v>0</v>
      </c>
      <c r="AX2105" s="0" t="n">
        <f aca="false">IF(BN2105="D",1,0)+IF(BO2105="D",1,0)+IF(BT2105="D",1,0)+IF(BU2105="D",1,0)+IF(BW2105="D",1,0)+IF(CC2105="D",1,0)+IF(CD2105="D",1,0)+IF(CE2105="D",1,0)+IF(CF2105="D",1,0)+IF(CL2105="D",1,0)+IF(CM2105="D",1,0)+IF(CQ2105="D",1,0)+IF(CR2105="D",1,0)+IF(CS2105="D",1,0)+IF(CW2105="D",1,0)+IF(CX2105="D",1,0)+IF(DD2105="D",1,0)+IF(DE2105="D",1,0)+IF(DJ2105="D",1,0)+IF(DK2105="D",1,0)+IF(DO2105="D",1,0)+IF(DP2105="D",1,0)+IF(DQ2105="D",1,0)+IF(DW2105="D",1,0)+IF(DZ2105="D",1,0)+IF(EH2105="D",1,0)</f>
        <v>0</v>
      </c>
      <c r="AY2105" s="0" t="n">
        <f aca="false">COUNTIF(DU2105:EH2105, "&lt;&gt;")</f>
        <v>0</v>
      </c>
      <c r="AZ2105" s="0" t="n">
        <f aca="false">IF(EH2105&lt;&gt;"",1,0)</f>
        <v>0</v>
      </c>
      <c r="BB2105" s="0" t="s">
        <v>152</v>
      </c>
    </row>
    <row r="2106" customFormat="false" ht="13.8" hidden="true" customHeight="false" outlineLevel="0" collapsed="false">
      <c r="A2106" s="0" t="s">
        <v>9257</v>
      </c>
      <c r="B2106" s="0" t="n">
        <v>78</v>
      </c>
      <c r="C2106" s="0" t="n">
        <v>363303</v>
      </c>
      <c r="D2106" s="0" t="s">
        <v>3193</v>
      </c>
      <c r="E2106" s="0" t="s">
        <v>1451</v>
      </c>
      <c r="F2106" s="0" t="str">
        <f aca="false">CONCATENATE(D2106," ",LEFT(H2106,4),"T=",AU2106,"D=",AV2106,"R=",AW2106,"M=",AX2106,"L=",AY2106,"B=",AZ2106)</f>
        <v>CARTER T=1D=0R=0M=0L=0B=0</v>
      </c>
      <c r="G2106" s="0" t="s">
        <v>209</v>
      </c>
      <c r="I2106" s="0" t="s">
        <v>9121</v>
      </c>
      <c r="J2106" s="0" t="s">
        <v>9258</v>
      </c>
      <c r="K2106" s="0" t="s">
        <v>143</v>
      </c>
      <c r="M2106" s="0" t="s">
        <v>9259</v>
      </c>
      <c r="N2106" s="0" t="str">
        <f aca="false">RIGHT(M2106,LEN(M2106)-FIND(" ",M2106))</f>
        <v>SCOTT ST NE</v>
      </c>
      <c r="P2106" s="0" t="s">
        <v>145</v>
      </c>
      <c r="Q2106" s="0" t="s">
        <v>146</v>
      </c>
      <c r="R2106" s="0" t="n">
        <v>44483</v>
      </c>
      <c r="AD2106" s="0" t="s">
        <v>147</v>
      </c>
      <c r="AE2106" s="0" t="s">
        <v>148</v>
      </c>
      <c r="AF2106" s="0" t="s">
        <v>149</v>
      </c>
      <c r="AH2106" s="0" t="n">
        <v>14</v>
      </c>
      <c r="AI2106" s="0" t="n">
        <v>11</v>
      </c>
      <c r="AN2106" s="0" t="s">
        <v>145</v>
      </c>
      <c r="AO2106" s="0" t="s">
        <v>654</v>
      </c>
      <c r="AP2106" s="0" t="s">
        <v>655</v>
      </c>
      <c r="AQ2106" s="0" t="n">
        <v>9</v>
      </c>
      <c r="AR2106" s="0" t="n">
        <v>64</v>
      </c>
      <c r="AS2106" s="0" t="n">
        <v>32</v>
      </c>
      <c r="AU2106" s="0" t="n">
        <f aca="false">COUNTA($BA$1193:$EH$1193)</f>
        <v>1</v>
      </c>
      <c r="AV2106" s="0" t="n">
        <f aca="false">COUNTIF($BA$1193:$EH$1193,"D")</f>
        <v>0</v>
      </c>
      <c r="AW2106" s="0" t="n">
        <f aca="false">COUNTIF($BA$1193:$EH$1193,"R")</f>
        <v>0</v>
      </c>
      <c r="AX2106" s="0" t="n">
        <f aca="false">IF(BN2106="D",1,0)+IF(BO2106="D",1,0)+IF(BT2106="D",1,0)+IF(BU2106="D",1,0)+IF(BW2106="D",1,0)+IF(CC2106="D",1,0)+IF(CD2106="D",1,0)+IF(CE2106="D",1,0)+IF(CF2106="D",1,0)+IF(CL2106="D",1,0)+IF(CM2106="D",1,0)+IF(CQ2106="D",1,0)+IF(CR2106="D",1,0)+IF(CS2106="D",1,0)+IF(CW2106="D",1,0)+IF(CX2106="D",1,0)+IF(DD2106="D",1,0)+IF(DE2106="D",1,0)+IF(DJ2106="D",1,0)+IF(DK2106="D",1,0)+IF(DO2106="D",1,0)+IF(DP2106="D",1,0)+IF(DQ2106="D",1,0)+IF(DW2106="D",1,0)+IF(DZ2106="D",1,0)+IF(EH2106="D",1,0)</f>
        <v>0</v>
      </c>
      <c r="AY2106" s="0" t="n">
        <f aca="false">COUNTIF(DU2106:EH2106, "&lt;&gt;")</f>
        <v>0</v>
      </c>
      <c r="AZ2106" s="0" t="n">
        <f aca="false">IF(EH2106&lt;&gt;"",1,0)</f>
        <v>0</v>
      </c>
      <c r="BB2106" s="0" t="s">
        <v>152</v>
      </c>
      <c r="CA2106" s="0" t="s">
        <v>153</v>
      </c>
    </row>
    <row r="2107" customFormat="false" ht="13.8" hidden="true" customHeight="false" outlineLevel="0" collapsed="false">
      <c r="A2107" s="0" t="s">
        <v>9260</v>
      </c>
      <c r="B2107" s="0" t="n">
        <v>78</v>
      </c>
      <c r="C2107" s="0" t="n">
        <v>475888</v>
      </c>
      <c r="D2107" s="0" t="s">
        <v>9261</v>
      </c>
      <c r="E2107" s="0" t="s">
        <v>9262</v>
      </c>
      <c r="F2107" s="0" t="str">
        <f aca="false">CONCATENATE(D2107," ",LEFT(H2107,4),"T=",AU2107,"D=",AV2107,"R=",AW2107,"M=",AX2107,"L=",AY2107,"B=",AZ2107)</f>
        <v>LUCIANO T=2D=0R=0M=0L=0B=0</v>
      </c>
      <c r="G2107" s="0" t="s">
        <v>195</v>
      </c>
      <c r="I2107" s="0" t="s">
        <v>9263</v>
      </c>
      <c r="J2107" s="0" t="s">
        <v>4315</v>
      </c>
      <c r="K2107" s="0" t="s">
        <v>160</v>
      </c>
      <c r="M2107" s="0" t="s">
        <v>9259</v>
      </c>
      <c r="N2107" s="0" t="str">
        <f aca="false">RIGHT(M2107,LEN(M2107)-FIND(" ",M2107))</f>
        <v>SCOTT ST NE</v>
      </c>
      <c r="O2107" s="0" t="s">
        <v>868</v>
      </c>
      <c r="P2107" s="0" t="s">
        <v>145</v>
      </c>
      <c r="Q2107" s="0" t="s">
        <v>146</v>
      </c>
      <c r="R2107" s="0" t="n">
        <v>44483</v>
      </c>
      <c r="AD2107" s="0" t="s">
        <v>147</v>
      </c>
      <c r="AE2107" s="0" t="s">
        <v>148</v>
      </c>
      <c r="AF2107" s="0" t="s">
        <v>149</v>
      </c>
      <c r="AH2107" s="0" t="n">
        <v>14</v>
      </c>
      <c r="AI2107" s="0" t="n">
        <v>11</v>
      </c>
      <c r="AN2107" s="0" t="s">
        <v>145</v>
      </c>
      <c r="AO2107" s="0" t="s">
        <v>654</v>
      </c>
      <c r="AP2107" s="0" t="s">
        <v>655</v>
      </c>
      <c r="AQ2107" s="0" t="n">
        <v>9</v>
      </c>
      <c r="AR2107" s="0" t="n">
        <v>64</v>
      </c>
      <c r="AS2107" s="0" t="n">
        <v>32</v>
      </c>
      <c r="AU2107" s="0" t="n">
        <f aca="false">COUNTA($BA$1325:$EH$1325)</f>
        <v>2</v>
      </c>
      <c r="AV2107" s="0" t="n">
        <f aca="false">COUNTIF($BA$1325:$EH$1325,"D")</f>
        <v>0</v>
      </c>
      <c r="AW2107" s="0" t="n">
        <f aca="false">COUNTIF($BA$1325:$EH$1325,"R")</f>
        <v>0</v>
      </c>
      <c r="AX2107" s="0" t="n">
        <f aca="false">IF(BN2107="D",1,0)+IF(BO2107="D",1,0)+IF(BT2107="D",1,0)+IF(BU2107="D",1,0)+IF(BW2107="D",1,0)+IF(CC2107="D",1,0)+IF(CD2107="D",1,0)+IF(CE2107="D",1,0)+IF(CF2107="D",1,0)+IF(CL2107="D",1,0)+IF(CM2107="D",1,0)+IF(CQ2107="D",1,0)+IF(CR2107="D",1,0)+IF(CS2107="D",1,0)+IF(CW2107="D",1,0)+IF(CX2107="D",1,0)+IF(DD2107="D",1,0)+IF(DE2107="D",1,0)+IF(DJ2107="D",1,0)+IF(DK2107="D",1,0)+IF(DO2107="D",1,0)+IF(DP2107="D",1,0)+IF(DQ2107="D",1,0)+IF(DW2107="D",1,0)+IF(DZ2107="D",1,0)+IF(EH2107="D",1,0)</f>
        <v>0</v>
      </c>
      <c r="AY2107" s="0" t="n">
        <f aca="false">COUNTIF(DU2107:EH2107, "&lt;&gt;")</f>
        <v>0</v>
      </c>
      <c r="AZ2107" s="0" t="n">
        <f aca="false">IF(EH2107&lt;&gt;"",1,0)</f>
        <v>0</v>
      </c>
      <c r="BB2107" s="0" t="s">
        <v>152</v>
      </c>
    </row>
    <row r="2108" customFormat="false" ht="13.8" hidden="true" customHeight="false" outlineLevel="0" collapsed="false">
      <c r="A2108" s="0" t="s">
        <v>9264</v>
      </c>
      <c r="B2108" s="0" t="n">
        <v>78</v>
      </c>
      <c r="C2108" s="0" t="n">
        <v>465444</v>
      </c>
      <c r="D2108" s="0" t="s">
        <v>761</v>
      </c>
      <c r="E2108" s="0" t="s">
        <v>9265</v>
      </c>
      <c r="F2108" s="0" t="str">
        <f aca="false">CONCATENATE(D2108," ",LEFT(H2108,4),"T=",AU2108,"D=",AV2108,"R=",AW2108,"M=",AX2108,"L=",AY2108,"B=",AZ2108)</f>
        <v>BROWN T=4D=0R=0M=0L=0B=0</v>
      </c>
      <c r="G2108" s="0" t="s">
        <v>9266</v>
      </c>
      <c r="I2108" s="0" t="s">
        <v>9267</v>
      </c>
      <c r="J2108" s="0" t="s">
        <v>197</v>
      </c>
      <c r="K2108" s="0" t="s">
        <v>160</v>
      </c>
      <c r="M2108" s="0" t="s">
        <v>9259</v>
      </c>
      <c r="N2108" s="0" t="str">
        <f aca="false">RIGHT(M2108,LEN(M2108)-FIND(" ",M2108))</f>
        <v>SCOTT ST NE</v>
      </c>
      <c r="O2108" s="0" t="s">
        <v>7403</v>
      </c>
      <c r="P2108" s="0" t="s">
        <v>145</v>
      </c>
      <c r="Q2108" s="0" t="s">
        <v>146</v>
      </c>
      <c r="R2108" s="0" t="n">
        <v>44483</v>
      </c>
      <c r="AD2108" s="0" t="s">
        <v>147</v>
      </c>
      <c r="AE2108" s="0" t="s">
        <v>148</v>
      </c>
      <c r="AF2108" s="0" t="s">
        <v>149</v>
      </c>
      <c r="AH2108" s="0" t="n">
        <v>14</v>
      </c>
      <c r="AI2108" s="0" t="n">
        <v>11</v>
      </c>
      <c r="AN2108" s="0" t="s">
        <v>145</v>
      </c>
      <c r="AO2108" s="0" t="s">
        <v>654</v>
      </c>
      <c r="AP2108" s="0" t="s">
        <v>655</v>
      </c>
      <c r="AQ2108" s="0" t="n">
        <v>9</v>
      </c>
      <c r="AR2108" s="0" t="n">
        <v>64</v>
      </c>
      <c r="AS2108" s="0" t="n">
        <v>32</v>
      </c>
      <c r="AU2108" s="0" t="n">
        <f aca="false">COUNTA($BA$1329:$EH$1329)</f>
        <v>4</v>
      </c>
      <c r="AV2108" s="0" t="n">
        <f aca="false">COUNTIF($BA$1329:$EH$1329,"D")</f>
        <v>0</v>
      </c>
      <c r="AW2108" s="0" t="n">
        <f aca="false">COUNTIF($BA$1329:$EH$1329,"R")</f>
        <v>0</v>
      </c>
      <c r="AX2108" s="0" t="n">
        <f aca="false">IF(BN2108="D",1,0)+IF(BO2108="D",1,0)+IF(BT2108="D",1,0)+IF(BU2108="D",1,0)+IF(BW2108="D",1,0)+IF(CC2108="D",1,0)+IF(CD2108="D",1,0)+IF(CE2108="D",1,0)+IF(CF2108="D",1,0)+IF(CL2108="D",1,0)+IF(CM2108="D",1,0)+IF(CQ2108="D",1,0)+IF(CR2108="D",1,0)+IF(CS2108="D",1,0)+IF(CW2108="D",1,0)+IF(CX2108="D",1,0)+IF(DD2108="D",1,0)+IF(DE2108="D",1,0)+IF(DJ2108="D",1,0)+IF(DK2108="D",1,0)+IF(DO2108="D",1,0)+IF(DP2108="D",1,0)+IF(DQ2108="D",1,0)+IF(DW2108="D",1,0)+IF(DZ2108="D",1,0)+IF(EH2108="D",1,0)</f>
        <v>0</v>
      </c>
      <c r="AY2108" s="0" t="n">
        <f aca="false">COUNTIF(DU2108:EH2108, "&lt;&gt;")</f>
        <v>0</v>
      </c>
      <c r="AZ2108" s="0" t="n">
        <f aca="false">IF(EH2108&lt;&gt;"",1,0)</f>
        <v>0</v>
      </c>
      <c r="BB2108" s="0" t="s">
        <v>152</v>
      </c>
    </row>
    <row r="2109" customFormat="false" ht="13.8" hidden="true" customHeight="false" outlineLevel="0" collapsed="false">
      <c r="A2109" s="0" t="s">
        <v>9268</v>
      </c>
      <c r="B2109" s="0" t="n">
        <v>78</v>
      </c>
      <c r="C2109" s="0" t="n">
        <v>487887</v>
      </c>
      <c r="D2109" s="0" t="s">
        <v>9269</v>
      </c>
      <c r="E2109" s="0" t="s">
        <v>9270</v>
      </c>
      <c r="F2109" s="0" t="str">
        <f aca="false">CONCATENATE(D2109," ",LEFT(H2109,4),"T=",AU2109,"D=",AV2109,"R=",AW2109,"M=",AX2109,"L=",AY2109,"B=",AZ2109)</f>
        <v>SOLOMON T=1D=0R=0M=0L=0B=0</v>
      </c>
      <c r="G2109" s="0" t="s">
        <v>190</v>
      </c>
      <c r="I2109" s="0" t="s">
        <v>1797</v>
      </c>
      <c r="J2109" s="0" t="s">
        <v>2871</v>
      </c>
      <c r="K2109" s="0" t="s">
        <v>160</v>
      </c>
      <c r="M2109" s="0" t="s">
        <v>9259</v>
      </c>
      <c r="N2109" s="0" t="str">
        <f aca="false">RIGHT(M2109,LEN(M2109)-FIND(" ",M2109))</f>
        <v>SCOTT ST NE</v>
      </c>
      <c r="O2109" s="0" t="s">
        <v>868</v>
      </c>
      <c r="P2109" s="0" t="s">
        <v>145</v>
      </c>
      <c r="Q2109" s="0" t="s">
        <v>146</v>
      </c>
      <c r="R2109" s="0" t="n">
        <v>44483</v>
      </c>
      <c r="AD2109" s="0" t="s">
        <v>147</v>
      </c>
      <c r="AE2109" s="0" t="s">
        <v>148</v>
      </c>
      <c r="AF2109" s="0" t="s">
        <v>149</v>
      </c>
      <c r="AH2109" s="0" t="n">
        <v>14</v>
      </c>
      <c r="AI2109" s="0" t="n">
        <v>11</v>
      </c>
      <c r="AN2109" s="0" t="s">
        <v>145</v>
      </c>
      <c r="AO2109" s="0" t="s">
        <v>654</v>
      </c>
      <c r="AP2109" s="0" t="s">
        <v>655</v>
      </c>
      <c r="AQ2109" s="0" t="n">
        <v>9</v>
      </c>
      <c r="AR2109" s="0" t="n">
        <v>64</v>
      </c>
      <c r="AS2109" s="0" t="n">
        <v>32</v>
      </c>
      <c r="AU2109" s="0" t="n">
        <f aca="false">COUNTA($BA$1355:$EH$1355)</f>
        <v>1</v>
      </c>
      <c r="AV2109" s="0" t="n">
        <f aca="false">COUNTIF($BA$1355:$EH$1355,"D")</f>
        <v>0</v>
      </c>
      <c r="AW2109" s="0" t="n">
        <f aca="false">COUNTIF($BA$1355:$EH$1355,"R")</f>
        <v>0</v>
      </c>
      <c r="AX2109" s="0" t="n">
        <f aca="false">IF(BN2109="D",1,0)+IF(BO2109="D",1,0)+IF(BT2109="D",1,0)+IF(BU2109="D",1,0)+IF(BW2109="D",1,0)+IF(CC2109="D",1,0)+IF(CD2109="D",1,0)+IF(CE2109="D",1,0)+IF(CF2109="D",1,0)+IF(CL2109="D",1,0)+IF(CM2109="D",1,0)+IF(CQ2109="D",1,0)+IF(CR2109="D",1,0)+IF(CS2109="D",1,0)+IF(CW2109="D",1,0)+IF(CX2109="D",1,0)+IF(DD2109="D",1,0)+IF(DE2109="D",1,0)+IF(DJ2109="D",1,0)+IF(DK2109="D",1,0)+IF(DO2109="D",1,0)+IF(DP2109="D",1,0)+IF(DQ2109="D",1,0)+IF(DW2109="D",1,0)+IF(DZ2109="D",1,0)+IF(EH2109="D",1,0)</f>
        <v>0</v>
      </c>
      <c r="AY2109" s="0" t="n">
        <f aca="false">COUNTIF(DU2109:EH2109, "&lt;&gt;")</f>
        <v>0</v>
      </c>
      <c r="AZ2109" s="0" t="n">
        <f aca="false">IF(EH2109&lt;&gt;"",1,0)</f>
        <v>0</v>
      </c>
      <c r="BB2109" s="0" t="s">
        <v>152</v>
      </c>
    </row>
    <row r="2110" customFormat="false" ht="13.8" hidden="false" customHeight="false" outlineLevel="0" collapsed="false">
      <c r="A2110" s="0" t="s">
        <v>9271</v>
      </c>
      <c r="B2110" s="0" t="n">
        <v>78</v>
      </c>
      <c r="C2110" s="0" t="n">
        <v>387370</v>
      </c>
      <c r="D2110" s="0" t="s">
        <v>6320</v>
      </c>
      <c r="E2110" s="0" t="s">
        <v>3536</v>
      </c>
      <c r="F2110" s="0" t="str">
        <f aca="false">CONCATENATE(D2110," ",LEFT(H2110,4),"T=",AU2110,"D=",AV2110,"R=",AW2110,"M=",AX2110,"L=",AY2110,"B=",AZ2110)</f>
        <v>CONLEY T=1D=0R=0M=0L=4B=0</v>
      </c>
      <c r="G2110" s="0" t="s">
        <v>209</v>
      </c>
      <c r="I2110" s="0" t="s">
        <v>9272</v>
      </c>
      <c r="J2110" s="0" t="s">
        <v>9273</v>
      </c>
      <c r="K2110" s="0" t="s">
        <v>160</v>
      </c>
      <c r="M2110" s="0" t="s">
        <v>9274</v>
      </c>
      <c r="N2110" s="0" t="str">
        <f aca="false">RIGHT(M2110,LEN(M2110)-FIND(" ",M2110))</f>
        <v>SCOTT ST NE</v>
      </c>
      <c r="P2110" s="0" t="s">
        <v>145</v>
      </c>
      <c r="Q2110" s="0" t="s">
        <v>146</v>
      </c>
      <c r="R2110" s="0" t="n">
        <v>44483</v>
      </c>
      <c r="AD2110" s="0" t="s">
        <v>147</v>
      </c>
      <c r="AE2110" s="0" t="s">
        <v>148</v>
      </c>
      <c r="AF2110" s="0" t="s">
        <v>149</v>
      </c>
      <c r="AH2110" s="0" t="n">
        <v>14</v>
      </c>
      <c r="AI2110" s="0" t="n">
        <v>11</v>
      </c>
      <c r="AN2110" s="0" t="s">
        <v>145</v>
      </c>
      <c r="AO2110" s="0" t="s">
        <v>654</v>
      </c>
      <c r="AP2110" s="0" t="s">
        <v>655</v>
      </c>
      <c r="AQ2110" s="0" t="n">
        <v>9</v>
      </c>
      <c r="AR2110" s="0" t="n">
        <v>64</v>
      </c>
      <c r="AS2110" s="0" t="n">
        <v>32</v>
      </c>
      <c r="AU2110" s="0" t="n">
        <f aca="false">COUNTA($BA$1547:$EH$1547)</f>
        <v>1</v>
      </c>
      <c r="AV2110" s="0" t="n">
        <f aca="false">COUNTIF($BA$1547:$EH$1547,"D")</f>
        <v>0</v>
      </c>
      <c r="AW2110" s="0" t="n">
        <f aca="false">COUNTIF($BA$1547:$EH$1547,"R")</f>
        <v>0</v>
      </c>
      <c r="AX2110" s="0" t="n">
        <f aca="false">IF(BN2110="D",1,0)+IF(BO2110="D",1,0)+IF(BT2110="D",1,0)+IF(BU2110="D",1,0)+IF(BW2110="D",1,0)+IF(CC2110="D",1,0)+IF(CD2110="D",1,0)+IF(CE2110="D",1,0)+IF(CF2110="D",1,0)+IF(CL2110="D",1,0)+IF(CM2110="D",1,0)+IF(CQ2110="D",1,0)+IF(CR2110="D",1,0)+IF(CS2110="D",1,0)+IF(CW2110="D",1,0)+IF(CX2110="D",1,0)+IF(DD2110="D",1,0)+IF(DE2110="D",1,0)+IF(DJ2110="D",1,0)+IF(DK2110="D",1,0)+IF(DO2110="D",1,0)+IF(DP2110="D",1,0)+IF(DQ2110="D",1,0)+IF(DW2110="D",1,0)+IF(DZ2110="D",1,0)+IF(EH2110="D",1,0)</f>
        <v>0</v>
      </c>
      <c r="AY2110" s="0" t="n">
        <f aca="false">COUNTIF(DU2110:EH2110, "&lt;&gt;")</f>
        <v>4</v>
      </c>
      <c r="AZ2110" s="0" t="n">
        <f aca="false">IF(EH2110&lt;&gt;"",1,0)</f>
        <v>0</v>
      </c>
      <c r="BB2110" s="0" t="s">
        <v>152</v>
      </c>
      <c r="CP2110" s="0" t="s">
        <v>153</v>
      </c>
      <c r="CY2110" s="0" t="s">
        <v>153</v>
      </c>
      <c r="DC2110" s="0" t="s">
        <v>153</v>
      </c>
      <c r="DI2110" s="0" t="s">
        <v>153</v>
      </c>
      <c r="DN2110" s="0" t="s">
        <v>153</v>
      </c>
      <c r="DU2110" s="0" t="s">
        <v>153</v>
      </c>
      <c r="DX2110" s="0" t="s">
        <v>153</v>
      </c>
      <c r="EA2110" s="0" t="s">
        <v>153</v>
      </c>
      <c r="EF2110" s="0" t="s">
        <v>153</v>
      </c>
    </row>
    <row r="2111" customFormat="false" ht="13.8" hidden="false" customHeight="false" outlineLevel="0" collapsed="false">
      <c r="A2111" s="0" t="s">
        <v>9275</v>
      </c>
      <c r="B2111" s="0" t="n">
        <v>78</v>
      </c>
      <c r="C2111" s="0" t="n">
        <v>372240</v>
      </c>
      <c r="D2111" s="0" t="s">
        <v>1466</v>
      </c>
      <c r="E2111" s="0" t="s">
        <v>1193</v>
      </c>
      <c r="F2111" s="0" t="str">
        <f aca="false">CONCATENATE(D2111," ",LEFT(H2111,4),"T=",AU2111,"D=",AV2111,"R=",AW2111,"M=",AX2111,"L=",AY2111,"B=",AZ2111)</f>
        <v>JOHNSON T=43D=18R=0M=0L=2B=0</v>
      </c>
      <c r="G2111" s="0" t="s">
        <v>209</v>
      </c>
      <c r="I2111" s="0" t="s">
        <v>9276</v>
      </c>
      <c r="J2111" s="0" t="s">
        <v>9277</v>
      </c>
      <c r="K2111" s="0" t="s">
        <v>160</v>
      </c>
      <c r="M2111" s="0" t="s">
        <v>9278</v>
      </c>
      <c r="N2111" s="0" t="str">
        <f aca="false">RIGHT(M2111,LEN(M2111)-FIND(" ",M2111))</f>
        <v>SCOTT ST NE</v>
      </c>
      <c r="P2111" s="0" t="s">
        <v>145</v>
      </c>
      <c r="Q2111" s="0" t="s">
        <v>146</v>
      </c>
      <c r="R2111" s="0" t="n">
        <v>44483</v>
      </c>
      <c r="AD2111" s="0" t="s">
        <v>147</v>
      </c>
      <c r="AE2111" s="0" t="s">
        <v>148</v>
      </c>
      <c r="AF2111" s="0" t="s">
        <v>149</v>
      </c>
      <c r="AH2111" s="0" t="n">
        <v>14</v>
      </c>
      <c r="AI2111" s="0" t="n">
        <v>11</v>
      </c>
      <c r="AN2111" s="0" t="s">
        <v>145</v>
      </c>
      <c r="AO2111" s="0" t="s">
        <v>654</v>
      </c>
      <c r="AP2111" s="0" t="s">
        <v>655</v>
      </c>
      <c r="AQ2111" s="0" t="n">
        <v>9</v>
      </c>
      <c r="AR2111" s="0" t="n">
        <v>64</v>
      </c>
      <c r="AS2111" s="0" t="n">
        <v>32</v>
      </c>
      <c r="AU2111" s="0" t="n">
        <f aca="false">COUNTA($BA$1546:$EH$1546)</f>
        <v>43</v>
      </c>
      <c r="AV2111" s="0" t="n">
        <f aca="false">COUNTIF($BA$1546:$EH$1546,"D")</f>
        <v>18</v>
      </c>
      <c r="AW2111" s="0" t="n">
        <f aca="false">COUNTIF($BA$1546:$EH$1546,"R")</f>
        <v>0</v>
      </c>
      <c r="AX2111" s="0" t="n">
        <f aca="false">IF(BN2111="D",1,0)+IF(BO2111="D",1,0)+IF(BT2111="D",1,0)+IF(BU2111="D",1,0)+IF(BW2111="D",1,0)+IF(CC2111="D",1,0)+IF(CD2111="D",1,0)+IF(CE2111="D",1,0)+IF(CF2111="D",1,0)+IF(CL2111="D",1,0)+IF(CM2111="D",1,0)+IF(CQ2111="D",1,0)+IF(CR2111="D",1,0)+IF(CS2111="D",1,0)+IF(CW2111="D",1,0)+IF(CX2111="D",1,0)+IF(DD2111="D",1,0)+IF(DE2111="D",1,0)+IF(DJ2111="D",1,0)+IF(DK2111="D",1,0)+IF(DO2111="D",1,0)+IF(DP2111="D",1,0)+IF(DQ2111="D",1,0)+IF(DW2111="D",1,0)+IF(DZ2111="D",1,0)+IF(EH2111="D",1,0)</f>
        <v>0</v>
      </c>
      <c r="AY2111" s="0" t="n">
        <f aca="false">COUNTIF(DU2111:EH2111, "&lt;&gt;")</f>
        <v>2</v>
      </c>
      <c r="AZ2111" s="0" t="n">
        <f aca="false">IF(EH2111&lt;&gt;"",1,0)</f>
        <v>0</v>
      </c>
      <c r="BB2111" s="0" t="s">
        <v>152</v>
      </c>
      <c r="CP2111" s="0" t="s">
        <v>153</v>
      </c>
      <c r="DC2111" s="0" t="s">
        <v>153</v>
      </c>
      <c r="DI2111" s="0" t="s">
        <v>153</v>
      </c>
      <c r="DN2111" s="0" t="s">
        <v>153</v>
      </c>
      <c r="EA2111" s="0" t="s">
        <v>153</v>
      </c>
      <c r="EF2111" s="0" t="s">
        <v>153</v>
      </c>
    </row>
    <row r="2112" customFormat="false" ht="13.8" hidden="true" customHeight="false" outlineLevel="0" collapsed="false">
      <c r="A2112" s="0" t="s">
        <v>9279</v>
      </c>
      <c r="B2112" s="0" t="n">
        <v>78</v>
      </c>
      <c r="C2112" s="0" t="n">
        <v>470596</v>
      </c>
      <c r="D2112" s="0" t="s">
        <v>9280</v>
      </c>
      <c r="E2112" s="0" t="s">
        <v>9281</v>
      </c>
      <c r="F2112" s="0" t="str">
        <f aca="false">CONCATENATE(D2112," ",LEFT(H2112,4),"T=",AU2112,"D=",AV2112,"R=",AW2112,"M=",AX2112,"L=",AY2112,"B=",AZ2112)</f>
        <v>DUKES T=42D=5R=6M=0L=0B=0</v>
      </c>
      <c r="G2112" s="0" t="s">
        <v>175</v>
      </c>
      <c r="I2112" s="0" t="s">
        <v>9282</v>
      </c>
      <c r="J2112" s="0" t="s">
        <v>9283</v>
      </c>
      <c r="K2112" s="0" t="s">
        <v>160</v>
      </c>
      <c r="M2112" s="0" t="s">
        <v>9278</v>
      </c>
      <c r="N2112" s="0" t="str">
        <f aca="false">RIGHT(M2112,LEN(M2112)-FIND(" ",M2112))</f>
        <v>SCOTT ST NE</v>
      </c>
      <c r="P2112" s="0" t="s">
        <v>145</v>
      </c>
      <c r="Q2112" s="0" t="s">
        <v>146</v>
      </c>
      <c r="R2112" s="0" t="n">
        <v>44483</v>
      </c>
      <c r="AD2112" s="0" t="s">
        <v>147</v>
      </c>
      <c r="AE2112" s="0" t="s">
        <v>148</v>
      </c>
      <c r="AF2112" s="0" t="s">
        <v>149</v>
      </c>
      <c r="AH2112" s="0" t="n">
        <v>14</v>
      </c>
      <c r="AI2112" s="0" t="n">
        <v>11</v>
      </c>
      <c r="AN2112" s="0" t="s">
        <v>145</v>
      </c>
      <c r="AO2112" s="0" t="s">
        <v>654</v>
      </c>
      <c r="AP2112" s="0" t="s">
        <v>655</v>
      </c>
      <c r="AQ2112" s="0" t="n">
        <v>9</v>
      </c>
      <c r="AR2112" s="0" t="n">
        <v>64</v>
      </c>
      <c r="AS2112" s="0" t="n">
        <v>32</v>
      </c>
      <c r="AU2112" s="0" t="n">
        <f aca="false">COUNTA($BA$1567:$EH$1567)</f>
        <v>42</v>
      </c>
      <c r="AV2112" s="0" t="n">
        <f aca="false">COUNTIF($BA$1567:$EH$1567,"D")</f>
        <v>5</v>
      </c>
      <c r="AW2112" s="0" t="n">
        <f aca="false">COUNTIF($BA$1567:$EH$1567,"R")</f>
        <v>6</v>
      </c>
      <c r="AX2112" s="0" t="n">
        <f aca="false">IF(BN2112="D",1,0)+IF(BO2112="D",1,0)+IF(BT2112="D",1,0)+IF(BU2112="D",1,0)+IF(BW2112="D",1,0)+IF(CC2112="D",1,0)+IF(CD2112="D",1,0)+IF(CE2112="D",1,0)+IF(CF2112="D",1,0)+IF(CL2112="D",1,0)+IF(CM2112="D",1,0)+IF(CQ2112="D",1,0)+IF(CR2112="D",1,0)+IF(CS2112="D",1,0)+IF(CW2112="D",1,0)+IF(CX2112="D",1,0)+IF(DD2112="D",1,0)+IF(DE2112="D",1,0)+IF(DJ2112="D",1,0)+IF(DK2112="D",1,0)+IF(DO2112="D",1,0)+IF(DP2112="D",1,0)+IF(DQ2112="D",1,0)+IF(DW2112="D",1,0)+IF(DZ2112="D",1,0)+IF(EH2112="D",1,0)</f>
        <v>0</v>
      </c>
      <c r="AY2112" s="0" t="n">
        <f aca="false">COUNTIF(DU2112:EH2112, "&lt;&gt;")</f>
        <v>0</v>
      </c>
      <c r="AZ2112" s="0" t="n">
        <f aca="false">IF(EH2112&lt;&gt;"",1,0)</f>
        <v>0</v>
      </c>
      <c r="BB2112" s="0" t="s">
        <v>152</v>
      </c>
    </row>
    <row r="2113" customFormat="false" ht="13.8" hidden="true" customHeight="false" outlineLevel="0" collapsed="false">
      <c r="A2113" s="0" t="s">
        <v>9284</v>
      </c>
      <c r="B2113" s="0" t="n">
        <v>78</v>
      </c>
      <c r="C2113" s="0" t="n">
        <v>487350</v>
      </c>
      <c r="D2113" s="0" t="s">
        <v>8803</v>
      </c>
      <c r="E2113" s="0" t="s">
        <v>658</v>
      </c>
      <c r="F2113" s="0" t="str">
        <f aca="false">CONCATENATE(D2113," ",LEFT(H2113,4),"T=",AU2113,"D=",AV2113,"R=",AW2113,"M=",AX2113,"L=",AY2113,"B=",AZ2113)</f>
        <v>BALL T=1D=0R=0M=0L=0B=0</v>
      </c>
      <c r="G2113" s="0" t="s">
        <v>325</v>
      </c>
      <c r="I2113" s="0" t="s">
        <v>9285</v>
      </c>
      <c r="J2113" s="0" t="s">
        <v>1050</v>
      </c>
      <c r="K2113" s="0" t="s">
        <v>160</v>
      </c>
      <c r="M2113" s="0" t="s">
        <v>9278</v>
      </c>
      <c r="N2113" s="0" t="str">
        <f aca="false">RIGHT(M2113,LEN(M2113)-FIND(" ",M2113))</f>
        <v>SCOTT ST NE</v>
      </c>
      <c r="P2113" s="0" t="s">
        <v>145</v>
      </c>
      <c r="Q2113" s="0" t="s">
        <v>146</v>
      </c>
      <c r="R2113" s="0" t="n">
        <v>44483</v>
      </c>
      <c r="AD2113" s="0" t="s">
        <v>147</v>
      </c>
      <c r="AE2113" s="0" t="s">
        <v>148</v>
      </c>
      <c r="AF2113" s="0" t="s">
        <v>149</v>
      </c>
      <c r="AH2113" s="0" t="n">
        <v>14</v>
      </c>
      <c r="AI2113" s="0" t="n">
        <v>11</v>
      </c>
      <c r="AN2113" s="0" t="s">
        <v>145</v>
      </c>
      <c r="AO2113" s="0" t="s">
        <v>654</v>
      </c>
      <c r="AP2113" s="0" t="s">
        <v>655</v>
      </c>
      <c r="AQ2113" s="0" t="n">
        <v>9</v>
      </c>
      <c r="AR2113" s="0" t="n">
        <v>64</v>
      </c>
      <c r="AS2113" s="0" t="n">
        <v>32</v>
      </c>
      <c r="AU2113" s="0" t="n">
        <f aca="false">COUNTA($BA$1632:$EH$1632)</f>
        <v>1</v>
      </c>
      <c r="AV2113" s="0" t="n">
        <f aca="false">COUNTIF($BA$1632:$EH$1632,"D")</f>
        <v>0</v>
      </c>
      <c r="AW2113" s="0" t="n">
        <f aca="false">COUNTIF($BA$1632:$EH$1632,"R")</f>
        <v>0</v>
      </c>
      <c r="AX2113" s="0" t="n">
        <f aca="false">IF(BN2113="D",1,0)+IF(BO2113="D",1,0)+IF(BT2113="D",1,0)+IF(BU2113="D",1,0)+IF(BW2113="D",1,0)+IF(CC2113="D",1,0)+IF(CD2113="D",1,0)+IF(CE2113="D",1,0)+IF(CF2113="D",1,0)+IF(CL2113="D",1,0)+IF(CM2113="D",1,0)+IF(CQ2113="D",1,0)+IF(CR2113="D",1,0)+IF(CS2113="D",1,0)+IF(CW2113="D",1,0)+IF(CX2113="D",1,0)+IF(DD2113="D",1,0)+IF(DE2113="D",1,0)+IF(DJ2113="D",1,0)+IF(DK2113="D",1,0)+IF(DO2113="D",1,0)+IF(DP2113="D",1,0)+IF(DQ2113="D",1,0)+IF(DW2113="D",1,0)+IF(DZ2113="D",1,0)+IF(EH2113="D",1,0)</f>
        <v>0</v>
      </c>
      <c r="AY2113" s="0" t="n">
        <f aca="false">COUNTIF(DU2113:EH2113, "&lt;&gt;")</f>
        <v>0</v>
      </c>
      <c r="AZ2113" s="0" t="n">
        <f aca="false">IF(EH2113&lt;&gt;"",1,0)</f>
        <v>0</v>
      </c>
      <c r="BB2113" s="0" t="s">
        <v>152</v>
      </c>
    </row>
    <row r="2114" customFormat="false" ht="13.8" hidden="true" customHeight="false" outlineLevel="0" collapsed="false">
      <c r="A2114" s="0" t="s">
        <v>9286</v>
      </c>
      <c r="B2114" s="0" t="n">
        <v>78</v>
      </c>
      <c r="C2114" s="0" t="n">
        <v>460967</v>
      </c>
      <c r="D2114" s="0" t="s">
        <v>657</v>
      </c>
      <c r="E2114" s="0" t="s">
        <v>8804</v>
      </c>
      <c r="F2114" s="0" t="str">
        <f aca="false">CONCATENATE(D2114," ",LEFT(H2114,4),"T=",AU2114,"D=",AV2114,"R=",AW2114,"M=",AX2114,"L=",AY2114,"B=",AZ2114)</f>
        <v>HALL T=1D=0R=0M=0L=0B=0</v>
      </c>
      <c r="G2114" s="0" t="s">
        <v>6681</v>
      </c>
      <c r="I2114" s="0" t="s">
        <v>9287</v>
      </c>
      <c r="J2114" s="0" t="s">
        <v>9288</v>
      </c>
      <c r="K2114" s="0" t="s">
        <v>143</v>
      </c>
      <c r="M2114" s="0" t="s">
        <v>9289</v>
      </c>
      <c r="N2114" s="0" t="str">
        <f aca="false">RIGHT(M2114,LEN(M2114)-FIND(" ",M2114))</f>
        <v>SCOTT ST NE</v>
      </c>
      <c r="P2114" s="0" t="s">
        <v>145</v>
      </c>
      <c r="Q2114" s="0" t="s">
        <v>146</v>
      </c>
      <c r="R2114" s="0" t="n">
        <v>44483</v>
      </c>
      <c r="AD2114" s="0" t="s">
        <v>147</v>
      </c>
      <c r="AE2114" s="0" t="s">
        <v>148</v>
      </c>
      <c r="AF2114" s="0" t="s">
        <v>149</v>
      </c>
      <c r="AH2114" s="0" t="n">
        <v>14</v>
      </c>
      <c r="AI2114" s="0" t="n">
        <v>11</v>
      </c>
      <c r="AN2114" s="0" t="s">
        <v>145</v>
      </c>
      <c r="AO2114" s="0" t="s">
        <v>654</v>
      </c>
      <c r="AP2114" s="0" t="s">
        <v>655</v>
      </c>
      <c r="AQ2114" s="0" t="n">
        <v>9</v>
      </c>
      <c r="AR2114" s="0" t="n">
        <v>64</v>
      </c>
      <c r="AS2114" s="0" t="n">
        <v>32</v>
      </c>
      <c r="AU2114" s="0" t="n">
        <f aca="false">COUNTA($BA$1993:$EH$1993)</f>
        <v>1</v>
      </c>
      <c r="AV2114" s="0" t="n">
        <f aca="false">COUNTIF($BA$1993:$EH$1993,"D")</f>
        <v>0</v>
      </c>
      <c r="AW2114" s="0" t="n">
        <f aca="false">COUNTIF($BA$1993:$EH$1993,"R")</f>
        <v>0</v>
      </c>
      <c r="AX2114" s="0" t="n">
        <f aca="false">IF(BN2114="D",1,0)+IF(BO2114="D",1,0)+IF(BT2114="D",1,0)+IF(BU2114="D",1,0)+IF(BW2114="D",1,0)+IF(CC2114="D",1,0)+IF(CD2114="D",1,0)+IF(CE2114="D",1,0)+IF(CF2114="D",1,0)+IF(CL2114="D",1,0)+IF(CM2114="D",1,0)+IF(CQ2114="D",1,0)+IF(CR2114="D",1,0)+IF(CS2114="D",1,0)+IF(CW2114="D",1,0)+IF(CX2114="D",1,0)+IF(DD2114="D",1,0)+IF(DE2114="D",1,0)+IF(DJ2114="D",1,0)+IF(DK2114="D",1,0)+IF(DO2114="D",1,0)+IF(DP2114="D",1,0)+IF(DQ2114="D",1,0)+IF(DW2114="D",1,0)+IF(DZ2114="D",1,0)+IF(EH2114="D",1,0)</f>
        <v>0</v>
      </c>
      <c r="AY2114" s="0" t="n">
        <f aca="false">COUNTIF(DU2114:EH2114, "&lt;&gt;")</f>
        <v>0</v>
      </c>
      <c r="AZ2114" s="0" t="n">
        <f aca="false">IF(EH2114&lt;&gt;"",1,0)</f>
        <v>0</v>
      </c>
      <c r="BB2114" s="0" t="s">
        <v>152</v>
      </c>
    </row>
    <row r="2115" customFormat="false" ht="13.8" hidden="false" customHeight="false" outlineLevel="0" collapsed="false">
      <c r="A2115" s="0" t="s">
        <v>9290</v>
      </c>
      <c r="B2115" s="0" t="n">
        <v>78</v>
      </c>
      <c r="C2115" s="0" t="n">
        <v>279661</v>
      </c>
      <c r="D2115" s="0" t="s">
        <v>193</v>
      </c>
      <c r="E2115" s="0" t="s">
        <v>9291</v>
      </c>
      <c r="F2115" s="0" t="str">
        <f aca="false">CONCATENATE(D2115," ",LEFT(H2115,4),"T=",AU2115,"D=",AV2115,"R=",AW2115,"M=",AX2115,"L=",AY2115,"B=",AZ2115)</f>
        <v>MORGAN SRT=30D=6R=2M=1L=6B=0</v>
      </c>
      <c r="G2115" s="0" t="s">
        <v>171</v>
      </c>
      <c r="H2115" s="0" t="s">
        <v>216</v>
      </c>
      <c r="I2115" s="0" t="s">
        <v>9292</v>
      </c>
      <c r="J2115" s="0" t="s">
        <v>376</v>
      </c>
      <c r="K2115" s="0" t="s">
        <v>160</v>
      </c>
      <c r="L2115" s="0" t="s">
        <v>209</v>
      </c>
      <c r="M2115" s="0" t="s">
        <v>9293</v>
      </c>
      <c r="N2115" s="0" t="str">
        <f aca="false">RIGHT(M2115,LEN(M2115)-FIND(" ",M2115))</f>
        <v>SCOTT ST NE</v>
      </c>
      <c r="P2115" s="0" t="s">
        <v>145</v>
      </c>
      <c r="Q2115" s="0" t="s">
        <v>146</v>
      </c>
      <c r="R2115" s="0" t="n">
        <v>44483</v>
      </c>
      <c r="AD2115" s="0" t="s">
        <v>147</v>
      </c>
      <c r="AE2115" s="0" t="s">
        <v>148</v>
      </c>
      <c r="AF2115" s="0" t="s">
        <v>149</v>
      </c>
      <c r="AH2115" s="0" t="n">
        <v>14</v>
      </c>
      <c r="AI2115" s="0" t="n">
        <v>11</v>
      </c>
      <c r="AN2115" s="0" t="s">
        <v>145</v>
      </c>
      <c r="AO2115" s="0" t="s">
        <v>654</v>
      </c>
      <c r="AP2115" s="0" t="s">
        <v>655</v>
      </c>
      <c r="AQ2115" s="0" t="n">
        <v>9</v>
      </c>
      <c r="AR2115" s="0" t="n">
        <v>64</v>
      </c>
      <c r="AS2115" s="0" t="n">
        <v>32</v>
      </c>
      <c r="AU2115" s="0" t="n">
        <f aca="false">COUNTA($BA$1551:$EH$1551)</f>
        <v>30</v>
      </c>
      <c r="AV2115" s="0" t="n">
        <f aca="false">COUNTIF($BA$1551:$EH$1551,"D")</f>
        <v>6</v>
      </c>
      <c r="AW2115" s="0" t="n">
        <f aca="false">COUNTIF($BA$1551:$EH$1551,"R")</f>
        <v>2</v>
      </c>
      <c r="AX2115" s="0" t="n">
        <f aca="false">IF(BN2115="D",1,0)+IF(BO2115="D",1,0)+IF(BT2115="D",1,0)+IF(BU2115="D",1,0)+IF(BW2115="D",1,0)+IF(CC2115="D",1,0)+IF(CD2115="D",1,0)+IF(CE2115="D",1,0)+IF(CF2115="D",1,0)+IF(CL2115="D",1,0)+IF(CM2115="D",1,0)+IF(CQ2115="D",1,0)+IF(CR2115="D",1,0)+IF(CS2115="D",1,0)+IF(CW2115="D",1,0)+IF(CX2115="D",1,0)+IF(DD2115="D",1,0)+IF(DE2115="D",1,0)+IF(DJ2115="D",1,0)+IF(DK2115="D",1,0)+IF(DO2115="D",1,0)+IF(DP2115="D",1,0)+IF(DQ2115="D",1,0)+IF(DW2115="D",1,0)+IF(DZ2115="D",1,0)+IF(EH2115="D",1,0)</f>
        <v>1</v>
      </c>
      <c r="AY2115" s="0" t="n">
        <f aca="false">COUNTIF(DU2115:EH2115, "&lt;&gt;")</f>
        <v>6</v>
      </c>
      <c r="AZ2115" s="0" t="n">
        <f aca="false">IF(EH2115&lt;&gt;"",1,0)</f>
        <v>0</v>
      </c>
      <c r="BB2115" s="0" t="s">
        <v>152</v>
      </c>
      <c r="BC2115" s="0" t="s">
        <v>153</v>
      </c>
      <c r="BD2115" s="0" t="s">
        <v>153</v>
      </c>
      <c r="BE2115" s="0" t="s">
        <v>153</v>
      </c>
      <c r="BF2115" s="0" t="s">
        <v>153</v>
      </c>
      <c r="BH2115" s="0" t="s">
        <v>153</v>
      </c>
      <c r="BI2115" s="0" t="s">
        <v>153</v>
      </c>
      <c r="BJ2115" s="0" t="s">
        <v>153</v>
      </c>
      <c r="BL2115" s="0" t="s">
        <v>153</v>
      </c>
      <c r="BP2115" s="0" t="s">
        <v>153</v>
      </c>
      <c r="BR2115" s="0" t="s">
        <v>153</v>
      </c>
      <c r="BS2115" s="0" t="s">
        <v>153</v>
      </c>
      <c r="BV2115" s="0" t="s">
        <v>153</v>
      </c>
      <c r="CA2115" s="0" t="s">
        <v>153</v>
      </c>
      <c r="CK2115" s="0" t="s">
        <v>153</v>
      </c>
      <c r="CN2115" s="0" t="s">
        <v>153</v>
      </c>
      <c r="CO2115" s="0" t="s">
        <v>209</v>
      </c>
      <c r="CP2115" s="0" t="s">
        <v>153</v>
      </c>
      <c r="CU2115" s="0" t="s">
        <v>209</v>
      </c>
      <c r="CV2115" s="0" t="s">
        <v>153</v>
      </c>
      <c r="CY2115" s="0" t="s">
        <v>153</v>
      </c>
      <c r="CZ2115" s="0" t="s">
        <v>209</v>
      </c>
      <c r="DC2115" s="0" t="s">
        <v>153</v>
      </c>
      <c r="DG2115" s="0" t="s">
        <v>209</v>
      </c>
      <c r="DI2115" s="0" t="s">
        <v>153</v>
      </c>
      <c r="DL2115" s="0" t="s">
        <v>153</v>
      </c>
      <c r="DN2115" s="0" t="s">
        <v>153</v>
      </c>
      <c r="DR2115" s="0" t="s">
        <v>153</v>
      </c>
      <c r="DS2115" s="0" t="s">
        <v>209</v>
      </c>
      <c r="DT2115" s="0" t="s">
        <v>209</v>
      </c>
      <c r="DU2115" s="0" t="s">
        <v>153</v>
      </c>
      <c r="DW2115" s="0" t="s">
        <v>175</v>
      </c>
      <c r="DX2115" s="0" t="s">
        <v>153</v>
      </c>
      <c r="EA2115" s="0" t="s">
        <v>153</v>
      </c>
      <c r="ED2115" s="0" t="s">
        <v>209</v>
      </c>
      <c r="EF2115" s="0" t="s">
        <v>153</v>
      </c>
    </row>
    <row r="2116" customFormat="false" ht="13.8" hidden="true" customHeight="false" outlineLevel="0" collapsed="false">
      <c r="A2116" s="0" t="s">
        <v>9294</v>
      </c>
      <c r="B2116" s="0" t="n">
        <v>78</v>
      </c>
      <c r="C2116" s="0" t="n">
        <v>426314</v>
      </c>
      <c r="D2116" s="0" t="s">
        <v>9295</v>
      </c>
      <c r="E2116" s="0" t="s">
        <v>789</v>
      </c>
      <c r="F2116" s="0" t="str">
        <f aca="false">CONCATENATE(D2116," ",LEFT(H2116,4),"T=",AU2116,"D=",AV2116,"R=",AW2116,"M=",AX2116,"L=",AY2116,"B=",AZ2116)</f>
        <v>ARNOLD T=4D=0R=0M=0L=0B=0</v>
      </c>
      <c r="G2116" s="0" t="s">
        <v>517</v>
      </c>
      <c r="I2116" s="0" t="s">
        <v>9296</v>
      </c>
      <c r="J2116" s="0" t="s">
        <v>9297</v>
      </c>
      <c r="K2116" s="0" t="s">
        <v>143</v>
      </c>
      <c r="M2116" s="0" t="s">
        <v>9298</v>
      </c>
      <c r="N2116" s="0" t="str">
        <f aca="false">RIGHT(M2116,LEN(M2116)-FIND(" ",M2116))</f>
        <v>SCOTT ST NE</v>
      </c>
      <c r="O2116" s="0" t="s">
        <v>297</v>
      </c>
      <c r="P2116" s="0" t="s">
        <v>145</v>
      </c>
      <c r="Q2116" s="0" t="s">
        <v>146</v>
      </c>
      <c r="R2116" s="0" t="n">
        <v>44483</v>
      </c>
      <c r="AD2116" s="0" t="s">
        <v>147</v>
      </c>
      <c r="AE2116" s="0" t="s">
        <v>148</v>
      </c>
      <c r="AF2116" s="0" t="s">
        <v>149</v>
      </c>
      <c r="AH2116" s="0" t="n">
        <v>14</v>
      </c>
      <c r="AI2116" s="0" t="n">
        <v>11</v>
      </c>
      <c r="AN2116" s="0" t="s">
        <v>145</v>
      </c>
      <c r="AO2116" s="0" t="s">
        <v>654</v>
      </c>
      <c r="AP2116" s="0" t="s">
        <v>655</v>
      </c>
      <c r="AQ2116" s="0" t="n">
        <v>9</v>
      </c>
      <c r="AR2116" s="0" t="n">
        <v>64</v>
      </c>
      <c r="AS2116" s="0" t="n">
        <v>32</v>
      </c>
      <c r="AU2116" s="0" t="n">
        <f aca="false">COUNTA($BA$1275:$EH$1275)</f>
        <v>4</v>
      </c>
      <c r="AV2116" s="0" t="n">
        <f aca="false">COUNTIF($BA$1275:$EH$1275,"D")</f>
        <v>0</v>
      </c>
      <c r="AW2116" s="0" t="n">
        <f aca="false">COUNTIF($BA$1275:$EH$1275,"R")</f>
        <v>0</v>
      </c>
      <c r="AX2116" s="0" t="n">
        <f aca="false">IF(BN2116="D",1,0)+IF(BO2116="D",1,0)+IF(BT2116="D",1,0)+IF(BU2116="D",1,0)+IF(BW2116="D",1,0)+IF(CC2116="D",1,0)+IF(CD2116="D",1,0)+IF(CE2116="D",1,0)+IF(CF2116="D",1,0)+IF(CL2116="D",1,0)+IF(CM2116="D",1,0)+IF(CQ2116="D",1,0)+IF(CR2116="D",1,0)+IF(CS2116="D",1,0)+IF(CW2116="D",1,0)+IF(CX2116="D",1,0)+IF(DD2116="D",1,0)+IF(DE2116="D",1,0)+IF(DJ2116="D",1,0)+IF(DK2116="D",1,0)+IF(DO2116="D",1,0)+IF(DP2116="D",1,0)+IF(DQ2116="D",1,0)+IF(DW2116="D",1,0)+IF(DZ2116="D",1,0)+IF(EH2116="D",1,0)</f>
        <v>0</v>
      </c>
      <c r="AY2116" s="0" t="n">
        <f aca="false">COUNTIF(DU2116:EH2116, "&lt;&gt;")</f>
        <v>0</v>
      </c>
      <c r="AZ2116" s="0" t="n">
        <f aca="false">IF(EH2116&lt;&gt;"",1,0)</f>
        <v>0</v>
      </c>
      <c r="BB2116" s="0" t="s">
        <v>152</v>
      </c>
    </row>
    <row r="2117" customFormat="false" ht="13.8" hidden="true" customHeight="false" outlineLevel="0" collapsed="false">
      <c r="A2117" s="0" t="s">
        <v>9299</v>
      </c>
      <c r="B2117" s="0" t="n">
        <v>78</v>
      </c>
      <c r="C2117" s="0" t="n">
        <v>429400</v>
      </c>
      <c r="D2117" s="0" t="s">
        <v>5223</v>
      </c>
      <c r="E2117" s="0" t="s">
        <v>9300</v>
      </c>
      <c r="F2117" s="0" t="str">
        <f aca="false">CONCATENATE(D2117," ",LEFT(H2117,4),"T=",AU2117,"D=",AV2117,"R=",AW2117,"M=",AX2117,"L=",AY2117,"B=",AZ2117)</f>
        <v>BAKER T=2D=0R=0M=0L=0B=0</v>
      </c>
      <c r="G2117" s="0" t="s">
        <v>175</v>
      </c>
      <c r="I2117" s="0" t="s">
        <v>9301</v>
      </c>
      <c r="J2117" s="0" t="s">
        <v>9302</v>
      </c>
      <c r="K2117" s="0" t="s">
        <v>160</v>
      </c>
      <c r="M2117" s="0" t="s">
        <v>9298</v>
      </c>
      <c r="N2117" s="0" t="str">
        <f aca="false">RIGHT(M2117,LEN(M2117)-FIND(" ",M2117))</f>
        <v>SCOTT ST NE</v>
      </c>
      <c r="P2117" s="0" t="s">
        <v>145</v>
      </c>
      <c r="Q2117" s="0" t="s">
        <v>146</v>
      </c>
      <c r="R2117" s="0" t="n">
        <v>44483</v>
      </c>
      <c r="AD2117" s="0" t="s">
        <v>147</v>
      </c>
      <c r="AE2117" s="0" t="s">
        <v>148</v>
      </c>
      <c r="AF2117" s="0" t="s">
        <v>149</v>
      </c>
      <c r="AH2117" s="0" t="n">
        <v>14</v>
      </c>
      <c r="AI2117" s="0" t="n">
        <v>11</v>
      </c>
      <c r="AN2117" s="0" t="s">
        <v>145</v>
      </c>
      <c r="AO2117" s="0" t="s">
        <v>654</v>
      </c>
      <c r="AP2117" s="0" t="s">
        <v>655</v>
      </c>
      <c r="AQ2117" s="0" t="n">
        <v>9</v>
      </c>
      <c r="AR2117" s="0" t="n">
        <v>64</v>
      </c>
      <c r="AS2117" s="0" t="n">
        <v>32</v>
      </c>
      <c r="AU2117" s="0" t="n">
        <f aca="false">COUNTA($BA$1733:$EH$1733)</f>
        <v>2</v>
      </c>
      <c r="AV2117" s="0" t="n">
        <f aca="false">COUNTIF($BA$1733:$EH$1733,"D")</f>
        <v>0</v>
      </c>
      <c r="AW2117" s="0" t="n">
        <f aca="false">COUNTIF($BA$1733:$EH$1733,"R")</f>
        <v>0</v>
      </c>
      <c r="AX2117" s="0" t="n">
        <f aca="false">IF(BN2117="D",1,0)+IF(BO2117="D",1,0)+IF(BT2117="D",1,0)+IF(BU2117="D",1,0)+IF(BW2117="D",1,0)+IF(CC2117="D",1,0)+IF(CD2117="D",1,0)+IF(CE2117="D",1,0)+IF(CF2117="D",1,0)+IF(CL2117="D",1,0)+IF(CM2117="D",1,0)+IF(CQ2117="D",1,0)+IF(CR2117="D",1,0)+IF(CS2117="D",1,0)+IF(CW2117="D",1,0)+IF(CX2117="D",1,0)+IF(DD2117="D",1,0)+IF(DE2117="D",1,0)+IF(DJ2117="D",1,0)+IF(DK2117="D",1,0)+IF(DO2117="D",1,0)+IF(DP2117="D",1,0)+IF(DQ2117="D",1,0)+IF(DW2117="D",1,0)+IF(DZ2117="D",1,0)+IF(EH2117="D",1,0)</f>
        <v>0</v>
      </c>
      <c r="AY2117" s="0" t="n">
        <f aca="false">COUNTIF(DU2117:EH2117, "&lt;&gt;")</f>
        <v>0</v>
      </c>
      <c r="AZ2117" s="0" t="n">
        <f aca="false">IF(EH2117&lt;&gt;"",1,0)</f>
        <v>0</v>
      </c>
      <c r="BB2117" s="0" t="s">
        <v>152</v>
      </c>
    </row>
    <row r="2118" customFormat="false" ht="13.8" hidden="false" customHeight="false" outlineLevel="0" collapsed="false">
      <c r="A2118" s="0" t="s">
        <v>9303</v>
      </c>
      <c r="B2118" s="0" t="n">
        <v>78</v>
      </c>
      <c r="C2118" s="0" t="n">
        <v>176500</v>
      </c>
      <c r="D2118" s="0" t="s">
        <v>9304</v>
      </c>
      <c r="E2118" s="0" t="s">
        <v>1404</v>
      </c>
      <c r="F2118" s="0" t="str">
        <f aca="false">CONCATENATE(D2118," ",LEFT(H2118,4),"T=",AU2118,"D=",AV2118,"R=",AW2118,"M=",AX2118,"L=",AY2118,"B=",AZ2118)</f>
        <v>STROTHER T=51D=17R=0M=7L=6B=1</v>
      </c>
      <c r="G2118" s="0" t="s">
        <v>268</v>
      </c>
      <c r="I2118" s="0" t="s">
        <v>9305</v>
      </c>
      <c r="J2118" s="0" t="s">
        <v>9306</v>
      </c>
      <c r="K2118" s="0" t="s">
        <v>160</v>
      </c>
      <c r="L2118" s="0" t="s">
        <v>175</v>
      </c>
      <c r="M2118" s="0" t="s">
        <v>9307</v>
      </c>
      <c r="N2118" s="0" t="str">
        <f aca="false">RIGHT(M2118,LEN(M2118)-FIND(" ",M2118))</f>
        <v>SCOTT ST NE</v>
      </c>
      <c r="P2118" s="0" t="s">
        <v>145</v>
      </c>
      <c r="Q2118" s="0" t="s">
        <v>146</v>
      </c>
      <c r="R2118" s="0" t="n">
        <v>44483</v>
      </c>
      <c r="AD2118" s="0" t="s">
        <v>147</v>
      </c>
      <c r="AE2118" s="0" t="s">
        <v>148</v>
      </c>
      <c r="AF2118" s="0" t="s">
        <v>149</v>
      </c>
      <c r="AH2118" s="0" t="n">
        <v>14</v>
      </c>
      <c r="AI2118" s="0" t="n">
        <v>11</v>
      </c>
      <c r="AN2118" s="0" t="s">
        <v>145</v>
      </c>
      <c r="AO2118" s="0" t="s">
        <v>654</v>
      </c>
      <c r="AP2118" s="0" t="s">
        <v>655</v>
      </c>
      <c r="AQ2118" s="0" t="n">
        <v>9</v>
      </c>
      <c r="AR2118" s="0" t="n">
        <v>64</v>
      </c>
      <c r="AS2118" s="0" t="n">
        <v>32</v>
      </c>
      <c r="AU2118" s="0" t="n">
        <f aca="false">COUNTA($BA$1548:$EH$1548)</f>
        <v>51</v>
      </c>
      <c r="AV2118" s="0" t="n">
        <f aca="false">COUNTIF($BA$1548:$EH$1548,"D")</f>
        <v>17</v>
      </c>
      <c r="AW2118" s="0" t="n">
        <f aca="false">COUNTIF($BA$1548:$EH$1548,"R")</f>
        <v>0</v>
      </c>
      <c r="AX2118" s="0" t="n">
        <f aca="false">IF(BN2118="D",1,0)+IF(BO2118="D",1,0)+IF(BT2118="D",1,0)+IF(BU2118="D",1,0)+IF(BW2118="D",1,0)+IF(CC2118="D",1,0)+IF(CD2118="D",1,0)+IF(CE2118="D",1,0)+IF(CF2118="D",1,0)+IF(CL2118="D",1,0)+IF(CM2118="D",1,0)+IF(CQ2118="D",1,0)+IF(CR2118="D",1,0)+IF(CS2118="D",1,0)+IF(CW2118="D",1,0)+IF(CX2118="D",1,0)+IF(DD2118="D",1,0)+IF(DE2118="D",1,0)+IF(DJ2118="D",1,0)+IF(DK2118="D",1,0)+IF(DO2118="D",1,0)+IF(DP2118="D",1,0)+IF(DQ2118="D",1,0)+IF(DW2118="D",1,0)+IF(DZ2118="D",1,0)+IF(EH2118="D",1,0)</f>
        <v>7</v>
      </c>
      <c r="AY2118" s="0" t="n">
        <f aca="false">COUNTIF(DU2118:EH2118, "&lt;&gt;")</f>
        <v>6</v>
      </c>
      <c r="AZ2118" s="0" t="n">
        <f aca="false">IF(EH2118&lt;&gt;"",1,0)</f>
        <v>1</v>
      </c>
      <c r="BB2118" s="0" t="s">
        <v>152</v>
      </c>
      <c r="BC2118" s="0" t="s">
        <v>153</v>
      </c>
      <c r="BD2118" s="0" t="s">
        <v>153</v>
      </c>
      <c r="BE2118" s="0" t="s">
        <v>153</v>
      </c>
      <c r="BF2118" s="0" t="s">
        <v>153</v>
      </c>
      <c r="BG2118" s="0" t="s">
        <v>153</v>
      </c>
      <c r="BH2118" s="0" t="s">
        <v>153</v>
      </c>
      <c r="BI2118" s="0" t="s">
        <v>153</v>
      </c>
      <c r="BJ2118" s="0" t="s">
        <v>153</v>
      </c>
      <c r="BL2118" s="0" t="s">
        <v>153</v>
      </c>
      <c r="BP2118" s="0" t="s">
        <v>153</v>
      </c>
      <c r="BR2118" s="0" t="s">
        <v>153</v>
      </c>
      <c r="BS2118" s="0" t="s">
        <v>153</v>
      </c>
      <c r="BV2118" s="0" t="s">
        <v>153</v>
      </c>
      <c r="BY2118" s="0" t="s">
        <v>175</v>
      </c>
      <c r="CA2118" s="0" t="s">
        <v>153</v>
      </c>
      <c r="CC2118" s="0" t="s">
        <v>175</v>
      </c>
      <c r="CH2118" s="0" t="s">
        <v>175</v>
      </c>
      <c r="CK2118" s="0" t="s">
        <v>153</v>
      </c>
      <c r="CL2118" s="0" t="s">
        <v>175</v>
      </c>
      <c r="CN2118" s="0" t="s">
        <v>153</v>
      </c>
      <c r="CO2118" s="0" t="s">
        <v>175</v>
      </c>
      <c r="CP2118" s="0" t="s">
        <v>153</v>
      </c>
      <c r="CQ2118" s="0" t="s">
        <v>175</v>
      </c>
      <c r="CT2118" s="0" t="s">
        <v>153</v>
      </c>
      <c r="CU2118" s="0" t="s">
        <v>175</v>
      </c>
      <c r="CV2118" s="0" t="s">
        <v>153</v>
      </c>
      <c r="CW2118" s="0" t="s">
        <v>175</v>
      </c>
      <c r="CY2118" s="0" t="s">
        <v>153</v>
      </c>
      <c r="CZ2118" s="0" t="s">
        <v>175</v>
      </c>
      <c r="DC2118" s="0" t="s">
        <v>153</v>
      </c>
      <c r="DF2118" s="0" t="s">
        <v>153</v>
      </c>
      <c r="DG2118" s="0" t="s">
        <v>175</v>
      </c>
      <c r="DI2118" s="0" t="s">
        <v>153</v>
      </c>
      <c r="DJ2118" s="0" t="s">
        <v>175</v>
      </c>
      <c r="DL2118" s="0" t="s">
        <v>153</v>
      </c>
      <c r="DN2118" s="0" t="s">
        <v>153</v>
      </c>
      <c r="DR2118" s="0" t="s">
        <v>153</v>
      </c>
      <c r="DS2118" s="0" t="s">
        <v>175</v>
      </c>
      <c r="DT2118" s="0" t="s">
        <v>175</v>
      </c>
      <c r="DW2118" s="0" t="s">
        <v>175</v>
      </c>
      <c r="DX2118" s="0" t="s">
        <v>153</v>
      </c>
      <c r="EA2118" s="0" t="s">
        <v>153</v>
      </c>
      <c r="ED2118" s="0" t="s">
        <v>175</v>
      </c>
      <c r="EF2118" s="0" t="s">
        <v>153</v>
      </c>
      <c r="EH2118" s="0" t="s">
        <v>175</v>
      </c>
    </row>
    <row r="2119" customFormat="false" ht="13.8" hidden="true" customHeight="false" outlineLevel="0" collapsed="false">
      <c r="A2119" s="0" t="s">
        <v>9308</v>
      </c>
      <c r="B2119" s="0" t="n">
        <v>78</v>
      </c>
      <c r="C2119" s="0" t="n">
        <v>290472</v>
      </c>
      <c r="D2119" s="0" t="s">
        <v>3975</v>
      </c>
      <c r="E2119" s="0" t="s">
        <v>719</v>
      </c>
      <c r="F2119" s="0" t="str">
        <f aca="false">CONCATENATE(D2119," ",LEFT(H2119,4),"T=",AU2119,"D=",AV2119,"R=",AW2119,"M=",AX2119,"L=",AY2119,"B=",AZ2119)</f>
        <v>COPELAND T=3D=0R=0M=0L=0B=0</v>
      </c>
      <c r="G2119" s="0" t="s">
        <v>890</v>
      </c>
      <c r="I2119" s="0" t="s">
        <v>9309</v>
      </c>
      <c r="J2119" s="0" t="s">
        <v>9310</v>
      </c>
      <c r="K2119" s="0" t="s">
        <v>143</v>
      </c>
      <c r="M2119" s="0" t="s">
        <v>9311</v>
      </c>
      <c r="N2119" s="0" t="str">
        <f aca="false">RIGHT(M2119,LEN(M2119)-FIND(" ",M2119))</f>
        <v>SCOTT ST NE</v>
      </c>
      <c r="P2119" s="0" t="s">
        <v>145</v>
      </c>
      <c r="Q2119" s="0" t="s">
        <v>146</v>
      </c>
      <c r="R2119" s="0" t="n">
        <v>44483</v>
      </c>
      <c r="AD2119" s="0" t="s">
        <v>147</v>
      </c>
      <c r="AE2119" s="0" t="s">
        <v>148</v>
      </c>
      <c r="AF2119" s="0" t="s">
        <v>149</v>
      </c>
      <c r="AH2119" s="0" t="n">
        <v>14</v>
      </c>
      <c r="AI2119" s="0" t="n">
        <v>11</v>
      </c>
      <c r="AN2119" s="0" t="s">
        <v>145</v>
      </c>
      <c r="AO2119" s="0" t="s">
        <v>654</v>
      </c>
      <c r="AP2119" s="0" t="s">
        <v>655</v>
      </c>
      <c r="AQ2119" s="0" t="n">
        <v>9</v>
      </c>
      <c r="AR2119" s="0" t="n">
        <v>64</v>
      </c>
      <c r="AS2119" s="0" t="n">
        <v>32</v>
      </c>
      <c r="AU2119" s="0" t="n">
        <f aca="false">COUNTA($BA$1369:$EH$1369)</f>
        <v>3</v>
      </c>
      <c r="AV2119" s="0" t="n">
        <f aca="false">COUNTIF($BA$1369:$EH$1369,"D")</f>
        <v>0</v>
      </c>
      <c r="AW2119" s="0" t="n">
        <f aca="false">COUNTIF($BA$1369:$EH$1369,"R")</f>
        <v>0</v>
      </c>
      <c r="AX2119" s="0" t="n">
        <f aca="false">IF(BN2119="D",1,0)+IF(BO2119="D",1,0)+IF(BT2119="D",1,0)+IF(BU2119="D",1,0)+IF(BW2119="D",1,0)+IF(CC2119="D",1,0)+IF(CD2119="D",1,0)+IF(CE2119="D",1,0)+IF(CF2119="D",1,0)+IF(CL2119="D",1,0)+IF(CM2119="D",1,0)+IF(CQ2119="D",1,0)+IF(CR2119="D",1,0)+IF(CS2119="D",1,0)+IF(CW2119="D",1,0)+IF(CX2119="D",1,0)+IF(DD2119="D",1,0)+IF(DE2119="D",1,0)+IF(DJ2119="D",1,0)+IF(DK2119="D",1,0)+IF(DO2119="D",1,0)+IF(DP2119="D",1,0)+IF(DQ2119="D",1,0)+IF(DW2119="D",1,0)+IF(DZ2119="D",1,0)+IF(EH2119="D",1,0)</f>
        <v>0</v>
      </c>
      <c r="AY2119" s="0" t="n">
        <f aca="false">COUNTIF(DU2119:EH2119, "&lt;&gt;")</f>
        <v>0</v>
      </c>
      <c r="AZ2119" s="0" t="n">
        <f aca="false">IF(EH2119&lt;&gt;"",1,0)</f>
        <v>0</v>
      </c>
      <c r="BB2119" s="0" t="s">
        <v>152</v>
      </c>
      <c r="BL2119" s="0" t="s">
        <v>153</v>
      </c>
      <c r="CP2119" s="0" t="s">
        <v>153</v>
      </c>
      <c r="DC2119" s="0" t="s">
        <v>153</v>
      </c>
    </row>
    <row r="2120" customFormat="false" ht="13.8" hidden="true" customHeight="false" outlineLevel="0" collapsed="false">
      <c r="A2120" s="0" t="s">
        <v>9312</v>
      </c>
      <c r="B2120" s="0" t="n">
        <v>78</v>
      </c>
      <c r="C2120" s="0" t="n">
        <v>433932</v>
      </c>
      <c r="D2120" s="0" t="s">
        <v>3975</v>
      </c>
      <c r="E2120" s="0" t="s">
        <v>9313</v>
      </c>
      <c r="F2120" s="0" t="str">
        <f aca="false">CONCATENATE(D2120," ",LEFT(H2120,4),"T=",AU2120,"D=",AV2120,"R=",AW2120,"M=",AX2120,"L=",AY2120,"B=",AZ2120)</f>
        <v>COPELAND T=10D=3R=0M=0L=0B=0</v>
      </c>
      <c r="G2120" s="0" t="s">
        <v>1128</v>
      </c>
      <c r="I2120" s="0" t="s">
        <v>9314</v>
      </c>
      <c r="J2120" s="0" t="s">
        <v>9315</v>
      </c>
      <c r="K2120" s="0" t="s">
        <v>143</v>
      </c>
      <c r="M2120" s="0" t="s">
        <v>9311</v>
      </c>
      <c r="N2120" s="0" t="str">
        <f aca="false">RIGHT(M2120,LEN(M2120)-FIND(" ",M2120))</f>
        <v>SCOTT ST NE</v>
      </c>
      <c r="P2120" s="0" t="s">
        <v>145</v>
      </c>
      <c r="Q2120" s="0" t="s">
        <v>146</v>
      </c>
      <c r="R2120" s="0" t="n">
        <v>44483</v>
      </c>
      <c r="AD2120" s="0" t="s">
        <v>147</v>
      </c>
      <c r="AE2120" s="0" t="s">
        <v>148</v>
      </c>
      <c r="AF2120" s="0" t="s">
        <v>149</v>
      </c>
      <c r="AH2120" s="0" t="n">
        <v>14</v>
      </c>
      <c r="AI2120" s="0" t="n">
        <v>11</v>
      </c>
      <c r="AN2120" s="0" t="s">
        <v>145</v>
      </c>
      <c r="AO2120" s="0" t="s">
        <v>654</v>
      </c>
      <c r="AP2120" s="0" t="s">
        <v>655</v>
      </c>
      <c r="AQ2120" s="0" t="n">
        <v>9</v>
      </c>
      <c r="AR2120" s="0" t="n">
        <v>64</v>
      </c>
      <c r="AS2120" s="0" t="n">
        <v>32</v>
      </c>
      <c r="AU2120" s="0" t="n">
        <f aca="false">COUNTA($BA$1726:$EH$1726)</f>
        <v>10</v>
      </c>
      <c r="AV2120" s="0" t="n">
        <f aca="false">COUNTIF($BA$1726:$EH$1726,"D")</f>
        <v>3</v>
      </c>
      <c r="AW2120" s="0" t="n">
        <f aca="false">COUNTIF($BA$1726:$EH$1726,"R")</f>
        <v>0</v>
      </c>
      <c r="AX2120" s="0" t="n">
        <f aca="false">IF(BN2120="D",1,0)+IF(BO2120="D",1,0)+IF(BT2120="D",1,0)+IF(BU2120="D",1,0)+IF(BW2120="D",1,0)+IF(CC2120="D",1,0)+IF(CD2120="D",1,0)+IF(CE2120="D",1,0)+IF(CF2120="D",1,0)+IF(CL2120="D",1,0)+IF(CM2120="D",1,0)+IF(CQ2120="D",1,0)+IF(CR2120="D",1,0)+IF(CS2120="D",1,0)+IF(CW2120="D",1,0)+IF(CX2120="D",1,0)+IF(DD2120="D",1,0)+IF(DE2120="D",1,0)+IF(DJ2120="D",1,0)+IF(DK2120="D",1,0)+IF(DO2120="D",1,0)+IF(DP2120="D",1,0)+IF(DQ2120="D",1,0)+IF(DW2120="D",1,0)+IF(DZ2120="D",1,0)+IF(EH2120="D",1,0)</f>
        <v>0</v>
      </c>
      <c r="AY2120" s="0" t="n">
        <f aca="false">COUNTIF(DU2120:EH2120, "&lt;&gt;")</f>
        <v>0</v>
      </c>
      <c r="AZ2120" s="0" t="n">
        <f aca="false">IF(EH2120&lt;&gt;"",1,0)</f>
        <v>0</v>
      </c>
      <c r="BB2120" s="0" t="s">
        <v>152</v>
      </c>
    </row>
    <row r="2121" customFormat="false" ht="13.8" hidden="true" customHeight="false" outlineLevel="0" collapsed="false">
      <c r="A2121" s="0" t="s">
        <v>9316</v>
      </c>
      <c r="B2121" s="0" t="n">
        <v>78</v>
      </c>
      <c r="C2121" s="0" t="n">
        <v>484029</v>
      </c>
      <c r="D2121" s="0" t="s">
        <v>9317</v>
      </c>
      <c r="E2121" s="0" t="s">
        <v>500</v>
      </c>
      <c r="F2121" s="0" t="str">
        <f aca="false">CONCATENATE(D2121," ",LEFT(H2121,4),"T=",AU2121,"D=",AV2121,"R=",AW2121,"M=",AX2121,"L=",AY2121,"B=",AZ2121)</f>
        <v>ENGLERT T=1D=0R=0M=0L=1B=0</v>
      </c>
      <c r="G2121" s="0" t="s">
        <v>164</v>
      </c>
      <c r="I2121" s="0" t="s">
        <v>9318</v>
      </c>
      <c r="J2121" s="0" t="s">
        <v>9319</v>
      </c>
      <c r="K2121" s="0" t="s">
        <v>160</v>
      </c>
      <c r="M2121" s="0" t="s">
        <v>9320</v>
      </c>
      <c r="N2121" s="0" t="str">
        <f aca="false">RIGHT(M2121,LEN(M2121)-FIND(" ",M2121))</f>
        <v>SCOTT ST NE</v>
      </c>
      <c r="P2121" s="0" t="s">
        <v>145</v>
      </c>
      <c r="Q2121" s="0" t="s">
        <v>146</v>
      </c>
      <c r="R2121" s="0" t="n">
        <v>44483</v>
      </c>
      <c r="AD2121" s="0" t="s">
        <v>147</v>
      </c>
      <c r="AE2121" s="0" t="s">
        <v>148</v>
      </c>
      <c r="AF2121" s="0" t="s">
        <v>149</v>
      </c>
      <c r="AH2121" s="0" t="n">
        <v>14</v>
      </c>
      <c r="AI2121" s="0" t="n">
        <v>11</v>
      </c>
      <c r="AN2121" s="0" t="s">
        <v>145</v>
      </c>
      <c r="AO2121" s="0" t="s">
        <v>654</v>
      </c>
      <c r="AP2121" s="0" t="s">
        <v>655</v>
      </c>
      <c r="AQ2121" s="0" t="n">
        <v>9</v>
      </c>
      <c r="AR2121" s="0" t="n">
        <v>64</v>
      </c>
      <c r="AS2121" s="0" t="n">
        <v>32</v>
      </c>
      <c r="AU2121" s="0" t="n">
        <f aca="false">COUNTA($BA$1512:$EH$1512)</f>
        <v>1</v>
      </c>
      <c r="AV2121" s="0" t="n">
        <f aca="false">COUNTIF($BA$1512:$EH$1512,"D")</f>
        <v>0</v>
      </c>
      <c r="AW2121" s="0" t="n">
        <f aca="false">COUNTIF($BA$1512:$EH$1512,"R")</f>
        <v>0</v>
      </c>
      <c r="AX2121" s="0" t="n">
        <f aca="false">IF(BN2121="D",1,0)+IF(BO2121="D",1,0)+IF(BT2121="D",1,0)+IF(BU2121="D",1,0)+IF(BW2121="D",1,0)+IF(CC2121="D",1,0)+IF(CD2121="D",1,0)+IF(CE2121="D",1,0)+IF(CF2121="D",1,0)+IF(CL2121="D",1,0)+IF(CM2121="D",1,0)+IF(CQ2121="D",1,0)+IF(CR2121="D",1,0)+IF(CS2121="D",1,0)+IF(CW2121="D",1,0)+IF(CX2121="D",1,0)+IF(DD2121="D",1,0)+IF(DE2121="D",1,0)+IF(DJ2121="D",1,0)+IF(DK2121="D",1,0)+IF(DO2121="D",1,0)+IF(DP2121="D",1,0)+IF(DQ2121="D",1,0)+IF(DW2121="D",1,0)+IF(DZ2121="D",1,0)+IF(EH2121="D",1,0)</f>
        <v>0</v>
      </c>
      <c r="AY2121" s="0" t="n">
        <f aca="false">COUNTIF(DU2121:EH2121, "&lt;&gt;")</f>
        <v>1</v>
      </c>
      <c r="AZ2121" s="0" t="n">
        <f aca="false">IF(EH2121&lt;&gt;"",1,0)</f>
        <v>0</v>
      </c>
      <c r="BB2121" s="0" t="s">
        <v>152</v>
      </c>
      <c r="DI2121" s="0" t="s">
        <v>153</v>
      </c>
      <c r="DN2121" s="0" t="s">
        <v>153</v>
      </c>
      <c r="EF2121" s="0" t="s">
        <v>153</v>
      </c>
    </row>
    <row r="2122" customFormat="false" ht="13.8" hidden="false" customHeight="false" outlineLevel="0" collapsed="false">
      <c r="A2122" s="0" t="s">
        <v>9321</v>
      </c>
      <c r="B2122" s="0" t="n">
        <v>78</v>
      </c>
      <c r="C2122" s="0" t="n">
        <v>442945</v>
      </c>
      <c r="D2122" s="0" t="s">
        <v>6458</v>
      </c>
      <c r="E2122" s="0" t="s">
        <v>4210</v>
      </c>
      <c r="F2122" s="0" t="str">
        <f aca="false">CONCATENATE(D2122," ",LEFT(H2122,4),"T=",AU2122,"D=",AV2122,"R=",AW2122,"M=",AX2122,"L=",AY2122,"B=",AZ2122)</f>
        <v>ROGERS T=14D=0R=3M=0L=2B=0</v>
      </c>
      <c r="G2122" s="0" t="s">
        <v>209</v>
      </c>
      <c r="I2122" s="0" t="s">
        <v>9322</v>
      </c>
      <c r="J2122" s="0" t="s">
        <v>9323</v>
      </c>
      <c r="K2122" s="0" t="s">
        <v>160</v>
      </c>
      <c r="M2122" s="0" t="s">
        <v>9320</v>
      </c>
      <c r="N2122" s="0" t="str">
        <f aca="false">RIGHT(M2122,LEN(M2122)-FIND(" ",M2122))</f>
        <v>SCOTT ST NE</v>
      </c>
      <c r="P2122" s="0" t="s">
        <v>145</v>
      </c>
      <c r="Q2122" s="0" t="s">
        <v>146</v>
      </c>
      <c r="R2122" s="0" t="n">
        <v>44483</v>
      </c>
      <c r="AD2122" s="0" t="s">
        <v>147</v>
      </c>
      <c r="AE2122" s="0" t="s">
        <v>148</v>
      </c>
      <c r="AF2122" s="0" t="s">
        <v>149</v>
      </c>
      <c r="AH2122" s="0" t="n">
        <v>14</v>
      </c>
      <c r="AI2122" s="0" t="n">
        <v>11</v>
      </c>
      <c r="AN2122" s="0" t="s">
        <v>145</v>
      </c>
      <c r="AO2122" s="0" t="s">
        <v>654</v>
      </c>
      <c r="AP2122" s="0" t="s">
        <v>655</v>
      </c>
      <c r="AQ2122" s="0" t="n">
        <v>9</v>
      </c>
      <c r="AR2122" s="0" t="n">
        <v>64</v>
      </c>
      <c r="AS2122" s="0" t="n">
        <v>32</v>
      </c>
      <c r="AU2122" s="0" t="n">
        <f aca="false">COUNTA($BA$1642:$EH$1642)</f>
        <v>14</v>
      </c>
      <c r="AV2122" s="0" t="n">
        <f aca="false">COUNTIF($BA$1642:$EH$1642,"D")</f>
        <v>0</v>
      </c>
      <c r="AW2122" s="0" t="n">
        <f aca="false">COUNTIF($BA$1642:$EH$1642,"R")</f>
        <v>3</v>
      </c>
      <c r="AX2122" s="0" t="n">
        <f aca="false">IF(BN2122="D",1,0)+IF(BO2122="D",1,0)+IF(BT2122="D",1,0)+IF(BU2122="D",1,0)+IF(BW2122="D",1,0)+IF(CC2122="D",1,0)+IF(CD2122="D",1,0)+IF(CE2122="D",1,0)+IF(CF2122="D",1,0)+IF(CL2122="D",1,0)+IF(CM2122="D",1,0)+IF(CQ2122="D",1,0)+IF(CR2122="D",1,0)+IF(CS2122="D",1,0)+IF(CW2122="D",1,0)+IF(CX2122="D",1,0)+IF(DD2122="D",1,0)+IF(DE2122="D",1,0)+IF(DJ2122="D",1,0)+IF(DK2122="D",1,0)+IF(DO2122="D",1,0)+IF(DP2122="D",1,0)+IF(DQ2122="D",1,0)+IF(DW2122="D",1,0)+IF(DZ2122="D",1,0)+IF(EH2122="D",1,0)</f>
        <v>0</v>
      </c>
      <c r="AY2122" s="0" t="n">
        <f aca="false">COUNTIF(DU2122:EH2122, "&lt;&gt;")</f>
        <v>2</v>
      </c>
      <c r="AZ2122" s="0" t="n">
        <f aca="false">IF(EH2122&lt;&gt;"",1,0)</f>
        <v>0</v>
      </c>
      <c r="BB2122" s="0" t="s">
        <v>152</v>
      </c>
      <c r="DN2122" s="0" t="s">
        <v>153</v>
      </c>
      <c r="EA2122" s="0" t="s">
        <v>153</v>
      </c>
      <c r="EF2122" s="0" t="s">
        <v>153</v>
      </c>
    </row>
    <row r="2123" customFormat="false" ht="13.8" hidden="false" customHeight="false" outlineLevel="0" collapsed="false">
      <c r="A2123" s="0" t="s">
        <v>9324</v>
      </c>
      <c r="B2123" s="0" t="n">
        <v>78</v>
      </c>
      <c r="C2123" s="0" t="n">
        <v>422271</v>
      </c>
      <c r="D2123" s="0" t="s">
        <v>690</v>
      </c>
      <c r="E2123" s="0" t="s">
        <v>958</v>
      </c>
      <c r="F2123" s="0" t="str">
        <f aca="false">CONCATENATE(D2123," ",LEFT(H2123,4),"T=",AU2123,"D=",AV2123,"R=",AW2123,"M=",AX2123,"L=",AY2123,"B=",AZ2123)</f>
        <v>SMITH T=2D=0R=0M=0L=2B=0</v>
      </c>
      <c r="G2123" s="0" t="s">
        <v>379</v>
      </c>
      <c r="I2123" s="0" t="s">
        <v>9325</v>
      </c>
      <c r="J2123" s="0" t="s">
        <v>1167</v>
      </c>
      <c r="K2123" s="0" t="s">
        <v>160</v>
      </c>
      <c r="M2123" s="0" t="s">
        <v>9326</v>
      </c>
      <c r="N2123" s="0" t="str">
        <f aca="false">RIGHT(M2123,LEN(M2123)-FIND(" ",M2123))</f>
        <v>SCOTT ST NE</v>
      </c>
      <c r="P2123" s="0" t="s">
        <v>145</v>
      </c>
      <c r="Q2123" s="0" t="s">
        <v>146</v>
      </c>
      <c r="R2123" s="0" t="n">
        <v>44483</v>
      </c>
      <c r="AD2123" s="0" t="s">
        <v>147</v>
      </c>
      <c r="AE2123" s="0" t="s">
        <v>148</v>
      </c>
      <c r="AF2123" s="0" t="s">
        <v>149</v>
      </c>
      <c r="AH2123" s="0" t="n">
        <v>14</v>
      </c>
      <c r="AI2123" s="0" t="n">
        <v>11</v>
      </c>
      <c r="AN2123" s="0" t="s">
        <v>145</v>
      </c>
      <c r="AO2123" s="0" t="s">
        <v>654</v>
      </c>
      <c r="AP2123" s="0" t="s">
        <v>655</v>
      </c>
      <c r="AQ2123" s="0" t="n">
        <v>9</v>
      </c>
      <c r="AR2123" s="0" t="n">
        <v>64</v>
      </c>
      <c r="AS2123" s="0" t="n">
        <v>32</v>
      </c>
      <c r="AU2123" s="0" t="n">
        <f aca="false">COUNTA($BA$1909:$EH$1909)</f>
        <v>2</v>
      </c>
      <c r="AV2123" s="0" t="n">
        <f aca="false">COUNTIF($BA$1909:$EH$1909,"D")</f>
        <v>0</v>
      </c>
      <c r="AW2123" s="0" t="n">
        <f aca="false">COUNTIF($BA$1909:$EH$1909,"R")</f>
        <v>0</v>
      </c>
      <c r="AX2123" s="0" t="n">
        <f aca="false">IF(BN2123="D",1,0)+IF(BO2123="D",1,0)+IF(BT2123="D",1,0)+IF(BU2123="D",1,0)+IF(BW2123="D",1,0)+IF(CC2123="D",1,0)+IF(CD2123="D",1,0)+IF(CE2123="D",1,0)+IF(CF2123="D",1,0)+IF(CL2123="D",1,0)+IF(CM2123="D",1,0)+IF(CQ2123="D",1,0)+IF(CR2123="D",1,0)+IF(CS2123="D",1,0)+IF(CW2123="D",1,0)+IF(CX2123="D",1,0)+IF(DD2123="D",1,0)+IF(DE2123="D",1,0)+IF(DJ2123="D",1,0)+IF(DK2123="D",1,0)+IF(DO2123="D",1,0)+IF(DP2123="D",1,0)+IF(DQ2123="D",1,0)+IF(DW2123="D",1,0)+IF(DZ2123="D",1,0)+IF(EH2123="D",1,0)</f>
        <v>0</v>
      </c>
      <c r="AY2123" s="0" t="n">
        <f aca="false">COUNTIF(DU2123:EH2123, "&lt;&gt;")</f>
        <v>2</v>
      </c>
      <c r="AZ2123" s="0" t="n">
        <f aca="false">IF(EH2123&lt;&gt;"",1,0)</f>
        <v>0</v>
      </c>
      <c r="BB2123" s="0" t="s">
        <v>152</v>
      </c>
      <c r="DC2123" s="0" t="s">
        <v>153</v>
      </c>
      <c r="DI2123" s="0" t="s">
        <v>153</v>
      </c>
      <c r="DN2123" s="0" t="s">
        <v>153</v>
      </c>
      <c r="DU2123" s="0" t="s">
        <v>153</v>
      </c>
      <c r="EF2123" s="0" t="s">
        <v>153</v>
      </c>
    </row>
    <row r="2124" customFormat="false" ht="13.8" hidden="true" customHeight="false" outlineLevel="0" collapsed="false">
      <c r="A2124" s="0" t="s">
        <v>9327</v>
      </c>
      <c r="B2124" s="0" t="n">
        <v>78</v>
      </c>
      <c r="C2124" s="0" t="n">
        <v>423724</v>
      </c>
      <c r="D2124" s="0" t="s">
        <v>690</v>
      </c>
      <c r="E2124" s="0" t="s">
        <v>1790</v>
      </c>
      <c r="F2124" s="0" t="str">
        <f aca="false">CONCATENATE(D2124," ",LEFT(H2124,4),"T=",AU2124,"D=",AV2124,"R=",AW2124,"M=",AX2124,"L=",AY2124,"B=",AZ2124)</f>
        <v>SMITH T=14D=1R=0M=0L=1B=0</v>
      </c>
      <c r="G2124" s="0" t="s">
        <v>9328</v>
      </c>
      <c r="I2124" s="0" t="s">
        <v>6171</v>
      </c>
      <c r="J2124" s="0" t="s">
        <v>283</v>
      </c>
      <c r="K2124" s="0" t="s">
        <v>160</v>
      </c>
      <c r="M2124" s="0" t="s">
        <v>9326</v>
      </c>
      <c r="N2124" s="0" t="str">
        <f aca="false">RIGHT(M2124,LEN(M2124)-FIND(" ",M2124))</f>
        <v>SCOTT ST NE</v>
      </c>
      <c r="P2124" s="0" t="s">
        <v>145</v>
      </c>
      <c r="Q2124" s="0" t="s">
        <v>146</v>
      </c>
      <c r="R2124" s="0" t="n">
        <v>44483</v>
      </c>
      <c r="AD2124" s="0" t="s">
        <v>147</v>
      </c>
      <c r="AE2124" s="0" t="s">
        <v>148</v>
      </c>
      <c r="AF2124" s="0" t="s">
        <v>149</v>
      </c>
      <c r="AH2124" s="0" t="n">
        <v>14</v>
      </c>
      <c r="AI2124" s="0" t="n">
        <v>11</v>
      </c>
      <c r="AN2124" s="0" t="s">
        <v>145</v>
      </c>
      <c r="AO2124" s="0" t="s">
        <v>654</v>
      </c>
      <c r="AP2124" s="0" t="s">
        <v>655</v>
      </c>
      <c r="AQ2124" s="0" t="n">
        <v>9</v>
      </c>
      <c r="AR2124" s="0" t="n">
        <v>64</v>
      </c>
      <c r="AS2124" s="0" t="n">
        <v>32</v>
      </c>
      <c r="AU2124" s="0" t="n">
        <f aca="false">COUNTA($BA$1997:$EH$1997)</f>
        <v>14</v>
      </c>
      <c r="AV2124" s="0" t="n">
        <f aca="false">COUNTIF($BA$1997:$EH$1997,"D")</f>
        <v>1</v>
      </c>
      <c r="AW2124" s="0" t="n">
        <f aca="false">COUNTIF($BA$1997:$EH$1997,"R")</f>
        <v>0</v>
      </c>
      <c r="AX2124" s="0" t="n">
        <f aca="false">IF(BN2124="D",1,0)+IF(BO2124="D",1,0)+IF(BT2124="D",1,0)+IF(BU2124="D",1,0)+IF(BW2124="D",1,0)+IF(CC2124="D",1,0)+IF(CD2124="D",1,0)+IF(CE2124="D",1,0)+IF(CF2124="D",1,0)+IF(CL2124="D",1,0)+IF(CM2124="D",1,0)+IF(CQ2124="D",1,0)+IF(CR2124="D",1,0)+IF(CS2124="D",1,0)+IF(CW2124="D",1,0)+IF(CX2124="D",1,0)+IF(DD2124="D",1,0)+IF(DE2124="D",1,0)+IF(DJ2124="D",1,0)+IF(DK2124="D",1,0)+IF(DO2124="D",1,0)+IF(DP2124="D",1,0)+IF(DQ2124="D",1,0)+IF(DW2124="D",1,0)+IF(DZ2124="D",1,0)+IF(EH2124="D",1,0)</f>
        <v>0</v>
      </c>
      <c r="AY2124" s="0" t="n">
        <f aca="false">COUNTIF(DU2124:EH2124, "&lt;&gt;")</f>
        <v>1</v>
      </c>
      <c r="AZ2124" s="0" t="n">
        <f aca="false">IF(EH2124&lt;&gt;"",1,0)</f>
        <v>0</v>
      </c>
      <c r="BB2124" s="0" t="s">
        <v>152</v>
      </c>
      <c r="DI2124" s="0" t="s">
        <v>153</v>
      </c>
      <c r="DN2124" s="0" t="s">
        <v>153</v>
      </c>
      <c r="EF2124" s="0" t="s">
        <v>153</v>
      </c>
    </row>
    <row r="2125" customFormat="false" ht="13.8" hidden="false" customHeight="false" outlineLevel="0" collapsed="false">
      <c r="A2125" s="0" t="s">
        <v>9329</v>
      </c>
      <c r="B2125" s="0" t="n">
        <v>78</v>
      </c>
      <c r="C2125" s="0" t="n">
        <v>237529</v>
      </c>
      <c r="D2125" s="0" t="s">
        <v>4295</v>
      </c>
      <c r="E2125" s="0" t="s">
        <v>224</v>
      </c>
      <c r="F2125" s="0" t="str">
        <f aca="false">CONCATENATE(D2125," ",LEFT(H2125,4),"T=",AU2125,"D=",AV2125,"R=",AW2125,"M=",AX2125,"L=",AY2125,"B=",AZ2125)</f>
        <v>PROVITT T=15D=5R=0M=1L=4B=0</v>
      </c>
      <c r="G2125" s="0" t="s">
        <v>190</v>
      </c>
      <c r="I2125" s="0" t="s">
        <v>9330</v>
      </c>
      <c r="J2125" s="0" t="s">
        <v>2007</v>
      </c>
      <c r="K2125" s="0" t="s">
        <v>160</v>
      </c>
      <c r="L2125" s="0" t="s">
        <v>209</v>
      </c>
      <c r="M2125" s="0" t="s">
        <v>9331</v>
      </c>
      <c r="N2125" s="0" t="str">
        <f aca="false">RIGHT(M2125,LEN(M2125)-FIND(" ",M2125))</f>
        <v>SCOTT ST NE</v>
      </c>
      <c r="P2125" s="0" t="s">
        <v>145</v>
      </c>
      <c r="Q2125" s="0" t="s">
        <v>146</v>
      </c>
      <c r="R2125" s="0" t="n">
        <v>44483</v>
      </c>
      <c r="AD2125" s="0" t="s">
        <v>147</v>
      </c>
      <c r="AE2125" s="0" t="s">
        <v>148</v>
      </c>
      <c r="AF2125" s="0" t="s">
        <v>149</v>
      </c>
      <c r="AH2125" s="0" t="n">
        <v>14</v>
      </c>
      <c r="AI2125" s="0" t="n">
        <v>11</v>
      </c>
      <c r="AN2125" s="0" t="s">
        <v>145</v>
      </c>
      <c r="AO2125" s="0" t="s">
        <v>654</v>
      </c>
      <c r="AP2125" s="0" t="s">
        <v>655</v>
      </c>
      <c r="AQ2125" s="0" t="n">
        <v>9</v>
      </c>
      <c r="AR2125" s="0" t="n">
        <v>64</v>
      </c>
      <c r="AS2125" s="0" t="n">
        <v>32</v>
      </c>
      <c r="AU2125" s="0" t="n">
        <f aca="false">COUNTA($BA$1821:$EH$1821)</f>
        <v>15</v>
      </c>
      <c r="AV2125" s="0" t="n">
        <f aca="false">COUNTIF($BA$1821:$EH$1821,"D")</f>
        <v>5</v>
      </c>
      <c r="AW2125" s="0" t="n">
        <f aca="false">COUNTIF($BA$1821:$EH$1821,"R")</f>
        <v>0</v>
      </c>
      <c r="AX2125" s="0" t="n">
        <f aca="false">IF(BN2125="D",1,0)+IF(BO2125="D",1,0)+IF(BT2125="D",1,0)+IF(BU2125="D",1,0)+IF(BW2125="D",1,0)+IF(CC2125="D",1,0)+IF(CD2125="D",1,0)+IF(CE2125="D",1,0)+IF(CF2125="D",1,0)+IF(CL2125="D",1,0)+IF(CM2125="D",1,0)+IF(CQ2125="D",1,0)+IF(CR2125="D",1,0)+IF(CS2125="D",1,0)+IF(CW2125="D",1,0)+IF(CX2125="D",1,0)+IF(DD2125="D",1,0)+IF(DE2125="D",1,0)+IF(DJ2125="D",1,0)+IF(DK2125="D",1,0)+IF(DO2125="D",1,0)+IF(DP2125="D",1,0)+IF(DQ2125="D",1,0)+IF(DW2125="D",1,0)+IF(DZ2125="D",1,0)+IF(EH2125="D",1,0)</f>
        <v>1</v>
      </c>
      <c r="AY2125" s="0" t="n">
        <f aca="false">COUNTIF(DU2125:EH2125, "&lt;&gt;")</f>
        <v>4</v>
      </c>
      <c r="AZ2125" s="0" t="n">
        <f aca="false">IF(EH2125&lt;&gt;"",1,0)</f>
        <v>0</v>
      </c>
      <c r="BB2125" s="0" t="s">
        <v>152</v>
      </c>
      <c r="BC2125" s="0" t="s">
        <v>153</v>
      </c>
      <c r="BD2125" s="0" t="s">
        <v>153</v>
      </c>
      <c r="BE2125" s="0" t="s">
        <v>153</v>
      </c>
      <c r="BH2125" s="0" t="s">
        <v>153</v>
      </c>
      <c r="BI2125" s="0" t="s">
        <v>153</v>
      </c>
      <c r="BK2125" s="0" t="s">
        <v>153</v>
      </c>
      <c r="BL2125" s="0" t="s">
        <v>153</v>
      </c>
      <c r="BP2125" s="0" t="s">
        <v>153</v>
      </c>
      <c r="BS2125" s="0" t="s">
        <v>153</v>
      </c>
      <c r="BY2125" s="0" t="s">
        <v>175</v>
      </c>
      <c r="CA2125" s="0" t="s">
        <v>153</v>
      </c>
      <c r="CL2125" s="0" t="s">
        <v>175</v>
      </c>
      <c r="CN2125" s="0" t="s">
        <v>153</v>
      </c>
      <c r="CP2125" s="0" t="s">
        <v>153</v>
      </c>
      <c r="DC2125" s="0" t="s">
        <v>153</v>
      </c>
      <c r="DI2125" s="0" t="s">
        <v>153</v>
      </c>
      <c r="DN2125" s="0" t="s">
        <v>153</v>
      </c>
      <c r="DU2125" s="0" t="s">
        <v>153</v>
      </c>
      <c r="EA2125" s="0" t="s">
        <v>153</v>
      </c>
      <c r="ED2125" s="0" t="s">
        <v>209</v>
      </c>
      <c r="EF2125" s="0" t="s">
        <v>153</v>
      </c>
    </row>
    <row r="2126" customFormat="false" ht="13.8" hidden="true" customHeight="false" outlineLevel="0" collapsed="false">
      <c r="A2126" s="0" t="s">
        <v>9332</v>
      </c>
      <c r="B2126" s="0" t="n">
        <v>78</v>
      </c>
      <c r="C2126" s="0" t="n">
        <v>450249</v>
      </c>
      <c r="D2126" s="0" t="s">
        <v>9333</v>
      </c>
      <c r="E2126" s="0" t="s">
        <v>2428</v>
      </c>
      <c r="F2126" s="0" t="str">
        <f aca="false">CONCATENATE(D2126," ",LEFT(H2126,4),"T=",AU2126,"D=",AV2126,"R=",AW2126,"M=",AX2126,"L=",AY2126,"B=",AZ2126)</f>
        <v>SARVEY T=1D=0R=0M=0L=1B=0</v>
      </c>
      <c r="G2126" s="0" t="s">
        <v>2456</v>
      </c>
      <c r="I2126" s="0" t="s">
        <v>687</v>
      </c>
      <c r="J2126" s="0" t="s">
        <v>6042</v>
      </c>
      <c r="K2126" s="0" t="s">
        <v>160</v>
      </c>
      <c r="M2126" s="0" t="s">
        <v>9331</v>
      </c>
      <c r="N2126" s="0" t="str">
        <f aca="false">RIGHT(M2126,LEN(M2126)-FIND(" ",M2126))</f>
        <v>SCOTT ST NE</v>
      </c>
      <c r="P2126" s="0" t="s">
        <v>145</v>
      </c>
      <c r="Q2126" s="0" t="s">
        <v>146</v>
      </c>
      <c r="R2126" s="0" t="n">
        <v>44483</v>
      </c>
      <c r="AD2126" s="0" t="s">
        <v>147</v>
      </c>
      <c r="AE2126" s="0" t="s">
        <v>148</v>
      </c>
      <c r="AF2126" s="0" t="s">
        <v>149</v>
      </c>
      <c r="AH2126" s="0" t="n">
        <v>14</v>
      </c>
      <c r="AI2126" s="0" t="n">
        <v>11</v>
      </c>
      <c r="AN2126" s="0" t="s">
        <v>145</v>
      </c>
      <c r="AO2126" s="0" t="s">
        <v>654</v>
      </c>
      <c r="AP2126" s="0" t="s">
        <v>655</v>
      </c>
      <c r="AQ2126" s="0" t="n">
        <v>9</v>
      </c>
      <c r="AR2126" s="0" t="n">
        <v>64</v>
      </c>
      <c r="AS2126" s="0" t="n">
        <v>32</v>
      </c>
      <c r="AU2126" s="0" t="n">
        <f aca="false">COUNTA($BA$2023:$EH$2023)</f>
        <v>1</v>
      </c>
      <c r="AV2126" s="0" t="n">
        <f aca="false">COUNTIF($BA$2023:$EH$2023,"D")</f>
        <v>0</v>
      </c>
      <c r="AW2126" s="0" t="n">
        <f aca="false">COUNTIF($BA$2023:$EH$2023,"R")</f>
        <v>0</v>
      </c>
      <c r="AX2126" s="0" t="n">
        <f aca="false">IF(BN2126="D",1,0)+IF(BO2126="D",1,0)+IF(BT2126="D",1,0)+IF(BU2126="D",1,0)+IF(BW2126="D",1,0)+IF(CC2126="D",1,0)+IF(CD2126="D",1,0)+IF(CE2126="D",1,0)+IF(CF2126="D",1,0)+IF(CL2126="D",1,0)+IF(CM2126="D",1,0)+IF(CQ2126="D",1,0)+IF(CR2126="D",1,0)+IF(CS2126="D",1,0)+IF(CW2126="D",1,0)+IF(CX2126="D",1,0)+IF(DD2126="D",1,0)+IF(DE2126="D",1,0)+IF(DJ2126="D",1,0)+IF(DK2126="D",1,0)+IF(DO2126="D",1,0)+IF(DP2126="D",1,0)+IF(DQ2126="D",1,0)+IF(DW2126="D",1,0)+IF(DZ2126="D",1,0)+IF(EH2126="D",1,0)</f>
        <v>0</v>
      </c>
      <c r="AY2126" s="0" t="n">
        <f aca="false">COUNTIF(DU2126:EH2126, "&lt;&gt;")</f>
        <v>1</v>
      </c>
      <c r="AZ2126" s="0" t="n">
        <f aca="false">IF(EH2126&lt;&gt;"",1,0)</f>
        <v>0</v>
      </c>
      <c r="BB2126" s="0" t="s">
        <v>152</v>
      </c>
      <c r="BC2126" s="0" t="s">
        <v>153</v>
      </c>
      <c r="BH2126" s="0" t="s">
        <v>153</v>
      </c>
      <c r="EF2126" s="0" t="s">
        <v>153</v>
      </c>
    </row>
    <row r="2127" customFormat="false" ht="13.8" hidden="false" customHeight="false" outlineLevel="0" collapsed="false">
      <c r="A2127" s="0" t="s">
        <v>9334</v>
      </c>
      <c r="B2127" s="0" t="n">
        <v>78</v>
      </c>
      <c r="C2127" s="0" t="n">
        <v>315315</v>
      </c>
      <c r="D2127" s="0" t="s">
        <v>9335</v>
      </c>
      <c r="E2127" s="0" t="s">
        <v>331</v>
      </c>
      <c r="F2127" s="0" t="str">
        <f aca="false">CONCATENATE(D2127," ",LEFT(H2127,4),"T=",AU2127,"D=",AV2127,"R=",AW2127,"M=",AX2127,"L=",AY2127,"B=",AZ2127)</f>
        <v>DEAL T=37D=7R=1M=0L=5B=0</v>
      </c>
      <c r="G2127" s="0" t="s">
        <v>195</v>
      </c>
      <c r="I2127" s="0" t="s">
        <v>9336</v>
      </c>
      <c r="J2127" s="0" t="s">
        <v>9337</v>
      </c>
      <c r="K2127" s="0" t="s">
        <v>160</v>
      </c>
      <c r="L2127" s="0" t="s">
        <v>209</v>
      </c>
      <c r="M2127" s="0" t="s">
        <v>9338</v>
      </c>
      <c r="N2127" s="0" t="str">
        <f aca="false">RIGHT(M2127,LEN(M2127)-FIND(" ",M2127))</f>
        <v>SCOTT ST NE</v>
      </c>
      <c r="P2127" s="0" t="s">
        <v>145</v>
      </c>
      <c r="Q2127" s="0" t="s">
        <v>146</v>
      </c>
      <c r="R2127" s="0" t="n">
        <v>44483</v>
      </c>
      <c r="AD2127" s="0" t="s">
        <v>147</v>
      </c>
      <c r="AE2127" s="0" t="s">
        <v>148</v>
      </c>
      <c r="AF2127" s="0" t="s">
        <v>149</v>
      </c>
      <c r="AH2127" s="0" t="n">
        <v>14</v>
      </c>
      <c r="AI2127" s="0" t="n">
        <v>11</v>
      </c>
      <c r="AN2127" s="0" t="s">
        <v>145</v>
      </c>
      <c r="AO2127" s="0" t="s">
        <v>654</v>
      </c>
      <c r="AP2127" s="0" t="s">
        <v>655</v>
      </c>
      <c r="AQ2127" s="0" t="n">
        <v>9</v>
      </c>
      <c r="AR2127" s="0" t="n">
        <v>64</v>
      </c>
      <c r="AS2127" s="0" t="n">
        <v>32</v>
      </c>
      <c r="AU2127" s="0" t="n">
        <f aca="false">COUNTA($BA$1215:$EH$1215)</f>
        <v>37</v>
      </c>
      <c r="AV2127" s="0" t="n">
        <f aca="false">COUNTIF($BA$1215:$EH$1215,"D")</f>
        <v>7</v>
      </c>
      <c r="AW2127" s="0" t="n">
        <f aca="false">COUNTIF($BA$1215:$EH$1215,"R")</f>
        <v>1</v>
      </c>
      <c r="AX2127" s="0" t="n">
        <f aca="false">IF(BN2127="D",1,0)+IF(BO2127="D",1,0)+IF(BT2127="D",1,0)+IF(BU2127="D",1,0)+IF(BW2127="D",1,0)+IF(CC2127="D",1,0)+IF(CD2127="D",1,0)+IF(CE2127="D",1,0)+IF(CF2127="D",1,0)+IF(CL2127="D",1,0)+IF(CM2127="D",1,0)+IF(CQ2127="D",1,0)+IF(CR2127="D",1,0)+IF(CS2127="D",1,0)+IF(CW2127="D",1,0)+IF(CX2127="D",1,0)+IF(DD2127="D",1,0)+IF(DE2127="D",1,0)+IF(DJ2127="D",1,0)+IF(DK2127="D",1,0)+IF(DO2127="D",1,0)+IF(DP2127="D",1,0)+IF(DQ2127="D",1,0)+IF(DW2127="D",1,0)+IF(DZ2127="D",1,0)+IF(EH2127="D",1,0)</f>
        <v>0</v>
      </c>
      <c r="AY2127" s="0" t="n">
        <f aca="false">COUNTIF(DU2127:EH2127, "&lt;&gt;")</f>
        <v>5</v>
      </c>
      <c r="AZ2127" s="0" t="n">
        <f aca="false">IF(EH2127&lt;&gt;"",1,0)</f>
        <v>0</v>
      </c>
      <c r="BB2127" s="0" t="s">
        <v>152</v>
      </c>
      <c r="BJ2127" s="0" t="s">
        <v>153</v>
      </c>
      <c r="BL2127" s="0" t="s">
        <v>153</v>
      </c>
      <c r="BP2127" s="0" t="s">
        <v>153</v>
      </c>
      <c r="BR2127" s="0" t="s">
        <v>153</v>
      </c>
      <c r="BS2127" s="0" t="s">
        <v>153</v>
      </c>
      <c r="BV2127" s="0" t="s">
        <v>153</v>
      </c>
      <c r="BY2127" s="0" t="s">
        <v>209</v>
      </c>
      <c r="CA2127" s="0" t="s">
        <v>153</v>
      </c>
      <c r="CG2127" s="0" t="s">
        <v>153</v>
      </c>
      <c r="CH2127" s="0" t="s">
        <v>209</v>
      </c>
      <c r="CK2127" s="0" t="s">
        <v>153</v>
      </c>
      <c r="CN2127" s="0" t="s">
        <v>153</v>
      </c>
      <c r="CO2127" s="0" t="s">
        <v>209</v>
      </c>
      <c r="CP2127" s="0" t="s">
        <v>153</v>
      </c>
      <c r="CT2127" s="0" t="s">
        <v>153</v>
      </c>
      <c r="CU2127" s="0" t="s">
        <v>209</v>
      </c>
      <c r="CV2127" s="0" t="s">
        <v>153</v>
      </c>
      <c r="CY2127" s="0" t="s">
        <v>153</v>
      </c>
      <c r="CZ2127" s="0" t="s">
        <v>209</v>
      </c>
      <c r="DC2127" s="0" t="s">
        <v>153</v>
      </c>
      <c r="DF2127" s="0" t="s">
        <v>153</v>
      </c>
      <c r="DG2127" s="0" t="s">
        <v>209</v>
      </c>
      <c r="DI2127" s="0" t="s">
        <v>153</v>
      </c>
      <c r="DM2127" s="0" t="s">
        <v>209</v>
      </c>
      <c r="DN2127" s="0" t="s">
        <v>153</v>
      </c>
      <c r="DR2127" s="0" t="s">
        <v>153</v>
      </c>
      <c r="DS2127" s="0" t="s">
        <v>209</v>
      </c>
      <c r="DU2127" s="0" t="s">
        <v>153</v>
      </c>
      <c r="DX2127" s="0" t="s">
        <v>153</v>
      </c>
      <c r="EA2127" s="0" t="s">
        <v>153</v>
      </c>
      <c r="ED2127" s="0" t="s">
        <v>209</v>
      </c>
      <c r="EF2127" s="0" t="s">
        <v>153</v>
      </c>
    </row>
    <row r="2128" customFormat="false" ht="13.8" hidden="true" customHeight="false" outlineLevel="0" collapsed="false">
      <c r="A2128" s="0" t="s">
        <v>9339</v>
      </c>
      <c r="B2128" s="0" t="n">
        <v>78</v>
      </c>
      <c r="C2128" s="0" t="n">
        <v>460397</v>
      </c>
      <c r="D2128" s="0" t="s">
        <v>9340</v>
      </c>
      <c r="E2128" s="0" t="s">
        <v>2885</v>
      </c>
      <c r="F2128" s="0" t="str">
        <f aca="false">CONCATENATE(D2128," ",LEFT(H2128,4),"T=",AU2128,"D=",AV2128,"R=",AW2128,"M=",AX2128,"L=",AY2128,"B=",AZ2128)</f>
        <v>CAPAN T=6D=1R=1M=0L=0B=0</v>
      </c>
      <c r="G2128" s="0" t="s">
        <v>558</v>
      </c>
      <c r="I2128" s="0" t="s">
        <v>9341</v>
      </c>
      <c r="J2128" s="0" t="s">
        <v>6731</v>
      </c>
      <c r="K2128" s="0" t="s">
        <v>160</v>
      </c>
      <c r="M2128" s="0" t="s">
        <v>9342</v>
      </c>
      <c r="N2128" s="0" t="str">
        <f aca="false">RIGHT(M2128,LEN(M2128)-FIND(" ",M2128))</f>
        <v>SCOTT ST NE</v>
      </c>
      <c r="P2128" s="0" t="s">
        <v>145</v>
      </c>
      <c r="Q2128" s="0" t="s">
        <v>146</v>
      </c>
      <c r="R2128" s="0" t="n">
        <v>44483</v>
      </c>
      <c r="AD2128" s="0" t="s">
        <v>147</v>
      </c>
      <c r="AE2128" s="0" t="s">
        <v>148</v>
      </c>
      <c r="AF2128" s="0" t="s">
        <v>149</v>
      </c>
      <c r="AH2128" s="0" t="n">
        <v>14</v>
      </c>
      <c r="AI2128" s="0" t="n">
        <v>11</v>
      </c>
      <c r="AN2128" s="0" t="s">
        <v>145</v>
      </c>
      <c r="AO2128" s="0" t="s">
        <v>654</v>
      </c>
      <c r="AP2128" s="0" t="s">
        <v>655</v>
      </c>
      <c r="AQ2128" s="0" t="n">
        <v>9</v>
      </c>
      <c r="AR2128" s="0" t="n">
        <v>64</v>
      </c>
      <c r="AS2128" s="0" t="n">
        <v>32</v>
      </c>
      <c r="AU2128" s="0" t="n">
        <f aca="false">COUNTA($BA$1122:$EH$1122)</f>
        <v>6</v>
      </c>
      <c r="AV2128" s="0" t="n">
        <f aca="false">COUNTIF($BA$1122:$EH$1122,"D")</f>
        <v>1</v>
      </c>
      <c r="AW2128" s="0" t="n">
        <f aca="false">COUNTIF($BA$1122:$EH$1122,"R")</f>
        <v>1</v>
      </c>
      <c r="AX2128" s="0" t="n">
        <f aca="false">IF(BN2128="D",1,0)+IF(BO2128="D",1,0)+IF(BT2128="D",1,0)+IF(BU2128="D",1,0)+IF(BW2128="D",1,0)+IF(CC2128="D",1,0)+IF(CD2128="D",1,0)+IF(CE2128="D",1,0)+IF(CF2128="D",1,0)+IF(CL2128="D",1,0)+IF(CM2128="D",1,0)+IF(CQ2128="D",1,0)+IF(CR2128="D",1,0)+IF(CS2128="D",1,0)+IF(CW2128="D",1,0)+IF(CX2128="D",1,0)+IF(DD2128="D",1,0)+IF(DE2128="D",1,0)+IF(DJ2128="D",1,0)+IF(DK2128="D",1,0)+IF(DO2128="D",1,0)+IF(DP2128="D",1,0)+IF(DQ2128="D",1,0)+IF(DW2128="D",1,0)+IF(DZ2128="D",1,0)+IF(EH2128="D",1,0)</f>
        <v>0</v>
      </c>
      <c r="AY2128" s="0" t="n">
        <f aca="false">COUNTIF(DU2128:EH2128, "&lt;&gt;")</f>
        <v>0</v>
      </c>
      <c r="AZ2128" s="0" t="n">
        <f aca="false">IF(EH2128&lt;&gt;"",1,0)</f>
        <v>0</v>
      </c>
      <c r="BB2128" s="0" t="s">
        <v>152</v>
      </c>
      <c r="CT2128" s="0" t="s">
        <v>153</v>
      </c>
      <c r="CY2128" s="0" t="s">
        <v>153</v>
      </c>
      <c r="DC2128" s="0" t="s">
        <v>153</v>
      </c>
      <c r="DN2128" s="0" t="s">
        <v>153</v>
      </c>
    </row>
    <row r="2129" customFormat="false" ht="13.8" hidden="true" customHeight="false" outlineLevel="0" collapsed="false">
      <c r="A2129" s="0" t="s">
        <v>9343</v>
      </c>
      <c r="B2129" s="0" t="n">
        <v>78</v>
      </c>
      <c r="C2129" s="0" t="n">
        <v>449298</v>
      </c>
      <c r="D2129" s="0" t="s">
        <v>9344</v>
      </c>
      <c r="E2129" s="0" t="s">
        <v>1710</v>
      </c>
      <c r="F2129" s="0" t="str">
        <f aca="false">CONCATENATE(D2129," ",LEFT(H2129,4),"T=",AU2129,"D=",AV2129,"R=",AW2129,"M=",AX2129,"L=",AY2129,"B=",AZ2129)</f>
        <v>FRIETZE T=11D=0R=1M=0L=0B=0</v>
      </c>
      <c r="G2129" s="0" t="s">
        <v>9345</v>
      </c>
      <c r="I2129" s="0" t="s">
        <v>9235</v>
      </c>
      <c r="J2129" s="0" t="s">
        <v>2322</v>
      </c>
      <c r="K2129" s="0" t="s">
        <v>143</v>
      </c>
      <c r="M2129" s="0" t="s">
        <v>9342</v>
      </c>
      <c r="N2129" s="0" t="str">
        <f aca="false">RIGHT(M2129,LEN(M2129)-FIND(" ",M2129))</f>
        <v>SCOTT ST NE</v>
      </c>
      <c r="P2129" s="0" t="s">
        <v>145</v>
      </c>
      <c r="Q2129" s="0" t="s">
        <v>146</v>
      </c>
      <c r="R2129" s="0" t="n">
        <v>44483</v>
      </c>
      <c r="AD2129" s="0" t="s">
        <v>147</v>
      </c>
      <c r="AE2129" s="0" t="s">
        <v>148</v>
      </c>
      <c r="AF2129" s="0" t="s">
        <v>149</v>
      </c>
      <c r="AH2129" s="0" t="n">
        <v>14</v>
      </c>
      <c r="AI2129" s="0" t="n">
        <v>11</v>
      </c>
      <c r="AN2129" s="0" t="s">
        <v>145</v>
      </c>
      <c r="AO2129" s="0" t="s">
        <v>654</v>
      </c>
      <c r="AP2129" s="0" t="s">
        <v>655</v>
      </c>
      <c r="AQ2129" s="0" t="n">
        <v>9</v>
      </c>
      <c r="AR2129" s="0" t="n">
        <v>64</v>
      </c>
      <c r="AS2129" s="0" t="n">
        <v>32</v>
      </c>
      <c r="AU2129" s="0" t="n">
        <f aca="false">COUNTA($BA$1428:$EH$1428)</f>
        <v>11</v>
      </c>
      <c r="AV2129" s="0" t="n">
        <f aca="false">COUNTIF($BA$1428:$EH$1428,"D")</f>
        <v>0</v>
      </c>
      <c r="AW2129" s="0" t="n">
        <f aca="false">COUNTIF($BA$1428:$EH$1428,"R")</f>
        <v>1</v>
      </c>
      <c r="AX2129" s="0" t="n">
        <f aca="false">IF(BN2129="D",1,0)+IF(BO2129="D",1,0)+IF(BT2129="D",1,0)+IF(BU2129="D",1,0)+IF(BW2129="D",1,0)+IF(CC2129="D",1,0)+IF(CD2129="D",1,0)+IF(CE2129="D",1,0)+IF(CF2129="D",1,0)+IF(CL2129="D",1,0)+IF(CM2129="D",1,0)+IF(CQ2129="D",1,0)+IF(CR2129="D",1,0)+IF(CS2129="D",1,0)+IF(CW2129="D",1,0)+IF(CX2129="D",1,0)+IF(DD2129="D",1,0)+IF(DE2129="D",1,0)+IF(DJ2129="D",1,0)+IF(DK2129="D",1,0)+IF(DO2129="D",1,0)+IF(DP2129="D",1,0)+IF(DQ2129="D",1,0)+IF(DW2129="D",1,0)+IF(DZ2129="D",1,0)+IF(EH2129="D",1,0)</f>
        <v>0</v>
      </c>
      <c r="AY2129" s="0" t="n">
        <f aca="false">COUNTIF(DU2129:EH2129, "&lt;&gt;")</f>
        <v>0</v>
      </c>
      <c r="AZ2129" s="0" t="n">
        <f aca="false">IF(EH2129&lt;&gt;"",1,0)</f>
        <v>0</v>
      </c>
      <c r="BB2129" s="0" t="s">
        <v>152</v>
      </c>
      <c r="DI2129" s="0" t="s">
        <v>153</v>
      </c>
    </row>
    <row r="2130" customFormat="false" ht="13.8" hidden="false" customHeight="false" outlineLevel="0" collapsed="false">
      <c r="A2130" s="0" t="s">
        <v>9346</v>
      </c>
      <c r="B2130" s="0" t="n">
        <v>78</v>
      </c>
      <c r="C2130" s="0" t="n">
        <v>408777</v>
      </c>
      <c r="D2130" s="0" t="s">
        <v>9347</v>
      </c>
      <c r="E2130" s="0" t="s">
        <v>9348</v>
      </c>
      <c r="F2130" s="0" t="str">
        <f aca="false">CONCATENATE(D2130," ",LEFT(H2130,4),"T=",AU2130,"D=",AV2130,"R=",AW2130,"M=",AX2130,"L=",AY2130,"B=",AZ2130)</f>
        <v>GASKILL T=3D=0R=0M=0L=2B=0</v>
      </c>
      <c r="G2130" s="0" t="s">
        <v>517</v>
      </c>
      <c r="I2130" s="0" t="s">
        <v>9349</v>
      </c>
      <c r="J2130" s="0" t="s">
        <v>1341</v>
      </c>
      <c r="K2130" s="0" t="s">
        <v>160</v>
      </c>
      <c r="M2130" s="0" t="s">
        <v>9350</v>
      </c>
      <c r="N2130" s="0" t="str">
        <f aca="false">RIGHT(M2130,LEN(M2130)-FIND(" ",M2130))</f>
        <v>SCOTT ST NE</v>
      </c>
      <c r="P2130" s="0" t="s">
        <v>145</v>
      </c>
      <c r="Q2130" s="0" t="s">
        <v>146</v>
      </c>
      <c r="R2130" s="0" t="n">
        <v>44483</v>
      </c>
      <c r="AD2130" s="0" t="s">
        <v>147</v>
      </c>
      <c r="AE2130" s="0" t="s">
        <v>148</v>
      </c>
      <c r="AF2130" s="0" t="s">
        <v>149</v>
      </c>
      <c r="AH2130" s="0" t="n">
        <v>14</v>
      </c>
      <c r="AI2130" s="0" t="n">
        <v>11</v>
      </c>
      <c r="AN2130" s="0" t="s">
        <v>145</v>
      </c>
      <c r="AO2130" s="0" t="s">
        <v>654</v>
      </c>
      <c r="AP2130" s="0" t="s">
        <v>655</v>
      </c>
      <c r="AQ2130" s="0" t="n">
        <v>9</v>
      </c>
      <c r="AR2130" s="0" t="n">
        <v>64</v>
      </c>
      <c r="AS2130" s="0" t="n">
        <v>32</v>
      </c>
      <c r="AU2130" s="0" t="n">
        <f aca="false">COUNTA($BA$1424:$EH$1424)</f>
        <v>3</v>
      </c>
      <c r="AV2130" s="0" t="n">
        <f aca="false">COUNTIF($BA$1424:$EH$1424,"D")</f>
        <v>0</v>
      </c>
      <c r="AW2130" s="0" t="n">
        <f aca="false">COUNTIF($BA$1424:$EH$1424,"R")</f>
        <v>0</v>
      </c>
      <c r="AX2130" s="0" t="n">
        <f aca="false">IF(BN2130="D",1,0)+IF(BO2130="D",1,0)+IF(BT2130="D",1,0)+IF(BU2130="D",1,0)+IF(BW2130="D",1,0)+IF(CC2130="D",1,0)+IF(CD2130="D",1,0)+IF(CE2130="D",1,0)+IF(CF2130="D",1,0)+IF(CL2130="D",1,0)+IF(CM2130="D",1,0)+IF(CQ2130="D",1,0)+IF(CR2130="D",1,0)+IF(CS2130="D",1,0)+IF(CW2130="D",1,0)+IF(CX2130="D",1,0)+IF(DD2130="D",1,0)+IF(DE2130="D",1,0)+IF(DJ2130="D",1,0)+IF(DK2130="D",1,0)+IF(DO2130="D",1,0)+IF(DP2130="D",1,0)+IF(DQ2130="D",1,0)+IF(DW2130="D",1,0)+IF(DZ2130="D",1,0)+IF(EH2130="D",1,0)</f>
        <v>0</v>
      </c>
      <c r="AY2130" s="0" t="n">
        <f aca="false">COUNTIF(DU2130:EH2130, "&lt;&gt;")</f>
        <v>2</v>
      </c>
      <c r="AZ2130" s="0" t="n">
        <f aca="false">IF(EH2130&lt;&gt;"",1,0)</f>
        <v>0</v>
      </c>
      <c r="BB2130" s="0" t="s">
        <v>152</v>
      </c>
      <c r="DN2130" s="0" t="s">
        <v>153</v>
      </c>
      <c r="EA2130" s="0" t="s">
        <v>153</v>
      </c>
      <c r="EF2130" s="0" t="s">
        <v>153</v>
      </c>
    </row>
    <row r="2131" customFormat="false" ht="13.8" hidden="false" customHeight="false" outlineLevel="0" collapsed="false">
      <c r="A2131" s="0" t="s">
        <v>9351</v>
      </c>
      <c r="B2131" s="0" t="n">
        <v>78</v>
      </c>
      <c r="C2131" s="0" t="n">
        <v>357149</v>
      </c>
      <c r="D2131" s="0" t="s">
        <v>9352</v>
      </c>
      <c r="E2131" s="0" t="s">
        <v>9353</v>
      </c>
      <c r="F2131" s="0" t="str">
        <f aca="false">CONCATENATE(D2131," ",LEFT(H2131,4),"T=",AU2131,"D=",AV2131,"R=",AW2131,"M=",AX2131,"L=",AY2131,"B=",AZ2131)</f>
        <v>SHRUM T=1D=0R=0M=0L=4B=0</v>
      </c>
      <c r="G2131" s="0" t="s">
        <v>164</v>
      </c>
      <c r="I2131" s="0" t="s">
        <v>9354</v>
      </c>
      <c r="J2131" s="0" t="s">
        <v>5141</v>
      </c>
      <c r="K2131" s="0" t="s">
        <v>160</v>
      </c>
      <c r="L2131" s="0" t="s">
        <v>209</v>
      </c>
      <c r="M2131" s="0" t="s">
        <v>9355</v>
      </c>
      <c r="N2131" s="0" t="str">
        <f aca="false">RIGHT(M2131,LEN(M2131)-FIND(" ",M2131))</f>
        <v>SCOTT ST NE</v>
      </c>
      <c r="P2131" s="0" t="s">
        <v>145</v>
      </c>
      <c r="Q2131" s="0" t="s">
        <v>146</v>
      </c>
      <c r="R2131" s="0" t="n">
        <v>44483</v>
      </c>
      <c r="AD2131" s="0" t="s">
        <v>147</v>
      </c>
      <c r="AE2131" s="0" t="s">
        <v>148</v>
      </c>
      <c r="AF2131" s="0" t="s">
        <v>149</v>
      </c>
      <c r="AH2131" s="0" t="n">
        <v>14</v>
      </c>
      <c r="AI2131" s="0" t="n">
        <v>11</v>
      </c>
      <c r="AN2131" s="0" t="s">
        <v>145</v>
      </c>
      <c r="AO2131" s="0" t="s">
        <v>654</v>
      </c>
      <c r="AP2131" s="0" t="s">
        <v>655</v>
      </c>
      <c r="AQ2131" s="0" t="n">
        <v>9</v>
      </c>
      <c r="AR2131" s="0" t="n">
        <v>64</v>
      </c>
      <c r="AS2131" s="0" t="n">
        <v>32</v>
      </c>
      <c r="AU2131" s="0" t="n">
        <f aca="false">COUNTA($BA$1222:$EH$1222)</f>
        <v>1</v>
      </c>
      <c r="AV2131" s="0" t="n">
        <f aca="false">COUNTIF($BA$1222:$EH$1222,"D")</f>
        <v>0</v>
      </c>
      <c r="AW2131" s="0" t="n">
        <f aca="false">COUNTIF($BA$1222:$EH$1222,"R")</f>
        <v>0</v>
      </c>
      <c r="AX2131" s="0" t="n">
        <f aca="false">IF(BN2131="D",1,0)+IF(BO2131="D",1,0)+IF(BT2131="D",1,0)+IF(BU2131="D",1,0)+IF(BW2131="D",1,0)+IF(CC2131="D",1,0)+IF(CD2131="D",1,0)+IF(CE2131="D",1,0)+IF(CF2131="D",1,0)+IF(CL2131="D",1,0)+IF(CM2131="D",1,0)+IF(CQ2131="D",1,0)+IF(CR2131="D",1,0)+IF(CS2131="D",1,0)+IF(CW2131="D",1,0)+IF(CX2131="D",1,0)+IF(DD2131="D",1,0)+IF(DE2131="D",1,0)+IF(DJ2131="D",1,0)+IF(DK2131="D",1,0)+IF(DO2131="D",1,0)+IF(DP2131="D",1,0)+IF(DQ2131="D",1,0)+IF(DW2131="D",1,0)+IF(DZ2131="D",1,0)+IF(EH2131="D",1,0)</f>
        <v>0</v>
      </c>
      <c r="AY2131" s="0" t="n">
        <f aca="false">COUNTIF(DU2131:EH2131, "&lt;&gt;")</f>
        <v>4</v>
      </c>
      <c r="AZ2131" s="0" t="n">
        <f aca="false">IF(EH2131&lt;&gt;"",1,0)</f>
        <v>0</v>
      </c>
      <c r="BB2131" s="0" t="s">
        <v>152</v>
      </c>
      <c r="CK2131" s="0" t="s">
        <v>153</v>
      </c>
      <c r="CN2131" s="0" t="s">
        <v>153</v>
      </c>
      <c r="CP2131" s="0" t="s">
        <v>153</v>
      </c>
      <c r="CV2131" s="0" t="s">
        <v>153</v>
      </c>
      <c r="CY2131" s="0" t="s">
        <v>153</v>
      </c>
      <c r="DC2131" s="0" t="s">
        <v>153</v>
      </c>
      <c r="DG2131" s="0" t="s">
        <v>209</v>
      </c>
      <c r="DI2131" s="0" t="s">
        <v>153</v>
      </c>
      <c r="DN2131" s="0" t="s">
        <v>153</v>
      </c>
      <c r="DU2131" s="0" t="s">
        <v>153</v>
      </c>
      <c r="DX2131" s="0" t="s">
        <v>153</v>
      </c>
      <c r="ED2131" s="0" t="s">
        <v>209</v>
      </c>
      <c r="EF2131" s="0" t="s">
        <v>153</v>
      </c>
    </row>
    <row r="2132" customFormat="false" ht="13.8" hidden="false" customHeight="false" outlineLevel="0" collapsed="false">
      <c r="A2132" s="0" t="s">
        <v>9356</v>
      </c>
      <c r="B2132" s="0" t="n">
        <v>78</v>
      </c>
      <c r="C2132" s="0" t="n">
        <v>321995</v>
      </c>
      <c r="D2132" s="0" t="s">
        <v>9352</v>
      </c>
      <c r="E2132" s="0" t="s">
        <v>2837</v>
      </c>
      <c r="F2132" s="0" t="str">
        <f aca="false">CONCATENATE(D2132," ",LEFT(H2132,4),"T=",AU2132,"D=",AV2132,"R=",AW2132,"M=",AX2132,"L=",AY2132,"B=",AZ2132)</f>
        <v>SHRUM T=1D=0R=0M=0L=2B=0</v>
      </c>
      <c r="G2132" s="0" t="s">
        <v>325</v>
      </c>
      <c r="I2132" s="0" t="s">
        <v>9357</v>
      </c>
      <c r="J2132" s="0" t="s">
        <v>4063</v>
      </c>
      <c r="K2132" s="0" t="s">
        <v>160</v>
      </c>
      <c r="M2132" s="0" t="s">
        <v>9355</v>
      </c>
      <c r="N2132" s="0" t="str">
        <f aca="false">RIGHT(M2132,LEN(M2132)-FIND(" ",M2132))</f>
        <v>SCOTT ST NE</v>
      </c>
      <c r="P2132" s="0" t="s">
        <v>145</v>
      </c>
      <c r="Q2132" s="0" t="s">
        <v>146</v>
      </c>
      <c r="R2132" s="0" t="n">
        <v>44483</v>
      </c>
      <c r="AD2132" s="0" t="s">
        <v>147</v>
      </c>
      <c r="AE2132" s="0" t="s">
        <v>148</v>
      </c>
      <c r="AF2132" s="0" t="s">
        <v>149</v>
      </c>
      <c r="AH2132" s="0" t="n">
        <v>14</v>
      </c>
      <c r="AI2132" s="0" t="n">
        <v>11</v>
      </c>
      <c r="AN2132" s="0" t="s">
        <v>145</v>
      </c>
      <c r="AO2132" s="0" t="s">
        <v>654</v>
      </c>
      <c r="AP2132" s="0" t="s">
        <v>655</v>
      </c>
      <c r="AQ2132" s="0" t="n">
        <v>9</v>
      </c>
      <c r="AR2132" s="0" t="n">
        <v>64</v>
      </c>
      <c r="AS2132" s="0" t="n">
        <v>32</v>
      </c>
      <c r="AU2132" s="0" t="n">
        <f aca="false">COUNTA($BA$1552:$EH$1552)</f>
        <v>1</v>
      </c>
      <c r="AV2132" s="0" t="n">
        <f aca="false">COUNTIF($BA$1552:$EH$1552,"D")</f>
        <v>0</v>
      </c>
      <c r="AW2132" s="0" t="n">
        <f aca="false">COUNTIF($BA$1552:$EH$1552,"R")</f>
        <v>0</v>
      </c>
      <c r="AX2132" s="0" t="n">
        <f aca="false">IF(BN2132="D",1,0)+IF(BO2132="D",1,0)+IF(BT2132="D",1,0)+IF(BU2132="D",1,0)+IF(BW2132="D",1,0)+IF(CC2132="D",1,0)+IF(CD2132="D",1,0)+IF(CE2132="D",1,0)+IF(CF2132="D",1,0)+IF(CL2132="D",1,0)+IF(CM2132="D",1,0)+IF(CQ2132="D",1,0)+IF(CR2132="D",1,0)+IF(CS2132="D",1,0)+IF(CW2132="D",1,0)+IF(CX2132="D",1,0)+IF(DD2132="D",1,0)+IF(DE2132="D",1,0)+IF(DJ2132="D",1,0)+IF(DK2132="D",1,0)+IF(DO2132="D",1,0)+IF(DP2132="D",1,0)+IF(DQ2132="D",1,0)+IF(DW2132="D",1,0)+IF(DZ2132="D",1,0)+IF(EH2132="D",1,0)</f>
        <v>0</v>
      </c>
      <c r="AY2132" s="0" t="n">
        <f aca="false">COUNTIF(DU2132:EH2132, "&lt;&gt;")</f>
        <v>2</v>
      </c>
      <c r="AZ2132" s="0" t="n">
        <f aca="false">IF(EH2132&lt;&gt;"",1,0)</f>
        <v>0</v>
      </c>
      <c r="BB2132" s="0" t="s">
        <v>152</v>
      </c>
      <c r="BV2132" s="0" t="s">
        <v>153</v>
      </c>
      <c r="BY2132" s="0" t="s">
        <v>175</v>
      </c>
      <c r="CA2132" s="0" t="s">
        <v>153</v>
      </c>
      <c r="CH2132" s="0" t="s">
        <v>175</v>
      </c>
      <c r="CK2132" s="0" t="s">
        <v>153</v>
      </c>
      <c r="CP2132" s="0" t="s">
        <v>153</v>
      </c>
      <c r="CV2132" s="0" t="s">
        <v>153</v>
      </c>
      <c r="CY2132" s="0" t="s">
        <v>153</v>
      </c>
      <c r="DC2132" s="0" t="s">
        <v>153</v>
      </c>
      <c r="DG2132" s="0" t="s">
        <v>209</v>
      </c>
      <c r="DI2132" s="0" t="s">
        <v>153</v>
      </c>
      <c r="DN2132" s="0" t="s">
        <v>153</v>
      </c>
      <c r="DU2132" s="0" t="s">
        <v>153</v>
      </c>
      <c r="EF2132" s="0" t="s">
        <v>153</v>
      </c>
    </row>
    <row r="2133" customFormat="false" ht="13.8" hidden="true" customHeight="false" outlineLevel="0" collapsed="false">
      <c r="A2133" s="0" t="s">
        <v>9358</v>
      </c>
      <c r="B2133" s="0" t="n">
        <v>78</v>
      </c>
      <c r="C2133" s="0" t="n">
        <v>454716</v>
      </c>
      <c r="D2133" s="0" t="s">
        <v>6734</v>
      </c>
      <c r="E2133" s="0" t="s">
        <v>633</v>
      </c>
      <c r="F2133" s="0" t="str">
        <f aca="false">CONCATENATE(D2133," ",LEFT(H2133,4),"T=",AU2133,"D=",AV2133,"R=",AW2133,"M=",AX2133,"L=",AY2133,"B=",AZ2133)</f>
        <v>COX T=1D=0R=0M=0L=0B=0</v>
      </c>
      <c r="G2133" s="0" t="s">
        <v>275</v>
      </c>
      <c r="I2133" s="0" t="s">
        <v>9359</v>
      </c>
      <c r="J2133" s="0" t="s">
        <v>204</v>
      </c>
      <c r="K2133" s="0" t="s">
        <v>160</v>
      </c>
      <c r="M2133" s="0" t="s">
        <v>9360</v>
      </c>
      <c r="N2133" s="0" t="str">
        <f aca="false">RIGHT(M2133,LEN(M2133)-FIND(" ",M2133))</f>
        <v>SENECA AVE NE</v>
      </c>
      <c r="P2133" s="0" t="s">
        <v>145</v>
      </c>
      <c r="Q2133" s="0" t="s">
        <v>146</v>
      </c>
      <c r="R2133" s="0" t="n">
        <v>44481</v>
      </c>
      <c r="AD2133" s="0" t="s">
        <v>147</v>
      </c>
      <c r="AE2133" s="0" t="s">
        <v>148</v>
      </c>
      <c r="AF2133" s="0" t="s">
        <v>149</v>
      </c>
      <c r="AH2133" s="0" t="n">
        <v>14</v>
      </c>
      <c r="AI2133" s="0" t="n">
        <v>11</v>
      </c>
      <c r="AN2133" s="0" t="s">
        <v>145</v>
      </c>
      <c r="AO2133" s="0" t="s">
        <v>654</v>
      </c>
      <c r="AP2133" s="0" t="s">
        <v>655</v>
      </c>
      <c r="AQ2133" s="0" t="n">
        <v>9</v>
      </c>
      <c r="AR2133" s="0" t="n">
        <v>64</v>
      </c>
      <c r="AS2133" s="0" t="n">
        <v>32</v>
      </c>
      <c r="AU2133" s="0" t="n">
        <f aca="false">COUNTA($BA$1444:$EH$1444)</f>
        <v>1</v>
      </c>
      <c r="AV2133" s="0" t="n">
        <f aca="false">COUNTIF($BA$1444:$EH$1444,"D")</f>
        <v>0</v>
      </c>
      <c r="AW2133" s="0" t="n">
        <f aca="false">COUNTIF($BA$1444:$EH$1444,"R")</f>
        <v>0</v>
      </c>
      <c r="AX2133" s="0" t="n">
        <f aca="false">IF(BN2133="D",1,0)+IF(BO2133="D",1,0)+IF(BT2133="D",1,0)+IF(BU2133="D",1,0)+IF(BW2133="D",1,0)+IF(CC2133="D",1,0)+IF(CD2133="D",1,0)+IF(CE2133="D",1,0)+IF(CF2133="D",1,0)+IF(CL2133="D",1,0)+IF(CM2133="D",1,0)+IF(CQ2133="D",1,0)+IF(CR2133="D",1,0)+IF(CS2133="D",1,0)+IF(CW2133="D",1,0)+IF(CX2133="D",1,0)+IF(DD2133="D",1,0)+IF(DE2133="D",1,0)+IF(DJ2133="D",1,0)+IF(DK2133="D",1,0)+IF(DO2133="D",1,0)+IF(DP2133="D",1,0)+IF(DQ2133="D",1,0)+IF(DW2133="D",1,0)+IF(DZ2133="D",1,0)+IF(EH2133="D",1,0)</f>
        <v>0</v>
      </c>
      <c r="AY2133" s="0" t="n">
        <f aca="false">COUNTIF(DU2133:EH2133, "&lt;&gt;")</f>
        <v>0</v>
      </c>
      <c r="AZ2133" s="0" t="n">
        <f aca="false">IF(EH2133&lt;&gt;"",1,0)</f>
        <v>0</v>
      </c>
      <c r="BB2133" s="0" t="s">
        <v>152</v>
      </c>
    </row>
    <row r="2134" customFormat="false" ht="13.8" hidden="true" customHeight="false" outlineLevel="0" collapsed="false">
      <c r="A2134" s="0" t="s">
        <v>9361</v>
      </c>
      <c r="B2134" s="0" t="n">
        <v>78</v>
      </c>
      <c r="C2134" s="0" t="n">
        <v>487381</v>
      </c>
      <c r="D2134" s="0" t="s">
        <v>9362</v>
      </c>
      <c r="E2134" s="0" t="s">
        <v>6855</v>
      </c>
      <c r="F2134" s="0" t="str">
        <f aca="false">CONCATENATE(D2134," ",LEFT(H2134,4),"T=",AU2134,"D=",AV2134,"R=",AW2134,"M=",AX2134,"L=",AY2134,"B=",AZ2134)</f>
        <v>AMOS T=24D=2R=3M=0L=0B=0</v>
      </c>
      <c r="G2134" s="0" t="s">
        <v>190</v>
      </c>
      <c r="I2134" s="0" t="s">
        <v>9363</v>
      </c>
      <c r="J2134" s="0" t="s">
        <v>835</v>
      </c>
      <c r="K2134" s="0" t="s">
        <v>160</v>
      </c>
      <c r="M2134" s="0" t="s">
        <v>9360</v>
      </c>
      <c r="N2134" s="0" t="str">
        <f aca="false">RIGHT(M2134,LEN(M2134)-FIND(" ",M2134))</f>
        <v>SENECA AVE NE</v>
      </c>
      <c r="P2134" s="0" t="s">
        <v>145</v>
      </c>
      <c r="Q2134" s="0" t="s">
        <v>146</v>
      </c>
      <c r="R2134" s="0" t="n">
        <v>44481</v>
      </c>
      <c r="AD2134" s="0" t="s">
        <v>147</v>
      </c>
      <c r="AE2134" s="0" t="s">
        <v>148</v>
      </c>
      <c r="AF2134" s="0" t="s">
        <v>149</v>
      </c>
      <c r="AH2134" s="0" t="n">
        <v>14</v>
      </c>
      <c r="AI2134" s="0" t="n">
        <v>11</v>
      </c>
      <c r="AN2134" s="0" t="s">
        <v>145</v>
      </c>
      <c r="AO2134" s="0" t="s">
        <v>654</v>
      </c>
      <c r="AP2134" s="0" t="s">
        <v>655</v>
      </c>
      <c r="AQ2134" s="0" t="n">
        <v>9</v>
      </c>
      <c r="AR2134" s="0" t="n">
        <v>64</v>
      </c>
      <c r="AS2134" s="0" t="n">
        <v>32</v>
      </c>
      <c r="AU2134" s="0" t="n">
        <f aca="false">COUNTA($BA$1636:$EH$1636)</f>
        <v>24</v>
      </c>
      <c r="AV2134" s="0" t="n">
        <f aca="false">COUNTIF($BA$1636:$EH$1636,"D")</f>
        <v>2</v>
      </c>
      <c r="AW2134" s="0" t="n">
        <f aca="false">COUNTIF($BA$1636:$EH$1636,"R")</f>
        <v>3</v>
      </c>
      <c r="AX2134" s="0" t="n">
        <f aca="false">IF(BN2134="D",1,0)+IF(BO2134="D",1,0)+IF(BT2134="D",1,0)+IF(BU2134="D",1,0)+IF(BW2134="D",1,0)+IF(CC2134="D",1,0)+IF(CD2134="D",1,0)+IF(CE2134="D",1,0)+IF(CF2134="D",1,0)+IF(CL2134="D",1,0)+IF(CM2134="D",1,0)+IF(CQ2134="D",1,0)+IF(CR2134="D",1,0)+IF(CS2134="D",1,0)+IF(CW2134="D",1,0)+IF(CX2134="D",1,0)+IF(DD2134="D",1,0)+IF(DE2134="D",1,0)+IF(DJ2134="D",1,0)+IF(DK2134="D",1,0)+IF(DO2134="D",1,0)+IF(DP2134="D",1,0)+IF(DQ2134="D",1,0)+IF(DW2134="D",1,0)+IF(DZ2134="D",1,0)+IF(EH2134="D",1,0)</f>
        <v>0</v>
      </c>
      <c r="AY2134" s="0" t="n">
        <f aca="false">COUNTIF(DU2134:EH2134, "&lt;&gt;")</f>
        <v>0</v>
      </c>
      <c r="AZ2134" s="0" t="n">
        <f aca="false">IF(EH2134&lt;&gt;"",1,0)</f>
        <v>0</v>
      </c>
      <c r="BB2134" s="0" t="s">
        <v>152</v>
      </c>
    </row>
    <row r="2135" customFormat="false" ht="13.8" hidden="true" customHeight="false" outlineLevel="0" collapsed="false">
      <c r="A2135" s="0" t="s">
        <v>9364</v>
      </c>
      <c r="B2135" s="0" t="n">
        <v>78</v>
      </c>
      <c r="C2135" s="0" t="n">
        <v>457116</v>
      </c>
      <c r="D2135" s="0" t="s">
        <v>2096</v>
      </c>
      <c r="E2135" s="0" t="s">
        <v>275</v>
      </c>
      <c r="F2135" s="0" t="str">
        <f aca="false">CONCATENATE(D2135," ",LEFT(H2135,4),"T=",AU2135,"D=",AV2135,"R=",AW2135,"M=",AX2135,"L=",AY2135,"B=",AZ2135)</f>
        <v>LEHMAN T=1D=0R=0M=0L=0B=0</v>
      </c>
      <c r="G2135" s="0" t="s">
        <v>9365</v>
      </c>
      <c r="I2135" s="0" t="s">
        <v>9366</v>
      </c>
      <c r="J2135" s="0" t="s">
        <v>9367</v>
      </c>
      <c r="K2135" s="0" t="s">
        <v>143</v>
      </c>
      <c r="M2135" s="0" t="s">
        <v>9360</v>
      </c>
      <c r="N2135" s="0" t="str">
        <f aca="false">RIGHT(M2135,LEN(M2135)-FIND(" ",M2135))</f>
        <v>SENECA AVE NE</v>
      </c>
      <c r="P2135" s="0" t="s">
        <v>145</v>
      </c>
      <c r="Q2135" s="0" t="s">
        <v>146</v>
      </c>
      <c r="R2135" s="0" t="n">
        <v>44481</v>
      </c>
      <c r="AD2135" s="0" t="s">
        <v>147</v>
      </c>
      <c r="AE2135" s="0" t="s">
        <v>148</v>
      </c>
      <c r="AF2135" s="0" t="s">
        <v>149</v>
      </c>
      <c r="AH2135" s="0" t="n">
        <v>14</v>
      </c>
      <c r="AI2135" s="0" t="n">
        <v>11</v>
      </c>
      <c r="AN2135" s="0" t="s">
        <v>145</v>
      </c>
      <c r="AO2135" s="0" t="s">
        <v>654</v>
      </c>
      <c r="AP2135" s="0" t="s">
        <v>655</v>
      </c>
      <c r="AQ2135" s="0" t="n">
        <v>9</v>
      </c>
      <c r="AR2135" s="0" t="n">
        <v>64</v>
      </c>
      <c r="AS2135" s="0" t="n">
        <v>32</v>
      </c>
      <c r="AU2135" s="0" t="n">
        <f aca="false">COUNTA($BA$1713:$EH$1713)</f>
        <v>1</v>
      </c>
      <c r="AV2135" s="0" t="n">
        <f aca="false">COUNTIF($BA$1713:$EH$1713,"D")</f>
        <v>0</v>
      </c>
      <c r="AW2135" s="0" t="n">
        <f aca="false">COUNTIF($BA$1713:$EH$1713,"R")</f>
        <v>0</v>
      </c>
      <c r="AX2135" s="0" t="n">
        <f aca="false">IF(BN2135="D",1,0)+IF(BO2135="D",1,0)+IF(BT2135="D",1,0)+IF(BU2135="D",1,0)+IF(BW2135="D",1,0)+IF(CC2135="D",1,0)+IF(CD2135="D",1,0)+IF(CE2135="D",1,0)+IF(CF2135="D",1,0)+IF(CL2135="D",1,0)+IF(CM2135="D",1,0)+IF(CQ2135="D",1,0)+IF(CR2135="D",1,0)+IF(CS2135="D",1,0)+IF(CW2135="D",1,0)+IF(CX2135="D",1,0)+IF(DD2135="D",1,0)+IF(DE2135="D",1,0)+IF(DJ2135="D",1,0)+IF(DK2135="D",1,0)+IF(DO2135="D",1,0)+IF(DP2135="D",1,0)+IF(DQ2135="D",1,0)+IF(DW2135="D",1,0)+IF(DZ2135="D",1,0)+IF(EH2135="D",1,0)</f>
        <v>0</v>
      </c>
      <c r="AY2135" s="0" t="n">
        <f aca="false">COUNTIF(DU2135:EH2135, "&lt;&gt;")</f>
        <v>0</v>
      </c>
      <c r="AZ2135" s="0" t="n">
        <f aca="false">IF(EH2135&lt;&gt;"",1,0)</f>
        <v>0</v>
      </c>
      <c r="BB2135" s="0" t="s">
        <v>152</v>
      </c>
    </row>
    <row r="2136" customFormat="false" ht="13.8" hidden="false" customHeight="false" outlineLevel="0" collapsed="false">
      <c r="A2136" s="0" t="s">
        <v>9368</v>
      </c>
      <c r="B2136" s="0" t="n">
        <v>78</v>
      </c>
      <c r="C2136" s="0" t="n">
        <v>154364</v>
      </c>
      <c r="D2136" s="0" t="s">
        <v>9369</v>
      </c>
      <c r="E2136" s="0" t="s">
        <v>9370</v>
      </c>
      <c r="F2136" s="0" t="str">
        <f aca="false">CONCATENATE(D2136," ",LEFT(H2136,4),"T=",AU2136,"D=",AV2136,"R=",AW2136,"M=",AX2136,"L=",AY2136,"B=",AZ2136)</f>
        <v>CURRIER T=14D=2R=2M=1L=7B=1</v>
      </c>
      <c r="I2136" s="0" t="s">
        <v>9371</v>
      </c>
      <c r="J2136" s="0" t="s">
        <v>9372</v>
      </c>
      <c r="K2136" s="0" t="s">
        <v>160</v>
      </c>
      <c r="L2136" s="0" t="s">
        <v>209</v>
      </c>
      <c r="M2136" s="0" t="s">
        <v>9373</v>
      </c>
      <c r="N2136" s="0" t="str">
        <f aca="false">RIGHT(M2136,LEN(M2136)-FIND(" ",M2136))</f>
        <v>SEVERN CT SE</v>
      </c>
      <c r="P2136" s="0" t="s">
        <v>145</v>
      </c>
      <c r="Q2136" s="0" t="s">
        <v>146</v>
      </c>
      <c r="R2136" s="0" t="n">
        <v>44483</v>
      </c>
      <c r="AD2136" s="0" t="s">
        <v>147</v>
      </c>
      <c r="AE2136" s="0" t="s">
        <v>148</v>
      </c>
      <c r="AF2136" s="0" t="s">
        <v>149</v>
      </c>
      <c r="AH2136" s="0" t="n">
        <v>14</v>
      </c>
      <c r="AI2136" s="0" t="n">
        <v>11</v>
      </c>
      <c r="AN2136" s="0" t="s">
        <v>145</v>
      </c>
      <c r="AO2136" s="0" t="s">
        <v>150</v>
      </c>
      <c r="AP2136" s="0" t="s">
        <v>151</v>
      </c>
      <c r="AQ2136" s="0" t="n">
        <v>9</v>
      </c>
      <c r="AR2136" s="0" t="n">
        <v>64</v>
      </c>
      <c r="AS2136" s="0" t="n">
        <v>32</v>
      </c>
      <c r="AU2136" s="0" t="n">
        <f aca="false">COUNTA($BA$883:$EH$883)</f>
        <v>14</v>
      </c>
      <c r="AV2136" s="0" t="n">
        <f aca="false">COUNTIF($BA$883:$EH$883,"D")</f>
        <v>2</v>
      </c>
      <c r="AW2136" s="0" t="n">
        <f aca="false">COUNTIF($BA$883:$EH$883,"R")</f>
        <v>2</v>
      </c>
      <c r="AX2136" s="0" t="n">
        <f aca="false">IF(BN2136="D",1,0)+IF(BO2136="D",1,0)+IF(BT2136="D",1,0)+IF(BU2136="D",1,0)+IF(BW2136="D",1,0)+IF(CC2136="D",1,0)+IF(CD2136="D",1,0)+IF(CE2136="D",1,0)+IF(CF2136="D",1,0)+IF(CL2136="D",1,0)+IF(CM2136="D",1,0)+IF(CQ2136="D",1,0)+IF(CR2136="D",1,0)+IF(CS2136="D",1,0)+IF(CW2136="D",1,0)+IF(CX2136="D",1,0)+IF(DD2136="D",1,0)+IF(DE2136="D",1,0)+IF(DJ2136="D",1,0)+IF(DK2136="D",1,0)+IF(DO2136="D",1,0)+IF(DP2136="D",1,0)+IF(DQ2136="D",1,0)+IF(DW2136="D",1,0)+IF(DZ2136="D",1,0)+IF(EH2136="D",1,0)</f>
        <v>1</v>
      </c>
      <c r="AY2136" s="0" t="n">
        <f aca="false">COUNTIF(DU2136:EH2136, "&lt;&gt;")</f>
        <v>7</v>
      </c>
      <c r="AZ2136" s="0" t="n">
        <f aca="false">IF(EH2136&lt;&gt;"",1,0)</f>
        <v>1</v>
      </c>
      <c r="BB2136" s="0" t="s">
        <v>152</v>
      </c>
      <c r="BC2136" s="0" t="s">
        <v>153</v>
      </c>
      <c r="BD2136" s="0" t="s">
        <v>153</v>
      </c>
      <c r="BE2136" s="0" t="s">
        <v>153</v>
      </c>
      <c r="BF2136" s="0" t="s">
        <v>153</v>
      </c>
      <c r="BH2136" s="0" t="s">
        <v>153</v>
      </c>
      <c r="BJ2136" s="0" t="s">
        <v>153</v>
      </c>
      <c r="BK2136" s="0" t="s">
        <v>153</v>
      </c>
      <c r="BL2136" s="0" t="s">
        <v>153</v>
      </c>
      <c r="BP2136" s="0" t="s">
        <v>153</v>
      </c>
      <c r="BS2136" s="0" t="s">
        <v>153</v>
      </c>
      <c r="BY2136" s="0" t="s">
        <v>209</v>
      </c>
      <c r="CA2136" s="0" t="s">
        <v>153</v>
      </c>
      <c r="CG2136" s="0" t="s">
        <v>153</v>
      </c>
      <c r="CH2136" s="0" t="s">
        <v>209</v>
      </c>
      <c r="CK2136" s="0" t="s">
        <v>153</v>
      </c>
      <c r="CN2136" s="0" t="s">
        <v>153</v>
      </c>
      <c r="CO2136" s="0" t="s">
        <v>209</v>
      </c>
      <c r="CP2136" s="0" t="s">
        <v>153</v>
      </c>
      <c r="CT2136" s="0" t="s">
        <v>153</v>
      </c>
      <c r="CV2136" s="0" t="s">
        <v>153</v>
      </c>
      <c r="CY2136" s="0" t="s">
        <v>153</v>
      </c>
      <c r="CZ2136" s="0" t="s">
        <v>209</v>
      </c>
      <c r="DC2136" s="0" t="s">
        <v>153</v>
      </c>
      <c r="DF2136" s="0" t="s">
        <v>153</v>
      </c>
      <c r="DG2136" s="0" t="s">
        <v>209</v>
      </c>
      <c r="DI2136" s="0" t="s">
        <v>153</v>
      </c>
      <c r="DL2136" s="0" t="s">
        <v>153</v>
      </c>
      <c r="DM2136" s="0" t="s">
        <v>209</v>
      </c>
      <c r="DN2136" s="0" t="s">
        <v>153</v>
      </c>
      <c r="DR2136" s="0" t="s">
        <v>153</v>
      </c>
      <c r="DS2136" s="0" t="s">
        <v>209</v>
      </c>
      <c r="DU2136" s="0" t="s">
        <v>153</v>
      </c>
      <c r="DW2136" s="0" t="s">
        <v>175</v>
      </c>
      <c r="DX2136" s="0" t="s">
        <v>153</v>
      </c>
      <c r="EA2136" s="0" t="s">
        <v>153</v>
      </c>
      <c r="ED2136" s="0" t="s">
        <v>209</v>
      </c>
      <c r="EF2136" s="0" t="s">
        <v>153</v>
      </c>
      <c r="EH2136" s="0" t="s">
        <v>153</v>
      </c>
    </row>
    <row r="2137" customFormat="false" ht="13.8" hidden="false" customHeight="false" outlineLevel="0" collapsed="false">
      <c r="A2137" s="0" t="s">
        <v>9374</v>
      </c>
      <c r="B2137" s="0" t="n">
        <v>78</v>
      </c>
      <c r="C2137" s="0" t="n">
        <v>396068</v>
      </c>
      <c r="D2137" s="0" t="s">
        <v>9375</v>
      </c>
      <c r="E2137" s="0" t="s">
        <v>517</v>
      </c>
      <c r="F2137" s="0" t="str">
        <f aca="false">CONCATENATE(D2137," ",LEFT(H2137,4),"T=",AU2137,"D=",AV2137,"R=",AW2137,"M=",AX2137,"L=",AY2137,"B=",AZ2137)</f>
        <v>KRAFT T=1D=0R=0M=1L=2B=0</v>
      </c>
      <c r="G2137" s="0" t="s">
        <v>190</v>
      </c>
      <c r="I2137" s="0" t="s">
        <v>9376</v>
      </c>
      <c r="J2137" s="0" t="s">
        <v>1416</v>
      </c>
      <c r="K2137" s="0" t="s">
        <v>160</v>
      </c>
      <c r="M2137" s="0" t="s">
        <v>9377</v>
      </c>
      <c r="N2137" s="0" t="str">
        <f aca="false">RIGHT(M2137,LEN(M2137)-FIND(" ",M2137))</f>
        <v>SEVERN CT SE</v>
      </c>
      <c r="P2137" s="0" t="s">
        <v>145</v>
      </c>
      <c r="Q2137" s="0" t="s">
        <v>146</v>
      </c>
      <c r="R2137" s="0" t="n">
        <v>44483</v>
      </c>
      <c r="AD2137" s="0" t="s">
        <v>147</v>
      </c>
      <c r="AE2137" s="0" t="s">
        <v>148</v>
      </c>
      <c r="AF2137" s="0" t="s">
        <v>149</v>
      </c>
      <c r="AH2137" s="0" t="n">
        <v>14</v>
      </c>
      <c r="AI2137" s="0" t="n">
        <v>11</v>
      </c>
      <c r="AN2137" s="0" t="s">
        <v>145</v>
      </c>
      <c r="AO2137" s="0" t="s">
        <v>150</v>
      </c>
      <c r="AP2137" s="0" t="s">
        <v>151</v>
      </c>
      <c r="AQ2137" s="0" t="n">
        <v>9</v>
      </c>
      <c r="AR2137" s="0" t="n">
        <v>64</v>
      </c>
      <c r="AS2137" s="0" t="n">
        <v>32</v>
      </c>
      <c r="AU2137" s="0" t="n">
        <f aca="false">COUNTA($BA$511:$EH$511)</f>
        <v>1</v>
      </c>
      <c r="AV2137" s="0" t="n">
        <f aca="false">COUNTIF($BA$511:$EH$511,"D")</f>
        <v>0</v>
      </c>
      <c r="AW2137" s="0" t="n">
        <f aca="false">COUNTIF($BA$511:$EH$511,"R")</f>
        <v>0</v>
      </c>
      <c r="AX2137" s="0" t="n">
        <f aca="false">IF(BN2137="D",1,0)+IF(BO2137="D",1,0)+IF(BT2137="D",1,0)+IF(BU2137="D",1,0)+IF(BW2137="D",1,0)+IF(CC2137="D",1,0)+IF(CD2137="D",1,0)+IF(CE2137="D",1,0)+IF(CF2137="D",1,0)+IF(CL2137="D",1,0)+IF(CM2137="D",1,0)+IF(CQ2137="D",1,0)+IF(CR2137="D",1,0)+IF(CS2137="D",1,0)+IF(CW2137="D",1,0)+IF(CX2137="D",1,0)+IF(DD2137="D",1,0)+IF(DE2137="D",1,0)+IF(DJ2137="D",1,0)+IF(DK2137="D",1,0)+IF(DO2137="D",1,0)+IF(DP2137="D",1,0)+IF(DQ2137="D",1,0)+IF(DW2137="D",1,0)+IF(DZ2137="D",1,0)+IF(EH2137="D",1,0)</f>
        <v>1</v>
      </c>
      <c r="AY2137" s="0" t="n">
        <f aca="false">COUNTIF(DU2137:EH2137, "&lt;&gt;")</f>
        <v>2</v>
      </c>
      <c r="AZ2137" s="0" t="n">
        <f aca="false">IF(EH2137&lt;&gt;"",1,0)</f>
        <v>0</v>
      </c>
      <c r="BB2137" s="0" t="s">
        <v>152</v>
      </c>
      <c r="BL2137" s="0" t="s">
        <v>153</v>
      </c>
      <c r="BS2137" s="0" t="s">
        <v>153</v>
      </c>
      <c r="CA2137" s="0" t="s">
        <v>153</v>
      </c>
      <c r="CT2137" s="0" t="s">
        <v>153</v>
      </c>
      <c r="CV2137" s="0" t="s">
        <v>153</v>
      </c>
      <c r="CW2137" s="0" t="s">
        <v>175</v>
      </c>
      <c r="CY2137" s="0" t="s">
        <v>153</v>
      </c>
      <c r="CZ2137" s="0" t="s">
        <v>153</v>
      </c>
      <c r="DC2137" s="0" t="s">
        <v>153</v>
      </c>
      <c r="DN2137" s="0" t="s">
        <v>153</v>
      </c>
      <c r="EA2137" s="0" t="s">
        <v>153</v>
      </c>
      <c r="EF2137" s="0" t="s">
        <v>153</v>
      </c>
    </row>
    <row r="2138" customFormat="false" ht="13.8" hidden="true" customHeight="false" outlineLevel="0" collapsed="false">
      <c r="A2138" s="0" t="s">
        <v>9378</v>
      </c>
      <c r="B2138" s="0" t="n">
        <v>78</v>
      </c>
      <c r="C2138" s="0" t="n">
        <v>388222</v>
      </c>
      <c r="D2138" s="0" t="s">
        <v>9379</v>
      </c>
      <c r="E2138" s="0" t="s">
        <v>9380</v>
      </c>
      <c r="F2138" s="0" t="str">
        <f aca="false">CONCATENATE(D2138," ",LEFT(H2138,4),"T=",AU2138,"D=",AV2138,"R=",AW2138,"M=",AX2138,"L=",AY2138,"B=",AZ2138)</f>
        <v>DOUGHERTY T=1D=0R=0M=0L=1B=0</v>
      </c>
      <c r="G2138" s="0" t="s">
        <v>2179</v>
      </c>
      <c r="I2138" s="0" t="s">
        <v>9381</v>
      </c>
      <c r="J2138" s="0" t="s">
        <v>9382</v>
      </c>
      <c r="K2138" s="0" t="s">
        <v>160</v>
      </c>
      <c r="M2138" s="0" t="s">
        <v>9383</v>
      </c>
      <c r="N2138" s="0" t="str">
        <f aca="false">RIGHT(M2138,LEN(M2138)-FIND(" ",M2138))</f>
        <v>SEVERN CT SE</v>
      </c>
      <c r="P2138" s="0" t="s">
        <v>145</v>
      </c>
      <c r="Q2138" s="0" t="s">
        <v>146</v>
      </c>
      <c r="R2138" s="0" t="n">
        <v>44483</v>
      </c>
      <c r="AD2138" s="0" t="s">
        <v>147</v>
      </c>
      <c r="AE2138" s="0" t="s">
        <v>148</v>
      </c>
      <c r="AF2138" s="0" t="s">
        <v>149</v>
      </c>
      <c r="AH2138" s="0" t="n">
        <v>14</v>
      </c>
      <c r="AI2138" s="0" t="n">
        <v>11</v>
      </c>
      <c r="AN2138" s="0" t="s">
        <v>145</v>
      </c>
      <c r="AO2138" s="0" t="s">
        <v>150</v>
      </c>
      <c r="AP2138" s="0" t="s">
        <v>151</v>
      </c>
      <c r="AQ2138" s="0" t="n">
        <v>9</v>
      </c>
      <c r="AR2138" s="0" t="n">
        <v>64</v>
      </c>
      <c r="AS2138" s="0" t="n">
        <v>32</v>
      </c>
      <c r="AU2138" s="0" t="n">
        <f aca="false">COUNTA($BA$420:$EH$420)</f>
        <v>1</v>
      </c>
      <c r="AV2138" s="0" t="n">
        <f aca="false">COUNTIF($BA$420:$EH$420,"D")</f>
        <v>0</v>
      </c>
      <c r="AW2138" s="0" t="n">
        <f aca="false">COUNTIF($BA$420:$EH$420,"R")</f>
        <v>0</v>
      </c>
      <c r="AX2138" s="0" t="n">
        <f aca="false">IF(BN2138="D",1,0)+IF(BO2138="D",1,0)+IF(BT2138="D",1,0)+IF(BU2138="D",1,0)+IF(BW2138="D",1,0)+IF(CC2138="D",1,0)+IF(CD2138="D",1,0)+IF(CE2138="D",1,0)+IF(CF2138="D",1,0)+IF(CL2138="D",1,0)+IF(CM2138="D",1,0)+IF(CQ2138="D",1,0)+IF(CR2138="D",1,0)+IF(CS2138="D",1,0)+IF(CW2138="D",1,0)+IF(CX2138="D",1,0)+IF(DD2138="D",1,0)+IF(DE2138="D",1,0)+IF(DJ2138="D",1,0)+IF(DK2138="D",1,0)+IF(DO2138="D",1,0)+IF(DP2138="D",1,0)+IF(DQ2138="D",1,0)+IF(DW2138="D",1,0)+IF(DZ2138="D",1,0)+IF(EH2138="D",1,0)</f>
        <v>0</v>
      </c>
      <c r="AY2138" s="0" t="n">
        <f aca="false">COUNTIF(DU2138:EH2138, "&lt;&gt;")</f>
        <v>1</v>
      </c>
      <c r="AZ2138" s="0" t="n">
        <f aca="false">IF(EH2138&lt;&gt;"",1,0)</f>
        <v>0</v>
      </c>
      <c r="BB2138" s="0" t="s">
        <v>152</v>
      </c>
      <c r="CP2138" s="0" t="s">
        <v>153</v>
      </c>
      <c r="CY2138" s="0" t="s">
        <v>153</v>
      </c>
      <c r="EA2138" s="0" t="s">
        <v>153</v>
      </c>
    </row>
    <row r="2139" customFormat="false" ht="13.8" hidden="true" customHeight="false" outlineLevel="0" collapsed="false">
      <c r="A2139" s="0" t="s">
        <v>9384</v>
      </c>
      <c r="B2139" s="0" t="n">
        <v>78</v>
      </c>
      <c r="C2139" s="0" t="n">
        <v>419803</v>
      </c>
      <c r="D2139" s="0" t="s">
        <v>9385</v>
      </c>
      <c r="E2139" s="0" t="s">
        <v>9386</v>
      </c>
      <c r="F2139" s="0" t="str">
        <f aca="false">CONCATENATE(D2139," ",LEFT(H2139,4),"T=",AU2139,"D=",AV2139,"R=",AW2139,"M=",AX2139,"L=",AY2139,"B=",AZ2139)</f>
        <v>KRESEVICH T=1D=0R=0M=0L=0B=0</v>
      </c>
      <c r="G2139" s="0" t="s">
        <v>190</v>
      </c>
      <c r="I2139" s="0" t="s">
        <v>9387</v>
      </c>
      <c r="J2139" s="0" t="s">
        <v>9388</v>
      </c>
      <c r="K2139" s="0" t="s">
        <v>143</v>
      </c>
      <c r="M2139" s="0" t="s">
        <v>9389</v>
      </c>
      <c r="N2139" s="0" t="str">
        <f aca="false">RIGHT(M2139,LEN(M2139)-FIND(" ",M2139))</f>
        <v>SIDELLS CT NE</v>
      </c>
      <c r="P2139" s="0" t="s">
        <v>145</v>
      </c>
      <c r="Q2139" s="0" t="s">
        <v>146</v>
      </c>
      <c r="R2139" s="0" t="n">
        <v>44483</v>
      </c>
      <c r="AD2139" s="0" t="s">
        <v>147</v>
      </c>
      <c r="AE2139" s="0" t="s">
        <v>148</v>
      </c>
      <c r="AF2139" s="0" t="s">
        <v>149</v>
      </c>
      <c r="AH2139" s="0" t="n">
        <v>14</v>
      </c>
      <c r="AI2139" s="0" t="n">
        <v>11</v>
      </c>
      <c r="AN2139" s="0" t="s">
        <v>145</v>
      </c>
      <c r="AO2139" s="0" t="s">
        <v>654</v>
      </c>
      <c r="AP2139" s="0" t="s">
        <v>655</v>
      </c>
      <c r="AQ2139" s="0" t="n">
        <v>9</v>
      </c>
      <c r="AR2139" s="0" t="n">
        <v>64</v>
      </c>
      <c r="AS2139" s="0" t="n">
        <v>32</v>
      </c>
      <c r="AU2139" s="0" t="n">
        <f aca="false">COUNTA($BA$1593:$EH$1593)</f>
        <v>1</v>
      </c>
      <c r="AV2139" s="0" t="n">
        <f aca="false">COUNTIF($BA$1593:$EH$1593,"D")</f>
        <v>0</v>
      </c>
      <c r="AW2139" s="0" t="n">
        <f aca="false">COUNTIF($BA$1593:$EH$1593,"R")</f>
        <v>0</v>
      </c>
      <c r="AX2139" s="0" t="n">
        <f aca="false">IF(BN2139="D",1,0)+IF(BO2139="D",1,0)+IF(BT2139="D",1,0)+IF(BU2139="D",1,0)+IF(BW2139="D",1,0)+IF(CC2139="D",1,0)+IF(CD2139="D",1,0)+IF(CE2139="D",1,0)+IF(CF2139="D",1,0)+IF(CL2139="D",1,0)+IF(CM2139="D",1,0)+IF(CQ2139="D",1,0)+IF(CR2139="D",1,0)+IF(CS2139="D",1,0)+IF(CW2139="D",1,0)+IF(CX2139="D",1,0)+IF(DD2139="D",1,0)+IF(DE2139="D",1,0)+IF(DJ2139="D",1,0)+IF(DK2139="D",1,0)+IF(DO2139="D",1,0)+IF(DP2139="D",1,0)+IF(DQ2139="D",1,0)+IF(DW2139="D",1,0)+IF(DZ2139="D",1,0)+IF(EH2139="D",1,0)</f>
        <v>0</v>
      </c>
      <c r="AY2139" s="0" t="n">
        <f aca="false">COUNTIF(DU2139:EH2139, "&lt;&gt;")</f>
        <v>0</v>
      </c>
      <c r="AZ2139" s="0" t="n">
        <f aca="false">IF(EH2139&lt;&gt;"",1,0)</f>
        <v>0</v>
      </c>
      <c r="BB2139" s="0" t="s">
        <v>152</v>
      </c>
      <c r="DC2139" s="0" t="s">
        <v>153</v>
      </c>
      <c r="DI2139" s="0" t="s">
        <v>153</v>
      </c>
      <c r="DM2139" s="0" t="s">
        <v>175</v>
      </c>
      <c r="DN2139" s="0" t="s">
        <v>153</v>
      </c>
    </row>
    <row r="2140" customFormat="false" ht="13.8" hidden="true" customHeight="false" outlineLevel="0" collapsed="false">
      <c r="A2140" s="0" t="s">
        <v>9390</v>
      </c>
      <c r="B2140" s="0" t="n">
        <v>78</v>
      </c>
      <c r="C2140" s="0" t="n">
        <v>419825</v>
      </c>
      <c r="D2140" s="0" t="s">
        <v>9385</v>
      </c>
      <c r="E2140" s="0" t="s">
        <v>275</v>
      </c>
      <c r="F2140" s="0" t="str">
        <f aca="false">CONCATENATE(D2140," ",LEFT(H2140,4),"T=",AU2140,"D=",AV2140,"R=",AW2140,"M=",AX2140,"L=",AY2140,"B=",AZ2140)</f>
        <v>KRESEVICH T=1D=0R=0M=0L=0B=0</v>
      </c>
      <c r="G2140" s="0" t="s">
        <v>658</v>
      </c>
      <c r="I2140" s="0" t="s">
        <v>9391</v>
      </c>
      <c r="J2140" s="0" t="s">
        <v>9388</v>
      </c>
      <c r="K2140" s="0" t="s">
        <v>143</v>
      </c>
      <c r="M2140" s="0" t="s">
        <v>9389</v>
      </c>
      <c r="N2140" s="0" t="str">
        <f aca="false">RIGHT(M2140,LEN(M2140)-FIND(" ",M2140))</f>
        <v>SIDELLS CT NE</v>
      </c>
      <c r="P2140" s="0" t="s">
        <v>145</v>
      </c>
      <c r="Q2140" s="0" t="s">
        <v>146</v>
      </c>
      <c r="R2140" s="0" t="n">
        <v>44483</v>
      </c>
      <c r="AD2140" s="0" t="s">
        <v>147</v>
      </c>
      <c r="AE2140" s="0" t="s">
        <v>148</v>
      </c>
      <c r="AF2140" s="0" t="s">
        <v>149</v>
      </c>
      <c r="AH2140" s="0" t="n">
        <v>14</v>
      </c>
      <c r="AI2140" s="0" t="n">
        <v>11</v>
      </c>
      <c r="AN2140" s="0" t="s">
        <v>145</v>
      </c>
      <c r="AO2140" s="0" t="s">
        <v>654</v>
      </c>
      <c r="AP2140" s="0" t="s">
        <v>655</v>
      </c>
      <c r="AQ2140" s="0" t="n">
        <v>9</v>
      </c>
      <c r="AR2140" s="0" t="n">
        <v>64</v>
      </c>
      <c r="AS2140" s="0" t="n">
        <v>32</v>
      </c>
      <c r="AU2140" s="0" t="n">
        <f aca="false">COUNTA($BA$1598:$EH$1598)</f>
        <v>1</v>
      </c>
      <c r="AV2140" s="0" t="n">
        <f aca="false">COUNTIF($BA$1598:$EH$1598,"D")</f>
        <v>0</v>
      </c>
      <c r="AW2140" s="0" t="n">
        <f aca="false">COUNTIF($BA$1598:$EH$1598,"R")</f>
        <v>0</v>
      </c>
      <c r="AX2140" s="0" t="n">
        <f aca="false">IF(BN2140="D",1,0)+IF(BO2140="D",1,0)+IF(BT2140="D",1,0)+IF(BU2140="D",1,0)+IF(BW2140="D",1,0)+IF(CC2140="D",1,0)+IF(CD2140="D",1,0)+IF(CE2140="D",1,0)+IF(CF2140="D",1,0)+IF(CL2140="D",1,0)+IF(CM2140="D",1,0)+IF(CQ2140="D",1,0)+IF(CR2140="D",1,0)+IF(CS2140="D",1,0)+IF(CW2140="D",1,0)+IF(CX2140="D",1,0)+IF(DD2140="D",1,0)+IF(DE2140="D",1,0)+IF(DJ2140="D",1,0)+IF(DK2140="D",1,0)+IF(DO2140="D",1,0)+IF(DP2140="D",1,0)+IF(DQ2140="D",1,0)+IF(DW2140="D",1,0)+IF(DZ2140="D",1,0)+IF(EH2140="D",1,0)</f>
        <v>0</v>
      </c>
      <c r="AY2140" s="0" t="n">
        <f aca="false">COUNTIF(DU2140:EH2140, "&lt;&gt;")</f>
        <v>0</v>
      </c>
      <c r="AZ2140" s="0" t="n">
        <f aca="false">IF(EH2140&lt;&gt;"",1,0)</f>
        <v>0</v>
      </c>
      <c r="BB2140" s="0" t="s">
        <v>152</v>
      </c>
      <c r="DC2140" s="0" t="s">
        <v>153</v>
      </c>
      <c r="DI2140" s="0" t="s">
        <v>153</v>
      </c>
      <c r="DM2140" s="0" t="s">
        <v>175</v>
      </c>
      <c r="DN2140" s="0" t="s">
        <v>153</v>
      </c>
    </row>
    <row r="2141" customFormat="false" ht="13.8" hidden="true" customHeight="false" outlineLevel="0" collapsed="false">
      <c r="A2141" s="0" t="s">
        <v>9392</v>
      </c>
      <c r="B2141" s="0" t="n">
        <v>78</v>
      </c>
      <c r="C2141" s="0" t="n">
        <v>416605</v>
      </c>
      <c r="D2141" s="0" t="s">
        <v>9393</v>
      </c>
      <c r="E2141" s="0" t="s">
        <v>958</v>
      </c>
      <c r="F2141" s="0" t="str">
        <f aca="false">CONCATENATE(D2141," ",LEFT(H2141,4),"T=",AU2141,"D=",AV2141,"R=",AW2141,"M=",AX2141,"L=",AY2141,"B=",AZ2141)</f>
        <v>MITCHAM T=1D=0R=0M=0L=0B=0</v>
      </c>
      <c r="G2141" s="0" t="s">
        <v>190</v>
      </c>
      <c r="I2141" s="0" t="s">
        <v>9394</v>
      </c>
      <c r="J2141" s="0" t="s">
        <v>5744</v>
      </c>
      <c r="K2141" s="0" t="s">
        <v>143</v>
      </c>
      <c r="M2141" s="0" t="s">
        <v>9395</v>
      </c>
      <c r="N2141" s="0" t="str">
        <f aca="false">RIGHT(M2141,LEN(M2141)-FIND(" ",M2141))</f>
        <v>SIDELLS CT NE</v>
      </c>
      <c r="P2141" s="0" t="s">
        <v>145</v>
      </c>
      <c r="Q2141" s="0" t="s">
        <v>146</v>
      </c>
      <c r="R2141" s="0" t="n">
        <v>44483</v>
      </c>
      <c r="AD2141" s="0" t="s">
        <v>147</v>
      </c>
      <c r="AE2141" s="0" t="s">
        <v>148</v>
      </c>
      <c r="AF2141" s="0" t="s">
        <v>149</v>
      </c>
      <c r="AH2141" s="0" t="n">
        <v>14</v>
      </c>
      <c r="AI2141" s="0" t="n">
        <v>11</v>
      </c>
      <c r="AN2141" s="0" t="s">
        <v>145</v>
      </c>
      <c r="AO2141" s="0" t="s">
        <v>654</v>
      </c>
      <c r="AP2141" s="0" t="s">
        <v>655</v>
      </c>
      <c r="AQ2141" s="0" t="n">
        <v>9</v>
      </c>
      <c r="AR2141" s="0" t="n">
        <v>64</v>
      </c>
      <c r="AS2141" s="0" t="n">
        <v>32</v>
      </c>
      <c r="AU2141" s="0" t="n">
        <f aca="false">COUNTA($BA$1540:$EH$1540)</f>
        <v>1</v>
      </c>
      <c r="AV2141" s="0" t="n">
        <f aca="false">COUNTIF($BA$1540:$EH$1540,"D")</f>
        <v>0</v>
      </c>
      <c r="AW2141" s="0" t="n">
        <f aca="false">COUNTIF($BA$1540:$EH$1540,"R")</f>
        <v>0</v>
      </c>
      <c r="AX2141" s="0" t="n">
        <f aca="false">IF(BN2141="D",1,0)+IF(BO2141="D",1,0)+IF(BT2141="D",1,0)+IF(BU2141="D",1,0)+IF(BW2141="D",1,0)+IF(CC2141="D",1,0)+IF(CD2141="D",1,0)+IF(CE2141="D",1,0)+IF(CF2141="D",1,0)+IF(CL2141="D",1,0)+IF(CM2141="D",1,0)+IF(CQ2141="D",1,0)+IF(CR2141="D",1,0)+IF(CS2141="D",1,0)+IF(CW2141="D",1,0)+IF(CX2141="D",1,0)+IF(DD2141="D",1,0)+IF(DE2141="D",1,0)+IF(DJ2141="D",1,0)+IF(DK2141="D",1,0)+IF(DO2141="D",1,0)+IF(DP2141="D",1,0)+IF(DQ2141="D",1,0)+IF(DW2141="D",1,0)+IF(DZ2141="D",1,0)+IF(EH2141="D",1,0)</f>
        <v>0</v>
      </c>
      <c r="AY2141" s="0" t="n">
        <f aca="false">COUNTIF(DU2141:EH2141, "&lt;&gt;")</f>
        <v>0</v>
      </c>
      <c r="AZ2141" s="0" t="n">
        <f aca="false">IF(EH2141&lt;&gt;"",1,0)</f>
        <v>0</v>
      </c>
      <c r="BB2141" s="0" t="s">
        <v>152</v>
      </c>
    </row>
    <row r="2142" customFormat="false" ht="13.8" hidden="true" customHeight="false" outlineLevel="0" collapsed="false">
      <c r="A2142" s="0" t="s">
        <v>9396</v>
      </c>
      <c r="B2142" s="0" t="n">
        <v>78</v>
      </c>
      <c r="C2142" s="0" t="n">
        <v>457500</v>
      </c>
      <c r="D2142" s="0" t="s">
        <v>4574</v>
      </c>
      <c r="E2142" s="0" t="s">
        <v>9397</v>
      </c>
      <c r="F2142" s="0" t="str">
        <f aca="false">CONCATENATE(D2142," ",LEFT(H2142,4),"T=",AU2142,"D=",AV2142,"R=",AW2142,"M=",AX2142,"L=",AY2142,"B=",AZ2142)</f>
        <v>ROWLAND T=10D=1R=0M=0L=0B=0</v>
      </c>
      <c r="G2142" s="0" t="s">
        <v>6130</v>
      </c>
      <c r="I2142" s="0" t="s">
        <v>9398</v>
      </c>
      <c r="J2142" s="0" t="s">
        <v>404</v>
      </c>
      <c r="K2142" s="0" t="s">
        <v>160</v>
      </c>
      <c r="M2142" s="0" t="s">
        <v>9399</v>
      </c>
      <c r="N2142" s="0" t="str">
        <f aca="false">RIGHT(M2142,LEN(M2142)-FIND(" ",M2142))</f>
        <v>SMITH PL NE</v>
      </c>
      <c r="P2142" s="0" t="s">
        <v>145</v>
      </c>
      <c r="Q2142" s="0" t="s">
        <v>146</v>
      </c>
      <c r="R2142" s="0" t="n">
        <v>44483</v>
      </c>
      <c r="AD2142" s="0" t="s">
        <v>147</v>
      </c>
      <c r="AE2142" s="0" t="s">
        <v>148</v>
      </c>
      <c r="AF2142" s="0" t="s">
        <v>149</v>
      </c>
      <c r="AH2142" s="0" t="n">
        <v>14</v>
      </c>
      <c r="AI2142" s="0" t="n">
        <v>11</v>
      </c>
      <c r="AN2142" s="0" t="s">
        <v>145</v>
      </c>
      <c r="AO2142" s="0" t="s">
        <v>654</v>
      </c>
      <c r="AP2142" s="0" t="s">
        <v>655</v>
      </c>
      <c r="AQ2142" s="0" t="n">
        <v>9</v>
      </c>
      <c r="AR2142" s="0" t="n">
        <v>64</v>
      </c>
      <c r="AS2142" s="0" t="n">
        <v>32</v>
      </c>
      <c r="AU2142" s="0" t="n">
        <f aca="false">COUNTA($BA$1979:$EH$1979)</f>
        <v>10</v>
      </c>
      <c r="AV2142" s="0" t="n">
        <f aca="false">COUNTIF($BA$1979:$EH$1979,"D")</f>
        <v>1</v>
      </c>
      <c r="AW2142" s="0" t="n">
        <f aca="false">COUNTIF($BA$1979:$EH$1979,"R")</f>
        <v>0</v>
      </c>
      <c r="AX2142" s="0" t="n">
        <f aca="false">IF(BN2142="D",1,0)+IF(BO2142="D",1,0)+IF(BT2142="D",1,0)+IF(BU2142="D",1,0)+IF(BW2142="D",1,0)+IF(CC2142="D",1,0)+IF(CD2142="D",1,0)+IF(CE2142="D",1,0)+IF(CF2142="D",1,0)+IF(CL2142="D",1,0)+IF(CM2142="D",1,0)+IF(CQ2142="D",1,0)+IF(CR2142="D",1,0)+IF(CS2142="D",1,0)+IF(CW2142="D",1,0)+IF(CX2142="D",1,0)+IF(DD2142="D",1,0)+IF(DE2142="D",1,0)+IF(DJ2142="D",1,0)+IF(DK2142="D",1,0)+IF(DO2142="D",1,0)+IF(DP2142="D",1,0)+IF(DQ2142="D",1,0)+IF(DW2142="D",1,0)+IF(DZ2142="D",1,0)+IF(EH2142="D",1,0)</f>
        <v>0</v>
      </c>
      <c r="AY2142" s="0" t="n">
        <f aca="false">COUNTIF(DU2142:EH2142, "&lt;&gt;")</f>
        <v>0</v>
      </c>
      <c r="AZ2142" s="0" t="n">
        <f aca="false">IF(EH2142&lt;&gt;"",1,0)</f>
        <v>0</v>
      </c>
      <c r="BB2142" s="0" t="s">
        <v>152</v>
      </c>
      <c r="CP2142" s="0" t="s">
        <v>153</v>
      </c>
    </row>
    <row r="2143" customFormat="false" ht="13.8" hidden="false" customHeight="false" outlineLevel="0" collapsed="false">
      <c r="A2143" s="0" t="s">
        <v>9400</v>
      </c>
      <c r="B2143" s="0" t="n">
        <v>78</v>
      </c>
      <c r="C2143" s="0" t="n">
        <v>284635</v>
      </c>
      <c r="D2143" s="0" t="s">
        <v>1959</v>
      </c>
      <c r="E2143" s="0" t="s">
        <v>9401</v>
      </c>
      <c r="F2143" s="0" t="str">
        <f aca="false">CONCATENATE(D2143," ",LEFT(H2143,4),"T=",AU2143,"D=",AV2143,"R=",AW2143,"M=",AX2143,"L=",AY2143,"B=",AZ2143)</f>
        <v>MCLENNAN T=4D=0R=0M=1L=3B=0</v>
      </c>
      <c r="I2143" s="0" t="s">
        <v>9402</v>
      </c>
      <c r="J2143" s="0" t="s">
        <v>9403</v>
      </c>
      <c r="K2143" s="0" t="s">
        <v>160</v>
      </c>
      <c r="M2143" s="0" t="s">
        <v>9404</v>
      </c>
      <c r="N2143" s="0" t="str">
        <f aca="false">RIGHT(M2143,LEN(M2143)-FIND(" ",M2143))</f>
        <v>SOUTH ST SE</v>
      </c>
      <c r="P2143" s="0" t="s">
        <v>145</v>
      </c>
      <c r="Q2143" s="0" t="s">
        <v>146</v>
      </c>
      <c r="R2143" s="0" t="n">
        <v>44483</v>
      </c>
      <c r="AD2143" s="0" t="s">
        <v>147</v>
      </c>
      <c r="AE2143" s="0" t="s">
        <v>148</v>
      </c>
      <c r="AF2143" s="0" t="s">
        <v>149</v>
      </c>
      <c r="AH2143" s="0" t="n">
        <v>14</v>
      </c>
      <c r="AI2143" s="0" t="n">
        <v>11</v>
      </c>
      <c r="AN2143" s="0" t="s">
        <v>145</v>
      </c>
      <c r="AO2143" s="0" t="s">
        <v>150</v>
      </c>
      <c r="AP2143" s="0" t="s">
        <v>151</v>
      </c>
      <c r="AQ2143" s="0" t="n">
        <v>9</v>
      </c>
      <c r="AR2143" s="0" t="n">
        <v>64</v>
      </c>
      <c r="AS2143" s="0" t="n">
        <v>32</v>
      </c>
      <c r="AU2143" s="0" t="n">
        <f aca="false">COUNTA($BA$43:$EH$43)</f>
        <v>4</v>
      </c>
      <c r="AV2143" s="0" t="n">
        <f aca="false">COUNTIF($BA$43:$EH$43,"D")</f>
        <v>0</v>
      </c>
      <c r="AW2143" s="0" t="n">
        <f aca="false">COUNTIF($BA$43:$EH$43,"R")</f>
        <v>0</v>
      </c>
      <c r="AX2143" s="0" t="n">
        <f aca="false">IF(BN2143="D",1,0)+IF(BO2143="D",1,0)+IF(BT2143="D",1,0)+IF(BU2143="D",1,0)+IF(BW2143="D",1,0)+IF(CC2143="D",1,0)+IF(CD2143="D",1,0)+IF(CE2143="D",1,0)+IF(CF2143="D",1,0)+IF(CL2143="D",1,0)+IF(CM2143="D",1,0)+IF(CQ2143="D",1,0)+IF(CR2143="D",1,0)+IF(CS2143="D",1,0)+IF(CW2143="D",1,0)+IF(CX2143="D",1,0)+IF(DD2143="D",1,0)+IF(DE2143="D",1,0)+IF(DJ2143="D",1,0)+IF(DK2143="D",1,0)+IF(DO2143="D",1,0)+IF(DP2143="D",1,0)+IF(DQ2143="D",1,0)+IF(DW2143="D",1,0)+IF(DZ2143="D",1,0)+IF(EH2143="D",1,0)</f>
        <v>1</v>
      </c>
      <c r="AY2143" s="0" t="n">
        <f aca="false">COUNTIF(DU2143:EH2143, "&lt;&gt;")</f>
        <v>3</v>
      </c>
      <c r="AZ2143" s="0" t="n">
        <f aca="false">IF(EH2143&lt;&gt;"",1,0)</f>
        <v>0</v>
      </c>
      <c r="BB2143" s="0" t="s">
        <v>152</v>
      </c>
      <c r="BH2143" s="0" t="s">
        <v>153</v>
      </c>
      <c r="BL2143" s="0" t="s">
        <v>153</v>
      </c>
      <c r="BY2143" s="0" t="s">
        <v>175</v>
      </c>
      <c r="CA2143" s="0" t="s">
        <v>153</v>
      </c>
      <c r="CK2143" s="0" t="s">
        <v>153</v>
      </c>
      <c r="CN2143" s="0" t="s">
        <v>153</v>
      </c>
      <c r="CP2143" s="0" t="s">
        <v>153</v>
      </c>
      <c r="CV2143" s="0" t="s">
        <v>153</v>
      </c>
      <c r="CW2143" s="0" t="s">
        <v>175</v>
      </c>
      <c r="CY2143" s="0" t="s">
        <v>153</v>
      </c>
      <c r="CZ2143" s="0" t="s">
        <v>175</v>
      </c>
      <c r="DC2143" s="0" t="s">
        <v>153</v>
      </c>
      <c r="DF2143" s="0" t="s">
        <v>153</v>
      </c>
      <c r="DG2143" s="0" t="s">
        <v>175</v>
      </c>
      <c r="DI2143" s="0" t="s">
        <v>153</v>
      </c>
      <c r="DM2143" s="0" t="s">
        <v>175</v>
      </c>
      <c r="DN2143" s="0" t="s">
        <v>153</v>
      </c>
      <c r="DX2143" s="0" t="s">
        <v>153</v>
      </c>
      <c r="EA2143" s="0" t="s">
        <v>153</v>
      </c>
      <c r="EF2143" s="0" t="s">
        <v>153</v>
      </c>
    </row>
    <row r="2144" customFormat="false" ht="13.8" hidden="false" customHeight="false" outlineLevel="0" collapsed="false">
      <c r="A2144" s="0" t="s">
        <v>9405</v>
      </c>
      <c r="B2144" s="0" t="n">
        <v>78</v>
      </c>
      <c r="C2144" s="0" t="n">
        <v>454082</v>
      </c>
      <c r="D2144" s="0" t="s">
        <v>9406</v>
      </c>
      <c r="E2144" s="0" t="s">
        <v>658</v>
      </c>
      <c r="F2144" s="0" t="str">
        <f aca="false">CONCATENATE(D2144," ",LEFT(H2144,4),"T=",AU2144,"D=",AV2144,"R=",AW2144,"M=",AX2144,"L=",AY2144,"B=",AZ2144)</f>
        <v>ZUCCARO T=1D=0R=0M=0L=2B=0</v>
      </c>
      <c r="G2144" s="0" t="s">
        <v>274</v>
      </c>
      <c r="I2144" s="0" t="s">
        <v>9407</v>
      </c>
      <c r="J2144" s="0" t="s">
        <v>478</v>
      </c>
      <c r="K2144" s="0" t="s">
        <v>160</v>
      </c>
      <c r="M2144" s="0" t="s">
        <v>9404</v>
      </c>
      <c r="N2144" s="0" t="str">
        <f aca="false">RIGHT(M2144,LEN(M2144)-FIND(" ",M2144))</f>
        <v>SOUTH ST SE</v>
      </c>
      <c r="P2144" s="0" t="s">
        <v>145</v>
      </c>
      <c r="Q2144" s="0" t="s">
        <v>146</v>
      </c>
      <c r="R2144" s="0" t="n">
        <v>44483</v>
      </c>
      <c r="AD2144" s="0" t="s">
        <v>147</v>
      </c>
      <c r="AE2144" s="0" t="s">
        <v>148</v>
      </c>
      <c r="AF2144" s="0" t="s">
        <v>149</v>
      </c>
      <c r="AH2144" s="0" t="n">
        <v>14</v>
      </c>
      <c r="AI2144" s="0" t="n">
        <v>11</v>
      </c>
      <c r="AN2144" s="0" t="s">
        <v>145</v>
      </c>
      <c r="AO2144" s="0" t="s">
        <v>150</v>
      </c>
      <c r="AP2144" s="0" t="s">
        <v>151</v>
      </c>
      <c r="AQ2144" s="0" t="n">
        <v>9</v>
      </c>
      <c r="AR2144" s="0" t="n">
        <v>64</v>
      </c>
      <c r="AS2144" s="0" t="n">
        <v>32</v>
      </c>
      <c r="AU2144" s="0" t="n">
        <f aca="false">COUNTA($BA$306:$EH$306)</f>
        <v>1</v>
      </c>
      <c r="AV2144" s="0" t="n">
        <f aca="false">COUNTIF($BA$306:$EH$306,"D")</f>
        <v>0</v>
      </c>
      <c r="AW2144" s="0" t="n">
        <f aca="false">COUNTIF($BA$306:$EH$306,"R")</f>
        <v>0</v>
      </c>
      <c r="AX2144" s="0" t="n">
        <f aca="false">IF(BN2144="D",1,0)+IF(BO2144="D",1,0)+IF(BT2144="D",1,0)+IF(BU2144="D",1,0)+IF(BW2144="D",1,0)+IF(CC2144="D",1,0)+IF(CD2144="D",1,0)+IF(CE2144="D",1,0)+IF(CF2144="D",1,0)+IF(CL2144="D",1,0)+IF(CM2144="D",1,0)+IF(CQ2144="D",1,0)+IF(CR2144="D",1,0)+IF(CS2144="D",1,0)+IF(CW2144="D",1,0)+IF(CX2144="D",1,0)+IF(DD2144="D",1,0)+IF(DE2144="D",1,0)+IF(DJ2144="D",1,0)+IF(DK2144="D",1,0)+IF(DO2144="D",1,0)+IF(DP2144="D",1,0)+IF(DQ2144="D",1,0)+IF(DW2144="D",1,0)+IF(DZ2144="D",1,0)+IF(EH2144="D",1,0)</f>
        <v>0</v>
      </c>
      <c r="AY2144" s="0" t="n">
        <f aca="false">COUNTIF(DU2144:EH2144, "&lt;&gt;")</f>
        <v>2</v>
      </c>
      <c r="AZ2144" s="0" t="n">
        <f aca="false">IF(EH2144&lt;&gt;"",1,0)</f>
        <v>0</v>
      </c>
      <c r="BB2144" s="0" t="s">
        <v>152</v>
      </c>
      <c r="DN2144" s="0" t="s">
        <v>153</v>
      </c>
      <c r="DX2144" s="0" t="s">
        <v>153</v>
      </c>
      <c r="EF2144" s="0" t="s">
        <v>153</v>
      </c>
    </row>
    <row r="2145" customFormat="false" ht="13.8" hidden="true" customHeight="false" outlineLevel="0" collapsed="false">
      <c r="A2145" s="0" t="s">
        <v>9408</v>
      </c>
      <c r="B2145" s="0" t="n">
        <v>78</v>
      </c>
      <c r="C2145" s="0" t="n">
        <v>400190</v>
      </c>
      <c r="D2145" s="0" t="s">
        <v>1445</v>
      </c>
      <c r="E2145" s="0" t="s">
        <v>594</v>
      </c>
      <c r="F2145" s="0" t="str">
        <f aca="false">CONCATENATE(D2145," ",LEFT(H2145,4),"T=",AU2145,"D=",AV2145,"R=",AW2145,"M=",AX2145,"L=",AY2145,"B=",AZ2145)</f>
        <v>WILLIAMS T=1D=0R=0M=0L=0B=0</v>
      </c>
      <c r="G2145" s="0" t="s">
        <v>224</v>
      </c>
      <c r="I2145" s="0" t="s">
        <v>9409</v>
      </c>
      <c r="J2145" s="0" t="s">
        <v>1983</v>
      </c>
      <c r="K2145" s="0" t="s">
        <v>160</v>
      </c>
      <c r="M2145" s="0" t="s">
        <v>9410</v>
      </c>
      <c r="N2145" s="0" t="str">
        <f aca="false">RIGHT(M2145,LEN(M2145)-FIND(" ",M2145))</f>
        <v>SOUTH ST SE</v>
      </c>
      <c r="P2145" s="0" t="s">
        <v>145</v>
      </c>
      <c r="Q2145" s="0" t="s">
        <v>146</v>
      </c>
      <c r="R2145" s="0" t="n">
        <v>44483</v>
      </c>
      <c r="AD2145" s="0" t="s">
        <v>147</v>
      </c>
      <c r="AE2145" s="0" t="s">
        <v>148</v>
      </c>
      <c r="AF2145" s="0" t="s">
        <v>149</v>
      </c>
      <c r="AH2145" s="0" t="n">
        <v>14</v>
      </c>
      <c r="AI2145" s="0" t="n">
        <v>11</v>
      </c>
      <c r="AN2145" s="0" t="s">
        <v>145</v>
      </c>
      <c r="AO2145" s="0" t="s">
        <v>150</v>
      </c>
      <c r="AP2145" s="0" t="s">
        <v>151</v>
      </c>
      <c r="AQ2145" s="0" t="n">
        <v>9</v>
      </c>
      <c r="AR2145" s="0" t="n">
        <v>64</v>
      </c>
      <c r="AS2145" s="0" t="n">
        <v>32</v>
      </c>
      <c r="AU2145" s="0" t="n">
        <f aca="false">COUNTA($BA$542:$EH$542)</f>
        <v>1</v>
      </c>
      <c r="AV2145" s="0" t="n">
        <f aca="false">COUNTIF($BA$542:$EH$542,"D")</f>
        <v>0</v>
      </c>
      <c r="AW2145" s="0" t="n">
        <f aca="false">COUNTIF($BA$542:$EH$542,"R")</f>
        <v>0</v>
      </c>
      <c r="AX2145" s="0" t="n">
        <f aca="false">IF(BN2145="D",1,0)+IF(BO2145="D",1,0)+IF(BT2145="D",1,0)+IF(BU2145="D",1,0)+IF(BW2145="D",1,0)+IF(CC2145="D",1,0)+IF(CD2145="D",1,0)+IF(CE2145="D",1,0)+IF(CF2145="D",1,0)+IF(CL2145="D",1,0)+IF(CM2145="D",1,0)+IF(CQ2145="D",1,0)+IF(CR2145="D",1,0)+IF(CS2145="D",1,0)+IF(CW2145="D",1,0)+IF(CX2145="D",1,0)+IF(DD2145="D",1,0)+IF(DE2145="D",1,0)+IF(DJ2145="D",1,0)+IF(DK2145="D",1,0)+IF(DO2145="D",1,0)+IF(DP2145="D",1,0)+IF(DQ2145="D",1,0)+IF(DW2145="D",1,0)+IF(DZ2145="D",1,0)+IF(EH2145="D",1,0)</f>
        <v>0</v>
      </c>
      <c r="AY2145" s="0" t="n">
        <f aca="false">COUNTIF(DU2145:EH2145, "&lt;&gt;")</f>
        <v>0</v>
      </c>
      <c r="AZ2145" s="0" t="n">
        <f aca="false">IF(EH2145&lt;&gt;"",1,0)</f>
        <v>0</v>
      </c>
      <c r="BB2145" s="0" t="s">
        <v>152</v>
      </c>
      <c r="CZ2145" s="0" t="s">
        <v>175</v>
      </c>
    </row>
    <row r="2146" customFormat="false" ht="13.8" hidden="true" customHeight="false" outlineLevel="0" collapsed="false">
      <c r="A2146" s="0" t="s">
        <v>9411</v>
      </c>
      <c r="B2146" s="0" t="n">
        <v>78</v>
      </c>
      <c r="C2146" s="0" t="n">
        <v>378584</v>
      </c>
      <c r="D2146" s="0" t="s">
        <v>9412</v>
      </c>
      <c r="E2146" s="0" t="s">
        <v>9413</v>
      </c>
      <c r="F2146" s="0" t="str">
        <f aca="false">CONCATENATE(D2146," ",LEFT(H2146,4),"T=",AU2146,"D=",AV2146,"R=",AW2146,"M=",AX2146,"L=",AY2146,"B=",AZ2146)</f>
        <v>CALLAWAY T=12D=1R=2M=1L=1B=0</v>
      </c>
      <c r="G2146" s="0" t="s">
        <v>190</v>
      </c>
      <c r="I2146" s="0" t="s">
        <v>9414</v>
      </c>
      <c r="J2146" s="0" t="s">
        <v>9415</v>
      </c>
      <c r="K2146" s="0" t="s">
        <v>160</v>
      </c>
      <c r="M2146" s="0" t="s">
        <v>9416</v>
      </c>
      <c r="N2146" s="0" t="str">
        <f aca="false">RIGHT(M2146,LEN(M2146)-FIND(" ",M2146))</f>
        <v>SOUTH ST SE</v>
      </c>
      <c r="P2146" s="0" t="s">
        <v>145</v>
      </c>
      <c r="Q2146" s="0" t="s">
        <v>146</v>
      </c>
      <c r="R2146" s="0" t="n">
        <v>44483</v>
      </c>
      <c r="AD2146" s="0" t="s">
        <v>147</v>
      </c>
      <c r="AE2146" s="0" t="s">
        <v>148</v>
      </c>
      <c r="AF2146" s="0" t="s">
        <v>149</v>
      </c>
      <c r="AH2146" s="0" t="n">
        <v>14</v>
      </c>
      <c r="AI2146" s="0" t="n">
        <v>11</v>
      </c>
      <c r="AN2146" s="0" t="s">
        <v>145</v>
      </c>
      <c r="AO2146" s="0" t="s">
        <v>150</v>
      </c>
      <c r="AP2146" s="0" t="s">
        <v>151</v>
      </c>
      <c r="AQ2146" s="0" t="n">
        <v>9</v>
      </c>
      <c r="AR2146" s="0" t="n">
        <v>64</v>
      </c>
      <c r="AS2146" s="0" t="n">
        <v>32</v>
      </c>
      <c r="AU2146" s="0" t="n">
        <f aca="false">COUNTA($BA$690:$EH$690)</f>
        <v>12</v>
      </c>
      <c r="AV2146" s="0" t="n">
        <f aca="false">COUNTIF($BA$690:$EH$690,"D")</f>
        <v>1</v>
      </c>
      <c r="AW2146" s="0" t="n">
        <f aca="false">COUNTIF($BA$690:$EH$690,"R")</f>
        <v>2</v>
      </c>
      <c r="AX2146" s="0" t="n">
        <f aca="false">IF(BN2146="D",1,0)+IF(BO2146="D",1,0)+IF(BT2146="D",1,0)+IF(BU2146="D",1,0)+IF(BW2146="D",1,0)+IF(CC2146="D",1,0)+IF(CD2146="D",1,0)+IF(CE2146="D",1,0)+IF(CF2146="D",1,0)+IF(CL2146="D",1,0)+IF(CM2146="D",1,0)+IF(CQ2146="D",1,0)+IF(CR2146="D",1,0)+IF(CS2146="D",1,0)+IF(CW2146="D",1,0)+IF(CX2146="D",1,0)+IF(DD2146="D",1,0)+IF(DE2146="D",1,0)+IF(DJ2146="D",1,0)+IF(DK2146="D",1,0)+IF(DO2146="D",1,0)+IF(DP2146="D",1,0)+IF(DQ2146="D",1,0)+IF(DW2146="D",1,0)+IF(DZ2146="D",1,0)+IF(EH2146="D",1,0)</f>
        <v>1</v>
      </c>
      <c r="AY2146" s="0" t="n">
        <f aca="false">COUNTIF(DU2146:EH2146, "&lt;&gt;")</f>
        <v>1</v>
      </c>
      <c r="AZ2146" s="0" t="n">
        <f aca="false">IF(EH2146&lt;&gt;"",1,0)</f>
        <v>0</v>
      </c>
      <c r="BB2146" s="0" t="s">
        <v>152</v>
      </c>
      <c r="CN2146" s="0" t="s">
        <v>153</v>
      </c>
      <c r="CO2146" s="0" t="s">
        <v>175</v>
      </c>
      <c r="CP2146" s="0" t="s">
        <v>153</v>
      </c>
      <c r="CV2146" s="0" t="s">
        <v>153</v>
      </c>
      <c r="CW2146" s="0" t="s">
        <v>175</v>
      </c>
      <c r="CY2146" s="0" t="s">
        <v>153</v>
      </c>
      <c r="CZ2146" s="0" t="s">
        <v>175</v>
      </c>
      <c r="DC2146" s="0" t="s">
        <v>153</v>
      </c>
      <c r="EF2146" s="0" t="s">
        <v>153</v>
      </c>
    </row>
    <row r="2147" customFormat="false" ht="13.8" hidden="false" customHeight="false" outlineLevel="0" collapsed="false">
      <c r="A2147" s="0" t="s">
        <v>9417</v>
      </c>
      <c r="B2147" s="0" t="n">
        <v>78</v>
      </c>
      <c r="C2147" s="0" t="n">
        <v>331127</v>
      </c>
      <c r="D2147" s="0" t="s">
        <v>9418</v>
      </c>
      <c r="E2147" s="0" t="s">
        <v>9419</v>
      </c>
      <c r="F2147" s="0" t="str">
        <f aca="false">CONCATENATE(D2147," ",LEFT(H2147,4),"T=",AU2147,"D=",AV2147,"R=",AW2147,"M=",AX2147,"L=",AY2147,"B=",AZ2147)</f>
        <v>OSBORNE T=42D=15R=1M=0L=2B=0</v>
      </c>
      <c r="I2147" s="0" t="s">
        <v>9420</v>
      </c>
      <c r="J2147" s="0" t="s">
        <v>2503</v>
      </c>
      <c r="K2147" s="0" t="s">
        <v>160</v>
      </c>
      <c r="M2147" s="0" t="s">
        <v>9421</v>
      </c>
      <c r="N2147" s="0" t="str">
        <f aca="false">RIGHT(M2147,LEN(M2147)-FIND(" ",M2147))</f>
        <v>SOUTH ST SE</v>
      </c>
      <c r="P2147" s="0" t="s">
        <v>145</v>
      </c>
      <c r="Q2147" s="0" t="s">
        <v>146</v>
      </c>
      <c r="R2147" s="0" t="n">
        <v>44483</v>
      </c>
      <c r="AD2147" s="0" t="s">
        <v>147</v>
      </c>
      <c r="AE2147" s="0" t="s">
        <v>148</v>
      </c>
      <c r="AF2147" s="0" t="s">
        <v>149</v>
      </c>
      <c r="AH2147" s="0" t="n">
        <v>14</v>
      </c>
      <c r="AI2147" s="0" t="n">
        <v>11</v>
      </c>
      <c r="AN2147" s="0" t="s">
        <v>145</v>
      </c>
      <c r="AO2147" s="0" t="s">
        <v>150</v>
      </c>
      <c r="AP2147" s="0" t="s">
        <v>151</v>
      </c>
      <c r="AQ2147" s="0" t="n">
        <v>9</v>
      </c>
      <c r="AR2147" s="0" t="n">
        <v>64</v>
      </c>
      <c r="AS2147" s="0" t="n">
        <v>32</v>
      </c>
      <c r="AU2147" s="0" t="n">
        <f aca="false">COUNTA($BA$48:$EH$48)</f>
        <v>42</v>
      </c>
      <c r="AV2147" s="0" t="n">
        <f aca="false">COUNTIF($BA$48:$EH$48,"D")</f>
        <v>15</v>
      </c>
      <c r="AW2147" s="0" t="n">
        <f aca="false">COUNTIF($BA$48:$EH$48,"R")</f>
        <v>1</v>
      </c>
      <c r="AX2147" s="0" t="n">
        <f aca="false">IF(BN2147="D",1,0)+IF(BO2147="D",1,0)+IF(BT2147="D",1,0)+IF(BU2147="D",1,0)+IF(BW2147="D",1,0)+IF(CC2147="D",1,0)+IF(CD2147="D",1,0)+IF(CE2147="D",1,0)+IF(CF2147="D",1,0)+IF(CL2147="D",1,0)+IF(CM2147="D",1,0)+IF(CQ2147="D",1,0)+IF(CR2147="D",1,0)+IF(CS2147="D",1,0)+IF(CW2147="D",1,0)+IF(CX2147="D",1,0)+IF(DD2147="D",1,0)+IF(DE2147="D",1,0)+IF(DJ2147="D",1,0)+IF(DK2147="D",1,0)+IF(DO2147="D",1,0)+IF(DP2147="D",1,0)+IF(DQ2147="D",1,0)+IF(DW2147="D",1,0)+IF(DZ2147="D",1,0)+IF(EH2147="D",1,0)</f>
        <v>0</v>
      </c>
      <c r="AY2147" s="0" t="n">
        <f aca="false">COUNTIF(DU2147:EH2147, "&lt;&gt;")</f>
        <v>2</v>
      </c>
      <c r="AZ2147" s="0" t="n">
        <f aca="false">IF(EH2147&lt;&gt;"",1,0)</f>
        <v>0</v>
      </c>
      <c r="BB2147" s="0" t="s">
        <v>152</v>
      </c>
      <c r="BL2147" s="0" t="s">
        <v>153</v>
      </c>
      <c r="BS2147" s="0" t="s">
        <v>153</v>
      </c>
      <c r="BY2147" s="0" t="s">
        <v>175</v>
      </c>
      <c r="CA2147" s="0" t="s">
        <v>153</v>
      </c>
      <c r="CK2147" s="0" t="s">
        <v>153</v>
      </c>
      <c r="DC2147" s="0" t="s">
        <v>153</v>
      </c>
      <c r="DN2147" s="0" t="s">
        <v>153</v>
      </c>
      <c r="DU2147" s="0" t="s">
        <v>153</v>
      </c>
      <c r="EF2147" s="0" t="s">
        <v>153</v>
      </c>
    </row>
    <row r="2148" customFormat="false" ht="13.8" hidden="true" customHeight="false" outlineLevel="0" collapsed="false">
      <c r="A2148" s="0" t="s">
        <v>9422</v>
      </c>
      <c r="B2148" s="0" t="n">
        <v>78</v>
      </c>
      <c r="C2148" s="0" t="n">
        <v>485582</v>
      </c>
      <c r="D2148" s="0" t="s">
        <v>9418</v>
      </c>
      <c r="E2148" s="0" t="s">
        <v>331</v>
      </c>
      <c r="F2148" s="0" t="str">
        <f aca="false">CONCATENATE(D2148," ",LEFT(H2148,4),"T=",AU2148,"D=",AV2148,"R=",AW2148,"M=",AX2148,"L=",AY2148,"B=",AZ2148)</f>
        <v>OSBORNE T=1D=0R=0M=0L=1B=0</v>
      </c>
      <c r="G2148" s="0" t="s">
        <v>325</v>
      </c>
      <c r="I2148" s="0" t="s">
        <v>9423</v>
      </c>
      <c r="J2148" s="0" t="s">
        <v>9424</v>
      </c>
      <c r="K2148" s="0" t="s">
        <v>160</v>
      </c>
      <c r="M2148" s="0" t="s">
        <v>9421</v>
      </c>
      <c r="N2148" s="0" t="str">
        <f aca="false">RIGHT(M2148,LEN(M2148)-FIND(" ",M2148))</f>
        <v>SOUTH ST SE</v>
      </c>
      <c r="P2148" s="0" t="s">
        <v>145</v>
      </c>
      <c r="Q2148" s="0" t="s">
        <v>146</v>
      </c>
      <c r="R2148" s="0" t="n">
        <v>44483</v>
      </c>
      <c r="AD2148" s="0" t="s">
        <v>147</v>
      </c>
      <c r="AE2148" s="0" t="s">
        <v>148</v>
      </c>
      <c r="AF2148" s="0" t="s">
        <v>149</v>
      </c>
      <c r="AH2148" s="0" t="n">
        <v>14</v>
      </c>
      <c r="AI2148" s="0" t="n">
        <v>11</v>
      </c>
      <c r="AN2148" s="0" t="s">
        <v>145</v>
      </c>
      <c r="AO2148" s="0" t="s">
        <v>150</v>
      </c>
      <c r="AP2148" s="0" t="s">
        <v>151</v>
      </c>
      <c r="AQ2148" s="0" t="n">
        <v>9</v>
      </c>
      <c r="AR2148" s="0" t="n">
        <v>64</v>
      </c>
      <c r="AS2148" s="0" t="n">
        <v>32</v>
      </c>
      <c r="AU2148" s="0" t="n">
        <f aca="false">COUNTA($BA$237:$EH$237)</f>
        <v>1</v>
      </c>
      <c r="AV2148" s="0" t="n">
        <f aca="false">COUNTIF($BA$237:$EH$237,"D")</f>
        <v>0</v>
      </c>
      <c r="AW2148" s="0" t="n">
        <f aca="false">COUNTIF($BA$237:$EH$237,"R")</f>
        <v>0</v>
      </c>
      <c r="AX2148" s="0" t="n">
        <f aca="false">IF(BN2148="D",1,0)+IF(BO2148="D",1,0)+IF(BT2148="D",1,0)+IF(BU2148="D",1,0)+IF(BW2148="D",1,0)+IF(CC2148="D",1,0)+IF(CD2148="D",1,0)+IF(CE2148="D",1,0)+IF(CF2148="D",1,0)+IF(CL2148="D",1,0)+IF(CM2148="D",1,0)+IF(CQ2148="D",1,0)+IF(CR2148="D",1,0)+IF(CS2148="D",1,0)+IF(CW2148="D",1,0)+IF(CX2148="D",1,0)+IF(DD2148="D",1,0)+IF(DE2148="D",1,0)+IF(DJ2148="D",1,0)+IF(DK2148="D",1,0)+IF(DO2148="D",1,0)+IF(DP2148="D",1,0)+IF(DQ2148="D",1,0)+IF(DW2148="D",1,0)+IF(DZ2148="D",1,0)+IF(EH2148="D",1,0)</f>
        <v>0</v>
      </c>
      <c r="AY2148" s="0" t="n">
        <f aca="false">COUNTIF(DU2148:EH2148, "&lt;&gt;")</f>
        <v>1</v>
      </c>
      <c r="AZ2148" s="0" t="n">
        <f aca="false">IF(EH2148&lt;&gt;"",1,0)</f>
        <v>0</v>
      </c>
      <c r="BB2148" s="0" t="s">
        <v>152</v>
      </c>
      <c r="EF2148" s="0" t="s">
        <v>153</v>
      </c>
    </row>
    <row r="2149" customFormat="false" ht="13.8" hidden="true" customHeight="false" outlineLevel="0" collapsed="false">
      <c r="A2149" s="0" t="s">
        <v>9425</v>
      </c>
      <c r="B2149" s="0" t="n">
        <v>78</v>
      </c>
      <c r="C2149" s="0" t="n">
        <v>301404</v>
      </c>
      <c r="D2149" s="0" t="s">
        <v>9426</v>
      </c>
      <c r="E2149" s="0" t="s">
        <v>3555</v>
      </c>
      <c r="F2149" s="0" t="str">
        <f aca="false">CONCATENATE(D2149," ",LEFT(H2149,4),"T=",AU2149,"D=",AV2149,"R=",AW2149,"M=",AX2149,"L=",AY2149,"B=",AZ2149)</f>
        <v>TOTHEROW T=36D=10R=0M=0L=0B=0</v>
      </c>
      <c r="G2149" s="0" t="s">
        <v>1128</v>
      </c>
      <c r="I2149" s="0" t="s">
        <v>9427</v>
      </c>
      <c r="J2149" s="0" t="s">
        <v>9428</v>
      </c>
      <c r="K2149" s="0" t="s">
        <v>160</v>
      </c>
      <c r="M2149" s="0" t="s">
        <v>9429</v>
      </c>
      <c r="N2149" s="0" t="str">
        <f aca="false">RIGHT(M2149,LEN(M2149)-FIND(" ",M2149))</f>
        <v>SOUTH ST SE</v>
      </c>
      <c r="P2149" s="0" t="s">
        <v>145</v>
      </c>
      <c r="Q2149" s="0" t="s">
        <v>146</v>
      </c>
      <c r="R2149" s="0" t="n">
        <v>44483</v>
      </c>
      <c r="AD2149" s="0" t="s">
        <v>147</v>
      </c>
      <c r="AE2149" s="0" t="s">
        <v>148</v>
      </c>
      <c r="AF2149" s="0" t="s">
        <v>149</v>
      </c>
      <c r="AH2149" s="0" t="n">
        <v>14</v>
      </c>
      <c r="AI2149" s="0" t="n">
        <v>11</v>
      </c>
      <c r="AN2149" s="0" t="s">
        <v>145</v>
      </c>
      <c r="AO2149" s="0" t="s">
        <v>150</v>
      </c>
      <c r="AP2149" s="0" t="s">
        <v>151</v>
      </c>
      <c r="AQ2149" s="0" t="n">
        <v>9</v>
      </c>
      <c r="AR2149" s="0" t="n">
        <v>64</v>
      </c>
      <c r="AS2149" s="0" t="n">
        <v>32</v>
      </c>
      <c r="AU2149" s="0" t="n">
        <f aca="false">COUNTA($BA$143:$EH$143)</f>
        <v>36</v>
      </c>
      <c r="AV2149" s="0" t="n">
        <f aca="false">COUNTIF($BA$143:$EH$143,"D")</f>
        <v>10</v>
      </c>
      <c r="AW2149" s="0" t="n">
        <f aca="false">COUNTIF($BA$143:$EH$143,"R")</f>
        <v>0</v>
      </c>
      <c r="AX2149" s="0" t="n">
        <f aca="false">IF(BN2149="D",1,0)+IF(BO2149="D",1,0)+IF(BT2149="D",1,0)+IF(BU2149="D",1,0)+IF(BW2149="D",1,0)+IF(CC2149="D",1,0)+IF(CD2149="D",1,0)+IF(CE2149="D",1,0)+IF(CF2149="D",1,0)+IF(CL2149="D",1,0)+IF(CM2149="D",1,0)+IF(CQ2149="D",1,0)+IF(CR2149="D",1,0)+IF(CS2149="D",1,0)+IF(CW2149="D",1,0)+IF(CX2149="D",1,0)+IF(DD2149="D",1,0)+IF(DE2149="D",1,0)+IF(DJ2149="D",1,0)+IF(DK2149="D",1,0)+IF(DO2149="D",1,0)+IF(DP2149="D",1,0)+IF(DQ2149="D",1,0)+IF(DW2149="D",1,0)+IF(DZ2149="D",1,0)+IF(EH2149="D",1,0)</f>
        <v>0</v>
      </c>
      <c r="AY2149" s="0" t="n">
        <f aca="false">COUNTIF(DU2149:EH2149, "&lt;&gt;")</f>
        <v>0</v>
      </c>
      <c r="AZ2149" s="0" t="n">
        <f aca="false">IF(EH2149&lt;&gt;"",1,0)</f>
        <v>0</v>
      </c>
      <c r="BB2149" s="0" t="s">
        <v>152</v>
      </c>
      <c r="CA2149" s="0" t="s">
        <v>153</v>
      </c>
      <c r="CP2149" s="0" t="s">
        <v>153</v>
      </c>
    </row>
    <row r="2150" customFormat="false" ht="13.8" hidden="true" customHeight="false" outlineLevel="0" collapsed="false">
      <c r="A2150" s="0" t="s">
        <v>9430</v>
      </c>
      <c r="B2150" s="0" t="n">
        <v>78</v>
      </c>
      <c r="C2150" s="0" t="n">
        <v>366473</v>
      </c>
      <c r="D2150" s="0" t="s">
        <v>9431</v>
      </c>
      <c r="E2150" s="0" t="s">
        <v>1912</v>
      </c>
      <c r="F2150" s="0" t="str">
        <f aca="false">CONCATENATE(D2150," ",LEFT(H2150,4),"T=",AU2150,"D=",AV2150,"R=",AW2150,"M=",AX2150,"L=",AY2150,"B=",AZ2150)</f>
        <v>FOLK T=3D=0R=0M=0L=0B=0</v>
      </c>
      <c r="G2150" s="0" t="s">
        <v>164</v>
      </c>
      <c r="I2150" s="0" t="s">
        <v>9432</v>
      </c>
      <c r="J2150" s="0" t="s">
        <v>7503</v>
      </c>
      <c r="K2150" s="0" t="s">
        <v>160</v>
      </c>
      <c r="M2150" s="0" t="s">
        <v>9429</v>
      </c>
      <c r="N2150" s="0" t="str">
        <f aca="false">RIGHT(M2150,LEN(M2150)-FIND(" ",M2150))</f>
        <v>SOUTH ST SE</v>
      </c>
      <c r="P2150" s="0" t="s">
        <v>145</v>
      </c>
      <c r="Q2150" s="0" t="s">
        <v>146</v>
      </c>
      <c r="R2150" s="0" t="n">
        <v>44483</v>
      </c>
      <c r="AD2150" s="0" t="s">
        <v>147</v>
      </c>
      <c r="AE2150" s="0" t="s">
        <v>148</v>
      </c>
      <c r="AF2150" s="0" t="s">
        <v>149</v>
      </c>
      <c r="AH2150" s="0" t="n">
        <v>14</v>
      </c>
      <c r="AI2150" s="0" t="n">
        <v>11</v>
      </c>
      <c r="AN2150" s="0" t="s">
        <v>145</v>
      </c>
      <c r="AO2150" s="0" t="s">
        <v>150</v>
      </c>
      <c r="AP2150" s="0" t="s">
        <v>151</v>
      </c>
      <c r="AQ2150" s="0" t="n">
        <v>9</v>
      </c>
      <c r="AR2150" s="0" t="n">
        <v>64</v>
      </c>
      <c r="AS2150" s="0" t="n">
        <v>32</v>
      </c>
      <c r="AU2150" s="0" t="n">
        <f aca="false">COUNTA($BA$945:$EH$945)</f>
        <v>3</v>
      </c>
      <c r="AV2150" s="0" t="n">
        <f aca="false">COUNTIF($BA$945:$EH$945,"D")</f>
        <v>0</v>
      </c>
      <c r="AW2150" s="0" t="n">
        <f aca="false">COUNTIF($BA$945:$EH$945,"R")</f>
        <v>0</v>
      </c>
      <c r="AX2150" s="0" t="n">
        <f aca="false">IF(BN2150="D",1,0)+IF(BO2150="D",1,0)+IF(BT2150="D",1,0)+IF(BU2150="D",1,0)+IF(BW2150="D",1,0)+IF(CC2150="D",1,0)+IF(CD2150="D",1,0)+IF(CE2150="D",1,0)+IF(CF2150="D",1,0)+IF(CL2150="D",1,0)+IF(CM2150="D",1,0)+IF(CQ2150="D",1,0)+IF(CR2150="D",1,0)+IF(CS2150="D",1,0)+IF(CW2150="D",1,0)+IF(CX2150="D",1,0)+IF(DD2150="D",1,0)+IF(DE2150="D",1,0)+IF(DJ2150="D",1,0)+IF(DK2150="D",1,0)+IF(DO2150="D",1,0)+IF(DP2150="D",1,0)+IF(DQ2150="D",1,0)+IF(DW2150="D",1,0)+IF(DZ2150="D",1,0)+IF(EH2150="D",1,0)</f>
        <v>0</v>
      </c>
      <c r="AY2150" s="0" t="n">
        <f aca="false">COUNTIF(DU2150:EH2150, "&lt;&gt;")</f>
        <v>0</v>
      </c>
      <c r="AZ2150" s="0" t="n">
        <f aca="false">IF(EH2150&lt;&gt;"",1,0)</f>
        <v>0</v>
      </c>
      <c r="BB2150" s="0" t="s">
        <v>152</v>
      </c>
      <c r="CA2150" s="0" t="s">
        <v>153</v>
      </c>
      <c r="CP2150" s="0" t="s">
        <v>153</v>
      </c>
      <c r="CY2150" s="0" t="s">
        <v>153</v>
      </c>
    </row>
    <row r="2151" customFormat="false" ht="13.8" hidden="true" customHeight="false" outlineLevel="0" collapsed="false">
      <c r="A2151" s="0" t="s">
        <v>9433</v>
      </c>
      <c r="B2151" s="0" t="n">
        <v>78</v>
      </c>
      <c r="C2151" s="0" t="n">
        <v>300798</v>
      </c>
      <c r="D2151" s="0" t="s">
        <v>1142</v>
      </c>
      <c r="E2151" s="0" t="s">
        <v>9434</v>
      </c>
      <c r="F2151" s="0" t="str">
        <f aca="false">CONCATENATE(D2151," ",LEFT(H2151,4),"T=",AU2151,"D=",AV2151,"R=",AW2151,"M=",AX2151,"L=",AY2151,"B=",AZ2151)</f>
        <v>GEARHART T=1D=0R=0M=0L=0B=0</v>
      </c>
      <c r="G2151" s="0" t="s">
        <v>195</v>
      </c>
      <c r="I2151" s="0" t="s">
        <v>9435</v>
      </c>
      <c r="J2151" s="0" t="s">
        <v>9436</v>
      </c>
      <c r="K2151" s="0" t="s">
        <v>143</v>
      </c>
      <c r="M2151" s="0" t="s">
        <v>9437</v>
      </c>
      <c r="N2151" s="0" t="str">
        <f aca="false">RIGHT(M2151,LEN(M2151)-FIND(" ",M2151))</f>
        <v>SOUTH ST SE</v>
      </c>
      <c r="P2151" s="0" t="s">
        <v>145</v>
      </c>
      <c r="Q2151" s="0" t="s">
        <v>146</v>
      </c>
      <c r="R2151" s="0" t="n">
        <v>44483</v>
      </c>
      <c r="AD2151" s="0" t="s">
        <v>147</v>
      </c>
      <c r="AE2151" s="0" t="s">
        <v>148</v>
      </c>
      <c r="AF2151" s="0" t="s">
        <v>149</v>
      </c>
      <c r="AH2151" s="0" t="n">
        <v>14</v>
      </c>
      <c r="AI2151" s="0" t="n">
        <v>11</v>
      </c>
      <c r="AN2151" s="0" t="s">
        <v>145</v>
      </c>
      <c r="AO2151" s="0" t="s">
        <v>150</v>
      </c>
      <c r="AP2151" s="0" t="s">
        <v>151</v>
      </c>
      <c r="AQ2151" s="0" t="n">
        <v>9</v>
      </c>
      <c r="AR2151" s="0" t="n">
        <v>64</v>
      </c>
      <c r="AS2151" s="0" t="n">
        <v>32</v>
      </c>
      <c r="AU2151" s="0" t="n">
        <f aca="false">COUNTA($BA$418:$EH$418)</f>
        <v>1</v>
      </c>
      <c r="AV2151" s="0" t="n">
        <f aca="false">COUNTIF($BA$418:$EH$418,"D")</f>
        <v>0</v>
      </c>
      <c r="AW2151" s="0" t="n">
        <f aca="false">COUNTIF($BA$418:$EH$418,"R")</f>
        <v>0</v>
      </c>
      <c r="AX2151" s="0" t="n">
        <f aca="false">IF(BN2151="D",1,0)+IF(BO2151="D",1,0)+IF(BT2151="D",1,0)+IF(BU2151="D",1,0)+IF(BW2151="D",1,0)+IF(CC2151="D",1,0)+IF(CD2151="D",1,0)+IF(CE2151="D",1,0)+IF(CF2151="D",1,0)+IF(CL2151="D",1,0)+IF(CM2151="D",1,0)+IF(CQ2151="D",1,0)+IF(CR2151="D",1,0)+IF(CS2151="D",1,0)+IF(CW2151="D",1,0)+IF(CX2151="D",1,0)+IF(DD2151="D",1,0)+IF(DE2151="D",1,0)+IF(DJ2151="D",1,0)+IF(DK2151="D",1,0)+IF(DO2151="D",1,0)+IF(DP2151="D",1,0)+IF(DQ2151="D",1,0)+IF(DW2151="D",1,0)+IF(DZ2151="D",1,0)+IF(EH2151="D",1,0)</f>
        <v>0</v>
      </c>
      <c r="AY2151" s="0" t="n">
        <f aca="false">COUNTIF(DU2151:EH2151, "&lt;&gt;")</f>
        <v>0</v>
      </c>
      <c r="AZ2151" s="0" t="n">
        <f aca="false">IF(EH2151&lt;&gt;"",1,0)</f>
        <v>0</v>
      </c>
      <c r="BB2151" s="0" t="s">
        <v>152</v>
      </c>
    </row>
    <row r="2152" customFormat="false" ht="13.8" hidden="false" customHeight="false" outlineLevel="0" collapsed="false">
      <c r="A2152" s="0" t="s">
        <v>9438</v>
      </c>
      <c r="B2152" s="0" t="n">
        <v>78</v>
      </c>
      <c r="C2152" s="0" t="n">
        <v>475161</v>
      </c>
      <c r="D2152" s="0" t="s">
        <v>9439</v>
      </c>
      <c r="E2152" s="0" t="s">
        <v>958</v>
      </c>
      <c r="F2152" s="0" t="str">
        <f aca="false">CONCATENATE(D2152," ",LEFT(H2152,4),"T=",AU2152,"D=",AV2152,"R=",AW2152,"M=",AX2152,"L=",AY2152,"B=",AZ2152)</f>
        <v>VANDESTEEG T=21D=4R=0M=0L=2B=0</v>
      </c>
      <c r="G2152" s="0" t="s">
        <v>325</v>
      </c>
      <c r="I2152" s="0" t="s">
        <v>8613</v>
      </c>
      <c r="J2152" s="0" t="s">
        <v>9060</v>
      </c>
      <c r="K2152" s="0" t="s">
        <v>160</v>
      </c>
      <c r="M2152" s="0" t="s">
        <v>9440</v>
      </c>
      <c r="N2152" s="0" t="str">
        <f aca="false">RIGHT(M2152,LEN(M2152)-FIND(" ",M2152))</f>
        <v>SOUTH ST SE</v>
      </c>
      <c r="P2152" s="0" t="s">
        <v>145</v>
      </c>
      <c r="Q2152" s="0" t="s">
        <v>146</v>
      </c>
      <c r="R2152" s="0" t="n">
        <v>44483</v>
      </c>
      <c r="AD2152" s="0" t="s">
        <v>147</v>
      </c>
      <c r="AE2152" s="0" t="s">
        <v>148</v>
      </c>
      <c r="AF2152" s="0" t="s">
        <v>149</v>
      </c>
      <c r="AH2152" s="0" t="n">
        <v>14</v>
      </c>
      <c r="AI2152" s="0" t="n">
        <v>11</v>
      </c>
      <c r="AN2152" s="0" t="s">
        <v>145</v>
      </c>
      <c r="AO2152" s="0" t="s">
        <v>150</v>
      </c>
      <c r="AP2152" s="0" t="s">
        <v>151</v>
      </c>
      <c r="AQ2152" s="0" t="n">
        <v>9</v>
      </c>
      <c r="AR2152" s="0" t="n">
        <v>64</v>
      </c>
      <c r="AS2152" s="0" t="n">
        <v>32</v>
      </c>
      <c r="AU2152" s="0" t="n">
        <f aca="false">COUNTA($BA$364:$EH$364)</f>
        <v>21</v>
      </c>
      <c r="AV2152" s="0" t="n">
        <f aca="false">COUNTIF($BA$364:$EH$364,"D")</f>
        <v>4</v>
      </c>
      <c r="AW2152" s="0" t="n">
        <f aca="false">COUNTIF($BA$364:$EH$364,"R")</f>
        <v>0</v>
      </c>
      <c r="AX2152" s="0" t="n">
        <f aca="false">IF(BN2152="D",1,0)+IF(BO2152="D",1,0)+IF(BT2152="D",1,0)+IF(BU2152="D",1,0)+IF(BW2152="D",1,0)+IF(CC2152="D",1,0)+IF(CD2152="D",1,0)+IF(CE2152="D",1,0)+IF(CF2152="D",1,0)+IF(CL2152="D",1,0)+IF(CM2152="D",1,0)+IF(CQ2152="D",1,0)+IF(CR2152="D",1,0)+IF(CS2152="D",1,0)+IF(CW2152="D",1,0)+IF(CX2152="D",1,0)+IF(DD2152="D",1,0)+IF(DE2152="D",1,0)+IF(DJ2152="D",1,0)+IF(DK2152="D",1,0)+IF(DO2152="D",1,0)+IF(DP2152="D",1,0)+IF(DQ2152="D",1,0)+IF(DW2152="D",1,0)+IF(DZ2152="D",1,0)+IF(EH2152="D",1,0)</f>
        <v>0</v>
      </c>
      <c r="AY2152" s="0" t="n">
        <f aca="false">COUNTIF(DU2152:EH2152, "&lt;&gt;")</f>
        <v>2</v>
      </c>
      <c r="AZ2152" s="0" t="n">
        <f aca="false">IF(EH2152&lt;&gt;"",1,0)</f>
        <v>0</v>
      </c>
      <c r="BB2152" s="0" t="s">
        <v>152</v>
      </c>
      <c r="EA2152" s="0" t="s">
        <v>153</v>
      </c>
      <c r="EF2152" s="0" t="s">
        <v>153</v>
      </c>
    </row>
    <row r="2153" customFormat="false" ht="13.8" hidden="true" customHeight="false" outlineLevel="0" collapsed="false">
      <c r="A2153" s="0" t="s">
        <v>9441</v>
      </c>
      <c r="B2153" s="0" t="n">
        <v>78</v>
      </c>
      <c r="C2153" s="0" t="n">
        <v>459605</v>
      </c>
      <c r="D2153" s="0" t="s">
        <v>9442</v>
      </c>
      <c r="E2153" s="0" t="s">
        <v>9443</v>
      </c>
      <c r="F2153" s="0" t="str">
        <f aca="false">CONCATENATE(D2153," ",LEFT(H2153,4),"T=",AU2153,"D=",AV2153,"R=",AW2153,"M=",AX2153,"L=",AY2153,"B=",AZ2153)</f>
        <v>MARINO JRT=15D=4R=0M=0L=0B=0</v>
      </c>
      <c r="H2153" s="0" t="s">
        <v>314</v>
      </c>
      <c r="I2153" s="0" t="s">
        <v>1345</v>
      </c>
      <c r="J2153" s="0" t="s">
        <v>9444</v>
      </c>
      <c r="K2153" s="0" t="s">
        <v>143</v>
      </c>
      <c r="M2153" s="0" t="s">
        <v>9440</v>
      </c>
      <c r="N2153" s="0" t="str">
        <f aca="false">RIGHT(M2153,LEN(M2153)-FIND(" ",M2153))</f>
        <v>SOUTH ST SE</v>
      </c>
      <c r="P2153" s="0" t="s">
        <v>145</v>
      </c>
      <c r="Q2153" s="0" t="s">
        <v>146</v>
      </c>
      <c r="R2153" s="0" t="n">
        <v>44483</v>
      </c>
      <c r="AD2153" s="0" t="s">
        <v>147</v>
      </c>
      <c r="AE2153" s="0" t="s">
        <v>148</v>
      </c>
      <c r="AF2153" s="0" t="s">
        <v>149</v>
      </c>
      <c r="AH2153" s="0" t="n">
        <v>14</v>
      </c>
      <c r="AI2153" s="0" t="n">
        <v>11</v>
      </c>
      <c r="AN2153" s="0" t="s">
        <v>145</v>
      </c>
      <c r="AO2153" s="0" t="s">
        <v>150</v>
      </c>
      <c r="AP2153" s="0" t="s">
        <v>151</v>
      </c>
      <c r="AQ2153" s="0" t="n">
        <v>9</v>
      </c>
      <c r="AR2153" s="0" t="n">
        <v>64</v>
      </c>
      <c r="AS2153" s="0" t="n">
        <v>32</v>
      </c>
      <c r="AU2153" s="0" t="n">
        <f aca="false">COUNTA($BA$443:$EH$443)</f>
        <v>15</v>
      </c>
      <c r="AV2153" s="0" t="n">
        <f aca="false">COUNTIF($BA$443:$EH$443,"D")</f>
        <v>4</v>
      </c>
      <c r="AW2153" s="0" t="n">
        <f aca="false">COUNTIF($BA$443:$EH$443,"R")</f>
        <v>0</v>
      </c>
      <c r="AX2153" s="0" t="n">
        <f aca="false">IF(BN2153="D",1,0)+IF(BO2153="D",1,0)+IF(BT2153="D",1,0)+IF(BU2153="D",1,0)+IF(BW2153="D",1,0)+IF(CC2153="D",1,0)+IF(CD2153="D",1,0)+IF(CE2153="D",1,0)+IF(CF2153="D",1,0)+IF(CL2153="D",1,0)+IF(CM2153="D",1,0)+IF(CQ2153="D",1,0)+IF(CR2153="D",1,0)+IF(CS2153="D",1,0)+IF(CW2153="D",1,0)+IF(CX2153="D",1,0)+IF(DD2153="D",1,0)+IF(DE2153="D",1,0)+IF(DJ2153="D",1,0)+IF(DK2153="D",1,0)+IF(DO2153="D",1,0)+IF(DP2153="D",1,0)+IF(DQ2153="D",1,0)+IF(DW2153="D",1,0)+IF(DZ2153="D",1,0)+IF(EH2153="D",1,0)</f>
        <v>0</v>
      </c>
      <c r="AY2153" s="0" t="n">
        <f aca="false">COUNTIF(DU2153:EH2153, "&lt;&gt;")</f>
        <v>0</v>
      </c>
      <c r="AZ2153" s="0" t="n">
        <f aca="false">IF(EH2153&lt;&gt;"",1,0)</f>
        <v>0</v>
      </c>
      <c r="BB2153" s="0" t="s">
        <v>152</v>
      </c>
      <c r="BD2153" s="0" t="s">
        <v>153</v>
      </c>
      <c r="BL2153" s="0" t="s">
        <v>153</v>
      </c>
      <c r="BP2153" s="0" t="s">
        <v>153</v>
      </c>
      <c r="BS2153" s="0" t="s">
        <v>153</v>
      </c>
      <c r="BY2153" s="0" t="s">
        <v>209</v>
      </c>
      <c r="CA2153" s="0" t="s">
        <v>153</v>
      </c>
      <c r="CH2153" s="0" t="s">
        <v>209</v>
      </c>
      <c r="CK2153" s="0" t="s">
        <v>153</v>
      </c>
      <c r="CP2153" s="0" t="s">
        <v>153</v>
      </c>
      <c r="CQ2153" s="0" t="s">
        <v>153</v>
      </c>
    </row>
    <row r="2154" customFormat="false" ht="13.8" hidden="true" customHeight="false" outlineLevel="0" collapsed="false">
      <c r="A2154" s="0" t="s">
        <v>9445</v>
      </c>
      <c r="B2154" s="0" t="n">
        <v>78</v>
      </c>
      <c r="C2154" s="0" t="n">
        <v>494058</v>
      </c>
      <c r="D2154" s="0" t="s">
        <v>1041</v>
      </c>
      <c r="E2154" s="0" t="s">
        <v>3873</v>
      </c>
      <c r="F2154" s="0" t="str">
        <f aca="false">CONCATENATE(D2154," ",LEFT(H2154,4),"T=",AU2154,"D=",AV2154,"R=",AW2154,"M=",AX2154,"L=",AY2154,"B=",AZ2154)</f>
        <v>JONES T=1D=0R=0M=0L=0B=0</v>
      </c>
      <c r="G2154" s="0" t="s">
        <v>9446</v>
      </c>
      <c r="I2154" s="0" t="s">
        <v>9447</v>
      </c>
      <c r="J2154" s="0" t="s">
        <v>2609</v>
      </c>
      <c r="K2154" s="0" t="s">
        <v>160</v>
      </c>
      <c r="M2154" s="0" t="s">
        <v>9440</v>
      </c>
      <c r="N2154" s="0" t="str">
        <f aca="false">RIGHT(M2154,LEN(M2154)-FIND(" ",M2154))</f>
        <v>SOUTH ST SE</v>
      </c>
      <c r="P2154" s="0" t="s">
        <v>145</v>
      </c>
      <c r="Q2154" s="0" t="s">
        <v>146</v>
      </c>
      <c r="R2154" s="0" t="n">
        <v>44483</v>
      </c>
      <c r="AD2154" s="0" t="s">
        <v>147</v>
      </c>
      <c r="AE2154" s="0" t="s">
        <v>148</v>
      </c>
      <c r="AF2154" s="0" t="s">
        <v>149</v>
      </c>
      <c r="AH2154" s="0" t="n">
        <v>14</v>
      </c>
      <c r="AI2154" s="0" t="n">
        <v>11</v>
      </c>
      <c r="AN2154" s="0" t="s">
        <v>145</v>
      </c>
      <c r="AO2154" s="0" t="s">
        <v>150</v>
      </c>
      <c r="AP2154" s="0" t="s">
        <v>151</v>
      </c>
      <c r="AQ2154" s="0" t="n">
        <v>9</v>
      </c>
      <c r="AR2154" s="0" t="n">
        <v>64</v>
      </c>
      <c r="AS2154" s="0" t="n">
        <v>32</v>
      </c>
      <c r="AU2154" s="0" t="n">
        <f aca="false">COUNTA($BA$596:$EH$596)</f>
        <v>1</v>
      </c>
      <c r="AV2154" s="0" t="n">
        <f aca="false">COUNTIF($BA$596:$EH$596,"D")</f>
        <v>0</v>
      </c>
      <c r="AW2154" s="0" t="n">
        <f aca="false">COUNTIF($BA$596:$EH$596,"R")</f>
        <v>0</v>
      </c>
      <c r="AX2154" s="0" t="n">
        <f aca="false">IF(BN2154="D",1,0)+IF(BO2154="D",1,0)+IF(BT2154="D",1,0)+IF(BU2154="D",1,0)+IF(BW2154="D",1,0)+IF(CC2154="D",1,0)+IF(CD2154="D",1,0)+IF(CE2154="D",1,0)+IF(CF2154="D",1,0)+IF(CL2154="D",1,0)+IF(CM2154="D",1,0)+IF(CQ2154="D",1,0)+IF(CR2154="D",1,0)+IF(CS2154="D",1,0)+IF(CW2154="D",1,0)+IF(CX2154="D",1,0)+IF(DD2154="D",1,0)+IF(DE2154="D",1,0)+IF(DJ2154="D",1,0)+IF(DK2154="D",1,0)+IF(DO2154="D",1,0)+IF(DP2154="D",1,0)+IF(DQ2154="D",1,0)+IF(DW2154="D",1,0)+IF(DZ2154="D",1,0)+IF(EH2154="D",1,0)</f>
        <v>0</v>
      </c>
      <c r="AY2154" s="0" t="n">
        <f aca="false">COUNTIF(DU2154:EH2154, "&lt;&gt;")</f>
        <v>0</v>
      </c>
      <c r="AZ2154" s="0" t="n">
        <f aca="false">IF(EH2154&lt;&gt;"",1,0)</f>
        <v>0</v>
      </c>
      <c r="BB2154" s="0" t="s">
        <v>152</v>
      </c>
    </row>
    <row r="2155" customFormat="false" ht="13.8" hidden="false" customHeight="false" outlineLevel="0" collapsed="false">
      <c r="A2155" s="0" t="s">
        <v>9448</v>
      </c>
      <c r="B2155" s="0" t="n">
        <v>78</v>
      </c>
      <c r="C2155" s="0" t="n">
        <v>13336</v>
      </c>
      <c r="D2155" s="0" t="s">
        <v>9449</v>
      </c>
      <c r="E2155" s="0" t="s">
        <v>357</v>
      </c>
      <c r="F2155" s="0" t="str">
        <f aca="false">CONCATENATE(D2155," ",LEFT(H2155,4),"T=",AU2155,"D=",AV2155,"R=",AW2155,"M=",AX2155,"L=",AY2155,"B=",AZ2155)</f>
        <v>RENFTLE T=12D=0R=4M=1L=3B=0</v>
      </c>
      <c r="G2155" s="0" t="s">
        <v>362</v>
      </c>
      <c r="I2155" s="0" t="s">
        <v>9450</v>
      </c>
      <c r="J2155" s="0" t="s">
        <v>7860</v>
      </c>
      <c r="K2155" s="0" t="s">
        <v>160</v>
      </c>
      <c r="L2155" s="0" t="s">
        <v>175</v>
      </c>
      <c r="M2155" s="0" t="s">
        <v>9451</v>
      </c>
      <c r="N2155" s="0" t="str">
        <f aca="false">RIGHT(M2155,LEN(M2155)-FIND(" ",M2155))</f>
        <v>SOUTH ST SE</v>
      </c>
      <c r="P2155" s="0" t="s">
        <v>145</v>
      </c>
      <c r="Q2155" s="0" t="s">
        <v>146</v>
      </c>
      <c r="R2155" s="0" t="n">
        <v>44483</v>
      </c>
      <c r="AD2155" s="0" t="s">
        <v>147</v>
      </c>
      <c r="AE2155" s="0" t="s">
        <v>148</v>
      </c>
      <c r="AF2155" s="0" t="s">
        <v>149</v>
      </c>
      <c r="AH2155" s="0" t="n">
        <v>14</v>
      </c>
      <c r="AI2155" s="0" t="n">
        <v>11</v>
      </c>
      <c r="AN2155" s="0" t="s">
        <v>145</v>
      </c>
      <c r="AO2155" s="0" t="s">
        <v>150</v>
      </c>
      <c r="AP2155" s="0" t="s">
        <v>151</v>
      </c>
      <c r="AQ2155" s="0" t="n">
        <v>9</v>
      </c>
      <c r="AR2155" s="0" t="n">
        <v>64</v>
      </c>
      <c r="AS2155" s="0" t="n">
        <v>32</v>
      </c>
      <c r="AU2155" s="0" t="n">
        <f aca="false">COUNTA($BA$47:$EH$47)</f>
        <v>12</v>
      </c>
      <c r="AV2155" s="0" t="n">
        <f aca="false">COUNTIF($BA$47:$EH$47,"D")</f>
        <v>0</v>
      </c>
      <c r="AW2155" s="0" t="n">
        <f aca="false">COUNTIF($BA$47:$EH$47,"R")</f>
        <v>4</v>
      </c>
      <c r="AX2155" s="0" t="n">
        <f aca="false">IF(BN2155="D",1,0)+IF(BO2155="D",1,0)+IF(BT2155="D",1,0)+IF(BU2155="D",1,0)+IF(BW2155="D",1,0)+IF(CC2155="D",1,0)+IF(CD2155="D",1,0)+IF(CE2155="D",1,0)+IF(CF2155="D",1,0)+IF(CL2155="D",1,0)+IF(CM2155="D",1,0)+IF(CQ2155="D",1,0)+IF(CR2155="D",1,0)+IF(CS2155="D",1,0)+IF(CW2155="D",1,0)+IF(CX2155="D",1,0)+IF(DD2155="D",1,0)+IF(DE2155="D",1,0)+IF(DJ2155="D",1,0)+IF(DK2155="D",1,0)+IF(DO2155="D",1,0)+IF(DP2155="D",1,0)+IF(DQ2155="D",1,0)+IF(DW2155="D",1,0)+IF(DZ2155="D",1,0)+IF(EH2155="D",1,0)</f>
        <v>1</v>
      </c>
      <c r="AY2155" s="0" t="n">
        <f aca="false">COUNTIF(DU2155:EH2155, "&lt;&gt;")</f>
        <v>3</v>
      </c>
      <c r="AZ2155" s="0" t="n">
        <f aca="false">IF(EH2155&lt;&gt;"",1,0)</f>
        <v>0</v>
      </c>
      <c r="BB2155" s="0" t="s">
        <v>152</v>
      </c>
      <c r="BD2155" s="0" t="s">
        <v>153</v>
      </c>
      <c r="BH2155" s="0" t="s">
        <v>153</v>
      </c>
      <c r="BJ2155" s="0" t="s">
        <v>153</v>
      </c>
      <c r="BL2155" s="0" t="s">
        <v>153</v>
      </c>
      <c r="BR2155" s="0" t="s">
        <v>153</v>
      </c>
      <c r="CA2155" s="0" t="s">
        <v>153</v>
      </c>
      <c r="CP2155" s="0" t="s">
        <v>153</v>
      </c>
      <c r="CY2155" s="0" t="s">
        <v>153</v>
      </c>
      <c r="DC2155" s="0" t="s">
        <v>153</v>
      </c>
      <c r="DN2155" s="0" t="s">
        <v>153</v>
      </c>
      <c r="DU2155" s="0" t="s">
        <v>153</v>
      </c>
      <c r="DW2155" s="0" t="s">
        <v>175</v>
      </c>
      <c r="EF2155" s="0" t="s">
        <v>153</v>
      </c>
    </row>
    <row r="2156" customFormat="false" ht="13.8" hidden="false" customHeight="false" outlineLevel="0" collapsed="false">
      <c r="A2156" s="0" t="s">
        <v>9452</v>
      </c>
      <c r="B2156" s="0" t="n">
        <v>78</v>
      </c>
      <c r="C2156" s="0" t="n">
        <v>154904</v>
      </c>
      <c r="D2156" s="0" t="s">
        <v>9453</v>
      </c>
      <c r="E2156" s="0" t="s">
        <v>2271</v>
      </c>
      <c r="F2156" s="0" t="str">
        <f aca="false">CONCATENATE(D2156," ",LEFT(H2156,4),"T=",AU2156,"D=",AV2156,"R=",AW2156,"M=",AX2156,"L=",AY2156,"B=",AZ2156)</f>
        <v>MARSH T=5D=0R=0M=5L=5B=0</v>
      </c>
      <c r="G2156" s="0" t="s">
        <v>2123</v>
      </c>
      <c r="I2156" s="0" t="s">
        <v>9454</v>
      </c>
      <c r="J2156" s="0" t="s">
        <v>321</v>
      </c>
      <c r="K2156" s="0" t="s">
        <v>160</v>
      </c>
      <c r="L2156" s="0" t="s">
        <v>175</v>
      </c>
      <c r="M2156" s="0" t="s">
        <v>9455</v>
      </c>
      <c r="N2156" s="0" t="str">
        <f aca="false">RIGHT(M2156,LEN(M2156)-FIND(" ",M2156))</f>
        <v>SOUTH ST SE</v>
      </c>
      <c r="P2156" s="0" t="s">
        <v>145</v>
      </c>
      <c r="Q2156" s="0" t="s">
        <v>146</v>
      </c>
      <c r="R2156" s="0" t="n">
        <v>44483</v>
      </c>
      <c r="AD2156" s="0" t="s">
        <v>147</v>
      </c>
      <c r="AE2156" s="0" t="s">
        <v>148</v>
      </c>
      <c r="AF2156" s="0" t="s">
        <v>149</v>
      </c>
      <c r="AH2156" s="0" t="n">
        <v>14</v>
      </c>
      <c r="AI2156" s="0" t="n">
        <v>11</v>
      </c>
      <c r="AN2156" s="0" t="s">
        <v>145</v>
      </c>
      <c r="AO2156" s="0" t="s">
        <v>150</v>
      </c>
      <c r="AP2156" s="0" t="s">
        <v>151</v>
      </c>
      <c r="AQ2156" s="0" t="n">
        <v>9</v>
      </c>
      <c r="AR2156" s="0" t="n">
        <v>64</v>
      </c>
      <c r="AS2156" s="0" t="n">
        <v>32</v>
      </c>
      <c r="AU2156" s="0" t="n">
        <f aca="false">COUNTA($BA$249:$EH$249)</f>
        <v>5</v>
      </c>
      <c r="AV2156" s="0" t="n">
        <f aca="false">COUNTIF($BA$249:$EH$249,"D")</f>
        <v>0</v>
      </c>
      <c r="AW2156" s="0" t="n">
        <f aca="false">COUNTIF($BA$249:$EH$249,"R")</f>
        <v>0</v>
      </c>
      <c r="AX2156" s="0" t="n">
        <f aca="false">IF(BN2156="D",1,0)+IF(BO2156="D",1,0)+IF(BT2156="D",1,0)+IF(BU2156="D",1,0)+IF(BW2156="D",1,0)+IF(CC2156="D",1,0)+IF(CD2156="D",1,0)+IF(CE2156="D",1,0)+IF(CF2156="D",1,0)+IF(CL2156="D",1,0)+IF(CM2156="D",1,0)+IF(CQ2156="D",1,0)+IF(CR2156="D",1,0)+IF(CS2156="D",1,0)+IF(CW2156="D",1,0)+IF(CX2156="D",1,0)+IF(DD2156="D",1,0)+IF(DE2156="D",1,0)+IF(DJ2156="D",1,0)+IF(DK2156="D",1,0)+IF(DO2156="D",1,0)+IF(DP2156="D",1,0)+IF(DQ2156="D",1,0)+IF(DW2156="D",1,0)+IF(DZ2156="D",1,0)+IF(EH2156="D",1,0)</f>
        <v>5</v>
      </c>
      <c r="AY2156" s="0" t="n">
        <f aca="false">COUNTIF(DU2156:EH2156, "&lt;&gt;")</f>
        <v>5</v>
      </c>
      <c r="AZ2156" s="0" t="n">
        <f aca="false">IF(EH2156&lt;&gt;"",1,0)</f>
        <v>0</v>
      </c>
      <c r="BB2156" s="0" t="s">
        <v>152</v>
      </c>
      <c r="BD2156" s="0" t="s">
        <v>153</v>
      </c>
      <c r="BE2156" s="0" t="s">
        <v>153</v>
      </c>
      <c r="BF2156" s="0" t="s">
        <v>153</v>
      </c>
      <c r="BG2156" s="0" t="s">
        <v>153</v>
      </c>
      <c r="BH2156" s="0" t="s">
        <v>153</v>
      </c>
      <c r="BI2156" s="0" t="s">
        <v>153</v>
      </c>
      <c r="BJ2156" s="0" t="s">
        <v>153</v>
      </c>
      <c r="BK2156" s="0" t="s">
        <v>153</v>
      </c>
      <c r="BL2156" s="0" t="s">
        <v>153</v>
      </c>
      <c r="BP2156" s="0" t="s">
        <v>153</v>
      </c>
      <c r="BR2156" s="0" t="s">
        <v>153</v>
      </c>
      <c r="BS2156" s="0" t="s">
        <v>153</v>
      </c>
      <c r="BT2156" s="0" t="s">
        <v>153</v>
      </c>
      <c r="BV2156" s="0" t="s">
        <v>153</v>
      </c>
      <c r="BY2156" s="0" t="s">
        <v>175</v>
      </c>
      <c r="CA2156" s="0" t="s">
        <v>153</v>
      </c>
      <c r="CC2156" s="0" t="s">
        <v>175</v>
      </c>
      <c r="CG2156" s="0" t="s">
        <v>153</v>
      </c>
      <c r="CH2156" s="0" t="s">
        <v>175</v>
      </c>
      <c r="CK2156" s="0" t="s">
        <v>153</v>
      </c>
      <c r="CL2156" s="0" t="s">
        <v>175</v>
      </c>
      <c r="CN2156" s="0" t="s">
        <v>153</v>
      </c>
      <c r="CO2156" s="0" t="s">
        <v>175</v>
      </c>
      <c r="CP2156" s="0" t="s">
        <v>153</v>
      </c>
      <c r="CQ2156" s="0" t="s">
        <v>175</v>
      </c>
      <c r="CT2156" s="0" t="s">
        <v>153</v>
      </c>
      <c r="CV2156" s="0" t="s">
        <v>153</v>
      </c>
      <c r="CW2156" s="0" t="s">
        <v>175</v>
      </c>
      <c r="CY2156" s="0" t="s">
        <v>153</v>
      </c>
      <c r="CZ2156" s="0" t="s">
        <v>175</v>
      </c>
      <c r="DC2156" s="0" t="s">
        <v>153</v>
      </c>
      <c r="DD2156" s="0" t="s">
        <v>175</v>
      </c>
      <c r="DF2156" s="0" t="s">
        <v>153</v>
      </c>
      <c r="DI2156" s="0" t="s">
        <v>153</v>
      </c>
      <c r="DL2156" s="0" t="s">
        <v>153</v>
      </c>
      <c r="DM2156" s="0" t="s">
        <v>175</v>
      </c>
      <c r="DN2156" s="0" t="s">
        <v>153</v>
      </c>
      <c r="DS2156" s="0" t="s">
        <v>175</v>
      </c>
      <c r="DU2156" s="0" t="s">
        <v>153</v>
      </c>
      <c r="DX2156" s="0" t="s">
        <v>153</v>
      </c>
      <c r="EA2156" s="0" t="s">
        <v>153</v>
      </c>
      <c r="ED2156" s="0" t="s">
        <v>175</v>
      </c>
      <c r="EF2156" s="0" t="s">
        <v>153</v>
      </c>
    </row>
    <row r="2157" customFormat="false" ht="13.8" hidden="true" customHeight="false" outlineLevel="0" collapsed="false">
      <c r="A2157" s="0" t="s">
        <v>9456</v>
      </c>
      <c r="B2157" s="0" t="n">
        <v>78</v>
      </c>
      <c r="C2157" s="0" t="n">
        <v>484636</v>
      </c>
      <c r="D2157" s="0" t="s">
        <v>1445</v>
      </c>
      <c r="E2157" s="0" t="s">
        <v>9457</v>
      </c>
      <c r="F2157" s="0" t="str">
        <f aca="false">CONCATENATE(D2157," ",LEFT(H2157,4),"T=",AU2157,"D=",AV2157,"R=",AW2157,"M=",AX2157,"L=",AY2157,"B=",AZ2157)</f>
        <v>WILLIAMS T=2D=0R=0M=0L=1B=0</v>
      </c>
      <c r="G2157" s="0" t="s">
        <v>209</v>
      </c>
      <c r="I2157" s="0" t="s">
        <v>9458</v>
      </c>
      <c r="J2157" s="0" t="s">
        <v>9459</v>
      </c>
      <c r="K2157" s="0" t="s">
        <v>160</v>
      </c>
      <c r="M2157" s="0" t="s">
        <v>9460</v>
      </c>
      <c r="N2157" s="0" t="str">
        <f aca="false">RIGHT(M2157,LEN(M2157)-FIND(" ",M2157))</f>
        <v>SOUTH ST SE</v>
      </c>
      <c r="P2157" s="0" t="s">
        <v>145</v>
      </c>
      <c r="Q2157" s="0" t="s">
        <v>146</v>
      </c>
      <c r="R2157" s="0" t="n">
        <v>44483</v>
      </c>
      <c r="AD2157" s="0" t="s">
        <v>147</v>
      </c>
      <c r="AE2157" s="0" t="s">
        <v>148</v>
      </c>
      <c r="AF2157" s="0" t="s">
        <v>149</v>
      </c>
      <c r="AH2157" s="0" t="n">
        <v>14</v>
      </c>
      <c r="AI2157" s="0" t="n">
        <v>11</v>
      </c>
      <c r="AN2157" s="0" t="s">
        <v>145</v>
      </c>
      <c r="AO2157" s="0" t="s">
        <v>150</v>
      </c>
      <c r="AP2157" s="0" t="s">
        <v>151</v>
      </c>
      <c r="AQ2157" s="0" t="n">
        <v>9</v>
      </c>
      <c r="AR2157" s="0" t="n">
        <v>64</v>
      </c>
      <c r="AS2157" s="0" t="n">
        <v>32</v>
      </c>
      <c r="AU2157" s="0" t="n">
        <f aca="false">COUNTA($BA$40:$EH$40)</f>
        <v>2</v>
      </c>
      <c r="AV2157" s="0" t="n">
        <f aca="false">COUNTIF($BA$40:$EH$40,"D")</f>
        <v>0</v>
      </c>
      <c r="AW2157" s="0" t="n">
        <f aca="false">COUNTIF($BA$40:$EH$40,"R")</f>
        <v>0</v>
      </c>
      <c r="AX2157" s="0" t="n">
        <f aca="false">IF(BN2157="D",1,0)+IF(BO2157="D",1,0)+IF(BT2157="D",1,0)+IF(BU2157="D",1,0)+IF(BW2157="D",1,0)+IF(CC2157="D",1,0)+IF(CD2157="D",1,0)+IF(CE2157="D",1,0)+IF(CF2157="D",1,0)+IF(CL2157="D",1,0)+IF(CM2157="D",1,0)+IF(CQ2157="D",1,0)+IF(CR2157="D",1,0)+IF(CS2157="D",1,0)+IF(CW2157="D",1,0)+IF(CX2157="D",1,0)+IF(DD2157="D",1,0)+IF(DE2157="D",1,0)+IF(DJ2157="D",1,0)+IF(DK2157="D",1,0)+IF(DO2157="D",1,0)+IF(DP2157="D",1,0)+IF(DQ2157="D",1,0)+IF(DW2157="D",1,0)+IF(DZ2157="D",1,0)+IF(EH2157="D",1,0)</f>
        <v>0</v>
      </c>
      <c r="AY2157" s="0" t="n">
        <f aca="false">COUNTIF(DU2157:EH2157, "&lt;&gt;")</f>
        <v>1</v>
      </c>
      <c r="AZ2157" s="0" t="n">
        <f aca="false">IF(EH2157&lt;&gt;"",1,0)</f>
        <v>0</v>
      </c>
      <c r="BB2157" s="0" t="s">
        <v>152</v>
      </c>
      <c r="BS2157" s="0" t="s">
        <v>153</v>
      </c>
      <c r="BY2157" s="0" t="s">
        <v>175</v>
      </c>
      <c r="CA2157" s="0" t="s">
        <v>153</v>
      </c>
      <c r="CP2157" s="0" t="s">
        <v>153</v>
      </c>
      <c r="DC2157" s="0" t="s">
        <v>153</v>
      </c>
      <c r="DN2157" s="0" t="s">
        <v>153</v>
      </c>
      <c r="EF2157" s="0" t="s">
        <v>153</v>
      </c>
    </row>
    <row r="2158" customFormat="false" ht="13.8" hidden="true" customHeight="false" outlineLevel="0" collapsed="false">
      <c r="A2158" s="0" t="s">
        <v>9461</v>
      </c>
      <c r="B2158" s="0" t="n">
        <v>78</v>
      </c>
      <c r="C2158" s="0" t="n">
        <v>437212</v>
      </c>
      <c r="D2158" s="0" t="s">
        <v>1445</v>
      </c>
      <c r="E2158" s="0" t="s">
        <v>9462</v>
      </c>
      <c r="F2158" s="0" t="str">
        <f aca="false">CONCATENATE(D2158," ",LEFT(H2158,4),"T=",AU2158,"D=",AV2158,"R=",AW2158,"M=",AX2158,"L=",AY2158,"B=",AZ2158)</f>
        <v>WILLIAMS T=20D=3R=0M=0L=0B=0</v>
      </c>
      <c r="G2158" s="0" t="s">
        <v>307</v>
      </c>
      <c r="I2158" s="0" t="s">
        <v>9463</v>
      </c>
      <c r="J2158" s="0" t="s">
        <v>386</v>
      </c>
      <c r="K2158" s="0" t="s">
        <v>160</v>
      </c>
      <c r="M2158" s="0" t="s">
        <v>9460</v>
      </c>
      <c r="N2158" s="0" t="str">
        <f aca="false">RIGHT(M2158,LEN(M2158)-FIND(" ",M2158))</f>
        <v>SOUTH ST SE</v>
      </c>
      <c r="P2158" s="0" t="s">
        <v>145</v>
      </c>
      <c r="Q2158" s="0" t="s">
        <v>146</v>
      </c>
      <c r="R2158" s="0" t="n">
        <v>44483</v>
      </c>
      <c r="AD2158" s="0" t="s">
        <v>147</v>
      </c>
      <c r="AE2158" s="0" t="s">
        <v>148</v>
      </c>
      <c r="AF2158" s="0" t="s">
        <v>149</v>
      </c>
      <c r="AH2158" s="0" t="n">
        <v>14</v>
      </c>
      <c r="AI2158" s="0" t="n">
        <v>11</v>
      </c>
      <c r="AN2158" s="0" t="s">
        <v>145</v>
      </c>
      <c r="AO2158" s="0" t="s">
        <v>150</v>
      </c>
      <c r="AP2158" s="0" t="s">
        <v>151</v>
      </c>
      <c r="AQ2158" s="0" t="n">
        <v>9</v>
      </c>
      <c r="AR2158" s="0" t="n">
        <v>64</v>
      </c>
      <c r="AS2158" s="0" t="n">
        <v>32</v>
      </c>
      <c r="AU2158" s="0" t="n">
        <f aca="false">COUNTA($BA$446:$EH$446)</f>
        <v>20</v>
      </c>
      <c r="AV2158" s="0" t="n">
        <f aca="false">COUNTIF($BA$446:$EH$446,"D")</f>
        <v>3</v>
      </c>
      <c r="AW2158" s="0" t="n">
        <f aca="false">COUNTIF($BA$446:$EH$446,"R")</f>
        <v>0</v>
      </c>
      <c r="AX2158" s="0" t="n">
        <f aca="false">IF(BN2158="D",1,0)+IF(BO2158="D",1,0)+IF(BT2158="D",1,0)+IF(BU2158="D",1,0)+IF(BW2158="D",1,0)+IF(CC2158="D",1,0)+IF(CD2158="D",1,0)+IF(CE2158="D",1,0)+IF(CF2158="D",1,0)+IF(CL2158="D",1,0)+IF(CM2158="D",1,0)+IF(CQ2158="D",1,0)+IF(CR2158="D",1,0)+IF(CS2158="D",1,0)+IF(CW2158="D",1,0)+IF(CX2158="D",1,0)+IF(DD2158="D",1,0)+IF(DE2158="D",1,0)+IF(DJ2158="D",1,0)+IF(DK2158="D",1,0)+IF(DO2158="D",1,0)+IF(DP2158="D",1,0)+IF(DQ2158="D",1,0)+IF(DW2158="D",1,0)+IF(DZ2158="D",1,0)+IF(EH2158="D",1,0)</f>
        <v>0</v>
      </c>
      <c r="AY2158" s="0" t="n">
        <f aca="false">COUNTIF(DU2158:EH2158, "&lt;&gt;")</f>
        <v>0</v>
      </c>
      <c r="AZ2158" s="0" t="n">
        <f aca="false">IF(EH2158&lt;&gt;"",1,0)</f>
        <v>0</v>
      </c>
      <c r="BB2158" s="0" t="s">
        <v>152</v>
      </c>
      <c r="CP2158" s="0" t="s">
        <v>153</v>
      </c>
      <c r="DC2158" s="0" t="s">
        <v>153</v>
      </c>
    </row>
    <row r="2159" customFormat="false" ht="13.8" hidden="true" customHeight="false" outlineLevel="0" collapsed="false">
      <c r="A2159" s="0" t="s">
        <v>9464</v>
      </c>
      <c r="B2159" s="0" t="n">
        <v>78</v>
      </c>
      <c r="C2159" s="0" t="n">
        <v>316692</v>
      </c>
      <c r="D2159" s="0" t="s">
        <v>9465</v>
      </c>
      <c r="E2159" s="0" t="s">
        <v>541</v>
      </c>
      <c r="F2159" s="0" t="str">
        <f aca="false">CONCATENATE(D2159," ",LEFT(H2159,4),"T=",AU2159,"D=",AV2159,"R=",AW2159,"M=",AX2159,"L=",AY2159,"B=",AZ2159)</f>
        <v>GOSLING T=2D=0R=0M=0L=0B=0</v>
      </c>
      <c r="G2159" s="0" t="s">
        <v>3093</v>
      </c>
      <c r="I2159" s="0" t="s">
        <v>9466</v>
      </c>
      <c r="J2159" s="0" t="s">
        <v>9467</v>
      </c>
      <c r="K2159" s="0" t="s">
        <v>143</v>
      </c>
      <c r="M2159" s="0" t="s">
        <v>9460</v>
      </c>
      <c r="N2159" s="0" t="str">
        <f aca="false">RIGHT(M2159,LEN(M2159)-FIND(" ",M2159))</f>
        <v>SOUTH ST SE</v>
      </c>
      <c r="P2159" s="0" t="s">
        <v>145</v>
      </c>
      <c r="Q2159" s="0" t="s">
        <v>146</v>
      </c>
      <c r="R2159" s="0" t="n">
        <v>44483</v>
      </c>
      <c r="AD2159" s="0" t="s">
        <v>147</v>
      </c>
      <c r="AE2159" s="0" t="s">
        <v>148</v>
      </c>
      <c r="AF2159" s="0" t="s">
        <v>149</v>
      </c>
      <c r="AH2159" s="0" t="n">
        <v>14</v>
      </c>
      <c r="AI2159" s="0" t="n">
        <v>11</v>
      </c>
      <c r="AN2159" s="0" t="s">
        <v>145</v>
      </c>
      <c r="AO2159" s="0" t="s">
        <v>150</v>
      </c>
      <c r="AP2159" s="0" t="s">
        <v>151</v>
      </c>
      <c r="AQ2159" s="0" t="n">
        <v>9</v>
      </c>
      <c r="AR2159" s="0" t="n">
        <v>64</v>
      </c>
      <c r="AS2159" s="0" t="n">
        <v>32</v>
      </c>
      <c r="AU2159" s="0" t="n">
        <f aca="false">COUNTA($BA$606:$EH$606)</f>
        <v>2</v>
      </c>
      <c r="AV2159" s="0" t="n">
        <f aca="false">COUNTIF($BA$606:$EH$606,"D")</f>
        <v>0</v>
      </c>
      <c r="AW2159" s="0" t="n">
        <f aca="false">COUNTIF($BA$606:$EH$606,"R")</f>
        <v>0</v>
      </c>
      <c r="AX2159" s="0" t="n">
        <f aca="false">IF(BN2159="D",1,0)+IF(BO2159="D",1,0)+IF(BT2159="D",1,0)+IF(BU2159="D",1,0)+IF(BW2159="D",1,0)+IF(CC2159="D",1,0)+IF(CD2159="D",1,0)+IF(CE2159="D",1,0)+IF(CF2159="D",1,0)+IF(CL2159="D",1,0)+IF(CM2159="D",1,0)+IF(CQ2159="D",1,0)+IF(CR2159="D",1,0)+IF(CS2159="D",1,0)+IF(CW2159="D",1,0)+IF(CX2159="D",1,0)+IF(DD2159="D",1,0)+IF(DE2159="D",1,0)+IF(DJ2159="D",1,0)+IF(DK2159="D",1,0)+IF(DO2159="D",1,0)+IF(DP2159="D",1,0)+IF(DQ2159="D",1,0)+IF(DW2159="D",1,0)+IF(DZ2159="D",1,0)+IF(EH2159="D",1,0)</f>
        <v>0</v>
      </c>
      <c r="AY2159" s="0" t="n">
        <f aca="false">COUNTIF(DU2159:EH2159, "&lt;&gt;")</f>
        <v>0</v>
      </c>
      <c r="AZ2159" s="0" t="n">
        <f aca="false">IF(EH2159&lt;&gt;"",1,0)</f>
        <v>0</v>
      </c>
      <c r="BB2159" s="0" t="s">
        <v>152</v>
      </c>
    </row>
    <row r="2160" customFormat="false" ht="13.8" hidden="true" customHeight="false" outlineLevel="0" collapsed="false">
      <c r="A2160" s="0" t="s">
        <v>9468</v>
      </c>
      <c r="B2160" s="0" t="n">
        <v>78</v>
      </c>
      <c r="C2160" s="0" t="n">
        <v>466061</v>
      </c>
      <c r="D2160" s="0" t="s">
        <v>1445</v>
      </c>
      <c r="E2160" s="0" t="s">
        <v>292</v>
      </c>
      <c r="F2160" s="0" t="str">
        <f aca="false">CONCATENATE(D2160," ",LEFT(H2160,4),"T=",AU2160,"D=",AV2160,"R=",AW2160,"M=",AX2160,"L=",AY2160,"B=",AZ2160)</f>
        <v>WILLIAMS T=12D=0R=2M=0L=0B=0</v>
      </c>
      <c r="G2160" s="0" t="s">
        <v>190</v>
      </c>
      <c r="I2160" s="0" t="s">
        <v>9469</v>
      </c>
      <c r="J2160" s="0" t="s">
        <v>386</v>
      </c>
      <c r="K2160" s="0" t="s">
        <v>160</v>
      </c>
      <c r="M2160" s="0" t="s">
        <v>9460</v>
      </c>
      <c r="N2160" s="0" t="str">
        <f aca="false">RIGHT(M2160,LEN(M2160)-FIND(" ",M2160))</f>
        <v>SOUTH ST SE</v>
      </c>
      <c r="P2160" s="0" t="s">
        <v>145</v>
      </c>
      <c r="Q2160" s="0" t="s">
        <v>146</v>
      </c>
      <c r="R2160" s="0" t="n">
        <v>44483</v>
      </c>
      <c r="AD2160" s="0" t="s">
        <v>147</v>
      </c>
      <c r="AE2160" s="0" t="s">
        <v>148</v>
      </c>
      <c r="AF2160" s="0" t="s">
        <v>149</v>
      </c>
      <c r="AH2160" s="0" t="n">
        <v>14</v>
      </c>
      <c r="AI2160" s="0" t="n">
        <v>11</v>
      </c>
      <c r="AN2160" s="0" t="s">
        <v>145</v>
      </c>
      <c r="AO2160" s="0" t="s">
        <v>150</v>
      </c>
      <c r="AP2160" s="0" t="s">
        <v>151</v>
      </c>
      <c r="AQ2160" s="0" t="n">
        <v>9</v>
      </c>
      <c r="AR2160" s="0" t="n">
        <v>64</v>
      </c>
      <c r="AS2160" s="0" t="n">
        <v>32</v>
      </c>
      <c r="AU2160" s="0" t="n">
        <f aca="false">COUNTA($BA$662:$EH$662)</f>
        <v>12</v>
      </c>
      <c r="AV2160" s="0" t="n">
        <f aca="false">COUNTIF($BA$662:$EH$662,"D")</f>
        <v>0</v>
      </c>
      <c r="AW2160" s="0" t="n">
        <f aca="false">COUNTIF($BA$662:$EH$662,"R")</f>
        <v>2</v>
      </c>
      <c r="AX2160" s="0" t="n">
        <f aca="false">IF(BN2160="D",1,0)+IF(BO2160="D",1,0)+IF(BT2160="D",1,0)+IF(BU2160="D",1,0)+IF(BW2160="D",1,0)+IF(CC2160="D",1,0)+IF(CD2160="D",1,0)+IF(CE2160="D",1,0)+IF(CF2160="D",1,0)+IF(CL2160="D",1,0)+IF(CM2160="D",1,0)+IF(CQ2160="D",1,0)+IF(CR2160="D",1,0)+IF(CS2160="D",1,0)+IF(CW2160="D",1,0)+IF(CX2160="D",1,0)+IF(DD2160="D",1,0)+IF(DE2160="D",1,0)+IF(DJ2160="D",1,0)+IF(DK2160="D",1,0)+IF(DO2160="D",1,0)+IF(DP2160="D",1,0)+IF(DQ2160="D",1,0)+IF(DW2160="D",1,0)+IF(DZ2160="D",1,0)+IF(EH2160="D",1,0)</f>
        <v>0</v>
      </c>
      <c r="AY2160" s="0" t="n">
        <f aca="false">COUNTIF(DU2160:EH2160, "&lt;&gt;")</f>
        <v>0</v>
      </c>
      <c r="AZ2160" s="0" t="n">
        <f aca="false">IF(EH2160&lt;&gt;"",1,0)</f>
        <v>0</v>
      </c>
      <c r="BB2160" s="0" t="s">
        <v>152</v>
      </c>
    </row>
    <row r="2161" customFormat="false" ht="13.8" hidden="true" customHeight="false" outlineLevel="0" collapsed="false">
      <c r="A2161" s="0" t="s">
        <v>9470</v>
      </c>
      <c r="B2161" s="0" t="n">
        <v>78</v>
      </c>
      <c r="C2161" s="0" t="n">
        <v>392852</v>
      </c>
      <c r="D2161" s="0" t="s">
        <v>9471</v>
      </c>
      <c r="E2161" s="0" t="s">
        <v>3808</v>
      </c>
      <c r="F2161" s="0" t="str">
        <f aca="false">CONCATENATE(D2161," ",LEFT(H2161,4),"T=",AU2161,"D=",AV2161,"R=",AW2161,"M=",AX2161,"L=",AY2161,"B=",AZ2161)</f>
        <v>MCINTROY T=9D=1R=0M=0L=0B=0</v>
      </c>
      <c r="G2161" s="0" t="s">
        <v>209</v>
      </c>
      <c r="I2161" s="0" t="s">
        <v>8062</v>
      </c>
      <c r="J2161" s="0" t="s">
        <v>6961</v>
      </c>
      <c r="K2161" s="0" t="s">
        <v>143</v>
      </c>
      <c r="M2161" s="0" t="s">
        <v>9472</v>
      </c>
      <c r="N2161" s="0" t="str">
        <f aca="false">RIGHT(M2161,LEN(M2161)-FIND(" ",M2161))</f>
        <v>SOUTH ST SE</v>
      </c>
      <c r="P2161" s="0" t="s">
        <v>145</v>
      </c>
      <c r="Q2161" s="0" t="s">
        <v>146</v>
      </c>
      <c r="R2161" s="0" t="n">
        <v>44483</v>
      </c>
      <c r="AD2161" s="0" t="s">
        <v>147</v>
      </c>
      <c r="AE2161" s="0" t="s">
        <v>148</v>
      </c>
      <c r="AF2161" s="0" t="s">
        <v>149</v>
      </c>
      <c r="AH2161" s="0" t="n">
        <v>14</v>
      </c>
      <c r="AI2161" s="0" t="n">
        <v>11</v>
      </c>
      <c r="AN2161" s="0" t="s">
        <v>145</v>
      </c>
      <c r="AO2161" s="0" t="s">
        <v>150</v>
      </c>
      <c r="AP2161" s="0" t="s">
        <v>151</v>
      </c>
      <c r="AQ2161" s="0" t="n">
        <v>9</v>
      </c>
      <c r="AR2161" s="0" t="n">
        <v>64</v>
      </c>
      <c r="AS2161" s="0" t="n">
        <v>32</v>
      </c>
      <c r="AU2161" s="0" t="n">
        <f aca="false">COUNTA($BA$140:$EH$140)</f>
        <v>9</v>
      </c>
      <c r="AV2161" s="0" t="n">
        <f aca="false">COUNTIF($BA$140:$EH$140,"D")</f>
        <v>1</v>
      </c>
      <c r="AW2161" s="0" t="n">
        <f aca="false">COUNTIF($BA$140:$EH$140,"R")</f>
        <v>0</v>
      </c>
      <c r="AX2161" s="0" t="n">
        <f aca="false">IF(BN2161="D",1,0)+IF(BO2161="D",1,0)+IF(BT2161="D",1,0)+IF(BU2161="D",1,0)+IF(BW2161="D",1,0)+IF(CC2161="D",1,0)+IF(CD2161="D",1,0)+IF(CE2161="D",1,0)+IF(CF2161="D",1,0)+IF(CL2161="D",1,0)+IF(CM2161="D",1,0)+IF(CQ2161="D",1,0)+IF(CR2161="D",1,0)+IF(CS2161="D",1,0)+IF(CW2161="D",1,0)+IF(CX2161="D",1,0)+IF(DD2161="D",1,0)+IF(DE2161="D",1,0)+IF(DJ2161="D",1,0)+IF(DK2161="D",1,0)+IF(DO2161="D",1,0)+IF(DP2161="D",1,0)+IF(DQ2161="D",1,0)+IF(DW2161="D",1,0)+IF(DZ2161="D",1,0)+IF(EH2161="D",1,0)</f>
        <v>0</v>
      </c>
      <c r="AY2161" s="0" t="n">
        <f aca="false">COUNTIF(DU2161:EH2161, "&lt;&gt;")</f>
        <v>0</v>
      </c>
      <c r="AZ2161" s="0" t="n">
        <f aca="false">IF(EH2161&lt;&gt;"",1,0)</f>
        <v>0</v>
      </c>
      <c r="BB2161" s="0" t="s">
        <v>152</v>
      </c>
    </row>
    <row r="2162" customFormat="false" ht="13.8" hidden="true" customHeight="false" outlineLevel="0" collapsed="false">
      <c r="A2162" s="0" t="s">
        <v>9473</v>
      </c>
      <c r="B2162" s="0" t="n">
        <v>78</v>
      </c>
      <c r="C2162" s="0" t="n">
        <v>224965</v>
      </c>
      <c r="D2162" s="0" t="s">
        <v>9471</v>
      </c>
      <c r="E2162" s="0" t="s">
        <v>4326</v>
      </c>
      <c r="F2162" s="0" t="str">
        <f aca="false">CONCATENATE(D2162," ",LEFT(H2162,4),"T=",AU2162,"D=",AV2162,"R=",AW2162,"M=",AX2162,"L=",AY2162,"B=",AZ2162)</f>
        <v>MCINTROY T=18D=2R=0M=0L=0B=0</v>
      </c>
      <c r="G2162" s="0" t="s">
        <v>190</v>
      </c>
      <c r="I2162" s="0" t="s">
        <v>9474</v>
      </c>
      <c r="J2162" s="0" t="s">
        <v>1374</v>
      </c>
      <c r="K2162" s="0" t="s">
        <v>143</v>
      </c>
      <c r="M2162" s="0" t="s">
        <v>9472</v>
      </c>
      <c r="N2162" s="0" t="str">
        <f aca="false">RIGHT(M2162,LEN(M2162)-FIND(" ",M2162))</f>
        <v>SOUTH ST SE</v>
      </c>
      <c r="P2162" s="0" t="s">
        <v>145</v>
      </c>
      <c r="Q2162" s="0" t="s">
        <v>146</v>
      </c>
      <c r="R2162" s="0" t="n">
        <v>44483</v>
      </c>
      <c r="AD2162" s="0" t="s">
        <v>147</v>
      </c>
      <c r="AE2162" s="0" t="s">
        <v>148</v>
      </c>
      <c r="AF2162" s="0" t="s">
        <v>149</v>
      </c>
      <c r="AH2162" s="0" t="n">
        <v>14</v>
      </c>
      <c r="AI2162" s="0" t="n">
        <v>11</v>
      </c>
      <c r="AN2162" s="0" t="s">
        <v>145</v>
      </c>
      <c r="AO2162" s="0" t="s">
        <v>150</v>
      </c>
      <c r="AP2162" s="0" t="s">
        <v>151</v>
      </c>
      <c r="AQ2162" s="0" t="n">
        <v>9</v>
      </c>
      <c r="AR2162" s="0" t="n">
        <v>64</v>
      </c>
      <c r="AS2162" s="0" t="n">
        <v>32</v>
      </c>
      <c r="AU2162" s="0" t="n">
        <f aca="false">COUNTA($BA$166:$EH$166)</f>
        <v>18</v>
      </c>
      <c r="AV2162" s="0" t="n">
        <f aca="false">COUNTIF($BA$166:$EH$166,"D")</f>
        <v>2</v>
      </c>
      <c r="AW2162" s="0" t="n">
        <f aca="false">COUNTIF($BA$166:$EH$166,"R")</f>
        <v>0</v>
      </c>
      <c r="AX2162" s="0" t="n">
        <f aca="false">IF(BN2162="D",1,0)+IF(BO2162="D",1,0)+IF(BT2162="D",1,0)+IF(BU2162="D",1,0)+IF(BW2162="D",1,0)+IF(CC2162="D",1,0)+IF(CD2162="D",1,0)+IF(CE2162="D",1,0)+IF(CF2162="D",1,0)+IF(CL2162="D",1,0)+IF(CM2162="D",1,0)+IF(CQ2162="D",1,0)+IF(CR2162="D",1,0)+IF(CS2162="D",1,0)+IF(CW2162="D",1,0)+IF(CX2162="D",1,0)+IF(DD2162="D",1,0)+IF(DE2162="D",1,0)+IF(DJ2162="D",1,0)+IF(DK2162="D",1,0)+IF(DO2162="D",1,0)+IF(DP2162="D",1,0)+IF(DQ2162="D",1,0)+IF(DW2162="D",1,0)+IF(DZ2162="D",1,0)+IF(EH2162="D",1,0)</f>
        <v>0</v>
      </c>
      <c r="AY2162" s="0" t="n">
        <f aca="false">COUNTIF(DU2162:EH2162, "&lt;&gt;")</f>
        <v>0</v>
      </c>
      <c r="AZ2162" s="0" t="n">
        <f aca="false">IF(EH2162&lt;&gt;"",1,0)</f>
        <v>0</v>
      </c>
      <c r="BB2162" s="0" t="s">
        <v>152</v>
      </c>
      <c r="CP2162" s="0" t="s">
        <v>153</v>
      </c>
    </row>
    <row r="2163" customFormat="false" ht="13.8" hidden="true" customHeight="false" outlineLevel="0" collapsed="false">
      <c r="A2163" s="0" t="s">
        <v>9475</v>
      </c>
      <c r="B2163" s="0" t="n">
        <v>78</v>
      </c>
      <c r="C2163" s="0" t="n">
        <v>383177</v>
      </c>
      <c r="D2163" s="0" t="s">
        <v>9476</v>
      </c>
      <c r="E2163" s="0" t="s">
        <v>481</v>
      </c>
      <c r="F2163" s="0" t="str">
        <f aca="false">CONCATENATE(D2163," ",LEFT(H2163,4),"T=",AU2163,"D=",AV2163,"R=",AW2163,"M=",AX2163,"L=",AY2163,"B=",AZ2163)</f>
        <v>PERKS T=2D=0R=0M=0L=1B=0</v>
      </c>
      <c r="G2163" s="0" t="s">
        <v>517</v>
      </c>
      <c r="I2163" s="0" t="s">
        <v>9477</v>
      </c>
      <c r="J2163" s="0" t="s">
        <v>9478</v>
      </c>
      <c r="K2163" s="0" t="s">
        <v>160</v>
      </c>
      <c r="M2163" s="0" t="s">
        <v>9479</v>
      </c>
      <c r="N2163" s="0" t="str">
        <f aca="false">RIGHT(M2163,LEN(M2163)-FIND(" ",M2163))</f>
        <v>SOUTH ST SE</v>
      </c>
      <c r="P2163" s="0" t="s">
        <v>145</v>
      </c>
      <c r="Q2163" s="0" t="s">
        <v>146</v>
      </c>
      <c r="R2163" s="0" t="n">
        <v>44483</v>
      </c>
      <c r="AD2163" s="0" t="s">
        <v>147</v>
      </c>
      <c r="AE2163" s="0" t="s">
        <v>148</v>
      </c>
      <c r="AF2163" s="0" t="s">
        <v>149</v>
      </c>
      <c r="AH2163" s="0" t="n">
        <v>14</v>
      </c>
      <c r="AI2163" s="0" t="n">
        <v>11</v>
      </c>
      <c r="AN2163" s="0" t="s">
        <v>145</v>
      </c>
      <c r="AO2163" s="0" t="s">
        <v>150</v>
      </c>
      <c r="AP2163" s="0" t="s">
        <v>151</v>
      </c>
      <c r="AQ2163" s="0" t="n">
        <v>9</v>
      </c>
      <c r="AR2163" s="0" t="n">
        <v>64</v>
      </c>
      <c r="AS2163" s="0" t="n">
        <v>32</v>
      </c>
      <c r="AU2163" s="0" t="n">
        <f aca="false">COUNTA($BA$231:$EH$231)</f>
        <v>2</v>
      </c>
      <c r="AV2163" s="0" t="n">
        <f aca="false">COUNTIF($BA$231:$EH$231,"D")</f>
        <v>0</v>
      </c>
      <c r="AW2163" s="0" t="n">
        <f aca="false">COUNTIF($BA$231:$EH$231,"R")</f>
        <v>0</v>
      </c>
      <c r="AX2163" s="0" t="n">
        <f aca="false">IF(BN2163="D",1,0)+IF(BO2163="D",1,0)+IF(BT2163="D",1,0)+IF(BU2163="D",1,0)+IF(BW2163="D",1,0)+IF(CC2163="D",1,0)+IF(CD2163="D",1,0)+IF(CE2163="D",1,0)+IF(CF2163="D",1,0)+IF(CL2163="D",1,0)+IF(CM2163="D",1,0)+IF(CQ2163="D",1,0)+IF(CR2163="D",1,0)+IF(CS2163="D",1,0)+IF(CW2163="D",1,0)+IF(CX2163="D",1,0)+IF(DD2163="D",1,0)+IF(DE2163="D",1,0)+IF(DJ2163="D",1,0)+IF(DK2163="D",1,0)+IF(DO2163="D",1,0)+IF(DP2163="D",1,0)+IF(DQ2163="D",1,0)+IF(DW2163="D",1,0)+IF(DZ2163="D",1,0)+IF(EH2163="D",1,0)</f>
        <v>0</v>
      </c>
      <c r="AY2163" s="0" t="n">
        <f aca="false">COUNTIF(DU2163:EH2163, "&lt;&gt;")</f>
        <v>1</v>
      </c>
      <c r="AZ2163" s="0" t="n">
        <f aca="false">IF(EH2163&lt;&gt;"",1,0)</f>
        <v>0</v>
      </c>
      <c r="BB2163" s="0" t="s">
        <v>152</v>
      </c>
      <c r="CP2163" s="0" t="s">
        <v>153</v>
      </c>
      <c r="DC2163" s="0" t="s">
        <v>153</v>
      </c>
      <c r="EF2163" s="0" t="s">
        <v>153</v>
      </c>
    </row>
    <row r="2164" customFormat="false" ht="13.8" hidden="true" customHeight="false" outlineLevel="0" collapsed="false">
      <c r="A2164" s="0" t="s">
        <v>9480</v>
      </c>
      <c r="B2164" s="0" t="n">
        <v>78</v>
      </c>
      <c r="C2164" s="0" t="n">
        <v>296729</v>
      </c>
      <c r="D2164" s="0" t="s">
        <v>8728</v>
      </c>
      <c r="E2164" s="0" t="s">
        <v>453</v>
      </c>
      <c r="F2164" s="0" t="str">
        <f aca="false">CONCATENATE(D2164," ",LEFT(H2164,4),"T=",AU2164,"D=",AV2164,"R=",AW2164,"M=",AX2164,"L=",AY2164,"B=",AZ2164)</f>
        <v>POOLE JRT=5D=0R=0M=0L=1B=0</v>
      </c>
      <c r="G2164" s="0" t="s">
        <v>325</v>
      </c>
      <c r="H2164" s="0" t="s">
        <v>314</v>
      </c>
      <c r="I2164" s="0" t="s">
        <v>8101</v>
      </c>
      <c r="J2164" s="0" t="s">
        <v>6188</v>
      </c>
      <c r="K2164" s="0" t="s">
        <v>160</v>
      </c>
      <c r="M2164" s="0" t="s">
        <v>9481</v>
      </c>
      <c r="N2164" s="0" t="str">
        <f aca="false">RIGHT(M2164,LEN(M2164)-FIND(" ",M2164))</f>
        <v>SOUTH ST SE</v>
      </c>
      <c r="P2164" s="0" t="s">
        <v>145</v>
      </c>
      <c r="Q2164" s="0" t="s">
        <v>146</v>
      </c>
      <c r="R2164" s="0" t="n">
        <v>44483</v>
      </c>
      <c r="V2164" s="0" t="s">
        <v>9482</v>
      </c>
      <c r="X2164" s="0" t="s">
        <v>145</v>
      </c>
      <c r="Y2164" s="0" t="s">
        <v>146</v>
      </c>
      <c r="Z2164" s="0" t="n">
        <v>44484</v>
      </c>
      <c r="AD2164" s="0" t="s">
        <v>147</v>
      </c>
      <c r="AE2164" s="0" t="s">
        <v>148</v>
      </c>
      <c r="AF2164" s="0" t="s">
        <v>149</v>
      </c>
      <c r="AH2164" s="0" t="n">
        <v>14</v>
      </c>
      <c r="AI2164" s="0" t="n">
        <v>11</v>
      </c>
      <c r="AN2164" s="0" t="s">
        <v>145</v>
      </c>
      <c r="AO2164" s="0" t="s">
        <v>150</v>
      </c>
      <c r="AP2164" s="0" t="s">
        <v>151</v>
      </c>
      <c r="AQ2164" s="0" t="n">
        <v>9</v>
      </c>
      <c r="AR2164" s="0" t="n">
        <v>64</v>
      </c>
      <c r="AS2164" s="0" t="n">
        <v>32</v>
      </c>
      <c r="AU2164" s="0" t="n">
        <f aca="false">COUNTA($BA$516:$EH$516)</f>
        <v>5</v>
      </c>
      <c r="AV2164" s="0" t="n">
        <f aca="false">COUNTIF($BA$516:$EH$516,"D")</f>
        <v>0</v>
      </c>
      <c r="AW2164" s="0" t="n">
        <f aca="false">COUNTIF($BA$516:$EH$516,"R")</f>
        <v>0</v>
      </c>
      <c r="AX2164" s="0" t="n">
        <f aca="false">IF(BN2164="D",1,0)+IF(BO2164="D",1,0)+IF(BT2164="D",1,0)+IF(BU2164="D",1,0)+IF(BW2164="D",1,0)+IF(CC2164="D",1,0)+IF(CD2164="D",1,0)+IF(CE2164="D",1,0)+IF(CF2164="D",1,0)+IF(CL2164="D",1,0)+IF(CM2164="D",1,0)+IF(CQ2164="D",1,0)+IF(CR2164="D",1,0)+IF(CS2164="D",1,0)+IF(CW2164="D",1,0)+IF(CX2164="D",1,0)+IF(DD2164="D",1,0)+IF(DE2164="D",1,0)+IF(DJ2164="D",1,0)+IF(DK2164="D",1,0)+IF(DO2164="D",1,0)+IF(DP2164="D",1,0)+IF(DQ2164="D",1,0)+IF(DW2164="D",1,0)+IF(DZ2164="D",1,0)+IF(EH2164="D",1,0)</f>
        <v>0</v>
      </c>
      <c r="AY2164" s="0" t="n">
        <f aca="false">COUNTIF(DU2164:EH2164, "&lt;&gt;")</f>
        <v>1</v>
      </c>
      <c r="AZ2164" s="0" t="n">
        <f aca="false">IF(EH2164&lt;&gt;"",1,0)</f>
        <v>0</v>
      </c>
      <c r="BB2164" s="0" t="s">
        <v>152</v>
      </c>
      <c r="BL2164" s="0" t="s">
        <v>153</v>
      </c>
      <c r="CA2164" s="0" t="s">
        <v>153</v>
      </c>
      <c r="DC2164" s="0" t="s">
        <v>153</v>
      </c>
      <c r="DI2164" s="0" t="s">
        <v>153</v>
      </c>
      <c r="DN2164" s="0" t="s">
        <v>153</v>
      </c>
      <c r="DU2164" s="0" t="s">
        <v>153</v>
      </c>
    </row>
    <row r="2165" customFormat="false" ht="13.8" hidden="true" customHeight="false" outlineLevel="0" collapsed="false">
      <c r="A2165" s="0" t="s">
        <v>9483</v>
      </c>
      <c r="B2165" s="0" t="n">
        <v>78</v>
      </c>
      <c r="C2165" s="0" t="n">
        <v>494038</v>
      </c>
      <c r="D2165" s="0" t="s">
        <v>9484</v>
      </c>
      <c r="E2165" s="0" t="s">
        <v>4514</v>
      </c>
      <c r="F2165" s="0" t="str">
        <f aca="false">CONCATENATE(D2165," ",LEFT(H2165,4),"T=",AU2165,"D=",AV2165,"R=",AW2165,"M=",AX2165,"L=",AY2165,"B=",AZ2165)</f>
        <v>MAZUR T=7D=0R=0M=0L=0B=0</v>
      </c>
      <c r="G2165" s="0" t="s">
        <v>164</v>
      </c>
      <c r="I2165" s="0" t="s">
        <v>9485</v>
      </c>
      <c r="J2165" s="0" t="s">
        <v>7043</v>
      </c>
      <c r="K2165" s="0" t="s">
        <v>160</v>
      </c>
      <c r="M2165" s="0" t="s">
        <v>9486</v>
      </c>
      <c r="N2165" s="0" t="str">
        <f aca="false">RIGHT(M2165,LEN(M2165)-FIND(" ",M2165))</f>
        <v>SOUTH ST SE</v>
      </c>
      <c r="P2165" s="0" t="s">
        <v>145</v>
      </c>
      <c r="Q2165" s="0" t="s">
        <v>146</v>
      </c>
      <c r="R2165" s="0" t="n">
        <v>44483</v>
      </c>
      <c r="AD2165" s="0" t="s">
        <v>147</v>
      </c>
      <c r="AE2165" s="0" t="s">
        <v>148</v>
      </c>
      <c r="AF2165" s="0" t="s">
        <v>149</v>
      </c>
      <c r="AH2165" s="0" t="n">
        <v>14</v>
      </c>
      <c r="AI2165" s="0" t="n">
        <v>11</v>
      </c>
      <c r="AN2165" s="0" t="s">
        <v>145</v>
      </c>
      <c r="AO2165" s="0" t="s">
        <v>150</v>
      </c>
      <c r="AP2165" s="0" t="s">
        <v>151</v>
      </c>
      <c r="AQ2165" s="0" t="n">
        <v>9</v>
      </c>
      <c r="AR2165" s="0" t="n">
        <v>64</v>
      </c>
      <c r="AS2165" s="0" t="n">
        <v>32</v>
      </c>
      <c r="AU2165" s="0" t="n">
        <f aca="false">COUNTA($BA$210:$EH$210)</f>
        <v>7</v>
      </c>
      <c r="AV2165" s="0" t="n">
        <f aca="false">COUNTIF($BA$210:$EH$210,"D")</f>
        <v>0</v>
      </c>
      <c r="AW2165" s="0" t="n">
        <f aca="false">COUNTIF($BA$210:$EH$210,"R")</f>
        <v>0</v>
      </c>
      <c r="AX2165" s="0" t="n">
        <f aca="false">IF(BN2165="D",1,0)+IF(BO2165="D",1,0)+IF(BT2165="D",1,0)+IF(BU2165="D",1,0)+IF(BW2165="D",1,0)+IF(CC2165="D",1,0)+IF(CD2165="D",1,0)+IF(CE2165="D",1,0)+IF(CF2165="D",1,0)+IF(CL2165="D",1,0)+IF(CM2165="D",1,0)+IF(CQ2165="D",1,0)+IF(CR2165="D",1,0)+IF(CS2165="D",1,0)+IF(CW2165="D",1,0)+IF(CX2165="D",1,0)+IF(DD2165="D",1,0)+IF(DE2165="D",1,0)+IF(DJ2165="D",1,0)+IF(DK2165="D",1,0)+IF(DO2165="D",1,0)+IF(DP2165="D",1,0)+IF(DQ2165="D",1,0)+IF(DW2165="D",1,0)+IF(DZ2165="D",1,0)+IF(EH2165="D",1,0)</f>
        <v>0</v>
      </c>
      <c r="AY2165" s="0" t="n">
        <f aca="false">COUNTIF(DU2165:EH2165, "&lt;&gt;")</f>
        <v>0</v>
      </c>
      <c r="AZ2165" s="0" t="n">
        <f aca="false">IF(EH2165&lt;&gt;"",1,0)</f>
        <v>0</v>
      </c>
      <c r="BB2165" s="0" t="s">
        <v>152</v>
      </c>
    </row>
    <row r="2166" customFormat="false" ht="13.8" hidden="false" customHeight="false" outlineLevel="0" collapsed="false">
      <c r="A2166" s="0" t="s">
        <v>9487</v>
      </c>
      <c r="B2166" s="0" t="n">
        <v>78</v>
      </c>
      <c r="C2166" s="0" t="n">
        <v>460230</v>
      </c>
      <c r="D2166" s="0" t="s">
        <v>1445</v>
      </c>
      <c r="E2166" s="0" t="s">
        <v>9488</v>
      </c>
      <c r="F2166" s="0" t="str">
        <f aca="false">CONCATENATE(D2166," ",LEFT(H2166,4),"T=",AU2166,"D=",AV2166,"R=",AW2166,"M=",AX2166,"L=",AY2166,"B=",AZ2166)</f>
        <v>WILLIAMS T=2D=0R=0M=0L=2B=0</v>
      </c>
      <c r="G2166" s="0" t="s">
        <v>215</v>
      </c>
      <c r="I2166" s="0" t="s">
        <v>9489</v>
      </c>
      <c r="J2166" s="0" t="s">
        <v>9490</v>
      </c>
      <c r="K2166" s="0" t="s">
        <v>160</v>
      </c>
      <c r="M2166" s="0" t="s">
        <v>9491</v>
      </c>
      <c r="N2166" s="0" t="str">
        <f aca="false">RIGHT(M2166,LEN(M2166)-FIND(" ",M2166))</f>
        <v>SOUTH ST SE</v>
      </c>
      <c r="P2166" s="0" t="s">
        <v>145</v>
      </c>
      <c r="Q2166" s="0" t="s">
        <v>146</v>
      </c>
      <c r="R2166" s="0" t="n">
        <v>44483</v>
      </c>
      <c r="AD2166" s="0" t="s">
        <v>147</v>
      </c>
      <c r="AE2166" s="0" t="s">
        <v>148</v>
      </c>
      <c r="AF2166" s="0" t="s">
        <v>149</v>
      </c>
      <c r="AH2166" s="0" t="n">
        <v>14</v>
      </c>
      <c r="AI2166" s="0" t="n">
        <v>11</v>
      </c>
      <c r="AN2166" s="0" t="s">
        <v>145</v>
      </c>
      <c r="AO2166" s="0" t="s">
        <v>150</v>
      </c>
      <c r="AP2166" s="0" t="s">
        <v>151</v>
      </c>
      <c r="AQ2166" s="0" t="n">
        <v>9</v>
      </c>
      <c r="AR2166" s="0" t="n">
        <v>64</v>
      </c>
      <c r="AS2166" s="0" t="n">
        <v>32</v>
      </c>
      <c r="AU2166" s="0" t="n">
        <f aca="false">COUNTA($BA$346:$EH$346)</f>
        <v>2</v>
      </c>
      <c r="AV2166" s="0" t="n">
        <f aca="false">COUNTIF($BA$346:$EH$346,"D")</f>
        <v>0</v>
      </c>
      <c r="AW2166" s="0" t="n">
        <f aca="false">COUNTIF($BA$346:$EH$346,"R")</f>
        <v>0</v>
      </c>
      <c r="AX2166" s="0" t="n">
        <f aca="false">IF(BN2166="D",1,0)+IF(BO2166="D",1,0)+IF(BT2166="D",1,0)+IF(BU2166="D",1,0)+IF(BW2166="D",1,0)+IF(CC2166="D",1,0)+IF(CD2166="D",1,0)+IF(CE2166="D",1,0)+IF(CF2166="D",1,0)+IF(CL2166="D",1,0)+IF(CM2166="D",1,0)+IF(CQ2166="D",1,0)+IF(CR2166="D",1,0)+IF(CS2166="D",1,0)+IF(CW2166="D",1,0)+IF(CX2166="D",1,0)+IF(DD2166="D",1,0)+IF(DE2166="D",1,0)+IF(DJ2166="D",1,0)+IF(DK2166="D",1,0)+IF(DO2166="D",1,0)+IF(DP2166="D",1,0)+IF(DQ2166="D",1,0)+IF(DW2166="D",1,0)+IF(DZ2166="D",1,0)+IF(EH2166="D",1,0)</f>
        <v>0</v>
      </c>
      <c r="AY2166" s="0" t="n">
        <f aca="false">COUNTIF(DU2166:EH2166, "&lt;&gt;")</f>
        <v>2</v>
      </c>
      <c r="AZ2166" s="0" t="n">
        <f aca="false">IF(EH2166&lt;&gt;"",1,0)</f>
        <v>0</v>
      </c>
      <c r="BB2166" s="0" t="s">
        <v>152</v>
      </c>
      <c r="EA2166" s="0" t="s">
        <v>153</v>
      </c>
      <c r="EF2166" s="0" t="s">
        <v>153</v>
      </c>
    </row>
    <row r="2167" customFormat="false" ht="13.8" hidden="true" customHeight="false" outlineLevel="0" collapsed="false">
      <c r="A2167" s="0" t="s">
        <v>9492</v>
      </c>
      <c r="B2167" s="0" t="n">
        <v>78</v>
      </c>
      <c r="C2167" s="0" t="n">
        <v>327283</v>
      </c>
      <c r="D2167" s="0" t="s">
        <v>9493</v>
      </c>
      <c r="E2167" s="0" t="s">
        <v>541</v>
      </c>
      <c r="F2167" s="0" t="str">
        <f aca="false">CONCATENATE(D2167," ",LEFT(H2167,4),"T=",AU2167,"D=",AV2167,"R=",AW2167,"M=",AX2167,"L=",AY2167,"B=",AZ2167)</f>
        <v>JARRETTE T=10D=1R=0M=0L=0B=0</v>
      </c>
      <c r="G2167" s="0" t="s">
        <v>175</v>
      </c>
      <c r="I2167" s="0" t="s">
        <v>9494</v>
      </c>
      <c r="J2167" s="0" t="s">
        <v>9495</v>
      </c>
      <c r="K2167" s="0" t="s">
        <v>160</v>
      </c>
      <c r="M2167" s="0" t="s">
        <v>9496</v>
      </c>
      <c r="N2167" s="0" t="str">
        <f aca="false">RIGHT(M2167,LEN(M2167)-FIND(" ",M2167))</f>
        <v>SOUTH ST SE</v>
      </c>
      <c r="P2167" s="0" t="s">
        <v>145</v>
      </c>
      <c r="Q2167" s="0" t="s">
        <v>146</v>
      </c>
      <c r="R2167" s="0" t="n">
        <v>44483</v>
      </c>
      <c r="AD2167" s="0" t="s">
        <v>147</v>
      </c>
      <c r="AE2167" s="0" t="s">
        <v>148</v>
      </c>
      <c r="AF2167" s="0" t="s">
        <v>149</v>
      </c>
      <c r="AH2167" s="0" t="n">
        <v>14</v>
      </c>
      <c r="AI2167" s="0" t="n">
        <v>11</v>
      </c>
      <c r="AN2167" s="0" t="s">
        <v>145</v>
      </c>
      <c r="AO2167" s="0" t="s">
        <v>150</v>
      </c>
      <c r="AP2167" s="0" t="s">
        <v>151</v>
      </c>
      <c r="AQ2167" s="0" t="n">
        <v>9</v>
      </c>
      <c r="AR2167" s="0" t="n">
        <v>64</v>
      </c>
      <c r="AS2167" s="0" t="n">
        <v>32</v>
      </c>
      <c r="AU2167" s="0" t="n">
        <f aca="false">COUNTA($BA$239:$EH$239)</f>
        <v>10</v>
      </c>
      <c r="AV2167" s="0" t="n">
        <f aca="false">COUNTIF($BA$239:$EH$239,"D")</f>
        <v>1</v>
      </c>
      <c r="AW2167" s="0" t="n">
        <f aca="false">COUNTIF($BA$239:$EH$239,"R")</f>
        <v>0</v>
      </c>
      <c r="AX2167" s="0" t="n">
        <f aca="false">IF(BN2167="D",1,0)+IF(BO2167="D",1,0)+IF(BT2167="D",1,0)+IF(BU2167="D",1,0)+IF(BW2167="D",1,0)+IF(CC2167="D",1,0)+IF(CD2167="D",1,0)+IF(CE2167="D",1,0)+IF(CF2167="D",1,0)+IF(CL2167="D",1,0)+IF(CM2167="D",1,0)+IF(CQ2167="D",1,0)+IF(CR2167="D",1,0)+IF(CS2167="D",1,0)+IF(CW2167="D",1,0)+IF(CX2167="D",1,0)+IF(DD2167="D",1,0)+IF(DE2167="D",1,0)+IF(DJ2167="D",1,0)+IF(DK2167="D",1,0)+IF(DO2167="D",1,0)+IF(DP2167="D",1,0)+IF(DQ2167="D",1,0)+IF(DW2167="D",1,0)+IF(DZ2167="D",1,0)+IF(EH2167="D",1,0)</f>
        <v>0</v>
      </c>
      <c r="AY2167" s="0" t="n">
        <f aca="false">COUNTIF(DU2167:EH2167, "&lt;&gt;")</f>
        <v>0</v>
      </c>
      <c r="AZ2167" s="0" t="n">
        <f aca="false">IF(EH2167&lt;&gt;"",1,0)</f>
        <v>0</v>
      </c>
      <c r="BB2167" s="0" t="s">
        <v>152</v>
      </c>
      <c r="BL2167" s="0" t="s">
        <v>153</v>
      </c>
      <c r="CA2167" s="0" t="s">
        <v>153</v>
      </c>
      <c r="CK2167" s="0" t="s">
        <v>153</v>
      </c>
      <c r="CP2167" s="0" t="s">
        <v>153</v>
      </c>
      <c r="DC2167" s="0" t="s">
        <v>153</v>
      </c>
      <c r="DI2167" s="0" t="s">
        <v>153</v>
      </c>
    </row>
    <row r="2168" customFormat="false" ht="13.8" hidden="true" customHeight="false" outlineLevel="0" collapsed="false">
      <c r="A2168" s="0" t="s">
        <v>9497</v>
      </c>
      <c r="B2168" s="0" t="n">
        <v>78</v>
      </c>
      <c r="C2168" s="0" t="n">
        <v>441149</v>
      </c>
      <c r="D2168" s="0" t="s">
        <v>4818</v>
      </c>
      <c r="E2168" s="0" t="s">
        <v>7713</v>
      </c>
      <c r="F2168" s="0" t="str">
        <f aca="false">CONCATENATE(D2168," ",LEFT(H2168,4),"T=",AU2168,"D=",AV2168,"R=",AW2168,"M=",AX2168,"L=",AY2168,"B=",AZ2168)</f>
        <v>TRULY T=1D=0R=0M=0L=0B=0</v>
      </c>
      <c r="G2168" s="0" t="s">
        <v>9498</v>
      </c>
      <c r="I2168" s="0" t="s">
        <v>9499</v>
      </c>
      <c r="J2168" s="0" t="s">
        <v>5693</v>
      </c>
      <c r="K2168" s="0" t="s">
        <v>143</v>
      </c>
      <c r="M2168" s="0" t="s">
        <v>9500</v>
      </c>
      <c r="N2168" s="0" t="str">
        <f aca="false">RIGHT(M2168,LEN(M2168)-FIND(" ",M2168))</f>
        <v>SOUTH ST SE</v>
      </c>
      <c r="P2168" s="0" t="s">
        <v>145</v>
      </c>
      <c r="Q2168" s="0" t="s">
        <v>146</v>
      </c>
      <c r="R2168" s="0" t="n">
        <v>44483</v>
      </c>
      <c r="AD2168" s="0" t="s">
        <v>147</v>
      </c>
      <c r="AE2168" s="0" t="s">
        <v>148</v>
      </c>
      <c r="AF2168" s="0" t="s">
        <v>149</v>
      </c>
      <c r="AH2168" s="0" t="n">
        <v>14</v>
      </c>
      <c r="AI2168" s="0" t="n">
        <v>11</v>
      </c>
      <c r="AN2168" s="0" t="s">
        <v>145</v>
      </c>
      <c r="AO2168" s="0" t="s">
        <v>150</v>
      </c>
      <c r="AP2168" s="0" t="s">
        <v>151</v>
      </c>
      <c r="AQ2168" s="0" t="n">
        <v>9</v>
      </c>
      <c r="AR2168" s="0" t="n">
        <v>64</v>
      </c>
      <c r="AS2168" s="0" t="n">
        <v>32</v>
      </c>
      <c r="AU2168" s="0" t="n">
        <f aca="false">COUNTA($BA$1026:$EH$1026)</f>
        <v>1</v>
      </c>
      <c r="AV2168" s="0" t="n">
        <f aca="false">COUNTIF($BA$1026:$EH$1026,"D")</f>
        <v>0</v>
      </c>
      <c r="AW2168" s="0" t="n">
        <f aca="false">COUNTIF($BA$1026:$EH$1026,"R")</f>
        <v>0</v>
      </c>
      <c r="AX2168" s="0" t="n">
        <f aca="false">IF(BN2168="D",1,0)+IF(BO2168="D",1,0)+IF(BT2168="D",1,0)+IF(BU2168="D",1,0)+IF(BW2168="D",1,0)+IF(CC2168="D",1,0)+IF(CD2168="D",1,0)+IF(CE2168="D",1,0)+IF(CF2168="D",1,0)+IF(CL2168="D",1,0)+IF(CM2168="D",1,0)+IF(CQ2168="D",1,0)+IF(CR2168="D",1,0)+IF(CS2168="D",1,0)+IF(CW2168="D",1,0)+IF(CX2168="D",1,0)+IF(DD2168="D",1,0)+IF(DE2168="D",1,0)+IF(DJ2168="D",1,0)+IF(DK2168="D",1,0)+IF(DO2168="D",1,0)+IF(DP2168="D",1,0)+IF(DQ2168="D",1,0)+IF(DW2168="D",1,0)+IF(DZ2168="D",1,0)+IF(EH2168="D",1,0)</f>
        <v>0</v>
      </c>
      <c r="AY2168" s="0" t="n">
        <f aca="false">COUNTIF(DU2168:EH2168, "&lt;&gt;")</f>
        <v>0</v>
      </c>
      <c r="AZ2168" s="0" t="n">
        <f aca="false">IF(EH2168&lt;&gt;"",1,0)</f>
        <v>0</v>
      </c>
      <c r="BB2168" s="0" t="s">
        <v>152</v>
      </c>
    </row>
    <row r="2169" customFormat="false" ht="13.8" hidden="true" customHeight="false" outlineLevel="0" collapsed="false">
      <c r="A2169" s="0" t="s">
        <v>9501</v>
      </c>
      <c r="B2169" s="0" t="n">
        <v>78</v>
      </c>
      <c r="C2169" s="0" t="n">
        <v>487348</v>
      </c>
      <c r="D2169" s="0" t="s">
        <v>2826</v>
      </c>
      <c r="E2169" s="0" t="s">
        <v>9502</v>
      </c>
      <c r="F2169" s="0" t="str">
        <f aca="false">CONCATENATE(D2169," ",LEFT(H2169,4),"T=",AU2169,"D=",AV2169,"R=",AW2169,"M=",AX2169,"L=",AY2169,"B=",AZ2169)</f>
        <v>LAWRENCE T=4D=1R=0M=0L=0B=0</v>
      </c>
      <c r="G2169" s="0" t="s">
        <v>195</v>
      </c>
      <c r="I2169" s="0" t="s">
        <v>9503</v>
      </c>
      <c r="J2169" s="0" t="s">
        <v>2339</v>
      </c>
      <c r="K2169" s="0" t="s">
        <v>160</v>
      </c>
      <c r="M2169" s="0" t="s">
        <v>9500</v>
      </c>
      <c r="N2169" s="0" t="str">
        <f aca="false">RIGHT(M2169,LEN(M2169)-FIND(" ",M2169))</f>
        <v>SOUTH ST SE</v>
      </c>
      <c r="P2169" s="0" t="s">
        <v>145</v>
      </c>
      <c r="Q2169" s="0" t="s">
        <v>146</v>
      </c>
      <c r="R2169" s="0" t="n">
        <v>44483</v>
      </c>
      <c r="AD2169" s="0" t="s">
        <v>147</v>
      </c>
      <c r="AE2169" s="0" t="s">
        <v>148</v>
      </c>
      <c r="AF2169" s="0" t="s">
        <v>149</v>
      </c>
      <c r="AH2169" s="0" t="n">
        <v>14</v>
      </c>
      <c r="AI2169" s="0" t="n">
        <v>11</v>
      </c>
      <c r="AN2169" s="0" t="s">
        <v>145</v>
      </c>
      <c r="AO2169" s="0" t="s">
        <v>150</v>
      </c>
      <c r="AP2169" s="0" t="s">
        <v>151</v>
      </c>
      <c r="AQ2169" s="0" t="n">
        <v>9</v>
      </c>
      <c r="AR2169" s="0" t="n">
        <v>64</v>
      </c>
      <c r="AS2169" s="0" t="n">
        <v>32</v>
      </c>
      <c r="AU2169" s="0" t="n">
        <f aca="false">COUNTA($BA$1051:$EH$1051)</f>
        <v>4</v>
      </c>
      <c r="AV2169" s="0" t="n">
        <f aca="false">COUNTIF($BA$1051:$EH$1051,"D")</f>
        <v>1</v>
      </c>
      <c r="AW2169" s="0" t="n">
        <f aca="false">COUNTIF($BA$1051:$EH$1051,"R")</f>
        <v>0</v>
      </c>
      <c r="AX2169" s="0" t="n">
        <f aca="false">IF(BN2169="D",1,0)+IF(BO2169="D",1,0)+IF(BT2169="D",1,0)+IF(BU2169="D",1,0)+IF(BW2169="D",1,0)+IF(CC2169="D",1,0)+IF(CD2169="D",1,0)+IF(CE2169="D",1,0)+IF(CF2169="D",1,0)+IF(CL2169="D",1,0)+IF(CM2169="D",1,0)+IF(CQ2169="D",1,0)+IF(CR2169="D",1,0)+IF(CS2169="D",1,0)+IF(CW2169="D",1,0)+IF(CX2169="D",1,0)+IF(DD2169="D",1,0)+IF(DE2169="D",1,0)+IF(DJ2169="D",1,0)+IF(DK2169="D",1,0)+IF(DO2169="D",1,0)+IF(DP2169="D",1,0)+IF(DQ2169="D",1,0)+IF(DW2169="D",1,0)+IF(DZ2169="D",1,0)+IF(EH2169="D",1,0)</f>
        <v>0</v>
      </c>
      <c r="AY2169" s="0" t="n">
        <f aca="false">COUNTIF(DU2169:EH2169, "&lt;&gt;")</f>
        <v>0</v>
      </c>
      <c r="AZ2169" s="0" t="n">
        <f aca="false">IF(EH2169&lt;&gt;"",1,0)</f>
        <v>0</v>
      </c>
      <c r="BB2169" s="0" t="s">
        <v>152</v>
      </c>
    </row>
    <row r="2170" customFormat="false" ht="13.8" hidden="true" customHeight="false" outlineLevel="0" collapsed="false">
      <c r="A2170" s="0" t="s">
        <v>9504</v>
      </c>
      <c r="B2170" s="0" t="n">
        <v>78</v>
      </c>
      <c r="C2170" s="0" t="n">
        <v>416149</v>
      </c>
      <c r="D2170" s="0" t="s">
        <v>986</v>
      </c>
      <c r="E2170" s="0" t="s">
        <v>2680</v>
      </c>
      <c r="F2170" s="0" t="str">
        <f aca="false">CONCATENATE(D2170," ",LEFT(H2170,4),"T=",AU2170,"D=",AV2170,"R=",AW2170,"M=",AX2170,"L=",AY2170,"B=",AZ2170)</f>
        <v>YOUNG T=15D=3R=0M=0L=1B=0</v>
      </c>
      <c r="G2170" s="0" t="s">
        <v>685</v>
      </c>
      <c r="I2170" s="0" t="s">
        <v>9505</v>
      </c>
      <c r="J2170" s="0" t="s">
        <v>9506</v>
      </c>
      <c r="K2170" s="0" t="s">
        <v>160</v>
      </c>
      <c r="M2170" s="0" t="s">
        <v>9507</v>
      </c>
      <c r="N2170" s="0" t="str">
        <f aca="false">RIGHT(M2170,LEN(M2170)-FIND(" ",M2170))</f>
        <v>SOUTH ST SE</v>
      </c>
      <c r="P2170" s="0" t="s">
        <v>145</v>
      </c>
      <c r="Q2170" s="0" t="s">
        <v>146</v>
      </c>
      <c r="R2170" s="0" t="n">
        <v>44483</v>
      </c>
      <c r="AD2170" s="0" t="s">
        <v>147</v>
      </c>
      <c r="AE2170" s="0" t="s">
        <v>148</v>
      </c>
      <c r="AF2170" s="0" t="s">
        <v>149</v>
      </c>
      <c r="AH2170" s="0" t="n">
        <v>14</v>
      </c>
      <c r="AI2170" s="0" t="n">
        <v>11</v>
      </c>
      <c r="AN2170" s="0" t="s">
        <v>145</v>
      </c>
      <c r="AO2170" s="0" t="s">
        <v>150</v>
      </c>
      <c r="AP2170" s="0" t="s">
        <v>151</v>
      </c>
      <c r="AQ2170" s="0" t="n">
        <v>9</v>
      </c>
      <c r="AR2170" s="0" t="n">
        <v>64</v>
      </c>
      <c r="AS2170" s="0" t="n">
        <v>32</v>
      </c>
      <c r="AU2170" s="0" t="n">
        <f aca="false">COUNTA($BA$993:$EH$993)</f>
        <v>15</v>
      </c>
      <c r="AV2170" s="0" t="n">
        <f aca="false">COUNTIF($BA$993:$EH$993,"D")</f>
        <v>3</v>
      </c>
      <c r="AW2170" s="0" t="n">
        <f aca="false">COUNTIF($BA$993:$EH$993,"R")</f>
        <v>0</v>
      </c>
      <c r="AX2170" s="0" t="n">
        <f aca="false">IF(BN2170="D",1,0)+IF(BO2170="D",1,0)+IF(BT2170="D",1,0)+IF(BU2170="D",1,0)+IF(BW2170="D",1,0)+IF(CC2170="D",1,0)+IF(CD2170="D",1,0)+IF(CE2170="D",1,0)+IF(CF2170="D",1,0)+IF(CL2170="D",1,0)+IF(CM2170="D",1,0)+IF(CQ2170="D",1,0)+IF(CR2170="D",1,0)+IF(CS2170="D",1,0)+IF(CW2170="D",1,0)+IF(CX2170="D",1,0)+IF(DD2170="D",1,0)+IF(DE2170="D",1,0)+IF(DJ2170="D",1,0)+IF(DK2170="D",1,0)+IF(DO2170="D",1,0)+IF(DP2170="D",1,0)+IF(DQ2170="D",1,0)+IF(DW2170="D",1,0)+IF(DZ2170="D",1,0)+IF(EH2170="D",1,0)</f>
        <v>0</v>
      </c>
      <c r="AY2170" s="0" t="n">
        <f aca="false">COUNTIF(DU2170:EH2170, "&lt;&gt;")</f>
        <v>1</v>
      </c>
      <c r="AZ2170" s="0" t="n">
        <f aca="false">IF(EH2170&lt;&gt;"",1,0)</f>
        <v>0</v>
      </c>
      <c r="BB2170" s="0" t="s">
        <v>152</v>
      </c>
      <c r="DN2170" s="0" t="s">
        <v>153</v>
      </c>
      <c r="EF2170" s="0" t="s">
        <v>153</v>
      </c>
    </row>
    <row r="2171" customFormat="false" ht="13.8" hidden="true" customHeight="false" outlineLevel="0" collapsed="false">
      <c r="A2171" s="0" t="s">
        <v>9508</v>
      </c>
      <c r="B2171" s="0" t="n">
        <v>78</v>
      </c>
      <c r="C2171" s="0" t="n">
        <v>414693</v>
      </c>
      <c r="D2171" s="0" t="s">
        <v>9509</v>
      </c>
      <c r="E2171" s="0" t="s">
        <v>1208</v>
      </c>
      <c r="F2171" s="0" t="str">
        <f aca="false">CONCATENATE(D2171," ",LEFT(H2171,4),"T=",AU2171,"D=",AV2171,"R=",AW2171,"M=",AX2171,"L=",AY2171,"B=",AZ2171)</f>
        <v>DESANTIS T=12D=1R=0M=0L=1B=0</v>
      </c>
      <c r="G2171" s="0" t="s">
        <v>209</v>
      </c>
      <c r="I2171" s="0" t="s">
        <v>9510</v>
      </c>
      <c r="J2171" s="0" t="s">
        <v>9511</v>
      </c>
      <c r="K2171" s="0" t="s">
        <v>160</v>
      </c>
      <c r="M2171" s="0" t="s">
        <v>9512</v>
      </c>
      <c r="N2171" s="0" t="str">
        <f aca="false">RIGHT(M2171,LEN(M2171)-FIND(" ",M2171))</f>
        <v>SOUTH ST SE</v>
      </c>
      <c r="P2171" s="0" t="s">
        <v>145</v>
      </c>
      <c r="Q2171" s="0" t="s">
        <v>146</v>
      </c>
      <c r="R2171" s="0" t="n">
        <v>44483</v>
      </c>
      <c r="AD2171" s="0" t="s">
        <v>147</v>
      </c>
      <c r="AE2171" s="0" t="s">
        <v>148</v>
      </c>
      <c r="AF2171" s="0" t="s">
        <v>149</v>
      </c>
      <c r="AH2171" s="0" t="n">
        <v>14</v>
      </c>
      <c r="AI2171" s="0" t="n">
        <v>11</v>
      </c>
      <c r="AN2171" s="0" t="s">
        <v>145</v>
      </c>
      <c r="AO2171" s="0" t="s">
        <v>654</v>
      </c>
      <c r="AP2171" s="0" t="s">
        <v>655</v>
      </c>
      <c r="AQ2171" s="0" t="n">
        <v>9</v>
      </c>
      <c r="AR2171" s="0" t="n">
        <v>64</v>
      </c>
      <c r="AS2171" s="0" t="n">
        <v>32</v>
      </c>
      <c r="AU2171" s="0" t="n">
        <f aca="false">COUNTA($BA$1383:$EH$1383)</f>
        <v>12</v>
      </c>
      <c r="AV2171" s="0" t="n">
        <f aca="false">COUNTIF($BA$1383:$EH$1383,"D")</f>
        <v>1</v>
      </c>
      <c r="AW2171" s="0" t="n">
        <f aca="false">COUNTIF($BA$1383:$EH$1383,"R")</f>
        <v>0</v>
      </c>
      <c r="AX2171" s="0" t="n">
        <f aca="false">IF(BN2171="D",1,0)+IF(BO2171="D",1,0)+IF(BT2171="D",1,0)+IF(BU2171="D",1,0)+IF(BW2171="D",1,0)+IF(CC2171="D",1,0)+IF(CD2171="D",1,0)+IF(CE2171="D",1,0)+IF(CF2171="D",1,0)+IF(CL2171="D",1,0)+IF(CM2171="D",1,0)+IF(CQ2171="D",1,0)+IF(CR2171="D",1,0)+IF(CS2171="D",1,0)+IF(CW2171="D",1,0)+IF(CX2171="D",1,0)+IF(DD2171="D",1,0)+IF(DE2171="D",1,0)+IF(DJ2171="D",1,0)+IF(DK2171="D",1,0)+IF(DO2171="D",1,0)+IF(DP2171="D",1,0)+IF(DQ2171="D",1,0)+IF(DW2171="D",1,0)+IF(DZ2171="D",1,0)+IF(EH2171="D",1,0)</f>
        <v>0</v>
      </c>
      <c r="AY2171" s="0" t="n">
        <f aca="false">COUNTIF(DU2171:EH2171, "&lt;&gt;")</f>
        <v>1</v>
      </c>
      <c r="AZ2171" s="0" t="n">
        <f aca="false">IF(EH2171&lt;&gt;"",1,0)</f>
        <v>0</v>
      </c>
      <c r="BB2171" s="0" t="s">
        <v>152</v>
      </c>
      <c r="DG2171" s="0" t="s">
        <v>175</v>
      </c>
      <c r="DN2171" s="0" t="s">
        <v>153</v>
      </c>
      <c r="EF2171" s="0" t="s">
        <v>153</v>
      </c>
    </row>
    <row r="2172" customFormat="false" ht="13.8" hidden="true" customHeight="false" outlineLevel="0" collapsed="false">
      <c r="A2172" s="0" t="s">
        <v>9513</v>
      </c>
      <c r="B2172" s="0" t="n">
        <v>78</v>
      </c>
      <c r="C2172" s="0" t="n">
        <v>407626</v>
      </c>
      <c r="D2172" s="0" t="s">
        <v>9509</v>
      </c>
      <c r="E2172" s="0" t="s">
        <v>275</v>
      </c>
      <c r="F2172" s="0" t="str">
        <f aca="false">CONCATENATE(D2172," ",LEFT(H2172,4),"T=",AU2172,"D=",AV2172,"R=",AW2172,"M=",AX2172,"L=",AY2172,"B=",AZ2172)</f>
        <v>DESANTIS T=3D=0R=0M=0L=1B=0</v>
      </c>
      <c r="G2172" s="0" t="s">
        <v>770</v>
      </c>
      <c r="I2172" s="0" t="s">
        <v>9514</v>
      </c>
      <c r="J2172" s="0" t="s">
        <v>404</v>
      </c>
      <c r="K2172" s="0" t="s">
        <v>160</v>
      </c>
      <c r="M2172" s="0" t="s">
        <v>9512</v>
      </c>
      <c r="N2172" s="0" t="str">
        <f aca="false">RIGHT(M2172,LEN(M2172)-FIND(" ",M2172))</f>
        <v>SOUTH ST SE</v>
      </c>
      <c r="P2172" s="0" t="s">
        <v>145</v>
      </c>
      <c r="Q2172" s="0" t="s">
        <v>146</v>
      </c>
      <c r="R2172" s="0" t="n">
        <v>44483</v>
      </c>
      <c r="AD2172" s="0" t="s">
        <v>147</v>
      </c>
      <c r="AE2172" s="0" t="s">
        <v>148</v>
      </c>
      <c r="AF2172" s="0" t="s">
        <v>149</v>
      </c>
      <c r="AH2172" s="0" t="n">
        <v>14</v>
      </c>
      <c r="AI2172" s="0" t="n">
        <v>11</v>
      </c>
      <c r="AN2172" s="0" t="s">
        <v>145</v>
      </c>
      <c r="AO2172" s="0" t="s">
        <v>654</v>
      </c>
      <c r="AP2172" s="0" t="s">
        <v>655</v>
      </c>
      <c r="AQ2172" s="0" t="n">
        <v>9</v>
      </c>
      <c r="AR2172" s="0" t="n">
        <v>64</v>
      </c>
      <c r="AS2172" s="0" t="n">
        <v>32</v>
      </c>
      <c r="AU2172" s="0" t="n">
        <f aca="false">COUNTA($BA$1532:$EH$1532)</f>
        <v>3</v>
      </c>
      <c r="AV2172" s="0" t="n">
        <f aca="false">COUNTIF($BA$1532:$EH$1532,"D")</f>
        <v>0</v>
      </c>
      <c r="AW2172" s="0" t="n">
        <f aca="false">COUNTIF($BA$1532:$EH$1532,"R")</f>
        <v>0</v>
      </c>
      <c r="AX2172" s="0" t="n">
        <f aca="false">IF(BN2172="D",1,0)+IF(BO2172="D",1,0)+IF(BT2172="D",1,0)+IF(BU2172="D",1,0)+IF(BW2172="D",1,0)+IF(CC2172="D",1,0)+IF(CD2172="D",1,0)+IF(CE2172="D",1,0)+IF(CF2172="D",1,0)+IF(CL2172="D",1,0)+IF(CM2172="D",1,0)+IF(CQ2172="D",1,0)+IF(CR2172="D",1,0)+IF(CS2172="D",1,0)+IF(CW2172="D",1,0)+IF(CX2172="D",1,0)+IF(DD2172="D",1,0)+IF(DE2172="D",1,0)+IF(DJ2172="D",1,0)+IF(DK2172="D",1,0)+IF(DO2172="D",1,0)+IF(DP2172="D",1,0)+IF(DQ2172="D",1,0)+IF(DW2172="D",1,0)+IF(DZ2172="D",1,0)+IF(EH2172="D",1,0)</f>
        <v>0</v>
      </c>
      <c r="AY2172" s="0" t="n">
        <f aca="false">COUNTIF(DU2172:EH2172, "&lt;&gt;")</f>
        <v>1</v>
      </c>
      <c r="AZ2172" s="0" t="n">
        <f aca="false">IF(EH2172&lt;&gt;"",1,0)</f>
        <v>0</v>
      </c>
      <c r="BB2172" s="0" t="s">
        <v>152</v>
      </c>
      <c r="EF2172" s="0" t="s">
        <v>153</v>
      </c>
    </row>
    <row r="2173" customFormat="false" ht="13.8" hidden="true" customHeight="false" outlineLevel="0" collapsed="false">
      <c r="A2173" s="0" t="s">
        <v>9515</v>
      </c>
      <c r="B2173" s="0" t="n">
        <v>78</v>
      </c>
      <c r="C2173" s="0" t="n">
        <v>390890</v>
      </c>
      <c r="D2173" s="0" t="s">
        <v>1867</v>
      </c>
      <c r="E2173" s="0" t="s">
        <v>9516</v>
      </c>
      <c r="F2173" s="0" t="str">
        <f aca="false">CONCATENATE(D2173," ",LEFT(H2173,4),"T=",AU2173,"D=",AV2173,"R=",AW2173,"M=",AX2173,"L=",AY2173,"B=",AZ2173)</f>
        <v>TAYLOR T=2D=0R=0M=0L=0B=0</v>
      </c>
      <c r="G2173" s="0" t="s">
        <v>1680</v>
      </c>
      <c r="I2173" s="0" t="s">
        <v>9517</v>
      </c>
      <c r="J2173" s="0" t="s">
        <v>9518</v>
      </c>
      <c r="K2173" s="0" t="s">
        <v>143</v>
      </c>
      <c r="M2173" s="0" t="s">
        <v>9519</v>
      </c>
      <c r="N2173" s="0" t="str">
        <f aca="false">RIGHT(M2173,LEN(M2173)-FIND(" ",M2173))</f>
        <v>SOUTH ST SE</v>
      </c>
      <c r="P2173" s="0" t="s">
        <v>145</v>
      </c>
      <c r="Q2173" s="0" t="s">
        <v>146</v>
      </c>
      <c r="R2173" s="0" t="n">
        <v>44483</v>
      </c>
      <c r="AD2173" s="0" t="s">
        <v>147</v>
      </c>
      <c r="AE2173" s="0" t="s">
        <v>148</v>
      </c>
      <c r="AF2173" s="0" t="s">
        <v>149</v>
      </c>
      <c r="AH2173" s="0" t="n">
        <v>14</v>
      </c>
      <c r="AI2173" s="0" t="n">
        <v>11</v>
      </c>
      <c r="AN2173" s="0" t="s">
        <v>145</v>
      </c>
      <c r="AO2173" s="0" t="s">
        <v>654</v>
      </c>
      <c r="AP2173" s="0" t="s">
        <v>655</v>
      </c>
      <c r="AQ2173" s="0" t="n">
        <v>9</v>
      </c>
      <c r="AR2173" s="0" t="n">
        <v>64</v>
      </c>
      <c r="AS2173" s="0" t="n">
        <v>32</v>
      </c>
      <c r="AU2173" s="0" t="n">
        <f aca="false">COUNTA($BA$1970:$EH$1970)</f>
        <v>2</v>
      </c>
      <c r="AV2173" s="0" t="n">
        <f aca="false">COUNTIF($BA$1970:$EH$1970,"D")</f>
        <v>0</v>
      </c>
      <c r="AW2173" s="0" t="n">
        <f aca="false">COUNTIF($BA$1970:$EH$1970,"R")</f>
        <v>0</v>
      </c>
      <c r="AX2173" s="0" t="n">
        <f aca="false">IF(BN2173="D",1,0)+IF(BO2173="D",1,0)+IF(BT2173="D",1,0)+IF(BU2173="D",1,0)+IF(BW2173="D",1,0)+IF(CC2173="D",1,0)+IF(CD2173="D",1,0)+IF(CE2173="D",1,0)+IF(CF2173="D",1,0)+IF(CL2173="D",1,0)+IF(CM2173="D",1,0)+IF(CQ2173="D",1,0)+IF(CR2173="D",1,0)+IF(CS2173="D",1,0)+IF(CW2173="D",1,0)+IF(CX2173="D",1,0)+IF(DD2173="D",1,0)+IF(DE2173="D",1,0)+IF(DJ2173="D",1,0)+IF(DK2173="D",1,0)+IF(DO2173="D",1,0)+IF(DP2173="D",1,0)+IF(DQ2173="D",1,0)+IF(DW2173="D",1,0)+IF(DZ2173="D",1,0)+IF(EH2173="D",1,0)</f>
        <v>0</v>
      </c>
      <c r="AY2173" s="0" t="n">
        <f aca="false">COUNTIF(DU2173:EH2173, "&lt;&gt;")</f>
        <v>0</v>
      </c>
      <c r="AZ2173" s="0" t="n">
        <f aca="false">IF(EH2173&lt;&gt;"",1,0)</f>
        <v>0</v>
      </c>
      <c r="BB2173" s="0" t="s">
        <v>152</v>
      </c>
      <c r="CP2173" s="0" t="s">
        <v>153</v>
      </c>
      <c r="CZ2173" s="0" t="s">
        <v>175</v>
      </c>
      <c r="DC2173" s="0" t="s">
        <v>153</v>
      </c>
    </row>
    <row r="2174" customFormat="false" ht="13.8" hidden="true" customHeight="false" outlineLevel="0" collapsed="false">
      <c r="A2174" s="0" t="s">
        <v>9520</v>
      </c>
      <c r="B2174" s="0" t="n">
        <v>78</v>
      </c>
      <c r="C2174" s="0" t="n">
        <v>494061</v>
      </c>
      <c r="D2174" s="0" t="s">
        <v>6430</v>
      </c>
      <c r="E2174" s="0" t="s">
        <v>9521</v>
      </c>
      <c r="F2174" s="0" t="str">
        <f aca="false">CONCATENATE(D2174," ",LEFT(H2174,4),"T=",AU2174,"D=",AV2174,"R=",AW2174,"M=",AX2174,"L=",AY2174,"B=",AZ2174)</f>
        <v>PIERCE T=4D=0R=0M=0L=0B=0</v>
      </c>
      <c r="G2174" s="0" t="s">
        <v>1128</v>
      </c>
      <c r="I2174" s="0" t="s">
        <v>9522</v>
      </c>
      <c r="J2174" s="0" t="s">
        <v>197</v>
      </c>
      <c r="K2174" s="0" t="s">
        <v>160</v>
      </c>
      <c r="M2174" s="0" t="s">
        <v>9523</v>
      </c>
      <c r="N2174" s="0" t="str">
        <f aca="false">RIGHT(M2174,LEN(M2174)-FIND(" ",M2174))</f>
        <v>THOMAS RD SE</v>
      </c>
      <c r="P2174" s="0" t="s">
        <v>145</v>
      </c>
      <c r="Q2174" s="0" t="s">
        <v>146</v>
      </c>
      <c r="R2174" s="0" t="n">
        <v>44484</v>
      </c>
      <c r="AD2174" s="0" t="s">
        <v>147</v>
      </c>
      <c r="AE2174" s="0" t="s">
        <v>148</v>
      </c>
      <c r="AF2174" s="0" t="s">
        <v>149</v>
      </c>
      <c r="AH2174" s="0" t="n">
        <v>14</v>
      </c>
      <c r="AI2174" s="0" t="n">
        <v>11</v>
      </c>
      <c r="AN2174" s="0" t="s">
        <v>145</v>
      </c>
      <c r="AO2174" s="0" t="s">
        <v>233</v>
      </c>
      <c r="AP2174" s="0" t="s">
        <v>234</v>
      </c>
      <c r="AQ2174" s="0" t="n">
        <v>9</v>
      </c>
      <c r="AR2174" s="0" t="n">
        <v>64</v>
      </c>
      <c r="AS2174" s="0" t="n">
        <v>32</v>
      </c>
      <c r="AU2174" s="0" t="n">
        <f aca="false">COUNTA($BA$2372:$EH$2372)</f>
        <v>4</v>
      </c>
      <c r="AV2174" s="0" t="n">
        <f aca="false">COUNTIF($BA$2372:$EH$2372,"D")</f>
        <v>0</v>
      </c>
      <c r="AW2174" s="0" t="n">
        <f aca="false">COUNTIF($BA$2372:$EH$2372,"R")</f>
        <v>0</v>
      </c>
      <c r="AX2174" s="0" t="n">
        <f aca="false">IF(BN2174="D",1,0)+IF(BO2174="D",1,0)+IF(BT2174="D",1,0)+IF(BU2174="D",1,0)+IF(BW2174="D",1,0)+IF(CC2174="D",1,0)+IF(CD2174="D",1,0)+IF(CE2174="D",1,0)+IF(CF2174="D",1,0)+IF(CL2174="D",1,0)+IF(CM2174="D",1,0)+IF(CQ2174="D",1,0)+IF(CR2174="D",1,0)+IF(CS2174="D",1,0)+IF(CW2174="D",1,0)+IF(CX2174="D",1,0)+IF(DD2174="D",1,0)+IF(DE2174="D",1,0)+IF(DJ2174="D",1,0)+IF(DK2174="D",1,0)+IF(DO2174="D",1,0)+IF(DP2174="D",1,0)+IF(DQ2174="D",1,0)+IF(DW2174="D",1,0)+IF(DZ2174="D",1,0)+IF(EH2174="D",1,0)</f>
        <v>0</v>
      </c>
      <c r="AY2174" s="0" t="n">
        <f aca="false">COUNTIF(DU2174:EH2174, "&lt;&gt;")</f>
        <v>0</v>
      </c>
      <c r="AZ2174" s="0" t="n">
        <f aca="false">IF(EH2174&lt;&gt;"",1,0)</f>
        <v>0</v>
      </c>
      <c r="BB2174" s="0" t="s">
        <v>152</v>
      </c>
    </row>
    <row r="2175" customFormat="false" ht="13.8" hidden="true" customHeight="false" outlineLevel="0" collapsed="false">
      <c r="A2175" s="0" t="s">
        <v>9524</v>
      </c>
      <c r="B2175" s="0" t="n">
        <v>78</v>
      </c>
      <c r="C2175" s="0" t="n">
        <v>373547</v>
      </c>
      <c r="D2175" s="0" t="s">
        <v>1561</v>
      </c>
      <c r="E2175" s="0" t="s">
        <v>1259</v>
      </c>
      <c r="F2175" s="0" t="str">
        <f aca="false">CONCATENATE(D2175," ",LEFT(H2175,4),"T=",AU2175,"D=",AV2175,"R=",AW2175,"M=",AX2175,"L=",AY2175,"B=",AZ2175)</f>
        <v>KIMBLE T=3D=0R=0M=0L=0B=0</v>
      </c>
      <c r="G2175" s="0" t="s">
        <v>209</v>
      </c>
      <c r="I2175" s="0" t="s">
        <v>9525</v>
      </c>
      <c r="J2175" s="0" t="s">
        <v>9526</v>
      </c>
      <c r="K2175" s="0" t="s">
        <v>160</v>
      </c>
      <c r="M2175" s="0" t="s">
        <v>9527</v>
      </c>
      <c r="N2175" s="0" t="str">
        <f aca="false">RIGHT(M2175,LEN(M2175)-FIND(" ",M2175))</f>
        <v>THOMAS RD SE</v>
      </c>
      <c r="P2175" s="0" t="s">
        <v>145</v>
      </c>
      <c r="Q2175" s="0" t="s">
        <v>146</v>
      </c>
      <c r="R2175" s="0" t="n">
        <v>44484</v>
      </c>
      <c r="AD2175" s="0" t="s">
        <v>147</v>
      </c>
      <c r="AE2175" s="0" t="s">
        <v>148</v>
      </c>
      <c r="AF2175" s="0" t="s">
        <v>149</v>
      </c>
      <c r="AH2175" s="0" t="n">
        <v>14</v>
      </c>
      <c r="AI2175" s="0" t="n">
        <v>11</v>
      </c>
      <c r="AN2175" s="0" t="s">
        <v>145</v>
      </c>
      <c r="AO2175" s="0" t="s">
        <v>233</v>
      </c>
      <c r="AP2175" s="0" t="s">
        <v>234</v>
      </c>
      <c r="AQ2175" s="0" t="n">
        <v>9</v>
      </c>
      <c r="AR2175" s="0" t="n">
        <v>64</v>
      </c>
      <c r="AS2175" s="0" t="n">
        <v>32</v>
      </c>
      <c r="AU2175" s="0" t="n">
        <f aca="false">COUNTA($BA$2371:$EH$2371)</f>
        <v>3</v>
      </c>
      <c r="AV2175" s="0" t="n">
        <f aca="false">COUNTIF($BA$2371:$EH$2371,"D")</f>
        <v>0</v>
      </c>
      <c r="AW2175" s="0" t="n">
        <f aca="false">COUNTIF($BA$2371:$EH$2371,"R")</f>
        <v>0</v>
      </c>
      <c r="AX2175" s="0" t="n">
        <f aca="false">IF(BN2175="D",1,0)+IF(BO2175="D",1,0)+IF(BT2175="D",1,0)+IF(BU2175="D",1,0)+IF(BW2175="D",1,0)+IF(CC2175="D",1,0)+IF(CD2175="D",1,0)+IF(CE2175="D",1,0)+IF(CF2175="D",1,0)+IF(CL2175="D",1,0)+IF(CM2175="D",1,0)+IF(CQ2175="D",1,0)+IF(CR2175="D",1,0)+IF(CS2175="D",1,0)+IF(CW2175="D",1,0)+IF(CX2175="D",1,0)+IF(DD2175="D",1,0)+IF(DE2175="D",1,0)+IF(DJ2175="D",1,0)+IF(DK2175="D",1,0)+IF(DO2175="D",1,0)+IF(DP2175="D",1,0)+IF(DQ2175="D",1,0)+IF(DW2175="D",1,0)+IF(DZ2175="D",1,0)+IF(EH2175="D",1,0)</f>
        <v>0</v>
      </c>
      <c r="AY2175" s="0" t="n">
        <f aca="false">COUNTIF(DU2175:EH2175, "&lt;&gt;")</f>
        <v>0</v>
      </c>
      <c r="AZ2175" s="0" t="n">
        <f aca="false">IF(EH2175&lt;&gt;"",1,0)</f>
        <v>0</v>
      </c>
      <c r="BB2175" s="0" t="s">
        <v>152</v>
      </c>
    </row>
    <row r="2176" customFormat="false" ht="13.8" hidden="true" customHeight="false" outlineLevel="0" collapsed="false">
      <c r="A2176" s="0" t="s">
        <v>9528</v>
      </c>
      <c r="B2176" s="0" t="n">
        <v>78</v>
      </c>
      <c r="C2176" s="0" t="n">
        <v>486913</v>
      </c>
      <c r="D2176" s="0" t="s">
        <v>9529</v>
      </c>
      <c r="E2176" s="0" t="s">
        <v>658</v>
      </c>
      <c r="F2176" s="0" t="str">
        <f aca="false">CONCATENATE(D2176," ",LEFT(H2176,4),"T=",AU2176,"D=",AV2176,"R=",AW2176,"M=",AX2176,"L=",AY2176,"B=",AZ2176)</f>
        <v>JETHROE T=20D=2R=0M=0L=0B=0</v>
      </c>
      <c r="G2176" s="0" t="s">
        <v>379</v>
      </c>
      <c r="I2176" s="0" t="s">
        <v>9530</v>
      </c>
      <c r="J2176" s="0" t="s">
        <v>782</v>
      </c>
      <c r="K2176" s="0" t="s">
        <v>160</v>
      </c>
      <c r="M2176" s="0" t="s">
        <v>9531</v>
      </c>
      <c r="N2176" s="0" t="str">
        <f aca="false">RIGHT(M2176,LEN(M2176)-FIND(" ",M2176))</f>
        <v>THOMAS RD SE</v>
      </c>
      <c r="P2176" s="0" t="s">
        <v>145</v>
      </c>
      <c r="Q2176" s="0" t="s">
        <v>146</v>
      </c>
      <c r="R2176" s="0" t="n">
        <v>44484</v>
      </c>
      <c r="AD2176" s="0" t="s">
        <v>147</v>
      </c>
      <c r="AE2176" s="0" t="s">
        <v>148</v>
      </c>
      <c r="AF2176" s="0" t="s">
        <v>149</v>
      </c>
      <c r="AH2176" s="0" t="n">
        <v>14</v>
      </c>
      <c r="AI2176" s="0" t="n">
        <v>11</v>
      </c>
      <c r="AN2176" s="0" t="s">
        <v>145</v>
      </c>
      <c r="AO2176" s="0" t="s">
        <v>233</v>
      </c>
      <c r="AP2176" s="0" t="s">
        <v>234</v>
      </c>
      <c r="AQ2176" s="0" t="n">
        <v>9</v>
      </c>
      <c r="AR2176" s="0" t="n">
        <v>64</v>
      </c>
      <c r="AS2176" s="0" t="n">
        <v>32</v>
      </c>
      <c r="AU2176" s="0" t="n">
        <f aca="false">COUNTA($BA$2260:$EH$2260)</f>
        <v>20</v>
      </c>
      <c r="AV2176" s="0" t="n">
        <f aca="false">COUNTIF($BA$2260:$EH$2260,"D")</f>
        <v>2</v>
      </c>
      <c r="AW2176" s="0" t="n">
        <f aca="false">COUNTIF($BA$2260:$EH$2260,"R")</f>
        <v>0</v>
      </c>
      <c r="AX2176" s="0" t="n">
        <f aca="false">IF(BN2176="D",1,0)+IF(BO2176="D",1,0)+IF(BT2176="D",1,0)+IF(BU2176="D",1,0)+IF(BW2176="D",1,0)+IF(CC2176="D",1,0)+IF(CD2176="D",1,0)+IF(CE2176="D",1,0)+IF(CF2176="D",1,0)+IF(CL2176="D",1,0)+IF(CM2176="D",1,0)+IF(CQ2176="D",1,0)+IF(CR2176="D",1,0)+IF(CS2176="D",1,0)+IF(CW2176="D",1,0)+IF(CX2176="D",1,0)+IF(DD2176="D",1,0)+IF(DE2176="D",1,0)+IF(DJ2176="D",1,0)+IF(DK2176="D",1,0)+IF(DO2176="D",1,0)+IF(DP2176="D",1,0)+IF(DQ2176="D",1,0)+IF(DW2176="D",1,0)+IF(DZ2176="D",1,0)+IF(EH2176="D",1,0)</f>
        <v>0</v>
      </c>
      <c r="AY2176" s="0" t="n">
        <f aca="false">COUNTIF(DU2176:EH2176, "&lt;&gt;")</f>
        <v>0</v>
      </c>
      <c r="AZ2176" s="0" t="n">
        <f aca="false">IF(EH2176&lt;&gt;"",1,0)</f>
        <v>0</v>
      </c>
      <c r="BB2176" s="0" t="s">
        <v>152</v>
      </c>
    </row>
    <row r="2177" customFormat="false" ht="13.8" hidden="true" customHeight="false" outlineLevel="0" collapsed="false">
      <c r="A2177" s="0" t="s">
        <v>9532</v>
      </c>
      <c r="B2177" s="0" t="n">
        <v>78</v>
      </c>
      <c r="C2177" s="0" t="n">
        <v>391347</v>
      </c>
      <c r="D2177" s="0" t="s">
        <v>1041</v>
      </c>
      <c r="E2177" s="0" t="s">
        <v>7906</v>
      </c>
      <c r="F2177" s="0" t="str">
        <f aca="false">CONCATENATE(D2177," ",LEFT(H2177,4),"T=",AU2177,"D=",AV2177,"R=",AW2177,"M=",AX2177,"L=",AY2177,"B=",AZ2177)</f>
        <v>JONES T=1D=0R=0M=0L=1B=0</v>
      </c>
      <c r="G2177" s="0" t="s">
        <v>255</v>
      </c>
      <c r="I2177" s="0" t="s">
        <v>9533</v>
      </c>
      <c r="J2177" s="0" t="s">
        <v>9534</v>
      </c>
      <c r="K2177" s="0" t="s">
        <v>160</v>
      </c>
      <c r="M2177" s="0" t="s">
        <v>9535</v>
      </c>
      <c r="N2177" s="0" t="str">
        <f aca="false">RIGHT(M2177,LEN(M2177)-FIND(" ",M2177))</f>
        <v>TRANSYLVANIA AVE SE</v>
      </c>
      <c r="P2177" s="0" t="s">
        <v>145</v>
      </c>
      <c r="Q2177" s="0" t="s">
        <v>146</v>
      </c>
      <c r="R2177" s="0" t="n">
        <v>44484</v>
      </c>
      <c r="AD2177" s="0" t="s">
        <v>147</v>
      </c>
      <c r="AE2177" s="0" t="s">
        <v>148</v>
      </c>
      <c r="AF2177" s="0" t="s">
        <v>149</v>
      </c>
      <c r="AH2177" s="0" t="n">
        <v>14</v>
      </c>
      <c r="AI2177" s="0" t="n">
        <v>11</v>
      </c>
      <c r="AN2177" s="0" t="s">
        <v>145</v>
      </c>
      <c r="AO2177" s="0" t="s">
        <v>233</v>
      </c>
      <c r="AP2177" s="0" t="s">
        <v>234</v>
      </c>
      <c r="AQ2177" s="0" t="n">
        <v>9</v>
      </c>
      <c r="AR2177" s="0" t="n">
        <v>64</v>
      </c>
      <c r="AS2177" s="0" t="n">
        <v>32</v>
      </c>
      <c r="AU2177" s="0" t="n">
        <f aca="false">COUNTA($BA$2501:$EH$2501)</f>
        <v>1</v>
      </c>
      <c r="AV2177" s="0" t="n">
        <f aca="false">COUNTIF($BA$2501:$EH$2501,"D")</f>
        <v>0</v>
      </c>
      <c r="AW2177" s="0" t="n">
        <f aca="false">COUNTIF($BA$2501:$EH$2501,"R")</f>
        <v>0</v>
      </c>
      <c r="AX2177" s="0" t="n">
        <f aca="false">IF(BN2177="D",1,0)+IF(BO2177="D",1,0)+IF(BT2177="D",1,0)+IF(BU2177="D",1,0)+IF(BW2177="D",1,0)+IF(CC2177="D",1,0)+IF(CD2177="D",1,0)+IF(CE2177="D",1,0)+IF(CF2177="D",1,0)+IF(CL2177="D",1,0)+IF(CM2177="D",1,0)+IF(CQ2177="D",1,0)+IF(CR2177="D",1,0)+IF(CS2177="D",1,0)+IF(CW2177="D",1,0)+IF(CX2177="D",1,0)+IF(DD2177="D",1,0)+IF(DE2177="D",1,0)+IF(DJ2177="D",1,0)+IF(DK2177="D",1,0)+IF(DO2177="D",1,0)+IF(DP2177="D",1,0)+IF(DQ2177="D",1,0)+IF(DW2177="D",1,0)+IF(DZ2177="D",1,0)+IF(EH2177="D",1,0)</f>
        <v>0</v>
      </c>
      <c r="AY2177" s="0" t="n">
        <f aca="false">COUNTIF(DU2177:EH2177, "&lt;&gt;")</f>
        <v>1</v>
      </c>
      <c r="AZ2177" s="0" t="n">
        <f aca="false">IF(EH2177&lt;&gt;"",1,0)</f>
        <v>0</v>
      </c>
      <c r="BB2177" s="0" t="s">
        <v>152</v>
      </c>
      <c r="CP2177" s="0" t="s">
        <v>153</v>
      </c>
      <c r="CY2177" s="0" t="s">
        <v>153</v>
      </c>
      <c r="DC2177" s="0" t="s">
        <v>153</v>
      </c>
      <c r="EA2177" s="0" t="s">
        <v>153</v>
      </c>
    </row>
    <row r="2178" customFormat="false" ht="13.8" hidden="true" customHeight="false" outlineLevel="0" collapsed="false">
      <c r="A2178" s="0" t="s">
        <v>9536</v>
      </c>
      <c r="B2178" s="0" t="n">
        <v>78</v>
      </c>
      <c r="C2178" s="0" t="n">
        <v>417124</v>
      </c>
      <c r="D2178" s="0" t="s">
        <v>9537</v>
      </c>
      <c r="E2178" s="0" t="s">
        <v>1775</v>
      </c>
      <c r="F2178" s="0" t="str">
        <f aca="false">CONCATENATE(D2178," ",LEFT(H2178,4),"T=",AU2178,"D=",AV2178,"R=",AW2178,"M=",AX2178,"L=",AY2178,"B=",AZ2178)</f>
        <v>TANNER T=3D=0R=0M=0L=0B=0</v>
      </c>
      <c r="G2178" s="0" t="s">
        <v>195</v>
      </c>
      <c r="I2178" s="0" t="s">
        <v>9538</v>
      </c>
      <c r="J2178" s="0" t="s">
        <v>618</v>
      </c>
      <c r="K2178" s="0" t="s">
        <v>143</v>
      </c>
      <c r="M2178" s="0" t="s">
        <v>9539</v>
      </c>
      <c r="N2178" s="0" t="str">
        <f aca="false">RIGHT(M2178,LEN(M2178)-FIND(" ",M2178))</f>
        <v>TRANSYLVANIA AVE SE</v>
      </c>
      <c r="P2178" s="0" t="s">
        <v>145</v>
      </c>
      <c r="Q2178" s="0" t="s">
        <v>146</v>
      </c>
      <c r="R2178" s="0" t="n">
        <v>44484</v>
      </c>
      <c r="AD2178" s="0" t="s">
        <v>147</v>
      </c>
      <c r="AE2178" s="0" t="s">
        <v>148</v>
      </c>
      <c r="AF2178" s="0" t="s">
        <v>149</v>
      </c>
      <c r="AH2178" s="0" t="n">
        <v>14</v>
      </c>
      <c r="AI2178" s="0" t="n">
        <v>11</v>
      </c>
      <c r="AN2178" s="0" t="s">
        <v>145</v>
      </c>
      <c r="AO2178" s="0" t="s">
        <v>233</v>
      </c>
      <c r="AP2178" s="0" t="s">
        <v>234</v>
      </c>
      <c r="AQ2178" s="0" t="n">
        <v>9</v>
      </c>
      <c r="AR2178" s="0" t="n">
        <v>64</v>
      </c>
      <c r="AS2178" s="0" t="n">
        <v>32</v>
      </c>
      <c r="AU2178" s="0" t="n">
        <f aca="false">COUNTA($BA$2186:$EH$2186)</f>
        <v>3</v>
      </c>
      <c r="AV2178" s="0" t="n">
        <f aca="false">COUNTIF($BA$2186:$EH$2186,"D")</f>
        <v>0</v>
      </c>
      <c r="AW2178" s="0" t="n">
        <f aca="false">COUNTIF($BA$2186:$EH$2186,"R")</f>
        <v>0</v>
      </c>
      <c r="AX2178" s="0" t="n">
        <f aca="false">IF(BN2178="D",1,0)+IF(BO2178="D",1,0)+IF(BT2178="D",1,0)+IF(BU2178="D",1,0)+IF(BW2178="D",1,0)+IF(CC2178="D",1,0)+IF(CD2178="D",1,0)+IF(CE2178="D",1,0)+IF(CF2178="D",1,0)+IF(CL2178="D",1,0)+IF(CM2178="D",1,0)+IF(CQ2178="D",1,0)+IF(CR2178="D",1,0)+IF(CS2178="D",1,0)+IF(CW2178="D",1,0)+IF(CX2178="D",1,0)+IF(DD2178="D",1,0)+IF(DE2178="D",1,0)+IF(DJ2178="D",1,0)+IF(DK2178="D",1,0)+IF(DO2178="D",1,0)+IF(DP2178="D",1,0)+IF(DQ2178="D",1,0)+IF(DW2178="D",1,0)+IF(DZ2178="D",1,0)+IF(EH2178="D",1,0)</f>
        <v>0</v>
      </c>
      <c r="AY2178" s="0" t="n">
        <f aca="false">COUNTIF(DU2178:EH2178, "&lt;&gt;")</f>
        <v>0</v>
      </c>
      <c r="AZ2178" s="0" t="n">
        <f aca="false">IF(EH2178&lt;&gt;"",1,0)</f>
        <v>0</v>
      </c>
      <c r="BB2178" s="0" t="s">
        <v>152</v>
      </c>
    </row>
    <row r="2179" customFormat="false" ht="13.8" hidden="true" customHeight="false" outlineLevel="0" collapsed="false">
      <c r="A2179" s="0" t="s">
        <v>9540</v>
      </c>
      <c r="B2179" s="0" t="n">
        <v>78</v>
      </c>
      <c r="C2179" s="0" t="n">
        <v>429773</v>
      </c>
      <c r="D2179" s="0" t="s">
        <v>9541</v>
      </c>
      <c r="E2179" s="0" t="s">
        <v>275</v>
      </c>
      <c r="F2179" s="0" t="str">
        <f aca="false">CONCATENATE(D2179," ",LEFT(H2179,4),"T=",AU2179,"D=",AV2179,"R=",AW2179,"M=",AX2179,"L=",AY2179,"B=",AZ2179)</f>
        <v>FOZZARD T=16D=0R=1M=0L=0B=0</v>
      </c>
      <c r="G2179" s="0" t="s">
        <v>195</v>
      </c>
      <c r="I2179" s="0" t="s">
        <v>9542</v>
      </c>
      <c r="J2179" s="0" t="s">
        <v>9543</v>
      </c>
      <c r="K2179" s="0" t="s">
        <v>160</v>
      </c>
      <c r="M2179" s="0" t="s">
        <v>9544</v>
      </c>
      <c r="N2179" s="0" t="str">
        <f aca="false">RIGHT(M2179,LEN(M2179)-FIND(" ",M2179))</f>
        <v>TRANSYLVANIA AVE SE</v>
      </c>
      <c r="P2179" s="0" t="s">
        <v>145</v>
      </c>
      <c r="Q2179" s="0" t="s">
        <v>146</v>
      </c>
      <c r="R2179" s="0" t="n">
        <v>44484</v>
      </c>
      <c r="AD2179" s="0" t="s">
        <v>147</v>
      </c>
      <c r="AE2179" s="0" t="s">
        <v>148</v>
      </c>
      <c r="AF2179" s="0" t="s">
        <v>149</v>
      </c>
      <c r="AH2179" s="0" t="n">
        <v>14</v>
      </c>
      <c r="AI2179" s="0" t="n">
        <v>11</v>
      </c>
      <c r="AN2179" s="0" t="s">
        <v>145</v>
      </c>
      <c r="AO2179" s="0" t="s">
        <v>233</v>
      </c>
      <c r="AP2179" s="0" t="s">
        <v>234</v>
      </c>
      <c r="AQ2179" s="0" t="n">
        <v>9</v>
      </c>
      <c r="AR2179" s="0" t="n">
        <v>64</v>
      </c>
      <c r="AS2179" s="0" t="n">
        <v>32</v>
      </c>
      <c r="AU2179" s="0" t="n">
        <f aca="false">COUNTA($BA$2102:$EH$2102)</f>
        <v>16</v>
      </c>
      <c r="AV2179" s="0" t="n">
        <f aca="false">COUNTIF($BA$2102:$EH$2102,"D")</f>
        <v>0</v>
      </c>
      <c r="AW2179" s="0" t="n">
        <f aca="false">COUNTIF($BA$2102:$EH$2102,"R")</f>
        <v>1</v>
      </c>
      <c r="AX2179" s="0" t="n">
        <f aca="false">IF(BN2179="D",1,0)+IF(BO2179="D",1,0)+IF(BT2179="D",1,0)+IF(BU2179="D",1,0)+IF(BW2179="D",1,0)+IF(CC2179="D",1,0)+IF(CD2179="D",1,0)+IF(CE2179="D",1,0)+IF(CF2179="D",1,0)+IF(CL2179="D",1,0)+IF(CM2179="D",1,0)+IF(CQ2179="D",1,0)+IF(CR2179="D",1,0)+IF(CS2179="D",1,0)+IF(CW2179="D",1,0)+IF(CX2179="D",1,0)+IF(DD2179="D",1,0)+IF(DE2179="D",1,0)+IF(DJ2179="D",1,0)+IF(DK2179="D",1,0)+IF(DO2179="D",1,0)+IF(DP2179="D",1,0)+IF(DQ2179="D",1,0)+IF(DW2179="D",1,0)+IF(DZ2179="D",1,0)+IF(EH2179="D",1,0)</f>
        <v>0</v>
      </c>
      <c r="AY2179" s="0" t="n">
        <f aca="false">COUNTIF(DU2179:EH2179, "&lt;&gt;")</f>
        <v>0</v>
      </c>
      <c r="AZ2179" s="0" t="n">
        <f aca="false">IF(EH2179&lt;&gt;"",1,0)</f>
        <v>0</v>
      </c>
      <c r="BB2179" s="0" t="s">
        <v>152</v>
      </c>
      <c r="DC2179" s="0" t="s">
        <v>153</v>
      </c>
    </row>
    <row r="2180" customFormat="false" ht="13.8" hidden="true" customHeight="false" outlineLevel="0" collapsed="false">
      <c r="A2180" s="0" t="s">
        <v>9545</v>
      </c>
      <c r="B2180" s="0" t="n">
        <v>78</v>
      </c>
      <c r="C2180" s="0" t="n">
        <v>381437</v>
      </c>
      <c r="D2180" s="0" t="s">
        <v>1041</v>
      </c>
      <c r="E2180" s="0" t="s">
        <v>9546</v>
      </c>
      <c r="F2180" s="0" t="str">
        <f aca="false">CONCATENATE(D2180," ",LEFT(H2180,4),"T=",AU2180,"D=",AV2180,"R=",AW2180,"M=",AX2180,"L=",AY2180,"B=",AZ2180)</f>
        <v>JONES T=2D=0R=0M=0L=0B=0</v>
      </c>
      <c r="G2180" s="0" t="s">
        <v>195</v>
      </c>
      <c r="I2180" s="0" t="s">
        <v>9547</v>
      </c>
      <c r="J2180" s="0" t="s">
        <v>9548</v>
      </c>
      <c r="K2180" s="0" t="s">
        <v>143</v>
      </c>
      <c r="M2180" s="0" t="s">
        <v>9544</v>
      </c>
      <c r="N2180" s="0" t="str">
        <f aca="false">RIGHT(M2180,LEN(M2180)-FIND(" ",M2180))</f>
        <v>TRANSYLVANIA AVE SE</v>
      </c>
      <c r="P2180" s="0" t="s">
        <v>145</v>
      </c>
      <c r="Q2180" s="0" t="s">
        <v>146</v>
      </c>
      <c r="R2180" s="0" t="n">
        <v>44484</v>
      </c>
      <c r="AD2180" s="0" t="s">
        <v>147</v>
      </c>
      <c r="AE2180" s="0" t="s">
        <v>148</v>
      </c>
      <c r="AF2180" s="0" t="s">
        <v>149</v>
      </c>
      <c r="AH2180" s="0" t="n">
        <v>14</v>
      </c>
      <c r="AI2180" s="0" t="n">
        <v>11</v>
      </c>
      <c r="AN2180" s="0" t="s">
        <v>145</v>
      </c>
      <c r="AO2180" s="0" t="s">
        <v>233</v>
      </c>
      <c r="AP2180" s="0" t="s">
        <v>234</v>
      </c>
      <c r="AQ2180" s="0" t="n">
        <v>9</v>
      </c>
      <c r="AR2180" s="0" t="n">
        <v>64</v>
      </c>
      <c r="AS2180" s="0" t="n">
        <v>32</v>
      </c>
      <c r="AU2180" s="0" t="n">
        <f aca="false">COUNTA($BA$2563:$EH$2563)</f>
        <v>2</v>
      </c>
      <c r="AV2180" s="0" t="n">
        <f aca="false">COUNTIF($BA$2563:$EH$2563,"D")</f>
        <v>0</v>
      </c>
      <c r="AW2180" s="0" t="n">
        <f aca="false">COUNTIF($BA$2563:$EH$2563,"R")</f>
        <v>0</v>
      </c>
      <c r="AX2180" s="0" t="n">
        <f aca="false">IF(BN2180="D",1,0)+IF(BO2180="D",1,0)+IF(BT2180="D",1,0)+IF(BU2180="D",1,0)+IF(BW2180="D",1,0)+IF(CC2180="D",1,0)+IF(CD2180="D",1,0)+IF(CE2180="D",1,0)+IF(CF2180="D",1,0)+IF(CL2180="D",1,0)+IF(CM2180="D",1,0)+IF(CQ2180="D",1,0)+IF(CR2180="D",1,0)+IF(CS2180="D",1,0)+IF(CW2180="D",1,0)+IF(CX2180="D",1,0)+IF(DD2180="D",1,0)+IF(DE2180="D",1,0)+IF(DJ2180="D",1,0)+IF(DK2180="D",1,0)+IF(DO2180="D",1,0)+IF(DP2180="D",1,0)+IF(DQ2180="D",1,0)+IF(DW2180="D",1,0)+IF(DZ2180="D",1,0)+IF(EH2180="D",1,0)</f>
        <v>0</v>
      </c>
      <c r="AY2180" s="0" t="n">
        <f aca="false">COUNTIF(DU2180:EH2180, "&lt;&gt;")</f>
        <v>0</v>
      </c>
      <c r="AZ2180" s="0" t="n">
        <f aca="false">IF(EH2180&lt;&gt;"",1,0)</f>
        <v>0</v>
      </c>
      <c r="BB2180" s="0" t="s">
        <v>152</v>
      </c>
    </row>
    <row r="2181" customFormat="false" ht="13.8" hidden="true" customHeight="false" outlineLevel="0" collapsed="false">
      <c r="A2181" s="0" t="s">
        <v>9549</v>
      </c>
      <c r="B2181" s="0" t="n">
        <v>78</v>
      </c>
      <c r="C2181" s="0" t="n">
        <v>334630</v>
      </c>
      <c r="D2181" s="0" t="s">
        <v>5560</v>
      </c>
      <c r="E2181" s="0" t="s">
        <v>663</v>
      </c>
      <c r="F2181" s="0" t="str">
        <f aca="false">CONCATENATE(D2181," ",LEFT(H2181,4),"T=",AU2181,"D=",AV2181,"R=",AW2181,"M=",AX2181,"L=",AY2181,"B=",AZ2181)</f>
        <v>FOSTER T=13D=2R=0M=0L=0B=0</v>
      </c>
      <c r="G2181" s="0" t="s">
        <v>190</v>
      </c>
      <c r="I2181" s="0" t="s">
        <v>9550</v>
      </c>
      <c r="J2181" s="0" t="s">
        <v>6452</v>
      </c>
      <c r="K2181" s="0" t="s">
        <v>143</v>
      </c>
      <c r="M2181" s="0" t="s">
        <v>9551</v>
      </c>
      <c r="N2181" s="0" t="str">
        <f aca="false">RIGHT(M2181,LEN(M2181)-FIND(" ",M2181))</f>
        <v>TRANSYLVANIA AVE SE</v>
      </c>
      <c r="P2181" s="0" t="s">
        <v>145</v>
      </c>
      <c r="Q2181" s="0" t="s">
        <v>146</v>
      </c>
      <c r="R2181" s="0" t="n">
        <v>44484</v>
      </c>
      <c r="AD2181" s="0" t="s">
        <v>147</v>
      </c>
      <c r="AE2181" s="0" t="s">
        <v>148</v>
      </c>
      <c r="AF2181" s="0" t="s">
        <v>149</v>
      </c>
      <c r="AH2181" s="0" t="n">
        <v>14</v>
      </c>
      <c r="AI2181" s="0" t="n">
        <v>11</v>
      </c>
      <c r="AN2181" s="0" t="s">
        <v>145</v>
      </c>
      <c r="AO2181" s="0" t="s">
        <v>233</v>
      </c>
      <c r="AP2181" s="0" t="s">
        <v>234</v>
      </c>
      <c r="AQ2181" s="0" t="n">
        <v>9</v>
      </c>
      <c r="AR2181" s="0" t="n">
        <v>64</v>
      </c>
      <c r="AS2181" s="0" t="n">
        <v>32</v>
      </c>
      <c r="AU2181" s="0" t="n">
        <f aca="false">COUNTA($BA$2609:$EH$2609)</f>
        <v>13</v>
      </c>
      <c r="AV2181" s="0" t="n">
        <f aca="false">COUNTIF($BA$2609:$EH$2609,"D")</f>
        <v>2</v>
      </c>
      <c r="AW2181" s="0" t="n">
        <f aca="false">COUNTIF($BA$2609:$EH$2609,"R")</f>
        <v>0</v>
      </c>
      <c r="AX2181" s="0" t="n">
        <f aca="false">IF(BN2181="D",1,0)+IF(BO2181="D",1,0)+IF(BT2181="D",1,0)+IF(BU2181="D",1,0)+IF(BW2181="D",1,0)+IF(CC2181="D",1,0)+IF(CD2181="D",1,0)+IF(CE2181="D",1,0)+IF(CF2181="D",1,0)+IF(CL2181="D",1,0)+IF(CM2181="D",1,0)+IF(CQ2181="D",1,0)+IF(CR2181="D",1,0)+IF(CS2181="D",1,0)+IF(CW2181="D",1,0)+IF(CX2181="D",1,0)+IF(DD2181="D",1,0)+IF(DE2181="D",1,0)+IF(DJ2181="D",1,0)+IF(DK2181="D",1,0)+IF(DO2181="D",1,0)+IF(DP2181="D",1,0)+IF(DQ2181="D",1,0)+IF(DW2181="D",1,0)+IF(DZ2181="D",1,0)+IF(EH2181="D",1,0)</f>
        <v>0</v>
      </c>
      <c r="AY2181" s="0" t="n">
        <f aca="false">COUNTIF(DU2181:EH2181, "&lt;&gt;")</f>
        <v>0</v>
      </c>
      <c r="AZ2181" s="0" t="n">
        <f aca="false">IF(EH2181&lt;&gt;"",1,0)</f>
        <v>0</v>
      </c>
      <c r="BB2181" s="0" t="s">
        <v>152</v>
      </c>
      <c r="BL2181" s="0" t="s">
        <v>153</v>
      </c>
      <c r="CA2181" s="0" t="s">
        <v>153</v>
      </c>
    </row>
    <row r="2182" customFormat="false" ht="13.8" hidden="true" customHeight="false" outlineLevel="0" collapsed="false">
      <c r="A2182" s="0" t="s">
        <v>9552</v>
      </c>
      <c r="B2182" s="0" t="n">
        <v>78</v>
      </c>
      <c r="C2182" s="0" t="n">
        <v>356869</v>
      </c>
      <c r="D2182" s="0" t="s">
        <v>2437</v>
      </c>
      <c r="E2182" s="0" t="s">
        <v>9553</v>
      </c>
      <c r="F2182" s="0" t="str">
        <f aca="false">CONCATENATE(D2182," ",LEFT(H2182,4),"T=",AU2182,"D=",AV2182,"R=",AW2182,"M=",AX2182,"L=",AY2182,"B=",AZ2182)</f>
        <v>TILLMAN T=9D=0R=0M=0L=1B=0</v>
      </c>
      <c r="G2182" s="0" t="s">
        <v>9554</v>
      </c>
      <c r="I2182" s="0" t="s">
        <v>9555</v>
      </c>
      <c r="J2182" s="0" t="s">
        <v>688</v>
      </c>
      <c r="K2182" s="0" t="s">
        <v>160</v>
      </c>
      <c r="M2182" s="0" t="s">
        <v>9556</v>
      </c>
      <c r="N2182" s="0" t="str">
        <f aca="false">RIGHT(M2182,LEN(M2182)-FIND(" ",M2182))</f>
        <v>TRANSYLVANIA AVE SE</v>
      </c>
      <c r="P2182" s="0" t="s">
        <v>145</v>
      </c>
      <c r="Q2182" s="0" t="s">
        <v>146</v>
      </c>
      <c r="R2182" s="0" t="n">
        <v>44484</v>
      </c>
      <c r="AD2182" s="0" t="s">
        <v>147</v>
      </c>
      <c r="AE2182" s="0" t="s">
        <v>148</v>
      </c>
      <c r="AF2182" s="0" t="s">
        <v>149</v>
      </c>
      <c r="AH2182" s="0" t="n">
        <v>14</v>
      </c>
      <c r="AI2182" s="0" t="n">
        <v>11</v>
      </c>
      <c r="AN2182" s="0" t="s">
        <v>145</v>
      </c>
      <c r="AO2182" s="0" t="s">
        <v>233</v>
      </c>
      <c r="AP2182" s="0" t="s">
        <v>234</v>
      </c>
      <c r="AQ2182" s="0" t="n">
        <v>9</v>
      </c>
      <c r="AR2182" s="0" t="n">
        <v>64</v>
      </c>
      <c r="AS2182" s="0" t="n">
        <v>32</v>
      </c>
      <c r="AU2182" s="0" t="n">
        <f aca="false">COUNTA($BA$2632:$EH$2632)</f>
        <v>9</v>
      </c>
      <c r="AV2182" s="0" t="n">
        <f aca="false">COUNTIF($BA$2632:$EH$2632,"D")</f>
        <v>0</v>
      </c>
      <c r="AW2182" s="0" t="n">
        <f aca="false">COUNTIF($BA$2632:$EH$2632,"R")</f>
        <v>0</v>
      </c>
      <c r="AX2182" s="0" t="n">
        <f aca="false">IF(BN2182="D",1,0)+IF(BO2182="D",1,0)+IF(BT2182="D",1,0)+IF(BU2182="D",1,0)+IF(BW2182="D",1,0)+IF(CC2182="D",1,0)+IF(CD2182="D",1,0)+IF(CE2182="D",1,0)+IF(CF2182="D",1,0)+IF(CL2182="D",1,0)+IF(CM2182="D",1,0)+IF(CQ2182="D",1,0)+IF(CR2182="D",1,0)+IF(CS2182="D",1,0)+IF(CW2182="D",1,0)+IF(CX2182="D",1,0)+IF(DD2182="D",1,0)+IF(DE2182="D",1,0)+IF(DJ2182="D",1,0)+IF(DK2182="D",1,0)+IF(DO2182="D",1,0)+IF(DP2182="D",1,0)+IF(DQ2182="D",1,0)+IF(DW2182="D",1,0)+IF(DZ2182="D",1,0)+IF(EH2182="D",1,0)</f>
        <v>0</v>
      </c>
      <c r="AY2182" s="0" t="n">
        <f aca="false">COUNTIF(DU2182:EH2182, "&lt;&gt;")</f>
        <v>1</v>
      </c>
      <c r="AZ2182" s="0" t="n">
        <f aca="false">IF(EH2182&lt;&gt;"",1,0)</f>
        <v>0</v>
      </c>
      <c r="BB2182" s="0" t="s">
        <v>152</v>
      </c>
      <c r="CA2182" s="0" t="s">
        <v>153</v>
      </c>
      <c r="CP2182" s="0" t="s">
        <v>153</v>
      </c>
      <c r="DC2182" s="0" t="s">
        <v>153</v>
      </c>
      <c r="DN2182" s="0" t="s">
        <v>153</v>
      </c>
      <c r="EF2182" s="0" t="s">
        <v>153</v>
      </c>
    </row>
    <row r="2183" customFormat="false" ht="13.8" hidden="true" customHeight="false" outlineLevel="0" collapsed="false">
      <c r="A2183" s="0" t="s">
        <v>9557</v>
      </c>
      <c r="B2183" s="0" t="n">
        <v>78</v>
      </c>
      <c r="C2183" s="0" t="n">
        <v>488870</v>
      </c>
      <c r="D2183" s="0" t="s">
        <v>9558</v>
      </c>
      <c r="E2183" s="0" t="s">
        <v>140</v>
      </c>
      <c r="F2183" s="0" t="str">
        <f aca="false">CONCATENATE(D2183," ",LEFT(H2183,4),"T=",AU2183,"D=",AV2183,"R=",AW2183,"M=",AX2183,"L=",AY2183,"B=",AZ2183)</f>
        <v>DUNCAN T=1D=0R=0M=0L=0B=0</v>
      </c>
      <c r="G2183" s="0" t="s">
        <v>442</v>
      </c>
      <c r="I2183" s="0" t="s">
        <v>9559</v>
      </c>
      <c r="J2183" s="0" t="s">
        <v>455</v>
      </c>
      <c r="K2183" s="0" t="s">
        <v>160</v>
      </c>
      <c r="M2183" s="0" t="s">
        <v>9560</v>
      </c>
      <c r="N2183" s="0" t="str">
        <f aca="false">RIGHT(M2183,LEN(M2183)-FIND(" ",M2183))</f>
        <v>TRANSYLVANIA AVE SE</v>
      </c>
      <c r="P2183" s="0" t="s">
        <v>145</v>
      </c>
      <c r="Q2183" s="0" t="s">
        <v>146</v>
      </c>
      <c r="R2183" s="0" t="n">
        <v>44484</v>
      </c>
      <c r="AD2183" s="0" t="s">
        <v>147</v>
      </c>
      <c r="AE2183" s="0" t="s">
        <v>148</v>
      </c>
      <c r="AF2183" s="0" t="s">
        <v>149</v>
      </c>
      <c r="AH2183" s="0" t="n">
        <v>14</v>
      </c>
      <c r="AI2183" s="0" t="n">
        <v>11</v>
      </c>
      <c r="AN2183" s="0" t="s">
        <v>145</v>
      </c>
      <c r="AO2183" s="0" t="s">
        <v>233</v>
      </c>
      <c r="AP2183" s="0" t="s">
        <v>234</v>
      </c>
      <c r="AQ2183" s="0" t="n">
        <v>9</v>
      </c>
      <c r="AR2183" s="0" t="n">
        <v>64</v>
      </c>
      <c r="AS2183" s="0" t="n">
        <v>32</v>
      </c>
      <c r="AU2183" s="0" t="n">
        <f aca="false">COUNTA($BA$2599:$EH$2599)</f>
        <v>1</v>
      </c>
      <c r="AV2183" s="0" t="n">
        <f aca="false">COUNTIF($BA$2599:$EH$2599,"D")</f>
        <v>0</v>
      </c>
      <c r="AW2183" s="0" t="n">
        <f aca="false">COUNTIF($BA$2599:$EH$2599,"R")</f>
        <v>0</v>
      </c>
      <c r="AX2183" s="0" t="n">
        <f aca="false">IF(BN2183="D",1,0)+IF(BO2183="D",1,0)+IF(BT2183="D",1,0)+IF(BU2183="D",1,0)+IF(BW2183="D",1,0)+IF(CC2183="D",1,0)+IF(CD2183="D",1,0)+IF(CE2183="D",1,0)+IF(CF2183="D",1,0)+IF(CL2183="D",1,0)+IF(CM2183="D",1,0)+IF(CQ2183="D",1,0)+IF(CR2183="D",1,0)+IF(CS2183="D",1,0)+IF(CW2183="D",1,0)+IF(CX2183="D",1,0)+IF(DD2183="D",1,0)+IF(DE2183="D",1,0)+IF(DJ2183="D",1,0)+IF(DK2183="D",1,0)+IF(DO2183="D",1,0)+IF(DP2183="D",1,0)+IF(DQ2183="D",1,0)+IF(DW2183="D",1,0)+IF(DZ2183="D",1,0)+IF(EH2183="D",1,0)</f>
        <v>0</v>
      </c>
      <c r="AY2183" s="0" t="n">
        <f aca="false">COUNTIF(DU2183:EH2183, "&lt;&gt;")</f>
        <v>0</v>
      </c>
      <c r="AZ2183" s="0" t="n">
        <f aca="false">IF(EH2183&lt;&gt;"",1,0)</f>
        <v>0</v>
      </c>
      <c r="BB2183" s="0" t="s">
        <v>152</v>
      </c>
    </row>
    <row r="2184" customFormat="false" ht="13.8" hidden="true" customHeight="false" outlineLevel="0" collapsed="false">
      <c r="A2184" s="0" t="s">
        <v>9561</v>
      </c>
      <c r="B2184" s="0" t="n">
        <v>78</v>
      </c>
      <c r="C2184" s="0" t="n">
        <v>451555</v>
      </c>
      <c r="D2184" s="0" t="s">
        <v>9558</v>
      </c>
      <c r="E2184" s="0" t="s">
        <v>9348</v>
      </c>
      <c r="F2184" s="0" t="str">
        <f aca="false">CONCATENATE(D2184," ",LEFT(H2184,4),"T=",AU2184,"D=",AV2184,"R=",AW2184,"M=",AX2184,"L=",AY2184,"B=",AZ2184)</f>
        <v>DUNCAN T=6D=0R=0M=0L=1B=0</v>
      </c>
      <c r="G2184" s="0" t="s">
        <v>202</v>
      </c>
      <c r="I2184" s="0" t="s">
        <v>9562</v>
      </c>
      <c r="J2184" s="0" t="s">
        <v>2204</v>
      </c>
      <c r="K2184" s="0" t="s">
        <v>160</v>
      </c>
      <c r="M2184" s="0" t="s">
        <v>9560</v>
      </c>
      <c r="N2184" s="0" t="str">
        <f aca="false">RIGHT(M2184,LEN(M2184)-FIND(" ",M2184))</f>
        <v>TRANSYLVANIA AVE SE</v>
      </c>
      <c r="P2184" s="0" t="s">
        <v>145</v>
      </c>
      <c r="Q2184" s="0" t="s">
        <v>146</v>
      </c>
      <c r="R2184" s="0" t="n">
        <v>44484</v>
      </c>
      <c r="AD2184" s="0" t="s">
        <v>147</v>
      </c>
      <c r="AE2184" s="0" t="s">
        <v>148</v>
      </c>
      <c r="AF2184" s="0" t="s">
        <v>149</v>
      </c>
      <c r="AH2184" s="0" t="n">
        <v>14</v>
      </c>
      <c r="AI2184" s="0" t="n">
        <v>11</v>
      </c>
      <c r="AN2184" s="0" t="s">
        <v>145</v>
      </c>
      <c r="AO2184" s="0" t="s">
        <v>233</v>
      </c>
      <c r="AP2184" s="0" t="s">
        <v>234</v>
      </c>
      <c r="AQ2184" s="0" t="n">
        <v>9</v>
      </c>
      <c r="AR2184" s="0" t="n">
        <v>64</v>
      </c>
      <c r="AS2184" s="0" t="n">
        <v>32</v>
      </c>
      <c r="AU2184" s="0" t="n">
        <f aca="false">COUNTA($BA$2630:$EH$2630)</f>
        <v>6</v>
      </c>
      <c r="AV2184" s="0" t="n">
        <f aca="false">COUNTIF($BA$2630:$EH$2630,"D")</f>
        <v>0</v>
      </c>
      <c r="AW2184" s="0" t="n">
        <f aca="false">COUNTIF($BA$2630:$EH$2630,"R")</f>
        <v>0</v>
      </c>
      <c r="AX2184" s="0" t="n">
        <f aca="false">IF(BN2184="D",1,0)+IF(BO2184="D",1,0)+IF(BT2184="D",1,0)+IF(BU2184="D",1,0)+IF(BW2184="D",1,0)+IF(CC2184="D",1,0)+IF(CD2184="D",1,0)+IF(CE2184="D",1,0)+IF(CF2184="D",1,0)+IF(CL2184="D",1,0)+IF(CM2184="D",1,0)+IF(CQ2184="D",1,0)+IF(CR2184="D",1,0)+IF(CS2184="D",1,0)+IF(CW2184="D",1,0)+IF(CX2184="D",1,0)+IF(DD2184="D",1,0)+IF(DE2184="D",1,0)+IF(DJ2184="D",1,0)+IF(DK2184="D",1,0)+IF(DO2184="D",1,0)+IF(DP2184="D",1,0)+IF(DQ2184="D",1,0)+IF(DW2184="D",1,0)+IF(DZ2184="D",1,0)+IF(EH2184="D",1,0)</f>
        <v>0</v>
      </c>
      <c r="AY2184" s="0" t="n">
        <f aca="false">COUNTIF(DU2184:EH2184, "&lt;&gt;")</f>
        <v>1</v>
      </c>
      <c r="AZ2184" s="0" t="n">
        <f aca="false">IF(EH2184&lt;&gt;"",1,0)</f>
        <v>0</v>
      </c>
      <c r="BB2184" s="0" t="s">
        <v>152</v>
      </c>
      <c r="BL2184" s="0" t="s">
        <v>153</v>
      </c>
      <c r="EF2184" s="0" t="s">
        <v>153</v>
      </c>
    </row>
    <row r="2185" customFormat="false" ht="13.8" hidden="true" customHeight="false" outlineLevel="0" collapsed="false">
      <c r="A2185" s="0" t="s">
        <v>9563</v>
      </c>
      <c r="B2185" s="0" t="n">
        <v>78</v>
      </c>
      <c r="C2185" s="0" t="n">
        <v>451314</v>
      </c>
      <c r="D2185" s="0" t="s">
        <v>9564</v>
      </c>
      <c r="E2185" s="0" t="s">
        <v>9565</v>
      </c>
      <c r="F2185" s="0" t="str">
        <f aca="false">CONCATENATE(D2185," ",LEFT(H2185,4),"T=",AU2185,"D=",AV2185,"R=",AW2185,"M=",AX2185,"L=",AY2185,"B=",AZ2185)</f>
        <v>BLACKMON T=1D=0R=0M=0L=0B=0</v>
      </c>
      <c r="G2185" s="0" t="s">
        <v>195</v>
      </c>
      <c r="I2185" s="0" t="s">
        <v>8271</v>
      </c>
      <c r="J2185" s="0" t="s">
        <v>782</v>
      </c>
      <c r="K2185" s="0" t="s">
        <v>160</v>
      </c>
      <c r="M2185" s="0" t="s">
        <v>9566</v>
      </c>
      <c r="N2185" s="0" t="str">
        <f aca="false">RIGHT(M2185,LEN(M2185)-FIND(" ",M2185))</f>
        <v>TRANSYLVANIA AVE SE</v>
      </c>
      <c r="P2185" s="0" t="s">
        <v>145</v>
      </c>
      <c r="Q2185" s="0" t="s">
        <v>146</v>
      </c>
      <c r="R2185" s="0" t="n">
        <v>44484</v>
      </c>
      <c r="AD2185" s="0" t="s">
        <v>147</v>
      </c>
      <c r="AE2185" s="0" t="s">
        <v>148</v>
      </c>
      <c r="AF2185" s="0" t="s">
        <v>149</v>
      </c>
      <c r="AH2185" s="0" t="n">
        <v>14</v>
      </c>
      <c r="AI2185" s="0" t="n">
        <v>11</v>
      </c>
      <c r="AN2185" s="0" t="s">
        <v>145</v>
      </c>
      <c r="AO2185" s="0" t="s">
        <v>233</v>
      </c>
      <c r="AP2185" s="0" t="s">
        <v>234</v>
      </c>
      <c r="AQ2185" s="0" t="n">
        <v>9</v>
      </c>
      <c r="AR2185" s="0" t="n">
        <v>64</v>
      </c>
      <c r="AS2185" s="0" t="n">
        <v>32</v>
      </c>
      <c r="AU2185" s="0" t="n">
        <f aca="false">COUNTA($BA$2358:$EH$2358)</f>
        <v>1</v>
      </c>
      <c r="AV2185" s="0" t="n">
        <f aca="false">COUNTIF($BA$2358:$EH$2358,"D")</f>
        <v>0</v>
      </c>
      <c r="AW2185" s="0" t="n">
        <f aca="false">COUNTIF($BA$2358:$EH$2358,"R")</f>
        <v>0</v>
      </c>
      <c r="AX2185" s="0" t="n">
        <f aca="false">IF(BN2185="D",1,0)+IF(BO2185="D",1,0)+IF(BT2185="D",1,0)+IF(BU2185="D",1,0)+IF(BW2185="D",1,0)+IF(CC2185="D",1,0)+IF(CD2185="D",1,0)+IF(CE2185="D",1,0)+IF(CF2185="D",1,0)+IF(CL2185="D",1,0)+IF(CM2185="D",1,0)+IF(CQ2185="D",1,0)+IF(CR2185="D",1,0)+IF(CS2185="D",1,0)+IF(CW2185="D",1,0)+IF(CX2185="D",1,0)+IF(DD2185="D",1,0)+IF(DE2185="D",1,0)+IF(DJ2185="D",1,0)+IF(DK2185="D",1,0)+IF(DO2185="D",1,0)+IF(DP2185="D",1,0)+IF(DQ2185="D",1,0)+IF(DW2185="D",1,0)+IF(DZ2185="D",1,0)+IF(EH2185="D",1,0)</f>
        <v>0</v>
      </c>
      <c r="AY2185" s="0" t="n">
        <f aca="false">COUNTIF(DU2185:EH2185, "&lt;&gt;")</f>
        <v>0</v>
      </c>
      <c r="AZ2185" s="0" t="n">
        <f aca="false">IF(EH2185&lt;&gt;"",1,0)</f>
        <v>0</v>
      </c>
      <c r="BB2185" s="0" t="s">
        <v>152</v>
      </c>
      <c r="DN2185" s="0" t="s">
        <v>153</v>
      </c>
    </row>
    <row r="2186" customFormat="false" ht="13.8" hidden="true" customHeight="false" outlineLevel="0" collapsed="false">
      <c r="A2186" s="0" t="s">
        <v>9567</v>
      </c>
      <c r="B2186" s="0" t="n">
        <v>78</v>
      </c>
      <c r="C2186" s="0" t="n">
        <v>342864</v>
      </c>
      <c r="D2186" s="0" t="s">
        <v>224</v>
      </c>
      <c r="E2186" s="0" t="s">
        <v>3167</v>
      </c>
      <c r="F2186" s="0" t="str">
        <f aca="false">CONCATENATE(D2186," ",LEFT(H2186,4),"T=",AU2186,"D=",AV2186,"R=",AW2186,"M=",AX2186,"L=",AY2186,"B=",AZ2186)</f>
        <v>THOMAS JRT=44D=13R=0M=0L=0B=0</v>
      </c>
      <c r="G2186" s="0" t="s">
        <v>4629</v>
      </c>
      <c r="H2186" s="0" t="s">
        <v>314</v>
      </c>
      <c r="I2186" s="0" t="s">
        <v>9568</v>
      </c>
      <c r="J2186" s="0" t="s">
        <v>9569</v>
      </c>
      <c r="K2186" s="0" t="s">
        <v>143</v>
      </c>
      <c r="M2186" s="0" t="s">
        <v>9570</v>
      </c>
      <c r="N2186" s="0" t="str">
        <f aca="false">RIGHT(M2186,LEN(M2186)-FIND(" ",M2186))</f>
        <v>TRANSYLVANIA AVE SE</v>
      </c>
      <c r="P2186" s="0" t="s">
        <v>145</v>
      </c>
      <c r="Q2186" s="0" t="s">
        <v>146</v>
      </c>
      <c r="R2186" s="0" t="n">
        <v>44484</v>
      </c>
      <c r="AD2186" s="0" t="s">
        <v>147</v>
      </c>
      <c r="AE2186" s="0" t="s">
        <v>148</v>
      </c>
      <c r="AF2186" s="0" t="s">
        <v>149</v>
      </c>
      <c r="AH2186" s="0" t="n">
        <v>14</v>
      </c>
      <c r="AI2186" s="0" t="n">
        <v>11</v>
      </c>
      <c r="AN2186" s="0" t="s">
        <v>145</v>
      </c>
      <c r="AO2186" s="0" t="s">
        <v>233</v>
      </c>
      <c r="AP2186" s="0" t="s">
        <v>234</v>
      </c>
      <c r="AQ2186" s="0" t="n">
        <v>9</v>
      </c>
      <c r="AR2186" s="0" t="n">
        <v>64</v>
      </c>
      <c r="AS2186" s="0" t="n">
        <v>32</v>
      </c>
      <c r="AU2186" s="0" t="n">
        <f aca="false">COUNTA($BA$2264:$EH$2264)</f>
        <v>44</v>
      </c>
      <c r="AV2186" s="0" t="n">
        <f aca="false">COUNTIF($BA$2264:$EH$2264,"D")</f>
        <v>13</v>
      </c>
      <c r="AW2186" s="0" t="n">
        <f aca="false">COUNTIF($BA$2264:$EH$2264,"R")</f>
        <v>0</v>
      </c>
      <c r="AX2186" s="0" t="n">
        <f aca="false">IF(BN2186="D",1,0)+IF(BO2186="D",1,0)+IF(BT2186="D",1,0)+IF(BU2186="D",1,0)+IF(BW2186="D",1,0)+IF(CC2186="D",1,0)+IF(CD2186="D",1,0)+IF(CE2186="D",1,0)+IF(CF2186="D",1,0)+IF(CL2186="D",1,0)+IF(CM2186="D",1,0)+IF(CQ2186="D",1,0)+IF(CR2186="D",1,0)+IF(CS2186="D",1,0)+IF(CW2186="D",1,0)+IF(CX2186="D",1,0)+IF(DD2186="D",1,0)+IF(DE2186="D",1,0)+IF(DJ2186="D",1,0)+IF(DK2186="D",1,0)+IF(DO2186="D",1,0)+IF(DP2186="D",1,0)+IF(DQ2186="D",1,0)+IF(DW2186="D",1,0)+IF(DZ2186="D",1,0)+IF(EH2186="D",1,0)</f>
        <v>0</v>
      </c>
      <c r="AY2186" s="0" t="n">
        <f aca="false">COUNTIF(DU2186:EH2186, "&lt;&gt;")</f>
        <v>0</v>
      </c>
      <c r="AZ2186" s="0" t="n">
        <f aca="false">IF(EH2186&lt;&gt;"",1,0)</f>
        <v>0</v>
      </c>
      <c r="BB2186" s="0" t="s">
        <v>152</v>
      </c>
      <c r="CA2186" s="0" t="s">
        <v>153</v>
      </c>
      <c r="CP2186" s="0" t="s">
        <v>153</v>
      </c>
    </row>
    <row r="2187" customFormat="false" ht="13.8" hidden="true" customHeight="false" outlineLevel="0" collapsed="false">
      <c r="A2187" s="0" t="s">
        <v>9571</v>
      </c>
      <c r="B2187" s="0" t="n">
        <v>78</v>
      </c>
      <c r="C2187" s="0" t="n">
        <v>387236</v>
      </c>
      <c r="D2187" s="0" t="s">
        <v>9572</v>
      </c>
      <c r="E2187" s="0" t="s">
        <v>9573</v>
      </c>
      <c r="F2187" s="0" t="str">
        <f aca="false">CONCATENATE(D2187," ",LEFT(H2187,4),"T=",AU2187,"D=",AV2187,"R=",AW2187,"M=",AX2187,"L=",AY2187,"B=",AZ2187)</f>
        <v>CARNAHAN T=1D=0R=0M=0L=0B=0</v>
      </c>
      <c r="G2187" s="0" t="s">
        <v>839</v>
      </c>
      <c r="I2187" s="0" t="s">
        <v>9574</v>
      </c>
      <c r="J2187" s="0" t="s">
        <v>9575</v>
      </c>
      <c r="K2187" s="0" t="s">
        <v>160</v>
      </c>
      <c r="M2187" s="0" t="s">
        <v>9576</v>
      </c>
      <c r="N2187" s="0" t="str">
        <f aca="false">RIGHT(M2187,LEN(M2187)-FIND(" ",M2187))</f>
        <v>TRANSYLVANIA AVE SE</v>
      </c>
      <c r="P2187" s="0" t="s">
        <v>145</v>
      </c>
      <c r="Q2187" s="0" t="s">
        <v>146</v>
      </c>
      <c r="R2187" s="0" t="n">
        <v>44484</v>
      </c>
      <c r="AD2187" s="0" t="s">
        <v>147</v>
      </c>
      <c r="AE2187" s="0" t="s">
        <v>148</v>
      </c>
      <c r="AF2187" s="0" t="s">
        <v>149</v>
      </c>
      <c r="AH2187" s="0" t="n">
        <v>14</v>
      </c>
      <c r="AI2187" s="0" t="n">
        <v>11</v>
      </c>
      <c r="AN2187" s="0" t="s">
        <v>145</v>
      </c>
      <c r="AO2187" s="0" t="s">
        <v>233</v>
      </c>
      <c r="AP2187" s="0" t="s">
        <v>234</v>
      </c>
      <c r="AQ2187" s="0" t="n">
        <v>9</v>
      </c>
      <c r="AR2187" s="0" t="n">
        <v>64</v>
      </c>
      <c r="AS2187" s="0" t="n">
        <v>32</v>
      </c>
      <c r="AU2187" s="0" t="n">
        <f aca="false">COUNTA($BA$2543:$EH$2543)</f>
        <v>1</v>
      </c>
      <c r="AV2187" s="0" t="n">
        <f aca="false">COUNTIF($BA$2543:$EH$2543,"D")</f>
        <v>0</v>
      </c>
      <c r="AW2187" s="0" t="n">
        <f aca="false">COUNTIF($BA$2543:$EH$2543,"R")</f>
        <v>0</v>
      </c>
      <c r="AX2187" s="0" t="n">
        <f aca="false">IF(BN2187="D",1,0)+IF(BO2187="D",1,0)+IF(BT2187="D",1,0)+IF(BU2187="D",1,0)+IF(BW2187="D",1,0)+IF(CC2187="D",1,0)+IF(CD2187="D",1,0)+IF(CE2187="D",1,0)+IF(CF2187="D",1,0)+IF(CL2187="D",1,0)+IF(CM2187="D",1,0)+IF(CQ2187="D",1,0)+IF(CR2187="D",1,0)+IF(CS2187="D",1,0)+IF(CW2187="D",1,0)+IF(CX2187="D",1,0)+IF(DD2187="D",1,0)+IF(DE2187="D",1,0)+IF(DJ2187="D",1,0)+IF(DK2187="D",1,0)+IF(DO2187="D",1,0)+IF(DP2187="D",1,0)+IF(DQ2187="D",1,0)+IF(DW2187="D",1,0)+IF(DZ2187="D",1,0)+IF(EH2187="D",1,0)</f>
        <v>0</v>
      </c>
      <c r="AY2187" s="0" t="n">
        <f aca="false">COUNTIF(DU2187:EH2187, "&lt;&gt;")</f>
        <v>0</v>
      </c>
      <c r="AZ2187" s="0" t="n">
        <f aca="false">IF(EH2187&lt;&gt;"",1,0)</f>
        <v>0</v>
      </c>
      <c r="BB2187" s="0" t="s">
        <v>152</v>
      </c>
      <c r="BL2187" s="0" t="s">
        <v>153</v>
      </c>
      <c r="CP2187" s="0" t="s">
        <v>153</v>
      </c>
    </row>
    <row r="2188" customFormat="false" ht="13.8" hidden="true" customHeight="false" outlineLevel="0" collapsed="false">
      <c r="A2188" s="0" t="s">
        <v>9577</v>
      </c>
      <c r="B2188" s="0" t="n">
        <v>78</v>
      </c>
      <c r="C2188" s="0" t="n">
        <v>438527</v>
      </c>
      <c r="D2188" s="0" t="s">
        <v>2855</v>
      </c>
      <c r="E2188" s="0" t="s">
        <v>9578</v>
      </c>
      <c r="F2188" s="0" t="str">
        <f aca="false">CONCATENATE(D2188," ",LEFT(H2188,4),"T=",AU2188,"D=",AV2188,"R=",AW2188,"M=",AX2188,"L=",AY2188,"B=",AZ2188)</f>
        <v>STREETER T=1D=0R=0M=0L=0B=0</v>
      </c>
      <c r="G2188" s="0" t="s">
        <v>164</v>
      </c>
      <c r="I2188" s="0" t="s">
        <v>9579</v>
      </c>
      <c r="J2188" s="0" t="s">
        <v>4715</v>
      </c>
      <c r="K2188" s="0" t="s">
        <v>143</v>
      </c>
      <c r="M2188" s="0" t="s">
        <v>9580</v>
      </c>
      <c r="N2188" s="0" t="str">
        <f aca="false">RIGHT(M2188,LEN(M2188)-FIND(" ",M2188))</f>
        <v>TRANSYLVANIA AVE SE</v>
      </c>
      <c r="P2188" s="0" t="s">
        <v>145</v>
      </c>
      <c r="Q2188" s="0" t="s">
        <v>146</v>
      </c>
      <c r="R2188" s="0" t="n">
        <v>44484</v>
      </c>
      <c r="AD2188" s="0" t="s">
        <v>147</v>
      </c>
      <c r="AE2188" s="0" t="s">
        <v>148</v>
      </c>
      <c r="AF2188" s="0" t="s">
        <v>149</v>
      </c>
      <c r="AH2188" s="0" t="n">
        <v>14</v>
      </c>
      <c r="AI2188" s="0" t="n">
        <v>11</v>
      </c>
      <c r="AN2188" s="0" t="s">
        <v>145</v>
      </c>
      <c r="AO2188" s="0" t="s">
        <v>233</v>
      </c>
      <c r="AP2188" s="0" t="s">
        <v>234</v>
      </c>
      <c r="AQ2188" s="0" t="n">
        <v>9</v>
      </c>
      <c r="AR2188" s="0" t="n">
        <v>64</v>
      </c>
      <c r="AS2188" s="0" t="n">
        <v>32</v>
      </c>
      <c r="AU2188" s="0" t="n">
        <f aca="false">COUNTA($BA$2093:$EH$2093)</f>
        <v>1</v>
      </c>
      <c r="AV2188" s="0" t="n">
        <f aca="false">COUNTIF($BA$2093:$EH$2093,"D")</f>
        <v>0</v>
      </c>
      <c r="AW2188" s="0" t="n">
        <f aca="false">COUNTIF($BA$2093:$EH$2093,"R")</f>
        <v>0</v>
      </c>
      <c r="AX2188" s="0" t="n">
        <f aca="false">IF(BN2188="D",1,0)+IF(BO2188="D",1,0)+IF(BT2188="D",1,0)+IF(BU2188="D",1,0)+IF(BW2188="D",1,0)+IF(CC2188="D",1,0)+IF(CD2188="D",1,0)+IF(CE2188="D",1,0)+IF(CF2188="D",1,0)+IF(CL2188="D",1,0)+IF(CM2188="D",1,0)+IF(CQ2188="D",1,0)+IF(CR2188="D",1,0)+IF(CS2188="D",1,0)+IF(CW2188="D",1,0)+IF(CX2188="D",1,0)+IF(DD2188="D",1,0)+IF(DE2188="D",1,0)+IF(DJ2188="D",1,0)+IF(DK2188="D",1,0)+IF(DO2188="D",1,0)+IF(DP2188="D",1,0)+IF(DQ2188="D",1,0)+IF(DW2188="D",1,0)+IF(DZ2188="D",1,0)+IF(EH2188="D",1,0)</f>
        <v>0</v>
      </c>
      <c r="AY2188" s="0" t="n">
        <f aca="false">COUNTIF(DU2188:EH2188, "&lt;&gt;")</f>
        <v>0</v>
      </c>
      <c r="AZ2188" s="0" t="n">
        <f aca="false">IF(EH2188&lt;&gt;"",1,0)</f>
        <v>0</v>
      </c>
      <c r="BB2188" s="0" t="s">
        <v>152</v>
      </c>
    </row>
    <row r="2189" customFormat="false" ht="13.8" hidden="false" customHeight="false" outlineLevel="0" collapsed="false">
      <c r="A2189" s="0" t="s">
        <v>9581</v>
      </c>
      <c r="B2189" s="0" t="n">
        <v>78</v>
      </c>
      <c r="C2189" s="0" t="n">
        <v>289046</v>
      </c>
      <c r="D2189" s="0" t="s">
        <v>2855</v>
      </c>
      <c r="E2189" s="0" t="s">
        <v>3093</v>
      </c>
      <c r="F2189" s="0" t="str">
        <f aca="false">CONCATENATE(D2189," ",LEFT(H2189,4),"T=",AU2189,"D=",AV2189,"R=",AW2189,"M=",AX2189,"L=",AY2189,"B=",AZ2189)</f>
        <v>STREETER SRT=1D=0R=0M=1L=4B=0</v>
      </c>
      <c r="G2189" s="0" t="s">
        <v>522</v>
      </c>
      <c r="H2189" s="0" t="s">
        <v>216</v>
      </c>
      <c r="I2189" s="0" t="s">
        <v>9582</v>
      </c>
      <c r="J2189" s="0" t="s">
        <v>9583</v>
      </c>
      <c r="K2189" s="0" t="s">
        <v>160</v>
      </c>
      <c r="L2189" s="0" t="s">
        <v>175</v>
      </c>
      <c r="M2189" s="0" t="s">
        <v>9580</v>
      </c>
      <c r="N2189" s="0" t="str">
        <f aca="false">RIGHT(M2189,LEN(M2189)-FIND(" ",M2189))</f>
        <v>TRANSYLVANIA AVE SE</v>
      </c>
      <c r="P2189" s="0" t="s">
        <v>145</v>
      </c>
      <c r="Q2189" s="0" t="s">
        <v>146</v>
      </c>
      <c r="R2189" s="0" t="n">
        <v>44484</v>
      </c>
      <c r="AD2189" s="0" t="s">
        <v>147</v>
      </c>
      <c r="AE2189" s="0" t="s">
        <v>148</v>
      </c>
      <c r="AF2189" s="0" t="s">
        <v>149</v>
      </c>
      <c r="AH2189" s="0" t="n">
        <v>14</v>
      </c>
      <c r="AI2189" s="0" t="n">
        <v>11</v>
      </c>
      <c r="AN2189" s="0" t="s">
        <v>145</v>
      </c>
      <c r="AO2189" s="0" t="s">
        <v>233</v>
      </c>
      <c r="AP2189" s="0" t="s">
        <v>234</v>
      </c>
      <c r="AQ2189" s="0" t="n">
        <v>9</v>
      </c>
      <c r="AR2189" s="0" t="n">
        <v>64</v>
      </c>
      <c r="AS2189" s="0" t="n">
        <v>32</v>
      </c>
      <c r="AU2189" s="0" t="n">
        <f aca="false">COUNTA($BA$2178:$EH$2178)</f>
        <v>1</v>
      </c>
      <c r="AV2189" s="0" t="n">
        <f aca="false">COUNTIF($BA$2178:$EH$2178,"D")</f>
        <v>0</v>
      </c>
      <c r="AW2189" s="0" t="n">
        <f aca="false">COUNTIF($BA$2178:$EH$2178,"R")</f>
        <v>0</v>
      </c>
      <c r="AX2189" s="0" t="n">
        <f aca="false">IF(BN2189="D",1,0)+IF(BO2189="D",1,0)+IF(BT2189="D",1,0)+IF(BU2189="D",1,0)+IF(BW2189="D",1,0)+IF(CC2189="D",1,0)+IF(CD2189="D",1,0)+IF(CE2189="D",1,0)+IF(CF2189="D",1,0)+IF(CL2189="D",1,0)+IF(CM2189="D",1,0)+IF(CQ2189="D",1,0)+IF(CR2189="D",1,0)+IF(CS2189="D",1,0)+IF(CW2189="D",1,0)+IF(CX2189="D",1,0)+IF(DD2189="D",1,0)+IF(DE2189="D",1,0)+IF(DJ2189="D",1,0)+IF(DK2189="D",1,0)+IF(DO2189="D",1,0)+IF(DP2189="D",1,0)+IF(DQ2189="D",1,0)+IF(DW2189="D",1,0)+IF(DZ2189="D",1,0)+IF(EH2189="D",1,0)</f>
        <v>1</v>
      </c>
      <c r="AY2189" s="0" t="n">
        <f aca="false">COUNTIF(DU2189:EH2189, "&lt;&gt;")</f>
        <v>4</v>
      </c>
      <c r="AZ2189" s="0" t="n">
        <f aca="false">IF(EH2189&lt;&gt;"",1,0)</f>
        <v>0</v>
      </c>
      <c r="BB2189" s="0" t="s">
        <v>152</v>
      </c>
      <c r="BD2189" s="0" t="s">
        <v>153</v>
      </c>
      <c r="BH2189" s="0" t="s">
        <v>153</v>
      </c>
      <c r="BL2189" s="0" t="s">
        <v>153</v>
      </c>
      <c r="BS2189" s="0" t="s">
        <v>153</v>
      </c>
      <c r="BY2189" s="0" t="s">
        <v>175</v>
      </c>
      <c r="CA2189" s="0" t="s">
        <v>153</v>
      </c>
      <c r="CK2189" s="0" t="s">
        <v>153</v>
      </c>
      <c r="CN2189" s="0" t="s">
        <v>153</v>
      </c>
      <c r="CP2189" s="0" t="s">
        <v>153</v>
      </c>
      <c r="CY2189" s="0" t="s">
        <v>153</v>
      </c>
      <c r="DC2189" s="0" t="s">
        <v>153</v>
      </c>
      <c r="DI2189" s="0" t="s">
        <v>153</v>
      </c>
      <c r="DL2189" s="0" t="s">
        <v>153</v>
      </c>
      <c r="DN2189" s="0" t="s">
        <v>153</v>
      </c>
      <c r="DU2189" s="0" t="s">
        <v>153</v>
      </c>
      <c r="DW2189" s="0" t="s">
        <v>175</v>
      </c>
      <c r="EA2189" s="0" t="s">
        <v>153</v>
      </c>
      <c r="EF2189" s="0" t="s">
        <v>153</v>
      </c>
    </row>
    <row r="2190" customFormat="false" ht="13.8" hidden="false" customHeight="false" outlineLevel="0" collapsed="false">
      <c r="A2190" s="0" t="s">
        <v>9584</v>
      </c>
      <c r="B2190" s="0" t="n">
        <v>78</v>
      </c>
      <c r="C2190" s="0" t="n">
        <v>331132</v>
      </c>
      <c r="D2190" s="0" t="s">
        <v>2855</v>
      </c>
      <c r="E2190" s="0" t="s">
        <v>829</v>
      </c>
      <c r="F2190" s="0" t="str">
        <f aca="false">CONCATENATE(D2190," ",LEFT(H2190,4),"T=",AU2190,"D=",AV2190,"R=",AW2190,"M=",AX2190,"L=",AY2190,"B=",AZ2190)</f>
        <v>STREETER T=2D=0R=0M=1L=4B=0</v>
      </c>
      <c r="G2190" s="0" t="s">
        <v>195</v>
      </c>
      <c r="I2190" s="0" t="s">
        <v>9585</v>
      </c>
      <c r="J2190" s="0" t="s">
        <v>9586</v>
      </c>
      <c r="K2190" s="0" t="s">
        <v>160</v>
      </c>
      <c r="L2190" s="0" t="s">
        <v>175</v>
      </c>
      <c r="M2190" s="0" t="s">
        <v>9580</v>
      </c>
      <c r="N2190" s="0" t="str">
        <f aca="false">RIGHT(M2190,LEN(M2190)-FIND(" ",M2190))</f>
        <v>TRANSYLVANIA AVE SE</v>
      </c>
      <c r="P2190" s="0" t="s">
        <v>145</v>
      </c>
      <c r="Q2190" s="0" t="s">
        <v>146</v>
      </c>
      <c r="R2190" s="0" t="n">
        <v>44484</v>
      </c>
      <c r="AD2190" s="0" t="s">
        <v>147</v>
      </c>
      <c r="AE2190" s="0" t="s">
        <v>148</v>
      </c>
      <c r="AF2190" s="0" t="s">
        <v>149</v>
      </c>
      <c r="AH2190" s="0" t="n">
        <v>14</v>
      </c>
      <c r="AI2190" s="0" t="n">
        <v>11</v>
      </c>
      <c r="AN2190" s="0" t="s">
        <v>145</v>
      </c>
      <c r="AO2190" s="0" t="s">
        <v>233</v>
      </c>
      <c r="AP2190" s="0" t="s">
        <v>234</v>
      </c>
      <c r="AQ2190" s="0" t="n">
        <v>9</v>
      </c>
      <c r="AR2190" s="0" t="n">
        <v>64</v>
      </c>
      <c r="AS2190" s="0" t="n">
        <v>32</v>
      </c>
      <c r="AU2190" s="0" t="n">
        <f aca="false">COUNTA($BA$2179:$EH$2179)</f>
        <v>2</v>
      </c>
      <c r="AV2190" s="0" t="n">
        <f aca="false">COUNTIF($BA$2179:$EH$2179,"D")</f>
        <v>0</v>
      </c>
      <c r="AW2190" s="0" t="n">
        <f aca="false">COUNTIF($BA$2179:$EH$2179,"R")</f>
        <v>0</v>
      </c>
      <c r="AX2190" s="0" t="n">
        <f aca="false">IF(BN2190="D",1,0)+IF(BO2190="D",1,0)+IF(BT2190="D",1,0)+IF(BU2190="D",1,0)+IF(BW2190="D",1,0)+IF(CC2190="D",1,0)+IF(CD2190="D",1,0)+IF(CE2190="D",1,0)+IF(CF2190="D",1,0)+IF(CL2190="D",1,0)+IF(CM2190="D",1,0)+IF(CQ2190="D",1,0)+IF(CR2190="D",1,0)+IF(CS2190="D",1,0)+IF(CW2190="D",1,0)+IF(CX2190="D",1,0)+IF(DD2190="D",1,0)+IF(DE2190="D",1,0)+IF(DJ2190="D",1,0)+IF(DK2190="D",1,0)+IF(DO2190="D",1,0)+IF(DP2190="D",1,0)+IF(DQ2190="D",1,0)+IF(DW2190="D",1,0)+IF(DZ2190="D",1,0)+IF(EH2190="D",1,0)</f>
        <v>1</v>
      </c>
      <c r="AY2190" s="0" t="n">
        <f aca="false">COUNTIF(DU2190:EH2190, "&lt;&gt;")</f>
        <v>4</v>
      </c>
      <c r="AZ2190" s="0" t="n">
        <f aca="false">IF(EH2190&lt;&gt;"",1,0)</f>
        <v>0</v>
      </c>
      <c r="BB2190" s="0" t="s">
        <v>152</v>
      </c>
      <c r="BL2190" s="0" t="s">
        <v>153</v>
      </c>
      <c r="BR2190" s="0" t="s">
        <v>153</v>
      </c>
      <c r="BS2190" s="0" t="s">
        <v>153</v>
      </c>
      <c r="BY2190" s="0" t="s">
        <v>175</v>
      </c>
      <c r="CA2190" s="0" t="s">
        <v>153</v>
      </c>
      <c r="CK2190" s="0" t="s">
        <v>153</v>
      </c>
      <c r="CN2190" s="0" t="s">
        <v>153</v>
      </c>
      <c r="CP2190" s="0" t="s">
        <v>153</v>
      </c>
      <c r="CY2190" s="0" t="s">
        <v>153</v>
      </c>
      <c r="DC2190" s="0" t="s">
        <v>153</v>
      </c>
      <c r="DI2190" s="0" t="s">
        <v>153</v>
      </c>
      <c r="DL2190" s="0" t="s">
        <v>153</v>
      </c>
      <c r="DN2190" s="0" t="s">
        <v>153</v>
      </c>
      <c r="DU2190" s="0" t="s">
        <v>153</v>
      </c>
      <c r="DW2190" s="0" t="s">
        <v>175</v>
      </c>
      <c r="EA2190" s="0" t="s">
        <v>153</v>
      </c>
      <c r="EF2190" s="0" t="s">
        <v>153</v>
      </c>
    </row>
    <row r="2191" customFormat="false" ht="13.8" hidden="false" customHeight="false" outlineLevel="0" collapsed="false">
      <c r="A2191" s="0" t="s">
        <v>9587</v>
      </c>
      <c r="B2191" s="0" t="n">
        <v>78</v>
      </c>
      <c r="C2191" s="0" t="n">
        <v>309299</v>
      </c>
      <c r="D2191" s="0" t="s">
        <v>1058</v>
      </c>
      <c r="E2191" s="0" t="s">
        <v>9588</v>
      </c>
      <c r="F2191" s="0" t="str">
        <f aca="false">CONCATENATE(D2191," ",LEFT(H2191,4),"T=",AU2191,"D=",AV2191,"R=",AW2191,"M=",AX2191,"L=",AY2191,"B=",AZ2191)</f>
        <v>OWENS T=1D=0R=0M=0L=3B=0</v>
      </c>
      <c r="G2191" s="0" t="s">
        <v>1128</v>
      </c>
      <c r="I2191" s="0" t="s">
        <v>9589</v>
      </c>
      <c r="J2191" s="0" t="s">
        <v>376</v>
      </c>
      <c r="K2191" s="0" t="s">
        <v>160</v>
      </c>
      <c r="M2191" s="0" t="s">
        <v>9590</v>
      </c>
      <c r="N2191" s="0" t="str">
        <f aca="false">RIGHT(M2191,LEN(M2191)-FIND(" ",M2191))</f>
        <v>TRANSYLVANIA AVE SE</v>
      </c>
      <c r="P2191" s="0" t="s">
        <v>145</v>
      </c>
      <c r="Q2191" s="0" t="s">
        <v>146</v>
      </c>
      <c r="R2191" s="0" t="n">
        <v>44484</v>
      </c>
      <c r="AD2191" s="0" t="s">
        <v>147</v>
      </c>
      <c r="AE2191" s="0" t="s">
        <v>148</v>
      </c>
      <c r="AF2191" s="0" t="s">
        <v>149</v>
      </c>
      <c r="AH2191" s="0" t="n">
        <v>14</v>
      </c>
      <c r="AI2191" s="0" t="n">
        <v>11</v>
      </c>
      <c r="AN2191" s="0" t="s">
        <v>145</v>
      </c>
      <c r="AO2191" s="0" t="s">
        <v>233</v>
      </c>
      <c r="AP2191" s="0" t="s">
        <v>234</v>
      </c>
      <c r="AQ2191" s="0" t="n">
        <v>9</v>
      </c>
      <c r="AR2191" s="0" t="n">
        <v>64</v>
      </c>
      <c r="AS2191" s="0" t="n">
        <v>32</v>
      </c>
      <c r="AU2191" s="0" t="n">
        <f aca="false">COUNTA($BA$2112:$EH$2112)</f>
        <v>1</v>
      </c>
      <c r="AV2191" s="0" t="n">
        <f aca="false">COUNTIF($BA$2112:$EH$2112,"D")</f>
        <v>0</v>
      </c>
      <c r="AW2191" s="0" t="n">
        <f aca="false">COUNTIF($BA$2112:$EH$2112,"R")</f>
        <v>0</v>
      </c>
      <c r="AX2191" s="0" t="n">
        <f aca="false">IF(BN2191="D",1,0)+IF(BO2191="D",1,0)+IF(BT2191="D",1,0)+IF(BU2191="D",1,0)+IF(BW2191="D",1,0)+IF(CC2191="D",1,0)+IF(CD2191="D",1,0)+IF(CE2191="D",1,0)+IF(CF2191="D",1,0)+IF(CL2191="D",1,0)+IF(CM2191="D",1,0)+IF(CQ2191="D",1,0)+IF(CR2191="D",1,0)+IF(CS2191="D",1,0)+IF(CW2191="D",1,0)+IF(CX2191="D",1,0)+IF(DD2191="D",1,0)+IF(DE2191="D",1,0)+IF(DJ2191="D",1,0)+IF(DK2191="D",1,0)+IF(DO2191="D",1,0)+IF(DP2191="D",1,0)+IF(DQ2191="D",1,0)+IF(DW2191="D",1,0)+IF(DZ2191="D",1,0)+IF(EH2191="D",1,0)</f>
        <v>0</v>
      </c>
      <c r="AY2191" s="0" t="n">
        <f aca="false">COUNTIF(DU2191:EH2191, "&lt;&gt;")</f>
        <v>3</v>
      </c>
      <c r="AZ2191" s="0" t="n">
        <f aca="false">IF(EH2191&lt;&gt;"",1,0)</f>
        <v>0</v>
      </c>
      <c r="BB2191" s="0" t="s">
        <v>152</v>
      </c>
      <c r="BL2191" s="0" t="s">
        <v>153</v>
      </c>
      <c r="BS2191" s="0" t="s">
        <v>153</v>
      </c>
      <c r="CA2191" s="0" t="s">
        <v>153</v>
      </c>
      <c r="CN2191" s="0" t="s">
        <v>153</v>
      </c>
      <c r="CP2191" s="0" t="s">
        <v>153</v>
      </c>
      <c r="CY2191" s="0" t="s">
        <v>153</v>
      </c>
      <c r="DC2191" s="0" t="s">
        <v>153</v>
      </c>
      <c r="DI2191" s="0" t="s">
        <v>153</v>
      </c>
      <c r="DN2191" s="0" t="s">
        <v>153</v>
      </c>
      <c r="DU2191" s="0" t="s">
        <v>153</v>
      </c>
      <c r="EA2191" s="0" t="s">
        <v>153</v>
      </c>
      <c r="EF2191" s="0" t="s">
        <v>153</v>
      </c>
    </row>
    <row r="2192" customFormat="false" ht="13.8" hidden="true" customHeight="false" outlineLevel="0" collapsed="false">
      <c r="A2192" s="0" t="s">
        <v>9591</v>
      </c>
      <c r="B2192" s="0" t="n">
        <v>78</v>
      </c>
      <c r="C2192" s="0" t="n">
        <v>375009</v>
      </c>
      <c r="D2192" s="0" t="s">
        <v>9592</v>
      </c>
      <c r="E2192" s="0" t="s">
        <v>9100</v>
      </c>
      <c r="F2192" s="0" t="str">
        <f aca="false">CONCATENATE(D2192," ",LEFT(H2192,4),"T=",AU2192,"D=",AV2192,"R=",AW2192,"M=",AX2192,"L=",AY2192,"B=",AZ2192)</f>
        <v>RIVERS T=28D=5R=3M=0L=0B=0</v>
      </c>
      <c r="G2192" s="0" t="s">
        <v>1128</v>
      </c>
      <c r="I2192" s="0" t="s">
        <v>9593</v>
      </c>
      <c r="J2192" s="0" t="s">
        <v>727</v>
      </c>
      <c r="K2192" s="0" t="s">
        <v>143</v>
      </c>
      <c r="M2192" s="0" t="s">
        <v>9590</v>
      </c>
      <c r="N2192" s="0" t="str">
        <f aca="false">RIGHT(M2192,LEN(M2192)-FIND(" ",M2192))</f>
        <v>TRANSYLVANIA AVE SE</v>
      </c>
      <c r="P2192" s="0" t="s">
        <v>145</v>
      </c>
      <c r="Q2192" s="0" t="s">
        <v>146</v>
      </c>
      <c r="R2192" s="0" t="n">
        <v>44484</v>
      </c>
      <c r="AD2192" s="0" t="s">
        <v>147</v>
      </c>
      <c r="AE2192" s="0" t="s">
        <v>148</v>
      </c>
      <c r="AF2192" s="0" t="s">
        <v>149</v>
      </c>
      <c r="AH2192" s="0" t="n">
        <v>14</v>
      </c>
      <c r="AI2192" s="0" t="n">
        <v>11</v>
      </c>
      <c r="AN2192" s="0" t="s">
        <v>145</v>
      </c>
      <c r="AO2192" s="0" t="s">
        <v>233</v>
      </c>
      <c r="AP2192" s="0" t="s">
        <v>234</v>
      </c>
      <c r="AQ2192" s="0" t="n">
        <v>9</v>
      </c>
      <c r="AR2192" s="0" t="n">
        <v>64</v>
      </c>
      <c r="AS2192" s="0" t="n">
        <v>32</v>
      </c>
      <c r="AU2192" s="0" t="n">
        <f aca="false">COUNTA($BA$2397:$EH$2397)</f>
        <v>28</v>
      </c>
      <c r="AV2192" s="0" t="n">
        <f aca="false">COUNTIF($BA$2397:$EH$2397,"D")</f>
        <v>5</v>
      </c>
      <c r="AW2192" s="0" t="n">
        <f aca="false">COUNTIF($BA$2397:$EH$2397,"R")</f>
        <v>3</v>
      </c>
      <c r="AX2192" s="0" t="n">
        <f aca="false">IF(BN2192="D",1,0)+IF(BO2192="D",1,0)+IF(BT2192="D",1,0)+IF(BU2192="D",1,0)+IF(BW2192="D",1,0)+IF(CC2192="D",1,0)+IF(CD2192="D",1,0)+IF(CE2192="D",1,0)+IF(CF2192="D",1,0)+IF(CL2192="D",1,0)+IF(CM2192="D",1,0)+IF(CQ2192="D",1,0)+IF(CR2192="D",1,0)+IF(CS2192="D",1,0)+IF(CW2192="D",1,0)+IF(CX2192="D",1,0)+IF(DD2192="D",1,0)+IF(DE2192="D",1,0)+IF(DJ2192="D",1,0)+IF(DK2192="D",1,0)+IF(DO2192="D",1,0)+IF(DP2192="D",1,0)+IF(DQ2192="D",1,0)+IF(DW2192="D",1,0)+IF(DZ2192="D",1,0)+IF(EH2192="D",1,0)</f>
        <v>0</v>
      </c>
      <c r="AY2192" s="0" t="n">
        <f aca="false">COUNTIF(DU2192:EH2192, "&lt;&gt;")</f>
        <v>0</v>
      </c>
      <c r="AZ2192" s="0" t="n">
        <f aca="false">IF(EH2192&lt;&gt;"",1,0)</f>
        <v>0</v>
      </c>
      <c r="BB2192" s="0" t="s">
        <v>152</v>
      </c>
      <c r="CY2192" s="0" t="s">
        <v>153</v>
      </c>
      <c r="DC2192" s="0" t="s">
        <v>153</v>
      </c>
    </row>
    <row r="2193" customFormat="false" ht="13.8" hidden="true" customHeight="false" outlineLevel="0" collapsed="false">
      <c r="A2193" s="0" t="s">
        <v>9594</v>
      </c>
      <c r="B2193" s="0" t="n">
        <v>78</v>
      </c>
      <c r="C2193" s="0" t="n">
        <v>247117</v>
      </c>
      <c r="D2193" s="0" t="s">
        <v>4764</v>
      </c>
      <c r="E2193" s="0" t="s">
        <v>9595</v>
      </c>
      <c r="F2193" s="0" t="str">
        <f aca="false">CONCATENATE(D2193," ",LEFT(H2193,4),"T=",AU2193,"D=",AV2193,"R=",AW2193,"M=",AX2193,"L=",AY2193,"B=",AZ2193)</f>
        <v>MCCORKLE T=6D=0R=0M=0L=0B=0</v>
      </c>
      <c r="G2193" s="0" t="s">
        <v>1031</v>
      </c>
      <c r="I2193" s="0" t="s">
        <v>9596</v>
      </c>
      <c r="J2193" s="0" t="s">
        <v>9597</v>
      </c>
      <c r="K2193" s="0" t="s">
        <v>160</v>
      </c>
      <c r="M2193" s="0" t="s">
        <v>9598</v>
      </c>
      <c r="N2193" s="0" t="str">
        <f aca="false">RIGHT(M2193,LEN(M2193)-FIND(" ",M2193))</f>
        <v>TRANSYLVANIA AVE SE</v>
      </c>
      <c r="P2193" s="0" t="s">
        <v>145</v>
      </c>
      <c r="Q2193" s="0" t="s">
        <v>146</v>
      </c>
      <c r="R2193" s="0" t="n">
        <v>44484</v>
      </c>
      <c r="AD2193" s="0" t="s">
        <v>147</v>
      </c>
      <c r="AE2193" s="0" t="s">
        <v>148</v>
      </c>
      <c r="AF2193" s="0" t="s">
        <v>149</v>
      </c>
      <c r="AH2193" s="0" t="n">
        <v>14</v>
      </c>
      <c r="AI2193" s="0" t="n">
        <v>11</v>
      </c>
      <c r="AN2193" s="0" t="s">
        <v>145</v>
      </c>
      <c r="AO2193" s="0" t="s">
        <v>233</v>
      </c>
      <c r="AP2193" s="0" t="s">
        <v>234</v>
      </c>
      <c r="AQ2193" s="0" t="n">
        <v>9</v>
      </c>
      <c r="AR2193" s="0" t="n">
        <v>64</v>
      </c>
      <c r="AS2193" s="0" t="n">
        <v>32</v>
      </c>
      <c r="AU2193" s="0" t="n">
        <f aca="false">COUNTA($BA$2182:$EH$2182)</f>
        <v>6</v>
      </c>
      <c r="AV2193" s="0" t="n">
        <f aca="false">COUNTIF($BA$2182:$EH$2182,"D")</f>
        <v>0</v>
      </c>
      <c r="AW2193" s="0" t="n">
        <f aca="false">COUNTIF($BA$2182:$EH$2182,"R")</f>
        <v>0</v>
      </c>
      <c r="AX2193" s="0" t="n">
        <f aca="false">IF(BN2193="D",1,0)+IF(BO2193="D",1,0)+IF(BT2193="D",1,0)+IF(BU2193="D",1,0)+IF(BW2193="D",1,0)+IF(CC2193="D",1,0)+IF(CD2193="D",1,0)+IF(CE2193="D",1,0)+IF(CF2193="D",1,0)+IF(CL2193="D",1,0)+IF(CM2193="D",1,0)+IF(CQ2193="D",1,0)+IF(CR2193="D",1,0)+IF(CS2193="D",1,0)+IF(CW2193="D",1,0)+IF(CX2193="D",1,0)+IF(DD2193="D",1,0)+IF(DE2193="D",1,0)+IF(DJ2193="D",1,0)+IF(DK2193="D",1,0)+IF(DO2193="D",1,0)+IF(DP2193="D",1,0)+IF(DQ2193="D",1,0)+IF(DW2193="D",1,0)+IF(DZ2193="D",1,0)+IF(EH2193="D",1,0)</f>
        <v>0</v>
      </c>
      <c r="AY2193" s="0" t="n">
        <f aca="false">COUNTIF(DU2193:EH2193, "&lt;&gt;")</f>
        <v>0</v>
      </c>
      <c r="AZ2193" s="0" t="n">
        <f aca="false">IF(EH2193&lt;&gt;"",1,0)</f>
        <v>0</v>
      </c>
      <c r="BB2193" s="0" t="s">
        <v>152</v>
      </c>
      <c r="BD2193" s="0" t="s">
        <v>153</v>
      </c>
      <c r="BL2193" s="0" t="s">
        <v>153</v>
      </c>
      <c r="BS2193" s="0" t="s">
        <v>153</v>
      </c>
      <c r="CA2193" s="0" t="s">
        <v>153</v>
      </c>
      <c r="CP2193" s="0" t="s">
        <v>153</v>
      </c>
      <c r="CY2193" s="0" t="s">
        <v>153</v>
      </c>
      <c r="CZ2193" s="0" t="s">
        <v>175</v>
      </c>
      <c r="DC2193" s="0" t="s">
        <v>153</v>
      </c>
      <c r="DN2193" s="0" t="s">
        <v>153</v>
      </c>
    </row>
    <row r="2194" customFormat="false" ht="13.8" hidden="true" customHeight="false" outlineLevel="0" collapsed="false">
      <c r="A2194" s="0" t="s">
        <v>9599</v>
      </c>
      <c r="B2194" s="0" t="n">
        <v>78</v>
      </c>
      <c r="C2194" s="0" t="n">
        <v>357632</v>
      </c>
      <c r="D2194" s="0" t="s">
        <v>1041</v>
      </c>
      <c r="E2194" s="0" t="s">
        <v>9600</v>
      </c>
      <c r="F2194" s="0" t="str">
        <f aca="false">CONCATENATE(D2194," ",LEFT(H2194,4),"T=",AU2194,"D=",AV2194,"R=",AW2194,"M=",AX2194,"L=",AY2194,"B=",AZ2194)</f>
        <v>JONES T=1D=0R=0M=0L=0B=0</v>
      </c>
      <c r="G2194" s="0" t="s">
        <v>190</v>
      </c>
      <c r="I2194" s="0" t="s">
        <v>8062</v>
      </c>
      <c r="J2194" s="0" t="s">
        <v>9601</v>
      </c>
      <c r="K2194" s="0" t="s">
        <v>143</v>
      </c>
      <c r="M2194" s="0" t="s">
        <v>9602</v>
      </c>
      <c r="N2194" s="0" t="str">
        <f aca="false">RIGHT(M2194,LEN(M2194)-FIND(" ",M2194))</f>
        <v>TRANSYLVANIA AVE SE</v>
      </c>
      <c r="P2194" s="0" t="s">
        <v>145</v>
      </c>
      <c r="Q2194" s="0" t="s">
        <v>146</v>
      </c>
      <c r="R2194" s="0" t="n">
        <v>44484</v>
      </c>
      <c r="AD2194" s="0" t="s">
        <v>147</v>
      </c>
      <c r="AE2194" s="0" t="s">
        <v>148</v>
      </c>
      <c r="AF2194" s="0" t="s">
        <v>149</v>
      </c>
      <c r="AH2194" s="0" t="n">
        <v>14</v>
      </c>
      <c r="AI2194" s="0" t="n">
        <v>11</v>
      </c>
      <c r="AN2194" s="0" t="s">
        <v>145</v>
      </c>
      <c r="AO2194" s="0" t="s">
        <v>233</v>
      </c>
      <c r="AP2194" s="0" t="s">
        <v>234</v>
      </c>
      <c r="AQ2194" s="0" t="n">
        <v>9</v>
      </c>
      <c r="AR2194" s="0" t="n">
        <v>64</v>
      </c>
      <c r="AS2194" s="0" t="n">
        <v>32</v>
      </c>
      <c r="AU2194" s="0" t="n">
        <f aca="false">COUNTA($BA$2499:$EH$2499)</f>
        <v>1</v>
      </c>
      <c r="AV2194" s="0" t="n">
        <f aca="false">COUNTIF($BA$2499:$EH$2499,"D")</f>
        <v>0</v>
      </c>
      <c r="AW2194" s="0" t="n">
        <f aca="false">COUNTIF($BA$2499:$EH$2499,"R")</f>
        <v>0</v>
      </c>
      <c r="AX2194" s="0" t="n">
        <f aca="false">IF(BN2194="D",1,0)+IF(BO2194="D",1,0)+IF(BT2194="D",1,0)+IF(BU2194="D",1,0)+IF(BW2194="D",1,0)+IF(CC2194="D",1,0)+IF(CD2194="D",1,0)+IF(CE2194="D",1,0)+IF(CF2194="D",1,0)+IF(CL2194="D",1,0)+IF(CM2194="D",1,0)+IF(CQ2194="D",1,0)+IF(CR2194="D",1,0)+IF(CS2194="D",1,0)+IF(CW2194="D",1,0)+IF(CX2194="D",1,0)+IF(DD2194="D",1,0)+IF(DE2194="D",1,0)+IF(DJ2194="D",1,0)+IF(DK2194="D",1,0)+IF(DO2194="D",1,0)+IF(DP2194="D",1,0)+IF(DQ2194="D",1,0)+IF(DW2194="D",1,0)+IF(DZ2194="D",1,0)+IF(EH2194="D",1,0)</f>
        <v>0</v>
      </c>
      <c r="AY2194" s="0" t="n">
        <f aca="false">COUNTIF(DU2194:EH2194, "&lt;&gt;")</f>
        <v>0</v>
      </c>
      <c r="AZ2194" s="0" t="n">
        <f aca="false">IF(EH2194&lt;&gt;"",1,0)</f>
        <v>0</v>
      </c>
      <c r="BB2194" s="0" t="s">
        <v>152</v>
      </c>
      <c r="CP2194" s="0" t="s">
        <v>153</v>
      </c>
    </row>
    <row r="2195" customFormat="false" ht="13.8" hidden="true" customHeight="false" outlineLevel="0" collapsed="false">
      <c r="A2195" s="0" t="s">
        <v>9603</v>
      </c>
      <c r="B2195" s="0" t="n">
        <v>78</v>
      </c>
      <c r="C2195" s="0" t="n">
        <v>237406</v>
      </c>
      <c r="D2195" s="0" t="s">
        <v>9604</v>
      </c>
      <c r="E2195" s="0" t="s">
        <v>9605</v>
      </c>
      <c r="F2195" s="0" t="str">
        <f aca="false">CONCATENATE(D2195," ",LEFT(H2195,4),"T=",AU2195,"D=",AV2195,"R=",AW2195,"M=",AX2195,"L=",AY2195,"B=",AZ2195)</f>
        <v>EGGLESTON T=7D=0R=1M=0L=0B=0</v>
      </c>
      <c r="G2195" s="0" t="s">
        <v>325</v>
      </c>
      <c r="I2195" s="0" t="s">
        <v>7816</v>
      </c>
      <c r="J2195" s="0" t="s">
        <v>7423</v>
      </c>
      <c r="K2195" s="0" t="s">
        <v>143</v>
      </c>
      <c r="M2195" s="0" t="s">
        <v>9602</v>
      </c>
      <c r="N2195" s="0" t="str">
        <f aca="false">RIGHT(M2195,LEN(M2195)-FIND(" ",M2195))</f>
        <v>TRANSYLVANIA AVE SE</v>
      </c>
      <c r="P2195" s="0" t="s">
        <v>145</v>
      </c>
      <c r="Q2195" s="0" t="s">
        <v>146</v>
      </c>
      <c r="R2195" s="0" t="n">
        <v>44484</v>
      </c>
      <c r="AD2195" s="0" t="s">
        <v>147</v>
      </c>
      <c r="AE2195" s="0" t="s">
        <v>148</v>
      </c>
      <c r="AF2195" s="0" t="s">
        <v>149</v>
      </c>
      <c r="AH2195" s="0" t="n">
        <v>14</v>
      </c>
      <c r="AI2195" s="0" t="n">
        <v>11</v>
      </c>
      <c r="AN2195" s="0" t="s">
        <v>145</v>
      </c>
      <c r="AO2195" s="0" t="s">
        <v>233</v>
      </c>
      <c r="AP2195" s="0" t="s">
        <v>234</v>
      </c>
      <c r="AQ2195" s="0" t="n">
        <v>9</v>
      </c>
      <c r="AR2195" s="0" t="n">
        <v>64</v>
      </c>
      <c r="AS2195" s="0" t="n">
        <v>32</v>
      </c>
      <c r="AU2195" s="0" t="n">
        <f aca="false">COUNTA($BA$2571:$EH$2571)</f>
        <v>7</v>
      </c>
      <c r="AV2195" s="0" t="n">
        <f aca="false">COUNTIF($BA$2571:$EH$2571,"D")</f>
        <v>0</v>
      </c>
      <c r="AW2195" s="0" t="n">
        <f aca="false">COUNTIF($BA$2571:$EH$2571,"R")</f>
        <v>1</v>
      </c>
      <c r="AX2195" s="0" t="n">
        <f aca="false">IF(BN2195="D",1,0)+IF(BO2195="D",1,0)+IF(BT2195="D",1,0)+IF(BU2195="D",1,0)+IF(BW2195="D",1,0)+IF(CC2195="D",1,0)+IF(CD2195="D",1,0)+IF(CE2195="D",1,0)+IF(CF2195="D",1,0)+IF(CL2195="D",1,0)+IF(CM2195="D",1,0)+IF(CQ2195="D",1,0)+IF(CR2195="D",1,0)+IF(CS2195="D",1,0)+IF(CW2195="D",1,0)+IF(CX2195="D",1,0)+IF(DD2195="D",1,0)+IF(DE2195="D",1,0)+IF(DJ2195="D",1,0)+IF(DK2195="D",1,0)+IF(DO2195="D",1,0)+IF(DP2195="D",1,0)+IF(DQ2195="D",1,0)+IF(DW2195="D",1,0)+IF(DZ2195="D",1,0)+IF(EH2195="D",1,0)</f>
        <v>0</v>
      </c>
      <c r="AY2195" s="0" t="n">
        <f aca="false">COUNTIF(DU2195:EH2195, "&lt;&gt;")</f>
        <v>0</v>
      </c>
      <c r="AZ2195" s="0" t="n">
        <f aca="false">IF(EH2195&lt;&gt;"",1,0)</f>
        <v>0</v>
      </c>
      <c r="BB2195" s="0" t="s">
        <v>152</v>
      </c>
      <c r="BH2195" s="0" t="s">
        <v>153</v>
      </c>
      <c r="BL2195" s="0" t="s">
        <v>153</v>
      </c>
      <c r="CU2195" s="0" t="s">
        <v>175</v>
      </c>
      <c r="CV2195" s="0" t="s">
        <v>153</v>
      </c>
      <c r="CZ2195" s="0" t="s">
        <v>175</v>
      </c>
    </row>
    <row r="2196" customFormat="false" ht="13.8" hidden="true" customHeight="false" outlineLevel="0" collapsed="false">
      <c r="A2196" s="0" t="s">
        <v>9606</v>
      </c>
      <c r="B2196" s="0" t="n">
        <v>78</v>
      </c>
      <c r="C2196" s="0" t="n">
        <v>488563</v>
      </c>
      <c r="D2196" s="0" t="s">
        <v>3461</v>
      </c>
      <c r="E2196" s="0" t="s">
        <v>9607</v>
      </c>
      <c r="F2196" s="0" t="str">
        <f aca="false">CONCATENATE(D2196," ",LEFT(H2196,4),"T=",AU2196,"D=",AV2196,"R=",AW2196,"M=",AX2196,"L=",AY2196,"B=",AZ2196)</f>
        <v>MILLESON T=2D=0R=0M=0L=0B=0</v>
      </c>
      <c r="G2196" s="0" t="s">
        <v>1031</v>
      </c>
      <c r="I2196" s="0" t="s">
        <v>9608</v>
      </c>
      <c r="J2196" s="0" t="s">
        <v>2284</v>
      </c>
      <c r="K2196" s="0" t="s">
        <v>160</v>
      </c>
      <c r="M2196" s="0" t="s">
        <v>9609</v>
      </c>
      <c r="N2196" s="0" t="str">
        <f aca="false">RIGHT(M2196,LEN(M2196)-FIND(" ",M2196))</f>
        <v>TRANSYLVANIA AVE SE</v>
      </c>
      <c r="P2196" s="0" t="s">
        <v>145</v>
      </c>
      <c r="Q2196" s="0" t="s">
        <v>146</v>
      </c>
      <c r="R2196" s="0" t="n">
        <v>44484</v>
      </c>
      <c r="AD2196" s="0" t="s">
        <v>147</v>
      </c>
      <c r="AE2196" s="0" t="s">
        <v>148</v>
      </c>
      <c r="AF2196" s="0" t="s">
        <v>149</v>
      </c>
      <c r="AH2196" s="0" t="n">
        <v>14</v>
      </c>
      <c r="AI2196" s="0" t="n">
        <v>11</v>
      </c>
      <c r="AN2196" s="0" t="s">
        <v>145</v>
      </c>
      <c r="AO2196" s="0" t="s">
        <v>233</v>
      </c>
      <c r="AP2196" s="0" t="s">
        <v>234</v>
      </c>
      <c r="AQ2196" s="0" t="n">
        <v>9</v>
      </c>
      <c r="AR2196" s="0" t="n">
        <v>64</v>
      </c>
      <c r="AS2196" s="0" t="n">
        <v>32</v>
      </c>
      <c r="AU2196" s="0" t="n">
        <f aca="false">COUNTA($BA$2097:$EH$2097)</f>
        <v>2</v>
      </c>
      <c r="AV2196" s="0" t="n">
        <f aca="false">COUNTIF($BA$2097:$EH$2097,"D")</f>
        <v>0</v>
      </c>
      <c r="AW2196" s="0" t="n">
        <f aca="false">COUNTIF($BA$2097:$EH$2097,"R")</f>
        <v>0</v>
      </c>
      <c r="AX2196" s="0" t="n">
        <f aca="false">IF(BN2196="D",1,0)+IF(BO2196="D",1,0)+IF(BT2196="D",1,0)+IF(BU2196="D",1,0)+IF(BW2196="D",1,0)+IF(CC2196="D",1,0)+IF(CD2196="D",1,0)+IF(CE2196="D",1,0)+IF(CF2196="D",1,0)+IF(CL2196="D",1,0)+IF(CM2196="D",1,0)+IF(CQ2196="D",1,0)+IF(CR2196="D",1,0)+IF(CS2196="D",1,0)+IF(CW2196="D",1,0)+IF(CX2196="D",1,0)+IF(DD2196="D",1,0)+IF(DE2196="D",1,0)+IF(DJ2196="D",1,0)+IF(DK2196="D",1,0)+IF(DO2196="D",1,0)+IF(DP2196="D",1,0)+IF(DQ2196="D",1,0)+IF(DW2196="D",1,0)+IF(DZ2196="D",1,0)+IF(EH2196="D",1,0)</f>
        <v>0</v>
      </c>
      <c r="AY2196" s="0" t="n">
        <f aca="false">COUNTIF(DU2196:EH2196, "&lt;&gt;")</f>
        <v>0</v>
      </c>
      <c r="AZ2196" s="0" t="n">
        <f aca="false">IF(EH2196&lt;&gt;"",1,0)</f>
        <v>0</v>
      </c>
      <c r="BB2196" s="0" t="s">
        <v>152</v>
      </c>
      <c r="BF2196" s="0" t="s">
        <v>153</v>
      </c>
      <c r="BL2196" s="0" t="s">
        <v>153</v>
      </c>
      <c r="CA2196" s="0" t="s">
        <v>153</v>
      </c>
      <c r="CP2196" s="0" t="s">
        <v>153</v>
      </c>
      <c r="CZ2196" s="0" t="s">
        <v>175</v>
      </c>
      <c r="DC2196" s="0" t="s">
        <v>153</v>
      </c>
      <c r="DN2196" s="0" t="s">
        <v>153</v>
      </c>
    </row>
    <row r="2197" customFormat="false" ht="13.8" hidden="false" customHeight="false" outlineLevel="0" collapsed="false">
      <c r="A2197" s="0" t="s">
        <v>9610</v>
      </c>
      <c r="B2197" s="0" t="n">
        <v>78</v>
      </c>
      <c r="C2197" s="0" t="n">
        <v>166715</v>
      </c>
      <c r="D2197" s="0" t="s">
        <v>1058</v>
      </c>
      <c r="E2197" s="0" t="s">
        <v>910</v>
      </c>
      <c r="F2197" s="0" t="str">
        <f aca="false">CONCATENATE(D2197," ",LEFT(H2197,4),"T=",AU2197,"D=",AV2197,"R=",AW2197,"M=",AX2197,"L=",AY2197,"B=",AZ2197)</f>
        <v>OWENS T=9D=0R=3M=2L=3B=0</v>
      </c>
      <c r="G2197" s="0" t="s">
        <v>190</v>
      </c>
      <c r="I2197" s="0" t="s">
        <v>9611</v>
      </c>
      <c r="J2197" s="0" t="s">
        <v>9612</v>
      </c>
      <c r="K2197" s="0" t="s">
        <v>160</v>
      </c>
      <c r="L2197" s="0" t="s">
        <v>175</v>
      </c>
      <c r="M2197" s="0" t="s">
        <v>9613</v>
      </c>
      <c r="N2197" s="0" t="str">
        <f aca="false">RIGHT(M2197,LEN(M2197)-FIND(" ",M2197))</f>
        <v>VAN WYE ST SE</v>
      </c>
      <c r="P2197" s="0" t="s">
        <v>145</v>
      </c>
      <c r="Q2197" s="0" t="s">
        <v>146</v>
      </c>
      <c r="R2197" s="0" t="n">
        <v>44484</v>
      </c>
      <c r="AD2197" s="0" t="s">
        <v>147</v>
      </c>
      <c r="AE2197" s="0" t="s">
        <v>148</v>
      </c>
      <c r="AF2197" s="0" t="s">
        <v>149</v>
      </c>
      <c r="AH2197" s="0" t="n">
        <v>14</v>
      </c>
      <c r="AI2197" s="0" t="n">
        <v>11</v>
      </c>
      <c r="AN2197" s="0" t="s">
        <v>145</v>
      </c>
      <c r="AO2197" s="0" t="s">
        <v>233</v>
      </c>
      <c r="AP2197" s="0" t="s">
        <v>234</v>
      </c>
      <c r="AQ2197" s="0" t="n">
        <v>9</v>
      </c>
      <c r="AR2197" s="0" t="n">
        <v>64</v>
      </c>
      <c r="AS2197" s="0" t="n">
        <v>32</v>
      </c>
      <c r="AU2197" s="0" t="n">
        <f aca="false">COUNTA($BA$2395:$EH$2395)</f>
        <v>9</v>
      </c>
      <c r="AV2197" s="0" t="n">
        <f aca="false">COUNTIF($BA$2395:$EH$2395,"D")</f>
        <v>0</v>
      </c>
      <c r="AW2197" s="0" t="n">
        <f aca="false">COUNTIF($BA$2395:$EH$2395,"R")</f>
        <v>3</v>
      </c>
      <c r="AX2197" s="0" t="n">
        <f aca="false">IF(BN2197="D",1,0)+IF(BO2197="D",1,0)+IF(BT2197="D",1,0)+IF(BU2197="D",1,0)+IF(BW2197="D",1,0)+IF(CC2197="D",1,0)+IF(CD2197="D",1,0)+IF(CE2197="D",1,0)+IF(CF2197="D",1,0)+IF(CL2197="D",1,0)+IF(CM2197="D",1,0)+IF(CQ2197="D",1,0)+IF(CR2197="D",1,0)+IF(CS2197="D",1,0)+IF(CW2197="D",1,0)+IF(CX2197="D",1,0)+IF(DD2197="D",1,0)+IF(DE2197="D",1,0)+IF(DJ2197="D",1,0)+IF(DK2197="D",1,0)+IF(DO2197="D",1,0)+IF(DP2197="D",1,0)+IF(DQ2197="D",1,0)+IF(DW2197="D",1,0)+IF(DZ2197="D",1,0)+IF(EH2197="D",1,0)</f>
        <v>2</v>
      </c>
      <c r="AY2197" s="0" t="n">
        <f aca="false">COUNTIF(DU2197:EH2197, "&lt;&gt;")</f>
        <v>3</v>
      </c>
      <c r="AZ2197" s="0" t="n">
        <f aca="false">IF(EH2197&lt;&gt;"",1,0)</f>
        <v>0</v>
      </c>
      <c r="BB2197" s="0" t="s">
        <v>152</v>
      </c>
      <c r="BD2197" s="0" t="s">
        <v>153</v>
      </c>
      <c r="BH2197" s="0" t="s">
        <v>153</v>
      </c>
      <c r="BJ2197" s="0" t="s">
        <v>153</v>
      </c>
      <c r="BL2197" s="0" t="s">
        <v>153</v>
      </c>
      <c r="BS2197" s="0" t="s">
        <v>153</v>
      </c>
      <c r="BY2197" s="0" t="s">
        <v>175</v>
      </c>
      <c r="CA2197" s="0" t="s">
        <v>153</v>
      </c>
      <c r="CK2197" s="0" t="s">
        <v>153</v>
      </c>
      <c r="CL2197" s="0" t="s">
        <v>175</v>
      </c>
      <c r="CP2197" s="0" t="s">
        <v>153</v>
      </c>
      <c r="CY2197" s="0" t="s">
        <v>153</v>
      </c>
      <c r="CZ2197" s="0" t="s">
        <v>175</v>
      </c>
      <c r="DC2197" s="0" t="s">
        <v>153</v>
      </c>
      <c r="DI2197" s="0" t="s">
        <v>153</v>
      </c>
      <c r="DL2197" s="0" t="s">
        <v>153</v>
      </c>
      <c r="DN2197" s="0" t="s">
        <v>153</v>
      </c>
      <c r="DS2197" s="0" t="s">
        <v>175</v>
      </c>
      <c r="DU2197" s="0" t="s">
        <v>153</v>
      </c>
      <c r="DW2197" s="0" t="s">
        <v>175</v>
      </c>
      <c r="EF2197" s="0" t="s">
        <v>153</v>
      </c>
    </row>
    <row r="2198" customFormat="false" ht="13.8" hidden="false" customHeight="false" outlineLevel="0" collapsed="false">
      <c r="A2198" s="0" t="s">
        <v>9614</v>
      </c>
      <c r="B2198" s="0" t="n">
        <v>78</v>
      </c>
      <c r="C2198" s="0" t="n">
        <v>162095</v>
      </c>
      <c r="D2198" s="0" t="s">
        <v>6083</v>
      </c>
      <c r="E2198" s="0" t="s">
        <v>3555</v>
      </c>
      <c r="F2198" s="0" t="str">
        <f aca="false">CONCATENATE(D2198," ",LEFT(H2198,4),"T=",AU2198,"D=",AV2198,"R=",AW2198,"M=",AX2198,"L=",AY2198,"B=",AZ2198)</f>
        <v>TIPTON T=5D=0R=0M=2L=5B=0</v>
      </c>
      <c r="G2198" s="0" t="s">
        <v>268</v>
      </c>
      <c r="I2198" s="0" t="s">
        <v>9611</v>
      </c>
      <c r="J2198" s="0" t="s">
        <v>9615</v>
      </c>
      <c r="K2198" s="0" t="s">
        <v>160</v>
      </c>
      <c r="L2198" s="0" t="s">
        <v>175</v>
      </c>
      <c r="M2198" s="0" t="s">
        <v>9613</v>
      </c>
      <c r="N2198" s="0" t="str">
        <f aca="false">RIGHT(M2198,LEN(M2198)-FIND(" ",M2198))</f>
        <v>VAN WYE ST SE</v>
      </c>
      <c r="P2198" s="0" t="s">
        <v>145</v>
      </c>
      <c r="Q2198" s="0" t="s">
        <v>146</v>
      </c>
      <c r="R2198" s="0" t="n">
        <v>44484</v>
      </c>
      <c r="AD2198" s="0" t="s">
        <v>147</v>
      </c>
      <c r="AE2198" s="0" t="s">
        <v>148</v>
      </c>
      <c r="AF2198" s="0" t="s">
        <v>149</v>
      </c>
      <c r="AH2198" s="0" t="n">
        <v>14</v>
      </c>
      <c r="AI2198" s="0" t="n">
        <v>11</v>
      </c>
      <c r="AN2198" s="0" t="s">
        <v>145</v>
      </c>
      <c r="AO2198" s="0" t="s">
        <v>233</v>
      </c>
      <c r="AP2198" s="0" t="s">
        <v>234</v>
      </c>
      <c r="AQ2198" s="0" t="n">
        <v>9</v>
      </c>
      <c r="AR2198" s="0" t="n">
        <v>64</v>
      </c>
      <c r="AS2198" s="0" t="n">
        <v>32</v>
      </c>
      <c r="AU2198" s="0" t="n">
        <f aca="false">COUNTA($BA$2396:$EH$2396)</f>
        <v>5</v>
      </c>
      <c r="AV2198" s="0" t="n">
        <f aca="false">COUNTIF($BA$2396:$EH$2396,"D")</f>
        <v>0</v>
      </c>
      <c r="AW2198" s="0" t="n">
        <f aca="false">COUNTIF($BA$2396:$EH$2396,"R")</f>
        <v>0</v>
      </c>
      <c r="AX2198" s="0" t="n">
        <f aca="false">IF(BN2198="D",1,0)+IF(BO2198="D",1,0)+IF(BT2198="D",1,0)+IF(BU2198="D",1,0)+IF(BW2198="D",1,0)+IF(CC2198="D",1,0)+IF(CD2198="D",1,0)+IF(CE2198="D",1,0)+IF(CF2198="D",1,0)+IF(CL2198="D",1,0)+IF(CM2198="D",1,0)+IF(CQ2198="D",1,0)+IF(CR2198="D",1,0)+IF(CS2198="D",1,0)+IF(CW2198="D",1,0)+IF(CX2198="D",1,0)+IF(DD2198="D",1,0)+IF(DE2198="D",1,0)+IF(DJ2198="D",1,0)+IF(DK2198="D",1,0)+IF(DO2198="D",1,0)+IF(DP2198="D",1,0)+IF(DQ2198="D",1,0)+IF(DW2198="D",1,0)+IF(DZ2198="D",1,0)+IF(EH2198="D",1,0)</f>
        <v>2</v>
      </c>
      <c r="AY2198" s="0" t="n">
        <f aca="false">COUNTIF(DU2198:EH2198, "&lt;&gt;")</f>
        <v>5</v>
      </c>
      <c r="AZ2198" s="0" t="n">
        <f aca="false">IF(EH2198&lt;&gt;"",1,0)</f>
        <v>0</v>
      </c>
      <c r="BB2198" s="0" t="s">
        <v>152</v>
      </c>
      <c r="BC2198" s="0" t="s">
        <v>153</v>
      </c>
      <c r="BD2198" s="0" t="s">
        <v>153</v>
      </c>
      <c r="BF2198" s="0" t="s">
        <v>153</v>
      </c>
      <c r="BH2198" s="0" t="s">
        <v>153</v>
      </c>
      <c r="BI2198" s="0" t="s">
        <v>153</v>
      </c>
      <c r="BJ2198" s="0" t="s">
        <v>153</v>
      </c>
      <c r="BL2198" s="0" t="s">
        <v>153</v>
      </c>
      <c r="BP2198" s="0" t="s">
        <v>153</v>
      </c>
      <c r="BS2198" s="0" t="s">
        <v>153</v>
      </c>
      <c r="BY2198" s="0" t="s">
        <v>175</v>
      </c>
      <c r="CA2198" s="0" t="s">
        <v>153</v>
      </c>
      <c r="CG2198" s="0" t="s">
        <v>153</v>
      </c>
      <c r="CL2198" s="0" t="s">
        <v>175</v>
      </c>
      <c r="CN2198" s="0" t="s">
        <v>153</v>
      </c>
      <c r="CP2198" s="0" t="s">
        <v>153</v>
      </c>
      <c r="CV2198" s="0" t="s">
        <v>153</v>
      </c>
      <c r="CZ2198" s="0" t="s">
        <v>175</v>
      </c>
      <c r="DC2198" s="0" t="s">
        <v>153</v>
      </c>
      <c r="DI2198" s="0" t="s">
        <v>153</v>
      </c>
      <c r="DL2198" s="0" t="s">
        <v>153</v>
      </c>
      <c r="DN2198" s="0" t="s">
        <v>153</v>
      </c>
      <c r="DS2198" s="0" t="s">
        <v>175</v>
      </c>
      <c r="DT2198" s="0" t="s">
        <v>175</v>
      </c>
      <c r="DU2198" s="0" t="s">
        <v>153</v>
      </c>
      <c r="DW2198" s="0" t="s">
        <v>175</v>
      </c>
      <c r="DX2198" s="0" t="s">
        <v>153</v>
      </c>
      <c r="EA2198" s="0" t="s">
        <v>153</v>
      </c>
      <c r="EF2198" s="0" t="s">
        <v>153</v>
      </c>
    </row>
    <row r="2199" customFormat="false" ht="13.8" hidden="true" customHeight="false" outlineLevel="0" collapsed="false">
      <c r="A2199" s="0" t="s">
        <v>9616</v>
      </c>
      <c r="B2199" s="0" t="n">
        <v>78</v>
      </c>
      <c r="C2199" s="0" t="n">
        <v>393879</v>
      </c>
      <c r="D2199" s="0" t="s">
        <v>9617</v>
      </c>
      <c r="E2199" s="0" t="s">
        <v>7293</v>
      </c>
      <c r="F2199" s="0" t="str">
        <f aca="false">CONCATENATE(D2199," ",LEFT(H2199,4),"T=",AU2199,"D=",AV2199,"R=",AW2199,"M=",AX2199,"L=",AY2199,"B=",AZ2199)</f>
        <v>BRESSLER T=35D=7R=0M=0L=0B=0</v>
      </c>
      <c r="G2199" s="0" t="s">
        <v>362</v>
      </c>
      <c r="I2199" s="0" t="s">
        <v>9618</v>
      </c>
      <c r="J2199" s="0" t="s">
        <v>5387</v>
      </c>
      <c r="K2199" s="0" t="s">
        <v>160</v>
      </c>
      <c r="M2199" s="0" t="s">
        <v>9619</v>
      </c>
      <c r="N2199" s="0" t="str">
        <f aca="false">RIGHT(M2199,LEN(M2199)-FIND(" ",M2199))</f>
        <v>VAN WYE ST SE</v>
      </c>
      <c r="P2199" s="0" t="s">
        <v>145</v>
      </c>
      <c r="Q2199" s="0" t="s">
        <v>146</v>
      </c>
      <c r="R2199" s="0" t="n">
        <v>44484</v>
      </c>
      <c r="AD2199" s="0" t="s">
        <v>147</v>
      </c>
      <c r="AE2199" s="0" t="s">
        <v>148</v>
      </c>
      <c r="AF2199" s="0" t="s">
        <v>149</v>
      </c>
      <c r="AH2199" s="0" t="n">
        <v>14</v>
      </c>
      <c r="AI2199" s="0" t="n">
        <v>11</v>
      </c>
      <c r="AN2199" s="0" t="s">
        <v>145</v>
      </c>
      <c r="AO2199" s="0" t="s">
        <v>233</v>
      </c>
      <c r="AP2199" s="0" t="s">
        <v>234</v>
      </c>
      <c r="AQ2199" s="0" t="n">
        <v>9</v>
      </c>
      <c r="AR2199" s="0" t="n">
        <v>64</v>
      </c>
      <c r="AS2199" s="0" t="n">
        <v>32</v>
      </c>
      <c r="AU2199" s="0" t="n">
        <f aca="false">COUNTA($BA$2383:$EH$2383)</f>
        <v>35</v>
      </c>
      <c r="AV2199" s="0" t="n">
        <f aca="false">COUNTIF($BA$2383:$EH$2383,"D")</f>
        <v>7</v>
      </c>
      <c r="AW2199" s="0" t="n">
        <f aca="false">COUNTIF($BA$2383:$EH$2383,"R")</f>
        <v>0</v>
      </c>
      <c r="AX2199" s="0" t="n">
        <f aca="false">IF(BN2199="D",1,0)+IF(BO2199="D",1,0)+IF(BT2199="D",1,0)+IF(BU2199="D",1,0)+IF(BW2199="D",1,0)+IF(CC2199="D",1,0)+IF(CD2199="D",1,0)+IF(CE2199="D",1,0)+IF(CF2199="D",1,0)+IF(CL2199="D",1,0)+IF(CM2199="D",1,0)+IF(CQ2199="D",1,0)+IF(CR2199="D",1,0)+IF(CS2199="D",1,0)+IF(CW2199="D",1,0)+IF(CX2199="D",1,0)+IF(DD2199="D",1,0)+IF(DE2199="D",1,0)+IF(DJ2199="D",1,0)+IF(DK2199="D",1,0)+IF(DO2199="D",1,0)+IF(DP2199="D",1,0)+IF(DQ2199="D",1,0)+IF(DW2199="D",1,0)+IF(DZ2199="D",1,0)+IF(EH2199="D",1,0)</f>
        <v>0</v>
      </c>
      <c r="AY2199" s="0" t="n">
        <f aca="false">COUNTIF(DU2199:EH2199, "&lt;&gt;")</f>
        <v>0</v>
      </c>
      <c r="AZ2199" s="0" t="n">
        <f aca="false">IF(EH2199&lt;&gt;"",1,0)</f>
        <v>0</v>
      </c>
      <c r="BB2199" s="0" t="s">
        <v>152</v>
      </c>
      <c r="CA2199" s="0" t="s">
        <v>153</v>
      </c>
      <c r="DI2199" s="0" t="s">
        <v>153</v>
      </c>
      <c r="DN2199" s="0" t="s">
        <v>153</v>
      </c>
    </row>
    <row r="2200" customFormat="false" ht="13.8" hidden="false" customHeight="false" outlineLevel="0" collapsed="false">
      <c r="A2200" s="0" t="s">
        <v>9620</v>
      </c>
      <c r="B2200" s="0" t="n">
        <v>78</v>
      </c>
      <c r="C2200" s="0" t="n">
        <v>383508</v>
      </c>
      <c r="D2200" s="0" t="s">
        <v>9621</v>
      </c>
      <c r="E2200" s="0" t="s">
        <v>9622</v>
      </c>
      <c r="F2200" s="0" t="str">
        <f aca="false">CONCATENATE(D2200," ",LEFT(H2200,4),"T=",AU2200,"D=",AV2200,"R=",AW2200,"M=",AX2200,"L=",AY2200,"B=",AZ2200)</f>
        <v>FAMBRO T=5D=0R=0M=1L=3B=0</v>
      </c>
      <c r="G2200" s="0" t="s">
        <v>686</v>
      </c>
      <c r="I2200" s="0" t="s">
        <v>9623</v>
      </c>
      <c r="J2200" s="0" t="s">
        <v>9624</v>
      </c>
      <c r="K2200" s="0" t="s">
        <v>160</v>
      </c>
      <c r="L2200" s="0" t="s">
        <v>175</v>
      </c>
      <c r="M2200" s="0" t="s">
        <v>9619</v>
      </c>
      <c r="N2200" s="0" t="str">
        <f aca="false">RIGHT(M2200,LEN(M2200)-FIND(" ",M2200))</f>
        <v>VAN WYE ST SE</v>
      </c>
      <c r="P2200" s="0" t="s">
        <v>145</v>
      </c>
      <c r="Q2200" s="0" t="s">
        <v>146</v>
      </c>
      <c r="R2200" s="0" t="n">
        <v>44484</v>
      </c>
      <c r="AD2200" s="0" t="s">
        <v>147</v>
      </c>
      <c r="AE2200" s="0" t="s">
        <v>148</v>
      </c>
      <c r="AF2200" s="0" t="s">
        <v>149</v>
      </c>
      <c r="AH2200" s="0" t="n">
        <v>14</v>
      </c>
      <c r="AI2200" s="0" t="n">
        <v>11</v>
      </c>
      <c r="AN2200" s="0" t="s">
        <v>145</v>
      </c>
      <c r="AO2200" s="0" t="s">
        <v>233</v>
      </c>
      <c r="AP2200" s="0" t="s">
        <v>234</v>
      </c>
      <c r="AQ2200" s="0" t="n">
        <v>9</v>
      </c>
      <c r="AR2200" s="0" t="n">
        <v>64</v>
      </c>
      <c r="AS2200" s="0" t="n">
        <v>32</v>
      </c>
      <c r="AU2200" s="0" t="n">
        <f aca="false">COUNTA($BA$2406:$EH$2406)</f>
        <v>5</v>
      </c>
      <c r="AV2200" s="0" t="n">
        <f aca="false">COUNTIF($BA$2406:$EH$2406,"D")</f>
        <v>0</v>
      </c>
      <c r="AW2200" s="0" t="n">
        <f aca="false">COUNTIF($BA$2406:$EH$2406,"R")</f>
        <v>0</v>
      </c>
      <c r="AX2200" s="0" t="n">
        <f aca="false">IF(BN2200="D",1,0)+IF(BO2200="D",1,0)+IF(BT2200="D",1,0)+IF(BU2200="D",1,0)+IF(BW2200="D",1,0)+IF(CC2200="D",1,0)+IF(CD2200="D",1,0)+IF(CE2200="D",1,0)+IF(CF2200="D",1,0)+IF(CL2200="D",1,0)+IF(CM2200="D",1,0)+IF(CQ2200="D",1,0)+IF(CR2200="D",1,0)+IF(CS2200="D",1,0)+IF(CW2200="D",1,0)+IF(CX2200="D",1,0)+IF(DD2200="D",1,0)+IF(DE2200="D",1,0)+IF(DJ2200="D",1,0)+IF(DK2200="D",1,0)+IF(DO2200="D",1,0)+IF(DP2200="D",1,0)+IF(DQ2200="D",1,0)+IF(DW2200="D",1,0)+IF(DZ2200="D",1,0)+IF(EH2200="D",1,0)</f>
        <v>1</v>
      </c>
      <c r="AY2200" s="0" t="n">
        <f aca="false">COUNTIF(DU2200:EH2200, "&lt;&gt;")</f>
        <v>3</v>
      </c>
      <c r="AZ2200" s="0" t="n">
        <f aca="false">IF(EH2200&lt;&gt;"",1,0)</f>
        <v>0</v>
      </c>
      <c r="BB2200" s="0" t="s">
        <v>152</v>
      </c>
      <c r="BL2200" s="0" t="s">
        <v>153</v>
      </c>
      <c r="CA2200" s="0" t="s">
        <v>153</v>
      </c>
      <c r="CK2200" s="0" t="s">
        <v>153</v>
      </c>
      <c r="CN2200" s="0" t="s">
        <v>153</v>
      </c>
      <c r="CP2200" s="0" t="s">
        <v>153</v>
      </c>
      <c r="CT2200" s="0" t="s">
        <v>153</v>
      </c>
      <c r="CV2200" s="0" t="s">
        <v>153</v>
      </c>
      <c r="CY2200" s="0" t="s">
        <v>153</v>
      </c>
      <c r="CZ2200" s="0" t="s">
        <v>175</v>
      </c>
      <c r="DC2200" s="0" t="s">
        <v>153</v>
      </c>
      <c r="DF2200" s="0" t="s">
        <v>153</v>
      </c>
      <c r="DI2200" s="0" t="s">
        <v>153</v>
      </c>
      <c r="DL2200" s="0" t="s">
        <v>153</v>
      </c>
      <c r="DN2200" s="0" t="s">
        <v>153</v>
      </c>
      <c r="DU2200" s="0" t="s">
        <v>153</v>
      </c>
      <c r="DW2200" s="0" t="s">
        <v>175</v>
      </c>
      <c r="EA2200" s="0" t="s">
        <v>153</v>
      </c>
    </row>
    <row r="2201" customFormat="false" ht="13.8" hidden="false" customHeight="false" outlineLevel="0" collapsed="false">
      <c r="A2201" s="0" t="s">
        <v>9625</v>
      </c>
      <c r="B2201" s="0" t="n">
        <v>78</v>
      </c>
      <c r="C2201" s="0" t="n">
        <v>19727</v>
      </c>
      <c r="D2201" s="0" t="s">
        <v>1223</v>
      </c>
      <c r="E2201" s="0" t="s">
        <v>224</v>
      </c>
      <c r="F2201" s="0" t="str">
        <f aca="false">CONCATENATE(D2201," ",LEFT(H2201,4),"T=",AU2201,"D=",AV2201,"R=",AW2201,"M=",AX2201,"L=",AY2201,"B=",AZ2201)</f>
        <v>TURNER T=41D=9R=0M=7L=7B=1</v>
      </c>
      <c r="I2201" s="0" t="s">
        <v>9626</v>
      </c>
      <c r="J2201" s="0" t="s">
        <v>7864</v>
      </c>
      <c r="K2201" s="0" t="s">
        <v>160</v>
      </c>
      <c r="L2201" s="0" t="s">
        <v>175</v>
      </c>
      <c r="M2201" s="0" t="s">
        <v>9627</v>
      </c>
      <c r="N2201" s="0" t="str">
        <f aca="false">RIGHT(M2201,LEN(M2201)-FIND(" ",M2201))</f>
        <v>VAN WYE ST SE</v>
      </c>
      <c r="P2201" s="0" t="s">
        <v>145</v>
      </c>
      <c r="Q2201" s="0" t="s">
        <v>146</v>
      </c>
      <c r="R2201" s="0" t="n">
        <v>44484</v>
      </c>
      <c r="AD2201" s="0" t="s">
        <v>147</v>
      </c>
      <c r="AE2201" s="0" t="s">
        <v>148</v>
      </c>
      <c r="AF2201" s="0" t="s">
        <v>149</v>
      </c>
      <c r="AH2201" s="0" t="n">
        <v>14</v>
      </c>
      <c r="AI2201" s="0" t="n">
        <v>11</v>
      </c>
      <c r="AN2201" s="0" t="s">
        <v>145</v>
      </c>
      <c r="AO2201" s="0" t="s">
        <v>233</v>
      </c>
      <c r="AP2201" s="0" t="s">
        <v>234</v>
      </c>
      <c r="AQ2201" s="0" t="n">
        <v>9</v>
      </c>
      <c r="AR2201" s="0" t="n">
        <v>64</v>
      </c>
      <c r="AS2201" s="0" t="n">
        <v>32</v>
      </c>
      <c r="AU2201" s="0" t="n">
        <f aca="false">COUNTA($BA$2554:$EH$2554)</f>
        <v>41</v>
      </c>
      <c r="AV2201" s="0" t="n">
        <f aca="false">COUNTIF($BA$2554:$EH$2554,"D")</f>
        <v>9</v>
      </c>
      <c r="AW2201" s="0" t="n">
        <f aca="false">COUNTIF($BA$2554:$EH$2554,"R")</f>
        <v>0</v>
      </c>
      <c r="AX2201" s="0" t="n">
        <f aca="false">IF(BN2201="D",1,0)+IF(BO2201="D",1,0)+IF(BT2201="D",1,0)+IF(BU2201="D",1,0)+IF(BW2201="D",1,0)+IF(CC2201="D",1,0)+IF(CD2201="D",1,0)+IF(CE2201="D",1,0)+IF(CF2201="D",1,0)+IF(CL2201="D",1,0)+IF(CM2201="D",1,0)+IF(CQ2201="D",1,0)+IF(CR2201="D",1,0)+IF(CS2201="D",1,0)+IF(CW2201="D",1,0)+IF(CX2201="D",1,0)+IF(DD2201="D",1,0)+IF(DE2201="D",1,0)+IF(DJ2201="D",1,0)+IF(DK2201="D",1,0)+IF(DO2201="D",1,0)+IF(DP2201="D",1,0)+IF(DQ2201="D",1,0)+IF(DW2201="D",1,0)+IF(DZ2201="D",1,0)+IF(EH2201="D",1,0)</f>
        <v>7</v>
      </c>
      <c r="AY2201" s="0" t="n">
        <f aca="false">COUNTIF(DU2201:EH2201, "&lt;&gt;")</f>
        <v>7</v>
      </c>
      <c r="AZ2201" s="0" t="n">
        <f aca="false">IF(EH2201&lt;&gt;"",1,0)</f>
        <v>1</v>
      </c>
      <c r="BB2201" s="0" t="s">
        <v>152</v>
      </c>
      <c r="BC2201" s="0" t="s">
        <v>153</v>
      </c>
      <c r="BD2201" s="0" t="s">
        <v>153</v>
      </c>
      <c r="BE2201" s="0" t="s">
        <v>153</v>
      </c>
      <c r="BF2201" s="0" t="s">
        <v>153</v>
      </c>
      <c r="BG2201" s="0" t="s">
        <v>153</v>
      </c>
      <c r="BH2201" s="0" t="s">
        <v>153</v>
      </c>
      <c r="BI2201" s="0" t="s">
        <v>153</v>
      </c>
      <c r="BJ2201" s="0" t="s">
        <v>153</v>
      </c>
      <c r="BK2201" s="0" t="s">
        <v>153</v>
      </c>
      <c r="BL2201" s="0" t="s">
        <v>153</v>
      </c>
      <c r="BP2201" s="0" t="s">
        <v>153</v>
      </c>
      <c r="BR2201" s="0" t="s">
        <v>153</v>
      </c>
      <c r="BS2201" s="0" t="s">
        <v>153</v>
      </c>
      <c r="BT2201" s="0" t="s">
        <v>153</v>
      </c>
      <c r="BV2201" s="0" t="s">
        <v>153</v>
      </c>
      <c r="BY2201" s="0" t="s">
        <v>175</v>
      </c>
      <c r="CA2201" s="0" t="s">
        <v>153</v>
      </c>
      <c r="CG2201" s="0" t="s">
        <v>153</v>
      </c>
      <c r="CH2201" s="0" t="s">
        <v>175</v>
      </c>
      <c r="CK2201" s="0" t="s">
        <v>153</v>
      </c>
      <c r="CL2201" s="0" t="s">
        <v>175</v>
      </c>
      <c r="CN2201" s="0" t="s">
        <v>153</v>
      </c>
      <c r="CO2201" s="0" t="s">
        <v>175</v>
      </c>
      <c r="CP2201" s="0" t="s">
        <v>153</v>
      </c>
      <c r="CQ2201" s="0" t="s">
        <v>175</v>
      </c>
      <c r="CT2201" s="0" t="s">
        <v>153</v>
      </c>
      <c r="CU2201" s="0" t="s">
        <v>175</v>
      </c>
      <c r="CV2201" s="0" t="s">
        <v>153</v>
      </c>
      <c r="CW2201" s="0" t="s">
        <v>175</v>
      </c>
      <c r="CZ2201" s="0" t="s">
        <v>175</v>
      </c>
      <c r="DC2201" s="0" t="s">
        <v>153</v>
      </c>
      <c r="DD2201" s="0" t="s">
        <v>175</v>
      </c>
      <c r="DF2201" s="0" t="s">
        <v>153</v>
      </c>
      <c r="DG2201" s="0" t="s">
        <v>175</v>
      </c>
      <c r="DI2201" s="0" t="s">
        <v>153</v>
      </c>
      <c r="DJ2201" s="0" t="s">
        <v>175</v>
      </c>
      <c r="DL2201" s="0" t="s">
        <v>153</v>
      </c>
      <c r="DM2201" s="0" t="s">
        <v>175</v>
      </c>
      <c r="DN2201" s="0" t="s">
        <v>153</v>
      </c>
      <c r="DR2201" s="0" t="s">
        <v>153</v>
      </c>
      <c r="DS2201" s="0" t="s">
        <v>175</v>
      </c>
      <c r="DT2201" s="0" t="s">
        <v>175</v>
      </c>
      <c r="DU2201" s="0" t="s">
        <v>153</v>
      </c>
      <c r="DW2201" s="0" t="s">
        <v>175</v>
      </c>
      <c r="DX2201" s="0" t="s">
        <v>153</v>
      </c>
      <c r="EA2201" s="0" t="s">
        <v>153</v>
      </c>
      <c r="ED2201" s="0" t="s">
        <v>175</v>
      </c>
      <c r="EF2201" s="0" t="s">
        <v>153</v>
      </c>
      <c r="EH2201" s="0" t="s">
        <v>175</v>
      </c>
    </row>
    <row r="2202" customFormat="false" ht="13.8" hidden="true" customHeight="false" outlineLevel="0" collapsed="false">
      <c r="A2202" s="0" t="s">
        <v>9628</v>
      </c>
      <c r="B2202" s="0" t="n">
        <v>78</v>
      </c>
      <c r="C2202" s="0" t="n">
        <v>476953</v>
      </c>
      <c r="D2202" s="0" t="s">
        <v>9629</v>
      </c>
      <c r="E2202" s="0" t="s">
        <v>517</v>
      </c>
      <c r="F2202" s="0" t="str">
        <f aca="false">CONCATENATE(D2202," ",LEFT(H2202,4),"T=",AU2202,"D=",AV2202,"R=",AW2202,"M=",AX2202,"L=",AY2202,"B=",AZ2202)</f>
        <v>PIETRANGELI T=1D=0R=0M=0L=1B=0</v>
      </c>
      <c r="G2202" s="0" t="s">
        <v>190</v>
      </c>
      <c r="I2202" s="0" t="s">
        <v>368</v>
      </c>
      <c r="J2202" s="0" t="s">
        <v>3300</v>
      </c>
      <c r="K2202" s="0" t="s">
        <v>160</v>
      </c>
      <c r="M2202" s="0" t="s">
        <v>9630</v>
      </c>
      <c r="N2202" s="0" t="str">
        <f aca="false">RIGHT(M2202,LEN(M2202)-FIND(" ",M2202))</f>
        <v>VINE AVE NE</v>
      </c>
      <c r="P2202" s="0" t="s">
        <v>145</v>
      </c>
      <c r="Q2202" s="0" t="s">
        <v>146</v>
      </c>
      <c r="R2202" s="0" t="n">
        <v>44483</v>
      </c>
      <c r="AD2202" s="0" t="s">
        <v>147</v>
      </c>
      <c r="AE2202" s="0" t="s">
        <v>148</v>
      </c>
      <c r="AF2202" s="0" t="s">
        <v>149</v>
      </c>
      <c r="AH2202" s="0" t="n">
        <v>14</v>
      </c>
      <c r="AI2202" s="0" t="n">
        <v>11</v>
      </c>
      <c r="AN2202" s="0" t="s">
        <v>145</v>
      </c>
      <c r="AO2202" s="0" t="s">
        <v>654</v>
      </c>
      <c r="AP2202" s="0" t="s">
        <v>655</v>
      </c>
      <c r="AQ2202" s="0" t="n">
        <v>9</v>
      </c>
      <c r="AR2202" s="0" t="n">
        <v>64</v>
      </c>
      <c r="AS2202" s="0" t="n">
        <v>32</v>
      </c>
      <c r="AU2202" s="0" t="n">
        <f aca="false">COUNTA($BA$1165:$EH$1165)</f>
        <v>1</v>
      </c>
      <c r="AV2202" s="0" t="n">
        <f aca="false">COUNTIF($BA$1165:$EH$1165,"D")</f>
        <v>0</v>
      </c>
      <c r="AW2202" s="0" t="n">
        <f aca="false">COUNTIF($BA$1165:$EH$1165,"R")</f>
        <v>0</v>
      </c>
      <c r="AX2202" s="0" t="n">
        <f aca="false">IF(BN2202="D",1,0)+IF(BO2202="D",1,0)+IF(BT2202="D",1,0)+IF(BU2202="D",1,0)+IF(BW2202="D",1,0)+IF(CC2202="D",1,0)+IF(CD2202="D",1,0)+IF(CE2202="D",1,0)+IF(CF2202="D",1,0)+IF(CL2202="D",1,0)+IF(CM2202="D",1,0)+IF(CQ2202="D",1,0)+IF(CR2202="D",1,0)+IF(CS2202="D",1,0)+IF(CW2202="D",1,0)+IF(CX2202="D",1,0)+IF(DD2202="D",1,0)+IF(DE2202="D",1,0)+IF(DJ2202="D",1,0)+IF(DK2202="D",1,0)+IF(DO2202="D",1,0)+IF(DP2202="D",1,0)+IF(DQ2202="D",1,0)+IF(DW2202="D",1,0)+IF(DZ2202="D",1,0)+IF(EH2202="D",1,0)</f>
        <v>0</v>
      </c>
      <c r="AY2202" s="0" t="n">
        <f aca="false">COUNTIF(DU2202:EH2202, "&lt;&gt;")</f>
        <v>1</v>
      </c>
      <c r="AZ2202" s="0" t="n">
        <f aca="false">IF(EH2202&lt;&gt;"",1,0)</f>
        <v>0</v>
      </c>
      <c r="BB2202" s="0" t="s">
        <v>152</v>
      </c>
      <c r="CP2202" s="0" t="s">
        <v>153</v>
      </c>
      <c r="EF2202" s="0" t="s">
        <v>153</v>
      </c>
    </row>
    <row r="2203" customFormat="false" ht="13.8" hidden="false" customHeight="false" outlineLevel="0" collapsed="false">
      <c r="A2203" s="0" t="s">
        <v>9631</v>
      </c>
      <c r="B2203" s="0" t="n">
        <v>78</v>
      </c>
      <c r="C2203" s="0" t="n">
        <v>359315</v>
      </c>
      <c r="D2203" s="0" t="s">
        <v>1445</v>
      </c>
      <c r="E2203" s="0" t="s">
        <v>702</v>
      </c>
      <c r="F2203" s="0" t="str">
        <f aca="false">CONCATENATE(D2203," ",LEFT(H2203,4),"T=",AU2203,"D=",AV2203,"R=",AW2203,"M=",AX2203,"L=",AY2203,"B=",AZ2203)</f>
        <v>WILLIAMS T=9D=1R=0M=1L=6B=0</v>
      </c>
      <c r="G2203" s="0" t="s">
        <v>670</v>
      </c>
      <c r="I2203" s="0" t="s">
        <v>9632</v>
      </c>
      <c r="J2203" s="0" t="s">
        <v>5141</v>
      </c>
      <c r="K2203" s="0" t="s">
        <v>160</v>
      </c>
      <c r="L2203" s="0" t="s">
        <v>175</v>
      </c>
      <c r="M2203" s="0" t="s">
        <v>9633</v>
      </c>
      <c r="N2203" s="0" t="str">
        <f aca="false">RIGHT(M2203,LEN(M2203)-FIND(" ",M2203))</f>
        <v>VINE AVE NE</v>
      </c>
      <c r="P2203" s="0" t="s">
        <v>145</v>
      </c>
      <c r="Q2203" s="0" t="s">
        <v>146</v>
      </c>
      <c r="R2203" s="0" t="n">
        <v>44483</v>
      </c>
      <c r="AD2203" s="0" t="s">
        <v>147</v>
      </c>
      <c r="AE2203" s="0" t="s">
        <v>148</v>
      </c>
      <c r="AF2203" s="0" t="s">
        <v>149</v>
      </c>
      <c r="AH2203" s="0" t="n">
        <v>14</v>
      </c>
      <c r="AI2203" s="0" t="n">
        <v>11</v>
      </c>
      <c r="AN2203" s="0" t="s">
        <v>145</v>
      </c>
      <c r="AO2203" s="0" t="s">
        <v>654</v>
      </c>
      <c r="AP2203" s="0" t="s">
        <v>655</v>
      </c>
      <c r="AQ2203" s="0" t="n">
        <v>9</v>
      </c>
      <c r="AR2203" s="0" t="n">
        <v>64</v>
      </c>
      <c r="AS2203" s="0" t="n">
        <v>32</v>
      </c>
      <c r="AU2203" s="0" t="n">
        <f aca="false">COUNTA($BA$1120:$EH$1120)</f>
        <v>9</v>
      </c>
      <c r="AV2203" s="0" t="n">
        <f aca="false">COUNTIF($BA$1120:$EH$1120,"D")</f>
        <v>1</v>
      </c>
      <c r="AW2203" s="0" t="n">
        <f aca="false">COUNTIF($BA$1120:$EH$1120,"R")</f>
        <v>0</v>
      </c>
      <c r="AX2203" s="0" t="n">
        <f aca="false">IF(BN2203="D",1,0)+IF(BO2203="D",1,0)+IF(BT2203="D",1,0)+IF(BU2203="D",1,0)+IF(BW2203="D",1,0)+IF(CC2203="D",1,0)+IF(CD2203="D",1,0)+IF(CE2203="D",1,0)+IF(CF2203="D",1,0)+IF(CL2203="D",1,0)+IF(CM2203="D",1,0)+IF(CQ2203="D",1,0)+IF(CR2203="D",1,0)+IF(CS2203="D",1,0)+IF(CW2203="D",1,0)+IF(CX2203="D",1,0)+IF(DD2203="D",1,0)+IF(DE2203="D",1,0)+IF(DJ2203="D",1,0)+IF(DK2203="D",1,0)+IF(DO2203="D",1,0)+IF(DP2203="D",1,0)+IF(DQ2203="D",1,0)+IF(DW2203="D",1,0)+IF(DZ2203="D",1,0)+IF(EH2203="D",1,0)</f>
        <v>1</v>
      </c>
      <c r="AY2203" s="0" t="n">
        <f aca="false">COUNTIF(DU2203:EH2203, "&lt;&gt;")</f>
        <v>6</v>
      </c>
      <c r="AZ2203" s="0" t="n">
        <f aca="false">IF(EH2203&lt;&gt;"",1,0)</f>
        <v>0</v>
      </c>
      <c r="BB2203" s="0" t="s">
        <v>152</v>
      </c>
      <c r="CA2203" s="0" t="s">
        <v>153</v>
      </c>
      <c r="CK2203" s="0" t="s">
        <v>153</v>
      </c>
      <c r="CN2203" s="0" t="s">
        <v>153</v>
      </c>
      <c r="CP2203" s="0" t="s">
        <v>153</v>
      </c>
      <c r="CV2203" s="0" t="s">
        <v>153</v>
      </c>
      <c r="CY2203" s="0" t="s">
        <v>153</v>
      </c>
      <c r="DC2203" s="0" t="s">
        <v>153</v>
      </c>
      <c r="DI2203" s="0" t="s">
        <v>153</v>
      </c>
      <c r="DM2203" s="0" t="s">
        <v>175</v>
      </c>
      <c r="DN2203" s="0" t="s">
        <v>153</v>
      </c>
      <c r="DU2203" s="0" t="s">
        <v>153</v>
      </c>
      <c r="DW2203" s="0" t="s">
        <v>175</v>
      </c>
      <c r="DX2203" s="0" t="s">
        <v>153</v>
      </c>
      <c r="EA2203" s="0" t="s">
        <v>153</v>
      </c>
      <c r="ED2203" s="0" t="s">
        <v>175</v>
      </c>
      <c r="EF2203" s="0" t="s">
        <v>153</v>
      </c>
    </row>
    <row r="2204" customFormat="false" ht="13.8" hidden="false" customHeight="false" outlineLevel="0" collapsed="false">
      <c r="A2204" s="0" t="s">
        <v>9634</v>
      </c>
      <c r="B2204" s="0" t="n">
        <v>78</v>
      </c>
      <c r="C2204" s="0" t="n">
        <v>268817</v>
      </c>
      <c r="D2204" s="0" t="s">
        <v>1445</v>
      </c>
      <c r="E2204" s="0" t="s">
        <v>208</v>
      </c>
      <c r="F2204" s="0" t="str">
        <f aca="false">CONCATENATE(D2204," ",LEFT(H2204,4),"T=",AU2204,"D=",AV2204,"R=",AW2204,"M=",AX2204,"L=",AY2204,"B=",AZ2204)</f>
        <v>WILLIAMS T=21D=1R=0M=1L=6B=0</v>
      </c>
      <c r="G2204" s="0" t="s">
        <v>195</v>
      </c>
      <c r="I2204" s="0" t="s">
        <v>8360</v>
      </c>
      <c r="J2204" s="0" t="s">
        <v>9635</v>
      </c>
      <c r="K2204" s="0" t="s">
        <v>160</v>
      </c>
      <c r="L2204" s="0" t="s">
        <v>175</v>
      </c>
      <c r="M2204" s="0" t="s">
        <v>9633</v>
      </c>
      <c r="N2204" s="0" t="str">
        <f aca="false">RIGHT(M2204,LEN(M2204)-FIND(" ",M2204))</f>
        <v>VINE AVE NE</v>
      </c>
      <c r="P2204" s="0" t="s">
        <v>145</v>
      </c>
      <c r="Q2204" s="0" t="s">
        <v>146</v>
      </c>
      <c r="R2204" s="0" t="n">
        <v>44483</v>
      </c>
      <c r="AD2204" s="0" t="s">
        <v>147</v>
      </c>
      <c r="AE2204" s="0" t="s">
        <v>148</v>
      </c>
      <c r="AF2204" s="0" t="s">
        <v>149</v>
      </c>
      <c r="AH2204" s="0" t="n">
        <v>14</v>
      </c>
      <c r="AI2204" s="0" t="n">
        <v>11</v>
      </c>
      <c r="AN2204" s="0" t="s">
        <v>145</v>
      </c>
      <c r="AO2204" s="0" t="s">
        <v>654</v>
      </c>
      <c r="AP2204" s="0" t="s">
        <v>655</v>
      </c>
      <c r="AQ2204" s="0" t="n">
        <v>9</v>
      </c>
      <c r="AR2204" s="0" t="n">
        <v>64</v>
      </c>
      <c r="AS2204" s="0" t="n">
        <v>32</v>
      </c>
      <c r="AU2204" s="0" t="n">
        <f aca="false">COUNTA($BA$1150:$EH$1150)</f>
        <v>21</v>
      </c>
      <c r="AV2204" s="0" t="n">
        <f aca="false">COUNTIF($BA$1150:$EH$1150,"D")</f>
        <v>1</v>
      </c>
      <c r="AW2204" s="0" t="n">
        <f aca="false">COUNTIF($BA$1150:$EH$1150,"R")</f>
        <v>0</v>
      </c>
      <c r="AX2204" s="0" t="n">
        <f aca="false">IF(BN2204="D",1,0)+IF(BO2204="D",1,0)+IF(BT2204="D",1,0)+IF(BU2204="D",1,0)+IF(BW2204="D",1,0)+IF(CC2204="D",1,0)+IF(CD2204="D",1,0)+IF(CE2204="D",1,0)+IF(CF2204="D",1,0)+IF(CL2204="D",1,0)+IF(CM2204="D",1,0)+IF(CQ2204="D",1,0)+IF(CR2204="D",1,0)+IF(CS2204="D",1,0)+IF(CW2204="D",1,0)+IF(CX2204="D",1,0)+IF(DD2204="D",1,0)+IF(DE2204="D",1,0)+IF(DJ2204="D",1,0)+IF(DK2204="D",1,0)+IF(DO2204="D",1,0)+IF(DP2204="D",1,0)+IF(DQ2204="D",1,0)+IF(DW2204="D",1,0)+IF(DZ2204="D",1,0)+IF(EH2204="D",1,0)</f>
        <v>1</v>
      </c>
      <c r="AY2204" s="0" t="n">
        <f aca="false">COUNTIF(DU2204:EH2204, "&lt;&gt;")</f>
        <v>6</v>
      </c>
      <c r="AZ2204" s="0" t="n">
        <f aca="false">IF(EH2204&lt;&gt;"",1,0)</f>
        <v>0</v>
      </c>
      <c r="BB2204" s="0" t="s">
        <v>152</v>
      </c>
      <c r="BL2204" s="0" t="s">
        <v>153</v>
      </c>
      <c r="BP2204" s="0" t="s">
        <v>153</v>
      </c>
      <c r="BS2204" s="0" t="s">
        <v>153</v>
      </c>
      <c r="BY2204" s="0" t="s">
        <v>175</v>
      </c>
      <c r="CA2204" s="0" t="s">
        <v>153</v>
      </c>
      <c r="CK2204" s="0" t="s">
        <v>153</v>
      </c>
      <c r="CN2204" s="0" t="s">
        <v>153</v>
      </c>
      <c r="CP2204" s="0" t="s">
        <v>153</v>
      </c>
      <c r="CV2204" s="0" t="s">
        <v>153</v>
      </c>
      <c r="CY2204" s="0" t="s">
        <v>153</v>
      </c>
      <c r="CZ2204" s="0" t="s">
        <v>209</v>
      </c>
      <c r="DC2204" s="0" t="s">
        <v>153</v>
      </c>
      <c r="DI2204" s="0" t="s">
        <v>153</v>
      </c>
      <c r="DM2204" s="0" t="s">
        <v>175</v>
      </c>
      <c r="DN2204" s="0" t="s">
        <v>153</v>
      </c>
      <c r="DU2204" s="0" t="s">
        <v>153</v>
      </c>
      <c r="DW2204" s="0" t="s">
        <v>175</v>
      </c>
      <c r="DX2204" s="0" t="s">
        <v>153</v>
      </c>
      <c r="EA2204" s="0" t="s">
        <v>153</v>
      </c>
      <c r="ED2204" s="0" t="s">
        <v>175</v>
      </c>
      <c r="EF2204" s="0" t="s">
        <v>153</v>
      </c>
    </row>
    <row r="2205" customFormat="false" ht="13.8" hidden="true" customHeight="false" outlineLevel="0" collapsed="false">
      <c r="A2205" s="0" t="s">
        <v>9636</v>
      </c>
      <c r="B2205" s="0" t="n">
        <v>78</v>
      </c>
      <c r="C2205" s="0" t="n">
        <v>332857</v>
      </c>
      <c r="D2205" s="0" t="s">
        <v>9637</v>
      </c>
      <c r="E2205" s="0" t="s">
        <v>9638</v>
      </c>
      <c r="F2205" s="0" t="str">
        <f aca="false">CONCATENATE(D2205," ",LEFT(H2205,4),"T=",AU2205,"D=",AV2205,"R=",AW2205,"M=",AX2205,"L=",AY2205,"B=",AZ2205)</f>
        <v>TORO SRT=3D=0R=0M=0L=0B=0</v>
      </c>
      <c r="G2205" s="0" t="s">
        <v>475</v>
      </c>
      <c r="H2205" s="0" t="s">
        <v>216</v>
      </c>
      <c r="I2205" s="0" t="s">
        <v>9639</v>
      </c>
      <c r="J2205" s="0" t="s">
        <v>9640</v>
      </c>
      <c r="K2205" s="0" t="s">
        <v>143</v>
      </c>
      <c r="M2205" s="0" t="s">
        <v>9641</v>
      </c>
      <c r="N2205" s="0" t="str">
        <f aca="false">RIGHT(M2205,LEN(M2205)-FIND(" ",M2205))</f>
        <v>VINE AVE NE</v>
      </c>
      <c r="P2205" s="0" t="s">
        <v>145</v>
      </c>
      <c r="Q2205" s="0" t="s">
        <v>146</v>
      </c>
      <c r="R2205" s="0" t="n">
        <v>44483</v>
      </c>
      <c r="AD2205" s="0" t="s">
        <v>147</v>
      </c>
      <c r="AE2205" s="0" t="s">
        <v>148</v>
      </c>
      <c r="AF2205" s="0" t="s">
        <v>149</v>
      </c>
      <c r="AH2205" s="0" t="n">
        <v>14</v>
      </c>
      <c r="AI2205" s="0" t="n">
        <v>11</v>
      </c>
      <c r="AN2205" s="0" t="s">
        <v>145</v>
      </c>
      <c r="AO2205" s="0" t="s">
        <v>654</v>
      </c>
      <c r="AP2205" s="0" t="s">
        <v>655</v>
      </c>
      <c r="AQ2205" s="0" t="n">
        <v>9</v>
      </c>
      <c r="AR2205" s="0" t="n">
        <v>64</v>
      </c>
      <c r="AS2205" s="0" t="n">
        <v>32</v>
      </c>
      <c r="AU2205" s="0" t="n">
        <f aca="false">COUNTA($BA$1837:$EH$1837)</f>
        <v>3</v>
      </c>
      <c r="AV2205" s="0" t="n">
        <f aca="false">COUNTIF($BA$1837:$EH$1837,"D")</f>
        <v>0</v>
      </c>
      <c r="AW2205" s="0" t="n">
        <f aca="false">COUNTIF($BA$1837:$EH$1837,"R")</f>
        <v>0</v>
      </c>
      <c r="AX2205" s="0" t="n">
        <f aca="false">IF(BN2205="D",1,0)+IF(BO2205="D",1,0)+IF(BT2205="D",1,0)+IF(BU2205="D",1,0)+IF(BW2205="D",1,0)+IF(CC2205="D",1,0)+IF(CD2205="D",1,0)+IF(CE2205="D",1,0)+IF(CF2205="D",1,0)+IF(CL2205="D",1,0)+IF(CM2205="D",1,0)+IF(CQ2205="D",1,0)+IF(CR2205="D",1,0)+IF(CS2205="D",1,0)+IF(CW2205="D",1,0)+IF(CX2205="D",1,0)+IF(DD2205="D",1,0)+IF(DE2205="D",1,0)+IF(DJ2205="D",1,0)+IF(DK2205="D",1,0)+IF(DO2205="D",1,0)+IF(DP2205="D",1,0)+IF(DQ2205="D",1,0)+IF(DW2205="D",1,0)+IF(DZ2205="D",1,0)+IF(EH2205="D",1,0)</f>
        <v>0</v>
      </c>
      <c r="AY2205" s="0" t="n">
        <f aca="false">COUNTIF(DU2205:EH2205, "&lt;&gt;")</f>
        <v>0</v>
      </c>
      <c r="AZ2205" s="0" t="n">
        <f aca="false">IF(EH2205&lt;&gt;"",1,0)</f>
        <v>0</v>
      </c>
      <c r="BB2205" s="0" t="s">
        <v>152</v>
      </c>
      <c r="CP2205" s="0" t="s">
        <v>153</v>
      </c>
    </row>
    <row r="2206" customFormat="false" ht="13.8" hidden="true" customHeight="false" outlineLevel="0" collapsed="false">
      <c r="A2206" s="0" t="s">
        <v>9642</v>
      </c>
      <c r="B2206" s="0" t="n">
        <v>78</v>
      </c>
      <c r="C2206" s="0" t="n">
        <v>395296</v>
      </c>
      <c r="D2206" s="0" t="s">
        <v>3035</v>
      </c>
      <c r="E2206" s="0" t="s">
        <v>9643</v>
      </c>
      <c r="F2206" s="0" t="str">
        <f aca="false">CONCATENATE(D2206," ",LEFT(H2206,4),"T=",AU2206,"D=",AV2206,"R=",AW2206,"M=",AX2206,"L=",AY2206,"B=",AZ2206)</f>
        <v>MUHAMMAD T=1D=0R=0M=0L=0B=0</v>
      </c>
      <c r="G2206" s="0" t="s">
        <v>325</v>
      </c>
      <c r="I2206" s="0" t="s">
        <v>9489</v>
      </c>
      <c r="J2206" s="0" t="s">
        <v>9644</v>
      </c>
      <c r="K2206" s="0" t="s">
        <v>160</v>
      </c>
      <c r="M2206" s="0" t="s">
        <v>9645</v>
      </c>
      <c r="N2206" s="0" t="str">
        <f aca="false">RIGHT(M2206,LEN(M2206)-FIND(" ",M2206))</f>
        <v>VINE AVE NE</v>
      </c>
      <c r="P2206" s="0" t="s">
        <v>145</v>
      </c>
      <c r="Q2206" s="0" t="s">
        <v>146</v>
      </c>
      <c r="R2206" s="0" t="n">
        <v>44483</v>
      </c>
      <c r="AD2206" s="0" t="s">
        <v>147</v>
      </c>
      <c r="AE2206" s="0" t="s">
        <v>148</v>
      </c>
      <c r="AF2206" s="0" t="s">
        <v>149</v>
      </c>
      <c r="AH2206" s="0" t="n">
        <v>14</v>
      </c>
      <c r="AI2206" s="0" t="n">
        <v>11</v>
      </c>
      <c r="AN2206" s="0" t="s">
        <v>145</v>
      </c>
      <c r="AO2206" s="0" t="s">
        <v>654</v>
      </c>
      <c r="AP2206" s="0" t="s">
        <v>655</v>
      </c>
      <c r="AQ2206" s="0" t="n">
        <v>9</v>
      </c>
      <c r="AR2206" s="0" t="n">
        <v>64</v>
      </c>
      <c r="AS2206" s="0" t="n">
        <v>32</v>
      </c>
      <c r="AU2206" s="0" t="n">
        <f aca="false">COUNTA($BA$1810:$EH$1810)</f>
        <v>1</v>
      </c>
      <c r="AV2206" s="0" t="n">
        <f aca="false">COUNTIF($BA$1810:$EH$1810,"D")</f>
        <v>0</v>
      </c>
      <c r="AW2206" s="0" t="n">
        <f aca="false">COUNTIF($BA$1810:$EH$1810,"R")</f>
        <v>0</v>
      </c>
      <c r="AX2206" s="0" t="n">
        <f aca="false">IF(BN2206="D",1,0)+IF(BO2206="D",1,0)+IF(BT2206="D",1,0)+IF(BU2206="D",1,0)+IF(BW2206="D",1,0)+IF(CC2206="D",1,0)+IF(CD2206="D",1,0)+IF(CE2206="D",1,0)+IF(CF2206="D",1,0)+IF(CL2206="D",1,0)+IF(CM2206="D",1,0)+IF(CQ2206="D",1,0)+IF(CR2206="D",1,0)+IF(CS2206="D",1,0)+IF(CW2206="D",1,0)+IF(CX2206="D",1,0)+IF(DD2206="D",1,0)+IF(DE2206="D",1,0)+IF(DJ2206="D",1,0)+IF(DK2206="D",1,0)+IF(DO2206="D",1,0)+IF(DP2206="D",1,0)+IF(DQ2206="D",1,0)+IF(DW2206="D",1,0)+IF(DZ2206="D",1,0)+IF(EH2206="D",1,0)</f>
        <v>0</v>
      </c>
      <c r="AY2206" s="0" t="n">
        <f aca="false">COUNTIF(DU2206:EH2206, "&lt;&gt;")</f>
        <v>0</v>
      </c>
      <c r="AZ2206" s="0" t="n">
        <f aca="false">IF(EH2206&lt;&gt;"",1,0)</f>
        <v>0</v>
      </c>
      <c r="BB2206" s="0" t="s">
        <v>152</v>
      </c>
    </row>
    <row r="2207" customFormat="false" ht="13.8" hidden="true" customHeight="false" outlineLevel="0" collapsed="false">
      <c r="A2207" s="0" t="s">
        <v>9646</v>
      </c>
      <c r="B2207" s="0" t="n">
        <v>78</v>
      </c>
      <c r="C2207" s="0" t="n">
        <v>414537</v>
      </c>
      <c r="D2207" s="0" t="s">
        <v>9647</v>
      </c>
      <c r="E2207" s="0" t="s">
        <v>9648</v>
      </c>
      <c r="F2207" s="0" t="str">
        <f aca="false">CONCATENATE(D2207," ",LEFT(H2207,4),"T=",AU2207,"D=",AV2207,"R=",AW2207,"M=",AX2207,"L=",AY2207,"B=",AZ2207)</f>
        <v>MCPHERSON T=3D=0R=0M=0L=1B=0</v>
      </c>
      <c r="G2207" s="0" t="s">
        <v>171</v>
      </c>
      <c r="I2207" s="0" t="s">
        <v>9649</v>
      </c>
      <c r="J2207" s="0" t="s">
        <v>6860</v>
      </c>
      <c r="K2207" s="0" t="s">
        <v>160</v>
      </c>
      <c r="M2207" s="0" t="s">
        <v>9645</v>
      </c>
      <c r="N2207" s="0" t="str">
        <f aca="false">RIGHT(M2207,LEN(M2207)-FIND(" ",M2207))</f>
        <v>VINE AVE NE</v>
      </c>
      <c r="O2207" s="0" t="s">
        <v>297</v>
      </c>
      <c r="P2207" s="0" t="s">
        <v>145</v>
      </c>
      <c r="Q2207" s="0" t="s">
        <v>146</v>
      </c>
      <c r="R2207" s="0" t="n">
        <v>44483</v>
      </c>
      <c r="AD2207" s="0" t="s">
        <v>147</v>
      </c>
      <c r="AE2207" s="0" t="s">
        <v>148</v>
      </c>
      <c r="AF2207" s="0" t="s">
        <v>149</v>
      </c>
      <c r="AH2207" s="0" t="n">
        <v>14</v>
      </c>
      <c r="AI2207" s="0" t="n">
        <v>11</v>
      </c>
      <c r="AN2207" s="0" t="s">
        <v>145</v>
      </c>
      <c r="AO2207" s="0" t="s">
        <v>654</v>
      </c>
      <c r="AP2207" s="0" t="s">
        <v>655</v>
      </c>
      <c r="AQ2207" s="0" t="n">
        <v>9</v>
      </c>
      <c r="AR2207" s="0" t="n">
        <v>64</v>
      </c>
      <c r="AS2207" s="0" t="n">
        <v>32</v>
      </c>
      <c r="AU2207" s="0" t="n">
        <f aca="false">COUNTA($BA$1855:$EH$1855)</f>
        <v>3</v>
      </c>
      <c r="AV2207" s="0" t="n">
        <f aca="false">COUNTIF($BA$1855:$EH$1855,"D")</f>
        <v>0</v>
      </c>
      <c r="AW2207" s="0" t="n">
        <f aca="false">COUNTIF($BA$1855:$EH$1855,"R")</f>
        <v>0</v>
      </c>
      <c r="AX2207" s="0" t="n">
        <f aca="false">IF(BN2207="D",1,0)+IF(BO2207="D",1,0)+IF(BT2207="D",1,0)+IF(BU2207="D",1,0)+IF(BW2207="D",1,0)+IF(CC2207="D",1,0)+IF(CD2207="D",1,0)+IF(CE2207="D",1,0)+IF(CF2207="D",1,0)+IF(CL2207="D",1,0)+IF(CM2207="D",1,0)+IF(CQ2207="D",1,0)+IF(CR2207="D",1,0)+IF(CS2207="D",1,0)+IF(CW2207="D",1,0)+IF(CX2207="D",1,0)+IF(DD2207="D",1,0)+IF(DE2207="D",1,0)+IF(DJ2207="D",1,0)+IF(DK2207="D",1,0)+IF(DO2207="D",1,0)+IF(DP2207="D",1,0)+IF(DQ2207="D",1,0)+IF(DW2207="D",1,0)+IF(DZ2207="D",1,0)+IF(EH2207="D",1,0)</f>
        <v>0</v>
      </c>
      <c r="AY2207" s="0" t="n">
        <f aca="false">COUNTIF(DU2207:EH2207, "&lt;&gt;")</f>
        <v>1</v>
      </c>
      <c r="AZ2207" s="0" t="n">
        <f aca="false">IF(EH2207&lt;&gt;"",1,0)</f>
        <v>0</v>
      </c>
      <c r="BB2207" s="0" t="s">
        <v>152</v>
      </c>
      <c r="DC2207" s="0" t="s">
        <v>153</v>
      </c>
      <c r="DN2207" s="0" t="s">
        <v>153</v>
      </c>
      <c r="EF2207" s="0" t="s">
        <v>153</v>
      </c>
    </row>
    <row r="2208" customFormat="false" ht="13.8" hidden="true" customHeight="false" outlineLevel="0" collapsed="false">
      <c r="A2208" s="0" t="s">
        <v>9650</v>
      </c>
      <c r="B2208" s="0" t="n">
        <v>78</v>
      </c>
      <c r="C2208" s="0" t="n">
        <v>495644</v>
      </c>
      <c r="D2208" s="0" t="s">
        <v>724</v>
      </c>
      <c r="E2208" s="0" t="s">
        <v>5735</v>
      </c>
      <c r="F2208" s="0" t="str">
        <f aca="false">CONCATENATE(D2208," ",LEFT(H2208,4),"T=",AU2208,"D=",AV2208,"R=",AW2208,"M=",AX2208,"L=",AY2208,"B=",AZ2208)</f>
        <v>OLIVER T=41D=6R=0M=0L=0B=0</v>
      </c>
      <c r="G2208" s="0" t="s">
        <v>2214</v>
      </c>
      <c r="I2208" s="0" t="s">
        <v>9651</v>
      </c>
      <c r="J2208" s="0" t="s">
        <v>9652</v>
      </c>
      <c r="K2208" s="0" t="s">
        <v>160</v>
      </c>
      <c r="M2208" s="0" t="s">
        <v>9653</v>
      </c>
      <c r="N2208" s="0" t="str">
        <f aca="false">RIGHT(M2208,LEN(M2208)-FIND(" ",M2208))</f>
        <v>VINE AVE NE</v>
      </c>
      <c r="P2208" s="0" t="s">
        <v>145</v>
      </c>
      <c r="Q2208" s="0" t="s">
        <v>146</v>
      </c>
      <c r="R2208" s="0" t="n">
        <v>44483</v>
      </c>
      <c r="AD2208" s="0" t="s">
        <v>147</v>
      </c>
      <c r="AE2208" s="0" t="s">
        <v>148</v>
      </c>
      <c r="AF2208" s="0" t="s">
        <v>149</v>
      </c>
      <c r="AH2208" s="0" t="n">
        <v>14</v>
      </c>
      <c r="AI2208" s="0" t="n">
        <v>11</v>
      </c>
      <c r="AN2208" s="0" t="s">
        <v>145</v>
      </c>
      <c r="AO2208" s="0" t="s">
        <v>654</v>
      </c>
      <c r="AP2208" s="0" t="s">
        <v>655</v>
      </c>
      <c r="AQ2208" s="0" t="n">
        <v>9</v>
      </c>
      <c r="AR2208" s="0" t="n">
        <v>64</v>
      </c>
      <c r="AS2208" s="0" t="n">
        <v>32</v>
      </c>
      <c r="AU2208" s="0" t="n">
        <f aca="false">COUNTA($BA$1157:$EH$1157)</f>
        <v>41</v>
      </c>
      <c r="AV2208" s="0" t="n">
        <f aca="false">COUNTIF($BA$1157:$EH$1157,"D")</f>
        <v>6</v>
      </c>
      <c r="AW2208" s="0" t="n">
        <f aca="false">COUNTIF($BA$1157:$EH$1157,"R")</f>
        <v>0</v>
      </c>
      <c r="AX2208" s="0" t="n">
        <f aca="false">IF(BN2208="D",1,0)+IF(BO2208="D",1,0)+IF(BT2208="D",1,0)+IF(BU2208="D",1,0)+IF(BW2208="D",1,0)+IF(CC2208="D",1,0)+IF(CD2208="D",1,0)+IF(CE2208="D",1,0)+IF(CF2208="D",1,0)+IF(CL2208="D",1,0)+IF(CM2208="D",1,0)+IF(CQ2208="D",1,0)+IF(CR2208="D",1,0)+IF(CS2208="D",1,0)+IF(CW2208="D",1,0)+IF(CX2208="D",1,0)+IF(DD2208="D",1,0)+IF(DE2208="D",1,0)+IF(DJ2208="D",1,0)+IF(DK2208="D",1,0)+IF(DO2208="D",1,0)+IF(DP2208="D",1,0)+IF(DQ2208="D",1,0)+IF(DW2208="D",1,0)+IF(DZ2208="D",1,0)+IF(EH2208="D",1,0)</f>
        <v>0</v>
      </c>
      <c r="AY2208" s="0" t="n">
        <f aca="false">COUNTIF(DU2208:EH2208, "&lt;&gt;")</f>
        <v>0</v>
      </c>
      <c r="AZ2208" s="0" t="n">
        <f aca="false">IF(EH2208&lt;&gt;"",1,0)</f>
        <v>0</v>
      </c>
      <c r="BB2208" s="0" t="s">
        <v>152</v>
      </c>
    </row>
    <row r="2209" customFormat="false" ht="13.8" hidden="true" customHeight="false" outlineLevel="0" collapsed="false">
      <c r="A2209" s="0" t="s">
        <v>9654</v>
      </c>
      <c r="B2209" s="0" t="n">
        <v>78</v>
      </c>
      <c r="C2209" s="0" t="n">
        <v>443365</v>
      </c>
      <c r="D2209" s="0" t="s">
        <v>724</v>
      </c>
      <c r="E2209" s="0" t="s">
        <v>9655</v>
      </c>
      <c r="F2209" s="0" t="str">
        <f aca="false">CONCATENATE(D2209," ",LEFT(H2209,4),"T=",AU2209,"D=",AV2209,"R=",AW2209,"M=",AX2209,"L=",AY2209,"B=",AZ2209)</f>
        <v>OLIVER T=2D=0R=0M=0L=1B=0</v>
      </c>
      <c r="G2209" s="0" t="s">
        <v>202</v>
      </c>
      <c r="I2209" s="0" t="s">
        <v>2169</v>
      </c>
      <c r="J2209" s="0" t="s">
        <v>9656</v>
      </c>
      <c r="K2209" s="0" t="s">
        <v>160</v>
      </c>
      <c r="M2209" s="0" t="s">
        <v>9653</v>
      </c>
      <c r="N2209" s="0" t="str">
        <f aca="false">RIGHT(M2209,LEN(M2209)-FIND(" ",M2209))</f>
        <v>VINE AVE NE</v>
      </c>
      <c r="P2209" s="0" t="s">
        <v>145</v>
      </c>
      <c r="Q2209" s="0" t="s">
        <v>146</v>
      </c>
      <c r="R2209" s="0" t="n">
        <v>44483</v>
      </c>
      <c r="AD2209" s="0" t="s">
        <v>147</v>
      </c>
      <c r="AE2209" s="0" t="s">
        <v>148</v>
      </c>
      <c r="AF2209" s="0" t="s">
        <v>149</v>
      </c>
      <c r="AH2209" s="0" t="n">
        <v>14</v>
      </c>
      <c r="AI2209" s="0" t="n">
        <v>11</v>
      </c>
      <c r="AN2209" s="0" t="s">
        <v>145</v>
      </c>
      <c r="AO2209" s="0" t="s">
        <v>654</v>
      </c>
      <c r="AP2209" s="0" t="s">
        <v>655</v>
      </c>
      <c r="AQ2209" s="0" t="n">
        <v>9</v>
      </c>
      <c r="AR2209" s="0" t="n">
        <v>64</v>
      </c>
      <c r="AS2209" s="0" t="n">
        <v>32</v>
      </c>
      <c r="AU2209" s="0" t="n">
        <f aca="false">COUNTA($BA$1219:$EH$1219)</f>
        <v>2</v>
      </c>
      <c r="AV2209" s="0" t="n">
        <f aca="false">COUNTIF($BA$1219:$EH$1219,"D")</f>
        <v>0</v>
      </c>
      <c r="AW2209" s="0" t="n">
        <f aca="false">COUNTIF($BA$1219:$EH$1219,"R")</f>
        <v>0</v>
      </c>
      <c r="AX2209" s="0" t="n">
        <f aca="false">IF(BN2209="D",1,0)+IF(BO2209="D",1,0)+IF(BT2209="D",1,0)+IF(BU2209="D",1,0)+IF(BW2209="D",1,0)+IF(CC2209="D",1,0)+IF(CD2209="D",1,0)+IF(CE2209="D",1,0)+IF(CF2209="D",1,0)+IF(CL2209="D",1,0)+IF(CM2209="D",1,0)+IF(CQ2209="D",1,0)+IF(CR2209="D",1,0)+IF(CS2209="D",1,0)+IF(CW2209="D",1,0)+IF(CX2209="D",1,0)+IF(DD2209="D",1,0)+IF(DE2209="D",1,0)+IF(DJ2209="D",1,0)+IF(DK2209="D",1,0)+IF(DO2209="D",1,0)+IF(DP2209="D",1,0)+IF(DQ2209="D",1,0)+IF(DW2209="D",1,0)+IF(DZ2209="D",1,0)+IF(EH2209="D",1,0)</f>
        <v>0</v>
      </c>
      <c r="AY2209" s="0" t="n">
        <f aca="false">COUNTIF(DU2209:EH2209, "&lt;&gt;")</f>
        <v>1</v>
      </c>
      <c r="AZ2209" s="0" t="n">
        <f aca="false">IF(EH2209&lt;&gt;"",1,0)</f>
        <v>0</v>
      </c>
      <c r="BB2209" s="0" t="s">
        <v>152</v>
      </c>
      <c r="EF2209" s="0" t="s">
        <v>153</v>
      </c>
    </row>
    <row r="2210" customFormat="false" ht="13.8" hidden="true" customHeight="false" outlineLevel="0" collapsed="false">
      <c r="A2210" s="0" t="s">
        <v>9657</v>
      </c>
      <c r="B2210" s="0" t="n">
        <v>78</v>
      </c>
      <c r="C2210" s="0" t="n">
        <v>470878</v>
      </c>
      <c r="D2210" s="0" t="s">
        <v>724</v>
      </c>
      <c r="E2210" s="0" t="s">
        <v>558</v>
      </c>
      <c r="F2210" s="0" t="str">
        <f aca="false">CONCATENATE(D2210," ",LEFT(H2210,4),"T=",AU2210,"D=",AV2210,"R=",AW2210,"M=",AX2210,"L=",AY2210,"B=",AZ2210)</f>
        <v>OLIVER T=2D=1R=0M=0L=0B=0</v>
      </c>
      <c r="G2210" s="0" t="s">
        <v>9658</v>
      </c>
      <c r="I2210" s="0" t="s">
        <v>9659</v>
      </c>
      <c r="J2210" s="0" t="s">
        <v>9660</v>
      </c>
      <c r="K2210" s="0" t="s">
        <v>160</v>
      </c>
      <c r="M2210" s="0" t="s">
        <v>9653</v>
      </c>
      <c r="N2210" s="0" t="str">
        <f aca="false">RIGHT(M2210,LEN(M2210)-FIND(" ",M2210))</f>
        <v>VINE AVE NE</v>
      </c>
      <c r="P2210" s="0" t="s">
        <v>145</v>
      </c>
      <c r="Q2210" s="0" t="s">
        <v>146</v>
      </c>
      <c r="R2210" s="0" t="n">
        <v>44483</v>
      </c>
      <c r="AD2210" s="0" t="s">
        <v>147</v>
      </c>
      <c r="AE2210" s="0" t="s">
        <v>148</v>
      </c>
      <c r="AF2210" s="0" t="s">
        <v>149</v>
      </c>
      <c r="AH2210" s="0" t="n">
        <v>14</v>
      </c>
      <c r="AI2210" s="0" t="n">
        <v>11</v>
      </c>
      <c r="AN2210" s="0" t="s">
        <v>145</v>
      </c>
      <c r="AO2210" s="0" t="s">
        <v>654</v>
      </c>
      <c r="AP2210" s="0" t="s">
        <v>655</v>
      </c>
      <c r="AQ2210" s="0" t="n">
        <v>9</v>
      </c>
      <c r="AR2210" s="0" t="n">
        <v>64</v>
      </c>
      <c r="AS2210" s="0" t="n">
        <v>32</v>
      </c>
      <c r="AU2210" s="0" t="n">
        <f aca="false">COUNTA($BA$1250:$EH$1250)</f>
        <v>2</v>
      </c>
      <c r="AV2210" s="0" t="n">
        <f aca="false">COUNTIF($BA$1250:$EH$1250,"D")</f>
        <v>1</v>
      </c>
      <c r="AW2210" s="0" t="n">
        <f aca="false">COUNTIF($BA$1250:$EH$1250,"R")</f>
        <v>0</v>
      </c>
      <c r="AX2210" s="0" t="n">
        <f aca="false">IF(BN2210="D",1,0)+IF(BO2210="D",1,0)+IF(BT2210="D",1,0)+IF(BU2210="D",1,0)+IF(BW2210="D",1,0)+IF(CC2210="D",1,0)+IF(CD2210="D",1,0)+IF(CE2210="D",1,0)+IF(CF2210="D",1,0)+IF(CL2210="D",1,0)+IF(CM2210="D",1,0)+IF(CQ2210="D",1,0)+IF(CR2210="D",1,0)+IF(CS2210="D",1,0)+IF(CW2210="D",1,0)+IF(CX2210="D",1,0)+IF(DD2210="D",1,0)+IF(DE2210="D",1,0)+IF(DJ2210="D",1,0)+IF(DK2210="D",1,0)+IF(DO2210="D",1,0)+IF(DP2210="D",1,0)+IF(DQ2210="D",1,0)+IF(DW2210="D",1,0)+IF(DZ2210="D",1,0)+IF(EH2210="D",1,0)</f>
        <v>0</v>
      </c>
      <c r="AY2210" s="0" t="n">
        <f aca="false">COUNTIF(DU2210:EH2210, "&lt;&gt;")</f>
        <v>0</v>
      </c>
      <c r="AZ2210" s="0" t="n">
        <f aca="false">IF(EH2210&lt;&gt;"",1,0)</f>
        <v>0</v>
      </c>
      <c r="BB2210" s="0" t="s">
        <v>152</v>
      </c>
    </row>
    <row r="2211" customFormat="false" ht="13.8" hidden="true" customHeight="false" outlineLevel="0" collapsed="false">
      <c r="A2211" s="0" t="s">
        <v>9661</v>
      </c>
      <c r="B2211" s="0" t="n">
        <v>78</v>
      </c>
      <c r="C2211" s="0" t="n">
        <v>485070</v>
      </c>
      <c r="D2211" s="0" t="s">
        <v>724</v>
      </c>
      <c r="E2211" s="0" t="s">
        <v>9662</v>
      </c>
      <c r="F2211" s="0" t="str">
        <f aca="false">CONCATENATE(D2211," ",LEFT(H2211,4),"T=",AU2211,"D=",AV2211,"R=",AW2211,"M=",AX2211,"L=",AY2211,"B=",AZ2211)</f>
        <v>OLIVER T=10D=1R=0M=0L=0B=0</v>
      </c>
      <c r="G2211" s="0" t="s">
        <v>9663</v>
      </c>
      <c r="I2211" s="0" t="s">
        <v>9664</v>
      </c>
      <c r="J2211" s="0" t="s">
        <v>9665</v>
      </c>
      <c r="K2211" s="0" t="s">
        <v>160</v>
      </c>
      <c r="M2211" s="0" t="s">
        <v>9653</v>
      </c>
      <c r="N2211" s="0" t="str">
        <f aca="false">RIGHT(M2211,LEN(M2211)-FIND(" ",M2211))</f>
        <v>VINE AVE NE</v>
      </c>
      <c r="P2211" s="0" t="s">
        <v>145</v>
      </c>
      <c r="Q2211" s="0" t="s">
        <v>146</v>
      </c>
      <c r="R2211" s="0" t="n">
        <v>44483</v>
      </c>
      <c r="AD2211" s="0" t="s">
        <v>147</v>
      </c>
      <c r="AE2211" s="0" t="s">
        <v>148</v>
      </c>
      <c r="AF2211" s="0" t="s">
        <v>149</v>
      </c>
      <c r="AH2211" s="0" t="n">
        <v>14</v>
      </c>
      <c r="AI2211" s="0" t="n">
        <v>11</v>
      </c>
      <c r="AN2211" s="0" t="s">
        <v>145</v>
      </c>
      <c r="AO2211" s="0" t="s">
        <v>654</v>
      </c>
      <c r="AP2211" s="0" t="s">
        <v>655</v>
      </c>
      <c r="AQ2211" s="0" t="n">
        <v>9</v>
      </c>
      <c r="AR2211" s="0" t="n">
        <v>64</v>
      </c>
      <c r="AS2211" s="0" t="n">
        <v>32</v>
      </c>
      <c r="AU2211" s="0" t="n">
        <f aca="false">COUNTA($BA$1681:$EH$1681)</f>
        <v>10</v>
      </c>
      <c r="AV2211" s="0" t="n">
        <f aca="false">COUNTIF($BA$1681:$EH$1681,"D")</f>
        <v>1</v>
      </c>
      <c r="AW2211" s="0" t="n">
        <f aca="false">COUNTIF($BA$1681:$EH$1681,"R")</f>
        <v>0</v>
      </c>
      <c r="AX2211" s="0" t="n">
        <f aca="false">IF(BN2211="D",1,0)+IF(BO2211="D",1,0)+IF(BT2211="D",1,0)+IF(BU2211="D",1,0)+IF(BW2211="D",1,0)+IF(CC2211="D",1,0)+IF(CD2211="D",1,0)+IF(CE2211="D",1,0)+IF(CF2211="D",1,0)+IF(CL2211="D",1,0)+IF(CM2211="D",1,0)+IF(CQ2211="D",1,0)+IF(CR2211="D",1,0)+IF(CS2211="D",1,0)+IF(CW2211="D",1,0)+IF(CX2211="D",1,0)+IF(DD2211="D",1,0)+IF(DE2211="D",1,0)+IF(DJ2211="D",1,0)+IF(DK2211="D",1,0)+IF(DO2211="D",1,0)+IF(DP2211="D",1,0)+IF(DQ2211="D",1,0)+IF(DW2211="D",1,0)+IF(DZ2211="D",1,0)+IF(EH2211="D",1,0)</f>
        <v>0</v>
      </c>
      <c r="AY2211" s="0" t="n">
        <f aca="false">COUNTIF(DU2211:EH2211, "&lt;&gt;")</f>
        <v>0</v>
      </c>
      <c r="AZ2211" s="0" t="n">
        <f aca="false">IF(EH2211&lt;&gt;"",1,0)</f>
        <v>0</v>
      </c>
      <c r="BB2211" s="0" t="s">
        <v>152</v>
      </c>
    </row>
    <row r="2212" customFormat="false" ht="13.8" hidden="true" customHeight="false" outlineLevel="0" collapsed="false">
      <c r="A2212" s="0" t="s">
        <v>9666</v>
      </c>
      <c r="B2212" s="0" t="n">
        <v>78</v>
      </c>
      <c r="C2212" s="0" t="n">
        <v>404979</v>
      </c>
      <c r="D2212" s="0" t="s">
        <v>4210</v>
      </c>
      <c r="E2212" s="0" t="s">
        <v>8365</v>
      </c>
      <c r="F2212" s="0" t="str">
        <f aca="false">CONCATENATE(D2212," ",LEFT(H2212,4),"T=",AU2212,"D=",AV2212,"R=",AW2212,"M=",AX2212,"L=",AY2212,"B=",AZ2212)</f>
        <v>BAILEY T=3D=1R=0M=0L=1B=0</v>
      </c>
      <c r="G2212" s="0" t="s">
        <v>1128</v>
      </c>
      <c r="I2212" s="0" t="s">
        <v>9667</v>
      </c>
      <c r="J2212" s="0" t="s">
        <v>1971</v>
      </c>
      <c r="K2212" s="0" t="s">
        <v>160</v>
      </c>
      <c r="M2212" s="0" t="s">
        <v>9668</v>
      </c>
      <c r="N2212" s="0" t="str">
        <f aca="false">RIGHT(M2212,LEN(M2212)-FIND(" ",M2212))</f>
        <v>VINE AVE NE</v>
      </c>
      <c r="O2212" s="0" t="s">
        <v>297</v>
      </c>
      <c r="P2212" s="0" t="s">
        <v>145</v>
      </c>
      <c r="Q2212" s="0" t="s">
        <v>146</v>
      </c>
      <c r="R2212" s="0" t="n">
        <v>44483</v>
      </c>
      <c r="AD2212" s="0" t="s">
        <v>147</v>
      </c>
      <c r="AE2212" s="0" t="s">
        <v>148</v>
      </c>
      <c r="AF2212" s="0" t="s">
        <v>149</v>
      </c>
      <c r="AH2212" s="0" t="n">
        <v>14</v>
      </c>
      <c r="AI2212" s="0" t="n">
        <v>11</v>
      </c>
      <c r="AN2212" s="0" t="s">
        <v>145</v>
      </c>
      <c r="AO2212" s="0" t="s">
        <v>654</v>
      </c>
      <c r="AP2212" s="0" t="s">
        <v>655</v>
      </c>
      <c r="AQ2212" s="0" t="n">
        <v>9</v>
      </c>
      <c r="AR2212" s="0" t="n">
        <v>64</v>
      </c>
      <c r="AS2212" s="0" t="n">
        <v>32</v>
      </c>
      <c r="AU2212" s="0" t="n">
        <f aca="false">COUNTA($BA$1272:$EH$1272)</f>
        <v>3</v>
      </c>
      <c r="AV2212" s="0" t="n">
        <f aca="false">COUNTIF($BA$1272:$EH$1272,"D")</f>
        <v>1</v>
      </c>
      <c r="AW2212" s="0" t="n">
        <f aca="false">COUNTIF($BA$1272:$EH$1272,"R")</f>
        <v>0</v>
      </c>
      <c r="AX2212" s="0" t="n">
        <f aca="false">IF(BN2212="D",1,0)+IF(BO2212="D",1,0)+IF(BT2212="D",1,0)+IF(BU2212="D",1,0)+IF(BW2212="D",1,0)+IF(CC2212="D",1,0)+IF(CD2212="D",1,0)+IF(CE2212="D",1,0)+IF(CF2212="D",1,0)+IF(CL2212="D",1,0)+IF(CM2212="D",1,0)+IF(CQ2212="D",1,0)+IF(CR2212="D",1,0)+IF(CS2212="D",1,0)+IF(CW2212="D",1,0)+IF(CX2212="D",1,0)+IF(DD2212="D",1,0)+IF(DE2212="D",1,0)+IF(DJ2212="D",1,0)+IF(DK2212="D",1,0)+IF(DO2212="D",1,0)+IF(DP2212="D",1,0)+IF(DQ2212="D",1,0)+IF(DW2212="D",1,0)+IF(DZ2212="D",1,0)+IF(EH2212="D",1,0)</f>
        <v>0</v>
      </c>
      <c r="AY2212" s="0" t="n">
        <f aca="false">COUNTIF(DU2212:EH2212, "&lt;&gt;")</f>
        <v>1</v>
      </c>
      <c r="AZ2212" s="0" t="n">
        <f aca="false">IF(EH2212&lt;&gt;"",1,0)</f>
        <v>0</v>
      </c>
      <c r="BB2212" s="0" t="s">
        <v>152</v>
      </c>
      <c r="BL2212" s="0" t="s">
        <v>153</v>
      </c>
      <c r="BS2212" s="0" t="s">
        <v>153</v>
      </c>
      <c r="BY2212" s="0" t="s">
        <v>175</v>
      </c>
      <c r="CA2212" s="0" t="s">
        <v>153</v>
      </c>
      <c r="CP2212" s="0" t="s">
        <v>153</v>
      </c>
      <c r="CY2212" s="0" t="s">
        <v>153</v>
      </c>
      <c r="DC2212" s="0" t="s">
        <v>153</v>
      </c>
      <c r="DN2212" s="0" t="s">
        <v>153</v>
      </c>
      <c r="EF2212" s="0" t="s">
        <v>153</v>
      </c>
    </row>
    <row r="2213" customFormat="false" ht="13.8" hidden="true" customHeight="false" outlineLevel="0" collapsed="false">
      <c r="A2213" s="0" t="s">
        <v>9669</v>
      </c>
      <c r="B2213" s="0" t="n">
        <v>78</v>
      </c>
      <c r="C2213" s="0" t="n">
        <v>343956</v>
      </c>
      <c r="D2213" s="0" t="s">
        <v>9670</v>
      </c>
      <c r="E2213" s="0" t="s">
        <v>275</v>
      </c>
      <c r="F2213" s="0" t="str">
        <f aca="false">CONCATENATE(D2213," ",LEFT(H2213,4),"T=",AU2213,"D=",AV2213,"R=",AW2213,"M=",AX2213,"L=",AY2213,"B=",AZ2213)</f>
        <v>GIANAKOS T=3D=0R=0M=0L=0B=0</v>
      </c>
      <c r="G2213" s="0" t="s">
        <v>686</v>
      </c>
      <c r="I2213" s="0" t="s">
        <v>9671</v>
      </c>
      <c r="J2213" s="0" t="s">
        <v>9672</v>
      </c>
      <c r="K2213" s="0" t="s">
        <v>143</v>
      </c>
      <c r="M2213" s="0" t="s">
        <v>9668</v>
      </c>
      <c r="N2213" s="0" t="str">
        <f aca="false">RIGHT(M2213,LEN(M2213)-FIND(" ",M2213))</f>
        <v>VINE AVE NE</v>
      </c>
      <c r="O2213" s="0" t="s">
        <v>220</v>
      </c>
      <c r="P2213" s="0" t="s">
        <v>145</v>
      </c>
      <c r="Q2213" s="0" t="s">
        <v>146</v>
      </c>
      <c r="R2213" s="0" t="n">
        <v>44483</v>
      </c>
      <c r="AD2213" s="0" t="s">
        <v>147</v>
      </c>
      <c r="AE2213" s="0" t="s">
        <v>148</v>
      </c>
      <c r="AF2213" s="0" t="s">
        <v>149</v>
      </c>
      <c r="AH2213" s="0" t="n">
        <v>14</v>
      </c>
      <c r="AI2213" s="0" t="n">
        <v>11</v>
      </c>
      <c r="AN2213" s="0" t="s">
        <v>145</v>
      </c>
      <c r="AO2213" s="0" t="s">
        <v>654</v>
      </c>
      <c r="AP2213" s="0" t="s">
        <v>655</v>
      </c>
      <c r="AQ2213" s="0" t="n">
        <v>9</v>
      </c>
      <c r="AR2213" s="0" t="n">
        <v>64</v>
      </c>
      <c r="AS2213" s="0" t="n">
        <v>32</v>
      </c>
      <c r="AU2213" s="0" t="n">
        <f aca="false">COUNTA($BA$1289:$EH$1289)</f>
        <v>3</v>
      </c>
      <c r="AV2213" s="0" t="n">
        <f aca="false">COUNTIF($BA$1289:$EH$1289,"D")</f>
        <v>0</v>
      </c>
      <c r="AW2213" s="0" t="n">
        <f aca="false">COUNTIF($BA$1289:$EH$1289,"R")</f>
        <v>0</v>
      </c>
      <c r="AX2213" s="0" t="n">
        <f aca="false">IF(BN2213="D",1,0)+IF(BO2213="D",1,0)+IF(BT2213="D",1,0)+IF(BU2213="D",1,0)+IF(BW2213="D",1,0)+IF(CC2213="D",1,0)+IF(CD2213="D",1,0)+IF(CE2213="D",1,0)+IF(CF2213="D",1,0)+IF(CL2213="D",1,0)+IF(CM2213="D",1,0)+IF(CQ2213="D",1,0)+IF(CR2213="D",1,0)+IF(CS2213="D",1,0)+IF(CW2213="D",1,0)+IF(CX2213="D",1,0)+IF(DD2213="D",1,0)+IF(DE2213="D",1,0)+IF(DJ2213="D",1,0)+IF(DK2213="D",1,0)+IF(DO2213="D",1,0)+IF(DP2213="D",1,0)+IF(DQ2213="D",1,0)+IF(DW2213="D",1,0)+IF(DZ2213="D",1,0)+IF(EH2213="D",1,0)</f>
        <v>0</v>
      </c>
      <c r="AY2213" s="0" t="n">
        <f aca="false">COUNTIF(DU2213:EH2213, "&lt;&gt;")</f>
        <v>0</v>
      </c>
      <c r="AZ2213" s="0" t="n">
        <f aca="false">IF(EH2213&lt;&gt;"",1,0)</f>
        <v>0</v>
      </c>
      <c r="BB2213" s="0" t="s">
        <v>152</v>
      </c>
      <c r="BS2213" s="0" t="s">
        <v>153</v>
      </c>
      <c r="BY2213" s="0" t="s">
        <v>175</v>
      </c>
    </row>
    <row r="2214" customFormat="false" ht="13.8" hidden="false" customHeight="false" outlineLevel="0" collapsed="false">
      <c r="A2214" s="0" t="s">
        <v>9673</v>
      </c>
      <c r="B2214" s="0" t="n">
        <v>78</v>
      </c>
      <c r="C2214" s="0" t="n">
        <v>391558</v>
      </c>
      <c r="D2214" s="0" t="s">
        <v>4604</v>
      </c>
      <c r="E2214" s="0" t="s">
        <v>877</v>
      </c>
      <c r="F2214" s="0" t="str">
        <f aca="false">CONCATENATE(D2214," ",LEFT(H2214,4),"T=",AU2214,"D=",AV2214,"R=",AW2214,"M=",AX2214,"L=",AY2214,"B=",AZ2214)</f>
        <v>BOGGS T=1D=0R=0M=1L=4B=0</v>
      </c>
      <c r="G2214" s="0" t="s">
        <v>209</v>
      </c>
      <c r="I2214" s="0" t="s">
        <v>9674</v>
      </c>
      <c r="J2214" s="0" t="s">
        <v>2599</v>
      </c>
      <c r="K2214" s="0" t="s">
        <v>160</v>
      </c>
      <c r="L2214" s="0" t="s">
        <v>175</v>
      </c>
      <c r="M2214" s="0" t="s">
        <v>9675</v>
      </c>
      <c r="N2214" s="0" t="str">
        <f aca="false">RIGHT(M2214,LEN(M2214)-FIND(" ",M2214))</f>
        <v>VINE AVE NE</v>
      </c>
      <c r="P2214" s="0" t="s">
        <v>145</v>
      </c>
      <c r="Q2214" s="0" t="s">
        <v>146</v>
      </c>
      <c r="R2214" s="0" t="n">
        <v>44483</v>
      </c>
      <c r="AD2214" s="0" t="s">
        <v>147</v>
      </c>
      <c r="AE2214" s="0" t="s">
        <v>148</v>
      </c>
      <c r="AF2214" s="0" t="s">
        <v>149</v>
      </c>
      <c r="AH2214" s="0" t="n">
        <v>14</v>
      </c>
      <c r="AI2214" s="0" t="n">
        <v>11</v>
      </c>
      <c r="AN2214" s="0" t="s">
        <v>145</v>
      </c>
      <c r="AO2214" s="0" t="s">
        <v>654</v>
      </c>
      <c r="AP2214" s="0" t="s">
        <v>655</v>
      </c>
      <c r="AQ2214" s="0" t="n">
        <v>9</v>
      </c>
      <c r="AR2214" s="0" t="n">
        <v>64</v>
      </c>
      <c r="AS2214" s="0" t="n">
        <v>32</v>
      </c>
      <c r="AU2214" s="0" t="n">
        <f aca="false">COUNTA($BA$1791:$EH$1791)</f>
        <v>1</v>
      </c>
      <c r="AV2214" s="0" t="n">
        <f aca="false">COUNTIF($BA$1791:$EH$1791,"D")</f>
        <v>0</v>
      </c>
      <c r="AW2214" s="0" t="n">
        <f aca="false">COUNTIF($BA$1791:$EH$1791,"R")</f>
        <v>0</v>
      </c>
      <c r="AX2214" s="0" t="n">
        <f aca="false">IF(BN2214="D",1,0)+IF(BO2214="D",1,0)+IF(BT2214="D",1,0)+IF(BU2214="D",1,0)+IF(BW2214="D",1,0)+IF(CC2214="D",1,0)+IF(CD2214="D",1,0)+IF(CE2214="D",1,0)+IF(CF2214="D",1,0)+IF(CL2214="D",1,0)+IF(CM2214="D",1,0)+IF(CQ2214="D",1,0)+IF(CR2214="D",1,0)+IF(CS2214="D",1,0)+IF(CW2214="D",1,0)+IF(CX2214="D",1,0)+IF(DD2214="D",1,0)+IF(DE2214="D",1,0)+IF(DJ2214="D",1,0)+IF(DK2214="D",1,0)+IF(DO2214="D",1,0)+IF(DP2214="D",1,0)+IF(DQ2214="D",1,0)+IF(DW2214="D",1,0)+IF(DZ2214="D",1,0)+IF(EH2214="D",1,0)</f>
        <v>1</v>
      </c>
      <c r="AY2214" s="0" t="n">
        <f aca="false">COUNTIF(DU2214:EH2214, "&lt;&gt;")</f>
        <v>4</v>
      </c>
      <c r="AZ2214" s="0" t="n">
        <f aca="false">IF(EH2214&lt;&gt;"",1,0)</f>
        <v>0</v>
      </c>
      <c r="BB2214" s="0" t="s">
        <v>152</v>
      </c>
      <c r="CP2214" s="0" t="s">
        <v>153</v>
      </c>
      <c r="DC2214" s="0" t="s">
        <v>153</v>
      </c>
      <c r="DI2214" s="0" t="s">
        <v>153</v>
      </c>
      <c r="DN2214" s="0" t="s">
        <v>153</v>
      </c>
      <c r="DS2214" s="0" t="s">
        <v>175</v>
      </c>
      <c r="DU2214" s="0" t="s">
        <v>153</v>
      </c>
      <c r="DW2214" s="0" t="s">
        <v>175</v>
      </c>
      <c r="EA2214" s="0" t="s">
        <v>153</v>
      </c>
      <c r="EF2214" s="0" t="s">
        <v>153</v>
      </c>
    </row>
    <row r="2215" customFormat="false" ht="13.8" hidden="true" customHeight="false" outlineLevel="0" collapsed="false">
      <c r="A2215" s="0" t="s">
        <v>9676</v>
      </c>
      <c r="B2215" s="0" t="n">
        <v>78</v>
      </c>
      <c r="C2215" s="0" t="n">
        <v>348440</v>
      </c>
      <c r="D2215" s="0" t="s">
        <v>9677</v>
      </c>
      <c r="E2215" s="0" t="s">
        <v>511</v>
      </c>
      <c r="F2215" s="0" t="str">
        <f aca="false">CONCATENATE(D2215," ",LEFT(H2215,4),"T=",AU2215,"D=",AV2215,"R=",AW2215,"M=",AX2215,"L=",AY2215,"B=",AZ2215)</f>
        <v>HALLAS T=3D=0R=0M=1L=1B=0</v>
      </c>
      <c r="I2215" s="0" t="s">
        <v>9678</v>
      </c>
      <c r="J2215" s="0" t="s">
        <v>9679</v>
      </c>
      <c r="K2215" s="0" t="s">
        <v>160</v>
      </c>
      <c r="M2215" s="0" t="s">
        <v>9680</v>
      </c>
      <c r="N2215" s="0" t="str">
        <f aca="false">RIGHT(M2215,LEN(M2215)-FIND(" ",M2215))</f>
        <v>VINE AVE NE</v>
      </c>
      <c r="P2215" s="0" t="s">
        <v>145</v>
      </c>
      <c r="Q2215" s="0" t="s">
        <v>146</v>
      </c>
      <c r="R2215" s="0" t="n">
        <v>44483</v>
      </c>
      <c r="AD2215" s="0" t="s">
        <v>147</v>
      </c>
      <c r="AE2215" s="0" t="s">
        <v>148</v>
      </c>
      <c r="AF2215" s="0" t="s">
        <v>149</v>
      </c>
      <c r="AH2215" s="0" t="n">
        <v>14</v>
      </c>
      <c r="AI2215" s="0" t="n">
        <v>11</v>
      </c>
      <c r="AN2215" s="0" t="s">
        <v>145</v>
      </c>
      <c r="AO2215" s="0" t="s">
        <v>654</v>
      </c>
      <c r="AP2215" s="0" t="s">
        <v>655</v>
      </c>
      <c r="AQ2215" s="0" t="n">
        <v>9</v>
      </c>
      <c r="AR2215" s="0" t="n">
        <v>64</v>
      </c>
      <c r="AS2215" s="0" t="n">
        <v>32</v>
      </c>
      <c r="AU2215" s="0" t="n">
        <f aca="false">COUNTA($BA$1601:$EH$1601)</f>
        <v>3</v>
      </c>
      <c r="AV2215" s="0" t="n">
        <f aca="false">COUNTIF($BA$1601:$EH$1601,"D")</f>
        <v>0</v>
      </c>
      <c r="AW2215" s="0" t="n">
        <f aca="false">COUNTIF($BA$1601:$EH$1601,"R")</f>
        <v>0</v>
      </c>
      <c r="AX2215" s="0" t="n">
        <f aca="false">IF(BN2215="D",1,0)+IF(BO2215="D",1,0)+IF(BT2215="D",1,0)+IF(BU2215="D",1,0)+IF(BW2215="D",1,0)+IF(CC2215="D",1,0)+IF(CD2215="D",1,0)+IF(CE2215="D",1,0)+IF(CF2215="D",1,0)+IF(CL2215="D",1,0)+IF(CM2215="D",1,0)+IF(CQ2215="D",1,0)+IF(CR2215="D",1,0)+IF(CS2215="D",1,0)+IF(CW2215="D",1,0)+IF(CX2215="D",1,0)+IF(DD2215="D",1,0)+IF(DE2215="D",1,0)+IF(DJ2215="D",1,0)+IF(DK2215="D",1,0)+IF(DO2215="D",1,0)+IF(DP2215="D",1,0)+IF(DQ2215="D",1,0)+IF(DW2215="D",1,0)+IF(DZ2215="D",1,0)+IF(EH2215="D",1,0)</f>
        <v>1</v>
      </c>
      <c r="AY2215" s="0" t="n">
        <f aca="false">COUNTIF(DU2215:EH2215, "&lt;&gt;")</f>
        <v>1</v>
      </c>
      <c r="AZ2215" s="0" t="n">
        <f aca="false">IF(EH2215&lt;&gt;"",1,0)</f>
        <v>0</v>
      </c>
      <c r="BB2215" s="0" t="s">
        <v>152</v>
      </c>
      <c r="CA2215" s="0" t="s">
        <v>153</v>
      </c>
      <c r="CG2215" s="0" t="s">
        <v>153</v>
      </c>
      <c r="CP2215" s="0" t="s">
        <v>153</v>
      </c>
      <c r="CY2215" s="0" t="s">
        <v>153</v>
      </c>
      <c r="CZ2215" s="0" t="s">
        <v>175</v>
      </c>
      <c r="DC2215" s="0" t="s">
        <v>153</v>
      </c>
      <c r="DI2215" s="0" t="s">
        <v>153</v>
      </c>
      <c r="DJ2215" s="0" t="s">
        <v>175</v>
      </c>
      <c r="DL2215" s="0" t="s">
        <v>153</v>
      </c>
      <c r="DN2215" s="0" t="s">
        <v>153</v>
      </c>
      <c r="EF2215" s="0" t="s">
        <v>153</v>
      </c>
    </row>
    <row r="2216" customFormat="false" ht="13.8" hidden="true" customHeight="false" outlineLevel="0" collapsed="false">
      <c r="A2216" s="0" t="s">
        <v>9681</v>
      </c>
      <c r="B2216" s="0" t="n">
        <v>78</v>
      </c>
      <c r="C2216" s="0" t="n">
        <v>408052</v>
      </c>
      <c r="D2216" s="0" t="s">
        <v>3940</v>
      </c>
      <c r="E2216" s="0" t="s">
        <v>9682</v>
      </c>
      <c r="F2216" s="0" t="str">
        <f aca="false">CONCATENATE(D2216," ",LEFT(H2216,4),"T=",AU2216,"D=",AV2216,"R=",AW2216,"M=",AX2216,"L=",AY2216,"B=",AZ2216)</f>
        <v>WILSON T=2D=0R=0M=0L=0B=0</v>
      </c>
      <c r="G2216" s="0" t="s">
        <v>164</v>
      </c>
      <c r="I2216" s="0" t="s">
        <v>9683</v>
      </c>
      <c r="J2216" s="0" t="s">
        <v>6864</v>
      </c>
      <c r="K2216" s="0" t="s">
        <v>143</v>
      </c>
      <c r="M2216" s="0" t="s">
        <v>9684</v>
      </c>
      <c r="N2216" s="0" t="str">
        <f aca="false">RIGHT(M2216,LEN(M2216)-FIND(" ",M2216))</f>
        <v>VINE AVE NE</v>
      </c>
      <c r="O2216" s="0" t="s">
        <v>2211</v>
      </c>
      <c r="P2216" s="0" t="s">
        <v>145</v>
      </c>
      <c r="Q2216" s="0" t="s">
        <v>146</v>
      </c>
      <c r="R2216" s="0" t="n">
        <v>44483</v>
      </c>
      <c r="AD2216" s="0" t="s">
        <v>147</v>
      </c>
      <c r="AE2216" s="0" t="s">
        <v>148</v>
      </c>
      <c r="AF2216" s="0" t="s">
        <v>149</v>
      </c>
      <c r="AH2216" s="0" t="n">
        <v>14</v>
      </c>
      <c r="AI2216" s="0" t="n">
        <v>11</v>
      </c>
      <c r="AN2216" s="0" t="s">
        <v>145</v>
      </c>
      <c r="AO2216" s="0" t="s">
        <v>654</v>
      </c>
      <c r="AP2216" s="0" t="s">
        <v>655</v>
      </c>
      <c r="AQ2216" s="0" t="n">
        <v>9</v>
      </c>
      <c r="AR2216" s="0" t="n">
        <v>64</v>
      </c>
      <c r="AS2216" s="0" t="n">
        <v>32</v>
      </c>
      <c r="AU2216" s="0" t="n">
        <f aca="false">COUNTA($BA$1160:$EH$1160)</f>
        <v>2</v>
      </c>
      <c r="AV2216" s="0" t="n">
        <f aca="false">COUNTIF($BA$1160:$EH$1160,"D")</f>
        <v>0</v>
      </c>
      <c r="AW2216" s="0" t="n">
        <f aca="false">COUNTIF($BA$1160:$EH$1160,"R")</f>
        <v>0</v>
      </c>
      <c r="AX2216" s="0" t="n">
        <f aca="false">IF(BN2216="D",1,0)+IF(BO2216="D",1,0)+IF(BT2216="D",1,0)+IF(BU2216="D",1,0)+IF(BW2216="D",1,0)+IF(CC2216="D",1,0)+IF(CD2216="D",1,0)+IF(CE2216="D",1,0)+IF(CF2216="D",1,0)+IF(CL2216="D",1,0)+IF(CM2216="D",1,0)+IF(CQ2216="D",1,0)+IF(CR2216="D",1,0)+IF(CS2216="D",1,0)+IF(CW2216="D",1,0)+IF(CX2216="D",1,0)+IF(DD2216="D",1,0)+IF(DE2216="D",1,0)+IF(DJ2216="D",1,0)+IF(DK2216="D",1,0)+IF(DO2216="D",1,0)+IF(DP2216="D",1,0)+IF(DQ2216="D",1,0)+IF(DW2216="D",1,0)+IF(DZ2216="D",1,0)+IF(EH2216="D",1,0)</f>
        <v>0</v>
      </c>
      <c r="AY2216" s="0" t="n">
        <f aca="false">COUNTIF(DU2216:EH2216, "&lt;&gt;")</f>
        <v>0</v>
      </c>
      <c r="AZ2216" s="0" t="n">
        <f aca="false">IF(EH2216&lt;&gt;"",1,0)</f>
        <v>0</v>
      </c>
      <c r="BB2216" s="0" t="s">
        <v>152</v>
      </c>
    </row>
    <row r="2217" customFormat="false" ht="13.8" hidden="true" customHeight="false" outlineLevel="0" collapsed="false">
      <c r="A2217" s="0" t="s">
        <v>9685</v>
      </c>
      <c r="B2217" s="0" t="n">
        <v>78</v>
      </c>
      <c r="C2217" s="0" t="n">
        <v>431760</v>
      </c>
      <c r="D2217" s="0" t="s">
        <v>9686</v>
      </c>
      <c r="E2217" s="0" t="s">
        <v>9687</v>
      </c>
      <c r="F2217" s="0" t="str">
        <f aca="false">CONCATENATE(D2217," ",LEFT(H2217,4),"T=",AU2217,"D=",AV2217,"R=",AW2217,"M=",AX2217,"L=",AY2217,"B=",AZ2217)</f>
        <v>PARKS T=1D=0R=0M=0L=0B=0</v>
      </c>
      <c r="G2217" s="0" t="s">
        <v>202</v>
      </c>
      <c r="I2217" s="0" t="s">
        <v>9688</v>
      </c>
      <c r="J2217" s="0" t="s">
        <v>6232</v>
      </c>
      <c r="K2217" s="0" t="s">
        <v>160</v>
      </c>
      <c r="M2217" s="0" t="s">
        <v>9684</v>
      </c>
      <c r="N2217" s="0" t="str">
        <f aca="false">RIGHT(M2217,LEN(M2217)-FIND(" ",M2217))</f>
        <v>VINE AVE NE</v>
      </c>
      <c r="P2217" s="0" t="s">
        <v>145</v>
      </c>
      <c r="Q2217" s="0" t="s">
        <v>146</v>
      </c>
      <c r="R2217" s="0" t="n">
        <v>44483</v>
      </c>
      <c r="AD2217" s="0" t="s">
        <v>147</v>
      </c>
      <c r="AE2217" s="0" t="s">
        <v>148</v>
      </c>
      <c r="AF2217" s="0" t="s">
        <v>149</v>
      </c>
      <c r="AH2217" s="0" t="n">
        <v>14</v>
      </c>
      <c r="AI2217" s="0" t="n">
        <v>11</v>
      </c>
      <c r="AN2217" s="0" t="s">
        <v>145</v>
      </c>
      <c r="AO2217" s="0" t="s">
        <v>654</v>
      </c>
      <c r="AP2217" s="0" t="s">
        <v>655</v>
      </c>
      <c r="AQ2217" s="0" t="n">
        <v>9</v>
      </c>
      <c r="AR2217" s="0" t="n">
        <v>64</v>
      </c>
      <c r="AS2217" s="0" t="n">
        <v>32</v>
      </c>
      <c r="AU2217" s="0" t="n">
        <f aca="false">COUNTA($BA$1356:$EH$1356)</f>
        <v>1</v>
      </c>
      <c r="AV2217" s="0" t="n">
        <f aca="false">COUNTIF($BA$1356:$EH$1356,"D")</f>
        <v>0</v>
      </c>
      <c r="AW2217" s="0" t="n">
        <f aca="false">COUNTIF($BA$1356:$EH$1356,"R")</f>
        <v>0</v>
      </c>
      <c r="AX2217" s="0" t="n">
        <f aca="false">IF(BN2217="D",1,0)+IF(BO2217="D",1,0)+IF(BT2217="D",1,0)+IF(BU2217="D",1,0)+IF(BW2217="D",1,0)+IF(CC2217="D",1,0)+IF(CD2217="D",1,0)+IF(CE2217="D",1,0)+IF(CF2217="D",1,0)+IF(CL2217="D",1,0)+IF(CM2217="D",1,0)+IF(CQ2217="D",1,0)+IF(CR2217="D",1,0)+IF(CS2217="D",1,0)+IF(CW2217="D",1,0)+IF(CX2217="D",1,0)+IF(DD2217="D",1,0)+IF(DE2217="D",1,0)+IF(DJ2217="D",1,0)+IF(DK2217="D",1,0)+IF(DO2217="D",1,0)+IF(DP2217="D",1,0)+IF(DQ2217="D",1,0)+IF(DW2217="D",1,0)+IF(DZ2217="D",1,0)+IF(EH2217="D",1,0)</f>
        <v>0</v>
      </c>
      <c r="AY2217" s="0" t="n">
        <f aca="false">COUNTIF(DU2217:EH2217, "&lt;&gt;")</f>
        <v>0</v>
      </c>
      <c r="AZ2217" s="0" t="n">
        <f aca="false">IF(EH2217&lt;&gt;"",1,0)</f>
        <v>0</v>
      </c>
      <c r="BB2217" s="0" t="s">
        <v>152</v>
      </c>
    </row>
    <row r="2218" customFormat="false" ht="13.8" hidden="true" customHeight="false" outlineLevel="0" collapsed="false">
      <c r="A2218" s="0" t="s">
        <v>9689</v>
      </c>
      <c r="B2218" s="0" t="n">
        <v>78</v>
      </c>
      <c r="C2218" s="0" t="n">
        <v>452469</v>
      </c>
      <c r="D2218" s="0" t="s">
        <v>690</v>
      </c>
      <c r="E2218" s="0" t="s">
        <v>9690</v>
      </c>
      <c r="F2218" s="0" t="str">
        <f aca="false">CONCATENATE(D2218," ",LEFT(H2218,4),"T=",AU2218,"D=",AV2218,"R=",AW2218,"M=",AX2218,"L=",AY2218,"B=",AZ2218)</f>
        <v>SMITH T=3D=1R=0M=0L=0B=0</v>
      </c>
      <c r="G2218" s="0" t="s">
        <v>1128</v>
      </c>
      <c r="I2218" s="0" t="s">
        <v>9691</v>
      </c>
      <c r="J2218" s="0" t="s">
        <v>1200</v>
      </c>
      <c r="K2218" s="0" t="s">
        <v>143</v>
      </c>
      <c r="M2218" s="0" t="s">
        <v>9684</v>
      </c>
      <c r="N2218" s="0" t="str">
        <f aca="false">RIGHT(M2218,LEN(M2218)-FIND(" ",M2218))</f>
        <v>VINE AVE NE</v>
      </c>
      <c r="O2218" s="0" t="s">
        <v>1939</v>
      </c>
      <c r="P2218" s="0" t="s">
        <v>145</v>
      </c>
      <c r="Q2218" s="0" t="s">
        <v>146</v>
      </c>
      <c r="R2218" s="0" t="n">
        <v>44483</v>
      </c>
      <c r="AD2218" s="0" t="s">
        <v>147</v>
      </c>
      <c r="AE2218" s="0" t="s">
        <v>148</v>
      </c>
      <c r="AF2218" s="0" t="s">
        <v>149</v>
      </c>
      <c r="AH2218" s="0" t="n">
        <v>14</v>
      </c>
      <c r="AI2218" s="0" t="n">
        <v>11</v>
      </c>
      <c r="AN2218" s="0" t="s">
        <v>145</v>
      </c>
      <c r="AO2218" s="0" t="s">
        <v>654</v>
      </c>
      <c r="AP2218" s="0" t="s">
        <v>655</v>
      </c>
      <c r="AQ2218" s="0" t="n">
        <v>9</v>
      </c>
      <c r="AR2218" s="0" t="n">
        <v>64</v>
      </c>
      <c r="AS2218" s="0" t="n">
        <v>32</v>
      </c>
      <c r="AU2218" s="0" t="n">
        <f aca="false">COUNTA($BA$1406:$EH$1406)</f>
        <v>3</v>
      </c>
      <c r="AV2218" s="0" t="n">
        <f aca="false">COUNTIF($BA$1406:$EH$1406,"D")</f>
        <v>1</v>
      </c>
      <c r="AW2218" s="0" t="n">
        <f aca="false">COUNTIF($BA$1406:$EH$1406,"R")</f>
        <v>0</v>
      </c>
      <c r="AX2218" s="0" t="n">
        <f aca="false">IF(BN2218="D",1,0)+IF(BO2218="D",1,0)+IF(BT2218="D",1,0)+IF(BU2218="D",1,0)+IF(BW2218="D",1,0)+IF(CC2218="D",1,0)+IF(CD2218="D",1,0)+IF(CE2218="D",1,0)+IF(CF2218="D",1,0)+IF(CL2218="D",1,0)+IF(CM2218="D",1,0)+IF(CQ2218="D",1,0)+IF(CR2218="D",1,0)+IF(CS2218="D",1,0)+IF(CW2218="D",1,0)+IF(CX2218="D",1,0)+IF(DD2218="D",1,0)+IF(DE2218="D",1,0)+IF(DJ2218="D",1,0)+IF(DK2218="D",1,0)+IF(DO2218="D",1,0)+IF(DP2218="D",1,0)+IF(DQ2218="D",1,0)+IF(DW2218="D",1,0)+IF(DZ2218="D",1,0)+IF(EH2218="D",1,0)</f>
        <v>0</v>
      </c>
      <c r="AY2218" s="0" t="n">
        <f aca="false">COUNTIF(DU2218:EH2218, "&lt;&gt;")</f>
        <v>0</v>
      </c>
      <c r="AZ2218" s="0" t="n">
        <f aca="false">IF(EH2218&lt;&gt;"",1,0)</f>
        <v>0</v>
      </c>
      <c r="BB2218" s="0" t="s">
        <v>152</v>
      </c>
    </row>
    <row r="2219" customFormat="false" ht="13.8" hidden="true" customHeight="false" outlineLevel="0" collapsed="false">
      <c r="A2219" s="0" t="s">
        <v>9692</v>
      </c>
      <c r="B2219" s="0" t="n">
        <v>78</v>
      </c>
      <c r="C2219" s="0" t="n">
        <v>455447</v>
      </c>
      <c r="D2219" s="0" t="s">
        <v>9693</v>
      </c>
      <c r="E2219" s="0" t="s">
        <v>910</v>
      </c>
      <c r="F2219" s="0" t="str">
        <f aca="false">CONCATENATE(D2219," ",LEFT(H2219,4),"T=",AU2219,"D=",AV2219,"R=",AW2219,"M=",AX2219,"L=",AY2219,"B=",AZ2219)</f>
        <v>HARBOUR T=21D=3R=0M=0L=0B=0</v>
      </c>
      <c r="G2219" s="0" t="s">
        <v>209</v>
      </c>
      <c r="I2219" s="0" t="s">
        <v>9694</v>
      </c>
      <c r="J2219" s="0" t="s">
        <v>9695</v>
      </c>
      <c r="K2219" s="0" t="s">
        <v>143</v>
      </c>
      <c r="M2219" s="0" t="s">
        <v>9684</v>
      </c>
      <c r="N2219" s="0" t="str">
        <f aca="false">RIGHT(M2219,LEN(M2219)-FIND(" ",M2219))</f>
        <v>VINE AVE NE</v>
      </c>
      <c r="O2219" s="0" t="s">
        <v>2211</v>
      </c>
      <c r="P2219" s="0" t="s">
        <v>145</v>
      </c>
      <c r="Q2219" s="0" t="s">
        <v>146</v>
      </c>
      <c r="R2219" s="0" t="n">
        <v>44483</v>
      </c>
      <c r="AD2219" s="0" t="s">
        <v>147</v>
      </c>
      <c r="AE2219" s="0" t="s">
        <v>148</v>
      </c>
      <c r="AF2219" s="0" t="s">
        <v>149</v>
      </c>
      <c r="AH2219" s="0" t="n">
        <v>14</v>
      </c>
      <c r="AI2219" s="0" t="n">
        <v>11</v>
      </c>
      <c r="AN2219" s="0" t="s">
        <v>145</v>
      </c>
      <c r="AO2219" s="0" t="s">
        <v>654</v>
      </c>
      <c r="AP2219" s="0" t="s">
        <v>655</v>
      </c>
      <c r="AQ2219" s="0" t="n">
        <v>9</v>
      </c>
      <c r="AR2219" s="0" t="n">
        <v>64</v>
      </c>
      <c r="AS2219" s="0" t="n">
        <v>32</v>
      </c>
      <c r="AU2219" s="0" t="n">
        <f aca="false">COUNTA($BA$1571:$EH$1571)</f>
        <v>21</v>
      </c>
      <c r="AV2219" s="0" t="n">
        <f aca="false">COUNTIF($BA$1571:$EH$1571,"D")</f>
        <v>3</v>
      </c>
      <c r="AW2219" s="0" t="n">
        <f aca="false">COUNTIF($BA$1571:$EH$1571,"R")</f>
        <v>0</v>
      </c>
      <c r="AX2219" s="0" t="n">
        <f aca="false">IF(BN2219="D",1,0)+IF(BO2219="D",1,0)+IF(BT2219="D",1,0)+IF(BU2219="D",1,0)+IF(BW2219="D",1,0)+IF(CC2219="D",1,0)+IF(CD2219="D",1,0)+IF(CE2219="D",1,0)+IF(CF2219="D",1,0)+IF(CL2219="D",1,0)+IF(CM2219="D",1,0)+IF(CQ2219="D",1,0)+IF(CR2219="D",1,0)+IF(CS2219="D",1,0)+IF(CW2219="D",1,0)+IF(CX2219="D",1,0)+IF(DD2219="D",1,0)+IF(DE2219="D",1,0)+IF(DJ2219="D",1,0)+IF(DK2219="D",1,0)+IF(DO2219="D",1,0)+IF(DP2219="D",1,0)+IF(DQ2219="D",1,0)+IF(DW2219="D",1,0)+IF(DZ2219="D",1,0)+IF(EH2219="D",1,0)</f>
        <v>0</v>
      </c>
      <c r="AY2219" s="0" t="n">
        <f aca="false">COUNTIF(DU2219:EH2219, "&lt;&gt;")</f>
        <v>0</v>
      </c>
      <c r="AZ2219" s="0" t="n">
        <f aca="false">IF(EH2219&lt;&gt;"",1,0)</f>
        <v>0</v>
      </c>
      <c r="BB2219" s="0" t="s">
        <v>152</v>
      </c>
    </row>
    <row r="2220" customFormat="false" ht="13.8" hidden="true" customHeight="false" outlineLevel="0" collapsed="false">
      <c r="A2220" s="0" t="s">
        <v>9696</v>
      </c>
      <c r="B2220" s="0" t="n">
        <v>78</v>
      </c>
      <c r="C2220" s="0" t="n">
        <v>196139</v>
      </c>
      <c r="D2220" s="0" t="s">
        <v>9697</v>
      </c>
      <c r="E2220" s="0" t="s">
        <v>208</v>
      </c>
      <c r="F2220" s="0" t="str">
        <f aca="false">CONCATENATE(D2220," ",LEFT(H2220,4),"T=",AU2220,"D=",AV2220,"R=",AW2220,"M=",AX2220,"L=",AY2220,"B=",AZ2220)</f>
        <v>SWINDLER T=1D=0R=0M=0L=0B=0</v>
      </c>
      <c r="G2220" s="0" t="s">
        <v>268</v>
      </c>
      <c r="I2220" s="0" t="s">
        <v>9305</v>
      </c>
      <c r="J2220" s="0" t="s">
        <v>5693</v>
      </c>
      <c r="K2220" s="0" t="s">
        <v>143</v>
      </c>
      <c r="M2220" s="0" t="s">
        <v>9684</v>
      </c>
      <c r="N2220" s="0" t="str">
        <f aca="false">RIGHT(M2220,LEN(M2220)-FIND(" ",M2220))</f>
        <v>VINE AVE NE</v>
      </c>
      <c r="O2220" s="0" t="s">
        <v>868</v>
      </c>
      <c r="P2220" s="0" t="s">
        <v>145</v>
      </c>
      <c r="Q2220" s="0" t="s">
        <v>146</v>
      </c>
      <c r="R2220" s="0" t="n">
        <v>44483</v>
      </c>
      <c r="AD2220" s="0" t="s">
        <v>147</v>
      </c>
      <c r="AE2220" s="0" t="s">
        <v>148</v>
      </c>
      <c r="AF2220" s="0" t="s">
        <v>149</v>
      </c>
      <c r="AH2220" s="0" t="n">
        <v>14</v>
      </c>
      <c r="AI2220" s="0" t="n">
        <v>11</v>
      </c>
      <c r="AN2220" s="0" t="s">
        <v>145</v>
      </c>
      <c r="AO2220" s="0" t="s">
        <v>654</v>
      </c>
      <c r="AP2220" s="0" t="s">
        <v>655</v>
      </c>
      <c r="AQ2220" s="0" t="n">
        <v>9</v>
      </c>
      <c r="AR2220" s="0" t="n">
        <v>64</v>
      </c>
      <c r="AS2220" s="0" t="n">
        <v>32</v>
      </c>
      <c r="AU2220" s="0" t="n">
        <f aca="false">COUNTA($BA$1739:$EH$1739)</f>
        <v>1</v>
      </c>
      <c r="AV2220" s="0" t="n">
        <f aca="false">COUNTIF($BA$1739:$EH$1739,"D")</f>
        <v>0</v>
      </c>
      <c r="AW2220" s="0" t="n">
        <f aca="false">COUNTIF($BA$1739:$EH$1739,"R")</f>
        <v>0</v>
      </c>
      <c r="AX2220" s="0" t="n">
        <f aca="false">IF(BN2220="D",1,0)+IF(BO2220="D",1,0)+IF(BT2220="D",1,0)+IF(BU2220="D",1,0)+IF(BW2220="D",1,0)+IF(CC2220="D",1,0)+IF(CD2220="D",1,0)+IF(CE2220="D",1,0)+IF(CF2220="D",1,0)+IF(CL2220="D",1,0)+IF(CM2220="D",1,0)+IF(CQ2220="D",1,0)+IF(CR2220="D",1,0)+IF(CS2220="D",1,0)+IF(CW2220="D",1,0)+IF(CX2220="D",1,0)+IF(DD2220="D",1,0)+IF(DE2220="D",1,0)+IF(DJ2220="D",1,0)+IF(DK2220="D",1,0)+IF(DO2220="D",1,0)+IF(DP2220="D",1,0)+IF(DQ2220="D",1,0)+IF(DW2220="D",1,0)+IF(DZ2220="D",1,0)+IF(EH2220="D",1,0)</f>
        <v>0</v>
      </c>
      <c r="AY2220" s="0" t="n">
        <f aca="false">COUNTIF(DU2220:EH2220, "&lt;&gt;")</f>
        <v>0</v>
      </c>
      <c r="AZ2220" s="0" t="n">
        <f aca="false">IF(EH2220&lt;&gt;"",1,0)</f>
        <v>0</v>
      </c>
      <c r="BB2220" s="0" t="s">
        <v>152</v>
      </c>
      <c r="BD2220" s="0" t="s">
        <v>153</v>
      </c>
      <c r="BG2220" s="0" t="s">
        <v>153</v>
      </c>
      <c r="BH2220" s="0" t="s">
        <v>153</v>
      </c>
      <c r="BK2220" s="0" t="s">
        <v>153</v>
      </c>
      <c r="BL2220" s="0" t="s">
        <v>153</v>
      </c>
      <c r="BP2220" s="0" t="s">
        <v>153</v>
      </c>
      <c r="BR2220" s="0" t="s">
        <v>153</v>
      </c>
      <c r="BS2220" s="0" t="s">
        <v>153</v>
      </c>
      <c r="CA2220" s="0" t="s">
        <v>153</v>
      </c>
      <c r="CH2220" s="0" t="s">
        <v>175</v>
      </c>
      <c r="CK2220" s="0" t="s">
        <v>153</v>
      </c>
      <c r="CN2220" s="0" t="s">
        <v>153</v>
      </c>
      <c r="DL2220" s="0" t="s">
        <v>153</v>
      </c>
      <c r="DM2220" s="0" t="s">
        <v>175</v>
      </c>
      <c r="DN2220" s="0" t="s">
        <v>153</v>
      </c>
    </row>
    <row r="2221" customFormat="false" ht="13.8" hidden="true" customHeight="false" outlineLevel="0" collapsed="false">
      <c r="A2221" s="0" t="s">
        <v>9698</v>
      </c>
      <c r="B2221" s="0" t="n">
        <v>78</v>
      </c>
      <c r="C2221" s="0" t="n">
        <v>457822</v>
      </c>
      <c r="D2221" s="0" t="s">
        <v>690</v>
      </c>
      <c r="E2221" s="0" t="s">
        <v>633</v>
      </c>
      <c r="F2221" s="0" t="str">
        <f aca="false">CONCATENATE(D2221," ",LEFT(H2221,4),"T=",AU2221,"D=",AV2221,"R=",AW2221,"M=",AX2221,"L=",AY2221,"B=",AZ2221)</f>
        <v>SMITH T=18D=1R=0M=0L=1B=0</v>
      </c>
      <c r="G2221" s="0" t="s">
        <v>190</v>
      </c>
      <c r="I2221" s="0" t="s">
        <v>9699</v>
      </c>
      <c r="J2221" s="0" t="s">
        <v>7021</v>
      </c>
      <c r="K2221" s="0" t="s">
        <v>160</v>
      </c>
      <c r="M2221" s="0" t="s">
        <v>9684</v>
      </c>
      <c r="N2221" s="0" t="str">
        <f aca="false">RIGHT(M2221,LEN(M2221)-FIND(" ",M2221))</f>
        <v>VINE AVE NE</v>
      </c>
      <c r="O2221" s="0" t="s">
        <v>1939</v>
      </c>
      <c r="P2221" s="0" t="s">
        <v>145</v>
      </c>
      <c r="Q2221" s="0" t="s">
        <v>146</v>
      </c>
      <c r="R2221" s="0" t="n">
        <v>44483</v>
      </c>
      <c r="AD2221" s="0" t="s">
        <v>147</v>
      </c>
      <c r="AE2221" s="0" t="s">
        <v>148</v>
      </c>
      <c r="AF2221" s="0" t="s">
        <v>149</v>
      </c>
      <c r="AH2221" s="0" t="n">
        <v>14</v>
      </c>
      <c r="AI2221" s="0" t="n">
        <v>11</v>
      </c>
      <c r="AN2221" s="0" t="s">
        <v>145</v>
      </c>
      <c r="AO2221" s="0" t="s">
        <v>654</v>
      </c>
      <c r="AP2221" s="0" t="s">
        <v>655</v>
      </c>
      <c r="AQ2221" s="0" t="n">
        <v>9</v>
      </c>
      <c r="AR2221" s="0" t="n">
        <v>64</v>
      </c>
      <c r="AS2221" s="0" t="n">
        <v>32</v>
      </c>
      <c r="AU2221" s="0" t="n">
        <f aca="false">COUNTA($BA$1800:$EH$1800)</f>
        <v>18</v>
      </c>
      <c r="AV2221" s="0" t="n">
        <f aca="false">COUNTIF($BA$1800:$EH$1800,"D")</f>
        <v>1</v>
      </c>
      <c r="AW2221" s="0" t="n">
        <f aca="false">COUNTIF($BA$1800:$EH$1800,"R")</f>
        <v>0</v>
      </c>
      <c r="AX2221" s="0" t="n">
        <f aca="false">IF(BN2221="D",1,0)+IF(BO2221="D",1,0)+IF(BT2221="D",1,0)+IF(BU2221="D",1,0)+IF(BW2221="D",1,0)+IF(CC2221="D",1,0)+IF(CD2221="D",1,0)+IF(CE2221="D",1,0)+IF(CF2221="D",1,0)+IF(CL2221="D",1,0)+IF(CM2221="D",1,0)+IF(CQ2221="D",1,0)+IF(CR2221="D",1,0)+IF(CS2221="D",1,0)+IF(CW2221="D",1,0)+IF(CX2221="D",1,0)+IF(DD2221="D",1,0)+IF(DE2221="D",1,0)+IF(DJ2221="D",1,0)+IF(DK2221="D",1,0)+IF(DO2221="D",1,0)+IF(DP2221="D",1,0)+IF(DQ2221="D",1,0)+IF(DW2221="D",1,0)+IF(DZ2221="D",1,0)+IF(EH2221="D",1,0)</f>
        <v>0</v>
      </c>
      <c r="AY2221" s="0" t="n">
        <f aca="false">COUNTIF(DU2221:EH2221, "&lt;&gt;")</f>
        <v>1</v>
      </c>
      <c r="AZ2221" s="0" t="n">
        <f aca="false">IF(EH2221&lt;&gt;"",1,0)</f>
        <v>0</v>
      </c>
      <c r="BB2221" s="0" t="s">
        <v>152</v>
      </c>
      <c r="BL2221" s="0" t="s">
        <v>153</v>
      </c>
      <c r="EF2221" s="0" t="s">
        <v>153</v>
      </c>
    </row>
    <row r="2222" customFormat="false" ht="13.8" hidden="true" customHeight="false" outlineLevel="0" collapsed="false">
      <c r="A2222" s="0" t="s">
        <v>9700</v>
      </c>
      <c r="B2222" s="0" t="n">
        <v>78</v>
      </c>
      <c r="C2222" s="0" t="n">
        <v>475457</v>
      </c>
      <c r="D2222" s="0" t="s">
        <v>690</v>
      </c>
      <c r="E2222" s="0" t="s">
        <v>3789</v>
      </c>
      <c r="F2222" s="0" t="str">
        <f aca="false">CONCATENATE(D2222," ",LEFT(H2222,4),"T=",AU2222,"D=",AV2222,"R=",AW2222,"M=",AX2222,"L=",AY2222,"B=",AZ2222)</f>
        <v>SMITH T=11D=1R=0M=0L=0B=0</v>
      </c>
      <c r="G2222" s="0" t="s">
        <v>255</v>
      </c>
      <c r="I2222" s="0" t="s">
        <v>9701</v>
      </c>
      <c r="J2222" s="0" t="s">
        <v>2120</v>
      </c>
      <c r="K2222" s="0" t="s">
        <v>160</v>
      </c>
      <c r="M2222" s="0" t="s">
        <v>9684</v>
      </c>
      <c r="N2222" s="0" t="str">
        <f aca="false">RIGHT(M2222,LEN(M2222)-FIND(" ",M2222))</f>
        <v>VINE AVE NE</v>
      </c>
      <c r="O2222" s="0" t="s">
        <v>1939</v>
      </c>
      <c r="P2222" s="0" t="s">
        <v>145</v>
      </c>
      <c r="Q2222" s="0" t="s">
        <v>146</v>
      </c>
      <c r="R2222" s="0" t="n">
        <v>44483</v>
      </c>
      <c r="AD2222" s="0" t="s">
        <v>147</v>
      </c>
      <c r="AE2222" s="0" t="s">
        <v>148</v>
      </c>
      <c r="AF2222" s="0" t="s">
        <v>149</v>
      </c>
      <c r="AH2222" s="0" t="n">
        <v>14</v>
      </c>
      <c r="AI2222" s="0" t="n">
        <v>11</v>
      </c>
      <c r="AN2222" s="0" t="s">
        <v>145</v>
      </c>
      <c r="AO2222" s="0" t="s">
        <v>654</v>
      </c>
      <c r="AP2222" s="0" t="s">
        <v>655</v>
      </c>
      <c r="AQ2222" s="0" t="n">
        <v>9</v>
      </c>
      <c r="AR2222" s="0" t="n">
        <v>64</v>
      </c>
      <c r="AS2222" s="0" t="n">
        <v>32</v>
      </c>
      <c r="AU2222" s="0" t="n">
        <f aca="false">COUNTA($BA$1822:$EH$1822)</f>
        <v>11</v>
      </c>
      <c r="AV2222" s="0" t="n">
        <f aca="false">COUNTIF($BA$1822:$EH$1822,"D")</f>
        <v>1</v>
      </c>
      <c r="AW2222" s="0" t="n">
        <f aca="false">COUNTIF($BA$1822:$EH$1822,"R")</f>
        <v>0</v>
      </c>
      <c r="AX2222" s="0" t="n">
        <f aca="false">IF(BN2222="D",1,0)+IF(BO2222="D",1,0)+IF(BT2222="D",1,0)+IF(BU2222="D",1,0)+IF(BW2222="D",1,0)+IF(CC2222="D",1,0)+IF(CD2222="D",1,0)+IF(CE2222="D",1,0)+IF(CF2222="D",1,0)+IF(CL2222="D",1,0)+IF(CM2222="D",1,0)+IF(CQ2222="D",1,0)+IF(CR2222="D",1,0)+IF(CS2222="D",1,0)+IF(CW2222="D",1,0)+IF(CX2222="D",1,0)+IF(DD2222="D",1,0)+IF(DE2222="D",1,0)+IF(DJ2222="D",1,0)+IF(DK2222="D",1,0)+IF(DO2222="D",1,0)+IF(DP2222="D",1,0)+IF(DQ2222="D",1,0)+IF(DW2222="D",1,0)+IF(DZ2222="D",1,0)+IF(EH2222="D",1,0)</f>
        <v>0</v>
      </c>
      <c r="AY2222" s="0" t="n">
        <f aca="false">COUNTIF(DU2222:EH2222, "&lt;&gt;")</f>
        <v>0</v>
      </c>
      <c r="AZ2222" s="0" t="n">
        <f aca="false">IF(EH2222&lt;&gt;"",1,0)</f>
        <v>0</v>
      </c>
      <c r="BB2222" s="0" t="s">
        <v>152</v>
      </c>
    </row>
    <row r="2223" customFormat="false" ht="13.8" hidden="true" customHeight="false" outlineLevel="0" collapsed="false">
      <c r="A2223" s="0" t="s">
        <v>9702</v>
      </c>
      <c r="B2223" s="0" t="n">
        <v>78</v>
      </c>
      <c r="C2223" s="0" t="n">
        <v>369401</v>
      </c>
      <c r="D2223" s="0" t="s">
        <v>9703</v>
      </c>
      <c r="E2223" s="0" t="s">
        <v>558</v>
      </c>
      <c r="F2223" s="0" t="str">
        <f aca="false">CONCATENATE(D2223," ",LEFT(H2223,4),"T=",AU2223,"D=",AV2223,"R=",AW2223,"M=",AX2223,"L=",AY2223,"B=",AZ2223)</f>
        <v>PENEZICH T=3D=0R=0M=0L=0B=0</v>
      </c>
      <c r="G2223" s="0" t="s">
        <v>839</v>
      </c>
      <c r="I2223" s="0" t="s">
        <v>9704</v>
      </c>
      <c r="J2223" s="0" t="s">
        <v>9705</v>
      </c>
      <c r="K2223" s="0" t="s">
        <v>160</v>
      </c>
      <c r="M2223" s="0" t="s">
        <v>9706</v>
      </c>
      <c r="N2223" s="0" t="str">
        <f aca="false">RIGHT(M2223,LEN(M2223)-FIND(" ",M2223))</f>
        <v>VINE AVE NE</v>
      </c>
      <c r="P2223" s="0" t="s">
        <v>145</v>
      </c>
      <c r="Q2223" s="0" t="s">
        <v>146</v>
      </c>
      <c r="R2223" s="0" t="n">
        <v>44483</v>
      </c>
      <c r="AD2223" s="0" t="s">
        <v>147</v>
      </c>
      <c r="AE2223" s="0" t="s">
        <v>148</v>
      </c>
      <c r="AF2223" s="0" t="s">
        <v>149</v>
      </c>
      <c r="AH2223" s="0" t="n">
        <v>14</v>
      </c>
      <c r="AI2223" s="0" t="n">
        <v>11</v>
      </c>
      <c r="AN2223" s="0" t="s">
        <v>145</v>
      </c>
      <c r="AO2223" s="0" t="s">
        <v>654</v>
      </c>
      <c r="AP2223" s="0" t="s">
        <v>655</v>
      </c>
      <c r="AQ2223" s="0" t="n">
        <v>9</v>
      </c>
      <c r="AR2223" s="0" t="n">
        <v>64</v>
      </c>
      <c r="AS2223" s="0" t="n">
        <v>32</v>
      </c>
      <c r="AU2223" s="0" t="n">
        <f aca="false">COUNTA($BA$2037:$EH$2037)</f>
        <v>3</v>
      </c>
      <c r="AV2223" s="0" t="n">
        <f aca="false">COUNTIF($BA$2037:$EH$2037,"D")</f>
        <v>0</v>
      </c>
      <c r="AW2223" s="0" t="n">
        <f aca="false">COUNTIF($BA$2037:$EH$2037,"R")</f>
        <v>0</v>
      </c>
      <c r="AX2223" s="0" t="n">
        <f aca="false">IF(BN2223="D",1,0)+IF(BO2223="D",1,0)+IF(BT2223="D",1,0)+IF(BU2223="D",1,0)+IF(BW2223="D",1,0)+IF(CC2223="D",1,0)+IF(CD2223="D",1,0)+IF(CE2223="D",1,0)+IF(CF2223="D",1,0)+IF(CL2223="D",1,0)+IF(CM2223="D",1,0)+IF(CQ2223="D",1,0)+IF(CR2223="D",1,0)+IF(CS2223="D",1,0)+IF(CW2223="D",1,0)+IF(CX2223="D",1,0)+IF(DD2223="D",1,0)+IF(DE2223="D",1,0)+IF(DJ2223="D",1,0)+IF(DK2223="D",1,0)+IF(DO2223="D",1,0)+IF(DP2223="D",1,0)+IF(DQ2223="D",1,0)+IF(DW2223="D",1,0)+IF(DZ2223="D",1,0)+IF(EH2223="D",1,0)</f>
        <v>0</v>
      </c>
      <c r="AY2223" s="0" t="n">
        <f aca="false">COUNTIF(DU2223:EH2223, "&lt;&gt;")</f>
        <v>0</v>
      </c>
      <c r="AZ2223" s="0" t="n">
        <f aca="false">IF(EH2223&lt;&gt;"",1,0)</f>
        <v>0</v>
      </c>
      <c r="BB2223" s="0" t="s">
        <v>152</v>
      </c>
    </row>
    <row r="2224" customFormat="false" ht="13.8" hidden="true" customHeight="false" outlineLevel="0" collapsed="false">
      <c r="A2224" s="0" t="s">
        <v>9707</v>
      </c>
      <c r="B2224" s="0" t="n">
        <v>78</v>
      </c>
      <c r="C2224" s="0" t="n">
        <v>265232</v>
      </c>
      <c r="D2224" s="0" t="s">
        <v>9708</v>
      </c>
      <c r="E2224" s="0" t="s">
        <v>9709</v>
      </c>
      <c r="F2224" s="0" t="str">
        <f aca="false">CONCATENATE(D2224," ",LEFT(H2224,4),"T=",AU2224,"D=",AV2224,"R=",AW2224,"M=",AX2224,"L=",AY2224,"B=",AZ2224)</f>
        <v>CLENDENIN T=5D=0R=0M=0L=0B=0</v>
      </c>
      <c r="G2224" s="0" t="s">
        <v>164</v>
      </c>
      <c r="I2224" s="0" t="s">
        <v>6171</v>
      </c>
      <c r="J2224" s="0" t="s">
        <v>9710</v>
      </c>
      <c r="K2224" s="0" t="s">
        <v>143</v>
      </c>
      <c r="M2224" s="0" t="s">
        <v>9711</v>
      </c>
      <c r="N2224" s="0" t="str">
        <f aca="false">RIGHT(M2224,LEN(M2224)-FIND(" ",M2224))</f>
        <v>VINE AVE NE</v>
      </c>
      <c r="P2224" s="0" t="s">
        <v>145</v>
      </c>
      <c r="Q2224" s="0" t="s">
        <v>146</v>
      </c>
      <c r="R2224" s="0" t="n">
        <v>44483</v>
      </c>
      <c r="AD2224" s="0" t="s">
        <v>147</v>
      </c>
      <c r="AE2224" s="0" t="s">
        <v>148</v>
      </c>
      <c r="AF2224" s="0" t="s">
        <v>149</v>
      </c>
      <c r="AH2224" s="0" t="n">
        <v>14</v>
      </c>
      <c r="AI2224" s="0" t="n">
        <v>11</v>
      </c>
      <c r="AN2224" s="0" t="s">
        <v>145</v>
      </c>
      <c r="AO2224" s="0" t="s">
        <v>654</v>
      </c>
      <c r="AP2224" s="0" t="s">
        <v>655</v>
      </c>
      <c r="AQ2224" s="0" t="n">
        <v>9</v>
      </c>
      <c r="AR2224" s="0" t="n">
        <v>64</v>
      </c>
      <c r="AS2224" s="0" t="n">
        <v>32</v>
      </c>
      <c r="AU2224" s="0" t="n">
        <f aca="false">COUNTA($BA$1674:$EH$1674)</f>
        <v>5</v>
      </c>
      <c r="AV2224" s="0" t="n">
        <f aca="false">COUNTIF($BA$1674:$EH$1674,"D")</f>
        <v>0</v>
      </c>
      <c r="AW2224" s="0" t="n">
        <f aca="false">COUNTIF($BA$1674:$EH$1674,"R")</f>
        <v>0</v>
      </c>
      <c r="AX2224" s="0" t="n">
        <f aca="false">IF(BN2224="D",1,0)+IF(BO2224="D",1,0)+IF(BT2224="D",1,0)+IF(BU2224="D",1,0)+IF(BW2224="D",1,0)+IF(CC2224="D",1,0)+IF(CD2224="D",1,0)+IF(CE2224="D",1,0)+IF(CF2224="D",1,0)+IF(CL2224="D",1,0)+IF(CM2224="D",1,0)+IF(CQ2224="D",1,0)+IF(CR2224="D",1,0)+IF(CS2224="D",1,0)+IF(CW2224="D",1,0)+IF(CX2224="D",1,0)+IF(DD2224="D",1,0)+IF(DE2224="D",1,0)+IF(DJ2224="D",1,0)+IF(DK2224="D",1,0)+IF(DO2224="D",1,0)+IF(DP2224="D",1,0)+IF(DQ2224="D",1,0)+IF(DW2224="D",1,0)+IF(DZ2224="D",1,0)+IF(EH2224="D",1,0)</f>
        <v>0</v>
      </c>
      <c r="AY2224" s="0" t="n">
        <f aca="false">COUNTIF(DU2224:EH2224, "&lt;&gt;")</f>
        <v>0</v>
      </c>
      <c r="AZ2224" s="0" t="n">
        <f aca="false">IF(EH2224&lt;&gt;"",1,0)</f>
        <v>0</v>
      </c>
      <c r="BB2224" s="0" t="s">
        <v>152</v>
      </c>
      <c r="CY2224" s="0" t="s">
        <v>153</v>
      </c>
    </row>
    <row r="2225" customFormat="false" ht="13.8" hidden="true" customHeight="false" outlineLevel="0" collapsed="false">
      <c r="A2225" s="0" t="s">
        <v>9712</v>
      </c>
      <c r="B2225" s="0" t="n">
        <v>78</v>
      </c>
      <c r="C2225" s="0" t="n">
        <v>423662</v>
      </c>
      <c r="D2225" s="0" t="s">
        <v>9713</v>
      </c>
      <c r="E2225" s="0" t="s">
        <v>274</v>
      </c>
      <c r="F2225" s="0" t="str">
        <f aca="false">CONCATENATE(D2225," ",LEFT(H2225,4),"T=",AU2225,"D=",AV2225,"R=",AW2225,"M=",AX2225,"L=",AY2225,"B=",AZ2225)</f>
        <v>KINZEY T=1D=0R=0M=0L=0B=0</v>
      </c>
      <c r="G2225" s="0" t="s">
        <v>824</v>
      </c>
      <c r="I2225" s="0" t="s">
        <v>9714</v>
      </c>
      <c r="J2225" s="0" t="s">
        <v>9715</v>
      </c>
      <c r="K2225" s="0" t="s">
        <v>143</v>
      </c>
      <c r="M2225" s="0" t="s">
        <v>9711</v>
      </c>
      <c r="N2225" s="0" t="str">
        <f aca="false">RIGHT(M2225,LEN(M2225)-FIND(" ",M2225))</f>
        <v>VINE AVE NE</v>
      </c>
      <c r="P2225" s="0" t="s">
        <v>145</v>
      </c>
      <c r="Q2225" s="0" t="s">
        <v>146</v>
      </c>
      <c r="R2225" s="0" t="n">
        <v>44483</v>
      </c>
      <c r="AD2225" s="0" t="s">
        <v>147</v>
      </c>
      <c r="AE2225" s="0" t="s">
        <v>148</v>
      </c>
      <c r="AF2225" s="0" t="s">
        <v>149</v>
      </c>
      <c r="AH2225" s="0" t="n">
        <v>14</v>
      </c>
      <c r="AI2225" s="0" t="n">
        <v>11</v>
      </c>
      <c r="AN2225" s="0" t="s">
        <v>145</v>
      </c>
      <c r="AO2225" s="0" t="s">
        <v>654</v>
      </c>
      <c r="AP2225" s="0" t="s">
        <v>655</v>
      </c>
      <c r="AQ2225" s="0" t="n">
        <v>9</v>
      </c>
      <c r="AR2225" s="0" t="n">
        <v>64</v>
      </c>
      <c r="AS2225" s="0" t="n">
        <v>32</v>
      </c>
      <c r="AU2225" s="0" t="n">
        <f aca="false">COUNTA($BA$1704:$EH$1704)</f>
        <v>1</v>
      </c>
      <c r="AV2225" s="0" t="n">
        <f aca="false">COUNTIF($BA$1704:$EH$1704,"D")</f>
        <v>0</v>
      </c>
      <c r="AW2225" s="0" t="n">
        <f aca="false">COUNTIF($BA$1704:$EH$1704,"R")</f>
        <v>0</v>
      </c>
      <c r="AX2225" s="0" t="n">
        <f aca="false">IF(BN2225="D",1,0)+IF(BO2225="D",1,0)+IF(BT2225="D",1,0)+IF(BU2225="D",1,0)+IF(BW2225="D",1,0)+IF(CC2225="D",1,0)+IF(CD2225="D",1,0)+IF(CE2225="D",1,0)+IF(CF2225="D",1,0)+IF(CL2225="D",1,0)+IF(CM2225="D",1,0)+IF(CQ2225="D",1,0)+IF(CR2225="D",1,0)+IF(CS2225="D",1,0)+IF(CW2225="D",1,0)+IF(CX2225="D",1,0)+IF(DD2225="D",1,0)+IF(DE2225="D",1,0)+IF(DJ2225="D",1,0)+IF(DK2225="D",1,0)+IF(DO2225="D",1,0)+IF(DP2225="D",1,0)+IF(DQ2225="D",1,0)+IF(DW2225="D",1,0)+IF(DZ2225="D",1,0)+IF(EH2225="D",1,0)</f>
        <v>0</v>
      </c>
      <c r="AY2225" s="0" t="n">
        <f aca="false">COUNTIF(DU2225:EH2225, "&lt;&gt;")</f>
        <v>0</v>
      </c>
      <c r="AZ2225" s="0" t="n">
        <f aca="false">IF(EH2225&lt;&gt;"",1,0)</f>
        <v>0</v>
      </c>
      <c r="BB2225" s="0" t="s">
        <v>152</v>
      </c>
    </row>
    <row r="2226" customFormat="false" ht="13.8" hidden="false" customHeight="false" outlineLevel="0" collapsed="false">
      <c r="A2226" s="0" t="s">
        <v>9716</v>
      </c>
      <c r="B2226" s="0" t="n">
        <v>78</v>
      </c>
      <c r="C2226" s="0" t="n">
        <v>432277</v>
      </c>
      <c r="D2226" s="0" t="s">
        <v>9717</v>
      </c>
      <c r="E2226" s="0" t="s">
        <v>9718</v>
      </c>
      <c r="F2226" s="0" t="str">
        <f aca="false">CONCATENATE(D2226," ",LEFT(H2226,4),"T=",AU2226,"D=",AV2226,"R=",AW2226,"M=",AX2226,"L=",AY2226,"B=",AZ2226)</f>
        <v>WOMACK T=40D=5R=5M=0L=3B=0</v>
      </c>
      <c r="G2226" s="0" t="s">
        <v>307</v>
      </c>
      <c r="I2226" s="0" t="s">
        <v>9719</v>
      </c>
      <c r="J2226" s="0" t="s">
        <v>1994</v>
      </c>
      <c r="K2226" s="0" t="s">
        <v>160</v>
      </c>
      <c r="M2226" s="0" t="s">
        <v>9720</v>
      </c>
      <c r="N2226" s="0" t="str">
        <f aca="false">RIGHT(M2226,LEN(M2226)-FIND(" ",M2226))</f>
        <v>VINE AVE NE</v>
      </c>
      <c r="P2226" s="0" t="s">
        <v>145</v>
      </c>
      <c r="Q2226" s="0" t="s">
        <v>146</v>
      </c>
      <c r="R2226" s="0" t="n">
        <v>44483</v>
      </c>
      <c r="AD2226" s="0" t="s">
        <v>147</v>
      </c>
      <c r="AE2226" s="0" t="s">
        <v>148</v>
      </c>
      <c r="AF2226" s="0" t="s">
        <v>149</v>
      </c>
      <c r="AH2226" s="0" t="n">
        <v>14</v>
      </c>
      <c r="AI2226" s="0" t="n">
        <v>11</v>
      </c>
      <c r="AN2226" s="0" t="s">
        <v>145</v>
      </c>
      <c r="AO2226" s="0" t="s">
        <v>654</v>
      </c>
      <c r="AP2226" s="0" t="s">
        <v>655</v>
      </c>
      <c r="AQ2226" s="0" t="n">
        <v>9</v>
      </c>
      <c r="AR2226" s="0" t="n">
        <v>64</v>
      </c>
      <c r="AS2226" s="0" t="n">
        <v>32</v>
      </c>
      <c r="AU2226" s="0" t="n">
        <f aca="false">COUNTA($BA$1111:$EH$1111)</f>
        <v>40</v>
      </c>
      <c r="AV2226" s="0" t="n">
        <f aca="false">COUNTIF($BA$1111:$EH$1111,"D")</f>
        <v>5</v>
      </c>
      <c r="AW2226" s="0" t="n">
        <f aca="false">COUNTIF($BA$1111:$EH$1111,"R")</f>
        <v>5</v>
      </c>
      <c r="AX2226" s="0" t="n">
        <f aca="false">IF(BN2226="D",1,0)+IF(BO2226="D",1,0)+IF(BT2226="D",1,0)+IF(BU2226="D",1,0)+IF(BW2226="D",1,0)+IF(CC2226="D",1,0)+IF(CD2226="D",1,0)+IF(CE2226="D",1,0)+IF(CF2226="D",1,0)+IF(CL2226="D",1,0)+IF(CM2226="D",1,0)+IF(CQ2226="D",1,0)+IF(CR2226="D",1,0)+IF(CS2226="D",1,0)+IF(CW2226="D",1,0)+IF(CX2226="D",1,0)+IF(DD2226="D",1,0)+IF(DE2226="D",1,0)+IF(DJ2226="D",1,0)+IF(DK2226="D",1,0)+IF(DO2226="D",1,0)+IF(DP2226="D",1,0)+IF(DQ2226="D",1,0)+IF(DW2226="D",1,0)+IF(DZ2226="D",1,0)+IF(EH2226="D",1,0)</f>
        <v>0</v>
      </c>
      <c r="AY2226" s="0" t="n">
        <f aca="false">COUNTIF(DU2226:EH2226, "&lt;&gt;")</f>
        <v>3</v>
      </c>
      <c r="AZ2226" s="0" t="n">
        <f aca="false">IF(EH2226&lt;&gt;"",1,0)</f>
        <v>0</v>
      </c>
      <c r="BB2226" s="0" t="s">
        <v>152</v>
      </c>
      <c r="DI2226" s="0" t="s">
        <v>153</v>
      </c>
      <c r="DL2226" s="0" t="s">
        <v>153</v>
      </c>
      <c r="DN2226" s="0" t="s">
        <v>153</v>
      </c>
      <c r="DX2226" s="0" t="s">
        <v>153</v>
      </c>
      <c r="EA2226" s="0" t="s">
        <v>153</v>
      </c>
      <c r="EF2226" s="0" t="s">
        <v>153</v>
      </c>
    </row>
    <row r="2227" customFormat="false" ht="13.8" hidden="false" customHeight="false" outlineLevel="0" collapsed="false">
      <c r="A2227" s="0" t="s">
        <v>9721</v>
      </c>
      <c r="B2227" s="0" t="n">
        <v>78</v>
      </c>
      <c r="C2227" s="0" t="n">
        <v>433528</v>
      </c>
      <c r="D2227" s="0" t="s">
        <v>1041</v>
      </c>
      <c r="E2227" s="0" t="s">
        <v>1158</v>
      </c>
      <c r="F2227" s="0" t="str">
        <f aca="false">CONCATENATE(D2227," ",LEFT(H2227,4),"T=",AU2227,"D=",AV2227,"R=",AW2227,"M=",AX2227,"L=",AY2227,"B=",AZ2227)</f>
        <v>JONES T=3D=0R=0M=0L=3B=0</v>
      </c>
      <c r="G2227" s="0" t="s">
        <v>190</v>
      </c>
      <c r="I2227" s="0" t="s">
        <v>9722</v>
      </c>
      <c r="J2227" s="0" t="s">
        <v>1994</v>
      </c>
      <c r="K2227" s="0" t="s">
        <v>160</v>
      </c>
      <c r="M2227" s="0" t="s">
        <v>9720</v>
      </c>
      <c r="N2227" s="0" t="str">
        <f aca="false">RIGHT(M2227,LEN(M2227)-FIND(" ",M2227))</f>
        <v>VINE AVE NE</v>
      </c>
      <c r="P2227" s="0" t="s">
        <v>145</v>
      </c>
      <c r="Q2227" s="0" t="s">
        <v>146</v>
      </c>
      <c r="R2227" s="0" t="n">
        <v>44483</v>
      </c>
      <c r="AD2227" s="0" t="s">
        <v>147</v>
      </c>
      <c r="AE2227" s="0" t="s">
        <v>148</v>
      </c>
      <c r="AF2227" s="0" t="s">
        <v>149</v>
      </c>
      <c r="AH2227" s="0" t="n">
        <v>14</v>
      </c>
      <c r="AI2227" s="0" t="n">
        <v>11</v>
      </c>
      <c r="AN2227" s="0" t="s">
        <v>145</v>
      </c>
      <c r="AO2227" s="0" t="s">
        <v>654</v>
      </c>
      <c r="AP2227" s="0" t="s">
        <v>655</v>
      </c>
      <c r="AQ2227" s="0" t="n">
        <v>9</v>
      </c>
      <c r="AR2227" s="0" t="n">
        <v>64</v>
      </c>
      <c r="AS2227" s="0" t="n">
        <v>32</v>
      </c>
      <c r="AU2227" s="0" t="n">
        <f aca="false">COUNTA($BA$1211:$EH$1211)</f>
        <v>3</v>
      </c>
      <c r="AV2227" s="0" t="n">
        <f aca="false">COUNTIF($BA$1211:$EH$1211,"D")</f>
        <v>0</v>
      </c>
      <c r="AW2227" s="0" t="n">
        <f aca="false">COUNTIF($BA$1211:$EH$1211,"R")</f>
        <v>0</v>
      </c>
      <c r="AX2227" s="0" t="n">
        <f aca="false">IF(BN2227="D",1,0)+IF(BO2227="D",1,0)+IF(BT2227="D",1,0)+IF(BU2227="D",1,0)+IF(BW2227="D",1,0)+IF(CC2227="D",1,0)+IF(CD2227="D",1,0)+IF(CE2227="D",1,0)+IF(CF2227="D",1,0)+IF(CL2227="D",1,0)+IF(CM2227="D",1,0)+IF(CQ2227="D",1,0)+IF(CR2227="D",1,0)+IF(CS2227="D",1,0)+IF(CW2227="D",1,0)+IF(CX2227="D",1,0)+IF(DD2227="D",1,0)+IF(DE2227="D",1,0)+IF(DJ2227="D",1,0)+IF(DK2227="D",1,0)+IF(DO2227="D",1,0)+IF(DP2227="D",1,0)+IF(DQ2227="D",1,0)+IF(DW2227="D",1,0)+IF(DZ2227="D",1,0)+IF(EH2227="D",1,0)</f>
        <v>0</v>
      </c>
      <c r="AY2227" s="0" t="n">
        <f aca="false">COUNTIF(DU2227:EH2227, "&lt;&gt;")</f>
        <v>3</v>
      </c>
      <c r="AZ2227" s="0" t="n">
        <f aca="false">IF(EH2227&lt;&gt;"",1,0)</f>
        <v>0</v>
      </c>
      <c r="BB2227" s="0" t="s">
        <v>152</v>
      </c>
      <c r="DI2227" s="0" t="s">
        <v>153</v>
      </c>
      <c r="DL2227" s="0" t="s">
        <v>153</v>
      </c>
      <c r="DN2227" s="0" t="s">
        <v>153</v>
      </c>
      <c r="DX2227" s="0" t="s">
        <v>153</v>
      </c>
      <c r="EA2227" s="0" t="s">
        <v>153</v>
      </c>
      <c r="EF2227" s="0" t="s">
        <v>153</v>
      </c>
    </row>
    <row r="2228" customFormat="false" ht="13.8" hidden="false" customHeight="false" outlineLevel="0" collapsed="false">
      <c r="A2228" s="0" t="s">
        <v>9723</v>
      </c>
      <c r="B2228" s="0" t="n">
        <v>78</v>
      </c>
      <c r="C2228" s="0" t="n">
        <v>432282</v>
      </c>
      <c r="D2228" s="0" t="s">
        <v>9717</v>
      </c>
      <c r="E2228" s="0" t="s">
        <v>9724</v>
      </c>
      <c r="F2228" s="0" t="str">
        <f aca="false">CONCATENATE(D2228," ",LEFT(H2228,4),"T=",AU2228,"D=",AV2228,"R=",AW2228,"M=",AX2228,"L=",AY2228,"B=",AZ2228)</f>
        <v>WOMACK T=1D=0R=0M=0L=3B=0</v>
      </c>
      <c r="G2228" s="0" t="s">
        <v>190</v>
      </c>
      <c r="I2228" s="0" t="s">
        <v>2002</v>
      </c>
      <c r="J2228" s="0" t="s">
        <v>9725</v>
      </c>
      <c r="K2228" s="0" t="s">
        <v>160</v>
      </c>
      <c r="M2228" s="0" t="s">
        <v>9720</v>
      </c>
      <c r="N2228" s="0" t="str">
        <f aca="false">RIGHT(M2228,LEN(M2228)-FIND(" ",M2228))</f>
        <v>VINE AVE NE</v>
      </c>
      <c r="P2228" s="0" t="s">
        <v>145</v>
      </c>
      <c r="Q2228" s="0" t="s">
        <v>146</v>
      </c>
      <c r="R2228" s="0" t="n">
        <v>44483</v>
      </c>
      <c r="AD2228" s="0" t="s">
        <v>147</v>
      </c>
      <c r="AE2228" s="0" t="s">
        <v>148</v>
      </c>
      <c r="AF2228" s="0" t="s">
        <v>149</v>
      </c>
      <c r="AH2228" s="0" t="n">
        <v>14</v>
      </c>
      <c r="AI2228" s="0" t="n">
        <v>11</v>
      </c>
      <c r="AN2228" s="0" t="s">
        <v>145</v>
      </c>
      <c r="AO2228" s="0" t="s">
        <v>654</v>
      </c>
      <c r="AP2228" s="0" t="s">
        <v>655</v>
      </c>
      <c r="AQ2228" s="0" t="n">
        <v>9</v>
      </c>
      <c r="AR2228" s="0" t="n">
        <v>64</v>
      </c>
      <c r="AS2228" s="0" t="n">
        <v>32</v>
      </c>
      <c r="AU2228" s="0" t="n">
        <f aca="false">COUNTA($BA$1251:$EH$1251)</f>
        <v>1</v>
      </c>
      <c r="AV2228" s="0" t="n">
        <f aca="false">COUNTIF($BA$1251:$EH$1251,"D")</f>
        <v>0</v>
      </c>
      <c r="AW2228" s="0" t="n">
        <f aca="false">COUNTIF($BA$1251:$EH$1251,"R")</f>
        <v>0</v>
      </c>
      <c r="AX2228" s="0" t="n">
        <f aca="false">IF(BN2228="D",1,0)+IF(BO2228="D",1,0)+IF(BT2228="D",1,0)+IF(BU2228="D",1,0)+IF(BW2228="D",1,0)+IF(CC2228="D",1,0)+IF(CD2228="D",1,0)+IF(CE2228="D",1,0)+IF(CF2228="D",1,0)+IF(CL2228="D",1,0)+IF(CM2228="D",1,0)+IF(CQ2228="D",1,0)+IF(CR2228="D",1,0)+IF(CS2228="D",1,0)+IF(CW2228="D",1,0)+IF(CX2228="D",1,0)+IF(DD2228="D",1,0)+IF(DE2228="D",1,0)+IF(DJ2228="D",1,0)+IF(DK2228="D",1,0)+IF(DO2228="D",1,0)+IF(DP2228="D",1,0)+IF(DQ2228="D",1,0)+IF(DW2228="D",1,0)+IF(DZ2228="D",1,0)+IF(EH2228="D",1,0)</f>
        <v>0</v>
      </c>
      <c r="AY2228" s="0" t="n">
        <f aca="false">COUNTIF(DU2228:EH2228, "&lt;&gt;")</f>
        <v>3</v>
      </c>
      <c r="AZ2228" s="0" t="n">
        <f aca="false">IF(EH2228&lt;&gt;"",1,0)</f>
        <v>0</v>
      </c>
      <c r="BB2228" s="0" t="s">
        <v>152</v>
      </c>
      <c r="DI2228" s="0" t="s">
        <v>153</v>
      </c>
      <c r="DL2228" s="0" t="s">
        <v>153</v>
      </c>
      <c r="DN2228" s="0" t="s">
        <v>153</v>
      </c>
      <c r="DX2228" s="0" t="s">
        <v>153</v>
      </c>
      <c r="EA2228" s="0" t="s">
        <v>153</v>
      </c>
      <c r="EF2228" s="0" t="s">
        <v>153</v>
      </c>
    </row>
    <row r="2229" customFormat="false" ht="13.8" hidden="false" customHeight="false" outlineLevel="0" collapsed="false">
      <c r="A2229" s="0" t="s">
        <v>9726</v>
      </c>
      <c r="B2229" s="0" t="n">
        <v>78</v>
      </c>
      <c r="C2229" s="0" t="n">
        <v>199406</v>
      </c>
      <c r="D2229" s="0" t="s">
        <v>900</v>
      </c>
      <c r="E2229" s="0" t="s">
        <v>1790</v>
      </c>
      <c r="F2229" s="0" t="str">
        <f aca="false">CONCATENATE(D2229," ",LEFT(H2229,4),"T=",AU2229,"D=",AV2229,"R=",AW2229,"M=",AX2229,"L=",AY2229,"B=",AZ2229)</f>
        <v>HUTCHISON T=3D=0R=0M=4L=3B=0</v>
      </c>
      <c r="G2229" s="0" t="s">
        <v>839</v>
      </c>
      <c r="I2229" s="0" t="s">
        <v>9727</v>
      </c>
      <c r="J2229" s="0" t="s">
        <v>9728</v>
      </c>
      <c r="K2229" s="0" t="s">
        <v>160</v>
      </c>
      <c r="L2229" s="0" t="s">
        <v>175</v>
      </c>
      <c r="M2229" s="0" t="s">
        <v>9729</v>
      </c>
      <c r="N2229" s="0" t="str">
        <f aca="false">RIGHT(M2229,LEN(M2229)-FIND(" ",M2229))</f>
        <v>VINE AVE NE</v>
      </c>
      <c r="P2229" s="0" t="s">
        <v>145</v>
      </c>
      <c r="Q2229" s="0" t="s">
        <v>146</v>
      </c>
      <c r="R2229" s="0" t="n">
        <v>44483</v>
      </c>
      <c r="AD2229" s="0" t="s">
        <v>147</v>
      </c>
      <c r="AE2229" s="0" t="s">
        <v>148</v>
      </c>
      <c r="AF2229" s="0" t="s">
        <v>149</v>
      </c>
      <c r="AH2229" s="0" t="n">
        <v>14</v>
      </c>
      <c r="AI2229" s="0" t="n">
        <v>11</v>
      </c>
      <c r="AN2229" s="0" t="s">
        <v>145</v>
      </c>
      <c r="AO2229" s="0" t="s">
        <v>654</v>
      </c>
      <c r="AP2229" s="0" t="s">
        <v>655</v>
      </c>
      <c r="AQ2229" s="0" t="n">
        <v>9</v>
      </c>
      <c r="AR2229" s="0" t="n">
        <v>64</v>
      </c>
      <c r="AS2229" s="0" t="n">
        <v>32</v>
      </c>
      <c r="AU2229" s="0" t="n">
        <f aca="false">COUNTA($BA$1653:$EH$1653)</f>
        <v>3</v>
      </c>
      <c r="AV2229" s="0" t="n">
        <f aca="false">COUNTIF($BA$1653:$EH$1653,"D")</f>
        <v>0</v>
      </c>
      <c r="AW2229" s="0" t="n">
        <f aca="false">COUNTIF($BA$1653:$EH$1653,"R")</f>
        <v>0</v>
      </c>
      <c r="AX2229" s="0" t="n">
        <f aca="false">IF(BN2229="D",1,0)+IF(BO2229="D",1,0)+IF(BT2229="D",1,0)+IF(BU2229="D",1,0)+IF(BW2229="D",1,0)+IF(CC2229="D",1,0)+IF(CD2229="D",1,0)+IF(CE2229="D",1,0)+IF(CF2229="D",1,0)+IF(CL2229="D",1,0)+IF(CM2229="D",1,0)+IF(CQ2229="D",1,0)+IF(CR2229="D",1,0)+IF(CS2229="D",1,0)+IF(CW2229="D",1,0)+IF(CX2229="D",1,0)+IF(DD2229="D",1,0)+IF(DE2229="D",1,0)+IF(DJ2229="D",1,0)+IF(DK2229="D",1,0)+IF(DO2229="D",1,0)+IF(DP2229="D",1,0)+IF(DQ2229="D",1,0)+IF(DW2229="D",1,0)+IF(DZ2229="D",1,0)+IF(EH2229="D",1,0)</f>
        <v>4</v>
      </c>
      <c r="AY2229" s="0" t="n">
        <f aca="false">COUNTIF(DU2229:EH2229, "&lt;&gt;")</f>
        <v>3</v>
      </c>
      <c r="AZ2229" s="0" t="n">
        <f aca="false">IF(EH2229&lt;&gt;"",1,0)</f>
        <v>0</v>
      </c>
      <c r="BB2229" s="0" t="s">
        <v>152</v>
      </c>
      <c r="BC2229" s="0" t="s">
        <v>153</v>
      </c>
      <c r="BD2229" s="0" t="s">
        <v>153</v>
      </c>
      <c r="BF2229" s="0" t="s">
        <v>153</v>
      </c>
      <c r="BG2229" s="0" t="s">
        <v>153</v>
      </c>
      <c r="BH2229" s="0" t="s">
        <v>153</v>
      </c>
      <c r="BI2229" s="0" t="s">
        <v>153</v>
      </c>
      <c r="BJ2229" s="0" t="s">
        <v>153</v>
      </c>
      <c r="BK2229" s="0" t="s">
        <v>153</v>
      </c>
      <c r="BL2229" s="0" t="s">
        <v>153</v>
      </c>
      <c r="BP2229" s="0" t="s">
        <v>153</v>
      </c>
      <c r="BR2229" s="0" t="s">
        <v>153</v>
      </c>
      <c r="BS2229" s="0" t="s">
        <v>153</v>
      </c>
      <c r="BT2229" s="0" t="s">
        <v>153</v>
      </c>
      <c r="BV2229" s="0" t="s">
        <v>153</v>
      </c>
      <c r="BY2229" s="0" t="s">
        <v>175</v>
      </c>
      <c r="CA2229" s="0" t="s">
        <v>153</v>
      </c>
      <c r="CG2229" s="0" t="s">
        <v>153</v>
      </c>
      <c r="CK2229" s="0" t="s">
        <v>153</v>
      </c>
      <c r="CL2229" s="0" t="s">
        <v>175</v>
      </c>
      <c r="CN2229" s="0" t="s">
        <v>153</v>
      </c>
      <c r="CO2229" s="0" t="s">
        <v>175</v>
      </c>
      <c r="CP2229" s="0" t="s">
        <v>153</v>
      </c>
      <c r="CT2229" s="0" t="s">
        <v>153</v>
      </c>
      <c r="CV2229" s="0" t="s">
        <v>153</v>
      </c>
      <c r="CW2229" s="0" t="s">
        <v>175</v>
      </c>
      <c r="CY2229" s="0" t="s">
        <v>153</v>
      </c>
      <c r="CZ2229" s="0" t="s">
        <v>175</v>
      </c>
      <c r="DC2229" s="0" t="s">
        <v>153</v>
      </c>
      <c r="DF2229" s="0" t="s">
        <v>153</v>
      </c>
      <c r="DG2229" s="0" t="s">
        <v>175</v>
      </c>
      <c r="DI2229" s="0" t="s">
        <v>153</v>
      </c>
      <c r="DJ2229" s="0" t="s">
        <v>175</v>
      </c>
      <c r="DL2229" s="0" t="s">
        <v>153</v>
      </c>
      <c r="DM2229" s="0" t="s">
        <v>175</v>
      </c>
      <c r="DN2229" s="0" t="s">
        <v>153</v>
      </c>
      <c r="DU2229" s="0" t="s">
        <v>153</v>
      </c>
      <c r="DW2229" s="0" t="s">
        <v>175</v>
      </c>
      <c r="EF2229" s="0" t="s">
        <v>153</v>
      </c>
    </row>
    <row r="2230" customFormat="false" ht="13.8" hidden="true" customHeight="false" outlineLevel="0" collapsed="false">
      <c r="A2230" s="0" t="s">
        <v>9730</v>
      </c>
      <c r="B2230" s="0" t="n">
        <v>78</v>
      </c>
      <c r="C2230" s="0" t="n">
        <v>392802</v>
      </c>
      <c r="D2230" s="0" t="s">
        <v>1634</v>
      </c>
      <c r="E2230" s="0" t="s">
        <v>4536</v>
      </c>
      <c r="F2230" s="0" t="str">
        <f aca="false">CONCATENATE(D2230," ",LEFT(H2230,4),"T=",AU2230,"D=",AV2230,"R=",AW2230,"M=",AX2230,"L=",AY2230,"B=",AZ2230)</f>
        <v>BARNES T=26D=2R=3M=0L=0B=0</v>
      </c>
      <c r="G2230" s="0" t="s">
        <v>195</v>
      </c>
      <c r="I2230" s="0" t="s">
        <v>2185</v>
      </c>
      <c r="J2230" s="0" t="s">
        <v>565</v>
      </c>
      <c r="K2230" s="0" t="s">
        <v>143</v>
      </c>
      <c r="M2230" s="0" t="s">
        <v>9731</v>
      </c>
      <c r="N2230" s="0" t="str">
        <f aca="false">RIGHT(M2230,LEN(M2230)-FIND(" ",M2230))</f>
        <v>VINE AVE NE</v>
      </c>
      <c r="P2230" s="0" t="s">
        <v>145</v>
      </c>
      <c r="Q2230" s="0" t="s">
        <v>146</v>
      </c>
      <c r="R2230" s="0" t="n">
        <v>44483</v>
      </c>
      <c r="AD2230" s="0" t="s">
        <v>147</v>
      </c>
      <c r="AE2230" s="0" t="s">
        <v>148</v>
      </c>
      <c r="AF2230" s="0" t="s">
        <v>149</v>
      </c>
      <c r="AH2230" s="0" t="n">
        <v>14</v>
      </c>
      <c r="AI2230" s="0" t="n">
        <v>11</v>
      </c>
      <c r="AN2230" s="0" t="s">
        <v>145</v>
      </c>
      <c r="AO2230" s="0" t="s">
        <v>654</v>
      </c>
      <c r="AP2230" s="0" t="s">
        <v>655</v>
      </c>
      <c r="AQ2230" s="0" t="n">
        <v>9</v>
      </c>
      <c r="AR2230" s="0" t="n">
        <v>64</v>
      </c>
      <c r="AS2230" s="0" t="n">
        <v>32</v>
      </c>
      <c r="AU2230" s="0" t="n">
        <f aca="false">COUNTA($BA$1448:$EH$1448)</f>
        <v>26</v>
      </c>
      <c r="AV2230" s="0" t="n">
        <f aca="false">COUNTIF($BA$1448:$EH$1448,"D")</f>
        <v>2</v>
      </c>
      <c r="AW2230" s="0" t="n">
        <f aca="false">COUNTIF($BA$1448:$EH$1448,"R")</f>
        <v>3</v>
      </c>
      <c r="AX2230" s="0" t="n">
        <f aca="false">IF(BN2230="D",1,0)+IF(BO2230="D",1,0)+IF(BT2230="D",1,0)+IF(BU2230="D",1,0)+IF(BW2230="D",1,0)+IF(CC2230="D",1,0)+IF(CD2230="D",1,0)+IF(CE2230="D",1,0)+IF(CF2230="D",1,0)+IF(CL2230="D",1,0)+IF(CM2230="D",1,0)+IF(CQ2230="D",1,0)+IF(CR2230="D",1,0)+IF(CS2230="D",1,0)+IF(CW2230="D",1,0)+IF(CX2230="D",1,0)+IF(DD2230="D",1,0)+IF(DE2230="D",1,0)+IF(DJ2230="D",1,0)+IF(DK2230="D",1,0)+IF(DO2230="D",1,0)+IF(DP2230="D",1,0)+IF(DQ2230="D",1,0)+IF(DW2230="D",1,0)+IF(DZ2230="D",1,0)+IF(EH2230="D",1,0)</f>
        <v>0</v>
      </c>
      <c r="AY2230" s="0" t="n">
        <f aca="false">COUNTIF(DU2230:EH2230, "&lt;&gt;")</f>
        <v>0</v>
      </c>
      <c r="AZ2230" s="0" t="n">
        <f aca="false">IF(EH2230&lt;&gt;"",1,0)</f>
        <v>0</v>
      </c>
      <c r="BB2230" s="0" t="s">
        <v>152</v>
      </c>
    </row>
    <row r="2231" customFormat="false" ht="13.8" hidden="false" customHeight="false" outlineLevel="0" collapsed="false">
      <c r="A2231" s="0" t="s">
        <v>9732</v>
      </c>
      <c r="B2231" s="0" t="n">
        <v>78</v>
      </c>
      <c r="C2231" s="0" t="n">
        <v>434997</v>
      </c>
      <c r="D2231" s="0" t="s">
        <v>9733</v>
      </c>
      <c r="E2231" s="0" t="s">
        <v>1734</v>
      </c>
      <c r="F2231" s="0" t="str">
        <f aca="false">CONCATENATE(D2231," ",LEFT(H2231,4),"T=",AU2231,"D=",AV2231,"R=",AW2231,"M=",AX2231,"L=",AY2231,"B=",AZ2231)</f>
        <v>TOLER T=2D=0R=0M=0L=3B=0</v>
      </c>
      <c r="G2231" s="0" t="s">
        <v>195</v>
      </c>
      <c r="I2231" s="0" t="s">
        <v>9734</v>
      </c>
      <c r="J2231" s="0" t="s">
        <v>5575</v>
      </c>
      <c r="K2231" s="0" t="s">
        <v>160</v>
      </c>
      <c r="M2231" s="0" t="s">
        <v>9731</v>
      </c>
      <c r="N2231" s="0" t="str">
        <f aca="false">RIGHT(M2231,LEN(M2231)-FIND(" ",M2231))</f>
        <v>VINE AVE NE</v>
      </c>
      <c r="P2231" s="0" t="s">
        <v>145</v>
      </c>
      <c r="Q2231" s="0" t="s">
        <v>146</v>
      </c>
      <c r="R2231" s="0" t="n">
        <v>44483</v>
      </c>
      <c r="AD2231" s="0" t="s">
        <v>147</v>
      </c>
      <c r="AE2231" s="0" t="s">
        <v>148</v>
      </c>
      <c r="AF2231" s="0" t="s">
        <v>149</v>
      </c>
      <c r="AH2231" s="0" t="n">
        <v>14</v>
      </c>
      <c r="AI2231" s="0" t="n">
        <v>11</v>
      </c>
      <c r="AN2231" s="0" t="s">
        <v>145</v>
      </c>
      <c r="AO2231" s="0" t="s">
        <v>654</v>
      </c>
      <c r="AP2231" s="0" t="s">
        <v>655</v>
      </c>
      <c r="AQ2231" s="0" t="n">
        <v>9</v>
      </c>
      <c r="AR2231" s="0" t="n">
        <v>64</v>
      </c>
      <c r="AS2231" s="0" t="n">
        <v>32</v>
      </c>
      <c r="AU2231" s="0" t="n">
        <f aca="false">COUNTA($BA$1508:$EH$1508)</f>
        <v>2</v>
      </c>
      <c r="AV2231" s="0" t="n">
        <f aca="false">COUNTIF($BA$1508:$EH$1508,"D")</f>
        <v>0</v>
      </c>
      <c r="AW2231" s="0" t="n">
        <f aca="false">COUNTIF($BA$1508:$EH$1508,"R")</f>
        <v>0</v>
      </c>
      <c r="AX2231" s="0" t="n">
        <f aca="false">IF(BN2231="D",1,0)+IF(BO2231="D",1,0)+IF(BT2231="D",1,0)+IF(BU2231="D",1,0)+IF(BW2231="D",1,0)+IF(CC2231="D",1,0)+IF(CD2231="D",1,0)+IF(CE2231="D",1,0)+IF(CF2231="D",1,0)+IF(CL2231="D",1,0)+IF(CM2231="D",1,0)+IF(CQ2231="D",1,0)+IF(CR2231="D",1,0)+IF(CS2231="D",1,0)+IF(CW2231="D",1,0)+IF(CX2231="D",1,0)+IF(DD2231="D",1,0)+IF(DE2231="D",1,0)+IF(DJ2231="D",1,0)+IF(DK2231="D",1,0)+IF(DO2231="D",1,0)+IF(DP2231="D",1,0)+IF(DQ2231="D",1,0)+IF(DW2231="D",1,0)+IF(DZ2231="D",1,0)+IF(EH2231="D",1,0)</f>
        <v>0</v>
      </c>
      <c r="AY2231" s="0" t="n">
        <f aca="false">COUNTIF(DU2231:EH2231, "&lt;&gt;")</f>
        <v>3</v>
      </c>
      <c r="AZ2231" s="0" t="n">
        <f aca="false">IF(EH2231&lt;&gt;"",1,0)</f>
        <v>0</v>
      </c>
      <c r="BB2231" s="0" t="s">
        <v>152</v>
      </c>
      <c r="CA2231" s="0" t="s">
        <v>153</v>
      </c>
      <c r="DI2231" s="0" t="s">
        <v>153</v>
      </c>
      <c r="DN2231" s="0" t="s">
        <v>153</v>
      </c>
      <c r="DU2231" s="0" t="s">
        <v>153</v>
      </c>
      <c r="EA2231" s="0" t="s">
        <v>153</v>
      </c>
      <c r="EF2231" s="0" t="s">
        <v>153</v>
      </c>
    </row>
    <row r="2232" customFormat="false" ht="13.8" hidden="false" customHeight="false" outlineLevel="0" collapsed="false">
      <c r="A2232" s="0" t="s">
        <v>9735</v>
      </c>
      <c r="B2232" s="0" t="n">
        <v>78</v>
      </c>
      <c r="C2232" s="0" t="n">
        <v>206382</v>
      </c>
      <c r="D2232" s="0" t="s">
        <v>9736</v>
      </c>
      <c r="E2232" s="0" t="s">
        <v>481</v>
      </c>
      <c r="F2232" s="0" t="str">
        <f aca="false">CONCATENATE(D2232," ",LEFT(H2232,4),"T=",AU2232,"D=",AV2232,"R=",AW2232,"M=",AX2232,"L=",AY2232,"B=",AZ2232)</f>
        <v>HATHHORN T=3D=0R=0M=7L=7B=1</v>
      </c>
      <c r="G2232" s="0" t="s">
        <v>171</v>
      </c>
      <c r="I2232" s="0" t="s">
        <v>9737</v>
      </c>
      <c r="J2232" s="0" t="s">
        <v>1447</v>
      </c>
      <c r="K2232" s="0" t="s">
        <v>160</v>
      </c>
      <c r="L2232" s="0" t="s">
        <v>175</v>
      </c>
      <c r="M2232" s="0" t="s">
        <v>9738</v>
      </c>
      <c r="N2232" s="0" t="str">
        <f aca="false">RIGHT(M2232,LEN(M2232)-FIND(" ",M2232))</f>
        <v>VINE AVE NE</v>
      </c>
      <c r="P2232" s="0" t="s">
        <v>145</v>
      </c>
      <c r="Q2232" s="0" t="s">
        <v>146</v>
      </c>
      <c r="R2232" s="0" t="n">
        <v>44483</v>
      </c>
      <c r="AD2232" s="0" t="s">
        <v>147</v>
      </c>
      <c r="AE2232" s="0" t="s">
        <v>148</v>
      </c>
      <c r="AF2232" s="0" t="s">
        <v>149</v>
      </c>
      <c r="AH2232" s="0" t="n">
        <v>14</v>
      </c>
      <c r="AI2232" s="0" t="n">
        <v>11</v>
      </c>
      <c r="AN2232" s="0" t="s">
        <v>145</v>
      </c>
      <c r="AO2232" s="0" t="s">
        <v>654</v>
      </c>
      <c r="AP2232" s="0" t="s">
        <v>655</v>
      </c>
      <c r="AQ2232" s="0" t="n">
        <v>9</v>
      </c>
      <c r="AR2232" s="0" t="n">
        <v>64</v>
      </c>
      <c r="AS2232" s="0" t="n">
        <v>32</v>
      </c>
      <c r="AU2232" s="0" t="n">
        <f aca="false">COUNTA($BA$1121:$EH$1121)</f>
        <v>3</v>
      </c>
      <c r="AV2232" s="0" t="n">
        <f aca="false">COUNTIF($BA$1121:$EH$1121,"D")</f>
        <v>0</v>
      </c>
      <c r="AW2232" s="0" t="n">
        <f aca="false">COUNTIF($BA$1121:$EH$1121,"R")</f>
        <v>0</v>
      </c>
      <c r="AX2232" s="0" t="n">
        <f aca="false">IF(BN2232="D",1,0)+IF(BO2232="D",1,0)+IF(BT2232="D",1,0)+IF(BU2232="D",1,0)+IF(BW2232="D",1,0)+IF(CC2232="D",1,0)+IF(CD2232="D",1,0)+IF(CE2232="D",1,0)+IF(CF2232="D",1,0)+IF(CL2232="D",1,0)+IF(CM2232="D",1,0)+IF(CQ2232="D",1,0)+IF(CR2232="D",1,0)+IF(CS2232="D",1,0)+IF(CW2232="D",1,0)+IF(CX2232="D",1,0)+IF(DD2232="D",1,0)+IF(DE2232="D",1,0)+IF(DJ2232="D",1,0)+IF(DK2232="D",1,0)+IF(DO2232="D",1,0)+IF(DP2232="D",1,0)+IF(DQ2232="D",1,0)+IF(DW2232="D",1,0)+IF(DZ2232="D",1,0)+IF(EH2232="D",1,0)</f>
        <v>7</v>
      </c>
      <c r="AY2232" s="0" t="n">
        <f aca="false">COUNTIF(DU2232:EH2232, "&lt;&gt;")</f>
        <v>7</v>
      </c>
      <c r="AZ2232" s="0" t="n">
        <f aca="false">IF(EH2232&lt;&gt;"",1,0)</f>
        <v>1</v>
      </c>
      <c r="BB2232" s="0" t="s">
        <v>152</v>
      </c>
      <c r="BC2232" s="0" t="s">
        <v>153</v>
      </c>
      <c r="BD2232" s="0" t="s">
        <v>153</v>
      </c>
      <c r="BF2232" s="0" t="s">
        <v>153</v>
      </c>
      <c r="BG2232" s="0" t="s">
        <v>153</v>
      </c>
      <c r="BI2232" s="0" t="s">
        <v>153</v>
      </c>
      <c r="BJ2232" s="0" t="s">
        <v>153</v>
      </c>
      <c r="BK2232" s="0" t="s">
        <v>153</v>
      </c>
      <c r="BL2232" s="0" t="s">
        <v>153</v>
      </c>
      <c r="BP2232" s="0" t="s">
        <v>153</v>
      </c>
      <c r="BR2232" s="0" t="s">
        <v>153</v>
      </c>
      <c r="BS2232" s="0" t="s">
        <v>153</v>
      </c>
      <c r="BY2232" s="0" t="s">
        <v>175</v>
      </c>
      <c r="CA2232" s="0" t="s">
        <v>153</v>
      </c>
      <c r="CC2232" s="0" t="s">
        <v>175</v>
      </c>
      <c r="CG2232" s="0" t="s">
        <v>153</v>
      </c>
      <c r="CH2232" s="0" t="s">
        <v>175</v>
      </c>
      <c r="CK2232" s="0" t="s">
        <v>153</v>
      </c>
      <c r="CL2232" s="0" t="s">
        <v>175</v>
      </c>
      <c r="CN2232" s="0" t="s">
        <v>153</v>
      </c>
      <c r="CO2232" s="0" t="s">
        <v>175</v>
      </c>
      <c r="CP2232" s="0" t="s">
        <v>153</v>
      </c>
      <c r="CU2232" s="0" t="s">
        <v>175</v>
      </c>
      <c r="CV2232" s="0" t="s">
        <v>153</v>
      </c>
      <c r="CW2232" s="0" t="s">
        <v>175</v>
      </c>
      <c r="CY2232" s="0" t="s">
        <v>153</v>
      </c>
      <c r="CZ2232" s="0" t="s">
        <v>175</v>
      </c>
      <c r="DC2232" s="0" t="s">
        <v>153</v>
      </c>
      <c r="DD2232" s="0" t="s">
        <v>175</v>
      </c>
      <c r="DF2232" s="0" t="s">
        <v>153</v>
      </c>
      <c r="DG2232" s="0" t="s">
        <v>175</v>
      </c>
      <c r="DI2232" s="0" t="s">
        <v>153</v>
      </c>
      <c r="DJ2232" s="0" t="s">
        <v>175</v>
      </c>
      <c r="DL2232" s="0" t="s">
        <v>153</v>
      </c>
      <c r="DM2232" s="0" t="s">
        <v>175</v>
      </c>
      <c r="DN2232" s="0" t="s">
        <v>153</v>
      </c>
      <c r="DR2232" s="0" t="s">
        <v>153</v>
      </c>
      <c r="DS2232" s="0" t="s">
        <v>175</v>
      </c>
      <c r="DT2232" s="0" t="s">
        <v>175</v>
      </c>
      <c r="DU2232" s="0" t="s">
        <v>153</v>
      </c>
      <c r="DW2232" s="0" t="s">
        <v>175</v>
      </c>
      <c r="DX2232" s="0" t="s">
        <v>153</v>
      </c>
      <c r="EA2232" s="0" t="s">
        <v>153</v>
      </c>
      <c r="ED2232" s="0" t="s">
        <v>175</v>
      </c>
      <c r="EF2232" s="0" t="s">
        <v>153</v>
      </c>
      <c r="EH2232" s="0" t="s">
        <v>175</v>
      </c>
    </row>
    <row r="2233" customFormat="false" ht="13.8" hidden="true" customHeight="false" outlineLevel="0" collapsed="false">
      <c r="A2233" s="0" t="s">
        <v>9739</v>
      </c>
      <c r="B2233" s="0" t="n">
        <v>78</v>
      </c>
      <c r="C2233" s="0" t="n">
        <v>1852</v>
      </c>
      <c r="D2233" s="0" t="s">
        <v>9740</v>
      </c>
      <c r="E2233" s="0" t="s">
        <v>1158</v>
      </c>
      <c r="F2233" s="0" t="str">
        <f aca="false">CONCATENATE(D2233," ",LEFT(H2233,4),"T=",AU2233,"D=",AV2233,"R=",AW2233,"M=",AX2233,"L=",AY2233,"B=",AZ2233)</f>
        <v>MOLLARD T=14D=2R=0M=0L=0B=0</v>
      </c>
      <c r="G2233" s="0" t="s">
        <v>195</v>
      </c>
      <c r="I2233" s="0" t="s">
        <v>9741</v>
      </c>
      <c r="J2233" s="0" t="s">
        <v>2226</v>
      </c>
      <c r="K2233" s="0" t="s">
        <v>143</v>
      </c>
      <c r="M2233" s="0" t="s">
        <v>9742</v>
      </c>
      <c r="N2233" s="0" t="str">
        <f aca="false">RIGHT(M2233,LEN(M2233)-FIND(" ",M2233))</f>
        <v>VINE AVE NE</v>
      </c>
      <c r="P2233" s="0" t="s">
        <v>145</v>
      </c>
      <c r="Q2233" s="0" t="s">
        <v>146</v>
      </c>
      <c r="R2233" s="0" t="n">
        <v>44483</v>
      </c>
      <c r="AD2233" s="0" t="s">
        <v>147</v>
      </c>
      <c r="AE2233" s="0" t="s">
        <v>148</v>
      </c>
      <c r="AF2233" s="0" t="s">
        <v>149</v>
      </c>
      <c r="AH2233" s="0" t="n">
        <v>14</v>
      </c>
      <c r="AI2233" s="0" t="n">
        <v>11</v>
      </c>
      <c r="AN2233" s="0" t="s">
        <v>145</v>
      </c>
      <c r="AO2233" s="0" t="s">
        <v>654</v>
      </c>
      <c r="AP2233" s="0" t="s">
        <v>655</v>
      </c>
      <c r="AQ2233" s="0" t="n">
        <v>9</v>
      </c>
      <c r="AR2233" s="0" t="n">
        <v>64</v>
      </c>
      <c r="AS2233" s="0" t="n">
        <v>32</v>
      </c>
      <c r="AU2233" s="0" t="n">
        <f aca="false">COUNTA($BA$1308:$EH$1308)</f>
        <v>14</v>
      </c>
      <c r="AV2233" s="0" t="n">
        <f aca="false">COUNTIF($BA$1308:$EH$1308,"D")</f>
        <v>2</v>
      </c>
      <c r="AW2233" s="0" t="n">
        <f aca="false">COUNTIF($BA$1308:$EH$1308,"R")</f>
        <v>0</v>
      </c>
      <c r="AX2233" s="0" t="n">
        <f aca="false">IF(BN2233="D",1,0)+IF(BO2233="D",1,0)+IF(BT2233="D",1,0)+IF(BU2233="D",1,0)+IF(BW2233="D",1,0)+IF(CC2233="D",1,0)+IF(CD2233="D",1,0)+IF(CE2233="D",1,0)+IF(CF2233="D",1,0)+IF(CL2233="D",1,0)+IF(CM2233="D",1,0)+IF(CQ2233="D",1,0)+IF(CR2233="D",1,0)+IF(CS2233="D",1,0)+IF(CW2233="D",1,0)+IF(CX2233="D",1,0)+IF(DD2233="D",1,0)+IF(DE2233="D",1,0)+IF(DJ2233="D",1,0)+IF(DK2233="D",1,0)+IF(DO2233="D",1,0)+IF(DP2233="D",1,0)+IF(DQ2233="D",1,0)+IF(DW2233="D",1,0)+IF(DZ2233="D",1,0)+IF(EH2233="D",1,0)</f>
        <v>0</v>
      </c>
      <c r="AY2233" s="0" t="n">
        <f aca="false">COUNTIF(DU2233:EH2233, "&lt;&gt;")</f>
        <v>0</v>
      </c>
      <c r="AZ2233" s="0" t="n">
        <f aca="false">IF(EH2233&lt;&gt;"",1,0)</f>
        <v>0</v>
      </c>
      <c r="BB2233" s="0" t="s">
        <v>152</v>
      </c>
      <c r="BC2233" s="0" t="s">
        <v>153</v>
      </c>
      <c r="BD2233" s="0" t="s">
        <v>153</v>
      </c>
      <c r="BE2233" s="0" t="s">
        <v>153</v>
      </c>
      <c r="BH2233" s="0" t="s">
        <v>153</v>
      </c>
      <c r="BI2233" s="0" t="s">
        <v>153</v>
      </c>
      <c r="BJ2233" s="0" t="s">
        <v>153</v>
      </c>
      <c r="BK2233" s="0" t="s">
        <v>153</v>
      </c>
      <c r="BL2233" s="0" t="s">
        <v>153</v>
      </c>
      <c r="BP2233" s="0" t="s">
        <v>153</v>
      </c>
      <c r="BR2233" s="0" t="s">
        <v>153</v>
      </c>
      <c r="BS2233" s="0" t="s">
        <v>153</v>
      </c>
      <c r="BT2233" s="0" t="s">
        <v>153</v>
      </c>
      <c r="BY2233" s="0" t="s">
        <v>175</v>
      </c>
      <c r="CA2233" s="0" t="s">
        <v>153</v>
      </c>
      <c r="CG2233" s="0" t="s">
        <v>153</v>
      </c>
      <c r="CK2233" s="0" t="s">
        <v>153</v>
      </c>
      <c r="CN2233" s="0" t="s">
        <v>153</v>
      </c>
      <c r="CP2233" s="0" t="s">
        <v>153</v>
      </c>
      <c r="CV2233" s="0" t="s">
        <v>153</v>
      </c>
      <c r="CY2233" s="0" t="s">
        <v>153</v>
      </c>
      <c r="DN2233" s="0" t="s">
        <v>153</v>
      </c>
    </row>
    <row r="2234" customFormat="false" ht="13.8" hidden="false" customHeight="false" outlineLevel="0" collapsed="false">
      <c r="A2234" s="0" t="s">
        <v>9743</v>
      </c>
      <c r="B2234" s="0" t="n">
        <v>78</v>
      </c>
      <c r="C2234" s="0" t="n">
        <v>348599</v>
      </c>
      <c r="D2234" s="0" t="s">
        <v>1445</v>
      </c>
      <c r="E2234" s="0" t="s">
        <v>637</v>
      </c>
      <c r="F2234" s="0" t="str">
        <f aca="false">CONCATENATE(D2234," ",LEFT(H2234,4),"T=",AU2234,"D=",AV2234,"R=",AW2234,"M=",AX2234,"L=",AY2234,"B=",AZ2234)</f>
        <v>WILLIAMS T=2D=0R=0M=0L=4B=0</v>
      </c>
      <c r="G2234" s="0" t="s">
        <v>3167</v>
      </c>
      <c r="I2234" s="0" t="s">
        <v>9744</v>
      </c>
      <c r="J2234" s="0" t="s">
        <v>9745</v>
      </c>
      <c r="K2234" s="0" t="s">
        <v>160</v>
      </c>
      <c r="L2234" s="0" t="s">
        <v>209</v>
      </c>
      <c r="M2234" s="0" t="s">
        <v>9746</v>
      </c>
      <c r="N2234" s="0" t="str">
        <f aca="false">RIGHT(M2234,LEN(M2234)-FIND(" ",M2234))</f>
        <v>VINE AVE NE</v>
      </c>
      <c r="P2234" s="0" t="s">
        <v>145</v>
      </c>
      <c r="Q2234" s="0" t="s">
        <v>146</v>
      </c>
      <c r="R2234" s="0" t="n">
        <v>44483</v>
      </c>
      <c r="AD2234" s="0" t="s">
        <v>147</v>
      </c>
      <c r="AE2234" s="0" t="s">
        <v>148</v>
      </c>
      <c r="AF2234" s="0" t="s">
        <v>149</v>
      </c>
      <c r="AH2234" s="0" t="n">
        <v>14</v>
      </c>
      <c r="AI2234" s="0" t="n">
        <v>11</v>
      </c>
      <c r="AN2234" s="0" t="s">
        <v>145</v>
      </c>
      <c r="AO2234" s="0" t="s">
        <v>654</v>
      </c>
      <c r="AP2234" s="0" t="s">
        <v>655</v>
      </c>
      <c r="AQ2234" s="0" t="n">
        <v>9</v>
      </c>
      <c r="AR2234" s="0" t="n">
        <v>64</v>
      </c>
      <c r="AS2234" s="0" t="n">
        <v>32</v>
      </c>
      <c r="AU2234" s="0" t="n">
        <f aca="false">COUNTA($BA$1976:$EH$1976)</f>
        <v>2</v>
      </c>
      <c r="AV2234" s="0" t="n">
        <f aca="false">COUNTIF($BA$1976:$EH$1976,"D")</f>
        <v>0</v>
      </c>
      <c r="AW2234" s="0" t="n">
        <f aca="false">COUNTIF($BA$1976:$EH$1976,"R")</f>
        <v>0</v>
      </c>
      <c r="AX2234" s="0" t="n">
        <f aca="false">IF(BN2234="D",1,0)+IF(BO2234="D",1,0)+IF(BT2234="D",1,0)+IF(BU2234="D",1,0)+IF(BW2234="D",1,0)+IF(CC2234="D",1,0)+IF(CD2234="D",1,0)+IF(CE2234="D",1,0)+IF(CF2234="D",1,0)+IF(CL2234="D",1,0)+IF(CM2234="D",1,0)+IF(CQ2234="D",1,0)+IF(CR2234="D",1,0)+IF(CS2234="D",1,0)+IF(CW2234="D",1,0)+IF(CX2234="D",1,0)+IF(DD2234="D",1,0)+IF(DE2234="D",1,0)+IF(DJ2234="D",1,0)+IF(DK2234="D",1,0)+IF(DO2234="D",1,0)+IF(DP2234="D",1,0)+IF(DQ2234="D",1,0)+IF(DW2234="D",1,0)+IF(DZ2234="D",1,0)+IF(EH2234="D",1,0)</f>
        <v>0</v>
      </c>
      <c r="AY2234" s="0" t="n">
        <f aca="false">COUNTIF(DU2234:EH2234, "&lt;&gt;")</f>
        <v>4</v>
      </c>
      <c r="AZ2234" s="0" t="n">
        <f aca="false">IF(EH2234&lt;&gt;"",1,0)</f>
        <v>0</v>
      </c>
      <c r="BB2234" s="0" t="s">
        <v>152</v>
      </c>
      <c r="BY2234" s="0" t="s">
        <v>209</v>
      </c>
      <c r="CA2234" s="0" t="s">
        <v>153</v>
      </c>
      <c r="CK2234" s="0" t="s">
        <v>153</v>
      </c>
      <c r="CN2234" s="0" t="s">
        <v>153</v>
      </c>
      <c r="CO2234" s="0" t="s">
        <v>209</v>
      </c>
      <c r="CP2234" s="0" t="s">
        <v>153</v>
      </c>
      <c r="CV2234" s="0" t="s">
        <v>153</v>
      </c>
      <c r="CZ2234" s="0" t="s">
        <v>209</v>
      </c>
      <c r="DC2234" s="0" t="s">
        <v>153</v>
      </c>
      <c r="DI2234" s="0" t="s">
        <v>153</v>
      </c>
      <c r="DN2234" s="0" t="s">
        <v>153</v>
      </c>
      <c r="DS2234" s="0" t="s">
        <v>209</v>
      </c>
      <c r="DU2234" s="0" t="s">
        <v>153</v>
      </c>
      <c r="DX2234" s="0" t="s">
        <v>153</v>
      </c>
      <c r="EA2234" s="0" t="s">
        <v>153</v>
      </c>
      <c r="EF2234" s="0" t="s">
        <v>153</v>
      </c>
    </row>
    <row r="2235" customFormat="false" ht="13.8" hidden="true" customHeight="false" outlineLevel="0" collapsed="false">
      <c r="A2235" s="0" t="s">
        <v>9747</v>
      </c>
      <c r="B2235" s="0" t="n">
        <v>78</v>
      </c>
      <c r="C2235" s="0" t="n">
        <v>459852</v>
      </c>
      <c r="D2235" s="0" t="s">
        <v>9748</v>
      </c>
      <c r="E2235" s="0" t="s">
        <v>9749</v>
      </c>
      <c r="F2235" s="0" t="str">
        <f aca="false">CONCATENATE(D2235," ",LEFT(H2235,4),"T=",AU2235,"D=",AV2235,"R=",AW2235,"M=",AX2235,"L=",AY2235,"B=",AZ2235)</f>
        <v>NEWSOM T=2D=0R=0M=0L=0B=0</v>
      </c>
      <c r="G2235" s="0" t="s">
        <v>670</v>
      </c>
      <c r="I2235" s="0" t="s">
        <v>9750</v>
      </c>
      <c r="J2235" s="0" t="s">
        <v>3831</v>
      </c>
      <c r="K2235" s="0" t="s">
        <v>160</v>
      </c>
      <c r="M2235" s="0" t="s">
        <v>9751</v>
      </c>
      <c r="N2235" s="0" t="str">
        <f aca="false">RIGHT(M2235,LEN(M2235)-FIND(" ",M2235))</f>
        <v>VINE AVE NE</v>
      </c>
      <c r="P2235" s="0" t="s">
        <v>145</v>
      </c>
      <c r="Q2235" s="0" t="s">
        <v>146</v>
      </c>
      <c r="R2235" s="0" t="n">
        <v>44483</v>
      </c>
      <c r="AD2235" s="0" t="s">
        <v>147</v>
      </c>
      <c r="AE2235" s="0" t="s">
        <v>148</v>
      </c>
      <c r="AF2235" s="0" t="s">
        <v>149</v>
      </c>
      <c r="AH2235" s="0" t="n">
        <v>14</v>
      </c>
      <c r="AI2235" s="0" t="n">
        <v>11</v>
      </c>
      <c r="AN2235" s="0" t="s">
        <v>145</v>
      </c>
      <c r="AO2235" s="0" t="s">
        <v>654</v>
      </c>
      <c r="AP2235" s="0" t="s">
        <v>655</v>
      </c>
      <c r="AQ2235" s="0" t="n">
        <v>9</v>
      </c>
      <c r="AR2235" s="0" t="n">
        <v>64</v>
      </c>
      <c r="AS2235" s="0" t="n">
        <v>32</v>
      </c>
      <c r="AU2235" s="0" t="n">
        <f aca="false">COUNTA($BA$1103:$EH$1103)</f>
        <v>2</v>
      </c>
      <c r="AV2235" s="0" t="n">
        <f aca="false">COUNTIF($BA$1103:$EH$1103,"D")</f>
        <v>0</v>
      </c>
      <c r="AW2235" s="0" t="n">
        <f aca="false">COUNTIF($BA$1103:$EH$1103,"R")</f>
        <v>0</v>
      </c>
      <c r="AX2235" s="0" t="n">
        <f aca="false">IF(BN2235="D",1,0)+IF(BO2235="D",1,0)+IF(BT2235="D",1,0)+IF(BU2235="D",1,0)+IF(BW2235="D",1,0)+IF(CC2235="D",1,0)+IF(CD2235="D",1,0)+IF(CE2235="D",1,0)+IF(CF2235="D",1,0)+IF(CL2235="D",1,0)+IF(CM2235="D",1,0)+IF(CQ2235="D",1,0)+IF(CR2235="D",1,0)+IF(CS2235="D",1,0)+IF(CW2235="D",1,0)+IF(CX2235="D",1,0)+IF(DD2235="D",1,0)+IF(DE2235="D",1,0)+IF(DJ2235="D",1,0)+IF(DK2235="D",1,0)+IF(DO2235="D",1,0)+IF(DP2235="D",1,0)+IF(DQ2235="D",1,0)+IF(DW2235="D",1,0)+IF(DZ2235="D",1,0)+IF(EH2235="D",1,0)</f>
        <v>0</v>
      </c>
      <c r="AY2235" s="0" t="n">
        <f aca="false">COUNTIF(DU2235:EH2235, "&lt;&gt;")</f>
        <v>0</v>
      </c>
      <c r="AZ2235" s="0" t="n">
        <f aca="false">IF(EH2235&lt;&gt;"",1,0)</f>
        <v>0</v>
      </c>
      <c r="BB2235" s="0" t="s">
        <v>152</v>
      </c>
    </row>
    <row r="2236" customFormat="false" ht="13.8" hidden="true" customHeight="false" outlineLevel="0" collapsed="false">
      <c r="A2236" s="0" t="s">
        <v>9752</v>
      </c>
      <c r="B2236" s="0" t="n">
        <v>78</v>
      </c>
      <c r="C2236" s="0" t="n">
        <v>406489</v>
      </c>
      <c r="D2236" s="0" t="s">
        <v>2297</v>
      </c>
      <c r="E2236" s="0" t="s">
        <v>2675</v>
      </c>
      <c r="F2236" s="0" t="str">
        <f aca="false">CONCATENATE(D2236," ",LEFT(H2236,4),"T=",AU2236,"D=",AV2236,"R=",AW2236,"M=",AX2236,"L=",AY2236,"B=",AZ2236)</f>
        <v>ROLLAND T=2D=0R=0M=0L=0B=0</v>
      </c>
      <c r="G2236" s="0" t="s">
        <v>9753</v>
      </c>
      <c r="I2236" s="0" t="s">
        <v>9754</v>
      </c>
      <c r="J2236" s="0" t="s">
        <v>9755</v>
      </c>
      <c r="K2236" s="0" t="s">
        <v>143</v>
      </c>
      <c r="M2236" s="0" t="s">
        <v>9751</v>
      </c>
      <c r="N2236" s="0" t="str">
        <f aca="false">RIGHT(M2236,LEN(M2236)-FIND(" ",M2236))</f>
        <v>VINE AVE NE</v>
      </c>
      <c r="P2236" s="0" t="s">
        <v>145</v>
      </c>
      <c r="Q2236" s="0" t="s">
        <v>146</v>
      </c>
      <c r="R2236" s="0" t="n">
        <v>44483</v>
      </c>
      <c r="AD2236" s="0" t="s">
        <v>147</v>
      </c>
      <c r="AE2236" s="0" t="s">
        <v>148</v>
      </c>
      <c r="AF2236" s="0" t="s">
        <v>149</v>
      </c>
      <c r="AH2236" s="0" t="n">
        <v>14</v>
      </c>
      <c r="AI2236" s="0" t="n">
        <v>11</v>
      </c>
      <c r="AN2236" s="0" t="s">
        <v>145</v>
      </c>
      <c r="AO2236" s="0" t="s">
        <v>654</v>
      </c>
      <c r="AP2236" s="0" t="s">
        <v>655</v>
      </c>
      <c r="AQ2236" s="0" t="n">
        <v>9</v>
      </c>
      <c r="AR2236" s="0" t="n">
        <v>64</v>
      </c>
      <c r="AS2236" s="0" t="n">
        <v>32</v>
      </c>
      <c r="AU2236" s="0" t="n">
        <f aca="false">COUNTA($BA$1274:$EH$1274)</f>
        <v>2</v>
      </c>
      <c r="AV2236" s="0" t="n">
        <f aca="false">COUNTIF($BA$1274:$EH$1274,"D")</f>
        <v>0</v>
      </c>
      <c r="AW2236" s="0" t="n">
        <f aca="false">COUNTIF($BA$1274:$EH$1274,"R")</f>
        <v>0</v>
      </c>
      <c r="AX2236" s="0" t="n">
        <f aca="false">IF(BN2236="D",1,0)+IF(BO2236="D",1,0)+IF(BT2236="D",1,0)+IF(BU2236="D",1,0)+IF(BW2236="D",1,0)+IF(CC2236="D",1,0)+IF(CD2236="D",1,0)+IF(CE2236="D",1,0)+IF(CF2236="D",1,0)+IF(CL2236="D",1,0)+IF(CM2236="D",1,0)+IF(CQ2236="D",1,0)+IF(CR2236="D",1,0)+IF(CS2236="D",1,0)+IF(CW2236="D",1,0)+IF(CX2236="D",1,0)+IF(DD2236="D",1,0)+IF(DE2236="D",1,0)+IF(DJ2236="D",1,0)+IF(DK2236="D",1,0)+IF(DO2236="D",1,0)+IF(DP2236="D",1,0)+IF(DQ2236="D",1,0)+IF(DW2236="D",1,0)+IF(DZ2236="D",1,0)+IF(EH2236="D",1,0)</f>
        <v>0</v>
      </c>
      <c r="AY2236" s="0" t="n">
        <f aca="false">COUNTIF(DU2236:EH2236, "&lt;&gt;")</f>
        <v>0</v>
      </c>
      <c r="AZ2236" s="0" t="n">
        <f aca="false">IF(EH2236&lt;&gt;"",1,0)</f>
        <v>0</v>
      </c>
      <c r="BB2236" s="0" t="s">
        <v>152</v>
      </c>
      <c r="CY2236" s="0" t="s">
        <v>153</v>
      </c>
    </row>
    <row r="2237" customFormat="false" ht="13.8" hidden="false" customHeight="false" outlineLevel="0" collapsed="false">
      <c r="A2237" s="0" t="s">
        <v>9756</v>
      </c>
      <c r="B2237" s="0" t="n">
        <v>78</v>
      </c>
      <c r="C2237" s="0" t="n">
        <v>284640</v>
      </c>
      <c r="D2237" s="0" t="s">
        <v>4943</v>
      </c>
      <c r="E2237" s="0" t="s">
        <v>9757</v>
      </c>
      <c r="F2237" s="0" t="str">
        <f aca="false">CONCATENATE(D2237," ",LEFT(H2237,4),"T=",AU2237,"D=",AV2237,"R=",AW2237,"M=",AX2237,"L=",AY2237,"B=",AZ2237)</f>
        <v>COOK T=1D=0R=0M=1L=3B=0</v>
      </c>
      <c r="G2237" s="0" t="s">
        <v>190</v>
      </c>
      <c r="I2237" s="0" t="s">
        <v>9758</v>
      </c>
      <c r="J2237" s="0" t="s">
        <v>8684</v>
      </c>
      <c r="K2237" s="0" t="s">
        <v>160</v>
      </c>
      <c r="L2237" s="0" t="s">
        <v>175</v>
      </c>
      <c r="M2237" s="0" t="s">
        <v>9751</v>
      </c>
      <c r="N2237" s="0" t="str">
        <f aca="false">RIGHT(M2237,LEN(M2237)-FIND(" ",M2237))</f>
        <v>VINE AVE NE</v>
      </c>
      <c r="P2237" s="0" t="s">
        <v>145</v>
      </c>
      <c r="Q2237" s="0" t="s">
        <v>146</v>
      </c>
      <c r="R2237" s="0" t="n">
        <v>44483</v>
      </c>
      <c r="AD2237" s="0" t="s">
        <v>147</v>
      </c>
      <c r="AE2237" s="0" t="s">
        <v>148</v>
      </c>
      <c r="AF2237" s="0" t="s">
        <v>149</v>
      </c>
      <c r="AH2237" s="0" t="n">
        <v>14</v>
      </c>
      <c r="AI2237" s="0" t="n">
        <v>11</v>
      </c>
      <c r="AN2237" s="0" t="s">
        <v>145</v>
      </c>
      <c r="AO2237" s="0" t="s">
        <v>654</v>
      </c>
      <c r="AP2237" s="0" t="s">
        <v>655</v>
      </c>
      <c r="AQ2237" s="0" t="n">
        <v>9</v>
      </c>
      <c r="AR2237" s="0" t="n">
        <v>64</v>
      </c>
      <c r="AS2237" s="0" t="n">
        <v>32</v>
      </c>
      <c r="AU2237" s="0" t="n">
        <f aca="false">COUNTA($BA$1371:$EH$1371)</f>
        <v>1</v>
      </c>
      <c r="AV2237" s="0" t="n">
        <f aca="false">COUNTIF($BA$1371:$EH$1371,"D")</f>
        <v>0</v>
      </c>
      <c r="AW2237" s="0" t="n">
        <f aca="false">COUNTIF($BA$1371:$EH$1371,"R")</f>
        <v>0</v>
      </c>
      <c r="AX2237" s="0" t="n">
        <f aca="false">IF(BN2237="D",1,0)+IF(BO2237="D",1,0)+IF(BT2237="D",1,0)+IF(BU2237="D",1,0)+IF(BW2237="D",1,0)+IF(CC2237="D",1,0)+IF(CD2237="D",1,0)+IF(CE2237="D",1,0)+IF(CF2237="D",1,0)+IF(CL2237="D",1,0)+IF(CM2237="D",1,0)+IF(CQ2237="D",1,0)+IF(CR2237="D",1,0)+IF(CS2237="D",1,0)+IF(CW2237="D",1,0)+IF(CX2237="D",1,0)+IF(DD2237="D",1,0)+IF(DE2237="D",1,0)+IF(DJ2237="D",1,0)+IF(DK2237="D",1,0)+IF(DO2237="D",1,0)+IF(DP2237="D",1,0)+IF(DQ2237="D",1,0)+IF(DW2237="D",1,0)+IF(DZ2237="D",1,0)+IF(EH2237="D",1,0)</f>
        <v>1</v>
      </c>
      <c r="AY2237" s="0" t="n">
        <f aca="false">COUNTIF(DU2237:EH2237, "&lt;&gt;")</f>
        <v>3</v>
      </c>
      <c r="AZ2237" s="0" t="n">
        <f aca="false">IF(EH2237&lt;&gt;"",1,0)</f>
        <v>0</v>
      </c>
      <c r="BB2237" s="0" t="s">
        <v>152</v>
      </c>
      <c r="BL2237" s="0" t="s">
        <v>153</v>
      </c>
      <c r="CA2237" s="0" t="s">
        <v>153</v>
      </c>
      <c r="CK2237" s="0" t="s">
        <v>153</v>
      </c>
      <c r="CL2237" s="0" t="s">
        <v>175</v>
      </c>
      <c r="CN2237" s="0" t="s">
        <v>153</v>
      </c>
      <c r="CY2237" s="0" t="s">
        <v>153</v>
      </c>
      <c r="CZ2237" s="0" t="s">
        <v>209</v>
      </c>
      <c r="DC2237" s="0" t="s">
        <v>153</v>
      </c>
      <c r="DN2237" s="0" t="s">
        <v>153</v>
      </c>
      <c r="DU2237" s="0" t="s">
        <v>153</v>
      </c>
      <c r="ED2237" s="0" t="s">
        <v>175</v>
      </c>
      <c r="EF2237" s="0" t="s">
        <v>153</v>
      </c>
    </row>
    <row r="2238" customFormat="false" ht="13.8" hidden="true" customHeight="false" outlineLevel="0" collapsed="false">
      <c r="A2238" s="0" t="s">
        <v>9759</v>
      </c>
      <c r="B2238" s="0" t="n">
        <v>78</v>
      </c>
      <c r="C2238" s="0" t="n">
        <v>371528</v>
      </c>
      <c r="D2238" s="0" t="s">
        <v>9760</v>
      </c>
      <c r="E2238" s="0" t="s">
        <v>8142</v>
      </c>
      <c r="F2238" s="0" t="str">
        <f aca="false">CONCATENATE(D2238," ",LEFT(H2238,4),"T=",AU2238,"D=",AV2238,"R=",AW2238,"M=",AX2238,"L=",AY2238,"B=",AZ2238)</f>
        <v>DANKO T=1D=0R=0M=0L=0B=0</v>
      </c>
      <c r="G2238" s="0" t="s">
        <v>481</v>
      </c>
      <c r="I2238" s="0" t="s">
        <v>9761</v>
      </c>
      <c r="J2238" s="0" t="s">
        <v>7778</v>
      </c>
      <c r="K2238" s="0" t="s">
        <v>143</v>
      </c>
      <c r="M2238" s="0" t="s">
        <v>9751</v>
      </c>
      <c r="N2238" s="0" t="str">
        <f aca="false">RIGHT(M2238,LEN(M2238)-FIND(" ",M2238))</f>
        <v>VINE AVE NE</v>
      </c>
      <c r="P2238" s="0" t="s">
        <v>145</v>
      </c>
      <c r="Q2238" s="0" t="s">
        <v>146</v>
      </c>
      <c r="R2238" s="0" t="n">
        <v>44483</v>
      </c>
      <c r="AD2238" s="0" t="s">
        <v>147</v>
      </c>
      <c r="AE2238" s="0" t="s">
        <v>148</v>
      </c>
      <c r="AF2238" s="0" t="s">
        <v>149</v>
      </c>
      <c r="AH2238" s="0" t="n">
        <v>14</v>
      </c>
      <c r="AI2238" s="0" t="n">
        <v>11</v>
      </c>
      <c r="AN2238" s="0" t="s">
        <v>145</v>
      </c>
      <c r="AO2238" s="0" t="s">
        <v>654</v>
      </c>
      <c r="AP2238" s="0" t="s">
        <v>655</v>
      </c>
      <c r="AQ2238" s="0" t="n">
        <v>9</v>
      </c>
      <c r="AR2238" s="0" t="n">
        <v>64</v>
      </c>
      <c r="AS2238" s="0" t="n">
        <v>32</v>
      </c>
      <c r="AU2238" s="0" t="n">
        <f aca="false">COUNTA($BA$1685:$EH$1685)</f>
        <v>1</v>
      </c>
      <c r="AV2238" s="0" t="n">
        <f aca="false">COUNTIF($BA$1685:$EH$1685,"D")</f>
        <v>0</v>
      </c>
      <c r="AW2238" s="0" t="n">
        <f aca="false">COUNTIF($BA$1685:$EH$1685,"R")</f>
        <v>0</v>
      </c>
      <c r="AX2238" s="0" t="n">
        <f aca="false">IF(BN2238="D",1,0)+IF(BO2238="D",1,0)+IF(BT2238="D",1,0)+IF(BU2238="D",1,0)+IF(BW2238="D",1,0)+IF(CC2238="D",1,0)+IF(CD2238="D",1,0)+IF(CE2238="D",1,0)+IF(CF2238="D",1,0)+IF(CL2238="D",1,0)+IF(CM2238="D",1,0)+IF(CQ2238="D",1,0)+IF(CR2238="D",1,0)+IF(CS2238="D",1,0)+IF(CW2238="D",1,0)+IF(CX2238="D",1,0)+IF(DD2238="D",1,0)+IF(DE2238="D",1,0)+IF(DJ2238="D",1,0)+IF(DK2238="D",1,0)+IF(DO2238="D",1,0)+IF(DP2238="D",1,0)+IF(DQ2238="D",1,0)+IF(DW2238="D",1,0)+IF(DZ2238="D",1,0)+IF(EH2238="D",1,0)</f>
        <v>0</v>
      </c>
      <c r="AY2238" s="0" t="n">
        <f aca="false">COUNTIF(DU2238:EH2238, "&lt;&gt;")</f>
        <v>0</v>
      </c>
      <c r="AZ2238" s="0" t="n">
        <f aca="false">IF(EH2238&lt;&gt;"",1,0)</f>
        <v>0</v>
      </c>
      <c r="BB2238" s="0" t="s">
        <v>152</v>
      </c>
      <c r="BV2238" s="0" t="s">
        <v>153</v>
      </c>
      <c r="BY2238" s="0" t="s">
        <v>175</v>
      </c>
      <c r="CA2238" s="0" t="s">
        <v>153</v>
      </c>
      <c r="CG2238" s="0" t="s">
        <v>153</v>
      </c>
      <c r="CP2238" s="0" t="s">
        <v>153</v>
      </c>
      <c r="DC2238" s="0" t="s">
        <v>153</v>
      </c>
    </row>
    <row r="2239" customFormat="false" ht="13.8" hidden="true" customHeight="false" outlineLevel="0" collapsed="false">
      <c r="A2239" s="0" t="s">
        <v>9762</v>
      </c>
      <c r="B2239" s="0" t="n">
        <v>78</v>
      </c>
      <c r="C2239" s="0" t="n">
        <v>495364</v>
      </c>
      <c r="D2239" s="0" t="s">
        <v>9763</v>
      </c>
      <c r="E2239" s="0" t="s">
        <v>1208</v>
      </c>
      <c r="F2239" s="0" t="str">
        <f aca="false">CONCATENATE(D2239," ",LEFT(H2239,4),"T=",AU2239,"D=",AV2239,"R=",AW2239,"M=",AX2239,"L=",AY2239,"B=",AZ2239)</f>
        <v>VIVIO T=1D=0R=0M=0L=0B=0</v>
      </c>
      <c r="G2239" s="0" t="s">
        <v>325</v>
      </c>
      <c r="I2239" s="0" t="s">
        <v>9764</v>
      </c>
      <c r="J2239" s="0" t="s">
        <v>9765</v>
      </c>
      <c r="K2239" s="0" t="s">
        <v>143</v>
      </c>
      <c r="M2239" s="0" t="s">
        <v>9766</v>
      </c>
      <c r="N2239" s="0" t="str">
        <f aca="false">RIGHT(M2239,LEN(M2239)-FIND(" ",M2239))</f>
        <v>W MARKET ST</v>
      </c>
      <c r="P2239" s="0" t="s">
        <v>145</v>
      </c>
      <c r="Q2239" s="0" t="s">
        <v>146</v>
      </c>
      <c r="R2239" s="0" t="n">
        <v>44481</v>
      </c>
      <c r="AD2239" s="0" t="s">
        <v>147</v>
      </c>
      <c r="AE2239" s="0" t="s">
        <v>148</v>
      </c>
      <c r="AF2239" s="0" t="s">
        <v>149</v>
      </c>
      <c r="AH2239" s="0" t="n">
        <v>14</v>
      </c>
      <c r="AI2239" s="0" t="n">
        <v>11</v>
      </c>
      <c r="AN2239" s="0" t="s">
        <v>145</v>
      </c>
      <c r="AO2239" s="0" t="s">
        <v>654</v>
      </c>
      <c r="AP2239" s="0" t="s">
        <v>655</v>
      </c>
      <c r="AQ2239" s="0" t="n">
        <v>9</v>
      </c>
      <c r="AR2239" s="0" t="n">
        <v>64</v>
      </c>
      <c r="AS2239" s="0" t="n">
        <v>32</v>
      </c>
      <c r="AU2239" s="0" t="n">
        <f aca="false">COUNTA($BA$1626:$EH$1626)</f>
        <v>1</v>
      </c>
      <c r="AV2239" s="0" t="n">
        <f aca="false">COUNTIF($BA$1626:$EH$1626,"D")</f>
        <v>0</v>
      </c>
      <c r="AW2239" s="0" t="n">
        <f aca="false">COUNTIF($BA$1626:$EH$1626,"R")</f>
        <v>0</v>
      </c>
      <c r="AX2239" s="0" t="n">
        <f aca="false">IF(BN2239="D",1,0)+IF(BO2239="D",1,0)+IF(BT2239="D",1,0)+IF(BU2239="D",1,0)+IF(BW2239="D",1,0)+IF(CC2239="D",1,0)+IF(CD2239="D",1,0)+IF(CE2239="D",1,0)+IF(CF2239="D",1,0)+IF(CL2239="D",1,0)+IF(CM2239="D",1,0)+IF(CQ2239="D",1,0)+IF(CR2239="D",1,0)+IF(CS2239="D",1,0)+IF(CW2239="D",1,0)+IF(CX2239="D",1,0)+IF(DD2239="D",1,0)+IF(DE2239="D",1,0)+IF(DJ2239="D",1,0)+IF(DK2239="D",1,0)+IF(DO2239="D",1,0)+IF(DP2239="D",1,0)+IF(DQ2239="D",1,0)+IF(DW2239="D",1,0)+IF(DZ2239="D",1,0)+IF(EH2239="D",1,0)</f>
        <v>0</v>
      </c>
      <c r="AY2239" s="0" t="n">
        <f aca="false">COUNTIF(DU2239:EH2239, "&lt;&gt;")</f>
        <v>0</v>
      </c>
      <c r="AZ2239" s="0" t="n">
        <f aca="false">IF(EH2239&lt;&gt;"",1,0)</f>
        <v>0</v>
      </c>
      <c r="BB2239" s="0" t="s">
        <v>152</v>
      </c>
    </row>
    <row r="2240" customFormat="false" ht="13.8" hidden="true" customHeight="false" outlineLevel="0" collapsed="false">
      <c r="A2240" s="0" t="s">
        <v>9767</v>
      </c>
      <c r="B2240" s="0" t="n">
        <v>78</v>
      </c>
      <c r="C2240" s="0" t="n">
        <v>474589</v>
      </c>
      <c r="D2240" s="0" t="s">
        <v>1461</v>
      </c>
      <c r="E2240" s="0" t="s">
        <v>5166</v>
      </c>
      <c r="F2240" s="0" t="str">
        <f aca="false">CONCATENATE(D2240," ",LEFT(H2240,4),"T=",AU2240,"D=",AV2240,"R=",AW2240,"M=",AX2240,"L=",AY2240,"B=",AZ2240)</f>
        <v>PERRY T=2D=0R=0M=0L=0B=0</v>
      </c>
      <c r="G2240" s="0" t="s">
        <v>5712</v>
      </c>
      <c r="I2240" s="0" t="s">
        <v>9768</v>
      </c>
      <c r="J2240" s="0" t="s">
        <v>3247</v>
      </c>
      <c r="K2240" s="0" t="s">
        <v>160</v>
      </c>
      <c r="M2240" s="0" t="s">
        <v>9766</v>
      </c>
      <c r="N2240" s="0" t="str">
        <f aca="false">RIGHT(M2240,LEN(M2240)-FIND(" ",M2240))</f>
        <v>W MARKET ST</v>
      </c>
      <c r="P2240" s="0" t="s">
        <v>145</v>
      </c>
      <c r="Q2240" s="0" t="s">
        <v>146</v>
      </c>
      <c r="R2240" s="0" t="n">
        <v>44481</v>
      </c>
      <c r="AD2240" s="0" t="s">
        <v>147</v>
      </c>
      <c r="AE2240" s="0" t="s">
        <v>148</v>
      </c>
      <c r="AF2240" s="0" t="s">
        <v>149</v>
      </c>
      <c r="AH2240" s="0" t="n">
        <v>14</v>
      </c>
      <c r="AI2240" s="0" t="n">
        <v>11</v>
      </c>
      <c r="AN2240" s="0" t="s">
        <v>145</v>
      </c>
      <c r="AO2240" s="0" t="s">
        <v>654</v>
      </c>
      <c r="AP2240" s="0" t="s">
        <v>655</v>
      </c>
      <c r="AQ2240" s="0" t="n">
        <v>9</v>
      </c>
      <c r="AR2240" s="0" t="n">
        <v>64</v>
      </c>
      <c r="AS2240" s="0" t="n">
        <v>32</v>
      </c>
      <c r="AU2240" s="0" t="n">
        <f aca="false">COUNTA($BA$1635:$EH$1635)</f>
        <v>2</v>
      </c>
      <c r="AV2240" s="0" t="n">
        <f aca="false">COUNTIF($BA$1635:$EH$1635,"D")</f>
        <v>0</v>
      </c>
      <c r="AW2240" s="0" t="n">
        <f aca="false">COUNTIF($BA$1635:$EH$1635,"R")</f>
        <v>0</v>
      </c>
      <c r="AX2240" s="0" t="n">
        <f aca="false">IF(BN2240="D",1,0)+IF(BO2240="D",1,0)+IF(BT2240="D",1,0)+IF(BU2240="D",1,0)+IF(BW2240="D",1,0)+IF(CC2240="D",1,0)+IF(CD2240="D",1,0)+IF(CE2240="D",1,0)+IF(CF2240="D",1,0)+IF(CL2240="D",1,0)+IF(CM2240="D",1,0)+IF(CQ2240="D",1,0)+IF(CR2240="D",1,0)+IF(CS2240="D",1,0)+IF(CW2240="D",1,0)+IF(CX2240="D",1,0)+IF(DD2240="D",1,0)+IF(DE2240="D",1,0)+IF(DJ2240="D",1,0)+IF(DK2240="D",1,0)+IF(DO2240="D",1,0)+IF(DP2240="D",1,0)+IF(DQ2240="D",1,0)+IF(DW2240="D",1,0)+IF(DZ2240="D",1,0)+IF(EH2240="D",1,0)</f>
        <v>0</v>
      </c>
      <c r="AY2240" s="0" t="n">
        <f aca="false">COUNTIF(DU2240:EH2240, "&lt;&gt;")</f>
        <v>0</v>
      </c>
      <c r="AZ2240" s="0" t="n">
        <f aca="false">IF(EH2240&lt;&gt;"",1,0)</f>
        <v>0</v>
      </c>
      <c r="BB2240" s="0" t="s">
        <v>152</v>
      </c>
    </row>
    <row r="2241" customFormat="false" ht="13.8" hidden="false" customHeight="false" outlineLevel="0" collapsed="false">
      <c r="A2241" s="0" t="s">
        <v>9769</v>
      </c>
      <c r="B2241" s="0" t="n">
        <v>78</v>
      </c>
      <c r="C2241" s="0" t="n">
        <v>413589</v>
      </c>
      <c r="D2241" s="0" t="s">
        <v>2889</v>
      </c>
      <c r="E2241" s="0" t="s">
        <v>697</v>
      </c>
      <c r="F2241" s="0" t="str">
        <f aca="false">CONCATENATE(D2241," ",LEFT(H2241,4),"T=",AU2241,"D=",AV2241,"R=",AW2241,"M=",AX2241,"L=",AY2241,"B=",AZ2241)</f>
        <v>WHEELER T=52D=18R=0M=0L=2B=0</v>
      </c>
      <c r="G2241" s="0" t="s">
        <v>307</v>
      </c>
      <c r="I2241" s="0" t="s">
        <v>9770</v>
      </c>
      <c r="J2241" s="0" t="s">
        <v>1658</v>
      </c>
      <c r="K2241" s="0" t="s">
        <v>160</v>
      </c>
      <c r="M2241" s="0" t="s">
        <v>9771</v>
      </c>
      <c r="N2241" s="0" t="str">
        <f aca="false">RIGHT(M2241,LEN(M2241)-FIND(" ",M2241))</f>
        <v>W MARKET ST</v>
      </c>
      <c r="O2241" s="0" t="s">
        <v>9772</v>
      </c>
      <c r="P2241" s="0" t="s">
        <v>145</v>
      </c>
      <c r="Q2241" s="0" t="s">
        <v>146</v>
      </c>
      <c r="R2241" s="0" t="n">
        <v>44481</v>
      </c>
      <c r="AD2241" s="0" t="s">
        <v>147</v>
      </c>
      <c r="AE2241" s="0" t="s">
        <v>148</v>
      </c>
      <c r="AF2241" s="0" t="s">
        <v>149</v>
      </c>
      <c r="AH2241" s="0" t="n">
        <v>14</v>
      </c>
      <c r="AI2241" s="0" t="n">
        <v>11</v>
      </c>
      <c r="AN2241" s="0" t="s">
        <v>145</v>
      </c>
      <c r="AO2241" s="0" t="s">
        <v>654</v>
      </c>
      <c r="AP2241" s="0" t="s">
        <v>655</v>
      </c>
      <c r="AQ2241" s="0" t="n">
        <v>9</v>
      </c>
      <c r="AR2241" s="0" t="n">
        <v>64</v>
      </c>
      <c r="AS2241" s="0" t="n">
        <v>32</v>
      </c>
      <c r="AU2241" s="0" t="n">
        <f aca="false">COUNTA($BA$1167:$EH$1167)</f>
        <v>52</v>
      </c>
      <c r="AV2241" s="0" t="n">
        <f aca="false">COUNTIF($BA$1167:$EH$1167,"D")</f>
        <v>18</v>
      </c>
      <c r="AW2241" s="0" t="n">
        <f aca="false">COUNTIF($BA$1167:$EH$1167,"R")</f>
        <v>0</v>
      </c>
      <c r="AX2241" s="0" t="n">
        <f aca="false">IF(BN2241="D",1,0)+IF(BO2241="D",1,0)+IF(BT2241="D",1,0)+IF(BU2241="D",1,0)+IF(BW2241="D",1,0)+IF(CC2241="D",1,0)+IF(CD2241="D",1,0)+IF(CE2241="D",1,0)+IF(CF2241="D",1,0)+IF(CL2241="D",1,0)+IF(CM2241="D",1,0)+IF(CQ2241="D",1,0)+IF(CR2241="D",1,0)+IF(CS2241="D",1,0)+IF(CW2241="D",1,0)+IF(CX2241="D",1,0)+IF(DD2241="D",1,0)+IF(DE2241="D",1,0)+IF(DJ2241="D",1,0)+IF(DK2241="D",1,0)+IF(DO2241="D",1,0)+IF(DP2241="D",1,0)+IF(DQ2241="D",1,0)+IF(DW2241="D",1,0)+IF(DZ2241="D",1,0)+IF(EH2241="D",1,0)</f>
        <v>0</v>
      </c>
      <c r="AY2241" s="0" t="n">
        <f aca="false">COUNTIF(DU2241:EH2241, "&lt;&gt;")</f>
        <v>2</v>
      </c>
      <c r="AZ2241" s="0" t="n">
        <f aca="false">IF(EH2241&lt;&gt;"",1,0)</f>
        <v>0</v>
      </c>
      <c r="BB2241" s="0" t="s">
        <v>152</v>
      </c>
      <c r="DN2241" s="0" t="s">
        <v>153</v>
      </c>
      <c r="EA2241" s="0" t="s">
        <v>153</v>
      </c>
      <c r="EF2241" s="0" t="s">
        <v>153</v>
      </c>
    </row>
    <row r="2242" customFormat="false" ht="13.8" hidden="true" customHeight="false" outlineLevel="0" collapsed="false">
      <c r="A2242" s="0" t="s">
        <v>9773</v>
      </c>
      <c r="B2242" s="0" t="n">
        <v>78</v>
      </c>
      <c r="C2242" s="0" t="n">
        <v>355993</v>
      </c>
      <c r="D2242" s="0" t="s">
        <v>2889</v>
      </c>
      <c r="E2242" s="0" t="s">
        <v>5280</v>
      </c>
      <c r="F2242" s="0" t="str">
        <f aca="false">CONCATENATE(D2242," ",LEFT(H2242,4),"T=",AU2242,"D=",AV2242,"R=",AW2242,"M=",AX2242,"L=",AY2242,"B=",AZ2242)</f>
        <v>WHEELER T=27D=7R=0M=0L=1B=0</v>
      </c>
      <c r="G2242" s="0" t="s">
        <v>274</v>
      </c>
      <c r="I2242" s="0" t="s">
        <v>9774</v>
      </c>
      <c r="J2242" s="0" t="s">
        <v>9775</v>
      </c>
      <c r="K2242" s="0" t="s">
        <v>160</v>
      </c>
      <c r="M2242" s="0" t="s">
        <v>9771</v>
      </c>
      <c r="N2242" s="0" t="str">
        <f aca="false">RIGHT(M2242,LEN(M2242)-FIND(" ",M2242))</f>
        <v>W MARKET ST</v>
      </c>
      <c r="O2242" s="0" t="s">
        <v>9772</v>
      </c>
      <c r="P2242" s="0" t="s">
        <v>145</v>
      </c>
      <c r="Q2242" s="0" t="s">
        <v>146</v>
      </c>
      <c r="R2242" s="0" t="n">
        <v>44481</v>
      </c>
      <c r="AD2242" s="0" t="s">
        <v>147</v>
      </c>
      <c r="AE2242" s="0" t="s">
        <v>148</v>
      </c>
      <c r="AF2242" s="0" t="s">
        <v>149</v>
      </c>
      <c r="AH2242" s="0" t="n">
        <v>14</v>
      </c>
      <c r="AI2242" s="0" t="n">
        <v>11</v>
      </c>
      <c r="AN2242" s="0" t="s">
        <v>145</v>
      </c>
      <c r="AO2242" s="0" t="s">
        <v>654</v>
      </c>
      <c r="AP2242" s="0" t="s">
        <v>655</v>
      </c>
      <c r="AQ2242" s="0" t="n">
        <v>9</v>
      </c>
      <c r="AR2242" s="0" t="n">
        <v>64</v>
      </c>
      <c r="AS2242" s="0" t="n">
        <v>32</v>
      </c>
      <c r="AU2242" s="0" t="n">
        <f aca="false">COUNTA($BA$1722:$EH$1722)</f>
        <v>27</v>
      </c>
      <c r="AV2242" s="0" t="n">
        <f aca="false">COUNTIF($BA$1722:$EH$1722,"D")</f>
        <v>7</v>
      </c>
      <c r="AW2242" s="0" t="n">
        <f aca="false">COUNTIF($BA$1722:$EH$1722,"R")</f>
        <v>0</v>
      </c>
      <c r="AX2242" s="0" t="n">
        <f aca="false">IF(BN2242="D",1,0)+IF(BO2242="D",1,0)+IF(BT2242="D",1,0)+IF(BU2242="D",1,0)+IF(BW2242="D",1,0)+IF(CC2242="D",1,0)+IF(CD2242="D",1,0)+IF(CE2242="D",1,0)+IF(CF2242="D",1,0)+IF(CL2242="D",1,0)+IF(CM2242="D",1,0)+IF(CQ2242="D",1,0)+IF(CR2242="D",1,0)+IF(CS2242="D",1,0)+IF(CW2242="D",1,0)+IF(CX2242="D",1,0)+IF(DD2242="D",1,0)+IF(DE2242="D",1,0)+IF(DJ2242="D",1,0)+IF(DK2242="D",1,0)+IF(DO2242="D",1,0)+IF(DP2242="D",1,0)+IF(DQ2242="D",1,0)+IF(DW2242="D",1,0)+IF(DZ2242="D",1,0)+IF(EH2242="D",1,0)</f>
        <v>0</v>
      </c>
      <c r="AY2242" s="0" t="n">
        <f aca="false">COUNTIF(DU2242:EH2242, "&lt;&gt;")</f>
        <v>1</v>
      </c>
      <c r="AZ2242" s="0" t="n">
        <f aca="false">IF(EH2242&lt;&gt;"",1,0)</f>
        <v>0</v>
      </c>
      <c r="BB2242" s="0" t="s">
        <v>152</v>
      </c>
      <c r="CA2242" s="0" t="s">
        <v>153</v>
      </c>
      <c r="EF2242" s="0" t="s">
        <v>153</v>
      </c>
    </row>
    <row r="2243" customFormat="false" ht="13.8" hidden="false" customHeight="false" outlineLevel="0" collapsed="false">
      <c r="A2243" s="0" t="s">
        <v>9776</v>
      </c>
      <c r="B2243" s="0" t="n">
        <v>78</v>
      </c>
      <c r="C2243" s="0" t="n">
        <v>352806</v>
      </c>
      <c r="D2243" s="0" t="s">
        <v>9777</v>
      </c>
      <c r="E2243" s="0" t="s">
        <v>557</v>
      </c>
      <c r="F2243" s="0" t="str">
        <f aca="false">CONCATENATE(D2243," ",LEFT(H2243,4),"T=",AU2243,"D=",AV2243,"R=",AW2243,"M=",AX2243,"L=",AY2243,"B=",AZ2243)</f>
        <v>CLOUSER T=3D=0R=0M=6L=7B=1</v>
      </c>
      <c r="G2243" s="0" t="s">
        <v>839</v>
      </c>
      <c r="I2243" s="0" t="s">
        <v>9778</v>
      </c>
      <c r="J2243" s="0" t="s">
        <v>5834</v>
      </c>
      <c r="K2243" s="0" t="s">
        <v>160</v>
      </c>
      <c r="L2243" s="0" t="s">
        <v>175</v>
      </c>
      <c r="M2243" s="0" t="s">
        <v>9779</v>
      </c>
      <c r="N2243" s="0" t="str">
        <f aca="false">RIGHT(M2243,LEN(M2243)-FIND(" ",M2243))</f>
        <v>W MARKET ST</v>
      </c>
      <c r="P2243" s="0" t="s">
        <v>145</v>
      </c>
      <c r="Q2243" s="0" t="s">
        <v>146</v>
      </c>
      <c r="R2243" s="0" t="n">
        <v>44481</v>
      </c>
      <c r="AD2243" s="0" t="s">
        <v>147</v>
      </c>
      <c r="AE2243" s="0" t="s">
        <v>148</v>
      </c>
      <c r="AF2243" s="0" t="s">
        <v>149</v>
      </c>
      <c r="AH2243" s="0" t="n">
        <v>14</v>
      </c>
      <c r="AI2243" s="0" t="n">
        <v>11</v>
      </c>
      <c r="AN2243" s="0" t="s">
        <v>145</v>
      </c>
      <c r="AO2243" s="0" t="s">
        <v>654</v>
      </c>
      <c r="AP2243" s="0" t="s">
        <v>655</v>
      </c>
      <c r="AQ2243" s="0" t="n">
        <v>9</v>
      </c>
      <c r="AR2243" s="0" t="n">
        <v>64</v>
      </c>
      <c r="AS2243" s="0" t="n">
        <v>32</v>
      </c>
      <c r="AU2243" s="0" t="n">
        <f aca="false">COUNTA($BA$1147:$EH$1147)</f>
        <v>3</v>
      </c>
      <c r="AV2243" s="0" t="n">
        <f aca="false">COUNTIF($BA$1147:$EH$1147,"D")</f>
        <v>0</v>
      </c>
      <c r="AW2243" s="0" t="n">
        <f aca="false">COUNTIF($BA$1147:$EH$1147,"R")</f>
        <v>0</v>
      </c>
      <c r="AX2243" s="0" t="n">
        <f aca="false">IF(BN2243="D",1,0)+IF(BO2243="D",1,0)+IF(BT2243="D",1,0)+IF(BU2243="D",1,0)+IF(BW2243="D",1,0)+IF(CC2243="D",1,0)+IF(CD2243="D",1,0)+IF(CE2243="D",1,0)+IF(CF2243="D",1,0)+IF(CL2243="D",1,0)+IF(CM2243="D",1,0)+IF(CQ2243="D",1,0)+IF(CR2243="D",1,0)+IF(CS2243="D",1,0)+IF(CW2243="D",1,0)+IF(CX2243="D",1,0)+IF(DD2243="D",1,0)+IF(DE2243="D",1,0)+IF(DJ2243="D",1,0)+IF(DK2243="D",1,0)+IF(DO2243="D",1,0)+IF(DP2243="D",1,0)+IF(DQ2243="D",1,0)+IF(DW2243="D",1,0)+IF(DZ2243="D",1,0)+IF(EH2243="D",1,0)</f>
        <v>6</v>
      </c>
      <c r="AY2243" s="0" t="n">
        <f aca="false">COUNTIF(DU2243:EH2243, "&lt;&gt;")</f>
        <v>7</v>
      </c>
      <c r="AZ2243" s="0" t="n">
        <f aca="false">IF(EH2243&lt;&gt;"",1,0)</f>
        <v>1</v>
      </c>
      <c r="BB2243" s="0" t="s">
        <v>152</v>
      </c>
      <c r="BV2243" s="0" t="s">
        <v>153</v>
      </c>
      <c r="BY2243" s="0" t="s">
        <v>175</v>
      </c>
      <c r="CA2243" s="0" t="s">
        <v>153</v>
      </c>
      <c r="CG2243" s="0" t="s">
        <v>153</v>
      </c>
      <c r="CH2243" s="0" t="s">
        <v>175</v>
      </c>
      <c r="CK2243" s="0" t="s">
        <v>153</v>
      </c>
      <c r="CL2243" s="0" t="s">
        <v>175</v>
      </c>
      <c r="CN2243" s="0" t="s">
        <v>153</v>
      </c>
      <c r="CO2243" s="0" t="s">
        <v>209</v>
      </c>
      <c r="CP2243" s="0" t="s">
        <v>153</v>
      </c>
      <c r="CT2243" s="0" t="s">
        <v>153</v>
      </c>
      <c r="CU2243" s="0" t="s">
        <v>209</v>
      </c>
      <c r="CV2243" s="0" t="s">
        <v>153</v>
      </c>
      <c r="CW2243" s="0" t="s">
        <v>175</v>
      </c>
      <c r="CY2243" s="0" t="s">
        <v>153</v>
      </c>
      <c r="CZ2243" s="0" t="s">
        <v>209</v>
      </c>
      <c r="DC2243" s="0" t="s">
        <v>153</v>
      </c>
      <c r="DD2243" s="0" t="s">
        <v>175</v>
      </c>
      <c r="DF2243" s="0" t="s">
        <v>153</v>
      </c>
      <c r="DG2243" s="0" t="s">
        <v>209</v>
      </c>
      <c r="DI2243" s="0" t="s">
        <v>153</v>
      </c>
      <c r="DJ2243" s="0" t="s">
        <v>175</v>
      </c>
      <c r="DL2243" s="0" t="s">
        <v>153</v>
      </c>
      <c r="DM2243" s="0" t="s">
        <v>175</v>
      </c>
      <c r="DN2243" s="0" t="s">
        <v>153</v>
      </c>
      <c r="DS2243" s="0" t="s">
        <v>175</v>
      </c>
      <c r="DT2243" s="0" t="s">
        <v>175</v>
      </c>
      <c r="DU2243" s="0" t="s">
        <v>153</v>
      </c>
      <c r="DW2243" s="0" t="s">
        <v>175</v>
      </c>
      <c r="DX2243" s="0" t="s">
        <v>153</v>
      </c>
      <c r="EA2243" s="0" t="s">
        <v>153</v>
      </c>
      <c r="ED2243" s="0" t="s">
        <v>175</v>
      </c>
      <c r="EF2243" s="0" t="s">
        <v>153</v>
      </c>
      <c r="EH2243" s="0" t="s">
        <v>175</v>
      </c>
    </row>
    <row r="2244" customFormat="false" ht="13.8" hidden="false" customHeight="false" outlineLevel="0" collapsed="false">
      <c r="A2244" s="0" t="s">
        <v>9780</v>
      </c>
      <c r="B2244" s="0" t="n">
        <v>78</v>
      </c>
      <c r="C2244" s="0" t="n">
        <v>145562</v>
      </c>
      <c r="D2244" s="0" t="s">
        <v>9777</v>
      </c>
      <c r="E2244" s="0" t="s">
        <v>170</v>
      </c>
      <c r="F2244" s="0" t="str">
        <f aca="false">CONCATENATE(D2244," ",LEFT(H2244,4),"T=",AU2244,"D=",AV2244,"R=",AW2244,"M=",AX2244,"L=",AY2244,"B=",AZ2244)</f>
        <v>CLOUSER T=1D=0R=0M=4L=7B=1</v>
      </c>
      <c r="G2244" s="0" t="s">
        <v>190</v>
      </c>
      <c r="I2244" s="0" t="s">
        <v>5358</v>
      </c>
      <c r="J2244" s="0" t="s">
        <v>9781</v>
      </c>
      <c r="K2244" s="0" t="s">
        <v>160</v>
      </c>
      <c r="L2244" s="0" t="s">
        <v>175</v>
      </c>
      <c r="M2244" s="0" t="s">
        <v>9779</v>
      </c>
      <c r="N2244" s="0" t="str">
        <f aca="false">RIGHT(M2244,LEN(M2244)-FIND(" ",M2244))</f>
        <v>W MARKET ST</v>
      </c>
      <c r="P2244" s="0" t="s">
        <v>145</v>
      </c>
      <c r="Q2244" s="0" t="s">
        <v>146</v>
      </c>
      <c r="R2244" s="0" t="n">
        <v>44481</v>
      </c>
      <c r="AD2244" s="0" t="s">
        <v>147</v>
      </c>
      <c r="AE2244" s="0" t="s">
        <v>148</v>
      </c>
      <c r="AF2244" s="0" t="s">
        <v>149</v>
      </c>
      <c r="AH2244" s="0" t="n">
        <v>14</v>
      </c>
      <c r="AI2244" s="0" t="n">
        <v>11</v>
      </c>
      <c r="AN2244" s="0" t="s">
        <v>145</v>
      </c>
      <c r="AO2244" s="0" t="s">
        <v>654</v>
      </c>
      <c r="AP2244" s="0" t="s">
        <v>655</v>
      </c>
      <c r="AQ2244" s="0" t="n">
        <v>9</v>
      </c>
      <c r="AR2244" s="0" t="n">
        <v>64</v>
      </c>
      <c r="AS2244" s="0" t="n">
        <v>32</v>
      </c>
      <c r="AU2244" s="0" t="n">
        <f aca="false">COUNTA($BA$1337:$EH$1337)</f>
        <v>1</v>
      </c>
      <c r="AV2244" s="0" t="n">
        <f aca="false">COUNTIF($BA$1337:$EH$1337,"D")</f>
        <v>0</v>
      </c>
      <c r="AW2244" s="0" t="n">
        <f aca="false">COUNTIF($BA$1337:$EH$1337,"R")</f>
        <v>0</v>
      </c>
      <c r="AX2244" s="0" t="n">
        <f aca="false">IF(BN2244="D",1,0)+IF(BO2244="D",1,0)+IF(BT2244="D",1,0)+IF(BU2244="D",1,0)+IF(BW2244="D",1,0)+IF(CC2244="D",1,0)+IF(CD2244="D",1,0)+IF(CE2244="D",1,0)+IF(CF2244="D",1,0)+IF(CL2244="D",1,0)+IF(CM2244="D",1,0)+IF(CQ2244="D",1,0)+IF(CR2244="D",1,0)+IF(CS2244="D",1,0)+IF(CW2244="D",1,0)+IF(CX2244="D",1,0)+IF(DD2244="D",1,0)+IF(DE2244="D",1,0)+IF(DJ2244="D",1,0)+IF(DK2244="D",1,0)+IF(DO2244="D",1,0)+IF(DP2244="D",1,0)+IF(DQ2244="D",1,0)+IF(DW2244="D",1,0)+IF(DZ2244="D",1,0)+IF(EH2244="D",1,0)</f>
        <v>4</v>
      </c>
      <c r="AY2244" s="0" t="n">
        <f aca="false">COUNTIF(DU2244:EH2244, "&lt;&gt;")</f>
        <v>7</v>
      </c>
      <c r="AZ2244" s="0" t="n">
        <f aca="false">IF(EH2244&lt;&gt;"",1,0)</f>
        <v>1</v>
      </c>
      <c r="BB2244" s="0" t="s">
        <v>152</v>
      </c>
      <c r="BC2244" s="0" t="s">
        <v>153</v>
      </c>
      <c r="BD2244" s="0" t="s">
        <v>153</v>
      </c>
      <c r="BE2244" s="0" t="s">
        <v>153</v>
      </c>
      <c r="BG2244" s="0" t="s">
        <v>153</v>
      </c>
      <c r="BH2244" s="0" t="s">
        <v>153</v>
      </c>
      <c r="BJ2244" s="0" t="s">
        <v>153</v>
      </c>
      <c r="BK2244" s="0" t="s">
        <v>153</v>
      </c>
      <c r="BL2244" s="0" t="s">
        <v>153</v>
      </c>
      <c r="BP2244" s="0" t="s">
        <v>153</v>
      </c>
      <c r="BR2244" s="0" t="s">
        <v>153</v>
      </c>
      <c r="BS2244" s="0" t="s">
        <v>153</v>
      </c>
      <c r="BV2244" s="0" t="s">
        <v>153</v>
      </c>
      <c r="BY2244" s="0" t="s">
        <v>175</v>
      </c>
      <c r="CA2244" s="0" t="s">
        <v>153</v>
      </c>
      <c r="CG2244" s="0" t="s">
        <v>153</v>
      </c>
      <c r="CH2244" s="0" t="s">
        <v>175</v>
      </c>
      <c r="CK2244" s="0" t="s">
        <v>153</v>
      </c>
      <c r="CL2244" s="0" t="s">
        <v>175</v>
      </c>
      <c r="CN2244" s="0" t="s">
        <v>153</v>
      </c>
      <c r="CO2244" s="0" t="s">
        <v>209</v>
      </c>
      <c r="CP2244" s="0" t="s">
        <v>153</v>
      </c>
      <c r="CT2244" s="0" t="s">
        <v>153</v>
      </c>
      <c r="CU2244" s="0" t="s">
        <v>209</v>
      </c>
      <c r="CV2244" s="0" t="s">
        <v>153</v>
      </c>
      <c r="CY2244" s="0" t="s">
        <v>153</v>
      </c>
      <c r="CZ2244" s="0" t="s">
        <v>209</v>
      </c>
      <c r="DC2244" s="0" t="s">
        <v>153</v>
      </c>
      <c r="DF2244" s="0" t="s">
        <v>153</v>
      </c>
      <c r="DG2244" s="0" t="s">
        <v>209</v>
      </c>
      <c r="DI2244" s="0" t="s">
        <v>153</v>
      </c>
      <c r="DJ2244" s="0" t="s">
        <v>175</v>
      </c>
      <c r="DL2244" s="0" t="s">
        <v>153</v>
      </c>
      <c r="DM2244" s="0" t="s">
        <v>175</v>
      </c>
      <c r="DN2244" s="0" t="s">
        <v>153</v>
      </c>
      <c r="DR2244" s="0" t="s">
        <v>153</v>
      </c>
      <c r="DS2244" s="0" t="s">
        <v>175</v>
      </c>
      <c r="DU2244" s="0" t="s">
        <v>153</v>
      </c>
      <c r="DW2244" s="0" t="s">
        <v>175</v>
      </c>
      <c r="DX2244" s="0" t="s">
        <v>153</v>
      </c>
      <c r="EA2244" s="0" t="s">
        <v>153</v>
      </c>
      <c r="ED2244" s="0" t="s">
        <v>175</v>
      </c>
      <c r="EF2244" s="0" t="s">
        <v>153</v>
      </c>
      <c r="EH2244" s="0" t="s">
        <v>175</v>
      </c>
    </row>
    <row r="2245" customFormat="false" ht="13.8" hidden="false" customHeight="false" outlineLevel="0" collapsed="false">
      <c r="A2245" s="0" t="s">
        <v>9782</v>
      </c>
      <c r="B2245" s="0" t="n">
        <v>78</v>
      </c>
      <c r="C2245" s="0" t="n">
        <v>465455</v>
      </c>
      <c r="D2245" s="0" t="s">
        <v>9783</v>
      </c>
      <c r="E2245" s="0" t="s">
        <v>3970</v>
      </c>
      <c r="F2245" s="0" t="str">
        <f aca="false">CONCATENATE(D2245," ",LEFT(H2245,4),"T=",AU2245,"D=",AV2245,"R=",AW2245,"M=",AX2245,"L=",AY2245,"B=",AZ2245)</f>
        <v>WEITZ T=1D=0R=0M=0L=4B=0</v>
      </c>
      <c r="G2245" s="0" t="s">
        <v>558</v>
      </c>
      <c r="I2245" s="0" t="s">
        <v>9784</v>
      </c>
      <c r="J2245" s="0" t="s">
        <v>9785</v>
      </c>
      <c r="K2245" s="0" t="s">
        <v>160</v>
      </c>
      <c r="M2245" s="0" t="s">
        <v>9786</v>
      </c>
      <c r="N2245" s="0" t="str">
        <f aca="false">RIGHT(M2245,LEN(M2245)-FIND(" ",M2245))</f>
        <v>W MARKET ST</v>
      </c>
      <c r="P2245" s="0" t="s">
        <v>145</v>
      </c>
      <c r="Q2245" s="0" t="s">
        <v>146</v>
      </c>
      <c r="R2245" s="0" t="n">
        <v>44481</v>
      </c>
      <c r="AD2245" s="0" t="s">
        <v>147</v>
      </c>
      <c r="AE2245" s="0" t="s">
        <v>148</v>
      </c>
      <c r="AF2245" s="0" t="s">
        <v>149</v>
      </c>
      <c r="AH2245" s="0" t="n">
        <v>14</v>
      </c>
      <c r="AI2245" s="0" t="n">
        <v>11</v>
      </c>
      <c r="AN2245" s="0" t="s">
        <v>145</v>
      </c>
      <c r="AO2245" s="0" t="s">
        <v>654</v>
      </c>
      <c r="AP2245" s="0" t="s">
        <v>655</v>
      </c>
      <c r="AQ2245" s="0" t="n">
        <v>9</v>
      </c>
      <c r="AR2245" s="0" t="n">
        <v>64</v>
      </c>
      <c r="AS2245" s="0" t="n">
        <v>32</v>
      </c>
      <c r="AU2245" s="0" t="n">
        <f aca="false">COUNTA($BA$1330:$EH$1330)</f>
        <v>1</v>
      </c>
      <c r="AV2245" s="0" t="n">
        <f aca="false">COUNTIF($BA$1330:$EH$1330,"D")</f>
        <v>0</v>
      </c>
      <c r="AW2245" s="0" t="n">
        <f aca="false">COUNTIF($BA$1330:$EH$1330,"R")</f>
        <v>0</v>
      </c>
      <c r="AX2245" s="0" t="n">
        <f aca="false">IF(BN2245="D",1,0)+IF(BO2245="D",1,0)+IF(BT2245="D",1,0)+IF(BU2245="D",1,0)+IF(BW2245="D",1,0)+IF(CC2245="D",1,0)+IF(CD2245="D",1,0)+IF(CE2245="D",1,0)+IF(CF2245="D",1,0)+IF(CL2245="D",1,0)+IF(CM2245="D",1,0)+IF(CQ2245="D",1,0)+IF(CR2245="D",1,0)+IF(CS2245="D",1,0)+IF(CW2245="D",1,0)+IF(CX2245="D",1,0)+IF(DD2245="D",1,0)+IF(DE2245="D",1,0)+IF(DJ2245="D",1,0)+IF(DK2245="D",1,0)+IF(DO2245="D",1,0)+IF(DP2245="D",1,0)+IF(DQ2245="D",1,0)+IF(DW2245="D",1,0)+IF(DZ2245="D",1,0)+IF(EH2245="D",1,0)</f>
        <v>0</v>
      </c>
      <c r="AY2245" s="0" t="n">
        <f aca="false">COUNTIF(DU2245:EH2245, "&lt;&gt;")</f>
        <v>4</v>
      </c>
      <c r="AZ2245" s="0" t="n">
        <f aca="false">IF(EH2245&lt;&gt;"",1,0)</f>
        <v>0</v>
      </c>
      <c r="BB2245" s="0" t="s">
        <v>152</v>
      </c>
      <c r="BD2245" s="0" t="s">
        <v>153</v>
      </c>
      <c r="BL2245" s="0" t="s">
        <v>153</v>
      </c>
      <c r="BP2245" s="0" t="s">
        <v>153</v>
      </c>
      <c r="BS2245" s="0" t="s">
        <v>153</v>
      </c>
      <c r="BY2245" s="0" t="s">
        <v>175</v>
      </c>
      <c r="CA2245" s="0" t="s">
        <v>153</v>
      </c>
      <c r="CK2245" s="0" t="s">
        <v>153</v>
      </c>
      <c r="CN2245" s="0" t="s">
        <v>153</v>
      </c>
      <c r="CO2245" s="0" t="s">
        <v>209</v>
      </c>
      <c r="CP2245" s="0" t="s">
        <v>153</v>
      </c>
      <c r="CT2245" s="0" t="s">
        <v>153</v>
      </c>
      <c r="CV2245" s="0" t="s">
        <v>153</v>
      </c>
      <c r="CY2245" s="0" t="s">
        <v>153</v>
      </c>
      <c r="CZ2245" s="0" t="s">
        <v>175</v>
      </c>
      <c r="DC2245" s="0" t="s">
        <v>153</v>
      </c>
      <c r="DF2245" s="0" t="s">
        <v>153</v>
      </c>
      <c r="DG2245" s="0" t="s">
        <v>175</v>
      </c>
      <c r="DI2245" s="0" t="s">
        <v>153</v>
      </c>
      <c r="DL2245" s="0" t="s">
        <v>153</v>
      </c>
      <c r="DM2245" s="0" t="s">
        <v>175</v>
      </c>
      <c r="DN2245" s="0" t="s">
        <v>153</v>
      </c>
      <c r="DU2245" s="0" t="s">
        <v>153</v>
      </c>
      <c r="DX2245" s="0" t="s">
        <v>153</v>
      </c>
      <c r="EA2245" s="0" t="s">
        <v>153</v>
      </c>
      <c r="EF2245" s="0" t="s">
        <v>153</v>
      </c>
    </row>
    <row r="2246" customFormat="false" ht="13.8" hidden="false" customHeight="false" outlineLevel="0" collapsed="false">
      <c r="A2246" s="0" t="s">
        <v>9787</v>
      </c>
      <c r="B2246" s="0" t="n">
        <v>78</v>
      </c>
      <c r="C2246" s="0" t="n">
        <v>465456</v>
      </c>
      <c r="D2246" s="0" t="s">
        <v>9783</v>
      </c>
      <c r="E2246" s="0" t="s">
        <v>719</v>
      </c>
      <c r="F2246" s="0" t="str">
        <f aca="false">CONCATENATE(D2246," ",LEFT(H2246,4),"T=",AU2246,"D=",AV2246,"R=",AW2246,"M=",AX2246,"L=",AY2246,"B=",AZ2246)</f>
        <v>WEITZ T=17D=4R=0M=1L=4B=0</v>
      </c>
      <c r="G2246" s="0" t="s">
        <v>1355</v>
      </c>
      <c r="I2246" s="0" t="s">
        <v>9788</v>
      </c>
      <c r="J2246" s="0" t="s">
        <v>1433</v>
      </c>
      <c r="K2246" s="0" t="s">
        <v>160</v>
      </c>
      <c r="M2246" s="0" t="s">
        <v>9786</v>
      </c>
      <c r="N2246" s="0" t="str">
        <f aca="false">RIGHT(M2246,LEN(M2246)-FIND(" ",M2246))</f>
        <v>W MARKET ST</v>
      </c>
      <c r="P2246" s="0" t="s">
        <v>145</v>
      </c>
      <c r="Q2246" s="0" t="s">
        <v>146</v>
      </c>
      <c r="R2246" s="0" t="n">
        <v>44481</v>
      </c>
      <c r="AD2246" s="0" t="s">
        <v>147</v>
      </c>
      <c r="AE2246" s="0" t="s">
        <v>148</v>
      </c>
      <c r="AF2246" s="0" t="s">
        <v>149</v>
      </c>
      <c r="AH2246" s="0" t="n">
        <v>14</v>
      </c>
      <c r="AI2246" s="0" t="n">
        <v>11</v>
      </c>
      <c r="AN2246" s="0" t="s">
        <v>145</v>
      </c>
      <c r="AO2246" s="0" t="s">
        <v>654</v>
      </c>
      <c r="AP2246" s="0" t="s">
        <v>655</v>
      </c>
      <c r="AQ2246" s="0" t="n">
        <v>9</v>
      </c>
      <c r="AR2246" s="0" t="n">
        <v>64</v>
      </c>
      <c r="AS2246" s="0" t="n">
        <v>32</v>
      </c>
      <c r="AU2246" s="0" t="n">
        <f aca="false">COUNTA($BA$1331:$EH$1331)</f>
        <v>17</v>
      </c>
      <c r="AV2246" s="0" t="n">
        <f aca="false">COUNTIF($BA$1331:$EH$1331,"D")</f>
        <v>4</v>
      </c>
      <c r="AW2246" s="0" t="n">
        <f aca="false">COUNTIF($BA$1331:$EH$1331,"R")</f>
        <v>0</v>
      </c>
      <c r="AX2246" s="0" t="n">
        <f aca="false">IF(BN2246="D",1,0)+IF(BO2246="D",1,0)+IF(BT2246="D",1,0)+IF(BU2246="D",1,0)+IF(BW2246="D",1,0)+IF(CC2246="D",1,0)+IF(CD2246="D",1,0)+IF(CE2246="D",1,0)+IF(CF2246="D",1,0)+IF(CL2246="D",1,0)+IF(CM2246="D",1,0)+IF(CQ2246="D",1,0)+IF(CR2246="D",1,0)+IF(CS2246="D",1,0)+IF(CW2246="D",1,0)+IF(CX2246="D",1,0)+IF(DD2246="D",1,0)+IF(DE2246="D",1,0)+IF(DJ2246="D",1,0)+IF(DK2246="D",1,0)+IF(DO2246="D",1,0)+IF(DP2246="D",1,0)+IF(DQ2246="D",1,0)+IF(DW2246="D",1,0)+IF(DZ2246="D",1,0)+IF(EH2246="D",1,0)</f>
        <v>1</v>
      </c>
      <c r="AY2246" s="0" t="n">
        <f aca="false">COUNTIF(DU2246:EH2246, "&lt;&gt;")</f>
        <v>4</v>
      </c>
      <c r="AZ2246" s="0" t="n">
        <f aca="false">IF(EH2246&lt;&gt;"",1,0)</f>
        <v>0</v>
      </c>
      <c r="BB2246" s="0" t="s">
        <v>152</v>
      </c>
      <c r="BL2246" s="0" t="s">
        <v>153</v>
      </c>
      <c r="BV2246" s="0" t="s">
        <v>153</v>
      </c>
      <c r="BY2246" s="0" t="s">
        <v>175</v>
      </c>
      <c r="CA2246" s="0" t="s">
        <v>153</v>
      </c>
      <c r="CG2246" s="0" t="s">
        <v>153</v>
      </c>
      <c r="CH2246" s="0" t="s">
        <v>175</v>
      </c>
      <c r="CK2246" s="0" t="s">
        <v>153</v>
      </c>
      <c r="CN2246" s="0" t="s">
        <v>153</v>
      </c>
      <c r="CO2246" s="0" t="s">
        <v>175</v>
      </c>
      <c r="CP2246" s="0" t="s">
        <v>153</v>
      </c>
      <c r="CY2246" s="0" t="s">
        <v>153</v>
      </c>
      <c r="CZ2246" s="0" t="s">
        <v>175</v>
      </c>
      <c r="DC2246" s="0" t="s">
        <v>153</v>
      </c>
      <c r="DG2246" s="0" t="s">
        <v>175</v>
      </c>
      <c r="DI2246" s="0" t="s">
        <v>153</v>
      </c>
      <c r="DJ2246" s="0" t="s">
        <v>175</v>
      </c>
      <c r="DL2246" s="0" t="s">
        <v>153</v>
      </c>
      <c r="DM2246" s="0" t="s">
        <v>175</v>
      </c>
      <c r="DN2246" s="0" t="s">
        <v>153</v>
      </c>
      <c r="DS2246" s="0" t="s">
        <v>175</v>
      </c>
      <c r="DU2246" s="0" t="s">
        <v>153</v>
      </c>
      <c r="DX2246" s="0" t="s">
        <v>153</v>
      </c>
      <c r="EA2246" s="0" t="s">
        <v>153</v>
      </c>
      <c r="EF2246" s="0" t="s">
        <v>153</v>
      </c>
    </row>
    <row r="2247" customFormat="false" ht="13.8" hidden="false" customHeight="false" outlineLevel="0" collapsed="false">
      <c r="A2247" s="0" t="s">
        <v>9789</v>
      </c>
      <c r="B2247" s="0" t="n">
        <v>78</v>
      </c>
      <c r="C2247" s="0" t="n">
        <v>344988</v>
      </c>
      <c r="D2247" s="0" t="s">
        <v>9790</v>
      </c>
      <c r="E2247" s="0" t="s">
        <v>3212</v>
      </c>
      <c r="F2247" s="0" t="str">
        <f aca="false">CONCATENATE(D2247," ",LEFT(H2247,4),"T=",AU2247,"D=",AV2247,"R=",AW2247,"M=",AX2247,"L=",AY2247,"B=",AZ2247)</f>
        <v>BARTHOLOMEW T=4D=0R=0M=6L=5B=0</v>
      </c>
      <c r="G2247" s="0" t="s">
        <v>195</v>
      </c>
      <c r="I2247" s="0" t="s">
        <v>9791</v>
      </c>
      <c r="J2247" s="0" t="s">
        <v>9792</v>
      </c>
      <c r="K2247" s="0" t="s">
        <v>160</v>
      </c>
      <c r="L2247" s="0" t="s">
        <v>175</v>
      </c>
      <c r="M2247" s="0" t="s">
        <v>9786</v>
      </c>
      <c r="N2247" s="0" t="str">
        <f aca="false">RIGHT(M2247,LEN(M2247)-FIND(" ",M2247))</f>
        <v>W MARKET ST</v>
      </c>
      <c r="P2247" s="0" t="s">
        <v>145</v>
      </c>
      <c r="Q2247" s="0" t="s">
        <v>146</v>
      </c>
      <c r="R2247" s="0" t="n">
        <v>44481</v>
      </c>
      <c r="AD2247" s="0" t="s">
        <v>147</v>
      </c>
      <c r="AE2247" s="0" t="s">
        <v>148</v>
      </c>
      <c r="AF2247" s="0" t="s">
        <v>149</v>
      </c>
      <c r="AH2247" s="0" t="n">
        <v>14</v>
      </c>
      <c r="AI2247" s="0" t="n">
        <v>11</v>
      </c>
      <c r="AN2247" s="0" t="s">
        <v>145</v>
      </c>
      <c r="AO2247" s="0" t="s">
        <v>654</v>
      </c>
      <c r="AP2247" s="0" t="s">
        <v>655</v>
      </c>
      <c r="AQ2247" s="0" t="n">
        <v>9</v>
      </c>
      <c r="AR2247" s="0" t="n">
        <v>64</v>
      </c>
      <c r="AS2247" s="0" t="n">
        <v>32</v>
      </c>
      <c r="AU2247" s="0" t="n">
        <f aca="false">COUNTA($BA$1336:$EH$1336)</f>
        <v>4</v>
      </c>
      <c r="AV2247" s="0" t="n">
        <f aca="false">COUNTIF($BA$1336:$EH$1336,"D")</f>
        <v>0</v>
      </c>
      <c r="AW2247" s="0" t="n">
        <f aca="false">COUNTIF($BA$1336:$EH$1336,"R")</f>
        <v>0</v>
      </c>
      <c r="AX2247" s="0" t="n">
        <f aca="false">IF(BN2247="D",1,0)+IF(BO2247="D",1,0)+IF(BT2247="D",1,0)+IF(BU2247="D",1,0)+IF(BW2247="D",1,0)+IF(CC2247="D",1,0)+IF(CD2247="D",1,0)+IF(CE2247="D",1,0)+IF(CF2247="D",1,0)+IF(CL2247="D",1,0)+IF(CM2247="D",1,0)+IF(CQ2247="D",1,0)+IF(CR2247="D",1,0)+IF(CS2247="D",1,0)+IF(CW2247="D",1,0)+IF(CX2247="D",1,0)+IF(DD2247="D",1,0)+IF(DE2247="D",1,0)+IF(DJ2247="D",1,0)+IF(DK2247="D",1,0)+IF(DO2247="D",1,0)+IF(DP2247="D",1,0)+IF(DQ2247="D",1,0)+IF(DW2247="D",1,0)+IF(DZ2247="D",1,0)+IF(EH2247="D",1,0)</f>
        <v>6</v>
      </c>
      <c r="AY2247" s="0" t="n">
        <f aca="false">COUNTIF(DU2247:EH2247, "&lt;&gt;")</f>
        <v>5</v>
      </c>
      <c r="AZ2247" s="0" t="n">
        <f aca="false">IF(EH2247&lt;&gt;"",1,0)</f>
        <v>0</v>
      </c>
      <c r="BB2247" s="0" t="s">
        <v>152</v>
      </c>
      <c r="CA2247" s="0" t="s">
        <v>153</v>
      </c>
      <c r="CG2247" s="0" t="s">
        <v>153</v>
      </c>
      <c r="CK2247" s="0" t="s">
        <v>153</v>
      </c>
      <c r="CL2247" s="0" t="s">
        <v>175</v>
      </c>
      <c r="CN2247" s="0" t="s">
        <v>153</v>
      </c>
      <c r="CO2247" s="0" t="s">
        <v>175</v>
      </c>
      <c r="CP2247" s="0" t="s">
        <v>153</v>
      </c>
      <c r="CQ2247" s="0" t="s">
        <v>175</v>
      </c>
      <c r="CT2247" s="0" t="s">
        <v>153</v>
      </c>
      <c r="CU2247" s="0" t="s">
        <v>175</v>
      </c>
      <c r="CV2247" s="0" t="s">
        <v>153</v>
      </c>
      <c r="CW2247" s="0" t="s">
        <v>175</v>
      </c>
      <c r="CY2247" s="0" t="s">
        <v>153</v>
      </c>
      <c r="CZ2247" s="0" t="s">
        <v>175</v>
      </c>
      <c r="DC2247" s="0" t="s">
        <v>153</v>
      </c>
      <c r="DD2247" s="0" t="s">
        <v>175</v>
      </c>
      <c r="DF2247" s="0" t="s">
        <v>153</v>
      </c>
      <c r="DG2247" s="0" t="s">
        <v>175</v>
      </c>
      <c r="DI2247" s="0" t="s">
        <v>153</v>
      </c>
      <c r="DJ2247" s="0" t="s">
        <v>175</v>
      </c>
      <c r="DL2247" s="0" t="s">
        <v>153</v>
      </c>
      <c r="DN2247" s="0" t="s">
        <v>153</v>
      </c>
      <c r="DR2247" s="0" t="s">
        <v>153</v>
      </c>
      <c r="DS2247" s="0" t="s">
        <v>175</v>
      </c>
      <c r="DT2247" s="0" t="s">
        <v>175</v>
      </c>
      <c r="DU2247" s="0" t="s">
        <v>153</v>
      </c>
      <c r="DW2247" s="0" t="s">
        <v>175</v>
      </c>
      <c r="DX2247" s="0" t="s">
        <v>153</v>
      </c>
      <c r="ED2247" s="0" t="s">
        <v>175</v>
      </c>
      <c r="EF2247" s="0" t="s">
        <v>153</v>
      </c>
    </row>
    <row r="2248" customFormat="false" ht="13.8" hidden="false" customHeight="false" outlineLevel="0" collapsed="false">
      <c r="A2248" s="0" t="s">
        <v>9793</v>
      </c>
      <c r="B2248" s="0" t="n">
        <v>78</v>
      </c>
      <c r="C2248" s="0" t="n">
        <v>372980</v>
      </c>
      <c r="D2248" s="0" t="s">
        <v>9794</v>
      </c>
      <c r="E2248" s="0" t="s">
        <v>3404</v>
      </c>
      <c r="F2248" s="0" t="str">
        <f aca="false">CONCATENATE(D2248," ",LEFT(H2248,4),"T=",AU2248,"D=",AV2248,"R=",AW2248,"M=",AX2248,"L=",AY2248,"B=",AZ2248)</f>
        <v>BOKONE T=10D=1R=1M=0L=2B=0</v>
      </c>
      <c r="G2248" s="0" t="s">
        <v>558</v>
      </c>
      <c r="I2248" s="0" t="s">
        <v>9795</v>
      </c>
      <c r="J2248" s="0" t="s">
        <v>9796</v>
      </c>
      <c r="K2248" s="0" t="s">
        <v>160</v>
      </c>
      <c r="M2248" s="0" t="s">
        <v>9786</v>
      </c>
      <c r="N2248" s="0" t="str">
        <f aca="false">RIGHT(M2248,LEN(M2248)-FIND(" ",M2248))</f>
        <v>W MARKET ST</v>
      </c>
      <c r="P2248" s="0" t="s">
        <v>145</v>
      </c>
      <c r="Q2248" s="0" t="s">
        <v>146</v>
      </c>
      <c r="R2248" s="0" t="n">
        <v>44481</v>
      </c>
      <c r="AD2248" s="0" t="s">
        <v>147</v>
      </c>
      <c r="AE2248" s="0" t="s">
        <v>148</v>
      </c>
      <c r="AF2248" s="0" t="s">
        <v>149</v>
      </c>
      <c r="AH2248" s="0" t="n">
        <v>14</v>
      </c>
      <c r="AI2248" s="0" t="n">
        <v>11</v>
      </c>
      <c r="AN2248" s="0" t="s">
        <v>145</v>
      </c>
      <c r="AO2248" s="0" t="s">
        <v>654</v>
      </c>
      <c r="AP2248" s="0" t="s">
        <v>655</v>
      </c>
      <c r="AQ2248" s="0" t="n">
        <v>9</v>
      </c>
      <c r="AR2248" s="0" t="n">
        <v>64</v>
      </c>
      <c r="AS2248" s="0" t="n">
        <v>32</v>
      </c>
      <c r="AU2248" s="0" t="n">
        <f aca="false">COUNTA($BA$1737:$EH$1737)</f>
        <v>10</v>
      </c>
      <c r="AV2248" s="0" t="n">
        <f aca="false">COUNTIF($BA$1737:$EH$1737,"D")</f>
        <v>1</v>
      </c>
      <c r="AW2248" s="0" t="n">
        <f aca="false">COUNTIF($BA$1737:$EH$1737,"R")</f>
        <v>1</v>
      </c>
      <c r="AX2248" s="0" t="n">
        <f aca="false">IF(BN2248="D",1,0)+IF(BO2248="D",1,0)+IF(BT2248="D",1,0)+IF(BU2248="D",1,0)+IF(BW2248="D",1,0)+IF(CC2248="D",1,0)+IF(CD2248="D",1,0)+IF(CE2248="D",1,0)+IF(CF2248="D",1,0)+IF(CL2248="D",1,0)+IF(CM2248="D",1,0)+IF(CQ2248="D",1,0)+IF(CR2248="D",1,0)+IF(CS2248="D",1,0)+IF(CW2248="D",1,0)+IF(CX2248="D",1,0)+IF(DD2248="D",1,0)+IF(DE2248="D",1,0)+IF(DJ2248="D",1,0)+IF(DK2248="D",1,0)+IF(DO2248="D",1,0)+IF(DP2248="D",1,0)+IF(DQ2248="D",1,0)+IF(DW2248="D",1,0)+IF(DZ2248="D",1,0)+IF(EH2248="D",1,0)</f>
        <v>0</v>
      </c>
      <c r="AY2248" s="0" t="n">
        <f aca="false">COUNTIF(DU2248:EH2248, "&lt;&gt;")</f>
        <v>2</v>
      </c>
      <c r="AZ2248" s="0" t="n">
        <f aca="false">IF(EH2248&lt;&gt;"",1,0)</f>
        <v>0</v>
      </c>
      <c r="BB2248" s="0" t="s">
        <v>152</v>
      </c>
      <c r="CY2248" s="0" t="s">
        <v>153</v>
      </c>
      <c r="DC2248" s="0" t="s">
        <v>153</v>
      </c>
      <c r="DI2248" s="0" t="s">
        <v>153</v>
      </c>
      <c r="DN2248" s="0" t="s">
        <v>153</v>
      </c>
      <c r="EA2248" s="0" t="s">
        <v>153</v>
      </c>
      <c r="EF2248" s="0" t="s">
        <v>153</v>
      </c>
    </row>
    <row r="2249" customFormat="false" ht="13.8" hidden="true" customHeight="false" outlineLevel="0" collapsed="false">
      <c r="A2249" s="0" t="s">
        <v>9797</v>
      </c>
      <c r="B2249" s="0" t="n">
        <v>78</v>
      </c>
      <c r="C2249" s="0" t="n">
        <v>489210</v>
      </c>
      <c r="D2249" s="0" t="s">
        <v>9798</v>
      </c>
      <c r="E2249" s="0" t="s">
        <v>2165</v>
      </c>
      <c r="F2249" s="0" t="str">
        <f aca="false">CONCATENATE(D2249," ",LEFT(H2249,4),"T=",AU2249,"D=",AV2249,"R=",AW2249,"M=",AX2249,"L=",AY2249,"B=",AZ2249)</f>
        <v>CHINE T=8D=1R=0M=0L=1B=0</v>
      </c>
      <c r="G2249" s="0" t="s">
        <v>307</v>
      </c>
      <c r="I2249" s="0" t="s">
        <v>9799</v>
      </c>
      <c r="J2249" s="0" t="s">
        <v>9800</v>
      </c>
      <c r="K2249" s="0" t="s">
        <v>160</v>
      </c>
      <c r="M2249" s="0" t="s">
        <v>9801</v>
      </c>
      <c r="N2249" s="0" t="str">
        <f aca="false">RIGHT(M2249,LEN(M2249)-FIND(" ",M2249))</f>
        <v>W MARKET ST</v>
      </c>
      <c r="P2249" s="0" t="s">
        <v>145</v>
      </c>
      <c r="Q2249" s="0" t="s">
        <v>146</v>
      </c>
      <c r="R2249" s="0" t="n">
        <v>44481</v>
      </c>
      <c r="AD2249" s="0" t="s">
        <v>147</v>
      </c>
      <c r="AE2249" s="0" t="s">
        <v>148</v>
      </c>
      <c r="AF2249" s="0" t="s">
        <v>149</v>
      </c>
      <c r="AH2249" s="0" t="n">
        <v>14</v>
      </c>
      <c r="AI2249" s="0" t="n">
        <v>11</v>
      </c>
      <c r="AN2249" s="0" t="s">
        <v>145</v>
      </c>
      <c r="AO2249" s="0" t="s">
        <v>654</v>
      </c>
      <c r="AP2249" s="0" t="s">
        <v>655</v>
      </c>
      <c r="AQ2249" s="0" t="n">
        <v>9</v>
      </c>
      <c r="AR2249" s="0" t="n">
        <v>64</v>
      </c>
      <c r="AS2249" s="0" t="n">
        <v>32</v>
      </c>
      <c r="AU2249" s="0" t="n">
        <f aca="false">COUNTA($BA$1125:$EH$1125)</f>
        <v>8</v>
      </c>
      <c r="AV2249" s="0" t="n">
        <f aca="false">COUNTIF($BA$1125:$EH$1125,"D")</f>
        <v>1</v>
      </c>
      <c r="AW2249" s="0" t="n">
        <f aca="false">COUNTIF($BA$1125:$EH$1125,"R")</f>
        <v>0</v>
      </c>
      <c r="AX2249" s="0" t="n">
        <f aca="false">IF(BN2249="D",1,0)+IF(BO2249="D",1,0)+IF(BT2249="D",1,0)+IF(BU2249="D",1,0)+IF(BW2249="D",1,0)+IF(CC2249="D",1,0)+IF(CD2249="D",1,0)+IF(CE2249="D",1,0)+IF(CF2249="D",1,0)+IF(CL2249="D",1,0)+IF(CM2249="D",1,0)+IF(CQ2249="D",1,0)+IF(CR2249="D",1,0)+IF(CS2249="D",1,0)+IF(CW2249="D",1,0)+IF(CX2249="D",1,0)+IF(DD2249="D",1,0)+IF(DE2249="D",1,0)+IF(DJ2249="D",1,0)+IF(DK2249="D",1,0)+IF(DO2249="D",1,0)+IF(DP2249="D",1,0)+IF(DQ2249="D",1,0)+IF(DW2249="D",1,0)+IF(DZ2249="D",1,0)+IF(EH2249="D",1,0)</f>
        <v>0</v>
      </c>
      <c r="AY2249" s="0" t="n">
        <f aca="false">COUNTIF(DU2249:EH2249, "&lt;&gt;")</f>
        <v>1</v>
      </c>
      <c r="AZ2249" s="0" t="n">
        <f aca="false">IF(EH2249&lt;&gt;"",1,0)</f>
        <v>0</v>
      </c>
      <c r="BB2249" s="0" t="s">
        <v>152</v>
      </c>
      <c r="EF2249" s="0" t="s">
        <v>153</v>
      </c>
    </row>
    <row r="2250" customFormat="false" ht="13.8" hidden="true" customHeight="false" outlineLevel="0" collapsed="false">
      <c r="A2250" s="0" t="s">
        <v>9802</v>
      </c>
      <c r="B2250" s="0" t="n">
        <v>78</v>
      </c>
      <c r="C2250" s="0" t="n">
        <v>405945</v>
      </c>
      <c r="D2250" s="0" t="s">
        <v>9798</v>
      </c>
      <c r="E2250" s="0" t="s">
        <v>3167</v>
      </c>
      <c r="F2250" s="0" t="str">
        <f aca="false">CONCATENATE(D2250," ",LEFT(H2250,4),"T=",AU2250,"D=",AV2250,"R=",AW2250,"M=",AX2250,"L=",AY2250,"B=",AZ2250)</f>
        <v>CHINE T=2D=0R=0M=0L=1B=0</v>
      </c>
      <c r="G2250" s="0" t="s">
        <v>164</v>
      </c>
      <c r="I2250" s="0" t="s">
        <v>9803</v>
      </c>
      <c r="J2250" s="0" t="s">
        <v>376</v>
      </c>
      <c r="K2250" s="0" t="s">
        <v>160</v>
      </c>
      <c r="M2250" s="0" t="s">
        <v>9801</v>
      </c>
      <c r="N2250" s="0" t="str">
        <f aca="false">RIGHT(M2250,LEN(M2250)-FIND(" ",M2250))</f>
        <v>W MARKET ST</v>
      </c>
      <c r="P2250" s="0" t="s">
        <v>145</v>
      </c>
      <c r="Q2250" s="0" t="s">
        <v>146</v>
      </c>
      <c r="R2250" s="0" t="n">
        <v>44481</v>
      </c>
      <c r="AD2250" s="0" t="s">
        <v>147</v>
      </c>
      <c r="AE2250" s="0" t="s">
        <v>148</v>
      </c>
      <c r="AF2250" s="0" t="s">
        <v>149</v>
      </c>
      <c r="AH2250" s="0" t="n">
        <v>14</v>
      </c>
      <c r="AI2250" s="0" t="n">
        <v>11</v>
      </c>
      <c r="AN2250" s="0" t="s">
        <v>145</v>
      </c>
      <c r="AO2250" s="0" t="s">
        <v>654</v>
      </c>
      <c r="AP2250" s="0" t="s">
        <v>655</v>
      </c>
      <c r="AQ2250" s="0" t="n">
        <v>9</v>
      </c>
      <c r="AR2250" s="0" t="n">
        <v>64</v>
      </c>
      <c r="AS2250" s="0" t="n">
        <v>32</v>
      </c>
      <c r="AU2250" s="0" t="n">
        <f aca="false">COUNTA($BA$1992:$EH$1992)</f>
        <v>2</v>
      </c>
      <c r="AV2250" s="0" t="n">
        <f aca="false">COUNTIF($BA$1992:$EH$1992,"D")</f>
        <v>0</v>
      </c>
      <c r="AW2250" s="0" t="n">
        <f aca="false">COUNTIF($BA$1992:$EH$1992,"R")</f>
        <v>0</v>
      </c>
      <c r="AX2250" s="0" t="n">
        <f aca="false">IF(BN2250="D",1,0)+IF(BO2250="D",1,0)+IF(BT2250="D",1,0)+IF(BU2250="D",1,0)+IF(BW2250="D",1,0)+IF(CC2250="D",1,0)+IF(CD2250="D",1,0)+IF(CE2250="D",1,0)+IF(CF2250="D",1,0)+IF(CL2250="D",1,0)+IF(CM2250="D",1,0)+IF(CQ2250="D",1,0)+IF(CR2250="D",1,0)+IF(CS2250="D",1,0)+IF(CW2250="D",1,0)+IF(CX2250="D",1,0)+IF(DD2250="D",1,0)+IF(DE2250="D",1,0)+IF(DJ2250="D",1,0)+IF(DK2250="D",1,0)+IF(DO2250="D",1,0)+IF(DP2250="D",1,0)+IF(DQ2250="D",1,0)+IF(DW2250="D",1,0)+IF(DZ2250="D",1,0)+IF(EH2250="D",1,0)</f>
        <v>0</v>
      </c>
      <c r="AY2250" s="0" t="n">
        <f aca="false">COUNTIF(DU2250:EH2250, "&lt;&gt;")</f>
        <v>1</v>
      </c>
      <c r="AZ2250" s="0" t="n">
        <f aca="false">IF(EH2250&lt;&gt;"",1,0)</f>
        <v>0</v>
      </c>
      <c r="BB2250" s="0" t="s">
        <v>152</v>
      </c>
      <c r="BL2250" s="0" t="s">
        <v>153</v>
      </c>
      <c r="BV2250" s="0" t="s">
        <v>153</v>
      </c>
      <c r="CA2250" s="0" t="s">
        <v>153</v>
      </c>
      <c r="CK2250" s="0" t="s">
        <v>153</v>
      </c>
      <c r="CP2250" s="0" t="s">
        <v>153</v>
      </c>
      <c r="CT2250" s="0" t="s">
        <v>153</v>
      </c>
      <c r="CY2250" s="0" t="s">
        <v>153</v>
      </c>
      <c r="EF2250" s="0" t="s">
        <v>153</v>
      </c>
    </row>
    <row r="2251" customFormat="false" ht="13.8" hidden="true" customHeight="false" outlineLevel="0" collapsed="false">
      <c r="A2251" s="0" t="s">
        <v>9804</v>
      </c>
      <c r="B2251" s="0" t="n">
        <v>78</v>
      </c>
      <c r="C2251" s="0" t="n">
        <v>229342</v>
      </c>
      <c r="D2251" s="0" t="s">
        <v>9805</v>
      </c>
      <c r="E2251" s="0" t="s">
        <v>475</v>
      </c>
      <c r="F2251" s="0" t="str">
        <f aca="false">CONCATENATE(D2251," ",LEFT(H2251,4),"T=",AU2251,"D=",AV2251,"R=",AW2251,"M=",AX2251,"L=",AY2251,"B=",AZ2251)</f>
        <v>MASEK T=1D=0R=0M=0L=0B=0</v>
      </c>
      <c r="G2251" s="0" t="s">
        <v>325</v>
      </c>
      <c r="I2251" s="0" t="s">
        <v>9806</v>
      </c>
      <c r="J2251" s="0" t="s">
        <v>3831</v>
      </c>
      <c r="K2251" s="0" t="s">
        <v>160</v>
      </c>
      <c r="M2251" s="0" t="s">
        <v>9807</v>
      </c>
      <c r="N2251" s="0" t="str">
        <f aca="false">RIGHT(M2251,LEN(M2251)-FIND(" ",M2251))</f>
        <v>W MARKET ST</v>
      </c>
      <c r="O2251" s="0" t="s">
        <v>9808</v>
      </c>
      <c r="P2251" s="0" t="s">
        <v>145</v>
      </c>
      <c r="Q2251" s="0" t="s">
        <v>146</v>
      </c>
      <c r="R2251" s="0" t="n">
        <v>44481</v>
      </c>
      <c r="AD2251" s="0" t="s">
        <v>147</v>
      </c>
      <c r="AE2251" s="0" t="s">
        <v>148</v>
      </c>
      <c r="AF2251" s="0" t="s">
        <v>149</v>
      </c>
      <c r="AH2251" s="0" t="n">
        <v>14</v>
      </c>
      <c r="AI2251" s="0" t="n">
        <v>11</v>
      </c>
      <c r="AN2251" s="0" t="s">
        <v>145</v>
      </c>
      <c r="AO2251" s="0" t="s">
        <v>654</v>
      </c>
      <c r="AP2251" s="0" t="s">
        <v>655</v>
      </c>
      <c r="AQ2251" s="0" t="n">
        <v>9</v>
      </c>
      <c r="AR2251" s="0" t="n">
        <v>64</v>
      </c>
      <c r="AS2251" s="0" t="n">
        <v>32</v>
      </c>
      <c r="AU2251" s="0" t="n">
        <f aca="false">COUNTA($BA$1427:$EH$1427)</f>
        <v>1</v>
      </c>
      <c r="AV2251" s="0" t="n">
        <f aca="false">COUNTIF($BA$1427:$EH$1427,"D")</f>
        <v>0</v>
      </c>
      <c r="AW2251" s="0" t="n">
        <f aca="false">COUNTIF($BA$1427:$EH$1427,"R")</f>
        <v>0</v>
      </c>
      <c r="AX2251" s="0" t="n">
        <f aca="false">IF(BN2251="D",1,0)+IF(BO2251="D",1,0)+IF(BT2251="D",1,0)+IF(BU2251="D",1,0)+IF(BW2251="D",1,0)+IF(CC2251="D",1,0)+IF(CD2251="D",1,0)+IF(CE2251="D",1,0)+IF(CF2251="D",1,0)+IF(CL2251="D",1,0)+IF(CM2251="D",1,0)+IF(CQ2251="D",1,0)+IF(CR2251="D",1,0)+IF(CS2251="D",1,0)+IF(CW2251="D",1,0)+IF(CX2251="D",1,0)+IF(DD2251="D",1,0)+IF(DE2251="D",1,0)+IF(DJ2251="D",1,0)+IF(DK2251="D",1,0)+IF(DO2251="D",1,0)+IF(DP2251="D",1,0)+IF(DQ2251="D",1,0)+IF(DW2251="D",1,0)+IF(DZ2251="D",1,0)+IF(EH2251="D",1,0)</f>
        <v>0</v>
      </c>
      <c r="AY2251" s="0" t="n">
        <f aca="false">COUNTIF(DU2251:EH2251, "&lt;&gt;")</f>
        <v>0</v>
      </c>
      <c r="AZ2251" s="0" t="n">
        <f aca="false">IF(EH2251&lt;&gt;"",1,0)</f>
        <v>0</v>
      </c>
      <c r="BB2251" s="0" t="s">
        <v>152</v>
      </c>
      <c r="BC2251" s="0" t="s">
        <v>153</v>
      </c>
      <c r="BD2251" s="0" t="s">
        <v>153</v>
      </c>
      <c r="BH2251" s="0" t="s">
        <v>153</v>
      </c>
      <c r="BJ2251" s="0" t="s">
        <v>153</v>
      </c>
      <c r="BL2251" s="0" t="s">
        <v>153</v>
      </c>
      <c r="BR2251" s="0" t="s">
        <v>153</v>
      </c>
      <c r="CA2251" s="0" t="s">
        <v>153</v>
      </c>
      <c r="CO2251" s="0" t="s">
        <v>153</v>
      </c>
      <c r="CP2251" s="0" t="s">
        <v>153</v>
      </c>
      <c r="DG2251" s="0" t="s">
        <v>209</v>
      </c>
      <c r="DN2251" s="0" t="s">
        <v>153</v>
      </c>
    </row>
    <row r="2252" customFormat="false" ht="13.8" hidden="false" customHeight="false" outlineLevel="0" collapsed="false">
      <c r="A2252" s="0" t="s">
        <v>9809</v>
      </c>
      <c r="B2252" s="0" t="n">
        <v>78</v>
      </c>
      <c r="C2252" s="0" t="n">
        <v>464459</v>
      </c>
      <c r="D2252" s="0" t="s">
        <v>9810</v>
      </c>
      <c r="E2252" s="0" t="s">
        <v>9811</v>
      </c>
      <c r="F2252" s="0" t="str">
        <f aca="false">CONCATENATE(D2252," ",LEFT(H2252,4),"T=",AU2252,"D=",AV2252,"R=",AW2252,"M=",AX2252,"L=",AY2252,"B=",AZ2252)</f>
        <v>KAFANTARIS T=1D=0R=0M=0L=3B=0</v>
      </c>
      <c r="I2252" s="0" t="s">
        <v>9812</v>
      </c>
      <c r="J2252" s="0" t="s">
        <v>9813</v>
      </c>
      <c r="K2252" s="0" t="s">
        <v>160</v>
      </c>
      <c r="L2252" s="0" t="s">
        <v>175</v>
      </c>
      <c r="M2252" s="0" t="s">
        <v>9807</v>
      </c>
      <c r="N2252" s="0" t="str">
        <f aca="false">RIGHT(M2252,LEN(M2252)-FIND(" ",M2252))</f>
        <v>W MARKET ST</v>
      </c>
      <c r="O2252" s="0" t="s">
        <v>7303</v>
      </c>
      <c r="P2252" s="0" t="s">
        <v>145</v>
      </c>
      <c r="Q2252" s="0" t="s">
        <v>146</v>
      </c>
      <c r="R2252" s="0" t="n">
        <v>44481</v>
      </c>
      <c r="AD2252" s="0" t="s">
        <v>147</v>
      </c>
      <c r="AE2252" s="0" t="s">
        <v>148</v>
      </c>
      <c r="AF2252" s="0" t="s">
        <v>149</v>
      </c>
      <c r="AH2252" s="0" t="n">
        <v>14</v>
      </c>
      <c r="AI2252" s="0" t="n">
        <v>11</v>
      </c>
      <c r="AN2252" s="0" t="s">
        <v>145</v>
      </c>
      <c r="AO2252" s="0" t="s">
        <v>654</v>
      </c>
      <c r="AP2252" s="0" t="s">
        <v>655</v>
      </c>
      <c r="AQ2252" s="0" t="n">
        <v>9</v>
      </c>
      <c r="AR2252" s="0" t="n">
        <v>64</v>
      </c>
      <c r="AS2252" s="0" t="n">
        <v>32</v>
      </c>
      <c r="AU2252" s="0" t="n">
        <f aca="false">COUNTA($BA$1856:$EH$1856)</f>
        <v>1</v>
      </c>
      <c r="AV2252" s="0" t="n">
        <f aca="false">COUNTIF($BA$1856:$EH$1856,"D")</f>
        <v>0</v>
      </c>
      <c r="AW2252" s="0" t="n">
        <f aca="false">COUNTIF($BA$1856:$EH$1856,"R")</f>
        <v>0</v>
      </c>
      <c r="AX2252" s="0" t="n">
        <f aca="false">IF(BN2252="D",1,0)+IF(BO2252="D",1,0)+IF(BT2252="D",1,0)+IF(BU2252="D",1,0)+IF(BW2252="D",1,0)+IF(CC2252="D",1,0)+IF(CD2252="D",1,0)+IF(CE2252="D",1,0)+IF(CF2252="D",1,0)+IF(CL2252="D",1,0)+IF(CM2252="D",1,0)+IF(CQ2252="D",1,0)+IF(CR2252="D",1,0)+IF(CS2252="D",1,0)+IF(CW2252="D",1,0)+IF(CX2252="D",1,0)+IF(DD2252="D",1,0)+IF(DE2252="D",1,0)+IF(DJ2252="D",1,0)+IF(DK2252="D",1,0)+IF(DO2252="D",1,0)+IF(DP2252="D",1,0)+IF(DQ2252="D",1,0)+IF(DW2252="D",1,0)+IF(DZ2252="D",1,0)+IF(EH2252="D",1,0)</f>
        <v>0</v>
      </c>
      <c r="AY2252" s="0" t="n">
        <f aca="false">COUNTIF(DU2252:EH2252, "&lt;&gt;")</f>
        <v>3</v>
      </c>
      <c r="AZ2252" s="0" t="n">
        <f aca="false">IF(EH2252&lt;&gt;"",1,0)</f>
        <v>0</v>
      </c>
      <c r="BB2252" s="0" t="s">
        <v>152</v>
      </c>
      <c r="DU2252" s="0" t="s">
        <v>153</v>
      </c>
      <c r="ED2252" s="0" t="s">
        <v>175</v>
      </c>
      <c r="EF2252" s="0" t="s">
        <v>153</v>
      </c>
    </row>
    <row r="2253" customFormat="false" ht="13.8" hidden="true" customHeight="false" outlineLevel="0" collapsed="false">
      <c r="A2253" s="0" t="s">
        <v>9814</v>
      </c>
      <c r="B2253" s="0" t="n">
        <v>78</v>
      </c>
      <c r="C2253" s="0" t="n">
        <v>477056</v>
      </c>
      <c r="D2253" s="0" t="s">
        <v>9815</v>
      </c>
      <c r="E2253" s="0" t="s">
        <v>9816</v>
      </c>
      <c r="F2253" s="0" t="str">
        <f aca="false">CONCATENATE(D2253," ",LEFT(H2253,4),"T=",AU2253,"D=",AV2253,"R=",AW2253,"M=",AX2253,"L=",AY2253,"B=",AZ2253)</f>
        <v>JUNG T=5D=0R=0M=0L=1B=0</v>
      </c>
      <c r="I2253" s="0" t="s">
        <v>9817</v>
      </c>
      <c r="J2253" s="0" t="s">
        <v>6288</v>
      </c>
      <c r="K2253" s="0" t="s">
        <v>160</v>
      </c>
      <c r="M2253" s="0" t="s">
        <v>9818</v>
      </c>
      <c r="N2253" s="0" t="str">
        <f aca="false">RIGHT(M2253,LEN(M2253)-FIND(" ",M2253))</f>
        <v>W MARKET ST</v>
      </c>
      <c r="O2253" s="0" t="s">
        <v>9819</v>
      </c>
      <c r="P2253" s="0" t="s">
        <v>145</v>
      </c>
      <c r="Q2253" s="0" t="s">
        <v>146</v>
      </c>
      <c r="R2253" s="0" t="n">
        <v>44481</v>
      </c>
      <c r="AD2253" s="0" t="s">
        <v>147</v>
      </c>
      <c r="AE2253" s="0" t="s">
        <v>148</v>
      </c>
      <c r="AF2253" s="0" t="s">
        <v>149</v>
      </c>
      <c r="AH2253" s="0" t="n">
        <v>14</v>
      </c>
      <c r="AI2253" s="0" t="n">
        <v>11</v>
      </c>
      <c r="AN2253" s="0" t="s">
        <v>145</v>
      </c>
      <c r="AO2253" s="0" t="s">
        <v>654</v>
      </c>
      <c r="AP2253" s="0" t="s">
        <v>655</v>
      </c>
      <c r="AQ2253" s="0" t="n">
        <v>9</v>
      </c>
      <c r="AR2253" s="0" t="n">
        <v>64</v>
      </c>
      <c r="AS2253" s="0" t="n">
        <v>32</v>
      </c>
      <c r="AU2253" s="0" t="n">
        <f aca="false">COUNTA($BA$1299:$EH$1299)</f>
        <v>5</v>
      </c>
      <c r="AV2253" s="0" t="n">
        <f aca="false">COUNTIF($BA$1299:$EH$1299,"D")</f>
        <v>0</v>
      </c>
      <c r="AW2253" s="0" t="n">
        <f aca="false">COUNTIF($BA$1299:$EH$1299,"R")</f>
        <v>0</v>
      </c>
      <c r="AX2253" s="0" t="n">
        <f aca="false">IF(BN2253="D",1,0)+IF(BO2253="D",1,0)+IF(BT2253="D",1,0)+IF(BU2253="D",1,0)+IF(BW2253="D",1,0)+IF(CC2253="D",1,0)+IF(CD2253="D",1,0)+IF(CE2253="D",1,0)+IF(CF2253="D",1,0)+IF(CL2253="D",1,0)+IF(CM2253="D",1,0)+IF(CQ2253="D",1,0)+IF(CR2253="D",1,0)+IF(CS2253="D",1,0)+IF(CW2253="D",1,0)+IF(CX2253="D",1,0)+IF(DD2253="D",1,0)+IF(DE2253="D",1,0)+IF(DJ2253="D",1,0)+IF(DK2253="D",1,0)+IF(DO2253="D",1,0)+IF(DP2253="D",1,0)+IF(DQ2253="D",1,0)+IF(DW2253="D",1,0)+IF(DZ2253="D",1,0)+IF(EH2253="D",1,0)</f>
        <v>0</v>
      </c>
      <c r="AY2253" s="0" t="n">
        <f aca="false">COUNTIF(DU2253:EH2253, "&lt;&gt;")</f>
        <v>1</v>
      </c>
      <c r="AZ2253" s="0" t="n">
        <f aca="false">IF(EH2253&lt;&gt;"",1,0)</f>
        <v>0</v>
      </c>
      <c r="BB2253" s="0" t="s">
        <v>152</v>
      </c>
      <c r="EF2253" s="0" t="s">
        <v>153</v>
      </c>
    </row>
    <row r="2254" customFormat="false" ht="13.8" hidden="true" customHeight="false" outlineLevel="0" collapsed="false">
      <c r="A2254" s="0" t="s">
        <v>9820</v>
      </c>
      <c r="B2254" s="0" t="n">
        <v>78</v>
      </c>
      <c r="C2254" s="0" t="n">
        <v>434866</v>
      </c>
      <c r="D2254" s="0" t="s">
        <v>9821</v>
      </c>
      <c r="E2254" s="0" t="s">
        <v>224</v>
      </c>
      <c r="F2254" s="0" t="str">
        <f aca="false">CONCATENATE(D2254," ",LEFT(H2254,4),"T=",AU2254,"D=",AV2254,"R=",AW2254,"M=",AX2254,"L=",AY2254,"B=",AZ2254)</f>
        <v>SIEMERS T=21D=4R=0M=0L=0B=0</v>
      </c>
      <c r="G2254" s="0" t="s">
        <v>3940</v>
      </c>
      <c r="I2254" s="0" t="s">
        <v>9822</v>
      </c>
      <c r="J2254" s="0" t="s">
        <v>8210</v>
      </c>
      <c r="K2254" s="0" t="s">
        <v>143</v>
      </c>
      <c r="M2254" s="0" t="s">
        <v>9818</v>
      </c>
      <c r="N2254" s="0" t="str">
        <f aca="false">RIGHT(M2254,LEN(M2254)-FIND(" ",M2254))</f>
        <v>W MARKET ST</v>
      </c>
      <c r="O2254" s="0" t="s">
        <v>9823</v>
      </c>
      <c r="P2254" s="0" t="s">
        <v>145</v>
      </c>
      <c r="Q2254" s="0" t="s">
        <v>146</v>
      </c>
      <c r="R2254" s="0" t="n">
        <v>44481</v>
      </c>
      <c r="AD2254" s="0" t="s">
        <v>147</v>
      </c>
      <c r="AE2254" s="0" t="s">
        <v>148</v>
      </c>
      <c r="AF2254" s="0" t="s">
        <v>149</v>
      </c>
      <c r="AH2254" s="0" t="n">
        <v>14</v>
      </c>
      <c r="AI2254" s="0" t="n">
        <v>11</v>
      </c>
      <c r="AN2254" s="0" t="s">
        <v>145</v>
      </c>
      <c r="AO2254" s="0" t="s">
        <v>654</v>
      </c>
      <c r="AP2254" s="0" t="s">
        <v>655</v>
      </c>
      <c r="AQ2254" s="0" t="n">
        <v>9</v>
      </c>
      <c r="AR2254" s="0" t="n">
        <v>64</v>
      </c>
      <c r="AS2254" s="0" t="n">
        <v>32</v>
      </c>
      <c r="AU2254" s="0" t="n">
        <f aca="false">COUNTA($BA$1917:$EH$1917)</f>
        <v>21</v>
      </c>
      <c r="AV2254" s="0" t="n">
        <f aca="false">COUNTIF($BA$1917:$EH$1917,"D")</f>
        <v>4</v>
      </c>
      <c r="AW2254" s="0" t="n">
        <f aca="false">COUNTIF($BA$1917:$EH$1917,"R")</f>
        <v>0</v>
      </c>
      <c r="AX2254" s="0" t="n">
        <f aca="false">IF(BN2254="D",1,0)+IF(BO2254="D",1,0)+IF(BT2254="D",1,0)+IF(BU2254="D",1,0)+IF(BW2254="D",1,0)+IF(CC2254="D",1,0)+IF(CD2254="D",1,0)+IF(CE2254="D",1,0)+IF(CF2254="D",1,0)+IF(CL2254="D",1,0)+IF(CM2254="D",1,0)+IF(CQ2254="D",1,0)+IF(CR2254="D",1,0)+IF(CS2254="D",1,0)+IF(CW2254="D",1,0)+IF(CX2254="D",1,0)+IF(DD2254="D",1,0)+IF(DE2254="D",1,0)+IF(DJ2254="D",1,0)+IF(DK2254="D",1,0)+IF(DO2254="D",1,0)+IF(DP2254="D",1,0)+IF(DQ2254="D",1,0)+IF(DW2254="D",1,0)+IF(DZ2254="D",1,0)+IF(EH2254="D",1,0)</f>
        <v>0</v>
      </c>
      <c r="AY2254" s="0" t="n">
        <f aca="false">COUNTIF(DU2254:EH2254, "&lt;&gt;")</f>
        <v>0</v>
      </c>
      <c r="AZ2254" s="0" t="n">
        <f aca="false">IF(EH2254&lt;&gt;"",1,0)</f>
        <v>0</v>
      </c>
      <c r="BB2254" s="0" t="s">
        <v>152</v>
      </c>
    </row>
    <row r="2255" customFormat="false" ht="13.8" hidden="false" customHeight="false" outlineLevel="0" collapsed="false">
      <c r="A2255" s="0" t="s">
        <v>9824</v>
      </c>
      <c r="B2255" s="0" t="n">
        <v>78</v>
      </c>
      <c r="C2255" s="0" t="n">
        <v>438023</v>
      </c>
      <c r="D2255" s="0" t="s">
        <v>7341</v>
      </c>
      <c r="E2255" s="0" t="s">
        <v>663</v>
      </c>
      <c r="F2255" s="0" t="str">
        <f aca="false">CONCATENATE(D2255," ",LEFT(H2255,4),"T=",AU2255,"D=",AV2255,"R=",AW2255,"M=",AX2255,"L=",AY2255,"B=",AZ2255)</f>
        <v>GOODMAN T=1D=0R=0M=1L=6B=0</v>
      </c>
      <c r="G2255" s="0" t="s">
        <v>190</v>
      </c>
      <c r="I2255" s="0" t="s">
        <v>9825</v>
      </c>
      <c r="J2255" s="0" t="s">
        <v>9826</v>
      </c>
      <c r="K2255" s="0" t="s">
        <v>160</v>
      </c>
      <c r="L2255" s="0" t="s">
        <v>175</v>
      </c>
      <c r="M2255" s="0" t="s">
        <v>9818</v>
      </c>
      <c r="N2255" s="0" t="str">
        <f aca="false">RIGHT(M2255,LEN(M2255)-FIND(" ",M2255))</f>
        <v>W MARKET ST</v>
      </c>
      <c r="O2255" s="0" t="s">
        <v>9827</v>
      </c>
      <c r="P2255" s="0" t="s">
        <v>145</v>
      </c>
      <c r="Q2255" s="0" t="s">
        <v>146</v>
      </c>
      <c r="R2255" s="0" t="n">
        <v>44481</v>
      </c>
      <c r="AD2255" s="0" t="s">
        <v>147</v>
      </c>
      <c r="AE2255" s="0" t="s">
        <v>148</v>
      </c>
      <c r="AF2255" s="0" t="s">
        <v>149</v>
      </c>
      <c r="AH2255" s="0" t="n">
        <v>14</v>
      </c>
      <c r="AI2255" s="0" t="n">
        <v>11</v>
      </c>
      <c r="AN2255" s="0" t="s">
        <v>145</v>
      </c>
      <c r="AO2255" s="0" t="s">
        <v>654</v>
      </c>
      <c r="AP2255" s="0" t="s">
        <v>655</v>
      </c>
      <c r="AQ2255" s="0" t="n">
        <v>9</v>
      </c>
      <c r="AR2255" s="0" t="n">
        <v>64</v>
      </c>
      <c r="AS2255" s="0" t="n">
        <v>32</v>
      </c>
      <c r="AU2255" s="0" t="n">
        <f aca="false">COUNTA($BA$2051:$EH$2051)</f>
        <v>1</v>
      </c>
      <c r="AV2255" s="0" t="n">
        <f aca="false">COUNTIF($BA$2051:$EH$2051,"D")</f>
        <v>0</v>
      </c>
      <c r="AW2255" s="0" t="n">
        <f aca="false">COUNTIF($BA$2051:$EH$2051,"R")</f>
        <v>0</v>
      </c>
      <c r="AX2255" s="0" t="n">
        <f aca="false">IF(BN2255="D",1,0)+IF(BO2255="D",1,0)+IF(BT2255="D",1,0)+IF(BU2255="D",1,0)+IF(BW2255="D",1,0)+IF(CC2255="D",1,0)+IF(CD2255="D",1,0)+IF(CE2255="D",1,0)+IF(CF2255="D",1,0)+IF(CL2255="D",1,0)+IF(CM2255="D",1,0)+IF(CQ2255="D",1,0)+IF(CR2255="D",1,0)+IF(CS2255="D",1,0)+IF(CW2255="D",1,0)+IF(CX2255="D",1,0)+IF(DD2255="D",1,0)+IF(DE2255="D",1,0)+IF(DJ2255="D",1,0)+IF(DK2255="D",1,0)+IF(DO2255="D",1,0)+IF(DP2255="D",1,0)+IF(DQ2255="D",1,0)+IF(DW2255="D",1,0)+IF(DZ2255="D",1,0)+IF(EH2255="D",1,0)</f>
        <v>1</v>
      </c>
      <c r="AY2255" s="0" t="n">
        <f aca="false">COUNTIF(DU2255:EH2255, "&lt;&gt;")</f>
        <v>6</v>
      </c>
      <c r="AZ2255" s="0" t="n">
        <f aca="false">IF(EH2255&lt;&gt;"",1,0)</f>
        <v>0</v>
      </c>
      <c r="BB2255" s="0" t="s">
        <v>152</v>
      </c>
      <c r="DL2255" s="0" t="s">
        <v>153</v>
      </c>
      <c r="DN2255" s="0" t="s">
        <v>153</v>
      </c>
      <c r="DS2255" s="0" t="s">
        <v>175</v>
      </c>
      <c r="DU2255" s="0" t="s">
        <v>153</v>
      </c>
      <c r="DW2255" s="0" t="s">
        <v>175</v>
      </c>
      <c r="DX2255" s="0" t="s">
        <v>153</v>
      </c>
      <c r="EA2255" s="0" t="s">
        <v>153</v>
      </c>
      <c r="ED2255" s="0" t="s">
        <v>175</v>
      </c>
      <c r="EF2255" s="0" t="s">
        <v>153</v>
      </c>
    </row>
    <row r="2256" customFormat="false" ht="13.8" hidden="true" customHeight="false" outlineLevel="0" collapsed="false">
      <c r="A2256" s="0" t="s">
        <v>9828</v>
      </c>
      <c r="B2256" s="0" t="n">
        <v>78</v>
      </c>
      <c r="C2256" s="0" t="n">
        <v>282931</v>
      </c>
      <c r="D2256" s="0" t="s">
        <v>6208</v>
      </c>
      <c r="E2256" s="0" t="s">
        <v>9829</v>
      </c>
      <c r="F2256" s="0" t="str">
        <f aca="false">CONCATENATE(D2256," ",LEFT(H2256,4),"T=",AU2256,"D=",AV2256,"R=",AW2256,"M=",AX2256,"L=",AY2256,"B=",AZ2256)</f>
        <v>WADE T=1D=0R=0M=0L=1B=0</v>
      </c>
      <c r="G2256" s="0" t="s">
        <v>175</v>
      </c>
      <c r="I2256" s="0" t="s">
        <v>9830</v>
      </c>
      <c r="J2256" s="0" t="s">
        <v>404</v>
      </c>
      <c r="K2256" s="0" t="s">
        <v>160</v>
      </c>
      <c r="M2256" s="0" t="s">
        <v>9831</v>
      </c>
      <c r="N2256" s="0" t="str">
        <f aca="false">RIGHT(M2256,LEN(M2256)-FIND(" ",M2256))</f>
        <v>WALLACE ST SE</v>
      </c>
      <c r="P2256" s="0" t="s">
        <v>145</v>
      </c>
      <c r="Q2256" s="0" t="s">
        <v>146</v>
      </c>
      <c r="R2256" s="0" t="n">
        <v>44484</v>
      </c>
      <c r="AD2256" s="0" t="s">
        <v>147</v>
      </c>
      <c r="AE2256" s="0" t="s">
        <v>148</v>
      </c>
      <c r="AF2256" s="0" t="s">
        <v>149</v>
      </c>
      <c r="AH2256" s="0" t="n">
        <v>14</v>
      </c>
      <c r="AI2256" s="0" t="n">
        <v>11</v>
      </c>
      <c r="AN2256" s="0" t="s">
        <v>145</v>
      </c>
      <c r="AO2256" s="0" t="s">
        <v>233</v>
      </c>
      <c r="AP2256" s="0" t="s">
        <v>234</v>
      </c>
      <c r="AQ2256" s="0" t="n">
        <v>9</v>
      </c>
      <c r="AR2256" s="0" t="n">
        <v>64</v>
      </c>
      <c r="AS2256" s="0" t="n">
        <v>32</v>
      </c>
      <c r="AU2256" s="0" t="n">
        <f aca="false">COUNTA($BA$2161:$EH$2161)</f>
        <v>1</v>
      </c>
      <c r="AV2256" s="0" t="n">
        <f aca="false">COUNTIF($BA$2161:$EH$2161,"D")</f>
        <v>0</v>
      </c>
      <c r="AW2256" s="0" t="n">
        <f aca="false">COUNTIF($BA$2161:$EH$2161,"R")</f>
        <v>0</v>
      </c>
      <c r="AX2256" s="0" t="n">
        <f aca="false">IF(BN2256="D",1,0)+IF(BO2256="D",1,0)+IF(BT2256="D",1,0)+IF(BU2256="D",1,0)+IF(BW2256="D",1,0)+IF(CC2256="D",1,0)+IF(CD2256="D",1,0)+IF(CE2256="D",1,0)+IF(CF2256="D",1,0)+IF(CL2256="D",1,0)+IF(CM2256="D",1,0)+IF(CQ2256="D",1,0)+IF(CR2256="D",1,0)+IF(CS2256="D",1,0)+IF(CW2256="D",1,0)+IF(CX2256="D",1,0)+IF(DD2256="D",1,0)+IF(DE2256="D",1,0)+IF(DJ2256="D",1,0)+IF(DK2256="D",1,0)+IF(DO2256="D",1,0)+IF(DP2256="D",1,0)+IF(DQ2256="D",1,0)+IF(DW2256="D",1,0)+IF(DZ2256="D",1,0)+IF(EH2256="D",1,0)</f>
        <v>0</v>
      </c>
      <c r="AY2256" s="0" t="n">
        <f aca="false">COUNTIF(DU2256:EH2256, "&lt;&gt;")</f>
        <v>1</v>
      </c>
      <c r="AZ2256" s="0" t="n">
        <f aca="false">IF(EH2256&lt;&gt;"",1,0)</f>
        <v>0</v>
      </c>
      <c r="BB2256" s="0" t="s">
        <v>152</v>
      </c>
      <c r="BD2256" s="0" t="s">
        <v>153</v>
      </c>
      <c r="BH2256" s="0" t="s">
        <v>153</v>
      </c>
      <c r="BL2256" s="0" t="s">
        <v>153</v>
      </c>
      <c r="CA2256" s="0" t="s">
        <v>153</v>
      </c>
      <c r="CK2256" s="0" t="s">
        <v>153</v>
      </c>
      <c r="CP2256" s="0" t="s">
        <v>153</v>
      </c>
      <c r="DC2256" s="0" t="s">
        <v>153</v>
      </c>
      <c r="DI2256" s="0" t="s">
        <v>153</v>
      </c>
      <c r="DN2256" s="0" t="s">
        <v>153</v>
      </c>
      <c r="EF2256" s="0" t="s">
        <v>153</v>
      </c>
    </row>
    <row r="2257" customFormat="false" ht="13.8" hidden="true" customHeight="false" outlineLevel="0" collapsed="false">
      <c r="A2257" s="0" t="s">
        <v>9832</v>
      </c>
      <c r="B2257" s="0" t="n">
        <v>78</v>
      </c>
      <c r="C2257" s="0" t="n">
        <v>166079</v>
      </c>
      <c r="D2257" s="0" t="s">
        <v>9833</v>
      </c>
      <c r="E2257" s="0" t="s">
        <v>9834</v>
      </c>
      <c r="F2257" s="0" t="str">
        <f aca="false">CONCATENATE(D2257," ",LEFT(H2257,4),"T=",AU2257,"D=",AV2257,"R=",AW2257,"M=",AX2257,"L=",AY2257,"B=",AZ2257)</f>
        <v>COCKERHAM T=2D=0R=0M=0L=1B=0</v>
      </c>
      <c r="I2257" s="0" t="s">
        <v>9835</v>
      </c>
      <c r="J2257" s="0" t="s">
        <v>404</v>
      </c>
      <c r="K2257" s="0" t="s">
        <v>160</v>
      </c>
      <c r="M2257" s="0" t="s">
        <v>9831</v>
      </c>
      <c r="N2257" s="0" t="str">
        <f aca="false">RIGHT(M2257,LEN(M2257)-FIND(" ",M2257))</f>
        <v>WALLACE ST SE</v>
      </c>
      <c r="P2257" s="0" t="s">
        <v>145</v>
      </c>
      <c r="Q2257" s="0" t="s">
        <v>146</v>
      </c>
      <c r="R2257" s="0" t="n">
        <v>44484</v>
      </c>
      <c r="AD2257" s="0" t="s">
        <v>147</v>
      </c>
      <c r="AE2257" s="0" t="s">
        <v>148</v>
      </c>
      <c r="AF2257" s="0" t="s">
        <v>149</v>
      </c>
      <c r="AH2257" s="0" t="n">
        <v>14</v>
      </c>
      <c r="AI2257" s="0" t="n">
        <v>11</v>
      </c>
      <c r="AN2257" s="0" t="s">
        <v>145</v>
      </c>
      <c r="AO2257" s="0" t="s">
        <v>233</v>
      </c>
      <c r="AP2257" s="0" t="s">
        <v>234</v>
      </c>
      <c r="AQ2257" s="0" t="n">
        <v>9</v>
      </c>
      <c r="AR2257" s="0" t="n">
        <v>64</v>
      </c>
      <c r="AS2257" s="0" t="n">
        <v>32</v>
      </c>
      <c r="AU2257" s="0" t="n">
        <f aca="false">COUNTA($BA$2194:$EH$2194)</f>
        <v>2</v>
      </c>
      <c r="AV2257" s="0" t="n">
        <f aca="false">COUNTIF($BA$2194:$EH$2194,"D")</f>
        <v>0</v>
      </c>
      <c r="AW2257" s="0" t="n">
        <f aca="false">COUNTIF($BA$2194:$EH$2194,"R")</f>
        <v>0</v>
      </c>
      <c r="AX2257" s="0" t="n">
        <f aca="false">IF(BN2257="D",1,0)+IF(BO2257="D",1,0)+IF(BT2257="D",1,0)+IF(BU2257="D",1,0)+IF(BW2257="D",1,0)+IF(CC2257="D",1,0)+IF(CD2257="D",1,0)+IF(CE2257="D",1,0)+IF(CF2257="D",1,0)+IF(CL2257="D",1,0)+IF(CM2257="D",1,0)+IF(CQ2257="D",1,0)+IF(CR2257="D",1,0)+IF(CS2257="D",1,0)+IF(CW2257="D",1,0)+IF(CX2257="D",1,0)+IF(DD2257="D",1,0)+IF(DE2257="D",1,0)+IF(DJ2257="D",1,0)+IF(DK2257="D",1,0)+IF(DO2257="D",1,0)+IF(DP2257="D",1,0)+IF(DQ2257="D",1,0)+IF(DW2257="D",1,0)+IF(DZ2257="D",1,0)+IF(EH2257="D",1,0)</f>
        <v>0</v>
      </c>
      <c r="AY2257" s="0" t="n">
        <f aca="false">COUNTIF(DU2257:EH2257, "&lt;&gt;")</f>
        <v>1</v>
      </c>
      <c r="AZ2257" s="0" t="n">
        <f aca="false">IF(EH2257&lt;&gt;"",1,0)</f>
        <v>0</v>
      </c>
      <c r="BB2257" s="0" t="s">
        <v>152</v>
      </c>
      <c r="BC2257" s="0" t="s">
        <v>153</v>
      </c>
      <c r="BD2257" s="0" t="s">
        <v>153</v>
      </c>
      <c r="BH2257" s="0" t="s">
        <v>153</v>
      </c>
      <c r="BK2257" s="0" t="s">
        <v>153</v>
      </c>
      <c r="BL2257" s="0" t="s">
        <v>153</v>
      </c>
      <c r="CA2257" s="0" t="s">
        <v>153</v>
      </c>
      <c r="CK2257" s="0" t="s">
        <v>153</v>
      </c>
      <c r="CP2257" s="0" t="s">
        <v>153</v>
      </c>
      <c r="DC2257" s="0" t="s">
        <v>153</v>
      </c>
      <c r="DI2257" s="0" t="s">
        <v>153</v>
      </c>
      <c r="DN2257" s="0" t="s">
        <v>153</v>
      </c>
      <c r="EF2257" s="0" t="s">
        <v>153</v>
      </c>
    </row>
    <row r="2258" customFormat="false" ht="13.8" hidden="true" customHeight="false" outlineLevel="0" collapsed="false">
      <c r="A2258" s="0" t="s">
        <v>9836</v>
      </c>
      <c r="B2258" s="0" t="n">
        <v>78</v>
      </c>
      <c r="C2258" s="0" t="n">
        <v>398616</v>
      </c>
      <c r="D2258" s="0" t="s">
        <v>9837</v>
      </c>
      <c r="E2258" s="0" t="s">
        <v>424</v>
      </c>
      <c r="F2258" s="0" t="str">
        <f aca="false">CONCATENATE(D2258," ",LEFT(H2258,4),"T=",AU2258,"D=",AV2258,"R=",AW2258,"M=",AX2258,"L=",AY2258,"B=",AZ2258)</f>
        <v>CASSEL T=26D=1R=1M=0L=0B=0</v>
      </c>
      <c r="G2258" s="0" t="s">
        <v>357</v>
      </c>
      <c r="I2258" s="0" t="s">
        <v>9838</v>
      </c>
      <c r="J2258" s="0" t="s">
        <v>693</v>
      </c>
      <c r="K2258" s="0" t="s">
        <v>143</v>
      </c>
      <c r="M2258" s="0" t="s">
        <v>9839</v>
      </c>
      <c r="N2258" s="0" t="str">
        <f aca="false">RIGHT(M2258,LEN(M2258)-FIND(" ",M2258))</f>
        <v>WALLACE ST SE</v>
      </c>
      <c r="P2258" s="0" t="s">
        <v>145</v>
      </c>
      <c r="Q2258" s="0" t="s">
        <v>146</v>
      </c>
      <c r="R2258" s="0" t="n">
        <v>44484</v>
      </c>
      <c r="AD2258" s="0" t="s">
        <v>147</v>
      </c>
      <c r="AE2258" s="0" t="s">
        <v>148</v>
      </c>
      <c r="AF2258" s="0" t="s">
        <v>149</v>
      </c>
      <c r="AH2258" s="0" t="n">
        <v>14</v>
      </c>
      <c r="AI2258" s="0" t="n">
        <v>11</v>
      </c>
      <c r="AN2258" s="0" t="s">
        <v>145</v>
      </c>
      <c r="AO2258" s="0" t="s">
        <v>233</v>
      </c>
      <c r="AP2258" s="0" t="s">
        <v>234</v>
      </c>
      <c r="AQ2258" s="0" t="n">
        <v>9</v>
      </c>
      <c r="AR2258" s="0" t="n">
        <v>64</v>
      </c>
      <c r="AS2258" s="0" t="n">
        <v>32</v>
      </c>
      <c r="AU2258" s="0" t="n">
        <f aca="false">COUNTA($BA$2578:$EH$2578)</f>
        <v>26</v>
      </c>
      <c r="AV2258" s="0" t="n">
        <f aca="false">COUNTIF($BA$2578:$EH$2578,"D")</f>
        <v>1</v>
      </c>
      <c r="AW2258" s="0" t="n">
        <f aca="false">COUNTIF($BA$2578:$EH$2578,"R")</f>
        <v>1</v>
      </c>
      <c r="AX2258" s="0" t="n">
        <f aca="false">IF(BN2258="D",1,0)+IF(BO2258="D",1,0)+IF(BT2258="D",1,0)+IF(BU2258="D",1,0)+IF(BW2258="D",1,0)+IF(CC2258="D",1,0)+IF(CD2258="D",1,0)+IF(CE2258="D",1,0)+IF(CF2258="D",1,0)+IF(CL2258="D",1,0)+IF(CM2258="D",1,0)+IF(CQ2258="D",1,0)+IF(CR2258="D",1,0)+IF(CS2258="D",1,0)+IF(CW2258="D",1,0)+IF(CX2258="D",1,0)+IF(DD2258="D",1,0)+IF(DE2258="D",1,0)+IF(DJ2258="D",1,0)+IF(DK2258="D",1,0)+IF(DO2258="D",1,0)+IF(DP2258="D",1,0)+IF(DQ2258="D",1,0)+IF(DW2258="D",1,0)+IF(DZ2258="D",1,0)+IF(EH2258="D",1,0)</f>
        <v>0</v>
      </c>
      <c r="AY2258" s="0" t="n">
        <f aca="false">COUNTIF(DU2258:EH2258, "&lt;&gt;")</f>
        <v>0</v>
      </c>
      <c r="AZ2258" s="0" t="n">
        <f aca="false">IF(EH2258&lt;&gt;"",1,0)</f>
        <v>0</v>
      </c>
      <c r="BB2258" s="0" t="s">
        <v>152</v>
      </c>
    </row>
    <row r="2259" customFormat="false" ht="13.8" hidden="false" customHeight="false" outlineLevel="0" collapsed="false">
      <c r="A2259" s="0" t="s">
        <v>9840</v>
      </c>
      <c r="B2259" s="0" t="n">
        <v>78</v>
      </c>
      <c r="C2259" s="0" t="n">
        <v>357645</v>
      </c>
      <c r="D2259" s="0" t="s">
        <v>1100</v>
      </c>
      <c r="E2259" s="0" t="s">
        <v>9841</v>
      </c>
      <c r="F2259" s="0" t="str">
        <f aca="false">CONCATENATE(D2259," ",LEFT(H2259,4),"T=",AU2259,"D=",AV2259,"R=",AW2259,"M=",AX2259,"L=",AY2259,"B=",AZ2259)</f>
        <v>MCCOLLOUGH T=2D=0R=0M=0L=2B=0</v>
      </c>
      <c r="G2259" s="0" t="s">
        <v>195</v>
      </c>
      <c r="I2259" s="0" t="s">
        <v>9842</v>
      </c>
      <c r="J2259" s="0" t="s">
        <v>9843</v>
      </c>
      <c r="K2259" s="0" t="s">
        <v>160</v>
      </c>
      <c r="M2259" s="0" t="s">
        <v>9844</v>
      </c>
      <c r="N2259" s="0" t="str">
        <f aca="false">RIGHT(M2259,LEN(M2259)-FIND(" ",M2259))</f>
        <v>WALLACE ST SE</v>
      </c>
      <c r="P2259" s="0" t="s">
        <v>145</v>
      </c>
      <c r="Q2259" s="0" t="s">
        <v>146</v>
      </c>
      <c r="R2259" s="0" t="n">
        <v>44484</v>
      </c>
      <c r="AD2259" s="0" t="s">
        <v>147</v>
      </c>
      <c r="AE2259" s="0" t="s">
        <v>148</v>
      </c>
      <c r="AF2259" s="0" t="s">
        <v>149</v>
      </c>
      <c r="AH2259" s="0" t="n">
        <v>14</v>
      </c>
      <c r="AI2259" s="0" t="n">
        <v>11</v>
      </c>
      <c r="AN2259" s="0" t="s">
        <v>145</v>
      </c>
      <c r="AO2259" s="0" t="s">
        <v>233</v>
      </c>
      <c r="AP2259" s="0" t="s">
        <v>234</v>
      </c>
      <c r="AQ2259" s="0" t="n">
        <v>9</v>
      </c>
      <c r="AR2259" s="0" t="n">
        <v>64</v>
      </c>
      <c r="AS2259" s="0" t="n">
        <v>32</v>
      </c>
      <c r="AU2259" s="0" t="n">
        <f aca="false">COUNTA($BA$2209:$EH$2209)</f>
        <v>2</v>
      </c>
      <c r="AV2259" s="0" t="n">
        <f aca="false">COUNTIF($BA$2209:$EH$2209,"D")</f>
        <v>0</v>
      </c>
      <c r="AW2259" s="0" t="n">
        <f aca="false">COUNTIF($BA$2209:$EH$2209,"R")</f>
        <v>0</v>
      </c>
      <c r="AX2259" s="0" t="n">
        <f aca="false">IF(BN2259="D",1,0)+IF(BO2259="D",1,0)+IF(BT2259="D",1,0)+IF(BU2259="D",1,0)+IF(BW2259="D",1,0)+IF(CC2259="D",1,0)+IF(CD2259="D",1,0)+IF(CE2259="D",1,0)+IF(CF2259="D",1,0)+IF(CL2259="D",1,0)+IF(CM2259="D",1,0)+IF(CQ2259="D",1,0)+IF(CR2259="D",1,0)+IF(CS2259="D",1,0)+IF(CW2259="D",1,0)+IF(CX2259="D",1,0)+IF(DD2259="D",1,0)+IF(DE2259="D",1,0)+IF(DJ2259="D",1,0)+IF(DK2259="D",1,0)+IF(DO2259="D",1,0)+IF(DP2259="D",1,0)+IF(DQ2259="D",1,0)+IF(DW2259="D",1,0)+IF(DZ2259="D",1,0)+IF(EH2259="D",1,0)</f>
        <v>0</v>
      </c>
      <c r="AY2259" s="0" t="n">
        <f aca="false">COUNTIF(DU2259:EH2259, "&lt;&gt;")</f>
        <v>2</v>
      </c>
      <c r="AZ2259" s="0" t="n">
        <f aca="false">IF(EH2259&lt;&gt;"",1,0)</f>
        <v>0</v>
      </c>
      <c r="BB2259" s="0" t="s">
        <v>152</v>
      </c>
      <c r="CA2259" s="0" t="s">
        <v>153</v>
      </c>
      <c r="CK2259" s="0" t="s">
        <v>153</v>
      </c>
      <c r="CP2259" s="0" t="s">
        <v>153</v>
      </c>
      <c r="CV2259" s="0" t="s">
        <v>153</v>
      </c>
      <c r="DC2259" s="0" t="s">
        <v>153</v>
      </c>
      <c r="DI2259" s="0" t="s">
        <v>153</v>
      </c>
      <c r="DN2259" s="0" t="s">
        <v>153</v>
      </c>
      <c r="DU2259" s="0" t="s">
        <v>153</v>
      </c>
      <c r="EF2259" s="0" t="s">
        <v>153</v>
      </c>
    </row>
    <row r="2260" customFormat="false" ht="13.8" hidden="false" customHeight="false" outlineLevel="0" collapsed="false">
      <c r="A2260" s="0" t="s">
        <v>9845</v>
      </c>
      <c r="B2260" s="0" t="n">
        <v>78</v>
      </c>
      <c r="C2260" s="0" t="n">
        <v>167133</v>
      </c>
      <c r="D2260" s="0" t="s">
        <v>1100</v>
      </c>
      <c r="E2260" s="0" t="s">
        <v>9846</v>
      </c>
      <c r="F2260" s="0" t="str">
        <f aca="false">CONCATENATE(D2260," ",LEFT(H2260,4),"T=",AU2260,"D=",AV2260,"R=",AW2260,"M=",AX2260,"L=",AY2260,"B=",AZ2260)</f>
        <v>MCCOLLOUGH T=1D=0R=0M=0L=2B=0</v>
      </c>
      <c r="I2260" s="0" t="s">
        <v>3512</v>
      </c>
      <c r="J2260" s="0" t="s">
        <v>9847</v>
      </c>
      <c r="K2260" s="0" t="s">
        <v>160</v>
      </c>
      <c r="M2260" s="0" t="s">
        <v>9844</v>
      </c>
      <c r="N2260" s="0" t="str">
        <f aca="false">RIGHT(M2260,LEN(M2260)-FIND(" ",M2260))</f>
        <v>WALLACE ST SE</v>
      </c>
      <c r="P2260" s="0" t="s">
        <v>145</v>
      </c>
      <c r="Q2260" s="0" t="s">
        <v>146</v>
      </c>
      <c r="R2260" s="0" t="n">
        <v>44484</v>
      </c>
      <c r="AD2260" s="0" t="s">
        <v>147</v>
      </c>
      <c r="AE2260" s="0" t="s">
        <v>148</v>
      </c>
      <c r="AF2260" s="0" t="s">
        <v>149</v>
      </c>
      <c r="AH2260" s="0" t="n">
        <v>14</v>
      </c>
      <c r="AI2260" s="0" t="n">
        <v>11</v>
      </c>
      <c r="AN2260" s="0" t="s">
        <v>145</v>
      </c>
      <c r="AO2260" s="0" t="s">
        <v>233</v>
      </c>
      <c r="AP2260" s="0" t="s">
        <v>234</v>
      </c>
      <c r="AQ2260" s="0" t="n">
        <v>9</v>
      </c>
      <c r="AR2260" s="0" t="n">
        <v>64</v>
      </c>
      <c r="AS2260" s="0" t="n">
        <v>32</v>
      </c>
      <c r="AU2260" s="0" t="n">
        <f aca="false">COUNTA($BA$2218:$EH$2218)</f>
        <v>1</v>
      </c>
      <c r="AV2260" s="0" t="n">
        <f aca="false">COUNTIF($BA$2218:$EH$2218,"D")</f>
        <v>0</v>
      </c>
      <c r="AW2260" s="0" t="n">
        <f aca="false">COUNTIF($BA$2218:$EH$2218,"R")</f>
        <v>0</v>
      </c>
      <c r="AX2260" s="0" t="n">
        <f aca="false">IF(BN2260="D",1,0)+IF(BO2260="D",1,0)+IF(BT2260="D",1,0)+IF(BU2260="D",1,0)+IF(BW2260="D",1,0)+IF(CC2260="D",1,0)+IF(CD2260="D",1,0)+IF(CE2260="D",1,0)+IF(CF2260="D",1,0)+IF(CL2260="D",1,0)+IF(CM2260="D",1,0)+IF(CQ2260="D",1,0)+IF(CR2260="D",1,0)+IF(CS2260="D",1,0)+IF(CW2260="D",1,0)+IF(CX2260="D",1,0)+IF(DD2260="D",1,0)+IF(DE2260="D",1,0)+IF(DJ2260="D",1,0)+IF(DK2260="D",1,0)+IF(DO2260="D",1,0)+IF(DP2260="D",1,0)+IF(DQ2260="D",1,0)+IF(DW2260="D",1,0)+IF(DZ2260="D",1,0)+IF(EH2260="D",1,0)</f>
        <v>0</v>
      </c>
      <c r="AY2260" s="0" t="n">
        <f aca="false">COUNTIF(DU2260:EH2260, "&lt;&gt;")</f>
        <v>2</v>
      </c>
      <c r="AZ2260" s="0" t="n">
        <f aca="false">IF(EH2260&lt;&gt;"",1,0)</f>
        <v>0</v>
      </c>
      <c r="BB2260" s="0" t="s">
        <v>152</v>
      </c>
      <c r="BD2260" s="0" t="s">
        <v>153</v>
      </c>
      <c r="BJ2260" s="0" t="s">
        <v>153</v>
      </c>
      <c r="BL2260" s="0" t="s">
        <v>153</v>
      </c>
      <c r="BS2260" s="0" t="s">
        <v>153</v>
      </c>
      <c r="BY2260" s="0" t="s">
        <v>175</v>
      </c>
      <c r="CA2260" s="0" t="s">
        <v>153</v>
      </c>
      <c r="CK2260" s="0" t="s">
        <v>153</v>
      </c>
      <c r="CN2260" s="0" t="s">
        <v>153</v>
      </c>
      <c r="CP2260" s="0" t="s">
        <v>153</v>
      </c>
      <c r="CV2260" s="0" t="s">
        <v>153</v>
      </c>
      <c r="CY2260" s="0" t="s">
        <v>153</v>
      </c>
      <c r="DC2260" s="0" t="s">
        <v>153</v>
      </c>
      <c r="DF2260" s="0" t="s">
        <v>153</v>
      </c>
      <c r="DI2260" s="0" t="s">
        <v>153</v>
      </c>
      <c r="DL2260" s="0" t="s">
        <v>153</v>
      </c>
      <c r="DM2260" s="0" t="s">
        <v>175</v>
      </c>
      <c r="DN2260" s="0" t="s">
        <v>153</v>
      </c>
      <c r="DU2260" s="0" t="s">
        <v>153</v>
      </c>
      <c r="EF2260" s="0" t="s">
        <v>153</v>
      </c>
    </row>
    <row r="2261" customFormat="false" ht="13.8" hidden="true" customHeight="false" outlineLevel="0" collapsed="false">
      <c r="A2261" s="0" t="s">
        <v>9848</v>
      </c>
      <c r="B2261" s="0" t="n">
        <v>78</v>
      </c>
      <c r="C2261" s="0" t="n">
        <v>384508</v>
      </c>
      <c r="D2261" s="0" t="s">
        <v>2612</v>
      </c>
      <c r="E2261" s="0" t="s">
        <v>9849</v>
      </c>
      <c r="F2261" s="0" t="str">
        <f aca="false">CONCATENATE(D2261," ",LEFT(H2261,4),"T=",AU2261,"D=",AV2261,"R=",AW2261,"M=",AX2261,"L=",AY2261,"B=",AZ2261)</f>
        <v>SIMMONS T=1D=0R=0M=1L=1B=0</v>
      </c>
      <c r="G2261" s="0" t="s">
        <v>175</v>
      </c>
      <c r="I2261" s="0" t="s">
        <v>9850</v>
      </c>
      <c r="J2261" s="0" t="s">
        <v>9851</v>
      </c>
      <c r="K2261" s="0" t="s">
        <v>160</v>
      </c>
      <c r="L2261" s="0" t="s">
        <v>175</v>
      </c>
      <c r="M2261" s="0" t="s">
        <v>9852</v>
      </c>
      <c r="N2261" s="0" t="str">
        <f aca="false">RIGHT(M2261,LEN(M2261)-FIND(" ",M2261))</f>
        <v>WALLACE ST SE</v>
      </c>
      <c r="P2261" s="0" t="s">
        <v>145</v>
      </c>
      <c r="Q2261" s="0" t="s">
        <v>146</v>
      </c>
      <c r="R2261" s="0" t="n">
        <v>44484</v>
      </c>
      <c r="AD2261" s="0" t="s">
        <v>147</v>
      </c>
      <c r="AE2261" s="0" t="s">
        <v>148</v>
      </c>
      <c r="AF2261" s="0" t="s">
        <v>149</v>
      </c>
      <c r="AH2261" s="0" t="n">
        <v>14</v>
      </c>
      <c r="AI2261" s="0" t="n">
        <v>11</v>
      </c>
      <c r="AN2261" s="0" t="s">
        <v>145</v>
      </c>
      <c r="AO2261" s="0" t="s">
        <v>233</v>
      </c>
      <c r="AP2261" s="0" t="s">
        <v>234</v>
      </c>
      <c r="AQ2261" s="0" t="n">
        <v>9</v>
      </c>
      <c r="AR2261" s="0" t="n">
        <v>64</v>
      </c>
      <c r="AS2261" s="0" t="n">
        <v>32</v>
      </c>
      <c r="AU2261" s="0" t="n">
        <f aca="false">COUNTA($BA$2604:$EH$2604)</f>
        <v>1</v>
      </c>
      <c r="AV2261" s="0" t="n">
        <f aca="false">COUNTIF($BA$2604:$EH$2604,"D")</f>
        <v>0</v>
      </c>
      <c r="AW2261" s="0" t="n">
        <f aca="false">COUNTIF($BA$2604:$EH$2604,"R")</f>
        <v>0</v>
      </c>
      <c r="AX2261" s="0" t="n">
        <f aca="false">IF(BN2261="D",1,0)+IF(BO2261="D",1,0)+IF(BT2261="D",1,0)+IF(BU2261="D",1,0)+IF(BW2261="D",1,0)+IF(CC2261="D",1,0)+IF(CD2261="D",1,0)+IF(CE2261="D",1,0)+IF(CF2261="D",1,0)+IF(CL2261="D",1,0)+IF(CM2261="D",1,0)+IF(CQ2261="D",1,0)+IF(CR2261="D",1,0)+IF(CS2261="D",1,0)+IF(CW2261="D",1,0)+IF(CX2261="D",1,0)+IF(DD2261="D",1,0)+IF(DE2261="D",1,0)+IF(DJ2261="D",1,0)+IF(DK2261="D",1,0)+IF(DO2261="D",1,0)+IF(DP2261="D",1,0)+IF(DQ2261="D",1,0)+IF(DW2261="D",1,0)+IF(DZ2261="D",1,0)+IF(EH2261="D",1,0)</f>
        <v>1</v>
      </c>
      <c r="AY2261" s="0" t="n">
        <f aca="false">COUNTIF(DU2261:EH2261, "&lt;&gt;")</f>
        <v>1</v>
      </c>
      <c r="AZ2261" s="0" t="n">
        <f aca="false">IF(EH2261&lt;&gt;"",1,0)</f>
        <v>0</v>
      </c>
      <c r="BB2261" s="0" t="s">
        <v>152</v>
      </c>
      <c r="DI2261" s="0" t="s">
        <v>153</v>
      </c>
      <c r="DN2261" s="0" t="s">
        <v>153</v>
      </c>
      <c r="DW2261" s="0" t="s">
        <v>175</v>
      </c>
    </row>
    <row r="2262" customFormat="false" ht="13.8" hidden="false" customHeight="false" outlineLevel="0" collapsed="false">
      <c r="A2262" s="0" t="s">
        <v>9853</v>
      </c>
      <c r="B2262" s="0" t="n">
        <v>78</v>
      </c>
      <c r="C2262" s="0" t="n">
        <v>19521</v>
      </c>
      <c r="D2262" s="0" t="s">
        <v>9854</v>
      </c>
      <c r="E2262" s="0" t="s">
        <v>9855</v>
      </c>
      <c r="F2262" s="0" t="str">
        <f aca="false">CONCATENATE(D2262," ",LEFT(H2262,4),"T=",AU2262,"D=",AV2262,"R=",AW2262,"M=",AX2262,"L=",AY2262,"B=",AZ2262)</f>
        <v>DAVIE T=1D=0R=0M=5L=3B=0</v>
      </c>
      <c r="I2262" s="0" t="s">
        <v>9856</v>
      </c>
      <c r="J2262" s="0" t="s">
        <v>9857</v>
      </c>
      <c r="K2262" s="0" t="s">
        <v>160</v>
      </c>
      <c r="L2262" s="0" t="s">
        <v>175</v>
      </c>
      <c r="M2262" s="0" t="s">
        <v>9858</v>
      </c>
      <c r="N2262" s="0" t="str">
        <f aca="false">RIGHT(M2262,LEN(M2262)-FIND(" ",M2262))</f>
        <v>WALLACE ST SE</v>
      </c>
      <c r="P2262" s="0" t="s">
        <v>145</v>
      </c>
      <c r="Q2262" s="0" t="s">
        <v>146</v>
      </c>
      <c r="R2262" s="0" t="n">
        <v>44484</v>
      </c>
      <c r="AD2262" s="0" t="s">
        <v>147</v>
      </c>
      <c r="AE2262" s="0" t="s">
        <v>148</v>
      </c>
      <c r="AF2262" s="0" t="s">
        <v>149</v>
      </c>
      <c r="AH2262" s="0" t="n">
        <v>14</v>
      </c>
      <c r="AI2262" s="0" t="n">
        <v>11</v>
      </c>
      <c r="AN2262" s="0" t="s">
        <v>145</v>
      </c>
      <c r="AO2262" s="0" t="s">
        <v>233</v>
      </c>
      <c r="AP2262" s="0" t="s">
        <v>234</v>
      </c>
      <c r="AQ2262" s="0" t="n">
        <v>9</v>
      </c>
      <c r="AR2262" s="0" t="n">
        <v>64</v>
      </c>
      <c r="AS2262" s="0" t="n">
        <v>32</v>
      </c>
      <c r="AU2262" s="0" t="n">
        <f aca="false">COUNTA($BA$2217:$EH$2217)</f>
        <v>1</v>
      </c>
      <c r="AV2262" s="0" t="n">
        <f aca="false">COUNTIF($BA$2217:$EH$2217,"D")</f>
        <v>0</v>
      </c>
      <c r="AW2262" s="0" t="n">
        <f aca="false">COUNTIF($BA$2217:$EH$2217,"R")</f>
        <v>0</v>
      </c>
      <c r="AX2262" s="0" t="n">
        <f aca="false">IF(BN2262="D",1,0)+IF(BO2262="D",1,0)+IF(BT2262="D",1,0)+IF(BU2262="D",1,0)+IF(BW2262="D",1,0)+IF(CC2262="D",1,0)+IF(CD2262="D",1,0)+IF(CE2262="D",1,0)+IF(CF2262="D",1,0)+IF(CL2262="D",1,0)+IF(CM2262="D",1,0)+IF(CQ2262="D",1,0)+IF(CR2262="D",1,0)+IF(CS2262="D",1,0)+IF(CW2262="D",1,0)+IF(CX2262="D",1,0)+IF(DD2262="D",1,0)+IF(DE2262="D",1,0)+IF(DJ2262="D",1,0)+IF(DK2262="D",1,0)+IF(DO2262="D",1,0)+IF(DP2262="D",1,0)+IF(DQ2262="D",1,0)+IF(DW2262="D",1,0)+IF(DZ2262="D",1,0)+IF(EH2262="D",1,0)</f>
        <v>5</v>
      </c>
      <c r="AY2262" s="0" t="n">
        <f aca="false">COUNTIF(DU2262:EH2262, "&lt;&gt;")</f>
        <v>3</v>
      </c>
      <c r="AZ2262" s="0" t="n">
        <f aca="false">IF(EH2262&lt;&gt;"",1,0)</f>
        <v>0</v>
      </c>
      <c r="BB2262" s="0" t="s">
        <v>152</v>
      </c>
      <c r="BC2262" s="0" t="s">
        <v>153</v>
      </c>
      <c r="BD2262" s="0" t="s">
        <v>153</v>
      </c>
      <c r="BE2262" s="0" t="s">
        <v>153</v>
      </c>
      <c r="BG2262" s="0" t="s">
        <v>153</v>
      </c>
      <c r="BH2262" s="0" t="s">
        <v>153</v>
      </c>
      <c r="BI2262" s="0" t="s">
        <v>153</v>
      </c>
      <c r="BJ2262" s="0" t="s">
        <v>153</v>
      </c>
      <c r="BK2262" s="0" t="s">
        <v>153</v>
      </c>
      <c r="BL2262" s="0" t="s">
        <v>153</v>
      </c>
      <c r="BP2262" s="0" t="s">
        <v>153</v>
      </c>
      <c r="BR2262" s="0" t="s">
        <v>153</v>
      </c>
      <c r="BS2262" s="0" t="s">
        <v>153</v>
      </c>
      <c r="BY2262" s="0" t="s">
        <v>175</v>
      </c>
      <c r="CA2262" s="0" t="s">
        <v>153</v>
      </c>
      <c r="CC2262" s="0" t="s">
        <v>175</v>
      </c>
      <c r="CG2262" s="0" t="s">
        <v>153</v>
      </c>
      <c r="CH2262" s="0" t="s">
        <v>175</v>
      </c>
      <c r="CK2262" s="0" t="s">
        <v>153</v>
      </c>
      <c r="CL2262" s="0" t="s">
        <v>175</v>
      </c>
      <c r="CN2262" s="0" t="s">
        <v>153</v>
      </c>
      <c r="CO2262" s="0" t="s">
        <v>175</v>
      </c>
      <c r="CP2262" s="0" t="s">
        <v>153</v>
      </c>
      <c r="CT2262" s="0" t="s">
        <v>153</v>
      </c>
      <c r="CU2262" s="0" t="s">
        <v>175</v>
      </c>
      <c r="CV2262" s="0" t="s">
        <v>153</v>
      </c>
      <c r="CW2262" s="0" t="s">
        <v>175</v>
      </c>
      <c r="CY2262" s="0" t="s">
        <v>153</v>
      </c>
      <c r="CZ2262" s="0" t="s">
        <v>175</v>
      </c>
      <c r="DC2262" s="0" t="s">
        <v>153</v>
      </c>
      <c r="DD2262" s="0" t="s">
        <v>175</v>
      </c>
      <c r="DF2262" s="0" t="s">
        <v>153</v>
      </c>
      <c r="DG2262" s="0" t="s">
        <v>175</v>
      </c>
      <c r="DI2262" s="0" t="s">
        <v>153</v>
      </c>
      <c r="DL2262" s="0" t="s">
        <v>153</v>
      </c>
      <c r="DM2262" s="0" t="s">
        <v>175</v>
      </c>
      <c r="DN2262" s="0" t="s">
        <v>153</v>
      </c>
      <c r="DU2262" s="0" t="s">
        <v>153</v>
      </c>
      <c r="DW2262" s="0" t="s">
        <v>175</v>
      </c>
      <c r="EF2262" s="0" t="s">
        <v>153</v>
      </c>
    </row>
    <row r="2263" customFormat="false" ht="13.8" hidden="false" customHeight="false" outlineLevel="0" collapsed="false">
      <c r="A2263" s="0" t="s">
        <v>9859</v>
      </c>
      <c r="B2263" s="0" t="n">
        <v>78</v>
      </c>
      <c r="C2263" s="0" t="n">
        <v>153011</v>
      </c>
      <c r="D2263" s="0" t="s">
        <v>1281</v>
      </c>
      <c r="E2263" s="0" t="s">
        <v>9860</v>
      </c>
      <c r="F2263" s="0" t="str">
        <f aca="false">CONCATENATE(D2263," ",LEFT(H2263,4),"T=",AU2263,"D=",AV2263,"R=",AW2263,"M=",AX2263,"L=",AY2263,"B=",AZ2263)</f>
        <v>DAWSON T=1D=0R=0M=3L=7B=1</v>
      </c>
      <c r="I2263" s="0" t="s">
        <v>9861</v>
      </c>
      <c r="J2263" s="0" t="s">
        <v>2791</v>
      </c>
      <c r="K2263" s="0" t="s">
        <v>160</v>
      </c>
      <c r="L2263" s="0" t="s">
        <v>175</v>
      </c>
      <c r="M2263" s="0" t="s">
        <v>9862</v>
      </c>
      <c r="N2263" s="0" t="str">
        <f aca="false">RIGHT(M2263,LEN(M2263)-FIND(" ",M2263))</f>
        <v>WALLACE ST SE</v>
      </c>
      <c r="P2263" s="0" t="s">
        <v>145</v>
      </c>
      <c r="Q2263" s="0" t="s">
        <v>146</v>
      </c>
      <c r="R2263" s="0" t="n">
        <v>44484</v>
      </c>
      <c r="AD2263" s="0" t="s">
        <v>147</v>
      </c>
      <c r="AE2263" s="0" t="s">
        <v>148</v>
      </c>
      <c r="AF2263" s="0" t="s">
        <v>149</v>
      </c>
      <c r="AH2263" s="0" t="n">
        <v>14</v>
      </c>
      <c r="AI2263" s="0" t="n">
        <v>11</v>
      </c>
      <c r="AN2263" s="0" t="s">
        <v>145</v>
      </c>
      <c r="AO2263" s="0" t="s">
        <v>233</v>
      </c>
      <c r="AP2263" s="0" t="s">
        <v>234</v>
      </c>
      <c r="AQ2263" s="0" t="n">
        <v>9</v>
      </c>
      <c r="AR2263" s="0" t="n">
        <v>64</v>
      </c>
      <c r="AS2263" s="0" t="n">
        <v>32</v>
      </c>
      <c r="AU2263" s="0" t="n">
        <f aca="false">COUNTA($BA$2387:$EH$2387)</f>
        <v>1</v>
      </c>
      <c r="AV2263" s="0" t="n">
        <f aca="false">COUNTIF($BA$2387:$EH$2387,"D")</f>
        <v>0</v>
      </c>
      <c r="AW2263" s="0" t="n">
        <f aca="false">COUNTIF($BA$2387:$EH$2387,"R")</f>
        <v>0</v>
      </c>
      <c r="AX2263" s="0" t="n">
        <f aca="false">IF(BN2263="D",1,0)+IF(BO2263="D",1,0)+IF(BT2263="D",1,0)+IF(BU2263="D",1,0)+IF(BW2263="D",1,0)+IF(CC2263="D",1,0)+IF(CD2263="D",1,0)+IF(CE2263="D",1,0)+IF(CF2263="D",1,0)+IF(CL2263="D",1,0)+IF(CM2263="D",1,0)+IF(CQ2263="D",1,0)+IF(CR2263="D",1,0)+IF(CS2263="D",1,0)+IF(CW2263="D",1,0)+IF(CX2263="D",1,0)+IF(DD2263="D",1,0)+IF(DE2263="D",1,0)+IF(DJ2263="D",1,0)+IF(DK2263="D",1,0)+IF(DO2263="D",1,0)+IF(DP2263="D",1,0)+IF(DQ2263="D",1,0)+IF(DW2263="D",1,0)+IF(DZ2263="D",1,0)+IF(EH2263="D",1,0)</f>
        <v>3</v>
      </c>
      <c r="AY2263" s="0" t="n">
        <f aca="false">COUNTIF(DU2263:EH2263, "&lt;&gt;")</f>
        <v>7</v>
      </c>
      <c r="AZ2263" s="0" t="n">
        <f aca="false">IF(EH2263&lt;&gt;"",1,0)</f>
        <v>1</v>
      </c>
      <c r="BB2263" s="0" t="s">
        <v>152</v>
      </c>
      <c r="BC2263" s="0" t="s">
        <v>153</v>
      </c>
      <c r="BD2263" s="0" t="s">
        <v>153</v>
      </c>
      <c r="BF2263" s="0" t="s">
        <v>153</v>
      </c>
      <c r="BG2263" s="0" t="s">
        <v>153</v>
      </c>
      <c r="BH2263" s="0" t="s">
        <v>153</v>
      </c>
      <c r="BI2263" s="0" t="s">
        <v>153</v>
      </c>
      <c r="BJ2263" s="0" t="s">
        <v>153</v>
      </c>
      <c r="BK2263" s="0" t="s">
        <v>153</v>
      </c>
      <c r="BL2263" s="0" t="s">
        <v>153</v>
      </c>
      <c r="BP2263" s="0" t="s">
        <v>153</v>
      </c>
      <c r="BR2263" s="0" t="s">
        <v>153</v>
      </c>
      <c r="BS2263" s="0" t="s">
        <v>153</v>
      </c>
      <c r="BY2263" s="0" t="s">
        <v>175</v>
      </c>
      <c r="CA2263" s="0" t="s">
        <v>153</v>
      </c>
      <c r="CG2263" s="0" t="s">
        <v>153</v>
      </c>
      <c r="CH2263" s="0" t="s">
        <v>175</v>
      </c>
      <c r="CK2263" s="0" t="s">
        <v>153</v>
      </c>
      <c r="CN2263" s="0" t="s">
        <v>153</v>
      </c>
      <c r="CO2263" s="0" t="s">
        <v>175</v>
      </c>
      <c r="CP2263" s="0" t="s">
        <v>153</v>
      </c>
      <c r="CT2263" s="0" t="s">
        <v>153</v>
      </c>
      <c r="CU2263" s="0" t="s">
        <v>175</v>
      </c>
      <c r="CV2263" s="0" t="s">
        <v>153</v>
      </c>
      <c r="CW2263" s="0" t="s">
        <v>153</v>
      </c>
      <c r="CY2263" s="0" t="s">
        <v>153</v>
      </c>
      <c r="CZ2263" s="0" t="s">
        <v>175</v>
      </c>
      <c r="DC2263" s="0" t="s">
        <v>153</v>
      </c>
      <c r="DF2263" s="0" t="s">
        <v>153</v>
      </c>
      <c r="DG2263" s="0" t="s">
        <v>175</v>
      </c>
      <c r="DI2263" s="0" t="s">
        <v>153</v>
      </c>
      <c r="DJ2263" s="0" t="s">
        <v>175</v>
      </c>
      <c r="DL2263" s="0" t="s">
        <v>153</v>
      </c>
      <c r="DM2263" s="0" t="s">
        <v>175</v>
      </c>
      <c r="DN2263" s="0" t="s">
        <v>153</v>
      </c>
      <c r="DR2263" s="0" t="s">
        <v>153</v>
      </c>
      <c r="DS2263" s="0" t="s">
        <v>175</v>
      </c>
      <c r="DT2263" s="0" t="s">
        <v>175</v>
      </c>
      <c r="DU2263" s="0" t="s">
        <v>153</v>
      </c>
      <c r="DW2263" s="0" t="s">
        <v>175</v>
      </c>
      <c r="DX2263" s="0" t="s">
        <v>153</v>
      </c>
      <c r="EA2263" s="0" t="s">
        <v>153</v>
      </c>
      <c r="ED2263" s="0" t="s">
        <v>175</v>
      </c>
      <c r="EF2263" s="0" t="s">
        <v>153</v>
      </c>
      <c r="EH2263" s="0" t="s">
        <v>175</v>
      </c>
    </row>
    <row r="2264" customFormat="false" ht="13.8" hidden="false" customHeight="false" outlineLevel="0" collapsed="false">
      <c r="A2264" s="0" t="s">
        <v>9863</v>
      </c>
      <c r="B2264" s="0" t="n">
        <v>78</v>
      </c>
      <c r="C2264" s="0" t="n">
        <v>120627</v>
      </c>
      <c r="D2264" s="0" t="s">
        <v>1281</v>
      </c>
      <c r="E2264" s="0" t="s">
        <v>1716</v>
      </c>
      <c r="F2264" s="0" t="str">
        <f aca="false">CONCATENATE(D2264," ",LEFT(H2264,4),"T=",AU2264,"D=",AV2264,"R=",AW2264,"M=",AX2264,"L=",AY2264,"B=",AZ2264)</f>
        <v>DAWSON T=1D=0R=0M=3L=7B=1</v>
      </c>
      <c r="I2264" s="0" t="s">
        <v>9864</v>
      </c>
      <c r="J2264" s="0" t="s">
        <v>2007</v>
      </c>
      <c r="K2264" s="0" t="s">
        <v>160</v>
      </c>
      <c r="L2264" s="0" t="s">
        <v>175</v>
      </c>
      <c r="M2264" s="0" t="s">
        <v>9862</v>
      </c>
      <c r="N2264" s="0" t="str">
        <f aca="false">RIGHT(M2264,LEN(M2264)-FIND(" ",M2264))</f>
        <v>WALLACE ST SE</v>
      </c>
      <c r="P2264" s="0" t="s">
        <v>145</v>
      </c>
      <c r="Q2264" s="0" t="s">
        <v>146</v>
      </c>
      <c r="R2264" s="0" t="n">
        <v>44484</v>
      </c>
      <c r="AD2264" s="0" t="s">
        <v>147</v>
      </c>
      <c r="AE2264" s="0" t="s">
        <v>148</v>
      </c>
      <c r="AF2264" s="0" t="s">
        <v>149</v>
      </c>
      <c r="AH2264" s="0" t="n">
        <v>14</v>
      </c>
      <c r="AI2264" s="0" t="n">
        <v>11</v>
      </c>
      <c r="AN2264" s="0" t="s">
        <v>145</v>
      </c>
      <c r="AO2264" s="0" t="s">
        <v>233</v>
      </c>
      <c r="AP2264" s="0" t="s">
        <v>234</v>
      </c>
      <c r="AQ2264" s="0" t="n">
        <v>9</v>
      </c>
      <c r="AR2264" s="0" t="n">
        <v>64</v>
      </c>
      <c r="AS2264" s="0" t="n">
        <v>32</v>
      </c>
      <c r="AU2264" s="0" t="n">
        <f aca="false">COUNTA($BA$2676:$EH$2676)</f>
        <v>1</v>
      </c>
      <c r="AV2264" s="0" t="n">
        <f aca="false">COUNTIF($BA$2676:$EH$2676,"D")</f>
        <v>0</v>
      </c>
      <c r="AW2264" s="0" t="n">
        <f aca="false">COUNTIF($BA$2676:$EH$2676,"R")</f>
        <v>0</v>
      </c>
      <c r="AX2264" s="0" t="n">
        <f aca="false">IF(BN2264="D",1,0)+IF(BO2264="D",1,0)+IF(BT2264="D",1,0)+IF(BU2264="D",1,0)+IF(BW2264="D",1,0)+IF(CC2264="D",1,0)+IF(CD2264="D",1,0)+IF(CE2264="D",1,0)+IF(CF2264="D",1,0)+IF(CL2264="D",1,0)+IF(CM2264="D",1,0)+IF(CQ2264="D",1,0)+IF(CR2264="D",1,0)+IF(CS2264="D",1,0)+IF(CW2264="D",1,0)+IF(CX2264="D",1,0)+IF(DD2264="D",1,0)+IF(DE2264="D",1,0)+IF(DJ2264="D",1,0)+IF(DK2264="D",1,0)+IF(DO2264="D",1,0)+IF(DP2264="D",1,0)+IF(DQ2264="D",1,0)+IF(DW2264="D",1,0)+IF(DZ2264="D",1,0)+IF(EH2264="D",1,0)</f>
        <v>3</v>
      </c>
      <c r="AY2264" s="0" t="n">
        <f aca="false">COUNTIF(DU2264:EH2264, "&lt;&gt;")</f>
        <v>7</v>
      </c>
      <c r="AZ2264" s="0" t="n">
        <f aca="false">IF(EH2264&lt;&gt;"",1,0)</f>
        <v>1</v>
      </c>
      <c r="BB2264" s="0" t="s">
        <v>152</v>
      </c>
      <c r="BC2264" s="0" t="s">
        <v>153</v>
      </c>
      <c r="BF2264" s="0" t="s">
        <v>153</v>
      </c>
      <c r="BG2264" s="0" t="s">
        <v>153</v>
      </c>
      <c r="BH2264" s="0" t="s">
        <v>153</v>
      </c>
      <c r="BI2264" s="0" t="s">
        <v>153</v>
      </c>
      <c r="BJ2264" s="0" t="s">
        <v>153</v>
      </c>
      <c r="BK2264" s="0" t="s">
        <v>153</v>
      </c>
      <c r="BL2264" s="0" t="s">
        <v>153</v>
      </c>
      <c r="BP2264" s="0" t="s">
        <v>153</v>
      </c>
      <c r="BR2264" s="0" t="s">
        <v>153</v>
      </c>
      <c r="BS2264" s="0" t="s">
        <v>153</v>
      </c>
      <c r="BV2264" s="0" t="s">
        <v>153</v>
      </c>
      <c r="BY2264" s="0" t="s">
        <v>175</v>
      </c>
      <c r="CA2264" s="0" t="s">
        <v>153</v>
      </c>
      <c r="CG2264" s="0" t="s">
        <v>153</v>
      </c>
      <c r="CH2264" s="0" t="s">
        <v>175</v>
      </c>
      <c r="CK2264" s="0" t="s">
        <v>153</v>
      </c>
      <c r="CN2264" s="0" t="s">
        <v>153</v>
      </c>
      <c r="CO2264" s="0" t="s">
        <v>175</v>
      </c>
      <c r="CP2264" s="0" t="s">
        <v>153</v>
      </c>
      <c r="CT2264" s="0" t="s">
        <v>153</v>
      </c>
      <c r="CU2264" s="0" t="s">
        <v>175</v>
      </c>
      <c r="CV2264" s="0" t="s">
        <v>153</v>
      </c>
      <c r="CY2264" s="0" t="s">
        <v>153</v>
      </c>
      <c r="CZ2264" s="0" t="s">
        <v>175</v>
      </c>
      <c r="DC2264" s="0" t="s">
        <v>153</v>
      </c>
      <c r="DF2264" s="0" t="s">
        <v>153</v>
      </c>
      <c r="DG2264" s="0" t="s">
        <v>175</v>
      </c>
      <c r="DI2264" s="0" t="s">
        <v>153</v>
      </c>
      <c r="DJ2264" s="0" t="s">
        <v>175</v>
      </c>
      <c r="DL2264" s="0" t="s">
        <v>153</v>
      </c>
      <c r="DM2264" s="0" t="s">
        <v>175</v>
      </c>
      <c r="DN2264" s="0" t="s">
        <v>153</v>
      </c>
      <c r="DR2264" s="0" t="s">
        <v>153</v>
      </c>
      <c r="DS2264" s="0" t="s">
        <v>175</v>
      </c>
      <c r="DT2264" s="0" t="s">
        <v>175</v>
      </c>
      <c r="DU2264" s="0" t="s">
        <v>153</v>
      </c>
      <c r="DW2264" s="0" t="s">
        <v>175</v>
      </c>
      <c r="DX2264" s="0" t="s">
        <v>153</v>
      </c>
      <c r="EA2264" s="0" t="s">
        <v>153</v>
      </c>
      <c r="ED2264" s="0" t="s">
        <v>175</v>
      </c>
      <c r="EF2264" s="0" t="s">
        <v>153</v>
      </c>
      <c r="EH2264" s="0" t="s">
        <v>175</v>
      </c>
    </row>
    <row r="2265" customFormat="false" ht="13.8" hidden="true" customHeight="false" outlineLevel="0" collapsed="false">
      <c r="A2265" s="0" t="s">
        <v>9865</v>
      </c>
      <c r="B2265" s="0" t="n">
        <v>78</v>
      </c>
      <c r="C2265" s="0" t="n">
        <v>216746</v>
      </c>
      <c r="D2265" s="0" t="s">
        <v>3940</v>
      </c>
      <c r="E2265" s="0" t="s">
        <v>712</v>
      </c>
      <c r="F2265" s="0" t="str">
        <f aca="false">CONCATENATE(D2265," ",LEFT(H2265,4),"T=",AU2265,"D=",AV2265,"R=",AW2265,"M=",AX2265,"L=",AY2265,"B=",AZ2265)</f>
        <v>WILSON T=4D=1R=0M=1L=0B=0</v>
      </c>
      <c r="G2265" s="0" t="s">
        <v>1128</v>
      </c>
      <c r="I2265" s="0" t="s">
        <v>9866</v>
      </c>
      <c r="J2265" s="0" t="s">
        <v>9867</v>
      </c>
      <c r="K2265" s="0" t="s">
        <v>143</v>
      </c>
      <c r="M2265" s="0" t="s">
        <v>9868</v>
      </c>
      <c r="N2265" s="0" t="str">
        <f aca="false">RIGHT(M2265,LEN(M2265)-FIND(" ",M2265))</f>
        <v>WALLACE ST SE</v>
      </c>
      <c r="P2265" s="0" t="s">
        <v>145</v>
      </c>
      <c r="Q2265" s="0" t="s">
        <v>146</v>
      </c>
      <c r="R2265" s="0" t="n">
        <v>44484</v>
      </c>
      <c r="AD2265" s="0" t="s">
        <v>147</v>
      </c>
      <c r="AE2265" s="0" t="s">
        <v>148</v>
      </c>
      <c r="AF2265" s="0" t="s">
        <v>149</v>
      </c>
      <c r="AH2265" s="0" t="n">
        <v>14</v>
      </c>
      <c r="AI2265" s="0" t="n">
        <v>11</v>
      </c>
      <c r="AN2265" s="0" t="s">
        <v>145</v>
      </c>
      <c r="AO2265" s="0" t="s">
        <v>233</v>
      </c>
      <c r="AP2265" s="0" t="s">
        <v>234</v>
      </c>
      <c r="AQ2265" s="0" t="n">
        <v>9</v>
      </c>
      <c r="AR2265" s="0" t="n">
        <v>64</v>
      </c>
      <c r="AS2265" s="0" t="n">
        <v>32</v>
      </c>
      <c r="AU2265" s="0" t="n">
        <f aca="false">COUNTA($BA$2591:$EH$2591)</f>
        <v>4</v>
      </c>
      <c r="AV2265" s="0" t="n">
        <f aca="false">COUNTIF($BA$2591:$EH$2591,"D")</f>
        <v>1</v>
      </c>
      <c r="AW2265" s="0" t="n">
        <f aca="false">COUNTIF($BA$2591:$EH$2591,"R")</f>
        <v>0</v>
      </c>
      <c r="AX2265" s="0" t="n">
        <f aca="false">IF(BN2265="D",1,0)+IF(BO2265="D",1,0)+IF(BT2265="D",1,0)+IF(BU2265="D",1,0)+IF(BW2265="D",1,0)+IF(CC2265="D",1,0)+IF(CD2265="D",1,0)+IF(CE2265="D",1,0)+IF(CF2265="D",1,0)+IF(CL2265="D",1,0)+IF(CM2265="D",1,0)+IF(CQ2265="D",1,0)+IF(CR2265="D",1,0)+IF(CS2265="D",1,0)+IF(CW2265="D",1,0)+IF(CX2265="D",1,0)+IF(DD2265="D",1,0)+IF(DE2265="D",1,0)+IF(DJ2265="D",1,0)+IF(DK2265="D",1,0)+IF(DO2265="D",1,0)+IF(DP2265="D",1,0)+IF(DQ2265="D",1,0)+IF(DW2265="D",1,0)+IF(DZ2265="D",1,0)+IF(EH2265="D",1,0)</f>
        <v>1</v>
      </c>
      <c r="AY2265" s="0" t="n">
        <f aca="false">COUNTIF(DU2265:EH2265, "&lt;&gt;")</f>
        <v>0</v>
      </c>
      <c r="AZ2265" s="0" t="n">
        <f aca="false">IF(EH2265&lt;&gt;"",1,0)</f>
        <v>0</v>
      </c>
      <c r="BB2265" s="0" t="s">
        <v>152</v>
      </c>
      <c r="BD2265" s="0" t="s">
        <v>153</v>
      </c>
      <c r="BL2265" s="0" t="s">
        <v>153</v>
      </c>
      <c r="CL2265" s="0" t="s">
        <v>175</v>
      </c>
      <c r="CO2265" s="0" t="s">
        <v>175</v>
      </c>
      <c r="CP2265" s="0" t="s">
        <v>153</v>
      </c>
    </row>
    <row r="2266" customFormat="false" ht="13.8" hidden="true" customHeight="false" outlineLevel="0" collapsed="false">
      <c r="A2266" s="0" t="s">
        <v>9869</v>
      </c>
      <c r="B2266" s="0" t="n">
        <v>78</v>
      </c>
      <c r="C2266" s="0" t="n">
        <v>466615</v>
      </c>
      <c r="D2266" s="0" t="s">
        <v>9870</v>
      </c>
      <c r="E2266" s="0" t="s">
        <v>2214</v>
      </c>
      <c r="F2266" s="0" t="str">
        <f aca="false">CONCATENATE(D2266," ",LEFT(H2266,4),"T=",AU2266,"D=",AV2266,"R=",AW2266,"M=",AX2266,"L=",AY2266,"B=",AZ2266)</f>
        <v>BULL T=3D=0R=0M=0L=0B=0</v>
      </c>
      <c r="G2266" s="0" t="s">
        <v>274</v>
      </c>
      <c r="I2266" s="0" t="s">
        <v>7937</v>
      </c>
      <c r="J2266" s="0" t="s">
        <v>9205</v>
      </c>
      <c r="K2266" s="0" t="s">
        <v>160</v>
      </c>
      <c r="M2266" s="0" t="s">
        <v>9871</v>
      </c>
      <c r="N2266" s="0" t="str">
        <f aca="false">RIGHT(M2266,LEN(M2266)-FIND(" ",M2266))</f>
        <v>WALLACE ST SE</v>
      </c>
      <c r="P2266" s="0" t="s">
        <v>145</v>
      </c>
      <c r="Q2266" s="0" t="s">
        <v>146</v>
      </c>
      <c r="R2266" s="0" t="n">
        <v>44484</v>
      </c>
      <c r="AD2266" s="0" t="s">
        <v>147</v>
      </c>
      <c r="AE2266" s="0" t="s">
        <v>148</v>
      </c>
      <c r="AF2266" s="0" t="s">
        <v>149</v>
      </c>
      <c r="AH2266" s="0" t="n">
        <v>14</v>
      </c>
      <c r="AI2266" s="0" t="n">
        <v>11</v>
      </c>
      <c r="AN2266" s="0" t="s">
        <v>145</v>
      </c>
      <c r="AO2266" s="0" t="s">
        <v>233</v>
      </c>
      <c r="AP2266" s="0" t="s">
        <v>234</v>
      </c>
      <c r="AQ2266" s="0" t="n">
        <v>9</v>
      </c>
      <c r="AR2266" s="0" t="n">
        <v>64</v>
      </c>
      <c r="AS2266" s="0" t="n">
        <v>32</v>
      </c>
      <c r="AU2266" s="0" t="n">
        <f aca="false">COUNTA($BA$2314:$EH$2314)</f>
        <v>3</v>
      </c>
      <c r="AV2266" s="0" t="n">
        <f aca="false">COUNTIF($BA$2314:$EH$2314,"D")</f>
        <v>0</v>
      </c>
      <c r="AW2266" s="0" t="n">
        <f aca="false">COUNTIF($BA$2314:$EH$2314,"R")</f>
        <v>0</v>
      </c>
      <c r="AX2266" s="0" t="n">
        <f aca="false">IF(BN2266="D",1,0)+IF(BO2266="D",1,0)+IF(BT2266="D",1,0)+IF(BU2266="D",1,0)+IF(BW2266="D",1,0)+IF(CC2266="D",1,0)+IF(CD2266="D",1,0)+IF(CE2266="D",1,0)+IF(CF2266="D",1,0)+IF(CL2266="D",1,0)+IF(CM2266="D",1,0)+IF(CQ2266="D",1,0)+IF(CR2266="D",1,0)+IF(CS2266="D",1,0)+IF(CW2266="D",1,0)+IF(CX2266="D",1,0)+IF(DD2266="D",1,0)+IF(DE2266="D",1,0)+IF(DJ2266="D",1,0)+IF(DK2266="D",1,0)+IF(DO2266="D",1,0)+IF(DP2266="D",1,0)+IF(DQ2266="D",1,0)+IF(DW2266="D",1,0)+IF(DZ2266="D",1,0)+IF(EH2266="D",1,0)</f>
        <v>0</v>
      </c>
      <c r="AY2266" s="0" t="n">
        <f aca="false">COUNTIF(DU2266:EH2266, "&lt;&gt;")</f>
        <v>0</v>
      </c>
      <c r="AZ2266" s="0" t="n">
        <f aca="false">IF(EH2266&lt;&gt;"",1,0)</f>
        <v>0</v>
      </c>
      <c r="BB2266" s="0" t="s">
        <v>152</v>
      </c>
    </row>
    <row r="2267" customFormat="false" ht="13.8" hidden="false" customHeight="false" outlineLevel="0" collapsed="false">
      <c r="A2267" s="0" t="s">
        <v>9872</v>
      </c>
      <c r="B2267" s="0" t="n">
        <v>78</v>
      </c>
      <c r="C2267" s="0" t="n">
        <v>236084</v>
      </c>
      <c r="D2267" s="0" t="s">
        <v>4848</v>
      </c>
      <c r="E2267" s="0" t="s">
        <v>5940</v>
      </c>
      <c r="F2267" s="0" t="str">
        <f aca="false">CONCATENATE(D2267," ",LEFT(H2267,4),"T=",AU2267,"D=",AV2267,"R=",AW2267,"M=",AX2267,"L=",AY2267,"B=",AZ2267)</f>
        <v>GILLIAM T=3D=1R=0M=7L=7B=1</v>
      </c>
      <c r="G2267" s="0" t="s">
        <v>670</v>
      </c>
      <c r="I2267" s="0" t="s">
        <v>9873</v>
      </c>
      <c r="J2267" s="0" t="s">
        <v>3622</v>
      </c>
      <c r="K2267" s="0" t="s">
        <v>160</v>
      </c>
      <c r="L2267" s="0" t="s">
        <v>175</v>
      </c>
      <c r="M2267" s="0" t="s">
        <v>9874</v>
      </c>
      <c r="N2267" s="0" t="str">
        <f aca="false">RIGHT(M2267,LEN(M2267)-FIND(" ",M2267))</f>
        <v>WALLACE ST SE</v>
      </c>
      <c r="P2267" s="0" t="s">
        <v>145</v>
      </c>
      <c r="Q2267" s="0" t="s">
        <v>146</v>
      </c>
      <c r="R2267" s="0" t="n">
        <v>44484</v>
      </c>
      <c r="AD2267" s="0" t="s">
        <v>147</v>
      </c>
      <c r="AE2267" s="0" t="s">
        <v>148</v>
      </c>
      <c r="AF2267" s="0" t="s">
        <v>149</v>
      </c>
      <c r="AH2267" s="0" t="n">
        <v>14</v>
      </c>
      <c r="AI2267" s="0" t="n">
        <v>11</v>
      </c>
      <c r="AN2267" s="0" t="s">
        <v>145</v>
      </c>
      <c r="AO2267" s="0" t="s">
        <v>233</v>
      </c>
      <c r="AP2267" s="0" t="s">
        <v>234</v>
      </c>
      <c r="AQ2267" s="0" t="n">
        <v>9</v>
      </c>
      <c r="AR2267" s="0" t="n">
        <v>64</v>
      </c>
      <c r="AS2267" s="0" t="n">
        <v>32</v>
      </c>
      <c r="AU2267" s="0" t="n">
        <f aca="false">COUNTA($BA$2213:$EH$2213)</f>
        <v>3</v>
      </c>
      <c r="AV2267" s="0" t="n">
        <f aca="false">COUNTIF($BA$2213:$EH$2213,"D")</f>
        <v>1</v>
      </c>
      <c r="AW2267" s="0" t="n">
        <f aca="false">COUNTIF($BA$2213:$EH$2213,"R")</f>
        <v>0</v>
      </c>
      <c r="AX2267" s="0" t="n">
        <f aca="false">IF(BN2267="D",1,0)+IF(BO2267="D",1,0)+IF(BT2267="D",1,0)+IF(BU2267="D",1,0)+IF(BW2267="D",1,0)+IF(CC2267="D",1,0)+IF(CD2267="D",1,0)+IF(CE2267="D",1,0)+IF(CF2267="D",1,0)+IF(CL2267="D",1,0)+IF(CM2267="D",1,0)+IF(CQ2267="D",1,0)+IF(CR2267="D",1,0)+IF(CS2267="D",1,0)+IF(CW2267="D",1,0)+IF(CX2267="D",1,0)+IF(DD2267="D",1,0)+IF(DE2267="D",1,0)+IF(DJ2267="D",1,0)+IF(DK2267="D",1,0)+IF(DO2267="D",1,0)+IF(DP2267="D",1,0)+IF(DQ2267="D",1,0)+IF(DW2267="D",1,0)+IF(DZ2267="D",1,0)+IF(EH2267="D",1,0)</f>
        <v>7</v>
      </c>
      <c r="AY2267" s="0" t="n">
        <f aca="false">COUNTIF(DU2267:EH2267, "&lt;&gt;")</f>
        <v>7</v>
      </c>
      <c r="AZ2267" s="0" t="n">
        <f aca="false">IF(EH2267&lt;&gt;"",1,0)</f>
        <v>1</v>
      </c>
      <c r="BB2267" s="0" t="s">
        <v>152</v>
      </c>
      <c r="BC2267" s="0" t="s">
        <v>153</v>
      </c>
      <c r="BD2267" s="0" t="s">
        <v>153</v>
      </c>
      <c r="BE2267" s="0" t="s">
        <v>153</v>
      </c>
      <c r="BF2267" s="0" t="s">
        <v>153</v>
      </c>
      <c r="BG2267" s="0" t="s">
        <v>153</v>
      </c>
      <c r="BH2267" s="0" t="s">
        <v>153</v>
      </c>
      <c r="BI2267" s="0" t="s">
        <v>153</v>
      </c>
      <c r="BJ2267" s="0" t="s">
        <v>153</v>
      </c>
      <c r="BK2267" s="0" t="s">
        <v>153</v>
      </c>
      <c r="BL2267" s="0" t="s">
        <v>153</v>
      </c>
      <c r="BP2267" s="0" t="s">
        <v>153</v>
      </c>
      <c r="BS2267" s="0" t="s">
        <v>153</v>
      </c>
      <c r="BV2267" s="0" t="s">
        <v>153</v>
      </c>
      <c r="BY2267" s="0" t="s">
        <v>175</v>
      </c>
      <c r="CA2267" s="0" t="s">
        <v>153</v>
      </c>
      <c r="CG2267" s="0" t="s">
        <v>153</v>
      </c>
      <c r="CK2267" s="0" t="s">
        <v>153</v>
      </c>
      <c r="CL2267" s="0" t="s">
        <v>175</v>
      </c>
      <c r="CN2267" s="0" t="s">
        <v>153</v>
      </c>
      <c r="CO2267" s="0" t="s">
        <v>175</v>
      </c>
      <c r="CP2267" s="0" t="s">
        <v>153</v>
      </c>
      <c r="CQ2267" s="0" t="s">
        <v>175</v>
      </c>
      <c r="CT2267" s="0" t="s">
        <v>153</v>
      </c>
      <c r="CU2267" s="0" t="s">
        <v>175</v>
      </c>
      <c r="CV2267" s="0" t="s">
        <v>153</v>
      </c>
      <c r="CW2267" s="0" t="s">
        <v>175</v>
      </c>
      <c r="CY2267" s="0" t="s">
        <v>153</v>
      </c>
      <c r="CZ2267" s="0" t="s">
        <v>175</v>
      </c>
      <c r="DC2267" s="0" t="s">
        <v>153</v>
      </c>
      <c r="DD2267" s="0" t="s">
        <v>175</v>
      </c>
      <c r="DF2267" s="0" t="s">
        <v>153</v>
      </c>
      <c r="DG2267" s="0" t="s">
        <v>175</v>
      </c>
      <c r="DI2267" s="0" t="s">
        <v>153</v>
      </c>
      <c r="DJ2267" s="0" t="s">
        <v>175</v>
      </c>
      <c r="DL2267" s="0" t="s">
        <v>153</v>
      </c>
      <c r="DM2267" s="0" t="s">
        <v>175</v>
      </c>
      <c r="DN2267" s="0" t="s">
        <v>153</v>
      </c>
      <c r="DR2267" s="0" t="s">
        <v>153</v>
      </c>
      <c r="DS2267" s="0" t="s">
        <v>175</v>
      </c>
      <c r="DU2267" s="0" t="s">
        <v>153</v>
      </c>
      <c r="DW2267" s="0" t="s">
        <v>175</v>
      </c>
      <c r="DX2267" s="0" t="s">
        <v>153</v>
      </c>
      <c r="EA2267" s="0" t="s">
        <v>153</v>
      </c>
      <c r="ED2267" s="0" t="s">
        <v>175</v>
      </c>
      <c r="EF2267" s="0" t="s">
        <v>153</v>
      </c>
      <c r="EH2267" s="0" t="s">
        <v>175</v>
      </c>
    </row>
    <row r="2268" customFormat="false" ht="13.8" hidden="true" customHeight="false" outlineLevel="0" collapsed="false">
      <c r="A2268" s="0" t="s">
        <v>9875</v>
      </c>
      <c r="B2268" s="0" t="n">
        <v>78</v>
      </c>
      <c r="C2268" s="0" t="n">
        <v>439929</v>
      </c>
      <c r="D2268" s="0" t="s">
        <v>784</v>
      </c>
      <c r="E2268" s="0" t="s">
        <v>9876</v>
      </c>
      <c r="F2268" s="0" t="str">
        <f aca="false">CONCATENATE(D2268," ",LEFT(H2268,4),"T=",AU2268,"D=",AV2268,"R=",AW2268,"M=",AX2268,"L=",AY2268,"B=",AZ2268)</f>
        <v>BUTLER T=4D=0R=0M=0L=0B=0</v>
      </c>
      <c r="G2268" s="0" t="s">
        <v>9877</v>
      </c>
      <c r="I2268" s="0" t="s">
        <v>9878</v>
      </c>
      <c r="J2268" s="0" t="s">
        <v>5877</v>
      </c>
      <c r="K2268" s="0" t="s">
        <v>143</v>
      </c>
      <c r="M2268" s="0" t="s">
        <v>9879</v>
      </c>
      <c r="N2268" s="0" t="str">
        <f aca="false">RIGHT(M2268,LEN(M2268)-FIND(" ",M2268))</f>
        <v>WASHINGTON ST NE</v>
      </c>
      <c r="P2268" s="0" t="s">
        <v>145</v>
      </c>
      <c r="Q2268" s="0" t="s">
        <v>146</v>
      </c>
      <c r="R2268" s="0" t="n">
        <v>44483</v>
      </c>
      <c r="AD2268" s="0" t="s">
        <v>147</v>
      </c>
      <c r="AE2268" s="0" t="s">
        <v>148</v>
      </c>
      <c r="AF2268" s="0" t="s">
        <v>149</v>
      </c>
      <c r="AH2268" s="0" t="n">
        <v>14</v>
      </c>
      <c r="AI2268" s="0" t="n">
        <v>11</v>
      </c>
      <c r="AN2268" s="0" t="s">
        <v>145</v>
      </c>
      <c r="AO2268" s="0" t="s">
        <v>654</v>
      </c>
      <c r="AP2268" s="0" t="s">
        <v>655</v>
      </c>
      <c r="AQ2268" s="0" t="n">
        <v>9</v>
      </c>
      <c r="AR2268" s="0" t="n">
        <v>64</v>
      </c>
      <c r="AS2268" s="0" t="n">
        <v>32</v>
      </c>
      <c r="AU2268" s="0" t="n">
        <f aca="false">COUNTA($BA$1287:$EH$1287)</f>
        <v>4</v>
      </c>
      <c r="AV2268" s="0" t="n">
        <f aca="false">COUNTIF($BA$1287:$EH$1287,"D")</f>
        <v>0</v>
      </c>
      <c r="AW2268" s="0" t="n">
        <f aca="false">COUNTIF($BA$1287:$EH$1287,"R")</f>
        <v>0</v>
      </c>
      <c r="AX2268" s="0" t="n">
        <f aca="false">IF(BN2268="D",1,0)+IF(BO2268="D",1,0)+IF(BT2268="D",1,0)+IF(BU2268="D",1,0)+IF(BW2268="D",1,0)+IF(CC2268="D",1,0)+IF(CD2268="D",1,0)+IF(CE2268="D",1,0)+IF(CF2268="D",1,0)+IF(CL2268="D",1,0)+IF(CM2268="D",1,0)+IF(CQ2268="D",1,0)+IF(CR2268="D",1,0)+IF(CS2268="D",1,0)+IF(CW2268="D",1,0)+IF(CX2268="D",1,0)+IF(DD2268="D",1,0)+IF(DE2268="D",1,0)+IF(DJ2268="D",1,0)+IF(DK2268="D",1,0)+IF(DO2268="D",1,0)+IF(DP2268="D",1,0)+IF(DQ2268="D",1,0)+IF(DW2268="D",1,0)+IF(DZ2268="D",1,0)+IF(EH2268="D",1,0)</f>
        <v>0</v>
      </c>
      <c r="AY2268" s="0" t="n">
        <f aca="false">COUNTIF(DU2268:EH2268, "&lt;&gt;")</f>
        <v>0</v>
      </c>
      <c r="AZ2268" s="0" t="n">
        <f aca="false">IF(EH2268&lt;&gt;"",1,0)</f>
        <v>0</v>
      </c>
      <c r="BB2268" s="0" t="s">
        <v>152</v>
      </c>
    </row>
    <row r="2269" customFormat="false" ht="13.8" hidden="true" customHeight="false" outlineLevel="0" collapsed="false">
      <c r="A2269" s="0" t="s">
        <v>9880</v>
      </c>
      <c r="B2269" s="0" t="n">
        <v>78</v>
      </c>
      <c r="C2269" s="0" t="n">
        <v>320973</v>
      </c>
      <c r="D2269" s="0" t="s">
        <v>1041</v>
      </c>
      <c r="E2269" s="0" t="s">
        <v>6831</v>
      </c>
      <c r="F2269" s="0" t="str">
        <f aca="false">CONCATENATE(D2269," ",LEFT(H2269,4),"T=",AU2269,"D=",AV2269,"R=",AW2269,"M=",AX2269,"L=",AY2269,"B=",AZ2269)</f>
        <v>JONES T=18D=4R=0M=0L=0B=0</v>
      </c>
      <c r="G2269" s="0" t="s">
        <v>195</v>
      </c>
      <c r="I2269" s="0" t="s">
        <v>9881</v>
      </c>
      <c r="J2269" s="0" t="s">
        <v>6351</v>
      </c>
      <c r="K2269" s="0" t="s">
        <v>160</v>
      </c>
      <c r="M2269" s="0" t="s">
        <v>9879</v>
      </c>
      <c r="N2269" s="0" t="str">
        <f aca="false">RIGHT(M2269,LEN(M2269)-FIND(" ",M2269))</f>
        <v>WASHINGTON ST NE</v>
      </c>
      <c r="P2269" s="0" t="s">
        <v>145</v>
      </c>
      <c r="Q2269" s="0" t="s">
        <v>146</v>
      </c>
      <c r="R2269" s="0" t="n">
        <v>44483</v>
      </c>
      <c r="AD2269" s="0" t="s">
        <v>147</v>
      </c>
      <c r="AE2269" s="0" t="s">
        <v>148</v>
      </c>
      <c r="AF2269" s="0" t="s">
        <v>149</v>
      </c>
      <c r="AH2269" s="0" t="n">
        <v>14</v>
      </c>
      <c r="AI2269" s="0" t="n">
        <v>11</v>
      </c>
      <c r="AN2269" s="0" t="s">
        <v>145</v>
      </c>
      <c r="AO2269" s="0" t="s">
        <v>654</v>
      </c>
      <c r="AP2269" s="0" t="s">
        <v>655</v>
      </c>
      <c r="AQ2269" s="0" t="n">
        <v>9</v>
      </c>
      <c r="AR2269" s="0" t="n">
        <v>64</v>
      </c>
      <c r="AS2269" s="0" t="n">
        <v>32</v>
      </c>
      <c r="AU2269" s="0" t="n">
        <f aca="false">COUNTA($BA$2038:$EH$2038)</f>
        <v>18</v>
      </c>
      <c r="AV2269" s="0" t="n">
        <f aca="false">COUNTIF($BA$2038:$EH$2038,"D")</f>
        <v>4</v>
      </c>
      <c r="AW2269" s="0" t="n">
        <f aca="false">COUNTIF($BA$2038:$EH$2038,"R")</f>
        <v>0</v>
      </c>
      <c r="AX2269" s="0" t="n">
        <f aca="false">IF(BN2269="D",1,0)+IF(BO2269="D",1,0)+IF(BT2269="D",1,0)+IF(BU2269="D",1,0)+IF(BW2269="D",1,0)+IF(CC2269="D",1,0)+IF(CD2269="D",1,0)+IF(CE2269="D",1,0)+IF(CF2269="D",1,0)+IF(CL2269="D",1,0)+IF(CM2269="D",1,0)+IF(CQ2269="D",1,0)+IF(CR2269="D",1,0)+IF(CS2269="D",1,0)+IF(CW2269="D",1,0)+IF(CX2269="D",1,0)+IF(DD2269="D",1,0)+IF(DE2269="D",1,0)+IF(DJ2269="D",1,0)+IF(DK2269="D",1,0)+IF(DO2269="D",1,0)+IF(DP2269="D",1,0)+IF(DQ2269="D",1,0)+IF(DW2269="D",1,0)+IF(DZ2269="D",1,0)+IF(EH2269="D",1,0)</f>
        <v>0</v>
      </c>
      <c r="AY2269" s="0" t="n">
        <f aca="false">COUNTIF(DU2269:EH2269, "&lt;&gt;")</f>
        <v>0</v>
      </c>
      <c r="AZ2269" s="0" t="n">
        <f aca="false">IF(EH2269&lt;&gt;"",1,0)</f>
        <v>0</v>
      </c>
      <c r="BB2269" s="0" t="s">
        <v>152</v>
      </c>
      <c r="BL2269" s="0" t="s">
        <v>153</v>
      </c>
      <c r="CA2269" s="0" t="s">
        <v>153</v>
      </c>
      <c r="CP2269" s="0" t="s">
        <v>153</v>
      </c>
      <c r="DC2269" s="0" t="s">
        <v>153</v>
      </c>
      <c r="DN2269" s="0" t="s">
        <v>153</v>
      </c>
    </row>
    <row r="2270" customFormat="false" ht="13.8" hidden="true" customHeight="false" outlineLevel="0" collapsed="false">
      <c r="A2270" s="0" t="s">
        <v>9882</v>
      </c>
      <c r="B2270" s="0" t="n">
        <v>78</v>
      </c>
      <c r="C2270" s="0" t="n">
        <v>347351</v>
      </c>
      <c r="D2270" s="0" t="s">
        <v>9883</v>
      </c>
      <c r="E2270" s="0" t="s">
        <v>5062</v>
      </c>
      <c r="F2270" s="0" t="str">
        <f aca="false">CONCATENATE(D2270," ",LEFT(H2270,4),"T=",AU2270,"D=",AV2270,"R=",AW2270,"M=",AX2270,"L=",AY2270,"B=",AZ2270)</f>
        <v>KOZIEL JRT=2D=0R=0M=0L=0B=0</v>
      </c>
      <c r="G2270" s="0" t="s">
        <v>1917</v>
      </c>
      <c r="H2270" s="0" t="s">
        <v>314</v>
      </c>
      <c r="I2270" s="0" t="s">
        <v>9884</v>
      </c>
      <c r="J2270" s="0" t="s">
        <v>2284</v>
      </c>
      <c r="K2270" s="0" t="s">
        <v>160</v>
      </c>
      <c r="M2270" s="0" t="s">
        <v>9885</v>
      </c>
      <c r="N2270" s="0" t="str">
        <f aca="false">RIGHT(M2270,LEN(M2270)-FIND(" ",M2270))</f>
        <v>WASHINGTON ST NE</v>
      </c>
      <c r="O2270" s="0" t="s">
        <v>9213</v>
      </c>
      <c r="P2270" s="0" t="s">
        <v>145</v>
      </c>
      <c r="Q2270" s="0" t="s">
        <v>146</v>
      </c>
      <c r="R2270" s="0" t="n">
        <v>44483</v>
      </c>
      <c r="AD2270" s="0" t="s">
        <v>147</v>
      </c>
      <c r="AE2270" s="0" t="s">
        <v>148</v>
      </c>
      <c r="AF2270" s="0" t="s">
        <v>149</v>
      </c>
      <c r="AH2270" s="0" t="n">
        <v>14</v>
      </c>
      <c r="AI2270" s="0" t="n">
        <v>11</v>
      </c>
      <c r="AN2270" s="0" t="s">
        <v>145</v>
      </c>
      <c r="AO2270" s="0" t="s">
        <v>654</v>
      </c>
      <c r="AP2270" s="0" t="s">
        <v>655</v>
      </c>
      <c r="AQ2270" s="0" t="n">
        <v>9</v>
      </c>
      <c r="AR2270" s="0" t="n">
        <v>64</v>
      </c>
      <c r="AS2270" s="0" t="n">
        <v>32</v>
      </c>
      <c r="AU2270" s="0" t="n">
        <f aca="false">COUNTA($BA$1151:$EH$1151)</f>
        <v>2</v>
      </c>
      <c r="AV2270" s="0" t="n">
        <f aca="false">COUNTIF($BA$1151:$EH$1151,"D")</f>
        <v>0</v>
      </c>
      <c r="AW2270" s="0" t="n">
        <f aca="false">COUNTIF($BA$1151:$EH$1151,"R")</f>
        <v>0</v>
      </c>
      <c r="AX2270" s="0" t="n">
        <f aca="false">IF(BN2270="D",1,0)+IF(BO2270="D",1,0)+IF(BT2270="D",1,0)+IF(BU2270="D",1,0)+IF(BW2270="D",1,0)+IF(CC2270="D",1,0)+IF(CD2270="D",1,0)+IF(CE2270="D",1,0)+IF(CF2270="D",1,0)+IF(CL2270="D",1,0)+IF(CM2270="D",1,0)+IF(CQ2270="D",1,0)+IF(CR2270="D",1,0)+IF(CS2270="D",1,0)+IF(CW2270="D",1,0)+IF(CX2270="D",1,0)+IF(DD2270="D",1,0)+IF(DE2270="D",1,0)+IF(DJ2270="D",1,0)+IF(DK2270="D",1,0)+IF(DO2270="D",1,0)+IF(DP2270="D",1,0)+IF(DQ2270="D",1,0)+IF(DW2270="D",1,0)+IF(DZ2270="D",1,0)+IF(EH2270="D",1,0)</f>
        <v>0</v>
      </c>
      <c r="AY2270" s="0" t="n">
        <f aca="false">COUNTIF(DU2270:EH2270, "&lt;&gt;")</f>
        <v>0</v>
      </c>
      <c r="AZ2270" s="0" t="n">
        <f aca="false">IF(EH2270&lt;&gt;"",1,0)</f>
        <v>0</v>
      </c>
      <c r="BB2270" s="0" t="s">
        <v>152</v>
      </c>
      <c r="BS2270" s="0" t="s">
        <v>153</v>
      </c>
      <c r="CA2270" s="0" t="s">
        <v>153</v>
      </c>
      <c r="CP2270" s="0" t="s">
        <v>153</v>
      </c>
    </row>
    <row r="2271" customFormat="false" ht="13.8" hidden="true" customHeight="false" outlineLevel="0" collapsed="false">
      <c r="A2271" s="0" t="s">
        <v>9886</v>
      </c>
      <c r="B2271" s="0" t="n">
        <v>78</v>
      </c>
      <c r="C2271" s="0" t="n">
        <v>462024</v>
      </c>
      <c r="D2271" s="0" t="s">
        <v>9887</v>
      </c>
      <c r="E2271" s="0" t="s">
        <v>8849</v>
      </c>
      <c r="F2271" s="0" t="str">
        <f aca="false">CONCATENATE(D2271," ",LEFT(H2271,4),"T=",AU2271,"D=",AV2271,"R=",AW2271,"M=",AX2271,"L=",AY2271,"B=",AZ2271)</f>
        <v>BURTT T=1D=0R=0M=0L=0B=0</v>
      </c>
      <c r="G2271" s="0" t="s">
        <v>621</v>
      </c>
      <c r="I2271" s="0" t="s">
        <v>9888</v>
      </c>
      <c r="J2271" s="0" t="s">
        <v>5684</v>
      </c>
      <c r="K2271" s="0" t="s">
        <v>160</v>
      </c>
      <c r="M2271" s="0" t="s">
        <v>9885</v>
      </c>
      <c r="N2271" s="0" t="str">
        <f aca="false">RIGHT(M2271,LEN(M2271)-FIND(" ",M2271))</f>
        <v>WASHINGTON ST NE</v>
      </c>
      <c r="P2271" s="0" t="s">
        <v>145</v>
      </c>
      <c r="Q2271" s="0" t="s">
        <v>146</v>
      </c>
      <c r="R2271" s="0" t="n">
        <v>44483</v>
      </c>
      <c r="AD2271" s="0" t="s">
        <v>147</v>
      </c>
      <c r="AE2271" s="0" t="s">
        <v>148</v>
      </c>
      <c r="AF2271" s="0" t="s">
        <v>149</v>
      </c>
      <c r="AH2271" s="0" t="n">
        <v>14</v>
      </c>
      <c r="AI2271" s="0" t="n">
        <v>11</v>
      </c>
      <c r="AN2271" s="0" t="s">
        <v>145</v>
      </c>
      <c r="AO2271" s="0" t="s">
        <v>654</v>
      </c>
      <c r="AP2271" s="0" t="s">
        <v>655</v>
      </c>
      <c r="AQ2271" s="0" t="n">
        <v>9</v>
      </c>
      <c r="AR2271" s="0" t="n">
        <v>64</v>
      </c>
      <c r="AS2271" s="0" t="n">
        <v>32</v>
      </c>
      <c r="AU2271" s="0" t="n">
        <f aca="false">COUNTA($BA$1367:$EH$1367)</f>
        <v>1</v>
      </c>
      <c r="AV2271" s="0" t="n">
        <f aca="false">COUNTIF($BA$1367:$EH$1367,"D")</f>
        <v>0</v>
      </c>
      <c r="AW2271" s="0" t="n">
        <f aca="false">COUNTIF($BA$1367:$EH$1367,"R")</f>
        <v>0</v>
      </c>
      <c r="AX2271" s="0" t="n">
        <f aca="false">IF(BN2271="D",1,0)+IF(BO2271="D",1,0)+IF(BT2271="D",1,0)+IF(BU2271="D",1,0)+IF(BW2271="D",1,0)+IF(CC2271="D",1,0)+IF(CD2271="D",1,0)+IF(CE2271="D",1,0)+IF(CF2271="D",1,0)+IF(CL2271="D",1,0)+IF(CM2271="D",1,0)+IF(CQ2271="D",1,0)+IF(CR2271="D",1,0)+IF(CS2271="D",1,0)+IF(CW2271="D",1,0)+IF(CX2271="D",1,0)+IF(DD2271="D",1,0)+IF(DE2271="D",1,0)+IF(DJ2271="D",1,0)+IF(DK2271="D",1,0)+IF(DO2271="D",1,0)+IF(DP2271="D",1,0)+IF(DQ2271="D",1,0)+IF(DW2271="D",1,0)+IF(DZ2271="D",1,0)+IF(EH2271="D",1,0)</f>
        <v>0</v>
      </c>
      <c r="AY2271" s="0" t="n">
        <f aca="false">COUNTIF(DU2271:EH2271, "&lt;&gt;")</f>
        <v>0</v>
      </c>
      <c r="AZ2271" s="0" t="n">
        <f aca="false">IF(EH2271&lt;&gt;"",1,0)</f>
        <v>0</v>
      </c>
      <c r="BB2271" s="0" t="s">
        <v>152</v>
      </c>
    </row>
    <row r="2272" customFormat="false" ht="13.8" hidden="true" customHeight="false" outlineLevel="0" collapsed="false">
      <c r="A2272" s="0" t="s">
        <v>9889</v>
      </c>
      <c r="B2272" s="0" t="n">
        <v>78</v>
      </c>
      <c r="C2272" s="0" t="n">
        <v>356511</v>
      </c>
      <c r="D2272" s="0" t="s">
        <v>1547</v>
      </c>
      <c r="E2272" s="0" t="s">
        <v>9890</v>
      </c>
      <c r="F2272" s="0" t="str">
        <f aca="false">CONCATENATE(D2272," ",LEFT(H2272,4),"T=",AU2272,"D=",AV2272,"R=",AW2272,"M=",AX2272,"L=",AY2272,"B=",AZ2272)</f>
        <v>WASHINGTON T=7D=1R=0M=0L=1B=0</v>
      </c>
      <c r="G2272" s="0" t="s">
        <v>1355</v>
      </c>
      <c r="I2272" s="0" t="s">
        <v>9891</v>
      </c>
      <c r="J2272" s="0" t="s">
        <v>4364</v>
      </c>
      <c r="K2272" s="0" t="s">
        <v>160</v>
      </c>
      <c r="M2272" s="0" t="s">
        <v>9885</v>
      </c>
      <c r="N2272" s="0" t="str">
        <f aca="false">RIGHT(M2272,LEN(M2272)-FIND(" ",M2272))</f>
        <v>WASHINGTON ST NE</v>
      </c>
      <c r="P2272" s="0" t="s">
        <v>145</v>
      </c>
      <c r="Q2272" s="0" t="s">
        <v>146</v>
      </c>
      <c r="R2272" s="0" t="n">
        <v>44483</v>
      </c>
      <c r="AD2272" s="0" t="s">
        <v>147</v>
      </c>
      <c r="AE2272" s="0" t="s">
        <v>148</v>
      </c>
      <c r="AF2272" s="0" t="s">
        <v>149</v>
      </c>
      <c r="AH2272" s="0" t="n">
        <v>14</v>
      </c>
      <c r="AI2272" s="0" t="n">
        <v>11</v>
      </c>
      <c r="AN2272" s="0" t="s">
        <v>145</v>
      </c>
      <c r="AO2272" s="0" t="s">
        <v>654</v>
      </c>
      <c r="AP2272" s="0" t="s">
        <v>655</v>
      </c>
      <c r="AQ2272" s="0" t="n">
        <v>9</v>
      </c>
      <c r="AR2272" s="0" t="n">
        <v>64</v>
      </c>
      <c r="AS2272" s="0" t="n">
        <v>32</v>
      </c>
      <c r="AU2272" s="0" t="n">
        <f aca="false">COUNTA($BA$1699:$EH$1699)</f>
        <v>7</v>
      </c>
      <c r="AV2272" s="0" t="n">
        <f aca="false">COUNTIF($BA$1699:$EH$1699,"D")</f>
        <v>1</v>
      </c>
      <c r="AW2272" s="0" t="n">
        <f aca="false">COUNTIF($BA$1699:$EH$1699,"R")</f>
        <v>0</v>
      </c>
      <c r="AX2272" s="0" t="n">
        <f aca="false">IF(BN2272="D",1,0)+IF(BO2272="D",1,0)+IF(BT2272="D",1,0)+IF(BU2272="D",1,0)+IF(BW2272="D",1,0)+IF(CC2272="D",1,0)+IF(CD2272="D",1,0)+IF(CE2272="D",1,0)+IF(CF2272="D",1,0)+IF(CL2272="D",1,0)+IF(CM2272="D",1,0)+IF(CQ2272="D",1,0)+IF(CR2272="D",1,0)+IF(CS2272="D",1,0)+IF(CW2272="D",1,0)+IF(CX2272="D",1,0)+IF(DD2272="D",1,0)+IF(DE2272="D",1,0)+IF(DJ2272="D",1,0)+IF(DK2272="D",1,0)+IF(DO2272="D",1,0)+IF(DP2272="D",1,0)+IF(DQ2272="D",1,0)+IF(DW2272="D",1,0)+IF(DZ2272="D",1,0)+IF(EH2272="D",1,0)</f>
        <v>0</v>
      </c>
      <c r="AY2272" s="0" t="n">
        <f aca="false">COUNTIF(DU2272:EH2272, "&lt;&gt;")</f>
        <v>1</v>
      </c>
      <c r="AZ2272" s="0" t="n">
        <f aca="false">IF(EH2272&lt;&gt;"",1,0)</f>
        <v>0</v>
      </c>
      <c r="BB2272" s="0" t="s">
        <v>152</v>
      </c>
      <c r="BY2272" s="0" t="s">
        <v>153</v>
      </c>
      <c r="CA2272" s="0" t="s">
        <v>153</v>
      </c>
      <c r="CG2272" s="0" t="s">
        <v>153</v>
      </c>
      <c r="CY2272" s="0" t="s">
        <v>153</v>
      </c>
      <c r="DN2272" s="0" t="s">
        <v>153</v>
      </c>
      <c r="DX2272" s="0" t="s">
        <v>153</v>
      </c>
    </row>
    <row r="2273" customFormat="false" ht="13.8" hidden="true" customHeight="false" outlineLevel="0" collapsed="false">
      <c r="A2273" s="0" t="s">
        <v>9892</v>
      </c>
      <c r="B2273" s="0" t="n">
        <v>78</v>
      </c>
      <c r="C2273" s="0" t="n">
        <v>395973</v>
      </c>
      <c r="D2273" s="0" t="s">
        <v>9893</v>
      </c>
      <c r="E2273" s="0" t="s">
        <v>6827</v>
      </c>
      <c r="F2273" s="0" t="str">
        <f aca="false">CONCATENATE(D2273," ",LEFT(H2273,4),"T=",AU2273,"D=",AV2273,"R=",AW2273,"M=",AX2273,"L=",AY2273,"B=",AZ2273)</f>
        <v>KREPP T=1D=0R=0M=0L=0B=0</v>
      </c>
      <c r="G2273" s="0" t="s">
        <v>195</v>
      </c>
      <c r="I2273" s="0" t="s">
        <v>9894</v>
      </c>
      <c r="J2273" s="0" t="s">
        <v>9895</v>
      </c>
      <c r="K2273" s="0" t="s">
        <v>143</v>
      </c>
      <c r="M2273" s="0" t="s">
        <v>9885</v>
      </c>
      <c r="N2273" s="0" t="str">
        <f aca="false">RIGHT(M2273,LEN(M2273)-FIND(" ",M2273))</f>
        <v>WASHINGTON ST NE</v>
      </c>
      <c r="O2273" s="0" t="s">
        <v>9896</v>
      </c>
      <c r="P2273" s="0" t="s">
        <v>145</v>
      </c>
      <c r="Q2273" s="0" t="s">
        <v>146</v>
      </c>
      <c r="R2273" s="0" t="n">
        <v>44483</v>
      </c>
      <c r="AD2273" s="0" t="s">
        <v>147</v>
      </c>
      <c r="AE2273" s="0" t="s">
        <v>148</v>
      </c>
      <c r="AF2273" s="0" t="s">
        <v>149</v>
      </c>
      <c r="AH2273" s="0" t="n">
        <v>14</v>
      </c>
      <c r="AI2273" s="0" t="n">
        <v>11</v>
      </c>
      <c r="AN2273" s="0" t="s">
        <v>145</v>
      </c>
      <c r="AO2273" s="0" t="s">
        <v>654</v>
      </c>
      <c r="AP2273" s="0" t="s">
        <v>655</v>
      </c>
      <c r="AQ2273" s="0" t="n">
        <v>9</v>
      </c>
      <c r="AR2273" s="0" t="n">
        <v>64</v>
      </c>
      <c r="AS2273" s="0" t="n">
        <v>32</v>
      </c>
      <c r="AU2273" s="0" t="n">
        <f aca="false">COUNTA($BA$2061:$EH$2061)</f>
        <v>1</v>
      </c>
      <c r="AV2273" s="0" t="n">
        <f aca="false">COUNTIF($BA$2061:$EH$2061,"D")</f>
        <v>0</v>
      </c>
      <c r="AW2273" s="0" t="n">
        <f aca="false">COUNTIF($BA$2061:$EH$2061,"R")</f>
        <v>0</v>
      </c>
      <c r="AX2273" s="0" t="n">
        <f aca="false">IF(BN2273="D",1,0)+IF(BO2273="D",1,0)+IF(BT2273="D",1,0)+IF(BU2273="D",1,0)+IF(BW2273="D",1,0)+IF(CC2273="D",1,0)+IF(CD2273="D",1,0)+IF(CE2273="D",1,0)+IF(CF2273="D",1,0)+IF(CL2273="D",1,0)+IF(CM2273="D",1,0)+IF(CQ2273="D",1,0)+IF(CR2273="D",1,0)+IF(CS2273="D",1,0)+IF(CW2273="D",1,0)+IF(CX2273="D",1,0)+IF(DD2273="D",1,0)+IF(DE2273="D",1,0)+IF(DJ2273="D",1,0)+IF(DK2273="D",1,0)+IF(DO2273="D",1,0)+IF(DP2273="D",1,0)+IF(DQ2273="D",1,0)+IF(DW2273="D",1,0)+IF(DZ2273="D",1,0)+IF(EH2273="D",1,0)</f>
        <v>0</v>
      </c>
      <c r="AY2273" s="0" t="n">
        <f aca="false">COUNTIF(DU2273:EH2273, "&lt;&gt;")</f>
        <v>0</v>
      </c>
      <c r="AZ2273" s="0" t="n">
        <f aca="false">IF(EH2273&lt;&gt;"",1,0)</f>
        <v>0</v>
      </c>
      <c r="BB2273" s="0" t="s">
        <v>152</v>
      </c>
      <c r="CQ2273" s="0" t="s">
        <v>153</v>
      </c>
      <c r="CY2273" s="0" t="s">
        <v>153</v>
      </c>
    </row>
    <row r="2274" customFormat="false" ht="13.8" hidden="true" customHeight="false" outlineLevel="0" collapsed="false">
      <c r="A2274" s="0" t="s">
        <v>9897</v>
      </c>
      <c r="B2274" s="0" t="n">
        <v>78</v>
      </c>
      <c r="C2274" s="0" t="n">
        <v>436663</v>
      </c>
      <c r="D2274" s="0" t="s">
        <v>9898</v>
      </c>
      <c r="E2274" s="0" t="s">
        <v>785</v>
      </c>
      <c r="F2274" s="0" t="str">
        <f aca="false">CONCATENATE(D2274," ",LEFT(H2274,4),"T=",AU2274,"D=",AV2274,"R=",AW2274,"M=",AX2274,"L=",AY2274,"B=",AZ2274)</f>
        <v>SEVY T=4D=0R=1M=0L=0B=0</v>
      </c>
      <c r="G2274" s="0" t="s">
        <v>1031</v>
      </c>
      <c r="I2274" s="0" t="s">
        <v>380</v>
      </c>
      <c r="J2274" s="0" t="s">
        <v>9899</v>
      </c>
      <c r="K2274" s="0" t="s">
        <v>143</v>
      </c>
      <c r="M2274" s="0" t="s">
        <v>9900</v>
      </c>
      <c r="N2274" s="0" t="str">
        <f aca="false">RIGHT(M2274,LEN(M2274)-FIND(" ",M2274))</f>
        <v>WASHINGTON ST NE</v>
      </c>
      <c r="O2274" s="0" t="s">
        <v>9901</v>
      </c>
      <c r="P2274" s="0" t="s">
        <v>145</v>
      </c>
      <c r="Q2274" s="0" t="s">
        <v>146</v>
      </c>
      <c r="R2274" s="0" t="n">
        <v>44483</v>
      </c>
      <c r="AD2274" s="0" t="s">
        <v>147</v>
      </c>
      <c r="AE2274" s="0" t="s">
        <v>148</v>
      </c>
      <c r="AF2274" s="0" t="s">
        <v>149</v>
      </c>
      <c r="AH2274" s="0" t="n">
        <v>14</v>
      </c>
      <c r="AI2274" s="0" t="n">
        <v>11</v>
      </c>
      <c r="AN2274" s="0" t="s">
        <v>145</v>
      </c>
      <c r="AO2274" s="0" t="s">
        <v>654</v>
      </c>
      <c r="AP2274" s="0" t="s">
        <v>655</v>
      </c>
      <c r="AQ2274" s="0" t="n">
        <v>9</v>
      </c>
      <c r="AR2274" s="0" t="n">
        <v>64</v>
      </c>
      <c r="AS2274" s="0" t="n">
        <v>32</v>
      </c>
      <c r="AU2274" s="0" t="n">
        <f aca="false">COUNTA($BA$1352:$EH$1352)</f>
        <v>4</v>
      </c>
      <c r="AV2274" s="0" t="n">
        <f aca="false">COUNTIF($BA$1352:$EH$1352,"D")</f>
        <v>0</v>
      </c>
      <c r="AW2274" s="0" t="n">
        <f aca="false">COUNTIF($BA$1352:$EH$1352,"R")</f>
        <v>1</v>
      </c>
      <c r="AX2274" s="0" t="n">
        <f aca="false">IF(BN2274="D",1,0)+IF(BO2274="D",1,0)+IF(BT2274="D",1,0)+IF(BU2274="D",1,0)+IF(BW2274="D",1,0)+IF(CC2274="D",1,0)+IF(CD2274="D",1,0)+IF(CE2274="D",1,0)+IF(CF2274="D",1,0)+IF(CL2274="D",1,0)+IF(CM2274="D",1,0)+IF(CQ2274="D",1,0)+IF(CR2274="D",1,0)+IF(CS2274="D",1,0)+IF(CW2274="D",1,0)+IF(CX2274="D",1,0)+IF(DD2274="D",1,0)+IF(DE2274="D",1,0)+IF(DJ2274="D",1,0)+IF(DK2274="D",1,0)+IF(DO2274="D",1,0)+IF(DP2274="D",1,0)+IF(DQ2274="D",1,0)+IF(DW2274="D",1,0)+IF(DZ2274="D",1,0)+IF(EH2274="D",1,0)</f>
        <v>0</v>
      </c>
      <c r="AY2274" s="0" t="n">
        <f aca="false">COUNTIF(DU2274:EH2274, "&lt;&gt;")</f>
        <v>0</v>
      </c>
      <c r="AZ2274" s="0" t="n">
        <f aca="false">IF(EH2274&lt;&gt;"",1,0)</f>
        <v>0</v>
      </c>
      <c r="BB2274" s="0" t="s">
        <v>152</v>
      </c>
    </row>
    <row r="2275" customFormat="false" ht="13.8" hidden="true" customHeight="false" outlineLevel="0" collapsed="false">
      <c r="A2275" s="0" t="s">
        <v>9902</v>
      </c>
      <c r="B2275" s="0" t="n">
        <v>78</v>
      </c>
      <c r="C2275" s="0" t="n">
        <v>427605</v>
      </c>
      <c r="D2275" s="0" t="s">
        <v>9903</v>
      </c>
      <c r="E2275" s="0" t="s">
        <v>9904</v>
      </c>
      <c r="F2275" s="0" t="str">
        <f aca="false">CONCATENATE(D2275," ",LEFT(H2275,4),"T=",AU2275,"D=",AV2275,"R=",AW2275,"M=",AX2275,"L=",AY2275,"B=",AZ2275)</f>
        <v>BROWN LEE T=1D=0R=0M=0L=0B=0</v>
      </c>
      <c r="I2275" s="0" t="s">
        <v>9905</v>
      </c>
      <c r="J2275" s="0" t="s">
        <v>9906</v>
      </c>
      <c r="K2275" s="0" t="s">
        <v>143</v>
      </c>
      <c r="M2275" s="0" t="s">
        <v>9900</v>
      </c>
      <c r="N2275" s="0" t="str">
        <f aca="false">RIGHT(M2275,LEN(M2275)-FIND(" ",M2275))</f>
        <v>WASHINGTON ST NE</v>
      </c>
      <c r="O2275" s="0" t="s">
        <v>9901</v>
      </c>
      <c r="P2275" s="0" t="s">
        <v>145</v>
      </c>
      <c r="Q2275" s="0" t="s">
        <v>146</v>
      </c>
      <c r="R2275" s="0" t="n">
        <v>44483</v>
      </c>
      <c r="AD2275" s="0" t="s">
        <v>147</v>
      </c>
      <c r="AE2275" s="0" t="s">
        <v>148</v>
      </c>
      <c r="AF2275" s="0" t="s">
        <v>149</v>
      </c>
      <c r="AH2275" s="0" t="n">
        <v>14</v>
      </c>
      <c r="AI2275" s="0" t="n">
        <v>11</v>
      </c>
      <c r="AN2275" s="0" t="s">
        <v>145</v>
      </c>
      <c r="AO2275" s="0" t="s">
        <v>654</v>
      </c>
      <c r="AP2275" s="0" t="s">
        <v>655</v>
      </c>
      <c r="AQ2275" s="0" t="n">
        <v>9</v>
      </c>
      <c r="AR2275" s="0" t="n">
        <v>64</v>
      </c>
      <c r="AS2275" s="0" t="n">
        <v>32</v>
      </c>
      <c r="AU2275" s="0" t="n">
        <f aca="false">COUNTA($BA$1404:$EH$1404)</f>
        <v>1</v>
      </c>
      <c r="AV2275" s="0" t="n">
        <f aca="false">COUNTIF($BA$1404:$EH$1404,"D")</f>
        <v>0</v>
      </c>
      <c r="AW2275" s="0" t="n">
        <f aca="false">COUNTIF($BA$1404:$EH$1404,"R")</f>
        <v>0</v>
      </c>
      <c r="AX2275" s="0" t="n">
        <f aca="false">IF(BN2275="D",1,0)+IF(BO2275="D",1,0)+IF(BT2275="D",1,0)+IF(BU2275="D",1,0)+IF(BW2275="D",1,0)+IF(CC2275="D",1,0)+IF(CD2275="D",1,0)+IF(CE2275="D",1,0)+IF(CF2275="D",1,0)+IF(CL2275="D",1,0)+IF(CM2275="D",1,0)+IF(CQ2275="D",1,0)+IF(CR2275="D",1,0)+IF(CS2275="D",1,0)+IF(CW2275="D",1,0)+IF(CX2275="D",1,0)+IF(DD2275="D",1,0)+IF(DE2275="D",1,0)+IF(DJ2275="D",1,0)+IF(DK2275="D",1,0)+IF(DO2275="D",1,0)+IF(DP2275="D",1,0)+IF(DQ2275="D",1,0)+IF(DW2275="D",1,0)+IF(DZ2275="D",1,0)+IF(EH2275="D",1,0)</f>
        <v>0</v>
      </c>
      <c r="AY2275" s="0" t="n">
        <f aca="false">COUNTIF(DU2275:EH2275, "&lt;&gt;")</f>
        <v>0</v>
      </c>
      <c r="AZ2275" s="0" t="n">
        <f aca="false">IF(EH2275&lt;&gt;"",1,0)</f>
        <v>0</v>
      </c>
      <c r="BB2275" s="0" t="s">
        <v>152</v>
      </c>
    </row>
    <row r="2276" customFormat="false" ht="13.8" hidden="true" customHeight="false" outlineLevel="0" collapsed="false">
      <c r="A2276" s="0" t="s">
        <v>9907</v>
      </c>
      <c r="B2276" s="0" t="n">
        <v>78</v>
      </c>
      <c r="C2276" s="0" t="n">
        <v>484989</v>
      </c>
      <c r="D2276" s="0" t="s">
        <v>9908</v>
      </c>
      <c r="E2276" s="0" t="s">
        <v>2214</v>
      </c>
      <c r="F2276" s="0" t="str">
        <f aca="false">CONCATENATE(D2276," ",LEFT(H2276,4),"T=",AU2276,"D=",AV2276,"R=",AW2276,"M=",AX2276,"L=",AY2276,"B=",AZ2276)</f>
        <v>SILIANO T=1D=0R=0M=0L=0B=0</v>
      </c>
      <c r="G2276" s="0" t="s">
        <v>3245</v>
      </c>
      <c r="I2276" s="0" t="s">
        <v>9909</v>
      </c>
      <c r="J2276" s="0" t="s">
        <v>9910</v>
      </c>
      <c r="K2276" s="0" t="s">
        <v>160</v>
      </c>
      <c r="M2276" s="0" t="s">
        <v>9900</v>
      </c>
      <c r="N2276" s="0" t="str">
        <f aca="false">RIGHT(M2276,LEN(M2276)-FIND(" ",M2276))</f>
        <v>WASHINGTON ST NE</v>
      </c>
      <c r="O2276" s="0" t="s">
        <v>7225</v>
      </c>
      <c r="P2276" s="0" t="s">
        <v>145</v>
      </c>
      <c r="Q2276" s="0" t="s">
        <v>146</v>
      </c>
      <c r="R2276" s="0" t="n">
        <v>44483</v>
      </c>
      <c r="S2276" s="0" t="n">
        <v>4958</v>
      </c>
      <c r="AD2276" s="0" t="s">
        <v>147</v>
      </c>
      <c r="AE2276" s="0" t="s">
        <v>148</v>
      </c>
      <c r="AF2276" s="0" t="s">
        <v>149</v>
      </c>
      <c r="AH2276" s="0" t="n">
        <v>14</v>
      </c>
      <c r="AI2276" s="0" t="n">
        <v>11</v>
      </c>
      <c r="AN2276" s="0" t="s">
        <v>145</v>
      </c>
      <c r="AO2276" s="0" t="s">
        <v>654</v>
      </c>
      <c r="AP2276" s="0" t="s">
        <v>655</v>
      </c>
      <c r="AQ2276" s="0" t="n">
        <v>9</v>
      </c>
      <c r="AR2276" s="0" t="n">
        <v>64</v>
      </c>
      <c r="AS2276" s="0" t="n">
        <v>32</v>
      </c>
      <c r="AU2276" s="0" t="n">
        <f aca="false">COUNTA($BA$1410:$EH$1410)</f>
        <v>1</v>
      </c>
      <c r="AV2276" s="0" t="n">
        <f aca="false">COUNTIF($BA$1410:$EH$1410,"D")</f>
        <v>0</v>
      </c>
      <c r="AW2276" s="0" t="n">
        <f aca="false">COUNTIF($BA$1410:$EH$1410,"R")</f>
        <v>0</v>
      </c>
      <c r="AX2276" s="0" t="n">
        <f aca="false">IF(BN2276="D",1,0)+IF(BO2276="D",1,0)+IF(BT2276="D",1,0)+IF(BU2276="D",1,0)+IF(BW2276="D",1,0)+IF(CC2276="D",1,0)+IF(CD2276="D",1,0)+IF(CE2276="D",1,0)+IF(CF2276="D",1,0)+IF(CL2276="D",1,0)+IF(CM2276="D",1,0)+IF(CQ2276="D",1,0)+IF(CR2276="D",1,0)+IF(CS2276="D",1,0)+IF(CW2276="D",1,0)+IF(CX2276="D",1,0)+IF(DD2276="D",1,0)+IF(DE2276="D",1,0)+IF(DJ2276="D",1,0)+IF(DK2276="D",1,0)+IF(DO2276="D",1,0)+IF(DP2276="D",1,0)+IF(DQ2276="D",1,0)+IF(DW2276="D",1,0)+IF(DZ2276="D",1,0)+IF(EH2276="D",1,0)</f>
        <v>0</v>
      </c>
      <c r="AY2276" s="0" t="n">
        <f aca="false">COUNTIF(DU2276:EH2276, "&lt;&gt;")</f>
        <v>0</v>
      </c>
      <c r="AZ2276" s="0" t="n">
        <f aca="false">IF(EH2276&lt;&gt;"",1,0)</f>
        <v>0</v>
      </c>
      <c r="BB2276" s="0" t="s">
        <v>152</v>
      </c>
    </row>
    <row r="2277" customFormat="false" ht="13.8" hidden="true" customHeight="false" outlineLevel="0" collapsed="false">
      <c r="A2277" s="0" t="s">
        <v>9911</v>
      </c>
      <c r="B2277" s="0" t="n">
        <v>78</v>
      </c>
      <c r="C2277" s="0" t="n">
        <v>496102</v>
      </c>
      <c r="D2277" s="0" t="s">
        <v>1430</v>
      </c>
      <c r="E2277" s="0" t="s">
        <v>1912</v>
      </c>
      <c r="F2277" s="0" t="str">
        <f aca="false">CONCATENATE(D2277," ",LEFT(H2277,4),"T=",AU2277,"D=",AV2277,"R=",AW2277,"M=",AX2277,"L=",AY2277,"B=",AZ2277)</f>
        <v>MARSHALL T=1D=0R=0M=0L=0B=0</v>
      </c>
      <c r="G2277" s="0" t="s">
        <v>9912</v>
      </c>
      <c r="I2277" s="0" t="s">
        <v>9913</v>
      </c>
      <c r="J2277" s="0" t="s">
        <v>3174</v>
      </c>
      <c r="K2277" s="0" t="s">
        <v>160</v>
      </c>
      <c r="M2277" s="0" t="s">
        <v>9900</v>
      </c>
      <c r="N2277" s="0" t="str">
        <f aca="false">RIGHT(M2277,LEN(M2277)-FIND(" ",M2277))</f>
        <v>WASHINGTON ST NE</v>
      </c>
      <c r="O2277" s="0" t="s">
        <v>9914</v>
      </c>
      <c r="P2277" s="0" t="s">
        <v>145</v>
      </c>
      <c r="Q2277" s="0" t="s">
        <v>146</v>
      </c>
      <c r="R2277" s="0" t="n">
        <v>44483</v>
      </c>
      <c r="AD2277" s="0" t="s">
        <v>147</v>
      </c>
      <c r="AE2277" s="0" t="s">
        <v>148</v>
      </c>
      <c r="AF2277" s="0" t="s">
        <v>149</v>
      </c>
      <c r="AH2277" s="0" t="n">
        <v>14</v>
      </c>
      <c r="AI2277" s="0" t="n">
        <v>11</v>
      </c>
      <c r="AN2277" s="0" t="s">
        <v>145</v>
      </c>
      <c r="AO2277" s="0" t="s">
        <v>654</v>
      </c>
      <c r="AP2277" s="0" t="s">
        <v>655</v>
      </c>
      <c r="AQ2277" s="0" t="n">
        <v>9</v>
      </c>
      <c r="AR2277" s="0" t="n">
        <v>64</v>
      </c>
      <c r="AS2277" s="0" t="n">
        <v>32</v>
      </c>
      <c r="AU2277" s="0" t="n">
        <f aca="false">COUNTA($BA$1461:$EH$1461)</f>
        <v>1</v>
      </c>
      <c r="AV2277" s="0" t="n">
        <f aca="false">COUNTIF($BA$1461:$EH$1461,"D")</f>
        <v>0</v>
      </c>
      <c r="AW2277" s="0" t="n">
        <f aca="false">COUNTIF($BA$1461:$EH$1461,"R")</f>
        <v>0</v>
      </c>
      <c r="AX2277" s="0" t="n">
        <f aca="false">IF(BN2277="D",1,0)+IF(BO2277="D",1,0)+IF(BT2277="D",1,0)+IF(BU2277="D",1,0)+IF(BW2277="D",1,0)+IF(CC2277="D",1,0)+IF(CD2277="D",1,0)+IF(CE2277="D",1,0)+IF(CF2277="D",1,0)+IF(CL2277="D",1,0)+IF(CM2277="D",1,0)+IF(CQ2277="D",1,0)+IF(CR2277="D",1,0)+IF(CS2277="D",1,0)+IF(CW2277="D",1,0)+IF(CX2277="D",1,0)+IF(DD2277="D",1,0)+IF(DE2277="D",1,0)+IF(DJ2277="D",1,0)+IF(DK2277="D",1,0)+IF(DO2277="D",1,0)+IF(DP2277="D",1,0)+IF(DQ2277="D",1,0)+IF(DW2277="D",1,0)+IF(DZ2277="D",1,0)+IF(EH2277="D",1,0)</f>
        <v>0</v>
      </c>
      <c r="AY2277" s="0" t="n">
        <f aca="false">COUNTIF(DU2277:EH2277, "&lt;&gt;")</f>
        <v>0</v>
      </c>
      <c r="AZ2277" s="0" t="n">
        <f aca="false">IF(EH2277&lt;&gt;"",1,0)</f>
        <v>0</v>
      </c>
      <c r="BB2277" s="0" t="s">
        <v>152</v>
      </c>
    </row>
    <row r="2278" customFormat="false" ht="13.8" hidden="false" customHeight="false" outlineLevel="0" collapsed="false">
      <c r="A2278" s="0" t="s">
        <v>9915</v>
      </c>
      <c r="B2278" s="0" t="n">
        <v>78</v>
      </c>
      <c r="C2278" s="0" t="n">
        <v>465266</v>
      </c>
      <c r="D2278" s="0" t="s">
        <v>9916</v>
      </c>
      <c r="E2278" s="0" t="s">
        <v>610</v>
      </c>
      <c r="F2278" s="0" t="str">
        <f aca="false">CONCATENATE(D2278," ",LEFT(H2278,4),"T=",AU2278,"D=",AV2278,"R=",AW2278,"M=",AX2278,"L=",AY2278,"B=",AZ2278)</f>
        <v>DOHERTY T=2D=0R=0M=1L=5B=0</v>
      </c>
      <c r="G2278" s="0" t="s">
        <v>351</v>
      </c>
      <c r="I2278" s="0" t="s">
        <v>9917</v>
      </c>
      <c r="J2278" s="0" t="s">
        <v>9918</v>
      </c>
      <c r="K2278" s="0" t="s">
        <v>160</v>
      </c>
      <c r="L2278" s="0" t="s">
        <v>175</v>
      </c>
      <c r="M2278" s="0" t="s">
        <v>9900</v>
      </c>
      <c r="N2278" s="0" t="str">
        <f aca="false">RIGHT(M2278,LEN(M2278)-FIND(" ",M2278))</f>
        <v>WASHINGTON ST NE</v>
      </c>
      <c r="O2278" s="0" t="s">
        <v>9919</v>
      </c>
      <c r="P2278" s="0" t="s">
        <v>145</v>
      </c>
      <c r="Q2278" s="0" t="s">
        <v>146</v>
      </c>
      <c r="R2278" s="0" t="n">
        <v>44483</v>
      </c>
      <c r="AD2278" s="0" t="s">
        <v>147</v>
      </c>
      <c r="AE2278" s="0" t="s">
        <v>148</v>
      </c>
      <c r="AF2278" s="0" t="s">
        <v>149</v>
      </c>
      <c r="AH2278" s="0" t="n">
        <v>14</v>
      </c>
      <c r="AI2278" s="0" t="n">
        <v>11</v>
      </c>
      <c r="AN2278" s="0" t="s">
        <v>145</v>
      </c>
      <c r="AO2278" s="0" t="s">
        <v>654</v>
      </c>
      <c r="AP2278" s="0" t="s">
        <v>655</v>
      </c>
      <c r="AQ2278" s="0" t="n">
        <v>9</v>
      </c>
      <c r="AR2278" s="0" t="n">
        <v>64</v>
      </c>
      <c r="AS2278" s="0" t="n">
        <v>32</v>
      </c>
      <c r="AU2278" s="0" t="n">
        <f aca="false">COUNTA($BA$1469:$EH$1469)</f>
        <v>2</v>
      </c>
      <c r="AV2278" s="0" t="n">
        <f aca="false">COUNTIF($BA$1469:$EH$1469,"D")</f>
        <v>0</v>
      </c>
      <c r="AW2278" s="0" t="n">
        <f aca="false">COUNTIF($BA$1469:$EH$1469,"R")</f>
        <v>0</v>
      </c>
      <c r="AX2278" s="0" t="n">
        <f aca="false">IF(BN2278="D",1,0)+IF(BO2278="D",1,0)+IF(BT2278="D",1,0)+IF(BU2278="D",1,0)+IF(BW2278="D",1,0)+IF(CC2278="D",1,0)+IF(CD2278="D",1,0)+IF(CE2278="D",1,0)+IF(CF2278="D",1,0)+IF(CL2278="D",1,0)+IF(CM2278="D",1,0)+IF(CQ2278="D",1,0)+IF(CR2278="D",1,0)+IF(CS2278="D",1,0)+IF(CW2278="D",1,0)+IF(CX2278="D",1,0)+IF(DD2278="D",1,0)+IF(DE2278="D",1,0)+IF(DJ2278="D",1,0)+IF(DK2278="D",1,0)+IF(DO2278="D",1,0)+IF(DP2278="D",1,0)+IF(DQ2278="D",1,0)+IF(DW2278="D",1,0)+IF(DZ2278="D",1,0)+IF(EH2278="D",1,0)</f>
        <v>1</v>
      </c>
      <c r="AY2278" s="0" t="n">
        <f aca="false">COUNTIF(DU2278:EH2278, "&lt;&gt;")</f>
        <v>5</v>
      </c>
      <c r="AZ2278" s="0" t="n">
        <f aca="false">IF(EH2278&lt;&gt;"",1,0)</f>
        <v>0</v>
      </c>
      <c r="BB2278" s="0" t="s">
        <v>152</v>
      </c>
      <c r="BC2278" s="0" t="s">
        <v>153</v>
      </c>
      <c r="BD2278" s="0" t="s">
        <v>153</v>
      </c>
      <c r="BF2278" s="0" t="s">
        <v>153</v>
      </c>
      <c r="BH2278" s="0" t="s">
        <v>153</v>
      </c>
      <c r="BI2278" s="0" t="s">
        <v>153</v>
      </c>
      <c r="BJ2278" s="0" t="s">
        <v>153</v>
      </c>
      <c r="BL2278" s="0" t="s">
        <v>153</v>
      </c>
      <c r="CA2278" s="0" t="s">
        <v>153</v>
      </c>
      <c r="CP2278" s="0" t="s">
        <v>153</v>
      </c>
      <c r="DC2278" s="0" t="s">
        <v>153</v>
      </c>
      <c r="DF2278" s="0" t="s">
        <v>153</v>
      </c>
      <c r="DG2278" s="0" t="s">
        <v>175</v>
      </c>
      <c r="DI2278" s="0" t="s">
        <v>153</v>
      </c>
      <c r="DU2278" s="0" t="s">
        <v>153</v>
      </c>
      <c r="DW2278" s="0" t="s">
        <v>175</v>
      </c>
      <c r="DX2278" s="0" t="s">
        <v>153</v>
      </c>
      <c r="EA2278" s="0" t="s">
        <v>153</v>
      </c>
      <c r="EF2278" s="0" t="s">
        <v>153</v>
      </c>
    </row>
    <row r="2279" customFormat="false" ht="13.8" hidden="true" customHeight="false" outlineLevel="0" collapsed="false">
      <c r="A2279" s="0" t="s">
        <v>9920</v>
      </c>
      <c r="B2279" s="0" t="n">
        <v>78</v>
      </c>
      <c r="C2279" s="0" t="n">
        <v>411232</v>
      </c>
      <c r="D2279" s="0" t="s">
        <v>9921</v>
      </c>
      <c r="E2279" s="0" t="s">
        <v>9922</v>
      </c>
      <c r="F2279" s="0" t="str">
        <f aca="false">CONCATENATE(D2279," ",LEFT(H2279,4),"T=",AU2279,"D=",AV2279,"R=",AW2279,"M=",AX2279,"L=",AY2279,"B=",AZ2279)</f>
        <v>BOTTEN T=1D=0R=0M=0L=0B=0</v>
      </c>
      <c r="G2279" s="0" t="s">
        <v>9923</v>
      </c>
      <c r="I2279" s="0" t="s">
        <v>8297</v>
      </c>
      <c r="J2279" s="0" t="s">
        <v>9924</v>
      </c>
      <c r="K2279" s="0" t="s">
        <v>143</v>
      </c>
      <c r="M2279" s="0" t="s">
        <v>9900</v>
      </c>
      <c r="N2279" s="0" t="str">
        <f aca="false">RIGHT(M2279,LEN(M2279)-FIND(" ",M2279))</f>
        <v>WASHINGTON ST NE</v>
      </c>
      <c r="O2279" s="0" t="s">
        <v>9213</v>
      </c>
      <c r="P2279" s="0" t="s">
        <v>145</v>
      </c>
      <c r="Q2279" s="0" t="s">
        <v>146</v>
      </c>
      <c r="R2279" s="0" t="n">
        <v>44483</v>
      </c>
      <c r="AD2279" s="0" t="s">
        <v>147</v>
      </c>
      <c r="AE2279" s="0" t="s">
        <v>148</v>
      </c>
      <c r="AF2279" s="0" t="s">
        <v>149</v>
      </c>
      <c r="AH2279" s="0" t="n">
        <v>14</v>
      </c>
      <c r="AI2279" s="0" t="n">
        <v>11</v>
      </c>
      <c r="AN2279" s="0" t="s">
        <v>145</v>
      </c>
      <c r="AO2279" s="0" t="s">
        <v>654</v>
      </c>
      <c r="AP2279" s="0" t="s">
        <v>655</v>
      </c>
      <c r="AQ2279" s="0" t="n">
        <v>9</v>
      </c>
      <c r="AR2279" s="0" t="n">
        <v>64</v>
      </c>
      <c r="AS2279" s="0" t="n">
        <v>32</v>
      </c>
      <c r="AU2279" s="0" t="n">
        <f aca="false">COUNTA($BA$1472:$EH$1472)</f>
        <v>1</v>
      </c>
      <c r="AV2279" s="0" t="n">
        <f aca="false">COUNTIF($BA$1472:$EH$1472,"D")</f>
        <v>0</v>
      </c>
      <c r="AW2279" s="0" t="n">
        <f aca="false">COUNTIF($BA$1472:$EH$1472,"R")</f>
        <v>0</v>
      </c>
      <c r="AX2279" s="0" t="n">
        <f aca="false">IF(BN2279="D",1,0)+IF(BO2279="D",1,0)+IF(BT2279="D",1,0)+IF(BU2279="D",1,0)+IF(BW2279="D",1,0)+IF(CC2279="D",1,0)+IF(CD2279="D",1,0)+IF(CE2279="D",1,0)+IF(CF2279="D",1,0)+IF(CL2279="D",1,0)+IF(CM2279="D",1,0)+IF(CQ2279="D",1,0)+IF(CR2279="D",1,0)+IF(CS2279="D",1,0)+IF(CW2279="D",1,0)+IF(CX2279="D",1,0)+IF(DD2279="D",1,0)+IF(DE2279="D",1,0)+IF(DJ2279="D",1,0)+IF(DK2279="D",1,0)+IF(DO2279="D",1,0)+IF(DP2279="D",1,0)+IF(DQ2279="D",1,0)+IF(DW2279="D",1,0)+IF(DZ2279="D",1,0)+IF(EH2279="D",1,0)</f>
        <v>0</v>
      </c>
      <c r="AY2279" s="0" t="n">
        <f aca="false">COUNTIF(DU2279:EH2279, "&lt;&gt;")</f>
        <v>0</v>
      </c>
      <c r="AZ2279" s="0" t="n">
        <f aca="false">IF(EH2279&lt;&gt;"",1,0)</f>
        <v>0</v>
      </c>
      <c r="BB2279" s="0" t="s">
        <v>152</v>
      </c>
      <c r="BL2279" s="0" t="s">
        <v>153</v>
      </c>
    </row>
    <row r="2280" customFormat="false" ht="13.8" hidden="true" customHeight="false" outlineLevel="0" collapsed="false">
      <c r="A2280" s="0" t="s">
        <v>9925</v>
      </c>
      <c r="B2280" s="0" t="n">
        <v>78</v>
      </c>
      <c r="C2280" s="0" t="n">
        <v>476424</v>
      </c>
      <c r="D2280" s="0" t="s">
        <v>9926</v>
      </c>
      <c r="E2280" s="0" t="s">
        <v>9927</v>
      </c>
      <c r="F2280" s="0" t="str">
        <f aca="false">CONCATENATE(D2280," ",LEFT(H2280,4),"T=",AU2280,"D=",AV2280,"R=",AW2280,"M=",AX2280,"L=",AY2280,"B=",AZ2280)</f>
        <v>BROADSTONE T=21D=6R=2M=0L=0B=0</v>
      </c>
      <c r="I2280" s="0" t="s">
        <v>9928</v>
      </c>
      <c r="J2280" s="0" t="s">
        <v>4985</v>
      </c>
      <c r="K2280" s="0" t="s">
        <v>160</v>
      </c>
      <c r="M2280" s="0" t="s">
        <v>9900</v>
      </c>
      <c r="N2280" s="0" t="str">
        <f aca="false">RIGHT(M2280,LEN(M2280)-FIND(" ",M2280))</f>
        <v>WASHINGTON ST NE</v>
      </c>
      <c r="P2280" s="0" t="s">
        <v>145</v>
      </c>
      <c r="Q2280" s="0" t="s">
        <v>146</v>
      </c>
      <c r="R2280" s="0" t="n">
        <v>44483</v>
      </c>
      <c r="AD2280" s="0" t="s">
        <v>147</v>
      </c>
      <c r="AE2280" s="0" t="s">
        <v>148</v>
      </c>
      <c r="AF2280" s="0" t="s">
        <v>149</v>
      </c>
      <c r="AH2280" s="0" t="n">
        <v>14</v>
      </c>
      <c r="AI2280" s="0" t="n">
        <v>11</v>
      </c>
      <c r="AN2280" s="0" t="s">
        <v>145</v>
      </c>
      <c r="AO2280" s="0" t="s">
        <v>654</v>
      </c>
      <c r="AP2280" s="0" t="s">
        <v>655</v>
      </c>
      <c r="AQ2280" s="0" t="n">
        <v>9</v>
      </c>
      <c r="AR2280" s="0" t="n">
        <v>64</v>
      </c>
      <c r="AS2280" s="0" t="n">
        <v>32</v>
      </c>
      <c r="AU2280" s="0" t="n">
        <f aca="false">COUNTA($BA$1541:$EH$1541)</f>
        <v>21</v>
      </c>
      <c r="AV2280" s="0" t="n">
        <f aca="false">COUNTIF($BA$1541:$EH$1541,"D")</f>
        <v>6</v>
      </c>
      <c r="AW2280" s="0" t="n">
        <f aca="false">COUNTIF($BA$1541:$EH$1541,"R")</f>
        <v>2</v>
      </c>
      <c r="AX2280" s="0" t="n">
        <f aca="false">IF(BN2280="D",1,0)+IF(BO2280="D",1,0)+IF(BT2280="D",1,0)+IF(BU2280="D",1,0)+IF(BW2280="D",1,0)+IF(CC2280="D",1,0)+IF(CD2280="D",1,0)+IF(CE2280="D",1,0)+IF(CF2280="D",1,0)+IF(CL2280="D",1,0)+IF(CM2280="D",1,0)+IF(CQ2280="D",1,0)+IF(CR2280="D",1,0)+IF(CS2280="D",1,0)+IF(CW2280="D",1,0)+IF(CX2280="D",1,0)+IF(DD2280="D",1,0)+IF(DE2280="D",1,0)+IF(DJ2280="D",1,0)+IF(DK2280="D",1,0)+IF(DO2280="D",1,0)+IF(DP2280="D",1,0)+IF(DQ2280="D",1,0)+IF(DW2280="D",1,0)+IF(DZ2280="D",1,0)+IF(EH2280="D",1,0)</f>
        <v>0</v>
      </c>
      <c r="AY2280" s="0" t="n">
        <f aca="false">COUNTIF(DU2280:EH2280, "&lt;&gt;")</f>
        <v>0</v>
      </c>
      <c r="AZ2280" s="0" t="n">
        <f aca="false">IF(EH2280&lt;&gt;"",1,0)</f>
        <v>0</v>
      </c>
      <c r="BB2280" s="0" t="s">
        <v>152</v>
      </c>
    </row>
    <row r="2281" customFormat="false" ht="13.8" hidden="true" customHeight="false" outlineLevel="0" collapsed="false">
      <c r="A2281" s="0" t="s">
        <v>9929</v>
      </c>
      <c r="B2281" s="0" t="n">
        <v>78</v>
      </c>
      <c r="C2281" s="0" t="n">
        <v>459618</v>
      </c>
      <c r="D2281" s="0" t="s">
        <v>2567</v>
      </c>
      <c r="E2281" s="0" t="s">
        <v>3489</v>
      </c>
      <c r="F2281" s="0" t="str">
        <f aca="false">CONCATENATE(D2281," ",LEFT(H2281,4),"T=",AU2281,"D=",AV2281,"R=",AW2281,"M=",AX2281,"L=",AY2281,"B=",AZ2281)</f>
        <v>SPARKS T=14D=2R=0M=0L=0B=0</v>
      </c>
      <c r="G2281" s="0" t="s">
        <v>357</v>
      </c>
      <c r="I2281" s="0" t="s">
        <v>9930</v>
      </c>
      <c r="J2281" s="0" t="s">
        <v>9931</v>
      </c>
      <c r="K2281" s="0" t="s">
        <v>143</v>
      </c>
      <c r="M2281" s="0" t="s">
        <v>9900</v>
      </c>
      <c r="N2281" s="0" t="str">
        <f aca="false">RIGHT(M2281,LEN(M2281)-FIND(" ",M2281))</f>
        <v>WASHINGTON ST NE</v>
      </c>
      <c r="O2281" s="0" t="s">
        <v>9932</v>
      </c>
      <c r="P2281" s="0" t="s">
        <v>145</v>
      </c>
      <c r="Q2281" s="0" t="s">
        <v>146</v>
      </c>
      <c r="R2281" s="0" t="n">
        <v>44483</v>
      </c>
      <c r="AD2281" s="0" t="s">
        <v>147</v>
      </c>
      <c r="AE2281" s="0" t="s">
        <v>148</v>
      </c>
      <c r="AF2281" s="0" t="s">
        <v>149</v>
      </c>
      <c r="AH2281" s="0" t="n">
        <v>14</v>
      </c>
      <c r="AI2281" s="0" t="n">
        <v>11</v>
      </c>
      <c r="AN2281" s="0" t="s">
        <v>145</v>
      </c>
      <c r="AO2281" s="0" t="s">
        <v>654</v>
      </c>
      <c r="AP2281" s="0" t="s">
        <v>655</v>
      </c>
      <c r="AQ2281" s="0" t="n">
        <v>9</v>
      </c>
      <c r="AR2281" s="0" t="n">
        <v>64</v>
      </c>
      <c r="AS2281" s="0" t="n">
        <v>32</v>
      </c>
      <c r="AU2281" s="0" t="n">
        <f aca="false">COUNTA($BA$1556:$EH$1556)</f>
        <v>14</v>
      </c>
      <c r="AV2281" s="0" t="n">
        <f aca="false">COUNTIF($BA$1556:$EH$1556,"D")</f>
        <v>2</v>
      </c>
      <c r="AW2281" s="0" t="n">
        <f aca="false">COUNTIF($BA$1556:$EH$1556,"R")</f>
        <v>0</v>
      </c>
      <c r="AX2281" s="0" t="n">
        <f aca="false">IF(BN2281="D",1,0)+IF(BO2281="D",1,0)+IF(BT2281="D",1,0)+IF(BU2281="D",1,0)+IF(BW2281="D",1,0)+IF(CC2281="D",1,0)+IF(CD2281="D",1,0)+IF(CE2281="D",1,0)+IF(CF2281="D",1,0)+IF(CL2281="D",1,0)+IF(CM2281="D",1,0)+IF(CQ2281="D",1,0)+IF(CR2281="D",1,0)+IF(CS2281="D",1,0)+IF(CW2281="D",1,0)+IF(CX2281="D",1,0)+IF(DD2281="D",1,0)+IF(DE2281="D",1,0)+IF(DJ2281="D",1,0)+IF(DK2281="D",1,0)+IF(DO2281="D",1,0)+IF(DP2281="D",1,0)+IF(DQ2281="D",1,0)+IF(DW2281="D",1,0)+IF(DZ2281="D",1,0)+IF(EH2281="D",1,0)</f>
        <v>0</v>
      </c>
      <c r="AY2281" s="0" t="n">
        <f aca="false">COUNTIF(DU2281:EH2281, "&lt;&gt;")</f>
        <v>0</v>
      </c>
      <c r="AZ2281" s="0" t="n">
        <f aca="false">IF(EH2281&lt;&gt;"",1,0)</f>
        <v>0</v>
      </c>
      <c r="BB2281" s="0" t="s">
        <v>152</v>
      </c>
    </row>
    <row r="2282" customFormat="false" ht="13.8" hidden="true" customHeight="false" outlineLevel="0" collapsed="false">
      <c r="A2282" s="0" t="s">
        <v>9933</v>
      </c>
      <c r="B2282" s="0" t="n">
        <v>78</v>
      </c>
      <c r="C2282" s="0" t="n">
        <v>473511</v>
      </c>
      <c r="D2282" s="0" t="s">
        <v>9934</v>
      </c>
      <c r="E2282" s="0" t="s">
        <v>9935</v>
      </c>
      <c r="F2282" s="0" t="str">
        <f aca="false">CONCATENATE(D2282," ",LEFT(H2282,4),"T=",AU2282,"D=",AV2282,"R=",AW2282,"M=",AX2282,"L=",AY2282,"B=",AZ2282)</f>
        <v>CAIN T=16D=2R=0M=1L=0B=0</v>
      </c>
      <c r="G2282" s="0" t="s">
        <v>9936</v>
      </c>
      <c r="I2282" s="0" t="s">
        <v>9937</v>
      </c>
      <c r="J2282" s="0" t="s">
        <v>9938</v>
      </c>
      <c r="K2282" s="0" t="s">
        <v>143</v>
      </c>
      <c r="M2282" s="0" t="s">
        <v>9900</v>
      </c>
      <c r="N2282" s="0" t="str">
        <f aca="false">RIGHT(M2282,LEN(M2282)-FIND(" ",M2282))</f>
        <v>WASHINGTON ST NE</v>
      </c>
      <c r="O2282" s="0" t="s">
        <v>1947</v>
      </c>
      <c r="P2282" s="0" t="s">
        <v>145</v>
      </c>
      <c r="Q2282" s="0" t="s">
        <v>146</v>
      </c>
      <c r="R2282" s="0" t="n">
        <v>44483</v>
      </c>
      <c r="AD2282" s="0" t="s">
        <v>147</v>
      </c>
      <c r="AE2282" s="0" t="s">
        <v>148</v>
      </c>
      <c r="AF2282" s="0" t="s">
        <v>149</v>
      </c>
      <c r="AH2282" s="0" t="n">
        <v>14</v>
      </c>
      <c r="AI2282" s="0" t="n">
        <v>11</v>
      </c>
      <c r="AN2282" s="0" t="s">
        <v>145</v>
      </c>
      <c r="AO2282" s="0" t="s">
        <v>654</v>
      </c>
      <c r="AP2282" s="0" t="s">
        <v>655</v>
      </c>
      <c r="AQ2282" s="0" t="n">
        <v>9</v>
      </c>
      <c r="AR2282" s="0" t="n">
        <v>64</v>
      </c>
      <c r="AS2282" s="0" t="n">
        <v>32</v>
      </c>
      <c r="AU2282" s="0" t="n">
        <f aca="false">COUNTA($BA$1629:$EH$1629)</f>
        <v>16</v>
      </c>
      <c r="AV2282" s="0" t="n">
        <f aca="false">COUNTIF($BA$1629:$EH$1629,"D")</f>
        <v>2</v>
      </c>
      <c r="AW2282" s="0" t="n">
        <f aca="false">COUNTIF($BA$1629:$EH$1629,"R")</f>
        <v>0</v>
      </c>
      <c r="AX2282" s="0" t="n">
        <f aca="false">IF(BN2282="D",1,0)+IF(BO2282="D",1,0)+IF(BT2282="D",1,0)+IF(BU2282="D",1,0)+IF(BW2282="D",1,0)+IF(CC2282="D",1,0)+IF(CD2282="D",1,0)+IF(CE2282="D",1,0)+IF(CF2282="D",1,0)+IF(CL2282="D",1,0)+IF(CM2282="D",1,0)+IF(CQ2282="D",1,0)+IF(CR2282="D",1,0)+IF(CS2282="D",1,0)+IF(CW2282="D",1,0)+IF(CX2282="D",1,0)+IF(DD2282="D",1,0)+IF(DE2282="D",1,0)+IF(DJ2282="D",1,0)+IF(DK2282="D",1,0)+IF(DO2282="D",1,0)+IF(DP2282="D",1,0)+IF(DQ2282="D",1,0)+IF(DW2282="D",1,0)+IF(DZ2282="D",1,0)+IF(EH2282="D",1,0)</f>
        <v>1</v>
      </c>
      <c r="AY2282" s="0" t="n">
        <f aca="false">COUNTIF(DU2282:EH2282, "&lt;&gt;")</f>
        <v>0</v>
      </c>
      <c r="AZ2282" s="0" t="n">
        <f aca="false">IF(EH2282&lt;&gt;"",1,0)</f>
        <v>0</v>
      </c>
      <c r="BB2282" s="0" t="s">
        <v>152</v>
      </c>
      <c r="DO2282" s="0" t="s">
        <v>175</v>
      </c>
    </row>
    <row r="2283" customFormat="false" ht="13.8" hidden="true" customHeight="false" outlineLevel="0" collapsed="false">
      <c r="A2283" s="0" t="s">
        <v>9939</v>
      </c>
      <c r="B2283" s="0" t="n">
        <v>78</v>
      </c>
      <c r="C2283" s="0" t="n">
        <v>485807</v>
      </c>
      <c r="D2283" s="0" t="s">
        <v>9940</v>
      </c>
      <c r="E2283" s="0" t="s">
        <v>1287</v>
      </c>
      <c r="F2283" s="0" t="str">
        <f aca="false">CONCATENATE(D2283," ",LEFT(H2283,4),"T=",AU2283,"D=",AV2283,"R=",AW2283,"M=",AX2283,"L=",AY2283,"B=",AZ2283)</f>
        <v>BAEHR T=3D=0R=0M=0L=0B=0</v>
      </c>
      <c r="G2283" s="0" t="s">
        <v>4606</v>
      </c>
      <c r="I2283" s="0" t="s">
        <v>9941</v>
      </c>
      <c r="J2283" s="0" t="s">
        <v>1061</v>
      </c>
      <c r="K2283" s="0" t="s">
        <v>160</v>
      </c>
      <c r="M2283" s="0" t="s">
        <v>9900</v>
      </c>
      <c r="N2283" s="0" t="str">
        <f aca="false">RIGHT(M2283,LEN(M2283)-FIND(" ",M2283))</f>
        <v>WASHINGTON ST NE</v>
      </c>
      <c r="O2283" s="0" t="s">
        <v>7281</v>
      </c>
      <c r="P2283" s="0" t="s">
        <v>145</v>
      </c>
      <c r="Q2283" s="0" t="s">
        <v>146</v>
      </c>
      <c r="R2283" s="0" t="n">
        <v>44483</v>
      </c>
      <c r="AD2283" s="0" t="s">
        <v>147</v>
      </c>
      <c r="AE2283" s="0" t="s">
        <v>148</v>
      </c>
      <c r="AF2283" s="0" t="s">
        <v>149</v>
      </c>
      <c r="AH2283" s="0" t="n">
        <v>14</v>
      </c>
      <c r="AI2283" s="0" t="n">
        <v>11</v>
      </c>
      <c r="AN2283" s="0" t="s">
        <v>145</v>
      </c>
      <c r="AO2283" s="0" t="s">
        <v>654</v>
      </c>
      <c r="AP2283" s="0" t="s">
        <v>655</v>
      </c>
      <c r="AQ2283" s="0" t="n">
        <v>9</v>
      </c>
      <c r="AR2283" s="0" t="n">
        <v>64</v>
      </c>
      <c r="AS2283" s="0" t="n">
        <v>32</v>
      </c>
      <c r="AU2283" s="0" t="n">
        <f aca="false">COUNTA($BA$1657:$EH$1657)</f>
        <v>3</v>
      </c>
      <c r="AV2283" s="0" t="n">
        <f aca="false">COUNTIF($BA$1657:$EH$1657,"D")</f>
        <v>0</v>
      </c>
      <c r="AW2283" s="0" t="n">
        <f aca="false">COUNTIF($BA$1657:$EH$1657,"R")</f>
        <v>0</v>
      </c>
      <c r="AX2283" s="0" t="n">
        <f aca="false">IF(BN2283="D",1,0)+IF(BO2283="D",1,0)+IF(BT2283="D",1,0)+IF(BU2283="D",1,0)+IF(BW2283="D",1,0)+IF(CC2283="D",1,0)+IF(CD2283="D",1,0)+IF(CE2283="D",1,0)+IF(CF2283="D",1,0)+IF(CL2283="D",1,0)+IF(CM2283="D",1,0)+IF(CQ2283="D",1,0)+IF(CR2283="D",1,0)+IF(CS2283="D",1,0)+IF(CW2283="D",1,0)+IF(CX2283="D",1,0)+IF(DD2283="D",1,0)+IF(DE2283="D",1,0)+IF(DJ2283="D",1,0)+IF(DK2283="D",1,0)+IF(DO2283="D",1,0)+IF(DP2283="D",1,0)+IF(DQ2283="D",1,0)+IF(DW2283="D",1,0)+IF(DZ2283="D",1,0)+IF(EH2283="D",1,0)</f>
        <v>0</v>
      </c>
      <c r="AY2283" s="0" t="n">
        <f aca="false">COUNTIF(DU2283:EH2283, "&lt;&gt;")</f>
        <v>0</v>
      </c>
      <c r="AZ2283" s="0" t="n">
        <f aca="false">IF(EH2283&lt;&gt;"",1,0)</f>
        <v>0</v>
      </c>
      <c r="BB2283" s="0" t="s">
        <v>152</v>
      </c>
    </row>
    <row r="2284" customFormat="false" ht="13.8" hidden="true" customHeight="false" outlineLevel="0" collapsed="false">
      <c r="A2284" s="0" t="s">
        <v>9942</v>
      </c>
      <c r="B2284" s="0" t="n">
        <v>78</v>
      </c>
      <c r="C2284" s="0" t="n">
        <v>463513</v>
      </c>
      <c r="D2284" s="0" t="s">
        <v>6295</v>
      </c>
      <c r="E2284" s="0" t="s">
        <v>871</v>
      </c>
      <c r="F2284" s="0" t="str">
        <f aca="false">CONCATENATE(D2284," ",LEFT(H2284,4),"T=",AU2284,"D=",AV2284,"R=",AW2284,"M=",AX2284,"L=",AY2284,"B=",AZ2284)</f>
        <v>COLE T=25D=5R=1M=0L=0B=0</v>
      </c>
      <c r="G2284" s="0" t="s">
        <v>2179</v>
      </c>
      <c r="I2284" s="0" t="s">
        <v>9943</v>
      </c>
      <c r="J2284" s="0" t="s">
        <v>9944</v>
      </c>
      <c r="K2284" s="0" t="s">
        <v>160</v>
      </c>
      <c r="M2284" s="0" t="s">
        <v>9900</v>
      </c>
      <c r="N2284" s="0" t="str">
        <f aca="false">RIGHT(M2284,LEN(M2284)-FIND(" ",M2284))</f>
        <v>WASHINGTON ST NE</v>
      </c>
      <c r="O2284" s="0" t="s">
        <v>7238</v>
      </c>
      <c r="P2284" s="0" t="s">
        <v>145</v>
      </c>
      <c r="Q2284" s="0" t="s">
        <v>146</v>
      </c>
      <c r="R2284" s="0" t="n">
        <v>44483</v>
      </c>
      <c r="AD2284" s="0" t="s">
        <v>147</v>
      </c>
      <c r="AE2284" s="0" t="s">
        <v>148</v>
      </c>
      <c r="AF2284" s="0" t="s">
        <v>149</v>
      </c>
      <c r="AH2284" s="0" t="n">
        <v>14</v>
      </c>
      <c r="AI2284" s="0" t="n">
        <v>11</v>
      </c>
      <c r="AN2284" s="0" t="s">
        <v>145</v>
      </c>
      <c r="AO2284" s="0" t="s">
        <v>654</v>
      </c>
      <c r="AP2284" s="0" t="s">
        <v>655</v>
      </c>
      <c r="AQ2284" s="0" t="n">
        <v>9</v>
      </c>
      <c r="AR2284" s="0" t="n">
        <v>64</v>
      </c>
      <c r="AS2284" s="0" t="n">
        <v>32</v>
      </c>
      <c r="AU2284" s="0" t="n">
        <f aca="false">COUNTA($BA$1697:$EH$1697)</f>
        <v>25</v>
      </c>
      <c r="AV2284" s="0" t="n">
        <f aca="false">COUNTIF($BA$1697:$EH$1697,"D")</f>
        <v>5</v>
      </c>
      <c r="AW2284" s="0" t="n">
        <f aca="false">COUNTIF($BA$1697:$EH$1697,"R")</f>
        <v>1</v>
      </c>
      <c r="AX2284" s="0" t="n">
        <f aca="false">IF(BN2284="D",1,0)+IF(BO2284="D",1,0)+IF(BT2284="D",1,0)+IF(BU2284="D",1,0)+IF(BW2284="D",1,0)+IF(CC2284="D",1,0)+IF(CD2284="D",1,0)+IF(CE2284="D",1,0)+IF(CF2284="D",1,0)+IF(CL2284="D",1,0)+IF(CM2284="D",1,0)+IF(CQ2284="D",1,0)+IF(CR2284="D",1,0)+IF(CS2284="D",1,0)+IF(CW2284="D",1,0)+IF(CX2284="D",1,0)+IF(DD2284="D",1,0)+IF(DE2284="D",1,0)+IF(DJ2284="D",1,0)+IF(DK2284="D",1,0)+IF(DO2284="D",1,0)+IF(DP2284="D",1,0)+IF(DQ2284="D",1,0)+IF(DW2284="D",1,0)+IF(DZ2284="D",1,0)+IF(EH2284="D",1,0)</f>
        <v>0</v>
      </c>
      <c r="AY2284" s="0" t="n">
        <f aca="false">COUNTIF(DU2284:EH2284, "&lt;&gt;")</f>
        <v>0</v>
      </c>
      <c r="AZ2284" s="0" t="n">
        <f aca="false">IF(EH2284&lt;&gt;"",1,0)</f>
        <v>0</v>
      </c>
      <c r="BB2284" s="0" t="s">
        <v>152</v>
      </c>
    </row>
    <row r="2285" customFormat="false" ht="13.8" hidden="true" customHeight="false" outlineLevel="0" collapsed="false">
      <c r="A2285" s="0" t="s">
        <v>9945</v>
      </c>
      <c r="B2285" s="0" t="n">
        <v>78</v>
      </c>
      <c r="C2285" s="0" t="n">
        <v>468233</v>
      </c>
      <c r="D2285" s="0" t="s">
        <v>9946</v>
      </c>
      <c r="E2285" s="0" t="s">
        <v>9947</v>
      </c>
      <c r="F2285" s="0" t="str">
        <f aca="false">CONCATENATE(D2285," ",LEFT(H2285,4),"T=",AU2285,"D=",AV2285,"R=",AW2285,"M=",AX2285,"L=",AY2285,"B=",AZ2285)</f>
        <v>PALMER MILLER T=15D=5R=0M=0L=0B=0</v>
      </c>
      <c r="G2285" s="0" t="s">
        <v>9948</v>
      </c>
      <c r="I2285" s="0" t="s">
        <v>9949</v>
      </c>
      <c r="J2285" s="0" t="s">
        <v>3977</v>
      </c>
      <c r="K2285" s="0" t="s">
        <v>160</v>
      </c>
      <c r="M2285" s="0" t="s">
        <v>9900</v>
      </c>
      <c r="N2285" s="0" t="str">
        <f aca="false">RIGHT(M2285,LEN(M2285)-FIND(" ",M2285))</f>
        <v>WASHINGTON ST NE</v>
      </c>
      <c r="O2285" s="0" t="s">
        <v>9932</v>
      </c>
      <c r="P2285" s="0" t="s">
        <v>145</v>
      </c>
      <c r="Q2285" s="0" t="s">
        <v>146</v>
      </c>
      <c r="R2285" s="0" t="n">
        <v>44483</v>
      </c>
      <c r="AD2285" s="0" t="s">
        <v>147</v>
      </c>
      <c r="AE2285" s="0" t="s">
        <v>148</v>
      </c>
      <c r="AF2285" s="0" t="s">
        <v>149</v>
      </c>
      <c r="AH2285" s="0" t="n">
        <v>14</v>
      </c>
      <c r="AI2285" s="0" t="n">
        <v>11</v>
      </c>
      <c r="AN2285" s="0" t="s">
        <v>145</v>
      </c>
      <c r="AO2285" s="0" t="s">
        <v>654</v>
      </c>
      <c r="AP2285" s="0" t="s">
        <v>655</v>
      </c>
      <c r="AQ2285" s="0" t="n">
        <v>9</v>
      </c>
      <c r="AR2285" s="0" t="n">
        <v>64</v>
      </c>
      <c r="AS2285" s="0" t="n">
        <v>32</v>
      </c>
      <c r="AU2285" s="0" t="n">
        <f aca="false">COUNTA($BA$1741:$EH$1741)</f>
        <v>15</v>
      </c>
      <c r="AV2285" s="0" t="n">
        <f aca="false">COUNTIF($BA$1741:$EH$1741,"D")</f>
        <v>5</v>
      </c>
      <c r="AW2285" s="0" t="n">
        <f aca="false">COUNTIF($BA$1741:$EH$1741,"R")</f>
        <v>0</v>
      </c>
      <c r="AX2285" s="0" t="n">
        <f aca="false">IF(BN2285="D",1,0)+IF(BO2285="D",1,0)+IF(BT2285="D",1,0)+IF(BU2285="D",1,0)+IF(BW2285="D",1,0)+IF(CC2285="D",1,0)+IF(CD2285="D",1,0)+IF(CE2285="D",1,0)+IF(CF2285="D",1,0)+IF(CL2285="D",1,0)+IF(CM2285="D",1,0)+IF(CQ2285="D",1,0)+IF(CR2285="D",1,0)+IF(CS2285="D",1,0)+IF(CW2285="D",1,0)+IF(CX2285="D",1,0)+IF(DD2285="D",1,0)+IF(DE2285="D",1,0)+IF(DJ2285="D",1,0)+IF(DK2285="D",1,0)+IF(DO2285="D",1,0)+IF(DP2285="D",1,0)+IF(DQ2285="D",1,0)+IF(DW2285="D",1,0)+IF(DZ2285="D",1,0)+IF(EH2285="D",1,0)</f>
        <v>0</v>
      </c>
      <c r="AY2285" s="0" t="n">
        <f aca="false">COUNTIF(DU2285:EH2285, "&lt;&gt;")</f>
        <v>0</v>
      </c>
      <c r="AZ2285" s="0" t="n">
        <f aca="false">IF(EH2285&lt;&gt;"",1,0)</f>
        <v>0</v>
      </c>
      <c r="BB2285" s="0" t="s">
        <v>152</v>
      </c>
    </row>
    <row r="2286" customFormat="false" ht="13.8" hidden="true" customHeight="false" outlineLevel="0" collapsed="false">
      <c r="A2286" s="0" t="s">
        <v>9950</v>
      </c>
      <c r="B2286" s="0" t="n">
        <v>78</v>
      </c>
      <c r="C2286" s="0" t="n">
        <v>393591</v>
      </c>
      <c r="D2286" s="0" t="s">
        <v>3819</v>
      </c>
      <c r="E2286" s="0" t="s">
        <v>3167</v>
      </c>
      <c r="F2286" s="0" t="str">
        <f aca="false">CONCATENATE(D2286," ",LEFT(H2286,4),"T=",AU2286,"D=",AV2286,"R=",AW2286,"M=",AX2286,"L=",AY2286,"B=",AZ2286)</f>
        <v>MARTIN T=13D=0R=3M=0L=0B=0</v>
      </c>
      <c r="G2286" s="0" t="s">
        <v>175</v>
      </c>
      <c r="I2286" s="0" t="s">
        <v>9951</v>
      </c>
      <c r="J2286" s="0" t="s">
        <v>376</v>
      </c>
      <c r="K2286" s="0" t="s">
        <v>160</v>
      </c>
      <c r="M2286" s="0" t="s">
        <v>9900</v>
      </c>
      <c r="N2286" s="0" t="str">
        <f aca="false">RIGHT(M2286,LEN(M2286)-FIND(" ",M2286))</f>
        <v>WASHINGTON ST NE</v>
      </c>
      <c r="O2286" s="0" t="s">
        <v>9901</v>
      </c>
      <c r="P2286" s="0" t="s">
        <v>145</v>
      </c>
      <c r="Q2286" s="0" t="s">
        <v>146</v>
      </c>
      <c r="R2286" s="0" t="n">
        <v>44483</v>
      </c>
      <c r="AD2286" s="0" t="s">
        <v>147</v>
      </c>
      <c r="AE2286" s="0" t="s">
        <v>148</v>
      </c>
      <c r="AF2286" s="0" t="s">
        <v>149</v>
      </c>
      <c r="AH2286" s="0" t="n">
        <v>14</v>
      </c>
      <c r="AI2286" s="0" t="n">
        <v>11</v>
      </c>
      <c r="AN2286" s="0" t="s">
        <v>145</v>
      </c>
      <c r="AO2286" s="0" t="s">
        <v>654</v>
      </c>
      <c r="AP2286" s="0" t="s">
        <v>655</v>
      </c>
      <c r="AQ2286" s="0" t="n">
        <v>9</v>
      </c>
      <c r="AR2286" s="0" t="n">
        <v>64</v>
      </c>
      <c r="AS2286" s="0" t="n">
        <v>32</v>
      </c>
      <c r="AU2286" s="0" t="n">
        <f aca="false">COUNTA($BA$1772:$EH$1772)</f>
        <v>13</v>
      </c>
      <c r="AV2286" s="0" t="n">
        <f aca="false">COUNTIF($BA$1772:$EH$1772,"D")</f>
        <v>0</v>
      </c>
      <c r="AW2286" s="0" t="n">
        <f aca="false">COUNTIF($BA$1772:$EH$1772,"R")</f>
        <v>3</v>
      </c>
      <c r="AX2286" s="0" t="n">
        <f aca="false">IF(BN2286="D",1,0)+IF(BO2286="D",1,0)+IF(BT2286="D",1,0)+IF(BU2286="D",1,0)+IF(BW2286="D",1,0)+IF(CC2286="D",1,0)+IF(CD2286="D",1,0)+IF(CE2286="D",1,0)+IF(CF2286="D",1,0)+IF(CL2286="D",1,0)+IF(CM2286="D",1,0)+IF(CQ2286="D",1,0)+IF(CR2286="D",1,0)+IF(CS2286="D",1,0)+IF(CW2286="D",1,0)+IF(CX2286="D",1,0)+IF(DD2286="D",1,0)+IF(DE2286="D",1,0)+IF(DJ2286="D",1,0)+IF(DK2286="D",1,0)+IF(DO2286="D",1,0)+IF(DP2286="D",1,0)+IF(DQ2286="D",1,0)+IF(DW2286="D",1,0)+IF(DZ2286="D",1,0)+IF(EH2286="D",1,0)</f>
        <v>0</v>
      </c>
      <c r="AY2286" s="0" t="n">
        <f aca="false">COUNTIF(DU2286:EH2286, "&lt;&gt;")</f>
        <v>0</v>
      </c>
      <c r="AZ2286" s="0" t="n">
        <f aca="false">IF(EH2286&lt;&gt;"",1,0)</f>
        <v>0</v>
      </c>
      <c r="BB2286" s="0" t="s">
        <v>152</v>
      </c>
      <c r="CP2286" s="0" t="s">
        <v>153</v>
      </c>
      <c r="CY2286" s="0" t="s">
        <v>153</v>
      </c>
      <c r="DC2286" s="0" t="s">
        <v>153</v>
      </c>
    </row>
    <row r="2287" customFormat="false" ht="13.8" hidden="true" customHeight="false" outlineLevel="0" collapsed="false">
      <c r="A2287" s="0" t="s">
        <v>9952</v>
      </c>
      <c r="B2287" s="0" t="n">
        <v>78</v>
      </c>
      <c r="C2287" s="0" t="n">
        <v>490268</v>
      </c>
      <c r="D2287" s="0" t="s">
        <v>556</v>
      </c>
      <c r="E2287" s="0" t="s">
        <v>3568</v>
      </c>
      <c r="F2287" s="0" t="str">
        <f aca="false">CONCATENATE(D2287," ",LEFT(H2287,4),"T=",AU2287,"D=",AV2287,"R=",AW2287,"M=",AX2287,"L=",AY2287,"B=",AZ2287)</f>
        <v>ANDERSON T=1D=0R=0M=0L=1B=0</v>
      </c>
      <c r="G2287" s="0" t="s">
        <v>275</v>
      </c>
      <c r="I2287" s="0" t="s">
        <v>9953</v>
      </c>
      <c r="J2287" s="0" t="s">
        <v>2355</v>
      </c>
      <c r="K2287" s="0" t="s">
        <v>160</v>
      </c>
      <c r="M2287" s="0" t="s">
        <v>9900</v>
      </c>
      <c r="N2287" s="0" t="str">
        <f aca="false">RIGHT(M2287,LEN(M2287)-FIND(" ",M2287))</f>
        <v>WASHINGTON ST NE</v>
      </c>
      <c r="O2287" s="0" t="s">
        <v>7225</v>
      </c>
      <c r="P2287" s="0" t="s">
        <v>145</v>
      </c>
      <c r="Q2287" s="0" t="s">
        <v>146</v>
      </c>
      <c r="R2287" s="0" t="n">
        <v>44483</v>
      </c>
      <c r="AD2287" s="0" t="s">
        <v>147</v>
      </c>
      <c r="AE2287" s="0" t="s">
        <v>148</v>
      </c>
      <c r="AF2287" s="0" t="s">
        <v>149</v>
      </c>
      <c r="AH2287" s="0" t="n">
        <v>14</v>
      </c>
      <c r="AI2287" s="0" t="n">
        <v>11</v>
      </c>
      <c r="AN2287" s="0" t="s">
        <v>145</v>
      </c>
      <c r="AO2287" s="0" t="s">
        <v>654</v>
      </c>
      <c r="AP2287" s="0" t="s">
        <v>655</v>
      </c>
      <c r="AQ2287" s="0" t="n">
        <v>9</v>
      </c>
      <c r="AR2287" s="0" t="n">
        <v>64</v>
      </c>
      <c r="AS2287" s="0" t="n">
        <v>32</v>
      </c>
      <c r="AU2287" s="0" t="n">
        <f aca="false">COUNTA($BA$1847:$EH$1847)</f>
        <v>1</v>
      </c>
      <c r="AV2287" s="0" t="n">
        <f aca="false">COUNTIF($BA$1847:$EH$1847,"D")</f>
        <v>0</v>
      </c>
      <c r="AW2287" s="0" t="n">
        <f aca="false">COUNTIF($BA$1847:$EH$1847,"R")</f>
        <v>0</v>
      </c>
      <c r="AX2287" s="0" t="n">
        <f aca="false">IF(BN2287="D",1,0)+IF(BO2287="D",1,0)+IF(BT2287="D",1,0)+IF(BU2287="D",1,0)+IF(BW2287="D",1,0)+IF(CC2287="D",1,0)+IF(CD2287="D",1,0)+IF(CE2287="D",1,0)+IF(CF2287="D",1,0)+IF(CL2287="D",1,0)+IF(CM2287="D",1,0)+IF(CQ2287="D",1,0)+IF(CR2287="D",1,0)+IF(CS2287="D",1,0)+IF(CW2287="D",1,0)+IF(CX2287="D",1,0)+IF(DD2287="D",1,0)+IF(DE2287="D",1,0)+IF(DJ2287="D",1,0)+IF(DK2287="D",1,0)+IF(DO2287="D",1,0)+IF(DP2287="D",1,0)+IF(DQ2287="D",1,0)+IF(DW2287="D",1,0)+IF(DZ2287="D",1,0)+IF(EH2287="D",1,0)</f>
        <v>0</v>
      </c>
      <c r="AY2287" s="0" t="n">
        <f aca="false">COUNTIF(DU2287:EH2287, "&lt;&gt;")</f>
        <v>1</v>
      </c>
      <c r="AZ2287" s="0" t="n">
        <f aca="false">IF(EH2287&lt;&gt;"",1,0)</f>
        <v>0</v>
      </c>
      <c r="BB2287" s="0" t="s">
        <v>152</v>
      </c>
      <c r="EF2287" s="0" t="s">
        <v>153</v>
      </c>
    </row>
    <row r="2288" customFormat="false" ht="13.8" hidden="true" customHeight="false" outlineLevel="0" collapsed="false">
      <c r="A2288" s="0" t="s">
        <v>9954</v>
      </c>
      <c r="B2288" s="0" t="n">
        <v>78</v>
      </c>
      <c r="C2288" s="0" t="n">
        <v>351783</v>
      </c>
      <c r="D2288" s="0" t="s">
        <v>9955</v>
      </c>
      <c r="E2288" s="0" t="s">
        <v>275</v>
      </c>
      <c r="F2288" s="0" t="str">
        <f aca="false">CONCATENATE(D2288," ",LEFT(H2288,4),"T=",AU2288,"D=",AV2288,"R=",AW2288,"M=",AX2288,"L=",AY2288,"B=",AZ2288)</f>
        <v>HONZU T=9D=0R=0M=0L=0B=0</v>
      </c>
      <c r="G2288" s="0" t="s">
        <v>190</v>
      </c>
      <c r="I2288" s="0" t="s">
        <v>9956</v>
      </c>
      <c r="J2288" s="0" t="s">
        <v>9957</v>
      </c>
      <c r="K2288" s="0" t="s">
        <v>143</v>
      </c>
      <c r="M2288" s="0" t="s">
        <v>9900</v>
      </c>
      <c r="N2288" s="0" t="str">
        <f aca="false">RIGHT(M2288,LEN(M2288)-FIND(" ",M2288))</f>
        <v>WASHINGTON ST NE</v>
      </c>
      <c r="O2288" s="0" t="s">
        <v>7213</v>
      </c>
      <c r="P2288" s="0" t="s">
        <v>145</v>
      </c>
      <c r="Q2288" s="0" t="s">
        <v>146</v>
      </c>
      <c r="R2288" s="0" t="n">
        <v>44483</v>
      </c>
      <c r="AD2288" s="0" t="s">
        <v>147</v>
      </c>
      <c r="AE2288" s="0" t="s">
        <v>148</v>
      </c>
      <c r="AF2288" s="0" t="s">
        <v>149</v>
      </c>
      <c r="AH2288" s="0" t="n">
        <v>14</v>
      </c>
      <c r="AI2288" s="0" t="n">
        <v>11</v>
      </c>
      <c r="AN2288" s="0" t="s">
        <v>145</v>
      </c>
      <c r="AO2288" s="0" t="s">
        <v>654</v>
      </c>
      <c r="AP2288" s="0" t="s">
        <v>655</v>
      </c>
      <c r="AQ2288" s="0" t="n">
        <v>9</v>
      </c>
      <c r="AR2288" s="0" t="n">
        <v>64</v>
      </c>
      <c r="AS2288" s="0" t="n">
        <v>32</v>
      </c>
      <c r="AU2288" s="0" t="n">
        <f aca="false">COUNTA($BA$1907:$EH$1907)</f>
        <v>9</v>
      </c>
      <c r="AV2288" s="0" t="n">
        <f aca="false">COUNTIF($BA$1907:$EH$1907,"D")</f>
        <v>0</v>
      </c>
      <c r="AW2288" s="0" t="n">
        <f aca="false">COUNTIF($BA$1907:$EH$1907,"R")</f>
        <v>0</v>
      </c>
      <c r="AX2288" s="0" t="n">
        <f aca="false">IF(BN2288="D",1,0)+IF(BO2288="D",1,0)+IF(BT2288="D",1,0)+IF(BU2288="D",1,0)+IF(BW2288="D",1,0)+IF(CC2288="D",1,0)+IF(CD2288="D",1,0)+IF(CE2288="D",1,0)+IF(CF2288="D",1,0)+IF(CL2288="D",1,0)+IF(CM2288="D",1,0)+IF(CQ2288="D",1,0)+IF(CR2288="D",1,0)+IF(CS2288="D",1,0)+IF(CW2288="D",1,0)+IF(CX2288="D",1,0)+IF(DD2288="D",1,0)+IF(DE2288="D",1,0)+IF(DJ2288="D",1,0)+IF(DK2288="D",1,0)+IF(DO2288="D",1,0)+IF(DP2288="D",1,0)+IF(DQ2288="D",1,0)+IF(DW2288="D",1,0)+IF(DZ2288="D",1,0)+IF(EH2288="D",1,0)</f>
        <v>0</v>
      </c>
      <c r="AY2288" s="0" t="n">
        <f aca="false">COUNTIF(DU2288:EH2288, "&lt;&gt;")</f>
        <v>0</v>
      </c>
      <c r="AZ2288" s="0" t="n">
        <f aca="false">IF(EH2288&lt;&gt;"",1,0)</f>
        <v>0</v>
      </c>
      <c r="BB2288" s="0" t="s">
        <v>152</v>
      </c>
    </row>
    <row r="2289" customFormat="false" ht="13.8" hidden="true" customHeight="false" outlineLevel="0" collapsed="false">
      <c r="A2289" s="0" t="s">
        <v>9958</v>
      </c>
      <c r="B2289" s="0" t="n">
        <v>78</v>
      </c>
      <c r="C2289" s="0" t="n">
        <v>448313</v>
      </c>
      <c r="D2289" s="0" t="s">
        <v>9959</v>
      </c>
      <c r="E2289" s="0" t="s">
        <v>9960</v>
      </c>
      <c r="F2289" s="0" t="str">
        <f aca="false">CONCATENATE(D2289," ",LEFT(H2289,4),"T=",AU2289,"D=",AV2289,"R=",AW2289,"M=",AX2289,"L=",AY2289,"B=",AZ2289)</f>
        <v>PATIERNO IIIT=2D=1R=0M=1L=0B=0</v>
      </c>
      <c r="H2289" s="0" t="s">
        <v>1932</v>
      </c>
      <c r="I2289" s="0" t="s">
        <v>9961</v>
      </c>
      <c r="J2289" s="0" t="s">
        <v>787</v>
      </c>
      <c r="K2289" s="0" t="s">
        <v>143</v>
      </c>
      <c r="M2289" s="0" t="s">
        <v>9900</v>
      </c>
      <c r="N2289" s="0" t="str">
        <f aca="false">RIGHT(M2289,LEN(M2289)-FIND(" ",M2289))</f>
        <v>WASHINGTON ST NE</v>
      </c>
      <c r="O2289" s="0" t="s">
        <v>7221</v>
      </c>
      <c r="P2289" s="0" t="s">
        <v>145</v>
      </c>
      <c r="Q2289" s="0" t="s">
        <v>146</v>
      </c>
      <c r="R2289" s="0" t="n">
        <v>44483</v>
      </c>
      <c r="AD2289" s="0" t="s">
        <v>147</v>
      </c>
      <c r="AE2289" s="0" t="s">
        <v>148</v>
      </c>
      <c r="AF2289" s="0" t="s">
        <v>149</v>
      </c>
      <c r="AH2289" s="0" t="n">
        <v>14</v>
      </c>
      <c r="AI2289" s="0" t="n">
        <v>11</v>
      </c>
      <c r="AN2289" s="0" t="s">
        <v>145</v>
      </c>
      <c r="AO2289" s="0" t="s">
        <v>654</v>
      </c>
      <c r="AP2289" s="0" t="s">
        <v>655</v>
      </c>
      <c r="AQ2289" s="0" t="n">
        <v>9</v>
      </c>
      <c r="AR2289" s="0" t="n">
        <v>64</v>
      </c>
      <c r="AS2289" s="0" t="n">
        <v>32</v>
      </c>
      <c r="AU2289" s="0" t="n">
        <f aca="false">COUNTA($BA$1975:$EH$1975)</f>
        <v>2</v>
      </c>
      <c r="AV2289" s="0" t="n">
        <f aca="false">COUNTIF($BA$1975:$EH$1975,"D")</f>
        <v>1</v>
      </c>
      <c r="AW2289" s="0" t="n">
        <f aca="false">COUNTIF($BA$1975:$EH$1975,"R")</f>
        <v>0</v>
      </c>
      <c r="AX2289" s="0" t="n">
        <f aca="false">IF(BN2289="D",1,0)+IF(BO2289="D",1,0)+IF(BT2289="D",1,0)+IF(BU2289="D",1,0)+IF(BW2289="D",1,0)+IF(CC2289="D",1,0)+IF(CD2289="D",1,0)+IF(CE2289="D",1,0)+IF(CF2289="D",1,0)+IF(CL2289="D",1,0)+IF(CM2289="D",1,0)+IF(CQ2289="D",1,0)+IF(CR2289="D",1,0)+IF(CS2289="D",1,0)+IF(CW2289="D",1,0)+IF(CX2289="D",1,0)+IF(DD2289="D",1,0)+IF(DE2289="D",1,0)+IF(DJ2289="D",1,0)+IF(DK2289="D",1,0)+IF(DO2289="D",1,0)+IF(DP2289="D",1,0)+IF(DQ2289="D",1,0)+IF(DW2289="D",1,0)+IF(DZ2289="D",1,0)+IF(EH2289="D",1,0)</f>
        <v>1</v>
      </c>
      <c r="AY2289" s="0" t="n">
        <f aca="false">COUNTIF(DU2289:EH2289, "&lt;&gt;")</f>
        <v>0</v>
      </c>
      <c r="AZ2289" s="0" t="n">
        <f aca="false">IF(EH2289&lt;&gt;"",1,0)</f>
        <v>0</v>
      </c>
      <c r="BB2289" s="0" t="s">
        <v>152</v>
      </c>
      <c r="BC2289" s="0" t="s">
        <v>175</v>
      </c>
      <c r="BD2289" s="0" t="s">
        <v>153</v>
      </c>
      <c r="BE2289" s="0" t="s">
        <v>175</v>
      </c>
      <c r="BF2289" s="0" t="s">
        <v>153</v>
      </c>
      <c r="BH2289" s="0" t="s">
        <v>153</v>
      </c>
      <c r="BJ2289" s="0" t="s">
        <v>153</v>
      </c>
      <c r="BK2289" s="0" t="s">
        <v>209</v>
      </c>
      <c r="BL2289" s="0" t="s">
        <v>153</v>
      </c>
      <c r="BN2289" s="0" t="s">
        <v>175</v>
      </c>
      <c r="BP2289" s="0" t="s">
        <v>153</v>
      </c>
      <c r="BR2289" s="0" t="s">
        <v>175</v>
      </c>
      <c r="DN2289" s="0" t="s">
        <v>153</v>
      </c>
    </row>
    <row r="2290" customFormat="false" ht="13.8" hidden="true" customHeight="false" outlineLevel="0" collapsed="false">
      <c r="A2290" s="0" t="s">
        <v>9962</v>
      </c>
      <c r="B2290" s="0" t="n">
        <v>78</v>
      </c>
      <c r="C2290" s="0" t="n">
        <v>408743</v>
      </c>
      <c r="D2290" s="0" t="s">
        <v>5369</v>
      </c>
      <c r="E2290" s="0" t="s">
        <v>1781</v>
      </c>
      <c r="F2290" s="0" t="str">
        <f aca="false">CONCATENATE(D2290," ",LEFT(H2290,4),"T=",AU2290,"D=",AV2290,"R=",AW2290,"M=",AX2290,"L=",AY2290,"B=",AZ2290)</f>
        <v>CLARK JRT=1D=0R=0M=0L=0B=0</v>
      </c>
      <c r="G2290" s="0" t="s">
        <v>522</v>
      </c>
      <c r="H2290" s="0" t="s">
        <v>314</v>
      </c>
      <c r="I2290" s="0" t="s">
        <v>9963</v>
      </c>
      <c r="J2290" s="0" t="s">
        <v>9964</v>
      </c>
      <c r="K2290" s="0" t="s">
        <v>143</v>
      </c>
      <c r="M2290" s="0" t="s">
        <v>9900</v>
      </c>
      <c r="N2290" s="0" t="str">
        <f aca="false">RIGHT(M2290,LEN(M2290)-FIND(" ",M2290))</f>
        <v>WASHINGTON ST NE</v>
      </c>
      <c r="P2290" s="0" t="s">
        <v>145</v>
      </c>
      <c r="Q2290" s="0" t="s">
        <v>146</v>
      </c>
      <c r="R2290" s="0" t="n">
        <v>44483</v>
      </c>
      <c r="AD2290" s="0" t="s">
        <v>147</v>
      </c>
      <c r="AE2290" s="0" t="s">
        <v>148</v>
      </c>
      <c r="AF2290" s="0" t="s">
        <v>149</v>
      </c>
      <c r="AH2290" s="0" t="n">
        <v>14</v>
      </c>
      <c r="AI2290" s="0" t="n">
        <v>11</v>
      </c>
      <c r="AN2290" s="0" t="s">
        <v>145</v>
      </c>
      <c r="AO2290" s="0" t="s">
        <v>654</v>
      </c>
      <c r="AP2290" s="0" t="s">
        <v>655</v>
      </c>
      <c r="AQ2290" s="0" t="n">
        <v>9</v>
      </c>
      <c r="AR2290" s="0" t="n">
        <v>64</v>
      </c>
      <c r="AS2290" s="0" t="n">
        <v>32</v>
      </c>
      <c r="AU2290" s="0" t="n">
        <f aca="false">COUNTA($BA$2015:$EH$2015)</f>
        <v>1</v>
      </c>
      <c r="AV2290" s="0" t="n">
        <f aca="false">COUNTIF($BA$2015:$EH$2015,"D")</f>
        <v>0</v>
      </c>
      <c r="AW2290" s="0" t="n">
        <f aca="false">COUNTIF($BA$2015:$EH$2015,"R")</f>
        <v>0</v>
      </c>
      <c r="AX2290" s="0" t="n">
        <f aca="false">IF(BN2290="D",1,0)+IF(BO2290="D",1,0)+IF(BT2290="D",1,0)+IF(BU2290="D",1,0)+IF(BW2290="D",1,0)+IF(CC2290="D",1,0)+IF(CD2290="D",1,0)+IF(CE2290="D",1,0)+IF(CF2290="D",1,0)+IF(CL2290="D",1,0)+IF(CM2290="D",1,0)+IF(CQ2290="D",1,0)+IF(CR2290="D",1,0)+IF(CS2290="D",1,0)+IF(CW2290="D",1,0)+IF(CX2290="D",1,0)+IF(DD2290="D",1,0)+IF(DE2290="D",1,0)+IF(DJ2290="D",1,0)+IF(DK2290="D",1,0)+IF(DO2290="D",1,0)+IF(DP2290="D",1,0)+IF(DQ2290="D",1,0)+IF(DW2290="D",1,0)+IF(DZ2290="D",1,0)+IF(EH2290="D",1,0)</f>
        <v>0</v>
      </c>
      <c r="AY2290" s="0" t="n">
        <f aca="false">COUNTIF(DU2290:EH2290, "&lt;&gt;")</f>
        <v>0</v>
      </c>
      <c r="AZ2290" s="0" t="n">
        <f aca="false">IF(EH2290&lt;&gt;"",1,0)</f>
        <v>0</v>
      </c>
      <c r="BB2290" s="0" t="s">
        <v>152</v>
      </c>
      <c r="CA2290" s="0" t="s">
        <v>153</v>
      </c>
    </row>
    <row r="2291" customFormat="false" ht="13.8" hidden="true" customHeight="false" outlineLevel="0" collapsed="false">
      <c r="A2291" s="0" t="s">
        <v>9965</v>
      </c>
      <c r="B2291" s="0" t="n">
        <v>78</v>
      </c>
      <c r="C2291" s="0" t="n">
        <v>408845</v>
      </c>
      <c r="D2291" s="0" t="s">
        <v>1041</v>
      </c>
      <c r="E2291" s="0" t="s">
        <v>9966</v>
      </c>
      <c r="F2291" s="0" t="str">
        <f aca="false">CONCATENATE(D2291," ",LEFT(H2291,4),"T=",AU2291,"D=",AV2291,"R=",AW2291,"M=",AX2291,"L=",AY2291,"B=",AZ2291)</f>
        <v>JONES T=9D=1R=0M=0L=0B=0</v>
      </c>
      <c r="G2291" s="0" t="s">
        <v>357</v>
      </c>
      <c r="I2291" s="0" t="s">
        <v>9967</v>
      </c>
      <c r="J2291" s="0" t="s">
        <v>9968</v>
      </c>
      <c r="K2291" s="0" t="s">
        <v>143</v>
      </c>
      <c r="M2291" s="0" t="s">
        <v>9900</v>
      </c>
      <c r="N2291" s="0" t="str">
        <f aca="false">RIGHT(M2291,LEN(M2291)-FIND(" ",M2291))</f>
        <v>WASHINGTON ST NE</v>
      </c>
      <c r="O2291" s="0" t="s">
        <v>9901</v>
      </c>
      <c r="P2291" s="0" t="s">
        <v>145</v>
      </c>
      <c r="Q2291" s="0" t="s">
        <v>146</v>
      </c>
      <c r="R2291" s="0" t="n">
        <v>44483</v>
      </c>
      <c r="AD2291" s="0" t="s">
        <v>147</v>
      </c>
      <c r="AE2291" s="0" t="s">
        <v>148</v>
      </c>
      <c r="AF2291" s="0" t="s">
        <v>149</v>
      </c>
      <c r="AH2291" s="0" t="n">
        <v>14</v>
      </c>
      <c r="AI2291" s="0" t="n">
        <v>11</v>
      </c>
      <c r="AN2291" s="0" t="s">
        <v>145</v>
      </c>
      <c r="AO2291" s="0" t="s">
        <v>654</v>
      </c>
      <c r="AP2291" s="0" t="s">
        <v>655</v>
      </c>
      <c r="AQ2291" s="0" t="n">
        <v>9</v>
      </c>
      <c r="AR2291" s="0" t="n">
        <v>64</v>
      </c>
      <c r="AS2291" s="0" t="n">
        <v>32</v>
      </c>
      <c r="AU2291" s="0" t="n">
        <f aca="false">COUNTA($BA$2052:$EH$2052)</f>
        <v>9</v>
      </c>
      <c r="AV2291" s="0" t="n">
        <f aca="false">COUNTIF($BA$2052:$EH$2052,"D")</f>
        <v>1</v>
      </c>
      <c r="AW2291" s="0" t="n">
        <f aca="false">COUNTIF($BA$2052:$EH$2052,"R")</f>
        <v>0</v>
      </c>
      <c r="AX2291" s="0" t="n">
        <f aca="false">IF(BN2291="D",1,0)+IF(BO2291="D",1,0)+IF(BT2291="D",1,0)+IF(BU2291="D",1,0)+IF(BW2291="D",1,0)+IF(CC2291="D",1,0)+IF(CD2291="D",1,0)+IF(CE2291="D",1,0)+IF(CF2291="D",1,0)+IF(CL2291="D",1,0)+IF(CM2291="D",1,0)+IF(CQ2291="D",1,0)+IF(CR2291="D",1,0)+IF(CS2291="D",1,0)+IF(CW2291="D",1,0)+IF(CX2291="D",1,0)+IF(DD2291="D",1,0)+IF(DE2291="D",1,0)+IF(DJ2291="D",1,0)+IF(DK2291="D",1,0)+IF(DO2291="D",1,0)+IF(DP2291="D",1,0)+IF(DQ2291="D",1,0)+IF(DW2291="D",1,0)+IF(DZ2291="D",1,0)+IF(EH2291="D",1,0)</f>
        <v>0</v>
      </c>
      <c r="AY2291" s="0" t="n">
        <f aca="false">COUNTIF(DU2291:EH2291, "&lt;&gt;")</f>
        <v>0</v>
      </c>
      <c r="AZ2291" s="0" t="n">
        <f aca="false">IF(EH2291&lt;&gt;"",1,0)</f>
        <v>0</v>
      </c>
      <c r="BB2291" s="0" t="s">
        <v>152</v>
      </c>
      <c r="DC2291" s="0" t="s">
        <v>153</v>
      </c>
    </row>
    <row r="2292" customFormat="false" ht="13.8" hidden="true" customHeight="false" outlineLevel="0" collapsed="false">
      <c r="A2292" s="0" t="s">
        <v>9969</v>
      </c>
      <c r="B2292" s="0" t="n">
        <v>78</v>
      </c>
      <c r="C2292" s="0" t="n">
        <v>431483</v>
      </c>
      <c r="D2292" s="0" t="s">
        <v>9970</v>
      </c>
      <c r="E2292" s="0" t="s">
        <v>987</v>
      </c>
      <c r="F2292" s="0" t="str">
        <f aca="false">CONCATENATE(D2292," ",LEFT(H2292,4),"T=",AU2292,"D=",AV2292,"R=",AW2292,"M=",AX2292,"L=",AY2292,"B=",AZ2292)</f>
        <v>MARKHAM T=1D=0R=0M=0L=0B=0</v>
      </c>
      <c r="I2292" s="0" t="s">
        <v>9971</v>
      </c>
      <c r="J2292" s="0" t="s">
        <v>9972</v>
      </c>
      <c r="K2292" s="0" t="s">
        <v>143</v>
      </c>
      <c r="M2292" s="0" t="s">
        <v>9973</v>
      </c>
      <c r="N2292" s="0" t="str">
        <f aca="false">RIGHT(M2292,LEN(M2292)-FIND(" ",M2292))</f>
        <v>WASHINGTON ST NE</v>
      </c>
      <c r="P2292" s="0" t="s">
        <v>145</v>
      </c>
      <c r="Q2292" s="0" t="s">
        <v>146</v>
      </c>
      <c r="R2292" s="0" t="n">
        <v>44483</v>
      </c>
      <c r="AD2292" s="0" t="s">
        <v>147</v>
      </c>
      <c r="AE2292" s="0" t="s">
        <v>148</v>
      </c>
      <c r="AF2292" s="0" t="s">
        <v>149</v>
      </c>
      <c r="AH2292" s="0" t="n">
        <v>14</v>
      </c>
      <c r="AI2292" s="0" t="n">
        <v>11</v>
      </c>
      <c r="AN2292" s="0" t="s">
        <v>145</v>
      </c>
      <c r="AO2292" s="0" t="s">
        <v>654</v>
      </c>
      <c r="AP2292" s="0" t="s">
        <v>655</v>
      </c>
      <c r="AQ2292" s="0" t="n">
        <v>9</v>
      </c>
      <c r="AR2292" s="0" t="n">
        <v>64</v>
      </c>
      <c r="AS2292" s="0" t="n">
        <v>32</v>
      </c>
      <c r="AU2292" s="0" t="n">
        <f aca="false">COUNTA($BA$1297:$EH$1297)</f>
        <v>1</v>
      </c>
      <c r="AV2292" s="0" t="n">
        <f aca="false">COUNTIF($BA$1297:$EH$1297,"D")</f>
        <v>0</v>
      </c>
      <c r="AW2292" s="0" t="n">
        <f aca="false">COUNTIF($BA$1297:$EH$1297,"R")</f>
        <v>0</v>
      </c>
      <c r="AX2292" s="0" t="n">
        <f aca="false">IF(BN2292="D",1,0)+IF(BO2292="D",1,0)+IF(BT2292="D",1,0)+IF(BU2292="D",1,0)+IF(BW2292="D",1,0)+IF(CC2292="D",1,0)+IF(CD2292="D",1,0)+IF(CE2292="D",1,0)+IF(CF2292="D",1,0)+IF(CL2292="D",1,0)+IF(CM2292="D",1,0)+IF(CQ2292="D",1,0)+IF(CR2292="D",1,0)+IF(CS2292="D",1,0)+IF(CW2292="D",1,0)+IF(CX2292="D",1,0)+IF(DD2292="D",1,0)+IF(DE2292="D",1,0)+IF(DJ2292="D",1,0)+IF(DK2292="D",1,0)+IF(DO2292="D",1,0)+IF(DP2292="D",1,0)+IF(DQ2292="D",1,0)+IF(DW2292="D",1,0)+IF(DZ2292="D",1,0)+IF(EH2292="D",1,0)</f>
        <v>0</v>
      </c>
      <c r="AY2292" s="0" t="n">
        <f aca="false">COUNTIF(DU2292:EH2292, "&lt;&gt;")</f>
        <v>0</v>
      </c>
      <c r="AZ2292" s="0" t="n">
        <f aca="false">IF(EH2292&lt;&gt;"",1,0)</f>
        <v>0</v>
      </c>
      <c r="BB2292" s="0" t="s">
        <v>152</v>
      </c>
      <c r="BD2292" s="0" t="s">
        <v>153</v>
      </c>
      <c r="BP2292" s="0" t="s">
        <v>153</v>
      </c>
      <c r="CA2292" s="0" t="s">
        <v>153</v>
      </c>
    </row>
    <row r="2293" customFormat="false" ht="13.8" hidden="true" customHeight="false" outlineLevel="0" collapsed="false">
      <c r="A2293" s="0" t="s">
        <v>9974</v>
      </c>
      <c r="B2293" s="0" t="n">
        <v>78</v>
      </c>
      <c r="C2293" s="0" t="n">
        <v>1496</v>
      </c>
      <c r="D2293" s="0" t="s">
        <v>9975</v>
      </c>
      <c r="E2293" s="0" t="s">
        <v>9976</v>
      </c>
      <c r="F2293" s="0" t="str">
        <f aca="false">CONCATENATE(D2293," ",LEFT(H2293,4),"T=",AU2293,"D=",AV2293,"R=",AW2293,"M=",AX2293,"L=",AY2293,"B=",AZ2293)</f>
        <v>BEHRENS T=2D=0R=0M=0L=0B=0</v>
      </c>
      <c r="G2293" s="0" t="s">
        <v>195</v>
      </c>
      <c r="I2293" s="0" t="s">
        <v>9977</v>
      </c>
      <c r="J2293" s="0" t="s">
        <v>9978</v>
      </c>
      <c r="K2293" s="0" t="s">
        <v>143</v>
      </c>
      <c r="M2293" s="0" t="s">
        <v>9979</v>
      </c>
      <c r="N2293" s="0" t="str">
        <f aca="false">RIGHT(M2293,LEN(M2293)-FIND(" ",M2293))</f>
        <v>WASHINGTON ST NE</v>
      </c>
      <c r="P2293" s="0" t="s">
        <v>145</v>
      </c>
      <c r="Q2293" s="0" t="s">
        <v>146</v>
      </c>
      <c r="R2293" s="0" t="n">
        <v>44483</v>
      </c>
      <c r="AD2293" s="0" t="s">
        <v>147</v>
      </c>
      <c r="AE2293" s="0" t="s">
        <v>148</v>
      </c>
      <c r="AF2293" s="0" t="s">
        <v>149</v>
      </c>
      <c r="AH2293" s="0" t="n">
        <v>14</v>
      </c>
      <c r="AI2293" s="0" t="n">
        <v>11</v>
      </c>
      <c r="AN2293" s="0" t="s">
        <v>145</v>
      </c>
      <c r="AO2293" s="0" t="s">
        <v>654</v>
      </c>
      <c r="AP2293" s="0" t="s">
        <v>655</v>
      </c>
      <c r="AQ2293" s="0" t="n">
        <v>9</v>
      </c>
      <c r="AR2293" s="0" t="n">
        <v>64</v>
      </c>
      <c r="AS2293" s="0" t="n">
        <v>32</v>
      </c>
      <c r="AU2293" s="0" t="n">
        <f aca="false">COUNTA($BA$1303:$EH$1303)</f>
        <v>2</v>
      </c>
      <c r="AV2293" s="0" t="n">
        <f aca="false">COUNTIF($BA$1303:$EH$1303,"D")</f>
        <v>0</v>
      </c>
      <c r="AW2293" s="0" t="n">
        <f aca="false">COUNTIF($BA$1303:$EH$1303,"R")</f>
        <v>0</v>
      </c>
      <c r="AX2293" s="0" t="n">
        <f aca="false">IF(BN2293="D",1,0)+IF(BO2293="D",1,0)+IF(BT2293="D",1,0)+IF(BU2293="D",1,0)+IF(BW2293="D",1,0)+IF(CC2293="D",1,0)+IF(CD2293="D",1,0)+IF(CE2293="D",1,0)+IF(CF2293="D",1,0)+IF(CL2293="D",1,0)+IF(CM2293="D",1,0)+IF(CQ2293="D",1,0)+IF(CR2293="D",1,0)+IF(CS2293="D",1,0)+IF(CW2293="D",1,0)+IF(CX2293="D",1,0)+IF(DD2293="D",1,0)+IF(DE2293="D",1,0)+IF(DJ2293="D",1,0)+IF(DK2293="D",1,0)+IF(DO2293="D",1,0)+IF(DP2293="D",1,0)+IF(DQ2293="D",1,0)+IF(DW2293="D",1,0)+IF(DZ2293="D",1,0)+IF(EH2293="D",1,0)</f>
        <v>0</v>
      </c>
      <c r="AY2293" s="0" t="n">
        <f aca="false">COUNTIF(DU2293:EH2293, "&lt;&gt;")</f>
        <v>0</v>
      </c>
      <c r="AZ2293" s="0" t="n">
        <f aca="false">IF(EH2293&lt;&gt;"",1,0)</f>
        <v>0</v>
      </c>
      <c r="BB2293" s="0" t="s">
        <v>152</v>
      </c>
      <c r="BC2293" s="0" t="s">
        <v>153</v>
      </c>
      <c r="BD2293" s="0" t="s">
        <v>153</v>
      </c>
      <c r="BE2293" s="0" t="s">
        <v>153</v>
      </c>
      <c r="BF2293" s="0" t="s">
        <v>153</v>
      </c>
      <c r="CG2293" s="0" t="s">
        <v>153</v>
      </c>
    </row>
    <row r="2294" customFormat="false" ht="13.8" hidden="false" customHeight="false" outlineLevel="0" collapsed="false">
      <c r="A2294" s="0" t="s">
        <v>9980</v>
      </c>
      <c r="B2294" s="0" t="n">
        <v>78</v>
      </c>
      <c r="C2294" s="0" t="n">
        <v>161953</v>
      </c>
      <c r="D2294" s="0" t="s">
        <v>9975</v>
      </c>
      <c r="E2294" s="0" t="s">
        <v>9981</v>
      </c>
      <c r="F2294" s="0" t="str">
        <f aca="false">CONCATENATE(D2294," ",LEFT(H2294,4),"T=",AU2294,"D=",AV2294,"R=",AW2294,"M=",AX2294,"L=",AY2294,"B=",AZ2294)</f>
        <v>BEHRENS T=36D=10R=0M=3L=7B=1</v>
      </c>
      <c r="G2294" s="0" t="s">
        <v>190</v>
      </c>
      <c r="I2294" s="0" t="s">
        <v>9982</v>
      </c>
      <c r="J2294" s="0" t="s">
        <v>9983</v>
      </c>
      <c r="K2294" s="0" t="s">
        <v>160</v>
      </c>
      <c r="L2294" s="0" t="s">
        <v>175</v>
      </c>
      <c r="M2294" s="0" t="s">
        <v>9979</v>
      </c>
      <c r="N2294" s="0" t="str">
        <f aca="false">RIGHT(M2294,LEN(M2294)-FIND(" ",M2294))</f>
        <v>WASHINGTON ST NE</v>
      </c>
      <c r="P2294" s="0" t="s">
        <v>145</v>
      </c>
      <c r="Q2294" s="0" t="s">
        <v>146</v>
      </c>
      <c r="R2294" s="0" t="n">
        <v>44483</v>
      </c>
      <c r="AD2294" s="0" t="s">
        <v>147</v>
      </c>
      <c r="AE2294" s="0" t="s">
        <v>148</v>
      </c>
      <c r="AF2294" s="0" t="s">
        <v>149</v>
      </c>
      <c r="AH2294" s="0" t="n">
        <v>14</v>
      </c>
      <c r="AI2294" s="0" t="n">
        <v>11</v>
      </c>
      <c r="AN2294" s="0" t="s">
        <v>145</v>
      </c>
      <c r="AO2294" s="0" t="s">
        <v>654</v>
      </c>
      <c r="AP2294" s="0" t="s">
        <v>655</v>
      </c>
      <c r="AQ2294" s="0" t="n">
        <v>9</v>
      </c>
      <c r="AR2294" s="0" t="n">
        <v>64</v>
      </c>
      <c r="AS2294" s="0" t="n">
        <v>32</v>
      </c>
      <c r="AU2294" s="0" t="n">
        <f aca="false">COUNTA($BA$1500:$EH$1500)</f>
        <v>36</v>
      </c>
      <c r="AV2294" s="0" t="n">
        <f aca="false">COUNTIF($BA$1500:$EH$1500,"D")</f>
        <v>10</v>
      </c>
      <c r="AW2294" s="0" t="n">
        <f aca="false">COUNTIF($BA$1500:$EH$1500,"R")</f>
        <v>0</v>
      </c>
      <c r="AX2294" s="0" t="n">
        <f aca="false">IF(BN2294="D",1,0)+IF(BO2294="D",1,0)+IF(BT2294="D",1,0)+IF(BU2294="D",1,0)+IF(BW2294="D",1,0)+IF(CC2294="D",1,0)+IF(CD2294="D",1,0)+IF(CE2294="D",1,0)+IF(CF2294="D",1,0)+IF(CL2294="D",1,0)+IF(CM2294="D",1,0)+IF(CQ2294="D",1,0)+IF(CR2294="D",1,0)+IF(CS2294="D",1,0)+IF(CW2294="D",1,0)+IF(CX2294="D",1,0)+IF(DD2294="D",1,0)+IF(DE2294="D",1,0)+IF(DJ2294="D",1,0)+IF(DK2294="D",1,0)+IF(DO2294="D",1,0)+IF(DP2294="D",1,0)+IF(DQ2294="D",1,0)+IF(DW2294="D",1,0)+IF(DZ2294="D",1,0)+IF(EH2294="D",1,0)</f>
        <v>3</v>
      </c>
      <c r="AY2294" s="0" t="n">
        <f aca="false">COUNTIF(DU2294:EH2294, "&lt;&gt;")</f>
        <v>7</v>
      </c>
      <c r="AZ2294" s="0" t="n">
        <f aca="false">IF(EH2294&lt;&gt;"",1,0)</f>
        <v>1</v>
      </c>
      <c r="BB2294" s="0" t="s">
        <v>152</v>
      </c>
      <c r="BC2294" s="0" t="s">
        <v>153</v>
      </c>
      <c r="BD2294" s="0" t="s">
        <v>153</v>
      </c>
      <c r="BE2294" s="0" t="s">
        <v>153</v>
      </c>
      <c r="BF2294" s="0" t="s">
        <v>153</v>
      </c>
      <c r="BG2294" s="0" t="s">
        <v>153</v>
      </c>
      <c r="BH2294" s="0" t="s">
        <v>153</v>
      </c>
      <c r="BJ2294" s="0" t="s">
        <v>153</v>
      </c>
      <c r="BK2294" s="0" t="s">
        <v>153</v>
      </c>
      <c r="BL2294" s="0" t="s">
        <v>153</v>
      </c>
      <c r="BP2294" s="0" t="s">
        <v>153</v>
      </c>
      <c r="BS2294" s="0" t="s">
        <v>153</v>
      </c>
      <c r="BY2294" s="0" t="s">
        <v>175</v>
      </c>
      <c r="CA2294" s="0" t="s">
        <v>153</v>
      </c>
      <c r="CG2294" s="0" t="s">
        <v>153</v>
      </c>
      <c r="CH2294" s="0" t="s">
        <v>175</v>
      </c>
      <c r="CK2294" s="0" t="s">
        <v>153</v>
      </c>
      <c r="CO2294" s="0" t="s">
        <v>209</v>
      </c>
      <c r="CP2294" s="0" t="s">
        <v>153</v>
      </c>
      <c r="CV2294" s="0" t="s">
        <v>153</v>
      </c>
      <c r="CY2294" s="0" t="s">
        <v>153</v>
      </c>
      <c r="CZ2294" s="0" t="s">
        <v>175</v>
      </c>
      <c r="DC2294" s="0" t="s">
        <v>153</v>
      </c>
      <c r="DD2294" s="0" t="s">
        <v>175</v>
      </c>
      <c r="DF2294" s="0" t="s">
        <v>153</v>
      </c>
      <c r="DG2294" s="0" t="s">
        <v>175</v>
      </c>
      <c r="DI2294" s="0" t="s">
        <v>153</v>
      </c>
      <c r="DL2294" s="0" t="s">
        <v>153</v>
      </c>
      <c r="DM2294" s="0" t="s">
        <v>175</v>
      </c>
      <c r="DN2294" s="0" t="s">
        <v>153</v>
      </c>
      <c r="DR2294" s="0" t="s">
        <v>153</v>
      </c>
      <c r="DS2294" s="0" t="s">
        <v>175</v>
      </c>
      <c r="DU2294" s="0" t="s">
        <v>153</v>
      </c>
      <c r="DW2294" s="0" t="s">
        <v>175</v>
      </c>
      <c r="DX2294" s="0" t="s">
        <v>153</v>
      </c>
      <c r="EA2294" s="0" t="s">
        <v>153</v>
      </c>
      <c r="ED2294" s="0" t="s">
        <v>175</v>
      </c>
      <c r="EF2294" s="0" t="s">
        <v>153</v>
      </c>
      <c r="EH2294" s="0" t="s">
        <v>175</v>
      </c>
    </row>
    <row r="2295" customFormat="false" ht="13.8" hidden="false" customHeight="false" outlineLevel="0" collapsed="false">
      <c r="A2295" s="0" t="s">
        <v>9984</v>
      </c>
      <c r="B2295" s="0" t="n">
        <v>78</v>
      </c>
      <c r="C2295" s="0" t="n">
        <v>415273</v>
      </c>
      <c r="D2295" s="0" t="s">
        <v>9985</v>
      </c>
      <c r="E2295" s="0" t="s">
        <v>2680</v>
      </c>
      <c r="F2295" s="0" t="str">
        <f aca="false">CONCATENATE(D2295," ",LEFT(H2295,4),"T=",AU2295,"D=",AV2295,"R=",AW2295,"M=",AX2295,"L=",AY2295,"B=",AZ2295)</f>
        <v>MILYAK T=2D=0R=0M=1L=4B=0</v>
      </c>
      <c r="G2295" s="0" t="s">
        <v>215</v>
      </c>
      <c r="I2295" s="0" t="s">
        <v>9986</v>
      </c>
      <c r="J2295" s="0" t="s">
        <v>9987</v>
      </c>
      <c r="K2295" s="0" t="s">
        <v>160</v>
      </c>
      <c r="M2295" s="0" t="s">
        <v>9988</v>
      </c>
      <c r="N2295" s="0" t="str">
        <f aca="false">RIGHT(M2295,LEN(M2295)-FIND(" ",M2295))</f>
        <v>WASHINGTON ST NE</v>
      </c>
      <c r="P2295" s="0" t="s">
        <v>145</v>
      </c>
      <c r="Q2295" s="0" t="s">
        <v>146</v>
      </c>
      <c r="R2295" s="0" t="n">
        <v>44483</v>
      </c>
      <c r="AD2295" s="0" t="s">
        <v>147</v>
      </c>
      <c r="AE2295" s="0" t="s">
        <v>148</v>
      </c>
      <c r="AF2295" s="0" t="s">
        <v>149</v>
      </c>
      <c r="AH2295" s="0" t="n">
        <v>14</v>
      </c>
      <c r="AI2295" s="0" t="n">
        <v>11</v>
      </c>
      <c r="AN2295" s="0" t="s">
        <v>145</v>
      </c>
      <c r="AO2295" s="0" t="s">
        <v>654</v>
      </c>
      <c r="AP2295" s="0" t="s">
        <v>655</v>
      </c>
      <c r="AQ2295" s="0" t="n">
        <v>9</v>
      </c>
      <c r="AR2295" s="0" t="n">
        <v>64</v>
      </c>
      <c r="AS2295" s="0" t="n">
        <v>32</v>
      </c>
      <c r="AU2295" s="0" t="n">
        <f aca="false">COUNTA($BA$1716:$EH$1716)</f>
        <v>2</v>
      </c>
      <c r="AV2295" s="0" t="n">
        <f aca="false">COUNTIF($BA$1716:$EH$1716,"D")</f>
        <v>0</v>
      </c>
      <c r="AW2295" s="0" t="n">
        <f aca="false">COUNTIF($BA$1716:$EH$1716,"R")</f>
        <v>0</v>
      </c>
      <c r="AX2295" s="0" t="n">
        <f aca="false">IF(BN2295="D",1,0)+IF(BO2295="D",1,0)+IF(BT2295="D",1,0)+IF(BU2295="D",1,0)+IF(BW2295="D",1,0)+IF(CC2295="D",1,0)+IF(CD2295="D",1,0)+IF(CE2295="D",1,0)+IF(CF2295="D",1,0)+IF(CL2295="D",1,0)+IF(CM2295="D",1,0)+IF(CQ2295="D",1,0)+IF(CR2295="D",1,0)+IF(CS2295="D",1,0)+IF(CW2295="D",1,0)+IF(CX2295="D",1,0)+IF(DD2295="D",1,0)+IF(DE2295="D",1,0)+IF(DJ2295="D",1,0)+IF(DK2295="D",1,0)+IF(DO2295="D",1,0)+IF(DP2295="D",1,0)+IF(DQ2295="D",1,0)+IF(DW2295="D",1,0)+IF(DZ2295="D",1,0)+IF(EH2295="D",1,0)</f>
        <v>1</v>
      </c>
      <c r="AY2295" s="0" t="n">
        <f aca="false">COUNTIF(DU2295:EH2295, "&lt;&gt;")</f>
        <v>4</v>
      </c>
      <c r="AZ2295" s="0" t="n">
        <f aca="false">IF(EH2295&lt;&gt;"",1,0)</f>
        <v>0</v>
      </c>
      <c r="BB2295" s="0" t="s">
        <v>152</v>
      </c>
      <c r="DC2295" s="0" t="s">
        <v>153</v>
      </c>
      <c r="DD2295" s="0" t="s">
        <v>175</v>
      </c>
      <c r="DL2295" s="0" t="s">
        <v>153</v>
      </c>
      <c r="DN2295" s="0" t="s">
        <v>153</v>
      </c>
      <c r="DU2295" s="0" t="s">
        <v>153</v>
      </c>
      <c r="DX2295" s="0" t="s">
        <v>153</v>
      </c>
      <c r="EA2295" s="0" t="s">
        <v>153</v>
      </c>
      <c r="EF2295" s="0" t="s">
        <v>153</v>
      </c>
    </row>
    <row r="2296" customFormat="false" ht="13.8" hidden="false" customHeight="false" outlineLevel="0" collapsed="false">
      <c r="A2296" s="0" t="s">
        <v>9989</v>
      </c>
      <c r="B2296" s="0" t="n">
        <v>78</v>
      </c>
      <c r="C2296" s="0" t="n">
        <v>325136</v>
      </c>
      <c r="D2296" s="0" t="s">
        <v>9985</v>
      </c>
      <c r="E2296" s="0" t="s">
        <v>3404</v>
      </c>
      <c r="F2296" s="0" t="str">
        <f aca="false">CONCATENATE(D2296," ",LEFT(H2296,4),"T=",AU2296,"D=",AV2296,"R=",AW2296,"M=",AX2296,"L=",AY2296,"B=",AZ2296)</f>
        <v>MILYAK T=10D=2R=0M=7L=7B=1</v>
      </c>
      <c r="G2296" s="0" t="s">
        <v>522</v>
      </c>
      <c r="I2296" s="0" t="s">
        <v>9990</v>
      </c>
      <c r="J2296" s="0" t="s">
        <v>9991</v>
      </c>
      <c r="K2296" s="0" t="s">
        <v>160</v>
      </c>
      <c r="L2296" s="0" t="s">
        <v>175</v>
      </c>
      <c r="M2296" s="0" t="s">
        <v>9988</v>
      </c>
      <c r="N2296" s="0" t="str">
        <f aca="false">RIGHT(M2296,LEN(M2296)-FIND(" ",M2296))</f>
        <v>WASHINGTON ST NE</v>
      </c>
      <c r="P2296" s="0" t="s">
        <v>145</v>
      </c>
      <c r="Q2296" s="0" t="s">
        <v>146</v>
      </c>
      <c r="R2296" s="0" t="n">
        <v>44483</v>
      </c>
      <c r="AD2296" s="0" t="s">
        <v>147</v>
      </c>
      <c r="AE2296" s="0" t="s">
        <v>148</v>
      </c>
      <c r="AF2296" s="0" t="s">
        <v>149</v>
      </c>
      <c r="AH2296" s="0" t="n">
        <v>14</v>
      </c>
      <c r="AI2296" s="0" t="n">
        <v>11</v>
      </c>
      <c r="AN2296" s="0" t="s">
        <v>145</v>
      </c>
      <c r="AO2296" s="0" t="s">
        <v>654</v>
      </c>
      <c r="AP2296" s="0" t="s">
        <v>655</v>
      </c>
      <c r="AQ2296" s="0" t="n">
        <v>9</v>
      </c>
      <c r="AR2296" s="0" t="n">
        <v>64</v>
      </c>
      <c r="AS2296" s="0" t="n">
        <v>32</v>
      </c>
      <c r="AU2296" s="0" t="n">
        <f aca="false">COUNTA($BA$1888:$EH$1888)</f>
        <v>10</v>
      </c>
      <c r="AV2296" s="0" t="n">
        <f aca="false">COUNTIF($BA$1888:$EH$1888,"D")</f>
        <v>2</v>
      </c>
      <c r="AW2296" s="0" t="n">
        <f aca="false">COUNTIF($BA$1888:$EH$1888,"R")</f>
        <v>0</v>
      </c>
      <c r="AX2296" s="0" t="n">
        <f aca="false">IF(BN2296="D",1,0)+IF(BO2296="D",1,0)+IF(BT2296="D",1,0)+IF(BU2296="D",1,0)+IF(BW2296="D",1,0)+IF(CC2296="D",1,0)+IF(CD2296="D",1,0)+IF(CE2296="D",1,0)+IF(CF2296="D",1,0)+IF(CL2296="D",1,0)+IF(CM2296="D",1,0)+IF(CQ2296="D",1,0)+IF(CR2296="D",1,0)+IF(CS2296="D",1,0)+IF(CW2296="D",1,0)+IF(CX2296="D",1,0)+IF(DD2296="D",1,0)+IF(DE2296="D",1,0)+IF(DJ2296="D",1,0)+IF(DK2296="D",1,0)+IF(DO2296="D",1,0)+IF(DP2296="D",1,0)+IF(DQ2296="D",1,0)+IF(DW2296="D",1,0)+IF(DZ2296="D",1,0)+IF(EH2296="D",1,0)</f>
        <v>7</v>
      </c>
      <c r="AY2296" s="0" t="n">
        <f aca="false">COUNTIF(DU2296:EH2296, "&lt;&gt;")</f>
        <v>7</v>
      </c>
      <c r="AZ2296" s="0" t="n">
        <f aca="false">IF(EH2296&lt;&gt;"",1,0)</f>
        <v>1</v>
      </c>
      <c r="BB2296" s="0" t="s">
        <v>152</v>
      </c>
      <c r="BL2296" s="0" t="s">
        <v>153</v>
      </c>
      <c r="BP2296" s="0" t="s">
        <v>153</v>
      </c>
      <c r="BR2296" s="0" t="s">
        <v>153</v>
      </c>
      <c r="BS2296" s="0" t="s">
        <v>153</v>
      </c>
      <c r="BV2296" s="0" t="s">
        <v>153</v>
      </c>
      <c r="BY2296" s="0" t="s">
        <v>175</v>
      </c>
      <c r="CA2296" s="0" t="s">
        <v>153</v>
      </c>
      <c r="CG2296" s="0" t="s">
        <v>153</v>
      </c>
      <c r="CH2296" s="0" t="s">
        <v>175</v>
      </c>
      <c r="CK2296" s="0" t="s">
        <v>153</v>
      </c>
      <c r="CL2296" s="0" t="s">
        <v>175</v>
      </c>
      <c r="CN2296" s="0" t="s">
        <v>153</v>
      </c>
      <c r="CO2296" s="0" t="s">
        <v>175</v>
      </c>
      <c r="CP2296" s="0" t="s">
        <v>153</v>
      </c>
      <c r="CQ2296" s="0" t="s">
        <v>175</v>
      </c>
      <c r="CT2296" s="0" t="s">
        <v>153</v>
      </c>
      <c r="CV2296" s="0" t="s">
        <v>153</v>
      </c>
      <c r="CW2296" s="0" t="s">
        <v>175</v>
      </c>
      <c r="CZ2296" s="0" t="s">
        <v>175</v>
      </c>
      <c r="DC2296" s="0" t="s">
        <v>153</v>
      </c>
      <c r="DD2296" s="0" t="s">
        <v>175</v>
      </c>
      <c r="DF2296" s="0" t="s">
        <v>153</v>
      </c>
      <c r="DG2296" s="0" t="s">
        <v>175</v>
      </c>
      <c r="DI2296" s="0" t="s">
        <v>153</v>
      </c>
      <c r="DJ2296" s="0" t="s">
        <v>175</v>
      </c>
      <c r="DL2296" s="0" t="s">
        <v>153</v>
      </c>
      <c r="DN2296" s="0" t="s">
        <v>153</v>
      </c>
      <c r="DR2296" s="0" t="s">
        <v>153</v>
      </c>
      <c r="DS2296" s="0" t="s">
        <v>175</v>
      </c>
      <c r="DT2296" s="0" t="s">
        <v>175</v>
      </c>
      <c r="DU2296" s="0" t="s">
        <v>153</v>
      </c>
      <c r="DW2296" s="0" t="s">
        <v>175</v>
      </c>
      <c r="DX2296" s="0" t="s">
        <v>153</v>
      </c>
      <c r="EA2296" s="0" t="s">
        <v>153</v>
      </c>
      <c r="ED2296" s="0" t="s">
        <v>175</v>
      </c>
      <c r="EF2296" s="0" t="s">
        <v>153</v>
      </c>
      <c r="EH2296" s="0" t="s">
        <v>175</v>
      </c>
    </row>
    <row r="2297" customFormat="false" ht="13.8" hidden="false" customHeight="false" outlineLevel="0" collapsed="false">
      <c r="A2297" s="0" t="s">
        <v>9992</v>
      </c>
      <c r="B2297" s="0" t="n">
        <v>78</v>
      </c>
      <c r="C2297" s="0" t="n">
        <v>176452</v>
      </c>
      <c r="D2297" s="0" t="s">
        <v>9993</v>
      </c>
      <c r="E2297" s="0" t="s">
        <v>3390</v>
      </c>
      <c r="F2297" s="0" t="str">
        <f aca="false">CONCATENATE(D2297," ",LEFT(H2297,4),"T=",AU2297,"D=",AV2297,"R=",AW2297,"M=",AX2297,"L=",AY2297,"B=",AZ2297)</f>
        <v>RAMEY T=1D=0R=0M=8L=7B=1</v>
      </c>
      <c r="G2297" s="0" t="s">
        <v>522</v>
      </c>
      <c r="I2297" s="0" t="s">
        <v>9994</v>
      </c>
      <c r="J2297" s="0" t="s">
        <v>495</v>
      </c>
      <c r="K2297" s="0" t="s">
        <v>160</v>
      </c>
      <c r="L2297" s="0" t="s">
        <v>175</v>
      </c>
      <c r="M2297" s="0" t="s">
        <v>9995</v>
      </c>
      <c r="N2297" s="0" t="str">
        <f aca="false">RIGHT(M2297,LEN(M2297)-FIND(" ",M2297))</f>
        <v>WASHINGTON ST NE</v>
      </c>
      <c r="P2297" s="0" t="s">
        <v>145</v>
      </c>
      <c r="Q2297" s="0" t="s">
        <v>146</v>
      </c>
      <c r="R2297" s="0" t="n">
        <v>44483</v>
      </c>
      <c r="AD2297" s="0" t="s">
        <v>147</v>
      </c>
      <c r="AE2297" s="0" t="s">
        <v>148</v>
      </c>
      <c r="AF2297" s="0" t="s">
        <v>149</v>
      </c>
      <c r="AH2297" s="0" t="n">
        <v>14</v>
      </c>
      <c r="AI2297" s="0" t="n">
        <v>11</v>
      </c>
      <c r="AN2297" s="0" t="s">
        <v>145</v>
      </c>
      <c r="AO2297" s="0" t="s">
        <v>654</v>
      </c>
      <c r="AP2297" s="0" t="s">
        <v>655</v>
      </c>
      <c r="AQ2297" s="0" t="n">
        <v>9</v>
      </c>
      <c r="AR2297" s="0" t="n">
        <v>64</v>
      </c>
      <c r="AS2297" s="0" t="n">
        <v>32</v>
      </c>
      <c r="AU2297" s="0" t="n">
        <f aca="false">COUNTA($BA$1434:$EH$1434)</f>
        <v>1</v>
      </c>
      <c r="AV2297" s="0" t="n">
        <f aca="false">COUNTIF($BA$1434:$EH$1434,"D")</f>
        <v>0</v>
      </c>
      <c r="AW2297" s="0" t="n">
        <f aca="false">COUNTIF($BA$1434:$EH$1434,"R")</f>
        <v>0</v>
      </c>
      <c r="AX2297" s="0" t="n">
        <f aca="false">IF(BN2297="D",1,0)+IF(BO2297="D",1,0)+IF(BT2297="D",1,0)+IF(BU2297="D",1,0)+IF(BW2297="D",1,0)+IF(CC2297="D",1,0)+IF(CD2297="D",1,0)+IF(CE2297="D",1,0)+IF(CF2297="D",1,0)+IF(CL2297="D",1,0)+IF(CM2297="D",1,0)+IF(CQ2297="D",1,0)+IF(CR2297="D",1,0)+IF(CS2297="D",1,0)+IF(CW2297="D",1,0)+IF(CX2297="D",1,0)+IF(DD2297="D",1,0)+IF(DE2297="D",1,0)+IF(DJ2297="D",1,0)+IF(DK2297="D",1,0)+IF(DO2297="D",1,0)+IF(DP2297="D",1,0)+IF(DQ2297="D",1,0)+IF(DW2297="D",1,0)+IF(DZ2297="D",1,0)+IF(EH2297="D",1,0)</f>
        <v>8</v>
      </c>
      <c r="AY2297" s="0" t="n">
        <f aca="false">COUNTIF(DU2297:EH2297, "&lt;&gt;")</f>
        <v>7</v>
      </c>
      <c r="AZ2297" s="0" t="n">
        <f aca="false">IF(EH2297&lt;&gt;"",1,0)</f>
        <v>1</v>
      </c>
      <c r="BB2297" s="0" t="s">
        <v>152</v>
      </c>
      <c r="BC2297" s="0" t="s">
        <v>153</v>
      </c>
      <c r="BD2297" s="0" t="s">
        <v>153</v>
      </c>
      <c r="BE2297" s="0" t="s">
        <v>153</v>
      </c>
      <c r="BF2297" s="0" t="s">
        <v>153</v>
      </c>
      <c r="BG2297" s="0" t="s">
        <v>153</v>
      </c>
      <c r="BH2297" s="0" t="s">
        <v>153</v>
      </c>
      <c r="BI2297" s="0" t="s">
        <v>153</v>
      </c>
      <c r="BJ2297" s="0" t="s">
        <v>153</v>
      </c>
      <c r="BK2297" s="0" t="s">
        <v>153</v>
      </c>
      <c r="BL2297" s="0" t="s">
        <v>153</v>
      </c>
      <c r="BP2297" s="0" t="s">
        <v>153</v>
      </c>
      <c r="BR2297" s="0" t="s">
        <v>153</v>
      </c>
      <c r="BS2297" s="0" t="s">
        <v>153</v>
      </c>
      <c r="BT2297" s="0" t="s">
        <v>153</v>
      </c>
      <c r="BV2297" s="0" t="s">
        <v>153</v>
      </c>
      <c r="BY2297" s="0" t="s">
        <v>175</v>
      </c>
      <c r="CA2297" s="0" t="s">
        <v>153</v>
      </c>
      <c r="CC2297" s="0" t="s">
        <v>175</v>
      </c>
      <c r="CG2297" s="0" t="s">
        <v>153</v>
      </c>
      <c r="CH2297" s="0" t="s">
        <v>175</v>
      </c>
      <c r="CK2297" s="0" t="s">
        <v>153</v>
      </c>
      <c r="CL2297" s="0" t="s">
        <v>175</v>
      </c>
      <c r="CN2297" s="0" t="s">
        <v>153</v>
      </c>
      <c r="CO2297" s="0" t="s">
        <v>175</v>
      </c>
      <c r="CP2297" s="0" t="s">
        <v>153</v>
      </c>
      <c r="CQ2297" s="0" t="s">
        <v>175</v>
      </c>
      <c r="CT2297" s="0" t="s">
        <v>153</v>
      </c>
      <c r="CU2297" s="0" t="s">
        <v>175</v>
      </c>
      <c r="CV2297" s="0" t="s">
        <v>153</v>
      </c>
      <c r="CW2297" s="0" t="s">
        <v>175</v>
      </c>
      <c r="CY2297" s="0" t="s">
        <v>153</v>
      </c>
      <c r="CZ2297" s="0" t="s">
        <v>175</v>
      </c>
      <c r="DC2297" s="0" t="s">
        <v>153</v>
      </c>
      <c r="DD2297" s="0" t="s">
        <v>175</v>
      </c>
      <c r="DF2297" s="0" t="s">
        <v>153</v>
      </c>
      <c r="DG2297" s="0" t="s">
        <v>175</v>
      </c>
      <c r="DI2297" s="0" t="s">
        <v>153</v>
      </c>
      <c r="DJ2297" s="0" t="s">
        <v>175</v>
      </c>
      <c r="DL2297" s="0" t="s">
        <v>153</v>
      </c>
      <c r="DM2297" s="0" t="s">
        <v>175</v>
      </c>
      <c r="DN2297" s="0" t="s">
        <v>153</v>
      </c>
      <c r="DR2297" s="0" t="s">
        <v>153</v>
      </c>
      <c r="DS2297" s="0" t="s">
        <v>175</v>
      </c>
      <c r="DT2297" s="0" t="s">
        <v>175</v>
      </c>
      <c r="DU2297" s="0" t="s">
        <v>153</v>
      </c>
      <c r="DW2297" s="0" t="s">
        <v>175</v>
      </c>
      <c r="DX2297" s="0" t="s">
        <v>153</v>
      </c>
      <c r="EA2297" s="0" t="s">
        <v>153</v>
      </c>
      <c r="ED2297" s="0" t="s">
        <v>175</v>
      </c>
      <c r="EF2297" s="0" t="s">
        <v>153</v>
      </c>
      <c r="EH2297" s="0" t="s">
        <v>175</v>
      </c>
    </row>
    <row r="2298" customFormat="false" ht="13.8" hidden="false" customHeight="false" outlineLevel="0" collapsed="false">
      <c r="A2298" s="0" t="s">
        <v>9996</v>
      </c>
      <c r="B2298" s="0" t="n">
        <v>78</v>
      </c>
      <c r="C2298" s="0" t="n">
        <v>176448</v>
      </c>
      <c r="D2298" s="0" t="s">
        <v>9993</v>
      </c>
      <c r="E2298" s="0" t="s">
        <v>3410</v>
      </c>
      <c r="F2298" s="0" t="str">
        <f aca="false">CONCATENATE(D2298," ",LEFT(H2298,4),"T=",AU2298,"D=",AV2298,"R=",AW2298,"M=",AX2298,"L=",AY2298,"B=",AZ2298)</f>
        <v>RAMEY T=1D=0R=0M=8L=7B=1</v>
      </c>
      <c r="G2298" s="0" t="s">
        <v>190</v>
      </c>
      <c r="I2298" s="0" t="s">
        <v>9997</v>
      </c>
      <c r="J2298" s="0" t="s">
        <v>495</v>
      </c>
      <c r="K2298" s="0" t="s">
        <v>160</v>
      </c>
      <c r="L2298" s="0" t="s">
        <v>175</v>
      </c>
      <c r="M2298" s="0" t="s">
        <v>9995</v>
      </c>
      <c r="N2298" s="0" t="str">
        <f aca="false">RIGHT(M2298,LEN(M2298)-FIND(" ",M2298))</f>
        <v>WASHINGTON ST NE</v>
      </c>
      <c r="P2298" s="0" t="s">
        <v>145</v>
      </c>
      <c r="Q2298" s="0" t="s">
        <v>146</v>
      </c>
      <c r="R2298" s="0" t="n">
        <v>44483</v>
      </c>
      <c r="AD2298" s="0" t="s">
        <v>147</v>
      </c>
      <c r="AE2298" s="0" t="s">
        <v>148</v>
      </c>
      <c r="AF2298" s="0" t="s">
        <v>149</v>
      </c>
      <c r="AH2298" s="0" t="n">
        <v>14</v>
      </c>
      <c r="AI2298" s="0" t="n">
        <v>11</v>
      </c>
      <c r="AN2298" s="0" t="s">
        <v>145</v>
      </c>
      <c r="AO2298" s="0" t="s">
        <v>654</v>
      </c>
      <c r="AP2298" s="0" t="s">
        <v>655</v>
      </c>
      <c r="AQ2298" s="0" t="n">
        <v>9</v>
      </c>
      <c r="AR2298" s="0" t="n">
        <v>64</v>
      </c>
      <c r="AS2298" s="0" t="n">
        <v>32</v>
      </c>
      <c r="AU2298" s="0" t="n">
        <f aca="false">COUNTA($BA$1474:$EH$1474)</f>
        <v>1</v>
      </c>
      <c r="AV2298" s="0" t="n">
        <f aca="false">COUNTIF($BA$1474:$EH$1474,"D")</f>
        <v>0</v>
      </c>
      <c r="AW2298" s="0" t="n">
        <f aca="false">COUNTIF($BA$1474:$EH$1474,"R")</f>
        <v>0</v>
      </c>
      <c r="AX2298" s="0" t="n">
        <f aca="false">IF(BN2298="D",1,0)+IF(BO2298="D",1,0)+IF(BT2298="D",1,0)+IF(BU2298="D",1,0)+IF(BW2298="D",1,0)+IF(CC2298="D",1,0)+IF(CD2298="D",1,0)+IF(CE2298="D",1,0)+IF(CF2298="D",1,0)+IF(CL2298="D",1,0)+IF(CM2298="D",1,0)+IF(CQ2298="D",1,0)+IF(CR2298="D",1,0)+IF(CS2298="D",1,0)+IF(CW2298="D",1,0)+IF(CX2298="D",1,0)+IF(DD2298="D",1,0)+IF(DE2298="D",1,0)+IF(DJ2298="D",1,0)+IF(DK2298="D",1,0)+IF(DO2298="D",1,0)+IF(DP2298="D",1,0)+IF(DQ2298="D",1,0)+IF(DW2298="D",1,0)+IF(DZ2298="D",1,0)+IF(EH2298="D",1,0)</f>
        <v>8</v>
      </c>
      <c r="AY2298" s="0" t="n">
        <f aca="false">COUNTIF(DU2298:EH2298, "&lt;&gt;")</f>
        <v>7</v>
      </c>
      <c r="AZ2298" s="0" t="n">
        <f aca="false">IF(EH2298&lt;&gt;"",1,0)</f>
        <v>1</v>
      </c>
      <c r="BB2298" s="0" t="s">
        <v>152</v>
      </c>
      <c r="BC2298" s="0" t="s">
        <v>153</v>
      </c>
      <c r="BD2298" s="0" t="s">
        <v>153</v>
      </c>
      <c r="BE2298" s="0" t="s">
        <v>153</v>
      </c>
      <c r="BF2298" s="0" t="s">
        <v>153</v>
      </c>
      <c r="BG2298" s="0" t="s">
        <v>153</v>
      </c>
      <c r="BH2298" s="0" t="s">
        <v>153</v>
      </c>
      <c r="BI2298" s="0" t="s">
        <v>153</v>
      </c>
      <c r="BJ2298" s="0" t="s">
        <v>153</v>
      </c>
      <c r="BK2298" s="0" t="s">
        <v>153</v>
      </c>
      <c r="BL2298" s="0" t="s">
        <v>153</v>
      </c>
      <c r="BP2298" s="0" t="s">
        <v>153</v>
      </c>
      <c r="BR2298" s="0" t="s">
        <v>153</v>
      </c>
      <c r="BS2298" s="0" t="s">
        <v>153</v>
      </c>
      <c r="BT2298" s="0" t="s">
        <v>153</v>
      </c>
      <c r="BV2298" s="0" t="s">
        <v>153</v>
      </c>
      <c r="BY2298" s="0" t="s">
        <v>175</v>
      </c>
      <c r="CA2298" s="0" t="s">
        <v>153</v>
      </c>
      <c r="CC2298" s="0" t="s">
        <v>175</v>
      </c>
      <c r="CG2298" s="0" t="s">
        <v>153</v>
      </c>
      <c r="CH2298" s="0" t="s">
        <v>175</v>
      </c>
      <c r="CK2298" s="0" t="s">
        <v>153</v>
      </c>
      <c r="CL2298" s="0" t="s">
        <v>175</v>
      </c>
      <c r="CN2298" s="0" t="s">
        <v>153</v>
      </c>
      <c r="CO2298" s="0" t="s">
        <v>175</v>
      </c>
      <c r="CP2298" s="0" t="s">
        <v>153</v>
      </c>
      <c r="CQ2298" s="0" t="s">
        <v>175</v>
      </c>
      <c r="CT2298" s="0" t="s">
        <v>153</v>
      </c>
      <c r="CU2298" s="0" t="s">
        <v>175</v>
      </c>
      <c r="CV2298" s="0" t="s">
        <v>153</v>
      </c>
      <c r="CW2298" s="0" t="s">
        <v>175</v>
      </c>
      <c r="CY2298" s="0" t="s">
        <v>153</v>
      </c>
      <c r="CZ2298" s="0" t="s">
        <v>175</v>
      </c>
      <c r="DC2298" s="0" t="s">
        <v>153</v>
      </c>
      <c r="DD2298" s="0" t="s">
        <v>175</v>
      </c>
      <c r="DF2298" s="0" t="s">
        <v>153</v>
      </c>
      <c r="DG2298" s="0" t="s">
        <v>175</v>
      </c>
      <c r="DI2298" s="0" t="s">
        <v>153</v>
      </c>
      <c r="DJ2298" s="0" t="s">
        <v>175</v>
      </c>
      <c r="DL2298" s="0" t="s">
        <v>153</v>
      </c>
      <c r="DM2298" s="0" t="s">
        <v>175</v>
      </c>
      <c r="DN2298" s="0" t="s">
        <v>153</v>
      </c>
      <c r="DR2298" s="0" t="s">
        <v>153</v>
      </c>
      <c r="DS2298" s="0" t="s">
        <v>175</v>
      </c>
      <c r="DU2298" s="0" t="s">
        <v>153</v>
      </c>
      <c r="DW2298" s="0" t="s">
        <v>175</v>
      </c>
      <c r="DX2298" s="0" t="s">
        <v>153</v>
      </c>
      <c r="EA2298" s="0" t="s">
        <v>153</v>
      </c>
      <c r="ED2298" s="0" t="s">
        <v>175</v>
      </c>
      <c r="EF2298" s="0" t="s">
        <v>153</v>
      </c>
      <c r="EH2298" s="0" t="s">
        <v>175</v>
      </c>
    </row>
    <row r="2299" customFormat="false" ht="13.8" hidden="true" customHeight="false" outlineLevel="0" collapsed="false">
      <c r="A2299" s="0" t="s">
        <v>9998</v>
      </c>
      <c r="B2299" s="0" t="n">
        <v>78</v>
      </c>
      <c r="C2299" s="0" t="n">
        <v>438604</v>
      </c>
      <c r="D2299" s="0" t="s">
        <v>9999</v>
      </c>
      <c r="E2299" s="0" t="s">
        <v>10000</v>
      </c>
      <c r="F2299" s="0" t="str">
        <f aca="false">CONCATENATE(D2299," ",LEFT(H2299,4),"T=",AU2299,"D=",AV2299,"R=",AW2299,"M=",AX2299,"L=",AY2299,"B=",AZ2299)</f>
        <v>MINETT T=2D=0R=0M=0L=1B=0</v>
      </c>
      <c r="G2299" s="0" t="s">
        <v>209</v>
      </c>
      <c r="I2299" s="0" t="s">
        <v>10001</v>
      </c>
      <c r="J2299" s="0" t="s">
        <v>404</v>
      </c>
      <c r="K2299" s="0" t="s">
        <v>160</v>
      </c>
      <c r="M2299" s="0" t="s">
        <v>10002</v>
      </c>
      <c r="N2299" s="0" t="str">
        <f aca="false">RIGHT(M2299,LEN(M2299)-FIND(" ",M2299))</f>
        <v>WASHINGTON ST NE</v>
      </c>
      <c r="P2299" s="0" t="s">
        <v>145</v>
      </c>
      <c r="Q2299" s="0" t="s">
        <v>146</v>
      </c>
      <c r="R2299" s="0" t="n">
        <v>44483</v>
      </c>
      <c r="AD2299" s="0" t="s">
        <v>147</v>
      </c>
      <c r="AE2299" s="0" t="s">
        <v>148</v>
      </c>
      <c r="AF2299" s="0" t="s">
        <v>149</v>
      </c>
      <c r="AH2299" s="0" t="n">
        <v>14</v>
      </c>
      <c r="AI2299" s="0" t="n">
        <v>11</v>
      </c>
      <c r="AN2299" s="0" t="s">
        <v>145</v>
      </c>
      <c r="AO2299" s="0" t="s">
        <v>654</v>
      </c>
      <c r="AP2299" s="0" t="s">
        <v>655</v>
      </c>
      <c r="AQ2299" s="0" t="n">
        <v>9</v>
      </c>
      <c r="AR2299" s="0" t="n">
        <v>64</v>
      </c>
      <c r="AS2299" s="0" t="n">
        <v>32</v>
      </c>
      <c r="AU2299" s="0" t="n">
        <f aca="false">COUNTA($BA$1148:$EH$1148)</f>
        <v>2</v>
      </c>
      <c r="AV2299" s="0" t="n">
        <f aca="false">COUNTIF($BA$1148:$EH$1148,"D")</f>
        <v>0</v>
      </c>
      <c r="AW2299" s="0" t="n">
        <f aca="false">COUNTIF($BA$1148:$EH$1148,"R")</f>
        <v>0</v>
      </c>
      <c r="AX2299" s="0" t="n">
        <f aca="false">IF(BN2299="D",1,0)+IF(BO2299="D",1,0)+IF(BT2299="D",1,0)+IF(BU2299="D",1,0)+IF(BW2299="D",1,0)+IF(CC2299="D",1,0)+IF(CD2299="D",1,0)+IF(CE2299="D",1,0)+IF(CF2299="D",1,0)+IF(CL2299="D",1,0)+IF(CM2299="D",1,0)+IF(CQ2299="D",1,0)+IF(CR2299="D",1,0)+IF(CS2299="D",1,0)+IF(CW2299="D",1,0)+IF(CX2299="D",1,0)+IF(DD2299="D",1,0)+IF(DE2299="D",1,0)+IF(DJ2299="D",1,0)+IF(DK2299="D",1,0)+IF(DO2299="D",1,0)+IF(DP2299="D",1,0)+IF(DQ2299="D",1,0)+IF(DW2299="D",1,0)+IF(DZ2299="D",1,0)+IF(EH2299="D",1,0)</f>
        <v>0</v>
      </c>
      <c r="AY2299" s="0" t="n">
        <f aca="false">COUNTIF(DU2299:EH2299, "&lt;&gt;")</f>
        <v>1</v>
      </c>
      <c r="AZ2299" s="0" t="n">
        <f aca="false">IF(EH2299&lt;&gt;"",1,0)</f>
        <v>0</v>
      </c>
      <c r="BB2299" s="0" t="s">
        <v>152</v>
      </c>
      <c r="DN2299" s="0" t="s">
        <v>153</v>
      </c>
      <c r="EF2299" s="0" t="s">
        <v>153</v>
      </c>
    </row>
    <row r="2300" customFormat="false" ht="13.8" hidden="true" customHeight="false" outlineLevel="0" collapsed="false">
      <c r="A2300" s="0" t="s">
        <v>10003</v>
      </c>
      <c r="B2300" s="0" t="n">
        <v>78</v>
      </c>
      <c r="C2300" s="0" t="n">
        <v>317655</v>
      </c>
      <c r="D2300" s="0" t="s">
        <v>1936</v>
      </c>
      <c r="E2300" s="0" t="s">
        <v>789</v>
      </c>
      <c r="F2300" s="0" t="str">
        <f aca="false">CONCATENATE(D2300," ",LEFT(H2300,4),"T=",AU2300,"D=",AV2300,"R=",AW2300,"M=",AX2300,"L=",AY2300,"B=",AZ2300)</f>
        <v>CAMPBELL T=1D=0R=0M=0L=0B=0</v>
      </c>
      <c r="G2300" s="0" t="s">
        <v>255</v>
      </c>
      <c r="I2300" s="0" t="s">
        <v>10004</v>
      </c>
      <c r="J2300" s="0" t="s">
        <v>3770</v>
      </c>
      <c r="K2300" s="0" t="s">
        <v>160</v>
      </c>
      <c r="M2300" s="0" t="s">
        <v>10002</v>
      </c>
      <c r="N2300" s="0" t="str">
        <f aca="false">RIGHT(M2300,LEN(M2300)-FIND(" ",M2300))</f>
        <v>WASHINGTON ST NE</v>
      </c>
      <c r="P2300" s="0" t="s">
        <v>145</v>
      </c>
      <c r="Q2300" s="0" t="s">
        <v>146</v>
      </c>
      <c r="R2300" s="0" t="n">
        <v>44483</v>
      </c>
      <c r="AD2300" s="0" t="s">
        <v>147</v>
      </c>
      <c r="AE2300" s="0" t="s">
        <v>148</v>
      </c>
      <c r="AF2300" s="0" t="s">
        <v>149</v>
      </c>
      <c r="AH2300" s="0" t="n">
        <v>14</v>
      </c>
      <c r="AI2300" s="0" t="n">
        <v>11</v>
      </c>
      <c r="AN2300" s="0" t="s">
        <v>145</v>
      </c>
      <c r="AO2300" s="0" t="s">
        <v>654</v>
      </c>
      <c r="AP2300" s="0" t="s">
        <v>655</v>
      </c>
      <c r="AQ2300" s="0" t="n">
        <v>9</v>
      </c>
      <c r="AR2300" s="0" t="n">
        <v>64</v>
      </c>
      <c r="AS2300" s="0" t="n">
        <v>32</v>
      </c>
      <c r="AU2300" s="0" t="n">
        <f aca="false">COUNTA($BA$1361:$EH$1361)</f>
        <v>1</v>
      </c>
      <c r="AV2300" s="0" t="n">
        <f aca="false">COUNTIF($BA$1361:$EH$1361,"D")</f>
        <v>0</v>
      </c>
      <c r="AW2300" s="0" t="n">
        <f aca="false">COUNTIF($BA$1361:$EH$1361,"R")</f>
        <v>0</v>
      </c>
      <c r="AX2300" s="0" t="n">
        <f aca="false">IF(BN2300="D",1,0)+IF(BO2300="D",1,0)+IF(BT2300="D",1,0)+IF(BU2300="D",1,0)+IF(BW2300="D",1,0)+IF(CC2300="D",1,0)+IF(CD2300="D",1,0)+IF(CE2300="D",1,0)+IF(CF2300="D",1,0)+IF(CL2300="D",1,0)+IF(CM2300="D",1,0)+IF(CQ2300="D",1,0)+IF(CR2300="D",1,0)+IF(CS2300="D",1,0)+IF(CW2300="D",1,0)+IF(CX2300="D",1,0)+IF(DD2300="D",1,0)+IF(DE2300="D",1,0)+IF(DJ2300="D",1,0)+IF(DK2300="D",1,0)+IF(DO2300="D",1,0)+IF(DP2300="D",1,0)+IF(DQ2300="D",1,0)+IF(DW2300="D",1,0)+IF(DZ2300="D",1,0)+IF(EH2300="D",1,0)</f>
        <v>0</v>
      </c>
      <c r="AY2300" s="0" t="n">
        <f aca="false">COUNTIF(DU2300:EH2300, "&lt;&gt;")</f>
        <v>0</v>
      </c>
      <c r="AZ2300" s="0" t="n">
        <f aca="false">IF(EH2300&lt;&gt;"",1,0)</f>
        <v>0</v>
      </c>
      <c r="BB2300" s="0" t="s">
        <v>152</v>
      </c>
      <c r="BL2300" s="0" t="s">
        <v>153</v>
      </c>
      <c r="CA2300" s="0" t="s">
        <v>153</v>
      </c>
      <c r="CY2300" s="0" t="s">
        <v>153</v>
      </c>
      <c r="DC2300" s="0" t="s">
        <v>153</v>
      </c>
    </row>
    <row r="2301" customFormat="false" ht="13.8" hidden="true" customHeight="false" outlineLevel="0" collapsed="false">
      <c r="A2301" s="0" t="s">
        <v>10005</v>
      </c>
      <c r="B2301" s="0" t="n">
        <v>78</v>
      </c>
      <c r="C2301" s="0" t="n">
        <v>484886</v>
      </c>
      <c r="D2301" s="0" t="s">
        <v>10006</v>
      </c>
      <c r="E2301" s="0" t="s">
        <v>10007</v>
      </c>
      <c r="F2301" s="0" t="str">
        <f aca="false">CONCATENATE(D2301," ",LEFT(H2301,4),"T=",AU2301,"D=",AV2301,"R=",AW2301,"M=",AX2301,"L=",AY2301,"B=",AZ2301)</f>
        <v>RIEDMAN T=38D=5R=0M=0L=1B=0</v>
      </c>
      <c r="G2301" s="0" t="s">
        <v>10008</v>
      </c>
      <c r="I2301" s="0" t="s">
        <v>10009</v>
      </c>
      <c r="J2301" s="0" t="s">
        <v>7237</v>
      </c>
      <c r="K2301" s="0" t="s">
        <v>160</v>
      </c>
      <c r="M2301" s="0" t="s">
        <v>10002</v>
      </c>
      <c r="N2301" s="0" t="str">
        <f aca="false">RIGHT(M2301,LEN(M2301)-FIND(" ",M2301))</f>
        <v>WASHINGTON ST NE</v>
      </c>
      <c r="P2301" s="0" t="s">
        <v>145</v>
      </c>
      <c r="Q2301" s="0" t="s">
        <v>146</v>
      </c>
      <c r="R2301" s="0" t="n">
        <v>44483</v>
      </c>
      <c r="AD2301" s="0" t="s">
        <v>147</v>
      </c>
      <c r="AE2301" s="0" t="s">
        <v>148</v>
      </c>
      <c r="AF2301" s="0" t="s">
        <v>149</v>
      </c>
      <c r="AH2301" s="0" t="n">
        <v>14</v>
      </c>
      <c r="AI2301" s="0" t="n">
        <v>11</v>
      </c>
      <c r="AN2301" s="0" t="s">
        <v>145</v>
      </c>
      <c r="AO2301" s="0" t="s">
        <v>654</v>
      </c>
      <c r="AP2301" s="0" t="s">
        <v>655</v>
      </c>
      <c r="AQ2301" s="0" t="n">
        <v>9</v>
      </c>
      <c r="AR2301" s="0" t="n">
        <v>64</v>
      </c>
      <c r="AS2301" s="0" t="n">
        <v>32</v>
      </c>
      <c r="AU2301" s="0" t="n">
        <f aca="false">COUNTA($BA$1813:$EH$1813)</f>
        <v>38</v>
      </c>
      <c r="AV2301" s="0" t="n">
        <f aca="false">COUNTIF($BA$1813:$EH$1813,"D")</f>
        <v>5</v>
      </c>
      <c r="AW2301" s="0" t="n">
        <f aca="false">COUNTIF($BA$1813:$EH$1813,"R")</f>
        <v>0</v>
      </c>
      <c r="AX2301" s="0" t="n">
        <f aca="false">IF(BN2301="D",1,0)+IF(BO2301="D",1,0)+IF(BT2301="D",1,0)+IF(BU2301="D",1,0)+IF(BW2301="D",1,0)+IF(CC2301="D",1,0)+IF(CD2301="D",1,0)+IF(CE2301="D",1,0)+IF(CF2301="D",1,0)+IF(CL2301="D",1,0)+IF(CM2301="D",1,0)+IF(CQ2301="D",1,0)+IF(CR2301="D",1,0)+IF(CS2301="D",1,0)+IF(CW2301="D",1,0)+IF(CX2301="D",1,0)+IF(DD2301="D",1,0)+IF(DE2301="D",1,0)+IF(DJ2301="D",1,0)+IF(DK2301="D",1,0)+IF(DO2301="D",1,0)+IF(DP2301="D",1,0)+IF(DQ2301="D",1,0)+IF(DW2301="D",1,0)+IF(DZ2301="D",1,0)+IF(EH2301="D",1,0)</f>
        <v>0</v>
      </c>
      <c r="AY2301" s="0" t="n">
        <f aca="false">COUNTIF(DU2301:EH2301, "&lt;&gt;")</f>
        <v>1</v>
      </c>
      <c r="AZ2301" s="0" t="n">
        <f aca="false">IF(EH2301&lt;&gt;"",1,0)</f>
        <v>0</v>
      </c>
      <c r="BB2301" s="0" t="s">
        <v>152</v>
      </c>
      <c r="EF2301" s="0" t="s">
        <v>153</v>
      </c>
    </row>
    <row r="2302" customFormat="false" ht="13.8" hidden="true" customHeight="false" outlineLevel="0" collapsed="false">
      <c r="A2302" s="0" t="s">
        <v>10010</v>
      </c>
      <c r="B2302" s="0" t="n">
        <v>78</v>
      </c>
      <c r="C2302" s="0" t="n">
        <v>476622</v>
      </c>
      <c r="D2302" s="0" t="s">
        <v>1936</v>
      </c>
      <c r="E2302" s="0" t="s">
        <v>10011</v>
      </c>
      <c r="F2302" s="0" t="str">
        <f aca="false">CONCATENATE(D2302," ",LEFT(H2302,4),"T=",AU2302,"D=",AV2302,"R=",AW2302,"M=",AX2302,"L=",AY2302,"B=",AZ2302)</f>
        <v>CAMPBELL T=5D=0R=0M=0L=1B=0</v>
      </c>
      <c r="G2302" s="0" t="s">
        <v>10012</v>
      </c>
      <c r="I2302" s="0" t="s">
        <v>10013</v>
      </c>
      <c r="J2302" s="0" t="s">
        <v>2152</v>
      </c>
      <c r="K2302" s="0" t="s">
        <v>160</v>
      </c>
      <c r="M2302" s="0" t="s">
        <v>10002</v>
      </c>
      <c r="N2302" s="0" t="str">
        <f aca="false">RIGHT(M2302,LEN(M2302)-FIND(" ",M2302))</f>
        <v>WASHINGTON ST NE</v>
      </c>
      <c r="P2302" s="0" t="s">
        <v>145</v>
      </c>
      <c r="Q2302" s="0" t="s">
        <v>146</v>
      </c>
      <c r="R2302" s="0" t="n">
        <v>44483</v>
      </c>
      <c r="AD2302" s="0" t="s">
        <v>147</v>
      </c>
      <c r="AE2302" s="0" t="s">
        <v>148</v>
      </c>
      <c r="AF2302" s="0" t="s">
        <v>149</v>
      </c>
      <c r="AH2302" s="0" t="n">
        <v>14</v>
      </c>
      <c r="AI2302" s="0" t="n">
        <v>11</v>
      </c>
      <c r="AN2302" s="0" t="s">
        <v>145</v>
      </c>
      <c r="AO2302" s="0" t="s">
        <v>654</v>
      </c>
      <c r="AP2302" s="0" t="s">
        <v>655</v>
      </c>
      <c r="AQ2302" s="0" t="n">
        <v>9</v>
      </c>
      <c r="AR2302" s="0" t="n">
        <v>64</v>
      </c>
      <c r="AS2302" s="0" t="n">
        <v>32</v>
      </c>
      <c r="AU2302" s="0" t="n">
        <f aca="false">COUNTA($BA$1828:$EH$1828)</f>
        <v>5</v>
      </c>
      <c r="AV2302" s="0" t="n">
        <f aca="false">COUNTIF($BA$1828:$EH$1828,"D")</f>
        <v>0</v>
      </c>
      <c r="AW2302" s="0" t="n">
        <f aca="false">COUNTIF($BA$1828:$EH$1828,"R")</f>
        <v>0</v>
      </c>
      <c r="AX2302" s="0" t="n">
        <f aca="false">IF(BN2302="D",1,0)+IF(BO2302="D",1,0)+IF(BT2302="D",1,0)+IF(BU2302="D",1,0)+IF(BW2302="D",1,0)+IF(CC2302="D",1,0)+IF(CD2302="D",1,0)+IF(CE2302="D",1,0)+IF(CF2302="D",1,0)+IF(CL2302="D",1,0)+IF(CM2302="D",1,0)+IF(CQ2302="D",1,0)+IF(CR2302="D",1,0)+IF(CS2302="D",1,0)+IF(CW2302="D",1,0)+IF(CX2302="D",1,0)+IF(DD2302="D",1,0)+IF(DE2302="D",1,0)+IF(DJ2302="D",1,0)+IF(DK2302="D",1,0)+IF(DO2302="D",1,0)+IF(DP2302="D",1,0)+IF(DQ2302="D",1,0)+IF(DW2302="D",1,0)+IF(DZ2302="D",1,0)+IF(EH2302="D",1,0)</f>
        <v>0</v>
      </c>
      <c r="AY2302" s="0" t="n">
        <f aca="false">COUNTIF(DU2302:EH2302, "&lt;&gt;")</f>
        <v>1</v>
      </c>
      <c r="AZ2302" s="0" t="n">
        <f aca="false">IF(EH2302&lt;&gt;"",1,0)</f>
        <v>0</v>
      </c>
      <c r="BB2302" s="0" t="s">
        <v>152</v>
      </c>
      <c r="EF2302" s="0" t="s">
        <v>153</v>
      </c>
    </row>
    <row r="2303" customFormat="false" ht="13.8" hidden="false" customHeight="false" outlineLevel="0" collapsed="false">
      <c r="A2303" s="0" t="s">
        <v>10014</v>
      </c>
      <c r="B2303" s="0" t="n">
        <v>78</v>
      </c>
      <c r="C2303" s="0" t="n">
        <v>445497</v>
      </c>
      <c r="D2303" s="0" t="s">
        <v>3620</v>
      </c>
      <c r="E2303" s="0" t="s">
        <v>6590</v>
      </c>
      <c r="F2303" s="0" t="str">
        <f aca="false">CONCATENATE(D2303," ",LEFT(H2303,4),"T=",AU2303,"D=",AV2303,"R=",AW2303,"M=",AX2303,"L=",AY2303,"B=",AZ2303)</f>
        <v>SHANNON T=1D=0R=0M=0L=2B=0</v>
      </c>
      <c r="G2303" s="0" t="s">
        <v>195</v>
      </c>
      <c r="I2303" s="0" t="s">
        <v>10015</v>
      </c>
      <c r="J2303" s="0" t="s">
        <v>5094</v>
      </c>
      <c r="K2303" s="0" t="s">
        <v>160</v>
      </c>
      <c r="M2303" s="0" t="s">
        <v>10016</v>
      </c>
      <c r="N2303" s="0" t="str">
        <f aca="false">RIGHT(M2303,LEN(M2303)-FIND(" ",M2303))</f>
        <v>WASHINGTON ST NE</v>
      </c>
      <c r="P2303" s="0" t="s">
        <v>145</v>
      </c>
      <c r="Q2303" s="0" t="s">
        <v>146</v>
      </c>
      <c r="R2303" s="0" t="n">
        <v>44483</v>
      </c>
      <c r="AD2303" s="0" t="s">
        <v>147</v>
      </c>
      <c r="AE2303" s="0" t="s">
        <v>148</v>
      </c>
      <c r="AF2303" s="0" t="s">
        <v>149</v>
      </c>
      <c r="AH2303" s="0" t="n">
        <v>14</v>
      </c>
      <c r="AI2303" s="0" t="n">
        <v>11</v>
      </c>
      <c r="AN2303" s="0" t="s">
        <v>145</v>
      </c>
      <c r="AO2303" s="0" t="s">
        <v>654</v>
      </c>
      <c r="AP2303" s="0" t="s">
        <v>655</v>
      </c>
      <c r="AQ2303" s="0" t="n">
        <v>9</v>
      </c>
      <c r="AR2303" s="0" t="n">
        <v>64</v>
      </c>
      <c r="AS2303" s="0" t="n">
        <v>32</v>
      </c>
      <c r="AU2303" s="0" t="n">
        <f aca="false">COUNTA($BA$1913:$EH$1913)</f>
        <v>1</v>
      </c>
      <c r="AV2303" s="0" t="n">
        <f aca="false">COUNTIF($BA$1913:$EH$1913,"D")</f>
        <v>0</v>
      </c>
      <c r="AW2303" s="0" t="n">
        <f aca="false">COUNTIF($BA$1913:$EH$1913,"R")</f>
        <v>0</v>
      </c>
      <c r="AX2303" s="0" t="n">
        <f aca="false">IF(BN2303="D",1,0)+IF(BO2303="D",1,0)+IF(BT2303="D",1,0)+IF(BU2303="D",1,0)+IF(BW2303="D",1,0)+IF(CC2303="D",1,0)+IF(CD2303="D",1,0)+IF(CE2303="D",1,0)+IF(CF2303="D",1,0)+IF(CL2303="D",1,0)+IF(CM2303="D",1,0)+IF(CQ2303="D",1,0)+IF(CR2303="D",1,0)+IF(CS2303="D",1,0)+IF(CW2303="D",1,0)+IF(CX2303="D",1,0)+IF(DD2303="D",1,0)+IF(DE2303="D",1,0)+IF(DJ2303="D",1,0)+IF(DK2303="D",1,0)+IF(DO2303="D",1,0)+IF(DP2303="D",1,0)+IF(DQ2303="D",1,0)+IF(DW2303="D",1,0)+IF(DZ2303="D",1,0)+IF(EH2303="D",1,0)</f>
        <v>0</v>
      </c>
      <c r="AY2303" s="0" t="n">
        <f aca="false">COUNTIF(DU2303:EH2303, "&lt;&gt;")</f>
        <v>2</v>
      </c>
      <c r="AZ2303" s="0" t="n">
        <f aca="false">IF(EH2303&lt;&gt;"",1,0)</f>
        <v>0</v>
      </c>
      <c r="BB2303" s="0" t="s">
        <v>152</v>
      </c>
      <c r="DC2303" s="0" t="s">
        <v>153</v>
      </c>
      <c r="DN2303" s="0" t="s">
        <v>153</v>
      </c>
      <c r="EA2303" s="0" t="s">
        <v>153</v>
      </c>
      <c r="EF2303" s="0" t="s">
        <v>153</v>
      </c>
    </row>
    <row r="2304" customFormat="false" ht="13.8" hidden="true" customHeight="false" outlineLevel="0" collapsed="false">
      <c r="A2304" s="0" t="s">
        <v>10017</v>
      </c>
      <c r="B2304" s="0" t="n">
        <v>78</v>
      </c>
      <c r="C2304" s="0" t="n">
        <v>468253</v>
      </c>
      <c r="D2304" s="0" t="s">
        <v>10018</v>
      </c>
      <c r="E2304" s="0" t="s">
        <v>10019</v>
      </c>
      <c r="F2304" s="0" t="str">
        <f aca="false">CONCATENATE(D2304," ",LEFT(H2304,4),"T=",AU2304,"D=",AV2304,"R=",AW2304,"M=",AX2304,"L=",AY2304,"B=",AZ2304)</f>
        <v>GUNTER T=3D=0R=0M=0L=0B=0</v>
      </c>
      <c r="G2304" s="0" t="s">
        <v>164</v>
      </c>
      <c r="I2304" s="0" t="s">
        <v>10020</v>
      </c>
      <c r="J2304" s="0" t="s">
        <v>10021</v>
      </c>
      <c r="K2304" s="0" t="s">
        <v>143</v>
      </c>
      <c r="M2304" s="0" t="s">
        <v>10022</v>
      </c>
      <c r="N2304" s="0" t="str">
        <f aca="false">RIGHT(M2304,LEN(M2304)-FIND(" ",M2304))</f>
        <v>WASHINGTON ST NE</v>
      </c>
      <c r="P2304" s="0" t="s">
        <v>145</v>
      </c>
      <c r="Q2304" s="0" t="s">
        <v>146</v>
      </c>
      <c r="R2304" s="0" t="n">
        <v>44483</v>
      </c>
      <c r="AD2304" s="0" t="s">
        <v>147</v>
      </c>
      <c r="AE2304" s="0" t="s">
        <v>148</v>
      </c>
      <c r="AF2304" s="0" t="s">
        <v>149</v>
      </c>
      <c r="AH2304" s="0" t="n">
        <v>14</v>
      </c>
      <c r="AI2304" s="0" t="n">
        <v>11</v>
      </c>
      <c r="AN2304" s="0" t="s">
        <v>145</v>
      </c>
      <c r="AO2304" s="0" t="s">
        <v>654</v>
      </c>
      <c r="AP2304" s="0" t="s">
        <v>655</v>
      </c>
      <c r="AQ2304" s="0" t="n">
        <v>9</v>
      </c>
      <c r="AR2304" s="0" t="n">
        <v>64</v>
      </c>
      <c r="AS2304" s="0" t="n">
        <v>32</v>
      </c>
      <c r="AU2304" s="0" t="n">
        <f aca="false">COUNTA($BA$1819:$EH$1819)</f>
        <v>3</v>
      </c>
      <c r="AV2304" s="0" t="n">
        <f aca="false">COUNTIF($BA$1819:$EH$1819,"D")</f>
        <v>0</v>
      </c>
      <c r="AW2304" s="0" t="n">
        <f aca="false">COUNTIF($BA$1819:$EH$1819,"R")</f>
        <v>0</v>
      </c>
      <c r="AX2304" s="0" t="n">
        <f aca="false">IF(BN2304="D",1,0)+IF(BO2304="D",1,0)+IF(BT2304="D",1,0)+IF(BU2304="D",1,0)+IF(BW2304="D",1,0)+IF(CC2304="D",1,0)+IF(CD2304="D",1,0)+IF(CE2304="D",1,0)+IF(CF2304="D",1,0)+IF(CL2304="D",1,0)+IF(CM2304="D",1,0)+IF(CQ2304="D",1,0)+IF(CR2304="D",1,0)+IF(CS2304="D",1,0)+IF(CW2304="D",1,0)+IF(CX2304="D",1,0)+IF(DD2304="D",1,0)+IF(DE2304="D",1,0)+IF(DJ2304="D",1,0)+IF(DK2304="D",1,0)+IF(DO2304="D",1,0)+IF(DP2304="D",1,0)+IF(DQ2304="D",1,0)+IF(DW2304="D",1,0)+IF(DZ2304="D",1,0)+IF(EH2304="D",1,0)</f>
        <v>0</v>
      </c>
      <c r="AY2304" s="0" t="n">
        <f aca="false">COUNTIF(DU2304:EH2304, "&lt;&gt;")</f>
        <v>0</v>
      </c>
      <c r="AZ2304" s="0" t="n">
        <f aca="false">IF(EH2304&lt;&gt;"",1,0)</f>
        <v>0</v>
      </c>
      <c r="BB2304" s="0" t="s">
        <v>152</v>
      </c>
    </row>
    <row r="2305" customFormat="false" ht="13.8" hidden="true" customHeight="false" outlineLevel="0" collapsed="false">
      <c r="A2305" s="0" t="s">
        <v>10023</v>
      </c>
      <c r="B2305" s="0" t="n">
        <v>78</v>
      </c>
      <c r="C2305" s="0" t="n">
        <v>411823</v>
      </c>
      <c r="D2305" s="0" t="s">
        <v>5440</v>
      </c>
      <c r="E2305" s="0" t="s">
        <v>10024</v>
      </c>
      <c r="F2305" s="0" t="str">
        <f aca="false">CONCATENATE(D2305," ",LEFT(H2305,4),"T=",AU2305,"D=",AV2305,"R=",AW2305,"M=",AX2305,"L=",AY2305,"B=",AZ2305)</f>
        <v>ADAMSON T=12D=2R=0M=0L=0B=0</v>
      </c>
      <c r="G2305" s="0" t="s">
        <v>3126</v>
      </c>
      <c r="I2305" s="0" t="s">
        <v>10025</v>
      </c>
      <c r="J2305" s="0" t="s">
        <v>2371</v>
      </c>
      <c r="K2305" s="0" t="s">
        <v>160</v>
      </c>
      <c r="M2305" s="0" t="s">
        <v>10026</v>
      </c>
      <c r="N2305" s="0" t="str">
        <f aca="false">RIGHT(M2305,LEN(M2305)-FIND(" ",M2305))</f>
        <v>WASHINGTON ST NE</v>
      </c>
      <c r="P2305" s="0" t="s">
        <v>145</v>
      </c>
      <c r="Q2305" s="0" t="s">
        <v>146</v>
      </c>
      <c r="R2305" s="0" t="n">
        <v>44483</v>
      </c>
      <c r="AD2305" s="0" t="s">
        <v>147</v>
      </c>
      <c r="AE2305" s="0" t="s">
        <v>148</v>
      </c>
      <c r="AF2305" s="0" t="s">
        <v>149</v>
      </c>
      <c r="AH2305" s="0" t="n">
        <v>14</v>
      </c>
      <c r="AI2305" s="0" t="n">
        <v>11</v>
      </c>
      <c r="AN2305" s="0" t="s">
        <v>145</v>
      </c>
      <c r="AO2305" s="0" t="s">
        <v>654</v>
      </c>
      <c r="AP2305" s="0" t="s">
        <v>655</v>
      </c>
      <c r="AQ2305" s="0" t="n">
        <v>9</v>
      </c>
      <c r="AR2305" s="0" t="n">
        <v>64</v>
      </c>
      <c r="AS2305" s="0" t="n">
        <v>32</v>
      </c>
      <c r="AU2305" s="0" t="n">
        <f aca="false">COUNTA($BA$1881:$EH$1881)</f>
        <v>12</v>
      </c>
      <c r="AV2305" s="0" t="n">
        <f aca="false">COUNTIF($BA$1881:$EH$1881,"D")</f>
        <v>2</v>
      </c>
      <c r="AW2305" s="0" t="n">
        <f aca="false">COUNTIF($BA$1881:$EH$1881,"R")</f>
        <v>0</v>
      </c>
      <c r="AX2305" s="0" t="n">
        <f aca="false">IF(BN2305="D",1,0)+IF(BO2305="D",1,0)+IF(BT2305="D",1,0)+IF(BU2305="D",1,0)+IF(BW2305="D",1,0)+IF(CC2305="D",1,0)+IF(CD2305="D",1,0)+IF(CE2305="D",1,0)+IF(CF2305="D",1,0)+IF(CL2305="D",1,0)+IF(CM2305="D",1,0)+IF(CQ2305="D",1,0)+IF(CR2305="D",1,0)+IF(CS2305="D",1,0)+IF(CW2305="D",1,0)+IF(CX2305="D",1,0)+IF(DD2305="D",1,0)+IF(DE2305="D",1,0)+IF(DJ2305="D",1,0)+IF(DK2305="D",1,0)+IF(DO2305="D",1,0)+IF(DP2305="D",1,0)+IF(DQ2305="D",1,0)+IF(DW2305="D",1,0)+IF(DZ2305="D",1,0)+IF(EH2305="D",1,0)</f>
        <v>0</v>
      </c>
      <c r="AY2305" s="0" t="n">
        <f aca="false">COUNTIF(DU2305:EH2305, "&lt;&gt;")</f>
        <v>0</v>
      </c>
      <c r="AZ2305" s="0" t="n">
        <f aca="false">IF(EH2305&lt;&gt;"",1,0)</f>
        <v>0</v>
      </c>
      <c r="BB2305" s="0" t="s">
        <v>152</v>
      </c>
      <c r="DC2305" s="0" t="s">
        <v>153</v>
      </c>
    </row>
    <row r="2306" customFormat="false" ht="13.8" hidden="true" customHeight="false" outlineLevel="0" collapsed="false">
      <c r="A2306" s="0" t="s">
        <v>10027</v>
      </c>
      <c r="B2306" s="0" t="n">
        <v>78</v>
      </c>
      <c r="C2306" s="0" t="n">
        <v>367609</v>
      </c>
      <c r="D2306" s="0" t="s">
        <v>5425</v>
      </c>
      <c r="E2306" s="0" t="s">
        <v>140</v>
      </c>
      <c r="F2306" s="0" t="str">
        <f aca="false">CONCATENATE(D2306," ",LEFT(H2306,4),"T=",AU2306,"D=",AV2306,"R=",AW2306,"M=",AX2306,"L=",AY2306,"B=",AZ2306)</f>
        <v>REEVES T=7D=1R=0M=0L=0B=0</v>
      </c>
      <c r="G2306" s="0" t="s">
        <v>2774</v>
      </c>
      <c r="I2306" s="0" t="s">
        <v>10028</v>
      </c>
      <c r="J2306" s="0" t="s">
        <v>693</v>
      </c>
      <c r="K2306" s="0" t="s">
        <v>143</v>
      </c>
      <c r="M2306" s="0" t="s">
        <v>10029</v>
      </c>
      <c r="N2306" s="0" t="str">
        <f aca="false">RIGHT(M2306,LEN(M2306)-FIND(" ",M2306))</f>
        <v>WASHINGTON ST NE</v>
      </c>
      <c r="P2306" s="0" t="s">
        <v>145</v>
      </c>
      <c r="Q2306" s="0" t="s">
        <v>146</v>
      </c>
      <c r="R2306" s="0" t="n">
        <v>44483</v>
      </c>
      <c r="AD2306" s="0" t="s">
        <v>147</v>
      </c>
      <c r="AE2306" s="0" t="s">
        <v>148</v>
      </c>
      <c r="AF2306" s="0" t="s">
        <v>149</v>
      </c>
      <c r="AH2306" s="0" t="n">
        <v>14</v>
      </c>
      <c r="AI2306" s="0" t="n">
        <v>11</v>
      </c>
      <c r="AN2306" s="0" t="s">
        <v>145</v>
      </c>
      <c r="AO2306" s="0" t="s">
        <v>654</v>
      </c>
      <c r="AP2306" s="0" t="s">
        <v>655</v>
      </c>
      <c r="AQ2306" s="0" t="n">
        <v>9</v>
      </c>
      <c r="AR2306" s="0" t="n">
        <v>64</v>
      </c>
      <c r="AS2306" s="0" t="n">
        <v>32</v>
      </c>
      <c r="AU2306" s="0" t="n">
        <f aca="false">COUNTA($BA$1634:$EH$1634)</f>
        <v>7</v>
      </c>
      <c r="AV2306" s="0" t="n">
        <f aca="false">COUNTIF($BA$1634:$EH$1634,"D")</f>
        <v>1</v>
      </c>
      <c r="AW2306" s="0" t="n">
        <f aca="false">COUNTIF($BA$1634:$EH$1634,"R")</f>
        <v>0</v>
      </c>
      <c r="AX2306" s="0" t="n">
        <f aca="false">IF(BN2306="D",1,0)+IF(BO2306="D",1,0)+IF(BT2306="D",1,0)+IF(BU2306="D",1,0)+IF(BW2306="D",1,0)+IF(CC2306="D",1,0)+IF(CD2306="D",1,0)+IF(CE2306="D",1,0)+IF(CF2306="D",1,0)+IF(CL2306="D",1,0)+IF(CM2306="D",1,0)+IF(CQ2306="D",1,0)+IF(CR2306="D",1,0)+IF(CS2306="D",1,0)+IF(CW2306="D",1,0)+IF(CX2306="D",1,0)+IF(DD2306="D",1,0)+IF(DE2306="D",1,0)+IF(DJ2306="D",1,0)+IF(DK2306="D",1,0)+IF(DO2306="D",1,0)+IF(DP2306="D",1,0)+IF(DQ2306="D",1,0)+IF(DW2306="D",1,0)+IF(DZ2306="D",1,0)+IF(EH2306="D",1,0)</f>
        <v>0</v>
      </c>
      <c r="AY2306" s="0" t="n">
        <f aca="false">COUNTIF(DU2306:EH2306, "&lt;&gt;")</f>
        <v>0</v>
      </c>
      <c r="AZ2306" s="0" t="n">
        <f aca="false">IF(EH2306&lt;&gt;"",1,0)</f>
        <v>0</v>
      </c>
      <c r="BB2306" s="0" t="s">
        <v>152</v>
      </c>
    </row>
    <row r="2307" customFormat="false" ht="13.8" hidden="true" customHeight="false" outlineLevel="0" collapsed="false">
      <c r="A2307" s="0" t="s">
        <v>10030</v>
      </c>
      <c r="B2307" s="0" t="n">
        <v>78</v>
      </c>
      <c r="C2307" s="0" t="n">
        <v>488934</v>
      </c>
      <c r="D2307" s="0" t="s">
        <v>2920</v>
      </c>
      <c r="E2307" s="0" t="s">
        <v>10031</v>
      </c>
      <c r="F2307" s="0" t="str">
        <f aca="false">CONCATENATE(D2307," ",LEFT(H2307,4),"T=",AU2307,"D=",AV2307,"R=",AW2307,"M=",AX2307,"L=",AY2307,"B=",AZ2307)</f>
        <v>FRANCIS T=2D=0R=0M=0L=0B=0</v>
      </c>
      <c r="G2307" s="0" t="s">
        <v>190</v>
      </c>
      <c r="I2307" s="0" t="s">
        <v>10032</v>
      </c>
      <c r="J2307" s="0" t="s">
        <v>8725</v>
      </c>
      <c r="K2307" s="0" t="s">
        <v>160</v>
      </c>
      <c r="M2307" s="0" t="s">
        <v>10033</v>
      </c>
      <c r="N2307" s="0" t="str">
        <f aca="false">RIGHT(M2307,LEN(M2307)-FIND(" ",M2307))</f>
        <v>WASHINGTON ST NE</v>
      </c>
      <c r="P2307" s="0" t="s">
        <v>145</v>
      </c>
      <c r="Q2307" s="0" t="s">
        <v>146</v>
      </c>
      <c r="R2307" s="0" t="n">
        <v>44483</v>
      </c>
      <c r="AD2307" s="0" t="s">
        <v>147</v>
      </c>
      <c r="AE2307" s="0" t="s">
        <v>148</v>
      </c>
      <c r="AF2307" s="0" t="s">
        <v>149</v>
      </c>
      <c r="AH2307" s="0" t="n">
        <v>14</v>
      </c>
      <c r="AI2307" s="0" t="n">
        <v>11</v>
      </c>
      <c r="AN2307" s="0" t="s">
        <v>145</v>
      </c>
      <c r="AO2307" s="0" t="s">
        <v>654</v>
      </c>
      <c r="AP2307" s="0" t="s">
        <v>655</v>
      </c>
      <c r="AQ2307" s="0" t="n">
        <v>9</v>
      </c>
      <c r="AR2307" s="0" t="n">
        <v>64</v>
      </c>
      <c r="AS2307" s="0" t="n">
        <v>32</v>
      </c>
      <c r="AU2307" s="0" t="n">
        <f aca="false">COUNTA($BA$1095:$EH$1095)</f>
        <v>2</v>
      </c>
      <c r="AV2307" s="0" t="n">
        <f aca="false">COUNTIF($BA$1095:$EH$1095,"D")</f>
        <v>0</v>
      </c>
      <c r="AW2307" s="0" t="n">
        <f aca="false">COUNTIF($BA$1095:$EH$1095,"R")</f>
        <v>0</v>
      </c>
      <c r="AX2307" s="0" t="n">
        <f aca="false">IF(BN2307="D",1,0)+IF(BO2307="D",1,0)+IF(BT2307="D",1,0)+IF(BU2307="D",1,0)+IF(BW2307="D",1,0)+IF(CC2307="D",1,0)+IF(CD2307="D",1,0)+IF(CE2307="D",1,0)+IF(CF2307="D",1,0)+IF(CL2307="D",1,0)+IF(CM2307="D",1,0)+IF(CQ2307="D",1,0)+IF(CR2307="D",1,0)+IF(CS2307="D",1,0)+IF(CW2307="D",1,0)+IF(CX2307="D",1,0)+IF(DD2307="D",1,0)+IF(DE2307="D",1,0)+IF(DJ2307="D",1,0)+IF(DK2307="D",1,0)+IF(DO2307="D",1,0)+IF(DP2307="D",1,0)+IF(DQ2307="D",1,0)+IF(DW2307="D",1,0)+IF(DZ2307="D",1,0)+IF(EH2307="D",1,0)</f>
        <v>0</v>
      </c>
      <c r="AY2307" s="0" t="n">
        <f aca="false">COUNTIF(DU2307:EH2307, "&lt;&gt;")</f>
        <v>0</v>
      </c>
      <c r="AZ2307" s="0" t="n">
        <f aca="false">IF(EH2307&lt;&gt;"",1,0)</f>
        <v>0</v>
      </c>
      <c r="BB2307" s="0" t="s">
        <v>152</v>
      </c>
      <c r="DC2307" s="0" t="s">
        <v>153</v>
      </c>
      <c r="DN2307" s="0" t="s">
        <v>153</v>
      </c>
    </row>
    <row r="2308" customFormat="false" ht="13.8" hidden="true" customHeight="false" outlineLevel="0" collapsed="false">
      <c r="A2308" s="0" t="s">
        <v>10034</v>
      </c>
      <c r="B2308" s="0" t="n">
        <v>78</v>
      </c>
      <c r="C2308" s="0" t="n">
        <v>476724</v>
      </c>
      <c r="D2308" s="0" t="s">
        <v>8465</v>
      </c>
      <c r="E2308" s="0" t="s">
        <v>2546</v>
      </c>
      <c r="F2308" s="0" t="str">
        <f aca="false">CONCATENATE(D2308," ",LEFT(H2308,4),"T=",AU2308,"D=",AV2308,"R=",AW2308,"M=",AX2308,"L=",AY2308,"B=",AZ2308)</f>
        <v>DYE T=2D=0R=0M=0L=1B=0</v>
      </c>
      <c r="G2308" s="0" t="s">
        <v>770</v>
      </c>
      <c r="I2308" s="0" t="s">
        <v>10035</v>
      </c>
      <c r="J2308" s="0" t="s">
        <v>6103</v>
      </c>
      <c r="K2308" s="0" t="s">
        <v>160</v>
      </c>
      <c r="M2308" s="0" t="s">
        <v>10033</v>
      </c>
      <c r="N2308" s="0" t="str">
        <f aca="false">RIGHT(M2308,LEN(M2308)-FIND(" ",M2308))</f>
        <v>WASHINGTON ST NE</v>
      </c>
      <c r="P2308" s="0" t="s">
        <v>145</v>
      </c>
      <c r="Q2308" s="0" t="s">
        <v>146</v>
      </c>
      <c r="R2308" s="0" t="n">
        <v>44483</v>
      </c>
      <c r="AD2308" s="0" t="s">
        <v>147</v>
      </c>
      <c r="AE2308" s="0" t="s">
        <v>148</v>
      </c>
      <c r="AF2308" s="0" t="s">
        <v>149</v>
      </c>
      <c r="AH2308" s="0" t="n">
        <v>14</v>
      </c>
      <c r="AI2308" s="0" t="n">
        <v>11</v>
      </c>
      <c r="AN2308" s="0" t="s">
        <v>145</v>
      </c>
      <c r="AO2308" s="0" t="s">
        <v>654</v>
      </c>
      <c r="AP2308" s="0" t="s">
        <v>655</v>
      </c>
      <c r="AQ2308" s="0" t="n">
        <v>9</v>
      </c>
      <c r="AR2308" s="0" t="n">
        <v>64</v>
      </c>
      <c r="AS2308" s="0" t="n">
        <v>32</v>
      </c>
      <c r="AU2308" s="0" t="n">
        <f aca="false">COUNTA($BA$1450:$EH$1450)</f>
        <v>2</v>
      </c>
      <c r="AV2308" s="0" t="n">
        <f aca="false">COUNTIF($BA$1450:$EH$1450,"D")</f>
        <v>0</v>
      </c>
      <c r="AW2308" s="0" t="n">
        <f aca="false">COUNTIF($BA$1450:$EH$1450,"R")</f>
        <v>0</v>
      </c>
      <c r="AX2308" s="0" t="n">
        <f aca="false">IF(BN2308="D",1,0)+IF(BO2308="D",1,0)+IF(BT2308="D",1,0)+IF(BU2308="D",1,0)+IF(BW2308="D",1,0)+IF(CC2308="D",1,0)+IF(CD2308="D",1,0)+IF(CE2308="D",1,0)+IF(CF2308="D",1,0)+IF(CL2308="D",1,0)+IF(CM2308="D",1,0)+IF(CQ2308="D",1,0)+IF(CR2308="D",1,0)+IF(CS2308="D",1,0)+IF(CW2308="D",1,0)+IF(CX2308="D",1,0)+IF(DD2308="D",1,0)+IF(DE2308="D",1,0)+IF(DJ2308="D",1,0)+IF(DK2308="D",1,0)+IF(DO2308="D",1,0)+IF(DP2308="D",1,0)+IF(DQ2308="D",1,0)+IF(DW2308="D",1,0)+IF(DZ2308="D",1,0)+IF(EH2308="D",1,0)</f>
        <v>0</v>
      </c>
      <c r="AY2308" s="0" t="n">
        <f aca="false">COUNTIF(DU2308:EH2308, "&lt;&gt;")</f>
        <v>1</v>
      </c>
      <c r="AZ2308" s="0" t="n">
        <f aca="false">IF(EH2308&lt;&gt;"",1,0)</f>
        <v>0</v>
      </c>
      <c r="BB2308" s="0" t="s">
        <v>152</v>
      </c>
      <c r="DC2308" s="0" t="s">
        <v>153</v>
      </c>
      <c r="DN2308" s="0" t="s">
        <v>153</v>
      </c>
      <c r="EF2308" s="0" t="s">
        <v>153</v>
      </c>
    </row>
    <row r="2309" customFormat="false" ht="13.8" hidden="true" customHeight="false" outlineLevel="0" collapsed="false">
      <c r="A2309" s="0" t="s">
        <v>10036</v>
      </c>
      <c r="B2309" s="0" t="n">
        <v>78</v>
      </c>
      <c r="C2309" s="0" t="n">
        <v>495152</v>
      </c>
      <c r="D2309" s="0" t="s">
        <v>2694</v>
      </c>
      <c r="E2309" s="0" t="s">
        <v>849</v>
      </c>
      <c r="F2309" s="0" t="str">
        <f aca="false">CONCATENATE(D2309," ",LEFT(H2309,4),"T=",AU2309,"D=",AV2309,"R=",AW2309,"M=",AX2309,"L=",AY2309,"B=",AZ2309)</f>
        <v>GRAVES T=1D=0R=0M=0L=1B=0</v>
      </c>
      <c r="G2309" s="0" t="s">
        <v>164</v>
      </c>
      <c r="I2309" s="0" t="s">
        <v>10037</v>
      </c>
      <c r="J2309" s="0" t="s">
        <v>10038</v>
      </c>
      <c r="K2309" s="0" t="s">
        <v>160</v>
      </c>
      <c r="M2309" s="0" t="s">
        <v>10039</v>
      </c>
      <c r="N2309" s="0" t="str">
        <f aca="false">RIGHT(M2309,LEN(M2309)-FIND(" ",M2309))</f>
        <v>WASHINGTON ST NE</v>
      </c>
      <c r="P2309" s="0" t="s">
        <v>145</v>
      </c>
      <c r="Q2309" s="0" t="s">
        <v>146</v>
      </c>
      <c r="R2309" s="0" t="n">
        <v>44483</v>
      </c>
      <c r="AD2309" s="0" t="s">
        <v>147</v>
      </c>
      <c r="AE2309" s="0" t="s">
        <v>148</v>
      </c>
      <c r="AF2309" s="0" t="s">
        <v>149</v>
      </c>
      <c r="AH2309" s="0" t="n">
        <v>14</v>
      </c>
      <c r="AI2309" s="0" t="n">
        <v>11</v>
      </c>
      <c r="AN2309" s="0" t="s">
        <v>145</v>
      </c>
      <c r="AO2309" s="0" t="s">
        <v>654</v>
      </c>
      <c r="AP2309" s="0" t="s">
        <v>655</v>
      </c>
      <c r="AQ2309" s="0" t="n">
        <v>9</v>
      </c>
      <c r="AR2309" s="0" t="n">
        <v>64</v>
      </c>
      <c r="AS2309" s="0" t="n">
        <v>32</v>
      </c>
      <c r="AU2309" s="0" t="n">
        <f aca="false">COUNTA($BA$1319:$EH$1319)</f>
        <v>1</v>
      </c>
      <c r="AV2309" s="0" t="n">
        <f aca="false">COUNTIF($BA$1319:$EH$1319,"D")</f>
        <v>0</v>
      </c>
      <c r="AW2309" s="0" t="n">
        <f aca="false">COUNTIF($BA$1319:$EH$1319,"R")</f>
        <v>0</v>
      </c>
      <c r="AX2309" s="0" t="n">
        <f aca="false">IF(BN2309="D",1,0)+IF(BO2309="D",1,0)+IF(BT2309="D",1,0)+IF(BU2309="D",1,0)+IF(BW2309="D",1,0)+IF(CC2309="D",1,0)+IF(CD2309="D",1,0)+IF(CE2309="D",1,0)+IF(CF2309="D",1,0)+IF(CL2309="D",1,0)+IF(CM2309="D",1,0)+IF(CQ2309="D",1,0)+IF(CR2309="D",1,0)+IF(CS2309="D",1,0)+IF(CW2309="D",1,0)+IF(CX2309="D",1,0)+IF(DD2309="D",1,0)+IF(DE2309="D",1,0)+IF(DJ2309="D",1,0)+IF(DK2309="D",1,0)+IF(DO2309="D",1,0)+IF(DP2309="D",1,0)+IF(DQ2309="D",1,0)+IF(DW2309="D",1,0)+IF(DZ2309="D",1,0)+IF(EH2309="D",1,0)</f>
        <v>0</v>
      </c>
      <c r="AY2309" s="0" t="n">
        <f aca="false">COUNTIF(DU2309:EH2309, "&lt;&gt;")</f>
        <v>1</v>
      </c>
      <c r="AZ2309" s="0" t="n">
        <f aca="false">IF(EH2309&lt;&gt;"",1,0)</f>
        <v>0</v>
      </c>
      <c r="BB2309" s="0" t="s">
        <v>152</v>
      </c>
      <c r="BD2309" s="0" t="s">
        <v>153</v>
      </c>
      <c r="BH2309" s="0" t="s">
        <v>153</v>
      </c>
      <c r="BJ2309" s="0" t="s">
        <v>153</v>
      </c>
      <c r="BK2309" s="0" t="s">
        <v>153</v>
      </c>
      <c r="CA2309" s="0" t="s">
        <v>153</v>
      </c>
      <c r="DU2309" s="0" t="s">
        <v>153</v>
      </c>
    </row>
    <row r="2310" customFormat="false" ht="13.8" hidden="false" customHeight="false" outlineLevel="0" collapsed="false">
      <c r="A2310" s="0" t="s">
        <v>10040</v>
      </c>
      <c r="B2310" s="0" t="n">
        <v>78</v>
      </c>
      <c r="C2310" s="0" t="n">
        <v>46095</v>
      </c>
      <c r="D2310" s="0" t="s">
        <v>1001</v>
      </c>
      <c r="E2310" s="0" t="s">
        <v>10041</v>
      </c>
      <c r="F2310" s="0" t="str">
        <f aca="false">CONCATENATE(D2310," ",LEFT(H2310,4),"T=",AU2310,"D=",AV2310,"R=",AW2310,"M=",AX2310,"L=",AY2310,"B=",AZ2310)</f>
        <v>DAVIS T=45D=9R=2M=3L=7B=1</v>
      </c>
      <c r="G2310" s="0" t="s">
        <v>171</v>
      </c>
      <c r="I2310" s="0" t="s">
        <v>10042</v>
      </c>
      <c r="J2310" s="0" t="s">
        <v>10043</v>
      </c>
      <c r="K2310" s="0" t="s">
        <v>160</v>
      </c>
      <c r="L2310" s="0" t="s">
        <v>175</v>
      </c>
      <c r="M2310" s="0" t="s">
        <v>10039</v>
      </c>
      <c r="N2310" s="0" t="str">
        <f aca="false">RIGHT(M2310,LEN(M2310)-FIND(" ",M2310))</f>
        <v>WASHINGTON ST NE</v>
      </c>
      <c r="P2310" s="0" t="s">
        <v>145</v>
      </c>
      <c r="Q2310" s="0" t="s">
        <v>146</v>
      </c>
      <c r="R2310" s="0" t="n">
        <v>44483</v>
      </c>
      <c r="AD2310" s="0" t="s">
        <v>147</v>
      </c>
      <c r="AE2310" s="0" t="s">
        <v>148</v>
      </c>
      <c r="AF2310" s="0" t="s">
        <v>149</v>
      </c>
      <c r="AH2310" s="0" t="n">
        <v>14</v>
      </c>
      <c r="AI2310" s="0" t="n">
        <v>11</v>
      </c>
      <c r="AN2310" s="0" t="s">
        <v>145</v>
      </c>
      <c r="AO2310" s="0" t="s">
        <v>654</v>
      </c>
      <c r="AP2310" s="0" t="s">
        <v>655</v>
      </c>
      <c r="AQ2310" s="0" t="n">
        <v>9</v>
      </c>
      <c r="AR2310" s="0" t="n">
        <v>64</v>
      </c>
      <c r="AS2310" s="0" t="n">
        <v>32</v>
      </c>
      <c r="AU2310" s="0" t="n">
        <f aca="false">COUNTA($BA$1501:$EH$1501)</f>
        <v>45</v>
      </c>
      <c r="AV2310" s="0" t="n">
        <f aca="false">COUNTIF($BA$1501:$EH$1501,"D")</f>
        <v>9</v>
      </c>
      <c r="AW2310" s="0" t="n">
        <f aca="false">COUNTIF($BA$1501:$EH$1501,"R")</f>
        <v>2</v>
      </c>
      <c r="AX2310" s="0" t="n">
        <f aca="false">IF(BN2310="D",1,0)+IF(BO2310="D",1,0)+IF(BT2310="D",1,0)+IF(BU2310="D",1,0)+IF(BW2310="D",1,0)+IF(CC2310="D",1,0)+IF(CD2310="D",1,0)+IF(CE2310="D",1,0)+IF(CF2310="D",1,0)+IF(CL2310="D",1,0)+IF(CM2310="D",1,0)+IF(CQ2310="D",1,0)+IF(CR2310="D",1,0)+IF(CS2310="D",1,0)+IF(CW2310="D",1,0)+IF(CX2310="D",1,0)+IF(DD2310="D",1,0)+IF(DE2310="D",1,0)+IF(DJ2310="D",1,0)+IF(DK2310="D",1,0)+IF(DO2310="D",1,0)+IF(DP2310="D",1,0)+IF(DQ2310="D",1,0)+IF(DW2310="D",1,0)+IF(DZ2310="D",1,0)+IF(EH2310="D",1,0)</f>
        <v>3</v>
      </c>
      <c r="AY2310" s="0" t="n">
        <f aca="false">COUNTIF(DU2310:EH2310, "&lt;&gt;")</f>
        <v>7</v>
      </c>
      <c r="AZ2310" s="0" t="n">
        <f aca="false">IF(EH2310&lt;&gt;"",1,0)</f>
        <v>1</v>
      </c>
      <c r="BB2310" s="0" t="s">
        <v>152</v>
      </c>
      <c r="BC2310" s="0" t="s">
        <v>153</v>
      </c>
      <c r="BD2310" s="0" t="s">
        <v>153</v>
      </c>
      <c r="BE2310" s="0" t="s">
        <v>153</v>
      </c>
      <c r="BF2310" s="0" t="s">
        <v>153</v>
      </c>
      <c r="BG2310" s="0" t="s">
        <v>153</v>
      </c>
      <c r="BH2310" s="0" t="s">
        <v>153</v>
      </c>
      <c r="BI2310" s="0" t="s">
        <v>153</v>
      </c>
      <c r="BJ2310" s="0" t="s">
        <v>153</v>
      </c>
      <c r="BK2310" s="0" t="s">
        <v>153</v>
      </c>
      <c r="BL2310" s="0" t="s">
        <v>153</v>
      </c>
      <c r="BP2310" s="0" t="s">
        <v>153</v>
      </c>
      <c r="BR2310" s="0" t="s">
        <v>153</v>
      </c>
      <c r="BS2310" s="0" t="s">
        <v>153</v>
      </c>
      <c r="BV2310" s="0" t="s">
        <v>153</v>
      </c>
      <c r="BY2310" s="0" t="s">
        <v>175</v>
      </c>
      <c r="CA2310" s="0" t="s">
        <v>153</v>
      </c>
      <c r="CG2310" s="0" t="s">
        <v>153</v>
      </c>
      <c r="CK2310" s="0" t="s">
        <v>153</v>
      </c>
      <c r="CN2310" s="0" t="s">
        <v>153</v>
      </c>
      <c r="CP2310" s="0" t="s">
        <v>153</v>
      </c>
      <c r="CV2310" s="0" t="s">
        <v>153</v>
      </c>
      <c r="CY2310" s="0" t="s">
        <v>153</v>
      </c>
      <c r="DC2310" s="0" t="s">
        <v>153</v>
      </c>
      <c r="DF2310" s="0" t="s">
        <v>153</v>
      </c>
      <c r="DI2310" s="0" t="s">
        <v>153</v>
      </c>
      <c r="DJ2310" s="0" t="s">
        <v>175</v>
      </c>
      <c r="DN2310" s="0" t="s">
        <v>153</v>
      </c>
      <c r="DS2310" s="0" t="s">
        <v>209</v>
      </c>
      <c r="DT2310" s="0" t="s">
        <v>175</v>
      </c>
      <c r="DU2310" s="0" t="s">
        <v>153</v>
      </c>
      <c r="DW2310" s="0" t="s">
        <v>175</v>
      </c>
      <c r="DX2310" s="0" t="s">
        <v>153</v>
      </c>
      <c r="EA2310" s="0" t="s">
        <v>153</v>
      </c>
      <c r="ED2310" s="0" t="s">
        <v>175</v>
      </c>
      <c r="EF2310" s="0" t="s">
        <v>153</v>
      </c>
      <c r="EH2310" s="0" t="s">
        <v>175</v>
      </c>
    </row>
    <row r="2311" customFormat="false" ht="13.8" hidden="false" customHeight="false" outlineLevel="0" collapsed="false">
      <c r="A2311" s="0" t="s">
        <v>10044</v>
      </c>
      <c r="B2311" s="0" t="n">
        <v>78</v>
      </c>
      <c r="C2311" s="0" t="n">
        <v>461073</v>
      </c>
      <c r="D2311" s="0" t="s">
        <v>509</v>
      </c>
      <c r="E2311" s="0" t="s">
        <v>3555</v>
      </c>
      <c r="F2311" s="0" t="str">
        <f aca="false">CONCATENATE(D2311," ",LEFT(H2311,4),"T=",AU2311,"D=",AV2311,"R=",AW2311,"M=",AX2311,"L=",AY2311,"B=",AZ2311)</f>
        <v>PARKER T=1D=0R=0M=0L=2B=0</v>
      </c>
      <c r="G2311" s="0" t="s">
        <v>3018</v>
      </c>
      <c r="I2311" s="0" t="s">
        <v>10045</v>
      </c>
      <c r="J2311" s="0" t="s">
        <v>1971</v>
      </c>
      <c r="K2311" s="0" t="s">
        <v>160</v>
      </c>
      <c r="M2311" s="0" t="s">
        <v>10046</v>
      </c>
      <c r="N2311" s="0" t="str">
        <f aca="false">RIGHT(M2311,LEN(M2311)-FIND(" ",M2311))</f>
        <v>WASHINGTON ST NE</v>
      </c>
      <c r="P2311" s="0" t="s">
        <v>145</v>
      </c>
      <c r="Q2311" s="0" t="s">
        <v>146</v>
      </c>
      <c r="R2311" s="0" t="n">
        <v>44483</v>
      </c>
      <c r="AD2311" s="0" t="s">
        <v>147</v>
      </c>
      <c r="AE2311" s="0" t="s">
        <v>148</v>
      </c>
      <c r="AF2311" s="0" t="s">
        <v>149</v>
      </c>
      <c r="AH2311" s="0" t="n">
        <v>14</v>
      </c>
      <c r="AI2311" s="0" t="n">
        <v>11</v>
      </c>
      <c r="AN2311" s="0" t="s">
        <v>145</v>
      </c>
      <c r="AO2311" s="0" t="s">
        <v>654</v>
      </c>
      <c r="AP2311" s="0" t="s">
        <v>655</v>
      </c>
      <c r="AQ2311" s="0" t="n">
        <v>9</v>
      </c>
      <c r="AR2311" s="0" t="n">
        <v>64</v>
      </c>
      <c r="AS2311" s="0" t="n">
        <v>32</v>
      </c>
      <c r="AU2311" s="0" t="n">
        <f aca="false">COUNTA($BA$1730:$EH$1730)</f>
        <v>1</v>
      </c>
      <c r="AV2311" s="0" t="n">
        <f aca="false">COUNTIF($BA$1730:$EH$1730,"D")</f>
        <v>0</v>
      </c>
      <c r="AW2311" s="0" t="n">
        <f aca="false">COUNTIF($BA$1730:$EH$1730,"R")</f>
        <v>0</v>
      </c>
      <c r="AX2311" s="0" t="n">
        <f aca="false">IF(BN2311="D",1,0)+IF(BO2311="D",1,0)+IF(BT2311="D",1,0)+IF(BU2311="D",1,0)+IF(BW2311="D",1,0)+IF(CC2311="D",1,0)+IF(CD2311="D",1,0)+IF(CE2311="D",1,0)+IF(CF2311="D",1,0)+IF(CL2311="D",1,0)+IF(CM2311="D",1,0)+IF(CQ2311="D",1,0)+IF(CR2311="D",1,0)+IF(CS2311="D",1,0)+IF(CW2311="D",1,0)+IF(CX2311="D",1,0)+IF(DD2311="D",1,0)+IF(DE2311="D",1,0)+IF(DJ2311="D",1,0)+IF(DK2311="D",1,0)+IF(DO2311="D",1,0)+IF(DP2311="D",1,0)+IF(DQ2311="D",1,0)+IF(DW2311="D",1,0)+IF(DZ2311="D",1,0)+IF(EH2311="D",1,0)</f>
        <v>0</v>
      </c>
      <c r="AY2311" s="0" t="n">
        <f aca="false">COUNTIF(DU2311:EH2311, "&lt;&gt;")</f>
        <v>2</v>
      </c>
      <c r="AZ2311" s="0" t="n">
        <f aca="false">IF(EH2311&lt;&gt;"",1,0)</f>
        <v>0</v>
      </c>
      <c r="BB2311" s="0" t="s">
        <v>152</v>
      </c>
      <c r="DU2311" s="0" t="s">
        <v>153</v>
      </c>
      <c r="EF2311" s="0" t="s">
        <v>153</v>
      </c>
    </row>
    <row r="2312" customFormat="false" ht="13.8" hidden="false" customHeight="false" outlineLevel="0" collapsed="false">
      <c r="A2312" s="0" t="s">
        <v>10047</v>
      </c>
      <c r="B2312" s="0" t="n">
        <v>78</v>
      </c>
      <c r="C2312" s="0" t="n">
        <v>381780</v>
      </c>
      <c r="D2312" s="0" t="s">
        <v>10048</v>
      </c>
      <c r="E2312" s="0" t="s">
        <v>6340</v>
      </c>
      <c r="F2312" s="0" t="str">
        <f aca="false">CONCATENATE(D2312," ",LEFT(H2312,4),"T=",AU2312,"D=",AV2312,"R=",AW2312,"M=",AX2312,"L=",AY2312,"B=",AZ2312)</f>
        <v>BRENT T=2D=0R=0M=1L=5B=0</v>
      </c>
      <c r="G2312" s="0" t="s">
        <v>164</v>
      </c>
      <c r="I2312" s="0" t="s">
        <v>10049</v>
      </c>
      <c r="J2312" s="0" t="s">
        <v>693</v>
      </c>
      <c r="K2312" s="0" t="s">
        <v>160</v>
      </c>
      <c r="L2312" s="0" t="s">
        <v>175</v>
      </c>
      <c r="M2312" s="0" t="s">
        <v>10050</v>
      </c>
      <c r="N2312" s="0" t="str">
        <f aca="false">RIGHT(M2312,LEN(M2312)-FIND(" ",M2312))</f>
        <v>WASHINGTON ST NE</v>
      </c>
      <c r="P2312" s="0" t="s">
        <v>145</v>
      </c>
      <c r="Q2312" s="0" t="s">
        <v>146</v>
      </c>
      <c r="R2312" s="0" t="n">
        <v>44483</v>
      </c>
      <c r="AD2312" s="0" t="s">
        <v>147</v>
      </c>
      <c r="AE2312" s="0" t="s">
        <v>148</v>
      </c>
      <c r="AF2312" s="0" t="s">
        <v>149</v>
      </c>
      <c r="AH2312" s="0" t="n">
        <v>14</v>
      </c>
      <c r="AI2312" s="0" t="n">
        <v>11</v>
      </c>
      <c r="AN2312" s="0" t="s">
        <v>145</v>
      </c>
      <c r="AO2312" s="0" t="s">
        <v>654</v>
      </c>
      <c r="AP2312" s="0" t="s">
        <v>655</v>
      </c>
      <c r="AQ2312" s="0" t="n">
        <v>9</v>
      </c>
      <c r="AR2312" s="0" t="n">
        <v>64</v>
      </c>
      <c r="AS2312" s="0" t="n">
        <v>32</v>
      </c>
      <c r="AU2312" s="0" t="n">
        <f aca="false">COUNTA($BA$1926:$EH$1926)</f>
        <v>2</v>
      </c>
      <c r="AV2312" s="0" t="n">
        <f aca="false">COUNTIF($BA$1926:$EH$1926,"D")</f>
        <v>0</v>
      </c>
      <c r="AW2312" s="0" t="n">
        <f aca="false">COUNTIF($BA$1926:$EH$1926,"R")</f>
        <v>0</v>
      </c>
      <c r="AX2312" s="0" t="n">
        <f aca="false">IF(BN2312="D",1,0)+IF(BO2312="D",1,0)+IF(BT2312="D",1,0)+IF(BU2312="D",1,0)+IF(BW2312="D",1,0)+IF(CC2312="D",1,0)+IF(CD2312="D",1,0)+IF(CE2312="D",1,0)+IF(CF2312="D",1,0)+IF(CL2312="D",1,0)+IF(CM2312="D",1,0)+IF(CQ2312="D",1,0)+IF(CR2312="D",1,0)+IF(CS2312="D",1,0)+IF(CW2312="D",1,0)+IF(CX2312="D",1,0)+IF(DD2312="D",1,0)+IF(DE2312="D",1,0)+IF(DJ2312="D",1,0)+IF(DK2312="D",1,0)+IF(DO2312="D",1,0)+IF(DP2312="D",1,0)+IF(DQ2312="D",1,0)+IF(DW2312="D",1,0)+IF(DZ2312="D",1,0)+IF(EH2312="D",1,0)</f>
        <v>1</v>
      </c>
      <c r="AY2312" s="0" t="n">
        <f aca="false">COUNTIF(DU2312:EH2312, "&lt;&gt;")</f>
        <v>5</v>
      </c>
      <c r="AZ2312" s="0" t="n">
        <f aca="false">IF(EH2312&lt;&gt;"",1,0)</f>
        <v>0</v>
      </c>
      <c r="BB2312" s="0" t="s">
        <v>152</v>
      </c>
      <c r="CN2312" s="0" t="s">
        <v>153</v>
      </c>
      <c r="CP2312" s="0" t="s">
        <v>153</v>
      </c>
      <c r="CY2312" s="0" t="s">
        <v>153</v>
      </c>
      <c r="CZ2312" s="0" t="s">
        <v>175</v>
      </c>
      <c r="DL2312" s="0" t="s">
        <v>153</v>
      </c>
      <c r="DN2312" s="0" t="s">
        <v>153</v>
      </c>
      <c r="DR2312" s="0" t="s">
        <v>153</v>
      </c>
      <c r="DU2312" s="0" t="s">
        <v>153</v>
      </c>
      <c r="DW2312" s="0" t="s">
        <v>175</v>
      </c>
      <c r="DX2312" s="0" t="s">
        <v>153</v>
      </c>
      <c r="EA2312" s="0" t="s">
        <v>153</v>
      </c>
      <c r="EF2312" s="0" t="s">
        <v>153</v>
      </c>
    </row>
    <row r="2313" customFormat="false" ht="13.8" hidden="false" customHeight="false" outlineLevel="0" collapsed="false">
      <c r="A2313" s="0" t="s">
        <v>10051</v>
      </c>
      <c r="B2313" s="0" t="n">
        <v>78</v>
      </c>
      <c r="C2313" s="0" t="n">
        <v>397399</v>
      </c>
      <c r="D2313" s="0" t="s">
        <v>10048</v>
      </c>
      <c r="E2313" s="0" t="s">
        <v>324</v>
      </c>
      <c r="F2313" s="0" t="str">
        <f aca="false">CONCATENATE(D2313," ",LEFT(H2313,4),"T=",AU2313,"D=",AV2313,"R=",AW2313,"M=",AX2313,"L=",AY2313,"B=",AZ2313)</f>
        <v>BRENT T=1D=0R=0M=1L=5B=0</v>
      </c>
      <c r="G2313" s="0" t="s">
        <v>261</v>
      </c>
      <c r="I2313" s="0" t="s">
        <v>3254</v>
      </c>
      <c r="J2313" s="0" t="s">
        <v>10052</v>
      </c>
      <c r="K2313" s="0" t="s">
        <v>160</v>
      </c>
      <c r="L2313" s="0" t="s">
        <v>175</v>
      </c>
      <c r="M2313" s="0" t="s">
        <v>10050</v>
      </c>
      <c r="N2313" s="0" t="str">
        <f aca="false">RIGHT(M2313,LEN(M2313)-FIND(" ",M2313))</f>
        <v>WASHINGTON ST NE</v>
      </c>
      <c r="P2313" s="0" t="s">
        <v>145</v>
      </c>
      <c r="Q2313" s="0" t="s">
        <v>146</v>
      </c>
      <c r="R2313" s="0" t="n">
        <v>44483</v>
      </c>
      <c r="AD2313" s="0" t="s">
        <v>147</v>
      </c>
      <c r="AE2313" s="0" t="s">
        <v>148</v>
      </c>
      <c r="AF2313" s="0" t="s">
        <v>149</v>
      </c>
      <c r="AH2313" s="0" t="n">
        <v>14</v>
      </c>
      <c r="AI2313" s="0" t="n">
        <v>11</v>
      </c>
      <c r="AN2313" s="0" t="s">
        <v>145</v>
      </c>
      <c r="AO2313" s="0" t="s">
        <v>654</v>
      </c>
      <c r="AP2313" s="0" t="s">
        <v>655</v>
      </c>
      <c r="AQ2313" s="0" t="n">
        <v>9</v>
      </c>
      <c r="AR2313" s="0" t="n">
        <v>64</v>
      </c>
      <c r="AS2313" s="0" t="n">
        <v>32</v>
      </c>
      <c r="AU2313" s="0" t="n">
        <f aca="false">COUNTA($BA$1995:$EH$1995)</f>
        <v>1</v>
      </c>
      <c r="AV2313" s="0" t="n">
        <f aca="false">COUNTIF($BA$1995:$EH$1995,"D")</f>
        <v>0</v>
      </c>
      <c r="AW2313" s="0" t="n">
        <f aca="false">COUNTIF($BA$1995:$EH$1995,"R")</f>
        <v>0</v>
      </c>
      <c r="AX2313" s="0" t="n">
        <f aca="false">IF(BN2313="D",1,0)+IF(BO2313="D",1,0)+IF(BT2313="D",1,0)+IF(BU2313="D",1,0)+IF(BW2313="D",1,0)+IF(CC2313="D",1,0)+IF(CD2313="D",1,0)+IF(CE2313="D",1,0)+IF(CF2313="D",1,0)+IF(CL2313="D",1,0)+IF(CM2313="D",1,0)+IF(CQ2313="D",1,0)+IF(CR2313="D",1,0)+IF(CS2313="D",1,0)+IF(CW2313="D",1,0)+IF(CX2313="D",1,0)+IF(DD2313="D",1,0)+IF(DE2313="D",1,0)+IF(DJ2313="D",1,0)+IF(DK2313="D",1,0)+IF(DO2313="D",1,0)+IF(DP2313="D",1,0)+IF(DQ2313="D",1,0)+IF(DW2313="D",1,0)+IF(DZ2313="D",1,0)+IF(EH2313="D",1,0)</f>
        <v>1</v>
      </c>
      <c r="AY2313" s="0" t="n">
        <f aca="false">COUNTIF(DU2313:EH2313, "&lt;&gt;")</f>
        <v>5</v>
      </c>
      <c r="AZ2313" s="0" t="n">
        <f aca="false">IF(EH2313&lt;&gt;"",1,0)</f>
        <v>0</v>
      </c>
      <c r="BB2313" s="0" t="s">
        <v>152</v>
      </c>
      <c r="DL2313" s="0" t="s">
        <v>153</v>
      </c>
      <c r="DN2313" s="0" t="s">
        <v>153</v>
      </c>
      <c r="DR2313" s="0" t="s">
        <v>153</v>
      </c>
      <c r="DU2313" s="0" t="s">
        <v>153</v>
      </c>
      <c r="DW2313" s="0" t="s">
        <v>175</v>
      </c>
      <c r="DX2313" s="0" t="s">
        <v>153</v>
      </c>
      <c r="EA2313" s="0" t="s">
        <v>153</v>
      </c>
      <c r="EF2313" s="0" t="s">
        <v>153</v>
      </c>
    </row>
    <row r="2314" customFormat="false" ht="13.8" hidden="false" customHeight="false" outlineLevel="0" collapsed="false">
      <c r="A2314" s="0" t="s">
        <v>10053</v>
      </c>
      <c r="B2314" s="0" t="n">
        <v>78</v>
      </c>
      <c r="C2314" s="0" t="n">
        <v>436439</v>
      </c>
      <c r="D2314" s="0" t="s">
        <v>10048</v>
      </c>
      <c r="E2314" s="0" t="s">
        <v>2798</v>
      </c>
      <c r="F2314" s="0" t="str">
        <f aca="false">CONCATENATE(D2314," ",LEFT(H2314,4),"T=",AU2314,"D=",AV2314,"R=",AW2314,"M=",AX2314,"L=",AY2314,"B=",AZ2314)</f>
        <v>BRENT T=3D=0R=0M=0L=2B=0</v>
      </c>
      <c r="G2314" s="0" t="s">
        <v>379</v>
      </c>
      <c r="I2314" s="0" t="s">
        <v>7549</v>
      </c>
      <c r="J2314" s="0" t="s">
        <v>2288</v>
      </c>
      <c r="K2314" s="0" t="s">
        <v>160</v>
      </c>
      <c r="M2314" s="0" t="s">
        <v>10050</v>
      </c>
      <c r="N2314" s="0" t="str">
        <f aca="false">RIGHT(M2314,LEN(M2314)-FIND(" ",M2314))</f>
        <v>WASHINGTON ST NE</v>
      </c>
      <c r="P2314" s="0" t="s">
        <v>145</v>
      </c>
      <c r="Q2314" s="0" t="s">
        <v>146</v>
      </c>
      <c r="R2314" s="0" t="n">
        <v>44483</v>
      </c>
      <c r="AD2314" s="0" t="s">
        <v>147</v>
      </c>
      <c r="AE2314" s="0" t="s">
        <v>148</v>
      </c>
      <c r="AF2314" s="0" t="s">
        <v>149</v>
      </c>
      <c r="AH2314" s="0" t="n">
        <v>14</v>
      </c>
      <c r="AI2314" s="0" t="n">
        <v>11</v>
      </c>
      <c r="AN2314" s="0" t="s">
        <v>145</v>
      </c>
      <c r="AO2314" s="0" t="s">
        <v>654</v>
      </c>
      <c r="AP2314" s="0" t="s">
        <v>655</v>
      </c>
      <c r="AQ2314" s="0" t="n">
        <v>9</v>
      </c>
      <c r="AR2314" s="0" t="n">
        <v>64</v>
      </c>
      <c r="AS2314" s="0" t="n">
        <v>32</v>
      </c>
      <c r="AU2314" s="0" t="n">
        <f aca="false">COUNTA($BA$2006:$EH$2006)</f>
        <v>3</v>
      </c>
      <c r="AV2314" s="0" t="n">
        <f aca="false">COUNTIF($BA$2006:$EH$2006,"D")</f>
        <v>0</v>
      </c>
      <c r="AW2314" s="0" t="n">
        <f aca="false">COUNTIF($BA$2006:$EH$2006,"R")</f>
        <v>0</v>
      </c>
      <c r="AX2314" s="0" t="n">
        <f aca="false">IF(BN2314="D",1,0)+IF(BO2314="D",1,0)+IF(BT2314="D",1,0)+IF(BU2314="D",1,0)+IF(BW2314="D",1,0)+IF(CC2314="D",1,0)+IF(CD2314="D",1,0)+IF(CE2314="D",1,0)+IF(CF2314="D",1,0)+IF(CL2314="D",1,0)+IF(CM2314="D",1,0)+IF(CQ2314="D",1,0)+IF(CR2314="D",1,0)+IF(CS2314="D",1,0)+IF(CW2314="D",1,0)+IF(CX2314="D",1,0)+IF(DD2314="D",1,0)+IF(DE2314="D",1,0)+IF(DJ2314="D",1,0)+IF(DK2314="D",1,0)+IF(DO2314="D",1,0)+IF(DP2314="D",1,0)+IF(DQ2314="D",1,0)+IF(DW2314="D",1,0)+IF(DZ2314="D",1,0)+IF(EH2314="D",1,0)</f>
        <v>0</v>
      </c>
      <c r="AY2314" s="0" t="n">
        <f aca="false">COUNTIF(DU2314:EH2314, "&lt;&gt;")</f>
        <v>2</v>
      </c>
      <c r="AZ2314" s="0" t="n">
        <f aca="false">IF(EH2314&lt;&gt;"",1,0)</f>
        <v>0</v>
      </c>
      <c r="BB2314" s="0" t="s">
        <v>152</v>
      </c>
      <c r="EA2314" s="0" t="s">
        <v>153</v>
      </c>
      <c r="EF2314" s="0" t="s">
        <v>153</v>
      </c>
    </row>
    <row r="2315" customFormat="false" ht="13.8" hidden="false" customHeight="false" outlineLevel="0" collapsed="false">
      <c r="A2315" s="0" t="s">
        <v>10054</v>
      </c>
      <c r="B2315" s="0" t="n">
        <v>78</v>
      </c>
      <c r="C2315" s="0" t="n">
        <v>409436</v>
      </c>
      <c r="D2315" s="0" t="s">
        <v>389</v>
      </c>
      <c r="E2315" s="0" t="s">
        <v>1964</v>
      </c>
      <c r="F2315" s="0" t="str">
        <f aca="false">CONCATENATE(D2315," ",LEFT(H2315,4),"T=",AU2315,"D=",AV2315,"R=",AW2315,"M=",AX2315,"L=",AY2315,"B=",AZ2315)</f>
        <v>RILEY T=4D=1R=0M=1L=5B=0</v>
      </c>
      <c r="G2315" s="0" t="s">
        <v>6340</v>
      </c>
      <c r="I2315" s="0" t="s">
        <v>10055</v>
      </c>
      <c r="J2315" s="0" t="s">
        <v>1185</v>
      </c>
      <c r="K2315" s="0" t="s">
        <v>160</v>
      </c>
      <c r="L2315" s="0" t="s">
        <v>209</v>
      </c>
      <c r="M2315" s="0" t="s">
        <v>10056</v>
      </c>
      <c r="N2315" s="0" t="str">
        <f aca="false">RIGHT(M2315,LEN(M2315)-FIND(" ",M2315))</f>
        <v>WASHINGTON ST NE</v>
      </c>
      <c r="P2315" s="0" t="s">
        <v>145</v>
      </c>
      <c r="Q2315" s="0" t="s">
        <v>146</v>
      </c>
      <c r="R2315" s="0" t="n">
        <v>44483</v>
      </c>
      <c r="AD2315" s="0" t="s">
        <v>147</v>
      </c>
      <c r="AE2315" s="0" t="s">
        <v>148</v>
      </c>
      <c r="AF2315" s="0" t="s">
        <v>149</v>
      </c>
      <c r="AH2315" s="0" t="n">
        <v>14</v>
      </c>
      <c r="AI2315" s="0" t="n">
        <v>11</v>
      </c>
      <c r="AN2315" s="0" t="s">
        <v>145</v>
      </c>
      <c r="AO2315" s="0" t="s">
        <v>654</v>
      </c>
      <c r="AP2315" s="0" t="s">
        <v>655</v>
      </c>
      <c r="AQ2315" s="0" t="n">
        <v>9</v>
      </c>
      <c r="AR2315" s="0" t="n">
        <v>64</v>
      </c>
      <c r="AS2315" s="0" t="n">
        <v>32</v>
      </c>
      <c r="AU2315" s="0" t="n">
        <f aca="false">COUNTA($BA$1936:$EH$1936)</f>
        <v>4</v>
      </c>
      <c r="AV2315" s="0" t="n">
        <f aca="false">COUNTIF($BA$1936:$EH$1936,"D")</f>
        <v>1</v>
      </c>
      <c r="AW2315" s="0" t="n">
        <f aca="false">COUNTIF($BA$1936:$EH$1936,"R")</f>
        <v>0</v>
      </c>
      <c r="AX2315" s="0" t="n">
        <f aca="false">IF(BN2315="D",1,0)+IF(BO2315="D",1,0)+IF(BT2315="D",1,0)+IF(BU2315="D",1,0)+IF(BW2315="D",1,0)+IF(CC2315="D",1,0)+IF(CD2315="D",1,0)+IF(CE2315="D",1,0)+IF(CF2315="D",1,0)+IF(CL2315="D",1,0)+IF(CM2315="D",1,0)+IF(CQ2315="D",1,0)+IF(CR2315="D",1,0)+IF(CS2315="D",1,0)+IF(CW2315="D",1,0)+IF(CX2315="D",1,0)+IF(DD2315="D",1,0)+IF(DE2315="D",1,0)+IF(DJ2315="D",1,0)+IF(DK2315="D",1,0)+IF(DO2315="D",1,0)+IF(DP2315="D",1,0)+IF(DQ2315="D",1,0)+IF(DW2315="D",1,0)+IF(DZ2315="D",1,0)+IF(EH2315="D",1,0)</f>
        <v>1</v>
      </c>
      <c r="AY2315" s="0" t="n">
        <f aca="false">COUNTIF(DU2315:EH2315, "&lt;&gt;")</f>
        <v>5</v>
      </c>
      <c r="AZ2315" s="0" t="n">
        <f aca="false">IF(EH2315&lt;&gt;"",1,0)</f>
        <v>0</v>
      </c>
      <c r="BB2315" s="0" t="s">
        <v>152</v>
      </c>
      <c r="CY2315" s="0" t="s">
        <v>153</v>
      </c>
      <c r="DC2315" s="0" t="s">
        <v>153</v>
      </c>
      <c r="DD2315" s="0" t="s">
        <v>175</v>
      </c>
      <c r="DI2315" s="0" t="s">
        <v>153</v>
      </c>
      <c r="DL2315" s="0" t="s">
        <v>153</v>
      </c>
      <c r="DM2315" s="0" t="s">
        <v>209</v>
      </c>
      <c r="DN2315" s="0" t="s">
        <v>153</v>
      </c>
      <c r="DR2315" s="0" t="s">
        <v>153</v>
      </c>
      <c r="DS2315" s="0" t="s">
        <v>209</v>
      </c>
      <c r="DT2315" s="0" t="s">
        <v>209</v>
      </c>
      <c r="DU2315" s="0" t="s">
        <v>153</v>
      </c>
      <c r="DW2315" s="0" t="s">
        <v>153</v>
      </c>
      <c r="DX2315" s="0" t="s">
        <v>153</v>
      </c>
      <c r="EA2315" s="0" t="s">
        <v>153</v>
      </c>
      <c r="EF2315" s="0" t="s">
        <v>153</v>
      </c>
    </row>
    <row r="2316" customFormat="false" ht="13.8" hidden="false" customHeight="false" outlineLevel="0" collapsed="false">
      <c r="A2316" s="0" t="s">
        <v>10057</v>
      </c>
      <c r="B2316" s="0" t="n">
        <v>78</v>
      </c>
      <c r="C2316" s="0" t="n">
        <v>409421</v>
      </c>
      <c r="D2316" s="0" t="s">
        <v>389</v>
      </c>
      <c r="E2316" s="0" t="s">
        <v>719</v>
      </c>
      <c r="F2316" s="0" t="str">
        <f aca="false">CONCATENATE(D2316," ",LEFT(H2316,4),"T=",AU2316,"D=",AV2316,"R=",AW2316,"M=",AX2316,"L=",AY2316,"B=",AZ2316)</f>
        <v>RILEY T=19D=2R=0M=0L=4B=0</v>
      </c>
      <c r="G2316" s="0" t="s">
        <v>171</v>
      </c>
      <c r="I2316" s="0" t="s">
        <v>10058</v>
      </c>
      <c r="J2316" s="0" t="s">
        <v>10059</v>
      </c>
      <c r="K2316" s="0" t="s">
        <v>160</v>
      </c>
      <c r="M2316" s="0" t="s">
        <v>10056</v>
      </c>
      <c r="N2316" s="0" t="str">
        <f aca="false">RIGHT(M2316,LEN(M2316)-FIND(" ",M2316))</f>
        <v>WASHINGTON ST NE</v>
      </c>
      <c r="P2316" s="0" t="s">
        <v>145</v>
      </c>
      <c r="Q2316" s="0" t="s">
        <v>146</v>
      </c>
      <c r="R2316" s="0" t="n">
        <v>44483</v>
      </c>
      <c r="AD2316" s="0" t="s">
        <v>147</v>
      </c>
      <c r="AE2316" s="0" t="s">
        <v>148</v>
      </c>
      <c r="AF2316" s="0" t="s">
        <v>149</v>
      </c>
      <c r="AH2316" s="0" t="n">
        <v>14</v>
      </c>
      <c r="AI2316" s="0" t="n">
        <v>11</v>
      </c>
      <c r="AN2316" s="0" t="s">
        <v>145</v>
      </c>
      <c r="AO2316" s="0" t="s">
        <v>654</v>
      </c>
      <c r="AP2316" s="0" t="s">
        <v>655</v>
      </c>
      <c r="AQ2316" s="0" t="n">
        <v>9</v>
      </c>
      <c r="AR2316" s="0" t="n">
        <v>64</v>
      </c>
      <c r="AS2316" s="0" t="n">
        <v>32</v>
      </c>
      <c r="AU2316" s="0" t="n">
        <f aca="false">COUNTA($BA$2002:$EH$2002)</f>
        <v>19</v>
      </c>
      <c r="AV2316" s="0" t="n">
        <f aca="false">COUNTIF($BA$2002:$EH$2002,"D")</f>
        <v>2</v>
      </c>
      <c r="AW2316" s="0" t="n">
        <f aca="false">COUNTIF($BA$2002:$EH$2002,"R")</f>
        <v>0</v>
      </c>
      <c r="AX2316" s="0" t="n">
        <f aca="false">IF(BN2316="D",1,0)+IF(BO2316="D",1,0)+IF(BT2316="D",1,0)+IF(BU2316="D",1,0)+IF(BW2316="D",1,0)+IF(CC2316="D",1,0)+IF(CD2316="D",1,0)+IF(CE2316="D",1,0)+IF(CF2316="D",1,0)+IF(CL2316="D",1,0)+IF(CM2316="D",1,0)+IF(CQ2316="D",1,0)+IF(CR2316="D",1,0)+IF(CS2316="D",1,0)+IF(CW2316="D",1,0)+IF(CX2316="D",1,0)+IF(DD2316="D",1,0)+IF(DE2316="D",1,0)+IF(DJ2316="D",1,0)+IF(DK2316="D",1,0)+IF(DO2316="D",1,0)+IF(DP2316="D",1,0)+IF(DQ2316="D",1,0)+IF(DW2316="D",1,0)+IF(DZ2316="D",1,0)+IF(EH2316="D",1,0)</f>
        <v>0</v>
      </c>
      <c r="AY2316" s="0" t="n">
        <f aca="false">COUNTIF(DU2316:EH2316, "&lt;&gt;")</f>
        <v>4</v>
      </c>
      <c r="AZ2316" s="0" t="n">
        <f aca="false">IF(EH2316&lt;&gt;"",1,0)</f>
        <v>0</v>
      </c>
      <c r="BB2316" s="0" t="s">
        <v>152</v>
      </c>
      <c r="DC2316" s="0" t="s">
        <v>153</v>
      </c>
      <c r="DI2316" s="0" t="s">
        <v>153</v>
      </c>
      <c r="DL2316" s="0" t="s">
        <v>153</v>
      </c>
      <c r="DM2316" s="0" t="s">
        <v>209</v>
      </c>
      <c r="DN2316" s="0" t="s">
        <v>153</v>
      </c>
      <c r="DR2316" s="0" t="s">
        <v>153</v>
      </c>
      <c r="DU2316" s="0" t="s">
        <v>153</v>
      </c>
      <c r="DW2316" s="0" t="s">
        <v>153</v>
      </c>
      <c r="EA2316" s="0" t="s">
        <v>153</v>
      </c>
      <c r="EF2316" s="0" t="s">
        <v>153</v>
      </c>
    </row>
    <row r="2317" customFormat="false" ht="13.8" hidden="true" customHeight="false" outlineLevel="0" collapsed="false">
      <c r="A2317" s="0" t="s">
        <v>10060</v>
      </c>
      <c r="B2317" s="0" t="n">
        <v>78</v>
      </c>
      <c r="C2317" s="0" t="n">
        <v>378606</v>
      </c>
      <c r="D2317" s="0" t="s">
        <v>10061</v>
      </c>
      <c r="E2317" s="0" t="s">
        <v>517</v>
      </c>
      <c r="F2317" s="0" t="str">
        <f aca="false">CONCATENATE(D2317," ",LEFT(H2317,4),"T=",AU2317,"D=",AV2317,"R=",AW2317,"M=",AX2317,"L=",AY2317,"B=",AZ2317)</f>
        <v>VANWINKLE T=4D=0R=0M=0L=0B=0</v>
      </c>
      <c r="G2317" s="0" t="s">
        <v>164</v>
      </c>
      <c r="I2317" s="0" t="s">
        <v>10062</v>
      </c>
      <c r="J2317" s="0" t="s">
        <v>10063</v>
      </c>
      <c r="K2317" s="0" t="s">
        <v>143</v>
      </c>
      <c r="M2317" s="0" t="s">
        <v>10064</v>
      </c>
      <c r="N2317" s="0" t="str">
        <f aca="false">RIGHT(M2317,LEN(M2317)-FIND(" ",M2317))</f>
        <v>WASHINGTON ST NE</v>
      </c>
      <c r="P2317" s="0" t="s">
        <v>145</v>
      </c>
      <c r="Q2317" s="0" t="s">
        <v>146</v>
      </c>
      <c r="R2317" s="0" t="n">
        <v>44483</v>
      </c>
      <c r="AD2317" s="0" t="s">
        <v>147</v>
      </c>
      <c r="AE2317" s="0" t="s">
        <v>148</v>
      </c>
      <c r="AF2317" s="0" t="s">
        <v>149</v>
      </c>
      <c r="AH2317" s="0" t="n">
        <v>14</v>
      </c>
      <c r="AI2317" s="0" t="n">
        <v>11</v>
      </c>
      <c r="AN2317" s="0" t="s">
        <v>145</v>
      </c>
      <c r="AO2317" s="0" t="s">
        <v>654</v>
      </c>
      <c r="AP2317" s="0" t="s">
        <v>655</v>
      </c>
      <c r="AQ2317" s="0" t="n">
        <v>9</v>
      </c>
      <c r="AR2317" s="0" t="n">
        <v>64</v>
      </c>
      <c r="AS2317" s="0" t="n">
        <v>32</v>
      </c>
      <c r="AU2317" s="0" t="n">
        <f aca="false">COUNTA($BA$1357:$EH$1357)</f>
        <v>4</v>
      </c>
      <c r="AV2317" s="0" t="n">
        <f aca="false">COUNTIF($BA$1357:$EH$1357,"D")</f>
        <v>0</v>
      </c>
      <c r="AW2317" s="0" t="n">
        <f aca="false">COUNTIF($BA$1357:$EH$1357,"R")</f>
        <v>0</v>
      </c>
      <c r="AX2317" s="0" t="n">
        <f aca="false">IF(BN2317="D",1,0)+IF(BO2317="D",1,0)+IF(BT2317="D",1,0)+IF(BU2317="D",1,0)+IF(BW2317="D",1,0)+IF(CC2317="D",1,0)+IF(CD2317="D",1,0)+IF(CE2317="D",1,0)+IF(CF2317="D",1,0)+IF(CL2317="D",1,0)+IF(CM2317="D",1,0)+IF(CQ2317="D",1,0)+IF(CR2317="D",1,0)+IF(CS2317="D",1,0)+IF(CW2317="D",1,0)+IF(CX2317="D",1,0)+IF(DD2317="D",1,0)+IF(DE2317="D",1,0)+IF(DJ2317="D",1,0)+IF(DK2317="D",1,0)+IF(DO2317="D",1,0)+IF(DP2317="D",1,0)+IF(DQ2317="D",1,0)+IF(DW2317="D",1,0)+IF(DZ2317="D",1,0)+IF(EH2317="D",1,0)</f>
        <v>0</v>
      </c>
      <c r="AY2317" s="0" t="n">
        <f aca="false">COUNTIF(DU2317:EH2317, "&lt;&gt;")</f>
        <v>0</v>
      </c>
      <c r="AZ2317" s="0" t="n">
        <f aca="false">IF(EH2317&lt;&gt;"",1,0)</f>
        <v>0</v>
      </c>
      <c r="BB2317" s="0" t="s">
        <v>152</v>
      </c>
    </row>
    <row r="2318" customFormat="false" ht="13.8" hidden="true" customHeight="false" outlineLevel="0" collapsed="false">
      <c r="A2318" s="0" t="s">
        <v>10065</v>
      </c>
      <c r="B2318" s="0" t="n">
        <v>78</v>
      </c>
      <c r="C2318" s="0" t="n">
        <v>408142</v>
      </c>
      <c r="D2318" s="0" t="s">
        <v>10066</v>
      </c>
      <c r="E2318" s="0" t="s">
        <v>3536</v>
      </c>
      <c r="F2318" s="0" t="str">
        <f aca="false">CONCATENATE(D2318," ",LEFT(H2318,4),"T=",AU2318,"D=",AV2318,"R=",AW2318,"M=",AX2318,"L=",AY2318,"B=",AZ2318)</f>
        <v>HAYS IVT=1D=0R=0M=0L=0B=0</v>
      </c>
      <c r="G2318" s="0" t="s">
        <v>4150</v>
      </c>
      <c r="H2318" s="0" t="s">
        <v>1165</v>
      </c>
      <c r="I2318" s="0" t="s">
        <v>10067</v>
      </c>
      <c r="J2318" s="0" t="s">
        <v>4650</v>
      </c>
      <c r="K2318" s="0" t="s">
        <v>160</v>
      </c>
      <c r="M2318" s="0" t="s">
        <v>10064</v>
      </c>
      <c r="N2318" s="0" t="str">
        <f aca="false">RIGHT(M2318,LEN(M2318)-FIND(" ",M2318))</f>
        <v>WASHINGTON ST NE</v>
      </c>
      <c r="P2318" s="0" t="s">
        <v>145</v>
      </c>
      <c r="Q2318" s="0" t="s">
        <v>146</v>
      </c>
      <c r="R2318" s="0" t="n">
        <v>44483</v>
      </c>
      <c r="AD2318" s="0" t="s">
        <v>147</v>
      </c>
      <c r="AE2318" s="0" t="s">
        <v>148</v>
      </c>
      <c r="AF2318" s="0" t="s">
        <v>149</v>
      </c>
      <c r="AH2318" s="0" t="n">
        <v>14</v>
      </c>
      <c r="AI2318" s="0" t="n">
        <v>11</v>
      </c>
      <c r="AN2318" s="0" t="s">
        <v>145</v>
      </c>
      <c r="AO2318" s="0" t="s">
        <v>654</v>
      </c>
      <c r="AP2318" s="0" t="s">
        <v>655</v>
      </c>
      <c r="AQ2318" s="0" t="n">
        <v>9</v>
      </c>
      <c r="AR2318" s="0" t="n">
        <v>64</v>
      </c>
      <c r="AS2318" s="0" t="n">
        <v>32</v>
      </c>
      <c r="AU2318" s="0" t="n">
        <f aca="false">COUNTA($BA$1362:$EH$1362)</f>
        <v>1</v>
      </c>
      <c r="AV2318" s="0" t="n">
        <f aca="false">COUNTIF($BA$1362:$EH$1362,"D")</f>
        <v>0</v>
      </c>
      <c r="AW2318" s="0" t="n">
        <f aca="false">COUNTIF($BA$1362:$EH$1362,"R")</f>
        <v>0</v>
      </c>
      <c r="AX2318" s="0" t="n">
        <f aca="false">IF(BN2318="D",1,0)+IF(BO2318="D",1,0)+IF(BT2318="D",1,0)+IF(BU2318="D",1,0)+IF(BW2318="D",1,0)+IF(CC2318="D",1,0)+IF(CD2318="D",1,0)+IF(CE2318="D",1,0)+IF(CF2318="D",1,0)+IF(CL2318="D",1,0)+IF(CM2318="D",1,0)+IF(CQ2318="D",1,0)+IF(CR2318="D",1,0)+IF(CS2318="D",1,0)+IF(CW2318="D",1,0)+IF(CX2318="D",1,0)+IF(DD2318="D",1,0)+IF(DE2318="D",1,0)+IF(DJ2318="D",1,0)+IF(DK2318="D",1,0)+IF(DO2318="D",1,0)+IF(DP2318="D",1,0)+IF(DQ2318="D",1,0)+IF(DW2318="D",1,0)+IF(DZ2318="D",1,0)+IF(EH2318="D",1,0)</f>
        <v>0</v>
      </c>
      <c r="AY2318" s="0" t="n">
        <f aca="false">COUNTIF(DU2318:EH2318, "&lt;&gt;")</f>
        <v>0</v>
      </c>
      <c r="AZ2318" s="0" t="n">
        <f aca="false">IF(EH2318&lt;&gt;"",1,0)</f>
        <v>0</v>
      </c>
      <c r="BB2318" s="0" t="s">
        <v>152</v>
      </c>
    </row>
    <row r="2319" customFormat="false" ht="13.8" hidden="true" customHeight="false" outlineLevel="0" collapsed="false">
      <c r="A2319" s="0" t="s">
        <v>10068</v>
      </c>
      <c r="B2319" s="0" t="n">
        <v>78</v>
      </c>
      <c r="C2319" s="0" t="n">
        <v>400309</v>
      </c>
      <c r="D2319" s="0" t="s">
        <v>10069</v>
      </c>
      <c r="E2319" s="0" t="s">
        <v>10070</v>
      </c>
      <c r="F2319" s="0" t="str">
        <f aca="false">CONCATENATE(D2319," ",LEFT(H2319,4),"T=",AU2319,"D=",AV2319,"R=",AW2319,"M=",AX2319,"L=",AY2319,"B=",AZ2319)</f>
        <v>KURTZMAN T=5D=0R=0M=0L=0B=0</v>
      </c>
      <c r="G2319" s="0" t="s">
        <v>307</v>
      </c>
      <c r="I2319" s="0" t="s">
        <v>10071</v>
      </c>
      <c r="J2319" s="0" t="s">
        <v>5460</v>
      </c>
      <c r="K2319" s="0" t="s">
        <v>160</v>
      </c>
      <c r="M2319" s="0" t="s">
        <v>10072</v>
      </c>
      <c r="N2319" s="0" t="str">
        <f aca="false">RIGHT(M2319,LEN(M2319)-FIND(" ",M2319))</f>
        <v>WASHINGTON ST NE</v>
      </c>
      <c r="P2319" s="0" t="s">
        <v>145</v>
      </c>
      <c r="Q2319" s="0" t="s">
        <v>146</v>
      </c>
      <c r="R2319" s="0" t="n">
        <v>44483</v>
      </c>
      <c r="AD2319" s="0" t="s">
        <v>147</v>
      </c>
      <c r="AE2319" s="0" t="s">
        <v>148</v>
      </c>
      <c r="AF2319" s="0" t="s">
        <v>149</v>
      </c>
      <c r="AH2319" s="0" t="n">
        <v>14</v>
      </c>
      <c r="AI2319" s="0" t="n">
        <v>11</v>
      </c>
      <c r="AN2319" s="0" t="s">
        <v>145</v>
      </c>
      <c r="AO2319" s="0" t="s">
        <v>654</v>
      </c>
      <c r="AP2319" s="0" t="s">
        <v>655</v>
      </c>
      <c r="AQ2319" s="0" t="n">
        <v>9</v>
      </c>
      <c r="AR2319" s="0" t="n">
        <v>64</v>
      </c>
      <c r="AS2319" s="0" t="n">
        <v>32</v>
      </c>
      <c r="AU2319" s="0" t="n">
        <f aca="false">COUNTA($BA$2063:$EH$2063)</f>
        <v>5</v>
      </c>
      <c r="AV2319" s="0" t="n">
        <f aca="false">COUNTIF($BA$2063:$EH$2063,"D")</f>
        <v>0</v>
      </c>
      <c r="AW2319" s="0" t="n">
        <f aca="false">COUNTIF($BA$2063:$EH$2063,"R")</f>
        <v>0</v>
      </c>
      <c r="AX2319" s="0" t="n">
        <f aca="false">IF(BN2319="D",1,0)+IF(BO2319="D",1,0)+IF(BT2319="D",1,0)+IF(BU2319="D",1,0)+IF(BW2319="D",1,0)+IF(CC2319="D",1,0)+IF(CD2319="D",1,0)+IF(CE2319="D",1,0)+IF(CF2319="D",1,0)+IF(CL2319="D",1,0)+IF(CM2319="D",1,0)+IF(CQ2319="D",1,0)+IF(CR2319="D",1,0)+IF(CS2319="D",1,0)+IF(CW2319="D",1,0)+IF(CX2319="D",1,0)+IF(DD2319="D",1,0)+IF(DE2319="D",1,0)+IF(DJ2319="D",1,0)+IF(DK2319="D",1,0)+IF(DO2319="D",1,0)+IF(DP2319="D",1,0)+IF(DQ2319="D",1,0)+IF(DW2319="D",1,0)+IF(DZ2319="D",1,0)+IF(EH2319="D",1,0)</f>
        <v>0</v>
      </c>
      <c r="AY2319" s="0" t="n">
        <f aca="false">COUNTIF(DU2319:EH2319, "&lt;&gt;")</f>
        <v>0</v>
      </c>
      <c r="AZ2319" s="0" t="n">
        <f aca="false">IF(EH2319&lt;&gt;"",1,0)</f>
        <v>0</v>
      </c>
      <c r="BB2319" s="0" t="s">
        <v>152</v>
      </c>
    </row>
    <row r="2320" customFormat="false" ht="13.8" hidden="true" customHeight="false" outlineLevel="0" collapsed="false">
      <c r="A2320" s="0" t="s">
        <v>10073</v>
      </c>
      <c r="B2320" s="0" t="n">
        <v>78</v>
      </c>
      <c r="C2320" s="0" t="n">
        <v>494513</v>
      </c>
      <c r="D2320" s="0" t="s">
        <v>2353</v>
      </c>
      <c r="E2320" s="0" t="s">
        <v>3458</v>
      </c>
      <c r="F2320" s="0" t="str">
        <f aca="false">CONCATENATE(D2320," ",LEFT(H2320,4),"T=",AU2320,"D=",AV2320,"R=",AW2320,"M=",AX2320,"L=",AY2320,"B=",AZ2320)</f>
        <v>MIRANDA T=2D=0R=0M=0L=0B=0</v>
      </c>
      <c r="G2320" s="0" t="s">
        <v>839</v>
      </c>
      <c r="I2320" s="0" t="s">
        <v>10074</v>
      </c>
      <c r="J2320" s="0" t="s">
        <v>4005</v>
      </c>
      <c r="K2320" s="0" t="s">
        <v>160</v>
      </c>
      <c r="M2320" s="0" t="s">
        <v>10075</v>
      </c>
      <c r="N2320" s="0" t="str">
        <f aca="false">RIGHT(M2320,LEN(M2320)-FIND(" ",M2320))</f>
        <v>WASHINGTON ST NE</v>
      </c>
      <c r="P2320" s="0" t="s">
        <v>145</v>
      </c>
      <c r="Q2320" s="0" t="s">
        <v>146</v>
      </c>
      <c r="R2320" s="0" t="n">
        <v>44483</v>
      </c>
      <c r="AD2320" s="0" t="s">
        <v>147</v>
      </c>
      <c r="AE2320" s="0" t="s">
        <v>148</v>
      </c>
      <c r="AF2320" s="0" t="s">
        <v>149</v>
      </c>
      <c r="AH2320" s="0" t="n">
        <v>14</v>
      </c>
      <c r="AI2320" s="0" t="n">
        <v>11</v>
      </c>
      <c r="AN2320" s="0" t="s">
        <v>145</v>
      </c>
      <c r="AO2320" s="0" t="s">
        <v>654</v>
      </c>
      <c r="AP2320" s="0" t="s">
        <v>655</v>
      </c>
      <c r="AQ2320" s="0" t="n">
        <v>9</v>
      </c>
      <c r="AR2320" s="0" t="n">
        <v>64</v>
      </c>
      <c r="AS2320" s="0" t="n">
        <v>32</v>
      </c>
      <c r="AU2320" s="0" t="n">
        <f aca="false">COUNTA($BA$1453:$EH$1453)</f>
        <v>2</v>
      </c>
      <c r="AV2320" s="0" t="n">
        <f aca="false">COUNTIF($BA$1453:$EH$1453,"D")</f>
        <v>0</v>
      </c>
      <c r="AW2320" s="0" t="n">
        <f aca="false">COUNTIF($BA$1453:$EH$1453,"R")</f>
        <v>0</v>
      </c>
      <c r="AX2320" s="0" t="n">
        <f aca="false">IF(BN2320="D",1,0)+IF(BO2320="D",1,0)+IF(BT2320="D",1,0)+IF(BU2320="D",1,0)+IF(BW2320="D",1,0)+IF(CC2320="D",1,0)+IF(CD2320="D",1,0)+IF(CE2320="D",1,0)+IF(CF2320="D",1,0)+IF(CL2320="D",1,0)+IF(CM2320="D",1,0)+IF(CQ2320="D",1,0)+IF(CR2320="D",1,0)+IF(CS2320="D",1,0)+IF(CW2320="D",1,0)+IF(CX2320="D",1,0)+IF(DD2320="D",1,0)+IF(DE2320="D",1,0)+IF(DJ2320="D",1,0)+IF(DK2320="D",1,0)+IF(DO2320="D",1,0)+IF(DP2320="D",1,0)+IF(DQ2320="D",1,0)+IF(DW2320="D",1,0)+IF(DZ2320="D",1,0)+IF(EH2320="D",1,0)</f>
        <v>0</v>
      </c>
      <c r="AY2320" s="0" t="n">
        <f aca="false">COUNTIF(DU2320:EH2320, "&lt;&gt;")</f>
        <v>0</v>
      </c>
      <c r="AZ2320" s="0" t="n">
        <f aca="false">IF(EH2320&lt;&gt;"",1,0)</f>
        <v>0</v>
      </c>
      <c r="BB2320" s="0" t="s">
        <v>152</v>
      </c>
    </row>
    <row r="2321" customFormat="false" ht="13.8" hidden="true" customHeight="false" outlineLevel="0" collapsed="false">
      <c r="A2321" s="0" t="s">
        <v>10076</v>
      </c>
      <c r="B2321" s="0" t="n">
        <v>78</v>
      </c>
      <c r="C2321" s="0" t="n">
        <v>444908</v>
      </c>
      <c r="D2321" s="0" t="s">
        <v>6404</v>
      </c>
      <c r="E2321" s="0" t="s">
        <v>5548</v>
      </c>
      <c r="F2321" s="0" t="str">
        <f aca="false">CONCATENATE(D2321," ",LEFT(H2321,4),"T=",AU2321,"D=",AV2321,"R=",AW2321,"M=",AX2321,"L=",AY2321,"B=",AZ2321)</f>
        <v>DAY T=48D=16R=0M=0L=0B=0</v>
      </c>
      <c r="G2321" s="0" t="s">
        <v>164</v>
      </c>
      <c r="I2321" s="0" t="s">
        <v>10077</v>
      </c>
      <c r="J2321" s="0" t="s">
        <v>1670</v>
      </c>
      <c r="K2321" s="0" t="s">
        <v>143</v>
      </c>
      <c r="M2321" s="0" t="s">
        <v>10075</v>
      </c>
      <c r="N2321" s="0" t="str">
        <f aca="false">RIGHT(M2321,LEN(M2321)-FIND(" ",M2321))</f>
        <v>WASHINGTON ST NE</v>
      </c>
      <c r="P2321" s="0" t="s">
        <v>145</v>
      </c>
      <c r="Q2321" s="0" t="s">
        <v>146</v>
      </c>
      <c r="R2321" s="0" t="n">
        <v>44483</v>
      </c>
      <c r="AD2321" s="0" t="s">
        <v>147</v>
      </c>
      <c r="AE2321" s="0" t="s">
        <v>148</v>
      </c>
      <c r="AF2321" s="0" t="s">
        <v>149</v>
      </c>
      <c r="AH2321" s="0" t="n">
        <v>14</v>
      </c>
      <c r="AI2321" s="0" t="n">
        <v>11</v>
      </c>
      <c r="AN2321" s="0" t="s">
        <v>145</v>
      </c>
      <c r="AO2321" s="0" t="s">
        <v>654</v>
      </c>
      <c r="AP2321" s="0" t="s">
        <v>655</v>
      </c>
      <c r="AQ2321" s="0" t="n">
        <v>9</v>
      </c>
      <c r="AR2321" s="0" t="n">
        <v>64</v>
      </c>
      <c r="AS2321" s="0" t="n">
        <v>32</v>
      </c>
      <c r="AU2321" s="0" t="n">
        <f aca="false">COUNTA($BA$1892:$EH$1892)</f>
        <v>48</v>
      </c>
      <c r="AV2321" s="0" t="n">
        <f aca="false">COUNTIF($BA$1892:$EH$1892,"D")</f>
        <v>16</v>
      </c>
      <c r="AW2321" s="0" t="n">
        <f aca="false">COUNTIF($BA$1892:$EH$1892,"R")</f>
        <v>0</v>
      </c>
      <c r="AX2321" s="0" t="n">
        <f aca="false">IF(BN2321="D",1,0)+IF(BO2321="D",1,0)+IF(BT2321="D",1,0)+IF(BU2321="D",1,0)+IF(BW2321="D",1,0)+IF(CC2321="D",1,0)+IF(CD2321="D",1,0)+IF(CE2321="D",1,0)+IF(CF2321="D",1,0)+IF(CL2321="D",1,0)+IF(CM2321="D",1,0)+IF(CQ2321="D",1,0)+IF(CR2321="D",1,0)+IF(CS2321="D",1,0)+IF(CW2321="D",1,0)+IF(CX2321="D",1,0)+IF(DD2321="D",1,0)+IF(DE2321="D",1,0)+IF(DJ2321="D",1,0)+IF(DK2321="D",1,0)+IF(DO2321="D",1,0)+IF(DP2321="D",1,0)+IF(DQ2321="D",1,0)+IF(DW2321="D",1,0)+IF(DZ2321="D",1,0)+IF(EH2321="D",1,0)</f>
        <v>0</v>
      </c>
      <c r="AY2321" s="0" t="n">
        <f aca="false">COUNTIF(DU2321:EH2321, "&lt;&gt;")</f>
        <v>0</v>
      </c>
      <c r="AZ2321" s="0" t="n">
        <f aca="false">IF(EH2321&lt;&gt;"",1,0)</f>
        <v>0</v>
      </c>
      <c r="BB2321" s="0" t="s">
        <v>152</v>
      </c>
    </row>
    <row r="2322" customFormat="false" ht="13.8" hidden="true" customHeight="false" outlineLevel="0" collapsed="false">
      <c r="A2322" s="0" t="s">
        <v>10078</v>
      </c>
      <c r="B2322" s="0" t="n">
        <v>78</v>
      </c>
      <c r="C2322" s="0" t="n">
        <v>485281</v>
      </c>
      <c r="D2322" s="0" t="s">
        <v>6295</v>
      </c>
      <c r="E2322" s="0" t="s">
        <v>10079</v>
      </c>
      <c r="F2322" s="0" t="str">
        <f aca="false">CONCATENATE(D2322," ",LEFT(H2322,4),"T=",AU2322,"D=",AV2322,"R=",AW2322,"M=",AX2322,"L=",AY2322,"B=",AZ2322)</f>
        <v>COLE T=7D=1R=0M=0L=0B=0</v>
      </c>
      <c r="G2322" s="0" t="s">
        <v>10080</v>
      </c>
      <c r="I2322" s="0" t="s">
        <v>10081</v>
      </c>
      <c r="J2322" s="0" t="s">
        <v>7745</v>
      </c>
      <c r="K2322" s="0" t="s">
        <v>160</v>
      </c>
      <c r="M2322" s="0" t="s">
        <v>10082</v>
      </c>
      <c r="N2322" s="0" t="str">
        <f aca="false">RIGHT(M2322,LEN(M2322)-FIND(" ",M2322))</f>
        <v>WASHINGTON ST NE</v>
      </c>
      <c r="P2322" s="0" t="s">
        <v>145</v>
      </c>
      <c r="Q2322" s="0" t="s">
        <v>146</v>
      </c>
      <c r="R2322" s="0" t="n">
        <v>44483</v>
      </c>
      <c r="S2322" s="0" t="n">
        <v>4933</v>
      </c>
      <c r="AD2322" s="0" t="s">
        <v>147</v>
      </c>
      <c r="AE2322" s="0" t="s">
        <v>148</v>
      </c>
      <c r="AF2322" s="0" t="s">
        <v>149</v>
      </c>
      <c r="AH2322" s="0" t="n">
        <v>14</v>
      </c>
      <c r="AI2322" s="0" t="n">
        <v>11</v>
      </c>
      <c r="AN2322" s="0" t="s">
        <v>145</v>
      </c>
      <c r="AO2322" s="0" t="s">
        <v>654</v>
      </c>
      <c r="AP2322" s="0" t="s">
        <v>655</v>
      </c>
      <c r="AQ2322" s="0" t="n">
        <v>9</v>
      </c>
      <c r="AR2322" s="0" t="n">
        <v>64</v>
      </c>
      <c r="AS2322" s="0" t="n">
        <v>32</v>
      </c>
      <c r="AU2322" s="0" t="n">
        <f aca="false">COUNTA($BA$1691:$EH$1691)</f>
        <v>7</v>
      </c>
      <c r="AV2322" s="0" t="n">
        <f aca="false">COUNTIF($BA$1691:$EH$1691,"D")</f>
        <v>1</v>
      </c>
      <c r="AW2322" s="0" t="n">
        <f aca="false">COUNTIF($BA$1691:$EH$1691,"R")</f>
        <v>0</v>
      </c>
      <c r="AX2322" s="0" t="n">
        <f aca="false">IF(BN2322="D",1,0)+IF(BO2322="D",1,0)+IF(BT2322="D",1,0)+IF(BU2322="D",1,0)+IF(BW2322="D",1,0)+IF(CC2322="D",1,0)+IF(CD2322="D",1,0)+IF(CE2322="D",1,0)+IF(CF2322="D",1,0)+IF(CL2322="D",1,0)+IF(CM2322="D",1,0)+IF(CQ2322="D",1,0)+IF(CR2322="D",1,0)+IF(CS2322="D",1,0)+IF(CW2322="D",1,0)+IF(CX2322="D",1,0)+IF(DD2322="D",1,0)+IF(DE2322="D",1,0)+IF(DJ2322="D",1,0)+IF(DK2322="D",1,0)+IF(DO2322="D",1,0)+IF(DP2322="D",1,0)+IF(DQ2322="D",1,0)+IF(DW2322="D",1,0)+IF(DZ2322="D",1,0)+IF(EH2322="D",1,0)</f>
        <v>0</v>
      </c>
      <c r="AY2322" s="0" t="n">
        <f aca="false">COUNTIF(DU2322:EH2322, "&lt;&gt;")</f>
        <v>0</v>
      </c>
      <c r="AZ2322" s="0" t="n">
        <f aca="false">IF(EH2322&lt;&gt;"",1,0)</f>
        <v>0</v>
      </c>
      <c r="BB2322" s="0" t="s">
        <v>152</v>
      </c>
    </row>
    <row r="2323" customFormat="false" ht="13.8" hidden="true" customHeight="false" outlineLevel="0" collapsed="false">
      <c r="A2323" s="0" t="s">
        <v>10083</v>
      </c>
      <c r="B2323" s="0" t="n">
        <v>78</v>
      </c>
      <c r="C2323" s="0" t="n">
        <v>474927</v>
      </c>
      <c r="D2323" s="0" t="s">
        <v>10084</v>
      </c>
      <c r="E2323" s="0" t="s">
        <v>4191</v>
      </c>
      <c r="F2323" s="0" t="str">
        <f aca="false">CONCATENATE(D2323," ",LEFT(H2323,4),"T=",AU2323,"D=",AV2323,"R=",AW2323,"M=",AX2323,"L=",AY2323,"B=",AZ2323)</f>
        <v>CHURCH T=11D=1R=0M=0L=0B=0</v>
      </c>
      <c r="G2323" s="0" t="s">
        <v>10085</v>
      </c>
      <c r="I2323" s="0" t="s">
        <v>10086</v>
      </c>
      <c r="J2323" s="0" t="s">
        <v>10087</v>
      </c>
      <c r="K2323" s="0" t="s">
        <v>160</v>
      </c>
      <c r="M2323" s="0" t="s">
        <v>10088</v>
      </c>
      <c r="N2323" s="0" t="str">
        <f aca="false">RIGHT(M2323,LEN(M2323)-FIND(" ",M2323))</f>
        <v>WASHINGTON ST NE</v>
      </c>
      <c r="P2323" s="0" t="s">
        <v>145</v>
      </c>
      <c r="Q2323" s="0" t="s">
        <v>146</v>
      </c>
      <c r="R2323" s="0" t="n">
        <v>44483</v>
      </c>
      <c r="AD2323" s="0" t="s">
        <v>147</v>
      </c>
      <c r="AE2323" s="0" t="s">
        <v>148</v>
      </c>
      <c r="AF2323" s="0" t="s">
        <v>149</v>
      </c>
      <c r="AH2323" s="0" t="n">
        <v>14</v>
      </c>
      <c r="AI2323" s="0" t="n">
        <v>11</v>
      </c>
      <c r="AN2323" s="0" t="s">
        <v>145</v>
      </c>
      <c r="AO2323" s="0" t="s">
        <v>654</v>
      </c>
      <c r="AP2323" s="0" t="s">
        <v>655</v>
      </c>
      <c r="AQ2323" s="0" t="n">
        <v>9</v>
      </c>
      <c r="AR2323" s="0" t="n">
        <v>64</v>
      </c>
      <c r="AS2323" s="0" t="n">
        <v>32</v>
      </c>
      <c r="AU2323" s="0" t="n">
        <f aca="false">COUNTA($BA$1638:$EH$1638)</f>
        <v>11</v>
      </c>
      <c r="AV2323" s="0" t="n">
        <f aca="false">COUNTIF($BA$1638:$EH$1638,"D")</f>
        <v>1</v>
      </c>
      <c r="AW2323" s="0" t="n">
        <f aca="false">COUNTIF($BA$1638:$EH$1638,"R")</f>
        <v>0</v>
      </c>
      <c r="AX2323" s="0" t="n">
        <f aca="false">IF(BN2323="D",1,0)+IF(BO2323="D",1,0)+IF(BT2323="D",1,0)+IF(BU2323="D",1,0)+IF(BW2323="D",1,0)+IF(CC2323="D",1,0)+IF(CD2323="D",1,0)+IF(CE2323="D",1,0)+IF(CF2323="D",1,0)+IF(CL2323="D",1,0)+IF(CM2323="D",1,0)+IF(CQ2323="D",1,0)+IF(CR2323="D",1,0)+IF(CS2323="D",1,0)+IF(CW2323="D",1,0)+IF(CX2323="D",1,0)+IF(DD2323="D",1,0)+IF(DE2323="D",1,0)+IF(DJ2323="D",1,0)+IF(DK2323="D",1,0)+IF(DO2323="D",1,0)+IF(DP2323="D",1,0)+IF(DQ2323="D",1,0)+IF(DW2323="D",1,0)+IF(DZ2323="D",1,0)+IF(EH2323="D",1,0)</f>
        <v>0</v>
      </c>
      <c r="AY2323" s="0" t="n">
        <f aca="false">COUNTIF(DU2323:EH2323, "&lt;&gt;")</f>
        <v>0</v>
      </c>
      <c r="AZ2323" s="0" t="n">
        <f aca="false">IF(EH2323&lt;&gt;"",1,0)</f>
        <v>0</v>
      </c>
      <c r="BB2323" s="0" t="s">
        <v>152</v>
      </c>
    </row>
    <row r="2324" customFormat="false" ht="13.8" hidden="true" customHeight="false" outlineLevel="0" collapsed="false">
      <c r="A2324" s="0" t="s">
        <v>10089</v>
      </c>
      <c r="B2324" s="0" t="n">
        <v>78</v>
      </c>
      <c r="C2324" s="0" t="n">
        <v>463611</v>
      </c>
      <c r="D2324" s="0" t="s">
        <v>10084</v>
      </c>
      <c r="E2324" s="0" t="s">
        <v>275</v>
      </c>
      <c r="F2324" s="0" t="str">
        <f aca="false">CONCATENATE(D2324," ",LEFT(H2324,4),"T=",AU2324,"D=",AV2324,"R=",AW2324,"M=",AX2324,"L=",AY2324,"B=",AZ2324)</f>
        <v>CHURCH T=10D=1R=0M=0L=0B=0</v>
      </c>
      <c r="G2324" s="0" t="s">
        <v>424</v>
      </c>
      <c r="I2324" s="0" t="s">
        <v>10090</v>
      </c>
      <c r="J2324" s="0" t="s">
        <v>10091</v>
      </c>
      <c r="K2324" s="0" t="s">
        <v>160</v>
      </c>
      <c r="M2324" s="0" t="s">
        <v>10088</v>
      </c>
      <c r="N2324" s="0" t="str">
        <f aca="false">RIGHT(M2324,LEN(M2324)-FIND(" ",M2324))</f>
        <v>WASHINGTON ST NE</v>
      </c>
      <c r="P2324" s="0" t="s">
        <v>145</v>
      </c>
      <c r="Q2324" s="0" t="s">
        <v>146</v>
      </c>
      <c r="R2324" s="0" t="n">
        <v>44483</v>
      </c>
      <c r="AD2324" s="0" t="s">
        <v>147</v>
      </c>
      <c r="AE2324" s="0" t="s">
        <v>148</v>
      </c>
      <c r="AF2324" s="0" t="s">
        <v>149</v>
      </c>
      <c r="AH2324" s="0" t="n">
        <v>14</v>
      </c>
      <c r="AI2324" s="0" t="n">
        <v>11</v>
      </c>
      <c r="AN2324" s="0" t="s">
        <v>145</v>
      </c>
      <c r="AO2324" s="0" t="s">
        <v>654</v>
      </c>
      <c r="AP2324" s="0" t="s">
        <v>655</v>
      </c>
      <c r="AQ2324" s="0" t="n">
        <v>9</v>
      </c>
      <c r="AR2324" s="0" t="n">
        <v>64</v>
      </c>
      <c r="AS2324" s="0" t="n">
        <v>32</v>
      </c>
      <c r="AU2324" s="0" t="n">
        <f aca="false">COUNTA($BA$1682:$EH$1682)</f>
        <v>10</v>
      </c>
      <c r="AV2324" s="0" t="n">
        <f aca="false">COUNTIF($BA$1682:$EH$1682,"D")</f>
        <v>1</v>
      </c>
      <c r="AW2324" s="0" t="n">
        <f aca="false">COUNTIF($BA$1682:$EH$1682,"R")</f>
        <v>0</v>
      </c>
      <c r="AX2324" s="0" t="n">
        <f aca="false">IF(BN2324="D",1,0)+IF(BO2324="D",1,0)+IF(BT2324="D",1,0)+IF(BU2324="D",1,0)+IF(BW2324="D",1,0)+IF(CC2324="D",1,0)+IF(CD2324="D",1,0)+IF(CE2324="D",1,0)+IF(CF2324="D",1,0)+IF(CL2324="D",1,0)+IF(CM2324="D",1,0)+IF(CQ2324="D",1,0)+IF(CR2324="D",1,0)+IF(CS2324="D",1,0)+IF(CW2324="D",1,0)+IF(CX2324="D",1,0)+IF(DD2324="D",1,0)+IF(DE2324="D",1,0)+IF(DJ2324="D",1,0)+IF(DK2324="D",1,0)+IF(DO2324="D",1,0)+IF(DP2324="D",1,0)+IF(DQ2324="D",1,0)+IF(DW2324="D",1,0)+IF(DZ2324="D",1,0)+IF(EH2324="D",1,0)</f>
        <v>0</v>
      </c>
      <c r="AY2324" s="0" t="n">
        <f aca="false">COUNTIF(DU2324:EH2324, "&lt;&gt;")</f>
        <v>0</v>
      </c>
      <c r="AZ2324" s="0" t="n">
        <f aca="false">IF(EH2324&lt;&gt;"",1,0)</f>
        <v>0</v>
      </c>
      <c r="BB2324" s="0" t="s">
        <v>152</v>
      </c>
    </row>
    <row r="2325" customFormat="false" ht="13.8" hidden="true" customHeight="false" outlineLevel="0" collapsed="false">
      <c r="A2325" s="0" t="s">
        <v>10092</v>
      </c>
      <c r="B2325" s="0" t="n">
        <v>78</v>
      </c>
      <c r="C2325" s="0" t="n">
        <v>472344</v>
      </c>
      <c r="D2325" s="0" t="s">
        <v>10093</v>
      </c>
      <c r="E2325" s="0" t="s">
        <v>469</v>
      </c>
      <c r="F2325" s="0" t="str">
        <f aca="false">CONCATENATE(D2325," ",LEFT(H2325,4),"T=",AU2325,"D=",AV2325,"R=",AW2325,"M=",AX2325,"L=",AY2325,"B=",AZ2325)</f>
        <v>OBERBECK T=11D=2R=0M=0L=0B=0</v>
      </c>
      <c r="G2325" s="0" t="s">
        <v>1128</v>
      </c>
      <c r="I2325" s="0" t="s">
        <v>10094</v>
      </c>
      <c r="J2325" s="0" t="s">
        <v>10095</v>
      </c>
      <c r="K2325" s="0" t="s">
        <v>160</v>
      </c>
      <c r="M2325" s="0" t="s">
        <v>10088</v>
      </c>
      <c r="N2325" s="0" t="str">
        <f aca="false">RIGHT(M2325,LEN(M2325)-FIND(" ",M2325))</f>
        <v>WASHINGTON ST NE</v>
      </c>
      <c r="P2325" s="0" t="s">
        <v>145</v>
      </c>
      <c r="Q2325" s="0" t="s">
        <v>146</v>
      </c>
      <c r="R2325" s="0" t="n">
        <v>44483</v>
      </c>
      <c r="AD2325" s="0" t="s">
        <v>147</v>
      </c>
      <c r="AE2325" s="0" t="s">
        <v>148</v>
      </c>
      <c r="AF2325" s="0" t="s">
        <v>149</v>
      </c>
      <c r="AH2325" s="0" t="n">
        <v>14</v>
      </c>
      <c r="AI2325" s="0" t="n">
        <v>11</v>
      </c>
      <c r="AN2325" s="0" t="s">
        <v>145</v>
      </c>
      <c r="AO2325" s="0" t="s">
        <v>654</v>
      </c>
      <c r="AP2325" s="0" t="s">
        <v>655</v>
      </c>
      <c r="AQ2325" s="0" t="n">
        <v>9</v>
      </c>
      <c r="AR2325" s="0" t="n">
        <v>64</v>
      </c>
      <c r="AS2325" s="0" t="n">
        <v>32</v>
      </c>
      <c r="AU2325" s="0" t="n">
        <f aca="false">COUNTA($BA$1933:$EH$1933)</f>
        <v>11</v>
      </c>
      <c r="AV2325" s="0" t="n">
        <f aca="false">COUNTIF($BA$1933:$EH$1933,"D")</f>
        <v>2</v>
      </c>
      <c r="AW2325" s="0" t="n">
        <f aca="false">COUNTIF($BA$1933:$EH$1933,"R")</f>
        <v>0</v>
      </c>
      <c r="AX2325" s="0" t="n">
        <f aca="false">IF(BN2325="D",1,0)+IF(BO2325="D",1,0)+IF(BT2325="D",1,0)+IF(BU2325="D",1,0)+IF(BW2325="D",1,0)+IF(CC2325="D",1,0)+IF(CD2325="D",1,0)+IF(CE2325="D",1,0)+IF(CF2325="D",1,0)+IF(CL2325="D",1,0)+IF(CM2325="D",1,0)+IF(CQ2325="D",1,0)+IF(CR2325="D",1,0)+IF(CS2325="D",1,0)+IF(CW2325="D",1,0)+IF(CX2325="D",1,0)+IF(DD2325="D",1,0)+IF(DE2325="D",1,0)+IF(DJ2325="D",1,0)+IF(DK2325="D",1,0)+IF(DO2325="D",1,0)+IF(DP2325="D",1,0)+IF(DQ2325="D",1,0)+IF(DW2325="D",1,0)+IF(DZ2325="D",1,0)+IF(EH2325="D",1,0)</f>
        <v>0</v>
      </c>
      <c r="AY2325" s="0" t="n">
        <f aca="false">COUNTIF(DU2325:EH2325, "&lt;&gt;")</f>
        <v>0</v>
      </c>
      <c r="AZ2325" s="0" t="n">
        <f aca="false">IF(EH2325&lt;&gt;"",1,0)</f>
        <v>0</v>
      </c>
      <c r="BB2325" s="0" t="s">
        <v>152</v>
      </c>
    </row>
    <row r="2326" customFormat="false" ht="13.8" hidden="true" customHeight="false" outlineLevel="0" collapsed="false">
      <c r="A2326" s="0" t="s">
        <v>10096</v>
      </c>
      <c r="B2326" s="0" t="n">
        <v>78</v>
      </c>
      <c r="C2326" s="0" t="n">
        <v>454002</v>
      </c>
      <c r="D2326" s="0" t="s">
        <v>9203</v>
      </c>
      <c r="E2326" s="0" t="s">
        <v>7761</v>
      </c>
      <c r="F2326" s="0" t="str">
        <f aca="false">CONCATENATE(D2326," ",LEFT(H2326,4),"T=",AU2326,"D=",AV2326,"R=",AW2326,"M=",AX2326,"L=",AY2326,"B=",AZ2326)</f>
        <v>PALMER T=16D=3R=0M=0L=0B=0</v>
      </c>
      <c r="G2326" s="0" t="s">
        <v>10097</v>
      </c>
      <c r="I2326" s="0" t="s">
        <v>10098</v>
      </c>
      <c r="J2326" s="0" t="s">
        <v>8878</v>
      </c>
      <c r="K2326" s="0" t="s">
        <v>143</v>
      </c>
      <c r="M2326" s="0" t="s">
        <v>10088</v>
      </c>
      <c r="N2326" s="0" t="str">
        <f aca="false">RIGHT(M2326,LEN(M2326)-FIND(" ",M2326))</f>
        <v>WASHINGTON ST NE</v>
      </c>
      <c r="P2326" s="0" t="s">
        <v>145</v>
      </c>
      <c r="Q2326" s="0" t="s">
        <v>146</v>
      </c>
      <c r="R2326" s="0" t="n">
        <v>44483</v>
      </c>
      <c r="AD2326" s="0" t="s">
        <v>147</v>
      </c>
      <c r="AE2326" s="0" t="s">
        <v>148</v>
      </c>
      <c r="AF2326" s="0" t="s">
        <v>149</v>
      </c>
      <c r="AH2326" s="0" t="n">
        <v>14</v>
      </c>
      <c r="AI2326" s="0" t="n">
        <v>11</v>
      </c>
      <c r="AN2326" s="0" t="s">
        <v>145</v>
      </c>
      <c r="AO2326" s="0" t="s">
        <v>654</v>
      </c>
      <c r="AP2326" s="0" t="s">
        <v>655</v>
      </c>
      <c r="AQ2326" s="0" t="n">
        <v>9</v>
      </c>
      <c r="AR2326" s="0" t="n">
        <v>64</v>
      </c>
      <c r="AS2326" s="0" t="n">
        <v>32</v>
      </c>
      <c r="AU2326" s="0" t="n">
        <f aca="false">COUNTA($BA$1954:$EH$1954)</f>
        <v>16</v>
      </c>
      <c r="AV2326" s="0" t="n">
        <f aca="false">COUNTIF($BA$1954:$EH$1954,"D")</f>
        <v>3</v>
      </c>
      <c r="AW2326" s="0" t="n">
        <f aca="false">COUNTIF($BA$1954:$EH$1954,"R")</f>
        <v>0</v>
      </c>
      <c r="AX2326" s="0" t="n">
        <f aca="false">IF(BN2326="D",1,0)+IF(BO2326="D",1,0)+IF(BT2326="D",1,0)+IF(BU2326="D",1,0)+IF(BW2326="D",1,0)+IF(CC2326="D",1,0)+IF(CD2326="D",1,0)+IF(CE2326="D",1,0)+IF(CF2326="D",1,0)+IF(CL2326="D",1,0)+IF(CM2326="D",1,0)+IF(CQ2326="D",1,0)+IF(CR2326="D",1,0)+IF(CS2326="D",1,0)+IF(CW2326="D",1,0)+IF(CX2326="D",1,0)+IF(DD2326="D",1,0)+IF(DE2326="D",1,0)+IF(DJ2326="D",1,0)+IF(DK2326="D",1,0)+IF(DO2326="D",1,0)+IF(DP2326="D",1,0)+IF(DQ2326="D",1,0)+IF(DW2326="D",1,0)+IF(DZ2326="D",1,0)+IF(EH2326="D",1,0)</f>
        <v>0</v>
      </c>
      <c r="AY2326" s="0" t="n">
        <f aca="false">COUNTIF(DU2326:EH2326, "&lt;&gt;")</f>
        <v>0</v>
      </c>
      <c r="AZ2326" s="0" t="n">
        <f aca="false">IF(EH2326&lt;&gt;"",1,0)</f>
        <v>0</v>
      </c>
      <c r="BB2326" s="0" t="s">
        <v>152</v>
      </c>
      <c r="DN2326" s="0" t="s">
        <v>153</v>
      </c>
    </row>
    <row r="2327" customFormat="false" ht="13.8" hidden="false" customHeight="false" outlineLevel="0" collapsed="false">
      <c r="A2327" s="0" t="s">
        <v>10099</v>
      </c>
      <c r="B2327" s="0" t="n">
        <v>78</v>
      </c>
      <c r="C2327" s="0" t="n">
        <v>472204</v>
      </c>
      <c r="D2327" s="0" t="s">
        <v>10100</v>
      </c>
      <c r="E2327" s="0" t="s">
        <v>350</v>
      </c>
      <c r="F2327" s="0" t="str">
        <f aca="false">CONCATENATE(D2327," ",LEFT(H2327,4),"T=",AU2327,"D=",AV2327,"R=",AW2327,"M=",AX2327,"L=",AY2327,"B=",AZ2327)</f>
        <v>KORNMUELLER T=52D=18R=0M=0L=3B=0</v>
      </c>
      <c r="G2327" s="0" t="s">
        <v>255</v>
      </c>
      <c r="I2327" s="0" t="s">
        <v>10101</v>
      </c>
      <c r="J2327" s="0" t="s">
        <v>386</v>
      </c>
      <c r="K2327" s="0" t="s">
        <v>160</v>
      </c>
      <c r="M2327" s="0" t="s">
        <v>10102</v>
      </c>
      <c r="N2327" s="0" t="str">
        <f aca="false">RIGHT(M2327,LEN(M2327)-FIND(" ",M2327))</f>
        <v>WASHINGTON ST NE</v>
      </c>
      <c r="P2327" s="0" t="s">
        <v>145</v>
      </c>
      <c r="Q2327" s="0" t="s">
        <v>146</v>
      </c>
      <c r="R2327" s="0" t="n">
        <v>44483</v>
      </c>
      <c r="AD2327" s="0" t="s">
        <v>147</v>
      </c>
      <c r="AE2327" s="0" t="s">
        <v>148</v>
      </c>
      <c r="AF2327" s="0" t="s">
        <v>149</v>
      </c>
      <c r="AH2327" s="0" t="n">
        <v>14</v>
      </c>
      <c r="AI2327" s="0" t="n">
        <v>11</v>
      </c>
      <c r="AN2327" s="0" t="s">
        <v>145</v>
      </c>
      <c r="AO2327" s="0" t="s">
        <v>654</v>
      </c>
      <c r="AP2327" s="0" t="s">
        <v>655</v>
      </c>
      <c r="AQ2327" s="0" t="n">
        <v>9</v>
      </c>
      <c r="AR2327" s="0" t="n">
        <v>64</v>
      </c>
      <c r="AS2327" s="0" t="n">
        <v>32</v>
      </c>
      <c r="AU2327" s="0" t="n">
        <f aca="false">COUNTA($BA$1168:$EH$1168)</f>
        <v>52</v>
      </c>
      <c r="AV2327" s="0" t="n">
        <f aca="false">COUNTIF($BA$1168:$EH$1168,"D")</f>
        <v>18</v>
      </c>
      <c r="AW2327" s="0" t="n">
        <f aca="false">COUNTIF($BA$1168:$EH$1168,"R")</f>
        <v>0</v>
      </c>
      <c r="AX2327" s="0" t="n">
        <f aca="false">IF(BN2327="D",1,0)+IF(BO2327="D",1,0)+IF(BT2327="D",1,0)+IF(BU2327="D",1,0)+IF(BW2327="D",1,0)+IF(CC2327="D",1,0)+IF(CD2327="D",1,0)+IF(CE2327="D",1,0)+IF(CF2327="D",1,0)+IF(CL2327="D",1,0)+IF(CM2327="D",1,0)+IF(CQ2327="D",1,0)+IF(CR2327="D",1,0)+IF(CS2327="D",1,0)+IF(CW2327="D",1,0)+IF(CX2327="D",1,0)+IF(DD2327="D",1,0)+IF(DE2327="D",1,0)+IF(DJ2327="D",1,0)+IF(DK2327="D",1,0)+IF(DO2327="D",1,0)+IF(DP2327="D",1,0)+IF(DQ2327="D",1,0)+IF(DW2327="D",1,0)+IF(DZ2327="D",1,0)+IF(EH2327="D",1,0)</f>
        <v>0</v>
      </c>
      <c r="AY2327" s="0" t="n">
        <f aca="false">COUNTIF(DU2327:EH2327, "&lt;&gt;")</f>
        <v>3</v>
      </c>
      <c r="AZ2327" s="0" t="n">
        <f aca="false">IF(EH2327&lt;&gt;"",1,0)</f>
        <v>0</v>
      </c>
      <c r="BB2327" s="0" t="s">
        <v>152</v>
      </c>
      <c r="DX2327" s="0" t="s">
        <v>153</v>
      </c>
      <c r="EA2327" s="0" t="s">
        <v>153</v>
      </c>
      <c r="EF2327" s="0" t="s">
        <v>153</v>
      </c>
    </row>
    <row r="2328" customFormat="false" ht="13.8" hidden="false" customHeight="false" outlineLevel="0" collapsed="false">
      <c r="A2328" s="0" t="s">
        <v>10103</v>
      </c>
      <c r="B2328" s="0" t="n">
        <v>78</v>
      </c>
      <c r="C2328" s="0" t="n">
        <v>267270</v>
      </c>
      <c r="D2328" s="0" t="s">
        <v>10100</v>
      </c>
      <c r="E2328" s="0" t="s">
        <v>274</v>
      </c>
      <c r="F2328" s="0" t="str">
        <f aca="false">CONCATENATE(D2328," ",LEFT(H2328,4),"T=",AU2328,"D=",AV2328,"R=",AW2328,"M=",AX2328,"L=",AY2328,"B=",AZ2328)</f>
        <v>KORNMUELLER T=1D=0R=0M=0L=4B=0</v>
      </c>
      <c r="G2328" s="0" t="s">
        <v>331</v>
      </c>
      <c r="I2328" s="0" t="s">
        <v>6859</v>
      </c>
      <c r="J2328" s="0" t="s">
        <v>386</v>
      </c>
      <c r="K2328" s="0" t="s">
        <v>160</v>
      </c>
      <c r="M2328" s="0" t="s">
        <v>10102</v>
      </c>
      <c r="N2328" s="0" t="str">
        <f aca="false">RIGHT(M2328,LEN(M2328)-FIND(" ",M2328))</f>
        <v>WASHINGTON ST NE</v>
      </c>
      <c r="P2328" s="0" t="s">
        <v>145</v>
      </c>
      <c r="Q2328" s="0" t="s">
        <v>146</v>
      </c>
      <c r="R2328" s="0" t="n">
        <v>44483</v>
      </c>
      <c r="AD2328" s="0" t="s">
        <v>147</v>
      </c>
      <c r="AE2328" s="0" t="s">
        <v>148</v>
      </c>
      <c r="AF2328" s="0" t="s">
        <v>149</v>
      </c>
      <c r="AH2328" s="0" t="n">
        <v>14</v>
      </c>
      <c r="AI2328" s="0" t="n">
        <v>11</v>
      </c>
      <c r="AN2328" s="0" t="s">
        <v>145</v>
      </c>
      <c r="AO2328" s="0" t="s">
        <v>654</v>
      </c>
      <c r="AP2328" s="0" t="s">
        <v>655</v>
      </c>
      <c r="AQ2328" s="0" t="n">
        <v>9</v>
      </c>
      <c r="AR2328" s="0" t="n">
        <v>64</v>
      </c>
      <c r="AS2328" s="0" t="n">
        <v>32</v>
      </c>
      <c r="AU2328" s="0" t="n">
        <f aca="false">COUNTA($BA$1549:$EH$1549)</f>
        <v>1</v>
      </c>
      <c r="AV2328" s="0" t="n">
        <f aca="false">COUNTIF($BA$1549:$EH$1549,"D")</f>
        <v>0</v>
      </c>
      <c r="AW2328" s="0" t="n">
        <f aca="false">COUNTIF($BA$1549:$EH$1549,"R")</f>
        <v>0</v>
      </c>
      <c r="AX2328" s="0" t="n">
        <f aca="false">IF(BN2328="D",1,0)+IF(BO2328="D",1,0)+IF(BT2328="D",1,0)+IF(BU2328="D",1,0)+IF(BW2328="D",1,0)+IF(CC2328="D",1,0)+IF(CD2328="D",1,0)+IF(CE2328="D",1,0)+IF(CF2328="D",1,0)+IF(CL2328="D",1,0)+IF(CM2328="D",1,0)+IF(CQ2328="D",1,0)+IF(CR2328="D",1,0)+IF(CS2328="D",1,0)+IF(CW2328="D",1,0)+IF(CX2328="D",1,0)+IF(DD2328="D",1,0)+IF(DE2328="D",1,0)+IF(DJ2328="D",1,0)+IF(DK2328="D",1,0)+IF(DO2328="D",1,0)+IF(DP2328="D",1,0)+IF(DQ2328="D",1,0)+IF(DW2328="D",1,0)+IF(DZ2328="D",1,0)+IF(EH2328="D",1,0)</f>
        <v>0</v>
      </c>
      <c r="AY2328" s="0" t="n">
        <f aca="false">COUNTIF(DU2328:EH2328, "&lt;&gt;")</f>
        <v>4</v>
      </c>
      <c r="AZ2328" s="0" t="n">
        <f aca="false">IF(EH2328&lt;&gt;"",1,0)</f>
        <v>0</v>
      </c>
      <c r="BB2328" s="0" t="s">
        <v>152</v>
      </c>
      <c r="CP2328" s="0" t="s">
        <v>153</v>
      </c>
      <c r="CY2328" s="0" t="s">
        <v>153</v>
      </c>
      <c r="DC2328" s="0" t="s">
        <v>153</v>
      </c>
      <c r="DI2328" s="0" t="s">
        <v>153</v>
      </c>
      <c r="DN2328" s="0" t="s">
        <v>153</v>
      </c>
      <c r="DU2328" s="0" t="s">
        <v>153</v>
      </c>
      <c r="DX2328" s="0" t="s">
        <v>153</v>
      </c>
      <c r="EA2328" s="0" t="s">
        <v>153</v>
      </c>
      <c r="EF2328" s="0" t="s">
        <v>153</v>
      </c>
    </row>
    <row r="2329" customFormat="false" ht="13.8" hidden="true" customHeight="false" outlineLevel="0" collapsed="false">
      <c r="A2329" s="0" t="s">
        <v>10104</v>
      </c>
      <c r="B2329" s="0" t="n">
        <v>78</v>
      </c>
      <c r="C2329" s="0" t="n">
        <v>411061</v>
      </c>
      <c r="D2329" s="0" t="s">
        <v>10048</v>
      </c>
      <c r="E2329" s="0" t="s">
        <v>213</v>
      </c>
      <c r="F2329" s="0" t="str">
        <f aca="false">CONCATENATE(D2329," ",LEFT(H2329,4),"T=",AU2329,"D=",AV2329,"R=",AW2329,"M=",AX2329,"L=",AY2329,"B=",AZ2329)</f>
        <v>BRENT T=1D=0R=0M=0L=0B=0</v>
      </c>
      <c r="G2329" s="0" t="s">
        <v>362</v>
      </c>
      <c r="I2329" s="0" t="s">
        <v>10105</v>
      </c>
      <c r="J2329" s="0" t="s">
        <v>10106</v>
      </c>
      <c r="K2329" s="0" t="s">
        <v>143</v>
      </c>
      <c r="M2329" s="0" t="s">
        <v>10102</v>
      </c>
      <c r="N2329" s="0" t="str">
        <f aca="false">RIGHT(M2329,LEN(M2329)-FIND(" ",M2329))</f>
        <v>WASHINGTON ST NE</v>
      </c>
      <c r="P2329" s="0" t="s">
        <v>145</v>
      </c>
      <c r="Q2329" s="0" t="s">
        <v>146</v>
      </c>
      <c r="R2329" s="0" t="n">
        <v>44483</v>
      </c>
      <c r="AD2329" s="0" t="s">
        <v>147</v>
      </c>
      <c r="AE2329" s="0" t="s">
        <v>148</v>
      </c>
      <c r="AF2329" s="0" t="s">
        <v>149</v>
      </c>
      <c r="AH2329" s="0" t="n">
        <v>14</v>
      </c>
      <c r="AI2329" s="0" t="n">
        <v>11</v>
      </c>
      <c r="AN2329" s="0" t="s">
        <v>145</v>
      </c>
      <c r="AO2329" s="0" t="s">
        <v>654</v>
      </c>
      <c r="AP2329" s="0" t="s">
        <v>655</v>
      </c>
      <c r="AQ2329" s="0" t="n">
        <v>9</v>
      </c>
      <c r="AR2329" s="0" t="n">
        <v>64</v>
      </c>
      <c r="AS2329" s="0" t="n">
        <v>32</v>
      </c>
      <c r="AU2329" s="0" t="n">
        <f aca="false">COUNTA($BA$1949:$EH$1949)</f>
        <v>1</v>
      </c>
      <c r="AV2329" s="0" t="n">
        <f aca="false">COUNTIF($BA$1949:$EH$1949,"D")</f>
        <v>0</v>
      </c>
      <c r="AW2329" s="0" t="n">
        <f aca="false">COUNTIF($BA$1949:$EH$1949,"R")</f>
        <v>0</v>
      </c>
      <c r="AX2329" s="0" t="n">
        <f aca="false">IF(BN2329="D",1,0)+IF(BO2329="D",1,0)+IF(BT2329="D",1,0)+IF(BU2329="D",1,0)+IF(BW2329="D",1,0)+IF(CC2329="D",1,0)+IF(CD2329="D",1,0)+IF(CE2329="D",1,0)+IF(CF2329="D",1,0)+IF(CL2329="D",1,0)+IF(CM2329="D",1,0)+IF(CQ2329="D",1,0)+IF(CR2329="D",1,0)+IF(CS2329="D",1,0)+IF(CW2329="D",1,0)+IF(CX2329="D",1,0)+IF(DD2329="D",1,0)+IF(DE2329="D",1,0)+IF(DJ2329="D",1,0)+IF(DK2329="D",1,0)+IF(DO2329="D",1,0)+IF(DP2329="D",1,0)+IF(DQ2329="D",1,0)+IF(DW2329="D",1,0)+IF(DZ2329="D",1,0)+IF(EH2329="D",1,0)</f>
        <v>0</v>
      </c>
      <c r="AY2329" s="0" t="n">
        <f aca="false">COUNTIF(DU2329:EH2329, "&lt;&gt;")</f>
        <v>0</v>
      </c>
      <c r="AZ2329" s="0" t="n">
        <f aca="false">IF(EH2329&lt;&gt;"",1,0)</f>
        <v>0</v>
      </c>
      <c r="BB2329" s="0" t="s">
        <v>152</v>
      </c>
    </row>
    <row r="2330" customFormat="false" ht="13.8" hidden="true" customHeight="false" outlineLevel="0" collapsed="false">
      <c r="A2330" s="0" t="s">
        <v>10107</v>
      </c>
      <c r="B2330" s="0" t="n">
        <v>78</v>
      </c>
      <c r="C2330" s="0" t="n">
        <v>374451</v>
      </c>
      <c r="D2330" s="0" t="s">
        <v>657</v>
      </c>
      <c r="E2330" s="0" t="s">
        <v>237</v>
      </c>
      <c r="F2330" s="0" t="str">
        <f aca="false">CONCATENATE(D2330," ",LEFT(H2330,4),"T=",AU2330,"D=",AV2330,"R=",AW2330,"M=",AX2330,"L=",AY2330,"B=",AZ2330)</f>
        <v>HALL T=3D=1R=0M=0L=0B=0</v>
      </c>
      <c r="G2330" s="0" t="s">
        <v>6130</v>
      </c>
      <c r="I2330" s="0" t="s">
        <v>10108</v>
      </c>
      <c r="J2330" s="0" t="s">
        <v>10109</v>
      </c>
      <c r="K2330" s="0" t="s">
        <v>143</v>
      </c>
      <c r="M2330" s="0" t="s">
        <v>10110</v>
      </c>
      <c r="N2330" s="0" t="str">
        <f aca="false">RIGHT(M2330,LEN(M2330)-FIND(" ",M2330))</f>
        <v>WASHINGTON ST NE</v>
      </c>
      <c r="P2330" s="0" t="s">
        <v>145</v>
      </c>
      <c r="Q2330" s="0" t="s">
        <v>146</v>
      </c>
      <c r="R2330" s="0" t="n">
        <v>44483</v>
      </c>
      <c r="AD2330" s="0" t="s">
        <v>147</v>
      </c>
      <c r="AE2330" s="0" t="s">
        <v>148</v>
      </c>
      <c r="AF2330" s="0" t="s">
        <v>149</v>
      </c>
      <c r="AH2330" s="0" t="n">
        <v>14</v>
      </c>
      <c r="AI2330" s="0" t="n">
        <v>11</v>
      </c>
      <c r="AN2330" s="0" t="s">
        <v>145</v>
      </c>
      <c r="AO2330" s="0" t="s">
        <v>654</v>
      </c>
      <c r="AP2330" s="0" t="s">
        <v>655</v>
      </c>
      <c r="AQ2330" s="0" t="n">
        <v>9</v>
      </c>
      <c r="AR2330" s="0" t="n">
        <v>64</v>
      </c>
      <c r="AS2330" s="0" t="n">
        <v>32</v>
      </c>
      <c r="AU2330" s="0" t="n">
        <f aca="false">COUNTA($BA$1156:$EH$1156)</f>
        <v>3</v>
      </c>
      <c r="AV2330" s="0" t="n">
        <f aca="false">COUNTIF($BA$1156:$EH$1156,"D")</f>
        <v>1</v>
      </c>
      <c r="AW2330" s="0" t="n">
        <f aca="false">COUNTIF($BA$1156:$EH$1156,"R")</f>
        <v>0</v>
      </c>
      <c r="AX2330" s="0" t="n">
        <f aca="false">IF(BN2330="D",1,0)+IF(BO2330="D",1,0)+IF(BT2330="D",1,0)+IF(BU2330="D",1,0)+IF(BW2330="D",1,0)+IF(CC2330="D",1,0)+IF(CD2330="D",1,0)+IF(CE2330="D",1,0)+IF(CF2330="D",1,0)+IF(CL2330="D",1,0)+IF(CM2330="D",1,0)+IF(CQ2330="D",1,0)+IF(CR2330="D",1,0)+IF(CS2330="D",1,0)+IF(CW2330="D",1,0)+IF(CX2330="D",1,0)+IF(DD2330="D",1,0)+IF(DE2330="D",1,0)+IF(DJ2330="D",1,0)+IF(DK2330="D",1,0)+IF(DO2330="D",1,0)+IF(DP2330="D",1,0)+IF(DQ2330="D",1,0)+IF(DW2330="D",1,0)+IF(DZ2330="D",1,0)+IF(EH2330="D",1,0)</f>
        <v>0</v>
      </c>
      <c r="AY2330" s="0" t="n">
        <f aca="false">COUNTIF(DU2330:EH2330, "&lt;&gt;")</f>
        <v>0</v>
      </c>
      <c r="AZ2330" s="0" t="n">
        <f aca="false">IF(EH2330&lt;&gt;"",1,0)</f>
        <v>0</v>
      </c>
      <c r="BB2330" s="0" t="s">
        <v>152</v>
      </c>
      <c r="CK2330" s="0" t="s">
        <v>153</v>
      </c>
    </row>
    <row r="2331" customFormat="false" ht="13.8" hidden="true" customHeight="false" outlineLevel="0" collapsed="false">
      <c r="A2331" s="0" t="s">
        <v>10111</v>
      </c>
      <c r="B2331" s="0" t="n">
        <v>78</v>
      </c>
      <c r="C2331" s="0" t="n">
        <v>494542</v>
      </c>
      <c r="D2331" s="0" t="s">
        <v>10112</v>
      </c>
      <c r="E2331" s="0" t="s">
        <v>10113</v>
      </c>
      <c r="F2331" s="0" t="str">
        <f aca="false">CONCATENATE(D2331," ",LEFT(H2331,4),"T=",AU2331,"D=",AV2331,"R=",AW2331,"M=",AX2331,"L=",AY2331,"B=",AZ2331)</f>
        <v>GUST T=15D=0R=2M=0L=0B=0</v>
      </c>
      <c r="G2331" s="0" t="s">
        <v>10114</v>
      </c>
      <c r="I2331" s="0" t="s">
        <v>10115</v>
      </c>
      <c r="J2331" s="0" t="s">
        <v>10116</v>
      </c>
      <c r="K2331" s="0" t="s">
        <v>160</v>
      </c>
      <c r="M2331" s="0" t="s">
        <v>10117</v>
      </c>
      <c r="N2331" s="0" t="str">
        <f aca="false">RIGHT(M2331,LEN(M2331)-FIND(" ",M2331))</f>
        <v>WASHINGTON ST NE</v>
      </c>
      <c r="P2331" s="0" t="s">
        <v>145</v>
      </c>
      <c r="Q2331" s="0" t="s">
        <v>146</v>
      </c>
      <c r="R2331" s="0" t="n">
        <v>44483</v>
      </c>
      <c r="AD2331" s="0" t="s">
        <v>147</v>
      </c>
      <c r="AE2331" s="0" t="s">
        <v>148</v>
      </c>
      <c r="AF2331" s="0" t="s">
        <v>149</v>
      </c>
      <c r="AH2331" s="0" t="n">
        <v>14</v>
      </c>
      <c r="AI2331" s="0" t="n">
        <v>11</v>
      </c>
      <c r="AN2331" s="0" t="s">
        <v>145</v>
      </c>
      <c r="AO2331" s="0" t="s">
        <v>654</v>
      </c>
      <c r="AP2331" s="0" t="s">
        <v>655</v>
      </c>
      <c r="AQ2331" s="0" t="n">
        <v>9</v>
      </c>
      <c r="AR2331" s="0" t="n">
        <v>64</v>
      </c>
      <c r="AS2331" s="0" t="n">
        <v>32</v>
      </c>
      <c r="AU2331" s="0" t="n">
        <f aca="false">COUNTA($BA$1543:$EH$1543)</f>
        <v>15</v>
      </c>
      <c r="AV2331" s="0" t="n">
        <f aca="false">COUNTIF($BA$1543:$EH$1543,"D")</f>
        <v>0</v>
      </c>
      <c r="AW2331" s="0" t="n">
        <f aca="false">COUNTIF($BA$1543:$EH$1543,"R")</f>
        <v>2</v>
      </c>
      <c r="AX2331" s="0" t="n">
        <f aca="false">IF(BN2331="D",1,0)+IF(BO2331="D",1,0)+IF(BT2331="D",1,0)+IF(BU2331="D",1,0)+IF(BW2331="D",1,0)+IF(CC2331="D",1,0)+IF(CD2331="D",1,0)+IF(CE2331="D",1,0)+IF(CF2331="D",1,0)+IF(CL2331="D",1,0)+IF(CM2331="D",1,0)+IF(CQ2331="D",1,0)+IF(CR2331="D",1,0)+IF(CS2331="D",1,0)+IF(CW2331="D",1,0)+IF(CX2331="D",1,0)+IF(DD2331="D",1,0)+IF(DE2331="D",1,0)+IF(DJ2331="D",1,0)+IF(DK2331="D",1,0)+IF(DO2331="D",1,0)+IF(DP2331="D",1,0)+IF(DQ2331="D",1,0)+IF(DW2331="D",1,0)+IF(DZ2331="D",1,0)+IF(EH2331="D",1,0)</f>
        <v>0</v>
      </c>
      <c r="AY2331" s="0" t="n">
        <f aca="false">COUNTIF(DU2331:EH2331, "&lt;&gt;")</f>
        <v>0</v>
      </c>
      <c r="AZ2331" s="0" t="n">
        <f aca="false">IF(EH2331&lt;&gt;"",1,0)</f>
        <v>0</v>
      </c>
      <c r="BB2331" s="0" t="s">
        <v>152</v>
      </c>
    </row>
    <row r="2332" customFormat="false" ht="13.8" hidden="true" customHeight="false" outlineLevel="0" collapsed="false">
      <c r="A2332" s="0" t="s">
        <v>10118</v>
      </c>
      <c r="B2332" s="0" t="n">
        <v>78</v>
      </c>
      <c r="C2332" s="0" t="n">
        <v>480959</v>
      </c>
      <c r="D2332" s="0" t="s">
        <v>4634</v>
      </c>
      <c r="E2332" s="0" t="s">
        <v>10119</v>
      </c>
      <c r="F2332" s="0" t="str">
        <f aca="false">CONCATENATE(D2332," ",LEFT(H2332,4),"T=",AU2332,"D=",AV2332,"R=",AW2332,"M=",AX2332,"L=",AY2332,"B=",AZ2332)</f>
        <v>RAMSEY T=7D=0R=1M=0L=1B=0</v>
      </c>
      <c r="G2332" s="0" t="s">
        <v>425</v>
      </c>
      <c r="I2332" s="0" t="s">
        <v>10120</v>
      </c>
      <c r="J2332" s="0" t="s">
        <v>6274</v>
      </c>
      <c r="K2332" s="0" t="s">
        <v>160</v>
      </c>
      <c r="M2332" s="0" t="s">
        <v>10121</v>
      </c>
      <c r="N2332" s="0" t="str">
        <f aca="false">RIGHT(M2332,LEN(M2332)-FIND(" ",M2332))</f>
        <v>WASHINGTON ST NE</v>
      </c>
      <c r="P2332" s="0" t="s">
        <v>145</v>
      </c>
      <c r="Q2332" s="0" t="s">
        <v>146</v>
      </c>
      <c r="R2332" s="0" t="n">
        <v>44483</v>
      </c>
      <c r="AD2332" s="0" t="s">
        <v>147</v>
      </c>
      <c r="AE2332" s="0" t="s">
        <v>148</v>
      </c>
      <c r="AF2332" s="0" t="s">
        <v>149</v>
      </c>
      <c r="AH2332" s="0" t="n">
        <v>14</v>
      </c>
      <c r="AI2332" s="0" t="n">
        <v>11</v>
      </c>
      <c r="AN2332" s="0" t="s">
        <v>145</v>
      </c>
      <c r="AO2332" s="0" t="s">
        <v>654</v>
      </c>
      <c r="AP2332" s="0" t="s">
        <v>655</v>
      </c>
      <c r="AQ2332" s="0" t="n">
        <v>9</v>
      </c>
      <c r="AR2332" s="0" t="n">
        <v>64</v>
      </c>
      <c r="AS2332" s="0" t="n">
        <v>32</v>
      </c>
      <c r="AU2332" s="0" t="n">
        <f aca="false">COUNTA($BA$1692:$EH$1692)</f>
        <v>7</v>
      </c>
      <c r="AV2332" s="0" t="n">
        <f aca="false">COUNTIF($BA$1692:$EH$1692,"D")</f>
        <v>0</v>
      </c>
      <c r="AW2332" s="0" t="n">
        <f aca="false">COUNTIF($BA$1692:$EH$1692,"R")</f>
        <v>1</v>
      </c>
      <c r="AX2332" s="0" t="n">
        <f aca="false">IF(BN2332="D",1,0)+IF(BO2332="D",1,0)+IF(BT2332="D",1,0)+IF(BU2332="D",1,0)+IF(BW2332="D",1,0)+IF(CC2332="D",1,0)+IF(CD2332="D",1,0)+IF(CE2332="D",1,0)+IF(CF2332="D",1,0)+IF(CL2332="D",1,0)+IF(CM2332="D",1,0)+IF(CQ2332="D",1,0)+IF(CR2332="D",1,0)+IF(CS2332="D",1,0)+IF(CW2332="D",1,0)+IF(CX2332="D",1,0)+IF(DD2332="D",1,0)+IF(DE2332="D",1,0)+IF(DJ2332="D",1,0)+IF(DK2332="D",1,0)+IF(DO2332="D",1,0)+IF(DP2332="D",1,0)+IF(DQ2332="D",1,0)+IF(DW2332="D",1,0)+IF(DZ2332="D",1,0)+IF(EH2332="D",1,0)</f>
        <v>0</v>
      </c>
      <c r="AY2332" s="0" t="n">
        <f aca="false">COUNTIF(DU2332:EH2332, "&lt;&gt;")</f>
        <v>1</v>
      </c>
      <c r="AZ2332" s="0" t="n">
        <f aca="false">IF(EH2332&lt;&gt;"",1,0)</f>
        <v>0</v>
      </c>
      <c r="BB2332" s="0" t="s">
        <v>152</v>
      </c>
      <c r="EF2332" s="0" t="s">
        <v>153</v>
      </c>
    </row>
    <row r="2333" customFormat="false" ht="13.8" hidden="false" customHeight="false" outlineLevel="0" collapsed="false">
      <c r="A2333" s="0" t="s">
        <v>10122</v>
      </c>
      <c r="B2333" s="0" t="n">
        <v>78</v>
      </c>
      <c r="C2333" s="0" t="n">
        <v>329208</v>
      </c>
      <c r="D2333" s="0" t="s">
        <v>4634</v>
      </c>
      <c r="E2333" s="0" t="s">
        <v>331</v>
      </c>
      <c r="F2333" s="0" t="str">
        <f aca="false">CONCATENATE(D2333," ",LEFT(H2333,4),"T=",AU2333,"D=",AV2333,"R=",AW2333,"M=",AX2333,"L=",AY2333,"B=",AZ2333)</f>
        <v>RAMSEY IVT=2D=0R=0M=1L=3B=0</v>
      </c>
      <c r="G2333" s="0" t="s">
        <v>171</v>
      </c>
      <c r="H2333" s="0" t="s">
        <v>1165</v>
      </c>
      <c r="I2333" s="0" t="s">
        <v>10123</v>
      </c>
      <c r="J2333" s="0" t="s">
        <v>9640</v>
      </c>
      <c r="K2333" s="0" t="s">
        <v>160</v>
      </c>
      <c r="L2333" s="0" t="s">
        <v>175</v>
      </c>
      <c r="M2333" s="0" t="s">
        <v>10121</v>
      </c>
      <c r="N2333" s="0" t="str">
        <f aca="false">RIGHT(M2333,LEN(M2333)-FIND(" ",M2333))</f>
        <v>WASHINGTON ST NE</v>
      </c>
      <c r="P2333" s="0" t="s">
        <v>145</v>
      </c>
      <c r="Q2333" s="0" t="s">
        <v>146</v>
      </c>
      <c r="R2333" s="0" t="n">
        <v>44483</v>
      </c>
      <c r="AD2333" s="0" t="s">
        <v>147</v>
      </c>
      <c r="AE2333" s="0" t="s">
        <v>148</v>
      </c>
      <c r="AF2333" s="0" t="s">
        <v>149</v>
      </c>
      <c r="AH2333" s="0" t="n">
        <v>14</v>
      </c>
      <c r="AI2333" s="0" t="n">
        <v>11</v>
      </c>
      <c r="AN2333" s="0" t="s">
        <v>145</v>
      </c>
      <c r="AO2333" s="0" t="s">
        <v>654</v>
      </c>
      <c r="AP2333" s="0" t="s">
        <v>655</v>
      </c>
      <c r="AQ2333" s="0" t="n">
        <v>9</v>
      </c>
      <c r="AR2333" s="0" t="n">
        <v>64</v>
      </c>
      <c r="AS2333" s="0" t="n">
        <v>32</v>
      </c>
      <c r="AU2333" s="0" t="n">
        <f aca="false">COUNTA($BA$2009:$EH$2009)</f>
        <v>2</v>
      </c>
      <c r="AV2333" s="0" t="n">
        <f aca="false">COUNTIF($BA$2009:$EH$2009,"D")</f>
        <v>0</v>
      </c>
      <c r="AW2333" s="0" t="n">
        <f aca="false">COUNTIF($BA$2009:$EH$2009,"R")</f>
        <v>0</v>
      </c>
      <c r="AX2333" s="0" t="n">
        <f aca="false">IF(BN2333="D",1,0)+IF(BO2333="D",1,0)+IF(BT2333="D",1,0)+IF(BU2333="D",1,0)+IF(BW2333="D",1,0)+IF(CC2333="D",1,0)+IF(CD2333="D",1,0)+IF(CE2333="D",1,0)+IF(CF2333="D",1,0)+IF(CL2333="D",1,0)+IF(CM2333="D",1,0)+IF(CQ2333="D",1,0)+IF(CR2333="D",1,0)+IF(CS2333="D",1,0)+IF(CW2333="D",1,0)+IF(CX2333="D",1,0)+IF(DD2333="D",1,0)+IF(DE2333="D",1,0)+IF(DJ2333="D",1,0)+IF(DK2333="D",1,0)+IF(DO2333="D",1,0)+IF(DP2333="D",1,0)+IF(DQ2333="D",1,0)+IF(DW2333="D",1,0)+IF(DZ2333="D",1,0)+IF(EH2333="D",1,0)</f>
        <v>1</v>
      </c>
      <c r="AY2333" s="0" t="n">
        <f aca="false">COUNTIF(DU2333:EH2333, "&lt;&gt;")</f>
        <v>3</v>
      </c>
      <c r="AZ2333" s="0" t="n">
        <f aca="false">IF(EH2333&lt;&gt;"",1,0)</f>
        <v>0</v>
      </c>
      <c r="BB2333" s="0" t="s">
        <v>152</v>
      </c>
      <c r="BL2333" s="0" t="s">
        <v>153</v>
      </c>
      <c r="BR2333" s="0" t="s">
        <v>153</v>
      </c>
      <c r="BS2333" s="0" t="s">
        <v>153</v>
      </c>
      <c r="BY2333" s="0" t="s">
        <v>209</v>
      </c>
      <c r="CA2333" s="0" t="s">
        <v>153</v>
      </c>
      <c r="CG2333" s="0" t="s">
        <v>153</v>
      </c>
      <c r="CK2333" s="0" t="s">
        <v>153</v>
      </c>
      <c r="CL2333" s="0" t="s">
        <v>153</v>
      </c>
      <c r="CP2333" s="0" t="s">
        <v>153</v>
      </c>
      <c r="CQ2333" s="0" t="s">
        <v>153</v>
      </c>
      <c r="DC2333" s="0" t="s">
        <v>153</v>
      </c>
      <c r="DI2333" s="0" t="s">
        <v>153</v>
      </c>
      <c r="DJ2333" s="0" t="s">
        <v>175</v>
      </c>
      <c r="DL2333" s="0" t="s">
        <v>153</v>
      </c>
      <c r="DN2333" s="0" t="s">
        <v>153</v>
      </c>
      <c r="DS2333" s="0" t="s">
        <v>175</v>
      </c>
      <c r="DU2333" s="0" t="s">
        <v>153</v>
      </c>
      <c r="ED2333" s="0" t="s">
        <v>175</v>
      </c>
      <c r="EF2333" s="0" t="s">
        <v>153</v>
      </c>
    </row>
    <row r="2334" customFormat="false" ht="13.8" hidden="false" customHeight="false" outlineLevel="0" collapsed="false">
      <c r="A2334" s="0" t="s">
        <v>10124</v>
      </c>
      <c r="B2334" s="0" t="n">
        <v>78</v>
      </c>
      <c r="C2334" s="0" t="n">
        <v>288421</v>
      </c>
      <c r="D2334" s="0" t="s">
        <v>4634</v>
      </c>
      <c r="E2334" s="0" t="s">
        <v>1208</v>
      </c>
      <c r="F2334" s="0" t="str">
        <f aca="false">CONCATENATE(D2334," ",LEFT(H2334,4),"T=",AU2334,"D=",AV2334,"R=",AW2334,"M=",AX2334,"L=",AY2334,"B=",AZ2334)</f>
        <v>RAMSEY T=5D=1R=0M=4L=6B=1</v>
      </c>
      <c r="G2334" s="0" t="s">
        <v>164</v>
      </c>
      <c r="I2334" s="0" t="s">
        <v>10125</v>
      </c>
      <c r="J2334" s="0" t="s">
        <v>10126</v>
      </c>
      <c r="K2334" s="0" t="s">
        <v>160</v>
      </c>
      <c r="L2334" s="0" t="s">
        <v>175</v>
      </c>
      <c r="M2334" s="0" t="s">
        <v>10121</v>
      </c>
      <c r="N2334" s="0" t="str">
        <f aca="false">RIGHT(M2334,LEN(M2334)-FIND(" ",M2334))</f>
        <v>WASHINGTON ST NE</v>
      </c>
      <c r="P2334" s="0" t="s">
        <v>145</v>
      </c>
      <c r="Q2334" s="0" t="s">
        <v>146</v>
      </c>
      <c r="R2334" s="0" t="n">
        <v>44483</v>
      </c>
      <c r="S2334" s="0" t="n">
        <v>4934</v>
      </c>
      <c r="AD2334" s="0" t="s">
        <v>147</v>
      </c>
      <c r="AE2334" s="0" t="s">
        <v>148</v>
      </c>
      <c r="AF2334" s="0" t="s">
        <v>149</v>
      </c>
      <c r="AH2334" s="0" t="n">
        <v>14</v>
      </c>
      <c r="AI2334" s="0" t="n">
        <v>11</v>
      </c>
      <c r="AN2334" s="0" t="s">
        <v>145</v>
      </c>
      <c r="AO2334" s="0" t="s">
        <v>654</v>
      </c>
      <c r="AP2334" s="0" t="s">
        <v>655</v>
      </c>
      <c r="AQ2334" s="0" t="n">
        <v>9</v>
      </c>
      <c r="AR2334" s="0" t="n">
        <v>64</v>
      </c>
      <c r="AS2334" s="0" t="n">
        <v>32</v>
      </c>
      <c r="AU2334" s="0" t="n">
        <f aca="false">COUNTA($BA$2072:$EH$2072)</f>
        <v>5</v>
      </c>
      <c r="AV2334" s="0" t="n">
        <f aca="false">COUNTIF($BA$2072:$EH$2072,"D")</f>
        <v>1</v>
      </c>
      <c r="AW2334" s="0" t="n">
        <f aca="false">COUNTIF($BA$2072:$EH$2072,"R")</f>
        <v>0</v>
      </c>
      <c r="AX2334" s="0" t="n">
        <f aca="false">IF(BN2334="D",1,0)+IF(BO2334="D",1,0)+IF(BT2334="D",1,0)+IF(BU2334="D",1,0)+IF(BW2334="D",1,0)+IF(CC2334="D",1,0)+IF(CD2334="D",1,0)+IF(CE2334="D",1,0)+IF(CF2334="D",1,0)+IF(CL2334="D",1,0)+IF(CM2334="D",1,0)+IF(CQ2334="D",1,0)+IF(CR2334="D",1,0)+IF(CS2334="D",1,0)+IF(CW2334="D",1,0)+IF(CX2334="D",1,0)+IF(DD2334="D",1,0)+IF(DE2334="D",1,0)+IF(DJ2334="D",1,0)+IF(DK2334="D",1,0)+IF(DO2334="D",1,0)+IF(DP2334="D",1,0)+IF(DQ2334="D",1,0)+IF(DW2334="D",1,0)+IF(DZ2334="D",1,0)+IF(EH2334="D",1,0)</f>
        <v>4</v>
      </c>
      <c r="AY2334" s="0" t="n">
        <f aca="false">COUNTIF(DU2334:EH2334, "&lt;&gt;")</f>
        <v>6</v>
      </c>
      <c r="AZ2334" s="0" t="n">
        <f aca="false">IF(EH2334&lt;&gt;"",1,0)</f>
        <v>1</v>
      </c>
      <c r="BB2334" s="0" t="s">
        <v>152</v>
      </c>
      <c r="BD2334" s="0" t="s">
        <v>153</v>
      </c>
      <c r="BK2334" s="0" t="s">
        <v>153</v>
      </c>
      <c r="BL2334" s="0" t="s">
        <v>153</v>
      </c>
      <c r="BR2334" s="0" t="s">
        <v>153</v>
      </c>
      <c r="BS2334" s="0" t="s">
        <v>153</v>
      </c>
      <c r="BY2334" s="0" t="s">
        <v>209</v>
      </c>
      <c r="CA2334" s="0" t="s">
        <v>153</v>
      </c>
      <c r="CG2334" s="0" t="s">
        <v>153</v>
      </c>
      <c r="CK2334" s="0" t="s">
        <v>153</v>
      </c>
      <c r="CL2334" s="0" t="s">
        <v>153</v>
      </c>
      <c r="CP2334" s="0" t="s">
        <v>153</v>
      </c>
      <c r="CQ2334" s="0" t="s">
        <v>153</v>
      </c>
      <c r="CW2334" s="0" t="s">
        <v>175</v>
      </c>
      <c r="CY2334" s="0" t="s">
        <v>153</v>
      </c>
      <c r="CZ2334" s="0" t="s">
        <v>175</v>
      </c>
      <c r="DC2334" s="0" t="s">
        <v>153</v>
      </c>
      <c r="DG2334" s="0" t="s">
        <v>175</v>
      </c>
      <c r="DI2334" s="0" t="s">
        <v>153</v>
      </c>
      <c r="DJ2334" s="0" t="s">
        <v>175</v>
      </c>
      <c r="DL2334" s="0" t="s">
        <v>153</v>
      </c>
      <c r="DN2334" s="0" t="s">
        <v>153</v>
      </c>
      <c r="DS2334" s="0" t="s">
        <v>175</v>
      </c>
      <c r="DU2334" s="0" t="s">
        <v>153</v>
      </c>
      <c r="DW2334" s="0" t="s">
        <v>175</v>
      </c>
      <c r="EA2334" s="0" t="s">
        <v>153</v>
      </c>
      <c r="ED2334" s="0" t="s">
        <v>175</v>
      </c>
      <c r="EF2334" s="0" t="s">
        <v>153</v>
      </c>
      <c r="EH2334" s="0" t="s">
        <v>175</v>
      </c>
    </row>
    <row r="2335" customFormat="false" ht="13.8" hidden="false" customHeight="false" outlineLevel="0" collapsed="false">
      <c r="A2335" s="0" t="s">
        <v>10127</v>
      </c>
      <c r="B2335" s="0" t="n">
        <v>78</v>
      </c>
      <c r="C2335" s="0" t="n">
        <v>238029</v>
      </c>
      <c r="D2335" s="0" t="s">
        <v>10128</v>
      </c>
      <c r="E2335" s="0" t="s">
        <v>551</v>
      </c>
      <c r="F2335" s="0" t="str">
        <f aca="false">CONCATENATE(D2335," ",LEFT(H2335,4),"T=",AU2335,"D=",AV2335,"R=",AW2335,"M=",AX2335,"L=",AY2335,"B=",AZ2335)</f>
        <v>MARKO T=7D=1R=0M=0L=3B=0</v>
      </c>
      <c r="I2335" s="0" t="s">
        <v>10129</v>
      </c>
      <c r="J2335" s="0" t="s">
        <v>1622</v>
      </c>
      <c r="K2335" s="0" t="s">
        <v>160</v>
      </c>
      <c r="M2335" s="0" t="s">
        <v>10130</v>
      </c>
      <c r="N2335" s="0" t="str">
        <f aca="false">RIGHT(M2335,LEN(M2335)-FIND(" ",M2335))</f>
        <v>WASHINGTON ST NW</v>
      </c>
      <c r="P2335" s="0" t="s">
        <v>145</v>
      </c>
      <c r="Q2335" s="0" t="s">
        <v>146</v>
      </c>
      <c r="R2335" s="0" t="n">
        <v>44483</v>
      </c>
      <c r="AD2335" s="0" t="s">
        <v>147</v>
      </c>
      <c r="AE2335" s="0" t="s">
        <v>148</v>
      </c>
      <c r="AF2335" s="0" t="s">
        <v>149</v>
      </c>
      <c r="AH2335" s="0" t="n">
        <v>14</v>
      </c>
      <c r="AI2335" s="0" t="n">
        <v>11</v>
      </c>
      <c r="AN2335" s="0" t="s">
        <v>145</v>
      </c>
      <c r="AO2335" s="0" t="s">
        <v>654</v>
      </c>
      <c r="AP2335" s="0" t="s">
        <v>655</v>
      </c>
      <c r="AQ2335" s="0" t="n">
        <v>9</v>
      </c>
      <c r="AR2335" s="0" t="n">
        <v>64</v>
      </c>
      <c r="AS2335" s="0" t="n">
        <v>32</v>
      </c>
      <c r="AU2335" s="0" t="n">
        <f aca="false">COUNTA($BA$1610:$EH$1610)</f>
        <v>7</v>
      </c>
      <c r="AV2335" s="0" t="n">
        <f aca="false">COUNTIF($BA$1610:$EH$1610,"D")</f>
        <v>1</v>
      </c>
      <c r="AW2335" s="0" t="n">
        <f aca="false">COUNTIF($BA$1610:$EH$1610,"R")</f>
        <v>0</v>
      </c>
      <c r="AX2335" s="0" t="n">
        <f aca="false">IF(BN2335="D",1,0)+IF(BO2335="D",1,0)+IF(BT2335="D",1,0)+IF(BU2335="D",1,0)+IF(BW2335="D",1,0)+IF(CC2335="D",1,0)+IF(CD2335="D",1,0)+IF(CE2335="D",1,0)+IF(CF2335="D",1,0)+IF(CL2335="D",1,0)+IF(CM2335="D",1,0)+IF(CQ2335="D",1,0)+IF(CR2335="D",1,0)+IF(CS2335="D",1,0)+IF(CW2335="D",1,0)+IF(CX2335="D",1,0)+IF(DD2335="D",1,0)+IF(DE2335="D",1,0)+IF(DJ2335="D",1,0)+IF(DK2335="D",1,0)+IF(DO2335="D",1,0)+IF(DP2335="D",1,0)+IF(DQ2335="D",1,0)+IF(DW2335="D",1,0)+IF(DZ2335="D",1,0)+IF(EH2335="D",1,0)</f>
        <v>0</v>
      </c>
      <c r="AY2335" s="0" t="n">
        <f aca="false">COUNTIF(DU2335:EH2335, "&lt;&gt;")</f>
        <v>3</v>
      </c>
      <c r="AZ2335" s="0" t="n">
        <f aca="false">IF(EH2335&lt;&gt;"",1,0)</f>
        <v>0</v>
      </c>
      <c r="BB2335" s="0" t="s">
        <v>152</v>
      </c>
      <c r="BL2335" s="0" t="s">
        <v>153</v>
      </c>
      <c r="BR2335" s="0" t="s">
        <v>153</v>
      </c>
      <c r="BS2335" s="0" t="s">
        <v>153</v>
      </c>
      <c r="BY2335" s="0" t="s">
        <v>175</v>
      </c>
      <c r="CA2335" s="0" t="s">
        <v>153</v>
      </c>
      <c r="CN2335" s="0" t="s">
        <v>153</v>
      </c>
      <c r="CP2335" s="0" t="s">
        <v>153</v>
      </c>
      <c r="CV2335" s="0" t="s">
        <v>153</v>
      </c>
      <c r="CY2335" s="0" t="s">
        <v>153</v>
      </c>
      <c r="CZ2335" s="0" t="s">
        <v>209</v>
      </c>
      <c r="DC2335" s="0" t="s">
        <v>153</v>
      </c>
      <c r="DG2335" s="0" t="s">
        <v>209</v>
      </c>
      <c r="DI2335" s="0" t="s">
        <v>153</v>
      </c>
      <c r="DL2335" s="0" t="s">
        <v>153</v>
      </c>
      <c r="DN2335" s="0" t="s">
        <v>153</v>
      </c>
      <c r="DU2335" s="0" t="s">
        <v>153</v>
      </c>
      <c r="EA2335" s="0" t="s">
        <v>153</v>
      </c>
      <c r="EF2335" s="0" t="s">
        <v>153</v>
      </c>
    </row>
    <row r="2336" customFormat="false" ht="13.8" hidden="true" customHeight="false" outlineLevel="0" collapsed="false">
      <c r="A2336" s="0" t="s">
        <v>10131</v>
      </c>
      <c r="B2336" s="0" t="n">
        <v>78</v>
      </c>
      <c r="C2336" s="0" t="n">
        <v>414672</v>
      </c>
      <c r="D2336" s="0" t="s">
        <v>10128</v>
      </c>
      <c r="E2336" s="0" t="s">
        <v>157</v>
      </c>
      <c r="F2336" s="0" t="str">
        <f aca="false">CONCATENATE(D2336," ",LEFT(H2336,4),"T=",AU2336,"D=",AV2336,"R=",AW2336,"M=",AX2336,"L=",AY2336,"B=",AZ2336)</f>
        <v>MARKO T=1D=0R=0M=0L=0B=0</v>
      </c>
      <c r="G2336" s="0" t="s">
        <v>195</v>
      </c>
      <c r="I2336" s="0" t="s">
        <v>10132</v>
      </c>
      <c r="J2336" s="0" t="s">
        <v>1464</v>
      </c>
      <c r="K2336" s="0" t="s">
        <v>143</v>
      </c>
      <c r="M2336" s="0" t="s">
        <v>10130</v>
      </c>
      <c r="N2336" s="0" t="str">
        <f aca="false">RIGHT(M2336,LEN(M2336)-FIND(" ",M2336))</f>
        <v>WASHINGTON ST NW</v>
      </c>
      <c r="P2336" s="0" t="s">
        <v>145</v>
      </c>
      <c r="Q2336" s="0" t="s">
        <v>146</v>
      </c>
      <c r="R2336" s="0" t="n">
        <v>44483</v>
      </c>
      <c r="AD2336" s="0" t="s">
        <v>147</v>
      </c>
      <c r="AE2336" s="0" t="s">
        <v>148</v>
      </c>
      <c r="AF2336" s="0" t="s">
        <v>149</v>
      </c>
      <c r="AH2336" s="0" t="n">
        <v>14</v>
      </c>
      <c r="AI2336" s="0" t="n">
        <v>11</v>
      </c>
      <c r="AN2336" s="0" t="s">
        <v>145</v>
      </c>
      <c r="AO2336" s="0" t="s">
        <v>654</v>
      </c>
      <c r="AP2336" s="0" t="s">
        <v>655</v>
      </c>
      <c r="AQ2336" s="0" t="n">
        <v>9</v>
      </c>
      <c r="AR2336" s="0" t="n">
        <v>64</v>
      </c>
      <c r="AS2336" s="0" t="n">
        <v>32</v>
      </c>
      <c r="AU2336" s="0" t="n">
        <f aca="false">COUNTA($BA$1630:$EH$1630)</f>
        <v>1</v>
      </c>
      <c r="AV2336" s="0" t="n">
        <f aca="false">COUNTIF($BA$1630:$EH$1630,"D")</f>
        <v>0</v>
      </c>
      <c r="AW2336" s="0" t="n">
        <f aca="false">COUNTIF($BA$1630:$EH$1630,"R")</f>
        <v>0</v>
      </c>
      <c r="AX2336" s="0" t="n">
        <f aca="false">IF(BN2336="D",1,0)+IF(BO2336="D",1,0)+IF(BT2336="D",1,0)+IF(BU2336="D",1,0)+IF(BW2336="D",1,0)+IF(CC2336="D",1,0)+IF(CD2336="D",1,0)+IF(CE2336="D",1,0)+IF(CF2336="D",1,0)+IF(CL2336="D",1,0)+IF(CM2336="D",1,0)+IF(CQ2336="D",1,0)+IF(CR2336="D",1,0)+IF(CS2336="D",1,0)+IF(CW2336="D",1,0)+IF(CX2336="D",1,0)+IF(DD2336="D",1,0)+IF(DE2336="D",1,0)+IF(DJ2336="D",1,0)+IF(DK2336="D",1,0)+IF(DO2336="D",1,0)+IF(DP2336="D",1,0)+IF(DQ2336="D",1,0)+IF(DW2336="D",1,0)+IF(DZ2336="D",1,0)+IF(EH2336="D",1,0)</f>
        <v>0</v>
      </c>
      <c r="AY2336" s="0" t="n">
        <f aca="false">COUNTIF(DU2336:EH2336, "&lt;&gt;")</f>
        <v>0</v>
      </c>
      <c r="AZ2336" s="0" t="n">
        <f aca="false">IF(EH2336&lt;&gt;"",1,0)</f>
        <v>0</v>
      </c>
      <c r="BB2336" s="0" t="s">
        <v>152</v>
      </c>
      <c r="DC2336" s="0" t="s">
        <v>153</v>
      </c>
      <c r="DI2336" s="0" t="s">
        <v>153</v>
      </c>
      <c r="DN2336" s="0" t="s">
        <v>153</v>
      </c>
    </row>
    <row r="2337" customFormat="false" ht="13.8" hidden="false" customHeight="false" outlineLevel="0" collapsed="false">
      <c r="A2337" s="0" t="s">
        <v>10133</v>
      </c>
      <c r="B2337" s="0" t="n">
        <v>78</v>
      </c>
      <c r="C2337" s="0" t="n">
        <v>382144</v>
      </c>
      <c r="D2337" s="0" t="s">
        <v>10134</v>
      </c>
      <c r="E2337" s="0" t="s">
        <v>3404</v>
      </c>
      <c r="F2337" s="0" t="str">
        <f aca="false">CONCATENATE(D2337," ",LEFT(H2337,4),"T=",AU2337,"D=",AV2337,"R=",AW2337,"M=",AX2337,"L=",AY2337,"B=",AZ2337)</f>
        <v>BRAUN T=13D=1R=3M=3L=7B=1</v>
      </c>
      <c r="G2337" s="0" t="s">
        <v>558</v>
      </c>
      <c r="I2337" s="0" t="s">
        <v>10135</v>
      </c>
      <c r="J2337" s="0" t="s">
        <v>10136</v>
      </c>
      <c r="K2337" s="0" t="s">
        <v>160</v>
      </c>
      <c r="L2337" s="0" t="s">
        <v>175</v>
      </c>
      <c r="M2337" s="0" t="s">
        <v>10137</v>
      </c>
      <c r="N2337" s="0" t="str">
        <f aca="false">RIGHT(M2337,LEN(M2337)-FIND(" ",M2337))</f>
        <v>WASHINGTON ST NW</v>
      </c>
      <c r="P2337" s="0" t="s">
        <v>145</v>
      </c>
      <c r="Q2337" s="0" t="s">
        <v>146</v>
      </c>
      <c r="R2337" s="0" t="n">
        <v>44483</v>
      </c>
      <c r="AD2337" s="0" t="s">
        <v>147</v>
      </c>
      <c r="AE2337" s="0" t="s">
        <v>148</v>
      </c>
      <c r="AF2337" s="0" t="s">
        <v>149</v>
      </c>
      <c r="AH2337" s="0" t="n">
        <v>14</v>
      </c>
      <c r="AI2337" s="0" t="n">
        <v>11</v>
      </c>
      <c r="AN2337" s="0" t="s">
        <v>145</v>
      </c>
      <c r="AO2337" s="0" t="s">
        <v>654</v>
      </c>
      <c r="AP2337" s="0" t="s">
        <v>655</v>
      </c>
      <c r="AQ2337" s="0" t="n">
        <v>9</v>
      </c>
      <c r="AR2337" s="0" t="n">
        <v>64</v>
      </c>
      <c r="AS2337" s="0" t="n">
        <v>32</v>
      </c>
      <c r="AU2337" s="0" t="n">
        <f aca="false">COUNTA($BA$1807:$EH$1807)</f>
        <v>13</v>
      </c>
      <c r="AV2337" s="0" t="n">
        <f aca="false">COUNTIF($BA$1807:$EH$1807,"D")</f>
        <v>1</v>
      </c>
      <c r="AW2337" s="0" t="n">
        <f aca="false">COUNTIF($BA$1807:$EH$1807,"R")</f>
        <v>3</v>
      </c>
      <c r="AX2337" s="0" t="n">
        <f aca="false">IF(BN2337="D",1,0)+IF(BO2337="D",1,0)+IF(BT2337="D",1,0)+IF(BU2337="D",1,0)+IF(BW2337="D",1,0)+IF(CC2337="D",1,0)+IF(CD2337="D",1,0)+IF(CE2337="D",1,0)+IF(CF2337="D",1,0)+IF(CL2337="D",1,0)+IF(CM2337="D",1,0)+IF(CQ2337="D",1,0)+IF(CR2337="D",1,0)+IF(CS2337="D",1,0)+IF(CW2337="D",1,0)+IF(CX2337="D",1,0)+IF(DD2337="D",1,0)+IF(DE2337="D",1,0)+IF(DJ2337="D",1,0)+IF(DK2337="D",1,0)+IF(DO2337="D",1,0)+IF(DP2337="D",1,0)+IF(DQ2337="D",1,0)+IF(DW2337="D",1,0)+IF(DZ2337="D",1,0)+IF(EH2337="D",1,0)</f>
        <v>3</v>
      </c>
      <c r="AY2337" s="0" t="n">
        <f aca="false">COUNTIF(DU2337:EH2337, "&lt;&gt;")</f>
        <v>7</v>
      </c>
      <c r="AZ2337" s="0" t="n">
        <f aca="false">IF(EH2337&lt;&gt;"",1,0)</f>
        <v>1</v>
      </c>
      <c r="BB2337" s="0" t="s">
        <v>152</v>
      </c>
      <c r="CN2337" s="0" t="s">
        <v>153</v>
      </c>
      <c r="CP2337" s="0" t="s">
        <v>153</v>
      </c>
      <c r="CU2337" s="0" t="s">
        <v>209</v>
      </c>
      <c r="CV2337" s="0" t="s">
        <v>153</v>
      </c>
      <c r="CW2337" s="0" t="s">
        <v>175</v>
      </c>
      <c r="CY2337" s="0" t="s">
        <v>153</v>
      </c>
      <c r="CZ2337" s="0" t="s">
        <v>175</v>
      </c>
      <c r="DC2337" s="0" t="s">
        <v>153</v>
      </c>
      <c r="DF2337" s="0" t="s">
        <v>153</v>
      </c>
      <c r="DG2337" s="0" t="s">
        <v>175</v>
      </c>
      <c r="DI2337" s="0" t="s">
        <v>153</v>
      </c>
      <c r="DL2337" s="0" t="s">
        <v>153</v>
      </c>
      <c r="DN2337" s="0" t="s">
        <v>153</v>
      </c>
      <c r="DR2337" s="0" t="s">
        <v>153</v>
      </c>
      <c r="DS2337" s="0" t="s">
        <v>175</v>
      </c>
      <c r="DT2337" s="0" t="s">
        <v>175</v>
      </c>
      <c r="DU2337" s="0" t="s">
        <v>153</v>
      </c>
      <c r="DW2337" s="0" t="s">
        <v>175</v>
      </c>
      <c r="DX2337" s="0" t="s">
        <v>153</v>
      </c>
      <c r="EA2337" s="0" t="s">
        <v>153</v>
      </c>
      <c r="ED2337" s="0" t="s">
        <v>175</v>
      </c>
      <c r="EF2337" s="0" t="s">
        <v>153</v>
      </c>
      <c r="EH2337" s="0" t="s">
        <v>175</v>
      </c>
    </row>
    <row r="2338" customFormat="false" ht="13.8" hidden="false" customHeight="false" outlineLevel="0" collapsed="false">
      <c r="A2338" s="0" t="s">
        <v>10138</v>
      </c>
      <c r="B2338" s="0" t="n">
        <v>78</v>
      </c>
      <c r="C2338" s="0" t="n">
        <v>396233</v>
      </c>
      <c r="D2338" s="0" t="s">
        <v>10139</v>
      </c>
      <c r="E2338" s="0" t="s">
        <v>2045</v>
      </c>
      <c r="F2338" s="0" t="str">
        <f aca="false">CONCATENATE(D2338," ",LEFT(H2338,4),"T=",AU2338,"D=",AV2338,"R=",AW2338,"M=",AX2338,"L=",AY2338,"B=",AZ2338)</f>
        <v>KECK T=14D=1R=3M=3L=5B=0</v>
      </c>
      <c r="G2338" s="0" t="s">
        <v>164</v>
      </c>
      <c r="I2338" s="0" t="s">
        <v>10140</v>
      </c>
      <c r="J2338" s="0" t="s">
        <v>10136</v>
      </c>
      <c r="K2338" s="0" t="s">
        <v>160</v>
      </c>
      <c r="L2338" s="0" t="s">
        <v>175</v>
      </c>
      <c r="M2338" s="0" t="s">
        <v>10137</v>
      </c>
      <c r="N2338" s="0" t="str">
        <f aca="false">RIGHT(M2338,LEN(M2338)-FIND(" ",M2338))</f>
        <v>WASHINGTON ST NW</v>
      </c>
      <c r="P2338" s="0" t="s">
        <v>145</v>
      </c>
      <c r="Q2338" s="0" t="s">
        <v>146</v>
      </c>
      <c r="R2338" s="0" t="n">
        <v>44483</v>
      </c>
      <c r="AD2338" s="0" t="s">
        <v>147</v>
      </c>
      <c r="AE2338" s="0" t="s">
        <v>148</v>
      </c>
      <c r="AF2338" s="0" t="s">
        <v>149</v>
      </c>
      <c r="AH2338" s="0" t="n">
        <v>14</v>
      </c>
      <c r="AI2338" s="0" t="n">
        <v>11</v>
      </c>
      <c r="AN2338" s="0" t="s">
        <v>145</v>
      </c>
      <c r="AO2338" s="0" t="s">
        <v>654</v>
      </c>
      <c r="AP2338" s="0" t="s">
        <v>655</v>
      </c>
      <c r="AQ2338" s="0" t="n">
        <v>9</v>
      </c>
      <c r="AR2338" s="0" t="n">
        <v>64</v>
      </c>
      <c r="AS2338" s="0" t="n">
        <v>32</v>
      </c>
      <c r="AU2338" s="0" t="n">
        <f aca="false">COUNTA($BA$1808:$EH$1808)</f>
        <v>14</v>
      </c>
      <c r="AV2338" s="0" t="n">
        <f aca="false">COUNTIF($BA$1808:$EH$1808,"D")</f>
        <v>1</v>
      </c>
      <c r="AW2338" s="0" t="n">
        <f aca="false">COUNTIF($BA$1808:$EH$1808,"R")</f>
        <v>3</v>
      </c>
      <c r="AX2338" s="0" t="n">
        <f aca="false">IF(BN2338="D",1,0)+IF(BO2338="D",1,0)+IF(BT2338="D",1,0)+IF(BU2338="D",1,0)+IF(BW2338="D",1,0)+IF(CC2338="D",1,0)+IF(CD2338="D",1,0)+IF(CE2338="D",1,0)+IF(CF2338="D",1,0)+IF(CL2338="D",1,0)+IF(CM2338="D",1,0)+IF(CQ2338="D",1,0)+IF(CR2338="D",1,0)+IF(CS2338="D",1,0)+IF(CW2338="D",1,0)+IF(CX2338="D",1,0)+IF(DD2338="D",1,0)+IF(DE2338="D",1,0)+IF(DJ2338="D",1,0)+IF(DK2338="D",1,0)+IF(DO2338="D",1,0)+IF(DP2338="D",1,0)+IF(DQ2338="D",1,0)+IF(DW2338="D",1,0)+IF(DZ2338="D",1,0)+IF(EH2338="D",1,0)</f>
        <v>3</v>
      </c>
      <c r="AY2338" s="0" t="n">
        <f aca="false">COUNTIF(DU2338:EH2338, "&lt;&gt;")</f>
        <v>5</v>
      </c>
      <c r="AZ2338" s="0" t="n">
        <f aca="false">IF(EH2338&lt;&gt;"",1,0)</f>
        <v>0</v>
      </c>
      <c r="BB2338" s="0" t="s">
        <v>152</v>
      </c>
      <c r="BL2338" s="0" t="s">
        <v>153</v>
      </c>
      <c r="BN2338" s="0" t="s">
        <v>153</v>
      </c>
      <c r="BP2338" s="0" t="s">
        <v>153</v>
      </c>
      <c r="BS2338" s="0" t="s">
        <v>153</v>
      </c>
      <c r="BY2338" s="0" t="s">
        <v>175</v>
      </c>
      <c r="CA2338" s="0" t="s">
        <v>153</v>
      </c>
      <c r="CH2338" s="0" t="s">
        <v>175</v>
      </c>
      <c r="CK2338" s="0" t="s">
        <v>153</v>
      </c>
      <c r="CN2338" s="0" t="s">
        <v>153</v>
      </c>
      <c r="CP2338" s="0" t="s">
        <v>153</v>
      </c>
      <c r="CQ2338" s="0" t="s">
        <v>175</v>
      </c>
      <c r="CV2338" s="0" t="s">
        <v>153</v>
      </c>
      <c r="CW2338" s="0" t="s">
        <v>175</v>
      </c>
      <c r="CY2338" s="0" t="s">
        <v>153</v>
      </c>
      <c r="CZ2338" s="0" t="s">
        <v>175</v>
      </c>
      <c r="DC2338" s="0" t="s">
        <v>153</v>
      </c>
      <c r="DG2338" s="0" t="s">
        <v>175</v>
      </c>
      <c r="DI2338" s="0" t="s">
        <v>153</v>
      </c>
      <c r="DL2338" s="0" t="s">
        <v>153</v>
      </c>
      <c r="DN2338" s="0" t="s">
        <v>153</v>
      </c>
      <c r="DT2338" s="0" t="s">
        <v>175</v>
      </c>
      <c r="DU2338" s="0" t="s">
        <v>153</v>
      </c>
      <c r="DW2338" s="0" t="s">
        <v>175</v>
      </c>
      <c r="DX2338" s="0" t="s">
        <v>153</v>
      </c>
      <c r="EA2338" s="0" t="s">
        <v>153</v>
      </c>
      <c r="EF2338" s="0" t="s">
        <v>153</v>
      </c>
    </row>
    <row r="2339" customFormat="false" ht="13.8" hidden="false" customHeight="false" outlineLevel="0" collapsed="false">
      <c r="A2339" s="0" t="s">
        <v>10141</v>
      </c>
      <c r="B2339" s="0" t="n">
        <v>78</v>
      </c>
      <c r="C2339" s="0" t="n">
        <v>208629</v>
      </c>
      <c r="D2339" s="0" t="s">
        <v>10142</v>
      </c>
      <c r="E2339" s="0" t="s">
        <v>1639</v>
      </c>
      <c r="F2339" s="0" t="str">
        <f aca="false">CONCATENATE(D2339," ",LEFT(H2339,4),"T=",AU2339,"D=",AV2339,"R=",AW2339,"M=",AX2339,"L=",AY2339,"B=",AZ2339)</f>
        <v>LONDON T=41D=10R=0M=0L=2B=0</v>
      </c>
      <c r="G2339" s="0" t="s">
        <v>175</v>
      </c>
      <c r="I2339" s="0" t="s">
        <v>10143</v>
      </c>
      <c r="J2339" s="0" t="s">
        <v>10144</v>
      </c>
      <c r="K2339" s="0" t="s">
        <v>160</v>
      </c>
      <c r="M2339" s="0" t="s">
        <v>10145</v>
      </c>
      <c r="N2339" s="0" t="str">
        <f aca="false">RIGHT(M2339,LEN(M2339)-FIND(" ",M2339))</f>
        <v>WASHINGTON ST NW</v>
      </c>
      <c r="P2339" s="0" t="s">
        <v>145</v>
      </c>
      <c r="Q2339" s="0" t="s">
        <v>146</v>
      </c>
      <c r="R2339" s="0" t="n">
        <v>44483</v>
      </c>
      <c r="AD2339" s="0" t="s">
        <v>147</v>
      </c>
      <c r="AE2339" s="0" t="s">
        <v>148</v>
      </c>
      <c r="AF2339" s="0" t="s">
        <v>149</v>
      </c>
      <c r="AH2339" s="0" t="n">
        <v>14</v>
      </c>
      <c r="AI2339" s="0" t="n">
        <v>11</v>
      </c>
      <c r="AN2339" s="0" t="s">
        <v>145</v>
      </c>
      <c r="AO2339" s="0" t="s">
        <v>654</v>
      </c>
      <c r="AP2339" s="0" t="s">
        <v>655</v>
      </c>
      <c r="AQ2339" s="0" t="n">
        <v>9</v>
      </c>
      <c r="AR2339" s="0" t="n">
        <v>64</v>
      </c>
      <c r="AS2339" s="0" t="n">
        <v>32</v>
      </c>
      <c r="AU2339" s="0" t="n">
        <f aca="false">COUNTA($BA$1962:$EH$1962)</f>
        <v>41</v>
      </c>
      <c r="AV2339" s="0" t="n">
        <f aca="false">COUNTIF($BA$1962:$EH$1962,"D")</f>
        <v>10</v>
      </c>
      <c r="AW2339" s="0" t="n">
        <f aca="false">COUNTIF($BA$1962:$EH$1962,"R")</f>
        <v>0</v>
      </c>
      <c r="AX2339" s="0" t="n">
        <f aca="false">IF(BN2339="D",1,0)+IF(BO2339="D",1,0)+IF(BT2339="D",1,0)+IF(BU2339="D",1,0)+IF(BW2339="D",1,0)+IF(CC2339="D",1,0)+IF(CD2339="D",1,0)+IF(CE2339="D",1,0)+IF(CF2339="D",1,0)+IF(CL2339="D",1,0)+IF(CM2339="D",1,0)+IF(CQ2339="D",1,0)+IF(CR2339="D",1,0)+IF(CS2339="D",1,0)+IF(CW2339="D",1,0)+IF(CX2339="D",1,0)+IF(DD2339="D",1,0)+IF(DE2339="D",1,0)+IF(DJ2339="D",1,0)+IF(DK2339="D",1,0)+IF(DO2339="D",1,0)+IF(DP2339="D",1,0)+IF(DQ2339="D",1,0)+IF(DW2339="D",1,0)+IF(DZ2339="D",1,0)+IF(EH2339="D",1,0)</f>
        <v>0</v>
      </c>
      <c r="AY2339" s="0" t="n">
        <f aca="false">COUNTIF(DU2339:EH2339, "&lt;&gt;")</f>
        <v>2</v>
      </c>
      <c r="AZ2339" s="0" t="n">
        <f aca="false">IF(EH2339&lt;&gt;"",1,0)</f>
        <v>0</v>
      </c>
      <c r="BB2339" s="0" t="s">
        <v>152</v>
      </c>
      <c r="BC2339" s="0" t="s">
        <v>153</v>
      </c>
      <c r="BD2339" s="0" t="s">
        <v>153</v>
      </c>
      <c r="BH2339" s="0" t="s">
        <v>153</v>
      </c>
      <c r="BL2339" s="0" t="s">
        <v>153</v>
      </c>
      <c r="BP2339" s="0" t="s">
        <v>153</v>
      </c>
      <c r="BS2339" s="0" t="s">
        <v>153</v>
      </c>
      <c r="BY2339" s="0" t="s">
        <v>175</v>
      </c>
      <c r="CA2339" s="0" t="s">
        <v>153</v>
      </c>
      <c r="CG2339" s="0" t="s">
        <v>153</v>
      </c>
      <c r="CH2339" s="0" t="s">
        <v>175</v>
      </c>
      <c r="CN2339" s="0" t="s">
        <v>153</v>
      </c>
      <c r="CO2339" s="0" t="s">
        <v>175</v>
      </c>
      <c r="CP2339" s="0" t="s">
        <v>153</v>
      </c>
      <c r="CV2339" s="0" t="s">
        <v>153</v>
      </c>
      <c r="CY2339" s="0" t="s">
        <v>153</v>
      </c>
      <c r="DC2339" s="0" t="s">
        <v>153</v>
      </c>
      <c r="DN2339" s="0" t="s">
        <v>153</v>
      </c>
      <c r="DU2339" s="0" t="s">
        <v>153</v>
      </c>
      <c r="EF2339" s="0" t="s">
        <v>153</v>
      </c>
    </row>
    <row r="2340" customFormat="false" ht="13.8" hidden="false" customHeight="false" outlineLevel="0" collapsed="false">
      <c r="A2340" s="0" t="s">
        <v>10146</v>
      </c>
      <c r="B2340" s="0" t="n">
        <v>78</v>
      </c>
      <c r="C2340" s="0" t="n">
        <v>262064</v>
      </c>
      <c r="D2340" s="0" t="s">
        <v>10147</v>
      </c>
      <c r="E2340" s="0" t="s">
        <v>3511</v>
      </c>
      <c r="F2340" s="0" t="str">
        <f aca="false">CONCATENATE(D2340," ",LEFT(H2340,4),"T=",AU2340,"D=",AV2340,"R=",AW2340,"M=",AX2340,"L=",AY2340,"B=",AZ2340)</f>
        <v>THIGPEN T=1D=0R=0M=3L=6B=1</v>
      </c>
      <c r="G2340" s="0" t="s">
        <v>606</v>
      </c>
      <c r="I2340" s="0" t="s">
        <v>10148</v>
      </c>
      <c r="J2340" s="0" t="s">
        <v>2245</v>
      </c>
      <c r="K2340" s="0" t="s">
        <v>160</v>
      </c>
      <c r="L2340" s="0" t="s">
        <v>175</v>
      </c>
      <c r="M2340" s="0" t="s">
        <v>10149</v>
      </c>
      <c r="N2340" s="0" t="str">
        <f aca="false">RIGHT(M2340,LEN(M2340)-FIND(" ",M2340))</f>
        <v>WASHINGTON ST NW</v>
      </c>
      <c r="P2340" s="0" t="s">
        <v>145</v>
      </c>
      <c r="Q2340" s="0" t="s">
        <v>146</v>
      </c>
      <c r="R2340" s="0" t="n">
        <v>44483</v>
      </c>
      <c r="AD2340" s="0" t="s">
        <v>147</v>
      </c>
      <c r="AE2340" s="0" t="s">
        <v>148</v>
      </c>
      <c r="AF2340" s="0" t="s">
        <v>149</v>
      </c>
      <c r="AH2340" s="0" t="n">
        <v>14</v>
      </c>
      <c r="AI2340" s="0" t="n">
        <v>11</v>
      </c>
      <c r="AN2340" s="0" t="s">
        <v>145</v>
      </c>
      <c r="AO2340" s="0" t="s">
        <v>654</v>
      </c>
      <c r="AP2340" s="0" t="s">
        <v>655</v>
      </c>
      <c r="AQ2340" s="0" t="n">
        <v>9</v>
      </c>
      <c r="AR2340" s="0" t="n">
        <v>64</v>
      </c>
      <c r="AS2340" s="0" t="n">
        <v>32</v>
      </c>
      <c r="AU2340" s="0" t="n">
        <f aca="false">COUNTA($BA$1978:$EH$1978)</f>
        <v>1</v>
      </c>
      <c r="AV2340" s="0" t="n">
        <f aca="false">COUNTIF($BA$1978:$EH$1978,"D")</f>
        <v>0</v>
      </c>
      <c r="AW2340" s="0" t="n">
        <f aca="false">COUNTIF($BA$1978:$EH$1978,"R")</f>
        <v>0</v>
      </c>
      <c r="AX2340" s="0" t="n">
        <f aca="false">IF(BN2340="D",1,0)+IF(BO2340="D",1,0)+IF(BT2340="D",1,0)+IF(BU2340="D",1,0)+IF(BW2340="D",1,0)+IF(CC2340="D",1,0)+IF(CD2340="D",1,0)+IF(CE2340="D",1,0)+IF(CF2340="D",1,0)+IF(CL2340="D",1,0)+IF(CM2340="D",1,0)+IF(CQ2340="D",1,0)+IF(CR2340="D",1,0)+IF(CS2340="D",1,0)+IF(CW2340="D",1,0)+IF(CX2340="D",1,0)+IF(DD2340="D",1,0)+IF(DE2340="D",1,0)+IF(DJ2340="D",1,0)+IF(DK2340="D",1,0)+IF(DO2340="D",1,0)+IF(DP2340="D",1,0)+IF(DQ2340="D",1,0)+IF(DW2340="D",1,0)+IF(DZ2340="D",1,0)+IF(EH2340="D",1,0)</f>
        <v>3</v>
      </c>
      <c r="AY2340" s="0" t="n">
        <f aca="false">COUNTIF(DU2340:EH2340, "&lt;&gt;")</f>
        <v>6</v>
      </c>
      <c r="AZ2340" s="0" t="n">
        <f aca="false">IF(EH2340&lt;&gt;"",1,0)</f>
        <v>1</v>
      </c>
      <c r="BB2340" s="0" t="s">
        <v>152</v>
      </c>
      <c r="BC2340" s="0" t="s">
        <v>153</v>
      </c>
      <c r="BD2340" s="0" t="s">
        <v>153</v>
      </c>
      <c r="BE2340" s="0" t="s">
        <v>153</v>
      </c>
      <c r="BG2340" s="0" t="s">
        <v>153</v>
      </c>
      <c r="BH2340" s="0" t="s">
        <v>153</v>
      </c>
      <c r="BI2340" s="0" t="s">
        <v>153</v>
      </c>
      <c r="BJ2340" s="0" t="s">
        <v>153</v>
      </c>
      <c r="BK2340" s="0" t="s">
        <v>153</v>
      </c>
      <c r="BL2340" s="0" t="s">
        <v>153</v>
      </c>
      <c r="BR2340" s="0" t="s">
        <v>153</v>
      </c>
      <c r="BS2340" s="0" t="s">
        <v>153</v>
      </c>
      <c r="BY2340" s="0" t="s">
        <v>175</v>
      </c>
      <c r="CA2340" s="0" t="s">
        <v>153</v>
      </c>
      <c r="CG2340" s="0" t="s">
        <v>153</v>
      </c>
      <c r="CH2340" s="0" t="s">
        <v>175</v>
      </c>
      <c r="CK2340" s="0" t="s">
        <v>153</v>
      </c>
      <c r="CL2340" s="0" t="s">
        <v>175</v>
      </c>
      <c r="CN2340" s="0" t="s">
        <v>153</v>
      </c>
      <c r="CO2340" s="0" t="s">
        <v>175</v>
      </c>
      <c r="CP2340" s="0" t="s">
        <v>153</v>
      </c>
      <c r="CT2340" s="0" t="s">
        <v>153</v>
      </c>
      <c r="CU2340" s="0" t="s">
        <v>175</v>
      </c>
      <c r="CV2340" s="0" t="s">
        <v>153</v>
      </c>
      <c r="CY2340" s="0" t="s">
        <v>153</v>
      </c>
      <c r="CZ2340" s="0" t="s">
        <v>175</v>
      </c>
      <c r="DC2340" s="0" t="s">
        <v>153</v>
      </c>
      <c r="DF2340" s="0" t="s">
        <v>153</v>
      </c>
      <c r="DG2340" s="0" t="s">
        <v>175</v>
      </c>
      <c r="DI2340" s="0" t="s">
        <v>153</v>
      </c>
      <c r="DJ2340" s="0" t="s">
        <v>175</v>
      </c>
      <c r="DL2340" s="0" t="s">
        <v>153</v>
      </c>
      <c r="DM2340" s="0" t="s">
        <v>175</v>
      </c>
      <c r="DN2340" s="0" t="s">
        <v>153</v>
      </c>
      <c r="DS2340" s="0" t="s">
        <v>175</v>
      </c>
      <c r="DT2340" s="0" t="s">
        <v>175</v>
      </c>
      <c r="DU2340" s="0" t="s">
        <v>153</v>
      </c>
      <c r="DX2340" s="0" t="s">
        <v>153</v>
      </c>
      <c r="EA2340" s="0" t="s">
        <v>153</v>
      </c>
      <c r="ED2340" s="0" t="s">
        <v>175</v>
      </c>
      <c r="EF2340" s="0" t="s">
        <v>153</v>
      </c>
      <c r="EH2340" s="0" t="s">
        <v>175</v>
      </c>
    </row>
    <row r="2341" customFormat="false" ht="13.8" hidden="true" customHeight="false" outlineLevel="0" collapsed="false">
      <c r="A2341" s="0" t="s">
        <v>10150</v>
      </c>
      <c r="B2341" s="0" t="n">
        <v>78</v>
      </c>
      <c r="C2341" s="0" t="n">
        <v>386347</v>
      </c>
      <c r="D2341" s="0" t="s">
        <v>10151</v>
      </c>
      <c r="E2341" s="0" t="s">
        <v>6041</v>
      </c>
      <c r="F2341" s="0" t="str">
        <f aca="false">CONCATENATE(D2341," ",LEFT(H2341,4),"T=",AU2341,"D=",AV2341,"R=",AW2341,"M=",AX2341,"L=",AY2341,"B=",AZ2341)</f>
        <v>BATES T=30D=6R=0M=0L=1B=0</v>
      </c>
      <c r="G2341" s="0" t="s">
        <v>1128</v>
      </c>
      <c r="I2341" s="0" t="s">
        <v>1396</v>
      </c>
      <c r="J2341" s="0" t="s">
        <v>5199</v>
      </c>
      <c r="K2341" s="0" t="s">
        <v>160</v>
      </c>
      <c r="M2341" s="0" t="s">
        <v>10152</v>
      </c>
      <c r="N2341" s="0" t="str">
        <f aca="false">RIGHT(M2341,LEN(M2341)-FIND(" ",M2341))</f>
        <v>WASHINGTON ST NW</v>
      </c>
      <c r="O2341" s="0" t="s">
        <v>1947</v>
      </c>
      <c r="P2341" s="0" t="s">
        <v>145</v>
      </c>
      <c r="Q2341" s="0" t="s">
        <v>146</v>
      </c>
      <c r="R2341" s="0" t="n">
        <v>44483</v>
      </c>
      <c r="AD2341" s="0" t="s">
        <v>147</v>
      </c>
      <c r="AE2341" s="0" t="s">
        <v>148</v>
      </c>
      <c r="AF2341" s="0" t="s">
        <v>149</v>
      </c>
      <c r="AH2341" s="0" t="n">
        <v>14</v>
      </c>
      <c r="AI2341" s="0" t="n">
        <v>11</v>
      </c>
      <c r="AN2341" s="0" t="s">
        <v>145</v>
      </c>
      <c r="AO2341" s="0" t="s">
        <v>654</v>
      </c>
      <c r="AP2341" s="0" t="s">
        <v>655</v>
      </c>
      <c r="AQ2341" s="0" t="n">
        <v>9</v>
      </c>
      <c r="AR2341" s="0" t="n">
        <v>64</v>
      </c>
      <c r="AS2341" s="0" t="n">
        <v>32</v>
      </c>
      <c r="AU2341" s="0" t="n">
        <f aca="false">COUNTA($BA$1209:$EH$1209)</f>
        <v>30</v>
      </c>
      <c r="AV2341" s="0" t="n">
        <f aca="false">COUNTIF($BA$1209:$EH$1209,"D")</f>
        <v>6</v>
      </c>
      <c r="AW2341" s="0" t="n">
        <f aca="false">COUNTIF($BA$1209:$EH$1209,"R")</f>
        <v>0</v>
      </c>
      <c r="AX2341" s="0" t="n">
        <f aca="false">IF(BN2341="D",1,0)+IF(BO2341="D",1,0)+IF(BT2341="D",1,0)+IF(BU2341="D",1,0)+IF(BW2341="D",1,0)+IF(CC2341="D",1,0)+IF(CD2341="D",1,0)+IF(CE2341="D",1,0)+IF(CF2341="D",1,0)+IF(CL2341="D",1,0)+IF(CM2341="D",1,0)+IF(CQ2341="D",1,0)+IF(CR2341="D",1,0)+IF(CS2341="D",1,0)+IF(CW2341="D",1,0)+IF(CX2341="D",1,0)+IF(DD2341="D",1,0)+IF(DE2341="D",1,0)+IF(DJ2341="D",1,0)+IF(DK2341="D",1,0)+IF(DO2341="D",1,0)+IF(DP2341="D",1,0)+IF(DQ2341="D",1,0)+IF(DW2341="D",1,0)+IF(DZ2341="D",1,0)+IF(EH2341="D",1,0)</f>
        <v>0</v>
      </c>
      <c r="AY2341" s="0" t="n">
        <f aca="false">COUNTIF(DU2341:EH2341, "&lt;&gt;")</f>
        <v>1</v>
      </c>
      <c r="AZ2341" s="0" t="n">
        <f aca="false">IF(EH2341&lt;&gt;"",1,0)</f>
        <v>0</v>
      </c>
      <c r="BB2341" s="0" t="s">
        <v>152</v>
      </c>
      <c r="BL2341" s="0" t="s">
        <v>153</v>
      </c>
      <c r="EF2341" s="0" t="s">
        <v>153</v>
      </c>
    </row>
    <row r="2342" customFormat="false" ht="13.8" hidden="true" customHeight="false" outlineLevel="0" collapsed="false">
      <c r="A2342" s="0" t="s">
        <v>10153</v>
      </c>
      <c r="B2342" s="0" t="n">
        <v>78</v>
      </c>
      <c r="C2342" s="0" t="n">
        <v>440224</v>
      </c>
      <c r="D2342" s="0" t="s">
        <v>10154</v>
      </c>
      <c r="E2342" s="0" t="s">
        <v>140</v>
      </c>
      <c r="F2342" s="0" t="str">
        <f aca="false">CONCATENATE(D2342," ",LEFT(H2342,4),"T=",AU2342,"D=",AV2342,"R=",AW2342,"M=",AX2342,"L=",AY2342,"B=",AZ2342)</f>
        <v>TOLLIVER T=1D=0R=0M=0L=0B=0</v>
      </c>
      <c r="G2342" s="0" t="s">
        <v>860</v>
      </c>
      <c r="I2342" s="0" t="s">
        <v>10155</v>
      </c>
      <c r="J2342" s="0" t="s">
        <v>9310</v>
      </c>
      <c r="K2342" s="0" t="s">
        <v>143</v>
      </c>
      <c r="M2342" s="0" t="s">
        <v>10152</v>
      </c>
      <c r="N2342" s="0" t="str">
        <f aca="false">RIGHT(M2342,LEN(M2342)-FIND(" ",M2342))</f>
        <v>WASHINGTON ST NW</v>
      </c>
      <c r="O2342" s="0" t="s">
        <v>2211</v>
      </c>
      <c r="P2342" s="0" t="s">
        <v>145</v>
      </c>
      <c r="Q2342" s="0" t="s">
        <v>146</v>
      </c>
      <c r="R2342" s="0" t="n">
        <v>44483</v>
      </c>
      <c r="AD2342" s="0" t="s">
        <v>147</v>
      </c>
      <c r="AE2342" s="0" t="s">
        <v>148</v>
      </c>
      <c r="AF2342" s="0" t="s">
        <v>149</v>
      </c>
      <c r="AH2342" s="0" t="n">
        <v>14</v>
      </c>
      <c r="AI2342" s="0" t="n">
        <v>11</v>
      </c>
      <c r="AN2342" s="0" t="s">
        <v>145</v>
      </c>
      <c r="AO2342" s="0" t="s">
        <v>654</v>
      </c>
      <c r="AP2342" s="0" t="s">
        <v>655</v>
      </c>
      <c r="AQ2342" s="0" t="n">
        <v>9</v>
      </c>
      <c r="AR2342" s="0" t="n">
        <v>64</v>
      </c>
      <c r="AS2342" s="0" t="n">
        <v>32</v>
      </c>
      <c r="AU2342" s="0" t="n">
        <f aca="false">COUNTA($BA$1368:$EH$1368)</f>
        <v>1</v>
      </c>
      <c r="AV2342" s="0" t="n">
        <f aca="false">COUNTIF($BA$1368:$EH$1368,"D")</f>
        <v>0</v>
      </c>
      <c r="AW2342" s="0" t="n">
        <f aca="false">COUNTIF($BA$1368:$EH$1368,"R")</f>
        <v>0</v>
      </c>
      <c r="AX2342" s="0" t="n">
        <f aca="false">IF(BN2342="D",1,0)+IF(BO2342="D",1,0)+IF(BT2342="D",1,0)+IF(BU2342="D",1,0)+IF(BW2342="D",1,0)+IF(CC2342="D",1,0)+IF(CD2342="D",1,0)+IF(CE2342="D",1,0)+IF(CF2342="D",1,0)+IF(CL2342="D",1,0)+IF(CM2342="D",1,0)+IF(CQ2342="D",1,0)+IF(CR2342="D",1,0)+IF(CS2342="D",1,0)+IF(CW2342="D",1,0)+IF(CX2342="D",1,0)+IF(DD2342="D",1,0)+IF(DE2342="D",1,0)+IF(DJ2342="D",1,0)+IF(DK2342="D",1,0)+IF(DO2342="D",1,0)+IF(DP2342="D",1,0)+IF(DQ2342="D",1,0)+IF(DW2342="D",1,0)+IF(DZ2342="D",1,0)+IF(EH2342="D",1,0)</f>
        <v>0</v>
      </c>
      <c r="AY2342" s="0" t="n">
        <f aca="false">COUNTIF(DU2342:EH2342, "&lt;&gt;")</f>
        <v>0</v>
      </c>
      <c r="AZ2342" s="0" t="n">
        <f aca="false">IF(EH2342&lt;&gt;"",1,0)</f>
        <v>0</v>
      </c>
      <c r="BB2342" s="0" t="s">
        <v>152</v>
      </c>
    </row>
    <row r="2343" customFormat="false" ht="13.8" hidden="true" customHeight="false" outlineLevel="0" collapsed="false">
      <c r="A2343" s="0" t="s">
        <v>10156</v>
      </c>
      <c r="B2343" s="0" t="n">
        <v>78</v>
      </c>
      <c r="C2343" s="0" t="n">
        <v>388343</v>
      </c>
      <c r="D2343" s="0" t="s">
        <v>3332</v>
      </c>
      <c r="E2343" s="0" t="s">
        <v>785</v>
      </c>
      <c r="F2343" s="0" t="str">
        <f aca="false">CONCATENATE(D2343," ",LEFT(H2343,4),"T=",AU2343,"D=",AV2343,"R=",AW2343,"M=",AX2343,"L=",AY2343,"B=",AZ2343)</f>
        <v>ISER T=3D=0R=0M=0L=0B=0</v>
      </c>
      <c r="G2343" s="0" t="s">
        <v>175</v>
      </c>
      <c r="I2343" s="0" t="s">
        <v>4571</v>
      </c>
      <c r="J2343" s="0" t="s">
        <v>10157</v>
      </c>
      <c r="K2343" s="0" t="s">
        <v>160</v>
      </c>
      <c r="M2343" s="0" t="s">
        <v>10152</v>
      </c>
      <c r="N2343" s="0" t="str">
        <f aca="false">RIGHT(M2343,LEN(M2343)-FIND(" ",M2343))</f>
        <v>WASHINGTON ST NW</v>
      </c>
      <c r="O2343" s="0" t="s">
        <v>1939</v>
      </c>
      <c r="P2343" s="0" t="s">
        <v>145</v>
      </c>
      <c r="Q2343" s="0" t="s">
        <v>146</v>
      </c>
      <c r="R2343" s="0" t="n">
        <v>44483</v>
      </c>
      <c r="AD2343" s="0" t="s">
        <v>147</v>
      </c>
      <c r="AE2343" s="0" t="s">
        <v>148</v>
      </c>
      <c r="AF2343" s="0" t="s">
        <v>149</v>
      </c>
      <c r="AH2343" s="0" t="n">
        <v>14</v>
      </c>
      <c r="AI2343" s="0" t="n">
        <v>11</v>
      </c>
      <c r="AN2343" s="0" t="s">
        <v>145</v>
      </c>
      <c r="AO2343" s="0" t="s">
        <v>654</v>
      </c>
      <c r="AP2343" s="0" t="s">
        <v>655</v>
      </c>
      <c r="AQ2343" s="0" t="n">
        <v>9</v>
      </c>
      <c r="AR2343" s="0" t="n">
        <v>64</v>
      </c>
      <c r="AS2343" s="0" t="n">
        <v>32</v>
      </c>
      <c r="AU2343" s="0" t="n">
        <f aca="false">COUNTA($BA$1600:$EH$1600)</f>
        <v>3</v>
      </c>
      <c r="AV2343" s="0" t="n">
        <f aca="false">COUNTIF($BA$1600:$EH$1600,"D")</f>
        <v>0</v>
      </c>
      <c r="AW2343" s="0" t="n">
        <f aca="false">COUNTIF($BA$1600:$EH$1600,"R")</f>
        <v>0</v>
      </c>
      <c r="AX2343" s="0" t="n">
        <f aca="false">IF(BN2343="D",1,0)+IF(BO2343="D",1,0)+IF(BT2343="D",1,0)+IF(BU2343="D",1,0)+IF(BW2343="D",1,0)+IF(CC2343="D",1,0)+IF(CD2343="D",1,0)+IF(CE2343="D",1,0)+IF(CF2343="D",1,0)+IF(CL2343="D",1,0)+IF(CM2343="D",1,0)+IF(CQ2343="D",1,0)+IF(CR2343="D",1,0)+IF(CS2343="D",1,0)+IF(CW2343="D",1,0)+IF(CX2343="D",1,0)+IF(DD2343="D",1,0)+IF(DE2343="D",1,0)+IF(DJ2343="D",1,0)+IF(DK2343="D",1,0)+IF(DO2343="D",1,0)+IF(DP2343="D",1,0)+IF(DQ2343="D",1,0)+IF(DW2343="D",1,0)+IF(DZ2343="D",1,0)+IF(EH2343="D",1,0)</f>
        <v>0</v>
      </c>
      <c r="AY2343" s="0" t="n">
        <f aca="false">COUNTIF(DU2343:EH2343, "&lt;&gt;")</f>
        <v>0</v>
      </c>
      <c r="AZ2343" s="0" t="n">
        <f aca="false">IF(EH2343&lt;&gt;"",1,0)</f>
        <v>0</v>
      </c>
      <c r="BB2343" s="0" t="s">
        <v>152</v>
      </c>
      <c r="CP2343" s="0" t="s">
        <v>153</v>
      </c>
    </row>
    <row r="2344" customFormat="false" ht="13.8" hidden="true" customHeight="false" outlineLevel="0" collapsed="false">
      <c r="A2344" s="0" t="s">
        <v>10158</v>
      </c>
      <c r="B2344" s="0" t="n">
        <v>78</v>
      </c>
      <c r="C2344" s="0" t="n">
        <v>245412</v>
      </c>
      <c r="D2344" s="0" t="s">
        <v>10159</v>
      </c>
      <c r="E2344" s="0" t="s">
        <v>4319</v>
      </c>
      <c r="F2344" s="0" t="str">
        <f aca="false">CONCATENATE(D2344," ",LEFT(H2344,4),"T=",AU2344,"D=",AV2344,"R=",AW2344,"M=",AX2344,"L=",AY2344,"B=",AZ2344)</f>
        <v>THELLMAN T=43D=0R=8M=0L=0B=0</v>
      </c>
      <c r="G2344" s="0" t="s">
        <v>190</v>
      </c>
      <c r="I2344" s="0" t="s">
        <v>10160</v>
      </c>
      <c r="J2344" s="0" t="s">
        <v>3805</v>
      </c>
      <c r="K2344" s="0" t="s">
        <v>160</v>
      </c>
      <c r="M2344" s="0" t="s">
        <v>10161</v>
      </c>
      <c r="N2344" s="0" t="str">
        <f aca="false">RIGHT(M2344,LEN(M2344)-FIND(" ",M2344))</f>
        <v>WASHINGTON ST NW</v>
      </c>
      <c r="P2344" s="0" t="s">
        <v>145</v>
      </c>
      <c r="Q2344" s="0" t="s">
        <v>146</v>
      </c>
      <c r="R2344" s="0" t="n">
        <v>44483</v>
      </c>
      <c r="AD2344" s="0" t="s">
        <v>147</v>
      </c>
      <c r="AE2344" s="0" t="s">
        <v>148</v>
      </c>
      <c r="AF2344" s="0" t="s">
        <v>149</v>
      </c>
      <c r="AH2344" s="0" t="n">
        <v>14</v>
      </c>
      <c r="AI2344" s="0" t="n">
        <v>11</v>
      </c>
      <c r="AN2344" s="0" t="s">
        <v>145</v>
      </c>
      <c r="AO2344" s="0" t="s">
        <v>654</v>
      </c>
      <c r="AP2344" s="0" t="s">
        <v>655</v>
      </c>
      <c r="AQ2344" s="0" t="n">
        <v>9</v>
      </c>
      <c r="AR2344" s="0" t="n">
        <v>64</v>
      </c>
      <c r="AS2344" s="0" t="n">
        <v>32</v>
      </c>
      <c r="AU2344" s="0" t="n">
        <f aca="false">COUNTA($BA$1145:$EH$1145)</f>
        <v>43</v>
      </c>
      <c r="AV2344" s="0" t="n">
        <f aca="false">COUNTIF($BA$1145:$EH$1145,"D")</f>
        <v>0</v>
      </c>
      <c r="AW2344" s="0" t="n">
        <f aca="false">COUNTIF($BA$1145:$EH$1145,"R")</f>
        <v>8</v>
      </c>
      <c r="AX2344" s="0" t="n">
        <f aca="false">IF(BN2344="D",1,0)+IF(BO2344="D",1,0)+IF(BT2344="D",1,0)+IF(BU2344="D",1,0)+IF(BW2344="D",1,0)+IF(CC2344="D",1,0)+IF(CD2344="D",1,0)+IF(CE2344="D",1,0)+IF(CF2344="D",1,0)+IF(CL2344="D",1,0)+IF(CM2344="D",1,0)+IF(CQ2344="D",1,0)+IF(CR2344="D",1,0)+IF(CS2344="D",1,0)+IF(CW2344="D",1,0)+IF(CX2344="D",1,0)+IF(DD2344="D",1,0)+IF(DE2344="D",1,0)+IF(DJ2344="D",1,0)+IF(DK2344="D",1,0)+IF(DO2344="D",1,0)+IF(DP2344="D",1,0)+IF(DQ2344="D",1,0)+IF(DW2344="D",1,0)+IF(DZ2344="D",1,0)+IF(EH2344="D",1,0)</f>
        <v>0</v>
      </c>
      <c r="AY2344" s="0" t="n">
        <f aca="false">COUNTIF(DU2344:EH2344, "&lt;&gt;")</f>
        <v>0</v>
      </c>
      <c r="AZ2344" s="0" t="n">
        <f aca="false">IF(EH2344&lt;&gt;"",1,0)</f>
        <v>0</v>
      </c>
      <c r="BB2344" s="0" t="s">
        <v>152</v>
      </c>
      <c r="BD2344" s="0" t="s">
        <v>153</v>
      </c>
      <c r="BI2344" s="0" t="s">
        <v>153</v>
      </c>
      <c r="BJ2344" s="0" t="s">
        <v>153</v>
      </c>
      <c r="BL2344" s="0" t="s">
        <v>153</v>
      </c>
      <c r="BS2344" s="0" t="s">
        <v>153</v>
      </c>
      <c r="BY2344" s="0" t="s">
        <v>175</v>
      </c>
      <c r="CA2344" s="0" t="s">
        <v>153</v>
      </c>
      <c r="CN2344" s="0" t="s">
        <v>153</v>
      </c>
      <c r="CP2344" s="0" t="s">
        <v>153</v>
      </c>
      <c r="CT2344" s="0" t="s">
        <v>153</v>
      </c>
      <c r="CV2344" s="0" t="s">
        <v>153</v>
      </c>
      <c r="CZ2344" s="0" t="s">
        <v>175</v>
      </c>
      <c r="DC2344" s="0" t="s">
        <v>153</v>
      </c>
      <c r="DF2344" s="0" t="s">
        <v>153</v>
      </c>
      <c r="DI2344" s="0" t="s">
        <v>153</v>
      </c>
      <c r="DM2344" s="0" t="s">
        <v>175</v>
      </c>
      <c r="DN2344" s="0" t="s">
        <v>153</v>
      </c>
    </row>
    <row r="2345" customFormat="false" ht="13.8" hidden="false" customHeight="false" outlineLevel="0" collapsed="false">
      <c r="A2345" s="0" t="s">
        <v>10162</v>
      </c>
      <c r="B2345" s="0" t="n">
        <v>78</v>
      </c>
      <c r="C2345" s="0" t="n">
        <v>475104</v>
      </c>
      <c r="D2345" s="0" t="s">
        <v>10163</v>
      </c>
      <c r="E2345" s="0" t="s">
        <v>1912</v>
      </c>
      <c r="F2345" s="0" t="str">
        <f aca="false">CONCATENATE(D2345," ",LEFT(H2345,4),"T=",AU2345,"D=",AV2345,"R=",AW2345,"M=",AX2345,"L=",AY2345,"B=",AZ2345)</f>
        <v>PRATT T=27D=4R=0M=0L=2B=0</v>
      </c>
      <c r="G2345" s="0" t="s">
        <v>268</v>
      </c>
      <c r="I2345" s="0" t="s">
        <v>10164</v>
      </c>
      <c r="J2345" s="0" t="s">
        <v>404</v>
      </c>
      <c r="K2345" s="0" t="s">
        <v>160</v>
      </c>
      <c r="M2345" s="0" t="s">
        <v>10165</v>
      </c>
      <c r="N2345" s="0" t="str">
        <f aca="false">RIGHT(M2345,LEN(M2345)-FIND(" ",M2345))</f>
        <v>WASHINGTON ST NW</v>
      </c>
      <c r="P2345" s="0" t="s">
        <v>145</v>
      </c>
      <c r="Q2345" s="0" t="s">
        <v>146</v>
      </c>
      <c r="R2345" s="0" t="n">
        <v>44483</v>
      </c>
      <c r="AD2345" s="0" t="s">
        <v>147</v>
      </c>
      <c r="AE2345" s="0" t="s">
        <v>148</v>
      </c>
      <c r="AF2345" s="0" t="s">
        <v>149</v>
      </c>
      <c r="AH2345" s="0" t="n">
        <v>14</v>
      </c>
      <c r="AI2345" s="0" t="n">
        <v>11</v>
      </c>
      <c r="AN2345" s="0" t="s">
        <v>145</v>
      </c>
      <c r="AO2345" s="0" t="s">
        <v>654</v>
      </c>
      <c r="AP2345" s="0" t="s">
        <v>655</v>
      </c>
      <c r="AQ2345" s="0" t="n">
        <v>9</v>
      </c>
      <c r="AR2345" s="0" t="n">
        <v>64</v>
      </c>
      <c r="AS2345" s="0" t="n">
        <v>32</v>
      </c>
      <c r="AU2345" s="0" t="n">
        <f aca="false">COUNTA($BA$1579:$EH$1579)</f>
        <v>27</v>
      </c>
      <c r="AV2345" s="0" t="n">
        <f aca="false">COUNTIF($BA$1579:$EH$1579,"D")</f>
        <v>4</v>
      </c>
      <c r="AW2345" s="0" t="n">
        <f aca="false">COUNTIF($BA$1579:$EH$1579,"R")</f>
        <v>0</v>
      </c>
      <c r="AX2345" s="0" t="n">
        <f aca="false">IF(BN2345="D",1,0)+IF(BO2345="D",1,0)+IF(BT2345="D",1,0)+IF(BU2345="D",1,0)+IF(BW2345="D",1,0)+IF(CC2345="D",1,0)+IF(CD2345="D",1,0)+IF(CE2345="D",1,0)+IF(CF2345="D",1,0)+IF(CL2345="D",1,0)+IF(CM2345="D",1,0)+IF(CQ2345="D",1,0)+IF(CR2345="D",1,0)+IF(CS2345="D",1,0)+IF(CW2345="D",1,0)+IF(CX2345="D",1,0)+IF(DD2345="D",1,0)+IF(DE2345="D",1,0)+IF(DJ2345="D",1,0)+IF(DK2345="D",1,0)+IF(DO2345="D",1,0)+IF(DP2345="D",1,0)+IF(DQ2345="D",1,0)+IF(DW2345="D",1,0)+IF(DZ2345="D",1,0)+IF(EH2345="D",1,0)</f>
        <v>0</v>
      </c>
      <c r="AY2345" s="0" t="n">
        <f aca="false">COUNTIF(DU2345:EH2345, "&lt;&gt;")</f>
        <v>2</v>
      </c>
      <c r="AZ2345" s="0" t="n">
        <f aca="false">IF(EH2345&lt;&gt;"",1,0)</f>
        <v>0</v>
      </c>
      <c r="BB2345" s="0" t="s">
        <v>152</v>
      </c>
      <c r="DI2345" s="0" t="s">
        <v>153</v>
      </c>
      <c r="DX2345" s="0" t="s">
        <v>153</v>
      </c>
      <c r="EF2345" s="0" t="s">
        <v>153</v>
      </c>
    </row>
    <row r="2346" customFormat="false" ht="13.8" hidden="false" customHeight="false" outlineLevel="0" collapsed="false">
      <c r="A2346" s="0" t="s">
        <v>10166</v>
      </c>
      <c r="B2346" s="0" t="n">
        <v>78</v>
      </c>
      <c r="C2346" s="0" t="n">
        <v>383225</v>
      </c>
      <c r="D2346" s="0" t="s">
        <v>10167</v>
      </c>
      <c r="E2346" s="0" t="s">
        <v>2573</v>
      </c>
      <c r="F2346" s="0" t="str">
        <f aca="false">CONCATENATE(D2346," ",LEFT(H2346,4),"T=",AU2346,"D=",AV2346,"R=",AW2346,"M=",AX2346,"L=",AY2346,"B=",AZ2346)</f>
        <v>CLEVENGER T=7D=1R=0M=2L=4B=0</v>
      </c>
      <c r="G2346" s="0" t="s">
        <v>307</v>
      </c>
      <c r="I2346" s="0" t="s">
        <v>8486</v>
      </c>
      <c r="J2346" s="0" t="s">
        <v>5395</v>
      </c>
      <c r="K2346" s="0" t="s">
        <v>160</v>
      </c>
      <c r="L2346" s="0" t="s">
        <v>209</v>
      </c>
      <c r="M2346" s="0" t="s">
        <v>10168</v>
      </c>
      <c r="N2346" s="0" t="str">
        <f aca="false">RIGHT(M2346,LEN(M2346)-FIND(" ",M2346))</f>
        <v>WASHINGTON ST NW</v>
      </c>
      <c r="P2346" s="0" t="s">
        <v>145</v>
      </c>
      <c r="Q2346" s="0" t="s">
        <v>146</v>
      </c>
      <c r="R2346" s="0" t="n">
        <v>44483</v>
      </c>
      <c r="AD2346" s="0" t="s">
        <v>147</v>
      </c>
      <c r="AE2346" s="0" t="s">
        <v>148</v>
      </c>
      <c r="AF2346" s="0" t="s">
        <v>149</v>
      </c>
      <c r="AH2346" s="0" t="n">
        <v>14</v>
      </c>
      <c r="AI2346" s="0" t="n">
        <v>11</v>
      </c>
      <c r="AN2346" s="0" t="s">
        <v>145</v>
      </c>
      <c r="AO2346" s="0" t="s">
        <v>654</v>
      </c>
      <c r="AP2346" s="0" t="s">
        <v>655</v>
      </c>
      <c r="AQ2346" s="0" t="n">
        <v>9</v>
      </c>
      <c r="AR2346" s="0" t="n">
        <v>64</v>
      </c>
      <c r="AS2346" s="0" t="n">
        <v>32</v>
      </c>
      <c r="AU2346" s="0" t="n">
        <f aca="false">COUNTA($BA$1159:$EH$1159)</f>
        <v>7</v>
      </c>
      <c r="AV2346" s="0" t="n">
        <f aca="false">COUNTIF($BA$1159:$EH$1159,"D")</f>
        <v>1</v>
      </c>
      <c r="AW2346" s="0" t="n">
        <f aca="false">COUNTIF($BA$1159:$EH$1159,"R")</f>
        <v>0</v>
      </c>
      <c r="AX2346" s="0" t="n">
        <f aca="false">IF(BN2346="D",1,0)+IF(BO2346="D",1,0)+IF(BT2346="D",1,0)+IF(BU2346="D",1,0)+IF(BW2346="D",1,0)+IF(CC2346="D",1,0)+IF(CD2346="D",1,0)+IF(CE2346="D",1,0)+IF(CF2346="D",1,0)+IF(CL2346="D",1,0)+IF(CM2346="D",1,0)+IF(CQ2346="D",1,0)+IF(CR2346="D",1,0)+IF(CS2346="D",1,0)+IF(CW2346="D",1,0)+IF(CX2346="D",1,0)+IF(DD2346="D",1,0)+IF(DE2346="D",1,0)+IF(DJ2346="D",1,0)+IF(DK2346="D",1,0)+IF(DO2346="D",1,0)+IF(DP2346="D",1,0)+IF(DQ2346="D",1,0)+IF(DW2346="D",1,0)+IF(DZ2346="D",1,0)+IF(EH2346="D",1,0)</f>
        <v>2</v>
      </c>
      <c r="AY2346" s="0" t="n">
        <f aca="false">COUNTIF(DU2346:EH2346, "&lt;&gt;")</f>
        <v>4</v>
      </c>
      <c r="AZ2346" s="0" t="n">
        <f aca="false">IF(EH2346&lt;&gt;"",1,0)</f>
        <v>0</v>
      </c>
      <c r="BB2346" s="0" t="s">
        <v>152</v>
      </c>
      <c r="CA2346" s="0" t="s">
        <v>153</v>
      </c>
      <c r="CG2346" s="0" t="s">
        <v>153</v>
      </c>
      <c r="CP2346" s="0" t="s">
        <v>153</v>
      </c>
      <c r="DC2346" s="0" t="s">
        <v>153</v>
      </c>
      <c r="DD2346" s="0" t="s">
        <v>175</v>
      </c>
      <c r="DF2346" s="0" t="s">
        <v>153</v>
      </c>
      <c r="DI2346" s="0" t="s">
        <v>153</v>
      </c>
      <c r="DJ2346" s="0" t="s">
        <v>175</v>
      </c>
      <c r="DN2346" s="0" t="s">
        <v>153</v>
      </c>
      <c r="DR2346" s="0" t="s">
        <v>153</v>
      </c>
      <c r="DS2346" s="0" t="s">
        <v>175</v>
      </c>
      <c r="DU2346" s="0" t="s">
        <v>153</v>
      </c>
      <c r="DX2346" s="0" t="s">
        <v>153</v>
      </c>
      <c r="ED2346" s="0" t="s">
        <v>209</v>
      </c>
      <c r="EF2346" s="0" t="s">
        <v>153</v>
      </c>
    </row>
    <row r="2347" customFormat="false" ht="13.8" hidden="false" customHeight="false" outlineLevel="0" collapsed="false">
      <c r="A2347" s="0" t="s">
        <v>10169</v>
      </c>
      <c r="B2347" s="0" t="n">
        <v>78</v>
      </c>
      <c r="C2347" s="0" t="n">
        <v>436511</v>
      </c>
      <c r="D2347" s="0" t="s">
        <v>10170</v>
      </c>
      <c r="E2347" s="0" t="s">
        <v>1390</v>
      </c>
      <c r="F2347" s="0" t="str">
        <f aca="false">CONCATENATE(D2347," ",LEFT(H2347,4),"T=",AU2347,"D=",AV2347,"R=",AW2347,"M=",AX2347,"L=",AY2347,"B=",AZ2347)</f>
        <v>KUTHY T=6D=0R=1M=1L=2B=0</v>
      </c>
      <c r="G2347" s="0" t="s">
        <v>10171</v>
      </c>
      <c r="I2347" s="0" t="s">
        <v>10172</v>
      </c>
      <c r="J2347" s="0" t="s">
        <v>2477</v>
      </c>
      <c r="K2347" s="0" t="s">
        <v>160</v>
      </c>
      <c r="M2347" s="0" t="s">
        <v>10168</v>
      </c>
      <c r="N2347" s="0" t="str">
        <f aca="false">RIGHT(M2347,LEN(M2347)-FIND(" ",M2347))</f>
        <v>WASHINGTON ST NW</v>
      </c>
      <c r="P2347" s="0" t="s">
        <v>145</v>
      </c>
      <c r="Q2347" s="0" t="s">
        <v>146</v>
      </c>
      <c r="R2347" s="0" t="n">
        <v>44483</v>
      </c>
      <c r="AD2347" s="0" t="s">
        <v>147</v>
      </c>
      <c r="AE2347" s="0" t="s">
        <v>148</v>
      </c>
      <c r="AF2347" s="0" t="s">
        <v>149</v>
      </c>
      <c r="AH2347" s="0" t="n">
        <v>14</v>
      </c>
      <c r="AI2347" s="0" t="n">
        <v>11</v>
      </c>
      <c r="AN2347" s="0" t="s">
        <v>145</v>
      </c>
      <c r="AO2347" s="0" t="s">
        <v>654</v>
      </c>
      <c r="AP2347" s="0" t="s">
        <v>655</v>
      </c>
      <c r="AQ2347" s="0" t="n">
        <v>9</v>
      </c>
      <c r="AR2347" s="0" t="n">
        <v>64</v>
      </c>
      <c r="AS2347" s="0" t="n">
        <v>32</v>
      </c>
      <c r="AU2347" s="0" t="n">
        <f aca="false">COUNTA($BA$1765:$EH$1765)</f>
        <v>6</v>
      </c>
      <c r="AV2347" s="0" t="n">
        <f aca="false">COUNTIF($BA$1765:$EH$1765,"D")</f>
        <v>0</v>
      </c>
      <c r="AW2347" s="0" t="n">
        <f aca="false">COUNTIF($BA$1765:$EH$1765,"R")</f>
        <v>1</v>
      </c>
      <c r="AX2347" s="0" t="n">
        <f aca="false">IF(BN2347="D",1,0)+IF(BO2347="D",1,0)+IF(BT2347="D",1,0)+IF(BU2347="D",1,0)+IF(BW2347="D",1,0)+IF(CC2347="D",1,0)+IF(CD2347="D",1,0)+IF(CE2347="D",1,0)+IF(CF2347="D",1,0)+IF(CL2347="D",1,0)+IF(CM2347="D",1,0)+IF(CQ2347="D",1,0)+IF(CR2347="D",1,0)+IF(CS2347="D",1,0)+IF(CW2347="D",1,0)+IF(CX2347="D",1,0)+IF(DD2347="D",1,0)+IF(DE2347="D",1,0)+IF(DJ2347="D",1,0)+IF(DK2347="D",1,0)+IF(DO2347="D",1,0)+IF(DP2347="D",1,0)+IF(DQ2347="D",1,0)+IF(DW2347="D",1,0)+IF(DZ2347="D",1,0)+IF(EH2347="D",1,0)</f>
        <v>1</v>
      </c>
      <c r="AY2347" s="0" t="n">
        <f aca="false">COUNTIF(DU2347:EH2347, "&lt;&gt;")</f>
        <v>2</v>
      </c>
      <c r="AZ2347" s="0" t="n">
        <f aca="false">IF(EH2347&lt;&gt;"",1,0)</f>
        <v>0</v>
      </c>
      <c r="BB2347" s="0" t="s">
        <v>152</v>
      </c>
      <c r="BF2347" s="0" t="s">
        <v>153</v>
      </c>
      <c r="BG2347" s="0" t="s">
        <v>153</v>
      </c>
      <c r="BH2347" s="0" t="s">
        <v>153</v>
      </c>
      <c r="BL2347" s="0" t="s">
        <v>153</v>
      </c>
      <c r="CA2347" s="0" t="s">
        <v>153</v>
      </c>
      <c r="CP2347" s="0" t="s">
        <v>153</v>
      </c>
      <c r="DI2347" s="0" t="s">
        <v>153</v>
      </c>
      <c r="DJ2347" s="0" t="s">
        <v>175</v>
      </c>
      <c r="DL2347" s="0" t="s">
        <v>153</v>
      </c>
      <c r="DN2347" s="0" t="s">
        <v>153</v>
      </c>
      <c r="DR2347" s="0" t="s">
        <v>153</v>
      </c>
      <c r="DU2347" s="0" t="s">
        <v>153</v>
      </c>
      <c r="DX2347" s="0" t="s">
        <v>153</v>
      </c>
    </row>
    <row r="2348" customFormat="false" ht="13.8" hidden="false" customHeight="false" outlineLevel="0" collapsed="false">
      <c r="A2348" s="0" t="s">
        <v>10173</v>
      </c>
      <c r="B2348" s="0" t="n">
        <v>78</v>
      </c>
      <c r="C2348" s="0" t="n">
        <v>391739</v>
      </c>
      <c r="D2348" s="0" t="s">
        <v>4001</v>
      </c>
      <c r="E2348" s="0" t="s">
        <v>3162</v>
      </c>
      <c r="F2348" s="0" t="str">
        <f aca="false">CONCATENATE(D2348," ",LEFT(H2348,4),"T=",AU2348,"D=",AV2348,"R=",AW2348,"M=",AX2348,"L=",AY2348,"B=",AZ2348)</f>
        <v>COLEMAN T=27D=2R=4M=0L=3B=0</v>
      </c>
      <c r="G2348" s="0" t="s">
        <v>195</v>
      </c>
      <c r="I2348" s="0" t="s">
        <v>10174</v>
      </c>
      <c r="J2348" s="0" t="s">
        <v>570</v>
      </c>
      <c r="K2348" s="0" t="s">
        <v>160</v>
      </c>
      <c r="L2348" s="0" t="s">
        <v>209</v>
      </c>
      <c r="M2348" s="0" t="s">
        <v>10175</v>
      </c>
      <c r="N2348" s="0" t="str">
        <f aca="false">RIGHT(M2348,LEN(M2348)-FIND(" ",M2348))</f>
        <v>WASHINGTON ST NW</v>
      </c>
      <c r="P2348" s="0" t="s">
        <v>145</v>
      </c>
      <c r="Q2348" s="0" t="s">
        <v>146</v>
      </c>
      <c r="R2348" s="0" t="n">
        <v>44483</v>
      </c>
      <c r="AD2348" s="0" t="s">
        <v>147</v>
      </c>
      <c r="AE2348" s="0" t="s">
        <v>148</v>
      </c>
      <c r="AF2348" s="0" t="s">
        <v>149</v>
      </c>
      <c r="AH2348" s="0" t="n">
        <v>14</v>
      </c>
      <c r="AI2348" s="0" t="n">
        <v>11</v>
      </c>
      <c r="AN2348" s="0" t="s">
        <v>145</v>
      </c>
      <c r="AO2348" s="0" t="s">
        <v>654</v>
      </c>
      <c r="AP2348" s="0" t="s">
        <v>655</v>
      </c>
      <c r="AQ2348" s="0" t="n">
        <v>9</v>
      </c>
      <c r="AR2348" s="0" t="n">
        <v>64</v>
      </c>
      <c r="AS2348" s="0" t="n">
        <v>32</v>
      </c>
      <c r="AU2348" s="0" t="n">
        <f aca="false">COUNTA($BA$1194:$EH$1194)</f>
        <v>27</v>
      </c>
      <c r="AV2348" s="0" t="n">
        <f aca="false">COUNTIF($BA$1194:$EH$1194,"D")</f>
        <v>2</v>
      </c>
      <c r="AW2348" s="0" t="n">
        <f aca="false">COUNTIF($BA$1194:$EH$1194,"R")</f>
        <v>4</v>
      </c>
      <c r="AX2348" s="0" t="n">
        <f aca="false">IF(BN2348="D",1,0)+IF(BO2348="D",1,0)+IF(BT2348="D",1,0)+IF(BU2348="D",1,0)+IF(BW2348="D",1,0)+IF(CC2348="D",1,0)+IF(CD2348="D",1,0)+IF(CE2348="D",1,0)+IF(CF2348="D",1,0)+IF(CL2348="D",1,0)+IF(CM2348="D",1,0)+IF(CQ2348="D",1,0)+IF(CR2348="D",1,0)+IF(CS2348="D",1,0)+IF(CW2348="D",1,0)+IF(CX2348="D",1,0)+IF(DD2348="D",1,0)+IF(DE2348="D",1,0)+IF(DJ2348="D",1,0)+IF(DK2348="D",1,0)+IF(DO2348="D",1,0)+IF(DP2348="D",1,0)+IF(DQ2348="D",1,0)+IF(DW2348="D",1,0)+IF(DZ2348="D",1,0)+IF(EH2348="D",1,0)</f>
        <v>0</v>
      </c>
      <c r="AY2348" s="0" t="n">
        <f aca="false">COUNTIF(DU2348:EH2348, "&lt;&gt;")</f>
        <v>3</v>
      </c>
      <c r="AZ2348" s="0" t="n">
        <f aca="false">IF(EH2348&lt;&gt;"",1,0)</f>
        <v>0</v>
      </c>
      <c r="BB2348" s="0" t="s">
        <v>152</v>
      </c>
      <c r="DN2348" s="0" t="s">
        <v>153</v>
      </c>
      <c r="DR2348" s="0" t="s">
        <v>153</v>
      </c>
      <c r="DS2348" s="0" t="s">
        <v>209</v>
      </c>
      <c r="DU2348" s="0" t="s">
        <v>153</v>
      </c>
      <c r="EA2348" s="0" t="s">
        <v>153</v>
      </c>
      <c r="EF2348" s="0" t="s">
        <v>153</v>
      </c>
    </row>
    <row r="2349" customFormat="false" ht="13.8" hidden="false" customHeight="false" outlineLevel="0" collapsed="false">
      <c r="A2349" s="0" t="s">
        <v>10176</v>
      </c>
      <c r="B2349" s="0" t="n">
        <v>78</v>
      </c>
      <c r="C2349" s="0" t="n">
        <v>333297</v>
      </c>
      <c r="D2349" s="0" t="s">
        <v>10177</v>
      </c>
      <c r="E2349" s="0" t="s">
        <v>10178</v>
      </c>
      <c r="F2349" s="0" t="str">
        <f aca="false">CONCATENATE(D2349," ",LEFT(H2349,4),"T=",AU2349,"D=",AV2349,"R=",AW2349,"M=",AX2349,"L=",AY2349,"B=",AZ2349)</f>
        <v>FRITZ T=12D=1R=0M=0L=3B=0</v>
      </c>
      <c r="I2349" s="0" t="s">
        <v>10179</v>
      </c>
      <c r="J2349" s="0" t="s">
        <v>1539</v>
      </c>
      <c r="K2349" s="0" t="s">
        <v>160</v>
      </c>
      <c r="L2349" s="0" t="s">
        <v>209</v>
      </c>
      <c r="M2349" s="0" t="s">
        <v>10175</v>
      </c>
      <c r="N2349" s="0" t="str">
        <f aca="false">RIGHT(M2349,LEN(M2349)-FIND(" ",M2349))</f>
        <v>WASHINGTON ST NW</v>
      </c>
      <c r="P2349" s="0" t="s">
        <v>145</v>
      </c>
      <c r="Q2349" s="0" t="s">
        <v>146</v>
      </c>
      <c r="R2349" s="0" t="n">
        <v>44483</v>
      </c>
      <c r="AD2349" s="0" t="s">
        <v>147</v>
      </c>
      <c r="AE2349" s="0" t="s">
        <v>148</v>
      </c>
      <c r="AF2349" s="0" t="s">
        <v>149</v>
      </c>
      <c r="AH2349" s="0" t="n">
        <v>14</v>
      </c>
      <c r="AI2349" s="0" t="n">
        <v>11</v>
      </c>
      <c r="AN2349" s="0" t="s">
        <v>145</v>
      </c>
      <c r="AO2349" s="0" t="s">
        <v>654</v>
      </c>
      <c r="AP2349" s="0" t="s">
        <v>655</v>
      </c>
      <c r="AQ2349" s="0" t="n">
        <v>9</v>
      </c>
      <c r="AR2349" s="0" t="n">
        <v>64</v>
      </c>
      <c r="AS2349" s="0" t="n">
        <v>32</v>
      </c>
      <c r="AU2349" s="0" t="n">
        <f aca="false">COUNTA($BA$1241:$EH$1241)</f>
        <v>12</v>
      </c>
      <c r="AV2349" s="0" t="n">
        <f aca="false">COUNTIF($BA$1241:$EH$1241,"D")</f>
        <v>1</v>
      </c>
      <c r="AW2349" s="0" t="n">
        <f aca="false">COUNTIF($BA$1241:$EH$1241,"R")</f>
        <v>0</v>
      </c>
      <c r="AX2349" s="0" t="n">
        <f aca="false">IF(BN2349="D",1,0)+IF(BO2349="D",1,0)+IF(BT2349="D",1,0)+IF(BU2349="D",1,0)+IF(BW2349="D",1,0)+IF(CC2349="D",1,0)+IF(CD2349="D",1,0)+IF(CE2349="D",1,0)+IF(CF2349="D",1,0)+IF(CL2349="D",1,0)+IF(CM2349="D",1,0)+IF(CQ2349="D",1,0)+IF(CR2349="D",1,0)+IF(CS2349="D",1,0)+IF(CW2349="D",1,0)+IF(CX2349="D",1,0)+IF(DD2349="D",1,0)+IF(DE2349="D",1,0)+IF(DJ2349="D",1,0)+IF(DK2349="D",1,0)+IF(DO2349="D",1,0)+IF(DP2349="D",1,0)+IF(DQ2349="D",1,0)+IF(DW2349="D",1,0)+IF(DZ2349="D",1,0)+IF(EH2349="D",1,0)</f>
        <v>0</v>
      </c>
      <c r="AY2349" s="0" t="n">
        <f aca="false">COUNTIF(DU2349:EH2349, "&lt;&gt;")</f>
        <v>3</v>
      </c>
      <c r="AZ2349" s="0" t="n">
        <f aca="false">IF(EH2349&lt;&gt;"",1,0)</f>
        <v>0</v>
      </c>
      <c r="BB2349" s="0" t="s">
        <v>152</v>
      </c>
      <c r="BL2349" s="0" t="s">
        <v>153</v>
      </c>
      <c r="BY2349" s="0" t="s">
        <v>175</v>
      </c>
      <c r="CA2349" s="0" t="s">
        <v>153</v>
      </c>
      <c r="CP2349" s="0" t="s">
        <v>153</v>
      </c>
      <c r="CY2349" s="0" t="s">
        <v>153</v>
      </c>
      <c r="CZ2349" s="0" t="s">
        <v>209</v>
      </c>
      <c r="DN2349" s="0" t="s">
        <v>153</v>
      </c>
      <c r="DR2349" s="0" t="s">
        <v>153</v>
      </c>
      <c r="DS2349" s="0" t="s">
        <v>209</v>
      </c>
      <c r="DU2349" s="0" t="s">
        <v>153</v>
      </c>
      <c r="EA2349" s="0" t="s">
        <v>153</v>
      </c>
      <c r="EF2349" s="0" t="s">
        <v>153</v>
      </c>
    </row>
    <row r="2350" customFormat="false" ht="13.8" hidden="false" customHeight="false" outlineLevel="0" collapsed="false">
      <c r="A2350" s="0" t="s">
        <v>10180</v>
      </c>
      <c r="B2350" s="0" t="n">
        <v>78</v>
      </c>
      <c r="C2350" s="0" t="n">
        <v>454558</v>
      </c>
      <c r="D2350" s="0" t="s">
        <v>10181</v>
      </c>
      <c r="E2350" s="0" t="s">
        <v>724</v>
      </c>
      <c r="F2350" s="0" t="str">
        <f aca="false">CONCATENATE(D2350," ",LEFT(H2350,4),"T=",AU2350,"D=",AV2350,"R=",AW2350,"M=",AX2350,"L=",AY2350,"B=",AZ2350)</f>
        <v>KILLINGSWORTH T=2D=0R=0M=0L=2B=0</v>
      </c>
      <c r="G2350" s="0" t="s">
        <v>190</v>
      </c>
      <c r="I2350" s="0" t="s">
        <v>10182</v>
      </c>
      <c r="J2350" s="0" t="s">
        <v>478</v>
      </c>
      <c r="K2350" s="0" t="s">
        <v>160</v>
      </c>
      <c r="L2350" s="0" t="s">
        <v>209</v>
      </c>
      <c r="M2350" s="0" t="s">
        <v>10175</v>
      </c>
      <c r="N2350" s="0" t="str">
        <f aca="false">RIGHT(M2350,LEN(M2350)-FIND(" ",M2350))</f>
        <v>WASHINGTON ST NW</v>
      </c>
      <c r="P2350" s="0" t="s">
        <v>145</v>
      </c>
      <c r="Q2350" s="0" t="s">
        <v>146</v>
      </c>
      <c r="R2350" s="0" t="n">
        <v>44483</v>
      </c>
      <c r="AD2350" s="0" t="s">
        <v>147</v>
      </c>
      <c r="AE2350" s="0" t="s">
        <v>148</v>
      </c>
      <c r="AF2350" s="0" t="s">
        <v>149</v>
      </c>
      <c r="AH2350" s="0" t="n">
        <v>14</v>
      </c>
      <c r="AI2350" s="0" t="n">
        <v>11</v>
      </c>
      <c r="AN2350" s="0" t="s">
        <v>145</v>
      </c>
      <c r="AO2350" s="0" t="s">
        <v>654</v>
      </c>
      <c r="AP2350" s="0" t="s">
        <v>655</v>
      </c>
      <c r="AQ2350" s="0" t="n">
        <v>9</v>
      </c>
      <c r="AR2350" s="0" t="n">
        <v>64</v>
      </c>
      <c r="AS2350" s="0" t="n">
        <v>32</v>
      </c>
      <c r="AU2350" s="0" t="n">
        <f aca="false">COUNTA($BA$1279:$EH$1279)</f>
        <v>2</v>
      </c>
      <c r="AV2350" s="0" t="n">
        <f aca="false">COUNTIF($BA$1279:$EH$1279,"D")</f>
        <v>0</v>
      </c>
      <c r="AW2350" s="0" t="n">
        <f aca="false">COUNTIF($BA$1279:$EH$1279,"R")</f>
        <v>0</v>
      </c>
      <c r="AX2350" s="0" t="n">
        <f aca="false">IF(BN2350="D",1,0)+IF(BO2350="D",1,0)+IF(BT2350="D",1,0)+IF(BU2350="D",1,0)+IF(BW2350="D",1,0)+IF(CC2350="D",1,0)+IF(CD2350="D",1,0)+IF(CE2350="D",1,0)+IF(CF2350="D",1,0)+IF(CL2350="D",1,0)+IF(CM2350="D",1,0)+IF(CQ2350="D",1,0)+IF(CR2350="D",1,0)+IF(CS2350="D",1,0)+IF(CW2350="D",1,0)+IF(CX2350="D",1,0)+IF(DD2350="D",1,0)+IF(DE2350="D",1,0)+IF(DJ2350="D",1,0)+IF(DK2350="D",1,0)+IF(DO2350="D",1,0)+IF(DP2350="D",1,0)+IF(DQ2350="D",1,0)+IF(DW2350="D",1,0)+IF(DZ2350="D",1,0)+IF(EH2350="D",1,0)</f>
        <v>0</v>
      </c>
      <c r="AY2350" s="0" t="n">
        <f aca="false">COUNTIF(DU2350:EH2350, "&lt;&gt;")</f>
        <v>2</v>
      </c>
      <c r="AZ2350" s="0" t="n">
        <f aca="false">IF(EH2350&lt;&gt;"",1,0)</f>
        <v>0</v>
      </c>
      <c r="BB2350" s="0" t="s">
        <v>152</v>
      </c>
      <c r="DN2350" s="0" t="s">
        <v>153</v>
      </c>
      <c r="DS2350" s="0" t="s">
        <v>209</v>
      </c>
      <c r="DU2350" s="0" t="s">
        <v>153</v>
      </c>
      <c r="EF2350" s="0" t="s">
        <v>153</v>
      </c>
    </row>
    <row r="2351" customFormat="false" ht="13.8" hidden="true" customHeight="false" outlineLevel="0" collapsed="false">
      <c r="A2351" s="0" t="s">
        <v>10183</v>
      </c>
      <c r="B2351" s="0" t="n">
        <v>78</v>
      </c>
      <c r="C2351" s="0" t="n">
        <v>421526</v>
      </c>
      <c r="D2351" s="0" t="s">
        <v>10184</v>
      </c>
      <c r="E2351" s="0" t="s">
        <v>1885</v>
      </c>
      <c r="F2351" s="0" t="str">
        <f aca="false">CONCATENATE(D2351," ",LEFT(H2351,4),"T=",AU2351,"D=",AV2351,"R=",AW2351,"M=",AX2351,"L=",AY2351,"B=",AZ2351)</f>
        <v>MCFADDEN T=22D=8R=0M=0L=0B=0</v>
      </c>
      <c r="G2351" s="0" t="s">
        <v>209</v>
      </c>
      <c r="I2351" s="0" t="s">
        <v>10185</v>
      </c>
      <c r="J2351" s="0" t="s">
        <v>553</v>
      </c>
      <c r="K2351" s="0" t="s">
        <v>160</v>
      </c>
      <c r="M2351" s="0" t="s">
        <v>10186</v>
      </c>
      <c r="N2351" s="0" t="str">
        <f aca="false">RIGHT(M2351,LEN(M2351)-FIND(" ",M2351))</f>
        <v>WAVERLY AVE NE</v>
      </c>
      <c r="P2351" s="0" t="s">
        <v>145</v>
      </c>
      <c r="Q2351" s="0" t="s">
        <v>146</v>
      </c>
      <c r="R2351" s="0" t="n">
        <v>44483</v>
      </c>
      <c r="AD2351" s="0" t="s">
        <v>147</v>
      </c>
      <c r="AE2351" s="0" t="s">
        <v>148</v>
      </c>
      <c r="AF2351" s="0" t="s">
        <v>149</v>
      </c>
      <c r="AH2351" s="0" t="n">
        <v>14</v>
      </c>
      <c r="AI2351" s="0" t="n">
        <v>11</v>
      </c>
      <c r="AN2351" s="0" t="s">
        <v>145</v>
      </c>
      <c r="AO2351" s="0" t="s">
        <v>654</v>
      </c>
      <c r="AP2351" s="0" t="s">
        <v>655</v>
      </c>
      <c r="AQ2351" s="0" t="n">
        <v>9</v>
      </c>
      <c r="AR2351" s="0" t="n">
        <v>64</v>
      </c>
      <c r="AS2351" s="0" t="n">
        <v>32</v>
      </c>
      <c r="AU2351" s="0" t="n">
        <f aca="false">COUNTA($BA$2076:$EH$2076)</f>
        <v>22</v>
      </c>
      <c r="AV2351" s="0" t="n">
        <f aca="false">COUNTIF($BA$2076:$EH$2076,"D")</f>
        <v>8</v>
      </c>
      <c r="AW2351" s="0" t="n">
        <f aca="false">COUNTIF($BA$2076:$EH$2076,"R")</f>
        <v>0</v>
      </c>
      <c r="AX2351" s="0" t="n">
        <f aca="false">IF(BN2351="D",1,0)+IF(BO2351="D",1,0)+IF(BT2351="D",1,0)+IF(BU2351="D",1,0)+IF(BW2351="D",1,0)+IF(CC2351="D",1,0)+IF(CD2351="D",1,0)+IF(CE2351="D",1,0)+IF(CF2351="D",1,0)+IF(CL2351="D",1,0)+IF(CM2351="D",1,0)+IF(CQ2351="D",1,0)+IF(CR2351="D",1,0)+IF(CS2351="D",1,0)+IF(CW2351="D",1,0)+IF(CX2351="D",1,0)+IF(DD2351="D",1,0)+IF(DE2351="D",1,0)+IF(DJ2351="D",1,0)+IF(DK2351="D",1,0)+IF(DO2351="D",1,0)+IF(DP2351="D",1,0)+IF(DQ2351="D",1,0)+IF(DW2351="D",1,0)+IF(DZ2351="D",1,0)+IF(EH2351="D",1,0)</f>
        <v>0</v>
      </c>
      <c r="AY2351" s="0" t="n">
        <f aca="false">COUNTIF(DU2351:EH2351, "&lt;&gt;")</f>
        <v>0</v>
      </c>
      <c r="AZ2351" s="0" t="n">
        <f aca="false">IF(EH2351&lt;&gt;"",1,0)</f>
        <v>0</v>
      </c>
      <c r="BB2351" s="0" t="s">
        <v>152</v>
      </c>
    </row>
    <row r="2352" customFormat="false" ht="13.8" hidden="true" customHeight="false" outlineLevel="0" collapsed="false">
      <c r="A2352" s="0" t="s">
        <v>10187</v>
      </c>
      <c r="B2352" s="0" t="n">
        <v>78</v>
      </c>
      <c r="C2352" s="0" t="n">
        <v>348212</v>
      </c>
      <c r="D2352" s="0" t="s">
        <v>10188</v>
      </c>
      <c r="E2352" s="0" t="s">
        <v>2680</v>
      </c>
      <c r="F2352" s="0" t="str">
        <f aca="false">CONCATENATE(D2352," ",LEFT(H2352,4),"T=",AU2352,"D=",AV2352,"R=",AW2352,"M=",AX2352,"L=",AY2352,"B=",AZ2352)</f>
        <v>RHINE T=24D=6R=0M=0L=0B=0</v>
      </c>
      <c r="G2352" s="0" t="s">
        <v>325</v>
      </c>
      <c r="I2352" s="0" t="s">
        <v>10189</v>
      </c>
      <c r="J2352" s="0" t="s">
        <v>10190</v>
      </c>
      <c r="K2352" s="0" t="s">
        <v>143</v>
      </c>
      <c r="M2352" s="0" t="s">
        <v>10191</v>
      </c>
      <c r="N2352" s="0" t="str">
        <f aca="false">RIGHT(M2352,LEN(M2352)-FIND(" ",M2352))</f>
        <v>WAVERLY AVE NE</v>
      </c>
      <c r="P2352" s="0" t="s">
        <v>145</v>
      </c>
      <c r="Q2352" s="0" t="s">
        <v>146</v>
      </c>
      <c r="R2352" s="0" t="n">
        <v>44483</v>
      </c>
      <c r="AD2352" s="0" t="s">
        <v>147</v>
      </c>
      <c r="AE2352" s="0" t="s">
        <v>148</v>
      </c>
      <c r="AF2352" s="0" t="s">
        <v>149</v>
      </c>
      <c r="AH2352" s="0" t="n">
        <v>14</v>
      </c>
      <c r="AI2352" s="0" t="n">
        <v>11</v>
      </c>
      <c r="AN2352" s="0" t="s">
        <v>145</v>
      </c>
      <c r="AO2352" s="0" t="s">
        <v>654</v>
      </c>
      <c r="AP2352" s="0" t="s">
        <v>655</v>
      </c>
      <c r="AQ2352" s="0" t="n">
        <v>9</v>
      </c>
      <c r="AR2352" s="0" t="n">
        <v>64</v>
      </c>
      <c r="AS2352" s="0" t="n">
        <v>32</v>
      </c>
      <c r="AU2352" s="0" t="n">
        <f aca="false">COUNTA($BA$1437:$EH$1437)</f>
        <v>24</v>
      </c>
      <c r="AV2352" s="0" t="n">
        <f aca="false">COUNTIF($BA$1437:$EH$1437,"D")</f>
        <v>6</v>
      </c>
      <c r="AW2352" s="0" t="n">
        <f aca="false">COUNTIF($BA$1437:$EH$1437,"R")</f>
        <v>0</v>
      </c>
      <c r="AX2352" s="0" t="n">
        <f aca="false">IF(BN2352="D",1,0)+IF(BO2352="D",1,0)+IF(BT2352="D",1,0)+IF(BU2352="D",1,0)+IF(BW2352="D",1,0)+IF(CC2352="D",1,0)+IF(CD2352="D",1,0)+IF(CE2352="D",1,0)+IF(CF2352="D",1,0)+IF(CL2352="D",1,0)+IF(CM2352="D",1,0)+IF(CQ2352="D",1,0)+IF(CR2352="D",1,0)+IF(CS2352="D",1,0)+IF(CW2352="D",1,0)+IF(CX2352="D",1,0)+IF(DD2352="D",1,0)+IF(DE2352="D",1,0)+IF(DJ2352="D",1,0)+IF(DK2352="D",1,0)+IF(DO2352="D",1,0)+IF(DP2352="D",1,0)+IF(DQ2352="D",1,0)+IF(DW2352="D",1,0)+IF(DZ2352="D",1,0)+IF(EH2352="D",1,0)</f>
        <v>0</v>
      </c>
      <c r="AY2352" s="0" t="n">
        <f aca="false">COUNTIF(DU2352:EH2352, "&lt;&gt;")</f>
        <v>0</v>
      </c>
      <c r="AZ2352" s="0" t="n">
        <f aca="false">IF(EH2352&lt;&gt;"",1,0)</f>
        <v>0</v>
      </c>
      <c r="BB2352" s="0" t="s">
        <v>152</v>
      </c>
      <c r="BV2352" s="0" t="s">
        <v>153</v>
      </c>
      <c r="CA2352" s="0" t="s">
        <v>153</v>
      </c>
      <c r="CG2352" s="0" t="s">
        <v>153</v>
      </c>
      <c r="CN2352" s="0" t="s">
        <v>153</v>
      </c>
      <c r="CP2352" s="0" t="s">
        <v>153</v>
      </c>
      <c r="DC2352" s="0" t="s">
        <v>153</v>
      </c>
      <c r="DI2352" s="0" t="s">
        <v>153</v>
      </c>
      <c r="DN2352" s="0" t="s">
        <v>153</v>
      </c>
    </row>
    <row r="2353" customFormat="false" ht="13.8" hidden="true" customHeight="false" outlineLevel="0" collapsed="false">
      <c r="A2353" s="0" t="s">
        <v>10192</v>
      </c>
      <c r="B2353" s="0" t="n">
        <v>78</v>
      </c>
      <c r="C2353" s="0" t="n">
        <v>319126</v>
      </c>
      <c r="D2353" s="0" t="s">
        <v>10193</v>
      </c>
      <c r="E2353" s="0" t="s">
        <v>469</v>
      </c>
      <c r="F2353" s="0" t="str">
        <f aca="false">CONCATENATE(D2353," ",LEFT(H2353,4),"T=",AU2353,"D=",AV2353,"R=",AW2353,"M=",AX2353,"L=",AY2353,"B=",AZ2353)</f>
        <v>PAFF T=1D=0R=0M=0L=0B=0</v>
      </c>
      <c r="G2353" s="0" t="s">
        <v>1128</v>
      </c>
      <c r="I2353" s="0" t="s">
        <v>10194</v>
      </c>
      <c r="J2353" s="0" t="s">
        <v>2288</v>
      </c>
      <c r="K2353" s="0" t="s">
        <v>143</v>
      </c>
      <c r="M2353" s="0" t="s">
        <v>10191</v>
      </c>
      <c r="N2353" s="0" t="str">
        <f aca="false">RIGHT(M2353,LEN(M2353)-FIND(" ",M2353))</f>
        <v>WAVERLY AVE NE</v>
      </c>
      <c r="P2353" s="0" t="s">
        <v>145</v>
      </c>
      <c r="Q2353" s="0" t="s">
        <v>146</v>
      </c>
      <c r="R2353" s="0" t="n">
        <v>44483</v>
      </c>
      <c r="AD2353" s="0" t="s">
        <v>147</v>
      </c>
      <c r="AE2353" s="0" t="s">
        <v>148</v>
      </c>
      <c r="AF2353" s="0" t="s">
        <v>149</v>
      </c>
      <c r="AH2353" s="0" t="n">
        <v>14</v>
      </c>
      <c r="AI2353" s="0" t="n">
        <v>11</v>
      </c>
      <c r="AN2353" s="0" t="s">
        <v>145</v>
      </c>
      <c r="AO2353" s="0" t="s">
        <v>654</v>
      </c>
      <c r="AP2353" s="0" t="s">
        <v>655</v>
      </c>
      <c r="AQ2353" s="0" t="n">
        <v>9</v>
      </c>
      <c r="AR2353" s="0" t="n">
        <v>64</v>
      </c>
      <c r="AS2353" s="0" t="n">
        <v>32</v>
      </c>
      <c r="AU2353" s="0" t="n">
        <f aca="false">COUNTA($BA$2001:$EH$2001)</f>
        <v>1</v>
      </c>
      <c r="AV2353" s="0" t="n">
        <f aca="false">COUNTIF($BA$2001:$EH$2001,"D")</f>
        <v>0</v>
      </c>
      <c r="AW2353" s="0" t="n">
        <f aca="false">COUNTIF($BA$2001:$EH$2001,"R")</f>
        <v>0</v>
      </c>
      <c r="AX2353" s="0" t="n">
        <f aca="false">IF(BN2353="D",1,0)+IF(BO2353="D",1,0)+IF(BT2353="D",1,0)+IF(BU2353="D",1,0)+IF(BW2353="D",1,0)+IF(CC2353="D",1,0)+IF(CD2353="D",1,0)+IF(CE2353="D",1,0)+IF(CF2353="D",1,0)+IF(CL2353="D",1,0)+IF(CM2353="D",1,0)+IF(CQ2353="D",1,0)+IF(CR2353="D",1,0)+IF(CS2353="D",1,0)+IF(CW2353="D",1,0)+IF(CX2353="D",1,0)+IF(DD2353="D",1,0)+IF(DE2353="D",1,0)+IF(DJ2353="D",1,0)+IF(DK2353="D",1,0)+IF(DO2353="D",1,0)+IF(DP2353="D",1,0)+IF(DQ2353="D",1,0)+IF(DW2353="D",1,0)+IF(DZ2353="D",1,0)+IF(EH2353="D",1,0)</f>
        <v>0</v>
      </c>
      <c r="AY2353" s="0" t="n">
        <f aca="false">COUNTIF(DU2353:EH2353, "&lt;&gt;")</f>
        <v>0</v>
      </c>
      <c r="AZ2353" s="0" t="n">
        <f aca="false">IF(EH2353&lt;&gt;"",1,0)</f>
        <v>0</v>
      </c>
      <c r="BB2353" s="0" t="s">
        <v>152</v>
      </c>
      <c r="BL2353" s="0" t="s">
        <v>153</v>
      </c>
    </row>
    <row r="2354" customFormat="false" ht="13.8" hidden="true" customHeight="false" outlineLevel="0" collapsed="false">
      <c r="A2354" s="0" t="s">
        <v>10195</v>
      </c>
      <c r="B2354" s="0" t="n">
        <v>78</v>
      </c>
      <c r="C2354" s="0" t="n">
        <v>321972</v>
      </c>
      <c r="D2354" s="0" t="s">
        <v>5062</v>
      </c>
      <c r="E2354" s="0" t="s">
        <v>10196</v>
      </c>
      <c r="F2354" s="0" t="str">
        <f aca="false">CONCATENATE(D2354," ",LEFT(H2354,4),"T=",AU2354,"D=",AV2354,"R=",AW2354,"M=",AX2354,"L=",AY2354,"B=",AZ2354)</f>
        <v>STANLEY T=4D=0R=0M=0L=0B=0</v>
      </c>
      <c r="I2354" s="0" t="s">
        <v>10132</v>
      </c>
      <c r="J2354" s="0" t="s">
        <v>9964</v>
      </c>
      <c r="K2354" s="0" t="s">
        <v>143</v>
      </c>
      <c r="M2354" s="0" t="s">
        <v>10197</v>
      </c>
      <c r="N2354" s="0" t="str">
        <f aca="false">RIGHT(M2354,LEN(M2354)-FIND(" ",M2354))</f>
        <v>WAVERLY AVE NE</v>
      </c>
      <c r="O2354" s="0" t="s">
        <v>7281</v>
      </c>
      <c r="P2354" s="0" t="s">
        <v>145</v>
      </c>
      <c r="Q2354" s="0" t="s">
        <v>146</v>
      </c>
      <c r="R2354" s="0" t="n">
        <v>44483</v>
      </c>
      <c r="AD2354" s="0" t="s">
        <v>147</v>
      </c>
      <c r="AE2354" s="0" t="s">
        <v>148</v>
      </c>
      <c r="AF2354" s="0" t="s">
        <v>149</v>
      </c>
      <c r="AH2354" s="0" t="n">
        <v>14</v>
      </c>
      <c r="AI2354" s="0" t="n">
        <v>11</v>
      </c>
      <c r="AN2354" s="0" t="s">
        <v>145</v>
      </c>
      <c r="AO2354" s="0" t="s">
        <v>654</v>
      </c>
      <c r="AP2354" s="0" t="s">
        <v>655</v>
      </c>
      <c r="AQ2354" s="0" t="n">
        <v>9</v>
      </c>
      <c r="AR2354" s="0" t="n">
        <v>64</v>
      </c>
      <c r="AS2354" s="0" t="n">
        <v>32</v>
      </c>
      <c r="AU2354" s="0" t="n">
        <f aca="false">COUNTA($BA$1327:$EH$1327)</f>
        <v>4</v>
      </c>
      <c r="AV2354" s="0" t="n">
        <f aca="false">COUNTIF($BA$1327:$EH$1327,"D")</f>
        <v>0</v>
      </c>
      <c r="AW2354" s="0" t="n">
        <f aca="false">COUNTIF($BA$1327:$EH$1327,"R")</f>
        <v>0</v>
      </c>
      <c r="AX2354" s="0" t="n">
        <f aca="false">IF(BN2354="D",1,0)+IF(BO2354="D",1,0)+IF(BT2354="D",1,0)+IF(BU2354="D",1,0)+IF(BW2354="D",1,0)+IF(CC2354="D",1,0)+IF(CD2354="D",1,0)+IF(CE2354="D",1,0)+IF(CF2354="D",1,0)+IF(CL2354="D",1,0)+IF(CM2354="D",1,0)+IF(CQ2354="D",1,0)+IF(CR2354="D",1,0)+IF(CS2354="D",1,0)+IF(CW2354="D",1,0)+IF(CX2354="D",1,0)+IF(DD2354="D",1,0)+IF(DE2354="D",1,0)+IF(DJ2354="D",1,0)+IF(DK2354="D",1,0)+IF(DO2354="D",1,0)+IF(DP2354="D",1,0)+IF(DQ2354="D",1,0)+IF(DW2354="D",1,0)+IF(DZ2354="D",1,0)+IF(EH2354="D",1,0)</f>
        <v>0</v>
      </c>
      <c r="AY2354" s="0" t="n">
        <f aca="false">COUNTIF(DU2354:EH2354, "&lt;&gt;")</f>
        <v>0</v>
      </c>
      <c r="AZ2354" s="0" t="n">
        <f aca="false">IF(EH2354&lt;&gt;"",1,0)</f>
        <v>0</v>
      </c>
      <c r="BB2354" s="0" t="s">
        <v>152</v>
      </c>
    </row>
    <row r="2355" customFormat="false" ht="13.8" hidden="true" customHeight="false" outlineLevel="0" collapsed="false">
      <c r="A2355" s="0" t="s">
        <v>10198</v>
      </c>
      <c r="B2355" s="0" t="n">
        <v>78</v>
      </c>
      <c r="C2355" s="0" t="n">
        <v>415591</v>
      </c>
      <c r="D2355" s="0" t="s">
        <v>10199</v>
      </c>
      <c r="E2355" s="0" t="s">
        <v>10200</v>
      </c>
      <c r="F2355" s="0" t="str">
        <f aca="false">CONCATENATE(D2355," ",LEFT(H2355,4),"T=",AU2355,"D=",AV2355,"R=",AW2355,"M=",AX2355,"L=",AY2355,"B=",AZ2355)</f>
        <v>GREENWOOD T=1D=0R=0M=0L=0B=0</v>
      </c>
      <c r="G2355" s="0" t="s">
        <v>195</v>
      </c>
      <c r="I2355" s="0" t="s">
        <v>10201</v>
      </c>
      <c r="J2355" s="0" t="s">
        <v>10202</v>
      </c>
      <c r="K2355" s="0" t="s">
        <v>143</v>
      </c>
      <c r="M2355" s="0" t="s">
        <v>10203</v>
      </c>
      <c r="N2355" s="0" t="str">
        <f aca="false">RIGHT(M2355,LEN(M2355)-FIND(" ",M2355))</f>
        <v>WAVERLY AVE NE</v>
      </c>
      <c r="P2355" s="0" t="s">
        <v>145</v>
      </c>
      <c r="Q2355" s="0" t="s">
        <v>146</v>
      </c>
      <c r="R2355" s="0" t="n">
        <v>44483</v>
      </c>
      <c r="AD2355" s="0" t="s">
        <v>147</v>
      </c>
      <c r="AE2355" s="0" t="s">
        <v>148</v>
      </c>
      <c r="AF2355" s="0" t="s">
        <v>149</v>
      </c>
      <c r="AH2355" s="0" t="n">
        <v>14</v>
      </c>
      <c r="AI2355" s="0" t="n">
        <v>11</v>
      </c>
      <c r="AN2355" s="0" t="s">
        <v>145</v>
      </c>
      <c r="AO2355" s="0" t="s">
        <v>654</v>
      </c>
      <c r="AP2355" s="0" t="s">
        <v>655</v>
      </c>
      <c r="AQ2355" s="0" t="n">
        <v>9</v>
      </c>
      <c r="AR2355" s="0" t="n">
        <v>64</v>
      </c>
      <c r="AS2355" s="0" t="n">
        <v>32</v>
      </c>
      <c r="AU2355" s="0" t="n">
        <f aca="false">COUNTA($BA$1968:$EH$1968)</f>
        <v>1</v>
      </c>
      <c r="AV2355" s="0" t="n">
        <f aca="false">COUNTIF($BA$1968:$EH$1968,"D")</f>
        <v>0</v>
      </c>
      <c r="AW2355" s="0" t="n">
        <f aca="false">COUNTIF($BA$1968:$EH$1968,"R")</f>
        <v>0</v>
      </c>
      <c r="AX2355" s="0" t="n">
        <f aca="false">IF(BN2355="D",1,0)+IF(BO2355="D",1,0)+IF(BT2355="D",1,0)+IF(BU2355="D",1,0)+IF(BW2355="D",1,0)+IF(CC2355="D",1,0)+IF(CD2355="D",1,0)+IF(CE2355="D",1,0)+IF(CF2355="D",1,0)+IF(CL2355="D",1,0)+IF(CM2355="D",1,0)+IF(CQ2355="D",1,0)+IF(CR2355="D",1,0)+IF(CS2355="D",1,0)+IF(CW2355="D",1,0)+IF(CX2355="D",1,0)+IF(DD2355="D",1,0)+IF(DE2355="D",1,0)+IF(DJ2355="D",1,0)+IF(DK2355="D",1,0)+IF(DO2355="D",1,0)+IF(DP2355="D",1,0)+IF(DQ2355="D",1,0)+IF(DW2355="D",1,0)+IF(DZ2355="D",1,0)+IF(EH2355="D",1,0)</f>
        <v>0</v>
      </c>
      <c r="AY2355" s="0" t="n">
        <f aca="false">COUNTIF(DU2355:EH2355, "&lt;&gt;")</f>
        <v>0</v>
      </c>
      <c r="AZ2355" s="0" t="n">
        <f aca="false">IF(EH2355&lt;&gt;"",1,0)</f>
        <v>0</v>
      </c>
      <c r="BB2355" s="0" t="s">
        <v>152</v>
      </c>
    </row>
    <row r="2356" customFormat="false" ht="13.8" hidden="false" customHeight="false" outlineLevel="0" collapsed="false">
      <c r="A2356" s="0" t="s">
        <v>10204</v>
      </c>
      <c r="B2356" s="0" t="n">
        <v>78</v>
      </c>
      <c r="C2356" s="0" t="n">
        <v>287087</v>
      </c>
      <c r="D2356" s="0" t="s">
        <v>10205</v>
      </c>
      <c r="E2356" s="0" t="s">
        <v>1208</v>
      </c>
      <c r="F2356" s="0" t="str">
        <f aca="false">CONCATENATE(D2356," ",LEFT(H2356,4),"T=",AU2356,"D=",AV2356,"R=",AW2356,"M=",AX2356,"L=",AY2356,"B=",AZ2356)</f>
        <v>BUBE T=1D=0R=0M=0L=3B=0</v>
      </c>
      <c r="G2356" s="0" t="s">
        <v>209</v>
      </c>
      <c r="I2356" s="0" t="s">
        <v>7386</v>
      </c>
      <c r="J2356" s="0" t="s">
        <v>1079</v>
      </c>
      <c r="K2356" s="0" t="s">
        <v>160</v>
      </c>
      <c r="M2356" s="0" t="s">
        <v>10206</v>
      </c>
      <c r="N2356" s="0" t="str">
        <f aca="false">RIGHT(M2356,LEN(M2356)-FIND(" ",M2356))</f>
        <v>WAVERLY AVE NE</v>
      </c>
      <c r="P2356" s="0" t="s">
        <v>145</v>
      </c>
      <c r="Q2356" s="0" t="s">
        <v>146</v>
      </c>
      <c r="R2356" s="0" t="n">
        <v>44483</v>
      </c>
      <c r="AD2356" s="0" t="s">
        <v>147</v>
      </c>
      <c r="AE2356" s="0" t="s">
        <v>148</v>
      </c>
      <c r="AF2356" s="0" t="s">
        <v>149</v>
      </c>
      <c r="AH2356" s="0" t="n">
        <v>14</v>
      </c>
      <c r="AI2356" s="0" t="n">
        <v>11</v>
      </c>
      <c r="AN2356" s="0" t="s">
        <v>145</v>
      </c>
      <c r="AO2356" s="0" t="s">
        <v>654</v>
      </c>
      <c r="AP2356" s="0" t="s">
        <v>655</v>
      </c>
      <c r="AQ2356" s="0" t="n">
        <v>9</v>
      </c>
      <c r="AR2356" s="0" t="n">
        <v>64</v>
      </c>
      <c r="AS2356" s="0" t="n">
        <v>32</v>
      </c>
      <c r="AU2356" s="0" t="n">
        <f aca="false">COUNTA($BA$1983:$EH$1983)</f>
        <v>1</v>
      </c>
      <c r="AV2356" s="0" t="n">
        <f aca="false">COUNTIF($BA$1983:$EH$1983,"D")</f>
        <v>0</v>
      </c>
      <c r="AW2356" s="0" t="n">
        <f aca="false">COUNTIF($BA$1983:$EH$1983,"R")</f>
        <v>0</v>
      </c>
      <c r="AX2356" s="0" t="n">
        <f aca="false">IF(BN2356="D",1,0)+IF(BO2356="D",1,0)+IF(BT2356="D",1,0)+IF(BU2356="D",1,0)+IF(BW2356="D",1,0)+IF(CC2356="D",1,0)+IF(CD2356="D",1,0)+IF(CE2356="D",1,0)+IF(CF2356="D",1,0)+IF(CL2356="D",1,0)+IF(CM2356="D",1,0)+IF(CQ2356="D",1,0)+IF(CR2356="D",1,0)+IF(CS2356="D",1,0)+IF(CW2356="D",1,0)+IF(CX2356="D",1,0)+IF(DD2356="D",1,0)+IF(DE2356="D",1,0)+IF(DJ2356="D",1,0)+IF(DK2356="D",1,0)+IF(DO2356="D",1,0)+IF(DP2356="D",1,0)+IF(DQ2356="D",1,0)+IF(DW2356="D",1,0)+IF(DZ2356="D",1,0)+IF(EH2356="D",1,0)</f>
        <v>0</v>
      </c>
      <c r="AY2356" s="0" t="n">
        <f aca="false">COUNTIF(DU2356:EH2356, "&lt;&gt;")</f>
        <v>3</v>
      </c>
      <c r="AZ2356" s="0" t="n">
        <f aca="false">IF(EH2356&lt;&gt;"",1,0)</f>
        <v>0</v>
      </c>
      <c r="BB2356" s="0" t="s">
        <v>152</v>
      </c>
      <c r="BC2356" s="0" t="s">
        <v>153</v>
      </c>
      <c r="BD2356" s="0" t="s">
        <v>153</v>
      </c>
      <c r="BL2356" s="0" t="s">
        <v>153</v>
      </c>
      <c r="BS2356" s="0" t="s">
        <v>153</v>
      </c>
      <c r="BY2356" s="0" t="s">
        <v>175</v>
      </c>
      <c r="CA2356" s="0" t="s">
        <v>153</v>
      </c>
      <c r="CN2356" s="0" t="s">
        <v>153</v>
      </c>
      <c r="CP2356" s="0" t="s">
        <v>153</v>
      </c>
      <c r="CY2356" s="0" t="s">
        <v>153</v>
      </c>
      <c r="CZ2356" s="0" t="s">
        <v>209</v>
      </c>
      <c r="DC2356" s="0" t="s">
        <v>153</v>
      </c>
      <c r="DN2356" s="0" t="s">
        <v>153</v>
      </c>
      <c r="DU2356" s="0" t="s">
        <v>153</v>
      </c>
      <c r="EA2356" s="0" t="s">
        <v>153</v>
      </c>
      <c r="EF2356" s="0" t="s">
        <v>153</v>
      </c>
    </row>
    <row r="2357" customFormat="false" ht="13.8" hidden="true" customHeight="false" outlineLevel="0" collapsed="false">
      <c r="A2357" s="0" t="s">
        <v>10207</v>
      </c>
      <c r="B2357" s="0" t="n">
        <v>78</v>
      </c>
      <c r="C2357" s="0" t="n">
        <v>431692</v>
      </c>
      <c r="D2357" s="0" t="s">
        <v>10208</v>
      </c>
      <c r="E2357" s="0" t="s">
        <v>1229</v>
      </c>
      <c r="F2357" s="0" t="str">
        <f aca="false">CONCATENATE(D2357," ",LEFT(H2357,4),"T=",AU2357,"D=",AV2357,"R=",AW2357,"M=",AX2357,"L=",AY2357,"B=",AZ2357)</f>
        <v>MAYFIELD T=19D=1R=0M=0L=0B=0</v>
      </c>
      <c r="G2357" s="0" t="s">
        <v>209</v>
      </c>
      <c r="I2357" s="0" t="s">
        <v>301</v>
      </c>
      <c r="J2357" s="0" t="s">
        <v>8977</v>
      </c>
      <c r="K2357" s="0" t="s">
        <v>143</v>
      </c>
      <c r="M2357" s="0" t="s">
        <v>10209</v>
      </c>
      <c r="N2357" s="0" t="str">
        <f aca="false">RIGHT(M2357,LEN(M2357)-FIND(" ",M2357))</f>
        <v>WAVERLY AVE NE</v>
      </c>
      <c r="P2357" s="0" t="s">
        <v>145</v>
      </c>
      <c r="Q2357" s="0" t="s">
        <v>146</v>
      </c>
      <c r="R2357" s="0" t="n">
        <v>44483</v>
      </c>
      <c r="AD2357" s="0" t="s">
        <v>147</v>
      </c>
      <c r="AE2357" s="0" t="s">
        <v>148</v>
      </c>
      <c r="AF2357" s="0" t="s">
        <v>149</v>
      </c>
      <c r="AH2357" s="0" t="n">
        <v>14</v>
      </c>
      <c r="AI2357" s="0" t="n">
        <v>11</v>
      </c>
      <c r="AN2357" s="0" t="s">
        <v>145</v>
      </c>
      <c r="AO2357" s="0" t="s">
        <v>654</v>
      </c>
      <c r="AP2357" s="0" t="s">
        <v>655</v>
      </c>
      <c r="AQ2357" s="0" t="n">
        <v>9</v>
      </c>
      <c r="AR2357" s="0" t="n">
        <v>64</v>
      </c>
      <c r="AS2357" s="0" t="n">
        <v>32</v>
      </c>
      <c r="AU2357" s="0" t="n">
        <f aca="false">COUNTA($BA$1799:$EH$1799)</f>
        <v>19</v>
      </c>
      <c r="AV2357" s="0" t="n">
        <f aca="false">COUNTIF($BA$1799:$EH$1799,"D")</f>
        <v>1</v>
      </c>
      <c r="AW2357" s="0" t="n">
        <f aca="false">COUNTIF($BA$1799:$EH$1799,"R")</f>
        <v>0</v>
      </c>
      <c r="AX2357" s="0" t="n">
        <f aca="false">IF(BN2357="D",1,0)+IF(BO2357="D",1,0)+IF(BT2357="D",1,0)+IF(BU2357="D",1,0)+IF(BW2357="D",1,0)+IF(CC2357="D",1,0)+IF(CD2357="D",1,0)+IF(CE2357="D",1,0)+IF(CF2357="D",1,0)+IF(CL2357="D",1,0)+IF(CM2357="D",1,0)+IF(CQ2357="D",1,0)+IF(CR2357="D",1,0)+IF(CS2357="D",1,0)+IF(CW2357="D",1,0)+IF(CX2357="D",1,0)+IF(DD2357="D",1,0)+IF(DE2357="D",1,0)+IF(DJ2357="D",1,0)+IF(DK2357="D",1,0)+IF(DO2357="D",1,0)+IF(DP2357="D",1,0)+IF(DQ2357="D",1,0)+IF(DW2357="D",1,0)+IF(DZ2357="D",1,0)+IF(EH2357="D",1,0)</f>
        <v>0</v>
      </c>
      <c r="AY2357" s="0" t="n">
        <f aca="false">COUNTIF(DU2357:EH2357, "&lt;&gt;")</f>
        <v>0</v>
      </c>
      <c r="AZ2357" s="0" t="n">
        <f aca="false">IF(EH2357&lt;&gt;"",1,0)</f>
        <v>0</v>
      </c>
      <c r="BB2357" s="0" t="s">
        <v>152</v>
      </c>
    </row>
    <row r="2358" customFormat="false" ht="13.8" hidden="true" customHeight="false" outlineLevel="0" collapsed="false">
      <c r="A2358" s="0" t="s">
        <v>10210</v>
      </c>
      <c r="B2358" s="0" t="n">
        <v>78</v>
      </c>
      <c r="C2358" s="0" t="n">
        <v>408754</v>
      </c>
      <c r="D2358" s="0" t="s">
        <v>740</v>
      </c>
      <c r="E2358" s="0" t="s">
        <v>10211</v>
      </c>
      <c r="F2358" s="0" t="str">
        <f aca="false">CONCATENATE(D2358," ",LEFT(H2358,4),"T=",AU2358,"D=",AV2358,"R=",AW2358,"M=",AX2358,"L=",AY2358,"B=",AZ2358)</f>
        <v>PATTERSON T=43D=16R=0M=0L=0B=0</v>
      </c>
      <c r="G2358" s="0" t="s">
        <v>1328</v>
      </c>
      <c r="I2358" s="0" t="s">
        <v>10212</v>
      </c>
      <c r="J2358" s="0" t="s">
        <v>1185</v>
      </c>
      <c r="K2358" s="0" t="s">
        <v>143</v>
      </c>
      <c r="M2358" s="0" t="s">
        <v>10213</v>
      </c>
      <c r="N2358" s="0" t="str">
        <f aca="false">RIGHT(M2358,LEN(M2358)-FIND(" ",M2358))</f>
        <v>WAVERLY AVE NE</v>
      </c>
      <c r="P2358" s="0" t="s">
        <v>145</v>
      </c>
      <c r="Q2358" s="0" t="s">
        <v>146</v>
      </c>
      <c r="R2358" s="0" t="n">
        <v>44483</v>
      </c>
      <c r="AD2358" s="0" t="s">
        <v>147</v>
      </c>
      <c r="AE2358" s="0" t="s">
        <v>148</v>
      </c>
      <c r="AF2358" s="0" t="s">
        <v>149</v>
      </c>
      <c r="AH2358" s="0" t="n">
        <v>14</v>
      </c>
      <c r="AI2358" s="0" t="n">
        <v>11</v>
      </c>
      <c r="AN2358" s="0" t="s">
        <v>145</v>
      </c>
      <c r="AO2358" s="0" t="s">
        <v>654</v>
      </c>
      <c r="AP2358" s="0" t="s">
        <v>655</v>
      </c>
      <c r="AQ2358" s="0" t="n">
        <v>9</v>
      </c>
      <c r="AR2358" s="0" t="n">
        <v>64</v>
      </c>
      <c r="AS2358" s="0" t="n">
        <v>32</v>
      </c>
      <c r="AU2358" s="0" t="n">
        <f aca="false">COUNTA($BA$1166:$EH$1166)</f>
        <v>43</v>
      </c>
      <c r="AV2358" s="0" t="n">
        <f aca="false">COUNTIF($BA$1166:$EH$1166,"D")</f>
        <v>16</v>
      </c>
      <c r="AW2358" s="0" t="n">
        <f aca="false">COUNTIF($BA$1166:$EH$1166,"R")</f>
        <v>0</v>
      </c>
      <c r="AX2358" s="0" t="n">
        <f aca="false">IF(BN2358="D",1,0)+IF(BO2358="D",1,0)+IF(BT2358="D",1,0)+IF(BU2358="D",1,0)+IF(BW2358="D",1,0)+IF(CC2358="D",1,0)+IF(CD2358="D",1,0)+IF(CE2358="D",1,0)+IF(CF2358="D",1,0)+IF(CL2358="D",1,0)+IF(CM2358="D",1,0)+IF(CQ2358="D",1,0)+IF(CR2358="D",1,0)+IF(CS2358="D",1,0)+IF(CW2358="D",1,0)+IF(CX2358="D",1,0)+IF(DD2358="D",1,0)+IF(DE2358="D",1,0)+IF(DJ2358="D",1,0)+IF(DK2358="D",1,0)+IF(DO2358="D",1,0)+IF(DP2358="D",1,0)+IF(DQ2358="D",1,0)+IF(DW2358="D",1,0)+IF(DZ2358="D",1,0)+IF(EH2358="D",1,0)</f>
        <v>0</v>
      </c>
      <c r="AY2358" s="0" t="n">
        <f aca="false">COUNTIF(DU2358:EH2358, "&lt;&gt;")</f>
        <v>0</v>
      </c>
      <c r="AZ2358" s="0" t="n">
        <f aca="false">IF(EH2358&lt;&gt;"",1,0)</f>
        <v>0</v>
      </c>
      <c r="BB2358" s="0" t="s">
        <v>152</v>
      </c>
    </row>
    <row r="2359" customFormat="false" ht="13.8" hidden="true" customHeight="false" outlineLevel="0" collapsed="false">
      <c r="A2359" s="0" t="s">
        <v>10214</v>
      </c>
      <c r="B2359" s="0" t="n">
        <v>78</v>
      </c>
      <c r="C2359" s="0" t="n">
        <v>299292</v>
      </c>
      <c r="D2359" s="0" t="s">
        <v>10215</v>
      </c>
      <c r="E2359" s="0" t="s">
        <v>3541</v>
      </c>
      <c r="F2359" s="0" t="str">
        <f aca="false">CONCATENATE(D2359," ",LEFT(H2359,4),"T=",AU2359,"D=",AV2359,"R=",AW2359,"M=",AX2359,"L=",AY2359,"B=",AZ2359)</f>
        <v>MAZZOLA T=5D=0R=0M=0L=0B=0</v>
      </c>
      <c r="G2359" s="0" t="s">
        <v>8894</v>
      </c>
      <c r="I2359" s="0" t="s">
        <v>10216</v>
      </c>
      <c r="J2359" s="0" t="s">
        <v>7885</v>
      </c>
      <c r="K2359" s="0" t="s">
        <v>143</v>
      </c>
      <c r="M2359" s="0" t="s">
        <v>10213</v>
      </c>
      <c r="N2359" s="0" t="str">
        <f aca="false">RIGHT(M2359,LEN(M2359)-FIND(" ",M2359))</f>
        <v>WAVERLY AVE NE</v>
      </c>
      <c r="P2359" s="0" t="s">
        <v>145</v>
      </c>
      <c r="Q2359" s="0" t="s">
        <v>146</v>
      </c>
      <c r="R2359" s="0" t="n">
        <v>44483</v>
      </c>
      <c r="AD2359" s="0" t="s">
        <v>147</v>
      </c>
      <c r="AE2359" s="0" t="s">
        <v>148</v>
      </c>
      <c r="AF2359" s="0" t="s">
        <v>149</v>
      </c>
      <c r="AH2359" s="0" t="n">
        <v>14</v>
      </c>
      <c r="AI2359" s="0" t="n">
        <v>11</v>
      </c>
      <c r="AN2359" s="0" t="s">
        <v>145</v>
      </c>
      <c r="AO2359" s="0" t="s">
        <v>654</v>
      </c>
      <c r="AP2359" s="0" t="s">
        <v>655</v>
      </c>
      <c r="AQ2359" s="0" t="n">
        <v>9</v>
      </c>
      <c r="AR2359" s="0" t="n">
        <v>64</v>
      </c>
      <c r="AS2359" s="0" t="n">
        <v>32</v>
      </c>
      <c r="AU2359" s="0" t="n">
        <f aca="false">COUNTA($BA$1237:$EH$1237)</f>
        <v>5</v>
      </c>
      <c r="AV2359" s="0" t="n">
        <f aca="false">COUNTIF($BA$1237:$EH$1237,"D")</f>
        <v>0</v>
      </c>
      <c r="AW2359" s="0" t="n">
        <f aca="false">COUNTIF($BA$1237:$EH$1237,"R")</f>
        <v>0</v>
      </c>
      <c r="AX2359" s="0" t="n">
        <f aca="false">IF(BN2359="D",1,0)+IF(BO2359="D",1,0)+IF(BT2359="D",1,0)+IF(BU2359="D",1,0)+IF(BW2359="D",1,0)+IF(CC2359="D",1,0)+IF(CD2359="D",1,0)+IF(CE2359="D",1,0)+IF(CF2359="D",1,0)+IF(CL2359="D",1,0)+IF(CM2359="D",1,0)+IF(CQ2359="D",1,0)+IF(CR2359="D",1,0)+IF(CS2359="D",1,0)+IF(CW2359="D",1,0)+IF(CX2359="D",1,0)+IF(DD2359="D",1,0)+IF(DE2359="D",1,0)+IF(DJ2359="D",1,0)+IF(DK2359="D",1,0)+IF(DO2359="D",1,0)+IF(DP2359="D",1,0)+IF(DQ2359="D",1,0)+IF(DW2359="D",1,0)+IF(DZ2359="D",1,0)+IF(EH2359="D",1,0)</f>
        <v>0</v>
      </c>
      <c r="AY2359" s="0" t="n">
        <f aca="false">COUNTIF(DU2359:EH2359, "&lt;&gt;")</f>
        <v>0</v>
      </c>
      <c r="AZ2359" s="0" t="n">
        <f aca="false">IF(EH2359&lt;&gt;"",1,0)</f>
        <v>0</v>
      </c>
      <c r="BB2359" s="0" t="s">
        <v>152</v>
      </c>
      <c r="BD2359" s="0" t="s">
        <v>153</v>
      </c>
      <c r="BL2359" s="0" t="s">
        <v>153</v>
      </c>
    </row>
    <row r="2360" customFormat="false" ht="13.8" hidden="true" customHeight="false" outlineLevel="0" collapsed="false">
      <c r="A2360" s="0" t="s">
        <v>10217</v>
      </c>
      <c r="B2360" s="0" t="n">
        <v>78</v>
      </c>
      <c r="C2360" s="0" t="n">
        <v>495151</v>
      </c>
      <c r="D2360" s="0" t="s">
        <v>10215</v>
      </c>
      <c r="E2360" s="0" t="s">
        <v>10218</v>
      </c>
      <c r="F2360" s="0" t="str">
        <f aca="false">CONCATENATE(D2360," ",LEFT(H2360,4),"T=",AU2360,"D=",AV2360,"R=",AW2360,"M=",AX2360,"L=",AY2360,"B=",AZ2360)</f>
        <v>MAZZOLA T=1D=0R=0M=0L=0B=0</v>
      </c>
      <c r="G2360" s="0" t="s">
        <v>293</v>
      </c>
      <c r="I2360" s="0" t="s">
        <v>10219</v>
      </c>
      <c r="J2360" s="0" t="s">
        <v>10220</v>
      </c>
      <c r="K2360" s="0" t="s">
        <v>160</v>
      </c>
      <c r="M2360" s="0" t="s">
        <v>10213</v>
      </c>
      <c r="N2360" s="0" t="str">
        <f aca="false">RIGHT(M2360,LEN(M2360)-FIND(" ",M2360))</f>
        <v>WAVERLY AVE NE</v>
      </c>
      <c r="P2360" s="0" t="s">
        <v>145</v>
      </c>
      <c r="Q2360" s="0" t="s">
        <v>146</v>
      </c>
      <c r="R2360" s="0" t="n">
        <v>44483</v>
      </c>
      <c r="AD2360" s="0" t="s">
        <v>147</v>
      </c>
      <c r="AE2360" s="0" t="s">
        <v>148</v>
      </c>
      <c r="AF2360" s="0" t="s">
        <v>149</v>
      </c>
      <c r="AH2360" s="0" t="n">
        <v>14</v>
      </c>
      <c r="AI2360" s="0" t="n">
        <v>11</v>
      </c>
      <c r="AN2360" s="0" t="s">
        <v>145</v>
      </c>
      <c r="AO2360" s="0" t="s">
        <v>654</v>
      </c>
      <c r="AP2360" s="0" t="s">
        <v>655</v>
      </c>
      <c r="AQ2360" s="0" t="n">
        <v>9</v>
      </c>
      <c r="AR2360" s="0" t="n">
        <v>64</v>
      </c>
      <c r="AS2360" s="0" t="n">
        <v>32</v>
      </c>
      <c r="AU2360" s="0" t="n">
        <f aca="false">COUNTA($BA$1318:$EH$1318)</f>
        <v>1</v>
      </c>
      <c r="AV2360" s="0" t="n">
        <f aca="false">COUNTIF($BA$1318:$EH$1318,"D")</f>
        <v>0</v>
      </c>
      <c r="AW2360" s="0" t="n">
        <f aca="false">COUNTIF($BA$1318:$EH$1318,"R")</f>
        <v>0</v>
      </c>
      <c r="AX2360" s="0" t="n">
        <f aca="false">IF(BN2360="D",1,0)+IF(BO2360="D",1,0)+IF(BT2360="D",1,0)+IF(BU2360="D",1,0)+IF(BW2360="D",1,0)+IF(CC2360="D",1,0)+IF(CD2360="D",1,0)+IF(CE2360="D",1,0)+IF(CF2360="D",1,0)+IF(CL2360="D",1,0)+IF(CM2360="D",1,0)+IF(CQ2360="D",1,0)+IF(CR2360="D",1,0)+IF(CS2360="D",1,0)+IF(CW2360="D",1,0)+IF(CX2360="D",1,0)+IF(DD2360="D",1,0)+IF(DE2360="D",1,0)+IF(DJ2360="D",1,0)+IF(DK2360="D",1,0)+IF(DO2360="D",1,0)+IF(DP2360="D",1,0)+IF(DQ2360="D",1,0)+IF(DW2360="D",1,0)+IF(DZ2360="D",1,0)+IF(EH2360="D",1,0)</f>
        <v>0</v>
      </c>
      <c r="AY2360" s="0" t="n">
        <f aca="false">COUNTIF(DU2360:EH2360, "&lt;&gt;")</f>
        <v>0</v>
      </c>
      <c r="AZ2360" s="0" t="n">
        <f aca="false">IF(EH2360&lt;&gt;"",1,0)</f>
        <v>0</v>
      </c>
      <c r="BB2360" s="0" t="s">
        <v>152</v>
      </c>
    </row>
    <row r="2361" customFormat="false" ht="13.8" hidden="true" customHeight="false" outlineLevel="0" collapsed="false">
      <c r="A2361" s="0" t="s">
        <v>10221</v>
      </c>
      <c r="B2361" s="0" t="n">
        <v>78</v>
      </c>
      <c r="C2361" s="0" t="n">
        <v>410075</v>
      </c>
      <c r="D2361" s="0" t="s">
        <v>10215</v>
      </c>
      <c r="E2361" s="0" t="s">
        <v>3541</v>
      </c>
      <c r="F2361" s="0" t="str">
        <f aca="false">CONCATENATE(D2361," ",LEFT(H2361,4),"T=",AU2361,"D=",AV2361,"R=",AW2361,"M=",AX2361,"L=",AY2361,"B=",AZ2361)</f>
        <v>MAZZOLA JRT=2D=0R=0M=0L=0B=0</v>
      </c>
      <c r="G2361" s="0" t="s">
        <v>175</v>
      </c>
      <c r="H2361" s="0" t="s">
        <v>314</v>
      </c>
      <c r="I2361" s="0" t="s">
        <v>10222</v>
      </c>
      <c r="J2361" s="0" t="s">
        <v>4095</v>
      </c>
      <c r="K2361" s="0" t="s">
        <v>143</v>
      </c>
      <c r="M2361" s="0" t="s">
        <v>10213</v>
      </c>
      <c r="N2361" s="0" t="str">
        <f aca="false">RIGHT(M2361,LEN(M2361)-FIND(" ",M2361))</f>
        <v>WAVERLY AVE NE</v>
      </c>
      <c r="P2361" s="0" t="s">
        <v>145</v>
      </c>
      <c r="Q2361" s="0" t="s">
        <v>146</v>
      </c>
      <c r="R2361" s="0" t="n">
        <v>44483</v>
      </c>
      <c r="AD2361" s="0" t="s">
        <v>147</v>
      </c>
      <c r="AE2361" s="0" t="s">
        <v>148</v>
      </c>
      <c r="AF2361" s="0" t="s">
        <v>149</v>
      </c>
      <c r="AH2361" s="0" t="n">
        <v>14</v>
      </c>
      <c r="AI2361" s="0" t="n">
        <v>11</v>
      </c>
      <c r="AN2361" s="0" t="s">
        <v>145</v>
      </c>
      <c r="AO2361" s="0" t="s">
        <v>654</v>
      </c>
      <c r="AP2361" s="0" t="s">
        <v>655</v>
      </c>
      <c r="AQ2361" s="0" t="n">
        <v>9</v>
      </c>
      <c r="AR2361" s="0" t="n">
        <v>64</v>
      </c>
      <c r="AS2361" s="0" t="n">
        <v>32</v>
      </c>
      <c r="AU2361" s="0" t="n">
        <f aca="false">COUNTA($BA$1928:$EH$1928)</f>
        <v>2</v>
      </c>
      <c r="AV2361" s="0" t="n">
        <f aca="false">COUNTIF($BA$1928:$EH$1928,"D")</f>
        <v>0</v>
      </c>
      <c r="AW2361" s="0" t="n">
        <f aca="false">COUNTIF($BA$1928:$EH$1928,"R")</f>
        <v>0</v>
      </c>
      <c r="AX2361" s="0" t="n">
        <f aca="false">IF(BN2361="D",1,0)+IF(BO2361="D",1,0)+IF(BT2361="D",1,0)+IF(BU2361="D",1,0)+IF(BW2361="D",1,0)+IF(CC2361="D",1,0)+IF(CD2361="D",1,0)+IF(CE2361="D",1,0)+IF(CF2361="D",1,0)+IF(CL2361="D",1,0)+IF(CM2361="D",1,0)+IF(CQ2361="D",1,0)+IF(CR2361="D",1,0)+IF(CS2361="D",1,0)+IF(CW2361="D",1,0)+IF(CX2361="D",1,0)+IF(DD2361="D",1,0)+IF(DE2361="D",1,0)+IF(DJ2361="D",1,0)+IF(DK2361="D",1,0)+IF(DO2361="D",1,0)+IF(DP2361="D",1,0)+IF(DQ2361="D",1,0)+IF(DW2361="D",1,0)+IF(DZ2361="D",1,0)+IF(EH2361="D",1,0)</f>
        <v>0</v>
      </c>
      <c r="AY2361" s="0" t="n">
        <f aca="false">COUNTIF(DU2361:EH2361, "&lt;&gt;")</f>
        <v>0</v>
      </c>
      <c r="AZ2361" s="0" t="n">
        <f aca="false">IF(EH2361&lt;&gt;"",1,0)</f>
        <v>0</v>
      </c>
      <c r="BB2361" s="0" t="s">
        <v>152</v>
      </c>
    </row>
    <row r="2362" customFormat="false" ht="13.8" hidden="true" customHeight="false" outlineLevel="0" collapsed="false">
      <c r="A2362" s="0" t="s">
        <v>10223</v>
      </c>
      <c r="B2362" s="0" t="n">
        <v>78</v>
      </c>
      <c r="C2362" s="0" t="n">
        <v>413959</v>
      </c>
      <c r="D2362" s="0" t="s">
        <v>1445</v>
      </c>
      <c r="E2362" s="0" t="s">
        <v>10224</v>
      </c>
      <c r="F2362" s="0" t="str">
        <f aca="false">CONCATENATE(D2362," ",LEFT(H2362,4),"T=",AU2362,"D=",AV2362,"R=",AW2362,"M=",AX2362,"L=",AY2362,"B=",AZ2362)</f>
        <v>WILLIAMS T=10D=0R=0M=0L=0B=0</v>
      </c>
      <c r="G2362" s="0" t="s">
        <v>1510</v>
      </c>
      <c r="I2362" s="0" t="s">
        <v>10225</v>
      </c>
      <c r="J2362" s="0" t="s">
        <v>4345</v>
      </c>
      <c r="K2362" s="0" t="s">
        <v>143</v>
      </c>
      <c r="M2362" s="0" t="s">
        <v>10226</v>
      </c>
      <c r="N2362" s="0" t="str">
        <f aca="false">RIGHT(M2362,LEN(M2362)-FIND(" ",M2362))</f>
        <v>WICK ST SE</v>
      </c>
      <c r="P2362" s="0" t="s">
        <v>145</v>
      </c>
      <c r="Q2362" s="0" t="s">
        <v>146</v>
      </c>
      <c r="R2362" s="0" t="n">
        <v>44484</v>
      </c>
      <c r="AD2362" s="0" t="s">
        <v>147</v>
      </c>
      <c r="AE2362" s="0" t="s">
        <v>148</v>
      </c>
      <c r="AF2362" s="0" t="s">
        <v>149</v>
      </c>
      <c r="AH2362" s="0" t="n">
        <v>14</v>
      </c>
      <c r="AI2362" s="0" t="n">
        <v>11</v>
      </c>
      <c r="AN2362" s="0" t="s">
        <v>145</v>
      </c>
      <c r="AO2362" s="0" t="s">
        <v>233</v>
      </c>
      <c r="AP2362" s="0" t="s">
        <v>234</v>
      </c>
      <c r="AQ2362" s="0" t="n">
        <v>9</v>
      </c>
      <c r="AR2362" s="0" t="n">
        <v>64</v>
      </c>
      <c r="AS2362" s="0" t="n">
        <v>32</v>
      </c>
      <c r="AU2362" s="0" t="n">
        <f aca="false">COUNTA($BA$2328:$EH$2328)</f>
        <v>10</v>
      </c>
      <c r="AV2362" s="0" t="n">
        <f aca="false">COUNTIF($BA$2328:$EH$2328,"D")</f>
        <v>0</v>
      </c>
      <c r="AW2362" s="0" t="n">
        <f aca="false">COUNTIF($BA$2328:$EH$2328,"R")</f>
        <v>0</v>
      </c>
      <c r="AX2362" s="0" t="n">
        <f aca="false">IF(BN2362="D",1,0)+IF(BO2362="D",1,0)+IF(BT2362="D",1,0)+IF(BU2362="D",1,0)+IF(BW2362="D",1,0)+IF(CC2362="D",1,0)+IF(CD2362="D",1,0)+IF(CE2362="D",1,0)+IF(CF2362="D",1,0)+IF(CL2362="D",1,0)+IF(CM2362="D",1,0)+IF(CQ2362="D",1,0)+IF(CR2362="D",1,0)+IF(CS2362="D",1,0)+IF(CW2362="D",1,0)+IF(CX2362="D",1,0)+IF(DD2362="D",1,0)+IF(DE2362="D",1,0)+IF(DJ2362="D",1,0)+IF(DK2362="D",1,0)+IF(DO2362="D",1,0)+IF(DP2362="D",1,0)+IF(DQ2362="D",1,0)+IF(DW2362="D",1,0)+IF(DZ2362="D",1,0)+IF(EH2362="D",1,0)</f>
        <v>0</v>
      </c>
      <c r="AY2362" s="0" t="n">
        <f aca="false">COUNTIF(DU2362:EH2362, "&lt;&gt;")</f>
        <v>0</v>
      </c>
      <c r="AZ2362" s="0" t="n">
        <f aca="false">IF(EH2362&lt;&gt;"",1,0)</f>
        <v>0</v>
      </c>
      <c r="BB2362" s="0" t="s">
        <v>152</v>
      </c>
      <c r="DI2362" s="0" t="s">
        <v>153</v>
      </c>
      <c r="DN2362" s="0" t="s">
        <v>153</v>
      </c>
    </row>
    <row r="2363" customFormat="false" ht="13.8" hidden="true" customHeight="false" outlineLevel="0" collapsed="false">
      <c r="A2363" s="0" t="s">
        <v>10227</v>
      </c>
      <c r="B2363" s="0" t="n">
        <v>78</v>
      </c>
      <c r="C2363" s="0" t="n">
        <v>455051</v>
      </c>
      <c r="D2363" s="0" t="s">
        <v>2407</v>
      </c>
      <c r="E2363" s="0" t="s">
        <v>2353</v>
      </c>
      <c r="F2363" s="0" t="str">
        <f aca="false">CONCATENATE(D2363," ",LEFT(H2363,4),"T=",AU2363,"D=",AV2363,"R=",AW2363,"M=",AX2363,"L=",AY2363,"B=",AZ2363)</f>
        <v>WALLACE T=5D=0R=0M=0L=0B=0</v>
      </c>
      <c r="G2363" s="0" t="s">
        <v>6340</v>
      </c>
      <c r="I2363" s="0" t="s">
        <v>10228</v>
      </c>
      <c r="J2363" s="0" t="s">
        <v>10229</v>
      </c>
      <c r="K2363" s="0" t="s">
        <v>143</v>
      </c>
      <c r="M2363" s="0" t="s">
        <v>10226</v>
      </c>
      <c r="N2363" s="0" t="str">
        <f aca="false">RIGHT(M2363,LEN(M2363)-FIND(" ",M2363))</f>
        <v>WICK ST SE</v>
      </c>
      <c r="P2363" s="0" t="s">
        <v>145</v>
      </c>
      <c r="Q2363" s="0" t="s">
        <v>146</v>
      </c>
      <c r="R2363" s="0" t="n">
        <v>44484</v>
      </c>
      <c r="AD2363" s="0" t="s">
        <v>147</v>
      </c>
      <c r="AE2363" s="0" t="s">
        <v>148</v>
      </c>
      <c r="AF2363" s="0" t="s">
        <v>149</v>
      </c>
      <c r="AH2363" s="0" t="n">
        <v>14</v>
      </c>
      <c r="AI2363" s="0" t="n">
        <v>11</v>
      </c>
      <c r="AN2363" s="0" t="s">
        <v>145</v>
      </c>
      <c r="AO2363" s="0" t="s">
        <v>233</v>
      </c>
      <c r="AP2363" s="0" t="s">
        <v>234</v>
      </c>
      <c r="AQ2363" s="0" t="n">
        <v>9</v>
      </c>
      <c r="AR2363" s="0" t="n">
        <v>64</v>
      </c>
      <c r="AS2363" s="0" t="n">
        <v>32</v>
      </c>
      <c r="AU2363" s="0" t="n">
        <f aca="false">COUNTA($BA$2475:$EH$2475)</f>
        <v>5</v>
      </c>
      <c r="AV2363" s="0" t="n">
        <f aca="false">COUNTIF($BA$2475:$EH$2475,"D")</f>
        <v>0</v>
      </c>
      <c r="AW2363" s="0" t="n">
        <f aca="false">COUNTIF($BA$2475:$EH$2475,"R")</f>
        <v>0</v>
      </c>
      <c r="AX2363" s="0" t="n">
        <f aca="false">IF(BN2363="D",1,0)+IF(BO2363="D",1,0)+IF(BT2363="D",1,0)+IF(BU2363="D",1,0)+IF(BW2363="D",1,0)+IF(CC2363="D",1,0)+IF(CD2363="D",1,0)+IF(CE2363="D",1,0)+IF(CF2363="D",1,0)+IF(CL2363="D",1,0)+IF(CM2363="D",1,0)+IF(CQ2363="D",1,0)+IF(CR2363="D",1,0)+IF(CS2363="D",1,0)+IF(CW2363="D",1,0)+IF(CX2363="D",1,0)+IF(DD2363="D",1,0)+IF(DE2363="D",1,0)+IF(DJ2363="D",1,0)+IF(DK2363="D",1,0)+IF(DO2363="D",1,0)+IF(DP2363="D",1,0)+IF(DQ2363="D",1,0)+IF(DW2363="D",1,0)+IF(DZ2363="D",1,0)+IF(EH2363="D",1,0)</f>
        <v>0</v>
      </c>
      <c r="AY2363" s="0" t="n">
        <f aca="false">COUNTIF(DU2363:EH2363, "&lt;&gt;")</f>
        <v>0</v>
      </c>
      <c r="AZ2363" s="0" t="n">
        <f aca="false">IF(EH2363&lt;&gt;"",1,0)</f>
        <v>0</v>
      </c>
      <c r="BB2363" s="0" t="s">
        <v>152</v>
      </c>
      <c r="DN2363" s="0" t="s">
        <v>153</v>
      </c>
    </row>
    <row r="2364" customFormat="false" ht="13.8" hidden="true" customHeight="false" outlineLevel="0" collapsed="false">
      <c r="A2364" s="0" t="s">
        <v>10230</v>
      </c>
      <c r="B2364" s="0" t="n">
        <v>78</v>
      </c>
      <c r="C2364" s="0" t="n">
        <v>396235</v>
      </c>
      <c r="D2364" s="0" t="s">
        <v>1223</v>
      </c>
      <c r="E2364" s="0" t="s">
        <v>452</v>
      </c>
      <c r="F2364" s="0" t="str">
        <f aca="false">CONCATENATE(D2364," ",LEFT(H2364,4),"T=",AU2364,"D=",AV2364,"R=",AW2364,"M=",AX2364,"L=",AY2364,"B=",AZ2364)</f>
        <v>TURNER SRT=4D=0R=0M=2L=0B=0</v>
      </c>
      <c r="G2364" s="0" t="s">
        <v>190</v>
      </c>
      <c r="H2364" s="0" t="s">
        <v>216</v>
      </c>
      <c r="I2364" s="0" t="s">
        <v>10231</v>
      </c>
      <c r="J2364" s="0" t="s">
        <v>10232</v>
      </c>
      <c r="K2364" s="0" t="s">
        <v>143</v>
      </c>
      <c r="M2364" s="0" t="s">
        <v>10233</v>
      </c>
      <c r="N2364" s="0" t="str">
        <f aca="false">RIGHT(M2364,LEN(M2364)-FIND(" ",M2364))</f>
        <v>WICK ST SE</v>
      </c>
      <c r="P2364" s="0" t="s">
        <v>145</v>
      </c>
      <c r="Q2364" s="0" t="s">
        <v>146</v>
      </c>
      <c r="R2364" s="0" t="n">
        <v>44484</v>
      </c>
      <c r="AD2364" s="0" t="s">
        <v>147</v>
      </c>
      <c r="AE2364" s="0" t="s">
        <v>148</v>
      </c>
      <c r="AF2364" s="0" t="s">
        <v>149</v>
      </c>
      <c r="AH2364" s="0" t="n">
        <v>14</v>
      </c>
      <c r="AI2364" s="0" t="n">
        <v>11</v>
      </c>
      <c r="AN2364" s="0" t="s">
        <v>145</v>
      </c>
      <c r="AO2364" s="0" t="s">
        <v>233</v>
      </c>
      <c r="AP2364" s="0" t="s">
        <v>234</v>
      </c>
      <c r="AQ2364" s="0" t="n">
        <v>9</v>
      </c>
      <c r="AR2364" s="0" t="n">
        <v>64</v>
      </c>
      <c r="AS2364" s="0" t="n">
        <v>32</v>
      </c>
      <c r="AU2364" s="0" t="n">
        <f aca="false">COUNTA($BA$2286:$EH$2286)</f>
        <v>4</v>
      </c>
      <c r="AV2364" s="0" t="n">
        <f aca="false">COUNTIF($BA$2286:$EH$2286,"D")</f>
        <v>0</v>
      </c>
      <c r="AW2364" s="0" t="n">
        <f aca="false">COUNTIF($BA$2286:$EH$2286,"R")</f>
        <v>0</v>
      </c>
      <c r="AX2364" s="0" t="n">
        <f aca="false">IF(BN2364="D",1,0)+IF(BO2364="D",1,0)+IF(BT2364="D",1,0)+IF(BU2364="D",1,0)+IF(BW2364="D",1,0)+IF(CC2364="D",1,0)+IF(CD2364="D",1,0)+IF(CE2364="D",1,0)+IF(CF2364="D",1,0)+IF(CL2364="D",1,0)+IF(CM2364="D",1,0)+IF(CQ2364="D",1,0)+IF(CR2364="D",1,0)+IF(CS2364="D",1,0)+IF(CW2364="D",1,0)+IF(CX2364="D",1,0)+IF(DD2364="D",1,0)+IF(DE2364="D",1,0)+IF(DJ2364="D",1,0)+IF(DK2364="D",1,0)+IF(DO2364="D",1,0)+IF(DP2364="D",1,0)+IF(DQ2364="D",1,0)+IF(DW2364="D",1,0)+IF(DZ2364="D",1,0)+IF(EH2364="D",1,0)</f>
        <v>2</v>
      </c>
      <c r="AY2364" s="0" t="n">
        <f aca="false">COUNTIF(DU2364:EH2364, "&lt;&gt;")</f>
        <v>0</v>
      </c>
      <c r="AZ2364" s="0" t="n">
        <f aca="false">IF(EH2364&lt;&gt;"",1,0)</f>
        <v>0</v>
      </c>
      <c r="BB2364" s="0" t="s">
        <v>152</v>
      </c>
      <c r="BC2364" s="0" t="s">
        <v>153</v>
      </c>
      <c r="BD2364" s="0" t="s">
        <v>153</v>
      </c>
      <c r="BH2364" s="0" t="s">
        <v>153</v>
      </c>
      <c r="BI2364" s="0" t="s">
        <v>153</v>
      </c>
      <c r="BJ2364" s="0" t="s">
        <v>153</v>
      </c>
      <c r="BK2364" s="0" t="s">
        <v>153</v>
      </c>
      <c r="BL2364" s="0" t="s">
        <v>153</v>
      </c>
      <c r="BP2364" s="0" t="s">
        <v>153</v>
      </c>
      <c r="CA2364" s="0" t="s">
        <v>153</v>
      </c>
      <c r="CP2364" s="0" t="s">
        <v>153</v>
      </c>
      <c r="CQ2364" s="0" t="s">
        <v>175</v>
      </c>
      <c r="CT2364" s="0" t="s">
        <v>153</v>
      </c>
      <c r="CU2364" s="0" t="s">
        <v>175</v>
      </c>
      <c r="CV2364" s="0" t="s">
        <v>153</v>
      </c>
      <c r="CY2364" s="0" t="s">
        <v>153</v>
      </c>
      <c r="CZ2364" s="0" t="s">
        <v>175</v>
      </c>
      <c r="DC2364" s="0" t="s">
        <v>153</v>
      </c>
      <c r="DD2364" s="0" t="s">
        <v>175</v>
      </c>
      <c r="DI2364" s="0" t="s">
        <v>153</v>
      </c>
      <c r="DN2364" s="0" t="s">
        <v>153</v>
      </c>
    </row>
    <row r="2365" customFormat="false" ht="13.8" hidden="false" customHeight="false" outlineLevel="0" collapsed="false">
      <c r="A2365" s="0" t="s">
        <v>10234</v>
      </c>
      <c r="B2365" s="0" t="n">
        <v>78</v>
      </c>
      <c r="C2365" s="0" t="n">
        <v>165993</v>
      </c>
      <c r="D2365" s="0" t="s">
        <v>10235</v>
      </c>
      <c r="E2365" s="0" t="s">
        <v>10236</v>
      </c>
      <c r="F2365" s="0" t="str">
        <f aca="false">CONCATENATE(D2365," ",LEFT(H2365,4),"T=",AU2365,"D=",AV2365,"R=",AW2365,"M=",AX2365,"L=",AY2365,"B=",AZ2365)</f>
        <v>TAYLOR MCGEE T=12D=2R=0M=3L=4B=0</v>
      </c>
      <c r="G2365" s="0" t="s">
        <v>325</v>
      </c>
      <c r="I2365" s="0" t="s">
        <v>10237</v>
      </c>
      <c r="J2365" s="0" t="s">
        <v>4871</v>
      </c>
      <c r="K2365" s="0" t="s">
        <v>160</v>
      </c>
      <c r="L2365" s="0" t="s">
        <v>175</v>
      </c>
      <c r="M2365" s="0" t="s">
        <v>10238</v>
      </c>
      <c r="N2365" s="0" t="str">
        <f aca="false">RIGHT(M2365,LEN(M2365)-FIND(" ",M2365))</f>
        <v>WICK ST SE</v>
      </c>
      <c r="P2365" s="0" t="s">
        <v>145</v>
      </c>
      <c r="Q2365" s="0" t="s">
        <v>146</v>
      </c>
      <c r="R2365" s="0" t="n">
        <v>44484</v>
      </c>
      <c r="AD2365" s="0" t="s">
        <v>147</v>
      </c>
      <c r="AE2365" s="0" t="s">
        <v>148</v>
      </c>
      <c r="AF2365" s="0" t="s">
        <v>149</v>
      </c>
      <c r="AH2365" s="0" t="n">
        <v>14</v>
      </c>
      <c r="AI2365" s="0" t="n">
        <v>11</v>
      </c>
      <c r="AN2365" s="0" t="s">
        <v>145</v>
      </c>
      <c r="AO2365" s="0" t="s">
        <v>233</v>
      </c>
      <c r="AP2365" s="0" t="s">
        <v>234</v>
      </c>
      <c r="AQ2365" s="0" t="n">
        <v>9</v>
      </c>
      <c r="AR2365" s="0" t="n">
        <v>64</v>
      </c>
      <c r="AS2365" s="0" t="n">
        <v>32</v>
      </c>
      <c r="AU2365" s="0" t="n">
        <f aca="false">COUNTA($BA$2215:$EH$2215)</f>
        <v>12</v>
      </c>
      <c r="AV2365" s="0" t="n">
        <f aca="false">COUNTIF($BA$2215:$EH$2215,"D")</f>
        <v>2</v>
      </c>
      <c r="AW2365" s="0" t="n">
        <f aca="false">COUNTIF($BA$2215:$EH$2215,"R")</f>
        <v>0</v>
      </c>
      <c r="AX2365" s="0" t="n">
        <f aca="false">IF(BN2365="D",1,0)+IF(BO2365="D",1,0)+IF(BT2365="D",1,0)+IF(BU2365="D",1,0)+IF(BW2365="D",1,0)+IF(CC2365="D",1,0)+IF(CD2365="D",1,0)+IF(CE2365="D",1,0)+IF(CF2365="D",1,0)+IF(CL2365="D",1,0)+IF(CM2365="D",1,0)+IF(CQ2365="D",1,0)+IF(CR2365="D",1,0)+IF(CS2365="D",1,0)+IF(CW2365="D",1,0)+IF(CX2365="D",1,0)+IF(DD2365="D",1,0)+IF(DE2365="D",1,0)+IF(DJ2365="D",1,0)+IF(DK2365="D",1,0)+IF(DO2365="D",1,0)+IF(DP2365="D",1,0)+IF(DQ2365="D",1,0)+IF(DW2365="D",1,0)+IF(DZ2365="D",1,0)+IF(EH2365="D",1,0)</f>
        <v>3</v>
      </c>
      <c r="AY2365" s="0" t="n">
        <f aca="false">COUNTIF(DU2365:EH2365, "&lt;&gt;")</f>
        <v>4</v>
      </c>
      <c r="AZ2365" s="0" t="n">
        <f aca="false">IF(EH2365&lt;&gt;"",1,0)</f>
        <v>0</v>
      </c>
      <c r="BB2365" s="0" t="s">
        <v>152</v>
      </c>
      <c r="BC2365" s="0" t="s">
        <v>153</v>
      </c>
      <c r="BD2365" s="0" t="s">
        <v>153</v>
      </c>
      <c r="BE2365" s="0" t="s">
        <v>153</v>
      </c>
      <c r="BF2365" s="0" t="s">
        <v>153</v>
      </c>
      <c r="BG2365" s="0" t="s">
        <v>153</v>
      </c>
      <c r="BH2365" s="0" t="s">
        <v>153</v>
      </c>
      <c r="BI2365" s="0" t="s">
        <v>153</v>
      </c>
      <c r="BJ2365" s="0" t="s">
        <v>153</v>
      </c>
      <c r="BK2365" s="0" t="s">
        <v>153</v>
      </c>
      <c r="BL2365" s="0" t="s">
        <v>153</v>
      </c>
      <c r="BP2365" s="0" t="s">
        <v>153</v>
      </c>
      <c r="BR2365" s="0" t="s">
        <v>153</v>
      </c>
      <c r="BS2365" s="0" t="s">
        <v>153</v>
      </c>
      <c r="BY2365" s="0" t="s">
        <v>175</v>
      </c>
      <c r="CA2365" s="0" t="s">
        <v>153</v>
      </c>
      <c r="CG2365" s="0" t="s">
        <v>153</v>
      </c>
      <c r="CH2365" s="0" t="s">
        <v>175</v>
      </c>
      <c r="CK2365" s="0" t="s">
        <v>153</v>
      </c>
      <c r="CL2365" s="0" t="s">
        <v>175</v>
      </c>
      <c r="CN2365" s="0" t="s">
        <v>153</v>
      </c>
      <c r="CP2365" s="0" t="s">
        <v>153</v>
      </c>
      <c r="CQ2365" s="0" t="s">
        <v>175</v>
      </c>
      <c r="DC2365" s="0" t="s">
        <v>153</v>
      </c>
      <c r="DN2365" s="0" t="s">
        <v>153</v>
      </c>
      <c r="DW2365" s="0" t="s">
        <v>175</v>
      </c>
      <c r="DX2365" s="0" t="s">
        <v>153</v>
      </c>
      <c r="EA2365" s="0" t="s">
        <v>153</v>
      </c>
      <c r="EF2365" s="0" t="s">
        <v>153</v>
      </c>
    </row>
    <row r="2366" customFormat="false" ht="13.8" hidden="false" customHeight="false" outlineLevel="0" collapsed="false">
      <c r="A2366" s="0" t="s">
        <v>10239</v>
      </c>
      <c r="B2366" s="0" t="n">
        <v>78</v>
      </c>
      <c r="C2366" s="0" t="n">
        <v>421641</v>
      </c>
      <c r="D2366" s="0" t="s">
        <v>1974</v>
      </c>
      <c r="E2366" s="0" t="s">
        <v>719</v>
      </c>
      <c r="F2366" s="0" t="str">
        <f aca="false">CONCATENATE(D2366," ",LEFT(H2366,4),"T=",AU2366,"D=",AV2366,"R=",AW2366,"M=",AX2366,"L=",AY2366,"B=",AZ2366)</f>
        <v>GRAHAM T=9D=2R=0M=1L=2B=0</v>
      </c>
      <c r="G2366" s="0" t="s">
        <v>10240</v>
      </c>
      <c r="I2366" s="0" t="s">
        <v>10241</v>
      </c>
      <c r="J2366" s="0" t="s">
        <v>1987</v>
      </c>
      <c r="K2366" s="0" t="s">
        <v>160</v>
      </c>
      <c r="L2366" s="0" t="s">
        <v>175</v>
      </c>
      <c r="M2366" s="0" t="s">
        <v>10238</v>
      </c>
      <c r="N2366" s="0" t="str">
        <f aca="false">RIGHT(M2366,LEN(M2366)-FIND(" ",M2366))</f>
        <v>WICK ST SE</v>
      </c>
      <c r="P2366" s="0" t="s">
        <v>145</v>
      </c>
      <c r="Q2366" s="0" t="s">
        <v>146</v>
      </c>
      <c r="R2366" s="0" t="n">
        <v>44484</v>
      </c>
      <c r="AD2366" s="0" t="s">
        <v>147</v>
      </c>
      <c r="AE2366" s="0" t="s">
        <v>148</v>
      </c>
      <c r="AF2366" s="0" t="s">
        <v>149</v>
      </c>
      <c r="AH2366" s="0" t="n">
        <v>14</v>
      </c>
      <c r="AI2366" s="0" t="n">
        <v>11</v>
      </c>
      <c r="AN2366" s="0" t="s">
        <v>145</v>
      </c>
      <c r="AO2366" s="0" t="s">
        <v>233</v>
      </c>
      <c r="AP2366" s="0" t="s">
        <v>234</v>
      </c>
      <c r="AQ2366" s="0" t="n">
        <v>9</v>
      </c>
      <c r="AR2366" s="0" t="n">
        <v>64</v>
      </c>
      <c r="AS2366" s="0" t="n">
        <v>32</v>
      </c>
      <c r="AU2366" s="0" t="n">
        <f aca="false">COUNTA($BA$2423:$EH$2423)</f>
        <v>9</v>
      </c>
      <c r="AV2366" s="0" t="n">
        <f aca="false">COUNTIF($BA$2423:$EH$2423,"D")</f>
        <v>2</v>
      </c>
      <c r="AW2366" s="0" t="n">
        <f aca="false">COUNTIF($BA$2423:$EH$2423,"R")</f>
        <v>0</v>
      </c>
      <c r="AX2366" s="0" t="n">
        <f aca="false">IF(BN2366="D",1,0)+IF(BO2366="D",1,0)+IF(BT2366="D",1,0)+IF(BU2366="D",1,0)+IF(BW2366="D",1,0)+IF(CC2366="D",1,0)+IF(CD2366="D",1,0)+IF(CE2366="D",1,0)+IF(CF2366="D",1,0)+IF(CL2366="D",1,0)+IF(CM2366="D",1,0)+IF(CQ2366="D",1,0)+IF(CR2366="D",1,0)+IF(CS2366="D",1,0)+IF(CW2366="D",1,0)+IF(CX2366="D",1,0)+IF(DD2366="D",1,0)+IF(DE2366="D",1,0)+IF(DJ2366="D",1,0)+IF(DK2366="D",1,0)+IF(DO2366="D",1,0)+IF(DP2366="D",1,0)+IF(DQ2366="D",1,0)+IF(DW2366="D",1,0)+IF(DZ2366="D",1,0)+IF(EH2366="D",1,0)</f>
        <v>1</v>
      </c>
      <c r="AY2366" s="0" t="n">
        <f aca="false">COUNTIF(DU2366:EH2366, "&lt;&gt;")</f>
        <v>2</v>
      </c>
      <c r="AZ2366" s="0" t="n">
        <f aca="false">IF(EH2366&lt;&gt;"",1,0)</f>
        <v>0</v>
      </c>
      <c r="BB2366" s="0" t="s">
        <v>152</v>
      </c>
      <c r="DN2366" s="0" t="s">
        <v>153</v>
      </c>
      <c r="DT2366" s="0" t="s">
        <v>175</v>
      </c>
      <c r="DW2366" s="0" t="s">
        <v>175</v>
      </c>
      <c r="EF2366" s="0" t="s">
        <v>153</v>
      </c>
    </row>
    <row r="2367" customFormat="false" ht="13.8" hidden="false" customHeight="false" outlineLevel="0" collapsed="false">
      <c r="A2367" s="0" t="s">
        <v>10242</v>
      </c>
      <c r="B2367" s="0" t="n">
        <v>78</v>
      </c>
      <c r="C2367" s="0" t="n">
        <v>193455</v>
      </c>
      <c r="D2367" s="0" t="s">
        <v>690</v>
      </c>
      <c r="E2367" s="0" t="s">
        <v>1248</v>
      </c>
      <c r="F2367" s="0" t="str">
        <f aca="false">CONCATENATE(D2367," ",LEFT(H2367,4),"T=",AU2367,"D=",AV2367,"R=",AW2367,"M=",AX2367,"L=",AY2367,"B=",AZ2367)</f>
        <v>SMITH T=2D=0R=0M=1L=4B=0</v>
      </c>
      <c r="G2367" s="0" t="s">
        <v>419</v>
      </c>
      <c r="I2367" s="0" t="s">
        <v>10243</v>
      </c>
      <c r="J2367" s="0" t="s">
        <v>10244</v>
      </c>
      <c r="K2367" s="0" t="s">
        <v>160</v>
      </c>
      <c r="M2367" s="0" t="s">
        <v>10245</v>
      </c>
      <c r="N2367" s="0" t="str">
        <f aca="false">RIGHT(M2367,LEN(M2367)-FIND(" ",M2367))</f>
        <v>WICK ST SE</v>
      </c>
      <c r="P2367" s="0" t="s">
        <v>145</v>
      </c>
      <c r="Q2367" s="0" t="s">
        <v>146</v>
      </c>
      <c r="R2367" s="0" t="n">
        <v>44484</v>
      </c>
      <c r="AD2367" s="0" t="s">
        <v>147</v>
      </c>
      <c r="AE2367" s="0" t="s">
        <v>148</v>
      </c>
      <c r="AF2367" s="0" t="s">
        <v>149</v>
      </c>
      <c r="AH2367" s="0" t="n">
        <v>14</v>
      </c>
      <c r="AI2367" s="0" t="n">
        <v>11</v>
      </c>
      <c r="AN2367" s="0" t="s">
        <v>145</v>
      </c>
      <c r="AO2367" s="0" t="s">
        <v>233</v>
      </c>
      <c r="AP2367" s="0" t="s">
        <v>234</v>
      </c>
      <c r="AQ2367" s="0" t="n">
        <v>9</v>
      </c>
      <c r="AR2367" s="0" t="n">
        <v>64</v>
      </c>
      <c r="AS2367" s="0" t="n">
        <v>32</v>
      </c>
      <c r="AU2367" s="0" t="n">
        <f aca="false">COUNTA($BA$2080:$EH$2080)</f>
        <v>2</v>
      </c>
      <c r="AV2367" s="0" t="n">
        <f aca="false">COUNTIF($BA$2080:$EH$2080,"D")</f>
        <v>0</v>
      </c>
      <c r="AW2367" s="0" t="n">
        <f aca="false">COUNTIF($BA$2080:$EH$2080,"R")</f>
        <v>0</v>
      </c>
      <c r="AX2367" s="0" t="n">
        <f aca="false">IF(BN2367="D",1,0)+IF(BO2367="D",1,0)+IF(BT2367="D",1,0)+IF(BU2367="D",1,0)+IF(BW2367="D",1,0)+IF(CC2367="D",1,0)+IF(CD2367="D",1,0)+IF(CE2367="D",1,0)+IF(CF2367="D",1,0)+IF(CL2367="D",1,0)+IF(CM2367="D",1,0)+IF(CQ2367="D",1,0)+IF(CR2367="D",1,0)+IF(CS2367="D",1,0)+IF(CW2367="D",1,0)+IF(CX2367="D",1,0)+IF(DD2367="D",1,0)+IF(DE2367="D",1,0)+IF(DJ2367="D",1,0)+IF(DK2367="D",1,0)+IF(DO2367="D",1,0)+IF(DP2367="D",1,0)+IF(DQ2367="D",1,0)+IF(DW2367="D",1,0)+IF(DZ2367="D",1,0)+IF(EH2367="D",1,0)</f>
        <v>1</v>
      </c>
      <c r="AY2367" s="0" t="n">
        <f aca="false">COUNTIF(DU2367:EH2367, "&lt;&gt;")</f>
        <v>4</v>
      </c>
      <c r="AZ2367" s="0" t="n">
        <f aca="false">IF(EH2367&lt;&gt;"",1,0)</f>
        <v>0</v>
      </c>
      <c r="BB2367" s="0" t="s">
        <v>152</v>
      </c>
      <c r="BD2367" s="0" t="s">
        <v>153</v>
      </c>
      <c r="BL2367" s="0" t="s">
        <v>153</v>
      </c>
      <c r="CA2367" s="0" t="s">
        <v>153</v>
      </c>
      <c r="CL2367" s="0" t="s">
        <v>175</v>
      </c>
      <c r="CN2367" s="0" t="s">
        <v>153</v>
      </c>
      <c r="CP2367" s="0" t="s">
        <v>153</v>
      </c>
      <c r="DG2367" s="0" t="s">
        <v>175</v>
      </c>
      <c r="DI2367" s="0" t="s">
        <v>153</v>
      </c>
      <c r="DN2367" s="0" t="s">
        <v>153</v>
      </c>
      <c r="DU2367" s="0" t="s">
        <v>153</v>
      </c>
      <c r="DX2367" s="0" t="s">
        <v>153</v>
      </c>
      <c r="EA2367" s="0" t="s">
        <v>153</v>
      </c>
      <c r="EF2367" s="0" t="s">
        <v>153</v>
      </c>
    </row>
    <row r="2368" customFormat="false" ht="13.8" hidden="false" customHeight="false" outlineLevel="0" collapsed="false">
      <c r="A2368" s="0" t="s">
        <v>10246</v>
      </c>
      <c r="B2368" s="0" t="n">
        <v>78</v>
      </c>
      <c r="C2368" s="0" t="n">
        <v>285880</v>
      </c>
      <c r="D2368" s="0" t="s">
        <v>1095</v>
      </c>
      <c r="E2368" s="0" t="s">
        <v>818</v>
      </c>
      <c r="F2368" s="0" t="str">
        <f aca="false">CONCATENATE(D2368," ",LEFT(H2368,4),"T=",AU2368,"D=",AV2368,"R=",AW2368,"M=",AX2368,"L=",AY2368,"B=",AZ2368)</f>
        <v>RICE T=4D=0R=0M=5L=7B=1</v>
      </c>
      <c r="G2368" s="0" t="s">
        <v>171</v>
      </c>
      <c r="I2368" s="0" t="s">
        <v>10247</v>
      </c>
      <c r="J2368" s="0" t="s">
        <v>10248</v>
      </c>
      <c r="K2368" s="0" t="s">
        <v>160</v>
      </c>
      <c r="L2368" s="0" t="s">
        <v>175</v>
      </c>
      <c r="M2368" s="0" t="s">
        <v>10249</v>
      </c>
      <c r="N2368" s="0" t="str">
        <f aca="false">RIGHT(M2368,LEN(M2368)-FIND(" ",M2368))</f>
        <v>WICK ST SE</v>
      </c>
      <c r="P2368" s="0" t="s">
        <v>145</v>
      </c>
      <c r="Q2368" s="0" t="s">
        <v>146</v>
      </c>
      <c r="R2368" s="0" t="n">
        <v>44484</v>
      </c>
      <c r="AD2368" s="0" t="s">
        <v>147</v>
      </c>
      <c r="AE2368" s="0" t="s">
        <v>148</v>
      </c>
      <c r="AF2368" s="0" t="s">
        <v>149</v>
      </c>
      <c r="AH2368" s="0" t="n">
        <v>14</v>
      </c>
      <c r="AI2368" s="0" t="n">
        <v>11</v>
      </c>
      <c r="AN2368" s="0" t="s">
        <v>145</v>
      </c>
      <c r="AO2368" s="0" t="s">
        <v>233</v>
      </c>
      <c r="AP2368" s="0" t="s">
        <v>234</v>
      </c>
      <c r="AQ2368" s="0" t="n">
        <v>9</v>
      </c>
      <c r="AR2368" s="0" t="n">
        <v>64</v>
      </c>
      <c r="AS2368" s="0" t="n">
        <v>32</v>
      </c>
      <c r="AU2368" s="0" t="n">
        <f aca="false">COUNTA($BA$2138:$EH$2138)</f>
        <v>4</v>
      </c>
      <c r="AV2368" s="0" t="n">
        <f aca="false">COUNTIF($BA$2138:$EH$2138,"D")</f>
        <v>0</v>
      </c>
      <c r="AW2368" s="0" t="n">
        <f aca="false">COUNTIF($BA$2138:$EH$2138,"R")</f>
        <v>0</v>
      </c>
      <c r="AX2368" s="0" t="n">
        <f aca="false">IF(BN2368="D",1,0)+IF(BO2368="D",1,0)+IF(BT2368="D",1,0)+IF(BU2368="D",1,0)+IF(BW2368="D",1,0)+IF(CC2368="D",1,0)+IF(CD2368="D",1,0)+IF(CE2368="D",1,0)+IF(CF2368="D",1,0)+IF(CL2368="D",1,0)+IF(CM2368="D",1,0)+IF(CQ2368="D",1,0)+IF(CR2368="D",1,0)+IF(CS2368="D",1,0)+IF(CW2368="D",1,0)+IF(CX2368="D",1,0)+IF(DD2368="D",1,0)+IF(DE2368="D",1,0)+IF(DJ2368="D",1,0)+IF(DK2368="D",1,0)+IF(DO2368="D",1,0)+IF(DP2368="D",1,0)+IF(DQ2368="D",1,0)+IF(DW2368="D",1,0)+IF(DZ2368="D",1,0)+IF(EH2368="D",1,0)</f>
        <v>5</v>
      </c>
      <c r="AY2368" s="0" t="n">
        <f aca="false">COUNTIF(DU2368:EH2368, "&lt;&gt;")</f>
        <v>7</v>
      </c>
      <c r="AZ2368" s="0" t="n">
        <f aca="false">IF(EH2368&lt;&gt;"",1,0)</f>
        <v>1</v>
      </c>
      <c r="BB2368" s="0" t="s">
        <v>152</v>
      </c>
      <c r="BC2368" s="0" t="s">
        <v>153</v>
      </c>
      <c r="BD2368" s="0" t="s">
        <v>153</v>
      </c>
      <c r="BG2368" s="0" t="s">
        <v>153</v>
      </c>
      <c r="BH2368" s="0" t="s">
        <v>153</v>
      </c>
      <c r="BI2368" s="0" t="s">
        <v>153</v>
      </c>
      <c r="BK2368" s="0" t="s">
        <v>153</v>
      </c>
      <c r="BL2368" s="0" t="s">
        <v>153</v>
      </c>
      <c r="BS2368" s="0" t="s">
        <v>153</v>
      </c>
      <c r="BY2368" s="0" t="s">
        <v>175</v>
      </c>
      <c r="CA2368" s="0" t="s">
        <v>153</v>
      </c>
      <c r="CG2368" s="0" t="s">
        <v>153</v>
      </c>
      <c r="CH2368" s="0" t="s">
        <v>175</v>
      </c>
      <c r="CN2368" s="0" t="s">
        <v>153</v>
      </c>
      <c r="CP2368" s="0" t="s">
        <v>153</v>
      </c>
      <c r="CQ2368" s="0" t="s">
        <v>175</v>
      </c>
      <c r="CT2368" s="0" t="s">
        <v>153</v>
      </c>
      <c r="CU2368" s="0" t="s">
        <v>175</v>
      </c>
      <c r="CV2368" s="0" t="s">
        <v>153</v>
      </c>
      <c r="CY2368" s="0" t="s">
        <v>153</v>
      </c>
      <c r="CZ2368" s="0" t="s">
        <v>175</v>
      </c>
      <c r="DC2368" s="0" t="s">
        <v>153</v>
      </c>
      <c r="DD2368" s="0" t="s">
        <v>175</v>
      </c>
      <c r="DF2368" s="0" t="s">
        <v>153</v>
      </c>
      <c r="DG2368" s="0" t="s">
        <v>175</v>
      </c>
      <c r="DI2368" s="0" t="s">
        <v>153</v>
      </c>
      <c r="DJ2368" s="0" t="s">
        <v>175</v>
      </c>
      <c r="DL2368" s="0" t="s">
        <v>153</v>
      </c>
      <c r="DM2368" s="0" t="s">
        <v>175</v>
      </c>
      <c r="DN2368" s="0" t="s">
        <v>153</v>
      </c>
      <c r="DR2368" s="0" t="s">
        <v>153</v>
      </c>
      <c r="DS2368" s="0" t="s">
        <v>175</v>
      </c>
      <c r="DT2368" s="0" t="s">
        <v>175</v>
      </c>
      <c r="DU2368" s="0" t="s">
        <v>153</v>
      </c>
      <c r="DW2368" s="0" t="s">
        <v>175</v>
      </c>
      <c r="DX2368" s="0" t="s">
        <v>153</v>
      </c>
      <c r="EA2368" s="0" t="s">
        <v>153</v>
      </c>
      <c r="ED2368" s="0" t="s">
        <v>175</v>
      </c>
      <c r="EF2368" s="0" t="s">
        <v>153</v>
      </c>
      <c r="EH2368" s="0" t="s">
        <v>175</v>
      </c>
    </row>
    <row r="2369" customFormat="false" ht="13.8" hidden="true" customHeight="false" outlineLevel="0" collapsed="false">
      <c r="A2369" s="0" t="s">
        <v>10250</v>
      </c>
      <c r="B2369" s="0" t="n">
        <v>78</v>
      </c>
      <c r="C2369" s="0" t="n">
        <v>387523</v>
      </c>
      <c r="D2369" s="0" t="s">
        <v>1095</v>
      </c>
      <c r="E2369" s="0" t="s">
        <v>10251</v>
      </c>
      <c r="F2369" s="0" t="str">
        <f aca="false">CONCATENATE(D2369," ",LEFT(H2369,4),"T=",AU2369,"D=",AV2369,"R=",AW2369,"M=",AX2369,"L=",AY2369,"B=",AZ2369)</f>
        <v>RICE T=1D=0R=0M=0L=0B=0</v>
      </c>
      <c r="G2369" s="0" t="s">
        <v>10252</v>
      </c>
      <c r="I2369" s="0" t="s">
        <v>10253</v>
      </c>
      <c r="J2369" s="0" t="s">
        <v>8280</v>
      </c>
      <c r="K2369" s="0" t="s">
        <v>143</v>
      </c>
      <c r="M2369" s="0" t="s">
        <v>10249</v>
      </c>
      <c r="N2369" s="0" t="str">
        <f aca="false">RIGHT(M2369,LEN(M2369)-FIND(" ",M2369))</f>
        <v>WICK ST SE</v>
      </c>
      <c r="P2369" s="0" t="s">
        <v>145</v>
      </c>
      <c r="Q2369" s="0" t="s">
        <v>146</v>
      </c>
      <c r="R2369" s="0" t="n">
        <v>44484</v>
      </c>
      <c r="AD2369" s="0" t="s">
        <v>147</v>
      </c>
      <c r="AE2369" s="0" t="s">
        <v>148</v>
      </c>
      <c r="AF2369" s="0" t="s">
        <v>149</v>
      </c>
      <c r="AH2369" s="0" t="n">
        <v>14</v>
      </c>
      <c r="AI2369" s="0" t="n">
        <v>11</v>
      </c>
      <c r="AN2369" s="0" t="s">
        <v>145</v>
      </c>
      <c r="AO2369" s="0" t="s">
        <v>233</v>
      </c>
      <c r="AP2369" s="0" t="s">
        <v>234</v>
      </c>
      <c r="AQ2369" s="0" t="n">
        <v>9</v>
      </c>
      <c r="AR2369" s="0" t="n">
        <v>64</v>
      </c>
      <c r="AS2369" s="0" t="n">
        <v>32</v>
      </c>
      <c r="AU2369" s="0" t="n">
        <f aca="false">COUNTA($BA$2615:$EH$2615)</f>
        <v>1</v>
      </c>
      <c r="AV2369" s="0" t="n">
        <f aca="false">COUNTIF($BA$2615:$EH$2615,"D")</f>
        <v>0</v>
      </c>
      <c r="AW2369" s="0" t="n">
        <f aca="false">COUNTIF($BA$2615:$EH$2615,"R")</f>
        <v>0</v>
      </c>
      <c r="AX2369" s="0" t="n">
        <f aca="false">IF(BN2369="D",1,0)+IF(BO2369="D",1,0)+IF(BT2369="D",1,0)+IF(BU2369="D",1,0)+IF(BW2369="D",1,0)+IF(CC2369="D",1,0)+IF(CD2369="D",1,0)+IF(CE2369="D",1,0)+IF(CF2369="D",1,0)+IF(CL2369="D",1,0)+IF(CM2369="D",1,0)+IF(CQ2369="D",1,0)+IF(CR2369="D",1,0)+IF(CS2369="D",1,0)+IF(CW2369="D",1,0)+IF(CX2369="D",1,0)+IF(DD2369="D",1,0)+IF(DE2369="D",1,0)+IF(DJ2369="D",1,0)+IF(DK2369="D",1,0)+IF(DO2369="D",1,0)+IF(DP2369="D",1,0)+IF(DQ2369="D",1,0)+IF(DW2369="D",1,0)+IF(DZ2369="D",1,0)+IF(EH2369="D",1,0)</f>
        <v>0</v>
      </c>
      <c r="AY2369" s="0" t="n">
        <f aca="false">COUNTIF(DU2369:EH2369, "&lt;&gt;")</f>
        <v>0</v>
      </c>
      <c r="AZ2369" s="0" t="n">
        <f aca="false">IF(EH2369&lt;&gt;"",1,0)</f>
        <v>0</v>
      </c>
      <c r="BB2369" s="0" t="s">
        <v>152</v>
      </c>
    </row>
    <row r="2370" customFormat="false" ht="13.8" hidden="false" customHeight="false" outlineLevel="0" collapsed="false">
      <c r="A2370" s="0" t="s">
        <v>10254</v>
      </c>
      <c r="B2370" s="0" t="n">
        <v>78</v>
      </c>
      <c r="C2370" s="0" t="n">
        <v>322185</v>
      </c>
      <c r="D2370" s="0" t="s">
        <v>1100</v>
      </c>
      <c r="E2370" s="0" t="s">
        <v>4247</v>
      </c>
      <c r="F2370" s="0" t="str">
        <f aca="false">CONCATENATE(D2370," ",LEFT(H2370,4),"T=",AU2370,"D=",AV2370,"R=",AW2370,"M=",AX2370,"L=",AY2370,"B=",AZ2370)</f>
        <v>MCCOLLOUGH T=2D=0R=0M=2L=4B=0</v>
      </c>
      <c r="I2370" s="0" t="s">
        <v>10255</v>
      </c>
      <c r="J2370" s="0" t="s">
        <v>1368</v>
      </c>
      <c r="K2370" s="0" t="s">
        <v>160</v>
      </c>
      <c r="L2370" s="0" t="s">
        <v>175</v>
      </c>
      <c r="M2370" s="0" t="s">
        <v>10256</v>
      </c>
      <c r="N2370" s="0" t="str">
        <f aca="false">RIGHT(M2370,LEN(M2370)-FIND(" ",M2370))</f>
        <v>WICK ST SE</v>
      </c>
      <c r="P2370" s="0" t="s">
        <v>145</v>
      </c>
      <c r="Q2370" s="0" t="s">
        <v>146</v>
      </c>
      <c r="R2370" s="0" t="n">
        <v>44484</v>
      </c>
      <c r="AD2370" s="0" t="s">
        <v>147</v>
      </c>
      <c r="AE2370" s="0" t="s">
        <v>148</v>
      </c>
      <c r="AF2370" s="0" t="s">
        <v>149</v>
      </c>
      <c r="AH2370" s="0" t="n">
        <v>14</v>
      </c>
      <c r="AI2370" s="0" t="n">
        <v>11</v>
      </c>
      <c r="AN2370" s="0" t="s">
        <v>145</v>
      </c>
      <c r="AO2370" s="0" t="s">
        <v>233</v>
      </c>
      <c r="AP2370" s="0" t="s">
        <v>234</v>
      </c>
      <c r="AQ2370" s="0" t="n">
        <v>9</v>
      </c>
      <c r="AR2370" s="0" t="n">
        <v>64</v>
      </c>
      <c r="AS2370" s="0" t="n">
        <v>32</v>
      </c>
      <c r="AU2370" s="0" t="n">
        <f aca="false">COUNTA($BA$2098:$EH$2098)</f>
        <v>2</v>
      </c>
      <c r="AV2370" s="0" t="n">
        <f aca="false">COUNTIF($BA$2098:$EH$2098,"D")</f>
        <v>0</v>
      </c>
      <c r="AW2370" s="0" t="n">
        <f aca="false">COUNTIF($BA$2098:$EH$2098,"R")</f>
        <v>0</v>
      </c>
      <c r="AX2370" s="0" t="n">
        <f aca="false">IF(BN2370="D",1,0)+IF(BO2370="D",1,0)+IF(BT2370="D",1,0)+IF(BU2370="D",1,0)+IF(BW2370="D",1,0)+IF(CC2370="D",1,0)+IF(CD2370="D",1,0)+IF(CE2370="D",1,0)+IF(CF2370="D",1,0)+IF(CL2370="D",1,0)+IF(CM2370="D",1,0)+IF(CQ2370="D",1,0)+IF(CR2370="D",1,0)+IF(CS2370="D",1,0)+IF(CW2370="D",1,0)+IF(CX2370="D",1,0)+IF(DD2370="D",1,0)+IF(DE2370="D",1,0)+IF(DJ2370="D",1,0)+IF(DK2370="D",1,0)+IF(DO2370="D",1,0)+IF(DP2370="D",1,0)+IF(DQ2370="D",1,0)+IF(DW2370="D",1,0)+IF(DZ2370="D",1,0)+IF(EH2370="D",1,0)</f>
        <v>2</v>
      </c>
      <c r="AY2370" s="0" t="n">
        <f aca="false">COUNTIF(DU2370:EH2370, "&lt;&gt;")</f>
        <v>4</v>
      </c>
      <c r="AZ2370" s="0" t="n">
        <f aca="false">IF(EH2370&lt;&gt;"",1,0)</f>
        <v>0</v>
      </c>
      <c r="BB2370" s="0" t="s">
        <v>152</v>
      </c>
      <c r="BL2370" s="0" t="s">
        <v>153</v>
      </c>
      <c r="BY2370" s="0" t="s">
        <v>175</v>
      </c>
      <c r="CA2370" s="0" t="s">
        <v>153</v>
      </c>
      <c r="CK2370" s="0" t="s">
        <v>153</v>
      </c>
      <c r="CL2370" s="0" t="s">
        <v>175</v>
      </c>
      <c r="CN2370" s="0" t="s">
        <v>153</v>
      </c>
      <c r="CP2370" s="0" t="s">
        <v>153</v>
      </c>
      <c r="CT2370" s="0" t="s">
        <v>153</v>
      </c>
      <c r="CV2370" s="0" t="s">
        <v>153</v>
      </c>
      <c r="CY2370" s="0" t="s">
        <v>153</v>
      </c>
      <c r="CZ2370" s="0" t="s">
        <v>175</v>
      </c>
      <c r="DC2370" s="0" t="s">
        <v>153</v>
      </c>
      <c r="DF2370" s="0" t="s">
        <v>153</v>
      </c>
      <c r="DG2370" s="0" t="s">
        <v>175</v>
      </c>
      <c r="DI2370" s="0" t="s">
        <v>153</v>
      </c>
      <c r="DL2370" s="0" t="s">
        <v>153</v>
      </c>
      <c r="DN2370" s="0" t="s">
        <v>153</v>
      </c>
      <c r="DU2370" s="0" t="s">
        <v>153</v>
      </c>
      <c r="DW2370" s="0" t="s">
        <v>175</v>
      </c>
      <c r="DX2370" s="0" t="s">
        <v>153</v>
      </c>
      <c r="EF2370" s="0" t="s">
        <v>153</v>
      </c>
    </row>
    <row r="2371" customFormat="false" ht="13.8" hidden="false" customHeight="false" outlineLevel="0" collapsed="false">
      <c r="A2371" s="0" t="s">
        <v>10257</v>
      </c>
      <c r="B2371" s="0" t="n">
        <v>78</v>
      </c>
      <c r="C2371" s="0" t="n">
        <v>475031</v>
      </c>
      <c r="D2371" s="0" t="s">
        <v>4295</v>
      </c>
      <c r="E2371" s="0" t="s">
        <v>10258</v>
      </c>
      <c r="F2371" s="0" t="str">
        <f aca="false">CONCATENATE(D2371," ",LEFT(H2371,4),"T=",AU2371,"D=",AV2371,"R=",AW2371,"M=",AX2371,"L=",AY2371,"B=",AZ2371)</f>
        <v>PROVITT T=38D=15R=0M=0L=2B=0</v>
      </c>
      <c r="G2371" s="0" t="s">
        <v>10259</v>
      </c>
      <c r="I2371" s="0" t="s">
        <v>10260</v>
      </c>
      <c r="J2371" s="0" t="s">
        <v>1658</v>
      </c>
      <c r="K2371" s="0" t="s">
        <v>160</v>
      </c>
      <c r="M2371" s="0" t="s">
        <v>10256</v>
      </c>
      <c r="N2371" s="0" t="str">
        <f aca="false">RIGHT(M2371,LEN(M2371)-FIND(" ",M2371))</f>
        <v>WICK ST SE</v>
      </c>
      <c r="P2371" s="0" t="s">
        <v>145</v>
      </c>
      <c r="Q2371" s="0" t="s">
        <v>146</v>
      </c>
      <c r="R2371" s="0" t="n">
        <v>44484</v>
      </c>
      <c r="AD2371" s="0" t="s">
        <v>147</v>
      </c>
      <c r="AE2371" s="0" t="s">
        <v>148</v>
      </c>
      <c r="AF2371" s="0" t="s">
        <v>149</v>
      </c>
      <c r="AH2371" s="0" t="n">
        <v>14</v>
      </c>
      <c r="AI2371" s="0" t="n">
        <v>11</v>
      </c>
      <c r="AN2371" s="0" t="s">
        <v>145</v>
      </c>
      <c r="AO2371" s="0" t="s">
        <v>233</v>
      </c>
      <c r="AP2371" s="0" t="s">
        <v>234</v>
      </c>
      <c r="AQ2371" s="0" t="n">
        <v>9</v>
      </c>
      <c r="AR2371" s="0" t="n">
        <v>64</v>
      </c>
      <c r="AS2371" s="0" t="n">
        <v>32</v>
      </c>
      <c r="AU2371" s="0" t="n">
        <f aca="false">COUNTA($BA$2296:$EH$2296)</f>
        <v>38</v>
      </c>
      <c r="AV2371" s="0" t="n">
        <f aca="false">COUNTIF($BA$2296:$EH$2296,"D")</f>
        <v>15</v>
      </c>
      <c r="AW2371" s="0" t="n">
        <f aca="false">COUNTIF($BA$2296:$EH$2296,"R")</f>
        <v>0</v>
      </c>
      <c r="AX2371" s="0" t="n">
        <f aca="false">IF(BN2371="D",1,0)+IF(BO2371="D",1,0)+IF(BT2371="D",1,0)+IF(BU2371="D",1,0)+IF(BW2371="D",1,0)+IF(CC2371="D",1,0)+IF(CD2371="D",1,0)+IF(CE2371="D",1,0)+IF(CF2371="D",1,0)+IF(CL2371="D",1,0)+IF(CM2371="D",1,0)+IF(CQ2371="D",1,0)+IF(CR2371="D",1,0)+IF(CS2371="D",1,0)+IF(CW2371="D",1,0)+IF(CX2371="D",1,0)+IF(DD2371="D",1,0)+IF(DE2371="D",1,0)+IF(DJ2371="D",1,0)+IF(DK2371="D",1,0)+IF(DO2371="D",1,0)+IF(DP2371="D",1,0)+IF(DQ2371="D",1,0)+IF(DW2371="D",1,0)+IF(DZ2371="D",1,0)+IF(EH2371="D",1,0)</f>
        <v>0</v>
      </c>
      <c r="AY2371" s="0" t="n">
        <f aca="false">COUNTIF(DU2371:EH2371, "&lt;&gt;")</f>
        <v>2</v>
      </c>
      <c r="AZ2371" s="0" t="n">
        <f aca="false">IF(EH2371&lt;&gt;"",1,0)</f>
        <v>0</v>
      </c>
      <c r="BB2371" s="0" t="s">
        <v>152</v>
      </c>
      <c r="DX2371" s="0" t="s">
        <v>153</v>
      </c>
      <c r="EF2371" s="0" t="s">
        <v>153</v>
      </c>
    </row>
    <row r="2372" customFormat="false" ht="13.8" hidden="true" customHeight="false" outlineLevel="0" collapsed="false">
      <c r="A2372" s="0" t="s">
        <v>10261</v>
      </c>
      <c r="B2372" s="0" t="n">
        <v>78</v>
      </c>
      <c r="C2372" s="0" t="n">
        <v>406698</v>
      </c>
      <c r="D2372" s="0" t="s">
        <v>4295</v>
      </c>
      <c r="E2372" s="0" t="s">
        <v>10262</v>
      </c>
      <c r="F2372" s="0" t="str">
        <f aca="false">CONCATENATE(D2372," ",LEFT(H2372,4),"T=",AU2372,"D=",AV2372,"R=",AW2372,"M=",AX2372,"L=",AY2372,"B=",AZ2372)</f>
        <v>PROVITT T=1D=0R=0M=0L=0B=0</v>
      </c>
      <c r="G2372" s="0" t="s">
        <v>1510</v>
      </c>
      <c r="I2372" s="0" t="s">
        <v>10263</v>
      </c>
      <c r="J2372" s="0" t="s">
        <v>3143</v>
      </c>
      <c r="K2372" s="0" t="s">
        <v>143</v>
      </c>
      <c r="M2372" s="0" t="s">
        <v>10256</v>
      </c>
      <c r="N2372" s="0" t="str">
        <f aca="false">RIGHT(M2372,LEN(M2372)-FIND(" ",M2372))</f>
        <v>WICK ST SE</v>
      </c>
      <c r="P2372" s="0" t="s">
        <v>145</v>
      </c>
      <c r="Q2372" s="0" t="s">
        <v>146</v>
      </c>
      <c r="R2372" s="0" t="n">
        <v>44484</v>
      </c>
      <c r="AD2372" s="0" t="s">
        <v>147</v>
      </c>
      <c r="AE2372" s="0" t="s">
        <v>148</v>
      </c>
      <c r="AF2372" s="0" t="s">
        <v>149</v>
      </c>
      <c r="AH2372" s="0" t="n">
        <v>14</v>
      </c>
      <c r="AI2372" s="0" t="n">
        <v>11</v>
      </c>
      <c r="AN2372" s="0" t="s">
        <v>145</v>
      </c>
      <c r="AO2372" s="0" t="s">
        <v>233</v>
      </c>
      <c r="AP2372" s="0" t="s">
        <v>234</v>
      </c>
      <c r="AQ2372" s="0" t="n">
        <v>9</v>
      </c>
      <c r="AR2372" s="0" t="n">
        <v>64</v>
      </c>
      <c r="AS2372" s="0" t="n">
        <v>32</v>
      </c>
      <c r="AU2372" s="0" t="n">
        <f aca="false">COUNTA($BA$2593:$EH$2593)</f>
        <v>1</v>
      </c>
      <c r="AV2372" s="0" t="n">
        <f aca="false">COUNTIF($BA$2593:$EH$2593,"D")</f>
        <v>0</v>
      </c>
      <c r="AW2372" s="0" t="n">
        <f aca="false">COUNTIF($BA$2593:$EH$2593,"R")</f>
        <v>0</v>
      </c>
      <c r="AX2372" s="0" t="n">
        <f aca="false">IF(BN2372="D",1,0)+IF(BO2372="D",1,0)+IF(BT2372="D",1,0)+IF(BU2372="D",1,0)+IF(BW2372="D",1,0)+IF(CC2372="D",1,0)+IF(CD2372="D",1,0)+IF(CE2372="D",1,0)+IF(CF2372="D",1,0)+IF(CL2372="D",1,0)+IF(CM2372="D",1,0)+IF(CQ2372="D",1,0)+IF(CR2372="D",1,0)+IF(CS2372="D",1,0)+IF(CW2372="D",1,0)+IF(CX2372="D",1,0)+IF(DD2372="D",1,0)+IF(DE2372="D",1,0)+IF(DJ2372="D",1,0)+IF(DK2372="D",1,0)+IF(DO2372="D",1,0)+IF(DP2372="D",1,0)+IF(DQ2372="D",1,0)+IF(DW2372="D",1,0)+IF(DZ2372="D",1,0)+IF(EH2372="D",1,0)</f>
        <v>0</v>
      </c>
      <c r="AY2372" s="0" t="n">
        <f aca="false">COUNTIF(DU2372:EH2372, "&lt;&gt;")</f>
        <v>0</v>
      </c>
      <c r="AZ2372" s="0" t="n">
        <f aca="false">IF(EH2372&lt;&gt;"",1,0)</f>
        <v>0</v>
      </c>
      <c r="BB2372" s="0" t="s">
        <v>152</v>
      </c>
      <c r="DC2372" s="0" t="s">
        <v>153</v>
      </c>
      <c r="DI2372" s="0" t="s">
        <v>153</v>
      </c>
      <c r="DN2372" s="0" t="s">
        <v>153</v>
      </c>
    </row>
    <row r="2373" customFormat="false" ht="13.8" hidden="false" customHeight="false" outlineLevel="0" collapsed="false">
      <c r="A2373" s="0" t="s">
        <v>10264</v>
      </c>
      <c r="B2373" s="0" t="n">
        <v>78</v>
      </c>
      <c r="C2373" s="0" t="n">
        <v>358565</v>
      </c>
      <c r="D2373" s="0" t="s">
        <v>10265</v>
      </c>
      <c r="E2373" s="0" t="s">
        <v>242</v>
      </c>
      <c r="F2373" s="0" t="str">
        <f aca="false">CONCATENATE(D2373," ",LEFT(H2373,4),"T=",AU2373,"D=",AV2373,"R=",AW2373,"M=",AX2373,"L=",AY2373,"B=",AZ2373)</f>
        <v>MONDAY T=18D=7R=0M=0L=2B=0</v>
      </c>
      <c r="G2373" s="0" t="s">
        <v>190</v>
      </c>
      <c r="I2373" s="0" t="s">
        <v>10266</v>
      </c>
      <c r="J2373" s="0" t="s">
        <v>1539</v>
      </c>
      <c r="K2373" s="0" t="s">
        <v>160</v>
      </c>
      <c r="M2373" s="0" t="s">
        <v>10267</v>
      </c>
      <c r="N2373" s="0" t="str">
        <f aca="false">RIGHT(M2373,LEN(M2373)-FIND(" ",M2373))</f>
        <v>WICK ST SE</v>
      </c>
      <c r="P2373" s="0" t="s">
        <v>145</v>
      </c>
      <c r="Q2373" s="0" t="s">
        <v>146</v>
      </c>
      <c r="R2373" s="0" t="n">
        <v>44484</v>
      </c>
      <c r="AD2373" s="0" t="s">
        <v>147</v>
      </c>
      <c r="AE2373" s="0" t="s">
        <v>148</v>
      </c>
      <c r="AF2373" s="0" t="s">
        <v>149</v>
      </c>
      <c r="AH2373" s="0" t="n">
        <v>14</v>
      </c>
      <c r="AI2373" s="0" t="n">
        <v>11</v>
      </c>
      <c r="AN2373" s="0" t="s">
        <v>145</v>
      </c>
      <c r="AO2373" s="0" t="s">
        <v>233</v>
      </c>
      <c r="AP2373" s="0" t="s">
        <v>234</v>
      </c>
      <c r="AQ2373" s="0" t="n">
        <v>9</v>
      </c>
      <c r="AR2373" s="0" t="n">
        <v>64</v>
      </c>
      <c r="AS2373" s="0" t="n">
        <v>32</v>
      </c>
      <c r="AU2373" s="0" t="n">
        <f aca="false">COUNTA($BA$2377:$EH$2377)</f>
        <v>18</v>
      </c>
      <c r="AV2373" s="0" t="n">
        <f aca="false">COUNTIF($BA$2377:$EH$2377,"D")</f>
        <v>7</v>
      </c>
      <c r="AW2373" s="0" t="n">
        <f aca="false">COUNTIF($BA$2377:$EH$2377,"R")</f>
        <v>0</v>
      </c>
      <c r="AX2373" s="0" t="n">
        <f aca="false">IF(BN2373="D",1,0)+IF(BO2373="D",1,0)+IF(BT2373="D",1,0)+IF(BU2373="D",1,0)+IF(BW2373="D",1,0)+IF(CC2373="D",1,0)+IF(CD2373="D",1,0)+IF(CE2373="D",1,0)+IF(CF2373="D",1,0)+IF(CL2373="D",1,0)+IF(CM2373="D",1,0)+IF(CQ2373="D",1,0)+IF(CR2373="D",1,0)+IF(CS2373="D",1,0)+IF(CW2373="D",1,0)+IF(CX2373="D",1,0)+IF(DD2373="D",1,0)+IF(DE2373="D",1,0)+IF(DJ2373="D",1,0)+IF(DK2373="D",1,0)+IF(DO2373="D",1,0)+IF(DP2373="D",1,0)+IF(DQ2373="D",1,0)+IF(DW2373="D",1,0)+IF(DZ2373="D",1,0)+IF(EH2373="D",1,0)</f>
        <v>0</v>
      </c>
      <c r="AY2373" s="0" t="n">
        <f aca="false">COUNTIF(DU2373:EH2373, "&lt;&gt;")</f>
        <v>2</v>
      </c>
      <c r="AZ2373" s="0" t="n">
        <f aca="false">IF(EH2373&lt;&gt;"",1,0)</f>
        <v>0</v>
      </c>
      <c r="BB2373" s="0" t="s">
        <v>152</v>
      </c>
      <c r="CA2373" s="0" t="s">
        <v>153</v>
      </c>
      <c r="CP2373" s="0" t="s">
        <v>153</v>
      </c>
      <c r="CY2373" s="0" t="s">
        <v>153</v>
      </c>
      <c r="DC2373" s="0" t="s">
        <v>153</v>
      </c>
      <c r="DI2373" s="0" t="s">
        <v>153</v>
      </c>
      <c r="DN2373" s="0" t="s">
        <v>153</v>
      </c>
      <c r="DU2373" s="0" t="s">
        <v>153</v>
      </c>
      <c r="EF2373" s="0" t="s">
        <v>153</v>
      </c>
    </row>
    <row r="2374" customFormat="false" ht="13.8" hidden="true" customHeight="false" outlineLevel="0" collapsed="false">
      <c r="A2374" s="0" t="s">
        <v>10268</v>
      </c>
      <c r="B2374" s="0" t="n">
        <v>78</v>
      </c>
      <c r="C2374" s="0" t="n">
        <v>443235</v>
      </c>
      <c r="D2374" s="0" t="s">
        <v>10265</v>
      </c>
      <c r="E2374" s="0" t="s">
        <v>10269</v>
      </c>
      <c r="F2374" s="0" t="str">
        <f aca="false">CONCATENATE(D2374," ",LEFT(H2374,4),"T=",AU2374,"D=",AV2374,"R=",AW2374,"M=",AX2374,"L=",AY2374,"B=",AZ2374)</f>
        <v>MONDAY T=5D=1R=0M=0L=0B=0</v>
      </c>
      <c r="I2374" s="0" t="s">
        <v>1609</v>
      </c>
      <c r="J2374" s="0" t="s">
        <v>10270</v>
      </c>
      <c r="K2374" s="0" t="s">
        <v>143</v>
      </c>
      <c r="M2374" s="0" t="s">
        <v>10267</v>
      </c>
      <c r="N2374" s="0" t="str">
        <f aca="false">RIGHT(M2374,LEN(M2374)-FIND(" ",M2374))</f>
        <v>WICK ST SE</v>
      </c>
      <c r="P2374" s="0" t="s">
        <v>145</v>
      </c>
      <c r="Q2374" s="0" t="s">
        <v>146</v>
      </c>
      <c r="R2374" s="0" t="n">
        <v>44484</v>
      </c>
      <c r="AD2374" s="0" t="s">
        <v>147</v>
      </c>
      <c r="AE2374" s="0" t="s">
        <v>148</v>
      </c>
      <c r="AF2374" s="0" t="s">
        <v>149</v>
      </c>
      <c r="AH2374" s="0" t="n">
        <v>14</v>
      </c>
      <c r="AI2374" s="0" t="n">
        <v>11</v>
      </c>
      <c r="AN2374" s="0" t="s">
        <v>145</v>
      </c>
      <c r="AO2374" s="0" t="s">
        <v>233</v>
      </c>
      <c r="AP2374" s="0" t="s">
        <v>234</v>
      </c>
      <c r="AQ2374" s="0" t="n">
        <v>9</v>
      </c>
      <c r="AR2374" s="0" t="n">
        <v>64</v>
      </c>
      <c r="AS2374" s="0" t="n">
        <v>32</v>
      </c>
      <c r="AU2374" s="0" t="n">
        <f aca="false">COUNTA($BA$2643:$EH$2643)</f>
        <v>5</v>
      </c>
      <c r="AV2374" s="0" t="n">
        <f aca="false">COUNTIF($BA$2643:$EH$2643,"D")</f>
        <v>1</v>
      </c>
      <c r="AW2374" s="0" t="n">
        <f aca="false">COUNTIF($BA$2643:$EH$2643,"R")</f>
        <v>0</v>
      </c>
      <c r="AX2374" s="0" t="n">
        <f aca="false">IF(BN2374="D",1,0)+IF(BO2374="D",1,0)+IF(BT2374="D",1,0)+IF(BU2374="D",1,0)+IF(BW2374="D",1,0)+IF(CC2374="D",1,0)+IF(CD2374="D",1,0)+IF(CE2374="D",1,0)+IF(CF2374="D",1,0)+IF(CL2374="D",1,0)+IF(CM2374="D",1,0)+IF(CQ2374="D",1,0)+IF(CR2374="D",1,0)+IF(CS2374="D",1,0)+IF(CW2374="D",1,0)+IF(CX2374="D",1,0)+IF(DD2374="D",1,0)+IF(DE2374="D",1,0)+IF(DJ2374="D",1,0)+IF(DK2374="D",1,0)+IF(DO2374="D",1,0)+IF(DP2374="D",1,0)+IF(DQ2374="D",1,0)+IF(DW2374="D",1,0)+IF(DZ2374="D",1,0)+IF(EH2374="D",1,0)</f>
        <v>0</v>
      </c>
      <c r="AY2374" s="0" t="n">
        <f aca="false">COUNTIF(DU2374:EH2374, "&lt;&gt;")</f>
        <v>0</v>
      </c>
      <c r="AZ2374" s="0" t="n">
        <f aca="false">IF(EH2374&lt;&gt;"",1,0)</f>
        <v>0</v>
      </c>
      <c r="BB2374" s="0" t="s">
        <v>152</v>
      </c>
      <c r="CA2374" s="0" t="s">
        <v>153</v>
      </c>
      <c r="CP2374" s="0" t="s">
        <v>153</v>
      </c>
      <c r="DN2374" s="0" t="s">
        <v>153</v>
      </c>
    </row>
    <row r="2375" customFormat="false" ht="13.8" hidden="false" customHeight="false" outlineLevel="0" collapsed="false">
      <c r="A2375" s="0" t="s">
        <v>10271</v>
      </c>
      <c r="B2375" s="0" t="n">
        <v>78</v>
      </c>
      <c r="C2375" s="0" t="n">
        <v>6886</v>
      </c>
      <c r="D2375" s="0" t="s">
        <v>1041</v>
      </c>
      <c r="E2375" s="0" t="s">
        <v>1814</v>
      </c>
      <c r="F2375" s="0" t="str">
        <f aca="false">CONCATENATE(D2375," ",LEFT(H2375,4),"T=",AU2375,"D=",AV2375,"R=",AW2375,"M=",AX2375,"L=",AY2375,"B=",AZ2375)</f>
        <v>JONES T=1D=0R=0M=8L=7B=1</v>
      </c>
      <c r="G2375" s="0" t="s">
        <v>175</v>
      </c>
      <c r="I2375" s="0" t="s">
        <v>10272</v>
      </c>
      <c r="J2375" s="0" t="s">
        <v>10273</v>
      </c>
      <c r="K2375" s="0" t="s">
        <v>160</v>
      </c>
      <c r="L2375" s="0" t="s">
        <v>175</v>
      </c>
      <c r="M2375" s="0" t="s">
        <v>10274</v>
      </c>
      <c r="N2375" s="0" t="str">
        <f aca="false">RIGHT(M2375,LEN(M2375)-FIND(" ",M2375))</f>
        <v>WICK ST SE</v>
      </c>
      <c r="P2375" s="0" t="s">
        <v>145</v>
      </c>
      <c r="Q2375" s="0" t="s">
        <v>146</v>
      </c>
      <c r="R2375" s="0" t="n">
        <v>44484</v>
      </c>
      <c r="AD2375" s="0" t="s">
        <v>147</v>
      </c>
      <c r="AE2375" s="0" t="s">
        <v>148</v>
      </c>
      <c r="AF2375" s="0" t="s">
        <v>149</v>
      </c>
      <c r="AH2375" s="0" t="n">
        <v>14</v>
      </c>
      <c r="AI2375" s="0" t="n">
        <v>11</v>
      </c>
      <c r="AN2375" s="0" t="s">
        <v>145</v>
      </c>
      <c r="AO2375" s="0" t="s">
        <v>233</v>
      </c>
      <c r="AP2375" s="0" t="s">
        <v>234</v>
      </c>
      <c r="AQ2375" s="0" t="n">
        <v>9</v>
      </c>
      <c r="AR2375" s="0" t="n">
        <v>64</v>
      </c>
      <c r="AS2375" s="0" t="n">
        <v>32</v>
      </c>
      <c r="AU2375" s="0" t="n">
        <f aca="false">COUNTA($BA$2087:$EH$2087)</f>
        <v>1</v>
      </c>
      <c r="AV2375" s="0" t="n">
        <f aca="false">COUNTIF($BA$2087:$EH$2087,"D")</f>
        <v>0</v>
      </c>
      <c r="AW2375" s="0" t="n">
        <f aca="false">COUNTIF($BA$2087:$EH$2087,"R")</f>
        <v>0</v>
      </c>
      <c r="AX2375" s="0" t="n">
        <f aca="false">IF(BN2375="D",1,0)+IF(BO2375="D",1,0)+IF(BT2375="D",1,0)+IF(BU2375="D",1,0)+IF(BW2375="D",1,0)+IF(CC2375="D",1,0)+IF(CD2375="D",1,0)+IF(CE2375="D",1,0)+IF(CF2375="D",1,0)+IF(CL2375="D",1,0)+IF(CM2375="D",1,0)+IF(CQ2375="D",1,0)+IF(CR2375="D",1,0)+IF(CS2375="D",1,0)+IF(CW2375="D",1,0)+IF(CX2375="D",1,0)+IF(DD2375="D",1,0)+IF(DE2375="D",1,0)+IF(DJ2375="D",1,0)+IF(DK2375="D",1,0)+IF(DO2375="D",1,0)+IF(DP2375="D",1,0)+IF(DQ2375="D",1,0)+IF(DW2375="D",1,0)+IF(DZ2375="D",1,0)+IF(EH2375="D",1,0)</f>
        <v>8</v>
      </c>
      <c r="AY2375" s="0" t="n">
        <f aca="false">COUNTIF(DU2375:EH2375, "&lt;&gt;")</f>
        <v>7</v>
      </c>
      <c r="AZ2375" s="0" t="n">
        <f aca="false">IF(EH2375&lt;&gt;"",1,0)</f>
        <v>1</v>
      </c>
      <c r="BB2375" s="0" t="s">
        <v>152</v>
      </c>
      <c r="BC2375" s="0" t="s">
        <v>153</v>
      </c>
      <c r="BD2375" s="0" t="s">
        <v>153</v>
      </c>
      <c r="BE2375" s="0" t="s">
        <v>153</v>
      </c>
      <c r="BF2375" s="0" t="s">
        <v>153</v>
      </c>
      <c r="BG2375" s="0" t="s">
        <v>153</v>
      </c>
      <c r="BH2375" s="0" t="s">
        <v>153</v>
      </c>
      <c r="BI2375" s="0" t="s">
        <v>153</v>
      </c>
      <c r="BJ2375" s="0" t="s">
        <v>153</v>
      </c>
      <c r="BK2375" s="0" t="s">
        <v>153</v>
      </c>
      <c r="BL2375" s="0" t="s">
        <v>153</v>
      </c>
      <c r="BP2375" s="0" t="s">
        <v>153</v>
      </c>
      <c r="BR2375" s="0" t="s">
        <v>153</v>
      </c>
      <c r="BS2375" s="0" t="s">
        <v>153</v>
      </c>
      <c r="BT2375" s="0" t="s">
        <v>153</v>
      </c>
      <c r="BV2375" s="0" t="s">
        <v>153</v>
      </c>
      <c r="BY2375" s="0" t="s">
        <v>175</v>
      </c>
      <c r="CA2375" s="0" t="s">
        <v>153</v>
      </c>
      <c r="CC2375" s="0" t="s">
        <v>175</v>
      </c>
      <c r="CG2375" s="0" t="s">
        <v>153</v>
      </c>
      <c r="CH2375" s="0" t="s">
        <v>175</v>
      </c>
      <c r="CK2375" s="0" t="s">
        <v>153</v>
      </c>
      <c r="CL2375" s="0" t="s">
        <v>175</v>
      </c>
      <c r="CN2375" s="0" t="s">
        <v>153</v>
      </c>
      <c r="CO2375" s="0" t="s">
        <v>175</v>
      </c>
      <c r="CP2375" s="0" t="s">
        <v>153</v>
      </c>
      <c r="CQ2375" s="0" t="s">
        <v>175</v>
      </c>
      <c r="CT2375" s="0" t="s">
        <v>153</v>
      </c>
      <c r="CU2375" s="0" t="s">
        <v>175</v>
      </c>
      <c r="CV2375" s="0" t="s">
        <v>153</v>
      </c>
      <c r="CW2375" s="0" t="s">
        <v>175</v>
      </c>
      <c r="CY2375" s="0" t="s">
        <v>153</v>
      </c>
      <c r="CZ2375" s="0" t="s">
        <v>175</v>
      </c>
      <c r="DC2375" s="0" t="s">
        <v>153</v>
      </c>
      <c r="DD2375" s="0" t="s">
        <v>175</v>
      </c>
      <c r="DF2375" s="0" t="s">
        <v>153</v>
      </c>
      <c r="DG2375" s="0" t="s">
        <v>175</v>
      </c>
      <c r="DI2375" s="0" t="s">
        <v>153</v>
      </c>
      <c r="DJ2375" s="0" t="s">
        <v>175</v>
      </c>
      <c r="DL2375" s="0" t="s">
        <v>153</v>
      </c>
      <c r="DM2375" s="0" t="s">
        <v>175</v>
      </c>
      <c r="DN2375" s="0" t="s">
        <v>153</v>
      </c>
      <c r="DR2375" s="0" t="s">
        <v>153</v>
      </c>
      <c r="DS2375" s="0" t="s">
        <v>175</v>
      </c>
      <c r="DT2375" s="0" t="s">
        <v>175</v>
      </c>
      <c r="DU2375" s="0" t="s">
        <v>153</v>
      </c>
      <c r="DW2375" s="0" t="s">
        <v>175</v>
      </c>
      <c r="DX2375" s="0" t="s">
        <v>153</v>
      </c>
      <c r="EA2375" s="0" t="s">
        <v>153</v>
      </c>
      <c r="ED2375" s="0" t="s">
        <v>175</v>
      </c>
      <c r="EF2375" s="0" t="s">
        <v>153</v>
      </c>
      <c r="EH2375" s="0" t="s">
        <v>175</v>
      </c>
    </row>
    <row r="2376" customFormat="false" ht="13.8" hidden="true" customHeight="false" outlineLevel="0" collapsed="false">
      <c r="A2376" s="0" t="s">
        <v>10275</v>
      </c>
      <c r="B2376" s="0" t="n">
        <v>78</v>
      </c>
      <c r="C2376" s="0" t="n">
        <v>439183</v>
      </c>
      <c r="D2376" s="0" t="s">
        <v>10276</v>
      </c>
      <c r="E2376" s="0" t="s">
        <v>2859</v>
      </c>
      <c r="F2376" s="0" t="str">
        <f aca="false">CONCATENATE(D2376," ",LEFT(H2376,4),"T=",AU2376,"D=",AV2376,"R=",AW2376,"M=",AX2376,"L=",AY2376,"B=",AZ2376)</f>
        <v>KNOWLES T=10D=1R=0M=0L=1B=0</v>
      </c>
      <c r="G2376" s="0" t="s">
        <v>1128</v>
      </c>
      <c r="I2376" s="0" t="s">
        <v>10277</v>
      </c>
      <c r="J2376" s="0" t="s">
        <v>2339</v>
      </c>
      <c r="K2376" s="0" t="s">
        <v>160</v>
      </c>
      <c r="M2376" s="0" t="s">
        <v>10278</v>
      </c>
      <c r="N2376" s="0" t="str">
        <f aca="false">RIGHT(M2376,LEN(M2376)-FIND(" ",M2376))</f>
        <v>WICK ST SE</v>
      </c>
      <c r="P2376" s="0" t="s">
        <v>145</v>
      </c>
      <c r="Q2376" s="0" t="s">
        <v>146</v>
      </c>
      <c r="R2376" s="0" t="n">
        <v>44484</v>
      </c>
      <c r="AD2376" s="0" t="s">
        <v>147</v>
      </c>
      <c r="AE2376" s="0" t="s">
        <v>148</v>
      </c>
      <c r="AF2376" s="0" t="s">
        <v>149</v>
      </c>
      <c r="AH2376" s="0" t="n">
        <v>14</v>
      </c>
      <c r="AI2376" s="0" t="n">
        <v>11</v>
      </c>
      <c r="AN2376" s="0" t="s">
        <v>145</v>
      </c>
      <c r="AO2376" s="0" t="s">
        <v>233</v>
      </c>
      <c r="AP2376" s="0" t="s">
        <v>234</v>
      </c>
      <c r="AQ2376" s="0" t="n">
        <v>9</v>
      </c>
      <c r="AR2376" s="0" t="n">
        <v>64</v>
      </c>
      <c r="AS2376" s="0" t="n">
        <v>32</v>
      </c>
      <c r="AU2376" s="0" t="n">
        <f aca="false">COUNTA($BA$2522:$EH$2522)</f>
        <v>10</v>
      </c>
      <c r="AV2376" s="0" t="n">
        <f aca="false">COUNTIF($BA$2522:$EH$2522,"D")</f>
        <v>1</v>
      </c>
      <c r="AW2376" s="0" t="n">
        <f aca="false">COUNTIF($BA$2522:$EH$2522,"R")</f>
        <v>0</v>
      </c>
      <c r="AX2376" s="0" t="n">
        <f aca="false">IF(BN2376="D",1,0)+IF(BO2376="D",1,0)+IF(BT2376="D",1,0)+IF(BU2376="D",1,0)+IF(BW2376="D",1,0)+IF(CC2376="D",1,0)+IF(CD2376="D",1,0)+IF(CE2376="D",1,0)+IF(CF2376="D",1,0)+IF(CL2376="D",1,0)+IF(CM2376="D",1,0)+IF(CQ2376="D",1,0)+IF(CR2376="D",1,0)+IF(CS2376="D",1,0)+IF(CW2376="D",1,0)+IF(CX2376="D",1,0)+IF(DD2376="D",1,0)+IF(DE2376="D",1,0)+IF(DJ2376="D",1,0)+IF(DK2376="D",1,0)+IF(DO2376="D",1,0)+IF(DP2376="D",1,0)+IF(DQ2376="D",1,0)+IF(DW2376="D",1,0)+IF(DZ2376="D",1,0)+IF(EH2376="D",1,0)</f>
        <v>0</v>
      </c>
      <c r="AY2376" s="0" t="n">
        <f aca="false">COUNTIF(DU2376:EH2376, "&lt;&gt;")</f>
        <v>1</v>
      </c>
      <c r="AZ2376" s="0" t="n">
        <f aca="false">IF(EH2376&lt;&gt;"",1,0)</f>
        <v>0</v>
      </c>
      <c r="BB2376" s="0" t="s">
        <v>152</v>
      </c>
      <c r="DN2376" s="0" t="s">
        <v>153</v>
      </c>
      <c r="EF2376" s="0" t="s">
        <v>153</v>
      </c>
    </row>
    <row r="2377" customFormat="false" ht="13.8" hidden="false" customHeight="false" outlineLevel="0" collapsed="false">
      <c r="A2377" s="0" t="s">
        <v>10279</v>
      </c>
      <c r="B2377" s="0" t="n">
        <v>78</v>
      </c>
      <c r="C2377" s="0" t="n">
        <v>388793</v>
      </c>
      <c r="D2377" s="0" t="s">
        <v>10280</v>
      </c>
      <c r="E2377" s="0" t="s">
        <v>2774</v>
      </c>
      <c r="F2377" s="0" t="str">
        <f aca="false">CONCATENATE(D2377," ",LEFT(H2377,4),"T=",AU2377,"D=",AV2377,"R=",AW2377,"M=",AX2377,"L=",AY2377,"B=",AZ2377)</f>
        <v>MCDANIELS T=4D=0R=0M=2L=6B=1</v>
      </c>
      <c r="G2377" s="0" t="s">
        <v>770</v>
      </c>
      <c r="I2377" s="0" t="s">
        <v>9758</v>
      </c>
      <c r="J2377" s="0" t="s">
        <v>2007</v>
      </c>
      <c r="K2377" s="0" t="s">
        <v>160</v>
      </c>
      <c r="L2377" s="0" t="s">
        <v>175</v>
      </c>
      <c r="M2377" s="0" t="s">
        <v>10281</v>
      </c>
      <c r="N2377" s="0" t="str">
        <f aca="false">RIGHT(M2377,LEN(M2377)-FIND(" ",M2377))</f>
        <v>WOODBINE AVE SE</v>
      </c>
      <c r="P2377" s="0" t="s">
        <v>145</v>
      </c>
      <c r="Q2377" s="0" t="s">
        <v>146</v>
      </c>
      <c r="R2377" s="0" t="n">
        <v>44484</v>
      </c>
      <c r="AD2377" s="0" t="s">
        <v>147</v>
      </c>
      <c r="AE2377" s="0" t="s">
        <v>148</v>
      </c>
      <c r="AF2377" s="0" t="s">
        <v>149</v>
      </c>
      <c r="AH2377" s="0" t="n">
        <v>14</v>
      </c>
      <c r="AI2377" s="0" t="n">
        <v>11</v>
      </c>
      <c r="AN2377" s="0" t="s">
        <v>145</v>
      </c>
      <c r="AO2377" s="0" t="s">
        <v>233</v>
      </c>
      <c r="AP2377" s="0" t="s">
        <v>234</v>
      </c>
      <c r="AQ2377" s="0" t="n">
        <v>9</v>
      </c>
      <c r="AR2377" s="0" t="n">
        <v>64</v>
      </c>
      <c r="AS2377" s="0" t="n">
        <v>32</v>
      </c>
      <c r="AU2377" s="0" t="n">
        <f aca="false">COUNTA($BA$2270:$EH$2270)</f>
        <v>4</v>
      </c>
      <c r="AV2377" s="0" t="n">
        <f aca="false">COUNTIF($BA$2270:$EH$2270,"D")</f>
        <v>0</v>
      </c>
      <c r="AW2377" s="0" t="n">
        <f aca="false">COUNTIF($BA$2270:$EH$2270,"R")</f>
        <v>0</v>
      </c>
      <c r="AX2377" s="0" t="n">
        <f aca="false">IF(BN2377="D",1,0)+IF(BO2377="D",1,0)+IF(BT2377="D",1,0)+IF(BU2377="D",1,0)+IF(BW2377="D",1,0)+IF(CC2377="D",1,0)+IF(CD2377="D",1,0)+IF(CE2377="D",1,0)+IF(CF2377="D",1,0)+IF(CL2377="D",1,0)+IF(CM2377="D",1,0)+IF(CQ2377="D",1,0)+IF(CR2377="D",1,0)+IF(CS2377="D",1,0)+IF(CW2377="D",1,0)+IF(CX2377="D",1,0)+IF(DD2377="D",1,0)+IF(DE2377="D",1,0)+IF(DJ2377="D",1,0)+IF(DK2377="D",1,0)+IF(DO2377="D",1,0)+IF(DP2377="D",1,0)+IF(DQ2377="D",1,0)+IF(DW2377="D",1,0)+IF(DZ2377="D",1,0)+IF(EH2377="D",1,0)</f>
        <v>2</v>
      </c>
      <c r="AY2377" s="0" t="n">
        <f aca="false">COUNTIF(DU2377:EH2377, "&lt;&gt;")</f>
        <v>6</v>
      </c>
      <c r="AZ2377" s="0" t="n">
        <f aca="false">IF(EH2377&lt;&gt;"",1,0)</f>
        <v>1</v>
      </c>
      <c r="BB2377" s="0" t="s">
        <v>152</v>
      </c>
      <c r="CP2377" s="0" t="s">
        <v>153</v>
      </c>
      <c r="DC2377" s="0" t="s">
        <v>153</v>
      </c>
      <c r="DF2377" s="0" t="s">
        <v>153</v>
      </c>
      <c r="DG2377" s="0" t="s">
        <v>175</v>
      </c>
      <c r="DI2377" s="0" t="s">
        <v>153</v>
      </c>
      <c r="DL2377" s="0" t="s">
        <v>153</v>
      </c>
      <c r="DM2377" s="0" t="s">
        <v>175</v>
      </c>
      <c r="DN2377" s="0" t="s">
        <v>153</v>
      </c>
      <c r="DR2377" s="0" t="s">
        <v>153</v>
      </c>
      <c r="DS2377" s="0" t="s">
        <v>175</v>
      </c>
      <c r="DT2377" s="0" t="s">
        <v>175</v>
      </c>
      <c r="DU2377" s="0" t="s">
        <v>153</v>
      </c>
      <c r="DW2377" s="0" t="s">
        <v>175</v>
      </c>
      <c r="EA2377" s="0" t="s">
        <v>153</v>
      </c>
      <c r="ED2377" s="0" t="s">
        <v>175</v>
      </c>
      <c r="EF2377" s="0" t="s">
        <v>153</v>
      </c>
      <c r="EH2377" s="0" t="s">
        <v>175</v>
      </c>
    </row>
    <row r="2378" customFormat="false" ht="13.8" hidden="true" customHeight="false" outlineLevel="0" collapsed="false">
      <c r="A2378" s="0" t="s">
        <v>10282</v>
      </c>
      <c r="B2378" s="0" t="n">
        <v>78</v>
      </c>
      <c r="C2378" s="0" t="n">
        <v>415772</v>
      </c>
      <c r="D2378" s="0" t="s">
        <v>10283</v>
      </c>
      <c r="E2378" s="0" t="s">
        <v>8142</v>
      </c>
      <c r="F2378" s="0" t="str">
        <f aca="false">CONCATENATE(D2378," ",LEFT(H2378,4),"T=",AU2378,"D=",AV2378,"R=",AW2378,"M=",AX2378,"L=",AY2378,"B=",AZ2378)</f>
        <v>SHUSTER T=14D=0R=2M=1L=1B=0</v>
      </c>
      <c r="G2378" s="0" t="s">
        <v>818</v>
      </c>
      <c r="I2378" s="0" t="s">
        <v>10284</v>
      </c>
      <c r="J2378" s="0" t="s">
        <v>10285</v>
      </c>
      <c r="K2378" s="0" t="s">
        <v>160</v>
      </c>
      <c r="M2378" s="0" t="s">
        <v>10286</v>
      </c>
      <c r="N2378" s="0" t="str">
        <f aca="false">RIGHT(M2378,LEN(M2378)-FIND(" ",M2378))</f>
        <v>WOODBINE AVE SE</v>
      </c>
      <c r="P2378" s="0" t="s">
        <v>145</v>
      </c>
      <c r="Q2378" s="0" t="s">
        <v>146</v>
      </c>
      <c r="R2378" s="0" t="n">
        <v>44484</v>
      </c>
      <c r="AD2378" s="0" t="s">
        <v>147</v>
      </c>
      <c r="AE2378" s="0" t="s">
        <v>148</v>
      </c>
      <c r="AF2378" s="0" t="s">
        <v>149</v>
      </c>
      <c r="AH2378" s="0" t="n">
        <v>14</v>
      </c>
      <c r="AI2378" s="0" t="n">
        <v>11</v>
      </c>
      <c r="AN2378" s="0" t="s">
        <v>145</v>
      </c>
      <c r="AO2378" s="0" t="s">
        <v>233</v>
      </c>
      <c r="AP2378" s="0" t="s">
        <v>234</v>
      </c>
      <c r="AQ2378" s="0" t="n">
        <v>9</v>
      </c>
      <c r="AR2378" s="0" t="n">
        <v>64</v>
      </c>
      <c r="AS2378" s="0" t="n">
        <v>32</v>
      </c>
      <c r="AU2378" s="0" t="n">
        <f aca="false">COUNTA($BA$2407:$EH$2407)</f>
        <v>14</v>
      </c>
      <c r="AV2378" s="0" t="n">
        <f aca="false">COUNTIF($BA$2407:$EH$2407,"D")</f>
        <v>0</v>
      </c>
      <c r="AW2378" s="0" t="n">
        <f aca="false">COUNTIF($BA$2407:$EH$2407,"R")</f>
        <v>2</v>
      </c>
      <c r="AX2378" s="0" t="n">
        <f aca="false">IF(BN2378="D",1,0)+IF(BO2378="D",1,0)+IF(BT2378="D",1,0)+IF(BU2378="D",1,0)+IF(BW2378="D",1,0)+IF(CC2378="D",1,0)+IF(CD2378="D",1,0)+IF(CE2378="D",1,0)+IF(CF2378="D",1,0)+IF(CL2378="D",1,0)+IF(CM2378="D",1,0)+IF(CQ2378="D",1,0)+IF(CR2378="D",1,0)+IF(CS2378="D",1,0)+IF(CW2378="D",1,0)+IF(CX2378="D",1,0)+IF(DD2378="D",1,0)+IF(DE2378="D",1,0)+IF(DJ2378="D",1,0)+IF(DK2378="D",1,0)+IF(DO2378="D",1,0)+IF(DP2378="D",1,0)+IF(DQ2378="D",1,0)+IF(DW2378="D",1,0)+IF(DZ2378="D",1,0)+IF(EH2378="D",1,0)</f>
        <v>1</v>
      </c>
      <c r="AY2378" s="0" t="n">
        <f aca="false">COUNTIF(DU2378:EH2378, "&lt;&gt;")</f>
        <v>1</v>
      </c>
      <c r="AZ2378" s="0" t="n">
        <f aca="false">IF(EH2378&lt;&gt;"",1,0)</f>
        <v>0</v>
      </c>
      <c r="BB2378" s="0" t="s">
        <v>152</v>
      </c>
      <c r="DC2378" s="0" t="s">
        <v>153</v>
      </c>
      <c r="DF2378" s="0" t="s">
        <v>153</v>
      </c>
      <c r="DG2378" s="0" t="s">
        <v>175</v>
      </c>
      <c r="DI2378" s="0" t="s">
        <v>153</v>
      </c>
      <c r="DJ2378" s="0" t="s">
        <v>175</v>
      </c>
      <c r="DM2378" s="0" t="s">
        <v>175</v>
      </c>
      <c r="DN2378" s="0" t="s">
        <v>153</v>
      </c>
      <c r="DU2378" s="0" t="s">
        <v>153</v>
      </c>
    </row>
    <row r="2379" customFormat="false" ht="13.8" hidden="true" customHeight="false" outlineLevel="0" collapsed="false">
      <c r="A2379" s="0" t="s">
        <v>10287</v>
      </c>
      <c r="B2379" s="0" t="n">
        <v>78</v>
      </c>
      <c r="C2379" s="0" t="n">
        <v>419924</v>
      </c>
      <c r="D2379" s="0" t="s">
        <v>10283</v>
      </c>
      <c r="E2379" s="0" t="s">
        <v>1152</v>
      </c>
      <c r="F2379" s="0" t="str">
        <f aca="false">CONCATENATE(D2379," ",LEFT(H2379,4),"T=",AU2379,"D=",AV2379,"R=",AW2379,"M=",AX2379,"L=",AY2379,"B=",AZ2379)</f>
        <v>SHUSTER T=23D=6R=0M=0L=0B=0</v>
      </c>
      <c r="G2379" s="0" t="s">
        <v>275</v>
      </c>
      <c r="I2379" s="0" t="s">
        <v>10288</v>
      </c>
      <c r="J2379" s="0" t="s">
        <v>1324</v>
      </c>
      <c r="K2379" s="0" t="s">
        <v>143</v>
      </c>
      <c r="M2379" s="0" t="s">
        <v>10286</v>
      </c>
      <c r="N2379" s="0" t="str">
        <f aca="false">RIGHT(M2379,LEN(M2379)-FIND(" ",M2379))</f>
        <v>WOODBINE AVE SE</v>
      </c>
      <c r="P2379" s="0" t="s">
        <v>145</v>
      </c>
      <c r="Q2379" s="0" t="s">
        <v>146</v>
      </c>
      <c r="R2379" s="0" t="n">
        <v>44484</v>
      </c>
      <c r="AD2379" s="0" t="s">
        <v>147</v>
      </c>
      <c r="AE2379" s="0" t="s">
        <v>148</v>
      </c>
      <c r="AF2379" s="0" t="s">
        <v>149</v>
      </c>
      <c r="AH2379" s="0" t="n">
        <v>14</v>
      </c>
      <c r="AI2379" s="0" t="n">
        <v>11</v>
      </c>
      <c r="AN2379" s="0" t="s">
        <v>145</v>
      </c>
      <c r="AO2379" s="0" t="s">
        <v>233</v>
      </c>
      <c r="AP2379" s="0" t="s">
        <v>234</v>
      </c>
      <c r="AQ2379" s="0" t="n">
        <v>9</v>
      </c>
      <c r="AR2379" s="0" t="n">
        <v>64</v>
      </c>
      <c r="AS2379" s="0" t="n">
        <v>32</v>
      </c>
      <c r="AU2379" s="0" t="n">
        <f aca="false">COUNTA($BA$2614:$EH$2614)</f>
        <v>23</v>
      </c>
      <c r="AV2379" s="0" t="n">
        <f aca="false">COUNTIF($BA$2614:$EH$2614,"D")</f>
        <v>6</v>
      </c>
      <c r="AW2379" s="0" t="n">
        <f aca="false">COUNTIF($BA$2614:$EH$2614,"R")</f>
        <v>0</v>
      </c>
      <c r="AX2379" s="0" t="n">
        <f aca="false">IF(BN2379="D",1,0)+IF(BO2379="D",1,0)+IF(BT2379="D",1,0)+IF(BU2379="D",1,0)+IF(BW2379="D",1,0)+IF(CC2379="D",1,0)+IF(CD2379="D",1,0)+IF(CE2379="D",1,0)+IF(CF2379="D",1,0)+IF(CL2379="D",1,0)+IF(CM2379="D",1,0)+IF(CQ2379="D",1,0)+IF(CR2379="D",1,0)+IF(CS2379="D",1,0)+IF(CW2379="D",1,0)+IF(CX2379="D",1,0)+IF(DD2379="D",1,0)+IF(DE2379="D",1,0)+IF(DJ2379="D",1,0)+IF(DK2379="D",1,0)+IF(DO2379="D",1,0)+IF(DP2379="D",1,0)+IF(DQ2379="D",1,0)+IF(DW2379="D",1,0)+IF(DZ2379="D",1,0)+IF(EH2379="D",1,0)</f>
        <v>0</v>
      </c>
      <c r="AY2379" s="0" t="n">
        <f aca="false">COUNTIF(DU2379:EH2379, "&lt;&gt;")</f>
        <v>0</v>
      </c>
      <c r="AZ2379" s="0" t="n">
        <f aca="false">IF(EH2379&lt;&gt;"",1,0)</f>
        <v>0</v>
      </c>
      <c r="BB2379" s="0" t="s">
        <v>152</v>
      </c>
    </row>
    <row r="2380" customFormat="false" ht="13.8" hidden="true" customHeight="false" outlineLevel="0" collapsed="false">
      <c r="A2380" s="0" t="s">
        <v>10289</v>
      </c>
      <c r="B2380" s="0" t="n">
        <v>78</v>
      </c>
      <c r="C2380" s="0" t="n">
        <v>486382</v>
      </c>
      <c r="D2380" s="0" t="s">
        <v>10290</v>
      </c>
      <c r="E2380" s="0" t="s">
        <v>275</v>
      </c>
      <c r="F2380" s="0" t="str">
        <f aca="false">CONCATENATE(D2380," ",LEFT(H2380,4),"T=",AU2380,"D=",AV2380,"R=",AW2380,"M=",AX2380,"L=",AY2380,"B=",AZ2380)</f>
        <v>TIBBS T=36D=1R=7M=0L=1B=0</v>
      </c>
      <c r="G2380" s="0" t="s">
        <v>1709</v>
      </c>
      <c r="I2380" s="0" t="s">
        <v>10291</v>
      </c>
      <c r="J2380" s="0" t="s">
        <v>5199</v>
      </c>
      <c r="K2380" s="0" t="s">
        <v>160</v>
      </c>
      <c r="M2380" s="0" t="s">
        <v>10292</v>
      </c>
      <c r="N2380" s="0" t="str">
        <f aca="false">RIGHT(M2380,LEN(M2380)-FIND(" ",M2380))</f>
        <v>WOODBINE AVE SE</v>
      </c>
      <c r="P2380" s="0" t="s">
        <v>145</v>
      </c>
      <c r="Q2380" s="0" t="s">
        <v>146</v>
      </c>
      <c r="R2380" s="0" t="n">
        <v>44484</v>
      </c>
      <c r="AD2380" s="0" t="s">
        <v>147</v>
      </c>
      <c r="AE2380" s="0" t="s">
        <v>148</v>
      </c>
      <c r="AF2380" s="0" t="s">
        <v>149</v>
      </c>
      <c r="AH2380" s="0" t="n">
        <v>14</v>
      </c>
      <c r="AI2380" s="0" t="n">
        <v>11</v>
      </c>
      <c r="AN2380" s="0" t="s">
        <v>145</v>
      </c>
      <c r="AO2380" s="0" t="s">
        <v>233</v>
      </c>
      <c r="AP2380" s="0" t="s">
        <v>234</v>
      </c>
      <c r="AQ2380" s="0" t="n">
        <v>9</v>
      </c>
      <c r="AR2380" s="0" t="n">
        <v>64</v>
      </c>
      <c r="AS2380" s="0" t="n">
        <v>32</v>
      </c>
      <c r="AU2380" s="0" t="n">
        <f aca="false">COUNTA($BA$2115:$EH$2115)</f>
        <v>36</v>
      </c>
      <c r="AV2380" s="0" t="n">
        <f aca="false">COUNTIF($BA$2115:$EH$2115,"D")</f>
        <v>1</v>
      </c>
      <c r="AW2380" s="0" t="n">
        <f aca="false">COUNTIF($BA$2115:$EH$2115,"R")</f>
        <v>7</v>
      </c>
      <c r="AX2380" s="0" t="n">
        <f aca="false">IF(BN2380="D",1,0)+IF(BO2380="D",1,0)+IF(BT2380="D",1,0)+IF(BU2380="D",1,0)+IF(BW2380="D",1,0)+IF(CC2380="D",1,0)+IF(CD2380="D",1,0)+IF(CE2380="D",1,0)+IF(CF2380="D",1,0)+IF(CL2380="D",1,0)+IF(CM2380="D",1,0)+IF(CQ2380="D",1,0)+IF(CR2380="D",1,0)+IF(CS2380="D",1,0)+IF(CW2380="D",1,0)+IF(CX2380="D",1,0)+IF(DD2380="D",1,0)+IF(DE2380="D",1,0)+IF(DJ2380="D",1,0)+IF(DK2380="D",1,0)+IF(DO2380="D",1,0)+IF(DP2380="D",1,0)+IF(DQ2380="D",1,0)+IF(DW2380="D",1,0)+IF(DZ2380="D",1,0)+IF(EH2380="D",1,0)</f>
        <v>0</v>
      </c>
      <c r="AY2380" s="0" t="n">
        <f aca="false">COUNTIF(DU2380:EH2380, "&lt;&gt;")</f>
        <v>1</v>
      </c>
      <c r="AZ2380" s="0" t="n">
        <f aca="false">IF(EH2380&lt;&gt;"",1,0)</f>
        <v>0</v>
      </c>
      <c r="BB2380" s="0" t="s">
        <v>152</v>
      </c>
      <c r="EF2380" s="0" t="s">
        <v>153</v>
      </c>
    </row>
    <row r="2381" customFormat="false" ht="13.8" hidden="true" customHeight="false" outlineLevel="0" collapsed="false">
      <c r="A2381" s="0" t="s">
        <v>10293</v>
      </c>
      <c r="B2381" s="0" t="n">
        <v>78</v>
      </c>
      <c r="C2381" s="0" t="n">
        <v>484747</v>
      </c>
      <c r="D2381" s="0" t="s">
        <v>10294</v>
      </c>
      <c r="E2381" s="0" t="s">
        <v>829</v>
      </c>
      <c r="F2381" s="0" t="str">
        <f aca="false">CONCATENATE(D2381," ",LEFT(H2381,4),"T=",AU2381,"D=",AV2381,"R=",AW2381,"M=",AX2381,"L=",AY2381,"B=",AZ2381)</f>
        <v>STEVEY T=2D=0R=0M=0L=0B=0</v>
      </c>
      <c r="G2381" s="0" t="s">
        <v>164</v>
      </c>
      <c r="I2381" s="0" t="s">
        <v>10295</v>
      </c>
      <c r="J2381" s="0" t="s">
        <v>2329</v>
      </c>
      <c r="K2381" s="0" t="s">
        <v>160</v>
      </c>
      <c r="M2381" s="0" t="s">
        <v>10292</v>
      </c>
      <c r="N2381" s="0" t="str">
        <f aca="false">RIGHT(M2381,LEN(M2381)-FIND(" ",M2381))</f>
        <v>WOODBINE AVE SE</v>
      </c>
      <c r="P2381" s="0" t="s">
        <v>145</v>
      </c>
      <c r="Q2381" s="0" t="s">
        <v>146</v>
      </c>
      <c r="R2381" s="0" t="n">
        <v>44484</v>
      </c>
      <c r="AD2381" s="0" t="s">
        <v>147</v>
      </c>
      <c r="AE2381" s="0" t="s">
        <v>148</v>
      </c>
      <c r="AF2381" s="0" t="s">
        <v>149</v>
      </c>
      <c r="AH2381" s="0" t="n">
        <v>14</v>
      </c>
      <c r="AI2381" s="0" t="n">
        <v>11</v>
      </c>
      <c r="AN2381" s="0" t="s">
        <v>145</v>
      </c>
      <c r="AO2381" s="0" t="s">
        <v>233</v>
      </c>
      <c r="AP2381" s="0" t="s">
        <v>234</v>
      </c>
      <c r="AQ2381" s="0" t="n">
        <v>9</v>
      </c>
      <c r="AR2381" s="0" t="n">
        <v>64</v>
      </c>
      <c r="AS2381" s="0" t="n">
        <v>32</v>
      </c>
      <c r="AU2381" s="0" t="n">
        <f aca="false">COUNTA($BA$2129:$EH$2129)</f>
        <v>2</v>
      </c>
      <c r="AV2381" s="0" t="n">
        <f aca="false">COUNTIF($BA$2129:$EH$2129,"D")</f>
        <v>0</v>
      </c>
      <c r="AW2381" s="0" t="n">
        <f aca="false">COUNTIF($BA$2129:$EH$2129,"R")</f>
        <v>0</v>
      </c>
      <c r="AX2381" s="0" t="n">
        <f aca="false">IF(BN2381="D",1,0)+IF(BO2381="D",1,0)+IF(BT2381="D",1,0)+IF(BU2381="D",1,0)+IF(BW2381="D",1,0)+IF(CC2381="D",1,0)+IF(CD2381="D",1,0)+IF(CE2381="D",1,0)+IF(CF2381="D",1,0)+IF(CL2381="D",1,0)+IF(CM2381="D",1,0)+IF(CQ2381="D",1,0)+IF(CR2381="D",1,0)+IF(CS2381="D",1,0)+IF(CW2381="D",1,0)+IF(CX2381="D",1,0)+IF(DD2381="D",1,0)+IF(DE2381="D",1,0)+IF(DJ2381="D",1,0)+IF(DK2381="D",1,0)+IF(DO2381="D",1,0)+IF(DP2381="D",1,0)+IF(DQ2381="D",1,0)+IF(DW2381="D",1,0)+IF(DZ2381="D",1,0)+IF(EH2381="D",1,0)</f>
        <v>0</v>
      </c>
      <c r="AY2381" s="0" t="n">
        <f aca="false">COUNTIF(DU2381:EH2381, "&lt;&gt;")</f>
        <v>0</v>
      </c>
      <c r="AZ2381" s="0" t="n">
        <f aca="false">IF(EH2381&lt;&gt;"",1,0)</f>
        <v>0</v>
      </c>
      <c r="BB2381" s="0" t="s">
        <v>152</v>
      </c>
    </row>
    <row r="2382" customFormat="false" ht="13.8" hidden="false" customHeight="false" outlineLevel="0" collapsed="false">
      <c r="A2382" s="0" t="s">
        <v>10296</v>
      </c>
      <c r="B2382" s="0" t="n">
        <v>78</v>
      </c>
      <c r="C2382" s="0" t="n">
        <v>358064</v>
      </c>
      <c r="D2382" s="0" t="s">
        <v>10290</v>
      </c>
      <c r="E2382" s="0" t="s">
        <v>275</v>
      </c>
      <c r="F2382" s="0" t="str">
        <f aca="false">CONCATENATE(D2382," ",LEFT(H2382,4),"T=",AU2382,"D=",AV2382,"R=",AW2382,"M=",AX2382,"L=",AY2382,"B=",AZ2382)</f>
        <v>TIBBS T=4D=0R=0M=0L=2B=0</v>
      </c>
      <c r="G2382" s="0" t="s">
        <v>860</v>
      </c>
      <c r="I2382" s="0" t="s">
        <v>10297</v>
      </c>
      <c r="J2382" s="0" t="s">
        <v>1134</v>
      </c>
      <c r="K2382" s="0" t="s">
        <v>160</v>
      </c>
      <c r="M2382" s="0" t="s">
        <v>10292</v>
      </c>
      <c r="N2382" s="0" t="str">
        <f aca="false">RIGHT(M2382,LEN(M2382)-FIND(" ",M2382))</f>
        <v>WOODBINE AVE SE</v>
      </c>
      <c r="P2382" s="0" t="s">
        <v>145</v>
      </c>
      <c r="Q2382" s="0" t="s">
        <v>146</v>
      </c>
      <c r="R2382" s="0" t="n">
        <v>44484</v>
      </c>
      <c r="AD2382" s="0" t="s">
        <v>147</v>
      </c>
      <c r="AE2382" s="0" t="s">
        <v>148</v>
      </c>
      <c r="AF2382" s="0" t="s">
        <v>149</v>
      </c>
      <c r="AH2382" s="0" t="n">
        <v>14</v>
      </c>
      <c r="AI2382" s="0" t="n">
        <v>11</v>
      </c>
      <c r="AN2382" s="0" t="s">
        <v>145</v>
      </c>
      <c r="AO2382" s="0" t="s">
        <v>233</v>
      </c>
      <c r="AP2382" s="0" t="s">
        <v>234</v>
      </c>
      <c r="AQ2382" s="0" t="n">
        <v>9</v>
      </c>
      <c r="AR2382" s="0" t="n">
        <v>64</v>
      </c>
      <c r="AS2382" s="0" t="n">
        <v>32</v>
      </c>
      <c r="AU2382" s="0" t="n">
        <f aca="false">COUNTA($BA$2150:$EH$2150)</f>
        <v>4</v>
      </c>
      <c r="AV2382" s="0" t="n">
        <f aca="false">COUNTIF($BA$2150:$EH$2150,"D")</f>
        <v>0</v>
      </c>
      <c r="AW2382" s="0" t="n">
        <f aca="false">COUNTIF($BA$2150:$EH$2150,"R")</f>
        <v>0</v>
      </c>
      <c r="AX2382" s="0" t="n">
        <f aca="false">IF(BN2382="D",1,0)+IF(BO2382="D",1,0)+IF(BT2382="D",1,0)+IF(BU2382="D",1,0)+IF(BW2382="D",1,0)+IF(CC2382="D",1,0)+IF(CD2382="D",1,0)+IF(CE2382="D",1,0)+IF(CF2382="D",1,0)+IF(CL2382="D",1,0)+IF(CM2382="D",1,0)+IF(CQ2382="D",1,0)+IF(CR2382="D",1,0)+IF(CS2382="D",1,0)+IF(CW2382="D",1,0)+IF(CX2382="D",1,0)+IF(DD2382="D",1,0)+IF(DE2382="D",1,0)+IF(DJ2382="D",1,0)+IF(DK2382="D",1,0)+IF(DO2382="D",1,0)+IF(DP2382="D",1,0)+IF(DQ2382="D",1,0)+IF(DW2382="D",1,0)+IF(DZ2382="D",1,0)+IF(EH2382="D",1,0)</f>
        <v>0</v>
      </c>
      <c r="AY2382" s="0" t="n">
        <f aca="false">COUNTIF(DU2382:EH2382, "&lt;&gt;")</f>
        <v>2</v>
      </c>
      <c r="AZ2382" s="0" t="n">
        <f aca="false">IF(EH2382&lt;&gt;"",1,0)</f>
        <v>0</v>
      </c>
      <c r="BB2382" s="0" t="s">
        <v>152</v>
      </c>
      <c r="CA2382" s="0" t="s">
        <v>153</v>
      </c>
      <c r="CP2382" s="0" t="s">
        <v>153</v>
      </c>
      <c r="EA2382" s="0" t="s">
        <v>153</v>
      </c>
      <c r="EF2382" s="0" t="s">
        <v>153</v>
      </c>
    </row>
    <row r="2383" customFormat="false" ht="13.8" hidden="false" customHeight="false" outlineLevel="0" collapsed="false">
      <c r="A2383" s="0" t="s">
        <v>10298</v>
      </c>
      <c r="B2383" s="0" t="n">
        <v>78</v>
      </c>
      <c r="C2383" s="0" t="n">
        <v>14433</v>
      </c>
      <c r="D2383" s="0" t="s">
        <v>10299</v>
      </c>
      <c r="E2383" s="0" t="s">
        <v>818</v>
      </c>
      <c r="F2383" s="0" t="str">
        <f aca="false">CONCATENATE(D2383," ",LEFT(H2383,4),"T=",AU2383,"D=",AV2383,"R=",AW2383,"M=",AX2383,"L=",AY2383,"B=",AZ2383)</f>
        <v>SCHMITT T=21D=5R=0M=2L=4B=0</v>
      </c>
      <c r="I2383" s="0" t="s">
        <v>10300</v>
      </c>
      <c r="J2383" s="0" t="s">
        <v>3378</v>
      </c>
      <c r="K2383" s="0" t="s">
        <v>160</v>
      </c>
      <c r="L2383" s="0" t="s">
        <v>175</v>
      </c>
      <c r="M2383" s="0" t="s">
        <v>10301</v>
      </c>
      <c r="N2383" s="0" t="str">
        <f aca="false">RIGHT(M2383,LEN(M2383)-FIND(" ",M2383))</f>
        <v>WOODBINE AVE SE</v>
      </c>
      <c r="P2383" s="0" t="s">
        <v>145</v>
      </c>
      <c r="Q2383" s="0" t="s">
        <v>146</v>
      </c>
      <c r="R2383" s="0" t="n">
        <v>44484</v>
      </c>
      <c r="AD2383" s="0" t="s">
        <v>147</v>
      </c>
      <c r="AE2383" s="0" t="s">
        <v>148</v>
      </c>
      <c r="AF2383" s="0" t="s">
        <v>149</v>
      </c>
      <c r="AH2383" s="0" t="n">
        <v>14</v>
      </c>
      <c r="AI2383" s="0" t="n">
        <v>11</v>
      </c>
      <c r="AN2383" s="0" t="s">
        <v>145</v>
      </c>
      <c r="AO2383" s="0" t="s">
        <v>233</v>
      </c>
      <c r="AP2383" s="0" t="s">
        <v>234</v>
      </c>
      <c r="AQ2383" s="0" t="n">
        <v>9</v>
      </c>
      <c r="AR2383" s="0" t="n">
        <v>64</v>
      </c>
      <c r="AS2383" s="0" t="n">
        <v>32</v>
      </c>
      <c r="AU2383" s="0" t="n">
        <f aca="false">COUNTA($BA$2197:$EH$2197)</f>
        <v>21</v>
      </c>
      <c r="AV2383" s="0" t="n">
        <f aca="false">COUNTIF($BA$2197:$EH$2197,"D")</f>
        <v>5</v>
      </c>
      <c r="AW2383" s="0" t="n">
        <f aca="false">COUNTIF($BA$2197:$EH$2197,"R")</f>
        <v>0</v>
      </c>
      <c r="AX2383" s="0" t="n">
        <f aca="false">IF(BN2383="D",1,0)+IF(BO2383="D",1,0)+IF(BT2383="D",1,0)+IF(BU2383="D",1,0)+IF(BW2383="D",1,0)+IF(CC2383="D",1,0)+IF(CD2383="D",1,0)+IF(CE2383="D",1,0)+IF(CF2383="D",1,0)+IF(CL2383="D",1,0)+IF(CM2383="D",1,0)+IF(CQ2383="D",1,0)+IF(CR2383="D",1,0)+IF(CS2383="D",1,0)+IF(CW2383="D",1,0)+IF(CX2383="D",1,0)+IF(DD2383="D",1,0)+IF(DE2383="D",1,0)+IF(DJ2383="D",1,0)+IF(DK2383="D",1,0)+IF(DO2383="D",1,0)+IF(DP2383="D",1,0)+IF(DQ2383="D",1,0)+IF(DW2383="D",1,0)+IF(DZ2383="D",1,0)+IF(EH2383="D",1,0)</f>
        <v>2</v>
      </c>
      <c r="AY2383" s="0" t="n">
        <f aca="false">COUNTIF(DU2383:EH2383, "&lt;&gt;")</f>
        <v>4</v>
      </c>
      <c r="AZ2383" s="0" t="n">
        <f aca="false">IF(EH2383&lt;&gt;"",1,0)</f>
        <v>0</v>
      </c>
      <c r="BB2383" s="0" t="s">
        <v>152</v>
      </c>
      <c r="BC2383" s="0" t="s">
        <v>153</v>
      </c>
      <c r="BD2383" s="0" t="s">
        <v>153</v>
      </c>
      <c r="BE2383" s="0" t="s">
        <v>153</v>
      </c>
      <c r="BF2383" s="0" t="s">
        <v>153</v>
      </c>
      <c r="BG2383" s="0" t="s">
        <v>153</v>
      </c>
      <c r="BH2383" s="0" t="s">
        <v>153</v>
      </c>
      <c r="BI2383" s="0" t="s">
        <v>153</v>
      </c>
      <c r="BJ2383" s="0" t="s">
        <v>153</v>
      </c>
      <c r="BK2383" s="0" t="s">
        <v>153</v>
      </c>
      <c r="BL2383" s="0" t="s">
        <v>153</v>
      </c>
      <c r="BP2383" s="0" t="s">
        <v>153</v>
      </c>
      <c r="BR2383" s="0" t="s">
        <v>153</v>
      </c>
      <c r="BS2383" s="0" t="s">
        <v>153</v>
      </c>
      <c r="BT2383" s="0" t="s">
        <v>153</v>
      </c>
      <c r="BV2383" s="0" t="s">
        <v>153</v>
      </c>
      <c r="BY2383" s="0" t="s">
        <v>175</v>
      </c>
      <c r="CA2383" s="0" t="s">
        <v>153</v>
      </c>
      <c r="CG2383" s="0" t="s">
        <v>153</v>
      </c>
      <c r="CH2383" s="0" t="s">
        <v>175</v>
      </c>
      <c r="CK2383" s="0" t="s">
        <v>153</v>
      </c>
      <c r="CL2383" s="0" t="s">
        <v>175</v>
      </c>
      <c r="CN2383" s="0" t="s">
        <v>153</v>
      </c>
      <c r="CO2383" s="0" t="s">
        <v>175</v>
      </c>
      <c r="CP2383" s="0" t="s">
        <v>153</v>
      </c>
      <c r="CY2383" s="0" t="s">
        <v>153</v>
      </c>
      <c r="CZ2383" s="0" t="s">
        <v>175</v>
      </c>
      <c r="DC2383" s="0" t="s">
        <v>153</v>
      </c>
      <c r="DI2383" s="0" t="s">
        <v>153</v>
      </c>
      <c r="DM2383" s="0" t="s">
        <v>175</v>
      </c>
      <c r="DN2383" s="0" t="s">
        <v>153</v>
      </c>
      <c r="DU2383" s="0" t="s">
        <v>153</v>
      </c>
      <c r="DW2383" s="0" t="s">
        <v>175</v>
      </c>
      <c r="EA2383" s="0" t="s">
        <v>153</v>
      </c>
      <c r="EF2383" s="0" t="s">
        <v>153</v>
      </c>
    </row>
    <row r="2384" customFormat="false" ht="13.8" hidden="true" customHeight="false" outlineLevel="0" collapsed="false">
      <c r="A2384" s="0" t="s">
        <v>10302</v>
      </c>
      <c r="B2384" s="0" t="n">
        <v>78</v>
      </c>
      <c r="C2384" s="0" t="n">
        <v>412372</v>
      </c>
      <c r="D2384" s="0" t="s">
        <v>10299</v>
      </c>
      <c r="E2384" s="0" t="s">
        <v>1710</v>
      </c>
      <c r="F2384" s="0" t="str">
        <f aca="false">CONCATENATE(D2384," ",LEFT(H2384,4),"T=",AU2384,"D=",AV2384,"R=",AW2384,"M=",AX2384,"L=",AY2384,"B=",AZ2384)</f>
        <v>SCHMITT T=1D=0R=0M=1L=1B=0</v>
      </c>
      <c r="G2384" s="0" t="s">
        <v>268</v>
      </c>
      <c r="I2384" s="0" t="s">
        <v>10303</v>
      </c>
      <c r="J2384" s="0" t="s">
        <v>386</v>
      </c>
      <c r="K2384" s="0" t="s">
        <v>160</v>
      </c>
      <c r="L2384" s="0" t="s">
        <v>175</v>
      </c>
      <c r="M2384" s="0" t="s">
        <v>10301</v>
      </c>
      <c r="N2384" s="0" t="str">
        <f aca="false">RIGHT(M2384,LEN(M2384)-FIND(" ",M2384))</f>
        <v>WOODBINE AVE SE</v>
      </c>
      <c r="P2384" s="0" t="s">
        <v>145</v>
      </c>
      <c r="Q2384" s="0" t="s">
        <v>146</v>
      </c>
      <c r="R2384" s="0" t="n">
        <v>44484</v>
      </c>
      <c r="AD2384" s="0" t="s">
        <v>147</v>
      </c>
      <c r="AE2384" s="0" t="s">
        <v>148</v>
      </c>
      <c r="AF2384" s="0" t="s">
        <v>149</v>
      </c>
      <c r="AH2384" s="0" t="n">
        <v>14</v>
      </c>
      <c r="AI2384" s="0" t="n">
        <v>11</v>
      </c>
      <c r="AN2384" s="0" t="s">
        <v>145</v>
      </c>
      <c r="AO2384" s="0" t="s">
        <v>233</v>
      </c>
      <c r="AP2384" s="0" t="s">
        <v>234</v>
      </c>
      <c r="AQ2384" s="0" t="n">
        <v>9</v>
      </c>
      <c r="AR2384" s="0" t="n">
        <v>64</v>
      </c>
      <c r="AS2384" s="0" t="n">
        <v>32</v>
      </c>
      <c r="AU2384" s="0" t="n">
        <f aca="false">COUNTA($BA$2623:$EH$2623)</f>
        <v>1</v>
      </c>
      <c r="AV2384" s="0" t="n">
        <f aca="false">COUNTIF($BA$2623:$EH$2623,"D")</f>
        <v>0</v>
      </c>
      <c r="AW2384" s="0" t="n">
        <f aca="false">COUNTIF($BA$2623:$EH$2623,"R")</f>
        <v>0</v>
      </c>
      <c r="AX2384" s="0" t="n">
        <f aca="false">IF(BN2384="D",1,0)+IF(BO2384="D",1,0)+IF(BT2384="D",1,0)+IF(BU2384="D",1,0)+IF(BW2384="D",1,0)+IF(CC2384="D",1,0)+IF(CD2384="D",1,0)+IF(CE2384="D",1,0)+IF(CF2384="D",1,0)+IF(CL2384="D",1,0)+IF(CM2384="D",1,0)+IF(CQ2384="D",1,0)+IF(CR2384="D",1,0)+IF(CS2384="D",1,0)+IF(CW2384="D",1,0)+IF(CX2384="D",1,0)+IF(DD2384="D",1,0)+IF(DE2384="D",1,0)+IF(DJ2384="D",1,0)+IF(DK2384="D",1,0)+IF(DO2384="D",1,0)+IF(DP2384="D",1,0)+IF(DQ2384="D",1,0)+IF(DW2384="D",1,0)+IF(DZ2384="D",1,0)+IF(EH2384="D",1,0)</f>
        <v>1</v>
      </c>
      <c r="AY2384" s="0" t="n">
        <f aca="false">COUNTIF(DU2384:EH2384, "&lt;&gt;")</f>
        <v>1</v>
      </c>
      <c r="AZ2384" s="0" t="n">
        <f aca="false">IF(EH2384&lt;&gt;"",1,0)</f>
        <v>0</v>
      </c>
      <c r="BB2384" s="0" t="s">
        <v>152</v>
      </c>
      <c r="DS2384" s="0" t="s">
        <v>175</v>
      </c>
      <c r="DW2384" s="0" t="s">
        <v>175</v>
      </c>
    </row>
    <row r="2385" customFormat="false" ht="13.8" hidden="true" customHeight="false" outlineLevel="0" collapsed="false">
      <c r="A2385" s="0" t="s">
        <v>10304</v>
      </c>
      <c r="B2385" s="0" t="n">
        <v>78</v>
      </c>
      <c r="C2385" s="0" t="n">
        <v>486160</v>
      </c>
      <c r="D2385" s="0" t="s">
        <v>10290</v>
      </c>
      <c r="E2385" s="0" t="s">
        <v>3041</v>
      </c>
      <c r="F2385" s="0" t="str">
        <f aca="false">CONCATENATE(D2385," ",LEFT(H2385,4),"T=",AU2385,"D=",AV2385,"R=",AW2385,"M=",AX2385,"L=",AY2385,"B=",AZ2385)</f>
        <v>TIBBS T=42D=13R=0M=0L=1B=0</v>
      </c>
      <c r="G2385" s="0" t="s">
        <v>255</v>
      </c>
      <c r="I2385" s="0" t="s">
        <v>10305</v>
      </c>
      <c r="J2385" s="0" t="s">
        <v>2159</v>
      </c>
      <c r="K2385" s="0" t="s">
        <v>160</v>
      </c>
      <c r="M2385" s="0" t="s">
        <v>10306</v>
      </c>
      <c r="N2385" s="0" t="str">
        <f aca="false">RIGHT(M2385,LEN(M2385)-FIND(" ",M2385))</f>
        <v>WOODBINE AVE SE</v>
      </c>
      <c r="O2385" s="0" t="s">
        <v>10307</v>
      </c>
      <c r="P2385" s="0" t="s">
        <v>145</v>
      </c>
      <c r="Q2385" s="0" t="s">
        <v>146</v>
      </c>
      <c r="R2385" s="0" t="n">
        <v>44484</v>
      </c>
      <c r="AD2385" s="0" t="s">
        <v>147</v>
      </c>
      <c r="AE2385" s="0" t="s">
        <v>148</v>
      </c>
      <c r="AF2385" s="0" t="s">
        <v>149</v>
      </c>
      <c r="AH2385" s="0" t="n">
        <v>14</v>
      </c>
      <c r="AI2385" s="0" t="n">
        <v>11</v>
      </c>
      <c r="AN2385" s="0" t="s">
        <v>145</v>
      </c>
      <c r="AO2385" s="0" t="s">
        <v>233</v>
      </c>
      <c r="AP2385" s="0" t="s">
        <v>234</v>
      </c>
      <c r="AQ2385" s="0" t="n">
        <v>9</v>
      </c>
      <c r="AR2385" s="0" t="n">
        <v>64</v>
      </c>
      <c r="AS2385" s="0" t="n">
        <v>32</v>
      </c>
      <c r="AU2385" s="0" t="n">
        <f aca="false">COUNTA($BA$2388:$EH$2388)</f>
        <v>42</v>
      </c>
      <c r="AV2385" s="0" t="n">
        <f aca="false">COUNTIF($BA$2388:$EH$2388,"D")</f>
        <v>13</v>
      </c>
      <c r="AW2385" s="0" t="n">
        <f aca="false">COUNTIF($BA$2388:$EH$2388,"R")</f>
        <v>0</v>
      </c>
      <c r="AX2385" s="0" t="n">
        <f aca="false">IF(BN2385="D",1,0)+IF(BO2385="D",1,0)+IF(BT2385="D",1,0)+IF(BU2385="D",1,0)+IF(BW2385="D",1,0)+IF(CC2385="D",1,0)+IF(CD2385="D",1,0)+IF(CE2385="D",1,0)+IF(CF2385="D",1,0)+IF(CL2385="D",1,0)+IF(CM2385="D",1,0)+IF(CQ2385="D",1,0)+IF(CR2385="D",1,0)+IF(CS2385="D",1,0)+IF(CW2385="D",1,0)+IF(CX2385="D",1,0)+IF(DD2385="D",1,0)+IF(DE2385="D",1,0)+IF(DJ2385="D",1,0)+IF(DK2385="D",1,0)+IF(DO2385="D",1,0)+IF(DP2385="D",1,0)+IF(DQ2385="D",1,0)+IF(DW2385="D",1,0)+IF(DZ2385="D",1,0)+IF(EH2385="D",1,0)</f>
        <v>0</v>
      </c>
      <c r="AY2385" s="0" t="n">
        <f aca="false">COUNTIF(DU2385:EH2385, "&lt;&gt;")</f>
        <v>1</v>
      </c>
      <c r="AZ2385" s="0" t="n">
        <f aca="false">IF(EH2385&lt;&gt;"",1,0)</f>
        <v>0</v>
      </c>
      <c r="BB2385" s="0" t="s">
        <v>152</v>
      </c>
      <c r="EF2385" s="0" t="s">
        <v>153</v>
      </c>
    </row>
    <row r="2386" customFormat="false" ht="13.8" hidden="false" customHeight="false" outlineLevel="0" collapsed="false">
      <c r="A2386" s="0" t="s">
        <v>10308</v>
      </c>
      <c r="B2386" s="0" t="n">
        <v>78</v>
      </c>
      <c r="C2386" s="0" t="n">
        <v>328809</v>
      </c>
      <c r="D2386" s="0" t="s">
        <v>10290</v>
      </c>
      <c r="E2386" s="0" t="s">
        <v>4448</v>
      </c>
      <c r="F2386" s="0" t="str">
        <f aca="false">CONCATENATE(D2386," ",LEFT(H2386,4),"T=",AU2386,"D=",AV2386,"R=",AW2386,"M=",AX2386,"L=",AY2386,"B=",AZ2386)</f>
        <v>TIBBS T=5D=0R=0M=1L=3B=0</v>
      </c>
      <c r="G2386" s="0" t="s">
        <v>215</v>
      </c>
      <c r="I2386" s="0" t="s">
        <v>10309</v>
      </c>
      <c r="J2386" s="0" t="s">
        <v>3255</v>
      </c>
      <c r="K2386" s="0" t="s">
        <v>160</v>
      </c>
      <c r="M2386" s="0" t="s">
        <v>10306</v>
      </c>
      <c r="N2386" s="0" t="str">
        <f aca="false">RIGHT(M2386,LEN(M2386)-FIND(" ",M2386))</f>
        <v>WOODBINE AVE SE</v>
      </c>
      <c r="P2386" s="0" t="s">
        <v>145</v>
      </c>
      <c r="Q2386" s="0" t="s">
        <v>146</v>
      </c>
      <c r="R2386" s="0" t="n">
        <v>44484</v>
      </c>
      <c r="AD2386" s="0" t="s">
        <v>147</v>
      </c>
      <c r="AE2386" s="0" t="s">
        <v>148</v>
      </c>
      <c r="AF2386" s="0" t="s">
        <v>149</v>
      </c>
      <c r="AH2386" s="0" t="n">
        <v>14</v>
      </c>
      <c r="AI2386" s="0" t="n">
        <v>11</v>
      </c>
      <c r="AN2386" s="0" t="s">
        <v>145</v>
      </c>
      <c r="AO2386" s="0" t="s">
        <v>233</v>
      </c>
      <c r="AP2386" s="0" t="s">
        <v>234</v>
      </c>
      <c r="AQ2386" s="0" t="n">
        <v>9</v>
      </c>
      <c r="AR2386" s="0" t="n">
        <v>64</v>
      </c>
      <c r="AS2386" s="0" t="n">
        <v>32</v>
      </c>
      <c r="AU2386" s="0" t="n">
        <f aca="false">COUNTA($BA$2539:$EH$2539)</f>
        <v>5</v>
      </c>
      <c r="AV2386" s="0" t="n">
        <f aca="false">COUNTIF($BA$2539:$EH$2539,"D")</f>
        <v>0</v>
      </c>
      <c r="AW2386" s="0" t="n">
        <f aca="false">COUNTIF($BA$2539:$EH$2539,"R")</f>
        <v>0</v>
      </c>
      <c r="AX2386" s="0" t="n">
        <f aca="false">IF(BN2386="D",1,0)+IF(BO2386="D",1,0)+IF(BT2386="D",1,0)+IF(BU2386="D",1,0)+IF(BW2386="D",1,0)+IF(CC2386="D",1,0)+IF(CD2386="D",1,0)+IF(CE2386="D",1,0)+IF(CF2386="D",1,0)+IF(CL2386="D",1,0)+IF(CM2386="D",1,0)+IF(CQ2386="D",1,0)+IF(CR2386="D",1,0)+IF(CS2386="D",1,0)+IF(CW2386="D",1,0)+IF(CX2386="D",1,0)+IF(DD2386="D",1,0)+IF(DE2386="D",1,0)+IF(DJ2386="D",1,0)+IF(DK2386="D",1,0)+IF(DO2386="D",1,0)+IF(DP2386="D",1,0)+IF(DQ2386="D",1,0)+IF(DW2386="D",1,0)+IF(DZ2386="D",1,0)+IF(EH2386="D",1,0)</f>
        <v>1</v>
      </c>
      <c r="AY2386" s="0" t="n">
        <f aca="false">COUNTIF(DU2386:EH2386, "&lt;&gt;")</f>
        <v>3</v>
      </c>
      <c r="AZ2386" s="0" t="n">
        <f aca="false">IF(EH2386&lt;&gt;"",1,0)</f>
        <v>0</v>
      </c>
      <c r="BB2386" s="0" t="s">
        <v>152</v>
      </c>
      <c r="BS2386" s="0" t="s">
        <v>153</v>
      </c>
      <c r="CA2386" s="0" t="s">
        <v>153</v>
      </c>
      <c r="CN2386" s="0" t="s">
        <v>153</v>
      </c>
      <c r="CP2386" s="0" t="s">
        <v>153</v>
      </c>
      <c r="CV2386" s="0" t="s">
        <v>153</v>
      </c>
      <c r="CW2386" s="0" t="s">
        <v>175</v>
      </c>
      <c r="DC2386" s="0" t="s">
        <v>153</v>
      </c>
      <c r="DI2386" s="0" t="s">
        <v>153</v>
      </c>
      <c r="DN2386" s="0" t="s">
        <v>153</v>
      </c>
      <c r="DU2386" s="0" t="s">
        <v>153</v>
      </c>
      <c r="EA2386" s="0" t="s">
        <v>153</v>
      </c>
      <c r="EF2386" s="0" t="s">
        <v>153</v>
      </c>
    </row>
    <row r="2387" customFormat="false" ht="13.8" hidden="true" customHeight="false" outlineLevel="0" collapsed="false">
      <c r="A2387" s="0" t="s">
        <v>10310</v>
      </c>
      <c r="B2387" s="0" t="n">
        <v>78</v>
      </c>
      <c r="C2387" s="0" t="n">
        <v>487624</v>
      </c>
      <c r="D2387" s="0" t="s">
        <v>10311</v>
      </c>
      <c r="E2387" s="0" t="s">
        <v>10312</v>
      </c>
      <c r="F2387" s="0" t="str">
        <f aca="false">CONCATENATE(D2387," ",LEFT(H2387,4),"T=",AU2387,"D=",AV2387,"R=",AW2387,"M=",AX2387,"L=",AY2387,"B=",AZ2387)</f>
        <v>STRADER T=1D=0R=0M=0L=0B=0</v>
      </c>
      <c r="G2387" s="0" t="s">
        <v>209</v>
      </c>
      <c r="I2387" s="0" t="s">
        <v>10313</v>
      </c>
      <c r="J2387" s="0" t="s">
        <v>1253</v>
      </c>
      <c r="K2387" s="0" t="s">
        <v>143</v>
      </c>
      <c r="M2387" s="0" t="s">
        <v>10314</v>
      </c>
      <c r="N2387" s="0" t="str">
        <f aca="false">RIGHT(M2387,LEN(M2387)-FIND(" ",M2387))</f>
        <v>WOODBINE AVE SE</v>
      </c>
      <c r="P2387" s="0" t="s">
        <v>145</v>
      </c>
      <c r="Q2387" s="0" t="s">
        <v>146</v>
      </c>
      <c r="R2387" s="0" t="n">
        <v>44484</v>
      </c>
      <c r="AD2387" s="0" t="s">
        <v>147</v>
      </c>
      <c r="AE2387" s="0" t="s">
        <v>148</v>
      </c>
      <c r="AF2387" s="0" t="s">
        <v>149</v>
      </c>
      <c r="AH2387" s="0" t="n">
        <v>14</v>
      </c>
      <c r="AI2387" s="0" t="n">
        <v>11</v>
      </c>
      <c r="AN2387" s="0" t="s">
        <v>145</v>
      </c>
      <c r="AO2387" s="0" t="s">
        <v>233</v>
      </c>
      <c r="AP2387" s="0" t="s">
        <v>234</v>
      </c>
      <c r="AQ2387" s="0" t="n">
        <v>9</v>
      </c>
      <c r="AR2387" s="0" t="n">
        <v>64</v>
      </c>
      <c r="AS2387" s="0" t="n">
        <v>32</v>
      </c>
      <c r="AU2387" s="0" t="n">
        <f aca="false">COUNTA($BA$2274:$EH$2274)</f>
        <v>1</v>
      </c>
      <c r="AV2387" s="0" t="n">
        <f aca="false">COUNTIF($BA$2274:$EH$2274,"D")</f>
        <v>0</v>
      </c>
      <c r="AW2387" s="0" t="n">
        <f aca="false">COUNTIF($BA$2274:$EH$2274,"R")</f>
        <v>0</v>
      </c>
      <c r="AX2387" s="0" t="n">
        <f aca="false">IF(BN2387="D",1,0)+IF(BO2387="D",1,0)+IF(BT2387="D",1,0)+IF(BU2387="D",1,0)+IF(BW2387="D",1,0)+IF(CC2387="D",1,0)+IF(CD2387="D",1,0)+IF(CE2387="D",1,0)+IF(CF2387="D",1,0)+IF(CL2387="D",1,0)+IF(CM2387="D",1,0)+IF(CQ2387="D",1,0)+IF(CR2387="D",1,0)+IF(CS2387="D",1,0)+IF(CW2387="D",1,0)+IF(CX2387="D",1,0)+IF(DD2387="D",1,0)+IF(DE2387="D",1,0)+IF(DJ2387="D",1,0)+IF(DK2387="D",1,0)+IF(DO2387="D",1,0)+IF(DP2387="D",1,0)+IF(DQ2387="D",1,0)+IF(DW2387="D",1,0)+IF(DZ2387="D",1,0)+IF(EH2387="D",1,0)</f>
        <v>0</v>
      </c>
      <c r="AY2387" s="0" t="n">
        <f aca="false">COUNTIF(DU2387:EH2387, "&lt;&gt;")</f>
        <v>0</v>
      </c>
      <c r="AZ2387" s="0" t="n">
        <f aca="false">IF(EH2387&lt;&gt;"",1,0)</f>
        <v>0</v>
      </c>
      <c r="BB2387" s="0" t="s">
        <v>152</v>
      </c>
    </row>
    <row r="2388" customFormat="false" ht="13.8" hidden="false" customHeight="false" outlineLevel="0" collapsed="false">
      <c r="A2388" s="0" t="s">
        <v>10315</v>
      </c>
      <c r="B2388" s="0" t="n">
        <v>78</v>
      </c>
      <c r="C2388" s="0" t="n">
        <v>14788</v>
      </c>
      <c r="D2388" s="0" t="s">
        <v>10316</v>
      </c>
      <c r="E2388" s="0" t="s">
        <v>242</v>
      </c>
      <c r="F2388" s="0" t="str">
        <f aca="false">CONCATENATE(D2388," ",LEFT(H2388,4),"T=",AU2388,"D=",AV2388,"R=",AW2388,"M=",AX2388,"L=",AY2388,"B=",AZ2388)</f>
        <v>BLAKELY T=7D=0R=0M=7L=6B=1</v>
      </c>
      <c r="I2388" s="0" t="s">
        <v>10317</v>
      </c>
      <c r="J2388" s="0" t="s">
        <v>10318</v>
      </c>
      <c r="K2388" s="0" t="s">
        <v>160</v>
      </c>
      <c r="L2388" s="0" t="s">
        <v>175</v>
      </c>
      <c r="M2388" s="0" t="s">
        <v>10319</v>
      </c>
      <c r="N2388" s="0" t="str">
        <f aca="false">RIGHT(M2388,LEN(M2388)-FIND(" ",M2388))</f>
        <v>WOODBINE AVE SE</v>
      </c>
      <c r="P2388" s="0" t="s">
        <v>145</v>
      </c>
      <c r="Q2388" s="0" t="s">
        <v>146</v>
      </c>
      <c r="R2388" s="0" t="n">
        <v>44484</v>
      </c>
      <c r="AD2388" s="0" t="s">
        <v>147</v>
      </c>
      <c r="AE2388" s="0" t="s">
        <v>148</v>
      </c>
      <c r="AF2388" s="0" t="s">
        <v>149</v>
      </c>
      <c r="AH2388" s="0" t="n">
        <v>14</v>
      </c>
      <c r="AI2388" s="0" t="n">
        <v>11</v>
      </c>
      <c r="AN2388" s="0" t="s">
        <v>145</v>
      </c>
      <c r="AO2388" s="0" t="s">
        <v>233</v>
      </c>
      <c r="AP2388" s="0" t="s">
        <v>234</v>
      </c>
      <c r="AQ2388" s="0" t="n">
        <v>9</v>
      </c>
      <c r="AR2388" s="0" t="n">
        <v>64</v>
      </c>
      <c r="AS2388" s="0" t="n">
        <v>32</v>
      </c>
      <c r="AU2388" s="0" t="n">
        <f aca="false">COUNTA($BA$2164:$EH$2164)</f>
        <v>7</v>
      </c>
      <c r="AV2388" s="0" t="n">
        <f aca="false">COUNTIF($BA$2164:$EH$2164,"D")</f>
        <v>0</v>
      </c>
      <c r="AW2388" s="0" t="n">
        <f aca="false">COUNTIF($BA$2164:$EH$2164,"R")</f>
        <v>0</v>
      </c>
      <c r="AX2388" s="0" t="n">
        <f aca="false">IF(BN2388="D",1,0)+IF(BO2388="D",1,0)+IF(BT2388="D",1,0)+IF(BU2388="D",1,0)+IF(BW2388="D",1,0)+IF(CC2388="D",1,0)+IF(CD2388="D",1,0)+IF(CE2388="D",1,0)+IF(CF2388="D",1,0)+IF(CL2388="D",1,0)+IF(CM2388="D",1,0)+IF(CQ2388="D",1,0)+IF(CR2388="D",1,0)+IF(CS2388="D",1,0)+IF(CW2388="D",1,0)+IF(CX2388="D",1,0)+IF(DD2388="D",1,0)+IF(DE2388="D",1,0)+IF(DJ2388="D",1,0)+IF(DK2388="D",1,0)+IF(DO2388="D",1,0)+IF(DP2388="D",1,0)+IF(DQ2388="D",1,0)+IF(DW2388="D",1,0)+IF(DZ2388="D",1,0)+IF(EH2388="D",1,0)</f>
        <v>7</v>
      </c>
      <c r="AY2388" s="0" t="n">
        <f aca="false">COUNTIF(DU2388:EH2388, "&lt;&gt;")</f>
        <v>6</v>
      </c>
      <c r="AZ2388" s="0" t="n">
        <f aca="false">IF(EH2388&lt;&gt;"",1,0)</f>
        <v>1</v>
      </c>
      <c r="BB2388" s="0" t="s">
        <v>152</v>
      </c>
      <c r="BC2388" s="0" t="s">
        <v>153</v>
      </c>
      <c r="BD2388" s="0" t="s">
        <v>153</v>
      </c>
      <c r="BE2388" s="0" t="s">
        <v>153</v>
      </c>
      <c r="BF2388" s="0" t="s">
        <v>153</v>
      </c>
      <c r="BI2388" s="0" t="s">
        <v>153</v>
      </c>
      <c r="BJ2388" s="0" t="s">
        <v>153</v>
      </c>
      <c r="BK2388" s="0" t="s">
        <v>153</v>
      </c>
      <c r="BL2388" s="0" t="s">
        <v>153</v>
      </c>
      <c r="BP2388" s="0" t="s">
        <v>153</v>
      </c>
      <c r="BV2388" s="0" t="s">
        <v>153</v>
      </c>
      <c r="BY2388" s="0" t="s">
        <v>175</v>
      </c>
      <c r="CA2388" s="0" t="s">
        <v>153</v>
      </c>
      <c r="CG2388" s="0" t="s">
        <v>153</v>
      </c>
      <c r="CK2388" s="0" t="s">
        <v>153</v>
      </c>
      <c r="CL2388" s="0" t="s">
        <v>175</v>
      </c>
      <c r="CN2388" s="0" t="s">
        <v>153</v>
      </c>
      <c r="CO2388" s="0" t="s">
        <v>175</v>
      </c>
      <c r="CP2388" s="0" t="s">
        <v>153</v>
      </c>
      <c r="CQ2388" s="0" t="s">
        <v>175</v>
      </c>
      <c r="CT2388" s="0" t="s">
        <v>153</v>
      </c>
      <c r="CV2388" s="0" t="s">
        <v>153</v>
      </c>
      <c r="CW2388" s="0" t="s">
        <v>175</v>
      </c>
      <c r="CY2388" s="0" t="s">
        <v>153</v>
      </c>
      <c r="CZ2388" s="0" t="s">
        <v>175</v>
      </c>
      <c r="DC2388" s="0" t="s">
        <v>153</v>
      </c>
      <c r="DD2388" s="0" t="s">
        <v>175</v>
      </c>
      <c r="DF2388" s="0" t="s">
        <v>153</v>
      </c>
      <c r="DG2388" s="0" t="s">
        <v>175</v>
      </c>
      <c r="DI2388" s="0" t="s">
        <v>153</v>
      </c>
      <c r="DJ2388" s="0" t="s">
        <v>175</v>
      </c>
      <c r="DL2388" s="0" t="s">
        <v>153</v>
      </c>
      <c r="DM2388" s="0" t="s">
        <v>175</v>
      </c>
      <c r="DN2388" s="0" t="s">
        <v>153</v>
      </c>
      <c r="DR2388" s="0" t="s">
        <v>153</v>
      </c>
      <c r="DS2388" s="0" t="s">
        <v>175</v>
      </c>
      <c r="DU2388" s="0" t="s">
        <v>153</v>
      </c>
      <c r="DW2388" s="0" t="s">
        <v>175</v>
      </c>
      <c r="DX2388" s="0" t="s">
        <v>153</v>
      </c>
      <c r="EA2388" s="0" t="s">
        <v>153</v>
      </c>
      <c r="EF2388" s="0" t="s">
        <v>153</v>
      </c>
      <c r="EH2388" s="0" t="s">
        <v>175</v>
      </c>
    </row>
    <row r="2389" customFormat="false" ht="13.8" hidden="true" customHeight="false" outlineLevel="0" collapsed="false">
      <c r="A2389" s="0" t="s">
        <v>10320</v>
      </c>
      <c r="B2389" s="0" t="n">
        <v>78</v>
      </c>
      <c r="C2389" s="0" t="n">
        <v>395297</v>
      </c>
      <c r="D2389" s="0" t="s">
        <v>648</v>
      </c>
      <c r="E2389" s="0" t="s">
        <v>10321</v>
      </c>
      <c r="F2389" s="0" t="str">
        <f aca="false">CONCATENATE(D2389," ",LEFT(H2389,4),"T=",AU2389,"D=",AV2389,"R=",AW2389,"M=",AX2389,"L=",AY2389,"B=",AZ2389)</f>
        <v>JORDAN T=1D=0R=0M=0L=0B=0</v>
      </c>
      <c r="G2389" s="0" t="s">
        <v>10322</v>
      </c>
      <c r="I2389" s="0" t="s">
        <v>4600</v>
      </c>
      <c r="J2389" s="0" t="s">
        <v>10323</v>
      </c>
      <c r="K2389" s="0" t="s">
        <v>143</v>
      </c>
      <c r="M2389" s="0" t="s">
        <v>10324</v>
      </c>
      <c r="N2389" s="0" t="str">
        <f aca="false">RIGHT(M2389,LEN(M2389)-FIND(" ",M2389))</f>
        <v>WOODBINE AVE SE</v>
      </c>
      <c r="P2389" s="0" t="s">
        <v>145</v>
      </c>
      <c r="Q2389" s="0" t="s">
        <v>146</v>
      </c>
      <c r="R2389" s="0" t="n">
        <v>44484</v>
      </c>
      <c r="AD2389" s="0" t="s">
        <v>147</v>
      </c>
      <c r="AE2389" s="0" t="s">
        <v>148</v>
      </c>
      <c r="AF2389" s="0" t="s">
        <v>149</v>
      </c>
      <c r="AH2389" s="0" t="n">
        <v>14</v>
      </c>
      <c r="AI2389" s="0" t="n">
        <v>11</v>
      </c>
      <c r="AN2389" s="0" t="s">
        <v>145</v>
      </c>
      <c r="AO2389" s="0" t="s">
        <v>233</v>
      </c>
      <c r="AP2389" s="0" t="s">
        <v>234</v>
      </c>
      <c r="AQ2389" s="0" t="n">
        <v>9</v>
      </c>
      <c r="AR2389" s="0" t="n">
        <v>64</v>
      </c>
      <c r="AS2389" s="0" t="n">
        <v>32</v>
      </c>
      <c r="AU2389" s="0" t="n">
        <f aca="false">COUNTA($BA$2590:$EH$2590)</f>
        <v>1</v>
      </c>
      <c r="AV2389" s="0" t="n">
        <f aca="false">COUNTIF($BA$2590:$EH$2590,"D")</f>
        <v>0</v>
      </c>
      <c r="AW2389" s="0" t="n">
        <f aca="false">COUNTIF($BA$2590:$EH$2590,"R")</f>
        <v>0</v>
      </c>
      <c r="AX2389" s="0" t="n">
        <f aca="false">IF(BN2389="D",1,0)+IF(BO2389="D",1,0)+IF(BT2389="D",1,0)+IF(BU2389="D",1,0)+IF(BW2389="D",1,0)+IF(CC2389="D",1,0)+IF(CD2389="D",1,0)+IF(CE2389="D",1,0)+IF(CF2389="D",1,0)+IF(CL2389="D",1,0)+IF(CM2389="D",1,0)+IF(CQ2389="D",1,0)+IF(CR2389="D",1,0)+IF(CS2389="D",1,0)+IF(CW2389="D",1,0)+IF(CX2389="D",1,0)+IF(DD2389="D",1,0)+IF(DE2389="D",1,0)+IF(DJ2389="D",1,0)+IF(DK2389="D",1,0)+IF(DO2389="D",1,0)+IF(DP2389="D",1,0)+IF(DQ2389="D",1,0)+IF(DW2389="D",1,0)+IF(DZ2389="D",1,0)+IF(EH2389="D",1,0)</f>
        <v>0</v>
      </c>
      <c r="AY2389" s="0" t="n">
        <f aca="false">COUNTIF(DU2389:EH2389, "&lt;&gt;")</f>
        <v>0</v>
      </c>
      <c r="AZ2389" s="0" t="n">
        <f aca="false">IF(EH2389&lt;&gt;"",1,0)</f>
        <v>0</v>
      </c>
      <c r="BB2389" s="0" t="s">
        <v>152</v>
      </c>
    </row>
    <row r="2390" customFormat="false" ht="13.8" hidden="true" customHeight="false" outlineLevel="0" collapsed="false">
      <c r="A2390" s="0" t="s">
        <v>10325</v>
      </c>
      <c r="B2390" s="0" t="n">
        <v>78</v>
      </c>
      <c r="C2390" s="0" t="n">
        <v>486929</v>
      </c>
      <c r="D2390" s="0" t="s">
        <v>10326</v>
      </c>
      <c r="E2390" s="0" t="s">
        <v>248</v>
      </c>
      <c r="F2390" s="0" t="str">
        <f aca="false">CONCATENATE(D2390," ",LEFT(H2390,4),"T=",AU2390,"D=",AV2390,"R=",AW2390,"M=",AX2390,"L=",AY2390,"B=",AZ2390)</f>
        <v>CANZONETTA T=1D=0R=0M=0L=0B=0</v>
      </c>
      <c r="G2390" s="0" t="s">
        <v>164</v>
      </c>
      <c r="I2390" s="0" t="s">
        <v>10327</v>
      </c>
      <c r="J2390" s="0" t="s">
        <v>782</v>
      </c>
      <c r="K2390" s="0" t="s">
        <v>160</v>
      </c>
      <c r="M2390" s="0" t="s">
        <v>10328</v>
      </c>
      <c r="N2390" s="0" t="str">
        <f aca="false">RIGHT(M2390,LEN(M2390)-FIND(" ",M2390))</f>
        <v>WOODBINE AVE SE</v>
      </c>
      <c r="P2390" s="0" t="s">
        <v>145</v>
      </c>
      <c r="Q2390" s="0" t="s">
        <v>146</v>
      </c>
      <c r="R2390" s="0" t="n">
        <v>44484</v>
      </c>
      <c r="AD2390" s="0" t="s">
        <v>147</v>
      </c>
      <c r="AE2390" s="0" t="s">
        <v>148</v>
      </c>
      <c r="AF2390" s="0" t="s">
        <v>149</v>
      </c>
      <c r="AH2390" s="0" t="n">
        <v>14</v>
      </c>
      <c r="AI2390" s="0" t="n">
        <v>11</v>
      </c>
      <c r="AN2390" s="0" t="s">
        <v>145</v>
      </c>
      <c r="AO2390" s="0" t="s">
        <v>233</v>
      </c>
      <c r="AP2390" s="0" t="s">
        <v>234</v>
      </c>
      <c r="AQ2390" s="0" t="n">
        <v>9</v>
      </c>
      <c r="AR2390" s="0" t="n">
        <v>64</v>
      </c>
      <c r="AS2390" s="0" t="n">
        <v>32</v>
      </c>
      <c r="AU2390" s="0" t="n">
        <f aca="false">COUNTA($BA$2258:$EH$2258)</f>
        <v>1</v>
      </c>
      <c r="AV2390" s="0" t="n">
        <f aca="false">COUNTIF($BA$2258:$EH$2258,"D")</f>
        <v>0</v>
      </c>
      <c r="AW2390" s="0" t="n">
        <f aca="false">COUNTIF($BA$2258:$EH$2258,"R")</f>
        <v>0</v>
      </c>
      <c r="AX2390" s="0" t="n">
        <f aca="false">IF(BN2390="D",1,0)+IF(BO2390="D",1,0)+IF(BT2390="D",1,0)+IF(BU2390="D",1,0)+IF(BW2390="D",1,0)+IF(CC2390="D",1,0)+IF(CD2390="D",1,0)+IF(CE2390="D",1,0)+IF(CF2390="D",1,0)+IF(CL2390="D",1,0)+IF(CM2390="D",1,0)+IF(CQ2390="D",1,0)+IF(CR2390="D",1,0)+IF(CS2390="D",1,0)+IF(CW2390="D",1,0)+IF(CX2390="D",1,0)+IF(DD2390="D",1,0)+IF(DE2390="D",1,0)+IF(DJ2390="D",1,0)+IF(DK2390="D",1,0)+IF(DO2390="D",1,0)+IF(DP2390="D",1,0)+IF(DQ2390="D",1,0)+IF(DW2390="D",1,0)+IF(DZ2390="D",1,0)+IF(EH2390="D",1,0)</f>
        <v>0</v>
      </c>
      <c r="AY2390" s="0" t="n">
        <f aca="false">COUNTIF(DU2390:EH2390, "&lt;&gt;")</f>
        <v>0</v>
      </c>
      <c r="AZ2390" s="0" t="n">
        <f aca="false">IF(EH2390&lt;&gt;"",1,0)</f>
        <v>0</v>
      </c>
      <c r="BB2390" s="0" t="s">
        <v>152</v>
      </c>
    </row>
    <row r="2391" customFormat="false" ht="13.8" hidden="true" customHeight="false" outlineLevel="0" collapsed="false">
      <c r="A2391" s="0" t="s">
        <v>10329</v>
      </c>
      <c r="B2391" s="0" t="n">
        <v>78</v>
      </c>
      <c r="C2391" s="0" t="n">
        <v>197104</v>
      </c>
      <c r="D2391" s="0" t="s">
        <v>10326</v>
      </c>
      <c r="E2391" s="0" t="s">
        <v>275</v>
      </c>
      <c r="F2391" s="0" t="str">
        <f aca="false">CONCATENATE(D2391," ",LEFT(H2391,4),"T=",AU2391,"D=",AV2391,"R=",AW2391,"M=",AX2391,"L=",AY2391,"B=",AZ2391)</f>
        <v>CANZONETTA JRT=10D=0R=0M=0L=1B=0</v>
      </c>
      <c r="G2391" s="0" t="s">
        <v>325</v>
      </c>
      <c r="H2391" s="0" t="s">
        <v>314</v>
      </c>
      <c r="I2391" s="0" t="s">
        <v>10330</v>
      </c>
      <c r="J2391" s="0" t="s">
        <v>10331</v>
      </c>
      <c r="K2391" s="0" t="s">
        <v>160</v>
      </c>
      <c r="M2391" s="0" t="s">
        <v>10328</v>
      </c>
      <c r="N2391" s="0" t="str">
        <f aca="false">RIGHT(M2391,LEN(M2391)-FIND(" ",M2391))</f>
        <v>WOODBINE AVE SE</v>
      </c>
      <c r="P2391" s="0" t="s">
        <v>145</v>
      </c>
      <c r="Q2391" s="0" t="s">
        <v>146</v>
      </c>
      <c r="R2391" s="0" t="n">
        <v>44484</v>
      </c>
      <c r="AD2391" s="0" t="s">
        <v>147</v>
      </c>
      <c r="AE2391" s="0" t="s">
        <v>148</v>
      </c>
      <c r="AF2391" s="0" t="s">
        <v>149</v>
      </c>
      <c r="AH2391" s="0" t="n">
        <v>14</v>
      </c>
      <c r="AI2391" s="0" t="n">
        <v>11</v>
      </c>
      <c r="AN2391" s="0" t="s">
        <v>145</v>
      </c>
      <c r="AO2391" s="0" t="s">
        <v>233</v>
      </c>
      <c r="AP2391" s="0" t="s">
        <v>234</v>
      </c>
      <c r="AQ2391" s="0" t="n">
        <v>9</v>
      </c>
      <c r="AR2391" s="0" t="n">
        <v>64</v>
      </c>
      <c r="AS2391" s="0" t="n">
        <v>32</v>
      </c>
      <c r="AU2391" s="0" t="n">
        <f aca="false">COUNTA($BA$2259:$EH$2259)</f>
        <v>10</v>
      </c>
      <c r="AV2391" s="0" t="n">
        <f aca="false">COUNTIF($BA$2259:$EH$2259,"D")</f>
        <v>0</v>
      </c>
      <c r="AW2391" s="0" t="n">
        <f aca="false">COUNTIF($BA$2259:$EH$2259,"R")</f>
        <v>0</v>
      </c>
      <c r="AX2391" s="0" t="n">
        <f aca="false">IF(BN2391="D",1,0)+IF(BO2391="D",1,0)+IF(BT2391="D",1,0)+IF(BU2391="D",1,0)+IF(BW2391="D",1,0)+IF(CC2391="D",1,0)+IF(CD2391="D",1,0)+IF(CE2391="D",1,0)+IF(CF2391="D",1,0)+IF(CL2391="D",1,0)+IF(CM2391="D",1,0)+IF(CQ2391="D",1,0)+IF(CR2391="D",1,0)+IF(CS2391="D",1,0)+IF(CW2391="D",1,0)+IF(CX2391="D",1,0)+IF(DD2391="D",1,0)+IF(DE2391="D",1,0)+IF(DJ2391="D",1,0)+IF(DK2391="D",1,0)+IF(DO2391="D",1,0)+IF(DP2391="D",1,0)+IF(DQ2391="D",1,0)+IF(DW2391="D",1,0)+IF(DZ2391="D",1,0)+IF(EH2391="D",1,0)</f>
        <v>0</v>
      </c>
      <c r="AY2391" s="0" t="n">
        <f aca="false">COUNTIF(DU2391:EH2391, "&lt;&gt;")</f>
        <v>1</v>
      </c>
      <c r="AZ2391" s="0" t="n">
        <f aca="false">IF(EH2391&lt;&gt;"",1,0)</f>
        <v>0</v>
      </c>
      <c r="BB2391" s="0" t="s">
        <v>152</v>
      </c>
      <c r="CK2391" s="0" t="s">
        <v>153</v>
      </c>
      <c r="CN2391" s="0" t="s">
        <v>153</v>
      </c>
      <c r="DC2391" s="0" t="s">
        <v>153</v>
      </c>
      <c r="DN2391" s="0" t="s">
        <v>153</v>
      </c>
      <c r="EF2391" s="0" t="s">
        <v>153</v>
      </c>
    </row>
    <row r="2392" customFormat="false" ht="13.8" hidden="true" customHeight="false" outlineLevel="0" collapsed="false">
      <c r="A2392" s="0" t="s">
        <v>10332</v>
      </c>
      <c r="B2392" s="0" t="n">
        <v>78</v>
      </c>
      <c r="C2392" s="0" t="n">
        <v>494072</v>
      </c>
      <c r="D2392" s="0" t="s">
        <v>10333</v>
      </c>
      <c r="E2392" s="0" t="s">
        <v>3404</v>
      </c>
      <c r="F2392" s="0" t="str">
        <f aca="false">CONCATENATE(D2392," ",LEFT(H2392,4),"T=",AU2392,"D=",AV2392,"R=",AW2392,"M=",AX2392,"L=",AY2392,"B=",AZ2392)</f>
        <v>KUTI T=32D=8R=0M=0L=0B=0</v>
      </c>
      <c r="G2392" s="0" t="s">
        <v>606</v>
      </c>
      <c r="I2392" s="0" t="s">
        <v>10334</v>
      </c>
      <c r="J2392" s="0" t="s">
        <v>2355</v>
      </c>
      <c r="K2392" s="0" t="s">
        <v>160</v>
      </c>
      <c r="M2392" s="0" t="s">
        <v>10335</v>
      </c>
      <c r="N2392" s="0" t="str">
        <f aca="false">RIGHT(M2392,LEN(M2392)-FIND(" ",M2392))</f>
        <v>WOODBINE AVE SE</v>
      </c>
      <c r="P2392" s="0" t="s">
        <v>145</v>
      </c>
      <c r="Q2392" s="0" t="s">
        <v>146</v>
      </c>
      <c r="R2392" s="0" t="n">
        <v>44484</v>
      </c>
      <c r="AD2392" s="0" t="s">
        <v>147</v>
      </c>
      <c r="AE2392" s="0" t="s">
        <v>148</v>
      </c>
      <c r="AF2392" s="0" t="s">
        <v>149</v>
      </c>
      <c r="AH2392" s="0" t="n">
        <v>14</v>
      </c>
      <c r="AI2392" s="0" t="n">
        <v>11</v>
      </c>
      <c r="AN2392" s="0" t="s">
        <v>145</v>
      </c>
      <c r="AO2392" s="0" t="s">
        <v>233</v>
      </c>
      <c r="AP2392" s="0" t="s">
        <v>234</v>
      </c>
      <c r="AQ2392" s="0" t="n">
        <v>9</v>
      </c>
      <c r="AR2392" s="0" t="n">
        <v>64</v>
      </c>
      <c r="AS2392" s="0" t="n">
        <v>32</v>
      </c>
      <c r="AU2392" s="0" t="n">
        <f aca="false">COUNTA($BA$2398:$EH$2398)</f>
        <v>32</v>
      </c>
      <c r="AV2392" s="0" t="n">
        <f aca="false">COUNTIF($BA$2398:$EH$2398,"D")</f>
        <v>8</v>
      </c>
      <c r="AW2392" s="0" t="n">
        <f aca="false">COUNTIF($BA$2398:$EH$2398,"R")</f>
        <v>0</v>
      </c>
      <c r="AX2392" s="0" t="n">
        <f aca="false">IF(BN2392="D",1,0)+IF(BO2392="D",1,0)+IF(BT2392="D",1,0)+IF(BU2392="D",1,0)+IF(BW2392="D",1,0)+IF(CC2392="D",1,0)+IF(CD2392="D",1,0)+IF(CE2392="D",1,0)+IF(CF2392="D",1,0)+IF(CL2392="D",1,0)+IF(CM2392="D",1,0)+IF(CQ2392="D",1,0)+IF(CR2392="D",1,0)+IF(CS2392="D",1,0)+IF(CW2392="D",1,0)+IF(CX2392="D",1,0)+IF(DD2392="D",1,0)+IF(DE2392="D",1,0)+IF(DJ2392="D",1,0)+IF(DK2392="D",1,0)+IF(DO2392="D",1,0)+IF(DP2392="D",1,0)+IF(DQ2392="D",1,0)+IF(DW2392="D",1,0)+IF(DZ2392="D",1,0)+IF(EH2392="D",1,0)</f>
        <v>0</v>
      </c>
      <c r="AY2392" s="0" t="n">
        <f aca="false">COUNTIF(DU2392:EH2392, "&lt;&gt;")</f>
        <v>0</v>
      </c>
      <c r="AZ2392" s="0" t="n">
        <f aca="false">IF(EH2392&lt;&gt;"",1,0)</f>
        <v>0</v>
      </c>
      <c r="BB2392" s="0" t="s">
        <v>152</v>
      </c>
    </row>
    <row r="2393" customFormat="false" ht="13.8" hidden="true" customHeight="false" outlineLevel="0" collapsed="false">
      <c r="A2393" s="0" t="s">
        <v>10336</v>
      </c>
      <c r="B2393" s="0" t="n">
        <v>78</v>
      </c>
      <c r="C2393" s="0" t="n">
        <v>431943</v>
      </c>
      <c r="D2393" s="0" t="s">
        <v>10337</v>
      </c>
      <c r="E2393" s="0" t="s">
        <v>10338</v>
      </c>
      <c r="F2393" s="0" t="str">
        <f aca="false">CONCATENATE(D2393," ",LEFT(H2393,4),"T=",AU2393,"D=",AV2393,"R=",AW2393,"M=",AX2393,"L=",AY2393,"B=",AZ2393)</f>
        <v>NEVOTNY T=5D=1R=0M=0L=0B=0</v>
      </c>
      <c r="I2393" s="0" t="s">
        <v>10339</v>
      </c>
      <c r="J2393" s="0" t="s">
        <v>2742</v>
      </c>
      <c r="K2393" s="0" t="s">
        <v>143</v>
      </c>
      <c r="M2393" s="0" t="s">
        <v>10340</v>
      </c>
      <c r="N2393" s="0" t="str">
        <f aca="false">RIGHT(M2393,LEN(M2393)-FIND(" ",M2393))</f>
        <v>WOODBINE AVE SE</v>
      </c>
      <c r="P2393" s="0" t="s">
        <v>145</v>
      </c>
      <c r="Q2393" s="0" t="s">
        <v>146</v>
      </c>
      <c r="R2393" s="0" t="n">
        <v>44484</v>
      </c>
      <c r="AD2393" s="0" t="s">
        <v>147</v>
      </c>
      <c r="AE2393" s="0" t="s">
        <v>148</v>
      </c>
      <c r="AF2393" s="0" t="s">
        <v>149</v>
      </c>
      <c r="AH2393" s="0" t="n">
        <v>14</v>
      </c>
      <c r="AI2393" s="0" t="n">
        <v>11</v>
      </c>
      <c r="AN2393" s="0" t="s">
        <v>145</v>
      </c>
      <c r="AO2393" s="0" t="s">
        <v>233</v>
      </c>
      <c r="AP2393" s="0" t="s">
        <v>234</v>
      </c>
      <c r="AQ2393" s="0" t="n">
        <v>9</v>
      </c>
      <c r="AR2393" s="0" t="n">
        <v>64</v>
      </c>
      <c r="AS2393" s="0" t="n">
        <v>32</v>
      </c>
      <c r="AU2393" s="0" t="n">
        <f aca="false">COUNTA($BA$2140:$EH$2140)</f>
        <v>5</v>
      </c>
      <c r="AV2393" s="0" t="n">
        <f aca="false">COUNTIF($BA$2140:$EH$2140,"D")</f>
        <v>1</v>
      </c>
      <c r="AW2393" s="0" t="n">
        <f aca="false">COUNTIF($BA$2140:$EH$2140,"R")</f>
        <v>0</v>
      </c>
      <c r="AX2393" s="0" t="n">
        <f aca="false">IF(BN2393="D",1,0)+IF(BO2393="D",1,0)+IF(BT2393="D",1,0)+IF(BU2393="D",1,0)+IF(BW2393="D",1,0)+IF(CC2393="D",1,0)+IF(CD2393="D",1,0)+IF(CE2393="D",1,0)+IF(CF2393="D",1,0)+IF(CL2393="D",1,0)+IF(CM2393="D",1,0)+IF(CQ2393="D",1,0)+IF(CR2393="D",1,0)+IF(CS2393="D",1,0)+IF(CW2393="D",1,0)+IF(CX2393="D",1,0)+IF(DD2393="D",1,0)+IF(DE2393="D",1,0)+IF(DJ2393="D",1,0)+IF(DK2393="D",1,0)+IF(DO2393="D",1,0)+IF(DP2393="D",1,0)+IF(DQ2393="D",1,0)+IF(DW2393="D",1,0)+IF(DZ2393="D",1,0)+IF(EH2393="D",1,0)</f>
        <v>0</v>
      </c>
      <c r="AY2393" s="0" t="n">
        <f aca="false">COUNTIF(DU2393:EH2393, "&lt;&gt;")</f>
        <v>0</v>
      </c>
      <c r="AZ2393" s="0" t="n">
        <f aca="false">IF(EH2393&lt;&gt;"",1,0)</f>
        <v>0</v>
      </c>
      <c r="BB2393" s="0" t="s">
        <v>152</v>
      </c>
    </row>
    <row r="2394" customFormat="false" ht="13.8" hidden="false" customHeight="false" outlineLevel="0" collapsed="false">
      <c r="A2394" s="0" t="s">
        <v>10341</v>
      </c>
      <c r="B2394" s="0" t="n">
        <v>78</v>
      </c>
      <c r="C2394" s="0" t="n">
        <v>366573</v>
      </c>
      <c r="D2394" s="0" t="s">
        <v>515</v>
      </c>
      <c r="E2394" s="0" t="s">
        <v>719</v>
      </c>
      <c r="F2394" s="0" t="str">
        <f aca="false">CONCATENATE(D2394," ",LEFT(H2394,4),"T=",AU2394,"D=",AV2394,"R=",AW2394,"M=",AX2394,"L=",AY2394,"B=",AZ2394)</f>
        <v>NOVOTNY T=7D=1R=0M=0L=5B=0</v>
      </c>
      <c r="G2394" s="0" t="s">
        <v>209</v>
      </c>
      <c r="I2394" s="0" t="s">
        <v>10342</v>
      </c>
      <c r="J2394" s="0" t="s">
        <v>10343</v>
      </c>
      <c r="K2394" s="0" t="s">
        <v>160</v>
      </c>
      <c r="L2394" s="0" t="s">
        <v>209</v>
      </c>
      <c r="M2394" s="0" t="s">
        <v>10340</v>
      </c>
      <c r="N2394" s="0" t="str">
        <f aca="false">RIGHT(M2394,LEN(M2394)-FIND(" ",M2394))</f>
        <v>WOODBINE AVE SE</v>
      </c>
      <c r="P2394" s="0" t="s">
        <v>145</v>
      </c>
      <c r="Q2394" s="0" t="s">
        <v>146</v>
      </c>
      <c r="R2394" s="0" t="n">
        <v>44484</v>
      </c>
      <c r="AD2394" s="0" t="s">
        <v>147</v>
      </c>
      <c r="AE2394" s="0" t="s">
        <v>148</v>
      </c>
      <c r="AF2394" s="0" t="s">
        <v>149</v>
      </c>
      <c r="AH2394" s="0" t="n">
        <v>14</v>
      </c>
      <c r="AI2394" s="0" t="n">
        <v>11</v>
      </c>
      <c r="AN2394" s="0" t="s">
        <v>145</v>
      </c>
      <c r="AO2394" s="0" t="s">
        <v>233</v>
      </c>
      <c r="AP2394" s="0" t="s">
        <v>234</v>
      </c>
      <c r="AQ2394" s="0" t="n">
        <v>9</v>
      </c>
      <c r="AR2394" s="0" t="n">
        <v>64</v>
      </c>
      <c r="AS2394" s="0" t="n">
        <v>32</v>
      </c>
      <c r="AU2394" s="0" t="n">
        <f aca="false">COUNTA($BA$2238:$EH$2238)</f>
        <v>7</v>
      </c>
      <c r="AV2394" s="0" t="n">
        <f aca="false">COUNTIF($BA$2238:$EH$2238,"D")</f>
        <v>1</v>
      </c>
      <c r="AW2394" s="0" t="n">
        <f aca="false">COUNTIF($BA$2238:$EH$2238,"R")</f>
        <v>0</v>
      </c>
      <c r="AX2394" s="0" t="n">
        <f aca="false">IF(BN2394="D",1,0)+IF(BO2394="D",1,0)+IF(BT2394="D",1,0)+IF(BU2394="D",1,0)+IF(BW2394="D",1,0)+IF(CC2394="D",1,0)+IF(CD2394="D",1,0)+IF(CE2394="D",1,0)+IF(CF2394="D",1,0)+IF(CL2394="D",1,0)+IF(CM2394="D",1,0)+IF(CQ2394="D",1,0)+IF(CR2394="D",1,0)+IF(CS2394="D",1,0)+IF(CW2394="D",1,0)+IF(CX2394="D",1,0)+IF(DD2394="D",1,0)+IF(DE2394="D",1,0)+IF(DJ2394="D",1,0)+IF(DK2394="D",1,0)+IF(DO2394="D",1,0)+IF(DP2394="D",1,0)+IF(DQ2394="D",1,0)+IF(DW2394="D",1,0)+IF(DZ2394="D",1,0)+IF(EH2394="D",1,0)</f>
        <v>0</v>
      </c>
      <c r="AY2394" s="0" t="n">
        <f aca="false">COUNTIF(DU2394:EH2394, "&lt;&gt;")</f>
        <v>5</v>
      </c>
      <c r="AZ2394" s="0" t="n">
        <f aca="false">IF(EH2394&lt;&gt;"",1,0)</f>
        <v>0</v>
      </c>
      <c r="BB2394" s="0" t="s">
        <v>152</v>
      </c>
      <c r="CN2394" s="0" t="s">
        <v>153</v>
      </c>
      <c r="CP2394" s="0" t="s">
        <v>153</v>
      </c>
      <c r="CY2394" s="0" t="s">
        <v>153</v>
      </c>
      <c r="DC2394" s="0" t="s">
        <v>153</v>
      </c>
      <c r="DI2394" s="0" t="s">
        <v>153</v>
      </c>
      <c r="DM2394" s="0" t="s">
        <v>209</v>
      </c>
      <c r="DN2394" s="0" t="s">
        <v>153</v>
      </c>
      <c r="DS2394" s="0" t="s">
        <v>209</v>
      </c>
      <c r="DT2394" s="0" t="s">
        <v>209</v>
      </c>
      <c r="DU2394" s="0" t="s">
        <v>153</v>
      </c>
      <c r="DX2394" s="0" t="s">
        <v>153</v>
      </c>
      <c r="EA2394" s="0" t="s">
        <v>153</v>
      </c>
      <c r="ED2394" s="0" t="s">
        <v>209</v>
      </c>
      <c r="EF2394" s="0" t="s">
        <v>153</v>
      </c>
    </row>
    <row r="2395" customFormat="false" ht="13.8" hidden="false" customHeight="false" outlineLevel="0" collapsed="false">
      <c r="A2395" s="0" t="s">
        <v>10344</v>
      </c>
      <c r="B2395" s="0" t="n">
        <v>78</v>
      </c>
      <c r="C2395" s="0" t="n">
        <v>398726</v>
      </c>
      <c r="D2395" s="0" t="s">
        <v>515</v>
      </c>
      <c r="E2395" s="0" t="s">
        <v>4999</v>
      </c>
      <c r="F2395" s="0" t="str">
        <f aca="false">CONCATENATE(D2395," ",LEFT(H2395,4),"T=",AU2395,"D=",AV2395,"R=",AW2395,"M=",AX2395,"L=",AY2395,"B=",AZ2395)</f>
        <v>NOVOTNY T=21D=4R=0M=0L=5B=0</v>
      </c>
      <c r="G2395" s="0" t="s">
        <v>839</v>
      </c>
      <c r="I2395" s="0" t="s">
        <v>10345</v>
      </c>
      <c r="J2395" s="0" t="s">
        <v>8609</v>
      </c>
      <c r="K2395" s="0" t="s">
        <v>160</v>
      </c>
      <c r="L2395" s="0" t="s">
        <v>209</v>
      </c>
      <c r="M2395" s="0" t="s">
        <v>10340</v>
      </c>
      <c r="N2395" s="0" t="str">
        <f aca="false">RIGHT(M2395,LEN(M2395)-FIND(" ",M2395))</f>
        <v>WOODBINE AVE SE</v>
      </c>
      <c r="P2395" s="0" t="s">
        <v>145</v>
      </c>
      <c r="Q2395" s="0" t="s">
        <v>146</v>
      </c>
      <c r="R2395" s="0" t="n">
        <v>44484</v>
      </c>
      <c r="AD2395" s="0" t="s">
        <v>147</v>
      </c>
      <c r="AE2395" s="0" t="s">
        <v>148</v>
      </c>
      <c r="AF2395" s="0" t="s">
        <v>149</v>
      </c>
      <c r="AH2395" s="0" t="n">
        <v>14</v>
      </c>
      <c r="AI2395" s="0" t="n">
        <v>11</v>
      </c>
      <c r="AN2395" s="0" t="s">
        <v>145</v>
      </c>
      <c r="AO2395" s="0" t="s">
        <v>233</v>
      </c>
      <c r="AP2395" s="0" t="s">
        <v>234</v>
      </c>
      <c r="AQ2395" s="0" t="n">
        <v>9</v>
      </c>
      <c r="AR2395" s="0" t="n">
        <v>64</v>
      </c>
      <c r="AS2395" s="0" t="n">
        <v>32</v>
      </c>
      <c r="AU2395" s="0" t="n">
        <f aca="false">COUNTA($BA$2364:$EH$2364)</f>
        <v>21</v>
      </c>
      <c r="AV2395" s="0" t="n">
        <f aca="false">COUNTIF($BA$2364:$EH$2364,"D")</f>
        <v>4</v>
      </c>
      <c r="AW2395" s="0" t="n">
        <f aca="false">COUNTIF($BA$2364:$EH$2364,"R")</f>
        <v>0</v>
      </c>
      <c r="AX2395" s="0" t="n">
        <f aca="false">IF(BN2395="D",1,0)+IF(BO2395="D",1,0)+IF(BT2395="D",1,0)+IF(BU2395="D",1,0)+IF(BW2395="D",1,0)+IF(CC2395="D",1,0)+IF(CD2395="D",1,0)+IF(CE2395="D",1,0)+IF(CF2395="D",1,0)+IF(CL2395="D",1,0)+IF(CM2395="D",1,0)+IF(CQ2395="D",1,0)+IF(CR2395="D",1,0)+IF(CS2395="D",1,0)+IF(CW2395="D",1,0)+IF(CX2395="D",1,0)+IF(DD2395="D",1,0)+IF(DE2395="D",1,0)+IF(DJ2395="D",1,0)+IF(DK2395="D",1,0)+IF(DO2395="D",1,0)+IF(DP2395="D",1,0)+IF(DQ2395="D",1,0)+IF(DW2395="D",1,0)+IF(DZ2395="D",1,0)+IF(EH2395="D",1,0)</f>
        <v>0</v>
      </c>
      <c r="AY2395" s="0" t="n">
        <f aca="false">COUNTIF(DU2395:EH2395, "&lt;&gt;")</f>
        <v>5</v>
      </c>
      <c r="AZ2395" s="0" t="n">
        <f aca="false">IF(EH2395&lt;&gt;"",1,0)</f>
        <v>0</v>
      </c>
      <c r="BB2395" s="0" t="s">
        <v>152</v>
      </c>
      <c r="DM2395" s="0" t="s">
        <v>209</v>
      </c>
      <c r="DN2395" s="0" t="s">
        <v>153</v>
      </c>
      <c r="DS2395" s="0" t="s">
        <v>209</v>
      </c>
      <c r="DU2395" s="0" t="s">
        <v>153</v>
      </c>
      <c r="DX2395" s="0" t="s">
        <v>153</v>
      </c>
      <c r="EA2395" s="0" t="s">
        <v>153</v>
      </c>
      <c r="ED2395" s="0" t="s">
        <v>209</v>
      </c>
      <c r="EF2395" s="0" t="s">
        <v>153</v>
      </c>
    </row>
    <row r="2396" customFormat="false" ht="13.8" hidden="false" customHeight="false" outlineLevel="0" collapsed="false">
      <c r="A2396" s="0" t="s">
        <v>10346</v>
      </c>
      <c r="B2396" s="0" t="n">
        <v>78</v>
      </c>
      <c r="C2396" s="0" t="n">
        <v>418888</v>
      </c>
      <c r="D2396" s="0" t="s">
        <v>10347</v>
      </c>
      <c r="E2396" s="0" t="s">
        <v>2172</v>
      </c>
      <c r="F2396" s="0" t="str">
        <f aca="false">CONCATENATE(D2396," ",LEFT(H2396,4),"T=",AU2396,"D=",AV2396,"R=",AW2396,"M=",AX2396,"L=",AY2396,"B=",AZ2396)</f>
        <v>TSILIMOS T=2D=0R=0M=0L=2B=0</v>
      </c>
      <c r="G2396" s="0" t="s">
        <v>325</v>
      </c>
      <c r="I2396" s="0" t="s">
        <v>10348</v>
      </c>
      <c r="J2396" s="0" t="s">
        <v>10349</v>
      </c>
      <c r="K2396" s="0" t="s">
        <v>160</v>
      </c>
      <c r="M2396" s="0" t="s">
        <v>10350</v>
      </c>
      <c r="N2396" s="0" t="str">
        <f aca="false">RIGHT(M2396,LEN(M2396)-FIND(" ",M2396))</f>
        <v>WOODBINE AVE SE</v>
      </c>
      <c r="P2396" s="0" t="s">
        <v>145</v>
      </c>
      <c r="Q2396" s="0" t="s">
        <v>146</v>
      </c>
      <c r="R2396" s="0" t="n">
        <v>44484</v>
      </c>
      <c r="AD2396" s="0" t="s">
        <v>147</v>
      </c>
      <c r="AE2396" s="0" t="s">
        <v>148</v>
      </c>
      <c r="AF2396" s="0" t="s">
        <v>149</v>
      </c>
      <c r="AH2396" s="0" t="n">
        <v>14</v>
      </c>
      <c r="AI2396" s="0" t="n">
        <v>11</v>
      </c>
      <c r="AN2396" s="0" t="s">
        <v>145</v>
      </c>
      <c r="AO2396" s="0" t="s">
        <v>233</v>
      </c>
      <c r="AP2396" s="0" t="s">
        <v>234</v>
      </c>
      <c r="AQ2396" s="0" t="n">
        <v>9</v>
      </c>
      <c r="AR2396" s="0" t="n">
        <v>64</v>
      </c>
      <c r="AS2396" s="0" t="n">
        <v>32</v>
      </c>
      <c r="AU2396" s="0" t="n">
        <f aca="false">COUNTA($BA$2332:$EH$2332)</f>
        <v>2</v>
      </c>
      <c r="AV2396" s="0" t="n">
        <f aca="false">COUNTIF($BA$2332:$EH$2332,"D")</f>
        <v>0</v>
      </c>
      <c r="AW2396" s="0" t="n">
        <f aca="false">COUNTIF($BA$2332:$EH$2332,"R")</f>
        <v>0</v>
      </c>
      <c r="AX2396" s="0" t="n">
        <f aca="false">IF(BN2396="D",1,0)+IF(BO2396="D",1,0)+IF(BT2396="D",1,0)+IF(BU2396="D",1,0)+IF(BW2396="D",1,0)+IF(CC2396="D",1,0)+IF(CD2396="D",1,0)+IF(CE2396="D",1,0)+IF(CF2396="D",1,0)+IF(CL2396="D",1,0)+IF(CM2396="D",1,0)+IF(CQ2396="D",1,0)+IF(CR2396="D",1,0)+IF(CS2396="D",1,0)+IF(CW2396="D",1,0)+IF(CX2396="D",1,0)+IF(DD2396="D",1,0)+IF(DE2396="D",1,0)+IF(DJ2396="D",1,0)+IF(DK2396="D",1,0)+IF(DO2396="D",1,0)+IF(DP2396="D",1,0)+IF(DQ2396="D",1,0)+IF(DW2396="D",1,0)+IF(DZ2396="D",1,0)+IF(EH2396="D",1,0)</f>
        <v>0</v>
      </c>
      <c r="AY2396" s="0" t="n">
        <f aca="false">COUNTIF(DU2396:EH2396, "&lt;&gt;")</f>
        <v>2</v>
      </c>
      <c r="AZ2396" s="0" t="n">
        <f aca="false">IF(EH2396&lt;&gt;"",1,0)</f>
        <v>0</v>
      </c>
      <c r="BB2396" s="0" t="s">
        <v>152</v>
      </c>
      <c r="BL2396" s="0" t="s">
        <v>153</v>
      </c>
      <c r="BV2396" s="0" t="s">
        <v>153</v>
      </c>
      <c r="EA2396" s="0" t="s">
        <v>153</v>
      </c>
      <c r="EF2396" s="0" t="s">
        <v>153</v>
      </c>
    </row>
    <row r="2397" customFormat="false" ht="13.8" hidden="false" customHeight="false" outlineLevel="0" collapsed="false">
      <c r="A2397" s="0" t="s">
        <v>10351</v>
      </c>
      <c r="B2397" s="0" t="n">
        <v>78</v>
      </c>
      <c r="C2397" s="0" t="n">
        <v>330983</v>
      </c>
      <c r="D2397" s="0" t="s">
        <v>10352</v>
      </c>
      <c r="E2397" s="0" t="s">
        <v>10353</v>
      </c>
      <c r="F2397" s="0" t="str">
        <f aca="false">CONCATENATE(D2397," ",LEFT(H2397,4),"T=",AU2397,"D=",AV2397,"R=",AW2397,"M=",AX2397,"L=",AY2397,"B=",AZ2397)</f>
        <v>LAUGHLIN T=1D=0R=0M=3L=6B=0</v>
      </c>
      <c r="G2397" s="0" t="s">
        <v>164</v>
      </c>
      <c r="I2397" s="0" t="s">
        <v>9394</v>
      </c>
      <c r="J2397" s="0" t="s">
        <v>10354</v>
      </c>
      <c r="K2397" s="0" t="s">
        <v>160</v>
      </c>
      <c r="L2397" s="0" t="s">
        <v>209</v>
      </c>
      <c r="M2397" s="0" t="s">
        <v>10355</v>
      </c>
      <c r="N2397" s="0" t="str">
        <f aca="false">RIGHT(M2397,LEN(M2397)-FIND(" ",M2397))</f>
        <v>WOODBINE AVE SE</v>
      </c>
      <c r="P2397" s="0" t="s">
        <v>145</v>
      </c>
      <c r="Q2397" s="0" t="s">
        <v>146</v>
      </c>
      <c r="R2397" s="0" t="n">
        <v>44484</v>
      </c>
      <c r="AD2397" s="0" t="s">
        <v>147</v>
      </c>
      <c r="AE2397" s="0" t="s">
        <v>148</v>
      </c>
      <c r="AF2397" s="0" t="s">
        <v>149</v>
      </c>
      <c r="AH2397" s="0" t="n">
        <v>14</v>
      </c>
      <c r="AI2397" s="0" t="n">
        <v>11</v>
      </c>
      <c r="AN2397" s="0" t="s">
        <v>145</v>
      </c>
      <c r="AO2397" s="0" t="s">
        <v>233</v>
      </c>
      <c r="AP2397" s="0" t="s">
        <v>234</v>
      </c>
      <c r="AQ2397" s="0" t="n">
        <v>9</v>
      </c>
      <c r="AR2397" s="0" t="n">
        <v>64</v>
      </c>
      <c r="AS2397" s="0" t="n">
        <v>32</v>
      </c>
      <c r="AU2397" s="0" t="n">
        <f aca="false">COUNTA($BA$2188:$EH$2188)</f>
        <v>1</v>
      </c>
      <c r="AV2397" s="0" t="n">
        <f aca="false">COUNTIF($BA$2188:$EH$2188,"D")</f>
        <v>0</v>
      </c>
      <c r="AW2397" s="0" t="n">
        <f aca="false">COUNTIF($BA$2188:$EH$2188,"R")</f>
        <v>0</v>
      </c>
      <c r="AX2397" s="0" t="n">
        <f aca="false">IF(BN2397="D",1,0)+IF(BO2397="D",1,0)+IF(BT2397="D",1,0)+IF(BU2397="D",1,0)+IF(BW2397="D",1,0)+IF(CC2397="D",1,0)+IF(CD2397="D",1,0)+IF(CE2397="D",1,0)+IF(CF2397="D",1,0)+IF(CL2397="D",1,0)+IF(CM2397="D",1,0)+IF(CQ2397="D",1,0)+IF(CR2397="D",1,0)+IF(CS2397="D",1,0)+IF(CW2397="D",1,0)+IF(CX2397="D",1,0)+IF(DD2397="D",1,0)+IF(DE2397="D",1,0)+IF(DJ2397="D",1,0)+IF(DK2397="D",1,0)+IF(DO2397="D",1,0)+IF(DP2397="D",1,0)+IF(DQ2397="D",1,0)+IF(DW2397="D",1,0)+IF(DZ2397="D",1,0)+IF(EH2397="D",1,0)</f>
        <v>3</v>
      </c>
      <c r="AY2397" s="0" t="n">
        <f aca="false">COUNTIF(DU2397:EH2397, "&lt;&gt;")</f>
        <v>6</v>
      </c>
      <c r="AZ2397" s="0" t="n">
        <f aca="false">IF(EH2397&lt;&gt;"",1,0)</f>
        <v>0</v>
      </c>
      <c r="BB2397" s="0" t="s">
        <v>152</v>
      </c>
      <c r="BL2397" s="0" t="s">
        <v>153</v>
      </c>
      <c r="BP2397" s="0" t="s">
        <v>153</v>
      </c>
      <c r="BR2397" s="0" t="s">
        <v>153</v>
      </c>
      <c r="BS2397" s="0" t="s">
        <v>153</v>
      </c>
      <c r="CA2397" s="0" t="s">
        <v>153</v>
      </c>
      <c r="CG2397" s="0" t="s">
        <v>153</v>
      </c>
      <c r="CK2397" s="0" t="s">
        <v>153</v>
      </c>
      <c r="CN2397" s="0" t="s">
        <v>153</v>
      </c>
      <c r="CP2397" s="0" t="s">
        <v>153</v>
      </c>
      <c r="CQ2397" s="0" t="s">
        <v>175</v>
      </c>
      <c r="CZ2397" s="0" t="s">
        <v>175</v>
      </c>
      <c r="DC2397" s="0" t="s">
        <v>153</v>
      </c>
      <c r="DF2397" s="0" t="s">
        <v>153</v>
      </c>
      <c r="DI2397" s="0" t="s">
        <v>153</v>
      </c>
      <c r="DJ2397" s="0" t="s">
        <v>175</v>
      </c>
      <c r="DL2397" s="0" t="s">
        <v>153</v>
      </c>
      <c r="DM2397" s="0" t="s">
        <v>175</v>
      </c>
      <c r="DN2397" s="0" t="s">
        <v>153</v>
      </c>
      <c r="DR2397" s="0" t="s">
        <v>153</v>
      </c>
      <c r="DS2397" s="0" t="s">
        <v>209</v>
      </c>
      <c r="DT2397" s="0" t="s">
        <v>209</v>
      </c>
      <c r="DU2397" s="0" t="s">
        <v>153</v>
      </c>
      <c r="DW2397" s="0" t="s">
        <v>175</v>
      </c>
      <c r="DX2397" s="0" t="s">
        <v>153</v>
      </c>
      <c r="EA2397" s="0" t="s">
        <v>153</v>
      </c>
      <c r="ED2397" s="0" t="s">
        <v>209</v>
      </c>
      <c r="EF2397" s="0" t="s">
        <v>153</v>
      </c>
    </row>
    <row r="2398" customFormat="false" ht="13.8" hidden="false" customHeight="false" outlineLevel="0" collapsed="false">
      <c r="A2398" s="0" t="s">
        <v>10356</v>
      </c>
      <c r="B2398" s="0" t="n">
        <v>78</v>
      </c>
      <c r="C2398" s="0" t="n">
        <v>279322</v>
      </c>
      <c r="D2398" s="0" t="s">
        <v>10352</v>
      </c>
      <c r="E2398" s="0" t="s">
        <v>669</v>
      </c>
      <c r="F2398" s="0" t="str">
        <f aca="false">CONCATENATE(D2398," ",LEFT(H2398,4),"T=",AU2398,"D=",AV2398,"R=",AW2398,"M=",AX2398,"L=",AY2398,"B=",AZ2398)</f>
        <v>LAUGHLIN T=7D=0R=0M=3L=6B=0</v>
      </c>
      <c r="G2398" s="0" t="s">
        <v>362</v>
      </c>
      <c r="I2398" s="0" t="s">
        <v>10357</v>
      </c>
      <c r="J2398" s="0" t="s">
        <v>6714</v>
      </c>
      <c r="K2398" s="0" t="s">
        <v>160</v>
      </c>
      <c r="L2398" s="0" t="s">
        <v>175</v>
      </c>
      <c r="M2398" s="0" t="s">
        <v>10355</v>
      </c>
      <c r="N2398" s="0" t="str">
        <f aca="false">RIGHT(M2398,LEN(M2398)-FIND(" ",M2398))</f>
        <v>WOODBINE AVE SE</v>
      </c>
      <c r="P2398" s="0" t="s">
        <v>145</v>
      </c>
      <c r="Q2398" s="0" t="s">
        <v>146</v>
      </c>
      <c r="R2398" s="0" t="n">
        <v>44484</v>
      </c>
      <c r="AD2398" s="0" t="s">
        <v>147</v>
      </c>
      <c r="AE2398" s="0" t="s">
        <v>148</v>
      </c>
      <c r="AF2398" s="0" t="s">
        <v>149</v>
      </c>
      <c r="AH2398" s="0" t="n">
        <v>14</v>
      </c>
      <c r="AI2398" s="0" t="n">
        <v>11</v>
      </c>
      <c r="AN2398" s="0" t="s">
        <v>145</v>
      </c>
      <c r="AO2398" s="0" t="s">
        <v>233</v>
      </c>
      <c r="AP2398" s="0" t="s">
        <v>234</v>
      </c>
      <c r="AQ2398" s="0" t="n">
        <v>9</v>
      </c>
      <c r="AR2398" s="0" t="n">
        <v>64</v>
      </c>
      <c r="AS2398" s="0" t="n">
        <v>32</v>
      </c>
      <c r="AU2398" s="0" t="n">
        <f aca="false">COUNTA($BA$2227:$EH$2227)</f>
        <v>7</v>
      </c>
      <c r="AV2398" s="0" t="n">
        <f aca="false">COUNTIF($BA$2227:$EH$2227,"D")</f>
        <v>0</v>
      </c>
      <c r="AW2398" s="0" t="n">
        <f aca="false">COUNTIF($BA$2227:$EH$2227,"R")</f>
        <v>0</v>
      </c>
      <c r="AX2398" s="0" t="n">
        <f aca="false">IF(BN2398="D",1,0)+IF(BO2398="D",1,0)+IF(BT2398="D",1,0)+IF(BU2398="D",1,0)+IF(BW2398="D",1,0)+IF(CC2398="D",1,0)+IF(CD2398="D",1,0)+IF(CE2398="D",1,0)+IF(CF2398="D",1,0)+IF(CL2398="D",1,0)+IF(CM2398="D",1,0)+IF(CQ2398="D",1,0)+IF(CR2398="D",1,0)+IF(CS2398="D",1,0)+IF(CW2398="D",1,0)+IF(CX2398="D",1,0)+IF(DD2398="D",1,0)+IF(DE2398="D",1,0)+IF(DJ2398="D",1,0)+IF(DK2398="D",1,0)+IF(DO2398="D",1,0)+IF(DP2398="D",1,0)+IF(DQ2398="D",1,0)+IF(DW2398="D",1,0)+IF(DZ2398="D",1,0)+IF(EH2398="D",1,0)</f>
        <v>3</v>
      </c>
      <c r="AY2398" s="0" t="n">
        <f aca="false">COUNTIF(DU2398:EH2398, "&lt;&gt;")</f>
        <v>6</v>
      </c>
      <c r="AZ2398" s="0" t="n">
        <f aca="false">IF(EH2398&lt;&gt;"",1,0)</f>
        <v>0</v>
      </c>
      <c r="BB2398" s="0" t="s">
        <v>152</v>
      </c>
      <c r="BC2398" s="0" t="s">
        <v>153</v>
      </c>
      <c r="BD2398" s="0" t="s">
        <v>153</v>
      </c>
      <c r="BF2398" s="0" t="s">
        <v>153</v>
      </c>
      <c r="BH2398" s="0" t="s">
        <v>153</v>
      </c>
      <c r="BK2398" s="0" t="s">
        <v>153</v>
      </c>
      <c r="BL2398" s="0" t="s">
        <v>153</v>
      </c>
      <c r="BR2398" s="0" t="s">
        <v>153</v>
      </c>
      <c r="BS2398" s="0" t="s">
        <v>153</v>
      </c>
      <c r="CA2398" s="0" t="s">
        <v>153</v>
      </c>
      <c r="CG2398" s="0" t="s">
        <v>153</v>
      </c>
      <c r="CK2398" s="0" t="s">
        <v>153</v>
      </c>
      <c r="CN2398" s="0" t="s">
        <v>153</v>
      </c>
      <c r="CP2398" s="0" t="s">
        <v>153</v>
      </c>
      <c r="CQ2398" s="0" t="s">
        <v>175</v>
      </c>
      <c r="CZ2398" s="0" t="s">
        <v>175</v>
      </c>
      <c r="DC2398" s="0" t="s">
        <v>153</v>
      </c>
      <c r="DF2398" s="0" t="s">
        <v>153</v>
      </c>
      <c r="DI2398" s="0" t="s">
        <v>153</v>
      </c>
      <c r="DJ2398" s="0" t="s">
        <v>175</v>
      </c>
      <c r="DL2398" s="0" t="s">
        <v>153</v>
      </c>
      <c r="DM2398" s="0" t="s">
        <v>175</v>
      </c>
      <c r="DN2398" s="0" t="s">
        <v>153</v>
      </c>
      <c r="DR2398" s="0" t="s">
        <v>153</v>
      </c>
      <c r="DS2398" s="0" t="s">
        <v>175</v>
      </c>
      <c r="DT2398" s="0" t="s">
        <v>175</v>
      </c>
      <c r="DU2398" s="0" t="s">
        <v>153</v>
      </c>
      <c r="DW2398" s="0" t="s">
        <v>175</v>
      </c>
      <c r="DX2398" s="0" t="s">
        <v>153</v>
      </c>
      <c r="EA2398" s="0" t="s">
        <v>153</v>
      </c>
      <c r="ED2398" s="0" t="s">
        <v>175</v>
      </c>
      <c r="EF2398" s="0" t="s">
        <v>153</v>
      </c>
    </row>
    <row r="2399" customFormat="false" ht="13.8" hidden="true" customHeight="false" outlineLevel="0" collapsed="false">
      <c r="A2399" s="0" t="s">
        <v>10358</v>
      </c>
      <c r="B2399" s="0" t="n">
        <v>78</v>
      </c>
      <c r="C2399" s="0" t="n">
        <v>372259</v>
      </c>
      <c r="D2399" s="0" t="s">
        <v>527</v>
      </c>
      <c r="E2399" s="0" t="s">
        <v>1152</v>
      </c>
      <c r="F2399" s="0" t="str">
        <f aca="false">CONCATENATE(D2399," ",LEFT(H2399,4),"T=",AU2399,"D=",AV2399,"R=",AW2399,"M=",AX2399,"L=",AY2399,"B=",AZ2399)</f>
        <v>BAUGH T=6D=0R=0M=0L=0B=0</v>
      </c>
      <c r="G2399" s="0" t="s">
        <v>171</v>
      </c>
      <c r="I2399" s="0" t="s">
        <v>10359</v>
      </c>
      <c r="J2399" s="0" t="s">
        <v>10360</v>
      </c>
      <c r="K2399" s="0" t="s">
        <v>143</v>
      </c>
      <c r="M2399" s="0" t="s">
        <v>10361</v>
      </c>
      <c r="N2399" s="0" t="str">
        <f aca="false">RIGHT(M2399,LEN(M2399)-FIND(" ",M2399))</f>
        <v>WOODBINE AVE SE</v>
      </c>
      <c r="P2399" s="0" t="s">
        <v>145</v>
      </c>
      <c r="Q2399" s="0" t="s">
        <v>146</v>
      </c>
      <c r="R2399" s="0" t="n">
        <v>44484</v>
      </c>
      <c r="AD2399" s="0" t="s">
        <v>147</v>
      </c>
      <c r="AE2399" s="0" t="s">
        <v>148</v>
      </c>
      <c r="AF2399" s="0" t="s">
        <v>149</v>
      </c>
      <c r="AH2399" s="0" t="n">
        <v>14</v>
      </c>
      <c r="AI2399" s="0" t="n">
        <v>11</v>
      </c>
      <c r="AN2399" s="0" t="s">
        <v>145</v>
      </c>
      <c r="AO2399" s="0" t="s">
        <v>233</v>
      </c>
      <c r="AP2399" s="0" t="s">
        <v>234</v>
      </c>
      <c r="AQ2399" s="0" t="n">
        <v>9</v>
      </c>
      <c r="AR2399" s="0" t="n">
        <v>64</v>
      </c>
      <c r="AS2399" s="0" t="n">
        <v>32</v>
      </c>
      <c r="AU2399" s="0" t="n">
        <f aca="false">COUNTA($BA$2269:$EH$2269)</f>
        <v>6</v>
      </c>
      <c r="AV2399" s="0" t="n">
        <f aca="false">COUNTIF($BA$2269:$EH$2269,"D")</f>
        <v>0</v>
      </c>
      <c r="AW2399" s="0" t="n">
        <f aca="false">COUNTIF($BA$2269:$EH$2269,"R")</f>
        <v>0</v>
      </c>
      <c r="AX2399" s="0" t="n">
        <f aca="false">IF(BN2399="D",1,0)+IF(BO2399="D",1,0)+IF(BT2399="D",1,0)+IF(BU2399="D",1,0)+IF(BW2399="D",1,0)+IF(CC2399="D",1,0)+IF(CD2399="D",1,0)+IF(CE2399="D",1,0)+IF(CF2399="D",1,0)+IF(CL2399="D",1,0)+IF(CM2399="D",1,0)+IF(CQ2399="D",1,0)+IF(CR2399="D",1,0)+IF(CS2399="D",1,0)+IF(CW2399="D",1,0)+IF(CX2399="D",1,0)+IF(DD2399="D",1,0)+IF(DE2399="D",1,0)+IF(DJ2399="D",1,0)+IF(DK2399="D",1,0)+IF(DO2399="D",1,0)+IF(DP2399="D",1,0)+IF(DQ2399="D",1,0)+IF(DW2399="D",1,0)+IF(DZ2399="D",1,0)+IF(EH2399="D",1,0)</f>
        <v>0</v>
      </c>
      <c r="AY2399" s="0" t="n">
        <f aca="false">COUNTIF(DU2399:EH2399, "&lt;&gt;")</f>
        <v>0</v>
      </c>
      <c r="AZ2399" s="0" t="n">
        <f aca="false">IF(EH2399&lt;&gt;"",1,0)</f>
        <v>0</v>
      </c>
      <c r="BB2399" s="0" t="s">
        <v>152</v>
      </c>
    </row>
    <row r="2400" customFormat="false" ht="13.8" hidden="true" customHeight="false" outlineLevel="0" collapsed="false">
      <c r="A2400" s="0" t="s">
        <v>10362</v>
      </c>
      <c r="B2400" s="0" t="n">
        <v>78</v>
      </c>
      <c r="C2400" s="0" t="n">
        <v>356190</v>
      </c>
      <c r="D2400" s="0" t="s">
        <v>10363</v>
      </c>
      <c r="E2400" s="0" t="s">
        <v>10364</v>
      </c>
      <c r="F2400" s="0" t="str">
        <f aca="false">CONCATENATE(D2400," ",LEFT(H2400,4),"T=",AU2400,"D=",AV2400,"R=",AW2400,"M=",AX2400,"L=",AY2400,"B=",AZ2400)</f>
        <v>CARGILL T=20D=3R=1M=0L=1B=0</v>
      </c>
      <c r="G2400" s="0" t="s">
        <v>10365</v>
      </c>
      <c r="I2400" s="0" t="s">
        <v>10366</v>
      </c>
      <c r="J2400" s="0" t="s">
        <v>404</v>
      </c>
      <c r="K2400" s="0" t="s">
        <v>160</v>
      </c>
      <c r="M2400" s="0" t="s">
        <v>10361</v>
      </c>
      <c r="N2400" s="0" t="str">
        <f aca="false">RIGHT(M2400,LEN(M2400)-FIND(" ",M2400))</f>
        <v>WOODBINE AVE SE</v>
      </c>
      <c r="P2400" s="0" t="s">
        <v>145</v>
      </c>
      <c r="Q2400" s="0" t="s">
        <v>146</v>
      </c>
      <c r="R2400" s="0" t="n">
        <v>44484</v>
      </c>
      <c r="AD2400" s="0" t="s">
        <v>147</v>
      </c>
      <c r="AE2400" s="0" t="s">
        <v>148</v>
      </c>
      <c r="AF2400" s="0" t="s">
        <v>149</v>
      </c>
      <c r="AH2400" s="0" t="n">
        <v>14</v>
      </c>
      <c r="AI2400" s="0" t="n">
        <v>11</v>
      </c>
      <c r="AN2400" s="0" t="s">
        <v>145</v>
      </c>
      <c r="AO2400" s="0" t="s">
        <v>233</v>
      </c>
      <c r="AP2400" s="0" t="s">
        <v>234</v>
      </c>
      <c r="AQ2400" s="0" t="n">
        <v>9</v>
      </c>
      <c r="AR2400" s="0" t="n">
        <v>64</v>
      </c>
      <c r="AS2400" s="0" t="n">
        <v>32</v>
      </c>
      <c r="AU2400" s="0" t="n">
        <f aca="false">COUNTA($BA$2333:$EH$2333)</f>
        <v>20</v>
      </c>
      <c r="AV2400" s="0" t="n">
        <f aca="false">COUNTIF($BA$2333:$EH$2333,"D")</f>
        <v>3</v>
      </c>
      <c r="AW2400" s="0" t="n">
        <f aca="false">COUNTIF($BA$2333:$EH$2333,"R")</f>
        <v>1</v>
      </c>
      <c r="AX2400" s="0" t="n">
        <f aca="false">IF(BN2400="D",1,0)+IF(BO2400="D",1,0)+IF(BT2400="D",1,0)+IF(BU2400="D",1,0)+IF(BW2400="D",1,0)+IF(CC2400="D",1,0)+IF(CD2400="D",1,0)+IF(CE2400="D",1,0)+IF(CF2400="D",1,0)+IF(CL2400="D",1,0)+IF(CM2400="D",1,0)+IF(CQ2400="D",1,0)+IF(CR2400="D",1,0)+IF(CS2400="D",1,0)+IF(CW2400="D",1,0)+IF(CX2400="D",1,0)+IF(DD2400="D",1,0)+IF(DE2400="D",1,0)+IF(DJ2400="D",1,0)+IF(DK2400="D",1,0)+IF(DO2400="D",1,0)+IF(DP2400="D",1,0)+IF(DQ2400="D",1,0)+IF(DW2400="D",1,0)+IF(DZ2400="D",1,0)+IF(EH2400="D",1,0)</f>
        <v>0</v>
      </c>
      <c r="AY2400" s="0" t="n">
        <f aca="false">COUNTIF(DU2400:EH2400, "&lt;&gt;")</f>
        <v>1</v>
      </c>
      <c r="AZ2400" s="0" t="n">
        <f aca="false">IF(EH2400&lt;&gt;"",1,0)</f>
        <v>0</v>
      </c>
      <c r="BB2400" s="0" t="s">
        <v>152</v>
      </c>
      <c r="CA2400" s="0" t="s">
        <v>153</v>
      </c>
      <c r="CK2400" s="0" t="s">
        <v>153</v>
      </c>
      <c r="CP2400" s="0" t="s">
        <v>153</v>
      </c>
      <c r="CZ2400" s="0" t="s">
        <v>175</v>
      </c>
      <c r="DC2400" s="0" t="s">
        <v>153</v>
      </c>
      <c r="DI2400" s="0" t="s">
        <v>153</v>
      </c>
      <c r="DN2400" s="0" t="s">
        <v>153</v>
      </c>
      <c r="EF2400" s="0" t="s">
        <v>153</v>
      </c>
    </row>
    <row r="2401" customFormat="false" ht="13.8" hidden="true" customHeight="false" outlineLevel="0" collapsed="false">
      <c r="A2401" s="0" t="s">
        <v>10367</v>
      </c>
      <c r="B2401" s="0" t="n">
        <v>78</v>
      </c>
      <c r="C2401" s="0" t="n">
        <v>464641</v>
      </c>
      <c r="D2401" s="0" t="s">
        <v>10368</v>
      </c>
      <c r="E2401" s="0" t="s">
        <v>324</v>
      </c>
      <c r="F2401" s="0" t="str">
        <f aca="false">CONCATENATE(D2401," ",LEFT(H2401,4),"T=",AU2401,"D=",AV2401,"R=",AW2401,"M=",AX2401,"L=",AY2401,"B=",AZ2401)</f>
        <v>LOGGINS T=2D=0R=0M=0L=0B=0</v>
      </c>
      <c r="G2401" s="0" t="s">
        <v>10369</v>
      </c>
      <c r="I2401" s="0" t="s">
        <v>10370</v>
      </c>
      <c r="J2401" s="0" t="s">
        <v>10371</v>
      </c>
      <c r="K2401" s="0" t="s">
        <v>160</v>
      </c>
      <c r="M2401" s="0" t="s">
        <v>10361</v>
      </c>
      <c r="N2401" s="0" t="str">
        <f aca="false">RIGHT(M2401,LEN(M2401)-FIND(" ",M2401))</f>
        <v>WOODBINE AVE SE</v>
      </c>
      <c r="P2401" s="0" t="s">
        <v>145</v>
      </c>
      <c r="Q2401" s="0" t="s">
        <v>146</v>
      </c>
      <c r="R2401" s="0" t="n">
        <v>44484</v>
      </c>
      <c r="AD2401" s="0" t="s">
        <v>147</v>
      </c>
      <c r="AE2401" s="0" t="s">
        <v>148</v>
      </c>
      <c r="AF2401" s="0" t="s">
        <v>149</v>
      </c>
      <c r="AH2401" s="0" t="n">
        <v>14</v>
      </c>
      <c r="AI2401" s="0" t="n">
        <v>11</v>
      </c>
      <c r="AN2401" s="0" t="s">
        <v>145</v>
      </c>
      <c r="AO2401" s="0" t="s">
        <v>233</v>
      </c>
      <c r="AP2401" s="0" t="s">
        <v>234</v>
      </c>
      <c r="AQ2401" s="0" t="n">
        <v>9</v>
      </c>
      <c r="AR2401" s="0" t="n">
        <v>64</v>
      </c>
      <c r="AS2401" s="0" t="n">
        <v>32</v>
      </c>
      <c r="AU2401" s="0" t="n">
        <f aca="false">COUNTA($BA$2343:$EH$2343)</f>
        <v>2</v>
      </c>
      <c r="AV2401" s="0" t="n">
        <f aca="false">COUNTIF($BA$2343:$EH$2343,"D")</f>
        <v>0</v>
      </c>
      <c r="AW2401" s="0" t="n">
        <f aca="false">COUNTIF($BA$2343:$EH$2343,"R")</f>
        <v>0</v>
      </c>
      <c r="AX2401" s="0" t="n">
        <f aca="false">IF(BN2401="D",1,0)+IF(BO2401="D",1,0)+IF(BT2401="D",1,0)+IF(BU2401="D",1,0)+IF(BW2401="D",1,0)+IF(CC2401="D",1,0)+IF(CD2401="D",1,0)+IF(CE2401="D",1,0)+IF(CF2401="D",1,0)+IF(CL2401="D",1,0)+IF(CM2401="D",1,0)+IF(CQ2401="D",1,0)+IF(CR2401="D",1,0)+IF(CS2401="D",1,0)+IF(CW2401="D",1,0)+IF(CX2401="D",1,0)+IF(DD2401="D",1,0)+IF(DE2401="D",1,0)+IF(DJ2401="D",1,0)+IF(DK2401="D",1,0)+IF(DO2401="D",1,0)+IF(DP2401="D",1,0)+IF(DQ2401="D",1,0)+IF(DW2401="D",1,0)+IF(DZ2401="D",1,0)+IF(EH2401="D",1,0)</f>
        <v>0</v>
      </c>
      <c r="AY2401" s="0" t="n">
        <f aca="false">COUNTIF(DU2401:EH2401, "&lt;&gt;")</f>
        <v>0</v>
      </c>
      <c r="AZ2401" s="0" t="n">
        <f aca="false">IF(EH2401&lt;&gt;"",1,0)</f>
        <v>0</v>
      </c>
      <c r="BB2401" s="0" t="s">
        <v>152</v>
      </c>
    </row>
    <row r="2402" customFormat="false" ht="13.8" hidden="true" customHeight="false" outlineLevel="0" collapsed="false">
      <c r="A2402" s="0" t="s">
        <v>10372</v>
      </c>
      <c r="B2402" s="0" t="n">
        <v>78</v>
      </c>
      <c r="C2402" s="0" t="n">
        <v>327716</v>
      </c>
      <c r="D2402" s="0" t="s">
        <v>527</v>
      </c>
      <c r="E2402" s="0" t="s">
        <v>10373</v>
      </c>
      <c r="F2402" s="0" t="str">
        <f aca="false">CONCATENATE(D2402," ",LEFT(H2402,4),"T=",AU2402,"D=",AV2402,"R=",AW2402,"M=",AX2402,"L=",AY2402,"B=",AZ2402)</f>
        <v>BAUGH T=6D=0R=0M=0L=0B=0</v>
      </c>
      <c r="G2402" s="0" t="s">
        <v>164</v>
      </c>
      <c r="I2402" s="0" t="s">
        <v>10374</v>
      </c>
      <c r="J2402" s="0" t="s">
        <v>10375</v>
      </c>
      <c r="K2402" s="0" t="s">
        <v>160</v>
      </c>
      <c r="M2402" s="0" t="s">
        <v>10361</v>
      </c>
      <c r="N2402" s="0" t="str">
        <f aca="false">RIGHT(M2402,LEN(M2402)-FIND(" ",M2402))</f>
        <v>WOODBINE AVE SE</v>
      </c>
      <c r="P2402" s="0" t="s">
        <v>145</v>
      </c>
      <c r="Q2402" s="0" t="s">
        <v>146</v>
      </c>
      <c r="R2402" s="0" t="n">
        <v>44484</v>
      </c>
      <c r="AD2402" s="0" t="s">
        <v>147</v>
      </c>
      <c r="AE2402" s="0" t="s">
        <v>148</v>
      </c>
      <c r="AF2402" s="0" t="s">
        <v>149</v>
      </c>
      <c r="AH2402" s="0" t="n">
        <v>14</v>
      </c>
      <c r="AI2402" s="0" t="n">
        <v>11</v>
      </c>
      <c r="AN2402" s="0" t="s">
        <v>145</v>
      </c>
      <c r="AO2402" s="0" t="s">
        <v>233</v>
      </c>
      <c r="AP2402" s="0" t="s">
        <v>234</v>
      </c>
      <c r="AQ2402" s="0" t="n">
        <v>9</v>
      </c>
      <c r="AR2402" s="0" t="n">
        <v>64</v>
      </c>
      <c r="AS2402" s="0" t="n">
        <v>32</v>
      </c>
      <c r="AU2402" s="0" t="n">
        <f aca="false">COUNTA($BA$2403:$EH$2403)</f>
        <v>6</v>
      </c>
      <c r="AV2402" s="0" t="n">
        <f aca="false">COUNTIF($BA$2403:$EH$2403,"D")</f>
        <v>0</v>
      </c>
      <c r="AW2402" s="0" t="n">
        <f aca="false">COUNTIF($BA$2403:$EH$2403,"R")</f>
        <v>0</v>
      </c>
      <c r="AX2402" s="0" t="n">
        <f aca="false">IF(BN2402="D",1,0)+IF(BO2402="D",1,0)+IF(BT2402="D",1,0)+IF(BU2402="D",1,0)+IF(BW2402="D",1,0)+IF(CC2402="D",1,0)+IF(CD2402="D",1,0)+IF(CE2402="D",1,0)+IF(CF2402="D",1,0)+IF(CL2402="D",1,0)+IF(CM2402="D",1,0)+IF(CQ2402="D",1,0)+IF(CR2402="D",1,0)+IF(CS2402="D",1,0)+IF(CW2402="D",1,0)+IF(CX2402="D",1,0)+IF(DD2402="D",1,0)+IF(DE2402="D",1,0)+IF(DJ2402="D",1,0)+IF(DK2402="D",1,0)+IF(DO2402="D",1,0)+IF(DP2402="D",1,0)+IF(DQ2402="D",1,0)+IF(DW2402="D",1,0)+IF(DZ2402="D",1,0)+IF(EH2402="D",1,0)</f>
        <v>0</v>
      </c>
      <c r="AY2402" s="0" t="n">
        <f aca="false">COUNTIF(DU2402:EH2402, "&lt;&gt;")</f>
        <v>0</v>
      </c>
      <c r="AZ2402" s="0" t="n">
        <f aca="false">IF(EH2402&lt;&gt;"",1,0)</f>
        <v>0</v>
      </c>
      <c r="BB2402" s="0" t="s">
        <v>152</v>
      </c>
      <c r="CY2402" s="0" t="s">
        <v>153</v>
      </c>
    </row>
    <row r="2403" customFormat="false" ht="13.8" hidden="false" customHeight="false" outlineLevel="0" collapsed="false">
      <c r="A2403" s="0" t="s">
        <v>10376</v>
      </c>
      <c r="B2403" s="0" t="n">
        <v>78</v>
      </c>
      <c r="C2403" s="0" t="n">
        <v>415375</v>
      </c>
      <c r="D2403" s="0" t="s">
        <v>2920</v>
      </c>
      <c r="E2403" s="0" t="s">
        <v>2401</v>
      </c>
      <c r="F2403" s="0" t="str">
        <f aca="false">CONCATENATE(D2403," ",LEFT(H2403,4),"T=",AU2403,"D=",AV2403,"R=",AW2403,"M=",AX2403,"L=",AY2403,"B=",AZ2403)</f>
        <v>FRANCIS T=2D=0R=0M=0L=2B=0</v>
      </c>
      <c r="G2403" s="0" t="s">
        <v>255</v>
      </c>
      <c r="I2403" s="0" t="s">
        <v>10377</v>
      </c>
      <c r="J2403" s="0" t="s">
        <v>10378</v>
      </c>
      <c r="K2403" s="0" t="s">
        <v>160</v>
      </c>
      <c r="M2403" s="0" t="s">
        <v>10379</v>
      </c>
      <c r="N2403" s="0" t="str">
        <f aca="false">RIGHT(M2403,LEN(M2403)-FIND(" ",M2403))</f>
        <v>WOODBINE AVE SE</v>
      </c>
      <c r="P2403" s="0" t="s">
        <v>145</v>
      </c>
      <c r="Q2403" s="0" t="s">
        <v>146</v>
      </c>
      <c r="R2403" s="0" t="n">
        <v>44484</v>
      </c>
      <c r="AD2403" s="0" t="s">
        <v>147</v>
      </c>
      <c r="AE2403" s="0" t="s">
        <v>148</v>
      </c>
      <c r="AF2403" s="0" t="s">
        <v>149</v>
      </c>
      <c r="AH2403" s="0" t="n">
        <v>14</v>
      </c>
      <c r="AI2403" s="0" t="n">
        <v>11</v>
      </c>
      <c r="AN2403" s="0" t="s">
        <v>145</v>
      </c>
      <c r="AO2403" s="0" t="s">
        <v>233</v>
      </c>
      <c r="AP2403" s="0" t="s">
        <v>234</v>
      </c>
      <c r="AQ2403" s="0" t="n">
        <v>9</v>
      </c>
      <c r="AR2403" s="0" t="n">
        <v>64</v>
      </c>
      <c r="AS2403" s="0" t="n">
        <v>32</v>
      </c>
      <c r="AU2403" s="0" t="n">
        <f aca="false">COUNTA($BA$2441:$EH$2441)</f>
        <v>2</v>
      </c>
      <c r="AV2403" s="0" t="n">
        <f aca="false">COUNTIF($BA$2441:$EH$2441,"D")</f>
        <v>0</v>
      </c>
      <c r="AW2403" s="0" t="n">
        <f aca="false">COUNTIF($BA$2441:$EH$2441,"R")</f>
        <v>0</v>
      </c>
      <c r="AX2403" s="0" t="n">
        <f aca="false">IF(BN2403="D",1,0)+IF(BO2403="D",1,0)+IF(BT2403="D",1,0)+IF(BU2403="D",1,0)+IF(BW2403="D",1,0)+IF(CC2403="D",1,0)+IF(CD2403="D",1,0)+IF(CE2403="D",1,0)+IF(CF2403="D",1,0)+IF(CL2403="D",1,0)+IF(CM2403="D",1,0)+IF(CQ2403="D",1,0)+IF(CR2403="D",1,0)+IF(CS2403="D",1,0)+IF(CW2403="D",1,0)+IF(CX2403="D",1,0)+IF(DD2403="D",1,0)+IF(DE2403="D",1,0)+IF(DJ2403="D",1,0)+IF(DK2403="D",1,0)+IF(DO2403="D",1,0)+IF(DP2403="D",1,0)+IF(DQ2403="D",1,0)+IF(DW2403="D",1,0)+IF(DZ2403="D",1,0)+IF(EH2403="D",1,0)</f>
        <v>0</v>
      </c>
      <c r="AY2403" s="0" t="n">
        <f aca="false">COUNTIF(DU2403:EH2403, "&lt;&gt;")</f>
        <v>2</v>
      </c>
      <c r="AZ2403" s="0" t="n">
        <f aca="false">IF(EH2403&lt;&gt;"",1,0)</f>
        <v>0</v>
      </c>
      <c r="BB2403" s="0" t="s">
        <v>152</v>
      </c>
      <c r="DC2403" s="0" t="s">
        <v>153</v>
      </c>
      <c r="DI2403" s="0" t="s">
        <v>153</v>
      </c>
      <c r="DN2403" s="0" t="s">
        <v>153</v>
      </c>
      <c r="DU2403" s="0" t="s">
        <v>153</v>
      </c>
      <c r="EF2403" s="0" t="s">
        <v>153</v>
      </c>
    </row>
    <row r="2404" customFormat="false" ht="13.8" hidden="true" customHeight="false" outlineLevel="0" collapsed="false">
      <c r="A2404" s="0" t="s">
        <v>10380</v>
      </c>
      <c r="B2404" s="0" t="n">
        <v>78</v>
      </c>
      <c r="C2404" s="0" t="n">
        <v>419074</v>
      </c>
      <c r="D2404" s="0" t="s">
        <v>2638</v>
      </c>
      <c r="E2404" s="0" t="s">
        <v>3274</v>
      </c>
      <c r="F2404" s="0" t="str">
        <f aca="false">CONCATENATE(D2404," ",LEFT(H2404,4),"T=",AU2404,"D=",AV2404,"R=",AW2404,"M=",AX2404,"L=",AY2404,"B=",AZ2404)</f>
        <v>BURGESS T=1D=0R=0M=0L=0B=0</v>
      </c>
      <c r="G2404" s="0" t="s">
        <v>307</v>
      </c>
      <c r="I2404" s="0" t="s">
        <v>10381</v>
      </c>
      <c r="J2404" s="0" t="s">
        <v>10382</v>
      </c>
      <c r="K2404" s="0" t="s">
        <v>143</v>
      </c>
      <c r="M2404" s="0" t="s">
        <v>10383</v>
      </c>
      <c r="N2404" s="0" t="str">
        <f aca="false">RIGHT(M2404,LEN(M2404)-FIND(" ",M2404))</f>
        <v>WOODBINE AVE SE</v>
      </c>
      <c r="P2404" s="0" t="s">
        <v>145</v>
      </c>
      <c r="Q2404" s="0" t="s">
        <v>146</v>
      </c>
      <c r="R2404" s="0" t="n">
        <v>44484</v>
      </c>
      <c r="AD2404" s="0" t="s">
        <v>147</v>
      </c>
      <c r="AE2404" s="0" t="s">
        <v>148</v>
      </c>
      <c r="AF2404" s="0" t="s">
        <v>149</v>
      </c>
      <c r="AH2404" s="0" t="n">
        <v>14</v>
      </c>
      <c r="AI2404" s="0" t="n">
        <v>11</v>
      </c>
      <c r="AN2404" s="0" t="s">
        <v>145</v>
      </c>
      <c r="AO2404" s="0" t="s">
        <v>233</v>
      </c>
      <c r="AP2404" s="0" t="s">
        <v>234</v>
      </c>
      <c r="AQ2404" s="0" t="n">
        <v>9</v>
      </c>
      <c r="AR2404" s="0" t="n">
        <v>64</v>
      </c>
      <c r="AS2404" s="0" t="n">
        <v>32</v>
      </c>
      <c r="AU2404" s="0" t="n">
        <f aca="false">COUNTA($BA$2381:$EH$2381)</f>
        <v>1</v>
      </c>
      <c r="AV2404" s="0" t="n">
        <f aca="false">COUNTIF($BA$2381:$EH$2381,"D")</f>
        <v>0</v>
      </c>
      <c r="AW2404" s="0" t="n">
        <f aca="false">COUNTIF($BA$2381:$EH$2381,"R")</f>
        <v>0</v>
      </c>
      <c r="AX2404" s="0" t="n">
        <f aca="false">IF(BN2404="D",1,0)+IF(BO2404="D",1,0)+IF(BT2404="D",1,0)+IF(BU2404="D",1,0)+IF(BW2404="D",1,0)+IF(CC2404="D",1,0)+IF(CD2404="D",1,0)+IF(CE2404="D",1,0)+IF(CF2404="D",1,0)+IF(CL2404="D",1,0)+IF(CM2404="D",1,0)+IF(CQ2404="D",1,0)+IF(CR2404="D",1,0)+IF(CS2404="D",1,0)+IF(CW2404="D",1,0)+IF(CX2404="D",1,0)+IF(DD2404="D",1,0)+IF(DE2404="D",1,0)+IF(DJ2404="D",1,0)+IF(DK2404="D",1,0)+IF(DO2404="D",1,0)+IF(DP2404="D",1,0)+IF(DQ2404="D",1,0)+IF(DW2404="D",1,0)+IF(DZ2404="D",1,0)+IF(EH2404="D",1,0)</f>
        <v>0</v>
      </c>
      <c r="AY2404" s="0" t="n">
        <f aca="false">COUNTIF(DU2404:EH2404, "&lt;&gt;")</f>
        <v>0</v>
      </c>
      <c r="AZ2404" s="0" t="n">
        <f aca="false">IF(EH2404&lt;&gt;"",1,0)</f>
        <v>0</v>
      </c>
      <c r="BB2404" s="0" t="s">
        <v>152</v>
      </c>
    </row>
    <row r="2405" customFormat="false" ht="13.8" hidden="true" customHeight="false" outlineLevel="0" collapsed="false">
      <c r="A2405" s="0" t="s">
        <v>10384</v>
      </c>
      <c r="B2405" s="0" t="n">
        <v>78</v>
      </c>
      <c r="C2405" s="0" t="n">
        <v>427129</v>
      </c>
      <c r="D2405" s="0" t="s">
        <v>2638</v>
      </c>
      <c r="E2405" s="0" t="s">
        <v>248</v>
      </c>
      <c r="F2405" s="0" t="str">
        <f aca="false">CONCATENATE(D2405," ",LEFT(H2405,4),"T=",AU2405,"D=",AV2405,"R=",AW2405,"M=",AX2405,"L=",AY2405,"B=",AZ2405)</f>
        <v>BURGESS T=17D=2R=0M=0L=0B=0</v>
      </c>
      <c r="G2405" s="0" t="s">
        <v>170</v>
      </c>
      <c r="I2405" s="0" t="s">
        <v>10385</v>
      </c>
      <c r="J2405" s="0" t="s">
        <v>10386</v>
      </c>
      <c r="K2405" s="0" t="s">
        <v>160</v>
      </c>
      <c r="M2405" s="0" t="s">
        <v>10383</v>
      </c>
      <c r="N2405" s="0" t="str">
        <f aca="false">RIGHT(M2405,LEN(M2405)-FIND(" ",M2405))</f>
        <v>WOODBINE AVE SE</v>
      </c>
      <c r="P2405" s="0" t="s">
        <v>145</v>
      </c>
      <c r="Q2405" s="0" t="s">
        <v>146</v>
      </c>
      <c r="R2405" s="0" t="n">
        <v>44484</v>
      </c>
      <c r="AD2405" s="0" t="s">
        <v>147</v>
      </c>
      <c r="AE2405" s="0" t="s">
        <v>148</v>
      </c>
      <c r="AF2405" s="0" t="s">
        <v>149</v>
      </c>
      <c r="AH2405" s="0" t="n">
        <v>14</v>
      </c>
      <c r="AI2405" s="0" t="n">
        <v>11</v>
      </c>
      <c r="AN2405" s="0" t="s">
        <v>145</v>
      </c>
      <c r="AO2405" s="0" t="s">
        <v>233</v>
      </c>
      <c r="AP2405" s="0" t="s">
        <v>234</v>
      </c>
      <c r="AQ2405" s="0" t="n">
        <v>9</v>
      </c>
      <c r="AR2405" s="0" t="n">
        <v>64</v>
      </c>
      <c r="AS2405" s="0" t="n">
        <v>32</v>
      </c>
      <c r="AU2405" s="0" t="n">
        <f aca="false">COUNTA($BA$2410:$EH$2410)</f>
        <v>17</v>
      </c>
      <c r="AV2405" s="0" t="n">
        <f aca="false">COUNTIF($BA$2410:$EH$2410,"D")</f>
        <v>2</v>
      </c>
      <c r="AW2405" s="0" t="n">
        <f aca="false">COUNTIF($BA$2410:$EH$2410,"R")</f>
        <v>0</v>
      </c>
      <c r="AX2405" s="0" t="n">
        <f aca="false">IF(BN2405="D",1,0)+IF(BO2405="D",1,0)+IF(BT2405="D",1,0)+IF(BU2405="D",1,0)+IF(BW2405="D",1,0)+IF(CC2405="D",1,0)+IF(CD2405="D",1,0)+IF(CE2405="D",1,0)+IF(CF2405="D",1,0)+IF(CL2405="D",1,0)+IF(CM2405="D",1,0)+IF(CQ2405="D",1,0)+IF(CR2405="D",1,0)+IF(CS2405="D",1,0)+IF(CW2405="D",1,0)+IF(CX2405="D",1,0)+IF(DD2405="D",1,0)+IF(DE2405="D",1,0)+IF(DJ2405="D",1,0)+IF(DK2405="D",1,0)+IF(DO2405="D",1,0)+IF(DP2405="D",1,0)+IF(DQ2405="D",1,0)+IF(DW2405="D",1,0)+IF(DZ2405="D",1,0)+IF(EH2405="D",1,0)</f>
        <v>0</v>
      </c>
      <c r="AY2405" s="0" t="n">
        <f aca="false">COUNTIF(DU2405:EH2405, "&lt;&gt;")</f>
        <v>0</v>
      </c>
      <c r="AZ2405" s="0" t="n">
        <f aca="false">IF(EH2405&lt;&gt;"",1,0)</f>
        <v>0</v>
      </c>
      <c r="BB2405" s="0" t="s">
        <v>152</v>
      </c>
      <c r="CP2405" s="0" t="s">
        <v>153</v>
      </c>
    </row>
    <row r="2406" customFormat="false" ht="13.8" hidden="true" customHeight="false" outlineLevel="0" collapsed="false">
      <c r="A2406" s="0" t="s">
        <v>10387</v>
      </c>
      <c r="B2406" s="0" t="n">
        <v>78</v>
      </c>
      <c r="C2406" s="0" t="n">
        <v>454625</v>
      </c>
      <c r="D2406" s="0" t="s">
        <v>718</v>
      </c>
      <c r="E2406" s="0" t="s">
        <v>4629</v>
      </c>
      <c r="F2406" s="0" t="str">
        <f aca="false">CONCATENATE(D2406," ",LEFT(H2406,4),"T=",AU2406,"D=",AV2406,"R=",AW2406,"M=",AX2406,"L=",AY2406,"B=",AZ2406)</f>
        <v>WHITE T=6D=0R=0M=0L=0B=0</v>
      </c>
      <c r="G2406" s="0" t="s">
        <v>275</v>
      </c>
      <c r="I2406" s="0" t="s">
        <v>10388</v>
      </c>
      <c r="J2406" s="0" t="s">
        <v>478</v>
      </c>
      <c r="K2406" s="0" t="s">
        <v>143</v>
      </c>
      <c r="M2406" s="0" t="s">
        <v>10383</v>
      </c>
      <c r="N2406" s="0" t="str">
        <f aca="false">RIGHT(M2406,LEN(M2406)-FIND(" ",M2406))</f>
        <v>WOODBINE AVE SE</v>
      </c>
      <c r="P2406" s="0" t="s">
        <v>145</v>
      </c>
      <c r="Q2406" s="0" t="s">
        <v>146</v>
      </c>
      <c r="R2406" s="0" t="n">
        <v>44484</v>
      </c>
      <c r="AD2406" s="0" t="s">
        <v>147</v>
      </c>
      <c r="AE2406" s="0" t="s">
        <v>148</v>
      </c>
      <c r="AF2406" s="0" t="s">
        <v>149</v>
      </c>
      <c r="AH2406" s="0" t="n">
        <v>14</v>
      </c>
      <c r="AI2406" s="0" t="n">
        <v>11</v>
      </c>
      <c r="AN2406" s="0" t="s">
        <v>145</v>
      </c>
      <c r="AO2406" s="0" t="s">
        <v>233</v>
      </c>
      <c r="AP2406" s="0" t="s">
        <v>234</v>
      </c>
      <c r="AQ2406" s="0" t="n">
        <v>9</v>
      </c>
      <c r="AR2406" s="0" t="n">
        <v>64</v>
      </c>
      <c r="AS2406" s="0" t="n">
        <v>32</v>
      </c>
      <c r="AU2406" s="0" t="n">
        <f aca="false">COUNTA($BA$2442:$EH$2442)</f>
        <v>6</v>
      </c>
      <c r="AV2406" s="0" t="n">
        <f aca="false">COUNTIF($BA$2442:$EH$2442,"D")</f>
        <v>0</v>
      </c>
      <c r="AW2406" s="0" t="n">
        <f aca="false">COUNTIF($BA$2442:$EH$2442,"R")</f>
        <v>0</v>
      </c>
      <c r="AX2406" s="0" t="n">
        <f aca="false">IF(BN2406="D",1,0)+IF(BO2406="D",1,0)+IF(BT2406="D",1,0)+IF(BU2406="D",1,0)+IF(BW2406="D",1,0)+IF(CC2406="D",1,0)+IF(CD2406="D",1,0)+IF(CE2406="D",1,0)+IF(CF2406="D",1,0)+IF(CL2406="D",1,0)+IF(CM2406="D",1,0)+IF(CQ2406="D",1,0)+IF(CR2406="D",1,0)+IF(CS2406="D",1,0)+IF(CW2406="D",1,0)+IF(CX2406="D",1,0)+IF(DD2406="D",1,0)+IF(DE2406="D",1,0)+IF(DJ2406="D",1,0)+IF(DK2406="D",1,0)+IF(DO2406="D",1,0)+IF(DP2406="D",1,0)+IF(DQ2406="D",1,0)+IF(DW2406="D",1,0)+IF(DZ2406="D",1,0)+IF(EH2406="D",1,0)</f>
        <v>0</v>
      </c>
      <c r="AY2406" s="0" t="n">
        <f aca="false">COUNTIF(DU2406:EH2406, "&lt;&gt;")</f>
        <v>0</v>
      </c>
      <c r="AZ2406" s="0" t="n">
        <f aca="false">IF(EH2406&lt;&gt;"",1,0)</f>
        <v>0</v>
      </c>
      <c r="BB2406" s="0" t="s">
        <v>152</v>
      </c>
      <c r="CA2406" s="0" t="s">
        <v>153</v>
      </c>
      <c r="CP2406" s="0" t="s">
        <v>153</v>
      </c>
      <c r="DC2406" s="0" t="s">
        <v>153</v>
      </c>
      <c r="DN2406" s="0" t="s">
        <v>153</v>
      </c>
    </row>
    <row r="2407" customFormat="false" ht="13.8" hidden="false" customHeight="false" outlineLevel="0" collapsed="false">
      <c r="A2407" s="0" t="s">
        <v>10389</v>
      </c>
      <c r="B2407" s="0" t="n">
        <v>78</v>
      </c>
      <c r="C2407" s="0" t="n">
        <v>373942</v>
      </c>
      <c r="D2407" s="0" t="s">
        <v>3080</v>
      </c>
      <c r="E2407" s="0" t="s">
        <v>10390</v>
      </c>
      <c r="F2407" s="0" t="str">
        <f aca="false">CONCATENATE(D2407," ",LEFT(H2407,4),"T=",AU2407,"D=",AV2407,"R=",AW2407,"M=",AX2407,"L=",AY2407,"B=",AZ2407)</f>
        <v>SWEGAN T=1D=0R=0M=0L=3B=0</v>
      </c>
      <c r="G2407" s="0" t="s">
        <v>1596</v>
      </c>
      <c r="I2407" s="0" t="s">
        <v>10391</v>
      </c>
      <c r="J2407" s="0" t="s">
        <v>10392</v>
      </c>
      <c r="K2407" s="0" t="s">
        <v>160</v>
      </c>
      <c r="L2407" s="0" t="s">
        <v>209</v>
      </c>
      <c r="M2407" s="0" t="s">
        <v>10393</v>
      </c>
      <c r="N2407" s="0" t="str">
        <f aca="false">RIGHT(M2407,LEN(M2407)-FIND(" ",M2407))</f>
        <v>WOODBINE AVE SE</v>
      </c>
      <c r="P2407" s="0" t="s">
        <v>145</v>
      </c>
      <c r="Q2407" s="0" t="s">
        <v>146</v>
      </c>
      <c r="R2407" s="0" t="n">
        <v>44483</v>
      </c>
      <c r="AD2407" s="0" t="s">
        <v>147</v>
      </c>
      <c r="AE2407" s="0" t="s">
        <v>148</v>
      </c>
      <c r="AF2407" s="0" t="s">
        <v>149</v>
      </c>
      <c r="AH2407" s="0" t="n">
        <v>14</v>
      </c>
      <c r="AI2407" s="0" t="n">
        <v>11</v>
      </c>
      <c r="AN2407" s="0" t="s">
        <v>145</v>
      </c>
      <c r="AO2407" s="0" t="s">
        <v>150</v>
      </c>
      <c r="AP2407" s="0" t="s">
        <v>151</v>
      </c>
      <c r="AQ2407" s="0" t="n">
        <v>9</v>
      </c>
      <c r="AR2407" s="0" t="n">
        <v>64</v>
      </c>
      <c r="AS2407" s="0" t="n">
        <v>32</v>
      </c>
      <c r="AU2407" s="0" t="n">
        <f aca="false">COUNTA($BA$548:$EH$548)</f>
        <v>1</v>
      </c>
      <c r="AV2407" s="0" t="n">
        <f aca="false">COUNTIF($BA$548:$EH$548,"D")</f>
        <v>0</v>
      </c>
      <c r="AW2407" s="0" t="n">
        <f aca="false">COUNTIF($BA$548:$EH$548,"R")</f>
        <v>0</v>
      </c>
      <c r="AX2407" s="0" t="n">
        <f aca="false">IF(BN2407="D",1,0)+IF(BO2407="D",1,0)+IF(BT2407="D",1,0)+IF(BU2407="D",1,0)+IF(BW2407="D",1,0)+IF(CC2407="D",1,0)+IF(CD2407="D",1,0)+IF(CE2407="D",1,0)+IF(CF2407="D",1,0)+IF(CL2407="D",1,0)+IF(CM2407="D",1,0)+IF(CQ2407="D",1,0)+IF(CR2407="D",1,0)+IF(CS2407="D",1,0)+IF(CW2407="D",1,0)+IF(CX2407="D",1,0)+IF(DD2407="D",1,0)+IF(DE2407="D",1,0)+IF(DJ2407="D",1,0)+IF(DK2407="D",1,0)+IF(DO2407="D",1,0)+IF(DP2407="D",1,0)+IF(DQ2407="D",1,0)+IF(DW2407="D",1,0)+IF(DZ2407="D",1,0)+IF(EH2407="D",1,0)</f>
        <v>0</v>
      </c>
      <c r="AY2407" s="0" t="n">
        <f aca="false">COUNTIF(DU2407:EH2407, "&lt;&gt;")</f>
        <v>3</v>
      </c>
      <c r="AZ2407" s="0" t="n">
        <f aca="false">IF(EH2407&lt;&gt;"",1,0)</f>
        <v>0</v>
      </c>
      <c r="BB2407" s="0" t="s">
        <v>152</v>
      </c>
      <c r="CK2407" s="0" t="s">
        <v>153</v>
      </c>
      <c r="CN2407" s="0" t="s">
        <v>153</v>
      </c>
      <c r="CP2407" s="0" t="s">
        <v>153</v>
      </c>
      <c r="CV2407" s="0" t="s">
        <v>153</v>
      </c>
      <c r="CY2407" s="0" t="s">
        <v>153</v>
      </c>
      <c r="CZ2407" s="0" t="s">
        <v>209</v>
      </c>
      <c r="DC2407" s="0" t="s">
        <v>153</v>
      </c>
      <c r="DI2407" s="0" t="s">
        <v>153</v>
      </c>
      <c r="DN2407" s="0" t="s">
        <v>153</v>
      </c>
      <c r="DS2407" s="0" t="s">
        <v>209</v>
      </c>
      <c r="DU2407" s="0" t="s">
        <v>153</v>
      </c>
      <c r="EA2407" s="0" t="s">
        <v>153</v>
      </c>
      <c r="EF2407" s="0" t="s">
        <v>153</v>
      </c>
    </row>
    <row r="2408" customFormat="false" ht="13.8" hidden="false" customHeight="false" outlineLevel="0" collapsed="false">
      <c r="A2408" s="0" t="s">
        <v>10394</v>
      </c>
      <c r="B2408" s="0" t="n">
        <v>78</v>
      </c>
      <c r="C2408" s="0" t="n">
        <v>347337</v>
      </c>
      <c r="D2408" s="0" t="s">
        <v>3080</v>
      </c>
      <c r="E2408" s="0" t="s">
        <v>4211</v>
      </c>
      <c r="F2408" s="0" t="str">
        <f aca="false">CONCATENATE(D2408," ",LEFT(H2408,4),"T=",AU2408,"D=",AV2408,"R=",AW2408,"M=",AX2408,"L=",AY2408,"B=",AZ2408)</f>
        <v>SWEGAN T=20D=4R=0M=0L=3B=0</v>
      </c>
      <c r="G2408" s="0" t="s">
        <v>10395</v>
      </c>
      <c r="I2408" s="0" t="s">
        <v>10396</v>
      </c>
      <c r="J2408" s="0" t="s">
        <v>10397</v>
      </c>
      <c r="K2408" s="0" t="s">
        <v>160</v>
      </c>
      <c r="L2408" s="0" t="s">
        <v>209</v>
      </c>
      <c r="M2408" s="0" t="s">
        <v>10393</v>
      </c>
      <c r="N2408" s="0" t="str">
        <f aca="false">RIGHT(M2408,LEN(M2408)-FIND(" ",M2408))</f>
        <v>WOODBINE AVE SE</v>
      </c>
      <c r="P2408" s="0" t="s">
        <v>145</v>
      </c>
      <c r="Q2408" s="0" t="s">
        <v>146</v>
      </c>
      <c r="R2408" s="0" t="n">
        <v>44483</v>
      </c>
      <c r="AD2408" s="0" t="s">
        <v>147</v>
      </c>
      <c r="AE2408" s="0" t="s">
        <v>148</v>
      </c>
      <c r="AF2408" s="0" t="s">
        <v>149</v>
      </c>
      <c r="AH2408" s="0" t="n">
        <v>14</v>
      </c>
      <c r="AI2408" s="0" t="n">
        <v>11</v>
      </c>
      <c r="AN2408" s="0" t="s">
        <v>145</v>
      </c>
      <c r="AO2408" s="0" t="s">
        <v>150</v>
      </c>
      <c r="AP2408" s="0" t="s">
        <v>151</v>
      </c>
      <c r="AQ2408" s="0" t="n">
        <v>9</v>
      </c>
      <c r="AR2408" s="0" t="n">
        <v>64</v>
      </c>
      <c r="AS2408" s="0" t="n">
        <v>32</v>
      </c>
      <c r="AU2408" s="0" t="n">
        <f aca="false">COUNTA($BA$580:$EH$580)</f>
        <v>20</v>
      </c>
      <c r="AV2408" s="0" t="n">
        <f aca="false">COUNTIF($BA$580:$EH$580,"D")</f>
        <v>4</v>
      </c>
      <c r="AW2408" s="0" t="n">
        <f aca="false">COUNTIF($BA$580:$EH$580,"R")</f>
        <v>0</v>
      </c>
      <c r="AX2408" s="0" t="n">
        <f aca="false">IF(BN2408="D",1,0)+IF(BO2408="D",1,0)+IF(BT2408="D",1,0)+IF(BU2408="D",1,0)+IF(BW2408="D",1,0)+IF(CC2408="D",1,0)+IF(CD2408="D",1,0)+IF(CE2408="D",1,0)+IF(CF2408="D",1,0)+IF(CL2408="D",1,0)+IF(CM2408="D",1,0)+IF(CQ2408="D",1,0)+IF(CR2408="D",1,0)+IF(CS2408="D",1,0)+IF(CW2408="D",1,0)+IF(CX2408="D",1,0)+IF(DD2408="D",1,0)+IF(DE2408="D",1,0)+IF(DJ2408="D",1,0)+IF(DK2408="D",1,0)+IF(DO2408="D",1,0)+IF(DP2408="D",1,0)+IF(DQ2408="D",1,0)+IF(DW2408="D",1,0)+IF(DZ2408="D",1,0)+IF(EH2408="D",1,0)</f>
        <v>0</v>
      </c>
      <c r="AY2408" s="0" t="n">
        <f aca="false">COUNTIF(DU2408:EH2408, "&lt;&gt;")</f>
        <v>3</v>
      </c>
      <c r="AZ2408" s="0" t="n">
        <f aca="false">IF(EH2408&lt;&gt;"",1,0)</f>
        <v>0</v>
      </c>
      <c r="BB2408" s="0" t="s">
        <v>152</v>
      </c>
      <c r="BC2408" s="0" t="s">
        <v>209</v>
      </c>
      <c r="BD2408" s="0" t="s">
        <v>153</v>
      </c>
      <c r="BF2408" s="0" t="s">
        <v>153</v>
      </c>
      <c r="BJ2408" s="0" t="s">
        <v>153</v>
      </c>
      <c r="BL2408" s="0" t="s">
        <v>153</v>
      </c>
      <c r="BP2408" s="0" t="s">
        <v>153</v>
      </c>
      <c r="BS2408" s="0" t="s">
        <v>153</v>
      </c>
      <c r="CA2408" s="0" t="s">
        <v>153</v>
      </c>
      <c r="CG2408" s="0" t="s">
        <v>153</v>
      </c>
      <c r="CK2408" s="0" t="s">
        <v>153</v>
      </c>
      <c r="CN2408" s="0" t="s">
        <v>153</v>
      </c>
      <c r="CP2408" s="0" t="s">
        <v>153</v>
      </c>
      <c r="CV2408" s="0" t="s">
        <v>153</v>
      </c>
      <c r="CY2408" s="0" t="s">
        <v>153</v>
      </c>
      <c r="CZ2408" s="0" t="s">
        <v>209</v>
      </c>
      <c r="DC2408" s="0" t="s">
        <v>153</v>
      </c>
      <c r="DI2408" s="0" t="s">
        <v>153</v>
      </c>
      <c r="DN2408" s="0" t="s">
        <v>153</v>
      </c>
      <c r="DS2408" s="0" t="s">
        <v>209</v>
      </c>
      <c r="DU2408" s="0" t="s">
        <v>153</v>
      </c>
      <c r="EA2408" s="0" t="s">
        <v>153</v>
      </c>
      <c r="EF2408" s="0" t="s">
        <v>153</v>
      </c>
    </row>
    <row r="2409" customFormat="false" ht="13.8" hidden="false" customHeight="false" outlineLevel="0" collapsed="false">
      <c r="A2409" s="0" t="s">
        <v>10398</v>
      </c>
      <c r="B2409" s="0" t="n">
        <v>78</v>
      </c>
      <c r="C2409" s="0" t="n">
        <v>331650</v>
      </c>
      <c r="D2409" s="0" t="s">
        <v>10399</v>
      </c>
      <c r="E2409" s="0" t="s">
        <v>4755</v>
      </c>
      <c r="F2409" s="0" t="str">
        <f aca="false">CONCATENATE(D2409," ",LEFT(H2409,4),"T=",AU2409,"D=",AV2409,"R=",AW2409,"M=",AX2409,"L=",AY2409,"B=",AZ2409)</f>
        <v>RASKOV T=1D=0R=0M=0L=4B=0</v>
      </c>
      <c r="G2409" s="0" t="s">
        <v>175</v>
      </c>
      <c r="I2409" s="0" t="s">
        <v>10400</v>
      </c>
      <c r="J2409" s="0" t="s">
        <v>10401</v>
      </c>
      <c r="K2409" s="0" t="s">
        <v>160</v>
      </c>
      <c r="L2409" s="0" t="s">
        <v>175</v>
      </c>
      <c r="M2409" s="0" t="s">
        <v>10402</v>
      </c>
      <c r="N2409" s="0" t="str">
        <f aca="false">RIGHT(M2409,LEN(M2409)-FIND(" ",M2409))</f>
        <v>WOODBINE AVE SE</v>
      </c>
      <c r="P2409" s="0" t="s">
        <v>145</v>
      </c>
      <c r="Q2409" s="0" t="s">
        <v>146</v>
      </c>
      <c r="R2409" s="0" t="n">
        <v>44484</v>
      </c>
      <c r="AD2409" s="0" t="s">
        <v>147</v>
      </c>
      <c r="AE2409" s="0" t="s">
        <v>148</v>
      </c>
      <c r="AF2409" s="0" t="s">
        <v>149</v>
      </c>
      <c r="AH2409" s="0" t="n">
        <v>14</v>
      </c>
      <c r="AI2409" s="0" t="n">
        <v>11</v>
      </c>
      <c r="AN2409" s="0" t="s">
        <v>145</v>
      </c>
      <c r="AO2409" s="0" t="s">
        <v>233</v>
      </c>
      <c r="AP2409" s="0" t="s">
        <v>234</v>
      </c>
      <c r="AQ2409" s="0" t="n">
        <v>9</v>
      </c>
      <c r="AR2409" s="0" t="n">
        <v>64</v>
      </c>
      <c r="AS2409" s="0" t="n">
        <v>32</v>
      </c>
      <c r="AU2409" s="0" t="n">
        <f aca="false">COUNTA($BA$2176:$EH$2176)</f>
        <v>1</v>
      </c>
      <c r="AV2409" s="0" t="n">
        <f aca="false">COUNTIF($BA$2176:$EH$2176,"D")</f>
        <v>0</v>
      </c>
      <c r="AW2409" s="0" t="n">
        <f aca="false">COUNTIF($BA$2176:$EH$2176,"R")</f>
        <v>0</v>
      </c>
      <c r="AX2409" s="0" t="n">
        <f aca="false">IF(BN2409="D",1,0)+IF(BO2409="D",1,0)+IF(BT2409="D",1,0)+IF(BU2409="D",1,0)+IF(BW2409="D",1,0)+IF(CC2409="D",1,0)+IF(CD2409="D",1,0)+IF(CE2409="D",1,0)+IF(CF2409="D",1,0)+IF(CL2409="D",1,0)+IF(CM2409="D",1,0)+IF(CQ2409="D",1,0)+IF(CR2409="D",1,0)+IF(CS2409="D",1,0)+IF(CW2409="D",1,0)+IF(CX2409="D",1,0)+IF(DD2409="D",1,0)+IF(DE2409="D",1,0)+IF(DJ2409="D",1,0)+IF(DK2409="D",1,0)+IF(DO2409="D",1,0)+IF(DP2409="D",1,0)+IF(DQ2409="D",1,0)+IF(DW2409="D",1,0)+IF(DZ2409="D",1,0)+IF(EH2409="D",1,0)</f>
        <v>0</v>
      </c>
      <c r="AY2409" s="0" t="n">
        <f aca="false">COUNTIF(DU2409:EH2409, "&lt;&gt;")</f>
        <v>4</v>
      </c>
      <c r="AZ2409" s="0" t="n">
        <f aca="false">IF(EH2409&lt;&gt;"",1,0)</f>
        <v>0</v>
      </c>
      <c r="BB2409" s="0" t="s">
        <v>152</v>
      </c>
      <c r="BL2409" s="0" t="s">
        <v>153</v>
      </c>
      <c r="BS2409" s="0" t="s">
        <v>153</v>
      </c>
      <c r="BY2409" s="0" t="s">
        <v>175</v>
      </c>
      <c r="CA2409" s="0" t="s">
        <v>153</v>
      </c>
      <c r="CG2409" s="0" t="s">
        <v>153</v>
      </c>
      <c r="CK2409" s="0" t="s">
        <v>153</v>
      </c>
      <c r="CP2409" s="0" t="s">
        <v>153</v>
      </c>
      <c r="CY2409" s="0" t="s">
        <v>153</v>
      </c>
      <c r="CZ2409" s="0" t="s">
        <v>175</v>
      </c>
      <c r="DC2409" s="0" t="s">
        <v>153</v>
      </c>
      <c r="DI2409" s="0" t="s">
        <v>153</v>
      </c>
      <c r="DN2409" s="0" t="s">
        <v>153</v>
      </c>
      <c r="DU2409" s="0" t="s">
        <v>153</v>
      </c>
      <c r="EA2409" s="0" t="s">
        <v>153</v>
      </c>
      <c r="ED2409" s="0" t="s">
        <v>175</v>
      </c>
      <c r="EF2409" s="0" t="s">
        <v>153</v>
      </c>
    </row>
    <row r="2410" customFormat="false" ht="13.8" hidden="false" customHeight="false" outlineLevel="0" collapsed="false">
      <c r="A2410" s="0" t="s">
        <v>10403</v>
      </c>
      <c r="B2410" s="0" t="n">
        <v>78</v>
      </c>
      <c r="C2410" s="0" t="n">
        <v>331648</v>
      </c>
      <c r="D2410" s="0" t="s">
        <v>10399</v>
      </c>
      <c r="E2410" s="0" t="s">
        <v>1404</v>
      </c>
      <c r="F2410" s="0" t="str">
        <f aca="false">CONCATENATE(D2410," ",LEFT(H2410,4),"T=",AU2410,"D=",AV2410,"R=",AW2410,"M=",AX2410,"L=",AY2410,"B=",AZ2410)</f>
        <v>RASKOV T=19D=2R=0M=0L=4B=0</v>
      </c>
      <c r="G2410" s="0" t="s">
        <v>195</v>
      </c>
      <c r="I2410" s="0" t="s">
        <v>10404</v>
      </c>
      <c r="J2410" s="0" t="s">
        <v>10401</v>
      </c>
      <c r="K2410" s="0" t="s">
        <v>160</v>
      </c>
      <c r="M2410" s="0" t="s">
        <v>10402</v>
      </c>
      <c r="N2410" s="0" t="str">
        <f aca="false">RIGHT(M2410,LEN(M2410)-FIND(" ",M2410))</f>
        <v>WOODBINE AVE SE</v>
      </c>
      <c r="P2410" s="0" t="s">
        <v>145</v>
      </c>
      <c r="Q2410" s="0" t="s">
        <v>146</v>
      </c>
      <c r="R2410" s="0" t="n">
        <v>44484</v>
      </c>
      <c r="AD2410" s="0" t="s">
        <v>147</v>
      </c>
      <c r="AE2410" s="0" t="s">
        <v>148</v>
      </c>
      <c r="AF2410" s="0" t="s">
        <v>149</v>
      </c>
      <c r="AH2410" s="0" t="n">
        <v>14</v>
      </c>
      <c r="AI2410" s="0" t="n">
        <v>11</v>
      </c>
      <c r="AN2410" s="0" t="s">
        <v>145</v>
      </c>
      <c r="AO2410" s="0" t="s">
        <v>233</v>
      </c>
      <c r="AP2410" s="0" t="s">
        <v>234</v>
      </c>
      <c r="AQ2410" s="0" t="n">
        <v>9</v>
      </c>
      <c r="AR2410" s="0" t="n">
        <v>64</v>
      </c>
      <c r="AS2410" s="0" t="n">
        <v>32</v>
      </c>
      <c r="AU2410" s="0" t="n">
        <f aca="false">COUNTA($BA$2189:$EH$2189)</f>
        <v>19</v>
      </c>
      <c r="AV2410" s="0" t="n">
        <f aca="false">COUNTIF($BA$2189:$EH$2189,"D")</f>
        <v>2</v>
      </c>
      <c r="AW2410" s="0" t="n">
        <f aca="false">COUNTIF($BA$2189:$EH$2189,"R")</f>
        <v>0</v>
      </c>
      <c r="AX2410" s="0" t="n">
        <f aca="false">IF(BN2410="D",1,0)+IF(BO2410="D",1,0)+IF(BT2410="D",1,0)+IF(BU2410="D",1,0)+IF(BW2410="D",1,0)+IF(CC2410="D",1,0)+IF(CD2410="D",1,0)+IF(CE2410="D",1,0)+IF(CF2410="D",1,0)+IF(CL2410="D",1,0)+IF(CM2410="D",1,0)+IF(CQ2410="D",1,0)+IF(CR2410="D",1,0)+IF(CS2410="D",1,0)+IF(CW2410="D",1,0)+IF(CX2410="D",1,0)+IF(DD2410="D",1,0)+IF(DE2410="D",1,0)+IF(DJ2410="D",1,0)+IF(DK2410="D",1,0)+IF(DO2410="D",1,0)+IF(DP2410="D",1,0)+IF(DQ2410="D",1,0)+IF(DW2410="D",1,0)+IF(DZ2410="D",1,0)+IF(EH2410="D",1,0)</f>
        <v>0</v>
      </c>
      <c r="AY2410" s="0" t="n">
        <f aca="false">COUNTIF(DU2410:EH2410, "&lt;&gt;")</f>
        <v>4</v>
      </c>
      <c r="AZ2410" s="0" t="n">
        <f aca="false">IF(EH2410&lt;&gt;"",1,0)</f>
        <v>0</v>
      </c>
      <c r="BB2410" s="0" t="s">
        <v>152</v>
      </c>
      <c r="BL2410" s="0" t="s">
        <v>153</v>
      </c>
      <c r="BS2410" s="0" t="s">
        <v>153</v>
      </c>
      <c r="BY2410" s="0" t="s">
        <v>175</v>
      </c>
      <c r="CA2410" s="0" t="s">
        <v>153</v>
      </c>
      <c r="CG2410" s="0" t="s">
        <v>153</v>
      </c>
      <c r="CK2410" s="0" t="s">
        <v>153</v>
      </c>
      <c r="CP2410" s="0" t="s">
        <v>153</v>
      </c>
      <c r="CY2410" s="0" t="s">
        <v>153</v>
      </c>
      <c r="CZ2410" s="0" t="s">
        <v>175</v>
      </c>
      <c r="DC2410" s="0" t="s">
        <v>153</v>
      </c>
      <c r="DI2410" s="0" t="s">
        <v>153</v>
      </c>
      <c r="DN2410" s="0" t="s">
        <v>153</v>
      </c>
      <c r="DU2410" s="0" t="s">
        <v>153</v>
      </c>
      <c r="DX2410" s="0" t="s">
        <v>153</v>
      </c>
      <c r="EA2410" s="0" t="s">
        <v>153</v>
      </c>
      <c r="EF2410" s="0" t="s">
        <v>153</v>
      </c>
    </row>
    <row r="2411" customFormat="false" ht="13.8" hidden="false" customHeight="false" outlineLevel="0" collapsed="false">
      <c r="A2411" s="0" t="s">
        <v>10405</v>
      </c>
      <c r="B2411" s="0" t="n">
        <v>78</v>
      </c>
      <c r="C2411" s="0" t="n">
        <v>137070</v>
      </c>
      <c r="D2411" s="0" t="s">
        <v>10406</v>
      </c>
      <c r="E2411" s="0" t="s">
        <v>719</v>
      </c>
      <c r="F2411" s="0" t="str">
        <f aca="false">CONCATENATE(D2411," ",LEFT(H2411,4),"T=",AU2411,"D=",AV2411,"R=",AW2411,"M=",AX2411,"L=",AY2411,"B=",AZ2411)</f>
        <v>SMALTZ T=2D=0R=0M=0L=5B=0</v>
      </c>
      <c r="G2411" s="0" t="s">
        <v>362</v>
      </c>
      <c r="I2411" s="0" t="s">
        <v>6832</v>
      </c>
      <c r="J2411" s="0" t="s">
        <v>10407</v>
      </c>
      <c r="K2411" s="0" t="s">
        <v>160</v>
      </c>
      <c r="L2411" s="0" t="s">
        <v>209</v>
      </c>
      <c r="M2411" s="0" t="s">
        <v>10408</v>
      </c>
      <c r="N2411" s="0" t="str">
        <f aca="false">RIGHT(M2411,LEN(M2411)-FIND(" ",M2411))</f>
        <v>WOODBINE AVE SE</v>
      </c>
      <c r="P2411" s="0" t="s">
        <v>145</v>
      </c>
      <c r="Q2411" s="0" t="s">
        <v>146</v>
      </c>
      <c r="R2411" s="0" t="n">
        <v>44484</v>
      </c>
      <c r="AD2411" s="0" t="s">
        <v>147</v>
      </c>
      <c r="AE2411" s="0" t="s">
        <v>148</v>
      </c>
      <c r="AF2411" s="0" t="s">
        <v>149</v>
      </c>
      <c r="AH2411" s="0" t="n">
        <v>14</v>
      </c>
      <c r="AI2411" s="0" t="n">
        <v>11</v>
      </c>
      <c r="AN2411" s="0" t="s">
        <v>145</v>
      </c>
      <c r="AO2411" s="0" t="s">
        <v>233</v>
      </c>
      <c r="AP2411" s="0" t="s">
        <v>234</v>
      </c>
      <c r="AQ2411" s="0" t="n">
        <v>9</v>
      </c>
      <c r="AR2411" s="0" t="n">
        <v>64</v>
      </c>
      <c r="AS2411" s="0" t="n">
        <v>32</v>
      </c>
      <c r="AU2411" s="0" t="n">
        <f aca="false">COUNTA($BA$2588:$EH$2588)</f>
        <v>2</v>
      </c>
      <c r="AV2411" s="0" t="n">
        <f aca="false">COUNTIF($BA$2588:$EH$2588,"D")</f>
        <v>0</v>
      </c>
      <c r="AW2411" s="0" t="n">
        <f aca="false">COUNTIF($BA$2588:$EH$2588,"R")</f>
        <v>0</v>
      </c>
      <c r="AX2411" s="0" t="n">
        <f aca="false">IF(BN2411="D",1,0)+IF(BO2411="D",1,0)+IF(BT2411="D",1,0)+IF(BU2411="D",1,0)+IF(BW2411="D",1,0)+IF(CC2411="D",1,0)+IF(CD2411="D",1,0)+IF(CE2411="D",1,0)+IF(CF2411="D",1,0)+IF(CL2411="D",1,0)+IF(CM2411="D",1,0)+IF(CQ2411="D",1,0)+IF(CR2411="D",1,0)+IF(CS2411="D",1,0)+IF(CW2411="D",1,0)+IF(CX2411="D",1,0)+IF(DD2411="D",1,0)+IF(DE2411="D",1,0)+IF(DJ2411="D",1,0)+IF(DK2411="D",1,0)+IF(DO2411="D",1,0)+IF(DP2411="D",1,0)+IF(DQ2411="D",1,0)+IF(DW2411="D",1,0)+IF(DZ2411="D",1,0)+IF(EH2411="D",1,0)</f>
        <v>0</v>
      </c>
      <c r="AY2411" s="0" t="n">
        <f aca="false">COUNTIF(DU2411:EH2411, "&lt;&gt;")</f>
        <v>5</v>
      </c>
      <c r="AZ2411" s="0" t="n">
        <f aca="false">IF(EH2411&lt;&gt;"",1,0)</f>
        <v>0</v>
      </c>
      <c r="BB2411" s="0" t="s">
        <v>152</v>
      </c>
      <c r="BC2411" s="0" t="s">
        <v>153</v>
      </c>
      <c r="BD2411" s="0" t="s">
        <v>153</v>
      </c>
      <c r="BE2411" s="0" t="s">
        <v>153</v>
      </c>
      <c r="BH2411" s="0" t="s">
        <v>153</v>
      </c>
      <c r="BJ2411" s="0" t="s">
        <v>153</v>
      </c>
      <c r="BL2411" s="0" t="s">
        <v>153</v>
      </c>
      <c r="BP2411" s="0" t="s">
        <v>153</v>
      </c>
      <c r="BS2411" s="0" t="s">
        <v>153</v>
      </c>
      <c r="BY2411" s="0" t="s">
        <v>175</v>
      </c>
      <c r="CA2411" s="0" t="s">
        <v>153</v>
      </c>
      <c r="CG2411" s="0" t="s">
        <v>153</v>
      </c>
      <c r="CH2411" s="0" t="s">
        <v>175</v>
      </c>
      <c r="CK2411" s="0" t="s">
        <v>153</v>
      </c>
      <c r="CN2411" s="0" t="s">
        <v>153</v>
      </c>
      <c r="CO2411" s="0" t="s">
        <v>209</v>
      </c>
      <c r="CP2411" s="0" t="s">
        <v>153</v>
      </c>
      <c r="CY2411" s="0" t="s">
        <v>153</v>
      </c>
      <c r="CZ2411" s="0" t="s">
        <v>209</v>
      </c>
      <c r="DC2411" s="0" t="s">
        <v>153</v>
      </c>
      <c r="DF2411" s="0" t="s">
        <v>153</v>
      </c>
      <c r="DI2411" s="0" t="s">
        <v>153</v>
      </c>
      <c r="DM2411" s="0" t="s">
        <v>209</v>
      </c>
      <c r="DN2411" s="0" t="s">
        <v>153</v>
      </c>
      <c r="DS2411" s="0" t="s">
        <v>209</v>
      </c>
      <c r="DU2411" s="0" t="s">
        <v>153</v>
      </c>
      <c r="DX2411" s="0" t="s">
        <v>153</v>
      </c>
      <c r="EA2411" s="0" t="s">
        <v>153</v>
      </c>
      <c r="ED2411" s="0" t="s">
        <v>209</v>
      </c>
      <c r="EF2411" s="0" t="s">
        <v>153</v>
      </c>
    </row>
    <row r="2412" customFormat="false" ht="13.8" hidden="true" customHeight="false" outlineLevel="0" collapsed="false">
      <c r="A2412" s="0" t="s">
        <v>10409</v>
      </c>
      <c r="B2412" s="0" t="n">
        <v>78</v>
      </c>
      <c r="C2412" s="0" t="n">
        <v>396108</v>
      </c>
      <c r="D2412" s="0" t="s">
        <v>8941</v>
      </c>
      <c r="E2412" s="0" t="s">
        <v>658</v>
      </c>
      <c r="F2412" s="0" t="str">
        <f aca="false">CONCATENATE(D2412," ",LEFT(H2412,4),"T=",AU2412,"D=",AV2412,"R=",AW2412,"M=",AX2412,"L=",AY2412,"B=",AZ2412)</f>
        <v>HALE T=26D=1R=5M=0L=0B=0</v>
      </c>
      <c r="G2412" s="0" t="s">
        <v>522</v>
      </c>
      <c r="I2412" s="0" t="s">
        <v>10410</v>
      </c>
      <c r="J2412" s="0" t="s">
        <v>10411</v>
      </c>
      <c r="K2412" s="0" t="s">
        <v>143</v>
      </c>
      <c r="M2412" s="0" t="s">
        <v>10412</v>
      </c>
      <c r="N2412" s="0" t="str">
        <f aca="false">RIGHT(M2412,LEN(M2412)-FIND(" ",M2412))</f>
        <v>WOODBINE AVE SE</v>
      </c>
      <c r="P2412" s="0" t="s">
        <v>145</v>
      </c>
      <c r="Q2412" s="0" t="s">
        <v>146</v>
      </c>
      <c r="R2412" s="0" t="n">
        <v>44484</v>
      </c>
      <c r="AD2412" s="0" t="s">
        <v>147</v>
      </c>
      <c r="AE2412" s="0" t="s">
        <v>148</v>
      </c>
      <c r="AF2412" s="0" t="s">
        <v>149</v>
      </c>
      <c r="AH2412" s="0" t="n">
        <v>14</v>
      </c>
      <c r="AI2412" s="0" t="n">
        <v>11</v>
      </c>
      <c r="AN2412" s="0" t="s">
        <v>145</v>
      </c>
      <c r="AO2412" s="0" t="s">
        <v>233</v>
      </c>
      <c r="AP2412" s="0" t="s">
        <v>234</v>
      </c>
      <c r="AQ2412" s="0" t="n">
        <v>9</v>
      </c>
      <c r="AR2412" s="0" t="n">
        <v>64</v>
      </c>
      <c r="AS2412" s="0" t="n">
        <v>32</v>
      </c>
      <c r="AU2412" s="0" t="n">
        <f aca="false">COUNTA($BA$2439:$EH$2439)</f>
        <v>26</v>
      </c>
      <c r="AV2412" s="0" t="n">
        <f aca="false">COUNTIF($BA$2439:$EH$2439,"D")</f>
        <v>1</v>
      </c>
      <c r="AW2412" s="0" t="n">
        <f aca="false">COUNTIF($BA$2439:$EH$2439,"R")</f>
        <v>5</v>
      </c>
      <c r="AX2412" s="0" t="n">
        <f aca="false">IF(BN2412="D",1,0)+IF(BO2412="D",1,0)+IF(BT2412="D",1,0)+IF(BU2412="D",1,0)+IF(BW2412="D",1,0)+IF(CC2412="D",1,0)+IF(CD2412="D",1,0)+IF(CE2412="D",1,0)+IF(CF2412="D",1,0)+IF(CL2412="D",1,0)+IF(CM2412="D",1,0)+IF(CQ2412="D",1,0)+IF(CR2412="D",1,0)+IF(CS2412="D",1,0)+IF(CW2412="D",1,0)+IF(CX2412="D",1,0)+IF(DD2412="D",1,0)+IF(DE2412="D",1,0)+IF(DJ2412="D",1,0)+IF(DK2412="D",1,0)+IF(DO2412="D",1,0)+IF(DP2412="D",1,0)+IF(DQ2412="D",1,0)+IF(DW2412="D",1,0)+IF(DZ2412="D",1,0)+IF(EH2412="D",1,0)</f>
        <v>0</v>
      </c>
      <c r="AY2412" s="0" t="n">
        <f aca="false">COUNTIF(DU2412:EH2412, "&lt;&gt;")</f>
        <v>0</v>
      </c>
      <c r="AZ2412" s="0" t="n">
        <f aca="false">IF(EH2412&lt;&gt;"",1,0)</f>
        <v>0</v>
      </c>
      <c r="BB2412" s="0" t="s">
        <v>152</v>
      </c>
      <c r="BL2412" s="0" t="s">
        <v>153</v>
      </c>
      <c r="CA2412" s="0" t="s">
        <v>153</v>
      </c>
      <c r="CY2412" s="0" t="s">
        <v>153</v>
      </c>
    </row>
    <row r="2413" customFormat="false" ht="13.8" hidden="true" customHeight="false" outlineLevel="0" collapsed="false">
      <c r="A2413" s="0" t="s">
        <v>10413</v>
      </c>
      <c r="B2413" s="0" t="n">
        <v>78</v>
      </c>
      <c r="C2413" s="0" t="n">
        <v>487146</v>
      </c>
      <c r="D2413" s="0" t="s">
        <v>4664</v>
      </c>
      <c r="E2413" s="0" t="s">
        <v>10414</v>
      </c>
      <c r="F2413" s="0" t="str">
        <f aca="false">CONCATENATE(D2413," ",LEFT(H2413,4),"T=",AU2413,"D=",AV2413,"R=",AW2413,"M=",AX2413,"L=",AY2413,"B=",AZ2413)</f>
        <v>SHIPP T=22D=2R=1M=0L=0B=0</v>
      </c>
      <c r="G2413" s="0" t="s">
        <v>175</v>
      </c>
      <c r="I2413" s="0" t="s">
        <v>10415</v>
      </c>
      <c r="J2413" s="0" t="s">
        <v>5684</v>
      </c>
      <c r="K2413" s="0" t="s">
        <v>160</v>
      </c>
      <c r="M2413" s="0" t="s">
        <v>10416</v>
      </c>
      <c r="N2413" s="0" t="str">
        <f aca="false">RIGHT(M2413,LEN(M2413)-FIND(" ",M2413))</f>
        <v>WOODBINE AVE SE</v>
      </c>
      <c r="P2413" s="0" t="s">
        <v>145</v>
      </c>
      <c r="Q2413" s="0" t="s">
        <v>146</v>
      </c>
      <c r="R2413" s="0" t="n">
        <v>44484</v>
      </c>
      <c r="AD2413" s="0" t="s">
        <v>147</v>
      </c>
      <c r="AE2413" s="0" t="s">
        <v>148</v>
      </c>
      <c r="AF2413" s="0" t="s">
        <v>149</v>
      </c>
      <c r="AH2413" s="0" t="n">
        <v>14</v>
      </c>
      <c r="AI2413" s="0" t="n">
        <v>11</v>
      </c>
      <c r="AN2413" s="0" t="s">
        <v>145</v>
      </c>
      <c r="AO2413" s="0" t="s">
        <v>233</v>
      </c>
      <c r="AP2413" s="0" t="s">
        <v>234</v>
      </c>
      <c r="AQ2413" s="0" t="n">
        <v>9</v>
      </c>
      <c r="AR2413" s="0" t="n">
        <v>64</v>
      </c>
      <c r="AS2413" s="0" t="n">
        <v>32</v>
      </c>
      <c r="AU2413" s="0" t="n">
        <f aca="false">COUNTA($BA$2125:$EH$2125)</f>
        <v>22</v>
      </c>
      <c r="AV2413" s="0" t="n">
        <f aca="false">COUNTIF($BA$2125:$EH$2125,"D")</f>
        <v>2</v>
      </c>
      <c r="AW2413" s="0" t="n">
        <f aca="false">COUNTIF($BA$2125:$EH$2125,"R")</f>
        <v>1</v>
      </c>
      <c r="AX2413" s="0" t="n">
        <f aca="false">IF(BN2413="D",1,0)+IF(BO2413="D",1,0)+IF(BT2413="D",1,0)+IF(BU2413="D",1,0)+IF(BW2413="D",1,0)+IF(CC2413="D",1,0)+IF(CD2413="D",1,0)+IF(CE2413="D",1,0)+IF(CF2413="D",1,0)+IF(CL2413="D",1,0)+IF(CM2413="D",1,0)+IF(CQ2413="D",1,0)+IF(CR2413="D",1,0)+IF(CS2413="D",1,0)+IF(CW2413="D",1,0)+IF(CX2413="D",1,0)+IF(DD2413="D",1,0)+IF(DE2413="D",1,0)+IF(DJ2413="D",1,0)+IF(DK2413="D",1,0)+IF(DO2413="D",1,0)+IF(DP2413="D",1,0)+IF(DQ2413="D",1,0)+IF(DW2413="D",1,0)+IF(DZ2413="D",1,0)+IF(EH2413="D",1,0)</f>
        <v>0</v>
      </c>
      <c r="AY2413" s="0" t="n">
        <f aca="false">COUNTIF(DU2413:EH2413, "&lt;&gt;")</f>
        <v>0</v>
      </c>
      <c r="AZ2413" s="0" t="n">
        <f aca="false">IF(EH2413&lt;&gt;"",1,0)</f>
        <v>0</v>
      </c>
      <c r="BB2413" s="0" t="s">
        <v>152</v>
      </c>
    </row>
    <row r="2414" customFormat="false" ht="13.8" hidden="true" customHeight="false" outlineLevel="0" collapsed="false">
      <c r="A2414" s="0" t="s">
        <v>10417</v>
      </c>
      <c r="B2414" s="0" t="n">
        <v>78</v>
      </c>
      <c r="C2414" s="0" t="n">
        <v>410842</v>
      </c>
      <c r="D2414" s="0" t="s">
        <v>5270</v>
      </c>
      <c r="E2414" s="0" t="s">
        <v>475</v>
      </c>
      <c r="F2414" s="0" t="str">
        <f aca="false">CONCATENATE(D2414," ",LEFT(H2414,4),"T=",AU2414,"D=",AV2414,"R=",AW2414,"M=",AX2414,"L=",AY2414,"B=",AZ2414)</f>
        <v>DICKEY JRT=1D=0R=0M=0L=0B=0</v>
      </c>
      <c r="G2414" s="0" t="s">
        <v>175</v>
      </c>
      <c r="H2414" s="0" t="s">
        <v>314</v>
      </c>
      <c r="I2414" s="0" t="s">
        <v>10418</v>
      </c>
      <c r="J2414" s="0" t="s">
        <v>10419</v>
      </c>
      <c r="K2414" s="0" t="s">
        <v>143</v>
      </c>
      <c r="M2414" s="0" t="s">
        <v>10416</v>
      </c>
      <c r="N2414" s="0" t="str">
        <f aca="false">RIGHT(M2414,LEN(M2414)-FIND(" ",M2414))</f>
        <v>WOODBINE AVE SE</v>
      </c>
      <c r="P2414" s="0" t="s">
        <v>145</v>
      </c>
      <c r="Q2414" s="0" t="s">
        <v>146</v>
      </c>
      <c r="R2414" s="0" t="n">
        <v>44484</v>
      </c>
      <c r="AD2414" s="0" t="s">
        <v>147</v>
      </c>
      <c r="AE2414" s="0" t="s">
        <v>148</v>
      </c>
      <c r="AF2414" s="0" t="s">
        <v>149</v>
      </c>
      <c r="AH2414" s="0" t="n">
        <v>14</v>
      </c>
      <c r="AI2414" s="0" t="n">
        <v>11</v>
      </c>
      <c r="AN2414" s="0" t="s">
        <v>145</v>
      </c>
      <c r="AO2414" s="0" t="s">
        <v>233</v>
      </c>
      <c r="AP2414" s="0" t="s">
        <v>234</v>
      </c>
      <c r="AQ2414" s="0" t="n">
        <v>9</v>
      </c>
      <c r="AR2414" s="0" t="n">
        <v>64</v>
      </c>
      <c r="AS2414" s="0" t="n">
        <v>32</v>
      </c>
      <c r="AU2414" s="0" t="n">
        <f aca="false">COUNTA($BA$2618:$EH$2618)</f>
        <v>1</v>
      </c>
      <c r="AV2414" s="0" t="n">
        <f aca="false">COUNTIF($BA$2618:$EH$2618,"D")</f>
        <v>0</v>
      </c>
      <c r="AW2414" s="0" t="n">
        <f aca="false">COUNTIF($BA$2618:$EH$2618,"R")</f>
        <v>0</v>
      </c>
      <c r="AX2414" s="0" t="n">
        <f aca="false">IF(BN2414="D",1,0)+IF(BO2414="D",1,0)+IF(BT2414="D",1,0)+IF(BU2414="D",1,0)+IF(BW2414="D",1,0)+IF(CC2414="D",1,0)+IF(CD2414="D",1,0)+IF(CE2414="D",1,0)+IF(CF2414="D",1,0)+IF(CL2414="D",1,0)+IF(CM2414="D",1,0)+IF(CQ2414="D",1,0)+IF(CR2414="D",1,0)+IF(CS2414="D",1,0)+IF(CW2414="D",1,0)+IF(CX2414="D",1,0)+IF(DD2414="D",1,0)+IF(DE2414="D",1,0)+IF(DJ2414="D",1,0)+IF(DK2414="D",1,0)+IF(DO2414="D",1,0)+IF(DP2414="D",1,0)+IF(DQ2414="D",1,0)+IF(DW2414="D",1,0)+IF(DZ2414="D",1,0)+IF(EH2414="D",1,0)</f>
        <v>0</v>
      </c>
      <c r="AY2414" s="0" t="n">
        <f aca="false">COUNTIF(DU2414:EH2414, "&lt;&gt;")</f>
        <v>0</v>
      </c>
      <c r="AZ2414" s="0" t="n">
        <f aca="false">IF(EH2414&lt;&gt;"",1,0)</f>
        <v>0</v>
      </c>
      <c r="BB2414" s="0" t="s">
        <v>152</v>
      </c>
    </row>
    <row r="2415" customFormat="false" ht="13.8" hidden="false" customHeight="false" outlineLevel="0" collapsed="false">
      <c r="A2415" s="0" t="s">
        <v>10420</v>
      </c>
      <c r="B2415" s="0" t="n">
        <v>78</v>
      </c>
      <c r="C2415" s="0" t="n">
        <v>231248</v>
      </c>
      <c r="D2415" s="0" t="s">
        <v>4705</v>
      </c>
      <c r="E2415" s="0" t="s">
        <v>1208</v>
      </c>
      <c r="F2415" s="0" t="str">
        <f aca="false">CONCATENATE(D2415," ",LEFT(H2415,4),"T=",AU2415,"D=",AV2415,"R=",AW2415,"M=",AX2415,"L=",AY2415,"B=",AZ2415)</f>
        <v>STEPHENS T=27D=8R=0M=0L=2B=0</v>
      </c>
      <c r="G2415" s="0" t="s">
        <v>1031</v>
      </c>
      <c r="I2415" s="0" t="s">
        <v>10421</v>
      </c>
      <c r="J2415" s="0" t="s">
        <v>7291</v>
      </c>
      <c r="K2415" s="0" t="s">
        <v>160</v>
      </c>
      <c r="M2415" s="0" t="s">
        <v>10422</v>
      </c>
      <c r="N2415" s="0" t="str">
        <f aca="false">RIGHT(M2415,LEN(M2415)-FIND(" ",M2415))</f>
        <v>WOODBINE AVE SE</v>
      </c>
      <c r="P2415" s="0" t="s">
        <v>145</v>
      </c>
      <c r="Q2415" s="0" t="s">
        <v>146</v>
      </c>
      <c r="R2415" s="0" t="n">
        <v>44484</v>
      </c>
      <c r="AD2415" s="0" t="s">
        <v>147</v>
      </c>
      <c r="AE2415" s="0" t="s">
        <v>148</v>
      </c>
      <c r="AF2415" s="0" t="s">
        <v>149</v>
      </c>
      <c r="AH2415" s="0" t="n">
        <v>14</v>
      </c>
      <c r="AI2415" s="0" t="n">
        <v>11</v>
      </c>
      <c r="AN2415" s="0" t="s">
        <v>145</v>
      </c>
      <c r="AO2415" s="0" t="s">
        <v>233</v>
      </c>
      <c r="AP2415" s="0" t="s">
        <v>234</v>
      </c>
      <c r="AQ2415" s="0" t="n">
        <v>9</v>
      </c>
      <c r="AR2415" s="0" t="n">
        <v>64</v>
      </c>
      <c r="AS2415" s="0" t="n">
        <v>32</v>
      </c>
      <c r="AU2415" s="0" t="n">
        <f aca="false">COUNTA($BA$2495:$EH$2495)</f>
        <v>27</v>
      </c>
      <c r="AV2415" s="0" t="n">
        <f aca="false">COUNTIF($BA$2495:$EH$2495,"D")</f>
        <v>8</v>
      </c>
      <c r="AW2415" s="0" t="n">
        <f aca="false">COUNTIF($BA$2495:$EH$2495,"R")</f>
        <v>0</v>
      </c>
      <c r="AX2415" s="0" t="n">
        <f aca="false">IF(BN2415="D",1,0)+IF(BO2415="D",1,0)+IF(BT2415="D",1,0)+IF(BU2415="D",1,0)+IF(BW2415="D",1,0)+IF(CC2415="D",1,0)+IF(CD2415="D",1,0)+IF(CE2415="D",1,0)+IF(CF2415="D",1,0)+IF(CL2415="D",1,0)+IF(CM2415="D",1,0)+IF(CQ2415="D",1,0)+IF(CR2415="D",1,0)+IF(CS2415="D",1,0)+IF(CW2415="D",1,0)+IF(CX2415="D",1,0)+IF(DD2415="D",1,0)+IF(DE2415="D",1,0)+IF(DJ2415="D",1,0)+IF(DK2415="D",1,0)+IF(DO2415="D",1,0)+IF(DP2415="D",1,0)+IF(DQ2415="D",1,0)+IF(DW2415="D",1,0)+IF(DZ2415="D",1,0)+IF(EH2415="D",1,0)</f>
        <v>0</v>
      </c>
      <c r="AY2415" s="0" t="n">
        <f aca="false">COUNTIF(DU2415:EH2415, "&lt;&gt;")</f>
        <v>2</v>
      </c>
      <c r="AZ2415" s="0" t="n">
        <f aca="false">IF(EH2415&lt;&gt;"",1,0)</f>
        <v>0</v>
      </c>
      <c r="BB2415" s="0" t="s">
        <v>152</v>
      </c>
      <c r="BD2415" s="0" t="s">
        <v>153</v>
      </c>
      <c r="BL2415" s="0" t="s">
        <v>153</v>
      </c>
      <c r="BY2415" s="0" t="s">
        <v>175</v>
      </c>
      <c r="CA2415" s="0" t="s">
        <v>153</v>
      </c>
      <c r="CP2415" s="0" t="s">
        <v>153</v>
      </c>
      <c r="CV2415" s="0" t="s">
        <v>153</v>
      </c>
      <c r="CY2415" s="0" t="s">
        <v>153</v>
      </c>
      <c r="DC2415" s="0" t="s">
        <v>153</v>
      </c>
      <c r="DN2415" s="0" t="s">
        <v>153</v>
      </c>
      <c r="EA2415" s="0" t="s">
        <v>153</v>
      </c>
      <c r="EF2415" s="0" t="s">
        <v>153</v>
      </c>
    </row>
    <row r="2416" customFormat="false" ht="13.8" hidden="false" customHeight="false" outlineLevel="0" collapsed="false">
      <c r="A2416" s="0" t="s">
        <v>10423</v>
      </c>
      <c r="B2416" s="0" t="n">
        <v>78</v>
      </c>
      <c r="C2416" s="0" t="n">
        <v>232486</v>
      </c>
      <c r="D2416" s="0" t="s">
        <v>642</v>
      </c>
      <c r="E2416" s="0" t="s">
        <v>10424</v>
      </c>
      <c r="F2416" s="0" t="str">
        <f aca="false">CONCATENATE(D2416," ",LEFT(H2416,4),"T=",AU2416,"D=",AV2416,"R=",AW2416,"M=",AX2416,"L=",AY2416,"B=",AZ2416)</f>
        <v>MILLS T=4D=1R=0M=5L=2B=0</v>
      </c>
      <c r="G2416" s="0" t="s">
        <v>10425</v>
      </c>
      <c r="I2416" s="0" t="s">
        <v>10426</v>
      </c>
      <c r="J2416" s="0" t="s">
        <v>1516</v>
      </c>
      <c r="K2416" s="0" t="s">
        <v>160</v>
      </c>
      <c r="L2416" s="0" t="s">
        <v>175</v>
      </c>
      <c r="M2416" s="0" t="s">
        <v>10427</v>
      </c>
      <c r="N2416" s="0" t="str">
        <f aca="false">RIGHT(M2416,LEN(M2416)-FIND(" ",M2416))</f>
        <v>WOODBINE AVE SE</v>
      </c>
      <c r="P2416" s="0" t="s">
        <v>145</v>
      </c>
      <c r="Q2416" s="0" t="s">
        <v>146</v>
      </c>
      <c r="R2416" s="0" t="n">
        <v>44484</v>
      </c>
      <c r="AD2416" s="0" t="s">
        <v>147</v>
      </c>
      <c r="AE2416" s="0" t="s">
        <v>148</v>
      </c>
      <c r="AF2416" s="0" t="s">
        <v>149</v>
      </c>
      <c r="AH2416" s="0" t="n">
        <v>14</v>
      </c>
      <c r="AI2416" s="0" t="n">
        <v>11</v>
      </c>
      <c r="AN2416" s="0" t="s">
        <v>145</v>
      </c>
      <c r="AO2416" s="0" t="s">
        <v>233</v>
      </c>
      <c r="AP2416" s="0" t="s">
        <v>234</v>
      </c>
      <c r="AQ2416" s="0" t="n">
        <v>9</v>
      </c>
      <c r="AR2416" s="0" t="n">
        <v>64</v>
      </c>
      <c r="AS2416" s="0" t="n">
        <v>32</v>
      </c>
      <c r="AU2416" s="0" t="n">
        <f aca="false">COUNTA($BA$2171:$EH$2171)</f>
        <v>4</v>
      </c>
      <c r="AV2416" s="0" t="n">
        <f aca="false">COUNTIF($BA$2171:$EH$2171,"D")</f>
        <v>1</v>
      </c>
      <c r="AW2416" s="0" t="n">
        <f aca="false">COUNTIF($BA$2171:$EH$2171,"R")</f>
        <v>0</v>
      </c>
      <c r="AX2416" s="0" t="n">
        <f aca="false">IF(BN2416="D",1,0)+IF(BO2416="D",1,0)+IF(BT2416="D",1,0)+IF(BU2416="D",1,0)+IF(BW2416="D",1,0)+IF(CC2416="D",1,0)+IF(CD2416="D",1,0)+IF(CE2416="D",1,0)+IF(CF2416="D",1,0)+IF(CL2416="D",1,0)+IF(CM2416="D",1,0)+IF(CQ2416="D",1,0)+IF(CR2416="D",1,0)+IF(CS2416="D",1,0)+IF(CW2416="D",1,0)+IF(CX2416="D",1,0)+IF(DD2416="D",1,0)+IF(DE2416="D",1,0)+IF(DJ2416="D",1,0)+IF(DK2416="D",1,0)+IF(DO2416="D",1,0)+IF(DP2416="D",1,0)+IF(DQ2416="D",1,0)+IF(DW2416="D",1,0)+IF(DZ2416="D",1,0)+IF(EH2416="D",1,0)</f>
        <v>5</v>
      </c>
      <c r="AY2416" s="0" t="n">
        <f aca="false">COUNTIF(DU2416:EH2416, "&lt;&gt;")</f>
        <v>2</v>
      </c>
      <c r="AZ2416" s="0" t="n">
        <f aca="false">IF(EH2416&lt;&gt;"",1,0)</f>
        <v>0</v>
      </c>
      <c r="BB2416" s="0" t="s">
        <v>152</v>
      </c>
      <c r="BD2416" s="0" t="s">
        <v>153</v>
      </c>
      <c r="BH2416" s="0" t="s">
        <v>153</v>
      </c>
      <c r="BL2416" s="0" t="s">
        <v>153</v>
      </c>
      <c r="BP2416" s="0" t="s">
        <v>153</v>
      </c>
      <c r="BS2416" s="0" t="s">
        <v>153</v>
      </c>
      <c r="BY2416" s="0" t="s">
        <v>175</v>
      </c>
      <c r="CA2416" s="0" t="s">
        <v>153</v>
      </c>
      <c r="CK2416" s="0" t="s">
        <v>153</v>
      </c>
      <c r="CL2416" s="0" t="s">
        <v>175</v>
      </c>
      <c r="CN2416" s="0" t="s">
        <v>153</v>
      </c>
      <c r="CO2416" s="0" t="s">
        <v>175</v>
      </c>
      <c r="CP2416" s="0" t="s">
        <v>153</v>
      </c>
      <c r="CQ2416" s="0" t="s">
        <v>175</v>
      </c>
      <c r="CT2416" s="0" t="s">
        <v>153</v>
      </c>
      <c r="CV2416" s="0" t="s">
        <v>153</v>
      </c>
      <c r="CW2416" s="0" t="s">
        <v>175</v>
      </c>
      <c r="CY2416" s="0" t="s">
        <v>153</v>
      </c>
      <c r="CZ2416" s="0" t="s">
        <v>175</v>
      </c>
      <c r="DC2416" s="0" t="s">
        <v>153</v>
      </c>
      <c r="DI2416" s="0" t="s">
        <v>153</v>
      </c>
      <c r="DJ2416" s="0" t="s">
        <v>175</v>
      </c>
      <c r="DL2416" s="0" t="s">
        <v>153</v>
      </c>
      <c r="DN2416" s="0" t="s">
        <v>153</v>
      </c>
      <c r="DW2416" s="0" t="s">
        <v>175</v>
      </c>
      <c r="EF2416" s="0" t="s">
        <v>153</v>
      </c>
    </row>
    <row r="2417" customFormat="false" ht="13.8" hidden="true" customHeight="false" outlineLevel="0" collapsed="false">
      <c r="A2417" s="0" t="s">
        <v>10428</v>
      </c>
      <c r="B2417" s="0" t="n">
        <v>78</v>
      </c>
      <c r="C2417" s="0" t="n">
        <v>413576</v>
      </c>
      <c r="D2417" s="0" t="s">
        <v>10429</v>
      </c>
      <c r="E2417" s="0" t="s">
        <v>10430</v>
      </c>
      <c r="F2417" s="0" t="str">
        <f aca="false">CONCATENATE(D2417," ",LEFT(H2417,4),"T=",AU2417,"D=",AV2417,"R=",AW2417,"M=",AX2417,"L=",AY2417,"B=",AZ2417)</f>
        <v>CLEVELAND T=3D=0R=0M=0L=1B=0</v>
      </c>
      <c r="G2417" s="0" t="s">
        <v>209</v>
      </c>
      <c r="I2417" s="0" t="s">
        <v>10431</v>
      </c>
      <c r="J2417" s="0" t="s">
        <v>404</v>
      </c>
      <c r="K2417" s="0" t="s">
        <v>160</v>
      </c>
      <c r="M2417" s="0" t="s">
        <v>10427</v>
      </c>
      <c r="N2417" s="0" t="str">
        <f aca="false">RIGHT(M2417,LEN(M2417)-FIND(" ",M2417))</f>
        <v>WOODBINE AVE SE</v>
      </c>
      <c r="P2417" s="0" t="s">
        <v>145</v>
      </c>
      <c r="Q2417" s="0" t="s">
        <v>146</v>
      </c>
      <c r="R2417" s="0" t="n">
        <v>44484</v>
      </c>
      <c r="AD2417" s="0" t="s">
        <v>147</v>
      </c>
      <c r="AE2417" s="0" t="s">
        <v>148</v>
      </c>
      <c r="AF2417" s="0" t="s">
        <v>149</v>
      </c>
      <c r="AH2417" s="0" t="n">
        <v>14</v>
      </c>
      <c r="AI2417" s="0" t="n">
        <v>11</v>
      </c>
      <c r="AN2417" s="0" t="s">
        <v>145</v>
      </c>
      <c r="AO2417" s="0" t="s">
        <v>233</v>
      </c>
      <c r="AP2417" s="0" t="s">
        <v>234</v>
      </c>
      <c r="AQ2417" s="0" t="n">
        <v>9</v>
      </c>
      <c r="AR2417" s="0" t="n">
        <v>64</v>
      </c>
      <c r="AS2417" s="0" t="n">
        <v>32</v>
      </c>
      <c r="AU2417" s="0" t="n">
        <f aca="false">COUNTA($BA$2542:$EH$2542)</f>
        <v>3</v>
      </c>
      <c r="AV2417" s="0" t="n">
        <f aca="false">COUNTIF($BA$2542:$EH$2542,"D")</f>
        <v>0</v>
      </c>
      <c r="AW2417" s="0" t="n">
        <f aca="false">COUNTIF($BA$2542:$EH$2542,"R")</f>
        <v>0</v>
      </c>
      <c r="AX2417" s="0" t="n">
        <f aca="false">IF(BN2417="D",1,0)+IF(BO2417="D",1,0)+IF(BT2417="D",1,0)+IF(BU2417="D",1,0)+IF(BW2417="D",1,0)+IF(CC2417="D",1,0)+IF(CD2417="D",1,0)+IF(CE2417="D",1,0)+IF(CF2417="D",1,0)+IF(CL2417="D",1,0)+IF(CM2417="D",1,0)+IF(CQ2417="D",1,0)+IF(CR2417="D",1,0)+IF(CS2417="D",1,0)+IF(CW2417="D",1,0)+IF(CX2417="D",1,0)+IF(DD2417="D",1,0)+IF(DE2417="D",1,0)+IF(DJ2417="D",1,0)+IF(DK2417="D",1,0)+IF(DO2417="D",1,0)+IF(DP2417="D",1,0)+IF(DQ2417="D",1,0)+IF(DW2417="D",1,0)+IF(DZ2417="D",1,0)+IF(EH2417="D",1,0)</f>
        <v>0</v>
      </c>
      <c r="AY2417" s="0" t="n">
        <f aca="false">COUNTIF(DU2417:EH2417, "&lt;&gt;")</f>
        <v>1</v>
      </c>
      <c r="AZ2417" s="0" t="n">
        <f aca="false">IF(EH2417&lt;&gt;"",1,0)</f>
        <v>0</v>
      </c>
      <c r="BB2417" s="0" t="s">
        <v>152</v>
      </c>
      <c r="DC2417" s="0" t="s">
        <v>153</v>
      </c>
      <c r="EF2417" s="0" t="s">
        <v>153</v>
      </c>
    </row>
    <row r="2418" customFormat="false" ht="13.8" hidden="true" customHeight="false" outlineLevel="0" collapsed="false">
      <c r="A2418" s="0" t="s">
        <v>10432</v>
      </c>
      <c r="B2418" s="0" t="n">
        <v>78</v>
      </c>
      <c r="C2418" s="0" t="n">
        <v>306742</v>
      </c>
      <c r="D2418" s="0" t="s">
        <v>2509</v>
      </c>
      <c r="E2418" s="0" t="s">
        <v>10433</v>
      </c>
      <c r="F2418" s="0" t="str">
        <f aca="false">CONCATENATE(D2418," ",LEFT(H2418,4),"T=",AU2418,"D=",AV2418,"R=",AW2418,"M=",AX2418,"L=",AY2418,"B=",AZ2418)</f>
        <v>ROBINSON T=25D=8R=0M=0L=1B=0</v>
      </c>
      <c r="G2418" s="0" t="s">
        <v>268</v>
      </c>
      <c r="I2418" s="0" t="s">
        <v>10434</v>
      </c>
      <c r="J2418" s="0" t="s">
        <v>2116</v>
      </c>
      <c r="K2418" s="0" t="s">
        <v>160</v>
      </c>
      <c r="M2418" s="0" t="s">
        <v>10435</v>
      </c>
      <c r="N2418" s="0" t="str">
        <f aca="false">RIGHT(M2418,LEN(M2418)-FIND(" ",M2418))</f>
        <v>WOODBINE AVE SE</v>
      </c>
      <c r="P2418" s="0" t="s">
        <v>145</v>
      </c>
      <c r="Q2418" s="0" t="s">
        <v>146</v>
      </c>
      <c r="R2418" s="0" t="n">
        <v>44484</v>
      </c>
      <c r="AD2418" s="0" t="s">
        <v>147</v>
      </c>
      <c r="AE2418" s="0" t="s">
        <v>148</v>
      </c>
      <c r="AF2418" s="0" t="s">
        <v>149</v>
      </c>
      <c r="AH2418" s="0" t="n">
        <v>14</v>
      </c>
      <c r="AI2418" s="0" t="n">
        <v>11</v>
      </c>
      <c r="AN2418" s="0" t="s">
        <v>145</v>
      </c>
      <c r="AO2418" s="0" t="s">
        <v>233</v>
      </c>
      <c r="AP2418" s="0" t="s">
        <v>234</v>
      </c>
      <c r="AQ2418" s="0" t="n">
        <v>9</v>
      </c>
      <c r="AR2418" s="0" t="n">
        <v>64</v>
      </c>
      <c r="AS2418" s="0" t="n">
        <v>32</v>
      </c>
      <c r="AU2418" s="0" t="n">
        <f aca="false">COUNTA($BA$2246:$EH$2246)</f>
        <v>25</v>
      </c>
      <c r="AV2418" s="0" t="n">
        <f aca="false">COUNTIF($BA$2246:$EH$2246,"D")</f>
        <v>8</v>
      </c>
      <c r="AW2418" s="0" t="n">
        <f aca="false">COUNTIF($BA$2246:$EH$2246,"R")</f>
        <v>0</v>
      </c>
      <c r="AX2418" s="0" t="n">
        <f aca="false">IF(BN2418="D",1,0)+IF(BO2418="D",1,0)+IF(BT2418="D",1,0)+IF(BU2418="D",1,0)+IF(BW2418="D",1,0)+IF(CC2418="D",1,0)+IF(CD2418="D",1,0)+IF(CE2418="D",1,0)+IF(CF2418="D",1,0)+IF(CL2418="D",1,0)+IF(CM2418="D",1,0)+IF(CQ2418="D",1,0)+IF(CR2418="D",1,0)+IF(CS2418="D",1,0)+IF(CW2418="D",1,0)+IF(CX2418="D",1,0)+IF(DD2418="D",1,0)+IF(DE2418="D",1,0)+IF(DJ2418="D",1,0)+IF(DK2418="D",1,0)+IF(DO2418="D",1,0)+IF(DP2418="D",1,0)+IF(DQ2418="D",1,0)+IF(DW2418="D",1,0)+IF(DZ2418="D",1,0)+IF(EH2418="D",1,0)</f>
        <v>0</v>
      </c>
      <c r="AY2418" s="0" t="n">
        <f aca="false">COUNTIF(DU2418:EH2418, "&lt;&gt;")</f>
        <v>1</v>
      </c>
      <c r="AZ2418" s="0" t="n">
        <f aca="false">IF(EH2418&lt;&gt;"",1,0)</f>
        <v>0</v>
      </c>
      <c r="BB2418" s="0" t="s">
        <v>152</v>
      </c>
      <c r="BH2418" s="0" t="s">
        <v>153</v>
      </c>
      <c r="BK2418" s="0" t="s">
        <v>153</v>
      </c>
      <c r="BL2418" s="0" t="s">
        <v>153</v>
      </c>
      <c r="CA2418" s="0" t="s">
        <v>153</v>
      </c>
      <c r="CP2418" s="0" t="s">
        <v>153</v>
      </c>
      <c r="DN2418" s="0" t="s">
        <v>153</v>
      </c>
      <c r="EF2418" s="0" t="s">
        <v>153</v>
      </c>
    </row>
    <row r="2419" customFormat="false" ht="13.8" hidden="true" customHeight="false" outlineLevel="0" collapsed="false">
      <c r="A2419" s="0" t="s">
        <v>10436</v>
      </c>
      <c r="B2419" s="0" t="n">
        <v>78</v>
      </c>
      <c r="C2419" s="0" t="n">
        <v>375614</v>
      </c>
      <c r="D2419" s="0" t="s">
        <v>10437</v>
      </c>
      <c r="E2419" s="0" t="s">
        <v>10438</v>
      </c>
      <c r="F2419" s="0" t="str">
        <f aca="false">CONCATENATE(D2419," ",LEFT(H2419,4),"T=",AU2419,"D=",AV2419,"R=",AW2419,"M=",AX2419,"L=",AY2419,"B=",AZ2419)</f>
        <v>BENEDICT T=1D=0R=0M=0L=0B=0</v>
      </c>
      <c r="G2419" s="0" t="s">
        <v>255</v>
      </c>
      <c r="I2419" s="0" t="s">
        <v>8932</v>
      </c>
      <c r="J2419" s="0" t="s">
        <v>9725</v>
      </c>
      <c r="K2419" s="0" t="s">
        <v>160</v>
      </c>
      <c r="M2419" s="0" t="s">
        <v>10435</v>
      </c>
      <c r="N2419" s="0" t="str">
        <f aca="false">RIGHT(M2419,LEN(M2419)-FIND(" ",M2419))</f>
        <v>WOODBINE AVE SE</v>
      </c>
      <c r="P2419" s="0" t="s">
        <v>145</v>
      </c>
      <c r="Q2419" s="0" t="s">
        <v>146</v>
      </c>
      <c r="R2419" s="0" t="n">
        <v>44484</v>
      </c>
      <c r="AD2419" s="0" t="s">
        <v>147</v>
      </c>
      <c r="AE2419" s="0" t="s">
        <v>148</v>
      </c>
      <c r="AF2419" s="0" t="s">
        <v>149</v>
      </c>
      <c r="AH2419" s="0" t="n">
        <v>14</v>
      </c>
      <c r="AI2419" s="0" t="n">
        <v>11</v>
      </c>
      <c r="AN2419" s="0" t="s">
        <v>145</v>
      </c>
      <c r="AO2419" s="0" t="s">
        <v>233</v>
      </c>
      <c r="AP2419" s="0" t="s">
        <v>234</v>
      </c>
      <c r="AQ2419" s="0" t="n">
        <v>9</v>
      </c>
      <c r="AR2419" s="0" t="n">
        <v>64</v>
      </c>
      <c r="AS2419" s="0" t="n">
        <v>32</v>
      </c>
      <c r="AU2419" s="0" t="n">
        <f aca="false">COUNTA($BA$2317:$EH$2317)</f>
        <v>1</v>
      </c>
      <c r="AV2419" s="0" t="n">
        <f aca="false">COUNTIF($BA$2317:$EH$2317,"D")</f>
        <v>0</v>
      </c>
      <c r="AW2419" s="0" t="n">
        <f aca="false">COUNTIF($BA$2317:$EH$2317,"R")</f>
        <v>0</v>
      </c>
      <c r="AX2419" s="0" t="n">
        <f aca="false">IF(BN2419="D",1,0)+IF(BO2419="D",1,0)+IF(BT2419="D",1,0)+IF(BU2419="D",1,0)+IF(BW2419="D",1,0)+IF(CC2419="D",1,0)+IF(CD2419="D",1,0)+IF(CE2419="D",1,0)+IF(CF2419="D",1,0)+IF(CL2419="D",1,0)+IF(CM2419="D",1,0)+IF(CQ2419="D",1,0)+IF(CR2419="D",1,0)+IF(CS2419="D",1,0)+IF(CW2419="D",1,0)+IF(CX2419="D",1,0)+IF(DD2419="D",1,0)+IF(DE2419="D",1,0)+IF(DJ2419="D",1,0)+IF(DK2419="D",1,0)+IF(DO2419="D",1,0)+IF(DP2419="D",1,0)+IF(DQ2419="D",1,0)+IF(DW2419="D",1,0)+IF(DZ2419="D",1,0)+IF(EH2419="D",1,0)</f>
        <v>0</v>
      </c>
      <c r="AY2419" s="0" t="n">
        <f aca="false">COUNTIF(DU2419:EH2419, "&lt;&gt;")</f>
        <v>0</v>
      </c>
      <c r="AZ2419" s="0" t="n">
        <f aca="false">IF(EH2419&lt;&gt;"",1,0)</f>
        <v>0</v>
      </c>
      <c r="BB2419" s="0" t="s">
        <v>152</v>
      </c>
    </row>
    <row r="2420" customFormat="false" ht="13.8" hidden="true" customHeight="false" outlineLevel="0" collapsed="false">
      <c r="A2420" s="0" t="s">
        <v>10439</v>
      </c>
      <c r="B2420" s="0" t="n">
        <v>78</v>
      </c>
      <c r="C2420" s="0" t="n">
        <v>463719</v>
      </c>
      <c r="D2420" s="0" t="s">
        <v>10440</v>
      </c>
      <c r="E2420" s="0" t="s">
        <v>424</v>
      </c>
      <c r="F2420" s="0" t="str">
        <f aca="false">CONCATENATE(D2420," ",LEFT(H2420,4),"T=",AU2420,"D=",AV2420,"R=",AW2420,"M=",AX2420,"L=",AY2420,"B=",AZ2420)</f>
        <v>NEISS T=49D=20R=0M=0L=0B=0</v>
      </c>
      <c r="G2420" s="0" t="s">
        <v>164</v>
      </c>
      <c r="I2420" s="0" t="s">
        <v>2502</v>
      </c>
      <c r="J2420" s="0" t="s">
        <v>10441</v>
      </c>
      <c r="K2420" s="0" t="s">
        <v>160</v>
      </c>
      <c r="M2420" s="0" t="s">
        <v>10442</v>
      </c>
      <c r="N2420" s="0" t="str">
        <f aca="false">RIGHT(M2420,LEN(M2420)-FIND(" ",M2420))</f>
        <v>WOODBINE AVE SE</v>
      </c>
      <c r="P2420" s="0" t="s">
        <v>145</v>
      </c>
      <c r="Q2420" s="0" t="s">
        <v>146</v>
      </c>
      <c r="R2420" s="0" t="n">
        <v>44483</v>
      </c>
      <c r="AD2420" s="0" t="s">
        <v>147</v>
      </c>
      <c r="AE2420" s="0" t="s">
        <v>148</v>
      </c>
      <c r="AF2420" s="0" t="s">
        <v>149</v>
      </c>
      <c r="AH2420" s="0" t="n">
        <v>14</v>
      </c>
      <c r="AI2420" s="0" t="n">
        <v>11</v>
      </c>
      <c r="AN2420" s="0" t="s">
        <v>145</v>
      </c>
      <c r="AO2420" s="0" t="s">
        <v>150</v>
      </c>
      <c r="AP2420" s="0" t="s">
        <v>151</v>
      </c>
      <c r="AQ2420" s="0" t="n">
        <v>9</v>
      </c>
      <c r="AR2420" s="0" t="n">
        <v>64</v>
      </c>
      <c r="AS2420" s="0" t="n">
        <v>32</v>
      </c>
      <c r="AU2420" s="0" t="n">
        <f aca="false">COUNTA($BA$478:$EH$478)</f>
        <v>49</v>
      </c>
      <c r="AV2420" s="0" t="n">
        <f aca="false">COUNTIF($BA$478:$EH$478,"D")</f>
        <v>20</v>
      </c>
      <c r="AW2420" s="0" t="n">
        <f aca="false">COUNTIF($BA$478:$EH$478,"R")</f>
        <v>0</v>
      </c>
      <c r="AX2420" s="0" t="n">
        <f aca="false">IF(BN2420="D",1,0)+IF(BO2420="D",1,0)+IF(BT2420="D",1,0)+IF(BU2420="D",1,0)+IF(BW2420="D",1,0)+IF(CC2420="D",1,0)+IF(CD2420="D",1,0)+IF(CE2420="D",1,0)+IF(CF2420="D",1,0)+IF(CL2420="D",1,0)+IF(CM2420="D",1,0)+IF(CQ2420="D",1,0)+IF(CR2420="D",1,0)+IF(CS2420="D",1,0)+IF(CW2420="D",1,0)+IF(CX2420="D",1,0)+IF(DD2420="D",1,0)+IF(DE2420="D",1,0)+IF(DJ2420="D",1,0)+IF(DK2420="D",1,0)+IF(DO2420="D",1,0)+IF(DP2420="D",1,0)+IF(DQ2420="D",1,0)+IF(DW2420="D",1,0)+IF(DZ2420="D",1,0)+IF(EH2420="D",1,0)</f>
        <v>0</v>
      </c>
      <c r="AY2420" s="0" t="n">
        <f aca="false">COUNTIF(DU2420:EH2420, "&lt;&gt;")</f>
        <v>0</v>
      </c>
      <c r="AZ2420" s="0" t="n">
        <f aca="false">IF(EH2420&lt;&gt;"",1,0)</f>
        <v>0</v>
      </c>
      <c r="BB2420" s="0" t="s">
        <v>152</v>
      </c>
      <c r="BC2420" s="0" t="s">
        <v>153</v>
      </c>
      <c r="BD2420" s="0" t="s">
        <v>153</v>
      </c>
      <c r="BE2420" s="0" t="s">
        <v>153</v>
      </c>
      <c r="BF2420" s="0" t="s">
        <v>153</v>
      </c>
      <c r="BJ2420" s="0" t="s">
        <v>153</v>
      </c>
      <c r="BK2420" s="0" t="s">
        <v>153</v>
      </c>
      <c r="BL2420" s="0" t="s">
        <v>153</v>
      </c>
    </row>
    <row r="2421" customFormat="false" ht="13.8" hidden="true" customHeight="false" outlineLevel="0" collapsed="false">
      <c r="A2421" s="0" t="s">
        <v>10443</v>
      </c>
      <c r="B2421" s="0" t="n">
        <v>78</v>
      </c>
      <c r="C2421" s="0" t="n">
        <v>453203</v>
      </c>
      <c r="D2421" s="0" t="s">
        <v>1001</v>
      </c>
      <c r="E2421" s="0" t="s">
        <v>1208</v>
      </c>
      <c r="F2421" s="0" t="str">
        <f aca="false">CONCATENATE(D2421," ",LEFT(H2421,4),"T=",AU2421,"D=",AV2421,"R=",AW2421,"M=",AX2421,"L=",AY2421,"B=",AZ2421)</f>
        <v>DAVIS T=1D=0R=0M=0L=0B=0</v>
      </c>
      <c r="G2421" s="0" t="s">
        <v>839</v>
      </c>
      <c r="I2421" s="0" t="s">
        <v>10444</v>
      </c>
      <c r="J2421" s="0" t="s">
        <v>1134</v>
      </c>
      <c r="K2421" s="0" t="s">
        <v>160</v>
      </c>
      <c r="M2421" s="0" t="s">
        <v>10445</v>
      </c>
      <c r="N2421" s="0" t="str">
        <f aca="false">RIGHT(M2421,LEN(M2421)-FIND(" ",M2421))</f>
        <v>WOODBINE AVE SE</v>
      </c>
      <c r="P2421" s="0" t="s">
        <v>145</v>
      </c>
      <c r="Q2421" s="0" t="s">
        <v>146</v>
      </c>
      <c r="R2421" s="0" t="n">
        <v>44484</v>
      </c>
      <c r="AD2421" s="0" t="s">
        <v>147</v>
      </c>
      <c r="AE2421" s="0" t="s">
        <v>148</v>
      </c>
      <c r="AF2421" s="0" t="s">
        <v>149</v>
      </c>
      <c r="AH2421" s="0" t="n">
        <v>14</v>
      </c>
      <c r="AI2421" s="0" t="n">
        <v>11</v>
      </c>
      <c r="AN2421" s="0" t="s">
        <v>145</v>
      </c>
      <c r="AO2421" s="0" t="s">
        <v>233</v>
      </c>
      <c r="AP2421" s="0" t="s">
        <v>234</v>
      </c>
      <c r="AQ2421" s="0" t="n">
        <v>9</v>
      </c>
      <c r="AR2421" s="0" t="n">
        <v>64</v>
      </c>
      <c r="AS2421" s="0" t="n">
        <v>32</v>
      </c>
      <c r="AU2421" s="0" t="n">
        <f aca="false">COUNTA($BA$2133:$EH$2133)</f>
        <v>1</v>
      </c>
      <c r="AV2421" s="0" t="n">
        <f aca="false">COUNTIF($BA$2133:$EH$2133,"D")</f>
        <v>0</v>
      </c>
      <c r="AW2421" s="0" t="n">
        <f aca="false">COUNTIF($BA$2133:$EH$2133,"R")</f>
        <v>0</v>
      </c>
      <c r="AX2421" s="0" t="n">
        <f aca="false">IF(BN2421="D",1,0)+IF(BO2421="D",1,0)+IF(BT2421="D",1,0)+IF(BU2421="D",1,0)+IF(BW2421="D",1,0)+IF(CC2421="D",1,0)+IF(CD2421="D",1,0)+IF(CE2421="D",1,0)+IF(CF2421="D",1,0)+IF(CL2421="D",1,0)+IF(CM2421="D",1,0)+IF(CQ2421="D",1,0)+IF(CR2421="D",1,0)+IF(CS2421="D",1,0)+IF(CW2421="D",1,0)+IF(CX2421="D",1,0)+IF(DD2421="D",1,0)+IF(DE2421="D",1,0)+IF(DJ2421="D",1,0)+IF(DK2421="D",1,0)+IF(DO2421="D",1,0)+IF(DP2421="D",1,0)+IF(DQ2421="D",1,0)+IF(DW2421="D",1,0)+IF(DZ2421="D",1,0)+IF(EH2421="D",1,0)</f>
        <v>0</v>
      </c>
      <c r="AY2421" s="0" t="n">
        <f aca="false">COUNTIF(DU2421:EH2421, "&lt;&gt;")</f>
        <v>0</v>
      </c>
      <c r="AZ2421" s="0" t="n">
        <f aca="false">IF(EH2421&lt;&gt;"",1,0)</f>
        <v>0</v>
      </c>
      <c r="BB2421" s="0" t="s">
        <v>152</v>
      </c>
    </row>
    <row r="2422" customFormat="false" ht="13.8" hidden="true" customHeight="false" outlineLevel="0" collapsed="false">
      <c r="A2422" s="0" t="s">
        <v>10446</v>
      </c>
      <c r="B2422" s="0" t="n">
        <v>78</v>
      </c>
      <c r="C2422" s="0" t="n">
        <v>453200</v>
      </c>
      <c r="D2422" s="0" t="s">
        <v>1001</v>
      </c>
      <c r="E2422" s="0" t="s">
        <v>3901</v>
      </c>
      <c r="F2422" s="0" t="str">
        <f aca="false">CONCATENATE(D2422," ",LEFT(H2422,4),"T=",AU2422,"D=",AV2422,"R=",AW2422,"M=",AX2422,"L=",AY2422,"B=",AZ2422)</f>
        <v>DAVIS T=1D=0R=0M=0L=0B=0</v>
      </c>
      <c r="I2422" s="0" t="s">
        <v>10447</v>
      </c>
      <c r="J2422" s="0" t="s">
        <v>5150</v>
      </c>
      <c r="K2422" s="0" t="s">
        <v>143</v>
      </c>
      <c r="M2422" s="0" t="s">
        <v>10445</v>
      </c>
      <c r="N2422" s="0" t="str">
        <f aca="false">RIGHT(M2422,LEN(M2422)-FIND(" ",M2422))</f>
        <v>WOODBINE AVE SE</v>
      </c>
      <c r="P2422" s="0" t="s">
        <v>145</v>
      </c>
      <c r="Q2422" s="0" t="s">
        <v>146</v>
      </c>
      <c r="R2422" s="0" t="n">
        <v>44484</v>
      </c>
      <c r="AD2422" s="0" t="s">
        <v>147</v>
      </c>
      <c r="AE2422" s="0" t="s">
        <v>148</v>
      </c>
      <c r="AF2422" s="0" t="s">
        <v>149</v>
      </c>
      <c r="AH2422" s="0" t="n">
        <v>14</v>
      </c>
      <c r="AI2422" s="0" t="n">
        <v>11</v>
      </c>
      <c r="AN2422" s="0" t="s">
        <v>145</v>
      </c>
      <c r="AO2422" s="0" t="s">
        <v>233</v>
      </c>
      <c r="AP2422" s="0" t="s">
        <v>234</v>
      </c>
      <c r="AQ2422" s="0" t="n">
        <v>9</v>
      </c>
      <c r="AR2422" s="0" t="n">
        <v>64</v>
      </c>
      <c r="AS2422" s="0" t="n">
        <v>32</v>
      </c>
      <c r="AU2422" s="0" t="n">
        <f aca="false">COUNTA($BA$2284:$EH$2284)</f>
        <v>1</v>
      </c>
      <c r="AV2422" s="0" t="n">
        <f aca="false">COUNTIF($BA$2284:$EH$2284,"D")</f>
        <v>0</v>
      </c>
      <c r="AW2422" s="0" t="n">
        <f aca="false">COUNTIF($BA$2284:$EH$2284,"R")</f>
        <v>0</v>
      </c>
      <c r="AX2422" s="0" t="n">
        <f aca="false">IF(BN2422="D",1,0)+IF(BO2422="D",1,0)+IF(BT2422="D",1,0)+IF(BU2422="D",1,0)+IF(BW2422="D",1,0)+IF(CC2422="D",1,0)+IF(CD2422="D",1,0)+IF(CE2422="D",1,0)+IF(CF2422="D",1,0)+IF(CL2422="D",1,0)+IF(CM2422="D",1,0)+IF(CQ2422="D",1,0)+IF(CR2422="D",1,0)+IF(CS2422="D",1,0)+IF(CW2422="D",1,0)+IF(CX2422="D",1,0)+IF(DD2422="D",1,0)+IF(DE2422="D",1,0)+IF(DJ2422="D",1,0)+IF(DK2422="D",1,0)+IF(DO2422="D",1,0)+IF(DP2422="D",1,0)+IF(DQ2422="D",1,0)+IF(DW2422="D",1,0)+IF(DZ2422="D",1,0)+IF(EH2422="D",1,0)</f>
        <v>0</v>
      </c>
      <c r="AY2422" s="0" t="n">
        <f aca="false">COUNTIF(DU2422:EH2422, "&lt;&gt;")</f>
        <v>0</v>
      </c>
      <c r="AZ2422" s="0" t="n">
        <f aca="false">IF(EH2422&lt;&gt;"",1,0)</f>
        <v>0</v>
      </c>
      <c r="BB2422" s="0" t="s">
        <v>152</v>
      </c>
    </row>
    <row r="2423" customFormat="false" ht="13.8" hidden="true" customHeight="false" outlineLevel="0" collapsed="false">
      <c r="A2423" s="0" t="s">
        <v>10448</v>
      </c>
      <c r="B2423" s="0" t="n">
        <v>78</v>
      </c>
      <c r="C2423" s="0" t="n">
        <v>308950</v>
      </c>
      <c r="D2423" s="0" t="s">
        <v>9604</v>
      </c>
      <c r="E2423" s="0" t="s">
        <v>10449</v>
      </c>
      <c r="F2423" s="0" t="str">
        <f aca="false">CONCATENATE(D2423," ",LEFT(H2423,4),"T=",AU2423,"D=",AV2423,"R=",AW2423,"M=",AX2423,"L=",AY2423,"B=",AZ2423)</f>
        <v>EGGLESTON T=2D=0R=0M=0L=0B=0</v>
      </c>
      <c r="G2423" s="0" t="s">
        <v>10450</v>
      </c>
      <c r="I2423" s="0" t="s">
        <v>10451</v>
      </c>
      <c r="J2423" s="0" t="s">
        <v>7148</v>
      </c>
      <c r="K2423" s="0" t="s">
        <v>143</v>
      </c>
      <c r="M2423" s="0" t="s">
        <v>10445</v>
      </c>
      <c r="N2423" s="0" t="str">
        <f aca="false">RIGHT(M2423,LEN(M2423)-FIND(" ",M2423))</f>
        <v>WOODBINE AVE SE</v>
      </c>
      <c r="P2423" s="0" t="s">
        <v>145</v>
      </c>
      <c r="Q2423" s="0" t="s">
        <v>146</v>
      </c>
      <c r="R2423" s="0" t="n">
        <v>44484</v>
      </c>
      <c r="AD2423" s="0" t="s">
        <v>147</v>
      </c>
      <c r="AE2423" s="0" t="s">
        <v>148</v>
      </c>
      <c r="AF2423" s="0" t="s">
        <v>149</v>
      </c>
      <c r="AH2423" s="0" t="n">
        <v>14</v>
      </c>
      <c r="AI2423" s="0" t="n">
        <v>11</v>
      </c>
      <c r="AN2423" s="0" t="s">
        <v>145</v>
      </c>
      <c r="AO2423" s="0" t="s">
        <v>233</v>
      </c>
      <c r="AP2423" s="0" t="s">
        <v>234</v>
      </c>
      <c r="AQ2423" s="0" t="n">
        <v>9</v>
      </c>
      <c r="AR2423" s="0" t="n">
        <v>64</v>
      </c>
      <c r="AS2423" s="0" t="n">
        <v>32</v>
      </c>
      <c r="AU2423" s="0" t="n">
        <f aca="false">COUNTA($BA$2434:$EH$2434)</f>
        <v>2</v>
      </c>
      <c r="AV2423" s="0" t="n">
        <f aca="false">COUNTIF($BA$2434:$EH$2434,"D")</f>
        <v>0</v>
      </c>
      <c r="AW2423" s="0" t="n">
        <f aca="false">COUNTIF($BA$2434:$EH$2434,"R")</f>
        <v>0</v>
      </c>
      <c r="AX2423" s="0" t="n">
        <f aca="false">IF(BN2423="D",1,0)+IF(BO2423="D",1,0)+IF(BT2423="D",1,0)+IF(BU2423="D",1,0)+IF(BW2423="D",1,0)+IF(CC2423="D",1,0)+IF(CD2423="D",1,0)+IF(CE2423="D",1,0)+IF(CF2423="D",1,0)+IF(CL2423="D",1,0)+IF(CM2423="D",1,0)+IF(CQ2423="D",1,0)+IF(CR2423="D",1,0)+IF(CS2423="D",1,0)+IF(CW2423="D",1,0)+IF(CX2423="D",1,0)+IF(DD2423="D",1,0)+IF(DE2423="D",1,0)+IF(DJ2423="D",1,0)+IF(DK2423="D",1,0)+IF(DO2423="D",1,0)+IF(DP2423="D",1,0)+IF(DQ2423="D",1,0)+IF(DW2423="D",1,0)+IF(DZ2423="D",1,0)+IF(EH2423="D",1,0)</f>
        <v>0</v>
      </c>
      <c r="AY2423" s="0" t="n">
        <f aca="false">COUNTIF(DU2423:EH2423, "&lt;&gt;")</f>
        <v>0</v>
      </c>
      <c r="AZ2423" s="0" t="n">
        <f aca="false">IF(EH2423&lt;&gt;"",1,0)</f>
        <v>0</v>
      </c>
      <c r="BB2423" s="0" t="s">
        <v>152</v>
      </c>
      <c r="BH2423" s="0" t="s">
        <v>153</v>
      </c>
      <c r="BJ2423" s="0" t="s">
        <v>153</v>
      </c>
      <c r="BL2423" s="0" t="s">
        <v>153</v>
      </c>
      <c r="CA2423" s="0" t="s">
        <v>153</v>
      </c>
      <c r="CU2423" s="0" t="s">
        <v>175</v>
      </c>
      <c r="CY2423" s="0" t="s">
        <v>153</v>
      </c>
      <c r="CZ2423" s="0" t="s">
        <v>175</v>
      </c>
      <c r="DC2423" s="0" t="s">
        <v>153</v>
      </c>
    </row>
    <row r="2424" customFormat="false" ht="13.8" hidden="true" customHeight="false" outlineLevel="0" collapsed="false">
      <c r="A2424" s="0" t="s">
        <v>10452</v>
      </c>
      <c r="B2424" s="0" t="n">
        <v>78</v>
      </c>
      <c r="C2424" s="0" t="n">
        <v>338888</v>
      </c>
      <c r="D2424" s="0" t="s">
        <v>2798</v>
      </c>
      <c r="E2424" s="0" t="s">
        <v>1208</v>
      </c>
      <c r="F2424" s="0" t="str">
        <f aca="false">CONCATENATE(D2424," ",LEFT(H2424,4),"T=",AU2424,"D=",AV2424,"R=",AW2424,"M=",AX2424,"L=",AY2424,"B=",AZ2424)</f>
        <v>AUSTIN T=8D=1R=0M=0L=1B=0</v>
      </c>
      <c r="G2424" s="0" t="s">
        <v>164</v>
      </c>
      <c r="I2424" s="0" t="s">
        <v>10453</v>
      </c>
      <c r="J2424" s="0" t="s">
        <v>10454</v>
      </c>
      <c r="K2424" s="0" t="s">
        <v>160</v>
      </c>
      <c r="M2424" s="0" t="s">
        <v>10455</v>
      </c>
      <c r="N2424" s="0" t="str">
        <f aca="false">RIGHT(M2424,LEN(M2424)-FIND(" ",M2424))</f>
        <v>WOODBINE AVE SE</v>
      </c>
      <c r="P2424" s="0" t="s">
        <v>145</v>
      </c>
      <c r="Q2424" s="0" t="s">
        <v>146</v>
      </c>
      <c r="R2424" s="0" t="n">
        <v>44484</v>
      </c>
      <c r="AD2424" s="0" t="s">
        <v>147</v>
      </c>
      <c r="AE2424" s="0" t="s">
        <v>148</v>
      </c>
      <c r="AF2424" s="0" t="s">
        <v>149</v>
      </c>
      <c r="AH2424" s="0" t="n">
        <v>14</v>
      </c>
      <c r="AI2424" s="0" t="n">
        <v>11</v>
      </c>
      <c r="AN2424" s="0" t="s">
        <v>145</v>
      </c>
      <c r="AO2424" s="0" t="s">
        <v>233</v>
      </c>
      <c r="AP2424" s="0" t="s">
        <v>234</v>
      </c>
      <c r="AQ2424" s="0" t="n">
        <v>9</v>
      </c>
      <c r="AR2424" s="0" t="n">
        <v>64</v>
      </c>
      <c r="AS2424" s="0" t="n">
        <v>32</v>
      </c>
      <c r="AU2424" s="0" t="n">
        <f aca="false">COUNTA($BA$2157:$EH$2157)</f>
        <v>8</v>
      </c>
      <c r="AV2424" s="0" t="n">
        <f aca="false">COUNTIF($BA$2157:$EH$2157,"D")</f>
        <v>1</v>
      </c>
      <c r="AW2424" s="0" t="n">
        <f aca="false">COUNTIF($BA$2157:$EH$2157,"R")</f>
        <v>0</v>
      </c>
      <c r="AX2424" s="0" t="n">
        <f aca="false">IF(BN2424="D",1,0)+IF(BO2424="D",1,0)+IF(BT2424="D",1,0)+IF(BU2424="D",1,0)+IF(BW2424="D",1,0)+IF(CC2424="D",1,0)+IF(CD2424="D",1,0)+IF(CE2424="D",1,0)+IF(CF2424="D",1,0)+IF(CL2424="D",1,0)+IF(CM2424="D",1,0)+IF(CQ2424="D",1,0)+IF(CR2424="D",1,0)+IF(CS2424="D",1,0)+IF(CW2424="D",1,0)+IF(CX2424="D",1,0)+IF(DD2424="D",1,0)+IF(DE2424="D",1,0)+IF(DJ2424="D",1,0)+IF(DK2424="D",1,0)+IF(DO2424="D",1,0)+IF(DP2424="D",1,0)+IF(DQ2424="D",1,0)+IF(DW2424="D",1,0)+IF(DZ2424="D",1,0)+IF(EH2424="D",1,0)</f>
        <v>0</v>
      </c>
      <c r="AY2424" s="0" t="n">
        <f aca="false">COUNTIF(DU2424:EH2424, "&lt;&gt;")</f>
        <v>1</v>
      </c>
      <c r="AZ2424" s="0" t="n">
        <f aca="false">IF(EH2424&lt;&gt;"",1,0)</f>
        <v>0</v>
      </c>
      <c r="BB2424" s="0" t="s">
        <v>152</v>
      </c>
      <c r="CA2424" s="0" t="s">
        <v>153</v>
      </c>
      <c r="CK2424" s="0" t="s">
        <v>153</v>
      </c>
      <c r="CN2424" s="0" t="s">
        <v>153</v>
      </c>
      <c r="CP2424" s="0" t="s">
        <v>153</v>
      </c>
      <c r="CZ2424" s="0" t="s">
        <v>175</v>
      </c>
      <c r="DC2424" s="0" t="s">
        <v>153</v>
      </c>
      <c r="DI2424" s="0" t="s">
        <v>153</v>
      </c>
      <c r="DN2424" s="0" t="s">
        <v>153</v>
      </c>
      <c r="EF2424" s="0" t="s">
        <v>153</v>
      </c>
    </row>
    <row r="2425" customFormat="false" ht="13.8" hidden="true" customHeight="false" outlineLevel="0" collapsed="false">
      <c r="A2425" s="0" t="s">
        <v>10456</v>
      </c>
      <c r="B2425" s="0" t="n">
        <v>78</v>
      </c>
      <c r="C2425" s="0" t="n">
        <v>423215</v>
      </c>
      <c r="D2425" s="0" t="s">
        <v>10457</v>
      </c>
      <c r="E2425" s="0" t="s">
        <v>213</v>
      </c>
      <c r="F2425" s="0" t="str">
        <f aca="false">CONCATENATE(D2425," ",LEFT(H2425,4),"T=",AU2425,"D=",AV2425,"R=",AW2425,"M=",AX2425,"L=",AY2425,"B=",AZ2425)</f>
        <v>MOON T=13D=0R=0M=0L=0B=0</v>
      </c>
      <c r="G2425" s="0" t="s">
        <v>164</v>
      </c>
      <c r="I2425" s="0" t="s">
        <v>10458</v>
      </c>
      <c r="J2425" s="0" t="s">
        <v>478</v>
      </c>
      <c r="K2425" s="0" t="s">
        <v>143</v>
      </c>
      <c r="M2425" s="0" t="s">
        <v>10459</v>
      </c>
      <c r="N2425" s="0" t="str">
        <f aca="false">RIGHT(M2425,LEN(M2425)-FIND(" ",M2425))</f>
        <v>WOODBINE AVE SE</v>
      </c>
      <c r="P2425" s="0" t="s">
        <v>145</v>
      </c>
      <c r="Q2425" s="0" t="s">
        <v>146</v>
      </c>
      <c r="R2425" s="0" t="n">
        <v>44484</v>
      </c>
      <c r="AD2425" s="0" t="s">
        <v>147</v>
      </c>
      <c r="AE2425" s="0" t="s">
        <v>148</v>
      </c>
      <c r="AF2425" s="0" t="s">
        <v>149</v>
      </c>
      <c r="AH2425" s="0" t="n">
        <v>14</v>
      </c>
      <c r="AI2425" s="0" t="n">
        <v>11</v>
      </c>
      <c r="AN2425" s="0" t="s">
        <v>145</v>
      </c>
      <c r="AO2425" s="0" t="s">
        <v>233</v>
      </c>
      <c r="AP2425" s="0" t="s">
        <v>234</v>
      </c>
      <c r="AQ2425" s="0" t="n">
        <v>9</v>
      </c>
      <c r="AR2425" s="0" t="n">
        <v>64</v>
      </c>
      <c r="AS2425" s="0" t="n">
        <v>32</v>
      </c>
      <c r="AU2425" s="0" t="n">
        <f aca="false">COUNTA($BA$2191:$EH$2191)</f>
        <v>13</v>
      </c>
      <c r="AV2425" s="0" t="n">
        <f aca="false">COUNTIF($BA$2191:$EH$2191,"D")</f>
        <v>0</v>
      </c>
      <c r="AW2425" s="0" t="n">
        <f aca="false">COUNTIF($BA$2191:$EH$2191,"R")</f>
        <v>0</v>
      </c>
      <c r="AX2425" s="0" t="n">
        <f aca="false">IF(BN2425="D",1,0)+IF(BO2425="D",1,0)+IF(BT2425="D",1,0)+IF(BU2425="D",1,0)+IF(BW2425="D",1,0)+IF(CC2425="D",1,0)+IF(CD2425="D",1,0)+IF(CE2425="D",1,0)+IF(CF2425="D",1,0)+IF(CL2425="D",1,0)+IF(CM2425="D",1,0)+IF(CQ2425="D",1,0)+IF(CR2425="D",1,0)+IF(CS2425="D",1,0)+IF(CW2425="D",1,0)+IF(CX2425="D",1,0)+IF(DD2425="D",1,0)+IF(DE2425="D",1,0)+IF(DJ2425="D",1,0)+IF(DK2425="D",1,0)+IF(DO2425="D",1,0)+IF(DP2425="D",1,0)+IF(DQ2425="D",1,0)+IF(DW2425="D",1,0)+IF(DZ2425="D",1,0)+IF(EH2425="D",1,0)</f>
        <v>0</v>
      </c>
      <c r="AY2425" s="0" t="n">
        <f aca="false">COUNTIF(DU2425:EH2425, "&lt;&gt;")</f>
        <v>0</v>
      </c>
      <c r="AZ2425" s="0" t="n">
        <f aca="false">IF(EH2425&lt;&gt;"",1,0)</f>
        <v>0</v>
      </c>
      <c r="BB2425" s="0" t="s">
        <v>152</v>
      </c>
    </row>
    <row r="2426" customFormat="false" ht="13.8" hidden="true" customHeight="false" outlineLevel="0" collapsed="false">
      <c r="A2426" s="0" t="s">
        <v>10460</v>
      </c>
      <c r="B2426" s="0" t="n">
        <v>78</v>
      </c>
      <c r="C2426" s="0" t="n">
        <v>306503</v>
      </c>
      <c r="D2426" s="0" t="s">
        <v>3695</v>
      </c>
      <c r="E2426" s="0" t="s">
        <v>1208</v>
      </c>
      <c r="F2426" s="0" t="str">
        <f aca="false">CONCATENATE(D2426," ",LEFT(H2426,4),"T=",AU2426,"D=",AV2426,"R=",AW2426,"M=",AX2426,"L=",AY2426,"B=",AZ2426)</f>
        <v>STEVENS T=2D=1R=0M=0L=0B=0</v>
      </c>
      <c r="G2426" s="0" t="s">
        <v>839</v>
      </c>
      <c r="I2426" s="0" t="s">
        <v>10461</v>
      </c>
      <c r="J2426" s="0" t="s">
        <v>1055</v>
      </c>
      <c r="K2426" s="0" t="s">
        <v>160</v>
      </c>
      <c r="M2426" s="0" t="s">
        <v>10459</v>
      </c>
      <c r="N2426" s="0" t="str">
        <f aca="false">RIGHT(M2426,LEN(M2426)-FIND(" ",M2426))</f>
        <v>WOODBINE AVE SE</v>
      </c>
      <c r="P2426" s="0" t="s">
        <v>145</v>
      </c>
      <c r="Q2426" s="0" t="s">
        <v>146</v>
      </c>
      <c r="R2426" s="0" t="n">
        <v>44484</v>
      </c>
      <c r="AD2426" s="0" t="s">
        <v>147</v>
      </c>
      <c r="AE2426" s="0" t="s">
        <v>148</v>
      </c>
      <c r="AF2426" s="0" t="s">
        <v>149</v>
      </c>
      <c r="AH2426" s="0" t="n">
        <v>14</v>
      </c>
      <c r="AI2426" s="0" t="n">
        <v>11</v>
      </c>
      <c r="AN2426" s="0" t="s">
        <v>145</v>
      </c>
      <c r="AO2426" s="0" t="s">
        <v>233</v>
      </c>
      <c r="AP2426" s="0" t="s">
        <v>234</v>
      </c>
      <c r="AQ2426" s="0" t="n">
        <v>9</v>
      </c>
      <c r="AR2426" s="0" t="n">
        <v>64</v>
      </c>
      <c r="AS2426" s="0" t="n">
        <v>32</v>
      </c>
      <c r="AU2426" s="0" t="n">
        <f aca="false">COUNTA($BA$2673:$EH$2673)</f>
        <v>2</v>
      </c>
      <c r="AV2426" s="0" t="n">
        <f aca="false">COUNTIF($BA$2673:$EH$2673,"D")</f>
        <v>1</v>
      </c>
      <c r="AW2426" s="0" t="n">
        <f aca="false">COUNTIF($BA$2673:$EH$2673,"R")</f>
        <v>0</v>
      </c>
      <c r="AX2426" s="0" t="n">
        <f aca="false">IF(BN2426="D",1,0)+IF(BO2426="D",1,0)+IF(BT2426="D",1,0)+IF(BU2426="D",1,0)+IF(BW2426="D",1,0)+IF(CC2426="D",1,0)+IF(CD2426="D",1,0)+IF(CE2426="D",1,0)+IF(CF2426="D",1,0)+IF(CL2426="D",1,0)+IF(CM2426="D",1,0)+IF(CQ2426="D",1,0)+IF(CR2426="D",1,0)+IF(CS2426="D",1,0)+IF(CW2426="D",1,0)+IF(CX2426="D",1,0)+IF(DD2426="D",1,0)+IF(DE2426="D",1,0)+IF(DJ2426="D",1,0)+IF(DK2426="D",1,0)+IF(DO2426="D",1,0)+IF(DP2426="D",1,0)+IF(DQ2426="D",1,0)+IF(DW2426="D",1,0)+IF(DZ2426="D",1,0)+IF(EH2426="D",1,0)</f>
        <v>0</v>
      </c>
      <c r="AY2426" s="0" t="n">
        <f aca="false">COUNTIF(DU2426:EH2426, "&lt;&gt;")</f>
        <v>0</v>
      </c>
      <c r="AZ2426" s="0" t="n">
        <f aca="false">IF(EH2426&lt;&gt;"",1,0)</f>
        <v>0</v>
      </c>
      <c r="BB2426" s="0" t="s">
        <v>152</v>
      </c>
    </row>
    <row r="2427" customFormat="false" ht="13.8" hidden="true" customHeight="false" outlineLevel="0" collapsed="false">
      <c r="A2427" s="0" t="s">
        <v>10462</v>
      </c>
      <c r="B2427" s="0" t="n">
        <v>78</v>
      </c>
      <c r="C2427" s="0" t="n">
        <v>371645</v>
      </c>
      <c r="D2427" s="0" t="s">
        <v>10463</v>
      </c>
      <c r="E2427" s="0" t="s">
        <v>2428</v>
      </c>
      <c r="F2427" s="0" t="str">
        <f aca="false">CONCATENATE(D2427," ",LEFT(H2427,4),"T=",AU2427,"D=",AV2427,"R=",AW2427,"M=",AX2427,"L=",AY2427,"B=",AZ2427)</f>
        <v>SHAVER T=1D=0R=0M=0L=0B=0</v>
      </c>
      <c r="G2427" s="0" t="s">
        <v>10464</v>
      </c>
      <c r="I2427" s="0" t="s">
        <v>10465</v>
      </c>
      <c r="J2427" s="0" t="s">
        <v>10466</v>
      </c>
      <c r="K2427" s="0" t="s">
        <v>143</v>
      </c>
      <c r="M2427" s="0" t="s">
        <v>10467</v>
      </c>
      <c r="N2427" s="0" t="str">
        <f aca="false">RIGHT(M2427,LEN(M2427)-FIND(" ",M2427))</f>
        <v>WOODBINE AVE SE</v>
      </c>
      <c r="P2427" s="0" t="s">
        <v>145</v>
      </c>
      <c r="Q2427" s="0" t="s">
        <v>146</v>
      </c>
      <c r="R2427" s="0" t="n">
        <v>44484</v>
      </c>
      <c r="AD2427" s="0" t="s">
        <v>147</v>
      </c>
      <c r="AE2427" s="0" t="s">
        <v>148</v>
      </c>
      <c r="AF2427" s="0" t="s">
        <v>149</v>
      </c>
      <c r="AH2427" s="0" t="n">
        <v>14</v>
      </c>
      <c r="AI2427" s="0" t="n">
        <v>11</v>
      </c>
      <c r="AN2427" s="0" t="s">
        <v>145</v>
      </c>
      <c r="AO2427" s="0" t="s">
        <v>233</v>
      </c>
      <c r="AP2427" s="0" t="s">
        <v>234</v>
      </c>
      <c r="AQ2427" s="0" t="n">
        <v>9</v>
      </c>
      <c r="AR2427" s="0" t="n">
        <v>64</v>
      </c>
      <c r="AS2427" s="0" t="n">
        <v>32</v>
      </c>
      <c r="AU2427" s="0" t="n">
        <f aca="false">COUNTA($BA$2399:$EH$2399)</f>
        <v>1</v>
      </c>
      <c r="AV2427" s="0" t="n">
        <f aca="false">COUNTIF($BA$2399:$EH$2399,"D")</f>
        <v>0</v>
      </c>
      <c r="AW2427" s="0" t="n">
        <f aca="false">COUNTIF($BA$2399:$EH$2399,"R")</f>
        <v>0</v>
      </c>
      <c r="AX2427" s="0" t="n">
        <f aca="false">IF(BN2427="D",1,0)+IF(BO2427="D",1,0)+IF(BT2427="D",1,0)+IF(BU2427="D",1,0)+IF(BW2427="D",1,0)+IF(CC2427="D",1,0)+IF(CD2427="D",1,0)+IF(CE2427="D",1,0)+IF(CF2427="D",1,0)+IF(CL2427="D",1,0)+IF(CM2427="D",1,0)+IF(CQ2427="D",1,0)+IF(CR2427="D",1,0)+IF(CS2427="D",1,0)+IF(CW2427="D",1,0)+IF(CX2427="D",1,0)+IF(DD2427="D",1,0)+IF(DE2427="D",1,0)+IF(DJ2427="D",1,0)+IF(DK2427="D",1,0)+IF(DO2427="D",1,0)+IF(DP2427="D",1,0)+IF(DQ2427="D",1,0)+IF(DW2427="D",1,0)+IF(DZ2427="D",1,0)+IF(EH2427="D",1,0)</f>
        <v>0</v>
      </c>
      <c r="AY2427" s="0" t="n">
        <f aca="false">COUNTIF(DU2427:EH2427, "&lt;&gt;")</f>
        <v>0</v>
      </c>
      <c r="AZ2427" s="0" t="n">
        <f aca="false">IF(EH2427&lt;&gt;"",1,0)</f>
        <v>0</v>
      </c>
      <c r="BB2427" s="0" t="s">
        <v>152</v>
      </c>
    </row>
    <row r="2428" customFormat="false" ht="13.8" hidden="false" customHeight="false" outlineLevel="0" collapsed="false">
      <c r="A2428" s="0" t="s">
        <v>10468</v>
      </c>
      <c r="B2428" s="0" t="n">
        <v>78</v>
      </c>
      <c r="C2428" s="0" t="n">
        <v>443712</v>
      </c>
      <c r="D2428" s="0" t="s">
        <v>10469</v>
      </c>
      <c r="E2428" s="0" t="s">
        <v>785</v>
      </c>
      <c r="F2428" s="0" t="str">
        <f aca="false">CONCATENATE(D2428," ",LEFT(H2428,4),"T=",AU2428,"D=",AV2428,"R=",AW2428,"M=",AX2428,"L=",AY2428,"B=",AZ2428)</f>
        <v>CLAEYS T=13D=2R=0M=0L=2B=0</v>
      </c>
      <c r="G2428" s="0" t="s">
        <v>1031</v>
      </c>
      <c r="I2428" s="0" t="s">
        <v>10470</v>
      </c>
      <c r="J2428" s="0" t="s">
        <v>1674</v>
      </c>
      <c r="K2428" s="0" t="s">
        <v>160</v>
      </c>
      <c r="M2428" s="0" t="s">
        <v>10467</v>
      </c>
      <c r="N2428" s="0" t="str">
        <f aca="false">RIGHT(M2428,LEN(M2428)-FIND(" ",M2428))</f>
        <v>WOODBINE AVE SE</v>
      </c>
      <c r="P2428" s="0" t="s">
        <v>145</v>
      </c>
      <c r="Q2428" s="0" t="s">
        <v>146</v>
      </c>
      <c r="R2428" s="0" t="n">
        <v>44484</v>
      </c>
      <c r="AD2428" s="0" t="s">
        <v>147</v>
      </c>
      <c r="AE2428" s="0" t="s">
        <v>148</v>
      </c>
      <c r="AF2428" s="0" t="s">
        <v>149</v>
      </c>
      <c r="AH2428" s="0" t="n">
        <v>14</v>
      </c>
      <c r="AI2428" s="0" t="n">
        <v>11</v>
      </c>
      <c r="AN2428" s="0" t="s">
        <v>145</v>
      </c>
      <c r="AO2428" s="0" t="s">
        <v>233</v>
      </c>
      <c r="AP2428" s="0" t="s">
        <v>234</v>
      </c>
      <c r="AQ2428" s="0" t="n">
        <v>9</v>
      </c>
      <c r="AR2428" s="0" t="n">
        <v>64</v>
      </c>
      <c r="AS2428" s="0" t="n">
        <v>32</v>
      </c>
      <c r="AU2428" s="0" t="n">
        <f aca="false">COUNTA($BA$2493:$EH$2493)</f>
        <v>13</v>
      </c>
      <c r="AV2428" s="0" t="n">
        <f aca="false">COUNTIF($BA$2493:$EH$2493,"D")</f>
        <v>2</v>
      </c>
      <c r="AW2428" s="0" t="n">
        <f aca="false">COUNTIF($BA$2493:$EH$2493,"R")</f>
        <v>0</v>
      </c>
      <c r="AX2428" s="0" t="n">
        <f aca="false">IF(BN2428="D",1,0)+IF(BO2428="D",1,0)+IF(BT2428="D",1,0)+IF(BU2428="D",1,0)+IF(BW2428="D",1,0)+IF(CC2428="D",1,0)+IF(CD2428="D",1,0)+IF(CE2428="D",1,0)+IF(CF2428="D",1,0)+IF(CL2428="D",1,0)+IF(CM2428="D",1,0)+IF(CQ2428="D",1,0)+IF(CR2428="D",1,0)+IF(CS2428="D",1,0)+IF(CW2428="D",1,0)+IF(CX2428="D",1,0)+IF(DD2428="D",1,0)+IF(DE2428="D",1,0)+IF(DJ2428="D",1,0)+IF(DK2428="D",1,0)+IF(DO2428="D",1,0)+IF(DP2428="D",1,0)+IF(DQ2428="D",1,0)+IF(DW2428="D",1,0)+IF(DZ2428="D",1,0)+IF(EH2428="D",1,0)</f>
        <v>0</v>
      </c>
      <c r="AY2428" s="0" t="n">
        <f aca="false">COUNTIF(DU2428:EH2428, "&lt;&gt;")</f>
        <v>2</v>
      </c>
      <c r="AZ2428" s="0" t="n">
        <f aca="false">IF(EH2428&lt;&gt;"",1,0)</f>
        <v>0</v>
      </c>
      <c r="BB2428" s="0" t="s">
        <v>152</v>
      </c>
      <c r="CP2428" s="0" t="s">
        <v>153</v>
      </c>
      <c r="CY2428" s="0" t="s">
        <v>153</v>
      </c>
      <c r="DC2428" s="0" t="s">
        <v>153</v>
      </c>
      <c r="EA2428" s="0" t="s">
        <v>153</v>
      </c>
      <c r="EF2428" s="0" t="s">
        <v>153</v>
      </c>
    </row>
    <row r="2429" customFormat="false" ht="13.8" hidden="true" customHeight="false" outlineLevel="0" collapsed="false">
      <c r="A2429" s="0" t="s">
        <v>10471</v>
      </c>
      <c r="B2429" s="0" t="n">
        <v>78</v>
      </c>
      <c r="C2429" s="0" t="n">
        <v>374116</v>
      </c>
      <c r="D2429" s="0" t="s">
        <v>10472</v>
      </c>
      <c r="E2429" s="0" t="s">
        <v>8699</v>
      </c>
      <c r="F2429" s="0" t="str">
        <f aca="false">CONCATENATE(D2429," ",LEFT(H2429,4),"T=",AU2429,"D=",AV2429,"R=",AW2429,"M=",AX2429,"L=",AY2429,"B=",AZ2429)</f>
        <v>ANERINO T=3D=0R=0M=0L=0B=0</v>
      </c>
      <c r="G2429" s="0" t="s">
        <v>164</v>
      </c>
      <c r="I2429" s="0" t="s">
        <v>10473</v>
      </c>
      <c r="J2429" s="0" t="s">
        <v>693</v>
      </c>
      <c r="K2429" s="0" t="s">
        <v>160</v>
      </c>
      <c r="M2429" s="0" t="s">
        <v>10474</v>
      </c>
      <c r="N2429" s="0" t="str">
        <f aca="false">RIGHT(M2429,LEN(M2429)-FIND(" ",M2429))</f>
        <v>WOODBINE AVE SE</v>
      </c>
      <c r="P2429" s="0" t="s">
        <v>145</v>
      </c>
      <c r="Q2429" s="0" t="s">
        <v>146</v>
      </c>
      <c r="R2429" s="0" t="n">
        <v>44484</v>
      </c>
      <c r="AD2429" s="0" t="s">
        <v>147</v>
      </c>
      <c r="AE2429" s="0" t="s">
        <v>148</v>
      </c>
      <c r="AF2429" s="0" t="s">
        <v>149</v>
      </c>
      <c r="AH2429" s="0" t="n">
        <v>14</v>
      </c>
      <c r="AI2429" s="0" t="n">
        <v>11</v>
      </c>
      <c r="AN2429" s="0" t="s">
        <v>145</v>
      </c>
      <c r="AO2429" s="0" t="s">
        <v>233</v>
      </c>
      <c r="AP2429" s="0" t="s">
        <v>234</v>
      </c>
      <c r="AQ2429" s="0" t="n">
        <v>9</v>
      </c>
      <c r="AR2429" s="0" t="n">
        <v>64</v>
      </c>
      <c r="AS2429" s="0" t="n">
        <v>32</v>
      </c>
      <c r="AU2429" s="0" t="n">
        <f aca="false">COUNTA($BA$2166:$EH$2166)</f>
        <v>3</v>
      </c>
      <c r="AV2429" s="0" t="n">
        <f aca="false">COUNTIF($BA$2166:$EH$2166,"D")</f>
        <v>0</v>
      </c>
      <c r="AW2429" s="0" t="n">
        <f aca="false">COUNTIF($BA$2166:$EH$2166,"R")</f>
        <v>0</v>
      </c>
      <c r="AX2429" s="0" t="n">
        <f aca="false">IF(BN2429="D",1,0)+IF(BO2429="D",1,0)+IF(BT2429="D",1,0)+IF(BU2429="D",1,0)+IF(BW2429="D",1,0)+IF(CC2429="D",1,0)+IF(CD2429="D",1,0)+IF(CE2429="D",1,0)+IF(CF2429="D",1,0)+IF(CL2429="D",1,0)+IF(CM2429="D",1,0)+IF(CQ2429="D",1,0)+IF(CR2429="D",1,0)+IF(CS2429="D",1,0)+IF(CW2429="D",1,0)+IF(CX2429="D",1,0)+IF(DD2429="D",1,0)+IF(DE2429="D",1,0)+IF(DJ2429="D",1,0)+IF(DK2429="D",1,0)+IF(DO2429="D",1,0)+IF(DP2429="D",1,0)+IF(DQ2429="D",1,0)+IF(DW2429="D",1,0)+IF(DZ2429="D",1,0)+IF(EH2429="D",1,0)</f>
        <v>0</v>
      </c>
      <c r="AY2429" s="0" t="n">
        <f aca="false">COUNTIF(DU2429:EH2429, "&lt;&gt;")</f>
        <v>0</v>
      </c>
      <c r="AZ2429" s="0" t="n">
        <f aca="false">IF(EH2429&lt;&gt;"",1,0)</f>
        <v>0</v>
      </c>
      <c r="BB2429" s="0" t="s">
        <v>152</v>
      </c>
    </row>
    <row r="2430" customFormat="false" ht="13.8" hidden="true" customHeight="false" outlineLevel="0" collapsed="false">
      <c r="A2430" s="0" t="s">
        <v>10475</v>
      </c>
      <c r="B2430" s="0" t="n">
        <v>78</v>
      </c>
      <c r="C2430" s="0" t="n">
        <v>374956</v>
      </c>
      <c r="D2430" s="0" t="s">
        <v>10476</v>
      </c>
      <c r="E2430" s="0" t="s">
        <v>2412</v>
      </c>
      <c r="F2430" s="0" t="str">
        <f aca="false">CONCATENATE(D2430," ",LEFT(H2430,4),"T=",AU2430,"D=",AV2430,"R=",AW2430,"M=",AX2430,"L=",AY2430,"B=",AZ2430)</f>
        <v>YAFANARO JRT=45D=14R=0M=0L=0B=0</v>
      </c>
      <c r="G2430" s="0" t="s">
        <v>325</v>
      </c>
      <c r="H2430" s="0" t="s">
        <v>314</v>
      </c>
      <c r="I2430" s="0" t="s">
        <v>10477</v>
      </c>
      <c r="J2430" s="0" t="s">
        <v>10478</v>
      </c>
      <c r="K2430" s="0" t="s">
        <v>143</v>
      </c>
      <c r="M2430" s="0" t="s">
        <v>10474</v>
      </c>
      <c r="N2430" s="0" t="str">
        <f aca="false">RIGHT(M2430,LEN(M2430)-FIND(" ",M2430))</f>
        <v>WOODBINE AVE SE</v>
      </c>
      <c r="P2430" s="0" t="s">
        <v>145</v>
      </c>
      <c r="Q2430" s="0" t="s">
        <v>146</v>
      </c>
      <c r="R2430" s="0" t="n">
        <v>44484</v>
      </c>
      <c r="AD2430" s="0" t="s">
        <v>147</v>
      </c>
      <c r="AE2430" s="0" t="s">
        <v>148</v>
      </c>
      <c r="AF2430" s="0" t="s">
        <v>149</v>
      </c>
      <c r="AH2430" s="0" t="n">
        <v>14</v>
      </c>
      <c r="AI2430" s="0" t="n">
        <v>11</v>
      </c>
      <c r="AN2430" s="0" t="s">
        <v>145</v>
      </c>
      <c r="AO2430" s="0" t="s">
        <v>233</v>
      </c>
      <c r="AP2430" s="0" t="s">
        <v>234</v>
      </c>
      <c r="AQ2430" s="0" t="n">
        <v>9</v>
      </c>
      <c r="AR2430" s="0" t="n">
        <v>64</v>
      </c>
      <c r="AS2430" s="0" t="n">
        <v>32</v>
      </c>
      <c r="AU2430" s="0" t="n">
        <f aca="false">COUNTA($BA$2597:$EH$2597)</f>
        <v>45</v>
      </c>
      <c r="AV2430" s="0" t="n">
        <f aca="false">COUNTIF($BA$2597:$EH$2597,"D")</f>
        <v>14</v>
      </c>
      <c r="AW2430" s="0" t="n">
        <f aca="false">COUNTIF($BA$2597:$EH$2597,"R")</f>
        <v>0</v>
      </c>
      <c r="AX2430" s="0" t="n">
        <f aca="false">IF(BN2430="D",1,0)+IF(BO2430="D",1,0)+IF(BT2430="D",1,0)+IF(BU2430="D",1,0)+IF(BW2430="D",1,0)+IF(CC2430="D",1,0)+IF(CD2430="D",1,0)+IF(CE2430="D",1,0)+IF(CF2430="D",1,0)+IF(CL2430="D",1,0)+IF(CM2430="D",1,0)+IF(CQ2430="D",1,0)+IF(CR2430="D",1,0)+IF(CS2430="D",1,0)+IF(CW2430="D",1,0)+IF(CX2430="D",1,0)+IF(DD2430="D",1,0)+IF(DE2430="D",1,0)+IF(DJ2430="D",1,0)+IF(DK2430="D",1,0)+IF(DO2430="D",1,0)+IF(DP2430="D",1,0)+IF(DQ2430="D",1,0)+IF(DW2430="D",1,0)+IF(DZ2430="D",1,0)+IF(EH2430="D",1,0)</f>
        <v>0</v>
      </c>
      <c r="AY2430" s="0" t="n">
        <f aca="false">COUNTIF(DU2430:EH2430, "&lt;&gt;")</f>
        <v>0</v>
      </c>
      <c r="AZ2430" s="0" t="n">
        <f aca="false">IF(EH2430&lt;&gt;"",1,0)</f>
        <v>0</v>
      </c>
      <c r="BB2430" s="0" t="s">
        <v>152</v>
      </c>
    </row>
    <row r="2431" customFormat="false" ht="13.8" hidden="true" customHeight="false" outlineLevel="0" collapsed="false">
      <c r="A2431" s="0" t="s">
        <v>10479</v>
      </c>
      <c r="B2431" s="0" t="n">
        <v>78</v>
      </c>
      <c r="C2431" s="0" t="n">
        <v>327163</v>
      </c>
      <c r="D2431" s="0" t="s">
        <v>9280</v>
      </c>
      <c r="E2431" s="0" t="s">
        <v>10480</v>
      </c>
      <c r="F2431" s="0" t="str">
        <f aca="false">CONCATENATE(D2431," ",LEFT(H2431,4),"T=",AU2431,"D=",AV2431,"R=",AW2431,"M=",AX2431,"L=",AY2431,"B=",AZ2431)</f>
        <v>DUKES SRT=1D=0R=0M=0L=0B=0</v>
      </c>
      <c r="G2431" s="0" t="s">
        <v>175</v>
      </c>
      <c r="H2431" s="0" t="s">
        <v>216</v>
      </c>
      <c r="I2431" s="0" t="s">
        <v>10481</v>
      </c>
      <c r="J2431" s="0" t="s">
        <v>283</v>
      </c>
      <c r="K2431" s="0" t="s">
        <v>160</v>
      </c>
      <c r="M2431" s="0" t="s">
        <v>10482</v>
      </c>
      <c r="N2431" s="0" t="str">
        <f aca="false">RIGHT(M2431,LEN(M2431)-FIND(" ",M2431))</f>
        <v>WOODBINE AVE SE</v>
      </c>
      <c r="P2431" s="0" t="s">
        <v>145</v>
      </c>
      <c r="Q2431" s="0" t="s">
        <v>146</v>
      </c>
      <c r="R2431" s="0" t="n">
        <v>44484</v>
      </c>
      <c r="AD2431" s="0" t="s">
        <v>147</v>
      </c>
      <c r="AE2431" s="0" t="s">
        <v>148</v>
      </c>
      <c r="AF2431" s="0" t="s">
        <v>149</v>
      </c>
      <c r="AH2431" s="0" t="n">
        <v>14</v>
      </c>
      <c r="AI2431" s="0" t="n">
        <v>11</v>
      </c>
      <c r="AN2431" s="0" t="s">
        <v>145</v>
      </c>
      <c r="AO2431" s="0" t="s">
        <v>233</v>
      </c>
      <c r="AP2431" s="0" t="s">
        <v>234</v>
      </c>
      <c r="AQ2431" s="0" t="n">
        <v>9</v>
      </c>
      <c r="AR2431" s="0" t="n">
        <v>64</v>
      </c>
      <c r="AS2431" s="0" t="n">
        <v>32</v>
      </c>
      <c r="AU2431" s="0" t="n">
        <f aca="false">COUNTA($BA$2240:$EH$2240)</f>
        <v>1</v>
      </c>
      <c r="AV2431" s="0" t="n">
        <f aca="false">COUNTIF($BA$2240:$EH$2240,"D")</f>
        <v>0</v>
      </c>
      <c r="AW2431" s="0" t="n">
        <f aca="false">COUNTIF($BA$2240:$EH$2240,"R")</f>
        <v>0</v>
      </c>
      <c r="AX2431" s="0" t="n">
        <f aca="false">IF(BN2431="D",1,0)+IF(BO2431="D",1,0)+IF(BT2431="D",1,0)+IF(BU2431="D",1,0)+IF(BW2431="D",1,0)+IF(CC2431="D",1,0)+IF(CD2431="D",1,0)+IF(CE2431="D",1,0)+IF(CF2431="D",1,0)+IF(CL2431="D",1,0)+IF(CM2431="D",1,0)+IF(CQ2431="D",1,0)+IF(CR2431="D",1,0)+IF(CS2431="D",1,0)+IF(CW2431="D",1,0)+IF(CX2431="D",1,0)+IF(DD2431="D",1,0)+IF(DE2431="D",1,0)+IF(DJ2431="D",1,0)+IF(DK2431="D",1,0)+IF(DO2431="D",1,0)+IF(DP2431="D",1,0)+IF(DQ2431="D",1,0)+IF(DW2431="D",1,0)+IF(DZ2431="D",1,0)+IF(EH2431="D",1,0)</f>
        <v>0</v>
      </c>
      <c r="AY2431" s="0" t="n">
        <f aca="false">COUNTIF(DU2431:EH2431, "&lt;&gt;")</f>
        <v>0</v>
      </c>
      <c r="AZ2431" s="0" t="n">
        <f aca="false">IF(EH2431&lt;&gt;"",1,0)</f>
        <v>0</v>
      </c>
      <c r="BB2431" s="0" t="s">
        <v>152</v>
      </c>
      <c r="CA2431" s="0" t="s">
        <v>153</v>
      </c>
      <c r="CP2431" s="0" t="s">
        <v>153</v>
      </c>
    </row>
    <row r="2432" customFormat="false" ht="13.8" hidden="true" customHeight="false" outlineLevel="0" collapsed="false">
      <c r="A2432" s="0" t="s">
        <v>10483</v>
      </c>
      <c r="B2432" s="0" t="n">
        <v>78</v>
      </c>
      <c r="C2432" s="0" t="n">
        <v>293339</v>
      </c>
      <c r="D2432" s="0" t="s">
        <v>9280</v>
      </c>
      <c r="E2432" s="0" t="s">
        <v>10484</v>
      </c>
      <c r="F2432" s="0" t="str">
        <f aca="false">CONCATENATE(D2432," ",LEFT(H2432,4),"T=",AU2432,"D=",AV2432,"R=",AW2432,"M=",AX2432,"L=",AY2432,"B=",AZ2432)</f>
        <v>DUKES T=5D=2R=0M=0L=0B=0</v>
      </c>
      <c r="G2432" s="0" t="s">
        <v>195</v>
      </c>
      <c r="I2432" s="0" t="s">
        <v>10485</v>
      </c>
      <c r="J2432" s="0" t="s">
        <v>7660</v>
      </c>
      <c r="K2432" s="0" t="s">
        <v>160</v>
      </c>
      <c r="M2432" s="0" t="s">
        <v>10482</v>
      </c>
      <c r="N2432" s="0" t="str">
        <f aca="false">RIGHT(M2432,LEN(M2432)-FIND(" ",M2432))</f>
        <v>WOODBINE AVE SE</v>
      </c>
      <c r="P2432" s="0" t="s">
        <v>145</v>
      </c>
      <c r="Q2432" s="0" t="s">
        <v>146</v>
      </c>
      <c r="R2432" s="0" t="n">
        <v>44484</v>
      </c>
      <c r="AD2432" s="0" t="s">
        <v>147</v>
      </c>
      <c r="AE2432" s="0" t="s">
        <v>148</v>
      </c>
      <c r="AF2432" s="0" t="s">
        <v>149</v>
      </c>
      <c r="AH2432" s="0" t="n">
        <v>14</v>
      </c>
      <c r="AI2432" s="0" t="n">
        <v>11</v>
      </c>
      <c r="AN2432" s="0" t="s">
        <v>145</v>
      </c>
      <c r="AO2432" s="0" t="s">
        <v>233</v>
      </c>
      <c r="AP2432" s="0" t="s">
        <v>234</v>
      </c>
      <c r="AQ2432" s="0" t="n">
        <v>9</v>
      </c>
      <c r="AR2432" s="0" t="n">
        <v>64</v>
      </c>
      <c r="AS2432" s="0" t="n">
        <v>32</v>
      </c>
      <c r="AU2432" s="0" t="n">
        <f aca="false">COUNTA($BA$2366:$EH$2366)</f>
        <v>5</v>
      </c>
      <c r="AV2432" s="0" t="n">
        <f aca="false">COUNTIF($BA$2366:$EH$2366,"D")</f>
        <v>2</v>
      </c>
      <c r="AW2432" s="0" t="n">
        <f aca="false">COUNTIF($BA$2366:$EH$2366,"R")</f>
        <v>0</v>
      </c>
      <c r="AX2432" s="0" t="n">
        <f aca="false">IF(BN2432="D",1,0)+IF(BO2432="D",1,0)+IF(BT2432="D",1,0)+IF(BU2432="D",1,0)+IF(BW2432="D",1,0)+IF(CC2432="D",1,0)+IF(CD2432="D",1,0)+IF(CE2432="D",1,0)+IF(CF2432="D",1,0)+IF(CL2432="D",1,0)+IF(CM2432="D",1,0)+IF(CQ2432="D",1,0)+IF(CR2432="D",1,0)+IF(CS2432="D",1,0)+IF(CW2432="D",1,0)+IF(CX2432="D",1,0)+IF(DD2432="D",1,0)+IF(DE2432="D",1,0)+IF(DJ2432="D",1,0)+IF(DK2432="D",1,0)+IF(DO2432="D",1,0)+IF(DP2432="D",1,0)+IF(DQ2432="D",1,0)+IF(DW2432="D",1,0)+IF(DZ2432="D",1,0)+IF(EH2432="D",1,0)</f>
        <v>0</v>
      </c>
      <c r="AY2432" s="0" t="n">
        <f aca="false">COUNTIF(DU2432:EH2432, "&lt;&gt;")</f>
        <v>0</v>
      </c>
      <c r="AZ2432" s="0" t="n">
        <f aca="false">IF(EH2432&lt;&gt;"",1,0)</f>
        <v>0</v>
      </c>
      <c r="BB2432" s="0" t="s">
        <v>152</v>
      </c>
      <c r="BL2432" s="0" t="s">
        <v>153</v>
      </c>
      <c r="CP2432" s="0" t="s">
        <v>153</v>
      </c>
    </row>
    <row r="2433" customFormat="false" ht="13.8" hidden="true" customHeight="false" outlineLevel="0" collapsed="false">
      <c r="A2433" s="0" t="s">
        <v>10486</v>
      </c>
      <c r="B2433" s="0" t="n">
        <v>78</v>
      </c>
      <c r="C2433" s="0" t="n">
        <v>487691</v>
      </c>
      <c r="D2433" s="0" t="s">
        <v>9280</v>
      </c>
      <c r="E2433" s="0" t="s">
        <v>10487</v>
      </c>
      <c r="F2433" s="0" t="str">
        <f aca="false">CONCATENATE(D2433," ",LEFT(H2433,4),"T=",AU2433,"D=",AV2433,"R=",AW2433,"M=",AX2433,"L=",AY2433,"B=",AZ2433)</f>
        <v>DUKES T=9D=0R=1M=0L=0B=0</v>
      </c>
      <c r="I2433" s="0" t="s">
        <v>596</v>
      </c>
      <c r="J2433" s="0" t="s">
        <v>1050</v>
      </c>
      <c r="K2433" s="0" t="s">
        <v>160</v>
      </c>
      <c r="M2433" s="0" t="s">
        <v>10482</v>
      </c>
      <c r="N2433" s="0" t="str">
        <f aca="false">RIGHT(M2433,LEN(M2433)-FIND(" ",M2433))</f>
        <v>WOODBINE AVE SE</v>
      </c>
      <c r="P2433" s="0" t="s">
        <v>145</v>
      </c>
      <c r="Q2433" s="0" t="s">
        <v>146</v>
      </c>
      <c r="R2433" s="0" t="n">
        <v>44484</v>
      </c>
      <c r="AD2433" s="0" t="s">
        <v>147</v>
      </c>
      <c r="AE2433" s="0" t="s">
        <v>148</v>
      </c>
      <c r="AF2433" s="0" t="s">
        <v>149</v>
      </c>
      <c r="AH2433" s="0" t="n">
        <v>14</v>
      </c>
      <c r="AI2433" s="0" t="n">
        <v>11</v>
      </c>
      <c r="AN2433" s="0" t="s">
        <v>145</v>
      </c>
      <c r="AO2433" s="0" t="s">
        <v>233</v>
      </c>
      <c r="AP2433" s="0" t="s">
        <v>234</v>
      </c>
      <c r="AQ2433" s="0" t="n">
        <v>9</v>
      </c>
      <c r="AR2433" s="0" t="n">
        <v>64</v>
      </c>
      <c r="AS2433" s="0" t="n">
        <v>32</v>
      </c>
      <c r="AU2433" s="0" t="n">
        <f aca="false">COUNTA($BA$2503:$EH$2503)</f>
        <v>9</v>
      </c>
      <c r="AV2433" s="0" t="n">
        <f aca="false">COUNTIF($BA$2503:$EH$2503,"D")</f>
        <v>0</v>
      </c>
      <c r="AW2433" s="0" t="n">
        <f aca="false">COUNTIF($BA$2503:$EH$2503,"R")</f>
        <v>1</v>
      </c>
      <c r="AX2433" s="0" t="n">
        <f aca="false">IF(BN2433="D",1,0)+IF(BO2433="D",1,0)+IF(BT2433="D",1,0)+IF(BU2433="D",1,0)+IF(BW2433="D",1,0)+IF(CC2433="D",1,0)+IF(CD2433="D",1,0)+IF(CE2433="D",1,0)+IF(CF2433="D",1,0)+IF(CL2433="D",1,0)+IF(CM2433="D",1,0)+IF(CQ2433="D",1,0)+IF(CR2433="D",1,0)+IF(CS2433="D",1,0)+IF(CW2433="D",1,0)+IF(CX2433="D",1,0)+IF(DD2433="D",1,0)+IF(DE2433="D",1,0)+IF(DJ2433="D",1,0)+IF(DK2433="D",1,0)+IF(DO2433="D",1,0)+IF(DP2433="D",1,0)+IF(DQ2433="D",1,0)+IF(DW2433="D",1,0)+IF(DZ2433="D",1,0)+IF(EH2433="D",1,0)</f>
        <v>0</v>
      </c>
      <c r="AY2433" s="0" t="n">
        <f aca="false">COUNTIF(DU2433:EH2433, "&lt;&gt;")</f>
        <v>0</v>
      </c>
      <c r="AZ2433" s="0" t="n">
        <f aca="false">IF(EH2433&lt;&gt;"",1,0)</f>
        <v>0</v>
      </c>
      <c r="BB2433" s="0" t="s">
        <v>152</v>
      </c>
    </row>
    <row r="2434" customFormat="false" ht="13.8" hidden="true" customHeight="false" outlineLevel="0" collapsed="false">
      <c r="A2434" s="0" t="s">
        <v>10488</v>
      </c>
      <c r="B2434" s="0" t="n">
        <v>78</v>
      </c>
      <c r="C2434" s="0" t="n">
        <v>372283</v>
      </c>
      <c r="D2434" s="0" t="s">
        <v>1360</v>
      </c>
      <c r="E2434" s="0" t="s">
        <v>10489</v>
      </c>
      <c r="F2434" s="0" t="str">
        <f aca="false">CONCATENATE(D2434," ",LEFT(H2434,4),"T=",AU2434,"D=",AV2434,"R=",AW2434,"M=",AX2434,"L=",AY2434,"B=",AZ2434)</f>
        <v>TENNEY T=6D=0R=0M=0L=0B=0</v>
      </c>
      <c r="G2434" s="0" t="s">
        <v>1128</v>
      </c>
      <c r="I2434" s="0" t="s">
        <v>10490</v>
      </c>
      <c r="J2434" s="0" t="s">
        <v>10491</v>
      </c>
      <c r="K2434" s="0" t="s">
        <v>143</v>
      </c>
      <c r="M2434" s="0" t="s">
        <v>10492</v>
      </c>
      <c r="N2434" s="0" t="str">
        <f aca="false">RIGHT(M2434,LEN(M2434)-FIND(" ",M2434))</f>
        <v>WOODBINE AVE SE</v>
      </c>
      <c r="P2434" s="0" t="s">
        <v>145</v>
      </c>
      <c r="Q2434" s="0" t="s">
        <v>146</v>
      </c>
      <c r="R2434" s="0" t="n">
        <v>44483</v>
      </c>
      <c r="AD2434" s="0" t="s">
        <v>147</v>
      </c>
      <c r="AE2434" s="0" t="s">
        <v>148</v>
      </c>
      <c r="AF2434" s="0" t="s">
        <v>149</v>
      </c>
      <c r="AH2434" s="0" t="n">
        <v>14</v>
      </c>
      <c r="AI2434" s="0" t="n">
        <v>11</v>
      </c>
      <c r="AN2434" s="0" t="s">
        <v>145</v>
      </c>
      <c r="AO2434" s="0" t="s">
        <v>150</v>
      </c>
      <c r="AP2434" s="0" t="s">
        <v>151</v>
      </c>
      <c r="AQ2434" s="0" t="n">
        <v>9</v>
      </c>
      <c r="AR2434" s="0" t="n">
        <v>64</v>
      </c>
      <c r="AS2434" s="0" t="n">
        <v>32</v>
      </c>
      <c r="AU2434" s="0" t="n">
        <f aca="false">COUNTA($BA$837:$EH$837)</f>
        <v>6</v>
      </c>
      <c r="AV2434" s="0" t="n">
        <f aca="false">COUNTIF($BA$837:$EH$837,"D")</f>
        <v>0</v>
      </c>
      <c r="AW2434" s="0" t="n">
        <f aca="false">COUNTIF($BA$837:$EH$837,"R")</f>
        <v>0</v>
      </c>
      <c r="AX2434" s="0" t="n">
        <f aca="false">IF(BN2434="D",1,0)+IF(BO2434="D",1,0)+IF(BT2434="D",1,0)+IF(BU2434="D",1,0)+IF(BW2434="D",1,0)+IF(CC2434="D",1,0)+IF(CD2434="D",1,0)+IF(CE2434="D",1,0)+IF(CF2434="D",1,0)+IF(CL2434="D",1,0)+IF(CM2434="D",1,0)+IF(CQ2434="D",1,0)+IF(CR2434="D",1,0)+IF(CS2434="D",1,0)+IF(CW2434="D",1,0)+IF(CX2434="D",1,0)+IF(DD2434="D",1,0)+IF(DE2434="D",1,0)+IF(DJ2434="D",1,0)+IF(DK2434="D",1,0)+IF(DO2434="D",1,0)+IF(DP2434="D",1,0)+IF(DQ2434="D",1,0)+IF(DW2434="D",1,0)+IF(DZ2434="D",1,0)+IF(EH2434="D",1,0)</f>
        <v>0</v>
      </c>
      <c r="AY2434" s="0" t="n">
        <f aca="false">COUNTIF(DU2434:EH2434, "&lt;&gt;")</f>
        <v>0</v>
      </c>
      <c r="AZ2434" s="0" t="n">
        <f aca="false">IF(EH2434&lt;&gt;"",1,0)</f>
        <v>0</v>
      </c>
      <c r="BB2434" s="0" t="s">
        <v>152</v>
      </c>
      <c r="CN2434" s="0" t="s">
        <v>153</v>
      </c>
    </row>
    <row r="2435" customFormat="false" ht="13.8" hidden="false" customHeight="false" outlineLevel="0" collapsed="false">
      <c r="A2435" s="0" t="s">
        <v>10493</v>
      </c>
      <c r="B2435" s="0" t="n">
        <v>78</v>
      </c>
      <c r="C2435" s="0" t="n">
        <v>465196</v>
      </c>
      <c r="D2435" s="0" t="s">
        <v>1360</v>
      </c>
      <c r="E2435" s="0" t="s">
        <v>10494</v>
      </c>
      <c r="F2435" s="0" t="str">
        <f aca="false">CONCATENATE(D2435," ",LEFT(H2435,4),"T=",AU2435,"D=",AV2435,"R=",AW2435,"M=",AX2435,"L=",AY2435,"B=",AZ2435)</f>
        <v>TENNEY T=26D=0R=5M=0L=4B=0</v>
      </c>
      <c r="G2435" s="0" t="s">
        <v>558</v>
      </c>
      <c r="I2435" s="0" t="s">
        <v>5605</v>
      </c>
      <c r="J2435" s="0" t="s">
        <v>9918</v>
      </c>
      <c r="K2435" s="0" t="s">
        <v>160</v>
      </c>
      <c r="M2435" s="0" t="s">
        <v>10492</v>
      </c>
      <c r="N2435" s="0" t="str">
        <f aca="false">RIGHT(M2435,LEN(M2435)-FIND(" ",M2435))</f>
        <v>WOODBINE AVE SE</v>
      </c>
      <c r="P2435" s="0" t="s">
        <v>145</v>
      </c>
      <c r="Q2435" s="0" t="s">
        <v>146</v>
      </c>
      <c r="R2435" s="0" t="n">
        <v>44483</v>
      </c>
      <c r="AD2435" s="0" t="s">
        <v>147</v>
      </c>
      <c r="AE2435" s="0" t="s">
        <v>148</v>
      </c>
      <c r="AF2435" s="0" t="s">
        <v>149</v>
      </c>
      <c r="AH2435" s="0" t="n">
        <v>14</v>
      </c>
      <c r="AI2435" s="0" t="n">
        <v>11</v>
      </c>
      <c r="AN2435" s="0" t="s">
        <v>145</v>
      </c>
      <c r="AO2435" s="0" t="s">
        <v>150</v>
      </c>
      <c r="AP2435" s="0" t="s">
        <v>151</v>
      </c>
      <c r="AQ2435" s="0" t="n">
        <v>9</v>
      </c>
      <c r="AR2435" s="0" t="n">
        <v>64</v>
      </c>
      <c r="AS2435" s="0" t="n">
        <v>32</v>
      </c>
      <c r="AU2435" s="0" t="n">
        <f aca="false">COUNTA($BA$917:$EH$917)</f>
        <v>26</v>
      </c>
      <c r="AV2435" s="0" t="n">
        <f aca="false">COUNTIF($BA$917:$EH$917,"D")</f>
        <v>0</v>
      </c>
      <c r="AW2435" s="0" t="n">
        <f aca="false">COUNTIF($BA$917:$EH$917,"R")</f>
        <v>5</v>
      </c>
      <c r="AX2435" s="0" t="n">
        <f aca="false">IF(BN2435="D",1,0)+IF(BO2435="D",1,0)+IF(BT2435="D",1,0)+IF(BU2435="D",1,0)+IF(BW2435="D",1,0)+IF(CC2435="D",1,0)+IF(CD2435="D",1,0)+IF(CE2435="D",1,0)+IF(CF2435="D",1,0)+IF(CL2435="D",1,0)+IF(CM2435="D",1,0)+IF(CQ2435="D",1,0)+IF(CR2435="D",1,0)+IF(CS2435="D",1,0)+IF(CW2435="D",1,0)+IF(CX2435="D",1,0)+IF(DD2435="D",1,0)+IF(DE2435="D",1,0)+IF(DJ2435="D",1,0)+IF(DK2435="D",1,0)+IF(DO2435="D",1,0)+IF(DP2435="D",1,0)+IF(DQ2435="D",1,0)+IF(DW2435="D",1,0)+IF(DZ2435="D",1,0)+IF(EH2435="D",1,0)</f>
        <v>0</v>
      </c>
      <c r="AY2435" s="0" t="n">
        <f aca="false">COUNTIF(DU2435:EH2435, "&lt;&gt;")</f>
        <v>4</v>
      </c>
      <c r="AZ2435" s="0" t="n">
        <f aca="false">IF(EH2435&lt;&gt;"",1,0)</f>
        <v>0</v>
      </c>
      <c r="BB2435" s="0" t="s">
        <v>152</v>
      </c>
      <c r="DU2435" s="0" t="s">
        <v>153</v>
      </c>
      <c r="DX2435" s="0" t="s">
        <v>153</v>
      </c>
      <c r="EA2435" s="0" t="s">
        <v>153</v>
      </c>
      <c r="EF2435" s="0" t="s">
        <v>153</v>
      </c>
    </row>
    <row r="2436" customFormat="false" ht="13.8" hidden="true" customHeight="false" outlineLevel="0" collapsed="false">
      <c r="A2436" s="0" t="s">
        <v>10495</v>
      </c>
      <c r="B2436" s="0" t="n">
        <v>78</v>
      </c>
      <c r="C2436" s="0" t="n">
        <v>475816</v>
      </c>
      <c r="D2436" s="0" t="s">
        <v>1058</v>
      </c>
      <c r="E2436" s="0" t="s">
        <v>10496</v>
      </c>
      <c r="F2436" s="0" t="str">
        <f aca="false">CONCATENATE(D2436," ",LEFT(H2436,4),"T=",AU2436,"D=",AV2436,"R=",AW2436,"M=",AX2436,"L=",AY2436,"B=",AZ2436)</f>
        <v>OWENS T=2D=0R=0M=0L=0B=0</v>
      </c>
      <c r="G2436" s="0" t="s">
        <v>10497</v>
      </c>
      <c r="I2436" s="0" t="s">
        <v>10498</v>
      </c>
      <c r="J2436" s="0" t="s">
        <v>2861</v>
      </c>
      <c r="K2436" s="0" t="s">
        <v>160</v>
      </c>
      <c r="M2436" s="0" t="s">
        <v>10499</v>
      </c>
      <c r="N2436" s="0" t="str">
        <f aca="false">RIGHT(M2436,LEN(M2436)-FIND(" ",M2436))</f>
        <v>WOODBINE AVE SE</v>
      </c>
      <c r="P2436" s="0" t="s">
        <v>145</v>
      </c>
      <c r="Q2436" s="0" t="s">
        <v>146</v>
      </c>
      <c r="R2436" s="0" t="n">
        <v>44483</v>
      </c>
      <c r="AD2436" s="0" t="s">
        <v>147</v>
      </c>
      <c r="AE2436" s="0" t="s">
        <v>148</v>
      </c>
      <c r="AF2436" s="0" t="s">
        <v>149</v>
      </c>
      <c r="AH2436" s="0" t="n">
        <v>14</v>
      </c>
      <c r="AI2436" s="0" t="n">
        <v>11</v>
      </c>
      <c r="AN2436" s="0" t="s">
        <v>145</v>
      </c>
      <c r="AO2436" s="0" t="s">
        <v>150</v>
      </c>
      <c r="AP2436" s="0" t="s">
        <v>151</v>
      </c>
      <c r="AQ2436" s="0" t="n">
        <v>9</v>
      </c>
      <c r="AR2436" s="0" t="n">
        <v>64</v>
      </c>
      <c r="AS2436" s="0" t="n">
        <v>32</v>
      </c>
      <c r="AU2436" s="0" t="n">
        <f aca="false">COUNTA($BA$430:$EH$430)</f>
        <v>2</v>
      </c>
      <c r="AV2436" s="0" t="n">
        <f aca="false">COUNTIF($BA$430:$EH$430,"D")</f>
        <v>0</v>
      </c>
      <c r="AW2436" s="0" t="n">
        <f aca="false">COUNTIF($BA$430:$EH$430,"R")</f>
        <v>0</v>
      </c>
      <c r="AX2436" s="0" t="n">
        <f aca="false">IF(BN2436="D",1,0)+IF(BO2436="D",1,0)+IF(BT2436="D",1,0)+IF(BU2436="D",1,0)+IF(BW2436="D",1,0)+IF(CC2436="D",1,0)+IF(CD2436="D",1,0)+IF(CE2436="D",1,0)+IF(CF2436="D",1,0)+IF(CL2436="D",1,0)+IF(CM2436="D",1,0)+IF(CQ2436="D",1,0)+IF(CR2436="D",1,0)+IF(CS2436="D",1,0)+IF(CW2436="D",1,0)+IF(CX2436="D",1,0)+IF(DD2436="D",1,0)+IF(DE2436="D",1,0)+IF(DJ2436="D",1,0)+IF(DK2436="D",1,0)+IF(DO2436="D",1,0)+IF(DP2436="D",1,0)+IF(DQ2436="D",1,0)+IF(DW2436="D",1,0)+IF(DZ2436="D",1,0)+IF(EH2436="D",1,0)</f>
        <v>0</v>
      </c>
      <c r="AY2436" s="0" t="n">
        <f aca="false">COUNTIF(DU2436:EH2436, "&lt;&gt;")</f>
        <v>0</v>
      </c>
      <c r="AZ2436" s="0" t="n">
        <f aca="false">IF(EH2436&lt;&gt;"",1,0)</f>
        <v>0</v>
      </c>
      <c r="BB2436" s="0" t="s">
        <v>152</v>
      </c>
    </row>
    <row r="2437" customFormat="false" ht="13.8" hidden="true" customHeight="false" outlineLevel="0" collapsed="false">
      <c r="A2437" s="0" t="s">
        <v>10500</v>
      </c>
      <c r="B2437" s="0" t="n">
        <v>78</v>
      </c>
      <c r="C2437" s="0" t="n">
        <v>401439</v>
      </c>
      <c r="D2437" s="0" t="s">
        <v>10501</v>
      </c>
      <c r="E2437" s="0" t="s">
        <v>10502</v>
      </c>
      <c r="F2437" s="0" t="str">
        <f aca="false">CONCATENATE(D2437," ",LEFT(H2437,4),"T=",AU2437,"D=",AV2437,"R=",AW2437,"M=",AX2437,"L=",AY2437,"B=",AZ2437)</f>
        <v>ALOMBRO T=6D=0R=0M=0L=0B=0</v>
      </c>
      <c r="G2437" s="0" t="s">
        <v>522</v>
      </c>
      <c r="I2437" s="0" t="s">
        <v>4166</v>
      </c>
      <c r="J2437" s="0" t="s">
        <v>10503</v>
      </c>
      <c r="K2437" s="0" t="s">
        <v>143</v>
      </c>
      <c r="M2437" s="0" t="s">
        <v>10504</v>
      </c>
      <c r="N2437" s="0" t="str">
        <f aca="false">RIGHT(M2437,LEN(M2437)-FIND(" ",M2437))</f>
        <v>WOODBINE AVE SE</v>
      </c>
      <c r="P2437" s="0" t="s">
        <v>145</v>
      </c>
      <c r="Q2437" s="0" t="s">
        <v>146</v>
      </c>
      <c r="R2437" s="0" t="n">
        <v>44483</v>
      </c>
      <c r="AD2437" s="0" t="s">
        <v>147</v>
      </c>
      <c r="AE2437" s="0" t="s">
        <v>148</v>
      </c>
      <c r="AF2437" s="0" t="s">
        <v>149</v>
      </c>
      <c r="AH2437" s="0" t="n">
        <v>14</v>
      </c>
      <c r="AI2437" s="0" t="n">
        <v>11</v>
      </c>
      <c r="AN2437" s="0" t="s">
        <v>145</v>
      </c>
      <c r="AO2437" s="0" t="s">
        <v>150</v>
      </c>
      <c r="AP2437" s="0" t="s">
        <v>151</v>
      </c>
      <c r="AQ2437" s="0" t="n">
        <v>9</v>
      </c>
      <c r="AR2437" s="0" t="n">
        <v>64</v>
      </c>
      <c r="AS2437" s="0" t="n">
        <v>32</v>
      </c>
      <c r="AU2437" s="0" t="n">
        <f aca="false">COUNTA($BA$733:$EH$733)</f>
        <v>6</v>
      </c>
      <c r="AV2437" s="0" t="n">
        <f aca="false">COUNTIF($BA$733:$EH$733,"D")</f>
        <v>0</v>
      </c>
      <c r="AW2437" s="0" t="n">
        <f aca="false">COUNTIF($BA$733:$EH$733,"R")</f>
        <v>0</v>
      </c>
      <c r="AX2437" s="0" t="n">
        <f aca="false">IF(BN2437="D",1,0)+IF(BO2437="D",1,0)+IF(BT2437="D",1,0)+IF(BU2437="D",1,0)+IF(BW2437="D",1,0)+IF(CC2437="D",1,0)+IF(CD2437="D",1,0)+IF(CE2437="D",1,0)+IF(CF2437="D",1,0)+IF(CL2437="D",1,0)+IF(CM2437="D",1,0)+IF(CQ2437="D",1,0)+IF(CR2437="D",1,0)+IF(CS2437="D",1,0)+IF(CW2437="D",1,0)+IF(CX2437="D",1,0)+IF(DD2437="D",1,0)+IF(DE2437="D",1,0)+IF(DJ2437="D",1,0)+IF(DK2437="D",1,0)+IF(DO2437="D",1,0)+IF(DP2437="D",1,0)+IF(DQ2437="D",1,0)+IF(DW2437="D",1,0)+IF(DZ2437="D",1,0)+IF(EH2437="D",1,0)</f>
        <v>0</v>
      </c>
      <c r="AY2437" s="0" t="n">
        <f aca="false">COUNTIF(DU2437:EH2437, "&lt;&gt;")</f>
        <v>0</v>
      </c>
      <c r="AZ2437" s="0" t="n">
        <f aca="false">IF(EH2437&lt;&gt;"",1,0)</f>
        <v>0</v>
      </c>
      <c r="BB2437" s="0" t="s">
        <v>152</v>
      </c>
    </row>
    <row r="2438" customFormat="false" ht="13.8" hidden="true" customHeight="false" outlineLevel="0" collapsed="false">
      <c r="A2438" s="0" t="s">
        <v>10505</v>
      </c>
      <c r="B2438" s="0" t="n">
        <v>78</v>
      </c>
      <c r="C2438" s="0" t="n">
        <v>142856</v>
      </c>
      <c r="D2438" s="0" t="s">
        <v>10506</v>
      </c>
      <c r="E2438" s="0" t="s">
        <v>871</v>
      </c>
      <c r="F2438" s="0" t="str">
        <f aca="false">CONCATENATE(D2438," ",LEFT(H2438,4),"T=",AU2438,"D=",AV2438,"R=",AW2438,"M=",AX2438,"L=",AY2438,"B=",AZ2438)</f>
        <v>LIAKARIS T=1D=0R=0M=1L=0B=0</v>
      </c>
      <c r="I2438" s="0" t="s">
        <v>10507</v>
      </c>
      <c r="J2438" s="0" t="s">
        <v>10508</v>
      </c>
      <c r="K2438" s="0" t="s">
        <v>143</v>
      </c>
      <c r="M2438" s="0" t="s">
        <v>10509</v>
      </c>
      <c r="N2438" s="0" t="str">
        <f aca="false">RIGHT(M2438,LEN(M2438)-FIND(" ",M2438))</f>
        <v>WOODBINE AVE SE</v>
      </c>
      <c r="P2438" s="0" t="s">
        <v>145</v>
      </c>
      <c r="Q2438" s="0" t="s">
        <v>146</v>
      </c>
      <c r="R2438" s="0" t="n">
        <v>44483</v>
      </c>
      <c r="AD2438" s="0" t="s">
        <v>147</v>
      </c>
      <c r="AE2438" s="0" t="s">
        <v>148</v>
      </c>
      <c r="AF2438" s="0" t="s">
        <v>149</v>
      </c>
      <c r="AH2438" s="0" t="n">
        <v>14</v>
      </c>
      <c r="AI2438" s="0" t="n">
        <v>11</v>
      </c>
      <c r="AN2438" s="0" t="s">
        <v>145</v>
      </c>
      <c r="AO2438" s="0" t="s">
        <v>150</v>
      </c>
      <c r="AP2438" s="0" t="s">
        <v>151</v>
      </c>
      <c r="AQ2438" s="0" t="n">
        <v>9</v>
      </c>
      <c r="AR2438" s="0" t="n">
        <v>64</v>
      </c>
      <c r="AS2438" s="0" t="n">
        <v>32</v>
      </c>
      <c r="AU2438" s="0" t="n">
        <f aca="false">COUNTA($BA$113:$EH$113)</f>
        <v>1</v>
      </c>
      <c r="AV2438" s="0" t="n">
        <f aca="false">COUNTIF($BA$113:$EH$113,"D")</f>
        <v>0</v>
      </c>
      <c r="AW2438" s="0" t="n">
        <f aca="false">COUNTIF($BA$113:$EH$113,"R")</f>
        <v>0</v>
      </c>
      <c r="AX2438" s="0" t="n">
        <f aca="false">IF(BN2438="D",1,0)+IF(BO2438="D",1,0)+IF(BT2438="D",1,0)+IF(BU2438="D",1,0)+IF(BW2438="D",1,0)+IF(CC2438="D",1,0)+IF(CD2438="D",1,0)+IF(CE2438="D",1,0)+IF(CF2438="D",1,0)+IF(CL2438="D",1,0)+IF(CM2438="D",1,0)+IF(CQ2438="D",1,0)+IF(CR2438="D",1,0)+IF(CS2438="D",1,0)+IF(CW2438="D",1,0)+IF(CX2438="D",1,0)+IF(DD2438="D",1,0)+IF(DE2438="D",1,0)+IF(DJ2438="D",1,0)+IF(DK2438="D",1,0)+IF(DO2438="D",1,0)+IF(DP2438="D",1,0)+IF(DQ2438="D",1,0)+IF(DW2438="D",1,0)+IF(DZ2438="D",1,0)+IF(EH2438="D",1,0)</f>
        <v>1</v>
      </c>
      <c r="AY2438" s="0" t="n">
        <f aca="false">COUNTIF(DU2438:EH2438, "&lt;&gt;")</f>
        <v>0</v>
      </c>
      <c r="AZ2438" s="0" t="n">
        <f aca="false">IF(EH2438&lt;&gt;"",1,0)</f>
        <v>0</v>
      </c>
      <c r="BB2438" s="0" t="s">
        <v>152</v>
      </c>
      <c r="BD2438" s="0" t="s">
        <v>153</v>
      </c>
      <c r="BY2438" s="0" t="s">
        <v>175</v>
      </c>
      <c r="CA2438" s="0" t="s">
        <v>153</v>
      </c>
      <c r="CN2438" s="0" t="s">
        <v>153</v>
      </c>
      <c r="CP2438" s="0" t="s">
        <v>153</v>
      </c>
      <c r="CV2438" s="0" t="s">
        <v>153</v>
      </c>
      <c r="CW2438" s="0" t="s">
        <v>175</v>
      </c>
      <c r="CY2438" s="0" t="s">
        <v>153</v>
      </c>
      <c r="CZ2438" s="0" t="s">
        <v>175</v>
      </c>
      <c r="DC2438" s="0" t="s">
        <v>153</v>
      </c>
      <c r="DF2438" s="0" t="s">
        <v>153</v>
      </c>
      <c r="DG2438" s="0" t="s">
        <v>175</v>
      </c>
      <c r="DI2438" s="0" t="s">
        <v>153</v>
      </c>
      <c r="DN2438" s="0" t="s">
        <v>153</v>
      </c>
    </row>
    <row r="2439" customFormat="false" ht="13.8" hidden="false" customHeight="false" outlineLevel="0" collapsed="false">
      <c r="A2439" s="0" t="s">
        <v>10510</v>
      </c>
      <c r="B2439" s="0" t="n">
        <v>78</v>
      </c>
      <c r="C2439" s="0" t="n">
        <v>90376</v>
      </c>
      <c r="D2439" s="0" t="s">
        <v>10511</v>
      </c>
      <c r="E2439" s="0" t="s">
        <v>379</v>
      </c>
      <c r="F2439" s="0" t="str">
        <f aca="false">CONCATENATE(D2439," ",LEFT(H2439,4),"T=",AU2439,"D=",AV2439,"R=",AW2439,"M=",AX2439,"L=",AY2439,"B=",AZ2439)</f>
        <v>SINGELIS T=1D=0R=0M=1L=4B=0</v>
      </c>
      <c r="I2439" s="0" t="s">
        <v>10512</v>
      </c>
      <c r="J2439" s="0" t="s">
        <v>5141</v>
      </c>
      <c r="K2439" s="0" t="s">
        <v>160</v>
      </c>
      <c r="L2439" s="0" t="s">
        <v>209</v>
      </c>
      <c r="M2439" s="0" t="s">
        <v>10509</v>
      </c>
      <c r="N2439" s="0" t="str">
        <f aca="false">RIGHT(M2439,LEN(M2439)-FIND(" ",M2439))</f>
        <v>WOODBINE AVE SE</v>
      </c>
      <c r="P2439" s="0" t="s">
        <v>145</v>
      </c>
      <c r="Q2439" s="0" t="s">
        <v>146</v>
      </c>
      <c r="R2439" s="0" t="n">
        <v>44483</v>
      </c>
      <c r="AD2439" s="0" t="s">
        <v>147</v>
      </c>
      <c r="AE2439" s="0" t="s">
        <v>148</v>
      </c>
      <c r="AF2439" s="0" t="s">
        <v>149</v>
      </c>
      <c r="AH2439" s="0" t="n">
        <v>14</v>
      </c>
      <c r="AI2439" s="0" t="n">
        <v>11</v>
      </c>
      <c r="AN2439" s="0" t="s">
        <v>145</v>
      </c>
      <c r="AO2439" s="0" t="s">
        <v>150</v>
      </c>
      <c r="AP2439" s="0" t="s">
        <v>151</v>
      </c>
      <c r="AQ2439" s="0" t="n">
        <v>9</v>
      </c>
      <c r="AR2439" s="0" t="n">
        <v>64</v>
      </c>
      <c r="AS2439" s="0" t="n">
        <v>32</v>
      </c>
      <c r="AU2439" s="0" t="n">
        <f aca="false">COUNTA($BA$600:$EH$600)</f>
        <v>1</v>
      </c>
      <c r="AV2439" s="0" t="n">
        <f aca="false">COUNTIF($BA$600:$EH$600,"D")</f>
        <v>0</v>
      </c>
      <c r="AW2439" s="0" t="n">
        <f aca="false">COUNTIF($BA$600:$EH$600,"R")</f>
        <v>0</v>
      </c>
      <c r="AX2439" s="0" t="n">
        <f aca="false">IF(BN2439="D",1,0)+IF(BO2439="D",1,0)+IF(BT2439="D",1,0)+IF(BU2439="D",1,0)+IF(BW2439="D",1,0)+IF(CC2439="D",1,0)+IF(CD2439="D",1,0)+IF(CE2439="D",1,0)+IF(CF2439="D",1,0)+IF(CL2439="D",1,0)+IF(CM2439="D",1,0)+IF(CQ2439="D",1,0)+IF(CR2439="D",1,0)+IF(CS2439="D",1,0)+IF(CW2439="D",1,0)+IF(CX2439="D",1,0)+IF(DD2439="D",1,0)+IF(DE2439="D",1,0)+IF(DJ2439="D",1,0)+IF(DK2439="D",1,0)+IF(DO2439="D",1,0)+IF(DP2439="D",1,0)+IF(DQ2439="D",1,0)+IF(DW2439="D",1,0)+IF(DZ2439="D",1,0)+IF(EH2439="D",1,0)</f>
        <v>1</v>
      </c>
      <c r="AY2439" s="0" t="n">
        <f aca="false">COUNTIF(DU2439:EH2439, "&lt;&gt;")</f>
        <v>4</v>
      </c>
      <c r="AZ2439" s="0" t="n">
        <f aca="false">IF(EH2439&lt;&gt;"",1,0)</f>
        <v>0</v>
      </c>
      <c r="BB2439" s="0" t="s">
        <v>152</v>
      </c>
      <c r="BD2439" s="0" t="s">
        <v>153</v>
      </c>
      <c r="BH2439" s="0" t="s">
        <v>153</v>
      </c>
      <c r="BK2439" s="0" t="s">
        <v>153</v>
      </c>
      <c r="BL2439" s="0" t="s">
        <v>153</v>
      </c>
      <c r="BP2439" s="0" t="s">
        <v>153</v>
      </c>
      <c r="BR2439" s="0" t="s">
        <v>153</v>
      </c>
      <c r="BS2439" s="0" t="s">
        <v>153</v>
      </c>
      <c r="BY2439" s="0" t="s">
        <v>209</v>
      </c>
      <c r="CA2439" s="0" t="s">
        <v>153</v>
      </c>
      <c r="CG2439" s="0" t="s">
        <v>153</v>
      </c>
      <c r="CH2439" s="0" t="s">
        <v>209</v>
      </c>
      <c r="CK2439" s="0" t="s">
        <v>153</v>
      </c>
      <c r="CP2439" s="0" t="s">
        <v>153</v>
      </c>
      <c r="CZ2439" s="0" t="s">
        <v>209</v>
      </c>
      <c r="DC2439" s="0" t="s">
        <v>153</v>
      </c>
      <c r="DI2439" s="0" t="s">
        <v>153</v>
      </c>
      <c r="DJ2439" s="0" t="s">
        <v>175</v>
      </c>
      <c r="DL2439" s="0" t="s">
        <v>153</v>
      </c>
      <c r="DM2439" s="0" t="s">
        <v>209</v>
      </c>
      <c r="DN2439" s="0" t="s">
        <v>153</v>
      </c>
      <c r="DR2439" s="0" t="s">
        <v>153</v>
      </c>
      <c r="DU2439" s="0" t="s">
        <v>153</v>
      </c>
      <c r="EA2439" s="0" t="s">
        <v>153</v>
      </c>
      <c r="ED2439" s="0" t="s">
        <v>209</v>
      </c>
      <c r="EF2439" s="0" t="s">
        <v>153</v>
      </c>
    </row>
    <row r="2440" customFormat="false" ht="13.8" hidden="true" customHeight="false" outlineLevel="0" collapsed="false">
      <c r="A2440" s="0" t="s">
        <v>10513</v>
      </c>
      <c r="B2440" s="0" t="n">
        <v>78</v>
      </c>
      <c r="C2440" s="0" t="n">
        <v>484195</v>
      </c>
      <c r="D2440" s="0" t="s">
        <v>824</v>
      </c>
      <c r="E2440" s="0" t="s">
        <v>10514</v>
      </c>
      <c r="F2440" s="0" t="str">
        <f aca="false">CONCATENATE(D2440," ",LEFT(H2440,4),"T=",AU2440,"D=",AV2440,"R=",AW2440,"M=",AX2440,"L=",AY2440,"B=",AZ2440)</f>
        <v>SCOTT T=5D=0R=0M=0L=0B=0</v>
      </c>
      <c r="G2440" s="0" t="s">
        <v>1229</v>
      </c>
      <c r="I2440" s="0" t="s">
        <v>10515</v>
      </c>
      <c r="J2440" s="0" t="s">
        <v>10516</v>
      </c>
      <c r="K2440" s="0" t="s">
        <v>160</v>
      </c>
      <c r="M2440" s="0" t="s">
        <v>10517</v>
      </c>
      <c r="N2440" s="0" t="str">
        <f aca="false">RIGHT(M2440,LEN(M2440)-FIND(" ",M2440))</f>
        <v>WOODBINE AVE SE</v>
      </c>
      <c r="P2440" s="0" t="s">
        <v>145</v>
      </c>
      <c r="Q2440" s="0" t="s">
        <v>146</v>
      </c>
      <c r="R2440" s="0" t="n">
        <v>44483</v>
      </c>
      <c r="AD2440" s="0" t="s">
        <v>147</v>
      </c>
      <c r="AE2440" s="0" t="s">
        <v>148</v>
      </c>
      <c r="AF2440" s="0" t="s">
        <v>149</v>
      </c>
      <c r="AH2440" s="0" t="n">
        <v>14</v>
      </c>
      <c r="AI2440" s="0" t="n">
        <v>11</v>
      </c>
      <c r="AN2440" s="0" t="s">
        <v>145</v>
      </c>
      <c r="AO2440" s="0" t="s">
        <v>150</v>
      </c>
      <c r="AP2440" s="0" t="s">
        <v>151</v>
      </c>
      <c r="AQ2440" s="0" t="n">
        <v>9</v>
      </c>
      <c r="AR2440" s="0" t="n">
        <v>64</v>
      </c>
      <c r="AS2440" s="0" t="n">
        <v>32</v>
      </c>
      <c r="AU2440" s="0" t="n">
        <f aca="false">COUNTA($BA$437:$EH$437)</f>
        <v>5</v>
      </c>
      <c r="AV2440" s="0" t="n">
        <f aca="false">COUNTIF($BA$437:$EH$437,"D")</f>
        <v>0</v>
      </c>
      <c r="AW2440" s="0" t="n">
        <f aca="false">COUNTIF($BA$437:$EH$437,"R")</f>
        <v>0</v>
      </c>
      <c r="AX2440" s="0" t="n">
        <f aca="false">IF(BN2440="D",1,0)+IF(BO2440="D",1,0)+IF(BT2440="D",1,0)+IF(BU2440="D",1,0)+IF(BW2440="D",1,0)+IF(CC2440="D",1,0)+IF(CD2440="D",1,0)+IF(CE2440="D",1,0)+IF(CF2440="D",1,0)+IF(CL2440="D",1,0)+IF(CM2440="D",1,0)+IF(CQ2440="D",1,0)+IF(CR2440="D",1,0)+IF(CS2440="D",1,0)+IF(CW2440="D",1,0)+IF(CX2440="D",1,0)+IF(DD2440="D",1,0)+IF(DE2440="D",1,0)+IF(DJ2440="D",1,0)+IF(DK2440="D",1,0)+IF(DO2440="D",1,0)+IF(DP2440="D",1,0)+IF(DQ2440="D",1,0)+IF(DW2440="D",1,0)+IF(DZ2440="D",1,0)+IF(EH2440="D",1,0)</f>
        <v>0</v>
      </c>
      <c r="AY2440" s="0" t="n">
        <f aca="false">COUNTIF(DU2440:EH2440, "&lt;&gt;")</f>
        <v>0</v>
      </c>
      <c r="AZ2440" s="0" t="n">
        <f aca="false">IF(EH2440&lt;&gt;"",1,0)</f>
        <v>0</v>
      </c>
      <c r="BB2440" s="0" t="s">
        <v>152</v>
      </c>
    </row>
    <row r="2441" customFormat="false" ht="13.8" hidden="true" customHeight="false" outlineLevel="0" collapsed="false">
      <c r="A2441" s="0" t="s">
        <v>10518</v>
      </c>
      <c r="B2441" s="0" t="n">
        <v>78</v>
      </c>
      <c r="C2441" s="0" t="n">
        <v>448358</v>
      </c>
      <c r="D2441" s="0" t="s">
        <v>690</v>
      </c>
      <c r="E2441" s="0" t="s">
        <v>10519</v>
      </c>
      <c r="F2441" s="0" t="str">
        <f aca="false">CONCATENATE(D2441," ",LEFT(H2441,4),"T=",AU2441,"D=",AV2441,"R=",AW2441,"M=",AX2441,"L=",AY2441,"B=",AZ2441)</f>
        <v>SMITH T=4D=0R=0M=0L=0B=0</v>
      </c>
      <c r="G2441" s="0" t="s">
        <v>1776</v>
      </c>
      <c r="I2441" s="0" t="s">
        <v>10520</v>
      </c>
      <c r="J2441" s="0" t="s">
        <v>10521</v>
      </c>
      <c r="K2441" s="0" t="s">
        <v>143</v>
      </c>
      <c r="M2441" s="0" t="s">
        <v>10522</v>
      </c>
      <c r="N2441" s="0" t="str">
        <f aca="false">RIGHT(M2441,LEN(M2441)-FIND(" ",M2441))</f>
        <v>WOODBINE AVE SE</v>
      </c>
      <c r="P2441" s="0" t="s">
        <v>145</v>
      </c>
      <c r="Q2441" s="0" t="s">
        <v>146</v>
      </c>
      <c r="R2441" s="0" t="n">
        <v>44483</v>
      </c>
      <c r="AD2441" s="0" t="s">
        <v>147</v>
      </c>
      <c r="AE2441" s="0" t="s">
        <v>148</v>
      </c>
      <c r="AF2441" s="0" t="s">
        <v>149</v>
      </c>
      <c r="AH2441" s="0" t="n">
        <v>14</v>
      </c>
      <c r="AI2441" s="0" t="n">
        <v>11</v>
      </c>
      <c r="AN2441" s="0" t="s">
        <v>145</v>
      </c>
      <c r="AO2441" s="0" t="s">
        <v>150</v>
      </c>
      <c r="AP2441" s="0" t="s">
        <v>151</v>
      </c>
      <c r="AQ2441" s="0" t="n">
        <v>9</v>
      </c>
      <c r="AR2441" s="0" t="n">
        <v>64</v>
      </c>
      <c r="AS2441" s="0" t="n">
        <v>32</v>
      </c>
      <c r="AU2441" s="0" t="n">
        <f aca="false">COUNTA($BA$45:$EH$45)</f>
        <v>4</v>
      </c>
      <c r="AV2441" s="0" t="n">
        <f aca="false">COUNTIF($BA$45:$EH$45,"D")</f>
        <v>0</v>
      </c>
      <c r="AW2441" s="0" t="n">
        <f aca="false">COUNTIF($BA$45:$EH$45,"R")</f>
        <v>0</v>
      </c>
      <c r="AX2441" s="0" t="n">
        <f aca="false">IF(BN2441="D",1,0)+IF(BO2441="D",1,0)+IF(BT2441="D",1,0)+IF(BU2441="D",1,0)+IF(BW2441="D",1,0)+IF(CC2441="D",1,0)+IF(CD2441="D",1,0)+IF(CE2441="D",1,0)+IF(CF2441="D",1,0)+IF(CL2441="D",1,0)+IF(CM2441="D",1,0)+IF(CQ2441="D",1,0)+IF(CR2441="D",1,0)+IF(CS2441="D",1,0)+IF(CW2441="D",1,0)+IF(CX2441="D",1,0)+IF(DD2441="D",1,0)+IF(DE2441="D",1,0)+IF(DJ2441="D",1,0)+IF(DK2441="D",1,0)+IF(DO2441="D",1,0)+IF(DP2441="D",1,0)+IF(DQ2441="D",1,0)+IF(DW2441="D",1,0)+IF(DZ2441="D",1,0)+IF(EH2441="D",1,0)</f>
        <v>0</v>
      </c>
      <c r="AY2441" s="0" t="n">
        <f aca="false">COUNTIF(DU2441:EH2441, "&lt;&gt;")</f>
        <v>0</v>
      </c>
      <c r="AZ2441" s="0" t="n">
        <f aca="false">IF(EH2441&lt;&gt;"",1,0)</f>
        <v>0</v>
      </c>
      <c r="BB2441" s="0" t="s">
        <v>152</v>
      </c>
      <c r="DN2441" s="0" t="s">
        <v>153</v>
      </c>
    </row>
    <row r="2442" customFormat="false" ht="13.8" hidden="false" customHeight="false" outlineLevel="0" collapsed="false">
      <c r="A2442" s="0" t="s">
        <v>10523</v>
      </c>
      <c r="B2442" s="0" t="n">
        <v>78</v>
      </c>
      <c r="C2442" s="0" t="n">
        <v>436243</v>
      </c>
      <c r="D2442" s="0" t="s">
        <v>3857</v>
      </c>
      <c r="E2442" s="0" t="s">
        <v>275</v>
      </c>
      <c r="F2442" s="0" t="str">
        <f aca="false">CONCATENATE(D2442," ",LEFT(H2442,4),"T=",AU2442,"D=",AV2442,"R=",AW2442,"M=",AX2442,"L=",AY2442,"B=",AZ2442)</f>
        <v>LEWIS T=1D=0R=0M=0L=3B=0</v>
      </c>
      <c r="G2442" s="0" t="s">
        <v>4049</v>
      </c>
      <c r="I2442" s="0" t="s">
        <v>10524</v>
      </c>
      <c r="J2442" s="0" t="s">
        <v>2288</v>
      </c>
      <c r="K2442" s="0" t="s">
        <v>160</v>
      </c>
      <c r="M2442" s="0" t="s">
        <v>10522</v>
      </c>
      <c r="N2442" s="0" t="str">
        <f aca="false">RIGHT(M2442,LEN(M2442)-FIND(" ",M2442))</f>
        <v>WOODBINE AVE SE</v>
      </c>
      <c r="P2442" s="0" t="s">
        <v>145</v>
      </c>
      <c r="Q2442" s="0" t="s">
        <v>146</v>
      </c>
      <c r="R2442" s="0" t="n">
        <v>44483</v>
      </c>
      <c r="AD2442" s="0" t="s">
        <v>147</v>
      </c>
      <c r="AE2442" s="0" t="s">
        <v>148</v>
      </c>
      <c r="AF2442" s="0" t="s">
        <v>149</v>
      </c>
      <c r="AH2442" s="0" t="n">
        <v>14</v>
      </c>
      <c r="AI2442" s="0" t="n">
        <v>11</v>
      </c>
      <c r="AN2442" s="0" t="s">
        <v>145</v>
      </c>
      <c r="AO2442" s="0" t="s">
        <v>150</v>
      </c>
      <c r="AP2442" s="0" t="s">
        <v>151</v>
      </c>
      <c r="AQ2442" s="0" t="n">
        <v>9</v>
      </c>
      <c r="AR2442" s="0" t="n">
        <v>64</v>
      </c>
      <c r="AS2442" s="0" t="n">
        <v>32</v>
      </c>
      <c r="AU2442" s="0" t="n">
        <f aca="false">COUNTA($BA$330:$EH$330)</f>
        <v>1</v>
      </c>
      <c r="AV2442" s="0" t="n">
        <f aca="false">COUNTIF($BA$330:$EH$330,"D")</f>
        <v>0</v>
      </c>
      <c r="AW2442" s="0" t="n">
        <f aca="false">COUNTIF($BA$330:$EH$330,"R")</f>
        <v>0</v>
      </c>
      <c r="AX2442" s="0" t="n">
        <f aca="false">IF(BN2442="D",1,0)+IF(BO2442="D",1,0)+IF(BT2442="D",1,0)+IF(BU2442="D",1,0)+IF(BW2442="D",1,0)+IF(CC2442="D",1,0)+IF(CD2442="D",1,0)+IF(CE2442="D",1,0)+IF(CF2442="D",1,0)+IF(CL2442="D",1,0)+IF(CM2442="D",1,0)+IF(CQ2442="D",1,0)+IF(CR2442="D",1,0)+IF(CS2442="D",1,0)+IF(CW2442="D",1,0)+IF(CX2442="D",1,0)+IF(DD2442="D",1,0)+IF(DE2442="D",1,0)+IF(DJ2442="D",1,0)+IF(DK2442="D",1,0)+IF(DO2442="D",1,0)+IF(DP2442="D",1,0)+IF(DQ2442="D",1,0)+IF(DW2442="D",1,0)+IF(DZ2442="D",1,0)+IF(EH2442="D",1,0)</f>
        <v>0</v>
      </c>
      <c r="AY2442" s="0" t="n">
        <f aca="false">COUNTIF(DU2442:EH2442, "&lt;&gt;")</f>
        <v>3</v>
      </c>
      <c r="AZ2442" s="0" t="n">
        <f aca="false">IF(EH2442&lt;&gt;"",1,0)</f>
        <v>0</v>
      </c>
      <c r="BB2442" s="0" t="s">
        <v>152</v>
      </c>
      <c r="DI2442" s="0" t="s">
        <v>153</v>
      </c>
      <c r="DN2442" s="0" t="s">
        <v>153</v>
      </c>
      <c r="DU2442" s="0" t="s">
        <v>153</v>
      </c>
      <c r="EA2442" s="0" t="s">
        <v>153</v>
      </c>
      <c r="EF2442" s="0" t="s">
        <v>153</v>
      </c>
    </row>
    <row r="2443" customFormat="false" ht="13.8" hidden="true" customHeight="false" outlineLevel="0" collapsed="false">
      <c r="A2443" s="0" t="s">
        <v>10525</v>
      </c>
      <c r="B2443" s="0" t="n">
        <v>78</v>
      </c>
      <c r="C2443" s="0" t="n">
        <v>446763</v>
      </c>
      <c r="D2443" s="0" t="s">
        <v>690</v>
      </c>
      <c r="E2443" s="0" t="s">
        <v>3167</v>
      </c>
      <c r="F2443" s="0" t="str">
        <f aca="false">CONCATENATE(D2443," ",LEFT(H2443,4),"T=",AU2443,"D=",AV2443,"R=",AW2443,"M=",AX2443,"L=",AY2443,"B=",AZ2443)</f>
        <v>SMITH T=3D=0R=0M=0L=1B=0</v>
      </c>
      <c r="G2443" s="0" t="s">
        <v>425</v>
      </c>
      <c r="I2443" s="0" t="s">
        <v>10526</v>
      </c>
      <c r="J2443" s="0" t="s">
        <v>10527</v>
      </c>
      <c r="K2443" s="0" t="s">
        <v>143</v>
      </c>
      <c r="M2443" s="0" t="s">
        <v>10522</v>
      </c>
      <c r="N2443" s="0" t="str">
        <f aca="false">RIGHT(M2443,LEN(M2443)-FIND(" ",M2443))</f>
        <v>WOODBINE AVE SE</v>
      </c>
      <c r="P2443" s="0" t="s">
        <v>145</v>
      </c>
      <c r="Q2443" s="0" t="s">
        <v>146</v>
      </c>
      <c r="R2443" s="0" t="n">
        <v>44483</v>
      </c>
      <c r="S2443" s="0" t="n">
        <v>6033</v>
      </c>
      <c r="AD2443" s="0" t="s">
        <v>147</v>
      </c>
      <c r="AE2443" s="0" t="s">
        <v>148</v>
      </c>
      <c r="AF2443" s="0" t="s">
        <v>149</v>
      </c>
      <c r="AH2443" s="0" t="n">
        <v>14</v>
      </c>
      <c r="AI2443" s="0" t="n">
        <v>11</v>
      </c>
      <c r="AN2443" s="0" t="s">
        <v>145</v>
      </c>
      <c r="AO2443" s="0" t="s">
        <v>150</v>
      </c>
      <c r="AP2443" s="0" t="s">
        <v>151</v>
      </c>
      <c r="AQ2443" s="0" t="n">
        <v>9</v>
      </c>
      <c r="AR2443" s="0" t="n">
        <v>64</v>
      </c>
      <c r="AS2443" s="0" t="n">
        <v>32</v>
      </c>
      <c r="AU2443" s="0" t="n">
        <f aca="false">COUNTA($BA$491:$EH$491)</f>
        <v>3</v>
      </c>
      <c r="AV2443" s="0" t="n">
        <f aca="false">COUNTIF($BA$491:$EH$491,"D")</f>
        <v>0</v>
      </c>
      <c r="AW2443" s="0" t="n">
        <f aca="false">COUNTIF($BA$491:$EH$491,"R")</f>
        <v>0</v>
      </c>
      <c r="AX2443" s="0" t="n">
        <f aca="false">IF(BN2443="D",1,0)+IF(BO2443="D",1,0)+IF(BT2443="D",1,0)+IF(BU2443="D",1,0)+IF(BW2443="D",1,0)+IF(CC2443="D",1,0)+IF(CD2443="D",1,0)+IF(CE2443="D",1,0)+IF(CF2443="D",1,0)+IF(CL2443="D",1,0)+IF(CM2443="D",1,0)+IF(CQ2443="D",1,0)+IF(CR2443="D",1,0)+IF(CS2443="D",1,0)+IF(CW2443="D",1,0)+IF(CX2443="D",1,0)+IF(DD2443="D",1,0)+IF(DE2443="D",1,0)+IF(DJ2443="D",1,0)+IF(DK2443="D",1,0)+IF(DO2443="D",1,0)+IF(DP2443="D",1,0)+IF(DQ2443="D",1,0)+IF(DW2443="D",1,0)+IF(DZ2443="D",1,0)+IF(EH2443="D",1,0)</f>
        <v>0</v>
      </c>
      <c r="AY2443" s="0" t="n">
        <f aca="false">COUNTIF(DU2443:EH2443, "&lt;&gt;")</f>
        <v>1</v>
      </c>
      <c r="AZ2443" s="0" t="n">
        <f aca="false">IF(EH2443&lt;&gt;"",1,0)</f>
        <v>0</v>
      </c>
      <c r="BB2443" s="0" t="s">
        <v>152</v>
      </c>
      <c r="DN2443" s="0" t="s">
        <v>153</v>
      </c>
      <c r="DU2443" s="0" t="s">
        <v>153</v>
      </c>
    </row>
    <row r="2444" customFormat="false" ht="13.8" hidden="true" customHeight="false" outlineLevel="0" collapsed="false">
      <c r="A2444" s="0" t="s">
        <v>10528</v>
      </c>
      <c r="B2444" s="0" t="n">
        <v>78</v>
      </c>
      <c r="C2444" s="0" t="n">
        <v>446764</v>
      </c>
      <c r="D2444" s="0" t="s">
        <v>690</v>
      </c>
      <c r="E2444" s="0" t="s">
        <v>481</v>
      </c>
      <c r="F2444" s="0" t="str">
        <f aca="false">CONCATENATE(D2444," ",LEFT(H2444,4),"T=",AU2444,"D=",AV2444,"R=",AW2444,"M=",AX2444,"L=",AY2444,"B=",AZ2444)</f>
        <v>SMITH T=8D=3R=0M=0L=1B=0</v>
      </c>
      <c r="G2444" s="0" t="s">
        <v>1269</v>
      </c>
      <c r="I2444" s="0" t="s">
        <v>10529</v>
      </c>
      <c r="J2444" s="0" t="s">
        <v>10527</v>
      </c>
      <c r="K2444" s="0" t="s">
        <v>143</v>
      </c>
      <c r="M2444" s="0" t="s">
        <v>10522</v>
      </c>
      <c r="N2444" s="0" t="str">
        <f aca="false">RIGHT(M2444,LEN(M2444)-FIND(" ",M2444))</f>
        <v>WOODBINE AVE SE</v>
      </c>
      <c r="P2444" s="0" t="s">
        <v>145</v>
      </c>
      <c r="Q2444" s="0" t="s">
        <v>146</v>
      </c>
      <c r="R2444" s="0" t="n">
        <v>44483</v>
      </c>
      <c r="S2444" s="0" t="n">
        <v>6033</v>
      </c>
      <c r="AD2444" s="0" t="s">
        <v>147</v>
      </c>
      <c r="AE2444" s="0" t="s">
        <v>148</v>
      </c>
      <c r="AF2444" s="0" t="s">
        <v>149</v>
      </c>
      <c r="AH2444" s="0" t="n">
        <v>14</v>
      </c>
      <c r="AI2444" s="0" t="n">
        <v>11</v>
      </c>
      <c r="AN2444" s="0" t="s">
        <v>145</v>
      </c>
      <c r="AO2444" s="0" t="s">
        <v>150</v>
      </c>
      <c r="AP2444" s="0" t="s">
        <v>151</v>
      </c>
      <c r="AQ2444" s="0" t="n">
        <v>9</v>
      </c>
      <c r="AR2444" s="0" t="n">
        <v>64</v>
      </c>
      <c r="AS2444" s="0" t="n">
        <v>32</v>
      </c>
      <c r="AU2444" s="0" t="n">
        <f aca="false">COUNTA($BA$492:$EH$492)</f>
        <v>8</v>
      </c>
      <c r="AV2444" s="0" t="n">
        <f aca="false">COUNTIF($BA$492:$EH$492,"D")</f>
        <v>3</v>
      </c>
      <c r="AW2444" s="0" t="n">
        <f aca="false">COUNTIF($BA$492:$EH$492,"R")</f>
        <v>0</v>
      </c>
      <c r="AX2444" s="0" t="n">
        <f aca="false">IF(BN2444="D",1,0)+IF(BO2444="D",1,0)+IF(BT2444="D",1,0)+IF(BU2444="D",1,0)+IF(BW2444="D",1,0)+IF(CC2444="D",1,0)+IF(CD2444="D",1,0)+IF(CE2444="D",1,0)+IF(CF2444="D",1,0)+IF(CL2444="D",1,0)+IF(CM2444="D",1,0)+IF(CQ2444="D",1,0)+IF(CR2444="D",1,0)+IF(CS2444="D",1,0)+IF(CW2444="D",1,0)+IF(CX2444="D",1,0)+IF(DD2444="D",1,0)+IF(DE2444="D",1,0)+IF(DJ2444="D",1,0)+IF(DK2444="D",1,0)+IF(DO2444="D",1,0)+IF(DP2444="D",1,0)+IF(DQ2444="D",1,0)+IF(DW2444="D",1,0)+IF(DZ2444="D",1,0)+IF(EH2444="D",1,0)</f>
        <v>0</v>
      </c>
      <c r="AY2444" s="0" t="n">
        <f aca="false">COUNTIF(DU2444:EH2444, "&lt;&gt;")</f>
        <v>1</v>
      </c>
      <c r="AZ2444" s="0" t="n">
        <f aca="false">IF(EH2444&lt;&gt;"",1,0)</f>
        <v>0</v>
      </c>
      <c r="BB2444" s="0" t="s">
        <v>152</v>
      </c>
      <c r="DN2444" s="0" t="s">
        <v>153</v>
      </c>
      <c r="DU2444" s="0" t="s">
        <v>153</v>
      </c>
    </row>
    <row r="2445" customFormat="false" ht="13.8" hidden="true" customHeight="false" outlineLevel="0" collapsed="false">
      <c r="A2445" s="0" t="s">
        <v>10530</v>
      </c>
      <c r="B2445" s="0" t="n">
        <v>78</v>
      </c>
      <c r="C2445" s="0" t="n">
        <v>488720</v>
      </c>
      <c r="D2445" s="0" t="s">
        <v>10531</v>
      </c>
      <c r="E2445" s="0" t="s">
        <v>275</v>
      </c>
      <c r="F2445" s="0" t="str">
        <f aca="false">CONCATENATE(D2445," ",LEFT(H2445,4),"T=",AU2445,"D=",AV2445,"R=",AW2445,"M=",AX2445,"L=",AY2445,"B=",AZ2445)</f>
        <v>DETCHON T=1D=0R=0M=0L=0B=0</v>
      </c>
      <c r="I2445" s="0" t="s">
        <v>10532</v>
      </c>
      <c r="J2445" s="0" t="s">
        <v>3831</v>
      </c>
      <c r="K2445" s="0" t="s">
        <v>160</v>
      </c>
      <c r="M2445" s="0" t="s">
        <v>10533</v>
      </c>
      <c r="N2445" s="0" t="str">
        <f aca="false">RIGHT(M2445,LEN(M2445)-FIND(" ",M2445))</f>
        <v>WOODBINE AVE SE</v>
      </c>
      <c r="P2445" s="0" t="s">
        <v>145</v>
      </c>
      <c r="Q2445" s="0" t="s">
        <v>146</v>
      </c>
      <c r="R2445" s="0" t="n">
        <v>44483</v>
      </c>
      <c r="AD2445" s="0" t="s">
        <v>147</v>
      </c>
      <c r="AE2445" s="0" t="s">
        <v>148</v>
      </c>
      <c r="AF2445" s="0" t="s">
        <v>149</v>
      </c>
      <c r="AH2445" s="0" t="n">
        <v>14</v>
      </c>
      <c r="AI2445" s="0" t="n">
        <v>11</v>
      </c>
      <c r="AN2445" s="0" t="s">
        <v>145</v>
      </c>
      <c r="AO2445" s="0" t="s">
        <v>150</v>
      </c>
      <c r="AP2445" s="0" t="s">
        <v>151</v>
      </c>
      <c r="AQ2445" s="0" t="n">
        <v>9</v>
      </c>
      <c r="AR2445" s="0" t="n">
        <v>64</v>
      </c>
      <c r="AS2445" s="0" t="n">
        <v>32</v>
      </c>
      <c r="AU2445" s="0" t="n">
        <f aca="false">COUNTA($BA$701:$EH$701)</f>
        <v>1</v>
      </c>
      <c r="AV2445" s="0" t="n">
        <f aca="false">COUNTIF($BA$701:$EH$701,"D")</f>
        <v>0</v>
      </c>
      <c r="AW2445" s="0" t="n">
        <f aca="false">COUNTIF($BA$701:$EH$701,"R")</f>
        <v>0</v>
      </c>
      <c r="AX2445" s="0" t="n">
        <f aca="false">IF(BN2445="D",1,0)+IF(BO2445="D",1,0)+IF(BT2445="D",1,0)+IF(BU2445="D",1,0)+IF(BW2445="D",1,0)+IF(CC2445="D",1,0)+IF(CD2445="D",1,0)+IF(CE2445="D",1,0)+IF(CF2445="D",1,0)+IF(CL2445="D",1,0)+IF(CM2445="D",1,0)+IF(CQ2445="D",1,0)+IF(CR2445="D",1,0)+IF(CS2445="D",1,0)+IF(CW2445="D",1,0)+IF(CX2445="D",1,0)+IF(DD2445="D",1,0)+IF(DE2445="D",1,0)+IF(DJ2445="D",1,0)+IF(DK2445="D",1,0)+IF(DO2445="D",1,0)+IF(DP2445="D",1,0)+IF(DQ2445="D",1,0)+IF(DW2445="D",1,0)+IF(DZ2445="D",1,0)+IF(EH2445="D",1,0)</f>
        <v>0</v>
      </c>
      <c r="AY2445" s="0" t="n">
        <f aca="false">COUNTIF(DU2445:EH2445, "&lt;&gt;")</f>
        <v>0</v>
      </c>
      <c r="AZ2445" s="0" t="n">
        <f aca="false">IF(EH2445&lt;&gt;"",1,0)</f>
        <v>0</v>
      </c>
      <c r="BB2445" s="0" t="s">
        <v>152</v>
      </c>
    </row>
    <row r="2446" customFormat="false" ht="13.8" hidden="true" customHeight="false" outlineLevel="0" collapsed="false">
      <c r="A2446" s="0" t="s">
        <v>10534</v>
      </c>
      <c r="B2446" s="0" t="n">
        <v>78</v>
      </c>
      <c r="C2446" s="0" t="n">
        <v>203875</v>
      </c>
      <c r="D2446" s="0" t="s">
        <v>10531</v>
      </c>
      <c r="E2446" s="0" t="s">
        <v>663</v>
      </c>
      <c r="F2446" s="0" t="str">
        <f aca="false">CONCATENATE(D2446," ",LEFT(H2446,4),"T=",AU2446,"D=",AV2446,"R=",AW2446,"M=",AX2446,"L=",AY2446,"B=",AZ2446)</f>
        <v>DETCHON T=2D=0R=0M=0L=0B=0</v>
      </c>
      <c r="G2446" s="0" t="s">
        <v>268</v>
      </c>
      <c r="I2446" s="0" t="s">
        <v>10535</v>
      </c>
      <c r="J2446" s="0" t="s">
        <v>10536</v>
      </c>
      <c r="K2446" s="0" t="s">
        <v>143</v>
      </c>
      <c r="M2446" s="0" t="s">
        <v>10533</v>
      </c>
      <c r="N2446" s="0" t="str">
        <f aca="false">RIGHT(M2446,LEN(M2446)-FIND(" ",M2446))</f>
        <v>WOODBINE AVE SE</v>
      </c>
      <c r="P2446" s="0" t="s">
        <v>145</v>
      </c>
      <c r="Q2446" s="0" t="s">
        <v>146</v>
      </c>
      <c r="R2446" s="0" t="n">
        <v>44483</v>
      </c>
      <c r="AD2446" s="0" t="s">
        <v>147</v>
      </c>
      <c r="AE2446" s="0" t="s">
        <v>148</v>
      </c>
      <c r="AF2446" s="0" t="s">
        <v>149</v>
      </c>
      <c r="AH2446" s="0" t="n">
        <v>14</v>
      </c>
      <c r="AI2446" s="0" t="n">
        <v>11</v>
      </c>
      <c r="AN2446" s="0" t="s">
        <v>145</v>
      </c>
      <c r="AO2446" s="0" t="s">
        <v>150</v>
      </c>
      <c r="AP2446" s="0" t="s">
        <v>151</v>
      </c>
      <c r="AQ2446" s="0" t="n">
        <v>9</v>
      </c>
      <c r="AR2446" s="0" t="n">
        <v>64</v>
      </c>
      <c r="AS2446" s="0" t="n">
        <v>32</v>
      </c>
      <c r="AU2446" s="0" t="n">
        <f aca="false">COUNTA($BA$783:$EH$783)</f>
        <v>2</v>
      </c>
      <c r="AV2446" s="0" t="n">
        <f aca="false">COUNTIF($BA$783:$EH$783,"D")</f>
        <v>0</v>
      </c>
      <c r="AW2446" s="0" t="n">
        <f aca="false">COUNTIF($BA$783:$EH$783,"R")</f>
        <v>0</v>
      </c>
      <c r="AX2446" s="0" t="n">
        <f aca="false">IF(BN2446="D",1,0)+IF(BO2446="D",1,0)+IF(BT2446="D",1,0)+IF(BU2446="D",1,0)+IF(BW2446="D",1,0)+IF(CC2446="D",1,0)+IF(CD2446="D",1,0)+IF(CE2446="D",1,0)+IF(CF2446="D",1,0)+IF(CL2446="D",1,0)+IF(CM2446="D",1,0)+IF(CQ2446="D",1,0)+IF(CR2446="D",1,0)+IF(CS2446="D",1,0)+IF(CW2446="D",1,0)+IF(CX2446="D",1,0)+IF(DD2446="D",1,0)+IF(DE2446="D",1,0)+IF(DJ2446="D",1,0)+IF(DK2446="D",1,0)+IF(DO2446="D",1,0)+IF(DP2446="D",1,0)+IF(DQ2446="D",1,0)+IF(DW2446="D",1,0)+IF(DZ2446="D",1,0)+IF(EH2446="D",1,0)</f>
        <v>0</v>
      </c>
      <c r="AY2446" s="0" t="n">
        <f aca="false">COUNTIF(DU2446:EH2446, "&lt;&gt;")</f>
        <v>0</v>
      </c>
      <c r="AZ2446" s="0" t="n">
        <f aca="false">IF(EH2446&lt;&gt;"",1,0)</f>
        <v>0</v>
      </c>
      <c r="BB2446" s="0" t="s">
        <v>152</v>
      </c>
      <c r="BC2446" s="0" t="s">
        <v>153</v>
      </c>
      <c r="BD2446" s="0" t="s">
        <v>153</v>
      </c>
      <c r="BF2446" s="0" t="s">
        <v>153</v>
      </c>
      <c r="BH2446" s="0" t="s">
        <v>153</v>
      </c>
      <c r="BJ2446" s="0" t="s">
        <v>153</v>
      </c>
      <c r="BK2446" s="0" t="s">
        <v>153</v>
      </c>
      <c r="BL2446" s="0" t="s">
        <v>153</v>
      </c>
      <c r="BP2446" s="0" t="s">
        <v>153</v>
      </c>
      <c r="BR2446" s="0" t="s">
        <v>153</v>
      </c>
      <c r="BV2446" s="0" t="s">
        <v>153</v>
      </c>
      <c r="BY2446" s="0" t="s">
        <v>175</v>
      </c>
      <c r="CA2446" s="0" t="s">
        <v>153</v>
      </c>
      <c r="CG2446" s="0" t="s">
        <v>153</v>
      </c>
      <c r="CN2446" s="0" t="s">
        <v>153</v>
      </c>
      <c r="CP2446" s="0" t="s">
        <v>153</v>
      </c>
    </row>
    <row r="2447" customFormat="false" ht="13.8" hidden="true" customHeight="false" outlineLevel="0" collapsed="false">
      <c r="A2447" s="0" t="s">
        <v>10537</v>
      </c>
      <c r="B2447" s="0" t="n">
        <v>78</v>
      </c>
      <c r="C2447" s="0" t="n">
        <v>348816</v>
      </c>
      <c r="D2447" s="0" t="s">
        <v>10538</v>
      </c>
      <c r="E2447" s="0" t="s">
        <v>4840</v>
      </c>
      <c r="F2447" s="0" t="str">
        <f aca="false">CONCATENATE(D2447," ",LEFT(H2447,4),"T=",AU2447,"D=",AV2447,"R=",AW2447,"M=",AX2447,"L=",AY2447,"B=",AZ2447)</f>
        <v>GUYSINGER T=33D=0R=7M=0L=0B=0</v>
      </c>
      <c r="G2447" s="0" t="s">
        <v>6565</v>
      </c>
      <c r="I2447" s="0" t="s">
        <v>10539</v>
      </c>
      <c r="J2447" s="0" t="s">
        <v>10540</v>
      </c>
      <c r="K2447" s="0" t="s">
        <v>143</v>
      </c>
      <c r="M2447" s="0" t="s">
        <v>10541</v>
      </c>
      <c r="N2447" s="0" t="str">
        <f aca="false">RIGHT(M2447,LEN(M2447)-FIND(" ",M2447))</f>
        <v>WOODBINE AVE SE</v>
      </c>
      <c r="P2447" s="0" t="s">
        <v>145</v>
      </c>
      <c r="Q2447" s="0" t="s">
        <v>146</v>
      </c>
      <c r="R2447" s="0" t="n">
        <v>44483</v>
      </c>
      <c r="AD2447" s="0" t="s">
        <v>147</v>
      </c>
      <c r="AE2447" s="0" t="s">
        <v>148</v>
      </c>
      <c r="AF2447" s="0" t="s">
        <v>149</v>
      </c>
      <c r="AH2447" s="0" t="n">
        <v>14</v>
      </c>
      <c r="AI2447" s="0" t="n">
        <v>11</v>
      </c>
      <c r="AN2447" s="0" t="s">
        <v>145</v>
      </c>
      <c r="AO2447" s="0" t="s">
        <v>150</v>
      </c>
      <c r="AP2447" s="0" t="s">
        <v>151</v>
      </c>
      <c r="AQ2447" s="0" t="n">
        <v>9</v>
      </c>
      <c r="AR2447" s="0" t="n">
        <v>64</v>
      </c>
      <c r="AS2447" s="0" t="n">
        <v>32</v>
      </c>
      <c r="AU2447" s="0" t="n">
        <f aca="false">COUNTA($BA$979:$EH$979)</f>
        <v>33</v>
      </c>
      <c r="AV2447" s="0" t="n">
        <f aca="false">COUNTIF($BA$979:$EH$979,"D")</f>
        <v>0</v>
      </c>
      <c r="AW2447" s="0" t="n">
        <f aca="false">COUNTIF($BA$979:$EH$979,"R")</f>
        <v>7</v>
      </c>
      <c r="AX2447" s="0" t="n">
        <f aca="false">IF(BN2447="D",1,0)+IF(BO2447="D",1,0)+IF(BT2447="D",1,0)+IF(BU2447="D",1,0)+IF(BW2447="D",1,0)+IF(CC2447="D",1,0)+IF(CD2447="D",1,0)+IF(CE2447="D",1,0)+IF(CF2447="D",1,0)+IF(CL2447="D",1,0)+IF(CM2447="D",1,0)+IF(CQ2447="D",1,0)+IF(CR2447="D",1,0)+IF(CS2447="D",1,0)+IF(CW2447="D",1,0)+IF(CX2447="D",1,0)+IF(DD2447="D",1,0)+IF(DE2447="D",1,0)+IF(DJ2447="D",1,0)+IF(DK2447="D",1,0)+IF(DO2447="D",1,0)+IF(DP2447="D",1,0)+IF(DQ2447="D",1,0)+IF(DW2447="D",1,0)+IF(DZ2447="D",1,0)+IF(EH2447="D",1,0)</f>
        <v>0</v>
      </c>
      <c r="AY2447" s="0" t="n">
        <f aca="false">COUNTIF(DU2447:EH2447, "&lt;&gt;")</f>
        <v>0</v>
      </c>
      <c r="AZ2447" s="0" t="n">
        <f aca="false">IF(EH2447&lt;&gt;"",1,0)</f>
        <v>0</v>
      </c>
      <c r="BB2447" s="0" t="s">
        <v>152</v>
      </c>
      <c r="BY2447" s="0" t="s">
        <v>209</v>
      </c>
    </row>
    <row r="2448" customFormat="false" ht="13.8" hidden="false" customHeight="false" outlineLevel="0" collapsed="false">
      <c r="A2448" s="0" t="s">
        <v>10542</v>
      </c>
      <c r="B2448" s="0" t="n">
        <v>78</v>
      </c>
      <c r="C2448" s="0" t="n">
        <v>345694</v>
      </c>
      <c r="D2448" s="0" t="s">
        <v>10543</v>
      </c>
      <c r="E2448" s="0" t="s">
        <v>10544</v>
      </c>
      <c r="F2448" s="0" t="str">
        <f aca="false">CONCATENATE(D2448," ",LEFT(H2448,4),"T=",AU2448,"D=",AV2448,"R=",AW2448,"M=",AX2448,"L=",AY2448,"B=",AZ2448)</f>
        <v>JAKUBEC T=1D=0R=0M=0L=3B=0</v>
      </c>
      <c r="G2448" s="0" t="s">
        <v>164</v>
      </c>
      <c r="I2448" s="0" t="s">
        <v>9432</v>
      </c>
      <c r="J2448" s="0" t="s">
        <v>10545</v>
      </c>
      <c r="K2448" s="0" t="s">
        <v>160</v>
      </c>
      <c r="L2448" s="0" t="s">
        <v>209</v>
      </c>
      <c r="M2448" s="0" t="s">
        <v>10546</v>
      </c>
      <c r="N2448" s="0" t="str">
        <f aca="false">RIGHT(M2448,LEN(M2448)-FIND(" ",M2448))</f>
        <v>WOODBINE AVE SE</v>
      </c>
      <c r="P2448" s="0" t="s">
        <v>145</v>
      </c>
      <c r="Q2448" s="0" t="s">
        <v>146</v>
      </c>
      <c r="R2448" s="0" t="n">
        <v>44483</v>
      </c>
      <c r="AD2448" s="0" t="s">
        <v>147</v>
      </c>
      <c r="AE2448" s="0" t="s">
        <v>148</v>
      </c>
      <c r="AF2448" s="0" t="s">
        <v>149</v>
      </c>
      <c r="AH2448" s="0" t="n">
        <v>14</v>
      </c>
      <c r="AI2448" s="0" t="n">
        <v>11</v>
      </c>
      <c r="AN2448" s="0" t="s">
        <v>145</v>
      </c>
      <c r="AO2448" s="0" t="s">
        <v>150</v>
      </c>
      <c r="AP2448" s="0" t="s">
        <v>151</v>
      </c>
      <c r="AQ2448" s="0" t="n">
        <v>9</v>
      </c>
      <c r="AR2448" s="0" t="n">
        <v>64</v>
      </c>
      <c r="AS2448" s="0" t="n">
        <v>32</v>
      </c>
      <c r="AU2448" s="0" t="n">
        <f aca="false">COUNTA($BA$585:$EH$585)</f>
        <v>1</v>
      </c>
      <c r="AV2448" s="0" t="n">
        <f aca="false">COUNTIF($BA$585:$EH$585,"D")</f>
        <v>0</v>
      </c>
      <c r="AW2448" s="0" t="n">
        <f aca="false">COUNTIF($BA$585:$EH$585,"R")</f>
        <v>0</v>
      </c>
      <c r="AX2448" s="0" t="n">
        <f aca="false">IF(BN2448="D",1,0)+IF(BO2448="D",1,0)+IF(BT2448="D",1,0)+IF(BU2448="D",1,0)+IF(BW2448="D",1,0)+IF(CC2448="D",1,0)+IF(CD2448="D",1,0)+IF(CE2448="D",1,0)+IF(CF2448="D",1,0)+IF(CL2448="D",1,0)+IF(CM2448="D",1,0)+IF(CQ2448="D",1,0)+IF(CR2448="D",1,0)+IF(CS2448="D",1,0)+IF(CW2448="D",1,0)+IF(CX2448="D",1,0)+IF(DD2448="D",1,0)+IF(DE2448="D",1,0)+IF(DJ2448="D",1,0)+IF(DK2448="D",1,0)+IF(DO2448="D",1,0)+IF(DP2448="D",1,0)+IF(DQ2448="D",1,0)+IF(DW2448="D",1,0)+IF(DZ2448="D",1,0)+IF(EH2448="D",1,0)</f>
        <v>0</v>
      </c>
      <c r="AY2448" s="0" t="n">
        <f aca="false">COUNTIF(DU2448:EH2448, "&lt;&gt;")</f>
        <v>3</v>
      </c>
      <c r="AZ2448" s="0" t="n">
        <f aca="false">IF(EH2448&lt;&gt;"",1,0)</f>
        <v>0</v>
      </c>
      <c r="BB2448" s="0" t="s">
        <v>152</v>
      </c>
      <c r="BS2448" s="0" t="s">
        <v>153</v>
      </c>
      <c r="BV2448" s="0" t="s">
        <v>153</v>
      </c>
      <c r="BY2448" s="0" t="s">
        <v>209</v>
      </c>
      <c r="CA2448" s="0" t="s">
        <v>153</v>
      </c>
      <c r="CG2448" s="0" t="s">
        <v>153</v>
      </c>
      <c r="CN2448" s="0" t="s">
        <v>153</v>
      </c>
      <c r="CP2448" s="0" t="s">
        <v>153</v>
      </c>
      <c r="DC2448" s="0" t="s">
        <v>153</v>
      </c>
      <c r="DI2448" s="0" t="s">
        <v>153</v>
      </c>
      <c r="DN2448" s="0" t="s">
        <v>153</v>
      </c>
      <c r="EA2448" s="0" t="s">
        <v>153</v>
      </c>
      <c r="ED2448" s="0" t="s">
        <v>209</v>
      </c>
      <c r="EF2448" s="0" t="s">
        <v>153</v>
      </c>
    </row>
    <row r="2449" customFormat="false" ht="13.8" hidden="true" customHeight="false" outlineLevel="0" collapsed="false">
      <c r="A2449" s="0" t="s">
        <v>10547</v>
      </c>
      <c r="B2449" s="0" t="n">
        <v>78</v>
      </c>
      <c r="C2449" s="0" t="n">
        <v>476858</v>
      </c>
      <c r="D2449" s="0" t="s">
        <v>10548</v>
      </c>
      <c r="E2449" s="0" t="s">
        <v>2783</v>
      </c>
      <c r="F2449" s="0" t="str">
        <f aca="false">CONCATENATE(D2449," ",LEFT(H2449,4),"T=",AU2449,"D=",AV2449,"R=",AW2449,"M=",AX2449,"L=",AY2449,"B=",AZ2449)</f>
        <v>YAGER T=1D=0R=0M=0L=1B=0</v>
      </c>
      <c r="G2449" s="0" t="s">
        <v>10549</v>
      </c>
      <c r="I2449" s="0" t="s">
        <v>10550</v>
      </c>
      <c r="J2449" s="0" t="s">
        <v>4899</v>
      </c>
      <c r="K2449" s="0" t="s">
        <v>160</v>
      </c>
      <c r="M2449" s="0" t="s">
        <v>10546</v>
      </c>
      <c r="N2449" s="0" t="str">
        <f aca="false">RIGHT(M2449,LEN(M2449)-FIND(" ",M2449))</f>
        <v>WOODBINE AVE SE</v>
      </c>
      <c r="P2449" s="0" t="s">
        <v>145</v>
      </c>
      <c r="Q2449" s="0" t="s">
        <v>146</v>
      </c>
      <c r="R2449" s="0" t="n">
        <v>44483</v>
      </c>
      <c r="AD2449" s="0" t="s">
        <v>147</v>
      </c>
      <c r="AE2449" s="0" t="s">
        <v>148</v>
      </c>
      <c r="AF2449" s="0" t="s">
        <v>149</v>
      </c>
      <c r="AH2449" s="0" t="n">
        <v>14</v>
      </c>
      <c r="AI2449" s="0" t="n">
        <v>11</v>
      </c>
      <c r="AN2449" s="0" t="s">
        <v>145</v>
      </c>
      <c r="AO2449" s="0" t="s">
        <v>150</v>
      </c>
      <c r="AP2449" s="0" t="s">
        <v>151</v>
      </c>
      <c r="AQ2449" s="0" t="n">
        <v>9</v>
      </c>
      <c r="AR2449" s="0" t="n">
        <v>64</v>
      </c>
      <c r="AS2449" s="0" t="n">
        <v>32</v>
      </c>
      <c r="AU2449" s="0" t="n">
        <f aca="false">COUNTA($BA$1018:$EH$1018)</f>
        <v>1</v>
      </c>
      <c r="AV2449" s="0" t="n">
        <f aca="false">COUNTIF($BA$1018:$EH$1018,"D")</f>
        <v>0</v>
      </c>
      <c r="AW2449" s="0" t="n">
        <f aca="false">COUNTIF($BA$1018:$EH$1018,"R")</f>
        <v>0</v>
      </c>
      <c r="AX2449" s="0" t="n">
        <f aca="false">IF(BN2449="D",1,0)+IF(BO2449="D",1,0)+IF(BT2449="D",1,0)+IF(BU2449="D",1,0)+IF(BW2449="D",1,0)+IF(CC2449="D",1,0)+IF(CD2449="D",1,0)+IF(CE2449="D",1,0)+IF(CF2449="D",1,0)+IF(CL2449="D",1,0)+IF(CM2449="D",1,0)+IF(CQ2449="D",1,0)+IF(CR2449="D",1,0)+IF(CS2449="D",1,0)+IF(CW2449="D",1,0)+IF(CX2449="D",1,0)+IF(DD2449="D",1,0)+IF(DE2449="D",1,0)+IF(DJ2449="D",1,0)+IF(DK2449="D",1,0)+IF(DO2449="D",1,0)+IF(DP2449="D",1,0)+IF(DQ2449="D",1,0)+IF(DW2449="D",1,0)+IF(DZ2449="D",1,0)+IF(EH2449="D",1,0)</f>
        <v>0</v>
      </c>
      <c r="AY2449" s="0" t="n">
        <f aca="false">COUNTIF(DU2449:EH2449, "&lt;&gt;")</f>
        <v>1</v>
      </c>
      <c r="AZ2449" s="0" t="n">
        <f aca="false">IF(EH2449&lt;&gt;"",1,0)</f>
        <v>0</v>
      </c>
      <c r="BB2449" s="0" t="s">
        <v>152</v>
      </c>
      <c r="EA2449" s="0" t="s">
        <v>153</v>
      </c>
    </row>
    <row r="2450" customFormat="false" ht="13.8" hidden="false" customHeight="false" outlineLevel="0" collapsed="false">
      <c r="A2450" s="0" t="s">
        <v>10551</v>
      </c>
      <c r="B2450" s="0" t="n">
        <v>78</v>
      </c>
      <c r="C2450" s="0" t="n">
        <v>261083</v>
      </c>
      <c r="D2450" s="0" t="s">
        <v>10552</v>
      </c>
      <c r="E2450" s="0" t="s">
        <v>379</v>
      </c>
      <c r="F2450" s="0" t="str">
        <f aca="false">CONCATENATE(D2450," ",LEFT(H2450,4),"T=",AU2450,"D=",AV2450,"R=",AW2450,"M=",AX2450,"L=",AY2450,"B=",AZ2450)</f>
        <v>STAN T=1D=0R=0M=1L=5B=0</v>
      </c>
      <c r="G2450" s="0" t="s">
        <v>362</v>
      </c>
      <c r="I2450" s="0" t="s">
        <v>10553</v>
      </c>
      <c r="J2450" s="0" t="s">
        <v>10554</v>
      </c>
      <c r="K2450" s="0" t="s">
        <v>160</v>
      </c>
      <c r="L2450" s="0" t="s">
        <v>209</v>
      </c>
      <c r="M2450" s="0" t="s">
        <v>10555</v>
      </c>
      <c r="N2450" s="0" t="str">
        <f aca="false">RIGHT(M2450,LEN(M2450)-FIND(" ",M2450))</f>
        <v>WOODBINE AVE SE</v>
      </c>
      <c r="P2450" s="0" t="s">
        <v>145</v>
      </c>
      <c r="Q2450" s="0" t="s">
        <v>146</v>
      </c>
      <c r="R2450" s="0" t="n">
        <v>44483</v>
      </c>
      <c r="AD2450" s="0" t="s">
        <v>147</v>
      </c>
      <c r="AE2450" s="0" t="s">
        <v>148</v>
      </c>
      <c r="AF2450" s="0" t="s">
        <v>149</v>
      </c>
      <c r="AH2450" s="0" t="n">
        <v>14</v>
      </c>
      <c r="AI2450" s="0" t="n">
        <v>11</v>
      </c>
      <c r="AN2450" s="0" t="s">
        <v>145</v>
      </c>
      <c r="AO2450" s="0" t="s">
        <v>150</v>
      </c>
      <c r="AP2450" s="0" t="s">
        <v>151</v>
      </c>
      <c r="AQ2450" s="0" t="n">
        <v>9</v>
      </c>
      <c r="AR2450" s="0" t="n">
        <v>64</v>
      </c>
      <c r="AS2450" s="0" t="n">
        <v>32</v>
      </c>
      <c r="AU2450" s="0" t="n">
        <f aca="false">COUNTA($BA$617:$EH$617)</f>
        <v>1</v>
      </c>
      <c r="AV2450" s="0" t="n">
        <f aca="false">COUNTIF($BA$617:$EH$617,"D")</f>
        <v>0</v>
      </c>
      <c r="AW2450" s="0" t="n">
        <f aca="false">COUNTIF($BA$617:$EH$617,"R")</f>
        <v>0</v>
      </c>
      <c r="AX2450" s="0" t="n">
        <f aca="false">IF(BN2450="D",1,0)+IF(BO2450="D",1,0)+IF(BT2450="D",1,0)+IF(BU2450="D",1,0)+IF(BW2450="D",1,0)+IF(CC2450="D",1,0)+IF(CD2450="D",1,0)+IF(CE2450="D",1,0)+IF(CF2450="D",1,0)+IF(CL2450="D",1,0)+IF(CM2450="D",1,0)+IF(CQ2450="D",1,0)+IF(CR2450="D",1,0)+IF(CS2450="D",1,0)+IF(CW2450="D",1,0)+IF(CX2450="D",1,0)+IF(DD2450="D",1,0)+IF(DE2450="D",1,0)+IF(DJ2450="D",1,0)+IF(DK2450="D",1,0)+IF(DO2450="D",1,0)+IF(DP2450="D",1,0)+IF(DQ2450="D",1,0)+IF(DW2450="D",1,0)+IF(DZ2450="D",1,0)+IF(EH2450="D",1,0)</f>
        <v>1</v>
      </c>
      <c r="AY2450" s="0" t="n">
        <f aca="false">COUNTIF(DU2450:EH2450, "&lt;&gt;")</f>
        <v>5</v>
      </c>
      <c r="AZ2450" s="0" t="n">
        <f aca="false">IF(EH2450&lt;&gt;"",1,0)</f>
        <v>0</v>
      </c>
      <c r="BB2450" s="0" t="s">
        <v>152</v>
      </c>
      <c r="BC2450" s="0" t="s">
        <v>153</v>
      </c>
      <c r="BD2450" s="0" t="s">
        <v>153</v>
      </c>
      <c r="BG2450" s="0" t="s">
        <v>153</v>
      </c>
      <c r="BH2450" s="0" t="s">
        <v>153</v>
      </c>
      <c r="BJ2450" s="0" t="s">
        <v>153</v>
      </c>
      <c r="BK2450" s="0" t="s">
        <v>153</v>
      </c>
      <c r="BL2450" s="0" t="s">
        <v>153</v>
      </c>
      <c r="BP2450" s="0" t="s">
        <v>153</v>
      </c>
      <c r="BR2450" s="0" t="s">
        <v>153</v>
      </c>
      <c r="BS2450" s="0" t="s">
        <v>153</v>
      </c>
      <c r="BV2450" s="0" t="s">
        <v>153</v>
      </c>
      <c r="BY2450" s="0" t="s">
        <v>175</v>
      </c>
      <c r="CA2450" s="0" t="s">
        <v>153</v>
      </c>
      <c r="CK2450" s="0" t="s">
        <v>153</v>
      </c>
      <c r="CL2450" s="0" t="s">
        <v>175</v>
      </c>
      <c r="CN2450" s="0" t="s">
        <v>153</v>
      </c>
      <c r="CP2450" s="0" t="s">
        <v>153</v>
      </c>
      <c r="CU2450" s="0" t="s">
        <v>175</v>
      </c>
      <c r="CV2450" s="0" t="s">
        <v>153</v>
      </c>
      <c r="CY2450" s="0" t="s">
        <v>153</v>
      </c>
      <c r="CZ2450" s="0" t="s">
        <v>175</v>
      </c>
      <c r="DC2450" s="0" t="s">
        <v>153</v>
      </c>
      <c r="DF2450" s="0" t="s">
        <v>153</v>
      </c>
      <c r="DG2450" s="0" t="s">
        <v>175</v>
      </c>
      <c r="DI2450" s="0" t="s">
        <v>153</v>
      </c>
      <c r="DN2450" s="0" t="s">
        <v>153</v>
      </c>
      <c r="DS2450" s="0" t="s">
        <v>175</v>
      </c>
      <c r="DU2450" s="0" t="s">
        <v>153</v>
      </c>
      <c r="DX2450" s="0" t="s">
        <v>153</v>
      </c>
      <c r="EA2450" s="0" t="s">
        <v>153</v>
      </c>
      <c r="ED2450" s="0" t="s">
        <v>209</v>
      </c>
      <c r="EF2450" s="0" t="s">
        <v>153</v>
      </c>
    </row>
    <row r="2451" customFormat="false" ht="13.8" hidden="false" customHeight="false" outlineLevel="0" collapsed="false">
      <c r="A2451" s="0" t="s">
        <v>10556</v>
      </c>
      <c r="B2451" s="0" t="n">
        <v>78</v>
      </c>
      <c r="C2451" s="0" t="n">
        <v>314199</v>
      </c>
      <c r="D2451" s="0" t="s">
        <v>10552</v>
      </c>
      <c r="E2451" s="0" t="s">
        <v>4247</v>
      </c>
      <c r="F2451" s="0" t="str">
        <f aca="false">CONCATENATE(D2451," ",LEFT(H2451,4),"T=",AU2451,"D=",AV2451,"R=",AW2451,"M=",AX2451,"L=",AY2451,"B=",AZ2451)</f>
        <v>STAN T=3D=0R=0M=0L=2B=0</v>
      </c>
      <c r="G2451" s="0" t="s">
        <v>209</v>
      </c>
      <c r="I2451" s="0" t="s">
        <v>10557</v>
      </c>
      <c r="J2451" s="0" t="s">
        <v>8111</v>
      </c>
      <c r="K2451" s="0" t="s">
        <v>160</v>
      </c>
      <c r="M2451" s="0" t="s">
        <v>10555</v>
      </c>
      <c r="N2451" s="0" t="str">
        <f aca="false">RIGHT(M2451,LEN(M2451)-FIND(" ",M2451))</f>
        <v>WOODBINE AVE SE</v>
      </c>
      <c r="P2451" s="0" t="s">
        <v>145</v>
      </c>
      <c r="Q2451" s="0" t="s">
        <v>146</v>
      </c>
      <c r="R2451" s="0" t="n">
        <v>44483</v>
      </c>
      <c r="AD2451" s="0" t="s">
        <v>147</v>
      </c>
      <c r="AE2451" s="0" t="s">
        <v>148</v>
      </c>
      <c r="AF2451" s="0" t="s">
        <v>149</v>
      </c>
      <c r="AH2451" s="0" t="n">
        <v>14</v>
      </c>
      <c r="AI2451" s="0" t="n">
        <v>11</v>
      </c>
      <c r="AN2451" s="0" t="s">
        <v>145</v>
      </c>
      <c r="AO2451" s="0" t="s">
        <v>150</v>
      </c>
      <c r="AP2451" s="0" t="s">
        <v>151</v>
      </c>
      <c r="AQ2451" s="0" t="n">
        <v>9</v>
      </c>
      <c r="AR2451" s="0" t="n">
        <v>64</v>
      </c>
      <c r="AS2451" s="0" t="n">
        <v>32</v>
      </c>
      <c r="AU2451" s="0" t="n">
        <f aca="false">COUNTA($BA$791:$EH$791)</f>
        <v>3</v>
      </c>
      <c r="AV2451" s="0" t="n">
        <f aca="false">COUNTIF($BA$791:$EH$791,"D")</f>
        <v>0</v>
      </c>
      <c r="AW2451" s="0" t="n">
        <f aca="false">COUNTIF($BA$791:$EH$791,"R")</f>
        <v>0</v>
      </c>
      <c r="AX2451" s="0" t="n">
        <f aca="false">IF(BN2451="D",1,0)+IF(BO2451="D",1,0)+IF(BT2451="D",1,0)+IF(BU2451="D",1,0)+IF(BW2451="D",1,0)+IF(CC2451="D",1,0)+IF(CD2451="D",1,0)+IF(CE2451="D",1,0)+IF(CF2451="D",1,0)+IF(CL2451="D",1,0)+IF(CM2451="D",1,0)+IF(CQ2451="D",1,0)+IF(CR2451="D",1,0)+IF(CS2451="D",1,0)+IF(CW2451="D",1,0)+IF(CX2451="D",1,0)+IF(DD2451="D",1,0)+IF(DE2451="D",1,0)+IF(DJ2451="D",1,0)+IF(DK2451="D",1,0)+IF(DO2451="D",1,0)+IF(DP2451="D",1,0)+IF(DQ2451="D",1,0)+IF(DW2451="D",1,0)+IF(DZ2451="D",1,0)+IF(EH2451="D",1,0)</f>
        <v>0</v>
      </c>
      <c r="AY2451" s="0" t="n">
        <f aca="false">COUNTIF(DU2451:EH2451, "&lt;&gt;")</f>
        <v>2</v>
      </c>
      <c r="AZ2451" s="0" t="n">
        <f aca="false">IF(EH2451&lt;&gt;"",1,0)</f>
        <v>0</v>
      </c>
      <c r="BB2451" s="0" t="s">
        <v>152</v>
      </c>
      <c r="BJ2451" s="0" t="s">
        <v>153</v>
      </c>
      <c r="BK2451" s="0" t="s">
        <v>153</v>
      </c>
      <c r="BL2451" s="0" t="s">
        <v>153</v>
      </c>
      <c r="CN2451" s="0" t="s">
        <v>153</v>
      </c>
      <c r="CP2451" s="0" t="s">
        <v>153</v>
      </c>
      <c r="DN2451" s="0" t="s">
        <v>153</v>
      </c>
      <c r="DU2451" s="0" t="s">
        <v>153</v>
      </c>
      <c r="EF2451" s="0" t="s">
        <v>153</v>
      </c>
    </row>
    <row r="2452" customFormat="false" ht="13.8" hidden="true" customHeight="false" outlineLevel="0" collapsed="false">
      <c r="A2452" s="0" t="s">
        <v>10558</v>
      </c>
      <c r="B2452" s="0" t="n">
        <v>78</v>
      </c>
      <c r="C2452" s="0" t="n">
        <v>243891</v>
      </c>
      <c r="D2452" s="0" t="s">
        <v>10559</v>
      </c>
      <c r="E2452" s="0" t="s">
        <v>10560</v>
      </c>
      <c r="F2452" s="0" t="str">
        <f aca="false">CONCATENATE(D2452," ",LEFT(H2452,4),"T=",AU2452,"D=",AV2452,"R=",AW2452,"M=",AX2452,"L=",AY2452,"B=",AZ2452)</f>
        <v>BLACKWELL T=1D=0R=0M=1L=0B=0</v>
      </c>
      <c r="I2452" s="0" t="s">
        <v>10561</v>
      </c>
      <c r="J2452" s="0" t="s">
        <v>1622</v>
      </c>
      <c r="K2452" s="0" t="s">
        <v>143</v>
      </c>
      <c r="M2452" s="0" t="s">
        <v>10562</v>
      </c>
      <c r="N2452" s="0" t="str">
        <f aca="false">RIGHT(M2452,LEN(M2452)-FIND(" ",M2452))</f>
        <v>WOODBINE AVE SE</v>
      </c>
      <c r="P2452" s="0" t="s">
        <v>145</v>
      </c>
      <c r="Q2452" s="0" t="s">
        <v>146</v>
      </c>
      <c r="R2452" s="0" t="n">
        <v>44483</v>
      </c>
      <c r="AD2452" s="0" t="s">
        <v>147</v>
      </c>
      <c r="AE2452" s="0" t="s">
        <v>148</v>
      </c>
      <c r="AF2452" s="0" t="s">
        <v>149</v>
      </c>
      <c r="AH2452" s="0" t="n">
        <v>14</v>
      </c>
      <c r="AI2452" s="0" t="n">
        <v>11</v>
      </c>
      <c r="AN2452" s="0" t="s">
        <v>145</v>
      </c>
      <c r="AO2452" s="0" t="s">
        <v>150</v>
      </c>
      <c r="AP2452" s="0" t="s">
        <v>151</v>
      </c>
      <c r="AQ2452" s="0" t="n">
        <v>9</v>
      </c>
      <c r="AR2452" s="0" t="n">
        <v>64</v>
      </c>
      <c r="AS2452" s="0" t="n">
        <v>32</v>
      </c>
      <c r="AU2452" s="0" t="n">
        <f aca="false">COUNTA($BA$114:$EH$114)</f>
        <v>1</v>
      </c>
      <c r="AV2452" s="0" t="n">
        <f aca="false">COUNTIF($BA$114:$EH$114,"D")</f>
        <v>0</v>
      </c>
      <c r="AW2452" s="0" t="n">
        <f aca="false">COUNTIF($BA$114:$EH$114,"R")</f>
        <v>0</v>
      </c>
      <c r="AX2452" s="0" t="n">
        <f aca="false">IF(BN2452="D",1,0)+IF(BO2452="D",1,0)+IF(BT2452="D",1,0)+IF(BU2452="D",1,0)+IF(BW2452="D",1,0)+IF(CC2452="D",1,0)+IF(CD2452="D",1,0)+IF(CE2452="D",1,0)+IF(CF2452="D",1,0)+IF(CL2452="D",1,0)+IF(CM2452="D",1,0)+IF(CQ2452="D",1,0)+IF(CR2452="D",1,0)+IF(CS2452="D",1,0)+IF(CW2452="D",1,0)+IF(CX2452="D",1,0)+IF(DD2452="D",1,0)+IF(DE2452="D",1,0)+IF(DJ2452="D",1,0)+IF(DK2452="D",1,0)+IF(DO2452="D",1,0)+IF(DP2452="D",1,0)+IF(DQ2452="D",1,0)+IF(DW2452="D",1,0)+IF(DZ2452="D",1,0)+IF(EH2452="D",1,0)</f>
        <v>1</v>
      </c>
      <c r="AY2452" s="0" t="n">
        <f aca="false">COUNTIF(DU2452:EH2452, "&lt;&gt;")</f>
        <v>0</v>
      </c>
      <c r="AZ2452" s="0" t="n">
        <f aca="false">IF(EH2452&lt;&gt;"",1,0)</f>
        <v>0</v>
      </c>
      <c r="BB2452" s="0" t="s">
        <v>152</v>
      </c>
      <c r="BD2452" s="0" t="s">
        <v>153</v>
      </c>
      <c r="BH2452" s="0" t="s">
        <v>153</v>
      </c>
      <c r="BJ2452" s="0" t="s">
        <v>153</v>
      </c>
      <c r="BL2452" s="0" t="s">
        <v>153</v>
      </c>
      <c r="BS2452" s="0" t="s">
        <v>153</v>
      </c>
      <c r="CA2452" s="0" t="s">
        <v>153</v>
      </c>
      <c r="CP2452" s="0" t="s">
        <v>153</v>
      </c>
      <c r="CQ2452" s="0" t="s">
        <v>175</v>
      </c>
      <c r="DC2452" s="0" t="s">
        <v>153</v>
      </c>
      <c r="DF2452" s="0" t="s">
        <v>153</v>
      </c>
      <c r="DI2452" s="0" t="s">
        <v>153</v>
      </c>
      <c r="DN2452" s="0" t="s">
        <v>153</v>
      </c>
    </row>
    <row r="2453" customFormat="false" ht="13.8" hidden="true" customHeight="false" outlineLevel="0" collapsed="false">
      <c r="A2453" s="0" t="s">
        <v>10563</v>
      </c>
      <c r="B2453" s="0" t="n">
        <v>78</v>
      </c>
      <c r="C2453" s="0" t="n">
        <v>425690</v>
      </c>
      <c r="D2453" s="0" t="s">
        <v>718</v>
      </c>
      <c r="E2453" s="0" t="s">
        <v>10564</v>
      </c>
      <c r="F2453" s="0" t="str">
        <f aca="false">CONCATENATE(D2453," ",LEFT(H2453,4),"T=",AU2453,"D=",AV2453,"R=",AW2453,"M=",AX2453,"L=",AY2453,"B=",AZ2453)</f>
        <v>WHITE T=2D=0R=0M=0L=0B=0</v>
      </c>
      <c r="G2453" s="0" t="s">
        <v>9502</v>
      </c>
      <c r="I2453" s="0" t="s">
        <v>10565</v>
      </c>
      <c r="J2453" s="0" t="s">
        <v>6761</v>
      </c>
      <c r="K2453" s="0" t="s">
        <v>143</v>
      </c>
      <c r="M2453" s="0" t="s">
        <v>10562</v>
      </c>
      <c r="N2453" s="0" t="str">
        <f aca="false">RIGHT(M2453,LEN(M2453)-FIND(" ",M2453))</f>
        <v>WOODBINE AVE SE</v>
      </c>
      <c r="P2453" s="0" t="s">
        <v>145</v>
      </c>
      <c r="Q2453" s="0" t="s">
        <v>146</v>
      </c>
      <c r="R2453" s="0" t="n">
        <v>44483</v>
      </c>
      <c r="AD2453" s="0" t="s">
        <v>147</v>
      </c>
      <c r="AE2453" s="0" t="s">
        <v>148</v>
      </c>
      <c r="AF2453" s="0" t="s">
        <v>149</v>
      </c>
      <c r="AH2453" s="0" t="n">
        <v>14</v>
      </c>
      <c r="AI2453" s="0" t="n">
        <v>11</v>
      </c>
      <c r="AN2453" s="0" t="s">
        <v>145</v>
      </c>
      <c r="AO2453" s="0" t="s">
        <v>150</v>
      </c>
      <c r="AP2453" s="0" t="s">
        <v>151</v>
      </c>
      <c r="AQ2453" s="0" t="n">
        <v>9</v>
      </c>
      <c r="AR2453" s="0" t="n">
        <v>64</v>
      </c>
      <c r="AS2453" s="0" t="n">
        <v>32</v>
      </c>
      <c r="AU2453" s="0" t="n">
        <f aca="false">COUNTA($BA$135:$EH$135)</f>
        <v>2</v>
      </c>
      <c r="AV2453" s="0" t="n">
        <f aca="false">COUNTIF($BA$135:$EH$135,"D")</f>
        <v>0</v>
      </c>
      <c r="AW2453" s="0" t="n">
        <f aca="false">COUNTIF($BA$135:$EH$135,"R")</f>
        <v>0</v>
      </c>
      <c r="AX2453" s="0" t="n">
        <f aca="false">IF(BN2453="D",1,0)+IF(BO2453="D",1,0)+IF(BT2453="D",1,0)+IF(BU2453="D",1,0)+IF(BW2453="D",1,0)+IF(CC2453="D",1,0)+IF(CD2453="D",1,0)+IF(CE2453="D",1,0)+IF(CF2453="D",1,0)+IF(CL2453="D",1,0)+IF(CM2453="D",1,0)+IF(CQ2453="D",1,0)+IF(CR2453="D",1,0)+IF(CS2453="D",1,0)+IF(CW2453="D",1,0)+IF(CX2453="D",1,0)+IF(DD2453="D",1,0)+IF(DE2453="D",1,0)+IF(DJ2453="D",1,0)+IF(DK2453="D",1,0)+IF(DO2453="D",1,0)+IF(DP2453="D",1,0)+IF(DQ2453="D",1,0)+IF(DW2453="D",1,0)+IF(DZ2453="D",1,0)+IF(EH2453="D",1,0)</f>
        <v>0</v>
      </c>
      <c r="AY2453" s="0" t="n">
        <f aca="false">COUNTIF(DU2453:EH2453, "&lt;&gt;")</f>
        <v>0</v>
      </c>
      <c r="AZ2453" s="0" t="n">
        <f aca="false">IF(EH2453&lt;&gt;"",1,0)</f>
        <v>0</v>
      </c>
      <c r="BB2453" s="0" t="s">
        <v>152</v>
      </c>
    </row>
    <row r="2454" customFormat="false" ht="13.8" hidden="true" customHeight="false" outlineLevel="0" collapsed="false">
      <c r="A2454" s="0" t="s">
        <v>10566</v>
      </c>
      <c r="B2454" s="0" t="n">
        <v>78</v>
      </c>
      <c r="C2454" s="0" t="n">
        <v>383644</v>
      </c>
      <c r="D2454" s="0" t="s">
        <v>10559</v>
      </c>
      <c r="E2454" s="0" t="s">
        <v>208</v>
      </c>
      <c r="F2454" s="0" t="str">
        <f aca="false">CONCATENATE(D2454," ",LEFT(H2454,4),"T=",AU2454,"D=",AV2454,"R=",AW2454,"M=",AX2454,"L=",AY2454,"B=",AZ2454)</f>
        <v>BLACKWELL T=5D=0R=1M=0L=0B=0</v>
      </c>
      <c r="G2454" s="0" t="s">
        <v>686</v>
      </c>
      <c r="I2454" s="0" t="s">
        <v>10567</v>
      </c>
      <c r="J2454" s="0" t="s">
        <v>10568</v>
      </c>
      <c r="K2454" s="0" t="s">
        <v>143</v>
      </c>
      <c r="M2454" s="0" t="s">
        <v>10562</v>
      </c>
      <c r="N2454" s="0" t="str">
        <f aca="false">RIGHT(M2454,LEN(M2454)-FIND(" ",M2454))</f>
        <v>WOODBINE AVE SE</v>
      </c>
      <c r="P2454" s="0" t="s">
        <v>145</v>
      </c>
      <c r="Q2454" s="0" t="s">
        <v>146</v>
      </c>
      <c r="R2454" s="0" t="n">
        <v>44483</v>
      </c>
      <c r="AD2454" s="0" t="s">
        <v>147</v>
      </c>
      <c r="AE2454" s="0" t="s">
        <v>148</v>
      </c>
      <c r="AF2454" s="0" t="s">
        <v>149</v>
      </c>
      <c r="AH2454" s="0" t="n">
        <v>14</v>
      </c>
      <c r="AI2454" s="0" t="n">
        <v>11</v>
      </c>
      <c r="AN2454" s="0" t="s">
        <v>145</v>
      </c>
      <c r="AO2454" s="0" t="s">
        <v>150</v>
      </c>
      <c r="AP2454" s="0" t="s">
        <v>151</v>
      </c>
      <c r="AQ2454" s="0" t="n">
        <v>9</v>
      </c>
      <c r="AR2454" s="0" t="n">
        <v>64</v>
      </c>
      <c r="AS2454" s="0" t="n">
        <v>32</v>
      </c>
      <c r="AU2454" s="0" t="n">
        <f aca="false">COUNTA($BA$394:$EH$394)</f>
        <v>5</v>
      </c>
      <c r="AV2454" s="0" t="n">
        <f aca="false">COUNTIF($BA$394:$EH$394,"D")</f>
        <v>0</v>
      </c>
      <c r="AW2454" s="0" t="n">
        <f aca="false">COUNTIF($BA$394:$EH$394,"R")</f>
        <v>1</v>
      </c>
      <c r="AX2454" s="0" t="n">
        <f aca="false">IF(BN2454="D",1,0)+IF(BO2454="D",1,0)+IF(BT2454="D",1,0)+IF(BU2454="D",1,0)+IF(BW2454="D",1,0)+IF(CC2454="D",1,0)+IF(CD2454="D",1,0)+IF(CE2454="D",1,0)+IF(CF2454="D",1,0)+IF(CL2454="D",1,0)+IF(CM2454="D",1,0)+IF(CQ2454="D",1,0)+IF(CR2454="D",1,0)+IF(CS2454="D",1,0)+IF(CW2454="D",1,0)+IF(CX2454="D",1,0)+IF(DD2454="D",1,0)+IF(DE2454="D",1,0)+IF(DJ2454="D",1,0)+IF(DK2454="D",1,0)+IF(DO2454="D",1,0)+IF(DP2454="D",1,0)+IF(DQ2454="D",1,0)+IF(DW2454="D",1,0)+IF(DZ2454="D",1,0)+IF(EH2454="D",1,0)</f>
        <v>0</v>
      </c>
      <c r="AY2454" s="0" t="n">
        <f aca="false">COUNTIF(DU2454:EH2454, "&lt;&gt;")</f>
        <v>0</v>
      </c>
      <c r="AZ2454" s="0" t="n">
        <f aca="false">IF(EH2454&lt;&gt;"",1,0)</f>
        <v>0</v>
      </c>
      <c r="BB2454" s="0" t="s">
        <v>152</v>
      </c>
    </row>
    <row r="2455" customFormat="false" ht="13.8" hidden="true" customHeight="false" outlineLevel="0" collapsed="false">
      <c r="A2455" s="0" t="s">
        <v>10569</v>
      </c>
      <c r="B2455" s="0" t="n">
        <v>78</v>
      </c>
      <c r="C2455" s="0" t="n">
        <v>419176</v>
      </c>
      <c r="D2455" s="0" t="s">
        <v>10559</v>
      </c>
      <c r="E2455" s="0" t="s">
        <v>10570</v>
      </c>
      <c r="F2455" s="0" t="str">
        <f aca="false">CONCATENATE(D2455," ",LEFT(H2455,4),"T=",AU2455,"D=",AV2455,"R=",AW2455,"M=",AX2455,"L=",AY2455,"B=",AZ2455)</f>
        <v>BLACKWELL T=22D=3R=0M=0L=0B=0</v>
      </c>
      <c r="G2455" s="0" t="s">
        <v>10571</v>
      </c>
      <c r="I2455" s="0" t="s">
        <v>10572</v>
      </c>
      <c r="J2455" s="0" t="s">
        <v>10573</v>
      </c>
      <c r="K2455" s="0" t="s">
        <v>143</v>
      </c>
      <c r="M2455" s="0" t="s">
        <v>10562</v>
      </c>
      <c r="N2455" s="0" t="str">
        <f aca="false">RIGHT(M2455,LEN(M2455)-FIND(" ",M2455))</f>
        <v>WOODBINE AVE SE</v>
      </c>
      <c r="P2455" s="0" t="s">
        <v>145</v>
      </c>
      <c r="Q2455" s="0" t="s">
        <v>146</v>
      </c>
      <c r="R2455" s="0" t="n">
        <v>44483</v>
      </c>
      <c r="AD2455" s="0" t="s">
        <v>147</v>
      </c>
      <c r="AE2455" s="0" t="s">
        <v>148</v>
      </c>
      <c r="AF2455" s="0" t="s">
        <v>149</v>
      </c>
      <c r="AH2455" s="0" t="n">
        <v>14</v>
      </c>
      <c r="AI2455" s="0" t="n">
        <v>11</v>
      </c>
      <c r="AN2455" s="0" t="s">
        <v>145</v>
      </c>
      <c r="AO2455" s="0" t="s">
        <v>150</v>
      </c>
      <c r="AP2455" s="0" t="s">
        <v>151</v>
      </c>
      <c r="AQ2455" s="0" t="n">
        <v>9</v>
      </c>
      <c r="AR2455" s="0" t="n">
        <v>64</v>
      </c>
      <c r="AS2455" s="0" t="n">
        <v>32</v>
      </c>
      <c r="AU2455" s="0" t="n">
        <f aca="false">COUNTA($BA$710:$EH$710)</f>
        <v>22</v>
      </c>
      <c r="AV2455" s="0" t="n">
        <f aca="false">COUNTIF($BA$710:$EH$710,"D")</f>
        <v>3</v>
      </c>
      <c r="AW2455" s="0" t="n">
        <f aca="false">COUNTIF($BA$710:$EH$710,"R")</f>
        <v>0</v>
      </c>
      <c r="AX2455" s="0" t="n">
        <f aca="false">IF(BN2455="D",1,0)+IF(BO2455="D",1,0)+IF(BT2455="D",1,0)+IF(BU2455="D",1,0)+IF(BW2455="D",1,0)+IF(CC2455="D",1,0)+IF(CD2455="D",1,0)+IF(CE2455="D",1,0)+IF(CF2455="D",1,0)+IF(CL2455="D",1,0)+IF(CM2455="D",1,0)+IF(CQ2455="D",1,0)+IF(CR2455="D",1,0)+IF(CS2455="D",1,0)+IF(CW2455="D",1,0)+IF(CX2455="D",1,0)+IF(DD2455="D",1,0)+IF(DE2455="D",1,0)+IF(DJ2455="D",1,0)+IF(DK2455="D",1,0)+IF(DO2455="D",1,0)+IF(DP2455="D",1,0)+IF(DQ2455="D",1,0)+IF(DW2455="D",1,0)+IF(DZ2455="D",1,0)+IF(EH2455="D",1,0)</f>
        <v>0</v>
      </c>
      <c r="AY2455" s="0" t="n">
        <f aca="false">COUNTIF(DU2455:EH2455, "&lt;&gt;")</f>
        <v>0</v>
      </c>
      <c r="AZ2455" s="0" t="n">
        <f aca="false">IF(EH2455&lt;&gt;"",1,0)</f>
        <v>0</v>
      </c>
      <c r="BB2455" s="0" t="s">
        <v>152</v>
      </c>
    </row>
    <row r="2456" customFormat="false" ht="13.8" hidden="true" customHeight="false" outlineLevel="0" collapsed="false">
      <c r="A2456" s="0" t="s">
        <v>10574</v>
      </c>
      <c r="B2456" s="0" t="n">
        <v>78</v>
      </c>
      <c r="C2456" s="0" t="n">
        <v>456098</v>
      </c>
      <c r="D2456" s="0" t="s">
        <v>10559</v>
      </c>
      <c r="E2456" s="0" t="s">
        <v>583</v>
      </c>
      <c r="F2456" s="0" t="str">
        <f aca="false">CONCATENATE(D2456," ",LEFT(H2456,4),"T=",AU2456,"D=",AV2456,"R=",AW2456,"M=",AX2456,"L=",AY2456,"B=",AZ2456)</f>
        <v>BLACKWELL T=1D=0R=0M=0L=0B=0</v>
      </c>
      <c r="G2456" s="0" t="s">
        <v>860</v>
      </c>
      <c r="I2456" s="0" t="s">
        <v>5922</v>
      </c>
      <c r="J2456" s="0" t="s">
        <v>10575</v>
      </c>
      <c r="K2456" s="0" t="s">
        <v>143</v>
      </c>
      <c r="M2456" s="0" t="s">
        <v>10562</v>
      </c>
      <c r="N2456" s="0" t="str">
        <f aca="false">RIGHT(M2456,LEN(M2456)-FIND(" ",M2456))</f>
        <v>WOODBINE AVE SE</v>
      </c>
      <c r="P2456" s="0" t="s">
        <v>145</v>
      </c>
      <c r="Q2456" s="0" t="s">
        <v>146</v>
      </c>
      <c r="R2456" s="0" t="n">
        <v>44483</v>
      </c>
      <c r="AD2456" s="0" t="s">
        <v>147</v>
      </c>
      <c r="AE2456" s="0" t="s">
        <v>148</v>
      </c>
      <c r="AF2456" s="0" t="s">
        <v>149</v>
      </c>
      <c r="AH2456" s="0" t="n">
        <v>14</v>
      </c>
      <c r="AI2456" s="0" t="n">
        <v>11</v>
      </c>
      <c r="AN2456" s="0" t="s">
        <v>145</v>
      </c>
      <c r="AO2456" s="0" t="s">
        <v>150</v>
      </c>
      <c r="AP2456" s="0" t="s">
        <v>151</v>
      </c>
      <c r="AQ2456" s="0" t="n">
        <v>9</v>
      </c>
      <c r="AR2456" s="0" t="n">
        <v>64</v>
      </c>
      <c r="AS2456" s="0" t="n">
        <v>32</v>
      </c>
      <c r="AU2456" s="0" t="n">
        <f aca="false">COUNTA($BA$908:$EH$908)</f>
        <v>1</v>
      </c>
      <c r="AV2456" s="0" t="n">
        <f aca="false">COUNTIF($BA$908:$EH$908,"D")</f>
        <v>0</v>
      </c>
      <c r="AW2456" s="0" t="n">
        <f aca="false">COUNTIF($BA$908:$EH$908,"R")</f>
        <v>0</v>
      </c>
      <c r="AX2456" s="0" t="n">
        <f aca="false">IF(BN2456="D",1,0)+IF(BO2456="D",1,0)+IF(BT2456="D",1,0)+IF(BU2456="D",1,0)+IF(BW2456="D",1,0)+IF(CC2456="D",1,0)+IF(CD2456="D",1,0)+IF(CE2456="D",1,0)+IF(CF2456="D",1,0)+IF(CL2456="D",1,0)+IF(CM2456="D",1,0)+IF(CQ2456="D",1,0)+IF(CR2456="D",1,0)+IF(CS2456="D",1,0)+IF(CW2456="D",1,0)+IF(CX2456="D",1,0)+IF(DD2456="D",1,0)+IF(DE2456="D",1,0)+IF(DJ2456="D",1,0)+IF(DK2456="D",1,0)+IF(DO2456="D",1,0)+IF(DP2456="D",1,0)+IF(DQ2456="D",1,0)+IF(DW2456="D",1,0)+IF(DZ2456="D",1,0)+IF(EH2456="D",1,0)</f>
        <v>0</v>
      </c>
      <c r="AY2456" s="0" t="n">
        <f aca="false">COUNTIF(DU2456:EH2456, "&lt;&gt;")</f>
        <v>0</v>
      </c>
      <c r="AZ2456" s="0" t="n">
        <f aca="false">IF(EH2456&lt;&gt;"",1,0)</f>
        <v>0</v>
      </c>
      <c r="BB2456" s="0" t="s">
        <v>152</v>
      </c>
      <c r="CA2456" s="0" t="s">
        <v>153</v>
      </c>
    </row>
    <row r="2457" customFormat="false" ht="13.8" hidden="true" customHeight="false" outlineLevel="0" collapsed="false">
      <c r="A2457" s="0" t="s">
        <v>10576</v>
      </c>
      <c r="B2457" s="0" t="n">
        <v>78</v>
      </c>
      <c r="C2457" s="0" t="n">
        <v>441745</v>
      </c>
      <c r="D2457" s="0" t="s">
        <v>761</v>
      </c>
      <c r="E2457" s="0" t="s">
        <v>10322</v>
      </c>
      <c r="F2457" s="0" t="str">
        <f aca="false">CONCATENATE(D2457," ",LEFT(H2457,4),"T=",AU2457,"D=",AV2457,"R=",AW2457,"M=",AX2457,"L=",AY2457,"B=",AZ2457)</f>
        <v>BROWN T=1D=0R=0M=0L=0B=0</v>
      </c>
      <c r="G2457" s="0" t="s">
        <v>600</v>
      </c>
      <c r="I2457" s="0" t="s">
        <v>10577</v>
      </c>
      <c r="J2457" s="0" t="s">
        <v>1010</v>
      </c>
      <c r="K2457" s="0" t="s">
        <v>143</v>
      </c>
      <c r="M2457" s="0" t="s">
        <v>10562</v>
      </c>
      <c r="N2457" s="0" t="str">
        <f aca="false">RIGHT(M2457,LEN(M2457)-FIND(" ",M2457))</f>
        <v>WOODBINE AVE SE</v>
      </c>
      <c r="P2457" s="0" t="s">
        <v>145</v>
      </c>
      <c r="Q2457" s="0" t="s">
        <v>146</v>
      </c>
      <c r="R2457" s="0" t="n">
        <v>44483</v>
      </c>
      <c r="AD2457" s="0" t="s">
        <v>147</v>
      </c>
      <c r="AE2457" s="0" t="s">
        <v>148</v>
      </c>
      <c r="AF2457" s="0" t="s">
        <v>149</v>
      </c>
      <c r="AH2457" s="0" t="n">
        <v>14</v>
      </c>
      <c r="AI2457" s="0" t="n">
        <v>11</v>
      </c>
      <c r="AN2457" s="0" t="s">
        <v>145</v>
      </c>
      <c r="AO2457" s="0" t="s">
        <v>150</v>
      </c>
      <c r="AP2457" s="0" t="s">
        <v>151</v>
      </c>
      <c r="AQ2457" s="0" t="n">
        <v>9</v>
      </c>
      <c r="AR2457" s="0" t="n">
        <v>64</v>
      </c>
      <c r="AS2457" s="0" t="n">
        <v>32</v>
      </c>
      <c r="AU2457" s="0" t="n">
        <f aca="false">COUNTA($BA$965:$EH$965)</f>
        <v>1</v>
      </c>
      <c r="AV2457" s="0" t="n">
        <f aca="false">COUNTIF($BA$965:$EH$965,"D")</f>
        <v>0</v>
      </c>
      <c r="AW2457" s="0" t="n">
        <f aca="false">COUNTIF($BA$965:$EH$965,"R")</f>
        <v>0</v>
      </c>
      <c r="AX2457" s="0" t="n">
        <f aca="false">IF(BN2457="D",1,0)+IF(BO2457="D",1,0)+IF(BT2457="D",1,0)+IF(BU2457="D",1,0)+IF(BW2457="D",1,0)+IF(CC2457="D",1,0)+IF(CD2457="D",1,0)+IF(CE2457="D",1,0)+IF(CF2457="D",1,0)+IF(CL2457="D",1,0)+IF(CM2457="D",1,0)+IF(CQ2457="D",1,0)+IF(CR2457="D",1,0)+IF(CS2457="D",1,0)+IF(CW2457="D",1,0)+IF(CX2457="D",1,0)+IF(DD2457="D",1,0)+IF(DE2457="D",1,0)+IF(DJ2457="D",1,0)+IF(DK2457="D",1,0)+IF(DO2457="D",1,0)+IF(DP2457="D",1,0)+IF(DQ2457="D",1,0)+IF(DW2457="D",1,0)+IF(DZ2457="D",1,0)+IF(EH2457="D",1,0)</f>
        <v>0</v>
      </c>
      <c r="AY2457" s="0" t="n">
        <f aca="false">COUNTIF(DU2457:EH2457, "&lt;&gt;")</f>
        <v>0</v>
      </c>
      <c r="AZ2457" s="0" t="n">
        <f aca="false">IF(EH2457&lt;&gt;"",1,0)</f>
        <v>0</v>
      </c>
      <c r="BB2457" s="0" t="s">
        <v>152</v>
      </c>
    </row>
    <row r="2458" customFormat="false" ht="13.8" hidden="false" customHeight="false" outlineLevel="0" collapsed="false">
      <c r="A2458" s="0" t="s">
        <v>10578</v>
      </c>
      <c r="B2458" s="0" t="n">
        <v>78</v>
      </c>
      <c r="C2458" s="0" t="n">
        <v>404649</v>
      </c>
      <c r="D2458" s="0" t="s">
        <v>10579</v>
      </c>
      <c r="E2458" s="0" t="s">
        <v>10580</v>
      </c>
      <c r="F2458" s="0" t="str">
        <f aca="false">CONCATENATE(D2458," ",LEFT(H2458,4),"T=",AU2458,"D=",AV2458,"R=",AW2458,"M=",AX2458,"L=",AY2458,"B=",AZ2458)</f>
        <v>STEIN T=2D=0R=0M=0L=2B=0</v>
      </c>
      <c r="G2458" s="0" t="s">
        <v>209</v>
      </c>
      <c r="I2458" s="0" t="s">
        <v>882</v>
      </c>
      <c r="J2458" s="0" t="s">
        <v>2263</v>
      </c>
      <c r="K2458" s="0" t="s">
        <v>160</v>
      </c>
      <c r="M2458" s="0" t="s">
        <v>10581</v>
      </c>
      <c r="N2458" s="0" t="str">
        <f aca="false">RIGHT(M2458,LEN(M2458)-FIND(" ",M2458))</f>
        <v>WOODBINE AVE SE</v>
      </c>
      <c r="P2458" s="0" t="s">
        <v>145</v>
      </c>
      <c r="Q2458" s="0" t="s">
        <v>146</v>
      </c>
      <c r="R2458" s="0" t="n">
        <v>44483</v>
      </c>
      <c r="AD2458" s="0" t="s">
        <v>147</v>
      </c>
      <c r="AE2458" s="0" t="s">
        <v>148</v>
      </c>
      <c r="AF2458" s="0" t="s">
        <v>149</v>
      </c>
      <c r="AH2458" s="0" t="n">
        <v>14</v>
      </c>
      <c r="AI2458" s="0" t="n">
        <v>11</v>
      </c>
      <c r="AN2458" s="0" t="s">
        <v>145</v>
      </c>
      <c r="AO2458" s="0" t="s">
        <v>150</v>
      </c>
      <c r="AP2458" s="0" t="s">
        <v>151</v>
      </c>
      <c r="AQ2458" s="0" t="n">
        <v>9</v>
      </c>
      <c r="AR2458" s="0" t="n">
        <v>64</v>
      </c>
      <c r="AS2458" s="0" t="n">
        <v>32</v>
      </c>
      <c r="AU2458" s="0" t="n">
        <f aca="false">COUNTA($BA$132:$EH$132)</f>
        <v>2</v>
      </c>
      <c r="AV2458" s="0" t="n">
        <f aca="false">COUNTIF($BA$132:$EH$132,"D")</f>
        <v>0</v>
      </c>
      <c r="AW2458" s="0" t="n">
        <f aca="false">COUNTIF($BA$132:$EH$132,"R")</f>
        <v>0</v>
      </c>
      <c r="AX2458" s="0" t="n">
        <f aca="false">IF(BN2458="D",1,0)+IF(BO2458="D",1,0)+IF(BT2458="D",1,0)+IF(BU2458="D",1,0)+IF(BW2458="D",1,0)+IF(CC2458="D",1,0)+IF(CD2458="D",1,0)+IF(CE2458="D",1,0)+IF(CF2458="D",1,0)+IF(CL2458="D",1,0)+IF(CM2458="D",1,0)+IF(CQ2458="D",1,0)+IF(CR2458="D",1,0)+IF(CS2458="D",1,0)+IF(CW2458="D",1,0)+IF(CX2458="D",1,0)+IF(DD2458="D",1,0)+IF(DE2458="D",1,0)+IF(DJ2458="D",1,0)+IF(DK2458="D",1,0)+IF(DO2458="D",1,0)+IF(DP2458="D",1,0)+IF(DQ2458="D",1,0)+IF(DW2458="D",1,0)+IF(DZ2458="D",1,0)+IF(EH2458="D",1,0)</f>
        <v>0</v>
      </c>
      <c r="AY2458" s="0" t="n">
        <f aca="false">COUNTIF(DU2458:EH2458, "&lt;&gt;")</f>
        <v>2</v>
      </c>
      <c r="AZ2458" s="0" t="n">
        <f aca="false">IF(EH2458&lt;&gt;"",1,0)</f>
        <v>0</v>
      </c>
      <c r="BB2458" s="0" t="s">
        <v>152</v>
      </c>
      <c r="DC2458" s="0" t="s">
        <v>153</v>
      </c>
      <c r="DN2458" s="0" t="s">
        <v>153</v>
      </c>
      <c r="EA2458" s="0" t="s">
        <v>153</v>
      </c>
      <c r="EF2458" s="0" t="s">
        <v>153</v>
      </c>
    </row>
    <row r="2459" customFormat="false" ht="13.8" hidden="false" customHeight="false" outlineLevel="0" collapsed="false">
      <c r="A2459" s="0" t="s">
        <v>10582</v>
      </c>
      <c r="B2459" s="0" t="n">
        <v>78</v>
      </c>
      <c r="C2459" s="0" t="n">
        <v>408640</v>
      </c>
      <c r="D2459" s="0" t="s">
        <v>10579</v>
      </c>
      <c r="E2459" s="0" t="s">
        <v>10494</v>
      </c>
      <c r="F2459" s="0" t="str">
        <f aca="false">CONCATENATE(D2459," ",LEFT(H2459,4),"T=",AU2459,"D=",AV2459,"R=",AW2459,"M=",AX2459,"L=",AY2459,"B=",AZ2459)</f>
        <v>STEIN T=2D=0R=0M=0L=3B=0</v>
      </c>
      <c r="G2459" s="0" t="s">
        <v>558</v>
      </c>
      <c r="I2459" s="0" t="s">
        <v>10583</v>
      </c>
      <c r="J2459" s="0" t="s">
        <v>204</v>
      </c>
      <c r="K2459" s="0" t="s">
        <v>160</v>
      </c>
      <c r="M2459" s="0" t="s">
        <v>10581</v>
      </c>
      <c r="N2459" s="0" t="str">
        <f aca="false">RIGHT(M2459,LEN(M2459)-FIND(" ",M2459))</f>
        <v>WOODBINE AVE SE</v>
      </c>
      <c r="P2459" s="0" t="s">
        <v>145</v>
      </c>
      <c r="Q2459" s="0" t="s">
        <v>146</v>
      </c>
      <c r="R2459" s="0" t="n">
        <v>44483</v>
      </c>
      <c r="AD2459" s="0" t="s">
        <v>147</v>
      </c>
      <c r="AE2459" s="0" t="s">
        <v>148</v>
      </c>
      <c r="AF2459" s="0" t="s">
        <v>149</v>
      </c>
      <c r="AH2459" s="0" t="n">
        <v>14</v>
      </c>
      <c r="AI2459" s="0" t="n">
        <v>11</v>
      </c>
      <c r="AN2459" s="0" t="s">
        <v>145</v>
      </c>
      <c r="AO2459" s="0" t="s">
        <v>150</v>
      </c>
      <c r="AP2459" s="0" t="s">
        <v>151</v>
      </c>
      <c r="AQ2459" s="0" t="n">
        <v>9</v>
      </c>
      <c r="AR2459" s="0" t="n">
        <v>64</v>
      </c>
      <c r="AS2459" s="0" t="n">
        <v>32</v>
      </c>
      <c r="AU2459" s="0" t="n">
        <f aca="false">COUNTA($BA$287:$EH$287)</f>
        <v>2</v>
      </c>
      <c r="AV2459" s="0" t="n">
        <f aca="false">COUNTIF($BA$287:$EH$287,"D")</f>
        <v>0</v>
      </c>
      <c r="AW2459" s="0" t="n">
        <f aca="false">COUNTIF($BA$287:$EH$287,"R")</f>
        <v>0</v>
      </c>
      <c r="AX2459" s="0" t="n">
        <f aca="false">IF(BN2459="D",1,0)+IF(BO2459="D",1,0)+IF(BT2459="D",1,0)+IF(BU2459="D",1,0)+IF(BW2459="D",1,0)+IF(CC2459="D",1,0)+IF(CD2459="D",1,0)+IF(CE2459="D",1,0)+IF(CF2459="D",1,0)+IF(CL2459="D",1,0)+IF(CM2459="D",1,0)+IF(CQ2459="D",1,0)+IF(CR2459="D",1,0)+IF(CS2459="D",1,0)+IF(CW2459="D",1,0)+IF(CX2459="D",1,0)+IF(DD2459="D",1,0)+IF(DE2459="D",1,0)+IF(DJ2459="D",1,0)+IF(DK2459="D",1,0)+IF(DO2459="D",1,0)+IF(DP2459="D",1,0)+IF(DQ2459="D",1,0)+IF(DW2459="D",1,0)+IF(DZ2459="D",1,0)+IF(EH2459="D",1,0)</f>
        <v>0</v>
      </c>
      <c r="AY2459" s="0" t="n">
        <f aca="false">COUNTIF(DU2459:EH2459, "&lt;&gt;")</f>
        <v>3</v>
      </c>
      <c r="AZ2459" s="0" t="n">
        <f aca="false">IF(EH2459&lt;&gt;"",1,0)</f>
        <v>0</v>
      </c>
      <c r="BB2459" s="0" t="s">
        <v>152</v>
      </c>
      <c r="DN2459" s="0" t="s">
        <v>153</v>
      </c>
      <c r="DU2459" s="0" t="s">
        <v>153</v>
      </c>
      <c r="EA2459" s="0" t="s">
        <v>153</v>
      </c>
      <c r="EF2459" s="0" t="s">
        <v>153</v>
      </c>
    </row>
    <row r="2460" customFormat="false" ht="13.8" hidden="false" customHeight="false" outlineLevel="0" collapsed="false">
      <c r="A2460" s="0" t="s">
        <v>10584</v>
      </c>
      <c r="B2460" s="0" t="n">
        <v>78</v>
      </c>
      <c r="C2460" s="0" t="n">
        <v>23194</v>
      </c>
      <c r="D2460" s="0" t="s">
        <v>10585</v>
      </c>
      <c r="E2460" s="0" t="s">
        <v>1842</v>
      </c>
      <c r="F2460" s="0" t="str">
        <f aca="false">CONCATENATE(D2460," ",LEFT(H2460,4),"T=",AU2460,"D=",AV2460,"R=",AW2460,"M=",AX2460,"L=",AY2460,"B=",AZ2460)</f>
        <v>LOSEY T=2D=0R=0M=5L=7B=1</v>
      </c>
      <c r="G2460" s="0" t="s">
        <v>190</v>
      </c>
      <c r="I2460" s="0" t="s">
        <v>10586</v>
      </c>
      <c r="J2460" s="0" t="s">
        <v>5557</v>
      </c>
      <c r="K2460" s="0" t="s">
        <v>160</v>
      </c>
      <c r="L2460" s="0" t="s">
        <v>175</v>
      </c>
      <c r="M2460" s="0" t="s">
        <v>10587</v>
      </c>
      <c r="N2460" s="0" t="str">
        <f aca="false">RIGHT(M2460,LEN(M2460)-FIND(" ",M2460))</f>
        <v>WOODBINE AVE SE</v>
      </c>
      <c r="P2460" s="0" t="s">
        <v>145</v>
      </c>
      <c r="Q2460" s="0" t="s">
        <v>146</v>
      </c>
      <c r="R2460" s="0" t="n">
        <v>44483</v>
      </c>
      <c r="S2460" s="0" t="n">
        <v>6046</v>
      </c>
      <c r="AD2460" s="0" t="s">
        <v>147</v>
      </c>
      <c r="AE2460" s="0" t="s">
        <v>148</v>
      </c>
      <c r="AF2460" s="0" t="s">
        <v>149</v>
      </c>
      <c r="AH2460" s="0" t="n">
        <v>14</v>
      </c>
      <c r="AI2460" s="0" t="n">
        <v>11</v>
      </c>
      <c r="AN2460" s="0" t="s">
        <v>145</v>
      </c>
      <c r="AO2460" s="0" t="s">
        <v>150</v>
      </c>
      <c r="AP2460" s="0" t="s">
        <v>151</v>
      </c>
      <c r="AQ2460" s="0" t="n">
        <v>9</v>
      </c>
      <c r="AR2460" s="0" t="n">
        <v>64</v>
      </c>
      <c r="AS2460" s="0" t="n">
        <v>32</v>
      </c>
      <c r="AU2460" s="0" t="n">
        <f aca="false">COUNTA($BA$2:$EH$2)</f>
        <v>2</v>
      </c>
      <c r="AV2460" s="0" t="n">
        <f aca="false">COUNTIF($BA$2:$EH$2,"D")</f>
        <v>0</v>
      </c>
      <c r="AW2460" s="0" t="n">
        <f aca="false">COUNTIF($BA$2:$EH$2,"R")</f>
        <v>0</v>
      </c>
      <c r="AX2460" s="0" t="n">
        <f aca="false">IF(BN2460="D",1,0)+IF(BO2460="D",1,0)+IF(BT2460="D",1,0)+IF(BU2460="D",1,0)+IF(BW2460="D",1,0)+IF(CC2460="D",1,0)+IF(CD2460="D",1,0)+IF(CE2460="D",1,0)+IF(CF2460="D",1,0)+IF(CL2460="D",1,0)+IF(CM2460="D",1,0)+IF(CQ2460="D",1,0)+IF(CR2460="D",1,0)+IF(CS2460="D",1,0)+IF(CW2460="D",1,0)+IF(CX2460="D",1,0)+IF(DD2460="D",1,0)+IF(DE2460="D",1,0)+IF(DJ2460="D",1,0)+IF(DK2460="D",1,0)+IF(DO2460="D",1,0)+IF(DP2460="D",1,0)+IF(DQ2460="D",1,0)+IF(DW2460="D",1,0)+IF(DZ2460="D",1,0)+IF(EH2460="D",1,0)</f>
        <v>5</v>
      </c>
      <c r="AY2460" s="0" t="n">
        <f aca="false">COUNTIF(DU2460:EH2460, "&lt;&gt;")</f>
        <v>7</v>
      </c>
      <c r="AZ2460" s="0" t="n">
        <f aca="false">IF(EH2460&lt;&gt;"",1,0)</f>
        <v>1</v>
      </c>
      <c r="BB2460" s="0" t="s">
        <v>152</v>
      </c>
      <c r="BC2460" s="0" t="s">
        <v>153</v>
      </c>
      <c r="BD2460" s="0" t="s">
        <v>153</v>
      </c>
      <c r="BE2460" s="0" t="s">
        <v>153</v>
      </c>
      <c r="BF2460" s="0" t="s">
        <v>153</v>
      </c>
      <c r="BH2460" s="0" t="s">
        <v>153</v>
      </c>
      <c r="BI2460" s="0" t="s">
        <v>153</v>
      </c>
      <c r="BJ2460" s="0" t="s">
        <v>153</v>
      </c>
      <c r="BK2460" s="0" t="s">
        <v>153</v>
      </c>
      <c r="BL2460" s="0" t="s">
        <v>153</v>
      </c>
      <c r="BP2460" s="0" t="s">
        <v>153</v>
      </c>
      <c r="BR2460" s="0" t="s">
        <v>153</v>
      </c>
      <c r="BS2460" s="0" t="s">
        <v>153</v>
      </c>
      <c r="BV2460" s="0" t="s">
        <v>153</v>
      </c>
      <c r="BY2460" s="0" t="s">
        <v>175</v>
      </c>
      <c r="CA2460" s="0" t="s">
        <v>153</v>
      </c>
      <c r="CG2460" s="0" t="s">
        <v>153</v>
      </c>
      <c r="CK2460" s="0" t="s">
        <v>153</v>
      </c>
      <c r="CL2460" s="0" t="s">
        <v>175</v>
      </c>
      <c r="CN2460" s="0" t="s">
        <v>153</v>
      </c>
      <c r="CO2460" s="0" t="s">
        <v>175</v>
      </c>
      <c r="CP2460" s="0" t="s">
        <v>153</v>
      </c>
      <c r="CU2460" s="0" t="s">
        <v>175</v>
      </c>
      <c r="CV2460" s="0" t="s">
        <v>153</v>
      </c>
      <c r="CW2460" s="0" t="s">
        <v>175</v>
      </c>
      <c r="CY2460" s="0" t="s">
        <v>153</v>
      </c>
      <c r="CZ2460" s="0" t="s">
        <v>175</v>
      </c>
      <c r="DC2460" s="0" t="s">
        <v>153</v>
      </c>
      <c r="DD2460" s="0" t="s">
        <v>175</v>
      </c>
      <c r="DF2460" s="0" t="s">
        <v>153</v>
      </c>
      <c r="DG2460" s="0" t="s">
        <v>175</v>
      </c>
      <c r="DI2460" s="0" t="s">
        <v>153</v>
      </c>
      <c r="DL2460" s="0" t="s">
        <v>153</v>
      </c>
      <c r="DM2460" s="0" t="s">
        <v>175</v>
      </c>
      <c r="DN2460" s="0" t="s">
        <v>153</v>
      </c>
      <c r="DR2460" s="0" t="s">
        <v>153</v>
      </c>
      <c r="DS2460" s="0" t="s">
        <v>175</v>
      </c>
      <c r="DT2460" s="0" t="s">
        <v>175</v>
      </c>
      <c r="DU2460" s="0" t="s">
        <v>153</v>
      </c>
      <c r="DW2460" s="0" t="s">
        <v>175</v>
      </c>
      <c r="DX2460" s="0" t="s">
        <v>153</v>
      </c>
      <c r="EA2460" s="0" t="s">
        <v>153</v>
      </c>
      <c r="ED2460" s="0" t="s">
        <v>175</v>
      </c>
      <c r="EF2460" s="0" t="s">
        <v>153</v>
      </c>
      <c r="EH2460" s="0" t="s">
        <v>175</v>
      </c>
    </row>
    <row r="2461" customFormat="false" ht="13.8" hidden="false" customHeight="false" outlineLevel="0" collapsed="false">
      <c r="A2461" s="0" t="s">
        <v>10588</v>
      </c>
      <c r="B2461" s="0" t="n">
        <v>78</v>
      </c>
      <c r="C2461" s="0" t="n">
        <v>322296</v>
      </c>
      <c r="D2461" s="0" t="s">
        <v>10585</v>
      </c>
      <c r="E2461" s="0" t="s">
        <v>324</v>
      </c>
      <c r="F2461" s="0" t="str">
        <f aca="false">CONCATENATE(D2461," ",LEFT(H2461,4),"T=",AU2461,"D=",AV2461,"R=",AW2461,"M=",AX2461,"L=",AY2461,"B=",AZ2461)</f>
        <v>LOSEY T=1D=0R=0M=0L=4B=0</v>
      </c>
      <c r="G2461" s="0" t="s">
        <v>171</v>
      </c>
      <c r="I2461" s="0" t="s">
        <v>10589</v>
      </c>
      <c r="J2461" s="0" t="s">
        <v>907</v>
      </c>
      <c r="K2461" s="0" t="s">
        <v>160</v>
      </c>
      <c r="M2461" s="0" t="s">
        <v>10587</v>
      </c>
      <c r="N2461" s="0" t="str">
        <f aca="false">RIGHT(M2461,LEN(M2461)-FIND(" ",M2461))</f>
        <v>WOODBINE AVE SE</v>
      </c>
      <c r="P2461" s="0" t="s">
        <v>145</v>
      </c>
      <c r="Q2461" s="0" t="s">
        <v>146</v>
      </c>
      <c r="R2461" s="0" t="n">
        <v>44483</v>
      </c>
      <c r="AD2461" s="0" t="s">
        <v>147</v>
      </c>
      <c r="AE2461" s="0" t="s">
        <v>148</v>
      </c>
      <c r="AF2461" s="0" t="s">
        <v>149</v>
      </c>
      <c r="AH2461" s="0" t="n">
        <v>14</v>
      </c>
      <c r="AI2461" s="0" t="n">
        <v>11</v>
      </c>
      <c r="AN2461" s="0" t="s">
        <v>145</v>
      </c>
      <c r="AO2461" s="0" t="s">
        <v>150</v>
      </c>
      <c r="AP2461" s="0" t="s">
        <v>151</v>
      </c>
      <c r="AQ2461" s="0" t="n">
        <v>9</v>
      </c>
      <c r="AR2461" s="0" t="n">
        <v>64</v>
      </c>
      <c r="AS2461" s="0" t="n">
        <v>32</v>
      </c>
      <c r="AU2461" s="0" t="n">
        <f aca="false">COUNTA($BA$75:$EH$75)</f>
        <v>1</v>
      </c>
      <c r="AV2461" s="0" t="n">
        <f aca="false">COUNTIF($BA$75:$EH$75,"D")</f>
        <v>0</v>
      </c>
      <c r="AW2461" s="0" t="n">
        <f aca="false">COUNTIF($BA$75:$EH$75,"R")</f>
        <v>0</v>
      </c>
      <c r="AX2461" s="0" t="n">
        <f aca="false">IF(BN2461="D",1,0)+IF(BO2461="D",1,0)+IF(BT2461="D",1,0)+IF(BU2461="D",1,0)+IF(BW2461="D",1,0)+IF(CC2461="D",1,0)+IF(CD2461="D",1,0)+IF(CE2461="D",1,0)+IF(CF2461="D",1,0)+IF(CL2461="D",1,0)+IF(CM2461="D",1,0)+IF(CQ2461="D",1,0)+IF(CR2461="D",1,0)+IF(CS2461="D",1,0)+IF(CW2461="D",1,0)+IF(CX2461="D",1,0)+IF(DD2461="D",1,0)+IF(DE2461="D",1,0)+IF(DJ2461="D",1,0)+IF(DK2461="D",1,0)+IF(DO2461="D",1,0)+IF(DP2461="D",1,0)+IF(DQ2461="D",1,0)+IF(DW2461="D",1,0)+IF(DZ2461="D",1,0)+IF(EH2461="D",1,0)</f>
        <v>0</v>
      </c>
      <c r="AY2461" s="0" t="n">
        <f aca="false">COUNTIF(DU2461:EH2461, "&lt;&gt;")</f>
        <v>4</v>
      </c>
      <c r="AZ2461" s="0" t="n">
        <f aca="false">IF(EH2461&lt;&gt;"",1,0)</f>
        <v>0</v>
      </c>
      <c r="BB2461" s="0" t="s">
        <v>152</v>
      </c>
      <c r="BL2461" s="0" t="s">
        <v>153</v>
      </c>
      <c r="BS2461" s="0" t="s">
        <v>153</v>
      </c>
      <c r="CA2461" s="0" t="s">
        <v>153</v>
      </c>
      <c r="CN2461" s="0" t="s">
        <v>153</v>
      </c>
      <c r="CP2461" s="0" t="s">
        <v>153</v>
      </c>
      <c r="CV2461" s="0" t="s">
        <v>153</v>
      </c>
      <c r="DC2461" s="0" t="s">
        <v>153</v>
      </c>
      <c r="DI2461" s="0" t="s">
        <v>153</v>
      </c>
      <c r="DM2461" s="0" t="s">
        <v>175</v>
      </c>
      <c r="DN2461" s="0" t="s">
        <v>153</v>
      </c>
      <c r="DU2461" s="0" t="s">
        <v>153</v>
      </c>
      <c r="DX2461" s="0" t="s">
        <v>153</v>
      </c>
      <c r="EA2461" s="0" t="s">
        <v>153</v>
      </c>
      <c r="EF2461" s="0" t="s">
        <v>153</v>
      </c>
    </row>
    <row r="2462" customFormat="false" ht="13.8" hidden="true" customHeight="false" outlineLevel="0" collapsed="false">
      <c r="A2462" s="0" t="s">
        <v>10590</v>
      </c>
      <c r="B2462" s="0" t="n">
        <v>78</v>
      </c>
      <c r="C2462" s="0" t="n">
        <v>328645</v>
      </c>
      <c r="D2462" s="0" t="s">
        <v>10591</v>
      </c>
      <c r="E2462" s="0" t="s">
        <v>10592</v>
      </c>
      <c r="F2462" s="0" t="str">
        <f aca="false">CONCATENATE(D2462," ",LEFT(H2462,4),"T=",AU2462,"D=",AV2462,"R=",AW2462,"M=",AX2462,"L=",AY2462,"B=",AZ2462)</f>
        <v>SEITZ JRT=1D=0R=0M=0L=0B=0</v>
      </c>
      <c r="H2462" s="0" t="s">
        <v>314</v>
      </c>
      <c r="I2462" s="0" t="s">
        <v>10593</v>
      </c>
      <c r="J2462" s="0" t="s">
        <v>10594</v>
      </c>
      <c r="K2462" s="0" t="s">
        <v>160</v>
      </c>
      <c r="M2462" s="0" t="s">
        <v>10595</v>
      </c>
      <c r="N2462" s="0" t="str">
        <f aca="false">RIGHT(M2462,LEN(M2462)-FIND(" ",M2462))</f>
        <v>WOODBINE AVE SE</v>
      </c>
      <c r="P2462" s="0" t="s">
        <v>145</v>
      </c>
      <c r="Q2462" s="0" t="s">
        <v>146</v>
      </c>
      <c r="R2462" s="0" t="n">
        <v>44483</v>
      </c>
      <c r="AD2462" s="0" t="s">
        <v>147</v>
      </c>
      <c r="AE2462" s="0" t="s">
        <v>148</v>
      </c>
      <c r="AF2462" s="0" t="s">
        <v>149</v>
      </c>
      <c r="AH2462" s="0" t="n">
        <v>14</v>
      </c>
      <c r="AI2462" s="0" t="n">
        <v>11</v>
      </c>
      <c r="AN2462" s="0" t="s">
        <v>145</v>
      </c>
      <c r="AO2462" s="0" t="s">
        <v>150</v>
      </c>
      <c r="AP2462" s="0" t="s">
        <v>151</v>
      </c>
      <c r="AQ2462" s="0" t="n">
        <v>9</v>
      </c>
      <c r="AR2462" s="0" t="n">
        <v>64</v>
      </c>
      <c r="AS2462" s="0" t="n">
        <v>32</v>
      </c>
      <c r="AU2462" s="0" t="n">
        <f aca="false">COUNTA($BA$98:$EH$98)</f>
        <v>1</v>
      </c>
      <c r="AV2462" s="0" t="n">
        <f aca="false">COUNTIF($BA$98:$EH$98,"D")</f>
        <v>0</v>
      </c>
      <c r="AW2462" s="0" t="n">
        <f aca="false">COUNTIF($BA$98:$EH$98,"R")</f>
        <v>0</v>
      </c>
      <c r="AX2462" s="0" t="n">
        <f aca="false">IF(BN2462="D",1,0)+IF(BO2462="D",1,0)+IF(BT2462="D",1,0)+IF(BU2462="D",1,0)+IF(BW2462="D",1,0)+IF(CC2462="D",1,0)+IF(CD2462="D",1,0)+IF(CE2462="D",1,0)+IF(CF2462="D",1,0)+IF(CL2462="D",1,0)+IF(CM2462="D",1,0)+IF(CQ2462="D",1,0)+IF(CR2462="D",1,0)+IF(CS2462="D",1,0)+IF(CW2462="D",1,0)+IF(CX2462="D",1,0)+IF(DD2462="D",1,0)+IF(DE2462="D",1,0)+IF(DJ2462="D",1,0)+IF(DK2462="D",1,0)+IF(DO2462="D",1,0)+IF(DP2462="D",1,0)+IF(DQ2462="D",1,0)+IF(DW2462="D",1,0)+IF(DZ2462="D",1,0)+IF(EH2462="D",1,0)</f>
        <v>0</v>
      </c>
      <c r="AY2462" s="0" t="n">
        <f aca="false">COUNTIF(DU2462:EH2462, "&lt;&gt;")</f>
        <v>0</v>
      </c>
      <c r="AZ2462" s="0" t="n">
        <f aca="false">IF(EH2462&lt;&gt;"",1,0)</f>
        <v>0</v>
      </c>
      <c r="BB2462" s="0" t="s">
        <v>152</v>
      </c>
      <c r="BL2462" s="0" t="s">
        <v>153</v>
      </c>
      <c r="BY2462" s="0" t="s">
        <v>175</v>
      </c>
      <c r="CA2462" s="0" t="s">
        <v>153</v>
      </c>
      <c r="CG2462" s="0" t="s">
        <v>153</v>
      </c>
      <c r="CK2462" s="0" t="s">
        <v>153</v>
      </c>
      <c r="CN2462" s="0" t="s">
        <v>153</v>
      </c>
      <c r="CP2462" s="0" t="s">
        <v>153</v>
      </c>
      <c r="CV2462" s="0" t="s">
        <v>153</v>
      </c>
      <c r="CZ2462" s="0" t="s">
        <v>209</v>
      </c>
    </row>
    <row r="2463" customFormat="false" ht="13.8" hidden="true" customHeight="false" outlineLevel="0" collapsed="false">
      <c r="A2463" s="0" t="s">
        <v>10596</v>
      </c>
      <c r="B2463" s="0" t="n">
        <v>78</v>
      </c>
      <c r="C2463" s="0" t="n">
        <v>287234</v>
      </c>
      <c r="D2463" s="0" t="s">
        <v>9686</v>
      </c>
      <c r="E2463" s="0" t="s">
        <v>2428</v>
      </c>
      <c r="F2463" s="0" t="str">
        <f aca="false">CONCATENATE(D2463," ",LEFT(H2463,4),"T=",AU2463,"D=",AV2463,"R=",AW2463,"M=",AX2463,"L=",AY2463,"B=",AZ2463)</f>
        <v>PARKS T=17D=2R=0M=0L=1B=0</v>
      </c>
      <c r="G2463" s="0" t="s">
        <v>670</v>
      </c>
      <c r="I2463" s="0" t="s">
        <v>10597</v>
      </c>
      <c r="J2463" s="0" t="s">
        <v>10598</v>
      </c>
      <c r="K2463" s="0" t="s">
        <v>160</v>
      </c>
      <c r="M2463" s="0" t="s">
        <v>10599</v>
      </c>
      <c r="N2463" s="0" t="str">
        <f aca="false">RIGHT(M2463,LEN(M2463)-FIND(" ",M2463))</f>
        <v>WOODBINE AVE SE</v>
      </c>
      <c r="P2463" s="0" t="s">
        <v>145</v>
      </c>
      <c r="Q2463" s="0" t="s">
        <v>146</v>
      </c>
      <c r="R2463" s="0" t="n">
        <v>44483</v>
      </c>
      <c r="AD2463" s="0" t="s">
        <v>147</v>
      </c>
      <c r="AE2463" s="0" t="s">
        <v>148</v>
      </c>
      <c r="AF2463" s="0" t="s">
        <v>149</v>
      </c>
      <c r="AH2463" s="0" t="n">
        <v>14</v>
      </c>
      <c r="AI2463" s="0" t="n">
        <v>11</v>
      </c>
      <c r="AN2463" s="0" t="s">
        <v>145</v>
      </c>
      <c r="AO2463" s="0" t="s">
        <v>150</v>
      </c>
      <c r="AP2463" s="0" t="s">
        <v>151</v>
      </c>
      <c r="AQ2463" s="0" t="n">
        <v>9</v>
      </c>
      <c r="AR2463" s="0" t="n">
        <v>64</v>
      </c>
      <c r="AS2463" s="0" t="n">
        <v>32</v>
      </c>
      <c r="AU2463" s="0" t="n">
        <f aca="false">COUNTA($BA$498:$EH$498)</f>
        <v>17</v>
      </c>
      <c r="AV2463" s="0" t="n">
        <f aca="false">COUNTIF($BA$498:$EH$498,"D")</f>
        <v>2</v>
      </c>
      <c r="AW2463" s="0" t="n">
        <f aca="false">COUNTIF($BA$498:$EH$498,"R")</f>
        <v>0</v>
      </c>
      <c r="AX2463" s="0" t="n">
        <f aca="false">IF(BN2463="D",1,0)+IF(BO2463="D",1,0)+IF(BT2463="D",1,0)+IF(BU2463="D",1,0)+IF(BW2463="D",1,0)+IF(CC2463="D",1,0)+IF(CD2463="D",1,0)+IF(CE2463="D",1,0)+IF(CF2463="D",1,0)+IF(CL2463="D",1,0)+IF(CM2463="D",1,0)+IF(CQ2463="D",1,0)+IF(CR2463="D",1,0)+IF(CS2463="D",1,0)+IF(CW2463="D",1,0)+IF(CX2463="D",1,0)+IF(DD2463="D",1,0)+IF(DE2463="D",1,0)+IF(DJ2463="D",1,0)+IF(DK2463="D",1,0)+IF(DO2463="D",1,0)+IF(DP2463="D",1,0)+IF(DQ2463="D",1,0)+IF(DW2463="D",1,0)+IF(DZ2463="D",1,0)+IF(EH2463="D",1,0)</f>
        <v>0</v>
      </c>
      <c r="AY2463" s="0" t="n">
        <f aca="false">COUNTIF(DU2463:EH2463, "&lt;&gt;")</f>
        <v>1</v>
      </c>
      <c r="AZ2463" s="0" t="n">
        <f aca="false">IF(EH2463&lt;&gt;"",1,0)</f>
        <v>0</v>
      </c>
      <c r="BB2463" s="0" t="s">
        <v>152</v>
      </c>
      <c r="CA2463" s="0" t="s">
        <v>153</v>
      </c>
      <c r="EF2463" s="0" t="s">
        <v>153</v>
      </c>
    </row>
    <row r="2464" customFormat="false" ht="13.8" hidden="true" customHeight="false" outlineLevel="0" collapsed="false">
      <c r="A2464" s="0" t="s">
        <v>10600</v>
      </c>
      <c r="B2464" s="0" t="n">
        <v>78</v>
      </c>
      <c r="C2464" s="0" t="n">
        <v>418702</v>
      </c>
      <c r="D2464" s="0" t="s">
        <v>10184</v>
      </c>
      <c r="E2464" s="0" t="s">
        <v>558</v>
      </c>
      <c r="F2464" s="0" t="str">
        <f aca="false">CONCATENATE(D2464," ",LEFT(H2464,4),"T=",AU2464,"D=",AV2464,"R=",AW2464,"M=",AX2464,"L=",AY2464,"B=",AZ2464)</f>
        <v>MCFADDEN T=2D=0R=0M=0L=0B=0</v>
      </c>
      <c r="G2464" s="0" t="s">
        <v>195</v>
      </c>
      <c r="I2464" s="0" t="s">
        <v>10601</v>
      </c>
      <c r="J2464" s="0" t="s">
        <v>7163</v>
      </c>
      <c r="K2464" s="0" t="s">
        <v>160</v>
      </c>
      <c r="M2464" s="0" t="s">
        <v>10599</v>
      </c>
      <c r="N2464" s="0" t="str">
        <f aca="false">RIGHT(M2464,LEN(M2464)-FIND(" ",M2464))</f>
        <v>WOODBINE AVE SE</v>
      </c>
      <c r="P2464" s="0" t="s">
        <v>145</v>
      </c>
      <c r="Q2464" s="0" t="s">
        <v>146</v>
      </c>
      <c r="R2464" s="0" t="n">
        <v>44483</v>
      </c>
      <c r="AD2464" s="0" t="s">
        <v>147</v>
      </c>
      <c r="AE2464" s="0" t="s">
        <v>148</v>
      </c>
      <c r="AF2464" s="0" t="s">
        <v>149</v>
      </c>
      <c r="AH2464" s="0" t="n">
        <v>14</v>
      </c>
      <c r="AI2464" s="0" t="n">
        <v>11</v>
      </c>
      <c r="AN2464" s="0" t="s">
        <v>145</v>
      </c>
      <c r="AO2464" s="0" t="s">
        <v>150</v>
      </c>
      <c r="AP2464" s="0" t="s">
        <v>151</v>
      </c>
      <c r="AQ2464" s="0" t="n">
        <v>9</v>
      </c>
      <c r="AR2464" s="0" t="n">
        <v>64</v>
      </c>
      <c r="AS2464" s="0" t="n">
        <v>32</v>
      </c>
      <c r="AU2464" s="0" t="n">
        <f aca="false">COUNTA($BA$818:$EH$818)</f>
        <v>2</v>
      </c>
      <c r="AV2464" s="0" t="n">
        <f aca="false">COUNTIF($BA$818:$EH$818,"D")</f>
        <v>0</v>
      </c>
      <c r="AW2464" s="0" t="n">
        <f aca="false">COUNTIF($BA$818:$EH$818,"R")</f>
        <v>0</v>
      </c>
      <c r="AX2464" s="0" t="n">
        <f aca="false">IF(BN2464="D",1,0)+IF(BO2464="D",1,0)+IF(BT2464="D",1,0)+IF(BU2464="D",1,0)+IF(BW2464="D",1,0)+IF(CC2464="D",1,0)+IF(CD2464="D",1,0)+IF(CE2464="D",1,0)+IF(CF2464="D",1,0)+IF(CL2464="D",1,0)+IF(CM2464="D",1,0)+IF(CQ2464="D",1,0)+IF(CR2464="D",1,0)+IF(CS2464="D",1,0)+IF(CW2464="D",1,0)+IF(CX2464="D",1,0)+IF(DD2464="D",1,0)+IF(DE2464="D",1,0)+IF(DJ2464="D",1,0)+IF(DK2464="D",1,0)+IF(DO2464="D",1,0)+IF(DP2464="D",1,0)+IF(DQ2464="D",1,0)+IF(DW2464="D",1,0)+IF(DZ2464="D",1,0)+IF(EH2464="D",1,0)</f>
        <v>0</v>
      </c>
      <c r="AY2464" s="0" t="n">
        <f aca="false">COUNTIF(DU2464:EH2464, "&lt;&gt;")</f>
        <v>0</v>
      </c>
      <c r="AZ2464" s="0" t="n">
        <f aca="false">IF(EH2464&lt;&gt;"",1,0)</f>
        <v>0</v>
      </c>
      <c r="BB2464" s="0" t="s">
        <v>152</v>
      </c>
      <c r="DC2464" s="0" t="s">
        <v>153</v>
      </c>
    </row>
    <row r="2465" customFormat="false" ht="13.8" hidden="true" customHeight="false" outlineLevel="0" collapsed="false">
      <c r="A2465" s="0" t="s">
        <v>10602</v>
      </c>
      <c r="B2465" s="0" t="n">
        <v>78</v>
      </c>
      <c r="C2465" s="0" t="n">
        <v>13656</v>
      </c>
      <c r="D2465" s="0" t="s">
        <v>10603</v>
      </c>
      <c r="E2465" s="0" t="s">
        <v>2827</v>
      </c>
      <c r="F2465" s="0" t="str">
        <f aca="false">CONCATENATE(D2465," ",LEFT(H2465,4),"T=",AU2465,"D=",AV2465,"R=",AW2465,"M=",AX2465,"L=",AY2465,"B=",AZ2465)</f>
        <v>PARDEE T=2D=0R=0M=5L=1B=0</v>
      </c>
      <c r="G2465" s="0" t="s">
        <v>195</v>
      </c>
      <c r="I2465" s="0" t="s">
        <v>10604</v>
      </c>
      <c r="J2465" s="0" t="s">
        <v>10605</v>
      </c>
      <c r="K2465" s="0" t="s">
        <v>160</v>
      </c>
      <c r="M2465" s="0" t="s">
        <v>10606</v>
      </c>
      <c r="N2465" s="0" t="str">
        <f aca="false">RIGHT(M2465,LEN(M2465)-FIND(" ",M2465))</f>
        <v>WOODBINE AVE SE</v>
      </c>
      <c r="P2465" s="0" t="s">
        <v>145</v>
      </c>
      <c r="Q2465" s="0" t="s">
        <v>146</v>
      </c>
      <c r="R2465" s="0" t="n">
        <v>44483</v>
      </c>
      <c r="AD2465" s="0" t="s">
        <v>147</v>
      </c>
      <c r="AE2465" s="0" t="s">
        <v>148</v>
      </c>
      <c r="AF2465" s="0" t="s">
        <v>149</v>
      </c>
      <c r="AH2465" s="0" t="n">
        <v>14</v>
      </c>
      <c r="AI2465" s="0" t="n">
        <v>11</v>
      </c>
      <c r="AN2465" s="0" t="s">
        <v>145</v>
      </c>
      <c r="AO2465" s="0" t="s">
        <v>150</v>
      </c>
      <c r="AP2465" s="0" t="s">
        <v>151</v>
      </c>
      <c r="AQ2465" s="0" t="n">
        <v>9</v>
      </c>
      <c r="AR2465" s="0" t="n">
        <v>64</v>
      </c>
      <c r="AS2465" s="0" t="n">
        <v>32</v>
      </c>
      <c r="AU2465" s="0" t="n">
        <f aca="false">COUNTA($BA$22:$EH$22)</f>
        <v>2</v>
      </c>
      <c r="AV2465" s="0" t="n">
        <f aca="false">COUNTIF($BA$22:$EH$22,"D")</f>
        <v>0</v>
      </c>
      <c r="AW2465" s="0" t="n">
        <f aca="false">COUNTIF($BA$22:$EH$22,"R")</f>
        <v>0</v>
      </c>
      <c r="AX2465" s="0" t="n">
        <f aca="false">IF(BN2465="D",1,0)+IF(BO2465="D",1,0)+IF(BT2465="D",1,0)+IF(BU2465="D",1,0)+IF(BW2465="D",1,0)+IF(CC2465="D",1,0)+IF(CD2465="D",1,0)+IF(CE2465="D",1,0)+IF(CF2465="D",1,0)+IF(CL2465="D",1,0)+IF(CM2465="D",1,0)+IF(CQ2465="D",1,0)+IF(CR2465="D",1,0)+IF(CS2465="D",1,0)+IF(CW2465="D",1,0)+IF(CX2465="D",1,0)+IF(DD2465="D",1,0)+IF(DE2465="D",1,0)+IF(DJ2465="D",1,0)+IF(DK2465="D",1,0)+IF(DO2465="D",1,0)+IF(DP2465="D",1,0)+IF(DQ2465="D",1,0)+IF(DW2465="D",1,0)+IF(DZ2465="D",1,0)+IF(EH2465="D",1,0)</f>
        <v>5</v>
      </c>
      <c r="AY2465" s="0" t="n">
        <f aca="false">COUNTIF(DU2465:EH2465, "&lt;&gt;")</f>
        <v>1</v>
      </c>
      <c r="AZ2465" s="0" t="n">
        <f aca="false">IF(EH2465&lt;&gt;"",1,0)</f>
        <v>0</v>
      </c>
      <c r="BB2465" s="0" t="s">
        <v>152</v>
      </c>
      <c r="BC2465" s="0" t="s">
        <v>153</v>
      </c>
      <c r="BD2465" s="0" t="s">
        <v>153</v>
      </c>
      <c r="BE2465" s="0" t="s">
        <v>153</v>
      </c>
      <c r="BG2465" s="0" t="s">
        <v>153</v>
      </c>
      <c r="BH2465" s="0" t="s">
        <v>153</v>
      </c>
      <c r="BI2465" s="0" t="s">
        <v>153</v>
      </c>
      <c r="BJ2465" s="0" t="s">
        <v>153</v>
      </c>
      <c r="BK2465" s="0" t="s">
        <v>153</v>
      </c>
      <c r="BL2465" s="0" t="s">
        <v>153</v>
      </c>
      <c r="BP2465" s="0" t="s">
        <v>153</v>
      </c>
      <c r="BR2465" s="0" t="s">
        <v>153</v>
      </c>
      <c r="BS2465" s="0" t="s">
        <v>153</v>
      </c>
      <c r="BV2465" s="0" t="s">
        <v>153</v>
      </c>
      <c r="BY2465" s="0" t="s">
        <v>175</v>
      </c>
      <c r="CA2465" s="0" t="s">
        <v>153</v>
      </c>
      <c r="CG2465" s="0" t="s">
        <v>153</v>
      </c>
      <c r="CK2465" s="0" t="s">
        <v>153</v>
      </c>
      <c r="CL2465" s="0" t="s">
        <v>175</v>
      </c>
      <c r="CN2465" s="0" t="s">
        <v>153</v>
      </c>
      <c r="CP2465" s="0" t="s">
        <v>153</v>
      </c>
      <c r="CQ2465" s="0" t="s">
        <v>175</v>
      </c>
      <c r="CU2465" s="0" t="s">
        <v>175</v>
      </c>
      <c r="CV2465" s="0" t="s">
        <v>153</v>
      </c>
      <c r="CW2465" s="0" t="s">
        <v>175</v>
      </c>
      <c r="CY2465" s="0" t="s">
        <v>153</v>
      </c>
      <c r="CZ2465" s="0" t="s">
        <v>175</v>
      </c>
      <c r="DC2465" s="0" t="s">
        <v>153</v>
      </c>
      <c r="DD2465" s="0" t="s">
        <v>175</v>
      </c>
      <c r="DG2465" s="0" t="s">
        <v>175</v>
      </c>
      <c r="DI2465" s="0" t="s">
        <v>153</v>
      </c>
      <c r="DJ2465" s="0" t="s">
        <v>175</v>
      </c>
      <c r="DL2465" s="0" t="s">
        <v>153</v>
      </c>
      <c r="DM2465" s="0" t="s">
        <v>175</v>
      </c>
      <c r="DN2465" s="0" t="s">
        <v>153</v>
      </c>
      <c r="DU2465" s="0" t="s">
        <v>153</v>
      </c>
    </row>
    <row r="2466" customFormat="false" ht="13.8" hidden="true" customHeight="false" outlineLevel="0" collapsed="false">
      <c r="A2466" s="0" t="s">
        <v>10607</v>
      </c>
      <c r="B2466" s="0" t="n">
        <v>78</v>
      </c>
      <c r="C2466" s="0" t="n">
        <v>404335</v>
      </c>
      <c r="D2466" s="0" t="s">
        <v>10608</v>
      </c>
      <c r="E2466" s="0" t="s">
        <v>877</v>
      </c>
      <c r="F2466" s="0" t="str">
        <f aca="false">CONCATENATE(D2466," ",LEFT(H2466,4),"T=",AU2466,"D=",AV2466,"R=",AW2466,"M=",AX2466,"L=",AY2466,"B=",AZ2466)</f>
        <v>BEAUCHENE T=4D=0R=0M=0L=1B=0</v>
      </c>
      <c r="G2466" s="0" t="s">
        <v>379</v>
      </c>
      <c r="I2466" s="0" t="s">
        <v>10609</v>
      </c>
      <c r="J2466" s="0" t="s">
        <v>507</v>
      </c>
      <c r="K2466" s="0" t="s">
        <v>160</v>
      </c>
      <c r="M2466" s="0" t="s">
        <v>10610</v>
      </c>
      <c r="N2466" s="0" t="str">
        <f aca="false">RIGHT(M2466,LEN(M2466)-FIND(" ",M2466))</f>
        <v>WOODBINE AVE SE</v>
      </c>
      <c r="P2466" s="0" t="s">
        <v>145</v>
      </c>
      <c r="Q2466" s="0" t="s">
        <v>146</v>
      </c>
      <c r="R2466" s="0" t="n">
        <v>44483</v>
      </c>
      <c r="AD2466" s="0" t="s">
        <v>147</v>
      </c>
      <c r="AE2466" s="0" t="s">
        <v>148</v>
      </c>
      <c r="AF2466" s="0" t="s">
        <v>149</v>
      </c>
      <c r="AH2466" s="0" t="n">
        <v>14</v>
      </c>
      <c r="AI2466" s="0" t="n">
        <v>11</v>
      </c>
      <c r="AN2466" s="0" t="s">
        <v>145</v>
      </c>
      <c r="AO2466" s="0" t="s">
        <v>150</v>
      </c>
      <c r="AP2466" s="0" t="s">
        <v>151</v>
      </c>
      <c r="AQ2466" s="0" t="n">
        <v>9</v>
      </c>
      <c r="AR2466" s="0" t="n">
        <v>64</v>
      </c>
      <c r="AS2466" s="0" t="n">
        <v>32</v>
      </c>
      <c r="AU2466" s="0" t="n">
        <f aca="false">COUNTA($BA$675:$EH$675)</f>
        <v>4</v>
      </c>
      <c r="AV2466" s="0" t="n">
        <f aca="false">COUNTIF($BA$675:$EH$675,"D")</f>
        <v>0</v>
      </c>
      <c r="AW2466" s="0" t="n">
        <f aca="false">COUNTIF($BA$675:$EH$675,"R")</f>
        <v>0</v>
      </c>
      <c r="AX2466" s="0" t="n">
        <f aca="false">IF(BN2466="D",1,0)+IF(BO2466="D",1,0)+IF(BT2466="D",1,0)+IF(BU2466="D",1,0)+IF(BW2466="D",1,0)+IF(CC2466="D",1,0)+IF(CD2466="D",1,0)+IF(CE2466="D",1,0)+IF(CF2466="D",1,0)+IF(CL2466="D",1,0)+IF(CM2466="D",1,0)+IF(CQ2466="D",1,0)+IF(CR2466="D",1,0)+IF(CS2466="D",1,0)+IF(CW2466="D",1,0)+IF(CX2466="D",1,0)+IF(DD2466="D",1,0)+IF(DE2466="D",1,0)+IF(DJ2466="D",1,0)+IF(DK2466="D",1,0)+IF(DO2466="D",1,0)+IF(DP2466="D",1,0)+IF(DQ2466="D",1,0)+IF(DW2466="D",1,0)+IF(DZ2466="D",1,0)+IF(EH2466="D",1,0)</f>
        <v>0</v>
      </c>
      <c r="AY2466" s="0" t="n">
        <f aca="false">COUNTIF(DU2466:EH2466, "&lt;&gt;")</f>
        <v>1</v>
      </c>
      <c r="AZ2466" s="0" t="n">
        <f aca="false">IF(EH2466&lt;&gt;"",1,0)</f>
        <v>0</v>
      </c>
      <c r="BB2466" s="0" t="s">
        <v>152</v>
      </c>
      <c r="DC2466" s="0" t="s">
        <v>153</v>
      </c>
      <c r="EF2466" s="0" t="s">
        <v>153</v>
      </c>
    </row>
    <row r="2467" customFormat="false" ht="13.8" hidden="true" customHeight="false" outlineLevel="0" collapsed="false">
      <c r="A2467" s="0" t="s">
        <v>10611</v>
      </c>
      <c r="B2467" s="0" t="n">
        <v>78</v>
      </c>
      <c r="C2467" s="0" t="n">
        <v>385177</v>
      </c>
      <c r="D2467" s="0" t="s">
        <v>10612</v>
      </c>
      <c r="E2467" s="0" t="s">
        <v>323</v>
      </c>
      <c r="F2467" s="0" t="str">
        <f aca="false">CONCATENATE(D2467," ",LEFT(H2467,4),"T=",AU2467,"D=",AV2467,"R=",AW2467,"M=",AX2467,"L=",AY2467,"B=",AZ2467)</f>
        <v>EVERMAN T=3D=0R=0M=0L=0B=0</v>
      </c>
      <c r="G2467" s="0" t="s">
        <v>362</v>
      </c>
      <c r="I2467" s="0" t="s">
        <v>10613</v>
      </c>
      <c r="J2467" s="0" t="s">
        <v>7766</v>
      </c>
      <c r="K2467" s="0" t="s">
        <v>143</v>
      </c>
      <c r="M2467" s="0" t="s">
        <v>10614</v>
      </c>
      <c r="N2467" s="0" t="str">
        <f aca="false">RIGHT(M2467,LEN(M2467)-FIND(" ",M2467))</f>
        <v>WOODBINE AVE SE</v>
      </c>
      <c r="P2467" s="0" t="s">
        <v>145</v>
      </c>
      <c r="Q2467" s="0" t="s">
        <v>146</v>
      </c>
      <c r="R2467" s="0" t="n">
        <v>44483</v>
      </c>
      <c r="AD2467" s="0" t="s">
        <v>147</v>
      </c>
      <c r="AE2467" s="0" t="s">
        <v>148</v>
      </c>
      <c r="AF2467" s="0" t="s">
        <v>149</v>
      </c>
      <c r="AH2467" s="0" t="n">
        <v>14</v>
      </c>
      <c r="AI2467" s="0" t="n">
        <v>11</v>
      </c>
      <c r="AN2467" s="0" t="s">
        <v>145</v>
      </c>
      <c r="AO2467" s="0" t="s">
        <v>150</v>
      </c>
      <c r="AP2467" s="0" t="s">
        <v>151</v>
      </c>
      <c r="AQ2467" s="0" t="n">
        <v>9</v>
      </c>
      <c r="AR2467" s="0" t="n">
        <v>64</v>
      </c>
      <c r="AS2467" s="0" t="n">
        <v>32</v>
      </c>
      <c r="AU2467" s="0" t="n">
        <f aca="false">COUNTA($BA$104:$EH$104)</f>
        <v>3</v>
      </c>
      <c r="AV2467" s="0" t="n">
        <f aca="false">COUNTIF($BA$104:$EH$104,"D")</f>
        <v>0</v>
      </c>
      <c r="AW2467" s="0" t="n">
        <f aca="false">COUNTIF($BA$104:$EH$104,"R")</f>
        <v>0</v>
      </c>
      <c r="AX2467" s="0" t="n">
        <f aca="false">IF(BN2467="D",1,0)+IF(BO2467="D",1,0)+IF(BT2467="D",1,0)+IF(BU2467="D",1,0)+IF(BW2467="D",1,0)+IF(CC2467="D",1,0)+IF(CD2467="D",1,0)+IF(CE2467="D",1,0)+IF(CF2467="D",1,0)+IF(CL2467="D",1,0)+IF(CM2467="D",1,0)+IF(CQ2467="D",1,0)+IF(CR2467="D",1,0)+IF(CS2467="D",1,0)+IF(CW2467="D",1,0)+IF(CX2467="D",1,0)+IF(DD2467="D",1,0)+IF(DE2467="D",1,0)+IF(DJ2467="D",1,0)+IF(DK2467="D",1,0)+IF(DO2467="D",1,0)+IF(DP2467="D",1,0)+IF(DQ2467="D",1,0)+IF(DW2467="D",1,0)+IF(DZ2467="D",1,0)+IF(EH2467="D",1,0)</f>
        <v>0</v>
      </c>
      <c r="AY2467" s="0" t="n">
        <f aca="false">COUNTIF(DU2467:EH2467, "&lt;&gt;")</f>
        <v>0</v>
      </c>
      <c r="AZ2467" s="0" t="n">
        <f aca="false">IF(EH2467&lt;&gt;"",1,0)</f>
        <v>0</v>
      </c>
      <c r="BB2467" s="0" t="s">
        <v>152</v>
      </c>
    </row>
    <row r="2468" customFormat="false" ht="13.8" hidden="false" customHeight="false" outlineLevel="0" collapsed="false">
      <c r="A2468" s="0" t="s">
        <v>10615</v>
      </c>
      <c r="B2468" s="0" t="n">
        <v>78</v>
      </c>
      <c r="C2468" s="0" t="n">
        <v>248733</v>
      </c>
      <c r="D2468" s="0" t="s">
        <v>10616</v>
      </c>
      <c r="E2468" s="0" t="s">
        <v>2859</v>
      </c>
      <c r="F2468" s="0" t="str">
        <f aca="false">CONCATENATE(D2468," ",LEFT(H2468,4),"T=",AU2468,"D=",AV2468,"R=",AW2468,"M=",AX2468,"L=",AY2468,"B=",AZ2468)</f>
        <v>BURD T=7D=3R=0M=3L=5B=0</v>
      </c>
      <c r="G2468" s="0" t="s">
        <v>860</v>
      </c>
      <c r="I2468" s="0" t="s">
        <v>10617</v>
      </c>
      <c r="J2468" s="0" t="s">
        <v>2007</v>
      </c>
      <c r="K2468" s="0" t="s">
        <v>160</v>
      </c>
      <c r="L2468" s="0" t="s">
        <v>175</v>
      </c>
      <c r="M2468" s="0" t="s">
        <v>10614</v>
      </c>
      <c r="N2468" s="0" t="str">
        <f aca="false">RIGHT(M2468,LEN(M2468)-FIND(" ",M2468))</f>
        <v>WOODBINE AVE SE</v>
      </c>
      <c r="P2468" s="0" t="s">
        <v>145</v>
      </c>
      <c r="Q2468" s="0" t="s">
        <v>146</v>
      </c>
      <c r="R2468" s="0" t="n">
        <v>44483</v>
      </c>
      <c r="AD2468" s="0" t="s">
        <v>147</v>
      </c>
      <c r="AE2468" s="0" t="s">
        <v>148</v>
      </c>
      <c r="AF2468" s="0" t="s">
        <v>149</v>
      </c>
      <c r="AH2468" s="0" t="n">
        <v>14</v>
      </c>
      <c r="AI2468" s="0" t="n">
        <v>11</v>
      </c>
      <c r="AN2468" s="0" t="s">
        <v>145</v>
      </c>
      <c r="AO2468" s="0" t="s">
        <v>150</v>
      </c>
      <c r="AP2468" s="0" t="s">
        <v>151</v>
      </c>
      <c r="AQ2468" s="0" t="n">
        <v>9</v>
      </c>
      <c r="AR2468" s="0" t="n">
        <v>64</v>
      </c>
      <c r="AS2468" s="0" t="n">
        <v>32</v>
      </c>
      <c r="AU2468" s="0" t="n">
        <f aca="false">COUNTA($BA$384:$EH$384)</f>
        <v>7</v>
      </c>
      <c r="AV2468" s="0" t="n">
        <f aca="false">COUNTIF($BA$384:$EH$384,"D")</f>
        <v>3</v>
      </c>
      <c r="AW2468" s="0" t="n">
        <f aca="false">COUNTIF($BA$384:$EH$384,"R")</f>
        <v>0</v>
      </c>
      <c r="AX2468" s="0" t="n">
        <f aca="false">IF(BN2468="D",1,0)+IF(BO2468="D",1,0)+IF(BT2468="D",1,0)+IF(BU2468="D",1,0)+IF(BW2468="D",1,0)+IF(CC2468="D",1,0)+IF(CD2468="D",1,0)+IF(CE2468="D",1,0)+IF(CF2468="D",1,0)+IF(CL2468="D",1,0)+IF(CM2468="D",1,0)+IF(CQ2468="D",1,0)+IF(CR2468="D",1,0)+IF(CS2468="D",1,0)+IF(CW2468="D",1,0)+IF(CX2468="D",1,0)+IF(DD2468="D",1,0)+IF(DE2468="D",1,0)+IF(DJ2468="D",1,0)+IF(DK2468="D",1,0)+IF(DO2468="D",1,0)+IF(DP2468="D",1,0)+IF(DQ2468="D",1,0)+IF(DW2468="D",1,0)+IF(DZ2468="D",1,0)+IF(EH2468="D",1,0)</f>
        <v>3</v>
      </c>
      <c r="AY2468" s="0" t="n">
        <f aca="false">COUNTIF(DU2468:EH2468, "&lt;&gt;")</f>
        <v>5</v>
      </c>
      <c r="AZ2468" s="0" t="n">
        <f aca="false">IF(EH2468&lt;&gt;"",1,0)</f>
        <v>0</v>
      </c>
      <c r="BB2468" s="0" t="s">
        <v>152</v>
      </c>
      <c r="BC2468" s="0" t="s">
        <v>153</v>
      </c>
      <c r="BD2468" s="0" t="s">
        <v>153</v>
      </c>
      <c r="BE2468" s="0" t="s">
        <v>153</v>
      </c>
      <c r="BG2468" s="0" t="s">
        <v>153</v>
      </c>
      <c r="BI2468" s="0" t="s">
        <v>153</v>
      </c>
      <c r="BJ2468" s="0" t="s">
        <v>153</v>
      </c>
      <c r="BK2468" s="0" t="s">
        <v>153</v>
      </c>
      <c r="BL2468" s="0" t="s">
        <v>153</v>
      </c>
      <c r="BP2468" s="0" t="s">
        <v>153</v>
      </c>
      <c r="BR2468" s="0" t="s">
        <v>153</v>
      </c>
      <c r="BS2468" s="0" t="s">
        <v>153</v>
      </c>
      <c r="BV2468" s="0" t="s">
        <v>153</v>
      </c>
      <c r="BY2468" s="0" t="s">
        <v>175</v>
      </c>
      <c r="CA2468" s="0" t="s">
        <v>153</v>
      </c>
      <c r="CG2468" s="0" t="s">
        <v>153</v>
      </c>
      <c r="CH2468" s="0" t="s">
        <v>175</v>
      </c>
      <c r="CK2468" s="0" t="s">
        <v>153</v>
      </c>
      <c r="CL2468" s="0" t="s">
        <v>175</v>
      </c>
      <c r="CN2468" s="0" t="s">
        <v>153</v>
      </c>
      <c r="CO2468" s="0" t="s">
        <v>175</v>
      </c>
      <c r="CP2468" s="0" t="s">
        <v>153</v>
      </c>
      <c r="CT2468" s="0" t="s">
        <v>153</v>
      </c>
      <c r="CU2468" s="0" t="s">
        <v>175</v>
      </c>
      <c r="CV2468" s="0" t="s">
        <v>153</v>
      </c>
      <c r="CW2468" s="0" t="s">
        <v>175</v>
      </c>
      <c r="CY2468" s="0" t="s">
        <v>153</v>
      </c>
      <c r="CZ2468" s="0" t="s">
        <v>175</v>
      </c>
      <c r="DC2468" s="0" t="s">
        <v>153</v>
      </c>
      <c r="DD2468" s="0" t="s">
        <v>175</v>
      </c>
      <c r="DF2468" s="0" t="s">
        <v>153</v>
      </c>
      <c r="DG2468" s="0" t="s">
        <v>175</v>
      </c>
      <c r="DI2468" s="0" t="s">
        <v>153</v>
      </c>
      <c r="DL2468" s="0" t="s">
        <v>153</v>
      </c>
      <c r="DN2468" s="0" t="s">
        <v>153</v>
      </c>
      <c r="DR2468" s="0" t="s">
        <v>153</v>
      </c>
      <c r="DU2468" s="0" t="s">
        <v>153</v>
      </c>
      <c r="DX2468" s="0" t="s">
        <v>153</v>
      </c>
      <c r="EA2468" s="0" t="s">
        <v>153</v>
      </c>
      <c r="ED2468" s="0" t="s">
        <v>175</v>
      </c>
      <c r="EF2468" s="0" t="s">
        <v>153</v>
      </c>
    </row>
    <row r="2469" customFormat="false" ht="13.8" hidden="false" customHeight="false" outlineLevel="0" collapsed="false">
      <c r="A2469" s="0" t="s">
        <v>10618</v>
      </c>
      <c r="B2469" s="0" t="n">
        <v>78</v>
      </c>
      <c r="C2469" s="0" t="n">
        <v>489932</v>
      </c>
      <c r="D2469" s="0" t="s">
        <v>10616</v>
      </c>
      <c r="E2469" s="0" t="s">
        <v>10619</v>
      </c>
      <c r="F2469" s="0" t="str">
        <f aca="false">CONCATENATE(D2469," ",LEFT(H2469,4),"T=",AU2469,"D=",AV2469,"R=",AW2469,"M=",AX2469,"L=",AY2469,"B=",AZ2469)</f>
        <v>BURD T=8D=0R=1M=0L=2B=0</v>
      </c>
      <c r="G2469" s="0" t="s">
        <v>307</v>
      </c>
      <c r="I2469" s="0" t="s">
        <v>10620</v>
      </c>
      <c r="J2469" s="0" t="s">
        <v>2355</v>
      </c>
      <c r="K2469" s="0" t="s">
        <v>160</v>
      </c>
      <c r="M2469" s="0" t="s">
        <v>10614</v>
      </c>
      <c r="N2469" s="0" t="str">
        <f aca="false">RIGHT(M2469,LEN(M2469)-FIND(" ",M2469))</f>
        <v>WOODBINE AVE SE</v>
      </c>
      <c r="P2469" s="0" t="s">
        <v>145</v>
      </c>
      <c r="Q2469" s="0" t="s">
        <v>146</v>
      </c>
      <c r="R2469" s="0" t="n">
        <v>44483</v>
      </c>
      <c r="AD2469" s="0" t="s">
        <v>147</v>
      </c>
      <c r="AE2469" s="0" t="s">
        <v>148</v>
      </c>
      <c r="AF2469" s="0" t="s">
        <v>149</v>
      </c>
      <c r="AH2469" s="0" t="n">
        <v>14</v>
      </c>
      <c r="AI2469" s="0" t="n">
        <v>11</v>
      </c>
      <c r="AN2469" s="0" t="s">
        <v>145</v>
      </c>
      <c r="AO2469" s="0" t="s">
        <v>150</v>
      </c>
      <c r="AP2469" s="0" t="s">
        <v>151</v>
      </c>
      <c r="AQ2469" s="0" t="n">
        <v>9</v>
      </c>
      <c r="AR2469" s="0" t="n">
        <v>64</v>
      </c>
      <c r="AS2469" s="0" t="n">
        <v>32</v>
      </c>
      <c r="AU2469" s="0" t="n">
        <f aca="false">COUNTA($BA$1001:$EH$1001)</f>
        <v>8</v>
      </c>
      <c r="AV2469" s="0" t="n">
        <f aca="false">COUNTIF($BA$1001:$EH$1001,"D")</f>
        <v>0</v>
      </c>
      <c r="AW2469" s="0" t="n">
        <f aca="false">COUNTIF($BA$1001:$EH$1001,"R")</f>
        <v>1</v>
      </c>
      <c r="AX2469" s="0" t="n">
        <f aca="false">IF(BN2469="D",1,0)+IF(BO2469="D",1,0)+IF(BT2469="D",1,0)+IF(BU2469="D",1,0)+IF(BW2469="D",1,0)+IF(CC2469="D",1,0)+IF(CD2469="D",1,0)+IF(CE2469="D",1,0)+IF(CF2469="D",1,0)+IF(CL2469="D",1,0)+IF(CM2469="D",1,0)+IF(CQ2469="D",1,0)+IF(CR2469="D",1,0)+IF(CS2469="D",1,0)+IF(CW2469="D",1,0)+IF(CX2469="D",1,0)+IF(DD2469="D",1,0)+IF(DE2469="D",1,0)+IF(DJ2469="D",1,0)+IF(DK2469="D",1,0)+IF(DO2469="D",1,0)+IF(DP2469="D",1,0)+IF(DQ2469="D",1,0)+IF(DW2469="D",1,0)+IF(DZ2469="D",1,0)+IF(EH2469="D",1,0)</f>
        <v>0</v>
      </c>
      <c r="AY2469" s="0" t="n">
        <f aca="false">COUNTIF(DU2469:EH2469, "&lt;&gt;")</f>
        <v>2</v>
      </c>
      <c r="AZ2469" s="0" t="n">
        <f aca="false">IF(EH2469&lt;&gt;"",1,0)</f>
        <v>0</v>
      </c>
      <c r="BB2469" s="0" t="s">
        <v>152</v>
      </c>
      <c r="DN2469" s="0" t="s">
        <v>153</v>
      </c>
      <c r="EA2469" s="0" t="s">
        <v>153</v>
      </c>
      <c r="EF2469" s="0" t="s">
        <v>153</v>
      </c>
    </row>
    <row r="2470" customFormat="false" ht="13.8" hidden="false" customHeight="false" outlineLevel="0" collapsed="false">
      <c r="A2470" s="0" t="s">
        <v>10621</v>
      </c>
      <c r="B2470" s="0" t="n">
        <v>78</v>
      </c>
      <c r="C2470" s="0" t="n">
        <v>464379</v>
      </c>
      <c r="D2470" s="0" t="s">
        <v>10616</v>
      </c>
      <c r="E2470" s="0" t="s">
        <v>2935</v>
      </c>
      <c r="F2470" s="0" t="str">
        <f aca="false">CONCATENATE(D2470," ",LEFT(H2470,4),"T=",AU2470,"D=",AV2470,"R=",AW2470,"M=",AX2470,"L=",AY2470,"B=",AZ2470)</f>
        <v>BURD T=2D=0R=0M=0L=3B=0</v>
      </c>
      <c r="G2470" s="0" t="s">
        <v>10622</v>
      </c>
      <c r="I2470" s="0" t="s">
        <v>10623</v>
      </c>
      <c r="J2470" s="0" t="s">
        <v>6158</v>
      </c>
      <c r="K2470" s="0" t="s">
        <v>160</v>
      </c>
      <c r="M2470" s="0" t="s">
        <v>10614</v>
      </c>
      <c r="N2470" s="0" t="str">
        <f aca="false">RIGHT(M2470,LEN(M2470)-FIND(" ",M2470))</f>
        <v>WOODBINE AVE SE</v>
      </c>
      <c r="P2470" s="0" t="s">
        <v>145</v>
      </c>
      <c r="Q2470" s="0" t="s">
        <v>146</v>
      </c>
      <c r="R2470" s="0" t="n">
        <v>44483</v>
      </c>
      <c r="AD2470" s="0" t="s">
        <v>147</v>
      </c>
      <c r="AE2470" s="0" t="s">
        <v>148</v>
      </c>
      <c r="AF2470" s="0" t="s">
        <v>149</v>
      </c>
      <c r="AH2470" s="0" t="n">
        <v>14</v>
      </c>
      <c r="AI2470" s="0" t="n">
        <v>11</v>
      </c>
      <c r="AN2470" s="0" t="s">
        <v>145</v>
      </c>
      <c r="AO2470" s="0" t="s">
        <v>150</v>
      </c>
      <c r="AP2470" s="0" t="s">
        <v>151</v>
      </c>
      <c r="AQ2470" s="0" t="n">
        <v>9</v>
      </c>
      <c r="AR2470" s="0" t="n">
        <v>64</v>
      </c>
      <c r="AS2470" s="0" t="n">
        <v>32</v>
      </c>
      <c r="AU2470" s="0" t="n">
        <f aca="false">COUNTA($BA$1038:$EH$1038)</f>
        <v>2</v>
      </c>
      <c r="AV2470" s="0" t="n">
        <f aca="false">COUNTIF($BA$1038:$EH$1038,"D")</f>
        <v>0</v>
      </c>
      <c r="AW2470" s="0" t="n">
        <f aca="false">COUNTIF($BA$1038:$EH$1038,"R")</f>
        <v>0</v>
      </c>
      <c r="AX2470" s="0" t="n">
        <f aca="false">IF(BN2470="D",1,0)+IF(BO2470="D",1,0)+IF(BT2470="D",1,0)+IF(BU2470="D",1,0)+IF(BW2470="D",1,0)+IF(CC2470="D",1,0)+IF(CD2470="D",1,0)+IF(CE2470="D",1,0)+IF(CF2470="D",1,0)+IF(CL2470="D",1,0)+IF(CM2470="D",1,0)+IF(CQ2470="D",1,0)+IF(CR2470="D",1,0)+IF(CS2470="D",1,0)+IF(CW2470="D",1,0)+IF(CX2470="D",1,0)+IF(DD2470="D",1,0)+IF(DE2470="D",1,0)+IF(DJ2470="D",1,0)+IF(DK2470="D",1,0)+IF(DO2470="D",1,0)+IF(DP2470="D",1,0)+IF(DQ2470="D",1,0)+IF(DW2470="D",1,0)+IF(DZ2470="D",1,0)+IF(EH2470="D",1,0)</f>
        <v>0</v>
      </c>
      <c r="AY2470" s="0" t="n">
        <f aca="false">COUNTIF(DU2470:EH2470, "&lt;&gt;")</f>
        <v>3</v>
      </c>
      <c r="AZ2470" s="0" t="n">
        <f aca="false">IF(EH2470&lt;&gt;"",1,0)</f>
        <v>0</v>
      </c>
      <c r="BB2470" s="0" t="s">
        <v>152</v>
      </c>
      <c r="DU2470" s="0" t="s">
        <v>153</v>
      </c>
      <c r="DX2470" s="0" t="s">
        <v>153</v>
      </c>
      <c r="EF2470" s="0" t="s">
        <v>153</v>
      </c>
    </row>
    <row r="2471" customFormat="false" ht="13.8" hidden="false" customHeight="false" outlineLevel="0" collapsed="false">
      <c r="A2471" s="0" t="s">
        <v>10624</v>
      </c>
      <c r="B2471" s="0" t="n">
        <v>78</v>
      </c>
      <c r="C2471" s="0" t="n">
        <v>449136</v>
      </c>
      <c r="D2471" s="0" t="s">
        <v>10625</v>
      </c>
      <c r="E2471" s="0" t="s">
        <v>140</v>
      </c>
      <c r="F2471" s="0" t="str">
        <f aca="false">CONCATENATE(D2471," ",LEFT(H2471,4),"T=",AU2471,"D=",AV2471,"R=",AW2471,"M=",AX2471,"L=",AY2471,"B=",AZ2471)</f>
        <v>WESTHEAD T=7D=1R=0M=0L=4B=0</v>
      </c>
      <c r="G2471" s="0" t="s">
        <v>890</v>
      </c>
      <c r="I2471" s="0" t="s">
        <v>10626</v>
      </c>
      <c r="J2471" s="0" t="s">
        <v>1005</v>
      </c>
      <c r="K2471" s="0" t="s">
        <v>160</v>
      </c>
      <c r="M2471" s="0" t="s">
        <v>10627</v>
      </c>
      <c r="N2471" s="0" t="str">
        <f aca="false">RIGHT(M2471,LEN(M2471)-FIND(" ",M2471))</f>
        <v>WOODBINE AVE SE</v>
      </c>
      <c r="P2471" s="0" t="s">
        <v>145</v>
      </c>
      <c r="Q2471" s="0" t="s">
        <v>146</v>
      </c>
      <c r="R2471" s="0" t="n">
        <v>44483</v>
      </c>
      <c r="AD2471" s="0" t="s">
        <v>147</v>
      </c>
      <c r="AE2471" s="0" t="s">
        <v>148</v>
      </c>
      <c r="AF2471" s="0" t="s">
        <v>149</v>
      </c>
      <c r="AH2471" s="0" t="n">
        <v>14</v>
      </c>
      <c r="AI2471" s="0" t="n">
        <v>11</v>
      </c>
      <c r="AN2471" s="0" t="s">
        <v>145</v>
      </c>
      <c r="AO2471" s="0" t="s">
        <v>150</v>
      </c>
      <c r="AP2471" s="0" t="s">
        <v>151</v>
      </c>
      <c r="AQ2471" s="0" t="n">
        <v>9</v>
      </c>
      <c r="AR2471" s="0" t="n">
        <v>64</v>
      </c>
      <c r="AS2471" s="0" t="n">
        <v>32</v>
      </c>
      <c r="AU2471" s="0" t="n">
        <f aca="false">COUNTA($BA$253:$EH$253)</f>
        <v>7</v>
      </c>
      <c r="AV2471" s="0" t="n">
        <f aca="false">COUNTIF($BA$253:$EH$253,"D")</f>
        <v>1</v>
      </c>
      <c r="AW2471" s="0" t="n">
        <f aca="false">COUNTIF($BA$253:$EH$253,"R")</f>
        <v>0</v>
      </c>
      <c r="AX2471" s="0" t="n">
        <f aca="false">IF(BN2471="D",1,0)+IF(BO2471="D",1,0)+IF(BT2471="D",1,0)+IF(BU2471="D",1,0)+IF(BW2471="D",1,0)+IF(CC2471="D",1,0)+IF(CD2471="D",1,0)+IF(CE2471="D",1,0)+IF(CF2471="D",1,0)+IF(CL2471="D",1,0)+IF(CM2471="D",1,0)+IF(CQ2471="D",1,0)+IF(CR2471="D",1,0)+IF(CS2471="D",1,0)+IF(CW2471="D",1,0)+IF(CX2471="D",1,0)+IF(DD2471="D",1,0)+IF(DE2471="D",1,0)+IF(DJ2471="D",1,0)+IF(DK2471="D",1,0)+IF(DO2471="D",1,0)+IF(DP2471="D",1,0)+IF(DQ2471="D",1,0)+IF(DW2471="D",1,0)+IF(DZ2471="D",1,0)+IF(EH2471="D",1,0)</f>
        <v>0</v>
      </c>
      <c r="AY2471" s="0" t="n">
        <f aca="false">COUNTIF(DU2471:EH2471, "&lt;&gt;")</f>
        <v>4</v>
      </c>
      <c r="AZ2471" s="0" t="n">
        <f aca="false">IF(EH2471&lt;&gt;"",1,0)</f>
        <v>0</v>
      </c>
      <c r="BB2471" s="0" t="s">
        <v>152</v>
      </c>
      <c r="CA2471" s="0" t="s">
        <v>153</v>
      </c>
      <c r="CP2471" s="0" t="s">
        <v>153</v>
      </c>
      <c r="CZ2471" s="0" t="s">
        <v>175</v>
      </c>
      <c r="DC2471" s="0" t="s">
        <v>153</v>
      </c>
      <c r="DN2471" s="0" t="s">
        <v>153</v>
      </c>
      <c r="DU2471" s="0" t="s">
        <v>153</v>
      </c>
      <c r="DX2471" s="0" t="s">
        <v>153</v>
      </c>
      <c r="EA2471" s="0" t="s">
        <v>153</v>
      </c>
      <c r="EF2471" s="0" t="s">
        <v>153</v>
      </c>
    </row>
    <row r="2472" customFormat="false" ht="13.8" hidden="false" customHeight="false" outlineLevel="0" collapsed="false">
      <c r="A2472" s="0" t="s">
        <v>10628</v>
      </c>
      <c r="B2472" s="0" t="n">
        <v>78</v>
      </c>
      <c r="C2472" s="0" t="n">
        <v>447090</v>
      </c>
      <c r="D2472" s="0" t="s">
        <v>10625</v>
      </c>
      <c r="E2472" s="0" t="s">
        <v>4247</v>
      </c>
      <c r="F2472" s="0" t="str">
        <f aca="false">CONCATENATE(D2472," ",LEFT(H2472,4),"T=",AU2472,"D=",AV2472,"R=",AW2472,"M=",AX2472,"L=",AY2472,"B=",AZ2472)</f>
        <v>WESTHEAD T=1D=0R=0M=1L=6B=0</v>
      </c>
      <c r="G2472" s="0" t="s">
        <v>362</v>
      </c>
      <c r="I2472" s="0" t="s">
        <v>1553</v>
      </c>
      <c r="J2472" s="0" t="s">
        <v>10629</v>
      </c>
      <c r="K2472" s="0" t="s">
        <v>160</v>
      </c>
      <c r="L2472" s="0" t="s">
        <v>175</v>
      </c>
      <c r="M2472" s="0" t="s">
        <v>10627</v>
      </c>
      <c r="N2472" s="0" t="str">
        <f aca="false">RIGHT(M2472,LEN(M2472)-FIND(" ",M2472))</f>
        <v>WOODBINE AVE SE</v>
      </c>
      <c r="P2472" s="0" t="s">
        <v>145</v>
      </c>
      <c r="Q2472" s="0" t="s">
        <v>146</v>
      </c>
      <c r="R2472" s="0" t="n">
        <v>44483</v>
      </c>
      <c r="AD2472" s="0" t="s">
        <v>147</v>
      </c>
      <c r="AE2472" s="0" t="s">
        <v>148</v>
      </c>
      <c r="AF2472" s="0" t="s">
        <v>149</v>
      </c>
      <c r="AH2472" s="0" t="n">
        <v>14</v>
      </c>
      <c r="AI2472" s="0" t="n">
        <v>11</v>
      </c>
      <c r="AN2472" s="0" t="s">
        <v>145</v>
      </c>
      <c r="AO2472" s="0" t="s">
        <v>150</v>
      </c>
      <c r="AP2472" s="0" t="s">
        <v>151</v>
      </c>
      <c r="AQ2472" s="0" t="n">
        <v>9</v>
      </c>
      <c r="AR2472" s="0" t="n">
        <v>64</v>
      </c>
      <c r="AS2472" s="0" t="n">
        <v>32</v>
      </c>
      <c r="AU2472" s="0" t="n">
        <f aca="false">COUNTA($BA$422:$EH$422)</f>
        <v>1</v>
      </c>
      <c r="AV2472" s="0" t="n">
        <f aca="false">COUNTIF($BA$422:$EH$422,"D")</f>
        <v>0</v>
      </c>
      <c r="AW2472" s="0" t="n">
        <f aca="false">COUNTIF($BA$422:$EH$422,"R")</f>
        <v>0</v>
      </c>
      <c r="AX2472" s="0" t="n">
        <f aca="false">IF(BN2472="D",1,0)+IF(BO2472="D",1,0)+IF(BT2472="D",1,0)+IF(BU2472="D",1,0)+IF(BW2472="D",1,0)+IF(CC2472="D",1,0)+IF(CD2472="D",1,0)+IF(CE2472="D",1,0)+IF(CF2472="D",1,0)+IF(CL2472="D",1,0)+IF(CM2472="D",1,0)+IF(CQ2472="D",1,0)+IF(CR2472="D",1,0)+IF(CS2472="D",1,0)+IF(CW2472="D",1,0)+IF(CX2472="D",1,0)+IF(DD2472="D",1,0)+IF(DE2472="D",1,0)+IF(DJ2472="D",1,0)+IF(DK2472="D",1,0)+IF(DO2472="D",1,0)+IF(DP2472="D",1,0)+IF(DQ2472="D",1,0)+IF(DW2472="D",1,0)+IF(DZ2472="D",1,0)+IF(EH2472="D",1,0)</f>
        <v>1</v>
      </c>
      <c r="AY2472" s="0" t="n">
        <f aca="false">COUNTIF(DU2472:EH2472, "&lt;&gt;")</f>
        <v>6</v>
      </c>
      <c r="AZ2472" s="0" t="n">
        <f aca="false">IF(EH2472&lt;&gt;"",1,0)</f>
        <v>0</v>
      </c>
      <c r="BB2472" s="0" t="s">
        <v>152</v>
      </c>
      <c r="BS2472" s="0" t="s">
        <v>153</v>
      </c>
      <c r="BY2472" s="0" t="s">
        <v>209</v>
      </c>
      <c r="CA2472" s="0" t="s">
        <v>153</v>
      </c>
      <c r="CP2472" s="0" t="s">
        <v>153</v>
      </c>
      <c r="CZ2472" s="0" t="s">
        <v>175</v>
      </c>
      <c r="DC2472" s="0" t="s">
        <v>153</v>
      </c>
      <c r="DI2472" s="0" t="s">
        <v>153</v>
      </c>
      <c r="DN2472" s="0" t="s">
        <v>153</v>
      </c>
      <c r="DR2472" s="0" t="s">
        <v>153</v>
      </c>
      <c r="DS2472" s="0" t="s">
        <v>175</v>
      </c>
      <c r="DT2472" s="0" t="s">
        <v>175</v>
      </c>
      <c r="DU2472" s="0" t="s">
        <v>153</v>
      </c>
      <c r="DW2472" s="0" t="s">
        <v>175</v>
      </c>
      <c r="DX2472" s="0" t="s">
        <v>153</v>
      </c>
      <c r="EA2472" s="0" t="s">
        <v>153</v>
      </c>
      <c r="ED2472" s="0" t="s">
        <v>175</v>
      </c>
      <c r="EF2472" s="0" t="s">
        <v>153</v>
      </c>
    </row>
    <row r="2473" customFormat="false" ht="13.8" hidden="false" customHeight="false" outlineLevel="0" collapsed="false">
      <c r="A2473" s="0" t="s">
        <v>10630</v>
      </c>
      <c r="B2473" s="0" t="n">
        <v>78</v>
      </c>
      <c r="C2473" s="0" t="n">
        <v>460959</v>
      </c>
      <c r="D2473" s="0" t="s">
        <v>10631</v>
      </c>
      <c r="E2473" s="0" t="s">
        <v>1243</v>
      </c>
      <c r="F2473" s="0" t="str">
        <f aca="false">CONCATENATE(D2473," ",LEFT(H2473,4),"T=",AU2473,"D=",AV2473,"R=",AW2473,"M=",AX2473,"L=",AY2473,"B=",AZ2473)</f>
        <v>MINNICK T=1D=0R=0M=0L=3B=0</v>
      </c>
      <c r="G2473" s="0" t="s">
        <v>224</v>
      </c>
      <c r="I2473" s="0" t="s">
        <v>10632</v>
      </c>
      <c r="J2473" s="0" t="s">
        <v>9288</v>
      </c>
      <c r="K2473" s="0" t="s">
        <v>160</v>
      </c>
      <c r="M2473" s="0" t="s">
        <v>10633</v>
      </c>
      <c r="N2473" s="0" t="str">
        <f aca="false">RIGHT(M2473,LEN(M2473)-FIND(" ",M2473))</f>
        <v>WOODBINE AVE SE</v>
      </c>
      <c r="P2473" s="0" t="s">
        <v>145</v>
      </c>
      <c r="Q2473" s="0" t="s">
        <v>146</v>
      </c>
      <c r="R2473" s="0" t="n">
        <v>44483</v>
      </c>
      <c r="AD2473" s="0" t="s">
        <v>147</v>
      </c>
      <c r="AE2473" s="0" t="s">
        <v>148</v>
      </c>
      <c r="AF2473" s="0" t="s">
        <v>149</v>
      </c>
      <c r="AH2473" s="0" t="n">
        <v>14</v>
      </c>
      <c r="AI2473" s="0" t="n">
        <v>11</v>
      </c>
      <c r="AN2473" s="0" t="s">
        <v>145</v>
      </c>
      <c r="AO2473" s="0" t="s">
        <v>150</v>
      </c>
      <c r="AP2473" s="0" t="s">
        <v>151</v>
      </c>
      <c r="AQ2473" s="0" t="n">
        <v>9</v>
      </c>
      <c r="AR2473" s="0" t="n">
        <v>64</v>
      </c>
      <c r="AS2473" s="0" t="n">
        <v>32</v>
      </c>
      <c r="AU2473" s="0" t="n">
        <f aca="false">COUNTA($BA$637:$EH$637)</f>
        <v>1</v>
      </c>
      <c r="AV2473" s="0" t="n">
        <f aca="false">COUNTIF($BA$637:$EH$637,"D")</f>
        <v>0</v>
      </c>
      <c r="AW2473" s="0" t="n">
        <f aca="false">COUNTIF($BA$637:$EH$637,"R")</f>
        <v>0</v>
      </c>
      <c r="AX2473" s="0" t="n">
        <f aca="false">IF(BN2473="D",1,0)+IF(BO2473="D",1,0)+IF(BT2473="D",1,0)+IF(BU2473="D",1,0)+IF(BW2473="D",1,0)+IF(CC2473="D",1,0)+IF(CD2473="D",1,0)+IF(CE2473="D",1,0)+IF(CF2473="D",1,0)+IF(CL2473="D",1,0)+IF(CM2473="D",1,0)+IF(CQ2473="D",1,0)+IF(CR2473="D",1,0)+IF(CS2473="D",1,0)+IF(CW2473="D",1,0)+IF(CX2473="D",1,0)+IF(DD2473="D",1,0)+IF(DE2473="D",1,0)+IF(DJ2473="D",1,0)+IF(DK2473="D",1,0)+IF(DO2473="D",1,0)+IF(DP2473="D",1,0)+IF(DQ2473="D",1,0)+IF(DW2473="D",1,0)+IF(DZ2473="D",1,0)+IF(EH2473="D",1,0)</f>
        <v>0</v>
      </c>
      <c r="AY2473" s="0" t="n">
        <f aca="false">COUNTIF(DU2473:EH2473, "&lt;&gt;")</f>
        <v>3</v>
      </c>
      <c r="AZ2473" s="0" t="n">
        <f aca="false">IF(EH2473&lt;&gt;"",1,0)</f>
        <v>0</v>
      </c>
      <c r="BB2473" s="0" t="s">
        <v>152</v>
      </c>
      <c r="DU2473" s="0" t="s">
        <v>153</v>
      </c>
      <c r="DX2473" s="0" t="s">
        <v>153</v>
      </c>
      <c r="EF2473" s="0" t="s">
        <v>153</v>
      </c>
    </row>
    <row r="2474" customFormat="false" ht="13.8" hidden="true" customHeight="false" outlineLevel="0" collapsed="false">
      <c r="A2474" s="0" t="s">
        <v>10634</v>
      </c>
      <c r="B2474" s="0" t="n">
        <v>78</v>
      </c>
      <c r="C2474" s="0" t="n">
        <v>406513</v>
      </c>
      <c r="D2474" s="0" t="s">
        <v>10635</v>
      </c>
      <c r="E2474" s="0" t="s">
        <v>324</v>
      </c>
      <c r="F2474" s="0" t="str">
        <f aca="false">CONCATENATE(D2474," ",LEFT(H2474,4),"T=",AU2474,"D=",AV2474,"R=",AW2474,"M=",AX2474,"L=",AY2474,"B=",AZ2474)</f>
        <v>SCHEIDEGGER T=12D=1R=0M=0L=1B=0</v>
      </c>
      <c r="G2474" s="0" t="s">
        <v>209</v>
      </c>
      <c r="I2474" s="0" t="s">
        <v>10636</v>
      </c>
      <c r="J2474" s="0" t="s">
        <v>7098</v>
      </c>
      <c r="K2474" s="0" t="s">
        <v>160</v>
      </c>
      <c r="M2474" s="0" t="s">
        <v>10637</v>
      </c>
      <c r="N2474" s="0" t="str">
        <f aca="false">RIGHT(M2474,LEN(M2474)-FIND(" ",M2474))</f>
        <v>WOODBINE AVE SE</v>
      </c>
      <c r="P2474" s="0" t="s">
        <v>145</v>
      </c>
      <c r="Q2474" s="0" t="s">
        <v>146</v>
      </c>
      <c r="R2474" s="0" t="n">
        <v>44483</v>
      </c>
      <c r="AD2474" s="0" t="s">
        <v>147</v>
      </c>
      <c r="AE2474" s="0" t="s">
        <v>148</v>
      </c>
      <c r="AF2474" s="0" t="s">
        <v>149</v>
      </c>
      <c r="AH2474" s="0" t="n">
        <v>14</v>
      </c>
      <c r="AI2474" s="0" t="n">
        <v>11</v>
      </c>
      <c r="AN2474" s="0" t="s">
        <v>145</v>
      </c>
      <c r="AO2474" s="0" t="s">
        <v>150</v>
      </c>
      <c r="AP2474" s="0" t="s">
        <v>151</v>
      </c>
      <c r="AQ2474" s="0" t="n">
        <v>9</v>
      </c>
      <c r="AR2474" s="0" t="n">
        <v>64</v>
      </c>
      <c r="AS2474" s="0" t="n">
        <v>32</v>
      </c>
      <c r="AU2474" s="0" t="n">
        <f aca="false">COUNTA($BA$234:$EH$234)</f>
        <v>12</v>
      </c>
      <c r="AV2474" s="0" t="n">
        <f aca="false">COUNTIF($BA$234:$EH$234,"D")</f>
        <v>1</v>
      </c>
      <c r="AW2474" s="0" t="n">
        <f aca="false">COUNTIF($BA$234:$EH$234,"R")</f>
        <v>0</v>
      </c>
      <c r="AX2474" s="0" t="n">
        <f aca="false">IF(BN2474="D",1,0)+IF(BO2474="D",1,0)+IF(BT2474="D",1,0)+IF(BU2474="D",1,0)+IF(BW2474="D",1,0)+IF(CC2474="D",1,0)+IF(CD2474="D",1,0)+IF(CE2474="D",1,0)+IF(CF2474="D",1,0)+IF(CL2474="D",1,0)+IF(CM2474="D",1,0)+IF(CQ2474="D",1,0)+IF(CR2474="D",1,0)+IF(CS2474="D",1,0)+IF(CW2474="D",1,0)+IF(CX2474="D",1,0)+IF(DD2474="D",1,0)+IF(DE2474="D",1,0)+IF(DJ2474="D",1,0)+IF(DK2474="D",1,0)+IF(DO2474="D",1,0)+IF(DP2474="D",1,0)+IF(DQ2474="D",1,0)+IF(DW2474="D",1,0)+IF(DZ2474="D",1,0)+IF(EH2474="D",1,0)</f>
        <v>0</v>
      </c>
      <c r="AY2474" s="0" t="n">
        <f aca="false">COUNTIF(DU2474:EH2474, "&lt;&gt;")</f>
        <v>1</v>
      </c>
      <c r="AZ2474" s="0" t="n">
        <f aca="false">IF(EH2474&lt;&gt;"",1,0)</f>
        <v>0</v>
      </c>
      <c r="BB2474" s="0" t="s">
        <v>152</v>
      </c>
      <c r="CY2474" s="0" t="s">
        <v>153</v>
      </c>
      <c r="CZ2474" s="0" t="s">
        <v>175</v>
      </c>
      <c r="DC2474" s="0" t="s">
        <v>153</v>
      </c>
      <c r="DF2474" s="0" t="s">
        <v>153</v>
      </c>
      <c r="DN2474" s="0" t="s">
        <v>153</v>
      </c>
      <c r="EF2474" s="0" t="s">
        <v>153</v>
      </c>
    </row>
    <row r="2475" customFormat="false" ht="13.8" hidden="true" customHeight="false" outlineLevel="0" collapsed="false">
      <c r="A2475" s="0" t="s">
        <v>10638</v>
      </c>
      <c r="B2475" s="0" t="n">
        <v>78</v>
      </c>
      <c r="C2475" s="0" t="n">
        <v>421533</v>
      </c>
      <c r="D2475" s="0" t="s">
        <v>10635</v>
      </c>
      <c r="E2475" s="0" t="s">
        <v>1912</v>
      </c>
      <c r="F2475" s="0" t="str">
        <f aca="false">CONCATENATE(D2475," ",LEFT(H2475,4),"T=",AU2475,"D=",AV2475,"R=",AW2475,"M=",AX2475,"L=",AY2475,"B=",AZ2475)</f>
        <v>SCHEIDEGGER T=49D=16R=0M=0L=1B=0</v>
      </c>
      <c r="G2475" s="0" t="s">
        <v>175</v>
      </c>
      <c r="I2475" s="0" t="s">
        <v>10639</v>
      </c>
      <c r="J2475" s="0" t="s">
        <v>2263</v>
      </c>
      <c r="K2475" s="0" t="s">
        <v>160</v>
      </c>
      <c r="M2475" s="0" t="s">
        <v>10637</v>
      </c>
      <c r="N2475" s="0" t="str">
        <f aca="false">RIGHT(M2475,LEN(M2475)-FIND(" ",M2475))</f>
        <v>WOODBINE AVE SE</v>
      </c>
      <c r="P2475" s="0" t="s">
        <v>145</v>
      </c>
      <c r="Q2475" s="0" t="s">
        <v>146</v>
      </c>
      <c r="R2475" s="0" t="n">
        <v>44483</v>
      </c>
      <c r="AD2475" s="0" t="s">
        <v>147</v>
      </c>
      <c r="AE2475" s="0" t="s">
        <v>148</v>
      </c>
      <c r="AF2475" s="0" t="s">
        <v>149</v>
      </c>
      <c r="AH2475" s="0" t="n">
        <v>14</v>
      </c>
      <c r="AI2475" s="0" t="n">
        <v>11</v>
      </c>
      <c r="AN2475" s="0" t="s">
        <v>145</v>
      </c>
      <c r="AO2475" s="0" t="s">
        <v>150</v>
      </c>
      <c r="AP2475" s="0" t="s">
        <v>151</v>
      </c>
      <c r="AQ2475" s="0" t="n">
        <v>9</v>
      </c>
      <c r="AR2475" s="0" t="n">
        <v>64</v>
      </c>
      <c r="AS2475" s="0" t="n">
        <v>32</v>
      </c>
      <c r="AU2475" s="0" t="n">
        <f aca="false">COUNTA($BA$652:$EH$652)</f>
        <v>49</v>
      </c>
      <c r="AV2475" s="0" t="n">
        <f aca="false">COUNTIF($BA$652:$EH$652,"D")</f>
        <v>16</v>
      </c>
      <c r="AW2475" s="0" t="n">
        <f aca="false">COUNTIF($BA$652:$EH$652,"R")</f>
        <v>0</v>
      </c>
      <c r="AX2475" s="0" t="n">
        <f aca="false">IF(BN2475="D",1,0)+IF(BO2475="D",1,0)+IF(BT2475="D",1,0)+IF(BU2475="D",1,0)+IF(BW2475="D",1,0)+IF(CC2475="D",1,0)+IF(CD2475="D",1,0)+IF(CE2475="D",1,0)+IF(CF2475="D",1,0)+IF(CL2475="D",1,0)+IF(CM2475="D",1,0)+IF(CQ2475="D",1,0)+IF(CR2475="D",1,0)+IF(CS2475="D",1,0)+IF(CW2475="D",1,0)+IF(CX2475="D",1,0)+IF(DD2475="D",1,0)+IF(DE2475="D",1,0)+IF(DJ2475="D",1,0)+IF(DK2475="D",1,0)+IF(DO2475="D",1,0)+IF(DP2475="D",1,0)+IF(DQ2475="D",1,0)+IF(DW2475="D",1,0)+IF(DZ2475="D",1,0)+IF(EH2475="D",1,0)</f>
        <v>0</v>
      </c>
      <c r="AY2475" s="0" t="n">
        <f aca="false">COUNTIF(DU2475:EH2475, "&lt;&gt;")</f>
        <v>1</v>
      </c>
      <c r="AZ2475" s="0" t="n">
        <f aca="false">IF(EH2475&lt;&gt;"",1,0)</f>
        <v>0</v>
      </c>
      <c r="BB2475" s="0" t="s">
        <v>152</v>
      </c>
      <c r="DC2475" s="0" t="s">
        <v>153</v>
      </c>
      <c r="DF2475" s="0" t="s">
        <v>153</v>
      </c>
      <c r="DN2475" s="0" t="s">
        <v>153</v>
      </c>
      <c r="DU2475" s="0" t="s">
        <v>153</v>
      </c>
    </row>
    <row r="2476" customFormat="false" ht="13.8" hidden="false" customHeight="false" outlineLevel="0" collapsed="false">
      <c r="A2476" s="0" t="s">
        <v>10640</v>
      </c>
      <c r="B2476" s="0" t="n">
        <v>78</v>
      </c>
      <c r="C2476" s="0" t="n">
        <v>404223</v>
      </c>
      <c r="D2476" s="0" t="s">
        <v>10635</v>
      </c>
      <c r="E2476" s="0" t="s">
        <v>795</v>
      </c>
      <c r="F2476" s="0" t="str">
        <f aca="false">CONCATENATE(D2476," ",LEFT(H2476,4),"T=",AU2476,"D=",AV2476,"R=",AW2476,"M=",AX2476,"L=",AY2476,"B=",AZ2476)</f>
        <v>SCHEIDEGGER T=19D=0R=5M=0L=3B=0</v>
      </c>
      <c r="G2476" s="0" t="s">
        <v>10641</v>
      </c>
      <c r="I2476" s="0" t="s">
        <v>7700</v>
      </c>
      <c r="J2476" s="0" t="s">
        <v>10642</v>
      </c>
      <c r="K2476" s="0" t="s">
        <v>160</v>
      </c>
      <c r="M2476" s="0" t="s">
        <v>10637</v>
      </c>
      <c r="N2476" s="0" t="str">
        <f aca="false">RIGHT(M2476,LEN(M2476)-FIND(" ",M2476))</f>
        <v>WOODBINE AVE SE</v>
      </c>
      <c r="P2476" s="0" t="s">
        <v>145</v>
      </c>
      <c r="Q2476" s="0" t="s">
        <v>146</v>
      </c>
      <c r="R2476" s="0" t="n">
        <v>44483</v>
      </c>
      <c r="AD2476" s="0" t="s">
        <v>147</v>
      </c>
      <c r="AE2476" s="0" t="s">
        <v>148</v>
      </c>
      <c r="AF2476" s="0" t="s">
        <v>149</v>
      </c>
      <c r="AH2476" s="0" t="n">
        <v>14</v>
      </c>
      <c r="AI2476" s="0" t="n">
        <v>11</v>
      </c>
      <c r="AN2476" s="0" t="s">
        <v>145</v>
      </c>
      <c r="AO2476" s="0" t="s">
        <v>150</v>
      </c>
      <c r="AP2476" s="0" t="s">
        <v>151</v>
      </c>
      <c r="AQ2476" s="0" t="n">
        <v>9</v>
      </c>
      <c r="AR2476" s="0" t="n">
        <v>64</v>
      </c>
      <c r="AS2476" s="0" t="n">
        <v>32</v>
      </c>
      <c r="AU2476" s="0" t="n">
        <f aca="false">COUNTA($BA$720:$EH$720)</f>
        <v>19</v>
      </c>
      <c r="AV2476" s="0" t="n">
        <f aca="false">COUNTIF($BA$720:$EH$720,"D")</f>
        <v>0</v>
      </c>
      <c r="AW2476" s="0" t="n">
        <f aca="false">COUNTIF($BA$720:$EH$720,"R")</f>
        <v>5</v>
      </c>
      <c r="AX2476" s="0" t="n">
        <f aca="false">IF(BN2476="D",1,0)+IF(BO2476="D",1,0)+IF(BT2476="D",1,0)+IF(BU2476="D",1,0)+IF(BW2476="D",1,0)+IF(CC2476="D",1,0)+IF(CD2476="D",1,0)+IF(CE2476="D",1,0)+IF(CF2476="D",1,0)+IF(CL2476="D",1,0)+IF(CM2476="D",1,0)+IF(CQ2476="D",1,0)+IF(CR2476="D",1,0)+IF(CS2476="D",1,0)+IF(CW2476="D",1,0)+IF(CX2476="D",1,0)+IF(DD2476="D",1,0)+IF(DE2476="D",1,0)+IF(DJ2476="D",1,0)+IF(DK2476="D",1,0)+IF(DO2476="D",1,0)+IF(DP2476="D",1,0)+IF(DQ2476="D",1,0)+IF(DW2476="D",1,0)+IF(DZ2476="D",1,0)+IF(EH2476="D",1,0)</f>
        <v>0</v>
      </c>
      <c r="AY2476" s="0" t="n">
        <f aca="false">COUNTIF(DU2476:EH2476, "&lt;&gt;")</f>
        <v>3</v>
      </c>
      <c r="AZ2476" s="0" t="n">
        <f aca="false">IF(EH2476&lt;&gt;"",1,0)</f>
        <v>0</v>
      </c>
      <c r="BB2476" s="0" t="s">
        <v>152</v>
      </c>
      <c r="CV2476" s="0" t="s">
        <v>153</v>
      </c>
      <c r="CY2476" s="0" t="s">
        <v>153</v>
      </c>
      <c r="CZ2476" s="0" t="s">
        <v>175</v>
      </c>
      <c r="DC2476" s="0" t="s">
        <v>153</v>
      </c>
      <c r="DF2476" s="0" t="s">
        <v>153</v>
      </c>
      <c r="DI2476" s="0" t="s">
        <v>153</v>
      </c>
      <c r="DN2476" s="0" t="s">
        <v>153</v>
      </c>
      <c r="DU2476" s="0" t="s">
        <v>153</v>
      </c>
      <c r="EA2476" s="0" t="s">
        <v>153</v>
      </c>
      <c r="EF2476" s="0" t="s">
        <v>153</v>
      </c>
    </row>
    <row r="2477" customFormat="false" ht="13.8" hidden="true" customHeight="false" outlineLevel="0" collapsed="false">
      <c r="A2477" s="0" t="s">
        <v>10643</v>
      </c>
      <c r="B2477" s="0" t="n">
        <v>78</v>
      </c>
      <c r="C2477" s="0" t="n">
        <v>473608</v>
      </c>
      <c r="D2477" s="0" t="s">
        <v>3303</v>
      </c>
      <c r="E2477" s="0" t="s">
        <v>6242</v>
      </c>
      <c r="F2477" s="0" t="str">
        <f aca="false">CONCATENATE(D2477," ",LEFT(H2477,4),"T=",AU2477,"D=",AV2477,"R=",AW2477,"M=",AX2477,"L=",AY2477,"B=",AZ2477)</f>
        <v>PRISCILLA T=2D=0R=0M=0L=0B=0</v>
      </c>
      <c r="G2477" s="0" t="s">
        <v>307</v>
      </c>
      <c r="I2477" s="0" t="s">
        <v>10644</v>
      </c>
      <c r="J2477" s="0" t="s">
        <v>9938</v>
      </c>
      <c r="K2477" s="0" t="s">
        <v>160</v>
      </c>
      <c r="M2477" s="0" t="s">
        <v>10645</v>
      </c>
      <c r="N2477" s="0" t="str">
        <f aca="false">RIGHT(M2477,LEN(M2477)-FIND(" ",M2477))</f>
        <v>WOODBINE AVE SE</v>
      </c>
      <c r="P2477" s="0" t="s">
        <v>145</v>
      </c>
      <c r="Q2477" s="0" t="s">
        <v>146</v>
      </c>
      <c r="R2477" s="0" t="n">
        <v>44483</v>
      </c>
      <c r="AD2477" s="0" t="s">
        <v>147</v>
      </c>
      <c r="AE2477" s="0" t="s">
        <v>148</v>
      </c>
      <c r="AF2477" s="0" t="s">
        <v>149</v>
      </c>
      <c r="AH2477" s="0" t="n">
        <v>14</v>
      </c>
      <c r="AI2477" s="0" t="n">
        <v>11</v>
      </c>
      <c r="AN2477" s="0" t="s">
        <v>145</v>
      </c>
      <c r="AO2477" s="0" t="s">
        <v>150</v>
      </c>
      <c r="AP2477" s="0" t="s">
        <v>151</v>
      </c>
      <c r="AQ2477" s="0" t="n">
        <v>9</v>
      </c>
      <c r="AR2477" s="0" t="n">
        <v>64</v>
      </c>
      <c r="AS2477" s="0" t="n">
        <v>32</v>
      </c>
      <c r="AU2477" s="0" t="n">
        <f aca="false">COUNTA($BA$358:$EH$358)</f>
        <v>2</v>
      </c>
      <c r="AV2477" s="0" t="n">
        <f aca="false">COUNTIF($BA$358:$EH$358,"D")</f>
        <v>0</v>
      </c>
      <c r="AW2477" s="0" t="n">
        <f aca="false">COUNTIF($BA$358:$EH$358,"R")</f>
        <v>0</v>
      </c>
      <c r="AX2477" s="0" t="n">
        <f aca="false">IF(BN2477="D",1,0)+IF(BO2477="D",1,0)+IF(BT2477="D",1,0)+IF(BU2477="D",1,0)+IF(BW2477="D",1,0)+IF(CC2477="D",1,0)+IF(CD2477="D",1,0)+IF(CE2477="D",1,0)+IF(CF2477="D",1,0)+IF(CL2477="D",1,0)+IF(CM2477="D",1,0)+IF(CQ2477="D",1,0)+IF(CR2477="D",1,0)+IF(CS2477="D",1,0)+IF(CW2477="D",1,0)+IF(CX2477="D",1,0)+IF(DD2477="D",1,0)+IF(DE2477="D",1,0)+IF(DJ2477="D",1,0)+IF(DK2477="D",1,0)+IF(DO2477="D",1,0)+IF(DP2477="D",1,0)+IF(DQ2477="D",1,0)+IF(DW2477="D",1,0)+IF(DZ2477="D",1,0)+IF(EH2477="D",1,0)</f>
        <v>0</v>
      </c>
      <c r="AY2477" s="0" t="n">
        <f aca="false">COUNTIF(DU2477:EH2477, "&lt;&gt;")</f>
        <v>0</v>
      </c>
      <c r="AZ2477" s="0" t="n">
        <f aca="false">IF(EH2477&lt;&gt;"",1,0)</f>
        <v>0</v>
      </c>
      <c r="BB2477" s="0" t="s">
        <v>152</v>
      </c>
    </row>
    <row r="2478" customFormat="false" ht="13.8" hidden="true" customHeight="false" outlineLevel="0" collapsed="false">
      <c r="A2478" s="0" t="s">
        <v>10646</v>
      </c>
      <c r="B2478" s="0" t="n">
        <v>78</v>
      </c>
      <c r="C2478" s="0" t="n">
        <v>409339</v>
      </c>
      <c r="D2478" s="0" t="s">
        <v>6121</v>
      </c>
      <c r="E2478" s="0" t="s">
        <v>4308</v>
      </c>
      <c r="F2478" s="0" t="str">
        <f aca="false">CONCATENATE(D2478," ",LEFT(H2478,4),"T=",AU2478,"D=",AV2478,"R=",AW2478,"M=",AX2478,"L=",AY2478,"B=",AZ2478)</f>
        <v>BARR T=3D=0R=0M=0L=1B=0</v>
      </c>
      <c r="G2478" s="0" t="s">
        <v>175</v>
      </c>
      <c r="I2478" s="0" t="s">
        <v>10647</v>
      </c>
      <c r="J2478" s="0" t="s">
        <v>7168</v>
      </c>
      <c r="K2478" s="0" t="s">
        <v>160</v>
      </c>
      <c r="M2478" s="0" t="s">
        <v>10645</v>
      </c>
      <c r="N2478" s="0" t="str">
        <f aca="false">RIGHT(M2478,LEN(M2478)-FIND(" ",M2478))</f>
        <v>WOODBINE AVE SE</v>
      </c>
      <c r="P2478" s="0" t="s">
        <v>145</v>
      </c>
      <c r="Q2478" s="0" t="s">
        <v>146</v>
      </c>
      <c r="R2478" s="0" t="n">
        <v>44483</v>
      </c>
      <c r="AD2478" s="0" t="s">
        <v>147</v>
      </c>
      <c r="AE2478" s="0" t="s">
        <v>148</v>
      </c>
      <c r="AF2478" s="0" t="s">
        <v>149</v>
      </c>
      <c r="AH2478" s="0" t="n">
        <v>14</v>
      </c>
      <c r="AI2478" s="0" t="n">
        <v>11</v>
      </c>
      <c r="AN2478" s="0" t="s">
        <v>145</v>
      </c>
      <c r="AO2478" s="0" t="s">
        <v>150</v>
      </c>
      <c r="AP2478" s="0" t="s">
        <v>151</v>
      </c>
      <c r="AQ2478" s="0" t="n">
        <v>9</v>
      </c>
      <c r="AR2478" s="0" t="n">
        <v>64</v>
      </c>
      <c r="AS2478" s="0" t="n">
        <v>32</v>
      </c>
      <c r="AU2478" s="0" t="n">
        <f aca="false">COUNTA($BA$956:$EH$956)</f>
        <v>3</v>
      </c>
      <c r="AV2478" s="0" t="n">
        <f aca="false">COUNTIF($BA$956:$EH$956,"D")</f>
        <v>0</v>
      </c>
      <c r="AW2478" s="0" t="n">
        <f aca="false">COUNTIF($BA$956:$EH$956,"R")</f>
        <v>0</v>
      </c>
      <c r="AX2478" s="0" t="n">
        <f aca="false">IF(BN2478="D",1,0)+IF(BO2478="D",1,0)+IF(BT2478="D",1,0)+IF(BU2478="D",1,0)+IF(BW2478="D",1,0)+IF(CC2478="D",1,0)+IF(CD2478="D",1,0)+IF(CE2478="D",1,0)+IF(CF2478="D",1,0)+IF(CL2478="D",1,0)+IF(CM2478="D",1,0)+IF(CQ2478="D",1,0)+IF(CR2478="D",1,0)+IF(CS2478="D",1,0)+IF(CW2478="D",1,0)+IF(CX2478="D",1,0)+IF(DD2478="D",1,0)+IF(DE2478="D",1,0)+IF(DJ2478="D",1,0)+IF(DK2478="D",1,0)+IF(DO2478="D",1,0)+IF(DP2478="D",1,0)+IF(DQ2478="D",1,0)+IF(DW2478="D",1,0)+IF(DZ2478="D",1,0)+IF(EH2478="D",1,0)</f>
        <v>0</v>
      </c>
      <c r="AY2478" s="0" t="n">
        <f aca="false">COUNTIF(DU2478:EH2478, "&lt;&gt;")</f>
        <v>1</v>
      </c>
      <c r="AZ2478" s="0" t="n">
        <f aca="false">IF(EH2478&lt;&gt;"",1,0)</f>
        <v>0</v>
      </c>
      <c r="BB2478" s="0" t="s">
        <v>152</v>
      </c>
      <c r="EF2478" s="0" t="s">
        <v>153</v>
      </c>
    </row>
    <row r="2479" customFormat="false" ht="13.8" hidden="true" customHeight="false" outlineLevel="0" collapsed="false">
      <c r="A2479" s="0" t="s">
        <v>10648</v>
      </c>
      <c r="B2479" s="0" t="n">
        <v>78</v>
      </c>
      <c r="C2479" s="0" t="n">
        <v>455171</v>
      </c>
      <c r="D2479" s="0" t="s">
        <v>10649</v>
      </c>
      <c r="E2479" s="0" t="s">
        <v>849</v>
      </c>
      <c r="F2479" s="0" t="str">
        <f aca="false">CONCATENATE(D2479," ",LEFT(H2479,4),"T=",AU2479,"D=",AV2479,"R=",AW2479,"M=",AX2479,"L=",AY2479,"B=",AZ2479)</f>
        <v>GUNTHER T=27D=7R=0M=0L=0B=0</v>
      </c>
      <c r="G2479" s="0" t="s">
        <v>164</v>
      </c>
      <c r="I2479" s="0" t="s">
        <v>10650</v>
      </c>
      <c r="J2479" s="0" t="s">
        <v>159</v>
      </c>
      <c r="K2479" s="0" t="s">
        <v>143</v>
      </c>
      <c r="M2479" s="0" t="s">
        <v>10651</v>
      </c>
      <c r="N2479" s="0" t="str">
        <f aca="false">RIGHT(M2479,LEN(M2479)-FIND(" ",M2479))</f>
        <v>WOODBINE AVE SE</v>
      </c>
      <c r="P2479" s="0" t="s">
        <v>145</v>
      </c>
      <c r="Q2479" s="0" t="s">
        <v>146</v>
      </c>
      <c r="R2479" s="0" t="n">
        <v>44483</v>
      </c>
      <c r="AD2479" s="0" t="s">
        <v>147</v>
      </c>
      <c r="AE2479" s="0" t="s">
        <v>148</v>
      </c>
      <c r="AF2479" s="0" t="s">
        <v>149</v>
      </c>
      <c r="AH2479" s="0" t="n">
        <v>14</v>
      </c>
      <c r="AI2479" s="0" t="n">
        <v>11</v>
      </c>
      <c r="AN2479" s="0" t="s">
        <v>145</v>
      </c>
      <c r="AO2479" s="0" t="s">
        <v>150</v>
      </c>
      <c r="AP2479" s="0" t="s">
        <v>151</v>
      </c>
      <c r="AQ2479" s="0" t="n">
        <v>9</v>
      </c>
      <c r="AR2479" s="0" t="n">
        <v>64</v>
      </c>
      <c r="AS2479" s="0" t="n">
        <v>32</v>
      </c>
      <c r="AU2479" s="0" t="n">
        <f aca="false">COUNTA($BA$620:$EH$620)</f>
        <v>27</v>
      </c>
      <c r="AV2479" s="0" t="n">
        <f aca="false">COUNTIF($BA$620:$EH$620,"D")</f>
        <v>7</v>
      </c>
      <c r="AW2479" s="0" t="n">
        <f aca="false">COUNTIF($BA$620:$EH$620,"R")</f>
        <v>0</v>
      </c>
      <c r="AX2479" s="0" t="n">
        <f aca="false">IF(BN2479="D",1,0)+IF(BO2479="D",1,0)+IF(BT2479="D",1,0)+IF(BU2479="D",1,0)+IF(BW2479="D",1,0)+IF(CC2479="D",1,0)+IF(CD2479="D",1,0)+IF(CE2479="D",1,0)+IF(CF2479="D",1,0)+IF(CL2479="D",1,0)+IF(CM2479="D",1,0)+IF(CQ2479="D",1,0)+IF(CR2479="D",1,0)+IF(CS2479="D",1,0)+IF(CW2479="D",1,0)+IF(CX2479="D",1,0)+IF(DD2479="D",1,0)+IF(DE2479="D",1,0)+IF(DJ2479="D",1,0)+IF(DK2479="D",1,0)+IF(DO2479="D",1,0)+IF(DP2479="D",1,0)+IF(DQ2479="D",1,0)+IF(DW2479="D",1,0)+IF(DZ2479="D",1,0)+IF(EH2479="D",1,0)</f>
        <v>0</v>
      </c>
      <c r="AY2479" s="0" t="n">
        <f aca="false">COUNTIF(DU2479:EH2479, "&lt;&gt;")</f>
        <v>0</v>
      </c>
      <c r="AZ2479" s="0" t="n">
        <f aca="false">IF(EH2479&lt;&gt;"",1,0)</f>
        <v>0</v>
      </c>
      <c r="BB2479" s="0" t="s">
        <v>152</v>
      </c>
      <c r="DN2479" s="0" t="s">
        <v>153</v>
      </c>
    </row>
    <row r="2480" customFormat="false" ht="13.8" hidden="true" customHeight="false" outlineLevel="0" collapsed="false">
      <c r="A2480" s="0" t="s">
        <v>10652</v>
      </c>
      <c r="B2480" s="0" t="n">
        <v>78</v>
      </c>
      <c r="C2480" s="0" t="n">
        <v>331357</v>
      </c>
      <c r="D2480" s="0" t="s">
        <v>10649</v>
      </c>
      <c r="E2480" s="0" t="s">
        <v>8306</v>
      </c>
      <c r="F2480" s="0" t="str">
        <f aca="false">CONCATENATE(D2480," ",LEFT(H2480,4),"T=",AU2480,"D=",AV2480,"R=",AW2480,"M=",AX2480,"L=",AY2480,"B=",AZ2480)</f>
        <v>GUNTHER T=2D=0R=0M=0L=0B=0</v>
      </c>
      <c r="G2480" s="0" t="s">
        <v>164</v>
      </c>
      <c r="I2480" s="0" t="s">
        <v>10653</v>
      </c>
      <c r="J2480" s="0" t="s">
        <v>10654</v>
      </c>
      <c r="K2480" s="0" t="s">
        <v>143</v>
      </c>
      <c r="M2480" s="0" t="s">
        <v>10651</v>
      </c>
      <c r="N2480" s="0" t="str">
        <f aca="false">RIGHT(M2480,LEN(M2480)-FIND(" ",M2480))</f>
        <v>WOODBINE AVE SE</v>
      </c>
      <c r="O2480" s="0" t="s">
        <v>868</v>
      </c>
      <c r="P2480" s="0" t="s">
        <v>145</v>
      </c>
      <c r="Q2480" s="0" t="s">
        <v>146</v>
      </c>
      <c r="R2480" s="0" t="n">
        <v>44483</v>
      </c>
      <c r="AD2480" s="0" t="s">
        <v>147</v>
      </c>
      <c r="AE2480" s="0" t="s">
        <v>148</v>
      </c>
      <c r="AF2480" s="0" t="s">
        <v>149</v>
      </c>
      <c r="AH2480" s="0" t="n">
        <v>14</v>
      </c>
      <c r="AI2480" s="0" t="n">
        <v>11</v>
      </c>
      <c r="AN2480" s="0" t="s">
        <v>145</v>
      </c>
      <c r="AO2480" s="0" t="s">
        <v>150</v>
      </c>
      <c r="AP2480" s="0" t="s">
        <v>151</v>
      </c>
      <c r="AQ2480" s="0" t="n">
        <v>9</v>
      </c>
      <c r="AR2480" s="0" t="n">
        <v>64</v>
      </c>
      <c r="AS2480" s="0" t="n">
        <v>32</v>
      </c>
      <c r="AU2480" s="0" t="n">
        <f aca="false">COUNTA($BA$779:$EH$779)</f>
        <v>2</v>
      </c>
      <c r="AV2480" s="0" t="n">
        <f aca="false">COUNTIF($BA$779:$EH$779,"D")</f>
        <v>0</v>
      </c>
      <c r="AW2480" s="0" t="n">
        <f aca="false">COUNTIF($BA$779:$EH$779,"R")</f>
        <v>0</v>
      </c>
      <c r="AX2480" s="0" t="n">
        <f aca="false">IF(BN2480="D",1,0)+IF(BO2480="D",1,0)+IF(BT2480="D",1,0)+IF(BU2480="D",1,0)+IF(BW2480="D",1,0)+IF(CC2480="D",1,0)+IF(CD2480="D",1,0)+IF(CE2480="D",1,0)+IF(CF2480="D",1,0)+IF(CL2480="D",1,0)+IF(CM2480="D",1,0)+IF(CQ2480="D",1,0)+IF(CR2480="D",1,0)+IF(CS2480="D",1,0)+IF(CW2480="D",1,0)+IF(CX2480="D",1,0)+IF(DD2480="D",1,0)+IF(DE2480="D",1,0)+IF(DJ2480="D",1,0)+IF(DK2480="D",1,0)+IF(DO2480="D",1,0)+IF(DP2480="D",1,0)+IF(DQ2480="D",1,0)+IF(DW2480="D",1,0)+IF(DZ2480="D",1,0)+IF(EH2480="D",1,0)</f>
        <v>0</v>
      </c>
      <c r="AY2480" s="0" t="n">
        <f aca="false">COUNTIF(DU2480:EH2480, "&lt;&gt;")</f>
        <v>0</v>
      </c>
      <c r="AZ2480" s="0" t="n">
        <f aca="false">IF(EH2480&lt;&gt;"",1,0)</f>
        <v>0</v>
      </c>
      <c r="BB2480" s="0" t="s">
        <v>152</v>
      </c>
      <c r="CA2480" s="0" t="s">
        <v>153</v>
      </c>
    </row>
    <row r="2481" customFormat="false" ht="13.8" hidden="true" customHeight="false" outlineLevel="0" collapsed="false">
      <c r="A2481" s="0" t="s">
        <v>10655</v>
      </c>
      <c r="B2481" s="0" t="n">
        <v>78</v>
      </c>
      <c r="C2481" s="0" t="n">
        <v>447019</v>
      </c>
      <c r="D2481" s="0" t="s">
        <v>10656</v>
      </c>
      <c r="E2481" s="0" t="s">
        <v>10657</v>
      </c>
      <c r="F2481" s="0" t="str">
        <f aca="false">CONCATENATE(D2481," ",LEFT(H2481,4),"T=",AU2481,"D=",AV2481,"R=",AW2481,"M=",AX2481,"L=",AY2481,"B=",AZ2481)</f>
        <v>CORAM T=29D=5R=2M=0L=1B=0</v>
      </c>
      <c r="G2481" s="0" t="s">
        <v>10658</v>
      </c>
      <c r="I2481" s="0" t="s">
        <v>10572</v>
      </c>
      <c r="J2481" s="0" t="s">
        <v>10659</v>
      </c>
      <c r="K2481" s="0" t="s">
        <v>160</v>
      </c>
      <c r="M2481" s="0" t="s">
        <v>10660</v>
      </c>
      <c r="N2481" s="0" t="str">
        <f aca="false">RIGHT(M2481,LEN(M2481)-FIND(" ",M2481))</f>
        <v>WOODBINE AVE SE</v>
      </c>
      <c r="P2481" s="0" t="s">
        <v>145</v>
      </c>
      <c r="Q2481" s="0" t="s">
        <v>146</v>
      </c>
      <c r="R2481" s="0" t="n">
        <v>44483</v>
      </c>
      <c r="AD2481" s="0" t="s">
        <v>147</v>
      </c>
      <c r="AE2481" s="0" t="s">
        <v>148</v>
      </c>
      <c r="AF2481" s="0" t="s">
        <v>149</v>
      </c>
      <c r="AH2481" s="0" t="n">
        <v>14</v>
      </c>
      <c r="AI2481" s="0" t="n">
        <v>11</v>
      </c>
      <c r="AN2481" s="0" t="s">
        <v>145</v>
      </c>
      <c r="AO2481" s="0" t="s">
        <v>150</v>
      </c>
      <c r="AP2481" s="0" t="s">
        <v>151</v>
      </c>
      <c r="AQ2481" s="0" t="n">
        <v>9</v>
      </c>
      <c r="AR2481" s="0" t="n">
        <v>64</v>
      </c>
      <c r="AS2481" s="0" t="n">
        <v>32</v>
      </c>
      <c r="AU2481" s="0" t="n">
        <f aca="false">COUNTA($BA$378:$EH$378)</f>
        <v>29</v>
      </c>
      <c r="AV2481" s="0" t="n">
        <f aca="false">COUNTIF($BA$378:$EH$378,"D")</f>
        <v>5</v>
      </c>
      <c r="AW2481" s="0" t="n">
        <f aca="false">COUNTIF($BA$378:$EH$378,"R")</f>
        <v>2</v>
      </c>
      <c r="AX2481" s="0" t="n">
        <f aca="false">IF(BN2481="D",1,0)+IF(BO2481="D",1,0)+IF(BT2481="D",1,0)+IF(BU2481="D",1,0)+IF(BW2481="D",1,0)+IF(CC2481="D",1,0)+IF(CD2481="D",1,0)+IF(CE2481="D",1,0)+IF(CF2481="D",1,0)+IF(CL2481="D",1,0)+IF(CM2481="D",1,0)+IF(CQ2481="D",1,0)+IF(CR2481="D",1,0)+IF(CS2481="D",1,0)+IF(CW2481="D",1,0)+IF(CX2481="D",1,0)+IF(DD2481="D",1,0)+IF(DE2481="D",1,0)+IF(DJ2481="D",1,0)+IF(DK2481="D",1,0)+IF(DO2481="D",1,0)+IF(DP2481="D",1,0)+IF(DQ2481="D",1,0)+IF(DW2481="D",1,0)+IF(DZ2481="D",1,0)+IF(EH2481="D",1,0)</f>
        <v>0</v>
      </c>
      <c r="AY2481" s="0" t="n">
        <f aca="false">COUNTIF(DU2481:EH2481, "&lt;&gt;")</f>
        <v>1</v>
      </c>
      <c r="AZ2481" s="0" t="n">
        <f aca="false">IF(EH2481&lt;&gt;"",1,0)</f>
        <v>0</v>
      </c>
      <c r="BB2481" s="0" t="s">
        <v>152</v>
      </c>
      <c r="EF2481" s="0" t="s">
        <v>153</v>
      </c>
    </row>
    <row r="2482" customFormat="false" ht="13.8" hidden="true" customHeight="false" outlineLevel="0" collapsed="false">
      <c r="A2482" s="0" t="s">
        <v>10661</v>
      </c>
      <c r="B2482" s="0" t="n">
        <v>78</v>
      </c>
      <c r="C2482" s="0" t="n">
        <v>457940</v>
      </c>
      <c r="D2482" s="0" t="s">
        <v>10656</v>
      </c>
      <c r="E2482" s="0" t="s">
        <v>991</v>
      </c>
      <c r="F2482" s="0" t="str">
        <f aca="false">CONCATENATE(D2482," ",LEFT(H2482,4),"T=",AU2482,"D=",AV2482,"R=",AW2482,"M=",AX2482,"L=",AY2482,"B=",AZ2482)</f>
        <v>CORAM T=9D=2R=0M=0L=0B=0</v>
      </c>
      <c r="G2482" s="0" t="s">
        <v>10662</v>
      </c>
      <c r="I2482" s="0" t="s">
        <v>10572</v>
      </c>
      <c r="J2482" s="0" t="s">
        <v>10663</v>
      </c>
      <c r="K2482" s="0" t="s">
        <v>143</v>
      </c>
      <c r="M2482" s="0" t="s">
        <v>10660</v>
      </c>
      <c r="N2482" s="0" t="str">
        <f aca="false">RIGHT(M2482,LEN(M2482)-FIND(" ",M2482))</f>
        <v>WOODBINE AVE SE</v>
      </c>
      <c r="P2482" s="0" t="s">
        <v>145</v>
      </c>
      <c r="Q2482" s="0" t="s">
        <v>146</v>
      </c>
      <c r="R2482" s="0" t="n">
        <v>44483</v>
      </c>
      <c r="AD2482" s="0" t="s">
        <v>147</v>
      </c>
      <c r="AE2482" s="0" t="s">
        <v>148</v>
      </c>
      <c r="AF2482" s="0" t="s">
        <v>149</v>
      </c>
      <c r="AH2482" s="0" t="n">
        <v>14</v>
      </c>
      <c r="AI2482" s="0" t="n">
        <v>11</v>
      </c>
      <c r="AN2482" s="0" t="s">
        <v>145</v>
      </c>
      <c r="AO2482" s="0" t="s">
        <v>150</v>
      </c>
      <c r="AP2482" s="0" t="s">
        <v>151</v>
      </c>
      <c r="AQ2482" s="0" t="n">
        <v>9</v>
      </c>
      <c r="AR2482" s="0" t="n">
        <v>64</v>
      </c>
      <c r="AS2482" s="0" t="n">
        <v>32</v>
      </c>
      <c r="AU2482" s="0" t="n">
        <f aca="false">COUNTA($BA$549:$EH$549)</f>
        <v>9</v>
      </c>
      <c r="AV2482" s="0" t="n">
        <f aca="false">COUNTIF($BA$549:$EH$549,"D")</f>
        <v>2</v>
      </c>
      <c r="AW2482" s="0" t="n">
        <f aca="false">COUNTIF($BA$549:$EH$549,"R")</f>
        <v>0</v>
      </c>
      <c r="AX2482" s="0" t="n">
        <f aca="false">IF(BN2482="D",1,0)+IF(BO2482="D",1,0)+IF(BT2482="D",1,0)+IF(BU2482="D",1,0)+IF(BW2482="D",1,0)+IF(CC2482="D",1,0)+IF(CD2482="D",1,0)+IF(CE2482="D",1,0)+IF(CF2482="D",1,0)+IF(CL2482="D",1,0)+IF(CM2482="D",1,0)+IF(CQ2482="D",1,0)+IF(CR2482="D",1,0)+IF(CS2482="D",1,0)+IF(CW2482="D",1,0)+IF(CX2482="D",1,0)+IF(DD2482="D",1,0)+IF(DE2482="D",1,0)+IF(DJ2482="D",1,0)+IF(DK2482="D",1,0)+IF(DO2482="D",1,0)+IF(DP2482="D",1,0)+IF(DQ2482="D",1,0)+IF(DW2482="D",1,0)+IF(DZ2482="D",1,0)+IF(EH2482="D",1,0)</f>
        <v>0</v>
      </c>
      <c r="AY2482" s="0" t="n">
        <f aca="false">COUNTIF(DU2482:EH2482, "&lt;&gt;")</f>
        <v>0</v>
      </c>
      <c r="AZ2482" s="0" t="n">
        <f aca="false">IF(EH2482&lt;&gt;"",1,0)</f>
        <v>0</v>
      </c>
      <c r="BB2482" s="0" t="s">
        <v>152</v>
      </c>
    </row>
    <row r="2483" customFormat="false" ht="13.8" hidden="true" customHeight="false" outlineLevel="0" collapsed="false">
      <c r="A2483" s="0" t="s">
        <v>10664</v>
      </c>
      <c r="B2483" s="0" t="n">
        <v>78</v>
      </c>
      <c r="C2483" s="0" t="n">
        <v>349394</v>
      </c>
      <c r="D2483" s="0" t="s">
        <v>10656</v>
      </c>
      <c r="E2483" s="0" t="s">
        <v>719</v>
      </c>
      <c r="F2483" s="0" t="str">
        <f aca="false">CONCATENATE(D2483," ",LEFT(H2483,4),"T=",AU2483,"D=",AV2483,"R=",AW2483,"M=",AX2483,"L=",AY2483,"B=",AZ2483)</f>
        <v>CORAM SRT=38D=9R=0M=0L=0B=0</v>
      </c>
      <c r="G2483" s="0" t="s">
        <v>2680</v>
      </c>
      <c r="H2483" s="0" t="s">
        <v>216</v>
      </c>
      <c r="I2483" s="0" t="s">
        <v>10665</v>
      </c>
      <c r="J2483" s="0" t="s">
        <v>10666</v>
      </c>
      <c r="K2483" s="0" t="s">
        <v>143</v>
      </c>
      <c r="M2483" s="0" t="s">
        <v>10660</v>
      </c>
      <c r="N2483" s="0" t="str">
        <f aca="false">RIGHT(M2483,LEN(M2483)-FIND(" ",M2483))</f>
        <v>WOODBINE AVE SE</v>
      </c>
      <c r="P2483" s="0" t="s">
        <v>145</v>
      </c>
      <c r="Q2483" s="0" t="s">
        <v>146</v>
      </c>
      <c r="R2483" s="0" t="n">
        <v>44483</v>
      </c>
      <c r="AD2483" s="0" t="s">
        <v>147</v>
      </c>
      <c r="AE2483" s="0" t="s">
        <v>148</v>
      </c>
      <c r="AF2483" s="0" t="s">
        <v>149</v>
      </c>
      <c r="AH2483" s="0" t="n">
        <v>14</v>
      </c>
      <c r="AI2483" s="0" t="n">
        <v>11</v>
      </c>
      <c r="AN2483" s="0" t="s">
        <v>145</v>
      </c>
      <c r="AO2483" s="0" t="s">
        <v>150</v>
      </c>
      <c r="AP2483" s="0" t="s">
        <v>151</v>
      </c>
      <c r="AQ2483" s="0" t="n">
        <v>9</v>
      </c>
      <c r="AR2483" s="0" t="n">
        <v>64</v>
      </c>
      <c r="AS2483" s="0" t="n">
        <v>32</v>
      </c>
      <c r="AU2483" s="0" t="n">
        <f aca="false">COUNTA($BA$907:$EH$907)</f>
        <v>38</v>
      </c>
      <c r="AV2483" s="0" t="n">
        <f aca="false">COUNTIF($BA$907:$EH$907,"D")</f>
        <v>9</v>
      </c>
      <c r="AW2483" s="0" t="n">
        <f aca="false">COUNTIF($BA$907:$EH$907,"R")</f>
        <v>0</v>
      </c>
      <c r="AX2483" s="0" t="n">
        <f aca="false">IF(BN2483="D",1,0)+IF(BO2483="D",1,0)+IF(BT2483="D",1,0)+IF(BU2483="D",1,0)+IF(BW2483="D",1,0)+IF(CC2483="D",1,0)+IF(CD2483="D",1,0)+IF(CE2483="D",1,0)+IF(CF2483="D",1,0)+IF(CL2483="D",1,0)+IF(CM2483="D",1,0)+IF(CQ2483="D",1,0)+IF(CR2483="D",1,0)+IF(CS2483="D",1,0)+IF(CW2483="D",1,0)+IF(CX2483="D",1,0)+IF(DD2483="D",1,0)+IF(DE2483="D",1,0)+IF(DJ2483="D",1,0)+IF(DK2483="D",1,0)+IF(DO2483="D",1,0)+IF(DP2483="D",1,0)+IF(DQ2483="D",1,0)+IF(DW2483="D",1,0)+IF(DZ2483="D",1,0)+IF(EH2483="D",1,0)</f>
        <v>0</v>
      </c>
      <c r="AY2483" s="0" t="n">
        <f aca="false">COUNTIF(DU2483:EH2483, "&lt;&gt;")</f>
        <v>0</v>
      </c>
      <c r="AZ2483" s="0" t="n">
        <f aca="false">IF(EH2483&lt;&gt;"",1,0)</f>
        <v>0</v>
      </c>
      <c r="BB2483" s="0" t="s">
        <v>152</v>
      </c>
      <c r="CA2483" s="0" t="s">
        <v>153</v>
      </c>
      <c r="CP2483" s="0" t="s">
        <v>153</v>
      </c>
      <c r="DC2483" s="0" t="s">
        <v>153</v>
      </c>
      <c r="DN2483" s="0" t="s">
        <v>153</v>
      </c>
    </row>
    <row r="2484" customFormat="false" ht="13.8" hidden="false" customHeight="false" outlineLevel="0" collapsed="false">
      <c r="A2484" s="0" t="s">
        <v>10667</v>
      </c>
      <c r="B2484" s="0" t="n">
        <v>78</v>
      </c>
      <c r="C2484" s="0" t="n">
        <v>418784</v>
      </c>
      <c r="D2484" s="0" t="s">
        <v>10668</v>
      </c>
      <c r="E2484" s="0" t="s">
        <v>3620</v>
      </c>
      <c r="F2484" s="0" t="str">
        <f aca="false">CONCATENATE(D2484," ",LEFT(H2484,4),"T=",AU2484,"D=",AV2484,"R=",AW2484,"M=",AX2484,"L=",AY2484,"B=",AZ2484)</f>
        <v>OKEKE T=4D=0R=0M=0L=3B=0</v>
      </c>
      <c r="G2484" s="0" t="s">
        <v>10669</v>
      </c>
      <c r="I2484" s="0" t="s">
        <v>10670</v>
      </c>
      <c r="J2484" s="0" t="s">
        <v>404</v>
      </c>
      <c r="K2484" s="0" t="s">
        <v>160</v>
      </c>
      <c r="M2484" s="0" t="s">
        <v>10671</v>
      </c>
      <c r="N2484" s="0" t="str">
        <f aca="false">RIGHT(M2484,LEN(M2484)-FIND(" ",M2484))</f>
        <v>WOODBINE AVE SE</v>
      </c>
      <c r="P2484" s="0" t="s">
        <v>145</v>
      </c>
      <c r="Q2484" s="0" t="s">
        <v>146</v>
      </c>
      <c r="R2484" s="0" t="n">
        <v>44483</v>
      </c>
      <c r="AD2484" s="0" t="s">
        <v>147</v>
      </c>
      <c r="AE2484" s="0" t="s">
        <v>148</v>
      </c>
      <c r="AF2484" s="0" t="s">
        <v>149</v>
      </c>
      <c r="AH2484" s="0" t="n">
        <v>14</v>
      </c>
      <c r="AI2484" s="0" t="n">
        <v>11</v>
      </c>
      <c r="AN2484" s="0" t="s">
        <v>145</v>
      </c>
      <c r="AO2484" s="0" t="s">
        <v>150</v>
      </c>
      <c r="AP2484" s="0" t="s">
        <v>151</v>
      </c>
      <c r="AQ2484" s="0" t="n">
        <v>9</v>
      </c>
      <c r="AR2484" s="0" t="n">
        <v>64</v>
      </c>
      <c r="AS2484" s="0" t="n">
        <v>32</v>
      </c>
      <c r="AU2484" s="0" t="n">
        <f aca="false">COUNTA($BA$758:$EH$758)</f>
        <v>4</v>
      </c>
      <c r="AV2484" s="0" t="n">
        <f aca="false">COUNTIF($BA$758:$EH$758,"D")</f>
        <v>0</v>
      </c>
      <c r="AW2484" s="0" t="n">
        <f aca="false">COUNTIF($BA$758:$EH$758,"R")</f>
        <v>0</v>
      </c>
      <c r="AX2484" s="0" t="n">
        <f aca="false">IF(BN2484="D",1,0)+IF(BO2484="D",1,0)+IF(BT2484="D",1,0)+IF(BU2484="D",1,0)+IF(BW2484="D",1,0)+IF(CC2484="D",1,0)+IF(CD2484="D",1,0)+IF(CE2484="D",1,0)+IF(CF2484="D",1,0)+IF(CL2484="D",1,0)+IF(CM2484="D",1,0)+IF(CQ2484="D",1,0)+IF(CR2484="D",1,0)+IF(CS2484="D",1,0)+IF(CW2484="D",1,0)+IF(CX2484="D",1,0)+IF(DD2484="D",1,0)+IF(DE2484="D",1,0)+IF(DJ2484="D",1,0)+IF(DK2484="D",1,0)+IF(DO2484="D",1,0)+IF(DP2484="D",1,0)+IF(DQ2484="D",1,0)+IF(DW2484="D",1,0)+IF(DZ2484="D",1,0)+IF(EH2484="D",1,0)</f>
        <v>0</v>
      </c>
      <c r="AY2484" s="0" t="n">
        <f aca="false">COUNTIF(DU2484:EH2484, "&lt;&gt;")</f>
        <v>3</v>
      </c>
      <c r="AZ2484" s="0" t="n">
        <f aca="false">IF(EH2484&lt;&gt;"",1,0)</f>
        <v>0</v>
      </c>
      <c r="BB2484" s="0" t="s">
        <v>152</v>
      </c>
      <c r="BK2484" s="0" t="s">
        <v>153</v>
      </c>
      <c r="BL2484" s="0" t="s">
        <v>153</v>
      </c>
      <c r="DC2484" s="0" t="s">
        <v>153</v>
      </c>
      <c r="DI2484" s="0" t="s">
        <v>153</v>
      </c>
      <c r="DN2484" s="0" t="s">
        <v>153</v>
      </c>
      <c r="DX2484" s="0" t="s">
        <v>153</v>
      </c>
      <c r="EA2484" s="0" t="s">
        <v>153</v>
      </c>
      <c r="EF2484" s="0" t="s">
        <v>153</v>
      </c>
    </row>
    <row r="2485" customFormat="false" ht="13.8" hidden="false" customHeight="false" outlineLevel="0" collapsed="false">
      <c r="A2485" s="0" t="s">
        <v>10672</v>
      </c>
      <c r="B2485" s="0" t="n">
        <v>78</v>
      </c>
      <c r="C2485" s="0" t="n">
        <v>298735</v>
      </c>
      <c r="D2485" s="0" t="s">
        <v>10673</v>
      </c>
      <c r="E2485" s="0" t="s">
        <v>10674</v>
      </c>
      <c r="F2485" s="0" t="str">
        <f aca="false">CONCATENATE(D2485," ",LEFT(H2485,4),"T=",AU2485,"D=",AV2485,"R=",AW2485,"M=",AX2485,"L=",AY2485,"B=",AZ2485)</f>
        <v>BIANCO T=1D=0R=0M=3L=4B=0</v>
      </c>
      <c r="G2485" s="0" t="s">
        <v>175</v>
      </c>
      <c r="I2485" s="0" t="s">
        <v>10675</v>
      </c>
      <c r="J2485" s="0" t="s">
        <v>10676</v>
      </c>
      <c r="K2485" s="0" t="s">
        <v>160</v>
      </c>
      <c r="L2485" s="0" t="s">
        <v>209</v>
      </c>
      <c r="M2485" s="0" t="s">
        <v>10677</v>
      </c>
      <c r="N2485" s="0" t="str">
        <f aca="false">RIGHT(M2485,LEN(M2485)-FIND(" ",M2485))</f>
        <v>WOODBINE AVE SE</v>
      </c>
      <c r="P2485" s="0" t="s">
        <v>145</v>
      </c>
      <c r="Q2485" s="0" t="s">
        <v>146</v>
      </c>
      <c r="R2485" s="0" t="n">
        <v>44483</v>
      </c>
      <c r="AD2485" s="0" t="s">
        <v>147</v>
      </c>
      <c r="AE2485" s="0" t="s">
        <v>148</v>
      </c>
      <c r="AF2485" s="0" t="s">
        <v>149</v>
      </c>
      <c r="AH2485" s="0" t="n">
        <v>14</v>
      </c>
      <c r="AI2485" s="0" t="n">
        <v>11</v>
      </c>
      <c r="AN2485" s="0" t="s">
        <v>145</v>
      </c>
      <c r="AO2485" s="0" t="s">
        <v>150</v>
      </c>
      <c r="AP2485" s="0" t="s">
        <v>151</v>
      </c>
      <c r="AQ2485" s="0" t="n">
        <v>9</v>
      </c>
      <c r="AR2485" s="0" t="n">
        <v>64</v>
      </c>
      <c r="AS2485" s="0" t="n">
        <v>32</v>
      </c>
      <c r="AU2485" s="0" t="n">
        <f aca="false">COUNTA($BA$7:$EH$7)</f>
        <v>1</v>
      </c>
      <c r="AV2485" s="0" t="n">
        <f aca="false">COUNTIF($BA$7:$EH$7,"D")</f>
        <v>0</v>
      </c>
      <c r="AW2485" s="0" t="n">
        <f aca="false">COUNTIF($BA$7:$EH$7,"R")</f>
        <v>0</v>
      </c>
      <c r="AX2485" s="0" t="n">
        <f aca="false">IF(BN2485="D",1,0)+IF(BO2485="D",1,0)+IF(BT2485="D",1,0)+IF(BU2485="D",1,0)+IF(BW2485="D",1,0)+IF(CC2485="D",1,0)+IF(CD2485="D",1,0)+IF(CE2485="D",1,0)+IF(CF2485="D",1,0)+IF(CL2485="D",1,0)+IF(CM2485="D",1,0)+IF(CQ2485="D",1,0)+IF(CR2485="D",1,0)+IF(CS2485="D",1,0)+IF(CW2485="D",1,0)+IF(CX2485="D",1,0)+IF(DD2485="D",1,0)+IF(DE2485="D",1,0)+IF(DJ2485="D",1,0)+IF(DK2485="D",1,0)+IF(DO2485="D",1,0)+IF(DP2485="D",1,0)+IF(DQ2485="D",1,0)+IF(DW2485="D",1,0)+IF(DZ2485="D",1,0)+IF(EH2485="D",1,0)</f>
        <v>3</v>
      </c>
      <c r="AY2485" s="0" t="n">
        <f aca="false">COUNTIF(DU2485:EH2485, "&lt;&gt;")</f>
        <v>4</v>
      </c>
      <c r="AZ2485" s="0" t="n">
        <f aca="false">IF(EH2485&lt;&gt;"",1,0)</f>
        <v>0</v>
      </c>
      <c r="BB2485" s="0" t="s">
        <v>152</v>
      </c>
      <c r="BD2485" s="0" t="s">
        <v>153</v>
      </c>
      <c r="BE2485" s="0" t="s">
        <v>153</v>
      </c>
      <c r="BG2485" s="0" t="s">
        <v>153</v>
      </c>
      <c r="BH2485" s="0" t="s">
        <v>153</v>
      </c>
      <c r="BI2485" s="0" t="s">
        <v>153</v>
      </c>
      <c r="BJ2485" s="0" t="s">
        <v>153</v>
      </c>
      <c r="BK2485" s="0" t="s">
        <v>153</v>
      </c>
      <c r="BL2485" s="0" t="s">
        <v>153</v>
      </c>
      <c r="BR2485" s="0" t="s">
        <v>153</v>
      </c>
      <c r="BS2485" s="0" t="s">
        <v>153</v>
      </c>
      <c r="BT2485" s="0" t="s">
        <v>153</v>
      </c>
      <c r="BY2485" s="0" t="s">
        <v>175</v>
      </c>
      <c r="CA2485" s="0" t="s">
        <v>153</v>
      </c>
      <c r="CG2485" s="0" t="s">
        <v>153</v>
      </c>
      <c r="CK2485" s="0" t="s">
        <v>153</v>
      </c>
      <c r="CL2485" s="0" t="s">
        <v>175</v>
      </c>
      <c r="CN2485" s="0" t="s">
        <v>153</v>
      </c>
      <c r="CP2485" s="0" t="s">
        <v>153</v>
      </c>
      <c r="CQ2485" s="0" t="s">
        <v>175</v>
      </c>
      <c r="CU2485" s="0" t="s">
        <v>175</v>
      </c>
      <c r="CV2485" s="0" t="s">
        <v>153</v>
      </c>
      <c r="CY2485" s="0" t="s">
        <v>153</v>
      </c>
      <c r="CZ2485" s="0" t="s">
        <v>175</v>
      </c>
      <c r="DC2485" s="0" t="s">
        <v>153</v>
      </c>
      <c r="DF2485" s="0" t="s">
        <v>153</v>
      </c>
      <c r="DG2485" s="0" t="s">
        <v>209</v>
      </c>
      <c r="DI2485" s="0" t="s">
        <v>153</v>
      </c>
      <c r="DJ2485" s="0" t="s">
        <v>175</v>
      </c>
      <c r="DL2485" s="0" t="s">
        <v>153</v>
      </c>
      <c r="DM2485" s="0" t="s">
        <v>209</v>
      </c>
      <c r="DN2485" s="0" t="s">
        <v>153</v>
      </c>
      <c r="DS2485" s="0" t="s">
        <v>209</v>
      </c>
      <c r="DU2485" s="0" t="s">
        <v>153</v>
      </c>
      <c r="EA2485" s="0" t="s">
        <v>153</v>
      </c>
      <c r="ED2485" s="0" t="s">
        <v>209</v>
      </c>
      <c r="EF2485" s="0" t="s">
        <v>153</v>
      </c>
    </row>
    <row r="2486" customFormat="false" ht="13.8" hidden="true" customHeight="false" outlineLevel="0" collapsed="false">
      <c r="A2486" s="0" t="s">
        <v>10678</v>
      </c>
      <c r="B2486" s="0" t="n">
        <v>78</v>
      </c>
      <c r="C2486" s="0" t="n">
        <v>461043</v>
      </c>
      <c r="D2486" s="0" t="s">
        <v>10679</v>
      </c>
      <c r="E2486" s="0" t="s">
        <v>10680</v>
      </c>
      <c r="F2486" s="0" t="str">
        <f aca="false">CONCATENATE(D2486," ",LEFT(H2486,4),"T=",AU2486,"D=",AV2486,"R=",AW2486,"M=",AX2486,"L=",AY2486,"B=",AZ2486)</f>
        <v>OSBUN T=2D=0R=0M=0L=0B=0</v>
      </c>
      <c r="G2486" s="0" t="s">
        <v>500</v>
      </c>
      <c r="I2486" s="0" t="s">
        <v>10681</v>
      </c>
      <c r="J2486" s="0" t="s">
        <v>9459</v>
      </c>
      <c r="K2486" s="0" t="s">
        <v>160</v>
      </c>
      <c r="M2486" s="0" t="s">
        <v>10682</v>
      </c>
      <c r="N2486" s="0" t="str">
        <f aca="false">RIGHT(M2486,LEN(M2486)-FIND(" ",M2486))</f>
        <v>WOODBINE AVE SE</v>
      </c>
      <c r="P2486" s="0" t="s">
        <v>145</v>
      </c>
      <c r="Q2486" s="0" t="s">
        <v>146</v>
      </c>
      <c r="R2486" s="0" t="n">
        <v>44483</v>
      </c>
      <c r="AD2486" s="0" t="s">
        <v>147</v>
      </c>
      <c r="AE2486" s="0" t="s">
        <v>148</v>
      </c>
      <c r="AF2486" s="0" t="s">
        <v>149</v>
      </c>
      <c r="AH2486" s="0" t="n">
        <v>14</v>
      </c>
      <c r="AI2486" s="0" t="n">
        <v>11</v>
      </c>
      <c r="AN2486" s="0" t="s">
        <v>145</v>
      </c>
      <c r="AO2486" s="0" t="s">
        <v>150</v>
      </c>
      <c r="AP2486" s="0" t="s">
        <v>151</v>
      </c>
      <c r="AQ2486" s="0" t="n">
        <v>9</v>
      </c>
      <c r="AR2486" s="0" t="n">
        <v>64</v>
      </c>
      <c r="AS2486" s="0" t="n">
        <v>32</v>
      </c>
      <c r="AU2486" s="0" t="n">
        <f aca="false">COUNTA($BA$974:$EH$974)</f>
        <v>2</v>
      </c>
      <c r="AV2486" s="0" t="n">
        <f aca="false">COUNTIF($BA$974:$EH$974,"D")</f>
        <v>0</v>
      </c>
      <c r="AW2486" s="0" t="n">
        <f aca="false">COUNTIF($BA$974:$EH$974,"R")</f>
        <v>0</v>
      </c>
      <c r="AX2486" s="0" t="n">
        <f aca="false">IF(BN2486="D",1,0)+IF(BO2486="D",1,0)+IF(BT2486="D",1,0)+IF(BU2486="D",1,0)+IF(BW2486="D",1,0)+IF(CC2486="D",1,0)+IF(CD2486="D",1,0)+IF(CE2486="D",1,0)+IF(CF2486="D",1,0)+IF(CL2486="D",1,0)+IF(CM2486="D",1,0)+IF(CQ2486="D",1,0)+IF(CR2486="D",1,0)+IF(CS2486="D",1,0)+IF(CW2486="D",1,0)+IF(CX2486="D",1,0)+IF(DD2486="D",1,0)+IF(DE2486="D",1,0)+IF(DJ2486="D",1,0)+IF(DK2486="D",1,0)+IF(DO2486="D",1,0)+IF(DP2486="D",1,0)+IF(DQ2486="D",1,0)+IF(DW2486="D",1,0)+IF(DZ2486="D",1,0)+IF(EH2486="D",1,0)</f>
        <v>0</v>
      </c>
      <c r="AY2486" s="0" t="n">
        <f aca="false">COUNTIF(DU2486:EH2486, "&lt;&gt;")</f>
        <v>0</v>
      </c>
      <c r="AZ2486" s="0" t="n">
        <f aca="false">IF(EH2486&lt;&gt;"",1,0)</f>
        <v>0</v>
      </c>
      <c r="BB2486" s="0" t="s">
        <v>152</v>
      </c>
    </row>
    <row r="2487" customFormat="false" ht="13.8" hidden="false" customHeight="false" outlineLevel="0" collapsed="false">
      <c r="A2487" s="0" t="s">
        <v>10683</v>
      </c>
      <c r="B2487" s="0" t="n">
        <v>78</v>
      </c>
      <c r="C2487" s="0" t="n">
        <v>12630</v>
      </c>
      <c r="D2487" s="0" t="s">
        <v>10684</v>
      </c>
      <c r="E2487" s="0" t="s">
        <v>10685</v>
      </c>
      <c r="F2487" s="0" t="str">
        <f aca="false">CONCATENATE(D2487," ",LEFT(H2487,4),"T=",AU2487,"D=",AV2487,"R=",AW2487,"M=",AX2487,"L=",AY2487,"B=",AZ2487)</f>
        <v>FERRIS T=4D=0R=0M=7L=7B=1</v>
      </c>
      <c r="G2487" s="0" t="s">
        <v>325</v>
      </c>
      <c r="I2487" s="0" t="s">
        <v>10686</v>
      </c>
      <c r="J2487" s="0" t="s">
        <v>10687</v>
      </c>
      <c r="K2487" s="0" t="s">
        <v>160</v>
      </c>
      <c r="L2487" s="0" t="s">
        <v>175</v>
      </c>
      <c r="M2487" s="0" t="s">
        <v>10688</v>
      </c>
      <c r="N2487" s="0" t="str">
        <f aca="false">RIGHT(M2487,LEN(M2487)-FIND(" ",M2487))</f>
        <v>WOODBINE AVE SE</v>
      </c>
      <c r="P2487" s="0" t="s">
        <v>145</v>
      </c>
      <c r="Q2487" s="0" t="s">
        <v>146</v>
      </c>
      <c r="R2487" s="0" t="n">
        <v>44483</v>
      </c>
      <c r="AD2487" s="0" t="s">
        <v>147</v>
      </c>
      <c r="AE2487" s="0" t="s">
        <v>148</v>
      </c>
      <c r="AF2487" s="0" t="s">
        <v>149</v>
      </c>
      <c r="AH2487" s="0" t="n">
        <v>14</v>
      </c>
      <c r="AI2487" s="0" t="n">
        <v>11</v>
      </c>
      <c r="AN2487" s="0" t="s">
        <v>145</v>
      </c>
      <c r="AO2487" s="0" t="s">
        <v>150</v>
      </c>
      <c r="AP2487" s="0" t="s">
        <v>151</v>
      </c>
      <c r="AQ2487" s="0" t="n">
        <v>9</v>
      </c>
      <c r="AR2487" s="0" t="n">
        <v>64</v>
      </c>
      <c r="AS2487" s="0" t="n">
        <v>32</v>
      </c>
      <c r="AU2487" s="0" t="n">
        <f aca="false">COUNTA($BA$199:$EH$199)</f>
        <v>4</v>
      </c>
      <c r="AV2487" s="0" t="n">
        <f aca="false">COUNTIF($BA$199:$EH$199,"D")</f>
        <v>0</v>
      </c>
      <c r="AW2487" s="0" t="n">
        <f aca="false">COUNTIF($BA$199:$EH$199,"R")</f>
        <v>0</v>
      </c>
      <c r="AX2487" s="0" t="n">
        <f aca="false">IF(BN2487="D",1,0)+IF(BO2487="D",1,0)+IF(BT2487="D",1,0)+IF(BU2487="D",1,0)+IF(BW2487="D",1,0)+IF(CC2487="D",1,0)+IF(CD2487="D",1,0)+IF(CE2487="D",1,0)+IF(CF2487="D",1,0)+IF(CL2487="D",1,0)+IF(CM2487="D",1,0)+IF(CQ2487="D",1,0)+IF(CR2487="D",1,0)+IF(CS2487="D",1,0)+IF(CW2487="D",1,0)+IF(CX2487="D",1,0)+IF(DD2487="D",1,0)+IF(DE2487="D",1,0)+IF(DJ2487="D",1,0)+IF(DK2487="D",1,0)+IF(DO2487="D",1,0)+IF(DP2487="D",1,0)+IF(DQ2487="D",1,0)+IF(DW2487="D",1,0)+IF(DZ2487="D",1,0)+IF(EH2487="D",1,0)</f>
        <v>7</v>
      </c>
      <c r="AY2487" s="0" t="n">
        <f aca="false">COUNTIF(DU2487:EH2487, "&lt;&gt;")</f>
        <v>7</v>
      </c>
      <c r="AZ2487" s="0" t="n">
        <f aca="false">IF(EH2487&lt;&gt;"",1,0)</f>
        <v>1</v>
      </c>
      <c r="BB2487" s="0" t="s">
        <v>152</v>
      </c>
      <c r="BC2487" s="0" t="s">
        <v>153</v>
      </c>
      <c r="BD2487" s="0" t="s">
        <v>153</v>
      </c>
      <c r="BE2487" s="0" t="s">
        <v>153</v>
      </c>
      <c r="BF2487" s="0" t="s">
        <v>153</v>
      </c>
      <c r="BG2487" s="0" t="s">
        <v>153</v>
      </c>
      <c r="BH2487" s="0" t="s">
        <v>153</v>
      </c>
      <c r="BI2487" s="0" t="s">
        <v>153</v>
      </c>
      <c r="BJ2487" s="0" t="s">
        <v>153</v>
      </c>
      <c r="BK2487" s="0" t="s">
        <v>153</v>
      </c>
      <c r="BL2487" s="0" t="s">
        <v>153</v>
      </c>
      <c r="BP2487" s="0" t="s">
        <v>153</v>
      </c>
      <c r="BR2487" s="0" t="s">
        <v>153</v>
      </c>
      <c r="BS2487" s="0" t="s">
        <v>153</v>
      </c>
      <c r="BT2487" s="0" t="s">
        <v>153</v>
      </c>
      <c r="BV2487" s="0" t="s">
        <v>153</v>
      </c>
      <c r="BY2487" s="0" t="s">
        <v>175</v>
      </c>
      <c r="CA2487" s="0" t="s">
        <v>153</v>
      </c>
      <c r="CC2487" s="0" t="s">
        <v>175</v>
      </c>
      <c r="CG2487" s="0" t="s">
        <v>153</v>
      </c>
      <c r="CH2487" s="0" t="s">
        <v>175</v>
      </c>
      <c r="CK2487" s="0" t="s">
        <v>153</v>
      </c>
      <c r="CL2487" s="0" t="s">
        <v>175</v>
      </c>
      <c r="CN2487" s="0" t="s">
        <v>153</v>
      </c>
      <c r="CO2487" s="0" t="s">
        <v>175</v>
      </c>
      <c r="CP2487" s="0" t="s">
        <v>153</v>
      </c>
      <c r="CQ2487" s="0" t="s">
        <v>175</v>
      </c>
      <c r="CT2487" s="0" t="s">
        <v>153</v>
      </c>
      <c r="CU2487" s="0" t="s">
        <v>175</v>
      </c>
      <c r="CV2487" s="0" t="s">
        <v>153</v>
      </c>
      <c r="CW2487" s="0" t="s">
        <v>175</v>
      </c>
      <c r="CY2487" s="0" t="s">
        <v>153</v>
      </c>
      <c r="CZ2487" s="0" t="s">
        <v>175</v>
      </c>
      <c r="DC2487" s="0" t="s">
        <v>153</v>
      </c>
      <c r="DD2487" s="0" t="s">
        <v>175</v>
      </c>
      <c r="DF2487" s="0" t="s">
        <v>153</v>
      </c>
      <c r="DG2487" s="0" t="s">
        <v>175</v>
      </c>
      <c r="DI2487" s="0" t="s">
        <v>153</v>
      </c>
      <c r="DL2487" s="0" t="s">
        <v>153</v>
      </c>
      <c r="DM2487" s="0" t="s">
        <v>175</v>
      </c>
      <c r="DN2487" s="0" t="s">
        <v>153</v>
      </c>
      <c r="DR2487" s="0" t="s">
        <v>153</v>
      </c>
      <c r="DS2487" s="0" t="s">
        <v>175</v>
      </c>
      <c r="DT2487" s="0" t="s">
        <v>175</v>
      </c>
      <c r="DU2487" s="0" t="s">
        <v>153</v>
      </c>
      <c r="DW2487" s="0" t="s">
        <v>175</v>
      </c>
      <c r="DX2487" s="0" t="s">
        <v>153</v>
      </c>
      <c r="EA2487" s="0" t="s">
        <v>153</v>
      </c>
      <c r="ED2487" s="0" t="s">
        <v>175</v>
      </c>
      <c r="EF2487" s="0" t="s">
        <v>153</v>
      </c>
      <c r="EH2487" s="0" t="s">
        <v>175</v>
      </c>
    </row>
    <row r="2488" customFormat="false" ht="13.8" hidden="false" customHeight="false" outlineLevel="0" collapsed="false">
      <c r="A2488" s="0" t="s">
        <v>10689</v>
      </c>
      <c r="B2488" s="0" t="n">
        <v>78</v>
      </c>
      <c r="C2488" s="0" t="n">
        <v>447870</v>
      </c>
      <c r="D2488" s="0" t="s">
        <v>10684</v>
      </c>
      <c r="E2488" s="0" t="s">
        <v>2282</v>
      </c>
      <c r="F2488" s="0" t="str">
        <f aca="false">CONCATENATE(D2488," ",LEFT(H2488,4),"T=",AU2488,"D=",AV2488,"R=",AW2488,"M=",AX2488,"L=",AY2488,"B=",AZ2488)</f>
        <v>FERRIS T=1D=0R=0M=2L=7B=1</v>
      </c>
      <c r="G2488" s="0" t="s">
        <v>325</v>
      </c>
      <c r="I2488" s="0" t="s">
        <v>10690</v>
      </c>
      <c r="J2488" s="0" t="s">
        <v>5395</v>
      </c>
      <c r="K2488" s="0" t="s">
        <v>160</v>
      </c>
      <c r="L2488" s="0" t="s">
        <v>175</v>
      </c>
      <c r="M2488" s="0" t="s">
        <v>10688</v>
      </c>
      <c r="N2488" s="0" t="str">
        <f aca="false">RIGHT(M2488,LEN(M2488)-FIND(" ",M2488))</f>
        <v>WOODBINE AVE SE</v>
      </c>
      <c r="P2488" s="0" t="s">
        <v>145</v>
      </c>
      <c r="Q2488" s="0" t="s">
        <v>146</v>
      </c>
      <c r="R2488" s="0" t="n">
        <v>44483</v>
      </c>
      <c r="AD2488" s="0" t="s">
        <v>147</v>
      </c>
      <c r="AE2488" s="0" t="s">
        <v>148</v>
      </c>
      <c r="AF2488" s="0" t="s">
        <v>149</v>
      </c>
      <c r="AH2488" s="0" t="n">
        <v>14</v>
      </c>
      <c r="AI2488" s="0" t="n">
        <v>11</v>
      </c>
      <c r="AN2488" s="0" t="s">
        <v>145</v>
      </c>
      <c r="AO2488" s="0" t="s">
        <v>150</v>
      </c>
      <c r="AP2488" s="0" t="s">
        <v>151</v>
      </c>
      <c r="AQ2488" s="0" t="n">
        <v>9</v>
      </c>
      <c r="AR2488" s="0" t="n">
        <v>64</v>
      </c>
      <c r="AS2488" s="0" t="n">
        <v>32</v>
      </c>
      <c r="AU2488" s="0" t="n">
        <f aca="false">COUNTA($BA$311:$EH$311)</f>
        <v>1</v>
      </c>
      <c r="AV2488" s="0" t="n">
        <f aca="false">COUNTIF($BA$311:$EH$311,"D")</f>
        <v>0</v>
      </c>
      <c r="AW2488" s="0" t="n">
        <f aca="false">COUNTIF($BA$311:$EH$311,"R")</f>
        <v>0</v>
      </c>
      <c r="AX2488" s="0" t="n">
        <f aca="false">IF(BN2488="D",1,0)+IF(BO2488="D",1,0)+IF(BT2488="D",1,0)+IF(BU2488="D",1,0)+IF(BW2488="D",1,0)+IF(CC2488="D",1,0)+IF(CD2488="D",1,0)+IF(CE2488="D",1,0)+IF(CF2488="D",1,0)+IF(CL2488="D",1,0)+IF(CM2488="D",1,0)+IF(CQ2488="D",1,0)+IF(CR2488="D",1,0)+IF(CS2488="D",1,0)+IF(CW2488="D",1,0)+IF(CX2488="D",1,0)+IF(DD2488="D",1,0)+IF(DE2488="D",1,0)+IF(DJ2488="D",1,0)+IF(DK2488="D",1,0)+IF(DO2488="D",1,0)+IF(DP2488="D",1,0)+IF(DQ2488="D",1,0)+IF(DW2488="D",1,0)+IF(DZ2488="D",1,0)+IF(EH2488="D",1,0)</f>
        <v>2</v>
      </c>
      <c r="AY2488" s="0" t="n">
        <f aca="false">COUNTIF(DU2488:EH2488, "&lt;&gt;")</f>
        <v>7</v>
      </c>
      <c r="AZ2488" s="0" t="n">
        <f aca="false">IF(EH2488&lt;&gt;"",1,0)</f>
        <v>1</v>
      </c>
      <c r="BB2488" s="0" t="s">
        <v>152</v>
      </c>
      <c r="BC2488" s="0" t="s">
        <v>153</v>
      </c>
      <c r="BD2488" s="0" t="s">
        <v>153</v>
      </c>
      <c r="BE2488" s="0" t="s">
        <v>153</v>
      </c>
      <c r="BG2488" s="0" t="s">
        <v>153</v>
      </c>
      <c r="BH2488" s="0" t="s">
        <v>153</v>
      </c>
      <c r="BI2488" s="0" t="s">
        <v>153</v>
      </c>
      <c r="BJ2488" s="0" t="s">
        <v>153</v>
      </c>
      <c r="BK2488" s="0" t="s">
        <v>153</v>
      </c>
      <c r="BL2488" s="0" t="s">
        <v>153</v>
      </c>
      <c r="BP2488" s="0" t="s">
        <v>153</v>
      </c>
      <c r="BR2488" s="0" t="s">
        <v>153</v>
      </c>
      <c r="BS2488" s="0" t="s">
        <v>153</v>
      </c>
      <c r="BT2488" s="0" t="s">
        <v>153</v>
      </c>
      <c r="BV2488" s="0" t="s">
        <v>153</v>
      </c>
      <c r="BY2488" s="0" t="s">
        <v>175</v>
      </c>
      <c r="CA2488" s="0" t="s">
        <v>153</v>
      </c>
      <c r="DN2488" s="0" t="s">
        <v>153</v>
      </c>
      <c r="DR2488" s="0" t="s">
        <v>153</v>
      </c>
      <c r="DS2488" s="0" t="s">
        <v>175</v>
      </c>
      <c r="DT2488" s="0" t="s">
        <v>175</v>
      </c>
      <c r="DU2488" s="0" t="s">
        <v>153</v>
      </c>
      <c r="DW2488" s="0" t="s">
        <v>175</v>
      </c>
      <c r="DX2488" s="0" t="s">
        <v>153</v>
      </c>
      <c r="EA2488" s="0" t="s">
        <v>153</v>
      </c>
      <c r="ED2488" s="0" t="s">
        <v>175</v>
      </c>
      <c r="EF2488" s="0" t="s">
        <v>153</v>
      </c>
      <c r="EH2488" s="0" t="s">
        <v>175</v>
      </c>
    </row>
    <row r="2489" customFormat="false" ht="13.8" hidden="true" customHeight="false" outlineLevel="0" collapsed="false">
      <c r="A2489" s="0" t="s">
        <v>10691</v>
      </c>
      <c r="B2489" s="0" t="n">
        <v>78</v>
      </c>
      <c r="C2489" s="0" t="n">
        <v>210004</v>
      </c>
      <c r="D2489" s="0" t="s">
        <v>10692</v>
      </c>
      <c r="E2489" s="0" t="s">
        <v>905</v>
      </c>
      <c r="F2489" s="0" t="str">
        <f aca="false">CONCATENATE(D2489," ",LEFT(H2489,4),"T=",AU2489,"D=",AV2489,"R=",AW2489,"M=",AX2489,"L=",AY2489,"B=",AZ2489)</f>
        <v>SHOEMAKER T=42D=8R=2M=0L=0B=0</v>
      </c>
      <c r="G2489" s="0" t="s">
        <v>522</v>
      </c>
      <c r="I2489" s="0" t="s">
        <v>10693</v>
      </c>
      <c r="J2489" s="0" t="s">
        <v>10694</v>
      </c>
      <c r="K2489" s="0" t="s">
        <v>143</v>
      </c>
      <c r="M2489" s="0" t="s">
        <v>10695</v>
      </c>
      <c r="N2489" s="0" t="str">
        <f aca="false">RIGHT(M2489,LEN(M2489)-FIND(" ",M2489))</f>
        <v>WOODBINE AVE SE</v>
      </c>
      <c r="P2489" s="0" t="s">
        <v>145</v>
      </c>
      <c r="Q2489" s="0" t="s">
        <v>146</v>
      </c>
      <c r="R2489" s="0" t="n">
        <v>44483</v>
      </c>
      <c r="AD2489" s="0" t="s">
        <v>147</v>
      </c>
      <c r="AE2489" s="0" t="s">
        <v>148</v>
      </c>
      <c r="AF2489" s="0" t="s">
        <v>149</v>
      </c>
      <c r="AH2489" s="0" t="n">
        <v>14</v>
      </c>
      <c r="AI2489" s="0" t="n">
        <v>11</v>
      </c>
      <c r="AN2489" s="0" t="s">
        <v>145</v>
      </c>
      <c r="AO2489" s="0" t="s">
        <v>150</v>
      </c>
      <c r="AP2489" s="0" t="s">
        <v>151</v>
      </c>
      <c r="AQ2489" s="0" t="n">
        <v>9</v>
      </c>
      <c r="AR2489" s="0" t="n">
        <v>64</v>
      </c>
      <c r="AS2489" s="0" t="n">
        <v>32</v>
      </c>
      <c r="AU2489" s="0" t="n">
        <f aca="false">COUNTA($BA$54:$EH$54)</f>
        <v>42</v>
      </c>
      <c r="AV2489" s="0" t="n">
        <f aca="false">COUNTIF($BA$54:$EH$54,"D")</f>
        <v>8</v>
      </c>
      <c r="AW2489" s="0" t="n">
        <f aca="false">COUNTIF($BA$54:$EH$54,"R")</f>
        <v>2</v>
      </c>
      <c r="AX2489" s="0" t="n">
        <f aca="false">IF(BN2489="D",1,0)+IF(BO2489="D",1,0)+IF(BT2489="D",1,0)+IF(BU2489="D",1,0)+IF(BW2489="D",1,0)+IF(CC2489="D",1,0)+IF(CD2489="D",1,0)+IF(CE2489="D",1,0)+IF(CF2489="D",1,0)+IF(CL2489="D",1,0)+IF(CM2489="D",1,0)+IF(CQ2489="D",1,0)+IF(CR2489="D",1,0)+IF(CS2489="D",1,0)+IF(CW2489="D",1,0)+IF(CX2489="D",1,0)+IF(DD2489="D",1,0)+IF(DE2489="D",1,0)+IF(DJ2489="D",1,0)+IF(DK2489="D",1,0)+IF(DO2489="D",1,0)+IF(DP2489="D",1,0)+IF(DQ2489="D",1,0)+IF(DW2489="D",1,0)+IF(DZ2489="D",1,0)+IF(EH2489="D",1,0)</f>
        <v>0</v>
      </c>
      <c r="AY2489" s="0" t="n">
        <f aca="false">COUNTIF(DU2489:EH2489, "&lt;&gt;")</f>
        <v>0</v>
      </c>
      <c r="AZ2489" s="0" t="n">
        <f aca="false">IF(EH2489&lt;&gt;"",1,0)</f>
        <v>0</v>
      </c>
      <c r="BB2489" s="0" t="s">
        <v>152</v>
      </c>
      <c r="BD2489" s="0" t="s">
        <v>153</v>
      </c>
      <c r="BI2489" s="0" t="s">
        <v>153</v>
      </c>
      <c r="BJ2489" s="0" t="s">
        <v>153</v>
      </c>
      <c r="BK2489" s="0" t="s">
        <v>153</v>
      </c>
      <c r="BL2489" s="0" t="s">
        <v>153</v>
      </c>
      <c r="BP2489" s="0" t="s">
        <v>153</v>
      </c>
      <c r="CV2489" s="0" t="s">
        <v>153</v>
      </c>
      <c r="DC2489" s="0" t="s">
        <v>153</v>
      </c>
      <c r="DF2489" s="0" t="s">
        <v>153</v>
      </c>
      <c r="DI2489" s="0" t="s">
        <v>153</v>
      </c>
    </row>
    <row r="2490" customFormat="false" ht="13.8" hidden="true" customHeight="false" outlineLevel="0" collapsed="false">
      <c r="A2490" s="0" t="s">
        <v>10696</v>
      </c>
      <c r="B2490" s="0" t="n">
        <v>78</v>
      </c>
      <c r="C2490" s="0" t="n">
        <v>462248</v>
      </c>
      <c r="D2490" s="0" t="s">
        <v>4044</v>
      </c>
      <c r="E2490" s="0" t="s">
        <v>1152</v>
      </c>
      <c r="F2490" s="0" t="str">
        <f aca="false">CONCATENATE(D2490," ",LEFT(H2490,4),"T=",AU2490,"D=",AV2490,"R=",AW2490,"M=",AX2490,"L=",AY2490,"B=",AZ2490)</f>
        <v>OCONNELL T=5D=0R=0M=1L=0B=0</v>
      </c>
      <c r="G2490" s="0" t="s">
        <v>164</v>
      </c>
      <c r="I2490" s="0" t="s">
        <v>10697</v>
      </c>
      <c r="J2490" s="0" t="s">
        <v>10698</v>
      </c>
      <c r="K2490" s="0" t="s">
        <v>160</v>
      </c>
      <c r="M2490" s="0" t="s">
        <v>10695</v>
      </c>
      <c r="N2490" s="0" t="str">
        <f aca="false">RIGHT(M2490,LEN(M2490)-FIND(" ",M2490))</f>
        <v>WOODBINE AVE SE</v>
      </c>
      <c r="O2490" s="0" t="s">
        <v>297</v>
      </c>
      <c r="P2490" s="0" t="s">
        <v>145</v>
      </c>
      <c r="Q2490" s="0" t="s">
        <v>146</v>
      </c>
      <c r="R2490" s="0" t="n">
        <v>44483</v>
      </c>
      <c r="AD2490" s="0" t="s">
        <v>147</v>
      </c>
      <c r="AE2490" s="0" t="s">
        <v>148</v>
      </c>
      <c r="AF2490" s="0" t="s">
        <v>149</v>
      </c>
      <c r="AH2490" s="0" t="n">
        <v>14</v>
      </c>
      <c r="AI2490" s="0" t="n">
        <v>11</v>
      </c>
      <c r="AN2490" s="0" t="s">
        <v>145</v>
      </c>
      <c r="AO2490" s="0" t="s">
        <v>150</v>
      </c>
      <c r="AP2490" s="0" t="s">
        <v>151</v>
      </c>
      <c r="AQ2490" s="0" t="n">
        <v>9</v>
      </c>
      <c r="AR2490" s="0" t="n">
        <v>64</v>
      </c>
      <c r="AS2490" s="0" t="n">
        <v>32</v>
      </c>
      <c r="AU2490" s="0" t="n">
        <f aca="false">COUNTA($BA$260:$EH$260)</f>
        <v>5</v>
      </c>
      <c r="AV2490" s="0" t="n">
        <f aca="false">COUNTIF($BA$260:$EH$260,"D")</f>
        <v>0</v>
      </c>
      <c r="AW2490" s="0" t="n">
        <f aca="false">COUNTIF($BA$260:$EH$260,"R")</f>
        <v>0</v>
      </c>
      <c r="AX2490" s="0" t="n">
        <f aca="false">IF(BN2490="D",1,0)+IF(BO2490="D",1,0)+IF(BT2490="D",1,0)+IF(BU2490="D",1,0)+IF(BW2490="D",1,0)+IF(CC2490="D",1,0)+IF(CD2490="D",1,0)+IF(CE2490="D",1,0)+IF(CF2490="D",1,0)+IF(CL2490="D",1,0)+IF(CM2490="D",1,0)+IF(CQ2490="D",1,0)+IF(CR2490="D",1,0)+IF(CS2490="D",1,0)+IF(CW2490="D",1,0)+IF(CX2490="D",1,0)+IF(DD2490="D",1,0)+IF(DE2490="D",1,0)+IF(DJ2490="D",1,0)+IF(DK2490="D",1,0)+IF(DO2490="D",1,0)+IF(DP2490="D",1,0)+IF(DQ2490="D",1,0)+IF(DW2490="D",1,0)+IF(DZ2490="D",1,0)+IF(EH2490="D",1,0)</f>
        <v>1</v>
      </c>
      <c r="AY2490" s="0" t="n">
        <f aca="false">COUNTIF(DU2490:EH2490, "&lt;&gt;")</f>
        <v>0</v>
      </c>
      <c r="AZ2490" s="0" t="n">
        <f aca="false">IF(EH2490&lt;&gt;"",1,0)</f>
        <v>0</v>
      </c>
      <c r="BB2490" s="0" t="s">
        <v>152</v>
      </c>
      <c r="BD2490" s="0" t="s">
        <v>153</v>
      </c>
      <c r="BE2490" s="0" t="s">
        <v>153</v>
      </c>
      <c r="BG2490" s="0" t="s">
        <v>153</v>
      </c>
      <c r="BH2490" s="0" t="s">
        <v>153</v>
      </c>
      <c r="BJ2490" s="0" t="s">
        <v>153</v>
      </c>
      <c r="BK2490" s="0" t="s">
        <v>153</v>
      </c>
      <c r="BL2490" s="0" t="s">
        <v>153</v>
      </c>
      <c r="BP2490" s="0" t="s">
        <v>153</v>
      </c>
      <c r="BR2490" s="0" t="s">
        <v>153</v>
      </c>
      <c r="BY2490" s="0" t="s">
        <v>175</v>
      </c>
      <c r="CG2490" s="0" t="s">
        <v>153</v>
      </c>
      <c r="CL2490" s="0" t="s">
        <v>175</v>
      </c>
      <c r="CN2490" s="0" t="s">
        <v>153</v>
      </c>
      <c r="CP2490" s="0" t="s">
        <v>153</v>
      </c>
      <c r="CV2490" s="0" t="s">
        <v>153</v>
      </c>
      <c r="CY2490" s="0" t="s">
        <v>153</v>
      </c>
      <c r="CZ2490" s="0" t="s">
        <v>175</v>
      </c>
      <c r="DN2490" s="0" t="s">
        <v>153</v>
      </c>
    </row>
    <row r="2491" customFormat="false" ht="13.8" hidden="true" customHeight="false" outlineLevel="0" collapsed="false">
      <c r="A2491" s="0" t="s">
        <v>10699</v>
      </c>
      <c r="B2491" s="0" t="n">
        <v>78</v>
      </c>
      <c r="C2491" s="0" t="n">
        <v>474527</v>
      </c>
      <c r="D2491" s="0" t="s">
        <v>761</v>
      </c>
      <c r="E2491" s="0" t="s">
        <v>6022</v>
      </c>
      <c r="F2491" s="0" t="str">
        <f aca="false">CONCATENATE(D2491," ",LEFT(H2491,4),"T=",AU2491,"D=",AV2491,"R=",AW2491,"M=",AX2491,"L=",AY2491,"B=",AZ2491)</f>
        <v>BROWN T=1D=0R=0M=0L=1B=0</v>
      </c>
      <c r="I2491" s="0" t="s">
        <v>10700</v>
      </c>
      <c r="J2491" s="0" t="s">
        <v>10701</v>
      </c>
      <c r="K2491" s="0" t="s">
        <v>160</v>
      </c>
      <c r="M2491" s="0" t="s">
        <v>10702</v>
      </c>
      <c r="N2491" s="0" t="str">
        <f aca="false">RIGHT(M2491,LEN(M2491)-FIND(" ",M2491))</f>
        <v>WOODBINE AVE SE</v>
      </c>
      <c r="P2491" s="0" t="s">
        <v>145</v>
      </c>
      <c r="Q2491" s="0" t="s">
        <v>146</v>
      </c>
      <c r="R2491" s="0" t="n">
        <v>44483</v>
      </c>
      <c r="AD2491" s="0" t="s">
        <v>147</v>
      </c>
      <c r="AE2491" s="0" t="s">
        <v>148</v>
      </c>
      <c r="AF2491" s="0" t="s">
        <v>149</v>
      </c>
      <c r="AH2491" s="0" t="n">
        <v>14</v>
      </c>
      <c r="AI2491" s="0" t="n">
        <v>11</v>
      </c>
      <c r="AN2491" s="0" t="s">
        <v>145</v>
      </c>
      <c r="AO2491" s="0" t="s">
        <v>150</v>
      </c>
      <c r="AP2491" s="0" t="s">
        <v>151</v>
      </c>
      <c r="AQ2491" s="0" t="n">
        <v>9</v>
      </c>
      <c r="AR2491" s="0" t="n">
        <v>64</v>
      </c>
      <c r="AS2491" s="0" t="n">
        <v>32</v>
      </c>
      <c r="AU2491" s="0" t="n">
        <f aca="false">COUNTA($BA$1047:$EH$1047)</f>
        <v>1</v>
      </c>
      <c r="AV2491" s="0" t="n">
        <f aca="false">COUNTIF($BA$1047:$EH$1047,"D")</f>
        <v>0</v>
      </c>
      <c r="AW2491" s="0" t="n">
        <f aca="false">COUNTIF($BA$1047:$EH$1047,"R")</f>
        <v>0</v>
      </c>
      <c r="AX2491" s="0" t="n">
        <f aca="false">IF(BN2491="D",1,0)+IF(BO2491="D",1,0)+IF(BT2491="D",1,0)+IF(BU2491="D",1,0)+IF(BW2491="D",1,0)+IF(CC2491="D",1,0)+IF(CD2491="D",1,0)+IF(CE2491="D",1,0)+IF(CF2491="D",1,0)+IF(CL2491="D",1,0)+IF(CM2491="D",1,0)+IF(CQ2491="D",1,0)+IF(CR2491="D",1,0)+IF(CS2491="D",1,0)+IF(CW2491="D",1,0)+IF(CX2491="D",1,0)+IF(DD2491="D",1,0)+IF(DE2491="D",1,0)+IF(DJ2491="D",1,0)+IF(DK2491="D",1,0)+IF(DO2491="D",1,0)+IF(DP2491="D",1,0)+IF(DQ2491="D",1,0)+IF(DW2491="D",1,0)+IF(DZ2491="D",1,0)+IF(EH2491="D",1,0)</f>
        <v>0</v>
      </c>
      <c r="AY2491" s="0" t="n">
        <f aca="false">COUNTIF(DU2491:EH2491, "&lt;&gt;")</f>
        <v>1</v>
      </c>
      <c r="AZ2491" s="0" t="n">
        <f aca="false">IF(EH2491&lt;&gt;"",1,0)</f>
        <v>0</v>
      </c>
      <c r="BB2491" s="0" t="s">
        <v>152</v>
      </c>
      <c r="EA2491" s="0" t="s">
        <v>153</v>
      </c>
    </row>
    <row r="2492" customFormat="false" ht="13.8" hidden="true" customHeight="false" outlineLevel="0" collapsed="false">
      <c r="A2492" s="0" t="s">
        <v>10703</v>
      </c>
      <c r="B2492" s="0" t="n">
        <v>78</v>
      </c>
      <c r="C2492" s="0" t="n">
        <v>462112</v>
      </c>
      <c r="D2492" s="0" t="s">
        <v>10704</v>
      </c>
      <c r="E2492" s="0" t="s">
        <v>8922</v>
      </c>
      <c r="F2492" s="0" t="str">
        <f aca="false">CONCATENATE(D2492," ",LEFT(H2492,4),"T=",AU2492,"D=",AV2492,"R=",AW2492,"M=",AX2492,"L=",AY2492,"B=",AZ2492)</f>
        <v>BENDEN JRT=1D=0R=0M=0L=0B=0</v>
      </c>
      <c r="G2492" s="0" t="s">
        <v>171</v>
      </c>
      <c r="H2492" s="0" t="s">
        <v>314</v>
      </c>
      <c r="I2492" s="0" t="s">
        <v>10705</v>
      </c>
      <c r="J2492" s="0" t="s">
        <v>10706</v>
      </c>
      <c r="K2492" s="0" t="s">
        <v>143</v>
      </c>
      <c r="M2492" s="0" t="s">
        <v>10707</v>
      </c>
      <c r="N2492" s="0" t="str">
        <f aca="false">RIGHT(M2492,LEN(M2492)-FIND(" ",M2492))</f>
        <v>WOODBINE AVE SE</v>
      </c>
      <c r="O2492" s="0" t="s">
        <v>6955</v>
      </c>
      <c r="P2492" s="0" t="s">
        <v>145</v>
      </c>
      <c r="Q2492" s="0" t="s">
        <v>146</v>
      </c>
      <c r="R2492" s="0" t="n">
        <v>44483</v>
      </c>
      <c r="AD2492" s="0" t="s">
        <v>147</v>
      </c>
      <c r="AE2492" s="0" t="s">
        <v>148</v>
      </c>
      <c r="AF2492" s="0" t="s">
        <v>149</v>
      </c>
      <c r="AH2492" s="0" t="n">
        <v>14</v>
      </c>
      <c r="AI2492" s="0" t="n">
        <v>11</v>
      </c>
      <c r="AN2492" s="0" t="s">
        <v>145</v>
      </c>
      <c r="AO2492" s="0" t="s">
        <v>150</v>
      </c>
      <c r="AP2492" s="0" t="s">
        <v>151</v>
      </c>
      <c r="AQ2492" s="0" t="n">
        <v>9</v>
      </c>
      <c r="AR2492" s="0" t="n">
        <v>64</v>
      </c>
      <c r="AS2492" s="0" t="n">
        <v>32</v>
      </c>
      <c r="AU2492" s="0" t="n">
        <f aca="false">COUNTA($BA$872:$EH$872)</f>
        <v>1</v>
      </c>
      <c r="AV2492" s="0" t="n">
        <f aca="false">COUNTIF($BA$872:$EH$872,"D")</f>
        <v>0</v>
      </c>
      <c r="AW2492" s="0" t="n">
        <f aca="false">COUNTIF($BA$872:$EH$872,"R")</f>
        <v>0</v>
      </c>
      <c r="AX2492" s="0" t="n">
        <f aca="false">IF(BN2492="D",1,0)+IF(BO2492="D",1,0)+IF(BT2492="D",1,0)+IF(BU2492="D",1,0)+IF(BW2492="D",1,0)+IF(CC2492="D",1,0)+IF(CD2492="D",1,0)+IF(CE2492="D",1,0)+IF(CF2492="D",1,0)+IF(CL2492="D",1,0)+IF(CM2492="D",1,0)+IF(CQ2492="D",1,0)+IF(CR2492="D",1,0)+IF(CS2492="D",1,0)+IF(CW2492="D",1,0)+IF(CX2492="D",1,0)+IF(DD2492="D",1,0)+IF(DE2492="D",1,0)+IF(DJ2492="D",1,0)+IF(DK2492="D",1,0)+IF(DO2492="D",1,0)+IF(DP2492="D",1,0)+IF(DQ2492="D",1,0)+IF(DW2492="D",1,0)+IF(DZ2492="D",1,0)+IF(EH2492="D",1,0)</f>
        <v>0</v>
      </c>
      <c r="AY2492" s="0" t="n">
        <f aca="false">COUNTIF(DU2492:EH2492, "&lt;&gt;")</f>
        <v>0</v>
      </c>
      <c r="AZ2492" s="0" t="n">
        <f aca="false">IF(EH2492&lt;&gt;"",1,0)</f>
        <v>0</v>
      </c>
      <c r="BB2492" s="0" t="s">
        <v>152</v>
      </c>
    </row>
    <row r="2493" customFormat="false" ht="13.8" hidden="false" customHeight="false" outlineLevel="0" collapsed="false">
      <c r="A2493" s="0" t="s">
        <v>10708</v>
      </c>
      <c r="B2493" s="0" t="n">
        <v>78</v>
      </c>
      <c r="C2493" s="0" t="n">
        <v>292349</v>
      </c>
      <c r="D2493" s="0" t="s">
        <v>7235</v>
      </c>
      <c r="E2493" s="0" t="s">
        <v>237</v>
      </c>
      <c r="F2493" s="0" t="str">
        <f aca="false">CONCATENATE(D2493," ",LEFT(H2493,4),"T=",AU2493,"D=",AV2493,"R=",AW2493,"M=",AX2493,"L=",AY2493,"B=",AZ2493)</f>
        <v>LOWE T=3D=0R=0M=0L=2B=0</v>
      </c>
      <c r="G2493" s="0" t="s">
        <v>517</v>
      </c>
      <c r="I2493" s="0" t="s">
        <v>4418</v>
      </c>
      <c r="J2493" s="0" t="s">
        <v>10709</v>
      </c>
      <c r="K2493" s="0" t="s">
        <v>160</v>
      </c>
      <c r="M2493" s="0" t="s">
        <v>10710</v>
      </c>
      <c r="N2493" s="0" t="str">
        <f aca="false">RIGHT(M2493,LEN(M2493)-FIND(" ",M2493))</f>
        <v>WOODBINE AVE SE</v>
      </c>
      <c r="P2493" s="0" t="s">
        <v>145</v>
      </c>
      <c r="Q2493" s="0" t="s">
        <v>146</v>
      </c>
      <c r="R2493" s="0" t="n">
        <v>44483</v>
      </c>
      <c r="AD2493" s="0" t="s">
        <v>147</v>
      </c>
      <c r="AE2493" s="0" t="s">
        <v>148</v>
      </c>
      <c r="AF2493" s="0" t="s">
        <v>149</v>
      </c>
      <c r="AH2493" s="0" t="n">
        <v>14</v>
      </c>
      <c r="AI2493" s="0" t="n">
        <v>11</v>
      </c>
      <c r="AN2493" s="0" t="s">
        <v>145</v>
      </c>
      <c r="AO2493" s="0" t="s">
        <v>150</v>
      </c>
      <c r="AP2493" s="0" t="s">
        <v>151</v>
      </c>
      <c r="AQ2493" s="0" t="n">
        <v>9</v>
      </c>
      <c r="AR2493" s="0" t="n">
        <v>64</v>
      </c>
      <c r="AS2493" s="0" t="n">
        <v>32</v>
      </c>
      <c r="AU2493" s="0" t="n">
        <f aca="false">COUNTA($BA$835:$EH$835)</f>
        <v>3</v>
      </c>
      <c r="AV2493" s="0" t="n">
        <f aca="false">COUNTIF($BA$835:$EH$835,"D")</f>
        <v>0</v>
      </c>
      <c r="AW2493" s="0" t="n">
        <f aca="false">COUNTIF($BA$835:$EH$835,"R")</f>
        <v>0</v>
      </c>
      <c r="AX2493" s="0" t="n">
        <f aca="false">IF(BN2493="D",1,0)+IF(BO2493="D",1,0)+IF(BT2493="D",1,0)+IF(BU2493="D",1,0)+IF(BW2493="D",1,0)+IF(CC2493="D",1,0)+IF(CD2493="D",1,0)+IF(CE2493="D",1,0)+IF(CF2493="D",1,0)+IF(CL2493="D",1,0)+IF(CM2493="D",1,0)+IF(CQ2493="D",1,0)+IF(CR2493="D",1,0)+IF(CS2493="D",1,0)+IF(CW2493="D",1,0)+IF(CX2493="D",1,0)+IF(DD2493="D",1,0)+IF(DE2493="D",1,0)+IF(DJ2493="D",1,0)+IF(DK2493="D",1,0)+IF(DO2493="D",1,0)+IF(DP2493="D",1,0)+IF(DQ2493="D",1,0)+IF(DW2493="D",1,0)+IF(DZ2493="D",1,0)+IF(EH2493="D",1,0)</f>
        <v>0</v>
      </c>
      <c r="AY2493" s="0" t="n">
        <f aca="false">COUNTIF(DU2493:EH2493, "&lt;&gt;")</f>
        <v>2</v>
      </c>
      <c r="AZ2493" s="0" t="n">
        <f aca="false">IF(EH2493&lt;&gt;"",1,0)</f>
        <v>0</v>
      </c>
      <c r="BB2493" s="0" t="s">
        <v>152</v>
      </c>
      <c r="BC2493" s="0" t="s">
        <v>153</v>
      </c>
      <c r="BL2493" s="0" t="s">
        <v>153</v>
      </c>
      <c r="BP2493" s="0" t="s">
        <v>153</v>
      </c>
      <c r="BS2493" s="0" t="s">
        <v>153</v>
      </c>
      <c r="BY2493" s="0" t="s">
        <v>175</v>
      </c>
      <c r="CA2493" s="0" t="s">
        <v>153</v>
      </c>
      <c r="CN2493" s="0" t="s">
        <v>153</v>
      </c>
      <c r="CP2493" s="0" t="s">
        <v>153</v>
      </c>
      <c r="CU2493" s="0" t="s">
        <v>175</v>
      </c>
      <c r="DC2493" s="0" t="s">
        <v>153</v>
      </c>
      <c r="EA2493" s="0" t="s">
        <v>153</v>
      </c>
      <c r="EF2493" s="0" t="s">
        <v>153</v>
      </c>
    </row>
    <row r="2494" customFormat="false" ht="13.8" hidden="true" customHeight="false" outlineLevel="0" collapsed="false">
      <c r="A2494" s="0" t="s">
        <v>10711</v>
      </c>
      <c r="B2494" s="0" t="n">
        <v>78</v>
      </c>
      <c r="C2494" s="0" t="n">
        <v>196104</v>
      </c>
      <c r="D2494" s="0" t="s">
        <v>8687</v>
      </c>
      <c r="E2494" s="0" t="s">
        <v>910</v>
      </c>
      <c r="F2494" s="0" t="str">
        <f aca="false">CONCATENATE(D2494," ",LEFT(H2494,4),"T=",AU2494,"D=",AV2494,"R=",AW2494,"M=",AX2494,"L=",AY2494,"B=",AZ2494)</f>
        <v>BARTOLOMUCCI T=1D=0R=0M=0L=0B=0</v>
      </c>
      <c r="I2494" s="0" t="s">
        <v>10712</v>
      </c>
      <c r="J2494" s="0" t="s">
        <v>10135</v>
      </c>
      <c r="K2494" s="0" t="s">
        <v>143</v>
      </c>
      <c r="M2494" s="0" t="s">
        <v>10713</v>
      </c>
      <c r="N2494" s="0" t="str">
        <f aca="false">RIGHT(M2494,LEN(M2494)-FIND(" ",M2494))</f>
        <v>WOODBINE AVE SE</v>
      </c>
      <c r="P2494" s="0" t="s">
        <v>145</v>
      </c>
      <c r="Q2494" s="0" t="s">
        <v>146</v>
      </c>
      <c r="R2494" s="0" t="n">
        <v>44483</v>
      </c>
      <c r="AD2494" s="0" t="s">
        <v>147</v>
      </c>
      <c r="AE2494" s="0" t="s">
        <v>148</v>
      </c>
      <c r="AF2494" s="0" t="s">
        <v>149</v>
      </c>
      <c r="AH2494" s="0" t="n">
        <v>14</v>
      </c>
      <c r="AI2494" s="0" t="n">
        <v>11</v>
      </c>
      <c r="AN2494" s="0" t="s">
        <v>145</v>
      </c>
      <c r="AO2494" s="0" t="s">
        <v>150</v>
      </c>
      <c r="AP2494" s="0" t="s">
        <v>151</v>
      </c>
      <c r="AQ2494" s="0" t="n">
        <v>9</v>
      </c>
      <c r="AR2494" s="0" t="n">
        <v>64</v>
      </c>
      <c r="AS2494" s="0" t="n">
        <v>32</v>
      </c>
      <c r="AU2494" s="0" t="n">
        <f aca="false">COUNTA($BA$117:$EH$117)</f>
        <v>1</v>
      </c>
      <c r="AV2494" s="0" t="n">
        <f aca="false">COUNTIF($BA$117:$EH$117,"D")</f>
        <v>0</v>
      </c>
      <c r="AW2494" s="0" t="n">
        <f aca="false">COUNTIF($BA$117:$EH$117,"R")</f>
        <v>0</v>
      </c>
      <c r="AX2494" s="0" t="n">
        <f aca="false">IF(BN2494="D",1,0)+IF(BO2494="D",1,0)+IF(BT2494="D",1,0)+IF(BU2494="D",1,0)+IF(BW2494="D",1,0)+IF(CC2494="D",1,0)+IF(CD2494="D",1,0)+IF(CE2494="D",1,0)+IF(CF2494="D",1,0)+IF(CL2494="D",1,0)+IF(CM2494="D",1,0)+IF(CQ2494="D",1,0)+IF(CR2494="D",1,0)+IF(CS2494="D",1,0)+IF(CW2494="D",1,0)+IF(CX2494="D",1,0)+IF(DD2494="D",1,0)+IF(DE2494="D",1,0)+IF(DJ2494="D",1,0)+IF(DK2494="D",1,0)+IF(DO2494="D",1,0)+IF(DP2494="D",1,0)+IF(DQ2494="D",1,0)+IF(DW2494="D",1,0)+IF(DZ2494="D",1,0)+IF(EH2494="D",1,0)</f>
        <v>0</v>
      </c>
      <c r="AY2494" s="0" t="n">
        <f aca="false">COUNTIF(DU2494:EH2494, "&lt;&gt;")</f>
        <v>0</v>
      </c>
      <c r="AZ2494" s="0" t="n">
        <f aca="false">IF(EH2494&lt;&gt;"",1,0)</f>
        <v>0</v>
      </c>
      <c r="BB2494" s="0" t="s">
        <v>152</v>
      </c>
      <c r="BC2494" s="0" t="s">
        <v>153</v>
      </c>
      <c r="BD2494" s="0" t="s">
        <v>153</v>
      </c>
      <c r="BJ2494" s="0" t="s">
        <v>153</v>
      </c>
      <c r="BL2494" s="0" t="s">
        <v>153</v>
      </c>
      <c r="BS2494" s="0" t="s">
        <v>153</v>
      </c>
      <c r="BV2494" s="0" t="s">
        <v>153</v>
      </c>
      <c r="CO2494" s="0" t="s">
        <v>153</v>
      </c>
      <c r="CV2494" s="0" t="s">
        <v>153</v>
      </c>
      <c r="DC2494" s="0" t="s">
        <v>153</v>
      </c>
    </row>
    <row r="2495" customFormat="false" ht="13.8" hidden="false" customHeight="false" outlineLevel="0" collapsed="false">
      <c r="A2495" s="0" t="s">
        <v>10714</v>
      </c>
      <c r="B2495" s="0" t="n">
        <v>78</v>
      </c>
      <c r="C2495" s="0" t="n">
        <v>280784</v>
      </c>
      <c r="D2495" s="0" t="s">
        <v>10715</v>
      </c>
      <c r="E2495" s="0" t="s">
        <v>702</v>
      </c>
      <c r="F2495" s="0" t="str">
        <f aca="false">CONCATENATE(D2495," ",LEFT(H2495,4),"T=",AU2495,"D=",AV2495,"R=",AW2495,"M=",AX2495,"L=",AY2495,"B=",AZ2495)</f>
        <v>DODGE T=19D=2R=2M=2L=5B=0</v>
      </c>
      <c r="G2495" s="0" t="s">
        <v>195</v>
      </c>
      <c r="I2495" s="0" t="s">
        <v>10716</v>
      </c>
      <c r="J2495" s="0" t="s">
        <v>10717</v>
      </c>
      <c r="K2495" s="0" t="s">
        <v>160</v>
      </c>
      <c r="L2495" s="0" t="s">
        <v>175</v>
      </c>
      <c r="M2495" s="0" t="s">
        <v>10718</v>
      </c>
      <c r="N2495" s="0" t="str">
        <f aca="false">RIGHT(M2495,LEN(M2495)-FIND(" ",M2495))</f>
        <v>WOODBINE AVE SE</v>
      </c>
      <c r="P2495" s="0" t="s">
        <v>145</v>
      </c>
      <c r="Q2495" s="0" t="s">
        <v>146</v>
      </c>
      <c r="R2495" s="0" t="n">
        <v>44483</v>
      </c>
      <c r="AD2495" s="0" t="s">
        <v>147</v>
      </c>
      <c r="AE2495" s="0" t="s">
        <v>148</v>
      </c>
      <c r="AF2495" s="0" t="s">
        <v>149</v>
      </c>
      <c r="AH2495" s="0" t="n">
        <v>14</v>
      </c>
      <c r="AI2495" s="0" t="n">
        <v>11</v>
      </c>
      <c r="AN2495" s="0" t="s">
        <v>145</v>
      </c>
      <c r="AO2495" s="0" t="s">
        <v>150</v>
      </c>
      <c r="AP2495" s="0" t="s">
        <v>151</v>
      </c>
      <c r="AQ2495" s="0" t="n">
        <v>9</v>
      </c>
      <c r="AR2495" s="0" t="n">
        <v>64</v>
      </c>
      <c r="AS2495" s="0" t="n">
        <v>32</v>
      </c>
      <c r="AU2495" s="0" t="n">
        <f aca="false">COUNTA($BA$37:$EH$37)</f>
        <v>19</v>
      </c>
      <c r="AV2495" s="0" t="n">
        <f aca="false">COUNTIF($BA$37:$EH$37,"D")</f>
        <v>2</v>
      </c>
      <c r="AW2495" s="0" t="n">
        <f aca="false">COUNTIF($BA$37:$EH$37,"R")</f>
        <v>2</v>
      </c>
      <c r="AX2495" s="0" t="n">
        <f aca="false">IF(BN2495="D",1,0)+IF(BO2495="D",1,0)+IF(BT2495="D",1,0)+IF(BU2495="D",1,0)+IF(BW2495="D",1,0)+IF(CC2495="D",1,0)+IF(CD2495="D",1,0)+IF(CE2495="D",1,0)+IF(CF2495="D",1,0)+IF(CL2495="D",1,0)+IF(CM2495="D",1,0)+IF(CQ2495="D",1,0)+IF(CR2495="D",1,0)+IF(CS2495="D",1,0)+IF(CW2495="D",1,0)+IF(CX2495="D",1,0)+IF(DD2495="D",1,0)+IF(DE2495="D",1,0)+IF(DJ2495="D",1,0)+IF(DK2495="D",1,0)+IF(DO2495="D",1,0)+IF(DP2495="D",1,0)+IF(DQ2495="D",1,0)+IF(DW2495="D",1,0)+IF(DZ2495="D",1,0)+IF(EH2495="D",1,0)</f>
        <v>2</v>
      </c>
      <c r="AY2495" s="0" t="n">
        <f aca="false">COUNTIF(DU2495:EH2495, "&lt;&gt;")</f>
        <v>5</v>
      </c>
      <c r="AZ2495" s="0" t="n">
        <f aca="false">IF(EH2495&lt;&gt;"",1,0)</f>
        <v>0</v>
      </c>
      <c r="BB2495" s="0" t="s">
        <v>152</v>
      </c>
      <c r="BJ2495" s="0" t="s">
        <v>153</v>
      </c>
      <c r="BL2495" s="0" t="s">
        <v>153</v>
      </c>
      <c r="BP2495" s="0" t="s">
        <v>153</v>
      </c>
      <c r="BR2495" s="0" t="s">
        <v>153</v>
      </c>
      <c r="BS2495" s="0" t="s">
        <v>153</v>
      </c>
      <c r="BY2495" s="0" t="s">
        <v>175</v>
      </c>
      <c r="CA2495" s="0" t="s">
        <v>153</v>
      </c>
      <c r="CH2495" s="0" t="s">
        <v>175</v>
      </c>
      <c r="CL2495" s="0" t="s">
        <v>175</v>
      </c>
      <c r="CN2495" s="0" t="s">
        <v>153</v>
      </c>
      <c r="CO2495" s="0" t="s">
        <v>175</v>
      </c>
      <c r="CP2495" s="0" t="s">
        <v>153</v>
      </c>
      <c r="CT2495" s="0" t="s">
        <v>153</v>
      </c>
      <c r="CV2495" s="0" t="s">
        <v>153</v>
      </c>
      <c r="CY2495" s="0" t="s">
        <v>153</v>
      </c>
      <c r="CZ2495" s="0" t="s">
        <v>175</v>
      </c>
      <c r="DC2495" s="0" t="s">
        <v>153</v>
      </c>
      <c r="DI2495" s="0" t="s">
        <v>153</v>
      </c>
      <c r="DL2495" s="0" t="s">
        <v>153</v>
      </c>
      <c r="DM2495" s="0" t="s">
        <v>175</v>
      </c>
      <c r="DN2495" s="0" t="s">
        <v>153</v>
      </c>
      <c r="DU2495" s="0" t="s">
        <v>153</v>
      </c>
      <c r="DW2495" s="0" t="s">
        <v>175</v>
      </c>
      <c r="EA2495" s="0" t="s">
        <v>153</v>
      </c>
      <c r="ED2495" s="0" t="s">
        <v>175</v>
      </c>
      <c r="EF2495" s="0" t="s">
        <v>153</v>
      </c>
    </row>
    <row r="2496" customFormat="false" ht="13.8" hidden="false" customHeight="false" outlineLevel="0" collapsed="false">
      <c r="A2496" s="0" t="s">
        <v>10719</v>
      </c>
      <c r="B2496" s="0" t="n">
        <v>78</v>
      </c>
      <c r="C2496" s="0" t="n">
        <v>443849</v>
      </c>
      <c r="D2496" s="0" t="s">
        <v>10715</v>
      </c>
      <c r="E2496" s="0" t="s">
        <v>275</v>
      </c>
      <c r="F2496" s="0" t="str">
        <f aca="false">CONCATENATE(D2496," ",LEFT(H2496,4),"T=",AU2496,"D=",AV2496,"R=",AW2496,"M=",AX2496,"L=",AY2496,"B=",AZ2496)</f>
        <v>DODGE T=1D=0R=0M=0L=4B=0</v>
      </c>
      <c r="G2496" s="0" t="s">
        <v>606</v>
      </c>
      <c r="I2496" s="0" t="s">
        <v>10720</v>
      </c>
      <c r="J2496" s="0" t="s">
        <v>10721</v>
      </c>
      <c r="K2496" s="0" t="s">
        <v>160</v>
      </c>
      <c r="M2496" s="0" t="s">
        <v>10718</v>
      </c>
      <c r="N2496" s="0" t="str">
        <f aca="false">RIGHT(M2496,LEN(M2496)-FIND(" ",M2496))</f>
        <v>WOODBINE AVE SE</v>
      </c>
      <c r="P2496" s="0" t="s">
        <v>145</v>
      </c>
      <c r="Q2496" s="0" t="s">
        <v>146</v>
      </c>
      <c r="R2496" s="0" t="n">
        <v>44483</v>
      </c>
      <c r="AD2496" s="0" t="s">
        <v>147</v>
      </c>
      <c r="AE2496" s="0" t="s">
        <v>148</v>
      </c>
      <c r="AF2496" s="0" t="s">
        <v>149</v>
      </c>
      <c r="AH2496" s="0" t="n">
        <v>14</v>
      </c>
      <c r="AI2496" s="0" t="n">
        <v>11</v>
      </c>
      <c r="AN2496" s="0" t="s">
        <v>145</v>
      </c>
      <c r="AO2496" s="0" t="s">
        <v>150</v>
      </c>
      <c r="AP2496" s="0" t="s">
        <v>151</v>
      </c>
      <c r="AQ2496" s="0" t="n">
        <v>9</v>
      </c>
      <c r="AR2496" s="0" t="n">
        <v>64</v>
      </c>
      <c r="AS2496" s="0" t="n">
        <v>32</v>
      </c>
      <c r="AU2496" s="0" t="n">
        <f aca="false">COUNTA($BA$376:$EH$376)</f>
        <v>1</v>
      </c>
      <c r="AV2496" s="0" t="n">
        <f aca="false">COUNTIF($BA$376:$EH$376,"D")</f>
        <v>0</v>
      </c>
      <c r="AW2496" s="0" t="n">
        <f aca="false">COUNTIF($BA$376:$EH$376,"R")</f>
        <v>0</v>
      </c>
      <c r="AX2496" s="0" t="n">
        <f aca="false">IF(BN2496="D",1,0)+IF(BO2496="D",1,0)+IF(BT2496="D",1,0)+IF(BU2496="D",1,0)+IF(BW2496="D",1,0)+IF(CC2496="D",1,0)+IF(CD2496="D",1,0)+IF(CE2496="D",1,0)+IF(CF2496="D",1,0)+IF(CL2496="D",1,0)+IF(CM2496="D",1,0)+IF(CQ2496="D",1,0)+IF(CR2496="D",1,0)+IF(CS2496="D",1,0)+IF(CW2496="D",1,0)+IF(CX2496="D",1,0)+IF(DD2496="D",1,0)+IF(DE2496="D",1,0)+IF(DJ2496="D",1,0)+IF(DK2496="D",1,0)+IF(DO2496="D",1,0)+IF(DP2496="D",1,0)+IF(DQ2496="D",1,0)+IF(DW2496="D",1,0)+IF(DZ2496="D",1,0)+IF(EH2496="D",1,0)</f>
        <v>0</v>
      </c>
      <c r="AY2496" s="0" t="n">
        <f aca="false">COUNTIF(DU2496:EH2496, "&lt;&gt;")</f>
        <v>4</v>
      </c>
      <c r="AZ2496" s="0" t="n">
        <f aca="false">IF(EH2496&lt;&gt;"",1,0)</f>
        <v>0</v>
      </c>
      <c r="BB2496" s="0" t="s">
        <v>152</v>
      </c>
      <c r="DM2496" s="0" t="s">
        <v>209</v>
      </c>
      <c r="DN2496" s="0" t="s">
        <v>153</v>
      </c>
      <c r="DU2496" s="0" t="s">
        <v>153</v>
      </c>
      <c r="DW2496" s="0" t="s">
        <v>153</v>
      </c>
      <c r="EA2496" s="0" t="s">
        <v>153</v>
      </c>
      <c r="EF2496" s="0" t="s">
        <v>153</v>
      </c>
    </row>
    <row r="2497" customFormat="false" ht="13.8" hidden="true" customHeight="false" outlineLevel="0" collapsed="false">
      <c r="A2497" s="0" t="s">
        <v>10722</v>
      </c>
      <c r="B2497" s="0" t="n">
        <v>78</v>
      </c>
      <c r="C2497" s="0" t="n">
        <v>485151</v>
      </c>
      <c r="D2497" s="0" t="s">
        <v>1504</v>
      </c>
      <c r="E2497" s="0" t="s">
        <v>292</v>
      </c>
      <c r="F2497" s="0" t="str">
        <f aca="false">CONCATENATE(D2497," ",LEFT(H2497,4),"T=",AU2497,"D=",AV2497,"R=",AW2497,"M=",AX2497,"L=",AY2497,"B=",AZ2497)</f>
        <v>KING T=2D=0R=0M=0L=1B=0</v>
      </c>
      <c r="G2497" s="0" t="s">
        <v>275</v>
      </c>
      <c r="I2497" s="0" t="s">
        <v>10723</v>
      </c>
      <c r="J2497" s="0" t="s">
        <v>7745</v>
      </c>
      <c r="K2497" s="0" t="s">
        <v>160</v>
      </c>
      <c r="M2497" s="0" t="s">
        <v>10724</v>
      </c>
      <c r="N2497" s="0" t="str">
        <f aca="false">RIGHT(M2497,LEN(M2497)-FIND(" ",M2497))</f>
        <v>WOODBINE AVE SE</v>
      </c>
      <c r="P2497" s="0" t="s">
        <v>145</v>
      </c>
      <c r="Q2497" s="0" t="s">
        <v>146</v>
      </c>
      <c r="R2497" s="0" t="n">
        <v>44483</v>
      </c>
      <c r="AD2497" s="0" t="s">
        <v>147</v>
      </c>
      <c r="AE2497" s="0" t="s">
        <v>148</v>
      </c>
      <c r="AF2497" s="0" t="s">
        <v>149</v>
      </c>
      <c r="AH2497" s="0" t="n">
        <v>14</v>
      </c>
      <c r="AI2497" s="0" t="n">
        <v>11</v>
      </c>
      <c r="AN2497" s="0" t="s">
        <v>145</v>
      </c>
      <c r="AO2497" s="0" t="s">
        <v>150</v>
      </c>
      <c r="AP2497" s="0" t="s">
        <v>151</v>
      </c>
      <c r="AQ2497" s="0" t="n">
        <v>9</v>
      </c>
      <c r="AR2497" s="0" t="n">
        <v>64</v>
      </c>
      <c r="AS2497" s="0" t="n">
        <v>32</v>
      </c>
      <c r="AU2497" s="0" t="n">
        <f aca="false">COUNTA($BA$109:$EH$109)</f>
        <v>2</v>
      </c>
      <c r="AV2497" s="0" t="n">
        <f aca="false">COUNTIF($BA$109:$EH$109,"D")</f>
        <v>0</v>
      </c>
      <c r="AW2497" s="0" t="n">
        <f aca="false">COUNTIF($BA$109:$EH$109,"R")</f>
        <v>0</v>
      </c>
      <c r="AX2497" s="0" t="n">
        <f aca="false">IF(BN2497="D",1,0)+IF(BO2497="D",1,0)+IF(BT2497="D",1,0)+IF(BU2497="D",1,0)+IF(BW2497="D",1,0)+IF(CC2497="D",1,0)+IF(CD2497="D",1,0)+IF(CE2497="D",1,0)+IF(CF2497="D",1,0)+IF(CL2497="D",1,0)+IF(CM2497="D",1,0)+IF(CQ2497="D",1,0)+IF(CR2497="D",1,0)+IF(CS2497="D",1,0)+IF(CW2497="D",1,0)+IF(CX2497="D",1,0)+IF(DD2497="D",1,0)+IF(DE2497="D",1,0)+IF(DJ2497="D",1,0)+IF(DK2497="D",1,0)+IF(DO2497="D",1,0)+IF(DP2497="D",1,0)+IF(DQ2497="D",1,0)+IF(DW2497="D",1,0)+IF(DZ2497="D",1,0)+IF(EH2497="D",1,0)</f>
        <v>0</v>
      </c>
      <c r="AY2497" s="0" t="n">
        <f aca="false">COUNTIF(DU2497:EH2497, "&lt;&gt;")</f>
        <v>1</v>
      </c>
      <c r="AZ2497" s="0" t="n">
        <f aca="false">IF(EH2497&lt;&gt;"",1,0)</f>
        <v>0</v>
      </c>
      <c r="BB2497" s="0" t="s">
        <v>152</v>
      </c>
      <c r="BD2497" s="0" t="s">
        <v>153</v>
      </c>
      <c r="BE2497" s="0" t="s">
        <v>153</v>
      </c>
      <c r="BF2497" s="0" t="s">
        <v>153</v>
      </c>
      <c r="BH2497" s="0" t="s">
        <v>153</v>
      </c>
      <c r="BL2497" s="0" t="s">
        <v>153</v>
      </c>
      <c r="BP2497" s="0" t="s">
        <v>153</v>
      </c>
      <c r="BV2497" s="0" t="s">
        <v>153</v>
      </c>
      <c r="BY2497" s="0" t="s">
        <v>175</v>
      </c>
      <c r="CA2497" s="0" t="s">
        <v>153</v>
      </c>
      <c r="CK2497" s="0" t="s">
        <v>153</v>
      </c>
      <c r="CN2497" s="0" t="s">
        <v>153</v>
      </c>
      <c r="CO2497" s="0" t="s">
        <v>175</v>
      </c>
      <c r="CP2497" s="0" t="s">
        <v>153</v>
      </c>
      <c r="CV2497" s="0" t="s">
        <v>153</v>
      </c>
      <c r="CZ2497" s="0" t="s">
        <v>175</v>
      </c>
      <c r="DC2497" s="0" t="s">
        <v>153</v>
      </c>
      <c r="DI2497" s="0" t="s">
        <v>153</v>
      </c>
      <c r="DN2497" s="0" t="s">
        <v>153</v>
      </c>
      <c r="EF2497" s="0" t="s">
        <v>153</v>
      </c>
    </row>
    <row r="2498" customFormat="false" ht="13.8" hidden="true" customHeight="false" outlineLevel="0" collapsed="false">
      <c r="A2498" s="0" t="s">
        <v>10725</v>
      </c>
      <c r="B2498" s="0" t="n">
        <v>78</v>
      </c>
      <c r="C2498" s="0" t="n">
        <v>409338</v>
      </c>
      <c r="D2498" s="0" t="s">
        <v>10726</v>
      </c>
      <c r="E2498" s="0" t="s">
        <v>1269</v>
      </c>
      <c r="F2498" s="0" t="str">
        <f aca="false">CONCATENATE(D2498," ",LEFT(H2498,4),"T=",AU2498,"D=",AV2498,"R=",AW2498,"M=",AX2498,"L=",AY2498,"B=",AZ2498)</f>
        <v>FERREBEE T=2D=0R=0M=0L=0B=0</v>
      </c>
      <c r="G2498" s="0" t="s">
        <v>164</v>
      </c>
      <c r="I2498" s="0" t="s">
        <v>10727</v>
      </c>
      <c r="J2498" s="0" t="s">
        <v>10728</v>
      </c>
      <c r="K2498" s="0" t="s">
        <v>160</v>
      </c>
      <c r="M2498" s="0" t="s">
        <v>10724</v>
      </c>
      <c r="N2498" s="0" t="str">
        <f aca="false">RIGHT(M2498,LEN(M2498)-FIND(" ",M2498))</f>
        <v>WOODBINE AVE SE</v>
      </c>
      <c r="P2498" s="0" t="s">
        <v>145</v>
      </c>
      <c r="Q2498" s="0" t="s">
        <v>146</v>
      </c>
      <c r="R2498" s="0" t="n">
        <v>44483</v>
      </c>
      <c r="AD2498" s="0" t="s">
        <v>147</v>
      </c>
      <c r="AE2498" s="0" t="s">
        <v>148</v>
      </c>
      <c r="AF2498" s="0" t="s">
        <v>149</v>
      </c>
      <c r="AH2498" s="0" t="n">
        <v>14</v>
      </c>
      <c r="AI2498" s="0" t="n">
        <v>11</v>
      </c>
      <c r="AN2498" s="0" t="s">
        <v>145</v>
      </c>
      <c r="AO2498" s="0" t="s">
        <v>150</v>
      </c>
      <c r="AP2498" s="0" t="s">
        <v>151</v>
      </c>
      <c r="AQ2498" s="0" t="n">
        <v>9</v>
      </c>
      <c r="AR2498" s="0" t="n">
        <v>64</v>
      </c>
      <c r="AS2498" s="0" t="n">
        <v>32</v>
      </c>
      <c r="AU2498" s="0" t="n">
        <f aca="false">COUNTA($BA$962:$EH$962)</f>
        <v>2</v>
      </c>
      <c r="AV2498" s="0" t="n">
        <f aca="false">COUNTIF($BA$962:$EH$962,"D")</f>
        <v>0</v>
      </c>
      <c r="AW2498" s="0" t="n">
        <f aca="false">COUNTIF($BA$962:$EH$962,"R")</f>
        <v>0</v>
      </c>
      <c r="AX2498" s="0" t="n">
        <f aca="false">IF(BN2498="D",1,0)+IF(BO2498="D",1,0)+IF(BT2498="D",1,0)+IF(BU2498="D",1,0)+IF(BW2498="D",1,0)+IF(CC2498="D",1,0)+IF(CD2498="D",1,0)+IF(CE2498="D",1,0)+IF(CF2498="D",1,0)+IF(CL2498="D",1,0)+IF(CM2498="D",1,0)+IF(CQ2498="D",1,0)+IF(CR2498="D",1,0)+IF(CS2498="D",1,0)+IF(CW2498="D",1,0)+IF(CX2498="D",1,0)+IF(DD2498="D",1,0)+IF(DE2498="D",1,0)+IF(DJ2498="D",1,0)+IF(DK2498="D",1,0)+IF(DO2498="D",1,0)+IF(DP2498="D",1,0)+IF(DQ2498="D",1,0)+IF(DW2498="D",1,0)+IF(DZ2498="D",1,0)+IF(EH2498="D",1,0)</f>
        <v>0</v>
      </c>
      <c r="AY2498" s="0" t="n">
        <f aca="false">COUNTIF(DU2498:EH2498, "&lt;&gt;")</f>
        <v>0</v>
      </c>
      <c r="AZ2498" s="0" t="n">
        <f aca="false">IF(EH2498&lt;&gt;"",1,0)</f>
        <v>0</v>
      </c>
      <c r="BB2498" s="0" t="s">
        <v>152</v>
      </c>
      <c r="BL2498" s="0" t="s">
        <v>153</v>
      </c>
    </row>
    <row r="2499" customFormat="false" ht="13.8" hidden="true" customHeight="false" outlineLevel="0" collapsed="false">
      <c r="A2499" s="0" t="s">
        <v>10729</v>
      </c>
      <c r="B2499" s="0" t="n">
        <v>78</v>
      </c>
      <c r="C2499" s="0" t="n">
        <v>420722</v>
      </c>
      <c r="D2499" s="0" t="s">
        <v>5872</v>
      </c>
      <c r="E2499" s="0" t="s">
        <v>10730</v>
      </c>
      <c r="F2499" s="0" t="str">
        <f aca="false">CONCATENATE(D2499," ",LEFT(H2499,4),"T=",AU2499,"D=",AV2499,"R=",AW2499,"M=",AX2499,"L=",AY2499,"B=",AZ2499)</f>
        <v>HERNON T=1D=0R=0M=0L=0B=0</v>
      </c>
      <c r="G2499" s="0" t="s">
        <v>10731</v>
      </c>
      <c r="I2499" s="0" t="s">
        <v>10388</v>
      </c>
      <c r="J2499" s="0" t="s">
        <v>10732</v>
      </c>
      <c r="K2499" s="0" t="s">
        <v>160</v>
      </c>
      <c r="M2499" s="0" t="s">
        <v>10733</v>
      </c>
      <c r="N2499" s="0" t="str">
        <f aca="false">RIGHT(M2499,LEN(M2499)-FIND(" ",M2499))</f>
        <v>WOODBINE AVE SE</v>
      </c>
      <c r="P2499" s="0" t="s">
        <v>145</v>
      </c>
      <c r="Q2499" s="0" t="s">
        <v>146</v>
      </c>
      <c r="R2499" s="0" t="n">
        <v>44483</v>
      </c>
      <c r="AD2499" s="0" t="s">
        <v>147</v>
      </c>
      <c r="AE2499" s="0" t="s">
        <v>148</v>
      </c>
      <c r="AF2499" s="0" t="s">
        <v>149</v>
      </c>
      <c r="AH2499" s="0" t="n">
        <v>14</v>
      </c>
      <c r="AI2499" s="0" t="n">
        <v>11</v>
      </c>
      <c r="AN2499" s="0" t="s">
        <v>145</v>
      </c>
      <c r="AO2499" s="0" t="s">
        <v>150</v>
      </c>
      <c r="AP2499" s="0" t="s">
        <v>151</v>
      </c>
      <c r="AQ2499" s="0" t="n">
        <v>9</v>
      </c>
      <c r="AR2499" s="0" t="n">
        <v>64</v>
      </c>
      <c r="AS2499" s="0" t="n">
        <v>32</v>
      </c>
      <c r="AU2499" s="0" t="n">
        <f aca="false">COUNTA($BA$257:$EH$257)</f>
        <v>1</v>
      </c>
      <c r="AV2499" s="0" t="n">
        <f aca="false">COUNTIF($BA$257:$EH$257,"D")</f>
        <v>0</v>
      </c>
      <c r="AW2499" s="0" t="n">
        <f aca="false">COUNTIF($BA$257:$EH$257,"R")</f>
        <v>0</v>
      </c>
      <c r="AX2499" s="0" t="n">
        <f aca="false">IF(BN2499="D",1,0)+IF(BO2499="D",1,0)+IF(BT2499="D",1,0)+IF(BU2499="D",1,0)+IF(BW2499="D",1,0)+IF(CC2499="D",1,0)+IF(CD2499="D",1,0)+IF(CE2499="D",1,0)+IF(CF2499="D",1,0)+IF(CL2499="D",1,0)+IF(CM2499="D",1,0)+IF(CQ2499="D",1,0)+IF(CR2499="D",1,0)+IF(CS2499="D",1,0)+IF(CW2499="D",1,0)+IF(CX2499="D",1,0)+IF(DD2499="D",1,0)+IF(DE2499="D",1,0)+IF(DJ2499="D",1,0)+IF(DK2499="D",1,0)+IF(DO2499="D",1,0)+IF(DP2499="D",1,0)+IF(DQ2499="D",1,0)+IF(DW2499="D",1,0)+IF(DZ2499="D",1,0)+IF(EH2499="D",1,0)</f>
        <v>0</v>
      </c>
      <c r="AY2499" s="0" t="n">
        <f aca="false">COUNTIF(DU2499:EH2499, "&lt;&gt;")</f>
        <v>0</v>
      </c>
      <c r="AZ2499" s="0" t="n">
        <f aca="false">IF(EH2499&lt;&gt;"",1,0)</f>
        <v>0</v>
      </c>
      <c r="BB2499" s="0" t="s">
        <v>152</v>
      </c>
    </row>
    <row r="2500" customFormat="false" ht="13.8" hidden="true" customHeight="false" outlineLevel="0" collapsed="false">
      <c r="A2500" s="0" t="s">
        <v>10734</v>
      </c>
      <c r="B2500" s="0" t="n">
        <v>78</v>
      </c>
      <c r="C2500" s="0" t="n">
        <v>322555</v>
      </c>
      <c r="D2500" s="0" t="s">
        <v>5872</v>
      </c>
      <c r="E2500" s="0" t="s">
        <v>331</v>
      </c>
      <c r="F2500" s="0" t="str">
        <f aca="false">CONCATENATE(D2500," ",LEFT(H2500,4),"T=",AU2500,"D=",AV2500,"R=",AW2500,"M=",AX2500,"L=",AY2500,"B=",AZ2500)</f>
        <v>HERNON T=1D=0R=0M=1L=0B=0</v>
      </c>
      <c r="G2500" s="0" t="s">
        <v>209</v>
      </c>
      <c r="I2500" s="0" t="s">
        <v>10735</v>
      </c>
      <c r="J2500" s="0" t="s">
        <v>10736</v>
      </c>
      <c r="K2500" s="0" t="s">
        <v>160</v>
      </c>
      <c r="M2500" s="0" t="s">
        <v>10733</v>
      </c>
      <c r="N2500" s="0" t="str">
        <f aca="false">RIGHT(M2500,LEN(M2500)-FIND(" ",M2500))</f>
        <v>WOODBINE AVE SE</v>
      </c>
      <c r="P2500" s="0" t="s">
        <v>145</v>
      </c>
      <c r="Q2500" s="0" t="s">
        <v>146</v>
      </c>
      <c r="R2500" s="0" t="n">
        <v>44483</v>
      </c>
      <c r="AD2500" s="0" t="s">
        <v>147</v>
      </c>
      <c r="AE2500" s="0" t="s">
        <v>148</v>
      </c>
      <c r="AF2500" s="0" t="s">
        <v>149</v>
      </c>
      <c r="AH2500" s="0" t="n">
        <v>14</v>
      </c>
      <c r="AI2500" s="0" t="n">
        <v>11</v>
      </c>
      <c r="AN2500" s="0" t="s">
        <v>145</v>
      </c>
      <c r="AO2500" s="0" t="s">
        <v>150</v>
      </c>
      <c r="AP2500" s="0" t="s">
        <v>151</v>
      </c>
      <c r="AQ2500" s="0" t="n">
        <v>9</v>
      </c>
      <c r="AR2500" s="0" t="n">
        <v>64</v>
      </c>
      <c r="AS2500" s="0" t="n">
        <v>32</v>
      </c>
      <c r="AU2500" s="0" t="n">
        <f aca="false">COUNTA($BA$615:$EH$615)</f>
        <v>1</v>
      </c>
      <c r="AV2500" s="0" t="n">
        <f aca="false">COUNTIF($BA$615:$EH$615,"D")</f>
        <v>0</v>
      </c>
      <c r="AW2500" s="0" t="n">
        <f aca="false">COUNTIF($BA$615:$EH$615,"R")</f>
        <v>0</v>
      </c>
      <c r="AX2500" s="0" t="n">
        <f aca="false">IF(BN2500="D",1,0)+IF(BO2500="D",1,0)+IF(BT2500="D",1,0)+IF(BU2500="D",1,0)+IF(BW2500="D",1,0)+IF(CC2500="D",1,0)+IF(CD2500="D",1,0)+IF(CE2500="D",1,0)+IF(CF2500="D",1,0)+IF(CL2500="D",1,0)+IF(CM2500="D",1,0)+IF(CQ2500="D",1,0)+IF(CR2500="D",1,0)+IF(CS2500="D",1,0)+IF(CW2500="D",1,0)+IF(CX2500="D",1,0)+IF(DD2500="D",1,0)+IF(DE2500="D",1,0)+IF(DJ2500="D",1,0)+IF(DK2500="D",1,0)+IF(DO2500="D",1,0)+IF(DP2500="D",1,0)+IF(DQ2500="D",1,0)+IF(DW2500="D",1,0)+IF(DZ2500="D",1,0)+IF(EH2500="D",1,0)</f>
        <v>1</v>
      </c>
      <c r="AY2500" s="0" t="n">
        <f aca="false">COUNTIF(DU2500:EH2500, "&lt;&gt;")</f>
        <v>0</v>
      </c>
      <c r="AZ2500" s="0" t="n">
        <f aca="false">IF(EH2500&lt;&gt;"",1,0)</f>
        <v>0</v>
      </c>
      <c r="BB2500" s="0" t="s">
        <v>152</v>
      </c>
      <c r="BL2500" s="0" t="s">
        <v>153</v>
      </c>
      <c r="CA2500" s="0" t="s">
        <v>153</v>
      </c>
      <c r="CL2500" s="0" t="s">
        <v>175</v>
      </c>
      <c r="CN2500" s="0" t="s">
        <v>153</v>
      </c>
      <c r="CY2500" s="0" t="s">
        <v>153</v>
      </c>
      <c r="DC2500" s="0" t="s">
        <v>153</v>
      </c>
    </row>
    <row r="2501" customFormat="false" ht="13.8" hidden="true" customHeight="false" outlineLevel="0" collapsed="false">
      <c r="A2501" s="0" t="s">
        <v>10737</v>
      </c>
      <c r="B2501" s="0" t="n">
        <v>78</v>
      </c>
      <c r="C2501" s="0" t="n">
        <v>413621</v>
      </c>
      <c r="D2501" s="0" t="s">
        <v>5872</v>
      </c>
      <c r="E2501" s="0" t="s">
        <v>648</v>
      </c>
      <c r="F2501" s="0" t="str">
        <f aca="false">CONCATENATE(D2501," ",LEFT(H2501,4),"T=",AU2501,"D=",AV2501,"R=",AW2501,"M=",AX2501,"L=",AY2501,"B=",AZ2501)</f>
        <v>HERNON T=2D=0R=0M=0L=0B=0</v>
      </c>
      <c r="G2501" s="0" t="s">
        <v>274</v>
      </c>
      <c r="I2501" s="0" t="s">
        <v>10738</v>
      </c>
      <c r="J2501" s="0" t="s">
        <v>10739</v>
      </c>
      <c r="K2501" s="0" t="s">
        <v>160</v>
      </c>
      <c r="M2501" s="0" t="s">
        <v>10733</v>
      </c>
      <c r="N2501" s="0" t="str">
        <f aca="false">RIGHT(M2501,LEN(M2501)-FIND(" ",M2501))</f>
        <v>WOODBINE AVE SE</v>
      </c>
      <c r="P2501" s="0" t="s">
        <v>145</v>
      </c>
      <c r="Q2501" s="0" t="s">
        <v>146</v>
      </c>
      <c r="R2501" s="0" t="n">
        <v>44483</v>
      </c>
      <c r="AD2501" s="0" t="s">
        <v>147</v>
      </c>
      <c r="AE2501" s="0" t="s">
        <v>148</v>
      </c>
      <c r="AF2501" s="0" t="s">
        <v>149</v>
      </c>
      <c r="AH2501" s="0" t="n">
        <v>14</v>
      </c>
      <c r="AI2501" s="0" t="n">
        <v>11</v>
      </c>
      <c r="AN2501" s="0" t="s">
        <v>145</v>
      </c>
      <c r="AO2501" s="0" t="s">
        <v>150</v>
      </c>
      <c r="AP2501" s="0" t="s">
        <v>151</v>
      </c>
      <c r="AQ2501" s="0" t="n">
        <v>9</v>
      </c>
      <c r="AR2501" s="0" t="n">
        <v>64</v>
      </c>
      <c r="AS2501" s="0" t="n">
        <v>32</v>
      </c>
      <c r="AU2501" s="0" t="n">
        <f aca="false">COUNTA($BA$629:$EH$629)</f>
        <v>2</v>
      </c>
      <c r="AV2501" s="0" t="n">
        <f aca="false">COUNTIF($BA$629:$EH$629,"D")</f>
        <v>0</v>
      </c>
      <c r="AW2501" s="0" t="n">
        <f aca="false">COUNTIF($BA$629:$EH$629,"R")</f>
        <v>0</v>
      </c>
      <c r="AX2501" s="0" t="n">
        <f aca="false">IF(BN2501="D",1,0)+IF(BO2501="D",1,0)+IF(BT2501="D",1,0)+IF(BU2501="D",1,0)+IF(BW2501="D",1,0)+IF(CC2501="D",1,0)+IF(CD2501="D",1,0)+IF(CE2501="D",1,0)+IF(CF2501="D",1,0)+IF(CL2501="D",1,0)+IF(CM2501="D",1,0)+IF(CQ2501="D",1,0)+IF(CR2501="D",1,0)+IF(CS2501="D",1,0)+IF(CW2501="D",1,0)+IF(CX2501="D",1,0)+IF(DD2501="D",1,0)+IF(DE2501="D",1,0)+IF(DJ2501="D",1,0)+IF(DK2501="D",1,0)+IF(DO2501="D",1,0)+IF(DP2501="D",1,0)+IF(DQ2501="D",1,0)+IF(DW2501="D",1,0)+IF(DZ2501="D",1,0)+IF(EH2501="D",1,0)</f>
        <v>0</v>
      </c>
      <c r="AY2501" s="0" t="n">
        <f aca="false">COUNTIF(DU2501:EH2501, "&lt;&gt;")</f>
        <v>0</v>
      </c>
      <c r="AZ2501" s="0" t="n">
        <f aca="false">IF(EH2501&lt;&gt;"",1,0)</f>
        <v>0</v>
      </c>
      <c r="BB2501" s="0" t="s">
        <v>152</v>
      </c>
    </row>
    <row r="2502" customFormat="false" ht="13.8" hidden="false" customHeight="false" outlineLevel="0" collapsed="false">
      <c r="A2502" s="0" t="s">
        <v>10740</v>
      </c>
      <c r="B2502" s="0" t="n">
        <v>78</v>
      </c>
      <c r="C2502" s="0" t="n">
        <v>448022</v>
      </c>
      <c r="D2502" s="0" t="s">
        <v>1445</v>
      </c>
      <c r="E2502" s="0" t="s">
        <v>2695</v>
      </c>
      <c r="F2502" s="0" t="str">
        <f aca="false">CONCATENATE(D2502," ",LEFT(H2502,4),"T=",AU2502,"D=",AV2502,"R=",AW2502,"M=",AX2502,"L=",AY2502,"B=",AZ2502)</f>
        <v>WILLIAMS T=1D=0R=0M=0L=2B=0</v>
      </c>
      <c r="G2502" s="0" t="s">
        <v>164</v>
      </c>
      <c r="I2502" s="0" t="s">
        <v>10741</v>
      </c>
      <c r="J2502" s="0" t="s">
        <v>10742</v>
      </c>
      <c r="K2502" s="0" t="s">
        <v>160</v>
      </c>
      <c r="M2502" s="0" t="s">
        <v>10743</v>
      </c>
      <c r="N2502" s="0" t="str">
        <f aca="false">RIGHT(M2502,LEN(M2502)-FIND(" ",M2502))</f>
        <v>WOODBINE AVE SE</v>
      </c>
      <c r="P2502" s="0" t="s">
        <v>145</v>
      </c>
      <c r="Q2502" s="0" t="s">
        <v>146</v>
      </c>
      <c r="R2502" s="0" t="n">
        <v>44483</v>
      </c>
      <c r="AD2502" s="0" t="s">
        <v>147</v>
      </c>
      <c r="AE2502" s="0" t="s">
        <v>148</v>
      </c>
      <c r="AF2502" s="0" t="s">
        <v>149</v>
      </c>
      <c r="AH2502" s="0" t="n">
        <v>14</v>
      </c>
      <c r="AI2502" s="0" t="n">
        <v>11</v>
      </c>
      <c r="AN2502" s="0" t="s">
        <v>145</v>
      </c>
      <c r="AO2502" s="0" t="s">
        <v>150</v>
      </c>
      <c r="AP2502" s="0" t="s">
        <v>151</v>
      </c>
      <c r="AQ2502" s="0" t="n">
        <v>9</v>
      </c>
      <c r="AR2502" s="0" t="n">
        <v>64</v>
      </c>
      <c r="AS2502" s="0" t="n">
        <v>32</v>
      </c>
      <c r="AU2502" s="0" t="n">
        <f aca="false">COUNTA($BA$502:$EH$502)</f>
        <v>1</v>
      </c>
      <c r="AV2502" s="0" t="n">
        <f aca="false">COUNTIF($BA$502:$EH$502,"D")</f>
        <v>0</v>
      </c>
      <c r="AW2502" s="0" t="n">
        <f aca="false">COUNTIF($BA$502:$EH$502,"R")</f>
        <v>0</v>
      </c>
      <c r="AX2502" s="0" t="n">
        <f aca="false">IF(BN2502="D",1,0)+IF(BO2502="D",1,0)+IF(BT2502="D",1,0)+IF(BU2502="D",1,0)+IF(BW2502="D",1,0)+IF(CC2502="D",1,0)+IF(CD2502="D",1,0)+IF(CE2502="D",1,0)+IF(CF2502="D",1,0)+IF(CL2502="D",1,0)+IF(CM2502="D",1,0)+IF(CQ2502="D",1,0)+IF(CR2502="D",1,0)+IF(CS2502="D",1,0)+IF(CW2502="D",1,0)+IF(CX2502="D",1,0)+IF(DD2502="D",1,0)+IF(DE2502="D",1,0)+IF(DJ2502="D",1,0)+IF(DK2502="D",1,0)+IF(DO2502="D",1,0)+IF(DP2502="D",1,0)+IF(DQ2502="D",1,0)+IF(DW2502="D",1,0)+IF(DZ2502="D",1,0)+IF(EH2502="D",1,0)</f>
        <v>0</v>
      </c>
      <c r="AY2502" s="0" t="n">
        <f aca="false">COUNTIF(DU2502:EH2502, "&lt;&gt;")</f>
        <v>2</v>
      </c>
      <c r="AZ2502" s="0" t="n">
        <f aca="false">IF(EH2502&lt;&gt;"",1,0)</f>
        <v>0</v>
      </c>
      <c r="BB2502" s="0" t="s">
        <v>152</v>
      </c>
      <c r="DN2502" s="0" t="s">
        <v>153</v>
      </c>
      <c r="DU2502" s="0" t="s">
        <v>153</v>
      </c>
      <c r="EF2502" s="0" t="s">
        <v>153</v>
      </c>
    </row>
    <row r="2503" customFormat="false" ht="13.8" hidden="false" customHeight="false" outlineLevel="0" collapsed="false">
      <c r="A2503" s="0" t="s">
        <v>10744</v>
      </c>
      <c r="B2503" s="0" t="n">
        <v>78</v>
      </c>
      <c r="C2503" s="0" t="n">
        <v>435507</v>
      </c>
      <c r="D2503" s="0" t="s">
        <v>1445</v>
      </c>
      <c r="E2503" s="0" t="s">
        <v>2904</v>
      </c>
      <c r="F2503" s="0" t="str">
        <f aca="false">CONCATENATE(D2503," ",LEFT(H2503,4),"T=",AU2503,"D=",AV2503,"R=",AW2503,"M=",AX2503,"L=",AY2503,"B=",AZ2503)</f>
        <v>WILLIAMS T=13D=3R=0M=0L=5B=0</v>
      </c>
      <c r="G2503" s="0" t="s">
        <v>10745</v>
      </c>
      <c r="I2503" s="0" t="s">
        <v>10746</v>
      </c>
      <c r="J2503" s="0" t="s">
        <v>7277</v>
      </c>
      <c r="K2503" s="0" t="s">
        <v>160</v>
      </c>
      <c r="L2503" s="0" t="s">
        <v>209</v>
      </c>
      <c r="M2503" s="0" t="s">
        <v>10743</v>
      </c>
      <c r="N2503" s="0" t="str">
        <f aca="false">RIGHT(M2503,LEN(M2503)-FIND(" ",M2503))</f>
        <v>WOODBINE AVE SE</v>
      </c>
      <c r="P2503" s="0" t="s">
        <v>145</v>
      </c>
      <c r="Q2503" s="0" t="s">
        <v>146</v>
      </c>
      <c r="R2503" s="0" t="n">
        <v>44483</v>
      </c>
      <c r="AD2503" s="0" t="s">
        <v>147</v>
      </c>
      <c r="AE2503" s="0" t="s">
        <v>148</v>
      </c>
      <c r="AF2503" s="0" t="s">
        <v>149</v>
      </c>
      <c r="AH2503" s="0" t="n">
        <v>14</v>
      </c>
      <c r="AI2503" s="0" t="n">
        <v>11</v>
      </c>
      <c r="AN2503" s="0" t="s">
        <v>145</v>
      </c>
      <c r="AO2503" s="0" t="s">
        <v>150</v>
      </c>
      <c r="AP2503" s="0" t="s">
        <v>151</v>
      </c>
      <c r="AQ2503" s="0" t="n">
        <v>9</v>
      </c>
      <c r="AR2503" s="0" t="n">
        <v>64</v>
      </c>
      <c r="AS2503" s="0" t="n">
        <v>32</v>
      </c>
      <c r="AU2503" s="0" t="n">
        <f aca="false">COUNTA($BA$674:$EH$674)</f>
        <v>13</v>
      </c>
      <c r="AV2503" s="0" t="n">
        <f aca="false">COUNTIF($BA$674:$EH$674,"D")</f>
        <v>3</v>
      </c>
      <c r="AW2503" s="0" t="n">
        <f aca="false">COUNTIF($BA$674:$EH$674,"R")</f>
        <v>0</v>
      </c>
      <c r="AX2503" s="0" t="n">
        <f aca="false">IF(BN2503="D",1,0)+IF(BO2503="D",1,0)+IF(BT2503="D",1,0)+IF(BU2503="D",1,0)+IF(BW2503="D",1,0)+IF(CC2503="D",1,0)+IF(CD2503="D",1,0)+IF(CE2503="D",1,0)+IF(CF2503="D",1,0)+IF(CL2503="D",1,0)+IF(CM2503="D",1,0)+IF(CQ2503="D",1,0)+IF(CR2503="D",1,0)+IF(CS2503="D",1,0)+IF(CW2503="D",1,0)+IF(CX2503="D",1,0)+IF(DD2503="D",1,0)+IF(DE2503="D",1,0)+IF(DJ2503="D",1,0)+IF(DK2503="D",1,0)+IF(DO2503="D",1,0)+IF(DP2503="D",1,0)+IF(DQ2503="D",1,0)+IF(DW2503="D",1,0)+IF(DZ2503="D",1,0)+IF(EH2503="D",1,0)</f>
        <v>0</v>
      </c>
      <c r="AY2503" s="0" t="n">
        <f aca="false">COUNTIF(DU2503:EH2503, "&lt;&gt;")</f>
        <v>5</v>
      </c>
      <c r="AZ2503" s="0" t="n">
        <f aca="false">IF(EH2503&lt;&gt;"",1,0)</f>
        <v>0</v>
      </c>
      <c r="BB2503" s="0" t="s">
        <v>152</v>
      </c>
      <c r="CA2503" s="0" t="s">
        <v>153</v>
      </c>
      <c r="DI2503" s="0" t="s">
        <v>153</v>
      </c>
      <c r="DN2503" s="0" t="s">
        <v>153</v>
      </c>
      <c r="DU2503" s="0" t="s">
        <v>153</v>
      </c>
      <c r="DX2503" s="0" t="s">
        <v>153</v>
      </c>
      <c r="EA2503" s="0" t="s">
        <v>153</v>
      </c>
      <c r="ED2503" s="0" t="s">
        <v>209</v>
      </c>
      <c r="EF2503" s="0" t="s">
        <v>153</v>
      </c>
    </row>
    <row r="2504" customFormat="false" ht="13.8" hidden="true" customHeight="false" outlineLevel="0" collapsed="false">
      <c r="A2504" s="0" t="s">
        <v>10747</v>
      </c>
      <c r="B2504" s="0" t="n">
        <v>78</v>
      </c>
      <c r="C2504" s="0" t="n">
        <v>349374</v>
      </c>
      <c r="D2504" s="0" t="s">
        <v>8305</v>
      </c>
      <c r="E2504" s="0" t="s">
        <v>10748</v>
      </c>
      <c r="F2504" s="0" t="str">
        <f aca="false">CONCATENATE(D2504," ",LEFT(H2504,4),"T=",AU2504,"D=",AV2504,"R=",AW2504,"M=",AX2504,"L=",AY2504,"B=",AZ2504)</f>
        <v>HARRINGTON T=4D=0R=0M=0L=0B=0</v>
      </c>
      <c r="G2504" s="0" t="s">
        <v>164</v>
      </c>
      <c r="I2504" s="0" t="s">
        <v>10749</v>
      </c>
      <c r="J2504" s="0" t="s">
        <v>10750</v>
      </c>
      <c r="K2504" s="0" t="s">
        <v>160</v>
      </c>
      <c r="M2504" s="0" t="s">
        <v>10751</v>
      </c>
      <c r="N2504" s="0" t="str">
        <f aca="false">RIGHT(M2504,LEN(M2504)-FIND(" ",M2504))</f>
        <v>WOODBINE AVE SE</v>
      </c>
      <c r="P2504" s="0" t="s">
        <v>145</v>
      </c>
      <c r="Q2504" s="0" t="s">
        <v>146</v>
      </c>
      <c r="R2504" s="0" t="n">
        <v>44483</v>
      </c>
      <c r="AD2504" s="0" t="s">
        <v>147</v>
      </c>
      <c r="AE2504" s="0" t="s">
        <v>148</v>
      </c>
      <c r="AF2504" s="0" t="s">
        <v>149</v>
      </c>
      <c r="AH2504" s="0" t="n">
        <v>14</v>
      </c>
      <c r="AI2504" s="0" t="n">
        <v>11</v>
      </c>
      <c r="AN2504" s="0" t="s">
        <v>145</v>
      </c>
      <c r="AO2504" s="0" t="s">
        <v>150</v>
      </c>
      <c r="AP2504" s="0" t="s">
        <v>151</v>
      </c>
      <c r="AQ2504" s="0" t="n">
        <v>9</v>
      </c>
      <c r="AR2504" s="0" t="n">
        <v>64</v>
      </c>
      <c r="AS2504" s="0" t="n">
        <v>32</v>
      </c>
      <c r="AU2504" s="0" t="n">
        <f aca="false">COUNTA($BA$169:$EH$169)</f>
        <v>4</v>
      </c>
      <c r="AV2504" s="0" t="n">
        <f aca="false">COUNTIF($BA$169:$EH$169,"D")</f>
        <v>0</v>
      </c>
      <c r="AW2504" s="0" t="n">
        <f aca="false">COUNTIF($BA$169:$EH$169,"R")</f>
        <v>0</v>
      </c>
      <c r="AX2504" s="0" t="n">
        <f aca="false">IF(BN2504="D",1,0)+IF(BO2504="D",1,0)+IF(BT2504="D",1,0)+IF(BU2504="D",1,0)+IF(BW2504="D",1,0)+IF(CC2504="D",1,0)+IF(CD2504="D",1,0)+IF(CE2504="D",1,0)+IF(CF2504="D",1,0)+IF(CL2504="D",1,0)+IF(CM2504="D",1,0)+IF(CQ2504="D",1,0)+IF(CR2504="D",1,0)+IF(CS2504="D",1,0)+IF(CW2504="D",1,0)+IF(CX2504="D",1,0)+IF(DD2504="D",1,0)+IF(DE2504="D",1,0)+IF(DJ2504="D",1,0)+IF(DK2504="D",1,0)+IF(DO2504="D",1,0)+IF(DP2504="D",1,0)+IF(DQ2504="D",1,0)+IF(DW2504="D",1,0)+IF(DZ2504="D",1,0)+IF(EH2504="D",1,0)</f>
        <v>0</v>
      </c>
      <c r="AY2504" s="0" t="n">
        <f aca="false">COUNTIF(DU2504:EH2504, "&lt;&gt;")</f>
        <v>0</v>
      </c>
      <c r="AZ2504" s="0" t="n">
        <f aca="false">IF(EH2504&lt;&gt;"",1,0)</f>
        <v>0</v>
      </c>
      <c r="BB2504" s="0" t="s">
        <v>152</v>
      </c>
    </row>
    <row r="2505" customFormat="false" ht="13.8" hidden="true" customHeight="false" outlineLevel="0" collapsed="false">
      <c r="A2505" s="0" t="s">
        <v>10752</v>
      </c>
      <c r="B2505" s="0" t="n">
        <v>78</v>
      </c>
      <c r="C2505" s="0" t="n">
        <v>262681</v>
      </c>
      <c r="D2505" s="0" t="s">
        <v>556</v>
      </c>
      <c r="E2505" s="0" t="s">
        <v>4648</v>
      </c>
      <c r="F2505" s="0" t="str">
        <f aca="false">CONCATENATE(D2505," ",LEFT(H2505,4),"T=",AU2505,"D=",AV2505,"R=",AW2505,"M=",AX2505,"L=",AY2505,"B=",AZ2505)</f>
        <v>ANDERSON T=32D=11R=0M=0L=1B=0</v>
      </c>
      <c r="I2505" s="0" t="s">
        <v>8378</v>
      </c>
      <c r="J2505" s="0" t="s">
        <v>10753</v>
      </c>
      <c r="K2505" s="0" t="s">
        <v>160</v>
      </c>
      <c r="M2505" s="0" t="s">
        <v>10754</v>
      </c>
      <c r="N2505" s="0" t="str">
        <f aca="false">RIGHT(M2505,LEN(M2505)-FIND(" ",M2505))</f>
        <v>WOODBINE AVE SE</v>
      </c>
      <c r="P2505" s="0" t="s">
        <v>145</v>
      </c>
      <c r="Q2505" s="0" t="s">
        <v>146</v>
      </c>
      <c r="R2505" s="0" t="n">
        <v>44483</v>
      </c>
      <c r="AD2505" s="0" t="s">
        <v>147</v>
      </c>
      <c r="AE2505" s="0" t="s">
        <v>148</v>
      </c>
      <c r="AF2505" s="0" t="s">
        <v>149</v>
      </c>
      <c r="AH2505" s="0" t="n">
        <v>14</v>
      </c>
      <c r="AI2505" s="0" t="n">
        <v>11</v>
      </c>
      <c r="AN2505" s="0" t="s">
        <v>145</v>
      </c>
      <c r="AO2505" s="0" t="s">
        <v>150</v>
      </c>
      <c r="AP2505" s="0" t="s">
        <v>151</v>
      </c>
      <c r="AQ2505" s="0" t="n">
        <v>9</v>
      </c>
      <c r="AR2505" s="0" t="n">
        <v>64</v>
      </c>
      <c r="AS2505" s="0" t="n">
        <v>32</v>
      </c>
      <c r="AU2505" s="0" t="n">
        <f aca="false">COUNTA($BA$350:$EH$350)</f>
        <v>32</v>
      </c>
      <c r="AV2505" s="0" t="n">
        <f aca="false">COUNTIF($BA$350:$EH$350,"D")</f>
        <v>11</v>
      </c>
      <c r="AW2505" s="0" t="n">
        <f aca="false">COUNTIF($BA$350:$EH$350,"R")</f>
        <v>0</v>
      </c>
      <c r="AX2505" s="0" t="n">
        <f aca="false">IF(BN2505="D",1,0)+IF(BO2505="D",1,0)+IF(BT2505="D",1,0)+IF(BU2505="D",1,0)+IF(BW2505="D",1,0)+IF(CC2505="D",1,0)+IF(CD2505="D",1,0)+IF(CE2505="D",1,0)+IF(CF2505="D",1,0)+IF(CL2505="D",1,0)+IF(CM2505="D",1,0)+IF(CQ2505="D",1,0)+IF(CR2505="D",1,0)+IF(CS2505="D",1,0)+IF(CW2505="D",1,0)+IF(CX2505="D",1,0)+IF(DD2505="D",1,0)+IF(DE2505="D",1,0)+IF(DJ2505="D",1,0)+IF(DK2505="D",1,0)+IF(DO2505="D",1,0)+IF(DP2505="D",1,0)+IF(DQ2505="D",1,0)+IF(DW2505="D",1,0)+IF(DZ2505="D",1,0)+IF(EH2505="D",1,0)</f>
        <v>0</v>
      </c>
      <c r="AY2505" s="0" t="n">
        <f aca="false">COUNTIF(DU2505:EH2505, "&lt;&gt;")</f>
        <v>1</v>
      </c>
      <c r="AZ2505" s="0" t="n">
        <f aca="false">IF(EH2505&lt;&gt;"",1,0)</f>
        <v>0</v>
      </c>
      <c r="BB2505" s="0" t="s">
        <v>152</v>
      </c>
      <c r="BD2505" s="0" t="s">
        <v>153</v>
      </c>
      <c r="BL2505" s="0" t="s">
        <v>153</v>
      </c>
      <c r="BY2505" s="0" t="s">
        <v>175</v>
      </c>
      <c r="CG2505" s="0" t="s">
        <v>153</v>
      </c>
      <c r="CO2505" s="0" t="s">
        <v>175</v>
      </c>
      <c r="CP2505" s="0" t="s">
        <v>153</v>
      </c>
      <c r="CY2505" s="0" t="s">
        <v>153</v>
      </c>
      <c r="CZ2505" s="0" t="s">
        <v>175</v>
      </c>
      <c r="DC2505" s="0" t="s">
        <v>153</v>
      </c>
      <c r="DN2505" s="0" t="s">
        <v>153</v>
      </c>
      <c r="EF2505" s="0" t="s">
        <v>153</v>
      </c>
    </row>
    <row r="2506" customFormat="false" ht="13.8" hidden="true" customHeight="false" outlineLevel="0" collapsed="false">
      <c r="A2506" s="0" t="s">
        <v>10755</v>
      </c>
      <c r="B2506" s="0" t="n">
        <v>78</v>
      </c>
      <c r="C2506" s="0" t="n">
        <v>332177</v>
      </c>
      <c r="D2506" s="0" t="s">
        <v>556</v>
      </c>
      <c r="E2506" s="0" t="s">
        <v>324</v>
      </c>
      <c r="F2506" s="0" t="str">
        <f aca="false">CONCATENATE(D2506," ",LEFT(H2506,4),"T=",AU2506,"D=",AV2506,"R=",AW2506,"M=",AX2506,"L=",AY2506,"B=",AZ2506)</f>
        <v>ANDERSON T=26D=6R=0M=0L=1B=0</v>
      </c>
      <c r="G2506" s="0" t="s">
        <v>325</v>
      </c>
      <c r="I2506" s="0" t="s">
        <v>10756</v>
      </c>
      <c r="J2506" s="0" t="s">
        <v>8708</v>
      </c>
      <c r="K2506" s="0" t="s">
        <v>160</v>
      </c>
      <c r="M2506" s="0" t="s">
        <v>10754</v>
      </c>
      <c r="N2506" s="0" t="str">
        <f aca="false">RIGHT(M2506,LEN(M2506)-FIND(" ",M2506))</f>
        <v>WOODBINE AVE SE</v>
      </c>
      <c r="P2506" s="0" t="s">
        <v>145</v>
      </c>
      <c r="Q2506" s="0" t="s">
        <v>146</v>
      </c>
      <c r="R2506" s="0" t="n">
        <v>44483</v>
      </c>
      <c r="AD2506" s="0" t="s">
        <v>147</v>
      </c>
      <c r="AE2506" s="0" t="s">
        <v>148</v>
      </c>
      <c r="AF2506" s="0" t="s">
        <v>149</v>
      </c>
      <c r="AH2506" s="0" t="n">
        <v>14</v>
      </c>
      <c r="AI2506" s="0" t="n">
        <v>11</v>
      </c>
      <c r="AN2506" s="0" t="s">
        <v>145</v>
      </c>
      <c r="AO2506" s="0" t="s">
        <v>150</v>
      </c>
      <c r="AP2506" s="0" t="s">
        <v>151</v>
      </c>
      <c r="AQ2506" s="0" t="n">
        <v>9</v>
      </c>
      <c r="AR2506" s="0" t="n">
        <v>64</v>
      </c>
      <c r="AS2506" s="0" t="n">
        <v>32</v>
      </c>
      <c r="AU2506" s="0" t="n">
        <f aca="false">COUNTA($BA$669:$EH$669)</f>
        <v>26</v>
      </c>
      <c r="AV2506" s="0" t="n">
        <f aca="false">COUNTIF($BA$669:$EH$669,"D")</f>
        <v>6</v>
      </c>
      <c r="AW2506" s="0" t="n">
        <f aca="false">COUNTIF($BA$669:$EH$669,"R")</f>
        <v>0</v>
      </c>
      <c r="AX2506" s="0" t="n">
        <f aca="false">IF(BN2506="D",1,0)+IF(BO2506="D",1,0)+IF(BT2506="D",1,0)+IF(BU2506="D",1,0)+IF(BW2506="D",1,0)+IF(CC2506="D",1,0)+IF(CD2506="D",1,0)+IF(CE2506="D",1,0)+IF(CF2506="D",1,0)+IF(CL2506="D",1,0)+IF(CM2506="D",1,0)+IF(CQ2506="D",1,0)+IF(CR2506="D",1,0)+IF(CS2506="D",1,0)+IF(CW2506="D",1,0)+IF(CX2506="D",1,0)+IF(DD2506="D",1,0)+IF(DE2506="D",1,0)+IF(DJ2506="D",1,0)+IF(DK2506="D",1,0)+IF(DO2506="D",1,0)+IF(DP2506="D",1,0)+IF(DQ2506="D",1,0)+IF(DW2506="D",1,0)+IF(DZ2506="D",1,0)+IF(EH2506="D",1,0)</f>
        <v>0</v>
      </c>
      <c r="AY2506" s="0" t="n">
        <f aca="false">COUNTIF(DU2506:EH2506, "&lt;&gt;")</f>
        <v>1</v>
      </c>
      <c r="AZ2506" s="0" t="n">
        <f aca="false">IF(EH2506&lt;&gt;"",1,0)</f>
        <v>0</v>
      </c>
      <c r="BB2506" s="0" t="s">
        <v>152</v>
      </c>
      <c r="BL2506" s="0" t="s">
        <v>153</v>
      </c>
      <c r="BS2506" s="0" t="s">
        <v>153</v>
      </c>
      <c r="BY2506" s="0" t="s">
        <v>175</v>
      </c>
      <c r="CA2506" s="0" t="s">
        <v>153</v>
      </c>
      <c r="CG2506" s="0" t="s">
        <v>153</v>
      </c>
      <c r="CO2506" s="0" t="s">
        <v>175</v>
      </c>
      <c r="CP2506" s="0" t="s">
        <v>153</v>
      </c>
      <c r="CY2506" s="0" t="s">
        <v>153</v>
      </c>
      <c r="CZ2506" s="0" t="s">
        <v>175</v>
      </c>
      <c r="DC2506" s="0" t="s">
        <v>153</v>
      </c>
      <c r="DG2506" s="0" t="s">
        <v>175</v>
      </c>
      <c r="DN2506" s="0" t="s">
        <v>153</v>
      </c>
      <c r="EF2506" s="0" t="s">
        <v>153</v>
      </c>
    </row>
    <row r="2507" customFormat="false" ht="13.8" hidden="true" customHeight="false" outlineLevel="0" collapsed="false">
      <c r="A2507" s="0" t="s">
        <v>10757</v>
      </c>
      <c r="B2507" s="0" t="n">
        <v>78</v>
      </c>
      <c r="C2507" s="0" t="n">
        <v>476437</v>
      </c>
      <c r="D2507" s="0" t="s">
        <v>740</v>
      </c>
      <c r="E2507" s="0" t="s">
        <v>10758</v>
      </c>
      <c r="F2507" s="0" t="str">
        <f aca="false">CONCATENATE(D2507," ",LEFT(H2507,4),"T=",AU2507,"D=",AV2507,"R=",AW2507,"M=",AX2507,"L=",AY2507,"B=",AZ2507)</f>
        <v>PATTERSON T=3D=0R=0M=0L=1B=0</v>
      </c>
      <c r="G2507" s="0" t="s">
        <v>9328</v>
      </c>
      <c r="I2507" s="0" t="s">
        <v>10759</v>
      </c>
      <c r="J2507" s="0" t="s">
        <v>231</v>
      </c>
      <c r="K2507" s="0" t="s">
        <v>160</v>
      </c>
      <c r="M2507" s="0" t="s">
        <v>10760</v>
      </c>
      <c r="N2507" s="0" t="str">
        <f aca="false">RIGHT(M2507,LEN(M2507)-FIND(" ",M2507))</f>
        <v>WOODBINE AVE SE</v>
      </c>
      <c r="P2507" s="0" t="s">
        <v>145</v>
      </c>
      <c r="Q2507" s="0" t="s">
        <v>146</v>
      </c>
      <c r="R2507" s="0" t="n">
        <v>44483</v>
      </c>
      <c r="AD2507" s="0" t="s">
        <v>147</v>
      </c>
      <c r="AE2507" s="0" t="s">
        <v>148</v>
      </c>
      <c r="AF2507" s="0" t="s">
        <v>149</v>
      </c>
      <c r="AH2507" s="0" t="n">
        <v>14</v>
      </c>
      <c r="AI2507" s="0" t="n">
        <v>11</v>
      </c>
      <c r="AN2507" s="0" t="s">
        <v>145</v>
      </c>
      <c r="AO2507" s="0" t="s">
        <v>150</v>
      </c>
      <c r="AP2507" s="0" t="s">
        <v>151</v>
      </c>
      <c r="AQ2507" s="0" t="n">
        <v>9</v>
      </c>
      <c r="AR2507" s="0" t="n">
        <v>64</v>
      </c>
      <c r="AS2507" s="0" t="n">
        <v>32</v>
      </c>
      <c r="AU2507" s="0" t="n">
        <f aca="false">COUNTA($BA$223:$EH$223)</f>
        <v>3</v>
      </c>
      <c r="AV2507" s="0" t="n">
        <f aca="false">COUNTIF($BA$223:$EH$223,"D")</f>
        <v>0</v>
      </c>
      <c r="AW2507" s="0" t="n">
        <f aca="false">COUNTIF($BA$223:$EH$223,"R")</f>
        <v>0</v>
      </c>
      <c r="AX2507" s="0" t="n">
        <f aca="false">IF(BN2507="D",1,0)+IF(BO2507="D",1,0)+IF(BT2507="D",1,0)+IF(BU2507="D",1,0)+IF(BW2507="D",1,0)+IF(CC2507="D",1,0)+IF(CD2507="D",1,0)+IF(CE2507="D",1,0)+IF(CF2507="D",1,0)+IF(CL2507="D",1,0)+IF(CM2507="D",1,0)+IF(CQ2507="D",1,0)+IF(CR2507="D",1,0)+IF(CS2507="D",1,0)+IF(CW2507="D",1,0)+IF(CX2507="D",1,0)+IF(DD2507="D",1,0)+IF(DE2507="D",1,0)+IF(DJ2507="D",1,0)+IF(DK2507="D",1,0)+IF(DO2507="D",1,0)+IF(DP2507="D",1,0)+IF(DQ2507="D",1,0)+IF(DW2507="D",1,0)+IF(DZ2507="D",1,0)+IF(EH2507="D",1,0)</f>
        <v>0</v>
      </c>
      <c r="AY2507" s="0" t="n">
        <f aca="false">COUNTIF(DU2507:EH2507, "&lt;&gt;")</f>
        <v>1</v>
      </c>
      <c r="AZ2507" s="0" t="n">
        <f aca="false">IF(EH2507&lt;&gt;"",1,0)</f>
        <v>0</v>
      </c>
      <c r="BB2507" s="0" t="s">
        <v>152</v>
      </c>
      <c r="DC2507" s="0" t="s">
        <v>153</v>
      </c>
      <c r="EF2507" s="0" t="s">
        <v>153</v>
      </c>
    </row>
    <row r="2508" customFormat="false" ht="13.8" hidden="false" customHeight="false" outlineLevel="0" collapsed="false">
      <c r="A2508" s="0" t="s">
        <v>10761</v>
      </c>
      <c r="B2508" s="0" t="n">
        <v>78</v>
      </c>
      <c r="C2508" s="0" t="n">
        <v>353473</v>
      </c>
      <c r="D2508" s="0" t="s">
        <v>740</v>
      </c>
      <c r="E2508" s="0" t="s">
        <v>2165</v>
      </c>
      <c r="F2508" s="0" t="str">
        <f aca="false">CONCATENATE(D2508," ",LEFT(H2508,4),"T=",AU2508,"D=",AV2508,"R=",AW2508,"M=",AX2508,"L=",AY2508,"B=",AZ2508)</f>
        <v>PATTERSON T=4D=0R=0M=0L=4B=0</v>
      </c>
      <c r="G2508" s="0" t="s">
        <v>1128</v>
      </c>
      <c r="I2508" s="0" t="s">
        <v>10762</v>
      </c>
      <c r="J2508" s="0" t="s">
        <v>8928</v>
      </c>
      <c r="K2508" s="0" t="s">
        <v>160</v>
      </c>
      <c r="M2508" s="0" t="s">
        <v>10760</v>
      </c>
      <c r="N2508" s="0" t="str">
        <f aca="false">RIGHT(M2508,LEN(M2508)-FIND(" ",M2508))</f>
        <v>WOODBINE AVE SE</v>
      </c>
      <c r="P2508" s="0" t="s">
        <v>145</v>
      </c>
      <c r="Q2508" s="0" t="s">
        <v>146</v>
      </c>
      <c r="R2508" s="0" t="n">
        <v>44483</v>
      </c>
      <c r="AD2508" s="0" t="s">
        <v>147</v>
      </c>
      <c r="AE2508" s="0" t="s">
        <v>148</v>
      </c>
      <c r="AF2508" s="0" t="s">
        <v>149</v>
      </c>
      <c r="AH2508" s="0" t="n">
        <v>14</v>
      </c>
      <c r="AI2508" s="0" t="n">
        <v>11</v>
      </c>
      <c r="AN2508" s="0" t="s">
        <v>145</v>
      </c>
      <c r="AO2508" s="0" t="s">
        <v>150</v>
      </c>
      <c r="AP2508" s="0" t="s">
        <v>151</v>
      </c>
      <c r="AQ2508" s="0" t="n">
        <v>9</v>
      </c>
      <c r="AR2508" s="0" t="n">
        <v>64</v>
      </c>
      <c r="AS2508" s="0" t="n">
        <v>32</v>
      </c>
      <c r="AU2508" s="0" t="n">
        <f aca="false">COUNTA($BA$296:$EH$296)</f>
        <v>4</v>
      </c>
      <c r="AV2508" s="0" t="n">
        <f aca="false">COUNTIF($BA$296:$EH$296,"D")</f>
        <v>0</v>
      </c>
      <c r="AW2508" s="0" t="n">
        <f aca="false">COUNTIF($BA$296:$EH$296,"R")</f>
        <v>0</v>
      </c>
      <c r="AX2508" s="0" t="n">
        <f aca="false">IF(BN2508="D",1,0)+IF(BO2508="D",1,0)+IF(BT2508="D",1,0)+IF(BU2508="D",1,0)+IF(BW2508="D",1,0)+IF(CC2508="D",1,0)+IF(CD2508="D",1,0)+IF(CE2508="D",1,0)+IF(CF2508="D",1,0)+IF(CL2508="D",1,0)+IF(CM2508="D",1,0)+IF(CQ2508="D",1,0)+IF(CR2508="D",1,0)+IF(CS2508="D",1,0)+IF(CW2508="D",1,0)+IF(CX2508="D",1,0)+IF(DD2508="D",1,0)+IF(DE2508="D",1,0)+IF(DJ2508="D",1,0)+IF(DK2508="D",1,0)+IF(DO2508="D",1,0)+IF(DP2508="D",1,0)+IF(DQ2508="D",1,0)+IF(DW2508="D",1,0)+IF(DZ2508="D",1,0)+IF(EH2508="D",1,0)</f>
        <v>0</v>
      </c>
      <c r="AY2508" s="0" t="n">
        <f aca="false">COUNTIF(DU2508:EH2508, "&lt;&gt;")</f>
        <v>4</v>
      </c>
      <c r="AZ2508" s="0" t="n">
        <f aca="false">IF(EH2508&lt;&gt;"",1,0)</f>
        <v>0</v>
      </c>
      <c r="BB2508" s="0" t="s">
        <v>152</v>
      </c>
      <c r="BY2508" s="0" t="s">
        <v>209</v>
      </c>
      <c r="CA2508" s="0" t="s">
        <v>153</v>
      </c>
      <c r="CK2508" s="0" t="s">
        <v>153</v>
      </c>
      <c r="CN2508" s="0" t="s">
        <v>153</v>
      </c>
      <c r="CP2508" s="0" t="s">
        <v>153</v>
      </c>
      <c r="CV2508" s="0" t="s">
        <v>153</v>
      </c>
      <c r="DC2508" s="0" t="s">
        <v>153</v>
      </c>
      <c r="DN2508" s="0" t="s">
        <v>153</v>
      </c>
      <c r="DU2508" s="0" t="s">
        <v>153</v>
      </c>
      <c r="DX2508" s="0" t="s">
        <v>153</v>
      </c>
      <c r="EA2508" s="0" t="s">
        <v>153</v>
      </c>
      <c r="EF2508" s="0" t="s">
        <v>153</v>
      </c>
    </row>
    <row r="2509" customFormat="false" ht="13.8" hidden="true" customHeight="false" outlineLevel="0" collapsed="false">
      <c r="A2509" s="0" t="s">
        <v>10763</v>
      </c>
      <c r="B2509" s="0" t="n">
        <v>78</v>
      </c>
      <c r="C2509" s="0" t="n">
        <v>496453</v>
      </c>
      <c r="D2509" s="0" t="s">
        <v>10764</v>
      </c>
      <c r="E2509" s="0" t="s">
        <v>2951</v>
      </c>
      <c r="F2509" s="0" t="str">
        <f aca="false">CONCATENATE(D2509," ",LEFT(H2509,4),"T=",AU2509,"D=",AV2509,"R=",AW2509,"M=",AX2509,"L=",AY2509,"B=",AZ2509)</f>
        <v>DOBOS T=10D=1R=0M=0L=0B=0</v>
      </c>
      <c r="G2509" s="0" t="s">
        <v>2551</v>
      </c>
      <c r="I2509" s="0" t="s">
        <v>10765</v>
      </c>
      <c r="J2509" s="0" t="s">
        <v>4996</v>
      </c>
      <c r="K2509" s="0" t="s">
        <v>160</v>
      </c>
      <c r="M2509" s="0" t="s">
        <v>10766</v>
      </c>
      <c r="N2509" s="0" t="str">
        <f aca="false">RIGHT(M2509,LEN(M2509)-FIND(" ",M2509))</f>
        <v>WOODBINE AVE SE</v>
      </c>
      <c r="P2509" s="0" t="s">
        <v>145</v>
      </c>
      <c r="Q2509" s="0" t="s">
        <v>146</v>
      </c>
      <c r="R2509" s="0" t="n">
        <v>44483</v>
      </c>
      <c r="AD2509" s="0" t="s">
        <v>147</v>
      </c>
      <c r="AE2509" s="0" t="s">
        <v>148</v>
      </c>
      <c r="AF2509" s="0" t="s">
        <v>149</v>
      </c>
      <c r="AH2509" s="0" t="n">
        <v>14</v>
      </c>
      <c r="AI2509" s="0" t="n">
        <v>11</v>
      </c>
      <c r="AN2509" s="0" t="s">
        <v>145</v>
      </c>
      <c r="AO2509" s="0" t="s">
        <v>150</v>
      </c>
      <c r="AP2509" s="0" t="s">
        <v>151</v>
      </c>
      <c r="AQ2509" s="0" t="n">
        <v>9</v>
      </c>
      <c r="AR2509" s="0" t="n">
        <v>64</v>
      </c>
      <c r="AS2509" s="0" t="n">
        <v>32</v>
      </c>
      <c r="AU2509" s="0" t="n">
        <f aca="false">COUNTA($BA$152:$EH$152)</f>
        <v>10</v>
      </c>
      <c r="AV2509" s="0" t="n">
        <f aca="false">COUNTIF($BA$152:$EH$152,"D")</f>
        <v>1</v>
      </c>
      <c r="AW2509" s="0" t="n">
        <f aca="false">COUNTIF($BA$152:$EH$152,"R")</f>
        <v>0</v>
      </c>
      <c r="AX2509" s="0" t="n">
        <f aca="false">IF(BN2509="D",1,0)+IF(BO2509="D",1,0)+IF(BT2509="D",1,0)+IF(BU2509="D",1,0)+IF(BW2509="D",1,0)+IF(CC2509="D",1,0)+IF(CD2509="D",1,0)+IF(CE2509="D",1,0)+IF(CF2509="D",1,0)+IF(CL2509="D",1,0)+IF(CM2509="D",1,0)+IF(CQ2509="D",1,0)+IF(CR2509="D",1,0)+IF(CS2509="D",1,0)+IF(CW2509="D",1,0)+IF(CX2509="D",1,0)+IF(DD2509="D",1,0)+IF(DE2509="D",1,0)+IF(DJ2509="D",1,0)+IF(DK2509="D",1,0)+IF(DO2509="D",1,0)+IF(DP2509="D",1,0)+IF(DQ2509="D",1,0)+IF(DW2509="D",1,0)+IF(DZ2509="D",1,0)+IF(EH2509="D",1,0)</f>
        <v>0</v>
      </c>
      <c r="AY2509" s="0" t="n">
        <f aca="false">COUNTIF(DU2509:EH2509, "&lt;&gt;")</f>
        <v>0</v>
      </c>
      <c r="AZ2509" s="0" t="n">
        <f aca="false">IF(EH2509&lt;&gt;"",1,0)</f>
        <v>0</v>
      </c>
      <c r="BB2509" s="0" t="s">
        <v>152</v>
      </c>
      <c r="CY2509" s="0" t="s">
        <v>153</v>
      </c>
      <c r="DC2509" s="0" t="s">
        <v>153</v>
      </c>
    </row>
    <row r="2510" customFormat="false" ht="13.8" hidden="true" customHeight="false" outlineLevel="0" collapsed="false">
      <c r="A2510" s="0" t="s">
        <v>10767</v>
      </c>
      <c r="B2510" s="0" t="n">
        <v>78</v>
      </c>
      <c r="C2510" s="0" t="n">
        <v>490009</v>
      </c>
      <c r="D2510" s="0" t="s">
        <v>556</v>
      </c>
      <c r="E2510" s="0" t="s">
        <v>3963</v>
      </c>
      <c r="F2510" s="0" t="str">
        <f aca="false">CONCATENATE(D2510," ",LEFT(H2510,4),"T=",AU2510,"D=",AV2510,"R=",AW2510,"M=",AX2510,"L=",AY2510,"B=",AZ2510)</f>
        <v>ANDERSON T=20D=2R=0M=0L=1B=0</v>
      </c>
      <c r="G2510" s="0" t="s">
        <v>1269</v>
      </c>
      <c r="I2510" s="0" t="s">
        <v>10768</v>
      </c>
      <c r="J2510" s="0" t="s">
        <v>1420</v>
      </c>
      <c r="K2510" s="0" t="s">
        <v>160</v>
      </c>
      <c r="M2510" s="0" t="s">
        <v>10766</v>
      </c>
      <c r="N2510" s="0" t="str">
        <f aca="false">RIGHT(M2510,LEN(M2510)-FIND(" ",M2510))</f>
        <v>WOODBINE AVE SE</v>
      </c>
      <c r="P2510" s="0" t="s">
        <v>145</v>
      </c>
      <c r="Q2510" s="0" t="s">
        <v>146</v>
      </c>
      <c r="R2510" s="0" t="n">
        <v>44483</v>
      </c>
      <c r="AD2510" s="0" t="s">
        <v>147</v>
      </c>
      <c r="AE2510" s="0" t="s">
        <v>148</v>
      </c>
      <c r="AF2510" s="0" t="s">
        <v>149</v>
      </c>
      <c r="AH2510" s="0" t="n">
        <v>14</v>
      </c>
      <c r="AI2510" s="0" t="n">
        <v>11</v>
      </c>
      <c r="AN2510" s="0" t="s">
        <v>145</v>
      </c>
      <c r="AO2510" s="0" t="s">
        <v>150</v>
      </c>
      <c r="AP2510" s="0" t="s">
        <v>151</v>
      </c>
      <c r="AQ2510" s="0" t="n">
        <v>9</v>
      </c>
      <c r="AR2510" s="0" t="n">
        <v>64</v>
      </c>
      <c r="AS2510" s="0" t="n">
        <v>32</v>
      </c>
      <c r="AU2510" s="0" t="n">
        <f aca="false">COUNTA($BA$672:$EH$672)</f>
        <v>20</v>
      </c>
      <c r="AV2510" s="0" t="n">
        <f aca="false">COUNTIF($BA$672:$EH$672,"D")</f>
        <v>2</v>
      </c>
      <c r="AW2510" s="0" t="n">
        <f aca="false">COUNTIF($BA$672:$EH$672,"R")</f>
        <v>0</v>
      </c>
      <c r="AX2510" s="0" t="n">
        <f aca="false">IF(BN2510="D",1,0)+IF(BO2510="D",1,0)+IF(BT2510="D",1,0)+IF(BU2510="D",1,0)+IF(BW2510="D",1,0)+IF(CC2510="D",1,0)+IF(CD2510="D",1,0)+IF(CE2510="D",1,0)+IF(CF2510="D",1,0)+IF(CL2510="D",1,0)+IF(CM2510="D",1,0)+IF(CQ2510="D",1,0)+IF(CR2510="D",1,0)+IF(CS2510="D",1,0)+IF(CW2510="D",1,0)+IF(CX2510="D",1,0)+IF(DD2510="D",1,0)+IF(DE2510="D",1,0)+IF(DJ2510="D",1,0)+IF(DK2510="D",1,0)+IF(DO2510="D",1,0)+IF(DP2510="D",1,0)+IF(DQ2510="D",1,0)+IF(DW2510="D",1,0)+IF(DZ2510="D",1,0)+IF(EH2510="D",1,0)</f>
        <v>0</v>
      </c>
      <c r="AY2510" s="0" t="n">
        <f aca="false">COUNTIF(DU2510:EH2510, "&lt;&gt;")</f>
        <v>1</v>
      </c>
      <c r="AZ2510" s="0" t="n">
        <f aca="false">IF(EH2510&lt;&gt;"",1,0)</f>
        <v>0</v>
      </c>
      <c r="BB2510" s="0" t="s">
        <v>152</v>
      </c>
      <c r="BL2510" s="0" t="s">
        <v>153</v>
      </c>
      <c r="CA2510" s="0" t="s">
        <v>153</v>
      </c>
      <c r="CP2510" s="0" t="s">
        <v>153</v>
      </c>
      <c r="CY2510" s="0" t="s">
        <v>153</v>
      </c>
      <c r="DC2510" s="0" t="s">
        <v>153</v>
      </c>
      <c r="DN2510" s="0" t="s">
        <v>153</v>
      </c>
      <c r="EF2510" s="0" t="s">
        <v>153</v>
      </c>
    </row>
    <row r="2511" customFormat="false" ht="13.8" hidden="true" customHeight="false" outlineLevel="0" collapsed="false">
      <c r="A2511" s="0" t="s">
        <v>10769</v>
      </c>
      <c r="B2511" s="0" t="n">
        <v>78</v>
      </c>
      <c r="C2511" s="0" t="n">
        <v>432352</v>
      </c>
      <c r="D2511" s="0" t="s">
        <v>10770</v>
      </c>
      <c r="E2511" s="0" t="s">
        <v>1350</v>
      </c>
      <c r="F2511" s="0" t="str">
        <f aca="false">CONCATENATE(D2511," ",LEFT(H2511,4),"T=",AU2511,"D=",AV2511,"R=",AW2511,"M=",AX2511,"L=",AY2511,"B=",AZ2511)</f>
        <v>PERROTTI T=1D=0R=0M=0L=1B=0</v>
      </c>
      <c r="G2511" s="0" t="s">
        <v>275</v>
      </c>
      <c r="I2511" s="0" t="s">
        <v>10771</v>
      </c>
      <c r="J2511" s="0" t="s">
        <v>3401</v>
      </c>
      <c r="K2511" s="0" t="s">
        <v>160</v>
      </c>
      <c r="M2511" s="0" t="s">
        <v>10772</v>
      </c>
      <c r="N2511" s="0" t="str">
        <f aca="false">RIGHT(M2511,LEN(M2511)-FIND(" ",M2511))</f>
        <v>WOODBINE AVE SE</v>
      </c>
      <c r="P2511" s="0" t="s">
        <v>145</v>
      </c>
      <c r="Q2511" s="0" t="s">
        <v>146</v>
      </c>
      <c r="R2511" s="0" t="n">
        <v>44483</v>
      </c>
      <c r="AD2511" s="0" t="s">
        <v>147</v>
      </c>
      <c r="AE2511" s="0" t="s">
        <v>148</v>
      </c>
      <c r="AF2511" s="0" t="s">
        <v>149</v>
      </c>
      <c r="AH2511" s="0" t="n">
        <v>14</v>
      </c>
      <c r="AI2511" s="0" t="n">
        <v>11</v>
      </c>
      <c r="AN2511" s="0" t="s">
        <v>145</v>
      </c>
      <c r="AO2511" s="0" t="s">
        <v>150</v>
      </c>
      <c r="AP2511" s="0" t="s">
        <v>151</v>
      </c>
      <c r="AQ2511" s="0" t="n">
        <v>9</v>
      </c>
      <c r="AR2511" s="0" t="n">
        <v>64</v>
      </c>
      <c r="AS2511" s="0" t="n">
        <v>32</v>
      </c>
      <c r="AU2511" s="0" t="n">
        <f aca="false">COUNTA($BA$406:$EH$406)</f>
        <v>1</v>
      </c>
      <c r="AV2511" s="0" t="n">
        <f aca="false">COUNTIF($BA$406:$EH$406,"D")</f>
        <v>0</v>
      </c>
      <c r="AW2511" s="0" t="n">
        <f aca="false">COUNTIF($BA$406:$EH$406,"R")</f>
        <v>0</v>
      </c>
      <c r="AX2511" s="0" t="n">
        <f aca="false">IF(BN2511="D",1,0)+IF(BO2511="D",1,0)+IF(BT2511="D",1,0)+IF(BU2511="D",1,0)+IF(BW2511="D",1,0)+IF(CC2511="D",1,0)+IF(CD2511="D",1,0)+IF(CE2511="D",1,0)+IF(CF2511="D",1,0)+IF(CL2511="D",1,0)+IF(CM2511="D",1,0)+IF(CQ2511="D",1,0)+IF(CR2511="D",1,0)+IF(CS2511="D",1,0)+IF(CW2511="D",1,0)+IF(CX2511="D",1,0)+IF(DD2511="D",1,0)+IF(DE2511="D",1,0)+IF(DJ2511="D",1,0)+IF(DK2511="D",1,0)+IF(DO2511="D",1,0)+IF(DP2511="D",1,0)+IF(DQ2511="D",1,0)+IF(DW2511="D",1,0)+IF(DZ2511="D",1,0)+IF(EH2511="D",1,0)</f>
        <v>0</v>
      </c>
      <c r="AY2511" s="0" t="n">
        <f aca="false">COUNTIF(DU2511:EH2511, "&lt;&gt;")</f>
        <v>1</v>
      </c>
      <c r="AZ2511" s="0" t="n">
        <f aca="false">IF(EH2511&lt;&gt;"",1,0)</f>
        <v>0</v>
      </c>
      <c r="BB2511" s="0" t="s">
        <v>152</v>
      </c>
      <c r="DN2511" s="0" t="s">
        <v>153</v>
      </c>
      <c r="EF2511" s="0" t="s">
        <v>153</v>
      </c>
    </row>
    <row r="2512" customFormat="false" ht="13.8" hidden="false" customHeight="false" outlineLevel="0" collapsed="false">
      <c r="A2512" s="0" t="s">
        <v>10773</v>
      </c>
      <c r="B2512" s="0" t="n">
        <v>78</v>
      </c>
      <c r="C2512" s="0" t="n">
        <v>415288</v>
      </c>
      <c r="D2512" s="0" t="s">
        <v>10774</v>
      </c>
      <c r="E2512" s="0" t="s">
        <v>1361</v>
      </c>
      <c r="F2512" s="0" t="str">
        <f aca="false">CONCATENATE(D2512," ",LEFT(H2512,4),"T=",AU2512,"D=",AV2512,"R=",AW2512,"M=",AX2512,"L=",AY2512,"B=",AZ2512)</f>
        <v>YOCOLANO T=1D=0R=0M=0L=4B=0</v>
      </c>
      <c r="I2512" s="0" t="s">
        <v>5326</v>
      </c>
      <c r="J2512" s="0" t="s">
        <v>10775</v>
      </c>
      <c r="K2512" s="0" t="s">
        <v>160</v>
      </c>
      <c r="L2512" s="0" t="s">
        <v>209</v>
      </c>
      <c r="M2512" s="0" t="s">
        <v>10776</v>
      </c>
      <c r="N2512" s="0" t="str">
        <f aca="false">RIGHT(M2512,LEN(M2512)-FIND(" ",M2512))</f>
        <v>WOODBINE AVE SE</v>
      </c>
      <c r="P2512" s="0" t="s">
        <v>145</v>
      </c>
      <c r="Q2512" s="0" t="s">
        <v>146</v>
      </c>
      <c r="R2512" s="0" t="n">
        <v>44483</v>
      </c>
      <c r="AD2512" s="0" t="s">
        <v>147</v>
      </c>
      <c r="AE2512" s="0" t="s">
        <v>148</v>
      </c>
      <c r="AF2512" s="0" t="s">
        <v>149</v>
      </c>
      <c r="AH2512" s="0" t="n">
        <v>14</v>
      </c>
      <c r="AI2512" s="0" t="n">
        <v>11</v>
      </c>
      <c r="AN2512" s="0" t="s">
        <v>145</v>
      </c>
      <c r="AO2512" s="0" t="s">
        <v>150</v>
      </c>
      <c r="AP2512" s="0" t="s">
        <v>151</v>
      </c>
      <c r="AQ2512" s="0" t="n">
        <v>9</v>
      </c>
      <c r="AR2512" s="0" t="n">
        <v>64</v>
      </c>
      <c r="AS2512" s="0" t="n">
        <v>32</v>
      </c>
      <c r="AU2512" s="0" t="n">
        <f aca="false">COUNTA($BA$616:$EH$616)</f>
        <v>1</v>
      </c>
      <c r="AV2512" s="0" t="n">
        <f aca="false">COUNTIF($BA$616:$EH$616,"D")</f>
        <v>0</v>
      </c>
      <c r="AW2512" s="0" t="n">
        <f aca="false">COUNTIF($BA$616:$EH$616,"R")</f>
        <v>0</v>
      </c>
      <c r="AX2512" s="0" t="n">
        <f aca="false">IF(BN2512="D",1,0)+IF(BO2512="D",1,0)+IF(BT2512="D",1,0)+IF(BU2512="D",1,0)+IF(BW2512="D",1,0)+IF(CC2512="D",1,0)+IF(CD2512="D",1,0)+IF(CE2512="D",1,0)+IF(CF2512="D",1,0)+IF(CL2512="D",1,0)+IF(CM2512="D",1,0)+IF(CQ2512="D",1,0)+IF(CR2512="D",1,0)+IF(CS2512="D",1,0)+IF(CW2512="D",1,0)+IF(CX2512="D",1,0)+IF(DD2512="D",1,0)+IF(DE2512="D",1,0)+IF(DJ2512="D",1,0)+IF(DK2512="D",1,0)+IF(DO2512="D",1,0)+IF(DP2512="D",1,0)+IF(DQ2512="D",1,0)+IF(DW2512="D",1,0)+IF(DZ2512="D",1,0)+IF(EH2512="D",1,0)</f>
        <v>0</v>
      </c>
      <c r="AY2512" s="0" t="n">
        <f aca="false">COUNTIF(DU2512:EH2512, "&lt;&gt;")</f>
        <v>4</v>
      </c>
      <c r="AZ2512" s="0" t="n">
        <f aca="false">IF(EH2512&lt;&gt;"",1,0)</f>
        <v>0</v>
      </c>
      <c r="BB2512" s="0" t="s">
        <v>152</v>
      </c>
      <c r="DC2512" s="0" t="s">
        <v>153</v>
      </c>
      <c r="DG2512" s="0" t="s">
        <v>209</v>
      </c>
      <c r="DI2512" s="0" t="s">
        <v>153</v>
      </c>
      <c r="DM2512" s="0" t="s">
        <v>209</v>
      </c>
      <c r="DN2512" s="0" t="s">
        <v>153</v>
      </c>
      <c r="DS2512" s="0" t="s">
        <v>209</v>
      </c>
      <c r="DU2512" s="0" t="s">
        <v>153</v>
      </c>
      <c r="DX2512" s="0" t="s">
        <v>153</v>
      </c>
      <c r="ED2512" s="0" t="s">
        <v>209</v>
      </c>
      <c r="EF2512" s="0" t="s">
        <v>153</v>
      </c>
    </row>
    <row r="2513" customFormat="false" ht="13.8" hidden="false" customHeight="false" outlineLevel="0" collapsed="false">
      <c r="A2513" s="0" t="s">
        <v>10777</v>
      </c>
      <c r="B2513" s="0" t="n">
        <v>78</v>
      </c>
      <c r="C2513" s="0" t="n">
        <v>414438</v>
      </c>
      <c r="D2513" s="0" t="s">
        <v>10774</v>
      </c>
      <c r="E2513" s="0" t="s">
        <v>685</v>
      </c>
      <c r="F2513" s="0" t="str">
        <f aca="false">CONCATENATE(D2513," ",LEFT(H2513,4),"T=",AU2513,"D=",AV2513,"R=",AW2513,"M=",AX2513,"L=",AY2513,"B=",AZ2513)</f>
        <v>YOCOLANO T=12D=0R=0M=0L=4B=0</v>
      </c>
      <c r="G2513" s="0" t="s">
        <v>175</v>
      </c>
      <c r="I2513" s="0" t="s">
        <v>10778</v>
      </c>
      <c r="J2513" s="0" t="s">
        <v>10779</v>
      </c>
      <c r="K2513" s="0" t="s">
        <v>160</v>
      </c>
      <c r="L2513" s="0" t="s">
        <v>209</v>
      </c>
      <c r="M2513" s="0" t="s">
        <v>10776</v>
      </c>
      <c r="N2513" s="0" t="str">
        <f aca="false">RIGHT(M2513,LEN(M2513)-FIND(" ",M2513))</f>
        <v>WOODBINE AVE SE</v>
      </c>
      <c r="P2513" s="0" t="s">
        <v>145</v>
      </c>
      <c r="Q2513" s="0" t="s">
        <v>146</v>
      </c>
      <c r="R2513" s="0" t="n">
        <v>44483</v>
      </c>
      <c r="AD2513" s="0" t="s">
        <v>147</v>
      </c>
      <c r="AE2513" s="0" t="s">
        <v>148</v>
      </c>
      <c r="AF2513" s="0" t="s">
        <v>149</v>
      </c>
      <c r="AH2513" s="0" t="n">
        <v>14</v>
      </c>
      <c r="AI2513" s="0" t="n">
        <v>11</v>
      </c>
      <c r="AN2513" s="0" t="s">
        <v>145</v>
      </c>
      <c r="AO2513" s="0" t="s">
        <v>150</v>
      </c>
      <c r="AP2513" s="0" t="s">
        <v>151</v>
      </c>
      <c r="AQ2513" s="0" t="n">
        <v>9</v>
      </c>
      <c r="AR2513" s="0" t="n">
        <v>64</v>
      </c>
      <c r="AS2513" s="0" t="n">
        <v>32</v>
      </c>
      <c r="AU2513" s="0" t="n">
        <f aca="false">COUNTA($BA$940:$EH$940)</f>
        <v>12</v>
      </c>
      <c r="AV2513" s="0" t="n">
        <f aca="false">COUNTIF($BA$940:$EH$940,"D")</f>
        <v>0</v>
      </c>
      <c r="AW2513" s="0" t="n">
        <f aca="false">COUNTIF($BA$940:$EH$940,"R")</f>
        <v>0</v>
      </c>
      <c r="AX2513" s="0" t="n">
        <f aca="false">IF(BN2513="D",1,0)+IF(BO2513="D",1,0)+IF(BT2513="D",1,0)+IF(BU2513="D",1,0)+IF(BW2513="D",1,0)+IF(CC2513="D",1,0)+IF(CD2513="D",1,0)+IF(CE2513="D",1,0)+IF(CF2513="D",1,0)+IF(CL2513="D",1,0)+IF(CM2513="D",1,0)+IF(CQ2513="D",1,0)+IF(CR2513="D",1,0)+IF(CS2513="D",1,0)+IF(CW2513="D",1,0)+IF(CX2513="D",1,0)+IF(DD2513="D",1,0)+IF(DE2513="D",1,0)+IF(DJ2513="D",1,0)+IF(DK2513="D",1,0)+IF(DO2513="D",1,0)+IF(DP2513="D",1,0)+IF(DQ2513="D",1,0)+IF(DW2513="D",1,0)+IF(DZ2513="D",1,0)+IF(EH2513="D",1,0)</f>
        <v>0</v>
      </c>
      <c r="AY2513" s="0" t="n">
        <f aca="false">COUNTIF(DU2513:EH2513, "&lt;&gt;")</f>
        <v>4</v>
      </c>
      <c r="AZ2513" s="0" t="n">
        <f aca="false">IF(EH2513&lt;&gt;"",1,0)</f>
        <v>0</v>
      </c>
      <c r="BB2513" s="0" t="s">
        <v>152</v>
      </c>
      <c r="CZ2513" s="0" t="s">
        <v>209</v>
      </c>
      <c r="DC2513" s="0" t="s">
        <v>153</v>
      </c>
      <c r="DG2513" s="0" t="s">
        <v>209</v>
      </c>
      <c r="DI2513" s="0" t="s">
        <v>153</v>
      </c>
      <c r="DM2513" s="0" t="s">
        <v>209</v>
      </c>
      <c r="DN2513" s="0" t="s">
        <v>153</v>
      </c>
      <c r="DS2513" s="0" t="s">
        <v>209</v>
      </c>
      <c r="DU2513" s="0" t="s">
        <v>153</v>
      </c>
      <c r="DX2513" s="0" t="s">
        <v>153</v>
      </c>
      <c r="ED2513" s="0" t="s">
        <v>209</v>
      </c>
      <c r="EF2513" s="0" t="s">
        <v>153</v>
      </c>
    </row>
    <row r="2514" customFormat="false" ht="13.8" hidden="true" customHeight="false" outlineLevel="0" collapsed="false">
      <c r="A2514" s="0" t="s">
        <v>10780</v>
      </c>
      <c r="B2514" s="0" t="n">
        <v>78</v>
      </c>
      <c r="C2514" s="0" t="n">
        <v>423993</v>
      </c>
      <c r="D2514" s="0" t="s">
        <v>1661</v>
      </c>
      <c r="E2514" s="0" t="s">
        <v>9419</v>
      </c>
      <c r="F2514" s="0" t="str">
        <f aca="false">CONCATENATE(D2514," ",LEFT(H2514,4),"T=",AU2514,"D=",AV2514,"R=",AW2514,"M=",AX2514,"L=",AY2514,"B=",AZ2514)</f>
        <v>JACKSON T=40D=11R=1M=0L=0B=0</v>
      </c>
      <c r="G2514" s="0" t="s">
        <v>190</v>
      </c>
      <c r="I2514" s="0" t="s">
        <v>3264</v>
      </c>
      <c r="J2514" s="0" t="s">
        <v>2093</v>
      </c>
      <c r="K2514" s="0" t="s">
        <v>143</v>
      </c>
      <c r="M2514" s="0" t="s">
        <v>10781</v>
      </c>
      <c r="N2514" s="0" t="str">
        <f aca="false">RIGHT(M2514,LEN(M2514)-FIND(" ",M2514))</f>
        <v>WOODBINE AVE SE</v>
      </c>
      <c r="P2514" s="0" t="s">
        <v>145</v>
      </c>
      <c r="Q2514" s="0" t="s">
        <v>146</v>
      </c>
      <c r="R2514" s="0" t="n">
        <v>44483</v>
      </c>
      <c r="AD2514" s="0" t="s">
        <v>147</v>
      </c>
      <c r="AE2514" s="0" t="s">
        <v>148</v>
      </c>
      <c r="AF2514" s="0" t="s">
        <v>149</v>
      </c>
      <c r="AH2514" s="0" t="n">
        <v>14</v>
      </c>
      <c r="AI2514" s="0" t="n">
        <v>11</v>
      </c>
      <c r="AN2514" s="0" t="s">
        <v>145</v>
      </c>
      <c r="AO2514" s="0" t="s">
        <v>150</v>
      </c>
      <c r="AP2514" s="0" t="s">
        <v>151</v>
      </c>
      <c r="AQ2514" s="0" t="n">
        <v>9</v>
      </c>
      <c r="AR2514" s="0" t="n">
        <v>64</v>
      </c>
      <c r="AS2514" s="0" t="n">
        <v>32</v>
      </c>
      <c r="AU2514" s="0" t="n">
        <f aca="false">COUNTA($BA$719:$EH$719)</f>
        <v>40</v>
      </c>
      <c r="AV2514" s="0" t="n">
        <f aca="false">COUNTIF($BA$719:$EH$719,"D")</f>
        <v>11</v>
      </c>
      <c r="AW2514" s="0" t="n">
        <f aca="false">COUNTIF($BA$719:$EH$719,"R")</f>
        <v>1</v>
      </c>
      <c r="AX2514" s="0" t="n">
        <f aca="false">IF(BN2514="D",1,0)+IF(BO2514="D",1,0)+IF(BT2514="D",1,0)+IF(BU2514="D",1,0)+IF(BW2514="D",1,0)+IF(CC2514="D",1,0)+IF(CD2514="D",1,0)+IF(CE2514="D",1,0)+IF(CF2514="D",1,0)+IF(CL2514="D",1,0)+IF(CM2514="D",1,0)+IF(CQ2514="D",1,0)+IF(CR2514="D",1,0)+IF(CS2514="D",1,0)+IF(CW2514="D",1,0)+IF(CX2514="D",1,0)+IF(DD2514="D",1,0)+IF(DE2514="D",1,0)+IF(DJ2514="D",1,0)+IF(DK2514="D",1,0)+IF(DO2514="D",1,0)+IF(DP2514="D",1,0)+IF(DQ2514="D",1,0)+IF(DW2514="D",1,0)+IF(DZ2514="D",1,0)+IF(EH2514="D",1,0)</f>
        <v>0</v>
      </c>
      <c r="AY2514" s="0" t="n">
        <f aca="false">COUNTIF(DU2514:EH2514, "&lt;&gt;")</f>
        <v>0</v>
      </c>
      <c r="AZ2514" s="0" t="n">
        <f aca="false">IF(EH2514&lt;&gt;"",1,0)</f>
        <v>0</v>
      </c>
      <c r="BB2514" s="0" t="s">
        <v>152</v>
      </c>
      <c r="DI2514" s="0" t="s">
        <v>153</v>
      </c>
    </row>
    <row r="2515" customFormat="false" ht="13.8" hidden="true" customHeight="false" outlineLevel="0" collapsed="false">
      <c r="A2515" s="0" t="s">
        <v>10782</v>
      </c>
      <c r="B2515" s="0" t="n">
        <v>78</v>
      </c>
      <c r="C2515" s="0" t="n">
        <v>218301</v>
      </c>
      <c r="D2515" s="0" t="s">
        <v>10783</v>
      </c>
      <c r="E2515" s="0" t="s">
        <v>3568</v>
      </c>
      <c r="F2515" s="0" t="str">
        <f aca="false">CONCATENATE(D2515," ",LEFT(H2515,4),"T=",AU2515,"D=",AV2515,"R=",AW2515,"M=",AX2515,"L=",AY2515,"B=",AZ2515)</f>
        <v>MCDOWELL T=42D=9R=0M=1L=0B=0</v>
      </c>
      <c r="I2515" s="0" t="s">
        <v>10784</v>
      </c>
      <c r="J2515" s="0" t="s">
        <v>10785</v>
      </c>
      <c r="K2515" s="0" t="s">
        <v>143</v>
      </c>
      <c r="M2515" s="0" t="s">
        <v>10786</v>
      </c>
      <c r="N2515" s="0" t="str">
        <f aca="false">RIGHT(M2515,LEN(M2515)-FIND(" ",M2515))</f>
        <v>WOODBINE AVE SE</v>
      </c>
      <c r="P2515" s="0" t="s">
        <v>145</v>
      </c>
      <c r="Q2515" s="0" t="s">
        <v>146</v>
      </c>
      <c r="R2515" s="0" t="n">
        <v>44483</v>
      </c>
      <c r="AD2515" s="0" t="s">
        <v>147</v>
      </c>
      <c r="AE2515" s="0" t="s">
        <v>148</v>
      </c>
      <c r="AF2515" s="0" t="s">
        <v>149</v>
      </c>
      <c r="AH2515" s="0" t="n">
        <v>14</v>
      </c>
      <c r="AI2515" s="0" t="n">
        <v>11</v>
      </c>
      <c r="AN2515" s="0" t="s">
        <v>145</v>
      </c>
      <c r="AO2515" s="0" t="s">
        <v>150</v>
      </c>
      <c r="AP2515" s="0" t="s">
        <v>151</v>
      </c>
      <c r="AQ2515" s="0" t="n">
        <v>9</v>
      </c>
      <c r="AR2515" s="0" t="n">
        <v>64</v>
      </c>
      <c r="AS2515" s="0" t="n">
        <v>32</v>
      </c>
      <c r="AU2515" s="0" t="n">
        <f aca="false">COUNTA($BA$118:$EH$118)</f>
        <v>42</v>
      </c>
      <c r="AV2515" s="0" t="n">
        <f aca="false">COUNTIF($BA$118:$EH$118,"D")</f>
        <v>9</v>
      </c>
      <c r="AW2515" s="0" t="n">
        <f aca="false">COUNTIF($BA$118:$EH$118,"R")</f>
        <v>0</v>
      </c>
      <c r="AX2515" s="0" t="n">
        <f aca="false">IF(BN2515="D",1,0)+IF(BO2515="D",1,0)+IF(BT2515="D",1,0)+IF(BU2515="D",1,0)+IF(BW2515="D",1,0)+IF(CC2515="D",1,0)+IF(CD2515="D",1,0)+IF(CE2515="D",1,0)+IF(CF2515="D",1,0)+IF(CL2515="D",1,0)+IF(CM2515="D",1,0)+IF(CQ2515="D",1,0)+IF(CR2515="D",1,0)+IF(CS2515="D",1,0)+IF(CW2515="D",1,0)+IF(CX2515="D",1,0)+IF(DD2515="D",1,0)+IF(DE2515="D",1,0)+IF(DJ2515="D",1,0)+IF(DK2515="D",1,0)+IF(DO2515="D",1,0)+IF(DP2515="D",1,0)+IF(DQ2515="D",1,0)+IF(DW2515="D",1,0)+IF(DZ2515="D",1,0)+IF(EH2515="D",1,0)</f>
        <v>1</v>
      </c>
      <c r="AY2515" s="0" t="n">
        <f aca="false">COUNTIF(DU2515:EH2515, "&lt;&gt;")</f>
        <v>0</v>
      </c>
      <c r="AZ2515" s="0" t="n">
        <f aca="false">IF(EH2515&lt;&gt;"",1,0)</f>
        <v>0</v>
      </c>
      <c r="BB2515" s="0" t="s">
        <v>152</v>
      </c>
      <c r="BD2515" s="0" t="s">
        <v>153</v>
      </c>
      <c r="BH2515" s="0" t="s">
        <v>153</v>
      </c>
      <c r="BJ2515" s="0" t="s">
        <v>153</v>
      </c>
      <c r="BK2515" s="0" t="s">
        <v>153</v>
      </c>
      <c r="BL2515" s="0" t="s">
        <v>153</v>
      </c>
      <c r="BR2515" s="0" t="s">
        <v>153</v>
      </c>
      <c r="BS2515" s="0" t="s">
        <v>153</v>
      </c>
      <c r="BY2515" s="0" t="s">
        <v>175</v>
      </c>
      <c r="CA2515" s="0" t="s">
        <v>153</v>
      </c>
      <c r="CG2515" s="0" t="s">
        <v>153</v>
      </c>
      <c r="CH2515" s="0" t="s">
        <v>175</v>
      </c>
      <c r="CK2515" s="0" t="s">
        <v>153</v>
      </c>
      <c r="CL2515" s="0" t="s">
        <v>175</v>
      </c>
      <c r="CN2515" s="0" t="s">
        <v>153</v>
      </c>
      <c r="CP2515" s="0" t="s">
        <v>153</v>
      </c>
      <c r="CV2515" s="0" t="s">
        <v>153</v>
      </c>
      <c r="CY2515" s="0" t="s">
        <v>153</v>
      </c>
      <c r="CZ2515" s="0" t="s">
        <v>175</v>
      </c>
      <c r="DC2515" s="0" t="s">
        <v>153</v>
      </c>
      <c r="DM2515" s="0" t="s">
        <v>175</v>
      </c>
      <c r="DN2515" s="0" t="s">
        <v>153</v>
      </c>
    </row>
    <row r="2516" customFormat="false" ht="13.8" hidden="false" customHeight="false" outlineLevel="0" collapsed="false">
      <c r="A2516" s="0" t="s">
        <v>10787</v>
      </c>
      <c r="B2516" s="0" t="n">
        <v>78</v>
      </c>
      <c r="C2516" s="0" t="n">
        <v>318239</v>
      </c>
      <c r="D2516" s="0" t="s">
        <v>10788</v>
      </c>
      <c r="E2516" s="0" t="s">
        <v>10789</v>
      </c>
      <c r="F2516" s="0" t="str">
        <f aca="false">CONCATENATE(D2516," ",LEFT(H2516,4),"T=",AU2516,"D=",AV2516,"R=",AW2516,"M=",AX2516,"L=",AY2516,"B=",AZ2516)</f>
        <v>KOLTAK T=8D=1R=0M=1L=4B=0</v>
      </c>
      <c r="G2516" s="0" t="s">
        <v>171</v>
      </c>
      <c r="I2516" s="0" t="s">
        <v>10790</v>
      </c>
      <c r="J2516" s="0" t="s">
        <v>10791</v>
      </c>
      <c r="K2516" s="0" t="s">
        <v>160</v>
      </c>
      <c r="L2516" s="0" t="s">
        <v>175</v>
      </c>
      <c r="M2516" s="0" t="s">
        <v>10786</v>
      </c>
      <c r="N2516" s="0" t="str">
        <f aca="false">RIGHT(M2516,LEN(M2516)-FIND(" ",M2516))</f>
        <v>WOODBINE AVE SE</v>
      </c>
      <c r="P2516" s="0" t="s">
        <v>145</v>
      </c>
      <c r="Q2516" s="0" t="s">
        <v>146</v>
      </c>
      <c r="R2516" s="0" t="n">
        <v>44483</v>
      </c>
      <c r="AD2516" s="0" t="s">
        <v>147</v>
      </c>
      <c r="AE2516" s="0" t="s">
        <v>148</v>
      </c>
      <c r="AF2516" s="0" t="s">
        <v>149</v>
      </c>
      <c r="AH2516" s="0" t="n">
        <v>14</v>
      </c>
      <c r="AI2516" s="0" t="n">
        <v>11</v>
      </c>
      <c r="AN2516" s="0" t="s">
        <v>145</v>
      </c>
      <c r="AO2516" s="0" t="s">
        <v>150</v>
      </c>
      <c r="AP2516" s="0" t="s">
        <v>151</v>
      </c>
      <c r="AQ2516" s="0" t="n">
        <v>9</v>
      </c>
      <c r="AR2516" s="0" t="n">
        <v>64</v>
      </c>
      <c r="AS2516" s="0" t="n">
        <v>32</v>
      </c>
      <c r="AU2516" s="0" t="n">
        <f aca="false">COUNTA($BA$561:$EH$561)</f>
        <v>8</v>
      </c>
      <c r="AV2516" s="0" t="n">
        <f aca="false">COUNTIF($BA$561:$EH$561,"D")</f>
        <v>1</v>
      </c>
      <c r="AW2516" s="0" t="n">
        <f aca="false">COUNTIF($BA$561:$EH$561,"R")</f>
        <v>0</v>
      </c>
      <c r="AX2516" s="0" t="n">
        <f aca="false">IF(BN2516="D",1,0)+IF(BO2516="D",1,0)+IF(BT2516="D",1,0)+IF(BU2516="D",1,0)+IF(BW2516="D",1,0)+IF(CC2516="D",1,0)+IF(CD2516="D",1,0)+IF(CE2516="D",1,0)+IF(CF2516="D",1,0)+IF(CL2516="D",1,0)+IF(CM2516="D",1,0)+IF(CQ2516="D",1,0)+IF(CR2516="D",1,0)+IF(CS2516="D",1,0)+IF(CW2516="D",1,0)+IF(CX2516="D",1,0)+IF(DD2516="D",1,0)+IF(DE2516="D",1,0)+IF(DJ2516="D",1,0)+IF(DK2516="D",1,0)+IF(DO2516="D",1,0)+IF(DP2516="D",1,0)+IF(DQ2516="D",1,0)+IF(DW2516="D",1,0)+IF(DZ2516="D",1,0)+IF(EH2516="D",1,0)</f>
        <v>1</v>
      </c>
      <c r="AY2516" s="0" t="n">
        <f aca="false">COUNTIF(DU2516:EH2516, "&lt;&gt;")</f>
        <v>4</v>
      </c>
      <c r="AZ2516" s="0" t="n">
        <f aca="false">IF(EH2516&lt;&gt;"",1,0)</f>
        <v>0</v>
      </c>
      <c r="BB2516" s="0" t="s">
        <v>152</v>
      </c>
      <c r="BK2516" s="0" t="s">
        <v>153</v>
      </c>
      <c r="BL2516" s="0" t="s">
        <v>153</v>
      </c>
      <c r="BS2516" s="0" t="s">
        <v>153</v>
      </c>
      <c r="BV2516" s="0" t="s">
        <v>153</v>
      </c>
      <c r="BY2516" s="0" t="s">
        <v>175</v>
      </c>
      <c r="CA2516" s="0" t="s">
        <v>153</v>
      </c>
      <c r="CG2516" s="0" t="s">
        <v>153</v>
      </c>
      <c r="CH2516" s="0" t="s">
        <v>175</v>
      </c>
      <c r="CK2516" s="0" t="s">
        <v>153</v>
      </c>
      <c r="CL2516" s="0" t="s">
        <v>175</v>
      </c>
      <c r="CN2516" s="0" t="s">
        <v>153</v>
      </c>
      <c r="CP2516" s="0" t="s">
        <v>153</v>
      </c>
      <c r="CV2516" s="0" t="s">
        <v>153</v>
      </c>
      <c r="CY2516" s="0" t="s">
        <v>153</v>
      </c>
      <c r="CZ2516" s="0" t="s">
        <v>175</v>
      </c>
      <c r="DC2516" s="0" t="s">
        <v>153</v>
      </c>
      <c r="DI2516" s="0" t="s">
        <v>153</v>
      </c>
      <c r="DN2516" s="0" t="s">
        <v>153</v>
      </c>
      <c r="DU2516" s="0" t="s">
        <v>153</v>
      </c>
      <c r="DX2516" s="0" t="s">
        <v>153</v>
      </c>
      <c r="EA2516" s="0" t="s">
        <v>153</v>
      </c>
      <c r="ED2516" s="0" t="s">
        <v>175</v>
      </c>
    </row>
    <row r="2517" customFormat="false" ht="13.8" hidden="true" customHeight="false" outlineLevel="0" collapsed="false">
      <c r="A2517" s="0" t="s">
        <v>10792</v>
      </c>
      <c r="B2517" s="0" t="n">
        <v>78</v>
      </c>
      <c r="C2517" s="0" t="n">
        <v>462454</v>
      </c>
      <c r="D2517" s="0" t="s">
        <v>10793</v>
      </c>
      <c r="E2517" s="0" t="s">
        <v>633</v>
      </c>
      <c r="F2517" s="0" t="str">
        <f aca="false">CONCATENATE(D2517," ",LEFT(H2517,4),"T=",AU2517,"D=",AV2517,"R=",AW2517,"M=",AX2517,"L=",AY2517,"B=",AZ2517)</f>
        <v>GUMP T=3D=0R=0M=0L=0B=0</v>
      </c>
      <c r="G2517" s="0" t="s">
        <v>209</v>
      </c>
      <c r="I2517" s="0" t="s">
        <v>10794</v>
      </c>
      <c r="J2517" s="0" t="s">
        <v>3571</v>
      </c>
      <c r="K2517" s="0" t="s">
        <v>160</v>
      </c>
      <c r="M2517" s="0" t="s">
        <v>10795</v>
      </c>
      <c r="N2517" s="0" t="str">
        <f aca="false">RIGHT(M2517,LEN(M2517)-FIND(" ",M2517))</f>
        <v>WOODBINE AVE SE</v>
      </c>
      <c r="P2517" s="0" t="s">
        <v>145</v>
      </c>
      <c r="Q2517" s="0" t="s">
        <v>146</v>
      </c>
      <c r="R2517" s="0" t="n">
        <v>44483</v>
      </c>
      <c r="AD2517" s="0" t="s">
        <v>147</v>
      </c>
      <c r="AE2517" s="0" t="s">
        <v>148</v>
      </c>
      <c r="AF2517" s="0" t="s">
        <v>149</v>
      </c>
      <c r="AH2517" s="0" t="n">
        <v>14</v>
      </c>
      <c r="AI2517" s="0" t="n">
        <v>11</v>
      </c>
      <c r="AN2517" s="0" t="s">
        <v>145</v>
      </c>
      <c r="AO2517" s="0" t="s">
        <v>150</v>
      </c>
      <c r="AP2517" s="0" t="s">
        <v>151</v>
      </c>
      <c r="AQ2517" s="0" t="n">
        <v>9</v>
      </c>
      <c r="AR2517" s="0" t="n">
        <v>64</v>
      </c>
      <c r="AS2517" s="0" t="n">
        <v>32</v>
      </c>
      <c r="AU2517" s="0" t="n">
        <f aca="false">COUNTA($BA$368:$EH$368)</f>
        <v>3</v>
      </c>
      <c r="AV2517" s="0" t="n">
        <f aca="false">COUNTIF($BA$368:$EH$368,"D")</f>
        <v>0</v>
      </c>
      <c r="AW2517" s="0" t="n">
        <f aca="false">COUNTIF($BA$368:$EH$368,"R")</f>
        <v>0</v>
      </c>
      <c r="AX2517" s="0" t="n">
        <f aca="false">IF(BN2517="D",1,0)+IF(BO2517="D",1,0)+IF(BT2517="D",1,0)+IF(BU2517="D",1,0)+IF(BW2517="D",1,0)+IF(CC2517="D",1,0)+IF(CD2517="D",1,0)+IF(CE2517="D",1,0)+IF(CF2517="D",1,0)+IF(CL2517="D",1,0)+IF(CM2517="D",1,0)+IF(CQ2517="D",1,0)+IF(CR2517="D",1,0)+IF(CS2517="D",1,0)+IF(CW2517="D",1,0)+IF(CX2517="D",1,0)+IF(DD2517="D",1,0)+IF(DE2517="D",1,0)+IF(DJ2517="D",1,0)+IF(DK2517="D",1,0)+IF(DO2517="D",1,0)+IF(DP2517="D",1,0)+IF(DQ2517="D",1,0)+IF(DW2517="D",1,0)+IF(DZ2517="D",1,0)+IF(EH2517="D",1,0)</f>
        <v>0</v>
      </c>
      <c r="AY2517" s="0" t="n">
        <f aca="false">COUNTIF(DU2517:EH2517, "&lt;&gt;")</f>
        <v>0</v>
      </c>
      <c r="AZ2517" s="0" t="n">
        <f aca="false">IF(EH2517&lt;&gt;"",1,0)</f>
        <v>0</v>
      </c>
      <c r="BB2517" s="0" t="s">
        <v>152</v>
      </c>
      <c r="BD2517" s="0" t="s">
        <v>153</v>
      </c>
      <c r="CA2517" s="0" t="s">
        <v>153</v>
      </c>
      <c r="CK2517" s="0" t="s">
        <v>153</v>
      </c>
      <c r="CN2517" s="0" t="s">
        <v>153</v>
      </c>
      <c r="CP2517" s="0" t="s">
        <v>153</v>
      </c>
    </row>
    <row r="2518" customFormat="false" ht="13.8" hidden="true" customHeight="false" outlineLevel="0" collapsed="false">
      <c r="A2518" s="0" t="s">
        <v>10796</v>
      </c>
      <c r="B2518" s="0" t="n">
        <v>78</v>
      </c>
      <c r="C2518" s="0" t="n">
        <v>318542</v>
      </c>
      <c r="D2518" s="0" t="s">
        <v>10797</v>
      </c>
      <c r="E2518" s="0" t="s">
        <v>10798</v>
      </c>
      <c r="F2518" s="0" t="str">
        <f aca="false">CONCATENATE(D2518," ",LEFT(H2518,4),"T=",AU2518,"D=",AV2518,"R=",AW2518,"M=",AX2518,"L=",AY2518,"B=",AZ2518)</f>
        <v>LANDIS T=1D=0R=0M=0L=0B=0</v>
      </c>
      <c r="G2518" s="0" t="s">
        <v>195</v>
      </c>
      <c r="I2518" s="0" t="s">
        <v>10799</v>
      </c>
      <c r="J2518" s="0" t="s">
        <v>5753</v>
      </c>
      <c r="K2518" s="0" t="s">
        <v>143</v>
      </c>
      <c r="M2518" s="0" t="s">
        <v>10795</v>
      </c>
      <c r="N2518" s="0" t="str">
        <f aca="false">RIGHT(M2518,LEN(M2518)-FIND(" ",M2518))</f>
        <v>WOODBINE AVE SE</v>
      </c>
      <c r="P2518" s="0" t="s">
        <v>145</v>
      </c>
      <c r="Q2518" s="0" t="s">
        <v>146</v>
      </c>
      <c r="R2518" s="0" t="n">
        <v>44483</v>
      </c>
      <c r="AD2518" s="0" t="s">
        <v>147</v>
      </c>
      <c r="AE2518" s="0" t="s">
        <v>148</v>
      </c>
      <c r="AF2518" s="0" t="s">
        <v>149</v>
      </c>
      <c r="AH2518" s="0" t="n">
        <v>14</v>
      </c>
      <c r="AI2518" s="0" t="n">
        <v>11</v>
      </c>
      <c r="AN2518" s="0" t="s">
        <v>145</v>
      </c>
      <c r="AO2518" s="0" t="s">
        <v>150</v>
      </c>
      <c r="AP2518" s="0" t="s">
        <v>151</v>
      </c>
      <c r="AQ2518" s="0" t="n">
        <v>9</v>
      </c>
      <c r="AR2518" s="0" t="n">
        <v>64</v>
      </c>
      <c r="AS2518" s="0" t="n">
        <v>32</v>
      </c>
      <c r="AU2518" s="0" t="n">
        <f aca="false">COUNTA($BA$933:$EH$933)</f>
        <v>1</v>
      </c>
      <c r="AV2518" s="0" t="n">
        <f aca="false">COUNTIF($BA$933:$EH$933,"D")</f>
        <v>0</v>
      </c>
      <c r="AW2518" s="0" t="n">
        <f aca="false">COUNTIF($BA$933:$EH$933,"R")</f>
        <v>0</v>
      </c>
      <c r="AX2518" s="0" t="n">
        <f aca="false">IF(BN2518="D",1,0)+IF(BO2518="D",1,0)+IF(BT2518="D",1,0)+IF(BU2518="D",1,0)+IF(BW2518="D",1,0)+IF(CC2518="D",1,0)+IF(CD2518="D",1,0)+IF(CE2518="D",1,0)+IF(CF2518="D",1,0)+IF(CL2518="D",1,0)+IF(CM2518="D",1,0)+IF(CQ2518="D",1,0)+IF(CR2518="D",1,0)+IF(CS2518="D",1,0)+IF(CW2518="D",1,0)+IF(CX2518="D",1,0)+IF(DD2518="D",1,0)+IF(DE2518="D",1,0)+IF(DJ2518="D",1,0)+IF(DK2518="D",1,0)+IF(DO2518="D",1,0)+IF(DP2518="D",1,0)+IF(DQ2518="D",1,0)+IF(DW2518="D",1,0)+IF(DZ2518="D",1,0)+IF(EH2518="D",1,0)</f>
        <v>0</v>
      </c>
      <c r="AY2518" s="0" t="n">
        <f aca="false">COUNTIF(DU2518:EH2518, "&lt;&gt;")</f>
        <v>0</v>
      </c>
      <c r="AZ2518" s="0" t="n">
        <f aca="false">IF(EH2518&lt;&gt;"",1,0)</f>
        <v>0</v>
      </c>
      <c r="BB2518" s="0" t="s">
        <v>152</v>
      </c>
      <c r="BL2518" s="0" t="s">
        <v>153</v>
      </c>
      <c r="CZ2518" s="0" t="s">
        <v>175</v>
      </c>
    </row>
    <row r="2519" customFormat="false" ht="13.8" hidden="false" customHeight="false" outlineLevel="0" collapsed="false">
      <c r="A2519" s="0" t="s">
        <v>10800</v>
      </c>
      <c r="B2519" s="0" t="n">
        <v>78</v>
      </c>
      <c r="C2519" s="0" t="n">
        <v>435287</v>
      </c>
      <c r="D2519" s="0" t="s">
        <v>10801</v>
      </c>
      <c r="E2519" s="0" t="s">
        <v>10802</v>
      </c>
      <c r="F2519" s="0" t="str">
        <f aca="false">CONCATENATE(D2519," ",LEFT(H2519,4),"T=",AU2519,"D=",AV2519,"R=",AW2519,"M=",AX2519,"L=",AY2519,"B=",AZ2519)</f>
        <v>CRENSHAW T=12D=2R=0M=0L=2B=0</v>
      </c>
      <c r="G2519" s="0" t="s">
        <v>190</v>
      </c>
      <c r="I2519" s="0" t="s">
        <v>7549</v>
      </c>
      <c r="J2519" s="0" t="s">
        <v>10803</v>
      </c>
      <c r="K2519" s="0" t="s">
        <v>160</v>
      </c>
      <c r="M2519" s="0" t="s">
        <v>10804</v>
      </c>
      <c r="N2519" s="0" t="str">
        <f aca="false">RIGHT(M2519,LEN(M2519)-FIND(" ",M2519))</f>
        <v>WOODBINE AVE SE</v>
      </c>
      <c r="P2519" s="0" t="s">
        <v>145</v>
      </c>
      <c r="Q2519" s="0" t="s">
        <v>146</v>
      </c>
      <c r="R2519" s="0" t="n">
        <v>44483</v>
      </c>
      <c r="AD2519" s="0" t="s">
        <v>147</v>
      </c>
      <c r="AE2519" s="0" t="s">
        <v>148</v>
      </c>
      <c r="AF2519" s="0" t="s">
        <v>149</v>
      </c>
      <c r="AH2519" s="0" t="n">
        <v>14</v>
      </c>
      <c r="AI2519" s="0" t="n">
        <v>11</v>
      </c>
      <c r="AN2519" s="0" t="s">
        <v>145</v>
      </c>
      <c r="AO2519" s="0" t="s">
        <v>150</v>
      </c>
      <c r="AP2519" s="0" t="s">
        <v>151</v>
      </c>
      <c r="AQ2519" s="0" t="n">
        <v>9</v>
      </c>
      <c r="AR2519" s="0" t="n">
        <v>64</v>
      </c>
      <c r="AS2519" s="0" t="n">
        <v>32</v>
      </c>
      <c r="AU2519" s="0" t="n">
        <f aca="false">COUNTA($BA$259:$EH$259)</f>
        <v>12</v>
      </c>
      <c r="AV2519" s="0" t="n">
        <f aca="false">COUNTIF($BA$259:$EH$259,"D")</f>
        <v>2</v>
      </c>
      <c r="AW2519" s="0" t="n">
        <f aca="false">COUNTIF($BA$259:$EH$259,"R")</f>
        <v>0</v>
      </c>
      <c r="AX2519" s="0" t="n">
        <f aca="false">IF(BN2519="D",1,0)+IF(BO2519="D",1,0)+IF(BT2519="D",1,0)+IF(BU2519="D",1,0)+IF(BW2519="D",1,0)+IF(CC2519="D",1,0)+IF(CD2519="D",1,0)+IF(CE2519="D",1,0)+IF(CF2519="D",1,0)+IF(CL2519="D",1,0)+IF(CM2519="D",1,0)+IF(CQ2519="D",1,0)+IF(CR2519="D",1,0)+IF(CS2519="D",1,0)+IF(CW2519="D",1,0)+IF(CX2519="D",1,0)+IF(DD2519="D",1,0)+IF(DE2519="D",1,0)+IF(DJ2519="D",1,0)+IF(DK2519="D",1,0)+IF(DO2519="D",1,0)+IF(DP2519="D",1,0)+IF(DQ2519="D",1,0)+IF(DW2519="D",1,0)+IF(DZ2519="D",1,0)+IF(EH2519="D",1,0)</f>
        <v>0</v>
      </c>
      <c r="AY2519" s="0" t="n">
        <f aca="false">COUNTIF(DU2519:EH2519, "&lt;&gt;")</f>
        <v>2</v>
      </c>
      <c r="AZ2519" s="0" t="n">
        <f aca="false">IF(EH2519&lt;&gt;"",1,0)</f>
        <v>0</v>
      </c>
      <c r="BB2519" s="0" t="s">
        <v>152</v>
      </c>
      <c r="DI2519" s="0" t="s">
        <v>153</v>
      </c>
      <c r="DN2519" s="0" t="s">
        <v>153</v>
      </c>
      <c r="DX2519" s="0" t="s">
        <v>153</v>
      </c>
      <c r="EF2519" s="0" t="s">
        <v>153</v>
      </c>
    </row>
    <row r="2520" customFormat="false" ht="13.8" hidden="false" customHeight="false" outlineLevel="0" collapsed="false">
      <c r="A2520" s="0" t="s">
        <v>10805</v>
      </c>
      <c r="B2520" s="0" t="n">
        <v>78</v>
      </c>
      <c r="C2520" s="0" t="n">
        <v>444929</v>
      </c>
      <c r="D2520" s="0" t="s">
        <v>10801</v>
      </c>
      <c r="E2520" s="0" t="s">
        <v>10806</v>
      </c>
      <c r="F2520" s="0" t="str">
        <f aca="false">CONCATENATE(D2520," ",LEFT(H2520,4),"T=",AU2520,"D=",AV2520,"R=",AW2520,"M=",AX2520,"L=",AY2520,"B=",AZ2520)</f>
        <v>CRENSHAW T=1D=0R=0M=0L=2B=0</v>
      </c>
      <c r="G2520" s="0" t="s">
        <v>175</v>
      </c>
      <c r="I2520" s="0" t="s">
        <v>10807</v>
      </c>
      <c r="J2520" s="0" t="s">
        <v>1670</v>
      </c>
      <c r="K2520" s="0" t="s">
        <v>160</v>
      </c>
      <c r="M2520" s="0" t="s">
        <v>10804</v>
      </c>
      <c r="N2520" s="0" t="str">
        <f aca="false">RIGHT(M2520,LEN(M2520)-FIND(" ",M2520))</f>
        <v>WOODBINE AVE SE</v>
      </c>
      <c r="P2520" s="0" t="s">
        <v>145</v>
      </c>
      <c r="Q2520" s="0" t="s">
        <v>146</v>
      </c>
      <c r="R2520" s="0" t="n">
        <v>44483</v>
      </c>
      <c r="AD2520" s="0" t="s">
        <v>147</v>
      </c>
      <c r="AE2520" s="0" t="s">
        <v>148</v>
      </c>
      <c r="AF2520" s="0" t="s">
        <v>149</v>
      </c>
      <c r="AH2520" s="0" t="n">
        <v>14</v>
      </c>
      <c r="AI2520" s="0" t="n">
        <v>11</v>
      </c>
      <c r="AN2520" s="0" t="s">
        <v>145</v>
      </c>
      <c r="AO2520" s="0" t="s">
        <v>150</v>
      </c>
      <c r="AP2520" s="0" t="s">
        <v>151</v>
      </c>
      <c r="AQ2520" s="0" t="n">
        <v>9</v>
      </c>
      <c r="AR2520" s="0" t="n">
        <v>64</v>
      </c>
      <c r="AS2520" s="0" t="n">
        <v>32</v>
      </c>
      <c r="AU2520" s="0" t="n">
        <f aca="false">COUNTA($BA$613:$EH$613)</f>
        <v>1</v>
      </c>
      <c r="AV2520" s="0" t="n">
        <f aca="false">COUNTIF($BA$613:$EH$613,"D")</f>
        <v>0</v>
      </c>
      <c r="AW2520" s="0" t="n">
        <f aca="false">COUNTIF($BA$613:$EH$613,"R")</f>
        <v>0</v>
      </c>
      <c r="AX2520" s="0" t="n">
        <f aca="false">IF(BN2520="D",1,0)+IF(BO2520="D",1,0)+IF(BT2520="D",1,0)+IF(BU2520="D",1,0)+IF(BW2520="D",1,0)+IF(CC2520="D",1,0)+IF(CD2520="D",1,0)+IF(CE2520="D",1,0)+IF(CF2520="D",1,0)+IF(CL2520="D",1,0)+IF(CM2520="D",1,0)+IF(CQ2520="D",1,0)+IF(CR2520="D",1,0)+IF(CS2520="D",1,0)+IF(CW2520="D",1,0)+IF(CX2520="D",1,0)+IF(DD2520="D",1,0)+IF(DE2520="D",1,0)+IF(DJ2520="D",1,0)+IF(DK2520="D",1,0)+IF(DO2520="D",1,0)+IF(DP2520="D",1,0)+IF(DQ2520="D",1,0)+IF(DW2520="D",1,0)+IF(DZ2520="D",1,0)+IF(EH2520="D",1,0)</f>
        <v>0</v>
      </c>
      <c r="AY2520" s="0" t="n">
        <f aca="false">COUNTIF(DU2520:EH2520, "&lt;&gt;")</f>
        <v>2</v>
      </c>
      <c r="AZ2520" s="0" t="n">
        <f aca="false">IF(EH2520&lt;&gt;"",1,0)</f>
        <v>0</v>
      </c>
      <c r="BB2520" s="0" t="s">
        <v>152</v>
      </c>
      <c r="EA2520" s="0" t="s">
        <v>153</v>
      </c>
      <c r="EF2520" s="0" t="s">
        <v>153</v>
      </c>
    </row>
    <row r="2521" customFormat="false" ht="13.8" hidden="false" customHeight="false" outlineLevel="0" collapsed="false">
      <c r="A2521" s="0" t="s">
        <v>10808</v>
      </c>
      <c r="B2521" s="0" t="n">
        <v>78</v>
      </c>
      <c r="C2521" s="0" t="n">
        <v>300629</v>
      </c>
      <c r="D2521" s="0" t="s">
        <v>4001</v>
      </c>
      <c r="E2521" s="0" t="s">
        <v>10809</v>
      </c>
      <c r="F2521" s="0" t="str">
        <f aca="false">CONCATENATE(D2521," ",LEFT(H2521,4),"T=",AU2521,"D=",AV2521,"R=",AW2521,"M=",AX2521,"L=",AY2521,"B=",AZ2521)</f>
        <v>COLEMAN T=3D=0R=0M=1L=3B=0</v>
      </c>
      <c r="G2521" s="0" t="s">
        <v>10364</v>
      </c>
      <c r="I2521" s="0" t="s">
        <v>10810</v>
      </c>
      <c r="J2521" s="0" t="s">
        <v>727</v>
      </c>
      <c r="K2521" s="0" t="s">
        <v>160</v>
      </c>
      <c r="M2521" s="0" t="s">
        <v>10804</v>
      </c>
      <c r="N2521" s="0" t="str">
        <f aca="false">RIGHT(M2521,LEN(M2521)-FIND(" ",M2521))</f>
        <v>WOODBINE AVE SE</v>
      </c>
      <c r="P2521" s="0" t="s">
        <v>145</v>
      </c>
      <c r="Q2521" s="0" t="s">
        <v>146</v>
      </c>
      <c r="R2521" s="0" t="n">
        <v>44483</v>
      </c>
      <c r="AD2521" s="0" t="s">
        <v>147</v>
      </c>
      <c r="AE2521" s="0" t="s">
        <v>148</v>
      </c>
      <c r="AF2521" s="0" t="s">
        <v>149</v>
      </c>
      <c r="AH2521" s="0" t="n">
        <v>14</v>
      </c>
      <c r="AI2521" s="0" t="n">
        <v>11</v>
      </c>
      <c r="AN2521" s="0" t="s">
        <v>145</v>
      </c>
      <c r="AO2521" s="0" t="s">
        <v>150</v>
      </c>
      <c r="AP2521" s="0" t="s">
        <v>151</v>
      </c>
      <c r="AQ2521" s="0" t="n">
        <v>9</v>
      </c>
      <c r="AR2521" s="0" t="n">
        <v>64</v>
      </c>
      <c r="AS2521" s="0" t="n">
        <v>32</v>
      </c>
      <c r="AU2521" s="0" t="n">
        <f aca="false">COUNTA($BA$759:$EH$759)</f>
        <v>3</v>
      </c>
      <c r="AV2521" s="0" t="n">
        <f aca="false">COUNTIF($BA$759:$EH$759,"D")</f>
        <v>0</v>
      </c>
      <c r="AW2521" s="0" t="n">
        <f aca="false">COUNTIF($BA$759:$EH$759,"R")</f>
        <v>0</v>
      </c>
      <c r="AX2521" s="0" t="n">
        <f aca="false">IF(BN2521="D",1,0)+IF(BO2521="D",1,0)+IF(BT2521="D",1,0)+IF(BU2521="D",1,0)+IF(BW2521="D",1,0)+IF(CC2521="D",1,0)+IF(CD2521="D",1,0)+IF(CE2521="D",1,0)+IF(CF2521="D",1,0)+IF(CL2521="D",1,0)+IF(CM2521="D",1,0)+IF(CQ2521="D",1,0)+IF(CR2521="D",1,0)+IF(CS2521="D",1,0)+IF(CW2521="D",1,0)+IF(CX2521="D",1,0)+IF(DD2521="D",1,0)+IF(DE2521="D",1,0)+IF(DJ2521="D",1,0)+IF(DK2521="D",1,0)+IF(DO2521="D",1,0)+IF(DP2521="D",1,0)+IF(DQ2521="D",1,0)+IF(DW2521="D",1,0)+IF(DZ2521="D",1,0)+IF(EH2521="D",1,0)</f>
        <v>1</v>
      </c>
      <c r="AY2521" s="0" t="n">
        <f aca="false">COUNTIF(DU2521:EH2521, "&lt;&gt;")</f>
        <v>3</v>
      </c>
      <c r="AZ2521" s="0" t="n">
        <f aca="false">IF(EH2521&lt;&gt;"",1,0)</f>
        <v>0</v>
      </c>
      <c r="BB2521" s="0" t="s">
        <v>152</v>
      </c>
      <c r="CA2521" s="0" t="s">
        <v>153</v>
      </c>
      <c r="CL2521" s="0" t="s">
        <v>175</v>
      </c>
      <c r="CP2521" s="0" t="s">
        <v>153</v>
      </c>
      <c r="CY2521" s="0" t="s">
        <v>153</v>
      </c>
      <c r="DC2521" s="0" t="s">
        <v>153</v>
      </c>
      <c r="DI2521" s="0" t="s">
        <v>153</v>
      </c>
      <c r="DN2521" s="0" t="s">
        <v>153</v>
      </c>
      <c r="DX2521" s="0" t="s">
        <v>153</v>
      </c>
      <c r="EA2521" s="0" t="s">
        <v>153</v>
      </c>
      <c r="EF2521" s="0" t="s">
        <v>153</v>
      </c>
    </row>
    <row r="2522" customFormat="false" ht="13.8" hidden="true" customHeight="false" outlineLevel="0" collapsed="false">
      <c r="A2522" s="0" t="s">
        <v>10811</v>
      </c>
      <c r="B2522" s="0" t="n">
        <v>78</v>
      </c>
      <c r="C2522" s="0" t="n">
        <v>301176</v>
      </c>
      <c r="D2522" s="0" t="s">
        <v>690</v>
      </c>
      <c r="E2522" s="0" t="s">
        <v>140</v>
      </c>
      <c r="F2522" s="0" t="str">
        <f aca="false">CONCATENATE(D2522," ",LEFT(H2522,4),"T=",AU2522,"D=",AV2522,"R=",AW2522,"M=",AX2522,"L=",AY2522,"B=",AZ2522)</f>
        <v>SMITH T=19D=5R=0M=0L=0B=0</v>
      </c>
      <c r="G2522" s="0" t="s">
        <v>362</v>
      </c>
      <c r="I2522" s="0" t="s">
        <v>10812</v>
      </c>
      <c r="J2522" s="0" t="s">
        <v>10813</v>
      </c>
      <c r="K2522" s="0" t="s">
        <v>143</v>
      </c>
      <c r="M2522" s="0" t="s">
        <v>10814</v>
      </c>
      <c r="N2522" s="0" t="str">
        <f aca="false">RIGHT(M2522,LEN(M2522)-FIND(" ",M2522))</f>
        <v>WOODBINE AVE SE</v>
      </c>
      <c r="P2522" s="0" t="s">
        <v>145</v>
      </c>
      <c r="Q2522" s="0" t="s">
        <v>146</v>
      </c>
      <c r="R2522" s="0" t="n">
        <v>44483</v>
      </c>
      <c r="AD2522" s="0" t="s">
        <v>147</v>
      </c>
      <c r="AE2522" s="0" t="s">
        <v>148</v>
      </c>
      <c r="AF2522" s="0" t="s">
        <v>149</v>
      </c>
      <c r="AH2522" s="0" t="n">
        <v>14</v>
      </c>
      <c r="AI2522" s="0" t="n">
        <v>11</v>
      </c>
      <c r="AN2522" s="0" t="s">
        <v>145</v>
      </c>
      <c r="AO2522" s="0" t="s">
        <v>150</v>
      </c>
      <c r="AP2522" s="0" t="s">
        <v>151</v>
      </c>
      <c r="AQ2522" s="0" t="n">
        <v>9</v>
      </c>
      <c r="AR2522" s="0" t="n">
        <v>64</v>
      </c>
      <c r="AS2522" s="0" t="n">
        <v>32</v>
      </c>
      <c r="AU2522" s="0" t="n">
        <f aca="false">COUNTA($BA$213:$EH$213)</f>
        <v>19</v>
      </c>
      <c r="AV2522" s="0" t="n">
        <f aca="false">COUNTIF($BA$213:$EH$213,"D")</f>
        <v>5</v>
      </c>
      <c r="AW2522" s="0" t="n">
        <f aca="false">COUNTIF($BA$213:$EH$213,"R")</f>
        <v>0</v>
      </c>
      <c r="AX2522" s="0" t="n">
        <f aca="false">IF(BN2522="D",1,0)+IF(BO2522="D",1,0)+IF(BT2522="D",1,0)+IF(BU2522="D",1,0)+IF(BW2522="D",1,0)+IF(CC2522="D",1,0)+IF(CD2522="D",1,0)+IF(CE2522="D",1,0)+IF(CF2522="D",1,0)+IF(CL2522="D",1,0)+IF(CM2522="D",1,0)+IF(CQ2522="D",1,0)+IF(CR2522="D",1,0)+IF(CS2522="D",1,0)+IF(CW2522="D",1,0)+IF(CX2522="D",1,0)+IF(DD2522="D",1,0)+IF(DE2522="D",1,0)+IF(DJ2522="D",1,0)+IF(DK2522="D",1,0)+IF(DO2522="D",1,0)+IF(DP2522="D",1,0)+IF(DQ2522="D",1,0)+IF(DW2522="D",1,0)+IF(DZ2522="D",1,0)+IF(EH2522="D",1,0)</f>
        <v>0</v>
      </c>
      <c r="AY2522" s="0" t="n">
        <f aca="false">COUNTIF(DU2522:EH2522, "&lt;&gt;")</f>
        <v>0</v>
      </c>
      <c r="AZ2522" s="0" t="n">
        <f aca="false">IF(EH2522&lt;&gt;"",1,0)</f>
        <v>0</v>
      </c>
      <c r="BB2522" s="0" t="s">
        <v>152</v>
      </c>
      <c r="BS2522" s="0" t="s">
        <v>153</v>
      </c>
      <c r="CA2522" s="0" t="s">
        <v>153</v>
      </c>
      <c r="CN2522" s="0" t="s">
        <v>153</v>
      </c>
      <c r="CV2522" s="0" t="s">
        <v>153</v>
      </c>
      <c r="CY2522" s="0" t="s">
        <v>153</v>
      </c>
      <c r="CZ2522" s="0" t="s">
        <v>175</v>
      </c>
      <c r="DC2522" s="0" t="s">
        <v>153</v>
      </c>
      <c r="DI2522" s="0" t="s">
        <v>153</v>
      </c>
      <c r="DN2522" s="0" t="s">
        <v>153</v>
      </c>
    </row>
    <row r="2523" customFormat="false" ht="13.8" hidden="true" customHeight="false" outlineLevel="0" collapsed="false">
      <c r="A2523" s="0" t="s">
        <v>10815</v>
      </c>
      <c r="B2523" s="0" t="n">
        <v>78</v>
      </c>
      <c r="C2523" s="0" t="n">
        <v>289056</v>
      </c>
      <c r="D2523" s="0" t="s">
        <v>3731</v>
      </c>
      <c r="E2523" s="0" t="s">
        <v>943</v>
      </c>
      <c r="F2523" s="0" t="str">
        <f aca="false">CONCATENATE(D2523," ",LEFT(H2523,4),"T=",AU2523,"D=",AV2523,"R=",AW2523,"M=",AX2523,"L=",AY2523,"B=",AZ2523)</f>
        <v>LUNDY T=2D=0R=0M=0L=0B=0</v>
      </c>
      <c r="G2523" s="0" t="s">
        <v>357</v>
      </c>
      <c r="I2523" s="0" t="s">
        <v>10816</v>
      </c>
      <c r="J2523" s="0" t="s">
        <v>321</v>
      </c>
      <c r="K2523" s="0" t="s">
        <v>143</v>
      </c>
      <c r="M2523" s="0" t="s">
        <v>10814</v>
      </c>
      <c r="N2523" s="0" t="str">
        <f aca="false">RIGHT(M2523,LEN(M2523)-FIND(" ",M2523))</f>
        <v>WOODBINE AVE SE</v>
      </c>
      <c r="P2523" s="0" t="s">
        <v>145</v>
      </c>
      <c r="Q2523" s="0" t="s">
        <v>146</v>
      </c>
      <c r="R2523" s="0" t="n">
        <v>44483</v>
      </c>
      <c r="AD2523" s="0" t="s">
        <v>147</v>
      </c>
      <c r="AE2523" s="0" t="s">
        <v>148</v>
      </c>
      <c r="AF2523" s="0" t="s">
        <v>149</v>
      </c>
      <c r="AH2523" s="0" t="n">
        <v>14</v>
      </c>
      <c r="AI2523" s="0" t="n">
        <v>11</v>
      </c>
      <c r="AN2523" s="0" t="s">
        <v>145</v>
      </c>
      <c r="AO2523" s="0" t="s">
        <v>150</v>
      </c>
      <c r="AP2523" s="0" t="s">
        <v>151</v>
      </c>
      <c r="AQ2523" s="0" t="n">
        <v>9</v>
      </c>
      <c r="AR2523" s="0" t="n">
        <v>64</v>
      </c>
      <c r="AS2523" s="0" t="n">
        <v>32</v>
      </c>
      <c r="AU2523" s="0" t="n">
        <f aca="false">COUNTA($BA$277:$EH$277)</f>
        <v>2</v>
      </c>
      <c r="AV2523" s="0" t="n">
        <f aca="false">COUNTIF($BA$277:$EH$277,"D")</f>
        <v>0</v>
      </c>
      <c r="AW2523" s="0" t="n">
        <f aca="false">COUNTIF($BA$277:$EH$277,"R")</f>
        <v>0</v>
      </c>
      <c r="AX2523" s="0" t="n">
        <f aca="false">IF(BN2523="D",1,0)+IF(BO2523="D",1,0)+IF(BT2523="D",1,0)+IF(BU2523="D",1,0)+IF(BW2523="D",1,0)+IF(CC2523="D",1,0)+IF(CD2523="D",1,0)+IF(CE2523="D",1,0)+IF(CF2523="D",1,0)+IF(CL2523="D",1,0)+IF(CM2523="D",1,0)+IF(CQ2523="D",1,0)+IF(CR2523="D",1,0)+IF(CS2523="D",1,0)+IF(CW2523="D",1,0)+IF(CX2523="D",1,0)+IF(DD2523="D",1,0)+IF(DE2523="D",1,0)+IF(DJ2523="D",1,0)+IF(DK2523="D",1,0)+IF(DO2523="D",1,0)+IF(DP2523="D",1,0)+IF(DQ2523="D",1,0)+IF(DW2523="D",1,0)+IF(DZ2523="D",1,0)+IF(EH2523="D",1,0)</f>
        <v>0</v>
      </c>
      <c r="AY2523" s="0" t="n">
        <f aca="false">COUNTIF(DU2523:EH2523, "&lt;&gt;")</f>
        <v>0</v>
      </c>
      <c r="AZ2523" s="0" t="n">
        <f aca="false">IF(EH2523&lt;&gt;"",1,0)</f>
        <v>0</v>
      </c>
      <c r="BB2523" s="0" t="s">
        <v>152</v>
      </c>
      <c r="BS2523" s="0" t="s">
        <v>153</v>
      </c>
      <c r="CA2523" s="0" t="s">
        <v>153</v>
      </c>
      <c r="CP2523" s="0" t="s">
        <v>153</v>
      </c>
      <c r="CV2523" s="0" t="s">
        <v>153</v>
      </c>
      <c r="CY2523" s="0" t="s">
        <v>153</v>
      </c>
      <c r="CZ2523" s="0" t="s">
        <v>175</v>
      </c>
      <c r="DC2523" s="0" t="s">
        <v>153</v>
      </c>
      <c r="DI2523" s="0" t="s">
        <v>153</v>
      </c>
      <c r="DN2523" s="0" t="s">
        <v>153</v>
      </c>
    </row>
    <row r="2524" customFormat="false" ht="13.8" hidden="false" customHeight="false" outlineLevel="0" collapsed="false">
      <c r="A2524" s="0" t="s">
        <v>10817</v>
      </c>
      <c r="B2524" s="0" t="n">
        <v>78</v>
      </c>
      <c r="C2524" s="0" t="n">
        <v>452343</v>
      </c>
      <c r="D2524" s="0" t="s">
        <v>10818</v>
      </c>
      <c r="E2524" s="0" t="s">
        <v>425</v>
      </c>
      <c r="F2524" s="0" t="str">
        <f aca="false">CONCATENATE(D2524," ",LEFT(H2524,4),"T=",AU2524,"D=",AV2524,"R=",AW2524,"M=",AX2524,"L=",AY2524,"B=",AZ2524)</f>
        <v>ODELL T=12D=5R=0M=0L=4B=0</v>
      </c>
      <c r="G2524" s="0" t="s">
        <v>379</v>
      </c>
      <c r="I2524" s="0" t="s">
        <v>10819</v>
      </c>
      <c r="J2524" s="0" t="s">
        <v>10820</v>
      </c>
      <c r="K2524" s="0" t="s">
        <v>160</v>
      </c>
      <c r="M2524" s="0" t="s">
        <v>10814</v>
      </c>
      <c r="N2524" s="0" t="str">
        <f aca="false">RIGHT(M2524,LEN(M2524)-FIND(" ",M2524))</f>
        <v>WOODBINE AVE SE</v>
      </c>
      <c r="P2524" s="0" t="s">
        <v>145</v>
      </c>
      <c r="Q2524" s="0" t="s">
        <v>146</v>
      </c>
      <c r="R2524" s="0" t="n">
        <v>44483</v>
      </c>
      <c r="AD2524" s="0" t="s">
        <v>147</v>
      </c>
      <c r="AE2524" s="0" t="s">
        <v>148</v>
      </c>
      <c r="AF2524" s="0" t="s">
        <v>149</v>
      </c>
      <c r="AH2524" s="0" t="n">
        <v>14</v>
      </c>
      <c r="AI2524" s="0" t="n">
        <v>11</v>
      </c>
      <c r="AN2524" s="0" t="s">
        <v>145</v>
      </c>
      <c r="AO2524" s="0" t="s">
        <v>150</v>
      </c>
      <c r="AP2524" s="0" t="s">
        <v>151</v>
      </c>
      <c r="AQ2524" s="0" t="n">
        <v>9</v>
      </c>
      <c r="AR2524" s="0" t="n">
        <v>64</v>
      </c>
      <c r="AS2524" s="0" t="n">
        <v>32</v>
      </c>
      <c r="AU2524" s="0" t="n">
        <f aca="false">COUNTA($BA$713:$EH$713)</f>
        <v>12</v>
      </c>
      <c r="AV2524" s="0" t="n">
        <f aca="false">COUNTIF($BA$713:$EH$713,"D")</f>
        <v>5</v>
      </c>
      <c r="AW2524" s="0" t="n">
        <f aca="false">COUNTIF($BA$713:$EH$713,"R")</f>
        <v>0</v>
      </c>
      <c r="AX2524" s="0" t="n">
        <f aca="false">IF(BN2524="D",1,0)+IF(BO2524="D",1,0)+IF(BT2524="D",1,0)+IF(BU2524="D",1,0)+IF(BW2524="D",1,0)+IF(CC2524="D",1,0)+IF(CD2524="D",1,0)+IF(CE2524="D",1,0)+IF(CF2524="D",1,0)+IF(CL2524="D",1,0)+IF(CM2524="D",1,0)+IF(CQ2524="D",1,0)+IF(CR2524="D",1,0)+IF(CS2524="D",1,0)+IF(CW2524="D",1,0)+IF(CX2524="D",1,0)+IF(DD2524="D",1,0)+IF(DE2524="D",1,0)+IF(DJ2524="D",1,0)+IF(DK2524="D",1,0)+IF(DO2524="D",1,0)+IF(DP2524="D",1,0)+IF(DQ2524="D",1,0)+IF(DW2524="D",1,0)+IF(DZ2524="D",1,0)+IF(EH2524="D",1,0)</f>
        <v>0</v>
      </c>
      <c r="AY2524" s="0" t="n">
        <f aca="false">COUNTIF(DU2524:EH2524, "&lt;&gt;")</f>
        <v>4</v>
      </c>
      <c r="AZ2524" s="0" t="n">
        <f aca="false">IF(EH2524&lt;&gt;"",1,0)</f>
        <v>0</v>
      </c>
      <c r="BB2524" s="0" t="s">
        <v>152</v>
      </c>
      <c r="BC2524" s="0" t="s">
        <v>153</v>
      </c>
      <c r="BD2524" s="0" t="s">
        <v>153</v>
      </c>
      <c r="BE2524" s="0" t="s">
        <v>153</v>
      </c>
      <c r="BF2524" s="0" t="s">
        <v>153</v>
      </c>
      <c r="BG2524" s="0" t="s">
        <v>153</v>
      </c>
      <c r="BH2524" s="0" t="s">
        <v>153</v>
      </c>
      <c r="BJ2524" s="0" t="s">
        <v>153</v>
      </c>
      <c r="BK2524" s="0" t="s">
        <v>153</v>
      </c>
      <c r="BL2524" s="0" t="s">
        <v>153</v>
      </c>
      <c r="BP2524" s="0" t="s">
        <v>153</v>
      </c>
      <c r="BS2524" s="0" t="s">
        <v>153</v>
      </c>
      <c r="BY2524" s="0" t="s">
        <v>209</v>
      </c>
      <c r="CA2524" s="0" t="s">
        <v>153</v>
      </c>
      <c r="DN2524" s="0" t="s">
        <v>153</v>
      </c>
      <c r="DU2524" s="0" t="s">
        <v>153</v>
      </c>
      <c r="DX2524" s="0" t="s">
        <v>153</v>
      </c>
      <c r="EA2524" s="0" t="s">
        <v>153</v>
      </c>
      <c r="EF2524" s="0" t="s">
        <v>153</v>
      </c>
    </row>
    <row r="2525" customFormat="false" ht="13.8" hidden="false" customHeight="false" outlineLevel="0" collapsed="false">
      <c r="A2525" s="0" t="s">
        <v>10821</v>
      </c>
      <c r="B2525" s="0" t="n">
        <v>78</v>
      </c>
      <c r="C2525" s="0" t="n">
        <v>232323</v>
      </c>
      <c r="D2525" s="0" t="s">
        <v>10822</v>
      </c>
      <c r="E2525" s="0" t="s">
        <v>156</v>
      </c>
      <c r="F2525" s="0" t="str">
        <f aca="false">CONCATENATE(D2525," ",LEFT(H2525,4),"T=",AU2525,"D=",AV2525,"R=",AW2525,"M=",AX2525,"L=",AY2525,"B=",AZ2525)</f>
        <v>MANOFSKY T=10D=2R=0M=0L=3B=0</v>
      </c>
      <c r="I2525" s="0" t="s">
        <v>10823</v>
      </c>
      <c r="J2525" s="0" t="s">
        <v>10824</v>
      </c>
      <c r="K2525" s="0" t="s">
        <v>160</v>
      </c>
      <c r="M2525" s="0" t="s">
        <v>10825</v>
      </c>
      <c r="N2525" s="0" t="str">
        <f aca="false">RIGHT(M2525,LEN(M2525)-FIND(" ",M2525))</f>
        <v>WOODBINE AVE SE</v>
      </c>
      <c r="P2525" s="0" t="s">
        <v>145</v>
      </c>
      <c r="Q2525" s="0" t="s">
        <v>146</v>
      </c>
      <c r="R2525" s="0" t="n">
        <v>44483</v>
      </c>
      <c r="AD2525" s="0" t="s">
        <v>147</v>
      </c>
      <c r="AE2525" s="0" t="s">
        <v>148</v>
      </c>
      <c r="AF2525" s="0" t="s">
        <v>149</v>
      </c>
      <c r="AH2525" s="0" t="n">
        <v>14</v>
      </c>
      <c r="AI2525" s="0" t="n">
        <v>11</v>
      </c>
      <c r="AN2525" s="0" t="s">
        <v>145</v>
      </c>
      <c r="AO2525" s="0" t="s">
        <v>150</v>
      </c>
      <c r="AP2525" s="0" t="s">
        <v>151</v>
      </c>
      <c r="AQ2525" s="0" t="n">
        <v>9</v>
      </c>
      <c r="AR2525" s="0" t="n">
        <v>64</v>
      </c>
      <c r="AS2525" s="0" t="n">
        <v>32</v>
      </c>
      <c r="AU2525" s="0" t="n">
        <f aca="false">COUNTA($BA$28:$EH$28)</f>
        <v>10</v>
      </c>
      <c r="AV2525" s="0" t="n">
        <f aca="false">COUNTIF($BA$28:$EH$28,"D")</f>
        <v>2</v>
      </c>
      <c r="AW2525" s="0" t="n">
        <f aca="false">COUNTIF($BA$28:$EH$28,"R")</f>
        <v>0</v>
      </c>
      <c r="AX2525" s="0" t="n">
        <f aca="false">IF(BN2525="D",1,0)+IF(BO2525="D",1,0)+IF(BT2525="D",1,0)+IF(BU2525="D",1,0)+IF(BW2525="D",1,0)+IF(CC2525="D",1,0)+IF(CD2525="D",1,0)+IF(CE2525="D",1,0)+IF(CF2525="D",1,0)+IF(CL2525="D",1,0)+IF(CM2525="D",1,0)+IF(CQ2525="D",1,0)+IF(CR2525="D",1,0)+IF(CS2525="D",1,0)+IF(CW2525="D",1,0)+IF(CX2525="D",1,0)+IF(DD2525="D",1,0)+IF(DE2525="D",1,0)+IF(DJ2525="D",1,0)+IF(DK2525="D",1,0)+IF(DO2525="D",1,0)+IF(DP2525="D",1,0)+IF(DQ2525="D",1,0)+IF(DW2525="D",1,0)+IF(DZ2525="D",1,0)+IF(EH2525="D",1,0)</f>
        <v>0</v>
      </c>
      <c r="AY2525" s="0" t="n">
        <f aca="false">COUNTIF(DU2525:EH2525, "&lt;&gt;")</f>
        <v>3</v>
      </c>
      <c r="AZ2525" s="0" t="n">
        <f aca="false">IF(EH2525&lt;&gt;"",1,0)</f>
        <v>0</v>
      </c>
      <c r="BB2525" s="0" t="s">
        <v>152</v>
      </c>
      <c r="BL2525" s="0" t="s">
        <v>153</v>
      </c>
      <c r="BP2525" s="0" t="s">
        <v>153</v>
      </c>
      <c r="BS2525" s="0" t="s">
        <v>153</v>
      </c>
      <c r="BY2525" s="0" t="s">
        <v>175</v>
      </c>
      <c r="CA2525" s="0" t="s">
        <v>153</v>
      </c>
      <c r="CG2525" s="0" t="s">
        <v>153</v>
      </c>
      <c r="CK2525" s="0" t="s">
        <v>153</v>
      </c>
      <c r="CN2525" s="0" t="s">
        <v>153</v>
      </c>
      <c r="CO2525" s="0" t="s">
        <v>175</v>
      </c>
      <c r="CP2525" s="0" t="s">
        <v>153</v>
      </c>
      <c r="CU2525" s="0" t="s">
        <v>175</v>
      </c>
      <c r="CZ2525" s="0" t="s">
        <v>175</v>
      </c>
      <c r="DC2525" s="0" t="s">
        <v>153</v>
      </c>
      <c r="DI2525" s="0" t="s">
        <v>153</v>
      </c>
      <c r="DN2525" s="0" t="s">
        <v>153</v>
      </c>
      <c r="DU2525" s="0" t="s">
        <v>153</v>
      </c>
      <c r="EA2525" s="0" t="s">
        <v>153</v>
      </c>
      <c r="EF2525" s="0" t="s">
        <v>153</v>
      </c>
    </row>
    <row r="2526" customFormat="false" ht="13.8" hidden="true" customHeight="false" outlineLevel="0" collapsed="false">
      <c r="A2526" s="0" t="s">
        <v>10826</v>
      </c>
      <c r="B2526" s="0" t="n">
        <v>78</v>
      </c>
      <c r="C2526" s="0" t="n">
        <v>411048</v>
      </c>
      <c r="D2526" s="0" t="s">
        <v>10827</v>
      </c>
      <c r="E2526" s="0" t="s">
        <v>3380</v>
      </c>
      <c r="F2526" s="0" t="str">
        <f aca="false">CONCATENATE(D2526," ",LEFT(H2526,4),"T=",AU2526,"D=",AV2526,"R=",AW2526,"M=",AX2526,"L=",AY2526,"B=",AZ2526)</f>
        <v>STATEMA T=1D=0R=0M=0L=1B=0</v>
      </c>
      <c r="G2526" s="0" t="s">
        <v>255</v>
      </c>
      <c r="I2526" s="0" t="s">
        <v>9341</v>
      </c>
      <c r="J2526" s="0" t="s">
        <v>9775</v>
      </c>
      <c r="K2526" s="0" t="s">
        <v>160</v>
      </c>
      <c r="M2526" s="0" t="s">
        <v>10828</v>
      </c>
      <c r="N2526" s="0" t="str">
        <f aca="false">RIGHT(M2526,LEN(M2526)-FIND(" ",M2526))</f>
        <v>WOODBINE AVE SE</v>
      </c>
      <c r="P2526" s="0" t="s">
        <v>145</v>
      </c>
      <c r="Q2526" s="0" t="s">
        <v>146</v>
      </c>
      <c r="R2526" s="0" t="n">
        <v>44483</v>
      </c>
      <c r="AD2526" s="0" t="s">
        <v>147</v>
      </c>
      <c r="AE2526" s="0" t="s">
        <v>148</v>
      </c>
      <c r="AF2526" s="0" t="s">
        <v>149</v>
      </c>
      <c r="AH2526" s="0" t="n">
        <v>14</v>
      </c>
      <c r="AI2526" s="0" t="n">
        <v>11</v>
      </c>
      <c r="AN2526" s="0" t="s">
        <v>145</v>
      </c>
      <c r="AO2526" s="0" t="s">
        <v>150</v>
      </c>
      <c r="AP2526" s="0" t="s">
        <v>151</v>
      </c>
      <c r="AQ2526" s="0" t="n">
        <v>9</v>
      </c>
      <c r="AR2526" s="0" t="n">
        <v>64</v>
      </c>
      <c r="AS2526" s="0" t="n">
        <v>32</v>
      </c>
      <c r="AU2526" s="0" t="n">
        <f aca="false">COUNTA($BA$130:$EH$130)</f>
        <v>1</v>
      </c>
      <c r="AV2526" s="0" t="n">
        <f aca="false">COUNTIF($BA$130:$EH$130,"D")</f>
        <v>0</v>
      </c>
      <c r="AW2526" s="0" t="n">
        <f aca="false">COUNTIF($BA$130:$EH$130,"R")</f>
        <v>0</v>
      </c>
      <c r="AX2526" s="0" t="n">
        <f aca="false">IF(BN2526="D",1,0)+IF(BO2526="D",1,0)+IF(BT2526="D",1,0)+IF(BU2526="D",1,0)+IF(BW2526="D",1,0)+IF(CC2526="D",1,0)+IF(CD2526="D",1,0)+IF(CE2526="D",1,0)+IF(CF2526="D",1,0)+IF(CL2526="D",1,0)+IF(CM2526="D",1,0)+IF(CQ2526="D",1,0)+IF(CR2526="D",1,0)+IF(CS2526="D",1,0)+IF(CW2526="D",1,0)+IF(CX2526="D",1,0)+IF(DD2526="D",1,0)+IF(DE2526="D",1,0)+IF(DJ2526="D",1,0)+IF(DK2526="D",1,0)+IF(DO2526="D",1,0)+IF(DP2526="D",1,0)+IF(DQ2526="D",1,0)+IF(DW2526="D",1,0)+IF(DZ2526="D",1,0)+IF(EH2526="D",1,0)</f>
        <v>0</v>
      </c>
      <c r="AY2526" s="0" t="n">
        <f aca="false">COUNTIF(DU2526:EH2526, "&lt;&gt;")</f>
        <v>1</v>
      </c>
      <c r="AZ2526" s="0" t="n">
        <f aca="false">IF(EH2526&lt;&gt;"",1,0)</f>
        <v>0</v>
      </c>
      <c r="BB2526" s="0" t="s">
        <v>152</v>
      </c>
      <c r="DN2526" s="0" t="s">
        <v>153</v>
      </c>
      <c r="EF2526" s="0" t="s">
        <v>153</v>
      </c>
    </row>
    <row r="2527" customFormat="false" ht="13.8" hidden="true" customHeight="false" outlineLevel="0" collapsed="false">
      <c r="A2527" s="0" t="s">
        <v>10829</v>
      </c>
      <c r="B2527" s="0" t="n">
        <v>78</v>
      </c>
      <c r="C2527" s="0" t="n">
        <v>441726</v>
      </c>
      <c r="D2527" s="0" t="s">
        <v>1001</v>
      </c>
      <c r="E2527" s="0" t="s">
        <v>292</v>
      </c>
      <c r="F2527" s="0" t="str">
        <f aca="false">CONCATENATE(D2527," ",LEFT(H2527,4),"T=",AU2527,"D=",AV2527,"R=",AW2527,"M=",AX2527,"L=",AY2527,"B=",AZ2527)</f>
        <v>DAVIS JRT=9D=0R=0M=0L=1B=0</v>
      </c>
      <c r="G2527" s="0" t="s">
        <v>763</v>
      </c>
      <c r="H2527" s="0" t="s">
        <v>314</v>
      </c>
      <c r="I2527" s="0" t="s">
        <v>10830</v>
      </c>
      <c r="J2527" s="0" t="s">
        <v>1658</v>
      </c>
      <c r="K2527" s="0" t="s">
        <v>160</v>
      </c>
      <c r="M2527" s="0" t="s">
        <v>10828</v>
      </c>
      <c r="N2527" s="0" t="str">
        <f aca="false">RIGHT(M2527,LEN(M2527)-FIND(" ",M2527))</f>
        <v>WOODBINE AVE SE</v>
      </c>
      <c r="P2527" s="0" t="s">
        <v>145</v>
      </c>
      <c r="Q2527" s="0" t="s">
        <v>146</v>
      </c>
      <c r="R2527" s="0" t="n">
        <v>44483</v>
      </c>
      <c r="AD2527" s="0" t="s">
        <v>147</v>
      </c>
      <c r="AE2527" s="0" t="s">
        <v>148</v>
      </c>
      <c r="AF2527" s="0" t="s">
        <v>149</v>
      </c>
      <c r="AH2527" s="0" t="n">
        <v>14</v>
      </c>
      <c r="AI2527" s="0" t="n">
        <v>11</v>
      </c>
      <c r="AN2527" s="0" t="s">
        <v>145</v>
      </c>
      <c r="AO2527" s="0" t="s">
        <v>150</v>
      </c>
      <c r="AP2527" s="0" t="s">
        <v>151</v>
      </c>
      <c r="AQ2527" s="0" t="n">
        <v>9</v>
      </c>
      <c r="AR2527" s="0" t="n">
        <v>64</v>
      </c>
      <c r="AS2527" s="0" t="n">
        <v>32</v>
      </c>
      <c r="AU2527" s="0" t="n">
        <f aca="false">COUNTA($BA$584:$EH$584)</f>
        <v>9</v>
      </c>
      <c r="AV2527" s="0" t="n">
        <f aca="false">COUNTIF($BA$584:$EH$584,"D")</f>
        <v>0</v>
      </c>
      <c r="AW2527" s="0" t="n">
        <f aca="false">COUNTIF($BA$584:$EH$584,"R")</f>
        <v>0</v>
      </c>
      <c r="AX2527" s="0" t="n">
        <f aca="false">IF(BN2527="D",1,0)+IF(BO2527="D",1,0)+IF(BT2527="D",1,0)+IF(BU2527="D",1,0)+IF(BW2527="D",1,0)+IF(CC2527="D",1,0)+IF(CD2527="D",1,0)+IF(CE2527="D",1,0)+IF(CF2527="D",1,0)+IF(CL2527="D",1,0)+IF(CM2527="D",1,0)+IF(CQ2527="D",1,0)+IF(CR2527="D",1,0)+IF(CS2527="D",1,0)+IF(CW2527="D",1,0)+IF(CX2527="D",1,0)+IF(DD2527="D",1,0)+IF(DE2527="D",1,0)+IF(DJ2527="D",1,0)+IF(DK2527="D",1,0)+IF(DO2527="D",1,0)+IF(DP2527="D",1,0)+IF(DQ2527="D",1,0)+IF(DW2527="D",1,0)+IF(DZ2527="D",1,0)+IF(EH2527="D",1,0)</f>
        <v>0</v>
      </c>
      <c r="AY2527" s="0" t="n">
        <f aca="false">COUNTIF(DU2527:EH2527, "&lt;&gt;")</f>
        <v>1</v>
      </c>
      <c r="AZ2527" s="0" t="n">
        <f aca="false">IF(EH2527&lt;&gt;"",1,0)</f>
        <v>0</v>
      </c>
      <c r="BB2527" s="0" t="s">
        <v>152</v>
      </c>
      <c r="CP2527" s="0" t="s">
        <v>153</v>
      </c>
      <c r="DN2527" s="0" t="s">
        <v>153</v>
      </c>
      <c r="EF2527" s="0" t="s">
        <v>153</v>
      </c>
    </row>
    <row r="2528" customFormat="false" ht="13.8" hidden="true" customHeight="false" outlineLevel="0" collapsed="false">
      <c r="A2528" s="0" t="s">
        <v>10831</v>
      </c>
      <c r="B2528" s="0" t="n">
        <v>78</v>
      </c>
      <c r="C2528" s="0" t="n">
        <v>294738</v>
      </c>
      <c r="D2528" s="0" t="s">
        <v>8665</v>
      </c>
      <c r="E2528" s="0" t="s">
        <v>10832</v>
      </c>
      <c r="F2528" s="0" t="str">
        <f aca="false">CONCATENATE(D2528," ",LEFT(H2528,4),"T=",AU2528,"D=",AV2528,"R=",AW2528,"M=",AX2528,"L=",AY2528,"B=",AZ2528)</f>
        <v>KYSER T=1D=0R=0M=0L=1B=0</v>
      </c>
      <c r="G2528" s="0" t="s">
        <v>190</v>
      </c>
      <c r="I2528" s="0" t="s">
        <v>10833</v>
      </c>
      <c r="J2528" s="0" t="s">
        <v>10742</v>
      </c>
      <c r="K2528" s="0" t="s">
        <v>160</v>
      </c>
      <c r="M2528" s="0" t="s">
        <v>10834</v>
      </c>
      <c r="N2528" s="0" t="str">
        <f aca="false">RIGHT(M2528,LEN(M2528)-FIND(" ",M2528))</f>
        <v>WOODBINE AVE SE</v>
      </c>
      <c r="P2528" s="0" t="s">
        <v>145</v>
      </c>
      <c r="Q2528" s="0" t="s">
        <v>146</v>
      </c>
      <c r="R2528" s="0" t="n">
        <v>44483</v>
      </c>
      <c r="AD2528" s="0" t="s">
        <v>147</v>
      </c>
      <c r="AE2528" s="0" t="s">
        <v>148</v>
      </c>
      <c r="AF2528" s="0" t="s">
        <v>149</v>
      </c>
      <c r="AH2528" s="0" t="n">
        <v>14</v>
      </c>
      <c r="AI2528" s="0" t="n">
        <v>11</v>
      </c>
      <c r="AN2528" s="0" t="s">
        <v>145</v>
      </c>
      <c r="AO2528" s="0" t="s">
        <v>150</v>
      </c>
      <c r="AP2528" s="0" t="s">
        <v>151</v>
      </c>
      <c r="AQ2528" s="0" t="n">
        <v>9</v>
      </c>
      <c r="AR2528" s="0" t="n">
        <v>64</v>
      </c>
      <c r="AS2528" s="0" t="n">
        <v>32</v>
      </c>
      <c r="AU2528" s="0" t="n">
        <f aca="false">COUNTA($BA$8:$EH$8)</f>
        <v>1</v>
      </c>
      <c r="AV2528" s="0" t="n">
        <f aca="false">COUNTIF($BA$8:$EH$8,"D")</f>
        <v>0</v>
      </c>
      <c r="AW2528" s="0" t="n">
        <f aca="false">COUNTIF($BA$8:$EH$8,"R")</f>
        <v>0</v>
      </c>
      <c r="AX2528" s="0" t="n">
        <f aca="false">IF(BN2528="D",1,0)+IF(BO2528="D",1,0)+IF(BT2528="D",1,0)+IF(BU2528="D",1,0)+IF(BW2528="D",1,0)+IF(CC2528="D",1,0)+IF(CD2528="D",1,0)+IF(CE2528="D",1,0)+IF(CF2528="D",1,0)+IF(CL2528="D",1,0)+IF(CM2528="D",1,0)+IF(CQ2528="D",1,0)+IF(CR2528="D",1,0)+IF(CS2528="D",1,0)+IF(CW2528="D",1,0)+IF(CX2528="D",1,0)+IF(DD2528="D",1,0)+IF(DE2528="D",1,0)+IF(DJ2528="D",1,0)+IF(DK2528="D",1,0)+IF(DO2528="D",1,0)+IF(DP2528="D",1,0)+IF(DQ2528="D",1,0)+IF(DW2528="D",1,0)+IF(DZ2528="D",1,0)+IF(EH2528="D",1,0)</f>
        <v>0</v>
      </c>
      <c r="AY2528" s="0" t="n">
        <f aca="false">COUNTIF(DU2528:EH2528, "&lt;&gt;")</f>
        <v>1</v>
      </c>
      <c r="AZ2528" s="0" t="n">
        <f aca="false">IF(EH2528&lt;&gt;"",1,0)</f>
        <v>0</v>
      </c>
      <c r="BB2528" s="0" t="s">
        <v>152</v>
      </c>
      <c r="BD2528" s="0" t="s">
        <v>153</v>
      </c>
      <c r="CA2528" s="0" t="s">
        <v>153</v>
      </c>
      <c r="DI2528" s="0" t="s">
        <v>153</v>
      </c>
      <c r="DN2528" s="0" t="s">
        <v>153</v>
      </c>
      <c r="EF2528" s="0" t="s">
        <v>153</v>
      </c>
    </row>
    <row r="2529" customFormat="false" ht="13.8" hidden="false" customHeight="false" outlineLevel="0" collapsed="false">
      <c r="A2529" s="0" t="s">
        <v>10835</v>
      </c>
      <c r="B2529" s="0" t="n">
        <v>78</v>
      </c>
      <c r="C2529" s="0" t="n">
        <v>325714</v>
      </c>
      <c r="D2529" s="0" t="s">
        <v>1764</v>
      </c>
      <c r="E2529" s="0" t="s">
        <v>274</v>
      </c>
      <c r="F2529" s="0" t="str">
        <f aca="false">CONCATENATE(D2529," ",LEFT(H2529,4),"T=",AU2529,"D=",AV2529,"R=",AW2529,"M=",AX2529,"L=",AY2529,"B=",AZ2529)</f>
        <v>MOORE T=42D=12R=0M=0L=2B=0</v>
      </c>
      <c r="G2529" s="0" t="s">
        <v>164</v>
      </c>
      <c r="I2529" s="0" t="s">
        <v>10836</v>
      </c>
      <c r="J2529" s="0" t="s">
        <v>9918</v>
      </c>
      <c r="K2529" s="0" t="s">
        <v>160</v>
      </c>
      <c r="M2529" s="0" t="s">
        <v>10834</v>
      </c>
      <c r="N2529" s="0" t="str">
        <f aca="false">RIGHT(M2529,LEN(M2529)-FIND(" ",M2529))</f>
        <v>WOODBINE AVE SE</v>
      </c>
      <c r="P2529" s="0" t="s">
        <v>145</v>
      </c>
      <c r="Q2529" s="0" t="s">
        <v>146</v>
      </c>
      <c r="R2529" s="0" t="n">
        <v>44483</v>
      </c>
      <c r="AD2529" s="0" t="s">
        <v>147</v>
      </c>
      <c r="AE2529" s="0" t="s">
        <v>148</v>
      </c>
      <c r="AF2529" s="0" t="s">
        <v>149</v>
      </c>
      <c r="AH2529" s="0" t="n">
        <v>14</v>
      </c>
      <c r="AI2529" s="0" t="n">
        <v>11</v>
      </c>
      <c r="AN2529" s="0" t="s">
        <v>145</v>
      </c>
      <c r="AO2529" s="0" t="s">
        <v>150</v>
      </c>
      <c r="AP2529" s="0" t="s">
        <v>151</v>
      </c>
      <c r="AQ2529" s="0" t="n">
        <v>9</v>
      </c>
      <c r="AR2529" s="0" t="n">
        <v>64</v>
      </c>
      <c r="AS2529" s="0" t="n">
        <v>32</v>
      </c>
      <c r="AU2529" s="0" t="n">
        <f aca="false">COUNTA($BA$92:$EH$92)</f>
        <v>42</v>
      </c>
      <c r="AV2529" s="0" t="n">
        <f aca="false">COUNTIF($BA$92:$EH$92,"D")</f>
        <v>12</v>
      </c>
      <c r="AW2529" s="0" t="n">
        <f aca="false">COUNTIF($BA$92:$EH$92,"R")</f>
        <v>0</v>
      </c>
      <c r="AX2529" s="0" t="n">
        <f aca="false">IF(BN2529="D",1,0)+IF(BO2529="D",1,0)+IF(BT2529="D",1,0)+IF(BU2529="D",1,0)+IF(BW2529="D",1,0)+IF(CC2529="D",1,0)+IF(CD2529="D",1,0)+IF(CE2529="D",1,0)+IF(CF2529="D",1,0)+IF(CL2529="D",1,0)+IF(CM2529="D",1,0)+IF(CQ2529="D",1,0)+IF(CR2529="D",1,0)+IF(CS2529="D",1,0)+IF(CW2529="D",1,0)+IF(CX2529="D",1,0)+IF(DD2529="D",1,0)+IF(DE2529="D",1,0)+IF(DJ2529="D",1,0)+IF(DK2529="D",1,0)+IF(DO2529="D",1,0)+IF(DP2529="D",1,0)+IF(DQ2529="D",1,0)+IF(DW2529="D",1,0)+IF(DZ2529="D",1,0)+IF(EH2529="D",1,0)</f>
        <v>0</v>
      </c>
      <c r="AY2529" s="0" t="n">
        <f aca="false">COUNTIF(DU2529:EH2529, "&lt;&gt;")</f>
        <v>2</v>
      </c>
      <c r="AZ2529" s="0" t="n">
        <f aca="false">IF(EH2529&lt;&gt;"",1,0)</f>
        <v>0</v>
      </c>
      <c r="BB2529" s="0" t="s">
        <v>152</v>
      </c>
      <c r="BS2529" s="0" t="s">
        <v>153</v>
      </c>
      <c r="BY2529" s="0" t="s">
        <v>175</v>
      </c>
      <c r="CA2529" s="0" t="s">
        <v>153</v>
      </c>
      <c r="CN2529" s="0" t="s">
        <v>153</v>
      </c>
      <c r="CP2529" s="0" t="s">
        <v>153</v>
      </c>
      <c r="DC2529" s="0" t="s">
        <v>153</v>
      </c>
      <c r="DI2529" s="0" t="s">
        <v>153</v>
      </c>
      <c r="DN2529" s="0" t="s">
        <v>153</v>
      </c>
      <c r="EA2529" s="0" t="s">
        <v>153</v>
      </c>
      <c r="EF2529" s="0" t="s">
        <v>153</v>
      </c>
    </row>
    <row r="2530" customFormat="false" ht="13.8" hidden="true" customHeight="false" outlineLevel="0" collapsed="false">
      <c r="A2530" s="0" t="s">
        <v>10837</v>
      </c>
      <c r="B2530" s="0" t="n">
        <v>78</v>
      </c>
      <c r="C2530" s="0" t="n">
        <v>348215</v>
      </c>
      <c r="D2530" s="0" t="s">
        <v>2202</v>
      </c>
      <c r="E2530" s="0" t="s">
        <v>274</v>
      </c>
      <c r="F2530" s="0" t="str">
        <f aca="false">CONCATENATE(D2530," ",LEFT(H2530,4),"T=",AU2530,"D=",AV2530,"R=",AW2530,"M=",AX2530,"L=",AY2530,"B=",AZ2530)</f>
        <v>STONE SRT=7D=0R=0M=0L=1B=0</v>
      </c>
      <c r="G2530" s="0" t="s">
        <v>10838</v>
      </c>
      <c r="H2530" s="0" t="s">
        <v>216</v>
      </c>
      <c r="I2530" s="0" t="s">
        <v>10839</v>
      </c>
      <c r="J2530" s="0" t="s">
        <v>1061</v>
      </c>
      <c r="K2530" s="0" t="s">
        <v>160</v>
      </c>
      <c r="M2530" s="0" t="s">
        <v>10840</v>
      </c>
      <c r="N2530" s="0" t="str">
        <f aca="false">RIGHT(M2530,LEN(M2530)-FIND(" ",M2530))</f>
        <v>WOODBINE AVE SE</v>
      </c>
      <c r="P2530" s="0" t="s">
        <v>145</v>
      </c>
      <c r="Q2530" s="0" t="s">
        <v>146</v>
      </c>
      <c r="R2530" s="0" t="n">
        <v>44483</v>
      </c>
      <c r="AD2530" s="0" t="s">
        <v>147</v>
      </c>
      <c r="AE2530" s="0" t="s">
        <v>148</v>
      </c>
      <c r="AF2530" s="0" t="s">
        <v>149</v>
      </c>
      <c r="AH2530" s="0" t="n">
        <v>14</v>
      </c>
      <c r="AI2530" s="0" t="n">
        <v>11</v>
      </c>
      <c r="AN2530" s="0" t="s">
        <v>145</v>
      </c>
      <c r="AO2530" s="0" t="s">
        <v>150</v>
      </c>
      <c r="AP2530" s="0" t="s">
        <v>151</v>
      </c>
      <c r="AQ2530" s="0" t="n">
        <v>9</v>
      </c>
      <c r="AR2530" s="0" t="n">
        <v>64</v>
      </c>
      <c r="AS2530" s="0" t="n">
        <v>32</v>
      </c>
      <c r="AU2530" s="0" t="n">
        <f aca="false">COUNTA($BA$270:$EH$270)</f>
        <v>7</v>
      </c>
      <c r="AV2530" s="0" t="n">
        <f aca="false">COUNTIF($BA$270:$EH$270,"D")</f>
        <v>0</v>
      </c>
      <c r="AW2530" s="0" t="n">
        <f aca="false">COUNTIF($BA$270:$EH$270,"R")</f>
        <v>0</v>
      </c>
      <c r="AX2530" s="0" t="n">
        <f aca="false">IF(BN2530="D",1,0)+IF(BO2530="D",1,0)+IF(BT2530="D",1,0)+IF(BU2530="D",1,0)+IF(BW2530="D",1,0)+IF(CC2530="D",1,0)+IF(CD2530="D",1,0)+IF(CE2530="D",1,0)+IF(CF2530="D",1,0)+IF(CL2530="D",1,0)+IF(CM2530="D",1,0)+IF(CQ2530="D",1,0)+IF(CR2530="D",1,0)+IF(CS2530="D",1,0)+IF(CW2530="D",1,0)+IF(CX2530="D",1,0)+IF(DD2530="D",1,0)+IF(DE2530="D",1,0)+IF(DJ2530="D",1,0)+IF(DK2530="D",1,0)+IF(DO2530="D",1,0)+IF(DP2530="D",1,0)+IF(DQ2530="D",1,0)+IF(DW2530="D",1,0)+IF(DZ2530="D",1,0)+IF(EH2530="D",1,0)</f>
        <v>0</v>
      </c>
      <c r="AY2530" s="0" t="n">
        <f aca="false">COUNTIF(DU2530:EH2530, "&lt;&gt;")</f>
        <v>1</v>
      </c>
      <c r="AZ2530" s="0" t="n">
        <f aca="false">IF(EH2530&lt;&gt;"",1,0)</f>
        <v>0</v>
      </c>
      <c r="BB2530" s="0" t="s">
        <v>152</v>
      </c>
      <c r="CK2530" s="0" t="s">
        <v>153</v>
      </c>
      <c r="CP2530" s="0" t="s">
        <v>153</v>
      </c>
      <c r="DC2530" s="0" t="s">
        <v>153</v>
      </c>
      <c r="DI2530" s="0" t="s">
        <v>153</v>
      </c>
      <c r="EF2530" s="0" t="s">
        <v>153</v>
      </c>
    </row>
    <row r="2531" customFormat="false" ht="13.8" hidden="true" customHeight="false" outlineLevel="0" collapsed="false">
      <c r="A2531" s="0" t="s">
        <v>10841</v>
      </c>
      <c r="B2531" s="0" t="n">
        <v>78</v>
      </c>
      <c r="C2531" s="0" t="n">
        <v>426195</v>
      </c>
      <c r="D2531" s="0" t="s">
        <v>10842</v>
      </c>
      <c r="E2531" s="0" t="s">
        <v>943</v>
      </c>
      <c r="F2531" s="0" t="str">
        <f aca="false">CONCATENATE(D2531," ",LEFT(H2531,4),"T=",AU2531,"D=",AV2531,"R=",AW2531,"M=",AX2531,"L=",AY2531,"B=",AZ2531)</f>
        <v>MILLIGAN T=1D=0R=0M=0L=0B=0</v>
      </c>
      <c r="G2531" s="0" t="s">
        <v>164</v>
      </c>
      <c r="I2531" s="0" t="s">
        <v>416</v>
      </c>
      <c r="J2531" s="0" t="s">
        <v>10843</v>
      </c>
      <c r="K2531" s="0" t="s">
        <v>143</v>
      </c>
      <c r="M2531" s="0" t="s">
        <v>10840</v>
      </c>
      <c r="N2531" s="0" t="str">
        <f aca="false">RIGHT(M2531,LEN(M2531)-FIND(" ",M2531))</f>
        <v>WOODBINE AVE SE</v>
      </c>
      <c r="P2531" s="0" t="s">
        <v>145</v>
      </c>
      <c r="Q2531" s="0" t="s">
        <v>146</v>
      </c>
      <c r="R2531" s="0" t="n">
        <v>44483</v>
      </c>
      <c r="AD2531" s="0" t="s">
        <v>147</v>
      </c>
      <c r="AE2531" s="0" t="s">
        <v>148</v>
      </c>
      <c r="AF2531" s="0" t="s">
        <v>149</v>
      </c>
      <c r="AH2531" s="0" t="n">
        <v>14</v>
      </c>
      <c r="AI2531" s="0" t="n">
        <v>11</v>
      </c>
      <c r="AN2531" s="0" t="s">
        <v>145</v>
      </c>
      <c r="AO2531" s="0" t="s">
        <v>150</v>
      </c>
      <c r="AP2531" s="0" t="s">
        <v>151</v>
      </c>
      <c r="AQ2531" s="0" t="n">
        <v>9</v>
      </c>
      <c r="AR2531" s="0" t="n">
        <v>64</v>
      </c>
      <c r="AS2531" s="0" t="n">
        <v>32</v>
      </c>
      <c r="AU2531" s="0" t="n">
        <f aca="false">COUNTA($BA$321:$EH$321)</f>
        <v>1</v>
      </c>
      <c r="AV2531" s="0" t="n">
        <f aca="false">COUNTIF($BA$321:$EH$321,"D")</f>
        <v>0</v>
      </c>
      <c r="AW2531" s="0" t="n">
        <f aca="false">COUNTIF($BA$321:$EH$321,"R")</f>
        <v>0</v>
      </c>
      <c r="AX2531" s="0" t="n">
        <f aca="false">IF(BN2531="D",1,0)+IF(BO2531="D",1,0)+IF(BT2531="D",1,0)+IF(BU2531="D",1,0)+IF(BW2531="D",1,0)+IF(CC2531="D",1,0)+IF(CD2531="D",1,0)+IF(CE2531="D",1,0)+IF(CF2531="D",1,0)+IF(CL2531="D",1,0)+IF(CM2531="D",1,0)+IF(CQ2531="D",1,0)+IF(CR2531="D",1,0)+IF(CS2531="D",1,0)+IF(CW2531="D",1,0)+IF(CX2531="D",1,0)+IF(DD2531="D",1,0)+IF(DE2531="D",1,0)+IF(DJ2531="D",1,0)+IF(DK2531="D",1,0)+IF(DO2531="D",1,0)+IF(DP2531="D",1,0)+IF(DQ2531="D",1,0)+IF(DW2531="D",1,0)+IF(DZ2531="D",1,0)+IF(EH2531="D",1,0)</f>
        <v>0</v>
      </c>
      <c r="AY2531" s="0" t="n">
        <f aca="false">COUNTIF(DU2531:EH2531, "&lt;&gt;")</f>
        <v>0</v>
      </c>
      <c r="AZ2531" s="0" t="n">
        <f aca="false">IF(EH2531&lt;&gt;"",1,0)</f>
        <v>0</v>
      </c>
      <c r="BB2531" s="0" t="s">
        <v>152</v>
      </c>
      <c r="BH2531" s="0" t="s">
        <v>153</v>
      </c>
      <c r="BK2531" s="0" t="s">
        <v>153</v>
      </c>
      <c r="BL2531" s="0" t="s">
        <v>153</v>
      </c>
    </row>
    <row r="2532" customFormat="false" ht="13.8" hidden="true" customHeight="false" outlineLevel="0" collapsed="false">
      <c r="A2532" s="0" t="s">
        <v>10844</v>
      </c>
      <c r="B2532" s="0" t="n">
        <v>78</v>
      </c>
      <c r="C2532" s="0" t="n">
        <v>276499</v>
      </c>
      <c r="D2532" s="0" t="s">
        <v>10845</v>
      </c>
      <c r="E2532" s="0" t="s">
        <v>10846</v>
      </c>
      <c r="F2532" s="0" t="str">
        <f aca="false">CONCATENATE(D2532," ",LEFT(H2532,4),"T=",AU2532,"D=",AV2532,"R=",AW2532,"M=",AX2532,"L=",AY2532,"B=",AZ2532)</f>
        <v>CARTRIGHT T=17D=1R=6M=0L=1B=0</v>
      </c>
      <c r="G2532" s="0" t="s">
        <v>10847</v>
      </c>
      <c r="I2532" s="0" t="s">
        <v>10848</v>
      </c>
      <c r="J2532" s="0" t="s">
        <v>10849</v>
      </c>
      <c r="K2532" s="0" t="s">
        <v>160</v>
      </c>
      <c r="M2532" s="0" t="s">
        <v>10840</v>
      </c>
      <c r="N2532" s="0" t="str">
        <f aca="false">RIGHT(M2532,LEN(M2532)-FIND(" ",M2532))</f>
        <v>WOODBINE AVE SE</v>
      </c>
      <c r="P2532" s="0" t="s">
        <v>145</v>
      </c>
      <c r="Q2532" s="0" t="s">
        <v>146</v>
      </c>
      <c r="R2532" s="0" t="n">
        <v>44483</v>
      </c>
      <c r="AD2532" s="0" t="s">
        <v>147</v>
      </c>
      <c r="AE2532" s="0" t="s">
        <v>148</v>
      </c>
      <c r="AF2532" s="0" t="s">
        <v>149</v>
      </c>
      <c r="AH2532" s="0" t="n">
        <v>14</v>
      </c>
      <c r="AI2532" s="0" t="n">
        <v>11</v>
      </c>
      <c r="AN2532" s="0" t="s">
        <v>145</v>
      </c>
      <c r="AO2532" s="0" t="s">
        <v>150</v>
      </c>
      <c r="AP2532" s="0" t="s">
        <v>151</v>
      </c>
      <c r="AQ2532" s="0" t="n">
        <v>9</v>
      </c>
      <c r="AR2532" s="0" t="n">
        <v>64</v>
      </c>
      <c r="AS2532" s="0" t="n">
        <v>32</v>
      </c>
      <c r="AU2532" s="0" t="n">
        <f aca="false">COUNTA($BA$768:$EH$768)</f>
        <v>17</v>
      </c>
      <c r="AV2532" s="0" t="n">
        <f aca="false">COUNTIF($BA$768:$EH$768,"D")</f>
        <v>1</v>
      </c>
      <c r="AW2532" s="0" t="n">
        <f aca="false">COUNTIF($BA$768:$EH$768,"R")</f>
        <v>6</v>
      </c>
      <c r="AX2532" s="0" t="n">
        <f aca="false">IF(BN2532="D",1,0)+IF(BO2532="D",1,0)+IF(BT2532="D",1,0)+IF(BU2532="D",1,0)+IF(BW2532="D",1,0)+IF(CC2532="D",1,0)+IF(CD2532="D",1,0)+IF(CE2532="D",1,0)+IF(CF2532="D",1,0)+IF(CL2532="D",1,0)+IF(CM2532="D",1,0)+IF(CQ2532="D",1,0)+IF(CR2532="D",1,0)+IF(CS2532="D",1,0)+IF(CW2532="D",1,0)+IF(CX2532="D",1,0)+IF(DD2532="D",1,0)+IF(DE2532="D",1,0)+IF(DJ2532="D",1,0)+IF(DK2532="D",1,0)+IF(DO2532="D",1,0)+IF(DP2532="D",1,0)+IF(DQ2532="D",1,0)+IF(DW2532="D",1,0)+IF(DZ2532="D",1,0)+IF(EH2532="D",1,0)</f>
        <v>0</v>
      </c>
      <c r="AY2532" s="0" t="n">
        <f aca="false">COUNTIF(DU2532:EH2532, "&lt;&gt;")</f>
        <v>1</v>
      </c>
      <c r="AZ2532" s="0" t="n">
        <f aca="false">IF(EH2532&lt;&gt;"",1,0)</f>
        <v>0</v>
      </c>
      <c r="BB2532" s="0" t="s">
        <v>152</v>
      </c>
      <c r="BD2532" s="0" t="s">
        <v>153</v>
      </c>
      <c r="BL2532" s="0" t="s">
        <v>153</v>
      </c>
      <c r="EF2532" s="0" t="s">
        <v>153</v>
      </c>
    </row>
    <row r="2533" customFormat="false" ht="13.8" hidden="true" customHeight="false" outlineLevel="0" collapsed="false">
      <c r="A2533" s="0" t="s">
        <v>10850</v>
      </c>
      <c r="B2533" s="0" t="n">
        <v>78</v>
      </c>
      <c r="C2533" s="0" t="n">
        <v>379668</v>
      </c>
      <c r="D2533" s="0" t="s">
        <v>1764</v>
      </c>
      <c r="E2533" s="0" t="s">
        <v>4785</v>
      </c>
      <c r="F2533" s="0" t="str">
        <f aca="false">CONCATENATE(D2533," ",LEFT(H2533,4),"T=",AU2533,"D=",AV2533,"R=",AW2533,"M=",AX2533,"L=",AY2533,"B=",AZ2533)</f>
        <v>MOORE T=37D=11R=0M=0L=0B=0</v>
      </c>
      <c r="G2533" s="0" t="s">
        <v>600</v>
      </c>
      <c r="I2533" s="0" t="s">
        <v>10851</v>
      </c>
      <c r="J2533" s="0" t="s">
        <v>399</v>
      </c>
      <c r="K2533" s="0" t="s">
        <v>160</v>
      </c>
      <c r="M2533" s="0" t="s">
        <v>10840</v>
      </c>
      <c r="N2533" s="0" t="str">
        <f aca="false">RIGHT(M2533,LEN(M2533)-FIND(" ",M2533))</f>
        <v>WOODBINE AVE SE</v>
      </c>
      <c r="P2533" s="0" t="s">
        <v>145</v>
      </c>
      <c r="Q2533" s="0" t="s">
        <v>146</v>
      </c>
      <c r="R2533" s="0" t="n">
        <v>44483</v>
      </c>
      <c r="AD2533" s="0" t="s">
        <v>147</v>
      </c>
      <c r="AE2533" s="0" t="s">
        <v>148</v>
      </c>
      <c r="AF2533" s="0" t="s">
        <v>149</v>
      </c>
      <c r="AH2533" s="0" t="n">
        <v>14</v>
      </c>
      <c r="AI2533" s="0" t="n">
        <v>11</v>
      </c>
      <c r="AN2533" s="0" t="s">
        <v>145</v>
      </c>
      <c r="AO2533" s="0" t="s">
        <v>150</v>
      </c>
      <c r="AP2533" s="0" t="s">
        <v>151</v>
      </c>
      <c r="AQ2533" s="0" t="n">
        <v>9</v>
      </c>
      <c r="AR2533" s="0" t="n">
        <v>64</v>
      </c>
      <c r="AS2533" s="0" t="n">
        <v>32</v>
      </c>
      <c r="AU2533" s="0" t="n">
        <f aca="false">COUNTA($BA$850:$EH$850)</f>
        <v>37</v>
      </c>
      <c r="AV2533" s="0" t="n">
        <f aca="false">COUNTIF($BA$850:$EH$850,"D")</f>
        <v>11</v>
      </c>
      <c r="AW2533" s="0" t="n">
        <f aca="false">COUNTIF($BA$850:$EH$850,"R")</f>
        <v>0</v>
      </c>
      <c r="AX2533" s="0" t="n">
        <f aca="false">IF(BN2533="D",1,0)+IF(BO2533="D",1,0)+IF(BT2533="D",1,0)+IF(BU2533="D",1,0)+IF(BW2533="D",1,0)+IF(CC2533="D",1,0)+IF(CD2533="D",1,0)+IF(CE2533="D",1,0)+IF(CF2533="D",1,0)+IF(CL2533="D",1,0)+IF(CM2533="D",1,0)+IF(CQ2533="D",1,0)+IF(CR2533="D",1,0)+IF(CS2533="D",1,0)+IF(CW2533="D",1,0)+IF(CX2533="D",1,0)+IF(DD2533="D",1,0)+IF(DE2533="D",1,0)+IF(DJ2533="D",1,0)+IF(DK2533="D",1,0)+IF(DO2533="D",1,0)+IF(DP2533="D",1,0)+IF(DQ2533="D",1,0)+IF(DW2533="D",1,0)+IF(DZ2533="D",1,0)+IF(EH2533="D",1,0)</f>
        <v>0</v>
      </c>
      <c r="AY2533" s="0" t="n">
        <f aca="false">COUNTIF(DU2533:EH2533, "&lt;&gt;")</f>
        <v>0</v>
      </c>
      <c r="AZ2533" s="0" t="n">
        <f aca="false">IF(EH2533&lt;&gt;"",1,0)</f>
        <v>0</v>
      </c>
      <c r="BB2533" s="0" t="s">
        <v>152</v>
      </c>
    </row>
    <row r="2534" customFormat="false" ht="13.8" hidden="true" customHeight="false" outlineLevel="0" collapsed="false">
      <c r="A2534" s="0" t="s">
        <v>10852</v>
      </c>
      <c r="B2534" s="0" t="n">
        <v>78</v>
      </c>
      <c r="C2534" s="0" t="n">
        <v>358266</v>
      </c>
      <c r="D2534" s="0" t="s">
        <v>5373</v>
      </c>
      <c r="E2534" s="0" t="s">
        <v>1404</v>
      </c>
      <c r="F2534" s="0" t="str">
        <f aca="false">CONCATENATE(D2534," ",LEFT(H2534,4),"T=",AU2534,"D=",AV2534,"R=",AW2534,"M=",AX2534,"L=",AY2534,"B=",AZ2534)</f>
        <v>DANDREA T=2D=0R=0M=0L=0B=0</v>
      </c>
      <c r="G2534" s="0" t="s">
        <v>325</v>
      </c>
      <c r="I2534" s="0" t="s">
        <v>10853</v>
      </c>
      <c r="J2534" s="0" t="s">
        <v>1971</v>
      </c>
      <c r="K2534" s="0" t="s">
        <v>160</v>
      </c>
      <c r="M2534" s="0" t="s">
        <v>10840</v>
      </c>
      <c r="N2534" s="0" t="str">
        <f aca="false">RIGHT(M2534,LEN(M2534)-FIND(" ",M2534))</f>
        <v>WOODBINE AVE SE</v>
      </c>
      <c r="P2534" s="0" t="s">
        <v>145</v>
      </c>
      <c r="Q2534" s="0" t="s">
        <v>146</v>
      </c>
      <c r="R2534" s="0" t="n">
        <v>44483</v>
      </c>
      <c r="AD2534" s="0" t="s">
        <v>147</v>
      </c>
      <c r="AE2534" s="0" t="s">
        <v>148</v>
      </c>
      <c r="AF2534" s="0" t="s">
        <v>149</v>
      </c>
      <c r="AH2534" s="0" t="n">
        <v>14</v>
      </c>
      <c r="AI2534" s="0" t="n">
        <v>11</v>
      </c>
      <c r="AN2534" s="0" t="s">
        <v>145</v>
      </c>
      <c r="AO2534" s="0" t="s">
        <v>150</v>
      </c>
      <c r="AP2534" s="0" t="s">
        <v>151</v>
      </c>
      <c r="AQ2534" s="0" t="n">
        <v>9</v>
      </c>
      <c r="AR2534" s="0" t="n">
        <v>64</v>
      </c>
      <c r="AS2534" s="0" t="n">
        <v>32</v>
      </c>
      <c r="AU2534" s="0" t="n">
        <f aca="false">COUNTA($BA$955:$EH$955)</f>
        <v>2</v>
      </c>
      <c r="AV2534" s="0" t="n">
        <f aca="false">COUNTIF($BA$955:$EH$955,"D")</f>
        <v>0</v>
      </c>
      <c r="AW2534" s="0" t="n">
        <f aca="false">COUNTIF($BA$955:$EH$955,"R")</f>
        <v>0</v>
      </c>
      <c r="AX2534" s="0" t="n">
        <f aca="false">IF(BN2534="D",1,0)+IF(BO2534="D",1,0)+IF(BT2534="D",1,0)+IF(BU2534="D",1,0)+IF(BW2534="D",1,0)+IF(CC2534="D",1,0)+IF(CD2534="D",1,0)+IF(CE2534="D",1,0)+IF(CF2534="D",1,0)+IF(CL2534="D",1,0)+IF(CM2534="D",1,0)+IF(CQ2534="D",1,0)+IF(CR2534="D",1,0)+IF(CS2534="D",1,0)+IF(CW2534="D",1,0)+IF(CX2534="D",1,0)+IF(DD2534="D",1,0)+IF(DE2534="D",1,0)+IF(DJ2534="D",1,0)+IF(DK2534="D",1,0)+IF(DO2534="D",1,0)+IF(DP2534="D",1,0)+IF(DQ2534="D",1,0)+IF(DW2534="D",1,0)+IF(DZ2534="D",1,0)+IF(EH2534="D",1,0)</f>
        <v>0</v>
      </c>
      <c r="AY2534" s="0" t="n">
        <f aca="false">COUNTIF(DU2534:EH2534, "&lt;&gt;")</f>
        <v>0</v>
      </c>
      <c r="AZ2534" s="0" t="n">
        <f aca="false">IF(EH2534&lt;&gt;"",1,0)</f>
        <v>0</v>
      </c>
      <c r="BB2534" s="0" t="s">
        <v>152</v>
      </c>
      <c r="DR2534" s="0" t="s">
        <v>153</v>
      </c>
    </row>
    <row r="2535" customFormat="false" ht="13.8" hidden="true" customHeight="false" outlineLevel="0" collapsed="false">
      <c r="A2535" s="0" t="s">
        <v>10854</v>
      </c>
      <c r="B2535" s="0" t="n">
        <v>78</v>
      </c>
      <c r="C2535" s="0" t="n">
        <v>409267</v>
      </c>
      <c r="D2535" s="0" t="s">
        <v>5373</v>
      </c>
      <c r="E2535" s="0" t="s">
        <v>248</v>
      </c>
      <c r="F2535" s="0" t="str">
        <f aca="false">CONCATENATE(D2535," ",LEFT(H2535,4),"T=",AU2535,"D=",AV2535,"R=",AW2535,"M=",AX2535,"L=",AY2535,"B=",AZ2535)</f>
        <v>DANDREA T=1D=0R=0M=0L=1B=0</v>
      </c>
      <c r="G2535" s="0" t="s">
        <v>325</v>
      </c>
      <c r="I2535" s="0" t="s">
        <v>10855</v>
      </c>
      <c r="J2535" s="0" t="s">
        <v>10856</v>
      </c>
      <c r="K2535" s="0" t="s">
        <v>160</v>
      </c>
      <c r="M2535" s="0" t="s">
        <v>10840</v>
      </c>
      <c r="N2535" s="0" t="str">
        <f aca="false">RIGHT(M2535,LEN(M2535)-FIND(" ",M2535))</f>
        <v>WOODBINE AVE SE</v>
      </c>
      <c r="P2535" s="0" t="s">
        <v>145</v>
      </c>
      <c r="Q2535" s="0" t="s">
        <v>146</v>
      </c>
      <c r="R2535" s="0" t="n">
        <v>44483</v>
      </c>
      <c r="AD2535" s="0" t="s">
        <v>147</v>
      </c>
      <c r="AE2535" s="0" t="s">
        <v>148</v>
      </c>
      <c r="AF2535" s="0" t="s">
        <v>149</v>
      </c>
      <c r="AH2535" s="0" t="n">
        <v>14</v>
      </c>
      <c r="AI2535" s="0" t="n">
        <v>11</v>
      </c>
      <c r="AN2535" s="0" t="s">
        <v>145</v>
      </c>
      <c r="AO2535" s="0" t="s">
        <v>150</v>
      </c>
      <c r="AP2535" s="0" t="s">
        <v>151</v>
      </c>
      <c r="AQ2535" s="0" t="n">
        <v>9</v>
      </c>
      <c r="AR2535" s="0" t="n">
        <v>64</v>
      </c>
      <c r="AS2535" s="0" t="n">
        <v>32</v>
      </c>
      <c r="AU2535" s="0" t="n">
        <f aca="false">COUNTA($BA$968:$EH$968)</f>
        <v>1</v>
      </c>
      <c r="AV2535" s="0" t="n">
        <f aca="false">COUNTIF($BA$968:$EH$968,"D")</f>
        <v>0</v>
      </c>
      <c r="AW2535" s="0" t="n">
        <f aca="false">COUNTIF($BA$968:$EH$968,"R")</f>
        <v>0</v>
      </c>
      <c r="AX2535" s="0" t="n">
        <f aca="false">IF(BN2535="D",1,0)+IF(BO2535="D",1,0)+IF(BT2535="D",1,0)+IF(BU2535="D",1,0)+IF(BW2535="D",1,0)+IF(CC2535="D",1,0)+IF(CD2535="D",1,0)+IF(CE2535="D",1,0)+IF(CF2535="D",1,0)+IF(CL2535="D",1,0)+IF(CM2535="D",1,0)+IF(CQ2535="D",1,0)+IF(CR2535="D",1,0)+IF(CS2535="D",1,0)+IF(CW2535="D",1,0)+IF(CX2535="D",1,0)+IF(DD2535="D",1,0)+IF(DE2535="D",1,0)+IF(DJ2535="D",1,0)+IF(DK2535="D",1,0)+IF(DO2535="D",1,0)+IF(DP2535="D",1,0)+IF(DQ2535="D",1,0)+IF(DW2535="D",1,0)+IF(DZ2535="D",1,0)+IF(EH2535="D",1,0)</f>
        <v>0</v>
      </c>
      <c r="AY2535" s="0" t="n">
        <f aca="false">COUNTIF(DU2535:EH2535, "&lt;&gt;")</f>
        <v>1</v>
      </c>
      <c r="AZ2535" s="0" t="n">
        <f aca="false">IF(EH2535&lt;&gt;"",1,0)</f>
        <v>0</v>
      </c>
      <c r="BB2535" s="0" t="s">
        <v>152</v>
      </c>
      <c r="CZ2535" s="0" t="s">
        <v>175</v>
      </c>
      <c r="DN2535" s="0" t="s">
        <v>153</v>
      </c>
      <c r="EF2535" s="0" t="s">
        <v>153</v>
      </c>
    </row>
    <row r="2536" customFormat="false" ht="13.8" hidden="true" customHeight="false" outlineLevel="0" collapsed="false">
      <c r="A2536" s="0" t="s">
        <v>10857</v>
      </c>
      <c r="B2536" s="0" t="n">
        <v>78</v>
      </c>
      <c r="C2536" s="0" t="n">
        <v>449394</v>
      </c>
      <c r="D2536" s="0" t="s">
        <v>10858</v>
      </c>
      <c r="E2536" s="0" t="s">
        <v>3639</v>
      </c>
      <c r="F2536" s="0" t="str">
        <f aca="false">CONCATENATE(D2536," ",LEFT(H2536,4),"T=",AU2536,"D=",AV2536,"R=",AW2536,"M=",AX2536,"L=",AY2536,"B=",AZ2536)</f>
        <v>MAIESE JRT=2D=0R=0M=0L=1B=0</v>
      </c>
      <c r="G2536" s="0" t="s">
        <v>452</v>
      </c>
      <c r="H2536" s="0" t="s">
        <v>314</v>
      </c>
      <c r="I2536" s="0" t="s">
        <v>10859</v>
      </c>
      <c r="J2536" s="0" t="s">
        <v>3340</v>
      </c>
      <c r="K2536" s="0" t="s">
        <v>160</v>
      </c>
      <c r="M2536" s="0" t="s">
        <v>10860</v>
      </c>
      <c r="N2536" s="0" t="str">
        <f aca="false">RIGHT(M2536,LEN(M2536)-FIND(" ",M2536))</f>
        <v>WOODBINE AVE SE</v>
      </c>
      <c r="P2536" s="0" t="s">
        <v>145</v>
      </c>
      <c r="Q2536" s="0" t="s">
        <v>146</v>
      </c>
      <c r="R2536" s="0" t="n">
        <v>44483</v>
      </c>
      <c r="AD2536" s="0" t="s">
        <v>147</v>
      </c>
      <c r="AE2536" s="0" t="s">
        <v>148</v>
      </c>
      <c r="AF2536" s="0" t="s">
        <v>149</v>
      </c>
      <c r="AH2536" s="0" t="n">
        <v>14</v>
      </c>
      <c r="AI2536" s="0" t="n">
        <v>11</v>
      </c>
      <c r="AN2536" s="0" t="s">
        <v>145</v>
      </c>
      <c r="AO2536" s="0" t="s">
        <v>150</v>
      </c>
      <c r="AP2536" s="0" t="s">
        <v>151</v>
      </c>
      <c r="AQ2536" s="0" t="n">
        <v>9</v>
      </c>
      <c r="AR2536" s="0" t="n">
        <v>64</v>
      </c>
      <c r="AS2536" s="0" t="n">
        <v>32</v>
      </c>
      <c r="AU2536" s="0" t="n">
        <f aca="false">COUNTA($BA$189:$EH$189)</f>
        <v>2</v>
      </c>
      <c r="AV2536" s="0" t="n">
        <f aca="false">COUNTIF($BA$189:$EH$189,"D")</f>
        <v>0</v>
      </c>
      <c r="AW2536" s="0" t="n">
        <f aca="false">COUNTIF($BA$189:$EH$189,"R")</f>
        <v>0</v>
      </c>
      <c r="AX2536" s="0" t="n">
        <f aca="false">IF(BN2536="D",1,0)+IF(BO2536="D",1,0)+IF(BT2536="D",1,0)+IF(BU2536="D",1,0)+IF(BW2536="D",1,0)+IF(CC2536="D",1,0)+IF(CD2536="D",1,0)+IF(CE2536="D",1,0)+IF(CF2536="D",1,0)+IF(CL2536="D",1,0)+IF(CM2536="D",1,0)+IF(CQ2536="D",1,0)+IF(CR2536="D",1,0)+IF(CS2536="D",1,0)+IF(CW2536="D",1,0)+IF(CX2536="D",1,0)+IF(DD2536="D",1,0)+IF(DE2536="D",1,0)+IF(DJ2536="D",1,0)+IF(DK2536="D",1,0)+IF(DO2536="D",1,0)+IF(DP2536="D",1,0)+IF(DQ2536="D",1,0)+IF(DW2536="D",1,0)+IF(DZ2536="D",1,0)+IF(EH2536="D",1,0)</f>
        <v>0</v>
      </c>
      <c r="AY2536" s="0" t="n">
        <f aca="false">COUNTIF(DU2536:EH2536, "&lt;&gt;")</f>
        <v>1</v>
      </c>
      <c r="AZ2536" s="0" t="n">
        <f aca="false">IF(EH2536&lt;&gt;"",1,0)</f>
        <v>0</v>
      </c>
      <c r="BB2536" s="0" t="s">
        <v>152</v>
      </c>
      <c r="EF2536" s="0" t="s">
        <v>153</v>
      </c>
    </row>
    <row r="2537" customFormat="false" ht="13.8" hidden="true" customHeight="false" outlineLevel="0" collapsed="false">
      <c r="A2537" s="0" t="s">
        <v>10861</v>
      </c>
      <c r="B2537" s="0" t="n">
        <v>78</v>
      </c>
      <c r="C2537" s="0" t="n">
        <v>343189</v>
      </c>
      <c r="D2537" s="0" t="s">
        <v>6016</v>
      </c>
      <c r="E2537" s="0" t="s">
        <v>10862</v>
      </c>
      <c r="F2537" s="0" t="str">
        <f aca="false">CONCATENATE(D2537," ",LEFT(H2537,4),"T=",AU2537,"D=",AV2537,"R=",AW2537,"M=",AX2537,"L=",AY2537,"B=",AZ2537)</f>
        <v>FOREBACK T=7D=1R=0M=0L=0B=0</v>
      </c>
      <c r="G2537" s="0" t="s">
        <v>190</v>
      </c>
      <c r="I2537" s="0" t="s">
        <v>10863</v>
      </c>
      <c r="J2537" s="0" t="s">
        <v>529</v>
      </c>
      <c r="K2537" s="0" t="s">
        <v>160</v>
      </c>
      <c r="M2537" s="0" t="s">
        <v>10864</v>
      </c>
      <c r="N2537" s="0" t="str">
        <f aca="false">RIGHT(M2537,LEN(M2537)-FIND(" ",M2537))</f>
        <v>WOODBINE AVE SE</v>
      </c>
      <c r="P2537" s="0" t="s">
        <v>145</v>
      </c>
      <c r="Q2537" s="0" t="s">
        <v>146</v>
      </c>
      <c r="R2537" s="0" t="n">
        <v>44483</v>
      </c>
      <c r="AD2537" s="0" t="s">
        <v>147</v>
      </c>
      <c r="AE2537" s="0" t="s">
        <v>148</v>
      </c>
      <c r="AF2537" s="0" t="s">
        <v>149</v>
      </c>
      <c r="AH2537" s="0" t="n">
        <v>14</v>
      </c>
      <c r="AI2537" s="0" t="n">
        <v>11</v>
      </c>
      <c r="AN2537" s="0" t="s">
        <v>145</v>
      </c>
      <c r="AO2537" s="0" t="s">
        <v>150</v>
      </c>
      <c r="AP2537" s="0" t="s">
        <v>151</v>
      </c>
      <c r="AQ2537" s="0" t="n">
        <v>9</v>
      </c>
      <c r="AR2537" s="0" t="n">
        <v>64</v>
      </c>
      <c r="AS2537" s="0" t="n">
        <v>32</v>
      </c>
      <c r="AU2537" s="0" t="n">
        <f aca="false">COUNTA($BA$427:$EH$427)</f>
        <v>7</v>
      </c>
      <c r="AV2537" s="0" t="n">
        <f aca="false">COUNTIF($BA$427:$EH$427,"D")</f>
        <v>1</v>
      </c>
      <c r="AW2537" s="0" t="n">
        <f aca="false">COUNTIF($BA$427:$EH$427,"R")</f>
        <v>0</v>
      </c>
      <c r="AX2537" s="0" t="n">
        <f aca="false">IF(BN2537="D",1,0)+IF(BO2537="D",1,0)+IF(BT2537="D",1,0)+IF(BU2537="D",1,0)+IF(BW2537="D",1,0)+IF(CC2537="D",1,0)+IF(CD2537="D",1,0)+IF(CE2537="D",1,0)+IF(CF2537="D",1,0)+IF(CL2537="D",1,0)+IF(CM2537="D",1,0)+IF(CQ2537="D",1,0)+IF(CR2537="D",1,0)+IF(CS2537="D",1,0)+IF(CW2537="D",1,0)+IF(CX2537="D",1,0)+IF(DD2537="D",1,0)+IF(DE2537="D",1,0)+IF(DJ2537="D",1,0)+IF(DK2537="D",1,0)+IF(DO2537="D",1,0)+IF(DP2537="D",1,0)+IF(DQ2537="D",1,0)+IF(DW2537="D",1,0)+IF(DZ2537="D",1,0)+IF(EH2537="D",1,0)</f>
        <v>0</v>
      </c>
      <c r="AY2537" s="0" t="n">
        <f aca="false">COUNTIF(DU2537:EH2537, "&lt;&gt;")</f>
        <v>0</v>
      </c>
      <c r="AZ2537" s="0" t="n">
        <f aca="false">IF(EH2537&lt;&gt;"",1,0)</f>
        <v>0</v>
      </c>
      <c r="BB2537" s="0" t="s">
        <v>152</v>
      </c>
      <c r="BR2537" s="0" t="s">
        <v>153</v>
      </c>
      <c r="CA2537" s="0" t="s">
        <v>153</v>
      </c>
      <c r="CP2537" s="0" t="s">
        <v>153</v>
      </c>
      <c r="DN2537" s="0" t="s">
        <v>153</v>
      </c>
    </row>
    <row r="2538" customFormat="false" ht="13.8" hidden="true" customHeight="false" outlineLevel="0" collapsed="false">
      <c r="A2538" s="0" t="s">
        <v>10865</v>
      </c>
      <c r="B2538" s="0" t="n">
        <v>78</v>
      </c>
      <c r="C2538" s="0" t="n">
        <v>384984</v>
      </c>
      <c r="D2538" s="0" t="s">
        <v>5148</v>
      </c>
      <c r="E2538" s="0" t="s">
        <v>3620</v>
      </c>
      <c r="F2538" s="0" t="str">
        <f aca="false">CONCATENATE(D2538," ",LEFT(H2538,4),"T=",AU2538,"D=",AV2538,"R=",AW2538,"M=",AX2538,"L=",AY2538,"B=",AZ2538)</f>
        <v>SIMPSON T=32D=5R=0M=0L=0B=0</v>
      </c>
      <c r="G2538" s="0" t="s">
        <v>10866</v>
      </c>
      <c r="I2538" s="0" t="s">
        <v>10867</v>
      </c>
      <c r="J2538" s="0" t="s">
        <v>10868</v>
      </c>
      <c r="K2538" s="0" t="s">
        <v>160</v>
      </c>
      <c r="M2538" s="0" t="s">
        <v>10869</v>
      </c>
      <c r="N2538" s="0" t="str">
        <f aca="false">RIGHT(M2538,LEN(M2538)-FIND(" ",M2538))</f>
        <v>WOODBINE AVE SE</v>
      </c>
      <c r="P2538" s="0" t="s">
        <v>145</v>
      </c>
      <c r="Q2538" s="0" t="s">
        <v>146</v>
      </c>
      <c r="R2538" s="0" t="n">
        <v>44483</v>
      </c>
      <c r="AD2538" s="0" t="s">
        <v>147</v>
      </c>
      <c r="AE2538" s="0" t="s">
        <v>148</v>
      </c>
      <c r="AF2538" s="0" t="s">
        <v>149</v>
      </c>
      <c r="AH2538" s="0" t="n">
        <v>14</v>
      </c>
      <c r="AI2538" s="0" t="n">
        <v>11</v>
      </c>
      <c r="AN2538" s="0" t="s">
        <v>145</v>
      </c>
      <c r="AO2538" s="0" t="s">
        <v>150</v>
      </c>
      <c r="AP2538" s="0" t="s">
        <v>151</v>
      </c>
      <c r="AQ2538" s="0" t="n">
        <v>9</v>
      </c>
      <c r="AR2538" s="0" t="n">
        <v>64</v>
      </c>
      <c r="AS2538" s="0" t="n">
        <v>32</v>
      </c>
      <c r="AU2538" s="0" t="n">
        <f aca="false">COUNTA($BA$971:$EH$971)</f>
        <v>32</v>
      </c>
      <c r="AV2538" s="0" t="n">
        <f aca="false">COUNTIF($BA$971:$EH$971,"D")</f>
        <v>5</v>
      </c>
      <c r="AW2538" s="0" t="n">
        <f aca="false">COUNTIF($BA$971:$EH$971,"R")</f>
        <v>0</v>
      </c>
      <c r="AX2538" s="0" t="n">
        <f aca="false">IF(BN2538="D",1,0)+IF(BO2538="D",1,0)+IF(BT2538="D",1,0)+IF(BU2538="D",1,0)+IF(BW2538="D",1,0)+IF(CC2538="D",1,0)+IF(CD2538="D",1,0)+IF(CE2538="D",1,0)+IF(CF2538="D",1,0)+IF(CL2538="D",1,0)+IF(CM2538="D",1,0)+IF(CQ2538="D",1,0)+IF(CR2538="D",1,0)+IF(CS2538="D",1,0)+IF(CW2538="D",1,0)+IF(CX2538="D",1,0)+IF(DD2538="D",1,0)+IF(DE2538="D",1,0)+IF(DJ2538="D",1,0)+IF(DK2538="D",1,0)+IF(DO2538="D",1,0)+IF(DP2538="D",1,0)+IF(DQ2538="D",1,0)+IF(DW2538="D",1,0)+IF(DZ2538="D",1,0)+IF(EH2538="D",1,0)</f>
        <v>0</v>
      </c>
      <c r="AY2538" s="0" t="n">
        <f aca="false">COUNTIF(DU2538:EH2538, "&lt;&gt;")</f>
        <v>0</v>
      </c>
      <c r="AZ2538" s="0" t="n">
        <f aca="false">IF(EH2538&lt;&gt;"",1,0)</f>
        <v>0</v>
      </c>
      <c r="BB2538" s="0" t="s">
        <v>152</v>
      </c>
      <c r="CP2538" s="0" t="s">
        <v>153</v>
      </c>
    </row>
    <row r="2539" customFormat="false" ht="13.8" hidden="true" customHeight="false" outlineLevel="0" collapsed="false">
      <c r="A2539" s="0" t="s">
        <v>10870</v>
      </c>
      <c r="B2539" s="0" t="n">
        <v>78</v>
      </c>
      <c r="C2539" s="0" t="n">
        <v>336839</v>
      </c>
      <c r="D2539" s="0" t="s">
        <v>10871</v>
      </c>
      <c r="E2539" s="0" t="s">
        <v>5671</v>
      </c>
      <c r="F2539" s="0" t="str">
        <f aca="false">CONCATENATE(D2539," ",LEFT(H2539,4),"T=",AU2539,"D=",AV2539,"R=",AW2539,"M=",AX2539,"L=",AY2539,"B=",AZ2539)</f>
        <v>DOUGHER T=12D=1R=0M=0L=1B=0</v>
      </c>
      <c r="G2539" s="0" t="s">
        <v>362</v>
      </c>
      <c r="I2539" s="0" t="s">
        <v>10872</v>
      </c>
      <c r="J2539" s="0" t="s">
        <v>10873</v>
      </c>
      <c r="K2539" s="0" t="s">
        <v>160</v>
      </c>
      <c r="M2539" s="0" t="s">
        <v>10874</v>
      </c>
      <c r="N2539" s="0" t="str">
        <f aca="false">RIGHT(M2539,LEN(M2539)-FIND(" ",M2539))</f>
        <v>WOODBINE AVE SE</v>
      </c>
      <c r="P2539" s="0" t="s">
        <v>145</v>
      </c>
      <c r="Q2539" s="0" t="s">
        <v>146</v>
      </c>
      <c r="R2539" s="0" t="n">
        <v>44484</v>
      </c>
      <c r="AD2539" s="0" t="s">
        <v>147</v>
      </c>
      <c r="AE2539" s="0" t="s">
        <v>148</v>
      </c>
      <c r="AF2539" s="0" t="s">
        <v>149</v>
      </c>
      <c r="AH2539" s="0" t="n">
        <v>14</v>
      </c>
      <c r="AI2539" s="0" t="n">
        <v>11</v>
      </c>
      <c r="AN2539" s="0" t="s">
        <v>145</v>
      </c>
      <c r="AO2539" s="0" t="s">
        <v>150</v>
      </c>
      <c r="AP2539" s="0" t="s">
        <v>151</v>
      </c>
      <c r="AQ2539" s="0" t="n">
        <v>9</v>
      </c>
      <c r="AR2539" s="0" t="n">
        <v>64</v>
      </c>
      <c r="AS2539" s="0" t="n">
        <v>32</v>
      </c>
      <c r="AU2539" s="0" t="n">
        <f aca="false">COUNTA($BA$207:$EH$207)</f>
        <v>12</v>
      </c>
      <c r="AV2539" s="0" t="n">
        <f aca="false">COUNTIF($BA$207:$EH$207,"D")</f>
        <v>1</v>
      </c>
      <c r="AW2539" s="0" t="n">
        <f aca="false">COUNTIF($BA$207:$EH$207,"R")</f>
        <v>0</v>
      </c>
      <c r="AX2539" s="0" t="n">
        <f aca="false">IF(BN2539="D",1,0)+IF(BO2539="D",1,0)+IF(BT2539="D",1,0)+IF(BU2539="D",1,0)+IF(BW2539="D",1,0)+IF(CC2539="D",1,0)+IF(CD2539="D",1,0)+IF(CE2539="D",1,0)+IF(CF2539="D",1,0)+IF(CL2539="D",1,0)+IF(CM2539="D",1,0)+IF(CQ2539="D",1,0)+IF(CR2539="D",1,0)+IF(CS2539="D",1,0)+IF(CW2539="D",1,0)+IF(CX2539="D",1,0)+IF(DD2539="D",1,0)+IF(DE2539="D",1,0)+IF(DJ2539="D",1,0)+IF(DK2539="D",1,0)+IF(DO2539="D",1,0)+IF(DP2539="D",1,0)+IF(DQ2539="D",1,0)+IF(DW2539="D",1,0)+IF(DZ2539="D",1,0)+IF(EH2539="D",1,0)</f>
        <v>0</v>
      </c>
      <c r="AY2539" s="0" t="n">
        <f aca="false">COUNTIF(DU2539:EH2539, "&lt;&gt;")</f>
        <v>1</v>
      </c>
      <c r="AZ2539" s="0" t="n">
        <f aca="false">IF(EH2539&lt;&gt;"",1,0)</f>
        <v>0</v>
      </c>
      <c r="BB2539" s="0" t="s">
        <v>152</v>
      </c>
      <c r="CP2539" s="0" t="s">
        <v>153</v>
      </c>
      <c r="DC2539" s="0" t="s">
        <v>153</v>
      </c>
      <c r="DN2539" s="0" t="s">
        <v>153</v>
      </c>
      <c r="EF2539" s="0" t="s">
        <v>153</v>
      </c>
    </row>
    <row r="2540" customFormat="false" ht="13.8" hidden="false" customHeight="false" outlineLevel="0" collapsed="false">
      <c r="A2540" s="0" t="s">
        <v>10875</v>
      </c>
      <c r="B2540" s="0" t="n">
        <v>78</v>
      </c>
      <c r="C2540" s="0" t="n">
        <v>377492</v>
      </c>
      <c r="D2540" s="0" t="s">
        <v>10876</v>
      </c>
      <c r="E2540" s="0" t="s">
        <v>10877</v>
      </c>
      <c r="F2540" s="0" t="str">
        <f aca="false">CONCATENATE(D2540," ",LEFT(H2540,4),"T=",AU2540,"D=",AV2540,"R=",AW2540,"M=",AX2540,"L=",AY2540,"B=",AZ2540)</f>
        <v>SINGLETON T=3D=0R=0M=1L=6B=0</v>
      </c>
      <c r="G2540" s="0" t="s">
        <v>255</v>
      </c>
      <c r="I2540" s="0" t="s">
        <v>10878</v>
      </c>
      <c r="J2540" s="0" t="s">
        <v>2007</v>
      </c>
      <c r="K2540" s="0" t="s">
        <v>160</v>
      </c>
      <c r="L2540" s="0" t="s">
        <v>175</v>
      </c>
      <c r="M2540" s="0" t="s">
        <v>10879</v>
      </c>
      <c r="N2540" s="0" t="str">
        <f aca="false">RIGHT(M2540,LEN(M2540)-FIND(" ",M2540))</f>
        <v>WOODBINE AVE SE</v>
      </c>
      <c r="P2540" s="0" t="s">
        <v>145</v>
      </c>
      <c r="Q2540" s="0" t="s">
        <v>146</v>
      </c>
      <c r="R2540" s="0" t="n">
        <v>44484</v>
      </c>
      <c r="AD2540" s="0" t="s">
        <v>147</v>
      </c>
      <c r="AE2540" s="0" t="s">
        <v>148</v>
      </c>
      <c r="AF2540" s="0" t="s">
        <v>149</v>
      </c>
      <c r="AH2540" s="0" t="n">
        <v>14</v>
      </c>
      <c r="AI2540" s="0" t="n">
        <v>11</v>
      </c>
      <c r="AN2540" s="0" t="s">
        <v>145</v>
      </c>
      <c r="AO2540" s="0" t="s">
        <v>150</v>
      </c>
      <c r="AP2540" s="0" t="s">
        <v>151</v>
      </c>
      <c r="AQ2540" s="0" t="n">
        <v>9</v>
      </c>
      <c r="AR2540" s="0" t="n">
        <v>64</v>
      </c>
      <c r="AS2540" s="0" t="n">
        <v>32</v>
      </c>
      <c r="AU2540" s="0" t="n">
        <f aca="false">COUNTA($BA$599:$EH$599)</f>
        <v>3</v>
      </c>
      <c r="AV2540" s="0" t="n">
        <f aca="false">COUNTIF($BA$599:$EH$599,"D")</f>
        <v>0</v>
      </c>
      <c r="AW2540" s="0" t="n">
        <f aca="false">COUNTIF($BA$599:$EH$599,"R")</f>
        <v>0</v>
      </c>
      <c r="AX2540" s="0" t="n">
        <f aca="false">IF(BN2540="D",1,0)+IF(BO2540="D",1,0)+IF(BT2540="D",1,0)+IF(BU2540="D",1,0)+IF(BW2540="D",1,0)+IF(CC2540="D",1,0)+IF(CD2540="D",1,0)+IF(CE2540="D",1,0)+IF(CF2540="D",1,0)+IF(CL2540="D",1,0)+IF(CM2540="D",1,0)+IF(CQ2540="D",1,0)+IF(CR2540="D",1,0)+IF(CS2540="D",1,0)+IF(CW2540="D",1,0)+IF(CX2540="D",1,0)+IF(DD2540="D",1,0)+IF(DE2540="D",1,0)+IF(DJ2540="D",1,0)+IF(DK2540="D",1,0)+IF(DO2540="D",1,0)+IF(DP2540="D",1,0)+IF(DQ2540="D",1,0)+IF(DW2540="D",1,0)+IF(DZ2540="D",1,0)+IF(EH2540="D",1,0)</f>
        <v>1</v>
      </c>
      <c r="AY2540" s="0" t="n">
        <f aca="false">COUNTIF(DU2540:EH2540, "&lt;&gt;")</f>
        <v>6</v>
      </c>
      <c r="AZ2540" s="0" t="n">
        <f aca="false">IF(EH2540&lt;&gt;"",1,0)</f>
        <v>0</v>
      </c>
      <c r="BB2540" s="0" t="s">
        <v>152</v>
      </c>
      <c r="BI2540" s="0" t="s">
        <v>153</v>
      </c>
      <c r="BK2540" s="0" t="s">
        <v>153</v>
      </c>
      <c r="BL2540" s="0" t="s">
        <v>153</v>
      </c>
      <c r="BP2540" s="0" t="s">
        <v>153</v>
      </c>
      <c r="BR2540" s="0" t="s">
        <v>175</v>
      </c>
      <c r="BT2540" s="0" t="s">
        <v>153</v>
      </c>
      <c r="BV2540" s="0" t="s">
        <v>153</v>
      </c>
      <c r="BY2540" s="0" t="s">
        <v>175</v>
      </c>
      <c r="CA2540" s="0" t="s">
        <v>153</v>
      </c>
      <c r="CK2540" s="0" t="s">
        <v>153</v>
      </c>
      <c r="CP2540" s="0" t="s">
        <v>153</v>
      </c>
      <c r="CZ2540" s="0" t="s">
        <v>175</v>
      </c>
      <c r="DI2540" s="0" t="s">
        <v>153</v>
      </c>
      <c r="DM2540" s="0" t="s">
        <v>175</v>
      </c>
      <c r="DN2540" s="0" t="s">
        <v>153</v>
      </c>
      <c r="DR2540" s="0" t="s">
        <v>153</v>
      </c>
      <c r="DS2540" s="0" t="s">
        <v>175</v>
      </c>
      <c r="DU2540" s="0" t="s">
        <v>153</v>
      </c>
      <c r="DW2540" s="0" t="s">
        <v>175</v>
      </c>
      <c r="DX2540" s="0" t="s">
        <v>153</v>
      </c>
      <c r="EA2540" s="0" t="s">
        <v>153</v>
      </c>
      <c r="ED2540" s="0" t="s">
        <v>175</v>
      </c>
      <c r="EF2540" s="0" t="s">
        <v>153</v>
      </c>
    </row>
    <row r="2541" customFormat="false" ht="13.8" hidden="false" customHeight="false" outlineLevel="0" collapsed="false">
      <c r="A2541" s="0" t="s">
        <v>10880</v>
      </c>
      <c r="B2541" s="0" t="n">
        <v>78</v>
      </c>
      <c r="C2541" s="0" t="n">
        <v>202216</v>
      </c>
      <c r="D2541" s="0" t="s">
        <v>10881</v>
      </c>
      <c r="E2541" s="0" t="s">
        <v>1101</v>
      </c>
      <c r="F2541" s="0" t="str">
        <f aca="false">CONCATENATE(D2541," ",LEFT(H2541,4),"T=",AU2541,"D=",AV2541,"R=",AW2541,"M=",AX2541,"L=",AY2541,"B=",AZ2541)</f>
        <v>HORKEY T=9D=3R=0M=5L=7B=1</v>
      </c>
      <c r="G2541" s="0" t="s">
        <v>325</v>
      </c>
      <c r="I2541" s="0" t="s">
        <v>4791</v>
      </c>
      <c r="J2541" s="0" t="s">
        <v>10882</v>
      </c>
      <c r="K2541" s="0" t="s">
        <v>160</v>
      </c>
      <c r="L2541" s="0" t="s">
        <v>175</v>
      </c>
      <c r="M2541" s="0" t="s">
        <v>10883</v>
      </c>
      <c r="N2541" s="0" t="str">
        <f aca="false">RIGHT(M2541,LEN(M2541)-FIND(" ",M2541))</f>
        <v>WOODBINE AVE SE</v>
      </c>
      <c r="P2541" s="0" t="s">
        <v>145</v>
      </c>
      <c r="Q2541" s="0" t="s">
        <v>146</v>
      </c>
      <c r="R2541" s="0" t="n">
        <v>44484</v>
      </c>
      <c r="AD2541" s="0" t="s">
        <v>147</v>
      </c>
      <c r="AE2541" s="0" t="s">
        <v>148</v>
      </c>
      <c r="AF2541" s="0" t="s">
        <v>149</v>
      </c>
      <c r="AH2541" s="0" t="n">
        <v>14</v>
      </c>
      <c r="AI2541" s="0" t="n">
        <v>11</v>
      </c>
      <c r="AN2541" s="0" t="s">
        <v>145</v>
      </c>
      <c r="AO2541" s="0" t="s">
        <v>150</v>
      </c>
      <c r="AP2541" s="0" t="s">
        <v>151</v>
      </c>
      <c r="AQ2541" s="0" t="n">
        <v>9</v>
      </c>
      <c r="AR2541" s="0" t="n">
        <v>64</v>
      </c>
      <c r="AS2541" s="0" t="n">
        <v>32</v>
      </c>
      <c r="AU2541" s="0" t="n">
        <f aca="false">COUNTA($BA$94:$EH$94)</f>
        <v>9</v>
      </c>
      <c r="AV2541" s="0" t="n">
        <f aca="false">COUNTIF($BA$94:$EH$94,"D")</f>
        <v>3</v>
      </c>
      <c r="AW2541" s="0" t="n">
        <f aca="false">COUNTIF($BA$94:$EH$94,"R")</f>
        <v>0</v>
      </c>
      <c r="AX2541" s="0" t="n">
        <f aca="false">IF(BN2541="D",1,0)+IF(BO2541="D",1,0)+IF(BT2541="D",1,0)+IF(BU2541="D",1,0)+IF(BW2541="D",1,0)+IF(CC2541="D",1,0)+IF(CD2541="D",1,0)+IF(CE2541="D",1,0)+IF(CF2541="D",1,0)+IF(CL2541="D",1,0)+IF(CM2541="D",1,0)+IF(CQ2541="D",1,0)+IF(CR2541="D",1,0)+IF(CS2541="D",1,0)+IF(CW2541="D",1,0)+IF(CX2541="D",1,0)+IF(DD2541="D",1,0)+IF(DE2541="D",1,0)+IF(DJ2541="D",1,0)+IF(DK2541="D",1,0)+IF(DO2541="D",1,0)+IF(DP2541="D",1,0)+IF(DQ2541="D",1,0)+IF(DW2541="D",1,0)+IF(DZ2541="D",1,0)+IF(EH2541="D",1,0)</f>
        <v>5</v>
      </c>
      <c r="AY2541" s="0" t="n">
        <f aca="false">COUNTIF(DU2541:EH2541, "&lt;&gt;")</f>
        <v>7</v>
      </c>
      <c r="AZ2541" s="0" t="n">
        <f aca="false">IF(EH2541&lt;&gt;"",1,0)</f>
        <v>1</v>
      </c>
      <c r="BB2541" s="0" t="s">
        <v>152</v>
      </c>
      <c r="BC2541" s="0" t="s">
        <v>153</v>
      </c>
      <c r="BD2541" s="0" t="s">
        <v>153</v>
      </c>
      <c r="BE2541" s="0" t="s">
        <v>153</v>
      </c>
      <c r="BF2541" s="0" t="s">
        <v>153</v>
      </c>
      <c r="BG2541" s="0" t="s">
        <v>153</v>
      </c>
      <c r="BH2541" s="0" t="s">
        <v>153</v>
      </c>
      <c r="BI2541" s="0" t="s">
        <v>153</v>
      </c>
      <c r="BJ2541" s="0" t="s">
        <v>153</v>
      </c>
      <c r="BK2541" s="0" t="s">
        <v>153</v>
      </c>
      <c r="BL2541" s="0" t="s">
        <v>153</v>
      </c>
      <c r="BP2541" s="0" t="s">
        <v>153</v>
      </c>
      <c r="BS2541" s="0" t="s">
        <v>153</v>
      </c>
      <c r="BV2541" s="0" t="s">
        <v>153</v>
      </c>
      <c r="BY2541" s="0" t="s">
        <v>175</v>
      </c>
      <c r="CA2541" s="0" t="s">
        <v>153</v>
      </c>
      <c r="CG2541" s="0" t="s">
        <v>153</v>
      </c>
      <c r="CK2541" s="0" t="s">
        <v>153</v>
      </c>
      <c r="CL2541" s="0" t="s">
        <v>175</v>
      </c>
      <c r="CN2541" s="0" t="s">
        <v>153</v>
      </c>
      <c r="CO2541" s="0" t="s">
        <v>209</v>
      </c>
      <c r="CP2541" s="0" t="s">
        <v>153</v>
      </c>
      <c r="CU2541" s="0" t="s">
        <v>175</v>
      </c>
      <c r="CV2541" s="0" t="s">
        <v>153</v>
      </c>
      <c r="CW2541" s="0" t="s">
        <v>175</v>
      </c>
      <c r="CY2541" s="0" t="s">
        <v>153</v>
      </c>
      <c r="CZ2541" s="0" t="s">
        <v>175</v>
      </c>
      <c r="DC2541" s="0" t="s">
        <v>153</v>
      </c>
      <c r="DF2541" s="0" t="s">
        <v>153</v>
      </c>
      <c r="DG2541" s="0" t="s">
        <v>175</v>
      </c>
      <c r="DI2541" s="0" t="s">
        <v>153</v>
      </c>
      <c r="DJ2541" s="0" t="s">
        <v>175</v>
      </c>
      <c r="DL2541" s="0" t="s">
        <v>153</v>
      </c>
      <c r="DN2541" s="0" t="s">
        <v>153</v>
      </c>
      <c r="DS2541" s="0" t="s">
        <v>175</v>
      </c>
      <c r="DU2541" s="0" t="s">
        <v>153</v>
      </c>
      <c r="DW2541" s="0" t="s">
        <v>175</v>
      </c>
      <c r="DX2541" s="0" t="s">
        <v>153</v>
      </c>
      <c r="EA2541" s="0" t="s">
        <v>153</v>
      </c>
      <c r="ED2541" s="0" t="s">
        <v>209</v>
      </c>
      <c r="EF2541" s="0" t="s">
        <v>153</v>
      </c>
      <c r="EH2541" s="0" t="s">
        <v>175</v>
      </c>
    </row>
    <row r="2542" customFormat="false" ht="13.8" hidden="true" customHeight="false" outlineLevel="0" collapsed="false">
      <c r="A2542" s="0" t="s">
        <v>10884</v>
      </c>
      <c r="B2542" s="0" t="n">
        <v>78</v>
      </c>
      <c r="C2542" s="0" t="n">
        <v>314109</v>
      </c>
      <c r="D2542" s="0" t="s">
        <v>10885</v>
      </c>
      <c r="E2542" s="0" t="s">
        <v>10886</v>
      </c>
      <c r="F2542" s="0" t="str">
        <f aca="false">CONCATENATE(D2542," ",LEFT(H2542,4),"T=",AU2542,"D=",AV2542,"R=",AW2542,"M=",AX2542,"L=",AY2542,"B=",AZ2542)</f>
        <v>KLINESMITH T=8D=0R=0M=0L=0B=0</v>
      </c>
      <c r="G2542" s="0" t="s">
        <v>379</v>
      </c>
      <c r="I2542" s="0" t="s">
        <v>10887</v>
      </c>
      <c r="J2542" s="0" t="s">
        <v>5150</v>
      </c>
      <c r="K2542" s="0" t="s">
        <v>143</v>
      </c>
      <c r="M2542" s="0" t="s">
        <v>10888</v>
      </c>
      <c r="N2542" s="0" t="str">
        <f aca="false">RIGHT(M2542,LEN(M2542)-FIND(" ",M2542))</f>
        <v>WOODBINE AVE SE</v>
      </c>
      <c r="P2542" s="0" t="s">
        <v>145</v>
      </c>
      <c r="Q2542" s="0" t="s">
        <v>146</v>
      </c>
      <c r="R2542" s="0" t="n">
        <v>44484</v>
      </c>
      <c r="AD2542" s="0" t="s">
        <v>147</v>
      </c>
      <c r="AE2542" s="0" t="s">
        <v>148</v>
      </c>
      <c r="AF2542" s="0" t="s">
        <v>149</v>
      </c>
      <c r="AH2542" s="0" t="n">
        <v>14</v>
      </c>
      <c r="AI2542" s="0" t="n">
        <v>11</v>
      </c>
      <c r="AN2542" s="0" t="s">
        <v>145</v>
      </c>
      <c r="AO2542" s="0" t="s">
        <v>150</v>
      </c>
      <c r="AP2542" s="0" t="s">
        <v>151</v>
      </c>
      <c r="AQ2542" s="0" t="n">
        <v>9</v>
      </c>
      <c r="AR2542" s="0" t="n">
        <v>64</v>
      </c>
      <c r="AS2542" s="0" t="n">
        <v>32</v>
      </c>
      <c r="AU2542" s="0" t="n">
        <f aca="false">COUNTA($BA$29:$EH$29)</f>
        <v>8</v>
      </c>
      <c r="AV2542" s="0" t="n">
        <f aca="false">COUNTIF($BA$29:$EH$29,"D")</f>
        <v>0</v>
      </c>
      <c r="AW2542" s="0" t="n">
        <f aca="false">COUNTIF($BA$29:$EH$29,"R")</f>
        <v>0</v>
      </c>
      <c r="AX2542" s="0" t="n">
        <f aca="false">IF(BN2542="D",1,0)+IF(BO2542="D",1,0)+IF(BT2542="D",1,0)+IF(BU2542="D",1,0)+IF(BW2542="D",1,0)+IF(CC2542="D",1,0)+IF(CD2542="D",1,0)+IF(CE2542="D",1,0)+IF(CF2542="D",1,0)+IF(CL2542="D",1,0)+IF(CM2542="D",1,0)+IF(CQ2542="D",1,0)+IF(CR2542="D",1,0)+IF(CS2542="D",1,0)+IF(CW2542="D",1,0)+IF(CX2542="D",1,0)+IF(DD2542="D",1,0)+IF(DE2542="D",1,0)+IF(DJ2542="D",1,0)+IF(DK2542="D",1,0)+IF(DO2542="D",1,0)+IF(DP2542="D",1,0)+IF(DQ2542="D",1,0)+IF(DW2542="D",1,0)+IF(DZ2542="D",1,0)+IF(EH2542="D",1,0)</f>
        <v>0</v>
      </c>
      <c r="AY2542" s="0" t="n">
        <f aca="false">COUNTIF(DU2542:EH2542, "&lt;&gt;")</f>
        <v>0</v>
      </c>
      <c r="AZ2542" s="0" t="n">
        <f aca="false">IF(EH2542&lt;&gt;"",1,0)</f>
        <v>0</v>
      </c>
      <c r="BB2542" s="0" t="s">
        <v>152</v>
      </c>
      <c r="CP2542" s="0" t="s">
        <v>153</v>
      </c>
      <c r="CY2542" s="0" t="s">
        <v>153</v>
      </c>
    </row>
    <row r="2543" customFormat="false" ht="13.8" hidden="true" customHeight="false" outlineLevel="0" collapsed="false">
      <c r="A2543" s="0" t="s">
        <v>10889</v>
      </c>
      <c r="B2543" s="0" t="n">
        <v>78</v>
      </c>
      <c r="C2543" s="0" t="n">
        <v>494223</v>
      </c>
      <c r="D2543" s="0" t="s">
        <v>556</v>
      </c>
      <c r="E2543" s="0" t="s">
        <v>517</v>
      </c>
      <c r="F2543" s="0" t="str">
        <f aca="false">CONCATENATE(D2543," ",LEFT(H2543,4),"T=",AU2543,"D=",AV2543,"R=",AW2543,"M=",AX2543,"L=",AY2543,"B=",AZ2543)</f>
        <v>ANDERSON T=12D=1R=0M=0L=0B=0</v>
      </c>
      <c r="G2543" s="0" t="s">
        <v>1128</v>
      </c>
      <c r="I2543" s="0" t="s">
        <v>10890</v>
      </c>
      <c r="J2543" s="0" t="s">
        <v>4005</v>
      </c>
      <c r="K2543" s="0" t="s">
        <v>160</v>
      </c>
      <c r="M2543" s="0" t="s">
        <v>10888</v>
      </c>
      <c r="N2543" s="0" t="str">
        <f aca="false">RIGHT(M2543,LEN(M2543)-FIND(" ",M2543))</f>
        <v>WOODBINE AVE SE</v>
      </c>
      <c r="P2543" s="0" t="s">
        <v>145</v>
      </c>
      <c r="Q2543" s="0" t="s">
        <v>146</v>
      </c>
      <c r="R2543" s="0" t="n">
        <v>44484</v>
      </c>
      <c r="AD2543" s="0" t="s">
        <v>147</v>
      </c>
      <c r="AE2543" s="0" t="s">
        <v>148</v>
      </c>
      <c r="AF2543" s="0" t="s">
        <v>149</v>
      </c>
      <c r="AH2543" s="0" t="n">
        <v>14</v>
      </c>
      <c r="AI2543" s="0" t="n">
        <v>11</v>
      </c>
      <c r="AN2543" s="0" t="s">
        <v>145</v>
      </c>
      <c r="AO2543" s="0" t="s">
        <v>150</v>
      </c>
      <c r="AP2543" s="0" t="s">
        <v>151</v>
      </c>
      <c r="AQ2543" s="0" t="n">
        <v>9</v>
      </c>
      <c r="AR2543" s="0" t="n">
        <v>64</v>
      </c>
      <c r="AS2543" s="0" t="n">
        <v>32</v>
      </c>
      <c r="AU2543" s="0" t="n">
        <f aca="false">COUNTA($BA$411:$EH$411)</f>
        <v>12</v>
      </c>
      <c r="AV2543" s="0" t="n">
        <f aca="false">COUNTIF($BA$411:$EH$411,"D")</f>
        <v>1</v>
      </c>
      <c r="AW2543" s="0" t="n">
        <f aca="false">COUNTIF($BA$411:$EH$411,"R")</f>
        <v>0</v>
      </c>
      <c r="AX2543" s="0" t="n">
        <f aca="false">IF(BN2543="D",1,0)+IF(BO2543="D",1,0)+IF(BT2543="D",1,0)+IF(BU2543="D",1,0)+IF(BW2543="D",1,0)+IF(CC2543="D",1,0)+IF(CD2543="D",1,0)+IF(CE2543="D",1,0)+IF(CF2543="D",1,0)+IF(CL2543="D",1,0)+IF(CM2543="D",1,0)+IF(CQ2543="D",1,0)+IF(CR2543="D",1,0)+IF(CS2543="D",1,0)+IF(CW2543="D",1,0)+IF(CX2543="D",1,0)+IF(DD2543="D",1,0)+IF(DE2543="D",1,0)+IF(DJ2543="D",1,0)+IF(DK2543="D",1,0)+IF(DO2543="D",1,0)+IF(DP2543="D",1,0)+IF(DQ2543="D",1,0)+IF(DW2543="D",1,0)+IF(DZ2543="D",1,0)+IF(EH2543="D",1,0)</f>
        <v>0</v>
      </c>
      <c r="AY2543" s="0" t="n">
        <f aca="false">COUNTIF(DU2543:EH2543, "&lt;&gt;")</f>
        <v>0</v>
      </c>
      <c r="AZ2543" s="0" t="n">
        <f aca="false">IF(EH2543&lt;&gt;"",1,0)</f>
        <v>0</v>
      </c>
      <c r="BB2543" s="0" t="s">
        <v>152</v>
      </c>
    </row>
    <row r="2544" customFormat="false" ht="13.8" hidden="true" customHeight="false" outlineLevel="0" collapsed="false">
      <c r="A2544" s="0" t="s">
        <v>10891</v>
      </c>
      <c r="B2544" s="0" t="n">
        <v>78</v>
      </c>
      <c r="C2544" s="0" t="n">
        <v>427219</v>
      </c>
      <c r="D2544" s="0" t="s">
        <v>10892</v>
      </c>
      <c r="E2544" s="0" t="s">
        <v>4868</v>
      </c>
      <c r="F2544" s="0" t="str">
        <f aca="false">CONCATENATE(D2544," ",LEFT(H2544,4),"T=",AU2544,"D=",AV2544,"R=",AW2544,"M=",AX2544,"L=",AY2544,"B=",AZ2544)</f>
        <v>ZEITLER T=6D=0R=0M=0L=0B=0</v>
      </c>
      <c r="G2544" s="0" t="s">
        <v>522</v>
      </c>
      <c r="I2544" s="0" t="s">
        <v>10893</v>
      </c>
      <c r="J2544" s="0" t="s">
        <v>10894</v>
      </c>
      <c r="K2544" s="0" t="s">
        <v>143</v>
      </c>
      <c r="M2544" s="0" t="s">
        <v>10888</v>
      </c>
      <c r="N2544" s="0" t="str">
        <f aca="false">RIGHT(M2544,LEN(M2544)-FIND(" ",M2544))</f>
        <v>WOODBINE AVE SE</v>
      </c>
      <c r="P2544" s="0" t="s">
        <v>145</v>
      </c>
      <c r="Q2544" s="0" t="s">
        <v>146</v>
      </c>
      <c r="R2544" s="0" t="n">
        <v>44484</v>
      </c>
      <c r="AD2544" s="0" t="s">
        <v>147</v>
      </c>
      <c r="AE2544" s="0" t="s">
        <v>148</v>
      </c>
      <c r="AF2544" s="0" t="s">
        <v>149</v>
      </c>
      <c r="AH2544" s="0" t="n">
        <v>14</v>
      </c>
      <c r="AI2544" s="0" t="n">
        <v>11</v>
      </c>
      <c r="AN2544" s="0" t="s">
        <v>145</v>
      </c>
      <c r="AO2544" s="0" t="s">
        <v>150</v>
      </c>
      <c r="AP2544" s="0" t="s">
        <v>151</v>
      </c>
      <c r="AQ2544" s="0" t="n">
        <v>9</v>
      </c>
      <c r="AR2544" s="0" t="n">
        <v>64</v>
      </c>
      <c r="AS2544" s="0" t="n">
        <v>32</v>
      </c>
      <c r="AU2544" s="0" t="n">
        <f aca="false">COUNTA($BA$677:$EH$677)</f>
        <v>6</v>
      </c>
      <c r="AV2544" s="0" t="n">
        <f aca="false">COUNTIF($BA$677:$EH$677,"D")</f>
        <v>0</v>
      </c>
      <c r="AW2544" s="0" t="n">
        <f aca="false">COUNTIF($BA$677:$EH$677,"R")</f>
        <v>0</v>
      </c>
      <c r="AX2544" s="0" t="n">
        <f aca="false">IF(BN2544="D",1,0)+IF(BO2544="D",1,0)+IF(BT2544="D",1,0)+IF(BU2544="D",1,0)+IF(BW2544="D",1,0)+IF(CC2544="D",1,0)+IF(CD2544="D",1,0)+IF(CE2544="D",1,0)+IF(CF2544="D",1,0)+IF(CL2544="D",1,0)+IF(CM2544="D",1,0)+IF(CQ2544="D",1,0)+IF(CR2544="D",1,0)+IF(CS2544="D",1,0)+IF(CW2544="D",1,0)+IF(CX2544="D",1,0)+IF(DD2544="D",1,0)+IF(DE2544="D",1,0)+IF(DJ2544="D",1,0)+IF(DK2544="D",1,0)+IF(DO2544="D",1,0)+IF(DP2544="D",1,0)+IF(DQ2544="D",1,0)+IF(DW2544="D",1,0)+IF(DZ2544="D",1,0)+IF(EH2544="D",1,0)</f>
        <v>0</v>
      </c>
      <c r="AY2544" s="0" t="n">
        <f aca="false">COUNTIF(DU2544:EH2544, "&lt;&gt;")</f>
        <v>0</v>
      </c>
      <c r="AZ2544" s="0" t="n">
        <f aca="false">IF(EH2544&lt;&gt;"",1,0)</f>
        <v>0</v>
      </c>
      <c r="BB2544" s="0" t="s">
        <v>152</v>
      </c>
      <c r="DC2544" s="0" t="s">
        <v>153</v>
      </c>
    </row>
    <row r="2545" customFormat="false" ht="13.8" hidden="true" customHeight="false" outlineLevel="0" collapsed="false">
      <c r="A2545" s="0" t="s">
        <v>10895</v>
      </c>
      <c r="B2545" s="0" t="n">
        <v>78</v>
      </c>
      <c r="C2545" s="0" t="n">
        <v>464985</v>
      </c>
      <c r="D2545" s="0" t="s">
        <v>8496</v>
      </c>
      <c r="E2545" s="0" t="s">
        <v>10896</v>
      </c>
      <c r="F2545" s="0" t="str">
        <f aca="false">CONCATENATE(D2545," ",LEFT(H2545,4),"T=",AU2545,"D=",AV2545,"R=",AW2545,"M=",AX2545,"L=",AY2545,"B=",AZ2545)</f>
        <v>FIGUEROA T=1D=0R=0M=0L=1B=0</v>
      </c>
      <c r="G2545" s="0" t="s">
        <v>255</v>
      </c>
      <c r="I2545" s="0" t="s">
        <v>4360</v>
      </c>
      <c r="J2545" s="0" t="s">
        <v>10897</v>
      </c>
      <c r="K2545" s="0" t="s">
        <v>160</v>
      </c>
      <c r="M2545" s="0" t="s">
        <v>10898</v>
      </c>
      <c r="N2545" s="0" t="str">
        <f aca="false">RIGHT(M2545,LEN(M2545)-FIND(" ",M2545))</f>
        <v>WOODBINE AVE SE</v>
      </c>
      <c r="P2545" s="0" t="s">
        <v>145</v>
      </c>
      <c r="Q2545" s="0" t="s">
        <v>146</v>
      </c>
      <c r="R2545" s="0" t="n">
        <v>44484</v>
      </c>
      <c r="AD2545" s="0" t="s">
        <v>147</v>
      </c>
      <c r="AE2545" s="0" t="s">
        <v>148</v>
      </c>
      <c r="AF2545" s="0" t="s">
        <v>149</v>
      </c>
      <c r="AH2545" s="0" t="n">
        <v>14</v>
      </c>
      <c r="AI2545" s="0" t="n">
        <v>11</v>
      </c>
      <c r="AN2545" s="0" t="s">
        <v>145</v>
      </c>
      <c r="AO2545" s="0" t="s">
        <v>150</v>
      </c>
      <c r="AP2545" s="0" t="s">
        <v>151</v>
      </c>
      <c r="AQ2545" s="0" t="n">
        <v>9</v>
      </c>
      <c r="AR2545" s="0" t="n">
        <v>64</v>
      </c>
      <c r="AS2545" s="0" t="n">
        <v>32</v>
      </c>
      <c r="AU2545" s="0" t="n">
        <f aca="false">COUNTA($BA$988:$EH$988)</f>
        <v>1</v>
      </c>
      <c r="AV2545" s="0" t="n">
        <f aca="false">COUNTIF($BA$988:$EH$988,"D")</f>
        <v>0</v>
      </c>
      <c r="AW2545" s="0" t="n">
        <f aca="false">COUNTIF($BA$988:$EH$988,"R")</f>
        <v>0</v>
      </c>
      <c r="AX2545" s="0" t="n">
        <f aca="false">IF(BN2545="D",1,0)+IF(BO2545="D",1,0)+IF(BT2545="D",1,0)+IF(BU2545="D",1,0)+IF(BW2545="D",1,0)+IF(CC2545="D",1,0)+IF(CD2545="D",1,0)+IF(CE2545="D",1,0)+IF(CF2545="D",1,0)+IF(CL2545="D",1,0)+IF(CM2545="D",1,0)+IF(CQ2545="D",1,0)+IF(CR2545="D",1,0)+IF(CS2545="D",1,0)+IF(CW2545="D",1,0)+IF(CX2545="D",1,0)+IF(DD2545="D",1,0)+IF(DE2545="D",1,0)+IF(DJ2545="D",1,0)+IF(DK2545="D",1,0)+IF(DO2545="D",1,0)+IF(DP2545="D",1,0)+IF(DQ2545="D",1,0)+IF(DW2545="D",1,0)+IF(DZ2545="D",1,0)+IF(EH2545="D",1,0)</f>
        <v>0</v>
      </c>
      <c r="AY2545" s="0" t="n">
        <f aca="false">COUNTIF(DU2545:EH2545, "&lt;&gt;")</f>
        <v>1</v>
      </c>
      <c r="AZ2545" s="0" t="n">
        <f aca="false">IF(EH2545&lt;&gt;"",1,0)</f>
        <v>0</v>
      </c>
      <c r="BB2545" s="0" t="s">
        <v>152</v>
      </c>
      <c r="EF2545" s="0" t="s">
        <v>153</v>
      </c>
    </row>
    <row r="2546" customFormat="false" ht="13.8" hidden="true" customHeight="false" outlineLevel="0" collapsed="false">
      <c r="A2546" s="0" t="s">
        <v>10899</v>
      </c>
      <c r="B2546" s="0" t="n">
        <v>78</v>
      </c>
      <c r="C2546" s="0" t="n">
        <v>276403</v>
      </c>
      <c r="D2546" s="0" t="s">
        <v>5896</v>
      </c>
      <c r="E2546" s="0" t="s">
        <v>7761</v>
      </c>
      <c r="F2546" s="0" t="str">
        <f aca="false">CONCATENATE(D2546," ",LEFT(H2546,4),"T=",AU2546,"D=",AV2546,"R=",AW2546,"M=",AX2546,"L=",AY2546,"B=",AZ2546)</f>
        <v>ALBERT T=3D=0R=0M=0L=1B=0</v>
      </c>
      <c r="G2546" s="0" t="s">
        <v>1639</v>
      </c>
      <c r="I2546" s="0" t="s">
        <v>10900</v>
      </c>
      <c r="J2546" s="0" t="s">
        <v>10901</v>
      </c>
      <c r="K2546" s="0" t="s">
        <v>160</v>
      </c>
      <c r="M2546" s="0" t="s">
        <v>10902</v>
      </c>
      <c r="N2546" s="0" t="str">
        <f aca="false">RIGHT(M2546,LEN(M2546)-FIND(" ",M2546))</f>
        <v>WOODBINE AVE SE</v>
      </c>
      <c r="P2546" s="0" t="s">
        <v>145</v>
      </c>
      <c r="Q2546" s="0" t="s">
        <v>146</v>
      </c>
      <c r="R2546" s="0" t="n">
        <v>44484</v>
      </c>
      <c r="AD2546" s="0" t="s">
        <v>147</v>
      </c>
      <c r="AE2546" s="0" t="s">
        <v>148</v>
      </c>
      <c r="AF2546" s="0" t="s">
        <v>149</v>
      </c>
      <c r="AH2546" s="0" t="n">
        <v>14</v>
      </c>
      <c r="AI2546" s="0" t="n">
        <v>11</v>
      </c>
      <c r="AN2546" s="0" t="s">
        <v>145</v>
      </c>
      <c r="AO2546" s="0" t="s">
        <v>150</v>
      </c>
      <c r="AP2546" s="0" t="s">
        <v>151</v>
      </c>
      <c r="AQ2546" s="0" t="n">
        <v>9</v>
      </c>
      <c r="AR2546" s="0" t="n">
        <v>64</v>
      </c>
      <c r="AS2546" s="0" t="n">
        <v>32</v>
      </c>
      <c r="AU2546" s="0" t="n">
        <f aca="false">COUNTA($BA$163:$EH$163)</f>
        <v>3</v>
      </c>
      <c r="AV2546" s="0" t="n">
        <f aca="false">COUNTIF($BA$163:$EH$163,"D")</f>
        <v>0</v>
      </c>
      <c r="AW2546" s="0" t="n">
        <f aca="false">COUNTIF($BA$163:$EH$163,"R")</f>
        <v>0</v>
      </c>
      <c r="AX2546" s="0" t="n">
        <f aca="false">IF(BN2546="D",1,0)+IF(BO2546="D",1,0)+IF(BT2546="D",1,0)+IF(BU2546="D",1,0)+IF(BW2546="D",1,0)+IF(CC2546="D",1,0)+IF(CD2546="D",1,0)+IF(CE2546="D",1,0)+IF(CF2546="D",1,0)+IF(CL2546="D",1,0)+IF(CM2546="D",1,0)+IF(CQ2546="D",1,0)+IF(CR2546="D",1,0)+IF(CS2546="D",1,0)+IF(CW2546="D",1,0)+IF(CX2546="D",1,0)+IF(DD2546="D",1,0)+IF(DE2546="D",1,0)+IF(DJ2546="D",1,0)+IF(DK2546="D",1,0)+IF(DO2546="D",1,0)+IF(DP2546="D",1,0)+IF(DQ2546="D",1,0)+IF(DW2546="D",1,0)+IF(DZ2546="D",1,0)+IF(EH2546="D",1,0)</f>
        <v>0</v>
      </c>
      <c r="AY2546" s="0" t="n">
        <f aca="false">COUNTIF(DU2546:EH2546, "&lt;&gt;")</f>
        <v>1</v>
      </c>
      <c r="AZ2546" s="0" t="n">
        <f aca="false">IF(EH2546&lt;&gt;"",1,0)</f>
        <v>0</v>
      </c>
      <c r="BB2546" s="0" t="s">
        <v>152</v>
      </c>
      <c r="BC2546" s="0" t="s">
        <v>153</v>
      </c>
      <c r="BD2546" s="0" t="s">
        <v>153</v>
      </c>
      <c r="BF2546" s="0" t="s">
        <v>153</v>
      </c>
      <c r="BH2546" s="0" t="s">
        <v>153</v>
      </c>
      <c r="BJ2546" s="0" t="s">
        <v>153</v>
      </c>
      <c r="BP2546" s="0" t="s">
        <v>153</v>
      </c>
      <c r="BS2546" s="0" t="s">
        <v>153</v>
      </c>
      <c r="CY2546" s="0" t="s">
        <v>153</v>
      </c>
      <c r="DC2546" s="0" t="s">
        <v>153</v>
      </c>
      <c r="DF2546" s="0" t="s">
        <v>153</v>
      </c>
      <c r="DI2546" s="0" t="s">
        <v>153</v>
      </c>
      <c r="DL2546" s="0" t="s">
        <v>153</v>
      </c>
      <c r="DN2546" s="0" t="s">
        <v>153</v>
      </c>
      <c r="DR2546" s="0" t="s">
        <v>153</v>
      </c>
      <c r="DU2546" s="0" t="s">
        <v>153</v>
      </c>
    </row>
    <row r="2547" customFormat="false" ht="13.8" hidden="false" customHeight="false" outlineLevel="0" collapsed="false">
      <c r="A2547" s="0" t="s">
        <v>10903</v>
      </c>
      <c r="B2547" s="0" t="n">
        <v>78</v>
      </c>
      <c r="C2547" s="0" t="n">
        <v>353836</v>
      </c>
      <c r="D2547" s="0" t="s">
        <v>5896</v>
      </c>
      <c r="E2547" s="0" t="s">
        <v>633</v>
      </c>
      <c r="F2547" s="0" t="str">
        <f aca="false">CONCATENATE(D2547," ",LEFT(H2547,4),"T=",AU2547,"D=",AV2547,"R=",AW2547,"M=",AX2547,"L=",AY2547,"B=",AZ2547)</f>
        <v>ALBERT T=2D=0R=0M=0L=2B=0</v>
      </c>
      <c r="G2547" s="0" t="s">
        <v>275</v>
      </c>
      <c r="I2547" s="0" t="s">
        <v>10904</v>
      </c>
      <c r="J2547" s="0" t="s">
        <v>570</v>
      </c>
      <c r="K2547" s="0" t="s">
        <v>160</v>
      </c>
      <c r="M2547" s="0" t="s">
        <v>10902</v>
      </c>
      <c r="N2547" s="0" t="str">
        <f aca="false">RIGHT(M2547,LEN(M2547)-FIND(" ",M2547))</f>
        <v>WOODBINE AVE SE</v>
      </c>
      <c r="P2547" s="0" t="s">
        <v>145</v>
      </c>
      <c r="Q2547" s="0" t="s">
        <v>146</v>
      </c>
      <c r="R2547" s="0" t="n">
        <v>44484</v>
      </c>
      <c r="AD2547" s="0" t="s">
        <v>147</v>
      </c>
      <c r="AE2547" s="0" t="s">
        <v>148</v>
      </c>
      <c r="AF2547" s="0" t="s">
        <v>149</v>
      </c>
      <c r="AH2547" s="0" t="n">
        <v>14</v>
      </c>
      <c r="AI2547" s="0" t="n">
        <v>11</v>
      </c>
      <c r="AN2547" s="0" t="s">
        <v>145</v>
      </c>
      <c r="AO2547" s="0" t="s">
        <v>150</v>
      </c>
      <c r="AP2547" s="0" t="s">
        <v>151</v>
      </c>
      <c r="AQ2547" s="0" t="n">
        <v>9</v>
      </c>
      <c r="AR2547" s="0" t="n">
        <v>64</v>
      </c>
      <c r="AS2547" s="0" t="n">
        <v>32</v>
      </c>
      <c r="AU2547" s="0" t="n">
        <f aca="false">COUNTA($BA$424:$EH$424)</f>
        <v>2</v>
      </c>
      <c r="AV2547" s="0" t="n">
        <f aca="false">COUNTIF($BA$424:$EH$424,"D")</f>
        <v>0</v>
      </c>
      <c r="AW2547" s="0" t="n">
        <f aca="false">COUNTIF($BA$424:$EH$424,"R")</f>
        <v>0</v>
      </c>
      <c r="AX2547" s="0" t="n">
        <f aca="false">IF(BN2547="D",1,0)+IF(BO2547="D",1,0)+IF(BT2547="D",1,0)+IF(BU2547="D",1,0)+IF(BW2547="D",1,0)+IF(CC2547="D",1,0)+IF(CD2547="D",1,0)+IF(CE2547="D",1,0)+IF(CF2547="D",1,0)+IF(CL2547="D",1,0)+IF(CM2547="D",1,0)+IF(CQ2547="D",1,0)+IF(CR2547="D",1,0)+IF(CS2547="D",1,0)+IF(CW2547="D",1,0)+IF(CX2547="D",1,0)+IF(DD2547="D",1,0)+IF(DE2547="D",1,0)+IF(DJ2547="D",1,0)+IF(DK2547="D",1,0)+IF(DO2547="D",1,0)+IF(DP2547="D",1,0)+IF(DQ2547="D",1,0)+IF(DW2547="D",1,0)+IF(DZ2547="D",1,0)+IF(EH2547="D",1,0)</f>
        <v>0</v>
      </c>
      <c r="AY2547" s="0" t="n">
        <f aca="false">COUNTIF(DU2547:EH2547, "&lt;&gt;")</f>
        <v>2</v>
      </c>
      <c r="AZ2547" s="0" t="n">
        <f aca="false">IF(EH2547&lt;&gt;"",1,0)</f>
        <v>0</v>
      </c>
      <c r="BB2547" s="0" t="s">
        <v>152</v>
      </c>
      <c r="BY2547" s="0" t="s">
        <v>175</v>
      </c>
      <c r="CA2547" s="0" t="s">
        <v>153</v>
      </c>
      <c r="DC2547" s="0" t="s">
        <v>153</v>
      </c>
      <c r="DF2547" s="0" t="s">
        <v>153</v>
      </c>
      <c r="DL2547" s="0" t="s">
        <v>153</v>
      </c>
      <c r="DN2547" s="0" t="s">
        <v>153</v>
      </c>
      <c r="EA2547" s="0" t="s">
        <v>153</v>
      </c>
      <c r="EF2547" s="0" t="s">
        <v>153</v>
      </c>
    </row>
    <row r="2548" customFormat="false" ht="13.8" hidden="true" customHeight="false" outlineLevel="0" collapsed="false">
      <c r="A2548" s="0" t="s">
        <v>10905</v>
      </c>
      <c r="B2548" s="0" t="n">
        <v>78</v>
      </c>
      <c r="C2548" s="0" t="n">
        <v>398087</v>
      </c>
      <c r="D2548" s="0" t="s">
        <v>5896</v>
      </c>
      <c r="E2548" s="0" t="s">
        <v>208</v>
      </c>
      <c r="F2548" s="0" t="str">
        <f aca="false">CONCATENATE(D2548," ",LEFT(H2548,4),"T=",AU2548,"D=",AV2548,"R=",AW2548,"M=",AX2548,"L=",AY2548,"B=",AZ2548)</f>
        <v>ALBERT T=2D=0R=0M=0L=1B=0</v>
      </c>
      <c r="G2548" s="0" t="s">
        <v>171</v>
      </c>
      <c r="I2548" s="0" t="s">
        <v>10906</v>
      </c>
      <c r="J2548" s="0" t="s">
        <v>9660</v>
      </c>
      <c r="K2548" s="0" t="s">
        <v>160</v>
      </c>
      <c r="M2548" s="0" t="s">
        <v>10902</v>
      </c>
      <c r="N2548" s="0" t="str">
        <f aca="false">RIGHT(M2548,LEN(M2548)-FIND(" ",M2548))</f>
        <v>WOODBINE AVE SE</v>
      </c>
      <c r="P2548" s="0" t="s">
        <v>145</v>
      </c>
      <c r="Q2548" s="0" t="s">
        <v>146</v>
      </c>
      <c r="R2548" s="0" t="n">
        <v>44484</v>
      </c>
      <c r="AD2548" s="0" t="s">
        <v>147</v>
      </c>
      <c r="AE2548" s="0" t="s">
        <v>148</v>
      </c>
      <c r="AF2548" s="0" t="s">
        <v>149</v>
      </c>
      <c r="AH2548" s="0" t="n">
        <v>14</v>
      </c>
      <c r="AI2548" s="0" t="n">
        <v>11</v>
      </c>
      <c r="AN2548" s="0" t="s">
        <v>145</v>
      </c>
      <c r="AO2548" s="0" t="s">
        <v>150</v>
      </c>
      <c r="AP2548" s="0" t="s">
        <v>151</v>
      </c>
      <c r="AQ2548" s="0" t="n">
        <v>9</v>
      </c>
      <c r="AR2548" s="0" t="n">
        <v>64</v>
      </c>
      <c r="AS2548" s="0" t="n">
        <v>32</v>
      </c>
      <c r="AU2548" s="0" t="n">
        <f aca="false">COUNTA($BA$425:$EH$425)</f>
        <v>2</v>
      </c>
      <c r="AV2548" s="0" t="n">
        <f aca="false">COUNTIF($BA$425:$EH$425,"D")</f>
        <v>0</v>
      </c>
      <c r="AW2548" s="0" t="n">
        <f aca="false">COUNTIF($BA$425:$EH$425,"R")</f>
        <v>0</v>
      </c>
      <c r="AX2548" s="0" t="n">
        <f aca="false">IF(BN2548="D",1,0)+IF(BO2548="D",1,0)+IF(BT2548="D",1,0)+IF(BU2548="D",1,0)+IF(BW2548="D",1,0)+IF(CC2548="D",1,0)+IF(CD2548="D",1,0)+IF(CE2548="D",1,0)+IF(CF2548="D",1,0)+IF(CL2548="D",1,0)+IF(CM2548="D",1,0)+IF(CQ2548="D",1,0)+IF(CR2548="D",1,0)+IF(CS2548="D",1,0)+IF(CW2548="D",1,0)+IF(CX2548="D",1,0)+IF(DD2548="D",1,0)+IF(DE2548="D",1,0)+IF(DJ2548="D",1,0)+IF(DK2548="D",1,0)+IF(DO2548="D",1,0)+IF(DP2548="D",1,0)+IF(DQ2548="D",1,0)+IF(DW2548="D",1,0)+IF(DZ2548="D",1,0)+IF(EH2548="D",1,0)</f>
        <v>0</v>
      </c>
      <c r="AY2548" s="0" t="n">
        <f aca="false">COUNTIF(DU2548:EH2548, "&lt;&gt;")</f>
        <v>1</v>
      </c>
      <c r="AZ2548" s="0" t="n">
        <f aca="false">IF(EH2548&lt;&gt;"",1,0)</f>
        <v>0</v>
      </c>
      <c r="BB2548" s="0" t="s">
        <v>152</v>
      </c>
      <c r="BD2548" s="0" t="s">
        <v>153</v>
      </c>
      <c r="BH2548" s="0" t="s">
        <v>153</v>
      </c>
      <c r="BJ2548" s="0" t="s">
        <v>153</v>
      </c>
      <c r="BL2548" s="0" t="s">
        <v>153</v>
      </c>
      <c r="CY2548" s="0" t="s">
        <v>153</v>
      </c>
      <c r="CZ2548" s="0" t="s">
        <v>175</v>
      </c>
      <c r="DC2548" s="0" t="s">
        <v>153</v>
      </c>
      <c r="DF2548" s="0" t="s">
        <v>153</v>
      </c>
      <c r="DL2548" s="0" t="s">
        <v>153</v>
      </c>
      <c r="DN2548" s="0" t="s">
        <v>153</v>
      </c>
      <c r="EF2548" s="0" t="s">
        <v>153</v>
      </c>
    </row>
    <row r="2549" customFormat="false" ht="13.8" hidden="true" customHeight="false" outlineLevel="0" collapsed="false">
      <c r="A2549" s="0" t="s">
        <v>10907</v>
      </c>
      <c r="B2549" s="0" t="n">
        <v>78</v>
      </c>
      <c r="C2549" s="0" t="n">
        <v>449294</v>
      </c>
      <c r="D2549" s="0" t="s">
        <v>1001</v>
      </c>
      <c r="E2549" s="0" t="s">
        <v>8333</v>
      </c>
      <c r="F2549" s="0" t="str">
        <f aca="false">CONCATENATE(D2549," ",LEFT(H2549,4),"T=",AU2549,"D=",AV2549,"R=",AW2549,"M=",AX2549,"L=",AY2549,"B=",AZ2549)</f>
        <v>DAVIS T=6D=1R=0M=0L=0B=0</v>
      </c>
      <c r="G2549" s="0" t="s">
        <v>10908</v>
      </c>
      <c r="I2549" s="0" t="s">
        <v>10909</v>
      </c>
      <c r="J2549" s="0" t="s">
        <v>2322</v>
      </c>
      <c r="K2549" s="0" t="s">
        <v>160</v>
      </c>
      <c r="M2549" s="0" t="s">
        <v>10902</v>
      </c>
      <c r="N2549" s="0" t="str">
        <f aca="false">RIGHT(M2549,LEN(M2549)-FIND(" ",M2549))</f>
        <v>WOODBINE AVE SE</v>
      </c>
      <c r="P2549" s="0" t="s">
        <v>145</v>
      </c>
      <c r="Q2549" s="0" t="s">
        <v>146</v>
      </c>
      <c r="R2549" s="0" t="n">
        <v>44484</v>
      </c>
      <c r="AD2549" s="0" t="s">
        <v>147</v>
      </c>
      <c r="AE2549" s="0" t="s">
        <v>148</v>
      </c>
      <c r="AF2549" s="0" t="s">
        <v>149</v>
      </c>
      <c r="AH2549" s="0" t="n">
        <v>14</v>
      </c>
      <c r="AI2549" s="0" t="n">
        <v>11</v>
      </c>
      <c r="AN2549" s="0" t="s">
        <v>145</v>
      </c>
      <c r="AO2549" s="0" t="s">
        <v>150</v>
      </c>
      <c r="AP2549" s="0" t="s">
        <v>151</v>
      </c>
      <c r="AQ2549" s="0" t="n">
        <v>9</v>
      </c>
      <c r="AR2549" s="0" t="n">
        <v>64</v>
      </c>
      <c r="AS2549" s="0" t="n">
        <v>32</v>
      </c>
      <c r="AU2549" s="0" t="n">
        <f aca="false">COUNTA($BA$644:$EH$644)</f>
        <v>6</v>
      </c>
      <c r="AV2549" s="0" t="n">
        <f aca="false">COUNTIF($BA$644:$EH$644,"D")</f>
        <v>1</v>
      </c>
      <c r="AW2549" s="0" t="n">
        <f aca="false">COUNTIF($BA$644:$EH$644,"R")</f>
        <v>0</v>
      </c>
      <c r="AX2549" s="0" t="n">
        <f aca="false">IF(BN2549="D",1,0)+IF(BO2549="D",1,0)+IF(BT2549="D",1,0)+IF(BU2549="D",1,0)+IF(BW2549="D",1,0)+IF(CC2549="D",1,0)+IF(CD2549="D",1,0)+IF(CE2549="D",1,0)+IF(CF2549="D",1,0)+IF(CL2549="D",1,0)+IF(CM2549="D",1,0)+IF(CQ2549="D",1,0)+IF(CR2549="D",1,0)+IF(CS2549="D",1,0)+IF(CW2549="D",1,0)+IF(CX2549="D",1,0)+IF(DD2549="D",1,0)+IF(DE2549="D",1,0)+IF(DJ2549="D",1,0)+IF(DK2549="D",1,0)+IF(DO2549="D",1,0)+IF(DP2549="D",1,0)+IF(DQ2549="D",1,0)+IF(DW2549="D",1,0)+IF(DZ2549="D",1,0)+IF(EH2549="D",1,0)</f>
        <v>0</v>
      </c>
      <c r="AY2549" s="0" t="n">
        <f aca="false">COUNTIF(DU2549:EH2549, "&lt;&gt;")</f>
        <v>0</v>
      </c>
      <c r="AZ2549" s="0" t="n">
        <f aca="false">IF(EH2549&lt;&gt;"",1,0)</f>
        <v>0</v>
      </c>
      <c r="BB2549" s="0" t="s">
        <v>152</v>
      </c>
      <c r="DN2549" s="0" t="s">
        <v>153</v>
      </c>
    </row>
    <row r="2550" customFormat="false" ht="13.8" hidden="true" customHeight="false" outlineLevel="0" collapsed="false">
      <c r="A2550" s="0" t="s">
        <v>10910</v>
      </c>
      <c r="B2550" s="0" t="n">
        <v>78</v>
      </c>
      <c r="C2550" s="0" t="n">
        <v>440758</v>
      </c>
      <c r="D2550" s="0" t="s">
        <v>2863</v>
      </c>
      <c r="E2550" s="0" t="s">
        <v>1229</v>
      </c>
      <c r="F2550" s="0" t="str">
        <f aca="false">CONCATENATE(D2550," ",LEFT(H2550,4),"T=",AU2550,"D=",AV2550,"R=",AW2550,"M=",AX2550,"L=",AY2550,"B=",AZ2550)</f>
        <v>OBRIEN T=1D=0R=0M=0L=0B=0</v>
      </c>
      <c r="G2550" s="0" t="s">
        <v>275</v>
      </c>
      <c r="I2550" s="0" t="s">
        <v>10911</v>
      </c>
      <c r="J2550" s="0" t="s">
        <v>10912</v>
      </c>
      <c r="K2550" s="0" t="s">
        <v>143</v>
      </c>
      <c r="M2550" s="0" t="s">
        <v>10902</v>
      </c>
      <c r="N2550" s="0" t="str">
        <f aca="false">RIGHT(M2550,LEN(M2550)-FIND(" ",M2550))</f>
        <v>WOODBINE AVE SE</v>
      </c>
      <c r="P2550" s="0" t="s">
        <v>145</v>
      </c>
      <c r="Q2550" s="0" t="s">
        <v>146</v>
      </c>
      <c r="R2550" s="0" t="n">
        <v>44484</v>
      </c>
      <c r="AD2550" s="0" t="s">
        <v>147</v>
      </c>
      <c r="AE2550" s="0" t="s">
        <v>148</v>
      </c>
      <c r="AF2550" s="0" t="s">
        <v>149</v>
      </c>
      <c r="AH2550" s="0" t="n">
        <v>14</v>
      </c>
      <c r="AI2550" s="0" t="n">
        <v>11</v>
      </c>
      <c r="AN2550" s="0" t="s">
        <v>145</v>
      </c>
      <c r="AO2550" s="0" t="s">
        <v>150</v>
      </c>
      <c r="AP2550" s="0" t="s">
        <v>151</v>
      </c>
      <c r="AQ2550" s="0" t="n">
        <v>9</v>
      </c>
      <c r="AR2550" s="0" t="n">
        <v>64</v>
      </c>
      <c r="AS2550" s="0" t="n">
        <v>32</v>
      </c>
      <c r="AU2550" s="0" t="n">
        <f aca="false">COUNTA($BA$792:$EH$792)</f>
        <v>1</v>
      </c>
      <c r="AV2550" s="0" t="n">
        <f aca="false">COUNTIF($BA$792:$EH$792,"D")</f>
        <v>0</v>
      </c>
      <c r="AW2550" s="0" t="n">
        <f aca="false">COUNTIF($BA$792:$EH$792,"R")</f>
        <v>0</v>
      </c>
      <c r="AX2550" s="0" t="n">
        <f aca="false">IF(BN2550="D",1,0)+IF(BO2550="D",1,0)+IF(BT2550="D",1,0)+IF(BU2550="D",1,0)+IF(BW2550="D",1,0)+IF(CC2550="D",1,0)+IF(CD2550="D",1,0)+IF(CE2550="D",1,0)+IF(CF2550="D",1,0)+IF(CL2550="D",1,0)+IF(CM2550="D",1,0)+IF(CQ2550="D",1,0)+IF(CR2550="D",1,0)+IF(CS2550="D",1,0)+IF(CW2550="D",1,0)+IF(CX2550="D",1,0)+IF(DD2550="D",1,0)+IF(DE2550="D",1,0)+IF(DJ2550="D",1,0)+IF(DK2550="D",1,0)+IF(DO2550="D",1,0)+IF(DP2550="D",1,0)+IF(DQ2550="D",1,0)+IF(DW2550="D",1,0)+IF(DZ2550="D",1,0)+IF(EH2550="D",1,0)</f>
        <v>0</v>
      </c>
      <c r="AY2550" s="0" t="n">
        <f aca="false">COUNTIF(DU2550:EH2550, "&lt;&gt;")</f>
        <v>0</v>
      </c>
      <c r="AZ2550" s="0" t="n">
        <f aca="false">IF(EH2550&lt;&gt;"",1,0)</f>
        <v>0</v>
      </c>
      <c r="BB2550" s="0" t="s">
        <v>152</v>
      </c>
    </row>
    <row r="2551" customFormat="false" ht="13.8" hidden="true" customHeight="false" outlineLevel="0" collapsed="false">
      <c r="A2551" s="0" t="s">
        <v>10913</v>
      </c>
      <c r="B2551" s="0" t="n">
        <v>78</v>
      </c>
      <c r="C2551" s="0" t="n">
        <v>455725</v>
      </c>
      <c r="D2551" s="0" t="s">
        <v>10914</v>
      </c>
      <c r="E2551" s="0" t="s">
        <v>4247</v>
      </c>
      <c r="F2551" s="0" t="str">
        <f aca="false">CONCATENATE(D2551," ",LEFT(H2551,4),"T=",AU2551,"D=",AV2551,"R=",AW2551,"M=",AX2551,"L=",AY2551,"B=",AZ2551)</f>
        <v>LUSK T=2D=0R=0M=0L=0B=0</v>
      </c>
      <c r="G2551" s="0" t="s">
        <v>6287</v>
      </c>
      <c r="I2551" s="0" t="s">
        <v>10915</v>
      </c>
      <c r="J2551" s="0" t="s">
        <v>2313</v>
      </c>
      <c r="K2551" s="0" t="s">
        <v>160</v>
      </c>
      <c r="M2551" s="0" t="s">
        <v>10902</v>
      </c>
      <c r="N2551" s="0" t="str">
        <f aca="false">RIGHT(M2551,LEN(M2551)-FIND(" ",M2551))</f>
        <v>WOODBINE AVE SE</v>
      </c>
      <c r="P2551" s="0" t="s">
        <v>145</v>
      </c>
      <c r="Q2551" s="0" t="s">
        <v>146</v>
      </c>
      <c r="R2551" s="0" t="n">
        <v>44484</v>
      </c>
      <c r="AD2551" s="0" t="s">
        <v>147</v>
      </c>
      <c r="AE2551" s="0" t="s">
        <v>148</v>
      </c>
      <c r="AF2551" s="0" t="s">
        <v>149</v>
      </c>
      <c r="AH2551" s="0" t="n">
        <v>14</v>
      </c>
      <c r="AI2551" s="0" t="n">
        <v>11</v>
      </c>
      <c r="AN2551" s="0" t="s">
        <v>145</v>
      </c>
      <c r="AO2551" s="0" t="s">
        <v>150</v>
      </c>
      <c r="AP2551" s="0" t="s">
        <v>151</v>
      </c>
      <c r="AQ2551" s="0" t="n">
        <v>9</v>
      </c>
      <c r="AR2551" s="0" t="n">
        <v>64</v>
      </c>
      <c r="AS2551" s="0" t="n">
        <v>32</v>
      </c>
      <c r="AU2551" s="0" t="n">
        <f aca="false">COUNTA($BA$860:$EH$860)</f>
        <v>2</v>
      </c>
      <c r="AV2551" s="0" t="n">
        <f aca="false">COUNTIF($BA$860:$EH$860,"D")</f>
        <v>0</v>
      </c>
      <c r="AW2551" s="0" t="n">
        <f aca="false">COUNTIF($BA$860:$EH$860,"R")</f>
        <v>0</v>
      </c>
      <c r="AX2551" s="0" t="n">
        <f aca="false">IF(BN2551="D",1,0)+IF(BO2551="D",1,0)+IF(BT2551="D",1,0)+IF(BU2551="D",1,0)+IF(BW2551="D",1,0)+IF(CC2551="D",1,0)+IF(CD2551="D",1,0)+IF(CE2551="D",1,0)+IF(CF2551="D",1,0)+IF(CL2551="D",1,0)+IF(CM2551="D",1,0)+IF(CQ2551="D",1,0)+IF(CR2551="D",1,0)+IF(CS2551="D",1,0)+IF(CW2551="D",1,0)+IF(CX2551="D",1,0)+IF(DD2551="D",1,0)+IF(DE2551="D",1,0)+IF(DJ2551="D",1,0)+IF(DK2551="D",1,0)+IF(DO2551="D",1,0)+IF(DP2551="D",1,0)+IF(DQ2551="D",1,0)+IF(DW2551="D",1,0)+IF(DZ2551="D",1,0)+IF(EH2551="D",1,0)</f>
        <v>0</v>
      </c>
      <c r="AY2551" s="0" t="n">
        <f aca="false">COUNTIF(DU2551:EH2551, "&lt;&gt;")</f>
        <v>0</v>
      </c>
      <c r="AZ2551" s="0" t="n">
        <f aca="false">IF(EH2551&lt;&gt;"",1,0)</f>
        <v>0</v>
      </c>
      <c r="BB2551" s="0" t="s">
        <v>152</v>
      </c>
    </row>
    <row r="2552" customFormat="false" ht="13.8" hidden="false" customHeight="false" outlineLevel="0" collapsed="false">
      <c r="A2552" s="0" t="s">
        <v>10916</v>
      </c>
      <c r="B2552" s="0" t="n">
        <v>78</v>
      </c>
      <c r="C2552" s="0" t="n">
        <v>120305</v>
      </c>
      <c r="D2552" s="0" t="s">
        <v>5896</v>
      </c>
      <c r="E2552" s="0" t="s">
        <v>367</v>
      </c>
      <c r="F2552" s="0" t="str">
        <f aca="false">CONCATENATE(D2552," ",LEFT(H2552,4),"T=",AU2552,"D=",AV2552,"R=",AW2552,"M=",AX2552,"L=",AY2552,"B=",AZ2552)</f>
        <v>ALBERT T=1D=0R=0M=0L=2B=0</v>
      </c>
      <c r="G2552" s="0" t="s">
        <v>2401</v>
      </c>
      <c r="I2552" s="0" t="s">
        <v>10917</v>
      </c>
      <c r="J2552" s="0" t="s">
        <v>9660</v>
      </c>
      <c r="K2552" s="0" t="s">
        <v>160</v>
      </c>
      <c r="M2552" s="0" t="s">
        <v>10902</v>
      </c>
      <c r="N2552" s="0" t="str">
        <f aca="false">RIGHT(M2552,LEN(M2552)-FIND(" ",M2552))</f>
        <v>WOODBINE AVE SE</v>
      </c>
      <c r="P2552" s="0" t="s">
        <v>145</v>
      </c>
      <c r="Q2552" s="0" t="s">
        <v>146</v>
      </c>
      <c r="R2552" s="0" t="n">
        <v>44484</v>
      </c>
      <c r="AD2552" s="0" t="s">
        <v>147</v>
      </c>
      <c r="AE2552" s="0" t="s">
        <v>148</v>
      </c>
      <c r="AF2552" s="0" t="s">
        <v>149</v>
      </c>
      <c r="AH2552" s="0" t="n">
        <v>14</v>
      </c>
      <c r="AI2552" s="0" t="n">
        <v>11</v>
      </c>
      <c r="AN2552" s="0" t="s">
        <v>145</v>
      </c>
      <c r="AO2552" s="0" t="s">
        <v>150</v>
      </c>
      <c r="AP2552" s="0" t="s">
        <v>151</v>
      </c>
      <c r="AQ2552" s="0" t="n">
        <v>9</v>
      </c>
      <c r="AR2552" s="0" t="n">
        <v>64</v>
      </c>
      <c r="AS2552" s="0" t="n">
        <v>32</v>
      </c>
      <c r="AU2552" s="0" t="n">
        <f aca="false">COUNTA($BA$880:$EH$880)</f>
        <v>1</v>
      </c>
      <c r="AV2552" s="0" t="n">
        <f aca="false">COUNTIF($BA$880:$EH$880,"D")</f>
        <v>0</v>
      </c>
      <c r="AW2552" s="0" t="n">
        <f aca="false">COUNTIF($BA$880:$EH$880,"R")</f>
        <v>0</v>
      </c>
      <c r="AX2552" s="0" t="n">
        <f aca="false">IF(BN2552="D",1,0)+IF(BO2552="D",1,0)+IF(BT2552="D",1,0)+IF(BU2552="D",1,0)+IF(BW2552="D",1,0)+IF(CC2552="D",1,0)+IF(CD2552="D",1,0)+IF(CE2552="D",1,0)+IF(CF2552="D",1,0)+IF(CL2552="D",1,0)+IF(CM2552="D",1,0)+IF(CQ2552="D",1,0)+IF(CR2552="D",1,0)+IF(CS2552="D",1,0)+IF(CW2552="D",1,0)+IF(CX2552="D",1,0)+IF(DD2552="D",1,0)+IF(DE2552="D",1,0)+IF(DJ2552="D",1,0)+IF(DK2552="D",1,0)+IF(DO2552="D",1,0)+IF(DP2552="D",1,0)+IF(DQ2552="D",1,0)+IF(DW2552="D",1,0)+IF(DZ2552="D",1,0)+IF(EH2552="D",1,0)</f>
        <v>0</v>
      </c>
      <c r="AY2552" s="0" t="n">
        <f aca="false">COUNTIF(DU2552:EH2552, "&lt;&gt;")</f>
        <v>2</v>
      </c>
      <c r="AZ2552" s="0" t="n">
        <f aca="false">IF(EH2552&lt;&gt;"",1,0)</f>
        <v>0</v>
      </c>
      <c r="BB2552" s="0" t="s">
        <v>152</v>
      </c>
      <c r="BC2552" s="0" t="s">
        <v>153</v>
      </c>
      <c r="BD2552" s="0" t="s">
        <v>153</v>
      </c>
      <c r="BF2552" s="0" t="s">
        <v>153</v>
      </c>
      <c r="BH2552" s="0" t="s">
        <v>153</v>
      </c>
      <c r="BJ2552" s="0" t="s">
        <v>153</v>
      </c>
      <c r="BL2552" s="0" t="s">
        <v>153</v>
      </c>
      <c r="BS2552" s="0" t="s">
        <v>153</v>
      </c>
      <c r="BY2552" s="0" t="s">
        <v>175</v>
      </c>
      <c r="CA2552" s="0" t="s">
        <v>153</v>
      </c>
      <c r="CP2552" s="0" t="s">
        <v>153</v>
      </c>
      <c r="CV2552" s="0" t="s">
        <v>153</v>
      </c>
      <c r="CY2552" s="0" t="s">
        <v>153</v>
      </c>
      <c r="CZ2552" s="0" t="s">
        <v>175</v>
      </c>
      <c r="DC2552" s="0" t="s">
        <v>153</v>
      </c>
      <c r="DF2552" s="0" t="s">
        <v>153</v>
      </c>
      <c r="DI2552" s="0" t="s">
        <v>153</v>
      </c>
      <c r="DL2552" s="0" t="s">
        <v>153</v>
      </c>
      <c r="DN2552" s="0" t="s">
        <v>153</v>
      </c>
      <c r="EA2552" s="0" t="s">
        <v>153</v>
      </c>
      <c r="EF2552" s="0" t="s">
        <v>153</v>
      </c>
    </row>
    <row r="2553" customFormat="false" ht="13.8" hidden="true" customHeight="false" outlineLevel="0" collapsed="false">
      <c r="A2553" s="0" t="s">
        <v>10918</v>
      </c>
      <c r="B2553" s="0" t="n">
        <v>78</v>
      </c>
      <c r="C2553" s="0" t="n">
        <v>483230</v>
      </c>
      <c r="D2553" s="0" t="s">
        <v>10919</v>
      </c>
      <c r="E2553" s="0" t="s">
        <v>350</v>
      </c>
      <c r="F2553" s="0" t="str">
        <f aca="false">CONCATENATE(D2553," ",LEFT(H2553,4),"T=",AU2553,"D=",AV2553,"R=",AW2553,"M=",AX2553,"L=",AY2553,"B=",AZ2553)</f>
        <v>FRAZESKOS T=1D=0R=0M=0L=1B=0</v>
      </c>
      <c r="G2553" s="0" t="s">
        <v>409</v>
      </c>
      <c r="I2553" s="0" t="s">
        <v>10920</v>
      </c>
      <c r="J2553" s="0" t="s">
        <v>10921</v>
      </c>
      <c r="K2553" s="0" t="s">
        <v>160</v>
      </c>
      <c r="M2553" s="0" t="s">
        <v>10922</v>
      </c>
      <c r="N2553" s="0" t="str">
        <f aca="false">RIGHT(M2553,LEN(M2553)-FIND(" ",M2553))</f>
        <v>WOODBINE AVE SE</v>
      </c>
      <c r="P2553" s="0" t="s">
        <v>145</v>
      </c>
      <c r="Q2553" s="0" t="s">
        <v>146</v>
      </c>
      <c r="R2553" s="0" t="n">
        <v>44484</v>
      </c>
      <c r="AD2553" s="0" t="s">
        <v>147</v>
      </c>
      <c r="AE2553" s="0" t="s">
        <v>148</v>
      </c>
      <c r="AF2553" s="0" t="s">
        <v>149</v>
      </c>
      <c r="AH2553" s="0" t="n">
        <v>14</v>
      </c>
      <c r="AI2553" s="0" t="n">
        <v>11</v>
      </c>
      <c r="AN2553" s="0" t="s">
        <v>145</v>
      </c>
      <c r="AO2553" s="0" t="s">
        <v>150</v>
      </c>
      <c r="AP2553" s="0" t="s">
        <v>151</v>
      </c>
      <c r="AQ2553" s="0" t="n">
        <v>9</v>
      </c>
      <c r="AR2553" s="0" t="n">
        <v>64</v>
      </c>
      <c r="AS2553" s="0" t="n">
        <v>32</v>
      </c>
      <c r="AU2553" s="0" t="n">
        <f aca="false">COUNTA($BA$345:$EH$345)</f>
        <v>1</v>
      </c>
      <c r="AV2553" s="0" t="n">
        <f aca="false">COUNTIF($BA$345:$EH$345,"D")</f>
        <v>0</v>
      </c>
      <c r="AW2553" s="0" t="n">
        <f aca="false">COUNTIF($BA$345:$EH$345,"R")</f>
        <v>0</v>
      </c>
      <c r="AX2553" s="0" t="n">
        <f aca="false">IF(BN2553="D",1,0)+IF(BO2553="D",1,0)+IF(BT2553="D",1,0)+IF(BU2553="D",1,0)+IF(BW2553="D",1,0)+IF(CC2553="D",1,0)+IF(CD2553="D",1,0)+IF(CE2553="D",1,0)+IF(CF2553="D",1,0)+IF(CL2553="D",1,0)+IF(CM2553="D",1,0)+IF(CQ2553="D",1,0)+IF(CR2553="D",1,0)+IF(CS2553="D",1,0)+IF(CW2553="D",1,0)+IF(CX2553="D",1,0)+IF(DD2553="D",1,0)+IF(DE2553="D",1,0)+IF(DJ2553="D",1,0)+IF(DK2553="D",1,0)+IF(DO2553="D",1,0)+IF(DP2553="D",1,0)+IF(DQ2553="D",1,0)+IF(DW2553="D",1,0)+IF(DZ2553="D",1,0)+IF(EH2553="D",1,0)</f>
        <v>0</v>
      </c>
      <c r="AY2553" s="0" t="n">
        <f aca="false">COUNTIF(DU2553:EH2553, "&lt;&gt;")</f>
        <v>1</v>
      </c>
      <c r="AZ2553" s="0" t="n">
        <f aca="false">IF(EH2553&lt;&gt;"",1,0)</f>
        <v>0</v>
      </c>
      <c r="BB2553" s="0" t="s">
        <v>152</v>
      </c>
      <c r="EF2553" s="0" t="s">
        <v>153</v>
      </c>
    </row>
    <row r="2554" customFormat="false" ht="13.8" hidden="false" customHeight="false" outlineLevel="0" collapsed="false">
      <c r="A2554" s="0" t="s">
        <v>10923</v>
      </c>
      <c r="B2554" s="0" t="n">
        <v>78</v>
      </c>
      <c r="C2554" s="0" t="n">
        <v>136344</v>
      </c>
      <c r="D2554" s="0" t="s">
        <v>10924</v>
      </c>
      <c r="E2554" s="0" t="s">
        <v>663</v>
      </c>
      <c r="F2554" s="0" t="str">
        <f aca="false">CONCATENATE(D2554," ",LEFT(H2554,4),"T=",AU2554,"D=",AV2554,"R=",AW2554,"M=",AX2554,"L=",AY2554,"B=",AZ2554)</f>
        <v>PLACANICA FRAZESKOS T=1D=0R=0M=2L=5B=0</v>
      </c>
      <c r="G2554" s="0" t="s">
        <v>195</v>
      </c>
      <c r="I2554" s="0" t="s">
        <v>10925</v>
      </c>
      <c r="J2554" s="0" t="s">
        <v>7148</v>
      </c>
      <c r="K2554" s="0" t="s">
        <v>160</v>
      </c>
      <c r="L2554" s="0" t="s">
        <v>175</v>
      </c>
      <c r="M2554" s="0" t="s">
        <v>10922</v>
      </c>
      <c r="N2554" s="0" t="str">
        <f aca="false">RIGHT(M2554,LEN(M2554)-FIND(" ",M2554))</f>
        <v>WOODBINE AVE SE</v>
      </c>
      <c r="P2554" s="0" t="s">
        <v>145</v>
      </c>
      <c r="Q2554" s="0" t="s">
        <v>146</v>
      </c>
      <c r="R2554" s="0" t="n">
        <v>44484</v>
      </c>
      <c r="AD2554" s="0" t="s">
        <v>147</v>
      </c>
      <c r="AE2554" s="0" t="s">
        <v>148</v>
      </c>
      <c r="AF2554" s="0" t="s">
        <v>149</v>
      </c>
      <c r="AH2554" s="0" t="n">
        <v>14</v>
      </c>
      <c r="AI2554" s="0" t="n">
        <v>11</v>
      </c>
      <c r="AN2554" s="0" t="s">
        <v>145</v>
      </c>
      <c r="AO2554" s="0" t="s">
        <v>150</v>
      </c>
      <c r="AP2554" s="0" t="s">
        <v>151</v>
      </c>
      <c r="AQ2554" s="0" t="n">
        <v>9</v>
      </c>
      <c r="AR2554" s="0" t="n">
        <v>64</v>
      </c>
      <c r="AS2554" s="0" t="n">
        <v>32</v>
      </c>
      <c r="AU2554" s="0" t="n">
        <f aca="false">COUNTA($BA$547:$EH$547)</f>
        <v>1</v>
      </c>
      <c r="AV2554" s="0" t="n">
        <f aca="false">COUNTIF($BA$547:$EH$547,"D")</f>
        <v>0</v>
      </c>
      <c r="AW2554" s="0" t="n">
        <f aca="false">COUNTIF($BA$547:$EH$547,"R")</f>
        <v>0</v>
      </c>
      <c r="AX2554" s="0" t="n">
        <f aca="false">IF(BN2554="D",1,0)+IF(BO2554="D",1,0)+IF(BT2554="D",1,0)+IF(BU2554="D",1,0)+IF(BW2554="D",1,0)+IF(CC2554="D",1,0)+IF(CD2554="D",1,0)+IF(CE2554="D",1,0)+IF(CF2554="D",1,0)+IF(CL2554="D",1,0)+IF(CM2554="D",1,0)+IF(CQ2554="D",1,0)+IF(CR2554="D",1,0)+IF(CS2554="D",1,0)+IF(CW2554="D",1,0)+IF(CX2554="D",1,0)+IF(DD2554="D",1,0)+IF(DE2554="D",1,0)+IF(DJ2554="D",1,0)+IF(DK2554="D",1,0)+IF(DO2554="D",1,0)+IF(DP2554="D",1,0)+IF(DQ2554="D",1,0)+IF(DW2554="D",1,0)+IF(DZ2554="D",1,0)+IF(EH2554="D",1,0)</f>
        <v>2</v>
      </c>
      <c r="AY2554" s="0" t="n">
        <f aca="false">COUNTIF(DU2554:EH2554, "&lt;&gt;")</f>
        <v>5</v>
      </c>
      <c r="AZ2554" s="0" t="n">
        <f aca="false">IF(EH2554&lt;&gt;"",1,0)</f>
        <v>0</v>
      </c>
      <c r="BB2554" s="0" t="s">
        <v>152</v>
      </c>
      <c r="BC2554" s="0" t="s">
        <v>153</v>
      </c>
      <c r="BD2554" s="0" t="s">
        <v>153</v>
      </c>
      <c r="BE2554" s="0" t="s">
        <v>153</v>
      </c>
      <c r="BF2554" s="0" t="s">
        <v>153</v>
      </c>
      <c r="BG2554" s="0" t="s">
        <v>153</v>
      </c>
      <c r="BI2554" s="0" t="s">
        <v>153</v>
      </c>
      <c r="BJ2554" s="0" t="s">
        <v>153</v>
      </c>
      <c r="BK2554" s="0" t="s">
        <v>153</v>
      </c>
      <c r="BL2554" s="0" t="s">
        <v>153</v>
      </c>
      <c r="BP2554" s="0" t="s">
        <v>153</v>
      </c>
      <c r="BR2554" s="0" t="s">
        <v>153</v>
      </c>
      <c r="BS2554" s="0" t="s">
        <v>153</v>
      </c>
      <c r="BV2554" s="0" t="s">
        <v>153</v>
      </c>
      <c r="BY2554" s="0" t="s">
        <v>175</v>
      </c>
      <c r="CA2554" s="0" t="s">
        <v>153</v>
      </c>
      <c r="CG2554" s="0" t="s">
        <v>153</v>
      </c>
      <c r="CH2554" s="0" t="s">
        <v>175</v>
      </c>
      <c r="CK2554" s="0" t="s">
        <v>153</v>
      </c>
      <c r="CN2554" s="0" t="s">
        <v>153</v>
      </c>
      <c r="CO2554" s="0" t="s">
        <v>175</v>
      </c>
      <c r="CP2554" s="0" t="s">
        <v>153</v>
      </c>
      <c r="CT2554" s="0" t="s">
        <v>153</v>
      </c>
      <c r="CU2554" s="0" t="s">
        <v>175</v>
      </c>
      <c r="CV2554" s="0" t="s">
        <v>153</v>
      </c>
      <c r="CW2554" s="0" t="s">
        <v>175</v>
      </c>
      <c r="CY2554" s="0" t="s">
        <v>153</v>
      </c>
      <c r="CZ2554" s="0" t="s">
        <v>175</v>
      </c>
      <c r="DC2554" s="0" t="s">
        <v>153</v>
      </c>
      <c r="DF2554" s="0" t="s">
        <v>153</v>
      </c>
      <c r="DG2554" s="0" t="s">
        <v>175</v>
      </c>
      <c r="DI2554" s="0" t="s">
        <v>153</v>
      </c>
      <c r="DL2554" s="0" t="s">
        <v>153</v>
      </c>
      <c r="DN2554" s="0" t="s">
        <v>153</v>
      </c>
      <c r="DR2554" s="0" t="s">
        <v>153</v>
      </c>
      <c r="DS2554" s="0" t="s">
        <v>175</v>
      </c>
      <c r="DU2554" s="0" t="s">
        <v>153</v>
      </c>
      <c r="DW2554" s="0" t="s">
        <v>175</v>
      </c>
      <c r="DX2554" s="0" t="s">
        <v>153</v>
      </c>
      <c r="EA2554" s="0" t="s">
        <v>153</v>
      </c>
      <c r="EF2554" s="0" t="s">
        <v>153</v>
      </c>
    </row>
    <row r="2555" customFormat="false" ht="13.8" hidden="false" customHeight="false" outlineLevel="0" collapsed="false">
      <c r="A2555" s="0" t="s">
        <v>10926</v>
      </c>
      <c r="B2555" s="0" t="n">
        <v>78</v>
      </c>
      <c r="C2555" s="0" t="n">
        <v>419876</v>
      </c>
      <c r="D2555" s="0" t="s">
        <v>10919</v>
      </c>
      <c r="E2555" s="0" t="s">
        <v>10927</v>
      </c>
      <c r="F2555" s="0" t="str">
        <f aca="false">CONCATENATE(D2555," ",LEFT(H2555,4),"T=",AU2555,"D=",AV2555,"R=",AW2555,"M=",AX2555,"L=",AY2555,"B=",AZ2555)</f>
        <v>FRAZESKOS T=6D=0R=0M=0L=3B=0</v>
      </c>
      <c r="G2555" s="0" t="s">
        <v>202</v>
      </c>
      <c r="I2555" s="0" t="s">
        <v>10928</v>
      </c>
      <c r="J2555" s="0" t="s">
        <v>10929</v>
      </c>
      <c r="K2555" s="0" t="s">
        <v>160</v>
      </c>
      <c r="M2555" s="0" t="s">
        <v>10922</v>
      </c>
      <c r="N2555" s="0" t="str">
        <f aca="false">RIGHT(M2555,LEN(M2555)-FIND(" ",M2555))</f>
        <v>WOODBINE AVE SE</v>
      </c>
      <c r="P2555" s="0" t="s">
        <v>145</v>
      </c>
      <c r="Q2555" s="0" t="s">
        <v>146</v>
      </c>
      <c r="R2555" s="0" t="n">
        <v>44484</v>
      </c>
      <c r="AD2555" s="0" t="s">
        <v>147</v>
      </c>
      <c r="AE2555" s="0" t="s">
        <v>148</v>
      </c>
      <c r="AF2555" s="0" t="s">
        <v>149</v>
      </c>
      <c r="AH2555" s="0" t="n">
        <v>14</v>
      </c>
      <c r="AI2555" s="0" t="n">
        <v>11</v>
      </c>
      <c r="AN2555" s="0" t="s">
        <v>145</v>
      </c>
      <c r="AO2555" s="0" t="s">
        <v>150</v>
      </c>
      <c r="AP2555" s="0" t="s">
        <v>151</v>
      </c>
      <c r="AQ2555" s="0" t="n">
        <v>9</v>
      </c>
      <c r="AR2555" s="0" t="n">
        <v>64</v>
      </c>
      <c r="AS2555" s="0" t="n">
        <v>32</v>
      </c>
      <c r="AU2555" s="0" t="n">
        <f aca="false">COUNTA($BA$591:$EH$591)</f>
        <v>6</v>
      </c>
      <c r="AV2555" s="0" t="n">
        <f aca="false">COUNTIF($BA$591:$EH$591,"D")</f>
        <v>0</v>
      </c>
      <c r="AW2555" s="0" t="n">
        <f aca="false">COUNTIF($BA$591:$EH$591,"R")</f>
        <v>0</v>
      </c>
      <c r="AX2555" s="0" t="n">
        <f aca="false">IF(BN2555="D",1,0)+IF(BO2555="D",1,0)+IF(BT2555="D",1,0)+IF(BU2555="D",1,0)+IF(BW2555="D",1,0)+IF(CC2555="D",1,0)+IF(CD2555="D",1,0)+IF(CE2555="D",1,0)+IF(CF2555="D",1,0)+IF(CL2555="D",1,0)+IF(CM2555="D",1,0)+IF(CQ2555="D",1,0)+IF(CR2555="D",1,0)+IF(CS2555="D",1,0)+IF(CW2555="D",1,0)+IF(CX2555="D",1,0)+IF(DD2555="D",1,0)+IF(DE2555="D",1,0)+IF(DJ2555="D",1,0)+IF(DK2555="D",1,0)+IF(DO2555="D",1,0)+IF(DP2555="D",1,0)+IF(DQ2555="D",1,0)+IF(DW2555="D",1,0)+IF(DZ2555="D",1,0)+IF(EH2555="D",1,0)</f>
        <v>0</v>
      </c>
      <c r="AY2555" s="0" t="n">
        <f aca="false">COUNTIF(DU2555:EH2555, "&lt;&gt;")</f>
        <v>3</v>
      </c>
      <c r="AZ2555" s="0" t="n">
        <f aca="false">IF(EH2555&lt;&gt;"",1,0)</f>
        <v>0</v>
      </c>
      <c r="BB2555" s="0" t="s">
        <v>152</v>
      </c>
      <c r="DC2555" s="0" t="s">
        <v>153</v>
      </c>
      <c r="DI2555" s="0" t="s">
        <v>153</v>
      </c>
      <c r="DN2555" s="0" t="s">
        <v>153</v>
      </c>
      <c r="DU2555" s="0" t="s">
        <v>153</v>
      </c>
      <c r="EA2555" s="0" t="s">
        <v>153</v>
      </c>
      <c r="EF2555" s="0" t="s">
        <v>153</v>
      </c>
    </row>
    <row r="2556" customFormat="false" ht="13.8" hidden="false" customHeight="false" outlineLevel="0" collapsed="false">
      <c r="A2556" s="0" t="s">
        <v>10930</v>
      </c>
      <c r="B2556" s="0" t="n">
        <v>78</v>
      </c>
      <c r="C2556" s="0" t="n">
        <v>475084</v>
      </c>
      <c r="D2556" s="0" t="s">
        <v>10919</v>
      </c>
      <c r="E2556" s="0" t="s">
        <v>10931</v>
      </c>
      <c r="F2556" s="0" t="str">
        <f aca="false">CONCATENATE(D2556," ",LEFT(H2556,4),"T=",AU2556,"D=",AV2556,"R=",AW2556,"M=",AX2556,"L=",AY2556,"B=",AZ2556)</f>
        <v>FRAZESKOS T=1D=0R=0M=0L=4B=0</v>
      </c>
      <c r="G2556" s="0" t="s">
        <v>202</v>
      </c>
      <c r="I2556" s="0" t="s">
        <v>10932</v>
      </c>
      <c r="J2556" s="0" t="s">
        <v>9490</v>
      </c>
      <c r="K2556" s="0" t="s">
        <v>160</v>
      </c>
      <c r="M2556" s="0" t="s">
        <v>10922</v>
      </c>
      <c r="N2556" s="0" t="str">
        <f aca="false">RIGHT(M2556,LEN(M2556)-FIND(" ",M2556))</f>
        <v>WOODBINE AVE SE</v>
      </c>
      <c r="P2556" s="0" t="s">
        <v>145</v>
      </c>
      <c r="Q2556" s="0" t="s">
        <v>146</v>
      </c>
      <c r="R2556" s="0" t="n">
        <v>44484</v>
      </c>
      <c r="AD2556" s="0" t="s">
        <v>147</v>
      </c>
      <c r="AE2556" s="0" t="s">
        <v>148</v>
      </c>
      <c r="AF2556" s="0" t="s">
        <v>149</v>
      </c>
      <c r="AH2556" s="0" t="n">
        <v>14</v>
      </c>
      <c r="AI2556" s="0" t="n">
        <v>11</v>
      </c>
      <c r="AN2556" s="0" t="s">
        <v>145</v>
      </c>
      <c r="AO2556" s="0" t="s">
        <v>150</v>
      </c>
      <c r="AP2556" s="0" t="s">
        <v>151</v>
      </c>
      <c r="AQ2556" s="0" t="n">
        <v>9</v>
      </c>
      <c r="AR2556" s="0" t="n">
        <v>64</v>
      </c>
      <c r="AS2556" s="0" t="n">
        <v>32</v>
      </c>
      <c r="AU2556" s="0" t="n">
        <f aca="false">COUNTA($BA$786:$EH$786)</f>
        <v>1</v>
      </c>
      <c r="AV2556" s="0" t="n">
        <f aca="false">COUNTIF($BA$786:$EH$786,"D")</f>
        <v>0</v>
      </c>
      <c r="AW2556" s="0" t="n">
        <f aca="false">COUNTIF($BA$786:$EH$786,"R")</f>
        <v>0</v>
      </c>
      <c r="AX2556" s="0" t="n">
        <f aca="false">IF(BN2556="D",1,0)+IF(BO2556="D",1,0)+IF(BT2556="D",1,0)+IF(BU2556="D",1,0)+IF(BW2556="D",1,0)+IF(CC2556="D",1,0)+IF(CD2556="D",1,0)+IF(CE2556="D",1,0)+IF(CF2556="D",1,0)+IF(CL2556="D",1,0)+IF(CM2556="D",1,0)+IF(CQ2556="D",1,0)+IF(CR2556="D",1,0)+IF(CS2556="D",1,0)+IF(CW2556="D",1,0)+IF(CX2556="D",1,0)+IF(DD2556="D",1,0)+IF(DE2556="D",1,0)+IF(DJ2556="D",1,0)+IF(DK2556="D",1,0)+IF(DO2556="D",1,0)+IF(DP2556="D",1,0)+IF(DQ2556="D",1,0)+IF(DW2556="D",1,0)+IF(DZ2556="D",1,0)+IF(EH2556="D",1,0)</f>
        <v>0</v>
      </c>
      <c r="AY2556" s="0" t="n">
        <f aca="false">COUNTIF(DU2556:EH2556, "&lt;&gt;")</f>
        <v>4</v>
      </c>
      <c r="AZ2556" s="0" t="n">
        <f aca="false">IF(EH2556&lt;&gt;"",1,0)</f>
        <v>0</v>
      </c>
      <c r="BB2556" s="0" t="s">
        <v>152</v>
      </c>
      <c r="DN2556" s="0" t="s">
        <v>153</v>
      </c>
      <c r="DU2556" s="0" t="s">
        <v>153</v>
      </c>
      <c r="DX2556" s="0" t="s">
        <v>153</v>
      </c>
      <c r="EA2556" s="0" t="s">
        <v>153</v>
      </c>
      <c r="EF2556" s="0" t="s">
        <v>153</v>
      </c>
    </row>
    <row r="2557" customFormat="false" ht="13.8" hidden="false" customHeight="false" outlineLevel="0" collapsed="false">
      <c r="A2557" s="0" t="s">
        <v>10933</v>
      </c>
      <c r="B2557" s="0" t="n">
        <v>78</v>
      </c>
      <c r="C2557" s="0" t="n">
        <v>225622</v>
      </c>
      <c r="D2557" s="0" t="s">
        <v>10934</v>
      </c>
      <c r="E2557" s="0" t="s">
        <v>1031</v>
      </c>
      <c r="F2557" s="0" t="str">
        <f aca="false">CONCATENATE(D2557," ",LEFT(H2557,4),"T=",AU2557,"D=",AV2557,"R=",AW2557,"M=",AX2557,"L=",AY2557,"B=",AZ2557)</f>
        <v>PLACANICA T=10D=3R=0M=3L=5B=1</v>
      </c>
      <c r="G2557" s="0" t="s">
        <v>164</v>
      </c>
      <c r="I2557" s="0" t="s">
        <v>7245</v>
      </c>
      <c r="J2557" s="0" t="s">
        <v>6091</v>
      </c>
      <c r="K2557" s="0" t="s">
        <v>160</v>
      </c>
      <c r="L2557" s="0" t="s">
        <v>175</v>
      </c>
      <c r="M2557" s="0" t="s">
        <v>10935</v>
      </c>
      <c r="N2557" s="0" t="str">
        <f aca="false">RIGHT(M2557,LEN(M2557)-FIND(" ",M2557))</f>
        <v>WOODBINE AVE SE</v>
      </c>
      <c r="P2557" s="0" t="s">
        <v>145</v>
      </c>
      <c r="Q2557" s="0" t="s">
        <v>146</v>
      </c>
      <c r="R2557" s="0" t="n">
        <v>44484</v>
      </c>
      <c r="AD2557" s="0" t="s">
        <v>147</v>
      </c>
      <c r="AE2557" s="0" t="s">
        <v>148</v>
      </c>
      <c r="AF2557" s="0" t="s">
        <v>149</v>
      </c>
      <c r="AH2557" s="0" t="n">
        <v>14</v>
      </c>
      <c r="AI2557" s="0" t="n">
        <v>11</v>
      </c>
      <c r="AN2557" s="0" t="s">
        <v>145</v>
      </c>
      <c r="AO2557" s="0" t="s">
        <v>150</v>
      </c>
      <c r="AP2557" s="0" t="s">
        <v>151</v>
      </c>
      <c r="AQ2557" s="0" t="n">
        <v>9</v>
      </c>
      <c r="AR2557" s="0" t="n">
        <v>64</v>
      </c>
      <c r="AS2557" s="0" t="n">
        <v>32</v>
      </c>
      <c r="AU2557" s="0" t="n">
        <f aca="false">COUNTA($BA$38:$EH$38)</f>
        <v>10</v>
      </c>
      <c r="AV2557" s="0" t="n">
        <f aca="false">COUNTIF($BA$38:$EH$38,"D")</f>
        <v>3</v>
      </c>
      <c r="AW2557" s="0" t="n">
        <f aca="false">COUNTIF($BA$38:$EH$38,"R")</f>
        <v>0</v>
      </c>
      <c r="AX2557" s="0" t="n">
        <f aca="false">IF(BN2557="D",1,0)+IF(BO2557="D",1,0)+IF(BT2557="D",1,0)+IF(BU2557="D",1,0)+IF(BW2557="D",1,0)+IF(CC2557="D",1,0)+IF(CD2557="D",1,0)+IF(CE2557="D",1,0)+IF(CF2557="D",1,0)+IF(CL2557="D",1,0)+IF(CM2557="D",1,0)+IF(CQ2557="D",1,0)+IF(CR2557="D",1,0)+IF(CS2557="D",1,0)+IF(CW2557="D",1,0)+IF(CX2557="D",1,0)+IF(DD2557="D",1,0)+IF(DE2557="D",1,0)+IF(DJ2557="D",1,0)+IF(DK2557="D",1,0)+IF(DO2557="D",1,0)+IF(DP2557="D",1,0)+IF(DQ2557="D",1,0)+IF(DW2557="D",1,0)+IF(DZ2557="D",1,0)+IF(EH2557="D",1,0)</f>
        <v>3</v>
      </c>
      <c r="AY2557" s="0" t="n">
        <f aca="false">COUNTIF(DU2557:EH2557, "&lt;&gt;")</f>
        <v>5</v>
      </c>
      <c r="AZ2557" s="0" t="n">
        <f aca="false">IF(EH2557&lt;&gt;"",1,0)</f>
        <v>1</v>
      </c>
      <c r="BB2557" s="0" t="s">
        <v>152</v>
      </c>
      <c r="BK2557" s="0" t="s">
        <v>153</v>
      </c>
      <c r="CA2557" s="0" t="s">
        <v>153</v>
      </c>
      <c r="CV2557" s="0" t="s">
        <v>153</v>
      </c>
      <c r="CW2557" s="0" t="s">
        <v>175</v>
      </c>
      <c r="CY2557" s="0" t="s">
        <v>153</v>
      </c>
      <c r="CZ2557" s="0" t="s">
        <v>175</v>
      </c>
      <c r="DC2557" s="0" t="s">
        <v>153</v>
      </c>
      <c r="DF2557" s="0" t="s">
        <v>153</v>
      </c>
      <c r="DI2557" s="0" t="s">
        <v>153</v>
      </c>
      <c r="DL2557" s="0" t="s">
        <v>153</v>
      </c>
      <c r="DN2557" s="0" t="s">
        <v>153</v>
      </c>
      <c r="DU2557" s="0" t="s">
        <v>153</v>
      </c>
      <c r="DW2557" s="0" t="s">
        <v>175</v>
      </c>
      <c r="DX2557" s="0" t="s">
        <v>153</v>
      </c>
      <c r="EF2557" s="0" t="s">
        <v>153</v>
      </c>
      <c r="EH2557" s="0" t="s">
        <v>175</v>
      </c>
    </row>
    <row r="2558" customFormat="false" ht="13.8" hidden="false" customHeight="false" outlineLevel="0" collapsed="false">
      <c r="A2558" s="0" t="s">
        <v>10936</v>
      </c>
      <c r="B2558" s="0" t="n">
        <v>78</v>
      </c>
      <c r="C2558" s="0" t="n">
        <v>465529</v>
      </c>
      <c r="D2558" s="0" t="s">
        <v>4398</v>
      </c>
      <c r="E2558" s="0" t="s">
        <v>10937</v>
      </c>
      <c r="F2558" s="0" t="str">
        <f aca="false">CONCATENATE(D2558," ",LEFT(H2558,4),"T=",AU2558,"D=",AV2558,"R=",AW2558,"M=",AX2558,"L=",AY2558,"B=",AZ2558)</f>
        <v>MCELRATH T=6D=0R=0M=0L=4B=0</v>
      </c>
      <c r="G2558" s="0" t="s">
        <v>10938</v>
      </c>
      <c r="I2558" s="0" t="s">
        <v>3090</v>
      </c>
      <c r="J2558" s="0" t="s">
        <v>10939</v>
      </c>
      <c r="K2558" s="0" t="s">
        <v>160</v>
      </c>
      <c r="M2558" s="0" t="s">
        <v>10935</v>
      </c>
      <c r="N2558" s="0" t="str">
        <f aca="false">RIGHT(M2558,LEN(M2558)-FIND(" ",M2558))</f>
        <v>WOODBINE AVE SE</v>
      </c>
      <c r="P2558" s="0" t="s">
        <v>145</v>
      </c>
      <c r="Q2558" s="0" t="s">
        <v>146</v>
      </c>
      <c r="R2558" s="0" t="n">
        <v>44484</v>
      </c>
      <c r="AD2558" s="0" t="s">
        <v>147</v>
      </c>
      <c r="AE2558" s="0" t="s">
        <v>148</v>
      </c>
      <c r="AF2558" s="0" t="s">
        <v>149</v>
      </c>
      <c r="AH2558" s="0" t="n">
        <v>14</v>
      </c>
      <c r="AI2558" s="0" t="n">
        <v>11</v>
      </c>
      <c r="AN2558" s="0" t="s">
        <v>145</v>
      </c>
      <c r="AO2558" s="0" t="s">
        <v>150</v>
      </c>
      <c r="AP2558" s="0" t="s">
        <v>151</v>
      </c>
      <c r="AQ2558" s="0" t="n">
        <v>9</v>
      </c>
      <c r="AR2558" s="0" t="n">
        <v>64</v>
      </c>
      <c r="AS2558" s="0" t="n">
        <v>32</v>
      </c>
      <c r="AU2558" s="0" t="n">
        <f aca="false">COUNTA($BA$1056:$EH$1056)</f>
        <v>6</v>
      </c>
      <c r="AV2558" s="0" t="n">
        <f aca="false">COUNTIF($BA$1056:$EH$1056,"D")</f>
        <v>0</v>
      </c>
      <c r="AW2558" s="0" t="n">
        <f aca="false">COUNTIF($BA$1056:$EH$1056,"R")</f>
        <v>0</v>
      </c>
      <c r="AX2558" s="0" t="n">
        <f aca="false">IF(BN2558="D",1,0)+IF(BO2558="D",1,0)+IF(BT2558="D",1,0)+IF(BU2558="D",1,0)+IF(BW2558="D",1,0)+IF(CC2558="D",1,0)+IF(CD2558="D",1,0)+IF(CE2558="D",1,0)+IF(CF2558="D",1,0)+IF(CL2558="D",1,0)+IF(CM2558="D",1,0)+IF(CQ2558="D",1,0)+IF(CR2558="D",1,0)+IF(CS2558="D",1,0)+IF(CW2558="D",1,0)+IF(CX2558="D",1,0)+IF(DD2558="D",1,0)+IF(DE2558="D",1,0)+IF(DJ2558="D",1,0)+IF(DK2558="D",1,0)+IF(DO2558="D",1,0)+IF(DP2558="D",1,0)+IF(DQ2558="D",1,0)+IF(DW2558="D",1,0)+IF(DZ2558="D",1,0)+IF(EH2558="D",1,0)</f>
        <v>0</v>
      </c>
      <c r="AY2558" s="0" t="n">
        <f aca="false">COUNTIF(DU2558:EH2558, "&lt;&gt;")</f>
        <v>4</v>
      </c>
      <c r="AZ2558" s="0" t="n">
        <f aca="false">IF(EH2558&lt;&gt;"",1,0)</f>
        <v>0</v>
      </c>
      <c r="BB2558" s="0" t="s">
        <v>152</v>
      </c>
      <c r="DU2558" s="0" t="s">
        <v>153</v>
      </c>
      <c r="DX2558" s="0" t="s">
        <v>153</v>
      </c>
      <c r="EA2558" s="0" t="s">
        <v>153</v>
      </c>
      <c r="EF2558" s="0" t="s">
        <v>153</v>
      </c>
    </row>
    <row r="2559" customFormat="false" ht="13.8" hidden="false" customHeight="false" outlineLevel="0" collapsed="false">
      <c r="A2559" s="0" t="s">
        <v>10940</v>
      </c>
      <c r="B2559" s="0" t="n">
        <v>78</v>
      </c>
      <c r="C2559" s="0" t="n">
        <v>157959</v>
      </c>
      <c r="D2559" s="0" t="s">
        <v>849</v>
      </c>
      <c r="E2559" s="0" t="s">
        <v>10941</v>
      </c>
      <c r="F2559" s="0" t="str">
        <f aca="false">CONCATENATE(D2559," ",LEFT(H2559,4),"T=",AU2559,"D=",AV2559,"R=",AW2559,"M=",AX2559,"L=",AY2559,"B=",AZ2559)</f>
        <v>DENNIS T=9D=1R=0M=2L=5B=0</v>
      </c>
      <c r="G2559" s="0" t="s">
        <v>209</v>
      </c>
      <c r="I2559" s="0" t="s">
        <v>10942</v>
      </c>
      <c r="J2559" s="0" t="s">
        <v>2144</v>
      </c>
      <c r="K2559" s="0" t="s">
        <v>160</v>
      </c>
      <c r="L2559" s="0" t="s">
        <v>175</v>
      </c>
      <c r="M2559" s="0" t="s">
        <v>10943</v>
      </c>
      <c r="N2559" s="0" t="str">
        <f aca="false">RIGHT(M2559,LEN(M2559)-FIND(" ",M2559))</f>
        <v>WOODBINE AVE SE</v>
      </c>
      <c r="P2559" s="0" t="s">
        <v>145</v>
      </c>
      <c r="Q2559" s="0" t="s">
        <v>146</v>
      </c>
      <c r="R2559" s="0" t="n">
        <v>44484</v>
      </c>
      <c r="AD2559" s="0" t="s">
        <v>147</v>
      </c>
      <c r="AE2559" s="0" t="s">
        <v>148</v>
      </c>
      <c r="AF2559" s="0" t="s">
        <v>149</v>
      </c>
      <c r="AH2559" s="0" t="n">
        <v>14</v>
      </c>
      <c r="AI2559" s="0" t="n">
        <v>11</v>
      </c>
      <c r="AN2559" s="0" t="s">
        <v>145</v>
      </c>
      <c r="AO2559" s="0" t="s">
        <v>150</v>
      </c>
      <c r="AP2559" s="0" t="s">
        <v>151</v>
      </c>
      <c r="AQ2559" s="0" t="n">
        <v>9</v>
      </c>
      <c r="AR2559" s="0" t="n">
        <v>64</v>
      </c>
      <c r="AS2559" s="0" t="n">
        <v>32</v>
      </c>
      <c r="AU2559" s="0" t="n">
        <f aca="false">COUNTA($BA$254:$EH$254)</f>
        <v>9</v>
      </c>
      <c r="AV2559" s="0" t="n">
        <f aca="false">COUNTIF($BA$254:$EH$254,"D")</f>
        <v>1</v>
      </c>
      <c r="AW2559" s="0" t="n">
        <f aca="false">COUNTIF($BA$254:$EH$254,"R")</f>
        <v>0</v>
      </c>
      <c r="AX2559" s="0" t="n">
        <f aca="false">IF(BN2559="D",1,0)+IF(BO2559="D",1,0)+IF(BT2559="D",1,0)+IF(BU2559="D",1,0)+IF(BW2559="D",1,0)+IF(CC2559="D",1,0)+IF(CD2559="D",1,0)+IF(CE2559="D",1,0)+IF(CF2559="D",1,0)+IF(CL2559="D",1,0)+IF(CM2559="D",1,0)+IF(CQ2559="D",1,0)+IF(CR2559="D",1,0)+IF(CS2559="D",1,0)+IF(CW2559="D",1,0)+IF(CX2559="D",1,0)+IF(DD2559="D",1,0)+IF(DE2559="D",1,0)+IF(DJ2559="D",1,0)+IF(DK2559="D",1,0)+IF(DO2559="D",1,0)+IF(DP2559="D",1,0)+IF(DQ2559="D",1,0)+IF(DW2559="D",1,0)+IF(DZ2559="D",1,0)+IF(EH2559="D",1,0)</f>
        <v>2</v>
      </c>
      <c r="AY2559" s="0" t="n">
        <f aca="false">COUNTIF(DU2559:EH2559, "&lt;&gt;")</f>
        <v>5</v>
      </c>
      <c r="AZ2559" s="0" t="n">
        <f aca="false">IF(EH2559&lt;&gt;"",1,0)</f>
        <v>0</v>
      </c>
      <c r="BB2559" s="0" t="s">
        <v>152</v>
      </c>
      <c r="BC2559" s="0" t="s">
        <v>153</v>
      </c>
      <c r="BD2559" s="0" t="s">
        <v>153</v>
      </c>
      <c r="BF2559" s="0" t="s">
        <v>153</v>
      </c>
      <c r="BH2559" s="0" t="s">
        <v>153</v>
      </c>
      <c r="BJ2559" s="0" t="s">
        <v>153</v>
      </c>
      <c r="BK2559" s="0" t="s">
        <v>153</v>
      </c>
      <c r="BL2559" s="0" t="s">
        <v>153</v>
      </c>
      <c r="BP2559" s="0" t="s">
        <v>153</v>
      </c>
      <c r="BS2559" s="0" t="s">
        <v>153</v>
      </c>
      <c r="CA2559" s="0" t="s">
        <v>153</v>
      </c>
      <c r="CG2559" s="0" t="s">
        <v>153</v>
      </c>
      <c r="CK2559" s="0" t="s">
        <v>153</v>
      </c>
      <c r="CN2559" s="0" t="s">
        <v>153</v>
      </c>
      <c r="CP2559" s="0" t="s">
        <v>153</v>
      </c>
      <c r="CT2559" s="0" t="s">
        <v>153</v>
      </c>
      <c r="CU2559" s="0" t="s">
        <v>175</v>
      </c>
      <c r="CY2559" s="0" t="s">
        <v>153</v>
      </c>
      <c r="CZ2559" s="0" t="s">
        <v>209</v>
      </c>
      <c r="DC2559" s="0" t="s">
        <v>153</v>
      </c>
      <c r="DI2559" s="0" t="s">
        <v>153</v>
      </c>
      <c r="DJ2559" s="0" t="s">
        <v>175</v>
      </c>
      <c r="DL2559" s="0" t="s">
        <v>153</v>
      </c>
      <c r="DM2559" s="0" t="s">
        <v>175</v>
      </c>
      <c r="DN2559" s="0" t="s">
        <v>153</v>
      </c>
      <c r="DS2559" s="0" t="s">
        <v>175</v>
      </c>
      <c r="DU2559" s="0" t="s">
        <v>153</v>
      </c>
      <c r="DW2559" s="0" t="s">
        <v>175</v>
      </c>
      <c r="EA2559" s="0" t="s">
        <v>153</v>
      </c>
      <c r="ED2559" s="0" t="s">
        <v>175</v>
      </c>
      <c r="EF2559" s="0" t="s">
        <v>153</v>
      </c>
    </row>
    <row r="2560" customFormat="false" ht="13.8" hidden="true" customHeight="false" outlineLevel="0" collapsed="false">
      <c r="A2560" s="0" t="s">
        <v>10944</v>
      </c>
      <c r="B2560" s="0" t="n">
        <v>78</v>
      </c>
      <c r="C2560" s="0" t="n">
        <v>430671</v>
      </c>
      <c r="D2560" s="0" t="s">
        <v>718</v>
      </c>
      <c r="E2560" s="0" t="s">
        <v>10945</v>
      </c>
      <c r="F2560" s="0" t="str">
        <f aca="false">CONCATENATE(D2560," ",LEFT(H2560,4),"T=",AU2560,"D=",AV2560,"R=",AW2560,"M=",AX2560,"L=",AY2560,"B=",AZ2560)</f>
        <v>WHITE T=3D=1R=0M=0L=0B=0</v>
      </c>
      <c r="G2560" s="0" t="s">
        <v>164</v>
      </c>
      <c r="I2560" s="0" t="s">
        <v>10946</v>
      </c>
      <c r="J2560" s="0" t="s">
        <v>10947</v>
      </c>
      <c r="K2560" s="0" t="s">
        <v>160</v>
      </c>
      <c r="M2560" s="0" t="s">
        <v>10948</v>
      </c>
      <c r="N2560" s="0" t="str">
        <f aca="false">RIGHT(M2560,LEN(M2560)-FIND(" ",M2560))</f>
        <v>WOODBINE AVE SE</v>
      </c>
      <c r="P2560" s="0" t="s">
        <v>145</v>
      </c>
      <c r="Q2560" s="0" t="s">
        <v>146</v>
      </c>
      <c r="R2560" s="0" t="n">
        <v>44484</v>
      </c>
      <c r="AD2560" s="0" t="s">
        <v>147</v>
      </c>
      <c r="AE2560" s="0" t="s">
        <v>148</v>
      </c>
      <c r="AF2560" s="0" t="s">
        <v>149</v>
      </c>
      <c r="AH2560" s="0" t="n">
        <v>14</v>
      </c>
      <c r="AI2560" s="0" t="n">
        <v>11</v>
      </c>
      <c r="AN2560" s="0" t="s">
        <v>145</v>
      </c>
      <c r="AO2560" s="0" t="s">
        <v>150</v>
      </c>
      <c r="AP2560" s="0" t="s">
        <v>151</v>
      </c>
      <c r="AQ2560" s="0" t="n">
        <v>9</v>
      </c>
      <c r="AR2560" s="0" t="n">
        <v>64</v>
      </c>
      <c r="AS2560" s="0" t="n">
        <v>32</v>
      </c>
      <c r="AU2560" s="0" t="n">
        <f aca="false">COUNTA($BA$12:$EH$12)</f>
        <v>3</v>
      </c>
      <c r="AV2560" s="0" t="n">
        <f aca="false">COUNTIF($BA$12:$EH$12,"D")</f>
        <v>1</v>
      </c>
      <c r="AW2560" s="0" t="n">
        <f aca="false">COUNTIF($BA$12:$EH$12,"R")</f>
        <v>0</v>
      </c>
      <c r="AX2560" s="0" t="n">
        <f aca="false">IF(BN2560="D",1,0)+IF(BO2560="D",1,0)+IF(BT2560="D",1,0)+IF(BU2560="D",1,0)+IF(BW2560="D",1,0)+IF(CC2560="D",1,0)+IF(CD2560="D",1,0)+IF(CE2560="D",1,0)+IF(CF2560="D",1,0)+IF(CL2560="D",1,0)+IF(CM2560="D",1,0)+IF(CQ2560="D",1,0)+IF(CR2560="D",1,0)+IF(CS2560="D",1,0)+IF(CW2560="D",1,0)+IF(CX2560="D",1,0)+IF(DD2560="D",1,0)+IF(DE2560="D",1,0)+IF(DJ2560="D",1,0)+IF(DK2560="D",1,0)+IF(DO2560="D",1,0)+IF(DP2560="D",1,0)+IF(DQ2560="D",1,0)+IF(DW2560="D",1,0)+IF(DZ2560="D",1,0)+IF(EH2560="D",1,0)</f>
        <v>0</v>
      </c>
      <c r="AY2560" s="0" t="n">
        <f aca="false">COUNTIF(DU2560:EH2560, "&lt;&gt;")</f>
        <v>0</v>
      </c>
      <c r="AZ2560" s="0" t="n">
        <f aca="false">IF(EH2560&lt;&gt;"",1,0)</f>
        <v>0</v>
      </c>
      <c r="BB2560" s="0" t="s">
        <v>152</v>
      </c>
    </row>
    <row r="2561" customFormat="false" ht="13.8" hidden="true" customHeight="false" outlineLevel="0" collapsed="false">
      <c r="A2561" s="0" t="s">
        <v>10949</v>
      </c>
      <c r="B2561" s="0" t="n">
        <v>78</v>
      </c>
      <c r="C2561" s="0" t="n">
        <v>414423</v>
      </c>
      <c r="D2561" s="0" t="s">
        <v>10950</v>
      </c>
      <c r="E2561" s="0" t="s">
        <v>3979</v>
      </c>
      <c r="F2561" s="0" t="str">
        <f aca="false">CONCATENATE(D2561," ",LEFT(H2561,4),"T=",AU2561,"D=",AV2561,"R=",AW2561,"M=",AX2561,"L=",AY2561,"B=",AZ2561)</f>
        <v>SANTOS T=1D=0R=0M=0L=0B=0</v>
      </c>
      <c r="G2561" s="0" t="s">
        <v>171</v>
      </c>
      <c r="I2561" s="0" t="s">
        <v>10951</v>
      </c>
      <c r="J2561" s="0" t="s">
        <v>10952</v>
      </c>
      <c r="K2561" s="0" t="s">
        <v>143</v>
      </c>
      <c r="M2561" s="0" t="s">
        <v>10948</v>
      </c>
      <c r="N2561" s="0" t="str">
        <f aca="false">RIGHT(M2561,LEN(M2561)-FIND(" ",M2561))</f>
        <v>WOODBINE AVE SE</v>
      </c>
      <c r="P2561" s="0" t="s">
        <v>145</v>
      </c>
      <c r="Q2561" s="0" t="s">
        <v>146</v>
      </c>
      <c r="R2561" s="0" t="n">
        <v>44484</v>
      </c>
      <c r="AD2561" s="0" t="s">
        <v>147</v>
      </c>
      <c r="AE2561" s="0" t="s">
        <v>148</v>
      </c>
      <c r="AF2561" s="0" t="s">
        <v>149</v>
      </c>
      <c r="AH2561" s="0" t="n">
        <v>14</v>
      </c>
      <c r="AI2561" s="0" t="n">
        <v>11</v>
      </c>
      <c r="AN2561" s="0" t="s">
        <v>145</v>
      </c>
      <c r="AO2561" s="0" t="s">
        <v>150</v>
      </c>
      <c r="AP2561" s="0" t="s">
        <v>151</v>
      </c>
      <c r="AQ2561" s="0" t="n">
        <v>9</v>
      </c>
      <c r="AR2561" s="0" t="n">
        <v>64</v>
      </c>
      <c r="AS2561" s="0" t="n">
        <v>32</v>
      </c>
      <c r="AU2561" s="0" t="n">
        <f aca="false">COUNTA($BA$18:$EH$18)</f>
        <v>1</v>
      </c>
      <c r="AV2561" s="0" t="n">
        <f aca="false">COUNTIF($BA$18:$EH$18,"D")</f>
        <v>0</v>
      </c>
      <c r="AW2561" s="0" t="n">
        <f aca="false">COUNTIF($BA$18:$EH$18,"R")</f>
        <v>0</v>
      </c>
      <c r="AX2561" s="0" t="n">
        <f aca="false">IF(BN2561="D",1,0)+IF(BO2561="D",1,0)+IF(BT2561="D",1,0)+IF(BU2561="D",1,0)+IF(BW2561="D",1,0)+IF(CC2561="D",1,0)+IF(CD2561="D",1,0)+IF(CE2561="D",1,0)+IF(CF2561="D",1,0)+IF(CL2561="D",1,0)+IF(CM2561="D",1,0)+IF(CQ2561="D",1,0)+IF(CR2561="D",1,0)+IF(CS2561="D",1,0)+IF(CW2561="D",1,0)+IF(CX2561="D",1,0)+IF(DD2561="D",1,0)+IF(DE2561="D",1,0)+IF(DJ2561="D",1,0)+IF(DK2561="D",1,0)+IF(DO2561="D",1,0)+IF(DP2561="D",1,0)+IF(DQ2561="D",1,0)+IF(DW2561="D",1,0)+IF(DZ2561="D",1,0)+IF(EH2561="D",1,0)</f>
        <v>0</v>
      </c>
      <c r="AY2561" s="0" t="n">
        <f aca="false">COUNTIF(DU2561:EH2561, "&lt;&gt;")</f>
        <v>0</v>
      </c>
      <c r="AZ2561" s="0" t="n">
        <f aca="false">IF(EH2561&lt;&gt;"",1,0)</f>
        <v>0</v>
      </c>
      <c r="BB2561" s="0" t="s">
        <v>152</v>
      </c>
    </row>
    <row r="2562" customFormat="false" ht="13.8" hidden="true" customHeight="false" outlineLevel="0" collapsed="false">
      <c r="A2562" s="0" t="s">
        <v>10953</v>
      </c>
      <c r="B2562" s="0" t="n">
        <v>78</v>
      </c>
      <c r="C2562" s="0" t="n">
        <v>461730</v>
      </c>
      <c r="D2562" s="0" t="s">
        <v>10954</v>
      </c>
      <c r="E2562" s="0" t="s">
        <v>2952</v>
      </c>
      <c r="F2562" s="0" t="str">
        <f aca="false">CONCATENATE(D2562," ",LEFT(H2562,4),"T=",AU2562,"D=",AV2562,"R=",AW2562,"M=",AX2562,"L=",AY2562,"B=",AZ2562)</f>
        <v>SIGAN T=2D=0R=0M=0L=0B=0</v>
      </c>
      <c r="G2562" s="0" t="s">
        <v>268</v>
      </c>
      <c r="I2562" s="0" t="s">
        <v>10955</v>
      </c>
      <c r="J2562" s="0" t="s">
        <v>10956</v>
      </c>
      <c r="K2562" s="0" t="s">
        <v>143</v>
      </c>
      <c r="M2562" s="0" t="s">
        <v>10948</v>
      </c>
      <c r="N2562" s="0" t="str">
        <f aca="false">RIGHT(M2562,LEN(M2562)-FIND(" ",M2562))</f>
        <v>WOODBINE AVE SE</v>
      </c>
      <c r="P2562" s="0" t="s">
        <v>145</v>
      </c>
      <c r="Q2562" s="0" t="s">
        <v>146</v>
      </c>
      <c r="R2562" s="0" t="n">
        <v>44484</v>
      </c>
      <c r="AD2562" s="0" t="s">
        <v>147</v>
      </c>
      <c r="AE2562" s="0" t="s">
        <v>148</v>
      </c>
      <c r="AF2562" s="0" t="s">
        <v>149</v>
      </c>
      <c r="AH2562" s="0" t="n">
        <v>14</v>
      </c>
      <c r="AI2562" s="0" t="n">
        <v>11</v>
      </c>
      <c r="AN2562" s="0" t="s">
        <v>145</v>
      </c>
      <c r="AO2562" s="0" t="s">
        <v>150</v>
      </c>
      <c r="AP2562" s="0" t="s">
        <v>151</v>
      </c>
      <c r="AQ2562" s="0" t="n">
        <v>9</v>
      </c>
      <c r="AR2562" s="0" t="n">
        <v>64</v>
      </c>
      <c r="AS2562" s="0" t="n">
        <v>32</v>
      </c>
      <c r="AU2562" s="0" t="n">
        <f aca="false">COUNTA($BA$357:$EH$357)</f>
        <v>2</v>
      </c>
      <c r="AV2562" s="0" t="n">
        <f aca="false">COUNTIF($BA$357:$EH$357,"D")</f>
        <v>0</v>
      </c>
      <c r="AW2562" s="0" t="n">
        <f aca="false">COUNTIF($BA$357:$EH$357,"R")</f>
        <v>0</v>
      </c>
      <c r="AX2562" s="0" t="n">
        <f aca="false">IF(BN2562="D",1,0)+IF(BO2562="D",1,0)+IF(BT2562="D",1,0)+IF(BU2562="D",1,0)+IF(BW2562="D",1,0)+IF(CC2562="D",1,0)+IF(CD2562="D",1,0)+IF(CE2562="D",1,0)+IF(CF2562="D",1,0)+IF(CL2562="D",1,0)+IF(CM2562="D",1,0)+IF(CQ2562="D",1,0)+IF(CR2562="D",1,0)+IF(CS2562="D",1,0)+IF(CW2562="D",1,0)+IF(CX2562="D",1,0)+IF(DD2562="D",1,0)+IF(DE2562="D",1,0)+IF(DJ2562="D",1,0)+IF(DK2562="D",1,0)+IF(DO2562="D",1,0)+IF(DP2562="D",1,0)+IF(DQ2562="D",1,0)+IF(DW2562="D",1,0)+IF(DZ2562="D",1,0)+IF(EH2562="D",1,0)</f>
        <v>0</v>
      </c>
      <c r="AY2562" s="0" t="n">
        <f aca="false">COUNTIF(DU2562:EH2562, "&lt;&gt;")</f>
        <v>0</v>
      </c>
      <c r="AZ2562" s="0" t="n">
        <f aca="false">IF(EH2562&lt;&gt;"",1,0)</f>
        <v>0</v>
      </c>
      <c r="BB2562" s="0" t="s">
        <v>152</v>
      </c>
      <c r="DN2562" s="0" t="s">
        <v>153</v>
      </c>
    </row>
    <row r="2563" customFormat="false" ht="13.8" hidden="true" customHeight="false" outlineLevel="0" collapsed="false">
      <c r="A2563" s="0" t="s">
        <v>10957</v>
      </c>
      <c r="B2563" s="0" t="n">
        <v>78</v>
      </c>
      <c r="C2563" s="0" t="n">
        <v>487901</v>
      </c>
      <c r="D2563" s="0" t="s">
        <v>1445</v>
      </c>
      <c r="E2563" s="0" t="s">
        <v>10958</v>
      </c>
      <c r="F2563" s="0" t="str">
        <f aca="false">CONCATENATE(D2563," ",LEFT(H2563,4),"T=",AU2563,"D=",AV2563,"R=",AW2563,"M=",AX2563,"L=",AY2563,"B=",AZ2563)</f>
        <v>WILLIAMS T=21D=6R=0M=0L=0B=0</v>
      </c>
      <c r="G2563" s="0" t="s">
        <v>190</v>
      </c>
      <c r="I2563" s="0" t="s">
        <v>10959</v>
      </c>
      <c r="J2563" s="0" t="s">
        <v>2230</v>
      </c>
      <c r="K2563" s="0" t="s">
        <v>160</v>
      </c>
      <c r="M2563" s="0" t="s">
        <v>10948</v>
      </c>
      <c r="N2563" s="0" t="str">
        <f aca="false">RIGHT(M2563,LEN(M2563)-FIND(" ",M2563))</f>
        <v>WOODBINE AVE SE</v>
      </c>
      <c r="P2563" s="0" t="s">
        <v>145</v>
      </c>
      <c r="Q2563" s="0" t="s">
        <v>146</v>
      </c>
      <c r="R2563" s="0" t="n">
        <v>44484</v>
      </c>
      <c r="AD2563" s="0" t="s">
        <v>147</v>
      </c>
      <c r="AE2563" s="0" t="s">
        <v>148</v>
      </c>
      <c r="AF2563" s="0" t="s">
        <v>149</v>
      </c>
      <c r="AH2563" s="0" t="n">
        <v>14</v>
      </c>
      <c r="AI2563" s="0" t="n">
        <v>11</v>
      </c>
      <c r="AN2563" s="0" t="s">
        <v>145</v>
      </c>
      <c r="AO2563" s="0" t="s">
        <v>150</v>
      </c>
      <c r="AP2563" s="0" t="s">
        <v>151</v>
      </c>
      <c r="AQ2563" s="0" t="n">
        <v>9</v>
      </c>
      <c r="AR2563" s="0" t="n">
        <v>64</v>
      </c>
      <c r="AS2563" s="0" t="n">
        <v>32</v>
      </c>
      <c r="AU2563" s="0" t="n">
        <f aca="false">COUNTA($BA$439:$EH$439)</f>
        <v>21</v>
      </c>
      <c r="AV2563" s="0" t="n">
        <f aca="false">COUNTIF($BA$439:$EH$439,"D")</f>
        <v>6</v>
      </c>
      <c r="AW2563" s="0" t="n">
        <f aca="false">COUNTIF($BA$439:$EH$439,"R")</f>
        <v>0</v>
      </c>
      <c r="AX2563" s="0" t="n">
        <f aca="false">IF(BN2563="D",1,0)+IF(BO2563="D",1,0)+IF(BT2563="D",1,0)+IF(BU2563="D",1,0)+IF(BW2563="D",1,0)+IF(CC2563="D",1,0)+IF(CD2563="D",1,0)+IF(CE2563="D",1,0)+IF(CF2563="D",1,0)+IF(CL2563="D",1,0)+IF(CM2563="D",1,0)+IF(CQ2563="D",1,0)+IF(CR2563="D",1,0)+IF(CS2563="D",1,0)+IF(CW2563="D",1,0)+IF(CX2563="D",1,0)+IF(DD2563="D",1,0)+IF(DE2563="D",1,0)+IF(DJ2563="D",1,0)+IF(DK2563="D",1,0)+IF(DO2563="D",1,0)+IF(DP2563="D",1,0)+IF(DQ2563="D",1,0)+IF(DW2563="D",1,0)+IF(DZ2563="D",1,0)+IF(EH2563="D",1,0)</f>
        <v>0</v>
      </c>
      <c r="AY2563" s="0" t="n">
        <f aca="false">COUNTIF(DU2563:EH2563, "&lt;&gt;")</f>
        <v>0</v>
      </c>
      <c r="AZ2563" s="0" t="n">
        <f aca="false">IF(EH2563&lt;&gt;"",1,0)</f>
        <v>0</v>
      </c>
      <c r="BB2563" s="0" t="s">
        <v>152</v>
      </c>
      <c r="CP2563" s="0" t="s">
        <v>153</v>
      </c>
    </row>
    <row r="2564" customFormat="false" ht="13.8" hidden="false" customHeight="false" outlineLevel="0" collapsed="false">
      <c r="A2564" s="0" t="s">
        <v>10960</v>
      </c>
      <c r="B2564" s="0" t="n">
        <v>78</v>
      </c>
      <c r="C2564" s="0" t="n">
        <v>429179</v>
      </c>
      <c r="D2564" s="0" t="s">
        <v>9682</v>
      </c>
      <c r="E2564" s="0" t="s">
        <v>583</v>
      </c>
      <c r="F2564" s="0" t="str">
        <f aca="false">CONCATENATE(D2564," ",LEFT(H2564,4),"T=",AU2564,"D=",AV2564,"R=",AW2564,"M=",AX2564,"L=",AY2564,"B=",AZ2564)</f>
        <v>BRADLEY IIIT=3D=0R=1M=2L=7B=1</v>
      </c>
      <c r="G2564" s="0" t="s">
        <v>10961</v>
      </c>
      <c r="H2564" s="0" t="s">
        <v>1932</v>
      </c>
      <c r="I2564" s="0" t="s">
        <v>10962</v>
      </c>
      <c r="J2564" s="0" t="s">
        <v>10963</v>
      </c>
      <c r="K2564" s="0" t="s">
        <v>160</v>
      </c>
      <c r="L2564" s="0" t="s">
        <v>175</v>
      </c>
      <c r="M2564" s="0" t="s">
        <v>10964</v>
      </c>
      <c r="N2564" s="0" t="str">
        <f aca="false">RIGHT(M2564,LEN(M2564)-FIND(" ",M2564))</f>
        <v>WOODBINE AVE SE</v>
      </c>
      <c r="P2564" s="0" t="s">
        <v>145</v>
      </c>
      <c r="Q2564" s="0" t="s">
        <v>146</v>
      </c>
      <c r="R2564" s="0" t="n">
        <v>44484</v>
      </c>
      <c r="AD2564" s="0" t="s">
        <v>147</v>
      </c>
      <c r="AE2564" s="0" t="s">
        <v>148</v>
      </c>
      <c r="AF2564" s="0" t="s">
        <v>149</v>
      </c>
      <c r="AH2564" s="0" t="n">
        <v>14</v>
      </c>
      <c r="AI2564" s="0" t="n">
        <v>11</v>
      </c>
      <c r="AN2564" s="0" t="s">
        <v>145</v>
      </c>
      <c r="AO2564" s="0" t="s">
        <v>150</v>
      </c>
      <c r="AP2564" s="0" t="s">
        <v>151</v>
      </c>
      <c r="AQ2564" s="0" t="n">
        <v>9</v>
      </c>
      <c r="AR2564" s="0" t="n">
        <v>64</v>
      </c>
      <c r="AS2564" s="0" t="n">
        <v>32</v>
      </c>
      <c r="AU2564" s="0" t="n">
        <f aca="false">COUNTA($BA$338:$EH$338)</f>
        <v>3</v>
      </c>
      <c r="AV2564" s="0" t="n">
        <f aca="false">COUNTIF($BA$338:$EH$338,"D")</f>
        <v>0</v>
      </c>
      <c r="AW2564" s="0" t="n">
        <f aca="false">COUNTIF($BA$338:$EH$338,"R")</f>
        <v>1</v>
      </c>
      <c r="AX2564" s="0" t="n">
        <f aca="false">IF(BN2564="D",1,0)+IF(BO2564="D",1,0)+IF(BT2564="D",1,0)+IF(BU2564="D",1,0)+IF(BW2564="D",1,0)+IF(CC2564="D",1,0)+IF(CD2564="D",1,0)+IF(CE2564="D",1,0)+IF(CF2564="D",1,0)+IF(CL2564="D",1,0)+IF(CM2564="D",1,0)+IF(CQ2564="D",1,0)+IF(CR2564="D",1,0)+IF(CS2564="D",1,0)+IF(CW2564="D",1,0)+IF(CX2564="D",1,0)+IF(DD2564="D",1,0)+IF(DE2564="D",1,0)+IF(DJ2564="D",1,0)+IF(DK2564="D",1,0)+IF(DO2564="D",1,0)+IF(DP2564="D",1,0)+IF(DQ2564="D",1,0)+IF(DW2564="D",1,0)+IF(DZ2564="D",1,0)+IF(EH2564="D",1,0)</f>
        <v>2</v>
      </c>
      <c r="AY2564" s="0" t="n">
        <f aca="false">COUNTIF(DU2564:EH2564, "&lt;&gt;")</f>
        <v>7</v>
      </c>
      <c r="AZ2564" s="0" t="n">
        <f aca="false">IF(EH2564&lt;&gt;"",1,0)</f>
        <v>1</v>
      </c>
      <c r="BB2564" s="0" t="s">
        <v>152</v>
      </c>
      <c r="DI2564" s="0" t="s">
        <v>153</v>
      </c>
      <c r="DL2564" s="0" t="s">
        <v>153</v>
      </c>
      <c r="DM2564" s="0" t="s">
        <v>175</v>
      </c>
      <c r="DN2564" s="0" t="s">
        <v>153</v>
      </c>
      <c r="DS2564" s="0" t="s">
        <v>175</v>
      </c>
      <c r="DT2564" s="0" t="s">
        <v>175</v>
      </c>
      <c r="DU2564" s="0" t="s">
        <v>153</v>
      </c>
      <c r="DW2564" s="0" t="s">
        <v>175</v>
      </c>
      <c r="DX2564" s="0" t="s">
        <v>153</v>
      </c>
      <c r="EA2564" s="0" t="s">
        <v>153</v>
      </c>
      <c r="ED2564" s="0" t="s">
        <v>175</v>
      </c>
      <c r="EF2564" s="0" t="s">
        <v>153</v>
      </c>
      <c r="EH2564" s="0" t="s">
        <v>175</v>
      </c>
    </row>
    <row r="2565" customFormat="false" ht="13.8" hidden="false" customHeight="false" outlineLevel="0" collapsed="false">
      <c r="A2565" s="0" t="s">
        <v>10965</v>
      </c>
      <c r="B2565" s="0" t="n">
        <v>78</v>
      </c>
      <c r="C2565" s="0" t="n">
        <v>341749</v>
      </c>
      <c r="D2565" s="0" t="s">
        <v>10966</v>
      </c>
      <c r="E2565" s="0" t="s">
        <v>500</v>
      </c>
      <c r="F2565" s="0" t="str">
        <f aca="false">CONCATENATE(D2565," ",LEFT(H2565,4),"T=",AU2565,"D=",AV2565,"R=",AW2565,"M=",AX2565,"L=",AY2565,"B=",AZ2565)</f>
        <v>SHADER T=2D=0R=0M=7L=7B=1</v>
      </c>
      <c r="G2565" s="0" t="s">
        <v>255</v>
      </c>
      <c r="I2565" s="0" t="s">
        <v>10967</v>
      </c>
      <c r="J2565" s="0" t="s">
        <v>10968</v>
      </c>
      <c r="K2565" s="0" t="s">
        <v>160</v>
      </c>
      <c r="L2565" s="0" t="s">
        <v>175</v>
      </c>
      <c r="M2565" s="0" t="s">
        <v>10964</v>
      </c>
      <c r="N2565" s="0" t="str">
        <f aca="false">RIGHT(M2565,LEN(M2565)-FIND(" ",M2565))</f>
        <v>WOODBINE AVE SE</v>
      </c>
      <c r="P2565" s="0" t="s">
        <v>145</v>
      </c>
      <c r="Q2565" s="0" t="s">
        <v>146</v>
      </c>
      <c r="R2565" s="0" t="n">
        <v>44484</v>
      </c>
      <c r="AD2565" s="0" t="s">
        <v>147</v>
      </c>
      <c r="AE2565" s="0" t="s">
        <v>148</v>
      </c>
      <c r="AF2565" s="0" t="s">
        <v>149</v>
      </c>
      <c r="AH2565" s="0" t="n">
        <v>14</v>
      </c>
      <c r="AI2565" s="0" t="n">
        <v>11</v>
      </c>
      <c r="AN2565" s="0" t="s">
        <v>145</v>
      </c>
      <c r="AO2565" s="0" t="s">
        <v>150</v>
      </c>
      <c r="AP2565" s="0" t="s">
        <v>151</v>
      </c>
      <c r="AQ2565" s="0" t="n">
        <v>9</v>
      </c>
      <c r="AR2565" s="0" t="n">
        <v>64</v>
      </c>
      <c r="AS2565" s="0" t="n">
        <v>32</v>
      </c>
      <c r="AU2565" s="0" t="n">
        <f aca="false">COUNTA($BA$610:$EH$610)</f>
        <v>2</v>
      </c>
      <c r="AV2565" s="0" t="n">
        <f aca="false">COUNTIF($BA$610:$EH$610,"D")</f>
        <v>0</v>
      </c>
      <c r="AW2565" s="0" t="n">
        <f aca="false">COUNTIF($BA$610:$EH$610,"R")</f>
        <v>0</v>
      </c>
      <c r="AX2565" s="0" t="n">
        <f aca="false">IF(BN2565="D",1,0)+IF(BO2565="D",1,0)+IF(BT2565="D",1,0)+IF(BU2565="D",1,0)+IF(BW2565="D",1,0)+IF(CC2565="D",1,0)+IF(CD2565="D",1,0)+IF(CE2565="D",1,0)+IF(CF2565="D",1,0)+IF(CL2565="D",1,0)+IF(CM2565="D",1,0)+IF(CQ2565="D",1,0)+IF(CR2565="D",1,0)+IF(CS2565="D",1,0)+IF(CW2565="D",1,0)+IF(CX2565="D",1,0)+IF(DD2565="D",1,0)+IF(DE2565="D",1,0)+IF(DJ2565="D",1,0)+IF(DK2565="D",1,0)+IF(DO2565="D",1,0)+IF(DP2565="D",1,0)+IF(DQ2565="D",1,0)+IF(DW2565="D",1,0)+IF(DZ2565="D",1,0)+IF(EH2565="D",1,0)</f>
        <v>7</v>
      </c>
      <c r="AY2565" s="0" t="n">
        <f aca="false">COUNTIF(DU2565:EH2565, "&lt;&gt;")</f>
        <v>7</v>
      </c>
      <c r="AZ2565" s="0" t="n">
        <f aca="false">IF(EH2565&lt;&gt;"",1,0)</f>
        <v>1</v>
      </c>
      <c r="BB2565" s="0" t="s">
        <v>152</v>
      </c>
      <c r="BR2565" s="0" t="s">
        <v>153</v>
      </c>
      <c r="BS2565" s="0" t="s">
        <v>153</v>
      </c>
      <c r="BY2565" s="0" t="s">
        <v>175</v>
      </c>
      <c r="CA2565" s="0" t="s">
        <v>153</v>
      </c>
      <c r="CG2565" s="0" t="s">
        <v>153</v>
      </c>
      <c r="CH2565" s="0" t="s">
        <v>175</v>
      </c>
      <c r="CK2565" s="0" t="s">
        <v>153</v>
      </c>
      <c r="CL2565" s="0" t="s">
        <v>175</v>
      </c>
      <c r="CN2565" s="0" t="s">
        <v>153</v>
      </c>
      <c r="CO2565" s="0" t="s">
        <v>175</v>
      </c>
      <c r="CP2565" s="0" t="s">
        <v>153</v>
      </c>
      <c r="CQ2565" s="0" t="s">
        <v>175</v>
      </c>
      <c r="CT2565" s="0" t="s">
        <v>153</v>
      </c>
      <c r="CU2565" s="0" t="s">
        <v>175</v>
      </c>
      <c r="CV2565" s="0" t="s">
        <v>153</v>
      </c>
      <c r="CW2565" s="0" t="s">
        <v>175</v>
      </c>
      <c r="CY2565" s="0" t="s">
        <v>153</v>
      </c>
      <c r="CZ2565" s="0" t="s">
        <v>175</v>
      </c>
      <c r="DC2565" s="0" t="s">
        <v>153</v>
      </c>
      <c r="DD2565" s="0" t="s">
        <v>175</v>
      </c>
      <c r="DF2565" s="0" t="s">
        <v>153</v>
      </c>
      <c r="DG2565" s="0" t="s">
        <v>175</v>
      </c>
      <c r="DI2565" s="0" t="s">
        <v>153</v>
      </c>
      <c r="DJ2565" s="0" t="s">
        <v>175</v>
      </c>
      <c r="DL2565" s="0" t="s">
        <v>153</v>
      </c>
      <c r="DM2565" s="0" t="s">
        <v>175</v>
      </c>
      <c r="DN2565" s="0" t="s">
        <v>153</v>
      </c>
      <c r="DS2565" s="0" t="s">
        <v>175</v>
      </c>
      <c r="DT2565" s="0" t="s">
        <v>175</v>
      </c>
      <c r="DU2565" s="0" t="s">
        <v>153</v>
      </c>
      <c r="DW2565" s="0" t="s">
        <v>175</v>
      </c>
      <c r="DX2565" s="0" t="s">
        <v>153</v>
      </c>
      <c r="EA2565" s="0" t="s">
        <v>153</v>
      </c>
      <c r="ED2565" s="0" t="s">
        <v>175</v>
      </c>
      <c r="EF2565" s="0" t="s">
        <v>153</v>
      </c>
      <c r="EH2565" s="0" t="s">
        <v>175</v>
      </c>
    </row>
    <row r="2566" customFormat="false" ht="13.8" hidden="true" customHeight="false" outlineLevel="0" collapsed="false">
      <c r="A2566" s="0" t="s">
        <v>10969</v>
      </c>
      <c r="B2566" s="0" t="n">
        <v>78</v>
      </c>
      <c r="C2566" s="0" t="n">
        <v>411762</v>
      </c>
      <c r="D2566" s="0" t="s">
        <v>2206</v>
      </c>
      <c r="E2566" s="0" t="s">
        <v>10970</v>
      </c>
      <c r="F2566" s="0" t="str">
        <f aca="false">CONCATENATE(D2566," ",LEFT(H2566,4),"T=",AU2566,"D=",AV2566,"R=",AW2566,"M=",AX2566,"L=",AY2566,"B=",AZ2566)</f>
        <v>MARTINEZ T=1D=0R=0M=0L=0B=0</v>
      </c>
      <c r="G2566" s="0" t="s">
        <v>615</v>
      </c>
      <c r="I2566" s="0" t="s">
        <v>10971</v>
      </c>
      <c r="J2566" s="0" t="s">
        <v>892</v>
      </c>
      <c r="K2566" s="0" t="s">
        <v>143</v>
      </c>
      <c r="M2566" s="0" t="s">
        <v>10972</v>
      </c>
      <c r="N2566" s="0" t="str">
        <f aca="false">RIGHT(M2566,LEN(M2566)-FIND(" ",M2566))</f>
        <v>WOODBINE AVE SE</v>
      </c>
      <c r="P2566" s="0" t="s">
        <v>145</v>
      </c>
      <c r="Q2566" s="0" t="s">
        <v>146</v>
      </c>
      <c r="R2566" s="0" t="n">
        <v>44484</v>
      </c>
      <c r="AD2566" s="0" t="s">
        <v>147</v>
      </c>
      <c r="AE2566" s="0" t="s">
        <v>148</v>
      </c>
      <c r="AF2566" s="0" t="s">
        <v>149</v>
      </c>
      <c r="AH2566" s="0" t="n">
        <v>14</v>
      </c>
      <c r="AI2566" s="0" t="n">
        <v>11</v>
      </c>
      <c r="AN2566" s="0" t="s">
        <v>145</v>
      </c>
      <c r="AO2566" s="0" t="s">
        <v>150</v>
      </c>
      <c r="AP2566" s="0" t="s">
        <v>151</v>
      </c>
      <c r="AQ2566" s="0" t="n">
        <v>9</v>
      </c>
      <c r="AR2566" s="0" t="n">
        <v>64</v>
      </c>
      <c r="AS2566" s="0" t="n">
        <v>32</v>
      </c>
      <c r="AU2566" s="0" t="n">
        <f aca="false">COUNTA($BA$387:$EH$387)</f>
        <v>1</v>
      </c>
      <c r="AV2566" s="0" t="n">
        <f aca="false">COUNTIF($BA$387:$EH$387,"D")</f>
        <v>0</v>
      </c>
      <c r="AW2566" s="0" t="n">
        <f aca="false">COUNTIF($BA$387:$EH$387,"R")</f>
        <v>0</v>
      </c>
      <c r="AX2566" s="0" t="n">
        <f aca="false">IF(BN2566="D",1,0)+IF(BO2566="D",1,0)+IF(BT2566="D",1,0)+IF(BU2566="D",1,0)+IF(BW2566="D",1,0)+IF(CC2566="D",1,0)+IF(CD2566="D",1,0)+IF(CE2566="D",1,0)+IF(CF2566="D",1,0)+IF(CL2566="D",1,0)+IF(CM2566="D",1,0)+IF(CQ2566="D",1,0)+IF(CR2566="D",1,0)+IF(CS2566="D",1,0)+IF(CW2566="D",1,0)+IF(CX2566="D",1,0)+IF(DD2566="D",1,0)+IF(DE2566="D",1,0)+IF(DJ2566="D",1,0)+IF(DK2566="D",1,0)+IF(DO2566="D",1,0)+IF(DP2566="D",1,0)+IF(DQ2566="D",1,0)+IF(DW2566="D",1,0)+IF(DZ2566="D",1,0)+IF(EH2566="D",1,0)</f>
        <v>0</v>
      </c>
      <c r="AY2566" s="0" t="n">
        <f aca="false">COUNTIF(DU2566:EH2566, "&lt;&gt;")</f>
        <v>0</v>
      </c>
      <c r="AZ2566" s="0" t="n">
        <f aca="false">IF(EH2566&lt;&gt;"",1,0)</f>
        <v>0</v>
      </c>
      <c r="BB2566" s="0" t="s">
        <v>152</v>
      </c>
    </row>
    <row r="2567" customFormat="false" ht="13.8" hidden="true" customHeight="false" outlineLevel="0" collapsed="false">
      <c r="A2567" s="0" t="s">
        <v>10973</v>
      </c>
      <c r="B2567" s="0" t="n">
        <v>78</v>
      </c>
      <c r="C2567" s="0" t="n">
        <v>338410</v>
      </c>
      <c r="D2567" s="0" t="s">
        <v>9558</v>
      </c>
      <c r="E2567" s="0" t="s">
        <v>2847</v>
      </c>
      <c r="F2567" s="0" t="str">
        <f aca="false">CONCATENATE(D2567," ",LEFT(H2567,4),"T=",AU2567,"D=",AV2567,"R=",AW2567,"M=",AX2567,"L=",AY2567,"B=",AZ2567)</f>
        <v>DUNCAN T=3D=0R=0M=0L=0B=0</v>
      </c>
      <c r="G2567" s="0" t="s">
        <v>3093</v>
      </c>
      <c r="I2567" s="0" t="s">
        <v>10974</v>
      </c>
      <c r="J2567" s="0" t="s">
        <v>10975</v>
      </c>
      <c r="K2567" s="0" t="s">
        <v>160</v>
      </c>
      <c r="M2567" s="0" t="s">
        <v>10976</v>
      </c>
      <c r="N2567" s="0" t="str">
        <f aca="false">RIGHT(M2567,LEN(M2567)-FIND(" ",M2567))</f>
        <v>WOODBINE AVE SE</v>
      </c>
      <c r="P2567" s="0" t="s">
        <v>145</v>
      </c>
      <c r="Q2567" s="0" t="s">
        <v>146</v>
      </c>
      <c r="R2567" s="0" t="n">
        <v>44484</v>
      </c>
      <c r="AD2567" s="0" t="s">
        <v>147</v>
      </c>
      <c r="AE2567" s="0" t="s">
        <v>148</v>
      </c>
      <c r="AF2567" s="0" t="s">
        <v>149</v>
      </c>
      <c r="AH2567" s="0" t="n">
        <v>14</v>
      </c>
      <c r="AI2567" s="0" t="n">
        <v>11</v>
      </c>
      <c r="AN2567" s="0" t="s">
        <v>145</v>
      </c>
      <c r="AO2567" s="0" t="s">
        <v>150</v>
      </c>
      <c r="AP2567" s="0" t="s">
        <v>151</v>
      </c>
      <c r="AQ2567" s="0" t="n">
        <v>9</v>
      </c>
      <c r="AR2567" s="0" t="n">
        <v>64</v>
      </c>
      <c r="AS2567" s="0" t="n">
        <v>32</v>
      </c>
      <c r="AU2567" s="0" t="n">
        <f aca="false">COUNTA($BA$436:$EH$436)</f>
        <v>3</v>
      </c>
      <c r="AV2567" s="0" t="n">
        <f aca="false">COUNTIF($BA$436:$EH$436,"D")</f>
        <v>0</v>
      </c>
      <c r="AW2567" s="0" t="n">
        <f aca="false">COUNTIF($BA$436:$EH$436,"R")</f>
        <v>0</v>
      </c>
      <c r="AX2567" s="0" t="n">
        <f aca="false">IF(BN2567="D",1,0)+IF(BO2567="D",1,0)+IF(BT2567="D",1,0)+IF(BU2567="D",1,0)+IF(BW2567="D",1,0)+IF(CC2567="D",1,0)+IF(CD2567="D",1,0)+IF(CE2567="D",1,0)+IF(CF2567="D",1,0)+IF(CL2567="D",1,0)+IF(CM2567="D",1,0)+IF(CQ2567="D",1,0)+IF(CR2567="D",1,0)+IF(CS2567="D",1,0)+IF(CW2567="D",1,0)+IF(CX2567="D",1,0)+IF(DD2567="D",1,0)+IF(DE2567="D",1,0)+IF(DJ2567="D",1,0)+IF(DK2567="D",1,0)+IF(DO2567="D",1,0)+IF(DP2567="D",1,0)+IF(DQ2567="D",1,0)+IF(DW2567="D",1,0)+IF(DZ2567="D",1,0)+IF(EH2567="D",1,0)</f>
        <v>0</v>
      </c>
      <c r="AY2567" s="0" t="n">
        <f aca="false">COUNTIF(DU2567:EH2567, "&lt;&gt;")</f>
        <v>0</v>
      </c>
      <c r="AZ2567" s="0" t="n">
        <f aca="false">IF(EH2567&lt;&gt;"",1,0)</f>
        <v>0</v>
      </c>
      <c r="BB2567" s="0" t="s">
        <v>152</v>
      </c>
    </row>
    <row r="2568" customFormat="false" ht="13.8" hidden="true" customHeight="false" outlineLevel="0" collapsed="false">
      <c r="A2568" s="0" t="s">
        <v>10977</v>
      </c>
      <c r="B2568" s="0" t="n">
        <v>78</v>
      </c>
      <c r="C2568" s="0" t="n">
        <v>338343</v>
      </c>
      <c r="D2568" s="0" t="s">
        <v>9558</v>
      </c>
      <c r="E2568" s="0" t="s">
        <v>3380</v>
      </c>
      <c r="F2568" s="0" t="str">
        <f aca="false">CONCATENATE(D2568," ",LEFT(H2568,4),"T=",AU2568,"D=",AV2568,"R=",AW2568,"M=",AX2568,"L=",AY2568,"B=",AZ2568)</f>
        <v>DUNCAN T=27D=4R=0M=0L=1B=0</v>
      </c>
      <c r="G2568" s="0" t="s">
        <v>1031</v>
      </c>
      <c r="I2568" s="0" t="s">
        <v>6196</v>
      </c>
      <c r="J2568" s="0" t="s">
        <v>10978</v>
      </c>
      <c r="K2568" s="0" t="s">
        <v>160</v>
      </c>
      <c r="M2568" s="0" t="s">
        <v>10976</v>
      </c>
      <c r="N2568" s="0" t="str">
        <f aca="false">RIGHT(M2568,LEN(M2568)-FIND(" ",M2568))</f>
        <v>WOODBINE AVE SE</v>
      </c>
      <c r="P2568" s="0" t="s">
        <v>145</v>
      </c>
      <c r="Q2568" s="0" t="s">
        <v>146</v>
      </c>
      <c r="R2568" s="0" t="n">
        <v>44484</v>
      </c>
      <c r="AD2568" s="0" t="s">
        <v>147</v>
      </c>
      <c r="AE2568" s="0" t="s">
        <v>148</v>
      </c>
      <c r="AF2568" s="0" t="s">
        <v>149</v>
      </c>
      <c r="AH2568" s="0" t="n">
        <v>14</v>
      </c>
      <c r="AI2568" s="0" t="n">
        <v>11</v>
      </c>
      <c r="AN2568" s="0" t="s">
        <v>145</v>
      </c>
      <c r="AO2568" s="0" t="s">
        <v>150</v>
      </c>
      <c r="AP2568" s="0" t="s">
        <v>151</v>
      </c>
      <c r="AQ2568" s="0" t="n">
        <v>9</v>
      </c>
      <c r="AR2568" s="0" t="n">
        <v>64</v>
      </c>
      <c r="AS2568" s="0" t="n">
        <v>32</v>
      </c>
      <c r="AU2568" s="0" t="n">
        <f aca="false">COUNTA($BA$653:$EH$653)</f>
        <v>27</v>
      </c>
      <c r="AV2568" s="0" t="n">
        <f aca="false">COUNTIF($BA$653:$EH$653,"D")</f>
        <v>4</v>
      </c>
      <c r="AW2568" s="0" t="n">
        <f aca="false">COUNTIF($BA$653:$EH$653,"R")</f>
        <v>0</v>
      </c>
      <c r="AX2568" s="0" t="n">
        <f aca="false">IF(BN2568="D",1,0)+IF(BO2568="D",1,0)+IF(BT2568="D",1,0)+IF(BU2568="D",1,0)+IF(BW2568="D",1,0)+IF(CC2568="D",1,0)+IF(CD2568="D",1,0)+IF(CE2568="D",1,0)+IF(CF2568="D",1,0)+IF(CL2568="D",1,0)+IF(CM2568="D",1,0)+IF(CQ2568="D",1,0)+IF(CR2568="D",1,0)+IF(CS2568="D",1,0)+IF(CW2568="D",1,0)+IF(CX2568="D",1,0)+IF(DD2568="D",1,0)+IF(DE2568="D",1,0)+IF(DJ2568="D",1,0)+IF(DK2568="D",1,0)+IF(DO2568="D",1,0)+IF(DP2568="D",1,0)+IF(DQ2568="D",1,0)+IF(DW2568="D",1,0)+IF(DZ2568="D",1,0)+IF(EH2568="D",1,0)</f>
        <v>0</v>
      </c>
      <c r="AY2568" s="0" t="n">
        <f aca="false">COUNTIF(DU2568:EH2568, "&lt;&gt;")</f>
        <v>1</v>
      </c>
      <c r="AZ2568" s="0" t="n">
        <f aca="false">IF(EH2568&lt;&gt;"",1,0)</f>
        <v>0</v>
      </c>
      <c r="BB2568" s="0" t="s">
        <v>152</v>
      </c>
      <c r="BP2568" s="0" t="s">
        <v>153</v>
      </c>
      <c r="CP2568" s="0" t="s">
        <v>153</v>
      </c>
      <c r="CY2568" s="0" t="s">
        <v>153</v>
      </c>
      <c r="EF2568" s="0" t="s">
        <v>153</v>
      </c>
    </row>
    <row r="2569" customFormat="false" ht="13.8" hidden="true" customHeight="false" outlineLevel="0" collapsed="false">
      <c r="A2569" s="0" t="s">
        <v>10979</v>
      </c>
      <c r="B2569" s="0" t="n">
        <v>78</v>
      </c>
      <c r="C2569" s="0" t="n">
        <v>460445</v>
      </c>
      <c r="D2569" s="0" t="s">
        <v>1790</v>
      </c>
      <c r="E2569" s="0" t="s">
        <v>6386</v>
      </c>
      <c r="F2569" s="0" t="str">
        <f aca="false">CONCATENATE(D2569," ",LEFT(H2569,4),"T=",AU2569,"D=",AV2569,"R=",AW2569,"M=",AX2569,"L=",AY2569,"B=",AZ2569)</f>
        <v>KELLY T=22D=4R=0M=0L=0B=0</v>
      </c>
      <c r="G2569" s="0" t="s">
        <v>325</v>
      </c>
      <c r="I2569" s="0" t="s">
        <v>10980</v>
      </c>
      <c r="J2569" s="0" t="s">
        <v>10981</v>
      </c>
      <c r="K2569" s="0" t="s">
        <v>143</v>
      </c>
      <c r="M2569" s="0" t="s">
        <v>10976</v>
      </c>
      <c r="N2569" s="0" t="str">
        <f aca="false">RIGHT(M2569,LEN(M2569)-FIND(" ",M2569))</f>
        <v>WOODBINE AVE SE</v>
      </c>
      <c r="P2569" s="0" t="s">
        <v>145</v>
      </c>
      <c r="Q2569" s="0" t="s">
        <v>146</v>
      </c>
      <c r="R2569" s="0" t="n">
        <v>44484</v>
      </c>
      <c r="AD2569" s="0" t="s">
        <v>147</v>
      </c>
      <c r="AE2569" s="0" t="s">
        <v>148</v>
      </c>
      <c r="AF2569" s="0" t="s">
        <v>149</v>
      </c>
      <c r="AH2569" s="0" t="n">
        <v>14</v>
      </c>
      <c r="AI2569" s="0" t="n">
        <v>11</v>
      </c>
      <c r="AN2569" s="0" t="s">
        <v>145</v>
      </c>
      <c r="AO2569" s="0" t="s">
        <v>150</v>
      </c>
      <c r="AP2569" s="0" t="s">
        <v>151</v>
      </c>
      <c r="AQ2569" s="0" t="n">
        <v>9</v>
      </c>
      <c r="AR2569" s="0" t="n">
        <v>64</v>
      </c>
      <c r="AS2569" s="0" t="n">
        <v>32</v>
      </c>
      <c r="AU2569" s="0" t="n">
        <f aca="false">COUNTA($BA$875:$EH$875)</f>
        <v>22</v>
      </c>
      <c r="AV2569" s="0" t="n">
        <f aca="false">COUNTIF($BA$875:$EH$875,"D")</f>
        <v>4</v>
      </c>
      <c r="AW2569" s="0" t="n">
        <f aca="false">COUNTIF($BA$875:$EH$875,"R")</f>
        <v>0</v>
      </c>
      <c r="AX2569" s="0" t="n">
        <f aca="false">IF(BN2569="D",1,0)+IF(BO2569="D",1,0)+IF(BT2569="D",1,0)+IF(BU2569="D",1,0)+IF(BW2569="D",1,0)+IF(CC2569="D",1,0)+IF(CD2569="D",1,0)+IF(CE2569="D",1,0)+IF(CF2569="D",1,0)+IF(CL2569="D",1,0)+IF(CM2569="D",1,0)+IF(CQ2569="D",1,0)+IF(CR2569="D",1,0)+IF(CS2569="D",1,0)+IF(CW2569="D",1,0)+IF(CX2569="D",1,0)+IF(DD2569="D",1,0)+IF(DE2569="D",1,0)+IF(DJ2569="D",1,0)+IF(DK2569="D",1,0)+IF(DO2569="D",1,0)+IF(DP2569="D",1,0)+IF(DQ2569="D",1,0)+IF(DW2569="D",1,0)+IF(DZ2569="D",1,0)+IF(EH2569="D",1,0)</f>
        <v>0</v>
      </c>
      <c r="AY2569" s="0" t="n">
        <f aca="false">COUNTIF(DU2569:EH2569, "&lt;&gt;")</f>
        <v>0</v>
      </c>
      <c r="AZ2569" s="0" t="n">
        <f aca="false">IF(EH2569&lt;&gt;"",1,0)</f>
        <v>0</v>
      </c>
      <c r="BB2569" s="0" t="s">
        <v>152</v>
      </c>
      <c r="CP2569" s="0" t="s">
        <v>153</v>
      </c>
      <c r="DC2569" s="0" t="s">
        <v>153</v>
      </c>
    </row>
    <row r="2570" customFormat="false" ht="13.8" hidden="false" customHeight="false" outlineLevel="0" collapsed="false">
      <c r="A2570" s="0" t="s">
        <v>10982</v>
      </c>
      <c r="B2570" s="0" t="n">
        <v>78</v>
      </c>
      <c r="C2570" s="0" t="n">
        <v>13966</v>
      </c>
      <c r="D2570" s="0" t="s">
        <v>10983</v>
      </c>
      <c r="E2570" s="0" t="s">
        <v>5866</v>
      </c>
      <c r="F2570" s="0" t="str">
        <f aca="false">CONCATENATE(D2570," ",LEFT(H2570,4),"T=",AU2570,"D=",AV2570,"R=",AW2570,"M=",AX2570,"L=",AY2570,"B=",AZ2570)</f>
        <v>ROLLISON T=2D=0R=0M=8L=7B=1</v>
      </c>
      <c r="G2570" s="0" t="s">
        <v>195</v>
      </c>
      <c r="I2570" s="0" t="s">
        <v>10984</v>
      </c>
      <c r="J2570" s="0" t="s">
        <v>10985</v>
      </c>
      <c r="K2570" s="0" t="s">
        <v>160</v>
      </c>
      <c r="L2570" s="0" t="s">
        <v>175</v>
      </c>
      <c r="M2570" s="0" t="s">
        <v>10986</v>
      </c>
      <c r="N2570" s="0" t="str">
        <f aca="false">RIGHT(M2570,LEN(M2570)-FIND(" ",M2570))</f>
        <v>WOODBINE AVE SE</v>
      </c>
      <c r="P2570" s="0" t="s">
        <v>145</v>
      </c>
      <c r="Q2570" s="0" t="s">
        <v>146</v>
      </c>
      <c r="R2570" s="0" t="n">
        <v>44484</v>
      </c>
      <c r="AD2570" s="0" t="s">
        <v>147</v>
      </c>
      <c r="AE2570" s="0" t="s">
        <v>148</v>
      </c>
      <c r="AF2570" s="0" t="s">
        <v>149</v>
      </c>
      <c r="AH2570" s="0" t="n">
        <v>14</v>
      </c>
      <c r="AI2570" s="0" t="n">
        <v>11</v>
      </c>
      <c r="AN2570" s="0" t="s">
        <v>145</v>
      </c>
      <c r="AO2570" s="0" t="s">
        <v>150</v>
      </c>
      <c r="AP2570" s="0" t="s">
        <v>151</v>
      </c>
      <c r="AQ2570" s="0" t="n">
        <v>9</v>
      </c>
      <c r="AR2570" s="0" t="n">
        <v>64</v>
      </c>
      <c r="AS2570" s="0" t="n">
        <v>32</v>
      </c>
      <c r="AU2570" s="0" t="n">
        <f aca="false">COUNTA($BA$14:$EH$14)</f>
        <v>2</v>
      </c>
      <c r="AV2570" s="0" t="n">
        <f aca="false">COUNTIF($BA$14:$EH$14,"D")</f>
        <v>0</v>
      </c>
      <c r="AW2570" s="0" t="n">
        <f aca="false">COUNTIF($BA$14:$EH$14,"R")</f>
        <v>0</v>
      </c>
      <c r="AX2570" s="0" t="n">
        <f aca="false">IF(BN2570="D",1,0)+IF(BO2570="D",1,0)+IF(BT2570="D",1,0)+IF(BU2570="D",1,0)+IF(BW2570="D",1,0)+IF(CC2570="D",1,0)+IF(CD2570="D",1,0)+IF(CE2570="D",1,0)+IF(CF2570="D",1,0)+IF(CL2570="D",1,0)+IF(CM2570="D",1,0)+IF(CQ2570="D",1,0)+IF(CR2570="D",1,0)+IF(CS2570="D",1,0)+IF(CW2570="D",1,0)+IF(CX2570="D",1,0)+IF(DD2570="D",1,0)+IF(DE2570="D",1,0)+IF(DJ2570="D",1,0)+IF(DK2570="D",1,0)+IF(DO2570="D",1,0)+IF(DP2570="D",1,0)+IF(DQ2570="D",1,0)+IF(DW2570="D",1,0)+IF(DZ2570="D",1,0)+IF(EH2570="D",1,0)</f>
        <v>8</v>
      </c>
      <c r="AY2570" s="0" t="n">
        <f aca="false">COUNTIF(DU2570:EH2570, "&lt;&gt;")</f>
        <v>7</v>
      </c>
      <c r="AZ2570" s="0" t="n">
        <f aca="false">IF(EH2570&lt;&gt;"",1,0)</f>
        <v>1</v>
      </c>
      <c r="BB2570" s="0" t="s">
        <v>152</v>
      </c>
      <c r="BC2570" s="0" t="s">
        <v>153</v>
      </c>
      <c r="BD2570" s="0" t="s">
        <v>153</v>
      </c>
      <c r="BE2570" s="0" t="s">
        <v>153</v>
      </c>
      <c r="BF2570" s="0" t="s">
        <v>153</v>
      </c>
      <c r="BG2570" s="0" t="s">
        <v>153</v>
      </c>
      <c r="BH2570" s="0" t="s">
        <v>153</v>
      </c>
      <c r="BI2570" s="0" t="s">
        <v>153</v>
      </c>
      <c r="BJ2570" s="0" t="s">
        <v>153</v>
      </c>
      <c r="BK2570" s="0" t="s">
        <v>153</v>
      </c>
      <c r="BL2570" s="0" t="s">
        <v>153</v>
      </c>
      <c r="BP2570" s="0" t="s">
        <v>153</v>
      </c>
      <c r="BR2570" s="0" t="s">
        <v>153</v>
      </c>
      <c r="BS2570" s="0" t="s">
        <v>153</v>
      </c>
      <c r="BT2570" s="0" t="s">
        <v>153</v>
      </c>
      <c r="BV2570" s="0" t="s">
        <v>153</v>
      </c>
      <c r="BY2570" s="0" t="s">
        <v>175</v>
      </c>
      <c r="CA2570" s="0" t="s">
        <v>153</v>
      </c>
      <c r="CC2570" s="0" t="s">
        <v>175</v>
      </c>
      <c r="CG2570" s="0" t="s">
        <v>153</v>
      </c>
      <c r="CH2570" s="0" t="s">
        <v>175</v>
      </c>
      <c r="CK2570" s="0" t="s">
        <v>153</v>
      </c>
      <c r="CL2570" s="0" t="s">
        <v>175</v>
      </c>
      <c r="CN2570" s="0" t="s">
        <v>153</v>
      </c>
      <c r="CO2570" s="0" t="s">
        <v>175</v>
      </c>
      <c r="CP2570" s="0" t="s">
        <v>153</v>
      </c>
      <c r="CQ2570" s="0" t="s">
        <v>175</v>
      </c>
      <c r="CT2570" s="0" t="s">
        <v>153</v>
      </c>
      <c r="CU2570" s="0" t="s">
        <v>175</v>
      </c>
      <c r="CV2570" s="0" t="s">
        <v>153</v>
      </c>
      <c r="CW2570" s="0" t="s">
        <v>175</v>
      </c>
      <c r="CY2570" s="0" t="s">
        <v>153</v>
      </c>
      <c r="CZ2570" s="0" t="s">
        <v>175</v>
      </c>
      <c r="DC2570" s="0" t="s">
        <v>153</v>
      </c>
      <c r="DD2570" s="0" t="s">
        <v>175</v>
      </c>
      <c r="DF2570" s="0" t="s">
        <v>153</v>
      </c>
      <c r="DG2570" s="0" t="s">
        <v>175</v>
      </c>
      <c r="DI2570" s="0" t="s">
        <v>153</v>
      </c>
      <c r="DJ2570" s="0" t="s">
        <v>175</v>
      </c>
      <c r="DL2570" s="0" t="s">
        <v>153</v>
      </c>
      <c r="DM2570" s="0" t="s">
        <v>175</v>
      </c>
      <c r="DN2570" s="0" t="s">
        <v>153</v>
      </c>
      <c r="DR2570" s="0" t="s">
        <v>153</v>
      </c>
      <c r="DS2570" s="0" t="s">
        <v>175</v>
      </c>
      <c r="DT2570" s="0" t="s">
        <v>175</v>
      </c>
      <c r="DU2570" s="0" t="s">
        <v>153</v>
      </c>
      <c r="DW2570" s="0" t="s">
        <v>175</v>
      </c>
      <c r="DX2570" s="0" t="s">
        <v>153</v>
      </c>
      <c r="EA2570" s="0" t="s">
        <v>153</v>
      </c>
      <c r="ED2570" s="0" t="s">
        <v>175</v>
      </c>
      <c r="EF2570" s="0" t="s">
        <v>153</v>
      </c>
      <c r="EH2570" s="0" t="s">
        <v>175</v>
      </c>
    </row>
    <row r="2571" customFormat="false" ht="13.8" hidden="true" customHeight="false" outlineLevel="0" collapsed="false">
      <c r="A2571" s="0" t="s">
        <v>10987</v>
      </c>
      <c r="B2571" s="0" t="n">
        <v>78</v>
      </c>
      <c r="C2571" s="0" t="n">
        <v>291620</v>
      </c>
      <c r="D2571" s="0" t="s">
        <v>10988</v>
      </c>
      <c r="E2571" s="0" t="s">
        <v>274</v>
      </c>
      <c r="F2571" s="0" t="str">
        <f aca="false">CONCATENATE(D2571," ",LEFT(H2571,4),"T=",AU2571,"D=",AV2571,"R=",AW2571,"M=",AX2571,"L=",AY2571,"B=",AZ2571)</f>
        <v>LAUER IIIT=8D=1R=0M=0L=1B=0</v>
      </c>
      <c r="G2571" s="0" t="s">
        <v>195</v>
      </c>
      <c r="H2571" s="0" t="s">
        <v>1932</v>
      </c>
      <c r="I2571" s="0" t="s">
        <v>10989</v>
      </c>
      <c r="J2571" s="0" t="s">
        <v>10990</v>
      </c>
      <c r="K2571" s="0" t="s">
        <v>160</v>
      </c>
      <c r="M2571" s="0" t="s">
        <v>10991</v>
      </c>
      <c r="N2571" s="0" t="str">
        <f aca="false">RIGHT(M2571,LEN(M2571)-FIND(" ",M2571))</f>
        <v>WOODBINE AVE SE</v>
      </c>
      <c r="P2571" s="0" t="s">
        <v>145</v>
      </c>
      <c r="Q2571" s="0" t="s">
        <v>146</v>
      </c>
      <c r="R2571" s="0" t="n">
        <v>44484</v>
      </c>
      <c r="AD2571" s="0" t="s">
        <v>147</v>
      </c>
      <c r="AE2571" s="0" t="s">
        <v>148</v>
      </c>
      <c r="AF2571" s="0" t="s">
        <v>149</v>
      </c>
      <c r="AH2571" s="0" t="n">
        <v>14</v>
      </c>
      <c r="AI2571" s="0" t="n">
        <v>11</v>
      </c>
      <c r="AN2571" s="0" t="s">
        <v>145</v>
      </c>
      <c r="AO2571" s="0" t="s">
        <v>150</v>
      </c>
      <c r="AP2571" s="0" t="s">
        <v>151</v>
      </c>
      <c r="AQ2571" s="0" t="n">
        <v>9</v>
      </c>
      <c r="AR2571" s="0" t="n">
        <v>64</v>
      </c>
      <c r="AS2571" s="0" t="n">
        <v>32</v>
      </c>
      <c r="AU2571" s="0" t="n">
        <f aca="false">COUNTA($BA$61:$EH$61)</f>
        <v>8</v>
      </c>
      <c r="AV2571" s="0" t="n">
        <f aca="false">COUNTIF($BA$61:$EH$61,"D")</f>
        <v>1</v>
      </c>
      <c r="AW2571" s="0" t="n">
        <f aca="false">COUNTIF($BA$61:$EH$61,"R")</f>
        <v>0</v>
      </c>
      <c r="AX2571" s="0" t="n">
        <f aca="false">IF(BN2571="D",1,0)+IF(BO2571="D",1,0)+IF(BT2571="D",1,0)+IF(BU2571="D",1,0)+IF(BW2571="D",1,0)+IF(CC2571="D",1,0)+IF(CD2571="D",1,0)+IF(CE2571="D",1,0)+IF(CF2571="D",1,0)+IF(CL2571="D",1,0)+IF(CM2571="D",1,0)+IF(CQ2571="D",1,0)+IF(CR2571="D",1,0)+IF(CS2571="D",1,0)+IF(CW2571="D",1,0)+IF(CX2571="D",1,0)+IF(DD2571="D",1,0)+IF(DE2571="D",1,0)+IF(DJ2571="D",1,0)+IF(DK2571="D",1,0)+IF(DO2571="D",1,0)+IF(DP2571="D",1,0)+IF(DQ2571="D",1,0)+IF(DW2571="D",1,0)+IF(DZ2571="D",1,0)+IF(EH2571="D",1,0)</f>
        <v>0</v>
      </c>
      <c r="AY2571" s="0" t="n">
        <f aca="false">COUNTIF(DU2571:EH2571, "&lt;&gt;")</f>
        <v>1</v>
      </c>
      <c r="AZ2571" s="0" t="n">
        <f aca="false">IF(EH2571&lt;&gt;"",1,0)</f>
        <v>0</v>
      </c>
      <c r="BB2571" s="0" t="s">
        <v>152</v>
      </c>
      <c r="BL2571" s="0" t="s">
        <v>153</v>
      </c>
      <c r="BY2571" s="0" t="s">
        <v>209</v>
      </c>
      <c r="CP2571" s="0" t="s">
        <v>153</v>
      </c>
      <c r="DC2571" s="0" t="s">
        <v>153</v>
      </c>
      <c r="DN2571" s="0" t="s">
        <v>153</v>
      </c>
      <c r="EF2571" s="0" t="s">
        <v>153</v>
      </c>
    </row>
    <row r="2572" customFormat="false" ht="13.8" hidden="false" customHeight="false" outlineLevel="0" collapsed="false">
      <c r="A2572" s="0" t="s">
        <v>10992</v>
      </c>
      <c r="B2572" s="0" t="n">
        <v>78</v>
      </c>
      <c r="C2572" s="0" t="n">
        <v>342371</v>
      </c>
      <c r="D2572" s="0" t="s">
        <v>10993</v>
      </c>
      <c r="E2572" s="0" t="s">
        <v>8142</v>
      </c>
      <c r="F2572" s="0" t="str">
        <f aca="false">CONCATENATE(D2572," ",LEFT(H2572,4),"T=",AU2572,"D=",AV2572,"R=",AW2572,"M=",AX2572,"L=",AY2572,"B=",AZ2572)</f>
        <v>STOREY WORKLEY T=1D=0R=0M=1L=7B=1</v>
      </c>
      <c r="G2572" s="0" t="s">
        <v>171</v>
      </c>
      <c r="I2572" s="0" t="s">
        <v>10994</v>
      </c>
      <c r="J2572" s="0" t="s">
        <v>10995</v>
      </c>
      <c r="K2572" s="0" t="s">
        <v>160</v>
      </c>
      <c r="L2572" s="0" t="s">
        <v>209</v>
      </c>
      <c r="M2572" s="0" t="s">
        <v>10996</v>
      </c>
      <c r="N2572" s="0" t="str">
        <f aca="false">RIGHT(M2572,LEN(M2572)-FIND(" ",M2572))</f>
        <v>WOODBINE AVE SE</v>
      </c>
      <c r="P2572" s="0" t="s">
        <v>145</v>
      </c>
      <c r="Q2572" s="0" t="s">
        <v>146</v>
      </c>
      <c r="R2572" s="0" t="n">
        <v>44484</v>
      </c>
      <c r="AD2572" s="0" t="s">
        <v>147</v>
      </c>
      <c r="AE2572" s="0" t="s">
        <v>148</v>
      </c>
      <c r="AF2572" s="0" t="s">
        <v>149</v>
      </c>
      <c r="AH2572" s="0" t="n">
        <v>14</v>
      </c>
      <c r="AI2572" s="0" t="n">
        <v>11</v>
      </c>
      <c r="AN2572" s="0" t="s">
        <v>145</v>
      </c>
      <c r="AO2572" s="0" t="s">
        <v>150</v>
      </c>
      <c r="AP2572" s="0" t="s">
        <v>151</v>
      </c>
      <c r="AQ2572" s="0" t="n">
        <v>9</v>
      </c>
      <c r="AR2572" s="0" t="n">
        <v>64</v>
      </c>
      <c r="AS2572" s="0" t="n">
        <v>32</v>
      </c>
      <c r="AU2572" s="0" t="n">
        <f aca="false">COUNTA($BA$174:$EH$174)</f>
        <v>1</v>
      </c>
      <c r="AV2572" s="0" t="n">
        <f aca="false">COUNTIF($BA$174:$EH$174,"D")</f>
        <v>0</v>
      </c>
      <c r="AW2572" s="0" t="n">
        <f aca="false">COUNTIF($BA$174:$EH$174,"R")</f>
        <v>0</v>
      </c>
      <c r="AX2572" s="0" t="n">
        <f aca="false">IF(BN2572="D",1,0)+IF(BO2572="D",1,0)+IF(BT2572="D",1,0)+IF(BU2572="D",1,0)+IF(BW2572="D",1,0)+IF(CC2572="D",1,0)+IF(CD2572="D",1,0)+IF(CE2572="D",1,0)+IF(CF2572="D",1,0)+IF(CL2572="D",1,0)+IF(CM2572="D",1,0)+IF(CQ2572="D",1,0)+IF(CR2572="D",1,0)+IF(CS2572="D",1,0)+IF(CW2572="D",1,0)+IF(CX2572="D",1,0)+IF(DD2572="D",1,0)+IF(DE2572="D",1,0)+IF(DJ2572="D",1,0)+IF(DK2572="D",1,0)+IF(DO2572="D",1,0)+IF(DP2572="D",1,0)+IF(DQ2572="D",1,0)+IF(DW2572="D",1,0)+IF(DZ2572="D",1,0)+IF(EH2572="D",1,0)</f>
        <v>1</v>
      </c>
      <c r="AY2572" s="0" t="n">
        <f aca="false">COUNTIF(DU2572:EH2572, "&lt;&gt;")</f>
        <v>7</v>
      </c>
      <c r="AZ2572" s="0" t="n">
        <f aca="false">IF(EH2572&lt;&gt;"",1,0)</f>
        <v>1</v>
      </c>
      <c r="BB2572" s="0" t="s">
        <v>152</v>
      </c>
      <c r="BL2572" s="0" t="s">
        <v>153</v>
      </c>
      <c r="BP2572" s="0" t="s">
        <v>153</v>
      </c>
      <c r="BR2572" s="0" t="s">
        <v>153</v>
      </c>
      <c r="BS2572" s="0" t="s">
        <v>153</v>
      </c>
      <c r="BT2572" s="0" t="s">
        <v>153</v>
      </c>
      <c r="BV2572" s="0" t="s">
        <v>153</v>
      </c>
      <c r="CA2572" s="0" t="s">
        <v>153</v>
      </c>
      <c r="CG2572" s="0" t="s">
        <v>153</v>
      </c>
      <c r="CK2572" s="0" t="s">
        <v>153</v>
      </c>
      <c r="CN2572" s="0" t="s">
        <v>153</v>
      </c>
      <c r="CO2572" s="0" t="s">
        <v>209</v>
      </c>
      <c r="CP2572" s="0" t="s">
        <v>153</v>
      </c>
      <c r="CT2572" s="0" t="s">
        <v>153</v>
      </c>
      <c r="CV2572" s="0" t="s">
        <v>153</v>
      </c>
      <c r="CY2572" s="0" t="s">
        <v>153</v>
      </c>
      <c r="CZ2572" s="0" t="s">
        <v>209</v>
      </c>
      <c r="DC2572" s="0" t="s">
        <v>153</v>
      </c>
      <c r="DD2572" s="0" t="s">
        <v>175</v>
      </c>
      <c r="DF2572" s="0" t="s">
        <v>153</v>
      </c>
      <c r="DG2572" s="0" t="s">
        <v>209</v>
      </c>
      <c r="DI2572" s="0" t="s">
        <v>153</v>
      </c>
      <c r="DL2572" s="0" t="s">
        <v>153</v>
      </c>
      <c r="DM2572" s="0" t="s">
        <v>209</v>
      </c>
      <c r="DN2572" s="0" t="s">
        <v>153</v>
      </c>
      <c r="DR2572" s="0" t="s">
        <v>153</v>
      </c>
      <c r="DS2572" s="0" t="s">
        <v>209</v>
      </c>
      <c r="DT2572" s="0" t="s">
        <v>209</v>
      </c>
      <c r="DU2572" s="0" t="s">
        <v>153</v>
      </c>
      <c r="DW2572" s="0" t="s">
        <v>153</v>
      </c>
      <c r="DX2572" s="0" t="s">
        <v>153</v>
      </c>
      <c r="EA2572" s="0" t="s">
        <v>153</v>
      </c>
      <c r="ED2572" s="0" t="s">
        <v>209</v>
      </c>
      <c r="EF2572" s="0" t="s">
        <v>153</v>
      </c>
      <c r="EH2572" s="0" t="s">
        <v>153</v>
      </c>
    </row>
    <row r="2573" customFormat="false" ht="13.8" hidden="false" customHeight="false" outlineLevel="0" collapsed="false">
      <c r="A2573" s="0" t="s">
        <v>10997</v>
      </c>
      <c r="B2573" s="0" t="n">
        <v>78</v>
      </c>
      <c r="C2573" s="0" t="n">
        <v>342368</v>
      </c>
      <c r="D2573" s="0" t="s">
        <v>10998</v>
      </c>
      <c r="E2573" s="0" t="s">
        <v>719</v>
      </c>
      <c r="F2573" s="0" t="str">
        <f aca="false">CONCATENATE(D2573," ",LEFT(H2573,4),"T=",AU2573,"D=",AV2573,"R=",AW2573,"M=",AX2573,"L=",AY2573,"B=",AZ2573)</f>
        <v>WORKLEY T=11D=1R=0M=2L=7B=1</v>
      </c>
      <c r="G2573" s="0" t="s">
        <v>606</v>
      </c>
      <c r="I2573" s="0" t="s">
        <v>5025</v>
      </c>
      <c r="J2573" s="0" t="s">
        <v>10999</v>
      </c>
      <c r="K2573" s="0" t="s">
        <v>160</v>
      </c>
      <c r="L2573" s="0" t="s">
        <v>209</v>
      </c>
      <c r="M2573" s="0" t="s">
        <v>10996</v>
      </c>
      <c r="N2573" s="0" t="str">
        <f aca="false">RIGHT(M2573,LEN(M2573)-FIND(" ",M2573))</f>
        <v>WOODBINE AVE SE</v>
      </c>
      <c r="P2573" s="0" t="s">
        <v>145</v>
      </c>
      <c r="Q2573" s="0" t="s">
        <v>146</v>
      </c>
      <c r="R2573" s="0" t="n">
        <v>44484</v>
      </c>
      <c r="AD2573" s="0" t="s">
        <v>147</v>
      </c>
      <c r="AE2573" s="0" t="s">
        <v>148</v>
      </c>
      <c r="AF2573" s="0" t="s">
        <v>149</v>
      </c>
      <c r="AH2573" s="0" t="n">
        <v>14</v>
      </c>
      <c r="AI2573" s="0" t="n">
        <v>11</v>
      </c>
      <c r="AN2573" s="0" t="s">
        <v>145</v>
      </c>
      <c r="AO2573" s="0" t="s">
        <v>150</v>
      </c>
      <c r="AP2573" s="0" t="s">
        <v>151</v>
      </c>
      <c r="AQ2573" s="0" t="n">
        <v>9</v>
      </c>
      <c r="AR2573" s="0" t="n">
        <v>64</v>
      </c>
      <c r="AS2573" s="0" t="n">
        <v>32</v>
      </c>
      <c r="AU2573" s="0" t="n">
        <f aca="false">COUNTA($BA$197:$EH$197)</f>
        <v>11</v>
      </c>
      <c r="AV2573" s="0" t="n">
        <f aca="false">COUNTIF($BA$197:$EH$197,"D")</f>
        <v>1</v>
      </c>
      <c r="AW2573" s="0" t="n">
        <f aca="false">COUNTIF($BA$197:$EH$197,"R")</f>
        <v>0</v>
      </c>
      <c r="AX2573" s="0" t="n">
        <f aca="false">IF(BN2573="D",1,0)+IF(BO2573="D",1,0)+IF(BT2573="D",1,0)+IF(BU2573="D",1,0)+IF(BW2573="D",1,0)+IF(CC2573="D",1,0)+IF(CD2573="D",1,0)+IF(CE2573="D",1,0)+IF(CF2573="D",1,0)+IF(CL2573="D",1,0)+IF(CM2573="D",1,0)+IF(CQ2573="D",1,0)+IF(CR2573="D",1,0)+IF(CS2573="D",1,0)+IF(CW2573="D",1,0)+IF(CX2573="D",1,0)+IF(DD2573="D",1,0)+IF(DE2573="D",1,0)+IF(DJ2573="D",1,0)+IF(DK2573="D",1,0)+IF(DO2573="D",1,0)+IF(DP2573="D",1,0)+IF(DQ2573="D",1,0)+IF(DW2573="D",1,0)+IF(DZ2573="D",1,0)+IF(EH2573="D",1,0)</f>
        <v>2</v>
      </c>
      <c r="AY2573" s="0" t="n">
        <f aca="false">COUNTIF(DU2573:EH2573, "&lt;&gt;")</f>
        <v>7</v>
      </c>
      <c r="AZ2573" s="0" t="n">
        <f aca="false">IF(EH2573&lt;&gt;"",1,0)</f>
        <v>1</v>
      </c>
      <c r="BB2573" s="0" t="s">
        <v>152</v>
      </c>
      <c r="BL2573" s="0" t="s">
        <v>153</v>
      </c>
      <c r="BP2573" s="0" t="s">
        <v>153</v>
      </c>
      <c r="BR2573" s="0" t="s">
        <v>153</v>
      </c>
      <c r="BS2573" s="0" t="s">
        <v>153</v>
      </c>
      <c r="BT2573" s="0" t="s">
        <v>153</v>
      </c>
      <c r="BV2573" s="0" t="s">
        <v>153</v>
      </c>
      <c r="BY2573" s="0" t="s">
        <v>209</v>
      </c>
      <c r="CA2573" s="0" t="s">
        <v>153</v>
      </c>
      <c r="CG2573" s="0" t="s">
        <v>153</v>
      </c>
      <c r="CH2573" s="0" t="s">
        <v>209</v>
      </c>
      <c r="CK2573" s="0" t="s">
        <v>153</v>
      </c>
      <c r="CN2573" s="0" t="s">
        <v>153</v>
      </c>
      <c r="CO2573" s="0" t="s">
        <v>209</v>
      </c>
      <c r="CP2573" s="0" t="s">
        <v>153</v>
      </c>
      <c r="CQ2573" s="0" t="s">
        <v>175</v>
      </c>
      <c r="CT2573" s="0" t="s">
        <v>153</v>
      </c>
      <c r="CU2573" s="0" t="s">
        <v>209</v>
      </c>
      <c r="CV2573" s="0" t="s">
        <v>153</v>
      </c>
      <c r="CY2573" s="0" t="s">
        <v>153</v>
      </c>
      <c r="CZ2573" s="0" t="s">
        <v>209</v>
      </c>
      <c r="DC2573" s="0" t="s">
        <v>153</v>
      </c>
      <c r="DD2573" s="0" t="s">
        <v>175</v>
      </c>
      <c r="DF2573" s="0" t="s">
        <v>153</v>
      </c>
      <c r="DG2573" s="0" t="s">
        <v>209</v>
      </c>
      <c r="DI2573" s="0" t="s">
        <v>153</v>
      </c>
      <c r="DL2573" s="0" t="s">
        <v>153</v>
      </c>
      <c r="DM2573" s="0" t="s">
        <v>209</v>
      </c>
      <c r="DN2573" s="0" t="s">
        <v>153</v>
      </c>
      <c r="DS2573" s="0" t="s">
        <v>209</v>
      </c>
      <c r="DT2573" s="0" t="s">
        <v>209</v>
      </c>
      <c r="DU2573" s="0" t="s">
        <v>153</v>
      </c>
      <c r="DW2573" s="0" t="s">
        <v>153</v>
      </c>
      <c r="DX2573" s="0" t="s">
        <v>153</v>
      </c>
      <c r="EA2573" s="0" t="s">
        <v>153</v>
      </c>
      <c r="ED2573" s="0" t="s">
        <v>209</v>
      </c>
      <c r="EF2573" s="0" t="s">
        <v>153</v>
      </c>
      <c r="EH2573" s="0" t="s">
        <v>153</v>
      </c>
    </row>
    <row r="2574" customFormat="false" ht="13.8" hidden="true" customHeight="false" outlineLevel="0" collapsed="false">
      <c r="A2574" s="0" t="s">
        <v>11000</v>
      </c>
      <c r="B2574" s="0" t="n">
        <v>78</v>
      </c>
      <c r="C2574" s="0" t="n">
        <v>416948</v>
      </c>
      <c r="D2574" s="0" t="s">
        <v>11001</v>
      </c>
      <c r="E2574" s="0" t="s">
        <v>469</v>
      </c>
      <c r="F2574" s="0" t="str">
        <f aca="false">CONCATENATE(D2574," ",LEFT(H2574,4),"T=",AU2574,"D=",AV2574,"R=",AW2574,"M=",AX2574,"L=",AY2574,"B=",AZ2574)</f>
        <v>PADEN T=2D=0R=0M=0L=0B=0</v>
      </c>
      <c r="G2574" s="0" t="s">
        <v>606</v>
      </c>
      <c r="I2574" s="0" t="s">
        <v>11002</v>
      </c>
      <c r="J2574" s="0" t="s">
        <v>565</v>
      </c>
      <c r="K2574" s="0" t="s">
        <v>160</v>
      </c>
      <c r="M2574" s="0" t="s">
        <v>11003</v>
      </c>
      <c r="N2574" s="0" t="str">
        <f aca="false">RIGHT(M2574,LEN(M2574)-FIND(" ",M2574))</f>
        <v>WOODBINE AVE SE</v>
      </c>
      <c r="P2574" s="0" t="s">
        <v>145</v>
      </c>
      <c r="Q2574" s="0" t="s">
        <v>146</v>
      </c>
      <c r="R2574" s="0" t="n">
        <v>44484</v>
      </c>
      <c r="AD2574" s="0" t="s">
        <v>147</v>
      </c>
      <c r="AE2574" s="0" t="s">
        <v>148</v>
      </c>
      <c r="AF2574" s="0" t="s">
        <v>149</v>
      </c>
      <c r="AH2574" s="0" t="n">
        <v>14</v>
      </c>
      <c r="AI2574" s="0" t="n">
        <v>11</v>
      </c>
      <c r="AN2574" s="0" t="s">
        <v>145</v>
      </c>
      <c r="AO2574" s="0" t="s">
        <v>150</v>
      </c>
      <c r="AP2574" s="0" t="s">
        <v>151</v>
      </c>
      <c r="AQ2574" s="0" t="n">
        <v>9</v>
      </c>
      <c r="AR2574" s="0" t="n">
        <v>64</v>
      </c>
      <c r="AS2574" s="0" t="n">
        <v>32</v>
      </c>
      <c r="AU2574" s="0" t="n">
        <f aca="false">COUNTA($BA$198:$EH$198)</f>
        <v>2</v>
      </c>
      <c r="AV2574" s="0" t="n">
        <f aca="false">COUNTIF($BA$198:$EH$198,"D")</f>
        <v>0</v>
      </c>
      <c r="AW2574" s="0" t="n">
        <f aca="false">COUNTIF($BA$198:$EH$198,"R")</f>
        <v>0</v>
      </c>
      <c r="AX2574" s="0" t="n">
        <f aca="false">IF(BN2574="D",1,0)+IF(BO2574="D",1,0)+IF(BT2574="D",1,0)+IF(BU2574="D",1,0)+IF(BW2574="D",1,0)+IF(CC2574="D",1,0)+IF(CD2574="D",1,0)+IF(CE2574="D",1,0)+IF(CF2574="D",1,0)+IF(CL2574="D",1,0)+IF(CM2574="D",1,0)+IF(CQ2574="D",1,0)+IF(CR2574="D",1,0)+IF(CS2574="D",1,0)+IF(CW2574="D",1,0)+IF(CX2574="D",1,0)+IF(DD2574="D",1,0)+IF(DE2574="D",1,0)+IF(DJ2574="D",1,0)+IF(DK2574="D",1,0)+IF(DO2574="D",1,0)+IF(DP2574="D",1,0)+IF(DQ2574="D",1,0)+IF(DW2574="D",1,0)+IF(DZ2574="D",1,0)+IF(EH2574="D",1,0)</f>
        <v>0</v>
      </c>
      <c r="AY2574" s="0" t="n">
        <f aca="false">COUNTIF(DU2574:EH2574, "&lt;&gt;")</f>
        <v>0</v>
      </c>
      <c r="AZ2574" s="0" t="n">
        <f aca="false">IF(EH2574&lt;&gt;"",1,0)</f>
        <v>0</v>
      </c>
      <c r="BB2574" s="0" t="s">
        <v>152</v>
      </c>
      <c r="DC2574" s="0" t="s">
        <v>153</v>
      </c>
    </row>
    <row r="2575" customFormat="false" ht="13.8" hidden="true" customHeight="false" outlineLevel="0" collapsed="false">
      <c r="A2575" s="0" t="s">
        <v>11004</v>
      </c>
      <c r="B2575" s="0" t="n">
        <v>78</v>
      </c>
      <c r="C2575" s="0" t="n">
        <v>445132</v>
      </c>
      <c r="D2575" s="0" t="s">
        <v>11005</v>
      </c>
      <c r="E2575" s="0" t="s">
        <v>1917</v>
      </c>
      <c r="F2575" s="0" t="str">
        <f aca="false">CONCATENATE(D2575," ",LEFT(H2575,4),"T=",AU2575,"D=",AV2575,"R=",AW2575,"M=",AX2575,"L=",AY2575,"B=",AZ2575)</f>
        <v>TEASLEY T=1D=0R=0M=0L=0B=0</v>
      </c>
      <c r="G2575" s="0" t="s">
        <v>890</v>
      </c>
      <c r="I2575" s="0" t="s">
        <v>11006</v>
      </c>
      <c r="J2575" s="0" t="s">
        <v>7288</v>
      </c>
      <c r="K2575" s="0" t="s">
        <v>160</v>
      </c>
      <c r="M2575" s="0" t="s">
        <v>11003</v>
      </c>
      <c r="N2575" s="0" t="str">
        <f aca="false">RIGHT(M2575,LEN(M2575)-FIND(" ",M2575))</f>
        <v>WOODBINE AVE SE</v>
      </c>
      <c r="P2575" s="0" t="s">
        <v>145</v>
      </c>
      <c r="Q2575" s="0" t="s">
        <v>146</v>
      </c>
      <c r="R2575" s="0" t="n">
        <v>44484</v>
      </c>
      <c r="AD2575" s="0" t="s">
        <v>147</v>
      </c>
      <c r="AE2575" s="0" t="s">
        <v>148</v>
      </c>
      <c r="AF2575" s="0" t="s">
        <v>149</v>
      </c>
      <c r="AH2575" s="0" t="n">
        <v>14</v>
      </c>
      <c r="AI2575" s="0" t="n">
        <v>11</v>
      </c>
      <c r="AN2575" s="0" t="s">
        <v>145</v>
      </c>
      <c r="AO2575" s="0" t="s">
        <v>150</v>
      </c>
      <c r="AP2575" s="0" t="s">
        <v>151</v>
      </c>
      <c r="AQ2575" s="0" t="n">
        <v>9</v>
      </c>
      <c r="AR2575" s="0" t="n">
        <v>64</v>
      </c>
      <c r="AS2575" s="0" t="n">
        <v>32</v>
      </c>
      <c r="AU2575" s="0" t="n">
        <f aca="false">COUNTA($BA$432:$EH$432)</f>
        <v>1</v>
      </c>
      <c r="AV2575" s="0" t="n">
        <f aca="false">COUNTIF($BA$432:$EH$432,"D")</f>
        <v>0</v>
      </c>
      <c r="AW2575" s="0" t="n">
        <f aca="false">COUNTIF($BA$432:$EH$432,"R")</f>
        <v>0</v>
      </c>
      <c r="AX2575" s="0" t="n">
        <f aca="false">IF(BN2575="D",1,0)+IF(BO2575="D",1,0)+IF(BT2575="D",1,0)+IF(BU2575="D",1,0)+IF(BW2575="D",1,0)+IF(CC2575="D",1,0)+IF(CD2575="D",1,0)+IF(CE2575="D",1,0)+IF(CF2575="D",1,0)+IF(CL2575="D",1,0)+IF(CM2575="D",1,0)+IF(CQ2575="D",1,0)+IF(CR2575="D",1,0)+IF(CS2575="D",1,0)+IF(CW2575="D",1,0)+IF(CX2575="D",1,0)+IF(DD2575="D",1,0)+IF(DE2575="D",1,0)+IF(DJ2575="D",1,0)+IF(DK2575="D",1,0)+IF(DO2575="D",1,0)+IF(DP2575="D",1,0)+IF(DQ2575="D",1,0)+IF(DW2575="D",1,0)+IF(DZ2575="D",1,0)+IF(EH2575="D",1,0)</f>
        <v>0</v>
      </c>
      <c r="AY2575" s="0" t="n">
        <f aca="false">COUNTIF(DU2575:EH2575, "&lt;&gt;")</f>
        <v>0</v>
      </c>
      <c r="AZ2575" s="0" t="n">
        <f aca="false">IF(EH2575&lt;&gt;"",1,0)</f>
        <v>0</v>
      </c>
      <c r="BB2575" s="0" t="s">
        <v>152</v>
      </c>
      <c r="BL2575" s="0" t="s">
        <v>153</v>
      </c>
    </row>
    <row r="2576" customFormat="false" ht="13.8" hidden="true" customHeight="false" outlineLevel="0" collapsed="false">
      <c r="A2576" s="0" t="s">
        <v>11007</v>
      </c>
      <c r="B2576" s="0" t="n">
        <v>78</v>
      </c>
      <c r="C2576" s="0" t="n">
        <v>462010</v>
      </c>
      <c r="D2576" s="0" t="s">
        <v>11005</v>
      </c>
      <c r="E2576" s="0" t="s">
        <v>4009</v>
      </c>
      <c r="F2576" s="0" t="str">
        <f aca="false">CONCATENATE(D2576," ",LEFT(H2576,4),"T=",AU2576,"D=",AV2576,"R=",AW2576,"M=",AX2576,"L=",AY2576,"B=",AZ2576)</f>
        <v>TEASLEY T=6D=0R=0M=0L=0B=0</v>
      </c>
      <c r="G2576" s="0" t="s">
        <v>202</v>
      </c>
      <c r="I2576" s="0" t="s">
        <v>11008</v>
      </c>
      <c r="J2576" s="0" t="s">
        <v>3340</v>
      </c>
      <c r="K2576" s="0" t="s">
        <v>160</v>
      </c>
      <c r="M2576" s="0" t="s">
        <v>11003</v>
      </c>
      <c r="N2576" s="0" t="str">
        <f aca="false">RIGHT(M2576,LEN(M2576)-FIND(" ",M2576))</f>
        <v>WOODBINE AVE SE</v>
      </c>
      <c r="P2576" s="0" t="s">
        <v>145</v>
      </c>
      <c r="Q2576" s="0" t="s">
        <v>146</v>
      </c>
      <c r="R2576" s="0" t="n">
        <v>44484</v>
      </c>
      <c r="AD2576" s="0" t="s">
        <v>147</v>
      </c>
      <c r="AE2576" s="0" t="s">
        <v>148</v>
      </c>
      <c r="AF2576" s="0" t="s">
        <v>149</v>
      </c>
      <c r="AH2576" s="0" t="n">
        <v>14</v>
      </c>
      <c r="AI2576" s="0" t="n">
        <v>11</v>
      </c>
      <c r="AN2576" s="0" t="s">
        <v>145</v>
      </c>
      <c r="AO2576" s="0" t="s">
        <v>150</v>
      </c>
      <c r="AP2576" s="0" t="s">
        <v>151</v>
      </c>
      <c r="AQ2576" s="0" t="n">
        <v>9</v>
      </c>
      <c r="AR2576" s="0" t="n">
        <v>64</v>
      </c>
      <c r="AS2576" s="0" t="n">
        <v>32</v>
      </c>
      <c r="AU2576" s="0" t="n">
        <f aca="false">COUNTA($BA$935:$EH$935)</f>
        <v>6</v>
      </c>
      <c r="AV2576" s="0" t="n">
        <f aca="false">COUNTIF($BA$935:$EH$935,"D")</f>
        <v>0</v>
      </c>
      <c r="AW2576" s="0" t="n">
        <f aca="false">COUNTIF($BA$935:$EH$935,"R")</f>
        <v>0</v>
      </c>
      <c r="AX2576" s="0" t="n">
        <f aca="false">IF(BN2576="D",1,0)+IF(BO2576="D",1,0)+IF(BT2576="D",1,0)+IF(BU2576="D",1,0)+IF(BW2576="D",1,0)+IF(CC2576="D",1,0)+IF(CD2576="D",1,0)+IF(CE2576="D",1,0)+IF(CF2576="D",1,0)+IF(CL2576="D",1,0)+IF(CM2576="D",1,0)+IF(CQ2576="D",1,0)+IF(CR2576="D",1,0)+IF(CS2576="D",1,0)+IF(CW2576="D",1,0)+IF(CX2576="D",1,0)+IF(DD2576="D",1,0)+IF(DE2576="D",1,0)+IF(DJ2576="D",1,0)+IF(DK2576="D",1,0)+IF(DO2576="D",1,0)+IF(DP2576="D",1,0)+IF(DQ2576="D",1,0)+IF(DW2576="D",1,0)+IF(DZ2576="D",1,0)+IF(EH2576="D",1,0)</f>
        <v>0</v>
      </c>
      <c r="AY2576" s="0" t="n">
        <f aca="false">COUNTIF(DU2576:EH2576, "&lt;&gt;")</f>
        <v>0</v>
      </c>
      <c r="AZ2576" s="0" t="n">
        <f aca="false">IF(EH2576&lt;&gt;"",1,0)</f>
        <v>0</v>
      </c>
      <c r="BB2576" s="0" t="s">
        <v>152</v>
      </c>
    </row>
    <row r="2577" customFormat="false" ht="13.8" hidden="false" customHeight="false" outlineLevel="0" collapsed="false">
      <c r="A2577" s="0" t="s">
        <v>11009</v>
      </c>
      <c r="B2577" s="0" t="n">
        <v>78</v>
      </c>
      <c r="C2577" s="0" t="n">
        <v>172515</v>
      </c>
      <c r="D2577" s="0" t="s">
        <v>2412</v>
      </c>
      <c r="E2577" s="0" t="s">
        <v>663</v>
      </c>
      <c r="F2577" s="0" t="str">
        <f aca="false">CONCATENATE(D2577," ",LEFT(H2577,4),"T=",AU2577,"D=",AV2577,"R=",AW2577,"M=",AX2577,"L=",AY2577,"B=",AZ2577)</f>
        <v>NORMAN T=1D=0R=0M=2L=4B=0</v>
      </c>
      <c r="G2577" s="0" t="s">
        <v>600</v>
      </c>
      <c r="I2577" s="0" t="s">
        <v>11010</v>
      </c>
      <c r="J2577" s="0" t="s">
        <v>11011</v>
      </c>
      <c r="K2577" s="0" t="s">
        <v>160</v>
      </c>
      <c r="L2577" s="0" t="s">
        <v>175</v>
      </c>
      <c r="M2577" s="0" t="s">
        <v>11012</v>
      </c>
      <c r="N2577" s="0" t="str">
        <f aca="false">RIGHT(M2577,LEN(M2577)-FIND(" ",M2577))</f>
        <v>WOODBINE AVE SE</v>
      </c>
      <c r="P2577" s="0" t="s">
        <v>145</v>
      </c>
      <c r="Q2577" s="0" t="s">
        <v>146</v>
      </c>
      <c r="R2577" s="0" t="n">
        <v>44484</v>
      </c>
      <c r="AD2577" s="0" t="s">
        <v>147</v>
      </c>
      <c r="AE2577" s="0" t="s">
        <v>148</v>
      </c>
      <c r="AF2577" s="0" t="s">
        <v>149</v>
      </c>
      <c r="AH2577" s="0" t="n">
        <v>14</v>
      </c>
      <c r="AI2577" s="0" t="n">
        <v>11</v>
      </c>
      <c r="AN2577" s="0" t="s">
        <v>145</v>
      </c>
      <c r="AO2577" s="0" t="s">
        <v>150</v>
      </c>
      <c r="AP2577" s="0" t="s">
        <v>151</v>
      </c>
      <c r="AQ2577" s="0" t="n">
        <v>9</v>
      </c>
      <c r="AR2577" s="0" t="n">
        <v>64</v>
      </c>
      <c r="AS2577" s="0" t="n">
        <v>32</v>
      </c>
      <c r="AU2577" s="0" t="n">
        <f aca="false">COUNTA($BA$25:$EH$25)</f>
        <v>1</v>
      </c>
      <c r="AV2577" s="0" t="n">
        <f aca="false">COUNTIF($BA$25:$EH$25,"D")</f>
        <v>0</v>
      </c>
      <c r="AW2577" s="0" t="n">
        <f aca="false">COUNTIF($BA$25:$EH$25,"R")</f>
        <v>0</v>
      </c>
      <c r="AX2577" s="0" t="n">
        <f aca="false">IF(BN2577="D",1,0)+IF(BO2577="D",1,0)+IF(BT2577="D",1,0)+IF(BU2577="D",1,0)+IF(BW2577="D",1,0)+IF(CC2577="D",1,0)+IF(CD2577="D",1,0)+IF(CE2577="D",1,0)+IF(CF2577="D",1,0)+IF(CL2577="D",1,0)+IF(CM2577="D",1,0)+IF(CQ2577="D",1,0)+IF(CR2577="D",1,0)+IF(CS2577="D",1,0)+IF(CW2577="D",1,0)+IF(CX2577="D",1,0)+IF(DD2577="D",1,0)+IF(DE2577="D",1,0)+IF(DJ2577="D",1,0)+IF(DK2577="D",1,0)+IF(DO2577="D",1,0)+IF(DP2577="D",1,0)+IF(DQ2577="D",1,0)+IF(DW2577="D",1,0)+IF(DZ2577="D",1,0)+IF(EH2577="D",1,0)</f>
        <v>2</v>
      </c>
      <c r="AY2577" s="0" t="n">
        <f aca="false">COUNTIF(DU2577:EH2577, "&lt;&gt;")</f>
        <v>4</v>
      </c>
      <c r="AZ2577" s="0" t="n">
        <f aca="false">IF(EH2577&lt;&gt;"",1,0)</f>
        <v>0</v>
      </c>
      <c r="BB2577" s="0" t="s">
        <v>152</v>
      </c>
      <c r="BC2577" s="0" t="s">
        <v>153</v>
      </c>
      <c r="BD2577" s="0" t="s">
        <v>153</v>
      </c>
      <c r="BI2577" s="0" t="s">
        <v>153</v>
      </c>
      <c r="BJ2577" s="0" t="s">
        <v>153</v>
      </c>
      <c r="BL2577" s="0" t="s">
        <v>153</v>
      </c>
      <c r="BP2577" s="0" t="s">
        <v>153</v>
      </c>
      <c r="BR2577" s="0" t="s">
        <v>153</v>
      </c>
      <c r="BS2577" s="0" t="s">
        <v>153</v>
      </c>
      <c r="BV2577" s="0" t="s">
        <v>153</v>
      </c>
      <c r="CA2577" s="0" t="s">
        <v>153</v>
      </c>
      <c r="CG2577" s="0" t="s">
        <v>153</v>
      </c>
      <c r="CK2577" s="0" t="s">
        <v>153</v>
      </c>
      <c r="CL2577" s="0" t="s">
        <v>175</v>
      </c>
      <c r="CN2577" s="0" t="s">
        <v>153</v>
      </c>
      <c r="CP2577" s="0" t="s">
        <v>153</v>
      </c>
      <c r="CY2577" s="0" t="s">
        <v>153</v>
      </c>
      <c r="DC2577" s="0" t="s">
        <v>153</v>
      </c>
      <c r="DI2577" s="0" t="s">
        <v>153</v>
      </c>
      <c r="DN2577" s="0" t="s">
        <v>153</v>
      </c>
      <c r="DU2577" s="0" t="s">
        <v>153</v>
      </c>
      <c r="DW2577" s="0" t="s">
        <v>175</v>
      </c>
      <c r="DX2577" s="0" t="s">
        <v>153</v>
      </c>
      <c r="EF2577" s="0" t="s">
        <v>153</v>
      </c>
    </row>
    <row r="2578" customFormat="false" ht="13.8" hidden="false" customHeight="false" outlineLevel="0" collapsed="false">
      <c r="A2578" s="0" t="s">
        <v>11013</v>
      </c>
      <c r="B2578" s="0" t="n">
        <v>78</v>
      </c>
      <c r="C2578" s="0" t="n">
        <v>209784</v>
      </c>
      <c r="D2578" s="0" t="s">
        <v>2412</v>
      </c>
      <c r="E2578" s="0" t="s">
        <v>324</v>
      </c>
      <c r="F2578" s="0" t="str">
        <f aca="false">CONCATENATE(D2578," ",LEFT(H2578,4),"T=",AU2578,"D=",AV2578,"R=",AW2578,"M=",AX2578,"L=",AY2578,"B=",AZ2578)</f>
        <v>NORMAN T=4D=0R=0M=1L=4B=0</v>
      </c>
      <c r="I2578" s="0" t="s">
        <v>11014</v>
      </c>
      <c r="J2578" s="0" t="s">
        <v>11015</v>
      </c>
      <c r="K2578" s="0" t="s">
        <v>160</v>
      </c>
      <c r="L2578" s="0" t="s">
        <v>209</v>
      </c>
      <c r="M2578" s="0" t="s">
        <v>11012</v>
      </c>
      <c r="N2578" s="0" t="str">
        <f aca="false">RIGHT(M2578,LEN(M2578)-FIND(" ",M2578))</f>
        <v>WOODBINE AVE SE</v>
      </c>
      <c r="P2578" s="0" t="s">
        <v>145</v>
      </c>
      <c r="Q2578" s="0" t="s">
        <v>146</v>
      </c>
      <c r="R2578" s="0" t="n">
        <v>44484</v>
      </c>
      <c r="AD2578" s="0" t="s">
        <v>147</v>
      </c>
      <c r="AE2578" s="0" t="s">
        <v>148</v>
      </c>
      <c r="AF2578" s="0" t="s">
        <v>149</v>
      </c>
      <c r="AH2578" s="0" t="n">
        <v>14</v>
      </c>
      <c r="AI2578" s="0" t="n">
        <v>11</v>
      </c>
      <c r="AN2578" s="0" t="s">
        <v>145</v>
      </c>
      <c r="AO2578" s="0" t="s">
        <v>150</v>
      </c>
      <c r="AP2578" s="0" t="s">
        <v>151</v>
      </c>
      <c r="AQ2578" s="0" t="n">
        <v>9</v>
      </c>
      <c r="AR2578" s="0" t="n">
        <v>64</v>
      </c>
      <c r="AS2578" s="0" t="n">
        <v>32</v>
      </c>
      <c r="AU2578" s="0" t="n">
        <f aca="false">COUNTA($BA$42:$EH$42)</f>
        <v>4</v>
      </c>
      <c r="AV2578" s="0" t="n">
        <f aca="false">COUNTIF($BA$42:$EH$42,"D")</f>
        <v>0</v>
      </c>
      <c r="AW2578" s="0" t="n">
        <f aca="false">COUNTIF($BA$42:$EH$42,"R")</f>
        <v>0</v>
      </c>
      <c r="AX2578" s="0" t="n">
        <f aca="false">IF(BN2578="D",1,0)+IF(BO2578="D",1,0)+IF(BT2578="D",1,0)+IF(BU2578="D",1,0)+IF(BW2578="D",1,0)+IF(CC2578="D",1,0)+IF(CD2578="D",1,0)+IF(CE2578="D",1,0)+IF(CF2578="D",1,0)+IF(CL2578="D",1,0)+IF(CM2578="D",1,0)+IF(CQ2578="D",1,0)+IF(CR2578="D",1,0)+IF(CS2578="D",1,0)+IF(CW2578="D",1,0)+IF(CX2578="D",1,0)+IF(DD2578="D",1,0)+IF(DE2578="D",1,0)+IF(DJ2578="D",1,0)+IF(DK2578="D",1,0)+IF(DO2578="D",1,0)+IF(DP2578="D",1,0)+IF(DQ2578="D",1,0)+IF(DW2578="D",1,0)+IF(DZ2578="D",1,0)+IF(EH2578="D",1,0)</f>
        <v>1</v>
      </c>
      <c r="AY2578" s="0" t="n">
        <f aca="false">COUNTIF(DU2578:EH2578, "&lt;&gt;")</f>
        <v>4</v>
      </c>
      <c r="AZ2578" s="0" t="n">
        <f aca="false">IF(EH2578&lt;&gt;"",1,0)</f>
        <v>0</v>
      </c>
      <c r="BB2578" s="0" t="s">
        <v>152</v>
      </c>
      <c r="BC2578" s="0" t="s">
        <v>153</v>
      </c>
      <c r="BD2578" s="0" t="s">
        <v>153</v>
      </c>
      <c r="BH2578" s="0" t="s">
        <v>153</v>
      </c>
      <c r="BI2578" s="0" t="s">
        <v>153</v>
      </c>
      <c r="BJ2578" s="0" t="s">
        <v>153</v>
      </c>
      <c r="BL2578" s="0" t="s">
        <v>153</v>
      </c>
      <c r="BP2578" s="0" t="s">
        <v>153</v>
      </c>
      <c r="BR2578" s="0" t="s">
        <v>153</v>
      </c>
      <c r="BS2578" s="0" t="s">
        <v>153</v>
      </c>
      <c r="BV2578" s="0" t="s">
        <v>153</v>
      </c>
      <c r="CA2578" s="0" t="s">
        <v>153</v>
      </c>
      <c r="CK2578" s="0" t="s">
        <v>153</v>
      </c>
      <c r="CL2578" s="0" t="s">
        <v>175</v>
      </c>
      <c r="CN2578" s="0" t="s">
        <v>153</v>
      </c>
      <c r="CP2578" s="0" t="s">
        <v>153</v>
      </c>
      <c r="CT2578" s="0" t="s">
        <v>153</v>
      </c>
      <c r="CV2578" s="0" t="s">
        <v>153</v>
      </c>
      <c r="CY2578" s="0" t="s">
        <v>153</v>
      </c>
      <c r="DI2578" s="0" t="s">
        <v>153</v>
      </c>
      <c r="DN2578" s="0" t="s">
        <v>153</v>
      </c>
      <c r="DR2578" s="0" t="s">
        <v>153</v>
      </c>
      <c r="DU2578" s="0" t="s">
        <v>153</v>
      </c>
      <c r="DX2578" s="0" t="s">
        <v>153</v>
      </c>
      <c r="ED2578" s="0" t="s">
        <v>209</v>
      </c>
      <c r="EF2578" s="0" t="s">
        <v>153</v>
      </c>
    </row>
    <row r="2579" customFormat="false" ht="13.8" hidden="false" customHeight="false" outlineLevel="0" collapsed="false">
      <c r="A2579" s="0" t="s">
        <v>11016</v>
      </c>
      <c r="B2579" s="0" t="n">
        <v>78</v>
      </c>
      <c r="C2579" s="0" t="n">
        <v>426840</v>
      </c>
      <c r="D2579" s="0" t="s">
        <v>2412</v>
      </c>
      <c r="E2579" s="0" t="s">
        <v>379</v>
      </c>
      <c r="F2579" s="0" t="str">
        <f aca="false">CONCATENATE(D2579," ",LEFT(H2579,4),"T=",AU2579,"D=",AV2579,"R=",AW2579,"M=",AX2579,"L=",AY2579,"B=",AZ2579)</f>
        <v>NORMAN T=1D=0R=0M=0L=2B=0</v>
      </c>
      <c r="G2579" s="0" t="s">
        <v>890</v>
      </c>
      <c r="I2579" s="0" t="s">
        <v>11017</v>
      </c>
      <c r="J2579" s="0" t="s">
        <v>11018</v>
      </c>
      <c r="K2579" s="0" t="s">
        <v>160</v>
      </c>
      <c r="M2579" s="0" t="s">
        <v>11012</v>
      </c>
      <c r="N2579" s="0" t="str">
        <f aca="false">RIGHT(M2579,LEN(M2579)-FIND(" ",M2579))</f>
        <v>WOODBINE AVE SE</v>
      </c>
      <c r="P2579" s="0" t="s">
        <v>145</v>
      </c>
      <c r="Q2579" s="0" t="s">
        <v>146</v>
      </c>
      <c r="R2579" s="0" t="n">
        <v>44484</v>
      </c>
      <c r="AD2579" s="0" t="s">
        <v>147</v>
      </c>
      <c r="AE2579" s="0" t="s">
        <v>148</v>
      </c>
      <c r="AF2579" s="0" t="s">
        <v>149</v>
      </c>
      <c r="AH2579" s="0" t="n">
        <v>14</v>
      </c>
      <c r="AI2579" s="0" t="n">
        <v>11</v>
      </c>
      <c r="AN2579" s="0" t="s">
        <v>145</v>
      </c>
      <c r="AO2579" s="0" t="s">
        <v>150</v>
      </c>
      <c r="AP2579" s="0" t="s">
        <v>151</v>
      </c>
      <c r="AQ2579" s="0" t="n">
        <v>9</v>
      </c>
      <c r="AR2579" s="0" t="n">
        <v>64</v>
      </c>
      <c r="AS2579" s="0" t="n">
        <v>32</v>
      </c>
      <c r="AU2579" s="0" t="n">
        <f aca="false">COUNTA($BA$416:$EH$416)</f>
        <v>1</v>
      </c>
      <c r="AV2579" s="0" t="n">
        <f aca="false">COUNTIF($BA$416:$EH$416,"D")</f>
        <v>0</v>
      </c>
      <c r="AW2579" s="0" t="n">
        <f aca="false">COUNTIF($BA$416:$EH$416,"R")</f>
        <v>0</v>
      </c>
      <c r="AX2579" s="0" t="n">
        <f aca="false">IF(BN2579="D",1,0)+IF(BO2579="D",1,0)+IF(BT2579="D",1,0)+IF(BU2579="D",1,0)+IF(BW2579="D",1,0)+IF(CC2579="D",1,0)+IF(CD2579="D",1,0)+IF(CE2579="D",1,0)+IF(CF2579="D",1,0)+IF(CL2579="D",1,0)+IF(CM2579="D",1,0)+IF(CQ2579="D",1,0)+IF(CR2579="D",1,0)+IF(CS2579="D",1,0)+IF(CW2579="D",1,0)+IF(CX2579="D",1,0)+IF(DD2579="D",1,0)+IF(DE2579="D",1,0)+IF(DJ2579="D",1,0)+IF(DK2579="D",1,0)+IF(DO2579="D",1,0)+IF(DP2579="D",1,0)+IF(DQ2579="D",1,0)+IF(DW2579="D",1,0)+IF(DZ2579="D",1,0)+IF(EH2579="D",1,0)</f>
        <v>0</v>
      </c>
      <c r="AY2579" s="0" t="n">
        <f aca="false">COUNTIF(DU2579:EH2579, "&lt;&gt;")</f>
        <v>2</v>
      </c>
      <c r="AZ2579" s="0" t="n">
        <f aca="false">IF(EH2579&lt;&gt;"",1,0)</f>
        <v>0</v>
      </c>
      <c r="BB2579" s="0" t="s">
        <v>152</v>
      </c>
      <c r="DI2579" s="0" t="s">
        <v>153</v>
      </c>
      <c r="DN2579" s="0" t="s">
        <v>153</v>
      </c>
      <c r="DU2579" s="0" t="s">
        <v>153</v>
      </c>
      <c r="EF2579" s="0" t="s">
        <v>153</v>
      </c>
    </row>
    <row r="2580" customFormat="false" ht="13.8" hidden="true" customHeight="false" outlineLevel="0" collapsed="false">
      <c r="A2580" s="0" t="s">
        <v>11019</v>
      </c>
      <c r="B2580" s="0" t="n">
        <v>78</v>
      </c>
      <c r="C2580" s="0" t="n">
        <v>286067</v>
      </c>
      <c r="D2580" s="0" t="s">
        <v>2412</v>
      </c>
      <c r="E2580" s="0" t="s">
        <v>275</v>
      </c>
      <c r="F2580" s="0" t="str">
        <f aca="false">CONCATENATE(D2580," ",LEFT(H2580,4),"T=",AU2580,"D=",AV2580,"R=",AW2580,"M=",AX2580,"L=",AY2580,"B=",AZ2580)</f>
        <v>NORMAN T=16D=4R=0M=0L=0B=0</v>
      </c>
      <c r="G2580" s="0" t="s">
        <v>215</v>
      </c>
      <c r="I2580" s="0" t="s">
        <v>11020</v>
      </c>
      <c r="J2580" s="0" t="s">
        <v>6270</v>
      </c>
      <c r="K2580" s="0" t="s">
        <v>160</v>
      </c>
      <c r="M2580" s="0" t="s">
        <v>11012</v>
      </c>
      <c r="N2580" s="0" t="str">
        <f aca="false">RIGHT(M2580,LEN(M2580)-FIND(" ",M2580))</f>
        <v>WOODBINE AVE SE</v>
      </c>
      <c r="P2580" s="0" t="s">
        <v>145</v>
      </c>
      <c r="Q2580" s="0" t="s">
        <v>146</v>
      </c>
      <c r="R2580" s="0" t="n">
        <v>44484</v>
      </c>
      <c r="AD2580" s="0" t="s">
        <v>147</v>
      </c>
      <c r="AE2580" s="0" t="s">
        <v>148</v>
      </c>
      <c r="AF2580" s="0" t="s">
        <v>149</v>
      </c>
      <c r="AH2580" s="0" t="n">
        <v>14</v>
      </c>
      <c r="AI2580" s="0" t="n">
        <v>11</v>
      </c>
      <c r="AN2580" s="0" t="s">
        <v>145</v>
      </c>
      <c r="AO2580" s="0" t="s">
        <v>150</v>
      </c>
      <c r="AP2580" s="0" t="s">
        <v>151</v>
      </c>
      <c r="AQ2580" s="0" t="n">
        <v>9</v>
      </c>
      <c r="AR2580" s="0" t="n">
        <v>64</v>
      </c>
      <c r="AS2580" s="0" t="n">
        <v>32</v>
      </c>
      <c r="AU2580" s="0" t="n">
        <f aca="false">COUNTA($BA$816:$EH$816)</f>
        <v>16</v>
      </c>
      <c r="AV2580" s="0" t="n">
        <f aca="false">COUNTIF($BA$816:$EH$816,"D")</f>
        <v>4</v>
      </c>
      <c r="AW2580" s="0" t="n">
        <f aca="false">COUNTIF($BA$816:$EH$816,"R")</f>
        <v>0</v>
      </c>
      <c r="AX2580" s="0" t="n">
        <f aca="false">IF(BN2580="D",1,0)+IF(BO2580="D",1,0)+IF(BT2580="D",1,0)+IF(BU2580="D",1,0)+IF(BW2580="D",1,0)+IF(CC2580="D",1,0)+IF(CD2580="D",1,0)+IF(CE2580="D",1,0)+IF(CF2580="D",1,0)+IF(CL2580="D",1,0)+IF(CM2580="D",1,0)+IF(CQ2580="D",1,0)+IF(CR2580="D",1,0)+IF(CS2580="D",1,0)+IF(CW2580="D",1,0)+IF(CX2580="D",1,0)+IF(DD2580="D",1,0)+IF(DE2580="D",1,0)+IF(DJ2580="D",1,0)+IF(DK2580="D",1,0)+IF(DO2580="D",1,0)+IF(DP2580="D",1,0)+IF(DQ2580="D",1,0)+IF(DW2580="D",1,0)+IF(DZ2580="D",1,0)+IF(EH2580="D",1,0)</f>
        <v>0</v>
      </c>
      <c r="AY2580" s="0" t="n">
        <f aca="false">COUNTIF(DU2580:EH2580, "&lt;&gt;")</f>
        <v>0</v>
      </c>
      <c r="AZ2580" s="0" t="n">
        <f aca="false">IF(EH2580&lt;&gt;"",1,0)</f>
        <v>0</v>
      </c>
      <c r="BB2580" s="0" t="s">
        <v>152</v>
      </c>
      <c r="DC2580" s="0" t="s">
        <v>153</v>
      </c>
      <c r="DN2580" s="0" t="s">
        <v>153</v>
      </c>
    </row>
    <row r="2581" customFormat="false" ht="13.8" hidden="true" customHeight="false" outlineLevel="0" collapsed="false">
      <c r="A2581" s="0" t="s">
        <v>11021</v>
      </c>
      <c r="B2581" s="0" t="n">
        <v>78</v>
      </c>
      <c r="C2581" s="0" t="n">
        <v>406074</v>
      </c>
      <c r="D2581" s="0" t="s">
        <v>2412</v>
      </c>
      <c r="E2581" s="0" t="s">
        <v>2214</v>
      </c>
      <c r="F2581" s="0" t="str">
        <f aca="false">CONCATENATE(D2581," ",LEFT(H2581,4),"T=",AU2581,"D=",AV2581,"R=",AW2581,"M=",AX2581,"L=",AY2581,"B=",AZ2581)</f>
        <v>NORMAN T=18D=1R=0M=0L=1B=0</v>
      </c>
      <c r="G2581" s="0" t="s">
        <v>670</v>
      </c>
      <c r="I2581" s="0" t="s">
        <v>11022</v>
      </c>
      <c r="J2581" s="0" t="s">
        <v>2116</v>
      </c>
      <c r="K2581" s="0" t="s">
        <v>160</v>
      </c>
      <c r="M2581" s="0" t="s">
        <v>11012</v>
      </c>
      <c r="N2581" s="0" t="str">
        <f aca="false">RIGHT(M2581,LEN(M2581)-FIND(" ",M2581))</f>
        <v>WOODBINE AVE SE</v>
      </c>
      <c r="P2581" s="0" t="s">
        <v>145</v>
      </c>
      <c r="Q2581" s="0" t="s">
        <v>146</v>
      </c>
      <c r="R2581" s="0" t="n">
        <v>44484</v>
      </c>
      <c r="AD2581" s="0" t="s">
        <v>147</v>
      </c>
      <c r="AE2581" s="0" t="s">
        <v>148</v>
      </c>
      <c r="AF2581" s="0" t="s">
        <v>149</v>
      </c>
      <c r="AH2581" s="0" t="n">
        <v>14</v>
      </c>
      <c r="AI2581" s="0" t="n">
        <v>11</v>
      </c>
      <c r="AN2581" s="0" t="s">
        <v>145</v>
      </c>
      <c r="AO2581" s="0" t="s">
        <v>150</v>
      </c>
      <c r="AP2581" s="0" t="s">
        <v>151</v>
      </c>
      <c r="AQ2581" s="0" t="n">
        <v>9</v>
      </c>
      <c r="AR2581" s="0" t="n">
        <v>64</v>
      </c>
      <c r="AS2581" s="0" t="n">
        <v>32</v>
      </c>
      <c r="AU2581" s="0" t="n">
        <f aca="false">COUNTA($BA$820:$EH$820)</f>
        <v>18</v>
      </c>
      <c r="AV2581" s="0" t="n">
        <f aca="false">COUNTIF($BA$820:$EH$820,"D")</f>
        <v>1</v>
      </c>
      <c r="AW2581" s="0" t="n">
        <f aca="false">COUNTIF($BA$820:$EH$820,"R")</f>
        <v>0</v>
      </c>
      <c r="AX2581" s="0" t="n">
        <f aca="false">IF(BN2581="D",1,0)+IF(BO2581="D",1,0)+IF(BT2581="D",1,0)+IF(BU2581="D",1,0)+IF(BW2581="D",1,0)+IF(CC2581="D",1,0)+IF(CD2581="D",1,0)+IF(CE2581="D",1,0)+IF(CF2581="D",1,0)+IF(CL2581="D",1,0)+IF(CM2581="D",1,0)+IF(CQ2581="D",1,0)+IF(CR2581="D",1,0)+IF(CS2581="D",1,0)+IF(CW2581="D",1,0)+IF(CX2581="D",1,0)+IF(DD2581="D",1,0)+IF(DE2581="D",1,0)+IF(DJ2581="D",1,0)+IF(DK2581="D",1,0)+IF(DO2581="D",1,0)+IF(DP2581="D",1,0)+IF(DQ2581="D",1,0)+IF(DW2581="D",1,0)+IF(DZ2581="D",1,0)+IF(EH2581="D",1,0)</f>
        <v>0</v>
      </c>
      <c r="AY2581" s="0" t="n">
        <f aca="false">COUNTIF(DU2581:EH2581, "&lt;&gt;")</f>
        <v>1</v>
      </c>
      <c r="AZ2581" s="0" t="n">
        <f aca="false">IF(EH2581&lt;&gt;"",1,0)</f>
        <v>0</v>
      </c>
      <c r="BB2581" s="0" t="s">
        <v>152</v>
      </c>
      <c r="EF2581" s="0" t="s">
        <v>153</v>
      </c>
    </row>
    <row r="2582" customFormat="false" ht="13.8" hidden="true" customHeight="false" outlineLevel="0" collapsed="false">
      <c r="A2582" s="0" t="s">
        <v>11023</v>
      </c>
      <c r="B2582" s="0" t="n">
        <v>78</v>
      </c>
      <c r="C2582" s="0" t="n">
        <v>407690</v>
      </c>
      <c r="D2582" s="0" t="s">
        <v>224</v>
      </c>
      <c r="E2582" s="0" t="s">
        <v>2661</v>
      </c>
      <c r="F2582" s="0" t="str">
        <f aca="false">CONCATENATE(D2582," ",LEFT(H2582,4),"T=",AU2582,"D=",AV2582,"R=",AW2582,"M=",AX2582,"L=",AY2582,"B=",AZ2582)</f>
        <v>THOMAS T=10D=1R=0M=0L=0B=0</v>
      </c>
      <c r="G2582" s="0" t="s">
        <v>7611</v>
      </c>
      <c r="I2582" s="0" t="s">
        <v>11024</v>
      </c>
      <c r="J2582" s="0" t="s">
        <v>8367</v>
      </c>
      <c r="K2582" s="0" t="s">
        <v>143</v>
      </c>
      <c r="M2582" s="0" t="s">
        <v>11025</v>
      </c>
      <c r="N2582" s="0" t="str">
        <f aca="false">RIGHT(M2582,LEN(M2582)-FIND(" ",M2582))</f>
        <v>WOODBINE AVE SE</v>
      </c>
      <c r="P2582" s="0" t="s">
        <v>145</v>
      </c>
      <c r="Q2582" s="0" t="s">
        <v>146</v>
      </c>
      <c r="R2582" s="0" t="n">
        <v>44484</v>
      </c>
      <c r="AD2582" s="0" t="s">
        <v>147</v>
      </c>
      <c r="AE2582" s="0" t="s">
        <v>148</v>
      </c>
      <c r="AF2582" s="0" t="s">
        <v>149</v>
      </c>
      <c r="AH2582" s="0" t="n">
        <v>14</v>
      </c>
      <c r="AI2582" s="0" t="n">
        <v>11</v>
      </c>
      <c r="AN2582" s="0" t="s">
        <v>145</v>
      </c>
      <c r="AO2582" s="0" t="s">
        <v>150</v>
      </c>
      <c r="AP2582" s="0" t="s">
        <v>151</v>
      </c>
      <c r="AQ2582" s="0" t="n">
        <v>9</v>
      </c>
      <c r="AR2582" s="0" t="n">
        <v>64</v>
      </c>
      <c r="AS2582" s="0" t="n">
        <v>32</v>
      </c>
      <c r="AU2582" s="0" t="n">
        <f aca="false">COUNTA($BA$34:$EH$34)</f>
        <v>10</v>
      </c>
      <c r="AV2582" s="0" t="n">
        <f aca="false">COUNTIF($BA$34:$EH$34,"D")</f>
        <v>1</v>
      </c>
      <c r="AW2582" s="0" t="n">
        <f aca="false">COUNTIF($BA$34:$EH$34,"R")</f>
        <v>0</v>
      </c>
      <c r="AX2582" s="0" t="n">
        <f aca="false">IF(BN2582="D",1,0)+IF(BO2582="D",1,0)+IF(BT2582="D",1,0)+IF(BU2582="D",1,0)+IF(BW2582="D",1,0)+IF(CC2582="D",1,0)+IF(CD2582="D",1,0)+IF(CE2582="D",1,0)+IF(CF2582="D",1,0)+IF(CL2582="D",1,0)+IF(CM2582="D",1,0)+IF(CQ2582="D",1,0)+IF(CR2582="D",1,0)+IF(CS2582="D",1,0)+IF(CW2582="D",1,0)+IF(CX2582="D",1,0)+IF(DD2582="D",1,0)+IF(DE2582="D",1,0)+IF(DJ2582="D",1,0)+IF(DK2582="D",1,0)+IF(DO2582="D",1,0)+IF(DP2582="D",1,0)+IF(DQ2582="D",1,0)+IF(DW2582="D",1,0)+IF(DZ2582="D",1,0)+IF(EH2582="D",1,0)</f>
        <v>0</v>
      </c>
      <c r="AY2582" s="0" t="n">
        <f aca="false">COUNTIF(DU2582:EH2582, "&lt;&gt;")</f>
        <v>0</v>
      </c>
      <c r="AZ2582" s="0" t="n">
        <f aca="false">IF(EH2582&lt;&gt;"",1,0)</f>
        <v>0</v>
      </c>
      <c r="BB2582" s="0" t="s">
        <v>152</v>
      </c>
    </row>
    <row r="2583" customFormat="false" ht="13.8" hidden="true" customHeight="false" outlineLevel="0" collapsed="false">
      <c r="A2583" s="0" t="s">
        <v>11026</v>
      </c>
      <c r="B2583" s="0" t="n">
        <v>78</v>
      </c>
      <c r="C2583" s="0" t="n">
        <v>317656</v>
      </c>
      <c r="D2583" s="0" t="s">
        <v>2509</v>
      </c>
      <c r="E2583" s="0" t="s">
        <v>11027</v>
      </c>
      <c r="F2583" s="0" t="str">
        <f aca="false">CONCATENATE(D2583," ",LEFT(H2583,4),"T=",AU2583,"D=",AV2583,"R=",AW2583,"M=",AX2583,"L=",AY2583,"B=",AZ2583)</f>
        <v>ROBINSON T=1D=0R=0M=0L=0B=0</v>
      </c>
      <c r="G2583" s="0" t="s">
        <v>209</v>
      </c>
      <c r="I2583" s="0" t="s">
        <v>11028</v>
      </c>
      <c r="J2583" s="0" t="s">
        <v>2691</v>
      </c>
      <c r="K2583" s="0" t="s">
        <v>143</v>
      </c>
      <c r="M2583" s="0" t="s">
        <v>11025</v>
      </c>
      <c r="N2583" s="0" t="str">
        <f aca="false">RIGHT(M2583,LEN(M2583)-FIND(" ",M2583))</f>
        <v>WOODBINE AVE SE</v>
      </c>
      <c r="P2583" s="0" t="s">
        <v>145</v>
      </c>
      <c r="Q2583" s="0" t="s">
        <v>146</v>
      </c>
      <c r="R2583" s="0" t="n">
        <v>44484</v>
      </c>
      <c r="AD2583" s="0" t="s">
        <v>147</v>
      </c>
      <c r="AE2583" s="0" t="s">
        <v>148</v>
      </c>
      <c r="AF2583" s="0" t="s">
        <v>149</v>
      </c>
      <c r="AH2583" s="0" t="n">
        <v>14</v>
      </c>
      <c r="AI2583" s="0" t="n">
        <v>11</v>
      </c>
      <c r="AN2583" s="0" t="s">
        <v>145</v>
      </c>
      <c r="AO2583" s="0" t="s">
        <v>150</v>
      </c>
      <c r="AP2583" s="0" t="s">
        <v>151</v>
      </c>
      <c r="AQ2583" s="0" t="n">
        <v>9</v>
      </c>
      <c r="AR2583" s="0" t="n">
        <v>64</v>
      </c>
      <c r="AS2583" s="0" t="n">
        <v>32</v>
      </c>
      <c r="AU2583" s="0" t="n">
        <f aca="false">COUNTA($BA$158:$EH$158)</f>
        <v>1</v>
      </c>
      <c r="AV2583" s="0" t="n">
        <f aca="false">COUNTIF($BA$158:$EH$158,"D")</f>
        <v>0</v>
      </c>
      <c r="AW2583" s="0" t="n">
        <f aca="false">COUNTIF($BA$158:$EH$158,"R")</f>
        <v>0</v>
      </c>
      <c r="AX2583" s="0" t="n">
        <f aca="false">IF(BN2583="D",1,0)+IF(BO2583="D",1,0)+IF(BT2583="D",1,0)+IF(BU2583="D",1,0)+IF(BW2583="D",1,0)+IF(CC2583="D",1,0)+IF(CD2583="D",1,0)+IF(CE2583="D",1,0)+IF(CF2583="D",1,0)+IF(CL2583="D",1,0)+IF(CM2583="D",1,0)+IF(CQ2583="D",1,0)+IF(CR2583="D",1,0)+IF(CS2583="D",1,0)+IF(CW2583="D",1,0)+IF(CX2583="D",1,0)+IF(DD2583="D",1,0)+IF(DE2583="D",1,0)+IF(DJ2583="D",1,0)+IF(DK2583="D",1,0)+IF(DO2583="D",1,0)+IF(DP2583="D",1,0)+IF(DQ2583="D",1,0)+IF(DW2583="D",1,0)+IF(DZ2583="D",1,0)+IF(EH2583="D",1,0)</f>
        <v>0</v>
      </c>
      <c r="AY2583" s="0" t="n">
        <f aca="false">COUNTIF(DU2583:EH2583, "&lt;&gt;")</f>
        <v>0</v>
      </c>
      <c r="AZ2583" s="0" t="n">
        <f aca="false">IF(EH2583&lt;&gt;"",1,0)</f>
        <v>0</v>
      </c>
      <c r="BB2583" s="0" t="s">
        <v>152</v>
      </c>
      <c r="BY2583" s="0" t="s">
        <v>175</v>
      </c>
      <c r="CA2583" s="0" t="s">
        <v>153</v>
      </c>
      <c r="CP2583" s="0" t="s">
        <v>153</v>
      </c>
    </row>
    <row r="2584" customFormat="false" ht="13.8" hidden="true" customHeight="false" outlineLevel="0" collapsed="false">
      <c r="A2584" s="0" t="s">
        <v>11029</v>
      </c>
      <c r="B2584" s="0" t="n">
        <v>78</v>
      </c>
      <c r="C2584" s="0" t="n">
        <v>410106</v>
      </c>
      <c r="D2584" s="0" t="s">
        <v>5560</v>
      </c>
      <c r="E2584" s="0" t="s">
        <v>11030</v>
      </c>
      <c r="F2584" s="0" t="str">
        <f aca="false">CONCATENATE(D2584," ",LEFT(H2584,4),"T=",AU2584,"D=",AV2584,"R=",AW2584,"M=",AX2584,"L=",AY2584,"B=",AZ2584)</f>
        <v>FOSTER T=1D=0R=0M=0L=0B=0</v>
      </c>
      <c r="I2584" s="0" t="s">
        <v>11031</v>
      </c>
      <c r="J2584" s="0" t="s">
        <v>8280</v>
      </c>
      <c r="K2584" s="0" t="s">
        <v>143</v>
      </c>
      <c r="M2584" s="0" t="s">
        <v>11025</v>
      </c>
      <c r="N2584" s="0" t="str">
        <f aca="false">RIGHT(M2584,LEN(M2584)-FIND(" ",M2584))</f>
        <v>WOODBINE AVE SE</v>
      </c>
      <c r="P2584" s="0" t="s">
        <v>145</v>
      </c>
      <c r="Q2584" s="0" t="s">
        <v>146</v>
      </c>
      <c r="R2584" s="0" t="n">
        <v>44484</v>
      </c>
      <c r="AD2584" s="0" t="s">
        <v>147</v>
      </c>
      <c r="AE2584" s="0" t="s">
        <v>148</v>
      </c>
      <c r="AF2584" s="0" t="s">
        <v>149</v>
      </c>
      <c r="AH2584" s="0" t="n">
        <v>14</v>
      </c>
      <c r="AI2584" s="0" t="n">
        <v>11</v>
      </c>
      <c r="AN2584" s="0" t="s">
        <v>145</v>
      </c>
      <c r="AO2584" s="0" t="s">
        <v>150</v>
      </c>
      <c r="AP2584" s="0" t="s">
        <v>151</v>
      </c>
      <c r="AQ2584" s="0" t="n">
        <v>9</v>
      </c>
      <c r="AR2584" s="0" t="n">
        <v>64</v>
      </c>
      <c r="AS2584" s="0" t="n">
        <v>32</v>
      </c>
      <c r="AU2584" s="0" t="n">
        <f aca="false">COUNTA($BA$605:$EH$605)</f>
        <v>1</v>
      </c>
      <c r="AV2584" s="0" t="n">
        <f aca="false">COUNTIF($BA$605:$EH$605,"D")</f>
        <v>0</v>
      </c>
      <c r="AW2584" s="0" t="n">
        <f aca="false">COUNTIF($BA$605:$EH$605,"R")</f>
        <v>0</v>
      </c>
      <c r="AX2584" s="0" t="n">
        <f aca="false">IF(BN2584="D",1,0)+IF(BO2584="D",1,0)+IF(BT2584="D",1,0)+IF(BU2584="D",1,0)+IF(BW2584="D",1,0)+IF(CC2584="D",1,0)+IF(CD2584="D",1,0)+IF(CE2584="D",1,0)+IF(CF2584="D",1,0)+IF(CL2584="D",1,0)+IF(CM2584="D",1,0)+IF(CQ2584="D",1,0)+IF(CR2584="D",1,0)+IF(CS2584="D",1,0)+IF(CW2584="D",1,0)+IF(CX2584="D",1,0)+IF(DD2584="D",1,0)+IF(DE2584="D",1,0)+IF(DJ2584="D",1,0)+IF(DK2584="D",1,0)+IF(DO2584="D",1,0)+IF(DP2584="D",1,0)+IF(DQ2584="D",1,0)+IF(DW2584="D",1,0)+IF(DZ2584="D",1,0)+IF(EH2584="D",1,0)</f>
        <v>0</v>
      </c>
      <c r="AY2584" s="0" t="n">
        <f aca="false">COUNTIF(DU2584:EH2584, "&lt;&gt;")</f>
        <v>0</v>
      </c>
      <c r="AZ2584" s="0" t="n">
        <f aca="false">IF(EH2584&lt;&gt;"",1,0)</f>
        <v>0</v>
      </c>
      <c r="BB2584" s="0" t="s">
        <v>152</v>
      </c>
    </row>
    <row r="2585" customFormat="false" ht="13.8" hidden="true" customHeight="false" outlineLevel="0" collapsed="false">
      <c r="A2585" s="0" t="s">
        <v>11032</v>
      </c>
      <c r="B2585" s="0" t="n">
        <v>78</v>
      </c>
      <c r="C2585" s="0" t="n">
        <v>310401</v>
      </c>
      <c r="D2585" s="0" t="s">
        <v>11033</v>
      </c>
      <c r="E2585" s="0" t="s">
        <v>818</v>
      </c>
      <c r="F2585" s="0" t="str">
        <f aca="false">CONCATENATE(D2585," ",LEFT(H2585,4),"T=",AU2585,"D=",AV2585,"R=",AW2585,"M=",AX2585,"L=",AY2585,"B=",AZ2585)</f>
        <v>HILLARD T=1D=0R=0M=0L=0B=0</v>
      </c>
      <c r="G2585" s="0" t="s">
        <v>872</v>
      </c>
      <c r="I2585" s="0" t="s">
        <v>11034</v>
      </c>
      <c r="J2585" s="0" t="s">
        <v>1220</v>
      </c>
      <c r="K2585" s="0" t="s">
        <v>160</v>
      </c>
      <c r="M2585" s="0" t="s">
        <v>11035</v>
      </c>
      <c r="N2585" s="0" t="str">
        <f aca="false">RIGHT(M2585,LEN(M2585)-FIND(" ",M2585))</f>
        <v>WOODBINE AVE SE</v>
      </c>
      <c r="P2585" s="0" t="s">
        <v>145</v>
      </c>
      <c r="Q2585" s="0" t="s">
        <v>146</v>
      </c>
      <c r="R2585" s="0" t="n">
        <v>44484</v>
      </c>
      <c r="AD2585" s="0" t="s">
        <v>147</v>
      </c>
      <c r="AE2585" s="0" t="s">
        <v>148</v>
      </c>
      <c r="AF2585" s="0" t="s">
        <v>149</v>
      </c>
      <c r="AH2585" s="0" t="n">
        <v>14</v>
      </c>
      <c r="AI2585" s="0" t="n">
        <v>11</v>
      </c>
      <c r="AN2585" s="0" t="s">
        <v>145</v>
      </c>
      <c r="AO2585" s="0" t="s">
        <v>150</v>
      </c>
      <c r="AP2585" s="0" t="s">
        <v>151</v>
      </c>
      <c r="AQ2585" s="0" t="n">
        <v>9</v>
      </c>
      <c r="AR2585" s="0" t="n">
        <v>64</v>
      </c>
      <c r="AS2585" s="0" t="n">
        <v>32</v>
      </c>
      <c r="AU2585" s="0" t="n">
        <f aca="false">COUNTA($BA$195:$EH$195)</f>
        <v>1</v>
      </c>
      <c r="AV2585" s="0" t="n">
        <f aca="false">COUNTIF($BA$195:$EH$195,"D")</f>
        <v>0</v>
      </c>
      <c r="AW2585" s="0" t="n">
        <f aca="false">COUNTIF($BA$195:$EH$195,"R")</f>
        <v>0</v>
      </c>
      <c r="AX2585" s="0" t="n">
        <f aca="false">IF(BN2585="D",1,0)+IF(BO2585="D",1,0)+IF(BT2585="D",1,0)+IF(BU2585="D",1,0)+IF(BW2585="D",1,0)+IF(CC2585="D",1,0)+IF(CD2585="D",1,0)+IF(CE2585="D",1,0)+IF(CF2585="D",1,0)+IF(CL2585="D",1,0)+IF(CM2585="D",1,0)+IF(CQ2585="D",1,0)+IF(CR2585="D",1,0)+IF(CS2585="D",1,0)+IF(CW2585="D",1,0)+IF(CX2585="D",1,0)+IF(DD2585="D",1,0)+IF(DE2585="D",1,0)+IF(DJ2585="D",1,0)+IF(DK2585="D",1,0)+IF(DO2585="D",1,0)+IF(DP2585="D",1,0)+IF(DQ2585="D",1,0)+IF(DW2585="D",1,0)+IF(DZ2585="D",1,0)+IF(EH2585="D",1,0)</f>
        <v>0</v>
      </c>
      <c r="AY2585" s="0" t="n">
        <f aca="false">COUNTIF(DU2585:EH2585, "&lt;&gt;")</f>
        <v>0</v>
      </c>
      <c r="AZ2585" s="0" t="n">
        <f aca="false">IF(EH2585&lt;&gt;"",1,0)</f>
        <v>0</v>
      </c>
      <c r="BB2585" s="0" t="s">
        <v>152</v>
      </c>
      <c r="BH2585" s="0" t="s">
        <v>153</v>
      </c>
      <c r="BS2585" s="0" t="s">
        <v>153</v>
      </c>
      <c r="CA2585" s="0" t="s">
        <v>153</v>
      </c>
      <c r="CH2585" s="0" t="s">
        <v>175</v>
      </c>
      <c r="CP2585" s="0" t="s">
        <v>153</v>
      </c>
      <c r="DC2585" s="0" t="s">
        <v>153</v>
      </c>
      <c r="DN2585" s="0" t="s">
        <v>153</v>
      </c>
    </row>
    <row r="2586" customFormat="false" ht="13.8" hidden="true" customHeight="false" outlineLevel="0" collapsed="false">
      <c r="A2586" s="0" t="s">
        <v>11036</v>
      </c>
      <c r="B2586" s="0" t="n">
        <v>78</v>
      </c>
      <c r="C2586" s="0" t="n">
        <v>377832</v>
      </c>
      <c r="D2586" s="0" t="s">
        <v>383</v>
      </c>
      <c r="E2586" s="0" t="s">
        <v>11037</v>
      </c>
      <c r="F2586" s="0" t="str">
        <f aca="false">CONCATENATE(D2586," ",LEFT(H2586,4),"T=",AU2586,"D=",AV2586,"R=",AW2586,"M=",AX2586,"L=",AY2586,"B=",AZ2586)</f>
        <v>GONZALEZ T=21D=5R=0M=0L=1B=0</v>
      </c>
      <c r="I2586" s="0" t="s">
        <v>11038</v>
      </c>
      <c r="J2586" s="0" t="s">
        <v>639</v>
      </c>
      <c r="K2586" s="0" t="s">
        <v>160</v>
      </c>
      <c r="M2586" s="0" t="s">
        <v>11039</v>
      </c>
      <c r="N2586" s="0" t="str">
        <f aca="false">RIGHT(M2586,LEN(M2586)-FIND(" ",M2586))</f>
        <v>WOODBINE AVE SE</v>
      </c>
      <c r="P2586" s="0" t="s">
        <v>145</v>
      </c>
      <c r="Q2586" s="0" t="s">
        <v>146</v>
      </c>
      <c r="R2586" s="0" t="n">
        <v>44484</v>
      </c>
      <c r="AD2586" s="0" t="s">
        <v>147</v>
      </c>
      <c r="AE2586" s="0" t="s">
        <v>148</v>
      </c>
      <c r="AF2586" s="0" t="s">
        <v>149</v>
      </c>
      <c r="AH2586" s="0" t="n">
        <v>14</v>
      </c>
      <c r="AI2586" s="0" t="n">
        <v>11</v>
      </c>
      <c r="AN2586" s="0" t="s">
        <v>145</v>
      </c>
      <c r="AO2586" s="0" t="s">
        <v>150</v>
      </c>
      <c r="AP2586" s="0" t="s">
        <v>151</v>
      </c>
      <c r="AQ2586" s="0" t="n">
        <v>9</v>
      </c>
      <c r="AR2586" s="0" t="n">
        <v>64</v>
      </c>
      <c r="AS2586" s="0" t="n">
        <v>32</v>
      </c>
      <c r="AU2586" s="0" t="n">
        <f aca="false">COUNTA($BA$256:$EH$256)</f>
        <v>21</v>
      </c>
      <c r="AV2586" s="0" t="n">
        <f aca="false">COUNTIF($BA$256:$EH$256,"D")</f>
        <v>5</v>
      </c>
      <c r="AW2586" s="0" t="n">
        <f aca="false">COUNTIF($BA$256:$EH$256,"R")</f>
        <v>0</v>
      </c>
      <c r="AX2586" s="0" t="n">
        <f aca="false">IF(BN2586="D",1,0)+IF(BO2586="D",1,0)+IF(BT2586="D",1,0)+IF(BU2586="D",1,0)+IF(BW2586="D",1,0)+IF(CC2586="D",1,0)+IF(CD2586="D",1,0)+IF(CE2586="D",1,0)+IF(CF2586="D",1,0)+IF(CL2586="D",1,0)+IF(CM2586="D",1,0)+IF(CQ2586="D",1,0)+IF(CR2586="D",1,0)+IF(CS2586="D",1,0)+IF(CW2586="D",1,0)+IF(CX2586="D",1,0)+IF(DD2586="D",1,0)+IF(DE2586="D",1,0)+IF(DJ2586="D",1,0)+IF(DK2586="D",1,0)+IF(DO2586="D",1,0)+IF(DP2586="D",1,0)+IF(DQ2586="D",1,0)+IF(DW2586="D",1,0)+IF(DZ2586="D",1,0)+IF(EH2586="D",1,0)</f>
        <v>0</v>
      </c>
      <c r="AY2586" s="0" t="n">
        <f aca="false">COUNTIF(DU2586:EH2586, "&lt;&gt;")</f>
        <v>1</v>
      </c>
      <c r="AZ2586" s="0" t="n">
        <f aca="false">IF(EH2586&lt;&gt;"",1,0)</f>
        <v>0</v>
      </c>
      <c r="BB2586" s="0" t="s">
        <v>152</v>
      </c>
      <c r="CP2586" s="0" t="s">
        <v>153</v>
      </c>
      <c r="CV2586" s="0" t="s">
        <v>153</v>
      </c>
      <c r="EF2586" s="0" t="s">
        <v>153</v>
      </c>
    </row>
    <row r="2587" customFormat="false" ht="13.8" hidden="true" customHeight="false" outlineLevel="0" collapsed="false">
      <c r="A2587" s="0" t="s">
        <v>11040</v>
      </c>
      <c r="B2587" s="0" t="n">
        <v>78</v>
      </c>
      <c r="C2587" s="0" t="n">
        <v>389991</v>
      </c>
      <c r="D2587" s="0" t="s">
        <v>11041</v>
      </c>
      <c r="E2587" s="0" t="s">
        <v>11042</v>
      </c>
      <c r="F2587" s="0" t="str">
        <f aca="false">CONCATENATE(D2587," ",LEFT(H2587,4),"T=",AU2587,"D=",AV2587,"R=",AW2587,"M=",AX2587,"L=",AY2587,"B=",AZ2587)</f>
        <v>TYSON T=3D=0R=0M=0L=0B=0</v>
      </c>
      <c r="I2587" s="0" t="s">
        <v>11043</v>
      </c>
      <c r="J2587" s="0" t="s">
        <v>9652</v>
      </c>
      <c r="K2587" s="0" t="s">
        <v>160</v>
      </c>
      <c r="M2587" s="0" t="s">
        <v>11039</v>
      </c>
      <c r="N2587" s="0" t="str">
        <f aca="false">RIGHT(M2587,LEN(M2587)-FIND(" ",M2587))</f>
        <v>WOODBINE AVE SE</v>
      </c>
      <c r="O2587" s="0" t="s">
        <v>2211</v>
      </c>
      <c r="P2587" s="0" t="s">
        <v>145</v>
      </c>
      <c r="Q2587" s="0" t="s">
        <v>146</v>
      </c>
      <c r="R2587" s="0" t="n">
        <v>44484</v>
      </c>
      <c r="AD2587" s="0" t="s">
        <v>147</v>
      </c>
      <c r="AE2587" s="0" t="s">
        <v>148</v>
      </c>
      <c r="AF2587" s="0" t="s">
        <v>149</v>
      </c>
      <c r="AH2587" s="0" t="n">
        <v>14</v>
      </c>
      <c r="AI2587" s="0" t="n">
        <v>11</v>
      </c>
      <c r="AN2587" s="0" t="s">
        <v>145</v>
      </c>
      <c r="AO2587" s="0" t="s">
        <v>150</v>
      </c>
      <c r="AP2587" s="0" t="s">
        <v>151</v>
      </c>
      <c r="AQ2587" s="0" t="n">
        <v>9</v>
      </c>
      <c r="AR2587" s="0" t="n">
        <v>64</v>
      </c>
      <c r="AS2587" s="0" t="n">
        <v>32</v>
      </c>
      <c r="AU2587" s="0" t="n">
        <f aca="false">COUNTA($BA$489:$EH$489)</f>
        <v>3</v>
      </c>
      <c r="AV2587" s="0" t="n">
        <f aca="false">COUNTIF($BA$489:$EH$489,"D")</f>
        <v>0</v>
      </c>
      <c r="AW2587" s="0" t="n">
        <f aca="false">COUNTIF($BA$489:$EH$489,"R")</f>
        <v>0</v>
      </c>
      <c r="AX2587" s="0" t="n">
        <f aca="false">IF(BN2587="D",1,0)+IF(BO2587="D",1,0)+IF(BT2587="D",1,0)+IF(BU2587="D",1,0)+IF(BW2587="D",1,0)+IF(CC2587="D",1,0)+IF(CD2587="D",1,0)+IF(CE2587="D",1,0)+IF(CF2587="D",1,0)+IF(CL2587="D",1,0)+IF(CM2587="D",1,0)+IF(CQ2587="D",1,0)+IF(CR2587="D",1,0)+IF(CS2587="D",1,0)+IF(CW2587="D",1,0)+IF(CX2587="D",1,0)+IF(DD2587="D",1,0)+IF(DE2587="D",1,0)+IF(DJ2587="D",1,0)+IF(DK2587="D",1,0)+IF(DO2587="D",1,0)+IF(DP2587="D",1,0)+IF(DQ2587="D",1,0)+IF(DW2587="D",1,0)+IF(DZ2587="D",1,0)+IF(EH2587="D",1,0)</f>
        <v>0</v>
      </c>
      <c r="AY2587" s="0" t="n">
        <f aca="false">COUNTIF(DU2587:EH2587, "&lt;&gt;")</f>
        <v>0</v>
      </c>
      <c r="AZ2587" s="0" t="n">
        <f aca="false">IF(EH2587&lt;&gt;"",1,0)</f>
        <v>0</v>
      </c>
      <c r="BB2587" s="0" t="s">
        <v>152</v>
      </c>
      <c r="BL2587" s="0" t="s">
        <v>153</v>
      </c>
      <c r="CA2587" s="0" t="s">
        <v>153</v>
      </c>
      <c r="CP2587" s="0" t="s">
        <v>153</v>
      </c>
      <c r="DC2587" s="0" t="s">
        <v>153</v>
      </c>
      <c r="DN2587" s="0" t="s">
        <v>153</v>
      </c>
    </row>
    <row r="2588" customFormat="false" ht="13.8" hidden="true" customHeight="false" outlineLevel="0" collapsed="false">
      <c r="A2588" s="0" t="s">
        <v>11044</v>
      </c>
      <c r="B2588" s="0" t="n">
        <v>78</v>
      </c>
      <c r="C2588" s="0" t="n">
        <v>354840</v>
      </c>
      <c r="D2588" s="0" t="s">
        <v>1466</v>
      </c>
      <c r="E2588" s="0" t="s">
        <v>719</v>
      </c>
      <c r="F2588" s="0" t="str">
        <f aca="false">CONCATENATE(D2588," ",LEFT(H2588,4),"T=",AU2588,"D=",AV2588,"R=",AW2588,"M=",AX2588,"L=",AY2588,"B=",AZ2588)</f>
        <v>JOHNSON T=1D=0R=0M=0L=0B=0</v>
      </c>
      <c r="G2588" s="0" t="s">
        <v>171</v>
      </c>
      <c r="I2588" s="0" t="s">
        <v>11045</v>
      </c>
      <c r="J2588" s="0" t="s">
        <v>187</v>
      </c>
      <c r="K2588" s="0" t="s">
        <v>160</v>
      </c>
      <c r="M2588" s="0" t="s">
        <v>11039</v>
      </c>
      <c r="N2588" s="0" t="str">
        <f aca="false">RIGHT(M2588,LEN(M2588)-FIND(" ",M2588))</f>
        <v>WOODBINE AVE SE</v>
      </c>
      <c r="P2588" s="0" t="s">
        <v>145</v>
      </c>
      <c r="Q2588" s="0" t="s">
        <v>146</v>
      </c>
      <c r="R2588" s="0" t="n">
        <v>44484</v>
      </c>
      <c r="AD2588" s="0" t="s">
        <v>147</v>
      </c>
      <c r="AE2588" s="0" t="s">
        <v>148</v>
      </c>
      <c r="AF2588" s="0" t="s">
        <v>149</v>
      </c>
      <c r="AH2588" s="0" t="n">
        <v>14</v>
      </c>
      <c r="AI2588" s="0" t="n">
        <v>11</v>
      </c>
      <c r="AN2588" s="0" t="s">
        <v>145</v>
      </c>
      <c r="AO2588" s="0" t="s">
        <v>150</v>
      </c>
      <c r="AP2588" s="0" t="s">
        <v>151</v>
      </c>
      <c r="AQ2588" s="0" t="n">
        <v>9</v>
      </c>
      <c r="AR2588" s="0" t="n">
        <v>64</v>
      </c>
      <c r="AS2588" s="0" t="n">
        <v>32</v>
      </c>
      <c r="AU2588" s="0" t="n">
        <f aca="false">COUNTA($BA$556:$EH$556)</f>
        <v>1</v>
      </c>
      <c r="AV2588" s="0" t="n">
        <f aca="false">COUNTIF($BA$556:$EH$556,"D")</f>
        <v>0</v>
      </c>
      <c r="AW2588" s="0" t="n">
        <f aca="false">COUNTIF($BA$556:$EH$556,"R")</f>
        <v>0</v>
      </c>
      <c r="AX2588" s="0" t="n">
        <f aca="false">IF(BN2588="D",1,0)+IF(BO2588="D",1,0)+IF(BT2588="D",1,0)+IF(BU2588="D",1,0)+IF(BW2588="D",1,0)+IF(CC2588="D",1,0)+IF(CD2588="D",1,0)+IF(CE2588="D",1,0)+IF(CF2588="D",1,0)+IF(CL2588="D",1,0)+IF(CM2588="D",1,0)+IF(CQ2588="D",1,0)+IF(CR2588="D",1,0)+IF(CS2588="D",1,0)+IF(CW2588="D",1,0)+IF(CX2588="D",1,0)+IF(DD2588="D",1,0)+IF(DE2588="D",1,0)+IF(DJ2588="D",1,0)+IF(DK2588="D",1,0)+IF(DO2588="D",1,0)+IF(DP2588="D",1,0)+IF(DQ2588="D",1,0)+IF(DW2588="D",1,0)+IF(DZ2588="D",1,0)+IF(EH2588="D",1,0)</f>
        <v>0</v>
      </c>
      <c r="AY2588" s="0" t="n">
        <f aca="false">COUNTIF(DU2588:EH2588, "&lt;&gt;")</f>
        <v>0</v>
      </c>
      <c r="AZ2588" s="0" t="n">
        <f aca="false">IF(EH2588&lt;&gt;"",1,0)</f>
        <v>0</v>
      </c>
      <c r="BB2588" s="0" t="s">
        <v>152</v>
      </c>
      <c r="CP2588" s="0" t="s">
        <v>153</v>
      </c>
    </row>
    <row r="2589" customFormat="false" ht="13.8" hidden="true" customHeight="false" outlineLevel="0" collapsed="false">
      <c r="A2589" s="0" t="s">
        <v>11046</v>
      </c>
      <c r="B2589" s="0" t="n">
        <v>78</v>
      </c>
      <c r="C2589" s="0" t="n">
        <v>422661</v>
      </c>
      <c r="D2589" s="0" t="s">
        <v>4535</v>
      </c>
      <c r="E2589" s="0" t="s">
        <v>541</v>
      </c>
      <c r="F2589" s="0" t="str">
        <f aca="false">CONCATENATE(D2589," ",LEFT(H2589,4),"T=",AU2589,"D=",AV2589,"R=",AW2589,"M=",AX2589,"L=",AY2589,"B=",AZ2589)</f>
        <v>THOMPSON T=1D=0R=0M=0L=0B=0</v>
      </c>
      <c r="G2589" s="0" t="s">
        <v>11047</v>
      </c>
      <c r="I2589" s="0" t="s">
        <v>4841</v>
      </c>
      <c r="J2589" s="0" t="s">
        <v>1464</v>
      </c>
      <c r="K2589" s="0" t="s">
        <v>143</v>
      </c>
      <c r="M2589" s="0" t="s">
        <v>11039</v>
      </c>
      <c r="N2589" s="0" t="str">
        <f aca="false">RIGHT(M2589,LEN(M2589)-FIND(" ",M2589))</f>
        <v>WOODBINE AVE SE</v>
      </c>
      <c r="P2589" s="0" t="s">
        <v>145</v>
      </c>
      <c r="Q2589" s="0" t="s">
        <v>146</v>
      </c>
      <c r="R2589" s="0" t="n">
        <v>44484</v>
      </c>
      <c r="AD2589" s="0" t="s">
        <v>147</v>
      </c>
      <c r="AE2589" s="0" t="s">
        <v>148</v>
      </c>
      <c r="AF2589" s="0" t="s">
        <v>149</v>
      </c>
      <c r="AH2589" s="0" t="n">
        <v>14</v>
      </c>
      <c r="AI2589" s="0" t="n">
        <v>11</v>
      </c>
      <c r="AN2589" s="0" t="s">
        <v>145</v>
      </c>
      <c r="AO2589" s="0" t="s">
        <v>150</v>
      </c>
      <c r="AP2589" s="0" t="s">
        <v>151</v>
      </c>
      <c r="AQ2589" s="0" t="n">
        <v>9</v>
      </c>
      <c r="AR2589" s="0" t="n">
        <v>64</v>
      </c>
      <c r="AS2589" s="0" t="n">
        <v>32</v>
      </c>
      <c r="AU2589" s="0" t="n">
        <f aca="false">COUNTA($BA$805:$EH$805)</f>
        <v>1</v>
      </c>
      <c r="AV2589" s="0" t="n">
        <f aca="false">COUNTIF($BA$805:$EH$805,"D")</f>
        <v>0</v>
      </c>
      <c r="AW2589" s="0" t="n">
        <f aca="false">COUNTIF($BA$805:$EH$805,"R")</f>
        <v>0</v>
      </c>
      <c r="AX2589" s="0" t="n">
        <f aca="false">IF(BN2589="D",1,0)+IF(BO2589="D",1,0)+IF(BT2589="D",1,0)+IF(BU2589="D",1,0)+IF(BW2589="D",1,0)+IF(CC2589="D",1,0)+IF(CD2589="D",1,0)+IF(CE2589="D",1,0)+IF(CF2589="D",1,0)+IF(CL2589="D",1,0)+IF(CM2589="D",1,0)+IF(CQ2589="D",1,0)+IF(CR2589="D",1,0)+IF(CS2589="D",1,0)+IF(CW2589="D",1,0)+IF(CX2589="D",1,0)+IF(DD2589="D",1,0)+IF(DE2589="D",1,0)+IF(DJ2589="D",1,0)+IF(DK2589="D",1,0)+IF(DO2589="D",1,0)+IF(DP2589="D",1,0)+IF(DQ2589="D",1,0)+IF(DW2589="D",1,0)+IF(DZ2589="D",1,0)+IF(EH2589="D",1,0)</f>
        <v>0</v>
      </c>
      <c r="AY2589" s="0" t="n">
        <f aca="false">COUNTIF(DU2589:EH2589, "&lt;&gt;")</f>
        <v>0</v>
      </c>
      <c r="AZ2589" s="0" t="n">
        <f aca="false">IF(EH2589&lt;&gt;"",1,0)</f>
        <v>0</v>
      </c>
      <c r="BB2589" s="0" t="s">
        <v>152</v>
      </c>
      <c r="DC2589" s="0" t="s">
        <v>153</v>
      </c>
    </row>
    <row r="2590" customFormat="false" ht="13.8" hidden="true" customHeight="false" outlineLevel="0" collapsed="false">
      <c r="A2590" s="0" t="s">
        <v>11048</v>
      </c>
      <c r="B2590" s="0" t="n">
        <v>78</v>
      </c>
      <c r="C2590" s="0" t="n">
        <v>487111</v>
      </c>
      <c r="D2590" s="0" t="s">
        <v>1466</v>
      </c>
      <c r="E2590" s="0" t="s">
        <v>11049</v>
      </c>
      <c r="F2590" s="0" t="str">
        <f aca="false">CONCATENATE(D2590," ",LEFT(H2590,4),"T=",AU2590,"D=",AV2590,"R=",AW2590,"M=",AX2590,"L=",AY2590,"B=",AZ2590)</f>
        <v>JOHNSON T=3D=0R=0M=0L=0B=0</v>
      </c>
      <c r="G2590" s="0" t="s">
        <v>190</v>
      </c>
      <c r="I2590" s="0" t="s">
        <v>11050</v>
      </c>
      <c r="J2590" s="0" t="s">
        <v>639</v>
      </c>
      <c r="K2590" s="0" t="s">
        <v>160</v>
      </c>
      <c r="M2590" s="0" t="s">
        <v>11051</v>
      </c>
      <c r="N2590" s="0" t="str">
        <f aca="false">RIGHT(M2590,LEN(M2590)-FIND(" ",M2590))</f>
        <v>WOODBINE AVE SE</v>
      </c>
      <c r="P2590" s="0" t="s">
        <v>145</v>
      </c>
      <c r="Q2590" s="0" t="s">
        <v>146</v>
      </c>
      <c r="R2590" s="0" t="n">
        <v>44484</v>
      </c>
      <c r="AD2590" s="0" t="s">
        <v>147</v>
      </c>
      <c r="AE2590" s="0" t="s">
        <v>148</v>
      </c>
      <c r="AF2590" s="0" t="s">
        <v>149</v>
      </c>
      <c r="AH2590" s="0" t="n">
        <v>14</v>
      </c>
      <c r="AI2590" s="0" t="n">
        <v>11</v>
      </c>
      <c r="AN2590" s="0" t="s">
        <v>145</v>
      </c>
      <c r="AO2590" s="0" t="s">
        <v>150</v>
      </c>
      <c r="AP2590" s="0" t="s">
        <v>151</v>
      </c>
      <c r="AQ2590" s="0" t="n">
        <v>9</v>
      </c>
      <c r="AR2590" s="0" t="n">
        <v>64</v>
      </c>
      <c r="AS2590" s="0" t="n">
        <v>32</v>
      </c>
      <c r="AU2590" s="0" t="n">
        <f aca="false">COUNTA($BA$305:$EH$305)</f>
        <v>3</v>
      </c>
      <c r="AV2590" s="0" t="n">
        <f aca="false">COUNTIF($BA$305:$EH$305,"D")</f>
        <v>0</v>
      </c>
      <c r="AW2590" s="0" t="n">
        <f aca="false">COUNTIF($BA$305:$EH$305,"R")</f>
        <v>0</v>
      </c>
      <c r="AX2590" s="0" t="n">
        <f aca="false">IF(BN2590="D",1,0)+IF(BO2590="D",1,0)+IF(BT2590="D",1,0)+IF(BU2590="D",1,0)+IF(BW2590="D",1,0)+IF(CC2590="D",1,0)+IF(CD2590="D",1,0)+IF(CE2590="D",1,0)+IF(CF2590="D",1,0)+IF(CL2590="D",1,0)+IF(CM2590="D",1,0)+IF(CQ2590="D",1,0)+IF(CR2590="D",1,0)+IF(CS2590="D",1,0)+IF(CW2590="D",1,0)+IF(CX2590="D",1,0)+IF(DD2590="D",1,0)+IF(DE2590="D",1,0)+IF(DJ2590="D",1,0)+IF(DK2590="D",1,0)+IF(DO2590="D",1,0)+IF(DP2590="D",1,0)+IF(DQ2590="D",1,0)+IF(DW2590="D",1,0)+IF(DZ2590="D",1,0)+IF(EH2590="D",1,0)</f>
        <v>0</v>
      </c>
      <c r="AY2590" s="0" t="n">
        <f aca="false">COUNTIF(DU2590:EH2590, "&lt;&gt;")</f>
        <v>0</v>
      </c>
      <c r="AZ2590" s="0" t="n">
        <f aca="false">IF(EH2590&lt;&gt;"",1,0)</f>
        <v>0</v>
      </c>
      <c r="BB2590" s="0" t="s">
        <v>152</v>
      </c>
    </row>
    <row r="2591" customFormat="false" ht="13.8" hidden="true" customHeight="false" outlineLevel="0" collapsed="false">
      <c r="A2591" s="0" t="s">
        <v>11052</v>
      </c>
      <c r="B2591" s="0" t="n">
        <v>78</v>
      </c>
      <c r="C2591" s="0" t="n">
        <v>359249</v>
      </c>
      <c r="D2591" s="0" t="s">
        <v>1041</v>
      </c>
      <c r="E2591" s="0" t="s">
        <v>6041</v>
      </c>
      <c r="F2591" s="0" t="str">
        <f aca="false">CONCATENATE(D2591," ",LEFT(H2591,4),"T=",AU2591,"D=",AV2591,"R=",AW2591,"M=",AX2591,"L=",AY2591,"B=",AZ2591)</f>
        <v>JONES T=1D=0R=0M=0L=0B=0</v>
      </c>
      <c r="G2591" s="0" t="s">
        <v>255</v>
      </c>
      <c r="I2591" s="0" t="s">
        <v>11053</v>
      </c>
      <c r="J2591" s="0" t="s">
        <v>11054</v>
      </c>
      <c r="K2591" s="0" t="s">
        <v>160</v>
      </c>
      <c r="M2591" s="0" t="s">
        <v>11051</v>
      </c>
      <c r="N2591" s="0" t="str">
        <f aca="false">RIGHT(M2591,LEN(M2591)-FIND(" ",M2591))</f>
        <v>WOODBINE AVE SE</v>
      </c>
      <c r="P2591" s="0" t="s">
        <v>145</v>
      </c>
      <c r="Q2591" s="0" t="s">
        <v>146</v>
      </c>
      <c r="R2591" s="0" t="n">
        <v>44484</v>
      </c>
      <c r="AD2591" s="0" t="s">
        <v>147</v>
      </c>
      <c r="AE2591" s="0" t="s">
        <v>148</v>
      </c>
      <c r="AF2591" s="0" t="s">
        <v>149</v>
      </c>
      <c r="AH2591" s="0" t="n">
        <v>14</v>
      </c>
      <c r="AI2591" s="0" t="n">
        <v>11</v>
      </c>
      <c r="AN2591" s="0" t="s">
        <v>145</v>
      </c>
      <c r="AO2591" s="0" t="s">
        <v>150</v>
      </c>
      <c r="AP2591" s="0" t="s">
        <v>151</v>
      </c>
      <c r="AQ2591" s="0" t="n">
        <v>9</v>
      </c>
      <c r="AR2591" s="0" t="n">
        <v>64</v>
      </c>
      <c r="AS2591" s="0" t="n">
        <v>32</v>
      </c>
      <c r="AU2591" s="0" t="n">
        <f aca="false">COUNTA($BA$509:$EH$509)</f>
        <v>1</v>
      </c>
      <c r="AV2591" s="0" t="n">
        <f aca="false">COUNTIF($BA$509:$EH$509,"D")</f>
        <v>0</v>
      </c>
      <c r="AW2591" s="0" t="n">
        <f aca="false">COUNTIF($BA$509:$EH$509,"R")</f>
        <v>0</v>
      </c>
      <c r="AX2591" s="0" t="n">
        <f aca="false">IF(BN2591="D",1,0)+IF(BO2591="D",1,0)+IF(BT2591="D",1,0)+IF(BU2591="D",1,0)+IF(BW2591="D",1,0)+IF(CC2591="D",1,0)+IF(CD2591="D",1,0)+IF(CE2591="D",1,0)+IF(CF2591="D",1,0)+IF(CL2591="D",1,0)+IF(CM2591="D",1,0)+IF(CQ2591="D",1,0)+IF(CR2591="D",1,0)+IF(CS2591="D",1,0)+IF(CW2591="D",1,0)+IF(CX2591="D",1,0)+IF(DD2591="D",1,0)+IF(DE2591="D",1,0)+IF(DJ2591="D",1,0)+IF(DK2591="D",1,0)+IF(DO2591="D",1,0)+IF(DP2591="D",1,0)+IF(DQ2591="D",1,0)+IF(DW2591="D",1,0)+IF(DZ2591="D",1,0)+IF(EH2591="D",1,0)</f>
        <v>0</v>
      </c>
      <c r="AY2591" s="0" t="n">
        <f aca="false">COUNTIF(DU2591:EH2591, "&lt;&gt;")</f>
        <v>0</v>
      </c>
      <c r="AZ2591" s="0" t="n">
        <f aca="false">IF(EH2591&lt;&gt;"",1,0)</f>
        <v>0</v>
      </c>
      <c r="BB2591" s="0" t="s">
        <v>152</v>
      </c>
      <c r="CA2591" s="0" t="s">
        <v>153</v>
      </c>
      <c r="CG2591" s="0" t="s">
        <v>153</v>
      </c>
      <c r="CU2591" s="0" t="s">
        <v>175</v>
      </c>
    </row>
    <row r="2592" customFormat="false" ht="13.8" hidden="false" customHeight="false" outlineLevel="0" collapsed="false">
      <c r="A2592" s="0" t="s">
        <v>11055</v>
      </c>
      <c r="B2592" s="0" t="n">
        <v>78</v>
      </c>
      <c r="C2592" s="0" t="n">
        <v>358092</v>
      </c>
      <c r="D2592" s="0" t="s">
        <v>3686</v>
      </c>
      <c r="E2592" s="0" t="s">
        <v>11056</v>
      </c>
      <c r="F2592" s="0" t="str">
        <f aca="false">CONCATENATE(D2592," ",LEFT(H2592,4),"T=",AU2592,"D=",AV2592,"R=",AW2592,"M=",AX2592,"L=",AY2592,"B=",AZ2592)</f>
        <v>PALM T=3D=0R=0M=0L=2B=0</v>
      </c>
      <c r="G2592" s="0" t="s">
        <v>190</v>
      </c>
      <c r="I2592" s="0" t="s">
        <v>11057</v>
      </c>
      <c r="J2592" s="0" t="s">
        <v>11058</v>
      </c>
      <c r="K2592" s="0" t="s">
        <v>160</v>
      </c>
      <c r="M2592" s="0" t="s">
        <v>11051</v>
      </c>
      <c r="N2592" s="0" t="str">
        <f aca="false">RIGHT(M2592,LEN(M2592)-FIND(" ",M2592))</f>
        <v>WOODBINE AVE SE</v>
      </c>
      <c r="P2592" s="0" t="s">
        <v>145</v>
      </c>
      <c r="Q2592" s="0" t="s">
        <v>146</v>
      </c>
      <c r="R2592" s="0" t="n">
        <v>44484</v>
      </c>
      <c r="AD2592" s="0" t="s">
        <v>147</v>
      </c>
      <c r="AE2592" s="0" t="s">
        <v>148</v>
      </c>
      <c r="AF2592" s="0" t="s">
        <v>149</v>
      </c>
      <c r="AH2592" s="0" t="n">
        <v>14</v>
      </c>
      <c r="AI2592" s="0" t="n">
        <v>11</v>
      </c>
      <c r="AN2592" s="0" t="s">
        <v>145</v>
      </c>
      <c r="AO2592" s="0" t="s">
        <v>150</v>
      </c>
      <c r="AP2592" s="0" t="s">
        <v>151</v>
      </c>
      <c r="AQ2592" s="0" t="n">
        <v>9</v>
      </c>
      <c r="AR2592" s="0" t="n">
        <v>64</v>
      </c>
      <c r="AS2592" s="0" t="n">
        <v>32</v>
      </c>
      <c r="AU2592" s="0" t="n">
        <f aca="false">COUNTA($BA$510:$EH$510)</f>
        <v>3</v>
      </c>
      <c r="AV2592" s="0" t="n">
        <f aca="false">COUNTIF($BA$510:$EH$510,"D")</f>
        <v>0</v>
      </c>
      <c r="AW2592" s="0" t="n">
        <f aca="false">COUNTIF($BA$510:$EH$510,"R")</f>
        <v>0</v>
      </c>
      <c r="AX2592" s="0" t="n">
        <f aca="false">IF(BN2592="D",1,0)+IF(BO2592="D",1,0)+IF(BT2592="D",1,0)+IF(BU2592="D",1,0)+IF(BW2592="D",1,0)+IF(CC2592="D",1,0)+IF(CD2592="D",1,0)+IF(CE2592="D",1,0)+IF(CF2592="D",1,0)+IF(CL2592="D",1,0)+IF(CM2592="D",1,0)+IF(CQ2592="D",1,0)+IF(CR2592="D",1,0)+IF(CS2592="D",1,0)+IF(CW2592="D",1,0)+IF(CX2592="D",1,0)+IF(DD2592="D",1,0)+IF(DE2592="D",1,0)+IF(DJ2592="D",1,0)+IF(DK2592="D",1,0)+IF(DO2592="D",1,0)+IF(DP2592="D",1,0)+IF(DQ2592="D",1,0)+IF(DW2592="D",1,0)+IF(DZ2592="D",1,0)+IF(EH2592="D",1,0)</f>
        <v>0</v>
      </c>
      <c r="AY2592" s="0" t="n">
        <f aca="false">COUNTIF(DU2592:EH2592, "&lt;&gt;")</f>
        <v>2</v>
      </c>
      <c r="AZ2592" s="0" t="n">
        <f aca="false">IF(EH2592&lt;&gt;"",1,0)</f>
        <v>0</v>
      </c>
      <c r="BB2592" s="0" t="s">
        <v>152</v>
      </c>
      <c r="CA2592" s="0" t="s">
        <v>153</v>
      </c>
      <c r="CG2592" s="0" t="s">
        <v>153</v>
      </c>
      <c r="CU2592" s="0" t="s">
        <v>175</v>
      </c>
      <c r="CZ2592" s="0" t="s">
        <v>175</v>
      </c>
      <c r="DC2592" s="0" t="s">
        <v>153</v>
      </c>
      <c r="DI2592" s="0" t="s">
        <v>153</v>
      </c>
      <c r="DN2592" s="0" t="s">
        <v>153</v>
      </c>
      <c r="DX2592" s="0" t="s">
        <v>153</v>
      </c>
      <c r="EF2592" s="0" t="s">
        <v>153</v>
      </c>
    </row>
    <row r="2593" customFormat="false" ht="13.8" hidden="true" customHeight="false" outlineLevel="0" collapsed="false">
      <c r="A2593" s="0" t="s">
        <v>11059</v>
      </c>
      <c r="B2593" s="0" t="n">
        <v>78</v>
      </c>
      <c r="C2593" s="0" t="n">
        <v>370599</v>
      </c>
      <c r="D2593" s="0" t="s">
        <v>1041</v>
      </c>
      <c r="E2593" s="0" t="s">
        <v>895</v>
      </c>
      <c r="F2593" s="0" t="str">
        <f aca="false">CONCATENATE(D2593," ",LEFT(H2593,4),"T=",AU2593,"D=",AV2593,"R=",AW2593,"M=",AX2593,"L=",AY2593,"B=",AZ2593)</f>
        <v>JONES T=38D=17R=0M=0L=0B=0</v>
      </c>
      <c r="G2593" s="0" t="s">
        <v>175</v>
      </c>
      <c r="I2593" s="0" t="s">
        <v>11060</v>
      </c>
      <c r="J2593" s="0" t="s">
        <v>989</v>
      </c>
      <c r="K2593" s="0" t="s">
        <v>160</v>
      </c>
      <c r="M2593" s="0" t="s">
        <v>11051</v>
      </c>
      <c r="N2593" s="0" t="str">
        <f aca="false">RIGHT(M2593,LEN(M2593)-FIND(" ",M2593))</f>
        <v>WOODBINE AVE SE</v>
      </c>
      <c r="P2593" s="0" t="s">
        <v>145</v>
      </c>
      <c r="Q2593" s="0" t="s">
        <v>146</v>
      </c>
      <c r="R2593" s="0" t="n">
        <v>44484</v>
      </c>
      <c r="AD2593" s="0" t="s">
        <v>147</v>
      </c>
      <c r="AE2593" s="0" t="s">
        <v>148</v>
      </c>
      <c r="AF2593" s="0" t="s">
        <v>149</v>
      </c>
      <c r="AH2593" s="0" t="n">
        <v>14</v>
      </c>
      <c r="AI2593" s="0" t="n">
        <v>11</v>
      </c>
      <c r="AN2593" s="0" t="s">
        <v>145</v>
      </c>
      <c r="AO2593" s="0" t="s">
        <v>150</v>
      </c>
      <c r="AP2593" s="0" t="s">
        <v>151</v>
      </c>
      <c r="AQ2593" s="0" t="n">
        <v>9</v>
      </c>
      <c r="AR2593" s="0" t="n">
        <v>64</v>
      </c>
      <c r="AS2593" s="0" t="n">
        <v>32</v>
      </c>
      <c r="AU2593" s="0" t="n">
        <f aca="false">COUNTA($BA$1076:$EH$1076)</f>
        <v>38</v>
      </c>
      <c r="AV2593" s="0" t="n">
        <f aca="false">COUNTIF($BA$1076:$EH$1076,"D")</f>
        <v>17</v>
      </c>
      <c r="AW2593" s="0" t="n">
        <f aca="false">COUNTIF($BA$1076:$EH$1076,"R")</f>
        <v>0</v>
      </c>
      <c r="AX2593" s="0" t="n">
        <f aca="false">IF(BN2593="D",1,0)+IF(BO2593="D",1,0)+IF(BT2593="D",1,0)+IF(BU2593="D",1,0)+IF(BW2593="D",1,0)+IF(CC2593="D",1,0)+IF(CD2593="D",1,0)+IF(CE2593="D",1,0)+IF(CF2593="D",1,0)+IF(CL2593="D",1,0)+IF(CM2593="D",1,0)+IF(CQ2593="D",1,0)+IF(CR2593="D",1,0)+IF(CS2593="D",1,0)+IF(CW2593="D",1,0)+IF(CX2593="D",1,0)+IF(DD2593="D",1,0)+IF(DE2593="D",1,0)+IF(DJ2593="D",1,0)+IF(DK2593="D",1,0)+IF(DO2593="D",1,0)+IF(DP2593="D",1,0)+IF(DQ2593="D",1,0)+IF(DW2593="D",1,0)+IF(DZ2593="D",1,0)+IF(EH2593="D",1,0)</f>
        <v>0</v>
      </c>
      <c r="AY2593" s="0" t="n">
        <f aca="false">COUNTIF(DU2593:EH2593, "&lt;&gt;")</f>
        <v>0</v>
      </c>
      <c r="AZ2593" s="0" t="n">
        <f aca="false">IF(EH2593&lt;&gt;"",1,0)</f>
        <v>0</v>
      </c>
      <c r="BB2593" s="0" t="s">
        <v>152</v>
      </c>
    </row>
    <row r="2594" customFormat="false" ht="13.8" hidden="false" customHeight="false" outlineLevel="0" collapsed="false">
      <c r="A2594" s="0" t="s">
        <v>11061</v>
      </c>
      <c r="B2594" s="0" t="n">
        <v>78</v>
      </c>
      <c r="C2594" s="0" t="n">
        <v>475076</v>
      </c>
      <c r="D2594" s="0" t="s">
        <v>11062</v>
      </c>
      <c r="E2594" s="0" t="s">
        <v>11063</v>
      </c>
      <c r="F2594" s="0" t="str">
        <f aca="false">CONCATENATE(D2594," ",LEFT(H2594,4),"T=",AU2594,"D=",AV2594,"R=",AW2594,"M=",AX2594,"L=",AY2594,"B=",AZ2594)</f>
        <v>POTTER T=1D=0R=0M=0L=3B=0</v>
      </c>
      <c r="G2594" s="0" t="s">
        <v>11064</v>
      </c>
      <c r="I2594" s="0" t="s">
        <v>11065</v>
      </c>
      <c r="J2594" s="0" t="s">
        <v>7889</v>
      </c>
      <c r="K2594" s="0" t="s">
        <v>160</v>
      </c>
      <c r="M2594" s="0" t="s">
        <v>11066</v>
      </c>
      <c r="N2594" s="0" t="str">
        <f aca="false">RIGHT(M2594,LEN(M2594)-FIND(" ",M2594))</f>
        <v>WOODBINE AVE SE</v>
      </c>
      <c r="P2594" s="0" t="s">
        <v>145</v>
      </c>
      <c r="Q2594" s="0" t="s">
        <v>146</v>
      </c>
      <c r="R2594" s="0" t="n">
        <v>44484</v>
      </c>
      <c r="AD2594" s="0" t="s">
        <v>147</v>
      </c>
      <c r="AE2594" s="0" t="s">
        <v>148</v>
      </c>
      <c r="AF2594" s="0" t="s">
        <v>149</v>
      </c>
      <c r="AH2594" s="0" t="n">
        <v>14</v>
      </c>
      <c r="AI2594" s="0" t="n">
        <v>11</v>
      </c>
      <c r="AN2594" s="0" t="s">
        <v>145</v>
      </c>
      <c r="AO2594" s="0" t="s">
        <v>150</v>
      </c>
      <c r="AP2594" s="0" t="s">
        <v>151</v>
      </c>
      <c r="AQ2594" s="0" t="n">
        <v>9</v>
      </c>
      <c r="AR2594" s="0" t="n">
        <v>64</v>
      </c>
      <c r="AS2594" s="0" t="n">
        <v>32</v>
      </c>
      <c r="AU2594" s="0" t="n">
        <f aca="false">COUNTA($BA$559:$EH$559)</f>
        <v>1</v>
      </c>
      <c r="AV2594" s="0" t="n">
        <f aca="false">COUNTIF($BA$559:$EH$559,"D")</f>
        <v>0</v>
      </c>
      <c r="AW2594" s="0" t="n">
        <f aca="false">COUNTIF($BA$559:$EH$559,"R")</f>
        <v>0</v>
      </c>
      <c r="AX2594" s="0" t="n">
        <f aca="false">IF(BN2594="D",1,0)+IF(BO2594="D",1,0)+IF(BT2594="D",1,0)+IF(BU2594="D",1,0)+IF(BW2594="D",1,0)+IF(CC2594="D",1,0)+IF(CD2594="D",1,0)+IF(CE2594="D",1,0)+IF(CF2594="D",1,0)+IF(CL2594="D",1,0)+IF(CM2594="D",1,0)+IF(CQ2594="D",1,0)+IF(CR2594="D",1,0)+IF(CS2594="D",1,0)+IF(CW2594="D",1,0)+IF(CX2594="D",1,0)+IF(DD2594="D",1,0)+IF(DE2594="D",1,0)+IF(DJ2594="D",1,0)+IF(DK2594="D",1,0)+IF(DO2594="D",1,0)+IF(DP2594="D",1,0)+IF(DQ2594="D",1,0)+IF(DW2594="D",1,0)+IF(DZ2594="D",1,0)+IF(EH2594="D",1,0)</f>
        <v>0</v>
      </c>
      <c r="AY2594" s="0" t="n">
        <f aca="false">COUNTIF(DU2594:EH2594, "&lt;&gt;")</f>
        <v>3</v>
      </c>
      <c r="AZ2594" s="0" t="n">
        <f aca="false">IF(EH2594&lt;&gt;"",1,0)</f>
        <v>0</v>
      </c>
      <c r="BB2594" s="0" t="s">
        <v>152</v>
      </c>
      <c r="DX2594" s="0" t="s">
        <v>153</v>
      </c>
      <c r="EA2594" s="0" t="s">
        <v>153</v>
      </c>
      <c r="EF2594" s="0" t="s">
        <v>153</v>
      </c>
    </row>
    <row r="2595" customFormat="false" ht="13.8" hidden="true" customHeight="false" outlineLevel="0" collapsed="false">
      <c r="A2595" s="0" t="s">
        <v>11067</v>
      </c>
      <c r="B2595" s="0" t="n">
        <v>78</v>
      </c>
      <c r="C2595" s="0" t="n">
        <v>407931</v>
      </c>
      <c r="D2595" s="0" t="s">
        <v>2206</v>
      </c>
      <c r="E2595" s="0" t="s">
        <v>11068</v>
      </c>
      <c r="F2595" s="0" t="str">
        <f aca="false">CONCATENATE(D2595," ",LEFT(H2595,4),"T=",AU2595,"D=",AV2595,"R=",AW2595,"M=",AX2595,"L=",AY2595,"B=",AZ2595)</f>
        <v>MARTINEZ T=1D=0R=0M=0L=0B=0</v>
      </c>
      <c r="G2595" s="0" t="s">
        <v>307</v>
      </c>
      <c r="I2595" s="0" t="s">
        <v>11069</v>
      </c>
      <c r="J2595" s="0" t="s">
        <v>11070</v>
      </c>
      <c r="K2595" s="0" t="s">
        <v>143</v>
      </c>
      <c r="M2595" s="0" t="s">
        <v>11071</v>
      </c>
      <c r="N2595" s="0" t="str">
        <f aca="false">RIGHT(M2595,LEN(M2595)-FIND(" ",M2595))</f>
        <v>WOODBINE AVE SE</v>
      </c>
      <c r="P2595" s="0" t="s">
        <v>145</v>
      </c>
      <c r="Q2595" s="0" t="s">
        <v>146</v>
      </c>
      <c r="R2595" s="0" t="n">
        <v>44484</v>
      </c>
      <c r="AD2595" s="0" t="s">
        <v>147</v>
      </c>
      <c r="AE2595" s="0" t="s">
        <v>148</v>
      </c>
      <c r="AF2595" s="0" t="s">
        <v>149</v>
      </c>
      <c r="AH2595" s="0" t="n">
        <v>14</v>
      </c>
      <c r="AI2595" s="0" t="n">
        <v>11</v>
      </c>
      <c r="AN2595" s="0" t="s">
        <v>145</v>
      </c>
      <c r="AO2595" s="0" t="s">
        <v>150</v>
      </c>
      <c r="AP2595" s="0" t="s">
        <v>151</v>
      </c>
      <c r="AQ2595" s="0" t="n">
        <v>9</v>
      </c>
      <c r="AR2595" s="0" t="n">
        <v>64</v>
      </c>
      <c r="AS2595" s="0" t="n">
        <v>32</v>
      </c>
      <c r="AU2595" s="0" t="n">
        <f aca="false">COUNTA($BA$276:$EH$276)</f>
        <v>1</v>
      </c>
      <c r="AV2595" s="0" t="n">
        <f aca="false">COUNTIF($BA$276:$EH$276,"D")</f>
        <v>0</v>
      </c>
      <c r="AW2595" s="0" t="n">
        <f aca="false">COUNTIF($BA$276:$EH$276,"R")</f>
        <v>0</v>
      </c>
      <c r="AX2595" s="0" t="n">
        <f aca="false">IF(BN2595="D",1,0)+IF(BO2595="D",1,0)+IF(BT2595="D",1,0)+IF(BU2595="D",1,0)+IF(BW2595="D",1,0)+IF(CC2595="D",1,0)+IF(CD2595="D",1,0)+IF(CE2595="D",1,0)+IF(CF2595="D",1,0)+IF(CL2595="D",1,0)+IF(CM2595="D",1,0)+IF(CQ2595="D",1,0)+IF(CR2595="D",1,0)+IF(CS2595="D",1,0)+IF(CW2595="D",1,0)+IF(CX2595="D",1,0)+IF(DD2595="D",1,0)+IF(DE2595="D",1,0)+IF(DJ2595="D",1,0)+IF(DK2595="D",1,0)+IF(DO2595="D",1,0)+IF(DP2595="D",1,0)+IF(DQ2595="D",1,0)+IF(DW2595="D",1,0)+IF(DZ2595="D",1,0)+IF(EH2595="D",1,0)</f>
        <v>0</v>
      </c>
      <c r="AY2595" s="0" t="n">
        <f aca="false">COUNTIF(DU2595:EH2595, "&lt;&gt;")</f>
        <v>0</v>
      </c>
      <c r="AZ2595" s="0" t="n">
        <f aca="false">IF(EH2595&lt;&gt;"",1,0)</f>
        <v>0</v>
      </c>
      <c r="BB2595" s="0" t="s">
        <v>152</v>
      </c>
      <c r="DN2595" s="0" t="s">
        <v>153</v>
      </c>
    </row>
    <row r="2596" customFormat="false" ht="13.8" hidden="true" customHeight="false" outlineLevel="0" collapsed="false">
      <c r="A2596" s="0" t="s">
        <v>11072</v>
      </c>
      <c r="B2596" s="0" t="n">
        <v>78</v>
      </c>
      <c r="C2596" s="0" t="n">
        <v>239819</v>
      </c>
      <c r="D2596" s="0" t="s">
        <v>11073</v>
      </c>
      <c r="E2596" s="0" t="s">
        <v>1208</v>
      </c>
      <c r="F2596" s="0" t="str">
        <f aca="false">CONCATENATE(D2596," ",LEFT(H2596,4),"T=",AU2596,"D=",AV2596,"R=",AW2596,"M=",AX2596,"L=",AY2596,"B=",AZ2596)</f>
        <v>EMERSON T=1D=0R=0M=0L=0B=0</v>
      </c>
      <c r="G2596" s="0" t="s">
        <v>195</v>
      </c>
      <c r="I2596" s="0" t="s">
        <v>11074</v>
      </c>
      <c r="J2596" s="0" t="s">
        <v>11075</v>
      </c>
      <c r="K2596" s="0" t="s">
        <v>143</v>
      </c>
      <c r="M2596" s="0" t="s">
        <v>11076</v>
      </c>
      <c r="N2596" s="0" t="str">
        <f aca="false">RIGHT(M2596,LEN(M2596)-FIND(" ",M2596))</f>
        <v>WOODBINE AVE SE</v>
      </c>
      <c r="P2596" s="0" t="s">
        <v>145</v>
      </c>
      <c r="Q2596" s="0" t="s">
        <v>146</v>
      </c>
      <c r="R2596" s="0" t="n">
        <v>44484</v>
      </c>
      <c r="AD2596" s="0" t="s">
        <v>147</v>
      </c>
      <c r="AE2596" s="0" t="s">
        <v>148</v>
      </c>
      <c r="AF2596" s="0" t="s">
        <v>149</v>
      </c>
      <c r="AH2596" s="0" t="n">
        <v>14</v>
      </c>
      <c r="AI2596" s="0" t="n">
        <v>11</v>
      </c>
      <c r="AN2596" s="0" t="s">
        <v>145</v>
      </c>
      <c r="AO2596" s="0" t="s">
        <v>150</v>
      </c>
      <c r="AP2596" s="0" t="s">
        <v>151</v>
      </c>
      <c r="AQ2596" s="0" t="n">
        <v>9</v>
      </c>
      <c r="AR2596" s="0" t="n">
        <v>64</v>
      </c>
      <c r="AS2596" s="0" t="n">
        <v>32</v>
      </c>
      <c r="AU2596" s="0" t="n">
        <f aca="false">COUNTA($BA$124:$EH$124)</f>
        <v>1</v>
      </c>
      <c r="AV2596" s="0" t="n">
        <f aca="false">COUNTIF($BA$124:$EH$124,"D")</f>
        <v>0</v>
      </c>
      <c r="AW2596" s="0" t="n">
        <f aca="false">COUNTIF($BA$124:$EH$124,"R")</f>
        <v>0</v>
      </c>
      <c r="AX2596" s="0" t="n">
        <f aca="false">IF(BN2596="D",1,0)+IF(BO2596="D",1,0)+IF(BT2596="D",1,0)+IF(BU2596="D",1,0)+IF(BW2596="D",1,0)+IF(CC2596="D",1,0)+IF(CD2596="D",1,0)+IF(CE2596="D",1,0)+IF(CF2596="D",1,0)+IF(CL2596="D",1,0)+IF(CM2596="D",1,0)+IF(CQ2596="D",1,0)+IF(CR2596="D",1,0)+IF(CS2596="D",1,0)+IF(CW2596="D",1,0)+IF(CX2596="D",1,0)+IF(DD2596="D",1,0)+IF(DE2596="D",1,0)+IF(DJ2596="D",1,0)+IF(DK2596="D",1,0)+IF(DO2596="D",1,0)+IF(DP2596="D",1,0)+IF(DQ2596="D",1,0)+IF(DW2596="D",1,0)+IF(DZ2596="D",1,0)+IF(EH2596="D",1,0)</f>
        <v>0</v>
      </c>
      <c r="AY2596" s="0" t="n">
        <f aca="false">COUNTIF(DU2596:EH2596, "&lt;&gt;")</f>
        <v>0</v>
      </c>
      <c r="AZ2596" s="0" t="n">
        <f aca="false">IF(EH2596&lt;&gt;"",1,0)</f>
        <v>0</v>
      </c>
      <c r="BB2596" s="0" t="s">
        <v>152</v>
      </c>
      <c r="BC2596" s="0" t="s">
        <v>153</v>
      </c>
      <c r="BD2596" s="0" t="s">
        <v>153</v>
      </c>
      <c r="BH2596" s="0" t="s">
        <v>153</v>
      </c>
      <c r="BL2596" s="0" t="s">
        <v>153</v>
      </c>
      <c r="BS2596" s="0" t="s">
        <v>153</v>
      </c>
      <c r="BY2596" s="0" t="s">
        <v>209</v>
      </c>
      <c r="CA2596" s="0" t="s">
        <v>153</v>
      </c>
      <c r="CP2596" s="0" t="s">
        <v>153</v>
      </c>
      <c r="CY2596" s="0" t="s">
        <v>153</v>
      </c>
      <c r="CZ2596" s="0" t="s">
        <v>209</v>
      </c>
      <c r="DC2596" s="0" t="s">
        <v>153</v>
      </c>
      <c r="DN2596" s="0" t="s">
        <v>153</v>
      </c>
    </row>
    <row r="2597" customFormat="false" ht="13.8" hidden="false" customHeight="false" outlineLevel="0" collapsed="false">
      <c r="A2597" s="0" t="s">
        <v>11077</v>
      </c>
      <c r="B2597" s="0" t="n">
        <v>78</v>
      </c>
      <c r="C2597" s="0" t="n">
        <v>171245</v>
      </c>
      <c r="D2597" s="0" t="s">
        <v>11078</v>
      </c>
      <c r="E2597" s="0" t="s">
        <v>11079</v>
      </c>
      <c r="F2597" s="0" t="str">
        <f aca="false">CONCATENATE(D2597," ",LEFT(H2597,4),"T=",AU2597,"D=",AV2597,"R=",AW2597,"M=",AX2597,"L=",AY2597,"B=",AZ2597)</f>
        <v>ACETO T=3D=0R=0M=6L=7B=1</v>
      </c>
      <c r="I2597" s="0" t="s">
        <v>11080</v>
      </c>
      <c r="J2597" s="0" t="s">
        <v>11081</v>
      </c>
      <c r="K2597" s="0" t="s">
        <v>160</v>
      </c>
      <c r="L2597" s="0" t="s">
        <v>175</v>
      </c>
      <c r="M2597" s="0" t="s">
        <v>11082</v>
      </c>
      <c r="N2597" s="0" t="str">
        <f aca="false">RIGHT(M2597,LEN(M2597)-FIND(" ",M2597))</f>
        <v>WOODBINE AVE SE</v>
      </c>
      <c r="P2597" s="0" t="s">
        <v>145</v>
      </c>
      <c r="Q2597" s="0" t="s">
        <v>146</v>
      </c>
      <c r="R2597" s="0" t="n">
        <v>44484</v>
      </c>
      <c r="AD2597" s="0" t="s">
        <v>147</v>
      </c>
      <c r="AE2597" s="0" t="s">
        <v>148</v>
      </c>
      <c r="AF2597" s="0" t="s">
        <v>149</v>
      </c>
      <c r="AH2597" s="0" t="n">
        <v>14</v>
      </c>
      <c r="AI2597" s="0" t="n">
        <v>11</v>
      </c>
      <c r="AN2597" s="0" t="s">
        <v>145</v>
      </c>
      <c r="AO2597" s="0" t="s">
        <v>150</v>
      </c>
      <c r="AP2597" s="0" t="s">
        <v>151</v>
      </c>
      <c r="AQ2597" s="0" t="n">
        <v>9</v>
      </c>
      <c r="AR2597" s="0" t="n">
        <v>64</v>
      </c>
      <c r="AS2597" s="0" t="n">
        <v>32</v>
      </c>
      <c r="AU2597" s="0" t="n">
        <f aca="false">COUNTA($BA$13:$EH$13)</f>
        <v>3</v>
      </c>
      <c r="AV2597" s="0" t="n">
        <f aca="false">COUNTIF($BA$13:$EH$13,"D")</f>
        <v>0</v>
      </c>
      <c r="AW2597" s="0" t="n">
        <f aca="false">COUNTIF($BA$13:$EH$13,"R")</f>
        <v>0</v>
      </c>
      <c r="AX2597" s="0" t="n">
        <f aca="false">IF(BN2597="D",1,0)+IF(BO2597="D",1,0)+IF(BT2597="D",1,0)+IF(BU2597="D",1,0)+IF(BW2597="D",1,0)+IF(CC2597="D",1,0)+IF(CD2597="D",1,0)+IF(CE2597="D",1,0)+IF(CF2597="D",1,0)+IF(CL2597="D",1,0)+IF(CM2597="D",1,0)+IF(CQ2597="D",1,0)+IF(CR2597="D",1,0)+IF(CS2597="D",1,0)+IF(CW2597="D",1,0)+IF(CX2597="D",1,0)+IF(DD2597="D",1,0)+IF(DE2597="D",1,0)+IF(DJ2597="D",1,0)+IF(DK2597="D",1,0)+IF(DO2597="D",1,0)+IF(DP2597="D",1,0)+IF(DQ2597="D",1,0)+IF(DW2597="D",1,0)+IF(DZ2597="D",1,0)+IF(EH2597="D",1,0)</f>
        <v>6</v>
      </c>
      <c r="AY2597" s="0" t="n">
        <f aca="false">COUNTIF(DU2597:EH2597, "&lt;&gt;")</f>
        <v>7</v>
      </c>
      <c r="AZ2597" s="0" t="n">
        <f aca="false">IF(EH2597&lt;&gt;"",1,0)</f>
        <v>1</v>
      </c>
      <c r="BB2597" s="0" t="s">
        <v>152</v>
      </c>
      <c r="BC2597" s="0" t="s">
        <v>153</v>
      </c>
      <c r="BD2597" s="0" t="s">
        <v>153</v>
      </c>
      <c r="BE2597" s="0" t="s">
        <v>153</v>
      </c>
      <c r="BF2597" s="0" t="s">
        <v>153</v>
      </c>
      <c r="BG2597" s="0" t="s">
        <v>153</v>
      </c>
      <c r="BH2597" s="0" t="s">
        <v>153</v>
      </c>
      <c r="BI2597" s="0" t="s">
        <v>153</v>
      </c>
      <c r="BJ2597" s="0" t="s">
        <v>153</v>
      </c>
      <c r="BK2597" s="0" t="s">
        <v>153</v>
      </c>
      <c r="BL2597" s="0" t="s">
        <v>153</v>
      </c>
      <c r="BP2597" s="0" t="s">
        <v>153</v>
      </c>
      <c r="BR2597" s="0" t="s">
        <v>153</v>
      </c>
      <c r="BS2597" s="0" t="s">
        <v>153</v>
      </c>
      <c r="BT2597" s="0" t="s">
        <v>153</v>
      </c>
      <c r="BV2597" s="0" t="s">
        <v>153</v>
      </c>
      <c r="BY2597" s="0" t="s">
        <v>175</v>
      </c>
      <c r="CA2597" s="0" t="s">
        <v>153</v>
      </c>
      <c r="CG2597" s="0" t="s">
        <v>153</v>
      </c>
      <c r="CH2597" s="0" t="s">
        <v>175</v>
      </c>
      <c r="CK2597" s="0" t="s">
        <v>153</v>
      </c>
      <c r="CL2597" s="0" t="s">
        <v>175</v>
      </c>
      <c r="CN2597" s="0" t="s">
        <v>153</v>
      </c>
      <c r="CP2597" s="0" t="s">
        <v>153</v>
      </c>
      <c r="CV2597" s="0" t="s">
        <v>153</v>
      </c>
      <c r="CW2597" s="0" t="s">
        <v>175</v>
      </c>
      <c r="CY2597" s="0" t="s">
        <v>153</v>
      </c>
      <c r="CZ2597" s="0" t="s">
        <v>175</v>
      </c>
      <c r="DC2597" s="0" t="s">
        <v>153</v>
      </c>
      <c r="DD2597" s="0" t="s">
        <v>175</v>
      </c>
      <c r="DG2597" s="0" t="s">
        <v>175</v>
      </c>
      <c r="DI2597" s="0" t="s">
        <v>153</v>
      </c>
      <c r="DJ2597" s="0" t="s">
        <v>175</v>
      </c>
      <c r="DL2597" s="0" t="s">
        <v>153</v>
      </c>
      <c r="DM2597" s="0" t="s">
        <v>175</v>
      </c>
      <c r="DN2597" s="0" t="s">
        <v>153</v>
      </c>
      <c r="DS2597" s="0" t="s">
        <v>175</v>
      </c>
      <c r="DT2597" s="0" t="s">
        <v>175</v>
      </c>
      <c r="DU2597" s="0" t="s">
        <v>153</v>
      </c>
      <c r="DW2597" s="0" t="s">
        <v>175</v>
      </c>
      <c r="DX2597" s="0" t="s">
        <v>153</v>
      </c>
      <c r="EA2597" s="0" t="s">
        <v>153</v>
      </c>
      <c r="ED2597" s="0" t="s">
        <v>175</v>
      </c>
      <c r="EF2597" s="0" t="s">
        <v>153</v>
      </c>
      <c r="EH2597" s="0" t="s">
        <v>175</v>
      </c>
    </row>
    <row r="2598" customFormat="false" ht="13.8" hidden="true" customHeight="false" outlineLevel="0" collapsed="false">
      <c r="A2598" s="0" t="s">
        <v>11083</v>
      </c>
      <c r="B2598" s="0" t="n">
        <v>78</v>
      </c>
      <c r="C2598" s="0" t="n">
        <v>472367</v>
      </c>
      <c r="D2598" s="0" t="s">
        <v>11084</v>
      </c>
      <c r="E2598" s="0" t="s">
        <v>2546</v>
      </c>
      <c r="F2598" s="0" t="str">
        <f aca="false">CONCATENATE(D2598," ",LEFT(H2598,4),"T=",AU2598,"D=",AV2598,"R=",AW2598,"M=",AX2598,"L=",AY2598,"B=",AZ2598)</f>
        <v>BURCHETT T=2D=0R=0M=0L=0B=0</v>
      </c>
      <c r="G2598" s="0" t="s">
        <v>2456</v>
      </c>
      <c r="I2598" s="0" t="s">
        <v>11085</v>
      </c>
      <c r="J2598" s="0" t="s">
        <v>11086</v>
      </c>
      <c r="K2598" s="0" t="s">
        <v>160</v>
      </c>
      <c r="M2598" s="0" t="s">
        <v>11087</v>
      </c>
      <c r="N2598" s="0" t="str">
        <f aca="false">RIGHT(M2598,LEN(M2598)-FIND(" ",M2598))</f>
        <v>WOODBINE AVE SE</v>
      </c>
      <c r="P2598" s="0" t="s">
        <v>145</v>
      </c>
      <c r="Q2598" s="0" t="s">
        <v>146</v>
      </c>
      <c r="R2598" s="0" t="n">
        <v>44484</v>
      </c>
      <c r="AD2598" s="0" t="s">
        <v>147</v>
      </c>
      <c r="AE2598" s="0" t="s">
        <v>148</v>
      </c>
      <c r="AF2598" s="0" t="s">
        <v>149</v>
      </c>
      <c r="AH2598" s="0" t="n">
        <v>14</v>
      </c>
      <c r="AI2598" s="0" t="n">
        <v>11</v>
      </c>
      <c r="AN2598" s="0" t="s">
        <v>145</v>
      </c>
      <c r="AO2598" s="0" t="s">
        <v>150</v>
      </c>
      <c r="AP2598" s="0" t="s">
        <v>151</v>
      </c>
      <c r="AQ2598" s="0" t="n">
        <v>9</v>
      </c>
      <c r="AR2598" s="0" t="n">
        <v>64</v>
      </c>
      <c r="AS2598" s="0" t="n">
        <v>32</v>
      </c>
      <c r="AU2598" s="0" t="n">
        <f aca="false">COUNTA($BA$164:$EH$164)</f>
        <v>2</v>
      </c>
      <c r="AV2598" s="0" t="n">
        <f aca="false">COUNTIF($BA$164:$EH$164,"D")</f>
        <v>0</v>
      </c>
      <c r="AW2598" s="0" t="n">
        <f aca="false">COUNTIF($BA$164:$EH$164,"R")</f>
        <v>0</v>
      </c>
      <c r="AX2598" s="0" t="n">
        <f aca="false">IF(BN2598="D",1,0)+IF(BO2598="D",1,0)+IF(BT2598="D",1,0)+IF(BU2598="D",1,0)+IF(BW2598="D",1,0)+IF(CC2598="D",1,0)+IF(CD2598="D",1,0)+IF(CE2598="D",1,0)+IF(CF2598="D",1,0)+IF(CL2598="D",1,0)+IF(CM2598="D",1,0)+IF(CQ2598="D",1,0)+IF(CR2598="D",1,0)+IF(CS2598="D",1,0)+IF(CW2598="D",1,0)+IF(CX2598="D",1,0)+IF(DD2598="D",1,0)+IF(DE2598="D",1,0)+IF(DJ2598="D",1,0)+IF(DK2598="D",1,0)+IF(DO2598="D",1,0)+IF(DP2598="D",1,0)+IF(DQ2598="D",1,0)+IF(DW2598="D",1,0)+IF(DZ2598="D",1,0)+IF(EH2598="D",1,0)</f>
        <v>0</v>
      </c>
      <c r="AY2598" s="0" t="n">
        <f aca="false">COUNTIF(DU2598:EH2598, "&lt;&gt;")</f>
        <v>0</v>
      </c>
      <c r="AZ2598" s="0" t="n">
        <f aca="false">IF(EH2598&lt;&gt;"",1,0)</f>
        <v>0</v>
      </c>
      <c r="BB2598" s="0" t="s">
        <v>152</v>
      </c>
    </row>
    <row r="2599" customFormat="false" ht="13.8" hidden="true" customHeight="false" outlineLevel="0" collapsed="false">
      <c r="A2599" s="0" t="s">
        <v>11088</v>
      </c>
      <c r="B2599" s="0" t="n">
        <v>78</v>
      </c>
      <c r="C2599" s="0" t="n">
        <v>408083</v>
      </c>
      <c r="D2599" s="0" t="s">
        <v>11089</v>
      </c>
      <c r="E2599" s="0" t="s">
        <v>11090</v>
      </c>
      <c r="F2599" s="0" t="str">
        <f aca="false">CONCATENATE(D2599," ",LEFT(H2599,4),"T=",AU2599,"D=",AV2599,"R=",AW2599,"M=",AX2599,"L=",AY2599,"B=",AZ2599)</f>
        <v>RADCLIFFE T=3D=0R=0M=0L=0B=0</v>
      </c>
      <c r="G2599" s="0" t="s">
        <v>209</v>
      </c>
      <c r="I2599" s="0" t="s">
        <v>11091</v>
      </c>
      <c r="J2599" s="0" t="s">
        <v>7660</v>
      </c>
      <c r="K2599" s="0" t="s">
        <v>160</v>
      </c>
      <c r="M2599" s="0" t="s">
        <v>11087</v>
      </c>
      <c r="N2599" s="0" t="str">
        <f aca="false">RIGHT(M2599,LEN(M2599)-FIND(" ",M2599))</f>
        <v>WOODBINE AVE SE</v>
      </c>
      <c r="P2599" s="0" t="s">
        <v>145</v>
      </c>
      <c r="Q2599" s="0" t="s">
        <v>146</v>
      </c>
      <c r="R2599" s="0" t="n">
        <v>44484</v>
      </c>
      <c r="AD2599" s="0" t="s">
        <v>147</v>
      </c>
      <c r="AE2599" s="0" t="s">
        <v>148</v>
      </c>
      <c r="AF2599" s="0" t="s">
        <v>149</v>
      </c>
      <c r="AH2599" s="0" t="n">
        <v>14</v>
      </c>
      <c r="AI2599" s="0" t="n">
        <v>11</v>
      </c>
      <c r="AN2599" s="0" t="s">
        <v>145</v>
      </c>
      <c r="AO2599" s="0" t="s">
        <v>150</v>
      </c>
      <c r="AP2599" s="0" t="s">
        <v>151</v>
      </c>
      <c r="AQ2599" s="0" t="n">
        <v>9</v>
      </c>
      <c r="AR2599" s="0" t="n">
        <v>64</v>
      </c>
      <c r="AS2599" s="0" t="n">
        <v>32</v>
      </c>
      <c r="AU2599" s="0" t="n">
        <f aca="false">COUNTA($BA$500:$EH$500)</f>
        <v>3</v>
      </c>
      <c r="AV2599" s="0" t="n">
        <f aca="false">COUNTIF($BA$500:$EH$500,"D")</f>
        <v>0</v>
      </c>
      <c r="AW2599" s="0" t="n">
        <f aca="false">COUNTIF($BA$500:$EH$500,"R")</f>
        <v>0</v>
      </c>
      <c r="AX2599" s="0" t="n">
        <f aca="false">IF(BN2599="D",1,0)+IF(BO2599="D",1,0)+IF(BT2599="D",1,0)+IF(BU2599="D",1,0)+IF(BW2599="D",1,0)+IF(CC2599="D",1,0)+IF(CD2599="D",1,0)+IF(CE2599="D",1,0)+IF(CF2599="D",1,0)+IF(CL2599="D",1,0)+IF(CM2599="D",1,0)+IF(CQ2599="D",1,0)+IF(CR2599="D",1,0)+IF(CS2599="D",1,0)+IF(CW2599="D",1,0)+IF(CX2599="D",1,0)+IF(DD2599="D",1,0)+IF(DE2599="D",1,0)+IF(DJ2599="D",1,0)+IF(DK2599="D",1,0)+IF(DO2599="D",1,0)+IF(DP2599="D",1,0)+IF(DQ2599="D",1,0)+IF(DW2599="D",1,0)+IF(DZ2599="D",1,0)+IF(EH2599="D",1,0)</f>
        <v>0</v>
      </c>
      <c r="AY2599" s="0" t="n">
        <f aca="false">COUNTIF(DU2599:EH2599, "&lt;&gt;")</f>
        <v>0</v>
      </c>
      <c r="AZ2599" s="0" t="n">
        <f aca="false">IF(EH2599&lt;&gt;"",1,0)</f>
        <v>0</v>
      </c>
      <c r="BB2599" s="0" t="s">
        <v>152</v>
      </c>
    </row>
    <row r="2600" customFormat="false" ht="13.8" hidden="true" customHeight="false" outlineLevel="0" collapsed="false">
      <c r="A2600" s="0" t="s">
        <v>11092</v>
      </c>
      <c r="B2600" s="0" t="n">
        <v>78</v>
      </c>
      <c r="C2600" s="0" t="n">
        <v>355966</v>
      </c>
      <c r="D2600" s="0" t="s">
        <v>11093</v>
      </c>
      <c r="E2600" s="0" t="s">
        <v>2353</v>
      </c>
      <c r="F2600" s="0" t="str">
        <f aca="false">CONCATENATE(D2600," ",LEFT(H2600,4),"T=",AU2600,"D=",AV2600,"R=",AW2600,"M=",AX2600,"L=",AY2600,"B=",AZ2600)</f>
        <v>SCHWAB T=2D=0R=0M=0L=0B=0</v>
      </c>
      <c r="G2600" s="0" t="s">
        <v>255</v>
      </c>
      <c r="I2600" s="0" t="s">
        <v>11094</v>
      </c>
      <c r="J2600" s="0" t="s">
        <v>1038</v>
      </c>
      <c r="K2600" s="0" t="s">
        <v>160</v>
      </c>
      <c r="M2600" s="0" t="s">
        <v>11087</v>
      </c>
      <c r="N2600" s="0" t="str">
        <f aca="false">RIGHT(M2600,LEN(M2600)-FIND(" ",M2600))</f>
        <v>WOODBINE AVE SE</v>
      </c>
      <c r="P2600" s="0" t="s">
        <v>145</v>
      </c>
      <c r="Q2600" s="0" t="s">
        <v>146</v>
      </c>
      <c r="R2600" s="0" t="n">
        <v>44484</v>
      </c>
      <c r="AD2600" s="0" t="s">
        <v>147</v>
      </c>
      <c r="AE2600" s="0" t="s">
        <v>148</v>
      </c>
      <c r="AF2600" s="0" t="s">
        <v>149</v>
      </c>
      <c r="AH2600" s="0" t="n">
        <v>14</v>
      </c>
      <c r="AI2600" s="0" t="n">
        <v>11</v>
      </c>
      <c r="AN2600" s="0" t="s">
        <v>145</v>
      </c>
      <c r="AO2600" s="0" t="s">
        <v>150</v>
      </c>
      <c r="AP2600" s="0" t="s">
        <v>151</v>
      </c>
      <c r="AQ2600" s="0" t="n">
        <v>9</v>
      </c>
      <c r="AR2600" s="0" t="n">
        <v>64</v>
      </c>
      <c r="AS2600" s="0" t="n">
        <v>32</v>
      </c>
      <c r="AU2600" s="0" t="n">
        <f aca="false">COUNTA($BA$921:$EH$921)</f>
        <v>2</v>
      </c>
      <c r="AV2600" s="0" t="n">
        <f aca="false">COUNTIF($BA$921:$EH$921,"D")</f>
        <v>0</v>
      </c>
      <c r="AW2600" s="0" t="n">
        <f aca="false">COUNTIF($BA$921:$EH$921,"R")</f>
        <v>0</v>
      </c>
      <c r="AX2600" s="0" t="n">
        <f aca="false">IF(BN2600="D",1,0)+IF(BO2600="D",1,0)+IF(BT2600="D",1,0)+IF(BU2600="D",1,0)+IF(BW2600="D",1,0)+IF(CC2600="D",1,0)+IF(CD2600="D",1,0)+IF(CE2600="D",1,0)+IF(CF2600="D",1,0)+IF(CL2600="D",1,0)+IF(CM2600="D",1,0)+IF(CQ2600="D",1,0)+IF(CR2600="D",1,0)+IF(CS2600="D",1,0)+IF(CW2600="D",1,0)+IF(CX2600="D",1,0)+IF(DD2600="D",1,0)+IF(DE2600="D",1,0)+IF(DJ2600="D",1,0)+IF(DK2600="D",1,0)+IF(DO2600="D",1,0)+IF(DP2600="D",1,0)+IF(DQ2600="D",1,0)+IF(DW2600="D",1,0)+IF(DZ2600="D",1,0)+IF(EH2600="D",1,0)</f>
        <v>0</v>
      </c>
      <c r="AY2600" s="0" t="n">
        <f aca="false">COUNTIF(DU2600:EH2600, "&lt;&gt;")</f>
        <v>0</v>
      </c>
      <c r="AZ2600" s="0" t="n">
        <f aca="false">IF(EH2600&lt;&gt;"",1,0)</f>
        <v>0</v>
      </c>
      <c r="BB2600" s="0" t="s">
        <v>152</v>
      </c>
      <c r="BY2600" s="0" t="s">
        <v>175</v>
      </c>
      <c r="CA2600" s="0" t="s">
        <v>153</v>
      </c>
      <c r="CG2600" s="0" t="s">
        <v>153</v>
      </c>
      <c r="CH2600" s="0" t="s">
        <v>175</v>
      </c>
      <c r="CN2600" s="0" t="s">
        <v>153</v>
      </c>
      <c r="CP2600" s="0" t="s">
        <v>153</v>
      </c>
      <c r="CT2600" s="0" t="s">
        <v>153</v>
      </c>
    </row>
    <row r="2601" customFormat="false" ht="13.8" hidden="true" customHeight="false" outlineLevel="0" collapsed="false">
      <c r="A2601" s="0" t="s">
        <v>11095</v>
      </c>
      <c r="B2601" s="0" t="n">
        <v>78</v>
      </c>
      <c r="C2601" s="0" t="n">
        <v>383974</v>
      </c>
      <c r="D2601" s="0" t="s">
        <v>11084</v>
      </c>
      <c r="E2601" s="0" t="s">
        <v>1404</v>
      </c>
      <c r="F2601" s="0" t="str">
        <f aca="false">CONCATENATE(D2601," ",LEFT(H2601,4),"T=",AU2601,"D=",AV2601,"R=",AW2601,"M=",AX2601,"L=",AY2601,"B=",AZ2601)</f>
        <v>BURCHETT T=29D=5R=0M=0L=0B=0</v>
      </c>
      <c r="G2601" s="0" t="s">
        <v>839</v>
      </c>
      <c r="I2601" s="0" t="s">
        <v>11096</v>
      </c>
      <c r="J2601" s="0" t="s">
        <v>2273</v>
      </c>
      <c r="K2601" s="0" t="s">
        <v>160</v>
      </c>
      <c r="M2601" s="0" t="s">
        <v>11087</v>
      </c>
      <c r="N2601" s="0" t="str">
        <f aca="false">RIGHT(M2601,LEN(M2601)-FIND(" ",M2601))</f>
        <v>WOODBINE AVE SE</v>
      </c>
      <c r="P2601" s="0" t="s">
        <v>145</v>
      </c>
      <c r="Q2601" s="0" t="s">
        <v>146</v>
      </c>
      <c r="R2601" s="0" t="n">
        <v>44484</v>
      </c>
      <c r="AD2601" s="0" t="s">
        <v>147</v>
      </c>
      <c r="AE2601" s="0" t="s">
        <v>148</v>
      </c>
      <c r="AF2601" s="0" t="s">
        <v>149</v>
      </c>
      <c r="AH2601" s="0" t="n">
        <v>14</v>
      </c>
      <c r="AI2601" s="0" t="n">
        <v>11</v>
      </c>
      <c r="AN2601" s="0" t="s">
        <v>145</v>
      </c>
      <c r="AO2601" s="0" t="s">
        <v>150</v>
      </c>
      <c r="AP2601" s="0" t="s">
        <v>151</v>
      </c>
      <c r="AQ2601" s="0" t="n">
        <v>9</v>
      </c>
      <c r="AR2601" s="0" t="n">
        <v>64</v>
      </c>
      <c r="AS2601" s="0" t="n">
        <v>32</v>
      </c>
      <c r="AU2601" s="0" t="n">
        <f aca="false">COUNTA($BA$970:$EH$970)</f>
        <v>29</v>
      </c>
      <c r="AV2601" s="0" t="n">
        <f aca="false">COUNTIF($BA$970:$EH$970,"D")</f>
        <v>5</v>
      </c>
      <c r="AW2601" s="0" t="n">
        <f aca="false">COUNTIF($BA$970:$EH$970,"R")</f>
        <v>0</v>
      </c>
      <c r="AX2601" s="0" t="n">
        <f aca="false">IF(BN2601="D",1,0)+IF(BO2601="D",1,0)+IF(BT2601="D",1,0)+IF(BU2601="D",1,0)+IF(BW2601="D",1,0)+IF(CC2601="D",1,0)+IF(CD2601="D",1,0)+IF(CE2601="D",1,0)+IF(CF2601="D",1,0)+IF(CL2601="D",1,0)+IF(CM2601="D",1,0)+IF(CQ2601="D",1,0)+IF(CR2601="D",1,0)+IF(CS2601="D",1,0)+IF(CW2601="D",1,0)+IF(CX2601="D",1,0)+IF(DD2601="D",1,0)+IF(DE2601="D",1,0)+IF(DJ2601="D",1,0)+IF(DK2601="D",1,0)+IF(DO2601="D",1,0)+IF(DP2601="D",1,0)+IF(DQ2601="D",1,0)+IF(DW2601="D",1,0)+IF(DZ2601="D",1,0)+IF(EH2601="D",1,0)</f>
        <v>0</v>
      </c>
      <c r="AY2601" s="0" t="n">
        <f aca="false">COUNTIF(DU2601:EH2601, "&lt;&gt;")</f>
        <v>0</v>
      </c>
      <c r="AZ2601" s="0" t="n">
        <f aca="false">IF(EH2601&lt;&gt;"",1,0)</f>
        <v>0</v>
      </c>
      <c r="BB2601" s="0" t="s">
        <v>152</v>
      </c>
      <c r="CP2601" s="0" t="s">
        <v>153</v>
      </c>
    </row>
    <row r="2602" customFormat="false" ht="13.8" hidden="false" customHeight="false" outlineLevel="0" collapsed="false">
      <c r="A2602" s="0" t="s">
        <v>11097</v>
      </c>
      <c r="B2602" s="0" t="n">
        <v>78</v>
      </c>
      <c r="C2602" s="0" t="n">
        <v>388808</v>
      </c>
      <c r="D2602" s="0" t="s">
        <v>11098</v>
      </c>
      <c r="E2602" s="0" t="s">
        <v>10941</v>
      </c>
      <c r="F2602" s="0" t="str">
        <f aca="false">CONCATENATE(D2602," ",LEFT(H2602,4),"T=",AU2602,"D=",AV2602,"R=",AW2602,"M=",AX2602,"L=",AY2602,"B=",AZ2602)</f>
        <v>MONMIRTH T=1D=0R=0M=0L=6B=0</v>
      </c>
      <c r="G2602" s="0" t="s">
        <v>325</v>
      </c>
      <c r="I2602" s="0" t="s">
        <v>11099</v>
      </c>
      <c r="J2602" s="0" t="s">
        <v>11100</v>
      </c>
      <c r="K2602" s="0" t="s">
        <v>160</v>
      </c>
      <c r="L2602" s="0" t="s">
        <v>209</v>
      </c>
      <c r="M2602" s="0" t="s">
        <v>11101</v>
      </c>
      <c r="N2602" s="0" t="str">
        <f aca="false">RIGHT(M2602,LEN(M2602)-FIND(" ",M2602))</f>
        <v>WOODLAND AVE NE</v>
      </c>
      <c r="P2602" s="0" t="s">
        <v>145</v>
      </c>
      <c r="Q2602" s="0" t="s">
        <v>146</v>
      </c>
      <c r="R2602" s="0" t="n">
        <v>44483</v>
      </c>
      <c r="AD2602" s="0" t="s">
        <v>147</v>
      </c>
      <c r="AE2602" s="0" t="s">
        <v>148</v>
      </c>
      <c r="AF2602" s="0" t="s">
        <v>149</v>
      </c>
      <c r="AH2602" s="0" t="n">
        <v>14</v>
      </c>
      <c r="AI2602" s="0" t="n">
        <v>11</v>
      </c>
      <c r="AN2602" s="0" t="s">
        <v>145</v>
      </c>
      <c r="AO2602" s="0" t="s">
        <v>654</v>
      </c>
      <c r="AP2602" s="0" t="s">
        <v>655</v>
      </c>
      <c r="AQ2602" s="0" t="n">
        <v>9</v>
      </c>
      <c r="AR2602" s="0" t="n">
        <v>64</v>
      </c>
      <c r="AS2602" s="0" t="n">
        <v>32</v>
      </c>
      <c r="AU2602" s="0" t="n">
        <f aca="false">COUNTA($BA$1409:$EH$1409)</f>
        <v>1</v>
      </c>
      <c r="AV2602" s="0" t="n">
        <f aca="false">COUNTIF($BA$1409:$EH$1409,"D")</f>
        <v>0</v>
      </c>
      <c r="AW2602" s="0" t="n">
        <f aca="false">COUNTIF($BA$1409:$EH$1409,"R")</f>
        <v>0</v>
      </c>
      <c r="AX2602" s="0" t="n">
        <f aca="false">IF(BN2602="D",1,0)+IF(BO2602="D",1,0)+IF(BT2602="D",1,0)+IF(BU2602="D",1,0)+IF(BW2602="D",1,0)+IF(CC2602="D",1,0)+IF(CD2602="D",1,0)+IF(CE2602="D",1,0)+IF(CF2602="D",1,0)+IF(CL2602="D",1,0)+IF(CM2602="D",1,0)+IF(CQ2602="D",1,0)+IF(CR2602="D",1,0)+IF(CS2602="D",1,0)+IF(CW2602="D",1,0)+IF(CX2602="D",1,0)+IF(DD2602="D",1,0)+IF(DE2602="D",1,0)+IF(DJ2602="D",1,0)+IF(DK2602="D",1,0)+IF(DO2602="D",1,0)+IF(DP2602="D",1,0)+IF(DQ2602="D",1,0)+IF(DW2602="D",1,0)+IF(DZ2602="D",1,0)+IF(EH2602="D",1,0)</f>
        <v>0</v>
      </c>
      <c r="AY2602" s="0" t="n">
        <f aca="false">COUNTIF(DU2602:EH2602, "&lt;&gt;")</f>
        <v>6</v>
      </c>
      <c r="AZ2602" s="0" t="n">
        <f aca="false">IF(EH2602&lt;&gt;"",1,0)</f>
        <v>0</v>
      </c>
      <c r="BB2602" s="0" t="s">
        <v>152</v>
      </c>
      <c r="CP2602" s="0" t="s">
        <v>153</v>
      </c>
      <c r="CV2602" s="0" t="s">
        <v>153</v>
      </c>
      <c r="CY2602" s="0" t="s">
        <v>153</v>
      </c>
      <c r="CZ2602" s="0" t="s">
        <v>209</v>
      </c>
      <c r="DC2602" s="0" t="s">
        <v>153</v>
      </c>
      <c r="DF2602" s="0" t="s">
        <v>153</v>
      </c>
      <c r="DG2602" s="0" t="s">
        <v>209</v>
      </c>
      <c r="DI2602" s="0" t="s">
        <v>153</v>
      </c>
      <c r="DL2602" s="0" t="s">
        <v>153</v>
      </c>
      <c r="DM2602" s="0" t="s">
        <v>209</v>
      </c>
      <c r="DN2602" s="0" t="s">
        <v>153</v>
      </c>
      <c r="DS2602" s="0" t="s">
        <v>209</v>
      </c>
      <c r="DT2602" s="0" t="s">
        <v>209</v>
      </c>
      <c r="DU2602" s="0" t="s">
        <v>153</v>
      </c>
      <c r="DW2602" s="0" t="s">
        <v>153</v>
      </c>
      <c r="DX2602" s="0" t="s">
        <v>153</v>
      </c>
      <c r="EA2602" s="0" t="s">
        <v>153</v>
      </c>
      <c r="ED2602" s="0" t="s">
        <v>209</v>
      </c>
      <c r="EF2602" s="0" t="s">
        <v>153</v>
      </c>
    </row>
    <row r="2603" customFormat="false" ht="13.8" hidden="true" customHeight="false" outlineLevel="0" collapsed="false">
      <c r="A2603" s="0" t="s">
        <v>11102</v>
      </c>
      <c r="B2603" s="0" t="n">
        <v>78</v>
      </c>
      <c r="C2603" s="0" t="n">
        <v>464472</v>
      </c>
      <c r="D2603" s="0" t="s">
        <v>11103</v>
      </c>
      <c r="E2603" s="0" t="s">
        <v>5671</v>
      </c>
      <c r="F2603" s="0" t="str">
        <f aca="false">CONCATENATE(D2603," ",LEFT(H2603,4),"T=",AU2603,"D=",AV2603,"R=",AW2603,"M=",AX2603,"L=",AY2603,"B=",AZ2603)</f>
        <v>CARTER TOTTER T=13D=1R=1M=0L=1B=0</v>
      </c>
      <c r="G2603" s="0" t="s">
        <v>195</v>
      </c>
      <c r="I2603" s="0" t="s">
        <v>11104</v>
      </c>
      <c r="J2603" s="0" t="s">
        <v>11105</v>
      </c>
      <c r="K2603" s="0" t="s">
        <v>143</v>
      </c>
      <c r="M2603" s="0" t="s">
        <v>11106</v>
      </c>
      <c r="N2603" s="0" t="str">
        <f aca="false">RIGHT(M2603,LEN(M2603)-FIND(" ",M2603))</f>
        <v>WOODLAND AVE NE</v>
      </c>
      <c r="P2603" s="0" t="s">
        <v>145</v>
      </c>
      <c r="Q2603" s="0" t="s">
        <v>146</v>
      </c>
      <c r="R2603" s="0" t="n">
        <v>44483</v>
      </c>
      <c r="AD2603" s="0" t="s">
        <v>147</v>
      </c>
      <c r="AE2603" s="0" t="s">
        <v>148</v>
      </c>
      <c r="AF2603" s="0" t="s">
        <v>149</v>
      </c>
      <c r="AH2603" s="0" t="n">
        <v>14</v>
      </c>
      <c r="AI2603" s="0" t="n">
        <v>11</v>
      </c>
      <c r="AN2603" s="0" t="s">
        <v>145</v>
      </c>
      <c r="AO2603" s="0" t="s">
        <v>654</v>
      </c>
      <c r="AP2603" s="0" t="s">
        <v>655</v>
      </c>
      <c r="AQ2603" s="0" t="n">
        <v>9</v>
      </c>
      <c r="AR2603" s="0" t="n">
        <v>64</v>
      </c>
      <c r="AS2603" s="0" t="n">
        <v>32</v>
      </c>
      <c r="AU2603" s="0" t="n">
        <f aca="false">COUNTA($BA$1589:$EH$1589)</f>
        <v>13</v>
      </c>
      <c r="AV2603" s="0" t="n">
        <f aca="false">COUNTIF($BA$1589:$EH$1589,"D")</f>
        <v>1</v>
      </c>
      <c r="AW2603" s="0" t="n">
        <f aca="false">COUNTIF($BA$1589:$EH$1589,"R")</f>
        <v>1</v>
      </c>
      <c r="AX2603" s="0" t="n">
        <f aca="false">IF(BN2603="D",1,0)+IF(BO2603="D",1,0)+IF(BT2603="D",1,0)+IF(BU2603="D",1,0)+IF(BW2603="D",1,0)+IF(CC2603="D",1,0)+IF(CD2603="D",1,0)+IF(CE2603="D",1,0)+IF(CF2603="D",1,0)+IF(CL2603="D",1,0)+IF(CM2603="D",1,0)+IF(CQ2603="D",1,0)+IF(CR2603="D",1,0)+IF(CS2603="D",1,0)+IF(CW2603="D",1,0)+IF(CX2603="D",1,0)+IF(DD2603="D",1,0)+IF(DE2603="D",1,0)+IF(DJ2603="D",1,0)+IF(DK2603="D",1,0)+IF(DO2603="D",1,0)+IF(DP2603="D",1,0)+IF(DQ2603="D",1,0)+IF(DW2603="D",1,0)+IF(DZ2603="D",1,0)+IF(EH2603="D",1,0)</f>
        <v>0</v>
      </c>
      <c r="AY2603" s="0" t="n">
        <f aca="false">COUNTIF(DU2603:EH2603, "&lt;&gt;")</f>
        <v>1</v>
      </c>
      <c r="AZ2603" s="0" t="n">
        <f aca="false">IF(EH2603&lt;&gt;"",1,0)</f>
        <v>0</v>
      </c>
      <c r="BB2603" s="0" t="s">
        <v>152</v>
      </c>
      <c r="EA2603" s="0" t="s">
        <v>153</v>
      </c>
    </row>
    <row r="2604" customFormat="false" ht="13.8" hidden="true" customHeight="false" outlineLevel="0" collapsed="false">
      <c r="A2604" s="0" t="s">
        <v>11107</v>
      </c>
      <c r="B2604" s="0" t="n">
        <v>78</v>
      </c>
      <c r="C2604" s="0" t="n">
        <v>464470</v>
      </c>
      <c r="D2604" s="0" t="s">
        <v>11103</v>
      </c>
      <c r="E2604" s="0" t="s">
        <v>2675</v>
      </c>
      <c r="F2604" s="0" t="str">
        <f aca="false">CONCATENATE(D2604," ",LEFT(H2604,4),"T=",AU2604,"D=",AV2604,"R=",AW2604,"M=",AX2604,"L=",AY2604,"B=",AZ2604)</f>
        <v>CARTER TOTTER T=5D=0R=0M=0L=0B=0</v>
      </c>
      <c r="G2604" s="0" t="s">
        <v>8470</v>
      </c>
      <c r="I2604" s="0" t="s">
        <v>11108</v>
      </c>
      <c r="J2604" s="0" t="s">
        <v>11109</v>
      </c>
      <c r="K2604" s="0" t="s">
        <v>143</v>
      </c>
      <c r="M2604" s="0" t="s">
        <v>11106</v>
      </c>
      <c r="N2604" s="0" t="str">
        <f aca="false">RIGHT(M2604,LEN(M2604)-FIND(" ",M2604))</f>
        <v>WOODLAND AVE NE</v>
      </c>
      <c r="P2604" s="0" t="s">
        <v>145</v>
      </c>
      <c r="Q2604" s="0" t="s">
        <v>146</v>
      </c>
      <c r="R2604" s="0" t="n">
        <v>44483</v>
      </c>
      <c r="AD2604" s="0" t="s">
        <v>147</v>
      </c>
      <c r="AE2604" s="0" t="s">
        <v>148</v>
      </c>
      <c r="AF2604" s="0" t="s">
        <v>149</v>
      </c>
      <c r="AH2604" s="0" t="n">
        <v>14</v>
      </c>
      <c r="AI2604" s="0" t="n">
        <v>11</v>
      </c>
      <c r="AN2604" s="0" t="s">
        <v>145</v>
      </c>
      <c r="AO2604" s="0" t="s">
        <v>654</v>
      </c>
      <c r="AP2604" s="0" t="s">
        <v>655</v>
      </c>
      <c r="AQ2604" s="0" t="n">
        <v>9</v>
      </c>
      <c r="AR2604" s="0" t="n">
        <v>64</v>
      </c>
      <c r="AS2604" s="0" t="n">
        <v>32</v>
      </c>
      <c r="AU2604" s="0" t="n">
        <f aca="false">COUNTA($BA$1833:$EH$1833)</f>
        <v>5</v>
      </c>
      <c r="AV2604" s="0" t="n">
        <f aca="false">COUNTIF($BA$1833:$EH$1833,"D")</f>
        <v>0</v>
      </c>
      <c r="AW2604" s="0" t="n">
        <f aca="false">COUNTIF($BA$1833:$EH$1833,"R")</f>
        <v>0</v>
      </c>
      <c r="AX2604" s="0" t="n">
        <f aca="false">IF(BN2604="D",1,0)+IF(BO2604="D",1,0)+IF(BT2604="D",1,0)+IF(BU2604="D",1,0)+IF(BW2604="D",1,0)+IF(CC2604="D",1,0)+IF(CD2604="D",1,0)+IF(CE2604="D",1,0)+IF(CF2604="D",1,0)+IF(CL2604="D",1,0)+IF(CM2604="D",1,0)+IF(CQ2604="D",1,0)+IF(CR2604="D",1,0)+IF(CS2604="D",1,0)+IF(CW2604="D",1,0)+IF(CX2604="D",1,0)+IF(DD2604="D",1,0)+IF(DE2604="D",1,0)+IF(DJ2604="D",1,0)+IF(DK2604="D",1,0)+IF(DO2604="D",1,0)+IF(DP2604="D",1,0)+IF(DQ2604="D",1,0)+IF(DW2604="D",1,0)+IF(DZ2604="D",1,0)+IF(EH2604="D",1,0)</f>
        <v>0</v>
      </c>
      <c r="AY2604" s="0" t="n">
        <f aca="false">COUNTIF(DU2604:EH2604, "&lt;&gt;")</f>
        <v>0</v>
      </c>
      <c r="AZ2604" s="0" t="n">
        <f aca="false">IF(EH2604&lt;&gt;"",1,0)</f>
        <v>0</v>
      </c>
      <c r="BB2604" s="0" t="s">
        <v>152</v>
      </c>
    </row>
    <row r="2605" customFormat="false" ht="13.8" hidden="true" customHeight="false" outlineLevel="0" collapsed="false">
      <c r="A2605" s="0" t="s">
        <v>11110</v>
      </c>
      <c r="B2605" s="0" t="n">
        <v>78</v>
      </c>
      <c r="C2605" s="0" t="n">
        <v>379997</v>
      </c>
      <c r="D2605" s="0" t="s">
        <v>11111</v>
      </c>
      <c r="E2605" s="0" t="s">
        <v>8142</v>
      </c>
      <c r="F2605" s="0" t="str">
        <f aca="false">CONCATENATE(D2605," ",LEFT(H2605,4),"T=",AU2605,"D=",AV2605,"R=",AW2605,"M=",AX2605,"L=",AY2605,"B=",AZ2605)</f>
        <v>PHIPPS T=2D=0R=0M=0L=1B=0</v>
      </c>
      <c r="G2605" s="0" t="s">
        <v>195</v>
      </c>
      <c r="I2605" s="0" t="s">
        <v>11112</v>
      </c>
      <c r="J2605" s="0" t="s">
        <v>404</v>
      </c>
      <c r="K2605" s="0" t="s">
        <v>160</v>
      </c>
      <c r="M2605" s="0" t="s">
        <v>11113</v>
      </c>
      <c r="N2605" s="0" t="str">
        <f aca="false">RIGHT(M2605,LEN(M2605)-FIND(" ",M2605))</f>
        <v>WOODLAND AVE NE</v>
      </c>
      <c r="P2605" s="0" t="s">
        <v>145</v>
      </c>
      <c r="Q2605" s="0" t="s">
        <v>146</v>
      </c>
      <c r="R2605" s="0" t="n">
        <v>44483</v>
      </c>
      <c r="AD2605" s="0" t="s">
        <v>147</v>
      </c>
      <c r="AE2605" s="0" t="s">
        <v>148</v>
      </c>
      <c r="AF2605" s="0" t="s">
        <v>149</v>
      </c>
      <c r="AH2605" s="0" t="n">
        <v>14</v>
      </c>
      <c r="AI2605" s="0" t="n">
        <v>11</v>
      </c>
      <c r="AN2605" s="0" t="s">
        <v>145</v>
      </c>
      <c r="AO2605" s="0" t="s">
        <v>654</v>
      </c>
      <c r="AP2605" s="0" t="s">
        <v>655</v>
      </c>
      <c r="AQ2605" s="0" t="n">
        <v>9</v>
      </c>
      <c r="AR2605" s="0" t="n">
        <v>64</v>
      </c>
      <c r="AS2605" s="0" t="n">
        <v>32</v>
      </c>
      <c r="AU2605" s="0" t="n">
        <f aca="false">COUNTA($BA$1349:$EH$1349)</f>
        <v>2</v>
      </c>
      <c r="AV2605" s="0" t="n">
        <f aca="false">COUNTIF($BA$1349:$EH$1349,"D")</f>
        <v>0</v>
      </c>
      <c r="AW2605" s="0" t="n">
        <f aca="false">COUNTIF($BA$1349:$EH$1349,"R")</f>
        <v>0</v>
      </c>
      <c r="AX2605" s="0" t="n">
        <f aca="false">IF(BN2605="D",1,0)+IF(BO2605="D",1,0)+IF(BT2605="D",1,0)+IF(BU2605="D",1,0)+IF(BW2605="D",1,0)+IF(CC2605="D",1,0)+IF(CD2605="D",1,0)+IF(CE2605="D",1,0)+IF(CF2605="D",1,0)+IF(CL2605="D",1,0)+IF(CM2605="D",1,0)+IF(CQ2605="D",1,0)+IF(CR2605="D",1,0)+IF(CS2605="D",1,0)+IF(CW2605="D",1,0)+IF(CX2605="D",1,0)+IF(DD2605="D",1,0)+IF(DE2605="D",1,0)+IF(DJ2605="D",1,0)+IF(DK2605="D",1,0)+IF(DO2605="D",1,0)+IF(DP2605="D",1,0)+IF(DQ2605="D",1,0)+IF(DW2605="D",1,0)+IF(DZ2605="D",1,0)+IF(EH2605="D",1,0)</f>
        <v>0</v>
      </c>
      <c r="AY2605" s="0" t="n">
        <f aca="false">COUNTIF(DU2605:EH2605, "&lt;&gt;")</f>
        <v>1</v>
      </c>
      <c r="AZ2605" s="0" t="n">
        <f aca="false">IF(EH2605&lt;&gt;"",1,0)</f>
        <v>0</v>
      </c>
      <c r="BB2605" s="0" t="s">
        <v>152</v>
      </c>
      <c r="CL2605" s="0" t="s">
        <v>153</v>
      </c>
      <c r="CN2605" s="0" t="s">
        <v>153</v>
      </c>
      <c r="CP2605" s="0" t="s">
        <v>153</v>
      </c>
      <c r="CY2605" s="0" t="s">
        <v>153</v>
      </c>
      <c r="DC2605" s="0" t="s">
        <v>153</v>
      </c>
      <c r="EF2605" s="0" t="s">
        <v>153</v>
      </c>
    </row>
    <row r="2606" customFormat="false" ht="13.8" hidden="true" customHeight="false" outlineLevel="0" collapsed="false">
      <c r="A2606" s="0" t="s">
        <v>11114</v>
      </c>
      <c r="B2606" s="0" t="n">
        <v>78</v>
      </c>
      <c r="C2606" s="0" t="n">
        <v>409945</v>
      </c>
      <c r="D2606" s="0" t="s">
        <v>2336</v>
      </c>
      <c r="E2606" s="0" t="s">
        <v>275</v>
      </c>
      <c r="F2606" s="0" t="str">
        <f aca="false">CONCATENATE(D2606," ",LEFT(H2606,4),"T=",AU2606,"D=",AV2606,"R=",AW2606,"M=",AX2606,"L=",AY2606,"B=",AZ2606)</f>
        <v>BRANTLEY T=10D=0R=1M=0L=1B=0</v>
      </c>
      <c r="G2606" s="0" t="s">
        <v>175</v>
      </c>
      <c r="I2606" s="0" t="s">
        <v>5281</v>
      </c>
      <c r="J2606" s="0" t="s">
        <v>11115</v>
      </c>
      <c r="K2606" s="0" t="s">
        <v>160</v>
      </c>
      <c r="M2606" s="0" t="s">
        <v>11116</v>
      </c>
      <c r="N2606" s="0" t="str">
        <f aca="false">RIGHT(M2606,LEN(M2606)-FIND(" ",M2606))</f>
        <v>WOODLAND AVE NE</v>
      </c>
      <c r="P2606" s="0" t="s">
        <v>145</v>
      </c>
      <c r="Q2606" s="0" t="s">
        <v>146</v>
      </c>
      <c r="R2606" s="0" t="n">
        <v>44483</v>
      </c>
      <c r="AD2606" s="0" t="s">
        <v>147</v>
      </c>
      <c r="AE2606" s="0" t="s">
        <v>148</v>
      </c>
      <c r="AF2606" s="0" t="s">
        <v>149</v>
      </c>
      <c r="AH2606" s="0" t="n">
        <v>14</v>
      </c>
      <c r="AI2606" s="0" t="n">
        <v>11</v>
      </c>
      <c r="AN2606" s="0" t="s">
        <v>145</v>
      </c>
      <c r="AO2606" s="0" t="s">
        <v>654</v>
      </c>
      <c r="AP2606" s="0" t="s">
        <v>655</v>
      </c>
      <c r="AQ2606" s="0" t="n">
        <v>9</v>
      </c>
      <c r="AR2606" s="0" t="n">
        <v>64</v>
      </c>
      <c r="AS2606" s="0" t="n">
        <v>32</v>
      </c>
      <c r="AU2606" s="0" t="n">
        <f aca="false">COUNTA($BA$1152:$EH$1152)</f>
        <v>10</v>
      </c>
      <c r="AV2606" s="0" t="n">
        <f aca="false">COUNTIF($BA$1152:$EH$1152,"D")</f>
        <v>0</v>
      </c>
      <c r="AW2606" s="0" t="n">
        <f aca="false">COUNTIF($BA$1152:$EH$1152,"R")</f>
        <v>1</v>
      </c>
      <c r="AX2606" s="0" t="n">
        <f aca="false">IF(BN2606="D",1,0)+IF(BO2606="D",1,0)+IF(BT2606="D",1,0)+IF(BU2606="D",1,0)+IF(BW2606="D",1,0)+IF(CC2606="D",1,0)+IF(CD2606="D",1,0)+IF(CE2606="D",1,0)+IF(CF2606="D",1,0)+IF(CL2606="D",1,0)+IF(CM2606="D",1,0)+IF(CQ2606="D",1,0)+IF(CR2606="D",1,0)+IF(CS2606="D",1,0)+IF(CW2606="D",1,0)+IF(CX2606="D",1,0)+IF(DD2606="D",1,0)+IF(DE2606="D",1,0)+IF(DJ2606="D",1,0)+IF(DK2606="D",1,0)+IF(DO2606="D",1,0)+IF(DP2606="D",1,0)+IF(DQ2606="D",1,0)+IF(DW2606="D",1,0)+IF(DZ2606="D",1,0)+IF(EH2606="D",1,0)</f>
        <v>0</v>
      </c>
      <c r="AY2606" s="0" t="n">
        <f aca="false">COUNTIF(DU2606:EH2606, "&lt;&gt;")</f>
        <v>1</v>
      </c>
      <c r="AZ2606" s="0" t="n">
        <f aca="false">IF(EH2606&lt;&gt;"",1,0)</f>
        <v>0</v>
      </c>
      <c r="BB2606" s="0" t="s">
        <v>152</v>
      </c>
      <c r="DN2606" s="0" t="s">
        <v>153</v>
      </c>
      <c r="EF2606" s="0" t="s">
        <v>153</v>
      </c>
    </row>
    <row r="2607" customFormat="false" ht="13.8" hidden="true" customHeight="false" outlineLevel="0" collapsed="false">
      <c r="A2607" s="0" t="s">
        <v>11117</v>
      </c>
      <c r="B2607" s="0" t="n">
        <v>78</v>
      </c>
      <c r="C2607" s="0" t="n">
        <v>323064</v>
      </c>
      <c r="D2607" s="0" t="s">
        <v>1764</v>
      </c>
      <c r="E2607" s="0" t="s">
        <v>1208</v>
      </c>
      <c r="F2607" s="0" t="str">
        <f aca="false">CONCATENATE(D2607," ",LEFT(H2607,4),"T=",AU2607,"D=",AV2607,"R=",AW2607,"M=",AX2607,"L=",AY2607,"B=",AZ2607)</f>
        <v>MOORE T=2D=0R=0M=0L=1B=0</v>
      </c>
      <c r="G2607" s="0" t="s">
        <v>175</v>
      </c>
      <c r="I2607" s="0" t="s">
        <v>11118</v>
      </c>
      <c r="J2607" s="0" t="s">
        <v>8916</v>
      </c>
      <c r="K2607" s="0" t="s">
        <v>160</v>
      </c>
      <c r="M2607" s="0" t="s">
        <v>11116</v>
      </c>
      <c r="N2607" s="0" t="str">
        <f aca="false">RIGHT(M2607,LEN(M2607)-FIND(" ",M2607))</f>
        <v>WOODLAND AVE NE</v>
      </c>
      <c r="P2607" s="0" t="s">
        <v>145</v>
      </c>
      <c r="Q2607" s="0" t="s">
        <v>146</v>
      </c>
      <c r="R2607" s="0" t="n">
        <v>44483</v>
      </c>
      <c r="AD2607" s="0" t="s">
        <v>147</v>
      </c>
      <c r="AE2607" s="0" t="s">
        <v>148</v>
      </c>
      <c r="AF2607" s="0" t="s">
        <v>149</v>
      </c>
      <c r="AH2607" s="0" t="n">
        <v>14</v>
      </c>
      <c r="AI2607" s="0" t="n">
        <v>11</v>
      </c>
      <c r="AN2607" s="0" t="s">
        <v>145</v>
      </c>
      <c r="AO2607" s="0" t="s">
        <v>654</v>
      </c>
      <c r="AP2607" s="0" t="s">
        <v>655</v>
      </c>
      <c r="AQ2607" s="0" t="n">
        <v>9</v>
      </c>
      <c r="AR2607" s="0" t="n">
        <v>64</v>
      </c>
      <c r="AS2607" s="0" t="n">
        <v>32</v>
      </c>
      <c r="AU2607" s="0" t="n">
        <f aca="false">COUNTA($BA$1171:$EH$1171)</f>
        <v>2</v>
      </c>
      <c r="AV2607" s="0" t="n">
        <f aca="false">COUNTIF($BA$1171:$EH$1171,"D")</f>
        <v>0</v>
      </c>
      <c r="AW2607" s="0" t="n">
        <f aca="false">COUNTIF($BA$1171:$EH$1171,"R")</f>
        <v>0</v>
      </c>
      <c r="AX2607" s="0" t="n">
        <f aca="false">IF(BN2607="D",1,0)+IF(BO2607="D",1,0)+IF(BT2607="D",1,0)+IF(BU2607="D",1,0)+IF(BW2607="D",1,0)+IF(CC2607="D",1,0)+IF(CD2607="D",1,0)+IF(CE2607="D",1,0)+IF(CF2607="D",1,0)+IF(CL2607="D",1,0)+IF(CM2607="D",1,0)+IF(CQ2607="D",1,0)+IF(CR2607="D",1,0)+IF(CS2607="D",1,0)+IF(CW2607="D",1,0)+IF(CX2607="D",1,0)+IF(DD2607="D",1,0)+IF(DE2607="D",1,0)+IF(DJ2607="D",1,0)+IF(DK2607="D",1,0)+IF(DO2607="D",1,0)+IF(DP2607="D",1,0)+IF(DQ2607="D",1,0)+IF(DW2607="D",1,0)+IF(DZ2607="D",1,0)+IF(EH2607="D",1,0)</f>
        <v>0</v>
      </c>
      <c r="AY2607" s="0" t="n">
        <f aca="false">COUNTIF(DU2607:EH2607, "&lt;&gt;")</f>
        <v>1</v>
      </c>
      <c r="AZ2607" s="0" t="n">
        <f aca="false">IF(EH2607&lt;&gt;"",1,0)</f>
        <v>0</v>
      </c>
      <c r="BB2607" s="0" t="s">
        <v>152</v>
      </c>
      <c r="BL2607" s="0" t="s">
        <v>153</v>
      </c>
      <c r="BS2607" s="0" t="s">
        <v>153</v>
      </c>
      <c r="BY2607" s="0" t="s">
        <v>175</v>
      </c>
      <c r="CA2607" s="0" t="s">
        <v>153</v>
      </c>
      <c r="CG2607" s="0" t="s">
        <v>153</v>
      </c>
      <c r="CP2607" s="0" t="s">
        <v>153</v>
      </c>
      <c r="DN2607" s="0" t="s">
        <v>153</v>
      </c>
      <c r="EF2607" s="0" t="s">
        <v>153</v>
      </c>
    </row>
    <row r="2608" customFormat="false" ht="13.8" hidden="true" customHeight="false" outlineLevel="0" collapsed="false">
      <c r="A2608" s="0" t="s">
        <v>11119</v>
      </c>
      <c r="B2608" s="0" t="n">
        <v>78</v>
      </c>
      <c r="C2608" s="0" t="n">
        <v>450582</v>
      </c>
      <c r="D2608" s="0" t="s">
        <v>1764</v>
      </c>
      <c r="E2608" s="0" t="s">
        <v>11120</v>
      </c>
      <c r="F2608" s="0" t="str">
        <f aca="false">CONCATENATE(D2608," ",LEFT(H2608,4),"T=",AU2608,"D=",AV2608,"R=",AW2608,"M=",AX2608,"L=",AY2608,"B=",AZ2608)</f>
        <v>MOORE T=4D=0R=0M=0L=0B=0</v>
      </c>
      <c r="G2608" s="0" t="s">
        <v>175</v>
      </c>
      <c r="I2608" s="0" t="s">
        <v>11121</v>
      </c>
      <c r="J2608" s="0" t="s">
        <v>787</v>
      </c>
      <c r="K2608" s="0" t="s">
        <v>143</v>
      </c>
      <c r="M2608" s="0" t="s">
        <v>11122</v>
      </c>
      <c r="N2608" s="0" t="str">
        <f aca="false">RIGHT(M2608,LEN(M2608)-FIND(" ",M2608))</f>
        <v>WOODLAND AVE NE</v>
      </c>
      <c r="P2608" s="0" t="s">
        <v>145</v>
      </c>
      <c r="Q2608" s="0" t="s">
        <v>146</v>
      </c>
      <c r="R2608" s="0" t="n">
        <v>44483</v>
      </c>
      <c r="AD2608" s="0" t="s">
        <v>147</v>
      </c>
      <c r="AE2608" s="0" t="s">
        <v>148</v>
      </c>
      <c r="AF2608" s="0" t="s">
        <v>149</v>
      </c>
      <c r="AH2608" s="0" t="n">
        <v>14</v>
      </c>
      <c r="AI2608" s="0" t="n">
        <v>11</v>
      </c>
      <c r="AN2608" s="0" t="s">
        <v>145</v>
      </c>
      <c r="AO2608" s="0" t="s">
        <v>654</v>
      </c>
      <c r="AP2608" s="0" t="s">
        <v>655</v>
      </c>
      <c r="AQ2608" s="0" t="n">
        <v>9</v>
      </c>
      <c r="AR2608" s="0" t="n">
        <v>64</v>
      </c>
      <c r="AS2608" s="0" t="n">
        <v>32</v>
      </c>
      <c r="AU2608" s="0" t="n">
        <f aca="false">COUNTA($BA$1226:$EH$1226)</f>
        <v>4</v>
      </c>
      <c r="AV2608" s="0" t="n">
        <f aca="false">COUNTIF($BA$1226:$EH$1226,"D")</f>
        <v>0</v>
      </c>
      <c r="AW2608" s="0" t="n">
        <f aca="false">COUNTIF($BA$1226:$EH$1226,"R")</f>
        <v>0</v>
      </c>
      <c r="AX2608" s="0" t="n">
        <f aca="false">IF(BN2608="D",1,0)+IF(BO2608="D",1,0)+IF(BT2608="D",1,0)+IF(BU2608="D",1,0)+IF(BW2608="D",1,0)+IF(CC2608="D",1,0)+IF(CD2608="D",1,0)+IF(CE2608="D",1,0)+IF(CF2608="D",1,0)+IF(CL2608="D",1,0)+IF(CM2608="D",1,0)+IF(CQ2608="D",1,0)+IF(CR2608="D",1,0)+IF(CS2608="D",1,0)+IF(CW2608="D",1,0)+IF(CX2608="D",1,0)+IF(DD2608="D",1,0)+IF(DE2608="D",1,0)+IF(DJ2608="D",1,0)+IF(DK2608="D",1,0)+IF(DO2608="D",1,0)+IF(DP2608="D",1,0)+IF(DQ2608="D",1,0)+IF(DW2608="D",1,0)+IF(DZ2608="D",1,0)+IF(EH2608="D",1,0)</f>
        <v>0</v>
      </c>
      <c r="AY2608" s="0" t="n">
        <f aca="false">COUNTIF(DU2608:EH2608, "&lt;&gt;")</f>
        <v>0</v>
      </c>
      <c r="AZ2608" s="0" t="n">
        <f aca="false">IF(EH2608&lt;&gt;"",1,0)</f>
        <v>0</v>
      </c>
      <c r="BB2608" s="0" t="s">
        <v>152</v>
      </c>
      <c r="CP2608" s="0" t="s">
        <v>153</v>
      </c>
      <c r="DN2608" s="0" t="s">
        <v>153</v>
      </c>
    </row>
    <row r="2609" customFormat="false" ht="13.8" hidden="true" customHeight="false" outlineLevel="0" collapsed="false">
      <c r="A2609" s="0" t="s">
        <v>11123</v>
      </c>
      <c r="B2609" s="0" t="n">
        <v>78</v>
      </c>
      <c r="C2609" s="0" t="n">
        <v>151237</v>
      </c>
      <c r="D2609" s="0" t="s">
        <v>11124</v>
      </c>
      <c r="E2609" s="0" t="s">
        <v>1775</v>
      </c>
      <c r="F2609" s="0" t="str">
        <f aca="false">CONCATENATE(D2609," ",LEFT(H2609,4),"T=",AU2609,"D=",AV2609,"R=",AW2609,"M=",AX2609,"L=",AY2609,"B=",AZ2609)</f>
        <v>LABBE T=1D=0R=0M=1L=1B=0</v>
      </c>
      <c r="G2609" s="0" t="s">
        <v>1128</v>
      </c>
      <c r="I2609" s="0" t="s">
        <v>11125</v>
      </c>
      <c r="J2609" s="0" t="s">
        <v>376</v>
      </c>
      <c r="K2609" s="0" t="s">
        <v>160</v>
      </c>
      <c r="M2609" s="0" t="s">
        <v>11126</v>
      </c>
      <c r="N2609" s="0" t="str">
        <f aca="false">RIGHT(M2609,LEN(M2609)-FIND(" ",M2609))</f>
        <v>WOODLAND AVE NE</v>
      </c>
      <c r="P2609" s="0" t="s">
        <v>145</v>
      </c>
      <c r="Q2609" s="0" t="s">
        <v>146</v>
      </c>
      <c r="R2609" s="0" t="n">
        <v>44483</v>
      </c>
      <c r="AD2609" s="0" t="s">
        <v>147</v>
      </c>
      <c r="AE2609" s="0" t="s">
        <v>148</v>
      </c>
      <c r="AF2609" s="0" t="s">
        <v>149</v>
      </c>
      <c r="AH2609" s="0" t="n">
        <v>14</v>
      </c>
      <c r="AI2609" s="0" t="n">
        <v>11</v>
      </c>
      <c r="AN2609" s="0" t="s">
        <v>145</v>
      </c>
      <c r="AO2609" s="0" t="s">
        <v>654</v>
      </c>
      <c r="AP2609" s="0" t="s">
        <v>655</v>
      </c>
      <c r="AQ2609" s="0" t="n">
        <v>9</v>
      </c>
      <c r="AR2609" s="0" t="n">
        <v>64</v>
      </c>
      <c r="AS2609" s="0" t="n">
        <v>32</v>
      </c>
      <c r="AU2609" s="0" t="n">
        <f aca="false">COUNTA($BA$1988:$EH$1988)</f>
        <v>1</v>
      </c>
      <c r="AV2609" s="0" t="n">
        <f aca="false">COUNTIF($BA$1988:$EH$1988,"D")</f>
        <v>0</v>
      </c>
      <c r="AW2609" s="0" t="n">
        <f aca="false">COUNTIF($BA$1988:$EH$1988,"R")</f>
        <v>0</v>
      </c>
      <c r="AX2609" s="0" t="n">
        <f aca="false">IF(BN2609="D",1,0)+IF(BO2609="D",1,0)+IF(BT2609="D",1,0)+IF(BU2609="D",1,0)+IF(BW2609="D",1,0)+IF(CC2609="D",1,0)+IF(CD2609="D",1,0)+IF(CE2609="D",1,0)+IF(CF2609="D",1,0)+IF(CL2609="D",1,0)+IF(CM2609="D",1,0)+IF(CQ2609="D",1,0)+IF(CR2609="D",1,0)+IF(CS2609="D",1,0)+IF(CW2609="D",1,0)+IF(CX2609="D",1,0)+IF(DD2609="D",1,0)+IF(DE2609="D",1,0)+IF(DJ2609="D",1,0)+IF(DK2609="D",1,0)+IF(DO2609="D",1,0)+IF(DP2609="D",1,0)+IF(DQ2609="D",1,0)+IF(DW2609="D",1,0)+IF(DZ2609="D",1,0)+IF(EH2609="D",1,0)</f>
        <v>1</v>
      </c>
      <c r="AY2609" s="0" t="n">
        <f aca="false">COUNTIF(DU2609:EH2609, "&lt;&gt;")</f>
        <v>1</v>
      </c>
      <c r="AZ2609" s="0" t="n">
        <f aca="false">IF(EH2609&lt;&gt;"",1,0)</f>
        <v>0</v>
      </c>
      <c r="BB2609" s="0" t="s">
        <v>152</v>
      </c>
      <c r="BC2609" s="0" t="s">
        <v>153</v>
      </c>
      <c r="BD2609" s="0" t="s">
        <v>153</v>
      </c>
      <c r="BG2609" s="0" t="s">
        <v>153</v>
      </c>
      <c r="BH2609" s="0" t="s">
        <v>153</v>
      </c>
      <c r="BL2609" s="0" t="s">
        <v>153</v>
      </c>
      <c r="CK2609" s="0" t="s">
        <v>153</v>
      </c>
      <c r="CL2609" s="0" t="s">
        <v>175</v>
      </c>
      <c r="CY2609" s="0" t="s">
        <v>153</v>
      </c>
      <c r="CZ2609" s="0" t="s">
        <v>175</v>
      </c>
      <c r="DC2609" s="0" t="s">
        <v>153</v>
      </c>
      <c r="DN2609" s="0" t="s">
        <v>153</v>
      </c>
      <c r="EF2609" s="0" t="s">
        <v>153</v>
      </c>
    </row>
    <row r="2610" customFormat="false" ht="13.8" hidden="true" customHeight="false" outlineLevel="0" collapsed="false">
      <c r="A2610" s="0" t="s">
        <v>11127</v>
      </c>
      <c r="B2610" s="0" t="n">
        <v>78</v>
      </c>
      <c r="C2610" s="0" t="n">
        <v>465597</v>
      </c>
      <c r="D2610" s="0" t="s">
        <v>11128</v>
      </c>
      <c r="E2610" s="0" t="s">
        <v>11129</v>
      </c>
      <c r="F2610" s="0" t="str">
        <f aca="false">CONCATENATE(D2610," ",LEFT(H2610,4),"T=",AU2610,"D=",AV2610,"R=",AW2610,"M=",AX2610,"L=",AY2610,"B=",AZ2610)</f>
        <v>NEWBERRY T=10D=0R=1M=0L=0B=0</v>
      </c>
      <c r="G2610" s="0" t="s">
        <v>6295</v>
      </c>
      <c r="I2610" s="0" t="s">
        <v>11130</v>
      </c>
      <c r="J2610" s="0" t="s">
        <v>11131</v>
      </c>
      <c r="K2610" s="0" t="s">
        <v>160</v>
      </c>
      <c r="M2610" s="0" t="s">
        <v>11132</v>
      </c>
      <c r="N2610" s="0" t="str">
        <f aca="false">RIGHT(M2610,LEN(M2610)-FIND(" ",M2610))</f>
        <v>WOODLAND AVE NE</v>
      </c>
      <c r="P2610" s="0" t="s">
        <v>145</v>
      </c>
      <c r="Q2610" s="0" t="s">
        <v>146</v>
      </c>
      <c r="R2610" s="0" t="n">
        <v>44483</v>
      </c>
      <c r="AD2610" s="0" t="s">
        <v>147</v>
      </c>
      <c r="AE2610" s="0" t="s">
        <v>148</v>
      </c>
      <c r="AF2610" s="0" t="s">
        <v>149</v>
      </c>
      <c r="AH2610" s="0" t="n">
        <v>14</v>
      </c>
      <c r="AI2610" s="0" t="n">
        <v>11</v>
      </c>
      <c r="AN2610" s="0" t="s">
        <v>145</v>
      </c>
      <c r="AO2610" s="0" t="s">
        <v>654</v>
      </c>
      <c r="AP2610" s="0" t="s">
        <v>655</v>
      </c>
      <c r="AQ2610" s="0" t="n">
        <v>9</v>
      </c>
      <c r="AR2610" s="0" t="n">
        <v>64</v>
      </c>
      <c r="AS2610" s="0" t="n">
        <v>32</v>
      </c>
      <c r="AU2610" s="0" t="n">
        <f aca="false">COUNTA($BA$1786:$EH$1786)</f>
        <v>10</v>
      </c>
      <c r="AV2610" s="0" t="n">
        <f aca="false">COUNTIF($BA$1786:$EH$1786,"D")</f>
        <v>0</v>
      </c>
      <c r="AW2610" s="0" t="n">
        <f aca="false">COUNTIF($BA$1786:$EH$1786,"R")</f>
        <v>1</v>
      </c>
      <c r="AX2610" s="0" t="n">
        <f aca="false">IF(BN2610="D",1,0)+IF(BO2610="D",1,0)+IF(BT2610="D",1,0)+IF(BU2610="D",1,0)+IF(BW2610="D",1,0)+IF(CC2610="D",1,0)+IF(CD2610="D",1,0)+IF(CE2610="D",1,0)+IF(CF2610="D",1,0)+IF(CL2610="D",1,0)+IF(CM2610="D",1,0)+IF(CQ2610="D",1,0)+IF(CR2610="D",1,0)+IF(CS2610="D",1,0)+IF(CW2610="D",1,0)+IF(CX2610="D",1,0)+IF(DD2610="D",1,0)+IF(DE2610="D",1,0)+IF(DJ2610="D",1,0)+IF(DK2610="D",1,0)+IF(DO2610="D",1,0)+IF(DP2610="D",1,0)+IF(DQ2610="D",1,0)+IF(DW2610="D",1,0)+IF(DZ2610="D",1,0)+IF(EH2610="D",1,0)</f>
        <v>0</v>
      </c>
      <c r="AY2610" s="0" t="n">
        <f aca="false">COUNTIF(DU2610:EH2610, "&lt;&gt;")</f>
        <v>0</v>
      </c>
      <c r="AZ2610" s="0" t="n">
        <f aca="false">IF(EH2610&lt;&gt;"",1,0)</f>
        <v>0</v>
      </c>
      <c r="BB2610" s="0" t="s">
        <v>152</v>
      </c>
    </row>
    <row r="2611" customFormat="false" ht="13.8" hidden="true" customHeight="false" outlineLevel="0" collapsed="false">
      <c r="A2611" s="0" t="s">
        <v>11133</v>
      </c>
      <c r="B2611" s="0" t="n">
        <v>78</v>
      </c>
      <c r="C2611" s="0" t="n">
        <v>434549</v>
      </c>
      <c r="D2611" s="0" t="s">
        <v>11134</v>
      </c>
      <c r="E2611" s="0" t="s">
        <v>796</v>
      </c>
      <c r="F2611" s="0" t="str">
        <f aca="false">CONCATENATE(D2611," ",LEFT(H2611,4),"T=",AU2611,"D=",AV2611,"R=",AW2611,"M=",AX2611,"L=",AY2611,"B=",AZ2611)</f>
        <v>PISTRITTO T=6D=0R=0M=0L=0B=0</v>
      </c>
      <c r="G2611" s="0" t="s">
        <v>292</v>
      </c>
      <c r="I2611" s="0" t="s">
        <v>11135</v>
      </c>
      <c r="J2611" s="0" t="s">
        <v>529</v>
      </c>
      <c r="K2611" s="0" t="s">
        <v>143</v>
      </c>
      <c r="M2611" s="0" t="s">
        <v>11136</v>
      </c>
      <c r="N2611" s="0" t="str">
        <f aca="false">RIGHT(M2611,LEN(M2611)-FIND(" ",M2611))</f>
        <v>WOODLAND AVE NE</v>
      </c>
      <c r="P2611" s="0" t="s">
        <v>145</v>
      </c>
      <c r="Q2611" s="0" t="s">
        <v>146</v>
      </c>
      <c r="R2611" s="0" t="n">
        <v>44483</v>
      </c>
      <c r="AD2611" s="0" t="s">
        <v>147</v>
      </c>
      <c r="AE2611" s="0" t="s">
        <v>148</v>
      </c>
      <c r="AF2611" s="0" t="s">
        <v>149</v>
      </c>
      <c r="AH2611" s="0" t="n">
        <v>14</v>
      </c>
      <c r="AI2611" s="0" t="n">
        <v>11</v>
      </c>
      <c r="AN2611" s="0" t="s">
        <v>145</v>
      </c>
      <c r="AO2611" s="0" t="s">
        <v>654</v>
      </c>
      <c r="AP2611" s="0" t="s">
        <v>655</v>
      </c>
      <c r="AQ2611" s="0" t="n">
        <v>9</v>
      </c>
      <c r="AR2611" s="0" t="n">
        <v>64</v>
      </c>
      <c r="AS2611" s="0" t="n">
        <v>32</v>
      </c>
      <c r="AU2611" s="0" t="n">
        <f aca="false">COUNTA($BA$1496:$EH$1496)</f>
        <v>6</v>
      </c>
      <c r="AV2611" s="0" t="n">
        <f aca="false">COUNTIF($BA$1496:$EH$1496,"D")</f>
        <v>0</v>
      </c>
      <c r="AW2611" s="0" t="n">
        <f aca="false">COUNTIF($BA$1496:$EH$1496,"R")</f>
        <v>0</v>
      </c>
      <c r="AX2611" s="0" t="n">
        <f aca="false">IF(BN2611="D",1,0)+IF(BO2611="D",1,0)+IF(BT2611="D",1,0)+IF(BU2611="D",1,0)+IF(BW2611="D",1,0)+IF(CC2611="D",1,0)+IF(CD2611="D",1,0)+IF(CE2611="D",1,0)+IF(CF2611="D",1,0)+IF(CL2611="D",1,0)+IF(CM2611="D",1,0)+IF(CQ2611="D",1,0)+IF(CR2611="D",1,0)+IF(CS2611="D",1,0)+IF(CW2611="D",1,0)+IF(CX2611="D",1,0)+IF(DD2611="D",1,0)+IF(DE2611="D",1,0)+IF(DJ2611="D",1,0)+IF(DK2611="D",1,0)+IF(DO2611="D",1,0)+IF(DP2611="D",1,0)+IF(DQ2611="D",1,0)+IF(DW2611="D",1,0)+IF(DZ2611="D",1,0)+IF(EH2611="D",1,0)</f>
        <v>0</v>
      </c>
      <c r="AY2611" s="0" t="n">
        <f aca="false">COUNTIF(DU2611:EH2611, "&lt;&gt;")</f>
        <v>0</v>
      </c>
      <c r="AZ2611" s="0" t="n">
        <f aca="false">IF(EH2611&lt;&gt;"",1,0)</f>
        <v>0</v>
      </c>
      <c r="BB2611" s="0" t="s">
        <v>152</v>
      </c>
    </row>
    <row r="2612" customFormat="false" ht="13.8" hidden="true" customHeight="false" outlineLevel="0" collapsed="false">
      <c r="A2612" s="0" t="s">
        <v>11137</v>
      </c>
      <c r="B2612" s="0" t="n">
        <v>78</v>
      </c>
      <c r="C2612" s="0" t="n">
        <v>485428</v>
      </c>
      <c r="D2612" s="0" t="s">
        <v>1867</v>
      </c>
      <c r="E2612" s="0" t="s">
        <v>11138</v>
      </c>
      <c r="F2612" s="0" t="str">
        <f aca="false">CONCATENATE(D2612," ",LEFT(H2612,4),"T=",AU2612,"D=",AV2612,"R=",AW2612,"M=",AX2612,"L=",AY2612,"B=",AZ2612)</f>
        <v>TAYLOR T=3D=0R=0M=0L=1B=0</v>
      </c>
      <c r="G2612" s="0" t="s">
        <v>268</v>
      </c>
      <c r="I2612" s="0" t="s">
        <v>11139</v>
      </c>
      <c r="J2612" s="0" t="s">
        <v>11140</v>
      </c>
      <c r="K2612" s="0" t="s">
        <v>160</v>
      </c>
      <c r="M2612" s="0" t="s">
        <v>11141</v>
      </c>
      <c r="N2612" s="0" t="str">
        <f aca="false">RIGHT(M2612,LEN(M2612)-FIND(" ",M2612))</f>
        <v>WOODLAND AVE NE</v>
      </c>
      <c r="O2612" s="0" t="s">
        <v>6948</v>
      </c>
      <c r="P2612" s="0" t="s">
        <v>145</v>
      </c>
      <c r="Q2612" s="0" t="s">
        <v>146</v>
      </c>
      <c r="R2612" s="0" t="n">
        <v>44483</v>
      </c>
      <c r="AD2612" s="0" t="s">
        <v>147</v>
      </c>
      <c r="AE2612" s="0" t="s">
        <v>148</v>
      </c>
      <c r="AF2612" s="0" t="s">
        <v>149</v>
      </c>
      <c r="AH2612" s="0" t="n">
        <v>14</v>
      </c>
      <c r="AI2612" s="0" t="n">
        <v>11</v>
      </c>
      <c r="AN2612" s="0" t="s">
        <v>145</v>
      </c>
      <c r="AO2612" s="0" t="s">
        <v>654</v>
      </c>
      <c r="AP2612" s="0" t="s">
        <v>655</v>
      </c>
      <c r="AQ2612" s="0" t="n">
        <v>9</v>
      </c>
      <c r="AR2612" s="0" t="n">
        <v>64</v>
      </c>
      <c r="AS2612" s="0" t="n">
        <v>32</v>
      </c>
      <c r="AU2612" s="0" t="n">
        <f aca="false">COUNTA($BA$1126:$EH$1126)</f>
        <v>3</v>
      </c>
      <c r="AV2612" s="0" t="n">
        <f aca="false">COUNTIF($BA$1126:$EH$1126,"D")</f>
        <v>0</v>
      </c>
      <c r="AW2612" s="0" t="n">
        <f aca="false">COUNTIF($BA$1126:$EH$1126,"R")</f>
        <v>0</v>
      </c>
      <c r="AX2612" s="0" t="n">
        <f aca="false">IF(BN2612="D",1,0)+IF(BO2612="D",1,0)+IF(BT2612="D",1,0)+IF(BU2612="D",1,0)+IF(BW2612="D",1,0)+IF(CC2612="D",1,0)+IF(CD2612="D",1,0)+IF(CE2612="D",1,0)+IF(CF2612="D",1,0)+IF(CL2612="D",1,0)+IF(CM2612="D",1,0)+IF(CQ2612="D",1,0)+IF(CR2612="D",1,0)+IF(CS2612="D",1,0)+IF(CW2612="D",1,0)+IF(CX2612="D",1,0)+IF(DD2612="D",1,0)+IF(DE2612="D",1,0)+IF(DJ2612="D",1,0)+IF(DK2612="D",1,0)+IF(DO2612="D",1,0)+IF(DP2612="D",1,0)+IF(DQ2612="D",1,0)+IF(DW2612="D",1,0)+IF(DZ2612="D",1,0)+IF(EH2612="D",1,0)</f>
        <v>0</v>
      </c>
      <c r="AY2612" s="0" t="n">
        <f aca="false">COUNTIF(DU2612:EH2612, "&lt;&gt;")</f>
        <v>1</v>
      </c>
      <c r="AZ2612" s="0" t="n">
        <f aca="false">IF(EH2612&lt;&gt;"",1,0)</f>
        <v>0</v>
      </c>
      <c r="BB2612" s="0" t="s">
        <v>152</v>
      </c>
      <c r="BD2612" s="0" t="s">
        <v>153</v>
      </c>
      <c r="CP2612" s="0" t="s">
        <v>153</v>
      </c>
      <c r="DC2612" s="0" t="s">
        <v>153</v>
      </c>
      <c r="DN2612" s="0" t="s">
        <v>153</v>
      </c>
      <c r="DX2612" s="0" t="s">
        <v>153</v>
      </c>
    </row>
    <row r="2613" customFormat="false" ht="13.8" hidden="true" customHeight="false" outlineLevel="0" collapsed="false">
      <c r="A2613" s="0" t="s">
        <v>11142</v>
      </c>
      <c r="B2613" s="0" t="n">
        <v>78</v>
      </c>
      <c r="C2613" s="0" t="n">
        <v>436029</v>
      </c>
      <c r="D2613" s="0" t="s">
        <v>4210</v>
      </c>
      <c r="E2613" s="0" t="s">
        <v>2589</v>
      </c>
      <c r="F2613" s="0" t="str">
        <f aca="false">CONCATENATE(D2613," ",LEFT(H2613,4),"T=",AU2613,"D=",AV2613,"R=",AW2613,"M=",AX2613,"L=",AY2613,"B=",AZ2613)</f>
        <v>BAILEY T=1D=0R=0M=0L=1B=0</v>
      </c>
      <c r="G2613" s="0" t="s">
        <v>190</v>
      </c>
      <c r="I2613" s="0" t="s">
        <v>11143</v>
      </c>
      <c r="J2613" s="0" t="s">
        <v>3005</v>
      </c>
      <c r="K2613" s="0" t="s">
        <v>160</v>
      </c>
      <c r="M2613" s="0" t="s">
        <v>11141</v>
      </c>
      <c r="N2613" s="0" t="str">
        <f aca="false">RIGHT(M2613,LEN(M2613)-FIND(" ",M2613))</f>
        <v>WOODLAND AVE NE</v>
      </c>
      <c r="O2613" s="0" t="s">
        <v>220</v>
      </c>
      <c r="P2613" s="0" t="s">
        <v>145</v>
      </c>
      <c r="Q2613" s="0" t="s">
        <v>146</v>
      </c>
      <c r="R2613" s="0" t="n">
        <v>44483</v>
      </c>
      <c r="AD2613" s="0" t="s">
        <v>147</v>
      </c>
      <c r="AE2613" s="0" t="s">
        <v>148</v>
      </c>
      <c r="AF2613" s="0" t="s">
        <v>149</v>
      </c>
      <c r="AH2613" s="0" t="n">
        <v>14</v>
      </c>
      <c r="AI2613" s="0" t="n">
        <v>11</v>
      </c>
      <c r="AN2613" s="0" t="s">
        <v>145</v>
      </c>
      <c r="AO2613" s="0" t="s">
        <v>654</v>
      </c>
      <c r="AP2613" s="0" t="s">
        <v>655</v>
      </c>
      <c r="AQ2613" s="0" t="n">
        <v>9</v>
      </c>
      <c r="AR2613" s="0" t="n">
        <v>64</v>
      </c>
      <c r="AS2613" s="0" t="n">
        <v>32</v>
      </c>
      <c r="AU2613" s="0" t="n">
        <f aca="false">COUNTA($BA$1268:$EH$1268)</f>
        <v>1</v>
      </c>
      <c r="AV2613" s="0" t="n">
        <f aca="false">COUNTIF($BA$1268:$EH$1268,"D")</f>
        <v>0</v>
      </c>
      <c r="AW2613" s="0" t="n">
        <f aca="false">COUNTIF($BA$1268:$EH$1268,"R")</f>
        <v>0</v>
      </c>
      <c r="AX2613" s="0" t="n">
        <f aca="false">IF(BN2613="D",1,0)+IF(BO2613="D",1,0)+IF(BT2613="D",1,0)+IF(BU2613="D",1,0)+IF(BW2613="D",1,0)+IF(CC2613="D",1,0)+IF(CD2613="D",1,0)+IF(CE2613="D",1,0)+IF(CF2613="D",1,0)+IF(CL2613="D",1,0)+IF(CM2613="D",1,0)+IF(CQ2613="D",1,0)+IF(CR2613="D",1,0)+IF(CS2613="D",1,0)+IF(CW2613="D",1,0)+IF(CX2613="D",1,0)+IF(DD2613="D",1,0)+IF(DE2613="D",1,0)+IF(DJ2613="D",1,0)+IF(DK2613="D",1,0)+IF(DO2613="D",1,0)+IF(DP2613="D",1,0)+IF(DQ2613="D",1,0)+IF(DW2613="D",1,0)+IF(DZ2613="D",1,0)+IF(EH2613="D",1,0)</f>
        <v>0</v>
      </c>
      <c r="AY2613" s="0" t="n">
        <f aca="false">COUNTIF(DU2613:EH2613, "&lt;&gt;")</f>
        <v>1</v>
      </c>
      <c r="AZ2613" s="0" t="n">
        <f aca="false">IF(EH2613&lt;&gt;"",1,0)</f>
        <v>0</v>
      </c>
      <c r="BB2613" s="0" t="s">
        <v>152</v>
      </c>
      <c r="DN2613" s="0" t="s">
        <v>153</v>
      </c>
      <c r="EF2613" s="0" t="s">
        <v>153</v>
      </c>
    </row>
    <row r="2614" customFormat="false" ht="13.8" hidden="false" customHeight="false" outlineLevel="0" collapsed="false">
      <c r="A2614" s="0" t="s">
        <v>11144</v>
      </c>
      <c r="B2614" s="0" t="n">
        <v>78</v>
      </c>
      <c r="C2614" s="0" t="n">
        <v>344005</v>
      </c>
      <c r="D2614" s="0" t="s">
        <v>11145</v>
      </c>
      <c r="E2614" s="0" t="s">
        <v>4319</v>
      </c>
      <c r="F2614" s="0" t="str">
        <f aca="false">CONCATENATE(D2614," ",LEFT(H2614,4),"T=",AU2614,"D=",AV2614,"R=",AW2614,"M=",AX2614,"L=",AY2614,"B=",AZ2614)</f>
        <v>BURKET T=1D=0R=0M=1L=4B=0</v>
      </c>
      <c r="G2614" s="0" t="s">
        <v>1128</v>
      </c>
      <c r="I2614" s="0" t="s">
        <v>11146</v>
      </c>
      <c r="J2614" s="0" t="s">
        <v>11147</v>
      </c>
      <c r="K2614" s="0" t="s">
        <v>160</v>
      </c>
      <c r="M2614" s="0" t="s">
        <v>11141</v>
      </c>
      <c r="N2614" s="0" t="str">
        <f aca="false">RIGHT(M2614,LEN(M2614)-FIND(" ",M2614))</f>
        <v>WOODLAND AVE NE</v>
      </c>
      <c r="O2614" s="0" t="s">
        <v>297</v>
      </c>
      <c r="P2614" s="0" t="s">
        <v>145</v>
      </c>
      <c r="Q2614" s="0" t="s">
        <v>146</v>
      </c>
      <c r="R2614" s="0" t="n">
        <v>44483</v>
      </c>
      <c r="AD2614" s="0" t="s">
        <v>147</v>
      </c>
      <c r="AE2614" s="0" t="s">
        <v>148</v>
      </c>
      <c r="AF2614" s="0" t="s">
        <v>149</v>
      </c>
      <c r="AH2614" s="0" t="n">
        <v>14</v>
      </c>
      <c r="AI2614" s="0" t="n">
        <v>11</v>
      </c>
      <c r="AN2614" s="0" t="s">
        <v>145</v>
      </c>
      <c r="AO2614" s="0" t="s">
        <v>654</v>
      </c>
      <c r="AP2614" s="0" t="s">
        <v>655</v>
      </c>
      <c r="AQ2614" s="0" t="n">
        <v>9</v>
      </c>
      <c r="AR2614" s="0" t="n">
        <v>64</v>
      </c>
      <c r="AS2614" s="0" t="n">
        <v>32</v>
      </c>
      <c r="AU2614" s="0" t="n">
        <f aca="false">COUNTA($BA$1958:$EH$1958)</f>
        <v>1</v>
      </c>
      <c r="AV2614" s="0" t="n">
        <f aca="false">COUNTIF($BA$1958:$EH$1958,"D")</f>
        <v>0</v>
      </c>
      <c r="AW2614" s="0" t="n">
        <f aca="false">COUNTIF($BA$1958:$EH$1958,"R")</f>
        <v>0</v>
      </c>
      <c r="AX2614" s="0" t="n">
        <f aca="false">IF(BN2614="D",1,0)+IF(BO2614="D",1,0)+IF(BT2614="D",1,0)+IF(BU2614="D",1,0)+IF(BW2614="D",1,0)+IF(CC2614="D",1,0)+IF(CD2614="D",1,0)+IF(CE2614="D",1,0)+IF(CF2614="D",1,0)+IF(CL2614="D",1,0)+IF(CM2614="D",1,0)+IF(CQ2614="D",1,0)+IF(CR2614="D",1,0)+IF(CS2614="D",1,0)+IF(CW2614="D",1,0)+IF(CX2614="D",1,0)+IF(DD2614="D",1,0)+IF(DE2614="D",1,0)+IF(DJ2614="D",1,0)+IF(DK2614="D",1,0)+IF(DO2614="D",1,0)+IF(DP2614="D",1,0)+IF(DQ2614="D",1,0)+IF(DW2614="D",1,0)+IF(DZ2614="D",1,0)+IF(EH2614="D",1,0)</f>
        <v>1</v>
      </c>
      <c r="AY2614" s="0" t="n">
        <f aca="false">COUNTIF(DU2614:EH2614, "&lt;&gt;")</f>
        <v>4</v>
      </c>
      <c r="AZ2614" s="0" t="n">
        <f aca="false">IF(EH2614&lt;&gt;"",1,0)</f>
        <v>0</v>
      </c>
      <c r="BB2614" s="0" t="s">
        <v>152</v>
      </c>
      <c r="BJ2614" s="0" t="s">
        <v>153</v>
      </c>
      <c r="BK2614" s="0" t="s">
        <v>175</v>
      </c>
      <c r="BL2614" s="0" t="s">
        <v>153</v>
      </c>
      <c r="BS2614" s="0" t="s">
        <v>153</v>
      </c>
      <c r="BV2614" s="0" t="s">
        <v>153</v>
      </c>
      <c r="BY2614" s="0" t="s">
        <v>175</v>
      </c>
      <c r="CA2614" s="0" t="s">
        <v>153</v>
      </c>
      <c r="CN2614" s="0" t="s">
        <v>153</v>
      </c>
      <c r="CP2614" s="0" t="s">
        <v>153</v>
      </c>
      <c r="CV2614" s="0" t="s">
        <v>153</v>
      </c>
      <c r="CZ2614" s="0" t="s">
        <v>175</v>
      </c>
      <c r="DC2614" s="0" t="s">
        <v>153</v>
      </c>
      <c r="DG2614" s="0" t="s">
        <v>175</v>
      </c>
      <c r="DI2614" s="0" t="s">
        <v>153</v>
      </c>
      <c r="DJ2614" s="0" t="s">
        <v>175</v>
      </c>
      <c r="DL2614" s="0" t="s">
        <v>153</v>
      </c>
      <c r="DM2614" s="0" t="s">
        <v>175</v>
      </c>
      <c r="DN2614" s="0" t="s">
        <v>153</v>
      </c>
      <c r="DU2614" s="0" t="s">
        <v>153</v>
      </c>
      <c r="DX2614" s="0" t="s">
        <v>153</v>
      </c>
      <c r="EA2614" s="0" t="s">
        <v>153</v>
      </c>
      <c r="EF2614" s="0" t="s">
        <v>153</v>
      </c>
    </row>
    <row r="2615" customFormat="false" ht="13.8" hidden="true" customHeight="false" outlineLevel="0" collapsed="false">
      <c r="A2615" s="0" t="s">
        <v>11148</v>
      </c>
      <c r="B2615" s="0" t="n">
        <v>78</v>
      </c>
      <c r="C2615" s="0" t="n">
        <v>484435</v>
      </c>
      <c r="D2615" s="0" t="s">
        <v>6734</v>
      </c>
      <c r="E2615" s="0" t="s">
        <v>1587</v>
      </c>
      <c r="F2615" s="0" t="str">
        <f aca="false">CONCATENATE(D2615," ",LEFT(H2615,4),"T=",AU2615,"D=",AV2615,"R=",AW2615,"M=",AX2615,"L=",AY2615,"B=",AZ2615)</f>
        <v>COX T=11D=1R=0M=0L=0B=0</v>
      </c>
      <c r="G2615" s="0" t="s">
        <v>742</v>
      </c>
      <c r="I2615" s="0" t="s">
        <v>6913</v>
      </c>
      <c r="J2615" s="0" t="s">
        <v>11149</v>
      </c>
      <c r="K2615" s="0" t="s">
        <v>160</v>
      </c>
      <c r="M2615" s="0" t="s">
        <v>11150</v>
      </c>
      <c r="N2615" s="0" t="str">
        <f aca="false">RIGHT(M2615,LEN(M2615)-FIND(" ",M2615))</f>
        <v>WOODLAND AVE NE</v>
      </c>
      <c r="P2615" s="0" t="s">
        <v>145</v>
      </c>
      <c r="Q2615" s="0" t="s">
        <v>146</v>
      </c>
      <c r="R2615" s="0" t="n">
        <v>44483</v>
      </c>
      <c r="AD2615" s="0" t="s">
        <v>147</v>
      </c>
      <c r="AE2615" s="0" t="s">
        <v>148</v>
      </c>
      <c r="AF2615" s="0" t="s">
        <v>149</v>
      </c>
      <c r="AH2615" s="0" t="n">
        <v>14</v>
      </c>
      <c r="AI2615" s="0" t="n">
        <v>11</v>
      </c>
      <c r="AN2615" s="0" t="s">
        <v>145</v>
      </c>
      <c r="AO2615" s="0" t="s">
        <v>654</v>
      </c>
      <c r="AP2615" s="0" t="s">
        <v>655</v>
      </c>
      <c r="AQ2615" s="0" t="n">
        <v>9</v>
      </c>
      <c r="AR2615" s="0" t="n">
        <v>64</v>
      </c>
      <c r="AS2615" s="0" t="n">
        <v>32</v>
      </c>
      <c r="AU2615" s="0" t="n">
        <f aca="false">COUNTA($BA$1213:$EH$1213)</f>
        <v>11</v>
      </c>
      <c r="AV2615" s="0" t="n">
        <f aca="false">COUNTIF($BA$1213:$EH$1213,"D")</f>
        <v>1</v>
      </c>
      <c r="AW2615" s="0" t="n">
        <f aca="false">COUNTIF($BA$1213:$EH$1213,"R")</f>
        <v>0</v>
      </c>
      <c r="AX2615" s="0" t="n">
        <f aca="false">IF(BN2615="D",1,0)+IF(BO2615="D",1,0)+IF(BT2615="D",1,0)+IF(BU2615="D",1,0)+IF(BW2615="D",1,0)+IF(CC2615="D",1,0)+IF(CD2615="D",1,0)+IF(CE2615="D",1,0)+IF(CF2615="D",1,0)+IF(CL2615="D",1,0)+IF(CM2615="D",1,0)+IF(CQ2615="D",1,0)+IF(CR2615="D",1,0)+IF(CS2615="D",1,0)+IF(CW2615="D",1,0)+IF(CX2615="D",1,0)+IF(DD2615="D",1,0)+IF(DE2615="D",1,0)+IF(DJ2615="D",1,0)+IF(DK2615="D",1,0)+IF(DO2615="D",1,0)+IF(DP2615="D",1,0)+IF(DQ2615="D",1,0)+IF(DW2615="D",1,0)+IF(DZ2615="D",1,0)+IF(EH2615="D",1,0)</f>
        <v>0</v>
      </c>
      <c r="AY2615" s="0" t="n">
        <f aca="false">COUNTIF(DU2615:EH2615, "&lt;&gt;")</f>
        <v>0</v>
      </c>
      <c r="AZ2615" s="0" t="n">
        <f aca="false">IF(EH2615&lt;&gt;"",1,0)</f>
        <v>0</v>
      </c>
      <c r="BB2615" s="0" t="s">
        <v>152</v>
      </c>
    </row>
    <row r="2616" customFormat="false" ht="13.8" hidden="true" customHeight="false" outlineLevel="0" collapsed="false">
      <c r="A2616" s="0" t="s">
        <v>11151</v>
      </c>
      <c r="B2616" s="0" t="n">
        <v>78</v>
      </c>
      <c r="C2616" s="0" t="n">
        <v>246656</v>
      </c>
      <c r="D2616" s="0" t="s">
        <v>1042</v>
      </c>
      <c r="E2616" s="0" t="s">
        <v>4061</v>
      </c>
      <c r="F2616" s="0" t="str">
        <f aca="false">CONCATENATE(D2616," ",LEFT(H2616,4),"T=",AU2616,"D=",AV2616,"R=",AW2616,"M=",AX2616,"L=",AY2616,"B=",AZ2616)</f>
        <v>BOOKER JRT=1D=0R=0M=0L=1B=0</v>
      </c>
      <c r="H2616" s="0" t="s">
        <v>314</v>
      </c>
      <c r="I2616" s="0" t="s">
        <v>11152</v>
      </c>
      <c r="J2616" s="0" t="s">
        <v>11153</v>
      </c>
      <c r="K2616" s="0" t="s">
        <v>160</v>
      </c>
      <c r="M2616" s="0" t="s">
        <v>11150</v>
      </c>
      <c r="N2616" s="0" t="str">
        <f aca="false">RIGHT(M2616,LEN(M2616)-FIND(" ",M2616))</f>
        <v>WOODLAND AVE NE</v>
      </c>
      <c r="O2616" s="0" t="s">
        <v>220</v>
      </c>
      <c r="P2616" s="0" t="s">
        <v>145</v>
      </c>
      <c r="Q2616" s="0" t="s">
        <v>146</v>
      </c>
      <c r="R2616" s="0" t="n">
        <v>44483</v>
      </c>
      <c r="AD2616" s="0" t="s">
        <v>147</v>
      </c>
      <c r="AE2616" s="0" t="s">
        <v>148</v>
      </c>
      <c r="AF2616" s="0" t="s">
        <v>149</v>
      </c>
      <c r="AH2616" s="0" t="n">
        <v>14</v>
      </c>
      <c r="AI2616" s="0" t="n">
        <v>11</v>
      </c>
      <c r="AN2616" s="0" t="s">
        <v>145</v>
      </c>
      <c r="AO2616" s="0" t="s">
        <v>654</v>
      </c>
      <c r="AP2616" s="0" t="s">
        <v>655</v>
      </c>
      <c r="AQ2616" s="0" t="n">
        <v>9</v>
      </c>
      <c r="AR2616" s="0" t="n">
        <v>64</v>
      </c>
      <c r="AS2616" s="0" t="n">
        <v>32</v>
      </c>
      <c r="AU2616" s="0" t="n">
        <f aca="false">COUNTA($BA$1232:$EH$1232)</f>
        <v>1</v>
      </c>
      <c r="AV2616" s="0" t="n">
        <f aca="false">COUNTIF($BA$1232:$EH$1232,"D")</f>
        <v>0</v>
      </c>
      <c r="AW2616" s="0" t="n">
        <f aca="false">COUNTIF($BA$1232:$EH$1232,"R")</f>
        <v>0</v>
      </c>
      <c r="AX2616" s="0" t="n">
        <f aca="false">IF(BN2616="D",1,0)+IF(BO2616="D",1,0)+IF(BT2616="D",1,0)+IF(BU2616="D",1,0)+IF(BW2616="D",1,0)+IF(CC2616="D",1,0)+IF(CD2616="D",1,0)+IF(CE2616="D",1,0)+IF(CF2616="D",1,0)+IF(CL2616="D",1,0)+IF(CM2616="D",1,0)+IF(CQ2616="D",1,0)+IF(CR2616="D",1,0)+IF(CS2616="D",1,0)+IF(CW2616="D",1,0)+IF(CX2616="D",1,0)+IF(DD2616="D",1,0)+IF(DE2616="D",1,0)+IF(DJ2616="D",1,0)+IF(DK2616="D",1,0)+IF(DO2616="D",1,0)+IF(DP2616="D",1,0)+IF(DQ2616="D",1,0)+IF(DW2616="D",1,0)+IF(DZ2616="D",1,0)+IF(EH2616="D",1,0)</f>
        <v>0</v>
      </c>
      <c r="AY2616" s="0" t="n">
        <f aca="false">COUNTIF(DU2616:EH2616, "&lt;&gt;")</f>
        <v>1</v>
      </c>
      <c r="AZ2616" s="0" t="n">
        <f aca="false">IF(EH2616&lt;&gt;"",1,0)</f>
        <v>0</v>
      </c>
      <c r="BB2616" s="0" t="s">
        <v>152</v>
      </c>
      <c r="BD2616" s="0" t="s">
        <v>153</v>
      </c>
      <c r="BL2616" s="0" t="s">
        <v>153</v>
      </c>
      <c r="BS2616" s="0" t="s">
        <v>153</v>
      </c>
      <c r="BY2616" s="0" t="s">
        <v>175</v>
      </c>
      <c r="CA2616" s="0" t="s">
        <v>153</v>
      </c>
      <c r="CK2616" s="0" t="s">
        <v>153</v>
      </c>
      <c r="CP2616" s="0" t="s">
        <v>153</v>
      </c>
      <c r="CV2616" s="0" t="s">
        <v>153</v>
      </c>
      <c r="CY2616" s="0" t="s">
        <v>153</v>
      </c>
      <c r="CZ2616" s="0" t="s">
        <v>175</v>
      </c>
      <c r="DC2616" s="0" t="s">
        <v>153</v>
      </c>
      <c r="DI2616" s="0" t="s">
        <v>153</v>
      </c>
      <c r="DL2616" s="0" t="s">
        <v>153</v>
      </c>
      <c r="DM2616" s="0" t="s">
        <v>175</v>
      </c>
      <c r="DN2616" s="0" t="s">
        <v>153</v>
      </c>
      <c r="EF2616" s="0" t="s">
        <v>153</v>
      </c>
    </row>
    <row r="2617" customFormat="false" ht="13.8" hidden="true" customHeight="false" outlineLevel="0" collapsed="false">
      <c r="A2617" s="0" t="s">
        <v>11154</v>
      </c>
      <c r="B2617" s="0" t="n">
        <v>78</v>
      </c>
      <c r="C2617" s="0" t="n">
        <v>426479</v>
      </c>
      <c r="D2617" s="0" t="s">
        <v>53</v>
      </c>
      <c r="E2617" s="0" t="s">
        <v>8849</v>
      </c>
      <c r="F2617" s="0" t="str">
        <f aca="false">CONCATENATE(D2617," ",LEFT(H2617,4),"T=",AU2617,"D=",AV2617,"R=",AW2617,"M=",AX2617,"L=",AY2617,"B=",AZ2617)</f>
        <v>WARD T=6D=0R=0M=0L=0B=0</v>
      </c>
      <c r="G2617" s="0" t="s">
        <v>658</v>
      </c>
      <c r="I2617" s="0" t="s">
        <v>11155</v>
      </c>
      <c r="J2617" s="0" t="s">
        <v>11156</v>
      </c>
      <c r="K2617" s="0" t="s">
        <v>143</v>
      </c>
      <c r="M2617" s="0" t="s">
        <v>11150</v>
      </c>
      <c r="N2617" s="0" t="str">
        <f aca="false">RIGHT(M2617,LEN(M2617)-FIND(" ",M2617))</f>
        <v>WOODLAND AVE NE</v>
      </c>
      <c r="P2617" s="0" t="s">
        <v>145</v>
      </c>
      <c r="Q2617" s="0" t="s">
        <v>146</v>
      </c>
      <c r="R2617" s="0" t="n">
        <v>44483</v>
      </c>
      <c r="AD2617" s="0" t="s">
        <v>147</v>
      </c>
      <c r="AE2617" s="0" t="s">
        <v>148</v>
      </c>
      <c r="AF2617" s="0" t="s">
        <v>149</v>
      </c>
      <c r="AH2617" s="0" t="n">
        <v>14</v>
      </c>
      <c r="AI2617" s="0" t="n">
        <v>11</v>
      </c>
      <c r="AN2617" s="0" t="s">
        <v>145</v>
      </c>
      <c r="AO2617" s="0" t="s">
        <v>654</v>
      </c>
      <c r="AP2617" s="0" t="s">
        <v>655</v>
      </c>
      <c r="AQ2617" s="0" t="n">
        <v>9</v>
      </c>
      <c r="AR2617" s="0" t="n">
        <v>64</v>
      </c>
      <c r="AS2617" s="0" t="n">
        <v>32</v>
      </c>
      <c r="AU2617" s="0" t="n">
        <f aca="false">COUNTA($BA$1439:$EH$1439)</f>
        <v>6</v>
      </c>
      <c r="AV2617" s="0" t="n">
        <f aca="false">COUNTIF($BA$1439:$EH$1439,"D")</f>
        <v>0</v>
      </c>
      <c r="AW2617" s="0" t="n">
        <f aca="false">COUNTIF($BA$1439:$EH$1439,"R")</f>
        <v>0</v>
      </c>
      <c r="AX2617" s="0" t="n">
        <f aca="false">IF(BN2617="D",1,0)+IF(BO2617="D",1,0)+IF(BT2617="D",1,0)+IF(BU2617="D",1,0)+IF(BW2617="D",1,0)+IF(CC2617="D",1,0)+IF(CD2617="D",1,0)+IF(CE2617="D",1,0)+IF(CF2617="D",1,0)+IF(CL2617="D",1,0)+IF(CM2617="D",1,0)+IF(CQ2617="D",1,0)+IF(CR2617="D",1,0)+IF(CS2617="D",1,0)+IF(CW2617="D",1,0)+IF(CX2617="D",1,0)+IF(DD2617="D",1,0)+IF(DE2617="D",1,0)+IF(DJ2617="D",1,0)+IF(DK2617="D",1,0)+IF(DO2617="D",1,0)+IF(DP2617="D",1,0)+IF(DQ2617="D",1,0)+IF(DW2617="D",1,0)+IF(DZ2617="D",1,0)+IF(EH2617="D",1,0)</f>
        <v>0</v>
      </c>
      <c r="AY2617" s="0" t="n">
        <f aca="false">COUNTIF(DU2617:EH2617, "&lt;&gt;")</f>
        <v>0</v>
      </c>
      <c r="AZ2617" s="0" t="n">
        <f aca="false">IF(EH2617&lt;&gt;"",1,0)</f>
        <v>0</v>
      </c>
      <c r="BB2617" s="0" t="s">
        <v>152</v>
      </c>
    </row>
    <row r="2618" customFormat="false" ht="13.8" hidden="true" customHeight="false" outlineLevel="0" collapsed="false">
      <c r="A2618" s="0" t="s">
        <v>11157</v>
      </c>
      <c r="B2618" s="0" t="n">
        <v>78</v>
      </c>
      <c r="C2618" s="0" t="n">
        <v>421943</v>
      </c>
      <c r="D2618" s="0" t="s">
        <v>53</v>
      </c>
      <c r="E2618" s="0" t="s">
        <v>2040</v>
      </c>
      <c r="F2618" s="0" t="str">
        <f aca="false">CONCATENATE(D2618," ",LEFT(H2618,4),"T=",AU2618,"D=",AV2618,"R=",AW2618,"M=",AX2618,"L=",AY2618,"B=",AZ2618)</f>
        <v>WARD T=2D=0R=0M=0L=0B=0</v>
      </c>
      <c r="G2618" s="0" t="s">
        <v>268</v>
      </c>
      <c r="I2618" s="0" t="s">
        <v>11158</v>
      </c>
      <c r="J2618" s="0" t="s">
        <v>11159</v>
      </c>
      <c r="K2618" s="0" t="s">
        <v>143</v>
      </c>
      <c r="M2618" s="0" t="s">
        <v>11150</v>
      </c>
      <c r="N2618" s="0" t="str">
        <f aca="false">RIGHT(M2618,LEN(M2618)-FIND(" ",M2618))</f>
        <v>WOODLAND AVE NE</v>
      </c>
      <c r="P2618" s="0" t="s">
        <v>145</v>
      </c>
      <c r="Q2618" s="0" t="s">
        <v>146</v>
      </c>
      <c r="R2618" s="0" t="n">
        <v>44483</v>
      </c>
      <c r="AD2618" s="0" t="s">
        <v>147</v>
      </c>
      <c r="AE2618" s="0" t="s">
        <v>148</v>
      </c>
      <c r="AF2618" s="0" t="s">
        <v>149</v>
      </c>
      <c r="AH2618" s="0" t="n">
        <v>14</v>
      </c>
      <c r="AI2618" s="0" t="n">
        <v>11</v>
      </c>
      <c r="AN2618" s="0" t="s">
        <v>145</v>
      </c>
      <c r="AO2618" s="0" t="s">
        <v>654</v>
      </c>
      <c r="AP2618" s="0" t="s">
        <v>655</v>
      </c>
      <c r="AQ2618" s="0" t="n">
        <v>9</v>
      </c>
      <c r="AR2618" s="0" t="n">
        <v>64</v>
      </c>
      <c r="AS2618" s="0" t="n">
        <v>32</v>
      </c>
      <c r="AU2618" s="0" t="n">
        <f aca="false">COUNTA($BA$1740:$EH$1740)</f>
        <v>2</v>
      </c>
      <c r="AV2618" s="0" t="n">
        <f aca="false">COUNTIF($BA$1740:$EH$1740,"D")</f>
        <v>0</v>
      </c>
      <c r="AW2618" s="0" t="n">
        <f aca="false">COUNTIF($BA$1740:$EH$1740,"R")</f>
        <v>0</v>
      </c>
      <c r="AX2618" s="0" t="n">
        <f aca="false">IF(BN2618="D",1,0)+IF(BO2618="D",1,0)+IF(BT2618="D",1,0)+IF(BU2618="D",1,0)+IF(BW2618="D",1,0)+IF(CC2618="D",1,0)+IF(CD2618="D",1,0)+IF(CE2618="D",1,0)+IF(CF2618="D",1,0)+IF(CL2618="D",1,0)+IF(CM2618="D",1,0)+IF(CQ2618="D",1,0)+IF(CR2618="D",1,0)+IF(CS2618="D",1,0)+IF(CW2618="D",1,0)+IF(CX2618="D",1,0)+IF(DD2618="D",1,0)+IF(DE2618="D",1,0)+IF(DJ2618="D",1,0)+IF(DK2618="D",1,0)+IF(DO2618="D",1,0)+IF(DP2618="D",1,0)+IF(DQ2618="D",1,0)+IF(DW2618="D",1,0)+IF(DZ2618="D",1,0)+IF(EH2618="D",1,0)</f>
        <v>0</v>
      </c>
      <c r="AY2618" s="0" t="n">
        <f aca="false">COUNTIF(DU2618:EH2618, "&lt;&gt;")</f>
        <v>0</v>
      </c>
      <c r="AZ2618" s="0" t="n">
        <f aca="false">IF(EH2618&lt;&gt;"",1,0)</f>
        <v>0</v>
      </c>
      <c r="BB2618" s="0" t="s">
        <v>152</v>
      </c>
    </row>
    <row r="2619" customFormat="false" ht="13.8" hidden="true" customHeight="false" outlineLevel="0" collapsed="false">
      <c r="A2619" s="0" t="s">
        <v>11160</v>
      </c>
      <c r="B2619" s="0" t="n">
        <v>78</v>
      </c>
      <c r="C2619" s="0" t="n">
        <v>343161</v>
      </c>
      <c r="D2619" s="0" t="s">
        <v>1042</v>
      </c>
      <c r="E2619" s="0" t="s">
        <v>633</v>
      </c>
      <c r="F2619" s="0" t="str">
        <f aca="false">CONCATENATE(D2619," ",LEFT(H2619,4),"T=",AU2619,"D=",AV2619,"R=",AW2619,"M=",AX2619,"L=",AY2619,"B=",AZ2619)</f>
        <v>BOOKER T=1D=0R=0M=0L=0B=0</v>
      </c>
      <c r="G2619" s="0" t="s">
        <v>307</v>
      </c>
      <c r="I2619" s="0" t="s">
        <v>11161</v>
      </c>
      <c r="J2619" s="0" t="s">
        <v>386</v>
      </c>
      <c r="K2619" s="0" t="s">
        <v>160</v>
      </c>
      <c r="M2619" s="0" t="s">
        <v>11150</v>
      </c>
      <c r="N2619" s="0" t="str">
        <f aca="false">RIGHT(M2619,LEN(M2619)-FIND(" ",M2619))</f>
        <v>WOODLAND AVE NE</v>
      </c>
      <c r="O2619" s="0" t="s">
        <v>297</v>
      </c>
      <c r="P2619" s="0" t="s">
        <v>145</v>
      </c>
      <c r="Q2619" s="0" t="s">
        <v>146</v>
      </c>
      <c r="R2619" s="0" t="n">
        <v>44483</v>
      </c>
      <c r="AD2619" s="0" t="s">
        <v>147</v>
      </c>
      <c r="AE2619" s="0" t="s">
        <v>148</v>
      </c>
      <c r="AF2619" s="0" t="s">
        <v>149</v>
      </c>
      <c r="AH2619" s="0" t="n">
        <v>14</v>
      </c>
      <c r="AI2619" s="0" t="n">
        <v>11</v>
      </c>
      <c r="AN2619" s="0" t="s">
        <v>145</v>
      </c>
      <c r="AO2619" s="0" t="s">
        <v>654</v>
      </c>
      <c r="AP2619" s="0" t="s">
        <v>655</v>
      </c>
      <c r="AQ2619" s="0" t="n">
        <v>9</v>
      </c>
      <c r="AR2619" s="0" t="n">
        <v>64</v>
      </c>
      <c r="AS2619" s="0" t="n">
        <v>32</v>
      </c>
      <c r="AU2619" s="0" t="n">
        <f aca="false">COUNTA($BA$1812:$EH$1812)</f>
        <v>1</v>
      </c>
      <c r="AV2619" s="0" t="n">
        <f aca="false">COUNTIF($BA$1812:$EH$1812,"D")</f>
        <v>0</v>
      </c>
      <c r="AW2619" s="0" t="n">
        <f aca="false">COUNTIF($BA$1812:$EH$1812,"R")</f>
        <v>0</v>
      </c>
      <c r="AX2619" s="0" t="n">
        <f aca="false">IF(BN2619="D",1,0)+IF(BO2619="D",1,0)+IF(BT2619="D",1,0)+IF(BU2619="D",1,0)+IF(BW2619="D",1,0)+IF(CC2619="D",1,0)+IF(CD2619="D",1,0)+IF(CE2619="D",1,0)+IF(CF2619="D",1,0)+IF(CL2619="D",1,0)+IF(CM2619="D",1,0)+IF(CQ2619="D",1,0)+IF(CR2619="D",1,0)+IF(CS2619="D",1,0)+IF(CW2619="D",1,0)+IF(CX2619="D",1,0)+IF(DD2619="D",1,0)+IF(DE2619="D",1,0)+IF(DJ2619="D",1,0)+IF(DK2619="D",1,0)+IF(DO2619="D",1,0)+IF(DP2619="D",1,0)+IF(DQ2619="D",1,0)+IF(DW2619="D",1,0)+IF(DZ2619="D",1,0)+IF(EH2619="D",1,0)</f>
        <v>0</v>
      </c>
      <c r="AY2619" s="0" t="n">
        <f aca="false">COUNTIF(DU2619:EH2619, "&lt;&gt;")</f>
        <v>0</v>
      </c>
      <c r="AZ2619" s="0" t="n">
        <f aca="false">IF(EH2619&lt;&gt;"",1,0)</f>
        <v>0</v>
      </c>
      <c r="BB2619" s="0" t="s">
        <v>152</v>
      </c>
      <c r="CA2619" s="0" t="s">
        <v>153</v>
      </c>
      <c r="DC2619" s="0" t="s">
        <v>153</v>
      </c>
      <c r="DI2619" s="0" t="s">
        <v>153</v>
      </c>
    </row>
    <row r="2620" customFormat="false" ht="13.8" hidden="false" customHeight="false" outlineLevel="0" collapsed="false">
      <c r="A2620" s="0" t="s">
        <v>11162</v>
      </c>
      <c r="B2620" s="0" t="n">
        <v>78</v>
      </c>
      <c r="C2620" s="0" t="n">
        <v>496360</v>
      </c>
      <c r="D2620" s="0" t="s">
        <v>11163</v>
      </c>
      <c r="E2620" s="0" t="s">
        <v>563</v>
      </c>
      <c r="F2620" s="0" t="str">
        <f aca="false">CONCATENATE(D2620," ",LEFT(H2620,4),"T=",AU2620,"D=",AV2620,"R=",AW2620,"M=",AX2620,"L=",AY2620,"B=",AZ2620)</f>
        <v>CLAAR T=20D=3R=0M=0L=2B=0</v>
      </c>
      <c r="G2620" s="0" t="s">
        <v>215</v>
      </c>
      <c r="I2620" s="0" t="s">
        <v>11164</v>
      </c>
      <c r="J2620" s="0" t="s">
        <v>2162</v>
      </c>
      <c r="K2620" s="0" t="s">
        <v>160</v>
      </c>
      <c r="M2620" s="0" t="s">
        <v>11165</v>
      </c>
      <c r="N2620" s="0" t="str">
        <f aca="false">RIGHT(M2620,LEN(M2620)-FIND(" ",M2620))</f>
        <v>WOODLAND AVE NE</v>
      </c>
      <c r="P2620" s="0" t="s">
        <v>145</v>
      </c>
      <c r="Q2620" s="0" t="s">
        <v>146</v>
      </c>
      <c r="R2620" s="0" t="n">
        <v>44483</v>
      </c>
      <c r="AD2620" s="0" t="s">
        <v>147</v>
      </c>
      <c r="AE2620" s="0" t="s">
        <v>148</v>
      </c>
      <c r="AF2620" s="0" t="s">
        <v>149</v>
      </c>
      <c r="AH2620" s="0" t="n">
        <v>14</v>
      </c>
      <c r="AI2620" s="0" t="n">
        <v>11</v>
      </c>
      <c r="AN2620" s="0" t="s">
        <v>145</v>
      </c>
      <c r="AO2620" s="0" t="s">
        <v>654</v>
      </c>
      <c r="AP2620" s="0" t="s">
        <v>655</v>
      </c>
      <c r="AQ2620" s="0" t="n">
        <v>9</v>
      </c>
      <c r="AR2620" s="0" t="n">
        <v>64</v>
      </c>
      <c r="AS2620" s="0" t="n">
        <v>32</v>
      </c>
      <c r="AU2620" s="0" t="n">
        <f aca="false">COUNTA($BA$1229:$EH$1229)</f>
        <v>20</v>
      </c>
      <c r="AV2620" s="0" t="n">
        <f aca="false">COUNTIF($BA$1229:$EH$1229,"D")</f>
        <v>3</v>
      </c>
      <c r="AW2620" s="0" t="n">
        <f aca="false">COUNTIF($BA$1229:$EH$1229,"R")</f>
        <v>0</v>
      </c>
      <c r="AX2620" s="0" t="n">
        <f aca="false">IF(BN2620="D",1,0)+IF(BO2620="D",1,0)+IF(BT2620="D",1,0)+IF(BU2620="D",1,0)+IF(BW2620="D",1,0)+IF(CC2620="D",1,0)+IF(CD2620="D",1,0)+IF(CE2620="D",1,0)+IF(CF2620="D",1,0)+IF(CL2620="D",1,0)+IF(CM2620="D",1,0)+IF(CQ2620="D",1,0)+IF(CR2620="D",1,0)+IF(CS2620="D",1,0)+IF(CW2620="D",1,0)+IF(CX2620="D",1,0)+IF(DD2620="D",1,0)+IF(DE2620="D",1,0)+IF(DJ2620="D",1,0)+IF(DK2620="D",1,0)+IF(DO2620="D",1,0)+IF(DP2620="D",1,0)+IF(DQ2620="D",1,0)+IF(DW2620="D",1,0)+IF(DZ2620="D",1,0)+IF(EH2620="D",1,0)</f>
        <v>0</v>
      </c>
      <c r="AY2620" s="0" t="n">
        <f aca="false">COUNTIF(DU2620:EH2620, "&lt;&gt;")</f>
        <v>2</v>
      </c>
      <c r="AZ2620" s="0" t="n">
        <f aca="false">IF(EH2620&lt;&gt;"",1,0)</f>
        <v>0</v>
      </c>
      <c r="BB2620" s="0" t="s">
        <v>152</v>
      </c>
      <c r="CP2620" s="0" t="s">
        <v>153</v>
      </c>
      <c r="CY2620" s="0" t="s">
        <v>153</v>
      </c>
      <c r="DC2620" s="0" t="s">
        <v>153</v>
      </c>
      <c r="DN2620" s="0" t="s">
        <v>153</v>
      </c>
      <c r="EA2620" s="0" t="s">
        <v>153</v>
      </c>
      <c r="EF2620" s="0" t="s">
        <v>153</v>
      </c>
    </row>
    <row r="2621" customFormat="false" ht="13.8" hidden="false" customHeight="false" outlineLevel="0" collapsed="false">
      <c r="A2621" s="0" t="s">
        <v>11166</v>
      </c>
      <c r="B2621" s="0" t="n">
        <v>78</v>
      </c>
      <c r="C2621" s="0" t="n">
        <v>485820</v>
      </c>
      <c r="D2621" s="0" t="s">
        <v>11167</v>
      </c>
      <c r="E2621" s="0" t="s">
        <v>292</v>
      </c>
      <c r="F2621" s="0" t="str">
        <f aca="false">CONCATENATE(D2621," ",LEFT(H2621,4),"T=",AU2621,"D=",AV2621,"R=",AW2621,"M=",AX2621,"L=",AY2621,"B=",AZ2621)</f>
        <v>KNOCH T=1D=0R=0M=0L=2B=0</v>
      </c>
      <c r="G2621" s="0" t="s">
        <v>170</v>
      </c>
      <c r="I2621" s="0" t="s">
        <v>11168</v>
      </c>
      <c r="J2621" s="0" t="s">
        <v>11169</v>
      </c>
      <c r="K2621" s="0" t="s">
        <v>160</v>
      </c>
      <c r="M2621" s="0" t="s">
        <v>11165</v>
      </c>
      <c r="N2621" s="0" t="str">
        <f aca="false">RIGHT(M2621,LEN(M2621)-FIND(" ",M2621))</f>
        <v>WOODLAND AVE NE</v>
      </c>
      <c r="O2621" s="0" t="s">
        <v>297</v>
      </c>
      <c r="P2621" s="0" t="s">
        <v>145</v>
      </c>
      <c r="Q2621" s="0" t="s">
        <v>146</v>
      </c>
      <c r="R2621" s="0" t="n">
        <v>44483</v>
      </c>
      <c r="AD2621" s="0" t="s">
        <v>147</v>
      </c>
      <c r="AE2621" s="0" t="s">
        <v>148</v>
      </c>
      <c r="AF2621" s="0" t="s">
        <v>149</v>
      </c>
      <c r="AH2621" s="0" t="n">
        <v>14</v>
      </c>
      <c r="AI2621" s="0" t="n">
        <v>11</v>
      </c>
      <c r="AN2621" s="0" t="s">
        <v>145</v>
      </c>
      <c r="AO2621" s="0" t="s">
        <v>654</v>
      </c>
      <c r="AP2621" s="0" t="s">
        <v>655</v>
      </c>
      <c r="AQ2621" s="0" t="n">
        <v>9</v>
      </c>
      <c r="AR2621" s="0" t="n">
        <v>64</v>
      </c>
      <c r="AS2621" s="0" t="n">
        <v>32</v>
      </c>
      <c r="AU2621" s="0" t="n">
        <f aca="false">COUNTA($BA$1278:$EH$1278)</f>
        <v>1</v>
      </c>
      <c r="AV2621" s="0" t="n">
        <f aca="false">COUNTIF($BA$1278:$EH$1278,"D")</f>
        <v>0</v>
      </c>
      <c r="AW2621" s="0" t="n">
        <f aca="false">COUNTIF($BA$1278:$EH$1278,"R")</f>
        <v>0</v>
      </c>
      <c r="AX2621" s="0" t="n">
        <f aca="false">IF(BN2621="D",1,0)+IF(BO2621="D",1,0)+IF(BT2621="D",1,0)+IF(BU2621="D",1,0)+IF(BW2621="D",1,0)+IF(CC2621="D",1,0)+IF(CD2621="D",1,0)+IF(CE2621="D",1,0)+IF(CF2621="D",1,0)+IF(CL2621="D",1,0)+IF(CM2621="D",1,0)+IF(CQ2621="D",1,0)+IF(CR2621="D",1,0)+IF(CS2621="D",1,0)+IF(CW2621="D",1,0)+IF(CX2621="D",1,0)+IF(DD2621="D",1,0)+IF(DE2621="D",1,0)+IF(DJ2621="D",1,0)+IF(DK2621="D",1,0)+IF(DO2621="D",1,0)+IF(DP2621="D",1,0)+IF(DQ2621="D",1,0)+IF(DW2621="D",1,0)+IF(DZ2621="D",1,0)+IF(EH2621="D",1,0)</f>
        <v>0</v>
      </c>
      <c r="AY2621" s="0" t="n">
        <f aca="false">COUNTIF(DU2621:EH2621, "&lt;&gt;")</f>
        <v>2</v>
      </c>
      <c r="AZ2621" s="0" t="n">
        <f aca="false">IF(EH2621&lt;&gt;"",1,0)</f>
        <v>0</v>
      </c>
      <c r="BB2621" s="0" t="s">
        <v>152</v>
      </c>
      <c r="BC2621" s="0" t="s">
        <v>209</v>
      </c>
      <c r="BD2621" s="0" t="s">
        <v>153</v>
      </c>
      <c r="BF2621" s="0" t="s">
        <v>153</v>
      </c>
      <c r="BL2621" s="0" t="s">
        <v>153</v>
      </c>
      <c r="BP2621" s="0" t="s">
        <v>153</v>
      </c>
      <c r="BR2621" s="0" t="s">
        <v>153</v>
      </c>
      <c r="BY2621" s="0" t="s">
        <v>175</v>
      </c>
      <c r="CA2621" s="0" t="s">
        <v>153</v>
      </c>
      <c r="CG2621" s="0" t="s">
        <v>153</v>
      </c>
      <c r="CK2621" s="0" t="s">
        <v>153</v>
      </c>
      <c r="CP2621" s="0" t="s">
        <v>153</v>
      </c>
      <c r="CT2621" s="0" t="s">
        <v>153</v>
      </c>
      <c r="DR2621" s="0" t="s">
        <v>153</v>
      </c>
      <c r="DU2621" s="0" t="s">
        <v>153</v>
      </c>
      <c r="EF2621" s="0" t="s">
        <v>153</v>
      </c>
    </row>
    <row r="2622" customFormat="false" ht="13.8" hidden="true" customHeight="false" outlineLevel="0" collapsed="false">
      <c r="A2622" s="0" t="s">
        <v>11170</v>
      </c>
      <c r="B2622" s="0" t="n">
        <v>78</v>
      </c>
      <c r="C2622" s="0" t="n">
        <v>441081</v>
      </c>
      <c r="D2622" s="0" t="s">
        <v>3940</v>
      </c>
      <c r="E2622" s="0" t="s">
        <v>1451</v>
      </c>
      <c r="F2622" s="0" t="str">
        <f aca="false">CONCATENATE(D2622," ",LEFT(H2622,4),"T=",AU2622,"D=",AV2622,"R=",AW2622,"M=",AX2622,"L=",AY2622,"B=",AZ2622)</f>
        <v>WILSON T=1D=0R=0M=0L=0B=0</v>
      </c>
      <c r="I2622" s="0" t="s">
        <v>11171</v>
      </c>
      <c r="J2622" s="0" t="s">
        <v>11172</v>
      </c>
      <c r="K2622" s="0" t="s">
        <v>143</v>
      </c>
      <c r="M2622" s="0" t="s">
        <v>11165</v>
      </c>
      <c r="N2622" s="0" t="str">
        <f aca="false">RIGHT(M2622,LEN(M2622)-FIND(" ",M2622))</f>
        <v>WOODLAND AVE NE</v>
      </c>
      <c r="P2622" s="0" t="s">
        <v>145</v>
      </c>
      <c r="Q2622" s="0" t="s">
        <v>146</v>
      </c>
      <c r="R2622" s="0" t="n">
        <v>44483</v>
      </c>
      <c r="AD2622" s="0" t="s">
        <v>147</v>
      </c>
      <c r="AE2622" s="0" t="s">
        <v>148</v>
      </c>
      <c r="AF2622" s="0" t="s">
        <v>149</v>
      </c>
      <c r="AH2622" s="0" t="n">
        <v>14</v>
      </c>
      <c r="AI2622" s="0" t="n">
        <v>11</v>
      </c>
      <c r="AN2622" s="0" t="s">
        <v>145</v>
      </c>
      <c r="AO2622" s="0" t="s">
        <v>654</v>
      </c>
      <c r="AP2622" s="0" t="s">
        <v>655</v>
      </c>
      <c r="AQ2622" s="0" t="n">
        <v>9</v>
      </c>
      <c r="AR2622" s="0" t="n">
        <v>64</v>
      </c>
      <c r="AS2622" s="0" t="n">
        <v>32</v>
      </c>
      <c r="AU2622" s="0" t="n">
        <f aca="false">COUNTA($BA$1317:$EH$1317)</f>
        <v>1</v>
      </c>
      <c r="AV2622" s="0" t="n">
        <f aca="false">COUNTIF($BA$1317:$EH$1317,"D")</f>
        <v>0</v>
      </c>
      <c r="AW2622" s="0" t="n">
        <f aca="false">COUNTIF($BA$1317:$EH$1317,"R")</f>
        <v>0</v>
      </c>
      <c r="AX2622" s="0" t="n">
        <f aca="false">IF(BN2622="D",1,0)+IF(BO2622="D",1,0)+IF(BT2622="D",1,0)+IF(BU2622="D",1,0)+IF(BW2622="D",1,0)+IF(CC2622="D",1,0)+IF(CD2622="D",1,0)+IF(CE2622="D",1,0)+IF(CF2622="D",1,0)+IF(CL2622="D",1,0)+IF(CM2622="D",1,0)+IF(CQ2622="D",1,0)+IF(CR2622="D",1,0)+IF(CS2622="D",1,0)+IF(CW2622="D",1,0)+IF(CX2622="D",1,0)+IF(DD2622="D",1,0)+IF(DE2622="D",1,0)+IF(DJ2622="D",1,0)+IF(DK2622="D",1,0)+IF(DO2622="D",1,0)+IF(DP2622="D",1,0)+IF(DQ2622="D",1,0)+IF(DW2622="D",1,0)+IF(DZ2622="D",1,0)+IF(EH2622="D",1,0)</f>
        <v>0</v>
      </c>
      <c r="AY2622" s="0" t="n">
        <f aca="false">COUNTIF(DU2622:EH2622, "&lt;&gt;")</f>
        <v>0</v>
      </c>
      <c r="AZ2622" s="0" t="n">
        <f aca="false">IF(EH2622&lt;&gt;"",1,0)</f>
        <v>0</v>
      </c>
      <c r="BB2622" s="0" t="s">
        <v>152</v>
      </c>
      <c r="CP2622" s="0" t="s">
        <v>153</v>
      </c>
      <c r="CT2622" s="0" t="s">
        <v>153</v>
      </c>
      <c r="DC2622" s="0" t="s">
        <v>153</v>
      </c>
    </row>
    <row r="2623" customFormat="false" ht="13.8" hidden="true" customHeight="false" outlineLevel="0" collapsed="false">
      <c r="A2623" s="0" t="s">
        <v>11173</v>
      </c>
      <c r="B2623" s="0" t="n">
        <v>78</v>
      </c>
      <c r="C2623" s="0" t="n">
        <v>491061</v>
      </c>
      <c r="D2623" s="0" t="s">
        <v>6481</v>
      </c>
      <c r="E2623" s="0" t="s">
        <v>11174</v>
      </c>
      <c r="F2623" s="0" t="str">
        <f aca="false">CONCATENATE(D2623," ",LEFT(H2623,4),"T=",AU2623,"D=",AV2623,"R=",AW2623,"M=",AX2623,"L=",AY2623,"B=",AZ2623)</f>
        <v>JARVIS T=8D=0R=0M=0L=0B=0</v>
      </c>
      <c r="G2623" s="0" t="s">
        <v>872</v>
      </c>
      <c r="I2623" s="0" t="s">
        <v>11175</v>
      </c>
      <c r="J2623" s="0" t="s">
        <v>1658</v>
      </c>
      <c r="K2623" s="0" t="s">
        <v>160</v>
      </c>
      <c r="M2623" s="0" t="s">
        <v>11165</v>
      </c>
      <c r="N2623" s="0" t="str">
        <f aca="false">RIGHT(M2623,LEN(M2623)-FIND(" ",M2623))</f>
        <v>WOODLAND AVE NE</v>
      </c>
      <c r="O2623" s="0" t="s">
        <v>1939</v>
      </c>
      <c r="P2623" s="0" t="s">
        <v>145</v>
      </c>
      <c r="Q2623" s="0" t="s">
        <v>146</v>
      </c>
      <c r="R2623" s="0" t="n">
        <v>44483</v>
      </c>
      <c r="AD2623" s="0" t="s">
        <v>147</v>
      </c>
      <c r="AE2623" s="0" t="s">
        <v>148</v>
      </c>
      <c r="AF2623" s="0" t="s">
        <v>149</v>
      </c>
      <c r="AH2623" s="0" t="n">
        <v>14</v>
      </c>
      <c r="AI2623" s="0" t="n">
        <v>11</v>
      </c>
      <c r="AN2623" s="0" t="s">
        <v>145</v>
      </c>
      <c r="AO2623" s="0" t="s">
        <v>654</v>
      </c>
      <c r="AP2623" s="0" t="s">
        <v>655</v>
      </c>
      <c r="AQ2623" s="0" t="n">
        <v>9</v>
      </c>
      <c r="AR2623" s="0" t="n">
        <v>64</v>
      </c>
      <c r="AS2623" s="0" t="n">
        <v>32</v>
      </c>
      <c r="AU2623" s="0" t="n">
        <f aca="false">COUNTA($BA$1504:$EH$1504)</f>
        <v>8</v>
      </c>
      <c r="AV2623" s="0" t="n">
        <f aca="false">COUNTIF($BA$1504:$EH$1504,"D")</f>
        <v>0</v>
      </c>
      <c r="AW2623" s="0" t="n">
        <f aca="false">COUNTIF($BA$1504:$EH$1504,"R")</f>
        <v>0</v>
      </c>
      <c r="AX2623" s="0" t="n">
        <f aca="false">IF(BN2623="D",1,0)+IF(BO2623="D",1,0)+IF(BT2623="D",1,0)+IF(BU2623="D",1,0)+IF(BW2623="D",1,0)+IF(CC2623="D",1,0)+IF(CD2623="D",1,0)+IF(CE2623="D",1,0)+IF(CF2623="D",1,0)+IF(CL2623="D",1,0)+IF(CM2623="D",1,0)+IF(CQ2623="D",1,0)+IF(CR2623="D",1,0)+IF(CS2623="D",1,0)+IF(CW2623="D",1,0)+IF(CX2623="D",1,0)+IF(DD2623="D",1,0)+IF(DE2623="D",1,0)+IF(DJ2623="D",1,0)+IF(DK2623="D",1,0)+IF(DO2623="D",1,0)+IF(DP2623="D",1,0)+IF(DQ2623="D",1,0)+IF(DW2623="D",1,0)+IF(DZ2623="D",1,0)+IF(EH2623="D",1,0)</f>
        <v>0</v>
      </c>
      <c r="AY2623" s="0" t="n">
        <f aca="false">COUNTIF(DU2623:EH2623, "&lt;&gt;")</f>
        <v>0</v>
      </c>
      <c r="AZ2623" s="0" t="n">
        <f aca="false">IF(EH2623&lt;&gt;"",1,0)</f>
        <v>0</v>
      </c>
      <c r="BB2623" s="0" t="s">
        <v>152</v>
      </c>
    </row>
    <row r="2624" customFormat="false" ht="13.8" hidden="false" customHeight="false" outlineLevel="0" collapsed="false">
      <c r="A2624" s="0" t="s">
        <v>11176</v>
      </c>
      <c r="B2624" s="0" t="n">
        <v>78</v>
      </c>
      <c r="C2624" s="0" t="n">
        <v>485226</v>
      </c>
      <c r="D2624" s="0" t="s">
        <v>3258</v>
      </c>
      <c r="E2624" s="0" t="s">
        <v>313</v>
      </c>
      <c r="F2624" s="0" t="str">
        <f aca="false">CONCATENATE(D2624," ",LEFT(H2624,4),"T=",AU2624,"D=",AV2624,"R=",AW2624,"M=",AX2624,"L=",AY2624,"B=",AZ2624)</f>
        <v>POLLARD T=11D=0R=0M=0L=2B=0</v>
      </c>
      <c r="G2624" s="0" t="s">
        <v>215</v>
      </c>
      <c r="I2624" s="0" t="s">
        <v>11177</v>
      </c>
      <c r="J2624" s="0" t="s">
        <v>11178</v>
      </c>
      <c r="K2624" s="0" t="s">
        <v>160</v>
      </c>
      <c r="M2624" s="0" t="s">
        <v>11179</v>
      </c>
      <c r="N2624" s="0" t="str">
        <f aca="false">RIGHT(M2624,LEN(M2624)-FIND(" ",M2624))</f>
        <v>WOODLAND AVE NE</v>
      </c>
      <c r="P2624" s="0" t="s">
        <v>145</v>
      </c>
      <c r="Q2624" s="0" t="s">
        <v>146</v>
      </c>
      <c r="R2624" s="0" t="n">
        <v>44483</v>
      </c>
      <c r="AD2624" s="0" t="s">
        <v>147</v>
      </c>
      <c r="AE2624" s="0" t="s">
        <v>148</v>
      </c>
      <c r="AF2624" s="0" t="s">
        <v>149</v>
      </c>
      <c r="AH2624" s="0" t="n">
        <v>14</v>
      </c>
      <c r="AI2624" s="0" t="n">
        <v>11</v>
      </c>
      <c r="AN2624" s="0" t="s">
        <v>145</v>
      </c>
      <c r="AO2624" s="0" t="s">
        <v>654</v>
      </c>
      <c r="AP2624" s="0" t="s">
        <v>655</v>
      </c>
      <c r="AQ2624" s="0" t="n">
        <v>9</v>
      </c>
      <c r="AR2624" s="0" t="n">
        <v>64</v>
      </c>
      <c r="AS2624" s="0" t="n">
        <v>32</v>
      </c>
      <c r="AU2624" s="0" t="n">
        <f aca="false">COUNTA($BA$1380:$EH$1380)</f>
        <v>11</v>
      </c>
      <c r="AV2624" s="0" t="n">
        <f aca="false">COUNTIF($BA$1380:$EH$1380,"D")</f>
        <v>0</v>
      </c>
      <c r="AW2624" s="0" t="n">
        <f aca="false">COUNTIF($BA$1380:$EH$1380,"R")</f>
        <v>0</v>
      </c>
      <c r="AX2624" s="0" t="n">
        <f aca="false">IF(BN2624="D",1,0)+IF(BO2624="D",1,0)+IF(BT2624="D",1,0)+IF(BU2624="D",1,0)+IF(BW2624="D",1,0)+IF(CC2624="D",1,0)+IF(CD2624="D",1,0)+IF(CE2624="D",1,0)+IF(CF2624="D",1,0)+IF(CL2624="D",1,0)+IF(CM2624="D",1,0)+IF(CQ2624="D",1,0)+IF(CR2624="D",1,0)+IF(CS2624="D",1,0)+IF(CW2624="D",1,0)+IF(CX2624="D",1,0)+IF(DD2624="D",1,0)+IF(DE2624="D",1,0)+IF(DJ2624="D",1,0)+IF(DK2624="D",1,0)+IF(DO2624="D",1,0)+IF(DP2624="D",1,0)+IF(DQ2624="D",1,0)+IF(DW2624="D",1,0)+IF(DZ2624="D",1,0)+IF(EH2624="D",1,0)</f>
        <v>0</v>
      </c>
      <c r="AY2624" s="0" t="n">
        <f aca="false">COUNTIF(DU2624:EH2624, "&lt;&gt;")</f>
        <v>2</v>
      </c>
      <c r="AZ2624" s="0" t="n">
        <f aca="false">IF(EH2624&lt;&gt;"",1,0)</f>
        <v>0</v>
      </c>
      <c r="BB2624" s="0" t="s">
        <v>152</v>
      </c>
      <c r="CY2624" s="0" t="s">
        <v>153</v>
      </c>
      <c r="CZ2624" s="0" t="s">
        <v>209</v>
      </c>
      <c r="DC2624" s="0" t="s">
        <v>153</v>
      </c>
      <c r="DI2624" s="0" t="s">
        <v>153</v>
      </c>
      <c r="DL2624" s="0" t="s">
        <v>153</v>
      </c>
      <c r="EA2624" s="0" t="s">
        <v>153</v>
      </c>
      <c r="EF2624" s="0" t="s">
        <v>153</v>
      </c>
    </row>
    <row r="2625" customFormat="false" ht="13.8" hidden="false" customHeight="false" outlineLevel="0" collapsed="false">
      <c r="A2625" s="0" t="s">
        <v>11180</v>
      </c>
      <c r="B2625" s="0" t="n">
        <v>78</v>
      </c>
      <c r="C2625" s="0" t="n">
        <v>484921</v>
      </c>
      <c r="D2625" s="0" t="s">
        <v>11181</v>
      </c>
      <c r="E2625" s="0" t="s">
        <v>11182</v>
      </c>
      <c r="F2625" s="0" t="str">
        <f aca="false">CONCATENATE(D2625," ",LEFT(H2625,4),"T=",AU2625,"D=",AV2625,"R=",AW2625,"M=",AX2625,"L=",AY2625,"B=",AZ2625)</f>
        <v>LAZAR T=3D=0R=0M=0L=2B=0</v>
      </c>
      <c r="G2625" s="0" t="s">
        <v>2202</v>
      </c>
      <c r="I2625" s="0" t="s">
        <v>11183</v>
      </c>
      <c r="J2625" s="0" t="s">
        <v>9910</v>
      </c>
      <c r="K2625" s="0" t="s">
        <v>160</v>
      </c>
      <c r="M2625" s="0" t="s">
        <v>11179</v>
      </c>
      <c r="N2625" s="0" t="str">
        <f aca="false">RIGHT(M2625,LEN(M2625)-FIND(" ",M2625))</f>
        <v>WOODLAND AVE NE</v>
      </c>
      <c r="P2625" s="0" t="s">
        <v>145</v>
      </c>
      <c r="Q2625" s="0" t="s">
        <v>146</v>
      </c>
      <c r="R2625" s="0" t="n">
        <v>44483</v>
      </c>
      <c r="AD2625" s="0" t="s">
        <v>147</v>
      </c>
      <c r="AE2625" s="0" t="s">
        <v>148</v>
      </c>
      <c r="AF2625" s="0" t="s">
        <v>149</v>
      </c>
      <c r="AH2625" s="0" t="n">
        <v>14</v>
      </c>
      <c r="AI2625" s="0" t="n">
        <v>11</v>
      </c>
      <c r="AN2625" s="0" t="s">
        <v>145</v>
      </c>
      <c r="AO2625" s="0" t="s">
        <v>654</v>
      </c>
      <c r="AP2625" s="0" t="s">
        <v>655</v>
      </c>
      <c r="AQ2625" s="0" t="n">
        <v>9</v>
      </c>
      <c r="AR2625" s="0" t="n">
        <v>64</v>
      </c>
      <c r="AS2625" s="0" t="n">
        <v>32</v>
      </c>
      <c r="AU2625" s="0" t="n">
        <f aca="false">COUNTA($BA$1955:$EH$1955)</f>
        <v>3</v>
      </c>
      <c r="AV2625" s="0" t="n">
        <f aca="false">COUNTIF($BA$1955:$EH$1955,"D")</f>
        <v>0</v>
      </c>
      <c r="AW2625" s="0" t="n">
        <f aca="false">COUNTIF($BA$1955:$EH$1955,"R")</f>
        <v>0</v>
      </c>
      <c r="AX2625" s="0" t="n">
        <f aca="false">IF(BN2625="D",1,0)+IF(BO2625="D",1,0)+IF(BT2625="D",1,0)+IF(BU2625="D",1,0)+IF(BW2625="D",1,0)+IF(CC2625="D",1,0)+IF(CD2625="D",1,0)+IF(CE2625="D",1,0)+IF(CF2625="D",1,0)+IF(CL2625="D",1,0)+IF(CM2625="D",1,0)+IF(CQ2625="D",1,0)+IF(CR2625="D",1,0)+IF(CS2625="D",1,0)+IF(CW2625="D",1,0)+IF(CX2625="D",1,0)+IF(DD2625="D",1,0)+IF(DE2625="D",1,0)+IF(DJ2625="D",1,0)+IF(DK2625="D",1,0)+IF(DO2625="D",1,0)+IF(DP2625="D",1,0)+IF(DQ2625="D",1,0)+IF(DW2625="D",1,0)+IF(DZ2625="D",1,0)+IF(EH2625="D",1,0)</f>
        <v>0</v>
      </c>
      <c r="AY2625" s="0" t="n">
        <f aca="false">COUNTIF(DU2625:EH2625, "&lt;&gt;")</f>
        <v>2</v>
      </c>
      <c r="AZ2625" s="0" t="n">
        <f aca="false">IF(EH2625&lt;&gt;"",1,0)</f>
        <v>0</v>
      </c>
      <c r="BB2625" s="0" t="s">
        <v>152</v>
      </c>
      <c r="DX2625" s="0" t="s">
        <v>153</v>
      </c>
      <c r="EF2625" s="0" t="s">
        <v>153</v>
      </c>
    </row>
    <row r="2626" customFormat="false" ht="13.8" hidden="false" customHeight="false" outlineLevel="0" collapsed="false">
      <c r="A2626" s="0" t="s">
        <v>11184</v>
      </c>
      <c r="B2626" s="0" t="n">
        <v>78</v>
      </c>
      <c r="C2626" s="0" t="n">
        <v>322138</v>
      </c>
      <c r="D2626" s="0" t="s">
        <v>11185</v>
      </c>
      <c r="E2626" s="0" t="s">
        <v>5280</v>
      </c>
      <c r="F2626" s="0" t="str">
        <f aca="false">CONCATENATE(D2626," ",LEFT(H2626,4),"T=",AU2626,"D=",AV2626,"R=",AW2626,"M=",AX2626,"L=",AY2626,"B=",AZ2626)</f>
        <v>HOLBROOK T=1D=0R=0M=1L=2B=0</v>
      </c>
      <c r="I2626" s="0" t="s">
        <v>11186</v>
      </c>
      <c r="J2626" s="0" t="s">
        <v>11187</v>
      </c>
      <c r="K2626" s="0" t="s">
        <v>160</v>
      </c>
      <c r="M2626" s="0" t="s">
        <v>11188</v>
      </c>
      <c r="N2626" s="0" t="str">
        <f aca="false">RIGHT(M2626,LEN(M2626)-FIND(" ",M2626))</f>
        <v>WOODLAND AVE NE</v>
      </c>
      <c r="P2626" s="0" t="s">
        <v>145</v>
      </c>
      <c r="Q2626" s="0" t="s">
        <v>146</v>
      </c>
      <c r="R2626" s="0" t="n">
        <v>44483</v>
      </c>
      <c r="AD2626" s="0" t="s">
        <v>147</v>
      </c>
      <c r="AE2626" s="0" t="s">
        <v>148</v>
      </c>
      <c r="AF2626" s="0" t="s">
        <v>149</v>
      </c>
      <c r="AH2626" s="0" t="n">
        <v>14</v>
      </c>
      <c r="AI2626" s="0" t="n">
        <v>11</v>
      </c>
      <c r="AN2626" s="0" t="s">
        <v>145</v>
      </c>
      <c r="AO2626" s="0" t="s">
        <v>654</v>
      </c>
      <c r="AP2626" s="0" t="s">
        <v>655</v>
      </c>
      <c r="AQ2626" s="0" t="n">
        <v>9</v>
      </c>
      <c r="AR2626" s="0" t="n">
        <v>64</v>
      </c>
      <c r="AS2626" s="0" t="n">
        <v>32</v>
      </c>
      <c r="AU2626" s="0" t="n">
        <f aca="false">COUNTA($BA$1639:$EH$1639)</f>
        <v>1</v>
      </c>
      <c r="AV2626" s="0" t="n">
        <f aca="false">COUNTIF($BA$1639:$EH$1639,"D")</f>
        <v>0</v>
      </c>
      <c r="AW2626" s="0" t="n">
        <f aca="false">COUNTIF($BA$1639:$EH$1639,"R")</f>
        <v>0</v>
      </c>
      <c r="AX2626" s="0" t="n">
        <f aca="false">IF(BN2626="D",1,0)+IF(BO2626="D",1,0)+IF(BT2626="D",1,0)+IF(BU2626="D",1,0)+IF(BW2626="D",1,0)+IF(CC2626="D",1,0)+IF(CD2626="D",1,0)+IF(CE2626="D",1,0)+IF(CF2626="D",1,0)+IF(CL2626="D",1,0)+IF(CM2626="D",1,0)+IF(CQ2626="D",1,0)+IF(CR2626="D",1,0)+IF(CS2626="D",1,0)+IF(CW2626="D",1,0)+IF(CX2626="D",1,0)+IF(DD2626="D",1,0)+IF(DE2626="D",1,0)+IF(DJ2626="D",1,0)+IF(DK2626="D",1,0)+IF(DO2626="D",1,0)+IF(DP2626="D",1,0)+IF(DQ2626="D",1,0)+IF(DW2626="D",1,0)+IF(DZ2626="D",1,0)+IF(EH2626="D",1,0)</f>
        <v>1</v>
      </c>
      <c r="AY2626" s="0" t="n">
        <f aca="false">COUNTIF(DU2626:EH2626, "&lt;&gt;")</f>
        <v>2</v>
      </c>
      <c r="AZ2626" s="0" t="n">
        <f aca="false">IF(EH2626&lt;&gt;"",1,0)</f>
        <v>0</v>
      </c>
      <c r="BB2626" s="0" t="s">
        <v>152</v>
      </c>
      <c r="BL2626" s="0" t="s">
        <v>153</v>
      </c>
      <c r="BS2626" s="0" t="s">
        <v>153</v>
      </c>
      <c r="BY2626" s="0" t="s">
        <v>175</v>
      </c>
      <c r="CA2626" s="0" t="s">
        <v>153</v>
      </c>
      <c r="CP2626" s="0" t="s">
        <v>153</v>
      </c>
      <c r="CW2626" s="0" t="s">
        <v>175</v>
      </c>
      <c r="CZ2626" s="0" t="s">
        <v>175</v>
      </c>
      <c r="DC2626" s="0" t="s">
        <v>153</v>
      </c>
      <c r="DN2626" s="0" t="s">
        <v>153</v>
      </c>
      <c r="DU2626" s="0" t="s">
        <v>153</v>
      </c>
      <c r="EF2626" s="0" t="s">
        <v>153</v>
      </c>
    </row>
    <row r="2627" customFormat="false" ht="13.8" hidden="false" customHeight="false" outlineLevel="0" collapsed="false">
      <c r="A2627" s="0" t="s">
        <v>11189</v>
      </c>
      <c r="B2627" s="0" t="n">
        <v>78</v>
      </c>
      <c r="C2627" s="0" t="n">
        <v>464925</v>
      </c>
      <c r="D2627" s="0" t="s">
        <v>740</v>
      </c>
      <c r="E2627" s="0" t="s">
        <v>2214</v>
      </c>
      <c r="F2627" s="0" t="str">
        <f aca="false">CONCATENATE(D2627," ",LEFT(H2627,4),"T=",AU2627,"D=",AV2627,"R=",AW2627,"M=",AX2627,"L=",AY2627,"B=",AZ2627)</f>
        <v>PATTERSON T=39D=12R=0M=0L=2B=0</v>
      </c>
      <c r="G2627" s="0" t="s">
        <v>190</v>
      </c>
      <c r="I2627" s="0" t="s">
        <v>11190</v>
      </c>
      <c r="J2627" s="0" t="s">
        <v>11191</v>
      </c>
      <c r="K2627" s="0" t="s">
        <v>160</v>
      </c>
      <c r="M2627" s="0" t="s">
        <v>11188</v>
      </c>
      <c r="N2627" s="0" t="str">
        <f aca="false">RIGHT(M2627,LEN(M2627)-FIND(" ",M2627))</f>
        <v>WOODLAND AVE NE</v>
      </c>
      <c r="P2627" s="0" t="s">
        <v>145</v>
      </c>
      <c r="Q2627" s="0" t="s">
        <v>146</v>
      </c>
      <c r="R2627" s="0" t="n">
        <v>44483</v>
      </c>
      <c r="AD2627" s="0" t="s">
        <v>147</v>
      </c>
      <c r="AE2627" s="0" t="s">
        <v>148</v>
      </c>
      <c r="AF2627" s="0" t="s">
        <v>149</v>
      </c>
      <c r="AH2627" s="0" t="n">
        <v>14</v>
      </c>
      <c r="AI2627" s="0" t="n">
        <v>11</v>
      </c>
      <c r="AN2627" s="0" t="s">
        <v>145</v>
      </c>
      <c r="AO2627" s="0" t="s">
        <v>654</v>
      </c>
      <c r="AP2627" s="0" t="s">
        <v>655</v>
      </c>
      <c r="AQ2627" s="0" t="n">
        <v>9</v>
      </c>
      <c r="AR2627" s="0" t="n">
        <v>64</v>
      </c>
      <c r="AS2627" s="0" t="n">
        <v>32</v>
      </c>
      <c r="AU2627" s="0" t="n">
        <f aca="false">COUNTA($BA$1669:$EH$1669)</f>
        <v>39</v>
      </c>
      <c r="AV2627" s="0" t="n">
        <f aca="false">COUNTIF($BA$1669:$EH$1669,"D")</f>
        <v>12</v>
      </c>
      <c r="AW2627" s="0" t="n">
        <f aca="false">COUNTIF($BA$1669:$EH$1669,"R")</f>
        <v>0</v>
      </c>
      <c r="AX2627" s="0" t="n">
        <f aca="false">IF(BN2627="D",1,0)+IF(BO2627="D",1,0)+IF(BT2627="D",1,0)+IF(BU2627="D",1,0)+IF(BW2627="D",1,0)+IF(CC2627="D",1,0)+IF(CD2627="D",1,0)+IF(CE2627="D",1,0)+IF(CF2627="D",1,0)+IF(CL2627="D",1,0)+IF(CM2627="D",1,0)+IF(CQ2627="D",1,0)+IF(CR2627="D",1,0)+IF(CS2627="D",1,0)+IF(CW2627="D",1,0)+IF(CX2627="D",1,0)+IF(DD2627="D",1,0)+IF(DE2627="D",1,0)+IF(DJ2627="D",1,0)+IF(DK2627="D",1,0)+IF(DO2627="D",1,0)+IF(DP2627="D",1,0)+IF(DQ2627="D",1,0)+IF(DW2627="D",1,0)+IF(DZ2627="D",1,0)+IF(EH2627="D",1,0)</f>
        <v>0</v>
      </c>
      <c r="AY2627" s="0" t="n">
        <f aca="false">COUNTIF(DU2627:EH2627, "&lt;&gt;")</f>
        <v>2</v>
      </c>
      <c r="AZ2627" s="0" t="n">
        <f aca="false">IF(EH2627&lt;&gt;"",1,0)</f>
        <v>0</v>
      </c>
      <c r="BB2627" s="0" t="s">
        <v>152</v>
      </c>
      <c r="BL2627" s="0" t="s">
        <v>153</v>
      </c>
      <c r="DU2627" s="0" t="s">
        <v>153</v>
      </c>
      <c r="EF2627" s="0" t="s">
        <v>153</v>
      </c>
    </row>
    <row r="2628" customFormat="false" ht="13.8" hidden="true" customHeight="false" outlineLevel="0" collapsed="false">
      <c r="A2628" s="0" t="s">
        <v>11192</v>
      </c>
      <c r="B2628" s="0" t="n">
        <v>78</v>
      </c>
      <c r="C2628" s="0" t="n">
        <v>483389</v>
      </c>
      <c r="D2628" s="0" t="s">
        <v>11185</v>
      </c>
      <c r="E2628" s="0" t="s">
        <v>914</v>
      </c>
      <c r="F2628" s="0" t="str">
        <f aca="false">CONCATENATE(D2628," ",LEFT(H2628,4),"T=",AU2628,"D=",AV2628,"R=",AW2628,"M=",AX2628,"L=",AY2628,"B=",AZ2628)</f>
        <v>HOLBROOK T=3D=0R=0M=0L=1B=0</v>
      </c>
      <c r="G2628" s="0" t="s">
        <v>195</v>
      </c>
      <c r="I2628" s="0" t="s">
        <v>5422</v>
      </c>
      <c r="J2628" s="0" t="s">
        <v>11193</v>
      </c>
      <c r="K2628" s="0" t="s">
        <v>160</v>
      </c>
      <c r="M2628" s="0" t="s">
        <v>11188</v>
      </c>
      <c r="N2628" s="0" t="str">
        <f aca="false">RIGHT(M2628,LEN(M2628)-FIND(" ",M2628))</f>
        <v>WOODLAND AVE NE</v>
      </c>
      <c r="P2628" s="0" t="s">
        <v>145</v>
      </c>
      <c r="Q2628" s="0" t="s">
        <v>146</v>
      </c>
      <c r="R2628" s="0" t="n">
        <v>44483</v>
      </c>
      <c r="AD2628" s="0" t="s">
        <v>147</v>
      </c>
      <c r="AE2628" s="0" t="s">
        <v>148</v>
      </c>
      <c r="AF2628" s="0" t="s">
        <v>149</v>
      </c>
      <c r="AH2628" s="0" t="n">
        <v>14</v>
      </c>
      <c r="AI2628" s="0" t="n">
        <v>11</v>
      </c>
      <c r="AN2628" s="0" t="s">
        <v>145</v>
      </c>
      <c r="AO2628" s="0" t="s">
        <v>654</v>
      </c>
      <c r="AP2628" s="0" t="s">
        <v>655</v>
      </c>
      <c r="AQ2628" s="0" t="n">
        <v>9</v>
      </c>
      <c r="AR2628" s="0" t="n">
        <v>64</v>
      </c>
      <c r="AS2628" s="0" t="n">
        <v>32</v>
      </c>
      <c r="AU2628" s="0" t="n">
        <f aca="false">COUNTA($BA$1721:$EH$1721)</f>
        <v>3</v>
      </c>
      <c r="AV2628" s="0" t="n">
        <f aca="false">COUNTIF($BA$1721:$EH$1721,"D")</f>
        <v>0</v>
      </c>
      <c r="AW2628" s="0" t="n">
        <f aca="false">COUNTIF($BA$1721:$EH$1721,"R")</f>
        <v>0</v>
      </c>
      <c r="AX2628" s="0" t="n">
        <f aca="false">IF(BN2628="D",1,0)+IF(BO2628="D",1,0)+IF(BT2628="D",1,0)+IF(BU2628="D",1,0)+IF(BW2628="D",1,0)+IF(CC2628="D",1,0)+IF(CD2628="D",1,0)+IF(CE2628="D",1,0)+IF(CF2628="D",1,0)+IF(CL2628="D",1,0)+IF(CM2628="D",1,0)+IF(CQ2628="D",1,0)+IF(CR2628="D",1,0)+IF(CS2628="D",1,0)+IF(CW2628="D",1,0)+IF(CX2628="D",1,0)+IF(DD2628="D",1,0)+IF(DE2628="D",1,0)+IF(DJ2628="D",1,0)+IF(DK2628="D",1,0)+IF(DO2628="D",1,0)+IF(DP2628="D",1,0)+IF(DQ2628="D",1,0)+IF(DW2628="D",1,0)+IF(DZ2628="D",1,0)+IF(EH2628="D",1,0)</f>
        <v>0</v>
      </c>
      <c r="AY2628" s="0" t="n">
        <f aca="false">COUNTIF(DU2628:EH2628, "&lt;&gt;")</f>
        <v>1</v>
      </c>
      <c r="AZ2628" s="0" t="n">
        <f aca="false">IF(EH2628&lt;&gt;"",1,0)</f>
        <v>0</v>
      </c>
      <c r="BB2628" s="0" t="s">
        <v>152</v>
      </c>
      <c r="EF2628" s="0" t="s">
        <v>153</v>
      </c>
    </row>
    <row r="2629" customFormat="false" ht="13.8" hidden="true" customHeight="false" outlineLevel="0" collapsed="false">
      <c r="A2629" s="0" t="s">
        <v>11194</v>
      </c>
      <c r="B2629" s="0" t="n">
        <v>78</v>
      </c>
      <c r="C2629" s="0" t="n">
        <v>298790</v>
      </c>
      <c r="D2629" s="0" t="s">
        <v>11185</v>
      </c>
      <c r="E2629" s="0" t="s">
        <v>1282</v>
      </c>
      <c r="F2629" s="0" t="str">
        <f aca="false">CONCATENATE(D2629," ",LEFT(H2629,4),"T=",AU2629,"D=",AV2629,"R=",AW2629,"M=",AX2629,"L=",AY2629,"B=",AZ2629)</f>
        <v>HOLBROOK T=8D=0R=0M=0L=1B=0</v>
      </c>
      <c r="G2629" s="0" t="s">
        <v>195</v>
      </c>
      <c r="I2629" s="0" t="s">
        <v>8045</v>
      </c>
      <c r="J2629" s="0" t="s">
        <v>8558</v>
      </c>
      <c r="K2629" s="0" t="s">
        <v>160</v>
      </c>
      <c r="M2629" s="0" t="s">
        <v>11188</v>
      </c>
      <c r="N2629" s="0" t="str">
        <f aca="false">RIGHT(M2629,LEN(M2629)-FIND(" ",M2629))</f>
        <v>WOODLAND AVE NE</v>
      </c>
      <c r="P2629" s="0" t="s">
        <v>145</v>
      </c>
      <c r="Q2629" s="0" t="s">
        <v>146</v>
      </c>
      <c r="R2629" s="0" t="n">
        <v>44483</v>
      </c>
      <c r="AD2629" s="0" t="s">
        <v>147</v>
      </c>
      <c r="AE2629" s="0" t="s">
        <v>148</v>
      </c>
      <c r="AF2629" s="0" t="s">
        <v>149</v>
      </c>
      <c r="AH2629" s="0" t="n">
        <v>14</v>
      </c>
      <c r="AI2629" s="0" t="n">
        <v>11</v>
      </c>
      <c r="AN2629" s="0" t="s">
        <v>145</v>
      </c>
      <c r="AO2629" s="0" t="s">
        <v>654</v>
      </c>
      <c r="AP2629" s="0" t="s">
        <v>655</v>
      </c>
      <c r="AQ2629" s="0" t="n">
        <v>9</v>
      </c>
      <c r="AR2629" s="0" t="n">
        <v>64</v>
      </c>
      <c r="AS2629" s="0" t="n">
        <v>32</v>
      </c>
      <c r="AU2629" s="0" t="n">
        <f aca="false">COUNTA($BA$1938:$EH$1938)</f>
        <v>8</v>
      </c>
      <c r="AV2629" s="0" t="n">
        <f aca="false">COUNTIF($BA$1938:$EH$1938,"D")</f>
        <v>0</v>
      </c>
      <c r="AW2629" s="0" t="n">
        <f aca="false">COUNTIF($BA$1938:$EH$1938,"R")</f>
        <v>0</v>
      </c>
      <c r="AX2629" s="0" t="n">
        <f aca="false">IF(BN2629="D",1,0)+IF(BO2629="D",1,0)+IF(BT2629="D",1,0)+IF(BU2629="D",1,0)+IF(BW2629="D",1,0)+IF(CC2629="D",1,0)+IF(CD2629="D",1,0)+IF(CE2629="D",1,0)+IF(CF2629="D",1,0)+IF(CL2629="D",1,0)+IF(CM2629="D",1,0)+IF(CQ2629="D",1,0)+IF(CR2629="D",1,0)+IF(CS2629="D",1,0)+IF(CW2629="D",1,0)+IF(CX2629="D",1,0)+IF(DD2629="D",1,0)+IF(DE2629="D",1,0)+IF(DJ2629="D",1,0)+IF(DK2629="D",1,0)+IF(DO2629="D",1,0)+IF(DP2629="D",1,0)+IF(DQ2629="D",1,0)+IF(DW2629="D",1,0)+IF(DZ2629="D",1,0)+IF(EH2629="D",1,0)</f>
        <v>0</v>
      </c>
      <c r="AY2629" s="0" t="n">
        <f aca="false">COUNTIF(DU2629:EH2629, "&lt;&gt;")</f>
        <v>1</v>
      </c>
      <c r="AZ2629" s="0" t="n">
        <f aca="false">IF(EH2629&lt;&gt;"",1,0)</f>
        <v>0</v>
      </c>
      <c r="BB2629" s="0" t="s">
        <v>152</v>
      </c>
      <c r="BD2629" s="0" t="s">
        <v>153</v>
      </c>
      <c r="BL2629" s="0" t="s">
        <v>153</v>
      </c>
      <c r="BS2629" s="0" t="s">
        <v>153</v>
      </c>
      <c r="CA2629" s="0" t="s">
        <v>153</v>
      </c>
      <c r="CP2629" s="0" t="s">
        <v>153</v>
      </c>
      <c r="DN2629" s="0" t="s">
        <v>153</v>
      </c>
      <c r="EF2629" s="0" t="s">
        <v>153</v>
      </c>
    </row>
    <row r="2630" customFormat="false" ht="13.8" hidden="false" customHeight="false" outlineLevel="0" collapsed="false">
      <c r="A2630" s="0" t="s">
        <v>11195</v>
      </c>
      <c r="B2630" s="0" t="n">
        <v>78</v>
      </c>
      <c r="C2630" s="0" t="n">
        <v>370534</v>
      </c>
      <c r="D2630" s="0" t="s">
        <v>1001</v>
      </c>
      <c r="E2630" s="0" t="s">
        <v>3018</v>
      </c>
      <c r="F2630" s="0" t="str">
        <f aca="false">CONCATENATE(D2630," ",LEFT(H2630,4),"T=",AU2630,"D=",AV2630,"R=",AW2630,"M=",AX2630,"L=",AY2630,"B=",AZ2630)</f>
        <v>DAVIS T=1D=0R=0M=0L=2B=0</v>
      </c>
      <c r="G2630" s="0" t="s">
        <v>164</v>
      </c>
      <c r="I2630" s="0" t="s">
        <v>11196</v>
      </c>
      <c r="J2630" s="0" t="s">
        <v>1641</v>
      </c>
      <c r="K2630" s="0" t="s">
        <v>160</v>
      </c>
      <c r="M2630" s="0" t="s">
        <v>11197</v>
      </c>
      <c r="N2630" s="0" t="str">
        <f aca="false">RIGHT(M2630,LEN(M2630)-FIND(" ",M2630))</f>
        <v>WOODLAND AVE NE</v>
      </c>
      <c r="P2630" s="0" t="s">
        <v>145</v>
      </c>
      <c r="Q2630" s="0" t="s">
        <v>146</v>
      </c>
      <c r="R2630" s="0" t="n">
        <v>44483</v>
      </c>
      <c r="AD2630" s="0" t="s">
        <v>147</v>
      </c>
      <c r="AE2630" s="0" t="s">
        <v>148</v>
      </c>
      <c r="AF2630" s="0" t="s">
        <v>149</v>
      </c>
      <c r="AH2630" s="0" t="n">
        <v>14</v>
      </c>
      <c r="AI2630" s="0" t="n">
        <v>11</v>
      </c>
      <c r="AN2630" s="0" t="s">
        <v>145</v>
      </c>
      <c r="AO2630" s="0" t="s">
        <v>654</v>
      </c>
      <c r="AP2630" s="0" t="s">
        <v>655</v>
      </c>
      <c r="AQ2630" s="0" t="n">
        <v>9</v>
      </c>
      <c r="AR2630" s="0" t="n">
        <v>64</v>
      </c>
      <c r="AS2630" s="0" t="n">
        <v>32</v>
      </c>
      <c r="AU2630" s="0" t="n">
        <f aca="false">COUNTA($BA$1679:$EH$1679)</f>
        <v>1</v>
      </c>
      <c r="AV2630" s="0" t="n">
        <f aca="false">COUNTIF($BA$1679:$EH$1679,"D")</f>
        <v>0</v>
      </c>
      <c r="AW2630" s="0" t="n">
        <f aca="false">COUNTIF($BA$1679:$EH$1679,"R")</f>
        <v>0</v>
      </c>
      <c r="AX2630" s="0" t="n">
        <f aca="false">IF(BN2630="D",1,0)+IF(BO2630="D",1,0)+IF(BT2630="D",1,0)+IF(BU2630="D",1,0)+IF(BW2630="D",1,0)+IF(CC2630="D",1,0)+IF(CD2630="D",1,0)+IF(CE2630="D",1,0)+IF(CF2630="D",1,0)+IF(CL2630="D",1,0)+IF(CM2630="D",1,0)+IF(CQ2630="D",1,0)+IF(CR2630="D",1,0)+IF(CS2630="D",1,0)+IF(CW2630="D",1,0)+IF(CX2630="D",1,0)+IF(DD2630="D",1,0)+IF(DE2630="D",1,0)+IF(DJ2630="D",1,0)+IF(DK2630="D",1,0)+IF(DO2630="D",1,0)+IF(DP2630="D",1,0)+IF(DQ2630="D",1,0)+IF(DW2630="D",1,0)+IF(DZ2630="D",1,0)+IF(EH2630="D",1,0)</f>
        <v>0</v>
      </c>
      <c r="AY2630" s="0" t="n">
        <f aca="false">COUNTIF(DU2630:EH2630, "&lt;&gt;")</f>
        <v>2</v>
      </c>
      <c r="AZ2630" s="0" t="n">
        <f aca="false">IF(EH2630&lt;&gt;"",1,0)</f>
        <v>0</v>
      </c>
      <c r="BB2630" s="0" t="s">
        <v>152</v>
      </c>
      <c r="DC2630" s="0" t="s">
        <v>153</v>
      </c>
      <c r="DI2630" s="0" t="s">
        <v>153</v>
      </c>
      <c r="DN2630" s="0" t="s">
        <v>153</v>
      </c>
      <c r="EA2630" s="0" t="s">
        <v>153</v>
      </c>
      <c r="EF2630" s="0" t="s">
        <v>153</v>
      </c>
    </row>
    <row r="2631" customFormat="false" ht="13.8" hidden="true" customHeight="false" outlineLevel="0" collapsed="false">
      <c r="A2631" s="0" t="s">
        <v>11198</v>
      </c>
      <c r="B2631" s="0" t="n">
        <v>78</v>
      </c>
      <c r="C2631" s="0" t="n">
        <v>343489</v>
      </c>
      <c r="D2631" s="0" t="s">
        <v>1001</v>
      </c>
      <c r="E2631" s="0" t="s">
        <v>11199</v>
      </c>
      <c r="F2631" s="0" t="str">
        <f aca="false">CONCATENATE(D2631," ",LEFT(H2631,4),"T=",AU2631,"D=",AV2631,"R=",AW2631,"M=",AX2631,"L=",AY2631,"B=",AZ2631)</f>
        <v>DAVIS T=3D=0R=0M=0L=0B=0</v>
      </c>
      <c r="I2631" s="0" t="s">
        <v>11200</v>
      </c>
      <c r="J2631" s="0" t="s">
        <v>7778</v>
      </c>
      <c r="K2631" s="0" t="s">
        <v>143</v>
      </c>
      <c r="M2631" s="0" t="s">
        <v>11197</v>
      </c>
      <c r="N2631" s="0" t="str">
        <f aca="false">RIGHT(M2631,LEN(M2631)-FIND(" ",M2631))</f>
        <v>WOODLAND AVE NE</v>
      </c>
      <c r="P2631" s="0" t="s">
        <v>145</v>
      </c>
      <c r="Q2631" s="0" t="s">
        <v>146</v>
      </c>
      <c r="R2631" s="0" t="n">
        <v>44483</v>
      </c>
      <c r="AD2631" s="0" t="s">
        <v>147</v>
      </c>
      <c r="AE2631" s="0" t="s">
        <v>148</v>
      </c>
      <c r="AF2631" s="0" t="s">
        <v>149</v>
      </c>
      <c r="AH2631" s="0" t="n">
        <v>14</v>
      </c>
      <c r="AI2631" s="0" t="n">
        <v>11</v>
      </c>
      <c r="AN2631" s="0" t="s">
        <v>145</v>
      </c>
      <c r="AO2631" s="0" t="s">
        <v>654</v>
      </c>
      <c r="AP2631" s="0" t="s">
        <v>655</v>
      </c>
      <c r="AQ2631" s="0" t="n">
        <v>9</v>
      </c>
      <c r="AR2631" s="0" t="n">
        <v>64</v>
      </c>
      <c r="AS2631" s="0" t="n">
        <v>32</v>
      </c>
      <c r="AU2631" s="0" t="n">
        <f aca="false">COUNTA($BA$1867:$EH$1867)</f>
        <v>3</v>
      </c>
      <c r="AV2631" s="0" t="n">
        <f aca="false">COUNTIF($BA$1867:$EH$1867,"D")</f>
        <v>0</v>
      </c>
      <c r="AW2631" s="0" t="n">
        <f aca="false">COUNTIF($BA$1867:$EH$1867,"R")</f>
        <v>0</v>
      </c>
      <c r="AX2631" s="0" t="n">
        <f aca="false">IF(BN2631="D",1,0)+IF(BO2631="D",1,0)+IF(BT2631="D",1,0)+IF(BU2631="D",1,0)+IF(BW2631="D",1,0)+IF(CC2631="D",1,0)+IF(CD2631="D",1,0)+IF(CE2631="D",1,0)+IF(CF2631="D",1,0)+IF(CL2631="D",1,0)+IF(CM2631="D",1,0)+IF(CQ2631="D",1,0)+IF(CR2631="D",1,0)+IF(CS2631="D",1,0)+IF(CW2631="D",1,0)+IF(CX2631="D",1,0)+IF(DD2631="D",1,0)+IF(DE2631="D",1,0)+IF(DJ2631="D",1,0)+IF(DK2631="D",1,0)+IF(DO2631="D",1,0)+IF(DP2631="D",1,0)+IF(DQ2631="D",1,0)+IF(DW2631="D",1,0)+IF(DZ2631="D",1,0)+IF(EH2631="D",1,0)</f>
        <v>0</v>
      </c>
      <c r="AY2631" s="0" t="n">
        <f aca="false">COUNTIF(DU2631:EH2631, "&lt;&gt;")</f>
        <v>0</v>
      </c>
      <c r="AZ2631" s="0" t="n">
        <f aca="false">IF(EH2631&lt;&gt;"",1,0)</f>
        <v>0</v>
      </c>
      <c r="BB2631" s="0" t="s">
        <v>152</v>
      </c>
      <c r="CZ2631" s="0" t="s">
        <v>175</v>
      </c>
      <c r="DC2631" s="0" t="s">
        <v>153</v>
      </c>
      <c r="DI2631" s="0" t="s">
        <v>153</v>
      </c>
    </row>
    <row r="2632" customFormat="false" ht="13.8" hidden="false" customHeight="false" outlineLevel="0" collapsed="false">
      <c r="A2632" s="0" t="s">
        <v>11201</v>
      </c>
      <c r="B2632" s="0" t="n">
        <v>78</v>
      </c>
      <c r="C2632" s="0" t="n">
        <v>320194</v>
      </c>
      <c r="D2632" s="0" t="s">
        <v>11202</v>
      </c>
      <c r="E2632" s="0" t="s">
        <v>5836</v>
      </c>
      <c r="F2632" s="0" t="str">
        <f aca="false">CONCATENATE(D2632," ",LEFT(H2632,4),"T=",AU2632,"D=",AV2632,"R=",AW2632,"M=",AX2632,"L=",AY2632,"B=",AZ2632)</f>
        <v>LEEWORTHY T=27D=8R=0M=0L=2B=0</v>
      </c>
      <c r="G2632" s="0" t="s">
        <v>255</v>
      </c>
      <c r="I2632" s="0" t="s">
        <v>11203</v>
      </c>
      <c r="J2632" s="0" t="s">
        <v>1324</v>
      </c>
      <c r="K2632" s="0" t="s">
        <v>160</v>
      </c>
      <c r="M2632" s="0" t="s">
        <v>11204</v>
      </c>
      <c r="N2632" s="0" t="str">
        <f aca="false">RIGHT(M2632,LEN(M2632)-FIND(" ",M2632))</f>
        <v>WOODLAND AVE NE</v>
      </c>
      <c r="P2632" s="0" t="s">
        <v>145</v>
      </c>
      <c r="Q2632" s="0" t="s">
        <v>146</v>
      </c>
      <c r="R2632" s="0" t="n">
        <v>44483</v>
      </c>
      <c r="AD2632" s="0" t="s">
        <v>147</v>
      </c>
      <c r="AE2632" s="0" t="s">
        <v>148</v>
      </c>
      <c r="AF2632" s="0" t="s">
        <v>149</v>
      </c>
      <c r="AH2632" s="0" t="n">
        <v>14</v>
      </c>
      <c r="AI2632" s="0" t="n">
        <v>11</v>
      </c>
      <c r="AN2632" s="0" t="s">
        <v>145</v>
      </c>
      <c r="AO2632" s="0" t="s">
        <v>654</v>
      </c>
      <c r="AP2632" s="0" t="s">
        <v>655</v>
      </c>
      <c r="AQ2632" s="0" t="n">
        <v>9</v>
      </c>
      <c r="AR2632" s="0" t="n">
        <v>64</v>
      </c>
      <c r="AS2632" s="0" t="n">
        <v>32</v>
      </c>
      <c r="AU2632" s="0" t="n">
        <f aca="false">COUNTA($BA$1934:$EH$1934)</f>
        <v>27</v>
      </c>
      <c r="AV2632" s="0" t="n">
        <f aca="false">COUNTIF($BA$1934:$EH$1934,"D")</f>
        <v>8</v>
      </c>
      <c r="AW2632" s="0" t="n">
        <f aca="false">COUNTIF($BA$1934:$EH$1934,"R")</f>
        <v>0</v>
      </c>
      <c r="AX2632" s="0" t="n">
        <f aca="false">IF(BN2632="D",1,0)+IF(BO2632="D",1,0)+IF(BT2632="D",1,0)+IF(BU2632="D",1,0)+IF(BW2632="D",1,0)+IF(CC2632="D",1,0)+IF(CD2632="D",1,0)+IF(CE2632="D",1,0)+IF(CF2632="D",1,0)+IF(CL2632="D",1,0)+IF(CM2632="D",1,0)+IF(CQ2632="D",1,0)+IF(CR2632="D",1,0)+IF(CS2632="D",1,0)+IF(CW2632="D",1,0)+IF(CX2632="D",1,0)+IF(DD2632="D",1,0)+IF(DE2632="D",1,0)+IF(DJ2632="D",1,0)+IF(DK2632="D",1,0)+IF(DO2632="D",1,0)+IF(DP2632="D",1,0)+IF(DQ2632="D",1,0)+IF(DW2632="D",1,0)+IF(DZ2632="D",1,0)+IF(EH2632="D",1,0)</f>
        <v>0</v>
      </c>
      <c r="AY2632" s="0" t="n">
        <f aca="false">COUNTIF(DU2632:EH2632, "&lt;&gt;")</f>
        <v>2</v>
      </c>
      <c r="AZ2632" s="0" t="n">
        <f aca="false">IF(EH2632&lt;&gt;"",1,0)</f>
        <v>0</v>
      </c>
      <c r="BB2632" s="0" t="s">
        <v>152</v>
      </c>
      <c r="BL2632" s="0" t="s">
        <v>153</v>
      </c>
      <c r="CA2632" s="0" t="s">
        <v>153</v>
      </c>
      <c r="CP2632" s="0" t="s">
        <v>153</v>
      </c>
      <c r="DC2632" s="0" t="s">
        <v>153</v>
      </c>
      <c r="DI2632" s="0" t="s">
        <v>153</v>
      </c>
      <c r="DN2632" s="0" t="s">
        <v>153</v>
      </c>
      <c r="EA2632" s="0" t="s">
        <v>153</v>
      </c>
      <c r="EF2632" s="0" t="s">
        <v>153</v>
      </c>
    </row>
    <row r="2633" customFormat="false" ht="13.8" hidden="false" customHeight="false" outlineLevel="0" collapsed="false">
      <c r="A2633" s="0" t="s">
        <v>11205</v>
      </c>
      <c r="B2633" s="0" t="n">
        <v>78</v>
      </c>
      <c r="C2633" s="0" t="n">
        <v>325721</v>
      </c>
      <c r="D2633" s="0" t="s">
        <v>11202</v>
      </c>
      <c r="E2633" s="0" t="s">
        <v>621</v>
      </c>
      <c r="F2633" s="0" t="str">
        <f aca="false">CONCATENATE(D2633," ",LEFT(H2633,4),"T=",AU2633,"D=",AV2633,"R=",AW2633,"M=",AX2633,"L=",AY2633,"B=",AZ2633)</f>
        <v>LEEWORTHY IIT=1D=0R=0M=0L=2B=0</v>
      </c>
      <c r="G2633" s="0" t="s">
        <v>600</v>
      </c>
      <c r="H2633" s="0" t="s">
        <v>476</v>
      </c>
      <c r="I2633" s="0" t="s">
        <v>11206</v>
      </c>
      <c r="J2633" s="0" t="s">
        <v>1324</v>
      </c>
      <c r="K2633" s="0" t="s">
        <v>160</v>
      </c>
      <c r="M2633" s="0" t="s">
        <v>11204</v>
      </c>
      <c r="N2633" s="0" t="str">
        <f aca="false">RIGHT(M2633,LEN(M2633)-FIND(" ",M2633))</f>
        <v>WOODLAND AVE NE</v>
      </c>
      <c r="P2633" s="0" t="s">
        <v>145</v>
      </c>
      <c r="Q2633" s="0" t="s">
        <v>146</v>
      </c>
      <c r="R2633" s="0" t="n">
        <v>44483</v>
      </c>
      <c r="AD2633" s="0" t="s">
        <v>147</v>
      </c>
      <c r="AE2633" s="0" t="s">
        <v>148</v>
      </c>
      <c r="AF2633" s="0" t="s">
        <v>149</v>
      </c>
      <c r="AH2633" s="0" t="n">
        <v>14</v>
      </c>
      <c r="AI2633" s="0" t="n">
        <v>11</v>
      </c>
      <c r="AN2633" s="0" t="s">
        <v>145</v>
      </c>
      <c r="AO2633" s="0" t="s">
        <v>654</v>
      </c>
      <c r="AP2633" s="0" t="s">
        <v>655</v>
      </c>
      <c r="AQ2633" s="0" t="n">
        <v>9</v>
      </c>
      <c r="AR2633" s="0" t="n">
        <v>64</v>
      </c>
      <c r="AS2633" s="0" t="n">
        <v>32</v>
      </c>
      <c r="AU2633" s="0" t="n">
        <f aca="false">COUNTA($BA$1935:$EH$1935)</f>
        <v>1</v>
      </c>
      <c r="AV2633" s="0" t="n">
        <f aca="false">COUNTIF($BA$1935:$EH$1935,"D")</f>
        <v>0</v>
      </c>
      <c r="AW2633" s="0" t="n">
        <f aca="false">COUNTIF($BA$1935:$EH$1935,"R")</f>
        <v>0</v>
      </c>
      <c r="AX2633" s="0" t="n">
        <f aca="false">IF(BN2633="D",1,0)+IF(BO2633="D",1,0)+IF(BT2633="D",1,0)+IF(BU2633="D",1,0)+IF(BW2633="D",1,0)+IF(CC2633="D",1,0)+IF(CD2633="D",1,0)+IF(CE2633="D",1,0)+IF(CF2633="D",1,0)+IF(CL2633="D",1,0)+IF(CM2633="D",1,0)+IF(CQ2633="D",1,0)+IF(CR2633="D",1,0)+IF(CS2633="D",1,0)+IF(CW2633="D",1,0)+IF(CX2633="D",1,0)+IF(DD2633="D",1,0)+IF(DE2633="D",1,0)+IF(DJ2633="D",1,0)+IF(DK2633="D",1,0)+IF(DO2633="D",1,0)+IF(DP2633="D",1,0)+IF(DQ2633="D",1,0)+IF(DW2633="D",1,0)+IF(DZ2633="D",1,0)+IF(EH2633="D",1,0)</f>
        <v>0</v>
      </c>
      <c r="AY2633" s="0" t="n">
        <f aca="false">COUNTIF(DU2633:EH2633, "&lt;&gt;")</f>
        <v>2</v>
      </c>
      <c r="AZ2633" s="0" t="n">
        <f aca="false">IF(EH2633&lt;&gt;"",1,0)</f>
        <v>0</v>
      </c>
      <c r="BB2633" s="0" t="s">
        <v>152</v>
      </c>
      <c r="BL2633" s="0" t="s">
        <v>153</v>
      </c>
      <c r="BR2633" s="0" t="s">
        <v>153</v>
      </c>
      <c r="CA2633" s="0" t="s">
        <v>153</v>
      </c>
      <c r="CP2633" s="0" t="s">
        <v>153</v>
      </c>
      <c r="DC2633" s="0" t="s">
        <v>153</v>
      </c>
      <c r="DI2633" s="0" t="s">
        <v>153</v>
      </c>
      <c r="DN2633" s="0" t="s">
        <v>153</v>
      </c>
      <c r="EA2633" s="0" t="s">
        <v>153</v>
      </c>
      <c r="EF2633" s="0" t="s">
        <v>153</v>
      </c>
    </row>
    <row r="2634" customFormat="false" ht="13.8" hidden="true" customHeight="false" outlineLevel="0" collapsed="false">
      <c r="A2634" s="0" t="s">
        <v>11207</v>
      </c>
      <c r="B2634" s="0" t="n">
        <v>78</v>
      </c>
      <c r="C2634" s="0" t="n">
        <v>460819</v>
      </c>
      <c r="D2634" s="0" t="s">
        <v>9280</v>
      </c>
      <c r="E2634" s="0" t="s">
        <v>379</v>
      </c>
      <c r="F2634" s="0" t="str">
        <f aca="false">CONCATENATE(D2634," ",LEFT(H2634,4),"T=",AU2634,"D=",AV2634,"R=",AW2634,"M=",AX2634,"L=",AY2634,"B=",AZ2634)</f>
        <v>DUKES JRT=1D=0R=0M=0L=0B=0</v>
      </c>
      <c r="G2634" s="0" t="s">
        <v>3536</v>
      </c>
      <c r="H2634" s="0" t="s">
        <v>314</v>
      </c>
      <c r="I2634" s="0" t="s">
        <v>11208</v>
      </c>
      <c r="J2634" s="0" t="s">
        <v>11209</v>
      </c>
      <c r="K2634" s="0" t="s">
        <v>160</v>
      </c>
      <c r="M2634" s="0" t="s">
        <v>11210</v>
      </c>
      <c r="N2634" s="0" t="str">
        <f aca="false">RIGHT(M2634,LEN(M2634)-FIND(" ",M2634))</f>
        <v>WOODLAND AVE NE</v>
      </c>
      <c r="P2634" s="0" t="s">
        <v>145</v>
      </c>
      <c r="Q2634" s="0" t="s">
        <v>146</v>
      </c>
      <c r="R2634" s="0" t="n">
        <v>44483</v>
      </c>
      <c r="AD2634" s="0" t="s">
        <v>147</v>
      </c>
      <c r="AE2634" s="0" t="s">
        <v>148</v>
      </c>
      <c r="AF2634" s="0" t="s">
        <v>149</v>
      </c>
      <c r="AH2634" s="0" t="n">
        <v>14</v>
      </c>
      <c r="AI2634" s="0" t="n">
        <v>11</v>
      </c>
      <c r="AN2634" s="0" t="s">
        <v>145</v>
      </c>
      <c r="AO2634" s="0" t="s">
        <v>654</v>
      </c>
      <c r="AP2634" s="0" t="s">
        <v>655</v>
      </c>
      <c r="AQ2634" s="0" t="n">
        <v>9</v>
      </c>
      <c r="AR2634" s="0" t="n">
        <v>64</v>
      </c>
      <c r="AS2634" s="0" t="n">
        <v>32</v>
      </c>
      <c r="AU2634" s="0" t="n">
        <f aca="false">COUNTA($BA$1339:$EH$1339)</f>
        <v>1</v>
      </c>
      <c r="AV2634" s="0" t="n">
        <f aca="false">COUNTIF($BA$1339:$EH$1339,"D")</f>
        <v>0</v>
      </c>
      <c r="AW2634" s="0" t="n">
        <f aca="false">COUNTIF($BA$1339:$EH$1339,"R")</f>
        <v>0</v>
      </c>
      <c r="AX2634" s="0" t="n">
        <f aca="false">IF(BN2634="D",1,0)+IF(BO2634="D",1,0)+IF(BT2634="D",1,0)+IF(BU2634="D",1,0)+IF(BW2634="D",1,0)+IF(CC2634="D",1,0)+IF(CD2634="D",1,0)+IF(CE2634="D",1,0)+IF(CF2634="D",1,0)+IF(CL2634="D",1,0)+IF(CM2634="D",1,0)+IF(CQ2634="D",1,0)+IF(CR2634="D",1,0)+IF(CS2634="D",1,0)+IF(CW2634="D",1,0)+IF(CX2634="D",1,0)+IF(DD2634="D",1,0)+IF(DE2634="D",1,0)+IF(DJ2634="D",1,0)+IF(DK2634="D",1,0)+IF(DO2634="D",1,0)+IF(DP2634="D",1,0)+IF(DQ2634="D",1,0)+IF(DW2634="D",1,0)+IF(DZ2634="D",1,0)+IF(EH2634="D",1,0)</f>
        <v>0</v>
      </c>
      <c r="AY2634" s="0" t="n">
        <f aca="false">COUNTIF(DU2634:EH2634, "&lt;&gt;")</f>
        <v>0</v>
      </c>
      <c r="AZ2634" s="0" t="n">
        <f aca="false">IF(EH2634&lt;&gt;"",1,0)</f>
        <v>0</v>
      </c>
      <c r="BB2634" s="0" t="s">
        <v>152</v>
      </c>
    </row>
    <row r="2635" customFormat="false" ht="13.8" hidden="true" customHeight="false" outlineLevel="0" collapsed="false">
      <c r="A2635" s="0" t="s">
        <v>11211</v>
      </c>
      <c r="B2635" s="0" t="n">
        <v>78</v>
      </c>
      <c r="C2635" s="0" t="n">
        <v>478365</v>
      </c>
      <c r="D2635" s="0" t="s">
        <v>11212</v>
      </c>
      <c r="E2635" s="0" t="s">
        <v>3955</v>
      </c>
      <c r="F2635" s="0" t="str">
        <f aca="false">CONCATENATE(D2635," ",LEFT(H2635,4),"T=",AU2635,"D=",AV2635,"R=",AW2635,"M=",AX2635,"L=",AY2635,"B=",AZ2635)</f>
        <v>RUSHNOK T=1D=0R=0M=0L=0B=0</v>
      </c>
      <c r="G2635" s="0" t="s">
        <v>11213</v>
      </c>
      <c r="I2635" s="0" t="s">
        <v>11214</v>
      </c>
      <c r="J2635" s="0" t="s">
        <v>11215</v>
      </c>
      <c r="K2635" s="0" t="s">
        <v>160</v>
      </c>
      <c r="M2635" s="0" t="s">
        <v>11210</v>
      </c>
      <c r="N2635" s="0" t="str">
        <f aca="false">RIGHT(M2635,LEN(M2635)-FIND(" ",M2635))</f>
        <v>WOODLAND AVE NE</v>
      </c>
      <c r="P2635" s="0" t="s">
        <v>145</v>
      </c>
      <c r="Q2635" s="0" t="s">
        <v>146</v>
      </c>
      <c r="R2635" s="0" t="n">
        <v>44483</v>
      </c>
      <c r="AD2635" s="0" t="s">
        <v>147</v>
      </c>
      <c r="AE2635" s="0" t="s">
        <v>148</v>
      </c>
      <c r="AF2635" s="0" t="s">
        <v>149</v>
      </c>
      <c r="AH2635" s="0" t="n">
        <v>14</v>
      </c>
      <c r="AI2635" s="0" t="n">
        <v>11</v>
      </c>
      <c r="AN2635" s="0" t="s">
        <v>145</v>
      </c>
      <c r="AO2635" s="0" t="s">
        <v>654</v>
      </c>
      <c r="AP2635" s="0" t="s">
        <v>655</v>
      </c>
      <c r="AQ2635" s="0" t="n">
        <v>9</v>
      </c>
      <c r="AR2635" s="0" t="n">
        <v>64</v>
      </c>
      <c r="AS2635" s="0" t="n">
        <v>32</v>
      </c>
      <c r="AU2635" s="0" t="n">
        <f aca="false">COUNTA($BA$1353:$EH$1353)</f>
        <v>1</v>
      </c>
      <c r="AV2635" s="0" t="n">
        <f aca="false">COUNTIF($BA$1353:$EH$1353,"D")</f>
        <v>0</v>
      </c>
      <c r="AW2635" s="0" t="n">
        <f aca="false">COUNTIF($BA$1353:$EH$1353,"R")</f>
        <v>0</v>
      </c>
      <c r="AX2635" s="0" t="n">
        <f aca="false">IF(BN2635="D",1,0)+IF(BO2635="D",1,0)+IF(BT2635="D",1,0)+IF(BU2635="D",1,0)+IF(BW2635="D",1,0)+IF(CC2635="D",1,0)+IF(CD2635="D",1,0)+IF(CE2635="D",1,0)+IF(CF2635="D",1,0)+IF(CL2635="D",1,0)+IF(CM2635="D",1,0)+IF(CQ2635="D",1,0)+IF(CR2635="D",1,0)+IF(CS2635="D",1,0)+IF(CW2635="D",1,0)+IF(CX2635="D",1,0)+IF(DD2635="D",1,0)+IF(DE2635="D",1,0)+IF(DJ2635="D",1,0)+IF(DK2635="D",1,0)+IF(DO2635="D",1,0)+IF(DP2635="D",1,0)+IF(DQ2635="D",1,0)+IF(DW2635="D",1,0)+IF(DZ2635="D",1,0)+IF(EH2635="D",1,0)</f>
        <v>0</v>
      </c>
      <c r="AY2635" s="0" t="n">
        <f aca="false">COUNTIF(DU2635:EH2635, "&lt;&gt;")</f>
        <v>0</v>
      </c>
      <c r="AZ2635" s="0" t="n">
        <f aca="false">IF(EH2635&lt;&gt;"",1,0)</f>
        <v>0</v>
      </c>
      <c r="BB2635" s="0" t="s">
        <v>152</v>
      </c>
    </row>
    <row r="2636" customFormat="false" ht="13.8" hidden="true" customHeight="false" outlineLevel="0" collapsed="false">
      <c r="A2636" s="0" t="s">
        <v>11216</v>
      </c>
      <c r="B2636" s="0" t="n">
        <v>78</v>
      </c>
      <c r="C2636" s="0" t="n">
        <v>463747</v>
      </c>
      <c r="D2636" s="0" t="s">
        <v>9280</v>
      </c>
      <c r="E2636" s="0" t="s">
        <v>1300</v>
      </c>
      <c r="F2636" s="0" t="str">
        <f aca="false">CONCATENATE(D2636," ",LEFT(H2636,4),"T=",AU2636,"D=",AV2636,"R=",AW2636,"M=",AX2636,"L=",AY2636,"B=",AZ2636)</f>
        <v>DUKES T=5D=0R=0M=0L=1B=0</v>
      </c>
      <c r="I2636" s="0" t="s">
        <v>11217</v>
      </c>
      <c r="J2636" s="0" t="s">
        <v>1250</v>
      </c>
      <c r="K2636" s="0" t="s">
        <v>160</v>
      </c>
      <c r="M2636" s="0" t="s">
        <v>11210</v>
      </c>
      <c r="N2636" s="0" t="str">
        <f aca="false">RIGHT(M2636,LEN(M2636)-FIND(" ",M2636))</f>
        <v>WOODLAND AVE NE</v>
      </c>
      <c r="P2636" s="0" t="s">
        <v>145</v>
      </c>
      <c r="Q2636" s="0" t="s">
        <v>146</v>
      </c>
      <c r="R2636" s="0" t="n">
        <v>44483</v>
      </c>
      <c r="AD2636" s="0" t="s">
        <v>147</v>
      </c>
      <c r="AE2636" s="0" t="s">
        <v>148</v>
      </c>
      <c r="AF2636" s="0" t="s">
        <v>149</v>
      </c>
      <c r="AH2636" s="0" t="n">
        <v>14</v>
      </c>
      <c r="AI2636" s="0" t="n">
        <v>11</v>
      </c>
      <c r="AN2636" s="0" t="s">
        <v>145</v>
      </c>
      <c r="AO2636" s="0" t="s">
        <v>654</v>
      </c>
      <c r="AP2636" s="0" t="s">
        <v>655</v>
      </c>
      <c r="AQ2636" s="0" t="n">
        <v>9</v>
      </c>
      <c r="AR2636" s="0" t="n">
        <v>64</v>
      </c>
      <c r="AS2636" s="0" t="n">
        <v>32</v>
      </c>
      <c r="AU2636" s="0" t="n">
        <f aca="false">COUNTA($BA$1526:$EH$1526)</f>
        <v>5</v>
      </c>
      <c r="AV2636" s="0" t="n">
        <f aca="false">COUNTIF($BA$1526:$EH$1526,"D")</f>
        <v>0</v>
      </c>
      <c r="AW2636" s="0" t="n">
        <f aca="false">COUNTIF($BA$1526:$EH$1526,"R")</f>
        <v>0</v>
      </c>
      <c r="AX2636" s="0" t="n">
        <f aca="false">IF(BN2636="D",1,0)+IF(BO2636="D",1,0)+IF(BT2636="D",1,0)+IF(BU2636="D",1,0)+IF(BW2636="D",1,0)+IF(CC2636="D",1,0)+IF(CD2636="D",1,0)+IF(CE2636="D",1,0)+IF(CF2636="D",1,0)+IF(CL2636="D",1,0)+IF(CM2636="D",1,0)+IF(CQ2636="D",1,0)+IF(CR2636="D",1,0)+IF(CS2636="D",1,0)+IF(CW2636="D",1,0)+IF(CX2636="D",1,0)+IF(DD2636="D",1,0)+IF(DE2636="D",1,0)+IF(DJ2636="D",1,0)+IF(DK2636="D",1,0)+IF(DO2636="D",1,0)+IF(DP2636="D",1,0)+IF(DQ2636="D",1,0)+IF(DW2636="D",1,0)+IF(DZ2636="D",1,0)+IF(EH2636="D",1,0)</f>
        <v>0</v>
      </c>
      <c r="AY2636" s="0" t="n">
        <f aca="false">COUNTIF(DU2636:EH2636, "&lt;&gt;")</f>
        <v>1</v>
      </c>
      <c r="AZ2636" s="0" t="n">
        <f aca="false">IF(EH2636&lt;&gt;"",1,0)</f>
        <v>0</v>
      </c>
      <c r="BB2636" s="0" t="s">
        <v>152</v>
      </c>
      <c r="EF2636" s="0" t="s">
        <v>153</v>
      </c>
    </row>
    <row r="2637" customFormat="false" ht="13.8" hidden="true" customHeight="false" outlineLevel="0" collapsed="false">
      <c r="A2637" s="0" t="s">
        <v>11218</v>
      </c>
      <c r="B2637" s="0" t="n">
        <v>78</v>
      </c>
      <c r="C2637" s="0" t="n">
        <v>444962</v>
      </c>
      <c r="D2637" s="0" t="s">
        <v>9280</v>
      </c>
      <c r="E2637" s="0" t="s">
        <v>958</v>
      </c>
      <c r="F2637" s="0" t="str">
        <f aca="false">CONCATENATE(D2637," ",LEFT(H2637,4),"T=",AU2637,"D=",AV2637,"R=",AW2637,"M=",AX2637,"L=",AY2637,"B=",AZ2637)</f>
        <v>DUKES T=1D=0R=0M=0L=1B=0</v>
      </c>
      <c r="I2637" s="0" t="s">
        <v>11217</v>
      </c>
      <c r="J2637" s="0" t="s">
        <v>404</v>
      </c>
      <c r="K2637" s="0" t="s">
        <v>160</v>
      </c>
      <c r="M2637" s="0" t="s">
        <v>11210</v>
      </c>
      <c r="N2637" s="0" t="str">
        <f aca="false">RIGHT(M2637,LEN(M2637)-FIND(" ",M2637))</f>
        <v>WOODLAND AVE NE</v>
      </c>
      <c r="P2637" s="0" t="s">
        <v>145</v>
      </c>
      <c r="Q2637" s="0" t="s">
        <v>146</v>
      </c>
      <c r="R2637" s="0" t="n">
        <v>44483</v>
      </c>
      <c r="AD2637" s="0" t="s">
        <v>147</v>
      </c>
      <c r="AE2637" s="0" t="s">
        <v>148</v>
      </c>
      <c r="AF2637" s="0" t="s">
        <v>149</v>
      </c>
      <c r="AH2637" s="0" t="n">
        <v>14</v>
      </c>
      <c r="AI2637" s="0" t="n">
        <v>11</v>
      </c>
      <c r="AN2637" s="0" t="s">
        <v>145</v>
      </c>
      <c r="AO2637" s="0" t="s">
        <v>654</v>
      </c>
      <c r="AP2637" s="0" t="s">
        <v>655</v>
      </c>
      <c r="AQ2637" s="0" t="n">
        <v>9</v>
      </c>
      <c r="AR2637" s="0" t="n">
        <v>64</v>
      </c>
      <c r="AS2637" s="0" t="n">
        <v>32</v>
      </c>
      <c r="AU2637" s="0" t="n">
        <f aca="false">COUNTA($BA$1533:$EH$1533)</f>
        <v>1</v>
      </c>
      <c r="AV2637" s="0" t="n">
        <f aca="false">COUNTIF($BA$1533:$EH$1533,"D")</f>
        <v>0</v>
      </c>
      <c r="AW2637" s="0" t="n">
        <f aca="false">COUNTIF($BA$1533:$EH$1533,"R")</f>
        <v>0</v>
      </c>
      <c r="AX2637" s="0" t="n">
        <f aca="false">IF(BN2637="D",1,0)+IF(BO2637="D",1,0)+IF(BT2637="D",1,0)+IF(BU2637="D",1,0)+IF(BW2637="D",1,0)+IF(CC2637="D",1,0)+IF(CD2637="D",1,0)+IF(CE2637="D",1,0)+IF(CF2637="D",1,0)+IF(CL2637="D",1,0)+IF(CM2637="D",1,0)+IF(CQ2637="D",1,0)+IF(CR2637="D",1,0)+IF(CS2637="D",1,0)+IF(CW2637="D",1,0)+IF(CX2637="D",1,0)+IF(DD2637="D",1,0)+IF(DE2637="D",1,0)+IF(DJ2637="D",1,0)+IF(DK2637="D",1,0)+IF(DO2637="D",1,0)+IF(DP2637="D",1,0)+IF(DQ2637="D",1,0)+IF(DW2637="D",1,0)+IF(DZ2637="D",1,0)+IF(EH2637="D",1,0)</f>
        <v>0</v>
      </c>
      <c r="AY2637" s="0" t="n">
        <f aca="false">COUNTIF(DU2637:EH2637, "&lt;&gt;")</f>
        <v>1</v>
      </c>
      <c r="AZ2637" s="0" t="n">
        <f aca="false">IF(EH2637&lt;&gt;"",1,0)</f>
        <v>0</v>
      </c>
      <c r="BB2637" s="0" t="s">
        <v>152</v>
      </c>
      <c r="DN2637" s="0" t="s">
        <v>153</v>
      </c>
      <c r="EF2637" s="0" t="s">
        <v>153</v>
      </c>
    </row>
    <row r="2638" customFormat="false" ht="13.8" hidden="true" customHeight="false" outlineLevel="0" collapsed="false">
      <c r="A2638" s="0" t="s">
        <v>11219</v>
      </c>
      <c r="B2638" s="0" t="n">
        <v>78</v>
      </c>
      <c r="C2638" s="0" t="n">
        <v>481177</v>
      </c>
      <c r="D2638" s="0" t="s">
        <v>2207</v>
      </c>
      <c r="E2638" s="0" t="s">
        <v>201</v>
      </c>
      <c r="F2638" s="0" t="str">
        <f aca="false">CONCATENATE(D2638," ",LEFT(H2638,4),"T=",AU2638,"D=",AV2638,"R=",AW2638,"M=",AX2638,"L=",AY2638,"B=",AZ2638)</f>
        <v>CARMEN T=5D=0R=0M=0L=0B=0</v>
      </c>
      <c r="G2638" s="0" t="s">
        <v>175</v>
      </c>
      <c r="I2638" s="0" t="s">
        <v>11220</v>
      </c>
      <c r="J2638" s="0" t="s">
        <v>11215</v>
      </c>
      <c r="K2638" s="0" t="s">
        <v>143</v>
      </c>
      <c r="M2638" s="0" t="s">
        <v>11210</v>
      </c>
      <c r="N2638" s="0" t="str">
        <f aca="false">RIGHT(M2638,LEN(M2638)-FIND(" ",M2638))</f>
        <v>WOODLAND AVE NE</v>
      </c>
      <c r="P2638" s="0" t="s">
        <v>145</v>
      </c>
      <c r="Q2638" s="0" t="s">
        <v>146</v>
      </c>
      <c r="R2638" s="0" t="n">
        <v>44483</v>
      </c>
      <c r="AD2638" s="0" t="s">
        <v>147</v>
      </c>
      <c r="AE2638" s="0" t="s">
        <v>148</v>
      </c>
      <c r="AF2638" s="0" t="s">
        <v>149</v>
      </c>
      <c r="AH2638" s="0" t="n">
        <v>14</v>
      </c>
      <c r="AI2638" s="0" t="n">
        <v>11</v>
      </c>
      <c r="AN2638" s="0" t="s">
        <v>145</v>
      </c>
      <c r="AO2638" s="0" t="s">
        <v>654</v>
      </c>
      <c r="AP2638" s="0" t="s">
        <v>655</v>
      </c>
      <c r="AQ2638" s="0" t="n">
        <v>9</v>
      </c>
      <c r="AR2638" s="0" t="n">
        <v>64</v>
      </c>
      <c r="AS2638" s="0" t="n">
        <v>32</v>
      </c>
      <c r="AU2638" s="0" t="n">
        <f aca="false">COUNTA($BA$1832:$EH$1832)</f>
        <v>5</v>
      </c>
      <c r="AV2638" s="0" t="n">
        <f aca="false">COUNTIF($BA$1832:$EH$1832,"D")</f>
        <v>0</v>
      </c>
      <c r="AW2638" s="0" t="n">
        <f aca="false">COUNTIF($BA$1832:$EH$1832,"R")</f>
        <v>0</v>
      </c>
      <c r="AX2638" s="0" t="n">
        <f aca="false">IF(BN2638="D",1,0)+IF(BO2638="D",1,0)+IF(BT2638="D",1,0)+IF(BU2638="D",1,0)+IF(BW2638="D",1,0)+IF(CC2638="D",1,0)+IF(CD2638="D",1,0)+IF(CE2638="D",1,0)+IF(CF2638="D",1,0)+IF(CL2638="D",1,0)+IF(CM2638="D",1,0)+IF(CQ2638="D",1,0)+IF(CR2638="D",1,0)+IF(CS2638="D",1,0)+IF(CW2638="D",1,0)+IF(CX2638="D",1,0)+IF(DD2638="D",1,0)+IF(DE2638="D",1,0)+IF(DJ2638="D",1,0)+IF(DK2638="D",1,0)+IF(DO2638="D",1,0)+IF(DP2638="D",1,0)+IF(DQ2638="D",1,0)+IF(DW2638="D",1,0)+IF(DZ2638="D",1,0)+IF(EH2638="D",1,0)</f>
        <v>0</v>
      </c>
      <c r="AY2638" s="0" t="n">
        <f aca="false">COUNTIF(DU2638:EH2638, "&lt;&gt;")</f>
        <v>0</v>
      </c>
      <c r="AZ2638" s="0" t="n">
        <f aca="false">IF(EH2638&lt;&gt;"",1,0)</f>
        <v>0</v>
      </c>
      <c r="BB2638" s="0" t="s">
        <v>152</v>
      </c>
    </row>
    <row r="2639" customFormat="false" ht="13.8" hidden="true" customHeight="false" outlineLevel="0" collapsed="false">
      <c r="A2639" s="0" t="s">
        <v>11221</v>
      </c>
      <c r="B2639" s="0" t="n">
        <v>78</v>
      </c>
      <c r="C2639" s="0" t="n">
        <v>496057</v>
      </c>
      <c r="D2639" s="0" t="s">
        <v>636</v>
      </c>
      <c r="E2639" s="0" t="s">
        <v>7003</v>
      </c>
      <c r="F2639" s="0" t="str">
        <f aca="false">CONCATENATE(D2639," ",LEFT(H2639,4),"T=",AU2639,"D=",AV2639,"R=",AW2639,"M=",AX2639,"L=",AY2639,"B=",AZ2639)</f>
        <v>ADAMS JRT=1D=0R=0M=0L=0B=0</v>
      </c>
      <c r="G2639" s="0" t="s">
        <v>11222</v>
      </c>
      <c r="H2639" s="0" t="s">
        <v>314</v>
      </c>
      <c r="I2639" s="0" t="s">
        <v>11223</v>
      </c>
      <c r="J2639" s="0" t="s">
        <v>8538</v>
      </c>
      <c r="K2639" s="0" t="s">
        <v>160</v>
      </c>
      <c r="M2639" s="0" t="s">
        <v>11224</v>
      </c>
      <c r="N2639" s="0" t="str">
        <f aca="false">RIGHT(M2639,LEN(M2639)-FIND(" ",M2639))</f>
        <v>WOODLAND AVE NE</v>
      </c>
      <c r="P2639" s="0" t="s">
        <v>145</v>
      </c>
      <c r="Q2639" s="0" t="s">
        <v>146</v>
      </c>
      <c r="R2639" s="0" t="n">
        <v>44483</v>
      </c>
      <c r="AD2639" s="0" t="s">
        <v>147</v>
      </c>
      <c r="AE2639" s="0" t="s">
        <v>148</v>
      </c>
      <c r="AF2639" s="0" t="s">
        <v>149</v>
      </c>
      <c r="AH2639" s="0" t="n">
        <v>14</v>
      </c>
      <c r="AI2639" s="0" t="n">
        <v>11</v>
      </c>
      <c r="AN2639" s="0" t="s">
        <v>145</v>
      </c>
      <c r="AO2639" s="0" t="s">
        <v>654</v>
      </c>
      <c r="AP2639" s="0" t="s">
        <v>655</v>
      </c>
      <c r="AQ2639" s="0" t="n">
        <v>9</v>
      </c>
      <c r="AR2639" s="0" t="n">
        <v>64</v>
      </c>
      <c r="AS2639" s="0" t="n">
        <v>32</v>
      </c>
      <c r="AU2639" s="0" t="n">
        <f aca="false">COUNTA($BA$1265:$EH$1265)</f>
        <v>1</v>
      </c>
      <c r="AV2639" s="0" t="n">
        <f aca="false">COUNTIF($BA$1265:$EH$1265,"D")</f>
        <v>0</v>
      </c>
      <c r="AW2639" s="0" t="n">
        <f aca="false">COUNTIF($BA$1265:$EH$1265,"R")</f>
        <v>0</v>
      </c>
      <c r="AX2639" s="0" t="n">
        <f aca="false">IF(BN2639="D",1,0)+IF(BO2639="D",1,0)+IF(BT2639="D",1,0)+IF(BU2639="D",1,0)+IF(BW2639="D",1,0)+IF(CC2639="D",1,0)+IF(CD2639="D",1,0)+IF(CE2639="D",1,0)+IF(CF2639="D",1,0)+IF(CL2639="D",1,0)+IF(CM2639="D",1,0)+IF(CQ2639="D",1,0)+IF(CR2639="D",1,0)+IF(CS2639="D",1,0)+IF(CW2639="D",1,0)+IF(CX2639="D",1,0)+IF(DD2639="D",1,0)+IF(DE2639="D",1,0)+IF(DJ2639="D",1,0)+IF(DK2639="D",1,0)+IF(DO2639="D",1,0)+IF(DP2639="D",1,0)+IF(DQ2639="D",1,0)+IF(DW2639="D",1,0)+IF(DZ2639="D",1,0)+IF(EH2639="D",1,0)</f>
        <v>0</v>
      </c>
      <c r="AY2639" s="0" t="n">
        <f aca="false">COUNTIF(DU2639:EH2639, "&lt;&gt;")</f>
        <v>0</v>
      </c>
      <c r="AZ2639" s="0" t="n">
        <f aca="false">IF(EH2639&lt;&gt;"",1,0)</f>
        <v>0</v>
      </c>
      <c r="BB2639" s="0" t="s">
        <v>152</v>
      </c>
    </row>
    <row r="2640" customFormat="false" ht="13.8" hidden="false" customHeight="false" outlineLevel="0" collapsed="false">
      <c r="A2640" s="0" t="s">
        <v>11225</v>
      </c>
      <c r="B2640" s="0" t="n">
        <v>78</v>
      </c>
      <c r="C2640" s="0" t="n">
        <v>308703</v>
      </c>
      <c r="D2640" s="0" t="s">
        <v>6208</v>
      </c>
      <c r="E2640" s="0" t="s">
        <v>11226</v>
      </c>
      <c r="F2640" s="0" t="str">
        <f aca="false">CONCATENATE(D2640," ",LEFT(H2640,4),"T=",AU2640,"D=",AV2640,"R=",AW2640,"M=",AX2640,"L=",AY2640,"B=",AZ2640)</f>
        <v>WADE T=1D=0R=0M=0L=4B=0</v>
      </c>
      <c r="G2640" s="0" t="s">
        <v>175</v>
      </c>
      <c r="I2640" s="0" t="s">
        <v>11227</v>
      </c>
      <c r="J2640" s="0" t="s">
        <v>1061</v>
      </c>
      <c r="K2640" s="0" t="s">
        <v>160</v>
      </c>
      <c r="M2640" s="0" t="s">
        <v>11228</v>
      </c>
      <c r="N2640" s="0" t="str">
        <f aca="false">RIGHT(M2640,LEN(M2640)-FIND(" ",M2640))</f>
        <v>WOODLAND AVE NE</v>
      </c>
      <c r="O2640" s="0" t="s">
        <v>297</v>
      </c>
      <c r="P2640" s="0" t="s">
        <v>145</v>
      </c>
      <c r="Q2640" s="0" t="s">
        <v>146</v>
      </c>
      <c r="R2640" s="0" t="n">
        <v>44483</v>
      </c>
      <c r="AD2640" s="0" t="s">
        <v>147</v>
      </c>
      <c r="AE2640" s="0" t="s">
        <v>148</v>
      </c>
      <c r="AF2640" s="0" t="s">
        <v>149</v>
      </c>
      <c r="AH2640" s="0" t="n">
        <v>14</v>
      </c>
      <c r="AI2640" s="0" t="n">
        <v>11</v>
      </c>
      <c r="AN2640" s="0" t="s">
        <v>145</v>
      </c>
      <c r="AO2640" s="0" t="s">
        <v>654</v>
      </c>
      <c r="AP2640" s="0" t="s">
        <v>655</v>
      </c>
      <c r="AQ2640" s="0" t="n">
        <v>9</v>
      </c>
      <c r="AR2640" s="0" t="n">
        <v>64</v>
      </c>
      <c r="AS2640" s="0" t="n">
        <v>32</v>
      </c>
      <c r="AU2640" s="0" t="n">
        <f aca="false">COUNTA($BA$1416:$EH$1416)</f>
        <v>1</v>
      </c>
      <c r="AV2640" s="0" t="n">
        <f aca="false">COUNTIF($BA$1416:$EH$1416,"D")</f>
        <v>0</v>
      </c>
      <c r="AW2640" s="0" t="n">
        <f aca="false">COUNTIF($BA$1416:$EH$1416,"R")</f>
        <v>0</v>
      </c>
      <c r="AX2640" s="0" t="n">
        <f aca="false">IF(BN2640="D",1,0)+IF(BO2640="D",1,0)+IF(BT2640="D",1,0)+IF(BU2640="D",1,0)+IF(BW2640="D",1,0)+IF(CC2640="D",1,0)+IF(CD2640="D",1,0)+IF(CE2640="D",1,0)+IF(CF2640="D",1,0)+IF(CL2640="D",1,0)+IF(CM2640="D",1,0)+IF(CQ2640="D",1,0)+IF(CR2640="D",1,0)+IF(CS2640="D",1,0)+IF(CW2640="D",1,0)+IF(CX2640="D",1,0)+IF(DD2640="D",1,0)+IF(DE2640="D",1,0)+IF(DJ2640="D",1,0)+IF(DK2640="D",1,0)+IF(DO2640="D",1,0)+IF(DP2640="D",1,0)+IF(DQ2640="D",1,0)+IF(DW2640="D",1,0)+IF(DZ2640="D",1,0)+IF(EH2640="D",1,0)</f>
        <v>0</v>
      </c>
      <c r="AY2640" s="0" t="n">
        <f aca="false">COUNTIF(DU2640:EH2640, "&lt;&gt;")</f>
        <v>4</v>
      </c>
      <c r="AZ2640" s="0" t="n">
        <f aca="false">IF(EH2640&lt;&gt;"",1,0)</f>
        <v>0</v>
      </c>
      <c r="BB2640" s="0" t="s">
        <v>152</v>
      </c>
      <c r="BH2640" s="0" t="s">
        <v>153</v>
      </c>
      <c r="BI2640" s="0" t="s">
        <v>153</v>
      </c>
      <c r="BL2640" s="0" t="s">
        <v>153</v>
      </c>
      <c r="CY2640" s="0" t="s">
        <v>153</v>
      </c>
      <c r="CZ2640" s="0" t="s">
        <v>175</v>
      </c>
      <c r="DC2640" s="0" t="s">
        <v>153</v>
      </c>
      <c r="DI2640" s="0" t="s">
        <v>153</v>
      </c>
      <c r="DL2640" s="0" t="s">
        <v>153</v>
      </c>
      <c r="DN2640" s="0" t="s">
        <v>153</v>
      </c>
      <c r="DU2640" s="0" t="s">
        <v>153</v>
      </c>
      <c r="DX2640" s="0" t="s">
        <v>153</v>
      </c>
      <c r="EA2640" s="0" t="s">
        <v>153</v>
      </c>
      <c r="EF2640" s="0" t="s">
        <v>153</v>
      </c>
    </row>
    <row r="2641" customFormat="false" ht="13.8" hidden="true" customHeight="false" outlineLevel="0" collapsed="false">
      <c r="A2641" s="0" t="s">
        <v>11229</v>
      </c>
      <c r="B2641" s="0" t="n">
        <v>78</v>
      </c>
      <c r="C2641" s="0" t="n">
        <v>487677</v>
      </c>
      <c r="D2641" s="0" t="s">
        <v>2420</v>
      </c>
      <c r="E2641" s="0" t="s">
        <v>5068</v>
      </c>
      <c r="F2641" s="0" t="str">
        <f aca="false">CONCATENATE(D2641," ",LEFT(H2641,4),"T=",AU2641,"D=",AV2641,"R=",AW2641,"M=",AX2641,"L=",AY2641,"B=",AZ2641)</f>
        <v>JENKINS T=2D=0R=0M=0L=0B=0</v>
      </c>
      <c r="G2641" s="0" t="s">
        <v>686</v>
      </c>
      <c r="I2641" s="0" t="s">
        <v>11230</v>
      </c>
      <c r="J2641" s="0" t="s">
        <v>283</v>
      </c>
      <c r="K2641" s="0" t="s">
        <v>160</v>
      </c>
      <c r="M2641" s="0" t="s">
        <v>11231</v>
      </c>
      <c r="N2641" s="0" t="str">
        <f aca="false">RIGHT(M2641,LEN(M2641)-FIND(" ",M2641))</f>
        <v>WOODLAND AVE NE</v>
      </c>
      <c r="P2641" s="0" t="s">
        <v>145</v>
      </c>
      <c r="Q2641" s="0" t="s">
        <v>146</v>
      </c>
      <c r="R2641" s="0" t="n">
        <v>44483</v>
      </c>
      <c r="AD2641" s="0" t="s">
        <v>147</v>
      </c>
      <c r="AE2641" s="0" t="s">
        <v>148</v>
      </c>
      <c r="AF2641" s="0" t="s">
        <v>149</v>
      </c>
      <c r="AH2641" s="0" t="n">
        <v>14</v>
      </c>
      <c r="AI2641" s="0" t="n">
        <v>11</v>
      </c>
      <c r="AN2641" s="0" t="s">
        <v>145</v>
      </c>
      <c r="AO2641" s="0" t="s">
        <v>654</v>
      </c>
      <c r="AP2641" s="0" t="s">
        <v>655</v>
      </c>
      <c r="AQ2641" s="0" t="n">
        <v>9</v>
      </c>
      <c r="AR2641" s="0" t="n">
        <v>64</v>
      </c>
      <c r="AS2641" s="0" t="n">
        <v>32</v>
      </c>
      <c r="AU2641" s="0" t="n">
        <f aca="false">COUNTA($BA$1805:$EH$1805)</f>
        <v>2</v>
      </c>
      <c r="AV2641" s="0" t="n">
        <f aca="false">COUNTIF($BA$1805:$EH$1805,"D")</f>
        <v>0</v>
      </c>
      <c r="AW2641" s="0" t="n">
        <f aca="false">COUNTIF($BA$1805:$EH$1805,"R")</f>
        <v>0</v>
      </c>
      <c r="AX2641" s="0" t="n">
        <f aca="false">IF(BN2641="D",1,0)+IF(BO2641="D",1,0)+IF(BT2641="D",1,0)+IF(BU2641="D",1,0)+IF(BW2641="D",1,0)+IF(CC2641="D",1,0)+IF(CD2641="D",1,0)+IF(CE2641="D",1,0)+IF(CF2641="D",1,0)+IF(CL2641="D",1,0)+IF(CM2641="D",1,0)+IF(CQ2641="D",1,0)+IF(CR2641="D",1,0)+IF(CS2641="D",1,0)+IF(CW2641="D",1,0)+IF(CX2641="D",1,0)+IF(DD2641="D",1,0)+IF(DE2641="D",1,0)+IF(DJ2641="D",1,0)+IF(DK2641="D",1,0)+IF(DO2641="D",1,0)+IF(DP2641="D",1,0)+IF(DQ2641="D",1,0)+IF(DW2641="D",1,0)+IF(DZ2641="D",1,0)+IF(EH2641="D",1,0)</f>
        <v>0</v>
      </c>
      <c r="AY2641" s="0" t="n">
        <f aca="false">COUNTIF(DU2641:EH2641, "&lt;&gt;")</f>
        <v>0</v>
      </c>
      <c r="AZ2641" s="0" t="n">
        <f aca="false">IF(EH2641&lt;&gt;"",1,0)</f>
        <v>0</v>
      </c>
      <c r="BB2641" s="0" t="s">
        <v>152</v>
      </c>
    </row>
    <row r="2642" customFormat="false" ht="13.8" hidden="false" customHeight="false" outlineLevel="0" collapsed="false">
      <c r="A2642" s="0" t="s">
        <v>11232</v>
      </c>
      <c r="B2642" s="0" t="n">
        <v>78</v>
      </c>
      <c r="C2642" s="0" t="n">
        <v>326375</v>
      </c>
      <c r="D2642" s="0" t="s">
        <v>11233</v>
      </c>
      <c r="E2642" s="0" t="s">
        <v>9348</v>
      </c>
      <c r="F2642" s="0" t="str">
        <f aca="false">CONCATENATE(D2642," ",LEFT(H2642,4),"T=",AU2642,"D=",AV2642,"R=",AW2642,"M=",AX2642,"L=",AY2642,"B=",AZ2642)</f>
        <v>TALKINGTON T=14D=2R=0M=0L=2B=0</v>
      </c>
      <c r="I2642" s="0" t="s">
        <v>11234</v>
      </c>
      <c r="J2642" s="0" t="s">
        <v>9851</v>
      </c>
      <c r="K2642" s="0" t="s">
        <v>160</v>
      </c>
      <c r="M2642" s="0" t="s">
        <v>11235</v>
      </c>
      <c r="N2642" s="0" t="str">
        <f aca="false">RIGHT(M2642,LEN(M2642)-FIND(" ",M2642))</f>
        <v>YOUNGSTOWN RD SE</v>
      </c>
      <c r="P2642" s="0" t="s">
        <v>145</v>
      </c>
      <c r="Q2642" s="0" t="s">
        <v>146</v>
      </c>
      <c r="R2642" s="0" t="n">
        <v>44484</v>
      </c>
      <c r="AD2642" s="0" t="s">
        <v>147</v>
      </c>
      <c r="AE2642" s="0" t="s">
        <v>148</v>
      </c>
      <c r="AF2642" s="0" t="s">
        <v>149</v>
      </c>
      <c r="AH2642" s="0" t="n">
        <v>14</v>
      </c>
      <c r="AI2642" s="0" t="n">
        <v>11</v>
      </c>
      <c r="AN2642" s="0" t="s">
        <v>145</v>
      </c>
      <c r="AO2642" s="0" t="s">
        <v>150</v>
      </c>
      <c r="AP2642" s="0" t="s">
        <v>151</v>
      </c>
      <c r="AQ2642" s="0" t="n">
        <v>9</v>
      </c>
      <c r="AR2642" s="0" t="n">
        <v>64</v>
      </c>
      <c r="AS2642" s="0" t="n">
        <v>32</v>
      </c>
      <c r="AU2642" s="0" t="n">
        <f aca="false">COUNTA($BA$743:$EH$743)</f>
        <v>14</v>
      </c>
      <c r="AV2642" s="0" t="n">
        <f aca="false">COUNTIF($BA$743:$EH$743,"D")</f>
        <v>2</v>
      </c>
      <c r="AW2642" s="0" t="n">
        <f aca="false">COUNTIF($BA$743:$EH$743,"R")</f>
        <v>0</v>
      </c>
      <c r="AX2642" s="0" t="n">
        <f aca="false">IF(BN2642="D",1,0)+IF(BO2642="D",1,0)+IF(BT2642="D",1,0)+IF(BU2642="D",1,0)+IF(BW2642="D",1,0)+IF(CC2642="D",1,0)+IF(CD2642="D",1,0)+IF(CE2642="D",1,0)+IF(CF2642="D",1,0)+IF(CL2642="D",1,0)+IF(CM2642="D",1,0)+IF(CQ2642="D",1,0)+IF(CR2642="D",1,0)+IF(CS2642="D",1,0)+IF(CW2642="D",1,0)+IF(CX2642="D",1,0)+IF(DD2642="D",1,0)+IF(DE2642="D",1,0)+IF(DJ2642="D",1,0)+IF(DK2642="D",1,0)+IF(DO2642="D",1,0)+IF(DP2642="D",1,0)+IF(DQ2642="D",1,0)+IF(DW2642="D",1,0)+IF(DZ2642="D",1,0)+IF(EH2642="D",1,0)</f>
        <v>0</v>
      </c>
      <c r="AY2642" s="0" t="n">
        <f aca="false">COUNTIF(DU2642:EH2642, "&lt;&gt;")</f>
        <v>2</v>
      </c>
      <c r="AZ2642" s="0" t="n">
        <f aca="false">IF(EH2642&lt;&gt;"",1,0)</f>
        <v>0</v>
      </c>
      <c r="BB2642" s="0" t="s">
        <v>152</v>
      </c>
      <c r="BL2642" s="0" t="s">
        <v>153</v>
      </c>
      <c r="BP2642" s="0" t="s">
        <v>153</v>
      </c>
      <c r="BS2642" s="0" t="s">
        <v>153</v>
      </c>
      <c r="CA2642" s="0" t="s">
        <v>153</v>
      </c>
      <c r="CG2642" s="0" t="s">
        <v>153</v>
      </c>
      <c r="CN2642" s="0" t="s">
        <v>153</v>
      </c>
      <c r="DN2642" s="0" t="s">
        <v>153</v>
      </c>
      <c r="EA2642" s="0" t="s">
        <v>153</v>
      </c>
      <c r="EF2642" s="0" t="s">
        <v>153</v>
      </c>
    </row>
    <row r="2643" customFormat="false" ht="13.8" hidden="true" customHeight="false" outlineLevel="0" collapsed="false">
      <c r="A2643" s="0" t="s">
        <v>11236</v>
      </c>
      <c r="B2643" s="0" t="n">
        <v>78</v>
      </c>
      <c r="C2643" s="0" t="n">
        <v>475922</v>
      </c>
      <c r="D2643" s="0" t="s">
        <v>11237</v>
      </c>
      <c r="E2643" s="0" t="s">
        <v>4868</v>
      </c>
      <c r="F2643" s="0" t="str">
        <f aca="false">CONCATENATE(D2643," ",LEFT(H2643,4),"T=",AU2643,"D=",AV2643,"R=",AW2643,"M=",AX2643,"L=",AY2643,"B=",AZ2643)</f>
        <v>SANTANGELO T=30D=2R=5M=0L=1B=0</v>
      </c>
      <c r="G2643" s="0" t="s">
        <v>202</v>
      </c>
      <c r="I2643" s="0" t="s">
        <v>11238</v>
      </c>
      <c r="J2643" s="0" t="s">
        <v>11239</v>
      </c>
      <c r="K2643" s="0" t="s">
        <v>160</v>
      </c>
      <c r="M2643" s="0" t="s">
        <v>11240</v>
      </c>
      <c r="N2643" s="0" t="str">
        <f aca="false">RIGHT(M2643,LEN(M2643)-FIND(" ",M2643))</f>
        <v>YOUNGSTOWN RD SE</v>
      </c>
      <c r="P2643" s="0" t="s">
        <v>145</v>
      </c>
      <c r="Q2643" s="0" t="s">
        <v>146</v>
      </c>
      <c r="R2643" s="0" t="n">
        <v>44484</v>
      </c>
      <c r="AD2643" s="0" t="s">
        <v>147</v>
      </c>
      <c r="AE2643" s="0" t="s">
        <v>148</v>
      </c>
      <c r="AF2643" s="0" t="s">
        <v>149</v>
      </c>
      <c r="AH2643" s="0" t="n">
        <v>14</v>
      </c>
      <c r="AI2643" s="0" t="n">
        <v>11</v>
      </c>
      <c r="AN2643" s="0" t="s">
        <v>145</v>
      </c>
      <c r="AO2643" s="0" t="s">
        <v>233</v>
      </c>
      <c r="AP2643" s="0" t="s">
        <v>234</v>
      </c>
      <c r="AQ2643" s="0" t="n">
        <v>9</v>
      </c>
      <c r="AR2643" s="0" t="n">
        <v>64</v>
      </c>
      <c r="AS2643" s="0" t="n">
        <v>32</v>
      </c>
      <c r="AU2643" s="0" t="n">
        <f aca="false">COUNTA($BA$2411:$EH$2411)</f>
        <v>30</v>
      </c>
      <c r="AV2643" s="0" t="n">
        <f aca="false">COUNTIF($BA$2411:$EH$2411,"D")</f>
        <v>2</v>
      </c>
      <c r="AW2643" s="0" t="n">
        <f aca="false">COUNTIF($BA$2411:$EH$2411,"R")</f>
        <v>5</v>
      </c>
      <c r="AX2643" s="0" t="n">
        <f aca="false">IF(BN2643="D",1,0)+IF(BO2643="D",1,0)+IF(BT2643="D",1,0)+IF(BU2643="D",1,0)+IF(BW2643="D",1,0)+IF(CC2643="D",1,0)+IF(CD2643="D",1,0)+IF(CE2643="D",1,0)+IF(CF2643="D",1,0)+IF(CL2643="D",1,0)+IF(CM2643="D",1,0)+IF(CQ2643="D",1,0)+IF(CR2643="D",1,0)+IF(CS2643="D",1,0)+IF(CW2643="D",1,0)+IF(CX2643="D",1,0)+IF(DD2643="D",1,0)+IF(DE2643="D",1,0)+IF(DJ2643="D",1,0)+IF(DK2643="D",1,0)+IF(DO2643="D",1,0)+IF(DP2643="D",1,0)+IF(DQ2643="D",1,0)+IF(DW2643="D",1,0)+IF(DZ2643="D",1,0)+IF(EH2643="D",1,0)</f>
        <v>0</v>
      </c>
      <c r="AY2643" s="0" t="n">
        <f aca="false">COUNTIF(DU2643:EH2643, "&lt;&gt;")</f>
        <v>1</v>
      </c>
      <c r="AZ2643" s="0" t="n">
        <f aca="false">IF(EH2643&lt;&gt;"",1,0)</f>
        <v>0</v>
      </c>
      <c r="BB2643" s="0" t="s">
        <v>152</v>
      </c>
      <c r="CZ2643" s="0" t="s">
        <v>175</v>
      </c>
      <c r="DC2643" s="0" t="s">
        <v>153</v>
      </c>
      <c r="DN2643" s="0" t="s">
        <v>153</v>
      </c>
      <c r="EF2643" s="0" t="s">
        <v>153</v>
      </c>
    </row>
    <row r="2644" customFormat="false" ht="13.8" hidden="true" customHeight="false" outlineLevel="0" collapsed="false">
      <c r="A2644" s="0" t="s">
        <v>11241</v>
      </c>
      <c r="B2644" s="0" t="n">
        <v>78</v>
      </c>
      <c r="C2644" s="0" t="n">
        <v>426743</v>
      </c>
      <c r="D2644" s="0" t="s">
        <v>273</v>
      </c>
      <c r="E2644" s="0" t="s">
        <v>824</v>
      </c>
      <c r="F2644" s="0" t="str">
        <f aca="false">CONCATENATE(D2644," ",LEFT(H2644,4),"T=",AU2644,"D=",AV2644,"R=",AW2644,"M=",AX2644,"L=",AY2644,"B=",AZ2644)</f>
        <v>PHILLIPS T=2D=0R=0M=0L=0B=0</v>
      </c>
      <c r="G2644" s="0" t="s">
        <v>357</v>
      </c>
      <c r="I2644" s="0" t="s">
        <v>11242</v>
      </c>
      <c r="J2644" s="0" t="s">
        <v>386</v>
      </c>
      <c r="K2644" s="0" t="s">
        <v>160</v>
      </c>
      <c r="M2644" s="0" t="s">
        <v>11240</v>
      </c>
      <c r="N2644" s="0" t="str">
        <f aca="false">RIGHT(M2644,LEN(M2644)-FIND(" ",M2644))</f>
        <v>YOUNGSTOWN RD SE</v>
      </c>
      <c r="P2644" s="0" t="s">
        <v>145</v>
      </c>
      <c r="Q2644" s="0" t="s">
        <v>146</v>
      </c>
      <c r="R2644" s="0" t="n">
        <v>44484</v>
      </c>
      <c r="AD2644" s="0" t="s">
        <v>147</v>
      </c>
      <c r="AE2644" s="0" t="s">
        <v>148</v>
      </c>
      <c r="AF2644" s="0" t="s">
        <v>149</v>
      </c>
      <c r="AH2644" s="0" t="n">
        <v>14</v>
      </c>
      <c r="AI2644" s="0" t="n">
        <v>11</v>
      </c>
      <c r="AN2644" s="0" t="s">
        <v>145</v>
      </c>
      <c r="AO2644" s="0" t="s">
        <v>233</v>
      </c>
      <c r="AP2644" s="0" t="s">
        <v>234</v>
      </c>
      <c r="AQ2644" s="0" t="n">
        <v>9</v>
      </c>
      <c r="AR2644" s="0" t="n">
        <v>64</v>
      </c>
      <c r="AS2644" s="0" t="n">
        <v>32</v>
      </c>
      <c r="AU2644" s="0" t="n">
        <f aca="false">COUNTA($BA$2478:$EH$2478)</f>
        <v>2</v>
      </c>
      <c r="AV2644" s="0" t="n">
        <f aca="false">COUNTIF($BA$2478:$EH$2478,"D")</f>
        <v>0</v>
      </c>
      <c r="AW2644" s="0" t="n">
        <f aca="false">COUNTIF($BA$2478:$EH$2478,"R")</f>
        <v>0</v>
      </c>
      <c r="AX2644" s="0" t="n">
        <f aca="false">IF(BN2644="D",1,0)+IF(BO2644="D",1,0)+IF(BT2644="D",1,0)+IF(BU2644="D",1,0)+IF(BW2644="D",1,0)+IF(CC2644="D",1,0)+IF(CD2644="D",1,0)+IF(CE2644="D",1,0)+IF(CF2644="D",1,0)+IF(CL2644="D",1,0)+IF(CM2644="D",1,0)+IF(CQ2644="D",1,0)+IF(CR2644="D",1,0)+IF(CS2644="D",1,0)+IF(CW2644="D",1,0)+IF(CX2644="D",1,0)+IF(DD2644="D",1,0)+IF(DE2644="D",1,0)+IF(DJ2644="D",1,0)+IF(DK2644="D",1,0)+IF(DO2644="D",1,0)+IF(DP2644="D",1,0)+IF(DQ2644="D",1,0)+IF(DW2644="D",1,0)+IF(DZ2644="D",1,0)+IF(EH2644="D",1,0)</f>
        <v>0</v>
      </c>
      <c r="AY2644" s="0" t="n">
        <f aca="false">COUNTIF(DU2644:EH2644, "&lt;&gt;")</f>
        <v>0</v>
      </c>
      <c r="AZ2644" s="0" t="n">
        <f aca="false">IF(EH2644&lt;&gt;"",1,0)</f>
        <v>0</v>
      </c>
      <c r="BB2644" s="0" t="s">
        <v>152</v>
      </c>
    </row>
    <row r="2645" customFormat="false" ht="13.8" hidden="false" customHeight="false" outlineLevel="0" collapsed="false">
      <c r="A2645" s="0" t="s">
        <v>11243</v>
      </c>
      <c r="B2645" s="0" t="n">
        <v>78</v>
      </c>
      <c r="C2645" s="0" t="n">
        <v>491955</v>
      </c>
      <c r="D2645" s="0" t="s">
        <v>5930</v>
      </c>
      <c r="E2645" s="0" t="s">
        <v>424</v>
      </c>
      <c r="F2645" s="0" t="str">
        <f aca="false">CONCATENATE(D2645," ",LEFT(H2645,4),"T=",AU2645,"D=",AV2645,"R=",AW2645,"M=",AX2645,"L=",AY2645,"B=",AZ2645)</f>
        <v>HICKS T=4D=1R=0M=0L=2B=0</v>
      </c>
      <c r="G2645" s="0" t="s">
        <v>268</v>
      </c>
      <c r="I2645" s="0" t="s">
        <v>11244</v>
      </c>
      <c r="J2645" s="0" t="s">
        <v>404</v>
      </c>
      <c r="K2645" s="0" t="s">
        <v>160</v>
      </c>
      <c r="M2645" s="0" t="s">
        <v>11245</v>
      </c>
      <c r="N2645" s="0" t="str">
        <f aca="false">RIGHT(M2645,LEN(M2645)-FIND(" ",M2645))</f>
        <v>YOUNGSTOWN RD SE</v>
      </c>
      <c r="O2645" s="0" t="s">
        <v>2211</v>
      </c>
      <c r="P2645" s="0" t="s">
        <v>145</v>
      </c>
      <c r="Q2645" s="0" t="s">
        <v>146</v>
      </c>
      <c r="R2645" s="0" t="n">
        <v>44484</v>
      </c>
      <c r="AD2645" s="0" t="s">
        <v>147</v>
      </c>
      <c r="AE2645" s="0" t="s">
        <v>148</v>
      </c>
      <c r="AF2645" s="0" t="s">
        <v>149</v>
      </c>
      <c r="AH2645" s="0" t="n">
        <v>14</v>
      </c>
      <c r="AI2645" s="0" t="n">
        <v>11</v>
      </c>
      <c r="AN2645" s="0" t="s">
        <v>145</v>
      </c>
      <c r="AO2645" s="0" t="s">
        <v>150</v>
      </c>
      <c r="AP2645" s="0" t="s">
        <v>151</v>
      </c>
      <c r="AQ2645" s="0" t="n">
        <v>9</v>
      </c>
      <c r="AR2645" s="0" t="n">
        <v>64</v>
      </c>
      <c r="AS2645" s="0" t="n">
        <v>32</v>
      </c>
      <c r="AU2645" s="0" t="n">
        <f aca="false">COUNTA($BA$553:$EH$553)</f>
        <v>4</v>
      </c>
      <c r="AV2645" s="0" t="n">
        <f aca="false">COUNTIF($BA$553:$EH$553,"D")</f>
        <v>1</v>
      </c>
      <c r="AW2645" s="0" t="n">
        <f aca="false">COUNTIF($BA$553:$EH$553,"R")</f>
        <v>0</v>
      </c>
      <c r="AX2645" s="0" t="n">
        <f aca="false">IF(BN2645="D",1,0)+IF(BO2645="D",1,0)+IF(BT2645="D",1,0)+IF(BU2645="D",1,0)+IF(BW2645="D",1,0)+IF(CC2645="D",1,0)+IF(CD2645="D",1,0)+IF(CE2645="D",1,0)+IF(CF2645="D",1,0)+IF(CL2645="D",1,0)+IF(CM2645="D",1,0)+IF(CQ2645="D",1,0)+IF(CR2645="D",1,0)+IF(CS2645="D",1,0)+IF(CW2645="D",1,0)+IF(CX2645="D",1,0)+IF(DD2645="D",1,0)+IF(DE2645="D",1,0)+IF(DJ2645="D",1,0)+IF(DK2645="D",1,0)+IF(DO2645="D",1,0)+IF(DP2645="D",1,0)+IF(DQ2645="D",1,0)+IF(DW2645="D",1,0)+IF(DZ2645="D",1,0)+IF(EH2645="D",1,0)</f>
        <v>0</v>
      </c>
      <c r="AY2645" s="0" t="n">
        <f aca="false">COUNTIF(DU2645:EH2645, "&lt;&gt;")</f>
        <v>2</v>
      </c>
      <c r="AZ2645" s="0" t="n">
        <f aca="false">IF(EH2645&lt;&gt;"",1,0)</f>
        <v>0</v>
      </c>
      <c r="BB2645" s="0" t="s">
        <v>152</v>
      </c>
      <c r="DC2645" s="0" t="s">
        <v>153</v>
      </c>
      <c r="DN2645" s="0" t="s">
        <v>153</v>
      </c>
      <c r="DU2645" s="0" t="s">
        <v>153</v>
      </c>
      <c r="EF2645" s="0" t="s">
        <v>153</v>
      </c>
    </row>
    <row r="2646" customFormat="false" ht="13.8" hidden="false" customHeight="false" outlineLevel="0" collapsed="false">
      <c r="A2646" s="0" t="s">
        <v>11246</v>
      </c>
      <c r="B2646" s="0" t="n">
        <v>78</v>
      </c>
      <c r="C2646" s="0" t="n">
        <v>217275</v>
      </c>
      <c r="D2646" s="0" t="s">
        <v>273</v>
      </c>
      <c r="E2646" s="0" t="s">
        <v>719</v>
      </c>
      <c r="F2646" s="0" t="str">
        <f aca="false">CONCATENATE(D2646," ",LEFT(H2646,4),"T=",AU2646,"D=",AV2646,"R=",AW2646,"M=",AX2646,"L=",AY2646,"B=",AZ2646)</f>
        <v>PHILLIPS T=7D=0R=0M=0L=2B=0</v>
      </c>
      <c r="G2646" s="0" t="s">
        <v>190</v>
      </c>
      <c r="I2646" s="0" t="s">
        <v>11247</v>
      </c>
      <c r="J2646" s="0" t="s">
        <v>11248</v>
      </c>
      <c r="K2646" s="0" t="s">
        <v>160</v>
      </c>
      <c r="L2646" s="0" t="s">
        <v>209</v>
      </c>
      <c r="M2646" s="0" t="s">
        <v>11245</v>
      </c>
      <c r="N2646" s="0" t="str">
        <f aca="false">RIGHT(M2646,LEN(M2646)-FIND(" ",M2646))</f>
        <v>YOUNGSTOWN RD SE</v>
      </c>
      <c r="P2646" s="0" t="s">
        <v>145</v>
      </c>
      <c r="Q2646" s="0" t="s">
        <v>146</v>
      </c>
      <c r="R2646" s="0" t="n">
        <v>44484</v>
      </c>
      <c r="AD2646" s="0" t="s">
        <v>147</v>
      </c>
      <c r="AE2646" s="0" t="s">
        <v>148</v>
      </c>
      <c r="AF2646" s="0" t="s">
        <v>149</v>
      </c>
      <c r="AH2646" s="0" t="n">
        <v>14</v>
      </c>
      <c r="AI2646" s="0" t="n">
        <v>11</v>
      </c>
      <c r="AN2646" s="0" t="s">
        <v>145</v>
      </c>
      <c r="AO2646" s="0" t="s">
        <v>150</v>
      </c>
      <c r="AP2646" s="0" t="s">
        <v>151</v>
      </c>
      <c r="AQ2646" s="0" t="n">
        <v>9</v>
      </c>
      <c r="AR2646" s="0" t="n">
        <v>64</v>
      </c>
      <c r="AS2646" s="0" t="n">
        <v>32</v>
      </c>
      <c r="AU2646" s="0" t="n">
        <f aca="false">COUNTA($BA$807:$EH$807)</f>
        <v>7</v>
      </c>
      <c r="AV2646" s="0" t="n">
        <f aca="false">COUNTIF($BA$807:$EH$807,"D")</f>
        <v>0</v>
      </c>
      <c r="AW2646" s="0" t="n">
        <f aca="false">COUNTIF($BA$807:$EH$807,"R")</f>
        <v>0</v>
      </c>
      <c r="AX2646" s="0" t="n">
        <f aca="false">IF(BN2646="D",1,0)+IF(BO2646="D",1,0)+IF(BT2646="D",1,0)+IF(BU2646="D",1,0)+IF(BW2646="D",1,0)+IF(CC2646="D",1,0)+IF(CD2646="D",1,0)+IF(CE2646="D",1,0)+IF(CF2646="D",1,0)+IF(CL2646="D",1,0)+IF(CM2646="D",1,0)+IF(CQ2646="D",1,0)+IF(CR2646="D",1,0)+IF(CS2646="D",1,0)+IF(CW2646="D",1,0)+IF(CX2646="D",1,0)+IF(DD2646="D",1,0)+IF(DE2646="D",1,0)+IF(DJ2646="D",1,0)+IF(DK2646="D",1,0)+IF(DO2646="D",1,0)+IF(DP2646="D",1,0)+IF(DQ2646="D",1,0)+IF(DW2646="D",1,0)+IF(DZ2646="D",1,0)+IF(EH2646="D",1,0)</f>
        <v>0</v>
      </c>
      <c r="AY2646" s="0" t="n">
        <f aca="false">COUNTIF(DU2646:EH2646, "&lt;&gt;")</f>
        <v>2</v>
      </c>
      <c r="AZ2646" s="0" t="n">
        <f aca="false">IF(EH2646&lt;&gt;"",1,0)</f>
        <v>0</v>
      </c>
      <c r="BB2646" s="0" t="s">
        <v>152</v>
      </c>
      <c r="BD2646" s="0" t="s">
        <v>153</v>
      </c>
      <c r="BF2646" s="0" t="s">
        <v>153</v>
      </c>
      <c r="BL2646" s="0" t="s">
        <v>153</v>
      </c>
      <c r="BS2646" s="0" t="s">
        <v>153</v>
      </c>
      <c r="BV2646" s="0" t="s">
        <v>153</v>
      </c>
      <c r="BY2646" s="0" t="s">
        <v>175</v>
      </c>
      <c r="CA2646" s="0" t="s">
        <v>153</v>
      </c>
      <c r="CG2646" s="0" t="s">
        <v>153</v>
      </c>
      <c r="CK2646" s="0" t="s">
        <v>153</v>
      </c>
      <c r="CN2646" s="0" t="s">
        <v>153</v>
      </c>
      <c r="CP2646" s="0" t="s">
        <v>153</v>
      </c>
      <c r="CZ2646" s="0" t="s">
        <v>209</v>
      </c>
      <c r="DC2646" s="0" t="s">
        <v>153</v>
      </c>
      <c r="DI2646" s="0" t="s">
        <v>153</v>
      </c>
      <c r="DN2646" s="0" t="s">
        <v>153</v>
      </c>
      <c r="DS2646" s="0" t="s">
        <v>209</v>
      </c>
      <c r="DU2646" s="0" t="s">
        <v>153</v>
      </c>
      <c r="EF2646" s="0" t="s">
        <v>153</v>
      </c>
    </row>
    <row r="2647" customFormat="false" ht="13.8" hidden="false" customHeight="false" outlineLevel="0" collapsed="false">
      <c r="A2647" s="0" t="s">
        <v>11249</v>
      </c>
      <c r="B2647" s="0" t="n">
        <v>78</v>
      </c>
      <c r="C2647" s="0" t="n">
        <v>17234</v>
      </c>
      <c r="D2647" s="0" t="s">
        <v>273</v>
      </c>
      <c r="E2647" s="0" t="s">
        <v>11250</v>
      </c>
      <c r="F2647" s="0" t="str">
        <f aca="false">CONCATENATE(D2647," ",LEFT(H2647,4),"T=",AU2647,"D=",AV2647,"R=",AW2647,"M=",AX2647,"L=",AY2647,"B=",AZ2647)</f>
        <v>PHILLIPS T=4D=0R=0M=0L=2B=0</v>
      </c>
      <c r="G2647" s="0" t="s">
        <v>215</v>
      </c>
      <c r="I2647" s="0" t="s">
        <v>11251</v>
      </c>
      <c r="J2647" s="0" t="s">
        <v>11252</v>
      </c>
      <c r="K2647" s="0" t="s">
        <v>160</v>
      </c>
      <c r="L2647" s="0" t="s">
        <v>209</v>
      </c>
      <c r="M2647" s="0" t="s">
        <v>11245</v>
      </c>
      <c r="N2647" s="0" t="str">
        <f aca="false">RIGHT(M2647,LEN(M2647)-FIND(" ",M2647))</f>
        <v>YOUNGSTOWN RD SE</v>
      </c>
      <c r="P2647" s="0" t="s">
        <v>145</v>
      </c>
      <c r="Q2647" s="0" t="s">
        <v>146</v>
      </c>
      <c r="R2647" s="0" t="n">
        <v>44484</v>
      </c>
      <c r="AD2647" s="0" t="s">
        <v>147</v>
      </c>
      <c r="AE2647" s="0" t="s">
        <v>148</v>
      </c>
      <c r="AF2647" s="0" t="s">
        <v>149</v>
      </c>
      <c r="AH2647" s="0" t="n">
        <v>14</v>
      </c>
      <c r="AI2647" s="0" t="n">
        <v>11</v>
      </c>
      <c r="AN2647" s="0" t="s">
        <v>145</v>
      </c>
      <c r="AO2647" s="0" t="s">
        <v>150</v>
      </c>
      <c r="AP2647" s="0" t="s">
        <v>151</v>
      </c>
      <c r="AQ2647" s="0" t="n">
        <v>9</v>
      </c>
      <c r="AR2647" s="0" t="n">
        <v>64</v>
      </c>
      <c r="AS2647" s="0" t="n">
        <v>32</v>
      </c>
      <c r="AU2647" s="0" t="n">
        <f aca="false">COUNTA($BA$1057:$EH$1057)</f>
        <v>4</v>
      </c>
      <c r="AV2647" s="0" t="n">
        <f aca="false">COUNTIF($BA$1057:$EH$1057,"D")</f>
        <v>0</v>
      </c>
      <c r="AW2647" s="0" t="n">
        <f aca="false">COUNTIF($BA$1057:$EH$1057,"R")</f>
        <v>0</v>
      </c>
      <c r="AX2647" s="0" t="n">
        <f aca="false">IF(BN2647="D",1,0)+IF(BO2647="D",1,0)+IF(BT2647="D",1,0)+IF(BU2647="D",1,0)+IF(BW2647="D",1,0)+IF(CC2647="D",1,0)+IF(CD2647="D",1,0)+IF(CE2647="D",1,0)+IF(CF2647="D",1,0)+IF(CL2647="D",1,0)+IF(CM2647="D",1,0)+IF(CQ2647="D",1,0)+IF(CR2647="D",1,0)+IF(CS2647="D",1,0)+IF(CW2647="D",1,0)+IF(CX2647="D",1,0)+IF(DD2647="D",1,0)+IF(DE2647="D",1,0)+IF(DJ2647="D",1,0)+IF(DK2647="D",1,0)+IF(DO2647="D",1,0)+IF(DP2647="D",1,0)+IF(DQ2647="D",1,0)+IF(DW2647="D",1,0)+IF(DZ2647="D",1,0)+IF(EH2647="D",1,0)</f>
        <v>0</v>
      </c>
      <c r="AY2647" s="0" t="n">
        <f aca="false">COUNTIF(DU2647:EH2647, "&lt;&gt;")</f>
        <v>2</v>
      </c>
      <c r="AZ2647" s="0" t="n">
        <f aca="false">IF(EH2647&lt;&gt;"",1,0)</f>
        <v>0</v>
      </c>
      <c r="BB2647" s="0" t="s">
        <v>152</v>
      </c>
      <c r="BD2647" s="0" t="s">
        <v>153</v>
      </c>
      <c r="BF2647" s="0" t="s">
        <v>153</v>
      </c>
      <c r="BH2647" s="0" t="s">
        <v>153</v>
      </c>
      <c r="BL2647" s="0" t="s">
        <v>153</v>
      </c>
      <c r="BS2647" s="0" t="s">
        <v>153</v>
      </c>
      <c r="BY2647" s="0" t="s">
        <v>175</v>
      </c>
      <c r="CA2647" s="0" t="s">
        <v>153</v>
      </c>
      <c r="CG2647" s="0" t="s">
        <v>153</v>
      </c>
      <c r="CK2647" s="0" t="s">
        <v>153</v>
      </c>
      <c r="CP2647" s="0" t="s">
        <v>153</v>
      </c>
      <c r="CZ2647" s="0" t="s">
        <v>209</v>
      </c>
      <c r="DC2647" s="0" t="s">
        <v>153</v>
      </c>
      <c r="DI2647" s="0" t="s">
        <v>153</v>
      </c>
      <c r="DN2647" s="0" t="s">
        <v>153</v>
      </c>
      <c r="DS2647" s="0" t="s">
        <v>209</v>
      </c>
      <c r="DU2647" s="0" t="s">
        <v>153</v>
      </c>
      <c r="EF2647" s="0" t="s">
        <v>153</v>
      </c>
    </row>
    <row r="2648" customFormat="false" ht="13.8" hidden="true" customHeight="false" outlineLevel="0" collapsed="false">
      <c r="A2648" s="0" t="s">
        <v>11253</v>
      </c>
      <c r="B2648" s="0" t="n">
        <v>78</v>
      </c>
      <c r="C2648" s="0" t="n">
        <v>359740</v>
      </c>
      <c r="D2648" s="0" t="s">
        <v>11254</v>
      </c>
      <c r="E2648" s="0" t="s">
        <v>11255</v>
      </c>
      <c r="F2648" s="0" t="str">
        <f aca="false">CONCATENATE(D2648," ",LEFT(H2648,4),"T=",AU2648,"D=",AV2648,"R=",AW2648,"M=",AX2648,"L=",AY2648,"B=",AZ2648)</f>
        <v>DUBOS T=7D=0R=0M=0L=1B=0</v>
      </c>
      <c r="G2648" s="0" t="s">
        <v>11256</v>
      </c>
      <c r="I2648" s="0" t="s">
        <v>11257</v>
      </c>
      <c r="J2648" s="0" t="s">
        <v>10594</v>
      </c>
      <c r="K2648" s="0" t="s">
        <v>160</v>
      </c>
      <c r="M2648" s="0" t="s">
        <v>11258</v>
      </c>
      <c r="N2648" s="0" t="str">
        <f aca="false">RIGHT(M2648,LEN(M2648)-FIND(" ",M2648))</f>
        <v>YOUNGSTOWN RD SE</v>
      </c>
      <c r="P2648" s="0" t="s">
        <v>145</v>
      </c>
      <c r="Q2648" s="0" t="s">
        <v>146</v>
      </c>
      <c r="R2648" s="0" t="n">
        <v>44484</v>
      </c>
      <c r="AD2648" s="0" t="s">
        <v>147</v>
      </c>
      <c r="AE2648" s="0" t="s">
        <v>148</v>
      </c>
      <c r="AF2648" s="0" t="s">
        <v>149</v>
      </c>
      <c r="AH2648" s="0" t="n">
        <v>14</v>
      </c>
      <c r="AI2648" s="0" t="n">
        <v>11</v>
      </c>
      <c r="AN2648" s="0" t="s">
        <v>145</v>
      </c>
      <c r="AO2648" s="0" t="s">
        <v>233</v>
      </c>
      <c r="AP2648" s="0" t="s">
        <v>234</v>
      </c>
      <c r="AQ2648" s="0" t="n">
        <v>9</v>
      </c>
      <c r="AR2648" s="0" t="n">
        <v>64</v>
      </c>
      <c r="AS2648" s="0" t="n">
        <v>32</v>
      </c>
      <c r="AU2648" s="0" t="n">
        <f aca="false">COUNTA($BA$2111:$EH$2111)</f>
        <v>7</v>
      </c>
      <c r="AV2648" s="0" t="n">
        <f aca="false">COUNTIF($BA$2111:$EH$2111,"D")</f>
        <v>0</v>
      </c>
      <c r="AW2648" s="0" t="n">
        <f aca="false">COUNTIF($BA$2111:$EH$2111,"R")</f>
        <v>0</v>
      </c>
      <c r="AX2648" s="0" t="n">
        <f aca="false">IF(BN2648="D",1,0)+IF(BO2648="D",1,0)+IF(BT2648="D",1,0)+IF(BU2648="D",1,0)+IF(BW2648="D",1,0)+IF(CC2648="D",1,0)+IF(CD2648="D",1,0)+IF(CE2648="D",1,0)+IF(CF2648="D",1,0)+IF(CL2648="D",1,0)+IF(CM2648="D",1,0)+IF(CQ2648="D",1,0)+IF(CR2648="D",1,0)+IF(CS2648="D",1,0)+IF(CW2648="D",1,0)+IF(CX2648="D",1,0)+IF(DD2648="D",1,0)+IF(DE2648="D",1,0)+IF(DJ2648="D",1,0)+IF(DK2648="D",1,0)+IF(DO2648="D",1,0)+IF(DP2648="D",1,0)+IF(DQ2648="D",1,0)+IF(DW2648="D",1,0)+IF(DZ2648="D",1,0)+IF(EH2648="D",1,0)</f>
        <v>0</v>
      </c>
      <c r="AY2648" s="0" t="n">
        <f aca="false">COUNTIF(DU2648:EH2648, "&lt;&gt;")</f>
        <v>1</v>
      </c>
      <c r="AZ2648" s="0" t="n">
        <f aca="false">IF(EH2648&lt;&gt;"",1,0)</f>
        <v>0</v>
      </c>
      <c r="BB2648" s="0" t="s">
        <v>152</v>
      </c>
      <c r="DN2648" s="0" t="s">
        <v>153</v>
      </c>
      <c r="EF2648" s="0" t="s">
        <v>153</v>
      </c>
    </row>
    <row r="2649" customFormat="false" ht="13.8" hidden="true" customHeight="false" outlineLevel="0" collapsed="false">
      <c r="A2649" s="0" t="s">
        <v>11259</v>
      </c>
      <c r="B2649" s="0" t="n">
        <v>78</v>
      </c>
      <c r="C2649" s="0" t="n">
        <v>422146</v>
      </c>
      <c r="D2649" s="0" t="s">
        <v>11254</v>
      </c>
      <c r="E2649" s="0" t="s">
        <v>796</v>
      </c>
      <c r="F2649" s="0" t="str">
        <f aca="false">CONCATENATE(D2649," ",LEFT(H2649,4),"T=",AU2649,"D=",AV2649,"R=",AW2649,"M=",AX2649,"L=",AY2649,"B=",AZ2649)</f>
        <v>DUBOS T=19D=0R=1M=0L=1B=0</v>
      </c>
      <c r="G2649" s="0" t="s">
        <v>325</v>
      </c>
      <c r="I2649" s="0" t="s">
        <v>11260</v>
      </c>
      <c r="J2649" s="0" t="s">
        <v>11261</v>
      </c>
      <c r="K2649" s="0" t="s">
        <v>160</v>
      </c>
      <c r="M2649" s="0" t="s">
        <v>11258</v>
      </c>
      <c r="N2649" s="0" t="str">
        <f aca="false">RIGHT(M2649,LEN(M2649)-FIND(" ",M2649))</f>
        <v>YOUNGSTOWN RD SE</v>
      </c>
      <c r="P2649" s="0" t="s">
        <v>145</v>
      </c>
      <c r="Q2649" s="0" t="s">
        <v>146</v>
      </c>
      <c r="R2649" s="0" t="n">
        <v>44484</v>
      </c>
      <c r="AD2649" s="0" t="s">
        <v>147</v>
      </c>
      <c r="AE2649" s="0" t="s">
        <v>148</v>
      </c>
      <c r="AF2649" s="0" t="s">
        <v>149</v>
      </c>
      <c r="AH2649" s="0" t="n">
        <v>14</v>
      </c>
      <c r="AI2649" s="0" t="n">
        <v>11</v>
      </c>
      <c r="AN2649" s="0" t="s">
        <v>145</v>
      </c>
      <c r="AO2649" s="0" t="s">
        <v>233</v>
      </c>
      <c r="AP2649" s="0" t="s">
        <v>234</v>
      </c>
      <c r="AQ2649" s="0" t="n">
        <v>9</v>
      </c>
      <c r="AR2649" s="0" t="n">
        <v>64</v>
      </c>
      <c r="AS2649" s="0" t="n">
        <v>32</v>
      </c>
      <c r="AU2649" s="0" t="n">
        <f aca="false">COUNTA($BA$2524:$EH$2524)</f>
        <v>19</v>
      </c>
      <c r="AV2649" s="0" t="n">
        <f aca="false">COUNTIF($BA$2524:$EH$2524,"D")</f>
        <v>0</v>
      </c>
      <c r="AW2649" s="0" t="n">
        <f aca="false">COUNTIF($BA$2524:$EH$2524,"R")</f>
        <v>1</v>
      </c>
      <c r="AX2649" s="0" t="n">
        <f aca="false">IF(BN2649="D",1,0)+IF(BO2649="D",1,0)+IF(BT2649="D",1,0)+IF(BU2649="D",1,0)+IF(BW2649="D",1,0)+IF(CC2649="D",1,0)+IF(CD2649="D",1,0)+IF(CE2649="D",1,0)+IF(CF2649="D",1,0)+IF(CL2649="D",1,0)+IF(CM2649="D",1,0)+IF(CQ2649="D",1,0)+IF(CR2649="D",1,0)+IF(CS2649="D",1,0)+IF(CW2649="D",1,0)+IF(CX2649="D",1,0)+IF(DD2649="D",1,0)+IF(DE2649="D",1,0)+IF(DJ2649="D",1,0)+IF(DK2649="D",1,0)+IF(DO2649="D",1,0)+IF(DP2649="D",1,0)+IF(DQ2649="D",1,0)+IF(DW2649="D",1,0)+IF(DZ2649="D",1,0)+IF(EH2649="D",1,0)</f>
        <v>0</v>
      </c>
      <c r="AY2649" s="0" t="n">
        <f aca="false">COUNTIF(DU2649:EH2649, "&lt;&gt;")</f>
        <v>1</v>
      </c>
      <c r="AZ2649" s="0" t="n">
        <f aca="false">IF(EH2649&lt;&gt;"",1,0)</f>
        <v>0</v>
      </c>
      <c r="BB2649" s="0" t="s">
        <v>152</v>
      </c>
      <c r="CA2649" s="0" t="s">
        <v>153</v>
      </c>
      <c r="DC2649" s="0" t="s">
        <v>153</v>
      </c>
      <c r="DL2649" s="0" t="s">
        <v>153</v>
      </c>
      <c r="EF2649" s="0" t="s">
        <v>153</v>
      </c>
    </row>
    <row r="2650" customFormat="false" ht="13.8" hidden="true" customHeight="false" outlineLevel="0" collapsed="false">
      <c r="A2650" s="0" t="s">
        <v>11262</v>
      </c>
      <c r="B2650" s="0" t="n">
        <v>78</v>
      </c>
      <c r="C2650" s="0" t="n">
        <v>487959</v>
      </c>
      <c r="D2650" s="0" t="s">
        <v>11263</v>
      </c>
      <c r="E2650" s="0" t="s">
        <v>789</v>
      </c>
      <c r="F2650" s="0" t="str">
        <f aca="false">CONCATENATE(D2650," ",LEFT(H2650,4),"T=",AU2650,"D=",AV2650,"R=",AW2650,"M=",AX2650,"L=",AY2650,"B=",AZ2650)</f>
        <v>LONGWELL T=7D=1R=0M=0L=1B=0</v>
      </c>
      <c r="G2650" s="0" t="s">
        <v>215</v>
      </c>
      <c r="I2650" s="0" t="s">
        <v>11264</v>
      </c>
      <c r="J2650" s="0" t="s">
        <v>11265</v>
      </c>
      <c r="K2650" s="0" t="s">
        <v>160</v>
      </c>
      <c r="M2650" s="0" t="s">
        <v>11266</v>
      </c>
      <c r="N2650" s="0" t="str">
        <f aca="false">RIGHT(M2650,LEN(M2650)-FIND(" ",M2650))</f>
        <v>YOUNGSTOWN RD SE</v>
      </c>
      <c r="P2650" s="0" t="s">
        <v>145</v>
      </c>
      <c r="Q2650" s="0" t="s">
        <v>146</v>
      </c>
      <c r="R2650" s="0" t="n">
        <v>44484</v>
      </c>
      <c r="AD2650" s="0" t="s">
        <v>147</v>
      </c>
      <c r="AE2650" s="0" t="s">
        <v>148</v>
      </c>
      <c r="AF2650" s="0" t="s">
        <v>149</v>
      </c>
      <c r="AH2650" s="0" t="n">
        <v>14</v>
      </c>
      <c r="AI2650" s="0" t="n">
        <v>11</v>
      </c>
      <c r="AN2650" s="0" t="s">
        <v>145</v>
      </c>
      <c r="AO2650" s="0" t="s">
        <v>233</v>
      </c>
      <c r="AP2650" s="0" t="s">
        <v>234</v>
      </c>
      <c r="AQ2650" s="0" t="n">
        <v>9</v>
      </c>
      <c r="AR2650" s="0" t="n">
        <v>64</v>
      </c>
      <c r="AS2650" s="0" t="n">
        <v>32</v>
      </c>
      <c r="AU2650" s="0" t="n">
        <f aca="false">COUNTA($BA$2500:$EH$2500)</f>
        <v>7</v>
      </c>
      <c r="AV2650" s="0" t="n">
        <f aca="false">COUNTIF($BA$2500:$EH$2500,"D")</f>
        <v>1</v>
      </c>
      <c r="AW2650" s="0" t="n">
        <f aca="false">COUNTIF($BA$2500:$EH$2500,"R")</f>
        <v>0</v>
      </c>
      <c r="AX2650" s="0" t="n">
        <f aca="false">IF(BN2650="D",1,0)+IF(BO2650="D",1,0)+IF(BT2650="D",1,0)+IF(BU2650="D",1,0)+IF(BW2650="D",1,0)+IF(CC2650="D",1,0)+IF(CD2650="D",1,0)+IF(CE2650="D",1,0)+IF(CF2650="D",1,0)+IF(CL2650="D",1,0)+IF(CM2650="D",1,0)+IF(CQ2650="D",1,0)+IF(CR2650="D",1,0)+IF(CS2650="D",1,0)+IF(CW2650="D",1,0)+IF(CX2650="D",1,0)+IF(DD2650="D",1,0)+IF(DE2650="D",1,0)+IF(DJ2650="D",1,0)+IF(DK2650="D",1,0)+IF(DO2650="D",1,0)+IF(DP2650="D",1,0)+IF(DQ2650="D",1,0)+IF(DW2650="D",1,0)+IF(DZ2650="D",1,0)+IF(EH2650="D",1,0)</f>
        <v>0</v>
      </c>
      <c r="AY2650" s="0" t="n">
        <f aca="false">COUNTIF(DU2650:EH2650, "&lt;&gt;")</f>
        <v>1</v>
      </c>
      <c r="AZ2650" s="0" t="n">
        <f aca="false">IF(EH2650&lt;&gt;"",1,0)</f>
        <v>0</v>
      </c>
      <c r="BB2650" s="0" t="s">
        <v>152</v>
      </c>
      <c r="EF2650" s="0" t="s">
        <v>153</v>
      </c>
    </row>
    <row r="2651" customFormat="false" ht="13.8" hidden="true" customHeight="false" outlineLevel="0" collapsed="false">
      <c r="A2651" s="0" t="s">
        <v>11267</v>
      </c>
      <c r="B2651" s="0" t="n">
        <v>78</v>
      </c>
      <c r="C2651" s="0" t="n">
        <v>478308</v>
      </c>
      <c r="D2651" s="0" t="s">
        <v>11263</v>
      </c>
      <c r="E2651" s="0" t="s">
        <v>11268</v>
      </c>
      <c r="F2651" s="0" t="str">
        <f aca="false">CONCATENATE(D2651," ",LEFT(H2651,4),"T=",AU2651,"D=",AV2651,"R=",AW2651,"M=",AX2651,"L=",AY2651,"B=",AZ2651)</f>
        <v>LONGWELL T=1D=0R=0M=0L=1B=0</v>
      </c>
      <c r="G2651" s="0" t="s">
        <v>11269</v>
      </c>
      <c r="I2651" s="0" t="s">
        <v>11270</v>
      </c>
      <c r="J2651" s="0" t="s">
        <v>10454</v>
      </c>
      <c r="K2651" s="0" t="s">
        <v>160</v>
      </c>
      <c r="M2651" s="0" t="s">
        <v>11266</v>
      </c>
      <c r="N2651" s="0" t="str">
        <f aca="false">RIGHT(M2651,LEN(M2651)-FIND(" ",M2651))</f>
        <v>YOUNGSTOWN RD SE</v>
      </c>
      <c r="P2651" s="0" t="s">
        <v>145</v>
      </c>
      <c r="Q2651" s="0" t="s">
        <v>146</v>
      </c>
      <c r="R2651" s="0" t="n">
        <v>44484</v>
      </c>
      <c r="AD2651" s="0" t="s">
        <v>147</v>
      </c>
      <c r="AE2651" s="0" t="s">
        <v>148</v>
      </c>
      <c r="AF2651" s="0" t="s">
        <v>149</v>
      </c>
      <c r="AH2651" s="0" t="n">
        <v>14</v>
      </c>
      <c r="AI2651" s="0" t="n">
        <v>11</v>
      </c>
      <c r="AN2651" s="0" t="s">
        <v>145</v>
      </c>
      <c r="AO2651" s="0" t="s">
        <v>233</v>
      </c>
      <c r="AP2651" s="0" t="s">
        <v>234</v>
      </c>
      <c r="AQ2651" s="0" t="n">
        <v>9</v>
      </c>
      <c r="AR2651" s="0" t="n">
        <v>64</v>
      </c>
      <c r="AS2651" s="0" t="n">
        <v>32</v>
      </c>
      <c r="AU2651" s="0" t="n">
        <f aca="false">COUNTA($BA$2550:$EH$2550)</f>
        <v>1</v>
      </c>
      <c r="AV2651" s="0" t="n">
        <f aca="false">COUNTIF($BA$2550:$EH$2550,"D")</f>
        <v>0</v>
      </c>
      <c r="AW2651" s="0" t="n">
        <f aca="false">COUNTIF($BA$2550:$EH$2550,"R")</f>
        <v>0</v>
      </c>
      <c r="AX2651" s="0" t="n">
        <f aca="false">IF(BN2651="D",1,0)+IF(BO2651="D",1,0)+IF(BT2651="D",1,0)+IF(BU2651="D",1,0)+IF(BW2651="D",1,0)+IF(CC2651="D",1,0)+IF(CD2651="D",1,0)+IF(CE2651="D",1,0)+IF(CF2651="D",1,0)+IF(CL2651="D",1,0)+IF(CM2651="D",1,0)+IF(CQ2651="D",1,0)+IF(CR2651="D",1,0)+IF(CS2651="D",1,0)+IF(CW2651="D",1,0)+IF(CX2651="D",1,0)+IF(DD2651="D",1,0)+IF(DE2651="D",1,0)+IF(DJ2651="D",1,0)+IF(DK2651="D",1,0)+IF(DO2651="D",1,0)+IF(DP2651="D",1,0)+IF(DQ2651="D",1,0)+IF(DW2651="D",1,0)+IF(DZ2651="D",1,0)+IF(EH2651="D",1,0)</f>
        <v>0</v>
      </c>
      <c r="AY2651" s="0" t="n">
        <f aca="false">COUNTIF(DU2651:EH2651, "&lt;&gt;")</f>
        <v>1</v>
      </c>
      <c r="AZ2651" s="0" t="n">
        <f aca="false">IF(EH2651&lt;&gt;"",1,0)</f>
        <v>0</v>
      </c>
      <c r="BB2651" s="0" t="s">
        <v>152</v>
      </c>
      <c r="EF2651" s="0" t="s">
        <v>153</v>
      </c>
    </row>
    <row r="2652" customFormat="false" ht="13.8" hidden="false" customHeight="false" outlineLevel="0" collapsed="false">
      <c r="A2652" s="0" t="s">
        <v>11271</v>
      </c>
      <c r="B2652" s="0" t="n">
        <v>78</v>
      </c>
      <c r="C2652" s="0" t="n">
        <v>390522</v>
      </c>
      <c r="D2652" s="0" t="s">
        <v>11272</v>
      </c>
      <c r="E2652" s="0" t="s">
        <v>11273</v>
      </c>
      <c r="F2652" s="0" t="str">
        <f aca="false">CONCATENATE(D2652," ",LEFT(H2652,4),"T=",AU2652,"D=",AV2652,"R=",AW2652,"M=",AX2652,"L=",AY2652,"B=",AZ2652)</f>
        <v>ROBISON T=2D=0R=0M=0L=2B=0</v>
      </c>
      <c r="G2652" s="0" t="s">
        <v>209</v>
      </c>
      <c r="I2652" s="0" t="s">
        <v>11274</v>
      </c>
      <c r="J2652" s="0" t="s">
        <v>2515</v>
      </c>
      <c r="K2652" s="0" t="s">
        <v>160</v>
      </c>
      <c r="M2652" s="0" t="s">
        <v>11275</v>
      </c>
      <c r="N2652" s="0" t="str">
        <f aca="false">RIGHT(M2652,LEN(M2652)-FIND(" ",M2652))</f>
        <v>YOUNGSTOWN RD SE</v>
      </c>
      <c r="P2652" s="0" t="s">
        <v>145</v>
      </c>
      <c r="Q2652" s="0" t="s">
        <v>146</v>
      </c>
      <c r="R2652" s="0" t="n">
        <v>44484</v>
      </c>
      <c r="AD2652" s="0" t="s">
        <v>147</v>
      </c>
      <c r="AE2652" s="0" t="s">
        <v>148</v>
      </c>
      <c r="AF2652" s="0" t="s">
        <v>149</v>
      </c>
      <c r="AH2652" s="0" t="n">
        <v>14</v>
      </c>
      <c r="AI2652" s="0" t="n">
        <v>11</v>
      </c>
      <c r="AN2652" s="0" t="s">
        <v>145</v>
      </c>
      <c r="AO2652" s="0" t="s">
        <v>233</v>
      </c>
      <c r="AP2652" s="0" t="s">
        <v>234</v>
      </c>
      <c r="AQ2652" s="0" t="n">
        <v>9</v>
      </c>
      <c r="AR2652" s="0" t="n">
        <v>64</v>
      </c>
      <c r="AS2652" s="0" t="n">
        <v>32</v>
      </c>
      <c r="AU2652" s="0" t="n">
        <f aca="false">COUNTA($BA$2385:$EH$2385)</f>
        <v>2</v>
      </c>
      <c r="AV2652" s="0" t="n">
        <f aca="false">COUNTIF($BA$2385:$EH$2385,"D")</f>
        <v>0</v>
      </c>
      <c r="AW2652" s="0" t="n">
        <f aca="false">COUNTIF($BA$2385:$EH$2385,"R")</f>
        <v>0</v>
      </c>
      <c r="AX2652" s="0" t="n">
        <f aca="false">IF(BN2652="D",1,0)+IF(BO2652="D",1,0)+IF(BT2652="D",1,0)+IF(BU2652="D",1,0)+IF(BW2652="D",1,0)+IF(CC2652="D",1,0)+IF(CD2652="D",1,0)+IF(CE2652="D",1,0)+IF(CF2652="D",1,0)+IF(CL2652="D",1,0)+IF(CM2652="D",1,0)+IF(CQ2652="D",1,0)+IF(CR2652="D",1,0)+IF(CS2652="D",1,0)+IF(CW2652="D",1,0)+IF(CX2652="D",1,0)+IF(DD2652="D",1,0)+IF(DE2652="D",1,0)+IF(DJ2652="D",1,0)+IF(DK2652="D",1,0)+IF(DO2652="D",1,0)+IF(DP2652="D",1,0)+IF(DQ2652="D",1,0)+IF(DW2652="D",1,0)+IF(DZ2652="D",1,0)+IF(EH2652="D",1,0)</f>
        <v>0</v>
      </c>
      <c r="AY2652" s="0" t="n">
        <f aca="false">COUNTIF(DU2652:EH2652, "&lt;&gt;")</f>
        <v>2</v>
      </c>
      <c r="AZ2652" s="0" t="n">
        <f aca="false">IF(EH2652&lt;&gt;"",1,0)</f>
        <v>0</v>
      </c>
      <c r="BB2652" s="0" t="s">
        <v>152</v>
      </c>
      <c r="CP2652" s="0" t="s">
        <v>153</v>
      </c>
      <c r="DC2652" s="0" t="s">
        <v>153</v>
      </c>
      <c r="DI2652" s="0" t="s">
        <v>153</v>
      </c>
      <c r="DN2652" s="0" t="s">
        <v>153</v>
      </c>
      <c r="DU2652" s="0" t="s">
        <v>153</v>
      </c>
      <c r="EF2652" s="0" t="s">
        <v>153</v>
      </c>
    </row>
    <row r="2653" customFormat="false" ht="13.8" hidden="false" customHeight="false" outlineLevel="0" collapsed="false">
      <c r="A2653" s="0" t="s">
        <v>11276</v>
      </c>
      <c r="B2653" s="0" t="n">
        <v>78</v>
      </c>
      <c r="C2653" s="0" t="n">
        <v>305563</v>
      </c>
      <c r="D2653" s="0" t="s">
        <v>11272</v>
      </c>
      <c r="E2653" s="0" t="s">
        <v>943</v>
      </c>
      <c r="F2653" s="0" t="str">
        <f aca="false">CONCATENATE(D2653," ",LEFT(H2653,4),"T=",AU2653,"D=",AV2653,"R=",AW2653,"M=",AX2653,"L=",AY2653,"B=",AZ2653)</f>
        <v>ROBISON T=8D=0R=0M=0L=2B=0</v>
      </c>
      <c r="G2653" s="0" t="s">
        <v>268</v>
      </c>
      <c r="I2653" s="0" t="s">
        <v>11277</v>
      </c>
      <c r="J2653" s="0" t="s">
        <v>11278</v>
      </c>
      <c r="K2653" s="0" t="s">
        <v>160</v>
      </c>
      <c r="M2653" s="0" t="s">
        <v>11275</v>
      </c>
      <c r="N2653" s="0" t="str">
        <f aca="false">RIGHT(M2653,LEN(M2653)-FIND(" ",M2653))</f>
        <v>YOUNGSTOWN RD SE</v>
      </c>
      <c r="P2653" s="0" t="s">
        <v>145</v>
      </c>
      <c r="Q2653" s="0" t="s">
        <v>146</v>
      </c>
      <c r="R2653" s="0" t="n">
        <v>44484</v>
      </c>
      <c r="AD2653" s="0" t="s">
        <v>147</v>
      </c>
      <c r="AE2653" s="0" t="s">
        <v>148</v>
      </c>
      <c r="AF2653" s="0" t="s">
        <v>149</v>
      </c>
      <c r="AH2653" s="0" t="n">
        <v>14</v>
      </c>
      <c r="AI2653" s="0" t="n">
        <v>11</v>
      </c>
      <c r="AN2653" s="0" t="s">
        <v>145</v>
      </c>
      <c r="AO2653" s="0" t="s">
        <v>233</v>
      </c>
      <c r="AP2653" s="0" t="s">
        <v>234</v>
      </c>
      <c r="AQ2653" s="0" t="n">
        <v>9</v>
      </c>
      <c r="AR2653" s="0" t="n">
        <v>64</v>
      </c>
      <c r="AS2653" s="0" t="n">
        <v>32</v>
      </c>
      <c r="AU2653" s="0" t="n">
        <f aca="false">COUNTA($BA$2510:$EH$2510)</f>
        <v>8</v>
      </c>
      <c r="AV2653" s="0" t="n">
        <f aca="false">COUNTIF($BA$2510:$EH$2510,"D")</f>
        <v>0</v>
      </c>
      <c r="AW2653" s="0" t="n">
        <f aca="false">COUNTIF($BA$2510:$EH$2510,"R")</f>
        <v>0</v>
      </c>
      <c r="AX2653" s="0" t="n">
        <f aca="false">IF(BN2653="D",1,0)+IF(BO2653="D",1,0)+IF(BT2653="D",1,0)+IF(BU2653="D",1,0)+IF(BW2653="D",1,0)+IF(CC2653="D",1,0)+IF(CD2653="D",1,0)+IF(CE2653="D",1,0)+IF(CF2653="D",1,0)+IF(CL2653="D",1,0)+IF(CM2653="D",1,0)+IF(CQ2653="D",1,0)+IF(CR2653="D",1,0)+IF(CS2653="D",1,0)+IF(CW2653="D",1,0)+IF(CX2653="D",1,0)+IF(DD2653="D",1,0)+IF(DE2653="D",1,0)+IF(DJ2653="D",1,0)+IF(DK2653="D",1,0)+IF(DO2653="D",1,0)+IF(DP2653="D",1,0)+IF(DQ2653="D",1,0)+IF(DW2653="D",1,0)+IF(DZ2653="D",1,0)+IF(EH2653="D",1,0)</f>
        <v>0</v>
      </c>
      <c r="AY2653" s="0" t="n">
        <f aca="false">COUNTIF(DU2653:EH2653, "&lt;&gt;")</f>
        <v>2</v>
      </c>
      <c r="AZ2653" s="0" t="n">
        <f aca="false">IF(EH2653&lt;&gt;"",1,0)</f>
        <v>0</v>
      </c>
      <c r="BB2653" s="0" t="s">
        <v>152</v>
      </c>
      <c r="CP2653" s="0" t="s">
        <v>153</v>
      </c>
      <c r="DC2653" s="0" t="s">
        <v>153</v>
      </c>
      <c r="DI2653" s="0" t="s">
        <v>153</v>
      </c>
      <c r="DN2653" s="0" t="s">
        <v>153</v>
      </c>
      <c r="DU2653" s="0" t="s">
        <v>153</v>
      </c>
      <c r="EF2653" s="0" t="s">
        <v>153</v>
      </c>
    </row>
    <row r="2654" customFormat="false" ht="13.8" hidden="true" customHeight="false" outlineLevel="0" collapsed="false">
      <c r="A2654" s="0" t="s">
        <v>11279</v>
      </c>
      <c r="B2654" s="0" t="n">
        <v>78</v>
      </c>
      <c r="C2654" s="0" t="n">
        <v>386547</v>
      </c>
      <c r="D2654" s="0" t="s">
        <v>3372</v>
      </c>
      <c r="E2654" s="0" t="s">
        <v>324</v>
      </c>
      <c r="F2654" s="0" t="str">
        <f aca="false">CONCATENATE(D2654," ",LEFT(H2654,4),"T=",AU2654,"D=",AV2654,"R=",AW2654,"M=",AX2654,"L=",AY2654,"B=",AZ2654)</f>
        <v>HOLMES T=16D=0R=0M=0L=0B=0</v>
      </c>
      <c r="G2654" s="0" t="s">
        <v>11280</v>
      </c>
      <c r="I2654" s="0" t="s">
        <v>11281</v>
      </c>
      <c r="J2654" s="0" t="s">
        <v>11282</v>
      </c>
      <c r="K2654" s="0" t="s">
        <v>143</v>
      </c>
      <c r="M2654" s="0" t="s">
        <v>11283</v>
      </c>
      <c r="N2654" s="0" t="str">
        <f aca="false">RIGHT(M2654,LEN(M2654)-FIND(" ",M2654))</f>
        <v>YOUNGSTOWN RD SE</v>
      </c>
      <c r="P2654" s="0" t="s">
        <v>145</v>
      </c>
      <c r="Q2654" s="0" t="s">
        <v>146</v>
      </c>
      <c r="R2654" s="0" t="n">
        <v>44484</v>
      </c>
      <c r="AD2654" s="0" t="s">
        <v>147</v>
      </c>
      <c r="AE2654" s="0" t="s">
        <v>148</v>
      </c>
      <c r="AF2654" s="0" t="s">
        <v>149</v>
      </c>
      <c r="AH2654" s="0" t="n">
        <v>14</v>
      </c>
      <c r="AI2654" s="0" t="n">
        <v>11</v>
      </c>
      <c r="AN2654" s="0" t="s">
        <v>145</v>
      </c>
      <c r="AO2654" s="0" t="s">
        <v>233</v>
      </c>
      <c r="AP2654" s="0" t="s">
        <v>234</v>
      </c>
      <c r="AQ2654" s="0" t="n">
        <v>9</v>
      </c>
      <c r="AR2654" s="0" t="n">
        <v>64</v>
      </c>
      <c r="AS2654" s="0" t="n">
        <v>32</v>
      </c>
      <c r="AU2654" s="0" t="n">
        <f aca="false">COUNTA($BA$2546:$EH$2546)</f>
        <v>16</v>
      </c>
      <c r="AV2654" s="0" t="n">
        <f aca="false">COUNTIF($BA$2546:$EH$2546,"D")</f>
        <v>0</v>
      </c>
      <c r="AW2654" s="0" t="n">
        <f aca="false">COUNTIF($BA$2546:$EH$2546,"R")</f>
        <v>0</v>
      </c>
      <c r="AX2654" s="0" t="n">
        <f aca="false">IF(BN2654="D",1,0)+IF(BO2654="D",1,0)+IF(BT2654="D",1,0)+IF(BU2654="D",1,0)+IF(BW2654="D",1,0)+IF(CC2654="D",1,0)+IF(CD2654="D",1,0)+IF(CE2654="D",1,0)+IF(CF2654="D",1,0)+IF(CL2654="D",1,0)+IF(CM2654="D",1,0)+IF(CQ2654="D",1,0)+IF(CR2654="D",1,0)+IF(CS2654="D",1,0)+IF(CW2654="D",1,0)+IF(CX2654="D",1,0)+IF(DD2654="D",1,0)+IF(DE2654="D",1,0)+IF(DJ2654="D",1,0)+IF(DK2654="D",1,0)+IF(DO2654="D",1,0)+IF(DP2654="D",1,0)+IF(DQ2654="D",1,0)+IF(DW2654="D",1,0)+IF(DZ2654="D",1,0)+IF(EH2654="D",1,0)</f>
        <v>0</v>
      </c>
      <c r="AY2654" s="0" t="n">
        <f aca="false">COUNTIF(DU2654:EH2654, "&lt;&gt;")</f>
        <v>0</v>
      </c>
      <c r="AZ2654" s="0" t="n">
        <f aca="false">IF(EH2654&lt;&gt;"",1,0)</f>
        <v>0</v>
      </c>
      <c r="BB2654" s="0" t="s">
        <v>152</v>
      </c>
    </row>
    <row r="2655" customFormat="false" ht="13.8" hidden="true" customHeight="false" outlineLevel="0" collapsed="false">
      <c r="A2655" s="0" t="s">
        <v>11284</v>
      </c>
      <c r="B2655" s="0" t="n">
        <v>78</v>
      </c>
      <c r="C2655" s="0" t="n">
        <v>346081</v>
      </c>
      <c r="D2655" s="0" t="s">
        <v>3372</v>
      </c>
      <c r="E2655" s="0" t="s">
        <v>11285</v>
      </c>
      <c r="F2655" s="0" t="str">
        <f aca="false">CONCATENATE(D2655," ",LEFT(H2655,4),"T=",AU2655,"D=",AV2655,"R=",AW2655,"M=",AX2655,"L=",AY2655,"B=",AZ2655)</f>
        <v>HOLMES T=1D=0R=0M=0L=1B=0</v>
      </c>
      <c r="G2655" s="0" t="s">
        <v>209</v>
      </c>
      <c r="I2655" s="0" t="s">
        <v>11286</v>
      </c>
      <c r="J2655" s="0" t="s">
        <v>2382</v>
      </c>
      <c r="K2655" s="0" t="s">
        <v>160</v>
      </c>
      <c r="M2655" s="0" t="s">
        <v>11283</v>
      </c>
      <c r="N2655" s="0" t="str">
        <f aca="false">RIGHT(M2655,LEN(M2655)-FIND(" ",M2655))</f>
        <v>YOUNGSTOWN RD SE</v>
      </c>
      <c r="P2655" s="0" t="s">
        <v>145</v>
      </c>
      <c r="Q2655" s="0" t="s">
        <v>146</v>
      </c>
      <c r="R2655" s="0" t="n">
        <v>44484</v>
      </c>
      <c r="AD2655" s="0" t="s">
        <v>147</v>
      </c>
      <c r="AE2655" s="0" t="s">
        <v>148</v>
      </c>
      <c r="AF2655" s="0" t="s">
        <v>149</v>
      </c>
      <c r="AH2655" s="0" t="n">
        <v>14</v>
      </c>
      <c r="AI2655" s="0" t="n">
        <v>11</v>
      </c>
      <c r="AN2655" s="0" t="s">
        <v>145</v>
      </c>
      <c r="AO2655" s="0" t="s">
        <v>233</v>
      </c>
      <c r="AP2655" s="0" t="s">
        <v>234</v>
      </c>
      <c r="AQ2655" s="0" t="n">
        <v>9</v>
      </c>
      <c r="AR2655" s="0" t="n">
        <v>64</v>
      </c>
      <c r="AS2655" s="0" t="n">
        <v>32</v>
      </c>
      <c r="AU2655" s="0" t="n">
        <f aca="false">COUNTA($BA$2610:$EH$2610)</f>
        <v>1</v>
      </c>
      <c r="AV2655" s="0" t="n">
        <f aca="false">COUNTIF($BA$2610:$EH$2610,"D")</f>
        <v>0</v>
      </c>
      <c r="AW2655" s="0" t="n">
        <f aca="false">COUNTIF($BA$2610:$EH$2610,"R")</f>
        <v>0</v>
      </c>
      <c r="AX2655" s="0" t="n">
        <f aca="false">IF(BN2655="D",1,0)+IF(BO2655="D",1,0)+IF(BT2655="D",1,0)+IF(BU2655="D",1,0)+IF(BW2655="D",1,0)+IF(CC2655="D",1,0)+IF(CD2655="D",1,0)+IF(CE2655="D",1,0)+IF(CF2655="D",1,0)+IF(CL2655="D",1,0)+IF(CM2655="D",1,0)+IF(CQ2655="D",1,0)+IF(CR2655="D",1,0)+IF(CS2655="D",1,0)+IF(CW2655="D",1,0)+IF(CX2655="D",1,0)+IF(DD2655="D",1,0)+IF(DE2655="D",1,0)+IF(DJ2655="D",1,0)+IF(DK2655="D",1,0)+IF(DO2655="D",1,0)+IF(DP2655="D",1,0)+IF(DQ2655="D",1,0)+IF(DW2655="D",1,0)+IF(DZ2655="D",1,0)+IF(EH2655="D",1,0)</f>
        <v>0</v>
      </c>
      <c r="AY2655" s="0" t="n">
        <f aca="false">COUNTIF(DU2655:EH2655, "&lt;&gt;")</f>
        <v>1</v>
      </c>
      <c r="AZ2655" s="0" t="n">
        <f aca="false">IF(EH2655&lt;&gt;"",1,0)</f>
        <v>0</v>
      </c>
      <c r="BB2655" s="0" t="s">
        <v>152</v>
      </c>
      <c r="CA2655" s="0" t="s">
        <v>153</v>
      </c>
      <c r="DC2655" s="0" t="s">
        <v>153</v>
      </c>
      <c r="DN2655" s="0" t="s">
        <v>153</v>
      </c>
      <c r="EF2655" s="0" t="s">
        <v>153</v>
      </c>
    </row>
    <row r="2656" customFormat="false" ht="13.8" hidden="true" customHeight="false" outlineLevel="0" collapsed="false">
      <c r="A2656" s="0" t="s">
        <v>11287</v>
      </c>
      <c r="B2656" s="0" t="n">
        <v>78</v>
      </c>
      <c r="C2656" s="0" t="n">
        <v>446521</v>
      </c>
      <c r="D2656" s="0" t="s">
        <v>11288</v>
      </c>
      <c r="E2656" s="0" t="s">
        <v>2952</v>
      </c>
      <c r="F2656" s="0" t="str">
        <f aca="false">CONCATENATE(D2656," ",LEFT(H2656,4),"T=",AU2656,"D=",AV2656,"R=",AW2656,"M=",AX2656,"L=",AY2656,"B=",AZ2656)</f>
        <v>MCADAMS T=15D=2R=0M=0L=0B=0</v>
      </c>
      <c r="G2656" s="0" t="s">
        <v>1310</v>
      </c>
      <c r="I2656" s="0" t="s">
        <v>11289</v>
      </c>
      <c r="J2656" s="0" t="s">
        <v>11290</v>
      </c>
      <c r="K2656" s="0" t="s">
        <v>160</v>
      </c>
      <c r="M2656" s="0" t="s">
        <v>11291</v>
      </c>
      <c r="N2656" s="0" t="str">
        <f aca="false">RIGHT(M2656,LEN(M2656)-FIND(" ",M2656))</f>
        <v>YOUNGSTOWN RD SE</v>
      </c>
      <c r="P2656" s="0" t="s">
        <v>145</v>
      </c>
      <c r="Q2656" s="0" t="s">
        <v>146</v>
      </c>
      <c r="R2656" s="0" t="n">
        <v>44484</v>
      </c>
      <c r="AD2656" s="0" t="s">
        <v>147</v>
      </c>
      <c r="AE2656" s="0" t="s">
        <v>148</v>
      </c>
      <c r="AF2656" s="0" t="s">
        <v>149</v>
      </c>
      <c r="AH2656" s="0" t="n">
        <v>14</v>
      </c>
      <c r="AI2656" s="0" t="n">
        <v>11</v>
      </c>
      <c r="AN2656" s="0" t="s">
        <v>145</v>
      </c>
      <c r="AO2656" s="0" t="s">
        <v>150</v>
      </c>
      <c r="AP2656" s="0" t="s">
        <v>151</v>
      </c>
      <c r="AQ2656" s="0" t="n">
        <v>9</v>
      </c>
      <c r="AR2656" s="0" t="n">
        <v>64</v>
      </c>
      <c r="AS2656" s="0" t="n">
        <v>32</v>
      </c>
      <c r="AU2656" s="0" t="n">
        <f aca="false">COUNTA($BA$246:$EH$246)</f>
        <v>15</v>
      </c>
      <c r="AV2656" s="0" t="n">
        <f aca="false">COUNTIF($BA$246:$EH$246,"D")</f>
        <v>2</v>
      </c>
      <c r="AW2656" s="0" t="n">
        <f aca="false">COUNTIF($BA$246:$EH$246,"R")</f>
        <v>0</v>
      </c>
      <c r="AX2656" s="0" t="n">
        <f aca="false">IF(BN2656="D",1,0)+IF(BO2656="D",1,0)+IF(BT2656="D",1,0)+IF(BU2656="D",1,0)+IF(BW2656="D",1,0)+IF(CC2656="D",1,0)+IF(CD2656="D",1,0)+IF(CE2656="D",1,0)+IF(CF2656="D",1,0)+IF(CL2656="D",1,0)+IF(CM2656="D",1,0)+IF(CQ2656="D",1,0)+IF(CR2656="D",1,0)+IF(CS2656="D",1,0)+IF(CW2656="D",1,0)+IF(CX2656="D",1,0)+IF(DD2656="D",1,0)+IF(DE2656="D",1,0)+IF(DJ2656="D",1,0)+IF(DK2656="D",1,0)+IF(DO2656="D",1,0)+IF(DP2656="D",1,0)+IF(DQ2656="D",1,0)+IF(DW2656="D",1,0)+IF(DZ2656="D",1,0)+IF(EH2656="D",1,0)</f>
        <v>0</v>
      </c>
      <c r="AY2656" s="0" t="n">
        <f aca="false">COUNTIF(DU2656:EH2656, "&lt;&gt;")</f>
        <v>0</v>
      </c>
      <c r="AZ2656" s="0" t="n">
        <f aca="false">IF(EH2656&lt;&gt;"",1,0)</f>
        <v>0</v>
      </c>
      <c r="BB2656" s="0" t="s">
        <v>152</v>
      </c>
    </row>
    <row r="2657" customFormat="false" ht="13.8" hidden="true" customHeight="false" outlineLevel="0" collapsed="false">
      <c r="A2657" s="0" t="s">
        <v>11292</v>
      </c>
      <c r="B2657" s="0" t="n">
        <v>78</v>
      </c>
      <c r="C2657" s="0" t="n">
        <v>494286</v>
      </c>
      <c r="D2657" s="0" t="s">
        <v>8803</v>
      </c>
      <c r="E2657" s="0" t="s">
        <v>11293</v>
      </c>
      <c r="F2657" s="0" t="str">
        <f aca="false">CONCATENATE(D2657," ",LEFT(H2657,4),"T=",AU2657,"D=",AV2657,"R=",AW2657,"M=",AX2657,"L=",AY2657,"B=",AZ2657)</f>
        <v>BALL T=15D=0R=4M=0L=0B=0</v>
      </c>
      <c r="G2657" s="0" t="s">
        <v>1596</v>
      </c>
      <c r="I2657" s="0" t="s">
        <v>11294</v>
      </c>
      <c r="J2657" s="0" t="s">
        <v>11295</v>
      </c>
      <c r="K2657" s="0" t="s">
        <v>160</v>
      </c>
      <c r="M2657" s="0" t="s">
        <v>11296</v>
      </c>
      <c r="N2657" s="0" t="str">
        <f aca="false">RIGHT(M2657,LEN(M2657)-FIND(" ",M2657))</f>
        <v>YOUNGSTOWN RD SE</v>
      </c>
      <c r="P2657" s="0" t="s">
        <v>145</v>
      </c>
      <c r="Q2657" s="0" t="s">
        <v>146</v>
      </c>
      <c r="R2657" s="0" t="n">
        <v>44484</v>
      </c>
      <c r="AD2657" s="0" t="s">
        <v>147</v>
      </c>
      <c r="AE2657" s="0" t="s">
        <v>148</v>
      </c>
      <c r="AF2657" s="0" t="s">
        <v>149</v>
      </c>
      <c r="AH2657" s="0" t="n">
        <v>14</v>
      </c>
      <c r="AI2657" s="0" t="n">
        <v>11</v>
      </c>
      <c r="AN2657" s="0" t="s">
        <v>145</v>
      </c>
      <c r="AO2657" s="0" t="s">
        <v>233</v>
      </c>
      <c r="AP2657" s="0" t="s">
        <v>234</v>
      </c>
      <c r="AQ2657" s="0" t="n">
        <v>9</v>
      </c>
      <c r="AR2657" s="0" t="n">
        <v>64</v>
      </c>
      <c r="AS2657" s="0" t="n">
        <v>32</v>
      </c>
      <c r="AU2657" s="0" t="n">
        <f aca="false">COUNTA($BA$2394:$EH$2394)</f>
        <v>15</v>
      </c>
      <c r="AV2657" s="0" t="n">
        <f aca="false">COUNTIF($BA$2394:$EH$2394,"D")</f>
        <v>0</v>
      </c>
      <c r="AW2657" s="0" t="n">
        <f aca="false">COUNTIF($BA$2394:$EH$2394,"R")</f>
        <v>4</v>
      </c>
      <c r="AX2657" s="0" t="n">
        <f aca="false">IF(BN2657="D",1,0)+IF(BO2657="D",1,0)+IF(BT2657="D",1,0)+IF(BU2657="D",1,0)+IF(BW2657="D",1,0)+IF(CC2657="D",1,0)+IF(CD2657="D",1,0)+IF(CE2657="D",1,0)+IF(CF2657="D",1,0)+IF(CL2657="D",1,0)+IF(CM2657="D",1,0)+IF(CQ2657="D",1,0)+IF(CR2657="D",1,0)+IF(CS2657="D",1,0)+IF(CW2657="D",1,0)+IF(CX2657="D",1,0)+IF(DD2657="D",1,0)+IF(DE2657="D",1,0)+IF(DJ2657="D",1,0)+IF(DK2657="D",1,0)+IF(DO2657="D",1,0)+IF(DP2657="D",1,0)+IF(DQ2657="D",1,0)+IF(DW2657="D",1,0)+IF(DZ2657="D",1,0)+IF(EH2657="D",1,0)</f>
        <v>0</v>
      </c>
      <c r="AY2657" s="0" t="n">
        <f aca="false">COUNTIF(DU2657:EH2657, "&lt;&gt;")</f>
        <v>0</v>
      </c>
      <c r="AZ2657" s="0" t="n">
        <f aca="false">IF(EH2657&lt;&gt;"",1,0)</f>
        <v>0</v>
      </c>
      <c r="BB2657" s="0" t="s">
        <v>152</v>
      </c>
      <c r="DI2657" s="0" t="s">
        <v>153</v>
      </c>
    </row>
    <row r="2658" customFormat="false" ht="13.8" hidden="true" customHeight="false" outlineLevel="0" collapsed="false">
      <c r="A2658" s="0" t="s">
        <v>11297</v>
      </c>
      <c r="B2658" s="0" t="n">
        <v>78</v>
      </c>
      <c r="C2658" s="0" t="n">
        <v>247760</v>
      </c>
      <c r="D2658" s="0" t="s">
        <v>4001</v>
      </c>
      <c r="E2658" s="0" t="s">
        <v>11298</v>
      </c>
      <c r="F2658" s="0" t="str">
        <f aca="false">CONCATENATE(D2658," ",LEFT(H2658,4),"T=",AU2658,"D=",AV2658,"R=",AW2658,"M=",AX2658,"L=",AY2658,"B=",AZ2658)</f>
        <v>COLEMAN T=1D=0R=0M=1L=1B=0</v>
      </c>
      <c r="G2658" s="0" t="s">
        <v>175</v>
      </c>
      <c r="I2658" s="0" t="s">
        <v>6231</v>
      </c>
      <c r="J2658" s="0" t="s">
        <v>404</v>
      </c>
      <c r="K2658" s="0" t="s">
        <v>160</v>
      </c>
      <c r="M2658" s="0" t="s">
        <v>11299</v>
      </c>
      <c r="N2658" s="0" t="str">
        <f aca="false">RIGHT(M2658,LEN(M2658)-FIND(" ",M2658))</f>
        <v>YOUNGSTOWN RD SE</v>
      </c>
      <c r="P2658" s="0" t="s">
        <v>145</v>
      </c>
      <c r="Q2658" s="0" t="s">
        <v>146</v>
      </c>
      <c r="R2658" s="0" t="n">
        <v>44484</v>
      </c>
      <c r="AD2658" s="0" t="s">
        <v>147</v>
      </c>
      <c r="AE2658" s="0" t="s">
        <v>148</v>
      </c>
      <c r="AF2658" s="0" t="s">
        <v>149</v>
      </c>
      <c r="AH2658" s="0" t="n">
        <v>14</v>
      </c>
      <c r="AI2658" s="0" t="n">
        <v>11</v>
      </c>
      <c r="AN2658" s="0" t="s">
        <v>145</v>
      </c>
      <c r="AO2658" s="0" t="s">
        <v>233</v>
      </c>
      <c r="AP2658" s="0" t="s">
        <v>234</v>
      </c>
      <c r="AQ2658" s="0" t="n">
        <v>9</v>
      </c>
      <c r="AR2658" s="0" t="n">
        <v>64</v>
      </c>
      <c r="AS2658" s="0" t="n">
        <v>32</v>
      </c>
      <c r="AU2658" s="0" t="n">
        <f aca="false">COUNTA($BA$2560:$EH$2560)</f>
        <v>1</v>
      </c>
      <c r="AV2658" s="0" t="n">
        <f aca="false">COUNTIF($BA$2560:$EH$2560,"D")</f>
        <v>0</v>
      </c>
      <c r="AW2658" s="0" t="n">
        <f aca="false">COUNTIF($BA$2560:$EH$2560,"R")</f>
        <v>0</v>
      </c>
      <c r="AX2658" s="0" t="n">
        <f aca="false">IF(BN2658="D",1,0)+IF(BO2658="D",1,0)+IF(BT2658="D",1,0)+IF(BU2658="D",1,0)+IF(BW2658="D",1,0)+IF(CC2658="D",1,0)+IF(CD2658="D",1,0)+IF(CE2658="D",1,0)+IF(CF2658="D",1,0)+IF(CL2658="D",1,0)+IF(CM2658="D",1,0)+IF(CQ2658="D",1,0)+IF(CR2658="D",1,0)+IF(CS2658="D",1,0)+IF(CW2658="D",1,0)+IF(CX2658="D",1,0)+IF(DD2658="D",1,0)+IF(DE2658="D",1,0)+IF(DJ2658="D",1,0)+IF(DK2658="D",1,0)+IF(DO2658="D",1,0)+IF(DP2658="D",1,0)+IF(DQ2658="D",1,0)+IF(DW2658="D",1,0)+IF(DZ2658="D",1,0)+IF(EH2658="D",1,0)</f>
        <v>1</v>
      </c>
      <c r="AY2658" s="0" t="n">
        <f aca="false">COUNTIF(DU2658:EH2658, "&lt;&gt;")</f>
        <v>1</v>
      </c>
      <c r="AZ2658" s="0" t="n">
        <f aca="false">IF(EH2658&lt;&gt;"",1,0)</f>
        <v>0</v>
      </c>
      <c r="BB2658" s="0" t="s">
        <v>152</v>
      </c>
      <c r="BD2658" s="0" t="s">
        <v>153</v>
      </c>
      <c r="BL2658" s="0" t="s">
        <v>153</v>
      </c>
      <c r="CA2658" s="0" t="s">
        <v>153</v>
      </c>
      <c r="CL2658" s="0" t="s">
        <v>175</v>
      </c>
      <c r="CN2658" s="0" t="s">
        <v>153</v>
      </c>
      <c r="CP2658" s="0" t="s">
        <v>153</v>
      </c>
      <c r="CV2658" s="0" t="s">
        <v>153</v>
      </c>
      <c r="CY2658" s="0" t="s">
        <v>153</v>
      </c>
      <c r="CZ2658" s="0" t="s">
        <v>175</v>
      </c>
      <c r="DC2658" s="0" t="s">
        <v>153</v>
      </c>
      <c r="DN2658" s="0" t="s">
        <v>153</v>
      </c>
      <c r="EF2658" s="0" t="s">
        <v>153</v>
      </c>
    </row>
    <row r="2659" customFormat="false" ht="13.8" hidden="true" customHeight="false" outlineLevel="0" collapsed="false">
      <c r="A2659" s="0" t="s">
        <v>11300</v>
      </c>
      <c r="B2659" s="0" t="n">
        <v>78</v>
      </c>
      <c r="C2659" s="0" t="n">
        <v>418078</v>
      </c>
      <c r="D2659" s="0" t="s">
        <v>11301</v>
      </c>
      <c r="E2659" s="0" t="s">
        <v>4211</v>
      </c>
      <c r="F2659" s="0" t="str">
        <f aca="false">CONCATENATE(D2659," ",LEFT(H2659,4),"T=",AU2659,"D=",AV2659,"R=",AW2659,"M=",AX2659,"L=",AY2659,"B=",AZ2659)</f>
        <v>SARRA T=3D=0R=0M=0L=0B=0</v>
      </c>
      <c r="G2659" s="0" t="s">
        <v>209</v>
      </c>
      <c r="I2659" s="0" t="s">
        <v>9371</v>
      </c>
      <c r="J2659" s="0" t="s">
        <v>399</v>
      </c>
      <c r="K2659" s="0" t="s">
        <v>160</v>
      </c>
      <c r="M2659" s="0" t="s">
        <v>11302</v>
      </c>
      <c r="N2659" s="0" t="str">
        <f aca="false">RIGHT(M2659,LEN(M2659)-FIND(" ",M2659))</f>
        <v>YOUNGSTOWN RD SE</v>
      </c>
      <c r="P2659" s="0" t="s">
        <v>145</v>
      </c>
      <c r="Q2659" s="0" t="s">
        <v>146</v>
      </c>
      <c r="R2659" s="0" t="n">
        <v>44484</v>
      </c>
      <c r="AD2659" s="0" t="s">
        <v>147</v>
      </c>
      <c r="AE2659" s="0" t="s">
        <v>148</v>
      </c>
      <c r="AF2659" s="0" t="s">
        <v>149</v>
      </c>
      <c r="AH2659" s="0" t="n">
        <v>14</v>
      </c>
      <c r="AI2659" s="0" t="n">
        <v>11</v>
      </c>
      <c r="AN2659" s="0" t="s">
        <v>145</v>
      </c>
      <c r="AO2659" s="0" t="s">
        <v>233</v>
      </c>
      <c r="AP2659" s="0" t="s">
        <v>234</v>
      </c>
      <c r="AQ2659" s="0" t="n">
        <v>9</v>
      </c>
      <c r="AR2659" s="0" t="n">
        <v>64</v>
      </c>
      <c r="AS2659" s="0" t="n">
        <v>32</v>
      </c>
      <c r="AU2659" s="0" t="n">
        <f aca="false">COUNTA($BA$2149:$EH$2149)</f>
        <v>3</v>
      </c>
      <c r="AV2659" s="0" t="n">
        <f aca="false">COUNTIF($BA$2149:$EH$2149,"D")</f>
        <v>0</v>
      </c>
      <c r="AW2659" s="0" t="n">
        <f aca="false">COUNTIF($BA$2149:$EH$2149,"R")</f>
        <v>0</v>
      </c>
      <c r="AX2659" s="0" t="n">
        <f aca="false">IF(BN2659="D",1,0)+IF(BO2659="D",1,0)+IF(BT2659="D",1,0)+IF(BU2659="D",1,0)+IF(BW2659="D",1,0)+IF(CC2659="D",1,0)+IF(CD2659="D",1,0)+IF(CE2659="D",1,0)+IF(CF2659="D",1,0)+IF(CL2659="D",1,0)+IF(CM2659="D",1,0)+IF(CQ2659="D",1,0)+IF(CR2659="D",1,0)+IF(CS2659="D",1,0)+IF(CW2659="D",1,0)+IF(CX2659="D",1,0)+IF(DD2659="D",1,0)+IF(DE2659="D",1,0)+IF(DJ2659="D",1,0)+IF(DK2659="D",1,0)+IF(DO2659="D",1,0)+IF(DP2659="D",1,0)+IF(DQ2659="D",1,0)+IF(DW2659="D",1,0)+IF(DZ2659="D",1,0)+IF(EH2659="D",1,0)</f>
        <v>0</v>
      </c>
      <c r="AY2659" s="0" t="n">
        <f aca="false">COUNTIF(DU2659:EH2659, "&lt;&gt;")</f>
        <v>0</v>
      </c>
      <c r="AZ2659" s="0" t="n">
        <f aca="false">IF(EH2659&lt;&gt;"",1,0)</f>
        <v>0</v>
      </c>
      <c r="BB2659" s="0" t="s">
        <v>152</v>
      </c>
      <c r="BL2659" s="0" t="s">
        <v>153</v>
      </c>
      <c r="DC2659" s="0" t="s">
        <v>153</v>
      </c>
      <c r="DN2659" s="0" t="s">
        <v>153</v>
      </c>
    </row>
    <row r="2660" customFormat="false" ht="13.8" hidden="true" customHeight="false" outlineLevel="0" collapsed="false">
      <c r="A2660" s="0" t="s">
        <v>11303</v>
      </c>
      <c r="B2660" s="0" t="n">
        <v>78</v>
      </c>
      <c r="C2660" s="0" t="n">
        <v>387817</v>
      </c>
      <c r="D2660" s="0" t="s">
        <v>1445</v>
      </c>
      <c r="E2660" s="0" t="s">
        <v>842</v>
      </c>
      <c r="F2660" s="0" t="str">
        <f aca="false">CONCATENATE(D2660," ",LEFT(H2660,4),"T=",AU2660,"D=",AV2660,"R=",AW2660,"M=",AX2660,"L=",AY2660,"B=",AZ2660)</f>
        <v>WILLIAMS T=5D=0R=0M=0L=0B=0</v>
      </c>
      <c r="G2660" s="0" t="s">
        <v>6287</v>
      </c>
      <c r="I2660" s="0" t="s">
        <v>11304</v>
      </c>
      <c r="J2660" s="0" t="s">
        <v>10654</v>
      </c>
      <c r="K2660" s="0" t="s">
        <v>143</v>
      </c>
      <c r="M2660" s="0" t="s">
        <v>11302</v>
      </c>
      <c r="N2660" s="0" t="str">
        <f aca="false">RIGHT(M2660,LEN(M2660)-FIND(" ",M2660))</f>
        <v>YOUNGSTOWN RD SE</v>
      </c>
      <c r="P2660" s="0" t="s">
        <v>145</v>
      </c>
      <c r="Q2660" s="0" t="s">
        <v>146</v>
      </c>
      <c r="R2660" s="0" t="n">
        <v>44484</v>
      </c>
      <c r="AD2660" s="0" t="s">
        <v>147</v>
      </c>
      <c r="AE2660" s="0" t="s">
        <v>148</v>
      </c>
      <c r="AF2660" s="0" t="s">
        <v>149</v>
      </c>
      <c r="AH2660" s="0" t="n">
        <v>14</v>
      </c>
      <c r="AI2660" s="0" t="n">
        <v>11</v>
      </c>
      <c r="AN2660" s="0" t="s">
        <v>145</v>
      </c>
      <c r="AO2660" s="0" t="s">
        <v>233</v>
      </c>
      <c r="AP2660" s="0" t="s">
        <v>234</v>
      </c>
      <c r="AQ2660" s="0" t="n">
        <v>9</v>
      </c>
      <c r="AR2660" s="0" t="n">
        <v>64</v>
      </c>
      <c r="AS2660" s="0" t="n">
        <v>32</v>
      </c>
      <c r="AU2660" s="0" t="n">
        <f aca="false">COUNTA($BA$2579:$EH$2579)</f>
        <v>5</v>
      </c>
      <c r="AV2660" s="0" t="n">
        <f aca="false">COUNTIF($BA$2579:$EH$2579,"D")</f>
        <v>0</v>
      </c>
      <c r="AW2660" s="0" t="n">
        <f aca="false">COUNTIF($BA$2579:$EH$2579,"R")</f>
        <v>0</v>
      </c>
      <c r="AX2660" s="0" t="n">
        <f aca="false">IF(BN2660="D",1,0)+IF(BO2660="D",1,0)+IF(BT2660="D",1,0)+IF(BU2660="D",1,0)+IF(BW2660="D",1,0)+IF(CC2660="D",1,0)+IF(CD2660="D",1,0)+IF(CE2660="D",1,0)+IF(CF2660="D",1,0)+IF(CL2660="D",1,0)+IF(CM2660="D",1,0)+IF(CQ2660="D",1,0)+IF(CR2660="D",1,0)+IF(CS2660="D",1,0)+IF(CW2660="D",1,0)+IF(CX2660="D",1,0)+IF(DD2660="D",1,0)+IF(DE2660="D",1,0)+IF(DJ2660="D",1,0)+IF(DK2660="D",1,0)+IF(DO2660="D",1,0)+IF(DP2660="D",1,0)+IF(DQ2660="D",1,0)+IF(DW2660="D",1,0)+IF(DZ2660="D",1,0)+IF(EH2660="D",1,0)</f>
        <v>0</v>
      </c>
      <c r="AY2660" s="0" t="n">
        <f aca="false">COUNTIF(DU2660:EH2660, "&lt;&gt;")</f>
        <v>0</v>
      </c>
      <c r="AZ2660" s="0" t="n">
        <f aca="false">IF(EH2660&lt;&gt;"",1,0)</f>
        <v>0</v>
      </c>
      <c r="BB2660" s="0" t="s">
        <v>152</v>
      </c>
      <c r="CP2660" s="0" t="s">
        <v>153</v>
      </c>
    </row>
    <row r="2661" customFormat="false" ht="13.8" hidden="true" customHeight="false" outlineLevel="0" collapsed="false">
      <c r="A2661" s="0" t="s">
        <v>11305</v>
      </c>
      <c r="B2661" s="0" t="n">
        <v>78</v>
      </c>
      <c r="C2661" s="0" t="n">
        <v>484534</v>
      </c>
      <c r="D2661" s="0" t="s">
        <v>11306</v>
      </c>
      <c r="E2661" s="0" t="s">
        <v>11307</v>
      </c>
      <c r="F2661" s="0" t="str">
        <f aca="false">CONCATENATE(D2661," ",LEFT(H2661,4),"T=",AU2661,"D=",AV2661,"R=",AW2661,"M=",AX2661,"L=",AY2661,"B=",AZ2661)</f>
        <v>SERRANO HERRERA T=1D=0R=0M=0L=0B=0</v>
      </c>
      <c r="G2661" s="0" t="s">
        <v>11308</v>
      </c>
      <c r="I2661" s="0" t="s">
        <v>7455</v>
      </c>
      <c r="J2661" s="0" t="s">
        <v>11309</v>
      </c>
      <c r="K2661" s="0" t="s">
        <v>160</v>
      </c>
      <c r="M2661" s="0" t="s">
        <v>11310</v>
      </c>
      <c r="N2661" s="0" t="str">
        <f aca="false">RIGHT(M2661,LEN(M2661)-FIND(" ",M2661))</f>
        <v>YOUNGSTOWN RD SE</v>
      </c>
      <c r="P2661" s="0" t="s">
        <v>145</v>
      </c>
      <c r="Q2661" s="0" t="s">
        <v>146</v>
      </c>
      <c r="R2661" s="0" t="n">
        <v>44484</v>
      </c>
      <c r="S2661" s="0" t="n">
        <v>4241</v>
      </c>
      <c r="AD2661" s="0" t="s">
        <v>147</v>
      </c>
      <c r="AE2661" s="0" t="s">
        <v>148</v>
      </c>
      <c r="AF2661" s="0" t="s">
        <v>149</v>
      </c>
      <c r="AH2661" s="0" t="n">
        <v>14</v>
      </c>
      <c r="AI2661" s="0" t="n">
        <v>11</v>
      </c>
      <c r="AN2661" s="0" t="s">
        <v>145</v>
      </c>
      <c r="AO2661" s="0" t="s">
        <v>150</v>
      </c>
      <c r="AP2661" s="0" t="s">
        <v>151</v>
      </c>
      <c r="AQ2661" s="0" t="n">
        <v>9</v>
      </c>
      <c r="AR2661" s="0" t="n">
        <v>64</v>
      </c>
      <c r="AS2661" s="0" t="n">
        <v>32</v>
      </c>
      <c r="AU2661" s="0" t="n">
        <f aca="false">COUNTA($BA$694:$EH$694)</f>
        <v>1</v>
      </c>
      <c r="AV2661" s="0" t="n">
        <f aca="false">COUNTIF($BA$694:$EH$694,"D")</f>
        <v>0</v>
      </c>
      <c r="AW2661" s="0" t="n">
        <f aca="false">COUNTIF($BA$694:$EH$694,"R")</f>
        <v>0</v>
      </c>
      <c r="AX2661" s="0" t="n">
        <f aca="false">IF(BN2661="D",1,0)+IF(BO2661="D",1,0)+IF(BT2661="D",1,0)+IF(BU2661="D",1,0)+IF(BW2661="D",1,0)+IF(CC2661="D",1,0)+IF(CD2661="D",1,0)+IF(CE2661="D",1,0)+IF(CF2661="D",1,0)+IF(CL2661="D",1,0)+IF(CM2661="D",1,0)+IF(CQ2661="D",1,0)+IF(CR2661="D",1,0)+IF(CS2661="D",1,0)+IF(CW2661="D",1,0)+IF(CX2661="D",1,0)+IF(DD2661="D",1,0)+IF(DE2661="D",1,0)+IF(DJ2661="D",1,0)+IF(DK2661="D",1,0)+IF(DO2661="D",1,0)+IF(DP2661="D",1,0)+IF(DQ2661="D",1,0)+IF(DW2661="D",1,0)+IF(DZ2661="D",1,0)+IF(EH2661="D",1,0)</f>
        <v>0</v>
      </c>
      <c r="AY2661" s="0" t="n">
        <f aca="false">COUNTIF(DU2661:EH2661, "&lt;&gt;")</f>
        <v>0</v>
      </c>
      <c r="AZ2661" s="0" t="n">
        <f aca="false">IF(EH2661&lt;&gt;"",1,0)</f>
        <v>0</v>
      </c>
      <c r="BB2661" s="0" t="s">
        <v>152</v>
      </c>
    </row>
    <row r="2662" customFormat="false" ht="13.8" hidden="false" customHeight="false" outlineLevel="0" collapsed="false">
      <c r="A2662" s="0" t="s">
        <v>11311</v>
      </c>
      <c r="B2662" s="0" t="n">
        <v>78</v>
      </c>
      <c r="C2662" s="0" t="n">
        <v>6056</v>
      </c>
      <c r="D2662" s="0" t="s">
        <v>11312</v>
      </c>
      <c r="E2662" s="0" t="s">
        <v>208</v>
      </c>
      <c r="F2662" s="0" t="str">
        <f aca="false">CONCATENATE(D2662," ",LEFT(H2662,4),"T=",AU2662,"D=",AV2662,"R=",AW2662,"M=",AX2662,"L=",AY2662,"B=",AZ2662)</f>
        <v>ZARICK T=3D=0R=0M=2L=6B=0</v>
      </c>
      <c r="G2662" s="0" t="s">
        <v>209</v>
      </c>
      <c r="I2662" s="0" t="s">
        <v>11313</v>
      </c>
      <c r="J2662" s="0" t="s">
        <v>4783</v>
      </c>
      <c r="K2662" s="0" t="s">
        <v>160</v>
      </c>
      <c r="L2662" s="0" t="s">
        <v>175</v>
      </c>
      <c r="M2662" s="0" t="s">
        <v>11314</v>
      </c>
      <c r="N2662" s="0" t="str">
        <f aca="false">RIGHT(M2662,LEN(M2662)-FIND(" ",M2662))</f>
        <v>YOUNGSTOWN RD SE</v>
      </c>
      <c r="P2662" s="0" t="s">
        <v>145</v>
      </c>
      <c r="Q2662" s="0" t="s">
        <v>146</v>
      </c>
      <c r="R2662" s="0" t="n">
        <v>44484</v>
      </c>
      <c r="AD2662" s="0" t="s">
        <v>147</v>
      </c>
      <c r="AE2662" s="0" t="s">
        <v>148</v>
      </c>
      <c r="AF2662" s="0" t="s">
        <v>149</v>
      </c>
      <c r="AH2662" s="0" t="n">
        <v>14</v>
      </c>
      <c r="AI2662" s="0" t="n">
        <v>11</v>
      </c>
      <c r="AN2662" s="0" t="s">
        <v>145</v>
      </c>
      <c r="AO2662" s="0" t="s">
        <v>233</v>
      </c>
      <c r="AP2662" s="0" t="s">
        <v>234</v>
      </c>
      <c r="AQ2662" s="0" t="n">
        <v>9</v>
      </c>
      <c r="AR2662" s="0" t="n">
        <v>64</v>
      </c>
      <c r="AS2662" s="0" t="n">
        <v>32</v>
      </c>
      <c r="AU2662" s="0" t="n">
        <f aca="false">COUNTA($BA$2170:$EH$2170)</f>
        <v>3</v>
      </c>
      <c r="AV2662" s="0" t="n">
        <f aca="false">COUNTIF($BA$2170:$EH$2170,"D")</f>
        <v>0</v>
      </c>
      <c r="AW2662" s="0" t="n">
        <f aca="false">COUNTIF($BA$2170:$EH$2170,"R")</f>
        <v>0</v>
      </c>
      <c r="AX2662" s="0" t="n">
        <f aca="false">IF(BN2662="D",1,0)+IF(BO2662="D",1,0)+IF(BT2662="D",1,0)+IF(BU2662="D",1,0)+IF(BW2662="D",1,0)+IF(CC2662="D",1,0)+IF(CD2662="D",1,0)+IF(CE2662="D",1,0)+IF(CF2662="D",1,0)+IF(CL2662="D",1,0)+IF(CM2662="D",1,0)+IF(CQ2662="D",1,0)+IF(CR2662="D",1,0)+IF(CS2662="D",1,0)+IF(CW2662="D",1,0)+IF(CX2662="D",1,0)+IF(DD2662="D",1,0)+IF(DE2662="D",1,0)+IF(DJ2662="D",1,0)+IF(DK2662="D",1,0)+IF(DO2662="D",1,0)+IF(DP2662="D",1,0)+IF(DQ2662="D",1,0)+IF(DW2662="D",1,0)+IF(DZ2662="D",1,0)+IF(EH2662="D",1,0)</f>
        <v>2</v>
      </c>
      <c r="AY2662" s="0" t="n">
        <f aca="false">COUNTIF(DU2662:EH2662, "&lt;&gt;")</f>
        <v>6</v>
      </c>
      <c r="AZ2662" s="0" t="n">
        <f aca="false">IF(EH2662&lt;&gt;"",1,0)</f>
        <v>0</v>
      </c>
      <c r="BB2662" s="0" t="s">
        <v>152</v>
      </c>
      <c r="BD2662" s="0" t="s">
        <v>153</v>
      </c>
      <c r="BE2662" s="0" t="s">
        <v>153</v>
      </c>
      <c r="BF2662" s="0" t="s">
        <v>153</v>
      </c>
      <c r="BH2662" s="0" t="s">
        <v>153</v>
      </c>
      <c r="BJ2662" s="0" t="s">
        <v>153</v>
      </c>
      <c r="BK2662" s="0" t="s">
        <v>153</v>
      </c>
      <c r="BL2662" s="0" t="s">
        <v>153</v>
      </c>
      <c r="BP2662" s="0" t="s">
        <v>153</v>
      </c>
      <c r="BR2662" s="0" t="s">
        <v>153</v>
      </c>
      <c r="BS2662" s="0" t="s">
        <v>153</v>
      </c>
      <c r="BV2662" s="0" t="s">
        <v>153</v>
      </c>
      <c r="BY2662" s="0" t="s">
        <v>175</v>
      </c>
      <c r="CA2662" s="0" t="s">
        <v>153</v>
      </c>
      <c r="CG2662" s="0" t="s">
        <v>153</v>
      </c>
      <c r="CK2662" s="0" t="s">
        <v>153</v>
      </c>
      <c r="CL2662" s="0" t="s">
        <v>175</v>
      </c>
      <c r="CN2662" s="0" t="s">
        <v>153</v>
      </c>
      <c r="CO2662" s="0" t="s">
        <v>175</v>
      </c>
      <c r="CP2662" s="0" t="s">
        <v>153</v>
      </c>
      <c r="CV2662" s="0" t="s">
        <v>153</v>
      </c>
      <c r="CY2662" s="0" t="s">
        <v>153</v>
      </c>
      <c r="CZ2662" s="0" t="s">
        <v>175</v>
      </c>
      <c r="DC2662" s="0" t="s">
        <v>153</v>
      </c>
      <c r="DF2662" s="0" t="s">
        <v>153</v>
      </c>
      <c r="DG2662" s="0" t="s">
        <v>175</v>
      </c>
      <c r="DI2662" s="0" t="s">
        <v>153</v>
      </c>
      <c r="DL2662" s="0" t="s">
        <v>153</v>
      </c>
      <c r="DN2662" s="0" t="s">
        <v>153</v>
      </c>
      <c r="DR2662" s="0" t="s">
        <v>153</v>
      </c>
      <c r="DU2662" s="0" t="s">
        <v>153</v>
      </c>
      <c r="DW2662" s="0" t="s">
        <v>175</v>
      </c>
      <c r="DX2662" s="0" t="s">
        <v>153</v>
      </c>
      <c r="EA2662" s="0" t="s">
        <v>153</v>
      </c>
      <c r="ED2662" s="0" t="s">
        <v>175</v>
      </c>
      <c r="EF2662" s="0" t="s">
        <v>153</v>
      </c>
    </row>
    <row r="2663" customFormat="false" ht="13.8" hidden="false" customHeight="false" outlineLevel="0" collapsed="false">
      <c r="A2663" s="0" t="s">
        <v>11315</v>
      </c>
      <c r="B2663" s="0" t="n">
        <v>78</v>
      </c>
      <c r="C2663" s="0" t="n">
        <v>25355</v>
      </c>
      <c r="D2663" s="0" t="s">
        <v>11312</v>
      </c>
      <c r="E2663" s="0" t="s">
        <v>11316</v>
      </c>
      <c r="F2663" s="0" t="str">
        <f aca="false">CONCATENATE(D2663," ",LEFT(H2663,4),"T=",AU2663,"D=",AV2663,"R=",AW2663,"M=",AX2663,"L=",AY2663,"B=",AZ2663)</f>
        <v>ZARICK T=16D=1R=1M=2L=6B=0</v>
      </c>
      <c r="G2663" s="0" t="s">
        <v>268</v>
      </c>
      <c r="I2663" s="0" t="s">
        <v>11317</v>
      </c>
      <c r="J2663" s="0" t="s">
        <v>11318</v>
      </c>
      <c r="K2663" s="0" t="s">
        <v>160</v>
      </c>
      <c r="L2663" s="0" t="s">
        <v>209</v>
      </c>
      <c r="M2663" s="0" t="s">
        <v>11314</v>
      </c>
      <c r="N2663" s="0" t="str">
        <f aca="false">RIGHT(M2663,LEN(M2663)-FIND(" ",M2663))</f>
        <v>YOUNGSTOWN RD SE</v>
      </c>
      <c r="P2663" s="0" t="s">
        <v>145</v>
      </c>
      <c r="Q2663" s="0" t="s">
        <v>146</v>
      </c>
      <c r="R2663" s="0" t="n">
        <v>44484</v>
      </c>
      <c r="AD2663" s="0" t="s">
        <v>147</v>
      </c>
      <c r="AE2663" s="0" t="s">
        <v>148</v>
      </c>
      <c r="AF2663" s="0" t="s">
        <v>149</v>
      </c>
      <c r="AH2663" s="0" t="n">
        <v>14</v>
      </c>
      <c r="AI2663" s="0" t="n">
        <v>11</v>
      </c>
      <c r="AN2663" s="0" t="s">
        <v>145</v>
      </c>
      <c r="AO2663" s="0" t="s">
        <v>233</v>
      </c>
      <c r="AP2663" s="0" t="s">
        <v>234</v>
      </c>
      <c r="AQ2663" s="0" t="n">
        <v>9</v>
      </c>
      <c r="AR2663" s="0" t="n">
        <v>64</v>
      </c>
      <c r="AS2663" s="0" t="n">
        <v>32</v>
      </c>
      <c r="AU2663" s="0" t="n">
        <f aca="false">COUNTA($BA$2356:$EH$2356)</f>
        <v>16</v>
      </c>
      <c r="AV2663" s="0" t="n">
        <f aca="false">COUNTIF($BA$2356:$EH$2356,"D")</f>
        <v>1</v>
      </c>
      <c r="AW2663" s="0" t="n">
        <f aca="false">COUNTIF($BA$2356:$EH$2356,"R")</f>
        <v>1</v>
      </c>
      <c r="AX2663" s="0" t="n">
        <f aca="false">IF(BN2663="D",1,0)+IF(BO2663="D",1,0)+IF(BT2663="D",1,0)+IF(BU2663="D",1,0)+IF(BW2663="D",1,0)+IF(CC2663="D",1,0)+IF(CD2663="D",1,0)+IF(CE2663="D",1,0)+IF(CF2663="D",1,0)+IF(CL2663="D",1,0)+IF(CM2663="D",1,0)+IF(CQ2663="D",1,0)+IF(CR2663="D",1,0)+IF(CS2663="D",1,0)+IF(CW2663="D",1,0)+IF(CX2663="D",1,0)+IF(DD2663="D",1,0)+IF(DE2663="D",1,0)+IF(DJ2663="D",1,0)+IF(DK2663="D",1,0)+IF(DO2663="D",1,0)+IF(DP2663="D",1,0)+IF(DQ2663="D",1,0)+IF(DW2663="D",1,0)+IF(DZ2663="D",1,0)+IF(EH2663="D",1,0)</f>
        <v>2</v>
      </c>
      <c r="AY2663" s="0" t="n">
        <f aca="false">COUNTIF(DU2663:EH2663, "&lt;&gt;")</f>
        <v>6</v>
      </c>
      <c r="AZ2663" s="0" t="n">
        <f aca="false">IF(EH2663&lt;&gt;"",1,0)</f>
        <v>0</v>
      </c>
      <c r="BB2663" s="0" t="s">
        <v>152</v>
      </c>
      <c r="BC2663" s="0" t="s">
        <v>153</v>
      </c>
      <c r="BD2663" s="0" t="s">
        <v>153</v>
      </c>
      <c r="BJ2663" s="0" t="s">
        <v>153</v>
      </c>
      <c r="BK2663" s="0" t="s">
        <v>153</v>
      </c>
      <c r="BL2663" s="0" t="s">
        <v>153</v>
      </c>
      <c r="BP2663" s="0" t="s">
        <v>153</v>
      </c>
      <c r="BR2663" s="0" t="s">
        <v>153</v>
      </c>
      <c r="BS2663" s="0" t="s">
        <v>153</v>
      </c>
      <c r="BV2663" s="0" t="s">
        <v>153</v>
      </c>
      <c r="BY2663" s="0" t="s">
        <v>175</v>
      </c>
      <c r="CA2663" s="0" t="s">
        <v>153</v>
      </c>
      <c r="CK2663" s="0" t="s">
        <v>153</v>
      </c>
      <c r="CL2663" s="0" t="s">
        <v>175</v>
      </c>
      <c r="CN2663" s="0" t="s">
        <v>153</v>
      </c>
      <c r="CO2663" s="0" t="s">
        <v>209</v>
      </c>
      <c r="CP2663" s="0" t="s">
        <v>153</v>
      </c>
      <c r="CV2663" s="0" t="s">
        <v>153</v>
      </c>
      <c r="CZ2663" s="0" t="s">
        <v>209</v>
      </c>
      <c r="DC2663" s="0" t="s">
        <v>153</v>
      </c>
      <c r="DF2663" s="0" t="s">
        <v>153</v>
      </c>
      <c r="DI2663" s="0" t="s">
        <v>153</v>
      </c>
      <c r="DL2663" s="0" t="s">
        <v>153</v>
      </c>
      <c r="DN2663" s="0" t="s">
        <v>153</v>
      </c>
      <c r="DR2663" s="0" t="s">
        <v>153</v>
      </c>
      <c r="DU2663" s="0" t="s">
        <v>153</v>
      </c>
      <c r="DW2663" s="0" t="s">
        <v>175</v>
      </c>
      <c r="DX2663" s="0" t="s">
        <v>153</v>
      </c>
      <c r="EA2663" s="0" t="s">
        <v>153</v>
      </c>
      <c r="ED2663" s="0" t="s">
        <v>209</v>
      </c>
      <c r="EF2663" s="0" t="s">
        <v>153</v>
      </c>
    </row>
    <row r="2664" customFormat="false" ht="13.8" hidden="false" customHeight="false" outlineLevel="0" collapsed="false">
      <c r="A2664" s="0" t="s">
        <v>11319</v>
      </c>
      <c r="B2664" s="0" t="n">
        <v>78</v>
      </c>
      <c r="C2664" s="0" t="n">
        <v>434253</v>
      </c>
      <c r="D2664" s="0" t="s">
        <v>11312</v>
      </c>
      <c r="E2664" s="0" t="s">
        <v>481</v>
      </c>
      <c r="F2664" s="0" t="str">
        <f aca="false">CONCATENATE(D2664," ",LEFT(H2664,4),"T=",AU2664,"D=",AV2664,"R=",AW2664,"M=",AX2664,"L=",AY2664,"B=",AZ2664)</f>
        <v>ZARICK T=7D=0R=0M=0L=3B=0</v>
      </c>
      <c r="G2664" s="0" t="s">
        <v>171</v>
      </c>
      <c r="I2664" s="0" t="s">
        <v>11320</v>
      </c>
      <c r="J2664" s="0" t="s">
        <v>7782</v>
      </c>
      <c r="K2664" s="0" t="s">
        <v>160</v>
      </c>
      <c r="L2664" s="0" t="s">
        <v>175</v>
      </c>
      <c r="M2664" s="0" t="s">
        <v>11314</v>
      </c>
      <c r="N2664" s="0" t="str">
        <f aca="false">RIGHT(M2664,LEN(M2664)-FIND(" ",M2664))</f>
        <v>YOUNGSTOWN RD SE</v>
      </c>
      <c r="P2664" s="0" t="s">
        <v>145</v>
      </c>
      <c r="Q2664" s="0" t="s">
        <v>146</v>
      </c>
      <c r="R2664" s="0" t="n">
        <v>44484</v>
      </c>
      <c r="AD2664" s="0" t="s">
        <v>147</v>
      </c>
      <c r="AE2664" s="0" t="s">
        <v>148</v>
      </c>
      <c r="AF2664" s="0" t="s">
        <v>149</v>
      </c>
      <c r="AH2664" s="0" t="n">
        <v>14</v>
      </c>
      <c r="AI2664" s="0" t="n">
        <v>11</v>
      </c>
      <c r="AN2664" s="0" t="s">
        <v>145</v>
      </c>
      <c r="AO2664" s="0" t="s">
        <v>233</v>
      </c>
      <c r="AP2664" s="0" t="s">
        <v>234</v>
      </c>
      <c r="AQ2664" s="0" t="n">
        <v>9</v>
      </c>
      <c r="AR2664" s="0" t="n">
        <v>64</v>
      </c>
      <c r="AS2664" s="0" t="n">
        <v>32</v>
      </c>
      <c r="AU2664" s="0" t="n">
        <f aca="false">COUNTA($BA$2605:$EH$2605)</f>
        <v>7</v>
      </c>
      <c r="AV2664" s="0" t="n">
        <f aca="false">COUNTIF($BA$2605:$EH$2605,"D")</f>
        <v>0</v>
      </c>
      <c r="AW2664" s="0" t="n">
        <f aca="false">COUNTIF($BA$2605:$EH$2605,"R")</f>
        <v>0</v>
      </c>
      <c r="AX2664" s="0" t="n">
        <f aca="false">IF(BN2664="D",1,0)+IF(BO2664="D",1,0)+IF(BT2664="D",1,0)+IF(BU2664="D",1,0)+IF(BW2664="D",1,0)+IF(CC2664="D",1,0)+IF(CD2664="D",1,0)+IF(CE2664="D",1,0)+IF(CF2664="D",1,0)+IF(CL2664="D",1,0)+IF(CM2664="D",1,0)+IF(CQ2664="D",1,0)+IF(CR2664="D",1,0)+IF(CS2664="D",1,0)+IF(CW2664="D",1,0)+IF(CX2664="D",1,0)+IF(DD2664="D",1,0)+IF(DE2664="D",1,0)+IF(DJ2664="D",1,0)+IF(DK2664="D",1,0)+IF(DO2664="D",1,0)+IF(DP2664="D",1,0)+IF(DQ2664="D",1,0)+IF(DW2664="D",1,0)+IF(DZ2664="D",1,0)+IF(EH2664="D",1,0)</f>
        <v>0</v>
      </c>
      <c r="AY2664" s="0" t="n">
        <f aca="false">COUNTIF(DU2664:EH2664, "&lt;&gt;")</f>
        <v>3</v>
      </c>
      <c r="AZ2664" s="0" t="n">
        <f aca="false">IF(EH2664&lt;&gt;"",1,0)</f>
        <v>0</v>
      </c>
      <c r="BB2664" s="0" t="s">
        <v>152</v>
      </c>
      <c r="DC2664" s="0" t="s">
        <v>153</v>
      </c>
      <c r="DF2664" s="0" t="s">
        <v>153</v>
      </c>
      <c r="DG2664" s="0" t="s">
        <v>175</v>
      </c>
      <c r="DN2664" s="0" t="s">
        <v>153</v>
      </c>
      <c r="DT2664" s="0" t="s">
        <v>175</v>
      </c>
      <c r="DU2664" s="0" t="s">
        <v>153</v>
      </c>
      <c r="EA2664" s="0" t="s">
        <v>153</v>
      </c>
      <c r="EF2664" s="0" t="s">
        <v>153</v>
      </c>
    </row>
    <row r="2665" customFormat="false" ht="13.8" hidden="true" customHeight="false" outlineLevel="0" collapsed="false">
      <c r="A2665" s="0" t="s">
        <v>11321</v>
      </c>
      <c r="B2665" s="0" t="n">
        <v>78</v>
      </c>
      <c r="C2665" s="0" t="n">
        <v>484974</v>
      </c>
      <c r="D2665" s="0" t="s">
        <v>11322</v>
      </c>
      <c r="E2665" s="0" t="s">
        <v>1282</v>
      </c>
      <c r="F2665" s="0" t="str">
        <f aca="false">CONCATENATE(D2665," ",LEFT(H2665,4),"T=",AU2665,"D=",AV2665,"R=",AW2665,"M=",AX2665,"L=",AY2665,"B=",AZ2665)</f>
        <v>MCCLOSKEY T=14D=0R=2M=1L=1B=0</v>
      </c>
      <c r="G2665" s="0" t="s">
        <v>8470</v>
      </c>
      <c r="I2665" s="0" t="s">
        <v>9075</v>
      </c>
      <c r="J2665" s="0" t="s">
        <v>9665</v>
      </c>
      <c r="K2665" s="0" t="s">
        <v>160</v>
      </c>
      <c r="M2665" s="0" t="s">
        <v>11323</v>
      </c>
      <c r="N2665" s="0" t="str">
        <f aca="false">RIGHT(M2665,LEN(M2665)-FIND(" ",M2665))</f>
        <v>YOUNGSTOWN RD SE</v>
      </c>
      <c r="P2665" s="0" t="s">
        <v>145</v>
      </c>
      <c r="Q2665" s="0" t="s">
        <v>146</v>
      </c>
      <c r="R2665" s="0" t="n">
        <v>44484</v>
      </c>
      <c r="AD2665" s="0" t="s">
        <v>147</v>
      </c>
      <c r="AE2665" s="0" t="s">
        <v>148</v>
      </c>
      <c r="AF2665" s="0" t="s">
        <v>149</v>
      </c>
      <c r="AH2665" s="0" t="n">
        <v>14</v>
      </c>
      <c r="AI2665" s="0" t="n">
        <v>11</v>
      </c>
      <c r="AN2665" s="0" t="s">
        <v>145</v>
      </c>
      <c r="AO2665" s="0" t="s">
        <v>233</v>
      </c>
      <c r="AP2665" s="0" t="s">
        <v>234</v>
      </c>
      <c r="AQ2665" s="0" t="n">
        <v>9</v>
      </c>
      <c r="AR2665" s="0" t="n">
        <v>64</v>
      </c>
      <c r="AS2665" s="0" t="n">
        <v>32</v>
      </c>
      <c r="AU2665" s="0" t="n">
        <f aca="false">COUNTA($BA$2131:$EH$2131)</f>
        <v>14</v>
      </c>
      <c r="AV2665" s="0" t="n">
        <f aca="false">COUNTIF($BA$2131:$EH$2131,"D")</f>
        <v>0</v>
      </c>
      <c r="AW2665" s="0" t="n">
        <f aca="false">COUNTIF($BA$2131:$EH$2131,"R")</f>
        <v>2</v>
      </c>
      <c r="AX2665" s="0" t="n">
        <f aca="false">IF(BN2665="D",1,0)+IF(BO2665="D",1,0)+IF(BT2665="D",1,0)+IF(BU2665="D",1,0)+IF(BW2665="D",1,0)+IF(CC2665="D",1,0)+IF(CD2665="D",1,0)+IF(CE2665="D",1,0)+IF(CF2665="D",1,0)+IF(CL2665="D",1,0)+IF(CM2665="D",1,0)+IF(CQ2665="D",1,0)+IF(CR2665="D",1,0)+IF(CS2665="D",1,0)+IF(CW2665="D",1,0)+IF(CX2665="D",1,0)+IF(DD2665="D",1,0)+IF(DE2665="D",1,0)+IF(DJ2665="D",1,0)+IF(DK2665="D",1,0)+IF(DO2665="D",1,0)+IF(DP2665="D",1,0)+IF(DQ2665="D",1,0)+IF(DW2665="D",1,0)+IF(DZ2665="D",1,0)+IF(EH2665="D",1,0)</f>
        <v>1</v>
      </c>
      <c r="AY2665" s="0" t="n">
        <f aca="false">COUNTIF(DU2665:EH2665, "&lt;&gt;")</f>
        <v>1</v>
      </c>
      <c r="AZ2665" s="0" t="n">
        <f aca="false">IF(EH2665&lt;&gt;"",1,0)</f>
        <v>0</v>
      </c>
      <c r="BB2665" s="0" t="s">
        <v>152</v>
      </c>
      <c r="CW2665" s="0" t="s">
        <v>175</v>
      </c>
      <c r="DC2665" s="0" t="s">
        <v>153</v>
      </c>
      <c r="EF2665" s="0" t="s">
        <v>153</v>
      </c>
    </row>
    <row r="2666" customFormat="false" ht="13.8" hidden="true" customHeight="false" outlineLevel="0" collapsed="false">
      <c r="A2666" s="0" t="s">
        <v>11324</v>
      </c>
      <c r="B2666" s="0" t="n">
        <v>78</v>
      </c>
      <c r="C2666" s="0" t="n">
        <v>491964</v>
      </c>
      <c r="D2666" s="0" t="s">
        <v>11322</v>
      </c>
      <c r="E2666" s="0" t="s">
        <v>3536</v>
      </c>
      <c r="F2666" s="0" t="str">
        <f aca="false">CONCATENATE(D2666," ",LEFT(H2666,4),"T=",AU2666,"D=",AV2666,"R=",AW2666,"M=",AX2666,"L=",AY2666,"B=",AZ2666)</f>
        <v>MCCLOSKEY T=1D=0R=0M=0L=0B=0</v>
      </c>
      <c r="G2666" s="0" t="s">
        <v>10048</v>
      </c>
      <c r="I2666" s="0" t="s">
        <v>11325</v>
      </c>
      <c r="J2666" s="0" t="s">
        <v>2284</v>
      </c>
      <c r="K2666" s="0" t="s">
        <v>160</v>
      </c>
      <c r="M2666" s="0" t="s">
        <v>11323</v>
      </c>
      <c r="N2666" s="0" t="str">
        <f aca="false">RIGHT(M2666,LEN(M2666)-FIND(" ",M2666))</f>
        <v>YOUNGSTOWN RD SE</v>
      </c>
      <c r="P2666" s="0" t="s">
        <v>145</v>
      </c>
      <c r="Q2666" s="0" t="s">
        <v>146</v>
      </c>
      <c r="R2666" s="0" t="n">
        <v>44484</v>
      </c>
      <c r="AD2666" s="0" t="s">
        <v>147</v>
      </c>
      <c r="AE2666" s="0" t="s">
        <v>148</v>
      </c>
      <c r="AF2666" s="0" t="s">
        <v>149</v>
      </c>
      <c r="AH2666" s="0" t="n">
        <v>14</v>
      </c>
      <c r="AI2666" s="0" t="n">
        <v>11</v>
      </c>
      <c r="AN2666" s="0" t="s">
        <v>145</v>
      </c>
      <c r="AO2666" s="0" t="s">
        <v>233</v>
      </c>
      <c r="AP2666" s="0" t="s">
        <v>234</v>
      </c>
      <c r="AQ2666" s="0" t="n">
        <v>9</v>
      </c>
      <c r="AR2666" s="0" t="n">
        <v>64</v>
      </c>
      <c r="AS2666" s="0" t="n">
        <v>32</v>
      </c>
      <c r="AU2666" s="0" t="n">
        <f aca="false">COUNTA($BA$2433:$EH$2433)</f>
        <v>1</v>
      </c>
      <c r="AV2666" s="0" t="n">
        <f aca="false">COUNTIF($BA$2433:$EH$2433,"D")</f>
        <v>0</v>
      </c>
      <c r="AW2666" s="0" t="n">
        <f aca="false">COUNTIF($BA$2433:$EH$2433,"R")</f>
        <v>0</v>
      </c>
      <c r="AX2666" s="0" t="n">
        <f aca="false">IF(BN2666="D",1,0)+IF(BO2666="D",1,0)+IF(BT2666="D",1,0)+IF(BU2666="D",1,0)+IF(BW2666="D",1,0)+IF(CC2666="D",1,0)+IF(CD2666="D",1,0)+IF(CE2666="D",1,0)+IF(CF2666="D",1,0)+IF(CL2666="D",1,0)+IF(CM2666="D",1,0)+IF(CQ2666="D",1,0)+IF(CR2666="D",1,0)+IF(CS2666="D",1,0)+IF(CW2666="D",1,0)+IF(CX2666="D",1,0)+IF(DD2666="D",1,0)+IF(DE2666="D",1,0)+IF(DJ2666="D",1,0)+IF(DK2666="D",1,0)+IF(DO2666="D",1,0)+IF(DP2666="D",1,0)+IF(DQ2666="D",1,0)+IF(DW2666="D",1,0)+IF(DZ2666="D",1,0)+IF(EH2666="D",1,0)</f>
        <v>0</v>
      </c>
      <c r="AY2666" s="0" t="n">
        <f aca="false">COUNTIF(DU2666:EH2666, "&lt;&gt;")</f>
        <v>0</v>
      </c>
      <c r="AZ2666" s="0" t="n">
        <f aca="false">IF(EH2666&lt;&gt;"",1,0)</f>
        <v>0</v>
      </c>
      <c r="BB2666" s="0" t="s">
        <v>152</v>
      </c>
    </row>
    <row r="2667" customFormat="false" ht="13.8" hidden="true" customHeight="false" outlineLevel="0" collapsed="false">
      <c r="A2667" s="0" t="s">
        <v>11326</v>
      </c>
      <c r="B2667" s="0" t="n">
        <v>78</v>
      </c>
      <c r="C2667" s="0" t="n">
        <v>481163</v>
      </c>
      <c r="D2667" s="0" t="s">
        <v>11327</v>
      </c>
      <c r="E2667" s="0" t="s">
        <v>785</v>
      </c>
      <c r="F2667" s="0" t="str">
        <f aca="false">CONCATENATE(D2667," ",LEFT(H2667,4),"T=",AU2667,"D=",AV2667,"R=",AW2667,"M=",AX2667,"L=",AY2667,"B=",AZ2667)</f>
        <v>HOLMES JONES T=1D=0R=0M=0L=1B=0</v>
      </c>
      <c r="G2667" s="0" t="s">
        <v>164</v>
      </c>
      <c r="I2667" s="0" t="s">
        <v>11328</v>
      </c>
      <c r="J2667" s="0" t="s">
        <v>11193</v>
      </c>
      <c r="K2667" s="0" t="s">
        <v>160</v>
      </c>
      <c r="M2667" s="0" t="s">
        <v>11329</v>
      </c>
      <c r="N2667" s="0" t="str">
        <f aca="false">RIGHT(M2667,LEN(M2667)-FIND(" ",M2667))</f>
        <v>YOUNGSTOWN RD SE</v>
      </c>
      <c r="O2667" s="0" t="s">
        <v>11330</v>
      </c>
      <c r="P2667" s="0" t="s">
        <v>145</v>
      </c>
      <c r="Q2667" s="0" t="s">
        <v>146</v>
      </c>
      <c r="R2667" s="0" t="n">
        <v>44484</v>
      </c>
      <c r="AD2667" s="0" t="s">
        <v>147</v>
      </c>
      <c r="AE2667" s="0" t="s">
        <v>148</v>
      </c>
      <c r="AF2667" s="0" t="s">
        <v>149</v>
      </c>
      <c r="AH2667" s="0" t="n">
        <v>14</v>
      </c>
      <c r="AI2667" s="0" t="n">
        <v>11</v>
      </c>
      <c r="AN2667" s="0" t="s">
        <v>145</v>
      </c>
      <c r="AO2667" s="0" t="s">
        <v>233</v>
      </c>
      <c r="AP2667" s="0" t="s">
        <v>234</v>
      </c>
      <c r="AQ2667" s="0" t="n">
        <v>9</v>
      </c>
      <c r="AR2667" s="0" t="n">
        <v>64</v>
      </c>
      <c r="AS2667" s="0" t="n">
        <v>32</v>
      </c>
      <c r="AU2667" s="0" t="n">
        <f aca="false">COUNTA($BA$2083:$EH$2083)</f>
        <v>1</v>
      </c>
      <c r="AV2667" s="0" t="n">
        <f aca="false">COUNTIF($BA$2083:$EH$2083,"D")</f>
        <v>0</v>
      </c>
      <c r="AW2667" s="0" t="n">
        <f aca="false">COUNTIF($BA$2083:$EH$2083,"R")</f>
        <v>0</v>
      </c>
      <c r="AX2667" s="0" t="n">
        <f aca="false">IF(BN2667="D",1,0)+IF(BO2667="D",1,0)+IF(BT2667="D",1,0)+IF(BU2667="D",1,0)+IF(BW2667="D",1,0)+IF(CC2667="D",1,0)+IF(CD2667="D",1,0)+IF(CE2667="D",1,0)+IF(CF2667="D",1,0)+IF(CL2667="D",1,0)+IF(CM2667="D",1,0)+IF(CQ2667="D",1,0)+IF(CR2667="D",1,0)+IF(CS2667="D",1,0)+IF(CW2667="D",1,0)+IF(CX2667="D",1,0)+IF(DD2667="D",1,0)+IF(DE2667="D",1,0)+IF(DJ2667="D",1,0)+IF(DK2667="D",1,0)+IF(DO2667="D",1,0)+IF(DP2667="D",1,0)+IF(DQ2667="D",1,0)+IF(DW2667="D",1,0)+IF(DZ2667="D",1,0)+IF(EH2667="D",1,0)</f>
        <v>0</v>
      </c>
      <c r="AY2667" s="0" t="n">
        <f aca="false">COUNTIF(DU2667:EH2667, "&lt;&gt;")</f>
        <v>1</v>
      </c>
      <c r="AZ2667" s="0" t="n">
        <f aca="false">IF(EH2667&lt;&gt;"",1,0)</f>
        <v>0</v>
      </c>
      <c r="BB2667" s="0" t="s">
        <v>152</v>
      </c>
      <c r="BY2667" s="0" t="s">
        <v>175</v>
      </c>
      <c r="CA2667" s="0" t="s">
        <v>153</v>
      </c>
      <c r="CP2667" s="0" t="s">
        <v>153</v>
      </c>
      <c r="CY2667" s="0" t="s">
        <v>153</v>
      </c>
      <c r="DC2667" s="0" t="s">
        <v>153</v>
      </c>
      <c r="DF2667" s="0" t="s">
        <v>153</v>
      </c>
      <c r="DG2667" s="0" t="s">
        <v>175</v>
      </c>
      <c r="DI2667" s="0" t="s">
        <v>153</v>
      </c>
      <c r="DN2667" s="0" t="s">
        <v>153</v>
      </c>
      <c r="EF2667" s="0" t="s">
        <v>153</v>
      </c>
    </row>
    <row r="2668" customFormat="false" ht="13.8" hidden="true" customHeight="false" outlineLevel="0" collapsed="false">
      <c r="A2668" s="0" t="s">
        <v>11331</v>
      </c>
      <c r="B2668" s="0" t="n">
        <v>78</v>
      </c>
      <c r="C2668" s="0" t="n">
        <v>277495</v>
      </c>
      <c r="D2668" s="0" t="s">
        <v>4030</v>
      </c>
      <c r="E2668" s="0" t="s">
        <v>469</v>
      </c>
      <c r="F2668" s="0" t="str">
        <f aca="false">CONCATENATE(D2668," ",LEFT(H2668,4),"T=",AU2668,"D=",AV2668,"R=",AW2668,"M=",AX2668,"L=",AY2668,"B=",AZ2668)</f>
        <v>GORE T=22D=4R=1M=0L=0B=0</v>
      </c>
      <c r="G2668" s="0" t="s">
        <v>11332</v>
      </c>
      <c r="I2668" s="0" t="s">
        <v>11333</v>
      </c>
      <c r="J2668" s="0" t="s">
        <v>11334</v>
      </c>
      <c r="K2668" s="0" t="s">
        <v>143</v>
      </c>
      <c r="M2668" s="0" t="s">
        <v>11329</v>
      </c>
      <c r="N2668" s="0" t="str">
        <f aca="false">RIGHT(M2668,LEN(M2668)-FIND(" ",M2668))</f>
        <v>YOUNGSTOWN RD SE</v>
      </c>
      <c r="O2668" s="0" t="s">
        <v>868</v>
      </c>
      <c r="P2668" s="0" t="s">
        <v>145</v>
      </c>
      <c r="Q2668" s="0" t="s">
        <v>146</v>
      </c>
      <c r="R2668" s="0" t="n">
        <v>44484</v>
      </c>
      <c r="AD2668" s="0" t="s">
        <v>147</v>
      </c>
      <c r="AE2668" s="0" t="s">
        <v>148</v>
      </c>
      <c r="AF2668" s="0" t="s">
        <v>149</v>
      </c>
      <c r="AH2668" s="0" t="n">
        <v>14</v>
      </c>
      <c r="AI2668" s="0" t="n">
        <v>11</v>
      </c>
      <c r="AN2668" s="0" t="s">
        <v>145</v>
      </c>
      <c r="AO2668" s="0" t="s">
        <v>233</v>
      </c>
      <c r="AP2668" s="0" t="s">
        <v>234</v>
      </c>
      <c r="AQ2668" s="0" t="n">
        <v>9</v>
      </c>
      <c r="AR2668" s="0" t="n">
        <v>64</v>
      </c>
      <c r="AS2668" s="0" t="n">
        <v>32</v>
      </c>
      <c r="AU2668" s="0" t="n">
        <f aca="false">COUNTA($BA$2204:$EH$2204)</f>
        <v>22</v>
      </c>
      <c r="AV2668" s="0" t="n">
        <f aca="false">COUNTIF($BA$2204:$EH$2204,"D")</f>
        <v>4</v>
      </c>
      <c r="AW2668" s="0" t="n">
        <f aca="false">COUNTIF($BA$2204:$EH$2204,"R")</f>
        <v>1</v>
      </c>
      <c r="AX2668" s="0" t="n">
        <f aca="false">IF(BN2668="D",1,0)+IF(BO2668="D",1,0)+IF(BT2668="D",1,0)+IF(BU2668="D",1,0)+IF(BW2668="D",1,0)+IF(CC2668="D",1,0)+IF(CD2668="D",1,0)+IF(CE2668="D",1,0)+IF(CF2668="D",1,0)+IF(CL2668="D",1,0)+IF(CM2668="D",1,0)+IF(CQ2668="D",1,0)+IF(CR2668="D",1,0)+IF(CS2668="D",1,0)+IF(CW2668="D",1,0)+IF(CX2668="D",1,0)+IF(DD2668="D",1,0)+IF(DE2668="D",1,0)+IF(DJ2668="D",1,0)+IF(DK2668="D",1,0)+IF(DO2668="D",1,0)+IF(DP2668="D",1,0)+IF(DQ2668="D",1,0)+IF(DW2668="D",1,0)+IF(DZ2668="D",1,0)+IF(EH2668="D",1,0)</f>
        <v>0</v>
      </c>
      <c r="AY2668" s="0" t="n">
        <f aca="false">COUNTIF(DU2668:EH2668, "&lt;&gt;")</f>
        <v>0</v>
      </c>
      <c r="AZ2668" s="0" t="n">
        <f aca="false">IF(EH2668&lt;&gt;"",1,0)</f>
        <v>0</v>
      </c>
      <c r="BB2668" s="0" t="s">
        <v>152</v>
      </c>
      <c r="BC2668" s="0" t="s">
        <v>153</v>
      </c>
      <c r="BD2668" s="0" t="s">
        <v>153</v>
      </c>
      <c r="BL2668" s="0" t="s">
        <v>153</v>
      </c>
      <c r="BP2668" s="0" t="s">
        <v>153</v>
      </c>
      <c r="BS2668" s="0" t="s">
        <v>153</v>
      </c>
      <c r="BV2668" s="0" t="s">
        <v>153</v>
      </c>
      <c r="BY2668" s="0" t="s">
        <v>175</v>
      </c>
      <c r="CA2668" s="0" t="s">
        <v>153</v>
      </c>
      <c r="CG2668" s="0" t="s">
        <v>153</v>
      </c>
      <c r="CK2668" s="0" t="s">
        <v>153</v>
      </c>
      <c r="CN2668" s="0" t="s">
        <v>153</v>
      </c>
      <c r="CP2668" s="0" t="s">
        <v>153</v>
      </c>
      <c r="DC2668" s="0" t="s">
        <v>153</v>
      </c>
    </row>
    <row r="2669" customFormat="false" ht="13.8" hidden="true" customHeight="false" outlineLevel="0" collapsed="false">
      <c r="A2669" s="0" t="s">
        <v>11335</v>
      </c>
      <c r="B2669" s="0" t="n">
        <v>78</v>
      </c>
      <c r="C2669" s="0" t="n">
        <v>420928</v>
      </c>
      <c r="D2669" s="0" t="s">
        <v>1661</v>
      </c>
      <c r="E2669" s="0" t="s">
        <v>1295</v>
      </c>
      <c r="F2669" s="0" t="str">
        <f aca="false">CONCATENATE(D2669," ",LEFT(H2669,4),"T=",AU2669,"D=",AV2669,"R=",AW2669,"M=",AX2669,"L=",AY2669,"B=",AZ2669)</f>
        <v>JACKSON T=11D=0R=0M=1L=0B=0</v>
      </c>
      <c r="G2669" s="0" t="s">
        <v>209</v>
      </c>
      <c r="I2669" s="0" t="s">
        <v>11336</v>
      </c>
      <c r="J2669" s="0" t="s">
        <v>2771</v>
      </c>
      <c r="K2669" s="0" t="s">
        <v>160</v>
      </c>
      <c r="M2669" s="0" t="s">
        <v>11329</v>
      </c>
      <c r="N2669" s="0" t="str">
        <f aca="false">RIGHT(M2669,LEN(M2669)-FIND(" ",M2669))</f>
        <v>YOUNGSTOWN RD SE</v>
      </c>
      <c r="P2669" s="0" t="s">
        <v>145</v>
      </c>
      <c r="Q2669" s="0" t="s">
        <v>146</v>
      </c>
      <c r="R2669" s="0" t="n">
        <v>44484</v>
      </c>
      <c r="AD2669" s="0" t="s">
        <v>147</v>
      </c>
      <c r="AE2669" s="0" t="s">
        <v>148</v>
      </c>
      <c r="AF2669" s="0" t="s">
        <v>149</v>
      </c>
      <c r="AH2669" s="0" t="n">
        <v>14</v>
      </c>
      <c r="AI2669" s="0" t="n">
        <v>11</v>
      </c>
      <c r="AN2669" s="0" t="s">
        <v>145</v>
      </c>
      <c r="AO2669" s="0" t="s">
        <v>233</v>
      </c>
      <c r="AP2669" s="0" t="s">
        <v>234</v>
      </c>
      <c r="AQ2669" s="0" t="n">
        <v>9</v>
      </c>
      <c r="AR2669" s="0" t="n">
        <v>64</v>
      </c>
      <c r="AS2669" s="0" t="n">
        <v>32</v>
      </c>
      <c r="AU2669" s="0" t="n">
        <f aca="false">COUNTA($BA$2256:$EH$2256)</f>
        <v>11</v>
      </c>
      <c r="AV2669" s="0" t="n">
        <f aca="false">COUNTIF($BA$2256:$EH$2256,"D")</f>
        <v>0</v>
      </c>
      <c r="AW2669" s="0" t="n">
        <f aca="false">COUNTIF($BA$2256:$EH$2256,"R")</f>
        <v>0</v>
      </c>
      <c r="AX2669" s="0" t="n">
        <f aca="false">IF(BN2669="D",1,0)+IF(BO2669="D",1,0)+IF(BT2669="D",1,0)+IF(BU2669="D",1,0)+IF(BW2669="D",1,0)+IF(CC2669="D",1,0)+IF(CD2669="D",1,0)+IF(CE2669="D",1,0)+IF(CF2669="D",1,0)+IF(CL2669="D",1,0)+IF(CM2669="D",1,0)+IF(CQ2669="D",1,0)+IF(CR2669="D",1,0)+IF(CS2669="D",1,0)+IF(CW2669="D",1,0)+IF(CX2669="D",1,0)+IF(DD2669="D",1,0)+IF(DE2669="D",1,0)+IF(DJ2669="D",1,0)+IF(DK2669="D",1,0)+IF(DO2669="D",1,0)+IF(DP2669="D",1,0)+IF(DQ2669="D",1,0)+IF(DW2669="D",1,0)+IF(DZ2669="D",1,0)+IF(EH2669="D",1,0)</f>
        <v>1</v>
      </c>
      <c r="AY2669" s="0" t="n">
        <f aca="false">COUNTIF(DU2669:EH2669, "&lt;&gt;")</f>
        <v>0</v>
      </c>
      <c r="AZ2669" s="0" t="n">
        <f aca="false">IF(EH2669&lt;&gt;"",1,0)</f>
        <v>0</v>
      </c>
      <c r="BB2669" s="0" t="s">
        <v>152</v>
      </c>
      <c r="CA2669" s="0" t="s">
        <v>153</v>
      </c>
      <c r="CP2669" s="0" t="s">
        <v>153</v>
      </c>
      <c r="DO2669" s="0" t="s">
        <v>175</v>
      </c>
    </row>
    <row r="2670" customFormat="false" ht="13.8" hidden="true" customHeight="false" outlineLevel="0" collapsed="false">
      <c r="A2670" s="0" t="s">
        <v>11337</v>
      </c>
      <c r="B2670" s="0" t="n">
        <v>78</v>
      </c>
      <c r="C2670" s="0" t="n">
        <v>415740</v>
      </c>
      <c r="D2670" s="0" t="s">
        <v>11338</v>
      </c>
      <c r="E2670" s="0" t="s">
        <v>11339</v>
      </c>
      <c r="F2670" s="0" t="str">
        <f aca="false">CONCATENATE(D2670," ",LEFT(H2670,4),"T=",AU2670,"D=",AV2670,"R=",AW2670,"M=",AX2670,"L=",AY2670,"B=",AZ2670)</f>
        <v>DULEY T=40D=12R=0M=0L=0B=0</v>
      </c>
      <c r="G2670" s="0" t="s">
        <v>325</v>
      </c>
      <c r="I2670" s="0" t="s">
        <v>11340</v>
      </c>
      <c r="J2670" s="0" t="s">
        <v>321</v>
      </c>
      <c r="K2670" s="0" t="s">
        <v>143</v>
      </c>
      <c r="M2670" s="0" t="s">
        <v>11329</v>
      </c>
      <c r="N2670" s="0" t="str">
        <f aca="false">RIGHT(M2670,LEN(M2670)-FIND(" ",M2670))</f>
        <v>YOUNGSTOWN RD SE</v>
      </c>
      <c r="O2670" s="0" t="s">
        <v>7403</v>
      </c>
      <c r="P2670" s="0" t="s">
        <v>145</v>
      </c>
      <c r="Q2670" s="0" t="s">
        <v>146</v>
      </c>
      <c r="R2670" s="0" t="n">
        <v>44484</v>
      </c>
      <c r="AD2670" s="0" t="s">
        <v>147</v>
      </c>
      <c r="AE2670" s="0" t="s">
        <v>148</v>
      </c>
      <c r="AF2670" s="0" t="s">
        <v>149</v>
      </c>
      <c r="AH2670" s="0" t="n">
        <v>14</v>
      </c>
      <c r="AI2670" s="0" t="n">
        <v>11</v>
      </c>
      <c r="AN2670" s="0" t="s">
        <v>145</v>
      </c>
      <c r="AO2670" s="0" t="s">
        <v>233</v>
      </c>
      <c r="AP2670" s="0" t="s">
        <v>234</v>
      </c>
      <c r="AQ2670" s="0" t="n">
        <v>9</v>
      </c>
      <c r="AR2670" s="0" t="n">
        <v>64</v>
      </c>
      <c r="AS2670" s="0" t="n">
        <v>32</v>
      </c>
      <c r="AU2670" s="0" t="n">
        <f aca="false">COUNTA($BA$2262:$EH$2262)</f>
        <v>40</v>
      </c>
      <c r="AV2670" s="0" t="n">
        <f aca="false">COUNTIF($BA$2262:$EH$2262,"D")</f>
        <v>12</v>
      </c>
      <c r="AW2670" s="0" t="n">
        <f aca="false">COUNTIF($BA$2262:$EH$2262,"R")</f>
        <v>0</v>
      </c>
      <c r="AX2670" s="0" t="n">
        <f aca="false">IF(BN2670="D",1,0)+IF(BO2670="D",1,0)+IF(BT2670="D",1,0)+IF(BU2670="D",1,0)+IF(BW2670="D",1,0)+IF(CC2670="D",1,0)+IF(CD2670="D",1,0)+IF(CE2670="D",1,0)+IF(CF2670="D",1,0)+IF(CL2670="D",1,0)+IF(CM2670="D",1,0)+IF(CQ2670="D",1,0)+IF(CR2670="D",1,0)+IF(CS2670="D",1,0)+IF(CW2670="D",1,0)+IF(CX2670="D",1,0)+IF(DD2670="D",1,0)+IF(DE2670="D",1,0)+IF(DJ2670="D",1,0)+IF(DK2670="D",1,0)+IF(DO2670="D",1,0)+IF(DP2670="D",1,0)+IF(DQ2670="D",1,0)+IF(DW2670="D",1,0)+IF(DZ2670="D",1,0)+IF(EH2670="D",1,0)</f>
        <v>0</v>
      </c>
      <c r="AY2670" s="0" t="n">
        <f aca="false">COUNTIF(DU2670:EH2670, "&lt;&gt;")</f>
        <v>0</v>
      </c>
      <c r="AZ2670" s="0" t="n">
        <f aca="false">IF(EH2670&lt;&gt;"",1,0)</f>
        <v>0</v>
      </c>
      <c r="BB2670" s="0" t="s">
        <v>152</v>
      </c>
    </row>
    <row r="2671" customFormat="false" ht="13.8" hidden="true" customHeight="false" outlineLevel="0" collapsed="false">
      <c r="A2671" s="0" t="s">
        <v>11341</v>
      </c>
      <c r="B2671" s="0" t="n">
        <v>78</v>
      </c>
      <c r="C2671" s="0" t="n">
        <v>423769</v>
      </c>
      <c r="D2671" s="0" t="s">
        <v>2928</v>
      </c>
      <c r="E2671" s="0" t="s">
        <v>11342</v>
      </c>
      <c r="F2671" s="0" t="str">
        <f aca="false">CONCATENATE(D2671," ",LEFT(H2671,4),"T=",AU2671,"D=",AV2671,"R=",AW2671,"M=",AX2671,"L=",AY2671,"B=",AZ2671)</f>
        <v>HOLLOWAY T=1D=0R=0M=0L=0B=0</v>
      </c>
      <c r="I2671" s="0" t="s">
        <v>11343</v>
      </c>
      <c r="J2671" s="0" t="s">
        <v>10629</v>
      </c>
      <c r="K2671" s="0" t="s">
        <v>143</v>
      </c>
      <c r="M2671" s="0" t="s">
        <v>11329</v>
      </c>
      <c r="N2671" s="0" t="str">
        <f aca="false">RIGHT(M2671,LEN(M2671)-FIND(" ",M2671))</f>
        <v>YOUNGSTOWN RD SE</v>
      </c>
      <c r="O2671" s="0" t="s">
        <v>11344</v>
      </c>
      <c r="P2671" s="0" t="s">
        <v>145</v>
      </c>
      <c r="Q2671" s="0" t="s">
        <v>146</v>
      </c>
      <c r="R2671" s="0" t="n">
        <v>44484</v>
      </c>
      <c r="AD2671" s="0" t="s">
        <v>147</v>
      </c>
      <c r="AE2671" s="0" t="s">
        <v>148</v>
      </c>
      <c r="AF2671" s="0" t="s">
        <v>149</v>
      </c>
      <c r="AH2671" s="0" t="n">
        <v>14</v>
      </c>
      <c r="AI2671" s="0" t="n">
        <v>11</v>
      </c>
      <c r="AN2671" s="0" t="s">
        <v>145</v>
      </c>
      <c r="AO2671" s="0" t="s">
        <v>233</v>
      </c>
      <c r="AP2671" s="0" t="s">
        <v>234</v>
      </c>
      <c r="AQ2671" s="0" t="n">
        <v>9</v>
      </c>
      <c r="AR2671" s="0" t="n">
        <v>64</v>
      </c>
      <c r="AS2671" s="0" t="n">
        <v>32</v>
      </c>
      <c r="AU2671" s="0" t="n">
        <f aca="false">COUNTA($BA$2276:$EH$2276)</f>
        <v>1</v>
      </c>
      <c r="AV2671" s="0" t="n">
        <f aca="false">COUNTIF($BA$2276:$EH$2276,"D")</f>
        <v>0</v>
      </c>
      <c r="AW2671" s="0" t="n">
        <f aca="false">COUNTIF($BA$2276:$EH$2276,"R")</f>
        <v>0</v>
      </c>
      <c r="AX2671" s="0" t="n">
        <f aca="false">IF(BN2671="D",1,0)+IF(BO2671="D",1,0)+IF(BT2671="D",1,0)+IF(BU2671="D",1,0)+IF(BW2671="D",1,0)+IF(CC2671="D",1,0)+IF(CD2671="D",1,0)+IF(CE2671="D",1,0)+IF(CF2671="D",1,0)+IF(CL2671="D",1,0)+IF(CM2671="D",1,0)+IF(CQ2671="D",1,0)+IF(CR2671="D",1,0)+IF(CS2671="D",1,0)+IF(CW2671="D",1,0)+IF(CX2671="D",1,0)+IF(DD2671="D",1,0)+IF(DE2671="D",1,0)+IF(DJ2671="D",1,0)+IF(DK2671="D",1,0)+IF(DO2671="D",1,0)+IF(DP2671="D",1,0)+IF(DQ2671="D",1,0)+IF(DW2671="D",1,0)+IF(DZ2671="D",1,0)+IF(EH2671="D",1,0)</f>
        <v>0</v>
      </c>
      <c r="AY2671" s="0" t="n">
        <f aca="false">COUNTIF(DU2671:EH2671, "&lt;&gt;")</f>
        <v>0</v>
      </c>
      <c r="AZ2671" s="0" t="n">
        <f aca="false">IF(EH2671&lt;&gt;"",1,0)</f>
        <v>0</v>
      </c>
      <c r="BB2671" s="0" t="s">
        <v>152</v>
      </c>
      <c r="CP2671" s="0" t="s">
        <v>153</v>
      </c>
    </row>
    <row r="2672" customFormat="false" ht="13.8" hidden="true" customHeight="false" outlineLevel="0" collapsed="false">
      <c r="A2672" s="0" t="s">
        <v>11345</v>
      </c>
      <c r="B2672" s="0" t="n">
        <v>78</v>
      </c>
      <c r="C2672" s="0" t="n">
        <v>487733</v>
      </c>
      <c r="D2672" s="0" t="s">
        <v>6241</v>
      </c>
      <c r="E2672" s="0" t="s">
        <v>563</v>
      </c>
      <c r="F2672" s="0" t="str">
        <f aca="false">CONCATENATE(D2672," ",LEFT(H2672,4),"T=",AU2672,"D=",AV2672,"R=",AW2672,"M=",AX2672,"L=",AY2672,"B=",AZ2672)</f>
        <v>EDMONDS T=2D=1R=0M=0L=0B=0</v>
      </c>
      <c r="G2672" s="0" t="s">
        <v>670</v>
      </c>
      <c r="I2672" s="0" t="s">
        <v>11346</v>
      </c>
      <c r="J2672" s="0" t="s">
        <v>7207</v>
      </c>
      <c r="K2672" s="0" t="s">
        <v>160</v>
      </c>
      <c r="M2672" s="0" t="s">
        <v>11329</v>
      </c>
      <c r="N2672" s="0" t="str">
        <f aca="false">RIGHT(M2672,LEN(M2672)-FIND(" ",M2672))</f>
        <v>YOUNGSTOWN RD SE</v>
      </c>
      <c r="P2672" s="0" t="s">
        <v>145</v>
      </c>
      <c r="Q2672" s="0" t="s">
        <v>146</v>
      </c>
      <c r="R2672" s="0" t="n">
        <v>44484</v>
      </c>
      <c r="AD2672" s="0" t="s">
        <v>147</v>
      </c>
      <c r="AE2672" s="0" t="s">
        <v>148</v>
      </c>
      <c r="AF2672" s="0" t="s">
        <v>149</v>
      </c>
      <c r="AH2672" s="0" t="n">
        <v>14</v>
      </c>
      <c r="AI2672" s="0" t="n">
        <v>11</v>
      </c>
      <c r="AN2672" s="0" t="s">
        <v>145</v>
      </c>
      <c r="AO2672" s="0" t="s">
        <v>233</v>
      </c>
      <c r="AP2672" s="0" t="s">
        <v>234</v>
      </c>
      <c r="AQ2672" s="0" t="n">
        <v>9</v>
      </c>
      <c r="AR2672" s="0" t="n">
        <v>64</v>
      </c>
      <c r="AS2672" s="0" t="n">
        <v>32</v>
      </c>
      <c r="AU2672" s="0" t="n">
        <f aca="false">COUNTA($BA$2282:$EH$2282)</f>
        <v>2</v>
      </c>
      <c r="AV2672" s="0" t="n">
        <f aca="false">COUNTIF($BA$2282:$EH$2282,"D")</f>
        <v>1</v>
      </c>
      <c r="AW2672" s="0" t="n">
        <f aca="false">COUNTIF($BA$2282:$EH$2282,"R")</f>
        <v>0</v>
      </c>
      <c r="AX2672" s="0" t="n">
        <f aca="false">IF(BN2672="D",1,0)+IF(BO2672="D",1,0)+IF(BT2672="D",1,0)+IF(BU2672="D",1,0)+IF(BW2672="D",1,0)+IF(CC2672="D",1,0)+IF(CD2672="D",1,0)+IF(CE2672="D",1,0)+IF(CF2672="D",1,0)+IF(CL2672="D",1,0)+IF(CM2672="D",1,0)+IF(CQ2672="D",1,0)+IF(CR2672="D",1,0)+IF(CS2672="D",1,0)+IF(CW2672="D",1,0)+IF(CX2672="D",1,0)+IF(DD2672="D",1,0)+IF(DE2672="D",1,0)+IF(DJ2672="D",1,0)+IF(DK2672="D",1,0)+IF(DO2672="D",1,0)+IF(DP2672="D",1,0)+IF(DQ2672="D",1,0)+IF(DW2672="D",1,0)+IF(DZ2672="D",1,0)+IF(EH2672="D",1,0)</f>
        <v>0</v>
      </c>
      <c r="AY2672" s="0" t="n">
        <f aca="false">COUNTIF(DU2672:EH2672, "&lt;&gt;")</f>
        <v>0</v>
      </c>
      <c r="AZ2672" s="0" t="n">
        <f aca="false">IF(EH2672&lt;&gt;"",1,0)</f>
        <v>0</v>
      </c>
      <c r="BB2672" s="0" t="s">
        <v>152</v>
      </c>
    </row>
    <row r="2673" customFormat="false" ht="13.8" hidden="true" customHeight="false" outlineLevel="0" collapsed="false">
      <c r="A2673" s="0" t="s">
        <v>11347</v>
      </c>
      <c r="B2673" s="0" t="n">
        <v>78</v>
      </c>
      <c r="C2673" s="0" t="n">
        <v>490806</v>
      </c>
      <c r="D2673" s="0" t="s">
        <v>11348</v>
      </c>
      <c r="E2673" s="0" t="s">
        <v>3162</v>
      </c>
      <c r="F2673" s="0" t="str">
        <f aca="false">CONCATENATE(D2673," ",LEFT(H2673,4),"T=",AU2673,"D=",AV2673,"R=",AW2673,"M=",AX2673,"L=",AY2673,"B=",AZ2673)</f>
        <v>HULL T=3D=0R=0M=1L=1B=1</v>
      </c>
      <c r="G2673" s="0" t="s">
        <v>871</v>
      </c>
      <c r="I2673" s="0" t="s">
        <v>11349</v>
      </c>
      <c r="J2673" s="0" t="s">
        <v>3412</v>
      </c>
      <c r="K2673" s="0" t="s">
        <v>160</v>
      </c>
      <c r="L2673" s="0" t="s">
        <v>175</v>
      </c>
      <c r="M2673" s="0" t="s">
        <v>11329</v>
      </c>
      <c r="N2673" s="0" t="str">
        <f aca="false">RIGHT(M2673,LEN(M2673)-FIND(" ",M2673))</f>
        <v>YOUNGSTOWN RD SE</v>
      </c>
      <c r="P2673" s="0" t="s">
        <v>145</v>
      </c>
      <c r="Q2673" s="0" t="s">
        <v>146</v>
      </c>
      <c r="R2673" s="0" t="n">
        <v>44484</v>
      </c>
      <c r="AD2673" s="0" t="s">
        <v>147</v>
      </c>
      <c r="AE2673" s="0" t="s">
        <v>148</v>
      </c>
      <c r="AF2673" s="0" t="s">
        <v>149</v>
      </c>
      <c r="AH2673" s="0" t="n">
        <v>14</v>
      </c>
      <c r="AI2673" s="0" t="n">
        <v>11</v>
      </c>
      <c r="AN2673" s="0" t="s">
        <v>145</v>
      </c>
      <c r="AO2673" s="0" t="s">
        <v>233</v>
      </c>
      <c r="AP2673" s="0" t="s">
        <v>234</v>
      </c>
      <c r="AQ2673" s="0" t="n">
        <v>9</v>
      </c>
      <c r="AR2673" s="0" t="n">
        <v>64</v>
      </c>
      <c r="AS2673" s="0" t="n">
        <v>32</v>
      </c>
      <c r="AU2673" s="0" t="n">
        <f aca="false">COUNTA($BA$2311:$EH$2311)</f>
        <v>3</v>
      </c>
      <c r="AV2673" s="0" t="n">
        <f aca="false">COUNTIF($BA$2311:$EH$2311,"D")</f>
        <v>0</v>
      </c>
      <c r="AW2673" s="0" t="n">
        <f aca="false">COUNTIF($BA$2311:$EH$2311,"R")</f>
        <v>0</v>
      </c>
      <c r="AX2673" s="0" t="n">
        <f aca="false">IF(BN2673="D",1,0)+IF(BO2673="D",1,0)+IF(BT2673="D",1,0)+IF(BU2673="D",1,0)+IF(BW2673="D",1,0)+IF(CC2673="D",1,0)+IF(CD2673="D",1,0)+IF(CE2673="D",1,0)+IF(CF2673="D",1,0)+IF(CL2673="D",1,0)+IF(CM2673="D",1,0)+IF(CQ2673="D",1,0)+IF(CR2673="D",1,0)+IF(CS2673="D",1,0)+IF(CW2673="D",1,0)+IF(CX2673="D",1,0)+IF(DD2673="D",1,0)+IF(DE2673="D",1,0)+IF(DJ2673="D",1,0)+IF(DK2673="D",1,0)+IF(DO2673="D",1,0)+IF(DP2673="D",1,0)+IF(DQ2673="D",1,0)+IF(DW2673="D",1,0)+IF(DZ2673="D",1,0)+IF(EH2673="D",1,0)</f>
        <v>1</v>
      </c>
      <c r="AY2673" s="0" t="n">
        <f aca="false">COUNTIF(DU2673:EH2673, "&lt;&gt;")</f>
        <v>1</v>
      </c>
      <c r="AZ2673" s="0" t="n">
        <f aca="false">IF(EH2673&lt;&gt;"",1,0)</f>
        <v>1</v>
      </c>
      <c r="BB2673" s="0" t="s">
        <v>152</v>
      </c>
      <c r="EH2673" s="0" t="s">
        <v>175</v>
      </c>
    </row>
    <row r="2674" customFormat="false" ht="13.8" hidden="true" customHeight="false" outlineLevel="0" collapsed="false">
      <c r="A2674" s="0" t="s">
        <v>11350</v>
      </c>
      <c r="B2674" s="0" t="n">
        <v>78</v>
      </c>
      <c r="C2674" s="0" t="n">
        <v>486612</v>
      </c>
      <c r="D2674" s="0" t="s">
        <v>389</v>
      </c>
      <c r="E2674" s="0" t="s">
        <v>2859</v>
      </c>
      <c r="F2674" s="0" t="str">
        <f aca="false">CONCATENATE(D2674," ",LEFT(H2674,4),"T=",AU2674,"D=",AV2674,"R=",AW2674,"M=",AX2674,"L=",AY2674,"B=",AZ2674)</f>
        <v>RILEY T=13D=2R=0M=0L=0B=0</v>
      </c>
      <c r="I2674" s="0" t="s">
        <v>11351</v>
      </c>
      <c r="J2674" s="0" t="s">
        <v>11352</v>
      </c>
      <c r="K2674" s="0" t="s">
        <v>160</v>
      </c>
      <c r="M2674" s="0" t="s">
        <v>11329</v>
      </c>
      <c r="N2674" s="0" t="str">
        <f aca="false">RIGHT(M2674,LEN(M2674)-FIND(" ",M2674))</f>
        <v>YOUNGSTOWN RD SE</v>
      </c>
      <c r="P2674" s="0" t="s">
        <v>145</v>
      </c>
      <c r="Q2674" s="0" t="s">
        <v>146</v>
      </c>
      <c r="R2674" s="0" t="n">
        <v>44484</v>
      </c>
      <c r="AD2674" s="0" t="s">
        <v>147</v>
      </c>
      <c r="AE2674" s="0" t="s">
        <v>148</v>
      </c>
      <c r="AF2674" s="0" t="s">
        <v>149</v>
      </c>
      <c r="AH2674" s="0" t="n">
        <v>14</v>
      </c>
      <c r="AI2674" s="0" t="n">
        <v>11</v>
      </c>
      <c r="AN2674" s="0" t="s">
        <v>145</v>
      </c>
      <c r="AO2674" s="0" t="s">
        <v>233</v>
      </c>
      <c r="AP2674" s="0" t="s">
        <v>234</v>
      </c>
      <c r="AQ2674" s="0" t="n">
        <v>9</v>
      </c>
      <c r="AR2674" s="0" t="n">
        <v>64</v>
      </c>
      <c r="AS2674" s="0" t="n">
        <v>32</v>
      </c>
      <c r="AU2674" s="0" t="n">
        <f aca="false">COUNTA($BA$2658:$EH$2658)</f>
        <v>13</v>
      </c>
      <c r="AV2674" s="0" t="n">
        <f aca="false">COUNTIF($BA$2658:$EH$2658,"D")</f>
        <v>2</v>
      </c>
      <c r="AW2674" s="0" t="n">
        <f aca="false">COUNTIF($BA$2658:$EH$2658,"R")</f>
        <v>0</v>
      </c>
      <c r="AX2674" s="0" t="n">
        <f aca="false">IF(BN2674="D",1,0)+IF(BO2674="D",1,0)+IF(BT2674="D",1,0)+IF(BU2674="D",1,0)+IF(BW2674="D",1,0)+IF(CC2674="D",1,0)+IF(CD2674="D",1,0)+IF(CE2674="D",1,0)+IF(CF2674="D",1,0)+IF(CL2674="D",1,0)+IF(CM2674="D",1,0)+IF(CQ2674="D",1,0)+IF(CR2674="D",1,0)+IF(CS2674="D",1,0)+IF(CW2674="D",1,0)+IF(CX2674="D",1,0)+IF(DD2674="D",1,0)+IF(DE2674="D",1,0)+IF(DJ2674="D",1,0)+IF(DK2674="D",1,0)+IF(DO2674="D",1,0)+IF(DP2674="D",1,0)+IF(DQ2674="D",1,0)+IF(DW2674="D",1,0)+IF(DZ2674="D",1,0)+IF(EH2674="D",1,0)</f>
        <v>0</v>
      </c>
      <c r="AY2674" s="0" t="n">
        <f aca="false">COUNTIF(DU2674:EH2674, "&lt;&gt;")</f>
        <v>0</v>
      </c>
      <c r="AZ2674" s="0" t="n">
        <f aca="false">IF(EH2674&lt;&gt;"",1,0)</f>
        <v>0</v>
      </c>
      <c r="BB2674" s="0" t="s">
        <v>152</v>
      </c>
    </row>
    <row r="2675" customFormat="false" ht="13.8" hidden="true" customHeight="false" outlineLevel="0" collapsed="false">
      <c r="A2675" s="0" t="s">
        <v>11353</v>
      </c>
      <c r="B2675" s="0" t="n">
        <v>78</v>
      </c>
      <c r="C2675" s="0" t="n">
        <v>486371</v>
      </c>
      <c r="D2675" s="0" t="s">
        <v>11354</v>
      </c>
      <c r="E2675" s="0" t="s">
        <v>11355</v>
      </c>
      <c r="F2675" s="0" t="str">
        <f aca="false">CONCATENATE(D2675," ",LEFT(H2675,4),"T=",AU2675,"D=",AV2675,"R=",AW2675,"M=",AX2675,"L=",AY2675,"B=",AZ2675)</f>
        <v>DOZIER T=9D=2R=0M=0L=0B=0</v>
      </c>
      <c r="G2675" s="0" t="s">
        <v>268</v>
      </c>
      <c r="I2675" s="0" t="s">
        <v>11356</v>
      </c>
      <c r="J2675" s="0" t="s">
        <v>2771</v>
      </c>
      <c r="K2675" s="0" t="s">
        <v>160</v>
      </c>
      <c r="M2675" s="0" t="s">
        <v>11329</v>
      </c>
      <c r="N2675" s="0" t="str">
        <f aca="false">RIGHT(M2675,LEN(M2675)-FIND(" ",M2675))</f>
        <v>YOUNGSTOWN RD SE</v>
      </c>
      <c r="O2675" s="0" t="s">
        <v>2211</v>
      </c>
      <c r="P2675" s="0" t="s">
        <v>145</v>
      </c>
      <c r="Q2675" s="0" t="s">
        <v>146</v>
      </c>
      <c r="R2675" s="0" t="n">
        <v>44484</v>
      </c>
      <c r="AD2675" s="0" t="s">
        <v>147</v>
      </c>
      <c r="AE2675" s="0" t="s">
        <v>148</v>
      </c>
      <c r="AF2675" s="0" t="s">
        <v>149</v>
      </c>
      <c r="AH2675" s="0" t="n">
        <v>14</v>
      </c>
      <c r="AI2675" s="0" t="n">
        <v>11</v>
      </c>
      <c r="AN2675" s="0" t="s">
        <v>145</v>
      </c>
      <c r="AO2675" s="0" t="s">
        <v>233</v>
      </c>
      <c r="AP2675" s="0" t="s">
        <v>234</v>
      </c>
      <c r="AQ2675" s="0" t="n">
        <v>9</v>
      </c>
      <c r="AR2675" s="0" t="n">
        <v>64</v>
      </c>
      <c r="AS2675" s="0" t="n">
        <v>32</v>
      </c>
      <c r="AU2675" s="0" t="n">
        <f aca="false">COUNTA($BA$2664:$EH$2664)</f>
        <v>9</v>
      </c>
      <c r="AV2675" s="0" t="n">
        <f aca="false">COUNTIF($BA$2664:$EH$2664,"D")</f>
        <v>2</v>
      </c>
      <c r="AW2675" s="0" t="n">
        <f aca="false">COUNTIF($BA$2664:$EH$2664,"R")</f>
        <v>0</v>
      </c>
      <c r="AX2675" s="0" t="n">
        <f aca="false">IF(BN2675="D",1,0)+IF(BO2675="D",1,0)+IF(BT2675="D",1,0)+IF(BU2675="D",1,0)+IF(BW2675="D",1,0)+IF(CC2675="D",1,0)+IF(CD2675="D",1,0)+IF(CE2675="D",1,0)+IF(CF2675="D",1,0)+IF(CL2675="D",1,0)+IF(CM2675="D",1,0)+IF(CQ2675="D",1,0)+IF(CR2675="D",1,0)+IF(CS2675="D",1,0)+IF(CW2675="D",1,0)+IF(CX2675="D",1,0)+IF(DD2675="D",1,0)+IF(DE2675="D",1,0)+IF(DJ2675="D",1,0)+IF(DK2675="D",1,0)+IF(DO2675="D",1,0)+IF(DP2675="D",1,0)+IF(DQ2675="D",1,0)+IF(DW2675="D",1,0)+IF(DZ2675="D",1,0)+IF(EH2675="D",1,0)</f>
        <v>0</v>
      </c>
      <c r="AY2675" s="0" t="n">
        <f aca="false">COUNTIF(DU2675:EH2675, "&lt;&gt;")</f>
        <v>0</v>
      </c>
      <c r="AZ2675" s="0" t="n">
        <f aca="false">IF(EH2675&lt;&gt;"",1,0)</f>
        <v>0</v>
      </c>
      <c r="BB2675" s="0" t="s">
        <v>152</v>
      </c>
      <c r="CY2675" s="0" t="s">
        <v>153</v>
      </c>
      <c r="DI2675" s="0" t="s">
        <v>153</v>
      </c>
      <c r="DN2675" s="0" t="s">
        <v>153</v>
      </c>
    </row>
    <row r="2676" customFormat="false" ht="13.8" hidden="true" customHeight="false" outlineLevel="0" collapsed="false">
      <c r="A2676" s="0" t="s">
        <v>11357</v>
      </c>
      <c r="B2676" s="0" t="n">
        <v>78</v>
      </c>
      <c r="C2676" s="0" t="n">
        <v>487100</v>
      </c>
      <c r="D2676" s="0" t="s">
        <v>11358</v>
      </c>
      <c r="E2676" s="0" t="s">
        <v>2130</v>
      </c>
      <c r="F2676" s="0" t="str">
        <f aca="false">CONCATENATE(D2676," ",LEFT(H2676,4),"T=",AU2676,"D=",AV2676,"R=",AW2676,"M=",AX2676,"L=",AY2676,"B=",AZ2676)</f>
        <v>CONLON T=2D=0R=0M=0L=0B=0</v>
      </c>
      <c r="G2676" s="0" t="s">
        <v>362</v>
      </c>
      <c r="I2676" s="0" t="s">
        <v>11359</v>
      </c>
      <c r="J2676" s="0" t="s">
        <v>639</v>
      </c>
      <c r="K2676" s="0" t="s">
        <v>143</v>
      </c>
      <c r="M2676" s="0" t="s">
        <v>11360</v>
      </c>
      <c r="N2676" s="0" t="str">
        <f aca="false">RIGHT(M2676,LEN(M2676)-FIND(" ",M2676))</f>
        <v>YOUNGSTOWN RD SE</v>
      </c>
      <c r="P2676" s="0" t="s">
        <v>145</v>
      </c>
      <c r="Q2676" s="0" t="s">
        <v>146</v>
      </c>
      <c r="R2676" s="0" t="n">
        <v>44484</v>
      </c>
      <c r="AD2676" s="0" t="s">
        <v>147</v>
      </c>
      <c r="AE2676" s="0" t="s">
        <v>148</v>
      </c>
      <c r="AF2676" s="0" t="s">
        <v>149</v>
      </c>
      <c r="AH2676" s="0" t="n">
        <v>14</v>
      </c>
      <c r="AI2676" s="0" t="n">
        <v>11</v>
      </c>
      <c r="AN2676" s="0" t="s">
        <v>145</v>
      </c>
      <c r="AO2676" s="0" t="s">
        <v>150</v>
      </c>
      <c r="AP2676" s="0" t="s">
        <v>151</v>
      </c>
      <c r="AQ2676" s="0" t="n">
        <v>9</v>
      </c>
      <c r="AR2676" s="0" t="n">
        <v>64</v>
      </c>
      <c r="AS2676" s="0" t="n">
        <v>32</v>
      </c>
      <c r="AU2676" s="0" t="n">
        <f aca="false">COUNTA($BA$395:$EH$395)</f>
        <v>2</v>
      </c>
      <c r="AV2676" s="0" t="n">
        <f aca="false">COUNTIF($BA$395:$EH$395,"D")</f>
        <v>0</v>
      </c>
      <c r="AW2676" s="0" t="n">
        <f aca="false">COUNTIF($BA$395:$EH$395,"R")</f>
        <v>0</v>
      </c>
      <c r="AX2676" s="0" t="n">
        <f aca="false">IF(BN2676="D",1,0)+IF(BO2676="D",1,0)+IF(BT2676="D",1,0)+IF(BU2676="D",1,0)+IF(BW2676="D",1,0)+IF(CC2676="D",1,0)+IF(CD2676="D",1,0)+IF(CE2676="D",1,0)+IF(CF2676="D",1,0)+IF(CL2676="D",1,0)+IF(CM2676="D",1,0)+IF(CQ2676="D",1,0)+IF(CR2676="D",1,0)+IF(CS2676="D",1,0)+IF(CW2676="D",1,0)+IF(CX2676="D",1,0)+IF(DD2676="D",1,0)+IF(DE2676="D",1,0)+IF(DJ2676="D",1,0)+IF(DK2676="D",1,0)+IF(DO2676="D",1,0)+IF(DP2676="D",1,0)+IF(DQ2676="D",1,0)+IF(DW2676="D",1,0)+IF(DZ2676="D",1,0)+IF(EH2676="D",1,0)</f>
        <v>0</v>
      </c>
      <c r="AY2676" s="0" t="n">
        <f aca="false">COUNTIF(DU2676:EH2676, "&lt;&gt;")</f>
        <v>0</v>
      </c>
      <c r="AZ2676" s="0" t="n">
        <f aca="false">IF(EH2676&lt;&gt;"",1,0)</f>
        <v>0</v>
      </c>
      <c r="BB2676" s="0" t="s">
        <v>152</v>
      </c>
    </row>
    <row r="2677" customFormat="false" ht="13.8" hidden="true" customHeight="false" outlineLevel="0" collapsed="false">
      <c r="A2677" s="0" t="s">
        <v>11361</v>
      </c>
      <c r="B2677" s="0" t="n">
        <v>78</v>
      </c>
      <c r="C2677" s="0" t="n">
        <v>404972</v>
      </c>
      <c r="D2677" s="0" t="s">
        <v>1466</v>
      </c>
      <c r="E2677" s="0" t="s">
        <v>2214</v>
      </c>
      <c r="F2677" s="0" t="str">
        <f aca="false">CONCATENATE(D2677," ",LEFT(H2677,4),"T=",AU2677,"D=",AV2677,"R=",AW2677,"M=",AX2677,"L=",AY2677,"B=",AZ2677)</f>
        <v>JOHNSON JRT=2D=0R=0M=0L=0B=0</v>
      </c>
      <c r="G2677" s="0" t="s">
        <v>209</v>
      </c>
      <c r="H2677" s="0" t="s">
        <v>314</v>
      </c>
      <c r="I2677" s="0" t="s">
        <v>11362</v>
      </c>
      <c r="J2677" s="0" t="s">
        <v>7163</v>
      </c>
      <c r="K2677" s="0" t="s">
        <v>143</v>
      </c>
      <c r="M2677" s="0" t="s">
        <v>11363</v>
      </c>
      <c r="N2677" s="0" t="str">
        <f aca="false">RIGHT(M2677,LEN(M2677)-FIND(" ",M2677))</f>
        <v>YOUNGSTOWN RD SE</v>
      </c>
      <c r="P2677" s="0" t="s">
        <v>145</v>
      </c>
      <c r="Q2677" s="0" t="s">
        <v>146</v>
      </c>
      <c r="R2677" s="0" t="n">
        <v>44484</v>
      </c>
      <c r="AD2677" s="0" t="s">
        <v>147</v>
      </c>
      <c r="AE2677" s="0" t="s">
        <v>148</v>
      </c>
      <c r="AF2677" s="0" t="s">
        <v>149</v>
      </c>
      <c r="AH2677" s="0" t="n">
        <v>14</v>
      </c>
      <c r="AI2677" s="0" t="n">
        <v>11</v>
      </c>
      <c r="AN2677" s="0" t="s">
        <v>145</v>
      </c>
      <c r="AO2677" s="0" t="s">
        <v>150</v>
      </c>
      <c r="AP2677" s="0" t="s">
        <v>151</v>
      </c>
      <c r="AQ2677" s="0" t="n">
        <v>9</v>
      </c>
      <c r="AR2677" s="0" t="n">
        <v>64</v>
      </c>
      <c r="AS2677" s="0" t="n">
        <v>32</v>
      </c>
      <c r="AU2677" s="0" t="n">
        <f aca="false">COUNTA($BA$703:$EH$703)</f>
        <v>2</v>
      </c>
      <c r="AV2677" s="0" t="n">
        <f aca="false">COUNTIF($BA$703:$EH$703,"D")</f>
        <v>0</v>
      </c>
      <c r="AW2677" s="0" t="n">
        <f aca="false">COUNTIF($BA$703:$EH$703,"R")</f>
        <v>0</v>
      </c>
      <c r="AX2677" s="0" t="n">
        <f aca="false">IF(BN2677="D",1,0)+IF(BO2677="D",1,0)+IF(BT2677="D",1,0)+IF(BU2677="D",1,0)+IF(BW2677="D",1,0)+IF(CC2677="D",1,0)+IF(CD2677="D",1,0)+IF(CE2677="D",1,0)+IF(CF2677="D",1,0)+IF(CL2677="D",1,0)+IF(CM2677="D",1,0)+IF(CQ2677="D",1,0)+IF(CR2677="D",1,0)+IF(CS2677="D",1,0)+IF(CW2677="D",1,0)+IF(CX2677="D",1,0)+IF(DD2677="D",1,0)+IF(DE2677="D",1,0)+IF(DJ2677="D",1,0)+IF(DK2677="D",1,0)+IF(DO2677="D",1,0)+IF(DP2677="D",1,0)+IF(DQ2677="D",1,0)+IF(DW2677="D",1,0)+IF(DZ2677="D",1,0)+IF(EH2677="D",1,0)</f>
        <v>0</v>
      </c>
      <c r="AY2677" s="0" t="n">
        <f aca="false">COUNTIF(DU2677:EH2677, "&lt;&gt;")</f>
        <v>0</v>
      </c>
      <c r="AZ2677" s="0" t="n">
        <f aca="false">IF(EH2677&lt;&gt;"",1,0)</f>
        <v>0</v>
      </c>
      <c r="BB2677" s="0" t="s">
        <v>152</v>
      </c>
    </row>
    <row r="2678" customFormat="false" ht="13.8" hidden="true" customHeight="false" outlineLevel="0" collapsed="false">
      <c r="A2678" s="0" t="s">
        <v>11364</v>
      </c>
      <c r="B2678" s="0" t="n">
        <v>78</v>
      </c>
      <c r="C2678" s="0" t="n">
        <v>412487</v>
      </c>
      <c r="D2678" s="0" t="s">
        <v>425</v>
      </c>
      <c r="E2678" s="0" t="s">
        <v>11365</v>
      </c>
      <c r="F2678" s="0" t="str">
        <f aca="false">CONCATENATE(D2678," ",LEFT(H2678,4),"T=",AU2678,"D=",AV2678,"R=",AW2678,"M=",AX2678,"L=",AY2678,"B=",AZ2678)</f>
        <v>DOUGLAS SRT=2D=0R=0M=0L=0B=0</v>
      </c>
      <c r="G2678" s="0" t="s">
        <v>175</v>
      </c>
      <c r="H2678" s="0" t="s">
        <v>216</v>
      </c>
      <c r="I2678" s="0" t="s">
        <v>11366</v>
      </c>
      <c r="J2678" s="0" t="s">
        <v>565</v>
      </c>
      <c r="K2678" s="0" t="s">
        <v>143</v>
      </c>
      <c r="M2678" s="0" t="s">
        <v>11363</v>
      </c>
      <c r="N2678" s="0" t="str">
        <f aca="false">RIGHT(M2678,LEN(M2678)-FIND(" ",M2678))</f>
        <v>YOUNGSTOWN RD SE</v>
      </c>
      <c r="P2678" s="0" t="s">
        <v>145</v>
      </c>
      <c r="Q2678" s="0" t="s">
        <v>146</v>
      </c>
      <c r="R2678" s="0" t="n">
        <v>44484</v>
      </c>
      <c r="AD2678" s="0" t="s">
        <v>147</v>
      </c>
      <c r="AE2678" s="0" t="s">
        <v>148</v>
      </c>
      <c r="AF2678" s="0" t="s">
        <v>149</v>
      </c>
      <c r="AH2678" s="0" t="n">
        <v>14</v>
      </c>
      <c r="AI2678" s="0" t="n">
        <v>11</v>
      </c>
      <c r="AN2678" s="0" t="s">
        <v>145</v>
      </c>
      <c r="AO2678" s="0" t="s">
        <v>150</v>
      </c>
      <c r="AP2678" s="0" t="s">
        <v>151</v>
      </c>
      <c r="AQ2678" s="0" t="n">
        <v>9</v>
      </c>
      <c r="AR2678" s="0" t="n">
        <v>64</v>
      </c>
      <c r="AS2678" s="0" t="n">
        <v>32</v>
      </c>
      <c r="AU2678" s="0" t="n">
        <f aca="false">COUNTA($BA$1046:$EH$1046)</f>
        <v>2</v>
      </c>
      <c r="AV2678" s="0" t="n">
        <f aca="false">COUNTIF($BA$1046:$EH$1046,"D")</f>
        <v>0</v>
      </c>
      <c r="AW2678" s="0" t="n">
        <f aca="false">COUNTIF($BA$1046:$EH$1046,"R")</f>
        <v>0</v>
      </c>
      <c r="AX2678" s="0" t="n">
        <f aca="false">IF(BN2678="D",1,0)+IF(BO2678="D",1,0)+IF(BT2678="D",1,0)+IF(BU2678="D",1,0)+IF(BW2678="D",1,0)+IF(CC2678="D",1,0)+IF(CD2678="D",1,0)+IF(CE2678="D",1,0)+IF(CF2678="D",1,0)+IF(CL2678="D",1,0)+IF(CM2678="D",1,0)+IF(CQ2678="D",1,0)+IF(CR2678="D",1,0)+IF(CS2678="D",1,0)+IF(CW2678="D",1,0)+IF(CX2678="D",1,0)+IF(DD2678="D",1,0)+IF(DE2678="D",1,0)+IF(DJ2678="D",1,0)+IF(DK2678="D",1,0)+IF(DO2678="D",1,0)+IF(DP2678="D",1,0)+IF(DQ2678="D",1,0)+IF(DW2678="D",1,0)+IF(DZ2678="D",1,0)+IF(EH2678="D",1,0)</f>
        <v>0</v>
      </c>
      <c r="AY2678" s="0" t="n">
        <f aca="false">COUNTIF(DU2678:EH2678, "&lt;&gt;")</f>
        <v>0</v>
      </c>
      <c r="AZ2678" s="0" t="n">
        <f aca="false">IF(EH2678&lt;&gt;"",1,0)</f>
        <v>0</v>
      </c>
      <c r="BB2678" s="0" t="s">
        <v>152</v>
      </c>
    </row>
    <row r="2679" customFormat="false" ht="13.8" hidden="true" customHeight="false" outlineLevel="0" collapsed="false">
      <c r="A2679" s="0" t="s">
        <v>11367</v>
      </c>
      <c r="B2679" s="0" t="n">
        <v>78</v>
      </c>
      <c r="C2679" s="0" t="n">
        <v>431596</v>
      </c>
      <c r="D2679" s="0" t="s">
        <v>7614</v>
      </c>
      <c r="E2679" s="0" t="s">
        <v>379</v>
      </c>
      <c r="F2679" s="0" t="str">
        <f aca="false">CONCATENATE(D2679," ",LEFT(H2679,4),"T=",AU2679,"D=",AV2679,"R=",AW2679,"M=",AX2679,"L=",AY2679,"B=",AZ2679)</f>
        <v>PATTON T=9D=0R=0M=0L=0B=0</v>
      </c>
      <c r="G2679" s="0" t="s">
        <v>175</v>
      </c>
      <c r="I2679" s="0" t="s">
        <v>11368</v>
      </c>
      <c r="J2679" s="0" t="s">
        <v>3397</v>
      </c>
      <c r="K2679" s="0" t="s">
        <v>143</v>
      </c>
      <c r="M2679" s="0" t="s">
        <v>11369</v>
      </c>
      <c r="N2679" s="0" t="str">
        <f aca="false">RIGHT(M2679,LEN(M2679)-FIND(" ",M2679))</f>
        <v>YOUNGSTOWN RD SE</v>
      </c>
      <c r="P2679" s="0" t="s">
        <v>145</v>
      </c>
      <c r="Q2679" s="0" t="s">
        <v>146</v>
      </c>
      <c r="R2679" s="0" t="n">
        <v>44484</v>
      </c>
      <c r="AD2679" s="0" t="s">
        <v>147</v>
      </c>
      <c r="AE2679" s="0" t="s">
        <v>148</v>
      </c>
      <c r="AF2679" s="0" t="s">
        <v>149</v>
      </c>
      <c r="AH2679" s="0" t="n">
        <v>14</v>
      </c>
      <c r="AI2679" s="0" t="n">
        <v>11</v>
      </c>
      <c r="AN2679" s="0" t="s">
        <v>145</v>
      </c>
      <c r="AO2679" s="0" t="s">
        <v>150</v>
      </c>
      <c r="AP2679" s="0" t="s">
        <v>151</v>
      </c>
      <c r="AQ2679" s="0" t="n">
        <v>9</v>
      </c>
      <c r="AR2679" s="0" t="n">
        <v>64</v>
      </c>
      <c r="AS2679" s="0" t="n">
        <v>32</v>
      </c>
      <c r="AU2679" s="0" t="n">
        <f aca="false">COUNTA($BA$269:$EH$269)</f>
        <v>9</v>
      </c>
      <c r="AV2679" s="0" t="n">
        <f aca="false">COUNTIF($BA$269:$EH$269,"D")</f>
        <v>0</v>
      </c>
      <c r="AW2679" s="0" t="n">
        <f aca="false">COUNTIF($BA$269:$EH$269,"R")</f>
        <v>0</v>
      </c>
      <c r="AX2679" s="0" t="n">
        <f aca="false">IF(BN2679="D",1,0)+IF(BO2679="D",1,0)+IF(BT2679="D",1,0)+IF(BU2679="D",1,0)+IF(BW2679="D",1,0)+IF(CC2679="D",1,0)+IF(CD2679="D",1,0)+IF(CE2679="D",1,0)+IF(CF2679="D",1,0)+IF(CL2679="D",1,0)+IF(CM2679="D",1,0)+IF(CQ2679="D",1,0)+IF(CR2679="D",1,0)+IF(CS2679="D",1,0)+IF(CW2679="D",1,0)+IF(CX2679="D",1,0)+IF(DD2679="D",1,0)+IF(DE2679="D",1,0)+IF(DJ2679="D",1,0)+IF(DK2679="D",1,0)+IF(DO2679="D",1,0)+IF(DP2679="D",1,0)+IF(DQ2679="D",1,0)+IF(DW2679="D",1,0)+IF(DZ2679="D",1,0)+IF(EH2679="D",1,0)</f>
        <v>0</v>
      </c>
      <c r="AY2679" s="0" t="n">
        <f aca="false">COUNTIF(DU2679:EH2679, "&lt;&gt;")</f>
        <v>0</v>
      </c>
      <c r="AZ2679" s="0" t="n">
        <f aca="false">IF(EH2679&lt;&gt;"",1,0)</f>
        <v>0</v>
      </c>
      <c r="BB2679" s="0" t="s">
        <v>152</v>
      </c>
      <c r="BL2679" s="0" t="s">
        <v>153</v>
      </c>
      <c r="CA2679" s="0" t="s">
        <v>153</v>
      </c>
      <c r="CP2679" s="0" t="s">
        <v>153</v>
      </c>
    </row>
    <row r="2680" customFormat="false" ht="13.8" hidden="true" customHeight="false" outlineLevel="0" collapsed="false">
      <c r="A2680" s="0" t="s">
        <v>11370</v>
      </c>
      <c r="B2680" s="0" t="n">
        <v>78</v>
      </c>
      <c r="C2680" s="0" t="n">
        <v>454635</v>
      </c>
      <c r="D2680" s="0" t="s">
        <v>11371</v>
      </c>
      <c r="E2680" s="0" t="s">
        <v>331</v>
      </c>
      <c r="F2680" s="0" t="str">
        <f aca="false">CONCATENATE(D2680," ",LEFT(H2680,4),"T=",AU2680,"D=",AV2680,"R=",AW2680,"M=",AX2680,"L=",AY2680,"B=",AZ2680)</f>
        <v>ESTEVEZ T=11D=2R=0M=0L=0B=0</v>
      </c>
      <c r="G2680" s="0" t="s">
        <v>11372</v>
      </c>
      <c r="I2680" s="0" t="s">
        <v>8514</v>
      </c>
      <c r="J2680" s="0" t="s">
        <v>2263</v>
      </c>
      <c r="K2680" s="0" t="s">
        <v>160</v>
      </c>
      <c r="M2680" s="0" t="s">
        <v>11373</v>
      </c>
      <c r="N2680" s="0" t="str">
        <f aca="false">RIGHT(M2680,LEN(M2680)-FIND(" ",M2680))</f>
        <v>YOUNGSTOWN RD SE</v>
      </c>
      <c r="P2680" s="0" t="s">
        <v>145</v>
      </c>
      <c r="Q2680" s="0" t="s">
        <v>146</v>
      </c>
      <c r="R2680" s="0" t="n">
        <v>44484</v>
      </c>
      <c r="AD2680" s="0" t="s">
        <v>147</v>
      </c>
      <c r="AE2680" s="0" t="s">
        <v>148</v>
      </c>
      <c r="AF2680" s="0" t="s">
        <v>149</v>
      </c>
      <c r="AH2680" s="0" t="n">
        <v>14</v>
      </c>
      <c r="AI2680" s="0" t="n">
        <v>11</v>
      </c>
      <c r="AN2680" s="0" t="s">
        <v>145</v>
      </c>
      <c r="AO2680" s="0" t="s">
        <v>150</v>
      </c>
      <c r="AP2680" s="0" t="s">
        <v>151</v>
      </c>
      <c r="AQ2680" s="0" t="n">
        <v>9</v>
      </c>
      <c r="AR2680" s="0" t="n">
        <v>64</v>
      </c>
      <c r="AS2680" s="0" t="n">
        <v>32</v>
      </c>
      <c r="AU2680" s="0" t="n">
        <f aca="false">COUNTA($BA$410:$EH$410)</f>
        <v>11</v>
      </c>
      <c r="AV2680" s="0" t="n">
        <f aca="false">COUNTIF($BA$410:$EH$410,"D")</f>
        <v>2</v>
      </c>
      <c r="AW2680" s="0" t="n">
        <f aca="false">COUNTIF($BA$410:$EH$410,"R")</f>
        <v>0</v>
      </c>
      <c r="AX2680" s="0" t="n">
        <f aca="false">IF(BN2680="D",1,0)+IF(BO2680="D",1,0)+IF(BT2680="D",1,0)+IF(BU2680="D",1,0)+IF(BW2680="D",1,0)+IF(CC2680="D",1,0)+IF(CD2680="D",1,0)+IF(CE2680="D",1,0)+IF(CF2680="D",1,0)+IF(CL2680="D",1,0)+IF(CM2680="D",1,0)+IF(CQ2680="D",1,0)+IF(CR2680="D",1,0)+IF(CS2680="D",1,0)+IF(CW2680="D",1,0)+IF(CX2680="D",1,0)+IF(DD2680="D",1,0)+IF(DE2680="D",1,0)+IF(DJ2680="D",1,0)+IF(DK2680="D",1,0)+IF(DO2680="D",1,0)+IF(DP2680="D",1,0)+IF(DQ2680="D",1,0)+IF(DW2680="D",1,0)+IF(DZ2680="D",1,0)+IF(EH2680="D",1,0)</f>
        <v>0</v>
      </c>
      <c r="AY2680" s="0" t="n">
        <f aca="false">COUNTIF(DU2680:EH2680, "&lt;&gt;")</f>
        <v>0</v>
      </c>
      <c r="AZ2680" s="0" t="n">
        <f aca="false">IF(EH2680&lt;&gt;"",1,0)</f>
        <v>0</v>
      </c>
      <c r="BB2680" s="0" t="s">
        <v>152</v>
      </c>
    </row>
    <row r="2681" customFormat="false" ht="13.8" hidden="true" customHeight="false" outlineLevel="0" collapsed="false">
      <c r="A2681" s="0" t="s">
        <v>11374</v>
      </c>
      <c r="B2681" s="0" t="n">
        <v>78</v>
      </c>
      <c r="C2681" s="0" t="n">
        <v>424411</v>
      </c>
      <c r="D2681" s="0" t="s">
        <v>11375</v>
      </c>
      <c r="E2681" s="0" t="s">
        <v>11376</v>
      </c>
      <c r="F2681" s="0" t="str">
        <f aca="false">CONCATENATE(D2681," ",LEFT(H2681,4),"T=",AU2681,"D=",AV2681,"R=",AW2681,"M=",AX2681,"L=",AY2681,"B=",AZ2681)</f>
        <v>SOTAK T=16D=3R=0M=0L=0B=0</v>
      </c>
      <c r="G2681" s="0" t="s">
        <v>770</v>
      </c>
      <c r="I2681" s="0" t="s">
        <v>11377</v>
      </c>
      <c r="J2681" s="0" t="s">
        <v>11378</v>
      </c>
      <c r="K2681" s="0" t="s">
        <v>143</v>
      </c>
      <c r="M2681" s="0" t="s">
        <v>11379</v>
      </c>
      <c r="N2681" s="0" t="str">
        <f aca="false">RIGHT(M2681,LEN(M2681)-FIND(" ",M2681))</f>
        <v>YOUNGSTOWN RD SE</v>
      </c>
      <c r="P2681" s="0" t="s">
        <v>145</v>
      </c>
      <c r="Q2681" s="0" t="s">
        <v>146</v>
      </c>
      <c r="R2681" s="0" t="n">
        <v>44484</v>
      </c>
      <c r="AD2681" s="0" t="s">
        <v>147</v>
      </c>
      <c r="AE2681" s="0" t="s">
        <v>148</v>
      </c>
      <c r="AF2681" s="0" t="s">
        <v>149</v>
      </c>
      <c r="AH2681" s="0" t="n">
        <v>14</v>
      </c>
      <c r="AI2681" s="0" t="n">
        <v>11</v>
      </c>
      <c r="AN2681" s="0" t="s">
        <v>145</v>
      </c>
      <c r="AO2681" s="0" t="s">
        <v>150</v>
      </c>
      <c r="AP2681" s="0" t="s">
        <v>151</v>
      </c>
      <c r="AQ2681" s="0" t="n">
        <v>9</v>
      </c>
      <c r="AR2681" s="0" t="n">
        <v>64</v>
      </c>
      <c r="AS2681" s="0" t="n">
        <v>32</v>
      </c>
      <c r="AU2681" s="0" t="n">
        <f aca="false">COUNTA($BA$247:$EH$247)</f>
        <v>16</v>
      </c>
      <c r="AV2681" s="0" t="n">
        <f aca="false">COUNTIF($BA$247:$EH$247,"D")</f>
        <v>3</v>
      </c>
      <c r="AW2681" s="0" t="n">
        <f aca="false">COUNTIF($BA$247:$EH$247,"R")</f>
        <v>0</v>
      </c>
      <c r="AX2681" s="0" t="n">
        <f aca="false">IF(BN2681="D",1,0)+IF(BO2681="D",1,0)+IF(BT2681="D",1,0)+IF(BU2681="D",1,0)+IF(BW2681="D",1,0)+IF(CC2681="D",1,0)+IF(CD2681="D",1,0)+IF(CE2681="D",1,0)+IF(CF2681="D",1,0)+IF(CL2681="D",1,0)+IF(CM2681="D",1,0)+IF(CQ2681="D",1,0)+IF(CR2681="D",1,0)+IF(CS2681="D",1,0)+IF(CW2681="D",1,0)+IF(CX2681="D",1,0)+IF(DD2681="D",1,0)+IF(DE2681="D",1,0)+IF(DJ2681="D",1,0)+IF(DK2681="D",1,0)+IF(DO2681="D",1,0)+IF(DP2681="D",1,0)+IF(DQ2681="D",1,0)+IF(DW2681="D",1,0)+IF(DZ2681="D",1,0)+IF(EH2681="D",1,0)</f>
        <v>0</v>
      </c>
      <c r="AY2681" s="0" t="n">
        <f aca="false">COUNTIF(DU2681:EH2681, "&lt;&gt;")</f>
        <v>0</v>
      </c>
      <c r="AZ2681" s="0" t="n">
        <f aca="false">IF(EH2681&lt;&gt;"",1,0)</f>
        <v>0</v>
      </c>
      <c r="BB2681" s="0" t="s">
        <v>152</v>
      </c>
    </row>
    <row r="2682" customFormat="false" ht="13.8" hidden="true" customHeight="false" outlineLevel="0" collapsed="false">
      <c r="A2682" s="0" t="s">
        <v>11380</v>
      </c>
      <c r="B2682" s="0" t="n">
        <v>78</v>
      </c>
      <c r="C2682" s="0" t="n">
        <v>416310</v>
      </c>
      <c r="D2682" s="0" t="s">
        <v>11358</v>
      </c>
      <c r="E2682" s="0" t="s">
        <v>475</v>
      </c>
      <c r="F2682" s="0" t="str">
        <f aca="false">CONCATENATE(D2682," ",LEFT(H2682,4),"T=",AU2682,"D=",AV2682,"R=",AW2682,"M=",AX2682,"L=",AY2682,"B=",AZ2682)</f>
        <v>CONLON T=6D=0R=0M=0L=0B=0</v>
      </c>
      <c r="G2682" s="0" t="s">
        <v>170</v>
      </c>
      <c r="I2682" s="0" t="s">
        <v>11381</v>
      </c>
      <c r="J2682" s="0" t="s">
        <v>8144</v>
      </c>
      <c r="K2682" s="0" t="s">
        <v>143</v>
      </c>
      <c r="M2682" s="0" t="s">
        <v>11382</v>
      </c>
      <c r="N2682" s="0" t="str">
        <f aca="false">RIGHT(M2682,LEN(M2682)-FIND(" ",M2682))</f>
        <v>YOUNGSTOWN RD SE</v>
      </c>
      <c r="P2682" s="0" t="s">
        <v>145</v>
      </c>
      <c r="Q2682" s="0" t="s">
        <v>146</v>
      </c>
      <c r="R2682" s="0" t="n">
        <v>44484</v>
      </c>
      <c r="AD2682" s="0" t="s">
        <v>147</v>
      </c>
      <c r="AE2682" s="0" t="s">
        <v>148</v>
      </c>
      <c r="AF2682" s="0" t="s">
        <v>149</v>
      </c>
      <c r="AH2682" s="0" t="n">
        <v>14</v>
      </c>
      <c r="AI2682" s="0" t="n">
        <v>11</v>
      </c>
      <c r="AN2682" s="0" t="s">
        <v>145</v>
      </c>
      <c r="AO2682" s="0" t="s">
        <v>150</v>
      </c>
      <c r="AP2682" s="0" t="s">
        <v>151</v>
      </c>
      <c r="AQ2682" s="0" t="n">
        <v>9</v>
      </c>
      <c r="AR2682" s="0" t="n">
        <v>64</v>
      </c>
      <c r="AS2682" s="0" t="n">
        <v>32</v>
      </c>
      <c r="AU2682" s="0" t="n">
        <f aca="false">COUNTA($BA$609:$EH$609)</f>
        <v>6</v>
      </c>
      <c r="AV2682" s="0" t="n">
        <f aca="false">COUNTIF($BA$609:$EH$609,"D")</f>
        <v>0</v>
      </c>
      <c r="AW2682" s="0" t="n">
        <f aca="false">COUNTIF($BA$609:$EH$609,"R")</f>
        <v>0</v>
      </c>
      <c r="AX2682" s="0" t="n">
        <f aca="false">IF(BN2682="D",1,0)+IF(BO2682="D",1,0)+IF(BT2682="D",1,0)+IF(BU2682="D",1,0)+IF(BW2682="D",1,0)+IF(CC2682="D",1,0)+IF(CD2682="D",1,0)+IF(CE2682="D",1,0)+IF(CF2682="D",1,0)+IF(CL2682="D",1,0)+IF(CM2682="D",1,0)+IF(CQ2682="D",1,0)+IF(CR2682="D",1,0)+IF(CS2682="D",1,0)+IF(CW2682="D",1,0)+IF(CX2682="D",1,0)+IF(DD2682="D",1,0)+IF(DE2682="D",1,0)+IF(DJ2682="D",1,0)+IF(DK2682="D",1,0)+IF(DO2682="D",1,0)+IF(DP2682="D",1,0)+IF(DQ2682="D",1,0)+IF(DW2682="D",1,0)+IF(DZ2682="D",1,0)+IF(EH2682="D",1,0)</f>
        <v>0</v>
      </c>
      <c r="AY2682" s="0" t="n">
        <f aca="false">COUNTIF(DU2682:EH2682, "&lt;&gt;")</f>
        <v>0</v>
      </c>
      <c r="AZ2682" s="0" t="n">
        <f aca="false">IF(EH2682&lt;&gt;"",1,0)</f>
        <v>0</v>
      </c>
      <c r="BB2682" s="0" t="s">
        <v>152</v>
      </c>
    </row>
    <row r="2683" customFormat="false" ht="13.8" hidden="true" customHeight="false" outlineLevel="0" collapsed="false">
      <c r="A2683" s="0" t="s">
        <v>11383</v>
      </c>
      <c r="B2683" s="0" t="n">
        <v>78</v>
      </c>
      <c r="C2683" s="0" t="n">
        <v>449240</v>
      </c>
      <c r="D2683" s="0" t="s">
        <v>11358</v>
      </c>
      <c r="E2683" s="0" t="s">
        <v>3873</v>
      </c>
      <c r="F2683" s="0" t="str">
        <f aca="false">CONCATENATE(D2683," ",LEFT(H2683,4),"T=",AU2683,"D=",AV2683,"R=",AW2683,"M=",AX2683,"L=",AY2683,"B=",AZ2683)</f>
        <v>CONLON T=1D=0R=0M=0L=0B=0</v>
      </c>
      <c r="G2683" s="0" t="s">
        <v>215</v>
      </c>
      <c r="I2683" s="0" t="s">
        <v>11384</v>
      </c>
      <c r="J2683" s="0" t="s">
        <v>11385</v>
      </c>
      <c r="K2683" s="0" t="s">
        <v>160</v>
      </c>
      <c r="M2683" s="0" t="s">
        <v>11382</v>
      </c>
      <c r="N2683" s="0" t="str">
        <f aca="false">RIGHT(M2683,LEN(M2683)-FIND(" ",M2683))</f>
        <v>YOUNGSTOWN RD SE</v>
      </c>
      <c r="P2683" s="0" t="s">
        <v>145</v>
      </c>
      <c r="Q2683" s="0" t="s">
        <v>146</v>
      </c>
      <c r="R2683" s="0" t="n">
        <v>44484</v>
      </c>
      <c r="AD2683" s="0" t="s">
        <v>147</v>
      </c>
      <c r="AE2683" s="0" t="s">
        <v>148</v>
      </c>
      <c r="AF2683" s="0" t="s">
        <v>149</v>
      </c>
      <c r="AH2683" s="0" t="n">
        <v>14</v>
      </c>
      <c r="AI2683" s="0" t="n">
        <v>11</v>
      </c>
      <c r="AN2683" s="0" t="s">
        <v>145</v>
      </c>
      <c r="AO2683" s="0" t="s">
        <v>150</v>
      </c>
      <c r="AP2683" s="0" t="s">
        <v>151</v>
      </c>
      <c r="AQ2683" s="0" t="n">
        <v>9</v>
      </c>
      <c r="AR2683" s="0" t="n">
        <v>64</v>
      </c>
      <c r="AS2683" s="0" t="n">
        <v>32</v>
      </c>
      <c r="AU2683" s="0" t="n">
        <f aca="false">COUNTA($BA$1028:$EH$1028)</f>
        <v>1</v>
      </c>
      <c r="AV2683" s="0" t="n">
        <f aca="false">COUNTIF($BA$1028:$EH$1028,"D")</f>
        <v>0</v>
      </c>
      <c r="AW2683" s="0" t="n">
        <f aca="false">COUNTIF($BA$1028:$EH$1028,"R")</f>
        <v>0</v>
      </c>
      <c r="AX2683" s="0" t="n">
        <f aca="false">IF(BN2683="D",1,0)+IF(BO2683="D",1,0)+IF(BT2683="D",1,0)+IF(BU2683="D",1,0)+IF(BW2683="D",1,0)+IF(CC2683="D",1,0)+IF(CD2683="D",1,0)+IF(CE2683="D",1,0)+IF(CF2683="D",1,0)+IF(CL2683="D",1,0)+IF(CM2683="D",1,0)+IF(CQ2683="D",1,0)+IF(CR2683="D",1,0)+IF(CS2683="D",1,0)+IF(CW2683="D",1,0)+IF(CX2683="D",1,0)+IF(DD2683="D",1,0)+IF(DE2683="D",1,0)+IF(DJ2683="D",1,0)+IF(DK2683="D",1,0)+IF(DO2683="D",1,0)+IF(DP2683="D",1,0)+IF(DQ2683="D",1,0)+IF(DW2683="D",1,0)+IF(DZ2683="D",1,0)+IF(EH2683="D",1,0)</f>
        <v>0</v>
      </c>
      <c r="AY2683" s="0" t="n">
        <f aca="false">COUNTIF(DU2683:EH2683, "&lt;&gt;")</f>
        <v>0</v>
      </c>
      <c r="AZ2683" s="0" t="n">
        <f aca="false">IF(EH2683&lt;&gt;"",1,0)</f>
        <v>0</v>
      </c>
      <c r="BB2683" s="0" t="s">
        <v>152</v>
      </c>
    </row>
    <row r="2684" customFormat="false" ht="13.8" hidden="true" customHeight="false" outlineLevel="0" collapsed="false">
      <c r="A2684" s="0" t="s">
        <v>11386</v>
      </c>
      <c r="B2684" s="0" t="n">
        <v>78</v>
      </c>
      <c r="C2684" s="0" t="n">
        <v>484535</v>
      </c>
      <c r="D2684" s="0" t="s">
        <v>11387</v>
      </c>
      <c r="E2684" s="0" t="s">
        <v>4560</v>
      </c>
      <c r="F2684" s="0" t="str">
        <f aca="false">CONCATENATE(D2684," ",LEFT(H2684,4),"T=",AU2684,"D=",AV2684,"R=",AW2684,"M=",AX2684,"L=",AY2684,"B=",AZ2684)</f>
        <v>FLORES T=1D=0R=0M=0L=0B=0</v>
      </c>
      <c r="G2684" s="0" t="s">
        <v>11388</v>
      </c>
      <c r="I2684" s="0" t="s">
        <v>3662</v>
      </c>
      <c r="J2684" s="0" t="s">
        <v>11309</v>
      </c>
      <c r="K2684" s="0" t="s">
        <v>160</v>
      </c>
      <c r="M2684" s="0" t="s">
        <v>11389</v>
      </c>
      <c r="N2684" s="0" t="str">
        <f aca="false">RIGHT(M2684,LEN(M2684)-FIND(" ",M2684))</f>
        <v>YOUNGSTOWN RD SE</v>
      </c>
      <c r="P2684" s="0" t="s">
        <v>145</v>
      </c>
      <c r="Q2684" s="0" t="s">
        <v>146</v>
      </c>
      <c r="R2684" s="0" t="n">
        <v>44484</v>
      </c>
      <c r="S2684" s="0" t="n">
        <v>4271</v>
      </c>
      <c r="AD2684" s="0" t="s">
        <v>147</v>
      </c>
      <c r="AE2684" s="0" t="s">
        <v>148</v>
      </c>
      <c r="AF2684" s="0" t="s">
        <v>149</v>
      </c>
      <c r="AH2684" s="0" t="n">
        <v>14</v>
      </c>
      <c r="AI2684" s="0" t="n">
        <v>11</v>
      </c>
      <c r="AN2684" s="0" t="s">
        <v>145</v>
      </c>
      <c r="AO2684" s="0" t="s">
        <v>150</v>
      </c>
      <c r="AP2684" s="0" t="s">
        <v>151</v>
      </c>
      <c r="AQ2684" s="0" t="n">
        <v>9</v>
      </c>
      <c r="AR2684" s="0" t="n">
        <v>64</v>
      </c>
      <c r="AS2684" s="0" t="n">
        <v>32</v>
      </c>
      <c r="AU2684" s="0" t="n">
        <f aca="false">COUNTA($BA$695:$EH$695)</f>
        <v>1</v>
      </c>
      <c r="AV2684" s="0" t="n">
        <f aca="false">COUNTIF($BA$695:$EH$695,"D")</f>
        <v>0</v>
      </c>
      <c r="AW2684" s="0" t="n">
        <f aca="false">COUNTIF($BA$695:$EH$695,"R")</f>
        <v>0</v>
      </c>
      <c r="AX2684" s="0" t="n">
        <f aca="false">IF(BN2684="D",1,0)+IF(BO2684="D",1,0)+IF(BT2684="D",1,0)+IF(BU2684="D",1,0)+IF(BW2684="D",1,0)+IF(CC2684="D",1,0)+IF(CD2684="D",1,0)+IF(CE2684="D",1,0)+IF(CF2684="D",1,0)+IF(CL2684="D",1,0)+IF(CM2684="D",1,0)+IF(CQ2684="D",1,0)+IF(CR2684="D",1,0)+IF(CS2684="D",1,0)+IF(CW2684="D",1,0)+IF(CX2684="D",1,0)+IF(DD2684="D",1,0)+IF(DE2684="D",1,0)+IF(DJ2684="D",1,0)+IF(DK2684="D",1,0)+IF(DO2684="D",1,0)+IF(DP2684="D",1,0)+IF(DQ2684="D",1,0)+IF(DW2684="D",1,0)+IF(DZ2684="D",1,0)+IF(EH2684="D",1,0)</f>
        <v>0</v>
      </c>
      <c r="AY2684" s="0" t="n">
        <f aca="false">COUNTIF(DU2684:EH2684, "&lt;&gt;")</f>
        <v>0</v>
      </c>
      <c r="AZ2684" s="0" t="n">
        <f aca="false">IF(EH2684&lt;&gt;"",1,0)</f>
        <v>0</v>
      </c>
      <c r="BB2684" s="0" t="s">
        <v>152</v>
      </c>
    </row>
    <row r="2685" customFormat="false" ht="13.8" hidden="true" customHeight="false" outlineLevel="0" collapsed="false">
      <c r="A2685" s="0" t="s">
        <v>11390</v>
      </c>
      <c r="B2685" s="0" t="n">
        <v>78</v>
      </c>
      <c r="C2685" s="0" t="n">
        <v>373978</v>
      </c>
      <c r="D2685" s="0" t="s">
        <v>5148</v>
      </c>
      <c r="E2685" s="0" t="s">
        <v>2551</v>
      </c>
      <c r="F2685" s="0" t="str">
        <f aca="false">CONCATENATE(D2685," ",LEFT(H2685,4),"T=",AU2685,"D=",AV2685,"R=",AW2685,"M=",AX2685,"L=",AY2685,"B=",AZ2685)</f>
        <v>SIMPSON T=47D=14R=2M=0L=0B=0</v>
      </c>
      <c r="G2685" s="0" t="s">
        <v>796</v>
      </c>
      <c r="I2685" s="0" t="s">
        <v>11391</v>
      </c>
      <c r="J2685" s="0" t="s">
        <v>11392</v>
      </c>
      <c r="K2685" s="0" t="s">
        <v>143</v>
      </c>
      <c r="M2685" s="0" t="s">
        <v>11393</v>
      </c>
      <c r="N2685" s="0" t="str">
        <f aca="false">RIGHT(M2685,LEN(M2685)-FIND(" ",M2685))</f>
        <v>YOUNGSTOWN RD SE</v>
      </c>
      <c r="P2685" s="0" t="s">
        <v>145</v>
      </c>
      <c r="Q2685" s="0" t="s">
        <v>146</v>
      </c>
      <c r="R2685" s="0" t="n">
        <v>44484</v>
      </c>
      <c r="AD2685" s="0" t="s">
        <v>147</v>
      </c>
      <c r="AE2685" s="0" t="s">
        <v>148</v>
      </c>
      <c r="AF2685" s="0" t="s">
        <v>149</v>
      </c>
      <c r="AH2685" s="0" t="n">
        <v>14</v>
      </c>
      <c r="AI2685" s="0" t="n">
        <v>11</v>
      </c>
      <c r="AN2685" s="0" t="s">
        <v>145</v>
      </c>
      <c r="AO2685" s="0" t="s">
        <v>150</v>
      </c>
      <c r="AP2685" s="0" t="s">
        <v>151</v>
      </c>
      <c r="AQ2685" s="0" t="n">
        <v>9</v>
      </c>
      <c r="AR2685" s="0" t="n">
        <v>64</v>
      </c>
      <c r="AS2685" s="0" t="n">
        <v>32</v>
      </c>
      <c r="AU2685" s="0" t="n">
        <f aca="false">COUNTA($BA$32:$EH$32)</f>
        <v>47</v>
      </c>
      <c r="AV2685" s="0" t="n">
        <f aca="false">COUNTIF($BA$32:$EH$32,"D")</f>
        <v>14</v>
      </c>
      <c r="AW2685" s="0" t="n">
        <f aca="false">COUNTIF($BA$32:$EH$32,"R")</f>
        <v>2</v>
      </c>
      <c r="AX2685" s="0" t="n">
        <f aca="false">IF(BN2685="D",1,0)+IF(BO2685="D",1,0)+IF(BT2685="D",1,0)+IF(BU2685="D",1,0)+IF(BW2685="D",1,0)+IF(CC2685="D",1,0)+IF(CD2685="D",1,0)+IF(CE2685="D",1,0)+IF(CF2685="D",1,0)+IF(CL2685="D",1,0)+IF(CM2685="D",1,0)+IF(CQ2685="D",1,0)+IF(CR2685="D",1,0)+IF(CS2685="D",1,0)+IF(CW2685="D",1,0)+IF(CX2685="D",1,0)+IF(DD2685="D",1,0)+IF(DE2685="D",1,0)+IF(DJ2685="D",1,0)+IF(DK2685="D",1,0)+IF(DO2685="D",1,0)+IF(DP2685="D",1,0)+IF(DQ2685="D",1,0)+IF(DW2685="D",1,0)+IF(DZ2685="D",1,0)+IF(EH2685="D",1,0)</f>
        <v>0</v>
      </c>
      <c r="AY2685" s="0" t="n">
        <f aca="false">COUNTIF(DU2685:EH2685, "&lt;&gt;")</f>
        <v>0</v>
      </c>
      <c r="AZ2685" s="0" t="n">
        <f aca="false">IF(EH2685&lt;&gt;"",1,0)</f>
        <v>0</v>
      </c>
      <c r="BB2685" s="0" t="s">
        <v>152</v>
      </c>
      <c r="CN2685" s="0" t="s">
        <v>153</v>
      </c>
      <c r="CP2685" s="0" t="s">
        <v>153</v>
      </c>
      <c r="CY2685" s="0" t="s">
        <v>153</v>
      </c>
      <c r="CZ2685" s="0" t="s">
        <v>209</v>
      </c>
      <c r="DC2685" s="0" t="s">
        <v>153</v>
      </c>
      <c r="DN2685" s="0" t="s">
        <v>153</v>
      </c>
    </row>
    <row r="2687" customFormat="false" ht="15" hidden="false" customHeight="false" outlineLevel="0" collapsed="false">
      <c r="AY2687" s="0" t="n">
        <f aca="false">COUNTIF(AY2:AY2664, "&gt;1")</f>
        <v>845</v>
      </c>
    </row>
  </sheetData>
  <autoFilter ref="A1:EH2685">
    <filterColumn colId="50">
      <filters>
        <filter val="2"/>
        <filter val="3"/>
        <filter val="4"/>
        <filter val="5"/>
        <filter val="6"/>
        <filter val="7"/>
      </filters>
    </filterColumn>
  </autoFilter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2025-06-22T22:40:48Z</dcterms:created>
  <dc:creator>openpyxl</dc:creator>
  <dc:description/>
  <dc:language>en-US</dc:language>
  <cp:lastModifiedBy/>
  <cp:lastPrinted>2025-07-29T09:56:30Z</cp:lastPrinted>
  <dcterms:modified xsi:type="dcterms:W3CDTF">2025-07-30T08:24:23Z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